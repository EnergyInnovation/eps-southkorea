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chel Goldstein\Desktop\EPS Models\SouthKorea EPS\InputData\elec\SHELF\"/>
    </mc:Choice>
  </mc:AlternateContent>
  <xr:revisionPtr revIDLastSave="0" documentId="13_ncr:1_{1350F03A-2434-457B-BDC0-D0CFF48011CF}" xr6:coauthVersionLast="47" xr6:coauthVersionMax="47" xr10:uidLastSave="{00000000-0000-0000-0000-000000000000}"/>
  <bookViews>
    <workbookView xWindow="43485" yWindow="2130" windowWidth="20340" windowHeight="11910" tabRatio="628" activeTab="3" xr2:uid="{5DC1157A-C6AE-44DE-8CDA-5C41A54517A8}"/>
  </bookViews>
  <sheets>
    <sheet name="About" sheetId="2" r:id="rId1"/>
    <sheet name="Sheet1" sheetId="47" r:id="rId2"/>
    <sheet name="Source Data" sheetId="45" r:id="rId3"/>
    <sheet name="Summarized Source Data" sheetId="44" r:id="rId4"/>
    <sheet name="Category Mapping" sheetId="43" r:id="rId5"/>
    <sheet name="Double Check" sheetId="46" r:id="rId6"/>
    <sheet name="SHELF-days-per-timeslice" sheetId="39" r:id="rId7"/>
    <sheet name="SHELF-residential-heating" sheetId="18" r:id="rId8"/>
    <sheet name="SHELF-residential-cooling" sheetId="17" r:id="rId9"/>
    <sheet name="SHELF-residential-envelope" sheetId="20" r:id="rId10"/>
    <sheet name="SHELF-residential-lighting" sheetId="19" r:id="rId11"/>
    <sheet name="SHELF-residential-appliances" sheetId="16" r:id="rId12"/>
    <sheet name="SHELF-residential-other" sheetId="8" r:id="rId13"/>
    <sheet name="SHELF-commercial-heating" sheetId="21" r:id="rId14"/>
    <sheet name="SHELF-commercial-cooling" sheetId="22" r:id="rId15"/>
    <sheet name="SHELF-commercial-envelope" sheetId="23" r:id="rId16"/>
    <sheet name="SHELF-commercial-lighting" sheetId="24" r:id="rId17"/>
    <sheet name="SHELF-commercial-appliances" sheetId="25" r:id="rId18"/>
    <sheet name="SHELF-commercial-other" sheetId="26" r:id="rId19"/>
    <sheet name="SHELF-LDVs" sheetId="11" r:id="rId20"/>
    <sheet name="SHELF-HDVs" sheetId="28" r:id="rId21"/>
    <sheet name="SHELF-aircraft" sheetId="29" r:id="rId22"/>
    <sheet name="SHELF-rail" sheetId="30" r:id="rId23"/>
    <sheet name="SHELF-ships" sheetId="31" r:id="rId24"/>
    <sheet name="SHELF-motorbikes" sheetId="32" r:id="rId25"/>
    <sheet name="SHELF-industry" sheetId="10" r:id="rId26"/>
    <sheet name="SHELF-district-heat-hydrogen" sheetId="33" r:id="rId27"/>
    <sheet name="SHELF-geoeng" sheetId="34" r:id="rId28"/>
    <sheet name="SHELF-datacenters" sheetId="48" r:id="rId29"/>
  </sheets>
  <definedNames>
    <definedName name="_xlnm._FilterDatabase" localSheetId="2" hidden="1">'Source Data'!$A$2:$AG$290</definedName>
    <definedName name="Aircraftshare">About!#REF!</definedName>
    <definedName name="DaysPerWeek">About!$B$70</definedName>
    <definedName name="FallWeekdays">'Category Mapping'!$E$45</definedName>
    <definedName name="FallWeekendDays">'Category Mapping'!$D$45</definedName>
    <definedName name="HDVshare">About!#REF!</definedName>
    <definedName name="Hour">'Source Data'!$F$2:$AC$2</definedName>
    <definedName name="LDVshare">About!#REF!</definedName>
    <definedName name="Load">'Source Data'!$F$3:$AC$290</definedName>
    <definedName name="LoadFactorHours">'Summarized Source Data'!$C$1269:$C$1412</definedName>
    <definedName name="LoadFactorSeasons">'Summarized Source Data'!$A$1269:$A$1412</definedName>
    <definedName name="Month">'Source Data'!$E$3:$E$290</definedName>
    <definedName name="Motorbikesshare">About!#REF!</definedName>
    <definedName name="Railshare">About!#REF!</definedName>
    <definedName name="Season">'Source Data'!$AD$3:$AD$290</definedName>
    <definedName name="Sector">'Source Data'!$AF$3:$AF$290</definedName>
    <definedName name="Shipshare">About!#REF!</definedName>
    <definedName name="SpringWeekdays">'Category Mapping'!$E$43</definedName>
    <definedName name="SpringWeekendDays">'Category Mapping'!$D$43</definedName>
    <definedName name="Subsector">'Source Data'!$AG$3:$AG$290</definedName>
    <definedName name="SummerWeekdays">'Category Mapping'!$E$44</definedName>
    <definedName name="SummerWeekendDays">'Category Mapping'!$D$44</definedName>
    <definedName name="TimeOfWeek">'Source Data'!$AE$3:$AE$290</definedName>
    <definedName name="Weekdays">About!$B$69</definedName>
    <definedName name="WeekendDays">About!$B$68</definedName>
    <definedName name="WinterWeekdays">'Category Mapping'!$E$42</definedName>
    <definedName name="WinterWeekendDays">'Category Mapping'!$D$42</definedName>
  </definedNames>
  <calcPr calcId="191028"/>
  <pivotCaches>
    <pivotCache cacheId="2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5" i="44" l="1"/>
  <c r="D585" i="44"/>
  <c r="E585" i="44"/>
  <c r="C586" i="44"/>
  <c r="D586" i="44"/>
  <c r="E586" i="44"/>
  <c r="C587" i="44"/>
  <c r="D587" i="44"/>
  <c r="E587" i="44"/>
  <c r="C588" i="44"/>
  <c r="D588" i="44"/>
  <c r="E588" i="44"/>
  <c r="C589" i="44"/>
  <c r="D589" i="44"/>
  <c r="E589" i="44"/>
  <c r="C590" i="44"/>
  <c r="D590" i="44"/>
  <c r="E590" i="44"/>
  <c r="C591" i="44"/>
  <c r="D591" i="44"/>
  <c r="E591" i="44"/>
  <c r="C592" i="44"/>
  <c r="D592" i="44"/>
  <c r="E592" i="44"/>
  <c r="C593" i="44"/>
  <c r="D593" i="44"/>
  <c r="E593" i="44"/>
  <c r="C594" i="44"/>
  <c r="D594" i="44"/>
  <c r="E594" i="44"/>
  <c r="C595" i="44"/>
  <c r="D595" i="44"/>
  <c r="E595" i="44"/>
  <c r="C596" i="44"/>
  <c r="D596" i="44"/>
  <c r="E596" i="44"/>
  <c r="C597" i="44"/>
  <c r="D597" i="44"/>
  <c r="E597" i="44"/>
  <c r="C598" i="44"/>
  <c r="D598" i="44"/>
  <c r="E598" i="44"/>
  <c r="C599" i="44"/>
  <c r="D599" i="44"/>
  <c r="E599" i="44"/>
  <c r="C600" i="44"/>
  <c r="D600" i="44"/>
  <c r="E600" i="44"/>
  <c r="C601" i="44"/>
  <c r="D601" i="44"/>
  <c r="E601" i="44"/>
  <c r="C602" i="44"/>
  <c r="D602" i="44"/>
  <c r="E602" i="44"/>
  <c r="C603" i="44"/>
  <c r="D603" i="44"/>
  <c r="E603" i="44"/>
  <c r="C604" i="44"/>
  <c r="D604" i="44"/>
  <c r="E604" i="44"/>
  <c r="C605" i="44"/>
  <c r="D605" i="44"/>
  <c r="E605" i="44"/>
  <c r="C606" i="44"/>
  <c r="D606" i="44"/>
  <c r="E606" i="44"/>
  <c r="C607" i="44"/>
  <c r="D607" i="44"/>
  <c r="E607" i="44"/>
  <c r="C608" i="44"/>
  <c r="D608" i="44"/>
  <c r="E608" i="44"/>
  <c r="C609" i="44"/>
  <c r="D609" i="44"/>
  <c r="E609" i="44"/>
  <c r="C610" i="44"/>
  <c r="D610" i="44"/>
  <c r="E610" i="44"/>
  <c r="C611" i="44"/>
  <c r="D611" i="44"/>
  <c r="E611" i="44"/>
  <c r="C612" i="44"/>
  <c r="D612" i="44"/>
  <c r="E612" i="44"/>
  <c r="C613" i="44"/>
  <c r="D613" i="44"/>
  <c r="E613" i="44"/>
  <c r="C614" i="44"/>
  <c r="D614" i="44"/>
  <c r="E614" i="44"/>
  <c r="C615" i="44"/>
  <c r="D615" i="44"/>
  <c r="E615" i="44"/>
  <c r="C616" i="44"/>
  <c r="D616" i="44"/>
  <c r="E616" i="44"/>
  <c r="C617" i="44"/>
  <c r="D617" i="44"/>
  <c r="E617" i="44"/>
  <c r="C618" i="44"/>
  <c r="D618" i="44"/>
  <c r="E618" i="44"/>
  <c r="A619" i="44"/>
  <c r="C619" i="44"/>
  <c r="D619" i="44"/>
  <c r="E619" i="44"/>
  <c r="C620" i="44"/>
  <c r="D620" i="44"/>
  <c r="E620" i="44"/>
  <c r="C621" i="44"/>
  <c r="D621" i="44"/>
  <c r="E621" i="44"/>
  <c r="C622" i="44"/>
  <c r="D622" i="44"/>
  <c r="E622" i="44"/>
  <c r="C623" i="44"/>
  <c r="D623" i="44"/>
  <c r="E623" i="44"/>
  <c r="C624" i="44"/>
  <c r="D624" i="44"/>
  <c r="E624" i="44"/>
  <c r="C625" i="44"/>
  <c r="D625" i="44"/>
  <c r="E625" i="44"/>
  <c r="C626" i="44"/>
  <c r="D626" i="44"/>
  <c r="E626" i="44"/>
  <c r="C627" i="44"/>
  <c r="D627" i="44"/>
  <c r="E627" i="44"/>
  <c r="C628" i="44"/>
  <c r="D628" i="44"/>
  <c r="E628" i="44"/>
  <c r="C629" i="44"/>
  <c r="D629" i="44"/>
  <c r="E629" i="44"/>
  <c r="C630" i="44"/>
  <c r="D630" i="44"/>
  <c r="E630" i="44"/>
  <c r="A631" i="44"/>
  <c r="C631" i="44"/>
  <c r="D631" i="44"/>
  <c r="E631" i="44"/>
  <c r="C632" i="44"/>
  <c r="D632" i="44"/>
  <c r="E632" i="44"/>
  <c r="C633" i="44"/>
  <c r="D633" i="44"/>
  <c r="E633" i="44"/>
  <c r="C634" i="44"/>
  <c r="D634" i="44"/>
  <c r="E634" i="44"/>
  <c r="C635" i="44"/>
  <c r="D635" i="44"/>
  <c r="E635" i="44"/>
  <c r="C636" i="44"/>
  <c r="D636" i="44"/>
  <c r="E636" i="44"/>
  <c r="C637" i="44"/>
  <c r="D637" i="44"/>
  <c r="E637" i="44"/>
  <c r="C638" i="44"/>
  <c r="D638" i="44"/>
  <c r="E638" i="44"/>
  <c r="C639" i="44"/>
  <c r="D639" i="44"/>
  <c r="E639" i="44"/>
  <c r="C640" i="44"/>
  <c r="D640" i="44"/>
  <c r="E640" i="44"/>
  <c r="C641" i="44"/>
  <c r="D641" i="44"/>
  <c r="E641" i="44"/>
  <c r="C642" i="44"/>
  <c r="D642" i="44"/>
  <c r="E642" i="44"/>
  <c r="C643" i="44"/>
  <c r="D643" i="44"/>
  <c r="E643" i="44"/>
  <c r="C644" i="44"/>
  <c r="D644" i="44"/>
  <c r="E644" i="44"/>
  <c r="C645" i="44"/>
  <c r="D645" i="44"/>
  <c r="E645" i="44"/>
  <c r="C646" i="44"/>
  <c r="D646" i="44"/>
  <c r="E646" i="44"/>
  <c r="C647" i="44"/>
  <c r="D647" i="44"/>
  <c r="E647" i="44"/>
  <c r="C648" i="44"/>
  <c r="D648" i="44"/>
  <c r="E648" i="44"/>
  <c r="C649" i="44"/>
  <c r="D649" i="44"/>
  <c r="E649" i="44"/>
  <c r="C650" i="44"/>
  <c r="D650" i="44"/>
  <c r="E650" i="44"/>
  <c r="C651" i="44"/>
  <c r="D651" i="44"/>
  <c r="E651" i="44"/>
  <c r="C652" i="44"/>
  <c r="D652" i="44"/>
  <c r="E652" i="44"/>
  <c r="C653" i="44"/>
  <c r="D653" i="44"/>
  <c r="E653" i="44"/>
  <c r="C654" i="44"/>
  <c r="D654" i="44"/>
  <c r="E654" i="44"/>
  <c r="C655" i="44"/>
  <c r="D655" i="44"/>
  <c r="E655" i="44"/>
  <c r="C656" i="44"/>
  <c r="D656" i="44"/>
  <c r="E656" i="44"/>
  <c r="C657" i="44"/>
  <c r="D657" i="44"/>
  <c r="E657" i="44"/>
  <c r="C658" i="44"/>
  <c r="D658" i="44"/>
  <c r="E658" i="44"/>
  <c r="C659" i="44"/>
  <c r="D659" i="44"/>
  <c r="E659" i="44"/>
  <c r="C660" i="44"/>
  <c r="D660" i="44"/>
  <c r="E660" i="44"/>
  <c r="C661" i="44"/>
  <c r="D661" i="44"/>
  <c r="E661" i="44"/>
  <c r="C662" i="44"/>
  <c r="D662" i="44"/>
  <c r="E662" i="44"/>
  <c r="A663" i="44"/>
  <c r="C663" i="44"/>
  <c r="D663" i="44"/>
  <c r="E663" i="44"/>
  <c r="C664" i="44"/>
  <c r="D664" i="44"/>
  <c r="E664" i="44"/>
  <c r="C665" i="44"/>
  <c r="D665" i="44"/>
  <c r="E665" i="44"/>
  <c r="C666" i="44"/>
  <c r="D666" i="44"/>
  <c r="E666" i="44"/>
  <c r="C667" i="44"/>
  <c r="D667" i="44"/>
  <c r="E667" i="44"/>
  <c r="C668" i="44"/>
  <c r="D668" i="44"/>
  <c r="E668" i="44"/>
  <c r="A669" i="44"/>
  <c r="C669" i="44"/>
  <c r="D669" i="44"/>
  <c r="E669" i="44"/>
  <c r="C670" i="44"/>
  <c r="D670" i="44"/>
  <c r="E670" i="44"/>
  <c r="C671" i="44"/>
  <c r="D671" i="44"/>
  <c r="E671" i="44"/>
  <c r="C672" i="44"/>
  <c r="D672" i="44"/>
  <c r="E672" i="44"/>
  <c r="C673" i="44"/>
  <c r="D673" i="44"/>
  <c r="E673" i="44"/>
  <c r="C674" i="44"/>
  <c r="D674" i="44"/>
  <c r="E674" i="44"/>
  <c r="C675" i="44"/>
  <c r="D675" i="44"/>
  <c r="E675" i="44"/>
  <c r="C676" i="44"/>
  <c r="D676" i="44"/>
  <c r="E676" i="44"/>
  <c r="C677" i="44"/>
  <c r="D677" i="44"/>
  <c r="E677" i="44"/>
  <c r="C678" i="44"/>
  <c r="D678" i="44"/>
  <c r="E678" i="44"/>
  <c r="C679" i="44"/>
  <c r="D679" i="44"/>
  <c r="E679" i="44"/>
  <c r="C680" i="44"/>
  <c r="D680" i="44"/>
  <c r="E680" i="44"/>
  <c r="C681" i="44"/>
  <c r="D681" i="44"/>
  <c r="E681" i="44"/>
  <c r="C682" i="44"/>
  <c r="D682" i="44"/>
  <c r="E682" i="44"/>
  <c r="C683" i="44"/>
  <c r="D683" i="44"/>
  <c r="E683" i="44"/>
  <c r="C684" i="44"/>
  <c r="D684" i="44"/>
  <c r="E684" i="44"/>
  <c r="C685" i="44"/>
  <c r="D685" i="44"/>
  <c r="E685" i="44"/>
  <c r="C686" i="44"/>
  <c r="D686" i="44"/>
  <c r="E686" i="44"/>
  <c r="C687" i="44"/>
  <c r="D687" i="44"/>
  <c r="E687" i="44"/>
  <c r="C688" i="44"/>
  <c r="D688" i="44"/>
  <c r="E688" i="44"/>
  <c r="C689" i="44"/>
  <c r="D689" i="44"/>
  <c r="E689" i="44"/>
  <c r="C690" i="44"/>
  <c r="D690" i="44"/>
  <c r="E690" i="44"/>
  <c r="C691" i="44"/>
  <c r="D691" i="44"/>
  <c r="E691" i="44"/>
  <c r="C692" i="44"/>
  <c r="D692" i="44"/>
  <c r="E692" i="44"/>
  <c r="C693" i="44"/>
  <c r="D693" i="44"/>
  <c r="E693" i="44"/>
  <c r="C694" i="44"/>
  <c r="D694" i="44"/>
  <c r="E694" i="44"/>
  <c r="C695" i="44"/>
  <c r="D695" i="44"/>
  <c r="E695" i="44"/>
  <c r="C696" i="44"/>
  <c r="D696" i="44"/>
  <c r="E696" i="44"/>
  <c r="C697" i="44"/>
  <c r="D697" i="44"/>
  <c r="E697" i="44"/>
  <c r="C698" i="44"/>
  <c r="D698" i="44"/>
  <c r="E698" i="44"/>
  <c r="C699" i="44"/>
  <c r="D699" i="44"/>
  <c r="E699" i="44"/>
  <c r="C700" i="44"/>
  <c r="D700" i="44"/>
  <c r="E700" i="44"/>
  <c r="C701" i="44"/>
  <c r="D701" i="44"/>
  <c r="E701" i="44"/>
  <c r="C702" i="44"/>
  <c r="D702" i="44"/>
  <c r="E702" i="44"/>
  <c r="C703" i="44"/>
  <c r="D703" i="44"/>
  <c r="E703" i="44"/>
  <c r="C704" i="44"/>
  <c r="D704" i="44"/>
  <c r="E704" i="44"/>
  <c r="C705" i="44"/>
  <c r="D705" i="44"/>
  <c r="E705" i="44"/>
  <c r="C706" i="44"/>
  <c r="D706" i="44"/>
  <c r="E706" i="44"/>
  <c r="C707" i="44"/>
  <c r="D707" i="44"/>
  <c r="E707" i="44"/>
  <c r="C708" i="44"/>
  <c r="D708" i="44"/>
  <c r="E708" i="44"/>
  <c r="C709" i="44"/>
  <c r="D709" i="44"/>
  <c r="E709" i="44"/>
  <c r="C710" i="44"/>
  <c r="D710" i="44"/>
  <c r="E710" i="44"/>
  <c r="C711" i="44"/>
  <c r="D711" i="44"/>
  <c r="E711" i="44"/>
  <c r="C712" i="44"/>
  <c r="D712" i="44"/>
  <c r="E712" i="44"/>
  <c r="C713" i="44"/>
  <c r="D713" i="44"/>
  <c r="E713" i="44"/>
  <c r="C714" i="44"/>
  <c r="D714" i="44"/>
  <c r="E714" i="44"/>
  <c r="C715" i="44"/>
  <c r="D715" i="44"/>
  <c r="E715" i="44"/>
  <c r="C716" i="44"/>
  <c r="D716" i="44"/>
  <c r="E716" i="44"/>
  <c r="C717" i="44"/>
  <c r="D717" i="44"/>
  <c r="E717" i="44"/>
  <c r="C718" i="44"/>
  <c r="D718" i="44"/>
  <c r="E718" i="44"/>
  <c r="C719" i="44"/>
  <c r="D719" i="44"/>
  <c r="E719" i="44"/>
  <c r="C720" i="44"/>
  <c r="D720" i="44"/>
  <c r="E720" i="44"/>
  <c r="C721" i="44"/>
  <c r="D721" i="44"/>
  <c r="E721" i="44"/>
  <c r="C722" i="44"/>
  <c r="D722" i="44"/>
  <c r="E722" i="44"/>
  <c r="C723" i="44"/>
  <c r="D723" i="44"/>
  <c r="E723" i="44"/>
  <c r="C724" i="44"/>
  <c r="D724" i="44"/>
  <c r="E724" i="44"/>
  <c r="C725" i="44"/>
  <c r="D725" i="44"/>
  <c r="E725" i="44"/>
  <c r="C726" i="44"/>
  <c r="D726" i="44"/>
  <c r="E726" i="44"/>
  <c r="C727" i="44"/>
  <c r="D727" i="44"/>
  <c r="E727" i="44"/>
  <c r="C728" i="44"/>
  <c r="D728" i="44"/>
  <c r="E728" i="44"/>
  <c r="C729" i="44"/>
  <c r="D729" i="44"/>
  <c r="E729" i="44"/>
  <c r="C730" i="44"/>
  <c r="D730" i="44"/>
  <c r="E730" i="44"/>
  <c r="C731" i="44"/>
  <c r="D731" i="44"/>
  <c r="E731" i="44"/>
  <c r="C732" i="44"/>
  <c r="D732" i="44"/>
  <c r="E732" i="44"/>
  <c r="C733" i="44"/>
  <c r="D733" i="44"/>
  <c r="E733" i="44"/>
  <c r="C734" i="44"/>
  <c r="D734" i="44"/>
  <c r="E734" i="44"/>
  <c r="C735" i="44"/>
  <c r="D735" i="44"/>
  <c r="E735" i="44"/>
  <c r="C736" i="44"/>
  <c r="D736" i="44"/>
  <c r="E736" i="44"/>
  <c r="C737" i="44"/>
  <c r="D737" i="44"/>
  <c r="E737" i="44"/>
  <c r="C738" i="44"/>
  <c r="D738" i="44"/>
  <c r="E738" i="44"/>
  <c r="C739" i="44"/>
  <c r="D739" i="44"/>
  <c r="E739" i="44"/>
  <c r="C740" i="44"/>
  <c r="D740" i="44"/>
  <c r="E740" i="44"/>
  <c r="C741" i="44"/>
  <c r="D741" i="44"/>
  <c r="E741" i="44"/>
  <c r="C742" i="44"/>
  <c r="D742" i="44"/>
  <c r="E742" i="44"/>
  <c r="C743" i="44"/>
  <c r="D743" i="44"/>
  <c r="E743" i="44"/>
  <c r="C744" i="44"/>
  <c r="D744" i="44"/>
  <c r="E744" i="44"/>
  <c r="C745" i="44"/>
  <c r="D745" i="44"/>
  <c r="E745" i="44"/>
  <c r="C746" i="44"/>
  <c r="D746" i="44"/>
  <c r="E746" i="44"/>
  <c r="C747" i="44"/>
  <c r="D747" i="44"/>
  <c r="E747" i="44"/>
  <c r="C748" i="44"/>
  <c r="D748" i="44"/>
  <c r="E748" i="44"/>
  <c r="C749" i="44"/>
  <c r="D749" i="44"/>
  <c r="E749" i="44"/>
  <c r="C750" i="44"/>
  <c r="D750" i="44"/>
  <c r="E750" i="44"/>
  <c r="C751" i="44"/>
  <c r="D751" i="44"/>
  <c r="E751" i="44"/>
  <c r="C752" i="44"/>
  <c r="D752" i="44"/>
  <c r="E752" i="44"/>
  <c r="C753" i="44"/>
  <c r="D753" i="44"/>
  <c r="E753" i="44"/>
  <c r="C754" i="44"/>
  <c r="D754" i="44"/>
  <c r="E754" i="44"/>
  <c r="C755" i="44"/>
  <c r="D755" i="44"/>
  <c r="E755" i="44"/>
  <c r="C756" i="44"/>
  <c r="D756" i="44"/>
  <c r="E756" i="44"/>
  <c r="C757" i="44"/>
  <c r="D757" i="44"/>
  <c r="E757" i="44"/>
  <c r="C758" i="44"/>
  <c r="D758" i="44"/>
  <c r="E758" i="44"/>
  <c r="C759" i="44"/>
  <c r="D759" i="44"/>
  <c r="E759" i="44"/>
  <c r="C760" i="44"/>
  <c r="D760" i="44"/>
  <c r="E760" i="44"/>
  <c r="C761" i="44"/>
  <c r="D761" i="44"/>
  <c r="E761" i="44"/>
  <c r="C762" i="44"/>
  <c r="D762" i="44"/>
  <c r="E762" i="44"/>
  <c r="C763" i="44"/>
  <c r="D763" i="44"/>
  <c r="E763" i="44"/>
  <c r="C764" i="44"/>
  <c r="D764" i="44"/>
  <c r="E764" i="44"/>
  <c r="C765" i="44"/>
  <c r="D765" i="44"/>
  <c r="E765" i="44"/>
  <c r="C766" i="44"/>
  <c r="D766" i="44"/>
  <c r="E766" i="44"/>
  <c r="C767" i="44"/>
  <c r="D767" i="44"/>
  <c r="E767" i="44"/>
  <c r="C768" i="44"/>
  <c r="D768" i="44"/>
  <c r="E768" i="44"/>
  <c r="C769" i="44"/>
  <c r="D769" i="44"/>
  <c r="E769" i="44"/>
  <c r="C770" i="44"/>
  <c r="D770" i="44"/>
  <c r="E770" i="44"/>
  <c r="C771" i="44"/>
  <c r="D771" i="44"/>
  <c r="E771" i="44"/>
  <c r="C772" i="44"/>
  <c r="D772" i="44"/>
  <c r="E772" i="44"/>
  <c r="C773" i="44"/>
  <c r="D773" i="44"/>
  <c r="E773" i="44"/>
  <c r="C774" i="44"/>
  <c r="D774" i="44"/>
  <c r="E774" i="44"/>
  <c r="C775" i="44"/>
  <c r="D775" i="44"/>
  <c r="E775" i="44"/>
  <c r="C776" i="44"/>
  <c r="D776" i="44"/>
  <c r="E776" i="44"/>
  <c r="C777" i="44"/>
  <c r="D777" i="44"/>
  <c r="E777" i="44"/>
  <c r="C778" i="44"/>
  <c r="D778" i="44"/>
  <c r="E778" i="44"/>
  <c r="C779" i="44"/>
  <c r="D779" i="44"/>
  <c r="E779" i="44"/>
  <c r="C780" i="44"/>
  <c r="D780" i="44"/>
  <c r="E780" i="44"/>
  <c r="C781" i="44"/>
  <c r="D781" i="44"/>
  <c r="E781" i="44"/>
  <c r="C782" i="44"/>
  <c r="D782" i="44"/>
  <c r="E782" i="44"/>
  <c r="C783" i="44"/>
  <c r="D783" i="44"/>
  <c r="E783" i="44"/>
  <c r="C784" i="44"/>
  <c r="D784" i="44"/>
  <c r="E784" i="44"/>
  <c r="C785" i="44"/>
  <c r="D785" i="44"/>
  <c r="E785" i="44"/>
  <c r="C786" i="44"/>
  <c r="D786" i="44"/>
  <c r="E786" i="44"/>
  <c r="C787" i="44"/>
  <c r="D787" i="44"/>
  <c r="E787" i="44"/>
  <c r="C788" i="44"/>
  <c r="D788" i="44"/>
  <c r="E788" i="44"/>
  <c r="C789" i="44"/>
  <c r="D789" i="44"/>
  <c r="E789" i="44"/>
  <c r="C790" i="44"/>
  <c r="D790" i="44"/>
  <c r="E790" i="44"/>
  <c r="C791" i="44"/>
  <c r="D791" i="44"/>
  <c r="E791" i="44"/>
  <c r="C792" i="44"/>
  <c r="D792" i="44"/>
  <c r="E792" i="44"/>
  <c r="C793" i="44"/>
  <c r="D793" i="44"/>
  <c r="E793" i="44"/>
  <c r="C794" i="44"/>
  <c r="D794" i="44"/>
  <c r="E794" i="44"/>
  <c r="C795" i="44"/>
  <c r="D795" i="44"/>
  <c r="E795" i="44"/>
  <c r="C796" i="44"/>
  <c r="D796" i="44"/>
  <c r="E796" i="44"/>
  <c r="C797" i="44"/>
  <c r="D797" i="44"/>
  <c r="E797" i="44"/>
  <c r="C798" i="44"/>
  <c r="D798" i="44"/>
  <c r="E798" i="44"/>
  <c r="C799" i="44"/>
  <c r="D799" i="44"/>
  <c r="E799" i="44"/>
  <c r="C800" i="44"/>
  <c r="D800" i="44"/>
  <c r="E800" i="44"/>
  <c r="C801" i="44"/>
  <c r="D801" i="44"/>
  <c r="E801" i="44"/>
  <c r="C802" i="44"/>
  <c r="D802" i="44"/>
  <c r="E802" i="44"/>
  <c r="C803" i="44"/>
  <c r="D803" i="44"/>
  <c r="E803" i="44"/>
  <c r="C804" i="44"/>
  <c r="D804" i="44"/>
  <c r="E804" i="44"/>
  <c r="C805" i="44"/>
  <c r="D805" i="44"/>
  <c r="E805" i="44"/>
  <c r="C806" i="44"/>
  <c r="D806" i="44"/>
  <c r="E806" i="44"/>
  <c r="C807" i="44"/>
  <c r="D807" i="44"/>
  <c r="E807" i="44"/>
  <c r="C808" i="44"/>
  <c r="D808" i="44"/>
  <c r="E808" i="44"/>
  <c r="C809" i="44"/>
  <c r="D809" i="44"/>
  <c r="E809" i="44"/>
  <c r="C810" i="44"/>
  <c r="D810" i="44"/>
  <c r="E810" i="44"/>
  <c r="C811" i="44"/>
  <c r="D811" i="44"/>
  <c r="E811" i="44"/>
  <c r="C812" i="44"/>
  <c r="D812" i="44"/>
  <c r="E812" i="44"/>
  <c r="C813" i="44"/>
  <c r="D813" i="44"/>
  <c r="E813" i="44"/>
  <c r="C814" i="44"/>
  <c r="D814" i="44"/>
  <c r="E814" i="44"/>
  <c r="C815" i="44"/>
  <c r="D815" i="44"/>
  <c r="E815" i="44"/>
  <c r="C816" i="44"/>
  <c r="D816" i="44"/>
  <c r="E816" i="44"/>
  <c r="C817" i="44"/>
  <c r="D817" i="44"/>
  <c r="E817" i="44"/>
  <c r="C818" i="44"/>
  <c r="D818" i="44"/>
  <c r="E818" i="44"/>
  <c r="C819" i="44"/>
  <c r="D819" i="44"/>
  <c r="E819" i="44"/>
  <c r="C820" i="44"/>
  <c r="D820" i="44"/>
  <c r="E820" i="44"/>
  <c r="C821" i="44"/>
  <c r="D821" i="44"/>
  <c r="E821" i="44"/>
  <c r="C822" i="44"/>
  <c r="D822" i="44"/>
  <c r="E822" i="44"/>
  <c r="C823" i="44"/>
  <c r="D823" i="44"/>
  <c r="E823" i="44"/>
  <c r="C824" i="44"/>
  <c r="D824" i="44"/>
  <c r="E824" i="44"/>
  <c r="C825" i="44"/>
  <c r="D825" i="44"/>
  <c r="E825" i="44"/>
  <c r="C826" i="44"/>
  <c r="D826" i="44"/>
  <c r="E826" i="44"/>
  <c r="C827" i="44"/>
  <c r="D827" i="44"/>
  <c r="E827" i="44"/>
  <c r="C828" i="44"/>
  <c r="D828" i="44"/>
  <c r="E828" i="44"/>
  <c r="C829" i="44"/>
  <c r="D829" i="44"/>
  <c r="E829" i="44"/>
  <c r="C830" i="44"/>
  <c r="D830" i="44"/>
  <c r="E830" i="44"/>
  <c r="C831" i="44"/>
  <c r="D831" i="44"/>
  <c r="E831" i="44"/>
  <c r="C832" i="44"/>
  <c r="D832" i="44"/>
  <c r="E832" i="44"/>
  <c r="C833" i="44"/>
  <c r="D833" i="44"/>
  <c r="E833" i="44"/>
  <c r="C834" i="44"/>
  <c r="D834" i="44"/>
  <c r="E834" i="44"/>
  <c r="C835" i="44"/>
  <c r="D835" i="44"/>
  <c r="E835" i="44"/>
  <c r="C836" i="44"/>
  <c r="D836" i="44"/>
  <c r="E836" i="44"/>
  <c r="C837" i="44"/>
  <c r="D837" i="44"/>
  <c r="E837" i="44"/>
  <c r="C838" i="44"/>
  <c r="D838" i="44"/>
  <c r="E838" i="44"/>
  <c r="C839" i="44"/>
  <c r="D839" i="44"/>
  <c r="E839" i="44"/>
  <c r="C840" i="44"/>
  <c r="D840" i="44"/>
  <c r="E840" i="44"/>
  <c r="C841" i="44"/>
  <c r="D841" i="44"/>
  <c r="E841" i="44"/>
  <c r="C842" i="44"/>
  <c r="D842" i="44"/>
  <c r="E842" i="44"/>
  <c r="C843" i="44"/>
  <c r="D843" i="44"/>
  <c r="E843" i="44"/>
  <c r="C844" i="44"/>
  <c r="D844" i="44"/>
  <c r="E844" i="44"/>
  <c r="C845" i="44"/>
  <c r="D845" i="44"/>
  <c r="E845" i="44"/>
  <c r="C846" i="44"/>
  <c r="D846" i="44"/>
  <c r="E846" i="44"/>
  <c r="C847" i="44"/>
  <c r="D847" i="44"/>
  <c r="E847" i="44"/>
  <c r="C848" i="44"/>
  <c r="D848" i="44"/>
  <c r="E848" i="44"/>
  <c r="C849" i="44"/>
  <c r="D849" i="44"/>
  <c r="E849" i="44"/>
  <c r="C850" i="44"/>
  <c r="D850" i="44"/>
  <c r="E850" i="44"/>
  <c r="C851" i="44"/>
  <c r="D851" i="44"/>
  <c r="E851" i="44"/>
  <c r="C852" i="44"/>
  <c r="D852" i="44"/>
  <c r="E852" i="44"/>
  <c r="C853" i="44"/>
  <c r="D853" i="44"/>
  <c r="E853" i="44"/>
  <c r="C854" i="44"/>
  <c r="D854" i="44"/>
  <c r="E854" i="44"/>
  <c r="C855" i="44"/>
  <c r="D855" i="44"/>
  <c r="E855" i="44"/>
  <c r="C856" i="44"/>
  <c r="D856" i="44"/>
  <c r="E856" i="44"/>
  <c r="C857" i="44"/>
  <c r="D857" i="44"/>
  <c r="E857" i="44"/>
  <c r="C858" i="44"/>
  <c r="D858" i="44"/>
  <c r="E858" i="44"/>
  <c r="C859" i="44"/>
  <c r="D859" i="44"/>
  <c r="E859" i="44"/>
  <c r="C860" i="44"/>
  <c r="D860" i="44"/>
  <c r="E860" i="44"/>
  <c r="C861" i="44"/>
  <c r="D861" i="44"/>
  <c r="E861" i="44"/>
  <c r="C862" i="44"/>
  <c r="D862" i="44"/>
  <c r="E862" i="44"/>
  <c r="C863" i="44"/>
  <c r="D863" i="44"/>
  <c r="E863" i="44"/>
  <c r="C864" i="44"/>
  <c r="D864" i="44"/>
  <c r="E864" i="44"/>
  <c r="C865" i="44"/>
  <c r="D865" i="44"/>
  <c r="E865" i="44"/>
  <c r="C866" i="44"/>
  <c r="D866" i="44"/>
  <c r="E866" i="44"/>
  <c r="C867" i="44"/>
  <c r="D867" i="44"/>
  <c r="E867" i="44"/>
  <c r="C868" i="44"/>
  <c r="D868" i="44"/>
  <c r="E868" i="44"/>
  <c r="C869" i="44"/>
  <c r="D869" i="44"/>
  <c r="E869" i="44"/>
  <c r="C870" i="44"/>
  <c r="D870" i="44"/>
  <c r="E870" i="44"/>
  <c r="C871" i="44"/>
  <c r="D871" i="44"/>
  <c r="E871" i="44"/>
  <c r="C872" i="44"/>
  <c r="D872" i="44"/>
  <c r="E872" i="44"/>
  <c r="C873" i="44"/>
  <c r="D873" i="44"/>
  <c r="E873" i="44"/>
  <c r="C874" i="44"/>
  <c r="D874" i="44"/>
  <c r="E874" i="44"/>
  <c r="C875" i="44"/>
  <c r="D875" i="44"/>
  <c r="E875" i="44"/>
  <c r="C876" i="44"/>
  <c r="D876" i="44"/>
  <c r="E876" i="44"/>
  <c r="C877" i="44"/>
  <c r="D877" i="44"/>
  <c r="E877" i="44"/>
  <c r="C878" i="44"/>
  <c r="D878" i="44"/>
  <c r="E878" i="44"/>
  <c r="C879" i="44"/>
  <c r="D879" i="44"/>
  <c r="E879" i="44"/>
  <c r="C880" i="44"/>
  <c r="D880" i="44"/>
  <c r="E880" i="44"/>
  <c r="C881" i="44"/>
  <c r="D881" i="44"/>
  <c r="E881" i="44"/>
  <c r="C882" i="44"/>
  <c r="D882" i="44"/>
  <c r="E882" i="44"/>
  <c r="C883" i="44"/>
  <c r="D883" i="44"/>
  <c r="E883" i="44"/>
  <c r="C884" i="44"/>
  <c r="D884" i="44"/>
  <c r="E884" i="44"/>
  <c r="C885" i="44"/>
  <c r="D885" i="44"/>
  <c r="E885" i="44"/>
  <c r="C886" i="44"/>
  <c r="D886" i="44"/>
  <c r="E886" i="44"/>
  <c r="C887" i="44"/>
  <c r="D887" i="44"/>
  <c r="E887" i="44"/>
  <c r="C888" i="44"/>
  <c r="D888" i="44"/>
  <c r="E888" i="44"/>
  <c r="C889" i="44"/>
  <c r="D889" i="44"/>
  <c r="E889" i="44"/>
  <c r="C890" i="44"/>
  <c r="D890" i="44"/>
  <c r="E890" i="44"/>
  <c r="C891" i="44"/>
  <c r="D891" i="44"/>
  <c r="E891" i="44"/>
  <c r="C892" i="44"/>
  <c r="D892" i="44"/>
  <c r="E892" i="44"/>
  <c r="C893" i="44"/>
  <c r="D893" i="44"/>
  <c r="E893" i="44"/>
  <c r="C894" i="44"/>
  <c r="D894" i="44"/>
  <c r="E894" i="44"/>
  <c r="C895" i="44"/>
  <c r="D895" i="44"/>
  <c r="E895" i="44"/>
  <c r="C896" i="44"/>
  <c r="D896" i="44"/>
  <c r="E896" i="44"/>
  <c r="C897" i="44"/>
  <c r="D897" i="44"/>
  <c r="E897" i="44"/>
  <c r="C898" i="44"/>
  <c r="D898" i="44"/>
  <c r="E898" i="44"/>
  <c r="C899" i="44"/>
  <c r="D899" i="44"/>
  <c r="E899" i="44"/>
  <c r="C900" i="44"/>
  <c r="D900" i="44"/>
  <c r="E900" i="44"/>
  <c r="C901" i="44"/>
  <c r="D901" i="44"/>
  <c r="E901" i="44"/>
  <c r="C902" i="44"/>
  <c r="D902" i="44"/>
  <c r="E902" i="44"/>
  <c r="C903" i="44"/>
  <c r="D903" i="44"/>
  <c r="E903" i="44"/>
  <c r="C904" i="44"/>
  <c r="D904" i="44"/>
  <c r="E904" i="44"/>
  <c r="C905" i="44"/>
  <c r="D905" i="44"/>
  <c r="E905" i="44"/>
  <c r="C906" i="44"/>
  <c r="D906" i="44"/>
  <c r="E906" i="44"/>
  <c r="C907" i="44"/>
  <c r="D907" i="44"/>
  <c r="E907" i="44"/>
  <c r="C908" i="44"/>
  <c r="D908" i="44"/>
  <c r="E908" i="44"/>
  <c r="C909" i="44"/>
  <c r="D909" i="44"/>
  <c r="E909" i="44"/>
  <c r="C910" i="44"/>
  <c r="D910" i="44"/>
  <c r="E910" i="44"/>
  <c r="C911" i="44"/>
  <c r="D911" i="44"/>
  <c r="E911" i="44"/>
  <c r="C912" i="44"/>
  <c r="D912" i="44"/>
  <c r="E912" i="44"/>
  <c r="C913" i="44"/>
  <c r="D913" i="44"/>
  <c r="E913" i="44"/>
  <c r="C914" i="44"/>
  <c r="D914" i="44"/>
  <c r="E914" i="44"/>
  <c r="C915" i="44"/>
  <c r="D915" i="44"/>
  <c r="E915" i="44"/>
  <c r="C916" i="44"/>
  <c r="D916" i="44"/>
  <c r="E916" i="44"/>
  <c r="C917" i="44"/>
  <c r="D917" i="44"/>
  <c r="E917" i="44"/>
  <c r="C918" i="44"/>
  <c r="D918" i="44"/>
  <c r="E918" i="44"/>
  <c r="C919" i="44"/>
  <c r="D919" i="44"/>
  <c r="E919" i="44"/>
  <c r="C920" i="44"/>
  <c r="D920" i="44"/>
  <c r="E920" i="44"/>
  <c r="C921" i="44"/>
  <c r="D921" i="44"/>
  <c r="E921" i="44"/>
  <c r="C922" i="44"/>
  <c r="D922" i="44"/>
  <c r="E922" i="44"/>
  <c r="C923" i="44"/>
  <c r="D923" i="44"/>
  <c r="E923" i="44"/>
  <c r="C924" i="44"/>
  <c r="D924" i="44"/>
  <c r="E924" i="44"/>
  <c r="C925" i="44"/>
  <c r="D925" i="44"/>
  <c r="E925" i="44"/>
  <c r="C926" i="44"/>
  <c r="D926" i="44"/>
  <c r="E926" i="44"/>
  <c r="C927" i="44"/>
  <c r="D927" i="44"/>
  <c r="E927" i="44"/>
  <c r="C928" i="44"/>
  <c r="D928" i="44"/>
  <c r="E928" i="44"/>
  <c r="C929" i="44"/>
  <c r="D929" i="44"/>
  <c r="E929" i="44"/>
  <c r="C930" i="44"/>
  <c r="D930" i="44"/>
  <c r="E930" i="44"/>
  <c r="C931" i="44"/>
  <c r="D931" i="44"/>
  <c r="E931" i="44"/>
  <c r="C932" i="44"/>
  <c r="D932" i="44"/>
  <c r="E932" i="44"/>
  <c r="C933" i="44"/>
  <c r="D933" i="44"/>
  <c r="E933" i="44"/>
  <c r="C934" i="44"/>
  <c r="D934" i="44"/>
  <c r="E934" i="44"/>
  <c r="C935" i="44"/>
  <c r="D935" i="44"/>
  <c r="E935" i="44"/>
  <c r="C936" i="44"/>
  <c r="D936" i="44"/>
  <c r="E936" i="44"/>
  <c r="C937" i="44"/>
  <c r="D937" i="44"/>
  <c r="E937" i="44"/>
  <c r="C938" i="44"/>
  <c r="D938" i="44"/>
  <c r="E938" i="44"/>
  <c r="C939" i="44"/>
  <c r="D939" i="44"/>
  <c r="E939" i="44"/>
  <c r="C940" i="44"/>
  <c r="D940" i="44"/>
  <c r="E940" i="44"/>
  <c r="C941" i="44"/>
  <c r="D941" i="44"/>
  <c r="E941" i="44"/>
  <c r="C942" i="44"/>
  <c r="D942" i="44"/>
  <c r="E942" i="44"/>
  <c r="C943" i="44"/>
  <c r="D943" i="44"/>
  <c r="E943" i="44"/>
  <c r="C944" i="44"/>
  <c r="D944" i="44"/>
  <c r="E944" i="44"/>
  <c r="C945" i="44"/>
  <c r="D945" i="44"/>
  <c r="E945" i="44"/>
  <c r="C946" i="44"/>
  <c r="D946" i="44"/>
  <c r="E946" i="44"/>
  <c r="C947" i="44"/>
  <c r="D947" i="44"/>
  <c r="E947" i="44"/>
  <c r="C948" i="44"/>
  <c r="D948" i="44"/>
  <c r="E948" i="44"/>
  <c r="C949" i="44"/>
  <c r="D949" i="44"/>
  <c r="E949" i="44"/>
  <c r="C950" i="44"/>
  <c r="D950" i="44"/>
  <c r="E950" i="44"/>
  <c r="C951" i="44"/>
  <c r="D951" i="44"/>
  <c r="E951" i="44"/>
  <c r="C952" i="44"/>
  <c r="D952" i="44"/>
  <c r="E952" i="44"/>
  <c r="C953" i="44"/>
  <c r="D953" i="44"/>
  <c r="E953" i="44"/>
  <c r="C954" i="44"/>
  <c r="D954" i="44"/>
  <c r="E954" i="44"/>
  <c r="C955" i="44"/>
  <c r="D955" i="44"/>
  <c r="E955" i="44"/>
  <c r="C956" i="44"/>
  <c r="D956" i="44"/>
  <c r="E956" i="44"/>
  <c r="C957" i="44"/>
  <c r="D957" i="44"/>
  <c r="E957" i="44"/>
  <c r="C958" i="44"/>
  <c r="D958" i="44"/>
  <c r="E958" i="44"/>
  <c r="C959" i="44"/>
  <c r="D959" i="44"/>
  <c r="E959" i="44"/>
  <c r="C960" i="44"/>
  <c r="D960" i="44"/>
  <c r="E960" i="44"/>
  <c r="C961" i="44"/>
  <c r="D961" i="44"/>
  <c r="E961" i="44"/>
  <c r="C962" i="44"/>
  <c r="D962" i="44"/>
  <c r="E962" i="44"/>
  <c r="C963" i="44"/>
  <c r="D963" i="44"/>
  <c r="E963" i="44"/>
  <c r="C964" i="44"/>
  <c r="D964" i="44"/>
  <c r="E964" i="44"/>
  <c r="C965" i="44"/>
  <c r="D965" i="44"/>
  <c r="E965" i="44"/>
  <c r="C966" i="44"/>
  <c r="D966" i="44"/>
  <c r="E966" i="44"/>
  <c r="C967" i="44"/>
  <c r="D967" i="44"/>
  <c r="E967" i="44"/>
  <c r="C968" i="44"/>
  <c r="D968" i="44"/>
  <c r="E968" i="44"/>
  <c r="C969" i="44"/>
  <c r="D969" i="44"/>
  <c r="E969" i="44"/>
  <c r="C970" i="44"/>
  <c r="D970" i="44"/>
  <c r="E970" i="44"/>
  <c r="C971" i="44"/>
  <c r="D971" i="44"/>
  <c r="E971" i="44"/>
  <c r="C972" i="44"/>
  <c r="D972" i="44"/>
  <c r="E972" i="44"/>
  <c r="C973" i="44"/>
  <c r="D973" i="44"/>
  <c r="E973" i="44"/>
  <c r="C974" i="44"/>
  <c r="D974" i="44"/>
  <c r="E974" i="44"/>
  <c r="C975" i="44"/>
  <c r="D975" i="44"/>
  <c r="E975" i="44"/>
  <c r="C976" i="44"/>
  <c r="D976" i="44"/>
  <c r="E976" i="44"/>
  <c r="C977" i="44"/>
  <c r="D977" i="44"/>
  <c r="E977" i="44"/>
  <c r="C978" i="44"/>
  <c r="D978" i="44"/>
  <c r="E978" i="44"/>
  <c r="C979" i="44"/>
  <c r="D979" i="44"/>
  <c r="E979" i="44"/>
  <c r="C980" i="44"/>
  <c r="D980" i="44"/>
  <c r="E980" i="44"/>
  <c r="C981" i="44"/>
  <c r="D981" i="44"/>
  <c r="E981" i="44"/>
  <c r="C982" i="44"/>
  <c r="D982" i="44"/>
  <c r="E982" i="44"/>
  <c r="C983" i="44"/>
  <c r="D983" i="44"/>
  <c r="E983" i="44"/>
  <c r="C984" i="44"/>
  <c r="D984" i="44"/>
  <c r="E984" i="44"/>
  <c r="C985" i="44"/>
  <c r="D985" i="44"/>
  <c r="E985" i="44"/>
  <c r="C986" i="44"/>
  <c r="D986" i="44"/>
  <c r="E986" i="44"/>
  <c r="C987" i="44"/>
  <c r="D987" i="44"/>
  <c r="E987" i="44"/>
  <c r="C988" i="44"/>
  <c r="D988" i="44"/>
  <c r="E988" i="44"/>
  <c r="C989" i="44"/>
  <c r="D989" i="44"/>
  <c r="E989" i="44"/>
  <c r="C990" i="44"/>
  <c r="D990" i="44"/>
  <c r="E990" i="44"/>
  <c r="C991" i="44"/>
  <c r="D991" i="44"/>
  <c r="E991" i="44"/>
  <c r="C992" i="44"/>
  <c r="D992" i="44"/>
  <c r="E992" i="44"/>
  <c r="C993" i="44"/>
  <c r="D993" i="44"/>
  <c r="E993" i="44"/>
  <c r="C994" i="44"/>
  <c r="D994" i="44"/>
  <c r="E994" i="44"/>
  <c r="C995" i="44"/>
  <c r="D995" i="44"/>
  <c r="E995" i="44"/>
  <c r="C996" i="44"/>
  <c r="D996" i="44"/>
  <c r="E996" i="44"/>
  <c r="C997" i="44"/>
  <c r="D997" i="44"/>
  <c r="E997" i="44"/>
  <c r="C998" i="44"/>
  <c r="D998" i="44"/>
  <c r="E998" i="44"/>
  <c r="C999" i="44"/>
  <c r="D999" i="44"/>
  <c r="E999" i="44"/>
  <c r="C1000" i="44"/>
  <c r="D1000" i="44"/>
  <c r="E1000" i="44"/>
  <c r="C1001" i="44"/>
  <c r="D1001" i="44"/>
  <c r="E1001" i="44"/>
  <c r="C1002" i="44"/>
  <c r="D1002" i="44"/>
  <c r="E1002" i="44"/>
  <c r="C1003" i="44"/>
  <c r="D1003" i="44"/>
  <c r="E1003" i="44"/>
  <c r="C1004" i="44"/>
  <c r="D1004" i="44"/>
  <c r="E1004" i="44"/>
  <c r="C1005" i="44"/>
  <c r="D1005" i="44"/>
  <c r="E1005" i="44"/>
  <c r="C1006" i="44"/>
  <c r="D1006" i="44"/>
  <c r="E1006" i="44"/>
  <c r="C1007" i="44"/>
  <c r="D1007" i="44"/>
  <c r="E1007" i="44"/>
  <c r="C1008" i="44"/>
  <c r="D1008" i="44"/>
  <c r="E1008" i="44"/>
  <c r="C1009" i="44"/>
  <c r="D1009" i="44"/>
  <c r="E1009" i="44"/>
  <c r="C1010" i="44"/>
  <c r="D1010" i="44"/>
  <c r="E1010" i="44"/>
  <c r="C1011" i="44"/>
  <c r="D1011" i="44"/>
  <c r="E1011" i="44"/>
  <c r="C1012" i="44"/>
  <c r="D1012" i="44"/>
  <c r="E1012" i="44"/>
  <c r="C1013" i="44"/>
  <c r="D1013" i="44"/>
  <c r="E1013" i="44"/>
  <c r="C1014" i="44"/>
  <c r="D1014" i="44"/>
  <c r="E1014" i="44"/>
  <c r="C1015" i="44"/>
  <c r="D1015" i="44"/>
  <c r="E1015" i="44"/>
  <c r="C1016" i="44"/>
  <c r="D1016" i="44"/>
  <c r="E1016" i="44"/>
  <c r="C1017" i="44"/>
  <c r="D1017" i="44"/>
  <c r="E1017" i="44"/>
  <c r="C1018" i="44"/>
  <c r="D1018" i="44"/>
  <c r="E1018" i="44"/>
  <c r="C1019" i="44"/>
  <c r="D1019" i="44"/>
  <c r="E1019" i="44"/>
  <c r="C1020" i="44"/>
  <c r="D1020" i="44"/>
  <c r="E1020" i="44"/>
  <c r="C1021" i="44"/>
  <c r="D1021" i="44"/>
  <c r="E1021" i="44"/>
  <c r="C1022" i="44"/>
  <c r="D1022" i="44"/>
  <c r="E1022" i="44"/>
  <c r="C1023" i="44"/>
  <c r="D1023" i="44"/>
  <c r="E1023" i="44"/>
  <c r="C1024" i="44"/>
  <c r="D1024" i="44"/>
  <c r="E1024" i="44"/>
  <c r="C1025" i="44"/>
  <c r="D1025" i="44"/>
  <c r="E1025" i="44"/>
  <c r="C1026" i="44"/>
  <c r="D1026" i="44"/>
  <c r="E1026" i="44"/>
  <c r="C1027" i="44"/>
  <c r="D1027" i="44"/>
  <c r="E1027" i="44"/>
  <c r="C1028" i="44"/>
  <c r="D1028" i="44"/>
  <c r="E1028" i="44"/>
  <c r="C1029" i="44"/>
  <c r="D1029" i="44"/>
  <c r="E1029" i="44"/>
  <c r="C1030" i="44"/>
  <c r="D1030" i="44"/>
  <c r="E1030" i="44"/>
  <c r="C1031" i="44"/>
  <c r="D1031" i="44"/>
  <c r="E1031" i="44"/>
  <c r="C1032" i="44"/>
  <c r="D1032" i="44"/>
  <c r="E1032" i="44"/>
  <c r="C1033" i="44"/>
  <c r="D1033" i="44"/>
  <c r="E1033" i="44"/>
  <c r="C1034" i="44"/>
  <c r="D1034" i="44"/>
  <c r="E1034" i="44"/>
  <c r="C1035" i="44"/>
  <c r="D1035" i="44"/>
  <c r="E1035" i="44"/>
  <c r="C1036" i="44"/>
  <c r="D1036" i="44"/>
  <c r="E1036" i="44"/>
  <c r="C1037" i="44"/>
  <c r="D1037" i="44"/>
  <c r="E1037" i="44"/>
  <c r="C1038" i="44"/>
  <c r="D1038" i="44"/>
  <c r="E1038" i="44"/>
  <c r="C1039" i="44"/>
  <c r="D1039" i="44"/>
  <c r="E1039" i="44"/>
  <c r="C1040" i="44"/>
  <c r="D1040" i="44"/>
  <c r="E1040" i="44"/>
  <c r="C1041" i="44"/>
  <c r="D1041" i="44"/>
  <c r="E1041" i="44"/>
  <c r="C1042" i="44"/>
  <c r="D1042" i="44"/>
  <c r="E1042" i="44"/>
  <c r="C1043" i="44"/>
  <c r="D1043" i="44"/>
  <c r="E1043" i="44"/>
  <c r="C1044" i="44"/>
  <c r="D1044" i="44"/>
  <c r="E1044" i="44"/>
  <c r="C1045" i="44"/>
  <c r="D1045" i="44"/>
  <c r="E1045" i="44"/>
  <c r="C1046" i="44"/>
  <c r="D1046" i="44"/>
  <c r="E1046" i="44"/>
  <c r="C1047" i="44"/>
  <c r="D1047" i="44"/>
  <c r="E1047" i="44"/>
  <c r="C1048" i="44"/>
  <c r="D1048" i="44"/>
  <c r="E1048" i="44"/>
  <c r="C1049" i="44"/>
  <c r="D1049" i="44"/>
  <c r="E1049" i="44"/>
  <c r="C1050" i="44"/>
  <c r="D1050" i="44"/>
  <c r="E1050" i="44"/>
  <c r="C1051" i="44"/>
  <c r="D1051" i="44"/>
  <c r="E1051" i="44"/>
  <c r="C1052" i="44"/>
  <c r="D1052" i="44"/>
  <c r="E1052" i="44"/>
  <c r="C1053" i="44"/>
  <c r="D1053" i="44"/>
  <c r="E1053" i="44"/>
  <c r="C1054" i="44"/>
  <c r="D1054" i="44"/>
  <c r="E1054" i="44"/>
  <c r="C1055" i="44"/>
  <c r="D1055" i="44"/>
  <c r="E1055" i="44"/>
  <c r="C1056" i="44"/>
  <c r="D1056" i="44"/>
  <c r="E1056" i="44"/>
  <c r="C1057" i="44"/>
  <c r="D1057" i="44"/>
  <c r="E1057" i="44"/>
  <c r="C1058" i="44"/>
  <c r="D1058" i="44"/>
  <c r="E1058" i="44"/>
  <c r="C1059" i="44"/>
  <c r="D1059" i="44"/>
  <c r="E1059" i="44"/>
  <c r="C1060" i="44"/>
  <c r="D1060" i="44"/>
  <c r="E1060" i="44"/>
  <c r="C1061" i="44"/>
  <c r="D1061" i="44"/>
  <c r="E1061" i="44"/>
  <c r="C1062" i="44"/>
  <c r="D1062" i="44"/>
  <c r="E1062" i="44"/>
  <c r="C1063" i="44"/>
  <c r="D1063" i="44"/>
  <c r="E1063" i="44"/>
  <c r="C1064" i="44"/>
  <c r="D1064" i="44"/>
  <c r="E1064" i="44"/>
  <c r="C1065" i="44"/>
  <c r="D1065" i="44"/>
  <c r="E1065" i="44"/>
  <c r="C1066" i="44"/>
  <c r="D1066" i="44"/>
  <c r="E1066" i="44"/>
  <c r="C1067" i="44"/>
  <c r="D1067" i="44"/>
  <c r="E1067" i="44"/>
  <c r="C1068" i="44"/>
  <c r="D1068" i="44"/>
  <c r="E1068" i="44"/>
  <c r="C1069" i="44"/>
  <c r="D1069" i="44"/>
  <c r="E1069" i="44"/>
  <c r="C1070" i="44"/>
  <c r="D1070" i="44"/>
  <c r="E1070" i="44"/>
  <c r="C1071" i="44"/>
  <c r="D1071" i="44"/>
  <c r="E1071" i="44"/>
  <c r="C1072" i="44"/>
  <c r="D1072" i="44"/>
  <c r="E1072" i="44"/>
  <c r="C1073" i="44"/>
  <c r="D1073" i="44"/>
  <c r="E1073" i="44"/>
  <c r="C1074" i="44"/>
  <c r="D1074" i="44"/>
  <c r="E1074" i="44"/>
  <c r="C1075" i="44"/>
  <c r="D1075" i="44"/>
  <c r="E1075" i="44"/>
  <c r="C1076" i="44"/>
  <c r="D1076" i="44"/>
  <c r="E1076" i="44"/>
  <c r="C1077" i="44"/>
  <c r="D1077" i="44"/>
  <c r="E1077" i="44"/>
  <c r="C1078" i="44"/>
  <c r="D1078" i="44"/>
  <c r="E1078" i="44"/>
  <c r="C1079" i="44"/>
  <c r="D1079" i="44"/>
  <c r="E1079" i="44"/>
  <c r="C1080" i="44"/>
  <c r="D1080" i="44"/>
  <c r="E1080" i="44"/>
  <c r="C1081" i="44"/>
  <c r="D1081" i="44"/>
  <c r="E1081" i="44"/>
  <c r="C1082" i="44"/>
  <c r="D1082" i="44"/>
  <c r="E1082" i="44"/>
  <c r="C1083" i="44"/>
  <c r="D1083" i="44"/>
  <c r="E1083" i="44"/>
  <c r="C1084" i="44"/>
  <c r="D1084" i="44"/>
  <c r="E1084" i="44"/>
  <c r="C1085" i="44"/>
  <c r="D1085" i="44"/>
  <c r="E1085" i="44"/>
  <c r="C1086" i="44"/>
  <c r="D1086" i="44"/>
  <c r="E1086" i="44"/>
  <c r="C1087" i="44"/>
  <c r="D1087" i="44"/>
  <c r="E1087" i="44"/>
  <c r="C1088" i="44"/>
  <c r="D1088" i="44"/>
  <c r="E1088" i="44"/>
  <c r="C1089" i="44"/>
  <c r="D1089" i="44"/>
  <c r="E1089" i="44"/>
  <c r="C1090" i="44"/>
  <c r="D1090" i="44"/>
  <c r="E1090" i="44"/>
  <c r="C1091" i="44"/>
  <c r="D1091" i="44"/>
  <c r="E1091" i="44"/>
  <c r="C1092" i="44"/>
  <c r="D1092" i="44"/>
  <c r="E1092" i="44"/>
  <c r="C1093" i="44"/>
  <c r="D1093" i="44"/>
  <c r="E1093" i="44"/>
  <c r="C1094" i="44"/>
  <c r="D1094" i="44"/>
  <c r="E1094" i="44"/>
  <c r="C1095" i="44"/>
  <c r="D1095" i="44"/>
  <c r="E1095" i="44"/>
  <c r="C1096" i="44"/>
  <c r="D1096" i="44"/>
  <c r="E1096" i="44"/>
  <c r="C1097" i="44"/>
  <c r="D1097" i="44"/>
  <c r="E1097" i="44"/>
  <c r="C1098" i="44"/>
  <c r="D1098" i="44"/>
  <c r="E1098" i="44"/>
  <c r="C1099" i="44"/>
  <c r="D1099" i="44"/>
  <c r="E1099" i="44"/>
  <c r="C1100" i="44"/>
  <c r="D1100" i="44"/>
  <c r="E1100" i="44"/>
  <c r="C1101" i="44"/>
  <c r="D1101" i="44"/>
  <c r="E1101" i="44"/>
  <c r="C1102" i="44"/>
  <c r="D1102" i="44"/>
  <c r="E1102" i="44"/>
  <c r="C1103" i="44"/>
  <c r="D1103" i="44"/>
  <c r="E1103" i="44"/>
  <c r="C1104" i="44"/>
  <c r="D1104" i="44"/>
  <c r="E1104" i="44"/>
  <c r="C1105" i="44"/>
  <c r="D1105" i="44"/>
  <c r="E1105" i="44"/>
  <c r="C1106" i="44"/>
  <c r="D1106" i="44"/>
  <c r="E1106" i="44"/>
  <c r="C1107" i="44"/>
  <c r="D1107" i="44"/>
  <c r="E1107" i="44"/>
  <c r="C1108" i="44"/>
  <c r="D1108" i="44"/>
  <c r="E1108" i="44"/>
  <c r="C1109" i="44"/>
  <c r="D1109" i="44"/>
  <c r="E1109" i="44"/>
  <c r="C1110" i="44"/>
  <c r="D1110" i="44"/>
  <c r="E1110" i="44"/>
  <c r="C1111" i="44"/>
  <c r="D1111" i="44"/>
  <c r="E1111" i="44"/>
  <c r="C1112" i="44"/>
  <c r="D1112" i="44"/>
  <c r="E1112" i="44"/>
  <c r="C1113" i="44"/>
  <c r="D1113" i="44"/>
  <c r="E1113" i="44"/>
  <c r="C1114" i="44"/>
  <c r="D1114" i="44"/>
  <c r="E1114" i="44"/>
  <c r="C1115" i="44"/>
  <c r="D1115" i="44"/>
  <c r="E1115" i="44"/>
  <c r="C1116" i="44"/>
  <c r="D1116" i="44"/>
  <c r="E1116" i="44"/>
  <c r="C1117" i="44"/>
  <c r="D1117" i="44"/>
  <c r="E1117" i="44"/>
  <c r="C1118" i="44"/>
  <c r="D1118" i="44"/>
  <c r="E1118" i="44"/>
  <c r="C1119" i="44"/>
  <c r="D1119" i="44"/>
  <c r="E1119" i="44"/>
  <c r="C1120" i="44"/>
  <c r="D1120" i="44"/>
  <c r="E1120" i="44"/>
  <c r="C1121" i="44"/>
  <c r="D1121" i="44"/>
  <c r="E1121" i="44"/>
  <c r="C1122" i="44"/>
  <c r="D1122" i="44"/>
  <c r="E1122" i="44"/>
  <c r="C1123" i="44"/>
  <c r="D1123" i="44"/>
  <c r="E1123" i="44"/>
  <c r="C1124" i="44"/>
  <c r="D1124" i="44"/>
  <c r="E1124" i="44"/>
  <c r="C1125" i="44"/>
  <c r="D1125" i="44"/>
  <c r="E1125" i="44"/>
  <c r="C1126" i="44"/>
  <c r="D1126" i="44"/>
  <c r="E1126" i="44"/>
  <c r="C1127" i="44"/>
  <c r="D1127" i="44"/>
  <c r="E1127" i="44"/>
  <c r="C1128" i="44"/>
  <c r="D1128" i="44"/>
  <c r="E1128" i="44"/>
  <c r="C1129" i="44"/>
  <c r="D1129" i="44"/>
  <c r="E1129" i="44"/>
  <c r="C1130" i="44"/>
  <c r="D1130" i="44"/>
  <c r="E1130" i="44"/>
  <c r="C1131" i="44"/>
  <c r="D1131" i="44"/>
  <c r="E1131" i="44"/>
  <c r="C1132" i="44"/>
  <c r="D1132" i="44"/>
  <c r="E1132" i="44"/>
  <c r="C1133" i="44"/>
  <c r="D1133" i="44"/>
  <c r="E1133" i="44"/>
  <c r="C1134" i="44"/>
  <c r="D1134" i="44"/>
  <c r="E1134" i="44"/>
  <c r="C1135" i="44"/>
  <c r="D1135" i="44"/>
  <c r="E1135" i="44"/>
  <c r="C1136" i="44"/>
  <c r="D1136" i="44"/>
  <c r="E1136" i="44"/>
  <c r="C1137" i="44"/>
  <c r="D1137" i="44"/>
  <c r="E1137" i="44"/>
  <c r="C1138" i="44"/>
  <c r="D1138" i="44"/>
  <c r="E1138" i="44"/>
  <c r="C1139" i="44"/>
  <c r="D1139" i="44"/>
  <c r="E1139" i="44"/>
  <c r="C1140" i="44"/>
  <c r="D1140" i="44"/>
  <c r="E1140" i="44"/>
  <c r="C1141" i="44"/>
  <c r="D1141" i="44"/>
  <c r="E1141" i="44"/>
  <c r="C1142" i="44"/>
  <c r="D1142" i="44"/>
  <c r="E1142" i="44"/>
  <c r="C1143" i="44"/>
  <c r="D1143" i="44"/>
  <c r="E1143" i="44"/>
  <c r="C1144" i="44"/>
  <c r="D1144" i="44"/>
  <c r="E1144" i="44"/>
  <c r="C1145" i="44"/>
  <c r="D1145" i="44"/>
  <c r="E1145" i="44"/>
  <c r="C1146" i="44"/>
  <c r="D1146" i="44"/>
  <c r="E1146" i="44"/>
  <c r="C1147" i="44"/>
  <c r="D1147" i="44"/>
  <c r="E1147" i="44"/>
  <c r="C1148" i="44"/>
  <c r="D1148" i="44"/>
  <c r="E1148" i="44"/>
  <c r="C1149" i="44"/>
  <c r="D1149" i="44"/>
  <c r="E1149" i="44"/>
  <c r="C1150" i="44"/>
  <c r="D1150" i="44"/>
  <c r="E1150" i="44"/>
  <c r="C1151" i="44"/>
  <c r="D1151" i="44"/>
  <c r="E1151" i="44"/>
  <c r="C1152" i="44"/>
  <c r="D1152" i="44"/>
  <c r="E1152" i="44"/>
  <c r="C1153" i="44"/>
  <c r="D1153" i="44"/>
  <c r="E1153" i="44"/>
  <c r="C1154" i="44"/>
  <c r="D1154" i="44"/>
  <c r="E1154" i="44"/>
  <c r="C1155" i="44"/>
  <c r="D1155" i="44"/>
  <c r="E1155" i="44"/>
  <c r="C1156" i="44"/>
  <c r="D1156" i="44"/>
  <c r="E1156" i="44"/>
  <c r="C1157" i="44"/>
  <c r="D1157" i="44"/>
  <c r="E1157" i="44"/>
  <c r="C1158" i="44"/>
  <c r="D1158" i="44"/>
  <c r="E1158" i="44"/>
  <c r="C1159" i="44"/>
  <c r="D1159" i="44"/>
  <c r="E1159" i="44"/>
  <c r="C584" i="44"/>
  <c r="D584" i="44"/>
  <c r="E584" i="44"/>
  <c r="A354" i="44"/>
  <c r="A934" i="44" s="1"/>
  <c r="B176" i="44"/>
  <c r="B756" i="44" s="1"/>
  <c r="A29" i="44"/>
  <c r="A30" i="44"/>
  <c r="A31" i="44"/>
  <c r="A32" i="44"/>
  <c r="A33" i="44"/>
  <c r="A34" i="44"/>
  <c r="A35" i="44"/>
  <c r="A36" i="44"/>
  <c r="A37" i="44"/>
  <c r="A617" i="44" s="1"/>
  <c r="A38" i="44"/>
  <c r="A39" i="44"/>
  <c r="A40" i="44"/>
  <c r="A620" i="44" s="1"/>
  <c r="A41" i="44"/>
  <c r="A42" i="44"/>
  <c r="A43" i="44"/>
  <c r="B43" i="44" s="1"/>
  <c r="B623" i="44" s="1"/>
  <c r="A44" i="44"/>
  <c r="A45" i="44"/>
  <c r="A625" i="44" s="1"/>
  <c r="A46" i="44"/>
  <c r="B46" i="44" s="1"/>
  <c r="B626" i="44" s="1"/>
  <c r="A47" i="44"/>
  <c r="A48" i="44"/>
  <c r="A336" i="44" s="1"/>
  <c r="A49" i="44"/>
  <c r="A50" i="44"/>
  <c r="A51" i="44"/>
  <c r="A52" i="44"/>
  <c r="A53" i="44"/>
  <c r="A633" i="44" s="1"/>
  <c r="A54" i="44"/>
  <c r="A55" i="44"/>
  <c r="A56" i="44"/>
  <c r="A57" i="44"/>
  <c r="A58" i="44"/>
  <c r="A59" i="44"/>
  <c r="A60" i="44"/>
  <c r="A61" i="44"/>
  <c r="A62" i="44"/>
  <c r="A63" i="44"/>
  <c r="A643" i="44" s="1"/>
  <c r="A64" i="44"/>
  <c r="A644" i="44" s="1"/>
  <c r="A65" i="44"/>
  <c r="A645" i="44" s="1"/>
  <c r="A66" i="44"/>
  <c r="B66" i="44" s="1"/>
  <c r="B646" i="44" s="1"/>
  <c r="A67" i="44"/>
  <c r="A647" i="44" s="1"/>
  <c r="A68" i="44"/>
  <c r="A356" i="44" s="1"/>
  <c r="A69" i="44"/>
  <c r="A649" i="44" s="1"/>
  <c r="A70" i="44"/>
  <c r="A650" i="44" s="1"/>
  <c r="A71" i="44"/>
  <c r="A72" i="44"/>
  <c r="A73" i="44"/>
  <c r="A653" i="44" s="1"/>
  <c r="A74" i="44"/>
  <c r="A75" i="44"/>
  <c r="A76" i="44"/>
  <c r="A77" i="44"/>
  <c r="A78" i="44"/>
  <c r="A79" i="44"/>
  <c r="A659" i="44" s="1"/>
  <c r="A80" i="44"/>
  <c r="A660" i="44" s="1"/>
  <c r="A81" i="44"/>
  <c r="A82" i="44"/>
  <c r="A83" i="44"/>
  <c r="A84" i="44"/>
  <c r="A85" i="44"/>
  <c r="A665" i="44" s="1"/>
  <c r="A86" i="44"/>
  <c r="B86" i="44" s="1"/>
  <c r="B666" i="44" s="1"/>
  <c r="A87" i="44"/>
  <c r="A88" i="44"/>
  <c r="B88" i="44" s="1"/>
  <c r="B668" i="44" s="1"/>
  <c r="A89" i="44"/>
  <c r="A377" i="44" s="1"/>
  <c r="A90" i="44"/>
  <c r="A378" i="44" s="1"/>
  <c r="A91" i="44"/>
  <c r="B91" i="44" s="1"/>
  <c r="B671" i="44" s="1"/>
  <c r="A92" i="44"/>
  <c r="A93" i="44"/>
  <c r="A94" i="44"/>
  <c r="A95" i="44"/>
  <c r="A96" i="44"/>
  <c r="A97" i="44"/>
  <c r="A98" i="44"/>
  <c r="A678" i="44" s="1"/>
  <c r="A99" i="44"/>
  <c r="A100" i="44"/>
  <c r="A101" i="44"/>
  <c r="A102" i="44"/>
  <c r="A103" i="44"/>
  <c r="A104" i="44"/>
  <c r="A684" i="44" s="1"/>
  <c r="A105" i="44"/>
  <c r="A106" i="44"/>
  <c r="A686" i="44" s="1"/>
  <c r="A107" i="44"/>
  <c r="A108" i="44"/>
  <c r="A109" i="44"/>
  <c r="A110" i="44"/>
  <c r="A111" i="44"/>
  <c r="A112" i="44"/>
  <c r="B112" i="44" s="1"/>
  <c r="B692" i="44" s="1"/>
  <c r="A113" i="44"/>
  <c r="A693" i="44" s="1"/>
  <c r="A114" i="44"/>
  <c r="A115" i="44"/>
  <c r="A695" i="44" s="1"/>
  <c r="A116" i="44"/>
  <c r="A117" i="44"/>
  <c r="A118" i="44"/>
  <c r="A119" i="44"/>
  <c r="A120" i="44"/>
  <c r="A121" i="44"/>
  <c r="A701" i="44" s="1"/>
  <c r="A122" i="44"/>
  <c r="A123" i="44"/>
  <c r="A703" i="44" s="1"/>
  <c r="A124" i="44"/>
  <c r="A704" i="44" s="1"/>
  <c r="A125" i="44"/>
  <c r="A126" i="44"/>
  <c r="A127" i="44"/>
  <c r="A128" i="44"/>
  <c r="A129" i="44"/>
  <c r="A709" i="44" s="1"/>
  <c r="A130" i="44"/>
  <c r="A131" i="44"/>
  <c r="A132" i="44"/>
  <c r="A420" i="44" s="1"/>
  <c r="A133" i="44"/>
  <c r="A713" i="44" s="1"/>
  <c r="A134" i="44"/>
  <c r="A135" i="44"/>
  <c r="A423" i="44" s="1"/>
  <c r="A1003" i="44" s="1"/>
  <c r="A136" i="44"/>
  <c r="A424" i="44" s="1"/>
  <c r="A1004" i="44" s="1"/>
  <c r="A137" i="44"/>
  <c r="A138" i="44"/>
  <c r="A139" i="44"/>
  <c r="A427" i="44" s="1"/>
  <c r="A140" i="44"/>
  <c r="A141" i="44"/>
  <c r="A142" i="44"/>
  <c r="A722" i="44" s="1"/>
  <c r="A143" i="44"/>
  <c r="A144" i="44"/>
  <c r="A145" i="44"/>
  <c r="A146" i="44"/>
  <c r="A147" i="44"/>
  <c r="A727" i="44" s="1"/>
  <c r="A148" i="44"/>
  <c r="A728" i="44" s="1"/>
  <c r="A149" i="44"/>
  <c r="A150" i="44"/>
  <c r="A151" i="44"/>
  <c r="A731" i="44" s="1"/>
  <c r="A152" i="44"/>
  <c r="A732" i="44" s="1"/>
  <c r="A153" i="44"/>
  <c r="A154" i="44"/>
  <c r="A155" i="44"/>
  <c r="A156" i="44"/>
  <c r="A157" i="44"/>
  <c r="A158" i="44"/>
  <c r="A159" i="44"/>
  <c r="A160" i="44"/>
  <c r="A740" i="44" s="1"/>
  <c r="A161" i="44"/>
  <c r="A162" i="44"/>
  <c r="A742" i="44" s="1"/>
  <c r="A163" i="44"/>
  <c r="A164" i="44"/>
  <c r="A165" i="44"/>
  <c r="A166" i="44"/>
  <c r="A167" i="44"/>
  <c r="A168" i="44"/>
  <c r="A169" i="44"/>
  <c r="A170" i="44"/>
  <c r="A171" i="44"/>
  <c r="A751" i="44" s="1"/>
  <c r="A172" i="44"/>
  <c r="A173" i="44"/>
  <c r="A174" i="44"/>
  <c r="B174" i="44" s="1"/>
  <c r="B754" i="44" s="1"/>
  <c r="A175" i="44"/>
  <c r="A176" i="44"/>
  <c r="A177" i="44"/>
  <c r="B177" i="44" s="1"/>
  <c r="B757" i="44" s="1"/>
  <c r="A178" i="44"/>
  <c r="A758" i="44" s="1"/>
  <c r="A179" i="44"/>
  <c r="B179" i="44" s="1"/>
  <c r="B759" i="44" s="1"/>
  <c r="A180" i="44"/>
  <c r="A181" i="44"/>
  <c r="A761" i="44" s="1"/>
  <c r="A182" i="44"/>
  <c r="A183" i="44"/>
  <c r="A184" i="44"/>
  <c r="A185" i="44"/>
  <c r="A186" i="44"/>
  <c r="A766" i="44" s="1"/>
  <c r="A187" i="44"/>
  <c r="A767" i="44" s="1"/>
  <c r="A188" i="44"/>
  <c r="A189" i="44"/>
  <c r="A190" i="44"/>
  <c r="A191" i="44"/>
  <c r="A192" i="44"/>
  <c r="A193" i="44"/>
  <c r="A194" i="44"/>
  <c r="A195" i="44"/>
  <c r="A196" i="44"/>
  <c r="A776" i="44" s="1"/>
  <c r="A197" i="44"/>
  <c r="B197" i="44" s="1"/>
  <c r="B777" i="44" s="1"/>
  <c r="A198" i="44"/>
  <c r="A199" i="44"/>
  <c r="A779" i="44" s="1"/>
  <c r="A200" i="44"/>
  <c r="A201" i="44"/>
  <c r="B201" i="44" s="1"/>
  <c r="B781" i="44" s="1"/>
  <c r="A202" i="44"/>
  <c r="A203" i="44"/>
  <c r="A204" i="44"/>
  <c r="A784" i="44" s="1"/>
  <c r="A205" i="44"/>
  <c r="A785" i="44" s="1"/>
  <c r="A206" i="44"/>
  <c r="A786" i="44" s="1"/>
  <c r="A207" i="44"/>
  <c r="A208" i="44"/>
  <c r="A209" i="44"/>
  <c r="A789" i="44" s="1"/>
  <c r="A210" i="44"/>
  <c r="A211" i="44"/>
  <c r="A791" i="44" s="1"/>
  <c r="A212" i="44"/>
  <c r="A213" i="44"/>
  <c r="A214" i="44"/>
  <c r="A215" i="44"/>
  <c r="A795" i="44" s="1"/>
  <c r="A216" i="44"/>
  <c r="A217" i="44"/>
  <c r="A218" i="44"/>
  <c r="B218" i="44" s="1"/>
  <c r="B798" i="44" s="1"/>
  <c r="A219" i="44"/>
  <c r="A220" i="44"/>
  <c r="A221" i="44"/>
  <c r="A222" i="44"/>
  <c r="A223" i="44"/>
  <c r="A224" i="44"/>
  <c r="A225" i="44"/>
  <c r="A226" i="44"/>
  <c r="A227" i="44"/>
  <c r="A228" i="44"/>
  <c r="A229" i="44"/>
  <c r="A230" i="44"/>
  <c r="A810" i="44" s="1"/>
  <c r="A231" i="44"/>
  <c r="A232" i="44"/>
  <c r="A233" i="44"/>
  <c r="A234" i="44"/>
  <c r="A235" i="44"/>
  <c r="A815" i="44" s="1"/>
  <c r="A236" i="44"/>
  <c r="A237" i="44"/>
  <c r="A238" i="44"/>
  <c r="A239" i="44"/>
  <c r="A819" i="44" s="1"/>
  <c r="A240" i="44"/>
  <c r="A241" i="44"/>
  <c r="A242" i="44"/>
  <c r="A243" i="44"/>
  <c r="A244" i="44"/>
  <c r="A245" i="44"/>
  <c r="A246" i="44"/>
  <c r="A247" i="44"/>
  <c r="A248" i="44"/>
  <c r="A249" i="44"/>
  <c r="A250" i="44"/>
  <c r="A538" i="44" s="1"/>
  <c r="A251" i="44"/>
  <c r="A252" i="44"/>
  <c r="A832" i="44" s="1"/>
  <c r="A253" i="44"/>
  <c r="A833" i="44" s="1"/>
  <c r="A254" i="44"/>
  <c r="A255" i="44"/>
  <c r="A256" i="44"/>
  <c r="A257" i="44"/>
  <c r="A258" i="44"/>
  <c r="A259" i="44"/>
  <c r="A260" i="44"/>
  <c r="A548" i="44" s="1"/>
  <c r="A261" i="44"/>
  <c r="A262" i="44"/>
  <c r="A263" i="44"/>
  <c r="A264" i="44"/>
  <c r="A844" i="44" s="1"/>
  <c r="A265" i="44"/>
  <c r="A266" i="44"/>
  <c r="B266" i="44" s="1"/>
  <c r="B846" i="44" s="1"/>
  <c r="A267" i="44"/>
  <c r="A268" i="44"/>
  <c r="A848" i="44" s="1"/>
  <c r="A269" i="44"/>
  <c r="A270" i="44"/>
  <c r="A271" i="44"/>
  <c r="A851" i="44" s="1"/>
  <c r="A272" i="44"/>
  <c r="A273" i="44"/>
  <c r="A274" i="44"/>
  <c r="A275" i="44"/>
  <c r="A276" i="44"/>
  <c r="A277" i="44"/>
  <c r="A278" i="44"/>
  <c r="A279" i="44"/>
  <c r="A280" i="44"/>
  <c r="A281" i="44"/>
  <c r="A282" i="44"/>
  <c r="A862" i="44" s="1"/>
  <c r="A283" i="44"/>
  <c r="A863" i="44" s="1"/>
  <c r="A284" i="44"/>
  <c r="A285" i="44"/>
  <c r="B285" i="44" s="1"/>
  <c r="B865" i="44" s="1"/>
  <c r="A286" i="44"/>
  <c r="A866" i="44" s="1"/>
  <c r="A287" i="44"/>
  <c r="A867" i="44" s="1"/>
  <c r="A288" i="44"/>
  <c r="A868" i="44" s="1"/>
  <c r="A289" i="44"/>
  <c r="A290" i="44"/>
  <c r="A291" i="44"/>
  <c r="A5" i="44"/>
  <c r="A6" i="44"/>
  <c r="A586" i="44" s="1"/>
  <c r="A7" i="44"/>
  <c r="A587" i="44" s="1"/>
  <c r="A8" i="44"/>
  <c r="A9" i="44"/>
  <c r="A10" i="44"/>
  <c r="A11" i="44"/>
  <c r="A591" i="44" s="1"/>
  <c r="A12" i="44"/>
  <c r="A13" i="44"/>
  <c r="A14" i="44"/>
  <c r="A15" i="44"/>
  <c r="A16" i="44"/>
  <c r="A17" i="44"/>
  <c r="A597" i="44" s="1"/>
  <c r="A18" i="44"/>
  <c r="A19" i="44"/>
  <c r="A599" i="44" s="1"/>
  <c r="A20" i="44"/>
  <c r="A21" i="44"/>
  <c r="A601" i="44" s="1"/>
  <c r="A22" i="44"/>
  <c r="A23" i="44"/>
  <c r="B23" i="44" s="1"/>
  <c r="B603" i="44" s="1"/>
  <c r="A24" i="44"/>
  <c r="A25" i="44"/>
  <c r="A26" i="44"/>
  <c r="A27" i="44"/>
  <c r="A28" i="44"/>
  <c r="A4" i="44"/>
  <c r="E42" i="43"/>
  <c r="F22" i="47"/>
  <c r="F23" i="47"/>
  <c r="F24" i="47"/>
  <c r="F25" i="47"/>
  <c r="F26" i="47"/>
  <c r="F27" i="47"/>
  <c r="F28" i="47"/>
  <c r="F29" i="47"/>
  <c r="F30" i="47"/>
  <c r="F31" i="47"/>
  <c r="F32" i="47"/>
  <c r="F21" i="47"/>
  <c r="E22" i="47"/>
  <c r="E23" i="47"/>
  <c r="E24" i="47"/>
  <c r="E25" i="47"/>
  <c r="E32" i="47"/>
  <c r="B22" i="47"/>
  <c r="C22" i="47"/>
  <c r="D22" i="47"/>
  <c r="B23" i="47"/>
  <c r="C23" i="47"/>
  <c r="D23" i="47"/>
  <c r="I23" i="47" s="1"/>
  <c r="B24" i="47"/>
  <c r="C24" i="47"/>
  <c r="D24" i="47" s="1"/>
  <c r="B25" i="47"/>
  <c r="C25" i="47"/>
  <c r="D25" i="47"/>
  <c r="B26" i="47"/>
  <c r="D26" i="47" s="1"/>
  <c r="E26" i="47" s="1"/>
  <c r="C26" i="47"/>
  <c r="B27" i="47"/>
  <c r="D27" i="47" s="1"/>
  <c r="E27" i="47" s="1"/>
  <c r="C27" i="47"/>
  <c r="B28" i="47"/>
  <c r="C28" i="47"/>
  <c r="D28" i="47"/>
  <c r="E28" i="47" s="1"/>
  <c r="B29" i="47"/>
  <c r="C29" i="47"/>
  <c r="B30" i="47"/>
  <c r="C30" i="47"/>
  <c r="B31" i="47"/>
  <c r="C31" i="47"/>
  <c r="B32" i="47"/>
  <c r="C32" i="47"/>
  <c r="D32" i="47"/>
  <c r="C21" i="47"/>
  <c r="B21" i="47"/>
  <c r="D21" i="47" s="1"/>
  <c r="A514" i="44" l="1"/>
  <c r="B226" i="44"/>
  <c r="B806" i="44" s="1"/>
  <c r="A674" i="44"/>
  <c r="A470" i="44"/>
  <c r="A1050" i="44" s="1"/>
  <c r="A762" i="44"/>
  <c r="A361" i="44"/>
  <c r="A941" i="44" s="1"/>
  <c r="B287" i="44"/>
  <c r="B867" i="44" s="1"/>
  <c r="A781" i="44"/>
  <c r="A824" i="44"/>
  <c r="A489" i="44"/>
  <c r="A716" i="44"/>
  <c r="A532" i="44"/>
  <c r="A806" i="44"/>
  <c r="A421" i="44"/>
  <c r="A382" i="44"/>
  <c r="A958" i="44"/>
  <c r="A1128" i="44"/>
  <c r="A957" i="44"/>
  <c r="A1118" i="44"/>
  <c r="A916" i="44"/>
  <c r="A705" i="44"/>
  <c r="A726" i="44"/>
  <c r="A747" i="44"/>
  <c r="A676" i="44"/>
  <c r="A362" i="44"/>
  <c r="A654" i="44"/>
  <c r="A608" i="44"/>
  <c r="A829" i="44"/>
  <c r="A515" i="44"/>
  <c r="A807" i="44"/>
  <c r="A471" i="44"/>
  <c r="B471" i="44" s="1"/>
  <c r="B1051" i="44" s="1"/>
  <c r="A763" i="44"/>
  <c r="A449" i="44"/>
  <c r="A741" i="44"/>
  <c r="A719" i="44"/>
  <c r="A697" i="44"/>
  <c r="A383" i="44"/>
  <c r="A675" i="44"/>
  <c r="A317" i="44"/>
  <c r="B317" i="44" s="1"/>
  <c r="B897" i="44" s="1"/>
  <c r="A609" i="44"/>
  <c r="B15" i="44"/>
  <c r="B595" i="44" s="1"/>
  <c r="A595" i="44"/>
  <c r="A748" i="44"/>
  <c r="A432" i="44"/>
  <c r="A724" i="44"/>
  <c r="A700" i="44"/>
  <c r="A831" i="44"/>
  <c r="A655" i="44"/>
  <c r="A852" i="44"/>
  <c r="A516" i="44"/>
  <c r="B516" i="44" s="1"/>
  <c r="B1096" i="44" s="1"/>
  <c r="A808" i="44"/>
  <c r="A720" i="44"/>
  <c r="B27" i="44"/>
  <c r="B607" i="44" s="1"/>
  <c r="A607" i="44"/>
  <c r="B5" i="44"/>
  <c r="B585" i="44" s="1"/>
  <c r="A585" i="44"/>
  <c r="B270" i="44"/>
  <c r="B850" i="44" s="1"/>
  <c r="A850" i="44"/>
  <c r="A828" i="44"/>
  <c r="A426" i="44"/>
  <c r="A718" i="44"/>
  <c r="A696" i="44"/>
  <c r="A360" i="44"/>
  <c r="A652" i="44"/>
  <c r="A630" i="44"/>
  <c r="B248" i="44"/>
  <c r="B828" i="44" s="1"/>
  <c r="A772" i="44"/>
  <c r="B77" i="44"/>
  <c r="B657" i="44" s="1"/>
  <c r="A657" i="44"/>
  <c r="B9" i="44"/>
  <c r="B589" i="44" s="1"/>
  <c r="A589" i="44"/>
  <c r="A425" i="44"/>
  <c r="A717" i="44"/>
  <c r="B224" i="44"/>
  <c r="B804" i="44" s="1"/>
  <c r="A804" i="44"/>
  <c r="A380" i="44"/>
  <c r="A672" i="44"/>
  <c r="B47" i="44"/>
  <c r="B627" i="44" s="1"/>
  <c r="A627" i="44"/>
  <c r="A809" i="44"/>
  <c r="B35" i="44"/>
  <c r="B615" i="44" s="1"/>
  <c r="A615" i="44"/>
  <c r="A658" i="44"/>
  <c r="A745" i="44"/>
  <c r="A557" i="44"/>
  <c r="B93" i="44"/>
  <c r="B673" i="44" s="1"/>
  <c r="A673" i="44"/>
  <c r="A849" i="44"/>
  <c r="B24" i="44"/>
  <c r="B604" i="44" s="1"/>
  <c r="A604" i="44"/>
  <c r="A715" i="44"/>
  <c r="A444" i="44"/>
  <c r="B444" i="44" s="1"/>
  <c r="B1024" i="44" s="1"/>
  <c r="A736" i="44"/>
  <c r="B156" i="44"/>
  <c r="B736" i="44" s="1"/>
  <c r="A618" i="44"/>
  <c r="A771" i="44"/>
  <c r="A813" i="44"/>
  <c r="B123" i="44"/>
  <c r="B703" i="44" s="1"/>
  <c r="B188" i="44"/>
  <c r="B768" i="44" s="1"/>
  <c r="A768" i="44"/>
  <c r="B230" i="44"/>
  <c r="B810" i="44" s="1"/>
  <c r="B54" i="44"/>
  <c r="B634" i="44" s="1"/>
  <c r="A634" i="44"/>
  <c r="B119" i="44"/>
  <c r="B699" i="44" s="1"/>
  <c r="A699" i="44"/>
  <c r="A314" i="44"/>
  <c r="B314" i="44" s="1"/>
  <c r="B894" i="44" s="1"/>
  <c r="A606" i="44"/>
  <c r="B290" i="44"/>
  <c r="B870" i="44" s="1"/>
  <c r="A870" i="44"/>
  <c r="A782" i="44"/>
  <c r="A488" i="44"/>
  <c r="A780" i="44"/>
  <c r="B90" i="44"/>
  <c r="B670" i="44" s="1"/>
  <c r="A670" i="44"/>
  <c r="A845" i="44"/>
  <c r="A531" i="44"/>
  <c r="B531" i="44" s="1"/>
  <c r="B1111" i="44" s="1"/>
  <c r="A823" i="44"/>
  <c r="A465" i="44"/>
  <c r="B465" i="44" s="1"/>
  <c r="B1045" i="44" s="1"/>
  <c r="A443" i="44"/>
  <c r="A735" i="44"/>
  <c r="A691" i="44"/>
  <c r="B89" i="44"/>
  <c r="B669" i="44" s="1"/>
  <c r="B45" i="44"/>
  <c r="B625" i="44" s="1"/>
  <c r="B155" i="44"/>
  <c r="B735" i="44" s="1"/>
  <c r="A335" i="44"/>
  <c r="A837" i="44"/>
  <c r="A814" i="44"/>
  <c r="A855" i="44"/>
  <c r="A386" i="44"/>
  <c r="B386" i="44" s="1"/>
  <c r="B966" i="44" s="1"/>
  <c r="A579" i="44"/>
  <c r="A871" i="44"/>
  <c r="A491" i="44"/>
  <c r="A783" i="44"/>
  <c r="A359" i="44"/>
  <c r="A651" i="44"/>
  <c r="A534" i="44"/>
  <c r="A826" i="44"/>
  <c r="A446" i="44"/>
  <c r="A847" i="44"/>
  <c r="A467" i="44"/>
  <c r="B467" i="44" s="1"/>
  <c r="B1047" i="44" s="1"/>
  <c r="A759" i="44"/>
  <c r="A357" i="44"/>
  <c r="B357" i="44" s="1"/>
  <c r="B937" i="44" s="1"/>
  <c r="A603" i="44"/>
  <c r="B222" i="44"/>
  <c r="B802" i="44" s="1"/>
  <c r="A802" i="44"/>
  <c r="A422" i="44"/>
  <c r="B422" i="44" s="1"/>
  <c r="B1002" i="44" s="1"/>
  <c r="A714" i="44"/>
  <c r="B68" i="44"/>
  <c r="B648" i="44" s="1"/>
  <c r="A648" i="44"/>
  <c r="B202" i="44"/>
  <c r="B782" i="44" s="1"/>
  <c r="A575" i="44"/>
  <c r="B221" i="44"/>
  <c r="B801" i="44" s="1"/>
  <c r="B21" i="44"/>
  <c r="B601" i="44" s="1"/>
  <c r="A530" i="44"/>
  <c r="B530" i="44" s="1"/>
  <c r="B1110" i="44" s="1"/>
  <c r="A822" i="44"/>
  <c r="A800" i="44"/>
  <c r="A486" i="44"/>
  <c r="A778" i="44"/>
  <c r="A464" i="44"/>
  <c r="A756" i="44"/>
  <c r="A734" i="44"/>
  <c r="A712" i="44"/>
  <c r="A690" i="44"/>
  <c r="A668" i="44"/>
  <c r="A624" i="44"/>
  <c r="B144" i="44"/>
  <c r="B724" i="44" s="1"/>
  <c r="B200" i="44"/>
  <c r="B780" i="44" s="1"/>
  <c r="A333" i="44"/>
  <c r="A738" i="44"/>
  <c r="A610" i="44"/>
  <c r="A750" i="44"/>
  <c r="B279" i="44"/>
  <c r="B859" i="44" s="1"/>
  <c r="A639" i="44"/>
  <c r="A592" i="44"/>
  <c r="A681" i="44"/>
  <c r="A564" i="44"/>
  <c r="A856" i="44"/>
  <c r="A344" i="44"/>
  <c r="B344" i="44" s="1"/>
  <c r="B924" i="44" s="1"/>
  <c r="A636" i="44"/>
  <c r="B231" i="44"/>
  <c r="B811" i="44" s="1"/>
  <c r="A811" i="44"/>
  <c r="A474" i="44"/>
  <c r="B474" i="44" s="1"/>
  <c r="B1054" i="44" s="1"/>
  <c r="A296" i="44"/>
  <c r="A588" i="44"/>
  <c r="A733" i="44"/>
  <c r="B131" i="44"/>
  <c r="B711" i="44" s="1"/>
  <c r="A711" i="44"/>
  <c r="B87" i="44"/>
  <c r="B667" i="44" s="1"/>
  <c r="A667" i="44"/>
  <c r="B65" i="44"/>
  <c r="B645" i="44" s="1"/>
  <c r="B135" i="44"/>
  <c r="B715" i="44" s="1"/>
  <c r="B198" i="44"/>
  <c r="B778" i="44" s="1"/>
  <c r="A332" i="44"/>
  <c r="B332" i="44" s="1"/>
  <c r="B912" i="44" s="1"/>
  <c r="A827" i="44"/>
  <c r="A801" i="44"/>
  <c r="A679" i="44"/>
  <c r="A616" i="44"/>
  <c r="A793" i="44"/>
  <c r="B189" i="44"/>
  <c r="B769" i="44" s="1"/>
  <c r="A769" i="44"/>
  <c r="A739" i="44"/>
  <c r="B263" i="44"/>
  <c r="B843" i="44" s="1"/>
  <c r="A843" i="44"/>
  <c r="A754" i="44"/>
  <c r="B108" i="44"/>
  <c r="B688" i="44" s="1"/>
  <c r="A688" i="44"/>
  <c r="A622" i="44"/>
  <c r="B134" i="44"/>
  <c r="B714" i="44" s="1"/>
  <c r="A311" i="44"/>
  <c r="A692" i="44"/>
  <c r="A628" i="44"/>
  <c r="A816" i="44"/>
  <c r="A858" i="44"/>
  <c r="B80" i="44"/>
  <c r="B660" i="44" s="1"/>
  <c r="A1007" i="44"/>
  <c r="A498" i="44"/>
  <c r="A790" i="44"/>
  <c r="B143" i="44"/>
  <c r="B723" i="44" s="1"/>
  <c r="A723" i="44"/>
  <c r="B141" i="44"/>
  <c r="B721" i="44" s="1"/>
  <c r="A721" i="44"/>
  <c r="B245" i="44"/>
  <c r="B825" i="44" s="1"/>
  <c r="A825" i="44"/>
  <c r="B204" i="44"/>
  <c r="B784" i="44" s="1"/>
  <c r="A554" i="44"/>
  <c r="B554" i="44" s="1"/>
  <c r="B1134" i="44" s="1"/>
  <c r="A846" i="44"/>
  <c r="B20" i="44"/>
  <c r="B600" i="44" s="1"/>
  <c r="A600" i="44"/>
  <c r="B219" i="44"/>
  <c r="B799" i="44" s="1"/>
  <c r="A799" i="44"/>
  <c r="A842" i="44"/>
  <c r="A710" i="44"/>
  <c r="A666" i="44"/>
  <c r="A598" i="44"/>
  <c r="B261" i="44"/>
  <c r="B841" i="44" s="1"/>
  <c r="A841" i="44"/>
  <c r="A527" i="44"/>
  <c r="B527" i="44" s="1"/>
  <c r="B1107" i="44" s="1"/>
  <c r="A775" i="44"/>
  <c r="B173" i="44"/>
  <c r="B753" i="44" s="1"/>
  <c r="A753" i="44"/>
  <c r="A687" i="44"/>
  <c r="A329" i="44"/>
  <c r="B132" i="44"/>
  <c r="B712" i="44" s="1"/>
  <c r="A853" i="44"/>
  <c r="A820" i="44"/>
  <c r="A757" i="44"/>
  <c r="A838" i="44"/>
  <c r="A706" i="44"/>
  <c r="A792" i="44"/>
  <c r="A682" i="44"/>
  <c r="B255" i="44"/>
  <c r="B835" i="44" s="1"/>
  <c r="A835" i="44"/>
  <c r="B57" i="44"/>
  <c r="B637" i="44" s="1"/>
  <c r="A637" i="44"/>
  <c r="A834" i="44"/>
  <c r="A787" i="44"/>
  <c r="B53" i="44"/>
  <c r="B633" i="44" s="1"/>
  <c r="A513" i="44"/>
  <c r="A805" i="44"/>
  <c r="B150" i="44"/>
  <c r="B730" i="44" s="1"/>
  <c r="A730" i="44"/>
  <c r="A416" i="44"/>
  <c r="B416" i="44" s="1"/>
  <c r="B996" i="44" s="1"/>
  <c r="A708" i="44"/>
  <c r="A372" i="44"/>
  <c r="A664" i="44"/>
  <c r="B62" i="44"/>
  <c r="B642" i="44" s="1"/>
  <c r="A642" i="44"/>
  <c r="B113" i="44"/>
  <c r="B693" i="44" s="1"/>
  <c r="A1000" i="44"/>
  <c r="A859" i="44"/>
  <c r="A646" i="44"/>
  <c r="A594" i="44"/>
  <c r="B81" i="44"/>
  <c r="B661" i="44" s="1"/>
  <c r="A661" i="44"/>
  <c r="A770" i="44"/>
  <c r="A702" i="44"/>
  <c r="A744" i="44"/>
  <c r="A612" i="44"/>
  <c r="A765" i="44"/>
  <c r="A629" i="44"/>
  <c r="A760" i="44"/>
  <c r="A694" i="44"/>
  <c r="A936" i="44"/>
  <c r="B289" i="44"/>
  <c r="B869" i="44" s="1"/>
  <c r="A865" i="44"/>
  <c r="A777" i="44"/>
  <c r="A864" i="44"/>
  <c r="A798" i="44"/>
  <c r="B152" i="44"/>
  <c r="B732" i="44" s="1"/>
  <c r="A570" i="44"/>
  <c r="B570" i="44" s="1"/>
  <c r="B1150" i="44" s="1"/>
  <c r="B260" i="44"/>
  <c r="B840" i="44" s="1"/>
  <c r="A840" i="44"/>
  <c r="A818" i="44"/>
  <c r="A504" i="44"/>
  <c r="A796" i="44"/>
  <c r="A774" i="44"/>
  <c r="A569" i="44"/>
  <c r="B569" i="44" s="1"/>
  <c r="B1149" i="44" s="1"/>
  <c r="A861" i="44"/>
  <c r="A525" i="44"/>
  <c r="B525" i="44" s="1"/>
  <c r="B1105" i="44" s="1"/>
  <c r="A817" i="44"/>
  <c r="A503" i="44"/>
  <c r="B503" i="44" s="1"/>
  <c r="B1083" i="44" s="1"/>
  <c r="B171" i="44"/>
  <c r="B751" i="44" s="1"/>
  <c r="A437" i="44"/>
  <c r="A729" i="44"/>
  <c r="A685" i="44"/>
  <c r="B83" i="44"/>
  <c r="B663" i="44" s="1"/>
  <c r="A327" i="44"/>
  <c r="B327" i="44" s="1"/>
  <c r="B907" i="44" s="1"/>
  <c r="B39" i="44"/>
  <c r="B619" i="44" s="1"/>
  <c r="A537" i="44"/>
  <c r="B537" i="44" s="1"/>
  <c r="B1117" i="44" s="1"/>
  <c r="A640" i="44"/>
  <c r="A621" i="44"/>
  <c r="B33" i="44"/>
  <c r="B613" i="44" s="1"/>
  <c r="A613" i="44"/>
  <c r="A304" i="44"/>
  <c r="B193" i="44"/>
  <c r="B773" i="44" s="1"/>
  <c r="A773" i="44"/>
  <c r="A839" i="44"/>
  <c r="A415" i="44"/>
  <c r="B415" i="44" s="1"/>
  <c r="B995" i="44" s="1"/>
  <c r="A707" i="44"/>
  <c r="A349" i="44"/>
  <c r="A641" i="44"/>
  <c r="A860" i="44"/>
  <c r="A794" i="44"/>
  <c r="B82" i="44"/>
  <c r="B662" i="44" s="1"/>
  <c r="A662" i="44"/>
  <c r="A547" i="44"/>
  <c r="A596" i="44"/>
  <c r="A812" i="44"/>
  <c r="A454" i="44"/>
  <c r="A746" i="44"/>
  <c r="A388" i="44"/>
  <c r="A680" i="44"/>
  <c r="A635" i="44"/>
  <c r="A614" i="44"/>
  <c r="B10" i="44"/>
  <c r="B590" i="44" s="1"/>
  <c r="A590" i="44"/>
  <c r="B121" i="44"/>
  <c r="B701" i="44" s="1"/>
  <c r="A593" i="44"/>
  <c r="A836" i="44"/>
  <c r="A749" i="44"/>
  <c r="A857" i="44"/>
  <c r="A725" i="44"/>
  <c r="B79" i="44"/>
  <c r="B659" i="44" s="1"/>
  <c r="B163" i="44"/>
  <c r="B743" i="44" s="1"/>
  <c r="A743" i="44"/>
  <c r="B97" i="44"/>
  <c r="B677" i="44" s="1"/>
  <c r="A677" i="44"/>
  <c r="A611" i="44"/>
  <c r="A584" i="44"/>
  <c r="B274" i="44"/>
  <c r="B854" i="44" s="1"/>
  <c r="A854" i="44"/>
  <c r="A364" i="44"/>
  <c r="B364" i="44" s="1"/>
  <c r="B944" i="44" s="1"/>
  <c r="A830" i="44"/>
  <c r="A698" i="44"/>
  <c r="A638" i="44"/>
  <c r="B142" i="44"/>
  <c r="B722" i="44" s="1"/>
  <c r="A656" i="44"/>
  <c r="A632" i="44"/>
  <c r="A788" i="44"/>
  <c r="A472" i="44"/>
  <c r="B472" i="44" s="1"/>
  <c r="B1052" i="44" s="1"/>
  <c r="A764" i="44"/>
  <c r="A1094" i="44"/>
  <c r="B244" i="44"/>
  <c r="B824" i="44" s="1"/>
  <c r="A466" i="44"/>
  <c r="B178" i="44"/>
  <c r="B758" i="44" s="1"/>
  <c r="A400" i="44"/>
  <c r="A334" i="44"/>
  <c r="A626" i="44"/>
  <c r="A683" i="44"/>
  <c r="B22" i="44"/>
  <c r="B602" i="44" s="1"/>
  <c r="A487" i="44"/>
  <c r="B487" i="44" s="1"/>
  <c r="B1067" i="44" s="1"/>
  <c r="B67" i="44"/>
  <c r="B647" i="44" s="1"/>
  <c r="A574" i="44"/>
  <c r="B574" i="44" s="1"/>
  <c r="B1154" i="44" s="1"/>
  <c r="B286" i="44"/>
  <c r="B866" i="44" s="1"/>
  <c r="B175" i="44"/>
  <c r="B755" i="44" s="1"/>
  <c r="A755" i="44"/>
  <c r="B130" i="44"/>
  <c r="B710" i="44" s="1"/>
  <c r="B64" i="44"/>
  <c r="B644" i="44" s="1"/>
  <c r="B241" i="44"/>
  <c r="B821" i="44" s="1"/>
  <c r="A821" i="44"/>
  <c r="A623" i="44"/>
  <c r="B19" i="44"/>
  <c r="B599" i="44" s="1"/>
  <c r="A307" i="44"/>
  <c r="B307" i="44" s="1"/>
  <c r="B887" i="44" s="1"/>
  <c r="B133" i="44"/>
  <c r="B713" i="44" s="1"/>
  <c r="A752" i="44"/>
  <c r="A602" i="44"/>
  <c r="A442" i="44"/>
  <c r="B442" i="44" s="1"/>
  <c r="B1022" i="44" s="1"/>
  <c r="A689" i="44"/>
  <c r="B196" i="44"/>
  <c r="B776" i="44" s="1"/>
  <c r="B172" i="44"/>
  <c r="B752" i="44" s="1"/>
  <c r="A394" i="44"/>
  <c r="A328" i="44"/>
  <c r="B328" i="44" s="1"/>
  <c r="B908" i="44" s="1"/>
  <c r="B199" i="44"/>
  <c r="B779" i="44" s="1"/>
  <c r="A797" i="44"/>
  <c r="A316" i="44"/>
  <c r="A559" i="44"/>
  <c r="A493" i="44"/>
  <c r="A448" i="44"/>
  <c r="A535" i="44"/>
  <c r="A469" i="44"/>
  <c r="A337" i="44"/>
  <c r="B25" i="44"/>
  <c r="B605" i="44" s="1"/>
  <c r="A556" i="44"/>
  <c r="A358" i="44"/>
  <c r="B358" i="44" s="1"/>
  <c r="B938" i="44" s="1"/>
  <c r="A577" i="44"/>
  <c r="A511" i="44"/>
  <c r="B511" i="44" s="1"/>
  <c r="B1091" i="44" s="1"/>
  <c r="B157" i="44"/>
  <c r="B737" i="44" s="1"/>
  <c r="A379" i="44"/>
  <c r="B379" i="44" s="1"/>
  <c r="B959" i="44" s="1"/>
  <c r="A869" i="44"/>
  <c r="A803" i="44"/>
  <c r="A737" i="44"/>
  <c r="A671" i="44"/>
  <c r="A605" i="44"/>
  <c r="A417" i="44"/>
  <c r="B417" i="44" s="1"/>
  <c r="B997" i="44" s="1"/>
  <c r="B129" i="44"/>
  <c r="B709" i="44" s="1"/>
  <c r="A373" i="44"/>
  <c r="B373" i="44" s="1"/>
  <c r="B953" i="44" s="1"/>
  <c r="B85" i="44"/>
  <c r="B665" i="44" s="1"/>
  <c r="B18" i="44"/>
  <c r="B598" i="44" s="1"/>
  <c r="A306" i="44"/>
  <c r="B306" i="44" s="1"/>
  <c r="B886" i="44" s="1"/>
  <c r="B217" i="44"/>
  <c r="B797" i="44" s="1"/>
  <c r="A439" i="44"/>
  <c r="B151" i="44"/>
  <c r="B731" i="44" s="1"/>
  <c r="A395" i="44"/>
  <c r="B107" i="44"/>
  <c r="B687" i="44" s="1"/>
  <c r="B63" i="44"/>
  <c r="B643" i="44" s="1"/>
  <c r="A351" i="44"/>
  <c r="B351" i="44" s="1"/>
  <c r="B931" i="44" s="1"/>
  <c r="A549" i="44"/>
  <c r="A482" i="44"/>
  <c r="A350" i="44"/>
  <c r="B216" i="44"/>
  <c r="B796" i="44" s="1"/>
  <c r="B127" i="44"/>
  <c r="B707" i="44" s="1"/>
  <c r="B282" i="44"/>
  <c r="B862" i="44" s="1"/>
  <c r="B106" i="44"/>
  <c r="B686" i="44" s="1"/>
  <c r="B159" i="44"/>
  <c r="B739" i="44" s="1"/>
  <c r="A403" i="44"/>
  <c r="B403" i="44" s="1"/>
  <c r="B983" i="44" s="1"/>
  <c r="B115" i="44"/>
  <c r="B695" i="44" s="1"/>
  <c r="B84" i="44"/>
  <c r="B664" i="44" s="1"/>
  <c r="A393" i="44"/>
  <c r="B105" i="44"/>
  <c r="B685" i="44" s="1"/>
  <c r="A371" i="44"/>
  <c r="B371" i="44" s="1"/>
  <c r="B951" i="44" s="1"/>
  <c r="A459" i="44"/>
  <c r="B17" i="44"/>
  <c r="B597" i="44" s="1"/>
  <c r="A305" i="44"/>
  <c r="B305" i="44" s="1"/>
  <c r="B885" i="44" s="1"/>
  <c r="A481" i="44"/>
  <c r="B128" i="44"/>
  <c r="B708" i="44" s="1"/>
  <c r="B61" i="44"/>
  <c r="B641" i="44" s="1"/>
  <c r="A450" i="44"/>
  <c r="A310" i="44"/>
  <c r="B223" i="44"/>
  <c r="B803" i="44" s="1"/>
  <c r="B233" i="44"/>
  <c r="B813" i="44" s="1"/>
  <c r="B192" i="44"/>
  <c r="B772" i="44" s="1"/>
  <c r="A480" i="44"/>
  <c r="B480" i="44" s="1"/>
  <c r="B1060" i="44" s="1"/>
  <c r="B126" i="44"/>
  <c r="B706" i="44" s="1"/>
  <c r="A414" i="44"/>
  <c r="A302" i="44"/>
  <c r="B14" i="44"/>
  <c r="B594" i="44" s="1"/>
  <c r="B213" i="44"/>
  <c r="B793" i="44" s="1"/>
  <c r="A501" i="44"/>
  <c r="A566" i="44"/>
  <c r="B190" i="44"/>
  <c r="B770" i="44" s="1"/>
  <c r="A478" i="44"/>
  <c r="A370" i="44"/>
  <c r="B236" i="44"/>
  <c r="B816" i="44" s="1"/>
  <c r="A524" i="44"/>
  <c r="B148" i="44"/>
  <c r="B728" i="44" s="1"/>
  <c r="A326" i="44"/>
  <c r="B326" i="44" s="1"/>
  <c r="B906" i="44" s="1"/>
  <c r="B38" i="44"/>
  <c r="B618" i="44" s="1"/>
  <c r="B257" i="44"/>
  <c r="B837" i="44" s="1"/>
  <c r="A545" i="44"/>
  <c r="B169" i="44"/>
  <c r="B749" i="44" s="1"/>
  <c r="A457" i="44"/>
  <c r="B457" i="44" s="1"/>
  <c r="B1037" i="44" s="1"/>
  <c r="B103" i="44"/>
  <c r="B683" i="44" s="1"/>
  <c r="A391" i="44"/>
  <c r="A544" i="44"/>
  <c r="B256" i="44"/>
  <c r="B836" i="44" s="1"/>
  <c r="A456" i="44"/>
  <c r="B168" i="44"/>
  <c r="B748" i="44" s="1"/>
  <c r="B146" i="44"/>
  <c r="B726" i="44" s="1"/>
  <c r="A434" i="44"/>
  <c r="A390" i="44"/>
  <c r="B102" i="44"/>
  <c r="B682" i="44" s="1"/>
  <c r="A303" i="44"/>
  <c r="A546" i="44"/>
  <c r="B170" i="44"/>
  <c r="B750" i="44" s="1"/>
  <c r="A458" i="44"/>
  <c r="B458" i="44" s="1"/>
  <c r="B1038" i="44" s="1"/>
  <c r="A348" i="44"/>
  <c r="B60" i="44"/>
  <c r="B640" i="44" s="1"/>
  <c r="A567" i="44"/>
  <c r="B567" i="44" s="1"/>
  <c r="B1147" i="44" s="1"/>
  <c r="B278" i="44"/>
  <c r="B858" i="44" s="1"/>
  <c r="B37" i="44"/>
  <c r="B617" i="44" s="1"/>
  <c r="A325" i="44"/>
  <c r="B234" i="44"/>
  <c r="B814" i="44" s="1"/>
  <c r="A522" i="44"/>
  <c r="A346" i="44"/>
  <c r="B58" i="44"/>
  <c r="B638" i="44" s="1"/>
  <c r="A369" i="44"/>
  <c r="B147" i="44"/>
  <c r="B727" i="44" s="1"/>
  <c r="A435" i="44"/>
  <c r="B280" i="44"/>
  <c r="B860" i="44" s="1"/>
  <c r="A568" i="44"/>
  <c r="B214" i="44"/>
  <c r="B794" i="44" s="1"/>
  <c r="A502" i="44"/>
  <c r="B502" i="44" s="1"/>
  <c r="B1082" i="44" s="1"/>
  <c r="A392" i="44"/>
  <c r="B104" i="44"/>
  <c r="B684" i="44" s="1"/>
  <c r="A436" i="44"/>
  <c r="B235" i="44"/>
  <c r="B815" i="44" s="1"/>
  <c r="A523" i="44"/>
  <c r="B191" i="44"/>
  <c r="B771" i="44" s="1"/>
  <c r="A479" i="44"/>
  <c r="B125" i="44"/>
  <c r="B705" i="44" s="1"/>
  <c r="A413" i="44"/>
  <c r="B59" i="44"/>
  <c r="B639" i="44" s="1"/>
  <c r="A347" i="44"/>
  <c r="A301" i="44"/>
  <c r="B13" i="44"/>
  <c r="B593" i="44" s="1"/>
  <c r="B212" i="44"/>
  <c r="B792" i="44" s="1"/>
  <c r="A500" i="44"/>
  <c r="B124" i="44"/>
  <c r="B704" i="44" s="1"/>
  <c r="A412" i="44"/>
  <c r="A324" i="44"/>
  <c r="B36" i="44"/>
  <c r="B616" i="44" s="1"/>
  <c r="A368" i="44"/>
  <c r="A299" i="44"/>
  <c r="B11" i="44"/>
  <c r="B591" i="44" s="1"/>
  <c r="A520" i="44"/>
  <c r="B232" i="44"/>
  <c r="B812" i="44" s="1"/>
  <c r="B432" i="44"/>
  <c r="B1012" i="44" s="1"/>
  <c r="A366" i="44"/>
  <c r="B366" i="44" s="1"/>
  <c r="B946" i="44" s="1"/>
  <c r="B78" i="44"/>
  <c r="B658" i="44" s="1"/>
  <c r="B164" i="44"/>
  <c r="B744" i="44" s="1"/>
  <c r="A452" i="44"/>
  <c r="B56" i="44"/>
  <c r="B636" i="44" s="1"/>
  <c r="A410" i="44"/>
  <c r="B122" i="44"/>
  <c r="B702" i="44" s="1"/>
  <c r="B34" i="44"/>
  <c r="B614" i="44" s="1"/>
  <c r="A542" i="44"/>
  <c r="B254" i="44"/>
  <c r="B834" i="44" s="1"/>
  <c r="A408" i="44"/>
  <c r="B120" i="44"/>
  <c r="B700" i="44" s="1"/>
  <c r="A476" i="44"/>
  <c r="A518" i="44"/>
  <c r="B276" i="44"/>
  <c r="B856" i="44" s="1"/>
  <c r="B100" i="44"/>
  <c r="B680" i="44" s="1"/>
  <c r="B210" i="44"/>
  <c r="B790" i="44" s="1"/>
  <c r="B166" i="44"/>
  <c r="B746" i="44" s="1"/>
  <c r="A355" i="44"/>
  <c r="B246" i="44"/>
  <c r="B826" i="44" s="1"/>
  <c r="B243" i="44"/>
  <c r="B823" i="44" s="1"/>
  <c r="B264" i="44"/>
  <c r="B844" i="44" s="1"/>
  <c r="A508" i="44"/>
  <c r="B220" i="44"/>
  <c r="B800" i="44" s="1"/>
  <c r="A398" i="44"/>
  <c r="B398" i="44" s="1"/>
  <c r="B978" i="44" s="1"/>
  <c r="B110" i="44"/>
  <c r="B690" i="44" s="1"/>
  <c r="A578" i="44"/>
  <c r="B578" i="44" s="1"/>
  <c r="B1158" i="44" s="1"/>
  <c r="B265" i="44"/>
  <c r="B845" i="44" s="1"/>
  <c r="B109" i="44"/>
  <c r="B689" i="44" s="1"/>
  <c r="A510" i="44"/>
  <c r="B262" i="44"/>
  <c r="B842" i="44" s="1"/>
  <c r="A571" i="44"/>
  <c r="B571" i="44" s="1"/>
  <c r="B1151" i="44" s="1"/>
  <c r="A483" i="44"/>
  <c r="B195" i="44"/>
  <c r="B775" i="44" s="1"/>
  <c r="A526" i="44"/>
  <c r="B526" i="44" s="1"/>
  <c r="B1106" i="44" s="1"/>
  <c r="B194" i="44"/>
  <c r="B774" i="44" s="1"/>
  <c r="A576" i="44"/>
  <c r="A399" i="44"/>
  <c r="B111" i="44"/>
  <c r="B691" i="44" s="1"/>
  <c r="A512" i="44"/>
  <c r="A509" i="44"/>
  <c r="B149" i="44"/>
  <c r="B729" i="44" s="1"/>
  <c r="B288" i="44"/>
  <c r="B868" i="44" s="1"/>
  <c r="A553" i="44"/>
  <c r="A438" i="44"/>
  <c r="B438" i="44" s="1"/>
  <c r="B1018" i="44" s="1"/>
  <c r="A533" i="44"/>
  <c r="B533" i="44" s="1"/>
  <c r="B1113" i="44" s="1"/>
  <c r="A536" i="44"/>
  <c r="B536" i="44" s="1"/>
  <c r="B1116" i="44" s="1"/>
  <c r="B493" i="44"/>
  <c r="B1073" i="44" s="1"/>
  <c r="B556" i="44"/>
  <c r="B1136" i="44" s="1"/>
  <c r="B446" i="44"/>
  <c r="B1026" i="44" s="1"/>
  <c r="B380" i="44"/>
  <c r="B960" i="44" s="1"/>
  <c r="B488" i="44"/>
  <c r="B1068" i="44" s="1"/>
  <c r="B336" i="44"/>
  <c r="B916" i="44" s="1"/>
  <c r="B557" i="44"/>
  <c r="B1137" i="44" s="1"/>
  <c r="B518" i="44"/>
  <c r="B1098" i="44" s="1"/>
  <c r="B491" i="44"/>
  <c r="B1071" i="44" s="1"/>
  <c r="B427" i="44"/>
  <c r="B1007" i="44" s="1"/>
  <c r="B426" i="44"/>
  <c r="B1006" i="44" s="1"/>
  <c r="B296" i="44"/>
  <c r="B876" i="44" s="1"/>
  <c r="B548" i="44"/>
  <c r="B1128" i="44" s="1"/>
  <c r="A563" i="44"/>
  <c r="A343" i="44"/>
  <c r="A363" i="44"/>
  <c r="B7" i="44"/>
  <c r="B587" i="44" s="1"/>
  <c r="B250" i="44"/>
  <c r="B830" i="44" s="1"/>
  <c r="B206" i="44"/>
  <c r="B786" i="44" s="1"/>
  <c r="B162" i="44"/>
  <c r="B742" i="44" s="1"/>
  <c r="B140" i="44"/>
  <c r="B720" i="44" s="1"/>
  <c r="B96" i="44"/>
  <c r="B676" i="44" s="1"/>
  <c r="B52" i="44"/>
  <c r="B632" i="44" s="1"/>
  <c r="B30" i="44"/>
  <c r="B610" i="44" s="1"/>
  <c r="A295" i="44"/>
  <c r="B28" i="44"/>
  <c r="B608" i="44" s="1"/>
  <c r="B6" i="44"/>
  <c r="B586" i="44" s="1"/>
  <c r="B271" i="44"/>
  <c r="B851" i="44" s="1"/>
  <c r="B249" i="44"/>
  <c r="B829" i="44" s="1"/>
  <c r="B227" i="44"/>
  <c r="B807" i="44" s="1"/>
  <c r="B205" i="44"/>
  <c r="B785" i="44" s="1"/>
  <c r="B183" i="44"/>
  <c r="B763" i="44" s="1"/>
  <c r="B161" i="44"/>
  <c r="B741" i="44" s="1"/>
  <c r="B139" i="44"/>
  <c r="B719" i="44" s="1"/>
  <c r="B117" i="44"/>
  <c r="B697" i="44" s="1"/>
  <c r="B95" i="44"/>
  <c r="B675" i="44" s="1"/>
  <c r="B73" i="44"/>
  <c r="B653" i="44" s="1"/>
  <c r="B51" i="44"/>
  <c r="B631" i="44" s="1"/>
  <c r="B29" i="44"/>
  <c r="B609" i="44" s="1"/>
  <c r="B284" i="44"/>
  <c r="B864" i="44" s="1"/>
  <c r="B449" i="44"/>
  <c r="B1029" i="44" s="1"/>
  <c r="A384" i="44"/>
  <c r="B356" i="44"/>
  <c r="B936" i="44" s="1"/>
  <c r="A294" i="44"/>
  <c r="A455" i="44"/>
  <c r="A541" i="44"/>
  <c r="A407" i="44"/>
  <c r="B272" i="44"/>
  <c r="B852" i="44" s="1"/>
  <c r="B228" i="44"/>
  <c r="B808" i="44" s="1"/>
  <c r="B184" i="44"/>
  <c r="B764" i="44" s="1"/>
  <c r="B118" i="44"/>
  <c r="B698" i="44" s="1"/>
  <c r="B74" i="44"/>
  <c r="B654" i="44" s="1"/>
  <c r="A447" i="44"/>
  <c r="B182" i="44"/>
  <c r="B762" i="44" s="1"/>
  <c r="B160" i="44"/>
  <c r="B740" i="44" s="1"/>
  <c r="B138" i="44"/>
  <c r="B718" i="44" s="1"/>
  <c r="B116" i="44"/>
  <c r="B696" i="44" s="1"/>
  <c r="B94" i="44"/>
  <c r="B674" i="44" s="1"/>
  <c r="B72" i="44"/>
  <c r="B652" i="44" s="1"/>
  <c r="B50" i="44"/>
  <c r="B630" i="44" s="1"/>
  <c r="B4" i="44"/>
  <c r="B584" i="44" s="1"/>
  <c r="B55" i="44"/>
  <c r="B635" i="44" s="1"/>
  <c r="B283" i="44"/>
  <c r="B863" i="44" s="1"/>
  <c r="B253" i="44"/>
  <c r="B833" i="44" s="1"/>
  <c r="A505" i="44"/>
  <c r="A445" i="44"/>
  <c r="B383" i="44"/>
  <c r="B963" i="44" s="1"/>
  <c r="A293" i="44"/>
  <c r="B577" i="44"/>
  <c r="B1157" i="44" s="1"/>
  <c r="A495" i="44"/>
  <c r="B207" i="44"/>
  <c r="B787" i="44" s="1"/>
  <c r="B538" i="44"/>
  <c r="B1118" i="44" s="1"/>
  <c r="B420" i="44"/>
  <c r="B1000" i="44" s="1"/>
  <c r="B225" i="44"/>
  <c r="B805" i="44" s="1"/>
  <c r="B167" i="44"/>
  <c r="B747" i="44" s="1"/>
  <c r="B137" i="44"/>
  <c r="B717" i="44" s="1"/>
  <c r="B70" i="44"/>
  <c r="B650" i="44" s="1"/>
  <c r="B532" i="44"/>
  <c r="B1112" i="44" s="1"/>
  <c r="A318" i="44"/>
  <c r="B277" i="44"/>
  <c r="B857" i="44" s="1"/>
  <c r="A543" i="44"/>
  <c r="A453" i="44"/>
  <c r="B388" i="44"/>
  <c r="B968" i="44" s="1"/>
  <c r="A539" i="44"/>
  <c r="B251" i="44"/>
  <c r="B831" i="44" s="1"/>
  <c r="A560" i="44"/>
  <c r="B361" i="44"/>
  <c r="B941" i="44" s="1"/>
  <c r="A300" i="44"/>
  <c r="A389" i="44"/>
  <c r="B486" i="44"/>
  <c r="B1066" i="44" s="1"/>
  <c r="B424" i="44"/>
  <c r="B1004" i="44" s="1"/>
  <c r="B394" i="44"/>
  <c r="B974" i="44" s="1"/>
  <c r="A519" i="44"/>
  <c r="A365" i="44"/>
  <c r="A561" i="44"/>
  <c r="B273" i="44"/>
  <c r="B853" i="44" s="1"/>
  <c r="A473" i="44"/>
  <c r="A319" i="44"/>
  <c r="B291" i="44"/>
  <c r="B871" i="44" s="1"/>
  <c r="B180" i="44"/>
  <c r="B760" i="44" s="1"/>
  <c r="A381" i="44"/>
  <c r="A558" i="44"/>
  <c r="A309" i="44"/>
  <c r="B76" i="44"/>
  <c r="B656" i="44" s="1"/>
  <c r="B275" i="44"/>
  <c r="B855" i="44" s="1"/>
  <c r="A496" i="44"/>
  <c r="A405" i="44"/>
  <c r="B377" i="44"/>
  <c r="B957" i="44" s="1"/>
  <c r="A315" i="44"/>
  <c r="A497" i="44"/>
  <c r="B329" i="44"/>
  <c r="B909" i="44" s="1"/>
  <c r="A451" i="44"/>
  <c r="B48" i="44"/>
  <c r="B628" i="44" s="1"/>
  <c r="B165" i="44"/>
  <c r="B745" i="44" s="1"/>
  <c r="B302" i="44"/>
  <c r="B882" i="44" s="1"/>
  <c r="B514" i="44"/>
  <c r="B1094" i="44" s="1"/>
  <c r="A468" i="44"/>
  <c r="A406" i="44"/>
  <c r="B378" i="44"/>
  <c r="B958" i="44" s="1"/>
  <c r="A308" i="44"/>
  <c r="A573" i="44"/>
  <c r="A551" i="44"/>
  <c r="A529" i="44"/>
  <c r="A507" i="44"/>
  <c r="A485" i="44"/>
  <c r="A463" i="44"/>
  <c r="A441" i="44"/>
  <c r="A419" i="44"/>
  <c r="A397" i="44"/>
  <c r="A375" i="44"/>
  <c r="A353" i="44"/>
  <c r="A331" i="44"/>
  <c r="B75" i="44"/>
  <c r="B655" i="44" s="1"/>
  <c r="B44" i="44"/>
  <c r="B624" i="44" s="1"/>
  <c r="B242" i="44"/>
  <c r="B822" i="44" s="1"/>
  <c r="B470" i="44"/>
  <c r="B1050" i="44" s="1"/>
  <c r="B564" i="44"/>
  <c r="B1144" i="44" s="1"/>
  <c r="A494" i="44"/>
  <c r="B466" i="44"/>
  <c r="B1046" i="44" s="1"/>
  <c r="A404" i="44"/>
  <c r="A376" i="44"/>
  <c r="A521" i="44"/>
  <c r="A433" i="44"/>
  <c r="A323" i="44"/>
  <c r="A409" i="44"/>
  <c r="B145" i="44"/>
  <c r="B725" i="44" s="1"/>
  <c r="B32" i="44"/>
  <c r="B612" i="44" s="1"/>
  <c r="A385" i="44"/>
  <c r="B269" i="44"/>
  <c r="B849" i="44" s="1"/>
  <c r="B114" i="44"/>
  <c r="B694" i="44" s="1"/>
  <c r="A550" i="44"/>
  <c r="A352" i="44"/>
  <c r="A555" i="44"/>
  <c r="A342" i="44"/>
  <c r="A313" i="44"/>
  <c r="A565" i="44"/>
  <c r="A411" i="44"/>
  <c r="A387" i="44"/>
  <c r="B8" i="44"/>
  <c r="B588" i="44" s="1"/>
  <c r="A429" i="44"/>
  <c r="B26" i="44"/>
  <c r="B606" i="44" s="1"/>
  <c r="B247" i="44"/>
  <c r="B827" i="44" s="1"/>
  <c r="B354" i="44"/>
  <c r="B934" i="44" s="1"/>
  <c r="B136" i="44"/>
  <c r="B716" i="44" s="1"/>
  <c r="A572" i="44"/>
  <c r="A506" i="44"/>
  <c r="A440" i="44"/>
  <c r="A374" i="44"/>
  <c r="B101" i="44"/>
  <c r="B681" i="44" s="1"/>
  <c r="B412" i="44"/>
  <c r="B992" i="44" s="1"/>
  <c r="B69" i="44"/>
  <c r="B649" i="44" s="1"/>
  <c r="B268" i="44"/>
  <c r="B848" i="44" s="1"/>
  <c r="A499" i="44"/>
  <c r="A367" i="44"/>
  <c r="B498" i="44"/>
  <c r="B1078" i="44" s="1"/>
  <c r="B575" i="44"/>
  <c r="B1155" i="44" s="1"/>
  <c r="B483" i="44"/>
  <c r="B1063" i="44" s="1"/>
  <c r="B423" i="44"/>
  <c r="B1003" i="44" s="1"/>
  <c r="A431" i="44"/>
  <c r="A297" i="44"/>
  <c r="A540" i="44"/>
  <c r="B421" i="44"/>
  <c r="B1001" i="44" s="1"/>
  <c r="A298" i="44"/>
  <c r="A517" i="44"/>
  <c r="B229" i="44"/>
  <c r="B809" i="44" s="1"/>
  <c r="A341" i="44"/>
  <c r="B31" i="44"/>
  <c r="B611" i="44" s="1"/>
  <c r="B158" i="44"/>
  <c r="B738" i="44" s="1"/>
  <c r="B92" i="44"/>
  <c r="B672" i="44" s="1"/>
  <c r="A562" i="44"/>
  <c r="B443" i="44"/>
  <c r="B1023" i="44" s="1"/>
  <c r="A320" i="44"/>
  <c r="A528" i="44"/>
  <c r="A462" i="44"/>
  <c r="A418" i="44"/>
  <c r="A330" i="44"/>
  <c r="B71" i="44"/>
  <c r="B651" i="44" s="1"/>
  <c r="B211" i="44"/>
  <c r="B791" i="44" s="1"/>
  <c r="B240" i="44"/>
  <c r="B820" i="44" s="1"/>
  <c r="A402" i="44"/>
  <c r="A312" i="44"/>
  <c r="B99" i="44"/>
  <c r="B679" i="44" s="1"/>
  <c r="B12" i="44"/>
  <c r="B592" i="44" s="1"/>
  <c r="B239" i="44"/>
  <c r="B819" i="44" s="1"/>
  <c r="A292" i="44"/>
  <c r="B553" i="44"/>
  <c r="B1133" i="44" s="1"/>
  <c r="A461" i="44"/>
  <c r="A430" i="44"/>
  <c r="A401" i="44"/>
  <c r="A339" i="44"/>
  <c r="B311" i="44"/>
  <c r="B891" i="44" s="1"/>
  <c r="B335" i="44"/>
  <c r="B915" i="44" s="1"/>
  <c r="A477" i="44"/>
  <c r="A345" i="44"/>
  <c r="A475" i="44"/>
  <c r="A321" i="44"/>
  <c r="B203" i="44"/>
  <c r="B783" i="44" s="1"/>
  <c r="B252" i="44"/>
  <c r="B832" i="44" s="1"/>
  <c r="B49" i="44"/>
  <c r="B629" i="44" s="1"/>
  <c r="A484" i="44"/>
  <c r="A396" i="44"/>
  <c r="B187" i="44"/>
  <c r="B767" i="44" s="1"/>
  <c r="B186" i="44"/>
  <c r="B766" i="44" s="1"/>
  <c r="B42" i="44"/>
  <c r="B622" i="44" s="1"/>
  <c r="A492" i="44"/>
  <c r="B372" i="44"/>
  <c r="B952" i="44" s="1"/>
  <c r="A340" i="44"/>
  <c r="B185" i="44"/>
  <c r="B765" i="44" s="1"/>
  <c r="B154" i="44"/>
  <c r="B734" i="44" s="1"/>
  <c r="B41" i="44"/>
  <c r="B621" i="44" s="1"/>
  <c r="B267" i="44"/>
  <c r="B847" i="44" s="1"/>
  <c r="B209" i="44"/>
  <c r="B789" i="44" s="1"/>
  <c r="B16" i="44"/>
  <c r="B596" i="44" s="1"/>
  <c r="B281" i="44"/>
  <c r="B861" i="44" s="1"/>
  <c r="B259" i="44"/>
  <c r="B839" i="44" s="1"/>
  <c r="B237" i="44"/>
  <c r="B817" i="44" s="1"/>
  <c r="B215" i="44"/>
  <c r="B795" i="44" s="1"/>
  <c r="B181" i="44"/>
  <c r="B761" i="44" s="1"/>
  <c r="B153" i="44"/>
  <c r="B733" i="44" s="1"/>
  <c r="B98" i="44"/>
  <c r="B678" i="44" s="1"/>
  <c r="B40" i="44"/>
  <c r="B620" i="44" s="1"/>
  <c r="B238" i="44"/>
  <c r="B818" i="44" s="1"/>
  <c r="B208" i="44"/>
  <c r="B788" i="44" s="1"/>
  <c r="A552" i="44"/>
  <c r="A490" i="44"/>
  <c r="A460" i="44"/>
  <c r="A428" i="44"/>
  <c r="B400" i="44"/>
  <c r="B980" i="44" s="1"/>
  <c r="A338" i="44"/>
  <c r="B258" i="44"/>
  <c r="B838" i="44" s="1"/>
  <c r="A322" i="44"/>
  <c r="E21" i="47"/>
  <c r="D31" i="47"/>
  <c r="E31" i="47" s="1"/>
  <c r="I24" i="47"/>
  <c r="D29" i="47"/>
  <c r="D30" i="47"/>
  <c r="E30" i="47" s="1"/>
  <c r="A1112" i="44" l="1"/>
  <c r="A1001" i="44"/>
  <c r="A1069" i="44"/>
  <c r="B489" i="44"/>
  <c r="B1069" i="44" s="1"/>
  <c r="A962" i="44"/>
  <c r="B382" i="44"/>
  <c r="B962" i="44" s="1"/>
  <c r="A1101" i="44"/>
  <c r="A1129" i="44"/>
  <c r="A967" i="44"/>
  <c r="A990" i="44"/>
  <c r="A978" i="44"/>
  <c r="A898" i="44"/>
  <c r="A1125" i="44"/>
  <c r="A907" i="44"/>
  <c r="A876" i="44"/>
  <c r="A963" i="44"/>
  <c r="A1095" i="44"/>
  <c r="B515" i="44"/>
  <c r="B1095" i="44" s="1"/>
  <c r="A1114" i="44"/>
  <c r="B534" i="44"/>
  <c r="B1114" i="44" s="1"/>
  <c r="A1093" i="44"/>
  <c r="B513" i="44"/>
  <c r="B1093" i="44" s="1"/>
  <c r="B360" i="44"/>
  <c r="B940" i="44" s="1"/>
  <c r="A940" i="44"/>
  <c r="A1122" i="44"/>
  <c r="A927" i="44"/>
  <c r="A1149" i="44"/>
  <c r="A942" i="44"/>
  <c r="B362" i="44"/>
  <c r="B942" i="44" s="1"/>
  <c r="A1155" i="44"/>
  <c r="A925" i="44"/>
  <c r="A913" i="44"/>
  <c r="B333" i="44"/>
  <c r="B913" i="44" s="1"/>
  <c r="A1057" i="44"/>
  <c r="A900" i="44"/>
  <c r="A945" i="44"/>
  <c r="A964" i="44"/>
  <c r="A1099" i="44"/>
  <c r="B545" i="44"/>
  <c r="B1125" i="44" s="1"/>
  <c r="A1033" i="44"/>
  <c r="A987" i="44"/>
  <c r="A1074" i="44"/>
  <c r="A922" i="44"/>
  <c r="A1077" i="44"/>
  <c r="A1092" i="44"/>
  <c r="A883" i="44"/>
  <c r="B393" i="44"/>
  <c r="B973" i="44" s="1"/>
  <c r="A973" i="44"/>
  <c r="B359" i="44"/>
  <c r="B939" i="44" s="1"/>
  <c r="A939" i="44"/>
  <c r="A1048" i="44"/>
  <c r="A910" i="44"/>
  <c r="A1159" i="44"/>
  <c r="A1081" i="44"/>
  <c r="A997" i="44"/>
  <c r="A930" i="44"/>
  <c r="B350" i="44"/>
  <c r="B930" i="44" s="1"/>
  <c r="A924" i="44"/>
  <c r="A931" i="44"/>
  <c r="A966" i="44"/>
  <c r="A1042" i="44"/>
  <c r="A933" i="44"/>
  <c r="A1020" i="44"/>
  <c r="A999" i="44"/>
  <c r="A895" i="44"/>
  <c r="A979" i="44"/>
  <c r="B299" i="44"/>
  <c r="B879" i="44" s="1"/>
  <c r="A879" i="44"/>
  <c r="A970" i="44"/>
  <c r="A1072" i="44"/>
  <c r="A921" i="44"/>
  <c r="A1086" i="44"/>
  <c r="A1021" i="44"/>
  <c r="A1156" i="44"/>
  <c r="B576" i="44"/>
  <c r="B1156" i="44" s="1"/>
  <c r="A948" i="44"/>
  <c r="B368" i="44"/>
  <c r="B948" i="44" s="1"/>
  <c r="A1014" i="44"/>
  <c r="A988" i="44"/>
  <c r="B408" i="44"/>
  <c r="B988" i="44" s="1"/>
  <c r="A1054" i="44"/>
  <c r="A888" i="44"/>
  <c r="A873" i="44"/>
  <c r="A1150" i="44"/>
  <c r="A901" i="44"/>
  <c r="A991" i="44"/>
  <c r="A874" i="44"/>
  <c r="A1017" i="44"/>
  <c r="B437" i="44"/>
  <c r="B1017" i="44" s="1"/>
  <c r="A1117" i="44"/>
  <c r="A1140" i="44"/>
  <c r="A961" i="44"/>
  <c r="A1053" i="44"/>
  <c r="A1116" i="44"/>
  <c r="A975" i="44"/>
  <c r="A1089" i="44"/>
  <c r="A1084" i="44"/>
  <c r="B504" i="44"/>
  <c r="B1084" i="44" s="1"/>
  <c r="A955" i="44"/>
  <c r="B579" i="44"/>
  <c r="B1159" i="44" s="1"/>
  <c r="B392" i="44"/>
  <c r="B972" i="44" s="1"/>
  <c r="A972" i="44"/>
  <c r="A1009" i="44"/>
  <c r="A1111" i="44"/>
  <c r="A1158" i="44"/>
  <c r="A1134" i="44"/>
  <c r="A1108" i="44"/>
  <c r="B546" i="44"/>
  <c r="B1126" i="44" s="1"/>
  <c r="A1126" i="44"/>
  <c r="A918" i="44"/>
  <c r="A1146" i="44"/>
  <c r="A1075" i="44"/>
  <c r="A1153" i="44"/>
  <c r="A1138" i="44"/>
  <c r="A984" i="44"/>
  <c r="A1044" i="44"/>
  <c r="B464" i="44"/>
  <c r="B1044" i="44" s="1"/>
  <c r="A1005" i="44"/>
  <c r="A1123" i="44"/>
  <c r="A1030" i="44"/>
  <c r="A1152" i="44"/>
  <c r="A1027" i="44"/>
  <c r="A943" i="44"/>
  <c r="A904" i="44"/>
  <c r="A1015" i="44"/>
  <c r="A882" i="44"/>
  <c r="A1132" i="44"/>
  <c r="A1119" i="44"/>
  <c r="A1098" i="44"/>
  <c r="A1036" i="44"/>
  <c r="A994" i="44"/>
  <c r="B414" i="44"/>
  <c r="B994" i="44" s="1"/>
  <c r="B395" i="44"/>
  <c r="B975" i="44" s="1"/>
  <c r="A1143" i="44"/>
  <c r="A1063" i="44"/>
  <c r="B476" i="44"/>
  <c r="B1056" i="44" s="1"/>
  <c r="A1056" i="44"/>
  <c r="A949" i="44"/>
  <c r="A993" i="44"/>
  <c r="A919" i="44"/>
  <c r="A981" i="44"/>
  <c r="A889" i="44"/>
  <c r="B425" i="44"/>
  <c r="B1005" i="44" s="1"/>
  <c r="A1080" i="44"/>
  <c r="A1060" i="44"/>
  <c r="A1008" i="44"/>
  <c r="A1041" i="44"/>
  <c r="A954" i="44"/>
  <c r="A1135" i="44"/>
  <c r="A1141" i="44"/>
  <c r="A1035" i="44"/>
  <c r="A1090" i="44"/>
  <c r="A1102" i="44"/>
  <c r="A1062" i="44"/>
  <c r="A1105" i="44"/>
  <c r="A996" i="44"/>
  <c r="A912" i="44"/>
  <c r="A1051" i="44"/>
  <c r="A1110" i="44"/>
  <c r="A1047" i="44"/>
  <c r="A1026" i="44"/>
  <c r="A960" i="44"/>
  <c r="A1096" i="44"/>
  <c r="A976" i="44"/>
  <c r="A892" i="44"/>
  <c r="A1120" i="44"/>
  <c r="A985" i="44"/>
  <c r="A1113" i="44"/>
  <c r="A1032" i="44"/>
  <c r="A1059" i="44"/>
  <c r="A1147" i="44"/>
  <c r="A906" i="44"/>
  <c r="A1083" i="44"/>
  <c r="A1023" i="44"/>
  <c r="A1068" i="44"/>
  <c r="A1065" i="44"/>
  <c r="A1018" i="44"/>
  <c r="A885" i="44"/>
  <c r="A1045" i="44"/>
  <c r="A1012" i="44"/>
  <c r="A982" i="44"/>
  <c r="A877" i="44"/>
  <c r="A969" i="44"/>
  <c r="A1011" i="44"/>
  <c r="A1087" i="44"/>
  <c r="A880" i="44"/>
  <c r="A928" i="44"/>
  <c r="A1104" i="44"/>
  <c r="A909" i="44"/>
  <c r="A891" i="44"/>
  <c r="A1137" i="44"/>
  <c r="A946" i="44"/>
  <c r="A886" i="44"/>
  <c r="A1107" i="44"/>
  <c r="A1144" i="44"/>
  <c r="A1066" i="44"/>
  <c r="A1002" i="44"/>
  <c r="A1071" i="44"/>
  <c r="A1006" i="44"/>
  <c r="A903" i="44"/>
  <c r="A1038" i="44"/>
  <c r="A1039" i="44"/>
  <c r="A1131" i="44"/>
  <c r="A951" i="44"/>
  <c r="A952" i="44"/>
  <c r="A1078" i="44"/>
  <c r="A915" i="44"/>
  <c r="A1029" i="44"/>
  <c r="A937" i="44"/>
  <c r="A894" i="44"/>
  <c r="A1024" i="44"/>
  <c r="A897" i="44"/>
  <c r="A1154" i="44"/>
  <c r="A1040" i="44"/>
  <c r="A914" i="44"/>
  <c r="A911" i="44"/>
  <c r="A1028" i="44"/>
  <c r="A1133" i="44"/>
  <c r="A1019" i="44"/>
  <c r="A878" i="44"/>
  <c r="A935" i="44"/>
  <c r="A950" i="44"/>
  <c r="B520" i="44"/>
  <c r="B1100" i="44" s="1"/>
  <c r="A1100" i="44"/>
  <c r="A995" i="44"/>
  <c r="A920" i="44"/>
  <c r="A1142" i="44"/>
  <c r="A1145" i="44"/>
  <c r="A1115" i="44"/>
  <c r="A923" i="44"/>
  <c r="A1088" i="44"/>
  <c r="A1061" i="44"/>
  <c r="A1070" i="44"/>
  <c r="A1127" i="44"/>
  <c r="B508" i="44"/>
  <c r="B1088" i="44" s="1"/>
  <c r="A1067" i="44"/>
  <c r="A917" i="44"/>
  <c r="A1064" i="44"/>
  <c r="A875" i="44"/>
  <c r="A959" i="44"/>
  <c r="A932" i="44"/>
  <c r="A1157" i="44"/>
  <c r="A977" i="44"/>
  <c r="A1085" i="44"/>
  <c r="A953" i="44"/>
  <c r="B439" i="44"/>
  <c r="B1019" i="44" s="1"/>
  <c r="A944" i="44"/>
  <c r="B334" i="44"/>
  <c r="B914" i="44" s="1"/>
  <c r="A1076" i="44"/>
  <c r="B349" i="44"/>
  <c r="B929" i="44" s="1"/>
  <c r="A929" i="44"/>
  <c r="A1013" i="44"/>
  <c r="A1052" i="44"/>
  <c r="A938" i="44"/>
  <c r="A896" i="44"/>
  <c r="A887" i="44"/>
  <c r="A899" i="44"/>
  <c r="A1103" i="44"/>
  <c r="A1130" i="44"/>
  <c r="A1121" i="44"/>
  <c r="A1049" i="44"/>
  <c r="A965" i="44"/>
  <c r="A1139" i="44"/>
  <c r="A1034" i="44"/>
  <c r="B559" i="44"/>
  <c r="B1139" i="44" s="1"/>
  <c r="A884" i="44"/>
  <c r="A1055" i="44"/>
  <c r="A998" i="44"/>
  <c r="A1151" i="44"/>
  <c r="B304" i="44"/>
  <c r="B884" i="44" s="1"/>
  <c r="A1124" i="44"/>
  <c r="A1091" i="44"/>
  <c r="A968" i="44"/>
  <c r="A893" i="44"/>
  <c r="A1010" i="44"/>
  <c r="A872" i="44"/>
  <c r="A1097" i="44"/>
  <c r="A1031" i="44"/>
  <c r="A1043" i="44"/>
  <c r="A992" i="44"/>
  <c r="A947" i="44"/>
  <c r="A956" i="44"/>
  <c r="B469" i="44"/>
  <c r="B1049" i="44" s="1"/>
  <c r="B346" i="44"/>
  <c r="B926" i="44" s="1"/>
  <c r="A926" i="44"/>
  <c r="A971" i="44"/>
  <c r="A1073" i="44"/>
  <c r="A980" i="44"/>
  <c r="A1058" i="44"/>
  <c r="A974" i="44"/>
  <c r="A1109" i="44"/>
  <c r="B547" i="44"/>
  <c r="B1127" i="44" s="1"/>
  <c r="B448" i="44"/>
  <c r="B1028" i="44" s="1"/>
  <c r="B337" i="44"/>
  <c r="B917" i="44" s="1"/>
  <c r="A908" i="44"/>
  <c r="A1148" i="44"/>
  <c r="A989" i="44"/>
  <c r="A1106" i="44"/>
  <c r="A1079" i="44"/>
  <c r="B316" i="44"/>
  <c r="B896" i="44" s="1"/>
  <c r="A902" i="44"/>
  <c r="B454" i="44"/>
  <c r="B1034" i="44" s="1"/>
  <c r="B535" i="44"/>
  <c r="B1115" i="44" s="1"/>
  <c r="A881" i="44"/>
  <c r="A1037" i="44"/>
  <c r="A1136" i="44"/>
  <c r="A1046" i="44"/>
  <c r="A1016" i="44"/>
  <c r="A1025" i="44"/>
  <c r="A1022" i="44"/>
  <c r="A1082" i="44"/>
  <c r="A983" i="44"/>
  <c r="A986" i="44"/>
  <c r="B325" i="44"/>
  <c r="B905" i="44" s="1"/>
  <c r="A905" i="44"/>
  <c r="A890" i="44"/>
  <c r="B301" i="44"/>
  <c r="B881" i="44" s="1"/>
  <c r="B310" i="44"/>
  <c r="B890" i="44" s="1"/>
  <c r="B355" i="44"/>
  <c r="B935" i="44" s="1"/>
  <c r="B482" i="44"/>
  <c r="B1062" i="44" s="1"/>
  <c r="B549" i="44"/>
  <c r="B1129" i="44" s="1"/>
  <c r="B481" i="44"/>
  <c r="B1061" i="44" s="1"/>
  <c r="B456" i="44"/>
  <c r="B1036" i="44" s="1"/>
  <c r="B347" i="44"/>
  <c r="B927" i="44" s="1"/>
  <c r="B566" i="44"/>
  <c r="B1146" i="44" s="1"/>
  <c r="B459" i="44"/>
  <c r="B1039" i="44" s="1"/>
  <c r="B542" i="44"/>
  <c r="B1122" i="44" s="1"/>
  <c r="B510" i="44"/>
  <c r="B1090" i="44" s="1"/>
  <c r="B450" i="44"/>
  <c r="B1030" i="44" s="1"/>
  <c r="B369" i="44"/>
  <c r="B949" i="44" s="1"/>
  <c r="B452" i="44"/>
  <c r="B1032" i="44" s="1"/>
  <c r="B410" i="44"/>
  <c r="B990" i="44" s="1"/>
  <c r="B390" i="44"/>
  <c r="B970" i="44" s="1"/>
  <c r="B413" i="44"/>
  <c r="B993" i="44" s="1"/>
  <c r="B523" i="44"/>
  <c r="B1103" i="44" s="1"/>
  <c r="B436" i="44"/>
  <c r="B1016" i="44" s="1"/>
  <c r="B522" i="44"/>
  <c r="B1102" i="44" s="1"/>
  <c r="B512" i="44"/>
  <c r="B1092" i="44" s="1"/>
  <c r="B370" i="44"/>
  <c r="B950" i="44" s="1"/>
  <c r="B434" i="44"/>
  <c r="B1014" i="44" s="1"/>
  <c r="B544" i="44"/>
  <c r="B1124" i="44" s="1"/>
  <c r="B478" i="44"/>
  <c r="B1058" i="44" s="1"/>
  <c r="B509" i="44"/>
  <c r="B1089" i="44" s="1"/>
  <c r="B399" i="44"/>
  <c r="B979" i="44" s="1"/>
  <c r="B524" i="44"/>
  <c r="B1104" i="44" s="1"/>
  <c r="B501" i="44"/>
  <c r="B1081" i="44" s="1"/>
  <c r="B391" i="44"/>
  <c r="B971" i="44" s="1"/>
  <c r="B479" i="44"/>
  <c r="B1059" i="44" s="1"/>
  <c r="B303" i="44"/>
  <c r="B883" i="44" s="1"/>
  <c r="B324" i="44"/>
  <c r="B904" i="44" s="1"/>
  <c r="B568" i="44"/>
  <c r="B1148" i="44" s="1"/>
  <c r="B500" i="44"/>
  <c r="B1080" i="44" s="1"/>
  <c r="B435" i="44"/>
  <c r="B1015" i="44" s="1"/>
  <c r="B348" i="44"/>
  <c r="B928" i="44" s="1"/>
  <c r="B565" i="44"/>
  <c r="B1145" i="44" s="1"/>
  <c r="B297" i="44"/>
  <c r="B877" i="44" s="1"/>
  <c r="B428" i="44"/>
  <c r="B1008" i="44" s="1"/>
  <c r="B367" i="44"/>
  <c r="B947" i="44" s="1"/>
  <c r="B506" i="44"/>
  <c r="B1086" i="44" s="1"/>
  <c r="B338" i="44"/>
  <c r="B918" i="44" s="1"/>
  <c r="B460" i="44"/>
  <c r="B1040" i="44" s="1"/>
  <c r="B339" i="44"/>
  <c r="B919" i="44" s="1"/>
  <c r="B376" i="44"/>
  <c r="B956" i="44" s="1"/>
  <c r="B519" i="44"/>
  <c r="B1099" i="44" s="1"/>
  <c r="B539" i="44"/>
  <c r="B1119" i="44" s="1"/>
  <c r="B495" i="44"/>
  <c r="B1075" i="44" s="1"/>
  <c r="B431" i="44"/>
  <c r="B1011" i="44" s="1"/>
  <c r="B453" i="44"/>
  <c r="B1033" i="44" s="1"/>
  <c r="B293" i="44"/>
  <c r="B873" i="44" s="1"/>
  <c r="B543" i="44"/>
  <c r="B1123" i="44" s="1"/>
  <c r="B389" i="44"/>
  <c r="B969" i="44" s="1"/>
  <c r="B517" i="44"/>
  <c r="B1097" i="44" s="1"/>
  <c r="B387" i="44"/>
  <c r="B967" i="44" s="1"/>
  <c r="B409" i="44"/>
  <c r="B989" i="44" s="1"/>
  <c r="B309" i="44"/>
  <c r="B889" i="44" s="1"/>
  <c r="B384" i="44"/>
  <c r="B964" i="44" s="1"/>
  <c r="B295" i="44"/>
  <c r="B875" i="44" s="1"/>
  <c r="B312" i="44"/>
  <c r="B892" i="44" s="1"/>
  <c r="B419" i="44"/>
  <c r="B999" i="44" s="1"/>
  <c r="B490" i="44"/>
  <c r="B1070" i="44" s="1"/>
  <c r="B298" i="44"/>
  <c r="B878" i="44" s="1"/>
  <c r="B440" i="44"/>
  <c r="B1020" i="44" s="1"/>
  <c r="B385" i="44"/>
  <c r="B965" i="44" s="1"/>
  <c r="B433" i="44"/>
  <c r="B1013" i="44" s="1"/>
  <c r="B541" i="44"/>
  <c r="B1121" i="44" s="1"/>
  <c r="B353" i="44"/>
  <c r="B933" i="44" s="1"/>
  <c r="B345" i="44"/>
  <c r="B925" i="44" s="1"/>
  <c r="B404" i="44"/>
  <c r="B984" i="44" s="1"/>
  <c r="B560" i="44"/>
  <c r="B1140" i="44" s="1"/>
  <c r="B375" i="44"/>
  <c r="B955" i="44" s="1"/>
  <c r="B441" i="44"/>
  <c r="B1021" i="44" s="1"/>
  <c r="B462" i="44"/>
  <c r="B1042" i="44" s="1"/>
  <c r="B507" i="44"/>
  <c r="B1087" i="44" s="1"/>
  <c r="B381" i="44"/>
  <c r="B961" i="44" s="1"/>
  <c r="B473" i="44"/>
  <c r="B1053" i="44" s="1"/>
  <c r="B363" i="44"/>
  <c r="B943" i="44" s="1"/>
  <c r="B402" i="44"/>
  <c r="B982" i="44" s="1"/>
  <c r="B429" i="44"/>
  <c r="B1009" i="44" s="1"/>
  <c r="B573" i="44"/>
  <c r="B1153" i="44" s="1"/>
  <c r="B521" i="44"/>
  <c r="B1101" i="44" s="1"/>
  <c r="B561" i="44"/>
  <c r="B1141" i="44" s="1"/>
  <c r="B492" i="44"/>
  <c r="B1072" i="44" s="1"/>
  <c r="B322" i="44"/>
  <c r="B902" i="44" s="1"/>
  <c r="B484" i="44"/>
  <c r="B1064" i="44" s="1"/>
  <c r="B292" i="44"/>
  <c r="B872" i="44" s="1"/>
  <c r="B494" i="44"/>
  <c r="B1074" i="44" s="1"/>
  <c r="B485" i="44"/>
  <c r="B1065" i="44" s="1"/>
  <c r="B496" i="44"/>
  <c r="B1076" i="44" s="1"/>
  <c r="B558" i="44"/>
  <c r="B1138" i="44" s="1"/>
  <c r="B365" i="44"/>
  <c r="B945" i="44" s="1"/>
  <c r="B318" i="44"/>
  <c r="B898" i="44" s="1"/>
  <c r="B418" i="44"/>
  <c r="B998" i="44" s="1"/>
  <c r="B550" i="44"/>
  <c r="B1130" i="44" s="1"/>
  <c r="B551" i="44"/>
  <c r="B1131" i="44" s="1"/>
  <c r="B552" i="44"/>
  <c r="B1132" i="44" s="1"/>
  <c r="B340" i="44"/>
  <c r="B920" i="44" s="1"/>
  <c r="B401" i="44"/>
  <c r="B981" i="44" s="1"/>
  <c r="B563" i="44"/>
  <c r="B1143" i="44" s="1"/>
  <c r="B475" i="44"/>
  <c r="B1055" i="44" s="1"/>
  <c r="B430" i="44"/>
  <c r="B1010" i="44" s="1"/>
  <c r="B445" i="44"/>
  <c r="B1025" i="44" s="1"/>
  <c r="B461" i="44"/>
  <c r="B1041" i="44" s="1"/>
  <c r="B411" i="44"/>
  <c r="B991" i="44" s="1"/>
  <c r="B555" i="44"/>
  <c r="B1135" i="44" s="1"/>
  <c r="B331" i="44"/>
  <c r="B911" i="44" s="1"/>
  <c r="B451" i="44"/>
  <c r="B1031" i="44" s="1"/>
  <c r="B319" i="44"/>
  <c r="B899" i="44" s="1"/>
  <c r="B505" i="44"/>
  <c r="B1085" i="44" s="1"/>
  <c r="B396" i="44"/>
  <c r="B976" i="44" s="1"/>
  <c r="B313" i="44"/>
  <c r="B893" i="44" s="1"/>
  <c r="B352" i="44"/>
  <c r="B932" i="44" s="1"/>
  <c r="B397" i="44"/>
  <c r="B977" i="44" s="1"/>
  <c r="B463" i="44"/>
  <c r="B1043" i="44" s="1"/>
  <c r="B308" i="44"/>
  <c r="B888" i="44" s="1"/>
  <c r="B406" i="44"/>
  <c r="B986" i="44" s="1"/>
  <c r="B497" i="44"/>
  <c r="B1077" i="44" s="1"/>
  <c r="B315" i="44"/>
  <c r="B895" i="44" s="1"/>
  <c r="B330" i="44"/>
  <c r="B910" i="44" s="1"/>
  <c r="B341" i="44"/>
  <c r="B921" i="44" s="1"/>
  <c r="B342" i="44"/>
  <c r="B922" i="44" s="1"/>
  <c r="B529" i="44"/>
  <c r="B1109" i="44" s="1"/>
  <c r="B468" i="44"/>
  <c r="B1048" i="44" s="1"/>
  <c r="B405" i="44"/>
  <c r="B985" i="44" s="1"/>
  <c r="B300" i="44"/>
  <c r="B880" i="44" s="1"/>
  <c r="B528" i="44"/>
  <c r="B1108" i="44" s="1"/>
  <c r="B540" i="44"/>
  <c r="B1120" i="44" s="1"/>
  <c r="B320" i="44"/>
  <c r="B900" i="44" s="1"/>
  <c r="B374" i="44"/>
  <c r="B954" i="44" s="1"/>
  <c r="B323" i="44"/>
  <c r="B903" i="44" s="1"/>
  <c r="B294" i="44"/>
  <c r="B874" i="44" s="1"/>
  <c r="B477" i="44"/>
  <c r="B1057" i="44" s="1"/>
  <c r="B499" i="44"/>
  <c r="B1079" i="44" s="1"/>
  <c r="B572" i="44"/>
  <c r="B1152" i="44" s="1"/>
  <c r="B455" i="44"/>
  <c r="B1035" i="44" s="1"/>
  <c r="B343" i="44"/>
  <c r="B923" i="44" s="1"/>
  <c r="B321" i="44"/>
  <c r="B901" i="44" s="1"/>
  <c r="B562" i="44"/>
  <c r="B1142" i="44" s="1"/>
  <c r="B447" i="44"/>
  <c r="B1027" i="44" s="1"/>
  <c r="B407" i="44"/>
  <c r="B987" i="44" s="1"/>
  <c r="E29" i="47"/>
  <c r="I25" i="47"/>
  <c r="I22" i="47"/>
  <c r="AD4" i="45" l="1"/>
  <c r="AD5" i="45"/>
  <c r="AD6" i="45"/>
  <c r="AD7" i="45"/>
  <c r="AD8" i="45"/>
  <c r="AD9" i="45"/>
  <c r="AD10" i="45"/>
  <c r="AD11" i="45"/>
  <c r="AD12" i="45"/>
  <c r="AD13" i="45"/>
  <c r="AD14" i="45"/>
  <c r="AD15" i="45"/>
  <c r="AD16" i="45"/>
  <c r="AD17" i="45"/>
  <c r="AD18" i="45"/>
  <c r="AD19" i="45"/>
  <c r="AD20" i="45"/>
  <c r="AD21" i="45"/>
  <c r="AD22" i="45"/>
  <c r="AD23" i="45"/>
  <c r="AD24" i="45"/>
  <c r="AD25" i="45"/>
  <c r="AD26" i="45"/>
  <c r="AD27" i="45"/>
  <c r="AD28" i="45"/>
  <c r="AD29" i="45"/>
  <c r="AD30" i="45"/>
  <c r="AD31" i="45"/>
  <c r="AD32" i="45"/>
  <c r="AD33" i="45"/>
  <c r="AD34" i="45"/>
  <c r="AD35" i="45"/>
  <c r="AD36" i="45"/>
  <c r="AD37" i="45"/>
  <c r="AD38" i="45"/>
  <c r="AD39" i="45"/>
  <c r="AD40" i="45"/>
  <c r="AD41" i="45"/>
  <c r="AD42" i="45"/>
  <c r="AD43" i="45"/>
  <c r="AD44" i="45"/>
  <c r="AD45" i="45"/>
  <c r="AD46" i="45"/>
  <c r="AD47" i="45"/>
  <c r="AD48" i="45"/>
  <c r="AD49" i="45"/>
  <c r="AD50" i="45"/>
  <c r="AD51" i="45"/>
  <c r="AD52" i="45"/>
  <c r="AD53" i="45"/>
  <c r="AD54" i="45"/>
  <c r="AD55" i="45"/>
  <c r="AD56" i="45"/>
  <c r="AD57" i="45"/>
  <c r="AD58" i="45"/>
  <c r="AD59" i="45"/>
  <c r="AD60" i="45"/>
  <c r="AD61" i="45"/>
  <c r="AD62" i="45"/>
  <c r="AD63" i="45"/>
  <c r="AD64" i="45"/>
  <c r="AD65" i="45"/>
  <c r="AD66" i="45"/>
  <c r="AD67" i="45"/>
  <c r="AD68" i="45"/>
  <c r="AD69" i="45"/>
  <c r="AD70" i="45"/>
  <c r="AD71" i="45"/>
  <c r="AD72" i="45"/>
  <c r="AD73" i="45"/>
  <c r="AD74" i="45"/>
  <c r="AD75" i="45"/>
  <c r="AD76" i="45"/>
  <c r="AD77" i="45"/>
  <c r="AD78" i="45"/>
  <c r="AD79" i="45"/>
  <c r="AD80" i="45"/>
  <c r="AD81" i="45"/>
  <c r="AD82" i="45"/>
  <c r="AD83" i="45"/>
  <c r="AD84" i="45"/>
  <c r="AD85" i="45"/>
  <c r="AD86" i="45"/>
  <c r="AD87" i="45"/>
  <c r="AD88" i="45"/>
  <c r="AD89" i="45"/>
  <c r="AD90" i="45"/>
  <c r="AD91" i="45"/>
  <c r="AD92" i="45"/>
  <c r="AD93" i="45"/>
  <c r="AD94" i="45"/>
  <c r="AD95" i="45"/>
  <c r="AD96" i="45"/>
  <c r="AD97" i="45"/>
  <c r="AD98" i="45"/>
  <c r="AD99" i="45"/>
  <c r="AD100" i="45"/>
  <c r="AD101" i="45"/>
  <c r="AD102" i="45"/>
  <c r="AD103" i="45"/>
  <c r="AD104" i="45"/>
  <c r="AD105" i="45"/>
  <c r="AD106" i="45"/>
  <c r="AD107" i="45"/>
  <c r="AD108" i="45"/>
  <c r="AD109" i="45"/>
  <c r="AD110" i="45"/>
  <c r="AD111" i="45"/>
  <c r="AD112" i="45"/>
  <c r="AD113" i="45"/>
  <c r="AD114" i="45"/>
  <c r="AD115" i="45"/>
  <c r="AD116" i="45"/>
  <c r="AD117" i="45"/>
  <c r="AD118" i="45"/>
  <c r="AD119" i="45"/>
  <c r="AD120" i="45"/>
  <c r="AD121" i="45"/>
  <c r="AD122" i="45"/>
  <c r="AD123" i="45"/>
  <c r="AD124" i="45"/>
  <c r="AD125" i="45"/>
  <c r="AD126" i="45"/>
  <c r="AD127" i="45"/>
  <c r="AD128" i="45"/>
  <c r="AD129" i="45"/>
  <c r="AD130" i="45"/>
  <c r="AD131" i="45"/>
  <c r="AD132" i="45"/>
  <c r="AD133" i="45"/>
  <c r="AD134" i="45"/>
  <c r="AD135" i="45"/>
  <c r="AD136" i="45"/>
  <c r="AD137" i="45"/>
  <c r="AD138" i="45"/>
  <c r="AD139" i="45"/>
  <c r="AD140" i="45"/>
  <c r="AD141" i="45"/>
  <c r="AD142" i="45"/>
  <c r="AD143" i="45"/>
  <c r="AD144" i="45"/>
  <c r="AD145" i="45"/>
  <c r="AD146" i="45"/>
  <c r="AD147" i="45"/>
  <c r="AD148" i="45"/>
  <c r="AD149" i="45"/>
  <c r="AD150" i="45"/>
  <c r="AD151" i="45"/>
  <c r="AD152" i="45"/>
  <c r="AD153" i="45"/>
  <c r="AD154" i="45"/>
  <c r="AD155" i="45"/>
  <c r="AD156" i="45"/>
  <c r="AD157" i="45"/>
  <c r="AD158" i="45"/>
  <c r="AD159" i="45"/>
  <c r="AD160" i="45"/>
  <c r="AD161" i="45"/>
  <c r="AD162" i="45"/>
  <c r="AD163" i="45"/>
  <c r="AD164" i="45"/>
  <c r="AD165" i="45"/>
  <c r="AD166" i="45"/>
  <c r="AD167" i="45"/>
  <c r="AD168" i="45"/>
  <c r="AD169" i="45"/>
  <c r="AD170" i="45"/>
  <c r="AD171" i="45"/>
  <c r="AD172" i="45"/>
  <c r="AD173" i="45"/>
  <c r="AD174" i="45"/>
  <c r="AD175" i="45"/>
  <c r="AD176" i="45"/>
  <c r="AD177" i="45"/>
  <c r="AD178" i="45"/>
  <c r="AD179" i="45"/>
  <c r="AD180" i="45"/>
  <c r="AD181" i="45"/>
  <c r="AD182" i="45"/>
  <c r="AD183" i="45"/>
  <c r="AD184" i="45"/>
  <c r="AD185" i="45"/>
  <c r="AD186" i="45"/>
  <c r="AD187" i="45"/>
  <c r="AD188" i="45"/>
  <c r="AD189" i="45"/>
  <c r="AD190" i="45"/>
  <c r="AD191" i="45"/>
  <c r="AD192" i="45"/>
  <c r="AD193" i="45"/>
  <c r="AD194" i="45"/>
  <c r="AD195" i="45"/>
  <c r="AD196" i="45"/>
  <c r="AD197" i="45"/>
  <c r="AD198" i="45"/>
  <c r="AD199" i="45"/>
  <c r="AD200" i="45"/>
  <c r="AD201" i="45"/>
  <c r="AD202" i="45"/>
  <c r="AD203" i="45"/>
  <c r="AD204" i="45"/>
  <c r="AD205" i="45"/>
  <c r="AD206" i="45"/>
  <c r="AD207" i="45"/>
  <c r="AD208" i="45"/>
  <c r="AD209" i="45"/>
  <c r="AD210" i="45"/>
  <c r="AD211" i="45"/>
  <c r="AD212" i="45"/>
  <c r="AD213" i="45"/>
  <c r="AD214" i="45"/>
  <c r="AD215" i="45"/>
  <c r="AD216" i="45"/>
  <c r="AD217" i="45"/>
  <c r="AD218" i="45"/>
  <c r="AD219" i="45"/>
  <c r="AD220" i="45"/>
  <c r="AD221" i="45"/>
  <c r="AD222" i="45"/>
  <c r="AD223" i="45"/>
  <c r="AD224" i="45"/>
  <c r="AD225" i="45"/>
  <c r="AD226" i="45"/>
  <c r="AD227" i="45"/>
  <c r="AD228" i="45"/>
  <c r="AD229" i="45"/>
  <c r="AD230" i="45"/>
  <c r="AD231" i="45"/>
  <c r="AD232" i="45"/>
  <c r="AD233" i="45"/>
  <c r="AD234" i="45"/>
  <c r="AD235" i="45"/>
  <c r="AD236" i="45"/>
  <c r="AD237" i="45"/>
  <c r="AD238" i="45"/>
  <c r="AD239" i="45"/>
  <c r="AD240" i="45"/>
  <c r="AD241" i="45"/>
  <c r="AD242" i="45"/>
  <c r="AD243" i="45"/>
  <c r="AD244" i="45"/>
  <c r="AD245" i="45"/>
  <c r="AD246" i="45"/>
  <c r="AD247" i="45"/>
  <c r="AD248" i="45"/>
  <c r="AD249" i="45"/>
  <c r="AD250" i="45"/>
  <c r="AD251" i="45"/>
  <c r="AD252" i="45"/>
  <c r="AD253" i="45"/>
  <c r="AD254" i="45"/>
  <c r="AD255" i="45"/>
  <c r="AD256" i="45"/>
  <c r="AD257" i="45"/>
  <c r="AD258" i="45"/>
  <c r="AD259" i="45"/>
  <c r="AD260" i="45"/>
  <c r="AD261" i="45"/>
  <c r="AD262" i="45"/>
  <c r="AD263" i="45"/>
  <c r="AD264" i="45"/>
  <c r="AD265" i="45"/>
  <c r="AD266" i="45"/>
  <c r="AD267" i="45"/>
  <c r="AD268" i="45"/>
  <c r="AD269" i="45"/>
  <c r="AD270" i="45"/>
  <c r="AD271" i="45"/>
  <c r="AD272" i="45"/>
  <c r="AD273" i="45"/>
  <c r="AD274" i="45"/>
  <c r="AD275" i="45"/>
  <c r="AD276" i="45"/>
  <c r="AD277" i="45"/>
  <c r="AD278" i="45"/>
  <c r="AD279" i="45"/>
  <c r="AD280" i="45"/>
  <c r="AD281" i="45"/>
  <c r="AD282" i="45"/>
  <c r="AD283" i="45"/>
  <c r="AD284" i="45"/>
  <c r="AD285" i="45"/>
  <c r="AD286" i="45"/>
  <c r="AD287" i="45"/>
  <c r="AD288" i="45"/>
  <c r="AD289" i="45"/>
  <c r="AD290" i="45"/>
  <c r="AD3" i="45"/>
  <c r="G38" i="43"/>
  <c r="AE171" i="45"/>
  <c r="AF171" i="45"/>
  <c r="AG171" i="45"/>
  <c r="AE172" i="45"/>
  <c r="AF172" i="45"/>
  <c r="AG172" i="45"/>
  <c r="AE173" i="45"/>
  <c r="AF173" i="45"/>
  <c r="AG173" i="45"/>
  <c r="AE174" i="45"/>
  <c r="AF174" i="45"/>
  <c r="AG174" i="45"/>
  <c r="AE175" i="45"/>
  <c r="AF175" i="45"/>
  <c r="AG175" i="45"/>
  <c r="AE176" i="45"/>
  <c r="AF176" i="45"/>
  <c r="AG176" i="45"/>
  <c r="AE177" i="45"/>
  <c r="AF177" i="45"/>
  <c r="AG177" i="45"/>
  <c r="AE178" i="45"/>
  <c r="AF178" i="45"/>
  <c r="AG178" i="45"/>
  <c r="AE179" i="45"/>
  <c r="AF179" i="45"/>
  <c r="AG179" i="45"/>
  <c r="AE180" i="45"/>
  <c r="AF180" i="45"/>
  <c r="AG180" i="45"/>
  <c r="AE181" i="45"/>
  <c r="AF181" i="45"/>
  <c r="AG181" i="45"/>
  <c r="AE182" i="45"/>
  <c r="AF182" i="45"/>
  <c r="AG182" i="45"/>
  <c r="AE183" i="45"/>
  <c r="AF183" i="45"/>
  <c r="AG183" i="45"/>
  <c r="AE184" i="45"/>
  <c r="AF184" i="45"/>
  <c r="AG184" i="45"/>
  <c r="AE185" i="45"/>
  <c r="AF185" i="45"/>
  <c r="AG185" i="45"/>
  <c r="AE186" i="45"/>
  <c r="AF186" i="45"/>
  <c r="AG186" i="45"/>
  <c r="AE187" i="45"/>
  <c r="AF187" i="45"/>
  <c r="AG187" i="45"/>
  <c r="AE188" i="45"/>
  <c r="AF188" i="45"/>
  <c r="AG188" i="45"/>
  <c r="AE189" i="45"/>
  <c r="AF189" i="45"/>
  <c r="AG189" i="45"/>
  <c r="AE190" i="45"/>
  <c r="AF190" i="45"/>
  <c r="AG190" i="45"/>
  <c r="AE191" i="45"/>
  <c r="AF191" i="45"/>
  <c r="AG191" i="45"/>
  <c r="AE192" i="45"/>
  <c r="AF192" i="45"/>
  <c r="AG192" i="45"/>
  <c r="AE193" i="45"/>
  <c r="AF193" i="45"/>
  <c r="AG193" i="45"/>
  <c r="AE194" i="45"/>
  <c r="AF194" i="45"/>
  <c r="AG194" i="45"/>
  <c r="AE195" i="45"/>
  <c r="AF195" i="45"/>
  <c r="AG195" i="45"/>
  <c r="AE196" i="45"/>
  <c r="AF196" i="45"/>
  <c r="AG196" i="45"/>
  <c r="AE197" i="45"/>
  <c r="AF197" i="45"/>
  <c r="AG197" i="45"/>
  <c r="AE198" i="45"/>
  <c r="AF198" i="45"/>
  <c r="AG198" i="45"/>
  <c r="AE199" i="45"/>
  <c r="AF199" i="45"/>
  <c r="AG199" i="45"/>
  <c r="AE200" i="45"/>
  <c r="AF200" i="45"/>
  <c r="AG200" i="45"/>
  <c r="AE201" i="45"/>
  <c r="AF201" i="45"/>
  <c r="AG201" i="45"/>
  <c r="AE202" i="45"/>
  <c r="AF202" i="45"/>
  <c r="AG202" i="45"/>
  <c r="AE203" i="45"/>
  <c r="AF203" i="45"/>
  <c r="AG203" i="45"/>
  <c r="AE204" i="45"/>
  <c r="AF204" i="45"/>
  <c r="AG204" i="45"/>
  <c r="AE205" i="45"/>
  <c r="AF205" i="45"/>
  <c r="AG205" i="45"/>
  <c r="AE206" i="45"/>
  <c r="AF206" i="45"/>
  <c r="AG206" i="45"/>
  <c r="AE207" i="45"/>
  <c r="AF207" i="45"/>
  <c r="AG207" i="45"/>
  <c r="AE208" i="45"/>
  <c r="AF208" i="45"/>
  <c r="AG208" i="45"/>
  <c r="AE209" i="45"/>
  <c r="AF209" i="45"/>
  <c r="AG209" i="45"/>
  <c r="AE210" i="45"/>
  <c r="AF210" i="45"/>
  <c r="AG210" i="45"/>
  <c r="AE211" i="45"/>
  <c r="AF211" i="45"/>
  <c r="AG211" i="45"/>
  <c r="AE212" i="45"/>
  <c r="AF212" i="45"/>
  <c r="AG212" i="45"/>
  <c r="AE213" i="45"/>
  <c r="AF213" i="45"/>
  <c r="AG213" i="45"/>
  <c r="AE214" i="45"/>
  <c r="AF214" i="45"/>
  <c r="AG214" i="45"/>
  <c r="AE215" i="45"/>
  <c r="AF215" i="45"/>
  <c r="AG215" i="45"/>
  <c r="AE216" i="45"/>
  <c r="AF216" i="45"/>
  <c r="AG216" i="45"/>
  <c r="AE217" i="45"/>
  <c r="AF217" i="45"/>
  <c r="AG217" i="45"/>
  <c r="AE218" i="45"/>
  <c r="AF218" i="45"/>
  <c r="AG218" i="45"/>
  <c r="AE219" i="45"/>
  <c r="AF219" i="45"/>
  <c r="AG219" i="45"/>
  <c r="AE220" i="45"/>
  <c r="AF220" i="45"/>
  <c r="AG220" i="45"/>
  <c r="AE221" i="45"/>
  <c r="AF221" i="45"/>
  <c r="AG221" i="45"/>
  <c r="AE222" i="45"/>
  <c r="AF222" i="45"/>
  <c r="AG222" i="45"/>
  <c r="AE223" i="45"/>
  <c r="AF223" i="45"/>
  <c r="AG223" i="45"/>
  <c r="AE224" i="45"/>
  <c r="AF224" i="45"/>
  <c r="AG224" i="45"/>
  <c r="AE225" i="45"/>
  <c r="AF225" i="45"/>
  <c r="AG225" i="45"/>
  <c r="AE226" i="45"/>
  <c r="AF226" i="45"/>
  <c r="AG226" i="45"/>
  <c r="AE227" i="45"/>
  <c r="AF227" i="45"/>
  <c r="AG227" i="45"/>
  <c r="AE228" i="45"/>
  <c r="AF228" i="45"/>
  <c r="AG228" i="45"/>
  <c r="AE229" i="45"/>
  <c r="AF229" i="45"/>
  <c r="AG229" i="45"/>
  <c r="AE230" i="45"/>
  <c r="AF230" i="45"/>
  <c r="AG230" i="45"/>
  <c r="AE231" i="45"/>
  <c r="AF231" i="45"/>
  <c r="AG231" i="45"/>
  <c r="AE232" i="45"/>
  <c r="AF232" i="45"/>
  <c r="AG232" i="45"/>
  <c r="AE233" i="45"/>
  <c r="AF233" i="45"/>
  <c r="AG233" i="45"/>
  <c r="AE234" i="45"/>
  <c r="AF234" i="45"/>
  <c r="AG234" i="45"/>
  <c r="AE235" i="45"/>
  <c r="AF235" i="45"/>
  <c r="AG235" i="45"/>
  <c r="AE236" i="45"/>
  <c r="AF236" i="45"/>
  <c r="AG236" i="45"/>
  <c r="AE237" i="45"/>
  <c r="AF237" i="45"/>
  <c r="AG237" i="45"/>
  <c r="AE238" i="45"/>
  <c r="AF238" i="45"/>
  <c r="AG238" i="45"/>
  <c r="AE239" i="45"/>
  <c r="AF239" i="45"/>
  <c r="AG239" i="45"/>
  <c r="AE240" i="45"/>
  <c r="AF240" i="45"/>
  <c r="AG240" i="45"/>
  <c r="AE241" i="45"/>
  <c r="AF241" i="45"/>
  <c r="AG241" i="45"/>
  <c r="AE242" i="45"/>
  <c r="AF242" i="45"/>
  <c r="AG242" i="45"/>
  <c r="AE243" i="45"/>
  <c r="AF243" i="45"/>
  <c r="AG243" i="45"/>
  <c r="AE244" i="45"/>
  <c r="AF244" i="45"/>
  <c r="AG244" i="45"/>
  <c r="AE245" i="45"/>
  <c r="AF245" i="45"/>
  <c r="AG245" i="45"/>
  <c r="AE246" i="45"/>
  <c r="AF246" i="45"/>
  <c r="AG246" i="45"/>
  <c r="AE247" i="45"/>
  <c r="AF247" i="45"/>
  <c r="AG247" i="45"/>
  <c r="AE248" i="45"/>
  <c r="AF248" i="45"/>
  <c r="AG248" i="45"/>
  <c r="AE249" i="45"/>
  <c r="AF249" i="45"/>
  <c r="AG249" i="45"/>
  <c r="AE250" i="45"/>
  <c r="AF250" i="45"/>
  <c r="AG250" i="45"/>
  <c r="AE251" i="45"/>
  <c r="AF251" i="45"/>
  <c r="AG251" i="45"/>
  <c r="AE252" i="45"/>
  <c r="AF252" i="45"/>
  <c r="AG252" i="45"/>
  <c r="AE253" i="45"/>
  <c r="AF253" i="45"/>
  <c r="AG253" i="45"/>
  <c r="AE254" i="45"/>
  <c r="AF254" i="45"/>
  <c r="AG254" i="45"/>
  <c r="AE255" i="45"/>
  <c r="AF255" i="45"/>
  <c r="AG255" i="45"/>
  <c r="AE256" i="45"/>
  <c r="AF256" i="45"/>
  <c r="AG256" i="45"/>
  <c r="AE257" i="45"/>
  <c r="AF257" i="45"/>
  <c r="AG257" i="45"/>
  <c r="AE258" i="45"/>
  <c r="AF258" i="45"/>
  <c r="AG258" i="45"/>
  <c r="AE259" i="45"/>
  <c r="AF259" i="45"/>
  <c r="AG259" i="45"/>
  <c r="AE260" i="45"/>
  <c r="AF260" i="45"/>
  <c r="AG260" i="45"/>
  <c r="AE261" i="45"/>
  <c r="AF261" i="45"/>
  <c r="AG261" i="45"/>
  <c r="AE262" i="45"/>
  <c r="AF262" i="45"/>
  <c r="AG262" i="45"/>
  <c r="AE263" i="45"/>
  <c r="AF263" i="45"/>
  <c r="AG263" i="45"/>
  <c r="AE264" i="45"/>
  <c r="AF264" i="45"/>
  <c r="AG264" i="45"/>
  <c r="AE265" i="45"/>
  <c r="AF265" i="45"/>
  <c r="AG265" i="45"/>
  <c r="AE266" i="45"/>
  <c r="AF266" i="45"/>
  <c r="AG266" i="45"/>
  <c r="AE267" i="45"/>
  <c r="AF267" i="45"/>
  <c r="AG267" i="45"/>
  <c r="AE268" i="45"/>
  <c r="AF268" i="45"/>
  <c r="AG268" i="45"/>
  <c r="AE269" i="45"/>
  <c r="AF269" i="45"/>
  <c r="AG269" i="45"/>
  <c r="AE270" i="45"/>
  <c r="AF270" i="45"/>
  <c r="AG270" i="45"/>
  <c r="AE271" i="45"/>
  <c r="AF271" i="45"/>
  <c r="AG271" i="45"/>
  <c r="AE272" i="45"/>
  <c r="AF272" i="45"/>
  <c r="AG272" i="45"/>
  <c r="AE273" i="45"/>
  <c r="AF273" i="45"/>
  <c r="AG273" i="45"/>
  <c r="AE274" i="45"/>
  <c r="AF274" i="45"/>
  <c r="AG274" i="45"/>
  <c r="AE275" i="45"/>
  <c r="AF275" i="45"/>
  <c r="AG275" i="45"/>
  <c r="AE276" i="45"/>
  <c r="AF276" i="45"/>
  <c r="AG276" i="45"/>
  <c r="AE277" i="45"/>
  <c r="AF277" i="45"/>
  <c r="AG277" i="45"/>
  <c r="AE278" i="45"/>
  <c r="AF278" i="45"/>
  <c r="AG278" i="45"/>
  <c r="AE279" i="45"/>
  <c r="AF279" i="45"/>
  <c r="AG279" i="45"/>
  <c r="AE280" i="45"/>
  <c r="AF280" i="45"/>
  <c r="AG280" i="45"/>
  <c r="AE281" i="45"/>
  <c r="AF281" i="45"/>
  <c r="AG281" i="45"/>
  <c r="AE282" i="45"/>
  <c r="AF282" i="45"/>
  <c r="AG282" i="45"/>
  <c r="AE283" i="45"/>
  <c r="AF283" i="45"/>
  <c r="AG283" i="45"/>
  <c r="AE284" i="45"/>
  <c r="AF284" i="45"/>
  <c r="AG284" i="45"/>
  <c r="AE285" i="45"/>
  <c r="AF285" i="45"/>
  <c r="AG285" i="45"/>
  <c r="AE286" i="45"/>
  <c r="AF286" i="45"/>
  <c r="AG286" i="45"/>
  <c r="AE287" i="45"/>
  <c r="AF287" i="45"/>
  <c r="AG287" i="45"/>
  <c r="AE288" i="45"/>
  <c r="AF288" i="45"/>
  <c r="AG288" i="45"/>
  <c r="AE289" i="45"/>
  <c r="AF289" i="45"/>
  <c r="AG289" i="45"/>
  <c r="AE290" i="45"/>
  <c r="AF290" i="45"/>
  <c r="AG290" i="45"/>
  <c r="X2" i="46"/>
  <c r="X3" i="46"/>
  <c r="X5" i="46"/>
  <c r="X4" i="46"/>
  <c r="X7" i="46" l="1"/>
  <c r="B70" i="2" l="1"/>
  <c r="B43" i="43"/>
  <c r="D43" i="43" s="1"/>
  <c r="B44" i="43"/>
  <c r="D44" i="43" s="1"/>
  <c r="B45" i="43"/>
  <c r="E45" i="43" s="1"/>
  <c r="B42" i="43"/>
  <c r="G29" i="43"/>
  <c r="G30" i="43"/>
  <c r="G31" i="43"/>
  <c r="G32" i="43"/>
  <c r="G33" i="43"/>
  <c r="G34" i="43"/>
  <c r="G35" i="43"/>
  <c r="G36" i="43"/>
  <c r="G37" i="43"/>
  <c r="G39" i="43"/>
  <c r="G28" i="43"/>
  <c r="E29" i="43"/>
  <c r="F29" i="43"/>
  <c r="E30" i="43"/>
  <c r="F30" i="43"/>
  <c r="E31" i="43"/>
  <c r="F31" i="43"/>
  <c r="E32" i="43"/>
  <c r="F32" i="43"/>
  <c r="E33" i="43"/>
  <c r="F33" i="43"/>
  <c r="E34" i="43"/>
  <c r="F34" i="43"/>
  <c r="E35" i="43"/>
  <c r="F35" i="43"/>
  <c r="E36" i="43"/>
  <c r="F36" i="43"/>
  <c r="E37" i="43"/>
  <c r="F37" i="43"/>
  <c r="E38" i="43"/>
  <c r="F38" i="43"/>
  <c r="E39" i="43"/>
  <c r="F39" i="43"/>
  <c r="F28" i="43"/>
  <c r="E28" i="43"/>
  <c r="AG170" i="45"/>
  <c r="AG169" i="45"/>
  <c r="AG168" i="45"/>
  <c r="AG167" i="45"/>
  <c r="AG166" i="45"/>
  <c r="AG165" i="45"/>
  <c r="AG164" i="45"/>
  <c r="AG163" i="45"/>
  <c r="AG162" i="45"/>
  <c r="AG161" i="45"/>
  <c r="AG160" i="45"/>
  <c r="AG159" i="45"/>
  <c r="AG158" i="45"/>
  <c r="AG157" i="45"/>
  <c r="AG156" i="45"/>
  <c r="AG155" i="45"/>
  <c r="AG154" i="45"/>
  <c r="AG153" i="45"/>
  <c r="AG152" i="45"/>
  <c r="AG151" i="45"/>
  <c r="AG150" i="45"/>
  <c r="AG149" i="45"/>
  <c r="AG148" i="45"/>
  <c r="AG147" i="45"/>
  <c r="AG146" i="45"/>
  <c r="AG145" i="45"/>
  <c r="AG144" i="45"/>
  <c r="AG143" i="45"/>
  <c r="AG142" i="45"/>
  <c r="AG141" i="45"/>
  <c r="AG140" i="45"/>
  <c r="AG139" i="45"/>
  <c r="AG138" i="45"/>
  <c r="AG137" i="45"/>
  <c r="AG136" i="45"/>
  <c r="AG135" i="45"/>
  <c r="AG134" i="45"/>
  <c r="AG133" i="45"/>
  <c r="AG132" i="45"/>
  <c r="AG131" i="45"/>
  <c r="AG130" i="45"/>
  <c r="AG129" i="45"/>
  <c r="AG128" i="45"/>
  <c r="AG127" i="45"/>
  <c r="AG126" i="45"/>
  <c r="AG125" i="45"/>
  <c r="AG124" i="45"/>
  <c r="AG123" i="45"/>
  <c r="AG122" i="45"/>
  <c r="AG121" i="45"/>
  <c r="AG120" i="45"/>
  <c r="AG119" i="45"/>
  <c r="AG118" i="45"/>
  <c r="AG117" i="45"/>
  <c r="AG116" i="45"/>
  <c r="AG115" i="45"/>
  <c r="AG114" i="45"/>
  <c r="AG113" i="45"/>
  <c r="AG112" i="45"/>
  <c r="AG111" i="45"/>
  <c r="AG110" i="45"/>
  <c r="AG109" i="45"/>
  <c r="AG108" i="45"/>
  <c r="AG107" i="45"/>
  <c r="AG106" i="45"/>
  <c r="AG105" i="45"/>
  <c r="AG104" i="45"/>
  <c r="AG103" i="45"/>
  <c r="AG102" i="45"/>
  <c r="AG101" i="45"/>
  <c r="AG100" i="45"/>
  <c r="AG99" i="45"/>
  <c r="AG98" i="45"/>
  <c r="AG97" i="45"/>
  <c r="AG96" i="45"/>
  <c r="AG95" i="45"/>
  <c r="AG94" i="45"/>
  <c r="AG93" i="45"/>
  <c r="AG92" i="45"/>
  <c r="AG91" i="45"/>
  <c r="AG90" i="45"/>
  <c r="AG89" i="45"/>
  <c r="AG88" i="45"/>
  <c r="AG87" i="45"/>
  <c r="AG86" i="45"/>
  <c r="AG85" i="45"/>
  <c r="AG84" i="45"/>
  <c r="AG83" i="45"/>
  <c r="AG82" i="45"/>
  <c r="AG81" i="45"/>
  <c r="AG80" i="45"/>
  <c r="AG79" i="45"/>
  <c r="AG78" i="45"/>
  <c r="AG77" i="45"/>
  <c r="AG76" i="45"/>
  <c r="AG75" i="45"/>
  <c r="AG74" i="45"/>
  <c r="AG73" i="45"/>
  <c r="AG72" i="45"/>
  <c r="AG71" i="45"/>
  <c r="AG70" i="45"/>
  <c r="AG69" i="45"/>
  <c r="AG68" i="45"/>
  <c r="AG67" i="45"/>
  <c r="AG66" i="45"/>
  <c r="AG65" i="45"/>
  <c r="AG64" i="45"/>
  <c r="AG63" i="45"/>
  <c r="AG62" i="45"/>
  <c r="AG61" i="45"/>
  <c r="AG60" i="45"/>
  <c r="AG59" i="45"/>
  <c r="AG58" i="45"/>
  <c r="AG57" i="45"/>
  <c r="AG56" i="45"/>
  <c r="AG55" i="45"/>
  <c r="AG54" i="45"/>
  <c r="AG53" i="45"/>
  <c r="AG52" i="45"/>
  <c r="AG51" i="45"/>
  <c r="AG50" i="45"/>
  <c r="AG49" i="45"/>
  <c r="AG48" i="45"/>
  <c r="AG47" i="45"/>
  <c r="AG46" i="45"/>
  <c r="AG45" i="45"/>
  <c r="AG44" i="45"/>
  <c r="AG43" i="45"/>
  <c r="AG42" i="45"/>
  <c r="AG41" i="45"/>
  <c r="AG40" i="45"/>
  <c r="AG39" i="45"/>
  <c r="AG38" i="45"/>
  <c r="AG37" i="45"/>
  <c r="AG36" i="45"/>
  <c r="AG35" i="45"/>
  <c r="AG34" i="45"/>
  <c r="AG33" i="45"/>
  <c r="AG32" i="45"/>
  <c r="AG31" i="45"/>
  <c r="AG30" i="45"/>
  <c r="AG29" i="45"/>
  <c r="AG28" i="45"/>
  <c r="AG27" i="45"/>
  <c r="AG26" i="45"/>
  <c r="AG25" i="45"/>
  <c r="AG24" i="45"/>
  <c r="AG23" i="45"/>
  <c r="AG22" i="45"/>
  <c r="AG21" i="45"/>
  <c r="AG20" i="45"/>
  <c r="AG19" i="45"/>
  <c r="AG18" i="45"/>
  <c r="AG17" i="45"/>
  <c r="AG16" i="45"/>
  <c r="AG15" i="45"/>
  <c r="AG14" i="45"/>
  <c r="AG13" i="45"/>
  <c r="AG12" i="45"/>
  <c r="AG11" i="45"/>
  <c r="AG10" i="45"/>
  <c r="AG9" i="45"/>
  <c r="AG8" i="45"/>
  <c r="AG7" i="45"/>
  <c r="AG6" i="45"/>
  <c r="AG5" i="45"/>
  <c r="AG4" i="45"/>
  <c r="AG3" i="45"/>
  <c r="AF170" i="45"/>
  <c r="AF169" i="45"/>
  <c r="AF168" i="45"/>
  <c r="AF167" i="45"/>
  <c r="AF166" i="45"/>
  <c r="AF165" i="45"/>
  <c r="AF164" i="45"/>
  <c r="AF163" i="45"/>
  <c r="AF162" i="45"/>
  <c r="AF161" i="45"/>
  <c r="AF160" i="45"/>
  <c r="AF159" i="45"/>
  <c r="AF158" i="45"/>
  <c r="AF157" i="45"/>
  <c r="AF156" i="45"/>
  <c r="AF155" i="45"/>
  <c r="AF154" i="45"/>
  <c r="AF153" i="45"/>
  <c r="AF152" i="45"/>
  <c r="AF151" i="45"/>
  <c r="AF150" i="45"/>
  <c r="AF149" i="45"/>
  <c r="AF148" i="45"/>
  <c r="AF147" i="45"/>
  <c r="AF146" i="45"/>
  <c r="AF145" i="45"/>
  <c r="AF144" i="45"/>
  <c r="AF143" i="45"/>
  <c r="AF142" i="45"/>
  <c r="AF141" i="45"/>
  <c r="AF140" i="45"/>
  <c r="AF139" i="45"/>
  <c r="AF138" i="45"/>
  <c r="AF137" i="45"/>
  <c r="AF136" i="45"/>
  <c r="AF135" i="45"/>
  <c r="AF134" i="45"/>
  <c r="AF133" i="45"/>
  <c r="AF132" i="45"/>
  <c r="AF131" i="45"/>
  <c r="AF130" i="45"/>
  <c r="AF129" i="45"/>
  <c r="AF128" i="45"/>
  <c r="AF127" i="45"/>
  <c r="AF126" i="45"/>
  <c r="AF125" i="45"/>
  <c r="AF124" i="45"/>
  <c r="AF123" i="45"/>
  <c r="AF122" i="45"/>
  <c r="AF121" i="45"/>
  <c r="AF120" i="45"/>
  <c r="AF119" i="45"/>
  <c r="AF118" i="45"/>
  <c r="AF117" i="45"/>
  <c r="AF116" i="45"/>
  <c r="AF115" i="45"/>
  <c r="AF114" i="45"/>
  <c r="AF113" i="45"/>
  <c r="AF112" i="45"/>
  <c r="AF111" i="45"/>
  <c r="AF110" i="45"/>
  <c r="AF109" i="45"/>
  <c r="AF108" i="45"/>
  <c r="AF107" i="45"/>
  <c r="AF106" i="45"/>
  <c r="AF105" i="45"/>
  <c r="AF104" i="45"/>
  <c r="AF103" i="45"/>
  <c r="AF102" i="45"/>
  <c r="AF101" i="45"/>
  <c r="AF100" i="45"/>
  <c r="AF99" i="45"/>
  <c r="AF98" i="45"/>
  <c r="AF97" i="45"/>
  <c r="AF96" i="45"/>
  <c r="AF95" i="45"/>
  <c r="AF94" i="45"/>
  <c r="AF93" i="45"/>
  <c r="AF92" i="45"/>
  <c r="AF91" i="45"/>
  <c r="AF90" i="45"/>
  <c r="AF89" i="45"/>
  <c r="AF88" i="45"/>
  <c r="AF87" i="45"/>
  <c r="AF86" i="45"/>
  <c r="AF85" i="45"/>
  <c r="AF84" i="45"/>
  <c r="AF83" i="45"/>
  <c r="AF82" i="45"/>
  <c r="AF81" i="45"/>
  <c r="AF80" i="45"/>
  <c r="AF79" i="45"/>
  <c r="AF78" i="45"/>
  <c r="AF77" i="45"/>
  <c r="AF76" i="45"/>
  <c r="AF75" i="45"/>
  <c r="AF74" i="45"/>
  <c r="AF73" i="45"/>
  <c r="AF72" i="45"/>
  <c r="AF71" i="45"/>
  <c r="AF70" i="45"/>
  <c r="AF69" i="45"/>
  <c r="AF68" i="45"/>
  <c r="AF67" i="45"/>
  <c r="AF66" i="45"/>
  <c r="AF65" i="45"/>
  <c r="AF64" i="45"/>
  <c r="AF63" i="45"/>
  <c r="AF62" i="45"/>
  <c r="AF61" i="45"/>
  <c r="AF60" i="45"/>
  <c r="AF59" i="45"/>
  <c r="AF58" i="45"/>
  <c r="AF57" i="45"/>
  <c r="AF56" i="45"/>
  <c r="AF55" i="45"/>
  <c r="AF54" i="45"/>
  <c r="AF53" i="45"/>
  <c r="AF52" i="45"/>
  <c r="AF51" i="45"/>
  <c r="AF50" i="45"/>
  <c r="AF49" i="45"/>
  <c r="AF48" i="45"/>
  <c r="AF47" i="45"/>
  <c r="AF46" i="45"/>
  <c r="AF45" i="45"/>
  <c r="AF44" i="45"/>
  <c r="AF43" i="45"/>
  <c r="AF42" i="45"/>
  <c r="AF41" i="45"/>
  <c r="AF40" i="45"/>
  <c r="AF39" i="45"/>
  <c r="AF38" i="45"/>
  <c r="AF37" i="45"/>
  <c r="AF36" i="45"/>
  <c r="AF35" i="45"/>
  <c r="AF34" i="45"/>
  <c r="AF33" i="45"/>
  <c r="AF32" i="45"/>
  <c r="AF31" i="45"/>
  <c r="AF30" i="45"/>
  <c r="AF29" i="45"/>
  <c r="AF28" i="45"/>
  <c r="AF27" i="45"/>
  <c r="AF26" i="45"/>
  <c r="AF25" i="45"/>
  <c r="AF24" i="45"/>
  <c r="AF23" i="45"/>
  <c r="AF22" i="45"/>
  <c r="AF21" i="45"/>
  <c r="AF20" i="45"/>
  <c r="AF19" i="45"/>
  <c r="AF18" i="45"/>
  <c r="AF17" i="45"/>
  <c r="AF16" i="45"/>
  <c r="AF15" i="45"/>
  <c r="AF14" i="45"/>
  <c r="AF13" i="45"/>
  <c r="AF12" i="45"/>
  <c r="AF11" i="45"/>
  <c r="AF10" i="45"/>
  <c r="AF9" i="45"/>
  <c r="AF8" i="45"/>
  <c r="AF7" i="45"/>
  <c r="AF6" i="45"/>
  <c r="AF5" i="45"/>
  <c r="AF4" i="45"/>
  <c r="AF3" i="45"/>
  <c r="AE170" i="45"/>
  <c r="AE169" i="45"/>
  <c r="AE168" i="45"/>
  <c r="AE167" i="45"/>
  <c r="AE166" i="45"/>
  <c r="AE165" i="45"/>
  <c r="AE164" i="45"/>
  <c r="AE163" i="45"/>
  <c r="AE162" i="45"/>
  <c r="AE161" i="45"/>
  <c r="AE160" i="45"/>
  <c r="AE159" i="45"/>
  <c r="AE158" i="45"/>
  <c r="AE157" i="45"/>
  <c r="AE156" i="45"/>
  <c r="AE155" i="45"/>
  <c r="AE154" i="45"/>
  <c r="AE153" i="45"/>
  <c r="AE152" i="45"/>
  <c r="AE151" i="45"/>
  <c r="AE150" i="45"/>
  <c r="AE149" i="45"/>
  <c r="AE148" i="45"/>
  <c r="AE147" i="45"/>
  <c r="AE146" i="45"/>
  <c r="AE145" i="45"/>
  <c r="AE144" i="45"/>
  <c r="AE143" i="45"/>
  <c r="AE142" i="45"/>
  <c r="AE141" i="45"/>
  <c r="AE140" i="45"/>
  <c r="AE139" i="45"/>
  <c r="AE138" i="45"/>
  <c r="AE137" i="45"/>
  <c r="AE136" i="45"/>
  <c r="AE135" i="45"/>
  <c r="AE134" i="45"/>
  <c r="AE133" i="45"/>
  <c r="AE132" i="45"/>
  <c r="AE131" i="45"/>
  <c r="AE130" i="45"/>
  <c r="AE129" i="45"/>
  <c r="AE128" i="45"/>
  <c r="AE127" i="45"/>
  <c r="AE126" i="45"/>
  <c r="AE125" i="45"/>
  <c r="AE124" i="45"/>
  <c r="AE123" i="45"/>
  <c r="AE122" i="45"/>
  <c r="AE121" i="45"/>
  <c r="AE120" i="45"/>
  <c r="AE119" i="45"/>
  <c r="AE118" i="45"/>
  <c r="AE117" i="45"/>
  <c r="AE116" i="45"/>
  <c r="AE115" i="45"/>
  <c r="AE114" i="45"/>
  <c r="AE113" i="45"/>
  <c r="AE112" i="45"/>
  <c r="AE111" i="45"/>
  <c r="AE110" i="45"/>
  <c r="AE109" i="45"/>
  <c r="AE108" i="45"/>
  <c r="AE107" i="45"/>
  <c r="AE106" i="45"/>
  <c r="AE105" i="45"/>
  <c r="AE104" i="45"/>
  <c r="AE103" i="45"/>
  <c r="AE102" i="45"/>
  <c r="AE101" i="45"/>
  <c r="AE100" i="45"/>
  <c r="AE99" i="45"/>
  <c r="AE98" i="45"/>
  <c r="AE97" i="45"/>
  <c r="AE96" i="45"/>
  <c r="AE95" i="45"/>
  <c r="AE94" i="45"/>
  <c r="AE93" i="45"/>
  <c r="AE92" i="45"/>
  <c r="AE91" i="45"/>
  <c r="AE90" i="45"/>
  <c r="AE89" i="45"/>
  <c r="AE88" i="45"/>
  <c r="AE87" i="45"/>
  <c r="AE86" i="45"/>
  <c r="AE85" i="45"/>
  <c r="AE84" i="45"/>
  <c r="AE83" i="45"/>
  <c r="AE82" i="45"/>
  <c r="AE81" i="45"/>
  <c r="AE80" i="45"/>
  <c r="AE79" i="45"/>
  <c r="AE78" i="45"/>
  <c r="AE77" i="45"/>
  <c r="AE76" i="45"/>
  <c r="AE75" i="45"/>
  <c r="AE74" i="45"/>
  <c r="AE73" i="45"/>
  <c r="AE72" i="45"/>
  <c r="AE71" i="45"/>
  <c r="AE70" i="45"/>
  <c r="AE69" i="45"/>
  <c r="AE68" i="45"/>
  <c r="AE67" i="45"/>
  <c r="AE66" i="45"/>
  <c r="AE65" i="45"/>
  <c r="AE64" i="45"/>
  <c r="AE63" i="45"/>
  <c r="AE62" i="45"/>
  <c r="AE61" i="45"/>
  <c r="AE60" i="45"/>
  <c r="AE59" i="45"/>
  <c r="AE58" i="45"/>
  <c r="AE57" i="45"/>
  <c r="AE56" i="45"/>
  <c r="AE55" i="45"/>
  <c r="AE54" i="45"/>
  <c r="AE53" i="45"/>
  <c r="AE52" i="45"/>
  <c r="AE51" i="45"/>
  <c r="AE50" i="45"/>
  <c r="AE49" i="45"/>
  <c r="AE48" i="45"/>
  <c r="AE47" i="45"/>
  <c r="AE46" i="45"/>
  <c r="AE45" i="45"/>
  <c r="AE44" i="45"/>
  <c r="AE43" i="45"/>
  <c r="AE42" i="45"/>
  <c r="AE41" i="45"/>
  <c r="AE40" i="45"/>
  <c r="AE39" i="45"/>
  <c r="AE38" i="45"/>
  <c r="AE37" i="45"/>
  <c r="AE36" i="45"/>
  <c r="AE35" i="45"/>
  <c r="AE34" i="45"/>
  <c r="AE33" i="45"/>
  <c r="AE32" i="45"/>
  <c r="AE31" i="45"/>
  <c r="AE30" i="45"/>
  <c r="AE29" i="45"/>
  <c r="AE28" i="45"/>
  <c r="AE27" i="45"/>
  <c r="AE26" i="45"/>
  <c r="AE25" i="45"/>
  <c r="AE24" i="45"/>
  <c r="AE23" i="45"/>
  <c r="AE22" i="45"/>
  <c r="AE21" i="45"/>
  <c r="AE20" i="45"/>
  <c r="AE19" i="45"/>
  <c r="AE18" i="45"/>
  <c r="AE17" i="45"/>
  <c r="AE16" i="45"/>
  <c r="AE15" i="45"/>
  <c r="AE14" i="45"/>
  <c r="AE13" i="45"/>
  <c r="AE12" i="45"/>
  <c r="AE11" i="45"/>
  <c r="AE10" i="45"/>
  <c r="AE9" i="45"/>
  <c r="AE8" i="45"/>
  <c r="AE7" i="45"/>
  <c r="AE6" i="45"/>
  <c r="AE5" i="45"/>
  <c r="AE4" i="45"/>
  <c r="AE3" i="45"/>
  <c r="E3" i="46"/>
  <c r="K4" i="46"/>
  <c r="E2" i="46"/>
  <c r="E5" i="46"/>
  <c r="K5" i="46"/>
  <c r="E4" i="46"/>
  <c r="K2" i="46"/>
  <c r="K3" i="46"/>
  <c r="K131" i="44" l="1"/>
  <c r="K136" i="44"/>
  <c r="K430" i="44"/>
  <c r="M435" i="44"/>
  <c r="M1015" i="44" s="1"/>
  <c r="R434" i="44"/>
  <c r="R1014" i="44" s="1"/>
  <c r="W435" i="44"/>
  <c r="W1015" i="44" s="1"/>
  <c r="G435" i="44"/>
  <c r="G1015" i="44" s="1"/>
  <c r="I434" i="44"/>
  <c r="I1014" i="44" s="1"/>
  <c r="M433" i="44"/>
  <c r="M1013" i="44" s="1"/>
  <c r="T434" i="44"/>
  <c r="T1014" i="44" s="1"/>
  <c r="V433" i="44"/>
  <c r="V1013" i="44" s="1"/>
  <c r="X432" i="44"/>
  <c r="H432" i="44"/>
  <c r="H1012" i="44" s="1"/>
  <c r="M431" i="44"/>
  <c r="M1011" i="44" s="1"/>
  <c r="R430" i="44"/>
  <c r="R1010" i="44" s="1"/>
  <c r="P1230" i="44" s="1"/>
  <c r="T429" i="44"/>
  <c r="T1009" i="44" s="1"/>
  <c r="V428" i="44"/>
  <c r="V1008" i="44" s="1"/>
  <c r="X427" i="44"/>
  <c r="G427" i="44"/>
  <c r="G1007" i="44" s="1"/>
  <c r="I426" i="44"/>
  <c r="I1006" i="44" s="1"/>
  <c r="M425" i="44"/>
  <c r="M1005" i="44" s="1"/>
  <c r="R424" i="44"/>
  <c r="R1004" i="44" s="1"/>
  <c r="V423" i="44"/>
  <c r="V1003" i="44" s="1"/>
  <c r="G423" i="44"/>
  <c r="G1003" i="44" s="1"/>
  <c r="I422" i="44"/>
  <c r="I1002" i="44" s="1"/>
  <c r="N421" i="44"/>
  <c r="N1001" i="44" s="1"/>
  <c r="S420" i="44"/>
  <c r="S1000" i="44" s="1"/>
  <c r="U419" i="44"/>
  <c r="U999" i="44" s="1"/>
  <c r="W418" i="44"/>
  <c r="W998" i="44" s="1"/>
  <c r="F418" i="44"/>
  <c r="F998" i="44" s="1"/>
  <c r="H417" i="44"/>
  <c r="H997" i="44" s="1"/>
  <c r="L416" i="44"/>
  <c r="R415" i="44"/>
  <c r="R995" i="44" s="1"/>
  <c r="T414" i="44"/>
  <c r="T994" i="44" s="1"/>
  <c r="W413" i="44"/>
  <c r="W993" i="44" s="1"/>
  <c r="F413" i="44"/>
  <c r="F993" i="44" s="1"/>
  <c r="I412" i="44"/>
  <c r="I992" i="44" s="1"/>
  <c r="F435" i="44"/>
  <c r="F1015" i="44" s="1"/>
  <c r="X433" i="44"/>
  <c r="W432" i="44"/>
  <c r="W1012" i="44" s="1"/>
  <c r="F432" i="44"/>
  <c r="F1012" i="44" s="1"/>
  <c r="H431" i="44"/>
  <c r="H1011" i="44" s="1"/>
  <c r="I430" i="44"/>
  <c r="I1010" i="44" s="1"/>
  <c r="L429" i="44"/>
  <c r="L1009" i="44" s="1"/>
  <c r="M428" i="44"/>
  <c r="N427" i="44"/>
  <c r="N1007" i="44" s="1"/>
  <c r="R426" i="44"/>
  <c r="R1006" i="44" s="1"/>
  <c r="S425" i="44"/>
  <c r="S1005" i="44" s="1"/>
  <c r="T424" i="44"/>
  <c r="T1004" i="44" s="1"/>
  <c r="W423" i="44"/>
  <c r="W1003" i="44" s="1"/>
  <c r="F423" i="44"/>
  <c r="G422" i="44"/>
  <c r="G1002" i="44" s="1"/>
  <c r="I421" i="44"/>
  <c r="I1001" i="44" s="1"/>
  <c r="L420" i="44"/>
  <c r="L1000" i="44" s="1"/>
  <c r="M419" i="44"/>
  <c r="M999" i="44" s="1"/>
  <c r="N418" i="44"/>
  <c r="N998" i="44" s="1"/>
  <c r="R417" i="44"/>
  <c r="R997" i="44" s="1"/>
  <c r="S416" i="44"/>
  <c r="S996" i="44" s="1"/>
  <c r="U415" i="44"/>
  <c r="U995" i="44" s="1"/>
  <c r="V414" i="44"/>
  <c r="V994" i="44" s="1"/>
  <c r="X413" i="44"/>
  <c r="G412" i="44"/>
  <c r="G992" i="44" s="1"/>
  <c r="X434" i="44"/>
  <c r="W433" i="44"/>
  <c r="W1013" i="44" s="1"/>
  <c r="V432" i="44"/>
  <c r="V1012" i="44" s="1"/>
  <c r="X431" i="44"/>
  <c r="G431" i="44"/>
  <c r="G1011" i="44" s="1"/>
  <c r="H430" i="44"/>
  <c r="H1010" i="44" s="1"/>
  <c r="I429" i="44"/>
  <c r="I1009" i="44" s="1"/>
  <c r="L428" i="44"/>
  <c r="L1008" i="44" s="1"/>
  <c r="M427" i="44"/>
  <c r="M1007" i="44" s="1"/>
  <c r="N426" i="44"/>
  <c r="N1006" i="44" s="1"/>
  <c r="R425" i="44"/>
  <c r="R1005" i="44" s="1"/>
  <c r="S424" i="44"/>
  <c r="S1004" i="44" s="1"/>
  <c r="U423" i="44"/>
  <c r="U1003" i="44" s="1"/>
  <c r="X422" i="44"/>
  <c r="F422" i="44"/>
  <c r="F1002" i="44" s="1"/>
  <c r="H421" i="44"/>
  <c r="H1001" i="44" s="1"/>
  <c r="I420" i="44"/>
  <c r="I1000" i="44" s="1"/>
  <c r="L419" i="44"/>
  <c r="L999" i="44" s="1"/>
  <c r="M418" i="44"/>
  <c r="M998" i="44" s="1"/>
  <c r="N417" i="44"/>
  <c r="N997" i="44" s="1"/>
  <c r="R416" i="44"/>
  <c r="R996" i="44" s="1"/>
  <c r="T415" i="44"/>
  <c r="T995" i="44" s="1"/>
  <c r="U414" i="44"/>
  <c r="U994" i="44" s="1"/>
  <c r="V413" i="44"/>
  <c r="V993" i="44" s="1"/>
  <c r="X412" i="44"/>
  <c r="F412" i="44"/>
  <c r="F992" i="44" s="1"/>
  <c r="X435" i="44"/>
  <c r="W434" i="44"/>
  <c r="W1014" i="44" s="1"/>
  <c r="U433" i="44"/>
  <c r="U1013" i="44" s="1"/>
  <c r="U432" i="44"/>
  <c r="U1012" i="44" s="1"/>
  <c r="W431" i="44"/>
  <c r="W1011" i="44" s="1"/>
  <c r="F431" i="44"/>
  <c r="F1011" i="44" s="1"/>
  <c r="G430" i="44"/>
  <c r="G1010" i="44" s="1"/>
  <c r="H429" i="44"/>
  <c r="H1009" i="44" s="1"/>
  <c r="I428" i="44"/>
  <c r="I1008" i="44" s="1"/>
  <c r="L427" i="44"/>
  <c r="M426" i="44"/>
  <c r="M1006" i="44" s="1"/>
  <c r="N425" i="44"/>
  <c r="N1005" i="44" s="1"/>
  <c r="T423" i="44"/>
  <c r="T1003" i="44" s="1"/>
  <c r="W422" i="44"/>
  <c r="W1002" i="44" s="1"/>
  <c r="X421" i="44"/>
  <c r="G421" i="44"/>
  <c r="G1001" i="44" s="1"/>
  <c r="H420" i="44"/>
  <c r="H1000" i="44" s="1"/>
  <c r="I419" i="44"/>
  <c r="I999" i="44" s="1"/>
  <c r="L418" i="44"/>
  <c r="M417" i="44"/>
  <c r="M997" i="44" s="1"/>
  <c r="N416" i="44"/>
  <c r="N996" i="44" s="1"/>
  <c r="S415" i="44"/>
  <c r="S995" i="44" s="1"/>
  <c r="S414" i="44"/>
  <c r="S994" i="44" s="1"/>
  <c r="U413" i="44"/>
  <c r="U993" i="44" s="1"/>
  <c r="W412" i="44"/>
  <c r="W992" i="44" s="1"/>
  <c r="V435" i="44"/>
  <c r="V1015" i="44" s="1"/>
  <c r="V434" i="44"/>
  <c r="V1014" i="44" s="1"/>
  <c r="T433" i="44"/>
  <c r="T1013" i="44" s="1"/>
  <c r="T432" i="44"/>
  <c r="T1012" i="44" s="1"/>
  <c r="V431" i="44"/>
  <c r="V1011" i="44" s="1"/>
  <c r="X430" i="44"/>
  <c r="F430" i="44"/>
  <c r="F1010" i="44" s="1"/>
  <c r="G429" i="44"/>
  <c r="G1009" i="44" s="1"/>
  <c r="H428" i="44"/>
  <c r="H1008" i="44" s="1"/>
  <c r="I427" i="44"/>
  <c r="I1007" i="44" s="1"/>
  <c r="L426" i="44"/>
  <c r="L425" i="44"/>
  <c r="S423" i="44"/>
  <c r="S1003" i="44" s="1"/>
  <c r="V422" i="44"/>
  <c r="V1002" i="44" s="1"/>
  <c r="W421" i="44"/>
  <c r="W1001" i="44" s="1"/>
  <c r="F421" i="44"/>
  <c r="F1001" i="44" s="1"/>
  <c r="G420" i="44"/>
  <c r="G1000" i="44" s="1"/>
  <c r="H419" i="44"/>
  <c r="H999" i="44" s="1"/>
  <c r="I418" i="44"/>
  <c r="I998" i="44" s="1"/>
  <c r="L417" i="44"/>
  <c r="M416" i="44"/>
  <c r="M996" i="44" s="1"/>
  <c r="N415" i="44"/>
  <c r="N995" i="44" s="1"/>
  <c r="R414" i="44"/>
  <c r="R994" i="44" s="1"/>
  <c r="T413" i="44"/>
  <c r="T993" i="44" s="1"/>
  <c r="V412" i="44"/>
  <c r="V992" i="44" s="1"/>
  <c r="U435" i="44"/>
  <c r="U1015" i="44" s="1"/>
  <c r="U434" i="44"/>
  <c r="U1014" i="44" s="1"/>
  <c r="S433" i="44"/>
  <c r="S1013" i="44" s="1"/>
  <c r="S432" i="44"/>
  <c r="S1012" i="44" s="1"/>
  <c r="U431" i="44"/>
  <c r="U1011" i="44" s="1"/>
  <c r="W430" i="44"/>
  <c r="W1010" i="44" s="1"/>
  <c r="X429" i="44"/>
  <c r="F429" i="44"/>
  <c r="G428" i="44"/>
  <c r="G1008" i="44" s="1"/>
  <c r="H427" i="44"/>
  <c r="H1007" i="44" s="1"/>
  <c r="H426" i="44"/>
  <c r="H1006" i="44" s="1"/>
  <c r="I425" i="44"/>
  <c r="I1005" i="44" s="1"/>
  <c r="N424" i="44"/>
  <c r="N1004" i="44" s="1"/>
  <c r="R423" i="44"/>
  <c r="R1003" i="44" s="1"/>
  <c r="U422" i="44"/>
  <c r="U1002" i="44" s="1"/>
  <c r="V421" i="44"/>
  <c r="V1001" i="44" s="1"/>
  <c r="X420" i="44"/>
  <c r="F420" i="44"/>
  <c r="F1000" i="44" s="1"/>
  <c r="G419" i="44"/>
  <c r="G999" i="44" s="1"/>
  <c r="H418" i="44"/>
  <c r="H998" i="44" s="1"/>
  <c r="I417" i="44"/>
  <c r="I997" i="44" s="1"/>
  <c r="I416" i="44"/>
  <c r="I996" i="44" s="1"/>
  <c r="M415" i="44"/>
  <c r="S413" i="44"/>
  <c r="S993" i="44" s="1"/>
  <c r="U412" i="44"/>
  <c r="U992" i="44" s="1"/>
  <c r="T435" i="44"/>
  <c r="T1015" i="44" s="1"/>
  <c r="S434" i="44"/>
  <c r="S1014" i="44" s="1"/>
  <c r="R433" i="44"/>
  <c r="R1013" i="44" s="1"/>
  <c r="R432" i="44"/>
  <c r="R1012" i="44" s="1"/>
  <c r="T431" i="44"/>
  <c r="T1011" i="44" s="1"/>
  <c r="V430" i="44"/>
  <c r="V1010" i="44" s="1"/>
  <c r="W429" i="44"/>
  <c r="W1009" i="44" s="1"/>
  <c r="X428" i="44"/>
  <c r="F428" i="44"/>
  <c r="F1008" i="44" s="1"/>
  <c r="F427" i="44"/>
  <c r="F1007" i="44" s="1"/>
  <c r="G426" i="44"/>
  <c r="G1006" i="44" s="1"/>
  <c r="H425" i="44"/>
  <c r="H1005" i="44" s="1"/>
  <c r="M424" i="44"/>
  <c r="M1004" i="44" s="1"/>
  <c r="T422" i="44"/>
  <c r="T1002" i="44" s="1"/>
  <c r="U421" i="44"/>
  <c r="U1001" i="44" s="1"/>
  <c r="W420" i="44"/>
  <c r="W1000" i="44" s="1"/>
  <c r="X419" i="44"/>
  <c r="F419" i="44"/>
  <c r="F999" i="44" s="1"/>
  <c r="G418" i="44"/>
  <c r="G998" i="44" s="1"/>
  <c r="G417" i="44"/>
  <c r="G997" i="44" s="1"/>
  <c r="H416" i="44"/>
  <c r="H996" i="44" s="1"/>
  <c r="L415" i="44"/>
  <c r="L995" i="44" s="1"/>
  <c r="N414" i="44"/>
  <c r="N994" i="44" s="1"/>
  <c r="R413" i="44"/>
  <c r="R993" i="44" s="1"/>
  <c r="T412" i="44"/>
  <c r="T992" i="44" s="1"/>
  <c r="S435" i="44"/>
  <c r="S1015" i="44" s="1"/>
  <c r="N434" i="44"/>
  <c r="N1014" i="44" s="1"/>
  <c r="N433" i="44"/>
  <c r="N1013" i="44" s="1"/>
  <c r="P432" i="44"/>
  <c r="S431" i="44"/>
  <c r="S1011" i="44" s="1"/>
  <c r="U430" i="44"/>
  <c r="U1010" i="44" s="1"/>
  <c r="V429" i="44"/>
  <c r="V1009" i="44" s="1"/>
  <c r="W428" i="44"/>
  <c r="W1008" i="44" s="1"/>
  <c r="W427" i="44"/>
  <c r="W1007" i="44" s="1"/>
  <c r="X426" i="44"/>
  <c r="F426" i="44"/>
  <c r="F1006" i="44" s="1"/>
  <c r="G425" i="44"/>
  <c r="G1005" i="44" s="1"/>
  <c r="L424" i="44"/>
  <c r="L1004" i="44" s="1"/>
  <c r="S422" i="44"/>
  <c r="S1002" i="44" s="1"/>
  <c r="T421" i="44"/>
  <c r="T1001" i="44" s="1"/>
  <c r="V420" i="44"/>
  <c r="V1000" i="44" s="1"/>
  <c r="W419" i="44"/>
  <c r="W999" i="44" s="1"/>
  <c r="X418" i="44"/>
  <c r="X417" i="44"/>
  <c r="F417" i="44"/>
  <c r="F997" i="44" s="1"/>
  <c r="G416" i="44"/>
  <c r="G996" i="44" s="1"/>
  <c r="I415" i="44"/>
  <c r="I995" i="44" s="1"/>
  <c r="M414" i="44"/>
  <c r="M994" i="44" s="1"/>
  <c r="N413" i="44"/>
  <c r="N993" i="44" s="1"/>
  <c r="S412" i="44"/>
  <c r="S992" i="44" s="1"/>
  <c r="R435" i="44"/>
  <c r="R1015" i="44" s="1"/>
  <c r="M434" i="44"/>
  <c r="L433" i="44"/>
  <c r="N432" i="44"/>
  <c r="N1012" i="44" s="1"/>
  <c r="R431" i="44"/>
  <c r="R1011" i="44" s="1"/>
  <c r="T430" i="44"/>
  <c r="T1010" i="44" s="1"/>
  <c r="U429" i="44"/>
  <c r="U1009" i="44" s="1"/>
  <c r="U428" i="44"/>
  <c r="U1008" i="44" s="1"/>
  <c r="V427" i="44"/>
  <c r="V1007" i="44" s="1"/>
  <c r="W426" i="44"/>
  <c r="W1006" i="44" s="1"/>
  <c r="X425" i="44"/>
  <c r="F425" i="44"/>
  <c r="F1005" i="44" s="1"/>
  <c r="I424" i="44"/>
  <c r="I1004" i="44" s="1"/>
  <c r="N423" i="44"/>
  <c r="N1003" i="44" s="1"/>
  <c r="R422" i="44"/>
  <c r="R1002" i="44" s="1"/>
  <c r="P1222" i="44" s="1"/>
  <c r="S421" i="44"/>
  <c r="S1001" i="44" s="1"/>
  <c r="U420" i="44"/>
  <c r="U1000" i="44" s="1"/>
  <c r="V419" i="44"/>
  <c r="V999" i="44" s="1"/>
  <c r="V418" i="44"/>
  <c r="V998" i="44" s="1"/>
  <c r="W417" i="44"/>
  <c r="W997" i="44" s="1"/>
  <c r="X416" i="44"/>
  <c r="F416" i="44"/>
  <c r="F996" i="44" s="1"/>
  <c r="H415" i="44"/>
  <c r="H995" i="44" s="1"/>
  <c r="L414" i="44"/>
  <c r="L994" i="44" s="1"/>
  <c r="M413" i="44"/>
  <c r="M993" i="44" s="1"/>
  <c r="R412" i="44"/>
  <c r="R992" i="44" s="1"/>
  <c r="N435" i="44"/>
  <c r="N1015" i="44" s="1"/>
  <c r="L434" i="44"/>
  <c r="L1014" i="44" s="1"/>
  <c r="I433" i="44"/>
  <c r="I1013" i="44" s="1"/>
  <c r="M432" i="44"/>
  <c r="M1012" i="44" s="1"/>
  <c r="S430" i="44"/>
  <c r="S1010" i="44" s="1"/>
  <c r="S429" i="44"/>
  <c r="S1009" i="44" s="1"/>
  <c r="T428" i="44"/>
  <c r="T1008" i="44" s="1"/>
  <c r="U427" i="44"/>
  <c r="U1007" i="44" s="1"/>
  <c r="V426" i="44"/>
  <c r="V1006" i="44" s="1"/>
  <c r="W425" i="44"/>
  <c r="W1005" i="44" s="1"/>
  <c r="X424" i="44"/>
  <c r="H424" i="44"/>
  <c r="H1004" i="44" s="1"/>
  <c r="M423" i="44"/>
  <c r="M1003" i="44" s="1"/>
  <c r="N422" i="44"/>
  <c r="N1002" i="44" s="1"/>
  <c r="R421" i="44"/>
  <c r="R1001" i="44" s="1"/>
  <c r="T420" i="44"/>
  <c r="T1000" i="44" s="1"/>
  <c r="T419" i="44"/>
  <c r="T999" i="44" s="1"/>
  <c r="U418" i="44"/>
  <c r="U998" i="44" s="1"/>
  <c r="V417" i="44"/>
  <c r="V997" i="44" s="1"/>
  <c r="W416" i="44"/>
  <c r="W996" i="44" s="1"/>
  <c r="G415" i="44"/>
  <c r="G995" i="44" s="1"/>
  <c r="I414" i="44"/>
  <c r="I994" i="44" s="1"/>
  <c r="L413" i="44"/>
  <c r="N412" i="44"/>
  <c r="L435" i="44"/>
  <c r="L1015" i="44" s="1"/>
  <c r="H434" i="44"/>
  <c r="H1014" i="44" s="1"/>
  <c r="H433" i="44"/>
  <c r="H1013" i="44" s="1"/>
  <c r="L432" i="44"/>
  <c r="L1012" i="44" s="1"/>
  <c r="N431" i="44"/>
  <c r="N1011" i="44" s="1"/>
  <c r="N430" i="44"/>
  <c r="N1010" i="44" s="1"/>
  <c r="R429" i="44"/>
  <c r="R1009" i="44" s="1"/>
  <c r="S428" i="44"/>
  <c r="S1008" i="44" s="1"/>
  <c r="T427" i="44"/>
  <c r="T1007" i="44" s="1"/>
  <c r="U426" i="44"/>
  <c r="U1006" i="44" s="1"/>
  <c r="V425" i="44"/>
  <c r="V1005" i="44" s="1"/>
  <c r="W424" i="44"/>
  <c r="W1004" i="44" s="1"/>
  <c r="G424" i="44"/>
  <c r="G1004" i="44" s="1"/>
  <c r="L423" i="44"/>
  <c r="L1003" i="44" s="1"/>
  <c r="M422" i="44"/>
  <c r="M1002" i="44" s="1"/>
  <c r="R420" i="44"/>
  <c r="R1000" i="44" s="1"/>
  <c r="S419" i="44"/>
  <c r="S999" i="44" s="1"/>
  <c r="T418" i="44"/>
  <c r="T998" i="44" s="1"/>
  <c r="U417" i="44"/>
  <c r="U997" i="44" s="1"/>
  <c r="V416" i="44"/>
  <c r="V996" i="44" s="1"/>
  <c r="X415" i="44"/>
  <c r="F415" i="44"/>
  <c r="F995" i="44" s="1"/>
  <c r="H414" i="44"/>
  <c r="H994" i="44" s="1"/>
  <c r="I413" i="44"/>
  <c r="I993" i="44" s="1"/>
  <c r="M412" i="44"/>
  <c r="M992" i="44" s="1"/>
  <c r="I435" i="44"/>
  <c r="I1015" i="44" s="1"/>
  <c r="G434" i="44"/>
  <c r="G1014" i="44" s="1"/>
  <c r="G433" i="44"/>
  <c r="G1013" i="44" s="1"/>
  <c r="I432" i="44"/>
  <c r="I1012" i="44" s="1"/>
  <c r="L431" i="44"/>
  <c r="L1011" i="44" s="1"/>
  <c r="M430" i="44"/>
  <c r="M1010" i="44" s="1"/>
  <c r="N429" i="44"/>
  <c r="N1009" i="44" s="1"/>
  <c r="R428" i="44"/>
  <c r="R1008" i="44" s="1"/>
  <c r="S427" i="44"/>
  <c r="S1007" i="44" s="1"/>
  <c r="T426" i="44"/>
  <c r="T1006" i="44" s="1"/>
  <c r="R1226" i="44" s="1"/>
  <c r="U425" i="44"/>
  <c r="U1005" i="44" s="1"/>
  <c r="V424" i="44"/>
  <c r="V1004" i="44" s="1"/>
  <c r="F424" i="44"/>
  <c r="F1004" i="44" s="1"/>
  <c r="I423" i="44"/>
  <c r="I1003" i="44" s="1"/>
  <c r="L422" i="44"/>
  <c r="M421" i="44"/>
  <c r="M1001" i="44" s="1"/>
  <c r="N420" i="44"/>
  <c r="N1000" i="44" s="1"/>
  <c r="R419" i="44"/>
  <c r="R999" i="44" s="1"/>
  <c r="S418" i="44"/>
  <c r="S998" i="44" s="1"/>
  <c r="T417" i="44"/>
  <c r="T997" i="44" s="1"/>
  <c r="U416" i="44"/>
  <c r="U996" i="44" s="1"/>
  <c r="W415" i="44"/>
  <c r="W995" i="44" s="1"/>
  <c r="U1215" i="44" s="1"/>
  <c r="X414" i="44"/>
  <c r="G414" i="44"/>
  <c r="G994" i="44" s="1"/>
  <c r="H413" i="44"/>
  <c r="H993" i="44" s="1"/>
  <c r="L412" i="44"/>
  <c r="L992" i="44" s="1"/>
  <c r="U424" i="44"/>
  <c r="U1004" i="44" s="1"/>
  <c r="F414" i="44"/>
  <c r="F994" i="44" s="1"/>
  <c r="H435" i="44"/>
  <c r="H1015" i="44" s="1"/>
  <c r="X423" i="44"/>
  <c r="G413" i="44"/>
  <c r="G993" i="44" s="1"/>
  <c r="F434" i="44"/>
  <c r="F1014" i="44" s="1"/>
  <c r="H423" i="44"/>
  <c r="H1003" i="44" s="1"/>
  <c r="H412" i="44"/>
  <c r="H992" i="44" s="1"/>
  <c r="F433" i="44"/>
  <c r="F1013" i="44" s="1"/>
  <c r="H422" i="44"/>
  <c r="H1002" i="44" s="1"/>
  <c r="G432" i="44"/>
  <c r="G1012" i="44" s="1"/>
  <c r="L421" i="44"/>
  <c r="L1001" i="44" s="1"/>
  <c r="I431" i="44"/>
  <c r="I1011" i="44" s="1"/>
  <c r="M420" i="44"/>
  <c r="M1000" i="44" s="1"/>
  <c r="L430" i="44"/>
  <c r="L1010" i="44" s="1"/>
  <c r="N419" i="44"/>
  <c r="N999" i="44" s="1"/>
  <c r="M429" i="44"/>
  <c r="M1009" i="44" s="1"/>
  <c r="R418" i="44"/>
  <c r="R998" i="44" s="1"/>
  <c r="N428" i="44"/>
  <c r="N1008" i="44" s="1"/>
  <c r="S417" i="44"/>
  <c r="S997" i="44" s="1"/>
  <c r="R427" i="44"/>
  <c r="R1007" i="44" s="1"/>
  <c r="T416" i="44"/>
  <c r="T996" i="44" s="1"/>
  <c r="S426" i="44"/>
  <c r="S1006" i="44" s="1"/>
  <c r="V415" i="44"/>
  <c r="V995" i="44" s="1"/>
  <c r="T425" i="44"/>
  <c r="T1005" i="44" s="1"/>
  <c r="W414" i="44"/>
  <c r="W994" i="44" s="1"/>
  <c r="H147" i="44"/>
  <c r="H727" i="44" s="1"/>
  <c r="L146" i="44"/>
  <c r="L726" i="44" s="1"/>
  <c r="N145" i="44"/>
  <c r="N725" i="44" s="1"/>
  <c r="S144" i="44"/>
  <c r="S724" i="44" s="1"/>
  <c r="U143" i="44"/>
  <c r="U723" i="44" s="1"/>
  <c r="H142" i="44"/>
  <c r="H722" i="44" s="1"/>
  <c r="F1230" i="44" s="1"/>
  <c r="L141" i="44"/>
  <c r="N140" i="44"/>
  <c r="N720" i="44" s="1"/>
  <c r="T139" i="44"/>
  <c r="T719" i="44" s="1"/>
  <c r="W138" i="44"/>
  <c r="W718" i="44" s="1"/>
  <c r="F138" i="44"/>
  <c r="F718" i="44" s="1"/>
  <c r="H137" i="44"/>
  <c r="H717" i="44" s="1"/>
  <c r="L136" i="44"/>
  <c r="N135" i="44"/>
  <c r="N715" i="44" s="1"/>
  <c r="S134" i="44"/>
  <c r="S714" i="44" s="1"/>
  <c r="W133" i="44"/>
  <c r="W713" i="44" s="1"/>
  <c r="H133" i="44"/>
  <c r="H713" i="44" s="1"/>
  <c r="M132" i="44"/>
  <c r="M712" i="44" s="1"/>
  <c r="R131" i="44"/>
  <c r="R711" i="44" s="1"/>
  <c r="T130" i="44"/>
  <c r="T710" i="44" s="1"/>
  <c r="V129" i="44"/>
  <c r="V709" i="44" s="1"/>
  <c r="X128" i="44"/>
  <c r="G128" i="44"/>
  <c r="G708" i="44" s="1"/>
  <c r="I127" i="44"/>
  <c r="I707" i="44" s="1"/>
  <c r="M126" i="44"/>
  <c r="M706" i="44" s="1"/>
  <c r="R125" i="44"/>
  <c r="R705" i="44" s="1"/>
  <c r="U124" i="44"/>
  <c r="U704" i="44" s="1"/>
  <c r="X147" i="44"/>
  <c r="F147" i="44"/>
  <c r="F727" i="44" s="1"/>
  <c r="G146" i="44"/>
  <c r="G726" i="44" s="1"/>
  <c r="H145" i="44"/>
  <c r="H725" i="44" s="1"/>
  <c r="I144" i="44"/>
  <c r="I724" i="44" s="1"/>
  <c r="L143" i="44"/>
  <c r="R142" i="44"/>
  <c r="R722" i="44" s="1"/>
  <c r="S141" i="44"/>
  <c r="S721" i="44" s="1"/>
  <c r="T140" i="44"/>
  <c r="T720" i="44" s="1"/>
  <c r="V139" i="44"/>
  <c r="V719" i="44" s="1"/>
  <c r="X138" i="44"/>
  <c r="X137" i="44"/>
  <c r="F137" i="44"/>
  <c r="F717" i="44" s="1"/>
  <c r="G136" i="44"/>
  <c r="G716" i="44" s="1"/>
  <c r="H135" i="44"/>
  <c r="M134" i="44"/>
  <c r="M714" i="44" s="1"/>
  <c r="U132" i="44"/>
  <c r="U712" i="44" s="1"/>
  <c r="V131" i="44"/>
  <c r="V711" i="44" s="1"/>
  <c r="W130" i="44"/>
  <c r="W710" i="44" s="1"/>
  <c r="X129" i="44"/>
  <c r="F129" i="44"/>
  <c r="F709" i="44" s="1"/>
  <c r="F128" i="44"/>
  <c r="F708" i="44" s="1"/>
  <c r="G127" i="44"/>
  <c r="G707" i="44" s="1"/>
  <c r="H126" i="44"/>
  <c r="H706" i="44" s="1"/>
  <c r="L125" i="44"/>
  <c r="L705" i="44" s="1"/>
  <c r="M124" i="44"/>
  <c r="M704" i="44" s="1"/>
  <c r="W147" i="44"/>
  <c r="W727" i="44" s="1"/>
  <c r="X146" i="44"/>
  <c r="F146" i="44"/>
  <c r="F726" i="44" s="1"/>
  <c r="G145" i="44"/>
  <c r="G725" i="44" s="1"/>
  <c r="H144" i="44"/>
  <c r="H724" i="44" s="1"/>
  <c r="I143" i="44"/>
  <c r="I723" i="44" s="1"/>
  <c r="N142" i="44"/>
  <c r="N722" i="44" s="1"/>
  <c r="R141" i="44"/>
  <c r="R721" i="44" s="1"/>
  <c r="S140" i="44"/>
  <c r="S720" i="44" s="1"/>
  <c r="U139" i="44"/>
  <c r="U719" i="44" s="1"/>
  <c r="V138" i="44"/>
  <c r="V718" i="44" s="1"/>
  <c r="W137" i="44"/>
  <c r="W717" i="44" s="1"/>
  <c r="X136" i="44"/>
  <c r="F136" i="44"/>
  <c r="F716" i="44" s="1"/>
  <c r="G135" i="44"/>
  <c r="G715" i="44" s="1"/>
  <c r="L134" i="44"/>
  <c r="L714" i="44" s="1"/>
  <c r="T132" i="44"/>
  <c r="T712" i="44" s="1"/>
  <c r="U131" i="44"/>
  <c r="U711" i="44" s="1"/>
  <c r="V130" i="44"/>
  <c r="V710" i="44" s="1"/>
  <c r="W129" i="44"/>
  <c r="W709" i="44" s="1"/>
  <c r="W128" i="44"/>
  <c r="W708" i="44" s="1"/>
  <c r="X127" i="44"/>
  <c r="F127" i="44"/>
  <c r="F707" i="44" s="1"/>
  <c r="G126" i="44"/>
  <c r="G706" i="44" s="1"/>
  <c r="I125" i="44"/>
  <c r="I705" i="44" s="1"/>
  <c r="L124" i="44"/>
  <c r="V147" i="44"/>
  <c r="V727" i="44" s="1"/>
  <c r="W146" i="44"/>
  <c r="W726" i="44" s="1"/>
  <c r="X145" i="44"/>
  <c r="F145" i="44"/>
  <c r="F725" i="44" s="1"/>
  <c r="G144" i="44"/>
  <c r="G724" i="44" s="1"/>
  <c r="H143" i="44"/>
  <c r="H723" i="44" s="1"/>
  <c r="M142" i="44"/>
  <c r="M722" i="44" s="1"/>
  <c r="N141" i="44"/>
  <c r="N721" i="44" s="1"/>
  <c r="R140" i="44"/>
  <c r="R720" i="44" s="1"/>
  <c r="S139" i="44"/>
  <c r="S719" i="44" s="1"/>
  <c r="U138" i="44"/>
  <c r="U718" i="44" s="1"/>
  <c r="V137" i="44"/>
  <c r="V717" i="44" s="1"/>
  <c r="W136" i="44"/>
  <c r="W716" i="44" s="1"/>
  <c r="X135" i="44"/>
  <c r="F135" i="44"/>
  <c r="F715" i="44" s="1"/>
  <c r="I134" i="44"/>
  <c r="I714" i="44" s="1"/>
  <c r="N133" i="44"/>
  <c r="N713" i="44" s="1"/>
  <c r="S132" i="44"/>
  <c r="S712" i="44" s="1"/>
  <c r="T131" i="44"/>
  <c r="T711" i="44" s="1"/>
  <c r="U130" i="44"/>
  <c r="U710" i="44" s="1"/>
  <c r="U129" i="44"/>
  <c r="U709" i="44" s="1"/>
  <c r="V128" i="44"/>
  <c r="V708" i="44" s="1"/>
  <c r="W127" i="44"/>
  <c r="W707" i="44" s="1"/>
  <c r="X126" i="44"/>
  <c r="F126" i="44"/>
  <c r="F706" i="44" s="1"/>
  <c r="H125" i="44"/>
  <c r="H705" i="44" s="1"/>
  <c r="I124" i="44"/>
  <c r="I704" i="44" s="1"/>
  <c r="U147" i="44"/>
  <c r="U727" i="44" s="1"/>
  <c r="V146" i="44"/>
  <c r="V726" i="44" s="1"/>
  <c r="W145" i="44"/>
  <c r="W725" i="44" s="1"/>
  <c r="X144" i="44"/>
  <c r="F144" i="44"/>
  <c r="F724" i="44" s="1"/>
  <c r="G143" i="44"/>
  <c r="G723" i="44" s="1"/>
  <c r="L142" i="44"/>
  <c r="M141" i="44"/>
  <c r="M721" i="44" s="1"/>
  <c r="M140" i="44"/>
  <c r="M720" i="44" s="1"/>
  <c r="R139" i="44"/>
  <c r="R719" i="44" s="1"/>
  <c r="T138" i="44"/>
  <c r="T718" i="44" s="1"/>
  <c r="U137" i="44"/>
  <c r="U717" i="44" s="1"/>
  <c r="V136" i="44"/>
  <c r="V716" i="44" s="1"/>
  <c r="W135" i="44"/>
  <c r="W715" i="44" s="1"/>
  <c r="X134" i="44"/>
  <c r="H134" i="44"/>
  <c r="H714" i="44" s="1"/>
  <c r="M133" i="44"/>
  <c r="M713" i="44" s="1"/>
  <c r="R132" i="44"/>
  <c r="R712" i="44" s="1"/>
  <c r="S131" i="44"/>
  <c r="S711" i="44" s="1"/>
  <c r="S130" i="44"/>
  <c r="S710" i="44" s="1"/>
  <c r="T129" i="44"/>
  <c r="T709" i="44" s="1"/>
  <c r="U128" i="44"/>
  <c r="U708" i="44" s="1"/>
  <c r="V127" i="44"/>
  <c r="V707" i="44" s="1"/>
  <c r="W126" i="44"/>
  <c r="W706" i="44" s="1"/>
  <c r="X125" i="44"/>
  <c r="G125" i="44"/>
  <c r="G705" i="44" s="1"/>
  <c r="H124" i="44"/>
  <c r="H704" i="44" s="1"/>
  <c r="T147" i="44"/>
  <c r="T727" i="44" s="1"/>
  <c r="U146" i="44"/>
  <c r="U726" i="44" s="1"/>
  <c r="V145" i="44"/>
  <c r="V725" i="44" s="1"/>
  <c r="W144" i="44"/>
  <c r="W724" i="44" s="1"/>
  <c r="U1232" i="44" s="1"/>
  <c r="X143" i="44"/>
  <c r="F143" i="44"/>
  <c r="F723" i="44" s="1"/>
  <c r="I142" i="44"/>
  <c r="I722" i="44" s="1"/>
  <c r="I141" i="44"/>
  <c r="I721" i="44" s="1"/>
  <c r="L140" i="44"/>
  <c r="S138" i="44"/>
  <c r="S718" i="44" s="1"/>
  <c r="T137" i="44"/>
  <c r="T717" i="44" s="1"/>
  <c r="U136" i="44"/>
  <c r="U716" i="44" s="1"/>
  <c r="V135" i="44"/>
  <c r="V715" i="44" s="1"/>
  <c r="W134" i="44"/>
  <c r="W714" i="44" s="1"/>
  <c r="G134" i="44"/>
  <c r="G714" i="44" s="1"/>
  <c r="L133" i="44"/>
  <c r="L713" i="44" s="1"/>
  <c r="N132" i="44"/>
  <c r="N131" i="44"/>
  <c r="R130" i="44"/>
  <c r="R710" i="44" s="1"/>
  <c r="S129" i="44"/>
  <c r="S709" i="44" s="1"/>
  <c r="T128" i="44"/>
  <c r="T708" i="44" s="1"/>
  <c r="U127" i="44"/>
  <c r="U707" i="44" s="1"/>
  <c r="V126" i="44"/>
  <c r="V706" i="44" s="1"/>
  <c r="W125" i="44"/>
  <c r="W705" i="44" s="1"/>
  <c r="F125" i="44"/>
  <c r="F705" i="44" s="1"/>
  <c r="G124" i="44"/>
  <c r="G704" i="44" s="1"/>
  <c r="S147" i="44"/>
  <c r="S727" i="44" s="1"/>
  <c r="T146" i="44"/>
  <c r="T726" i="44" s="1"/>
  <c r="U145" i="44"/>
  <c r="U725" i="44" s="1"/>
  <c r="V144" i="44"/>
  <c r="V724" i="44" s="1"/>
  <c r="W143" i="44"/>
  <c r="W723" i="44" s="1"/>
  <c r="G142" i="44"/>
  <c r="G722" i="44" s="1"/>
  <c r="H141" i="44"/>
  <c r="H721" i="44" s="1"/>
  <c r="I140" i="44"/>
  <c r="I720" i="44" s="1"/>
  <c r="N139" i="44"/>
  <c r="N719" i="44" s="1"/>
  <c r="R138" i="44"/>
  <c r="R718" i="44" s="1"/>
  <c r="S137" i="44"/>
  <c r="S717" i="44" s="1"/>
  <c r="T136" i="44"/>
  <c r="T716" i="44" s="1"/>
  <c r="U135" i="44"/>
  <c r="U715" i="44" s="1"/>
  <c r="V134" i="44"/>
  <c r="V714" i="44" s="1"/>
  <c r="F134" i="44"/>
  <c r="F714" i="44" s="1"/>
  <c r="I133" i="44"/>
  <c r="I713" i="44" s="1"/>
  <c r="L132" i="44"/>
  <c r="L712" i="44" s="1"/>
  <c r="M131" i="44"/>
  <c r="M711" i="44" s="1"/>
  <c r="N130" i="44"/>
  <c r="N710" i="44" s="1"/>
  <c r="R129" i="44"/>
  <c r="R709" i="44" s="1"/>
  <c r="S128" i="44"/>
  <c r="S708" i="44" s="1"/>
  <c r="T127" i="44"/>
  <c r="T707" i="44" s="1"/>
  <c r="U126" i="44"/>
  <c r="U706" i="44" s="1"/>
  <c r="V125" i="44"/>
  <c r="V705" i="44" s="1"/>
  <c r="X124" i="44"/>
  <c r="F124" i="44"/>
  <c r="F704" i="44" s="1"/>
  <c r="R147" i="44"/>
  <c r="R727" i="44" s="1"/>
  <c r="S146" i="44"/>
  <c r="S726" i="44" s="1"/>
  <c r="T145" i="44"/>
  <c r="T725" i="44" s="1"/>
  <c r="U144" i="44"/>
  <c r="U724" i="44" s="1"/>
  <c r="V143" i="44"/>
  <c r="V723" i="44" s="1"/>
  <c r="X142" i="44"/>
  <c r="F142" i="44"/>
  <c r="F722" i="44" s="1"/>
  <c r="G141" i="44"/>
  <c r="G721" i="44" s="1"/>
  <c r="H140" i="44"/>
  <c r="H720" i="44" s="1"/>
  <c r="M139" i="44"/>
  <c r="M719" i="44" s="1"/>
  <c r="N138" i="44"/>
  <c r="R137" i="44"/>
  <c r="R717" i="44" s="1"/>
  <c r="S136" i="44"/>
  <c r="S716" i="44" s="1"/>
  <c r="T135" i="44"/>
  <c r="T715" i="44" s="1"/>
  <c r="U134" i="44"/>
  <c r="U714" i="44" s="1"/>
  <c r="X133" i="44"/>
  <c r="G133" i="44"/>
  <c r="G713" i="44" s="1"/>
  <c r="I132" i="44"/>
  <c r="I712" i="44" s="1"/>
  <c r="L131" i="44"/>
  <c r="L711" i="44" s="1"/>
  <c r="M130" i="44"/>
  <c r="M710" i="44" s="1"/>
  <c r="N129" i="44"/>
  <c r="N709" i="44" s="1"/>
  <c r="R128" i="44"/>
  <c r="R708" i="44" s="1"/>
  <c r="S127" i="44"/>
  <c r="S707" i="44" s="1"/>
  <c r="T126" i="44"/>
  <c r="T706" i="44" s="1"/>
  <c r="U125" i="44"/>
  <c r="U705" i="44" s="1"/>
  <c r="W124" i="44"/>
  <c r="W704" i="44" s="1"/>
  <c r="N147" i="44"/>
  <c r="N727" i="44" s="1"/>
  <c r="R146" i="44"/>
  <c r="R726" i="44" s="1"/>
  <c r="S145" i="44"/>
  <c r="S725" i="44" s="1"/>
  <c r="T144" i="44"/>
  <c r="T724" i="44" s="1"/>
  <c r="T143" i="44"/>
  <c r="T723" i="44" s="1"/>
  <c r="W142" i="44"/>
  <c r="W722" i="44" s="1"/>
  <c r="X141" i="44"/>
  <c r="F141" i="44"/>
  <c r="F721" i="44" s="1"/>
  <c r="G140" i="44"/>
  <c r="G720" i="44" s="1"/>
  <c r="E1228" i="44" s="1"/>
  <c r="L139" i="44"/>
  <c r="L719" i="44" s="1"/>
  <c r="M138" i="44"/>
  <c r="M718" i="44" s="1"/>
  <c r="N137" i="44"/>
  <c r="N717" i="44" s="1"/>
  <c r="R136" i="44"/>
  <c r="R716" i="44" s="1"/>
  <c r="S135" i="44"/>
  <c r="S715" i="44" s="1"/>
  <c r="T134" i="44"/>
  <c r="T714" i="44" s="1"/>
  <c r="V133" i="44"/>
  <c r="V713" i="44" s="1"/>
  <c r="F133" i="44"/>
  <c r="F713" i="44" s="1"/>
  <c r="H132" i="44"/>
  <c r="H712" i="44" s="1"/>
  <c r="I131" i="44"/>
  <c r="I711" i="44" s="1"/>
  <c r="L130" i="44"/>
  <c r="M129" i="44"/>
  <c r="N128" i="44"/>
  <c r="N708" i="44" s="1"/>
  <c r="R127" i="44"/>
  <c r="R707" i="44" s="1"/>
  <c r="S126" i="44"/>
  <c r="S706" i="44" s="1"/>
  <c r="T125" i="44"/>
  <c r="T705" i="44" s="1"/>
  <c r="V124" i="44"/>
  <c r="V704" i="44" s="1"/>
  <c r="M147" i="44"/>
  <c r="M727" i="44" s="1"/>
  <c r="N146" i="44"/>
  <c r="N726" i="44" s="1"/>
  <c r="R145" i="44"/>
  <c r="R725" i="44" s="1"/>
  <c r="R144" i="44"/>
  <c r="R724" i="44" s="1"/>
  <c r="S143" i="44"/>
  <c r="S723" i="44" s="1"/>
  <c r="V142" i="44"/>
  <c r="V722" i="44" s="1"/>
  <c r="W141" i="44"/>
  <c r="W721" i="44" s="1"/>
  <c r="X140" i="44"/>
  <c r="F140" i="44"/>
  <c r="F720" i="44" s="1"/>
  <c r="I139" i="44"/>
  <c r="I719" i="44" s="1"/>
  <c r="L138" i="44"/>
  <c r="L718" i="44" s="1"/>
  <c r="M137" i="44"/>
  <c r="N136" i="44"/>
  <c r="N716" i="44" s="1"/>
  <c r="R135" i="44"/>
  <c r="R715" i="44" s="1"/>
  <c r="R134" i="44"/>
  <c r="R714" i="44" s="1"/>
  <c r="U133" i="44"/>
  <c r="U713" i="44" s="1"/>
  <c r="G132" i="44"/>
  <c r="G712" i="44" s="1"/>
  <c r="H131" i="44"/>
  <c r="H711" i="44" s="1"/>
  <c r="I130" i="44"/>
  <c r="I710" i="44" s="1"/>
  <c r="G1218" i="44" s="1"/>
  <c r="L129" i="44"/>
  <c r="L709" i="44" s="1"/>
  <c r="M128" i="44"/>
  <c r="M708" i="44" s="1"/>
  <c r="N127" i="44"/>
  <c r="N707" i="44" s="1"/>
  <c r="R126" i="44"/>
  <c r="R706" i="44" s="1"/>
  <c r="S125" i="44"/>
  <c r="S705" i="44" s="1"/>
  <c r="T124" i="44"/>
  <c r="T704" i="44" s="1"/>
  <c r="L147" i="44"/>
  <c r="M146" i="44"/>
  <c r="M726" i="44" s="1"/>
  <c r="M145" i="44"/>
  <c r="M725" i="44" s="1"/>
  <c r="N144" i="44"/>
  <c r="N724" i="44" s="1"/>
  <c r="R143" i="44"/>
  <c r="R723" i="44" s="1"/>
  <c r="U142" i="44"/>
  <c r="U722" i="44" s="1"/>
  <c r="S1230" i="44" s="1"/>
  <c r="V141" i="44"/>
  <c r="V721" i="44" s="1"/>
  <c r="W140" i="44"/>
  <c r="W720" i="44" s="1"/>
  <c r="H139" i="44"/>
  <c r="H719" i="44" s="1"/>
  <c r="I138" i="44"/>
  <c r="I718" i="44" s="1"/>
  <c r="L137" i="44"/>
  <c r="L717" i="44" s="1"/>
  <c r="M136" i="44"/>
  <c r="M716" i="44" s="1"/>
  <c r="M135" i="44"/>
  <c r="M715" i="44" s="1"/>
  <c r="T133" i="44"/>
  <c r="T713" i="44" s="1"/>
  <c r="X132" i="44"/>
  <c r="F132" i="44"/>
  <c r="F712" i="44" s="1"/>
  <c r="G131" i="44"/>
  <c r="G711" i="44" s="1"/>
  <c r="H130" i="44"/>
  <c r="H710" i="44" s="1"/>
  <c r="I129" i="44"/>
  <c r="I709" i="44" s="1"/>
  <c r="L128" i="44"/>
  <c r="L708" i="44" s="1"/>
  <c r="M127" i="44"/>
  <c r="M707" i="44" s="1"/>
  <c r="N126" i="44"/>
  <c r="N706" i="44" s="1"/>
  <c r="S124" i="44"/>
  <c r="S704" i="44" s="1"/>
  <c r="I147" i="44"/>
  <c r="I727" i="44" s="1"/>
  <c r="I146" i="44"/>
  <c r="I726" i="44" s="1"/>
  <c r="L145" i="44"/>
  <c r="M144" i="44"/>
  <c r="M724" i="44" s="1"/>
  <c r="N143" i="44"/>
  <c r="N723" i="44" s="1"/>
  <c r="T142" i="44"/>
  <c r="T722" i="44" s="1"/>
  <c r="R1230" i="44" s="1"/>
  <c r="U141" i="44"/>
  <c r="U721" i="44" s="1"/>
  <c r="V140" i="44"/>
  <c r="V720" i="44" s="1"/>
  <c r="X139" i="44"/>
  <c r="G139" i="44"/>
  <c r="G719" i="44" s="1"/>
  <c r="H138" i="44"/>
  <c r="H718" i="44" s="1"/>
  <c r="I137" i="44"/>
  <c r="I717" i="44" s="1"/>
  <c r="I136" i="44"/>
  <c r="I716" i="44" s="1"/>
  <c r="L135" i="44"/>
  <c r="P134" i="44"/>
  <c r="S133" i="44"/>
  <c r="S713" i="44" s="1"/>
  <c r="W132" i="44"/>
  <c r="W712" i="44" s="1"/>
  <c r="X131" i="44"/>
  <c r="F131" i="44"/>
  <c r="F711" i="44" s="1"/>
  <c r="G130" i="44"/>
  <c r="G710" i="44" s="1"/>
  <c r="H129" i="44"/>
  <c r="H709" i="44" s="1"/>
  <c r="I128" i="44"/>
  <c r="I708" i="44" s="1"/>
  <c r="L127" i="44"/>
  <c r="L126" i="44"/>
  <c r="N125" i="44"/>
  <c r="N705" i="44" s="1"/>
  <c r="R124" i="44"/>
  <c r="R704" i="44" s="1"/>
  <c r="G147" i="44"/>
  <c r="G727" i="44" s="1"/>
  <c r="H136" i="44"/>
  <c r="H716" i="44" s="1"/>
  <c r="M125" i="44"/>
  <c r="M705" i="44" s="1"/>
  <c r="H146" i="44"/>
  <c r="H726" i="44" s="1"/>
  <c r="F1234" i="44" s="1"/>
  <c r="I135" i="44"/>
  <c r="I715" i="44" s="1"/>
  <c r="N124" i="44"/>
  <c r="N704" i="44" s="1"/>
  <c r="I145" i="44"/>
  <c r="I725" i="44" s="1"/>
  <c r="N134" i="44"/>
  <c r="N714" i="44" s="1"/>
  <c r="L144" i="44"/>
  <c r="L724" i="44" s="1"/>
  <c r="R133" i="44"/>
  <c r="R713" i="44" s="1"/>
  <c r="M143" i="44"/>
  <c r="M723" i="44" s="1"/>
  <c r="V132" i="44"/>
  <c r="V712" i="44" s="1"/>
  <c r="S142" i="44"/>
  <c r="S722" i="44" s="1"/>
  <c r="W131" i="44"/>
  <c r="W711" i="44" s="1"/>
  <c r="T141" i="44"/>
  <c r="T721" i="44" s="1"/>
  <c r="X130" i="44"/>
  <c r="U140" i="44"/>
  <c r="U720" i="44" s="1"/>
  <c r="F130" i="44"/>
  <c r="F710" i="44" s="1"/>
  <c r="W139" i="44"/>
  <c r="W719" i="44" s="1"/>
  <c r="G129" i="44"/>
  <c r="G709" i="44" s="1"/>
  <c r="F139" i="44"/>
  <c r="F719" i="44" s="1"/>
  <c r="H128" i="44"/>
  <c r="H708" i="44" s="1"/>
  <c r="G138" i="44"/>
  <c r="G718" i="44" s="1"/>
  <c r="H127" i="44"/>
  <c r="H707" i="44" s="1"/>
  <c r="G137" i="44"/>
  <c r="G717" i="44" s="1"/>
  <c r="I126" i="44"/>
  <c r="I706" i="44" s="1"/>
  <c r="P146" i="44"/>
  <c r="P429" i="44"/>
  <c r="P420" i="44"/>
  <c r="P419" i="44"/>
  <c r="P430" i="44"/>
  <c r="K175" i="44"/>
  <c r="K172" i="44"/>
  <c r="K184" i="44"/>
  <c r="K470" i="44"/>
  <c r="T483" i="44"/>
  <c r="T1063" i="44" s="1"/>
  <c r="V482" i="44"/>
  <c r="V1062" i="44" s="1"/>
  <c r="X481" i="44"/>
  <c r="I481" i="44"/>
  <c r="I1061" i="44" s="1"/>
  <c r="N480" i="44"/>
  <c r="N1060" i="44" s="1"/>
  <c r="S479" i="44"/>
  <c r="S1059" i="44" s="1"/>
  <c r="V478" i="44"/>
  <c r="V1058" i="44" s="1"/>
  <c r="X477" i="44"/>
  <c r="G477" i="44"/>
  <c r="G1057" i="44" s="1"/>
  <c r="L476" i="44"/>
  <c r="L1056" i="44" s="1"/>
  <c r="N475" i="44"/>
  <c r="N1055" i="44" s="1"/>
  <c r="S474" i="44"/>
  <c r="S1054" i="44" s="1"/>
  <c r="U473" i="44"/>
  <c r="U1053" i="44" s="1"/>
  <c r="X472" i="44"/>
  <c r="G472" i="44"/>
  <c r="G1052" i="44" s="1"/>
  <c r="L471" i="44"/>
  <c r="L1051" i="44" s="1"/>
  <c r="N470" i="44"/>
  <c r="N1050" i="44" s="1"/>
  <c r="H483" i="44"/>
  <c r="H1063" i="44" s="1"/>
  <c r="I482" i="44"/>
  <c r="I1062" i="44" s="1"/>
  <c r="N481" i="44"/>
  <c r="N1061" i="44" s="1"/>
  <c r="R480" i="44"/>
  <c r="R1060" i="44" s="1"/>
  <c r="T479" i="44"/>
  <c r="T1059" i="44" s="1"/>
  <c r="U478" i="44"/>
  <c r="U1058" i="44" s="1"/>
  <c r="V477" i="44"/>
  <c r="V1057" i="44" s="1"/>
  <c r="W476" i="44"/>
  <c r="W1056" i="44" s="1"/>
  <c r="F476" i="44"/>
  <c r="F1056" i="44" s="1"/>
  <c r="G475" i="44"/>
  <c r="G1055" i="44" s="1"/>
  <c r="H474" i="44"/>
  <c r="H1054" i="44" s="1"/>
  <c r="I473" i="44"/>
  <c r="I1053" i="44" s="1"/>
  <c r="M472" i="44"/>
  <c r="M1052" i="44" s="1"/>
  <c r="S470" i="44"/>
  <c r="S1050" i="44" s="1"/>
  <c r="T469" i="44"/>
  <c r="T1049" i="44" s="1"/>
  <c r="V468" i="44"/>
  <c r="V1048" i="44" s="1"/>
  <c r="X467" i="44"/>
  <c r="G467" i="44"/>
  <c r="G1047" i="44" s="1"/>
  <c r="I466" i="44"/>
  <c r="I1046" i="44" s="1"/>
  <c r="N465" i="44"/>
  <c r="N1045" i="44" s="1"/>
  <c r="S464" i="44"/>
  <c r="S1044" i="44" s="1"/>
  <c r="U463" i="44"/>
  <c r="U1043" i="44" s="1"/>
  <c r="W462" i="44"/>
  <c r="W1042" i="44" s="1"/>
  <c r="G462" i="44"/>
  <c r="G1042" i="44" s="1"/>
  <c r="L461" i="44"/>
  <c r="L1041" i="44" s="1"/>
  <c r="G483" i="44"/>
  <c r="G1063" i="44" s="1"/>
  <c r="H482" i="44"/>
  <c r="H1062" i="44" s="1"/>
  <c r="M481" i="44"/>
  <c r="M1061" i="44" s="1"/>
  <c r="R479" i="44"/>
  <c r="R1059" i="44" s="1"/>
  <c r="T478" i="44"/>
  <c r="T1058" i="44" s="1"/>
  <c r="U477" i="44"/>
  <c r="U1057" i="44" s="1"/>
  <c r="V476" i="44"/>
  <c r="V1056" i="44" s="1"/>
  <c r="X475" i="44"/>
  <c r="F475" i="44"/>
  <c r="G474" i="44"/>
  <c r="G1054" i="44" s="1"/>
  <c r="H473" i="44"/>
  <c r="H1053" i="44" s="1"/>
  <c r="L472" i="44"/>
  <c r="N471" i="44"/>
  <c r="N1051" i="44" s="1"/>
  <c r="R470" i="44"/>
  <c r="R1050" i="44" s="1"/>
  <c r="S469" i="44"/>
  <c r="S1049" i="44" s="1"/>
  <c r="U468" i="44"/>
  <c r="U1048" i="44" s="1"/>
  <c r="W467" i="44"/>
  <c r="W1047" i="44" s="1"/>
  <c r="F467" i="44"/>
  <c r="F1047" i="44" s="1"/>
  <c r="H466" i="44"/>
  <c r="H1046" i="44" s="1"/>
  <c r="M465" i="44"/>
  <c r="M1045" i="44" s="1"/>
  <c r="R464" i="44"/>
  <c r="R1044" i="44" s="1"/>
  <c r="T463" i="44"/>
  <c r="T1043" i="44" s="1"/>
  <c r="V462" i="44"/>
  <c r="V1042" i="44" s="1"/>
  <c r="F462" i="44"/>
  <c r="F1042" i="44" s="1"/>
  <c r="I461" i="44"/>
  <c r="I1041" i="44" s="1"/>
  <c r="X483" i="44"/>
  <c r="F483" i="44"/>
  <c r="F1063" i="44" s="1"/>
  <c r="G482" i="44"/>
  <c r="G1062" i="44" s="1"/>
  <c r="L481" i="44"/>
  <c r="L1061" i="44" s="1"/>
  <c r="M480" i="44"/>
  <c r="M1060" i="44" s="1"/>
  <c r="S478" i="44"/>
  <c r="S1058" i="44" s="1"/>
  <c r="T477" i="44"/>
  <c r="T1057" i="44" s="1"/>
  <c r="U476" i="44"/>
  <c r="U1056" i="44" s="1"/>
  <c r="W475" i="44"/>
  <c r="W1055" i="44" s="1"/>
  <c r="X474" i="44"/>
  <c r="F474" i="44"/>
  <c r="F1054" i="44" s="1"/>
  <c r="G473" i="44"/>
  <c r="G1053" i="44" s="1"/>
  <c r="I472" i="44"/>
  <c r="I1052" i="44" s="1"/>
  <c r="M471" i="44"/>
  <c r="M1051" i="44" s="1"/>
  <c r="M470" i="44"/>
  <c r="M1050" i="44" s="1"/>
  <c r="R469" i="44"/>
  <c r="R1049" i="44" s="1"/>
  <c r="T468" i="44"/>
  <c r="T1048" i="44" s="1"/>
  <c r="V467" i="44"/>
  <c r="V1047" i="44" s="1"/>
  <c r="X466" i="44"/>
  <c r="G466" i="44"/>
  <c r="G1046" i="44" s="1"/>
  <c r="L465" i="44"/>
  <c r="L1045" i="44" s="1"/>
  <c r="N464" i="44"/>
  <c r="N1044" i="44" s="1"/>
  <c r="S463" i="44"/>
  <c r="S1043" i="44" s="1"/>
  <c r="U462" i="44"/>
  <c r="U1042" i="44" s="1"/>
  <c r="X461" i="44"/>
  <c r="H461" i="44"/>
  <c r="H1041" i="44" s="1"/>
  <c r="N460" i="44"/>
  <c r="N1040" i="44" s="1"/>
  <c r="W483" i="44"/>
  <c r="W1063" i="44" s="1"/>
  <c r="X482" i="44"/>
  <c r="F482" i="44"/>
  <c r="F1062" i="44" s="1"/>
  <c r="H481" i="44"/>
  <c r="H1061" i="44" s="1"/>
  <c r="L480" i="44"/>
  <c r="L1060" i="44" s="1"/>
  <c r="N479" i="44"/>
  <c r="N1059" i="44" s="1"/>
  <c r="R478" i="44"/>
  <c r="R1058" i="44" s="1"/>
  <c r="S477" i="44"/>
  <c r="S1057" i="44" s="1"/>
  <c r="T476" i="44"/>
  <c r="T1056" i="44" s="1"/>
  <c r="V475" i="44"/>
  <c r="V1055" i="44" s="1"/>
  <c r="W474" i="44"/>
  <c r="W1054" i="44" s="1"/>
  <c r="X473" i="44"/>
  <c r="F473" i="44"/>
  <c r="F1053" i="44" s="1"/>
  <c r="H472" i="44"/>
  <c r="H1052" i="44" s="1"/>
  <c r="I471" i="44"/>
  <c r="I1051" i="44" s="1"/>
  <c r="L470" i="44"/>
  <c r="N469" i="44"/>
  <c r="N1049" i="44" s="1"/>
  <c r="S468" i="44"/>
  <c r="S1048" i="44" s="1"/>
  <c r="U467" i="44"/>
  <c r="U1047" i="44" s="1"/>
  <c r="W466" i="44"/>
  <c r="W1046" i="44" s="1"/>
  <c r="F466" i="44"/>
  <c r="F1046" i="44" s="1"/>
  <c r="I465" i="44"/>
  <c r="I1045" i="44" s="1"/>
  <c r="M464" i="44"/>
  <c r="M1044" i="44" s="1"/>
  <c r="R463" i="44"/>
  <c r="R1043" i="44" s="1"/>
  <c r="T462" i="44"/>
  <c r="T1042" i="44" s="1"/>
  <c r="W461" i="44"/>
  <c r="W1041" i="44" s="1"/>
  <c r="G461" i="44"/>
  <c r="G1041" i="44" s="1"/>
  <c r="M460" i="44"/>
  <c r="M1040" i="44" s="1"/>
  <c r="V483" i="44"/>
  <c r="V1063" i="44" s="1"/>
  <c r="W482" i="44"/>
  <c r="W1062" i="44" s="1"/>
  <c r="W481" i="44"/>
  <c r="W1061" i="44" s="1"/>
  <c r="G481" i="44"/>
  <c r="G1061" i="44" s="1"/>
  <c r="I480" i="44"/>
  <c r="I1060" i="44" s="1"/>
  <c r="M479" i="44"/>
  <c r="M1059" i="44" s="1"/>
  <c r="N478" i="44"/>
  <c r="R477" i="44"/>
  <c r="R1057" i="44" s="1"/>
  <c r="S476" i="44"/>
  <c r="S1056" i="44" s="1"/>
  <c r="U475" i="44"/>
  <c r="U1055" i="44" s="1"/>
  <c r="V474" i="44"/>
  <c r="V1054" i="44" s="1"/>
  <c r="W473" i="44"/>
  <c r="W1053" i="44" s="1"/>
  <c r="F472" i="44"/>
  <c r="F1052" i="44" s="1"/>
  <c r="H471" i="44"/>
  <c r="H1051" i="44" s="1"/>
  <c r="I470" i="44"/>
  <c r="I1050" i="44" s="1"/>
  <c r="M469" i="44"/>
  <c r="M1049" i="44" s="1"/>
  <c r="R468" i="44"/>
  <c r="R1048" i="44" s="1"/>
  <c r="T467" i="44"/>
  <c r="T1047" i="44" s="1"/>
  <c r="V466" i="44"/>
  <c r="V1046" i="44" s="1"/>
  <c r="X465" i="44"/>
  <c r="H465" i="44"/>
  <c r="H1045" i="44" s="1"/>
  <c r="L464" i="44"/>
  <c r="L1044" i="44" s="1"/>
  <c r="N463" i="44"/>
  <c r="N1043" i="44" s="1"/>
  <c r="S462" i="44"/>
  <c r="S1042" i="44" s="1"/>
  <c r="V461" i="44"/>
  <c r="V1041" i="44" s="1"/>
  <c r="F461" i="44"/>
  <c r="F1041" i="44" s="1"/>
  <c r="L460" i="44"/>
  <c r="U483" i="44"/>
  <c r="U1063" i="44" s="1"/>
  <c r="U482" i="44"/>
  <c r="U1062" i="44" s="1"/>
  <c r="V481" i="44"/>
  <c r="V1061" i="44" s="1"/>
  <c r="F481" i="44"/>
  <c r="F1061" i="44" s="1"/>
  <c r="H480" i="44"/>
  <c r="H1060" i="44" s="1"/>
  <c r="L479" i="44"/>
  <c r="L1059" i="44" s="1"/>
  <c r="M478" i="44"/>
  <c r="M1058" i="44" s="1"/>
  <c r="N477" i="44"/>
  <c r="N1057" i="44" s="1"/>
  <c r="R476" i="44"/>
  <c r="R1056" i="44" s="1"/>
  <c r="T475" i="44"/>
  <c r="T1055" i="44" s="1"/>
  <c r="U474" i="44"/>
  <c r="U1054" i="44" s="1"/>
  <c r="V473" i="44"/>
  <c r="V1053" i="44" s="1"/>
  <c r="W472" i="44"/>
  <c r="W1052" i="44" s="1"/>
  <c r="X471" i="44"/>
  <c r="G471" i="44"/>
  <c r="G1051" i="44" s="1"/>
  <c r="H470" i="44"/>
  <c r="H1050" i="44" s="1"/>
  <c r="L469" i="44"/>
  <c r="L1049" i="44" s="1"/>
  <c r="N468" i="44"/>
  <c r="N1048" i="44" s="1"/>
  <c r="S467" i="44"/>
  <c r="S1047" i="44" s="1"/>
  <c r="U466" i="44"/>
  <c r="U1046" i="44" s="1"/>
  <c r="W465" i="44"/>
  <c r="W1045" i="44" s="1"/>
  <c r="G465" i="44"/>
  <c r="G1045" i="44" s="1"/>
  <c r="I464" i="44"/>
  <c r="I1044" i="44" s="1"/>
  <c r="M463" i="44"/>
  <c r="M1043" i="44" s="1"/>
  <c r="R462" i="44"/>
  <c r="R1042" i="44" s="1"/>
  <c r="U461" i="44"/>
  <c r="U1041" i="44" s="1"/>
  <c r="X460" i="44"/>
  <c r="I460" i="44"/>
  <c r="I1040" i="44" s="1"/>
  <c r="S483" i="44"/>
  <c r="S1063" i="44" s="1"/>
  <c r="T482" i="44"/>
  <c r="T1062" i="44" s="1"/>
  <c r="U481" i="44"/>
  <c r="U1061" i="44" s="1"/>
  <c r="X480" i="44"/>
  <c r="G480" i="44"/>
  <c r="G1060" i="44" s="1"/>
  <c r="E1232" i="44" s="1"/>
  <c r="I479" i="44"/>
  <c r="I1059" i="44" s="1"/>
  <c r="L478" i="44"/>
  <c r="L1058" i="44" s="1"/>
  <c r="M477" i="44"/>
  <c r="S475" i="44"/>
  <c r="S1055" i="44" s="1"/>
  <c r="T474" i="44"/>
  <c r="T1054" i="44" s="1"/>
  <c r="T473" i="44"/>
  <c r="T1053" i="44" s="1"/>
  <c r="V472" i="44"/>
  <c r="V1052" i="44" s="1"/>
  <c r="W471" i="44"/>
  <c r="W1051" i="44" s="1"/>
  <c r="F471" i="44"/>
  <c r="F1051" i="44" s="1"/>
  <c r="G470" i="44"/>
  <c r="G1050" i="44" s="1"/>
  <c r="I469" i="44"/>
  <c r="I1049" i="44" s="1"/>
  <c r="M468" i="44"/>
  <c r="M1048" i="44" s="1"/>
  <c r="R467" i="44"/>
  <c r="R1047" i="44" s="1"/>
  <c r="T466" i="44"/>
  <c r="T1046" i="44" s="1"/>
  <c r="V465" i="44"/>
  <c r="V1045" i="44" s="1"/>
  <c r="F465" i="44"/>
  <c r="F1045" i="44" s="1"/>
  <c r="H464" i="44"/>
  <c r="H1044" i="44" s="1"/>
  <c r="L463" i="44"/>
  <c r="T461" i="44"/>
  <c r="T1041" i="44" s="1"/>
  <c r="W460" i="44"/>
  <c r="W1040" i="44" s="1"/>
  <c r="H460" i="44"/>
  <c r="H1040" i="44" s="1"/>
  <c r="R483" i="44"/>
  <c r="R1063" i="44" s="1"/>
  <c r="S482" i="44"/>
  <c r="S1062" i="44" s="1"/>
  <c r="T481" i="44"/>
  <c r="T1061" i="44" s="1"/>
  <c r="W480" i="44"/>
  <c r="W1060" i="44" s="1"/>
  <c r="F480" i="44"/>
  <c r="F1060" i="44" s="1"/>
  <c r="H479" i="44"/>
  <c r="H1059" i="44" s="1"/>
  <c r="I478" i="44"/>
  <c r="I1058" i="44" s="1"/>
  <c r="L477" i="44"/>
  <c r="L1057" i="44" s="1"/>
  <c r="N476" i="44"/>
  <c r="N1056" i="44" s="1"/>
  <c r="R475" i="44"/>
  <c r="R1055" i="44" s="1"/>
  <c r="R474" i="44"/>
  <c r="R1054" i="44" s="1"/>
  <c r="S473" i="44"/>
  <c r="S1053" i="44" s="1"/>
  <c r="U472" i="44"/>
  <c r="U1052" i="44" s="1"/>
  <c r="V471" i="44"/>
  <c r="V1051" i="44" s="1"/>
  <c r="X470" i="44"/>
  <c r="F470" i="44"/>
  <c r="F1050" i="44" s="1"/>
  <c r="H469" i="44"/>
  <c r="H1049" i="44" s="1"/>
  <c r="L468" i="44"/>
  <c r="L1048" i="44" s="1"/>
  <c r="N467" i="44"/>
  <c r="N1047" i="44" s="1"/>
  <c r="S466" i="44"/>
  <c r="S1046" i="44" s="1"/>
  <c r="U465" i="44"/>
  <c r="U1045" i="44" s="1"/>
  <c r="X464" i="44"/>
  <c r="G464" i="44"/>
  <c r="G1044" i="44" s="1"/>
  <c r="I463" i="44"/>
  <c r="I1043" i="44" s="1"/>
  <c r="N462" i="44"/>
  <c r="N1042" i="44" s="1"/>
  <c r="S461" i="44"/>
  <c r="S1041" i="44" s="1"/>
  <c r="V460" i="44"/>
  <c r="V1040" i="44" s="1"/>
  <c r="G460" i="44"/>
  <c r="G1040" i="44" s="1"/>
  <c r="N483" i="44"/>
  <c r="N1063" i="44" s="1"/>
  <c r="R482" i="44"/>
  <c r="R1062" i="44" s="1"/>
  <c r="S481" i="44"/>
  <c r="S1061" i="44" s="1"/>
  <c r="V480" i="44"/>
  <c r="V1060" i="44" s="1"/>
  <c r="X479" i="44"/>
  <c r="G479" i="44"/>
  <c r="G1059" i="44" s="1"/>
  <c r="H478" i="44"/>
  <c r="H1058" i="44" s="1"/>
  <c r="I477" i="44"/>
  <c r="I1057" i="44" s="1"/>
  <c r="M476" i="44"/>
  <c r="M1056" i="44" s="1"/>
  <c r="M475" i="44"/>
  <c r="M1055" i="44" s="1"/>
  <c r="N474" i="44"/>
  <c r="N1054" i="44" s="1"/>
  <c r="R473" i="44"/>
  <c r="R1053" i="44" s="1"/>
  <c r="T472" i="44"/>
  <c r="T1052" i="44" s="1"/>
  <c r="U471" i="44"/>
  <c r="U1051" i="44" s="1"/>
  <c r="W470" i="44"/>
  <c r="W1050" i="44" s="1"/>
  <c r="X469" i="44"/>
  <c r="G469" i="44"/>
  <c r="G1049" i="44" s="1"/>
  <c r="I468" i="44"/>
  <c r="I1048" i="44" s="1"/>
  <c r="M467" i="44"/>
  <c r="M1047" i="44" s="1"/>
  <c r="R466" i="44"/>
  <c r="R1046" i="44" s="1"/>
  <c r="T465" i="44"/>
  <c r="T1045" i="44" s="1"/>
  <c r="W464" i="44"/>
  <c r="W1044" i="44" s="1"/>
  <c r="F464" i="44"/>
  <c r="F1044" i="44" s="1"/>
  <c r="H463" i="44"/>
  <c r="H1043" i="44" s="1"/>
  <c r="M462" i="44"/>
  <c r="M1042" i="44" s="1"/>
  <c r="R461" i="44"/>
  <c r="R1041" i="44" s="1"/>
  <c r="U460" i="44"/>
  <c r="U1040" i="44" s="1"/>
  <c r="F460" i="44"/>
  <c r="F1040" i="44" s="1"/>
  <c r="M483" i="44"/>
  <c r="M1063" i="44" s="1"/>
  <c r="N482" i="44"/>
  <c r="N1062" i="44" s="1"/>
  <c r="R481" i="44"/>
  <c r="R1061" i="44" s="1"/>
  <c r="U480" i="44"/>
  <c r="U1060" i="44" s="1"/>
  <c r="W479" i="44"/>
  <c r="W1059" i="44" s="1"/>
  <c r="F479" i="44"/>
  <c r="G478" i="44"/>
  <c r="G1058" i="44" s="1"/>
  <c r="H477" i="44"/>
  <c r="H1057" i="44" s="1"/>
  <c r="I476" i="44"/>
  <c r="I1056" i="44" s="1"/>
  <c r="L475" i="44"/>
  <c r="M474" i="44"/>
  <c r="M1054" i="44" s="1"/>
  <c r="N473" i="44"/>
  <c r="N1053" i="44" s="1"/>
  <c r="S472" i="44"/>
  <c r="S1052" i="44" s="1"/>
  <c r="T471" i="44"/>
  <c r="T1051" i="44" s="1"/>
  <c r="V470" i="44"/>
  <c r="V1050" i="44" s="1"/>
  <c r="W469" i="44"/>
  <c r="W1049" i="44" s="1"/>
  <c r="F469" i="44"/>
  <c r="F1049" i="44" s="1"/>
  <c r="H468" i="44"/>
  <c r="H1048" i="44" s="1"/>
  <c r="L467" i="44"/>
  <c r="L1047" i="44" s="1"/>
  <c r="N466" i="44"/>
  <c r="N1046" i="44" s="1"/>
  <c r="S465" i="44"/>
  <c r="S1045" i="44" s="1"/>
  <c r="V464" i="44"/>
  <c r="V1044" i="44" s="1"/>
  <c r="X463" i="44"/>
  <c r="G463" i="44"/>
  <c r="G1043" i="44" s="1"/>
  <c r="L462" i="44"/>
  <c r="T460" i="44"/>
  <c r="T1040" i="44" s="1"/>
  <c r="L483" i="44"/>
  <c r="M482" i="44"/>
  <c r="M1062" i="44" s="1"/>
  <c r="T480" i="44"/>
  <c r="T1060" i="44" s="1"/>
  <c r="V479" i="44"/>
  <c r="V1059" i="44" s="1"/>
  <c r="X478" i="44"/>
  <c r="F478" i="44"/>
  <c r="F1058" i="44" s="1"/>
  <c r="F477" i="44"/>
  <c r="F1057" i="44" s="1"/>
  <c r="H476" i="44"/>
  <c r="H1056" i="44" s="1"/>
  <c r="I475" i="44"/>
  <c r="I1055" i="44" s="1"/>
  <c r="L474" i="44"/>
  <c r="L1054" i="44" s="1"/>
  <c r="M473" i="44"/>
  <c r="M1053" i="44" s="1"/>
  <c r="R472" i="44"/>
  <c r="R1052" i="44" s="1"/>
  <c r="S471" i="44"/>
  <c r="S1051" i="44" s="1"/>
  <c r="U470" i="44"/>
  <c r="U1050" i="44" s="1"/>
  <c r="V469" i="44"/>
  <c r="V1049" i="44" s="1"/>
  <c r="X468" i="44"/>
  <c r="G468" i="44"/>
  <c r="G1048" i="44" s="1"/>
  <c r="I467" i="44"/>
  <c r="I1047" i="44" s="1"/>
  <c r="M466" i="44"/>
  <c r="M1046" i="44" s="1"/>
  <c r="R465" i="44"/>
  <c r="R1045" i="44" s="1"/>
  <c r="U464" i="44"/>
  <c r="U1044" i="44" s="1"/>
  <c r="W463" i="44"/>
  <c r="W1043" i="44" s="1"/>
  <c r="F463" i="44"/>
  <c r="F1043" i="44" s="1"/>
  <c r="I462" i="44"/>
  <c r="I1042" i="44" s="1"/>
  <c r="N461" i="44"/>
  <c r="N1041" i="44" s="1"/>
  <c r="S460" i="44"/>
  <c r="S1040" i="44" s="1"/>
  <c r="G476" i="44"/>
  <c r="G1056" i="44" s="1"/>
  <c r="P465" i="44"/>
  <c r="H475" i="44"/>
  <c r="H1055" i="44" s="1"/>
  <c r="T464" i="44"/>
  <c r="T1044" i="44" s="1"/>
  <c r="I474" i="44"/>
  <c r="I1054" i="44" s="1"/>
  <c r="V463" i="44"/>
  <c r="V1043" i="44" s="1"/>
  <c r="L473" i="44"/>
  <c r="X462" i="44"/>
  <c r="I483" i="44"/>
  <c r="I1063" i="44" s="1"/>
  <c r="N472" i="44"/>
  <c r="N1052" i="44" s="1"/>
  <c r="H462" i="44"/>
  <c r="H1042" i="44" s="1"/>
  <c r="L482" i="44"/>
  <c r="R471" i="44"/>
  <c r="R1051" i="44" s="1"/>
  <c r="M461" i="44"/>
  <c r="M1041" i="44" s="1"/>
  <c r="P481" i="44"/>
  <c r="T470" i="44"/>
  <c r="T1050" i="44" s="1"/>
  <c r="R460" i="44"/>
  <c r="R1040" i="44" s="1"/>
  <c r="S480" i="44"/>
  <c r="S1060" i="44" s="1"/>
  <c r="U469" i="44"/>
  <c r="U1049" i="44" s="1"/>
  <c r="U479" i="44"/>
  <c r="U1059" i="44" s="1"/>
  <c r="W468" i="44"/>
  <c r="W1048" i="44" s="1"/>
  <c r="W478" i="44"/>
  <c r="W1058" i="44" s="1"/>
  <c r="F468" i="44"/>
  <c r="F1048" i="44" s="1"/>
  <c r="W477" i="44"/>
  <c r="W1057" i="44" s="1"/>
  <c r="H467" i="44"/>
  <c r="H1047" i="44" s="1"/>
  <c r="X476" i="44"/>
  <c r="L466" i="44"/>
  <c r="S195" i="44"/>
  <c r="S775" i="44" s="1"/>
  <c r="U194" i="44"/>
  <c r="U774" i="44" s="1"/>
  <c r="W193" i="44"/>
  <c r="W773" i="44" s="1"/>
  <c r="F193" i="44"/>
  <c r="F773" i="44" s="1"/>
  <c r="H192" i="44"/>
  <c r="H772" i="44" s="1"/>
  <c r="M191" i="44"/>
  <c r="M771" i="44" s="1"/>
  <c r="R190" i="44"/>
  <c r="R770" i="44" s="1"/>
  <c r="T189" i="44"/>
  <c r="T769" i="44" s="1"/>
  <c r="X188" i="44"/>
  <c r="G188" i="44"/>
  <c r="G768" i="44" s="1"/>
  <c r="I187" i="44"/>
  <c r="I767" i="44" s="1"/>
  <c r="M186" i="44"/>
  <c r="M766" i="44" s="1"/>
  <c r="S185" i="44"/>
  <c r="S765" i="44" s="1"/>
  <c r="U184" i="44"/>
  <c r="U764" i="44" s="1"/>
  <c r="F184" i="44"/>
  <c r="F764" i="44" s="1"/>
  <c r="I183" i="44"/>
  <c r="I763" i="44" s="1"/>
  <c r="M182" i="44"/>
  <c r="M762" i="44" s="1"/>
  <c r="T181" i="44"/>
  <c r="T761" i="44" s="1"/>
  <c r="V180" i="44"/>
  <c r="V760" i="44" s="1"/>
  <c r="X179" i="44"/>
  <c r="G179" i="44"/>
  <c r="G759" i="44" s="1"/>
  <c r="M178" i="44"/>
  <c r="M758" i="44" s="1"/>
  <c r="R177" i="44"/>
  <c r="R757" i="44" s="1"/>
  <c r="U176" i="44"/>
  <c r="U756" i="44" s="1"/>
  <c r="G176" i="44"/>
  <c r="G756" i="44" s="1"/>
  <c r="I175" i="44"/>
  <c r="I755" i="44" s="1"/>
  <c r="M174" i="44"/>
  <c r="M754" i="44" s="1"/>
  <c r="R173" i="44"/>
  <c r="R753" i="44" s="1"/>
  <c r="T172" i="44"/>
  <c r="T752" i="44" s="1"/>
  <c r="R195" i="44"/>
  <c r="R775" i="44" s="1"/>
  <c r="S194" i="44"/>
  <c r="S774" i="44" s="1"/>
  <c r="T193" i="44"/>
  <c r="T773" i="44" s="1"/>
  <c r="U192" i="44"/>
  <c r="U772" i="44" s="1"/>
  <c r="V191" i="44"/>
  <c r="V771" i="44" s="1"/>
  <c r="X190" i="44"/>
  <c r="F190" i="44"/>
  <c r="F770" i="44" s="1"/>
  <c r="G189" i="44"/>
  <c r="G769" i="44" s="1"/>
  <c r="L188" i="44"/>
  <c r="M187" i="44"/>
  <c r="M767" i="44" s="1"/>
  <c r="N186" i="44"/>
  <c r="N766" i="44" s="1"/>
  <c r="R185" i="44"/>
  <c r="R765" i="44" s="1"/>
  <c r="S184" i="44"/>
  <c r="S764" i="44" s="1"/>
  <c r="V183" i="44"/>
  <c r="V763" i="44" s="1"/>
  <c r="X182" i="44"/>
  <c r="F182" i="44"/>
  <c r="F762" i="44" s="1"/>
  <c r="I181" i="44"/>
  <c r="I761" i="44" s="1"/>
  <c r="L180" i="44"/>
  <c r="M179" i="44"/>
  <c r="M759" i="44" s="1"/>
  <c r="T177" i="44"/>
  <c r="T757" i="44" s="1"/>
  <c r="V176" i="44"/>
  <c r="V756" i="44" s="1"/>
  <c r="F176" i="44"/>
  <c r="F756" i="44" s="1"/>
  <c r="G175" i="44"/>
  <c r="G755" i="44" s="1"/>
  <c r="H174" i="44"/>
  <c r="H754" i="44" s="1"/>
  <c r="I173" i="44"/>
  <c r="I753" i="44" s="1"/>
  <c r="L172" i="44"/>
  <c r="N195" i="44"/>
  <c r="R194" i="44"/>
  <c r="R774" i="44" s="1"/>
  <c r="S193" i="44"/>
  <c r="S773" i="44" s="1"/>
  <c r="T192" i="44"/>
  <c r="T772" i="44" s="1"/>
  <c r="U191" i="44"/>
  <c r="U771" i="44" s="1"/>
  <c r="W190" i="44"/>
  <c r="W770" i="44" s="1"/>
  <c r="X189" i="44"/>
  <c r="F189" i="44"/>
  <c r="F769" i="44" s="1"/>
  <c r="I188" i="44"/>
  <c r="I768" i="44" s="1"/>
  <c r="L187" i="44"/>
  <c r="L767" i="44" s="1"/>
  <c r="L186" i="44"/>
  <c r="N185" i="44"/>
  <c r="N765" i="44" s="1"/>
  <c r="R184" i="44"/>
  <c r="R764" i="44" s="1"/>
  <c r="U183" i="44"/>
  <c r="U763" i="44" s="1"/>
  <c r="W182" i="44"/>
  <c r="W762" i="44" s="1"/>
  <c r="H181" i="44"/>
  <c r="H761" i="44" s="1"/>
  <c r="I180" i="44"/>
  <c r="I760" i="44" s="1"/>
  <c r="L179" i="44"/>
  <c r="S177" i="44"/>
  <c r="S757" i="44" s="1"/>
  <c r="T176" i="44"/>
  <c r="T756" i="44" s="1"/>
  <c r="X175" i="44"/>
  <c r="F175" i="44"/>
  <c r="F755" i="44" s="1"/>
  <c r="G174" i="44"/>
  <c r="G754" i="44" s="1"/>
  <c r="H173" i="44"/>
  <c r="H753" i="44" s="1"/>
  <c r="I172" i="44"/>
  <c r="I752" i="44" s="1"/>
  <c r="M195" i="44"/>
  <c r="M775" i="44" s="1"/>
  <c r="N194" i="44"/>
  <c r="N774" i="44" s="1"/>
  <c r="R193" i="44"/>
  <c r="R773" i="44" s="1"/>
  <c r="S192" i="44"/>
  <c r="S772" i="44" s="1"/>
  <c r="T191" i="44"/>
  <c r="T771" i="44" s="1"/>
  <c r="V190" i="44"/>
  <c r="V770" i="44" s="1"/>
  <c r="W189" i="44"/>
  <c r="W769" i="44" s="1"/>
  <c r="H188" i="44"/>
  <c r="H768" i="44" s="1"/>
  <c r="H187" i="44"/>
  <c r="H767" i="44" s="1"/>
  <c r="I186" i="44"/>
  <c r="I766" i="44" s="1"/>
  <c r="M185" i="44"/>
  <c r="M765" i="44" s="1"/>
  <c r="T183" i="44"/>
  <c r="T763" i="44" s="1"/>
  <c r="V182" i="44"/>
  <c r="V762" i="44" s="1"/>
  <c r="G181" i="44"/>
  <c r="G761" i="44" s="1"/>
  <c r="H180" i="44"/>
  <c r="H760" i="44" s="1"/>
  <c r="I179" i="44"/>
  <c r="I759" i="44" s="1"/>
  <c r="N178" i="44"/>
  <c r="N758" i="44" s="1"/>
  <c r="S176" i="44"/>
  <c r="S756" i="44" s="1"/>
  <c r="W175" i="44"/>
  <c r="W755" i="44" s="1"/>
  <c r="X174" i="44"/>
  <c r="F174" i="44"/>
  <c r="F754" i="44" s="1"/>
  <c r="G173" i="44"/>
  <c r="G753" i="44" s="1"/>
  <c r="H172" i="44"/>
  <c r="H752" i="44" s="1"/>
  <c r="L195" i="44"/>
  <c r="L775" i="44" s="1"/>
  <c r="M194" i="44"/>
  <c r="N193" i="44"/>
  <c r="N773" i="44" s="1"/>
  <c r="R192" i="44"/>
  <c r="R772" i="44" s="1"/>
  <c r="S191" i="44"/>
  <c r="S771" i="44" s="1"/>
  <c r="U190" i="44"/>
  <c r="U770" i="44" s="1"/>
  <c r="V189" i="44"/>
  <c r="V769" i="44" s="1"/>
  <c r="F188" i="44"/>
  <c r="F768" i="44" s="1"/>
  <c r="G187" i="44"/>
  <c r="G767" i="44" s="1"/>
  <c r="H186" i="44"/>
  <c r="H766" i="44" s="1"/>
  <c r="L185" i="44"/>
  <c r="P184" i="44"/>
  <c r="S183" i="44"/>
  <c r="S763" i="44" s="1"/>
  <c r="U182" i="44"/>
  <c r="U762" i="44" s="1"/>
  <c r="X181" i="44"/>
  <c r="F181" i="44"/>
  <c r="F761" i="44" s="1"/>
  <c r="G180" i="44"/>
  <c r="G760" i="44" s="1"/>
  <c r="H179" i="44"/>
  <c r="H759" i="44" s="1"/>
  <c r="L178" i="44"/>
  <c r="L758" i="44" s="1"/>
  <c r="N177" i="44"/>
  <c r="N757" i="44" s="1"/>
  <c r="R176" i="44"/>
  <c r="R756" i="44" s="1"/>
  <c r="V175" i="44"/>
  <c r="V755" i="44" s="1"/>
  <c r="W174" i="44"/>
  <c r="W754" i="44" s="1"/>
  <c r="X173" i="44"/>
  <c r="F173" i="44"/>
  <c r="G172" i="44"/>
  <c r="G752" i="44" s="1"/>
  <c r="I195" i="44"/>
  <c r="I775" i="44" s="1"/>
  <c r="L194" i="44"/>
  <c r="L774" i="44" s="1"/>
  <c r="M193" i="44"/>
  <c r="M773" i="44" s="1"/>
  <c r="N192" i="44"/>
  <c r="R191" i="44"/>
  <c r="R771" i="44" s="1"/>
  <c r="T190" i="44"/>
  <c r="T770" i="44" s="1"/>
  <c r="U189" i="44"/>
  <c r="U769" i="44" s="1"/>
  <c r="W188" i="44"/>
  <c r="W768" i="44" s="1"/>
  <c r="X187" i="44"/>
  <c r="F187" i="44"/>
  <c r="F767" i="44" s="1"/>
  <c r="G186" i="44"/>
  <c r="G766" i="44" s="1"/>
  <c r="I185" i="44"/>
  <c r="I765" i="44" s="1"/>
  <c r="N184" i="44"/>
  <c r="N764" i="44" s="1"/>
  <c r="R183" i="44"/>
  <c r="R763" i="44" s="1"/>
  <c r="T182" i="44"/>
  <c r="T762" i="44" s="1"/>
  <c r="W181" i="44"/>
  <c r="W761" i="44" s="1"/>
  <c r="X180" i="44"/>
  <c r="F180" i="44"/>
  <c r="F760" i="44" s="1"/>
  <c r="F179" i="44"/>
  <c r="F759" i="44" s="1"/>
  <c r="I178" i="44"/>
  <c r="I758" i="44" s="1"/>
  <c r="M177" i="44"/>
  <c r="M757" i="44" s="1"/>
  <c r="U175" i="44"/>
  <c r="U755" i="44" s="1"/>
  <c r="V174" i="44"/>
  <c r="V754" i="44" s="1"/>
  <c r="W173" i="44"/>
  <c r="W753" i="44" s="1"/>
  <c r="X172" i="44"/>
  <c r="F172" i="44"/>
  <c r="F752" i="44" s="1"/>
  <c r="H195" i="44"/>
  <c r="H775" i="44" s="1"/>
  <c r="I194" i="44"/>
  <c r="I774" i="44" s="1"/>
  <c r="L193" i="44"/>
  <c r="M192" i="44"/>
  <c r="M772" i="44" s="1"/>
  <c r="S190" i="44"/>
  <c r="S770" i="44" s="1"/>
  <c r="S189" i="44"/>
  <c r="S769" i="44" s="1"/>
  <c r="V188" i="44"/>
  <c r="V768" i="44" s="1"/>
  <c r="W187" i="44"/>
  <c r="W767" i="44" s="1"/>
  <c r="X186" i="44"/>
  <c r="F186" i="44"/>
  <c r="F766" i="44" s="1"/>
  <c r="H185" i="44"/>
  <c r="H765" i="44" s="1"/>
  <c r="M184" i="44"/>
  <c r="M764" i="44" s="1"/>
  <c r="S182" i="44"/>
  <c r="S762" i="44" s="1"/>
  <c r="V181" i="44"/>
  <c r="V761" i="44" s="1"/>
  <c r="W180" i="44"/>
  <c r="W760" i="44" s="1"/>
  <c r="W179" i="44"/>
  <c r="W759" i="44" s="1"/>
  <c r="X178" i="44"/>
  <c r="H178" i="44"/>
  <c r="H758" i="44" s="1"/>
  <c r="L177" i="44"/>
  <c r="T175" i="44"/>
  <c r="T755" i="44" s="1"/>
  <c r="U174" i="44"/>
  <c r="U754" i="44" s="1"/>
  <c r="G195" i="44"/>
  <c r="G775" i="44" s="1"/>
  <c r="H194" i="44"/>
  <c r="H774" i="44" s="1"/>
  <c r="I193" i="44"/>
  <c r="I773" i="44" s="1"/>
  <c r="L192" i="44"/>
  <c r="L772" i="44" s="1"/>
  <c r="N191" i="44"/>
  <c r="N771" i="44" s="1"/>
  <c r="N190" i="44"/>
  <c r="N770" i="44" s="1"/>
  <c r="R189" i="44"/>
  <c r="R769" i="44" s="1"/>
  <c r="U188" i="44"/>
  <c r="U768" i="44" s="1"/>
  <c r="V187" i="44"/>
  <c r="V767" i="44" s="1"/>
  <c r="W186" i="44"/>
  <c r="W766" i="44" s="1"/>
  <c r="G185" i="44"/>
  <c r="G765" i="44" s="1"/>
  <c r="L184" i="44"/>
  <c r="L764" i="44" s="1"/>
  <c r="N183" i="44"/>
  <c r="N763" i="44" s="1"/>
  <c r="R182" i="44"/>
  <c r="R762" i="44" s="1"/>
  <c r="U181" i="44"/>
  <c r="U761" i="44" s="1"/>
  <c r="U180" i="44"/>
  <c r="U760" i="44" s="1"/>
  <c r="V179" i="44"/>
  <c r="V759" i="44" s="1"/>
  <c r="W178" i="44"/>
  <c r="W758" i="44" s="1"/>
  <c r="G178" i="44"/>
  <c r="G758" i="44" s="1"/>
  <c r="I177" i="44"/>
  <c r="I757" i="44" s="1"/>
  <c r="S175" i="44"/>
  <c r="S755" i="44" s="1"/>
  <c r="T174" i="44"/>
  <c r="T754" i="44" s="1"/>
  <c r="U173" i="44"/>
  <c r="U753" i="44" s="1"/>
  <c r="V172" i="44"/>
  <c r="V752" i="44" s="1"/>
  <c r="X195" i="44"/>
  <c r="F195" i="44"/>
  <c r="F775" i="44" s="1"/>
  <c r="G194" i="44"/>
  <c r="G774" i="44" s="1"/>
  <c r="H193" i="44"/>
  <c r="H773" i="44" s="1"/>
  <c r="I192" i="44"/>
  <c r="I772" i="44" s="1"/>
  <c r="L191" i="44"/>
  <c r="L771" i="44" s="1"/>
  <c r="M190" i="44"/>
  <c r="M770" i="44" s="1"/>
  <c r="N189" i="44"/>
  <c r="N769" i="44" s="1"/>
  <c r="T188" i="44"/>
  <c r="T768" i="44" s="1"/>
  <c r="U187" i="44"/>
  <c r="U767" i="44" s="1"/>
  <c r="V186" i="44"/>
  <c r="V766" i="44" s="1"/>
  <c r="X185" i="44"/>
  <c r="F185" i="44"/>
  <c r="F765" i="44" s="1"/>
  <c r="I184" i="44"/>
  <c r="I764" i="44" s="1"/>
  <c r="M183" i="44"/>
  <c r="M763" i="44" s="1"/>
  <c r="N182" i="44"/>
  <c r="S181" i="44"/>
  <c r="S761" i="44" s="1"/>
  <c r="T180" i="44"/>
  <c r="T760" i="44" s="1"/>
  <c r="U179" i="44"/>
  <c r="U759" i="44" s="1"/>
  <c r="V178" i="44"/>
  <c r="V758" i="44" s="1"/>
  <c r="F178" i="44"/>
  <c r="H177" i="44"/>
  <c r="H757" i="44" s="1"/>
  <c r="N176" i="44"/>
  <c r="N756" i="44" s="1"/>
  <c r="W195" i="44"/>
  <c r="W775" i="44" s="1"/>
  <c r="X194" i="44"/>
  <c r="F194" i="44"/>
  <c r="F774" i="44" s="1"/>
  <c r="G193" i="44"/>
  <c r="G773" i="44" s="1"/>
  <c r="G192" i="44"/>
  <c r="G772" i="44" s="1"/>
  <c r="I191" i="44"/>
  <c r="I771" i="44" s="1"/>
  <c r="L190" i="44"/>
  <c r="M189" i="44"/>
  <c r="M769" i="44" s="1"/>
  <c r="S188" i="44"/>
  <c r="S768" i="44" s="1"/>
  <c r="T187" i="44"/>
  <c r="T767" i="44" s="1"/>
  <c r="U186" i="44"/>
  <c r="U766" i="44" s="1"/>
  <c r="W185" i="44"/>
  <c r="W765" i="44" s="1"/>
  <c r="X184" i="44"/>
  <c r="H184" i="44"/>
  <c r="H764" i="44" s="1"/>
  <c r="L183" i="44"/>
  <c r="L763" i="44" s="1"/>
  <c r="L182" i="44"/>
  <c r="L762" i="44" s="1"/>
  <c r="R181" i="44"/>
  <c r="R761" i="44" s="1"/>
  <c r="S180" i="44"/>
  <c r="S760" i="44" s="1"/>
  <c r="T179" i="44"/>
  <c r="T759" i="44" s="1"/>
  <c r="U178" i="44"/>
  <c r="U758" i="44" s="1"/>
  <c r="X177" i="44"/>
  <c r="G177" i="44"/>
  <c r="G757" i="44" s="1"/>
  <c r="M176" i="44"/>
  <c r="M756" i="44" s="1"/>
  <c r="N175" i="44"/>
  <c r="V195" i="44"/>
  <c r="V775" i="44" s="1"/>
  <c r="W194" i="44"/>
  <c r="W774" i="44" s="1"/>
  <c r="X193" i="44"/>
  <c r="X192" i="44"/>
  <c r="F192" i="44"/>
  <c r="F772" i="44" s="1"/>
  <c r="H191" i="44"/>
  <c r="H771" i="44" s="1"/>
  <c r="I190" i="44"/>
  <c r="I770" i="44" s="1"/>
  <c r="L189" i="44"/>
  <c r="R188" i="44"/>
  <c r="R768" i="44" s="1"/>
  <c r="S187" i="44"/>
  <c r="S767" i="44" s="1"/>
  <c r="T186" i="44"/>
  <c r="T766" i="44" s="1"/>
  <c r="V185" i="44"/>
  <c r="V765" i="44" s="1"/>
  <c r="U195" i="44"/>
  <c r="U775" i="44" s="1"/>
  <c r="V194" i="44"/>
  <c r="V774" i="44" s="1"/>
  <c r="V193" i="44"/>
  <c r="V773" i="44" s="1"/>
  <c r="W192" i="44"/>
  <c r="W772" i="44" s="1"/>
  <c r="X191" i="44"/>
  <c r="G191" i="44"/>
  <c r="G771" i="44" s="1"/>
  <c r="H190" i="44"/>
  <c r="H770" i="44" s="1"/>
  <c r="I189" i="44"/>
  <c r="I769" i="44" s="1"/>
  <c r="N188" i="44"/>
  <c r="N768" i="44" s="1"/>
  <c r="R187" i="44"/>
  <c r="R767" i="44" s="1"/>
  <c r="S186" i="44"/>
  <c r="S766" i="44" s="1"/>
  <c r="U185" i="44"/>
  <c r="U765" i="44" s="1"/>
  <c r="V184" i="44"/>
  <c r="V764" i="44" s="1"/>
  <c r="X183" i="44"/>
  <c r="G183" i="44"/>
  <c r="G763" i="44" s="1"/>
  <c r="H182" i="44"/>
  <c r="H762" i="44" s="1"/>
  <c r="M181" i="44"/>
  <c r="N180" i="44"/>
  <c r="N760" i="44" s="1"/>
  <c r="R179" i="44"/>
  <c r="R759" i="44" s="1"/>
  <c r="S178" i="44"/>
  <c r="S758" i="44" s="1"/>
  <c r="V177" i="44"/>
  <c r="V757" i="44" s="1"/>
  <c r="X176" i="44"/>
  <c r="I176" i="44"/>
  <c r="I756" i="44" s="1"/>
  <c r="L175" i="44"/>
  <c r="L755" i="44" s="1"/>
  <c r="L174" i="44"/>
  <c r="L754" i="44" s="1"/>
  <c r="M173" i="44"/>
  <c r="M753" i="44" s="1"/>
  <c r="N172" i="44"/>
  <c r="N752" i="44" s="1"/>
  <c r="U193" i="44"/>
  <c r="U773" i="44" s="1"/>
  <c r="G184" i="44"/>
  <c r="G764" i="44" s="1"/>
  <c r="T178" i="44"/>
  <c r="T758" i="44" s="1"/>
  <c r="R174" i="44"/>
  <c r="R754" i="44" s="1"/>
  <c r="M172" i="44"/>
  <c r="M752" i="44" s="1"/>
  <c r="V192" i="44"/>
  <c r="V772" i="44" s="1"/>
  <c r="W183" i="44"/>
  <c r="W763" i="44" s="1"/>
  <c r="R178" i="44"/>
  <c r="R758" i="44" s="1"/>
  <c r="N174" i="44"/>
  <c r="N754" i="44" s="1"/>
  <c r="W191" i="44"/>
  <c r="W771" i="44" s="1"/>
  <c r="H183" i="44"/>
  <c r="H763" i="44" s="1"/>
  <c r="W177" i="44"/>
  <c r="W757" i="44" s="1"/>
  <c r="I174" i="44"/>
  <c r="I754" i="44" s="1"/>
  <c r="F191" i="44"/>
  <c r="F771" i="44" s="1"/>
  <c r="F183" i="44"/>
  <c r="F763" i="44" s="1"/>
  <c r="U177" i="44"/>
  <c r="U757" i="44" s="1"/>
  <c r="V173" i="44"/>
  <c r="V753" i="44" s="1"/>
  <c r="G190" i="44"/>
  <c r="G770" i="44" s="1"/>
  <c r="I182" i="44"/>
  <c r="I762" i="44" s="1"/>
  <c r="F177" i="44"/>
  <c r="F757" i="44" s="1"/>
  <c r="T173" i="44"/>
  <c r="T753" i="44" s="1"/>
  <c r="H189" i="44"/>
  <c r="H769" i="44" s="1"/>
  <c r="G182" i="44"/>
  <c r="G762" i="44" s="1"/>
  <c r="W176" i="44"/>
  <c r="W756" i="44" s="1"/>
  <c r="S173" i="44"/>
  <c r="S753" i="44" s="1"/>
  <c r="M188" i="44"/>
  <c r="M768" i="44" s="1"/>
  <c r="N181" i="44"/>
  <c r="N761" i="44" s="1"/>
  <c r="L176" i="44"/>
  <c r="L756" i="44" s="1"/>
  <c r="N173" i="44"/>
  <c r="N753" i="44" s="1"/>
  <c r="N187" i="44"/>
  <c r="N767" i="44" s="1"/>
  <c r="L181" i="44"/>
  <c r="L761" i="44" s="1"/>
  <c r="H176" i="44"/>
  <c r="H756" i="44" s="1"/>
  <c r="L173" i="44"/>
  <c r="R186" i="44"/>
  <c r="R766" i="44" s="1"/>
  <c r="R180" i="44"/>
  <c r="R760" i="44" s="1"/>
  <c r="R175" i="44"/>
  <c r="R755" i="44" s="1"/>
  <c r="W172" i="44"/>
  <c r="W752" i="44" s="1"/>
  <c r="T185" i="44"/>
  <c r="T765" i="44" s="1"/>
  <c r="M180" i="44"/>
  <c r="M760" i="44" s="1"/>
  <c r="M175" i="44"/>
  <c r="M755" i="44" s="1"/>
  <c r="U172" i="44"/>
  <c r="U752" i="44" s="1"/>
  <c r="T195" i="44"/>
  <c r="T775" i="44" s="1"/>
  <c r="W184" i="44"/>
  <c r="W764" i="44" s="1"/>
  <c r="S179" i="44"/>
  <c r="S759" i="44" s="1"/>
  <c r="H175" i="44"/>
  <c r="H755" i="44" s="1"/>
  <c r="S172" i="44"/>
  <c r="S752" i="44" s="1"/>
  <c r="T194" i="44"/>
  <c r="T774" i="44" s="1"/>
  <c r="T184" i="44"/>
  <c r="T764" i="44" s="1"/>
  <c r="N179" i="44"/>
  <c r="N759" i="44" s="1"/>
  <c r="S174" i="44"/>
  <c r="S754" i="44" s="1"/>
  <c r="R172" i="44"/>
  <c r="R752" i="44" s="1"/>
  <c r="P467" i="44"/>
  <c r="P468" i="44"/>
  <c r="P187" i="44"/>
  <c r="P474" i="44"/>
  <c r="P469" i="44"/>
  <c r="P464" i="44"/>
  <c r="K212" i="44"/>
  <c r="K503" i="44"/>
  <c r="K484" i="44"/>
  <c r="S507" i="44"/>
  <c r="S1087" i="44" s="1"/>
  <c r="U506" i="44"/>
  <c r="U1086" i="44" s="1"/>
  <c r="W505" i="44"/>
  <c r="W1085" i="44" s="1"/>
  <c r="F505" i="44"/>
  <c r="F1085" i="44" s="1"/>
  <c r="H504" i="44"/>
  <c r="H1084" i="44" s="1"/>
  <c r="L503" i="44"/>
  <c r="L1083" i="44" s="1"/>
  <c r="U501" i="44"/>
  <c r="U1081" i="44" s="1"/>
  <c r="X500" i="44"/>
  <c r="H500" i="44"/>
  <c r="H1080" i="44" s="1"/>
  <c r="L499" i="44"/>
  <c r="L1079" i="44" s="1"/>
  <c r="U497" i="44"/>
  <c r="U1077" i="44" s="1"/>
  <c r="W496" i="44"/>
  <c r="W1076" i="44" s="1"/>
  <c r="F496" i="44"/>
  <c r="F1076" i="44" s="1"/>
  <c r="I495" i="44"/>
  <c r="I1075" i="44" s="1"/>
  <c r="M494" i="44"/>
  <c r="M1074" i="44" s="1"/>
  <c r="R493" i="44"/>
  <c r="R1073" i="44" s="1"/>
  <c r="R507" i="44"/>
  <c r="R1087" i="44" s="1"/>
  <c r="T506" i="44"/>
  <c r="T1086" i="44" s="1"/>
  <c r="V505" i="44"/>
  <c r="V1085" i="44" s="1"/>
  <c r="X504" i="44"/>
  <c r="G504" i="44"/>
  <c r="G1084" i="44" s="1"/>
  <c r="N507" i="44"/>
  <c r="N1087" i="44" s="1"/>
  <c r="S506" i="44"/>
  <c r="S1086" i="44" s="1"/>
  <c r="U505" i="44"/>
  <c r="U1085" i="44" s="1"/>
  <c r="W504" i="44"/>
  <c r="W1084" i="44" s="1"/>
  <c r="F504" i="44"/>
  <c r="F1084" i="44" s="1"/>
  <c r="M507" i="44"/>
  <c r="M1087" i="44" s="1"/>
  <c r="R506" i="44"/>
  <c r="R1086" i="44" s="1"/>
  <c r="T505" i="44"/>
  <c r="T1085" i="44" s="1"/>
  <c r="V504" i="44"/>
  <c r="V1084" i="44" s="1"/>
  <c r="X503" i="44"/>
  <c r="L507" i="44"/>
  <c r="N506" i="44"/>
  <c r="N1086" i="44" s="1"/>
  <c r="S505" i="44"/>
  <c r="S1085" i="44" s="1"/>
  <c r="U504" i="44"/>
  <c r="U1084" i="44" s="1"/>
  <c r="W503" i="44"/>
  <c r="W1083" i="44" s="1"/>
  <c r="F503" i="44"/>
  <c r="F1083" i="44" s="1"/>
  <c r="L502" i="44"/>
  <c r="L1082" i="44" s="1"/>
  <c r="I507" i="44"/>
  <c r="I1087" i="44" s="1"/>
  <c r="M506" i="44"/>
  <c r="M1086" i="44" s="1"/>
  <c r="R505" i="44"/>
  <c r="R1085" i="44" s="1"/>
  <c r="H507" i="44"/>
  <c r="H1087" i="44" s="1"/>
  <c r="L506" i="44"/>
  <c r="N505" i="44"/>
  <c r="N1085" i="44" s="1"/>
  <c r="X507" i="44"/>
  <c r="G507" i="44"/>
  <c r="G1087" i="44" s="1"/>
  <c r="I506" i="44"/>
  <c r="I1086" i="44" s="1"/>
  <c r="W507" i="44"/>
  <c r="W1087" i="44" s="1"/>
  <c r="F507" i="44"/>
  <c r="F1087" i="44" s="1"/>
  <c r="H506" i="44"/>
  <c r="H1086" i="44" s="1"/>
  <c r="U507" i="44"/>
  <c r="U1087" i="44" s="1"/>
  <c r="W506" i="44"/>
  <c r="W1086" i="44" s="1"/>
  <c r="F506" i="44"/>
  <c r="F1086" i="44" s="1"/>
  <c r="H505" i="44"/>
  <c r="H1085" i="44" s="1"/>
  <c r="L504" i="44"/>
  <c r="N503" i="44"/>
  <c r="S502" i="44"/>
  <c r="S1082" i="44" s="1"/>
  <c r="W501" i="44"/>
  <c r="W1081" i="44" s="1"/>
  <c r="G501" i="44"/>
  <c r="G1081" i="44" s="1"/>
  <c r="L500" i="44"/>
  <c r="L1080" i="44" s="1"/>
  <c r="N499" i="44"/>
  <c r="S498" i="44"/>
  <c r="S1078" i="44" s="1"/>
  <c r="W497" i="44"/>
  <c r="W1077" i="44" s="1"/>
  <c r="F497" i="44"/>
  <c r="F1077" i="44" s="1"/>
  <c r="H496" i="44"/>
  <c r="H1076" i="44" s="1"/>
  <c r="M495" i="44"/>
  <c r="M1075" i="44" s="1"/>
  <c r="R494" i="44"/>
  <c r="R1074" i="44" s="1"/>
  <c r="T493" i="44"/>
  <c r="T1073" i="44" s="1"/>
  <c r="V492" i="44"/>
  <c r="V1072" i="44" s="1"/>
  <c r="F492" i="44"/>
  <c r="F1072" i="44" s="1"/>
  <c r="H491" i="44"/>
  <c r="H1071" i="44" s="1"/>
  <c r="L490" i="44"/>
  <c r="L1070" i="44" s="1"/>
  <c r="N489" i="44"/>
  <c r="N1069" i="44" s="1"/>
  <c r="S488" i="44"/>
  <c r="S1068" i="44" s="1"/>
  <c r="V487" i="44"/>
  <c r="V1067" i="44" s="1"/>
  <c r="X486" i="44"/>
  <c r="G486" i="44"/>
  <c r="G1066" i="44" s="1"/>
  <c r="M485" i="44"/>
  <c r="M1065" i="44" s="1"/>
  <c r="R484" i="44"/>
  <c r="R1064" i="44" s="1"/>
  <c r="P1236" i="44" s="1"/>
  <c r="S504" i="44"/>
  <c r="S1084" i="44" s="1"/>
  <c r="H503" i="44"/>
  <c r="H1083" i="44" s="1"/>
  <c r="H502" i="44"/>
  <c r="H1082" i="44" s="1"/>
  <c r="H501" i="44"/>
  <c r="H1081" i="44" s="1"/>
  <c r="G500" i="44"/>
  <c r="G1080" i="44" s="1"/>
  <c r="G499" i="44"/>
  <c r="G1079" i="44" s="1"/>
  <c r="I498" i="44"/>
  <c r="I1078" i="44" s="1"/>
  <c r="I497" i="44"/>
  <c r="I1077" i="44" s="1"/>
  <c r="I496" i="44"/>
  <c r="I1076" i="44" s="1"/>
  <c r="H495" i="44"/>
  <c r="H1075" i="44" s="1"/>
  <c r="H494" i="44"/>
  <c r="H1074" i="44" s="1"/>
  <c r="H493" i="44"/>
  <c r="H1073" i="44" s="1"/>
  <c r="L492" i="44"/>
  <c r="L1072" i="44" s="1"/>
  <c r="M491" i="44"/>
  <c r="M1071" i="44" s="1"/>
  <c r="N490" i="44"/>
  <c r="N1070" i="44" s="1"/>
  <c r="R489" i="44"/>
  <c r="R1069" i="44" s="1"/>
  <c r="R488" i="44"/>
  <c r="R1068" i="44" s="1"/>
  <c r="T487" i="44"/>
  <c r="T1067" i="44" s="1"/>
  <c r="U486" i="44"/>
  <c r="U1066" i="44" s="1"/>
  <c r="X485" i="44"/>
  <c r="F485" i="44"/>
  <c r="F1065" i="44" s="1"/>
  <c r="G484" i="44"/>
  <c r="G1064" i="44" s="1"/>
  <c r="V507" i="44"/>
  <c r="V1087" i="44" s="1"/>
  <c r="R504" i="44"/>
  <c r="R1084" i="44" s="1"/>
  <c r="G503" i="44"/>
  <c r="G1083" i="44" s="1"/>
  <c r="G502" i="44"/>
  <c r="G1082" i="44" s="1"/>
  <c r="F501" i="44"/>
  <c r="F1081" i="44" s="1"/>
  <c r="F500" i="44"/>
  <c r="F1080" i="44" s="1"/>
  <c r="F499" i="44"/>
  <c r="F1079" i="44" s="1"/>
  <c r="H498" i="44"/>
  <c r="H1078" i="44" s="1"/>
  <c r="H497" i="44"/>
  <c r="H1077" i="44" s="1"/>
  <c r="G496" i="44"/>
  <c r="G1076" i="44" s="1"/>
  <c r="G495" i="44"/>
  <c r="G1075" i="44" s="1"/>
  <c r="G494" i="44"/>
  <c r="G1074" i="44" s="1"/>
  <c r="G493" i="44"/>
  <c r="G1073" i="44" s="1"/>
  <c r="I492" i="44"/>
  <c r="I1072" i="44" s="1"/>
  <c r="G1244" i="44" s="1"/>
  <c r="L491" i="44"/>
  <c r="L1071" i="44" s="1"/>
  <c r="M490" i="44"/>
  <c r="M1070" i="44" s="1"/>
  <c r="M489" i="44"/>
  <c r="S487" i="44"/>
  <c r="S1067" i="44" s="1"/>
  <c r="T486" i="44"/>
  <c r="T1066" i="44" s="1"/>
  <c r="W485" i="44"/>
  <c r="W1065" i="44" s="1"/>
  <c r="X484" i="44"/>
  <c r="F484" i="44"/>
  <c r="F1064" i="44" s="1"/>
  <c r="T507" i="44"/>
  <c r="T1087" i="44" s="1"/>
  <c r="N504" i="44"/>
  <c r="N1084" i="44" s="1"/>
  <c r="X502" i="44"/>
  <c r="F502" i="44"/>
  <c r="W500" i="44"/>
  <c r="W1080" i="44" s="1"/>
  <c r="X499" i="44"/>
  <c r="X498" i="44"/>
  <c r="G498" i="44"/>
  <c r="G1078" i="44" s="1"/>
  <c r="G497" i="44"/>
  <c r="G1077" i="44" s="1"/>
  <c r="X495" i="44"/>
  <c r="F495" i="44"/>
  <c r="F1075" i="44" s="1"/>
  <c r="F494" i="44"/>
  <c r="F1074" i="44" s="1"/>
  <c r="F493" i="44"/>
  <c r="F1073" i="44" s="1"/>
  <c r="H492" i="44"/>
  <c r="H1072" i="44" s="1"/>
  <c r="I491" i="44"/>
  <c r="I1071" i="44" s="1"/>
  <c r="I490" i="44"/>
  <c r="I1070" i="44" s="1"/>
  <c r="G1242" i="44" s="1"/>
  <c r="L489" i="44"/>
  <c r="L1069" i="44" s="1"/>
  <c r="N488" i="44"/>
  <c r="N1068" i="44" s="1"/>
  <c r="R487" i="44"/>
  <c r="R1067" i="44" s="1"/>
  <c r="S486" i="44"/>
  <c r="S1066" i="44" s="1"/>
  <c r="V485" i="44"/>
  <c r="V1065" i="44" s="1"/>
  <c r="W484" i="44"/>
  <c r="W1064" i="44" s="1"/>
  <c r="X506" i="44"/>
  <c r="M504" i="44"/>
  <c r="M1084" i="44" s="1"/>
  <c r="W502" i="44"/>
  <c r="W1082" i="44" s="1"/>
  <c r="X501" i="44"/>
  <c r="V500" i="44"/>
  <c r="V1080" i="44" s="1"/>
  <c r="W499" i="44"/>
  <c r="W1079" i="44" s="1"/>
  <c r="W498" i="44"/>
  <c r="W1078" i="44" s="1"/>
  <c r="F498" i="44"/>
  <c r="F1078" i="44" s="1"/>
  <c r="X496" i="44"/>
  <c r="W495" i="44"/>
  <c r="W1075" i="44" s="1"/>
  <c r="X494" i="44"/>
  <c r="X493" i="44"/>
  <c r="X492" i="44"/>
  <c r="G492" i="44"/>
  <c r="G1072" i="44" s="1"/>
  <c r="G491" i="44"/>
  <c r="G1071" i="44" s="1"/>
  <c r="H490" i="44"/>
  <c r="H1070" i="44" s="1"/>
  <c r="I489" i="44"/>
  <c r="I1069" i="44" s="1"/>
  <c r="M488" i="44"/>
  <c r="M1068" i="44" s="1"/>
  <c r="N487" i="44"/>
  <c r="R486" i="44"/>
  <c r="R1066" i="44" s="1"/>
  <c r="U485" i="44"/>
  <c r="U1065" i="44" s="1"/>
  <c r="V484" i="44"/>
  <c r="V1064" i="44" s="1"/>
  <c r="V506" i="44"/>
  <c r="V1086" i="44" s="1"/>
  <c r="I504" i="44"/>
  <c r="I1084" i="44" s="1"/>
  <c r="V502" i="44"/>
  <c r="V1082" i="44" s="1"/>
  <c r="V501" i="44"/>
  <c r="V1081" i="44" s="1"/>
  <c r="U500" i="44"/>
  <c r="U1080" i="44" s="1"/>
  <c r="V499" i="44"/>
  <c r="V1079" i="44" s="1"/>
  <c r="V498" i="44"/>
  <c r="V1078" i="44" s="1"/>
  <c r="X497" i="44"/>
  <c r="V496" i="44"/>
  <c r="V1076" i="44" s="1"/>
  <c r="V495" i="44"/>
  <c r="V1075" i="44" s="1"/>
  <c r="W494" i="44"/>
  <c r="W1074" i="44" s="1"/>
  <c r="W493" i="44"/>
  <c r="W1073" i="44" s="1"/>
  <c r="W492" i="44"/>
  <c r="W1072" i="44" s="1"/>
  <c r="X491" i="44"/>
  <c r="F491" i="44"/>
  <c r="F1071" i="44" s="1"/>
  <c r="G490" i="44"/>
  <c r="G1070" i="44" s="1"/>
  <c r="H489" i="44"/>
  <c r="H1069" i="44" s="1"/>
  <c r="L488" i="44"/>
  <c r="M487" i="44"/>
  <c r="M1067" i="44" s="1"/>
  <c r="N486" i="44"/>
  <c r="N1066" i="44" s="1"/>
  <c r="T485" i="44"/>
  <c r="T1065" i="44" s="1"/>
  <c r="U484" i="44"/>
  <c r="U1064" i="44" s="1"/>
  <c r="G506" i="44"/>
  <c r="G1086" i="44" s="1"/>
  <c r="V503" i="44"/>
  <c r="V1083" i="44" s="1"/>
  <c r="U502" i="44"/>
  <c r="U1082" i="44" s="1"/>
  <c r="T501" i="44"/>
  <c r="T1081" i="44" s="1"/>
  <c r="T500" i="44"/>
  <c r="T1080" i="44" s="1"/>
  <c r="U499" i="44"/>
  <c r="U1079" i="44" s="1"/>
  <c r="U498" i="44"/>
  <c r="U1078" i="44" s="1"/>
  <c r="V497" i="44"/>
  <c r="V1077" i="44" s="1"/>
  <c r="U496" i="44"/>
  <c r="U1076" i="44" s="1"/>
  <c r="U495" i="44"/>
  <c r="U1075" i="44" s="1"/>
  <c r="V494" i="44"/>
  <c r="V1074" i="44" s="1"/>
  <c r="V493" i="44"/>
  <c r="V1073" i="44" s="1"/>
  <c r="U492" i="44"/>
  <c r="U1072" i="44" s="1"/>
  <c r="W491" i="44"/>
  <c r="W1071" i="44" s="1"/>
  <c r="X490" i="44"/>
  <c r="F490" i="44"/>
  <c r="F1070" i="44" s="1"/>
  <c r="G489" i="44"/>
  <c r="G1069" i="44" s="1"/>
  <c r="I488" i="44"/>
  <c r="I1068" i="44" s="1"/>
  <c r="L487" i="44"/>
  <c r="L1067" i="44" s="1"/>
  <c r="M486" i="44"/>
  <c r="M1066" i="44" s="1"/>
  <c r="S485" i="44"/>
  <c r="S1065" i="44" s="1"/>
  <c r="T484" i="44"/>
  <c r="T1064" i="44" s="1"/>
  <c r="X505" i="44"/>
  <c r="U503" i="44"/>
  <c r="U1083" i="44" s="1"/>
  <c r="T502" i="44"/>
  <c r="T1082" i="44" s="1"/>
  <c r="S501" i="44"/>
  <c r="S1081" i="44" s="1"/>
  <c r="S500" i="44"/>
  <c r="S1080" i="44" s="1"/>
  <c r="T499" i="44"/>
  <c r="T1079" i="44" s="1"/>
  <c r="T498" i="44"/>
  <c r="T1078" i="44" s="1"/>
  <c r="T497" i="44"/>
  <c r="T1077" i="44" s="1"/>
  <c r="T496" i="44"/>
  <c r="T1076" i="44" s="1"/>
  <c r="T495" i="44"/>
  <c r="T1075" i="44" s="1"/>
  <c r="U494" i="44"/>
  <c r="U1074" i="44" s="1"/>
  <c r="U493" i="44"/>
  <c r="U1073" i="44" s="1"/>
  <c r="T492" i="44"/>
  <c r="T1072" i="44" s="1"/>
  <c r="V491" i="44"/>
  <c r="V1071" i="44" s="1"/>
  <c r="W490" i="44"/>
  <c r="W1070" i="44" s="1"/>
  <c r="X489" i="44"/>
  <c r="F489" i="44"/>
  <c r="F1069" i="44" s="1"/>
  <c r="H488" i="44"/>
  <c r="H1068" i="44" s="1"/>
  <c r="I487" i="44"/>
  <c r="I1067" i="44" s="1"/>
  <c r="L486" i="44"/>
  <c r="R485" i="44"/>
  <c r="R1065" i="44" s="1"/>
  <c r="S484" i="44"/>
  <c r="S1064" i="44" s="1"/>
  <c r="M505" i="44"/>
  <c r="M1085" i="44" s="1"/>
  <c r="T503" i="44"/>
  <c r="T1083" i="44" s="1"/>
  <c r="R1255" i="44" s="1"/>
  <c r="R502" i="44"/>
  <c r="R1082" i="44" s="1"/>
  <c r="R501" i="44"/>
  <c r="R1081" i="44" s="1"/>
  <c r="R500" i="44"/>
  <c r="R1080" i="44" s="1"/>
  <c r="S499" i="44"/>
  <c r="S1079" i="44" s="1"/>
  <c r="R498" i="44"/>
  <c r="R1078" i="44" s="1"/>
  <c r="S497" i="44"/>
  <c r="S1077" i="44" s="1"/>
  <c r="S496" i="44"/>
  <c r="S1076" i="44" s="1"/>
  <c r="S495" i="44"/>
  <c r="S1075" i="44" s="1"/>
  <c r="T494" i="44"/>
  <c r="T1074" i="44" s="1"/>
  <c r="S493" i="44"/>
  <c r="S1073" i="44" s="1"/>
  <c r="S492" i="44"/>
  <c r="S1072" i="44" s="1"/>
  <c r="U491" i="44"/>
  <c r="U1071" i="44" s="1"/>
  <c r="S1243" i="44" s="1"/>
  <c r="V490" i="44"/>
  <c r="V1070" i="44" s="1"/>
  <c r="W489" i="44"/>
  <c r="W1069" i="44" s="1"/>
  <c r="X488" i="44"/>
  <c r="G488" i="44"/>
  <c r="G1068" i="44" s="1"/>
  <c r="H487" i="44"/>
  <c r="H1067" i="44" s="1"/>
  <c r="I486" i="44"/>
  <c r="I1066" i="44" s="1"/>
  <c r="N485" i="44"/>
  <c r="N1065" i="44" s="1"/>
  <c r="N484" i="44"/>
  <c r="N1064" i="44" s="1"/>
  <c r="L505" i="44"/>
  <c r="S503" i="44"/>
  <c r="S1083" i="44" s="1"/>
  <c r="N501" i="44"/>
  <c r="N1081" i="44" s="1"/>
  <c r="L1253" i="44" s="1"/>
  <c r="R499" i="44"/>
  <c r="R1079" i="44" s="1"/>
  <c r="R497" i="44"/>
  <c r="R1077" i="44" s="1"/>
  <c r="R496" i="44"/>
  <c r="R1076" i="44" s="1"/>
  <c r="R495" i="44"/>
  <c r="R1075" i="44" s="1"/>
  <c r="S494" i="44"/>
  <c r="S1074" i="44" s="1"/>
  <c r="N493" i="44"/>
  <c r="N1073" i="44" s="1"/>
  <c r="R492" i="44"/>
  <c r="R1072" i="44" s="1"/>
  <c r="T491" i="44"/>
  <c r="T1071" i="44" s="1"/>
  <c r="U490" i="44"/>
  <c r="U1070" i="44" s="1"/>
  <c r="V489" i="44"/>
  <c r="V1069" i="44" s="1"/>
  <c r="W488" i="44"/>
  <c r="W1068" i="44" s="1"/>
  <c r="F488" i="44"/>
  <c r="F1068" i="44" s="1"/>
  <c r="G487" i="44"/>
  <c r="G1067" i="44" s="1"/>
  <c r="H486" i="44"/>
  <c r="H1066" i="44" s="1"/>
  <c r="L485" i="44"/>
  <c r="M484" i="44"/>
  <c r="M1064" i="44" s="1"/>
  <c r="I505" i="44"/>
  <c r="I1085" i="44" s="1"/>
  <c r="R503" i="44"/>
  <c r="R1083" i="44" s="1"/>
  <c r="N502" i="44"/>
  <c r="N1082" i="44" s="1"/>
  <c r="M501" i="44"/>
  <c r="M1081" i="44" s="1"/>
  <c r="N500" i="44"/>
  <c r="N1080" i="44" s="1"/>
  <c r="M499" i="44"/>
  <c r="M1079" i="44" s="1"/>
  <c r="N498" i="44"/>
  <c r="N1078" i="44" s="1"/>
  <c r="N497" i="44"/>
  <c r="N1077" i="44" s="1"/>
  <c r="N496" i="44"/>
  <c r="N1076" i="44" s="1"/>
  <c r="N494" i="44"/>
  <c r="M493" i="44"/>
  <c r="M1073" i="44" s="1"/>
  <c r="S491" i="44"/>
  <c r="S1071" i="44" s="1"/>
  <c r="T490" i="44"/>
  <c r="T1070" i="44" s="1"/>
  <c r="U489" i="44"/>
  <c r="U1069" i="44" s="1"/>
  <c r="V488" i="44"/>
  <c r="V1068" i="44" s="1"/>
  <c r="X487" i="44"/>
  <c r="F487" i="44"/>
  <c r="F1067" i="44" s="1"/>
  <c r="F486" i="44"/>
  <c r="F1066" i="44" s="1"/>
  <c r="I485" i="44"/>
  <c r="I1065" i="44" s="1"/>
  <c r="L484" i="44"/>
  <c r="L1064" i="44" s="1"/>
  <c r="G505" i="44"/>
  <c r="G1085" i="44" s="1"/>
  <c r="M503" i="44"/>
  <c r="M1083" i="44" s="1"/>
  <c r="M502" i="44"/>
  <c r="M1082" i="44" s="1"/>
  <c r="L501" i="44"/>
  <c r="L1081" i="44" s="1"/>
  <c r="M500" i="44"/>
  <c r="M1080" i="44" s="1"/>
  <c r="I499" i="44"/>
  <c r="I1079" i="44" s="1"/>
  <c r="M498" i="44"/>
  <c r="M1078" i="44" s="1"/>
  <c r="M497" i="44"/>
  <c r="M1077" i="44" s="1"/>
  <c r="M496" i="44"/>
  <c r="M1076" i="44" s="1"/>
  <c r="N495" i="44"/>
  <c r="N1075" i="44" s="1"/>
  <c r="L494" i="44"/>
  <c r="L1074" i="44" s="1"/>
  <c r="L493" i="44"/>
  <c r="N492" i="44"/>
  <c r="N1072" i="44" s="1"/>
  <c r="R491" i="44"/>
  <c r="R1071" i="44" s="1"/>
  <c r="S490" i="44"/>
  <c r="S1070" i="44" s="1"/>
  <c r="T489" i="44"/>
  <c r="T1069" i="44" s="1"/>
  <c r="U488" i="44"/>
  <c r="U1068" i="44" s="1"/>
  <c r="W487" i="44"/>
  <c r="W1067" i="44" s="1"/>
  <c r="W486" i="44"/>
  <c r="W1066" i="44" s="1"/>
  <c r="H485" i="44"/>
  <c r="H1065" i="44" s="1"/>
  <c r="F1237" i="44" s="1"/>
  <c r="I484" i="44"/>
  <c r="I1064" i="44" s="1"/>
  <c r="L498" i="44"/>
  <c r="L1078" i="44" s="1"/>
  <c r="V486" i="44"/>
  <c r="V1066" i="44" s="1"/>
  <c r="L497" i="44"/>
  <c r="L496" i="44"/>
  <c r="G485" i="44"/>
  <c r="G1065" i="44" s="1"/>
  <c r="L495" i="44"/>
  <c r="L1075" i="44" s="1"/>
  <c r="H484" i="44"/>
  <c r="H1064" i="44" s="1"/>
  <c r="I494" i="44"/>
  <c r="I1074" i="44" s="1"/>
  <c r="I493" i="44"/>
  <c r="I1073" i="44" s="1"/>
  <c r="T504" i="44"/>
  <c r="T1084" i="44" s="1"/>
  <c r="M492" i="44"/>
  <c r="I503" i="44"/>
  <c r="I1083" i="44" s="1"/>
  <c r="N491" i="44"/>
  <c r="N1071" i="44" s="1"/>
  <c r="I502" i="44"/>
  <c r="I1082" i="44" s="1"/>
  <c r="R490" i="44"/>
  <c r="R1070" i="44" s="1"/>
  <c r="I501" i="44"/>
  <c r="I1081" i="44" s="1"/>
  <c r="S489" i="44"/>
  <c r="S1069" i="44" s="1"/>
  <c r="I500" i="44"/>
  <c r="I1080" i="44" s="1"/>
  <c r="T488" i="44"/>
  <c r="T1068" i="44" s="1"/>
  <c r="H499" i="44"/>
  <c r="H1079" i="44" s="1"/>
  <c r="U487" i="44"/>
  <c r="U1067" i="44" s="1"/>
  <c r="M219" i="44"/>
  <c r="M799" i="44" s="1"/>
  <c r="R218" i="44"/>
  <c r="R798" i="44" s="1"/>
  <c r="V217" i="44"/>
  <c r="V797" i="44" s="1"/>
  <c r="X216" i="44"/>
  <c r="G216" i="44"/>
  <c r="G796" i="44" s="1"/>
  <c r="I215" i="44"/>
  <c r="I795" i="44" s="1"/>
  <c r="M214" i="44"/>
  <c r="R213" i="44"/>
  <c r="R793" i="44" s="1"/>
  <c r="U212" i="44"/>
  <c r="U792" i="44" s="1"/>
  <c r="F212" i="44"/>
  <c r="F792" i="44" s="1"/>
  <c r="H211" i="44"/>
  <c r="H791" i="44" s="1"/>
  <c r="L210" i="44"/>
  <c r="N209" i="44"/>
  <c r="N789" i="44" s="1"/>
  <c r="S208" i="44"/>
  <c r="S788" i="44" s="1"/>
  <c r="U207" i="44"/>
  <c r="U787" i="44" s="1"/>
  <c r="W206" i="44"/>
  <c r="W786" i="44" s="1"/>
  <c r="H206" i="44"/>
  <c r="H786" i="44" s="1"/>
  <c r="M205" i="44"/>
  <c r="M785" i="44" s="1"/>
  <c r="R204" i="44"/>
  <c r="R784" i="44" s="1"/>
  <c r="T203" i="44"/>
  <c r="T783" i="44" s="1"/>
  <c r="V202" i="44"/>
  <c r="V782" i="44" s="1"/>
  <c r="X201" i="44"/>
  <c r="G201" i="44"/>
  <c r="G781" i="44" s="1"/>
  <c r="M200" i="44"/>
  <c r="M780" i="44" s="1"/>
  <c r="R199" i="44"/>
  <c r="R779" i="44" s="1"/>
  <c r="U198" i="44"/>
  <c r="U778" i="44" s="1"/>
  <c r="S1238" i="44" s="1"/>
  <c r="F198" i="44"/>
  <c r="F778" i="44" s="1"/>
  <c r="L197" i="44"/>
  <c r="L777" i="44" s="1"/>
  <c r="N196" i="44"/>
  <c r="N776" i="44" s="1"/>
  <c r="S219" i="44"/>
  <c r="S799" i="44" s="1"/>
  <c r="V218" i="44"/>
  <c r="V798" i="44" s="1"/>
  <c r="F218" i="44"/>
  <c r="F798" i="44" s="1"/>
  <c r="G217" i="44"/>
  <c r="G797" i="44" s="1"/>
  <c r="H216" i="44"/>
  <c r="H796" i="44" s="1"/>
  <c r="H215" i="44"/>
  <c r="H795" i="44" s="1"/>
  <c r="I214" i="44"/>
  <c r="I794" i="44" s="1"/>
  <c r="M213" i="44"/>
  <c r="M793" i="44" s="1"/>
  <c r="T211" i="44"/>
  <c r="T791" i="44" s="1"/>
  <c r="U210" i="44"/>
  <c r="U790" i="44" s="1"/>
  <c r="V209" i="44"/>
  <c r="V789" i="44" s="1"/>
  <c r="W208" i="44"/>
  <c r="W788" i="44" s="1"/>
  <c r="X207" i="44"/>
  <c r="F207" i="44"/>
  <c r="F787" i="44" s="1"/>
  <c r="I206" i="44"/>
  <c r="I786" i="44" s="1"/>
  <c r="L205" i="44"/>
  <c r="L785" i="44" s="1"/>
  <c r="M204" i="44"/>
  <c r="M784" i="44" s="1"/>
  <c r="N203" i="44"/>
  <c r="N783" i="44" s="1"/>
  <c r="R202" i="44"/>
  <c r="R782" i="44" s="1"/>
  <c r="S201" i="44"/>
  <c r="S781" i="44" s="1"/>
  <c r="T200" i="44"/>
  <c r="T780" i="44" s="1"/>
  <c r="W199" i="44"/>
  <c r="W779" i="44" s="1"/>
  <c r="F199" i="44"/>
  <c r="F779" i="44" s="1"/>
  <c r="I198" i="44"/>
  <c r="I778" i="44" s="1"/>
  <c r="N197" i="44"/>
  <c r="N777" i="44" s="1"/>
  <c r="R196" i="44"/>
  <c r="R776" i="44" s="1"/>
  <c r="R219" i="44"/>
  <c r="R799" i="44" s="1"/>
  <c r="U218" i="44"/>
  <c r="U798" i="44" s="1"/>
  <c r="X217" i="44"/>
  <c r="F217" i="44"/>
  <c r="F797" i="44" s="1"/>
  <c r="F216" i="44"/>
  <c r="F796" i="44" s="1"/>
  <c r="G215" i="44"/>
  <c r="G795" i="44" s="1"/>
  <c r="H214" i="44"/>
  <c r="H794" i="44" s="1"/>
  <c r="L213" i="44"/>
  <c r="L793" i="44" s="1"/>
  <c r="S211" i="44"/>
  <c r="S791" i="44" s="1"/>
  <c r="T210" i="44"/>
  <c r="T790" i="44" s="1"/>
  <c r="U209" i="44"/>
  <c r="U789" i="44" s="1"/>
  <c r="V208" i="44"/>
  <c r="V788" i="44" s="1"/>
  <c r="W207" i="44"/>
  <c r="W787" i="44" s="1"/>
  <c r="X206" i="44"/>
  <c r="G206" i="44"/>
  <c r="G786" i="44" s="1"/>
  <c r="I205" i="44"/>
  <c r="I785" i="44" s="1"/>
  <c r="L204" i="44"/>
  <c r="L784" i="44" s="1"/>
  <c r="M203" i="44"/>
  <c r="N202" i="44"/>
  <c r="N782" i="44" s="1"/>
  <c r="R201" i="44"/>
  <c r="R781" i="44" s="1"/>
  <c r="S200" i="44"/>
  <c r="S780" i="44" s="1"/>
  <c r="V199" i="44"/>
  <c r="V779" i="44" s="1"/>
  <c r="X198" i="44"/>
  <c r="H198" i="44"/>
  <c r="H778" i="44" s="1"/>
  <c r="M197" i="44"/>
  <c r="M777" i="44" s="1"/>
  <c r="M196" i="44"/>
  <c r="P219" i="44"/>
  <c r="T218" i="44"/>
  <c r="T798" i="44" s="1"/>
  <c r="W217" i="44"/>
  <c r="W797" i="44" s="1"/>
  <c r="W216" i="44"/>
  <c r="W796" i="44" s="1"/>
  <c r="X215" i="44"/>
  <c r="F215" i="44"/>
  <c r="F795" i="44" s="1"/>
  <c r="G214" i="44"/>
  <c r="G794" i="44" s="1"/>
  <c r="I213" i="44"/>
  <c r="I793" i="44" s="1"/>
  <c r="N212" i="44"/>
  <c r="N792" i="44" s="1"/>
  <c r="R211" i="44"/>
  <c r="R791" i="44" s="1"/>
  <c r="S210" i="44"/>
  <c r="S790" i="44" s="1"/>
  <c r="T209" i="44"/>
  <c r="T789" i="44" s="1"/>
  <c r="U208" i="44"/>
  <c r="U788" i="44" s="1"/>
  <c r="V207" i="44"/>
  <c r="V787" i="44" s="1"/>
  <c r="V206" i="44"/>
  <c r="V786" i="44" s="1"/>
  <c r="F206" i="44"/>
  <c r="H205" i="44"/>
  <c r="H785" i="44" s="1"/>
  <c r="I204" i="44"/>
  <c r="I784" i="44" s="1"/>
  <c r="L203" i="44"/>
  <c r="L783" i="44" s="1"/>
  <c r="M202" i="44"/>
  <c r="M782" i="44" s="1"/>
  <c r="N201" i="44"/>
  <c r="N781" i="44" s="1"/>
  <c r="R200" i="44"/>
  <c r="R780" i="44" s="1"/>
  <c r="U199" i="44"/>
  <c r="U779" i="44" s="1"/>
  <c r="W198" i="44"/>
  <c r="W778" i="44" s="1"/>
  <c r="G198" i="44"/>
  <c r="G778" i="44" s="1"/>
  <c r="I197" i="44"/>
  <c r="I777" i="44" s="1"/>
  <c r="L196" i="44"/>
  <c r="L776" i="44" s="1"/>
  <c r="S218" i="44"/>
  <c r="S798" i="44" s="1"/>
  <c r="U217" i="44"/>
  <c r="U797" i="44" s="1"/>
  <c r="V216" i="44"/>
  <c r="V796" i="44" s="1"/>
  <c r="W215" i="44"/>
  <c r="W795" i="44" s="1"/>
  <c r="X214" i="44"/>
  <c r="F214" i="44"/>
  <c r="F794" i="44" s="1"/>
  <c r="H213" i="44"/>
  <c r="H793" i="44" s="1"/>
  <c r="M212" i="44"/>
  <c r="M792" i="44" s="1"/>
  <c r="N211" i="44"/>
  <c r="N791" i="44" s="1"/>
  <c r="R210" i="44"/>
  <c r="R790" i="44" s="1"/>
  <c r="S209" i="44"/>
  <c r="S789" i="44" s="1"/>
  <c r="T208" i="44"/>
  <c r="T788" i="44" s="1"/>
  <c r="T207" i="44"/>
  <c r="T787" i="44" s="1"/>
  <c r="U206" i="44"/>
  <c r="U786" i="44" s="1"/>
  <c r="X205" i="44"/>
  <c r="G205" i="44"/>
  <c r="G785" i="44" s="1"/>
  <c r="H204" i="44"/>
  <c r="H784" i="44" s="1"/>
  <c r="I203" i="44"/>
  <c r="I783" i="44" s="1"/>
  <c r="L202" i="44"/>
  <c r="M201" i="44"/>
  <c r="M781" i="44" s="1"/>
  <c r="T199" i="44"/>
  <c r="T779" i="44" s="1"/>
  <c r="V198" i="44"/>
  <c r="V778" i="44" s="1"/>
  <c r="X197" i="44"/>
  <c r="H197" i="44"/>
  <c r="H777" i="44" s="1"/>
  <c r="I196" i="44"/>
  <c r="I776" i="44" s="1"/>
  <c r="N219" i="44"/>
  <c r="N799" i="44" s="1"/>
  <c r="T217" i="44"/>
  <c r="T797" i="44" s="1"/>
  <c r="U216" i="44"/>
  <c r="U796" i="44" s="1"/>
  <c r="V215" i="44"/>
  <c r="V795" i="44" s="1"/>
  <c r="W214" i="44"/>
  <c r="W794" i="44" s="1"/>
  <c r="X213" i="44"/>
  <c r="G213" i="44"/>
  <c r="G793" i="44" s="1"/>
  <c r="L212" i="44"/>
  <c r="L792" i="44" s="1"/>
  <c r="M211" i="44"/>
  <c r="M791" i="44" s="1"/>
  <c r="N210" i="44"/>
  <c r="N790" i="44" s="1"/>
  <c r="R209" i="44"/>
  <c r="R789" i="44" s="1"/>
  <c r="R208" i="44"/>
  <c r="R788" i="44" s="1"/>
  <c r="S207" i="44"/>
  <c r="S787" i="44" s="1"/>
  <c r="T206" i="44"/>
  <c r="T786" i="44" s="1"/>
  <c r="W205" i="44"/>
  <c r="W785" i="44" s="1"/>
  <c r="F205" i="44"/>
  <c r="F785" i="44" s="1"/>
  <c r="G204" i="44"/>
  <c r="G784" i="44" s="1"/>
  <c r="H203" i="44"/>
  <c r="H783" i="44" s="1"/>
  <c r="I202" i="44"/>
  <c r="I782" i="44" s="1"/>
  <c r="L201" i="44"/>
  <c r="S199" i="44"/>
  <c r="S779" i="44" s="1"/>
  <c r="T198" i="44"/>
  <c r="T778" i="44" s="1"/>
  <c r="W197" i="44"/>
  <c r="W777" i="44" s="1"/>
  <c r="U1237" i="44" s="1"/>
  <c r="G197" i="44"/>
  <c r="G777" i="44" s="1"/>
  <c r="H196" i="44"/>
  <c r="H776" i="44" s="1"/>
  <c r="L219" i="44"/>
  <c r="L799" i="44" s="1"/>
  <c r="S217" i="44"/>
  <c r="S797" i="44" s="1"/>
  <c r="T216" i="44"/>
  <c r="T796" i="44" s="1"/>
  <c r="U215" i="44"/>
  <c r="U795" i="44" s="1"/>
  <c r="V214" i="44"/>
  <c r="V794" i="44" s="1"/>
  <c r="W213" i="44"/>
  <c r="W793" i="44" s="1"/>
  <c r="F213" i="44"/>
  <c r="F793" i="44" s="1"/>
  <c r="I212" i="44"/>
  <c r="I792" i="44" s="1"/>
  <c r="L211" i="44"/>
  <c r="M210" i="44"/>
  <c r="M790" i="44" s="1"/>
  <c r="M209" i="44"/>
  <c r="M789" i="44" s="1"/>
  <c r="N208" i="44"/>
  <c r="N788" i="44" s="1"/>
  <c r="R207" i="44"/>
  <c r="R787" i="44" s="1"/>
  <c r="S206" i="44"/>
  <c r="S786" i="44" s="1"/>
  <c r="V205" i="44"/>
  <c r="V785" i="44" s="1"/>
  <c r="X204" i="44"/>
  <c r="F204" i="44"/>
  <c r="F784" i="44" s="1"/>
  <c r="G203" i="44"/>
  <c r="G783" i="44" s="1"/>
  <c r="H202" i="44"/>
  <c r="H782" i="44" s="1"/>
  <c r="I201" i="44"/>
  <c r="I781" i="44" s="1"/>
  <c r="N200" i="44"/>
  <c r="S198" i="44"/>
  <c r="S778" i="44" s="1"/>
  <c r="V197" i="44"/>
  <c r="V777" i="44" s="1"/>
  <c r="F197" i="44"/>
  <c r="F777" i="44" s="1"/>
  <c r="G196" i="44"/>
  <c r="G776" i="44" s="1"/>
  <c r="I219" i="44"/>
  <c r="I799" i="44" s="1"/>
  <c r="N218" i="44"/>
  <c r="N798" i="44" s="1"/>
  <c r="R217" i="44"/>
  <c r="R797" i="44" s="1"/>
  <c r="S216" i="44"/>
  <c r="S796" i="44" s="1"/>
  <c r="T215" i="44"/>
  <c r="T795" i="44" s="1"/>
  <c r="U214" i="44"/>
  <c r="U794" i="44" s="1"/>
  <c r="V213" i="44"/>
  <c r="V793" i="44" s="1"/>
  <c r="X212" i="44"/>
  <c r="H212" i="44"/>
  <c r="H792" i="44" s="1"/>
  <c r="I211" i="44"/>
  <c r="I791" i="44" s="1"/>
  <c r="I210" i="44"/>
  <c r="I790" i="44" s="1"/>
  <c r="L209" i="44"/>
  <c r="L789" i="44" s="1"/>
  <c r="M208" i="44"/>
  <c r="M788" i="44" s="1"/>
  <c r="N207" i="44"/>
  <c r="N787" i="44" s="1"/>
  <c r="R206" i="44"/>
  <c r="R786" i="44" s="1"/>
  <c r="U205" i="44"/>
  <c r="U785" i="44" s="1"/>
  <c r="W204" i="44"/>
  <c r="W784" i="44" s="1"/>
  <c r="X203" i="44"/>
  <c r="F203" i="44"/>
  <c r="G202" i="44"/>
  <c r="G782" i="44" s="1"/>
  <c r="H201" i="44"/>
  <c r="H781" i="44" s="1"/>
  <c r="L200" i="44"/>
  <c r="L780" i="44" s="1"/>
  <c r="N199" i="44"/>
  <c r="N779" i="44" s="1"/>
  <c r="R198" i="44"/>
  <c r="R778" i="44" s="1"/>
  <c r="U197" i="44"/>
  <c r="U777" i="44" s="1"/>
  <c r="X196" i="44"/>
  <c r="F196" i="44"/>
  <c r="F776" i="44" s="1"/>
  <c r="X219" i="44"/>
  <c r="H219" i="44"/>
  <c r="H799" i="44" s="1"/>
  <c r="M218" i="44"/>
  <c r="M798" i="44" s="1"/>
  <c r="N217" i="44"/>
  <c r="N797" i="44" s="1"/>
  <c r="R216" i="44"/>
  <c r="R796" i="44" s="1"/>
  <c r="S215" i="44"/>
  <c r="S795" i="44" s="1"/>
  <c r="T214" i="44"/>
  <c r="T794" i="44" s="1"/>
  <c r="U213" i="44"/>
  <c r="U793" i="44" s="1"/>
  <c r="W212" i="44"/>
  <c r="W792" i="44" s="1"/>
  <c r="G212" i="44"/>
  <c r="G792" i="44" s="1"/>
  <c r="G211" i="44"/>
  <c r="G791" i="44" s="1"/>
  <c r="H210" i="44"/>
  <c r="H790" i="44" s="1"/>
  <c r="I209" i="44"/>
  <c r="I789" i="44" s="1"/>
  <c r="L208" i="44"/>
  <c r="L788" i="44" s="1"/>
  <c r="M207" i="44"/>
  <c r="M787" i="44" s="1"/>
  <c r="T205" i="44"/>
  <c r="T785" i="44" s="1"/>
  <c r="V204" i="44"/>
  <c r="V784" i="44" s="1"/>
  <c r="W203" i="44"/>
  <c r="W783" i="44" s="1"/>
  <c r="X202" i="44"/>
  <c r="F202" i="44"/>
  <c r="F782" i="44" s="1"/>
  <c r="F201" i="44"/>
  <c r="F781" i="44" s="1"/>
  <c r="I200" i="44"/>
  <c r="I780" i="44" s="1"/>
  <c r="M199" i="44"/>
  <c r="M779" i="44" s="1"/>
  <c r="T197" i="44"/>
  <c r="T777" i="44" s="1"/>
  <c r="W196" i="44"/>
  <c r="W776" i="44" s="1"/>
  <c r="W219" i="44"/>
  <c r="W799" i="44" s="1"/>
  <c r="G219" i="44"/>
  <c r="G799" i="44" s="1"/>
  <c r="E1259" i="44" s="1"/>
  <c r="L218" i="44"/>
  <c r="L798" i="44" s="1"/>
  <c r="M217" i="44"/>
  <c r="M797" i="44" s="1"/>
  <c r="N216" i="44"/>
  <c r="N796" i="44" s="1"/>
  <c r="R215" i="44"/>
  <c r="R795" i="44" s="1"/>
  <c r="S214" i="44"/>
  <c r="S794" i="44" s="1"/>
  <c r="T213" i="44"/>
  <c r="T793" i="44" s="1"/>
  <c r="V212" i="44"/>
  <c r="V792" i="44" s="1"/>
  <c r="X211" i="44"/>
  <c r="F211" i="44"/>
  <c r="F791" i="44" s="1"/>
  <c r="G210" i="44"/>
  <c r="G790" i="44" s="1"/>
  <c r="H209" i="44"/>
  <c r="H789" i="44" s="1"/>
  <c r="I208" i="44"/>
  <c r="I788" i="44" s="1"/>
  <c r="G1248" i="44" s="1"/>
  <c r="L207" i="44"/>
  <c r="S205" i="44"/>
  <c r="S785" i="44" s="1"/>
  <c r="U204" i="44"/>
  <c r="U784" i="44" s="1"/>
  <c r="V203" i="44"/>
  <c r="V783" i="44" s="1"/>
  <c r="W202" i="44"/>
  <c r="W782" i="44" s="1"/>
  <c r="W201" i="44"/>
  <c r="W781" i="44" s="1"/>
  <c r="X200" i="44"/>
  <c r="H200" i="44"/>
  <c r="H780" i="44" s="1"/>
  <c r="L199" i="44"/>
  <c r="L779" i="44" s="1"/>
  <c r="S197" i="44"/>
  <c r="S777" i="44" s="1"/>
  <c r="V196" i="44"/>
  <c r="V776" i="44" s="1"/>
  <c r="V219" i="44"/>
  <c r="V799" i="44" s="1"/>
  <c r="F219" i="44"/>
  <c r="F799" i="44" s="1"/>
  <c r="I218" i="44"/>
  <c r="I798" i="44" s="1"/>
  <c r="L217" i="44"/>
  <c r="M216" i="44"/>
  <c r="M796" i="44" s="1"/>
  <c r="N215" i="44"/>
  <c r="N795" i="44" s="1"/>
  <c r="R214" i="44"/>
  <c r="R794" i="44" s="1"/>
  <c r="S213" i="44"/>
  <c r="S793" i="44" s="1"/>
  <c r="T212" i="44"/>
  <c r="T792" i="44" s="1"/>
  <c r="W211" i="44"/>
  <c r="W791" i="44" s="1"/>
  <c r="X210" i="44"/>
  <c r="F210" i="44"/>
  <c r="F790" i="44" s="1"/>
  <c r="D1250" i="44" s="1"/>
  <c r="G209" i="44"/>
  <c r="G789" i="44" s="1"/>
  <c r="H208" i="44"/>
  <c r="H788" i="44" s="1"/>
  <c r="I207" i="44"/>
  <c r="I787" i="44" s="1"/>
  <c r="N206" i="44"/>
  <c r="N786" i="44" s="1"/>
  <c r="R205" i="44"/>
  <c r="R785" i="44" s="1"/>
  <c r="T204" i="44"/>
  <c r="T784" i="44" s="1"/>
  <c r="U203" i="44"/>
  <c r="U783" i="44" s="1"/>
  <c r="U202" i="44"/>
  <c r="U782" i="44" s="1"/>
  <c r="V201" i="44"/>
  <c r="V781" i="44" s="1"/>
  <c r="W200" i="44"/>
  <c r="W780" i="44" s="1"/>
  <c r="G200" i="44"/>
  <c r="G780" i="44" s="1"/>
  <c r="I199" i="44"/>
  <c r="I779" i="44" s="1"/>
  <c r="G1239" i="44" s="1"/>
  <c r="N198" i="44"/>
  <c r="N778" i="44" s="1"/>
  <c r="R197" i="44"/>
  <c r="R777" i="44" s="1"/>
  <c r="U196" i="44"/>
  <c r="U776" i="44" s="1"/>
  <c r="U219" i="44"/>
  <c r="U799" i="44" s="1"/>
  <c r="X218" i="44"/>
  <c r="H218" i="44"/>
  <c r="H798" i="44" s="1"/>
  <c r="I217" i="44"/>
  <c r="I797" i="44" s="1"/>
  <c r="L216" i="44"/>
  <c r="M215" i="44"/>
  <c r="M795" i="44" s="1"/>
  <c r="N214" i="44"/>
  <c r="N794" i="44" s="1"/>
  <c r="S212" i="44"/>
  <c r="S792" i="44" s="1"/>
  <c r="V211" i="44"/>
  <c r="V791" i="44" s="1"/>
  <c r="W210" i="44"/>
  <c r="W790" i="44" s="1"/>
  <c r="X209" i="44"/>
  <c r="F209" i="44"/>
  <c r="F789" i="44" s="1"/>
  <c r="G208" i="44"/>
  <c r="G788" i="44" s="1"/>
  <c r="H207" i="44"/>
  <c r="H787" i="44" s="1"/>
  <c r="M206" i="44"/>
  <c r="M786" i="44" s="1"/>
  <c r="S204" i="44"/>
  <c r="S784" i="44" s="1"/>
  <c r="S203" i="44"/>
  <c r="S783" i="44" s="1"/>
  <c r="T202" i="44"/>
  <c r="T782" i="44" s="1"/>
  <c r="U201" i="44"/>
  <c r="U781" i="44" s="1"/>
  <c r="S1241" i="44" s="1"/>
  <c r="V200" i="44"/>
  <c r="V780" i="44" s="1"/>
  <c r="F200" i="44"/>
  <c r="F780" i="44" s="1"/>
  <c r="H199" i="44"/>
  <c r="H779" i="44" s="1"/>
  <c r="M198" i="44"/>
  <c r="M778" i="44" s="1"/>
  <c r="P197" i="44"/>
  <c r="T196" i="44"/>
  <c r="T776" i="44" s="1"/>
  <c r="L215" i="44"/>
  <c r="N204" i="44"/>
  <c r="L214" i="44"/>
  <c r="L794" i="44" s="1"/>
  <c r="R203" i="44"/>
  <c r="R783" i="44" s="1"/>
  <c r="N213" i="44"/>
  <c r="N793" i="44" s="1"/>
  <c r="S202" i="44"/>
  <c r="S782" i="44" s="1"/>
  <c r="R212" i="44"/>
  <c r="R792" i="44" s="1"/>
  <c r="T201" i="44"/>
  <c r="T781" i="44" s="1"/>
  <c r="U211" i="44"/>
  <c r="U791" i="44" s="1"/>
  <c r="U200" i="44"/>
  <c r="U780" i="44" s="1"/>
  <c r="V210" i="44"/>
  <c r="V790" i="44" s="1"/>
  <c r="X199" i="44"/>
  <c r="W209" i="44"/>
  <c r="W789" i="44" s="1"/>
  <c r="G199" i="44"/>
  <c r="G779" i="44" s="1"/>
  <c r="T219" i="44"/>
  <c r="T799" i="44" s="1"/>
  <c r="X208" i="44"/>
  <c r="L198" i="44"/>
  <c r="L778" i="44" s="1"/>
  <c r="W218" i="44"/>
  <c r="W798" i="44" s="1"/>
  <c r="F208" i="44"/>
  <c r="F788" i="44" s="1"/>
  <c r="G218" i="44"/>
  <c r="G798" i="44" s="1"/>
  <c r="G207" i="44"/>
  <c r="G787" i="44" s="1"/>
  <c r="S196" i="44"/>
  <c r="S776" i="44" s="1"/>
  <c r="H217" i="44"/>
  <c r="H797" i="44" s="1"/>
  <c r="L206" i="44"/>
  <c r="L786" i="44" s="1"/>
  <c r="I216" i="44"/>
  <c r="I796" i="44" s="1"/>
  <c r="N205" i="44"/>
  <c r="N785" i="44" s="1"/>
  <c r="P208" i="44"/>
  <c r="P209" i="44"/>
  <c r="P490" i="44"/>
  <c r="P484" i="44"/>
  <c r="P491" i="44"/>
  <c r="K239" i="44"/>
  <c r="K524" i="44"/>
  <c r="K226" i="44"/>
  <c r="K238" i="44"/>
  <c r="T531" i="44"/>
  <c r="T1111" i="44" s="1"/>
  <c r="W530" i="44"/>
  <c r="W1110" i="44" s="1"/>
  <c r="F530" i="44"/>
  <c r="F1110" i="44" s="1"/>
  <c r="H529" i="44"/>
  <c r="H1109" i="44" s="1"/>
  <c r="L528" i="44"/>
  <c r="N527" i="44"/>
  <c r="N1107" i="44" s="1"/>
  <c r="S526" i="44"/>
  <c r="S1106" i="44" s="1"/>
  <c r="W525" i="44"/>
  <c r="W1105" i="44" s="1"/>
  <c r="F525" i="44"/>
  <c r="F1105" i="44" s="1"/>
  <c r="D1253" i="44" s="1"/>
  <c r="L524" i="44"/>
  <c r="T522" i="44"/>
  <c r="T1102" i="44" s="1"/>
  <c r="V521" i="44"/>
  <c r="V1101" i="44" s="1"/>
  <c r="X520" i="44"/>
  <c r="G520" i="44"/>
  <c r="G1100" i="44" s="1"/>
  <c r="I519" i="44"/>
  <c r="I1099" i="44" s="1"/>
  <c r="N518" i="44"/>
  <c r="N1098" i="44" s="1"/>
  <c r="S517" i="44"/>
  <c r="S1097" i="44" s="1"/>
  <c r="U516" i="44"/>
  <c r="U1096" i="44" s="1"/>
  <c r="W515" i="44"/>
  <c r="W1095" i="44" s="1"/>
  <c r="F515" i="44"/>
  <c r="F1095" i="44" s="1"/>
  <c r="I514" i="44"/>
  <c r="I1094" i="44" s="1"/>
  <c r="N513" i="44"/>
  <c r="N1093" i="44" s="1"/>
  <c r="S512" i="44"/>
  <c r="S1092" i="44" s="1"/>
  <c r="V511" i="44"/>
  <c r="V1091" i="44" s="1"/>
  <c r="X510" i="44"/>
  <c r="G510" i="44"/>
  <c r="G1090" i="44" s="1"/>
  <c r="I509" i="44"/>
  <c r="I1089" i="44" s="1"/>
  <c r="N508" i="44"/>
  <c r="N1088" i="44" s="1"/>
  <c r="S531" i="44"/>
  <c r="S1111" i="44" s="1"/>
  <c r="V530" i="44"/>
  <c r="V1110" i="44" s="1"/>
  <c r="X529" i="44"/>
  <c r="G529" i="44"/>
  <c r="G1109" i="44" s="1"/>
  <c r="I528" i="44"/>
  <c r="I1108" i="44" s="1"/>
  <c r="M527" i="44"/>
  <c r="M1107" i="44" s="1"/>
  <c r="R526" i="44"/>
  <c r="R1106" i="44" s="1"/>
  <c r="V525" i="44"/>
  <c r="V1105" i="44" s="1"/>
  <c r="X524" i="44"/>
  <c r="I524" i="44"/>
  <c r="I1104" i="44" s="1"/>
  <c r="N523" i="44"/>
  <c r="N1103" i="44" s="1"/>
  <c r="S522" i="44"/>
  <c r="S1102" i="44" s="1"/>
  <c r="U521" i="44"/>
  <c r="U1101" i="44" s="1"/>
  <c r="W520" i="44"/>
  <c r="W1100" i="44" s="1"/>
  <c r="F520" i="44"/>
  <c r="F1100" i="44" s="1"/>
  <c r="H519" i="44"/>
  <c r="H1099" i="44" s="1"/>
  <c r="M518" i="44"/>
  <c r="R517" i="44"/>
  <c r="R1097" i="44" s="1"/>
  <c r="T516" i="44"/>
  <c r="T1096" i="44" s="1"/>
  <c r="V515" i="44"/>
  <c r="V1095" i="44" s="1"/>
  <c r="X514" i="44"/>
  <c r="H514" i="44"/>
  <c r="H1094" i="44" s="1"/>
  <c r="M513" i="44"/>
  <c r="M1093" i="44" s="1"/>
  <c r="R512" i="44"/>
  <c r="R1092" i="44" s="1"/>
  <c r="U511" i="44"/>
  <c r="U1091" i="44" s="1"/>
  <c r="W510" i="44"/>
  <c r="W1090" i="44" s="1"/>
  <c r="F510" i="44"/>
  <c r="F1090" i="44" s="1"/>
  <c r="H509" i="44"/>
  <c r="H1089" i="44" s="1"/>
  <c r="M508" i="44"/>
  <c r="R531" i="44"/>
  <c r="R1111" i="44" s="1"/>
  <c r="U530" i="44"/>
  <c r="U1110" i="44" s="1"/>
  <c r="W529" i="44"/>
  <c r="W1109" i="44" s="1"/>
  <c r="F529" i="44"/>
  <c r="F1109" i="44" s="1"/>
  <c r="H528" i="44"/>
  <c r="H1108" i="44" s="1"/>
  <c r="L527" i="44"/>
  <c r="N526" i="44"/>
  <c r="N1106" i="44" s="1"/>
  <c r="U525" i="44"/>
  <c r="U1105" i="44" s="1"/>
  <c r="W524" i="44"/>
  <c r="W1104" i="44" s="1"/>
  <c r="H524" i="44"/>
  <c r="H1104" i="44" s="1"/>
  <c r="M523" i="44"/>
  <c r="M1103" i="44" s="1"/>
  <c r="R522" i="44"/>
  <c r="R1102" i="44" s="1"/>
  <c r="T521" i="44"/>
  <c r="T1101" i="44" s="1"/>
  <c r="V520" i="44"/>
  <c r="V1100" i="44" s="1"/>
  <c r="X519" i="44"/>
  <c r="G519" i="44"/>
  <c r="G1099" i="44" s="1"/>
  <c r="L518" i="44"/>
  <c r="L1098" i="44" s="1"/>
  <c r="N517" i="44"/>
  <c r="N1097" i="44" s="1"/>
  <c r="S516" i="44"/>
  <c r="S1096" i="44" s="1"/>
  <c r="U515" i="44"/>
  <c r="U1095" i="44" s="1"/>
  <c r="W514" i="44"/>
  <c r="W1094" i="44" s="1"/>
  <c r="G514" i="44"/>
  <c r="G1094" i="44" s="1"/>
  <c r="L513" i="44"/>
  <c r="N512" i="44"/>
  <c r="T511" i="44"/>
  <c r="T1091" i="44" s="1"/>
  <c r="V510" i="44"/>
  <c r="V1090" i="44" s="1"/>
  <c r="X509" i="44"/>
  <c r="G509" i="44"/>
  <c r="G1089" i="44" s="1"/>
  <c r="L508" i="44"/>
  <c r="L1088" i="44" s="1"/>
  <c r="T530" i="44"/>
  <c r="T1110" i="44" s="1"/>
  <c r="R1258" i="44" s="1"/>
  <c r="V529" i="44"/>
  <c r="V1109" i="44" s="1"/>
  <c r="X528" i="44"/>
  <c r="G528" i="44"/>
  <c r="G1108" i="44" s="1"/>
  <c r="I527" i="44"/>
  <c r="I1107" i="44" s="1"/>
  <c r="M526" i="44"/>
  <c r="M1106" i="44" s="1"/>
  <c r="T525" i="44"/>
  <c r="T1105" i="44" s="1"/>
  <c r="R1253" i="44" s="1"/>
  <c r="V524" i="44"/>
  <c r="V1104" i="44" s="1"/>
  <c r="G524" i="44"/>
  <c r="G1104" i="44" s="1"/>
  <c r="L523" i="44"/>
  <c r="L1103" i="44" s="1"/>
  <c r="N522" i="44"/>
  <c r="S521" i="44"/>
  <c r="S1101" i="44" s="1"/>
  <c r="U520" i="44"/>
  <c r="U1100" i="44" s="1"/>
  <c r="W519" i="44"/>
  <c r="W1099" i="44" s="1"/>
  <c r="F519" i="44"/>
  <c r="F1099" i="44" s="1"/>
  <c r="I518" i="44"/>
  <c r="I1098" i="44" s="1"/>
  <c r="M517" i="44"/>
  <c r="M1097" i="44" s="1"/>
  <c r="R516" i="44"/>
  <c r="R1096" i="44" s="1"/>
  <c r="T515" i="44"/>
  <c r="T1095" i="44" s="1"/>
  <c r="V514" i="44"/>
  <c r="V1094" i="44" s="1"/>
  <c r="F514" i="44"/>
  <c r="F1094" i="44" s="1"/>
  <c r="I513" i="44"/>
  <c r="I1093" i="44" s="1"/>
  <c r="M512" i="44"/>
  <c r="M1092" i="44" s="1"/>
  <c r="S511" i="44"/>
  <c r="S1091" i="44" s="1"/>
  <c r="U510" i="44"/>
  <c r="U1090" i="44" s="1"/>
  <c r="W509" i="44"/>
  <c r="W1089" i="44" s="1"/>
  <c r="F509" i="44"/>
  <c r="F1089" i="44" s="1"/>
  <c r="I508" i="44"/>
  <c r="I1088" i="44" s="1"/>
  <c r="N531" i="44"/>
  <c r="S530" i="44"/>
  <c r="S1110" i="44" s="1"/>
  <c r="U529" i="44"/>
  <c r="U1109" i="44" s="1"/>
  <c r="W528" i="44"/>
  <c r="W1108" i="44" s="1"/>
  <c r="F528" i="44"/>
  <c r="F1108" i="44" s="1"/>
  <c r="H527" i="44"/>
  <c r="H1107" i="44" s="1"/>
  <c r="L526" i="44"/>
  <c r="S525" i="44"/>
  <c r="S1105" i="44" s="1"/>
  <c r="U524" i="44"/>
  <c r="U1104" i="44" s="1"/>
  <c r="F524" i="44"/>
  <c r="F1104" i="44" s="1"/>
  <c r="I523" i="44"/>
  <c r="I1103" i="44" s="1"/>
  <c r="M522" i="44"/>
  <c r="M1102" i="44" s="1"/>
  <c r="R521" i="44"/>
  <c r="R1101" i="44" s="1"/>
  <c r="T520" i="44"/>
  <c r="T1100" i="44" s="1"/>
  <c r="V519" i="44"/>
  <c r="V1099" i="44" s="1"/>
  <c r="X518" i="44"/>
  <c r="H518" i="44"/>
  <c r="H1098" i="44" s="1"/>
  <c r="L517" i="44"/>
  <c r="L1097" i="44" s="1"/>
  <c r="N516" i="44"/>
  <c r="N1096" i="44" s="1"/>
  <c r="S515" i="44"/>
  <c r="S1095" i="44" s="1"/>
  <c r="U514" i="44"/>
  <c r="U1094" i="44" s="1"/>
  <c r="X513" i="44"/>
  <c r="H513" i="44"/>
  <c r="H1093" i="44" s="1"/>
  <c r="L512" i="44"/>
  <c r="L1092" i="44" s="1"/>
  <c r="R511" i="44"/>
  <c r="R1091" i="44" s="1"/>
  <c r="T510" i="44"/>
  <c r="T1090" i="44" s="1"/>
  <c r="V509" i="44"/>
  <c r="V1089" i="44" s="1"/>
  <c r="H508" i="44"/>
  <c r="H1088" i="44" s="1"/>
  <c r="M531" i="44"/>
  <c r="M1111" i="44" s="1"/>
  <c r="R530" i="44"/>
  <c r="R1110" i="44" s="1"/>
  <c r="T529" i="44"/>
  <c r="T1109" i="44" s="1"/>
  <c r="V528" i="44"/>
  <c r="V1108" i="44" s="1"/>
  <c r="X527" i="44"/>
  <c r="G527" i="44"/>
  <c r="G1107" i="44" s="1"/>
  <c r="I526" i="44"/>
  <c r="I1106" i="44" s="1"/>
  <c r="R525" i="44"/>
  <c r="R1105" i="44" s="1"/>
  <c r="T524" i="44"/>
  <c r="T1104" i="44" s="1"/>
  <c r="X523" i="44"/>
  <c r="H523" i="44"/>
  <c r="H1103" i="44" s="1"/>
  <c r="L522" i="44"/>
  <c r="L1102" i="44" s="1"/>
  <c r="N521" i="44"/>
  <c r="N1101" i="44" s="1"/>
  <c r="S520" i="44"/>
  <c r="S1100" i="44" s="1"/>
  <c r="U519" i="44"/>
  <c r="U1099" i="44" s="1"/>
  <c r="W518" i="44"/>
  <c r="W1098" i="44" s="1"/>
  <c r="G518" i="44"/>
  <c r="G1098" i="44" s="1"/>
  <c r="I517" i="44"/>
  <c r="I1097" i="44" s="1"/>
  <c r="M516" i="44"/>
  <c r="M1096" i="44" s="1"/>
  <c r="R515" i="44"/>
  <c r="R1095" i="44" s="1"/>
  <c r="T514" i="44"/>
  <c r="T1094" i="44" s="1"/>
  <c r="W513" i="44"/>
  <c r="W1093" i="44" s="1"/>
  <c r="G513" i="44"/>
  <c r="G1093" i="44" s="1"/>
  <c r="E1241" i="44" s="1"/>
  <c r="I512" i="44"/>
  <c r="I1092" i="44" s="1"/>
  <c r="N511" i="44"/>
  <c r="N1091" i="44" s="1"/>
  <c r="S510" i="44"/>
  <c r="S1090" i="44" s="1"/>
  <c r="U509" i="44"/>
  <c r="U1089" i="44" s="1"/>
  <c r="X508" i="44"/>
  <c r="G508" i="44"/>
  <c r="G1088" i="44" s="1"/>
  <c r="L531" i="44"/>
  <c r="L1111" i="44" s="1"/>
  <c r="N530" i="44"/>
  <c r="N1110" i="44" s="1"/>
  <c r="S529" i="44"/>
  <c r="S1109" i="44" s="1"/>
  <c r="U528" i="44"/>
  <c r="U1108" i="44" s="1"/>
  <c r="W527" i="44"/>
  <c r="W1107" i="44" s="1"/>
  <c r="F527" i="44"/>
  <c r="H526" i="44"/>
  <c r="H1106" i="44" s="1"/>
  <c r="N525" i="44"/>
  <c r="N1105" i="44" s="1"/>
  <c r="S524" i="44"/>
  <c r="S1104" i="44" s="1"/>
  <c r="W523" i="44"/>
  <c r="W1103" i="44" s="1"/>
  <c r="G523" i="44"/>
  <c r="G1103" i="44" s="1"/>
  <c r="I522" i="44"/>
  <c r="I1102" i="44" s="1"/>
  <c r="M521" i="44"/>
  <c r="R520" i="44"/>
  <c r="R1100" i="44" s="1"/>
  <c r="T519" i="44"/>
  <c r="T1099" i="44" s="1"/>
  <c r="V518" i="44"/>
  <c r="V1098" i="44" s="1"/>
  <c r="F518" i="44"/>
  <c r="F1098" i="44" s="1"/>
  <c r="H517" i="44"/>
  <c r="H1097" i="44" s="1"/>
  <c r="L516" i="44"/>
  <c r="L1096" i="44" s="1"/>
  <c r="N515" i="44"/>
  <c r="N1095" i="44" s="1"/>
  <c r="S514" i="44"/>
  <c r="S1094" i="44" s="1"/>
  <c r="V513" i="44"/>
  <c r="V1093" i="44" s="1"/>
  <c r="F513" i="44"/>
  <c r="F1093" i="44" s="1"/>
  <c r="H512" i="44"/>
  <c r="H1092" i="44" s="1"/>
  <c r="M511" i="44"/>
  <c r="M1091" i="44" s="1"/>
  <c r="R510" i="44"/>
  <c r="R1090" i="44" s="1"/>
  <c r="T509" i="44"/>
  <c r="T1089" i="44" s="1"/>
  <c r="W508" i="44"/>
  <c r="W1088" i="44" s="1"/>
  <c r="F508" i="44"/>
  <c r="F1088" i="44" s="1"/>
  <c r="I531" i="44"/>
  <c r="I1111" i="44" s="1"/>
  <c r="M530" i="44"/>
  <c r="M1110" i="44" s="1"/>
  <c r="R529" i="44"/>
  <c r="R1109" i="44" s="1"/>
  <c r="T528" i="44"/>
  <c r="T1108" i="44" s="1"/>
  <c r="V527" i="44"/>
  <c r="V1107" i="44" s="1"/>
  <c r="X526" i="44"/>
  <c r="G526" i="44"/>
  <c r="G1106" i="44" s="1"/>
  <c r="M525" i="44"/>
  <c r="R524" i="44"/>
  <c r="R1104" i="44" s="1"/>
  <c r="V523" i="44"/>
  <c r="V1103" i="44" s="1"/>
  <c r="F523" i="44"/>
  <c r="F1103" i="44" s="1"/>
  <c r="H522" i="44"/>
  <c r="H1102" i="44" s="1"/>
  <c r="L521" i="44"/>
  <c r="L1101" i="44" s="1"/>
  <c r="N520" i="44"/>
  <c r="N1100" i="44" s="1"/>
  <c r="S519" i="44"/>
  <c r="S1099" i="44" s="1"/>
  <c r="U518" i="44"/>
  <c r="U1098" i="44" s="1"/>
  <c r="X517" i="44"/>
  <c r="G517" i="44"/>
  <c r="G1097" i="44" s="1"/>
  <c r="I516" i="44"/>
  <c r="I1096" i="44" s="1"/>
  <c r="M515" i="44"/>
  <c r="M1095" i="44" s="1"/>
  <c r="R514" i="44"/>
  <c r="R1094" i="44" s="1"/>
  <c r="U513" i="44"/>
  <c r="U1093" i="44" s="1"/>
  <c r="X512" i="44"/>
  <c r="G512" i="44"/>
  <c r="G1092" i="44" s="1"/>
  <c r="L511" i="44"/>
  <c r="N510" i="44"/>
  <c r="N1090" i="44" s="1"/>
  <c r="S509" i="44"/>
  <c r="S1089" i="44" s="1"/>
  <c r="V508" i="44"/>
  <c r="V1088" i="44" s="1"/>
  <c r="X531" i="44"/>
  <c r="H531" i="44"/>
  <c r="H1111" i="44" s="1"/>
  <c r="L530" i="44"/>
  <c r="L1110" i="44" s="1"/>
  <c r="N529" i="44"/>
  <c r="N1109" i="44" s="1"/>
  <c r="S528" i="44"/>
  <c r="S1108" i="44" s="1"/>
  <c r="U527" i="44"/>
  <c r="U1107" i="44" s="1"/>
  <c r="W526" i="44"/>
  <c r="W1106" i="44" s="1"/>
  <c r="F526" i="44"/>
  <c r="F1106" i="44" s="1"/>
  <c r="L525" i="44"/>
  <c r="L1105" i="44" s="1"/>
  <c r="J1253" i="44" s="1"/>
  <c r="U523" i="44"/>
  <c r="U1103" i="44" s="1"/>
  <c r="X522" i="44"/>
  <c r="G522" i="44"/>
  <c r="G1102" i="44" s="1"/>
  <c r="I521" i="44"/>
  <c r="I1101" i="44" s="1"/>
  <c r="M520" i="44"/>
  <c r="M1100" i="44" s="1"/>
  <c r="R519" i="44"/>
  <c r="R1099" i="44" s="1"/>
  <c r="T518" i="44"/>
  <c r="T1098" i="44" s="1"/>
  <c r="W517" i="44"/>
  <c r="W1097" i="44" s="1"/>
  <c r="F517" i="44"/>
  <c r="F1097" i="44" s="1"/>
  <c r="H516" i="44"/>
  <c r="H1096" i="44" s="1"/>
  <c r="L515" i="44"/>
  <c r="T513" i="44"/>
  <c r="T1093" i="44" s="1"/>
  <c r="W512" i="44"/>
  <c r="W1092" i="44" s="1"/>
  <c r="F512" i="44"/>
  <c r="F1092" i="44" s="1"/>
  <c r="I511" i="44"/>
  <c r="I1091" i="44" s="1"/>
  <c r="M510" i="44"/>
  <c r="M1090" i="44" s="1"/>
  <c r="R509" i="44"/>
  <c r="R1089" i="44" s="1"/>
  <c r="U508" i="44"/>
  <c r="U1088" i="44" s="1"/>
  <c r="W531" i="44"/>
  <c r="W1111" i="44" s="1"/>
  <c r="G531" i="44"/>
  <c r="G1111" i="44" s="1"/>
  <c r="I530" i="44"/>
  <c r="I1110" i="44" s="1"/>
  <c r="M529" i="44"/>
  <c r="M1109" i="44" s="1"/>
  <c r="R528" i="44"/>
  <c r="R1108" i="44" s="1"/>
  <c r="T527" i="44"/>
  <c r="T1107" i="44" s="1"/>
  <c r="V526" i="44"/>
  <c r="V1106" i="44" s="1"/>
  <c r="I525" i="44"/>
  <c r="I1105" i="44" s="1"/>
  <c r="T523" i="44"/>
  <c r="T1103" i="44" s="1"/>
  <c r="W522" i="44"/>
  <c r="W1102" i="44" s="1"/>
  <c r="F522" i="44"/>
  <c r="F1102" i="44" s="1"/>
  <c r="H521" i="44"/>
  <c r="H1101" i="44" s="1"/>
  <c r="L520" i="44"/>
  <c r="L1100" i="44" s="1"/>
  <c r="N519" i="44"/>
  <c r="N1099" i="44" s="1"/>
  <c r="S518" i="44"/>
  <c r="S1098" i="44" s="1"/>
  <c r="V517" i="44"/>
  <c r="V1097" i="44" s="1"/>
  <c r="X516" i="44"/>
  <c r="G516" i="44"/>
  <c r="G1096" i="44" s="1"/>
  <c r="I515" i="44"/>
  <c r="I1095" i="44" s="1"/>
  <c r="V531" i="44"/>
  <c r="V1111" i="44" s="1"/>
  <c r="F531" i="44"/>
  <c r="F1111" i="44" s="1"/>
  <c r="H530" i="44"/>
  <c r="H1110" i="44" s="1"/>
  <c r="L529" i="44"/>
  <c r="N528" i="44"/>
  <c r="N1108" i="44" s="1"/>
  <c r="S527" i="44"/>
  <c r="S1107" i="44" s="1"/>
  <c r="Q1255" i="44" s="1"/>
  <c r="U526" i="44"/>
  <c r="U1106" i="44" s="1"/>
  <c r="H525" i="44"/>
  <c r="H1105" i="44" s="1"/>
  <c r="F1253" i="44" s="1"/>
  <c r="N524" i="44"/>
  <c r="N1104" i="44" s="1"/>
  <c r="S523" i="44"/>
  <c r="S1103" i="44" s="1"/>
  <c r="V522" i="44"/>
  <c r="V1102" i="44" s="1"/>
  <c r="X521" i="44"/>
  <c r="G521" i="44"/>
  <c r="G1101" i="44" s="1"/>
  <c r="I520" i="44"/>
  <c r="I1100" i="44" s="1"/>
  <c r="M519" i="44"/>
  <c r="M1099" i="44" s="1"/>
  <c r="R518" i="44"/>
  <c r="R1098" i="44" s="1"/>
  <c r="U517" i="44"/>
  <c r="U1097" i="44" s="1"/>
  <c r="W516" i="44"/>
  <c r="W1096" i="44" s="1"/>
  <c r="F516" i="44"/>
  <c r="F1096" i="44" s="1"/>
  <c r="H515" i="44"/>
  <c r="H1095" i="44" s="1"/>
  <c r="M514" i="44"/>
  <c r="M1094" i="44" s="1"/>
  <c r="R513" i="44"/>
  <c r="R1093" i="44" s="1"/>
  <c r="U512" i="44"/>
  <c r="U1092" i="44" s="1"/>
  <c r="X511" i="44"/>
  <c r="G511" i="44"/>
  <c r="G1091" i="44" s="1"/>
  <c r="I510" i="44"/>
  <c r="I1090" i="44" s="1"/>
  <c r="M509" i="44"/>
  <c r="M1089" i="44" s="1"/>
  <c r="S508" i="44"/>
  <c r="S1088" i="44" s="1"/>
  <c r="U531" i="44"/>
  <c r="U1111" i="44" s="1"/>
  <c r="W521" i="44"/>
  <c r="W1101" i="44" s="1"/>
  <c r="R508" i="44"/>
  <c r="R1088" i="44" s="1"/>
  <c r="X530" i="44"/>
  <c r="F521" i="44"/>
  <c r="V512" i="44"/>
  <c r="V1092" i="44" s="1"/>
  <c r="G530" i="44"/>
  <c r="G1110" i="44" s="1"/>
  <c r="H520" i="44"/>
  <c r="H1100" i="44" s="1"/>
  <c r="T512" i="44"/>
  <c r="T1092" i="44" s="1"/>
  <c r="I529" i="44"/>
  <c r="I1109" i="44" s="1"/>
  <c r="L519" i="44"/>
  <c r="M528" i="44"/>
  <c r="M1108" i="44" s="1"/>
  <c r="W511" i="44"/>
  <c r="W1091" i="44" s="1"/>
  <c r="R527" i="44"/>
  <c r="R1107" i="44" s="1"/>
  <c r="T517" i="44"/>
  <c r="T1097" i="44" s="1"/>
  <c r="H511" i="44"/>
  <c r="T526" i="44"/>
  <c r="T1106" i="44" s="1"/>
  <c r="V516" i="44"/>
  <c r="V1096" i="44" s="1"/>
  <c r="F511" i="44"/>
  <c r="F1091" i="44" s="1"/>
  <c r="X525" i="44"/>
  <c r="X515" i="44"/>
  <c r="L510" i="44"/>
  <c r="G525" i="44"/>
  <c r="G1105" i="44" s="1"/>
  <c r="G515" i="44"/>
  <c r="G1095" i="44" s="1"/>
  <c r="E1243" i="44" s="1"/>
  <c r="H510" i="44"/>
  <c r="H1090" i="44" s="1"/>
  <c r="M524" i="44"/>
  <c r="M1104" i="44" s="1"/>
  <c r="N514" i="44"/>
  <c r="N1094" i="44" s="1"/>
  <c r="N509" i="44"/>
  <c r="R523" i="44"/>
  <c r="R1103" i="44" s="1"/>
  <c r="L514" i="44"/>
  <c r="L1094" i="44" s="1"/>
  <c r="L509" i="44"/>
  <c r="L1089" i="44" s="1"/>
  <c r="U522" i="44"/>
  <c r="U1102" i="44" s="1"/>
  <c r="S513" i="44"/>
  <c r="S1093" i="44" s="1"/>
  <c r="Q1241" i="44" s="1"/>
  <c r="T508" i="44"/>
  <c r="T1088" i="44" s="1"/>
  <c r="U243" i="44"/>
  <c r="U823" i="44" s="1"/>
  <c r="W242" i="44"/>
  <c r="W822" i="44" s="1"/>
  <c r="H242" i="44"/>
  <c r="H822" i="44" s="1"/>
  <c r="M241" i="44"/>
  <c r="M821" i="44" s="1"/>
  <c r="R240" i="44"/>
  <c r="R820" i="44" s="1"/>
  <c r="T239" i="44"/>
  <c r="T819" i="44" s="1"/>
  <c r="V238" i="44"/>
  <c r="V818" i="44" s="1"/>
  <c r="F238" i="44"/>
  <c r="F818" i="44" s="1"/>
  <c r="L237" i="44"/>
  <c r="L817" i="44" s="1"/>
  <c r="N243" i="44"/>
  <c r="N823" i="44" s="1"/>
  <c r="R242" i="44"/>
  <c r="R822" i="44" s="1"/>
  <c r="U241" i="44"/>
  <c r="U821" i="44" s="1"/>
  <c r="W240" i="44"/>
  <c r="W820" i="44" s="1"/>
  <c r="X239" i="44"/>
  <c r="F239" i="44"/>
  <c r="F819" i="44" s="1"/>
  <c r="H238" i="44"/>
  <c r="H818" i="44" s="1"/>
  <c r="M237" i="44"/>
  <c r="M817" i="44" s="1"/>
  <c r="N236" i="44"/>
  <c r="N816" i="44" s="1"/>
  <c r="S235" i="44"/>
  <c r="S815" i="44" s="1"/>
  <c r="W234" i="44"/>
  <c r="W814" i="44" s="1"/>
  <c r="F234" i="44"/>
  <c r="F814" i="44" s="1"/>
  <c r="H233" i="44"/>
  <c r="H813" i="44" s="1"/>
  <c r="L232" i="44"/>
  <c r="N231" i="44"/>
  <c r="N811" i="44" s="1"/>
  <c r="S230" i="44"/>
  <c r="S810" i="44" s="1"/>
  <c r="U229" i="44"/>
  <c r="U809" i="44" s="1"/>
  <c r="W228" i="44"/>
  <c r="W808" i="44" s="1"/>
  <c r="M243" i="44"/>
  <c r="M823" i="44" s="1"/>
  <c r="T241" i="44"/>
  <c r="T821" i="44" s="1"/>
  <c r="V240" i="44"/>
  <c r="V820" i="44" s="1"/>
  <c r="W239" i="44"/>
  <c r="W819" i="44" s="1"/>
  <c r="L243" i="44"/>
  <c r="S241" i="44"/>
  <c r="S821" i="44" s="1"/>
  <c r="U240" i="44"/>
  <c r="U820" i="44" s="1"/>
  <c r="I243" i="44"/>
  <c r="I823" i="44" s="1"/>
  <c r="N242" i="44"/>
  <c r="N822" i="44" s="1"/>
  <c r="R241" i="44"/>
  <c r="R821" i="44" s="1"/>
  <c r="H243" i="44"/>
  <c r="H823" i="44" s="1"/>
  <c r="M242" i="44"/>
  <c r="M822" i="44" s="1"/>
  <c r="S240" i="44"/>
  <c r="S820" i="44" s="1"/>
  <c r="S239" i="44"/>
  <c r="S819" i="44" s="1"/>
  <c r="T238" i="44"/>
  <c r="T818" i="44" s="1"/>
  <c r="V237" i="44"/>
  <c r="V817" i="44" s="1"/>
  <c r="F237" i="44"/>
  <c r="F817" i="44" s="1"/>
  <c r="H236" i="44"/>
  <c r="H816" i="44" s="1"/>
  <c r="L235" i="44"/>
  <c r="L815" i="44" s="1"/>
  <c r="S234" i="44"/>
  <c r="S814" i="44" s="1"/>
  <c r="U233" i="44"/>
  <c r="U813" i="44" s="1"/>
  <c r="G243" i="44"/>
  <c r="G823" i="44" s="1"/>
  <c r="X243" i="44"/>
  <c r="F243" i="44"/>
  <c r="F823" i="44" s="1"/>
  <c r="W243" i="44"/>
  <c r="W823" i="44" s="1"/>
  <c r="V243" i="44"/>
  <c r="V823" i="44" s="1"/>
  <c r="V242" i="44"/>
  <c r="V822" i="44" s="1"/>
  <c r="S243" i="44"/>
  <c r="S823" i="44" s="1"/>
  <c r="T242" i="44"/>
  <c r="T822" i="44" s="1"/>
  <c r="W241" i="44"/>
  <c r="W821" i="44" s="1"/>
  <c r="F241" i="44"/>
  <c r="F821" i="44" s="1"/>
  <c r="G240" i="44"/>
  <c r="G820" i="44" s="1"/>
  <c r="H239" i="44"/>
  <c r="H819" i="44" s="1"/>
  <c r="L238" i="44"/>
  <c r="L818" i="44" s="1"/>
  <c r="S236" i="44"/>
  <c r="S816" i="44" s="1"/>
  <c r="U235" i="44"/>
  <c r="U815" i="44" s="1"/>
  <c r="H234" i="44"/>
  <c r="H814" i="44" s="1"/>
  <c r="L233" i="44"/>
  <c r="L813" i="44" s="1"/>
  <c r="N232" i="44"/>
  <c r="N812" i="44" s="1"/>
  <c r="S231" i="44"/>
  <c r="S811" i="44" s="1"/>
  <c r="U230" i="44"/>
  <c r="U810" i="44" s="1"/>
  <c r="W229" i="44"/>
  <c r="W809" i="44" s="1"/>
  <c r="F229" i="44"/>
  <c r="F809" i="44" s="1"/>
  <c r="I228" i="44"/>
  <c r="I808" i="44" s="1"/>
  <c r="T226" i="44"/>
  <c r="T806" i="44" s="1"/>
  <c r="V225" i="44"/>
  <c r="V805" i="44" s="1"/>
  <c r="X224" i="44"/>
  <c r="G224" i="44"/>
  <c r="G804" i="44" s="1"/>
  <c r="I223" i="44"/>
  <c r="I803" i="44" s="1"/>
  <c r="T221" i="44"/>
  <c r="T801" i="44" s="1"/>
  <c r="W220" i="44"/>
  <c r="W800" i="44" s="1"/>
  <c r="G220" i="44"/>
  <c r="G800" i="44" s="1"/>
  <c r="I242" i="44"/>
  <c r="I822" i="44" s="1"/>
  <c r="N240" i="44"/>
  <c r="I239" i="44"/>
  <c r="I819" i="44" s="1"/>
  <c r="X237" i="44"/>
  <c r="W236" i="44"/>
  <c r="W816" i="44" s="1"/>
  <c r="V235" i="44"/>
  <c r="V815" i="44" s="1"/>
  <c r="U234" i="44"/>
  <c r="U814" i="44" s="1"/>
  <c r="S233" i="44"/>
  <c r="S813" i="44" s="1"/>
  <c r="S232" i="44"/>
  <c r="S812" i="44" s="1"/>
  <c r="R231" i="44"/>
  <c r="R811" i="44" s="1"/>
  <c r="N230" i="44"/>
  <c r="N810" i="44" s="1"/>
  <c r="N229" i="44"/>
  <c r="N809" i="44" s="1"/>
  <c r="S227" i="44"/>
  <c r="S807" i="44" s="1"/>
  <c r="V226" i="44"/>
  <c r="V806" i="44" s="1"/>
  <c r="W225" i="44"/>
  <c r="W805" i="44" s="1"/>
  <c r="W224" i="44"/>
  <c r="W804" i="44" s="1"/>
  <c r="X223" i="44"/>
  <c r="F223" i="44"/>
  <c r="I222" i="44"/>
  <c r="I802" i="44" s="1"/>
  <c r="M221" i="44"/>
  <c r="M801" i="44" s="1"/>
  <c r="G242" i="44"/>
  <c r="G822" i="44" s="1"/>
  <c r="M240" i="44"/>
  <c r="M820" i="44" s="1"/>
  <c r="G239" i="44"/>
  <c r="G819" i="44" s="1"/>
  <c r="W237" i="44"/>
  <c r="W817" i="44" s="1"/>
  <c r="V236" i="44"/>
  <c r="V816" i="44" s="1"/>
  <c r="T235" i="44"/>
  <c r="T815" i="44" s="1"/>
  <c r="T234" i="44"/>
  <c r="T814" i="44" s="1"/>
  <c r="R233" i="44"/>
  <c r="R813" i="44" s="1"/>
  <c r="R232" i="44"/>
  <c r="R812" i="44" s="1"/>
  <c r="M231" i="44"/>
  <c r="M811" i="44" s="1"/>
  <c r="M230" i="44"/>
  <c r="M810" i="44" s="1"/>
  <c r="M229" i="44"/>
  <c r="M809" i="44" s="1"/>
  <c r="N228" i="44"/>
  <c r="N808" i="44" s="1"/>
  <c r="R227" i="44"/>
  <c r="R807" i="44" s="1"/>
  <c r="U226" i="44"/>
  <c r="U806" i="44" s="1"/>
  <c r="U225" i="44"/>
  <c r="U805" i="44" s="1"/>
  <c r="V224" i="44"/>
  <c r="V804" i="44" s="1"/>
  <c r="W223" i="44"/>
  <c r="W803" i="44" s="1"/>
  <c r="X222" i="44"/>
  <c r="H222" i="44"/>
  <c r="H802" i="44" s="1"/>
  <c r="L221" i="44"/>
  <c r="N220" i="44"/>
  <c r="N800" i="44" s="1"/>
  <c r="F242" i="44"/>
  <c r="F822" i="44" s="1"/>
  <c r="L240" i="44"/>
  <c r="L820" i="44" s="1"/>
  <c r="X238" i="44"/>
  <c r="U237" i="44"/>
  <c r="U817" i="44" s="1"/>
  <c r="U236" i="44"/>
  <c r="U816" i="44" s="1"/>
  <c r="R235" i="44"/>
  <c r="R815" i="44" s="1"/>
  <c r="R234" i="44"/>
  <c r="R814" i="44" s="1"/>
  <c r="N233" i="44"/>
  <c r="N813" i="44" s="1"/>
  <c r="M232" i="44"/>
  <c r="M812" i="44" s="1"/>
  <c r="L231" i="44"/>
  <c r="L811" i="44" s="1"/>
  <c r="L230" i="44"/>
  <c r="L229" i="44"/>
  <c r="M228" i="44"/>
  <c r="M808" i="44" s="1"/>
  <c r="S226" i="44"/>
  <c r="S806" i="44" s="1"/>
  <c r="T225" i="44"/>
  <c r="T805" i="44" s="1"/>
  <c r="U224" i="44"/>
  <c r="U804" i="44" s="1"/>
  <c r="V223" i="44"/>
  <c r="V803" i="44" s="1"/>
  <c r="W222" i="44"/>
  <c r="W802" i="44" s="1"/>
  <c r="G222" i="44"/>
  <c r="G802" i="44" s="1"/>
  <c r="I221" i="44"/>
  <c r="I801" i="44" s="1"/>
  <c r="M220" i="44"/>
  <c r="M800" i="44" s="1"/>
  <c r="X241" i="44"/>
  <c r="I240" i="44"/>
  <c r="I820" i="44" s="1"/>
  <c r="W238" i="44"/>
  <c r="W818" i="44" s="1"/>
  <c r="T237" i="44"/>
  <c r="T817" i="44" s="1"/>
  <c r="T236" i="44"/>
  <c r="T816" i="44" s="1"/>
  <c r="N235" i="44"/>
  <c r="N815" i="44" s="1"/>
  <c r="N234" i="44"/>
  <c r="N814" i="44" s="1"/>
  <c r="M233" i="44"/>
  <c r="M813" i="44" s="1"/>
  <c r="I232" i="44"/>
  <c r="I812" i="44" s="1"/>
  <c r="I231" i="44"/>
  <c r="I811" i="44" s="1"/>
  <c r="I230" i="44"/>
  <c r="I810" i="44" s="1"/>
  <c r="I229" i="44"/>
  <c r="I809" i="44" s="1"/>
  <c r="L228" i="44"/>
  <c r="N227" i="44"/>
  <c r="N807" i="44" s="1"/>
  <c r="R226" i="44"/>
  <c r="R806" i="44" s="1"/>
  <c r="S225" i="44"/>
  <c r="S805" i="44" s="1"/>
  <c r="T224" i="44"/>
  <c r="T804" i="44" s="1"/>
  <c r="U223" i="44"/>
  <c r="U803" i="44" s="1"/>
  <c r="V222" i="44"/>
  <c r="V802" i="44" s="1"/>
  <c r="F222" i="44"/>
  <c r="F802" i="44" s="1"/>
  <c r="H221" i="44"/>
  <c r="H801" i="44" s="1"/>
  <c r="L220" i="44"/>
  <c r="L800" i="44" s="1"/>
  <c r="V241" i="44"/>
  <c r="V821" i="44" s="1"/>
  <c r="H240" i="44"/>
  <c r="H820" i="44" s="1"/>
  <c r="U238" i="44"/>
  <c r="U818" i="44" s="1"/>
  <c r="S237" i="44"/>
  <c r="S817" i="44" s="1"/>
  <c r="R236" i="44"/>
  <c r="R816" i="44" s="1"/>
  <c r="M235" i="44"/>
  <c r="M234" i="44"/>
  <c r="M814" i="44" s="1"/>
  <c r="I233" i="44"/>
  <c r="I813" i="44" s="1"/>
  <c r="H232" i="44"/>
  <c r="H812" i="44" s="1"/>
  <c r="H231" i="44"/>
  <c r="H811" i="44" s="1"/>
  <c r="H230" i="44"/>
  <c r="H810" i="44" s="1"/>
  <c r="H229" i="44"/>
  <c r="H809" i="44" s="1"/>
  <c r="H228" i="44"/>
  <c r="H808" i="44" s="1"/>
  <c r="M227" i="44"/>
  <c r="M807" i="44" s="1"/>
  <c r="N226" i="44"/>
  <c r="R225" i="44"/>
  <c r="R805" i="44" s="1"/>
  <c r="S224" i="44"/>
  <c r="S804" i="44" s="1"/>
  <c r="T223" i="44"/>
  <c r="T803" i="44" s="1"/>
  <c r="U222" i="44"/>
  <c r="U802" i="44" s="1"/>
  <c r="X221" i="44"/>
  <c r="G221" i="44"/>
  <c r="G801" i="44" s="1"/>
  <c r="I220" i="44"/>
  <c r="I800" i="44" s="1"/>
  <c r="N241" i="44"/>
  <c r="N821" i="44" s="1"/>
  <c r="F240" i="44"/>
  <c r="F820" i="44" s="1"/>
  <c r="S238" i="44"/>
  <c r="S818" i="44" s="1"/>
  <c r="R237" i="44"/>
  <c r="R817" i="44" s="1"/>
  <c r="M236" i="44"/>
  <c r="I235" i="44"/>
  <c r="I815" i="44" s="1"/>
  <c r="L234" i="44"/>
  <c r="G233" i="44"/>
  <c r="G813" i="44" s="1"/>
  <c r="G232" i="44"/>
  <c r="G812" i="44" s="1"/>
  <c r="G231" i="44"/>
  <c r="G811" i="44" s="1"/>
  <c r="G230" i="44"/>
  <c r="G810" i="44" s="1"/>
  <c r="G229" i="44"/>
  <c r="G809" i="44" s="1"/>
  <c r="G228" i="44"/>
  <c r="G808" i="44" s="1"/>
  <c r="L227" i="44"/>
  <c r="L807" i="44" s="1"/>
  <c r="M226" i="44"/>
  <c r="M806" i="44" s="1"/>
  <c r="N225" i="44"/>
  <c r="N805" i="44" s="1"/>
  <c r="R224" i="44"/>
  <c r="R804" i="44" s="1"/>
  <c r="S223" i="44"/>
  <c r="S803" i="44" s="1"/>
  <c r="T222" i="44"/>
  <c r="T802" i="44" s="1"/>
  <c r="W221" i="44"/>
  <c r="W801" i="44" s="1"/>
  <c r="F221" i="44"/>
  <c r="F801" i="44" s="1"/>
  <c r="H220" i="44"/>
  <c r="H800" i="44" s="1"/>
  <c r="T243" i="44"/>
  <c r="T823" i="44" s="1"/>
  <c r="L241" i="44"/>
  <c r="L821" i="44" s="1"/>
  <c r="V239" i="44"/>
  <c r="V819" i="44" s="1"/>
  <c r="R238" i="44"/>
  <c r="R818" i="44" s="1"/>
  <c r="L236" i="44"/>
  <c r="L816" i="44" s="1"/>
  <c r="H235" i="44"/>
  <c r="H815" i="44" s="1"/>
  <c r="I234" i="44"/>
  <c r="I814" i="44" s="1"/>
  <c r="F233" i="44"/>
  <c r="F813" i="44" s="1"/>
  <c r="F232" i="44"/>
  <c r="F812" i="44" s="1"/>
  <c r="F231" i="44"/>
  <c r="F811" i="44" s="1"/>
  <c r="F230" i="44"/>
  <c r="F810" i="44" s="1"/>
  <c r="X228" i="44"/>
  <c r="F228" i="44"/>
  <c r="F808" i="44" s="1"/>
  <c r="I227" i="44"/>
  <c r="I807" i="44" s="1"/>
  <c r="L226" i="44"/>
  <c r="L806" i="44" s="1"/>
  <c r="M225" i="44"/>
  <c r="N224" i="44"/>
  <c r="N804" i="44" s="1"/>
  <c r="R223" i="44"/>
  <c r="R803" i="44" s="1"/>
  <c r="S222" i="44"/>
  <c r="S802" i="44" s="1"/>
  <c r="V221" i="44"/>
  <c r="V801" i="44" s="1"/>
  <c r="X220" i="44"/>
  <c r="F220" i="44"/>
  <c r="F800" i="44" s="1"/>
  <c r="R243" i="44"/>
  <c r="R823" i="44" s="1"/>
  <c r="I241" i="44"/>
  <c r="I821" i="44" s="1"/>
  <c r="U239" i="44"/>
  <c r="U819" i="44" s="1"/>
  <c r="N237" i="44"/>
  <c r="N817" i="44" s="1"/>
  <c r="I236" i="44"/>
  <c r="I816" i="44" s="1"/>
  <c r="G235" i="44"/>
  <c r="G815" i="44" s="1"/>
  <c r="G234" i="44"/>
  <c r="G814" i="44" s="1"/>
  <c r="X232" i="44"/>
  <c r="X231" i="44"/>
  <c r="X230" i="44"/>
  <c r="X229" i="44"/>
  <c r="V228" i="44"/>
  <c r="V808" i="44" s="1"/>
  <c r="X227" i="44"/>
  <c r="H227" i="44"/>
  <c r="H807" i="44" s="1"/>
  <c r="I226" i="44"/>
  <c r="I806" i="44" s="1"/>
  <c r="L225" i="44"/>
  <c r="L805" i="44" s="1"/>
  <c r="M224" i="44"/>
  <c r="M804" i="44" s="1"/>
  <c r="N223" i="44"/>
  <c r="N803" i="44" s="1"/>
  <c r="R222" i="44"/>
  <c r="R802" i="44" s="1"/>
  <c r="U221" i="44"/>
  <c r="U801" i="44" s="1"/>
  <c r="V220" i="44"/>
  <c r="V800" i="44" s="1"/>
  <c r="X242" i="44"/>
  <c r="H241" i="44"/>
  <c r="H821" i="44" s="1"/>
  <c r="R239" i="44"/>
  <c r="R819" i="44" s="1"/>
  <c r="N238" i="44"/>
  <c r="N818" i="44" s="1"/>
  <c r="I237" i="44"/>
  <c r="I817" i="44" s="1"/>
  <c r="G236" i="44"/>
  <c r="G816" i="44" s="1"/>
  <c r="F235" i="44"/>
  <c r="F815" i="44" s="1"/>
  <c r="X233" i="44"/>
  <c r="W232" i="44"/>
  <c r="W812" i="44" s="1"/>
  <c r="W231" i="44"/>
  <c r="W811" i="44" s="1"/>
  <c r="W230" i="44"/>
  <c r="W810" i="44" s="1"/>
  <c r="V229" i="44"/>
  <c r="V809" i="44" s="1"/>
  <c r="U228" i="44"/>
  <c r="U808" i="44" s="1"/>
  <c r="W227" i="44"/>
  <c r="W807" i="44" s="1"/>
  <c r="G227" i="44"/>
  <c r="G807" i="44" s="1"/>
  <c r="H226" i="44"/>
  <c r="H806" i="44" s="1"/>
  <c r="I225" i="44"/>
  <c r="I805" i="44" s="1"/>
  <c r="L224" i="44"/>
  <c r="M223" i="44"/>
  <c r="M803" i="44" s="1"/>
  <c r="S221" i="44"/>
  <c r="S801" i="44" s="1"/>
  <c r="U220" i="44"/>
  <c r="U800" i="44" s="1"/>
  <c r="U242" i="44"/>
  <c r="U822" i="44" s="1"/>
  <c r="G241" i="44"/>
  <c r="G821" i="44" s="1"/>
  <c r="N239" i="44"/>
  <c r="N819" i="44" s="1"/>
  <c r="M238" i="44"/>
  <c r="M818" i="44" s="1"/>
  <c r="H237" i="44"/>
  <c r="H817" i="44" s="1"/>
  <c r="F236" i="44"/>
  <c r="F816" i="44" s="1"/>
  <c r="W233" i="44"/>
  <c r="W813" i="44" s="1"/>
  <c r="V232" i="44"/>
  <c r="V812" i="44" s="1"/>
  <c r="V231" i="44"/>
  <c r="V811" i="44" s="1"/>
  <c r="V230" i="44"/>
  <c r="V810" i="44" s="1"/>
  <c r="T229" i="44"/>
  <c r="T809" i="44" s="1"/>
  <c r="T228" i="44"/>
  <c r="T808" i="44" s="1"/>
  <c r="V227" i="44"/>
  <c r="V807" i="44" s="1"/>
  <c r="F227" i="44"/>
  <c r="G226" i="44"/>
  <c r="G806" i="44" s="1"/>
  <c r="H225" i="44"/>
  <c r="H805" i="44" s="1"/>
  <c r="I224" i="44"/>
  <c r="I804" i="44" s="1"/>
  <c r="L223" i="44"/>
  <c r="N222" i="44"/>
  <c r="N802" i="44" s="1"/>
  <c r="R221" i="44"/>
  <c r="R801" i="44" s="1"/>
  <c r="T220" i="44"/>
  <c r="T800" i="44" s="1"/>
  <c r="S242" i="44"/>
  <c r="S822" i="44" s="1"/>
  <c r="X240" i="44"/>
  <c r="M239" i="44"/>
  <c r="M819" i="44" s="1"/>
  <c r="I238" i="44"/>
  <c r="I818" i="44" s="1"/>
  <c r="G237" i="44"/>
  <c r="X235" i="44"/>
  <c r="X234" i="44"/>
  <c r="V233" i="44"/>
  <c r="V813" i="44" s="1"/>
  <c r="U232" i="44"/>
  <c r="U812" i="44" s="1"/>
  <c r="U231" i="44"/>
  <c r="U811" i="44" s="1"/>
  <c r="T230" i="44"/>
  <c r="T810" i="44" s="1"/>
  <c r="S229" i="44"/>
  <c r="S809" i="44" s="1"/>
  <c r="S228" i="44"/>
  <c r="S808" i="44" s="1"/>
  <c r="U227" i="44"/>
  <c r="U807" i="44" s="1"/>
  <c r="X226" i="44"/>
  <c r="F226" i="44"/>
  <c r="F806" i="44" s="1"/>
  <c r="G225" i="44"/>
  <c r="G805" i="44" s="1"/>
  <c r="H224" i="44"/>
  <c r="H804" i="44" s="1"/>
  <c r="H223" i="44"/>
  <c r="H803" i="44" s="1"/>
  <c r="M222" i="44"/>
  <c r="M802" i="44" s="1"/>
  <c r="S220" i="44"/>
  <c r="S800" i="44" s="1"/>
  <c r="G238" i="44"/>
  <c r="G818" i="44" s="1"/>
  <c r="X225" i="44"/>
  <c r="X236" i="44"/>
  <c r="F225" i="44"/>
  <c r="F805" i="44" s="1"/>
  <c r="W235" i="44"/>
  <c r="W815" i="44" s="1"/>
  <c r="F224" i="44"/>
  <c r="F804" i="44" s="1"/>
  <c r="V234" i="44"/>
  <c r="V814" i="44" s="1"/>
  <c r="G223" i="44"/>
  <c r="G803" i="44" s="1"/>
  <c r="T233" i="44"/>
  <c r="T813" i="44" s="1"/>
  <c r="L222" i="44"/>
  <c r="L802" i="44" s="1"/>
  <c r="T232" i="44"/>
  <c r="T812" i="44" s="1"/>
  <c r="N221" i="44"/>
  <c r="N801" i="44" s="1"/>
  <c r="T231" i="44"/>
  <c r="T811" i="44" s="1"/>
  <c r="R220" i="44"/>
  <c r="R800" i="44" s="1"/>
  <c r="R230" i="44"/>
  <c r="R810" i="44" s="1"/>
  <c r="R229" i="44"/>
  <c r="R809" i="44" s="1"/>
  <c r="L242" i="44"/>
  <c r="L822" i="44" s="1"/>
  <c r="R228" i="44"/>
  <c r="R808" i="44" s="1"/>
  <c r="T240" i="44"/>
  <c r="T820" i="44" s="1"/>
  <c r="T227" i="44"/>
  <c r="T807" i="44" s="1"/>
  <c r="L239" i="44"/>
  <c r="W226" i="44"/>
  <c r="W806" i="44" s="1"/>
  <c r="P233" i="44"/>
  <c r="P231" i="44"/>
  <c r="P517" i="44"/>
  <c r="P516" i="44"/>
  <c r="P520" i="44"/>
  <c r="K245" i="44"/>
  <c r="K546" i="44"/>
  <c r="V555" i="44"/>
  <c r="V1135" i="44" s="1"/>
  <c r="X554" i="44"/>
  <c r="G554" i="44"/>
  <c r="G1134" i="44" s="1"/>
  <c r="I553" i="44"/>
  <c r="I1133" i="44" s="1"/>
  <c r="N552" i="44"/>
  <c r="N1132" i="44" s="1"/>
  <c r="S551" i="44"/>
  <c r="S1131" i="44" s="1"/>
  <c r="U550" i="44"/>
  <c r="U1130" i="44" s="1"/>
  <c r="W549" i="44"/>
  <c r="W1129" i="44" s="1"/>
  <c r="F549" i="44"/>
  <c r="F1129" i="44" s="1"/>
  <c r="H548" i="44"/>
  <c r="H1128" i="44" s="1"/>
  <c r="L547" i="44"/>
  <c r="L1127" i="44" s="1"/>
  <c r="P546" i="44"/>
  <c r="T545" i="44"/>
  <c r="T1125" i="44" s="1"/>
  <c r="X544" i="44"/>
  <c r="H544" i="44"/>
  <c r="H1124" i="44" s="1"/>
  <c r="M543" i="44"/>
  <c r="M1123" i="44" s="1"/>
  <c r="R542" i="44"/>
  <c r="R1122" i="44" s="1"/>
  <c r="U541" i="44"/>
  <c r="U1121" i="44" s="1"/>
  <c r="W540" i="44"/>
  <c r="W1120" i="44" s="1"/>
  <c r="F540" i="44"/>
  <c r="F1120" i="44" s="1"/>
  <c r="L539" i="44"/>
  <c r="L1119" i="44" s="1"/>
  <c r="R538" i="44"/>
  <c r="R1118" i="44" s="1"/>
  <c r="T537" i="44"/>
  <c r="T1117" i="44" s="1"/>
  <c r="V536" i="44"/>
  <c r="V1116" i="44" s="1"/>
  <c r="F536" i="44"/>
  <c r="F1116" i="44" s="1"/>
  <c r="H535" i="44"/>
  <c r="H1115" i="44" s="1"/>
  <c r="L534" i="44"/>
  <c r="L1114" i="44" s="1"/>
  <c r="U555" i="44"/>
  <c r="U1135" i="44" s="1"/>
  <c r="W554" i="44"/>
  <c r="W1134" i="44" s="1"/>
  <c r="F554" i="44"/>
  <c r="F1134" i="44" s="1"/>
  <c r="H553" i="44"/>
  <c r="H1133" i="44" s="1"/>
  <c r="M552" i="44"/>
  <c r="M1132" i="44" s="1"/>
  <c r="R551" i="44"/>
  <c r="R1131" i="44" s="1"/>
  <c r="T550" i="44"/>
  <c r="T1130" i="44" s="1"/>
  <c r="V549" i="44"/>
  <c r="V1129" i="44" s="1"/>
  <c r="X548" i="44"/>
  <c r="G548" i="44"/>
  <c r="G1128" i="44" s="1"/>
  <c r="I547" i="44"/>
  <c r="I1127" i="44" s="1"/>
  <c r="N546" i="44"/>
  <c r="N1126" i="44" s="1"/>
  <c r="S545" i="44"/>
  <c r="S1125" i="44" s="1"/>
  <c r="W544" i="44"/>
  <c r="W1124" i="44" s="1"/>
  <c r="G544" i="44"/>
  <c r="G1124" i="44" s="1"/>
  <c r="L543" i="44"/>
  <c r="L1123" i="44" s="1"/>
  <c r="T541" i="44"/>
  <c r="T1121" i="44" s="1"/>
  <c r="V540" i="44"/>
  <c r="V1120" i="44" s="1"/>
  <c r="X539" i="44"/>
  <c r="I539" i="44"/>
  <c r="I1119" i="44" s="1"/>
  <c r="T555" i="44"/>
  <c r="T1135" i="44" s="1"/>
  <c r="V554" i="44"/>
  <c r="V1134" i="44" s="1"/>
  <c r="X553" i="44"/>
  <c r="G553" i="44"/>
  <c r="G1133" i="44" s="1"/>
  <c r="L552" i="44"/>
  <c r="N551" i="44"/>
  <c r="N1131" i="44" s="1"/>
  <c r="S550" i="44"/>
  <c r="S1130" i="44" s="1"/>
  <c r="U549" i="44"/>
  <c r="U1129" i="44" s="1"/>
  <c r="W548" i="44"/>
  <c r="W1128" i="44" s="1"/>
  <c r="F548" i="44"/>
  <c r="F1128" i="44" s="1"/>
  <c r="H547" i="44"/>
  <c r="H1127" i="44" s="1"/>
  <c r="M546" i="44"/>
  <c r="M1126" i="44" s="1"/>
  <c r="R545" i="44"/>
  <c r="R1125" i="44" s="1"/>
  <c r="V544" i="44"/>
  <c r="V1124" i="44" s="1"/>
  <c r="F544" i="44"/>
  <c r="F1124" i="44" s="1"/>
  <c r="I543" i="44"/>
  <c r="I1123" i="44" s="1"/>
  <c r="N542" i="44"/>
  <c r="N1122" i="44" s="1"/>
  <c r="S541" i="44"/>
  <c r="S1121" i="44" s="1"/>
  <c r="U540" i="44"/>
  <c r="U1120" i="44" s="1"/>
  <c r="W539" i="44"/>
  <c r="W1119" i="44" s="1"/>
  <c r="S555" i="44"/>
  <c r="S1135" i="44" s="1"/>
  <c r="U554" i="44"/>
  <c r="U1134" i="44" s="1"/>
  <c r="W553" i="44"/>
  <c r="W1133" i="44" s="1"/>
  <c r="F553" i="44"/>
  <c r="F1133" i="44" s="1"/>
  <c r="I552" i="44"/>
  <c r="I1132" i="44" s="1"/>
  <c r="M551" i="44"/>
  <c r="M1131" i="44" s="1"/>
  <c r="R550" i="44"/>
  <c r="R1130" i="44" s="1"/>
  <c r="T549" i="44"/>
  <c r="T1129" i="44" s="1"/>
  <c r="V548" i="44"/>
  <c r="V1128" i="44" s="1"/>
  <c r="X547" i="44"/>
  <c r="G547" i="44"/>
  <c r="G1127" i="44" s="1"/>
  <c r="L546" i="44"/>
  <c r="L1126" i="44" s="1"/>
  <c r="U544" i="44"/>
  <c r="U1124" i="44" s="1"/>
  <c r="X543" i="44"/>
  <c r="H543" i="44"/>
  <c r="H1123" i="44" s="1"/>
  <c r="M542" i="44"/>
  <c r="R541" i="44"/>
  <c r="R1121" i="44" s="1"/>
  <c r="T540" i="44"/>
  <c r="T1120" i="44" s="1"/>
  <c r="V539" i="44"/>
  <c r="V1119" i="44" s="1"/>
  <c r="G539" i="44"/>
  <c r="G1119" i="44" s="1"/>
  <c r="R555" i="44"/>
  <c r="R1135" i="44" s="1"/>
  <c r="T554" i="44"/>
  <c r="T1134" i="44" s="1"/>
  <c r="V553" i="44"/>
  <c r="V1133" i="44" s="1"/>
  <c r="H552" i="44"/>
  <c r="H1132" i="44" s="1"/>
  <c r="L551" i="44"/>
  <c r="N550" i="44"/>
  <c r="N1130" i="44" s="1"/>
  <c r="S549" i="44"/>
  <c r="S1129" i="44" s="1"/>
  <c r="U548" i="44"/>
  <c r="U1128" i="44" s="1"/>
  <c r="W547" i="44"/>
  <c r="W1127" i="44" s="1"/>
  <c r="F547" i="44"/>
  <c r="F1127" i="44" s="1"/>
  <c r="I546" i="44"/>
  <c r="I1126" i="44" s="1"/>
  <c r="T544" i="44"/>
  <c r="T1124" i="44" s="1"/>
  <c r="W543" i="44"/>
  <c r="W1123" i="44" s="1"/>
  <c r="G543" i="44"/>
  <c r="G1123" i="44" s="1"/>
  <c r="L542" i="44"/>
  <c r="L1122" i="44" s="1"/>
  <c r="N541" i="44"/>
  <c r="N1121" i="44" s="1"/>
  <c r="S540" i="44"/>
  <c r="S1120" i="44" s="1"/>
  <c r="U539" i="44"/>
  <c r="U1119" i="44" s="1"/>
  <c r="F539" i="44"/>
  <c r="F1119" i="44" s="1"/>
  <c r="I538" i="44"/>
  <c r="I1118" i="44" s="1"/>
  <c r="M537" i="44"/>
  <c r="M1117" i="44" s="1"/>
  <c r="R536" i="44"/>
  <c r="R1116" i="44" s="1"/>
  <c r="U535" i="44"/>
  <c r="U1115" i="44" s="1"/>
  <c r="W534" i="44"/>
  <c r="W1114" i="44" s="1"/>
  <c r="F534" i="44"/>
  <c r="F1114" i="44" s="1"/>
  <c r="H533" i="44"/>
  <c r="H1113" i="44" s="1"/>
  <c r="L532" i="44"/>
  <c r="K539" i="44"/>
  <c r="N555" i="44"/>
  <c r="N1135" i="44" s="1"/>
  <c r="S554" i="44"/>
  <c r="S1134" i="44" s="1"/>
  <c r="U553" i="44"/>
  <c r="U1133" i="44" s="1"/>
  <c r="M555" i="44"/>
  <c r="M1135" i="44" s="1"/>
  <c r="R554" i="44"/>
  <c r="R1134" i="44" s="1"/>
  <c r="T553" i="44"/>
  <c r="T1133" i="44" s="1"/>
  <c r="W552" i="44"/>
  <c r="W1132" i="44" s="1"/>
  <c r="F552" i="44"/>
  <c r="F1132" i="44" s="1"/>
  <c r="H551" i="44"/>
  <c r="H1131" i="44" s="1"/>
  <c r="L550" i="44"/>
  <c r="N549" i="44"/>
  <c r="N1129" i="44" s="1"/>
  <c r="S548" i="44"/>
  <c r="S1128" i="44" s="1"/>
  <c r="U547" i="44"/>
  <c r="U1127" i="44" s="1"/>
  <c r="W546" i="44"/>
  <c r="W1126" i="44" s="1"/>
  <c r="G546" i="44"/>
  <c r="G1126" i="44" s="1"/>
  <c r="M545" i="44"/>
  <c r="M1125" i="44" s="1"/>
  <c r="R544" i="44"/>
  <c r="R1124" i="44" s="1"/>
  <c r="U543" i="44"/>
  <c r="U1123" i="44" s="1"/>
  <c r="X542" i="44"/>
  <c r="H542" i="44"/>
  <c r="H1122" i="44" s="1"/>
  <c r="L541" i="44"/>
  <c r="L555" i="44"/>
  <c r="N554" i="44"/>
  <c r="N1134" i="44" s="1"/>
  <c r="S553" i="44"/>
  <c r="S1133" i="44" s="1"/>
  <c r="V552" i="44"/>
  <c r="V1132" i="44" s="1"/>
  <c r="X551" i="44"/>
  <c r="G551" i="44"/>
  <c r="G1131" i="44" s="1"/>
  <c r="I550" i="44"/>
  <c r="I1130" i="44" s="1"/>
  <c r="M549" i="44"/>
  <c r="M1129" i="44" s="1"/>
  <c r="R548" i="44"/>
  <c r="R1128" i="44" s="1"/>
  <c r="T547" i="44"/>
  <c r="T1127" i="44" s="1"/>
  <c r="V546" i="44"/>
  <c r="V1126" i="44" s="1"/>
  <c r="F546" i="44"/>
  <c r="F1126" i="44" s="1"/>
  <c r="L545" i="44"/>
  <c r="L1125" i="44" s="1"/>
  <c r="T543" i="44"/>
  <c r="T1123" i="44" s="1"/>
  <c r="W542" i="44"/>
  <c r="W1122" i="44" s="1"/>
  <c r="I555" i="44"/>
  <c r="I1135" i="44" s="1"/>
  <c r="M554" i="44"/>
  <c r="M1134" i="44" s="1"/>
  <c r="R553" i="44"/>
  <c r="R1133" i="44" s="1"/>
  <c r="U552" i="44"/>
  <c r="U1132" i="44" s="1"/>
  <c r="W551" i="44"/>
  <c r="W1131" i="44" s="1"/>
  <c r="F551" i="44"/>
  <c r="F1131" i="44" s="1"/>
  <c r="H550" i="44"/>
  <c r="H1130" i="44" s="1"/>
  <c r="L549" i="44"/>
  <c r="H555" i="44"/>
  <c r="H1135" i="44" s="1"/>
  <c r="L554" i="44"/>
  <c r="N553" i="44"/>
  <c r="T552" i="44"/>
  <c r="T1132" i="44" s="1"/>
  <c r="V551" i="44"/>
  <c r="V1131" i="44" s="1"/>
  <c r="X550" i="44"/>
  <c r="G550" i="44"/>
  <c r="G1130" i="44" s="1"/>
  <c r="I549" i="44"/>
  <c r="I1129" i="44" s="1"/>
  <c r="M548" i="44"/>
  <c r="M1128" i="44" s="1"/>
  <c r="R547" i="44"/>
  <c r="R1127" i="44" s="1"/>
  <c r="T546" i="44"/>
  <c r="T1126" i="44" s="1"/>
  <c r="W545" i="44"/>
  <c r="W1125" i="44" s="1"/>
  <c r="H545" i="44"/>
  <c r="H1125" i="44" s="1"/>
  <c r="M544" i="44"/>
  <c r="M1124" i="44" s="1"/>
  <c r="R543" i="44"/>
  <c r="R1123" i="44" s="1"/>
  <c r="U542" i="44"/>
  <c r="U1122" i="44" s="1"/>
  <c r="X541" i="44"/>
  <c r="G541" i="44"/>
  <c r="G1121" i="44" s="1"/>
  <c r="I540" i="44"/>
  <c r="I1120" i="44" s="1"/>
  <c r="U538" i="44"/>
  <c r="U1118" i="44" s="1"/>
  <c r="W537" i="44"/>
  <c r="W1117" i="44" s="1"/>
  <c r="F537" i="44"/>
  <c r="F1117" i="44" s="1"/>
  <c r="I536" i="44"/>
  <c r="I1116" i="44" s="1"/>
  <c r="M535" i="44"/>
  <c r="M1115" i="44" s="1"/>
  <c r="R534" i="44"/>
  <c r="R1114" i="44" s="1"/>
  <c r="K532" i="44"/>
  <c r="X555" i="44"/>
  <c r="G555" i="44"/>
  <c r="G1135" i="44" s="1"/>
  <c r="I554" i="44"/>
  <c r="I1134" i="44" s="1"/>
  <c r="M553" i="44"/>
  <c r="M1133" i="44" s="1"/>
  <c r="S552" i="44"/>
  <c r="S1132" i="44" s="1"/>
  <c r="U551" i="44"/>
  <c r="U1131" i="44" s="1"/>
  <c r="W550" i="44"/>
  <c r="W1130" i="44" s="1"/>
  <c r="F550" i="44"/>
  <c r="F1130" i="44" s="1"/>
  <c r="H549" i="44"/>
  <c r="H1129" i="44" s="1"/>
  <c r="L548" i="44"/>
  <c r="N547" i="44"/>
  <c r="N1127" i="44" s="1"/>
  <c r="S546" i="44"/>
  <c r="S1126" i="44" s="1"/>
  <c r="V545" i="44"/>
  <c r="V1125" i="44" s="1"/>
  <c r="G545" i="44"/>
  <c r="G1125" i="44" s="1"/>
  <c r="L544" i="44"/>
  <c r="L1124" i="44" s="1"/>
  <c r="T542" i="44"/>
  <c r="T1122" i="44" s="1"/>
  <c r="W541" i="44"/>
  <c r="W1121" i="44" s="1"/>
  <c r="F541" i="44"/>
  <c r="F1121" i="44" s="1"/>
  <c r="H540" i="44"/>
  <c r="H1120" i="44" s="1"/>
  <c r="N539" i="44"/>
  <c r="N1119" i="44" s="1"/>
  <c r="T538" i="44"/>
  <c r="T1118" i="44" s="1"/>
  <c r="V537" i="44"/>
  <c r="V1117" i="44" s="1"/>
  <c r="X536" i="44"/>
  <c r="H536" i="44"/>
  <c r="H1116" i="44" s="1"/>
  <c r="L535" i="44"/>
  <c r="L1115" i="44" s="1"/>
  <c r="W555" i="44"/>
  <c r="W1135" i="44" s="1"/>
  <c r="F555" i="44"/>
  <c r="F1135" i="44" s="1"/>
  <c r="H554" i="44"/>
  <c r="H1134" i="44" s="1"/>
  <c r="L553" i="44"/>
  <c r="L1133" i="44" s="1"/>
  <c r="R552" i="44"/>
  <c r="R1132" i="44" s="1"/>
  <c r="T551" i="44"/>
  <c r="T1131" i="44" s="1"/>
  <c r="V550" i="44"/>
  <c r="V1130" i="44" s="1"/>
  <c r="V547" i="44"/>
  <c r="V1127" i="44" s="1"/>
  <c r="S544" i="44"/>
  <c r="S1124" i="44" s="1"/>
  <c r="V541" i="44"/>
  <c r="V1121" i="44" s="1"/>
  <c r="R539" i="44"/>
  <c r="R1119" i="44" s="1"/>
  <c r="H538" i="44"/>
  <c r="H1118" i="44" s="1"/>
  <c r="W536" i="44"/>
  <c r="W1116" i="44" s="1"/>
  <c r="T535" i="44"/>
  <c r="T1115" i="44" s="1"/>
  <c r="N534" i="44"/>
  <c r="N1114" i="44" s="1"/>
  <c r="N533" i="44"/>
  <c r="N1113" i="44" s="1"/>
  <c r="R532" i="44"/>
  <c r="R1112" i="44" s="1"/>
  <c r="S547" i="44"/>
  <c r="S1127" i="44" s="1"/>
  <c r="N544" i="44"/>
  <c r="N1124" i="44" s="1"/>
  <c r="M541" i="44"/>
  <c r="M1121" i="44" s="1"/>
  <c r="G538" i="44"/>
  <c r="G1118" i="44" s="1"/>
  <c r="U536" i="44"/>
  <c r="U1116" i="44" s="1"/>
  <c r="S535" i="44"/>
  <c r="S1115" i="44" s="1"/>
  <c r="M534" i="44"/>
  <c r="M1114" i="44" s="1"/>
  <c r="M533" i="44"/>
  <c r="M1113" i="44" s="1"/>
  <c r="N532" i="44"/>
  <c r="N1112" i="44" s="1"/>
  <c r="X552" i="44"/>
  <c r="M547" i="44"/>
  <c r="I544" i="44"/>
  <c r="I1124" i="44" s="1"/>
  <c r="I541" i="44"/>
  <c r="I1121" i="44" s="1"/>
  <c r="M539" i="44"/>
  <c r="M1119" i="44" s="1"/>
  <c r="F538" i="44"/>
  <c r="F1118" i="44" s="1"/>
  <c r="T536" i="44"/>
  <c r="T1116" i="44" s="1"/>
  <c r="R535" i="44"/>
  <c r="R1115" i="44" s="1"/>
  <c r="I534" i="44"/>
  <c r="I1114" i="44" s="1"/>
  <c r="L533" i="44"/>
  <c r="M532" i="44"/>
  <c r="M1112" i="44" s="1"/>
  <c r="G552" i="44"/>
  <c r="G1132" i="44" s="1"/>
  <c r="X546" i="44"/>
  <c r="V543" i="44"/>
  <c r="V1123" i="44" s="1"/>
  <c r="H541" i="44"/>
  <c r="H1121" i="44" s="1"/>
  <c r="H539" i="44"/>
  <c r="H1119" i="44" s="1"/>
  <c r="X537" i="44"/>
  <c r="S536" i="44"/>
  <c r="S1116" i="44" s="1"/>
  <c r="N535" i="44"/>
  <c r="N1115" i="44" s="1"/>
  <c r="H534" i="44"/>
  <c r="H1114" i="44" s="1"/>
  <c r="I533" i="44"/>
  <c r="I1113" i="44" s="1"/>
  <c r="I532" i="44"/>
  <c r="I1112" i="44" s="1"/>
  <c r="I551" i="44"/>
  <c r="I1131" i="44" s="1"/>
  <c r="U546" i="44"/>
  <c r="U1126" i="44" s="1"/>
  <c r="S543" i="44"/>
  <c r="S1123" i="44" s="1"/>
  <c r="X540" i="44"/>
  <c r="U537" i="44"/>
  <c r="U1117" i="44" s="1"/>
  <c r="I535" i="44"/>
  <c r="I1115" i="44" s="1"/>
  <c r="G534" i="44"/>
  <c r="G1114" i="44" s="1"/>
  <c r="G533" i="44"/>
  <c r="G1113" i="44" s="1"/>
  <c r="H532" i="44"/>
  <c r="H1112" i="44" s="1"/>
  <c r="M550" i="44"/>
  <c r="M1130" i="44" s="1"/>
  <c r="R546" i="44"/>
  <c r="R1126" i="44" s="1"/>
  <c r="N543" i="44"/>
  <c r="N1123" i="44" s="1"/>
  <c r="R540" i="44"/>
  <c r="R1120" i="44" s="1"/>
  <c r="X538" i="44"/>
  <c r="S537" i="44"/>
  <c r="S1117" i="44" s="1"/>
  <c r="N536" i="44"/>
  <c r="N1116" i="44" s="1"/>
  <c r="G535" i="44"/>
  <c r="G1115" i="44" s="1"/>
  <c r="X533" i="44"/>
  <c r="F533" i="44"/>
  <c r="F1113" i="44" s="1"/>
  <c r="G532" i="44"/>
  <c r="G1112" i="44" s="1"/>
  <c r="X549" i="44"/>
  <c r="H546" i="44"/>
  <c r="H1126" i="44" s="1"/>
  <c r="F543" i="44"/>
  <c r="F1123" i="44" s="1"/>
  <c r="N540" i="44"/>
  <c r="N1120" i="44" s="1"/>
  <c r="W538" i="44"/>
  <c r="W1118" i="44" s="1"/>
  <c r="R537" i="44"/>
  <c r="R1117" i="44" s="1"/>
  <c r="M536" i="44"/>
  <c r="M1116" i="44" s="1"/>
  <c r="F535" i="44"/>
  <c r="W533" i="44"/>
  <c r="W1113" i="44" s="1"/>
  <c r="X532" i="44"/>
  <c r="F532" i="44"/>
  <c r="F1112" i="44" s="1"/>
  <c r="R549" i="44"/>
  <c r="R1129" i="44" s="1"/>
  <c r="X545" i="44"/>
  <c r="V542" i="44"/>
  <c r="V1122" i="44" s="1"/>
  <c r="M540" i="44"/>
  <c r="M1120" i="44" s="1"/>
  <c r="V538" i="44"/>
  <c r="V1118" i="44" s="1"/>
  <c r="N537" i="44"/>
  <c r="N1117" i="44" s="1"/>
  <c r="L536" i="44"/>
  <c r="L1116" i="44" s="1"/>
  <c r="X534" i="44"/>
  <c r="V533" i="44"/>
  <c r="V1113" i="44" s="1"/>
  <c r="W532" i="44"/>
  <c r="W1112" i="44" s="1"/>
  <c r="G549" i="44"/>
  <c r="G1129" i="44" s="1"/>
  <c r="U545" i="44"/>
  <c r="U1125" i="44" s="1"/>
  <c r="S542" i="44"/>
  <c r="S1122" i="44" s="1"/>
  <c r="L540" i="44"/>
  <c r="S538" i="44"/>
  <c r="S1118" i="44" s="1"/>
  <c r="L537" i="44"/>
  <c r="G536" i="44"/>
  <c r="G1116" i="44" s="1"/>
  <c r="V534" i="44"/>
  <c r="V1114" i="44" s="1"/>
  <c r="U533" i="44"/>
  <c r="U1113" i="44" s="1"/>
  <c r="V532" i="44"/>
  <c r="V1112" i="44" s="1"/>
  <c r="T548" i="44"/>
  <c r="T1128" i="44" s="1"/>
  <c r="N545" i="44"/>
  <c r="N1125" i="44" s="1"/>
  <c r="I542" i="44"/>
  <c r="I1122" i="44" s="1"/>
  <c r="G540" i="44"/>
  <c r="G1120" i="44" s="1"/>
  <c r="N538" i="44"/>
  <c r="N1118" i="44" s="1"/>
  <c r="I537" i="44"/>
  <c r="I1117" i="44" s="1"/>
  <c r="X535" i="44"/>
  <c r="U534" i="44"/>
  <c r="U1114" i="44" s="1"/>
  <c r="T533" i="44"/>
  <c r="T1113" i="44" s="1"/>
  <c r="U532" i="44"/>
  <c r="U1112" i="44" s="1"/>
  <c r="N548" i="44"/>
  <c r="N1128" i="44" s="1"/>
  <c r="I545" i="44"/>
  <c r="I1125" i="44" s="1"/>
  <c r="G542" i="44"/>
  <c r="G1122" i="44" s="1"/>
  <c r="T539" i="44"/>
  <c r="T1119" i="44" s="1"/>
  <c r="M538" i="44"/>
  <c r="M1118" i="44" s="1"/>
  <c r="H537" i="44"/>
  <c r="H1117" i="44" s="1"/>
  <c r="W535" i="44"/>
  <c r="W1115" i="44" s="1"/>
  <c r="T534" i="44"/>
  <c r="T1114" i="44" s="1"/>
  <c r="S533" i="44"/>
  <c r="S1113" i="44" s="1"/>
  <c r="T532" i="44"/>
  <c r="T1112" i="44" s="1"/>
  <c r="I548" i="44"/>
  <c r="I1128" i="44" s="1"/>
  <c r="F545" i="44"/>
  <c r="F1125" i="44" s="1"/>
  <c r="F542" i="44"/>
  <c r="F1122" i="44" s="1"/>
  <c r="S539" i="44"/>
  <c r="S1119" i="44" s="1"/>
  <c r="L538" i="44"/>
  <c r="G537" i="44"/>
  <c r="G1117" i="44" s="1"/>
  <c r="V535" i="44"/>
  <c r="V1115" i="44" s="1"/>
  <c r="S534" i="44"/>
  <c r="S1114" i="44" s="1"/>
  <c r="R533" i="44"/>
  <c r="R1113" i="44" s="1"/>
  <c r="S532" i="44"/>
  <c r="S1112" i="44" s="1"/>
  <c r="V267" i="44"/>
  <c r="V847" i="44" s="1"/>
  <c r="I266" i="44"/>
  <c r="I846" i="44" s="1"/>
  <c r="M265" i="44"/>
  <c r="M845" i="44" s="1"/>
  <c r="R264" i="44"/>
  <c r="R844" i="44" s="1"/>
  <c r="U263" i="44"/>
  <c r="U843" i="44" s="1"/>
  <c r="X262" i="44"/>
  <c r="H262" i="44"/>
  <c r="H842" i="44" s="1"/>
  <c r="L261" i="44"/>
  <c r="N260" i="44"/>
  <c r="N840" i="44" s="1"/>
  <c r="S259" i="44"/>
  <c r="S839" i="44" s="1"/>
  <c r="U258" i="44"/>
  <c r="U838" i="44" s="1"/>
  <c r="X257" i="44"/>
  <c r="I257" i="44"/>
  <c r="I837" i="44" s="1"/>
  <c r="M256" i="44"/>
  <c r="M836" i="44" s="1"/>
  <c r="R255" i="44"/>
  <c r="R835" i="44" s="1"/>
  <c r="T254" i="44"/>
  <c r="T834" i="44" s="1"/>
  <c r="V253" i="44"/>
  <c r="V833" i="44" s="1"/>
  <c r="X252" i="44"/>
  <c r="G252" i="44"/>
  <c r="G832" i="44" s="1"/>
  <c r="I251" i="44"/>
  <c r="I831" i="44" s="1"/>
  <c r="T249" i="44"/>
  <c r="T829" i="44" s="1"/>
  <c r="V248" i="44"/>
  <c r="V828" i="44" s="1"/>
  <c r="X247" i="44"/>
  <c r="H247" i="44"/>
  <c r="H827" i="44" s="1"/>
  <c r="L246" i="44"/>
  <c r="N245" i="44"/>
  <c r="N825" i="44" s="1"/>
  <c r="S244" i="44"/>
  <c r="S824" i="44" s="1"/>
  <c r="X267" i="44"/>
  <c r="F267" i="44"/>
  <c r="F847" i="44" s="1"/>
  <c r="H266" i="44"/>
  <c r="H846" i="44" s="1"/>
  <c r="I265" i="44"/>
  <c r="I845" i="44" s="1"/>
  <c r="M264" i="44"/>
  <c r="M844" i="44" s="1"/>
  <c r="S262" i="44"/>
  <c r="S842" i="44" s="1"/>
  <c r="U261" i="44"/>
  <c r="U841" i="44" s="1"/>
  <c r="V260" i="44"/>
  <c r="V840" i="44" s="1"/>
  <c r="W259" i="44"/>
  <c r="W839" i="44" s="1"/>
  <c r="X258" i="44"/>
  <c r="F258" i="44"/>
  <c r="F838" i="44" s="1"/>
  <c r="L257" i="44"/>
  <c r="L837" i="44" s="1"/>
  <c r="L256" i="44"/>
  <c r="L836" i="44" s="1"/>
  <c r="M255" i="44"/>
  <c r="M835" i="44" s="1"/>
  <c r="N254" i="44"/>
  <c r="N834" i="44" s="1"/>
  <c r="R253" i="44"/>
  <c r="R833" i="44" s="1"/>
  <c r="S252" i="44"/>
  <c r="S832" i="44" s="1"/>
  <c r="T251" i="44"/>
  <c r="T831" i="44" s="1"/>
  <c r="V250" i="44"/>
  <c r="V830" i="44" s="1"/>
  <c r="X249" i="44"/>
  <c r="F249" i="44"/>
  <c r="F829" i="44" s="1"/>
  <c r="G248" i="44"/>
  <c r="G828" i="44" s="1"/>
  <c r="I247" i="44"/>
  <c r="I827" i="44" s="1"/>
  <c r="I246" i="44"/>
  <c r="I826" i="44" s="1"/>
  <c r="L245" i="44"/>
  <c r="M244" i="44"/>
  <c r="M824" i="44" s="1"/>
  <c r="W267" i="44"/>
  <c r="W847" i="44" s="1"/>
  <c r="X266" i="44"/>
  <c r="G266" i="44"/>
  <c r="G846" i="44" s="1"/>
  <c r="H265" i="44"/>
  <c r="H845" i="44" s="1"/>
  <c r="L264" i="44"/>
  <c r="L844" i="44" s="1"/>
  <c r="N263" i="44"/>
  <c r="R262" i="44"/>
  <c r="R842" i="44" s="1"/>
  <c r="T261" i="44"/>
  <c r="T841" i="44" s="1"/>
  <c r="U260" i="44"/>
  <c r="U840" i="44" s="1"/>
  <c r="V259" i="44"/>
  <c r="V839" i="44" s="1"/>
  <c r="W258" i="44"/>
  <c r="W838" i="44" s="1"/>
  <c r="H257" i="44"/>
  <c r="H837" i="44" s="1"/>
  <c r="I256" i="44"/>
  <c r="I836" i="44" s="1"/>
  <c r="L255" i="44"/>
  <c r="M254" i="44"/>
  <c r="M834" i="44" s="1"/>
  <c r="N253" i="44"/>
  <c r="N833" i="44" s="1"/>
  <c r="R252" i="44"/>
  <c r="R832" i="44" s="1"/>
  <c r="S251" i="44"/>
  <c r="S831" i="44" s="1"/>
  <c r="U250" i="44"/>
  <c r="U830" i="44" s="1"/>
  <c r="W249" i="44"/>
  <c r="W829" i="44" s="1"/>
  <c r="X248" i="44"/>
  <c r="F248" i="44"/>
  <c r="F828" i="44" s="1"/>
  <c r="G247" i="44"/>
  <c r="G827" i="44" s="1"/>
  <c r="H246" i="44"/>
  <c r="H826" i="44" s="1"/>
  <c r="I245" i="44"/>
  <c r="I825" i="44" s="1"/>
  <c r="L244" i="44"/>
  <c r="U267" i="44"/>
  <c r="U847" i="44" s="1"/>
  <c r="W266" i="44"/>
  <c r="W846" i="44" s="1"/>
  <c r="F266" i="44"/>
  <c r="F846" i="44" s="1"/>
  <c r="G265" i="44"/>
  <c r="G845" i="44" s="1"/>
  <c r="I264" i="44"/>
  <c r="I844" i="44" s="1"/>
  <c r="M263" i="44"/>
  <c r="M843" i="44" s="1"/>
  <c r="S261" i="44"/>
  <c r="S841" i="44" s="1"/>
  <c r="T260" i="44"/>
  <c r="T840" i="44" s="1"/>
  <c r="U259" i="44"/>
  <c r="U839" i="44" s="1"/>
  <c r="V258" i="44"/>
  <c r="V838" i="44" s="1"/>
  <c r="W257" i="44"/>
  <c r="W837" i="44" s="1"/>
  <c r="G257" i="44"/>
  <c r="G837" i="44" s="1"/>
  <c r="H256" i="44"/>
  <c r="H836" i="44" s="1"/>
  <c r="I255" i="44"/>
  <c r="I835" i="44" s="1"/>
  <c r="L254" i="44"/>
  <c r="M253" i="44"/>
  <c r="M833" i="44" s="1"/>
  <c r="N252" i="44"/>
  <c r="N832" i="44" s="1"/>
  <c r="R251" i="44"/>
  <c r="R831" i="44" s="1"/>
  <c r="T250" i="44"/>
  <c r="T830" i="44" s="1"/>
  <c r="V249" i="44"/>
  <c r="V829" i="44" s="1"/>
  <c r="W248" i="44"/>
  <c r="W828" i="44" s="1"/>
  <c r="W247" i="44"/>
  <c r="W827" i="44" s="1"/>
  <c r="F247" i="44"/>
  <c r="G246" i="44"/>
  <c r="G826" i="44" s="1"/>
  <c r="H245" i="44"/>
  <c r="H825" i="44" s="1"/>
  <c r="I244" i="44"/>
  <c r="I824" i="44" s="1"/>
  <c r="T267" i="44"/>
  <c r="T847" i="44" s="1"/>
  <c r="V266" i="44"/>
  <c r="V846" i="44" s="1"/>
  <c r="X265" i="44"/>
  <c r="F265" i="44"/>
  <c r="F845" i="44" s="1"/>
  <c r="H264" i="44"/>
  <c r="H844" i="44" s="1"/>
  <c r="L263" i="44"/>
  <c r="L843" i="44" s="1"/>
  <c r="N262" i="44"/>
  <c r="N842" i="44" s="1"/>
  <c r="R261" i="44"/>
  <c r="R841" i="44" s="1"/>
  <c r="S260" i="44"/>
  <c r="S840" i="44" s="1"/>
  <c r="T259" i="44"/>
  <c r="T839" i="44" s="1"/>
  <c r="T258" i="44"/>
  <c r="T838" i="44" s="1"/>
  <c r="V257" i="44"/>
  <c r="V837" i="44" s="1"/>
  <c r="F257" i="44"/>
  <c r="F837" i="44" s="1"/>
  <c r="G256" i="44"/>
  <c r="G836" i="44" s="1"/>
  <c r="H255" i="44"/>
  <c r="H835" i="44" s="1"/>
  <c r="I254" i="44"/>
  <c r="I834" i="44" s="1"/>
  <c r="L253" i="44"/>
  <c r="M252" i="44"/>
  <c r="M832" i="44" s="1"/>
  <c r="N251" i="44"/>
  <c r="N831" i="44" s="1"/>
  <c r="S250" i="44"/>
  <c r="S830" i="44" s="1"/>
  <c r="U249" i="44"/>
  <c r="U829" i="44" s="1"/>
  <c r="U248" i="44"/>
  <c r="U828" i="44" s="1"/>
  <c r="V247" i="44"/>
  <c r="V827" i="44" s="1"/>
  <c r="X246" i="44"/>
  <c r="F246" i="44"/>
  <c r="F826" i="44" s="1"/>
  <c r="G245" i="44"/>
  <c r="G825" i="44" s="1"/>
  <c r="H244" i="44"/>
  <c r="H824" i="44" s="1"/>
  <c r="S267" i="44"/>
  <c r="S847" i="44" s="1"/>
  <c r="U266" i="44"/>
  <c r="U846" i="44" s="1"/>
  <c r="W265" i="44"/>
  <c r="W845" i="44" s="1"/>
  <c r="X264" i="44"/>
  <c r="G264" i="44"/>
  <c r="G844" i="44" s="1"/>
  <c r="I263" i="44"/>
  <c r="I843" i="44" s="1"/>
  <c r="M262" i="44"/>
  <c r="M842" i="44" s="1"/>
  <c r="N261" i="44"/>
  <c r="N841" i="44" s="1"/>
  <c r="R260" i="44"/>
  <c r="R840" i="44" s="1"/>
  <c r="R259" i="44"/>
  <c r="R839" i="44" s="1"/>
  <c r="S258" i="44"/>
  <c r="S838" i="44" s="1"/>
  <c r="U257" i="44"/>
  <c r="U837" i="44" s="1"/>
  <c r="X256" i="44"/>
  <c r="F256" i="44"/>
  <c r="F836" i="44" s="1"/>
  <c r="G255" i="44"/>
  <c r="G835" i="44" s="1"/>
  <c r="H254" i="44"/>
  <c r="H834" i="44" s="1"/>
  <c r="I253" i="44"/>
  <c r="I833" i="44" s="1"/>
  <c r="L252" i="44"/>
  <c r="M251" i="44"/>
  <c r="M831" i="44" s="1"/>
  <c r="R250" i="44"/>
  <c r="R830" i="44" s="1"/>
  <c r="S249" i="44"/>
  <c r="S829" i="44" s="1"/>
  <c r="T248" i="44"/>
  <c r="T828" i="44" s="1"/>
  <c r="U247" i="44"/>
  <c r="U827" i="44" s="1"/>
  <c r="W246" i="44"/>
  <c r="W826" i="44" s="1"/>
  <c r="X245" i="44"/>
  <c r="F245" i="44"/>
  <c r="F825" i="44" s="1"/>
  <c r="G244" i="44"/>
  <c r="G824" i="44" s="1"/>
  <c r="R267" i="44"/>
  <c r="R847" i="44" s="1"/>
  <c r="T266" i="44"/>
  <c r="T846" i="44" s="1"/>
  <c r="V265" i="44"/>
  <c r="V845" i="44" s="1"/>
  <c r="W264" i="44"/>
  <c r="W844" i="44" s="1"/>
  <c r="F264" i="44"/>
  <c r="F844" i="44" s="1"/>
  <c r="H263" i="44"/>
  <c r="H843" i="44" s="1"/>
  <c r="L262" i="44"/>
  <c r="L842" i="44" s="1"/>
  <c r="M261" i="44"/>
  <c r="M841" i="44" s="1"/>
  <c r="M260" i="44"/>
  <c r="M840" i="44" s="1"/>
  <c r="N259" i="44"/>
  <c r="N839" i="44" s="1"/>
  <c r="R258" i="44"/>
  <c r="R838" i="44" s="1"/>
  <c r="T257" i="44"/>
  <c r="T837" i="44" s="1"/>
  <c r="W256" i="44"/>
  <c r="W836" i="44" s="1"/>
  <c r="X255" i="44"/>
  <c r="F255" i="44"/>
  <c r="G254" i="44"/>
  <c r="G834" i="44" s="1"/>
  <c r="H253" i="44"/>
  <c r="H833" i="44" s="1"/>
  <c r="I252" i="44"/>
  <c r="I832" i="44" s="1"/>
  <c r="L251" i="44"/>
  <c r="N250" i="44"/>
  <c r="N830" i="44" s="1"/>
  <c r="R249" i="44"/>
  <c r="R829" i="44" s="1"/>
  <c r="S248" i="44"/>
  <c r="S828" i="44" s="1"/>
  <c r="T247" i="44"/>
  <c r="T827" i="44" s="1"/>
  <c r="V246" i="44"/>
  <c r="V826" i="44" s="1"/>
  <c r="W245" i="44"/>
  <c r="W825" i="44" s="1"/>
  <c r="X244" i="44"/>
  <c r="F244" i="44"/>
  <c r="N267" i="44"/>
  <c r="N847" i="44" s="1"/>
  <c r="S266" i="44"/>
  <c r="S846" i="44" s="1"/>
  <c r="U265" i="44"/>
  <c r="U845" i="44" s="1"/>
  <c r="V264" i="44"/>
  <c r="V844" i="44" s="1"/>
  <c r="X263" i="44"/>
  <c r="G263" i="44"/>
  <c r="G843" i="44" s="1"/>
  <c r="I262" i="44"/>
  <c r="I842" i="44" s="1"/>
  <c r="I261" i="44"/>
  <c r="I841" i="44" s="1"/>
  <c r="L260" i="44"/>
  <c r="M259" i="44"/>
  <c r="N258" i="44"/>
  <c r="N838" i="44" s="1"/>
  <c r="S257" i="44"/>
  <c r="S837" i="44" s="1"/>
  <c r="V256" i="44"/>
  <c r="V836" i="44" s="1"/>
  <c r="W255" i="44"/>
  <c r="W835" i="44" s="1"/>
  <c r="X254" i="44"/>
  <c r="F254" i="44"/>
  <c r="F834" i="44" s="1"/>
  <c r="G253" i="44"/>
  <c r="G833" i="44" s="1"/>
  <c r="H252" i="44"/>
  <c r="H832" i="44" s="1"/>
  <c r="H251" i="44"/>
  <c r="H831" i="44" s="1"/>
  <c r="M250" i="44"/>
  <c r="M830" i="44" s="1"/>
  <c r="N249" i="44"/>
  <c r="N829" i="44" s="1"/>
  <c r="R248" i="44"/>
  <c r="R828" i="44" s="1"/>
  <c r="S247" i="44"/>
  <c r="S827" i="44" s="1"/>
  <c r="U246" i="44"/>
  <c r="U826" i="44" s="1"/>
  <c r="V245" i="44"/>
  <c r="V825" i="44" s="1"/>
  <c r="W244" i="44"/>
  <c r="W824" i="44" s="1"/>
  <c r="M267" i="44"/>
  <c r="M847" i="44" s="1"/>
  <c r="R266" i="44"/>
  <c r="R846" i="44" s="1"/>
  <c r="T265" i="44"/>
  <c r="T845" i="44" s="1"/>
  <c r="U264" i="44"/>
  <c r="U844" i="44" s="1"/>
  <c r="W263" i="44"/>
  <c r="W843" i="44" s="1"/>
  <c r="F263" i="44"/>
  <c r="F843" i="44" s="1"/>
  <c r="G262" i="44"/>
  <c r="G842" i="44" s="1"/>
  <c r="H261" i="44"/>
  <c r="H841" i="44" s="1"/>
  <c r="I260" i="44"/>
  <c r="I840" i="44" s="1"/>
  <c r="L259" i="44"/>
  <c r="L839" i="44" s="1"/>
  <c r="M258" i="44"/>
  <c r="M838" i="44" s="1"/>
  <c r="R257" i="44"/>
  <c r="R837" i="44" s="1"/>
  <c r="U256" i="44"/>
  <c r="U836" i="44" s="1"/>
  <c r="V255" i="44"/>
  <c r="V835" i="44" s="1"/>
  <c r="W254" i="44"/>
  <c r="W834" i="44" s="1"/>
  <c r="X253" i="44"/>
  <c r="F253" i="44"/>
  <c r="F833" i="44" s="1"/>
  <c r="F252" i="44"/>
  <c r="F832" i="44" s="1"/>
  <c r="G251" i="44"/>
  <c r="G831" i="44" s="1"/>
  <c r="L250" i="44"/>
  <c r="M249" i="44"/>
  <c r="M829" i="44" s="1"/>
  <c r="N248" i="44"/>
  <c r="N828" i="44" s="1"/>
  <c r="R247" i="44"/>
  <c r="R827" i="44" s="1"/>
  <c r="T246" i="44"/>
  <c r="T826" i="44" s="1"/>
  <c r="U245" i="44"/>
  <c r="U825" i="44" s="1"/>
  <c r="V244" i="44"/>
  <c r="V824" i="44" s="1"/>
  <c r="L267" i="44"/>
  <c r="L847" i="44" s="1"/>
  <c r="S265" i="44"/>
  <c r="S845" i="44" s="1"/>
  <c r="T264" i="44"/>
  <c r="T844" i="44" s="1"/>
  <c r="V263" i="44"/>
  <c r="V843" i="44" s="1"/>
  <c r="W262" i="44"/>
  <c r="W842" i="44" s="1"/>
  <c r="F262" i="44"/>
  <c r="F842" i="44" s="1"/>
  <c r="G261" i="44"/>
  <c r="G841" i="44" s="1"/>
  <c r="H260" i="44"/>
  <c r="H840" i="44" s="1"/>
  <c r="I259" i="44"/>
  <c r="I839" i="44" s="1"/>
  <c r="L258" i="44"/>
  <c r="T256" i="44"/>
  <c r="T836" i="44" s="1"/>
  <c r="U255" i="44"/>
  <c r="U835" i="44" s="1"/>
  <c r="V254" i="44"/>
  <c r="V834" i="44" s="1"/>
  <c r="W253" i="44"/>
  <c r="W833" i="44" s="1"/>
  <c r="W252" i="44"/>
  <c r="W832" i="44" s="1"/>
  <c r="X251" i="44"/>
  <c r="F251" i="44"/>
  <c r="F831" i="44" s="1"/>
  <c r="I250" i="44"/>
  <c r="I830" i="44" s="1"/>
  <c r="L249" i="44"/>
  <c r="L829" i="44" s="1"/>
  <c r="M248" i="44"/>
  <c r="M828" i="44" s="1"/>
  <c r="S246" i="44"/>
  <c r="S826" i="44" s="1"/>
  <c r="T245" i="44"/>
  <c r="T825" i="44" s="1"/>
  <c r="U244" i="44"/>
  <c r="U824" i="44" s="1"/>
  <c r="I267" i="44"/>
  <c r="I847" i="44" s="1"/>
  <c r="N266" i="44"/>
  <c r="N846" i="44" s="1"/>
  <c r="R265" i="44"/>
  <c r="R845" i="44" s="1"/>
  <c r="S264" i="44"/>
  <c r="S844" i="44" s="1"/>
  <c r="T263" i="44"/>
  <c r="T843" i="44" s="1"/>
  <c r="V262" i="44"/>
  <c r="V842" i="44" s="1"/>
  <c r="X261" i="44"/>
  <c r="F261" i="44"/>
  <c r="G260" i="44"/>
  <c r="G840" i="44" s="1"/>
  <c r="H259" i="44"/>
  <c r="H839" i="44" s="1"/>
  <c r="I258" i="44"/>
  <c r="I838" i="44" s="1"/>
  <c r="S256" i="44"/>
  <c r="S836" i="44" s="1"/>
  <c r="T255" i="44"/>
  <c r="T835" i="44" s="1"/>
  <c r="U254" i="44"/>
  <c r="U834" i="44" s="1"/>
  <c r="U253" i="44"/>
  <c r="U833" i="44" s="1"/>
  <c r="V252" i="44"/>
  <c r="V832" i="44" s="1"/>
  <c r="W251" i="44"/>
  <c r="W831" i="44" s="1"/>
  <c r="H267" i="44"/>
  <c r="H847" i="44" s="1"/>
  <c r="M266" i="44"/>
  <c r="M846" i="44" s="1"/>
  <c r="N265" i="44"/>
  <c r="N845" i="44" s="1"/>
  <c r="S263" i="44"/>
  <c r="S843" i="44" s="1"/>
  <c r="U262" i="44"/>
  <c r="U842" i="44" s="1"/>
  <c r="W261" i="44"/>
  <c r="W841" i="44" s="1"/>
  <c r="X260" i="44"/>
  <c r="F260" i="44"/>
  <c r="F840" i="44" s="1"/>
  <c r="G259" i="44"/>
  <c r="G839" i="44" s="1"/>
  <c r="H258" i="44"/>
  <c r="H838" i="44" s="1"/>
  <c r="N257" i="44"/>
  <c r="N837" i="44" s="1"/>
  <c r="R256" i="44"/>
  <c r="R836" i="44" s="1"/>
  <c r="S255" i="44"/>
  <c r="S835" i="44" s="1"/>
  <c r="S254" i="44"/>
  <c r="S834" i="44" s="1"/>
  <c r="T253" i="44"/>
  <c r="T833" i="44" s="1"/>
  <c r="U252" i="44"/>
  <c r="U832" i="44" s="1"/>
  <c r="V251" i="44"/>
  <c r="V831" i="44" s="1"/>
  <c r="X250" i="44"/>
  <c r="G250" i="44"/>
  <c r="G830" i="44" s="1"/>
  <c r="H249" i="44"/>
  <c r="H829" i="44" s="1"/>
  <c r="I248" i="44"/>
  <c r="I828" i="44" s="1"/>
  <c r="M247" i="44"/>
  <c r="M827" i="44" s="1"/>
  <c r="N246" i="44"/>
  <c r="N826" i="44" s="1"/>
  <c r="R245" i="44"/>
  <c r="R825" i="44" s="1"/>
  <c r="R244" i="44"/>
  <c r="R824" i="44" s="1"/>
  <c r="R263" i="44"/>
  <c r="R843" i="44" s="1"/>
  <c r="T252" i="44"/>
  <c r="T832" i="44" s="1"/>
  <c r="R246" i="44"/>
  <c r="R826" i="44" s="1"/>
  <c r="T262" i="44"/>
  <c r="T842" i="44" s="1"/>
  <c r="U251" i="44"/>
  <c r="U831" i="44" s="1"/>
  <c r="M246" i="44"/>
  <c r="M826" i="44" s="1"/>
  <c r="V261" i="44"/>
  <c r="V841" i="44" s="1"/>
  <c r="S245" i="44"/>
  <c r="S825" i="44" s="1"/>
  <c r="W260" i="44"/>
  <c r="W840" i="44" s="1"/>
  <c r="W250" i="44"/>
  <c r="W830" i="44" s="1"/>
  <c r="M245" i="44"/>
  <c r="M825" i="44" s="1"/>
  <c r="X259" i="44"/>
  <c r="H250" i="44"/>
  <c r="H830" i="44" s="1"/>
  <c r="T244" i="44"/>
  <c r="T824" i="44" s="1"/>
  <c r="F259" i="44"/>
  <c r="F839" i="44" s="1"/>
  <c r="F250" i="44"/>
  <c r="F830" i="44" s="1"/>
  <c r="N244" i="44"/>
  <c r="N824" i="44" s="1"/>
  <c r="G258" i="44"/>
  <c r="G838" i="44" s="1"/>
  <c r="I249" i="44"/>
  <c r="I829" i="44" s="1"/>
  <c r="M257" i="44"/>
  <c r="M837" i="44" s="1"/>
  <c r="G249" i="44"/>
  <c r="G829" i="44" s="1"/>
  <c r="G267" i="44"/>
  <c r="G847" i="44" s="1"/>
  <c r="N256" i="44"/>
  <c r="L248" i="44"/>
  <c r="L266" i="44"/>
  <c r="N255" i="44"/>
  <c r="N835" i="44" s="1"/>
  <c r="H248" i="44"/>
  <c r="H828" i="44" s="1"/>
  <c r="L265" i="44"/>
  <c r="R254" i="44"/>
  <c r="R834" i="44" s="1"/>
  <c r="N247" i="44"/>
  <c r="N827" i="44" s="1"/>
  <c r="N264" i="44"/>
  <c r="N844" i="44" s="1"/>
  <c r="S253" i="44"/>
  <c r="S833" i="44" s="1"/>
  <c r="L247" i="44"/>
  <c r="L827" i="44" s="1"/>
  <c r="P534" i="44"/>
  <c r="P535" i="44"/>
  <c r="W579" i="44"/>
  <c r="W1159" i="44" s="1"/>
  <c r="F579" i="44"/>
  <c r="F1159" i="44" s="1"/>
  <c r="H578" i="44"/>
  <c r="M577" i="44"/>
  <c r="M1157" i="44" s="1"/>
  <c r="R576" i="44"/>
  <c r="R1156" i="44" s="1"/>
  <c r="U575" i="44"/>
  <c r="U1155" i="44" s="1"/>
  <c r="W574" i="44"/>
  <c r="W1154" i="44" s="1"/>
  <c r="F574" i="44"/>
  <c r="F1154" i="44" s="1"/>
  <c r="H573" i="44"/>
  <c r="H1153" i="44" s="1"/>
  <c r="L572" i="44"/>
  <c r="N571" i="44"/>
  <c r="N1151" i="44" s="1"/>
  <c r="S570" i="44"/>
  <c r="S1150" i="44" s="1"/>
  <c r="U569" i="44"/>
  <c r="U1149" i="44" s="1"/>
  <c r="X568" i="44"/>
  <c r="H568" i="44"/>
  <c r="M567" i="44"/>
  <c r="M1147" i="44" s="1"/>
  <c r="R566" i="44"/>
  <c r="R1146" i="44" s="1"/>
  <c r="U565" i="44"/>
  <c r="U1145" i="44" s="1"/>
  <c r="W564" i="44"/>
  <c r="W1144" i="44" s="1"/>
  <c r="I564" i="44"/>
  <c r="I1144" i="44" s="1"/>
  <c r="M563" i="44"/>
  <c r="M1143" i="44" s="1"/>
  <c r="R562" i="44"/>
  <c r="R1142" i="44" s="1"/>
  <c r="T561" i="44"/>
  <c r="T1141" i="44" s="1"/>
  <c r="V560" i="44"/>
  <c r="V1140" i="44" s="1"/>
  <c r="X559" i="44"/>
  <c r="G559" i="44"/>
  <c r="G1139" i="44" s="1"/>
  <c r="I558" i="44"/>
  <c r="I1138" i="44" s="1"/>
  <c r="N557" i="44"/>
  <c r="N1137" i="44" s="1"/>
  <c r="S556" i="44"/>
  <c r="S1136" i="44" s="1"/>
  <c r="V579" i="44"/>
  <c r="V1159" i="44" s="1"/>
  <c r="X578" i="44"/>
  <c r="G578" i="44"/>
  <c r="G1158" i="44" s="1"/>
  <c r="L577" i="44"/>
  <c r="L1157" i="44" s="1"/>
  <c r="T575" i="44"/>
  <c r="T1155" i="44" s="1"/>
  <c r="V574" i="44"/>
  <c r="V1154" i="44" s="1"/>
  <c r="X573" i="44"/>
  <c r="G573" i="44"/>
  <c r="G1153" i="44" s="1"/>
  <c r="I572" i="44"/>
  <c r="I1152" i="44" s="1"/>
  <c r="M571" i="44"/>
  <c r="M1151" i="44" s="1"/>
  <c r="R570" i="44"/>
  <c r="R1150" i="44" s="1"/>
  <c r="T569" i="44"/>
  <c r="T1149" i="44" s="1"/>
  <c r="W568" i="44"/>
  <c r="W1148" i="44" s="1"/>
  <c r="G568" i="44"/>
  <c r="G1148" i="44" s="1"/>
  <c r="L567" i="44"/>
  <c r="L1147" i="44" s="1"/>
  <c r="N566" i="44"/>
  <c r="T565" i="44"/>
  <c r="T1145" i="44" s="1"/>
  <c r="V564" i="44"/>
  <c r="V1144" i="44" s="1"/>
  <c r="H564" i="44"/>
  <c r="H1144" i="44" s="1"/>
  <c r="L563" i="44"/>
  <c r="L1143" i="44" s="1"/>
  <c r="N562" i="44"/>
  <c r="S561" i="44"/>
  <c r="S1141" i="44" s="1"/>
  <c r="U560" i="44"/>
  <c r="U1140" i="44" s="1"/>
  <c r="W559" i="44"/>
  <c r="W1139" i="44" s="1"/>
  <c r="F559" i="44"/>
  <c r="F1139" i="44" s="1"/>
  <c r="H558" i="44"/>
  <c r="H1138" i="44" s="1"/>
  <c r="M557" i="44"/>
  <c r="M1137" i="44" s="1"/>
  <c r="R556" i="44"/>
  <c r="R1136" i="44" s="1"/>
  <c r="U579" i="44"/>
  <c r="U1159" i="44" s="1"/>
  <c r="W578" i="44"/>
  <c r="W1158" i="44" s="1"/>
  <c r="F578" i="44"/>
  <c r="F1158" i="44" s="1"/>
  <c r="I577" i="44"/>
  <c r="I1157" i="44" s="1"/>
  <c r="N576" i="44"/>
  <c r="N1156" i="44" s="1"/>
  <c r="S575" i="44"/>
  <c r="S1155" i="44" s="1"/>
  <c r="U574" i="44"/>
  <c r="U1154" i="44" s="1"/>
  <c r="W573" i="44"/>
  <c r="W1153" i="44" s="1"/>
  <c r="F573" i="44"/>
  <c r="F1153" i="44" s="1"/>
  <c r="H572" i="44"/>
  <c r="H1152" i="44" s="1"/>
  <c r="L571" i="44"/>
  <c r="N570" i="44"/>
  <c r="S569" i="44"/>
  <c r="S1149" i="44" s="1"/>
  <c r="V568" i="44"/>
  <c r="V1148" i="44" s="1"/>
  <c r="F568" i="44"/>
  <c r="F1148" i="44" s="1"/>
  <c r="I567" i="44"/>
  <c r="I1147" i="44" s="1"/>
  <c r="M566" i="44"/>
  <c r="M1146" i="44" s="1"/>
  <c r="S565" i="44"/>
  <c r="S1145" i="44" s="1"/>
  <c r="U564" i="44"/>
  <c r="U1144" i="44" s="1"/>
  <c r="G564" i="44"/>
  <c r="G1144" i="44" s="1"/>
  <c r="I563" i="44"/>
  <c r="I1143" i="44" s="1"/>
  <c r="M562" i="44"/>
  <c r="M1142" i="44" s="1"/>
  <c r="R561" i="44"/>
  <c r="R1141" i="44" s="1"/>
  <c r="T560" i="44"/>
  <c r="T1140" i="44" s="1"/>
  <c r="V559" i="44"/>
  <c r="V1139" i="44" s="1"/>
  <c r="X558" i="44"/>
  <c r="G558" i="44"/>
  <c r="G1138" i="44" s="1"/>
  <c r="L557" i="44"/>
  <c r="N556" i="44"/>
  <c r="N1136" i="44" s="1"/>
  <c r="T579" i="44"/>
  <c r="T1159" i="44" s="1"/>
  <c r="V578" i="44"/>
  <c r="V1158" i="44" s="1"/>
  <c r="X577" i="44"/>
  <c r="H577" i="44"/>
  <c r="H1157" i="44" s="1"/>
  <c r="M576" i="44"/>
  <c r="M1156" i="44" s="1"/>
  <c r="R575" i="44"/>
  <c r="R1155" i="44" s="1"/>
  <c r="T574" i="44"/>
  <c r="T1154" i="44" s="1"/>
  <c r="V573" i="44"/>
  <c r="V1153" i="44" s="1"/>
  <c r="X572" i="44"/>
  <c r="G572" i="44"/>
  <c r="G1152" i="44" s="1"/>
  <c r="I571" i="44"/>
  <c r="I1151" i="44" s="1"/>
  <c r="M570" i="44"/>
  <c r="M1150" i="44" s="1"/>
  <c r="R569" i="44"/>
  <c r="R1149" i="44" s="1"/>
  <c r="U568" i="44"/>
  <c r="U1148" i="44" s="1"/>
  <c r="S1176" i="44" s="1"/>
  <c r="X567" i="44"/>
  <c r="H567" i="44"/>
  <c r="H1147" i="44" s="1"/>
  <c r="L566" i="44"/>
  <c r="L1146" i="44" s="1"/>
  <c r="R565" i="44"/>
  <c r="R1145" i="44" s="1"/>
  <c r="T564" i="44"/>
  <c r="T1144" i="44" s="1"/>
  <c r="F564" i="44"/>
  <c r="F1144" i="44" s="1"/>
  <c r="H563" i="44"/>
  <c r="H1143" i="44" s="1"/>
  <c r="L562" i="44"/>
  <c r="L1142" i="44" s="1"/>
  <c r="N561" i="44"/>
  <c r="N1141" i="44" s="1"/>
  <c r="S560" i="44"/>
  <c r="S1140" i="44" s="1"/>
  <c r="U559" i="44"/>
  <c r="U1139" i="44" s="1"/>
  <c r="W558" i="44"/>
  <c r="W1138" i="44" s="1"/>
  <c r="F558" i="44"/>
  <c r="F1138" i="44" s="1"/>
  <c r="I557" i="44"/>
  <c r="I1137" i="44" s="1"/>
  <c r="M556" i="44"/>
  <c r="M1136" i="44" s="1"/>
  <c r="S579" i="44"/>
  <c r="S1159" i="44" s="1"/>
  <c r="U578" i="44"/>
  <c r="U1158" i="44" s="1"/>
  <c r="W577" i="44"/>
  <c r="W1157" i="44" s="1"/>
  <c r="G577" i="44"/>
  <c r="G1157" i="44" s="1"/>
  <c r="L576" i="44"/>
  <c r="N575" i="44"/>
  <c r="S574" i="44"/>
  <c r="S1154" i="44" s="1"/>
  <c r="U573" i="44"/>
  <c r="U1153" i="44" s="1"/>
  <c r="W572" i="44"/>
  <c r="W1152" i="44" s="1"/>
  <c r="F572" i="44"/>
  <c r="F1152" i="44" s="1"/>
  <c r="H571" i="44"/>
  <c r="H1151" i="44" s="1"/>
  <c r="L570" i="44"/>
  <c r="L1150" i="44" s="1"/>
  <c r="T568" i="44"/>
  <c r="T1148" i="44" s="1"/>
  <c r="W567" i="44"/>
  <c r="W1147" i="44" s="1"/>
  <c r="G567" i="44"/>
  <c r="G1147" i="44" s="1"/>
  <c r="I566" i="44"/>
  <c r="I1146" i="44" s="1"/>
  <c r="N565" i="44"/>
  <c r="N1145" i="44" s="1"/>
  <c r="S564" i="44"/>
  <c r="S1144" i="44" s="1"/>
  <c r="X563" i="44"/>
  <c r="G563" i="44"/>
  <c r="G1143" i="44" s="1"/>
  <c r="I562" i="44"/>
  <c r="I1142" i="44" s="1"/>
  <c r="M561" i="44"/>
  <c r="M1141" i="44" s="1"/>
  <c r="R560" i="44"/>
  <c r="R1140" i="44" s="1"/>
  <c r="T559" i="44"/>
  <c r="T1139" i="44" s="1"/>
  <c r="V558" i="44"/>
  <c r="V1138" i="44" s="1"/>
  <c r="X557" i="44"/>
  <c r="H557" i="44"/>
  <c r="H1137" i="44" s="1"/>
  <c r="L556" i="44"/>
  <c r="L1136" i="44" s="1"/>
  <c r="K270" i="44"/>
  <c r="R579" i="44"/>
  <c r="R1159" i="44" s="1"/>
  <c r="T578" i="44"/>
  <c r="T1158" i="44" s="1"/>
  <c r="V577" i="44"/>
  <c r="V1157" i="44" s="1"/>
  <c r="F577" i="44"/>
  <c r="F1157" i="44" s="1"/>
  <c r="I576" i="44"/>
  <c r="I1156" i="44" s="1"/>
  <c r="M575" i="44"/>
  <c r="M1155" i="44" s="1"/>
  <c r="R574" i="44"/>
  <c r="R1154" i="44" s="1"/>
  <c r="T573" i="44"/>
  <c r="T1153" i="44" s="1"/>
  <c r="V572" i="44"/>
  <c r="V1152" i="44" s="1"/>
  <c r="X571" i="44"/>
  <c r="G571" i="44"/>
  <c r="G1151" i="44" s="1"/>
  <c r="I570" i="44"/>
  <c r="I1150" i="44" s="1"/>
  <c r="N569" i="44"/>
  <c r="N1149" i="44" s="1"/>
  <c r="S568" i="44"/>
  <c r="S1148" i="44" s="1"/>
  <c r="V567" i="44"/>
  <c r="V1147" i="44" s="1"/>
  <c r="F567" i="44"/>
  <c r="F1147" i="44" s="1"/>
  <c r="H566" i="44"/>
  <c r="H1146" i="44" s="1"/>
  <c r="M565" i="44"/>
  <c r="R564" i="44"/>
  <c r="R1144" i="44" s="1"/>
  <c r="W563" i="44"/>
  <c r="W1143" i="44" s="1"/>
  <c r="F563" i="44"/>
  <c r="H562" i="44"/>
  <c r="H1142" i="44" s="1"/>
  <c r="L561" i="44"/>
  <c r="L1141" i="44" s="1"/>
  <c r="N560" i="44"/>
  <c r="N1140" i="44" s="1"/>
  <c r="S559" i="44"/>
  <c r="S1139" i="44" s="1"/>
  <c r="U558" i="44"/>
  <c r="U1138" i="44" s="1"/>
  <c r="W557" i="44"/>
  <c r="W1137" i="44" s="1"/>
  <c r="G557" i="44"/>
  <c r="G1137" i="44" s="1"/>
  <c r="I556" i="44"/>
  <c r="I1136" i="44" s="1"/>
  <c r="K564" i="44"/>
  <c r="K576" i="44"/>
  <c r="N579" i="44"/>
  <c r="N1159" i="44" s="1"/>
  <c r="S578" i="44"/>
  <c r="S1158" i="44" s="1"/>
  <c r="U577" i="44"/>
  <c r="U1157" i="44" s="1"/>
  <c r="X576" i="44"/>
  <c r="H576" i="44"/>
  <c r="H1156" i="44" s="1"/>
  <c r="L575" i="44"/>
  <c r="L1155" i="44" s="1"/>
  <c r="N574" i="44"/>
  <c r="N1154" i="44" s="1"/>
  <c r="S573" i="44"/>
  <c r="S1153" i="44" s="1"/>
  <c r="U572" i="44"/>
  <c r="U1152" i="44" s="1"/>
  <c r="W571" i="44"/>
  <c r="W1151" i="44" s="1"/>
  <c r="F571" i="44"/>
  <c r="F1151" i="44" s="1"/>
  <c r="H570" i="44"/>
  <c r="H1150" i="44" s="1"/>
  <c r="M569" i="44"/>
  <c r="R568" i="44"/>
  <c r="R1148" i="44" s="1"/>
  <c r="U567" i="44"/>
  <c r="U1147" i="44" s="1"/>
  <c r="X566" i="44"/>
  <c r="G566" i="44"/>
  <c r="G1146" i="44" s="1"/>
  <c r="L565" i="44"/>
  <c r="L1145" i="44" s="1"/>
  <c r="V563" i="44"/>
  <c r="V1143" i="44" s="1"/>
  <c r="X562" i="44"/>
  <c r="G562" i="44"/>
  <c r="G1142" i="44" s="1"/>
  <c r="I561" i="44"/>
  <c r="I1141" i="44" s="1"/>
  <c r="M560" i="44"/>
  <c r="M1140" i="44" s="1"/>
  <c r="R559" i="44"/>
  <c r="R1139" i="44" s="1"/>
  <c r="T558" i="44"/>
  <c r="T1138" i="44" s="1"/>
  <c r="V557" i="44"/>
  <c r="V1137" i="44" s="1"/>
  <c r="F557" i="44"/>
  <c r="F1137" i="44" s="1"/>
  <c r="H556" i="44"/>
  <c r="H1136" i="44" s="1"/>
  <c r="M579" i="44"/>
  <c r="M1159" i="44" s="1"/>
  <c r="R578" i="44"/>
  <c r="R1158" i="44" s="1"/>
  <c r="T577" i="44"/>
  <c r="T1157" i="44" s="1"/>
  <c r="W576" i="44"/>
  <c r="W1156" i="44" s="1"/>
  <c r="G576" i="44"/>
  <c r="G1156" i="44" s="1"/>
  <c r="I575" i="44"/>
  <c r="I1155" i="44" s="1"/>
  <c r="M574" i="44"/>
  <c r="M1154" i="44" s="1"/>
  <c r="R573" i="44"/>
  <c r="R1153" i="44" s="1"/>
  <c r="T572" i="44"/>
  <c r="T1152" i="44" s="1"/>
  <c r="V571" i="44"/>
  <c r="V1151" i="44" s="1"/>
  <c r="X570" i="44"/>
  <c r="G570" i="44"/>
  <c r="G1150" i="44" s="1"/>
  <c r="L569" i="44"/>
  <c r="L1149" i="44" s="1"/>
  <c r="T567" i="44"/>
  <c r="T1147" i="44" s="1"/>
  <c r="W566" i="44"/>
  <c r="W1146" i="44" s="1"/>
  <c r="F566" i="44"/>
  <c r="F1146" i="44" s="1"/>
  <c r="I565" i="44"/>
  <c r="I1145" i="44" s="1"/>
  <c r="U563" i="44"/>
  <c r="U1143" i="44" s="1"/>
  <c r="W562" i="44"/>
  <c r="W1142" i="44" s="1"/>
  <c r="F562" i="44"/>
  <c r="F1142" i="44" s="1"/>
  <c r="H561" i="44"/>
  <c r="H1141" i="44" s="1"/>
  <c r="L560" i="44"/>
  <c r="N559" i="44"/>
  <c r="N1139" i="44" s="1"/>
  <c r="S558" i="44"/>
  <c r="S1138" i="44" s="1"/>
  <c r="U557" i="44"/>
  <c r="U1137" i="44" s="1"/>
  <c r="X556" i="44"/>
  <c r="G556" i="44"/>
  <c r="G1136" i="44" s="1"/>
  <c r="L579" i="44"/>
  <c r="N578" i="44"/>
  <c r="N1158" i="44" s="1"/>
  <c r="S577" i="44"/>
  <c r="S1157" i="44" s="1"/>
  <c r="V576" i="44"/>
  <c r="V1156" i="44" s="1"/>
  <c r="F576" i="44"/>
  <c r="F1156" i="44" s="1"/>
  <c r="H575" i="44"/>
  <c r="H1155" i="44" s="1"/>
  <c r="L574" i="44"/>
  <c r="N573" i="44"/>
  <c r="N1153" i="44" s="1"/>
  <c r="S572" i="44"/>
  <c r="S1152" i="44" s="1"/>
  <c r="U571" i="44"/>
  <c r="U1151" i="44" s="1"/>
  <c r="W570" i="44"/>
  <c r="W1150" i="44" s="1"/>
  <c r="F570" i="44"/>
  <c r="F1150" i="44" s="1"/>
  <c r="I569" i="44"/>
  <c r="I1149" i="44" s="1"/>
  <c r="N568" i="44"/>
  <c r="N1148" i="44" s="1"/>
  <c r="S567" i="44"/>
  <c r="S1147" i="44" s="1"/>
  <c r="V566" i="44"/>
  <c r="V1146" i="44" s="1"/>
  <c r="H565" i="44"/>
  <c r="H1145" i="44" s="1"/>
  <c r="T563" i="44"/>
  <c r="T1143" i="44" s="1"/>
  <c r="V562" i="44"/>
  <c r="V1142" i="44" s="1"/>
  <c r="X561" i="44"/>
  <c r="G561" i="44"/>
  <c r="G1141" i="44" s="1"/>
  <c r="I560" i="44"/>
  <c r="I1140" i="44" s="1"/>
  <c r="M559" i="44"/>
  <c r="M1139" i="44" s="1"/>
  <c r="R558" i="44"/>
  <c r="R1138" i="44" s="1"/>
  <c r="T557" i="44"/>
  <c r="T1137" i="44" s="1"/>
  <c r="W556" i="44"/>
  <c r="W1136" i="44" s="1"/>
  <c r="F556" i="44"/>
  <c r="F1136" i="44" s="1"/>
  <c r="K567" i="44"/>
  <c r="K579" i="44"/>
  <c r="I579" i="44"/>
  <c r="I1159" i="44" s="1"/>
  <c r="M578" i="44"/>
  <c r="M1158" i="44" s="1"/>
  <c r="R577" i="44"/>
  <c r="R1157" i="44" s="1"/>
  <c r="U576" i="44"/>
  <c r="U1156" i="44" s="1"/>
  <c r="X575" i="44"/>
  <c r="G575" i="44"/>
  <c r="G1155" i="44" s="1"/>
  <c r="I574" i="44"/>
  <c r="I1154" i="44" s="1"/>
  <c r="M573" i="44"/>
  <c r="M1153" i="44" s="1"/>
  <c r="R572" i="44"/>
  <c r="R1152" i="44" s="1"/>
  <c r="T571" i="44"/>
  <c r="T1151" i="44" s="1"/>
  <c r="V570" i="44"/>
  <c r="V1150" i="44" s="1"/>
  <c r="X569" i="44"/>
  <c r="H569" i="44"/>
  <c r="H1149" i="44" s="1"/>
  <c r="M568" i="44"/>
  <c r="M1148" i="44" s="1"/>
  <c r="R567" i="44"/>
  <c r="R1147" i="44" s="1"/>
  <c r="U566" i="44"/>
  <c r="U1146" i="44" s="1"/>
  <c r="X565" i="44"/>
  <c r="G565" i="44"/>
  <c r="G1145" i="44" s="1"/>
  <c r="N564" i="44"/>
  <c r="N1144" i="44" s="1"/>
  <c r="S563" i="44"/>
  <c r="S1143" i="44" s="1"/>
  <c r="U562" i="44"/>
  <c r="U1142" i="44" s="1"/>
  <c r="W561" i="44"/>
  <c r="W1141" i="44" s="1"/>
  <c r="F561" i="44"/>
  <c r="F1141" i="44" s="1"/>
  <c r="H560" i="44"/>
  <c r="H1140" i="44" s="1"/>
  <c r="L559" i="44"/>
  <c r="N558" i="44"/>
  <c r="N1138" i="44" s="1"/>
  <c r="S557" i="44"/>
  <c r="S1137" i="44" s="1"/>
  <c r="V556" i="44"/>
  <c r="V1136" i="44" s="1"/>
  <c r="K556" i="44"/>
  <c r="H579" i="44"/>
  <c r="H1159" i="44" s="1"/>
  <c r="L578" i="44"/>
  <c r="P577" i="44"/>
  <c r="T576" i="44"/>
  <c r="T1156" i="44" s="1"/>
  <c r="W575" i="44"/>
  <c r="W1155" i="44" s="1"/>
  <c r="F575" i="44"/>
  <c r="F1155" i="44" s="1"/>
  <c r="H574" i="44"/>
  <c r="H1154" i="44" s="1"/>
  <c r="L573" i="44"/>
  <c r="N572" i="44"/>
  <c r="N1152" i="44" s="1"/>
  <c r="S571" i="44"/>
  <c r="S1151" i="44" s="1"/>
  <c r="U570" i="44"/>
  <c r="U1150" i="44" s="1"/>
  <c r="W569" i="44"/>
  <c r="W1149" i="44" s="1"/>
  <c r="G569" i="44"/>
  <c r="G1149" i="44" s="1"/>
  <c r="L568" i="44"/>
  <c r="L1148" i="44" s="1"/>
  <c r="P567" i="44"/>
  <c r="T566" i="44"/>
  <c r="T1146" i="44" s="1"/>
  <c r="W565" i="44"/>
  <c r="W1145" i="44" s="1"/>
  <c r="F565" i="44"/>
  <c r="F1145" i="44" s="1"/>
  <c r="M564" i="44"/>
  <c r="M1144" i="44" s="1"/>
  <c r="R563" i="44"/>
  <c r="R1143" i="44" s="1"/>
  <c r="T562" i="44"/>
  <c r="T1142" i="44" s="1"/>
  <c r="V561" i="44"/>
  <c r="V1141" i="44" s="1"/>
  <c r="X560" i="44"/>
  <c r="G560" i="44"/>
  <c r="G1140" i="44" s="1"/>
  <c r="I559" i="44"/>
  <c r="I1139" i="44" s="1"/>
  <c r="M558" i="44"/>
  <c r="M1138" i="44" s="1"/>
  <c r="R557" i="44"/>
  <c r="R1137" i="44" s="1"/>
  <c r="U556" i="44"/>
  <c r="U1136" i="44" s="1"/>
  <c r="X579" i="44"/>
  <c r="G579" i="44"/>
  <c r="G1159" i="44" s="1"/>
  <c r="I578" i="44"/>
  <c r="I1158" i="44" s="1"/>
  <c r="N577" i="44"/>
  <c r="N1157" i="44" s="1"/>
  <c r="S576" i="44"/>
  <c r="S1156" i="44" s="1"/>
  <c r="V575" i="44"/>
  <c r="V1155" i="44" s="1"/>
  <c r="X574" i="44"/>
  <c r="G574" i="44"/>
  <c r="G1154" i="44" s="1"/>
  <c r="I573" i="44"/>
  <c r="M572" i="44"/>
  <c r="M1152" i="44" s="1"/>
  <c r="R571" i="44"/>
  <c r="R1151" i="44" s="1"/>
  <c r="T570" i="44"/>
  <c r="T1150" i="44" s="1"/>
  <c r="V569" i="44"/>
  <c r="V1149" i="44" s="1"/>
  <c r="F569" i="44"/>
  <c r="F1149" i="44" s="1"/>
  <c r="I568" i="44"/>
  <c r="I1148" i="44" s="1"/>
  <c r="N567" i="44"/>
  <c r="N1147" i="44" s="1"/>
  <c r="S566" i="44"/>
  <c r="S1146" i="44" s="1"/>
  <c r="V565" i="44"/>
  <c r="V1145" i="44" s="1"/>
  <c r="X564" i="44"/>
  <c r="L564" i="44"/>
  <c r="L1144" i="44" s="1"/>
  <c r="N563" i="44"/>
  <c r="S562" i="44"/>
  <c r="S1142" i="44" s="1"/>
  <c r="U561" i="44"/>
  <c r="U1141" i="44" s="1"/>
  <c r="W560" i="44"/>
  <c r="W1140" i="44" s="1"/>
  <c r="F560" i="44"/>
  <c r="F1140" i="44" s="1"/>
  <c r="H559" i="44"/>
  <c r="H1139" i="44" s="1"/>
  <c r="L558" i="44"/>
  <c r="T556" i="44"/>
  <c r="T1136" i="44" s="1"/>
  <c r="L291" i="44"/>
  <c r="L871" i="44" s="1"/>
  <c r="T289" i="44"/>
  <c r="T869" i="44" s="1"/>
  <c r="V288" i="44"/>
  <c r="V868" i="44" s="1"/>
  <c r="X287" i="44"/>
  <c r="H287" i="44"/>
  <c r="H867" i="44" s="1"/>
  <c r="M286" i="44"/>
  <c r="M866" i="44" s="1"/>
  <c r="R285" i="44"/>
  <c r="R865" i="44" s="1"/>
  <c r="V284" i="44"/>
  <c r="V864" i="44" s="1"/>
  <c r="H283" i="44"/>
  <c r="H863" i="44" s="1"/>
  <c r="L282" i="44"/>
  <c r="L862" i="44" s="1"/>
  <c r="U280" i="44"/>
  <c r="U860" i="44" s="1"/>
  <c r="I279" i="44"/>
  <c r="I859" i="44" s="1"/>
  <c r="T277" i="44"/>
  <c r="T857" i="44" s="1"/>
  <c r="F277" i="44"/>
  <c r="F857" i="44" s="1"/>
  <c r="H276" i="44"/>
  <c r="H856" i="44" s="1"/>
  <c r="L275" i="44"/>
  <c r="N274" i="44"/>
  <c r="N854" i="44" s="1"/>
  <c r="S273" i="44"/>
  <c r="S853" i="44" s="1"/>
  <c r="U272" i="44"/>
  <c r="U852" i="44" s="1"/>
  <c r="W271" i="44"/>
  <c r="W851" i="44" s="1"/>
  <c r="F271" i="44"/>
  <c r="F851" i="44" s="1"/>
  <c r="I270" i="44"/>
  <c r="I850" i="44" s="1"/>
  <c r="T268" i="44"/>
  <c r="T848" i="44" s="1"/>
  <c r="T291" i="44"/>
  <c r="T871" i="44" s="1"/>
  <c r="W290" i="44"/>
  <c r="W870" i="44" s="1"/>
  <c r="F290" i="44"/>
  <c r="F870" i="44" s="1"/>
  <c r="G289" i="44"/>
  <c r="G869" i="44" s="1"/>
  <c r="H288" i="44"/>
  <c r="H868" i="44" s="1"/>
  <c r="L287" i="44"/>
  <c r="N286" i="44"/>
  <c r="N866" i="44" s="1"/>
  <c r="T284" i="44"/>
  <c r="T864" i="44" s="1"/>
  <c r="V283" i="44"/>
  <c r="V863" i="44" s="1"/>
  <c r="W282" i="44"/>
  <c r="W862" i="44" s="1"/>
  <c r="X281" i="44"/>
  <c r="H281" i="44"/>
  <c r="H861" i="44" s="1"/>
  <c r="L280" i="44"/>
  <c r="L860" i="44" s="1"/>
  <c r="R279" i="44"/>
  <c r="R859" i="44" s="1"/>
  <c r="S278" i="44"/>
  <c r="S858" i="44" s="1"/>
  <c r="V277" i="44"/>
  <c r="V857" i="44" s="1"/>
  <c r="G277" i="44"/>
  <c r="G857" i="44" s="1"/>
  <c r="G276" i="44"/>
  <c r="G856" i="44" s="1"/>
  <c r="H275" i="44"/>
  <c r="H855" i="44" s="1"/>
  <c r="I274" i="44"/>
  <c r="I854" i="44" s="1"/>
  <c r="L273" i="44"/>
  <c r="M272" i="44"/>
  <c r="M852" i="44" s="1"/>
  <c r="N271" i="44"/>
  <c r="N851" i="44" s="1"/>
  <c r="R270" i="44"/>
  <c r="R850" i="44" s="1"/>
  <c r="T269" i="44"/>
  <c r="T849" i="44" s="1"/>
  <c r="W268" i="44"/>
  <c r="W848" i="44" s="1"/>
  <c r="S291" i="44"/>
  <c r="S871" i="44" s="1"/>
  <c r="V290" i="44"/>
  <c r="V870" i="44" s="1"/>
  <c r="X289" i="44"/>
  <c r="F289" i="44"/>
  <c r="F869" i="44" s="1"/>
  <c r="G288" i="44"/>
  <c r="G868" i="44" s="1"/>
  <c r="I287" i="44"/>
  <c r="I867" i="44" s="1"/>
  <c r="L286" i="44"/>
  <c r="L866" i="44" s="1"/>
  <c r="S284" i="44"/>
  <c r="S864" i="44" s="1"/>
  <c r="U283" i="44"/>
  <c r="U863" i="44" s="1"/>
  <c r="V282" i="44"/>
  <c r="V862" i="44" s="1"/>
  <c r="W281" i="44"/>
  <c r="W861" i="44" s="1"/>
  <c r="G281" i="44"/>
  <c r="G861" i="44" s="1"/>
  <c r="I280" i="44"/>
  <c r="I860" i="44" s="1"/>
  <c r="N279" i="44"/>
  <c r="N859" i="44" s="1"/>
  <c r="R278" i="44"/>
  <c r="R858" i="44" s="1"/>
  <c r="U277" i="44"/>
  <c r="U857" i="44" s="1"/>
  <c r="X276" i="44"/>
  <c r="F276" i="44"/>
  <c r="F856" i="44" s="1"/>
  <c r="G275" i="44"/>
  <c r="G855" i="44" s="1"/>
  <c r="H274" i="44"/>
  <c r="H854" i="44" s="1"/>
  <c r="I273" i="44"/>
  <c r="I853" i="44" s="1"/>
  <c r="L272" i="44"/>
  <c r="L852" i="44" s="1"/>
  <c r="M271" i="44"/>
  <c r="M851" i="44" s="1"/>
  <c r="S269" i="44"/>
  <c r="S849" i="44" s="1"/>
  <c r="V268" i="44"/>
  <c r="V848" i="44" s="1"/>
  <c r="R291" i="44"/>
  <c r="R871" i="44" s="1"/>
  <c r="U290" i="44"/>
  <c r="U870" i="44" s="1"/>
  <c r="W289" i="44"/>
  <c r="W869" i="44" s="1"/>
  <c r="X288" i="44"/>
  <c r="F288" i="44"/>
  <c r="F868" i="44" s="1"/>
  <c r="G287" i="44"/>
  <c r="G867" i="44" s="1"/>
  <c r="I286" i="44"/>
  <c r="I866" i="44" s="1"/>
  <c r="N285" i="44"/>
  <c r="R284" i="44"/>
  <c r="R864" i="44" s="1"/>
  <c r="T283" i="44"/>
  <c r="T863" i="44" s="1"/>
  <c r="U282" i="44"/>
  <c r="U862" i="44" s="1"/>
  <c r="V281" i="44"/>
  <c r="V861" i="44" s="1"/>
  <c r="F281" i="44"/>
  <c r="H280" i="44"/>
  <c r="H860" i="44" s="1"/>
  <c r="M279" i="44"/>
  <c r="S277" i="44"/>
  <c r="S857" i="44" s="1"/>
  <c r="W276" i="44"/>
  <c r="W856" i="44" s="1"/>
  <c r="X275" i="44"/>
  <c r="F275" i="44"/>
  <c r="F855" i="44" s="1"/>
  <c r="G274" i="44"/>
  <c r="G854" i="44" s="1"/>
  <c r="H273" i="44"/>
  <c r="H853" i="44" s="1"/>
  <c r="I272" i="44"/>
  <c r="I852" i="44" s="1"/>
  <c r="L271" i="44"/>
  <c r="N270" i="44"/>
  <c r="N850" i="44" s="1"/>
  <c r="R269" i="44"/>
  <c r="R849" i="44" s="1"/>
  <c r="U268" i="44"/>
  <c r="U848" i="44" s="1"/>
  <c r="T290" i="44"/>
  <c r="T870" i="44" s="1"/>
  <c r="V289" i="44"/>
  <c r="V869" i="44" s="1"/>
  <c r="W288" i="44"/>
  <c r="W868" i="44" s="1"/>
  <c r="W287" i="44"/>
  <c r="W867" i="44" s="1"/>
  <c r="F287" i="44"/>
  <c r="F867" i="44" s="1"/>
  <c r="H286" i="44"/>
  <c r="H866" i="44" s="1"/>
  <c r="M285" i="44"/>
  <c r="M865" i="44" s="1"/>
  <c r="N284" i="44"/>
  <c r="S283" i="44"/>
  <c r="S863" i="44" s="1"/>
  <c r="T282" i="44"/>
  <c r="T862" i="44" s="1"/>
  <c r="U281" i="44"/>
  <c r="U861" i="44" s="1"/>
  <c r="X280" i="44"/>
  <c r="G280" i="44"/>
  <c r="G860" i="44" s="1"/>
  <c r="L279" i="44"/>
  <c r="L859" i="44" s="1"/>
  <c r="N278" i="44"/>
  <c r="N858" i="44" s="1"/>
  <c r="R277" i="44"/>
  <c r="R857" i="44" s="1"/>
  <c r="V276" i="44"/>
  <c r="V856" i="44" s="1"/>
  <c r="W275" i="44"/>
  <c r="W855" i="44" s="1"/>
  <c r="X274" i="44"/>
  <c r="F274" i="44"/>
  <c r="F854" i="44" s="1"/>
  <c r="G273" i="44"/>
  <c r="G853" i="44" s="1"/>
  <c r="H272" i="44"/>
  <c r="I271" i="44"/>
  <c r="I851" i="44" s="1"/>
  <c r="M270" i="44"/>
  <c r="M850" i="44" s="1"/>
  <c r="S268" i="44"/>
  <c r="S848" i="44" s="1"/>
  <c r="S290" i="44"/>
  <c r="S870" i="44" s="1"/>
  <c r="U289" i="44"/>
  <c r="U869" i="44" s="1"/>
  <c r="U288" i="44"/>
  <c r="U868" i="44" s="1"/>
  <c r="V287" i="44"/>
  <c r="V867" i="44" s="1"/>
  <c r="X286" i="44"/>
  <c r="G286" i="44"/>
  <c r="G866" i="44" s="1"/>
  <c r="L285" i="44"/>
  <c r="L865" i="44" s="1"/>
  <c r="M284" i="44"/>
  <c r="M864" i="44" s="1"/>
  <c r="R283" i="44"/>
  <c r="R863" i="44" s="1"/>
  <c r="S282" i="44"/>
  <c r="S862" i="44" s="1"/>
  <c r="T281" i="44"/>
  <c r="T861" i="44" s="1"/>
  <c r="W280" i="44"/>
  <c r="W860" i="44" s="1"/>
  <c r="F280" i="44"/>
  <c r="F860" i="44" s="1"/>
  <c r="H279" i="44"/>
  <c r="H859" i="44" s="1"/>
  <c r="M278" i="44"/>
  <c r="M858" i="44" s="1"/>
  <c r="U276" i="44"/>
  <c r="U856" i="44" s="1"/>
  <c r="V275" i="44"/>
  <c r="V855" i="44" s="1"/>
  <c r="W274" i="44"/>
  <c r="W854" i="44" s="1"/>
  <c r="X273" i="44"/>
  <c r="F273" i="44"/>
  <c r="G272" i="44"/>
  <c r="G852" i="44" s="1"/>
  <c r="H271" i="44"/>
  <c r="H851" i="44" s="1"/>
  <c r="L270" i="44"/>
  <c r="L850" i="44" s="1"/>
  <c r="N269" i="44"/>
  <c r="N849" i="44" s="1"/>
  <c r="R268" i="44"/>
  <c r="R848" i="44" s="1"/>
  <c r="N291" i="44"/>
  <c r="N871" i="44" s="1"/>
  <c r="R290" i="44"/>
  <c r="R870" i="44" s="1"/>
  <c r="S289" i="44"/>
  <c r="S869" i="44" s="1"/>
  <c r="T288" i="44"/>
  <c r="T868" i="44" s="1"/>
  <c r="U287" i="44"/>
  <c r="U867" i="44" s="1"/>
  <c r="W286" i="44"/>
  <c r="W866" i="44" s="1"/>
  <c r="F286" i="44"/>
  <c r="I285" i="44"/>
  <c r="I865" i="44" s="1"/>
  <c r="L284" i="44"/>
  <c r="L864" i="44" s="1"/>
  <c r="N283" i="44"/>
  <c r="N863" i="44" s="1"/>
  <c r="R282" i="44"/>
  <c r="R862" i="44" s="1"/>
  <c r="S281" i="44"/>
  <c r="S861" i="44" s="1"/>
  <c r="V280" i="44"/>
  <c r="V860" i="44" s="1"/>
  <c r="G279" i="44"/>
  <c r="G859" i="44" s="1"/>
  <c r="L278" i="44"/>
  <c r="L858" i="44" s="1"/>
  <c r="T276" i="44"/>
  <c r="T856" i="44" s="1"/>
  <c r="U275" i="44"/>
  <c r="U855" i="44" s="1"/>
  <c r="V274" i="44"/>
  <c r="V854" i="44" s="1"/>
  <c r="W273" i="44"/>
  <c r="W853" i="44" s="1"/>
  <c r="X272" i="44"/>
  <c r="F272" i="44"/>
  <c r="F852" i="44" s="1"/>
  <c r="G271" i="44"/>
  <c r="G851" i="44" s="1"/>
  <c r="H270" i="44"/>
  <c r="H850" i="44" s="1"/>
  <c r="M269" i="44"/>
  <c r="M849" i="44" s="1"/>
  <c r="N268" i="44"/>
  <c r="N848" i="44" s="1"/>
  <c r="M291" i="44"/>
  <c r="M871" i="44" s="1"/>
  <c r="N290" i="44"/>
  <c r="N870" i="44" s="1"/>
  <c r="R289" i="44"/>
  <c r="R869" i="44" s="1"/>
  <c r="S288" i="44"/>
  <c r="S868" i="44" s="1"/>
  <c r="T287" i="44"/>
  <c r="T867" i="44" s="1"/>
  <c r="V286" i="44"/>
  <c r="V866" i="44" s="1"/>
  <c r="X285" i="44"/>
  <c r="H285" i="44"/>
  <c r="H865" i="44" s="1"/>
  <c r="I284" i="44"/>
  <c r="I864" i="44" s="1"/>
  <c r="M283" i="44"/>
  <c r="N282" i="44"/>
  <c r="N862" i="44" s="1"/>
  <c r="R281" i="44"/>
  <c r="R861" i="44" s="1"/>
  <c r="T280" i="44"/>
  <c r="T860" i="44" s="1"/>
  <c r="X279" i="44"/>
  <c r="F279" i="44"/>
  <c r="F859" i="44" s="1"/>
  <c r="I278" i="44"/>
  <c r="I858" i="44" s="1"/>
  <c r="S276" i="44"/>
  <c r="S856" i="44" s="1"/>
  <c r="T275" i="44"/>
  <c r="T855" i="44" s="1"/>
  <c r="U274" i="44"/>
  <c r="U854" i="44" s="1"/>
  <c r="V273" i="44"/>
  <c r="V853" i="44" s="1"/>
  <c r="W272" i="44"/>
  <c r="W852" i="44" s="1"/>
  <c r="X271" i="44"/>
  <c r="X270" i="44"/>
  <c r="G270" i="44"/>
  <c r="G850" i="44" s="1"/>
  <c r="L269" i="44"/>
  <c r="L849" i="44" s="1"/>
  <c r="M268" i="44"/>
  <c r="I291" i="44"/>
  <c r="I871" i="44" s="1"/>
  <c r="M290" i="44"/>
  <c r="N289" i="44"/>
  <c r="N869" i="44" s="1"/>
  <c r="R288" i="44"/>
  <c r="R868" i="44" s="1"/>
  <c r="S287" i="44"/>
  <c r="S867" i="44" s="1"/>
  <c r="U286" i="44"/>
  <c r="U866" i="44" s="1"/>
  <c r="W285" i="44"/>
  <c r="W865" i="44" s="1"/>
  <c r="G285" i="44"/>
  <c r="G865" i="44" s="1"/>
  <c r="H284" i="44"/>
  <c r="H864" i="44" s="1"/>
  <c r="L283" i="44"/>
  <c r="L863" i="44" s="1"/>
  <c r="M282" i="44"/>
  <c r="M862" i="44" s="1"/>
  <c r="S280" i="44"/>
  <c r="S860" i="44" s="1"/>
  <c r="W279" i="44"/>
  <c r="W859" i="44" s="1"/>
  <c r="X278" i="44"/>
  <c r="H278" i="44"/>
  <c r="H858" i="44" s="1"/>
  <c r="N277" i="44"/>
  <c r="N857" i="44" s="1"/>
  <c r="R276" i="44"/>
  <c r="R856" i="44" s="1"/>
  <c r="S275" i="44"/>
  <c r="S855" i="44" s="1"/>
  <c r="T274" i="44"/>
  <c r="T854" i="44" s="1"/>
  <c r="U273" i="44"/>
  <c r="U853" i="44" s="1"/>
  <c r="V272" i="44"/>
  <c r="V852" i="44" s="1"/>
  <c r="V271" i="44"/>
  <c r="V851" i="44" s="1"/>
  <c r="W270" i="44"/>
  <c r="W850" i="44" s="1"/>
  <c r="F270" i="44"/>
  <c r="F850" i="44" s="1"/>
  <c r="I269" i="44"/>
  <c r="I849" i="44" s="1"/>
  <c r="L268" i="44"/>
  <c r="L848" i="44" s="1"/>
  <c r="X291" i="44"/>
  <c r="H291" i="44"/>
  <c r="H871" i="44" s="1"/>
  <c r="L290" i="44"/>
  <c r="L870" i="44" s="1"/>
  <c r="M289" i="44"/>
  <c r="M869" i="44" s="1"/>
  <c r="N288" i="44"/>
  <c r="N868" i="44" s="1"/>
  <c r="R287" i="44"/>
  <c r="R867" i="44" s="1"/>
  <c r="T286" i="44"/>
  <c r="T866" i="44" s="1"/>
  <c r="V285" i="44"/>
  <c r="V865" i="44" s="1"/>
  <c r="F285" i="44"/>
  <c r="F865" i="44" s="1"/>
  <c r="G284" i="44"/>
  <c r="G864" i="44" s="1"/>
  <c r="I283" i="44"/>
  <c r="I863" i="44" s="1"/>
  <c r="I282" i="44"/>
  <c r="I862" i="44" s="1"/>
  <c r="N281" i="44"/>
  <c r="N861" i="44" s="1"/>
  <c r="R280" i="44"/>
  <c r="R860" i="44" s="1"/>
  <c r="V279" i="44"/>
  <c r="V859" i="44" s="1"/>
  <c r="W278" i="44"/>
  <c r="W858" i="44" s="1"/>
  <c r="G278" i="44"/>
  <c r="G858" i="44" s="1"/>
  <c r="M277" i="44"/>
  <c r="M857" i="44" s="1"/>
  <c r="N276" i="44"/>
  <c r="N856" i="44" s="1"/>
  <c r="R275" i="44"/>
  <c r="R855" i="44" s="1"/>
  <c r="S274" i="44"/>
  <c r="S854" i="44" s="1"/>
  <c r="T273" i="44"/>
  <c r="T853" i="44" s="1"/>
  <c r="T272" i="44"/>
  <c r="T852" i="44" s="1"/>
  <c r="U271" i="44"/>
  <c r="U851" i="44" s="1"/>
  <c r="V270" i="44"/>
  <c r="V850" i="44" s="1"/>
  <c r="X269" i="44"/>
  <c r="H269" i="44"/>
  <c r="H849" i="44" s="1"/>
  <c r="I268" i="44"/>
  <c r="I848" i="44" s="1"/>
  <c r="W291" i="44"/>
  <c r="W871" i="44" s="1"/>
  <c r="G291" i="44"/>
  <c r="G871" i="44" s="1"/>
  <c r="I290" i="44"/>
  <c r="I870" i="44" s="1"/>
  <c r="L289" i="44"/>
  <c r="L869" i="44" s="1"/>
  <c r="M288" i="44"/>
  <c r="M868" i="44" s="1"/>
  <c r="S286" i="44"/>
  <c r="S866" i="44" s="1"/>
  <c r="U285" i="44"/>
  <c r="U865" i="44" s="1"/>
  <c r="X284" i="44"/>
  <c r="F284" i="44"/>
  <c r="F864" i="44" s="1"/>
  <c r="G283" i="44"/>
  <c r="G863" i="44" s="1"/>
  <c r="H282" i="44"/>
  <c r="H862" i="44" s="1"/>
  <c r="M281" i="44"/>
  <c r="M861" i="44" s="1"/>
  <c r="U279" i="44"/>
  <c r="U859" i="44" s="1"/>
  <c r="V278" i="44"/>
  <c r="V858" i="44" s="1"/>
  <c r="F278" i="44"/>
  <c r="F858" i="44" s="1"/>
  <c r="L277" i="44"/>
  <c r="L857" i="44" s="1"/>
  <c r="M276" i="44"/>
  <c r="N275" i="44"/>
  <c r="N855" i="44" s="1"/>
  <c r="R274" i="44"/>
  <c r="R854" i="44" s="1"/>
  <c r="R273" i="44"/>
  <c r="R853" i="44" s="1"/>
  <c r="S272" i="44"/>
  <c r="S852" i="44" s="1"/>
  <c r="T271" i="44"/>
  <c r="T851" i="44" s="1"/>
  <c r="U270" i="44"/>
  <c r="U850" i="44" s="1"/>
  <c r="W269" i="44"/>
  <c r="W849" i="44" s="1"/>
  <c r="G269" i="44"/>
  <c r="G849" i="44" s="1"/>
  <c r="H268" i="44"/>
  <c r="H848" i="44" s="1"/>
  <c r="V291" i="44"/>
  <c r="V871" i="44" s="1"/>
  <c r="F291" i="44"/>
  <c r="F871" i="44" s="1"/>
  <c r="H290" i="44"/>
  <c r="H870" i="44" s="1"/>
  <c r="I289" i="44"/>
  <c r="I869" i="44" s="1"/>
  <c r="L288" i="44"/>
  <c r="N287" i="44"/>
  <c r="N867" i="44" s="1"/>
  <c r="R286" i="44"/>
  <c r="R866" i="44" s="1"/>
  <c r="T285" i="44"/>
  <c r="T865" i="44" s="1"/>
  <c r="W284" i="44"/>
  <c r="W864" i="44" s="1"/>
  <c r="X283" i="44"/>
  <c r="F283" i="44"/>
  <c r="F863" i="44" s="1"/>
  <c r="G282" i="44"/>
  <c r="G862" i="44" s="1"/>
  <c r="L281" i="44"/>
  <c r="L861" i="44" s="1"/>
  <c r="N280" i="44"/>
  <c r="N860" i="44" s="1"/>
  <c r="T279" i="44"/>
  <c r="T859" i="44" s="1"/>
  <c r="U278" i="44"/>
  <c r="U858" i="44" s="1"/>
  <c r="X277" i="44"/>
  <c r="I277" i="44"/>
  <c r="I857" i="44" s="1"/>
  <c r="L276" i="44"/>
  <c r="L856" i="44" s="1"/>
  <c r="M275" i="44"/>
  <c r="M855" i="44" s="1"/>
  <c r="M274" i="44"/>
  <c r="M854" i="44" s="1"/>
  <c r="N273" i="44"/>
  <c r="N853" i="44" s="1"/>
  <c r="R272" i="44"/>
  <c r="R852" i="44" s="1"/>
  <c r="S271" i="44"/>
  <c r="S851" i="44" s="1"/>
  <c r="T270" i="44"/>
  <c r="T850" i="44" s="1"/>
  <c r="V269" i="44"/>
  <c r="V849" i="44" s="1"/>
  <c r="F269" i="44"/>
  <c r="F849" i="44" s="1"/>
  <c r="G268" i="44"/>
  <c r="G848" i="44" s="1"/>
  <c r="U284" i="44"/>
  <c r="U864" i="44" s="1"/>
  <c r="L274" i="44"/>
  <c r="W283" i="44"/>
  <c r="W863" i="44" s="1"/>
  <c r="M273" i="44"/>
  <c r="M853" i="44" s="1"/>
  <c r="X282" i="44"/>
  <c r="N272" i="44"/>
  <c r="N852" i="44" s="1"/>
  <c r="F282" i="44"/>
  <c r="F862" i="44" s="1"/>
  <c r="R271" i="44"/>
  <c r="R851" i="44" s="1"/>
  <c r="U291" i="44"/>
  <c r="U871" i="44" s="1"/>
  <c r="I281" i="44"/>
  <c r="I861" i="44" s="1"/>
  <c r="S270" i="44"/>
  <c r="S850" i="44" s="1"/>
  <c r="X290" i="44"/>
  <c r="M280" i="44"/>
  <c r="U269" i="44"/>
  <c r="U849" i="44" s="1"/>
  <c r="G290" i="44"/>
  <c r="G870" i="44" s="1"/>
  <c r="S279" i="44"/>
  <c r="S859" i="44" s="1"/>
  <c r="X268" i="44"/>
  <c r="H289" i="44"/>
  <c r="H869" i="44" s="1"/>
  <c r="T278" i="44"/>
  <c r="T858" i="44" s="1"/>
  <c r="F268" i="44"/>
  <c r="F848" i="44" s="1"/>
  <c r="I288" i="44"/>
  <c r="I868" i="44" s="1"/>
  <c r="W277" i="44"/>
  <c r="W857" i="44" s="1"/>
  <c r="M287" i="44"/>
  <c r="M867" i="44" s="1"/>
  <c r="H277" i="44"/>
  <c r="H857" i="44" s="1"/>
  <c r="P286" i="44"/>
  <c r="I276" i="44"/>
  <c r="I856" i="44" s="1"/>
  <c r="S285" i="44"/>
  <c r="S865" i="44" s="1"/>
  <c r="I275" i="44"/>
  <c r="I855" i="44" s="1"/>
  <c r="P282" i="44"/>
  <c r="P272" i="44"/>
  <c r="P561" i="44"/>
  <c r="P556" i="44"/>
  <c r="K168" i="44"/>
  <c r="K157" i="44"/>
  <c r="K169" i="44"/>
  <c r="K148" i="44"/>
  <c r="K442" i="44"/>
  <c r="V459" i="44"/>
  <c r="V1039" i="44" s="1"/>
  <c r="F459" i="44"/>
  <c r="F1039" i="44" s="1"/>
  <c r="I458" i="44"/>
  <c r="I1038" i="44" s="1"/>
  <c r="M457" i="44"/>
  <c r="M1037" i="44" s="1"/>
  <c r="R456" i="44"/>
  <c r="R1036" i="44" s="1"/>
  <c r="W455" i="44"/>
  <c r="W1035" i="44" s="1"/>
  <c r="H455" i="44"/>
  <c r="H1035" i="44" s="1"/>
  <c r="M454" i="44"/>
  <c r="M1034" i="44" s="1"/>
  <c r="R453" i="44"/>
  <c r="R1033" i="44" s="1"/>
  <c r="T452" i="44"/>
  <c r="T1032" i="44" s="1"/>
  <c r="W451" i="44"/>
  <c r="W1031" i="44" s="1"/>
  <c r="G451" i="44"/>
  <c r="G1031" i="44" s="1"/>
  <c r="I450" i="44"/>
  <c r="I1030" i="44" s="1"/>
  <c r="P449" i="44"/>
  <c r="U448" i="44"/>
  <c r="U1028" i="44" s="1"/>
  <c r="W447" i="44"/>
  <c r="W1027" i="44" s="1"/>
  <c r="F447" i="44"/>
  <c r="F1027" i="44" s="1"/>
  <c r="H446" i="44"/>
  <c r="H1026" i="44" s="1"/>
  <c r="L445" i="44"/>
  <c r="R444" i="44"/>
  <c r="R1024" i="44" s="1"/>
  <c r="P1220" i="44" s="1"/>
  <c r="T443" i="44"/>
  <c r="T1023" i="44" s="1"/>
  <c r="W442" i="44"/>
  <c r="W1022" i="44" s="1"/>
  <c r="F442" i="44"/>
  <c r="F1022" i="44" s="1"/>
  <c r="H441" i="44"/>
  <c r="H1021" i="44" s="1"/>
  <c r="L440" i="44"/>
  <c r="L1020" i="44" s="1"/>
  <c r="T438" i="44"/>
  <c r="T1018" i="44" s="1"/>
  <c r="V437" i="44"/>
  <c r="V1017" i="44" s="1"/>
  <c r="F437" i="44"/>
  <c r="F1017" i="44" s="1"/>
  <c r="H436" i="44"/>
  <c r="H1016" i="44" s="1"/>
  <c r="U459" i="44"/>
  <c r="U1039" i="44" s="1"/>
  <c r="X458" i="44"/>
  <c r="H458" i="44"/>
  <c r="H1038" i="44" s="1"/>
  <c r="L457" i="44"/>
  <c r="V455" i="44"/>
  <c r="V1035" i="44" s="1"/>
  <c r="G455" i="44"/>
  <c r="G1035" i="44" s="1"/>
  <c r="L454" i="44"/>
  <c r="L1034" i="44" s="1"/>
  <c r="N453" i="44"/>
  <c r="N1033" i="44" s="1"/>
  <c r="S452" i="44"/>
  <c r="S1032" i="44" s="1"/>
  <c r="V451" i="44"/>
  <c r="V1031" i="44" s="1"/>
  <c r="F451" i="44"/>
  <c r="F1031" i="44" s="1"/>
  <c r="H450" i="44"/>
  <c r="H1030" i="44" s="1"/>
  <c r="N449" i="44"/>
  <c r="N1029" i="44" s="1"/>
  <c r="T448" i="44"/>
  <c r="T1028" i="44" s="1"/>
  <c r="V447" i="44"/>
  <c r="V1027" i="44" s="1"/>
  <c r="X446" i="44"/>
  <c r="G446" i="44"/>
  <c r="G1026" i="44" s="1"/>
  <c r="I445" i="44"/>
  <c r="I1025" i="44" s="1"/>
  <c r="N444" i="44"/>
  <c r="N1024" i="44" s="1"/>
  <c r="S443" i="44"/>
  <c r="S1023" i="44" s="1"/>
  <c r="V442" i="44"/>
  <c r="V1022" i="44" s="1"/>
  <c r="X441" i="44"/>
  <c r="G441" i="44"/>
  <c r="G1021" i="44" s="1"/>
  <c r="I440" i="44"/>
  <c r="I1020" i="44" s="1"/>
  <c r="N439" i="44"/>
  <c r="N1019" i="44" s="1"/>
  <c r="S438" i="44"/>
  <c r="S1018" i="44" s="1"/>
  <c r="U437" i="44"/>
  <c r="U1017" i="44" s="1"/>
  <c r="X436" i="44"/>
  <c r="T459" i="44"/>
  <c r="T1039" i="44" s="1"/>
  <c r="W458" i="44"/>
  <c r="W1038" i="44" s="1"/>
  <c r="G458" i="44"/>
  <c r="G1038" i="44" s="1"/>
  <c r="I457" i="44"/>
  <c r="I1037" i="44" s="1"/>
  <c r="N456" i="44"/>
  <c r="N1036" i="44" s="1"/>
  <c r="U455" i="44"/>
  <c r="U1035" i="44" s="1"/>
  <c r="F455" i="44"/>
  <c r="F1035" i="44" s="1"/>
  <c r="I454" i="44"/>
  <c r="I1034" i="44" s="1"/>
  <c r="M453" i="44"/>
  <c r="M1033" i="44" s="1"/>
  <c r="R452" i="44"/>
  <c r="R1032" i="44" s="1"/>
  <c r="U451" i="44"/>
  <c r="U1031" i="44" s="1"/>
  <c r="X450" i="44"/>
  <c r="G450" i="44"/>
  <c r="G1030" i="44" s="1"/>
  <c r="M449" i="44"/>
  <c r="M1029" i="44" s="1"/>
  <c r="S448" i="44"/>
  <c r="S1028" i="44" s="1"/>
  <c r="U447" i="44"/>
  <c r="U1027" i="44" s="1"/>
  <c r="W446" i="44"/>
  <c r="W1026" i="44" s="1"/>
  <c r="F446" i="44"/>
  <c r="F1026" i="44" s="1"/>
  <c r="H445" i="44"/>
  <c r="H1025" i="44" s="1"/>
  <c r="M444" i="44"/>
  <c r="M1024" i="44" s="1"/>
  <c r="R443" i="44"/>
  <c r="R1023" i="44" s="1"/>
  <c r="U442" i="44"/>
  <c r="U1022" i="44" s="1"/>
  <c r="W441" i="44"/>
  <c r="W1021" i="44" s="1"/>
  <c r="F441" i="44"/>
  <c r="F1021" i="44" s="1"/>
  <c r="H440" i="44"/>
  <c r="H1020" i="44" s="1"/>
  <c r="S459" i="44"/>
  <c r="S1039" i="44" s="1"/>
  <c r="V458" i="44"/>
  <c r="V1038" i="44" s="1"/>
  <c r="F458" i="44"/>
  <c r="F1038" i="44" s="1"/>
  <c r="H457" i="44"/>
  <c r="H1037" i="44" s="1"/>
  <c r="M456" i="44"/>
  <c r="T455" i="44"/>
  <c r="T1035" i="44" s="1"/>
  <c r="X454" i="44"/>
  <c r="H454" i="44"/>
  <c r="H1034" i="44" s="1"/>
  <c r="L453" i="44"/>
  <c r="T451" i="44"/>
  <c r="T1031" i="44" s="1"/>
  <c r="W450" i="44"/>
  <c r="W1030" i="44" s="1"/>
  <c r="F450" i="44"/>
  <c r="F1030" i="44" s="1"/>
  <c r="L449" i="44"/>
  <c r="L1029" i="44" s="1"/>
  <c r="R448" i="44"/>
  <c r="R1028" i="44" s="1"/>
  <c r="P1224" i="44" s="1"/>
  <c r="T447" i="44"/>
  <c r="T1027" i="44" s="1"/>
  <c r="R1223" i="44" s="1"/>
  <c r="V446" i="44"/>
  <c r="V1026" i="44" s="1"/>
  <c r="X445" i="44"/>
  <c r="G445" i="44"/>
  <c r="G1025" i="44" s="1"/>
  <c r="L444" i="44"/>
  <c r="T442" i="44"/>
  <c r="T1022" i="44" s="1"/>
  <c r="V441" i="44"/>
  <c r="V1021" i="44" s="1"/>
  <c r="X440" i="44"/>
  <c r="G440" i="44"/>
  <c r="G1020" i="44" s="1"/>
  <c r="R459" i="44"/>
  <c r="R1039" i="44" s="1"/>
  <c r="U458" i="44"/>
  <c r="U1038" i="44" s="1"/>
  <c r="X457" i="44"/>
  <c r="G457" i="44"/>
  <c r="G1037" i="44" s="1"/>
  <c r="L456" i="44"/>
  <c r="L1036" i="44" s="1"/>
  <c r="S455" i="44"/>
  <c r="S1035" i="44" s="1"/>
  <c r="W454" i="44"/>
  <c r="W1034" i="44" s="1"/>
  <c r="G454" i="44"/>
  <c r="G1034" i="44" s="1"/>
  <c r="I453" i="44"/>
  <c r="I1033" i="44" s="1"/>
  <c r="N452" i="44"/>
  <c r="N1032" i="44" s="1"/>
  <c r="S451" i="44"/>
  <c r="S1031" i="44" s="1"/>
  <c r="V450" i="44"/>
  <c r="V1030" i="44" s="1"/>
  <c r="X449" i="44"/>
  <c r="I449" i="44"/>
  <c r="I1029" i="44" s="1"/>
  <c r="N448" i="44"/>
  <c r="S447" i="44"/>
  <c r="S1027" i="44" s="1"/>
  <c r="U446" i="44"/>
  <c r="U1026" i="44" s="1"/>
  <c r="W445" i="44"/>
  <c r="W1025" i="44" s="1"/>
  <c r="F445" i="44"/>
  <c r="F1025" i="44" s="1"/>
  <c r="I444" i="44"/>
  <c r="I1024" i="44" s="1"/>
  <c r="N443" i="44"/>
  <c r="N1023" i="44" s="1"/>
  <c r="S442" i="44"/>
  <c r="S1022" i="44" s="1"/>
  <c r="U441" i="44"/>
  <c r="U1021" i="44" s="1"/>
  <c r="W440" i="44"/>
  <c r="W1020" i="44" s="1"/>
  <c r="F440" i="44"/>
  <c r="F1020" i="44" s="1"/>
  <c r="I439" i="44"/>
  <c r="I1019" i="44" s="1"/>
  <c r="M438" i="44"/>
  <c r="M1018" i="44" s="1"/>
  <c r="R437" i="44"/>
  <c r="R1017" i="44" s="1"/>
  <c r="U436" i="44"/>
  <c r="U1016" i="44" s="1"/>
  <c r="T458" i="44"/>
  <c r="T1038" i="44" s="1"/>
  <c r="W457" i="44"/>
  <c r="W1037" i="44" s="1"/>
  <c r="F457" i="44"/>
  <c r="F1037" i="44" s="1"/>
  <c r="I456" i="44"/>
  <c r="I1036" i="44" s="1"/>
  <c r="R455" i="44"/>
  <c r="R1035" i="44" s="1"/>
  <c r="V454" i="44"/>
  <c r="V1034" i="44" s="1"/>
  <c r="F454" i="44"/>
  <c r="F1034" i="44" s="1"/>
  <c r="H453" i="44"/>
  <c r="H1033" i="44" s="1"/>
  <c r="M452" i="44"/>
  <c r="M1032" i="44" s="1"/>
  <c r="R451" i="44"/>
  <c r="R1031" i="44" s="1"/>
  <c r="U450" i="44"/>
  <c r="U1030" i="44" s="1"/>
  <c r="W449" i="44"/>
  <c r="W1029" i="44" s="1"/>
  <c r="H449" i="44"/>
  <c r="H1029" i="44" s="1"/>
  <c r="M448" i="44"/>
  <c r="M1028" i="44" s="1"/>
  <c r="R447" i="44"/>
  <c r="R1027" i="44" s="1"/>
  <c r="T446" i="44"/>
  <c r="T1026" i="44" s="1"/>
  <c r="V445" i="44"/>
  <c r="V1025" i="44" s="1"/>
  <c r="H444" i="44"/>
  <c r="H1024" i="44" s="1"/>
  <c r="M443" i="44"/>
  <c r="M1023" i="44" s="1"/>
  <c r="R442" i="44"/>
  <c r="R1022" i="44" s="1"/>
  <c r="T441" i="44"/>
  <c r="T1021" i="44" s="1"/>
  <c r="R1217" i="44" s="1"/>
  <c r="V440" i="44"/>
  <c r="V1020" i="44" s="1"/>
  <c r="X439" i="44"/>
  <c r="N459" i="44"/>
  <c r="N1039" i="44" s="1"/>
  <c r="S458" i="44"/>
  <c r="S1038" i="44" s="1"/>
  <c r="V457" i="44"/>
  <c r="V1037" i="44" s="1"/>
  <c r="T1233" i="44" s="1"/>
  <c r="X456" i="44"/>
  <c r="H456" i="44"/>
  <c r="H1036" i="44" s="1"/>
  <c r="U454" i="44"/>
  <c r="U1034" i="44" s="1"/>
  <c r="X453" i="44"/>
  <c r="G453" i="44"/>
  <c r="G1033" i="44" s="1"/>
  <c r="L452" i="44"/>
  <c r="L1032" i="44" s="1"/>
  <c r="P451" i="44"/>
  <c r="T450" i="44"/>
  <c r="T1030" i="44" s="1"/>
  <c r="V449" i="44"/>
  <c r="V1029" i="44" s="1"/>
  <c r="G449" i="44"/>
  <c r="G1029" i="44" s="1"/>
  <c r="L448" i="44"/>
  <c r="L1028" i="44" s="1"/>
  <c r="N447" i="44"/>
  <c r="N1027" i="44" s="1"/>
  <c r="S446" i="44"/>
  <c r="S1026" i="44" s="1"/>
  <c r="U445" i="44"/>
  <c r="U1025" i="44" s="1"/>
  <c r="S1221" i="44" s="1"/>
  <c r="X444" i="44"/>
  <c r="G444" i="44"/>
  <c r="G1024" i="44" s="1"/>
  <c r="L443" i="44"/>
  <c r="L1023" i="44" s="1"/>
  <c r="N442" i="44"/>
  <c r="N1022" i="44" s="1"/>
  <c r="S441" i="44"/>
  <c r="S1021" i="44" s="1"/>
  <c r="U440" i="44"/>
  <c r="U1020" i="44" s="1"/>
  <c r="W439" i="44"/>
  <c r="W1019" i="44" s="1"/>
  <c r="G439" i="44"/>
  <c r="G1019" i="44" s="1"/>
  <c r="I438" i="44"/>
  <c r="I1018" i="44" s="1"/>
  <c r="M459" i="44"/>
  <c r="M1039" i="44" s="1"/>
  <c r="R458" i="44"/>
  <c r="R1038" i="44" s="1"/>
  <c r="U457" i="44"/>
  <c r="U1037" i="44" s="1"/>
  <c r="W456" i="44"/>
  <c r="W1036" i="44" s="1"/>
  <c r="G456" i="44"/>
  <c r="G1036" i="44" s="1"/>
  <c r="T454" i="44"/>
  <c r="T1034" i="44" s="1"/>
  <c r="W453" i="44"/>
  <c r="W1033" i="44" s="1"/>
  <c r="F453" i="44"/>
  <c r="F1033" i="44" s="1"/>
  <c r="I452" i="44"/>
  <c r="I1032" i="44" s="1"/>
  <c r="N451" i="44"/>
  <c r="N1031" i="44" s="1"/>
  <c r="S450" i="44"/>
  <c r="S1030" i="44" s="1"/>
  <c r="U449" i="44"/>
  <c r="U1029" i="44" s="1"/>
  <c r="F449" i="44"/>
  <c r="F1029" i="44" s="1"/>
  <c r="I448" i="44"/>
  <c r="I1028" i="44" s="1"/>
  <c r="M447" i="44"/>
  <c r="M1027" i="44" s="1"/>
  <c r="R446" i="44"/>
  <c r="R1026" i="44" s="1"/>
  <c r="T445" i="44"/>
  <c r="T1025" i="44" s="1"/>
  <c r="R1221" i="44" s="1"/>
  <c r="W444" i="44"/>
  <c r="W1024" i="44" s="1"/>
  <c r="U1220" i="44" s="1"/>
  <c r="F444" i="44"/>
  <c r="I443" i="44"/>
  <c r="I1023" i="44" s="1"/>
  <c r="M442" i="44"/>
  <c r="M1022" i="44" s="1"/>
  <c r="R441" i="44"/>
  <c r="R1021" i="44" s="1"/>
  <c r="T440" i="44"/>
  <c r="T1020" i="44" s="1"/>
  <c r="L459" i="44"/>
  <c r="L1039" i="44" s="1"/>
  <c r="T457" i="44"/>
  <c r="T1037" i="44" s="1"/>
  <c r="V456" i="44"/>
  <c r="V1036" i="44" s="1"/>
  <c r="F456" i="44"/>
  <c r="F1036" i="44" s="1"/>
  <c r="N455" i="44"/>
  <c r="N1035" i="44" s="1"/>
  <c r="S454" i="44"/>
  <c r="S1034" i="44" s="1"/>
  <c r="V453" i="44"/>
  <c r="V1033" i="44" s="1"/>
  <c r="X452" i="44"/>
  <c r="H452" i="44"/>
  <c r="H1032" i="44" s="1"/>
  <c r="M451" i="44"/>
  <c r="M1031" i="44" s="1"/>
  <c r="R450" i="44"/>
  <c r="R1030" i="44" s="1"/>
  <c r="T449" i="44"/>
  <c r="T1029" i="44" s="1"/>
  <c r="H448" i="44"/>
  <c r="H1028" i="44" s="1"/>
  <c r="L447" i="44"/>
  <c r="N446" i="44"/>
  <c r="N1026" i="44" s="1"/>
  <c r="S445" i="44"/>
  <c r="S1025" i="44" s="1"/>
  <c r="V444" i="44"/>
  <c r="V1024" i="44" s="1"/>
  <c r="X443" i="44"/>
  <c r="H443" i="44"/>
  <c r="H1023" i="44" s="1"/>
  <c r="L442" i="44"/>
  <c r="I459" i="44"/>
  <c r="I1039" i="44" s="1"/>
  <c r="N458" i="44"/>
  <c r="N1038" i="44" s="1"/>
  <c r="S457" i="44"/>
  <c r="S1037" i="44" s="1"/>
  <c r="U456" i="44"/>
  <c r="U1036" i="44" s="1"/>
  <c r="M455" i="44"/>
  <c r="M1035" i="44" s="1"/>
  <c r="R454" i="44"/>
  <c r="R1034" i="44" s="1"/>
  <c r="U453" i="44"/>
  <c r="U1033" i="44" s="1"/>
  <c r="X459" i="44"/>
  <c r="H459" i="44"/>
  <c r="H1039" i="44" s="1"/>
  <c r="M458" i="44"/>
  <c r="M1038" i="44" s="1"/>
  <c r="R457" i="44"/>
  <c r="R1037" i="44" s="1"/>
  <c r="T456" i="44"/>
  <c r="T1036" i="44" s="1"/>
  <c r="L455" i="44"/>
  <c r="L1035" i="44" s="1"/>
  <c r="T453" i="44"/>
  <c r="T1033" i="44" s="1"/>
  <c r="V452" i="44"/>
  <c r="V1032" i="44" s="1"/>
  <c r="F452" i="44"/>
  <c r="F1032" i="44" s="1"/>
  <c r="I451" i="44"/>
  <c r="I1031" i="44" s="1"/>
  <c r="M450" i="44"/>
  <c r="M1030" i="44" s="1"/>
  <c r="R449" i="44"/>
  <c r="R1029" i="44" s="1"/>
  <c r="W448" i="44"/>
  <c r="W1028" i="44" s="1"/>
  <c r="F448" i="44"/>
  <c r="F1028" i="44" s="1"/>
  <c r="H447" i="44"/>
  <c r="H1027" i="44" s="1"/>
  <c r="L446" i="44"/>
  <c r="N445" i="44"/>
  <c r="N1025" i="44" s="1"/>
  <c r="T444" i="44"/>
  <c r="T1024" i="44" s="1"/>
  <c r="V443" i="44"/>
  <c r="V1023" i="44" s="1"/>
  <c r="F443" i="44"/>
  <c r="F1023" i="44" s="1"/>
  <c r="H442" i="44"/>
  <c r="H1022" i="44" s="1"/>
  <c r="L441" i="44"/>
  <c r="L1021" i="44" s="1"/>
  <c r="N440" i="44"/>
  <c r="N1020" i="44" s="1"/>
  <c r="S439" i="44"/>
  <c r="S1019" i="44" s="1"/>
  <c r="V438" i="44"/>
  <c r="V1018" i="44" s="1"/>
  <c r="X437" i="44"/>
  <c r="H437" i="44"/>
  <c r="H1017" i="44" s="1"/>
  <c r="L436" i="44"/>
  <c r="X455" i="44"/>
  <c r="S449" i="44"/>
  <c r="S1029" i="44" s="1"/>
  <c r="U444" i="44"/>
  <c r="U1024" i="44" s="1"/>
  <c r="R440" i="44"/>
  <c r="R1020" i="44" s="1"/>
  <c r="U438" i="44"/>
  <c r="U1018" i="44" s="1"/>
  <c r="M437" i="44"/>
  <c r="M1017" i="44" s="1"/>
  <c r="G436" i="44"/>
  <c r="G1016" i="44" s="1"/>
  <c r="I455" i="44"/>
  <c r="I1035" i="44" s="1"/>
  <c r="S444" i="44"/>
  <c r="S1024" i="44" s="1"/>
  <c r="M440" i="44"/>
  <c r="R438" i="44"/>
  <c r="R1018" i="44" s="1"/>
  <c r="L437" i="44"/>
  <c r="F436" i="44"/>
  <c r="F1016" i="44" s="1"/>
  <c r="N454" i="44"/>
  <c r="X448" i="44"/>
  <c r="W443" i="44"/>
  <c r="W1023" i="44" s="1"/>
  <c r="V439" i="44"/>
  <c r="V1019" i="44" s="1"/>
  <c r="N438" i="44"/>
  <c r="N1018" i="44" s="1"/>
  <c r="I437" i="44"/>
  <c r="I1017" i="44" s="1"/>
  <c r="S453" i="44"/>
  <c r="S1033" i="44" s="1"/>
  <c r="V448" i="44"/>
  <c r="V1028" i="44" s="1"/>
  <c r="U443" i="44"/>
  <c r="U1023" i="44" s="1"/>
  <c r="U439" i="44"/>
  <c r="U1019" i="44" s="1"/>
  <c r="L438" i="44"/>
  <c r="G437" i="44"/>
  <c r="G1017" i="44" s="1"/>
  <c r="W452" i="44"/>
  <c r="W1032" i="44" s="1"/>
  <c r="G448" i="44"/>
  <c r="G1028" i="44" s="1"/>
  <c r="G443" i="44"/>
  <c r="G1023" i="44" s="1"/>
  <c r="T439" i="44"/>
  <c r="T1019" i="44" s="1"/>
  <c r="H438" i="44"/>
  <c r="H1018" i="44" s="1"/>
  <c r="W436" i="44"/>
  <c r="W1016" i="44" s="1"/>
  <c r="U452" i="44"/>
  <c r="U1032" i="44" s="1"/>
  <c r="X447" i="44"/>
  <c r="X442" i="44"/>
  <c r="R439" i="44"/>
  <c r="R1019" i="44" s="1"/>
  <c r="G438" i="44"/>
  <c r="G1018" i="44" s="1"/>
  <c r="V436" i="44"/>
  <c r="V1016" i="44" s="1"/>
  <c r="G452" i="44"/>
  <c r="G1032" i="44" s="1"/>
  <c r="I447" i="44"/>
  <c r="I1027" i="44" s="1"/>
  <c r="I442" i="44"/>
  <c r="I1022" i="44" s="1"/>
  <c r="M439" i="44"/>
  <c r="M1019" i="44" s="1"/>
  <c r="F438" i="44"/>
  <c r="F1018" i="44" s="1"/>
  <c r="T436" i="44"/>
  <c r="T1016" i="44" s="1"/>
  <c r="W459" i="44"/>
  <c r="W1039" i="44" s="1"/>
  <c r="X451" i="44"/>
  <c r="G447" i="44"/>
  <c r="G1027" i="44" s="1"/>
  <c r="G442" i="44"/>
  <c r="G1022" i="44" s="1"/>
  <c r="L439" i="44"/>
  <c r="W437" i="44"/>
  <c r="W1017" i="44" s="1"/>
  <c r="S436" i="44"/>
  <c r="S1016" i="44" s="1"/>
  <c r="G459" i="44"/>
  <c r="G1039" i="44" s="1"/>
  <c r="L451" i="44"/>
  <c r="L1031" i="44" s="1"/>
  <c r="M446" i="44"/>
  <c r="M1026" i="44" s="1"/>
  <c r="N441" i="44"/>
  <c r="N1021" i="44" s="1"/>
  <c r="H439" i="44"/>
  <c r="H1019" i="44" s="1"/>
  <c r="T437" i="44"/>
  <c r="T1017" i="44" s="1"/>
  <c r="R436" i="44"/>
  <c r="R1016" i="44" s="1"/>
  <c r="L458" i="44"/>
  <c r="L1038" i="44" s="1"/>
  <c r="H451" i="44"/>
  <c r="H1031" i="44" s="1"/>
  <c r="I446" i="44"/>
  <c r="I1026" i="44" s="1"/>
  <c r="M441" i="44"/>
  <c r="M1021" i="44" s="1"/>
  <c r="F439" i="44"/>
  <c r="F1019" i="44" s="1"/>
  <c r="S437" i="44"/>
  <c r="S1017" i="44" s="1"/>
  <c r="N436" i="44"/>
  <c r="N1016" i="44" s="1"/>
  <c r="N457" i="44"/>
  <c r="N1037" i="44" s="1"/>
  <c r="N450" i="44"/>
  <c r="N1030" i="44" s="1"/>
  <c r="R445" i="44"/>
  <c r="R1025" i="44" s="1"/>
  <c r="P1221" i="44" s="1"/>
  <c r="I441" i="44"/>
  <c r="I1021" i="44" s="1"/>
  <c r="X438" i="44"/>
  <c r="M436" i="44"/>
  <c r="M1016" i="44" s="1"/>
  <c r="I436" i="44"/>
  <c r="I1016" i="44" s="1"/>
  <c r="S456" i="44"/>
  <c r="S1036" i="44" s="1"/>
  <c r="L450" i="44"/>
  <c r="L1030" i="44" s="1"/>
  <c r="M445" i="44"/>
  <c r="M1025" i="44" s="1"/>
  <c r="S440" i="44"/>
  <c r="S1020" i="44" s="1"/>
  <c r="W438" i="44"/>
  <c r="W1018" i="44" s="1"/>
  <c r="N437" i="44"/>
  <c r="N1017" i="44" s="1"/>
  <c r="W171" i="44"/>
  <c r="W751" i="44" s="1"/>
  <c r="F171" i="44"/>
  <c r="F751" i="44" s="1"/>
  <c r="N171" i="44"/>
  <c r="N751" i="44" s="1"/>
  <c r="R170" i="44"/>
  <c r="R750" i="44" s="1"/>
  <c r="U169" i="44"/>
  <c r="U749" i="44" s="1"/>
  <c r="X168" i="44"/>
  <c r="H168" i="44"/>
  <c r="H748" i="44" s="1"/>
  <c r="L167" i="44"/>
  <c r="N166" i="44"/>
  <c r="N746" i="44" s="1"/>
  <c r="U165" i="44"/>
  <c r="U745" i="44" s="1"/>
  <c r="W164" i="44"/>
  <c r="W744" i="44" s="1"/>
  <c r="F164" i="44"/>
  <c r="F744" i="44" s="1"/>
  <c r="H163" i="44"/>
  <c r="H743" i="44" s="1"/>
  <c r="N162" i="44"/>
  <c r="N742" i="44" s="1"/>
  <c r="S161" i="44"/>
  <c r="S741" i="44" s="1"/>
  <c r="V160" i="44"/>
  <c r="V740" i="44" s="1"/>
  <c r="X159" i="44"/>
  <c r="L171" i="44"/>
  <c r="N170" i="44"/>
  <c r="N750" i="44" s="1"/>
  <c r="I171" i="44"/>
  <c r="I751" i="44" s="1"/>
  <c r="H171" i="44"/>
  <c r="H751" i="44" s="1"/>
  <c r="L170" i="44"/>
  <c r="L750" i="44" s="1"/>
  <c r="N169" i="44"/>
  <c r="N749" i="44" s="1"/>
  <c r="T168" i="44"/>
  <c r="T748" i="44" s="1"/>
  <c r="W167" i="44"/>
  <c r="W747" i="44" s="1"/>
  <c r="F167" i="44"/>
  <c r="F747" i="44" s="1"/>
  <c r="X171" i="44"/>
  <c r="S171" i="44"/>
  <c r="S751" i="44" s="1"/>
  <c r="T170" i="44"/>
  <c r="T750" i="44" s="1"/>
  <c r="W169" i="44"/>
  <c r="W749" i="44" s="1"/>
  <c r="F169" i="44"/>
  <c r="F749" i="44" s="1"/>
  <c r="L168" i="44"/>
  <c r="L748" i="44" s="1"/>
  <c r="N167" i="44"/>
  <c r="N747" i="44" s="1"/>
  <c r="S166" i="44"/>
  <c r="S746" i="44" s="1"/>
  <c r="W165" i="44"/>
  <c r="W745" i="44" s="1"/>
  <c r="F165" i="44"/>
  <c r="F745" i="44" s="1"/>
  <c r="H164" i="44"/>
  <c r="H744" i="44" s="1"/>
  <c r="L163" i="44"/>
  <c r="U161" i="44"/>
  <c r="U741" i="44" s="1"/>
  <c r="X160" i="44"/>
  <c r="G160" i="44"/>
  <c r="G740" i="44" s="1"/>
  <c r="I159" i="44"/>
  <c r="I739" i="44" s="1"/>
  <c r="M158" i="44"/>
  <c r="M738" i="44" s="1"/>
  <c r="R157" i="44"/>
  <c r="R737" i="44" s="1"/>
  <c r="T156" i="44"/>
  <c r="T736" i="44" s="1"/>
  <c r="L155" i="44"/>
  <c r="L735" i="44" s="1"/>
  <c r="U153" i="44"/>
  <c r="U733" i="44" s="1"/>
  <c r="X152" i="44"/>
  <c r="G152" i="44"/>
  <c r="G732" i="44" s="1"/>
  <c r="M151" i="44"/>
  <c r="M731" i="44" s="1"/>
  <c r="R150" i="44"/>
  <c r="R730" i="44" s="1"/>
  <c r="T149" i="44"/>
  <c r="T729" i="44" s="1"/>
  <c r="W148" i="44"/>
  <c r="W728" i="44" s="1"/>
  <c r="F148" i="44"/>
  <c r="F728" i="44" s="1"/>
  <c r="S170" i="44"/>
  <c r="S750" i="44" s="1"/>
  <c r="M169" i="44"/>
  <c r="N168" i="44"/>
  <c r="N748" i="44" s="1"/>
  <c r="I167" i="44"/>
  <c r="I747" i="44" s="1"/>
  <c r="H166" i="44"/>
  <c r="H746" i="44" s="1"/>
  <c r="L165" i="44"/>
  <c r="L164" i="44"/>
  <c r="L744" i="44" s="1"/>
  <c r="I163" i="44"/>
  <c r="I743" i="44" s="1"/>
  <c r="L162" i="44"/>
  <c r="L742" i="44" s="1"/>
  <c r="M161" i="44"/>
  <c r="M741" i="44" s="1"/>
  <c r="M160" i="44"/>
  <c r="M740" i="44" s="1"/>
  <c r="M159" i="44"/>
  <c r="N158" i="44"/>
  <c r="N738" i="44" s="1"/>
  <c r="N157" i="44"/>
  <c r="N737" i="44" s="1"/>
  <c r="R156" i="44"/>
  <c r="R736" i="44" s="1"/>
  <c r="V155" i="44"/>
  <c r="V735" i="44" s="1"/>
  <c r="F155" i="44"/>
  <c r="F735" i="44" s="1"/>
  <c r="I154" i="44"/>
  <c r="I734" i="44" s="1"/>
  <c r="M153" i="44"/>
  <c r="M733" i="44" s="1"/>
  <c r="N152" i="44"/>
  <c r="N732" i="44" s="1"/>
  <c r="R151" i="44"/>
  <c r="R731" i="44" s="1"/>
  <c r="U150" i="44"/>
  <c r="U730" i="44" s="1"/>
  <c r="V149" i="44"/>
  <c r="V729" i="44" s="1"/>
  <c r="X148" i="44"/>
  <c r="L169" i="44"/>
  <c r="L749" i="44" s="1"/>
  <c r="M168" i="44"/>
  <c r="M748" i="44" s="1"/>
  <c r="H167" i="44"/>
  <c r="H747" i="44" s="1"/>
  <c r="G166" i="44"/>
  <c r="G746" i="44" s="1"/>
  <c r="I165" i="44"/>
  <c r="I745" i="44" s="1"/>
  <c r="I164" i="44"/>
  <c r="I744" i="44" s="1"/>
  <c r="G163" i="44"/>
  <c r="G743" i="44" s="1"/>
  <c r="I162" i="44"/>
  <c r="I742" i="44" s="1"/>
  <c r="L161" i="44"/>
  <c r="L741" i="44" s="1"/>
  <c r="L160" i="44"/>
  <c r="L740" i="44" s="1"/>
  <c r="L159" i="44"/>
  <c r="L739" i="44" s="1"/>
  <c r="L158" i="44"/>
  <c r="M157" i="44"/>
  <c r="M737" i="44" s="1"/>
  <c r="U155" i="44"/>
  <c r="U735" i="44" s="1"/>
  <c r="X154" i="44"/>
  <c r="H154" i="44"/>
  <c r="H734" i="44" s="1"/>
  <c r="L153" i="44"/>
  <c r="L733" i="44" s="1"/>
  <c r="M152" i="44"/>
  <c r="T150" i="44"/>
  <c r="T730" i="44" s="1"/>
  <c r="U149" i="44"/>
  <c r="U729" i="44" s="1"/>
  <c r="V148" i="44"/>
  <c r="V728" i="44" s="1"/>
  <c r="V171" i="44"/>
  <c r="V751" i="44" s="1"/>
  <c r="M170" i="44"/>
  <c r="M750" i="44" s="1"/>
  <c r="I169" i="44"/>
  <c r="I749" i="44" s="1"/>
  <c r="I168" i="44"/>
  <c r="I748" i="44" s="1"/>
  <c r="G167" i="44"/>
  <c r="G747" i="44" s="1"/>
  <c r="F166" i="44"/>
  <c r="F746" i="44" s="1"/>
  <c r="H165" i="44"/>
  <c r="H745" i="44" s="1"/>
  <c r="G164" i="44"/>
  <c r="G744" i="44" s="1"/>
  <c r="F163" i="44"/>
  <c r="F743" i="44" s="1"/>
  <c r="H162" i="44"/>
  <c r="H742" i="44" s="1"/>
  <c r="I161" i="44"/>
  <c r="I741" i="44" s="1"/>
  <c r="I160" i="44"/>
  <c r="I740" i="44" s="1"/>
  <c r="H159" i="44"/>
  <c r="H739" i="44" s="1"/>
  <c r="I158" i="44"/>
  <c r="I738" i="44" s="1"/>
  <c r="L157" i="44"/>
  <c r="T155" i="44"/>
  <c r="T735" i="44" s="1"/>
  <c r="W154" i="44"/>
  <c r="W734" i="44" s="1"/>
  <c r="G154" i="44"/>
  <c r="G734" i="44" s="1"/>
  <c r="I153" i="44"/>
  <c r="I733" i="44" s="1"/>
  <c r="L152" i="44"/>
  <c r="L732" i="44" s="1"/>
  <c r="S150" i="44"/>
  <c r="S730" i="44" s="1"/>
  <c r="S149" i="44"/>
  <c r="S729" i="44" s="1"/>
  <c r="U148" i="44"/>
  <c r="U728" i="44" s="1"/>
  <c r="U171" i="44"/>
  <c r="U751" i="44" s="1"/>
  <c r="I170" i="44"/>
  <c r="I750" i="44" s="1"/>
  <c r="H169" i="44"/>
  <c r="H749" i="44" s="1"/>
  <c r="G168" i="44"/>
  <c r="G748" i="44" s="1"/>
  <c r="X166" i="44"/>
  <c r="G165" i="44"/>
  <c r="G745" i="44" s="1"/>
  <c r="X163" i="44"/>
  <c r="X162" i="44"/>
  <c r="G162" i="44"/>
  <c r="G742" i="44" s="1"/>
  <c r="H161" i="44"/>
  <c r="H741" i="44" s="1"/>
  <c r="H160" i="44"/>
  <c r="H740" i="44" s="1"/>
  <c r="G159" i="44"/>
  <c r="G739" i="44" s="1"/>
  <c r="H158" i="44"/>
  <c r="H738" i="44" s="1"/>
  <c r="I157" i="44"/>
  <c r="I737" i="44" s="1"/>
  <c r="N156" i="44"/>
  <c r="N736" i="44" s="1"/>
  <c r="S155" i="44"/>
  <c r="S735" i="44" s="1"/>
  <c r="V154" i="44"/>
  <c r="V734" i="44" s="1"/>
  <c r="F154" i="44"/>
  <c r="F734" i="44" s="1"/>
  <c r="H153" i="44"/>
  <c r="H733" i="44" s="1"/>
  <c r="I152" i="44"/>
  <c r="I732" i="44" s="1"/>
  <c r="N151" i="44"/>
  <c r="N731" i="44" s="1"/>
  <c r="N150" i="44"/>
  <c r="R149" i="44"/>
  <c r="R729" i="44" s="1"/>
  <c r="T148" i="44"/>
  <c r="T728" i="44" s="1"/>
  <c r="T171" i="44"/>
  <c r="T751" i="44" s="1"/>
  <c r="H170" i="44"/>
  <c r="H750" i="44" s="1"/>
  <c r="G169" i="44"/>
  <c r="G749" i="44" s="1"/>
  <c r="F168" i="44"/>
  <c r="F748" i="44" s="1"/>
  <c r="W166" i="44"/>
  <c r="W746" i="44" s="1"/>
  <c r="X164" i="44"/>
  <c r="W163" i="44"/>
  <c r="W743" i="44" s="1"/>
  <c r="W162" i="44"/>
  <c r="W742" i="44" s="1"/>
  <c r="F162" i="44"/>
  <c r="F742" i="44" s="1"/>
  <c r="G161" i="44"/>
  <c r="G741" i="44" s="1"/>
  <c r="F160" i="44"/>
  <c r="F740" i="44" s="1"/>
  <c r="F159" i="44"/>
  <c r="G158" i="44"/>
  <c r="G738" i="44" s="1"/>
  <c r="H157" i="44"/>
  <c r="H737" i="44" s="1"/>
  <c r="M156" i="44"/>
  <c r="M736" i="44" s="1"/>
  <c r="R155" i="44"/>
  <c r="R735" i="44" s="1"/>
  <c r="U154" i="44"/>
  <c r="U734" i="44" s="1"/>
  <c r="X153" i="44"/>
  <c r="G153" i="44"/>
  <c r="G733" i="44" s="1"/>
  <c r="H152" i="44"/>
  <c r="H732" i="44" s="1"/>
  <c r="L151" i="44"/>
  <c r="L731" i="44" s="1"/>
  <c r="M150" i="44"/>
  <c r="M730" i="44" s="1"/>
  <c r="N149" i="44"/>
  <c r="N729" i="44" s="1"/>
  <c r="S148" i="44"/>
  <c r="S728" i="44" s="1"/>
  <c r="R171" i="44"/>
  <c r="R751" i="44" s="1"/>
  <c r="G170" i="44"/>
  <c r="G750" i="44" s="1"/>
  <c r="X167" i="44"/>
  <c r="V166" i="44"/>
  <c r="V746" i="44" s="1"/>
  <c r="X165" i="44"/>
  <c r="V164" i="44"/>
  <c r="V744" i="44" s="1"/>
  <c r="V163" i="44"/>
  <c r="V743" i="44" s="1"/>
  <c r="V162" i="44"/>
  <c r="V742" i="44" s="1"/>
  <c r="X161" i="44"/>
  <c r="F161" i="44"/>
  <c r="F741" i="44" s="1"/>
  <c r="W159" i="44"/>
  <c r="W739" i="44" s="1"/>
  <c r="X158" i="44"/>
  <c r="F158" i="44"/>
  <c r="F738" i="44" s="1"/>
  <c r="G157" i="44"/>
  <c r="G737" i="44" s="1"/>
  <c r="L156" i="44"/>
  <c r="L736" i="44" s="1"/>
  <c r="T154" i="44"/>
  <c r="T734" i="44" s="1"/>
  <c r="W153" i="44"/>
  <c r="W733" i="44" s="1"/>
  <c r="F153" i="44"/>
  <c r="F733" i="44" s="1"/>
  <c r="F152" i="44"/>
  <c r="F732" i="44" s="1"/>
  <c r="I151" i="44"/>
  <c r="I731" i="44" s="1"/>
  <c r="L150" i="44"/>
  <c r="L730" i="44" s="1"/>
  <c r="M149" i="44"/>
  <c r="M729" i="44" s="1"/>
  <c r="R148" i="44"/>
  <c r="R728" i="44" s="1"/>
  <c r="M171" i="44"/>
  <c r="M751" i="44" s="1"/>
  <c r="F170" i="44"/>
  <c r="F750" i="44" s="1"/>
  <c r="W168" i="44"/>
  <c r="W748" i="44" s="1"/>
  <c r="V167" i="44"/>
  <c r="V747" i="44" s="1"/>
  <c r="U166" i="44"/>
  <c r="U746" i="44" s="1"/>
  <c r="V165" i="44"/>
  <c r="V745" i="44" s="1"/>
  <c r="U164" i="44"/>
  <c r="U744" i="44" s="1"/>
  <c r="U163" i="44"/>
  <c r="U743" i="44" s="1"/>
  <c r="U162" i="44"/>
  <c r="U742" i="44" s="1"/>
  <c r="W161" i="44"/>
  <c r="W741" i="44" s="1"/>
  <c r="W160" i="44"/>
  <c r="W740" i="44" s="1"/>
  <c r="V159" i="44"/>
  <c r="V739" i="44" s="1"/>
  <c r="W158" i="44"/>
  <c r="W738" i="44" s="1"/>
  <c r="X157" i="44"/>
  <c r="F157" i="44"/>
  <c r="F737" i="44" s="1"/>
  <c r="I156" i="44"/>
  <c r="I736" i="44" s="1"/>
  <c r="S154" i="44"/>
  <c r="S734" i="44" s="1"/>
  <c r="V153" i="44"/>
  <c r="V733" i="44" s="1"/>
  <c r="W152" i="44"/>
  <c r="W732" i="44" s="1"/>
  <c r="X151" i="44"/>
  <c r="H151" i="44"/>
  <c r="H731" i="44" s="1"/>
  <c r="I150" i="44"/>
  <c r="I730" i="44" s="1"/>
  <c r="L149" i="44"/>
  <c r="N148" i="44"/>
  <c r="N728" i="44" s="1"/>
  <c r="G171" i="44"/>
  <c r="G751" i="44" s="1"/>
  <c r="X169" i="44"/>
  <c r="V168" i="44"/>
  <c r="V748" i="44" s="1"/>
  <c r="U167" i="44"/>
  <c r="U747" i="44" s="1"/>
  <c r="T166" i="44"/>
  <c r="T746" i="44" s="1"/>
  <c r="T165" i="44"/>
  <c r="T745" i="44" s="1"/>
  <c r="T164" i="44"/>
  <c r="T744" i="44" s="1"/>
  <c r="T163" i="44"/>
  <c r="T743" i="44" s="1"/>
  <c r="T162" i="44"/>
  <c r="T742" i="44" s="1"/>
  <c r="V161" i="44"/>
  <c r="V741" i="44" s="1"/>
  <c r="U160" i="44"/>
  <c r="U740" i="44" s="1"/>
  <c r="U159" i="44"/>
  <c r="U739" i="44" s="1"/>
  <c r="V158" i="44"/>
  <c r="V738" i="44" s="1"/>
  <c r="W157" i="44"/>
  <c r="W737" i="44" s="1"/>
  <c r="X156" i="44"/>
  <c r="H156" i="44"/>
  <c r="H736" i="44" s="1"/>
  <c r="N155" i="44"/>
  <c r="N735" i="44" s="1"/>
  <c r="R154" i="44"/>
  <c r="R734" i="44" s="1"/>
  <c r="T153" i="44"/>
  <c r="T733" i="44" s="1"/>
  <c r="V152" i="44"/>
  <c r="V732" i="44" s="1"/>
  <c r="W151" i="44"/>
  <c r="W731" i="44" s="1"/>
  <c r="G151" i="44"/>
  <c r="G731" i="44" s="1"/>
  <c r="H150" i="44"/>
  <c r="H730" i="44" s="1"/>
  <c r="I149" i="44"/>
  <c r="I729" i="44" s="1"/>
  <c r="M148" i="44"/>
  <c r="M728" i="44" s="1"/>
  <c r="X170" i="44"/>
  <c r="V169" i="44"/>
  <c r="V749" i="44" s="1"/>
  <c r="U168" i="44"/>
  <c r="U748" i="44" s="1"/>
  <c r="T167" i="44"/>
  <c r="T747" i="44" s="1"/>
  <c r="R166" i="44"/>
  <c r="R746" i="44" s="1"/>
  <c r="S165" i="44"/>
  <c r="S745" i="44" s="1"/>
  <c r="S164" i="44"/>
  <c r="S744" i="44" s="1"/>
  <c r="S163" i="44"/>
  <c r="S743" i="44" s="1"/>
  <c r="S162" i="44"/>
  <c r="S742" i="44" s="1"/>
  <c r="T161" i="44"/>
  <c r="T741" i="44" s="1"/>
  <c r="T160" i="44"/>
  <c r="T740" i="44" s="1"/>
  <c r="T159" i="44"/>
  <c r="T739" i="44" s="1"/>
  <c r="U158" i="44"/>
  <c r="U738" i="44" s="1"/>
  <c r="V157" i="44"/>
  <c r="V737" i="44" s="1"/>
  <c r="W156" i="44"/>
  <c r="W736" i="44" s="1"/>
  <c r="G156" i="44"/>
  <c r="G736" i="44" s="1"/>
  <c r="M155" i="44"/>
  <c r="M735" i="44" s="1"/>
  <c r="S153" i="44"/>
  <c r="S733" i="44" s="1"/>
  <c r="U152" i="44"/>
  <c r="U732" i="44" s="1"/>
  <c r="V151" i="44"/>
  <c r="V731" i="44" s="1"/>
  <c r="F151" i="44"/>
  <c r="F731" i="44" s="1"/>
  <c r="G150" i="44"/>
  <c r="G730" i="44" s="1"/>
  <c r="H149" i="44"/>
  <c r="H729" i="44" s="1"/>
  <c r="L148" i="44"/>
  <c r="W170" i="44"/>
  <c r="W750" i="44" s="1"/>
  <c r="T169" i="44"/>
  <c r="T749" i="44" s="1"/>
  <c r="S168" i="44"/>
  <c r="S748" i="44" s="1"/>
  <c r="S167" i="44"/>
  <c r="S747" i="44" s="1"/>
  <c r="M166" i="44"/>
  <c r="M746" i="44" s="1"/>
  <c r="R165" i="44"/>
  <c r="R745" i="44" s="1"/>
  <c r="R164" i="44"/>
  <c r="R744" i="44" s="1"/>
  <c r="R163" i="44"/>
  <c r="R743" i="44" s="1"/>
  <c r="R162" i="44"/>
  <c r="R742" i="44" s="1"/>
  <c r="R161" i="44"/>
  <c r="R741" i="44" s="1"/>
  <c r="S160" i="44"/>
  <c r="S740" i="44" s="1"/>
  <c r="S159" i="44"/>
  <c r="S739" i="44" s="1"/>
  <c r="T158" i="44"/>
  <c r="T738" i="44" s="1"/>
  <c r="U157" i="44"/>
  <c r="U737" i="44" s="1"/>
  <c r="V156" i="44"/>
  <c r="V736" i="44" s="1"/>
  <c r="F156" i="44"/>
  <c r="F736" i="44" s="1"/>
  <c r="I155" i="44"/>
  <c r="I735" i="44" s="1"/>
  <c r="N154" i="44"/>
  <c r="N734" i="44" s="1"/>
  <c r="R153" i="44"/>
  <c r="R733" i="44" s="1"/>
  <c r="T152" i="44"/>
  <c r="T732" i="44" s="1"/>
  <c r="U151" i="44"/>
  <c r="U731" i="44" s="1"/>
  <c r="X150" i="44"/>
  <c r="F150" i="44"/>
  <c r="G149" i="44"/>
  <c r="G729" i="44" s="1"/>
  <c r="I148" i="44"/>
  <c r="I728" i="44" s="1"/>
  <c r="V170" i="44"/>
  <c r="V750" i="44" s="1"/>
  <c r="S169" i="44"/>
  <c r="S749" i="44" s="1"/>
  <c r="R168" i="44"/>
  <c r="R748" i="44" s="1"/>
  <c r="R167" i="44"/>
  <c r="R747" i="44" s="1"/>
  <c r="L166" i="44"/>
  <c r="N165" i="44"/>
  <c r="N745" i="44" s="1"/>
  <c r="N164" i="44"/>
  <c r="N744" i="44" s="1"/>
  <c r="N163" i="44"/>
  <c r="N743" i="44" s="1"/>
  <c r="P162" i="44"/>
  <c r="P161" i="44"/>
  <c r="R160" i="44"/>
  <c r="R740" i="44" s="1"/>
  <c r="R159" i="44"/>
  <c r="R739" i="44" s="1"/>
  <c r="S158" i="44"/>
  <c r="S738" i="44" s="1"/>
  <c r="T157" i="44"/>
  <c r="T737" i="44" s="1"/>
  <c r="U156" i="44"/>
  <c r="U736" i="44" s="1"/>
  <c r="X155" i="44"/>
  <c r="H155" i="44"/>
  <c r="H735" i="44" s="1"/>
  <c r="M154" i="44"/>
  <c r="M734" i="44" s="1"/>
  <c r="P153" i="44"/>
  <c r="S152" i="44"/>
  <c r="S732" i="44" s="1"/>
  <c r="T151" i="44"/>
  <c r="T731" i="44" s="1"/>
  <c r="W150" i="44"/>
  <c r="W730" i="44" s="1"/>
  <c r="X149" i="44"/>
  <c r="F149" i="44"/>
  <c r="F729" i="44" s="1"/>
  <c r="H148" i="44"/>
  <c r="H728" i="44" s="1"/>
  <c r="R169" i="44"/>
  <c r="R749" i="44" s="1"/>
  <c r="S157" i="44"/>
  <c r="S737" i="44" s="1"/>
  <c r="P168" i="44"/>
  <c r="S156" i="44"/>
  <c r="S736" i="44" s="1"/>
  <c r="M167" i="44"/>
  <c r="M747" i="44" s="1"/>
  <c r="W155" i="44"/>
  <c r="W735" i="44" s="1"/>
  <c r="I166" i="44"/>
  <c r="I746" i="44" s="1"/>
  <c r="G155" i="44"/>
  <c r="G735" i="44" s="1"/>
  <c r="M165" i="44"/>
  <c r="M745" i="44" s="1"/>
  <c r="L154" i="44"/>
  <c r="L734" i="44" s="1"/>
  <c r="M164" i="44"/>
  <c r="M744" i="44" s="1"/>
  <c r="N153" i="44"/>
  <c r="N733" i="44" s="1"/>
  <c r="M163" i="44"/>
  <c r="M743" i="44" s="1"/>
  <c r="R152" i="44"/>
  <c r="R732" i="44" s="1"/>
  <c r="M162" i="44"/>
  <c r="M742" i="44" s="1"/>
  <c r="S151" i="44"/>
  <c r="S731" i="44" s="1"/>
  <c r="N161" i="44"/>
  <c r="N741" i="44" s="1"/>
  <c r="V150" i="44"/>
  <c r="V730" i="44" s="1"/>
  <c r="N160" i="44"/>
  <c r="W149" i="44"/>
  <c r="W729" i="44" s="1"/>
  <c r="N159" i="44"/>
  <c r="N739" i="44" s="1"/>
  <c r="U170" i="44"/>
  <c r="U750" i="44" s="1"/>
  <c r="R158" i="44"/>
  <c r="R738" i="44" s="1"/>
  <c r="G148" i="44"/>
  <c r="G728" i="44" s="1"/>
  <c r="P450" i="44"/>
  <c r="P441" i="44"/>
  <c r="K5" i="44"/>
  <c r="K22" i="44"/>
  <c r="K13" i="44"/>
  <c r="K14" i="44"/>
  <c r="K308" i="44"/>
  <c r="K313" i="44"/>
  <c r="K300" i="44"/>
  <c r="X315" i="44"/>
  <c r="G315" i="44"/>
  <c r="G895" i="44" s="1"/>
  <c r="I314" i="44"/>
  <c r="I894" i="44" s="1"/>
  <c r="P313" i="44"/>
  <c r="T312" i="44"/>
  <c r="T892" i="44" s="1"/>
  <c r="X311" i="44"/>
  <c r="G311" i="44"/>
  <c r="G891" i="44" s="1"/>
  <c r="I310" i="44"/>
  <c r="I890" i="44" s="1"/>
  <c r="M309" i="44"/>
  <c r="M889" i="44" s="1"/>
  <c r="R308" i="44"/>
  <c r="R888" i="44" s="1"/>
  <c r="T307" i="44"/>
  <c r="T887" i="44" s="1"/>
  <c r="V306" i="44"/>
  <c r="V886" i="44" s="1"/>
  <c r="F306" i="44"/>
  <c r="F886" i="44" s="1"/>
  <c r="L305" i="44"/>
  <c r="L885" i="44" s="1"/>
  <c r="N304" i="44"/>
  <c r="N884" i="44" s="1"/>
  <c r="S303" i="44"/>
  <c r="S883" i="44" s="1"/>
  <c r="W302" i="44"/>
  <c r="W882" i="44" s="1"/>
  <c r="I302" i="44"/>
  <c r="I882" i="44" s="1"/>
  <c r="N301" i="44"/>
  <c r="S300" i="44"/>
  <c r="S880" i="44" s="1"/>
  <c r="U299" i="44"/>
  <c r="U879" i="44" s="1"/>
  <c r="H315" i="44"/>
  <c r="H895" i="44" s="1"/>
  <c r="H314" i="44"/>
  <c r="H894" i="44" s="1"/>
  <c r="M313" i="44"/>
  <c r="M893" i="44" s="1"/>
  <c r="P312" i="44"/>
  <c r="T311" i="44"/>
  <c r="T891" i="44" s="1"/>
  <c r="U310" i="44"/>
  <c r="U890" i="44" s="1"/>
  <c r="V309" i="44"/>
  <c r="V889" i="44" s="1"/>
  <c r="W308" i="44"/>
  <c r="W888" i="44" s="1"/>
  <c r="X307" i="44"/>
  <c r="F307" i="44"/>
  <c r="F887" i="44" s="1"/>
  <c r="H306" i="44"/>
  <c r="H886" i="44" s="1"/>
  <c r="M305" i="44"/>
  <c r="M885" i="44" s="1"/>
  <c r="M304" i="44"/>
  <c r="M884" i="44" s="1"/>
  <c r="T302" i="44"/>
  <c r="T882" i="44" s="1"/>
  <c r="X301" i="44"/>
  <c r="G301" i="44"/>
  <c r="G881" i="44" s="1"/>
  <c r="H300" i="44"/>
  <c r="H880" i="44" s="1"/>
  <c r="I299" i="44"/>
  <c r="I879" i="44" s="1"/>
  <c r="M298" i="44"/>
  <c r="M878" i="44" s="1"/>
  <c r="R297" i="44"/>
  <c r="R877" i="44" s="1"/>
  <c r="U296" i="44"/>
  <c r="U876" i="44" s="1"/>
  <c r="W295" i="44"/>
  <c r="W875" i="44" s="1"/>
  <c r="F315" i="44"/>
  <c r="F895" i="44" s="1"/>
  <c r="G314" i="44"/>
  <c r="G894" i="44" s="1"/>
  <c r="L313" i="44"/>
  <c r="L893" i="44" s="1"/>
  <c r="S311" i="44"/>
  <c r="S891" i="44" s="1"/>
  <c r="T310" i="44"/>
  <c r="T890" i="44" s="1"/>
  <c r="U309" i="44"/>
  <c r="U889" i="44" s="1"/>
  <c r="W315" i="44"/>
  <c r="W895" i="44" s="1"/>
  <c r="X314" i="44"/>
  <c r="F314" i="44"/>
  <c r="I313" i="44"/>
  <c r="I893" i="44" s="1"/>
  <c r="N312" i="44"/>
  <c r="N892" i="44" s="1"/>
  <c r="R311" i="44"/>
  <c r="R891" i="44" s="1"/>
  <c r="V315" i="44"/>
  <c r="V895" i="44" s="1"/>
  <c r="W314" i="44"/>
  <c r="W894" i="44" s="1"/>
  <c r="X313" i="44"/>
  <c r="H313" i="44"/>
  <c r="H893" i="44" s="1"/>
  <c r="M312" i="44"/>
  <c r="M892" i="44" s="1"/>
  <c r="N311" i="44"/>
  <c r="N891" i="44" s="1"/>
  <c r="U315" i="44"/>
  <c r="U895" i="44" s="1"/>
  <c r="V314" i="44"/>
  <c r="V894" i="44" s="1"/>
  <c r="W313" i="44"/>
  <c r="W893" i="44" s="1"/>
  <c r="G313" i="44"/>
  <c r="G893" i="44" s="1"/>
  <c r="L312" i="44"/>
  <c r="L892" i="44" s="1"/>
  <c r="M311" i="44"/>
  <c r="M891" i="44" s="1"/>
  <c r="N310" i="44"/>
  <c r="N890" i="44" s="1"/>
  <c r="R309" i="44"/>
  <c r="R889" i="44" s="1"/>
  <c r="S308" i="44"/>
  <c r="S888" i="44" s="1"/>
  <c r="S307" i="44"/>
  <c r="S887" i="44" s="1"/>
  <c r="T306" i="44"/>
  <c r="T886" i="44" s="1"/>
  <c r="V305" i="44"/>
  <c r="V885" i="44" s="1"/>
  <c r="F305" i="44"/>
  <c r="F885" i="44" s="1"/>
  <c r="G304" i="44"/>
  <c r="G884" i="44" s="1"/>
  <c r="L303" i="44"/>
  <c r="T315" i="44"/>
  <c r="T895" i="44" s="1"/>
  <c r="U314" i="44"/>
  <c r="U894" i="44" s="1"/>
  <c r="V313" i="44"/>
  <c r="V893" i="44" s="1"/>
  <c r="F313" i="44"/>
  <c r="F893" i="44" s="1"/>
  <c r="S315" i="44"/>
  <c r="S895" i="44" s="1"/>
  <c r="T314" i="44"/>
  <c r="T894" i="44" s="1"/>
  <c r="U313" i="44"/>
  <c r="U893" i="44" s="1"/>
  <c r="X312" i="44"/>
  <c r="H312" i="44"/>
  <c r="H892" i="44" s="1"/>
  <c r="R315" i="44"/>
  <c r="R895" i="44" s="1"/>
  <c r="S314" i="44"/>
  <c r="S894" i="44" s="1"/>
  <c r="T313" i="44"/>
  <c r="T893" i="44" s="1"/>
  <c r="R1185" i="44" s="1"/>
  <c r="W312" i="44"/>
  <c r="W892" i="44" s="1"/>
  <c r="N315" i="44"/>
  <c r="N895" i="44" s="1"/>
  <c r="R314" i="44"/>
  <c r="R894" i="44" s="1"/>
  <c r="L315" i="44"/>
  <c r="M314" i="44"/>
  <c r="M894" i="44" s="1"/>
  <c r="S312" i="44"/>
  <c r="S892" i="44" s="1"/>
  <c r="V311" i="44"/>
  <c r="V891" i="44" s="1"/>
  <c r="W310" i="44"/>
  <c r="W890" i="44" s="1"/>
  <c r="X309" i="44"/>
  <c r="F309" i="44"/>
  <c r="F889" i="44" s="1"/>
  <c r="G308" i="44"/>
  <c r="G888" i="44" s="1"/>
  <c r="H307" i="44"/>
  <c r="L306" i="44"/>
  <c r="L886" i="44" s="1"/>
  <c r="S304" i="44"/>
  <c r="S884" i="44" s="1"/>
  <c r="T303" i="44"/>
  <c r="T883" i="44" s="1"/>
  <c r="V302" i="44"/>
  <c r="V882" i="44" s="1"/>
  <c r="G302" i="44"/>
  <c r="G882" i="44" s="1"/>
  <c r="I301" i="44"/>
  <c r="I881" i="44" s="1"/>
  <c r="L300" i="44"/>
  <c r="L880" i="44" s="1"/>
  <c r="M299" i="44"/>
  <c r="M879" i="44" s="1"/>
  <c r="R298" i="44"/>
  <c r="R878" i="44" s="1"/>
  <c r="T297" i="44"/>
  <c r="T877" i="44" s="1"/>
  <c r="W296" i="44"/>
  <c r="W876" i="44" s="1"/>
  <c r="F296" i="44"/>
  <c r="H295" i="44"/>
  <c r="H875" i="44" s="1"/>
  <c r="L294" i="44"/>
  <c r="S293" i="44"/>
  <c r="S873" i="44" s="1"/>
  <c r="U292" i="44"/>
  <c r="U872" i="44" s="1"/>
  <c r="F292" i="44"/>
  <c r="F872" i="44" s="1"/>
  <c r="R312" i="44"/>
  <c r="R892" i="44" s="1"/>
  <c r="S310" i="44"/>
  <c r="S890" i="44" s="1"/>
  <c r="I309" i="44"/>
  <c r="I889" i="44" s="1"/>
  <c r="F308" i="44"/>
  <c r="F888" i="44" s="1"/>
  <c r="U306" i="44"/>
  <c r="U886" i="44" s="1"/>
  <c r="S305" i="44"/>
  <c r="S885" i="44" s="1"/>
  <c r="R304" i="44"/>
  <c r="R884" i="44" s="1"/>
  <c r="M303" i="44"/>
  <c r="M883" i="44" s="1"/>
  <c r="N302" i="44"/>
  <c r="N882" i="44" s="1"/>
  <c r="M301" i="44"/>
  <c r="M881" i="44" s="1"/>
  <c r="I300" i="44"/>
  <c r="I880" i="44" s="1"/>
  <c r="G299" i="44"/>
  <c r="G879" i="44" s="1"/>
  <c r="G298" i="44"/>
  <c r="G878" i="44" s="1"/>
  <c r="G297" i="44"/>
  <c r="G877" i="44" s="1"/>
  <c r="H296" i="44"/>
  <c r="H876" i="44" s="1"/>
  <c r="G295" i="44"/>
  <c r="G875" i="44" s="1"/>
  <c r="H294" i="44"/>
  <c r="H874" i="44" s="1"/>
  <c r="M293" i="44"/>
  <c r="M873" i="44" s="1"/>
  <c r="I312" i="44"/>
  <c r="I892" i="44" s="1"/>
  <c r="R310" i="44"/>
  <c r="R890" i="44" s="1"/>
  <c r="H309" i="44"/>
  <c r="H889" i="44" s="1"/>
  <c r="W307" i="44"/>
  <c r="W887" i="44" s="1"/>
  <c r="S306" i="44"/>
  <c r="S886" i="44" s="1"/>
  <c r="R305" i="44"/>
  <c r="R885" i="44" s="1"/>
  <c r="L304" i="44"/>
  <c r="L884" i="44" s="1"/>
  <c r="I303" i="44"/>
  <c r="I883" i="44" s="1"/>
  <c r="M302" i="44"/>
  <c r="M882" i="44" s="1"/>
  <c r="L301" i="44"/>
  <c r="L881" i="44" s="1"/>
  <c r="G300" i="44"/>
  <c r="G880" i="44" s="1"/>
  <c r="F299" i="44"/>
  <c r="F879" i="44" s="1"/>
  <c r="F298" i="44"/>
  <c r="F297" i="44"/>
  <c r="F877" i="44" s="1"/>
  <c r="G296" i="44"/>
  <c r="G876" i="44" s="1"/>
  <c r="F295" i="44"/>
  <c r="F875" i="44" s="1"/>
  <c r="G294" i="44"/>
  <c r="G874" i="44" s="1"/>
  <c r="L293" i="44"/>
  <c r="G312" i="44"/>
  <c r="G892" i="44" s="1"/>
  <c r="M310" i="44"/>
  <c r="M890" i="44" s="1"/>
  <c r="G309" i="44"/>
  <c r="G889" i="44" s="1"/>
  <c r="V307" i="44"/>
  <c r="V887" i="44" s="1"/>
  <c r="R306" i="44"/>
  <c r="R886" i="44" s="1"/>
  <c r="P305" i="44"/>
  <c r="I304" i="44"/>
  <c r="I884" i="44" s="1"/>
  <c r="H303" i="44"/>
  <c r="H883" i="44" s="1"/>
  <c r="L302" i="44"/>
  <c r="L882" i="44" s="1"/>
  <c r="H301" i="44"/>
  <c r="H881" i="44" s="1"/>
  <c r="F300" i="44"/>
  <c r="F880" i="44" s="1"/>
  <c r="X298" i="44"/>
  <c r="X297" i="44"/>
  <c r="X295" i="44"/>
  <c r="X294" i="44"/>
  <c r="F294" i="44"/>
  <c r="F874" i="44" s="1"/>
  <c r="I293" i="44"/>
  <c r="I873" i="44" s="1"/>
  <c r="N292" i="44"/>
  <c r="N872" i="44" s="1"/>
  <c r="M315" i="44"/>
  <c r="M895" i="44" s="1"/>
  <c r="F312" i="44"/>
  <c r="F892" i="44" s="1"/>
  <c r="L310" i="44"/>
  <c r="L890" i="44" s="1"/>
  <c r="X308" i="44"/>
  <c r="U307" i="44"/>
  <c r="U887" i="44" s="1"/>
  <c r="N305" i="44"/>
  <c r="N885" i="44" s="1"/>
  <c r="H304" i="44"/>
  <c r="H884" i="44" s="1"/>
  <c r="G303" i="44"/>
  <c r="G883" i="44" s="1"/>
  <c r="H302" i="44"/>
  <c r="H882" i="44" s="1"/>
  <c r="F301" i="44"/>
  <c r="F881" i="44" s="1"/>
  <c r="X299" i="44"/>
  <c r="W298" i="44"/>
  <c r="W878" i="44" s="1"/>
  <c r="W297" i="44"/>
  <c r="W877" i="44" s="1"/>
  <c r="X296" i="44"/>
  <c r="V295" i="44"/>
  <c r="V875" i="44" s="1"/>
  <c r="W294" i="44"/>
  <c r="W874" i="44" s="1"/>
  <c r="H293" i="44"/>
  <c r="H873" i="44" s="1"/>
  <c r="M292" i="44"/>
  <c r="M872" i="44" s="1"/>
  <c r="I315" i="44"/>
  <c r="I895" i="44" s="1"/>
  <c r="W311" i="44"/>
  <c r="W891" i="44" s="1"/>
  <c r="H310" i="44"/>
  <c r="H890" i="44" s="1"/>
  <c r="V308" i="44"/>
  <c r="V888" i="44" s="1"/>
  <c r="R307" i="44"/>
  <c r="R887" i="44" s="1"/>
  <c r="N306" i="44"/>
  <c r="N886" i="44" s="1"/>
  <c r="I305" i="44"/>
  <c r="I885" i="44" s="1"/>
  <c r="F304" i="44"/>
  <c r="F884" i="44" s="1"/>
  <c r="F303" i="44"/>
  <c r="F883" i="44" s="1"/>
  <c r="F302" i="44"/>
  <c r="F882" i="44" s="1"/>
  <c r="X300" i="44"/>
  <c r="W299" i="44"/>
  <c r="W879" i="44" s="1"/>
  <c r="V298" i="44"/>
  <c r="V878" i="44" s="1"/>
  <c r="V297" i="44"/>
  <c r="V877" i="44" s="1"/>
  <c r="V296" i="44"/>
  <c r="V876" i="44" s="1"/>
  <c r="U295" i="44"/>
  <c r="U875" i="44" s="1"/>
  <c r="V294" i="44"/>
  <c r="V874" i="44" s="1"/>
  <c r="T1166" i="44" s="1"/>
  <c r="G293" i="44"/>
  <c r="G873" i="44" s="1"/>
  <c r="L292" i="44"/>
  <c r="L872" i="44" s="1"/>
  <c r="N314" i="44"/>
  <c r="N894" i="44" s="1"/>
  <c r="U311" i="44"/>
  <c r="U891" i="44" s="1"/>
  <c r="G310" i="44"/>
  <c r="G890" i="44" s="1"/>
  <c r="U308" i="44"/>
  <c r="U888" i="44" s="1"/>
  <c r="N307" i="44"/>
  <c r="M306" i="44"/>
  <c r="M886" i="44" s="1"/>
  <c r="H305" i="44"/>
  <c r="H885" i="44" s="1"/>
  <c r="X303" i="44"/>
  <c r="X302" i="44"/>
  <c r="W301" i="44"/>
  <c r="W881" i="44" s="1"/>
  <c r="W300" i="44"/>
  <c r="W880" i="44" s="1"/>
  <c r="V299" i="44"/>
  <c r="V879" i="44" s="1"/>
  <c r="U298" i="44"/>
  <c r="U878" i="44" s="1"/>
  <c r="U297" i="44"/>
  <c r="U877" i="44" s="1"/>
  <c r="T296" i="44"/>
  <c r="T876" i="44" s="1"/>
  <c r="T295" i="44"/>
  <c r="T875" i="44" s="1"/>
  <c r="U294" i="44"/>
  <c r="U874" i="44" s="1"/>
  <c r="X293" i="44"/>
  <c r="F293" i="44"/>
  <c r="F873" i="44" s="1"/>
  <c r="I292" i="44"/>
  <c r="I872" i="44" s="1"/>
  <c r="L314" i="44"/>
  <c r="L311" i="44"/>
  <c r="F310" i="44"/>
  <c r="F890" i="44" s="1"/>
  <c r="T308" i="44"/>
  <c r="T888" i="44" s="1"/>
  <c r="M307" i="44"/>
  <c r="M887" i="44" s="1"/>
  <c r="I306" i="44"/>
  <c r="I886" i="44" s="1"/>
  <c r="G305" i="44"/>
  <c r="G885" i="44" s="1"/>
  <c r="W303" i="44"/>
  <c r="W883" i="44" s="1"/>
  <c r="U302" i="44"/>
  <c r="U882" i="44" s="1"/>
  <c r="V301" i="44"/>
  <c r="V881" i="44" s="1"/>
  <c r="V300" i="44"/>
  <c r="V880" i="44" s="1"/>
  <c r="T299" i="44"/>
  <c r="T879" i="44" s="1"/>
  <c r="T298" i="44"/>
  <c r="T878" i="44" s="1"/>
  <c r="S297" i="44"/>
  <c r="S877" i="44" s="1"/>
  <c r="Q1169" i="44" s="1"/>
  <c r="S296" i="44"/>
  <c r="S876" i="44" s="1"/>
  <c r="S295" i="44"/>
  <c r="S875" i="44" s="1"/>
  <c r="T294" i="44"/>
  <c r="T874" i="44" s="1"/>
  <c r="W293" i="44"/>
  <c r="W873" i="44" s="1"/>
  <c r="X292" i="44"/>
  <c r="H292" i="44"/>
  <c r="H872" i="44" s="1"/>
  <c r="S313" i="44"/>
  <c r="S893" i="44" s="1"/>
  <c r="I311" i="44"/>
  <c r="I891" i="44" s="1"/>
  <c r="W309" i="44"/>
  <c r="W889" i="44" s="1"/>
  <c r="N308" i="44"/>
  <c r="N888" i="44" s="1"/>
  <c r="L307" i="44"/>
  <c r="L887" i="44" s="1"/>
  <c r="G306" i="44"/>
  <c r="G886" i="44" s="1"/>
  <c r="X304" i="44"/>
  <c r="V303" i="44"/>
  <c r="V883" i="44" s="1"/>
  <c r="S302" i="44"/>
  <c r="S882" i="44" s="1"/>
  <c r="U301" i="44"/>
  <c r="U881" i="44" s="1"/>
  <c r="U300" i="44"/>
  <c r="U880" i="44" s="1"/>
  <c r="S299" i="44"/>
  <c r="S879" i="44" s="1"/>
  <c r="S298" i="44"/>
  <c r="S878" i="44" s="1"/>
  <c r="N297" i="44"/>
  <c r="R296" i="44"/>
  <c r="R876" i="44" s="1"/>
  <c r="R295" i="44"/>
  <c r="R875" i="44" s="1"/>
  <c r="S294" i="44"/>
  <c r="S874" i="44" s="1"/>
  <c r="V293" i="44"/>
  <c r="V873" i="44" s="1"/>
  <c r="W292" i="44"/>
  <c r="W872" i="44" s="1"/>
  <c r="G292" i="44"/>
  <c r="G872" i="44" s="1"/>
  <c r="R313" i="44"/>
  <c r="R893" i="44" s="1"/>
  <c r="H311" i="44"/>
  <c r="H891" i="44" s="1"/>
  <c r="T309" i="44"/>
  <c r="T889" i="44" s="1"/>
  <c r="M308" i="44"/>
  <c r="M888" i="44" s="1"/>
  <c r="I307" i="44"/>
  <c r="I887" i="44" s="1"/>
  <c r="X305" i="44"/>
  <c r="W304" i="44"/>
  <c r="W884" i="44" s="1"/>
  <c r="U303" i="44"/>
  <c r="U883" i="44" s="1"/>
  <c r="R302" i="44"/>
  <c r="R882" i="44" s="1"/>
  <c r="T301" i="44"/>
  <c r="T881" i="44" s="1"/>
  <c r="T300" i="44"/>
  <c r="T880" i="44" s="1"/>
  <c r="R299" i="44"/>
  <c r="R879" i="44" s="1"/>
  <c r="N298" i="44"/>
  <c r="N878" i="44" s="1"/>
  <c r="M297" i="44"/>
  <c r="M877" i="44" s="1"/>
  <c r="N296" i="44"/>
  <c r="N876" i="44" s="1"/>
  <c r="N295" i="44"/>
  <c r="N875" i="44" s="1"/>
  <c r="R294" i="44"/>
  <c r="R874" i="44" s="1"/>
  <c r="U293" i="44"/>
  <c r="U873" i="44" s="1"/>
  <c r="V292" i="44"/>
  <c r="V872" i="44" s="1"/>
  <c r="N313" i="44"/>
  <c r="N893" i="44" s="1"/>
  <c r="F311" i="44"/>
  <c r="F891" i="44" s="1"/>
  <c r="S309" i="44"/>
  <c r="S889" i="44" s="1"/>
  <c r="L308" i="44"/>
  <c r="G307" i="44"/>
  <c r="G887" i="44" s="1"/>
  <c r="W305" i="44"/>
  <c r="W885" i="44" s="1"/>
  <c r="V304" i="44"/>
  <c r="V884" i="44" s="1"/>
  <c r="R303" i="44"/>
  <c r="R883" i="44" s="1"/>
  <c r="S301" i="44"/>
  <c r="S881" i="44" s="1"/>
  <c r="R300" i="44"/>
  <c r="R880" i="44" s="1"/>
  <c r="N299" i="44"/>
  <c r="N879" i="44" s="1"/>
  <c r="L298" i="44"/>
  <c r="L878" i="44" s="1"/>
  <c r="L297" i="44"/>
  <c r="L877" i="44" s="1"/>
  <c r="M296" i="44"/>
  <c r="M876" i="44" s="1"/>
  <c r="M295" i="44"/>
  <c r="M875" i="44" s="1"/>
  <c r="N294" i="44"/>
  <c r="N874" i="44" s="1"/>
  <c r="T293" i="44"/>
  <c r="T873" i="44" s="1"/>
  <c r="T292" i="44"/>
  <c r="T872" i="44" s="1"/>
  <c r="V312" i="44"/>
  <c r="V892" i="44" s="1"/>
  <c r="X310" i="44"/>
  <c r="N309" i="44"/>
  <c r="N889" i="44" s="1"/>
  <c r="I308" i="44"/>
  <c r="I888" i="44" s="1"/>
  <c r="X306" i="44"/>
  <c r="U305" i="44"/>
  <c r="U885" i="44" s="1"/>
  <c r="U304" i="44"/>
  <c r="U884" i="44" s="1"/>
  <c r="P302" i="44"/>
  <c r="R301" i="44"/>
  <c r="R881" i="44" s="1"/>
  <c r="N300" i="44"/>
  <c r="L299" i="44"/>
  <c r="I298" i="44"/>
  <c r="I878" i="44" s="1"/>
  <c r="I297" i="44"/>
  <c r="I877" i="44" s="1"/>
  <c r="L296" i="44"/>
  <c r="L295" i="44"/>
  <c r="L875" i="44" s="1"/>
  <c r="M294" i="44"/>
  <c r="M874" i="44" s="1"/>
  <c r="R293" i="44"/>
  <c r="R873" i="44" s="1"/>
  <c r="S292" i="44"/>
  <c r="S872" i="44" s="1"/>
  <c r="H308" i="44"/>
  <c r="H888" i="44" s="1"/>
  <c r="I295" i="44"/>
  <c r="I875" i="44" s="1"/>
  <c r="W306" i="44"/>
  <c r="W886" i="44" s="1"/>
  <c r="I294" i="44"/>
  <c r="I874" i="44" s="1"/>
  <c r="T305" i="44"/>
  <c r="T885" i="44" s="1"/>
  <c r="N293" i="44"/>
  <c r="N873" i="44" s="1"/>
  <c r="T304" i="44"/>
  <c r="T884" i="44" s="1"/>
  <c r="R292" i="44"/>
  <c r="R872" i="44" s="1"/>
  <c r="N303" i="44"/>
  <c r="N883" i="44" s="1"/>
  <c r="M300" i="44"/>
  <c r="M880" i="44" s="1"/>
  <c r="H299" i="44"/>
  <c r="H879" i="44" s="1"/>
  <c r="U312" i="44"/>
  <c r="U892" i="44" s="1"/>
  <c r="H298" i="44"/>
  <c r="H878" i="44" s="1"/>
  <c r="V310" i="44"/>
  <c r="V890" i="44" s="1"/>
  <c r="H297" i="44"/>
  <c r="H877" i="44" s="1"/>
  <c r="L309" i="44"/>
  <c r="L889" i="44" s="1"/>
  <c r="I296" i="44"/>
  <c r="I876" i="44" s="1"/>
  <c r="V27" i="44"/>
  <c r="V607" i="44" s="1"/>
  <c r="G27" i="44"/>
  <c r="G607" i="44" s="1"/>
  <c r="T26" i="44"/>
  <c r="T606" i="44" s="1"/>
  <c r="V25" i="44"/>
  <c r="V605" i="44" s="1"/>
  <c r="X24" i="44"/>
  <c r="H24" i="44"/>
  <c r="H604" i="44" s="1"/>
  <c r="M23" i="44"/>
  <c r="M603" i="44" s="1"/>
  <c r="R22" i="44"/>
  <c r="R602" i="44" s="1"/>
  <c r="W21" i="44"/>
  <c r="W601" i="44" s="1"/>
  <c r="U1181" i="44" s="1"/>
  <c r="G21" i="44"/>
  <c r="G601" i="44" s="1"/>
  <c r="L20" i="44"/>
  <c r="L600" i="44" s="1"/>
  <c r="U18" i="44"/>
  <c r="U598" i="44" s="1"/>
  <c r="W17" i="44"/>
  <c r="W597" i="44" s="1"/>
  <c r="F17" i="44"/>
  <c r="F597" i="44" s="1"/>
  <c r="I16" i="44"/>
  <c r="I596" i="44" s="1"/>
  <c r="M15" i="44"/>
  <c r="M595" i="44" s="1"/>
  <c r="R14" i="44"/>
  <c r="R594" i="44" s="1"/>
  <c r="T13" i="44"/>
  <c r="T593" i="44" s="1"/>
  <c r="V12" i="44"/>
  <c r="V592" i="44" s="1"/>
  <c r="I27" i="44"/>
  <c r="I607" i="44" s="1"/>
  <c r="M26" i="44"/>
  <c r="M606" i="44" s="1"/>
  <c r="R25" i="44"/>
  <c r="R605" i="44" s="1"/>
  <c r="T24" i="44"/>
  <c r="T604" i="44" s="1"/>
  <c r="W23" i="44"/>
  <c r="W603" i="44" s="1"/>
  <c r="R27" i="44"/>
  <c r="R607" i="44" s="1"/>
  <c r="V26" i="44"/>
  <c r="V606" i="44" s="1"/>
  <c r="X25" i="44"/>
  <c r="G25" i="44"/>
  <c r="G605" i="44" s="1"/>
  <c r="L24" i="44"/>
  <c r="T22" i="44"/>
  <c r="T602" i="44" s="1"/>
  <c r="F22" i="44"/>
  <c r="F602" i="44" s="1"/>
  <c r="I21" i="44"/>
  <c r="I601" i="44" s="1"/>
  <c r="N20" i="44"/>
  <c r="N600" i="44" s="1"/>
  <c r="S19" i="44"/>
  <c r="S599" i="44" s="1"/>
  <c r="W18" i="44"/>
  <c r="W598" i="44" s="1"/>
  <c r="F18" i="44"/>
  <c r="F598" i="44" s="1"/>
  <c r="H17" i="44"/>
  <c r="H597" i="44" s="1"/>
  <c r="M16" i="44"/>
  <c r="M596" i="44" s="1"/>
  <c r="R15" i="44"/>
  <c r="R595" i="44" s="1"/>
  <c r="T14" i="44"/>
  <c r="T594" i="44" s="1"/>
  <c r="V13" i="44"/>
  <c r="V593" i="44" s="1"/>
  <c r="X12" i="44"/>
  <c r="G12" i="44"/>
  <c r="G592" i="44" s="1"/>
  <c r="I11" i="44"/>
  <c r="I591" i="44" s="1"/>
  <c r="G1171" i="44" s="1"/>
  <c r="M10" i="44"/>
  <c r="M590" i="44" s="1"/>
  <c r="R9" i="44"/>
  <c r="R589" i="44" s="1"/>
  <c r="T8" i="44"/>
  <c r="T588" i="44" s="1"/>
  <c r="W7" i="44"/>
  <c r="W587" i="44" s="1"/>
  <c r="F7" i="44"/>
  <c r="F587" i="44" s="1"/>
  <c r="I6" i="44"/>
  <c r="I586" i="44" s="1"/>
  <c r="V4" i="44"/>
  <c r="X27" i="44"/>
  <c r="X26" i="44"/>
  <c r="U25" i="44"/>
  <c r="U605" i="44" s="1"/>
  <c r="S1185" i="44" s="1"/>
  <c r="S24" i="44"/>
  <c r="S604" i="44" s="1"/>
  <c r="S23" i="44"/>
  <c r="S603" i="44" s="1"/>
  <c r="Q1183" i="44" s="1"/>
  <c r="S22" i="44"/>
  <c r="S602" i="44" s="1"/>
  <c r="U21" i="44"/>
  <c r="U601" i="44" s="1"/>
  <c r="V20" i="44"/>
  <c r="V600" i="44" s="1"/>
  <c r="W19" i="44"/>
  <c r="W599" i="44" s="1"/>
  <c r="F19" i="44"/>
  <c r="F599" i="44" s="1"/>
  <c r="X17" i="44"/>
  <c r="X16" i="44"/>
  <c r="X15" i="44"/>
  <c r="X14" i="44"/>
  <c r="X13" i="44"/>
  <c r="W12" i="44"/>
  <c r="W592" i="44" s="1"/>
  <c r="W11" i="44"/>
  <c r="W591" i="44" s="1"/>
  <c r="U1171" i="44" s="1"/>
  <c r="X10" i="44"/>
  <c r="F10" i="44"/>
  <c r="F590" i="44" s="1"/>
  <c r="G9" i="44"/>
  <c r="G589" i="44" s="1"/>
  <c r="H8" i="44"/>
  <c r="H588" i="44" s="1"/>
  <c r="L7" i="44"/>
  <c r="N6" i="44"/>
  <c r="N586" i="44" s="1"/>
  <c r="R5" i="44"/>
  <c r="R585" i="44" s="1"/>
  <c r="U4" i="44"/>
  <c r="W27" i="44"/>
  <c r="W607" i="44" s="1"/>
  <c r="W26" i="44"/>
  <c r="W606" i="44" s="1"/>
  <c r="T25" i="44"/>
  <c r="T605" i="44" s="1"/>
  <c r="R24" i="44"/>
  <c r="R604" i="44" s="1"/>
  <c r="P1184" i="44" s="1"/>
  <c r="R23" i="44"/>
  <c r="R603" i="44" s="1"/>
  <c r="T21" i="44"/>
  <c r="T601" i="44" s="1"/>
  <c r="U20" i="44"/>
  <c r="U600" i="44" s="1"/>
  <c r="V19" i="44"/>
  <c r="V599" i="44" s="1"/>
  <c r="X18" i="44"/>
  <c r="V17" i="44"/>
  <c r="V597" i="44" s="1"/>
  <c r="W16" i="44"/>
  <c r="W596" i="44" s="1"/>
  <c r="W15" i="44"/>
  <c r="W595" i="44" s="1"/>
  <c r="U1175" i="44" s="1"/>
  <c r="W14" i="44"/>
  <c r="W594" i="44" s="1"/>
  <c r="W13" i="44"/>
  <c r="W593" i="44" s="1"/>
  <c r="U12" i="44"/>
  <c r="U592" i="44" s="1"/>
  <c r="V11" i="44"/>
  <c r="V591" i="44" s="1"/>
  <c r="W10" i="44"/>
  <c r="W590" i="44" s="1"/>
  <c r="X9" i="44"/>
  <c r="F9" i="44"/>
  <c r="F589" i="44" s="1"/>
  <c r="G8" i="44"/>
  <c r="G588" i="44" s="1"/>
  <c r="I7" i="44"/>
  <c r="I587" i="44" s="1"/>
  <c r="M6" i="44"/>
  <c r="M586" i="44" s="1"/>
  <c r="W4" i="44"/>
  <c r="U27" i="44"/>
  <c r="U607" i="44" s="1"/>
  <c r="U26" i="44"/>
  <c r="U606" i="44" s="1"/>
  <c r="S25" i="44"/>
  <c r="S605" i="44" s="1"/>
  <c r="N23" i="44"/>
  <c r="S21" i="44"/>
  <c r="S601" i="44" s="1"/>
  <c r="T20" i="44"/>
  <c r="T600" i="44" s="1"/>
  <c r="U19" i="44"/>
  <c r="U599" i="44" s="1"/>
  <c r="V18" i="44"/>
  <c r="V598" i="44" s="1"/>
  <c r="U17" i="44"/>
  <c r="U597" i="44" s="1"/>
  <c r="V16" i="44"/>
  <c r="V596" i="44" s="1"/>
  <c r="V15" i="44"/>
  <c r="V595" i="44" s="1"/>
  <c r="V14" i="44"/>
  <c r="V594" i="44" s="1"/>
  <c r="U13" i="44"/>
  <c r="U593" i="44" s="1"/>
  <c r="T12" i="44"/>
  <c r="T592" i="44" s="1"/>
  <c r="U11" i="44"/>
  <c r="U591" i="44" s="1"/>
  <c r="V10" i="44"/>
  <c r="V590" i="44" s="1"/>
  <c r="W9" i="44"/>
  <c r="W589" i="44" s="1"/>
  <c r="X8" i="44"/>
  <c r="F8" i="44"/>
  <c r="F588" i="44" s="1"/>
  <c r="H7" i="44"/>
  <c r="H587" i="44" s="1"/>
  <c r="L6" i="44"/>
  <c r="L586" i="44" s="1"/>
  <c r="N5" i="44"/>
  <c r="N585" i="44" s="1"/>
  <c r="R4" i="44"/>
  <c r="T27" i="44"/>
  <c r="T607" i="44" s="1"/>
  <c r="S26" i="44"/>
  <c r="S606" i="44" s="1"/>
  <c r="N25" i="44"/>
  <c r="N605" i="44" s="1"/>
  <c r="N24" i="44"/>
  <c r="N604" i="44" s="1"/>
  <c r="L1184" i="44" s="1"/>
  <c r="L23" i="44"/>
  <c r="L603" i="44" s="1"/>
  <c r="R21" i="44"/>
  <c r="R601" i="44" s="1"/>
  <c r="S20" i="44"/>
  <c r="S600" i="44" s="1"/>
  <c r="T19" i="44"/>
  <c r="T599" i="44" s="1"/>
  <c r="T18" i="44"/>
  <c r="T598" i="44" s="1"/>
  <c r="T17" i="44"/>
  <c r="T597" i="44" s="1"/>
  <c r="U16" i="44"/>
  <c r="U596" i="44" s="1"/>
  <c r="U15" i="44"/>
  <c r="U595" i="44" s="1"/>
  <c r="U14" i="44"/>
  <c r="U594" i="44" s="1"/>
  <c r="S13" i="44"/>
  <c r="S593" i="44" s="1"/>
  <c r="Q1173" i="44" s="1"/>
  <c r="S12" i="44"/>
  <c r="S592" i="44" s="1"/>
  <c r="T11" i="44"/>
  <c r="T591" i="44" s="1"/>
  <c r="R1171" i="44" s="1"/>
  <c r="U10" i="44"/>
  <c r="U590" i="44" s="1"/>
  <c r="V9" i="44"/>
  <c r="V589" i="44" s="1"/>
  <c r="W8" i="44"/>
  <c r="W588" i="44" s="1"/>
  <c r="G7" i="44"/>
  <c r="G587" i="44" s="1"/>
  <c r="H6" i="44"/>
  <c r="H586" i="44" s="1"/>
  <c r="M5" i="44"/>
  <c r="M585" i="44" s="1"/>
  <c r="S27" i="44"/>
  <c r="S607" i="44" s="1"/>
  <c r="R26" i="44"/>
  <c r="R606" i="44" s="1"/>
  <c r="M25" i="44"/>
  <c r="M24" i="44"/>
  <c r="M604" i="44" s="1"/>
  <c r="I23" i="44"/>
  <c r="I603" i="44" s="1"/>
  <c r="N22" i="44"/>
  <c r="N602" i="44" s="1"/>
  <c r="R20" i="44"/>
  <c r="R600" i="44" s="1"/>
  <c r="R19" i="44"/>
  <c r="R599" i="44" s="1"/>
  <c r="S18" i="44"/>
  <c r="S598" i="44" s="1"/>
  <c r="S17" i="44"/>
  <c r="S597" i="44" s="1"/>
  <c r="T16" i="44"/>
  <c r="T596" i="44" s="1"/>
  <c r="T15" i="44"/>
  <c r="T595" i="44" s="1"/>
  <c r="R1175" i="44" s="1"/>
  <c r="S14" i="44"/>
  <c r="S594" i="44" s="1"/>
  <c r="R13" i="44"/>
  <c r="R593" i="44" s="1"/>
  <c r="R12" i="44"/>
  <c r="R592" i="44" s="1"/>
  <c r="S11" i="44"/>
  <c r="S591" i="44" s="1"/>
  <c r="Q1171" i="44" s="1"/>
  <c r="T10" i="44"/>
  <c r="T590" i="44" s="1"/>
  <c r="U9" i="44"/>
  <c r="U589" i="44" s="1"/>
  <c r="V8" i="44"/>
  <c r="V588" i="44" s="1"/>
  <c r="X7" i="44"/>
  <c r="X6" i="44"/>
  <c r="G6" i="44"/>
  <c r="G586" i="44" s="1"/>
  <c r="L5" i="44"/>
  <c r="L585" i="44" s="1"/>
  <c r="M4" i="44"/>
  <c r="I5" i="44"/>
  <c r="I585" i="44" s="1"/>
  <c r="N26" i="44"/>
  <c r="N606" i="44" s="1"/>
  <c r="L25" i="44"/>
  <c r="L605" i="44" s="1"/>
  <c r="I24" i="44"/>
  <c r="I604" i="44" s="1"/>
  <c r="H23" i="44"/>
  <c r="H603" i="44" s="1"/>
  <c r="M22" i="44"/>
  <c r="M602" i="44" s="1"/>
  <c r="N21" i="44"/>
  <c r="N601" i="44" s="1"/>
  <c r="R18" i="44"/>
  <c r="R598" i="44" s="1"/>
  <c r="R17" i="44"/>
  <c r="R597" i="44" s="1"/>
  <c r="S16" i="44"/>
  <c r="S596" i="44" s="1"/>
  <c r="S15" i="44"/>
  <c r="S595" i="44" s="1"/>
  <c r="N14" i="44"/>
  <c r="N594" i="44" s="1"/>
  <c r="N13" i="44"/>
  <c r="N593" i="44" s="1"/>
  <c r="N12" i="44"/>
  <c r="N592" i="44" s="1"/>
  <c r="R11" i="44"/>
  <c r="R591" i="44" s="1"/>
  <c r="S10" i="44"/>
  <c r="S590" i="44" s="1"/>
  <c r="T9" i="44"/>
  <c r="T589" i="44" s="1"/>
  <c r="U8" i="44"/>
  <c r="U588" i="44" s="1"/>
  <c r="V7" i="44"/>
  <c r="V587" i="44" s="1"/>
  <c r="W6" i="44"/>
  <c r="W586" i="44" s="1"/>
  <c r="F6" i="44"/>
  <c r="F586" i="44" s="1"/>
  <c r="N4" i="44"/>
  <c r="N27" i="44"/>
  <c r="N607" i="44" s="1"/>
  <c r="L1187" i="44" s="1"/>
  <c r="L26" i="44"/>
  <c r="I25" i="44"/>
  <c r="I605" i="44" s="1"/>
  <c r="G24" i="44"/>
  <c r="G604" i="44" s="1"/>
  <c r="G23" i="44"/>
  <c r="G603" i="44" s="1"/>
  <c r="L22" i="44"/>
  <c r="L602" i="44" s="1"/>
  <c r="M21" i="44"/>
  <c r="M601" i="44" s="1"/>
  <c r="M20" i="44"/>
  <c r="M600" i="44" s="1"/>
  <c r="N19" i="44"/>
  <c r="N599" i="44" s="1"/>
  <c r="N18" i="44"/>
  <c r="N598" i="44" s="1"/>
  <c r="N17" i="44"/>
  <c r="N597" i="44" s="1"/>
  <c r="R16" i="44"/>
  <c r="R596" i="44" s="1"/>
  <c r="N15" i="44"/>
  <c r="N595" i="44" s="1"/>
  <c r="M14" i="44"/>
  <c r="M594" i="44" s="1"/>
  <c r="M13" i="44"/>
  <c r="M12" i="44"/>
  <c r="M592" i="44" s="1"/>
  <c r="N11" i="44"/>
  <c r="N591" i="44" s="1"/>
  <c r="R10" i="44"/>
  <c r="R590" i="44" s="1"/>
  <c r="S9" i="44"/>
  <c r="S589" i="44" s="1"/>
  <c r="S8" i="44"/>
  <c r="S588" i="44" s="1"/>
  <c r="U7" i="44"/>
  <c r="U587" i="44" s="1"/>
  <c r="V6" i="44"/>
  <c r="V586" i="44" s="1"/>
  <c r="X5" i="44"/>
  <c r="H5" i="44"/>
  <c r="H585" i="44" s="1"/>
  <c r="L4" i="44"/>
  <c r="M27" i="44"/>
  <c r="M607" i="44" s="1"/>
  <c r="I26" i="44"/>
  <c r="H25" i="44"/>
  <c r="H605" i="44" s="1"/>
  <c r="F24" i="44"/>
  <c r="F604" i="44" s="1"/>
  <c r="F23" i="44"/>
  <c r="F603" i="44" s="1"/>
  <c r="I22" i="44"/>
  <c r="I602" i="44" s="1"/>
  <c r="L21" i="44"/>
  <c r="L601" i="44" s="1"/>
  <c r="I20" i="44"/>
  <c r="I600" i="44" s="1"/>
  <c r="M19" i="44"/>
  <c r="M599" i="44" s="1"/>
  <c r="M18" i="44"/>
  <c r="M598" i="44" s="1"/>
  <c r="M17" i="44"/>
  <c r="M597" i="44" s="1"/>
  <c r="N16" i="44"/>
  <c r="N596" i="44" s="1"/>
  <c r="L15" i="44"/>
  <c r="L14" i="44"/>
  <c r="L13" i="44"/>
  <c r="L593" i="44" s="1"/>
  <c r="L12" i="44"/>
  <c r="L592" i="44" s="1"/>
  <c r="M11" i="44"/>
  <c r="M591" i="44" s="1"/>
  <c r="N10" i="44"/>
  <c r="N590" i="44" s="1"/>
  <c r="N9" i="44"/>
  <c r="N589" i="44" s="1"/>
  <c r="R8" i="44"/>
  <c r="R588" i="44" s="1"/>
  <c r="T7" i="44"/>
  <c r="T587" i="44" s="1"/>
  <c r="U6" i="44"/>
  <c r="U586" i="44" s="1"/>
  <c r="W5" i="44"/>
  <c r="W585" i="44" s="1"/>
  <c r="U1165" i="44" s="1"/>
  <c r="G5" i="44"/>
  <c r="G585" i="44" s="1"/>
  <c r="H4" i="44"/>
  <c r="L27" i="44"/>
  <c r="H26" i="44"/>
  <c r="H606" i="44" s="1"/>
  <c r="F25" i="44"/>
  <c r="F605" i="44" s="1"/>
  <c r="X23" i="44"/>
  <c r="X22" i="44"/>
  <c r="H22" i="44"/>
  <c r="H602" i="44" s="1"/>
  <c r="H21" i="44"/>
  <c r="H601" i="44" s="1"/>
  <c r="H20" i="44"/>
  <c r="H600" i="44" s="1"/>
  <c r="L19" i="44"/>
  <c r="L599" i="44" s="1"/>
  <c r="L18" i="44"/>
  <c r="L17" i="44"/>
  <c r="L16" i="44"/>
  <c r="I15" i="44"/>
  <c r="I14" i="44"/>
  <c r="I594" i="44" s="1"/>
  <c r="I13" i="44"/>
  <c r="I593" i="44" s="1"/>
  <c r="I12" i="44"/>
  <c r="I592" i="44" s="1"/>
  <c r="L11" i="44"/>
  <c r="L10" i="44"/>
  <c r="M9" i="44"/>
  <c r="M589" i="44" s="1"/>
  <c r="N8" i="44"/>
  <c r="N588" i="44" s="1"/>
  <c r="S7" i="44"/>
  <c r="S587" i="44" s="1"/>
  <c r="T6" i="44"/>
  <c r="T586" i="44" s="1"/>
  <c r="V5" i="44"/>
  <c r="V585" i="44" s="1"/>
  <c r="F5" i="44"/>
  <c r="F585" i="44" s="1"/>
  <c r="I4" i="44"/>
  <c r="H27" i="44"/>
  <c r="H607" i="44" s="1"/>
  <c r="G26" i="44"/>
  <c r="G606" i="44" s="1"/>
  <c r="W24" i="44"/>
  <c r="W604" i="44" s="1"/>
  <c r="V23" i="44"/>
  <c r="V603" i="44" s="1"/>
  <c r="W22" i="44"/>
  <c r="W602" i="44" s="1"/>
  <c r="U1182" i="44" s="1"/>
  <c r="G22" i="44"/>
  <c r="G602" i="44" s="1"/>
  <c r="F21" i="44"/>
  <c r="F601" i="44" s="1"/>
  <c r="G20" i="44"/>
  <c r="G600" i="44" s="1"/>
  <c r="I19" i="44"/>
  <c r="I599" i="44" s="1"/>
  <c r="I18" i="44"/>
  <c r="I598" i="44" s="1"/>
  <c r="I17" i="44"/>
  <c r="I597" i="44" s="1"/>
  <c r="H16" i="44"/>
  <c r="H596" i="44" s="1"/>
  <c r="H15" i="44"/>
  <c r="H595" i="44" s="1"/>
  <c r="H14" i="44"/>
  <c r="H594" i="44" s="1"/>
  <c r="H13" i="44"/>
  <c r="H593" i="44" s="1"/>
  <c r="H12" i="44"/>
  <c r="H592" i="44" s="1"/>
  <c r="H11" i="44"/>
  <c r="H591" i="44" s="1"/>
  <c r="I10" i="44"/>
  <c r="I590" i="44" s="1"/>
  <c r="L9" i="44"/>
  <c r="M8" i="44"/>
  <c r="M588" i="44" s="1"/>
  <c r="R7" i="44"/>
  <c r="R587" i="44" s="1"/>
  <c r="S6" i="44"/>
  <c r="S586" i="44" s="1"/>
  <c r="Q1166" i="44" s="1"/>
  <c r="U5" i="44"/>
  <c r="U585" i="44" s="1"/>
  <c r="X4" i="44"/>
  <c r="G4" i="44"/>
  <c r="F27" i="44"/>
  <c r="F607" i="44" s="1"/>
  <c r="F26" i="44"/>
  <c r="F606" i="44" s="1"/>
  <c r="V24" i="44"/>
  <c r="V604" i="44" s="1"/>
  <c r="U23" i="44"/>
  <c r="U603" i="44" s="1"/>
  <c r="V22" i="44"/>
  <c r="V602" i="44" s="1"/>
  <c r="X21" i="44"/>
  <c r="X20" i="44"/>
  <c r="F20" i="44"/>
  <c r="F600" i="44" s="1"/>
  <c r="H19" i="44"/>
  <c r="H599" i="44" s="1"/>
  <c r="H18" i="44"/>
  <c r="H598" i="44" s="1"/>
  <c r="G17" i="44"/>
  <c r="G597" i="44" s="1"/>
  <c r="E1177" i="44" s="1"/>
  <c r="G16" i="44"/>
  <c r="G596" i="44" s="1"/>
  <c r="G15" i="44"/>
  <c r="G595" i="44" s="1"/>
  <c r="G14" i="44"/>
  <c r="G594" i="44" s="1"/>
  <c r="G13" i="44"/>
  <c r="G593" i="44" s="1"/>
  <c r="F12" i="44"/>
  <c r="F592" i="44" s="1"/>
  <c r="G11" i="44"/>
  <c r="G591" i="44" s="1"/>
  <c r="H10" i="44"/>
  <c r="H590" i="44" s="1"/>
  <c r="I9" i="44"/>
  <c r="I589" i="44" s="1"/>
  <c r="L8" i="44"/>
  <c r="N7" i="44"/>
  <c r="N587" i="44" s="1"/>
  <c r="R6" i="44"/>
  <c r="R586" i="44" s="1"/>
  <c r="T5" i="44"/>
  <c r="T585" i="44" s="1"/>
  <c r="R1165" i="44" s="1"/>
  <c r="S4" i="44"/>
  <c r="F4" i="44"/>
  <c r="W25" i="44"/>
  <c r="W605" i="44" s="1"/>
  <c r="U24" i="44"/>
  <c r="U604" i="44" s="1"/>
  <c r="T23" i="44"/>
  <c r="T603" i="44" s="1"/>
  <c r="U22" i="44"/>
  <c r="U602" i="44" s="1"/>
  <c r="V21" i="44"/>
  <c r="V601" i="44" s="1"/>
  <c r="W20" i="44"/>
  <c r="W600" i="44" s="1"/>
  <c r="X19" i="44"/>
  <c r="G19" i="44"/>
  <c r="G599" i="44" s="1"/>
  <c r="G18" i="44"/>
  <c r="G598" i="44" s="1"/>
  <c r="F16" i="44"/>
  <c r="F15" i="44"/>
  <c r="F595" i="44" s="1"/>
  <c r="F14" i="44"/>
  <c r="F594" i="44" s="1"/>
  <c r="F13" i="44"/>
  <c r="F593" i="44" s="1"/>
  <c r="X11" i="44"/>
  <c r="F11" i="44"/>
  <c r="F591" i="44" s="1"/>
  <c r="G10" i="44"/>
  <c r="G590" i="44" s="1"/>
  <c r="H9" i="44"/>
  <c r="H589" i="44" s="1"/>
  <c r="I8" i="44"/>
  <c r="I588" i="44" s="1"/>
  <c r="M7" i="44"/>
  <c r="M587" i="44" s="1"/>
  <c r="P6" i="44"/>
  <c r="S5" i="44"/>
  <c r="S585" i="44" s="1"/>
  <c r="T4" i="44"/>
  <c r="P310" i="44"/>
  <c r="P12" i="44"/>
  <c r="P304" i="44"/>
  <c r="K29" i="44"/>
  <c r="K45" i="44"/>
  <c r="K35" i="44"/>
  <c r="K323" i="44"/>
  <c r="K316" i="44"/>
  <c r="S339" i="44"/>
  <c r="S919" i="44" s="1"/>
  <c r="Q1187" i="44" s="1"/>
  <c r="W338" i="44"/>
  <c r="W918" i="44" s="1"/>
  <c r="G338" i="44"/>
  <c r="I337" i="44"/>
  <c r="I917" i="44" s="1"/>
  <c r="U335" i="44"/>
  <c r="U915" i="44" s="1"/>
  <c r="W334" i="44"/>
  <c r="W914" i="44" s="1"/>
  <c r="G334" i="44"/>
  <c r="G914" i="44" s="1"/>
  <c r="L333" i="44"/>
  <c r="N332" i="44"/>
  <c r="N912" i="44" s="1"/>
  <c r="S331" i="44"/>
  <c r="S911" i="44" s="1"/>
  <c r="U330" i="44"/>
  <c r="U910" i="44" s="1"/>
  <c r="W329" i="44"/>
  <c r="W909" i="44" s="1"/>
  <c r="G329" i="44"/>
  <c r="G909" i="44" s="1"/>
  <c r="I328" i="44"/>
  <c r="I908" i="44" s="1"/>
  <c r="M327" i="44"/>
  <c r="T326" i="44"/>
  <c r="T906" i="44" s="1"/>
  <c r="V325" i="44"/>
  <c r="V905" i="44" s="1"/>
  <c r="F325" i="44"/>
  <c r="F905" i="44" s="1"/>
  <c r="H324" i="44"/>
  <c r="H904" i="44" s="1"/>
  <c r="N323" i="44"/>
  <c r="N903" i="44" s="1"/>
  <c r="S322" i="44"/>
  <c r="S902" i="44" s="1"/>
  <c r="U321" i="44"/>
  <c r="U901" i="44" s="1"/>
  <c r="W320" i="44"/>
  <c r="W900" i="44" s="1"/>
  <c r="F320" i="44"/>
  <c r="F900" i="44" s="1"/>
  <c r="H319" i="44"/>
  <c r="H899" i="44" s="1"/>
  <c r="L318" i="44"/>
  <c r="L898" i="44" s="1"/>
  <c r="V316" i="44"/>
  <c r="V896" i="44" s="1"/>
  <c r="L339" i="44"/>
  <c r="L919" i="44" s="1"/>
  <c r="N338" i="44"/>
  <c r="N918" i="44" s="1"/>
  <c r="R337" i="44"/>
  <c r="R917" i="44" s="1"/>
  <c r="T336" i="44"/>
  <c r="T916" i="44" s="1"/>
  <c r="W335" i="44"/>
  <c r="W915" i="44" s="1"/>
  <c r="X334" i="44"/>
  <c r="F334" i="44"/>
  <c r="F914" i="44" s="1"/>
  <c r="H333" i="44"/>
  <c r="H913" i="44" s="1"/>
  <c r="I332" i="44"/>
  <c r="I912" i="44" s="1"/>
  <c r="L331" i="44"/>
  <c r="M330" i="44"/>
  <c r="M910" i="44" s="1"/>
  <c r="P329" i="44"/>
  <c r="S328" i="44"/>
  <c r="S908" i="44" s="1"/>
  <c r="T327" i="44"/>
  <c r="T907" i="44" s="1"/>
  <c r="W326" i="44"/>
  <c r="W906" i="44" s="1"/>
  <c r="X325" i="44"/>
  <c r="G325" i="44"/>
  <c r="G905" i="44" s="1"/>
  <c r="G324" i="44"/>
  <c r="G904" i="44" s="1"/>
  <c r="L323" i="44"/>
  <c r="L903" i="44" s="1"/>
  <c r="M322" i="44"/>
  <c r="M902" i="44" s="1"/>
  <c r="N321" i="44"/>
  <c r="N901" i="44" s="1"/>
  <c r="R320" i="44"/>
  <c r="R900" i="44" s="1"/>
  <c r="S319" i="44"/>
  <c r="S899" i="44" s="1"/>
  <c r="T318" i="44"/>
  <c r="T898" i="44" s="1"/>
  <c r="U317" i="44"/>
  <c r="U897" i="44" s="1"/>
  <c r="G316" i="44"/>
  <c r="G896" i="44" s="1"/>
  <c r="I339" i="44"/>
  <c r="I919" i="44" s="1"/>
  <c r="M338" i="44"/>
  <c r="M918" i="44" s="1"/>
  <c r="N337" i="44"/>
  <c r="N917" i="44" s="1"/>
  <c r="S336" i="44"/>
  <c r="S916" i="44" s="1"/>
  <c r="V335" i="44"/>
  <c r="V915" i="44" s="1"/>
  <c r="V334" i="44"/>
  <c r="V914" i="44" s="1"/>
  <c r="G333" i="44"/>
  <c r="G913" i="44" s="1"/>
  <c r="H332" i="44"/>
  <c r="H912" i="44" s="1"/>
  <c r="I331" i="44"/>
  <c r="I911" i="44" s="1"/>
  <c r="L330" i="44"/>
  <c r="N329" i="44"/>
  <c r="N909" i="44" s="1"/>
  <c r="R328" i="44"/>
  <c r="R908" i="44" s="1"/>
  <c r="S327" i="44"/>
  <c r="S907" i="44" s="1"/>
  <c r="V326" i="44"/>
  <c r="V906" i="44" s="1"/>
  <c r="W325" i="44"/>
  <c r="W905" i="44" s="1"/>
  <c r="X324" i="44"/>
  <c r="F324" i="44"/>
  <c r="F904" i="44" s="1"/>
  <c r="I323" i="44"/>
  <c r="I903" i="44" s="1"/>
  <c r="L322" i="44"/>
  <c r="L902" i="44" s="1"/>
  <c r="M321" i="44"/>
  <c r="M901" i="44" s="1"/>
  <c r="N320" i="44"/>
  <c r="N900" i="44" s="1"/>
  <c r="R319" i="44"/>
  <c r="R899" i="44" s="1"/>
  <c r="S318" i="44"/>
  <c r="S898" i="44" s="1"/>
  <c r="T317" i="44"/>
  <c r="T897" i="44" s="1"/>
  <c r="X316" i="44"/>
  <c r="F316" i="44"/>
  <c r="F896" i="44" s="1"/>
  <c r="X339" i="44"/>
  <c r="H339" i="44"/>
  <c r="H919" i="44" s="1"/>
  <c r="L338" i="44"/>
  <c r="L918" i="44" s="1"/>
  <c r="M337" i="44"/>
  <c r="M917" i="44" s="1"/>
  <c r="R336" i="44"/>
  <c r="R916" i="44" s="1"/>
  <c r="T335" i="44"/>
  <c r="T915" i="44" s="1"/>
  <c r="U334" i="44"/>
  <c r="U914" i="44" s="1"/>
  <c r="X333" i="44"/>
  <c r="F333" i="44"/>
  <c r="F913" i="44" s="1"/>
  <c r="G332" i="44"/>
  <c r="G912" i="44" s="1"/>
  <c r="H331" i="44"/>
  <c r="H911" i="44" s="1"/>
  <c r="I330" i="44"/>
  <c r="I910" i="44" s="1"/>
  <c r="M329" i="44"/>
  <c r="M909" i="44" s="1"/>
  <c r="N328" i="44"/>
  <c r="N908" i="44" s="1"/>
  <c r="R327" i="44"/>
  <c r="R907" i="44" s="1"/>
  <c r="U326" i="44"/>
  <c r="U906" i="44" s="1"/>
  <c r="U325" i="44"/>
  <c r="U905" i="44" s="1"/>
  <c r="W324" i="44"/>
  <c r="W904" i="44" s="1"/>
  <c r="X323" i="44"/>
  <c r="H323" i="44"/>
  <c r="H903" i="44" s="1"/>
  <c r="I322" i="44"/>
  <c r="I902" i="44" s="1"/>
  <c r="L321" i="44"/>
  <c r="M320" i="44"/>
  <c r="M900" i="44" s="1"/>
  <c r="N319" i="44"/>
  <c r="N899" i="44" s="1"/>
  <c r="R318" i="44"/>
  <c r="R898" i="44" s="1"/>
  <c r="S317" i="44"/>
  <c r="S897" i="44" s="1"/>
  <c r="W316" i="44"/>
  <c r="W896" i="44" s="1"/>
  <c r="W339" i="44"/>
  <c r="W919" i="44" s="1"/>
  <c r="G339" i="44"/>
  <c r="G919" i="44" s="1"/>
  <c r="I338" i="44"/>
  <c r="I918" i="44" s="1"/>
  <c r="L337" i="44"/>
  <c r="P336" i="44"/>
  <c r="S335" i="44"/>
  <c r="S915" i="44" s="1"/>
  <c r="T334" i="44"/>
  <c r="T914" i="44" s="1"/>
  <c r="W333" i="44"/>
  <c r="W913" i="44" s="1"/>
  <c r="X332" i="44"/>
  <c r="F332" i="44"/>
  <c r="F912" i="44" s="1"/>
  <c r="G331" i="44"/>
  <c r="G911" i="44" s="1"/>
  <c r="H330" i="44"/>
  <c r="H910" i="44" s="1"/>
  <c r="L329" i="44"/>
  <c r="L909" i="44" s="1"/>
  <c r="M328" i="44"/>
  <c r="M908" i="44" s="1"/>
  <c r="N327" i="44"/>
  <c r="N907" i="44" s="1"/>
  <c r="S326" i="44"/>
  <c r="S906" i="44" s="1"/>
  <c r="T325" i="44"/>
  <c r="T905" i="44" s="1"/>
  <c r="V324" i="44"/>
  <c r="V904" i="44" s="1"/>
  <c r="W323" i="44"/>
  <c r="W903" i="44" s="1"/>
  <c r="G323" i="44"/>
  <c r="G903" i="44" s="1"/>
  <c r="H322" i="44"/>
  <c r="H902" i="44" s="1"/>
  <c r="I321" i="44"/>
  <c r="I901" i="44" s="1"/>
  <c r="L320" i="44"/>
  <c r="M319" i="44"/>
  <c r="N318" i="44"/>
  <c r="R317" i="44"/>
  <c r="R897" i="44" s="1"/>
  <c r="U316" i="44"/>
  <c r="U896" i="44" s="1"/>
  <c r="V339" i="44"/>
  <c r="V919" i="44" s="1"/>
  <c r="F339" i="44"/>
  <c r="H338" i="44"/>
  <c r="H918" i="44" s="1"/>
  <c r="H337" i="44"/>
  <c r="H917" i="44" s="1"/>
  <c r="N336" i="44"/>
  <c r="N916" i="44" s="1"/>
  <c r="R335" i="44"/>
  <c r="R915" i="44" s="1"/>
  <c r="S334" i="44"/>
  <c r="S914" i="44" s="1"/>
  <c r="V333" i="44"/>
  <c r="V913" i="44" s="1"/>
  <c r="W332" i="44"/>
  <c r="W912" i="44" s="1"/>
  <c r="X331" i="44"/>
  <c r="F331" i="44"/>
  <c r="F911" i="44" s="1"/>
  <c r="G330" i="44"/>
  <c r="G910" i="44" s="1"/>
  <c r="I329" i="44"/>
  <c r="I909" i="44" s="1"/>
  <c r="L328" i="44"/>
  <c r="L327" i="44"/>
  <c r="L907" i="44" s="1"/>
  <c r="R326" i="44"/>
  <c r="R906" i="44" s="1"/>
  <c r="S325" i="44"/>
  <c r="S905" i="44" s="1"/>
  <c r="U324" i="44"/>
  <c r="U904" i="44" s="1"/>
  <c r="V323" i="44"/>
  <c r="V903" i="44" s="1"/>
  <c r="F323" i="44"/>
  <c r="F903" i="44" s="1"/>
  <c r="G322" i="44"/>
  <c r="G902" i="44" s="1"/>
  <c r="E1170" i="44" s="1"/>
  <c r="H321" i="44"/>
  <c r="H901" i="44" s="1"/>
  <c r="I320" i="44"/>
  <c r="I900" i="44" s="1"/>
  <c r="L319" i="44"/>
  <c r="L899" i="44" s="1"/>
  <c r="M318" i="44"/>
  <c r="M898" i="44" s="1"/>
  <c r="P317" i="44"/>
  <c r="T316" i="44"/>
  <c r="T896" i="44" s="1"/>
  <c r="U339" i="44"/>
  <c r="U919" i="44" s="1"/>
  <c r="X338" i="44"/>
  <c r="F338" i="44"/>
  <c r="F918" i="44" s="1"/>
  <c r="G337" i="44"/>
  <c r="G917" i="44" s="1"/>
  <c r="M336" i="44"/>
  <c r="M916" i="44" s="1"/>
  <c r="N335" i="44"/>
  <c r="N915" i="44" s="1"/>
  <c r="R334" i="44"/>
  <c r="R914" i="44" s="1"/>
  <c r="U333" i="44"/>
  <c r="U913" i="44" s="1"/>
  <c r="V332" i="44"/>
  <c r="V912" i="44" s="1"/>
  <c r="W331" i="44"/>
  <c r="W911" i="44" s="1"/>
  <c r="X330" i="44"/>
  <c r="F330" i="44"/>
  <c r="F910" i="44" s="1"/>
  <c r="H329" i="44"/>
  <c r="H909" i="44" s="1"/>
  <c r="H328" i="44"/>
  <c r="H908" i="44" s="1"/>
  <c r="I327" i="44"/>
  <c r="I907" i="44" s="1"/>
  <c r="N326" i="44"/>
  <c r="N906" i="44" s="1"/>
  <c r="R325" i="44"/>
  <c r="R905" i="44" s="1"/>
  <c r="T324" i="44"/>
  <c r="T904" i="44" s="1"/>
  <c r="U323" i="44"/>
  <c r="U903" i="44" s="1"/>
  <c r="X322" i="44"/>
  <c r="F322" i="44"/>
  <c r="F902" i="44" s="1"/>
  <c r="G321" i="44"/>
  <c r="G901" i="44" s="1"/>
  <c r="H320" i="44"/>
  <c r="H900" i="44" s="1"/>
  <c r="I319" i="44"/>
  <c r="I899" i="44" s="1"/>
  <c r="I318" i="44"/>
  <c r="I898" i="44" s="1"/>
  <c r="N317" i="44"/>
  <c r="N897" i="44" s="1"/>
  <c r="S316" i="44"/>
  <c r="S896" i="44" s="1"/>
  <c r="T339" i="44"/>
  <c r="T919" i="44" s="1"/>
  <c r="V338" i="44"/>
  <c r="V918" i="44" s="1"/>
  <c r="X337" i="44"/>
  <c r="F337" i="44"/>
  <c r="F917" i="44" s="1"/>
  <c r="L336" i="44"/>
  <c r="L916" i="44" s="1"/>
  <c r="M335" i="44"/>
  <c r="P334" i="44"/>
  <c r="T333" i="44"/>
  <c r="T913" i="44" s="1"/>
  <c r="U332" i="44"/>
  <c r="U912" i="44" s="1"/>
  <c r="V331" i="44"/>
  <c r="V911" i="44" s="1"/>
  <c r="W330" i="44"/>
  <c r="W910" i="44" s="1"/>
  <c r="X329" i="44"/>
  <c r="F329" i="44"/>
  <c r="F909" i="44" s="1"/>
  <c r="G328" i="44"/>
  <c r="G908" i="44" s="1"/>
  <c r="H327" i="44"/>
  <c r="H907" i="44" s="1"/>
  <c r="M326" i="44"/>
  <c r="M906" i="44" s="1"/>
  <c r="S324" i="44"/>
  <c r="S904" i="44" s="1"/>
  <c r="T323" i="44"/>
  <c r="T903" i="44" s="1"/>
  <c r="W322" i="44"/>
  <c r="W902" i="44" s="1"/>
  <c r="X321" i="44"/>
  <c r="F321" i="44"/>
  <c r="F901" i="44" s="1"/>
  <c r="G320" i="44"/>
  <c r="G900" i="44" s="1"/>
  <c r="G319" i="44"/>
  <c r="G899" i="44" s="1"/>
  <c r="H318" i="44"/>
  <c r="H898" i="44" s="1"/>
  <c r="M317" i="44"/>
  <c r="M897" i="44" s="1"/>
  <c r="R316" i="44"/>
  <c r="R896" i="44" s="1"/>
  <c r="R339" i="44"/>
  <c r="R919" i="44" s="1"/>
  <c r="U338" i="44"/>
  <c r="U918" i="44" s="1"/>
  <c r="W337" i="44"/>
  <c r="W917" i="44" s="1"/>
  <c r="I336" i="44"/>
  <c r="I916" i="44" s="1"/>
  <c r="L335" i="44"/>
  <c r="L915" i="44" s="1"/>
  <c r="N334" i="44"/>
  <c r="N914" i="44" s="1"/>
  <c r="S333" i="44"/>
  <c r="S913" i="44" s="1"/>
  <c r="T332" i="44"/>
  <c r="T912" i="44" s="1"/>
  <c r="U331" i="44"/>
  <c r="U911" i="44" s="1"/>
  <c r="V330" i="44"/>
  <c r="V910" i="44" s="1"/>
  <c r="V329" i="44"/>
  <c r="V909" i="44" s="1"/>
  <c r="X328" i="44"/>
  <c r="F328" i="44"/>
  <c r="F908" i="44" s="1"/>
  <c r="G327" i="44"/>
  <c r="G907" i="44" s="1"/>
  <c r="L326" i="44"/>
  <c r="N325" i="44"/>
  <c r="N905" i="44" s="1"/>
  <c r="R324" i="44"/>
  <c r="R904" i="44" s="1"/>
  <c r="S323" i="44"/>
  <c r="S903" i="44" s="1"/>
  <c r="V322" i="44"/>
  <c r="V902" i="44" s="1"/>
  <c r="W321" i="44"/>
  <c r="W901" i="44" s="1"/>
  <c r="X320" i="44"/>
  <c r="X319" i="44"/>
  <c r="F319" i="44"/>
  <c r="F899" i="44" s="1"/>
  <c r="G318" i="44"/>
  <c r="G898" i="44" s="1"/>
  <c r="L317" i="44"/>
  <c r="L897" i="44" s="1"/>
  <c r="N316" i="44"/>
  <c r="N896" i="44" s="1"/>
  <c r="T338" i="44"/>
  <c r="T918" i="44" s="1"/>
  <c r="V337" i="44"/>
  <c r="V917" i="44" s="1"/>
  <c r="X336" i="44"/>
  <c r="H336" i="44"/>
  <c r="H916" i="44" s="1"/>
  <c r="I335" i="44"/>
  <c r="I915" i="44" s="1"/>
  <c r="M334" i="44"/>
  <c r="M914" i="44" s="1"/>
  <c r="R333" i="44"/>
  <c r="R913" i="44" s="1"/>
  <c r="S332" i="44"/>
  <c r="S912" i="44" s="1"/>
  <c r="T331" i="44"/>
  <c r="T911" i="44" s="1"/>
  <c r="T330" i="44"/>
  <c r="T910" i="44" s="1"/>
  <c r="U329" i="44"/>
  <c r="U909" i="44" s="1"/>
  <c r="W328" i="44"/>
  <c r="W908" i="44" s="1"/>
  <c r="X327" i="44"/>
  <c r="F327" i="44"/>
  <c r="I326" i="44"/>
  <c r="I906" i="44" s="1"/>
  <c r="M325" i="44"/>
  <c r="M905" i="44" s="1"/>
  <c r="N324" i="44"/>
  <c r="R323" i="44"/>
  <c r="R903" i="44" s="1"/>
  <c r="U322" i="44"/>
  <c r="U902" i="44" s="1"/>
  <c r="V321" i="44"/>
  <c r="V901" i="44" s="1"/>
  <c r="V320" i="44"/>
  <c r="V900" i="44" s="1"/>
  <c r="W319" i="44"/>
  <c r="W899" i="44" s="1"/>
  <c r="X318" i="44"/>
  <c r="F318" i="44"/>
  <c r="F898" i="44" s="1"/>
  <c r="I317" i="44"/>
  <c r="I897" i="44" s="1"/>
  <c r="M316" i="44"/>
  <c r="M896" i="44" s="1"/>
  <c r="S338" i="44"/>
  <c r="S918" i="44" s="1"/>
  <c r="U337" i="44"/>
  <c r="U917" i="44" s="1"/>
  <c r="W336" i="44"/>
  <c r="W916" i="44" s="1"/>
  <c r="G336" i="44"/>
  <c r="G916" i="44" s="1"/>
  <c r="H335" i="44"/>
  <c r="H915" i="44" s="1"/>
  <c r="L334" i="44"/>
  <c r="L914" i="44" s="1"/>
  <c r="N333" i="44"/>
  <c r="N913" i="44" s="1"/>
  <c r="R332" i="44"/>
  <c r="R912" i="44" s="1"/>
  <c r="R331" i="44"/>
  <c r="R911" i="44" s="1"/>
  <c r="S330" i="44"/>
  <c r="S910" i="44" s="1"/>
  <c r="T329" i="44"/>
  <c r="T909" i="44" s="1"/>
  <c r="V328" i="44"/>
  <c r="V908" i="44" s="1"/>
  <c r="W327" i="44"/>
  <c r="W907" i="44" s="1"/>
  <c r="H326" i="44"/>
  <c r="H906" i="44" s="1"/>
  <c r="L325" i="44"/>
  <c r="L905" i="44" s="1"/>
  <c r="N339" i="44"/>
  <c r="N919" i="44" s="1"/>
  <c r="R338" i="44"/>
  <c r="R918" i="44" s="1"/>
  <c r="T337" i="44"/>
  <c r="T917" i="44" s="1"/>
  <c r="V336" i="44"/>
  <c r="V916" i="44" s="1"/>
  <c r="F336" i="44"/>
  <c r="F916" i="44" s="1"/>
  <c r="G335" i="44"/>
  <c r="G915" i="44" s="1"/>
  <c r="I334" i="44"/>
  <c r="I914" i="44" s="1"/>
  <c r="G1182" i="44" s="1"/>
  <c r="M333" i="44"/>
  <c r="M913" i="44" s="1"/>
  <c r="M332" i="44"/>
  <c r="M912" i="44" s="1"/>
  <c r="N331" i="44"/>
  <c r="N911" i="44" s="1"/>
  <c r="R330" i="44"/>
  <c r="R910" i="44" s="1"/>
  <c r="S329" i="44"/>
  <c r="S909" i="44" s="1"/>
  <c r="U328" i="44"/>
  <c r="U908" i="44" s="1"/>
  <c r="V327" i="44"/>
  <c r="V907" i="44" s="1"/>
  <c r="G326" i="44"/>
  <c r="G906" i="44" s="1"/>
  <c r="I325" i="44"/>
  <c r="I905" i="44" s="1"/>
  <c r="L324" i="44"/>
  <c r="L904" i="44" s="1"/>
  <c r="P323" i="44"/>
  <c r="R322" i="44"/>
  <c r="R902" i="44" s="1"/>
  <c r="S321" i="44"/>
  <c r="S901" i="44" s="1"/>
  <c r="T320" i="44"/>
  <c r="T900" i="44" s="1"/>
  <c r="U319" i="44"/>
  <c r="U899" i="44" s="1"/>
  <c r="V318" i="44"/>
  <c r="V898" i="44" s="1"/>
  <c r="W317" i="44"/>
  <c r="W897" i="44" s="1"/>
  <c r="G317" i="44"/>
  <c r="G897" i="44" s="1"/>
  <c r="I316" i="44"/>
  <c r="I896" i="44" s="1"/>
  <c r="N330" i="44"/>
  <c r="N910" i="44" s="1"/>
  <c r="N322" i="44"/>
  <c r="N902" i="44" s="1"/>
  <c r="F317" i="44"/>
  <c r="F897" i="44" s="1"/>
  <c r="R329" i="44"/>
  <c r="R909" i="44" s="1"/>
  <c r="T321" i="44"/>
  <c r="T901" i="44" s="1"/>
  <c r="L316" i="44"/>
  <c r="M339" i="44"/>
  <c r="T328" i="44"/>
  <c r="T908" i="44" s="1"/>
  <c r="R321" i="44"/>
  <c r="R901" i="44" s="1"/>
  <c r="H316" i="44"/>
  <c r="H896" i="44" s="1"/>
  <c r="U327" i="44"/>
  <c r="U907" i="44" s="1"/>
  <c r="U320" i="44"/>
  <c r="U900" i="44" s="1"/>
  <c r="S337" i="44"/>
  <c r="S917" i="44" s="1"/>
  <c r="X326" i="44"/>
  <c r="S320" i="44"/>
  <c r="S900" i="44" s="1"/>
  <c r="Q1168" i="44" s="1"/>
  <c r="U336" i="44"/>
  <c r="U916" i="44" s="1"/>
  <c r="F326" i="44"/>
  <c r="F906" i="44" s="1"/>
  <c r="V319" i="44"/>
  <c r="V899" i="44" s="1"/>
  <c r="X335" i="44"/>
  <c r="H325" i="44"/>
  <c r="H905" i="44" s="1"/>
  <c r="T319" i="44"/>
  <c r="T899" i="44" s="1"/>
  <c r="F335" i="44"/>
  <c r="F915" i="44" s="1"/>
  <c r="M324" i="44"/>
  <c r="M904" i="44" s="1"/>
  <c r="W318" i="44"/>
  <c r="W898" i="44" s="1"/>
  <c r="H334" i="44"/>
  <c r="H914" i="44" s="1"/>
  <c r="I324" i="44"/>
  <c r="I904" i="44" s="1"/>
  <c r="U318" i="44"/>
  <c r="U898" i="44" s="1"/>
  <c r="I333" i="44"/>
  <c r="I913" i="44" s="1"/>
  <c r="X317" i="44"/>
  <c r="L332" i="44"/>
  <c r="M323" i="44"/>
  <c r="M903" i="44" s="1"/>
  <c r="V317" i="44"/>
  <c r="V897" i="44" s="1"/>
  <c r="M331" i="44"/>
  <c r="M911" i="44" s="1"/>
  <c r="T322" i="44"/>
  <c r="T902" i="44" s="1"/>
  <c r="H317" i="44"/>
  <c r="H897" i="44" s="1"/>
  <c r="U51" i="44"/>
  <c r="U631" i="44" s="1"/>
  <c r="W50" i="44"/>
  <c r="W630" i="44" s="1"/>
  <c r="G50" i="44"/>
  <c r="G630" i="44" s="1"/>
  <c r="M49" i="44"/>
  <c r="M629" i="44" s="1"/>
  <c r="R48" i="44"/>
  <c r="R628" i="44" s="1"/>
  <c r="T47" i="44"/>
  <c r="T627" i="44" s="1"/>
  <c r="V46" i="44"/>
  <c r="V626" i="44" s="1"/>
  <c r="F46" i="44"/>
  <c r="F626" i="44" s="1"/>
  <c r="I45" i="44"/>
  <c r="I625" i="44" s="1"/>
  <c r="U43" i="44"/>
  <c r="U623" i="44" s="1"/>
  <c r="I42" i="44"/>
  <c r="I622" i="44" s="1"/>
  <c r="N41" i="44"/>
  <c r="N621" i="44" s="1"/>
  <c r="S40" i="44"/>
  <c r="S620" i="44" s="1"/>
  <c r="U39" i="44"/>
  <c r="U619" i="44" s="1"/>
  <c r="W38" i="44"/>
  <c r="W618" i="44" s="1"/>
  <c r="F38" i="44"/>
  <c r="F618" i="44" s="1"/>
  <c r="H37" i="44"/>
  <c r="H617" i="44" s="1"/>
  <c r="L36" i="44"/>
  <c r="N35" i="44"/>
  <c r="N615" i="44" s="1"/>
  <c r="S34" i="44"/>
  <c r="S614" i="44" s="1"/>
  <c r="U33" i="44"/>
  <c r="U613" i="44" s="1"/>
  <c r="W32" i="44"/>
  <c r="W612" i="44" s="1"/>
  <c r="F32" i="44"/>
  <c r="F612" i="44" s="1"/>
  <c r="H31" i="44"/>
  <c r="H611" i="44" s="1"/>
  <c r="L30" i="44"/>
  <c r="N29" i="44"/>
  <c r="N609" i="44" s="1"/>
  <c r="S28" i="44"/>
  <c r="S608" i="44" s="1"/>
  <c r="T51" i="44"/>
  <c r="T631" i="44" s="1"/>
  <c r="U50" i="44"/>
  <c r="U630" i="44" s="1"/>
  <c r="W49" i="44"/>
  <c r="W629" i="44" s="1"/>
  <c r="G49" i="44"/>
  <c r="G629" i="44" s="1"/>
  <c r="H48" i="44"/>
  <c r="H628" i="44" s="1"/>
  <c r="I47" i="44"/>
  <c r="I627" i="44" s="1"/>
  <c r="M46" i="44"/>
  <c r="M626" i="44" s="1"/>
  <c r="S44" i="44"/>
  <c r="S624" i="44" s="1"/>
  <c r="W43" i="44"/>
  <c r="W623" i="44" s="1"/>
  <c r="F43" i="44"/>
  <c r="F623" i="44" s="1"/>
  <c r="H42" i="44"/>
  <c r="H622" i="44" s="1"/>
  <c r="L41" i="44"/>
  <c r="L621" i="44" s="1"/>
  <c r="M40" i="44"/>
  <c r="N39" i="44"/>
  <c r="N619" i="44" s="1"/>
  <c r="R38" i="44"/>
  <c r="R618" i="44" s="1"/>
  <c r="S37" i="44"/>
  <c r="S617" i="44" s="1"/>
  <c r="T36" i="44"/>
  <c r="T616" i="44" s="1"/>
  <c r="U35" i="44"/>
  <c r="U615" i="44" s="1"/>
  <c r="V34" i="44"/>
  <c r="V614" i="44" s="1"/>
  <c r="W33" i="44"/>
  <c r="W613" i="44" s="1"/>
  <c r="X32" i="44"/>
  <c r="X31" i="44"/>
  <c r="F31" i="44"/>
  <c r="F611" i="44" s="1"/>
  <c r="G30" i="44"/>
  <c r="G610" i="44" s="1"/>
  <c r="H29" i="44"/>
  <c r="H609" i="44" s="1"/>
  <c r="L28" i="44"/>
  <c r="S51" i="44"/>
  <c r="S631" i="44" s="1"/>
  <c r="T50" i="44"/>
  <c r="T630" i="44" s="1"/>
  <c r="V49" i="44"/>
  <c r="V629" i="44" s="1"/>
  <c r="F49" i="44"/>
  <c r="F629" i="44" s="1"/>
  <c r="G48" i="44"/>
  <c r="G628" i="44" s="1"/>
  <c r="H47" i="44"/>
  <c r="H627" i="44" s="1"/>
  <c r="L46" i="44"/>
  <c r="N45" i="44"/>
  <c r="N625" i="44" s="1"/>
  <c r="R44" i="44"/>
  <c r="R624" i="44" s="1"/>
  <c r="V43" i="44"/>
  <c r="V623" i="44" s="1"/>
  <c r="X42" i="44"/>
  <c r="G42" i="44"/>
  <c r="G622" i="44" s="1"/>
  <c r="I41" i="44"/>
  <c r="I621" i="44" s="1"/>
  <c r="L40" i="44"/>
  <c r="L620" i="44" s="1"/>
  <c r="M39" i="44"/>
  <c r="M619" i="44" s="1"/>
  <c r="N38" i="44"/>
  <c r="N618" i="44" s="1"/>
  <c r="R37" i="44"/>
  <c r="R617" i="44" s="1"/>
  <c r="S36" i="44"/>
  <c r="S616" i="44" s="1"/>
  <c r="T35" i="44"/>
  <c r="T615" i="44" s="1"/>
  <c r="U34" i="44"/>
  <c r="U614" i="44" s="1"/>
  <c r="V33" i="44"/>
  <c r="V613" i="44" s="1"/>
  <c r="V32" i="44"/>
  <c r="V612" i="44" s="1"/>
  <c r="W31" i="44"/>
  <c r="W611" i="44" s="1"/>
  <c r="X30" i="44"/>
  <c r="F30" i="44"/>
  <c r="F610" i="44" s="1"/>
  <c r="R51" i="44"/>
  <c r="R631" i="44" s="1"/>
  <c r="S50" i="44"/>
  <c r="S630" i="44" s="1"/>
  <c r="U49" i="44"/>
  <c r="U629" i="44" s="1"/>
  <c r="X48" i="44"/>
  <c r="F48" i="44"/>
  <c r="F628" i="44" s="1"/>
  <c r="G47" i="44"/>
  <c r="G627" i="44" s="1"/>
  <c r="I46" i="44"/>
  <c r="I626" i="44" s="1"/>
  <c r="M45" i="44"/>
  <c r="M625" i="44" s="1"/>
  <c r="T43" i="44"/>
  <c r="T623" i="44" s="1"/>
  <c r="W42" i="44"/>
  <c r="W622" i="44" s="1"/>
  <c r="F42" i="44"/>
  <c r="H41" i="44"/>
  <c r="H621" i="44" s="1"/>
  <c r="I40" i="44"/>
  <c r="I620" i="44" s="1"/>
  <c r="L39" i="44"/>
  <c r="M38" i="44"/>
  <c r="M618" i="44" s="1"/>
  <c r="N37" i="44"/>
  <c r="N617" i="44" s="1"/>
  <c r="R36" i="44"/>
  <c r="R616" i="44" s="1"/>
  <c r="S35" i="44"/>
  <c r="S615" i="44" s="1"/>
  <c r="T34" i="44"/>
  <c r="T614" i="44" s="1"/>
  <c r="T33" i="44"/>
  <c r="T613" i="44" s="1"/>
  <c r="U32" i="44"/>
  <c r="U612" i="44" s="1"/>
  <c r="V31" i="44"/>
  <c r="V611" i="44" s="1"/>
  <c r="W30" i="44"/>
  <c r="W610" i="44" s="1"/>
  <c r="X29" i="44"/>
  <c r="F29" i="44"/>
  <c r="F609" i="44" s="1"/>
  <c r="H28" i="44"/>
  <c r="H608" i="44" s="1"/>
  <c r="N51" i="44"/>
  <c r="N631" i="44" s="1"/>
  <c r="R50" i="44"/>
  <c r="R630" i="44" s="1"/>
  <c r="T49" i="44"/>
  <c r="T629" i="44" s="1"/>
  <c r="W48" i="44"/>
  <c r="W628" i="44" s="1"/>
  <c r="X47" i="44"/>
  <c r="F47" i="44"/>
  <c r="F627" i="44" s="1"/>
  <c r="H46" i="44"/>
  <c r="H626" i="44" s="1"/>
  <c r="L45" i="44"/>
  <c r="L625" i="44" s="1"/>
  <c r="S43" i="44"/>
  <c r="S623" i="44" s="1"/>
  <c r="V42" i="44"/>
  <c r="V622" i="44" s="1"/>
  <c r="X41" i="44"/>
  <c r="G41" i="44"/>
  <c r="G621" i="44" s="1"/>
  <c r="H40" i="44"/>
  <c r="H620" i="44" s="1"/>
  <c r="I39" i="44"/>
  <c r="I619" i="44" s="1"/>
  <c r="L38" i="44"/>
  <c r="M37" i="44"/>
  <c r="M617" i="44" s="1"/>
  <c r="N36" i="44"/>
  <c r="N616" i="44" s="1"/>
  <c r="R35" i="44"/>
  <c r="R615" i="44" s="1"/>
  <c r="R34" i="44"/>
  <c r="R614" i="44" s="1"/>
  <c r="S33" i="44"/>
  <c r="S613" i="44" s="1"/>
  <c r="T32" i="44"/>
  <c r="T612" i="44" s="1"/>
  <c r="U31" i="44"/>
  <c r="U611" i="44" s="1"/>
  <c r="V30" i="44"/>
  <c r="V610" i="44" s="1"/>
  <c r="W29" i="44"/>
  <c r="W609" i="44" s="1"/>
  <c r="X28" i="44"/>
  <c r="G28" i="44"/>
  <c r="G608" i="44" s="1"/>
  <c r="M51" i="44"/>
  <c r="M631" i="44" s="1"/>
  <c r="S49" i="44"/>
  <c r="S629" i="44" s="1"/>
  <c r="V48" i="44"/>
  <c r="V628" i="44" s="1"/>
  <c r="W47" i="44"/>
  <c r="W627" i="44" s="1"/>
  <c r="X46" i="44"/>
  <c r="G46" i="44"/>
  <c r="H45" i="44"/>
  <c r="H625" i="44" s="1"/>
  <c r="N44" i="44"/>
  <c r="N624" i="44" s="1"/>
  <c r="R43" i="44"/>
  <c r="R623" i="44" s="1"/>
  <c r="U42" i="44"/>
  <c r="U622" i="44" s="1"/>
  <c r="W41" i="44"/>
  <c r="W621" i="44" s="1"/>
  <c r="F41" i="44"/>
  <c r="F621" i="44" s="1"/>
  <c r="G40" i="44"/>
  <c r="G620" i="44" s="1"/>
  <c r="H39" i="44"/>
  <c r="H619" i="44" s="1"/>
  <c r="I38" i="44"/>
  <c r="I618" i="44" s="1"/>
  <c r="L37" i="44"/>
  <c r="M36" i="44"/>
  <c r="M616" i="44" s="1"/>
  <c r="M35" i="44"/>
  <c r="N34" i="44"/>
  <c r="N614" i="44" s="1"/>
  <c r="R33" i="44"/>
  <c r="R613" i="44" s="1"/>
  <c r="S32" i="44"/>
  <c r="S612" i="44" s="1"/>
  <c r="T31" i="44"/>
  <c r="T611" i="44" s="1"/>
  <c r="U30" i="44"/>
  <c r="U610" i="44" s="1"/>
  <c r="V29" i="44"/>
  <c r="V609" i="44" s="1"/>
  <c r="W28" i="44"/>
  <c r="W608" i="44" s="1"/>
  <c r="F28" i="44"/>
  <c r="F608" i="44" s="1"/>
  <c r="L51" i="44"/>
  <c r="N50" i="44"/>
  <c r="N630" i="44" s="1"/>
  <c r="R49" i="44"/>
  <c r="R629" i="44" s="1"/>
  <c r="U48" i="44"/>
  <c r="U628" i="44" s="1"/>
  <c r="V47" i="44"/>
  <c r="V627" i="44" s="1"/>
  <c r="W46" i="44"/>
  <c r="W626" i="44" s="1"/>
  <c r="X45" i="44"/>
  <c r="G45" i="44"/>
  <c r="G625" i="44" s="1"/>
  <c r="M44" i="44"/>
  <c r="M624" i="44" s="1"/>
  <c r="T42" i="44"/>
  <c r="T622" i="44" s="1"/>
  <c r="V41" i="44"/>
  <c r="V621" i="44" s="1"/>
  <c r="X40" i="44"/>
  <c r="F40" i="44"/>
  <c r="F620" i="44" s="1"/>
  <c r="G39" i="44"/>
  <c r="G619" i="44" s="1"/>
  <c r="H38" i="44"/>
  <c r="H618" i="44" s="1"/>
  <c r="I37" i="44"/>
  <c r="I617" i="44" s="1"/>
  <c r="I36" i="44"/>
  <c r="I616" i="44" s="1"/>
  <c r="L35" i="44"/>
  <c r="L615" i="44" s="1"/>
  <c r="M34" i="44"/>
  <c r="M614" i="44" s="1"/>
  <c r="N33" i="44"/>
  <c r="N613" i="44" s="1"/>
  <c r="I51" i="44"/>
  <c r="I631" i="44" s="1"/>
  <c r="M50" i="44"/>
  <c r="M630" i="44" s="1"/>
  <c r="P49" i="44"/>
  <c r="T48" i="44"/>
  <c r="T628" i="44" s="1"/>
  <c r="U47" i="44"/>
  <c r="U627" i="44" s="1"/>
  <c r="U46" i="44"/>
  <c r="U626" i="44" s="1"/>
  <c r="W45" i="44"/>
  <c r="W625" i="44" s="1"/>
  <c r="F45" i="44"/>
  <c r="F625" i="44" s="1"/>
  <c r="L44" i="44"/>
  <c r="L624" i="44" s="1"/>
  <c r="N43" i="44"/>
  <c r="N623" i="44" s="1"/>
  <c r="S42" i="44"/>
  <c r="S622" i="44" s="1"/>
  <c r="U41" i="44"/>
  <c r="U621" i="44" s="1"/>
  <c r="W40" i="44"/>
  <c r="W620" i="44" s="1"/>
  <c r="X39" i="44"/>
  <c r="F39" i="44"/>
  <c r="F619" i="44" s="1"/>
  <c r="G38" i="44"/>
  <c r="G618" i="44" s="1"/>
  <c r="G37" i="44"/>
  <c r="G617" i="44" s="1"/>
  <c r="H36" i="44"/>
  <c r="H616" i="44" s="1"/>
  <c r="I35" i="44"/>
  <c r="I615" i="44" s="1"/>
  <c r="L34" i="44"/>
  <c r="L614" i="44" s="1"/>
  <c r="M33" i="44"/>
  <c r="M613" i="44" s="1"/>
  <c r="H51" i="44"/>
  <c r="H631" i="44" s="1"/>
  <c r="L50" i="44"/>
  <c r="L630" i="44" s="1"/>
  <c r="S48" i="44"/>
  <c r="S628" i="44" s="1"/>
  <c r="S47" i="44"/>
  <c r="S627" i="44" s="1"/>
  <c r="T46" i="44"/>
  <c r="T626" i="44" s="1"/>
  <c r="V45" i="44"/>
  <c r="V625" i="44" s="1"/>
  <c r="X44" i="44"/>
  <c r="I44" i="44"/>
  <c r="I624" i="44" s="1"/>
  <c r="M43" i="44"/>
  <c r="M623" i="44" s="1"/>
  <c r="R42" i="44"/>
  <c r="R622" i="44" s="1"/>
  <c r="T41" i="44"/>
  <c r="T621" i="44" s="1"/>
  <c r="V40" i="44"/>
  <c r="V620" i="44" s="1"/>
  <c r="W39" i="44"/>
  <c r="W619" i="44" s="1"/>
  <c r="X38" i="44"/>
  <c r="X37" i="44"/>
  <c r="F37" i="44"/>
  <c r="F617" i="44" s="1"/>
  <c r="G36" i="44"/>
  <c r="G616" i="44" s="1"/>
  <c r="H35" i="44"/>
  <c r="H615" i="44" s="1"/>
  <c r="I34" i="44"/>
  <c r="I614" i="44" s="1"/>
  <c r="L33" i="44"/>
  <c r="L613" i="44" s="1"/>
  <c r="M32" i="44"/>
  <c r="M612" i="44" s="1"/>
  <c r="N31" i="44"/>
  <c r="N611" i="44" s="1"/>
  <c r="G51" i="44"/>
  <c r="G631" i="44" s="1"/>
  <c r="I50" i="44"/>
  <c r="I630" i="44" s="1"/>
  <c r="N49" i="44"/>
  <c r="N629" i="44" s="1"/>
  <c r="N48" i="44"/>
  <c r="N628" i="44" s="1"/>
  <c r="R47" i="44"/>
  <c r="R627" i="44" s="1"/>
  <c r="S46" i="44"/>
  <c r="S626" i="44" s="1"/>
  <c r="U45" i="44"/>
  <c r="U625" i="44" s="1"/>
  <c r="W44" i="44"/>
  <c r="W624" i="44" s="1"/>
  <c r="H44" i="44"/>
  <c r="H624" i="44" s="1"/>
  <c r="L43" i="44"/>
  <c r="L623" i="44" s="1"/>
  <c r="P42" i="44"/>
  <c r="S41" i="44"/>
  <c r="S621" i="44" s="1"/>
  <c r="U40" i="44"/>
  <c r="U620" i="44" s="1"/>
  <c r="V39" i="44"/>
  <c r="V619" i="44" s="1"/>
  <c r="V38" i="44"/>
  <c r="V618" i="44" s="1"/>
  <c r="W37" i="44"/>
  <c r="W617" i="44" s="1"/>
  <c r="X36" i="44"/>
  <c r="F36" i="44"/>
  <c r="F616" i="44" s="1"/>
  <c r="G35" i="44"/>
  <c r="G615" i="44" s="1"/>
  <c r="H34" i="44"/>
  <c r="H614" i="44" s="1"/>
  <c r="I33" i="44"/>
  <c r="I613" i="44" s="1"/>
  <c r="L32" i="44"/>
  <c r="X51" i="44"/>
  <c r="F51" i="44"/>
  <c r="H50" i="44"/>
  <c r="H630" i="44" s="1"/>
  <c r="L49" i="44"/>
  <c r="L629" i="44" s="1"/>
  <c r="M48" i="44"/>
  <c r="M628" i="44" s="1"/>
  <c r="N47" i="44"/>
  <c r="N627" i="44" s="1"/>
  <c r="R46" i="44"/>
  <c r="R626" i="44" s="1"/>
  <c r="T45" i="44"/>
  <c r="T625" i="44" s="1"/>
  <c r="V44" i="44"/>
  <c r="V624" i="44" s="1"/>
  <c r="W51" i="44"/>
  <c r="W631" i="44" s="1"/>
  <c r="X50" i="44"/>
  <c r="F50" i="44"/>
  <c r="F630" i="44" s="1"/>
  <c r="I49" i="44"/>
  <c r="I629" i="44" s="1"/>
  <c r="L48" i="44"/>
  <c r="M47" i="44"/>
  <c r="S45" i="44"/>
  <c r="S625" i="44" s="1"/>
  <c r="U44" i="44"/>
  <c r="U624" i="44" s="1"/>
  <c r="F44" i="44"/>
  <c r="F624" i="44" s="1"/>
  <c r="H43" i="44"/>
  <c r="H623" i="44" s="1"/>
  <c r="M42" i="44"/>
  <c r="M622" i="44" s="1"/>
  <c r="R40" i="44"/>
  <c r="R620" i="44" s="1"/>
  <c r="S39" i="44"/>
  <c r="S619" i="44" s="1"/>
  <c r="T38" i="44"/>
  <c r="T618" i="44" s="1"/>
  <c r="U37" i="44"/>
  <c r="U617" i="44" s="1"/>
  <c r="V36" i="44"/>
  <c r="V616" i="44" s="1"/>
  <c r="W35" i="44"/>
  <c r="W615" i="44" s="1"/>
  <c r="X34" i="44"/>
  <c r="F34" i="44"/>
  <c r="F614" i="44" s="1"/>
  <c r="G33" i="44"/>
  <c r="G613" i="44" s="1"/>
  <c r="H32" i="44"/>
  <c r="H612" i="44" s="1"/>
  <c r="I31" i="44"/>
  <c r="I611" i="44" s="1"/>
  <c r="I30" i="44"/>
  <c r="I610" i="44" s="1"/>
  <c r="L29" i="44"/>
  <c r="N28" i="44"/>
  <c r="N608" i="44" s="1"/>
  <c r="I48" i="44"/>
  <c r="I628" i="44" s="1"/>
  <c r="M41" i="44"/>
  <c r="M621" i="44" s="1"/>
  <c r="V35" i="44"/>
  <c r="V615" i="44" s="1"/>
  <c r="R31" i="44"/>
  <c r="R611" i="44" s="1"/>
  <c r="S29" i="44"/>
  <c r="S609" i="44" s="1"/>
  <c r="L47" i="44"/>
  <c r="L627" i="44" s="1"/>
  <c r="T40" i="44"/>
  <c r="T620" i="44" s="1"/>
  <c r="F35" i="44"/>
  <c r="F615" i="44" s="1"/>
  <c r="M31" i="44"/>
  <c r="M611" i="44" s="1"/>
  <c r="R29" i="44"/>
  <c r="R609" i="44" s="1"/>
  <c r="N46" i="44"/>
  <c r="N626" i="44" s="1"/>
  <c r="N40" i="44"/>
  <c r="N620" i="44" s="1"/>
  <c r="W34" i="44"/>
  <c r="W614" i="44" s="1"/>
  <c r="L31" i="44"/>
  <c r="M29" i="44"/>
  <c r="M609" i="44" s="1"/>
  <c r="R45" i="44"/>
  <c r="R625" i="44" s="1"/>
  <c r="T39" i="44"/>
  <c r="T619" i="44" s="1"/>
  <c r="G34" i="44"/>
  <c r="G614" i="44" s="1"/>
  <c r="G31" i="44"/>
  <c r="G611" i="44" s="1"/>
  <c r="I29" i="44"/>
  <c r="I609" i="44" s="1"/>
  <c r="T44" i="44"/>
  <c r="T624" i="44" s="1"/>
  <c r="R39" i="44"/>
  <c r="R619" i="44" s="1"/>
  <c r="X33" i="44"/>
  <c r="T30" i="44"/>
  <c r="T610" i="44" s="1"/>
  <c r="G29" i="44"/>
  <c r="G609" i="44" s="1"/>
  <c r="G44" i="44"/>
  <c r="G624" i="44" s="1"/>
  <c r="U38" i="44"/>
  <c r="U618" i="44" s="1"/>
  <c r="H33" i="44"/>
  <c r="H613" i="44" s="1"/>
  <c r="S30" i="44"/>
  <c r="S610" i="44" s="1"/>
  <c r="V28" i="44"/>
  <c r="V608" i="44" s="1"/>
  <c r="X43" i="44"/>
  <c r="S38" i="44"/>
  <c r="S618" i="44" s="1"/>
  <c r="F33" i="44"/>
  <c r="F613" i="44" s="1"/>
  <c r="R30" i="44"/>
  <c r="R610" i="44" s="1"/>
  <c r="U28" i="44"/>
  <c r="U608" i="44" s="1"/>
  <c r="I43" i="44"/>
  <c r="I623" i="44" s="1"/>
  <c r="V37" i="44"/>
  <c r="V617" i="44" s="1"/>
  <c r="R32" i="44"/>
  <c r="R612" i="44" s="1"/>
  <c r="N30" i="44"/>
  <c r="N610" i="44" s="1"/>
  <c r="T28" i="44"/>
  <c r="T608" i="44" s="1"/>
  <c r="V51" i="44"/>
  <c r="V631" i="44" s="1"/>
  <c r="G43" i="44"/>
  <c r="G623" i="44" s="1"/>
  <c r="T37" i="44"/>
  <c r="T617" i="44" s="1"/>
  <c r="N32" i="44"/>
  <c r="N612" i="44" s="1"/>
  <c r="M30" i="44"/>
  <c r="M610" i="44" s="1"/>
  <c r="R28" i="44"/>
  <c r="R608" i="44" s="1"/>
  <c r="V50" i="44"/>
  <c r="V630" i="44" s="1"/>
  <c r="N42" i="44"/>
  <c r="N622" i="44" s="1"/>
  <c r="W36" i="44"/>
  <c r="W616" i="44" s="1"/>
  <c r="I32" i="44"/>
  <c r="I612" i="44" s="1"/>
  <c r="H30" i="44"/>
  <c r="H610" i="44" s="1"/>
  <c r="X49" i="44"/>
  <c r="L42" i="44"/>
  <c r="L622" i="44" s="1"/>
  <c r="U36" i="44"/>
  <c r="U616" i="44" s="1"/>
  <c r="G32" i="44"/>
  <c r="G612" i="44" s="1"/>
  <c r="U29" i="44"/>
  <c r="U609" i="44" s="1"/>
  <c r="M28" i="44"/>
  <c r="M608" i="44" s="1"/>
  <c r="H49" i="44"/>
  <c r="H629" i="44" s="1"/>
  <c r="R41" i="44"/>
  <c r="R621" i="44" s="1"/>
  <c r="X35" i="44"/>
  <c r="S31" i="44"/>
  <c r="S611" i="44" s="1"/>
  <c r="T29" i="44"/>
  <c r="T609" i="44" s="1"/>
  <c r="I28" i="44"/>
  <c r="I608" i="44" s="1"/>
  <c r="P33" i="44"/>
  <c r="P322" i="44"/>
  <c r="K53" i="44"/>
  <c r="K353" i="44"/>
  <c r="L363" i="44"/>
  <c r="L943" i="44" s="1"/>
  <c r="T361" i="44"/>
  <c r="T941" i="44" s="1"/>
  <c r="V360" i="44"/>
  <c r="V940" i="44" s="1"/>
  <c r="X359" i="44"/>
  <c r="H359" i="44"/>
  <c r="H939" i="44" s="1"/>
  <c r="L358" i="44"/>
  <c r="L938" i="44" s="1"/>
  <c r="T356" i="44"/>
  <c r="T936" i="44" s="1"/>
  <c r="X355" i="44"/>
  <c r="G355" i="44"/>
  <c r="G935" i="44" s="1"/>
  <c r="I354" i="44"/>
  <c r="I934" i="44" s="1"/>
  <c r="M353" i="44"/>
  <c r="M933" i="44" s="1"/>
  <c r="T352" i="44"/>
  <c r="T932" i="44" s="1"/>
  <c r="W351" i="44"/>
  <c r="W931" i="44" s="1"/>
  <c r="F351" i="44"/>
  <c r="F931" i="44" s="1"/>
  <c r="H350" i="44"/>
  <c r="H930" i="44" s="1"/>
  <c r="N349" i="44"/>
  <c r="N929" i="44" s="1"/>
  <c r="S348" i="44"/>
  <c r="S928" i="44" s="1"/>
  <c r="U347" i="44"/>
  <c r="U927" i="44" s="1"/>
  <c r="W346" i="44"/>
  <c r="W926" i="44" s="1"/>
  <c r="G346" i="44"/>
  <c r="G926" i="44" s="1"/>
  <c r="L345" i="44"/>
  <c r="L925" i="44" s="1"/>
  <c r="N344" i="44"/>
  <c r="N924" i="44" s="1"/>
  <c r="S343" i="44"/>
  <c r="S923" i="44" s="1"/>
  <c r="U342" i="44"/>
  <c r="U922" i="44" s="1"/>
  <c r="X341" i="44"/>
  <c r="H341" i="44"/>
  <c r="H921" i="44" s="1"/>
  <c r="N340" i="44"/>
  <c r="N920" i="44" s="1"/>
  <c r="I363" i="44"/>
  <c r="I943" i="44" s="1"/>
  <c r="M362" i="44"/>
  <c r="M942" i="44" s="1"/>
  <c r="N361" i="44"/>
  <c r="N941" i="44" s="1"/>
  <c r="R360" i="44"/>
  <c r="R940" i="44" s="1"/>
  <c r="S359" i="44"/>
  <c r="S939" i="44" s="1"/>
  <c r="U358" i="44"/>
  <c r="U938" i="44" s="1"/>
  <c r="V357" i="44"/>
  <c r="V937" i="44" s="1"/>
  <c r="X356" i="44"/>
  <c r="H356" i="44"/>
  <c r="H936" i="44" s="1"/>
  <c r="I355" i="44"/>
  <c r="I935" i="44" s="1"/>
  <c r="L354" i="44"/>
  <c r="L934" i="44" s="1"/>
  <c r="L353" i="44"/>
  <c r="R352" i="44"/>
  <c r="R932" i="44" s="1"/>
  <c r="T351" i="44"/>
  <c r="T931" i="44" s="1"/>
  <c r="U350" i="44"/>
  <c r="U930" i="44" s="1"/>
  <c r="X349" i="44"/>
  <c r="F349" i="44"/>
  <c r="F929" i="44" s="1"/>
  <c r="G348" i="44"/>
  <c r="G928" i="44" s="1"/>
  <c r="H347" i="44"/>
  <c r="H927" i="44" s="1"/>
  <c r="L346" i="44"/>
  <c r="L926" i="44" s="1"/>
  <c r="N345" i="44"/>
  <c r="N925" i="44" s="1"/>
  <c r="R344" i="44"/>
  <c r="R924" i="44" s="1"/>
  <c r="R343" i="44"/>
  <c r="R923" i="44" s="1"/>
  <c r="S342" i="44"/>
  <c r="S922" i="44" s="1"/>
  <c r="U341" i="44"/>
  <c r="U921" i="44" s="1"/>
  <c r="W340" i="44"/>
  <c r="W920" i="44" s="1"/>
  <c r="G340" i="44"/>
  <c r="G920" i="44" s="1"/>
  <c r="H363" i="44"/>
  <c r="H943" i="44" s="1"/>
  <c r="L362" i="44"/>
  <c r="L942" i="44" s="1"/>
  <c r="M361" i="44"/>
  <c r="M941" i="44" s="1"/>
  <c r="N360" i="44"/>
  <c r="N940" i="44" s="1"/>
  <c r="R359" i="44"/>
  <c r="R939" i="44" s="1"/>
  <c r="T358" i="44"/>
  <c r="T938" i="44" s="1"/>
  <c r="U357" i="44"/>
  <c r="U937" i="44" s="1"/>
  <c r="W356" i="44"/>
  <c r="W936" i="44" s="1"/>
  <c r="G356" i="44"/>
  <c r="G936" i="44" s="1"/>
  <c r="H355" i="44"/>
  <c r="H935" i="44" s="1"/>
  <c r="H354" i="44"/>
  <c r="H934" i="44" s="1"/>
  <c r="I353" i="44"/>
  <c r="I933" i="44" s="1"/>
  <c r="S351" i="44"/>
  <c r="S931" i="44" s="1"/>
  <c r="T350" i="44"/>
  <c r="T930" i="44" s="1"/>
  <c r="W349" i="44"/>
  <c r="W929" i="44" s="1"/>
  <c r="X348" i="44"/>
  <c r="F348" i="44"/>
  <c r="F928" i="44" s="1"/>
  <c r="G347" i="44"/>
  <c r="G927" i="44" s="1"/>
  <c r="I346" i="44"/>
  <c r="I926" i="44" s="1"/>
  <c r="M345" i="44"/>
  <c r="M925" i="44" s="1"/>
  <c r="M344" i="44"/>
  <c r="M924" i="44" s="1"/>
  <c r="N343" i="44"/>
  <c r="N923" i="44" s="1"/>
  <c r="R342" i="44"/>
  <c r="R922" i="44" s="1"/>
  <c r="T341" i="44"/>
  <c r="T921" i="44" s="1"/>
  <c r="V340" i="44"/>
  <c r="V920" i="44" s="1"/>
  <c r="F340" i="44"/>
  <c r="F920" i="44" s="1"/>
  <c r="X363" i="44"/>
  <c r="G363" i="44"/>
  <c r="G943" i="44" s="1"/>
  <c r="I362" i="44"/>
  <c r="I942" i="44" s="1"/>
  <c r="L361" i="44"/>
  <c r="L941" i="44" s="1"/>
  <c r="M360" i="44"/>
  <c r="M940" i="44" s="1"/>
  <c r="S358" i="44"/>
  <c r="S938" i="44" s="1"/>
  <c r="T357" i="44"/>
  <c r="T937" i="44" s="1"/>
  <c r="V356" i="44"/>
  <c r="V936" i="44" s="1"/>
  <c r="F356" i="44"/>
  <c r="F936" i="44" s="1"/>
  <c r="F355" i="44"/>
  <c r="F935" i="44" s="1"/>
  <c r="G354" i="44"/>
  <c r="G934" i="44" s="1"/>
  <c r="H353" i="44"/>
  <c r="H933" i="44" s="1"/>
  <c r="N352" i="44"/>
  <c r="N932" i="44" s="1"/>
  <c r="R351" i="44"/>
  <c r="R931" i="44" s="1"/>
  <c r="S350" i="44"/>
  <c r="S930" i="44" s="1"/>
  <c r="V349" i="44"/>
  <c r="V929" i="44" s="1"/>
  <c r="W348" i="44"/>
  <c r="W928" i="44" s="1"/>
  <c r="X347" i="44"/>
  <c r="F347" i="44"/>
  <c r="F927" i="44" s="1"/>
  <c r="H346" i="44"/>
  <c r="H926" i="44" s="1"/>
  <c r="I345" i="44"/>
  <c r="I925" i="44" s="1"/>
  <c r="L344" i="44"/>
  <c r="L924" i="44" s="1"/>
  <c r="M343" i="44"/>
  <c r="M923" i="44" s="1"/>
  <c r="S341" i="44"/>
  <c r="S921" i="44" s="1"/>
  <c r="U340" i="44"/>
  <c r="U920" i="44" s="1"/>
  <c r="W363" i="44"/>
  <c r="W943" i="44" s="1"/>
  <c r="F363" i="44"/>
  <c r="F943" i="44" s="1"/>
  <c r="H362" i="44"/>
  <c r="H942" i="44" s="1"/>
  <c r="I361" i="44"/>
  <c r="I941" i="44" s="1"/>
  <c r="L360" i="44"/>
  <c r="N359" i="44"/>
  <c r="N939" i="44" s="1"/>
  <c r="R358" i="44"/>
  <c r="R938" i="44" s="1"/>
  <c r="S357" i="44"/>
  <c r="S937" i="44" s="1"/>
  <c r="U356" i="44"/>
  <c r="U936" i="44" s="1"/>
  <c r="W355" i="44"/>
  <c r="W935" i="44" s="1"/>
  <c r="X354" i="44"/>
  <c r="F354" i="44"/>
  <c r="F934" i="44" s="1"/>
  <c r="G353" i="44"/>
  <c r="G933" i="44" s="1"/>
  <c r="M352" i="44"/>
  <c r="M932" i="44" s="1"/>
  <c r="N351" i="44"/>
  <c r="N931" i="44" s="1"/>
  <c r="R350" i="44"/>
  <c r="R930" i="44" s="1"/>
  <c r="U349" i="44"/>
  <c r="U929" i="44" s="1"/>
  <c r="V348" i="44"/>
  <c r="V928" i="44" s="1"/>
  <c r="W347" i="44"/>
  <c r="W927" i="44" s="1"/>
  <c r="X346" i="44"/>
  <c r="F346" i="44"/>
  <c r="F926" i="44" s="1"/>
  <c r="H345" i="44"/>
  <c r="H925" i="44" s="1"/>
  <c r="I344" i="44"/>
  <c r="I924" i="44" s="1"/>
  <c r="L343" i="44"/>
  <c r="N342" i="44"/>
  <c r="R341" i="44"/>
  <c r="R921" i="44" s="1"/>
  <c r="T340" i="44"/>
  <c r="T920" i="44" s="1"/>
  <c r="V363" i="44"/>
  <c r="V943" i="44" s="1"/>
  <c r="X362" i="44"/>
  <c r="G362" i="44"/>
  <c r="G942" i="44" s="1"/>
  <c r="H361" i="44"/>
  <c r="H941" i="44" s="1"/>
  <c r="I360" i="44"/>
  <c r="I940" i="44" s="1"/>
  <c r="M359" i="44"/>
  <c r="M939" i="44" s="1"/>
  <c r="N358" i="44"/>
  <c r="R357" i="44"/>
  <c r="R937" i="44" s="1"/>
  <c r="S356" i="44"/>
  <c r="S936" i="44" s="1"/>
  <c r="V355" i="44"/>
  <c r="V935" i="44" s="1"/>
  <c r="W354" i="44"/>
  <c r="W934" i="44" s="1"/>
  <c r="X353" i="44"/>
  <c r="F353" i="44"/>
  <c r="F933" i="44" s="1"/>
  <c r="L352" i="44"/>
  <c r="L932" i="44" s="1"/>
  <c r="M351" i="44"/>
  <c r="M931" i="44" s="1"/>
  <c r="N350" i="44"/>
  <c r="N930" i="44" s="1"/>
  <c r="T349" i="44"/>
  <c r="T929" i="44" s="1"/>
  <c r="U348" i="44"/>
  <c r="U928" i="44" s="1"/>
  <c r="V347" i="44"/>
  <c r="V927" i="44" s="1"/>
  <c r="V346" i="44"/>
  <c r="V926" i="44" s="1"/>
  <c r="X345" i="44"/>
  <c r="G345" i="44"/>
  <c r="H344" i="44"/>
  <c r="H924" i="44" s="1"/>
  <c r="I343" i="44"/>
  <c r="I923" i="44" s="1"/>
  <c r="M342" i="44"/>
  <c r="M922" i="44" s="1"/>
  <c r="S340" i="44"/>
  <c r="S920" i="44" s="1"/>
  <c r="U363" i="44"/>
  <c r="U943" i="44" s="1"/>
  <c r="W362" i="44"/>
  <c r="W942" i="44" s="1"/>
  <c r="F362" i="44"/>
  <c r="F942" i="44" s="1"/>
  <c r="G361" i="44"/>
  <c r="G941" i="44" s="1"/>
  <c r="H360" i="44"/>
  <c r="H940" i="44" s="1"/>
  <c r="L359" i="44"/>
  <c r="L939" i="44" s="1"/>
  <c r="M358" i="44"/>
  <c r="M938" i="44" s="1"/>
  <c r="N357" i="44"/>
  <c r="R356" i="44"/>
  <c r="R936" i="44" s="1"/>
  <c r="U355" i="44"/>
  <c r="U935" i="44" s="1"/>
  <c r="V354" i="44"/>
  <c r="V934" i="44" s="1"/>
  <c r="W353" i="44"/>
  <c r="W933" i="44" s="1"/>
  <c r="I352" i="44"/>
  <c r="I932" i="44" s="1"/>
  <c r="L351" i="44"/>
  <c r="M350" i="44"/>
  <c r="M930" i="44" s="1"/>
  <c r="S349" i="44"/>
  <c r="S929" i="44" s="1"/>
  <c r="T348" i="44"/>
  <c r="T928" i="44" s="1"/>
  <c r="T347" i="44"/>
  <c r="T927" i="44" s="1"/>
  <c r="U346" i="44"/>
  <c r="U926" i="44" s="1"/>
  <c r="W345" i="44"/>
  <c r="W925" i="44" s="1"/>
  <c r="F345" i="44"/>
  <c r="F925" i="44" s="1"/>
  <c r="G344" i="44"/>
  <c r="G924" i="44" s="1"/>
  <c r="H343" i="44"/>
  <c r="H923" i="44" s="1"/>
  <c r="L342" i="44"/>
  <c r="L922" i="44" s="1"/>
  <c r="N341" i="44"/>
  <c r="R340" i="44"/>
  <c r="R920" i="44" s="1"/>
  <c r="T363" i="44"/>
  <c r="T943" i="44" s="1"/>
  <c r="V362" i="44"/>
  <c r="V942" i="44" s="1"/>
  <c r="X361" i="44"/>
  <c r="F361" i="44"/>
  <c r="F941" i="44" s="1"/>
  <c r="G360" i="44"/>
  <c r="G940" i="44" s="1"/>
  <c r="I359" i="44"/>
  <c r="I358" i="44"/>
  <c r="I938" i="44" s="1"/>
  <c r="M357" i="44"/>
  <c r="M937" i="44" s="1"/>
  <c r="T355" i="44"/>
  <c r="T935" i="44" s="1"/>
  <c r="U354" i="44"/>
  <c r="U934" i="44" s="1"/>
  <c r="V353" i="44"/>
  <c r="V933" i="44" s="1"/>
  <c r="H352" i="44"/>
  <c r="H932" i="44" s="1"/>
  <c r="I351" i="44"/>
  <c r="I931" i="44" s="1"/>
  <c r="L350" i="44"/>
  <c r="L930" i="44" s="1"/>
  <c r="R349" i="44"/>
  <c r="R929" i="44" s="1"/>
  <c r="R348" i="44"/>
  <c r="R928" i="44" s="1"/>
  <c r="S347" i="44"/>
  <c r="S927" i="44" s="1"/>
  <c r="T346" i="44"/>
  <c r="T926" i="44" s="1"/>
  <c r="V345" i="44"/>
  <c r="V925" i="44" s="1"/>
  <c r="X344" i="44"/>
  <c r="F344" i="44"/>
  <c r="F924" i="44" s="1"/>
  <c r="G343" i="44"/>
  <c r="G923" i="44" s="1"/>
  <c r="I342" i="44"/>
  <c r="I922" i="44" s="1"/>
  <c r="M341" i="44"/>
  <c r="M921" i="44" s="1"/>
  <c r="S363" i="44"/>
  <c r="S943" i="44" s="1"/>
  <c r="U362" i="44"/>
  <c r="U942" i="44" s="1"/>
  <c r="W361" i="44"/>
  <c r="W941" i="44" s="1"/>
  <c r="X360" i="44"/>
  <c r="F360" i="44"/>
  <c r="G359" i="44"/>
  <c r="G939" i="44" s="1"/>
  <c r="H358" i="44"/>
  <c r="H938" i="44" s="1"/>
  <c r="L357" i="44"/>
  <c r="L937" i="44" s="1"/>
  <c r="S355" i="44"/>
  <c r="S935" i="44" s="1"/>
  <c r="T354" i="44"/>
  <c r="T934" i="44" s="1"/>
  <c r="U353" i="44"/>
  <c r="U933" i="44" s="1"/>
  <c r="X352" i="44"/>
  <c r="G352" i="44"/>
  <c r="G932" i="44" s="1"/>
  <c r="H351" i="44"/>
  <c r="H931" i="44" s="1"/>
  <c r="I350" i="44"/>
  <c r="I930" i="44" s="1"/>
  <c r="M349" i="44"/>
  <c r="M929" i="44" s="1"/>
  <c r="N348" i="44"/>
  <c r="N928" i="44" s="1"/>
  <c r="R347" i="44"/>
  <c r="R927" i="44" s="1"/>
  <c r="S346" i="44"/>
  <c r="S926" i="44" s="1"/>
  <c r="U345" i="44"/>
  <c r="U925" i="44" s="1"/>
  <c r="W344" i="44"/>
  <c r="W924" i="44" s="1"/>
  <c r="X343" i="44"/>
  <c r="F343" i="44"/>
  <c r="F923" i="44" s="1"/>
  <c r="H342" i="44"/>
  <c r="H922" i="44" s="1"/>
  <c r="L341" i="44"/>
  <c r="L921" i="44" s="1"/>
  <c r="R363" i="44"/>
  <c r="R943" i="44" s="1"/>
  <c r="T362" i="44"/>
  <c r="T942" i="44" s="1"/>
  <c r="V361" i="44"/>
  <c r="V941" i="44" s="1"/>
  <c r="W360" i="44"/>
  <c r="W940" i="44" s="1"/>
  <c r="W359" i="44"/>
  <c r="W939" i="44" s="1"/>
  <c r="F359" i="44"/>
  <c r="F939" i="44" s="1"/>
  <c r="G358" i="44"/>
  <c r="G938" i="44" s="1"/>
  <c r="I357" i="44"/>
  <c r="I937" i="44" s="1"/>
  <c r="N356" i="44"/>
  <c r="N936" i="44" s="1"/>
  <c r="R355" i="44"/>
  <c r="R935" i="44" s="1"/>
  <c r="S354" i="44"/>
  <c r="S934" i="44" s="1"/>
  <c r="T353" i="44"/>
  <c r="T933" i="44" s="1"/>
  <c r="W352" i="44"/>
  <c r="W932" i="44" s="1"/>
  <c r="F352" i="44"/>
  <c r="F932" i="44" s="1"/>
  <c r="G351" i="44"/>
  <c r="G350" i="44"/>
  <c r="G930" i="44" s="1"/>
  <c r="L349" i="44"/>
  <c r="L929" i="44" s="1"/>
  <c r="M348" i="44"/>
  <c r="M928" i="44" s="1"/>
  <c r="N347" i="44"/>
  <c r="N927" i="44" s="1"/>
  <c r="R346" i="44"/>
  <c r="R926" i="44" s="1"/>
  <c r="T345" i="44"/>
  <c r="T925" i="44" s="1"/>
  <c r="V344" i="44"/>
  <c r="V924" i="44" s="1"/>
  <c r="W343" i="44"/>
  <c r="W923" i="44" s="1"/>
  <c r="X342" i="44"/>
  <c r="G342" i="44"/>
  <c r="G922" i="44" s="1"/>
  <c r="I341" i="44"/>
  <c r="I921" i="44" s="1"/>
  <c r="M340" i="44"/>
  <c r="S362" i="44"/>
  <c r="S942" i="44" s="1"/>
  <c r="U361" i="44"/>
  <c r="U941" i="44" s="1"/>
  <c r="U360" i="44"/>
  <c r="U940" i="44" s="1"/>
  <c r="V359" i="44"/>
  <c r="V939" i="44" s="1"/>
  <c r="X358" i="44"/>
  <c r="F358" i="44"/>
  <c r="F938" i="44" s="1"/>
  <c r="H357" i="44"/>
  <c r="H937" i="44" s="1"/>
  <c r="M356" i="44"/>
  <c r="M936" i="44" s="1"/>
  <c r="N355" i="44"/>
  <c r="N935" i="44" s="1"/>
  <c r="R354" i="44"/>
  <c r="R934" i="44" s="1"/>
  <c r="S353" i="44"/>
  <c r="S933" i="44" s="1"/>
  <c r="V352" i="44"/>
  <c r="V932" i="44" s="1"/>
  <c r="X351" i="44"/>
  <c r="X350" i="44"/>
  <c r="F350" i="44"/>
  <c r="F930" i="44" s="1"/>
  <c r="I349" i="44"/>
  <c r="I929" i="44" s="1"/>
  <c r="L348" i="44"/>
  <c r="M347" i="44"/>
  <c r="M927" i="44" s="1"/>
  <c r="S345" i="44"/>
  <c r="S925" i="44" s="1"/>
  <c r="U344" i="44"/>
  <c r="U924" i="44" s="1"/>
  <c r="V343" i="44"/>
  <c r="V923" i="44" s="1"/>
  <c r="W342" i="44"/>
  <c r="W922" i="44" s="1"/>
  <c r="F342" i="44"/>
  <c r="F922" i="44" s="1"/>
  <c r="G341" i="44"/>
  <c r="G921" i="44" s="1"/>
  <c r="L340" i="44"/>
  <c r="L920" i="44" s="1"/>
  <c r="N363" i="44"/>
  <c r="N943" i="44" s="1"/>
  <c r="R362" i="44"/>
  <c r="R942" i="44" s="1"/>
  <c r="S361" i="44"/>
  <c r="S941" i="44" s="1"/>
  <c r="T360" i="44"/>
  <c r="T940" i="44" s="1"/>
  <c r="U359" i="44"/>
  <c r="U939" i="44" s="1"/>
  <c r="W358" i="44"/>
  <c r="W938" i="44" s="1"/>
  <c r="X357" i="44"/>
  <c r="G357" i="44"/>
  <c r="G937" i="44" s="1"/>
  <c r="L356" i="44"/>
  <c r="M355" i="44"/>
  <c r="M935" i="44" s="1"/>
  <c r="N354" i="44"/>
  <c r="N934" i="44" s="1"/>
  <c r="R353" i="44"/>
  <c r="R933" i="44" s="1"/>
  <c r="U352" i="44"/>
  <c r="U932" i="44" s="1"/>
  <c r="V351" i="44"/>
  <c r="V931" i="44" s="1"/>
  <c r="W350" i="44"/>
  <c r="W930" i="44" s="1"/>
  <c r="H349" i="44"/>
  <c r="H929" i="44" s="1"/>
  <c r="I348" i="44"/>
  <c r="I928" i="44" s="1"/>
  <c r="L347" i="44"/>
  <c r="N346" i="44"/>
  <c r="N926" i="44" s="1"/>
  <c r="R345" i="44"/>
  <c r="R925" i="44" s="1"/>
  <c r="T344" i="44"/>
  <c r="T924" i="44" s="1"/>
  <c r="U343" i="44"/>
  <c r="U923" i="44" s="1"/>
  <c r="V342" i="44"/>
  <c r="V922" i="44" s="1"/>
  <c r="W341" i="44"/>
  <c r="W921" i="44" s="1"/>
  <c r="F341" i="44"/>
  <c r="F921" i="44" s="1"/>
  <c r="I340" i="44"/>
  <c r="I920" i="44" s="1"/>
  <c r="N362" i="44"/>
  <c r="N942" i="44" s="1"/>
  <c r="U351" i="44"/>
  <c r="U931" i="44" s="1"/>
  <c r="X340" i="44"/>
  <c r="R361" i="44"/>
  <c r="R941" i="44" s="1"/>
  <c r="V350" i="44"/>
  <c r="V930" i="44" s="1"/>
  <c r="H340" i="44"/>
  <c r="H920" i="44" s="1"/>
  <c r="S360" i="44"/>
  <c r="S940" i="44" s="1"/>
  <c r="T359" i="44"/>
  <c r="T939" i="44" s="1"/>
  <c r="G349" i="44"/>
  <c r="G929" i="44" s="1"/>
  <c r="V358" i="44"/>
  <c r="V938" i="44" s="1"/>
  <c r="H348" i="44"/>
  <c r="H928" i="44" s="1"/>
  <c r="W357" i="44"/>
  <c r="W937" i="44" s="1"/>
  <c r="I347" i="44"/>
  <c r="I927" i="44" s="1"/>
  <c r="F357" i="44"/>
  <c r="F937" i="44" s="1"/>
  <c r="M346" i="44"/>
  <c r="M926" i="44" s="1"/>
  <c r="I356" i="44"/>
  <c r="I936" i="44" s="1"/>
  <c r="P345" i="44"/>
  <c r="L355" i="44"/>
  <c r="S344" i="44"/>
  <c r="S924" i="44" s="1"/>
  <c r="M354" i="44"/>
  <c r="T343" i="44"/>
  <c r="T923" i="44" s="1"/>
  <c r="N353" i="44"/>
  <c r="N933" i="44" s="1"/>
  <c r="T342" i="44"/>
  <c r="T922" i="44" s="1"/>
  <c r="M363" i="44"/>
  <c r="M943" i="44" s="1"/>
  <c r="S352" i="44"/>
  <c r="S932" i="44" s="1"/>
  <c r="V341" i="44"/>
  <c r="V921" i="44" s="1"/>
  <c r="H75" i="44"/>
  <c r="H655" i="44" s="1"/>
  <c r="L74" i="44"/>
  <c r="N73" i="44"/>
  <c r="N653" i="44" s="1"/>
  <c r="S72" i="44"/>
  <c r="S652" i="44" s="1"/>
  <c r="X71" i="44"/>
  <c r="I71" i="44"/>
  <c r="I651" i="44" s="1"/>
  <c r="M70" i="44"/>
  <c r="M650" i="44" s="1"/>
  <c r="R69" i="44"/>
  <c r="R649" i="44" s="1"/>
  <c r="T68" i="44"/>
  <c r="T648" i="44" s="1"/>
  <c r="V67" i="44"/>
  <c r="V647" i="44" s="1"/>
  <c r="F67" i="44"/>
  <c r="F647" i="44" s="1"/>
  <c r="L66" i="44"/>
  <c r="L646" i="44" s="1"/>
  <c r="N65" i="44"/>
  <c r="S64" i="44"/>
  <c r="S644" i="44" s="1"/>
  <c r="U63" i="44"/>
  <c r="U643" i="44" s="1"/>
  <c r="W62" i="44"/>
  <c r="W642" i="44" s="1"/>
  <c r="F62" i="44"/>
  <c r="H61" i="44"/>
  <c r="H641" i="44" s="1"/>
  <c r="L60" i="44"/>
  <c r="N59" i="44"/>
  <c r="N639" i="44" s="1"/>
  <c r="S58" i="44"/>
  <c r="S638" i="44" s="1"/>
  <c r="U57" i="44"/>
  <c r="U637" i="44" s="1"/>
  <c r="W56" i="44"/>
  <c r="W636" i="44" s="1"/>
  <c r="F56" i="44"/>
  <c r="F636" i="44" s="1"/>
  <c r="H55" i="44"/>
  <c r="H635" i="44" s="1"/>
  <c r="L54" i="44"/>
  <c r="N53" i="44"/>
  <c r="N633" i="44" s="1"/>
  <c r="S52" i="44"/>
  <c r="S632" i="44" s="1"/>
  <c r="N75" i="44"/>
  <c r="N655" i="44" s="1"/>
  <c r="R74" i="44"/>
  <c r="R654" i="44" s="1"/>
  <c r="S73" i="44"/>
  <c r="S653" i="44" s="1"/>
  <c r="T72" i="44"/>
  <c r="T652" i="44" s="1"/>
  <c r="W71" i="44"/>
  <c r="W651" i="44" s="1"/>
  <c r="G71" i="44"/>
  <c r="G651" i="44" s="1"/>
  <c r="H70" i="44"/>
  <c r="H650" i="44" s="1"/>
  <c r="I69" i="44"/>
  <c r="I649" i="44" s="1"/>
  <c r="L68" i="44"/>
  <c r="N67" i="44"/>
  <c r="N647" i="44" s="1"/>
  <c r="R66" i="44"/>
  <c r="R646" i="44" s="1"/>
  <c r="U65" i="44"/>
  <c r="U645" i="44" s="1"/>
  <c r="V64" i="44"/>
  <c r="V644" i="44" s="1"/>
  <c r="W63" i="44"/>
  <c r="W643" i="44" s="1"/>
  <c r="X62" i="44"/>
  <c r="X61" i="44"/>
  <c r="F61" i="44"/>
  <c r="F641" i="44" s="1"/>
  <c r="G60" i="44"/>
  <c r="G640" i="44" s="1"/>
  <c r="H59" i="44"/>
  <c r="H639" i="44" s="1"/>
  <c r="I58" i="44"/>
  <c r="I638" i="44" s="1"/>
  <c r="L57" i="44"/>
  <c r="L637" i="44" s="1"/>
  <c r="M56" i="44"/>
  <c r="M636" i="44" s="1"/>
  <c r="N55" i="44"/>
  <c r="N635" i="44" s="1"/>
  <c r="R54" i="44"/>
  <c r="R634" i="44" s="1"/>
  <c r="S53" i="44"/>
  <c r="S633" i="44" s="1"/>
  <c r="T52" i="44"/>
  <c r="T632" i="44" s="1"/>
  <c r="M75" i="44"/>
  <c r="M655" i="44" s="1"/>
  <c r="N74" i="44"/>
  <c r="N654" i="44" s="1"/>
  <c r="R73" i="44"/>
  <c r="R653" i="44" s="1"/>
  <c r="R72" i="44"/>
  <c r="R652" i="44" s="1"/>
  <c r="V71" i="44"/>
  <c r="V651" i="44" s="1"/>
  <c r="F71" i="44"/>
  <c r="F651" i="44" s="1"/>
  <c r="G70" i="44"/>
  <c r="G650" i="44" s="1"/>
  <c r="H69" i="44"/>
  <c r="H649" i="44" s="1"/>
  <c r="I68" i="44"/>
  <c r="I648" i="44" s="1"/>
  <c r="M67" i="44"/>
  <c r="M647" i="44" s="1"/>
  <c r="P66" i="44"/>
  <c r="T65" i="44"/>
  <c r="T645" i="44" s="1"/>
  <c r="U64" i="44"/>
  <c r="U644" i="44" s="1"/>
  <c r="V63" i="44"/>
  <c r="V643" i="44" s="1"/>
  <c r="V62" i="44"/>
  <c r="V642" i="44" s="1"/>
  <c r="W61" i="44"/>
  <c r="W641" i="44" s="1"/>
  <c r="X60" i="44"/>
  <c r="F60" i="44"/>
  <c r="F640" i="44" s="1"/>
  <c r="G59" i="44"/>
  <c r="G639" i="44" s="1"/>
  <c r="H58" i="44"/>
  <c r="H638" i="44" s="1"/>
  <c r="I57" i="44"/>
  <c r="I637" i="44" s="1"/>
  <c r="L56" i="44"/>
  <c r="L636" i="44" s="1"/>
  <c r="M55" i="44"/>
  <c r="M635" i="44" s="1"/>
  <c r="N54" i="44"/>
  <c r="N634" i="44" s="1"/>
  <c r="R53" i="44"/>
  <c r="R633" i="44" s="1"/>
  <c r="R52" i="44"/>
  <c r="R632" i="44" s="1"/>
  <c r="L75" i="44"/>
  <c r="M74" i="44"/>
  <c r="M654" i="44" s="1"/>
  <c r="M73" i="44"/>
  <c r="M653" i="44" s="1"/>
  <c r="U71" i="44"/>
  <c r="U651" i="44" s="1"/>
  <c r="X70" i="44"/>
  <c r="F70" i="44"/>
  <c r="F650" i="44" s="1"/>
  <c r="G69" i="44"/>
  <c r="G649" i="44" s="1"/>
  <c r="H68" i="44"/>
  <c r="L67" i="44"/>
  <c r="L647" i="44" s="1"/>
  <c r="S65" i="44"/>
  <c r="S645" i="44" s="1"/>
  <c r="T64" i="44"/>
  <c r="T644" i="44" s="1"/>
  <c r="T63" i="44"/>
  <c r="T643" i="44" s="1"/>
  <c r="U62" i="44"/>
  <c r="U642" i="44" s="1"/>
  <c r="V61" i="44"/>
  <c r="V641" i="44" s="1"/>
  <c r="W60" i="44"/>
  <c r="W640" i="44" s="1"/>
  <c r="X59" i="44"/>
  <c r="F59" i="44"/>
  <c r="F639" i="44" s="1"/>
  <c r="G58" i="44"/>
  <c r="G638" i="44" s="1"/>
  <c r="H57" i="44"/>
  <c r="I56" i="44"/>
  <c r="I636" i="44" s="1"/>
  <c r="L55" i="44"/>
  <c r="M54" i="44"/>
  <c r="M634" i="44" s="1"/>
  <c r="M53" i="44"/>
  <c r="M633" i="44" s="1"/>
  <c r="N52" i="44"/>
  <c r="N632" i="44" s="1"/>
  <c r="I75" i="44"/>
  <c r="I655" i="44" s="1"/>
  <c r="I74" i="44"/>
  <c r="I654" i="44" s="1"/>
  <c r="L73" i="44"/>
  <c r="N72" i="44"/>
  <c r="N652" i="44" s="1"/>
  <c r="T71" i="44"/>
  <c r="T651" i="44" s="1"/>
  <c r="W70" i="44"/>
  <c r="W650" i="44" s="1"/>
  <c r="X69" i="44"/>
  <c r="F69" i="44"/>
  <c r="G68" i="44"/>
  <c r="G648" i="44" s="1"/>
  <c r="I67" i="44"/>
  <c r="I647" i="44" s="1"/>
  <c r="N66" i="44"/>
  <c r="N646" i="44" s="1"/>
  <c r="R65" i="44"/>
  <c r="R645" i="44" s="1"/>
  <c r="R64" i="44"/>
  <c r="R644" i="44" s="1"/>
  <c r="S63" i="44"/>
  <c r="S643" i="44" s="1"/>
  <c r="T62" i="44"/>
  <c r="T642" i="44" s="1"/>
  <c r="U61" i="44"/>
  <c r="U641" i="44" s="1"/>
  <c r="V60" i="44"/>
  <c r="V640" i="44" s="1"/>
  <c r="W59" i="44"/>
  <c r="W639" i="44" s="1"/>
  <c r="X58" i="44"/>
  <c r="F58" i="44"/>
  <c r="G57" i="44"/>
  <c r="G637" i="44" s="1"/>
  <c r="H56" i="44"/>
  <c r="H636" i="44" s="1"/>
  <c r="I55" i="44"/>
  <c r="I635" i="44" s="1"/>
  <c r="I54" i="44"/>
  <c r="I634" i="44" s="1"/>
  <c r="L53" i="44"/>
  <c r="M52" i="44"/>
  <c r="M632" i="44" s="1"/>
  <c r="G75" i="44"/>
  <c r="G655" i="44" s="1"/>
  <c r="H74" i="44"/>
  <c r="H654" i="44" s="1"/>
  <c r="I73" i="44"/>
  <c r="I653" i="44" s="1"/>
  <c r="M72" i="44"/>
  <c r="M652" i="44" s="1"/>
  <c r="S71" i="44"/>
  <c r="S651" i="44" s="1"/>
  <c r="V70" i="44"/>
  <c r="V650" i="44" s="1"/>
  <c r="W69" i="44"/>
  <c r="W649" i="44" s="1"/>
  <c r="X68" i="44"/>
  <c r="F68" i="44"/>
  <c r="F648" i="44" s="1"/>
  <c r="H67" i="44"/>
  <c r="H647" i="44" s="1"/>
  <c r="M66" i="44"/>
  <c r="M646" i="44" s="1"/>
  <c r="M65" i="44"/>
  <c r="M645" i="44" s="1"/>
  <c r="N64" i="44"/>
  <c r="R63" i="44"/>
  <c r="R643" i="44" s="1"/>
  <c r="S62" i="44"/>
  <c r="S642" i="44" s="1"/>
  <c r="T61" i="44"/>
  <c r="T641" i="44" s="1"/>
  <c r="U60" i="44"/>
  <c r="U640" i="44" s="1"/>
  <c r="V59" i="44"/>
  <c r="V639" i="44" s="1"/>
  <c r="W58" i="44"/>
  <c r="W638" i="44" s="1"/>
  <c r="X57" i="44"/>
  <c r="F57" i="44"/>
  <c r="F637" i="44" s="1"/>
  <c r="G56" i="44"/>
  <c r="G636" i="44" s="1"/>
  <c r="G55" i="44"/>
  <c r="G635" i="44" s="1"/>
  <c r="H54" i="44"/>
  <c r="H634" i="44" s="1"/>
  <c r="I53" i="44"/>
  <c r="I633" i="44" s="1"/>
  <c r="L52" i="44"/>
  <c r="X75" i="44"/>
  <c r="F75" i="44"/>
  <c r="F655" i="44" s="1"/>
  <c r="G74" i="44"/>
  <c r="H73" i="44"/>
  <c r="H653" i="44" s="1"/>
  <c r="L72" i="44"/>
  <c r="L652" i="44" s="1"/>
  <c r="R71" i="44"/>
  <c r="R651" i="44" s="1"/>
  <c r="U70" i="44"/>
  <c r="U650" i="44" s="1"/>
  <c r="V69" i="44"/>
  <c r="V649" i="44" s="1"/>
  <c r="W68" i="44"/>
  <c r="W648" i="44" s="1"/>
  <c r="X67" i="44"/>
  <c r="G67" i="44"/>
  <c r="G647" i="44" s="1"/>
  <c r="I66" i="44"/>
  <c r="I646" i="44" s="1"/>
  <c r="L65" i="44"/>
  <c r="L645" i="44" s="1"/>
  <c r="M64" i="44"/>
  <c r="M644" i="44" s="1"/>
  <c r="N63" i="44"/>
  <c r="R62" i="44"/>
  <c r="R642" i="44" s="1"/>
  <c r="S61" i="44"/>
  <c r="S641" i="44" s="1"/>
  <c r="T60" i="44"/>
  <c r="T640" i="44" s="1"/>
  <c r="U59" i="44"/>
  <c r="U639" i="44" s="1"/>
  <c r="V58" i="44"/>
  <c r="V638" i="44" s="1"/>
  <c r="W57" i="44"/>
  <c r="W637" i="44" s="1"/>
  <c r="X56" i="44"/>
  <c r="X55" i="44"/>
  <c r="F55" i="44"/>
  <c r="F635" i="44" s="1"/>
  <c r="G54" i="44"/>
  <c r="G634" i="44" s="1"/>
  <c r="H53" i="44"/>
  <c r="H633" i="44" s="1"/>
  <c r="I52" i="44"/>
  <c r="I632" i="44" s="1"/>
  <c r="W75" i="44"/>
  <c r="W655" i="44" s="1"/>
  <c r="X74" i="44"/>
  <c r="F74" i="44"/>
  <c r="F654" i="44" s="1"/>
  <c r="G73" i="44"/>
  <c r="G653" i="44" s="1"/>
  <c r="I72" i="44"/>
  <c r="I652" i="44" s="1"/>
  <c r="T70" i="44"/>
  <c r="T650" i="44" s="1"/>
  <c r="U69" i="44"/>
  <c r="U649" i="44" s="1"/>
  <c r="V68" i="44"/>
  <c r="V648" i="44" s="1"/>
  <c r="W67" i="44"/>
  <c r="W647" i="44" s="1"/>
  <c r="X66" i="44"/>
  <c r="H66" i="44"/>
  <c r="I65" i="44"/>
  <c r="I645" i="44" s="1"/>
  <c r="L64" i="44"/>
  <c r="L644" i="44" s="1"/>
  <c r="M63" i="44"/>
  <c r="M643" i="44" s="1"/>
  <c r="N62" i="44"/>
  <c r="N642" i="44" s="1"/>
  <c r="R61" i="44"/>
  <c r="R641" i="44" s="1"/>
  <c r="S60" i="44"/>
  <c r="S640" i="44" s="1"/>
  <c r="T59" i="44"/>
  <c r="T639" i="44" s="1"/>
  <c r="U58" i="44"/>
  <c r="U638" i="44" s="1"/>
  <c r="V57" i="44"/>
  <c r="V637" i="44" s="1"/>
  <c r="V56" i="44"/>
  <c r="V636" i="44" s="1"/>
  <c r="W55" i="44"/>
  <c r="W635" i="44" s="1"/>
  <c r="X54" i="44"/>
  <c r="F54" i="44"/>
  <c r="F634" i="44" s="1"/>
  <c r="G53" i="44"/>
  <c r="G633" i="44" s="1"/>
  <c r="H52" i="44"/>
  <c r="H632" i="44" s="1"/>
  <c r="V75" i="44"/>
  <c r="V655" i="44" s="1"/>
  <c r="W74" i="44"/>
  <c r="W654" i="44" s="1"/>
  <c r="X73" i="44"/>
  <c r="F73" i="44"/>
  <c r="F653" i="44" s="1"/>
  <c r="H72" i="44"/>
  <c r="H652" i="44" s="1"/>
  <c r="S70" i="44"/>
  <c r="S650" i="44" s="1"/>
  <c r="T69" i="44"/>
  <c r="T649" i="44" s="1"/>
  <c r="U68" i="44"/>
  <c r="U648" i="44" s="1"/>
  <c r="U67" i="44"/>
  <c r="U647" i="44" s="1"/>
  <c r="W66" i="44"/>
  <c r="W646" i="44" s="1"/>
  <c r="G66" i="44"/>
  <c r="G646" i="44" s="1"/>
  <c r="H65" i="44"/>
  <c r="H645" i="44" s="1"/>
  <c r="I64" i="44"/>
  <c r="I644" i="44" s="1"/>
  <c r="L63" i="44"/>
  <c r="L643" i="44" s="1"/>
  <c r="M62" i="44"/>
  <c r="M642" i="44" s="1"/>
  <c r="N61" i="44"/>
  <c r="N641" i="44" s="1"/>
  <c r="R60" i="44"/>
  <c r="R640" i="44" s="1"/>
  <c r="P1196" i="44" s="1"/>
  <c r="S59" i="44"/>
  <c r="S639" i="44" s="1"/>
  <c r="T58" i="44"/>
  <c r="T638" i="44" s="1"/>
  <c r="T57" i="44"/>
  <c r="T637" i="44" s="1"/>
  <c r="U56" i="44"/>
  <c r="U636" i="44" s="1"/>
  <c r="V55" i="44"/>
  <c r="V635" i="44" s="1"/>
  <c r="W54" i="44"/>
  <c r="W634" i="44" s="1"/>
  <c r="X53" i="44"/>
  <c r="F53" i="44"/>
  <c r="F633" i="44" s="1"/>
  <c r="G52" i="44"/>
  <c r="G632" i="44" s="1"/>
  <c r="U75" i="44"/>
  <c r="U655" i="44" s="1"/>
  <c r="V74" i="44"/>
  <c r="V654" i="44" s="1"/>
  <c r="W73" i="44"/>
  <c r="W653" i="44" s="1"/>
  <c r="X72" i="44"/>
  <c r="G72" i="44"/>
  <c r="G652" i="44" s="1"/>
  <c r="N71" i="44"/>
  <c r="R70" i="44"/>
  <c r="R650" i="44" s="1"/>
  <c r="S69" i="44"/>
  <c r="S649" i="44" s="1"/>
  <c r="S68" i="44"/>
  <c r="S648" i="44" s="1"/>
  <c r="T67" i="44"/>
  <c r="T647" i="44" s="1"/>
  <c r="V66" i="44"/>
  <c r="V646" i="44" s="1"/>
  <c r="F66" i="44"/>
  <c r="F646" i="44" s="1"/>
  <c r="G65" i="44"/>
  <c r="G645" i="44" s="1"/>
  <c r="H64" i="44"/>
  <c r="H644" i="44" s="1"/>
  <c r="I63" i="44"/>
  <c r="I643" i="44" s="1"/>
  <c r="L62" i="44"/>
  <c r="M61" i="44"/>
  <c r="M641" i="44" s="1"/>
  <c r="N60" i="44"/>
  <c r="N640" i="44" s="1"/>
  <c r="R59" i="44"/>
  <c r="R639" i="44" s="1"/>
  <c r="R58" i="44"/>
  <c r="R638" i="44" s="1"/>
  <c r="S57" i="44"/>
  <c r="S637" i="44" s="1"/>
  <c r="T56" i="44"/>
  <c r="T636" i="44" s="1"/>
  <c r="U55" i="44"/>
  <c r="U635" i="44" s="1"/>
  <c r="V54" i="44"/>
  <c r="V634" i="44" s="1"/>
  <c r="W53" i="44"/>
  <c r="W633" i="44" s="1"/>
  <c r="X52" i="44"/>
  <c r="F52" i="44"/>
  <c r="T75" i="44"/>
  <c r="T655" i="44" s="1"/>
  <c r="U74" i="44"/>
  <c r="U654" i="44" s="1"/>
  <c r="V73" i="44"/>
  <c r="V653" i="44" s="1"/>
  <c r="W72" i="44"/>
  <c r="W652" i="44" s="1"/>
  <c r="F72" i="44"/>
  <c r="M71" i="44"/>
  <c r="M651" i="44" s="1"/>
  <c r="N70" i="44"/>
  <c r="N650" i="44" s="1"/>
  <c r="N69" i="44"/>
  <c r="N649" i="44" s="1"/>
  <c r="R68" i="44"/>
  <c r="R648" i="44" s="1"/>
  <c r="S67" i="44"/>
  <c r="S647" i="44" s="1"/>
  <c r="U66" i="44"/>
  <c r="U646" i="44" s="1"/>
  <c r="X65" i="44"/>
  <c r="F65" i="44"/>
  <c r="F645" i="44" s="1"/>
  <c r="G64" i="44"/>
  <c r="G644" i="44" s="1"/>
  <c r="H63" i="44"/>
  <c r="H643" i="44" s="1"/>
  <c r="I62" i="44"/>
  <c r="I642" i="44" s="1"/>
  <c r="L61" i="44"/>
  <c r="M60" i="44"/>
  <c r="M640" i="44" s="1"/>
  <c r="M59" i="44"/>
  <c r="M639" i="44" s="1"/>
  <c r="N58" i="44"/>
  <c r="N638" i="44" s="1"/>
  <c r="R57" i="44"/>
  <c r="R637" i="44" s="1"/>
  <c r="S56" i="44"/>
  <c r="S636" i="44" s="1"/>
  <c r="T55" i="44"/>
  <c r="T635" i="44" s="1"/>
  <c r="U54" i="44"/>
  <c r="U634" i="44" s="1"/>
  <c r="S1190" i="44" s="1"/>
  <c r="V53" i="44"/>
  <c r="V633" i="44" s="1"/>
  <c r="W52" i="44"/>
  <c r="W632" i="44" s="1"/>
  <c r="S75" i="44"/>
  <c r="S655" i="44" s="1"/>
  <c r="T74" i="44"/>
  <c r="T654" i="44" s="1"/>
  <c r="U73" i="44"/>
  <c r="U653" i="44" s="1"/>
  <c r="V72" i="44"/>
  <c r="V652" i="44" s="1"/>
  <c r="L71" i="44"/>
  <c r="L651" i="44" s="1"/>
  <c r="L70" i="44"/>
  <c r="M69" i="44"/>
  <c r="N68" i="44"/>
  <c r="N648" i="44" s="1"/>
  <c r="R67" i="44"/>
  <c r="R647" i="44" s="1"/>
  <c r="T66" i="44"/>
  <c r="T646" i="44" s="1"/>
  <c r="W65" i="44"/>
  <c r="W645" i="44" s="1"/>
  <c r="X64" i="44"/>
  <c r="F64" i="44"/>
  <c r="G63" i="44"/>
  <c r="G643" i="44" s="1"/>
  <c r="H62" i="44"/>
  <c r="H642" i="44" s="1"/>
  <c r="I61" i="44"/>
  <c r="I641" i="44" s="1"/>
  <c r="I60" i="44"/>
  <c r="I640" i="44" s="1"/>
  <c r="L59" i="44"/>
  <c r="M58" i="44"/>
  <c r="M638" i="44" s="1"/>
  <c r="N57" i="44"/>
  <c r="N637" i="44" s="1"/>
  <c r="R56" i="44"/>
  <c r="R636" i="44" s="1"/>
  <c r="S55" i="44"/>
  <c r="S635" i="44" s="1"/>
  <c r="T54" i="44"/>
  <c r="T634" i="44" s="1"/>
  <c r="U53" i="44"/>
  <c r="U633" i="44" s="1"/>
  <c r="V52" i="44"/>
  <c r="V632" i="44" s="1"/>
  <c r="I70" i="44"/>
  <c r="I650" i="44" s="1"/>
  <c r="I59" i="44"/>
  <c r="I639" i="44" s="1"/>
  <c r="L69" i="44"/>
  <c r="L649" i="44" s="1"/>
  <c r="L58" i="44"/>
  <c r="M68" i="44"/>
  <c r="M648" i="44" s="1"/>
  <c r="M57" i="44"/>
  <c r="M637" i="44" s="1"/>
  <c r="P67" i="44"/>
  <c r="N56" i="44"/>
  <c r="N636" i="44" s="1"/>
  <c r="S66" i="44"/>
  <c r="S646" i="44" s="1"/>
  <c r="R55" i="44"/>
  <c r="R635" i="44" s="1"/>
  <c r="V65" i="44"/>
  <c r="V645" i="44" s="1"/>
  <c r="S54" i="44"/>
  <c r="S634" i="44" s="1"/>
  <c r="R75" i="44"/>
  <c r="R655" i="44" s="1"/>
  <c r="W64" i="44"/>
  <c r="W644" i="44" s="1"/>
  <c r="T53" i="44"/>
  <c r="T633" i="44" s="1"/>
  <c r="S74" i="44"/>
  <c r="S654" i="44" s="1"/>
  <c r="X63" i="44"/>
  <c r="U52" i="44"/>
  <c r="U632" i="44" s="1"/>
  <c r="T73" i="44"/>
  <c r="T653" i="44" s="1"/>
  <c r="F63" i="44"/>
  <c r="U72" i="44"/>
  <c r="U652" i="44" s="1"/>
  <c r="G62" i="44"/>
  <c r="G642" i="44" s="1"/>
  <c r="G61" i="44"/>
  <c r="G641" i="44" s="1"/>
  <c r="H71" i="44"/>
  <c r="H651" i="44" s="1"/>
  <c r="H60" i="44"/>
  <c r="H640" i="44" s="1"/>
  <c r="P344" i="44"/>
  <c r="P361" i="44"/>
  <c r="K409" i="44"/>
  <c r="K117" i="44"/>
  <c r="N411" i="44"/>
  <c r="N991" i="44" s="1"/>
  <c r="S410" i="44"/>
  <c r="S990" i="44" s="1"/>
  <c r="U409" i="44"/>
  <c r="U989" i="44" s="1"/>
  <c r="W408" i="44"/>
  <c r="W988" i="44" s="1"/>
  <c r="H408" i="44"/>
  <c r="H988" i="44" s="1"/>
  <c r="L407" i="44"/>
  <c r="L987" i="44" s="1"/>
  <c r="N406" i="44"/>
  <c r="N986" i="44" s="1"/>
  <c r="S405" i="44"/>
  <c r="S985" i="44" s="1"/>
  <c r="U404" i="44"/>
  <c r="U984" i="44" s="1"/>
  <c r="X403" i="44"/>
  <c r="G403" i="44"/>
  <c r="G983" i="44" s="1"/>
  <c r="I402" i="44"/>
  <c r="I982" i="44" s="1"/>
  <c r="N401" i="44"/>
  <c r="N981" i="44" s="1"/>
  <c r="S400" i="44"/>
  <c r="S980" i="44" s="1"/>
  <c r="V399" i="44"/>
  <c r="V979" i="44" s="1"/>
  <c r="G399" i="44"/>
  <c r="G979" i="44" s="1"/>
  <c r="I398" i="44"/>
  <c r="I978" i="44" s="1"/>
  <c r="M397" i="44"/>
  <c r="M977" i="44" s="1"/>
  <c r="R396" i="44"/>
  <c r="R976" i="44" s="1"/>
  <c r="U395" i="44"/>
  <c r="U975" i="44" s="1"/>
  <c r="W394" i="44"/>
  <c r="W974" i="44" s="1"/>
  <c r="H394" i="44"/>
  <c r="H974" i="44" s="1"/>
  <c r="L393" i="44"/>
  <c r="L973" i="44" s="1"/>
  <c r="N392" i="44"/>
  <c r="N972" i="44" s="1"/>
  <c r="S391" i="44"/>
  <c r="S971" i="44" s="1"/>
  <c r="U390" i="44"/>
  <c r="U970" i="44" s="1"/>
  <c r="X389" i="44"/>
  <c r="I389" i="44"/>
  <c r="I969" i="44" s="1"/>
  <c r="M388" i="44"/>
  <c r="I411" i="44"/>
  <c r="I991" i="44" s="1"/>
  <c r="L410" i="44"/>
  <c r="L990" i="44" s="1"/>
  <c r="M409" i="44"/>
  <c r="M989" i="44" s="1"/>
  <c r="T407" i="44"/>
  <c r="T987" i="44" s="1"/>
  <c r="U406" i="44"/>
  <c r="U986" i="44" s="1"/>
  <c r="V405" i="44"/>
  <c r="V985" i="44" s="1"/>
  <c r="W404" i="44"/>
  <c r="W984" i="44" s="1"/>
  <c r="F404" i="44"/>
  <c r="F984" i="44" s="1"/>
  <c r="F403" i="44"/>
  <c r="G402" i="44"/>
  <c r="G982" i="44" s="1"/>
  <c r="I401" i="44"/>
  <c r="I981" i="44" s="1"/>
  <c r="M400" i="44"/>
  <c r="M980" i="44" s="1"/>
  <c r="T398" i="44"/>
  <c r="T978" i="44" s="1"/>
  <c r="U397" i="44"/>
  <c r="U977" i="44" s="1"/>
  <c r="V396" i="44"/>
  <c r="V976" i="44" s="1"/>
  <c r="X395" i="44"/>
  <c r="F395" i="44"/>
  <c r="F975" i="44" s="1"/>
  <c r="I394" i="44"/>
  <c r="I974" i="44" s="1"/>
  <c r="I393" i="44"/>
  <c r="I973" i="44" s="1"/>
  <c r="L392" i="44"/>
  <c r="M391" i="44"/>
  <c r="M971" i="44" s="1"/>
  <c r="S389" i="44"/>
  <c r="S969" i="44" s="1"/>
  <c r="V388" i="44"/>
  <c r="V968" i="44" s="1"/>
  <c r="H411" i="44"/>
  <c r="H991" i="44" s="1"/>
  <c r="I410" i="44"/>
  <c r="I990" i="44" s="1"/>
  <c r="L409" i="44"/>
  <c r="S407" i="44"/>
  <c r="S987" i="44" s="1"/>
  <c r="T406" i="44"/>
  <c r="T986" i="44" s="1"/>
  <c r="U405" i="44"/>
  <c r="U985" i="44" s="1"/>
  <c r="V404" i="44"/>
  <c r="V984" i="44" s="1"/>
  <c r="W403" i="44"/>
  <c r="W983" i="44" s="1"/>
  <c r="X402" i="44"/>
  <c r="F402" i="44"/>
  <c r="F982" i="44" s="1"/>
  <c r="H401" i="44"/>
  <c r="H981" i="44" s="1"/>
  <c r="L400" i="44"/>
  <c r="L980" i="44" s="1"/>
  <c r="S398" i="44"/>
  <c r="S978" i="44" s="1"/>
  <c r="T397" i="44"/>
  <c r="T977" i="44" s="1"/>
  <c r="U396" i="44"/>
  <c r="U976" i="44" s="1"/>
  <c r="W395" i="44"/>
  <c r="W975" i="44" s="1"/>
  <c r="X394" i="44"/>
  <c r="G394" i="44"/>
  <c r="G974" i="44" s="1"/>
  <c r="H393" i="44"/>
  <c r="H973" i="44" s="1"/>
  <c r="I392" i="44"/>
  <c r="I972" i="44" s="1"/>
  <c r="L391" i="44"/>
  <c r="L971" i="44" s="1"/>
  <c r="N390" i="44"/>
  <c r="N970" i="44" s="1"/>
  <c r="R389" i="44"/>
  <c r="R969" i="44" s="1"/>
  <c r="U388" i="44"/>
  <c r="U968" i="44" s="1"/>
  <c r="X411" i="44"/>
  <c r="G411" i="44"/>
  <c r="G991" i="44" s="1"/>
  <c r="H410" i="44"/>
  <c r="H990" i="44" s="1"/>
  <c r="I409" i="44"/>
  <c r="I989" i="44" s="1"/>
  <c r="N408" i="44"/>
  <c r="N988" i="44" s="1"/>
  <c r="R407" i="44"/>
  <c r="R987" i="44" s="1"/>
  <c r="S406" i="44"/>
  <c r="S986" i="44" s="1"/>
  <c r="T405" i="44"/>
  <c r="T985" i="44" s="1"/>
  <c r="T404" i="44"/>
  <c r="T984" i="44" s="1"/>
  <c r="V403" i="44"/>
  <c r="V983" i="44" s="1"/>
  <c r="W402" i="44"/>
  <c r="W982" i="44" s="1"/>
  <c r="X401" i="44"/>
  <c r="G401" i="44"/>
  <c r="G981" i="44" s="1"/>
  <c r="I400" i="44"/>
  <c r="I980" i="44" s="1"/>
  <c r="N399" i="44"/>
  <c r="N979" i="44" s="1"/>
  <c r="R398" i="44"/>
  <c r="R978" i="44" s="1"/>
  <c r="S397" i="44"/>
  <c r="S977" i="44" s="1"/>
  <c r="T396" i="44"/>
  <c r="T976" i="44" s="1"/>
  <c r="V395" i="44"/>
  <c r="V975" i="44" s="1"/>
  <c r="V394" i="44"/>
  <c r="V974" i="44" s="1"/>
  <c r="F394" i="44"/>
  <c r="G393" i="44"/>
  <c r="G973" i="44" s="1"/>
  <c r="H392" i="44"/>
  <c r="H972" i="44" s="1"/>
  <c r="I391" i="44"/>
  <c r="I971" i="44" s="1"/>
  <c r="M390" i="44"/>
  <c r="M970" i="44" s="1"/>
  <c r="T388" i="44"/>
  <c r="T968" i="44" s="1"/>
  <c r="W411" i="44"/>
  <c r="W991" i="44" s="1"/>
  <c r="F411" i="44"/>
  <c r="F991" i="44" s="1"/>
  <c r="G410" i="44"/>
  <c r="G990" i="44" s="1"/>
  <c r="H409" i="44"/>
  <c r="H989" i="44" s="1"/>
  <c r="M408" i="44"/>
  <c r="M988" i="44" s="1"/>
  <c r="N407" i="44"/>
  <c r="N987" i="44" s="1"/>
  <c r="R406" i="44"/>
  <c r="R986" i="44" s="1"/>
  <c r="R405" i="44"/>
  <c r="R985" i="44" s="1"/>
  <c r="S404" i="44"/>
  <c r="S984" i="44" s="1"/>
  <c r="U403" i="44"/>
  <c r="U983" i="44" s="1"/>
  <c r="V402" i="44"/>
  <c r="V982" i="44" s="1"/>
  <c r="W401" i="44"/>
  <c r="W981" i="44" s="1"/>
  <c r="F401" i="44"/>
  <c r="F981" i="44" s="1"/>
  <c r="H400" i="44"/>
  <c r="H980" i="44" s="1"/>
  <c r="M399" i="44"/>
  <c r="M979" i="44" s="1"/>
  <c r="N398" i="44"/>
  <c r="N978" i="44" s="1"/>
  <c r="R397" i="44"/>
  <c r="R977" i="44" s="1"/>
  <c r="S396" i="44"/>
  <c r="S976" i="44" s="1"/>
  <c r="T395" i="44"/>
  <c r="T975" i="44" s="1"/>
  <c r="U394" i="44"/>
  <c r="U974" i="44" s="1"/>
  <c r="X393" i="44"/>
  <c r="F393" i="44"/>
  <c r="F973" i="44" s="1"/>
  <c r="G392" i="44"/>
  <c r="G972" i="44" s="1"/>
  <c r="H391" i="44"/>
  <c r="H971" i="44" s="1"/>
  <c r="L390" i="44"/>
  <c r="L970" i="44" s="1"/>
  <c r="S388" i="44"/>
  <c r="S968" i="44" s="1"/>
  <c r="V411" i="44"/>
  <c r="V991" i="44" s="1"/>
  <c r="X410" i="44"/>
  <c r="F410" i="44"/>
  <c r="G409" i="44"/>
  <c r="G989" i="44" s="1"/>
  <c r="L408" i="44"/>
  <c r="M407" i="44"/>
  <c r="M987" i="44" s="1"/>
  <c r="M406" i="44"/>
  <c r="M986" i="44" s="1"/>
  <c r="N405" i="44"/>
  <c r="N985" i="44" s="1"/>
  <c r="R404" i="44"/>
  <c r="R984" i="44" s="1"/>
  <c r="T403" i="44"/>
  <c r="T983" i="44" s="1"/>
  <c r="U402" i="44"/>
  <c r="U982" i="44" s="1"/>
  <c r="V401" i="44"/>
  <c r="V981" i="44" s="1"/>
  <c r="X400" i="44"/>
  <c r="G400" i="44"/>
  <c r="G980" i="44" s="1"/>
  <c r="L399" i="44"/>
  <c r="L979" i="44" s="1"/>
  <c r="M398" i="44"/>
  <c r="M978" i="44" s="1"/>
  <c r="N397" i="44"/>
  <c r="N977" i="44" s="1"/>
  <c r="N396" i="44"/>
  <c r="N976" i="44" s="1"/>
  <c r="S395" i="44"/>
  <c r="S975" i="44" s="1"/>
  <c r="T394" i="44"/>
  <c r="T974" i="44" s="1"/>
  <c r="W393" i="44"/>
  <c r="W973" i="44" s="1"/>
  <c r="X392" i="44"/>
  <c r="F392" i="44"/>
  <c r="F972" i="44" s="1"/>
  <c r="G391" i="44"/>
  <c r="G971" i="44" s="1"/>
  <c r="I390" i="44"/>
  <c r="I970" i="44" s="1"/>
  <c r="N389" i="44"/>
  <c r="N969" i="44" s="1"/>
  <c r="R388" i="44"/>
  <c r="R968" i="44" s="1"/>
  <c r="U411" i="44"/>
  <c r="U991" i="44" s="1"/>
  <c r="W410" i="44"/>
  <c r="W990" i="44" s="1"/>
  <c r="X409" i="44"/>
  <c r="F409" i="44"/>
  <c r="F989" i="44" s="1"/>
  <c r="I408" i="44"/>
  <c r="I988" i="44" s="1"/>
  <c r="I407" i="44"/>
  <c r="I987" i="44" s="1"/>
  <c r="L406" i="44"/>
  <c r="M405" i="44"/>
  <c r="M985" i="44" s="1"/>
  <c r="P404" i="44"/>
  <c r="S403" i="44"/>
  <c r="S983" i="44" s="1"/>
  <c r="T402" i="44"/>
  <c r="T982" i="44" s="1"/>
  <c r="U401" i="44"/>
  <c r="U981" i="44" s="1"/>
  <c r="W400" i="44"/>
  <c r="W980" i="44" s="1"/>
  <c r="F400" i="44"/>
  <c r="I399" i="44"/>
  <c r="I979" i="44" s="1"/>
  <c r="L398" i="44"/>
  <c r="L978" i="44" s="1"/>
  <c r="L397" i="44"/>
  <c r="L977" i="44" s="1"/>
  <c r="M396" i="44"/>
  <c r="M976" i="44" s="1"/>
  <c r="R395" i="44"/>
  <c r="R975" i="44" s="1"/>
  <c r="S394" i="44"/>
  <c r="S974" i="44" s="1"/>
  <c r="V393" i="44"/>
  <c r="V973" i="44" s="1"/>
  <c r="W392" i="44"/>
  <c r="W972" i="44" s="1"/>
  <c r="X391" i="44"/>
  <c r="F391" i="44"/>
  <c r="F971" i="44" s="1"/>
  <c r="H390" i="44"/>
  <c r="H970" i="44" s="1"/>
  <c r="M389" i="44"/>
  <c r="M969" i="44" s="1"/>
  <c r="N388" i="44"/>
  <c r="N968" i="44" s="1"/>
  <c r="T411" i="44"/>
  <c r="T991" i="44" s="1"/>
  <c r="V410" i="44"/>
  <c r="V990" i="44" s="1"/>
  <c r="W409" i="44"/>
  <c r="W989" i="44" s="1"/>
  <c r="X408" i="44"/>
  <c r="G408" i="44"/>
  <c r="G988" i="44" s="1"/>
  <c r="H407" i="44"/>
  <c r="H987" i="44" s="1"/>
  <c r="I406" i="44"/>
  <c r="I986" i="44" s="1"/>
  <c r="L405" i="44"/>
  <c r="L985" i="44" s="1"/>
  <c r="N404" i="44"/>
  <c r="N984" i="44" s="1"/>
  <c r="R403" i="44"/>
  <c r="R983" i="44" s="1"/>
  <c r="S402" i="44"/>
  <c r="S982" i="44" s="1"/>
  <c r="T401" i="44"/>
  <c r="T981" i="44" s="1"/>
  <c r="V400" i="44"/>
  <c r="V980" i="44" s="1"/>
  <c r="X399" i="44"/>
  <c r="H399" i="44"/>
  <c r="H979" i="44" s="1"/>
  <c r="H398" i="44"/>
  <c r="H978" i="44" s="1"/>
  <c r="I397" i="44"/>
  <c r="I977" i="44" s="1"/>
  <c r="L396" i="44"/>
  <c r="N395" i="44"/>
  <c r="N975" i="44" s="1"/>
  <c r="R394" i="44"/>
  <c r="R974" i="44" s="1"/>
  <c r="U393" i="44"/>
  <c r="U973" i="44" s="1"/>
  <c r="V392" i="44"/>
  <c r="V972" i="44" s="1"/>
  <c r="W391" i="44"/>
  <c r="W971" i="44" s="1"/>
  <c r="X390" i="44"/>
  <c r="G390" i="44"/>
  <c r="G970" i="44" s="1"/>
  <c r="L389" i="44"/>
  <c r="L969" i="44" s="1"/>
  <c r="L388" i="44"/>
  <c r="L968" i="44" s="1"/>
  <c r="S411" i="44"/>
  <c r="S991" i="44" s="1"/>
  <c r="U410" i="44"/>
  <c r="U990" i="44" s="1"/>
  <c r="V409" i="44"/>
  <c r="V989" i="44" s="1"/>
  <c r="V408" i="44"/>
  <c r="V988" i="44" s="1"/>
  <c r="F408" i="44"/>
  <c r="F988" i="44" s="1"/>
  <c r="G407" i="44"/>
  <c r="G987" i="44" s="1"/>
  <c r="H406" i="44"/>
  <c r="H986" i="44" s="1"/>
  <c r="I405" i="44"/>
  <c r="I985" i="44" s="1"/>
  <c r="M404" i="44"/>
  <c r="M984" i="44" s="1"/>
  <c r="N403" i="44"/>
  <c r="N983" i="44" s="1"/>
  <c r="R402" i="44"/>
  <c r="R982" i="44" s="1"/>
  <c r="S401" i="44"/>
  <c r="S981" i="44" s="1"/>
  <c r="U400" i="44"/>
  <c r="U980" i="44" s="1"/>
  <c r="W399" i="44"/>
  <c r="W979" i="44" s="1"/>
  <c r="F399" i="44"/>
  <c r="F979" i="44" s="1"/>
  <c r="G398" i="44"/>
  <c r="G978" i="44" s="1"/>
  <c r="H397" i="44"/>
  <c r="H977" i="44" s="1"/>
  <c r="I396" i="44"/>
  <c r="I976" i="44" s="1"/>
  <c r="M395" i="44"/>
  <c r="M975" i="44" s="1"/>
  <c r="T393" i="44"/>
  <c r="T973" i="44" s="1"/>
  <c r="U392" i="44"/>
  <c r="U972" i="44" s="1"/>
  <c r="V391" i="44"/>
  <c r="V971" i="44" s="1"/>
  <c r="W390" i="44"/>
  <c r="W970" i="44" s="1"/>
  <c r="F390" i="44"/>
  <c r="F970" i="44" s="1"/>
  <c r="H389" i="44"/>
  <c r="H969" i="44" s="1"/>
  <c r="I388" i="44"/>
  <c r="I968" i="44" s="1"/>
  <c r="R411" i="44"/>
  <c r="R991" i="44" s="1"/>
  <c r="T410" i="44"/>
  <c r="T990" i="44" s="1"/>
  <c r="T409" i="44"/>
  <c r="T989" i="44" s="1"/>
  <c r="U408" i="44"/>
  <c r="U988" i="44" s="1"/>
  <c r="X407" i="44"/>
  <c r="F407" i="44"/>
  <c r="F987" i="44" s="1"/>
  <c r="G406" i="44"/>
  <c r="G986" i="44" s="1"/>
  <c r="H405" i="44"/>
  <c r="H985" i="44" s="1"/>
  <c r="L404" i="44"/>
  <c r="L984" i="44" s="1"/>
  <c r="M403" i="44"/>
  <c r="M983" i="44" s="1"/>
  <c r="N402" i="44"/>
  <c r="N982" i="44" s="1"/>
  <c r="R401" i="44"/>
  <c r="R981" i="44" s="1"/>
  <c r="T400" i="44"/>
  <c r="T980" i="44" s="1"/>
  <c r="U399" i="44"/>
  <c r="U979" i="44" s="1"/>
  <c r="X398" i="44"/>
  <c r="F398" i="44"/>
  <c r="G397" i="44"/>
  <c r="G977" i="44" s="1"/>
  <c r="H396" i="44"/>
  <c r="H976" i="44" s="1"/>
  <c r="L395" i="44"/>
  <c r="S393" i="44"/>
  <c r="S973" i="44" s="1"/>
  <c r="T392" i="44"/>
  <c r="T972" i="44" s="1"/>
  <c r="U391" i="44"/>
  <c r="U971" i="44" s="1"/>
  <c r="V390" i="44"/>
  <c r="V970" i="44" s="1"/>
  <c r="W389" i="44"/>
  <c r="W969" i="44" s="1"/>
  <c r="G389" i="44"/>
  <c r="G969" i="44" s="1"/>
  <c r="H388" i="44"/>
  <c r="H968" i="44" s="1"/>
  <c r="R410" i="44"/>
  <c r="R990" i="44" s="1"/>
  <c r="S409" i="44"/>
  <c r="S989" i="44" s="1"/>
  <c r="T408" i="44"/>
  <c r="T988" i="44" s="1"/>
  <c r="W407" i="44"/>
  <c r="W987" i="44" s="1"/>
  <c r="X406" i="44"/>
  <c r="F406" i="44"/>
  <c r="F986" i="44" s="1"/>
  <c r="G405" i="44"/>
  <c r="G985" i="44" s="1"/>
  <c r="I404" i="44"/>
  <c r="I984" i="44" s="1"/>
  <c r="L403" i="44"/>
  <c r="L983" i="44" s="1"/>
  <c r="M402" i="44"/>
  <c r="M982" i="44" s="1"/>
  <c r="R400" i="44"/>
  <c r="R980" i="44" s="1"/>
  <c r="T399" i="44"/>
  <c r="T979" i="44" s="1"/>
  <c r="W398" i="44"/>
  <c r="W978" i="44" s="1"/>
  <c r="X397" i="44"/>
  <c r="F397" i="44"/>
  <c r="F977" i="44" s="1"/>
  <c r="G396" i="44"/>
  <c r="G976" i="44" s="1"/>
  <c r="I395" i="44"/>
  <c r="I975" i="44" s="1"/>
  <c r="N394" i="44"/>
  <c r="N974" i="44" s="1"/>
  <c r="R393" i="44"/>
  <c r="R973" i="44" s="1"/>
  <c r="S392" i="44"/>
  <c r="S972" i="44" s="1"/>
  <c r="M411" i="44"/>
  <c r="M991" i="44" s="1"/>
  <c r="N410" i="44"/>
  <c r="N990" i="44" s="1"/>
  <c r="R409" i="44"/>
  <c r="R989" i="44" s="1"/>
  <c r="S408" i="44"/>
  <c r="S988" i="44" s="1"/>
  <c r="V407" i="44"/>
  <c r="V987" i="44" s="1"/>
  <c r="W406" i="44"/>
  <c r="W986" i="44" s="1"/>
  <c r="X405" i="44"/>
  <c r="F405" i="44"/>
  <c r="H404" i="44"/>
  <c r="H984" i="44" s="1"/>
  <c r="I403" i="44"/>
  <c r="I983" i="44" s="1"/>
  <c r="L402" i="44"/>
  <c r="M401" i="44"/>
  <c r="M981" i="44" s="1"/>
  <c r="S399" i="44"/>
  <c r="S979" i="44" s="1"/>
  <c r="V398" i="44"/>
  <c r="V978" i="44" s="1"/>
  <c r="W397" i="44"/>
  <c r="W977" i="44" s="1"/>
  <c r="X396" i="44"/>
  <c r="F396" i="44"/>
  <c r="F976" i="44" s="1"/>
  <c r="H395" i="44"/>
  <c r="H975" i="44" s="1"/>
  <c r="M394" i="44"/>
  <c r="M974" i="44" s="1"/>
  <c r="N393" i="44"/>
  <c r="N973" i="44" s="1"/>
  <c r="R392" i="44"/>
  <c r="R972" i="44" s="1"/>
  <c r="R391" i="44"/>
  <c r="R971" i="44" s="1"/>
  <c r="S390" i="44"/>
  <c r="S970" i="44" s="1"/>
  <c r="U389" i="44"/>
  <c r="U969" i="44" s="1"/>
  <c r="X388" i="44"/>
  <c r="F388" i="44"/>
  <c r="F968" i="44" s="1"/>
  <c r="H403" i="44"/>
  <c r="H983" i="44" s="1"/>
  <c r="M392" i="44"/>
  <c r="M972" i="44" s="1"/>
  <c r="H402" i="44"/>
  <c r="H982" i="44" s="1"/>
  <c r="T391" i="44"/>
  <c r="T971" i="44" s="1"/>
  <c r="L401" i="44"/>
  <c r="L981" i="44" s="1"/>
  <c r="N391" i="44"/>
  <c r="L411" i="44"/>
  <c r="L991" i="44" s="1"/>
  <c r="N400" i="44"/>
  <c r="T390" i="44"/>
  <c r="T970" i="44" s="1"/>
  <c r="M410" i="44"/>
  <c r="M990" i="44" s="1"/>
  <c r="R399" i="44"/>
  <c r="R979" i="44" s="1"/>
  <c r="P1199" i="44" s="1"/>
  <c r="R390" i="44"/>
  <c r="R970" i="44" s="1"/>
  <c r="N409" i="44"/>
  <c r="N989" i="44" s="1"/>
  <c r="U398" i="44"/>
  <c r="U978" i="44" s="1"/>
  <c r="V389" i="44"/>
  <c r="V969" i="44" s="1"/>
  <c r="R408" i="44"/>
  <c r="R988" i="44" s="1"/>
  <c r="V397" i="44"/>
  <c r="V977" i="44" s="1"/>
  <c r="T389" i="44"/>
  <c r="T969" i="44" s="1"/>
  <c r="U407" i="44"/>
  <c r="U987" i="44" s="1"/>
  <c r="W396" i="44"/>
  <c r="W976" i="44" s="1"/>
  <c r="F389" i="44"/>
  <c r="F969" i="44" s="1"/>
  <c r="V406" i="44"/>
  <c r="V986" i="44" s="1"/>
  <c r="W388" i="44"/>
  <c r="W968" i="44" s="1"/>
  <c r="W405" i="44"/>
  <c r="W985" i="44" s="1"/>
  <c r="G395" i="44"/>
  <c r="G975" i="44" s="1"/>
  <c r="G388" i="44"/>
  <c r="G968" i="44" s="1"/>
  <c r="X404" i="44"/>
  <c r="L394" i="44"/>
  <c r="G404" i="44"/>
  <c r="G984" i="44" s="1"/>
  <c r="M393" i="44"/>
  <c r="W123" i="44"/>
  <c r="W703" i="44" s="1"/>
  <c r="G123" i="44"/>
  <c r="G703" i="44" s="1"/>
  <c r="M122" i="44"/>
  <c r="M702" i="44" s="1"/>
  <c r="R121" i="44"/>
  <c r="R701" i="44" s="1"/>
  <c r="T120" i="44"/>
  <c r="T700" i="44" s="1"/>
  <c r="V119" i="44"/>
  <c r="V699" i="44" s="1"/>
  <c r="X118" i="44"/>
  <c r="G118" i="44"/>
  <c r="G698" i="44" s="1"/>
  <c r="I117" i="44"/>
  <c r="I697" i="44" s="1"/>
  <c r="R116" i="44"/>
  <c r="R696" i="44" s="1"/>
  <c r="T115" i="44"/>
  <c r="T695" i="44" s="1"/>
  <c r="V114" i="44"/>
  <c r="V694" i="44" s="1"/>
  <c r="X113" i="44"/>
  <c r="G113" i="44"/>
  <c r="G693" i="44" s="1"/>
  <c r="I112" i="44"/>
  <c r="I692" i="44" s="1"/>
  <c r="M111" i="44"/>
  <c r="R110" i="44"/>
  <c r="R690" i="44" s="1"/>
  <c r="T109" i="44"/>
  <c r="T689" i="44" s="1"/>
  <c r="W108" i="44"/>
  <c r="W688" i="44" s="1"/>
  <c r="F108" i="44"/>
  <c r="F688" i="44" s="1"/>
  <c r="H107" i="44"/>
  <c r="H687" i="44" s="1"/>
  <c r="M106" i="44"/>
  <c r="M686" i="44" s="1"/>
  <c r="R105" i="44"/>
  <c r="R685" i="44" s="1"/>
  <c r="U104" i="44"/>
  <c r="U684" i="44" s="1"/>
  <c r="W103" i="44"/>
  <c r="W683" i="44" s="1"/>
  <c r="F103" i="44"/>
  <c r="F683" i="44" s="1"/>
  <c r="L102" i="44"/>
  <c r="L682" i="44" s="1"/>
  <c r="N101" i="44"/>
  <c r="N681" i="44" s="1"/>
  <c r="S100" i="44"/>
  <c r="S680" i="44" s="1"/>
  <c r="S122" i="44"/>
  <c r="S702" i="44" s="1"/>
  <c r="V121" i="44"/>
  <c r="V701" i="44" s="1"/>
  <c r="W120" i="44"/>
  <c r="W700" i="44" s="1"/>
  <c r="X119" i="44"/>
  <c r="F119" i="44"/>
  <c r="F699" i="44" s="1"/>
  <c r="F118" i="44"/>
  <c r="F698" i="44" s="1"/>
  <c r="G117" i="44"/>
  <c r="G697" i="44" s="1"/>
  <c r="L116" i="44"/>
  <c r="L696" i="44" s="1"/>
  <c r="M115" i="44"/>
  <c r="N114" i="44"/>
  <c r="N694" i="44" s="1"/>
  <c r="R113" i="44"/>
  <c r="R693" i="44" s="1"/>
  <c r="S112" i="44"/>
  <c r="S692" i="44" s="1"/>
  <c r="T111" i="44"/>
  <c r="T691" i="44" s="1"/>
  <c r="U110" i="44"/>
  <c r="U690" i="44" s="1"/>
  <c r="V109" i="44"/>
  <c r="V689" i="44" s="1"/>
  <c r="X108" i="44"/>
  <c r="X107" i="44"/>
  <c r="F107" i="44"/>
  <c r="F687" i="44" s="1"/>
  <c r="H106" i="44"/>
  <c r="H686" i="44" s="1"/>
  <c r="I105" i="44"/>
  <c r="I685" i="44" s="1"/>
  <c r="M104" i="44"/>
  <c r="M684" i="44" s="1"/>
  <c r="N103" i="44"/>
  <c r="N683" i="44" s="1"/>
  <c r="R102" i="44"/>
  <c r="R682" i="44" s="1"/>
  <c r="U101" i="44"/>
  <c r="U681" i="44" s="1"/>
  <c r="V100" i="44"/>
  <c r="V680" i="44" s="1"/>
  <c r="N123" i="44"/>
  <c r="N703" i="44" s="1"/>
  <c r="R122" i="44"/>
  <c r="R702" i="44" s="1"/>
  <c r="U121" i="44"/>
  <c r="U701" i="44" s="1"/>
  <c r="V120" i="44"/>
  <c r="V700" i="44" s="1"/>
  <c r="W119" i="44"/>
  <c r="W699" i="44" s="1"/>
  <c r="W118" i="44"/>
  <c r="W698" i="44" s="1"/>
  <c r="X117" i="44"/>
  <c r="F117" i="44"/>
  <c r="F697" i="44" s="1"/>
  <c r="I116" i="44"/>
  <c r="I696" i="44" s="1"/>
  <c r="L115" i="44"/>
  <c r="L695" i="44" s="1"/>
  <c r="M114" i="44"/>
  <c r="M694" i="44" s="1"/>
  <c r="N113" i="44"/>
  <c r="N693" i="44" s="1"/>
  <c r="R112" i="44"/>
  <c r="R692" i="44" s="1"/>
  <c r="S111" i="44"/>
  <c r="S691" i="44" s="1"/>
  <c r="T110" i="44"/>
  <c r="T690" i="44" s="1"/>
  <c r="U109" i="44"/>
  <c r="U689" i="44" s="1"/>
  <c r="V108" i="44"/>
  <c r="V688" i="44" s="1"/>
  <c r="W107" i="44"/>
  <c r="W687" i="44" s="1"/>
  <c r="X106" i="44"/>
  <c r="G106" i="44"/>
  <c r="G686" i="44" s="1"/>
  <c r="H105" i="44"/>
  <c r="H685" i="44" s="1"/>
  <c r="L104" i="44"/>
  <c r="L684" i="44" s="1"/>
  <c r="M103" i="44"/>
  <c r="T101" i="44"/>
  <c r="T681" i="44" s="1"/>
  <c r="M123" i="44"/>
  <c r="M703" i="44" s="1"/>
  <c r="T121" i="44"/>
  <c r="T701" i="44" s="1"/>
  <c r="U120" i="44"/>
  <c r="U700" i="44" s="1"/>
  <c r="U119" i="44"/>
  <c r="U699" i="44" s="1"/>
  <c r="V118" i="44"/>
  <c r="V698" i="44" s="1"/>
  <c r="W117" i="44"/>
  <c r="W697" i="44" s="1"/>
  <c r="H116" i="44"/>
  <c r="H696" i="44" s="1"/>
  <c r="I115" i="44"/>
  <c r="I695" i="44" s="1"/>
  <c r="L114" i="44"/>
  <c r="M113" i="44"/>
  <c r="N112" i="44"/>
  <c r="N692" i="44" s="1"/>
  <c r="R111" i="44"/>
  <c r="R691" i="44" s="1"/>
  <c r="S110" i="44"/>
  <c r="S690" i="44" s="1"/>
  <c r="S109" i="44"/>
  <c r="S689" i="44" s="1"/>
  <c r="U108" i="44"/>
  <c r="U688" i="44" s="1"/>
  <c r="V107" i="44"/>
  <c r="V687" i="44" s="1"/>
  <c r="W106" i="44"/>
  <c r="W686" i="44" s="1"/>
  <c r="F106" i="44"/>
  <c r="F686" i="44" s="1"/>
  <c r="G105" i="44"/>
  <c r="G685" i="44" s="1"/>
  <c r="I104" i="44"/>
  <c r="I684" i="44" s="1"/>
  <c r="L103" i="44"/>
  <c r="L683" i="44" s="1"/>
  <c r="S101" i="44"/>
  <c r="S681" i="44" s="1"/>
  <c r="T100" i="44"/>
  <c r="T680" i="44" s="1"/>
  <c r="L123" i="44"/>
  <c r="L703" i="44" s="1"/>
  <c r="S121" i="44"/>
  <c r="S701" i="44" s="1"/>
  <c r="S120" i="44"/>
  <c r="S700" i="44" s="1"/>
  <c r="T119" i="44"/>
  <c r="T699" i="44" s="1"/>
  <c r="U118" i="44"/>
  <c r="U698" i="44" s="1"/>
  <c r="V117" i="44"/>
  <c r="V697" i="44" s="1"/>
  <c r="G116" i="44"/>
  <c r="G696" i="44" s="1"/>
  <c r="H115" i="44"/>
  <c r="H695" i="44" s="1"/>
  <c r="I114" i="44"/>
  <c r="I694" i="44" s="1"/>
  <c r="L113" i="44"/>
  <c r="L693" i="44" s="1"/>
  <c r="M112" i="44"/>
  <c r="M692" i="44" s="1"/>
  <c r="N111" i="44"/>
  <c r="N691" i="44" s="1"/>
  <c r="N110" i="44"/>
  <c r="N690" i="44" s="1"/>
  <c r="R109" i="44"/>
  <c r="R689" i="44" s="1"/>
  <c r="T108" i="44"/>
  <c r="T688" i="44" s="1"/>
  <c r="U107" i="44"/>
  <c r="U687" i="44" s="1"/>
  <c r="V106" i="44"/>
  <c r="V686" i="44" s="1"/>
  <c r="X105" i="44"/>
  <c r="F105" i="44"/>
  <c r="F685" i="44" s="1"/>
  <c r="H104" i="44"/>
  <c r="H684" i="44" s="1"/>
  <c r="I103" i="44"/>
  <c r="I683" i="44" s="1"/>
  <c r="N102" i="44"/>
  <c r="N682" i="44" s="1"/>
  <c r="R101" i="44"/>
  <c r="R681" i="44" s="1"/>
  <c r="R100" i="44"/>
  <c r="R680" i="44" s="1"/>
  <c r="I123" i="44"/>
  <c r="I703" i="44" s="1"/>
  <c r="N122" i="44"/>
  <c r="N702" i="44" s="1"/>
  <c r="N121" i="44"/>
  <c r="N701" i="44" s="1"/>
  <c r="R120" i="44"/>
  <c r="R700" i="44" s="1"/>
  <c r="S119" i="44"/>
  <c r="S699" i="44" s="1"/>
  <c r="T118" i="44"/>
  <c r="T698" i="44" s="1"/>
  <c r="U117" i="44"/>
  <c r="U697" i="44" s="1"/>
  <c r="X116" i="44"/>
  <c r="F116" i="44"/>
  <c r="G115" i="44"/>
  <c r="G695" i="44" s="1"/>
  <c r="H114" i="44"/>
  <c r="H694" i="44" s="1"/>
  <c r="I113" i="44"/>
  <c r="I693" i="44" s="1"/>
  <c r="L112" i="44"/>
  <c r="L111" i="44"/>
  <c r="L691" i="44" s="1"/>
  <c r="M110" i="44"/>
  <c r="M690" i="44" s="1"/>
  <c r="P109" i="44"/>
  <c r="S108" i="44"/>
  <c r="S688" i="44" s="1"/>
  <c r="T107" i="44"/>
  <c r="T687" i="44" s="1"/>
  <c r="U106" i="44"/>
  <c r="U686" i="44" s="1"/>
  <c r="W105" i="44"/>
  <c r="W685" i="44" s="1"/>
  <c r="G104" i="44"/>
  <c r="G684" i="44" s="1"/>
  <c r="H103" i="44"/>
  <c r="H683" i="44" s="1"/>
  <c r="M102" i="44"/>
  <c r="M682" i="44" s="1"/>
  <c r="M101" i="44"/>
  <c r="M681" i="44" s="1"/>
  <c r="N100" i="44"/>
  <c r="N680" i="44" s="1"/>
  <c r="H123" i="44"/>
  <c r="H703" i="44" s="1"/>
  <c r="L122" i="44"/>
  <c r="L702" i="44" s="1"/>
  <c r="M121" i="44"/>
  <c r="N120" i="44"/>
  <c r="N700" i="44" s="1"/>
  <c r="R119" i="44"/>
  <c r="R699" i="44" s="1"/>
  <c r="S118" i="44"/>
  <c r="S698" i="44" s="1"/>
  <c r="T117" i="44"/>
  <c r="T697" i="44" s="1"/>
  <c r="W116" i="44"/>
  <c r="W696" i="44" s="1"/>
  <c r="X115" i="44"/>
  <c r="F115" i="44"/>
  <c r="F695" i="44" s="1"/>
  <c r="G114" i="44"/>
  <c r="G694" i="44" s="1"/>
  <c r="H113" i="44"/>
  <c r="H693" i="44" s="1"/>
  <c r="H112" i="44"/>
  <c r="H692" i="44" s="1"/>
  <c r="I111" i="44"/>
  <c r="I691" i="44" s="1"/>
  <c r="L110" i="44"/>
  <c r="N109" i="44"/>
  <c r="N689" i="44" s="1"/>
  <c r="R108" i="44"/>
  <c r="R688" i="44" s="1"/>
  <c r="S107" i="44"/>
  <c r="S687" i="44" s="1"/>
  <c r="T106" i="44"/>
  <c r="T686" i="44" s="1"/>
  <c r="V105" i="44"/>
  <c r="V685" i="44" s="1"/>
  <c r="X104" i="44"/>
  <c r="F104" i="44"/>
  <c r="G103" i="44"/>
  <c r="G683" i="44" s="1"/>
  <c r="X123" i="44"/>
  <c r="F123" i="44"/>
  <c r="F703" i="44" s="1"/>
  <c r="I122" i="44"/>
  <c r="I702" i="44" s="1"/>
  <c r="L121" i="44"/>
  <c r="L701" i="44" s="1"/>
  <c r="M120" i="44"/>
  <c r="M700" i="44" s="1"/>
  <c r="N119" i="44"/>
  <c r="N699" i="44" s="1"/>
  <c r="R118" i="44"/>
  <c r="R698" i="44" s="1"/>
  <c r="S117" i="44"/>
  <c r="S697" i="44" s="1"/>
  <c r="V116" i="44"/>
  <c r="V696" i="44" s="1"/>
  <c r="W115" i="44"/>
  <c r="W695" i="44" s="1"/>
  <c r="X114" i="44"/>
  <c r="F114" i="44"/>
  <c r="F694" i="44" s="1"/>
  <c r="F113" i="44"/>
  <c r="F693" i="44" s="1"/>
  <c r="G112" i="44"/>
  <c r="G692" i="44" s="1"/>
  <c r="H111" i="44"/>
  <c r="H691" i="44" s="1"/>
  <c r="I110" i="44"/>
  <c r="I690" i="44" s="1"/>
  <c r="M109" i="44"/>
  <c r="M689" i="44" s="1"/>
  <c r="N108" i="44"/>
  <c r="R107" i="44"/>
  <c r="R687" i="44" s="1"/>
  <c r="S106" i="44"/>
  <c r="S686" i="44" s="1"/>
  <c r="U105" i="44"/>
  <c r="U685" i="44" s="1"/>
  <c r="V123" i="44"/>
  <c r="V703" i="44" s="1"/>
  <c r="X122" i="44"/>
  <c r="H122" i="44"/>
  <c r="H702" i="44" s="1"/>
  <c r="I121" i="44"/>
  <c r="I701" i="44" s="1"/>
  <c r="L120" i="44"/>
  <c r="M119" i="44"/>
  <c r="M699" i="44" s="1"/>
  <c r="N118" i="44"/>
  <c r="N698" i="44" s="1"/>
  <c r="R117" i="44"/>
  <c r="R697" i="44" s="1"/>
  <c r="U116" i="44"/>
  <c r="U696" i="44" s="1"/>
  <c r="V115" i="44"/>
  <c r="V695" i="44" s="1"/>
  <c r="W114" i="44"/>
  <c r="W694" i="44" s="1"/>
  <c r="W113" i="44"/>
  <c r="W693" i="44" s="1"/>
  <c r="X112" i="44"/>
  <c r="F112" i="44"/>
  <c r="F692" i="44" s="1"/>
  <c r="G111" i="44"/>
  <c r="G691" i="44" s="1"/>
  <c r="H110" i="44"/>
  <c r="H690" i="44" s="1"/>
  <c r="L109" i="44"/>
  <c r="L689" i="44" s="1"/>
  <c r="M108" i="44"/>
  <c r="M688" i="44" s="1"/>
  <c r="N107" i="44"/>
  <c r="N687" i="44" s="1"/>
  <c r="R106" i="44"/>
  <c r="R686" i="44" s="1"/>
  <c r="T105" i="44"/>
  <c r="T685" i="44" s="1"/>
  <c r="U123" i="44"/>
  <c r="U703" i="44" s="1"/>
  <c r="W122" i="44"/>
  <c r="W702" i="44" s="1"/>
  <c r="G122" i="44"/>
  <c r="G702" i="44" s="1"/>
  <c r="H121" i="44"/>
  <c r="H701" i="44" s="1"/>
  <c r="I120" i="44"/>
  <c r="I700" i="44" s="1"/>
  <c r="L119" i="44"/>
  <c r="M118" i="44"/>
  <c r="M698" i="44" s="1"/>
  <c r="N117" i="44"/>
  <c r="N697" i="44" s="1"/>
  <c r="T116" i="44"/>
  <c r="T696" i="44" s="1"/>
  <c r="U115" i="44"/>
  <c r="U695" i="44" s="1"/>
  <c r="U114" i="44"/>
  <c r="U694" i="44" s="1"/>
  <c r="V113" i="44"/>
  <c r="V693" i="44" s="1"/>
  <c r="W112" i="44"/>
  <c r="W692" i="44" s="1"/>
  <c r="X111" i="44"/>
  <c r="F111" i="44"/>
  <c r="F691" i="44" s="1"/>
  <c r="G110" i="44"/>
  <c r="G690" i="44" s="1"/>
  <c r="I109" i="44"/>
  <c r="I689" i="44" s="1"/>
  <c r="L108" i="44"/>
  <c r="L688" i="44" s="1"/>
  <c r="M107" i="44"/>
  <c r="M687" i="44" s="1"/>
  <c r="S105" i="44"/>
  <c r="S685" i="44" s="1"/>
  <c r="T104" i="44"/>
  <c r="T684" i="44" s="1"/>
  <c r="U103" i="44"/>
  <c r="U683" i="44" s="1"/>
  <c r="V102" i="44"/>
  <c r="V682" i="44" s="1"/>
  <c r="T123" i="44"/>
  <c r="T703" i="44" s="1"/>
  <c r="V122" i="44"/>
  <c r="V702" i="44" s="1"/>
  <c r="F122" i="44"/>
  <c r="F702" i="44" s="1"/>
  <c r="G121" i="44"/>
  <c r="G701" i="44" s="1"/>
  <c r="H120" i="44"/>
  <c r="H700" i="44" s="1"/>
  <c r="I119" i="44"/>
  <c r="I699" i="44" s="1"/>
  <c r="L118" i="44"/>
  <c r="M117" i="44"/>
  <c r="M697" i="44" s="1"/>
  <c r="S116" i="44"/>
  <c r="S696" i="44" s="1"/>
  <c r="S115" i="44"/>
  <c r="S695" i="44" s="1"/>
  <c r="T114" i="44"/>
  <c r="T694" i="44" s="1"/>
  <c r="S123" i="44"/>
  <c r="S703" i="44" s="1"/>
  <c r="U122" i="44"/>
  <c r="U702" i="44" s="1"/>
  <c r="X121" i="44"/>
  <c r="F121" i="44"/>
  <c r="F701" i="44" s="1"/>
  <c r="G120" i="44"/>
  <c r="G700" i="44" s="1"/>
  <c r="H119" i="44"/>
  <c r="H699" i="44" s="1"/>
  <c r="I118" i="44"/>
  <c r="I698" i="44" s="1"/>
  <c r="L117" i="44"/>
  <c r="N116" i="44"/>
  <c r="R115" i="44"/>
  <c r="R695" i="44" s="1"/>
  <c r="S114" i="44"/>
  <c r="S694" i="44" s="1"/>
  <c r="T113" i="44"/>
  <c r="T693" i="44" s="1"/>
  <c r="U112" i="44"/>
  <c r="U692" i="44" s="1"/>
  <c r="V111" i="44"/>
  <c r="V691" i="44" s="1"/>
  <c r="W110" i="44"/>
  <c r="W690" i="44" s="1"/>
  <c r="X109" i="44"/>
  <c r="G109" i="44"/>
  <c r="G689" i="44" s="1"/>
  <c r="H108" i="44"/>
  <c r="H688" i="44" s="1"/>
  <c r="I107" i="44"/>
  <c r="I687" i="44" s="1"/>
  <c r="L106" i="44"/>
  <c r="M105" i="44"/>
  <c r="M685" i="44" s="1"/>
  <c r="R104" i="44"/>
  <c r="R684" i="44" s="1"/>
  <c r="S103" i="44"/>
  <c r="S683" i="44" s="1"/>
  <c r="T102" i="44"/>
  <c r="T682" i="44" s="1"/>
  <c r="W101" i="44"/>
  <c r="W681" i="44" s="1"/>
  <c r="X100" i="44"/>
  <c r="F100" i="44"/>
  <c r="F680" i="44" s="1"/>
  <c r="R114" i="44"/>
  <c r="R694" i="44" s="1"/>
  <c r="F109" i="44"/>
  <c r="F689" i="44" s="1"/>
  <c r="N104" i="44"/>
  <c r="F102" i="44"/>
  <c r="I100" i="44"/>
  <c r="I680" i="44" s="1"/>
  <c r="U113" i="44"/>
  <c r="U693" i="44" s="1"/>
  <c r="I108" i="44"/>
  <c r="I688" i="44" s="1"/>
  <c r="X103" i="44"/>
  <c r="X101" i="44"/>
  <c r="H100" i="44"/>
  <c r="H680" i="44" s="1"/>
  <c r="R123" i="44"/>
  <c r="R703" i="44" s="1"/>
  <c r="S113" i="44"/>
  <c r="S693" i="44" s="1"/>
  <c r="G108" i="44"/>
  <c r="G688" i="44" s="1"/>
  <c r="V103" i="44"/>
  <c r="V683" i="44" s="1"/>
  <c r="V101" i="44"/>
  <c r="V681" i="44" s="1"/>
  <c r="G100" i="44"/>
  <c r="G680" i="44" s="1"/>
  <c r="T122" i="44"/>
  <c r="T702" i="44" s="1"/>
  <c r="V112" i="44"/>
  <c r="V692" i="44" s="1"/>
  <c r="L107" i="44"/>
  <c r="T103" i="44"/>
  <c r="T683" i="44" s="1"/>
  <c r="L101" i="44"/>
  <c r="W121" i="44"/>
  <c r="W701" i="44" s="1"/>
  <c r="T112" i="44"/>
  <c r="T692" i="44" s="1"/>
  <c r="G107" i="44"/>
  <c r="G687" i="44" s="1"/>
  <c r="R103" i="44"/>
  <c r="R683" i="44" s="1"/>
  <c r="I101" i="44"/>
  <c r="I681" i="44" s="1"/>
  <c r="X120" i="44"/>
  <c r="W111" i="44"/>
  <c r="W691" i="44" s="1"/>
  <c r="N106" i="44"/>
  <c r="N686" i="44" s="1"/>
  <c r="X102" i="44"/>
  <c r="H101" i="44"/>
  <c r="H681" i="44" s="1"/>
  <c r="F120" i="44"/>
  <c r="F700" i="44" s="1"/>
  <c r="U111" i="44"/>
  <c r="U691" i="44" s="1"/>
  <c r="I106" i="44"/>
  <c r="I686" i="44" s="1"/>
  <c r="W102" i="44"/>
  <c r="W682" i="44" s="1"/>
  <c r="G101" i="44"/>
  <c r="G681" i="44" s="1"/>
  <c r="G119" i="44"/>
  <c r="G699" i="44" s="1"/>
  <c r="X110" i="44"/>
  <c r="N105" i="44"/>
  <c r="N685" i="44" s="1"/>
  <c r="U102" i="44"/>
  <c r="U682" i="44" s="1"/>
  <c r="F101" i="44"/>
  <c r="F681" i="44" s="1"/>
  <c r="H118" i="44"/>
  <c r="H698" i="44" s="1"/>
  <c r="V110" i="44"/>
  <c r="V690" i="44" s="1"/>
  <c r="L105" i="44"/>
  <c r="S102" i="44"/>
  <c r="S682" i="44" s="1"/>
  <c r="W100" i="44"/>
  <c r="W680" i="44" s="1"/>
  <c r="H117" i="44"/>
  <c r="H697" i="44" s="1"/>
  <c r="F110" i="44"/>
  <c r="F690" i="44" s="1"/>
  <c r="W104" i="44"/>
  <c r="W684" i="44" s="1"/>
  <c r="I102" i="44"/>
  <c r="I682" i="44" s="1"/>
  <c r="U100" i="44"/>
  <c r="U680" i="44" s="1"/>
  <c r="M116" i="44"/>
  <c r="M696" i="44" s="1"/>
  <c r="W109" i="44"/>
  <c r="W689" i="44" s="1"/>
  <c r="V104" i="44"/>
  <c r="V684" i="44" s="1"/>
  <c r="H102" i="44"/>
  <c r="H682" i="44" s="1"/>
  <c r="M100" i="44"/>
  <c r="M680" i="44" s="1"/>
  <c r="N115" i="44"/>
  <c r="N695" i="44" s="1"/>
  <c r="H109" i="44"/>
  <c r="H689" i="44" s="1"/>
  <c r="S104" i="44"/>
  <c r="S684" i="44" s="1"/>
  <c r="G102" i="44"/>
  <c r="G682" i="44" s="1"/>
  <c r="L100" i="44"/>
  <c r="P407" i="44"/>
  <c r="P397" i="44"/>
  <c r="P410" i="44"/>
  <c r="P403" i="44"/>
  <c r="P405" i="44"/>
  <c r="K99" i="44"/>
  <c r="K374" i="44"/>
  <c r="K370" i="44"/>
  <c r="K371" i="44"/>
  <c r="R387" i="44"/>
  <c r="R967" i="44" s="1"/>
  <c r="V386" i="44"/>
  <c r="V966" i="44" s="1"/>
  <c r="G386" i="44"/>
  <c r="G966" i="44" s="1"/>
  <c r="L385" i="44"/>
  <c r="L965" i="44" s="1"/>
  <c r="N384" i="44"/>
  <c r="N964" i="44" s="1"/>
  <c r="S383" i="44"/>
  <c r="S963" i="44" s="1"/>
  <c r="V382" i="44"/>
  <c r="V962" i="44" s="1"/>
  <c r="X381" i="44"/>
  <c r="H381" i="44"/>
  <c r="H961" i="44" s="1"/>
  <c r="M380" i="44"/>
  <c r="M960" i="44" s="1"/>
  <c r="R379" i="44"/>
  <c r="R959" i="44" s="1"/>
  <c r="U378" i="44"/>
  <c r="U958" i="44" s="1"/>
  <c r="W377" i="44"/>
  <c r="W957" i="44" s="1"/>
  <c r="F377" i="44"/>
  <c r="F957" i="44" s="1"/>
  <c r="H376" i="44"/>
  <c r="H956" i="44" s="1"/>
  <c r="N375" i="44"/>
  <c r="N955" i="44" s="1"/>
  <c r="S374" i="44"/>
  <c r="S954" i="44" s="1"/>
  <c r="V373" i="44"/>
  <c r="V953" i="44" s="1"/>
  <c r="F373" i="44"/>
  <c r="H372" i="44"/>
  <c r="H952" i="44" s="1"/>
  <c r="M371" i="44"/>
  <c r="M951" i="44" s="1"/>
  <c r="R370" i="44"/>
  <c r="R950" i="44" s="1"/>
  <c r="T369" i="44"/>
  <c r="T949" i="44" s="1"/>
  <c r="W387" i="44"/>
  <c r="W967" i="44" s="1"/>
  <c r="G387" i="44"/>
  <c r="G967" i="44" s="1"/>
  <c r="L386" i="44"/>
  <c r="L966" i="44" s="1"/>
  <c r="N385" i="44"/>
  <c r="N965" i="44" s="1"/>
  <c r="R384" i="44"/>
  <c r="R964" i="44" s="1"/>
  <c r="R383" i="44"/>
  <c r="R963" i="44" s="1"/>
  <c r="T382" i="44"/>
  <c r="T962" i="44" s="1"/>
  <c r="U381" i="44"/>
  <c r="U961" i="44" s="1"/>
  <c r="W380" i="44"/>
  <c r="W960" i="44" s="1"/>
  <c r="F380" i="44"/>
  <c r="F960" i="44" s="1"/>
  <c r="H379" i="44"/>
  <c r="H959" i="44" s="1"/>
  <c r="I378" i="44"/>
  <c r="I958" i="44" s="1"/>
  <c r="L377" i="44"/>
  <c r="L957" i="44" s="1"/>
  <c r="M376" i="44"/>
  <c r="M956" i="44" s="1"/>
  <c r="S375" i="44"/>
  <c r="S955" i="44" s="1"/>
  <c r="T374" i="44"/>
  <c r="T954" i="44" s="1"/>
  <c r="U373" i="44"/>
  <c r="U953" i="44" s="1"/>
  <c r="W372" i="44"/>
  <c r="W952" i="44" s="1"/>
  <c r="X371" i="44"/>
  <c r="G371" i="44"/>
  <c r="G951" i="44" s="1"/>
  <c r="H370" i="44"/>
  <c r="H950" i="44" s="1"/>
  <c r="I369" i="44"/>
  <c r="I949" i="44" s="1"/>
  <c r="M368" i="44"/>
  <c r="R367" i="44"/>
  <c r="R947" i="44" s="1"/>
  <c r="T366" i="44"/>
  <c r="T946" i="44" s="1"/>
  <c r="V365" i="44"/>
  <c r="V945" i="44" s="1"/>
  <c r="X364" i="44"/>
  <c r="G364" i="44"/>
  <c r="G944" i="44" s="1"/>
  <c r="V387" i="44"/>
  <c r="V967" i="44" s="1"/>
  <c r="F387" i="44"/>
  <c r="F967" i="44" s="1"/>
  <c r="I386" i="44"/>
  <c r="I966" i="44" s="1"/>
  <c r="M385" i="44"/>
  <c r="M965" i="44" s="1"/>
  <c r="M384" i="44"/>
  <c r="M964" i="44" s="1"/>
  <c r="N383" i="44"/>
  <c r="N963" i="44" s="1"/>
  <c r="S382" i="44"/>
  <c r="S962" i="44" s="1"/>
  <c r="T381" i="44"/>
  <c r="T961" i="44" s="1"/>
  <c r="V380" i="44"/>
  <c r="V960" i="44" s="1"/>
  <c r="X379" i="44"/>
  <c r="G379" i="44"/>
  <c r="G959" i="44" s="1"/>
  <c r="H378" i="44"/>
  <c r="H958" i="44" s="1"/>
  <c r="I377" i="44"/>
  <c r="I957" i="44" s="1"/>
  <c r="L376" i="44"/>
  <c r="L956" i="44" s="1"/>
  <c r="R375" i="44"/>
  <c r="R955" i="44" s="1"/>
  <c r="U387" i="44"/>
  <c r="U967" i="44" s="1"/>
  <c r="X386" i="44"/>
  <c r="H386" i="44"/>
  <c r="H966" i="44" s="1"/>
  <c r="I385" i="44"/>
  <c r="I965" i="44" s="1"/>
  <c r="L384" i="44"/>
  <c r="M383" i="44"/>
  <c r="M963" i="44" s="1"/>
  <c r="R382" i="44"/>
  <c r="R962" i="44" s="1"/>
  <c r="S381" i="44"/>
  <c r="S961" i="44" s="1"/>
  <c r="U380" i="44"/>
  <c r="U960" i="44" s="1"/>
  <c r="W379" i="44"/>
  <c r="W959" i="44" s="1"/>
  <c r="F379" i="44"/>
  <c r="F959" i="44" s="1"/>
  <c r="G378" i="44"/>
  <c r="G958" i="44" s="1"/>
  <c r="H377" i="44"/>
  <c r="H957" i="44" s="1"/>
  <c r="T387" i="44"/>
  <c r="T967" i="44" s="1"/>
  <c r="W386" i="44"/>
  <c r="W966" i="44" s="1"/>
  <c r="F386" i="44"/>
  <c r="F966" i="44" s="1"/>
  <c r="H385" i="44"/>
  <c r="H965" i="44" s="1"/>
  <c r="I384" i="44"/>
  <c r="I964" i="44" s="1"/>
  <c r="L383" i="44"/>
  <c r="N382" i="44"/>
  <c r="N962" i="44" s="1"/>
  <c r="R381" i="44"/>
  <c r="R961" i="44" s="1"/>
  <c r="T380" i="44"/>
  <c r="T960" i="44" s="1"/>
  <c r="V379" i="44"/>
  <c r="V959" i="44" s="1"/>
  <c r="X378" i="44"/>
  <c r="F378" i="44"/>
  <c r="F958" i="44" s="1"/>
  <c r="G377" i="44"/>
  <c r="G957" i="44" s="1"/>
  <c r="S387" i="44"/>
  <c r="S967" i="44" s="1"/>
  <c r="U386" i="44"/>
  <c r="U966" i="44" s="1"/>
  <c r="X385" i="44"/>
  <c r="G385" i="44"/>
  <c r="G965" i="44" s="1"/>
  <c r="H384" i="44"/>
  <c r="H964" i="44" s="1"/>
  <c r="I383" i="44"/>
  <c r="I963" i="44" s="1"/>
  <c r="M382" i="44"/>
  <c r="M962" i="44" s="1"/>
  <c r="S380" i="44"/>
  <c r="S960" i="44" s="1"/>
  <c r="U379" i="44"/>
  <c r="U959" i="44" s="1"/>
  <c r="W378" i="44"/>
  <c r="W958" i="44" s="1"/>
  <c r="X377" i="44"/>
  <c r="X376" i="44"/>
  <c r="F376" i="44"/>
  <c r="F956" i="44" s="1"/>
  <c r="I375" i="44"/>
  <c r="I955" i="44" s="1"/>
  <c r="M374" i="44"/>
  <c r="M954" i="44" s="1"/>
  <c r="T386" i="44"/>
  <c r="T966" i="44" s="1"/>
  <c r="W385" i="44"/>
  <c r="W965" i="44" s="1"/>
  <c r="F385" i="44"/>
  <c r="F965" i="44" s="1"/>
  <c r="G384" i="44"/>
  <c r="G964" i="44" s="1"/>
  <c r="H383" i="44"/>
  <c r="H963" i="44" s="1"/>
  <c r="L382" i="44"/>
  <c r="L962" i="44" s="1"/>
  <c r="N381" i="44"/>
  <c r="N961" i="44" s="1"/>
  <c r="R380" i="44"/>
  <c r="R960" i="44" s="1"/>
  <c r="T379" i="44"/>
  <c r="T959" i="44" s="1"/>
  <c r="S386" i="44"/>
  <c r="S966" i="44" s="1"/>
  <c r="V385" i="44"/>
  <c r="V965" i="44" s="1"/>
  <c r="X384" i="44"/>
  <c r="F384" i="44"/>
  <c r="F964" i="44" s="1"/>
  <c r="G383" i="44"/>
  <c r="G963" i="44" s="1"/>
  <c r="I382" i="44"/>
  <c r="I962" i="44" s="1"/>
  <c r="M381" i="44"/>
  <c r="M961" i="44" s="1"/>
  <c r="N387" i="44"/>
  <c r="N967" i="44" s="1"/>
  <c r="R386" i="44"/>
  <c r="R966" i="44" s="1"/>
  <c r="U385" i="44"/>
  <c r="U965" i="44" s="1"/>
  <c r="W384" i="44"/>
  <c r="W964" i="44" s="1"/>
  <c r="X383" i="44"/>
  <c r="F383" i="44"/>
  <c r="F963" i="44" s="1"/>
  <c r="H382" i="44"/>
  <c r="H962" i="44" s="1"/>
  <c r="L381" i="44"/>
  <c r="N380" i="44"/>
  <c r="N960" i="44" s="1"/>
  <c r="M387" i="44"/>
  <c r="M967" i="44" s="1"/>
  <c r="T385" i="44"/>
  <c r="T965" i="44" s="1"/>
  <c r="V384" i="44"/>
  <c r="V964" i="44" s="1"/>
  <c r="W383" i="44"/>
  <c r="W963" i="44" s="1"/>
  <c r="G382" i="44"/>
  <c r="G962" i="44" s="1"/>
  <c r="I381" i="44"/>
  <c r="I961" i="44" s="1"/>
  <c r="L380" i="44"/>
  <c r="N379" i="44"/>
  <c r="N959" i="44" s="1"/>
  <c r="R378" i="44"/>
  <c r="R958" i="44" s="1"/>
  <c r="I387" i="44"/>
  <c r="I967" i="44" s="1"/>
  <c r="N386" i="44"/>
  <c r="N966" i="44" s="1"/>
  <c r="R385" i="44"/>
  <c r="R965" i="44" s="1"/>
  <c r="T384" i="44"/>
  <c r="T964" i="44" s="1"/>
  <c r="U383" i="44"/>
  <c r="U963" i="44" s="1"/>
  <c r="W382" i="44"/>
  <c r="W962" i="44" s="1"/>
  <c r="W381" i="44"/>
  <c r="W961" i="44" s="1"/>
  <c r="F381" i="44"/>
  <c r="H380" i="44"/>
  <c r="H960" i="44" s="1"/>
  <c r="L379" i="44"/>
  <c r="M378" i="44"/>
  <c r="N377" i="44"/>
  <c r="N957" i="44" s="1"/>
  <c r="R376" i="44"/>
  <c r="R956" i="44" s="1"/>
  <c r="U375" i="44"/>
  <c r="U955" i="44" s="1"/>
  <c r="V374" i="44"/>
  <c r="V954" i="44" s="1"/>
  <c r="X373" i="44"/>
  <c r="G373" i="44"/>
  <c r="G953" i="44" s="1"/>
  <c r="H387" i="44"/>
  <c r="H967" i="44" s="1"/>
  <c r="V381" i="44"/>
  <c r="V961" i="44" s="1"/>
  <c r="T1205" i="44" s="1"/>
  <c r="L378" i="44"/>
  <c r="L958" i="44" s="1"/>
  <c r="N376" i="44"/>
  <c r="N956" i="44" s="1"/>
  <c r="G375" i="44"/>
  <c r="G955" i="44" s="1"/>
  <c r="F374" i="44"/>
  <c r="F954" i="44" s="1"/>
  <c r="U372" i="44"/>
  <c r="U952" i="44" s="1"/>
  <c r="U371" i="44"/>
  <c r="U951" i="44" s="1"/>
  <c r="V370" i="44"/>
  <c r="V950" i="44" s="1"/>
  <c r="V369" i="44"/>
  <c r="V949" i="44" s="1"/>
  <c r="V368" i="44"/>
  <c r="V948" i="44" s="1"/>
  <c r="W367" i="44"/>
  <c r="W947" i="44" s="1"/>
  <c r="X366" i="44"/>
  <c r="F366" i="44"/>
  <c r="G365" i="44"/>
  <c r="G945" i="44" s="1"/>
  <c r="H364" i="44"/>
  <c r="H944" i="44" s="1"/>
  <c r="G381" i="44"/>
  <c r="G961" i="44" s="1"/>
  <c r="V377" i="44"/>
  <c r="V957" i="44" s="1"/>
  <c r="I376" i="44"/>
  <c r="I956" i="44" s="1"/>
  <c r="G1200" i="44" s="1"/>
  <c r="F375" i="44"/>
  <c r="F955" i="44" s="1"/>
  <c r="W373" i="44"/>
  <c r="W953" i="44" s="1"/>
  <c r="T372" i="44"/>
  <c r="T952" i="44" s="1"/>
  <c r="T371" i="44"/>
  <c r="T951" i="44" s="1"/>
  <c r="U370" i="44"/>
  <c r="U950" i="44" s="1"/>
  <c r="U369" i="44"/>
  <c r="U949" i="44" s="1"/>
  <c r="S1193" i="44" s="1"/>
  <c r="U368" i="44"/>
  <c r="U948" i="44" s="1"/>
  <c r="V367" i="44"/>
  <c r="V947" i="44" s="1"/>
  <c r="W366" i="44"/>
  <c r="W946" i="44" s="1"/>
  <c r="X365" i="44"/>
  <c r="F365" i="44"/>
  <c r="F945" i="44" s="1"/>
  <c r="F364" i="44"/>
  <c r="F944" i="44" s="1"/>
  <c r="M386" i="44"/>
  <c r="M966" i="44" s="1"/>
  <c r="X380" i="44"/>
  <c r="U377" i="44"/>
  <c r="U957" i="44" s="1"/>
  <c r="G376" i="44"/>
  <c r="G956" i="44" s="1"/>
  <c r="X374" i="44"/>
  <c r="T373" i="44"/>
  <c r="T953" i="44" s="1"/>
  <c r="S372" i="44"/>
  <c r="S952" i="44" s="1"/>
  <c r="S371" i="44"/>
  <c r="S951" i="44" s="1"/>
  <c r="T370" i="44"/>
  <c r="T950" i="44" s="1"/>
  <c r="S369" i="44"/>
  <c r="S949" i="44" s="1"/>
  <c r="T368" i="44"/>
  <c r="T948" i="44" s="1"/>
  <c r="U367" i="44"/>
  <c r="U947" i="44" s="1"/>
  <c r="V366" i="44"/>
  <c r="V946" i="44" s="1"/>
  <c r="W365" i="44"/>
  <c r="W945" i="44" s="1"/>
  <c r="W364" i="44"/>
  <c r="W944" i="44" s="1"/>
  <c r="S385" i="44"/>
  <c r="S965" i="44" s="1"/>
  <c r="I380" i="44"/>
  <c r="I960" i="44" s="1"/>
  <c r="T377" i="44"/>
  <c r="T957" i="44" s="1"/>
  <c r="W374" i="44"/>
  <c r="W954" i="44" s="1"/>
  <c r="S373" i="44"/>
  <c r="S953" i="44" s="1"/>
  <c r="R372" i="44"/>
  <c r="R952" i="44" s="1"/>
  <c r="R371" i="44"/>
  <c r="R951" i="44" s="1"/>
  <c r="S370" i="44"/>
  <c r="S950" i="44" s="1"/>
  <c r="R369" i="44"/>
  <c r="R949" i="44" s="1"/>
  <c r="S368" i="44"/>
  <c r="S948" i="44" s="1"/>
  <c r="T367" i="44"/>
  <c r="T947" i="44" s="1"/>
  <c r="U366" i="44"/>
  <c r="U946" i="44" s="1"/>
  <c r="U365" i="44"/>
  <c r="U945" i="44" s="1"/>
  <c r="V364" i="44"/>
  <c r="V944" i="44" s="1"/>
  <c r="P385" i="44"/>
  <c r="G380" i="44"/>
  <c r="G960" i="44" s="1"/>
  <c r="S377" i="44"/>
  <c r="S957" i="44" s="1"/>
  <c r="U374" i="44"/>
  <c r="U954" i="44" s="1"/>
  <c r="R373" i="44"/>
  <c r="R953" i="44" s="1"/>
  <c r="N372" i="44"/>
  <c r="N952" i="44" s="1"/>
  <c r="N370" i="44"/>
  <c r="N950" i="44" s="1"/>
  <c r="N369" i="44"/>
  <c r="R368" i="44"/>
  <c r="R948" i="44" s="1"/>
  <c r="S367" i="44"/>
  <c r="S947" i="44" s="1"/>
  <c r="S366" i="44"/>
  <c r="S946" i="44" s="1"/>
  <c r="T365" i="44"/>
  <c r="T945" i="44" s="1"/>
  <c r="U364" i="44"/>
  <c r="U944" i="44" s="1"/>
  <c r="U384" i="44"/>
  <c r="U964" i="44" s="1"/>
  <c r="S379" i="44"/>
  <c r="S959" i="44" s="1"/>
  <c r="R377" i="44"/>
  <c r="R957" i="44" s="1"/>
  <c r="X375" i="44"/>
  <c r="R374" i="44"/>
  <c r="R954" i="44" s="1"/>
  <c r="N373" i="44"/>
  <c r="N953" i="44" s="1"/>
  <c r="M372" i="44"/>
  <c r="M952" i="44" s="1"/>
  <c r="N371" i="44"/>
  <c r="N951" i="44" s="1"/>
  <c r="M370" i="44"/>
  <c r="M950" i="44" s="1"/>
  <c r="M369" i="44"/>
  <c r="M949" i="44" s="1"/>
  <c r="N368" i="44"/>
  <c r="N948" i="44" s="1"/>
  <c r="N367" i="44"/>
  <c r="N947" i="44" s="1"/>
  <c r="R366" i="44"/>
  <c r="R946" i="44" s="1"/>
  <c r="S365" i="44"/>
  <c r="S945" i="44" s="1"/>
  <c r="T364" i="44"/>
  <c r="T944" i="44" s="1"/>
  <c r="S384" i="44"/>
  <c r="S964" i="44" s="1"/>
  <c r="M379" i="44"/>
  <c r="M959" i="44" s="1"/>
  <c r="M377" i="44"/>
  <c r="M957" i="44" s="1"/>
  <c r="W375" i="44"/>
  <c r="W955" i="44" s="1"/>
  <c r="M373" i="44"/>
  <c r="M953" i="44" s="1"/>
  <c r="L372" i="44"/>
  <c r="L952" i="44" s="1"/>
  <c r="L371" i="44"/>
  <c r="L951" i="44" s="1"/>
  <c r="L370" i="44"/>
  <c r="L369" i="44"/>
  <c r="L949" i="44" s="1"/>
  <c r="L368" i="44"/>
  <c r="L948" i="44" s="1"/>
  <c r="M367" i="44"/>
  <c r="N366" i="44"/>
  <c r="N946" i="44" s="1"/>
  <c r="R365" i="44"/>
  <c r="R945" i="44" s="1"/>
  <c r="S364" i="44"/>
  <c r="S944" i="44" s="1"/>
  <c r="V383" i="44"/>
  <c r="V963" i="44" s="1"/>
  <c r="I379" i="44"/>
  <c r="I959" i="44" s="1"/>
  <c r="W376" i="44"/>
  <c r="W956" i="44" s="1"/>
  <c r="V375" i="44"/>
  <c r="V955" i="44" s="1"/>
  <c r="N374" i="44"/>
  <c r="N954" i="44" s="1"/>
  <c r="L373" i="44"/>
  <c r="L953" i="44" s="1"/>
  <c r="I372" i="44"/>
  <c r="I952" i="44" s="1"/>
  <c r="I371" i="44"/>
  <c r="I951" i="44" s="1"/>
  <c r="I370" i="44"/>
  <c r="I950" i="44" s="1"/>
  <c r="H369" i="44"/>
  <c r="H949" i="44" s="1"/>
  <c r="I368" i="44"/>
  <c r="I948" i="44" s="1"/>
  <c r="L367" i="44"/>
  <c r="L947" i="44" s="1"/>
  <c r="M366" i="44"/>
  <c r="M946" i="44" s="1"/>
  <c r="N365" i="44"/>
  <c r="N945" i="44" s="1"/>
  <c r="R364" i="44"/>
  <c r="R944" i="44" s="1"/>
  <c r="T383" i="44"/>
  <c r="T963" i="44" s="1"/>
  <c r="V378" i="44"/>
  <c r="V958" i="44" s="1"/>
  <c r="V376" i="44"/>
  <c r="V956" i="44" s="1"/>
  <c r="T375" i="44"/>
  <c r="T955" i="44" s="1"/>
  <c r="L374" i="44"/>
  <c r="I373" i="44"/>
  <c r="I953" i="44" s="1"/>
  <c r="G372" i="44"/>
  <c r="G952" i="44" s="1"/>
  <c r="H371" i="44"/>
  <c r="H951" i="44" s="1"/>
  <c r="G370" i="44"/>
  <c r="G950" i="44" s="1"/>
  <c r="G369" i="44"/>
  <c r="G949" i="44" s="1"/>
  <c r="H368" i="44"/>
  <c r="H948" i="44" s="1"/>
  <c r="I367" i="44"/>
  <c r="I947" i="44" s="1"/>
  <c r="L366" i="44"/>
  <c r="L946" i="44" s="1"/>
  <c r="M365" i="44"/>
  <c r="M945" i="44" s="1"/>
  <c r="N364" i="44"/>
  <c r="N944" i="44" s="1"/>
  <c r="X382" i="44"/>
  <c r="T378" i="44"/>
  <c r="T958" i="44" s="1"/>
  <c r="U376" i="44"/>
  <c r="U956" i="44" s="1"/>
  <c r="M375" i="44"/>
  <c r="M955" i="44" s="1"/>
  <c r="I374" i="44"/>
  <c r="I954" i="44" s="1"/>
  <c r="H373" i="44"/>
  <c r="H953" i="44" s="1"/>
  <c r="F372" i="44"/>
  <c r="F952" i="44" s="1"/>
  <c r="F371" i="44"/>
  <c r="F951" i="44" s="1"/>
  <c r="F370" i="44"/>
  <c r="F950" i="44" s="1"/>
  <c r="F369" i="44"/>
  <c r="F949" i="44" s="1"/>
  <c r="G368" i="44"/>
  <c r="G948" i="44" s="1"/>
  <c r="H367" i="44"/>
  <c r="H947" i="44" s="1"/>
  <c r="I366" i="44"/>
  <c r="I946" i="44" s="1"/>
  <c r="L365" i="44"/>
  <c r="M364" i="44"/>
  <c r="M944" i="44" s="1"/>
  <c r="X387" i="44"/>
  <c r="U382" i="44"/>
  <c r="U962" i="44" s="1"/>
  <c r="S378" i="44"/>
  <c r="S958" i="44" s="1"/>
  <c r="T376" i="44"/>
  <c r="T956" i="44" s="1"/>
  <c r="L375" i="44"/>
  <c r="H374" i="44"/>
  <c r="H954" i="44" s="1"/>
  <c r="X372" i="44"/>
  <c r="W371" i="44"/>
  <c r="W951" i="44" s="1"/>
  <c r="X370" i="44"/>
  <c r="X369" i="44"/>
  <c r="X368" i="44"/>
  <c r="F368" i="44"/>
  <c r="F948" i="44" s="1"/>
  <c r="G367" i="44"/>
  <c r="G947" i="44" s="1"/>
  <c r="H366" i="44"/>
  <c r="H946" i="44" s="1"/>
  <c r="I365" i="44"/>
  <c r="I945" i="44" s="1"/>
  <c r="L364" i="44"/>
  <c r="G374" i="44"/>
  <c r="G954" i="44" s="1"/>
  <c r="V372" i="44"/>
  <c r="V952" i="44" s="1"/>
  <c r="V371" i="44"/>
  <c r="V951" i="44" s="1"/>
  <c r="W370" i="44"/>
  <c r="W950" i="44" s="1"/>
  <c r="W369" i="44"/>
  <c r="W949" i="44" s="1"/>
  <c r="W368" i="44"/>
  <c r="W948" i="44" s="1"/>
  <c r="X367" i="44"/>
  <c r="L387" i="44"/>
  <c r="L967" i="44" s="1"/>
  <c r="F367" i="44"/>
  <c r="F947" i="44" s="1"/>
  <c r="F382" i="44"/>
  <c r="F962" i="44" s="1"/>
  <c r="G366" i="44"/>
  <c r="G946" i="44" s="1"/>
  <c r="N378" i="44"/>
  <c r="N958" i="44" s="1"/>
  <c r="H365" i="44"/>
  <c r="H945" i="44" s="1"/>
  <c r="S376" i="44"/>
  <c r="S956" i="44" s="1"/>
  <c r="I364" i="44"/>
  <c r="I944" i="44" s="1"/>
  <c r="H375" i="44"/>
  <c r="H955" i="44" s="1"/>
  <c r="U99" i="44"/>
  <c r="U679" i="44" s="1"/>
  <c r="H98" i="44"/>
  <c r="H678" i="44" s="1"/>
  <c r="W99" i="44"/>
  <c r="W679" i="44" s="1"/>
  <c r="G98" i="44"/>
  <c r="G678" i="44" s="1"/>
  <c r="I97" i="44"/>
  <c r="I677" i="44" s="1"/>
  <c r="M96" i="44"/>
  <c r="M676" i="44" s="1"/>
  <c r="R95" i="44"/>
  <c r="R675" i="44" s="1"/>
  <c r="T94" i="44"/>
  <c r="T674" i="44" s="1"/>
  <c r="W93" i="44"/>
  <c r="W673" i="44" s="1"/>
  <c r="H93" i="44"/>
  <c r="H673" i="44" s="1"/>
  <c r="L92" i="44"/>
  <c r="N91" i="44"/>
  <c r="N671" i="44" s="1"/>
  <c r="S90" i="44"/>
  <c r="S670" i="44" s="1"/>
  <c r="R99" i="44"/>
  <c r="R679" i="44" s="1"/>
  <c r="U98" i="44"/>
  <c r="U678" i="44" s="1"/>
  <c r="V97" i="44"/>
  <c r="V677" i="44" s="1"/>
  <c r="X96" i="44"/>
  <c r="G96" i="44"/>
  <c r="G676" i="44" s="1"/>
  <c r="G99" i="44"/>
  <c r="G679" i="44" s="1"/>
  <c r="L98" i="44"/>
  <c r="M97" i="44"/>
  <c r="M677" i="44" s="1"/>
  <c r="R96" i="44"/>
  <c r="R676" i="44" s="1"/>
  <c r="T95" i="44"/>
  <c r="T675" i="44" s="1"/>
  <c r="V94" i="44"/>
  <c r="V674" i="44" s="1"/>
  <c r="F94" i="44"/>
  <c r="F674" i="44" s="1"/>
  <c r="L93" i="44"/>
  <c r="L673" i="44" s="1"/>
  <c r="N92" i="44"/>
  <c r="N672" i="44" s="1"/>
  <c r="S91" i="44"/>
  <c r="S671" i="44" s="1"/>
  <c r="U90" i="44"/>
  <c r="U670" i="44" s="1"/>
  <c r="X89" i="44"/>
  <c r="H89" i="44"/>
  <c r="H669" i="44" s="1"/>
  <c r="M88" i="44"/>
  <c r="M668" i="44" s="1"/>
  <c r="R87" i="44"/>
  <c r="R667" i="44" s="1"/>
  <c r="V86" i="44"/>
  <c r="V666" i="44" s="1"/>
  <c r="H86" i="44"/>
  <c r="H666" i="44" s="1"/>
  <c r="L85" i="44"/>
  <c r="L665" i="44" s="1"/>
  <c r="N84" i="44"/>
  <c r="N664" i="44" s="1"/>
  <c r="S83" i="44"/>
  <c r="S663" i="44" s="1"/>
  <c r="U82" i="44"/>
  <c r="U662" i="44" s="1"/>
  <c r="X81" i="44"/>
  <c r="G81" i="44"/>
  <c r="G661" i="44" s="1"/>
  <c r="I80" i="44"/>
  <c r="I660" i="44" s="1"/>
  <c r="N79" i="44"/>
  <c r="N659" i="44" s="1"/>
  <c r="S78" i="44"/>
  <c r="S658" i="44" s="1"/>
  <c r="U77" i="44"/>
  <c r="U657" i="44" s="1"/>
  <c r="W76" i="44"/>
  <c r="W656" i="44" s="1"/>
  <c r="F76" i="44"/>
  <c r="F656" i="44" s="1"/>
  <c r="F99" i="44"/>
  <c r="F679" i="44" s="1"/>
  <c r="W97" i="44"/>
  <c r="W677" i="44" s="1"/>
  <c r="U96" i="44"/>
  <c r="U676" i="44" s="1"/>
  <c r="S95" i="44"/>
  <c r="S675" i="44" s="1"/>
  <c r="R94" i="44"/>
  <c r="R674" i="44" s="1"/>
  <c r="S93" i="44"/>
  <c r="S673" i="44" s="1"/>
  <c r="U92" i="44"/>
  <c r="U672" i="44" s="1"/>
  <c r="U91" i="44"/>
  <c r="U671" i="44" s="1"/>
  <c r="T90" i="44"/>
  <c r="T670" i="44" s="1"/>
  <c r="U89" i="44"/>
  <c r="U669" i="44" s="1"/>
  <c r="W88" i="44"/>
  <c r="W668" i="44" s="1"/>
  <c r="F88" i="44"/>
  <c r="I87" i="44"/>
  <c r="I667" i="44" s="1"/>
  <c r="S85" i="44"/>
  <c r="S665" i="44" s="1"/>
  <c r="T84" i="44"/>
  <c r="T664" i="44" s="1"/>
  <c r="U83" i="44"/>
  <c r="U663" i="44" s="1"/>
  <c r="V82" i="44"/>
  <c r="V662" i="44" s="1"/>
  <c r="W81" i="44"/>
  <c r="W661" i="44" s="1"/>
  <c r="X80" i="44"/>
  <c r="F80" i="44"/>
  <c r="F660" i="44" s="1"/>
  <c r="H79" i="44"/>
  <c r="H659" i="44" s="1"/>
  <c r="I78" i="44"/>
  <c r="I658" i="44" s="1"/>
  <c r="L77" i="44"/>
  <c r="M76" i="44"/>
  <c r="M656" i="44" s="1"/>
  <c r="X98" i="44"/>
  <c r="U97" i="44"/>
  <c r="U677" i="44" s="1"/>
  <c r="T96" i="44"/>
  <c r="T676" i="44" s="1"/>
  <c r="N95" i="44"/>
  <c r="N675" i="44" s="1"/>
  <c r="R93" i="44"/>
  <c r="R673" i="44" s="1"/>
  <c r="T92" i="44"/>
  <c r="T672" i="44" s="1"/>
  <c r="T91" i="44"/>
  <c r="T671" i="44" s="1"/>
  <c r="R90" i="44"/>
  <c r="R670" i="44" s="1"/>
  <c r="T89" i="44"/>
  <c r="T669" i="44" s="1"/>
  <c r="V88" i="44"/>
  <c r="V668" i="44" s="1"/>
  <c r="X87" i="44"/>
  <c r="H87" i="44"/>
  <c r="H667" i="44" s="1"/>
  <c r="N86" i="44"/>
  <c r="N666" i="44" s="1"/>
  <c r="R85" i="44"/>
  <c r="R665" i="44" s="1"/>
  <c r="S84" i="44"/>
  <c r="S664" i="44" s="1"/>
  <c r="T83" i="44"/>
  <c r="T663" i="44" s="1"/>
  <c r="T82" i="44"/>
  <c r="T662" i="44" s="1"/>
  <c r="V81" i="44"/>
  <c r="V661" i="44" s="1"/>
  <c r="W80" i="44"/>
  <c r="W660" i="44" s="1"/>
  <c r="X79" i="44"/>
  <c r="G79" i="44"/>
  <c r="G659" i="44" s="1"/>
  <c r="H78" i="44"/>
  <c r="H658" i="44" s="1"/>
  <c r="I77" i="44"/>
  <c r="I657" i="44" s="1"/>
  <c r="L76" i="44"/>
  <c r="W98" i="44"/>
  <c r="W678" i="44" s="1"/>
  <c r="T97" i="44"/>
  <c r="T677" i="44" s="1"/>
  <c r="S96" i="44"/>
  <c r="S676" i="44" s="1"/>
  <c r="M95" i="44"/>
  <c r="M675" i="44" s="1"/>
  <c r="N94" i="44"/>
  <c r="N674" i="44" s="1"/>
  <c r="S92" i="44"/>
  <c r="S672" i="44" s="1"/>
  <c r="R91" i="44"/>
  <c r="R671" i="44" s="1"/>
  <c r="N90" i="44"/>
  <c r="N670" i="44" s="1"/>
  <c r="S89" i="44"/>
  <c r="S669" i="44" s="1"/>
  <c r="U88" i="44"/>
  <c r="U668" i="44" s="1"/>
  <c r="W87" i="44"/>
  <c r="W667" i="44" s="1"/>
  <c r="G87" i="44"/>
  <c r="G667" i="44" s="1"/>
  <c r="M86" i="44"/>
  <c r="M666" i="44" s="1"/>
  <c r="N85" i="44"/>
  <c r="N665" i="44" s="1"/>
  <c r="R84" i="44"/>
  <c r="R664" i="44" s="1"/>
  <c r="R83" i="44"/>
  <c r="R663" i="44" s="1"/>
  <c r="S82" i="44"/>
  <c r="S662" i="44" s="1"/>
  <c r="U81" i="44"/>
  <c r="U661" i="44" s="1"/>
  <c r="V80" i="44"/>
  <c r="V660" i="44" s="1"/>
  <c r="W79" i="44"/>
  <c r="W659" i="44" s="1"/>
  <c r="F79" i="44"/>
  <c r="F659" i="44" s="1"/>
  <c r="G78" i="44"/>
  <c r="G658" i="44" s="1"/>
  <c r="H77" i="44"/>
  <c r="H657" i="44" s="1"/>
  <c r="I76" i="44"/>
  <c r="I656" i="44" s="1"/>
  <c r="X99" i="44"/>
  <c r="V98" i="44"/>
  <c r="V678" i="44" s="1"/>
  <c r="S97" i="44"/>
  <c r="S677" i="44" s="1"/>
  <c r="N96" i="44"/>
  <c r="N676" i="44" s="1"/>
  <c r="L95" i="44"/>
  <c r="M94" i="44"/>
  <c r="M674" i="44" s="1"/>
  <c r="R92" i="44"/>
  <c r="R672" i="44" s="1"/>
  <c r="M91" i="44"/>
  <c r="M90" i="44"/>
  <c r="M670" i="44" s="1"/>
  <c r="R89" i="44"/>
  <c r="R669" i="44" s="1"/>
  <c r="T88" i="44"/>
  <c r="T668" i="44" s="1"/>
  <c r="V87" i="44"/>
  <c r="V667" i="44" s="1"/>
  <c r="F87" i="44"/>
  <c r="F667" i="44" s="1"/>
  <c r="L86" i="44"/>
  <c r="L666" i="44" s="1"/>
  <c r="M85" i="44"/>
  <c r="M84" i="44"/>
  <c r="M664" i="44" s="1"/>
  <c r="N83" i="44"/>
  <c r="N663" i="44" s="1"/>
  <c r="R82" i="44"/>
  <c r="R662" i="44" s="1"/>
  <c r="T81" i="44"/>
  <c r="T661" i="44" s="1"/>
  <c r="U80" i="44"/>
  <c r="U660" i="44" s="1"/>
  <c r="V79" i="44"/>
  <c r="V659" i="44" s="1"/>
  <c r="X78" i="44"/>
  <c r="F78" i="44"/>
  <c r="F658" i="44" s="1"/>
  <c r="G77" i="44"/>
  <c r="G657" i="44" s="1"/>
  <c r="H76" i="44"/>
  <c r="H656" i="44" s="1"/>
  <c r="V99" i="44"/>
  <c r="V679" i="44" s="1"/>
  <c r="T98" i="44"/>
  <c r="T678" i="44" s="1"/>
  <c r="R97" i="44"/>
  <c r="R677" i="44" s="1"/>
  <c r="L96" i="44"/>
  <c r="I95" i="44"/>
  <c r="I675" i="44" s="1"/>
  <c r="L94" i="44"/>
  <c r="L674" i="44" s="1"/>
  <c r="N93" i="44"/>
  <c r="N673" i="44" s="1"/>
  <c r="M92" i="44"/>
  <c r="M672" i="44" s="1"/>
  <c r="L91" i="44"/>
  <c r="L671" i="44" s="1"/>
  <c r="L90" i="44"/>
  <c r="P89" i="44"/>
  <c r="S88" i="44"/>
  <c r="S668" i="44" s="1"/>
  <c r="U87" i="44"/>
  <c r="U667" i="44" s="1"/>
  <c r="X86" i="44"/>
  <c r="I86" i="44"/>
  <c r="I666" i="44" s="1"/>
  <c r="I85" i="44"/>
  <c r="I665" i="44" s="1"/>
  <c r="L84" i="44"/>
  <c r="M83" i="44"/>
  <c r="M663" i="44" s="1"/>
  <c r="N82" i="44"/>
  <c r="N662" i="44" s="1"/>
  <c r="S81" i="44"/>
  <c r="S661" i="44" s="1"/>
  <c r="T80" i="44"/>
  <c r="T660" i="44" s="1"/>
  <c r="U79" i="44"/>
  <c r="U659" i="44" s="1"/>
  <c r="W78" i="44"/>
  <c r="W658" i="44" s="1"/>
  <c r="X77" i="44"/>
  <c r="F77" i="44"/>
  <c r="G76" i="44"/>
  <c r="G656" i="44" s="1"/>
  <c r="T99" i="44"/>
  <c r="T679" i="44" s="1"/>
  <c r="S98" i="44"/>
  <c r="S678" i="44" s="1"/>
  <c r="N97" i="44"/>
  <c r="N677" i="44" s="1"/>
  <c r="I96" i="44"/>
  <c r="I676" i="44" s="1"/>
  <c r="H95" i="44"/>
  <c r="H675" i="44" s="1"/>
  <c r="I94" i="44"/>
  <c r="I674" i="44" s="1"/>
  <c r="M93" i="44"/>
  <c r="M673" i="44" s="1"/>
  <c r="I92" i="44"/>
  <c r="I672" i="44" s="1"/>
  <c r="I91" i="44"/>
  <c r="I671" i="44" s="1"/>
  <c r="I90" i="44"/>
  <c r="I670" i="44" s="1"/>
  <c r="N89" i="44"/>
  <c r="N669" i="44" s="1"/>
  <c r="R88" i="44"/>
  <c r="R668" i="44" s="1"/>
  <c r="T87" i="44"/>
  <c r="T667" i="44" s="1"/>
  <c r="W86" i="44"/>
  <c r="W666" i="44" s="1"/>
  <c r="G86" i="44"/>
  <c r="G666" i="44" s="1"/>
  <c r="H85" i="44"/>
  <c r="H665" i="44" s="1"/>
  <c r="I84" i="44"/>
  <c r="I664" i="44" s="1"/>
  <c r="L83" i="44"/>
  <c r="M82" i="44"/>
  <c r="M662" i="44" s="1"/>
  <c r="R81" i="44"/>
  <c r="R661" i="44" s="1"/>
  <c r="S80" i="44"/>
  <c r="S660" i="44" s="1"/>
  <c r="T79" i="44"/>
  <c r="T659" i="44" s="1"/>
  <c r="V78" i="44"/>
  <c r="V658" i="44" s="1"/>
  <c r="W77" i="44"/>
  <c r="W657" i="44" s="1"/>
  <c r="X76" i="44"/>
  <c r="S99" i="44"/>
  <c r="S679" i="44" s="1"/>
  <c r="R98" i="44"/>
  <c r="R678" i="44" s="1"/>
  <c r="L97" i="44"/>
  <c r="H96" i="44"/>
  <c r="H676" i="44" s="1"/>
  <c r="G95" i="44"/>
  <c r="G675" i="44" s="1"/>
  <c r="H94" i="44"/>
  <c r="H674" i="44" s="1"/>
  <c r="I93" i="44"/>
  <c r="I673" i="44" s="1"/>
  <c r="H92" i="44"/>
  <c r="H672" i="44" s="1"/>
  <c r="H91" i="44"/>
  <c r="H671" i="44" s="1"/>
  <c r="H90" i="44"/>
  <c r="H670" i="44" s="1"/>
  <c r="M89" i="44"/>
  <c r="M669" i="44" s="1"/>
  <c r="S87" i="44"/>
  <c r="S667" i="44" s="1"/>
  <c r="U86" i="44"/>
  <c r="U666" i="44" s="1"/>
  <c r="F86" i="44"/>
  <c r="F666" i="44" s="1"/>
  <c r="G85" i="44"/>
  <c r="G665" i="44" s="1"/>
  <c r="H84" i="44"/>
  <c r="H664" i="44" s="1"/>
  <c r="I83" i="44"/>
  <c r="I663" i="44" s="1"/>
  <c r="L82" i="44"/>
  <c r="N81" i="44"/>
  <c r="N661" i="44" s="1"/>
  <c r="R80" i="44"/>
  <c r="R660" i="44" s="1"/>
  <c r="S79" i="44"/>
  <c r="S659" i="44" s="1"/>
  <c r="U78" i="44"/>
  <c r="U658" i="44" s="1"/>
  <c r="V77" i="44"/>
  <c r="V657" i="44" s="1"/>
  <c r="V76" i="44"/>
  <c r="V656" i="44" s="1"/>
  <c r="N99" i="44"/>
  <c r="N679" i="44" s="1"/>
  <c r="N98" i="44"/>
  <c r="N678" i="44" s="1"/>
  <c r="H97" i="44"/>
  <c r="H677" i="44" s="1"/>
  <c r="F96" i="44"/>
  <c r="F95" i="44"/>
  <c r="G94" i="44"/>
  <c r="G674" i="44" s="1"/>
  <c r="G93" i="44"/>
  <c r="G673" i="44" s="1"/>
  <c r="G92" i="44"/>
  <c r="G672" i="44" s="1"/>
  <c r="G91" i="44"/>
  <c r="G671" i="44" s="1"/>
  <c r="G90" i="44"/>
  <c r="G670" i="44" s="1"/>
  <c r="L89" i="44"/>
  <c r="L669" i="44" s="1"/>
  <c r="N88" i="44"/>
  <c r="N668" i="44" s="1"/>
  <c r="T86" i="44"/>
  <c r="T666" i="44" s="1"/>
  <c r="X85" i="44"/>
  <c r="F85" i="44"/>
  <c r="G84" i="44"/>
  <c r="G664" i="44" s="1"/>
  <c r="H83" i="44"/>
  <c r="H663" i="44" s="1"/>
  <c r="I82" i="44"/>
  <c r="I662" i="44" s="1"/>
  <c r="M81" i="44"/>
  <c r="M661" i="44" s="1"/>
  <c r="N80" i="44"/>
  <c r="R79" i="44"/>
  <c r="R659" i="44" s="1"/>
  <c r="T78" i="44"/>
  <c r="T658" i="44" s="1"/>
  <c r="T77" i="44"/>
  <c r="T657" i="44" s="1"/>
  <c r="U76" i="44"/>
  <c r="U656" i="44" s="1"/>
  <c r="M99" i="44"/>
  <c r="M679" i="44" s="1"/>
  <c r="M98" i="44"/>
  <c r="M678" i="44" s="1"/>
  <c r="G97" i="44"/>
  <c r="G677" i="44" s="1"/>
  <c r="X95" i="44"/>
  <c r="X94" i="44"/>
  <c r="X93" i="44"/>
  <c r="F93" i="44"/>
  <c r="F673" i="44" s="1"/>
  <c r="F92" i="44"/>
  <c r="F672" i="44" s="1"/>
  <c r="F91" i="44"/>
  <c r="F90" i="44"/>
  <c r="I89" i="44"/>
  <c r="I669" i="44" s="1"/>
  <c r="L88" i="44"/>
  <c r="L668" i="44" s="1"/>
  <c r="S86" i="44"/>
  <c r="S666" i="44" s="1"/>
  <c r="W85" i="44"/>
  <c r="W665" i="44" s="1"/>
  <c r="X84" i="44"/>
  <c r="F84" i="44"/>
  <c r="G83" i="44"/>
  <c r="G663" i="44" s="1"/>
  <c r="H82" i="44"/>
  <c r="H662" i="44" s="1"/>
  <c r="L81" i="44"/>
  <c r="M80" i="44"/>
  <c r="M660" i="44" s="1"/>
  <c r="R78" i="44"/>
  <c r="R658" i="44" s="1"/>
  <c r="S77" i="44"/>
  <c r="S657" i="44" s="1"/>
  <c r="T76" i="44"/>
  <c r="T656" i="44" s="1"/>
  <c r="L99" i="44"/>
  <c r="I98" i="44"/>
  <c r="I678" i="44" s="1"/>
  <c r="F97" i="44"/>
  <c r="F677" i="44" s="1"/>
  <c r="W95" i="44"/>
  <c r="W675" i="44" s="1"/>
  <c r="W94" i="44"/>
  <c r="W674" i="44" s="1"/>
  <c r="V93" i="44"/>
  <c r="V673" i="44" s="1"/>
  <c r="X92" i="44"/>
  <c r="X91" i="44"/>
  <c r="X90" i="44"/>
  <c r="G89" i="44"/>
  <c r="G669" i="44" s="1"/>
  <c r="I88" i="44"/>
  <c r="I668" i="44" s="1"/>
  <c r="N87" i="44"/>
  <c r="N667" i="44" s="1"/>
  <c r="R86" i="44"/>
  <c r="R666" i="44" s="1"/>
  <c r="V85" i="44"/>
  <c r="V665" i="44" s="1"/>
  <c r="W84" i="44"/>
  <c r="W664" i="44" s="1"/>
  <c r="X83" i="44"/>
  <c r="F83" i="44"/>
  <c r="F663" i="44" s="1"/>
  <c r="G82" i="44"/>
  <c r="G662" i="44" s="1"/>
  <c r="I81" i="44"/>
  <c r="I661" i="44" s="1"/>
  <c r="L80" i="44"/>
  <c r="L660" i="44" s="1"/>
  <c r="M79" i="44"/>
  <c r="M659" i="44" s="1"/>
  <c r="N78" i="44"/>
  <c r="N658" i="44" s="1"/>
  <c r="R77" i="44"/>
  <c r="R657" i="44" s="1"/>
  <c r="S76" i="44"/>
  <c r="S656" i="44" s="1"/>
  <c r="I99" i="44"/>
  <c r="I679" i="44" s="1"/>
  <c r="F98" i="44"/>
  <c r="F678" i="44" s="1"/>
  <c r="W96" i="44"/>
  <c r="W676" i="44" s="1"/>
  <c r="V95" i="44"/>
  <c r="V675" i="44" s="1"/>
  <c r="U94" i="44"/>
  <c r="U674" i="44" s="1"/>
  <c r="U93" i="44"/>
  <c r="U673" i="44" s="1"/>
  <c r="W92" i="44"/>
  <c r="W672" i="44" s="1"/>
  <c r="W91" i="44"/>
  <c r="W671" i="44" s="1"/>
  <c r="W90" i="44"/>
  <c r="W670" i="44" s="1"/>
  <c r="W89" i="44"/>
  <c r="W669" i="44" s="1"/>
  <c r="F89" i="44"/>
  <c r="H88" i="44"/>
  <c r="H668" i="44" s="1"/>
  <c r="M87" i="44"/>
  <c r="M667" i="44" s="1"/>
  <c r="U85" i="44"/>
  <c r="U665" i="44" s="1"/>
  <c r="V84" i="44"/>
  <c r="V664" i="44" s="1"/>
  <c r="W83" i="44"/>
  <c r="W663" i="44" s="1"/>
  <c r="X82" i="44"/>
  <c r="F82" i="44"/>
  <c r="F662" i="44" s="1"/>
  <c r="H81" i="44"/>
  <c r="H661" i="44" s="1"/>
  <c r="H80" i="44"/>
  <c r="H660" i="44" s="1"/>
  <c r="L79" i="44"/>
  <c r="M78" i="44"/>
  <c r="M658" i="44" s="1"/>
  <c r="N77" i="44"/>
  <c r="N657" i="44" s="1"/>
  <c r="R76" i="44"/>
  <c r="R656" i="44" s="1"/>
  <c r="H99" i="44"/>
  <c r="H679" i="44" s="1"/>
  <c r="X97" i="44"/>
  <c r="V96" i="44"/>
  <c r="V676" i="44" s="1"/>
  <c r="U95" i="44"/>
  <c r="U675" i="44" s="1"/>
  <c r="S94" i="44"/>
  <c r="S674" i="44" s="1"/>
  <c r="T93" i="44"/>
  <c r="T673" i="44" s="1"/>
  <c r="V92" i="44"/>
  <c r="V672" i="44" s="1"/>
  <c r="V91" i="44"/>
  <c r="V671" i="44" s="1"/>
  <c r="V90" i="44"/>
  <c r="V670" i="44" s="1"/>
  <c r="V89" i="44"/>
  <c r="V669" i="44" s="1"/>
  <c r="X88" i="44"/>
  <c r="G88" i="44"/>
  <c r="G668" i="44" s="1"/>
  <c r="L87" i="44"/>
  <c r="L667" i="44" s="1"/>
  <c r="T85" i="44"/>
  <c r="T665" i="44" s="1"/>
  <c r="U84" i="44"/>
  <c r="U664" i="44" s="1"/>
  <c r="V83" i="44"/>
  <c r="V663" i="44" s="1"/>
  <c r="W82" i="44"/>
  <c r="W662" i="44" s="1"/>
  <c r="F81" i="44"/>
  <c r="F661" i="44" s="1"/>
  <c r="G80" i="44"/>
  <c r="G660" i="44" s="1"/>
  <c r="I79" i="44"/>
  <c r="I659" i="44" s="1"/>
  <c r="L78" i="44"/>
  <c r="M77" i="44"/>
  <c r="M657" i="44" s="1"/>
  <c r="N76" i="44"/>
  <c r="N656" i="44" s="1"/>
  <c r="P377" i="44"/>
  <c r="P366" i="44"/>
  <c r="P376" i="44"/>
  <c r="P382" i="44"/>
  <c r="P372" i="44"/>
  <c r="C42" i="43"/>
  <c r="B5" i="39"/>
  <c r="B5" i="46" s="1"/>
  <c r="C44" i="43"/>
  <c r="B4" i="39"/>
  <c r="B4" i="46" s="1"/>
  <c r="B2" i="39"/>
  <c r="B2" i="46" s="1"/>
  <c r="C45" i="43"/>
  <c r="C43" i="43"/>
  <c r="B3" i="39"/>
  <c r="B3" i="46" s="1"/>
  <c r="E44" i="43"/>
  <c r="E43" i="43"/>
  <c r="D42" i="43"/>
  <c r="D45" i="43"/>
  <c r="Z4" i="44"/>
  <c r="Z584" i="44" s="1"/>
  <c r="E7" i="46"/>
  <c r="K7" i="46"/>
  <c r="Z92" i="44" l="1"/>
  <c r="Z672" i="44" s="1"/>
  <c r="Y92" i="44"/>
  <c r="Y672" i="44" s="1"/>
  <c r="X672" i="44"/>
  <c r="J371" i="44"/>
  <c r="J951" i="44" s="1"/>
  <c r="K951" i="44"/>
  <c r="J374" i="44"/>
  <c r="J954" i="44" s="1"/>
  <c r="K954" i="44"/>
  <c r="J99" i="44"/>
  <c r="J679" i="44" s="1"/>
  <c r="K679" i="44"/>
  <c r="P101" i="44"/>
  <c r="L681" i="44"/>
  <c r="Z101" i="44"/>
  <c r="Z681" i="44" s="1"/>
  <c r="Y101" i="44"/>
  <c r="Y681" i="44" s="1"/>
  <c r="X681" i="44"/>
  <c r="P110" i="44"/>
  <c r="L690" i="44"/>
  <c r="P121" i="44"/>
  <c r="M701" i="44"/>
  <c r="O109" i="44"/>
  <c r="O689" i="44" s="1"/>
  <c r="Q109" i="44"/>
  <c r="Q689" i="44" s="1"/>
  <c r="P689" i="44"/>
  <c r="P393" i="44"/>
  <c r="M973" i="44"/>
  <c r="P391" i="44"/>
  <c r="N971" i="44"/>
  <c r="F985" i="44"/>
  <c r="K405" i="44"/>
  <c r="Z406" i="44"/>
  <c r="Z986" i="44" s="1"/>
  <c r="Y406" i="44"/>
  <c r="Y986" i="44" s="1"/>
  <c r="X986" i="44"/>
  <c r="D1209" i="44"/>
  <c r="Y393" i="44"/>
  <c r="Y973" i="44" s="1"/>
  <c r="Z393" i="44"/>
  <c r="Z973" i="44" s="1"/>
  <c r="X973" i="44"/>
  <c r="U1202" i="44"/>
  <c r="P388" i="44"/>
  <c r="M968" i="44"/>
  <c r="K388" i="44"/>
  <c r="K109" i="44"/>
  <c r="K111" i="44"/>
  <c r="Q66" i="44"/>
  <c r="Q646" i="44" s="1"/>
  <c r="O66" i="44"/>
  <c r="O646" i="44" s="1"/>
  <c r="P646" i="44"/>
  <c r="Q1189" i="44"/>
  <c r="F642" i="44"/>
  <c r="K62" i="44"/>
  <c r="Z71" i="44"/>
  <c r="Z651" i="44" s="1"/>
  <c r="Y71" i="44"/>
  <c r="Y651" i="44" s="1"/>
  <c r="X651" i="44"/>
  <c r="R1192" i="44"/>
  <c r="L936" i="44"/>
  <c r="P356" i="44"/>
  <c r="Q451" i="44"/>
  <c r="Q1031" i="44" s="1"/>
  <c r="O451" i="44"/>
  <c r="O1031" i="44" s="1"/>
  <c r="P1031" i="44"/>
  <c r="J442" i="44"/>
  <c r="J1022" i="44" s="1"/>
  <c r="K1022" i="44"/>
  <c r="Z284" i="44"/>
  <c r="Z864" i="44" s="1"/>
  <c r="Y284" i="44"/>
  <c r="Y864" i="44" s="1"/>
  <c r="X864" i="44"/>
  <c r="Z278" i="44"/>
  <c r="Z858" i="44" s="1"/>
  <c r="Y278" i="44"/>
  <c r="Y858" i="44" s="1"/>
  <c r="X858" i="44"/>
  <c r="Z569" i="44"/>
  <c r="Z1149" i="44" s="1"/>
  <c r="Y569" i="44"/>
  <c r="Y1149" i="44" s="1"/>
  <c r="X1149" i="44"/>
  <c r="J579" i="44"/>
  <c r="J1159" i="44" s="1"/>
  <c r="K1159" i="44"/>
  <c r="J576" i="44"/>
  <c r="J1156" i="44" s="1"/>
  <c r="K1156" i="44"/>
  <c r="L1104" i="44"/>
  <c r="P524" i="44"/>
  <c r="J524" i="44"/>
  <c r="J1104" i="44" s="1"/>
  <c r="K1104" i="44"/>
  <c r="J212" i="44"/>
  <c r="J792" i="44" s="1"/>
  <c r="K792" i="44"/>
  <c r="F753" i="44"/>
  <c r="K173" i="44"/>
  <c r="J172" i="44"/>
  <c r="J752" i="44" s="1"/>
  <c r="K752" i="44"/>
  <c r="L1013" i="44"/>
  <c r="P433" i="44"/>
  <c r="Q432" i="44"/>
  <c r="Q1012" i="44" s="1"/>
  <c r="O432" i="44"/>
  <c r="O1012" i="44" s="1"/>
  <c r="P1012" i="44"/>
  <c r="Z419" i="44"/>
  <c r="Z999" i="44" s="1"/>
  <c r="Y419" i="44"/>
  <c r="Y999" i="44" s="1"/>
  <c r="X999" i="44"/>
  <c r="O89" i="44"/>
  <c r="O669" i="44" s="1"/>
  <c r="Q89" i="44"/>
  <c r="Q669" i="44" s="1"/>
  <c r="P669" i="44"/>
  <c r="P90" i="44"/>
  <c r="L670" i="44"/>
  <c r="P76" i="44"/>
  <c r="L656" i="44"/>
  <c r="Y98" i="44"/>
  <c r="Y678" i="44" s="1"/>
  <c r="Z98" i="44"/>
  <c r="Z678" i="44" s="1"/>
  <c r="X678" i="44"/>
  <c r="Z374" i="44"/>
  <c r="Z954" i="44" s="1"/>
  <c r="Y374" i="44"/>
  <c r="Y954" i="44" s="1"/>
  <c r="X954" i="44"/>
  <c r="Z366" i="44"/>
  <c r="Z946" i="44" s="1"/>
  <c r="Y366" i="44"/>
  <c r="Y946" i="44" s="1"/>
  <c r="X946" i="44"/>
  <c r="T1208" i="44"/>
  <c r="K384" i="44"/>
  <c r="K98" i="44"/>
  <c r="K87" i="44"/>
  <c r="P105" i="44"/>
  <c r="L685" i="44"/>
  <c r="Y103" i="44"/>
  <c r="Y683" i="44" s="1"/>
  <c r="Z103" i="44"/>
  <c r="Z683" i="44" s="1"/>
  <c r="X683" i="44"/>
  <c r="Y107" i="44"/>
  <c r="Y687" i="44" s="1"/>
  <c r="Z107" i="44"/>
  <c r="Z687" i="44" s="1"/>
  <c r="X687" i="44"/>
  <c r="T1197" i="44"/>
  <c r="Y405" i="44"/>
  <c r="Y985" i="44" s="1"/>
  <c r="Z405" i="44"/>
  <c r="Z985" i="44" s="1"/>
  <c r="X985" i="44"/>
  <c r="P395" i="44"/>
  <c r="L975" i="44"/>
  <c r="Y390" i="44"/>
  <c r="Y970" i="44" s="1"/>
  <c r="Z390" i="44"/>
  <c r="Z970" i="44" s="1"/>
  <c r="X970" i="44"/>
  <c r="Y409" i="44"/>
  <c r="Y989" i="44" s="1"/>
  <c r="Z409" i="44"/>
  <c r="Z989" i="44" s="1"/>
  <c r="X989" i="44"/>
  <c r="P390" i="44"/>
  <c r="K112" i="44"/>
  <c r="K120" i="44"/>
  <c r="Q361" i="44"/>
  <c r="Q941" i="44" s="1"/>
  <c r="O361" i="44"/>
  <c r="O941" i="44" s="1"/>
  <c r="P941" i="44"/>
  <c r="U1211" i="44"/>
  <c r="F1209" i="44"/>
  <c r="F638" i="44"/>
  <c r="K58" i="44"/>
  <c r="F649" i="44"/>
  <c r="K69" i="44"/>
  <c r="H648" i="44"/>
  <c r="F1204" i="44" s="1"/>
  <c r="K68" i="44"/>
  <c r="J22" i="44"/>
  <c r="J602" i="44" s="1"/>
  <c r="K602" i="44"/>
  <c r="F1024" i="44"/>
  <c r="K444" i="44"/>
  <c r="Q286" i="44"/>
  <c r="Q866" i="44" s="1"/>
  <c r="O286" i="44"/>
  <c r="O866" i="44" s="1"/>
  <c r="P866" i="44"/>
  <c r="M860" i="44"/>
  <c r="P280" i="44"/>
  <c r="Y277" i="44"/>
  <c r="Y857" i="44" s="1"/>
  <c r="Z277" i="44"/>
  <c r="Z857" i="44" s="1"/>
  <c r="X857" i="44"/>
  <c r="P288" i="44"/>
  <c r="L868" i="44"/>
  <c r="P514" i="44"/>
  <c r="P511" i="44"/>
  <c r="L1091" i="44"/>
  <c r="F1107" i="44"/>
  <c r="K527" i="44"/>
  <c r="N1092" i="44"/>
  <c r="P512" i="44"/>
  <c r="M1088" i="44"/>
  <c r="P508" i="44"/>
  <c r="M1098" i="44"/>
  <c r="P518" i="44"/>
  <c r="J239" i="44"/>
  <c r="J819" i="44" s="1"/>
  <c r="K819" i="44"/>
  <c r="L1087" i="44"/>
  <c r="P507" i="44"/>
  <c r="Z504" i="44"/>
  <c r="Z1084" i="44" s="1"/>
  <c r="Y504" i="44"/>
  <c r="Y1084" i="44" s="1"/>
  <c r="X1084" i="44"/>
  <c r="Z500" i="44"/>
  <c r="Z1080" i="44" s="1"/>
  <c r="Y500" i="44"/>
  <c r="Y1080" i="44" s="1"/>
  <c r="X1080" i="44"/>
  <c r="J175" i="44"/>
  <c r="J755" i="44" s="1"/>
  <c r="K755" i="44"/>
  <c r="P412" i="44"/>
  <c r="N992" i="44"/>
  <c r="P82" i="44"/>
  <c r="L662" i="44"/>
  <c r="F664" i="44"/>
  <c r="K84" i="44"/>
  <c r="Z78" i="44"/>
  <c r="Z658" i="44" s="1"/>
  <c r="Y78" i="44"/>
  <c r="Y658" i="44" s="1"/>
  <c r="X658" i="44"/>
  <c r="P92" i="44"/>
  <c r="L672" i="44"/>
  <c r="Z372" i="44"/>
  <c r="Z952" i="44" s="1"/>
  <c r="Y372" i="44"/>
  <c r="Y952" i="44" s="1"/>
  <c r="X952" i="44"/>
  <c r="J370" i="44"/>
  <c r="J950" i="44" s="1"/>
  <c r="K950" i="44"/>
  <c r="K86" i="44"/>
  <c r="Q405" i="44"/>
  <c r="Q985" i="44" s="1"/>
  <c r="O405" i="44"/>
  <c r="O985" i="44" s="1"/>
  <c r="P985" i="44"/>
  <c r="P107" i="44"/>
  <c r="L687" i="44"/>
  <c r="P120" i="44"/>
  <c r="L700" i="44"/>
  <c r="P122" i="44"/>
  <c r="Z108" i="44"/>
  <c r="Z688" i="44" s="1"/>
  <c r="Y108" i="44"/>
  <c r="Y688" i="44" s="1"/>
  <c r="X688" i="44"/>
  <c r="Z119" i="44"/>
  <c r="Z699" i="44" s="1"/>
  <c r="Y119" i="44"/>
  <c r="Y699" i="44" s="1"/>
  <c r="X699" i="44"/>
  <c r="P394" i="44"/>
  <c r="L974" i="44"/>
  <c r="Z397" i="44"/>
  <c r="Z977" i="44" s="1"/>
  <c r="Y397" i="44"/>
  <c r="Y977" i="44" s="1"/>
  <c r="X977" i="44"/>
  <c r="Q1202" i="44"/>
  <c r="F980" i="44"/>
  <c r="K400" i="44"/>
  <c r="L988" i="44"/>
  <c r="P408" i="44"/>
  <c r="F974" i="44"/>
  <c r="K394" i="44"/>
  <c r="Z402" i="44"/>
  <c r="Z982" i="44" s="1"/>
  <c r="Y402" i="44"/>
  <c r="Y982" i="44" s="1"/>
  <c r="X982" i="44"/>
  <c r="E1202" i="44"/>
  <c r="Z389" i="44"/>
  <c r="Z969" i="44" s="1"/>
  <c r="Y389" i="44"/>
  <c r="Y969" i="44" s="1"/>
  <c r="X969" i="44"/>
  <c r="K399" i="44"/>
  <c r="K108" i="44"/>
  <c r="Q344" i="44"/>
  <c r="Q924" i="44" s="1"/>
  <c r="O344" i="44"/>
  <c r="O924" i="44" s="1"/>
  <c r="P924" i="44"/>
  <c r="U1200" i="44"/>
  <c r="G1195" i="44"/>
  <c r="P61" i="44"/>
  <c r="L641" i="44"/>
  <c r="F652" i="44"/>
  <c r="K72" i="44"/>
  <c r="Q1205" i="44"/>
  <c r="T1191" i="44"/>
  <c r="G1201" i="44"/>
  <c r="P63" i="44"/>
  <c r="N643" i="44"/>
  <c r="L1199" i="44" s="1"/>
  <c r="G654" i="44"/>
  <c r="K74" i="44"/>
  <c r="S1196" i="44"/>
  <c r="Q1207" i="44"/>
  <c r="Z58" i="44"/>
  <c r="Z638" i="44" s="1"/>
  <c r="Y58" i="44"/>
  <c r="Y638" i="44" s="1"/>
  <c r="X638" i="44"/>
  <c r="Z69" i="44"/>
  <c r="Z649" i="44" s="1"/>
  <c r="Y69" i="44"/>
  <c r="Y649" i="44" s="1"/>
  <c r="X649" i="44"/>
  <c r="H637" i="44"/>
  <c r="K57" i="44"/>
  <c r="E1205" i="44"/>
  <c r="J5" i="44"/>
  <c r="J585" i="44" s="1"/>
  <c r="K585" i="44"/>
  <c r="L1019" i="44"/>
  <c r="P439" i="44"/>
  <c r="L1018" i="44"/>
  <c r="P438" i="44"/>
  <c r="L1017" i="44"/>
  <c r="P437" i="44"/>
  <c r="P436" i="44"/>
  <c r="L1016" i="44"/>
  <c r="L1026" i="44"/>
  <c r="P446" i="44"/>
  <c r="J169" i="44"/>
  <c r="J749" i="44" s="1"/>
  <c r="K749" i="44"/>
  <c r="O546" i="44"/>
  <c r="O1126" i="44" s="1"/>
  <c r="Q546" i="44"/>
  <c r="Q1126" i="44" s="1"/>
  <c r="P1126" i="44"/>
  <c r="J546" i="44"/>
  <c r="J1126" i="44" s="1"/>
  <c r="K1126" i="44"/>
  <c r="F1101" i="44"/>
  <c r="K521" i="44"/>
  <c r="Y497" i="44"/>
  <c r="Y1077" i="44" s="1"/>
  <c r="Z497" i="44"/>
  <c r="Z1077" i="44" s="1"/>
  <c r="X1077" i="44"/>
  <c r="F1082" i="44"/>
  <c r="D1254" i="44" s="1"/>
  <c r="K502" i="44"/>
  <c r="P504" i="44"/>
  <c r="L1084" i="44"/>
  <c r="P506" i="44"/>
  <c r="L1086" i="44"/>
  <c r="L757" i="44"/>
  <c r="P177" i="44"/>
  <c r="H715" i="44"/>
  <c r="F1223" i="44" s="1"/>
  <c r="K135" i="44"/>
  <c r="Q1217" i="44"/>
  <c r="Q382" i="44"/>
  <c r="Q962" i="44" s="1"/>
  <c r="O382" i="44"/>
  <c r="O962" i="44" s="1"/>
  <c r="P962" i="44"/>
  <c r="Z84" i="44"/>
  <c r="Z664" i="44" s="1"/>
  <c r="Y84" i="44"/>
  <c r="Y664" i="44" s="1"/>
  <c r="X664" i="44"/>
  <c r="K383" i="44"/>
  <c r="K97" i="44"/>
  <c r="Q403" i="44"/>
  <c r="Q983" i="44" s="1"/>
  <c r="O403" i="44"/>
  <c r="O983" i="44" s="1"/>
  <c r="P983" i="44"/>
  <c r="Z102" i="44"/>
  <c r="Z682" i="44" s="1"/>
  <c r="Y102" i="44"/>
  <c r="Y682" i="44" s="1"/>
  <c r="X682" i="44"/>
  <c r="P116" i="44"/>
  <c r="N696" i="44"/>
  <c r="Z123" i="44"/>
  <c r="Z703" i="44" s="1"/>
  <c r="Y123" i="44"/>
  <c r="Y703" i="44" s="1"/>
  <c r="X703" i="44"/>
  <c r="P112" i="44"/>
  <c r="L692" i="44"/>
  <c r="Z404" i="44"/>
  <c r="Z984" i="44" s="1"/>
  <c r="Y404" i="44"/>
  <c r="Y984" i="44" s="1"/>
  <c r="X984" i="44"/>
  <c r="Z407" i="44"/>
  <c r="Z987" i="44" s="1"/>
  <c r="Y407" i="44"/>
  <c r="Y987" i="44" s="1"/>
  <c r="X987" i="44"/>
  <c r="S1211" i="44"/>
  <c r="P392" i="44"/>
  <c r="L972" i="44"/>
  <c r="F983" i="44"/>
  <c r="K403" i="44"/>
  <c r="K100" i="44"/>
  <c r="K119" i="44"/>
  <c r="R1210" i="44"/>
  <c r="U1208" i="44"/>
  <c r="S1192" i="44"/>
  <c r="Z54" i="44"/>
  <c r="Z634" i="44" s="1"/>
  <c r="Y54" i="44"/>
  <c r="Y634" i="44" s="1"/>
  <c r="X634" i="44"/>
  <c r="H646" i="44"/>
  <c r="F1202" i="44" s="1"/>
  <c r="K66" i="44"/>
  <c r="F1189" i="44"/>
  <c r="T584" i="44"/>
  <c r="R1164" i="44" s="1"/>
  <c r="F596" i="44"/>
  <c r="D1176" i="44" s="1"/>
  <c r="K16" i="44"/>
  <c r="X584" i="44"/>
  <c r="I584" i="44"/>
  <c r="G1164" i="44" s="1"/>
  <c r="I595" i="44"/>
  <c r="K15" i="44"/>
  <c r="L607" i="44"/>
  <c r="P27" i="44"/>
  <c r="L594" i="44"/>
  <c r="P14" i="44"/>
  <c r="I606" i="44"/>
  <c r="K26" i="44"/>
  <c r="M593" i="44"/>
  <c r="P13" i="44"/>
  <c r="P171" i="44"/>
  <c r="L751" i="44"/>
  <c r="Z168" i="44"/>
  <c r="Z748" i="44" s="1"/>
  <c r="Y168" i="44"/>
  <c r="Y748" i="44" s="1"/>
  <c r="X748" i="44"/>
  <c r="P244" i="44"/>
  <c r="L824" i="44"/>
  <c r="P255" i="44"/>
  <c r="L835" i="44"/>
  <c r="Z266" i="44"/>
  <c r="Z846" i="44" s="1"/>
  <c r="Y266" i="44"/>
  <c r="Y846" i="44" s="1"/>
  <c r="X846" i="44"/>
  <c r="P538" i="44"/>
  <c r="L1118" i="44"/>
  <c r="F1115" i="44"/>
  <c r="K535" i="44"/>
  <c r="J245" i="44"/>
  <c r="J825" i="44" s="1"/>
  <c r="K825" i="44"/>
  <c r="P509" i="44"/>
  <c r="N1089" i="44"/>
  <c r="H1091" i="44"/>
  <c r="K511" i="44"/>
  <c r="Q484" i="44"/>
  <c r="Q1064" i="44" s="1"/>
  <c r="O484" i="44"/>
  <c r="O1064" i="44" s="1"/>
  <c r="P1064" i="44"/>
  <c r="Z176" i="44"/>
  <c r="Z756" i="44" s="1"/>
  <c r="Y176" i="44"/>
  <c r="Y756" i="44" s="1"/>
  <c r="X756" i="44"/>
  <c r="F758" i="44"/>
  <c r="K178" i="44"/>
  <c r="P142" i="44"/>
  <c r="L722" i="44"/>
  <c r="U1225" i="44"/>
  <c r="K1212" i="44"/>
  <c r="Y82" i="44"/>
  <c r="Y662" i="44" s="1"/>
  <c r="Z82" i="44"/>
  <c r="Z662" i="44" s="1"/>
  <c r="X662" i="44"/>
  <c r="Z87" i="44"/>
  <c r="Z667" i="44" s="1"/>
  <c r="Y87" i="44"/>
  <c r="Y667" i="44" s="1"/>
  <c r="X667" i="44"/>
  <c r="Z83" i="44"/>
  <c r="Z663" i="44" s="1"/>
  <c r="Y83" i="44"/>
  <c r="Y663" i="44" s="1"/>
  <c r="X663" i="44"/>
  <c r="P83" i="44"/>
  <c r="L663" i="44"/>
  <c r="Z364" i="44"/>
  <c r="Z944" i="44" s="1"/>
  <c r="Y364" i="44"/>
  <c r="Y944" i="44" s="1"/>
  <c r="X944" i="44"/>
  <c r="K369" i="44"/>
  <c r="K83" i="44"/>
  <c r="Q410" i="44"/>
  <c r="Q990" i="44" s="1"/>
  <c r="O410" i="44"/>
  <c r="O990" i="44" s="1"/>
  <c r="P990" i="44"/>
  <c r="P106" i="44"/>
  <c r="L686" i="44"/>
  <c r="P117" i="44"/>
  <c r="L697" i="44"/>
  <c r="P118" i="44"/>
  <c r="L698" i="44"/>
  <c r="P119" i="44"/>
  <c r="L699" i="44"/>
  <c r="Y396" i="44"/>
  <c r="Y976" i="44" s="1"/>
  <c r="Z396" i="44"/>
  <c r="Z976" i="44" s="1"/>
  <c r="X976" i="44"/>
  <c r="P1210" i="44"/>
  <c r="F978" i="44"/>
  <c r="K398" i="44"/>
  <c r="F990" i="44"/>
  <c r="K410" i="44"/>
  <c r="K397" i="44"/>
  <c r="K107" i="44"/>
  <c r="F1207" i="44"/>
  <c r="Q1190" i="44"/>
  <c r="F644" i="44"/>
  <c r="K64" i="44"/>
  <c r="F1199" i="44"/>
  <c r="N651" i="44"/>
  <c r="L1207" i="44" s="1"/>
  <c r="P71" i="44"/>
  <c r="Z66" i="44"/>
  <c r="Z646" i="44" s="1"/>
  <c r="Y66" i="44"/>
  <c r="Y646" i="44" s="1"/>
  <c r="X646" i="44"/>
  <c r="Y330" i="44"/>
  <c r="Y910" i="44" s="1"/>
  <c r="Z330" i="44"/>
  <c r="Z910" i="44" s="1"/>
  <c r="X910" i="44"/>
  <c r="O317" i="44"/>
  <c r="O897" i="44" s="1"/>
  <c r="Q317" i="44"/>
  <c r="Q897" i="44" s="1"/>
  <c r="P897" i="44"/>
  <c r="L908" i="44"/>
  <c r="P328" i="44"/>
  <c r="F919" i="44"/>
  <c r="K339" i="44"/>
  <c r="O336" i="44"/>
  <c r="O916" i="44" s="1"/>
  <c r="Q336" i="44"/>
  <c r="Q916" i="44" s="1"/>
  <c r="P916" i="44"/>
  <c r="Y333" i="44"/>
  <c r="Y913" i="44" s="1"/>
  <c r="Z333" i="44"/>
  <c r="Z913" i="44" s="1"/>
  <c r="X913" i="44"/>
  <c r="L910" i="44"/>
  <c r="P330" i="44"/>
  <c r="O329" i="44"/>
  <c r="O909" i="44" s="1"/>
  <c r="Q329" i="44"/>
  <c r="Q909" i="44" s="1"/>
  <c r="P909" i="44"/>
  <c r="M907" i="44"/>
  <c r="P327" i="44"/>
  <c r="G918" i="44"/>
  <c r="K338" i="44"/>
  <c r="F878" i="44"/>
  <c r="K298" i="44"/>
  <c r="F876" i="44"/>
  <c r="K296" i="44"/>
  <c r="H887" i="44"/>
  <c r="F1179" i="44" s="1"/>
  <c r="K307" i="44"/>
  <c r="L883" i="44"/>
  <c r="P303" i="44"/>
  <c r="F894" i="44"/>
  <c r="K314" i="44"/>
  <c r="O313" i="44"/>
  <c r="O893" i="44" s="1"/>
  <c r="Q313" i="44"/>
  <c r="Q893" i="44" s="1"/>
  <c r="P893" i="44"/>
  <c r="F824" i="44"/>
  <c r="K244" i="44"/>
  <c r="F835" i="44"/>
  <c r="K255" i="44"/>
  <c r="L832" i="44"/>
  <c r="P252" i="44"/>
  <c r="F827" i="44"/>
  <c r="K247" i="44"/>
  <c r="Q187" i="44"/>
  <c r="Q767" i="44" s="1"/>
  <c r="O187" i="44"/>
  <c r="O767" i="44" s="1"/>
  <c r="P767" i="44"/>
  <c r="M709" i="44"/>
  <c r="K1217" i="44" s="1"/>
  <c r="P129" i="44"/>
  <c r="P138" i="44"/>
  <c r="N718" i="44"/>
  <c r="Z124" i="44"/>
  <c r="Z704" i="44" s="1"/>
  <c r="Y124" i="44"/>
  <c r="Y704" i="44" s="1"/>
  <c r="X704" i="44"/>
  <c r="S1223" i="44"/>
  <c r="Y94" i="44"/>
  <c r="Y674" i="44" s="1"/>
  <c r="Z94" i="44"/>
  <c r="Z674" i="44" s="1"/>
  <c r="X674" i="44"/>
  <c r="P86" i="44"/>
  <c r="P97" i="44"/>
  <c r="L677" i="44"/>
  <c r="Z79" i="44"/>
  <c r="Z659" i="44" s="1"/>
  <c r="Y79" i="44"/>
  <c r="Y659" i="44" s="1"/>
  <c r="X659" i="44"/>
  <c r="Q1192" i="44"/>
  <c r="P381" i="44"/>
  <c r="L961" i="44"/>
  <c r="Z384" i="44"/>
  <c r="Z964" i="44" s="1"/>
  <c r="Y384" i="44"/>
  <c r="Y964" i="44" s="1"/>
  <c r="X964" i="44"/>
  <c r="P383" i="44"/>
  <c r="L963" i="44"/>
  <c r="Y379" i="44"/>
  <c r="Y959" i="44" s="1"/>
  <c r="Z379" i="44"/>
  <c r="Z959" i="44" s="1"/>
  <c r="X959" i="44"/>
  <c r="K93" i="44"/>
  <c r="K94" i="44"/>
  <c r="O397" i="44"/>
  <c r="O977" i="44" s="1"/>
  <c r="Q397" i="44"/>
  <c r="Q977" i="44" s="1"/>
  <c r="P977" i="44"/>
  <c r="F682" i="44"/>
  <c r="D1190" i="44" s="1"/>
  <c r="K102" i="44"/>
  <c r="Z122" i="44"/>
  <c r="Z702" i="44" s="1"/>
  <c r="Y122" i="44"/>
  <c r="Y702" i="44" s="1"/>
  <c r="X702" i="44"/>
  <c r="Z114" i="44"/>
  <c r="Z694" i="44" s="1"/>
  <c r="Y114" i="44"/>
  <c r="Y694" i="44" s="1"/>
  <c r="X694" i="44"/>
  <c r="F684" i="44"/>
  <c r="K104" i="44"/>
  <c r="P113" i="44"/>
  <c r="M693" i="44"/>
  <c r="P102" i="44"/>
  <c r="Z118" i="44"/>
  <c r="Z698" i="44" s="1"/>
  <c r="Y118" i="44"/>
  <c r="Y698" i="44" s="1"/>
  <c r="X698" i="44"/>
  <c r="E1195" i="44"/>
  <c r="P411" i="44"/>
  <c r="Z398" i="44"/>
  <c r="Z978" i="44" s="1"/>
  <c r="Y398" i="44"/>
  <c r="Y978" i="44" s="1"/>
  <c r="X978" i="44"/>
  <c r="R1209" i="44"/>
  <c r="Z391" i="44"/>
  <c r="Z971" i="44" s="1"/>
  <c r="Y391" i="44"/>
  <c r="Y971" i="44" s="1"/>
  <c r="X971" i="44"/>
  <c r="R1202" i="44"/>
  <c r="Z410" i="44"/>
  <c r="Z990" i="44" s="1"/>
  <c r="Y410" i="44"/>
  <c r="Y990" i="44" s="1"/>
  <c r="X990" i="44"/>
  <c r="K407" i="44"/>
  <c r="K411" i="44"/>
  <c r="K118" i="44"/>
  <c r="E1197" i="44"/>
  <c r="Z64" i="44"/>
  <c r="Z644" i="44" s="1"/>
  <c r="Y64" i="44"/>
  <c r="Y644" i="44" s="1"/>
  <c r="X644" i="44"/>
  <c r="U1188" i="44"/>
  <c r="S1205" i="44"/>
  <c r="Z341" i="44"/>
  <c r="Z921" i="44" s="1"/>
  <c r="Y341" i="44"/>
  <c r="Y921" i="44" s="1"/>
  <c r="X921" i="44"/>
  <c r="Q305" i="44"/>
  <c r="Q885" i="44" s="1"/>
  <c r="O305" i="44"/>
  <c r="O885" i="44" s="1"/>
  <c r="P885" i="44"/>
  <c r="K149" i="44"/>
  <c r="H1148" i="44"/>
  <c r="K568" i="44"/>
  <c r="H1158" i="44"/>
  <c r="K578" i="44"/>
  <c r="F841" i="44"/>
  <c r="K261" i="44"/>
  <c r="Q429" i="44"/>
  <c r="Q1009" i="44" s="1"/>
  <c r="O429" i="44"/>
  <c r="O1009" i="44" s="1"/>
  <c r="P1009" i="44"/>
  <c r="Z130" i="44"/>
  <c r="Z710" i="44" s="1"/>
  <c r="Y130" i="44"/>
  <c r="Y710" i="44" s="1"/>
  <c r="X710" i="44"/>
  <c r="Z131" i="44"/>
  <c r="Z711" i="44" s="1"/>
  <c r="Y131" i="44"/>
  <c r="Y711" i="44" s="1"/>
  <c r="X711" i="44"/>
  <c r="Q372" i="44"/>
  <c r="Q952" i="44" s="1"/>
  <c r="O372" i="44"/>
  <c r="O952" i="44" s="1"/>
  <c r="P952" i="44"/>
  <c r="Q377" i="44"/>
  <c r="Q957" i="44" s="1"/>
  <c r="O377" i="44"/>
  <c r="O957" i="44" s="1"/>
  <c r="P957" i="44"/>
  <c r="P84" i="44"/>
  <c r="L664" i="44"/>
  <c r="E1190" i="44"/>
  <c r="P371" i="44"/>
  <c r="P1193" i="44"/>
  <c r="T1209" i="44"/>
  <c r="P373" i="44"/>
  <c r="G1208" i="44"/>
  <c r="K1207" i="44"/>
  <c r="T1204" i="44"/>
  <c r="K378" i="44"/>
  <c r="K382" i="44"/>
  <c r="K82" i="44"/>
  <c r="P398" i="44"/>
  <c r="Z120" i="44"/>
  <c r="Z700" i="44" s="1"/>
  <c r="Y120" i="44"/>
  <c r="Y700" i="44" s="1"/>
  <c r="X700" i="44"/>
  <c r="P104" i="44"/>
  <c r="N684" i="44"/>
  <c r="Z112" i="44"/>
  <c r="Z692" i="44" s="1"/>
  <c r="Y112" i="44"/>
  <c r="Y692" i="44" s="1"/>
  <c r="X692" i="44"/>
  <c r="Y104" i="44"/>
  <c r="Y684" i="44" s="1"/>
  <c r="Z104" i="44"/>
  <c r="Z684" i="44" s="1"/>
  <c r="X684" i="44"/>
  <c r="Z115" i="44"/>
  <c r="Z695" i="44" s="1"/>
  <c r="Y115" i="44"/>
  <c r="Y695" i="44" s="1"/>
  <c r="X695" i="44"/>
  <c r="P114" i="44"/>
  <c r="L694" i="44"/>
  <c r="P103" i="44"/>
  <c r="M683" i="44"/>
  <c r="K1191" i="44" s="1"/>
  <c r="P123" i="44"/>
  <c r="P401" i="44"/>
  <c r="Q1203" i="44"/>
  <c r="Z400" i="44"/>
  <c r="Z980" i="44" s="1"/>
  <c r="Y400" i="44"/>
  <c r="Y980" i="44" s="1"/>
  <c r="X980" i="44"/>
  <c r="Z394" i="44"/>
  <c r="Z974" i="44" s="1"/>
  <c r="Y394" i="44"/>
  <c r="Y974" i="44" s="1"/>
  <c r="X974" i="44"/>
  <c r="K390" i="44"/>
  <c r="K396" i="44"/>
  <c r="K391" i="44"/>
  <c r="E1198" i="44"/>
  <c r="K54" i="44"/>
  <c r="M919" i="44"/>
  <c r="P339" i="44"/>
  <c r="F907" i="44"/>
  <c r="K327" i="44"/>
  <c r="T1165" i="44"/>
  <c r="L891" i="44"/>
  <c r="P311" i="44"/>
  <c r="Y299" i="44"/>
  <c r="Y879" i="44" s="1"/>
  <c r="Z299" i="44"/>
  <c r="Z879" i="44" s="1"/>
  <c r="X879" i="44"/>
  <c r="P563" i="44"/>
  <c r="N1143" i="44"/>
  <c r="I1153" i="44"/>
  <c r="K573" i="44"/>
  <c r="Y556" i="44"/>
  <c r="Y1136" i="44" s="1"/>
  <c r="Z556" i="44"/>
  <c r="Z1136" i="44" s="1"/>
  <c r="X1136" i="44"/>
  <c r="K551" i="44"/>
  <c r="F946" i="44"/>
  <c r="K366" i="44"/>
  <c r="F665" i="44"/>
  <c r="K85" i="44"/>
  <c r="O376" i="44"/>
  <c r="O956" i="44" s="1"/>
  <c r="Q376" i="44"/>
  <c r="Q956" i="44" s="1"/>
  <c r="P956" i="44"/>
  <c r="P87" i="44"/>
  <c r="Z80" i="44"/>
  <c r="Z660" i="44" s="1"/>
  <c r="Y80" i="44"/>
  <c r="Y660" i="44" s="1"/>
  <c r="X660" i="44"/>
  <c r="P384" i="44"/>
  <c r="L964" i="44"/>
  <c r="R1193" i="44"/>
  <c r="K81" i="44"/>
  <c r="P396" i="44"/>
  <c r="L976" i="44"/>
  <c r="J117" i="44"/>
  <c r="J697" i="44" s="1"/>
  <c r="K697" i="44"/>
  <c r="Z65" i="44"/>
  <c r="Z645" i="44" s="1"/>
  <c r="Y65" i="44"/>
  <c r="Y645" i="44" s="1"/>
  <c r="X645" i="44"/>
  <c r="L912" i="44"/>
  <c r="P332" i="44"/>
  <c r="J316" i="44"/>
  <c r="J896" i="44" s="1"/>
  <c r="K896" i="44"/>
  <c r="Z158" i="44"/>
  <c r="Z738" i="44" s="1"/>
  <c r="Y158" i="44"/>
  <c r="Y738" i="44" s="1"/>
  <c r="X738" i="44"/>
  <c r="Z487" i="44"/>
  <c r="Z1067" i="44" s="1"/>
  <c r="Y487" i="44"/>
  <c r="Y1067" i="44" s="1"/>
  <c r="X1067" i="44"/>
  <c r="Y76" i="44"/>
  <c r="Y656" i="44" s="1"/>
  <c r="Z76" i="44"/>
  <c r="Z656" i="44" s="1"/>
  <c r="X656" i="44"/>
  <c r="Q1193" i="44"/>
  <c r="Y365" i="44"/>
  <c r="Y945" i="44" s="1"/>
  <c r="Z365" i="44"/>
  <c r="Z945" i="44" s="1"/>
  <c r="X945" i="44"/>
  <c r="P378" i="44"/>
  <c r="M958" i="44"/>
  <c r="Y383" i="44"/>
  <c r="Y963" i="44" s="1"/>
  <c r="Z383" i="44"/>
  <c r="Z963" i="44" s="1"/>
  <c r="X963" i="44"/>
  <c r="P387" i="44"/>
  <c r="P368" i="44"/>
  <c r="M948" i="44"/>
  <c r="K76" i="44"/>
  <c r="K380" i="44"/>
  <c r="K92" i="44"/>
  <c r="K404" i="44"/>
  <c r="K395" i="44"/>
  <c r="K103" i="44"/>
  <c r="F643" i="44"/>
  <c r="D1199" i="44" s="1"/>
  <c r="K63" i="44"/>
  <c r="P1192" i="44"/>
  <c r="P1203" i="44"/>
  <c r="I939" i="44"/>
  <c r="K359" i="44"/>
  <c r="N937" i="44"/>
  <c r="P357" i="44"/>
  <c r="G925" i="44"/>
  <c r="K345" i="44"/>
  <c r="T1203" i="44"/>
  <c r="N922" i="44"/>
  <c r="P342" i="44"/>
  <c r="K59" i="44"/>
  <c r="P36" i="44"/>
  <c r="L616" i="44"/>
  <c r="J323" i="44"/>
  <c r="J903" i="44" s="1"/>
  <c r="K903" i="44"/>
  <c r="G1181" i="44"/>
  <c r="J300" i="44"/>
  <c r="J880" i="44" s="1"/>
  <c r="K880" i="44"/>
  <c r="Q161" i="44"/>
  <c r="Q741" i="44" s="1"/>
  <c r="O161" i="44"/>
  <c r="O741" i="44" s="1"/>
  <c r="P741" i="44"/>
  <c r="F730" i="44"/>
  <c r="K150" i="44"/>
  <c r="F861" i="44"/>
  <c r="K281" i="44"/>
  <c r="Q535" i="44"/>
  <c r="Q1115" i="44" s="1"/>
  <c r="O535" i="44"/>
  <c r="O1115" i="44" s="1"/>
  <c r="P1115" i="44"/>
  <c r="J532" i="44"/>
  <c r="J1112" i="44" s="1"/>
  <c r="K1112" i="44"/>
  <c r="F803" i="44"/>
  <c r="K223" i="44"/>
  <c r="F786" i="44"/>
  <c r="D1246" i="44" s="1"/>
  <c r="K206" i="44"/>
  <c r="P203" i="44"/>
  <c r="M783" i="44"/>
  <c r="L1050" i="44"/>
  <c r="P470" i="44"/>
  <c r="Y466" i="44"/>
  <c r="Y1046" i="44" s="1"/>
  <c r="Z466" i="44"/>
  <c r="Z1046" i="44" s="1"/>
  <c r="X1046" i="44"/>
  <c r="Z370" i="44"/>
  <c r="Z950" i="44" s="1"/>
  <c r="Y370" i="44"/>
  <c r="Y950" i="44" s="1"/>
  <c r="X950" i="44"/>
  <c r="Q385" i="44"/>
  <c r="Q965" i="44" s="1"/>
  <c r="O385" i="44"/>
  <c r="O965" i="44" s="1"/>
  <c r="P965" i="44"/>
  <c r="Z95" i="44"/>
  <c r="Z675" i="44" s="1"/>
  <c r="Y95" i="44"/>
  <c r="Y675" i="44" s="1"/>
  <c r="X675" i="44"/>
  <c r="F668" i="44"/>
  <c r="K88" i="44"/>
  <c r="Z97" i="44"/>
  <c r="Z677" i="44" s="1"/>
  <c r="Y97" i="44"/>
  <c r="Y677" i="44" s="1"/>
  <c r="X677" i="44"/>
  <c r="P95" i="44"/>
  <c r="L675" i="44"/>
  <c r="Z89" i="44"/>
  <c r="Z669" i="44" s="1"/>
  <c r="Y89" i="44"/>
  <c r="Y669" i="44" s="1"/>
  <c r="X669" i="44"/>
  <c r="K364" i="44"/>
  <c r="O404" i="44"/>
  <c r="O984" i="44" s="1"/>
  <c r="Q404" i="44"/>
  <c r="Q984" i="44" s="1"/>
  <c r="P984" i="44"/>
  <c r="J409" i="44"/>
  <c r="J989" i="44" s="1"/>
  <c r="K989" i="44"/>
  <c r="G1199" i="44"/>
  <c r="F739" i="44"/>
  <c r="K159" i="44"/>
  <c r="P275" i="44"/>
  <c r="L855" i="44"/>
  <c r="L1156" i="44"/>
  <c r="P576" i="44"/>
  <c r="M1072" i="44"/>
  <c r="P492" i="44"/>
  <c r="F669" i="44"/>
  <c r="K89" i="44"/>
  <c r="F670" i="44"/>
  <c r="D1202" i="44" s="1"/>
  <c r="K90" i="44"/>
  <c r="P78" i="44"/>
  <c r="L658" i="44"/>
  <c r="F671" i="44"/>
  <c r="K91" i="44"/>
  <c r="Z86" i="44"/>
  <c r="Z666" i="44" s="1"/>
  <c r="Y86" i="44"/>
  <c r="Y666" i="44" s="1"/>
  <c r="X666" i="44"/>
  <c r="P85" i="44"/>
  <c r="M665" i="44"/>
  <c r="K1197" i="44" s="1"/>
  <c r="P94" i="44"/>
  <c r="Y81" i="44"/>
  <c r="Y661" i="44" s="1"/>
  <c r="Z81" i="44"/>
  <c r="Z661" i="44" s="1"/>
  <c r="X661" i="44"/>
  <c r="P367" i="44"/>
  <c r="M947" i="44"/>
  <c r="P386" i="44"/>
  <c r="L959" i="44"/>
  <c r="P379" i="44"/>
  <c r="L960" i="44"/>
  <c r="P380" i="44"/>
  <c r="G1193" i="44"/>
  <c r="K377" i="44"/>
  <c r="K365" i="44"/>
  <c r="K80" i="44"/>
  <c r="K389" i="44"/>
  <c r="K408" i="44"/>
  <c r="K113" i="44"/>
  <c r="O67" i="44"/>
  <c r="O647" i="44" s="1"/>
  <c r="Q67" i="44"/>
  <c r="Q647" i="44" s="1"/>
  <c r="P647" i="44"/>
  <c r="F940" i="44"/>
  <c r="D1208" i="44" s="1"/>
  <c r="K360" i="44"/>
  <c r="J53" i="44"/>
  <c r="J633" i="44" s="1"/>
  <c r="K633" i="44"/>
  <c r="F622" i="44"/>
  <c r="K42" i="44"/>
  <c r="Z30" i="44"/>
  <c r="Z610" i="44" s="1"/>
  <c r="Y30" i="44"/>
  <c r="Y610" i="44" s="1"/>
  <c r="X610" i="44"/>
  <c r="L608" i="44"/>
  <c r="P28" i="44"/>
  <c r="J35" i="44"/>
  <c r="J615" i="44" s="1"/>
  <c r="K615" i="44"/>
  <c r="N603" i="44"/>
  <c r="P23" i="44"/>
  <c r="U1222" i="44"/>
  <c r="H852" i="44"/>
  <c r="K272" i="44"/>
  <c r="P541" i="44"/>
  <c r="L1121" i="44"/>
  <c r="P230" i="44"/>
  <c r="L810" i="44"/>
  <c r="L801" i="44"/>
  <c r="P221" i="44"/>
  <c r="J484" i="44"/>
  <c r="J1064" i="44" s="1"/>
  <c r="K1064" i="44"/>
  <c r="F1059" i="44"/>
  <c r="K479" i="44"/>
  <c r="Q1214" i="44"/>
  <c r="Y412" i="44"/>
  <c r="Y992" i="44" s="1"/>
  <c r="Z412" i="44"/>
  <c r="Z992" i="44" s="1"/>
  <c r="X992" i="44"/>
  <c r="Y434" i="44"/>
  <c r="Y1014" i="44" s="1"/>
  <c r="Z434" i="44"/>
  <c r="Z1014" i="44" s="1"/>
  <c r="X1014" i="44"/>
  <c r="F1003" i="44"/>
  <c r="K423" i="44"/>
  <c r="Z433" i="44"/>
  <c r="Z1013" i="44" s="1"/>
  <c r="Y433" i="44"/>
  <c r="Y1013" i="44" s="1"/>
  <c r="X1013" i="44"/>
  <c r="J430" i="44"/>
  <c r="J1010" i="44" s="1"/>
  <c r="K1010" i="44"/>
  <c r="Z93" i="44"/>
  <c r="Z673" i="44" s="1"/>
  <c r="Y93" i="44"/>
  <c r="Y673" i="44" s="1"/>
  <c r="X673" i="44"/>
  <c r="P370" i="44"/>
  <c r="L950" i="44"/>
  <c r="Z85" i="44"/>
  <c r="Z665" i="44" s="1"/>
  <c r="Y85" i="44"/>
  <c r="Y665" i="44" s="1"/>
  <c r="X665" i="44"/>
  <c r="Q366" i="44"/>
  <c r="Q946" i="44" s="1"/>
  <c r="O366" i="44"/>
  <c r="O946" i="44" s="1"/>
  <c r="P946" i="44"/>
  <c r="P99" i="44"/>
  <c r="L679" i="44"/>
  <c r="Z375" i="44"/>
  <c r="Z955" i="44" s="1"/>
  <c r="Y375" i="44"/>
  <c r="Y955" i="44" s="1"/>
  <c r="X955" i="44"/>
  <c r="Q407" i="44"/>
  <c r="Q987" i="44" s="1"/>
  <c r="O407" i="44"/>
  <c r="O987" i="44" s="1"/>
  <c r="P987" i="44"/>
  <c r="Z388" i="44"/>
  <c r="Z968" i="44" s="1"/>
  <c r="Y388" i="44"/>
  <c r="Y968" i="44" s="1"/>
  <c r="X968" i="44"/>
  <c r="K115" i="44"/>
  <c r="U1209" i="44"/>
  <c r="J353" i="44"/>
  <c r="J933" i="44" s="1"/>
  <c r="K933" i="44"/>
  <c r="Z289" i="44"/>
  <c r="Z869" i="44" s="1"/>
  <c r="Y289" i="44"/>
  <c r="Y869" i="44" s="1"/>
  <c r="X869" i="44"/>
  <c r="J270" i="44"/>
  <c r="J850" i="44" s="1"/>
  <c r="K850" i="44"/>
  <c r="Z259" i="44"/>
  <c r="Z839" i="44" s="1"/>
  <c r="Y259" i="44"/>
  <c r="Y839" i="44" s="1"/>
  <c r="X839" i="44"/>
  <c r="P553" i="44"/>
  <c r="N1133" i="44"/>
  <c r="L1185" i="44" s="1"/>
  <c r="Z88" i="44"/>
  <c r="Z668" i="44" s="1"/>
  <c r="Y88" i="44"/>
  <c r="Y668" i="44" s="1"/>
  <c r="X668" i="44"/>
  <c r="P79" i="44"/>
  <c r="L659" i="44"/>
  <c r="Z90" i="44"/>
  <c r="Z670" i="44" s="1"/>
  <c r="Y90" i="44"/>
  <c r="Y670" i="44" s="1"/>
  <c r="X670" i="44"/>
  <c r="P80" i="44"/>
  <c r="N660" i="44"/>
  <c r="F657" i="44"/>
  <c r="K77" i="44"/>
  <c r="Z367" i="44"/>
  <c r="Z947" i="44" s="1"/>
  <c r="Y367" i="44"/>
  <c r="Y947" i="44" s="1"/>
  <c r="X947" i="44"/>
  <c r="Z368" i="44"/>
  <c r="Z948" i="44" s="1"/>
  <c r="Y368" i="44"/>
  <c r="Y948" i="44" s="1"/>
  <c r="X948" i="44"/>
  <c r="P365" i="44"/>
  <c r="L945" i="44"/>
  <c r="L954" i="44"/>
  <c r="P374" i="44"/>
  <c r="S1209" i="44"/>
  <c r="P1204" i="44"/>
  <c r="Y376" i="44"/>
  <c r="Y956" i="44" s="1"/>
  <c r="Z376" i="44"/>
  <c r="Z956" i="44" s="1"/>
  <c r="X956" i="44"/>
  <c r="Z386" i="44"/>
  <c r="Z966" i="44" s="1"/>
  <c r="Y386" i="44"/>
  <c r="Y966" i="44" s="1"/>
  <c r="X966" i="44"/>
  <c r="U1204" i="44"/>
  <c r="Y381" i="44"/>
  <c r="Y961" i="44" s="1"/>
  <c r="Z381" i="44"/>
  <c r="Z961" i="44" s="1"/>
  <c r="X961" i="44"/>
  <c r="K376" i="44"/>
  <c r="K78" i="44"/>
  <c r="K379" i="44"/>
  <c r="K114" i="44"/>
  <c r="K110" i="44"/>
  <c r="K101" i="44"/>
  <c r="M920" i="44"/>
  <c r="P340" i="44"/>
  <c r="G931" i="44"/>
  <c r="E1199" i="44" s="1"/>
  <c r="K351" i="44"/>
  <c r="M615" i="44"/>
  <c r="P35" i="44"/>
  <c r="G626" i="44"/>
  <c r="K46" i="44"/>
  <c r="J308" i="44"/>
  <c r="J888" i="44" s="1"/>
  <c r="K888" i="44"/>
  <c r="F866" i="44"/>
  <c r="K286" i="44"/>
  <c r="F853" i="44"/>
  <c r="K273" i="44"/>
  <c r="L1154" i="44"/>
  <c r="P574" i="44"/>
  <c r="F1143" i="44"/>
  <c r="K563" i="44"/>
  <c r="K560" i="44"/>
  <c r="P552" i="44"/>
  <c r="L1132" i="44"/>
  <c r="P236" i="44"/>
  <c r="M816" i="44"/>
  <c r="P226" i="44"/>
  <c r="N806" i="44"/>
  <c r="L808" i="44"/>
  <c r="P228" i="44"/>
  <c r="Z241" i="44"/>
  <c r="Z821" i="44" s="1"/>
  <c r="Y241" i="44"/>
  <c r="Y821" i="44" s="1"/>
  <c r="X821" i="44"/>
  <c r="J238" i="44"/>
  <c r="J818" i="44" s="1"/>
  <c r="K818" i="44"/>
  <c r="N780" i="44"/>
  <c r="L1240" i="44" s="1"/>
  <c r="P200" i="44"/>
  <c r="P211" i="44"/>
  <c r="L791" i="44"/>
  <c r="J1251" i="44" s="1"/>
  <c r="J503" i="44"/>
  <c r="J1083" i="44" s="1"/>
  <c r="K1083" i="44"/>
  <c r="J470" i="44"/>
  <c r="J1050" i="44" s="1"/>
  <c r="K1050" i="44"/>
  <c r="F1218" i="44"/>
  <c r="F1009" i="44"/>
  <c r="D1229" i="44" s="1"/>
  <c r="K429" i="44"/>
  <c r="J136" i="44"/>
  <c r="J716" i="44" s="1"/>
  <c r="K716" i="44"/>
  <c r="F675" i="44"/>
  <c r="K95" i="44"/>
  <c r="F676" i="44"/>
  <c r="K96" i="44"/>
  <c r="P96" i="44"/>
  <c r="L676" i="44"/>
  <c r="P93" i="44"/>
  <c r="D1207" i="44"/>
  <c r="Y385" i="44"/>
  <c r="Y965" i="44" s="1"/>
  <c r="Z385" i="44"/>
  <c r="Z965" i="44" s="1"/>
  <c r="X965" i="44"/>
  <c r="K368" i="44"/>
  <c r="Z110" i="44"/>
  <c r="Z690" i="44" s="1"/>
  <c r="Y110" i="44"/>
  <c r="Y690" i="44" s="1"/>
  <c r="X690" i="44"/>
  <c r="F696" i="44"/>
  <c r="K116" i="44"/>
  <c r="S1208" i="44"/>
  <c r="F632" i="44"/>
  <c r="D1188" i="44" s="1"/>
  <c r="K52" i="44"/>
  <c r="Q302" i="44"/>
  <c r="Q882" i="44" s="1"/>
  <c r="O302" i="44"/>
  <c r="O882" i="44" s="1"/>
  <c r="P882" i="44"/>
  <c r="P248" i="44"/>
  <c r="L828" i="44"/>
  <c r="F1055" i="44"/>
  <c r="K475" i="44"/>
  <c r="P88" i="44"/>
  <c r="Z96" i="44"/>
  <c r="Z676" i="44" s="1"/>
  <c r="Y96" i="44"/>
  <c r="Y676" i="44" s="1"/>
  <c r="X676" i="44"/>
  <c r="Z387" i="44"/>
  <c r="Z967" i="44" s="1"/>
  <c r="Y387" i="44"/>
  <c r="Y967" i="44" s="1"/>
  <c r="X967" i="44"/>
  <c r="Z91" i="44"/>
  <c r="Z671" i="44" s="1"/>
  <c r="Y91" i="44"/>
  <c r="Y671" i="44" s="1"/>
  <c r="X671" i="44"/>
  <c r="P81" i="44"/>
  <c r="L661" i="44"/>
  <c r="Y77" i="44"/>
  <c r="Y657" i="44" s="1"/>
  <c r="Z77" i="44"/>
  <c r="Z657" i="44" s="1"/>
  <c r="X657" i="44"/>
  <c r="Y99" i="44"/>
  <c r="Y679" i="44" s="1"/>
  <c r="Z99" i="44"/>
  <c r="Z679" i="44" s="1"/>
  <c r="X679" i="44"/>
  <c r="U1192" i="44"/>
  <c r="Z369" i="44"/>
  <c r="Z949" i="44" s="1"/>
  <c r="Y369" i="44"/>
  <c r="Y949" i="44" s="1"/>
  <c r="X949" i="44"/>
  <c r="Z382" i="44"/>
  <c r="Z962" i="44" s="1"/>
  <c r="Y382" i="44"/>
  <c r="Y962" i="44" s="1"/>
  <c r="X962" i="44"/>
  <c r="E1204" i="44"/>
  <c r="F961" i="44"/>
  <c r="K381" i="44"/>
  <c r="Z377" i="44"/>
  <c r="Z957" i="44" s="1"/>
  <c r="Y377" i="44"/>
  <c r="Y957" i="44" s="1"/>
  <c r="X957" i="44"/>
  <c r="K1209" i="44"/>
  <c r="F953" i="44"/>
  <c r="K373" i="44"/>
  <c r="K375" i="44"/>
  <c r="K386" i="44"/>
  <c r="K367" i="44"/>
  <c r="Y401" i="44"/>
  <c r="Y981" i="44" s="1"/>
  <c r="Z401" i="44"/>
  <c r="Z981" i="44" s="1"/>
  <c r="X981" i="44"/>
  <c r="S1188" i="44"/>
  <c r="P399" i="44"/>
  <c r="K402" i="44"/>
  <c r="K121" i="44"/>
  <c r="K123" i="44"/>
  <c r="Q1201" i="44"/>
  <c r="P48" i="44"/>
  <c r="L628" i="44"/>
  <c r="F631" i="44"/>
  <c r="K51" i="44"/>
  <c r="J29" i="44"/>
  <c r="J609" i="44" s="1"/>
  <c r="K609" i="44"/>
  <c r="G1183" i="44"/>
  <c r="P448" i="44"/>
  <c r="N1028" i="44"/>
  <c r="Z457" i="44"/>
  <c r="Z1037" i="44" s="1"/>
  <c r="Y457" i="44"/>
  <c r="Y1037" i="44" s="1"/>
  <c r="X1037" i="44"/>
  <c r="K446" i="44"/>
  <c r="P571" i="44"/>
  <c r="L1151" i="44"/>
  <c r="G817" i="44"/>
  <c r="K237" i="44"/>
  <c r="F807" i="44"/>
  <c r="K227" i="44"/>
  <c r="Z232" i="44"/>
  <c r="Z812" i="44" s="1"/>
  <c r="Y232" i="44"/>
  <c r="Y812" i="44" s="1"/>
  <c r="X812" i="44"/>
  <c r="J226" i="44"/>
  <c r="J806" i="44" s="1"/>
  <c r="K806" i="44"/>
  <c r="F783" i="44"/>
  <c r="K203" i="44"/>
  <c r="K210" i="44"/>
  <c r="J184" i="44"/>
  <c r="J764" i="44" s="1"/>
  <c r="K764" i="44"/>
  <c r="J131" i="44"/>
  <c r="J711" i="44" s="1"/>
  <c r="K711" i="44"/>
  <c r="J1192" i="44"/>
  <c r="S1201" i="44"/>
  <c r="Q1208" i="44"/>
  <c r="P355" i="44"/>
  <c r="L935" i="44"/>
  <c r="Z360" i="44"/>
  <c r="Z940" i="44" s="1"/>
  <c r="Y360" i="44"/>
  <c r="Y940" i="44" s="1"/>
  <c r="X940" i="44"/>
  <c r="K1206" i="44"/>
  <c r="Y345" i="44"/>
  <c r="Y925" i="44" s="1"/>
  <c r="Z345" i="44"/>
  <c r="Z925" i="44" s="1"/>
  <c r="X925" i="44"/>
  <c r="P343" i="44"/>
  <c r="L923" i="44"/>
  <c r="G1210" i="44"/>
  <c r="R1200" i="44"/>
  <c r="P362" i="44"/>
  <c r="K352" i="44"/>
  <c r="K70" i="44"/>
  <c r="K75" i="44"/>
  <c r="P31" i="44"/>
  <c r="L611" i="44"/>
  <c r="Y51" i="44"/>
  <c r="Y631" i="44" s="1"/>
  <c r="Z51" i="44"/>
  <c r="Z631" i="44" s="1"/>
  <c r="X631" i="44"/>
  <c r="Q42" i="44"/>
  <c r="Q622" i="44" s="1"/>
  <c r="O42" i="44"/>
  <c r="O622" i="44" s="1"/>
  <c r="P622" i="44"/>
  <c r="Z46" i="44"/>
  <c r="Z626" i="44" s="1"/>
  <c r="Y46" i="44"/>
  <c r="Y626" i="44" s="1"/>
  <c r="X626" i="44"/>
  <c r="Z42" i="44"/>
  <c r="Z622" i="44" s="1"/>
  <c r="Y42" i="44"/>
  <c r="Y622" i="44" s="1"/>
  <c r="X622" i="44"/>
  <c r="P40" i="44"/>
  <c r="M620" i="44"/>
  <c r="Z317" i="44"/>
  <c r="Z897" i="44" s="1"/>
  <c r="Y317" i="44"/>
  <c r="Y897" i="44" s="1"/>
  <c r="X897" i="44"/>
  <c r="P316" i="44"/>
  <c r="L896" i="44"/>
  <c r="Y327" i="44"/>
  <c r="Y907" i="44" s="1"/>
  <c r="Z327" i="44"/>
  <c r="Z907" i="44" s="1"/>
  <c r="X907" i="44"/>
  <c r="O334" i="44"/>
  <c r="O914" i="44" s="1"/>
  <c r="Q334" i="44"/>
  <c r="Q914" i="44" s="1"/>
  <c r="P914" i="44"/>
  <c r="P337" i="44"/>
  <c r="L917" i="44"/>
  <c r="Z323" i="44"/>
  <c r="Z903" i="44" s="1"/>
  <c r="Y323" i="44"/>
  <c r="Y903" i="44" s="1"/>
  <c r="X903" i="44"/>
  <c r="K329" i="44"/>
  <c r="K336" i="44"/>
  <c r="P1166" i="44"/>
  <c r="G1177" i="44"/>
  <c r="P16" i="44"/>
  <c r="L596" i="44"/>
  <c r="H584" i="44"/>
  <c r="F1164" i="44" s="1"/>
  <c r="P15" i="44"/>
  <c r="L595" i="44"/>
  <c r="K1187" i="44"/>
  <c r="P26" i="44"/>
  <c r="L606" i="44"/>
  <c r="L1186" i="44"/>
  <c r="K1184" i="44"/>
  <c r="Q1172" i="44"/>
  <c r="R1172" i="44"/>
  <c r="E1172" i="44"/>
  <c r="G1187" i="44"/>
  <c r="F1180" i="44"/>
  <c r="K1168" i="44"/>
  <c r="P1174" i="44"/>
  <c r="P314" i="44"/>
  <c r="L894" i="44"/>
  <c r="Z302" i="44"/>
  <c r="Z882" i="44" s="1"/>
  <c r="Y302" i="44"/>
  <c r="Y882" i="44" s="1"/>
  <c r="X882" i="44"/>
  <c r="S1167" i="44"/>
  <c r="T1180" i="44"/>
  <c r="P1178" i="44"/>
  <c r="U1168" i="44"/>
  <c r="Y314" i="44"/>
  <c r="Y894" i="44" s="1"/>
  <c r="Z314" i="44"/>
  <c r="Z894" i="44" s="1"/>
  <c r="X894" i="44"/>
  <c r="G1186" i="44"/>
  <c r="J313" i="44"/>
  <c r="J893" i="44" s="1"/>
  <c r="K893" i="44"/>
  <c r="K293" i="44"/>
  <c r="K10" i="44"/>
  <c r="O162" i="44"/>
  <c r="O742" i="44" s="1"/>
  <c r="Q162" i="44"/>
  <c r="Q742" i="44" s="1"/>
  <c r="P742" i="44"/>
  <c r="Z150" i="44"/>
  <c r="Z730" i="44" s="1"/>
  <c r="Y150" i="44"/>
  <c r="Y730" i="44" s="1"/>
  <c r="X730" i="44"/>
  <c r="P149" i="44"/>
  <c r="L729" i="44"/>
  <c r="Z159" i="44"/>
  <c r="Z739" i="44" s="1"/>
  <c r="Y159" i="44"/>
  <c r="Y739" i="44" s="1"/>
  <c r="X739" i="44"/>
  <c r="Z443" i="44"/>
  <c r="Z1023" i="44" s="1"/>
  <c r="Y443" i="44"/>
  <c r="Y1023" i="44" s="1"/>
  <c r="X1023" i="44"/>
  <c r="O449" i="44"/>
  <c r="O1029" i="44" s="1"/>
  <c r="Q449" i="44"/>
  <c r="Q1029" i="44" s="1"/>
  <c r="P1029" i="44"/>
  <c r="K160" i="44"/>
  <c r="J148" i="44"/>
  <c r="J728" i="44" s="1"/>
  <c r="K728" i="44"/>
  <c r="J157" i="44"/>
  <c r="J737" i="44" s="1"/>
  <c r="K737" i="44"/>
  <c r="K171" i="44"/>
  <c r="Y290" i="44"/>
  <c r="Y870" i="44" s="1"/>
  <c r="Z290" i="44"/>
  <c r="Z870" i="44" s="1"/>
  <c r="X870" i="44"/>
  <c r="P290" i="44"/>
  <c r="M870" i="44"/>
  <c r="K1186" i="44" s="1"/>
  <c r="Z273" i="44"/>
  <c r="Z853" i="44" s="1"/>
  <c r="Y273" i="44"/>
  <c r="Y853" i="44" s="1"/>
  <c r="X853" i="44"/>
  <c r="Z287" i="44"/>
  <c r="Z867" i="44" s="1"/>
  <c r="Y287" i="44"/>
  <c r="Y867" i="44" s="1"/>
  <c r="X867" i="44"/>
  <c r="Q567" i="44"/>
  <c r="Q1147" i="44" s="1"/>
  <c r="O567" i="44"/>
  <c r="O1147" i="44" s="1"/>
  <c r="P1147" i="44"/>
  <c r="O577" i="44"/>
  <c r="O1157" i="44" s="1"/>
  <c r="Q577" i="44"/>
  <c r="Q1157" i="44" s="1"/>
  <c r="P1157" i="44"/>
  <c r="J567" i="44"/>
  <c r="J1147" i="44" s="1"/>
  <c r="K1147" i="44"/>
  <c r="D1179" i="44"/>
  <c r="J564" i="44"/>
  <c r="J1144" i="44" s="1"/>
  <c r="K1144" i="44"/>
  <c r="K1170" i="44"/>
  <c r="Z568" i="44"/>
  <c r="Z1148" i="44" s="1"/>
  <c r="Y568" i="44"/>
  <c r="Y1148" i="44" s="1"/>
  <c r="X1148" i="44"/>
  <c r="O534" i="44"/>
  <c r="O1114" i="44" s="1"/>
  <c r="Q534" i="44"/>
  <c r="Q1114" i="44" s="1"/>
  <c r="P1114" i="44"/>
  <c r="P256" i="44"/>
  <c r="N836" i="44"/>
  <c r="Z261" i="44"/>
  <c r="Z841" i="44" s="1"/>
  <c r="Y261" i="44"/>
  <c r="Y841" i="44" s="1"/>
  <c r="X841" i="44"/>
  <c r="Z244" i="44"/>
  <c r="Z824" i="44" s="1"/>
  <c r="Y244" i="44"/>
  <c r="Y824" i="44" s="1"/>
  <c r="X824" i="44"/>
  <c r="Z255" i="44"/>
  <c r="Z835" i="44" s="1"/>
  <c r="Y255" i="44"/>
  <c r="Y835" i="44" s="1"/>
  <c r="X835" i="44"/>
  <c r="Y252" i="44"/>
  <c r="Y832" i="44" s="1"/>
  <c r="Z252" i="44"/>
  <c r="Z832" i="44" s="1"/>
  <c r="X832" i="44"/>
  <c r="Z262" i="44"/>
  <c r="Z842" i="44" s="1"/>
  <c r="Y262" i="44"/>
  <c r="Y842" i="44" s="1"/>
  <c r="X842" i="44"/>
  <c r="Z534" i="44"/>
  <c r="Z1114" i="44" s="1"/>
  <c r="Y534" i="44"/>
  <c r="Y1114" i="44" s="1"/>
  <c r="X1114" i="44"/>
  <c r="Z540" i="44"/>
  <c r="Z1120" i="44" s="1"/>
  <c r="Y540" i="44"/>
  <c r="Y1120" i="44" s="1"/>
  <c r="X1120" i="44"/>
  <c r="P547" i="44"/>
  <c r="M1127" i="44"/>
  <c r="P548" i="44"/>
  <c r="L1128" i="44"/>
  <c r="P554" i="44"/>
  <c r="L1134" i="44"/>
  <c r="J539" i="44"/>
  <c r="J1119" i="44" s="1"/>
  <c r="K1119" i="44"/>
  <c r="L1182" i="44"/>
  <c r="G1175" i="44"/>
  <c r="K534" i="44"/>
  <c r="O520" i="44"/>
  <c r="O1100" i="44" s="1"/>
  <c r="Q520" i="44"/>
  <c r="Q1100" i="44" s="1"/>
  <c r="P1100" i="44"/>
  <c r="Z223" i="44"/>
  <c r="Z803" i="44" s="1"/>
  <c r="Y223" i="44"/>
  <c r="Y803" i="44" s="1"/>
  <c r="X803" i="44"/>
  <c r="Z224" i="44"/>
  <c r="Z804" i="44" s="1"/>
  <c r="Y224" i="44"/>
  <c r="Y804" i="44" s="1"/>
  <c r="X804" i="44"/>
  <c r="P241" i="44"/>
  <c r="R1245" i="44"/>
  <c r="Y530" i="44"/>
  <c r="Y1110" i="44" s="1"/>
  <c r="Z530" i="44"/>
  <c r="Z1110" i="44" s="1"/>
  <c r="X1110" i="44"/>
  <c r="F1243" i="44"/>
  <c r="P515" i="44"/>
  <c r="L1095" i="44"/>
  <c r="U1241" i="44"/>
  <c r="Z523" i="44"/>
  <c r="Z1103" i="44" s="1"/>
  <c r="Y523" i="44"/>
  <c r="Y1103" i="44" s="1"/>
  <c r="X1103" i="44"/>
  <c r="Q1258" i="44"/>
  <c r="P513" i="44"/>
  <c r="L1093" i="44"/>
  <c r="K520" i="44"/>
  <c r="K528" i="44"/>
  <c r="K512" i="44"/>
  <c r="O490" i="44"/>
  <c r="O1070" i="44" s="1"/>
  <c r="Q490" i="44"/>
  <c r="Q1070" i="44" s="1"/>
  <c r="P1070" i="44"/>
  <c r="R1242" i="44"/>
  <c r="P213" i="44"/>
  <c r="Z210" i="44"/>
  <c r="Z790" i="44" s="1"/>
  <c r="Y210" i="44"/>
  <c r="Y790" i="44" s="1"/>
  <c r="X790" i="44"/>
  <c r="Q1237" i="44"/>
  <c r="K1247" i="44"/>
  <c r="K1258" i="44"/>
  <c r="Y203" i="44"/>
  <c r="Y783" i="44" s="1"/>
  <c r="Z203" i="44"/>
  <c r="Z783" i="44" s="1"/>
  <c r="X783" i="44"/>
  <c r="J1236" i="44"/>
  <c r="U1257" i="44"/>
  <c r="J1244" i="44"/>
  <c r="E1255" i="44"/>
  <c r="R1256" i="44"/>
  <c r="K1250" i="44"/>
  <c r="T1240" i="44"/>
  <c r="S1242" i="44"/>
  <c r="P502" i="44"/>
  <c r="K1257" i="44"/>
  <c r="K1239" i="44"/>
  <c r="G1243" i="44"/>
  <c r="Z502" i="44"/>
  <c r="Z1082" i="44" s="1"/>
  <c r="Y502" i="44"/>
  <c r="Y1082" i="44" s="1"/>
  <c r="X1082" i="44"/>
  <c r="E1245" i="44"/>
  <c r="T1259" i="44"/>
  <c r="F1246" i="44"/>
  <c r="Z503" i="44"/>
  <c r="Z1083" i="44" s="1"/>
  <c r="Y503" i="44"/>
  <c r="Y1083" i="44" s="1"/>
  <c r="X1083" i="44"/>
  <c r="T1257" i="44"/>
  <c r="S1253" i="44"/>
  <c r="K201" i="44"/>
  <c r="K491" i="44"/>
  <c r="K498" i="44"/>
  <c r="K200" i="44"/>
  <c r="Z177" i="44"/>
  <c r="Z757" i="44" s="1"/>
  <c r="Y177" i="44"/>
  <c r="Y757" i="44" s="1"/>
  <c r="X757" i="44"/>
  <c r="Z173" i="44"/>
  <c r="Z753" i="44" s="1"/>
  <c r="Y173" i="44"/>
  <c r="Y753" i="44" s="1"/>
  <c r="X753" i="44"/>
  <c r="O184" i="44"/>
  <c r="O764" i="44" s="1"/>
  <c r="Q184" i="44"/>
  <c r="Q764" i="44" s="1"/>
  <c r="P764" i="44"/>
  <c r="Z188" i="44"/>
  <c r="Z768" i="44" s="1"/>
  <c r="Y188" i="44"/>
  <c r="Y768" i="44" s="1"/>
  <c r="X768" i="44"/>
  <c r="P482" i="44"/>
  <c r="L1062" i="44"/>
  <c r="J1234" i="44" s="1"/>
  <c r="Y480" i="44"/>
  <c r="Y1060" i="44" s="1"/>
  <c r="Z480" i="44"/>
  <c r="Z1060" i="44" s="1"/>
  <c r="X1060" i="44"/>
  <c r="Z475" i="44"/>
  <c r="Z1055" i="44" s="1"/>
  <c r="Y475" i="44"/>
  <c r="Y1055" i="44" s="1"/>
  <c r="X1055" i="44"/>
  <c r="K481" i="44"/>
  <c r="K477" i="44"/>
  <c r="K194" i="44"/>
  <c r="K185" i="44"/>
  <c r="Q146" i="44"/>
  <c r="Q726" i="44" s="1"/>
  <c r="O146" i="44"/>
  <c r="O726" i="44" s="1"/>
  <c r="P726" i="44"/>
  <c r="K1213" i="44"/>
  <c r="E1219" i="44"/>
  <c r="P1231" i="44"/>
  <c r="P130" i="44"/>
  <c r="L710" i="44"/>
  <c r="P1216" i="44"/>
  <c r="K1227" i="44"/>
  <c r="T1213" i="44"/>
  <c r="D1215" i="44"/>
  <c r="T1226" i="44"/>
  <c r="E1224" i="44"/>
  <c r="D1235" i="44"/>
  <c r="F1221" i="44"/>
  <c r="S1231" i="44"/>
  <c r="L1228" i="44"/>
  <c r="T1225" i="44"/>
  <c r="P413" i="44"/>
  <c r="L993" i="44"/>
  <c r="Z424" i="44"/>
  <c r="Z1004" i="44" s="1"/>
  <c r="Y424" i="44"/>
  <c r="Y1004" i="44" s="1"/>
  <c r="X1004" i="44"/>
  <c r="P434" i="44"/>
  <c r="M1014" i="44"/>
  <c r="Z429" i="44"/>
  <c r="Z1009" i="44" s="1"/>
  <c r="Y429" i="44"/>
  <c r="Y1009" i="44" s="1"/>
  <c r="X1009" i="44"/>
  <c r="P417" i="44"/>
  <c r="L997" i="44"/>
  <c r="J1217" i="44" s="1"/>
  <c r="P427" i="44"/>
  <c r="L1007" i="44"/>
  <c r="E1212" i="44"/>
  <c r="K421" i="44"/>
  <c r="K416" i="44"/>
  <c r="K142" i="44"/>
  <c r="D1211" i="44"/>
  <c r="K1208" i="44"/>
  <c r="U1195" i="44"/>
  <c r="U1206" i="44"/>
  <c r="E1194" i="44"/>
  <c r="G1204" i="44"/>
  <c r="L1191" i="44"/>
  <c r="Q345" i="44"/>
  <c r="Q925" i="44" s="1"/>
  <c r="O345" i="44"/>
  <c r="O925" i="44" s="1"/>
  <c r="P925" i="44"/>
  <c r="Z357" i="44"/>
  <c r="Z937" i="44" s="1"/>
  <c r="Y357" i="44"/>
  <c r="Y937" i="44" s="1"/>
  <c r="X937" i="44"/>
  <c r="P1211" i="44"/>
  <c r="G1198" i="44"/>
  <c r="P1197" i="44"/>
  <c r="R1195" i="44"/>
  <c r="J1207" i="44"/>
  <c r="G1192" i="44"/>
  <c r="Z354" i="44"/>
  <c r="Z934" i="44" s="1"/>
  <c r="X934" i="44"/>
  <c r="Y354" i="44"/>
  <c r="Y934" i="44" s="1"/>
  <c r="E1211" i="44"/>
  <c r="Y348" i="44"/>
  <c r="Y928" i="44" s="1"/>
  <c r="Z348" i="44"/>
  <c r="Z928" i="44" s="1"/>
  <c r="X928" i="44"/>
  <c r="P1207" i="44"/>
  <c r="Z356" i="44"/>
  <c r="Z936" i="44" s="1"/>
  <c r="Y356" i="44"/>
  <c r="Y936" i="44" s="1"/>
  <c r="X936" i="44"/>
  <c r="Q1191" i="44"/>
  <c r="K1201" i="44"/>
  <c r="Z35" i="44"/>
  <c r="Z615" i="44" s="1"/>
  <c r="Y35" i="44"/>
  <c r="Y615" i="44" s="1"/>
  <c r="X615" i="44"/>
  <c r="P32" i="44"/>
  <c r="L612" i="44"/>
  <c r="P37" i="44"/>
  <c r="L617" i="44"/>
  <c r="P326" i="44"/>
  <c r="L906" i="44"/>
  <c r="P335" i="44"/>
  <c r="M915" i="44"/>
  <c r="P331" i="44"/>
  <c r="L911" i="44"/>
  <c r="J1179" i="44" s="1"/>
  <c r="K322" i="44"/>
  <c r="K34" i="44"/>
  <c r="K39" i="44"/>
  <c r="Q6" i="44"/>
  <c r="Q586" i="44" s="1"/>
  <c r="O6" i="44"/>
  <c r="O586" i="44" s="1"/>
  <c r="P586" i="44"/>
  <c r="E1179" i="44"/>
  <c r="L1167" i="44"/>
  <c r="G1178" i="44"/>
  <c r="P17" i="44"/>
  <c r="L597" i="44"/>
  <c r="J1177" i="44" s="1"/>
  <c r="L584" i="44"/>
  <c r="L1175" i="44"/>
  <c r="Q1175" i="44"/>
  <c r="P1173" i="44"/>
  <c r="P25" i="44"/>
  <c r="M605" i="44"/>
  <c r="K1185" i="44" s="1"/>
  <c r="S1173" i="44"/>
  <c r="S1186" i="44"/>
  <c r="U1173" i="44"/>
  <c r="U1186" i="44"/>
  <c r="Z13" i="44"/>
  <c r="Z593" i="44" s="1"/>
  <c r="Y13" i="44"/>
  <c r="Y593" i="44" s="1"/>
  <c r="X593" i="44"/>
  <c r="Z12" i="44"/>
  <c r="Z592" i="44" s="1"/>
  <c r="Y12" i="44"/>
  <c r="Y592" i="44" s="1"/>
  <c r="X592" i="44"/>
  <c r="P1167" i="44"/>
  <c r="L1180" i="44"/>
  <c r="Z303" i="44"/>
  <c r="Z883" i="44" s="1"/>
  <c r="Y303" i="44"/>
  <c r="Y883" i="44" s="1"/>
  <c r="X883" i="44"/>
  <c r="S1187" i="44"/>
  <c r="R1183" i="44"/>
  <c r="K299" i="44"/>
  <c r="K21" i="44"/>
  <c r="K27" i="44"/>
  <c r="P160" i="44"/>
  <c r="N740" i="44"/>
  <c r="P150" i="44"/>
  <c r="N730" i="44"/>
  <c r="Z160" i="44"/>
  <c r="Z740" i="44" s="1"/>
  <c r="Y160" i="44"/>
  <c r="Y740" i="44" s="1"/>
  <c r="X740" i="44"/>
  <c r="E1223" i="44"/>
  <c r="Y442" i="44"/>
  <c r="Y1022" i="44" s="1"/>
  <c r="Z442" i="44"/>
  <c r="Z1022" i="44" s="1"/>
  <c r="X1022" i="44"/>
  <c r="P440" i="44"/>
  <c r="M1020" i="44"/>
  <c r="Z437" i="44"/>
  <c r="Z1017" i="44" s="1"/>
  <c r="Y437" i="44"/>
  <c r="Y1017" i="44" s="1"/>
  <c r="X1017" i="44"/>
  <c r="D1224" i="44"/>
  <c r="T1220" i="44"/>
  <c r="P455" i="44"/>
  <c r="Z449" i="44"/>
  <c r="Z1029" i="44" s="1"/>
  <c r="Y449" i="44"/>
  <c r="Y1029" i="44" s="1"/>
  <c r="X1029" i="44"/>
  <c r="E1234" i="44"/>
  <c r="K457" i="44"/>
  <c r="K453" i="44"/>
  <c r="J168" i="44"/>
  <c r="J748" i="44" s="1"/>
  <c r="K748" i="44"/>
  <c r="P276" i="44"/>
  <c r="M856" i="44"/>
  <c r="P284" i="44"/>
  <c r="N864" i="44"/>
  <c r="P271" i="44"/>
  <c r="L851" i="44"/>
  <c r="Y564" i="44"/>
  <c r="Y1144" i="44" s="1"/>
  <c r="Z564" i="44"/>
  <c r="Z1144" i="44" s="1"/>
  <c r="X1144" i="44"/>
  <c r="Z574" i="44"/>
  <c r="Z1154" i="44" s="1"/>
  <c r="Y574" i="44"/>
  <c r="Y1154" i="44" s="1"/>
  <c r="X1154" i="44"/>
  <c r="P578" i="44"/>
  <c r="L1158" i="44"/>
  <c r="K289" i="44"/>
  <c r="D1184" i="44"/>
  <c r="P568" i="44"/>
  <c r="P566" i="44"/>
  <c r="N1146" i="44"/>
  <c r="L1174" i="44" s="1"/>
  <c r="Z559" i="44"/>
  <c r="Z1139" i="44" s="1"/>
  <c r="Y559" i="44"/>
  <c r="Y1139" i="44" s="1"/>
  <c r="X1139" i="44"/>
  <c r="P250" i="44"/>
  <c r="L830" i="44"/>
  <c r="P259" i="44"/>
  <c r="M839" i="44"/>
  <c r="Y264" i="44"/>
  <c r="Y844" i="44" s="1"/>
  <c r="Z264" i="44"/>
  <c r="Z844" i="44" s="1"/>
  <c r="X844" i="44"/>
  <c r="Y538" i="44"/>
  <c r="Y1118" i="44" s="1"/>
  <c r="Z538" i="44"/>
  <c r="Z1118" i="44" s="1"/>
  <c r="X1118" i="44"/>
  <c r="Z546" i="44"/>
  <c r="Z1126" i="44" s="1"/>
  <c r="Y546" i="44"/>
  <c r="Y1126" i="44" s="1"/>
  <c r="X1126" i="44"/>
  <c r="Y552" i="44"/>
  <c r="Y1132" i="44" s="1"/>
  <c r="Z552" i="44"/>
  <c r="Z1132" i="44" s="1"/>
  <c r="X1132" i="44"/>
  <c r="K554" i="44"/>
  <c r="Z542" i="44"/>
  <c r="Z1122" i="44" s="1"/>
  <c r="Y542" i="44"/>
  <c r="Y1122" i="44" s="1"/>
  <c r="X1122" i="44"/>
  <c r="K252" i="44"/>
  <c r="P551" i="44"/>
  <c r="L1131" i="44"/>
  <c r="P542" i="44"/>
  <c r="M1122" i="44"/>
  <c r="K1174" i="44" s="1"/>
  <c r="Z553" i="44"/>
  <c r="Z1133" i="44" s="1"/>
  <c r="Y553" i="44"/>
  <c r="Y1133" i="44" s="1"/>
  <c r="X1133" i="44"/>
  <c r="K263" i="44"/>
  <c r="O516" i="44"/>
  <c r="O1096" i="44" s="1"/>
  <c r="Q516" i="44"/>
  <c r="Q1096" i="44" s="1"/>
  <c r="P1096" i="44"/>
  <c r="Z226" i="44"/>
  <c r="Z806" i="44" s="1"/>
  <c r="Y226" i="44"/>
  <c r="Y806" i="44" s="1"/>
  <c r="X806" i="44"/>
  <c r="Y222" i="44"/>
  <c r="Y802" i="44" s="1"/>
  <c r="Z222" i="44"/>
  <c r="Z802" i="44" s="1"/>
  <c r="X802" i="44"/>
  <c r="P237" i="44"/>
  <c r="Z243" i="44"/>
  <c r="Z823" i="44" s="1"/>
  <c r="Y243" i="44"/>
  <c r="Y823" i="44" s="1"/>
  <c r="X823" i="44"/>
  <c r="S1254" i="44"/>
  <c r="Z512" i="44"/>
  <c r="Z1092" i="44" s="1"/>
  <c r="Y512" i="44"/>
  <c r="Y1092" i="44" s="1"/>
  <c r="X1092" i="44"/>
  <c r="P531" i="44"/>
  <c r="N1111" i="44"/>
  <c r="Z529" i="44"/>
  <c r="Z1109" i="44" s="1"/>
  <c r="Y529" i="44"/>
  <c r="Y1109" i="44" s="1"/>
  <c r="X1109" i="44"/>
  <c r="K508" i="44"/>
  <c r="K516" i="44"/>
  <c r="K523" i="44"/>
  <c r="K236" i="44"/>
  <c r="Q209" i="44"/>
  <c r="Q789" i="44" s="1"/>
  <c r="O209" i="44"/>
  <c r="O789" i="44" s="1"/>
  <c r="P789" i="44"/>
  <c r="Y208" i="44"/>
  <c r="Y788" i="44" s="1"/>
  <c r="Z208" i="44"/>
  <c r="Z788" i="44" s="1"/>
  <c r="X788" i="44"/>
  <c r="Q1243" i="44"/>
  <c r="U1240" i="44"/>
  <c r="U1251" i="44"/>
  <c r="E1250" i="44"/>
  <c r="U1236" i="44"/>
  <c r="F1259" i="44"/>
  <c r="U1244" i="44"/>
  <c r="Z197" i="44"/>
  <c r="Z777" i="44" s="1"/>
  <c r="Y197" i="44"/>
  <c r="Y777" i="44" s="1"/>
  <c r="X777" i="44"/>
  <c r="Q1249" i="44"/>
  <c r="G1245" i="44"/>
  <c r="K1240" i="44"/>
  <c r="P210" i="44"/>
  <c r="L790" i="44"/>
  <c r="S1239" i="44"/>
  <c r="G1251" i="44"/>
  <c r="R1243" i="44"/>
  <c r="Q1236" i="44"/>
  <c r="R1247" i="44"/>
  <c r="K1238" i="44"/>
  <c r="T1249" i="44"/>
  <c r="P488" i="44"/>
  <c r="L1068" i="44"/>
  <c r="F1242" i="44"/>
  <c r="Z501" i="44"/>
  <c r="Z1081" i="44" s="1"/>
  <c r="Y501" i="44"/>
  <c r="Y1081" i="44" s="1"/>
  <c r="X1081" i="44"/>
  <c r="E1236" i="44"/>
  <c r="F1248" i="44"/>
  <c r="D1258" i="44"/>
  <c r="P1257" i="44"/>
  <c r="K507" i="44"/>
  <c r="K486" i="44"/>
  <c r="K211" i="44"/>
  <c r="O468" i="44"/>
  <c r="O1048" i="44" s="1"/>
  <c r="Q468" i="44"/>
  <c r="Q1048" i="44" s="1"/>
  <c r="P1048" i="44"/>
  <c r="P189" i="44"/>
  <c r="L769" i="44"/>
  <c r="Z178" i="44"/>
  <c r="Z758" i="44" s="1"/>
  <c r="Y178" i="44"/>
  <c r="Y758" i="44" s="1"/>
  <c r="X758" i="44"/>
  <c r="Z187" i="44"/>
  <c r="Z767" i="44" s="1"/>
  <c r="Y187" i="44"/>
  <c r="Y767" i="44" s="1"/>
  <c r="X767" i="44"/>
  <c r="P185" i="44"/>
  <c r="L765" i="44"/>
  <c r="P195" i="44"/>
  <c r="N775" i="44"/>
  <c r="Y182" i="44"/>
  <c r="Y762" i="44" s="1"/>
  <c r="Z182" i="44"/>
  <c r="Z762" i="44" s="1"/>
  <c r="X762" i="44"/>
  <c r="Y179" i="44"/>
  <c r="Y759" i="44" s="1"/>
  <c r="Z179" i="44"/>
  <c r="Z759" i="44" s="1"/>
  <c r="X759" i="44"/>
  <c r="P483" i="44"/>
  <c r="L1063" i="44"/>
  <c r="K1230" i="44"/>
  <c r="Z482" i="44"/>
  <c r="Z1062" i="44" s="1"/>
  <c r="Y482" i="44"/>
  <c r="Y1062" i="44" s="1"/>
  <c r="X1062" i="44"/>
  <c r="P479" i="44"/>
  <c r="Y481" i="44"/>
  <c r="Y1061" i="44" s="1"/>
  <c r="Z481" i="44"/>
  <c r="Z1061" i="44" s="1"/>
  <c r="X1061" i="44"/>
  <c r="K469" i="44"/>
  <c r="K465" i="44"/>
  <c r="K182" i="44"/>
  <c r="G1214" i="44"/>
  <c r="U1219" i="44"/>
  <c r="F1224" i="44"/>
  <c r="Q1221" i="44"/>
  <c r="D1220" i="44"/>
  <c r="Q1231" i="44"/>
  <c r="G1219" i="44"/>
  <c r="Y141" i="44"/>
  <c r="Y721" i="44" s="1"/>
  <c r="Z141" i="44"/>
  <c r="Z721" i="44" s="1"/>
  <c r="X721" i="44"/>
  <c r="L1217" i="44"/>
  <c r="D1213" i="44"/>
  <c r="L1229" i="44"/>
  <c r="Y127" i="44"/>
  <c r="Y707" i="44" s="1"/>
  <c r="Z127" i="44"/>
  <c r="Z707" i="44" s="1"/>
  <c r="X707" i="44"/>
  <c r="F1214" i="44"/>
  <c r="D1225" i="44"/>
  <c r="Z147" i="44"/>
  <c r="Z727" i="44" s="1"/>
  <c r="Y147" i="44"/>
  <c r="Y727" i="44" s="1"/>
  <c r="X727" i="44"/>
  <c r="U1221" i="44"/>
  <c r="P1218" i="44"/>
  <c r="P1228" i="44"/>
  <c r="Y415" i="44"/>
  <c r="Y995" i="44" s="1"/>
  <c r="Z415" i="44"/>
  <c r="Z995" i="44" s="1"/>
  <c r="X995" i="44"/>
  <c r="S1226" i="44"/>
  <c r="Q1222" i="44"/>
  <c r="P1232" i="44"/>
  <c r="U1230" i="44"/>
  <c r="S1214" i="44"/>
  <c r="Z413" i="44"/>
  <c r="Z993" i="44" s="1"/>
  <c r="Y413" i="44"/>
  <c r="Y993" i="44" s="1"/>
  <c r="X993" i="44"/>
  <c r="G1212" i="44"/>
  <c r="G1222" i="44"/>
  <c r="K126" i="44"/>
  <c r="K129" i="44"/>
  <c r="K130" i="44"/>
  <c r="Z75" i="44"/>
  <c r="Z655" i="44" s="1"/>
  <c r="Y75" i="44"/>
  <c r="Y655" i="44" s="1"/>
  <c r="X655" i="44"/>
  <c r="Q1198" i="44"/>
  <c r="G1209" i="44"/>
  <c r="D1195" i="44"/>
  <c r="Z70" i="44"/>
  <c r="Z650" i="44" s="1"/>
  <c r="Y70" i="44"/>
  <c r="Y650" i="44" s="1"/>
  <c r="X650" i="44"/>
  <c r="F1205" i="44"/>
  <c r="L1203" i="44"/>
  <c r="P54" i="44"/>
  <c r="L634" i="44"/>
  <c r="J1190" i="44" s="1"/>
  <c r="P74" i="44"/>
  <c r="L654" i="44"/>
  <c r="P347" i="44"/>
  <c r="L927" i="44"/>
  <c r="Z342" i="44"/>
  <c r="Z922" i="44" s="1"/>
  <c r="Y342" i="44"/>
  <c r="Y922" i="44" s="1"/>
  <c r="W1190" i="44" s="1"/>
  <c r="X922" i="44"/>
  <c r="S1210" i="44"/>
  <c r="J1198" i="44"/>
  <c r="Y361" i="44"/>
  <c r="Y941" i="44" s="1"/>
  <c r="Z361" i="44"/>
  <c r="Z941" i="44" s="1"/>
  <c r="X941" i="44"/>
  <c r="T1195" i="44"/>
  <c r="P358" i="44"/>
  <c r="N938" i="44"/>
  <c r="L1206" i="44" s="1"/>
  <c r="F1193" i="44"/>
  <c r="U1203" i="44"/>
  <c r="Z363" i="44"/>
  <c r="Z943" i="44" s="1"/>
  <c r="Y363" i="44"/>
  <c r="Y943" i="44" s="1"/>
  <c r="X943" i="44"/>
  <c r="L1192" i="44"/>
  <c r="K349" i="44"/>
  <c r="K362" i="44"/>
  <c r="Z50" i="44"/>
  <c r="Z630" i="44" s="1"/>
  <c r="Y50" i="44"/>
  <c r="Y630" i="44" s="1"/>
  <c r="X630" i="44"/>
  <c r="Z44" i="44"/>
  <c r="Z624" i="44" s="1"/>
  <c r="Y44" i="44"/>
  <c r="Y624" i="44" s="1"/>
  <c r="X624" i="44"/>
  <c r="Y40" i="44"/>
  <c r="Y620" i="44" s="1"/>
  <c r="Z40" i="44"/>
  <c r="Z620" i="44" s="1"/>
  <c r="X620" i="44"/>
  <c r="P51" i="44"/>
  <c r="L631" i="44"/>
  <c r="P1177" i="44"/>
  <c r="O323" i="44"/>
  <c r="O903" i="44" s="1"/>
  <c r="Q323" i="44"/>
  <c r="Q903" i="44" s="1"/>
  <c r="P903" i="44"/>
  <c r="Z318" i="44"/>
  <c r="Z898" i="44" s="1"/>
  <c r="Y318" i="44"/>
  <c r="Y898" i="44" s="1"/>
  <c r="X898" i="44"/>
  <c r="S1177" i="44"/>
  <c r="P325" i="44"/>
  <c r="Z322" i="44"/>
  <c r="Z902" i="44" s="1"/>
  <c r="Y322" i="44"/>
  <c r="Y902" i="44" s="1"/>
  <c r="X902" i="44"/>
  <c r="U1177" i="44"/>
  <c r="K335" i="44"/>
  <c r="K328" i="44"/>
  <c r="J45" i="44"/>
  <c r="J625" i="44" s="1"/>
  <c r="K625" i="44"/>
  <c r="Q304" i="44"/>
  <c r="Q884" i="44" s="1"/>
  <c r="O304" i="44"/>
  <c r="O884" i="44" s="1"/>
  <c r="P884" i="44"/>
  <c r="Z19" i="44"/>
  <c r="Z599" i="44" s="1"/>
  <c r="Y19" i="44"/>
  <c r="Y599" i="44" s="1"/>
  <c r="X599" i="44"/>
  <c r="P8" i="44"/>
  <c r="L588" i="44"/>
  <c r="D1180" i="44"/>
  <c r="G1179" i="44"/>
  <c r="R1166" i="44"/>
  <c r="P18" i="44"/>
  <c r="L598" i="44"/>
  <c r="F1165" i="44"/>
  <c r="N584" i="44"/>
  <c r="L1164" i="44" s="1"/>
  <c r="Q1176" i="44"/>
  <c r="G1165" i="44"/>
  <c r="P1186" i="44"/>
  <c r="U1174" i="44"/>
  <c r="U1187" i="44"/>
  <c r="Z14" i="44"/>
  <c r="Z594" i="44" s="1"/>
  <c r="Y14" i="44"/>
  <c r="Y594" i="44" s="1"/>
  <c r="X594" i="44"/>
  <c r="Z26" i="44"/>
  <c r="Z606" i="44" s="1"/>
  <c r="Y26" i="44"/>
  <c r="Y606" i="44" s="1"/>
  <c r="X606" i="44"/>
  <c r="R1173" i="44"/>
  <c r="T1172" i="44"/>
  <c r="D1165" i="44"/>
  <c r="Y294" i="44"/>
  <c r="Y874" i="44" s="1"/>
  <c r="Z294" i="44"/>
  <c r="Z874" i="44" s="1"/>
  <c r="X874" i="44"/>
  <c r="P1170" i="44"/>
  <c r="Y309" i="44"/>
  <c r="Y889" i="44" s="1"/>
  <c r="Z309" i="44"/>
  <c r="Z889" i="44" s="1"/>
  <c r="X889" i="44"/>
  <c r="F1184" i="44"/>
  <c r="Q312" i="44"/>
  <c r="Q892" i="44" s="1"/>
  <c r="O312" i="44"/>
  <c r="O892" i="44" s="1"/>
  <c r="P892" i="44"/>
  <c r="D1178" i="44"/>
  <c r="Y315" i="44"/>
  <c r="Y895" i="44" s="1"/>
  <c r="Z315" i="44"/>
  <c r="Z895" i="44" s="1"/>
  <c r="X895" i="44"/>
  <c r="K312" i="44"/>
  <c r="K302" i="44"/>
  <c r="K9" i="44"/>
  <c r="Q153" i="44"/>
  <c r="Q733" i="44" s="1"/>
  <c r="O153" i="44"/>
  <c r="O733" i="44" s="1"/>
  <c r="P733" i="44"/>
  <c r="Z161" i="44"/>
  <c r="Z741" i="44" s="1"/>
  <c r="Y161" i="44"/>
  <c r="Y741" i="44" s="1"/>
  <c r="X741" i="44"/>
  <c r="P151" i="44"/>
  <c r="Y171" i="44"/>
  <c r="Y751" i="44" s="1"/>
  <c r="Z171" i="44"/>
  <c r="Z751" i="44" s="1"/>
  <c r="X751" i="44"/>
  <c r="Z438" i="44"/>
  <c r="Z1018" i="44" s="1"/>
  <c r="Y438" i="44"/>
  <c r="Y1018" i="44" s="1"/>
  <c r="X1018" i="44"/>
  <c r="Z451" i="44"/>
  <c r="Z1031" i="44" s="1"/>
  <c r="Y451" i="44"/>
  <c r="Y1031" i="44" s="1"/>
  <c r="X1031" i="44"/>
  <c r="Y447" i="44"/>
  <c r="Y1027" i="44" s="1"/>
  <c r="Z447" i="44"/>
  <c r="Z1027" i="44" s="1"/>
  <c r="X1027" i="44"/>
  <c r="Q1220" i="44"/>
  <c r="U1224" i="44"/>
  <c r="Y459" i="44"/>
  <c r="Y1039" i="44" s="1"/>
  <c r="Z459" i="44"/>
  <c r="Z1039" i="44" s="1"/>
  <c r="X1039" i="44"/>
  <c r="E1220" i="44"/>
  <c r="Z453" i="44"/>
  <c r="Z1033" i="44" s="1"/>
  <c r="Y453" i="44"/>
  <c r="Y1033" i="44" s="1"/>
  <c r="X1033" i="44"/>
  <c r="F1220" i="44"/>
  <c r="T1230" i="44"/>
  <c r="G1221" i="44"/>
  <c r="E1227" i="44"/>
  <c r="K449" i="44"/>
  <c r="K445" i="44"/>
  <c r="K441" i="44"/>
  <c r="K156" i="44"/>
  <c r="O556" i="44"/>
  <c r="O1136" i="44" s="1"/>
  <c r="Q556" i="44"/>
  <c r="Q1136" i="44" s="1"/>
  <c r="P1136" i="44"/>
  <c r="P281" i="44"/>
  <c r="P268" i="44"/>
  <c r="M848" i="44"/>
  <c r="Z279" i="44"/>
  <c r="Z859" i="44" s="1"/>
  <c r="Y279" i="44"/>
  <c r="Y859" i="44" s="1"/>
  <c r="X859" i="44"/>
  <c r="P277" i="44"/>
  <c r="Z286" i="44"/>
  <c r="Z866" i="44" s="1"/>
  <c r="Y286" i="44"/>
  <c r="Y866" i="44" s="1"/>
  <c r="X866" i="44"/>
  <c r="Z274" i="44"/>
  <c r="Z854" i="44" s="1"/>
  <c r="Y274" i="44"/>
  <c r="Y854" i="44" s="1"/>
  <c r="X854" i="44"/>
  <c r="P270" i="44"/>
  <c r="P1180" i="44"/>
  <c r="K275" i="44"/>
  <c r="P565" i="44"/>
  <c r="M1145" i="44"/>
  <c r="Z557" i="44"/>
  <c r="Z1137" i="44" s="1"/>
  <c r="Y557" i="44"/>
  <c r="Y1137" i="44" s="1"/>
  <c r="X1137" i="44"/>
  <c r="K561" i="44"/>
  <c r="T1168" i="44"/>
  <c r="K570" i="44"/>
  <c r="P260" i="44"/>
  <c r="L840" i="44"/>
  <c r="P245" i="44"/>
  <c r="L825" i="44"/>
  <c r="Z267" i="44"/>
  <c r="Z847" i="44" s="1"/>
  <c r="Y267" i="44"/>
  <c r="Y847" i="44" s="1"/>
  <c r="X847" i="44"/>
  <c r="P1172" i="44"/>
  <c r="D1182" i="44"/>
  <c r="K555" i="44"/>
  <c r="K542" i="44"/>
  <c r="P532" i="44"/>
  <c r="L1112" i="44"/>
  <c r="Z240" i="44"/>
  <c r="Z820" i="44" s="1"/>
  <c r="Y240" i="44"/>
  <c r="Y820" i="44" s="1"/>
  <c r="X820" i="44"/>
  <c r="Z233" i="44"/>
  <c r="Z813" i="44" s="1"/>
  <c r="Y233" i="44"/>
  <c r="Y813" i="44" s="1"/>
  <c r="X813" i="44"/>
  <c r="P225" i="44"/>
  <c r="M805" i="44"/>
  <c r="Z237" i="44"/>
  <c r="Z817" i="44" s="1"/>
  <c r="Y237" i="44"/>
  <c r="Y817" i="44" s="1"/>
  <c r="X817" i="44"/>
  <c r="D1245" i="44"/>
  <c r="T1251" i="44"/>
  <c r="U1252" i="44"/>
  <c r="K225" i="44"/>
  <c r="K224" i="44"/>
  <c r="Q208" i="44"/>
  <c r="Q788" i="44" s="1"/>
  <c r="O208" i="44"/>
  <c r="O788" i="44" s="1"/>
  <c r="P788" i="44"/>
  <c r="Q1244" i="44"/>
  <c r="K1255" i="44"/>
  <c r="T1241" i="44"/>
  <c r="R1252" i="44"/>
  <c r="F1240" i="44"/>
  <c r="R1237" i="44"/>
  <c r="Z219" i="44"/>
  <c r="Z799" i="44" s="1"/>
  <c r="Y219" i="44"/>
  <c r="Y799" i="44" s="1"/>
  <c r="X799" i="44"/>
  <c r="S1248" i="44"/>
  <c r="Q219" i="44"/>
  <c r="Q799" i="44" s="1"/>
  <c r="O219" i="44"/>
  <c r="O799" i="44" s="1"/>
  <c r="P799" i="44"/>
  <c r="E1246" i="44"/>
  <c r="L1243" i="44"/>
  <c r="F1251" i="44"/>
  <c r="S1240" i="44"/>
  <c r="P1244" i="44"/>
  <c r="P505" i="44"/>
  <c r="L1085" i="44"/>
  <c r="R1246" i="44"/>
  <c r="R1248" i="44"/>
  <c r="S1250" i="44"/>
  <c r="U1254" i="44"/>
  <c r="R1259" i="44"/>
  <c r="E1247" i="44"/>
  <c r="D1237" i="44"/>
  <c r="Y486" i="44"/>
  <c r="Y1066" i="44" s="1"/>
  <c r="Z486" i="44"/>
  <c r="Z1066" i="44" s="1"/>
  <c r="X1066" i="44"/>
  <c r="U1258" i="44"/>
  <c r="R1257" i="44"/>
  <c r="P1259" i="44"/>
  <c r="F1256" i="44"/>
  <c r="K495" i="44"/>
  <c r="K490" i="44"/>
  <c r="K208" i="44"/>
  <c r="K199" i="44"/>
  <c r="O467" i="44"/>
  <c r="O1047" i="44" s="1"/>
  <c r="Q467" i="44"/>
  <c r="Q1047" i="44" s="1"/>
  <c r="P1047" i="44"/>
  <c r="P190" i="44"/>
  <c r="L770" i="44"/>
  <c r="P172" i="44"/>
  <c r="L752" i="44"/>
  <c r="Y472" i="44"/>
  <c r="Y1052" i="44" s="1"/>
  <c r="Z472" i="44"/>
  <c r="Z1052" i="44" s="1"/>
  <c r="X1052" i="44"/>
  <c r="K190" i="44"/>
  <c r="K193" i="44"/>
  <c r="K195" i="44"/>
  <c r="E1225" i="44"/>
  <c r="O134" i="44"/>
  <c r="O714" i="44" s="1"/>
  <c r="Q134" i="44"/>
  <c r="Q714" i="44" s="1"/>
  <c r="P714" i="44"/>
  <c r="P145" i="44"/>
  <c r="L725" i="44"/>
  <c r="Y132" i="44"/>
  <c r="Y712" i="44" s="1"/>
  <c r="Z132" i="44"/>
  <c r="Z712" i="44" s="1"/>
  <c r="X712" i="44"/>
  <c r="K1218" i="44"/>
  <c r="E1229" i="44"/>
  <c r="R1215" i="44"/>
  <c r="S1224" i="44"/>
  <c r="R1235" i="44"/>
  <c r="Z144" i="44"/>
  <c r="Z724" i="44" s="1"/>
  <c r="Y144" i="44"/>
  <c r="Y724" i="44" s="1"/>
  <c r="X724" i="44"/>
  <c r="U1216" i="44"/>
  <c r="Q1228" i="44"/>
  <c r="E1215" i="44"/>
  <c r="Z137" i="44"/>
  <c r="Z717" i="44" s="1"/>
  <c r="Y137" i="44"/>
  <c r="Y717" i="44" s="1"/>
  <c r="X717" i="44"/>
  <c r="L1233" i="44"/>
  <c r="Q1212" i="44"/>
  <c r="Q1235" i="44"/>
  <c r="R1222" i="44"/>
  <c r="P1233" i="44"/>
  <c r="Z420" i="44"/>
  <c r="Z1000" i="44" s="1"/>
  <c r="Y420" i="44"/>
  <c r="Y1000" i="44" s="1"/>
  <c r="X1000" i="44"/>
  <c r="F1219" i="44"/>
  <c r="L1226" i="44"/>
  <c r="T1214" i="44"/>
  <c r="Q1225" i="44"/>
  <c r="Z432" i="44"/>
  <c r="Z1012" i="44" s="1"/>
  <c r="Y432" i="44"/>
  <c r="Y1012" i="44" s="1"/>
  <c r="X1012" i="44"/>
  <c r="K435" i="44"/>
  <c r="K414" i="44"/>
  <c r="K434" i="44"/>
  <c r="K140" i="44"/>
  <c r="U1201" i="44"/>
  <c r="T1189" i="44"/>
  <c r="R1211" i="44"/>
  <c r="P62" i="44"/>
  <c r="L642" i="44"/>
  <c r="Z72" i="44"/>
  <c r="Z652" i="44" s="1"/>
  <c r="Y72" i="44"/>
  <c r="Y652" i="44" s="1"/>
  <c r="X652" i="44"/>
  <c r="Q1195" i="44"/>
  <c r="G1202" i="44"/>
  <c r="P52" i="44"/>
  <c r="L632" i="44"/>
  <c r="F1210" i="44"/>
  <c r="L1208" i="44"/>
  <c r="Y59" i="44"/>
  <c r="Y639" i="44" s="1"/>
  <c r="Z59" i="44"/>
  <c r="Z639" i="44" s="1"/>
  <c r="X639" i="44"/>
  <c r="S1207" i="44"/>
  <c r="J1193" i="44"/>
  <c r="P68" i="44"/>
  <c r="L648" i="44"/>
  <c r="P65" i="44"/>
  <c r="N645" i="44"/>
  <c r="L1201" i="44" s="1"/>
  <c r="F1211" i="44"/>
  <c r="K1194" i="44"/>
  <c r="Z340" i="44"/>
  <c r="Z920" i="44" s="1"/>
  <c r="Y340" i="44"/>
  <c r="Y920" i="44" s="1"/>
  <c r="X920" i="44"/>
  <c r="P346" i="44"/>
  <c r="U1191" i="44"/>
  <c r="Q1211" i="44"/>
  <c r="Q1197" i="44"/>
  <c r="D1194" i="44"/>
  <c r="R1198" i="44"/>
  <c r="E1196" i="44"/>
  <c r="S1206" i="44"/>
  <c r="K363" i="44"/>
  <c r="K358" i="44"/>
  <c r="K350" i="44"/>
  <c r="Y33" i="44"/>
  <c r="Y613" i="44" s="1"/>
  <c r="Z33" i="44"/>
  <c r="Z613" i="44" s="1"/>
  <c r="X613" i="44"/>
  <c r="P29" i="44"/>
  <c r="L609" i="44"/>
  <c r="Q49" i="44"/>
  <c r="Q629" i="44" s="1"/>
  <c r="O49" i="44"/>
  <c r="O629" i="44" s="1"/>
  <c r="P629" i="44"/>
  <c r="Y47" i="44"/>
  <c r="Y627" i="44" s="1"/>
  <c r="Z47" i="44"/>
  <c r="Z627" i="44" s="1"/>
  <c r="X627" i="44"/>
  <c r="Y31" i="44"/>
  <c r="Y611" i="44" s="1"/>
  <c r="Z31" i="44"/>
  <c r="Z611" i="44" s="1"/>
  <c r="X611" i="44"/>
  <c r="Z326" i="44"/>
  <c r="Z906" i="44" s="1"/>
  <c r="Y326" i="44"/>
  <c r="Y906" i="44" s="1"/>
  <c r="X906" i="44"/>
  <c r="Z331" i="44"/>
  <c r="Z911" i="44" s="1"/>
  <c r="Y331" i="44"/>
  <c r="Y911" i="44" s="1"/>
  <c r="X911" i="44"/>
  <c r="P318" i="44"/>
  <c r="N898" i="44"/>
  <c r="K321" i="44"/>
  <c r="K40" i="44"/>
  <c r="K326" i="44"/>
  <c r="K33" i="44"/>
  <c r="G1168" i="44"/>
  <c r="U1180" i="44"/>
  <c r="G1169" i="44"/>
  <c r="Z20" i="44"/>
  <c r="Z600" i="44" s="1"/>
  <c r="Y20" i="44"/>
  <c r="Y600" i="44" s="1"/>
  <c r="X600" i="44"/>
  <c r="E1180" i="44"/>
  <c r="Q1167" i="44"/>
  <c r="K1178" i="44"/>
  <c r="Z5" i="44"/>
  <c r="Z585" i="44" s="1"/>
  <c r="Y5" i="44"/>
  <c r="Y585" i="44" s="1"/>
  <c r="X585" i="44"/>
  <c r="D1166" i="44"/>
  <c r="M584" i="44"/>
  <c r="K1164" i="44" s="1"/>
  <c r="S1175" i="44"/>
  <c r="R584" i="44"/>
  <c r="W584" i="44"/>
  <c r="U1164" i="44" s="1"/>
  <c r="U584" i="44"/>
  <c r="S1164" i="44" s="1"/>
  <c r="Y15" i="44"/>
  <c r="Y595" i="44" s="1"/>
  <c r="Z15" i="44"/>
  <c r="Z595" i="44" s="1"/>
  <c r="X595" i="44"/>
  <c r="Z27" i="44"/>
  <c r="Z607" i="44" s="1"/>
  <c r="Y27" i="44"/>
  <c r="Y607" i="44" s="1"/>
  <c r="X607" i="44"/>
  <c r="R1174" i="44"/>
  <c r="P24" i="44"/>
  <c r="L604" i="44"/>
  <c r="J1184" i="44" s="1"/>
  <c r="Z24" i="44"/>
  <c r="Z604" i="44" s="1"/>
  <c r="Y24" i="44"/>
  <c r="Y604" i="44" s="1"/>
  <c r="X604" i="44"/>
  <c r="Z306" i="44"/>
  <c r="Z886" i="44" s="1"/>
  <c r="Y306" i="44"/>
  <c r="Y886" i="44" s="1"/>
  <c r="X886" i="44"/>
  <c r="S1165" i="44"/>
  <c r="Z305" i="44"/>
  <c r="Z885" i="44" s="1"/>
  <c r="Y305" i="44"/>
  <c r="Y885" i="44" s="1"/>
  <c r="X885" i="44"/>
  <c r="P297" i="44"/>
  <c r="N877" i="44"/>
  <c r="Z293" i="44"/>
  <c r="Z873" i="44" s="1"/>
  <c r="Y293" i="44"/>
  <c r="Y873" i="44" s="1"/>
  <c r="X873" i="44"/>
  <c r="T1170" i="44"/>
  <c r="F1176" i="44"/>
  <c r="Z295" i="44"/>
  <c r="Z875" i="44" s="1"/>
  <c r="Y295" i="44"/>
  <c r="Y875" i="44" s="1"/>
  <c r="X875" i="44"/>
  <c r="Y312" i="44"/>
  <c r="Y892" i="44" s="1"/>
  <c r="Z312" i="44"/>
  <c r="Z892" i="44" s="1"/>
  <c r="X892" i="44"/>
  <c r="R1182" i="44"/>
  <c r="Y301" i="44"/>
  <c r="Y881" i="44" s="1"/>
  <c r="Z301" i="44"/>
  <c r="Z881" i="44" s="1"/>
  <c r="X881" i="44"/>
  <c r="T1178" i="44"/>
  <c r="K306" i="44"/>
  <c r="K20" i="44"/>
  <c r="O441" i="44"/>
  <c r="O1021" i="44" s="1"/>
  <c r="Q441" i="44"/>
  <c r="Q1021" i="44" s="1"/>
  <c r="P1021" i="44"/>
  <c r="Z151" i="44"/>
  <c r="Z731" i="44" s="1"/>
  <c r="Y151" i="44"/>
  <c r="Y731" i="44" s="1"/>
  <c r="X731" i="44"/>
  <c r="Y162" i="44"/>
  <c r="Y742" i="44" s="1"/>
  <c r="Z162" i="44"/>
  <c r="Z742" i="44" s="1"/>
  <c r="X742" i="44"/>
  <c r="P152" i="44"/>
  <c r="M732" i="44"/>
  <c r="P163" i="44"/>
  <c r="L743" i="44"/>
  <c r="Y444" i="44"/>
  <c r="Y1024" i="44" s="1"/>
  <c r="Z444" i="44"/>
  <c r="Z1024" i="44" s="1"/>
  <c r="X1024" i="44"/>
  <c r="T1221" i="44"/>
  <c r="S1217" i="44"/>
  <c r="Q1227" i="44"/>
  <c r="Z440" i="44"/>
  <c r="Z1020" i="44" s="1"/>
  <c r="Y440" i="44"/>
  <c r="Y1020" i="44" s="1"/>
  <c r="X1020" i="44"/>
  <c r="U1227" i="44"/>
  <c r="K436" i="44"/>
  <c r="K154" i="44"/>
  <c r="K452" i="44"/>
  <c r="K167" i="44"/>
  <c r="Q561" i="44"/>
  <c r="Q1141" i="44" s="1"/>
  <c r="O561" i="44"/>
  <c r="O1141" i="44" s="1"/>
  <c r="P1141" i="44"/>
  <c r="P278" i="44"/>
  <c r="Q1185" i="44"/>
  <c r="P560" i="44"/>
  <c r="L1140" i="44"/>
  <c r="E1178" i="44"/>
  <c r="K577" i="44"/>
  <c r="Y562" i="44"/>
  <c r="Y1142" i="44" s="1"/>
  <c r="Z562" i="44"/>
  <c r="Z1142" i="44" s="1"/>
  <c r="X1142" i="44"/>
  <c r="K282" i="44"/>
  <c r="R1169" i="44"/>
  <c r="K558" i="44"/>
  <c r="Y251" i="44"/>
  <c r="Y831" i="44" s="1"/>
  <c r="Z251" i="44"/>
  <c r="Z831" i="44" s="1"/>
  <c r="X831" i="44"/>
  <c r="P253" i="44"/>
  <c r="L833" i="44"/>
  <c r="K543" i="44"/>
  <c r="K258" i="44"/>
  <c r="Z551" i="44"/>
  <c r="Z1131" i="44" s="1"/>
  <c r="Y551" i="44"/>
  <c r="Y1131" i="44" s="1"/>
  <c r="X1131" i="44"/>
  <c r="E1175" i="44"/>
  <c r="Z543" i="44"/>
  <c r="Z1123" i="44" s="1"/>
  <c r="Y543" i="44"/>
  <c r="Y1123" i="44" s="1"/>
  <c r="X1123" i="44"/>
  <c r="K266" i="44"/>
  <c r="O517" i="44"/>
  <c r="O1097" i="44" s="1"/>
  <c r="Q517" i="44"/>
  <c r="Q1097" i="44" s="1"/>
  <c r="P1097" i="44"/>
  <c r="Z236" i="44"/>
  <c r="Z816" i="44" s="1"/>
  <c r="Y236" i="44"/>
  <c r="Y816" i="44" s="1"/>
  <c r="X816" i="44"/>
  <c r="S1245" i="44"/>
  <c r="Z239" i="44"/>
  <c r="Z819" i="44" s="1"/>
  <c r="Y239" i="44"/>
  <c r="Y819" i="44" s="1"/>
  <c r="X819" i="44"/>
  <c r="U1259" i="44"/>
  <c r="L1258" i="44"/>
  <c r="F1241" i="44"/>
  <c r="Y528" i="44"/>
  <c r="Y1108" i="44" s="1"/>
  <c r="Z528" i="44"/>
  <c r="Z1108" i="44" s="1"/>
  <c r="X1108" i="44"/>
  <c r="Q1245" i="44"/>
  <c r="K531" i="44"/>
  <c r="K522" i="44"/>
  <c r="K235" i="44"/>
  <c r="P204" i="44"/>
  <c r="N784" i="44"/>
  <c r="L1244" i="44" s="1"/>
  <c r="P205" i="44"/>
  <c r="P216" i="44"/>
  <c r="L796" i="44"/>
  <c r="Z200" i="44"/>
  <c r="Z780" i="44" s="1"/>
  <c r="Y200" i="44"/>
  <c r="Y780" i="44" s="1"/>
  <c r="X780" i="44"/>
  <c r="Z211" i="44"/>
  <c r="Z791" i="44" s="1"/>
  <c r="Y211" i="44"/>
  <c r="Y791" i="44" s="1"/>
  <c r="X791" i="44"/>
  <c r="P198" i="44"/>
  <c r="F1250" i="44"/>
  <c r="D1236" i="44"/>
  <c r="P1246" i="44"/>
  <c r="P201" i="44"/>
  <c r="L781" i="44"/>
  <c r="J1252" i="44"/>
  <c r="R1239" i="44"/>
  <c r="U1238" i="44"/>
  <c r="R1249" i="44"/>
  <c r="P196" i="44"/>
  <c r="M776" i="44"/>
  <c r="Y206" i="44"/>
  <c r="Y786" i="44" s="1"/>
  <c r="Z206" i="44"/>
  <c r="Z786" i="44" s="1"/>
  <c r="X786" i="44"/>
  <c r="Z217" i="44"/>
  <c r="Z797" i="44" s="1"/>
  <c r="Y217" i="44"/>
  <c r="Y797" i="44" s="1"/>
  <c r="X797" i="44"/>
  <c r="K1244" i="44"/>
  <c r="Z201" i="44"/>
  <c r="Z781" i="44" s="1"/>
  <c r="Y201" i="44"/>
  <c r="Y781" i="44" s="1"/>
  <c r="X781" i="44"/>
  <c r="D1252" i="44"/>
  <c r="R1240" i="44"/>
  <c r="F1236" i="44"/>
  <c r="P1255" i="44"/>
  <c r="L1245" i="44"/>
  <c r="Q1247" i="44"/>
  <c r="P486" i="44"/>
  <c r="L1066" i="44"/>
  <c r="J1238" i="44" s="1"/>
  <c r="E1242" i="44"/>
  <c r="T1253" i="44"/>
  <c r="E1248" i="44"/>
  <c r="Z485" i="44"/>
  <c r="Z1065" i="44" s="1"/>
  <c r="Y485" i="44"/>
  <c r="Y1065" i="44" s="1"/>
  <c r="X1065" i="44"/>
  <c r="G1249" i="44"/>
  <c r="T1239" i="44"/>
  <c r="S1259" i="44"/>
  <c r="K198" i="44"/>
  <c r="K501" i="44"/>
  <c r="K218" i="44"/>
  <c r="K209" i="44"/>
  <c r="P191" i="44"/>
  <c r="Z174" i="44"/>
  <c r="Z754" i="44" s="1"/>
  <c r="Y174" i="44"/>
  <c r="Y754" i="44" s="1"/>
  <c r="X754" i="44"/>
  <c r="P186" i="44"/>
  <c r="L766" i="44"/>
  <c r="P461" i="44"/>
  <c r="Z464" i="44"/>
  <c r="Z1044" i="44" s="1"/>
  <c r="Y464" i="44"/>
  <c r="Y1044" i="44" s="1"/>
  <c r="X1044" i="44"/>
  <c r="Z465" i="44"/>
  <c r="Z1045" i="44" s="1"/>
  <c r="Y465" i="44"/>
  <c r="Y1045" i="44" s="1"/>
  <c r="X1045" i="44"/>
  <c r="Z473" i="44"/>
  <c r="Z1053" i="44" s="1"/>
  <c r="Y473" i="44"/>
  <c r="Y1053" i="44" s="1"/>
  <c r="X1053" i="44"/>
  <c r="K480" i="44"/>
  <c r="K476" i="44"/>
  <c r="K181" i="44"/>
  <c r="K183" i="44"/>
  <c r="P1212" i="44"/>
  <c r="P135" i="44"/>
  <c r="L715" i="44"/>
  <c r="G1234" i="44"/>
  <c r="R1231" i="44"/>
  <c r="D1230" i="44"/>
  <c r="Q1216" i="44"/>
  <c r="F1212" i="44"/>
  <c r="Z134" i="44"/>
  <c r="Z714" i="44" s="1"/>
  <c r="Y134" i="44"/>
  <c r="Y714" i="44" s="1"/>
  <c r="X714" i="44"/>
  <c r="P1229" i="44"/>
  <c r="D1216" i="44"/>
  <c r="Z138" i="44"/>
  <c r="Z718" i="44" s="1"/>
  <c r="Y138" i="44"/>
  <c r="Y718" i="44" s="1"/>
  <c r="X718" i="44"/>
  <c r="Y423" i="44"/>
  <c r="Y1003" i="44" s="1"/>
  <c r="Z423" i="44"/>
  <c r="Z1003" i="44" s="1"/>
  <c r="X1003" i="44"/>
  <c r="F1215" i="44"/>
  <c r="Y425" i="44"/>
  <c r="Y1005" i="44" s="1"/>
  <c r="Z425" i="44"/>
  <c r="Z1005" i="44" s="1"/>
  <c r="X1005" i="44"/>
  <c r="R1212" i="44"/>
  <c r="P423" i="44"/>
  <c r="Q1234" i="44"/>
  <c r="Q1232" i="44"/>
  <c r="Z430" i="44"/>
  <c r="Z1010" i="44" s="1"/>
  <c r="Y430" i="44"/>
  <c r="Y1010" i="44" s="1"/>
  <c r="X1010" i="44"/>
  <c r="P418" i="44"/>
  <c r="L998" i="44"/>
  <c r="S1215" i="44"/>
  <c r="P1226" i="44"/>
  <c r="K420" i="44"/>
  <c r="K428" i="44"/>
  <c r="K422" i="44"/>
  <c r="K128" i="44"/>
  <c r="F1208" i="44"/>
  <c r="S1194" i="44"/>
  <c r="Y55" i="44"/>
  <c r="Y635" i="44" s="1"/>
  <c r="W1191" i="44" s="1"/>
  <c r="Z55" i="44"/>
  <c r="Z635" i="44" s="1"/>
  <c r="X635" i="44"/>
  <c r="E1203" i="44"/>
  <c r="G1189" i="44"/>
  <c r="P64" i="44"/>
  <c r="N644" i="44"/>
  <c r="P73" i="44"/>
  <c r="L653" i="44"/>
  <c r="U1196" i="44"/>
  <c r="P72" i="44"/>
  <c r="D1196" i="44"/>
  <c r="G1194" i="44"/>
  <c r="G1205" i="44"/>
  <c r="D1192" i="44"/>
  <c r="S1199" i="44"/>
  <c r="F1197" i="44"/>
  <c r="R1208" i="44"/>
  <c r="D1206" i="44"/>
  <c r="T1192" i="44"/>
  <c r="F1190" i="44"/>
  <c r="Z352" i="44"/>
  <c r="Z932" i="44" s="1"/>
  <c r="Y352" i="44"/>
  <c r="Y932" i="44" s="1"/>
  <c r="X932" i="44"/>
  <c r="K1189" i="44"/>
  <c r="R1197" i="44"/>
  <c r="Z346" i="44"/>
  <c r="Z926" i="44" s="1"/>
  <c r="Y346" i="44"/>
  <c r="Y926" i="44" s="1"/>
  <c r="X926" i="44"/>
  <c r="T1188" i="44"/>
  <c r="Q1199" i="44"/>
  <c r="Z355" i="44"/>
  <c r="Z935" i="44" s="1"/>
  <c r="Y355" i="44"/>
  <c r="Y935" i="44" s="1"/>
  <c r="X935" i="44"/>
  <c r="K348" i="44"/>
  <c r="K344" i="44"/>
  <c r="Q322" i="44"/>
  <c r="Q902" i="44" s="1"/>
  <c r="O322" i="44"/>
  <c r="O902" i="44" s="1"/>
  <c r="P902" i="44"/>
  <c r="P41" i="44"/>
  <c r="Z39" i="44"/>
  <c r="Z619" i="44" s="1"/>
  <c r="Y39" i="44"/>
  <c r="Y619" i="44" s="1"/>
  <c r="X619" i="44"/>
  <c r="P50" i="44"/>
  <c r="P46" i="44"/>
  <c r="L626" i="44"/>
  <c r="Z32" i="44"/>
  <c r="Z612" i="44" s="1"/>
  <c r="Y32" i="44"/>
  <c r="Y612" i="44" s="1"/>
  <c r="X612" i="44"/>
  <c r="P30" i="44"/>
  <c r="L610" i="44"/>
  <c r="Y328" i="44"/>
  <c r="Y908" i="44" s="1"/>
  <c r="Z328" i="44"/>
  <c r="Z908" i="44" s="1"/>
  <c r="X908" i="44"/>
  <c r="Y337" i="44"/>
  <c r="Y917" i="44" s="1"/>
  <c r="Z337" i="44"/>
  <c r="Z917" i="44" s="1"/>
  <c r="X917" i="44"/>
  <c r="P319" i="44"/>
  <c r="M899" i="44"/>
  <c r="K1167" i="44" s="1"/>
  <c r="P1175" i="44"/>
  <c r="K334" i="44"/>
  <c r="K50" i="44"/>
  <c r="K44" i="44"/>
  <c r="O12" i="44"/>
  <c r="O592" i="44" s="1"/>
  <c r="Q12" i="44"/>
  <c r="Q592" i="44" s="1"/>
  <c r="P592" i="44"/>
  <c r="T1181" i="44"/>
  <c r="F1170" i="44"/>
  <c r="Z21" i="44"/>
  <c r="Z601" i="44" s="1"/>
  <c r="Y21" i="44"/>
  <c r="Y601" i="44" s="1"/>
  <c r="X601" i="44"/>
  <c r="P9" i="44"/>
  <c r="L589" i="44"/>
  <c r="D1181" i="44"/>
  <c r="L1168" i="44"/>
  <c r="U1166" i="44"/>
  <c r="P4" i="44"/>
  <c r="L1165" i="44"/>
  <c r="T1176" i="44"/>
  <c r="P5" i="44"/>
  <c r="U1176" i="44"/>
  <c r="P1165" i="44"/>
  <c r="Y16" i="44"/>
  <c r="Y596" i="44" s="1"/>
  <c r="Z16" i="44"/>
  <c r="Z596" i="44" s="1"/>
  <c r="X596" i="44"/>
  <c r="V584" i="44"/>
  <c r="T1164" i="44" s="1"/>
  <c r="E1185" i="44"/>
  <c r="G1180" i="44"/>
  <c r="Q1170" i="44"/>
  <c r="S1174" i="44"/>
  <c r="S1166" i="44"/>
  <c r="P307" i="44"/>
  <c r="N887" i="44"/>
  <c r="L1177" i="44"/>
  <c r="Y297" i="44"/>
  <c r="Y877" i="44" s="1"/>
  <c r="Z297" i="44"/>
  <c r="Z877" i="44" s="1"/>
  <c r="X877" i="44"/>
  <c r="E1184" i="44"/>
  <c r="Q1182" i="44"/>
  <c r="F1186" i="44"/>
  <c r="R1179" i="44"/>
  <c r="K292" i="44"/>
  <c r="K311" i="44"/>
  <c r="J14" i="44"/>
  <c r="J594" i="44" s="1"/>
  <c r="K594" i="44"/>
  <c r="K8" i="44"/>
  <c r="Q450" i="44"/>
  <c r="Q1030" i="44" s="1"/>
  <c r="O450" i="44"/>
  <c r="O1030" i="44" s="1"/>
  <c r="P1030" i="44"/>
  <c r="P166" i="44"/>
  <c r="L746" i="44"/>
  <c r="Z163" i="44"/>
  <c r="Z743" i="44" s="1"/>
  <c r="Y163" i="44"/>
  <c r="Y743" i="44" s="1"/>
  <c r="X743" i="44"/>
  <c r="P165" i="44"/>
  <c r="L745" i="44"/>
  <c r="Z152" i="44"/>
  <c r="Z732" i="44" s="1"/>
  <c r="Y152" i="44"/>
  <c r="Y732" i="44" s="1"/>
  <c r="X732" i="44"/>
  <c r="P447" i="44"/>
  <c r="L1027" i="44"/>
  <c r="G1224" i="44"/>
  <c r="R1227" i="44"/>
  <c r="Z450" i="44"/>
  <c r="Z1030" i="44" s="1"/>
  <c r="Y450" i="44"/>
  <c r="Y1030" i="44" s="1"/>
  <c r="X1030" i="44"/>
  <c r="Z436" i="44"/>
  <c r="Z1016" i="44" s="1"/>
  <c r="Y436" i="44"/>
  <c r="Y1016" i="44" s="1"/>
  <c r="X1016" i="44"/>
  <c r="Z446" i="44"/>
  <c r="Z1026" i="44" s="1"/>
  <c r="Y446" i="44"/>
  <c r="Y1026" i="44" s="1"/>
  <c r="X1026" i="44"/>
  <c r="P457" i="44"/>
  <c r="L1037" i="44"/>
  <c r="K166" i="44"/>
  <c r="K456" i="44"/>
  <c r="K440" i="44"/>
  <c r="K155" i="44"/>
  <c r="P285" i="44"/>
  <c r="N865" i="44"/>
  <c r="Z560" i="44"/>
  <c r="Z1140" i="44" s="1"/>
  <c r="Y560" i="44"/>
  <c r="Y1140" i="44" s="1"/>
  <c r="X1140" i="44"/>
  <c r="J556" i="44"/>
  <c r="J1136" i="44" s="1"/>
  <c r="K1136" i="44"/>
  <c r="Z570" i="44"/>
  <c r="Z1150" i="44" s="1"/>
  <c r="Y570" i="44"/>
  <c r="Y1150" i="44" s="1"/>
  <c r="X1150" i="44"/>
  <c r="K565" i="44"/>
  <c r="K574" i="44"/>
  <c r="Y572" i="44"/>
  <c r="Y1152" i="44" s="1"/>
  <c r="Z572" i="44"/>
  <c r="Z1152" i="44" s="1"/>
  <c r="X1152" i="44"/>
  <c r="K268" i="44"/>
  <c r="Y578" i="44"/>
  <c r="Y1158" i="44" s="1"/>
  <c r="Z578" i="44"/>
  <c r="Z1158" i="44" s="1"/>
  <c r="X1158" i="44"/>
  <c r="P572" i="44"/>
  <c r="L1152" i="44"/>
  <c r="K279" i="44"/>
  <c r="Y245" i="44"/>
  <c r="Y825" i="44" s="1"/>
  <c r="Z245" i="44"/>
  <c r="Z825" i="44" s="1"/>
  <c r="X825" i="44"/>
  <c r="Z256" i="44"/>
  <c r="Z836" i="44" s="1"/>
  <c r="Y256" i="44"/>
  <c r="Y836" i="44" s="1"/>
  <c r="X836" i="44"/>
  <c r="P262" i="44"/>
  <c r="Z248" i="44"/>
  <c r="Z828" i="44" s="1"/>
  <c r="Y248" i="44"/>
  <c r="Y828" i="44" s="1"/>
  <c r="X828" i="44"/>
  <c r="P537" i="44"/>
  <c r="L1117" i="44"/>
  <c r="P533" i="44"/>
  <c r="L1113" i="44"/>
  <c r="K260" i="44"/>
  <c r="K548" i="44"/>
  <c r="K547" i="44"/>
  <c r="K254" i="44"/>
  <c r="Z225" i="44"/>
  <c r="Z805" i="44" s="1"/>
  <c r="Y225" i="44"/>
  <c r="Y805" i="44" s="1"/>
  <c r="X805" i="44"/>
  <c r="P224" i="44"/>
  <c r="L804" i="44"/>
  <c r="P238" i="44"/>
  <c r="P240" i="44"/>
  <c r="N820" i="44"/>
  <c r="E1253" i="44"/>
  <c r="P529" i="44"/>
  <c r="L1109" i="44"/>
  <c r="P525" i="44"/>
  <c r="M1105" i="44"/>
  <c r="K1253" i="44" s="1"/>
  <c r="P521" i="44"/>
  <c r="M1101" i="44"/>
  <c r="K1249" i="44" s="1"/>
  <c r="Z513" i="44"/>
  <c r="Z1093" i="44" s="1"/>
  <c r="X1241" i="44" s="1"/>
  <c r="Y513" i="44"/>
  <c r="Y1093" i="44" s="1"/>
  <c r="X1093" i="44"/>
  <c r="V1241" i="44" s="1"/>
  <c r="L1254" i="44"/>
  <c r="P528" i="44"/>
  <c r="L1108" i="44"/>
  <c r="K519" i="44"/>
  <c r="K515" i="44"/>
  <c r="K510" i="44"/>
  <c r="U1249" i="44"/>
  <c r="P215" i="44"/>
  <c r="L795" i="44"/>
  <c r="K1246" i="44"/>
  <c r="P1254" i="44"/>
  <c r="T1252" i="44"/>
  <c r="E1251" i="44"/>
  <c r="Z196" i="44"/>
  <c r="Z776" i="44" s="1"/>
  <c r="Y196" i="44"/>
  <c r="Y776" i="44" s="1"/>
  <c r="X776" i="44"/>
  <c r="Z204" i="44"/>
  <c r="Z784" i="44" s="1"/>
  <c r="Y204" i="44"/>
  <c r="Y784" i="44" s="1"/>
  <c r="X784" i="44"/>
  <c r="K1252" i="44"/>
  <c r="K1237" i="44"/>
  <c r="U1247" i="44"/>
  <c r="E1257" i="44"/>
  <c r="S1252" i="44"/>
  <c r="G1252" i="44"/>
  <c r="Q1242" i="44"/>
  <c r="G1257" i="44"/>
  <c r="Q1246" i="44"/>
  <c r="L1237" i="44"/>
  <c r="Q1248" i="44"/>
  <c r="D1243" i="44"/>
  <c r="Z492" i="44"/>
  <c r="Z1072" i="44" s="1"/>
  <c r="Y492" i="44"/>
  <c r="Y1072" i="44" s="1"/>
  <c r="X1072" i="44"/>
  <c r="Z506" i="44"/>
  <c r="Z1086" i="44" s="1"/>
  <c r="Y506" i="44"/>
  <c r="Y1086" i="44" s="1"/>
  <c r="X1086" i="44"/>
  <c r="Y484" i="44"/>
  <c r="Y1064" i="44" s="1"/>
  <c r="Z484" i="44"/>
  <c r="Z1064" i="44" s="1"/>
  <c r="X1064" i="44"/>
  <c r="F1249" i="44"/>
  <c r="Q1250" i="44"/>
  <c r="F1258" i="44"/>
  <c r="P501" i="44"/>
  <c r="K506" i="44"/>
  <c r="K489" i="44"/>
  <c r="K197" i="44"/>
  <c r="P181" i="44"/>
  <c r="M761" i="44"/>
  <c r="K1221" i="44" s="1"/>
  <c r="Z191" i="44"/>
  <c r="Z771" i="44" s="1"/>
  <c r="Y191" i="44"/>
  <c r="Y771" i="44" s="1"/>
  <c r="X771" i="44"/>
  <c r="P182" i="44"/>
  <c r="N762" i="44"/>
  <c r="Z175" i="44"/>
  <c r="Z755" i="44" s="1"/>
  <c r="Y175" i="44"/>
  <c r="Y755" i="44" s="1"/>
  <c r="X755" i="44"/>
  <c r="Z462" i="44"/>
  <c r="Z1042" i="44" s="1"/>
  <c r="Y462" i="44"/>
  <c r="Y1042" i="44" s="1"/>
  <c r="X1042" i="44"/>
  <c r="P462" i="44"/>
  <c r="L1042" i="44"/>
  <c r="Z479" i="44"/>
  <c r="Z1059" i="44" s="1"/>
  <c r="Y479" i="44"/>
  <c r="Y1059" i="44" s="1"/>
  <c r="X1059" i="44"/>
  <c r="P463" i="44"/>
  <c r="L1043" i="44"/>
  <c r="P478" i="44"/>
  <c r="N1058" i="44"/>
  <c r="K473" i="44"/>
  <c r="K468" i="44"/>
  <c r="K464" i="44"/>
  <c r="K192" i="44"/>
  <c r="Q430" i="44"/>
  <c r="Q1010" i="44" s="1"/>
  <c r="O430" i="44"/>
  <c r="O1010" i="44" s="1"/>
  <c r="P1010" i="44"/>
  <c r="E1226" i="44"/>
  <c r="K1231" i="44"/>
  <c r="L1213" i="44"/>
  <c r="G1235" i="44"/>
  <c r="P147" i="44"/>
  <c r="L727" i="44"/>
  <c r="P1223" i="44"/>
  <c r="G1220" i="44"/>
  <c r="Y142" i="44"/>
  <c r="Y722" i="44" s="1"/>
  <c r="Z142" i="44"/>
  <c r="Z722" i="44" s="1"/>
  <c r="X722" i="44"/>
  <c r="P1217" i="44"/>
  <c r="G1228" i="44"/>
  <c r="E1213" i="44"/>
  <c r="T1234" i="44"/>
  <c r="T1218" i="44"/>
  <c r="D1217" i="44"/>
  <c r="K1214" i="44"/>
  <c r="P136" i="44"/>
  <c r="L716" i="44"/>
  <c r="F1235" i="44"/>
  <c r="R1218" i="44"/>
  <c r="T1217" i="44"/>
  <c r="R1228" i="44"/>
  <c r="D1226" i="44"/>
  <c r="P1213" i="44"/>
  <c r="S1222" i="44"/>
  <c r="R1234" i="44"/>
  <c r="K124" i="44"/>
  <c r="K413" i="44"/>
  <c r="K146" i="44"/>
  <c r="K427" i="44"/>
  <c r="Z52" i="44"/>
  <c r="Z632" i="44" s="1"/>
  <c r="Y52" i="44"/>
  <c r="Y632" i="44" s="1"/>
  <c r="X632" i="44"/>
  <c r="F1200" i="44"/>
  <c r="T1210" i="44"/>
  <c r="Z56" i="44"/>
  <c r="Z636" i="44" s="1"/>
  <c r="Y56" i="44"/>
  <c r="Y636" i="44" s="1"/>
  <c r="X636" i="44"/>
  <c r="Z67" i="44"/>
  <c r="Z647" i="44" s="1"/>
  <c r="Y67" i="44"/>
  <c r="Y647" i="44" s="1"/>
  <c r="X647" i="44"/>
  <c r="K1188" i="44"/>
  <c r="Y60" i="44"/>
  <c r="Y640" i="44" s="1"/>
  <c r="Z60" i="44"/>
  <c r="Z640" i="44" s="1"/>
  <c r="X1196" i="44" s="1"/>
  <c r="X640" i="44"/>
  <c r="V1196" i="44" s="1"/>
  <c r="F1195" i="44"/>
  <c r="D1203" i="44"/>
  <c r="Q1200" i="44"/>
  <c r="U1198" i="44"/>
  <c r="P348" i="44"/>
  <c r="L928" i="44"/>
  <c r="Z358" i="44"/>
  <c r="Z938" i="44" s="1"/>
  <c r="Y358" i="44"/>
  <c r="Y938" i="44" s="1"/>
  <c r="X938" i="44"/>
  <c r="V1206" i="44" s="1"/>
  <c r="D1191" i="44"/>
  <c r="T1201" i="44"/>
  <c r="P351" i="44"/>
  <c r="L931" i="44"/>
  <c r="L1198" i="44"/>
  <c r="P1206" i="44"/>
  <c r="R1189" i="44"/>
  <c r="P352" i="44"/>
  <c r="Z349" i="44"/>
  <c r="Z929" i="44" s="1"/>
  <c r="Y349" i="44"/>
  <c r="Y929" i="44" s="1"/>
  <c r="X929" i="44"/>
  <c r="P1208" i="44"/>
  <c r="K357" i="44"/>
  <c r="K56" i="44"/>
  <c r="Q33" i="44"/>
  <c r="Q613" i="44" s="1"/>
  <c r="O33" i="44"/>
  <c r="O613" i="44" s="1"/>
  <c r="P613" i="44"/>
  <c r="P43" i="44"/>
  <c r="P38" i="44"/>
  <c r="L618" i="44"/>
  <c r="P320" i="44"/>
  <c r="L900" i="44"/>
  <c r="L1176" i="44"/>
  <c r="Z324" i="44"/>
  <c r="Z904" i="44" s="1"/>
  <c r="Y324" i="44"/>
  <c r="Y904" i="44" s="1"/>
  <c r="X904" i="44"/>
  <c r="Z334" i="44"/>
  <c r="Z914" i="44" s="1"/>
  <c r="Y334" i="44"/>
  <c r="Y914" i="44" s="1"/>
  <c r="X914" i="44"/>
  <c r="K320" i="44"/>
  <c r="K30" i="44"/>
  <c r="K38" i="44"/>
  <c r="K32" i="44"/>
  <c r="Q310" i="44"/>
  <c r="Q890" i="44" s="1"/>
  <c r="O310" i="44"/>
  <c r="O890" i="44" s="1"/>
  <c r="P890" i="44"/>
  <c r="S1182" i="44"/>
  <c r="E1171" i="44"/>
  <c r="T1182" i="44"/>
  <c r="G1170" i="44"/>
  <c r="E1182" i="44"/>
  <c r="K1169" i="44"/>
  <c r="F1181" i="44"/>
  <c r="P1168" i="44"/>
  <c r="L1179" i="44"/>
  <c r="T1167" i="44"/>
  <c r="P19" i="44"/>
  <c r="Q1177" i="44"/>
  <c r="K1165" i="44"/>
  <c r="R1177" i="44"/>
  <c r="K1166" i="44"/>
  <c r="T1177" i="44"/>
  <c r="L1166" i="44"/>
  <c r="Z17" i="44"/>
  <c r="Z597" i="44" s="1"/>
  <c r="Y17" i="44"/>
  <c r="Y597" i="44" s="1"/>
  <c r="X597" i="44"/>
  <c r="G1166" i="44"/>
  <c r="K1176" i="44"/>
  <c r="Z25" i="44"/>
  <c r="Z605" i="44" s="1"/>
  <c r="Y25" i="44"/>
  <c r="Y605" i="44" s="1"/>
  <c r="X605" i="44"/>
  <c r="P1164" i="44"/>
  <c r="P296" i="44"/>
  <c r="L876" i="44"/>
  <c r="L1181" i="44"/>
  <c r="K1180" i="44"/>
  <c r="R1167" i="44"/>
  <c r="Z300" i="44"/>
  <c r="Z880" i="44" s="1"/>
  <c r="Y300" i="44"/>
  <c r="Y880" i="44" s="1"/>
  <c r="X880" i="44"/>
  <c r="P306" i="44"/>
  <c r="Z298" i="44"/>
  <c r="Z878" i="44" s="1"/>
  <c r="Y298" i="44"/>
  <c r="Y878" i="44" s="1"/>
  <c r="X878" i="44"/>
  <c r="P292" i="44"/>
  <c r="J1176" i="44"/>
  <c r="R1186" i="44"/>
  <c r="Q1180" i="44"/>
  <c r="Z313" i="44"/>
  <c r="Z893" i="44" s="1"/>
  <c r="Y313" i="44"/>
  <c r="Y893" i="44" s="1"/>
  <c r="X893" i="44"/>
  <c r="K4" i="44"/>
  <c r="J4" i="44" s="1"/>
  <c r="K297" i="44"/>
  <c r="K25" i="44"/>
  <c r="O168" i="44"/>
  <c r="O748" i="44" s="1"/>
  <c r="Q168" i="44"/>
  <c r="Q748" i="44" s="1"/>
  <c r="P748" i="44"/>
  <c r="Z155" i="44"/>
  <c r="Z735" i="44" s="1"/>
  <c r="Y155" i="44"/>
  <c r="Y735" i="44" s="1"/>
  <c r="X735" i="44"/>
  <c r="Z153" i="44"/>
  <c r="Z733" i="44" s="1"/>
  <c r="Y153" i="44"/>
  <c r="Y733" i="44" s="1"/>
  <c r="X733" i="44"/>
  <c r="Z164" i="44"/>
  <c r="Z744" i="44" s="1"/>
  <c r="Y164" i="44"/>
  <c r="Y744" i="44" s="1"/>
  <c r="X744" i="44"/>
  <c r="P458" i="44"/>
  <c r="Y456" i="44"/>
  <c r="Y1036" i="44" s="1"/>
  <c r="Z456" i="44"/>
  <c r="Z1036" i="44" s="1"/>
  <c r="X1036" i="44"/>
  <c r="P452" i="44"/>
  <c r="S1227" i="44"/>
  <c r="T1223" i="44"/>
  <c r="K448" i="44"/>
  <c r="K451" i="44"/>
  <c r="K164" i="44"/>
  <c r="Q272" i="44"/>
  <c r="Q852" i="44" s="1"/>
  <c r="O272" i="44"/>
  <c r="O852" i="44" s="1"/>
  <c r="P852" i="44"/>
  <c r="Y270" i="44"/>
  <c r="Y850" i="44" s="1"/>
  <c r="Z270" i="44"/>
  <c r="Z850" i="44" s="1"/>
  <c r="X850" i="44"/>
  <c r="Z281" i="44"/>
  <c r="Z861" i="44" s="1"/>
  <c r="Y281" i="44"/>
  <c r="Y861" i="44" s="1"/>
  <c r="X861" i="44"/>
  <c r="P558" i="44"/>
  <c r="L1138" i="44"/>
  <c r="K291" i="44"/>
  <c r="P579" i="44"/>
  <c r="L1159" i="44"/>
  <c r="K287" i="44"/>
  <c r="K562" i="44"/>
  <c r="K290" i="44"/>
  <c r="Y260" i="44"/>
  <c r="Y840" i="44" s="1"/>
  <c r="Z260" i="44"/>
  <c r="Z840" i="44" s="1"/>
  <c r="X840" i="44"/>
  <c r="Y253" i="44"/>
  <c r="Y833" i="44" s="1"/>
  <c r="Z253" i="44"/>
  <c r="Z833" i="44" s="1"/>
  <c r="X833" i="44"/>
  <c r="Z265" i="44"/>
  <c r="Z845" i="44" s="1"/>
  <c r="Y265" i="44"/>
  <c r="Y845" i="44" s="1"/>
  <c r="X845" i="44"/>
  <c r="Z258" i="44"/>
  <c r="Z838" i="44" s="1"/>
  <c r="Y258" i="44"/>
  <c r="Y838" i="44" s="1"/>
  <c r="X838" i="44"/>
  <c r="P246" i="44"/>
  <c r="L826" i="44"/>
  <c r="Z535" i="44"/>
  <c r="Z1115" i="44" s="1"/>
  <c r="Y535" i="44"/>
  <c r="Y1115" i="44" s="1"/>
  <c r="X1115" i="44"/>
  <c r="T1174" i="44"/>
  <c r="K545" i="44"/>
  <c r="Q1184" i="44"/>
  <c r="P549" i="44"/>
  <c r="L1129" i="44"/>
  <c r="K552" i="44"/>
  <c r="K549" i="44"/>
  <c r="K536" i="44"/>
  <c r="K265" i="44"/>
  <c r="Q231" i="44"/>
  <c r="Q811" i="44" s="1"/>
  <c r="O231" i="44"/>
  <c r="O811" i="44" s="1"/>
  <c r="P811" i="44"/>
  <c r="P510" i="44"/>
  <c r="L1090" i="44"/>
  <c r="P519" i="44"/>
  <c r="L1099" i="44"/>
  <c r="P1237" i="44"/>
  <c r="Z527" i="44"/>
  <c r="Z1107" i="44" s="1"/>
  <c r="Y527" i="44"/>
  <c r="Y1107" i="44" s="1"/>
  <c r="X1107" i="44"/>
  <c r="P527" i="44"/>
  <c r="L1107" i="44"/>
  <c r="K234" i="44"/>
  <c r="K222" i="44"/>
  <c r="K242" i="44"/>
  <c r="K233" i="44"/>
  <c r="J1246" i="44"/>
  <c r="Z199" i="44"/>
  <c r="Z779" i="44" s="1"/>
  <c r="Y199" i="44"/>
  <c r="Y779" i="44" s="1"/>
  <c r="X779" i="44"/>
  <c r="R1236" i="44"/>
  <c r="F1247" i="44"/>
  <c r="R1244" i="44"/>
  <c r="S1237" i="44"/>
  <c r="K1248" i="44"/>
  <c r="G1259" i="44"/>
  <c r="Z213" i="44"/>
  <c r="Z793" i="44" s="1"/>
  <c r="Y213" i="44"/>
  <c r="Y793" i="44" s="1"/>
  <c r="X793" i="44"/>
  <c r="P202" i="44"/>
  <c r="L782" i="44"/>
  <c r="P1240" i="44"/>
  <c r="P1251" i="44"/>
  <c r="F1238" i="44"/>
  <c r="G1246" i="44"/>
  <c r="P1253" i="44"/>
  <c r="E1237" i="44"/>
  <c r="P1243" i="44"/>
  <c r="K1245" i="44"/>
  <c r="K1236" i="44"/>
  <c r="P1247" i="44"/>
  <c r="R1251" i="44"/>
  <c r="D1242" i="44"/>
  <c r="Z491" i="44"/>
  <c r="Z1071" i="44" s="1"/>
  <c r="Y491" i="44"/>
  <c r="Y1071" i="44" s="1"/>
  <c r="X1071" i="44"/>
  <c r="G1256" i="44"/>
  <c r="Y493" i="44"/>
  <c r="Y1073" i="44" s="1"/>
  <c r="Z493" i="44"/>
  <c r="Z1073" i="44" s="1"/>
  <c r="X1073" i="44"/>
  <c r="Z495" i="44"/>
  <c r="Z1075" i="44" s="1"/>
  <c r="Y495" i="44"/>
  <c r="Y1075" i="44" s="1"/>
  <c r="X1075" i="44"/>
  <c r="P499" i="44"/>
  <c r="N1079" i="44"/>
  <c r="L1251" i="44" s="1"/>
  <c r="D1256" i="44"/>
  <c r="K494" i="44"/>
  <c r="K214" i="44"/>
  <c r="K217" i="44"/>
  <c r="K219" i="44"/>
  <c r="Z192" i="44"/>
  <c r="Z772" i="44" s="1"/>
  <c r="Y192" i="44"/>
  <c r="Y772" i="44" s="1"/>
  <c r="X772" i="44"/>
  <c r="P193" i="44"/>
  <c r="L773" i="44"/>
  <c r="Z180" i="44"/>
  <c r="Z760" i="44" s="1"/>
  <c r="Y180" i="44"/>
  <c r="Y760" i="44" s="1"/>
  <c r="X760" i="44"/>
  <c r="P473" i="44"/>
  <c r="L1053" i="44"/>
  <c r="D1212" i="44"/>
  <c r="Y469" i="44"/>
  <c r="Y1049" i="44" s="1"/>
  <c r="Z469" i="44"/>
  <c r="Z1049" i="44" s="1"/>
  <c r="X1049" i="44"/>
  <c r="Z460" i="44"/>
  <c r="Z1040" i="44" s="1"/>
  <c r="Y460" i="44"/>
  <c r="Y1040" i="44" s="1"/>
  <c r="X1040" i="44"/>
  <c r="Y461" i="44"/>
  <c r="Y1041" i="44" s="1"/>
  <c r="Z461" i="44"/>
  <c r="Z1041" i="44" s="1"/>
  <c r="X1041" i="44"/>
  <c r="P480" i="44"/>
  <c r="Z467" i="44"/>
  <c r="Z1047" i="44" s="1"/>
  <c r="Y467" i="44"/>
  <c r="Y1047" i="44" s="1"/>
  <c r="X1047" i="44"/>
  <c r="K461" i="44"/>
  <c r="K189" i="44"/>
  <c r="K177" i="44"/>
  <c r="K180" i="44"/>
  <c r="O419" i="44"/>
  <c r="O999" i="44" s="1"/>
  <c r="Q419" i="44"/>
  <c r="Q999" i="44" s="1"/>
  <c r="P999" i="44"/>
  <c r="F1216" i="44"/>
  <c r="P126" i="44"/>
  <c r="L706" i="44"/>
  <c r="J1214" i="44" s="1"/>
  <c r="K1224" i="44"/>
  <c r="K1235" i="44"/>
  <c r="Q1233" i="44"/>
  <c r="E1221" i="44"/>
  <c r="T1231" i="44"/>
  <c r="L1218" i="44"/>
  <c r="F1229" i="44"/>
  <c r="R1216" i="44"/>
  <c r="P139" i="44"/>
  <c r="Y125" i="44"/>
  <c r="Y705" i="44" s="1"/>
  <c r="Z125" i="44"/>
  <c r="Z705" i="44" s="1"/>
  <c r="X705" i="44"/>
  <c r="T1224" i="44"/>
  <c r="D1233" i="44"/>
  <c r="S1219" i="44"/>
  <c r="Z129" i="44"/>
  <c r="Z709" i="44" s="1"/>
  <c r="Y129" i="44"/>
  <c r="Y709" i="44" s="1"/>
  <c r="X709" i="44"/>
  <c r="G1215" i="44"/>
  <c r="D1214" i="44"/>
  <c r="Q1219" i="44"/>
  <c r="Y416" i="44"/>
  <c r="Y996" i="44" s="1"/>
  <c r="Z416" i="44"/>
  <c r="Z996" i="44" s="1"/>
  <c r="X996" i="44"/>
  <c r="Z426" i="44"/>
  <c r="Z1006" i="44" s="1"/>
  <c r="Y426" i="44"/>
  <c r="Y1006" i="44" s="1"/>
  <c r="X1006" i="44"/>
  <c r="S1212" i="44"/>
  <c r="R1232" i="44"/>
  <c r="U1231" i="44"/>
  <c r="P428" i="44"/>
  <c r="M1008" i="44"/>
  <c r="P1215" i="44"/>
  <c r="P435" i="44"/>
  <c r="K433" i="44"/>
  <c r="K426" i="44"/>
  <c r="K134" i="44"/>
  <c r="K415" i="44"/>
  <c r="L1204" i="44"/>
  <c r="U1189" i="44"/>
  <c r="E1201" i="44"/>
  <c r="K1198" i="44"/>
  <c r="Y73" i="44"/>
  <c r="Y653" i="44" s="1"/>
  <c r="Z73" i="44"/>
  <c r="Z653" i="44" s="1"/>
  <c r="X653" i="44"/>
  <c r="Q1196" i="44"/>
  <c r="U1193" i="44"/>
  <c r="E1191" i="44"/>
  <c r="P53" i="44"/>
  <c r="L633" i="44"/>
  <c r="G1211" i="44"/>
  <c r="S1198" i="44"/>
  <c r="K1210" i="44"/>
  <c r="U1197" i="44"/>
  <c r="E1207" i="44"/>
  <c r="G1188" i="44"/>
  <c r="T1207" i="44"/>
  <c r="P1194" i="44"/>
  <c r="Z343" i="44"/>
  <c r="Z923" i="44" s="1"/>
  <c r="Y343" i="44"/>
  <c r="Y923" i="44" s="1"/>
  <c r="X923" i="44"/>
  <c r="P341" i="44"/>
  <c r="N921" i="44"/>
  <c r="L1189" i="44" s="1"/>
  <c r="E1210" i="44"/>
  <c r="T1196" i="44"/>
  <c r="F1194" i="44"/>
  <c r="P1190" i="44"/>
  <c r="K361" i="44"/>
  <c r="K342" i="44"/>
  <c r="K73" i="44"/>
  <c r="K355" i="44"/>
  <c r="Z36" i="44"/>
  <c r="Z616" i="44" s="1"/>
  <c r="Y36" i="44"/>
  <c r="Y616" i="44" s="1"/>
  <c r="X616" i="44"/>
  <c r="Z37" i="44"/>
  <c r="Z617" i="44" s="1"/>
  <c r="Y37" i="44"/>
  <c r="Y617" i="44" s="1"/>
  <c r="X617" i="44"/>
  <c r="Y48" i="44"/>
  <c r="Y628" i="44" s="1"/>
  <c r="Z48" i="44"/>
  <c r="Z628" i="44" s="1"/>
  <c r="X628" i="44"/>
  <c r="P45" i="44"/>
  <c r="Z319" i="44"/>
  <c r="Z899" i="44" s="1"/>
  <c r="Y319" i="44"/>
  <c r="Y899" i="44" s="1"/>
  <c r="X899" i="44"/>
  <c r="Z339" i="44"/>
  <c r="Z919" i="44" s="1"/>
  <c r="Y339" i="44"/>
  <c r="Y919" i="44" s="1"/>
  <c r="X919" i="44"/>
  <c r="P333" i="44"/>
  <c r="L913" i="44"/>
  <c r="K333" i="44"/>
  <c r="K325" i="44"/>
  <c r="K49" i="44"/>
  <c r="K331" i="44"/>
  <c r="D1171" i="44"/>
  <c r="D1172" i="44"/>
  <c r="F1171" i="44"/>
  <c r="P10" i="44"/>
  <c r="L590" i="44"/>
  <c r="F1182" i="44"/>
  <c r="L1169" i="44"/>
  <c r="P20" i="44"/>
  <c r="Y6" i="44"/>
  <c r="Y586" i="44" s="1"/>
  <c r="Z6" i="44"/>
  <c r="Z586" i="44" s="1"/>
  <c r="X586" i="44"/>
  <c r="Q1178" i="44"/>
  <c r="F1166" i="44"/>
  <c r="R1178" i="44"/>
  <c r="G1167" i="44"/>
  <c r="Z18" i="44"/>
  <c r="Z598" i="44" s="1"/>
  <c r="Y18" i="44"/>
  <c r="Y598" i="44" s="1"/>
  <c r="W1178" i="44" s="1"/>
  <c r="X598" i="44"/>
  <c r="P7" i="44"/>
  <c r="L587" i="44"/>
  <c r="J1167" i="44" s="1"/>
  <c r="D1167" i="44"/>
  <c r="F1177" i="44"/>
  <c r="T1186" i="44"/>
  <c r="D1177" i="44"/>
  <c r="E1187" i="44"/>
  <c r="R1176" i="44"/>
  <c r="Z310" i="44"/>
  <c r="Z890" i="44" s="1"/>
  <c r="Y310" i="44"/>
  <c r="Y890" i="44" s="1"/>
  <c r="X890" i="44"/>
  <c r="R1181" i="44"/>
  <c r="Z292" i="44"/>
  <c r="Z872" i="44" s="1"/>
  <c r="Y292" i="44"/>
  <c r="Y872" i="44" s="1"/>
  <c r="X872" i="44"/>
  <c r="P293" i="44"/>
  <c r="L873" i="44"/>
  <c r="J1165" i="44" s="1"/>
  <c r="K305" i="44"/>
  <c r="K310" i="44"/>
  <c r="J13" i="44"/>
  <c r="J593" i="44" s="1"/>
  <c r="K593" i="44"/>
  <c r="K295" i="44"/>
  <c r="Z165" i="44"/>
  <c r="Z745" i="44" s="1"/>
  <c r="Y165" i="44"/>
  <c r="Y745" i="44" s="1"/>
  <c r="X745" i="44"/>
  <c r="Y166" i="44"/>
  <c r="Y746" i="44" s="1"/>
  <c r="Z166" i="44"/>
  <c r="Z746" i="44" s="1"/>
  <c r="X746" i="44"/>
  <c r="Z154" i="44"/>
  <c r="Z734" i="44" s="1"/>
  <c r="Y154" i="44"/>
  <c r="Y734" i="44" s="1"/>
  <c r="X734" i="44"/>
  <c r="P154" i="44"/>
  <c r="J1235" i="44"/>
  <c r="L1223" i="44"/>
  <c r="P443" i="44"/>
  <c r="P453" i="44"/>
  <c r="L1033" i="44"/>
  <c r="S1218" i="44"/>
  <c r="R1224" i="44"/>
  <c r="Z458" i="44"/>
  <c r="Z1038" i="44" s="1"/>
  <c r="Y458" i="44"/>
  <c r="Y1038" i="44" s="1"/>
  <c r="X1038" i="44"/>
  <c r="K165" i="44"/>
  <c r="K153" i="44"/>
  <c r="K438" i="44"/>
  <c r="K152" i="44"/>
  <c r="Q282" i="44"/>
  <c r="Q862" i="44" s="1"/>
  <c r="O282" i="44"/>
  <c r="O862" i="44" s="1"/>
  <c r="P862" i="44"/>
  <c r="Z283" i="44"/>
  <c r="Z863" i="44" s="1"/>
  <c r="Y283" i="44"/>
  <c r="Y863" i="44" s="1"/>
  <c r="X863" i="44"/>
  <c r="Z271" i="44"/>
  <c r="Z851" i="44" s="1"/>
  <c r="Y271" i="44"/>
  <c r="Y851" i="44" s="1"/>
  <c r="X851" i="44"/>
  <c r="P283" i="44"/>
  <c r="M863" i="44"/>
  <c r="K1179" i="44" s="1"/>
  <c r="Y275" i="44"/>
  <c r="Y855" i="44" s="1"/>
  <c r="Z275" i="44"/>
  <c r="Z855" i="44" s="1"/>
  <c r="X855" i="44"/>
  <c r="K276" i="44"/>
  <c r="Y565" i="44"/>
  <c r="Y1145" i="44" s="1"/>
  <c r="Z565" i="44"/>
  <c r="Z1145" i="44" s="1"/>
  <c r="X1145" i="44"/>
  <c r="Z575" i="44"/>
  <c r="Z1155" i="44" s="1"/>
  <c r="Y575" i="44"/>
  <c r="Y1155" i="44" s="1"/>
  <c r="X1155" i="44"/>
  <c r="K284" i="44"/>
  <c r="P557" i="44"/>
  <c r="L1137" i="44"/>
  <c r="K571" i="44"/>
  <c r="K278" i="44"/>
  <c r="Y250" i="44"/>
  <c r="Y830" i="44" s="1"/>
  <c r="Z250" i="44"/>
  <c r="Z830" i="44" s="1"/>
  <c r="X830" i="44"/>
  <c r="Z263" i="44"/>
  <c r="Z843" i="44" s="1"/>
  <c r="Y263" i="44"/>
  <c r="Y843" i="44" s="1"/>
  <c r="X843" i="44"/>
  <c r="Y257" i="44"/>
  <c r="Y837" i="44" s="1"/>
  <c r="Z257" i="44"/>
  <c r="Z837" i="44" s="1"/>
  <c r="X837" i="44"/>
  <c r="P540" i="44"/>
  <c r="L1120" i="44"/>
  <c r="J1172" i="44" s="1"/>
  <c r="Z545" i="44"/>
  <c r="Z1125" i="44" s="1"/>
  <c r="Y545" i="44"/>
  <c r="Y1125" i="44" s="1"/>
  <c r="X1125" i="44"/>
  <c r="Z549" i="44"/>
  <c r="Z1129" i="44" s="1"/>
  <c r="Y549" i="44"/>
  <c r="Y1129" i="44" s="1"/>
  <c r="X1129" i="44"/>
  <c r="K533" i="44"/>
  <c r="P543" i="44"/>
  <c r="P544" i="44"/>
  <c r="K540" i="44"/>
  <c r="P545" i="44"/>
  <c r="K550" i="44"/>
  <c r="K537" i="44"/>
  <c r="K267" i="44"/>
  <c r="K264" i="44"/>
  <c r="K253" i="44"/>
  <c r="Q233" i="44"/>
  <c r="Q813" i="44" s="1"/>
  <c r="O233" i="44"/>
  <c r="O813" i="44" s="1"/>
  <c r="P813" i="44"/>
  <c r="Y227" i="44"/>
  <c r="Y807" i="44" s="1"/>
  <c r="Z227" i="44"/>
  <c r="Z807" i="44" s="1"/>
  <c r="X807" i="44"/>
  <c r="Z228" i="44"/>
  <c r="Z808" i="44" s="1"/>
  <c r="Y228" i="44"/>
  <c r="Y808" i="44" s="1"/>
  <c r="X808" i="44"/>
  <c r="Y221" i="44"/>
  <c r="Y801" i="44" s="1"/>
  <c r="Z221" i="44"/>
  <c r="Z801" i="44" s="1"/>
  <c r="X801" i="44"/>
  <c r="P232" i="44"/>
  <c r="L812" i="44"/>
  <c r="Z515" i="44"/>
  <c r="Z1095" i="44" s="1"/>
  <c r="Y515" i="44"/>
  <c r="Y1095" i="44" s="1"/>
  <c r="X1095" i="44"/>
  <c r="Z526" i="44"/>
  <c r="Z1106" i="44" s="1"/>
  <c r="Y526" i="44"/>
  <c r="Y1106" i="44" s="1"/>
  <c r="X1106" i="44"/>
  <c r="D1241" i="44"/>
  <c r="Z508" i="44"/>
  <c r="Z1088" i="44" s="1"/>
  <c r="Y508" i="44"/>
  <c r="Y1088" i="44" s="1"/>
  <c r="X1088" i="44"/>
  <c r="T1256" i="44"/>
  <c r="E1238" i="44"/>
  <c r="K530" i="44"/>
  <c r="K526" i="44"/>
  <c r="K230" i="44"/>
  <c r="K221" i="44"/>
  <c r="F1257" i="44"/>
  <c r="T1250" i="44"/>
  <c r="Q197" i="44"/>
  <c r="Q777" i="44" s="1"/>
  <c r="O197" i="44"/>
  <c r="O777" i="44" s="1"/>
  <c r="P777" i="44"/>
  <c r="Z218" i="44"/>
  <c r="Z798" i="44" s="1"/>
  <c r="Y218" i="44"/>
  <c r="Y798" i="44" s="1"/>
  <c r="X798" i="44"/>
  <c r="P1245" i="44"/>
  <c r="K1256" i="44"/>
  <c r="T1243" i="44"/>
  <c r="Q1254" i="44"/>
  <c r="J1249" i="44"/>
  <c r="Q1257" i="44"/>
  <c r="E1244" i="44"/>
  <c r="L1252" i="44"/>
  <c r="Z198" i="44"/>
  <c r="Z778" i="44" s="1"/>
  <c r="Y198" i="44"/>
  <c r="Y778" i="44" s="1"/>
  <c r="X778" i="44"/>
  <c r="D1247" i="44"/>
  <c r="T1258" i="44"/>
  <c r="P214" i="44"/>
  <c r="M794" i="44"/>
  <c r="K1254" i="44" s="1"/>
  <c r="P496" i="44"/>
  <c r="L1076" i="44"/>
  <c r="P494" i="44"/>
  <c r="N1074" i="44"/>
  <c r="P485" i="44"/>
  <c r="L1065" i="44"/>
  <c r="J1237" i="44" s="1"/>
  <c r="P1248" i="44"/>
  <c r="F1239" i="44"/>
  <c r="P1250" i="44"/>
  <c r="Y490" i="44"/>
  <c r="Y1070" i="44" s="1"/>
  <c r="Z490" i="44"/>
  <c r="Z1070" i="44" s="1"/>
  <c r="X1070" i="44"/>
  <c r="Y494" i="44"/>
  <c r="Y1074" i="44" s="1"/>
  <c r="Z494" i="44"/>
  <c r="Z1074" i="44" s="1"/>
  <c r="X1074" i="44"/>
  <c r="R1238" i="44"/>
  <c r="D1251" i="44"/>
  <c r="E1252" i="44"/>
  <c r="J1242" i="44"/>
  <c r="D1255" i="44"/>
  <c r="U1256" i="44"/>
  <c r="D1248" i="44"/>
  <c r="K196" i="44"/>
  <c r="K500" i="44"/>
  <c r="K205" i="44"/>
  <c r="K207" i="44"/>
  <c r="Z193" i="44"/>
  <c r="Z773" i="44" s="1"/>
  <c r="Y193" i="44"/>
  <c r="Y773" i="44" s="1"/>
  <c r="X773" i="44"/>
  <c r="P183" i="44"/>
  <c r="P192" i="44"/>
  <c r="N772" i="44"/>
  <c r="Y463" i="44"/>
  <c r="Y1043" i="44" s="1"/>
  <c r="Z463" i="44"/>
  <c r="Z1043" i="44" s="1"/>
  <c r="X1043" i="44"/>
  <c r="Z471" i="44"/>
  <c r="Z1051" i="44" s="1"/>
  <c r="Y471" i="44"/>
  <c r="Y1051" i="44" s="1"/>
  <c r="X1051" i="44"/>
  <c r="S1234" i="44"/>
  <c r="Y483" i="44"/>
  <c r="Y1063" i="44" s="1"/>
  <c r="Z483" i="44"/>
  <c r="Z1063" i="44" s="1"/>
  <c r="X1063" i="44"/>
  <c r="K472" i="44"/>
  <c r="K191" i="44"/>
  <c r="Q420" i="44"/>
  <c r="Q1000" i="44" s="1"/>
  <c r="O420" i="44"/>
  <c r="O1000" i="44" s="1"/>
  <c r="P1000" i="44"/>
  <c r="P127" i="44"/>
  <c r="L707" i="44"/>
  <c r="J1215" i="44" s="1"/>
  <c r="F1226" i="44"/>
  <c r="P125" i="44"/>
  <c r="P137" i="44"/>
  <c r="M717" i="44"/>
  <c r="K1225" i="44" s="1"/>
  <c r="Z133" i="44"/>
  <c r="Z713" i="44" s="1"/>
  <c r="Y133" i="44"/>
  <c r="Y713" i="44" s="1"/>
  <c r="X713" i="44"/>
  <c r="K1219" i="44"/>
  <c r="E1230" i="44"/>
  <c r="P140" i="44"/>
  <c r="L720" i="44"/>
  <c r="J1228" i="44" s="1"/>
  <c r="U1214" i="44"/>
  <c r="S1225" i="44"/>
  <c r="Z145" i="44"/>
  <c r="Z725" i="44" s="1"/>
  <c r="Y145" i="44"/>
  <c r="Y725" i="44" s="1"/>
  <c r="X725" i="44"/>
  <c r="F1232" i="44"/>
  <c r="Q1229" i="44"/>
  <c r="E1216" i="44"/>
  <c r="R1225" i="44"/>
  <c r="G1231" i="44"/>
  <c r="P422" i="44"/>
  <c r="L1002" i="44"/>
  <c r="L1231" i="44"/>
  <c r="R1219" i="44"/>
  <c r="Q1230" i="44"/>
  <c r="U1217" i="44"/>
  <c r="S1235" i="44"/>
  <c r="S1232" i="44"/>
  <c r="P416" i="44"/>
  <c r="L996" i="44"/>
  <c r="J1216" i="44" s="1"/>
  <c r="K419" i="44"/>
  <c r="K412" i="44"/>
  <c r="K145" i="44"/>
  <c r="K139" i="44"/>
  <c r="P77" i="44"/>
  <c r="L657" i="44"/>
  <c r="P1188" i="44"/>
  <c r="Q1209" i="44"/>
  <c r="E1200" i="44"/>
  <c r="Z378" i="44"/>
  <c r="Z958" i="44" s="1"/>
  <c r="Y378" i="44"/>
  <c r="Y958" i="44" s="1"/>
  <c r="X958" i="44"/>
  <c r="Z371" i="44"/>
  <c r="Z951" i="44" s="1"/>
  <c r="Y371" i="44"/>
  <c r="Y951" i="44" s="1"/>
  <c r="X951" i="44"/>
  <c r="R1206" i="44"/>
  <c r="P100" i="44"/>
  <c r="L680" i="44"/>
  <c r="Z109" i="44"/>
  <c r="Z689" i="44" s="1"/>
  <c r="Y109" i="44"/>
  <c r="Y689" i="44" s="1"/>
  <c r="X689" i="44"/>
  <c r="Z111" i="44"/>
  <c r="Z691" i="44" s="1"/>
  <c r="Y111" i="44"/>
  <c r="Y691" i="44" s="1"/>
  <c r="X691" i="44"/>
  <c r="Z116" i="44"/>
  <c r="Z696" i="44" s="1"/>
  <c r="Y116" i="44"/>
  <c r="Y696" i="44" s="1"/>
  <c r="X696" i="44"/>
  <c r="P111" i="44"/>
  <c r="M691" i="44"/>
  <c r="S1202" i="44"/>
  <c r="P1198" i="44"/>
  <c r="K393" i="44"/>
  <c r="K401" i="44"/>
  <c r="K106" i="44"/>
  <c r="P57" i="44"/>
  <c r="K1193" i="44"/>
  <c r="P69" i="44"/>
  <c r="M649" i="44"/>
  <c r="E1188" i="44"/>
  <c r="U1210" i="44"/>
  <c r="T1194" i="44"/>
  <c r="E1192" i="44"/>
  <c r="F1203" i="44"/>
  <c r="G1190" i="44"/>
  <c r="R1199" i="44"/>
  <c r="P75" i="44"/>
  <c r="L655" i="44"/>
  <c r="J1211" i="44" s="1"/>
  <c r="T1198" i="44"/>
  <c r="D1197" i="44"/>
  <c r="U1207" i="44"/>
  <c r="Q1194" i="44"/>
  <c r="F1196" i="44"/>
  <c r="D1189" i="44"/>
  <c r="S1200" i="44"/>
  <c r="L1211" i="44"/>
  <c r="E1206" i="44"/>
  <c r="R1203" i="44"/>
  <c r="Q1188" i="44"/>
  <c r="J1200" i="44"/>
  <c r="Y362" i="44"/>
  <c r="Y942" i="44" s="1"/>
  <c r="Z362" i="44"/>
  <c r="Z942" i="44" s="1"/>
  <c r="X942" i="44"/>
  <c r="P360" i="44"/>
  <c r="L940" i="44"/>
  <c r="R1205" i="44"/>
  <c r="K347" i="44"/>
  <c r="K356" i="44"/>
  <c r="K61" i="44"/>
  <c r="K343" i="44"/>
  <c r="Z43" i="44"/>
  <c r="Z623" i="44" s="1"/>
  <c r="Y43" i="44"/>
  <c r="Y623" i="44" s="1"/>
  <c r="X623" i="44"/>
  <c r="Y38" i="44"/>
  <c r="Y618" i="44" s="1"/>
  <c r="Z38" i="44"/>
  <c r="Z618" i="44" s="1"/>
  <c r="X618" i="44"/>
  <c r="Z28" i="44"/>
  <c r="Z608" i="44" s="1"/>
  <c r="Y28" i="44"/>
  <c r="Y608" i="44" s="1"/>
  <c r="X608" i="44"/>
  <c r="P338" i="44"/>
  <c r="Z320" i="44"/>
  <c r="Z900" i="44" s="1"/>
  <c r="Y320" i="44"/>
  <c r="Y900" i="44" s="1"/>
  <c r="X900" i="44"/>
  <c r="E1167" i="44"/>
  <c r="Z329" i="44"/>
  <c r="Z909" i="44" s="1"/>
  <c r="Y329" i="44"/>
  <c r="Y909" i="44" s="1"/>
  <c r="X909" i="44"/>
  <c r="S1172" i="44"/>
  <c r="Z332" i="44"/>
  <c r="Z912" i="44" s="1"/>
  <c r="Y332" i="44"/>
  <c r="Y912" i="44" s="1"/>
  <c r="X912" i="44"/>
  <c r="Y325" i="44"/>
  <c r="Y905" i="44" s="1"/>
  <c r="Z325" i="44"/>
  <c r="Z905" i="44" s="1"/>
  <c r="X905" i="44"/>
  <c r="K318" i="44"/>
  <c r="K28" i="44"/>
  <c r="K37" i="44"/>
  <c r="K319" i="44"/>
  <c r="Y11" i="44"/>
  <c r="Y591" i="44" s="1"/>
  <c r="Z11" i="44"/>
  <c r="Z591" i="44" s="1"/>
  <c r="X591" i="44"/>
  <c r="S1184" i="44"/>
  <c r="E1173" i="44"/>
  <c r="T1183" i="44"/>
  <c r="P11" i="44"/>
  <c r="L591" i="44"/>
  <c r="Z22" i="44"/>
  <c r="Z602" i="44" s="1"/>
  <c r="Y22" i="44"/>
  <c r="Y602" i="44" s="1"/>
  <c r="X602" i="44"/>
  <c r="K1181" i="44"/>
  <c r="Y7" i="44"/>
  <c r="Y587" i="44" s="1"/>
  <c r="Z7" i="44"/>
  <c r="Z587" i="44" s="1"/>
  <c r="X1167" i="44" s="1"/>
  <c r="X587" i="44"/>
  <c r="P1179" i="44"/>
  <c r="D1168" i="44"/>
  <c r="S1179" i="44"/>
  <c r="E1168" i="44"/>
  <c r="T1179" i="44"/>
  <c r="F1168" i="44"/>
  <c r="U1179" i="44"/>
  <c r="P1187" i="44"/>
  <c r="T1187" i="44"/>
  <c r="T1184" i="44"/>
  <c r="F1183" i="44"/>
  <c r="S1169" i="44"/>
  <c r="S1183" i="44"/>
  <c r="D1175" i="44"/>
  <c r="Z308" i="44"/>
  <c r="Z888" i="44" s="1"/>
  <c r="Y308" i="44"/>
  <c r="Y888" i="44" s="1"/>
  <c r="X888" i="44"/>
  <c r="E1166" i="44"/>
  <c r="P315" i="44"/>
  <c r="L895" i="44"/>
  <c r="F1178" i="44"/>
  <c r="K304" i="44"/>
  <c r="K24" i="44"/>
  <c r="K19" i="44"/>
  <c r="P164" i="44"/>
  <c r="P155" i="44"/>
  <c r="P156" i="44"/>
  <c r="T1228" i="44"/>
  <c r="D1221" i="44"/>
  <c r="P444" i="44"/>
  <c r="L1024" i="44"/>
  <c r="P1219" i="44"/>
  <c r="P445" i="44"/>
  <c r="L1025" i="44"/>
  <c r="F1231" i="44"/>
  <c r="K459" i="44"/>
  <c r="K455" i="44"/>
  <c r="K450" i="44"/>
  <c r="K439" i="44"/>
  <c r="P289" i="44"/>
  <c r="Z268" i="44"/>
  <c r="Z848" i="44" s="1"/>
  <c r="Y268" i="44"/>
  <c r="Y848" i="44" s="1"/>
  <c r="X848" i="44"/>
  <c r="Y282" i="44"/>
  <c r="Y862" i="44" s="1"/>
  <c r="Z282" i="44"/>
  <c r="Z862" i="44" s="1"/>
  <c r="X862" i="44"/>
  <c r="P273" i="44"/>
  <c r="L853" i="44"/>
  <c r="Z579" i="44"/>
  <c r="Z1159" i="44" s="1"/>
  <c r="Y579" i="44"/>
  <c r="Y1159" i="44" s="1"/>
  <c r="X1159" i="44"/>
  <c r="P573" i="44"/>
  <c r="L1153" i="44"/>
  <c r="K566" i="44"/>
  <c r="S1171" i="44"/>
  <c r="Z566" i="44"/>
  <c r="Z1146" i="44" s="1"/>
  <c r="Y566" i="44"/>
  <c r="Y1146" i="44" s="1"/>
  <c r="X1146" i="44"/>
  <c r="Z576" i="44"/>
  <c r="Z1156" i="44" s="1"/>
  <c r="Y576" i="44"/>
  <c r="Y1156" i="44" s="1"/>
  <c r="X1156" i="44"/>
  <c r="K269" i="44"/>
  <c r="K559" i="44"/>
  <c r="K283" i="44"/>
  <c r="P265" i="44"/>
  <c r="L845" i="44"/>
  <c r="J1185" i="44" s="1"/>
  <c r="P257" i="44"/>
  <c r="P251" i="44"/>
  <c r="L831" i="44"/>
  <c r="P254" i="44"/>
  <c r="L834" i="44"/>
  <c r="P263" i="44"/>
  <c r="N843" i="44"/>
  <c r="Z249" i="44"/>
  <c r="Z829" i="44" s="1"/>
  <c r="Y249" i="44"/>
  <c r="Y829" i="44" s="1"/>
  <c r="X829" i="44"/>
  <c r="Z247" i="44"/>
  <c r="Z827" i="44" s="1"/>
  <c r="Y247" i="44"/>
  <c r="Y827" i="44" s="1"/>
  <c r="X827" i="44"/>
  <c r="T1173" i="44"/>
  <c r="K262" i="44"/>
  <c r="P555" i="44"/>
  <c r="L1135" i="44"/>
  <c r="K538" i="44"/>
  <c r="Y547" i="44"/>
  <c r="Y1127" i="44" s="1"/>
  <c r="Z547" i="44"/>
  <c r="Z1127" i="44" s="1"/>
  <c r="X1127" i="44"/>
  <c r="K250" i="44"/>
  <c r="K249" i="44"/>
  <c r="Z548" i="44"/>
  <c r="Z1128" i="44" s="1"/>
  <c r="Y548" i="44"/>
  <c r="Y1128" i="44" s="1"/>
  <c r="X1128" i="44"/>
  <c r="K246" i="44"/>
  <c r="G1185" i="44"/>
  <c r="K248" i="44"/>
  <c r="P530" i="44"/>
  <c r="P223" i="44"/>
  <c r="L803" i="44"/>
  <c r="J1239" i="44" s="1"/>
  <c r="Z238" i="44"/>
  <c r="Z818" i="44" s="1"/>
  <c r="Y238" i="44"/>
  <c r="Y818" i="44" s="1"/>
  <c r="X818" i="44"/>
  <c r="Z525" i="44"/>
  <c r="Z1105" i="44" s="1"/>
  <c r="Y525" i="44"/>
  <c r="Y1105" i="44" s="1"/>
  <c r="X1105" i="44"/>
  <c r="Y531" i="44"/>
  <c r="Y1111" i="44" s="1"/>
  <c r="Z531" i="44"/>
  <c r="Z1111" i="44" s="1"/>
  <c r="X1111" i="44"/>
  <c r="Z517" i="44"/>
  <c r="Z1097" i="44" s="1"/>
  <c r="Y517" i="44"/>
  <c r="Y1097" i="44" s="1"/>
  <c r="X1097" i="44"/>
  <c r="S1247" i="44"/>
  <c r="P526" i="44"/>
  <c r="L1106" i="44"/>
  <c r="J1254" i="44" s="1"/>
  <c r="P522" i="44"/>
  <c r="N1102" i="44"/>
  <c r="D1257" i="44"/>
  <c r="Z514" i="44"/>
  <c r="Z1094" i="44" s="1"/>
  <c r="Y514" i="44"/>
  <c r="Y1094" i="44" s="1"/>
  <c r="X1094" i="44"/>
  <c r="Z524" i="44"/>
  <c r="Z1104" i="44" s="1"/>
  <c r="Y524" i="44"/>
  <c r="Y1104" i="44" s="1"/>
  <c r="X1104" i="44"/>
  <c r="Z510" i="44"/>
  <c r="Z1090" i="44" s="1"/>
  <c r="Y510" i="44"/>
  <c r="Y1090" i="44" s="1"/>
  <c r="X1090" i="44"/>
  <c r="V1238" i="44" s="1"/>
  <c r="Y520" i="44"/>
  <c r="Y1100" i="44" s="1"/>
  <c r="Z520" i="44"/>
  <c r="Z1100" i="44" s="1"/>
  <c r="X1100" i="44"/>
  <c r="K518" i="44"/>
  <c r="K514" i="44"/>
  <c r="K241" i="44"/>
  <c r="K243" i="44"/>
  <c r="D1249" i="44"/>
  <c r="L1246" i="44"/>
  <c r="P217" i="44"/>
  <c r="L797" i="44"/>
  <c r="G1250" i="44"/>
  <c r="P218" i="44"/>
  <c r="T1255" i="44"/>
  <c r="F1244" i="44"/>
  <c r="Z214" i="44"/>
  <c r="Z794" i="44" s="1"/>
  <c r="Y214" i="44"/>
  <c r="Y794" i="44" s="1"/>
  <c r="X794" i="44"/>
  <c r="G1253" i="44"/>
  <c r="R1250" i="44"/>
  <c r="Z207" i="44"/>
  <c r="Z787" i="44" s="1"/>
  <c r="Y207" i="44"/>
  <c r="Y787" i="44" s="1"/>
  <c r="X787" i="44"/>
  <c r="Q1259" i="44"/>
  <c r="P1242" i="44"/>
  <c r="P497" i="44"/>
  <c r="L1077" i="44"/>
  <c r="P493" i="44"/>
  <c r="L1073" i="44"/>
  <c r="P495" i="44"/>
  <c r="P1249" i="44"/>
  <c r="E1240" i="44"/>
  <c r="Z489" i="44"/>
  <c r="Z1069" i="44" s="1"/>
  <c r="Y489" i="44"/>
  <c r="Y1069" i="44" s="1"/>
  <c r="X1069" i="44"/>
  <c r="Q1253" i="44"/>
  <c r="U1245" i="44"/>
  <c r="T1236" i="44"/>
  <c r="Q1239" i="44"/>
  <c r="U1248" i="44"/>
  <c r="K497" i="44"/>
  <c r="K505" i="44"/>
  <c r="K488" i="44"/>
  <c r="K216" i="44"/>
  <c r="Q464" i="44"/>
  <c r="Q1044" i="44" s="1"/>
  <c r="O464" i="44"/>
  <c r="O1044" i="44" s="1"/>
  <c r="P1044" i="44"/>
  <c r="Z183" i="44"/>
  <c r="Z763" i="44" s="1"/>
  <c r="Y183" i="44"/>
  <c r="Y763" i="44" s="1"/>
  <c r="X763" i="44"/>
  <c r="Z194" i="44"/>
  <c r="Z774" i="44" s="1"/>
  <c r="Y194" i="44"/>
  <c r="Y774" i="44" s="1"/>
  <c r="X774" i="44"/>
  <c r="Z195" i="44"/>
  <c r="Z775" i="44" s="1"/>
  <c r="Y195" i="44"/>
  <c r="Y775" i="44" s="1"/>
  <c r="X775" i="44"/>
  <c r="P178" i="44"/>
  <c r="Z189" i="44"/>
  <c r="Z769" i="44" s="1"/>
  <c r="Y189" i="44"/>
  <c r="Y769" i="44" s="1"/>
  <c r="X769" i="44"/>
  <c r="P188" i="44"/>
  <c r="L768" i="44"/>
  <c r="P475" i="44"/>
  <c r="L1055" i="44"/>
  <c r="P476" i="44"/>
  <c r="Q1215" i="44"/>
  <c r="K460" i="44"/>
  <c r="K467" i="44"/>
  <c r="K463" i="44"/>
  <c r="K179" i="44"/>
  <c r="P144" i="44"/>
  <c r="E1217" i="44"/>
  <c r="L1222" i="44"/>
  <c r="G1216" i="44"/>
  <c r="L1214" i="44"/>
  <c r="G1226" i="44"/>
  <c r="P1214" i="44"/>
  <c r="L1235" i="44"/>
  <c r="R1233" i="44"/>
  <c r="G1229" i="44"/>
  <c r="T1215" i="44"/>
  <c r="Y135" i="44"/>
  <c r="Y715" i="44" s="1"/>
  <c r="Z135" i="44"/>
  <c r="Z715" i="44" s="1"/>
  <c r="X1223" i="44" s="1"/>
  <c r="X715" i="44"/>
  <c r="U1234" i="44"/>
  <c r="E1233" i="44"/>
  <c r="Z128" i="44"/>
  <c r="Z708" i="44" s="1"/>
  <c r="Y128" i="44"/>
  <c r="Y708" i="44" s="1"/>
  <c r="X708" i="44"/>
  <c r="U1226" i="44"/>
  <c r="P421" i="44"/>
  <c r="P431" i="44"/>
  <c r="S1229" i="44"/>
  <c r="P414" i="44"/>
  <c r="G1225" i="44"/>
  <c r="T1212" i="44"/>
  <c r="Z421" i="44"/>
  <c r="Z1001" i="44" s="1"/>
  <c r="Y421" i="44"/>
  <c r="Y1001" i="44" s="1"/>
  <c r="X1001" i="44"/>
  <c r="S1233" i="44"/>
  <c r="E1231" i="44"/>
  <c r="K432" i="44"/>
  <c r="K141" i="44"/>
  <c r="K133" i="44"/>
  <c r="K127" i="44"/>
  <c r="P91" i="44"/>
  <c r="M671" i="44"/>
  <c r="P375" i="44"/>
  <c r="L955" i="44"/>
  <c r="J1199" i="44" s="1"/>
  <c r="Z373" i="44"/>
  <c r="Z953" i="44" s="1"/>
  <c r="Y373" i="44"/>
  <c r="Y953" i="44" s="1"/>
  <c r="X953" i="44"/>
  <c r="K387" i="44"/>
  <c r="K79" i="44"/>
  <c r="Z121" i="44"/>
  <c r="Z701" i="44" s="1"/>
  <c r="Y121" i="44"/>
  <c r="Y701" i="44" s="1"/>
  <c r="X701" i="44"/>
  <c r="P115" i="44"/>
  <c r="M695" i="44"/>
  <c r="R1190" i="44"/>
  <c r="P402" i="44"/>
  <c r="L982" i="44"/>
  <c r="J1202" i="44" s="1"/>
  <c r="L1202" i="44"/>
  <c r="Z408" i="44"/>
  <c r="Z988" i="44" s="1"/>
  <c r="Y408" i="44"/>
  <c r="Y988" i="44" s="1"/>
  <c r="X988" i="44"/>
  <c r="P406" i="44"/>
  <c r="L986" i="44"/>
  <c r="Z392" i="44"/>
  <c r="Z972" i="44" s="1"/>
  <c r="Y392" i="44"/>
  <c r="Y972" i="44" s="1"/>
  <c r="X972" i="44"/>
  <c r="Y395" i="44"/>
  <c r="Y975" i="44" s="1"/>
  <c r="Z395" i="44"/>
  <c r="Z975" i="44" s="1"/>
  <c r="X975" i="44"/>
  <c r="Y403" i="44"/>
  <c r="Y983" i="44" s="1"/>
  <c r="Z403" i="44"/>
  <c r="Z983" i="44" s="1"/>
  <c r="X983" i="44"/>
  <c r="K406" i="44"/>
  <c r="K105" i="44"/>
  <c r="P56" i="44"/>
  <c r="Z63" i="44"/>
  <c r="Z643" i="44" s="1"/>
  <c r="Y63" i="44"/>
  <c r="Y643" i="44" s="1"/>
  <c r="X643" i="44"/>
  <c r="K1204" i="44"/>
  <c r="P59" i="44"/>
  <c r="L639" i="44"/>
  <c r="J1195" i="44" s="1"/>
  <c r="P70" i="44"/>
  <c r="L650" i="44"/>
  <c r="L1205" i="44"/>
  <c r="E1209" i="44"/>
  <c r="S1195" i="44"/>
  <c r="D1204" i="44"/>
  <c r="G1191" i="44"/>
  <c r="T1199" i="44"/>
  <c r="L1210" i="44"/>
  <c r="Z61" i="44"/>
  <c r="Z641" i="44" s="1"/>
  <c r="X1197" i="44" s="1"/>
  <c r="Y61" i="44"/>
  <c r="Y641" i="44" s="1"/>
  <c r="X641" i="44"/>
  <c r="V1197" i="44" s="1"/>
  <c r="L1195" i="44"/>
  <c r="P1205" i="44"/>
  <c r="T1206" i="44"/>
  <c r="P1201" i="44"/>
  <c r="Z350" i="44"/>
  <c r="Z930" i="44" s="1"/>
  <c r="Y350" i="44"/>
  <c r="Y930" i="44" s="1"/>
  <c r="X930" i="44"/>
  <c r="J1205" i="44"/>
  <c r="Z344" i="44"/>
  <c r="Z924" i="44" s="1"/>
  <c r="Y344" i="44"/>
  <c r="Y924" i="44" s="1"/>
  <c r="X924" i="44"/>
  <c r="V1192" i="44" s="1"/>
  <c r="F1191" i="44"/>
  <c r="K1190" i="44"/>
  <c r="D1201" i="44"/>
  <c r="Z347" i="44"/>
  <c r="Z927" i="44" s="1"/>
  <c r="Y347" i="44"/>
  <c r="Y927" i="44" s="1"/>
  <c r="X927" i="44"/>
  <c r="Q1206" i="44"/>
  <c r="K1192" i="44"/>
  <c r="S1189" i="44"/>
  <c r="P1200" i="44"/>
  <c r="L1197" i="44"/>
  <c r="K341" i="44"/>
  <c r="K67" i="44"/>
  <c r="Z45" i="44"/>
  <c r="Z625" i="44" s="1"/>
  <c r="Y45" i="44"/>
  <c r="Y625" i="44" s="1"/>
  <c r="X625" i="44"/>
  <c r="P39" i="44"/>
  <c r="L619" i="44"/>
  <c r="P44" i="44"/>
  <c r="P324" i="44"/>
  <c r="N904" i="44"/>
  <c r="Z338" i="44"/>
  <c r="Z918" i="44" s="1"/>
  <c r="Y338" i="44"/>
  <c r="Y918" i="44" s="1"/>
  <c r="X918" i="44"/>
  <c r="Z316" i="44"/>
  <c r="Z896" i="44" s="1"/>
  <c r="Y316" i="44"/>
  <c r="Y896" i="44" s="1"/>
  <c r="X896" i="44"/>
  <c r="D1173" i="44"/>
  <c r="K332" i="44"/>
  <c r="K48" i="44"/>
  <c r="K43" i="44"/>
  <c r="P298" i="44"/>
  <c r="U1185" i="44"/>
  <c r="E1174" i="44"/>
  <c r="D1186" i="44"/>
  <c r="F1173" i="44"/>
  <c r="U1184" i="44"/>
  <c r="G1172" i="44"/>
  <c r="Z23" i="44"/>
  <c r="Z603" i="44" s="1"/>
  <c r="Y23" i="44"/>
  <c r="Y603" i="44" s="1"/>
  <c r="X603" i="44"/>
  <c r="K1171" i="44"/>
  <c r="D1183" i="44"/>
  <c r="K1182" i="44"/>
  <c r="Y8" i="44"/>
  <c r="Y588" i="44" s="1"/>
  <c r="Z8" i="44"/>
  <c r="Z588" i="44" s="1"/>
  <c r="X588" i="44"/>
  <c r="S1180" i="44"/>
  <c r="E1169" i="44"/>
  <c r="R1168" i="44"/>
  <c r="U1178" i="44"/>
  <c r="U1183" i="44"/>
  <c r="S1178" i="44"/>
  <c r="P299" i="44"/>
  <c r="L879" i="44"/>
  <c r="J1171" i="44" s="1"/>
  <c r="P1185" i="44"/>
  <c r="Q1174" i="44"/>
  <c r="Y296" i="44"/>
  <c r="Y876" i="44" s="1"/>
  <c r="Z296" i="44"/>
  <c r="Z876" i="44" s="1"/>
  <c r="X876" i="44"/>
  <c r="Q1165" i="44"/>
  <c r="T1185" i="44"/>
  <c r="P1183" i="44"/>
  <c r="U1167" i="44"/>
  <c r="P301" i="44"/>
  <c r="N881" i="44"/>
  <c r="L1173" i="44" s="1"/>
  <c r="K303" i="44"/>
  <c r="K18" i="44"/>
  <c r="K12" i="44"/>
  <c r="K7" i="44"/>
  <c r="Z156" i="44"/>
  <c r="Z736" i="44" s="1"/>
  <c r="Y156" i="44"/>
  <c r="Y736" i="44" s="1"/>
  <c r="X736" i="44"/>
  <c r="Z167" i="44"/>
  <c r="Z747" i="44" s="1"/>
  <c r="Y167" i="44"/>
  <c r="Y747" i="44" s="1"/>
  <c r="X747" i="44"/>
  <c r="P157" i="44"/>
  <c r="L737" i="44"/>
  <c r="P169" i="44"/>
  <c r="M749" i="44"/>
  <c r="K1233" i="44" s="1"/>
  <c r="Q1213" i="44"/>
  <c r="G1223" i="44"/>
  <c r="Z448" i="44"/>
  <c r="Z1028" i="44" s="1"/>
  <c r="Y448" i="44"/>
  <c r="Y1028" i="44" s="1"/>
  <c r="X1028" i="44"/>
  <c r="L1234" i="44"/>
  <c r="L1227" i="44"/>
  <c r="P459" i="44"/>
  <c r="Z454" i="44"/>
  <c r="Z1034" i="44" s="1"/>
  <c r="Y454" i="44"/>
  <c r="Y1034" i="44" s="1"/>
  <c r="X1034" i="44"/>
  <c r="K1220" i="44"/>
  <c r="K447" i="44"/>
  <c r="K443" i="44"/>
  <c r="K437" i="44"/>
  <c r="K163" i="44"/>
  <c r="P269" i="44"/>
  <c r="Z288" i="44"/>
  <c r="Z868" i="44" s="1"/>
  <c r="X868" i="44"/>
  <c r="Y288" i="44"/>
  <c r="Y868" i="44" s="1"/>
  <c r="K569" i="44"/>
  <c r="K288" i="44"/>
  <c r="P564" i="44"/>
  <c r="K575" i="44"/>
  <c r="Z558" i="44"/>
  <c r="Z1138" i="44" s="1"/>
  <c r="Y558" i="44"/>
  <c r="Y1138" i="44" s="1"/>
  <c r="X1138" i="44"/>
  <c r="P562" i="44"/>
  <c r="N1142" i="44"/>
  <c r="L1170" i="44" s="1"/>
  <c r="K280" i="44"/>
  <c r="K271" i="44"/>
  <c r="Z254" i="44"/>
  <c r="Z834" i="44" s="1"/>
  <c r="Y254" i="44"/>
  <c r="Y834" i="44" s="1"/>
  <c r="X834" i="44"/>
  <c r="Z246" i="44"/>
  <c r="Z826" i="44" s="1"/>
  <c r="Y246" i="44"/>
  <c r="Y826" i="44" s="1"/>
  <c r="X826" i="44"/>
  <c r="P539" i="44"/>
  <c r="Y550" i="44"/>
  <c r="Y1130" i="44" s="1"/>
  <c r="Z550" i="44"/>
  <c r="Z1130" i="44" s="1"/>
  <c r="X1130" i="44"/>
  <c r="K553" i="44"/>
  <c r="K251" i="44"/>
  <c r="K259" i="44"/>
  <c r="Z229" i="44"/>
  <c r="Z809" i="44" s="1"/>
  <c r="Y229" i="44"/>
  <c r="Y809" i="44" s="1"/>
  <c r="X809" i="44"/>
  <c r="P235" i="44"/>
  <c r="M815" i="44"/>
  <c r="K1251" i="44" s="1"/>
  <c r="P227" i="44"/>
  <c r="P220" i="44"/>
  <c r="P242" i="44"/>
  <c r="Z511" i="44"/>
  <c r="Z1091" i="44" s="1"/>
  <c r="Y511" i="44"/>
  <c r="Y1091" i="44" s="1"/>
  <c r="X1091" i="44"/>
  <c r="Z521" i="44"/>
  <c r="Z1101" i="44" s="1"/>
  <c r="Y521" i="44"/>
  <c r="Y1101" i="44" s="1"/>
  <c r="W1249" i="44" s="1"/>
  <c r="X1101" i="44"/>
  <c r="Q1252" i="44"/>
  <c r="P1258" i="44"/>
  <c r="G1241" i="44"/>
  <c r="Y509" i="44"/>
  <c r="Y1089" i="44" s="1"/>
  <c r="Z509" i="44"/>
  <c r="Z1089" i="44" s="1"/>
  <c r="X1089" i="44"/>
  <c r="Y519" i="44"/>
  <c r="Y1099" i="44" s="1"/>
  <c r="Z519" i="44"/>
  <c r="Z1099" i="44" s="1"/>
  <c r="X1099" i="44"/>
  <c r="K232" i="44"/>
  <c r="K220" i="44"/>
  <c r="K229" i="44"/>
  <c r="K231" i="44"/>
  <c r="Y209" i="44"/>
  <c r="Y789" i="44" s="1"/>
  <c r="Z209" i="44"/>
  <c r="Z789" i="44" s="1"/>
  <c r="X1249" i="44" s="1"/>
  <c r="X789" i="44"/>
  <c r="G1247" i="44"/>
  <c r="G1258" i="44"/>
  <c r="L1256" i="44"/>
  <c r="Z202" i="44"/>
  <c r="Z782" i="44" s="1"/>
  <c r="Y202" i="44"/>
  <c r="Y782" i="44" s="1"/>
  <c r="X782" i="44"/>
  <c r="R1254" i="44"/>
  <c r="J1240" i="44"/>
  <c r="T1237" i="44"/>
  <c r="L1248" i="44"/>
  <c r="U1255" i="44"/>
  <c r="Q1251" i="44"/>
  <c r="G1238" i="44"/>
  <c r="L1236" i="44"/>
  <c r="G1254" i="44"/>
  <c r="T1238" i="44"/>
  <c r="G1237" i="44"/>
  <c r="E1239" i="44"/>
  <c r="P498" i="44"/>
  <c r="Y488" i="44"/>
  <c r="Y1068" i="44" s="1"/>
  <c r="W1240" i="44" s="1"/>
  <c r="Z488" i="44"/>
  <c r="Z1068" i="44" s="1"/>
  <c r="X1240" i="44" s="1"/>
  <c r="X1068" i="44"/>
  <c r="U1242" i="44"/>
  <c r="S1244" i="44"/>
  <c r="E1258" i="44"/>
  <c r="U1246" i="44"/>
  <c r="Z496" i="44"/>
  <c r="Z1076" i="44" s="1"/>
  <c r="Y496" i="44"/>
  <c r="Y1076" i="44" s="1"/>
  <c r="W1248" i="44" s="1"/>
  <c r="X1076" i="44"/>
  <c r="P1239" i="44"/>
  <c r="Y498" i="44"/>
  <c r="Y1078" i="44" s="1"/>
  <c r="Z498" i="44"/>
  <c r="Z1078" i="44" s="1"/>
  <c r="X1078" i="44"/>
  <c r="P489" i="44"/>
  <c r="M1069" i="44"/>
  <c r="K1241" i="44" s="1"/>
  <c r="L1242" i="44"/>
  <c r="F1254" i="44"/>
  <c r="D1244" i="44"/>
  <c r="U1253" i="44"/>
  <c r="S1256" i="44"/>
  <c r="S1249" i="44"/>
  <c r="K485" i="44"/>
  <c r="K493" i="44"/>
  <c r="K213" i="44"/>
  <c r="K204" i="44"/>
  <c r="P174" i="44"/>
  <c r="Z184" i="44"/>
  <c r="Z764" i="44" s="1"/>
  <c r="Y184" i="44"/>
  <c r="Y764" i="44" s="1"/>
  <c r="X764" i="44"/>
  <c r="Y185" i="44"/>
  <c r="Y765" i="44" s="1"/>
  <c r="Z185" i="44"/>
  <c r="Z765" i="44" s="1"/>
  <c r="X765" i="44"/>
  <c r="P179" i="44"/>
  <c r="L759" i="44"/>
  <c r="J1219" i="44" s="1"/>
  <c r="P477" i="44"/>
  <c r="M1057" i="44"/>
  <c r="P460" i="44"/>
  <c r="L1040" i="44"/>
  <c r="Z474" i="44"/>
  <c r="Z1054" i="44" s="1"/>
  <c r="Y474" i="44"/>
  <c r="Y1054" i="44" s="1"/>
  <c r="X1054" i="44"/>
  <c r="P472" i="44"/>
  <c r="L1052" i="44"/>
  <c r="J1224" i="44" s="1"/>
  <c r="Y477" i="44"/>
  <c r="Y1057" i="44" s="1"/>
  <c r="Z477" i="44"/>
  <c r="Z1057" i="44" s="1"/>
  <c r="X1057" i="44"/>
  <c r="K483" i="44"/>
  <c r="K186" i="44"/>
  <c r="K174" i="44"/>
  <c r="K188" i="44"/>
  <c r="F1217" i="44"/>
  <c r="Y139" i="44"/>
  <c r="Y719" i="44" s="1"/>
  <c r="Z139" i="44"/>
  <c r="Z719" i="44" s="1"/>
  <c r="X719" i="44"/>
  <c r="F1227" i="44"/>
  <c r="G1227" i="44"/>
  <c r="U1212" i="44"/>
  <c r="T1232" i="44"/>
  <c r="P131" i="44"/>
  <c r="N711" i="44"/>
  <c r="L1219" i="44" s="1"/>
  <c r="G1230" i="44"/>
  <c r="S1216" i="44"/>
  <c r="P1227" i="44"/>
  <c r="D1234" i="44"/>
  <c r="S1220" i="44"/>
  <c r="P143" i="44"/>
  <c r="L723" i="44"/>
  <c r="Q1226" i="44"/>
  <c r="F1213" i="44"/>
  <c r="K1222" i="44"/>
  <c r="T1219" i="44"/>
  <c r="Z417" i="44"/>
  <c r="Z997" i="44" s="1"/>
  <c r="Y417" i="44"/>
  <c r="Y997" i="44" s="1"/>
  <c r="X997" i="44"/>
  <c r="T1229" i="44"/>
  <c r="P415" i="44"/>
  <c r="M995" i="44"/>
  <c r="K1215" i="44" s="1"/>
  <c r="R1213" i="44"/>
  <c r="P424" i="44"/>
  <c r="T1235" i="44"/>
  <c r="Z431" i="44"/>
  <c r="Z1011" i="44" s="1"/>
  <c r="Y431" i="44"/>
  <c r="Y1011" i="44" s="1"/>
  <c r="X1011" i="44"/>
  <c r="Z427" i="44"/>
  <c r="Z1007" i="44" s="1"/>
  <c r="Y427" i="44"/>
  <c r="Y1007" i="44" s="1"/>
  <c r="X1007" i="44"/>
  <c r="E1235" i="44"/>
  <c r="K418" i="44"/>
  <c r="K425" i="44"/>
  <c r="K144" i="44"/>
  <c r="K137" i="44"/>
  <c r="P98" i="44"/>
  <c r="L678" i="44"/>
  <c r="P364" i="44"/>
  <c r="L944" i="44"/>
  <c r="E1193" i="44"/>
  <c r="P369" i="44"/>
  <c r="N949" i="44"/>
  <c r="L1193" i="44" s="1"/>
  <c r="R1191" i="44"/>
  <c r="Y380" i="44"/>
  <c r="Y960" i="44" s="1"/>
  <c r="Z380" i="44"/>
  <c r="Z960" i="44" s="1"/>
  <c r="X1204" i="44" s="1"/>
  <c r="X960" i="44"/>
  <c r="T1193" i="44"/>
  <c r="P1209" i="44"/>
  <c r="E1208" i="44"/>
  <c r="R1204" i="44"/>
  <c r="T1211" i="44"/>
  <c r="K372" i="44"/>
  <c r="Z100" i="44"/>
  <c r="Z680" i="44" s="1"/>
  <c r="Y100" i="44"/>
  <c r="Y680" i="44" s="1"/>
  <c r="X680" i="44"/>
  <c r="P108" i="44"/>
  <c r="N688" i="44"/>
  <c r="L1196" i="44" s="1"/>
  <c r="Z105" i="44"/>
  <c r="Z685" i="44" s="1"/>
  <c r="Y105" i="44"/>
  <c r="Y685" i="44" s="1"/>
  <c r="X685" i="44"/>
  <c r="Y106" i="44"/>
  <c r="Y686" i="44" s="1"/>
  <c r="Z106" i="44"/>
  <c r="Z686" i="44" s="1"/>
  <c r="X686" i="44"/>
  <c r="Y117" i="44"/>
  <c r="Y697" i="44" s="1"/>
  <c r="Z117" i="44"/>
  <c r="Z697" i="44" s="1"/>
  <c r="X697" i="44"/>
  <c r="P400" i="44"/>
  <c r="N980" i="44"/>
  <c r="L1194" i="44"/>
  <c r="T1202" i="44"/>
  <c r="P389" i="44"/>
  <c r="P409" i="44"/>
  <c r="L989" i="44"/>
  <c r="S1204" i="44"/>
  <c r="K392" i="44"/>
  <c r="P350" i="44"/>
  <c r="P58" i="44"/>
  <c r="L638" i="44"/>
  <c r="J1194" i="44" s="1"/>
  <c r="G1196" i="44"/>
  <c r="K1195" i="44"/>
  <c r="Y53" i="44"/>
  <c r="Y633" i="44" s="1"/>
  <c r="Z53" i="44"/>
  <c r="Z633" i="44" s="1"/>
  <c r="X1189" i="44" s="1"/>
  <c r="X633" i="44"/>
  <c r="V1189" i="44" s="1"/>
  <c r="F1201" i="44"/>
  <c r="F1188" i="44"/>
  <c r="K1199" i="44"/>
  <c r="D1210" i="44"/>
  <c r="R1196" i="44"/>
  <c r="Z57" i="44"/>
  <c r="Z637" i="44" s="1"/>
  <c r="Y57" i="44"/>
  <c r="Y637" i="44" s="1"/>
  <c r="X637" i="44"/>
  <c r="Z68" i="44"/>
  <c r="Z648" i="44" s="1"/>
  <c r="Y68" i="44"/>
  <c r="Y648" i="44" s="1"/>
  <c r="W1204" i="44" s="1"/>
  <c r="X648" i="44"/>
  <c r="G1203" i="44"/>
  <c r="K1211" i="44"/>
  <c r="Z62" i="44"/>
  <c r="Z642" i="44" s="1"/>
  <c r="X1198" i="44" s="1"/>
  <c r="Y62" i="44"/>
  <c r="Y642" i="44" s="1"/>
  <c r="W1198" i="44" s="1"/>
  <c r="X642" i="44"/>
  <c r="P60" i="44"/>
  <c r="L640" i="44"/>
  <c r="T1190" i="44"/>
  <c r="Z351" i="44"/>
  <c r="Z931" i="44" s="1"/>
  <c r="Y351" i="44"/>
  <c r="Y931" i="44" s="1"/>
  <c r="X931" i="44"/>
  <c r="Q1210" i="44"/>
  <c r="J1197" i="44"/>
  <c r="F1206" i="44"/>
  <c r="K1205" i="44"/>
  <c r="S1203" i="44"/>
  <c r="Z353" i="44"/>
  <c r="Z933" i="44" s="1"/>
  <c r="Y353" i="44"/>
  <c r="Y933" i="44" s="1"/>
  <c r="X933" i="44"/>
  <c r="P359" i="44"/>
  <c r="P353" i="44"/>
  <c r="L933" i="44"/>
  <c r="J1201" i="44" s="1"/>
  <c r="L1188" i="44"/>
  <c r="F1198" i="44"/>
  <c r="Y359" i="44"/>
  <c r="Y939" i="44" s="1"/>
  <c r="Z359" i="44"/>
  <c r="Z939" i="44" s="1"/>
  <c r="X939" i="44"/>
  <c r="K354" i="44"/>
  <c r="K60" i="44"/>
  <c r="K55" i="44"/>
  <c r="P34" i="44"/>
  <c r="Z49" i="44"/>
  <c r="Z629" i="44" s="1"/>
  <c r="Y49" i="44"/>
  <c r="Y629" i="44" s="1"/>
  <c r="X629" i="44"/>
  <c r="Z34" i="44"/>
  <c r="Z614" i="44" s="1"/>
  <c r="Y34" i="44"/>
  <c r="Y614" i="44" s="1"/>
  <c r="X614" i="44"/>
  <c r="Z41" i="44"/>
  <c r="Z621" i="44" s="1"/>
  <c r="Y41" i="44"/>
  <c r="Y621" i="44" s="1"/>
  <c r="X621" i="44"/>
  <c r="F1174" i="44"/>
  <c r="Q1181" i="44"/>
  <c r="D1169" i="44"/>
  <c r="P321" i="44"/>
  <c r="L901" i="44"/>
  <c r="P1176" i="44"/>
  <c r="K317" i="44"/>
  <c r="K324" i="44"/>
  <c r="K36" i="44"/>
  <c r="K31" i="44"/>
  <c r="P295" i="44"/>
  <c r="F584" i="44"/>
  <c r="D1164" i="44" s="1"/>
  <c r="D1187" i="44"/>
  <c r="E1186" i="44"/>
  <c r="G1173" i="44"/>
  <c r="D1185" i="44"/>
  <c r="L1171" i="44"/>
  <c r="E1183" i="44"/>
  <c r="P1171" i="44"/>
  <c r="P21" i="44"/>
  <c r="T1169" i="44"/>
  <c r="P1181" i="44"/>
  <c r="Z9" i="44"/>
  <c r="Z589" i="44" s="1"/>
  <c r="Y9" i="44"/>
  <c r="Y589" i="44" s="1"/>
  <c r="X589" i="44"/>
  <c r="D1170" i="44"/>
  <c r="S1181" i="44"/>
  <c r="P1169" i="44"/>
  <c r="Q1179" i="44"/>
  <c r="P300" i="44"/>
  <c r="N880" i="44"/>
  <c r="T1175" i="44"/>
  <c r="R1180" i="44"/>
  <c r="T1171" i="44"/>
  <c r="U1169" i="44"/>
  <c r="F1175" i="44"/>
  <c r="P294" i="44"/>
  <c r="L874" i="44"/>
  <c r="J1166" i="44" s="1"/>
  <c r="S1168" i="44"/>
  <c r="Y307" i="44"/>
  <c r="Y887" i="44" s="1"/>
  <c r="Z307" i="44"/>
  <c r="Z887" i="44" s="1"/>
  <c r="X887" i="44"/>
  <c r="G1174" i="44"/>
  <c r="Z311" i="44"/>
  <c r="Z891" i="44" s="1"/>
  <c r="Y311" i="44"/>
  <c r="Y891" i="44" s="1"/>
  <c r="X891" i="44"/>
  <c r="K301" i="44"/>
  <c r="K309" i="44"/>
  <c r="K23" i="44"/>
  <c r="K6" i="44"/>
  <c r="Z170" i="44"/>
  <c r="Z750" i="44" s="1"/>
  <c r="Y170" i="44"/>
  <c r="Y750" i="44" s="1"/>
  <c r="X750" i="44"/>
  <c r="Z169" i="44"/>
  <c r="Z749" i="44" s="1"/>
  <c r="Y169" i="44"/>
  <c r="Y749" i="44" s="1"/>
  <c r="X749" i="44"/>
  <c r="P158" i="44"/>
  <c r="L738" i="44"/>
  <c r="J1222" i="44" s="1"/>
  <c r="P170" i="44"/>
  <c r="P167" i="44"/>
  <c r="L747" i="44"/>
  <c r="P454" i="44"/>
  <c r="N1034" i="44"/>
  <c r="L1230" i="44" s="1"/>
  <c r="R1220" i="44"/>
  <c r="F1228" i="44"/>
  <c r="Y439" i="44"/>
  <c r="Y1019" i="44" s="1"/>
  <c r="Z439" i="44"/>
  <c r="Z1019" i="44" s="1"/>
  <c r="X1215" i="44" s="1"/>
  <c r="X1019" i="44"/>
  <c r="Y445" i="44"/>
  <c r="Y1025" i="44" s="1"/>
  <c r="Z445" i="44"/>
  <c r="Z1025" i="44" s="1"/>
  <c r="X1025" i="44"/>
  <c r="D1227" i="44"/>
  <c r="D1223" i="44"/>
  <c r="K162" i="44"/>
  <c r="K170" i="44"/>
  <c r="K151" i="44"/>
  <c r="Z269" i="44"/>
  <c r="Z849" i="44" s="1"/>
  <c r="Y269" i="44"/>
  <c r="Y849" i="44" s="1"/>
  <c r="X849" i="44"/>
  <c r="Z285" i="44"/>
  <c r="Z865" i="44" s="1"/>
  <c r="Y285" i="44"/>
  <c r="Y865" i="44" s="1"/>
  <c r="X865" i="44"/>
  <c r="Y272" i="44"/>
  <c r="Y852" i="44" s="1"/>
  <c r="Z272" i="44"/>
  <c r="Z852" i="44" s="1"/>
  <c r="X852" i="44"/>
  <c r="Z280" i="44"/>
  <c r="Z860" i="44" s="1"/>
  <c r="Y280" i="44"/>
  <c r="Y860" i="44" s="1"/>
  <c r="X860" i="44"/>
  <c r="P291" i="44"/>
  <c r="P279" i="44"/>
  <c r="M859" i="44"/>
  <c r="Z276" i="44"/>
  <c r="Z856" i="44" s="1"/>
  <c r="Y276" i="44"/>
  <c r="Y856" i="44" s="1"/>
  <c r="X856" i="44"/>
  <c r="K557" i="44"/>
  <c r="K274" i="44"/>
  <c r="Z563" i="44"/>
  <c r="Z1143" i="44" s="1"/>
  <c r="Y563" i="44"/>
  <c r="Y1143" i="44" s="1"/>
  <c r="X1143" i="44"/>
  <c r="P267" i="44"/>
  <c r="P264" i="44"/>
  <c r="P258" i="44"/>
  <c r="L838" i="44"/>
  <c r="Y532" i="44"/>
  <c r="Y1112" i="44" s="1"/>
  <c r="Z532" i="44"/>
  <c r="Z1112" i="44" s="1"/>
  <c r="X1112" i="44"/>
  <c r="Y533" i="44"/>
  <c r="Y1113" i="44" s="1"/>
  <c r="Z533" i="44"/>
  <c r="Z1113" i="44" s="1"/>
  <c r="X1113" i="44"/>
  <c r="Z537" i="44"/>
  <c r="Z1117" i="44" s="1"/>
  <c r="Y537" i="44"/>
  <c r="Y1117" i="44" s="1"/>
  <c r="X1117" i="44"/>
  <c r="Y555" i="44"/>
  <c r="Y1135" i="44" s="1"/>
  <c r="Z555" i="44"/>
  <c r="Z1135" i="44" s="1"/>
  <c r="X1135" i="44"/>
  <c r="Z541" i="44"/>
  <c r="Z1121" i="44" s="1"/>
  <c r="Y541" i="44"/>
  <c r="Y1121" i="44" s="1"/>
  <c r="X1121" i="44"/>
  <c r="K541" i="44"/>
  <c r="Z539" i="44"/>
  <c r="Z1119" i="44" s="1"/>
  <c r="Y539" i="44"/>
  <c r="Y1119" i="44" s="1"/>
  <c r="X1119" i="44"/>
  <c r="Z544" i="44"/>
  <c r="Z1124" i="44" s="1"/>
  <c r="Y544" i="44"/>
  <c r="Y1124" i="44" s="1"/>
  <c r="X1124" i="44"/>
  <c r="Z554" i="44"/>
  <c r="Z1134" i="44" s="1"/>
  <c r="Y554" i="44"/>
  <c r="Y1134" i="44" s="1"/>
  <c r="X1134" i="44"/>
  <c r="P239" i="44"/>
  <c r="L819" i="44"/>
  <c r="Y234" i="44"/>
  <c r="Y814" i="44" s="1"/>
  <c r="Z234" i="44"/>
  <c r="Z814" i="44" s="1"/>
  <c r="X814" i="44"/>
  <c r="Y242" i="44"/>
  <c r="Y822" i="44" s="1"/>
  <c r="Z242" i="44"/>
  <c r="Z822" i="44" s="1"/>
  <c r="X822" i="44"/>
  <c r="Z230" i="44"/>
  <c r="Z810" i="44" s="1"/>
  <c r="Y230" i="44"/>
  <c r="Y810" i="44" s="1"/>
  <c r="X810" i="44"/>
  <c r="Z220" i="44"/>
  <c r="Z800" i="44" s="1"/>
  <c r="Y220" i="44"/>
  <c r="Y800" i="44" s="1"/>
  <c r="X800" i="44"/>
  <c r="P234" i="44"/>
  <c r="L814" i="44"/>
  <c r="P222" i="44"/>
  <c r="P243" i="44"/>
  <c r="L823" i="44"/>
  <c r="J1259" i="44" s="1"/>
  <c r="T1254" i="44"/>
  <c r="Z522" i="44"/>
  <c r="Z1102" i="44" s="1"/>
  <c r="Y522" i="44"/>
  <c r="Y1102" i="44" s="1"/>
  <c r="X1102" i="44"/>
  <c r="K1259" i="44"/>
  <c r="S1258" i="44"/>
  <c r="Q1240" i="44"/>
  <c r="K529" i="44"/>
  <c r="K525" i="44"/>
  <c r="K240" i="44"/>
  <c r="D1240" i="44"/>
  <c r="D1259" i="44"/>
  <c r="P206" i="44"/>
  <c r="U1243" i="44"/>
  <c r="Q1238" i="44"/>
  <c r="Z205" i="44"/>
  <c r="Z785" i="44" s="1"/>
  <c r="Y205" i="44"/>
  <c r="Y785" i="44" s="1"/>
  <c r="X785" i="44"/>
  <c r="P212" i="44"/>
  <c r="Z216" i="44"/>
  <c r="Z796" i="44" s="1"/>
  <c r="X1256" i="44" s="1"/>
  <c r="Y216" i="44"/>
  <c r="Y796" i="44" s="1"/>
  <c r="W1256" i="44" s="1"/>
  <c r="X796" i="44"/>
  <c r="V1256" i="44" s="1"/>
  <c r="J1250" i="44"/>
  <c r="L1247" i="44"/>
  <c r="D1238" i="44"/>
  <c r="L1249" i="44"/>
  <c r="S1255" i="44"/>
  <c r="T1245" i="44"/>
  <c r="S1236" i="44"/>
  <c r="T1247" i="44"/>
  <c r="P1238" i="44"/>
  <c r="Z499" i="44"/>
  <c r="Z1079" i="44" s="1"/>
  <c r="Y499" i="44"/>
  <c r="Y1079" i="44" s="1"/>
  <c r="X1079" i="44"/>
  <c r="V1251" i="44" s="1"/>
  <c r="K1242" i="44"/>
  <c r="E1254" i="44"/>
  <c r="K1243" i="44"/>
  <c r="F1255" i="44"/>
  <c r="Z507" i="44"/>
  <c r="Z1087" i="44" s="1"/>
  <c r="Y507" i="44"/>
  <c r="Y1087" i="44" s="1"/>
  <c r="X1087" i="44"/>
  <c r="L1259" i="44"/>
  <c r="K202" i="44"/>
  <c r="K504" i="44"/>
  <c r="K499" i="44"/>
  <c r="K215" i="44"/>
  <c r="Q469" i="44"/>
  <c r="Q1049" i="44" s="1"/>
  <c r="O469" i="44"/>
  <c r="O1049" i="44" s="1"/>
  <c r="P1049" i="44"/>
  <c r="P173" i="44"/>
  <c r="L753" i="44"/>
  <c r="P175" i="44"/>
  <c r="N755" i="44"/>
  <c r="L1215" i="44" s="1"/>
  <c r="Z172" i="44"/>
  <c r="Z752" i="44" s="1"/>
  <c r="Y172" i="44"/>
  <c r="Y752" i="44" s="1"/>
  <c r="X752" i="44"/>
  <c r="Z181" i="44"/>
  <c r="Z761" i="44" s="1"/>
  <c r="Y181" i="44"/>
  <c r="Y761" i="44" s="1"/>
  <c r="X761" i="44"/>
  <c r="P466" i="44"/>
  <c r="L1046" i="44"/>
  <c r="O481" i="44"/>
  <c r="O1061" i="44" s="1"/>
  <c r="Q481" i="44"/>
  <c r="Q1061" i="44" s="1"/>
  <c r="P1061" i="44"/>
  <c r="Z478" i="44"/>
  <c r="Z1058" i="44" s="1"/>
  <c r="Y478" i="44"/>
  <c r="Y1058" i="44" s="1"/>
  <c r="X1058" i="44"/>
  <c r="P1225" i="44"/>
  <c r="F1225" i="44"/>
  <c r="P471" i="44"/>
  <c r="K471" i="44"/>
  <c r="K478" i="44"/>
  <c r="K474" i="44"/>
  <c r="K176" i="44"/>
  <c r="D1218" i="44"/>
  <c r="L1212" i="44"/>
  <c r="U1228" i="44"/>
  <c r="K1216" i="44"/>
  <c r="D1228" i="44"/>
  <c r="K1226" i="44"/>
  <c r="Q1224" i="44"/>
  <c r="P1235" i="44"/>
  <c r="P132" i="44"/>
  <c r="N712" i="44"/>
  <c r="L1220" i="44" s="1"/>
  <c r="D1231" i="44"/>
  <c r="K1228" i="44"/>
  <c r="Z126" i="44"/>
  <c r="Z706" i="44" s="1"/>
  <c r="Y126" i="44"/>
  <c r="Y706" i="44" s="1"/>
  <c r="X706" i="44"/>
  <c r="P124" i="44"/>
  <c r="L704" i="44"/>
  <c r="J1212" i="44" s="1"/>
  <c r="Z146" i="44"/>
  <c r="Z726" i="44" s="1"/>
  <c r="X1234" i="44" s="1"/>
  <c r="Y146" i="44"/>
  <c r="Y726" i="44" s="1"/>
  <c r="X726" i="44"/>
  <c r="P133" i="44"/>
  <c r="G1232" i="44"/>
  <c r="F1222" i="44"/>
  <c r="E1214" i="44"/>
  <c r="G1233" i="44"/>
  <c r="Z418" i="44"/>
  <c r="Z998" i="44" s="1"/>
  <c r="Y418" i="44"/>
  <c r="Y998" i="44" s="1"/>
  <c r="W1218" i="44" s="1"/>
  <c r="X998" i="44"/>
  <c r="E1218" i="44"/>
  <c r="Z428" i="44"/>
  <c r="Z1008" i="44" s="1"/>
  <c r="Y428" i="44"/>
  <c r="Y1008" i="44" s="1"/>
  <c r="X1008" i="44"/>
  <c r="P425" i="44"/>
  <c r="L1005" i="44"/>
  <c r="Z435" i="44"/>
  <c r="Z1015" i="44" s="1"/>
  <c r="Y435" i="44"/>
  <c r="Y1015" i="44" s="1"/>
  <c r="X1015" i="44"/>
  <c r="D1232" i="44"/>
  <c r="U1218" i="44"/>
  <c r="K431" i="44"/>
  <c r="K138" i="44"/>
  <c r="K132" i="44"/>
  <c r="K125" i="44"/>
  <c r="L1209" i="44"/>
  <c r="K385" i="44"/>
  <c r="Z113" i="44"/>
  <c r="Z693" i="44" s="1"/>
  <c r="Y113" i="44"/>
  <c r="Y693" i="44" s="1"/>
  <c r="X693" i="44"/>
  <c r="J1204" i="44"/>
  <c r="U1190" i="44"/>
  <c r="P1202" i="44"/>
  <c r="Z399" i="44"/>
  <c r="Z979" i="44" s="1"/>
  <c r="Y399" i="44"/>
  <c r="Y979" i="44" s="1"/>
  <c r="X979" i="44"/>
  <c r="D1193" i="44"/>
  <c r="Y411" i="44"/>
  <c r="Y991" i="44" s="1"/>
  <c r="Z411" i="44"/>
  <c r="Z991" i="44" s="1"/>
  <c r="X991" i="44"/>
  <c r="S1197" i="44"/>
  <c r="K122" i="44"/>
  <c r="P349" i="44"/>
  <c r="G1197" i="44"/>
  <c r="K1196" i="44"/>
  <c r="Q1204" i="44"/>
  <c r="E1189" i="44"/>
  <c r="Z74" i="44"/>
  <c r="Z654" i="44" s="1"/>
  <c r="X1210" i="44" s="1"/>
  <c r="Y74" i="44"/>
  <c r="Y654" i="44" s="1"/>
  <c r="W1210" i="44" s="1"/>
  <c r="X654" i="44"/>
  <c r="V1210" i="44" s="1"/>
  <c r="J1208" i="44"/>
  <c r="U1194" i="44"/>
  <c r="U1205" i="44"/>
  <c r="P55" i="44"/>
  <c r="L635" i="44"/>
  <c r="J1203" i="44"/>
  <c r="L1190" i="44"/>
  <c r="R1201" i="44"/>
  <c r="R1188" i="44"/>
  <c r="U1199" i="44"/>
  <c r="G1207" i="44"/>
  <c r="P354" i="44"/>
  <c r="M934" i="44"/>
  <c r="K1202" i="44" s="1"/>
  <c r="R1207" i="44"/>
  <c r="S1191" i="44"/>
  <c r="T1200" i="44"/>
  <c r="P363" i="44"/>
  <c r="P1195" i="44"/>
  <c r="R1194" i="44"/>
  <c r="G1206" i="44"/>
  <c r="F1192" i="44"/>
  <c r="P1189" i="44"/>
  <c r="K1200" i="44"/>
  <c r="P1191" i="44"/>
  <c r="K346" i="44"/>
  <c r="K340" i="44"/>
  <c r="K71" i="44"/>
  <c r="K65" i="44"/>
  <c r="P47" i="44"/>
  <c r="M627" i="44"/>
  <c r="K1183" i="44" s="1"/>
  <c r="Z29" i="44"/>
  <c r="Z609" i="44" s="1"/>
  <c r="Y29" i="44"/>
  <c r="Y609" i="44" s="1"/>
  <c r="X609" i="44"/>
  <c r="Z335" i="44"/>
  <c r="Z915" i="44" s="1"/>
  <c r="Y335" i="44"/>
  <c r="Y915" i="44" s="1"/>
  <c r="X915" i="44"/>
  <c r="Q1186" i="44"/>
  <c r="Y336" i="44"/>
  <c r="Y916" i="44" s="1"/>
  <c r="Z336" i="44"/>
  <c r="Z916" i="44" s="1"/>
  <c r="X916" i="44"/>
  <c r="Z321" i="44"/>
  <c r="Z901" i="44" s="1"/>
  <c r="Y321" i="44"/>
  <c r="Y901" i="44" s="1"/>
  <c r="X901" i="44"/>
  <c r="J1175" i="44"/>
  <c r="K330" i="44"/>
  <c r="K337" i="44"/>
  <c r="K47" i="44"/>
  <c r="K41" i="44"/>
  <c r="P309" i="44"/>
  <c r="S584" i="44"/>
  <c r="Q1164" i="44" s="1"/>
  <c r="E1176" i="44"/>
  <c r="G584" i="44"/>
  <c r="E1164" i="44" s="1"/>
  <c r="F1187" i="44"/>
  <c r="J1173" i="44"/>
  <c r="F1185" i="44"/>
  <c r="K1172" i="44"/>
  <c r="L1172" i="44"/>
  <c r="G1184" i="44"/>
  <c r="R1170" i="44"/>
  <c r="S1170" i="44"/>
  <c r="J1183" i="44"/>
  <c r="P22" i="44"/>
  <c r="Z10" i="44"/>
  <c r="Z590" i="44" s="1"/>
  <c r="Y10" i="44"/>
  <c r="Y590" i="44" s="1"/>
  <c r="W1170" i="44" s="1"/>
  <c r="X590" i="44"/>
  <c r="V1170" i="44" s="1"/>
  <c r="E1181" i="44"/>
  <c r="F1169" i="44"/>
  <c r="P308" i="44"/>
  <c r="L888" i="44"/>
  <c r="J1180" i="44" s="1"/>
  <c r="Z304" i="44"/>
  <c r="Z884" i="44" s="1"/>
  <c r="Y304" i="44"/>
  <c r="Y884" i="44" s="1"/>
  <c r="X884" i="44"/>
  <c r="U1172" i="44"/>
  <c r="E1165" i="44"/>
  <c r="U1170" i="44"/>
  <c r="G1176" i="44"/>
  <c r="P1182" i="44"/>
  <c r="F1167" i="44"/>
  <c r="J1178" i="44"/>
  <c r="R1187" i="44"/>
  <c r="R1184" i="44"/>
  <c r="K315" i="44"/>
  <c r="K294" i="44"/>
  <c r="K11" i="44"/>
  <c r="K17" i="44"/>
  <c r="Y149" i="44"/>
  <c r="Y729" i="44" s="1"/>
  <c r="Z149" i="44"/>
  <c r="Z729" i="44" s="1"/>
  <c r="X729" i="44"/>
  <c r="P148" i="44"/>
  <c r="L728" i="44"/>
  <c r="Z157" i="44"/>
  <c r="Z737" i="44" s="1"/>
  <c r="Y157" i="44"/>
  <c r="Y737" i="44" s="1"/>
  <c r="X737" i="44"/>
  <c r="Z148" i="44"/>
  <c r="Z728" i="44" s="1"/>
  <c r="Y148" i="44"/>
  <c r="Y728" i="44" s="1"/>
  <c r="X728" i="44"/>
  <c r="P159" i="44"/>
  <c r="M739" i="44"/>
  <c r="K1223" i="44" s="1"/>
  <c r="U1213" i="44"/>
  <c r="Z455" i="44"/>
  <c r="Z1035" i="44" s="1"/>
  <c r="Y455" i="44"/>
  <c r="Y1035" i="44" s="1"/>
  <c r="X1035" i="44"/>
  <c r="L1221" i="44"/>
  <c r="P442" i="44"/>
  <c r="L1022" i="44"/>
  <c r="Z452" i="44"/>
  <c r="Z1032" i="44" s="1"/>
  <c r="Y452" i="44"/>
  <c r="Y1032" i="44" s="1"/>
  <c r="X1032" i="44"/>
  <c r="T1216" i="44"/>
  <c r="Q1223" i="44"/>
  <c r="P456" i="44"/>
  <c r="M1036" i="44"/>
  <c r="K1232" i="44" s="1"/>
  <c r="D1222" i="44"/>
  <c r="Z441" i="44"/>
  <c r="Z1021" i="44" s="1"/>
  <c r="Y441" i="44"/>
  <c r="Y1021" i="44" s="1"/>
  <c r="X1021" i="44"/>
  <c r="T1227" i="44"/>
  <c r="U1223" i="44"/>
  <c r="K458" i="44"/>
  <c r="K454" i="44"/>
  <c r="K158" i="44"/>
  <c r="K161" i="44"/>
  <c r="P274" i="44"/>
  <c r="L854" i="44"/>
  <c r="Y291" i="44"/>
  <c r="Y871" i="44" s="1"/>
  <c r="Z291" i="44"/>
  <c r="Z871" i="44" s="1"/>
  <c r="X871" i="44"/>
  <c r="P287" i="44"/>
  <c r="L867" i="44"/>
  <c r="K277" i="44"/>
  <c r="P559" i="44"/>
  <c r="L1139" i="44"/>
  <c r="Z561" i="44"/>
  <c r="Z1141" i="44" s="1"/>
  <c r="Y561" i="44"/>
  <c r="Y1141" i="44" s="1"/>
  <c r="X1141" i="44"/>
  <c r="D1174" i="44"/>
  <c r="P569" i="44"/>
  <c r="M1149" i="44"/>
  <c r="K1177" i="44" s="1"/>
  <c r="Y571" i="44"/>
  <c r="Y1151" i="44" s="1"/>
  <c r="Z571" i="44"/>
  <c r="Z1151" i="44" s="1"/>
  <c r="X1151" i="44"/>
  <c r="K285" i="44"/>
  <c r="P575" i="44"/>
  <c r="N1155" i="44"/>
  <c r="Z567" i="44"/>
  <c r="Z1147" i="44" s="1"/>
  <c r="Y567" i="44"/>
  <c r="Y1147" i="44" s="1"/>
  <c r="X1147" i="44"/>
  <c r="Z577" i="44"/>
  <c r="Z1157" i="44" s="1"/>
  <c r="Y577" i="44"/>
  <c r="Y1157" i="44" s="1"/>
  <c r="X1157" i="44"/>
  <c r="P570" i="44"/>
  <c r="N1150" i="44"/>
  <c r="L1178" i="44" s="1"/>
  <c r="K572" i="44"/>
  <c r="F1172" i="44"/>
  <c r="Y573" i="44"/>
  <c r="Y1153" i="44" s="1"/>
  <c r="Z573" i="44"/>
  <c r="Z1153" i="44" s="1"/>
  <c r="X1153" i="44"/>
  <c r="P249" i="44"/>
  <c r="P266" i="44"/>
  <c r="L846" i="44"/>
  <c r="P247" i="44"/>
  <c r="P261" i="44"/>
  <c r="L841" i="44"/>
  <c r="J1181" i="44" s="1"/>
  <c r="P536" i="44"/>
  <c r="Z536" i="44"/>
  <c r="Z1116" i="44" s="1"/>
  <c r="Y536" i="44"/>
  <c r="Y1116" i="44" s="1"/>
  <c r="X1116" i="44"/>
  <c r="K544" i="44"/>
  <c r="K256" i="44"/>
  <c r="P550" i="44"/>
  <c r="L1130" i="44"/>
  <c r="J1182" i="44" s="1"/>
  <c r="K257" i="44"/>
  <c r="Z235" i="44"/>
  <c r="Z815" i="44" s="1"/>
  <c r="Y235" i="44"/>
  <c r="Y815" i="44" s="1"/>
  <c r="X815" i="44"/>
  <c r="Y231" i="44"/>
  <c r="Y811" i="44" s="1"/>
  <c r="Z231" i="44"/>
  <c r="Z811" i="44" s="1"/>
  <c r="X811" i="44"/>
  <c r="P229" i="44"/>
  <c r="L809" i="44"/>
  <c r="P1241" i="44"/>
  <c r="Y516" i="44"/>
  <c r="Y1096" i="44" s="1"/>
  <c r="Z516" i="44"/>
  <c r="Z1096" i="44" s="1"/>
  <c r="X1096" i="44"/>
  <c r="R1241" i="44"/>
  <c r="S1251" i="44"/>
  <c r="L1238" i="44"/>
  <c r="G1240" i="44"/>
  <c r="Z518" i="44"/>
  <c r="Z1098" i="44" s="1"/>
  <c r="Y518" i="44"/>
  <c r="Y1098" i="44" s="1"/>
  <c r="X1098" i="44"/>
  <c r="L1241" i="44"/>
  <c r="P523" i="44"/>
  <c r="K509" i="44"/>
  <c r="K517" i="44"/>
  <c r="K513" i="44"/>
  <c r="K228" i="44"/>
  <c r="Q491" i="44"/>
  <c r="Q1071" i="44" s="1"/>
  <c r="O491" i="44"/>
  <c r="O1071" i="44" s="1"/>
  <c r="P1071" i="44"/>
  <c r="P1252" i="44"/>
  <c r="E1249" i="44"/>
  <c r="P207" i="44"/>
  <c r="L787" i="44"/>
  <c r="J1247" i="44" s="1"/>
  <c r="J1258" i="44"/>
  <c r="T1244" i="44"/>
  <c r="P1256" i="44"/>
  <c r="Z212" i="44"/>
  <c r="Z792" i="44" s="1"/>
  <c r="Y212" i="44"/>
  <c r="Y792" i="44" s="1"/>
  <c r="X792" i="44"/>
  <c r="P199" i="44"/>
  <c r="S1246" i="44"/>
  <c r="S1257" i="44"/>
  <c r="F1245" i="44"/>
  <c r="Z215" i="44"/>
  <c r="Z795" i="44" s="1"/>
  <c r="X1255" i="44" s="1"/>
  <c r="Y215" i="44"/>
  <c r="Y795" i="44" s="1"/>
  <c r="X795" i="44"/>
  <c r="U1239" i="44"/>
  <c r="G1255" i="44"/>
  <c r="G1236" i="44"/>
  <c r="D1239" i="44"/>
  <c r="L1250" i="44"/>
  <c r="P500" i="44"/>
  <c r="T1242" i="44"/>
  <c r="Z505" i="44"/>
  <c r="Z1085" i="44" s="1"/>
  <c r="Y505" i="44"/>
  <c r="Y1085" i="44" s="1"/>
  <c r="W1257" i="44" s="1"/>
  <c r="X1085" i="44"/>
  <c r="T1246" i="44"/>
  <c r="T1248" i="44"/>
  <c r="P487" i="44"/>
  <c r="N1067" i="44"/>
  <c r="L1239" i="44" s="1"/>
  <c r="U1250" i="44"/>
  <c r="J1243" i="44"/>
  <c r="Q1256" i="44"/>
  <c r="P503" i="44"/>
  <c r="N1083" i="44"/>
  <c r="L1255" i="44" s="1"/>
  <c r="L1257" i="44"/>
  <c r="E1256" i="44"/>
  <c r="F1252" i="44"/>
  <c r="K496" i="44"/>
  <c r="K492" i="44"/>
  <c r="K487" i="44"/>
  <c r="Q474" i="44"/>
  <c r="Q1054" i="44" s="1"/>
  <c r="O474" i="44"/>
  <c r="O1054" i="44" s="1"/>
  <c r="P1054" i="44"/>
  <c r="P176" i="44"/>
  <c r="Z186" i="44"/>
  <c r="Z766" i="44" s="1"/>
  <c r="Y186" i="44"/>
  <c r="Y766" i="44" s="1"/>
  <c r="X766" i="44"/>
  <c r="P194" i="44"/>
  <c r="M774" i="44"/>
  <c r="K1234" i="44" s="1"/>
  <c r="P180" i="44"/>
  <c r="L760" i="44"/>
  <c r="J1220" i="44" s="1"/>
  <c r="Z190" i="44"/>
  <c r="Z770" i="44" s="1"/>
  <c r="Y190" i="44"/>
  <c r="Y770" i="44" s="1"/>
  <c r="X770" i="44"/>
  <c r="Z476" i="44"/>
  <c r="Z1056" i="44" s="1"/>
  <c r="Y476" i="44"/>
  <c r="Y1056" i="44" s="1"/>
  <c r="X1056" i="44"/>
  <c r="Q465" i="44"/>
  <c r="Q1045" i="44" s="1"/>
  <c r="O465" i="44"/>
  <c r="O1045" i="44" s="1"/>
  <c r="P1045" i="44"/>
  <c r="Z468" i="44"/>
  <c r="Z1048" i="44" s="1"/>
  <c r="Y468" i="44"/>
  <c r="Y1048" i="44" s="1"/>
  <c r="X1048" i="44"/>
  <c r="Z470" i="44"/>
  <c r="Z1050" i="44" s="1"/>
  <c r="Y470" i="44"/>
  <c r="Y1050" i="44" s="1"/>
  <c r="X1050" i="44"/>
  <c r="J1232" i="44"/>
  <c r="K482" i="44"/>
  <c r="K466" i="44"/>
  <c r="K462" i="44"/>
  <c r="K187" i="44"/>
  <c r="P128" i="44"/>
  <c r="S1228" i="44"/>
  <c r="D1219" i="44"/>
  <c r="Z140" i="44"/>
  <c r="Z720" i="44" s="1"/>
  <c r="X1228" i="44" s="1"/>
  <c r="Y140" i="44"/>
  <c r="Y720" i="44" s="1"/>
  <c r="W1228" i="44" s="1"/>
  <c r="X720" i="44"/>
  <c r="L1216" i="44"/>
  <c r="J1227" i="44"/>
  <c r="R1214" i="44"/>
  <c r="T1222" i="44"/>
  <c r="J1221" i="44"/>
  <c r="Z143" i="44"/>
  <c r="Z723" i="44" s="1"/>
  <c r="X1231" i="44" s="1"/>
  <c r="Y143" i="44"/>
  <c r="Y723" i="44" s="1"/>
  <c r="X723" i="44"/>
  <c r="V1231" i="44" s="1"/>
  <c r="Q1218" i="44"/>
  <c r="K1229" i="44"/>
  <c r="Z136" i="44"/>
  <c r="Z716" i="44" s="1"/>
  <c r="X1224" i="44" s="1"/>
  <c r="Y136" i="44"/>
  <c r="Y716" i="44" s="1"/>
  <c r="W1224" i="44" s="1"/>
  <c r="X716" i="44"/>
  <c r="U1235" i="44"/>
  <c r="F1233" i="44"/>
  <c r="P141" i="44"/>
  <c r="L721" i="44"/>
  <c r="J1229" i="44" s="1"/>
  <c r="Y414" i="44"/>
  <c r="Y994" i="44" s="1"/>
  <c r="Z414" i="44"/>
  <c r="Z994" i="44" s="1"/>
  <c r="X1214" i="44" s="1"/>
  <c r="X994" i="44"/>
  <c r="G1213" i="44"/>
  <c r="L1232" i="44"/>
  <c r="U1229" i="44"/>
  <c r="G1217" i="44"/>
  <c r="P426" i="44"/>
  <c r="L1006" i="44"/>
  <c r="J1226" i="44" s="1"/>
  <c r="S1213" i="44"/>
  <c r="L1225" i="44"/>
  <c r="Z422" i="44"/>
  <c r="Z1002" i="44" s="1"/>
  <c r="Y422" i="44"/>
  <c r="Y1002" i="44" s="1"/>
  <c r="X1002" i="44"/>
  <c r="V1222" i="44" s="1"/>
  <c r="U1233" i="44"/>
  <c r="E1222" i="44"/>
  <c r="R1229" i="44"/>
  <c r="P1234" i="44"/>
  <c r="K417" i="44"/>
  <c r="K424" i="44"/>
  <c r="K143" i="44"/>
  <c r="K147" i="44"/>
  <c r="J584" i="44"/>
  <c r="K584" i="44"/>
  <c r="Y4" i="44"/>
  <c r="Y584" i="44" s="1"/>
  <c r="W1164" i="44" s="1"/>
  <c r="J509" i="44" l="1"/>
  <c r="J1089" i="44" s="1"/>
  <c r="K1089" i="44"/>
  <c r="J256" i="44"/>
  <c r="J836" i="44" s="1"/>
  <c r="K836" i="44"/>
  <c r="J458" i="44"/>
  <c r="J1038" i="44" s="1"/>
  <c r="K1038" i="44"/>
  <c r="Q194" i="44"/>
  <c r="Q774" i="44" s="1"/>
  <c r="O194" i="44"/>
  <c r="O774" i="44" s="1"/>
  <c r="P774" i="44"/>
  <c r="J277" i="44"/>
  <c r="J857" i="44" s="1"/>
  <c r="K857" i="44"/>
  <c r="J337" i="44"/>
  <c r="J917" i="44" s="1"/>
  <c r="K917" i="44"/>
  <c r="J132" i="44"/>
  <c r="J712" i="44" s="1"/>
  <c r="K712" i="44"/>
  <c r="J504" i="44"/>
  <c r="J1084" i="44" s="1"/>
  <c r="K1084" i="44"/>
  <c r="J529" i="44"/>
  <c r="J1109" i="44" s="1"/>
  <c r="K1109" i="44"/>
  <c r="Q234" i="44"/>
  <c r="Q814" i="44" s="1"/>
  <c r="O234" i="44"/>
  <c r="O814" i="44" s="1"/>
  <c r="P814" i="44"/>
  <c r="J541" i="44"/>
  <c r="J1121" i="44" s="1"/>
  <c r="K1121" i="44"/>
  <c r="J557" i="44"/>
  <c r="J1137" i="44" s="1"/>
  <c r="K1137" i="44"/>
  <c r="V1221" i="44"/>
  <c r="Q170" i="44"/>
  <c r="Q750" i="44" s="1"/>
  <c r="O170" i="44"/>
  <c r="O750" i="44" s="1"/>
  <c r="P750" i="44"/>
  <c r="J301" i="44"/>
  <c r="J881" i="44" s="1"/>
  <c r="K881" i="44"/>
  <c r="X1169" i="44"/>
  <c r="Q295" i="44"/>
  <c r="Q875" i="44" s="1"/>
  <c r="O295" i="44"/>
  <c r="O875" i="44" s="1"/>
  <c r="P875" i="44"/>
  <c r="J186" i="44"/>
  <c r="J766" i="44" s="1"/>
  <c r="K766" i="44"/>
  <c r="J213" i="44"/>
  <c r="J793" i="44" s="1"/>
  <c r="K793" i="44"/>
  <c r="J231" i="44"/>
  <c r="J811" i="44" s="1"/>
  <c r="K811" i="44"/>
  <c r="Q564" i="44"/>
  <c r="Q1144" i="44" s="1"/>
  <c r="O564" i="44"/>
  <c r="O1144" i="44" s="1"/>
  <c r="P1144" i="44"/>
  <c r="Q169" i="44"/>
  <c r="Q749" i="44" s="1"/>
  <c r="O169" i="44"/>
  <c r="O749" i="44" s="1"/>
  <c r="P749" i="44"/>
  <c r="J303" i="44"/>
  <c r="J883" i="44" s="1"/>
  <c r="K883" i="44"/>
  <c r="W1199" i="44"/>
  <c r="Q115" i="44"/>
  <c r="Q695" i="44" s="1"/>
  <c r="O115" i="44"/>
  <c r="O695" i="44" s="1"/>
  <c r="P695" i="44"/>
  <c r="Q91" i="44"/>
  <c r="Q671" i="44" s="1"/>
  <c r="O91" i="44"/>
  <c r="O671" i="44" s="1"/>
  <c r="P671" i="44"/>
  <c r="Q414" i="44"/>
  <c r="Q994" i="44" s="1"/>
  <c r="O414" i="44"/>
  <c r="O994" i="44" s="1"/>
  <c r="P994" i="44"/>
  <c r="Q497" i="44"/>
  <c r="Q1077" i="44" s="1"/>
  <c r="O497" i="44"/>
  <c r="O1077" i="44" s="1"/>
  <c r="P1077" i="44"/>
  <c r="O257" i="44"/>
  <c r="O837" i="44" s="1"/>
  <c r="Q257" i="44"/>
  <c r="Q837" i="44" s="1"/>
  <c r="P837" i="44"/>
  <c r="Q315" i="44"/>
  <c r="Q895" i="44" s="1"/>
  <c r="O315" i="44"/>
  <c r="O895" i="44" s="1"/>
  <c r="P895" i="44"/>
  <c r="J37" i="44"/>
  <c r="J617" i="44" s="1"/>
  <c r="K617" i="44"/>
  <c r="J415" i="44"/>
  <c r="J995" i="44" s="1"/>
  <c r="K995" i="44"/>
  <c r="J219" i="44"/>
  <c r="J799" i="44" s="1"/>
  <c r="K799" i="44"/>
  <c r="J30" i="44"/>
  <c r="J610" i="44" s="1"/>
  <c r="K610" i="44"/>
  <c r="Q38" i="44"/>
  <c r="Q618" i="44" s="1"/>
  <c r="O38" i="44"/>
  <c r="O618" i="44" s="1"/>
  <c r="P618" i="44"/>
  <c r="W1192" i="44"/>
  <c r="Q147" i="44"/>
  <c r="Q727" i="44" s="1"/>
  <c r="O147" i="44"/>
  <c r="O727" i="44" s="1"/>
  <c r="P727" i="44"/>
  <c r="J506" i="44"/>
  <c r="J1086" i="44" s="1"/>
  <c r="K1086" i="44"/>
  <c r="W1244" i="44"/>
  <c r="Q224" i="44"/>
  <c r="Q804" i="44" s="1"/>
  <c r="O224" i="44"/>
  <c r="O804" i="44" s="1"/>
  <c r="P804" i="44"/>
  <c r="Q572" i="44"/>
  <c r="Q1152" i="44" s="1"/>
  <c r="O572" i="44"/>
  <c r="O1152" i="44" s="1"/>
  <c r="P1152" i="44"/>
  <c r="J476" i="44"/>
  <c r="J1056" i="44" s="1"/>
  <c r="K1056" i="44"/>
  <c r="W1246" i="44"/>
  <c r="Q198" i="44"/>
  <c r="Q778" i="44" s="1"/>
  <c r="O198" i="44"/>
  <c r="O778" i="44" s="1"/>
  <c r="P778" i="44"/>
  <c r="J235" i="44"/>
  <c r="J815" i="44" s="1"/>
  <c r="K815" i="44"/>
  <c r="O487" i="44"/>
  <c r="O1067" i="44" s="1"/>
  <c r="Q487" i="44"/>
  <c r="Q1067" i="44" s="1"/>
  <c r="P1067" i="44"/>
  <c r="Q22" i="44"/>
  <c r="Q602" i="44" s="1"/>
  <c r="O22" i="44"/>
  <c r="O602" i="44" s="1"/>
  <c r="P602" i="44"/>
  <c r="O523" i="44"/>
  <c r="O1103" i="44" s="1"/>
  <c r="Q523" i="44"/>
  <c r="Q1103" i="44" s="1"/>
  <c r="P1103" i="44"/>
  <c r="J454" i="44"/>
  <c r="J1034" i="44" s="1"/>
  <c r="K1034" i="44"/>
  <c r="O559" i="44"/>
  <c r="O1139" i="44" s="1"/>
  <c r="Q559" i="44"/>
  <c r="Q1139" i="44" s="1"/>
  <c r="P1139" i="44"/>
  <c r="Q128" i="44"/>
  <c r="Q708" i="44" s="1"/>
  <c r="O128" i="44"/>
  <c r="O708" i="44" s="1"/>
  <c r="P708" i="44"/>
  <c r="J285" i="44"/>
  <c r="J865" i="44" s="1"/>
  <c r="K865" i="44"/>
  <c r="J315" i="44"/>
  <c r="J895" i="44" s="1"/>
  <c r="K895" i="44"/>
  <c r="J187" i="44"/>
  <c r="J767" i="44" s="1"/>
  <c r="K767" i="44"/>
  <c r="J330" i="44"/>
  <c r="J910" i="44" s="1"/>
  <c r="K910" i="44"/>
  <c r="E1294" i="44"/>
  <c r="J138" i="44"/>
  <c r="J718" i="44" s="1"/>
  <c r="K718" i="44"/>
  <c r="J202" i="44"/>
  <c r="J782" i="44" s="1"/>
  <c r="K782" i="44"/>
  <c r="O212" i="44"/>
  <c r="O792" i="44" s="1"/>
  <c r="Q212" i="44"/>
  <c r="Q792" i="44" s="1"/>
  <c r="P792" i="44"/>
  <c r="X1221" i="44"/>
  <c r="J31" i="44"/>
  <c r="J611" i="44" s="1"/>
  <c r="K611" i="44"/>
  <c r="Q409" i="44"/>
  <c r="Q989" i="44" s="1"/>
  <c r="O409" i="44"/>
  <c r="O989" i="44" s="1"/>
  <c r="P989" i="44"/>
  <c r="Q98" i="44"/>
  <c r="Q678" i="44" s="1"/>
  <c r="O98" i="44"/>
  <c r="O678" i="44" s="1"/>
  <c r="P678" i="44"/>
  <c r="J483" i="44"/>
  <c r="J1063" i="44" s="1"/>
  <c r="K1063" i="44"/>
  <c r="O477" i="44"/>
  <c r="O1057" i="44" s="1"/>
  <c r="Q477" i="44"/>
  <c r="Q1057" i="44" s="1"/>
  <c r="P1057" i="44"/>
  <c r="J493" i="44"/>
  <c r="J1073" i="44" s="1"/>
  <c r="K1073" i="44"/>
  <c r="O498" i="44"/>
  <c r="O1078" i="44" s="1"/>
  <c r="Q498" i="44"/>
  <c r="Q1078" i="44" s="1"/>
  <c r="P1078" i="44"/>
  <c r="J229" i="44"/>
  <c r="J809" i="44" s="1"/>
  <c r="K809" i="44"/>
  <c r="J288" i="44"/>
  <c r="J868" i="44" s="1"/>
  <c r="K868" i="44"/>
  <c r="Q298" i="44"/>
  <c r="Q878" i="44" s="1"/>
  <c r="O298" i="44"/>
  <c r="O878" i="44" s="1"/>
  <c r="P878" i="44"/>
  <c r="O324" i="44"/>
  <c r="O904" i="44" s="1"/>
  <c r="Q324" i="44"/>
  <c r="Q904" i="44" s="1"/>
  <c r="P904" i="44"/>
  <c r="V1198" i="44"/>
  <c r="X1199" i="44"/>
  <c r="J127" i="44"/>
  <c r="J707" i="44" s="1"/>
  <c r="K707" i="44"/>
  <c r="Q188" i="44"/>
  <c r="Q768" i="44" s="1"/>
  <c r="O188" i="44"/>
  <c r="O768" i="44" s="1"/>
  <c r="P768" i="44"/>
  <c r="O218" i="44"/>
  <c r="O798" i="44" s="1"/>
  <c r="Q218" i="44"/>
  <c r="Q798" i="44" s="1"/>
  <c r="P798" i="44"/>
  <c r="Q522" i="44"/>
  <c r="Q1102" i="44" s="1"/>
  <c r="O522" i="44"/>
  <c r="O1102" i="44" s="1"/>
  <c r="P1102" i="44"/>
  <c r="J566" i="44"/>
  <c r="J1146" i="44" s="1"/>
  <c r="K1146" i="44"/>
  <c r="O444" i="44"/>
  <c r="O1024" i="44" s="1"/>
  <c r="Q444" i="44"/>
  <c r="Q1024" i="44" s="1"/>
  <c r="P1024" i="44"/>
  <c r="W1182" i="44"/>
  <c r="J28" i="44"/>
  <c r="J608" i="44" s="1"/>
  <c r="K608" i="44"/>
  <c r="J533" i="44"/>
  <c r="J1113" i="44" s="1"/>
  <c r="K1113" i="44"/>
  <c r="Q154" i="44"/>
  <c r="Q734" i="44" s="1"/>
  <c r="O154" i="44"/>
  <c r="O734" i="44" s="1"/>
  <c r="P734" i="44"/>
  <c r="Q53" i="44"/>
  <c r="Q633" i="44" s="1"/>
  <c r="O53" i="44"/>
  <c r="O633" i="44" s="1"/>
  <c r="P633" i="44"/>
  <c r="Q527" i="44"/>
  <c r="Q1107" i="44" s="1"/>
  <c r="O527" i="44"/>
  <c r="O1107" i="44" s="1"/>
  <c r="P1107" i="44"/>
  <c r="X1177" i="44"/>
  <c r="J320" i="44"/>
  <c r="J900" i="44" s="1"/>
  <c r="K900" i="44"/>
  <c r="Q43" i="44"/>
  <c r="Q623" i="44" s="1"/>
  <c r="O43" i="44"/>
  <c r="O623" i="44" s="1"/>
  <c r="P623" i="44"/>
  <c r="Q478" i="44"/>
  <c r="Q1058" i="44" s="1"/>
  <c r="O478" i="44"/>
  <c r="O1058" i="44" s="1"/>
  <c r="P1058" i="44"/>
  <c r="Q501" i="44"/>
  <c r="Q1081" i="44" s="1"/>
  <c r="O501" i="44"/>
  <c r="O1081" i="44" s="1"/>
  <c r="P1081" i="44"/>
  <c r="X1244" i="44"/>
  <c r="J1255" i="44"/>
  <c r="Q457" i="44"/>
  <c r="Q1037" i="44" s="1"/>
  <c r="O457" i="44"/>
  <c r="O1037" i="44" s="1"/>
  <c r="P1037" i="44"/>
  <c r="J294" i="44"/>
  <c r="J874" i="44" s="1"/>
  <c r="K874" i="44"/>
  <c r="O287" i="44"/>
  <c r="O867" i="44" s="1"/>
  <c r="Q287" i="44"/>
  <c r="Q867" i="44" s="1"/>
  <c r="P867" i="44"/>
  <c r="O308" i="44"/>
  <c r="O888" i="44" s="1"/>
  <c r="Q308" i="44"/>
  <c r="Q888" i="44" s="1"/>
  <c r="P888" i="44"/>
  <c r="J431" i="44"/>
  <c r="J1011" i="44" s="1"/>
  <c r="K1011" i="44"/>
  <c r="Q124" i="44"/>
  <c r="Q704" i="44" s="1"/>
  <c r="O124" i="44"/>
  <c r="O704" i="44" s="1"/>
  <c r="P704" i="44"/>
  <c r="Q239" i="44"/>
  <c r="Q819" i="44" s="1"/>
  <c r="O239" i="44"/>
  <c r="O819" i="44" s="1"/>
  <c r="P819" i="44"/>
  <c r="W1221" i="44"/>
  <c r="Q158" i="44"/>
  <c r="Q738" i="44" s="1"/>
  <c r="O158" i="44"/>
  <c r="O738" i="44" s="1"/>
  <c r="P738" i="44"/>
  <c r="J36" i="44"/>
  <c r="J616" i="44" s="1"/>
  <c r="K616" i="44"/>
  <c r="Q389" i="44"/>
  <c r="Q969" i="44" s="1"/>
  <c r="O389" i="44"/>
  <c r="O969" i="44" s="1"/>
  <c r="P969" i="44"/>
  <c r="J137" i="44"/>
  <c r="J717" i="44" s="1"/>
  <c r="K717" i="44"/>
  <c r="O424" i="44"/>
  <c r="O1004" i="44" s="1"/>
  <c r="Q424" i="44"/>
  <c r="Q1004" i="44" s="1"/>
  <c r="P1004" i="44"/>
  <c r="J485" i="44"/>
  <c r="J1065" i="44" s="1"/>
  <c r="K1065" i="44"/>
  <c r="J220" i="44"/>
  <c r="J800" i="44" s="1"/>
  <c r="K800" i="44"/>
  <c r="J569" i="44"/>
  <c r="J1149" i="44" s="1"/>
  <c r="K1149" i="44"/>
  <c r="Q157" i="44"/>
  <c r="Q737" i="44" s="1"/>
  <c r="O157" i="44"/>
  <c r="O737" i="44" s="1"/>
  <c r="P737" i="44"/>
  <c r="O301" i="44"/>
  <c r="O881" i="44" s="1"/>
  <c r="Q301" i="44"/>
  <c r="Q881" i="44" s="1"/>
  <c r="P881" i="44"/>
  <c r="Q299" i="44"/>
  <c r="Q879" i="44" s="1"/>
  <c r="O299" i="44"/>
  <c r="O879" i="44" s="1"/>
  <c r="P879" i="44"/>
  <c r="J43" i="44"/>
  <c r="J623" i="44" s="1"/>
  <c r="K623" i="44"/>
  <c r="Q44" i="44"/>
  <c r="Q624" i="44" s="1"/>
  <c r="O44" i="44"/>
  <c r="O624" i="44" s="1"/>
  <c r="P624" i="44"/>
  <c r="Q56" i="44"/>
  <c r="Q636" i="44" s="1"/>
  <c r="O56" i="44"/>
  <c r="O636" i="44" s="1"/>
  <c r="P636" i="44"/>
  <c r="J133" i="44"/>
  <c r="J713" i="44" s="1"/>
  <c r="K713" i="44"/>
  <c r="O431" i="44"/>
  <c r="O1011" i="44" s="1"/>
  <c r="Q431" i="44"/>
  <c r="Q1011" i="44" s="1"/>
  <c r="P1011" i="44"/>
  <c r="W1223" i="44"/>
  <c r="J249" i="44"/>
  <c r="J829" i="44" s="1"/>
  <c r="K829" i="44"/>
  <c r="O265" i="44"/>
  <c r="O845" i="44" s="1"/>
  <c r="Q265" i="44"/>
  <c r="Q845" i="44" s="1"/>
  <c r="P845" i="44"/>
  <c r="X1182" i="44"/>
  <c r="J318" i="44"/>
  <c r="J898" i="44" s="1"/>
  <c r="K898" i="44"/>
  <c r="J1248" i="44"/>
  <c r="J426" i="44"/>
  <c r="J1006" i="44" s="1"/>
  <c r="K1006" i="44"/>
  <c r="J214" i="44"/>
  <c r="J794" i="44" s="1"/>
  <c r="K794" i="44"/>
  <c r="J265" i="44"/>
  <c r="J845" i="44" s="1"/>
  <c r="K845" i="44"/>
  <c r="Q452" i="44"/>
  <c r="Q1032" i="44" s="1"/>
  <c r="O452" i="44"/>
  <c r="O1032" i="44" s="1"/>
  <c r="P1032" i="44"/>
  <c r="V1182" i="44"/>
  <c r="Q215" i="44"/>
  <c r="Q795" i="44" s="1"/>
  <c r="O215" i="44"/>
  <c r="O795" i="44" s="1"/>
  <c r="P795" i="44"/>
  <c r="O521" i="44"/>
  <c r="O1101" i="44" s="1"/>
  <c r="Q521" i="44"/>
  <c r="Q1101" i="44" s="1"/>
  <c r="P1101" i="44"/>
  <c r="Q166" i="44"/>
  <c r="Q746" i="44" s="1"/>
  <c r="O166" i="44"/>
  <c r="O746" i="44" s="1"/>
  <c r="P746" i="44"/>
  <c r="E1290" i="44"/>
  <c r="O41" i="44"/>
  <c r="O621" i="44" s="1"/>
  <c r="Q41" i="44"/>
  <c r="Q621" i="44" s="1"/>
  <c r="P621" i="44"/>
  <c r="J158" i="44"/>
  <c r="J738" i="44" s="1"/>
  <c r="K738" i="44"/>
  <c r="Q575" i="44"/>
  <c r="Q1155" i="44" s="1"/>
  <c r="O575" i="44"/>
  <c r="O1155" i="44" s="1"/>
  <c r="P1155" i="44"/>
  <c r="Q442" i="44"/>
  <c r="Q1022" i="44" s="1"/>
  <c r="O442" i="44"/>
  <c r="O1022" i="44" s="1"/>
  <c r="P1022" i="44"/>
  <c r="Q141" i="44"/>
  <c r="Q721" i="44" s="1"/>
  <c r="O141" i="44"/>
  <c r="O721" i="44" s="1"/>
  <c r="P721" i="44"/>
  <c r="J466" i="44"/>
  <c r="J1046" i="44" s="1"/>
  <c r="K1046" i="44"/>
  <c r="O503" i="44"/>
  <c r="O1083" i="44" s="1"/>
  <c r="Q503" i="44"/>
  <c r="Q1083" i="44" s="1"/>
  <c r="P1083" i="44"/>
  <c r="Q500" i="44"/>
  <c r="Q1080" i="44" s="1"/>
  <c r="O500" i="44"/>
  <c r="O1080" i="44" s="1"/>
  <c r="P1080" i="44"/>
  <c r="O199" i="44"/>
  <c r="O779" i="44" s="1"/>
  <c r="Q199" i="44"/>
  <c r="Q779" i="44" s="1"/>
  <c r="P779" i="44"/>
  <c r="Q570" i="44"/>
  <c r="Q1150" i="44" s="1"/>
  <c r="O570" i="44"/>
  <c r="O1150" i="44" s="1"/>
  <c r="P1150" i="44"/>
  <c r="V1214" i="44"/>
  <c r="Q21" i="44"/>
  <c r="Q601" i="44" s="1"/>
  <c r="O21" i="44"/>
  <c r="O601" i="44" s="1"/>
  <c r="P601" i="44"/>
  <c r="J324" i="44"/>
  <c r="J904" i="44" s="1"/>
  <c r="K904" i="44"/>
  <c r="V1204" i="44"/>
  <c r="J144" i="44"/>
  <c r="J724" i="44" s="1"/>
  <c r="K724" i="44"/>
  <c r="J1231" i="44"/>
  <c r="Q179" i="44"/>
  <c r="Q759" i="44" s="1"/>
  <c r="O179" i="44"/>
  <c r="O759" i="44" s="1"/>
  <c r="P759" i="44"/>
  <c r="V1248" i="44"/>
  <c r="J232" i="44"/>
  <c r="J812" i="44" s="1"/>
  <c r="K812" i="44"/>
  <c r="J259" i="44"/>
  <c r="J839" i="44" s="1"/>
  <c r="K839" i="44"/>
  <c r="O459" i="44"/>
  <c r="O1039" i="44" s="1"/>
  <c r="Q459" i="44"/>
  <c r="Q1039" i="44" s="1"/>
  <c r="P1039" i="44"/>
  <c r="J48" i="44"/>
  <c r="J628" i="44" s="1"/>
  <c r="K628" i="44"/>
  <c r="V1195" i="44"/>
  <c r="J105" i="44"/>
  <c r="J685" i="44" s="1"/>
  <c r="K685" i="44"/>
  <c r="Q406" i="44"/>
  <c r="Q986" i="44" s="1"/>
  <c r="O406" i="44"/>
  <c r="O986" i="44" s="1"/>
  <c r="P986" i="44"/>
  <c r="J141" i="44"/>
  <c r="J721" i="44" s="1"/>
  <c r="K721" i="44"/>
  <c r="Q421" i="44"/>
  <c r="Q1001" i="44" s="1"/>
  <c r="O421" i="44"/>
  <c r="O1001" i="44" s="1"/>
  <c r="P1001" i="44"/>
  <c r="Q144" i="44"/>
  <c r="Q724" i="44" s="1"/>
  <c r="O144" i="44"/>
  <c r="O724" i="44" s="1"/>
  <c r="P724" i="44"/>
  <c r="V1247" i="44"/>
  <c r="J106" i="44"/>
  <c r="J686" i="44" s="1"/>
  <c r="K686" i="44"/>
  <c r="J472" i="44"/>
  <c r="J1052" i="44" s="1"/>
  <c r="K1052" i="44"/>
  <c r="Q192" i="44"/>
  <c r="Q772" i="44" s="1"/>
  <c r="O192" i="44"/>
  <c r="O772" i="44" s="1"/>
  <c r="P772" i="44"/>
  <c r="W1238" i="44"/>
  <c r="Q232" i="44"/>
  <c r="Q812" i="44" s="1"/>
  <c r="O232" i="44"/>
  <c r="O812" i="44" s="1"/>
  <c r="P812" i="44"/>
  <c r="J305" i="44"/>
  <c r="J885" i="44" s="1"/>
  <c r="K885" i="44"/>
  <c r="J355" i="44"/>
  <c r="J935" i="44" s="1"/>
  <c r="K935" i="44"/>
  <c r="J433" i="44"/>
  <c r="J1013" i="44" s="1"/>
  <c r="K1013" i="44"/>
  <c r="Q126" i="44"/>
  <c r="Q706" i="44" s="1"/>
  <c r="O126" i="44"/>
  <c r="O706" i="44" s="1"/>
  <c r="P706" i="44"/>
  <c r="Q480" i="44"/>
  <c r="Q1060" i="44" s="1"/>
  <c r="O480" i="44"/>
  <c r="O1060" i="44" s="1"/>
  <c r="P1060" i="44"/>
  <c r="Q473" i="44"/>
  <c r="Q1053" i="44" s="1"/>
  <c r="O473" i="44"/>
  <c r="O1053" i="44" s="1"/>
  <c r="P1053" i="44"/>
  <c r="J494" i="44"/>
  <c r="J1074" i="44" s="1"/>
  <c r="K1074" i="44"/>
  <c r="W1243" i="44"/>
  <c r="J44" i="44"/>
  <c r="J624" i="44" s="1"/>
  <c r="K624" i="44"/>
  <c r="J496" i="44"/>
  <c r="J1076" i="44" s="1"/>
  <c r="K1076" i="44"/>
  <c r="Q176" i="44"/>
  <c r="Q756" i="44" s="1"/>
  <c r="O176" i="44"/>
  <c r="O756" i="44" s="1"/>
  <c r="P756" i="44"/>
  <c r="Q175" i="44"/>
  <c r="Q755" i="44" s="1"/>
  <c r="O175" i="44"/>
  <c r="O755" i="44" s="1"/>
  <c r="P755" i="44"/>
  <c r="J317" i="44"/>
  <c r="J897" i="44" s="1"/>
  <c r="K897" i="44"/>
  <c r="J425" i="44"/>
  <c r="J1005" i="44" s="1"/>
  <c r="K1005" i="44"/>
  <c r="Q143" i="44"/>
  <c r="Q723" i="44" s="1"/>
  <c r="O143" i="44"/>
  <c r="O723" i="44" s="1"/>
  <c r="P723" i="44"/>
  <c r="J251" i="44"/>
  <c r="J831" i="44" s="1"/>
  <c r="K831" i="44"/>
  <c r="J271" i="44"/>
  <c r="J851" i="44" s="1"/>
  <c r="K851" i="44"/>
  <c r="V1183" i="44"/>
  <c r="J332" i="44"/>
  <c r="J912" i="44" s="1"/>
  <c r="K912" i="44"/>
  <c r="Q39" i="44"/>
  <c r="Q619" i="44" s="1"/>
  <c r="O39" i="44"/>
  <c r="O619" i="44" s="1"/>
  <c r="P619" i="44"/>
  <c r="E1314" i="44"/>
  <c r="J406" i="44"/>
  <c r="J986" i="44" s="1"/>
  <c r="K986" i="44"/>
  <c r="J79" i="44"/>
  <c r="J659" i="44" s="1"/>
  <c r="K659" i="44"/>
  <c r="J432" i="44"/>
  <c r="J1012" i="44" s="1"/>
  <c r="K1012" i="44"/>
  <c r="J179" i="44"/>
  <c r="J759" i="44" s="1"/>
  <c r="K759" i="44"/>
  <c r="Q217" i="44"/>
  <c r="Q797" i="44" s="1"/>
  <c r="O217" i="44"/>
  <c r="O797" i="44" s="1"/>
  <c r="P797" i="44"/>
  <c r="J559" i="44"/>
  <c r="J1139" i="44" s="1"/>
  <c r="K1139" i="44"/>
  <c r="J439" i="44"/>
  <c r="J1019" i="44" s="1"/>
  <c r="K1019" i="44"/>
  <c r="O156" i="44"/>
  <c r="O736" i="44" s="1"/>
  <c r="Q156" i="44"/>
  <c r="Q736" i="44" s="1"/>
  <c r="P736" i="44"/>
  <c r="Q11" i="44"/>
  <c r="Q591" i="44" s="1"/>
  <c r="O11" i="44"/>
  <c r="O591" i="44" s="1"/>
  <c r="P591" i="44"/>
  <c r="J61" i="44"/>
  <c r="J641" i="44" s="1"/>
  <c r="K641" i="44"/>
  <c r="E1311" i="44"/>
  <c r="J401" i="44"/>
  <c r="J981" i="44" s="1"/>
  <c r="K981" i="44"/>
  <c r="Q183" i="44"/>
  <c r="Q763" i="44" s="1"/>
  <c r="O183" i="44"/>
  <c r="O763" i="44" s="1"/>
  <c r="P763" i="44"/>
  <c r="E1357" i="44"/>
  <c r="X1238" i="44"/>
  <c r="J253" i="44"/>
  <c r="J833" i="44" s="1"/>
  <c r="H1173" i="44" s="1"/>
  <c r="K833" i="44"/>
  <c r="V1166" i="44"/>
  <c r="J73" i="44"/>
  <c r="J653" i="44" s="1"/>
  <c r="K653" i="44"/>
  <c r="Q435" i="44"/>
  <c r="Q1015" i="44" s="1"/>
  <c r="O435" i="44"/>
  <c r="O1015" i="44" s="1"/>
  <c r="P1015" i="44"/>
  <c r="W1213" i="44"/>
  <c r="J549" i="44"/>
  <c r="J1129" i="44" s="1"/>
  <c r="K1129" i="44"/>
  <c r="J290" i="44"/>
  <c r="J870" i="44" s="1"/>
  <c r="K870" i="44"/>
  <c r="O292" i="44"/>
  <c r="O872" i="44" s="1"/>
  <c r="Q292" i="44"/>
  <c r="Q872" i="44" s="1"/>
  <c r="P872" i="44"/>
  <c r="Q296" i="44"/>
  <c r="Q876" i="44" s="1"/>
  <c r="O296" i="44"/>
  <c r="O876" i="44" s="1"/>
  <c r="P876" i="44"/>
  <c r="Q351" i="44"/>
  <c r="Q931" i="44" s="1"/>
  <c r="O351" i="44"/>
  <c r="O931" i="44" s="1"/>
  <c r="P931" i="44"/>
  <c r="V1188" i="44"/>
  <c r="E1331" i="44"/>
  <c r="O182" i="44"/>
  <c r="O762" i="44" s="1"/>
  <c r="Q182" i="44"/>
  <c r="Q762" i="44" s="1"/>
  <c r="P762" i="44"/>
  <c r="J510" i="44"/>
  <c r="J1090" i="44" s="1"/>
  <c r="K1090" i="44"/>
  <c r="O525" i="44"/>
  <c r="O1105" i="44" s="1"/>
  <c r="Q525" i="44"/>
  <c r="Q1105" i="44" s="1"/>
  <c r="P1105" i="44"/>
  <c r="J254" i="44"/>
  <c r="J834" i="44" s="1"/>
  <c r="K834" i="44"/>
  <c r="J268" i="44"/>
  <c r="J848" i="44" s="1"/>
  <c r="K848" i="44"/>
  <c r="J487" i="44"/>
  <c r="J1067" i="44" s="1"/>
  <c r="K1067" i="44"/>
  <c r="J161" i="44"/>
  <c r="J741" i="44" s="1"/>
  <c r="K741" i="44"/>
  <c r="J492" i="44"/>
  <c r="J1072" i="44" s="1"/>
  <c r="K1072" i="44"/>
  <c r="J17" i="44"/>
  <c r="J597" i="44" s="1"/>
  <c r="K597" i="44"/>
  <c r="Q180" i="44"/>
  <c r="Q760" i="44" s="1"/>
  <c r="O180" i="44"/>
  <c r="O760" i="44" s="1"/>
  <c r="P760" i="44"/>
  <c r="J11" i="44"/>
  <c r="J591" i="44" s="1"/>
  <c r="K591" i="44"/>
  <c r="Q229" i="44"/>
  <c r="Q809" i="44" s="1"/>
  <c r="O229" i="44"/>
  <c r="O809" i="44" s="1"/>
  <c r="P809" i="44"/>
  <c r="W1222" i="44"/>
  <c r="J572" i="44"/>
  <c r="J1152" i="44" s="1"/>
  <c r="K1152" i="44"/>
  <c r="J147" i="44"/>
  <c r="J727" i="44" s="1"/>
  <c r="K727" i="44"/>
  <c r="J482" i="44"/>
  <c r="J1062" i="44" s="1"/>
  <c r="K1062" i="44"/>
  <c r="Q1361" i="44"/>
  <c r="E1286" i="44"/>
  <c r="J228" i="44"/>
  <c r="J808" i="44" s="1"/>
  <c r="K808" i="44"/>
  <c r="Q247" i="44"/>
  <c r="Q827" i="44" s="1"/>
  <c r="O247" i="44"/>
  <c r="O827" i="44" s="1"/>
  <c r="P827" i="44"/>
  <c r="Q148" i="44"/>
  <c r="Q728" i="44" s="1"/>
  <c r="O148" i="44"/>
  <c r="O728" i="44" s="1"/>
  <c r="P728" i="44"/>
  <c r="Q47" i="44"/>
  <c r="Q627" i="44" s="1"/>
  <c r="O47" i="44"/>
  <c r="O627" i="44" s="1"/>
  <c r="P627" i="44"/>
  <c r="O363" i="44"/>
  <c r="O943" i="44" s="1"/>
  <c r="Q363" i="44"/>
  <c r="Q943" i="44" s="1"/>
  <c r="P943" i="44"/>
  <c r="O349" i="44"/>
  <c r="O929" i="44" s="1"/>
  <c r="Q349" i="44"/>
  <c r="Q929" i="44" s="1"/>
  <c r="P929" i="44"/>
  <c r="Q1343" i="44"/>
  <c r="O258" i="44"/>
  <c r="O838" i="44" s="1"/>
  <c r="Q258" i="44"/>
  <c r="Q838" i="44" s="1"/>
  <c r="P838" i="44"/>
  <c r="Q279" i="44"/>
  <c r="Q859" i="44" s="1"/>
  <c r="O279" i="44"/>
  <c r="O859" i="44" s="1"/>
  <c r="P859" i="44"/>
  <c r="O300" i="44"/>
  <c r="O880" i="44" s="1"/>
  <c r="Q300" i="44"/>
  <c r="Q880" i="44" s="1"/>
  <c r="P880" i="44"/>
  <c r="E1288" i="44"/>
  <c r="Q108" i="44"/>
  <c r="Q688" i="44" s="1"/>
  <c r="O108" i="44"/>
  <c r="O688" i="44" s="1"/>
  <c r="P688" i="44"/>
  <c r="J418" i="44"/>
  <c r="J998" i="44" s="1"/>
  <c r="K998" i="44"/>
  <c r="O415" i="44"/>
  <c r="O995" i="44" s="1"/>
  <c r="Q415" i="44"/>
  <c r="Q995" i="44" s="1"/>
  <c r="P995" i="44"/>
  <c r="X1248" i="44"/>
  <c r="J553" i="44"/>
  <c r="J1133" i="44" s="1"/>
  <c r="K1133" i="44"/>
  <c r="J280" i="44"/>
  <c r="J860" i="44" s="1"/>
  <c r="K860" i="44"/>
  <c r="X1195" i="44"/>
  <c r="J387" i="44"/>
  <c r="J967" i="44" s="1"/>
  <c r="K967" i="44"/>
  <c r="E1336" i="44"/>
  <c r="J463" i="44"/>
  <c r="J1043" i="44" s="1"/>
  <c r="K1043" i="44"/>
  <c r="O178" i="44"/>
  <c r="O758" i="44" s="1"/>
  <c r="Q178" i="44"/>
  <c r="Q758" i="44" s="1"/>
  <c r="P758" i="44"/>
  <c r="J269" i="44"/>
  <c r="J849" i="44" s="1"/>
  <c r="K849" i="44"/>
  <c r="J450" i="44"/>
  <c r="J1030" i="44" s="1"/>
  <c r="K1030" i="44"/>
  <c r="O155" i="44"/>
  <c r="O735" i="44" s="1"/>
  <c r="Q155" i="44"/>
  <c r="Q735" i="44" s="1"/>
  <c r="P735" i="44"/>
  <c r="O338" i="44"/>
  <c r="O918" i="44" s="1"/>
  <c r="Q338" i="44"/>
  <c r="Q918" i="44" s="1"/>
  <c r="P918" i="44"/>
  <c r="J356" i="44"/>
  <c r="J936" i="44" s="1"/>
  <c r="K936" i="44"/>
  <c r="J393" i="44"/>
  <c r="J973" i="44" s="1"/>
  <c r="K973" i="44"/>
  <c r="V1233" i="44"/>
  <c r="Q485" i="44"/>
  <c r="Q1065" i="44" s="1"/>
  <c r="O485" i="44"/>
  <c r="O1065" i="44" s="1"/>
  <c r="P1065" i="44"/>
  <c r="J264" i="44"/>
  <c r="J844" i="44" s="1"/>
  <c r="K844" i="44"/>
  <c r="O293" i="44"/>
  <c r="O873" i="44" s="1"/>
  <c r="Q293" i="44"/>
  <c r="Q873" i="44" s="1"/>
  <c r="P873" i="44"/>
  <c r="X1166" i="44"/>
  <c r="J331" i="44"/>
  <c r="J911" i="44" s="1"/>
  <c r="K911" i="44"/>
  <c r="O45" i="44"/>
  <c r="O625" i="44" s="1"/>
  <c r="Q45" i="44"/>
  <c r="Q625" i="44" s="1"/>
  <c r="P625" i="44"/>
  <c r="J342" i="44"/>
  <c r="J922" i="44" s="1"/>
  <c r="K922" i="44"/>
  <c r="V1209" i="44"/>
  <c r="W1239" i="44"/>
  <c r="J552" i="44"/>
  <c r="J1132" i="44" s="1"/>
  <c r="K1132" i="44"/>
  <c r="J562" i="44"/>
  <c r="J1142" i="44" s="1"/>
  <c r="K1142" i="44"/>
  <c r="W1232" i="44"/>
  <c r="E1276" i="44"/>
  <c r="J56" i="44"/>
  <c r="J636" i="44" s="1"/>
  <c r="K636" i="44"/>
  <c r="W1188" i="44"/>
  <c r="W1231" i="44"/>
  <c r="V1236" i="44"/>
  <c r="J515" i="44"/>
  <c r="J1095" i="44" s="1"/>
  <c r="K1095" i="44"/>
  <c r="J547" i="44"/>
  <c r="J1127" i="44" s="1"/>
  <c r="K1127" i="44"/>
  <c r="X1176" i="44"/>
  <c r="Q207" i="44"/>
  <c r="Q787" i="44" s="1"/>
  <c r="O1247" i="44" s="1"/>
  <c r="O207" i="44"/>
  <c r="O787" i="44" s="1"/>
  <c r="P787" i="44"/>
  <c r="N1247" i="44" s="1"/>
  <c r="J462" i="44"/>
  <c r="J1042" i="44" s="1"/>
  <c r="K1042" i="44"/>
  <c r="Q536" i="44"/>
  <c r="Q1116" i="44" s="1"/>
  <c r="O536" i="44"/>
  <c r="O1116" i="44" s="1"/>
  <c r="P1116" i="44"/>
  <c r="Q261" i="44"/>
  <c r="Q841" i="44" s="1"/>
  <c r="O261" i="44"/>
  <c r="O841" i="44" s="1"/>
  <c r="P841" i="44"/>
  <c r="J143" i="44"/>
  <c r="J723" i="44" s="1"/>
  <c r="K723" i="44"/>
  <c r="O569" i="44"/>
  <c r="O1149" i="44" s="1"/>
  <c r="Q569" i="44"/>
  <c r="Q1149" i="44" s="1"/>
  <c r="P1149" i="44"/>
  <c r="J424" i="44"/>
  <c r="J1004" i="44" s="1"/>
  <c r="K1004" i="44"/>
  <c r="Q426" i="44"/>
  <c r="Q1006" i="44" s="1"/>
  <c r="O426" i="44"/>
  <c r="O1006" i="44" s="1"/>
  <c r="P1006" i="44"/>
  <c r="J513" i="44"/>
  <c r="J1093" i="44" s="1"/>
  <c r="K1093" i="44"/>
  <c r="J257" i="44"/>
  <c r="J837" i="44" s="1"/>
  <c r="K837" i="44"/>
  <c r="F1264" i="44"/>
  <c r="E1269" i="44"/>
  <c r="J65" i="44"/>
  <c r="J645" i="44" s="1"/>
  <c r="K645" i="44"/>
  <c r="Q55" i="44"/>
  <c r="Q635" i="44" s="1"/>
  <c r="O55" i="44"/>
  <c r="O635" i="44" s="1"/>
  <c r="P635" i="44"/>
  <c r="J122" i="44"/>
  <c r="J702" i="44" s="1"/>
  <c r="K702" i="44"/>
  <c r="E1319" i="44"/>
  <c r="J176" i="44"/>
  <c r="J756" i="44" s="1"/>
  <c r="K756" i="44"/>
  <c r="Q173" i="44"/>
  <c r="Q753" i="44" s="1"/>
  <c r="O173" i="44"/>
  <c r="O753" i="44" s="1"/>
  <c r="P753" i="44"/>
  <c r="Q264" i="44"/>
  <c r="Q844" i="44" s="1"/>
  <c r="O264" i="44"/>
  <c r="O844" i="44" s="1"/>
  <c r="P844" i="44"/>
  <c r="Q291" i="44"/>
  <c r="Q871" i="44" s="1"/>
  <c r="O291" i="44"/>
  <c r="O871" i="44" s="1"/>
  <c r="P871" i="44"/>
  <c r="X1179" i="44"/>
  <c r="Q1284" i="44"/>
  <c r="Q353" i="44"/>
  <c r="Q933" i="44" s="1"/>
  <c r="O353" i="44"/>
  <c r="O933" i="44" s="1"/>
  <c r="P933" i="44"/>
  <c r="O400" i="44"/>
  <c r="O980" i="44" s="1"/>
  <c r="Q400" i="44"/>
  <c r="Q980" i="44" s="1"/>
  <c r="P980" i="44"/>
  <c r="E1340" i="44"/>
  <c r="O472" i="44"/>
  <c r="O1052" i="44" s="1"/>
  <c r="Q472" i="44"/>
  <c r="Q1052" i="44" s="1"/>
  <c r="P1052" i="44"/>
  <c r="Q269" i="44"/>
  <c r="Q849" i="44" s="1"/>
  <c r="O269" i="44"/>
  <c r="O849" i="44" s="1"/>
  <c r="P849" i="44"/>
  <c r="V1224" i="44"/>
  <c r="X1183" i="44"/>
  <c r="J1206" i="44"/>
  <c r="V1216" i="44"/>
  <c r="J467" i="44"/>
  <c r="J1047" i="44" s="1"/>
  <c r="K1047" i="44"/>
  <c r="J216" i="44"/>
  <c r="J796" i="44" s="1"/>
  <c r="K796" i="44"/>
  <c r="E1345" i="44"/>
  <c r="Q223" i="44"/>
  <c r="Q803" i="44" s="1"/>
  <c r="O223" i="44"/>
  <c r="O803" i="44" s="1"/>
  <c r="P803" i="44"/>
  <c r="J455" i="44"/>
  <c r="J1035" i="44" s="1"/>
  <c r="K1035" i="44"/>
  <c r="Q164" i="44"/>
  <c r="Q744" i="44" s="1"/>
  <c r="O164" i="44"/>
  <c r="O744" i="44" s="1"/>
  <c r="P744" i="44"/>
  <c r="E1278" i="44"/>
  <c r="J347" i="44"/>
  <c r="J927" i="44" s="1"/>
  <c r="K927" i="44"/>
  <c r="Q499" i="44"/>
  <c r="Q1079" i="44" s="1"/>
  <c r="O499" i="44"/>
  <c r="O1079" i="44" s="1"/>
  <c r="P1079" i="44"/>
  <c r="O202" i="44"/>
  <c r="O782" i="44" s="1"/>
  <c r="Q202" i="44"/>
  <c r="Q782" i="44" s="1"/>
  <c r="P782" i="44"/>
  <c r="X1239" i="44"/>
  <c r="J287" i="44"/>
  <c r="J867" i="44" s="1"/>
  <c r="K867" i="44"/>
  <c r="Q458" i="44"/>
  <c r="Q1038" i="44" s="1"/>
  <c r="O458" i="44"/>
  <c r="O1038" i="44" s="1"/>
  <c r="P1038" i="44"/>
  <c r="V1185" i="44"/>
  <c r="J357" i="44"/>
  <c r="J937" i="44" s="1"/>
  <c r="K937" i="44"/>
  <c r="X1188" i="44"/>
  <c r="V1230" i="44"/>
  <c r="J519" i="44"/>
  <c r="J1099" i="44" s="1"/>
  <c r="K1099" i="44"/>
  <c r="Q529" i="44"/>
  <c r="Q1109" i="44" s="1"/>
  <c r="O529" i="44"/>
  <c r="O1109" i="44" s="1"/>
  <c r="P1109" i="44"/>
  <c r="J548" i="44"/>
  <c r="J1128" i="44" s="1"/>
  <c r="K1128" i="44"/>
  <c r="W1212" i="44"/>
  <c r="J8" i="44"/>
  <c r="J588" i="44" s="1"/>
  <c r="K588" i="44"/>
  <c r="E1304" i="44"/>
  <c r="O249" i="44"/>
  <c r="O829" i="44" s="1"/>
  <c r="Q249" i="44"/>
  <c r="Q829" i="44" s="1"/>
  <c r="P829" i="44"/>
  <c r="Q159" i="44"/>
  <c r="Q739" i="44" s="1"/>
  <c r="O159" i="44"/>
  <c r="O739" i="44" s="1"/>
  <c r="P739" i="44"/>
  <c r="J417" i="44"/>
  <c r="J997" i="44" s="1"/>
  <c r="K997" i="44"/>
  <c r="V1228" i="44"/>
  <c r="J517" i="44"/>
  <c r="J1097" i="44" s="1"/>
  <c r="K1097" i="44"/>
  <c r="O266" i="44"/>
  <c r="O846" i="44" s="1"/>
  <c r="Q266" i="44"/>
  <c r="Q846" i="44" s="1"/>
  <c r="P846" i="44"/>
  <c r="O274" i="44"/>
  <c r="O854" i="44" s="1"/>
  <c r="Q274" i="44"/>
  <c r="Q854" i="44" s="1"/>
  <c r="P854" i="44"/>
  <c r="O456" i="44"/>
  <c r="O1036" i="44" s="1"/>
  <c r="Q456" i="44"/>
  <c r="Q1036" i="44" s="1"/>
  <c r="P1036" i="44"/>
  <c r="E1281" i="44"/>
  <c r="J71" i="44"/>
  <c r="J651" i="44" s="1"/>
  <c r="K651" i="44"/>
  <c r="J474" i="44"/>
  <c r="J1054" i="44" s="1"/>
  <c r="K1054" i="44"/>
  <c r="O206" i="44"/>
  <c r="O786" i="44" s="1"/>
  <c r="Q206" i="44"/>
  <c r="Q786" i="44" s="1"/>
  <c r="P786" i="44"/>
  <c r="Q267" i="44"/>
  <c r="Q847" i="44" s="1"/>
  <c r="O267" i="44"/>
  <c r="O847" i="44" s="1"/>
  <c r="P847" i="44"/>
  <c r="J151" i="44"/>
  <c r="J731" i="44" s="1"/>
  <c r="K731" i="44"/>
  <c r="Q321" i="44"/>
  <c r="Q901" i="44" s="1"/>
  <c r="O321" i="44"/>
  <c r="O901" i="44" s="1"/>
  <c r="P901" i="44"/>
  <c r="Q359" i="44"/>
  <c r="Q939" i="44" s="1"/>
  <c r="O359" i="44"/>
  <c r="O939" i="44" s="1"/>
  <c r="P939" i="44"/>
  <c r="X1227" i="44"/>
  <c r="E1363" i="44"/>
  <c r="O242" i="44"/>
  <c r="O822" i="44" s="1"/>
  <c r="Q242" i="44"/>
  <c r="Q822" i="44" s="1"/>
  <c r="P822" i="44"/>
  <c r="Q562" i="44"/>
  <c r="Q1142" i="44" s="1"/>
  <c r="O562" i="44"/>
  <c r="O1142" i="44" s="1"/>
  <c r="P1142" i="44"/>
  <c r="J163" i="44"/>
  <c r="J743" i="44" s="1"/>
  <c r="K743" i="44"/>
  <c r="Q1270" i="44"/>
  <c r="E1274" i="44"/>
  <c r="Q70" i="44"/>
  <c r="Q650" i="44" s="1"/>
  <c r="O70" i="44"/>
  <c r="O650" i="44" s="1"/>
  <c r="P650" i="44"/>
  <c r="J460" i="44"/>
  <c r="J1040" i="44" s="1"/>
  <c r="K1040" i="44"/>
  <c r="J488" i="44"/>
  <c r="J1068" i="44" s="1"/>
  <c r="K1068" i="44"/>
  <c r="X1233" i="44"/>
  <c r="Q125" i="44"/>
  <c r="Q705" i="44" s="1"/>
  <c r="O125" i="44"/>
  <c r="O705" i="44" s="1"/>
  <c r="P705" i="44"/>
  <c r="Q494" i="44"/>
  <c r="Q1074" i="44" s="1"/>
  <c r="O494" i="44"/>
  <c r="O1074" i="44" s="1"/>
  <c r="P1074" i="44"/>
  <c r="Q1362" i="44"/>
  <c r="J537" i="44"/>
  <c r="J1117" i="44" s="1"/>
  <c r="K1117" i="44"/>
  <c r="J278" i="44"/>
  <c r="J858" i="44" s="1"/>
  <c r="K858" i="44"/>
  <c r="Q20" i="44"/>
  <c r="Q600" i="44" s="1"/>
  <c r="O20" i="44"/>
  <c r="O600" i="44" s="1"/>
  <c r="P600" i="44"/>
  <c r="J325" i="44"/>
  <c r="J905" i="44" s="1"/>
  <c r="K905" i="44"/>
  <c r="W1209" i="44"/>
  <c r="Q428" i="44"/>
  <c r="Q1008" i="44" s="1"/>
  <c r="O428" i="44"/>
  <c r="O1008" i="44" s="1"/>
  <c r="P1008" i="44"/>
  <c r="V1253" i="44"/>
  <c r="Q549" i="44"/>
  <c r="Q1129" i="44" s="1"/>
  <c r="O549" i="44"/>
  <c r="O1129" i="44" s="1"/>
  <c r="P1129" i="44"/>
  <c r="J25" i="44"/>
  <c r="J605" i="44" s="1"/>
  <c r="K605" i="44"/>
  <c r="X1170" i="44"/>
  <c r="W1185" i="44"/>
  <c r="R1264" i="44"/>
  <c r="Q1328" i="44" s="1"/>
  <c r="Q1282" i="44"/>
  <c r="J427" i="44"/>
  <c r="J1007" i="44" s="1"/>
  <c r="K1007" i="44"/>
  <c r="X1230" i="44"/>
  <c r="Q1347" i="44"/>
  <c r="W1236" i="44"/>
  <c r="E1358" i="44"/>
  <c r="J260" i="44"/>
  <c r="J840" i="44" s="1"/>
  <c r="K840" i="44"/>
  <c r="Q285" i="44"/>
  <c r="Q865" i="44" s="1"/>
  <c r="O285" i="44"/>
  <c r="O865" i="44" s="1"/>
  <c r="P865" i="44"/>
  <c r="Q1269" i="44"/>
  <c r="J340" i="44"/>
  <c r="J920" i="44" s="1"/>
  <c r="K920" i="44"/>
  <c r="J478" i="44"/>
  <c r="J1058" i="44" s="1"/>
  <c r="K1058" i="44"/>
  <c r="Q466" i="44"/>
  <c r="Q1046" i="44" s="1"/>
  <c r="O466" i="44"/>
  <c r="O1046" i="44" s="1"/>
  <c r="P1046" i="44"/>
  <c r="E1359" i="44"/>
  <c r="J170" i="44"/>
  <c r="J750" i="44" s="1"/>
  <c r="K750" i="44"/>
  <c r="Q34" i="44"/>
  <c r="Q614" i="44" s="1"/>
  <c r="O34" i="44"/>
  <c r="O614" i="44" s="1"/>
  <c r="P614" i="44"/>
  <c r="Q58" i="44"/>
  <c r="Q638" i="44" s="1"/>
  <c r="O58" i="44"/>
  <c r="O638" i="44" s="1"/>
  <c r="P638" i="44"/>
  <c r="Q369" i="44"/>
  <c r="Q949" i="44" s="1"/>
  <c r="O369" i="44"/>
  <c r="O949" i="44" s="1"/>
  <c r="P949" i="44"/>
  <c r="Q220" i="44"/>
  <c r="Q800" i="44" s="1"/>
  <c r="O220" i="44"/>
  <c r="O800" i="44" s="1"/>
  <c r="P800" i="44"/>
  <c r="J437" i="44"/>
  <c r="J1017" i="44" s="1"/>
  <c r="K1017" i="44"/>
  <c r="V1168" i="44"/>
  <c r="J67" i="44"/>
  <c r="J647" i="44" s="1"/>
  <c r="K647" i="44"/>
  <c r="Q1320" i="44"/>
  <c r="J505" i="44"/>
  <c r="J1085" i="44" s="1"/>
  <c r="K1085" i="44"/>
  <c r="Q495" i="44"/>
  <c r="Q1075" i="44" s="1"/>
  <c r="O495" i="44"/>
  <c r="O1075" i="44" s="1"/>
  <c r="P1075" i="44"/>
  <c r="J241" i="44"/>
  <c r="J821" i="44" s="1"/>
  <c r="K821" i="44"/>
  <c r="J248" i="44"/>
  <c r="J828" i="44" s="1"/>
  <c r="K828" i="44"/>
  <c r="Q273" i="44"/>
  <c r="Q853" i="44" s="1"/>
  <c r="O273" i="44"/>
  <c r="O853" i="44" s="1"/>
  <c r="P853" i="44"/>
  <c r="J24" i="44"/>
  <c r="J604" i="44" s="1"/>
  <c r="K604" i="44"/>
  <c r="V1171" i="44"/>
  <c r="X1164" i="44"/>
  <c r="Q100" i="44"/>
  <c r="Q680" i="44" s="1"/>
  <c r="O100" i="44"/>
  <c r="O680" i="44" s="1"/>
  <c r="P680" i="44"/>
  <c r="Q77" i="44"/>
  <c r="Q657" i="44" s="1"/>
  <c r="O77" i="44"/>
  <c r="O657" i="44" s="1"/>
  <c r="P657" i="44"/>
  <c r="J207" i="44"/>
  <c r="J787" i="44" s="1"/>
  <c r="K787" i="44"/>
  <c r="I1247" i="44" s="1"/>
  <c r="J550" i="44"/>
  <c r="J1130" i="44" s="1"/>
  <c r="K1130" i="44"/>
  <c r="J571" i="44"/>
  <c r="J1151" i="44" s="1"/>
  <c r="K1151" i="44"/>
  <c r="O453" i="44"/>
  <c r="O1033" i="44" s="1"/>
  <c r="Q453" i="44"/>
  <c r="Q1033" i="44" s="1"/>
  <c r="P1033" i="44"/>
  <c r="Q7" i="44"/>
  <c r="Q587" i="44" s="1"/>
  <c r="O7" i="44"/>
  <c r="O587" i="44" s="1"/>
  <c r="P587" i="44"/>
  <c r="J333" i="44"/>
  <c r="J913" i="44" s="1"/>
  <c r="K913" i="44"/>
  <c r="V1217" i="44"/>
  <c r="J180" i="44"/>
  <c r="J760" i="44" s="1"/>
  <c r="K760" i="44"/>
  <c r="Q193" i="44"/>
  <c r="Q773" i="44" s="1"/>
  <c r="O193" i="44"/>
  <c r="O773" i="44" s="1"/>
  <c r="P773" i="44"/>
  <c r="W1247" i="44"/>
  <c r="W1253" i="44"/>
  <c r="J233" i="44"/>
  <c r="J813" i="44" s="1"/>
  <c r="K813" i="44"/>
  <c r="Q519" i="44"/>
  <c r="Q1099" i="44" s="1"/>
  <c r="O519" i="44"/>
  <c r="O1099" i="44" s="1"/>
  <c r="P1099" i="44"/>
  <c r="Q1289" i="44"/>
  <c r="Q579" i="44"/>
  <c r="Q1159" i="44" s="1"/>
  <c r="O579" i="44"/>
  <c r="O1159" i="44" s="1"/>
  <c r="P1159" i="44"/>
  <c r="J297" i="44"/>
  <c r="J877" i="44" s="1"/>
  <c r="K877" i="44"/>
  <c r="O306" i="44"/>
  <c r="O886" i="44" s="1"/>
  <c r="Q306" i="44"/>
  <c r="Q886" i="44" s="1"/>
  <c r="P886" i="44"/>
  <c r="O19" i="44"/>
  <c r="O599" i="44" s="1"/>
  <c r="Q19" i="44"/>
  <c r="Q599" i="44" s="1"/>
  <c r="P599" i="44"/>
  <c r="V1203" i="44"/>
  <c r="J146" i="44"/>
  <c r="J726" i="44" s="1"/>
  <c r="K726" i="44"/>
  <c r="W1230" i="44"/>
  <c r="J192" i="44"/>
  <c r="J772" i="44" s="1"/>
  <c r="K772" i="44"/>
  <c r="O462" i="44"/>
  <c r="O1042" i="44" s="1"/>
  <c r="Q462" i="44"/>
  <c r="Q1042" i="44" s="1"/>
  <c r="P1042" i="44"/>
  <c r="V1258" i="44"/>
  <c r="X1236" i="44"/>
  <c r="Q528" i="44"/>
  <c r="Q1108" i="44" s="1"/>
  <c r="O528" i="44"/>
  <c r="O1108" i="44" s="1"/>
  <c r="P1108" i="44"/>
  <c r="J574" i="44"/>
  <c r="J1154" i="44" s="1"/>
  <c r="K1154" i="44"/>
  <c r="J155" i="44"/>
  <c r="J735" i="44" s="1"/>
  <c r="K735" i="44"/>
  <c r="Q307" i="44"/>
  <c r="Q887" i="44" s="1"/>
  <c r="O307" i="44"/>
  <c r="O887" i="44" s="1"/>
  <c r="P887" i="44"/>
  <c r="O309" i="44"/>
  <c r="O889" i="44" s="1"/>
  <c r="Q309" i="44"/>
  <c r="Q889" i="44" s="1"/>
  <c r="P889" i="44"/>
  <c r="Q1291" i="44"/>
  <c r="J346" i="44"/>
  <c r="J926" i="44" s="1"/>
  <c r="K926" i="44"/>
  <c r="J385" i="44"/>
  <c r="J965" i="44" s="1"/>
  <c r="K965" i="44"/>
  <c r="Q425" i="44"/>
  <c r="Q1005" i="44" s="1"/>
  <c r="O425" i="44"/>
  <c r="O1005" i="44" s="1"/>
  <c r="P1005" i="44"/>
  <c r="Q133" i="44"/>
  <c r="Q713" i="44" s="1"/>
  <c r="O133" i="44"/>
  <c r="O713" i="44" s="1"/>
  <c r="P713" i="44"/>
  <c r="Q132" i="44"/>
  <c r="Q712" i="44" s="1"/>
  <c r="O1220" i="44" s="1"/>
  <c r="O132" i="44"/>
  <c r="O712" i="44" s="1"/>
  <c r="M1220" i="44" s="1"/>
  <c r="P712" i="44"/>
  <c r="N1220" i="44" s="1"/>
  <c r="J471" i="44"/>
  <c r="J1051" i="44" s="1"/>
  <c r="K1051" i="44"/>
  <c r="O243" i="44"/>
  <c r="O823" i="44" s="1"/>
  <c r="Q243" i="44"/>
  <c r="Q823" i="44" s="1"/>
  <c r="P823" i="44"/>
  <c r="J162" i="44"/>
  <c r="J742" i="44" s="1"/>
  <c r="K742" i="44"/>
  <c r="Q454" i="44"/>
  <c r="Q1034" i="44" s="1"/>
  <c r="O454" i="44"/>
  <c r="O1034" i="44" s="1"/>
  <c r="P1034" i="44"/>
  <c r="J6" i="44"/>
  <c r="J586" i="44" s="1"/>
  <c r="K586" i="44"/>
  <c r="E1291" i="44"/>
  <c r="Q1286" i="44"/>
  <c r="J55" i="44"/>
  <c r="J635" i="44" s="1"/>
  <c r="K635" i="44"/>
  <c r="Q60" i="44"/>
  <c r="Q640" i="44" s="1"/>
  <c r="O60" i="44"/>
  <c r="O640" i="44" s="1"/>
  <c r="P640" i="44"/>
  <c r="Q350" i="44"/>
  <c r="Q930" i="44" s="1"/>
  <c r="O350" i="44"/>
  <c r="O930" i="44" s="1"/>
  <c r="P930" i="44"/>
  <c r="J372" i="44"/>
  <c r="J952" i="44" s="1"/>
  <c r="K952" i="44"/>
  <c r="E1298" i="44"/>
  <c r="V1249" i="44"/>
  <c r="Q227" i="44"/>
  <c r="Q807" i="44" s="1"/>
  <c r="O227" i="44"/>
  <c r="O807" i="44" s="1"/>
  <c r="P807" i="44"/>
  <c r="Q539" i="44"/>
  <c r="Q1119" i="44" s="1"/>
  <c r="O539" i="44"/>
  <c r="O1119" i="44" s="1"/>
  <c r="P1119" i="44"/>
  <c r="J443" i="44"/>
  <c r="J1023" i="44" s="1"/>
  <c r="K1023" i="44"/>
  <c r="J7" i="44"/>
  <c r="J587" i="44" s="1"/>
  <c r="K587" i="44"/>
  <c r="J341" i="44"/>
  <c r="J921" i="44" s="1"/>
  <c r="K921" i="44"/>
  <c r="Q59" i="44"/>
  <c r="Q639" i="44" s="1"/>
  <c r="O59" i="44"/>
  <c r="O639" i="44" s="1"/>
  <c r="P639" i="44"/>
  <c r="O402" i="44"/>
  <c r="O982" i="44" s="1"/>
  <c r="Q402" i="44"/>
  <c r="Q982" i="44" s="1"/>
  <c r="P982" i="44"/>
  <c r="E1338" i="44"/>
  <c r="Q476" i="44"/>
  <c r="Q1056" i="44" s="1"/>
  <c r="O476" i="44"/>
  <c r="O1056" i="44" s="1"/>
  <c r="P1056" i="44"/>
  <c r="J497" i="44"/>
  <c r="J1077" i="44" s="1"/>
  <c r="K1077" i="44"/>
  <c r="J1245" i="44"/>
  <c r="J514" i="44"/>
  <c r="J1094" i="44" s="1"/>
  <c r="K1094" i="44"/>
  <c r="Q555" i="44"/>
  <c r="Q1135" i="44" s="1"/>
  <c r="O555" i="44"/>
  <c r="O1135" i="44" s="1"/>
  <c r="P1135" i="44"/>
  <c r="Q254" i="44"/>
  <c r="Q834" i="44" s="1"/>
  <c r="O254" i="44"/>
  <c r="O834" i="44" s="1"/>
  <c r="P834" i="44"/>
  <c r="J304" i="44"/>
  <c r="J884" i="44" s="1"/>
  <c r="K884" i="44"/>
  <c r="W1167" i="44"/>
  <c r="X1171" i="44"/>
  <c r="O360" i="44"/>
  <c r="O940" i="44" s="1"/>
  <c r="Q360" i="44"/>
  <c r="Q940" i="44" s="1"/>
  <c r="P940" i="44"/>
  <c r="Q1299" i="44"/>
  <c r="Q111" i="44"/>
  <c r="Q691" i="44" s="1"/>
  <c r="O111" i="44"/>
  <c r="O691" i="44" s="1"/>
  <c r="P691" i="44"/>
  <c r="J139" i="44"/>
  <c r="J719" i="44" s="1"/>
  <c r="K719" i="44"/>
  <c r="I1227" i="44" s="1"/>
  <c r="J205" i="44"/>
  <c r="J785" i="44" s="1"/>
  <c r="H1245" i="44" s="1"/>
  <c r="K785" i="44"/>
  <c r="I1245" i="44" s="1"/>
  <c r="Q496" i="44"/>
  <c r="Q1076" i="44" s="1"/>
  <c r="O1248" i="44" s="1"/>
  <c r="O496" i="44"/>
  <c r="O1076" i="44" s="1"/>
  <c r="M1248" i="44" s="1"/>
  <c r="P1076" i="44"/>
  <c r="Q1359" i="44"/>
  <c r="J221" i="44"/>
  <c r="J801" i="44" s="1"/>
  <c r="K801" i="44"/>
  <c r="O545" i="44"/>
  <c r="O1125" i="44" s="1"/>
  <c r="Q545" i="44"/>
  <c r="Q1125" i="44" s="1"/>
  <c r="P1125" i="44"/>
  <c r="Q540" i="44"/>
  <c r="Q1120" i="44" s="1"/>
  <c r="O540" i="44"/>
  <c r="O1120" i="44" s="1"/>
  <c r="P1120" i="44"/>
  <c r="J152" i="44"/>
  <c r="J732" i="44" s="1"/>
  <c r="K732" i="44"/>
  <c r="O443" i="44"/>
  <c r="O1023" i="44" s="1"/>
  <c r="M1219" i="44" s="1"/>
  <c r="Q443" i="44"/>
  <c r="Q1023" i="44" s="1"/>
  <c r="P1023" i="44"/>
  <c r="V1178" i="44"/>
  <c r="E1306" i="44"/>
  <c r="W1217" i="44"/>
  <c r="J177" i="44"/>
  <c r="J757" i="44" s="1"/>
  <c r="K757" i="44"/>
  <c r="X1247" i="44"/>
  <c r="X1253" i="44"/>
  <c r="J242" i="44"/>
  <c r="J822" i="44" s="1"/>
  <c r="K822" i="44"/>
  <c r="J41" i="44"/>
  <c r="J621" i="44" s="1"/>
  <c r="K621" i="44"/>
  <c r="O354" i="44"/>
  <c r="O934" i="44" s="1"/>
  <c r="Q354" i="44"/>
  <c r="Q934" i="44" s="1"/>
  <c r="P934" i="44"/>
  <c r="O471" i="44"/>
  <c r="O1051" i="44" s="1"/>
  <c r="Q471" i="44"/>
  <c r="Q1051" i="44" s="1"/>
  <c r="P1051" i="44"/>
  <c r="J215" i="44"/>
  <c r="J795" i="44" s="1"/>
  <c r="K795" i="44"/>
  <c r="J240" i="44"/>
  <c r="J820" i="44" s="1"/>
  <c r="K820" i="44"/>
  <c r="O222" i="44"/>
  <c r="O802" i="44" s="1"/>
  <c r="Q222" i="44"/>
  <c r="Q802" i="44" s="1"/>
  <c r="P802" i="44"/>
  <c r="J23" i="44"/>
  <c r="J603" i="44" s="1"/>
  <c r="K603" i="44"/>
  <c r="Q294" i="44"/>
  <c r="Q874" i="44" s="1"/>
  <c r="O294" i="44"/>
  <c r="O874" i="44" s="1"/>
  <c r="P874" i="44"/>
  <c r="V1169" i="44"/>
  <c r="J60" i="44"/>
  <c r="J640" i="44" s="1"/>
  <c r="K640" i="44"/>
  <c r="J392" i="44"/>
  <c r="J972" i="44" s="1"/>
  <c r="K972" i="44"/>
  <c r="J188" i="44"/>
  <c r="J768" i="44" s="1"/>
  <c r="K768" i="44"/>
  <c r="Q174" i="44"/>
  <c r="Q754" i="44" s="1"/>
  <c r="O174" i="44"/>
  <c r="O754" i="44" s="1"/>
  <c r="P754" i="44"/>
  <c r="O489" i="44"/>
  <c r="O1069" i="44" s="1"/>
  <c r="Q489" i="44"/>
  <c r="Q1069" i="44" s="1"/>
  <c r="P1069" i="44"/>
  <c r="G1346" i="44"/>
  <c r="J447" i="44"/>
  <c r="J1027" i="44" s="1"/>
  <c r="K1027" i="44"/>
  <c r="Q1318" i="44"/>
  <c r="J12" i="44"/>
  <c r="J592" i="44" s="1"/>
  <c r="K592" i="44"/>
  <c r="X1168" i="44"/>
  <c r="O375" i="44"/>
  <c r="O955" i="44" s="1"/>
  <c r="Q375" i="44"/>
  <c r="Q955" i="44" s="1"/>
  <c r="P955" i="44"/>
  <c r="Q493" i="44"/>
  <c r="Q1073" i="44" s="1"/>
  <c r="O493" i="44"/>
  <c r="O1073" i="44" s="1"/>
  <c r="P1073" i="44"/>
  <c r="J518" i="44"/>
  <c r="J1098" i="44" s="1"/>
  <c r="K1098" i="44"/>
  <c r="J246" i="44"/>
  <c r="J826" i="44" s="1"/>
  <c r="K826" i="44"/>
  <c r="J262" i="44"/>
  <c r="J842" i="44" s="1"/>
  <c r="K842" i="44"/>
  <c r="Q445" i="44"/>
  <c r="Q1025" i="44" s="1"/>
  <c r="O445" i="44"/>
  <c r="O1025" i="44" s="1"/>
  <c r="P1025" i="44"/>
  <c r="W1171" i="44"/>
  <c r="E1293" i="44"/>
  <c r="J145" i="44"/>
  <c r="J725" i="44" s="1"/>
  <c r="K725" i="44"/>
  <c r="Q127" i="44"/>
  <c r="Q707" i="44" s="1"/>
  <c r="O127" i="44"/>
  <c r="O707" i="44" s="1"/>
  <c r="P707" i="44"/>
  <c r="J500" i="44"/>
  <c r="J1080" i="44" s="1"/>
  <c r="K1080" i="44"/>
  <c r="V1242" i="44"/>
  <c r="J230" i="44"/>
  <c r="J810" i="44" s="1"/>
  <c r="K810" i="44"/>
  <c r="J540" i="44"/>
  <c r="J1120" i="44" s="1"/>
  <c r="K1120" i="44"/>
  <c r="Q557" i="44"/>
  <c r="Q1137" i="44" s="1"/>
  <c r="O557" i="44"/>
  <c r="O1137" i="44" s="1"/>
  <c r="P1137" i="44"/>
  <c r="J438" i="44"/>
  <c r="J1018" i="44" s="1"/>
  <c r="K1018" i="44"/>
  <c r="Q333" i="44"/>
  <c r="Q913" i="44" s="1"/>
  <c r="O333" i="44"/>
  <c r="O913" i="44" s="1"/>
  <c r="P913" i="44"/>
  <c r="E1315" i="44"/>
  <c r="X1217" i="44"/>
  <c r="E1326" i="44"/>
  <c r="J189" i="44"/>
  <c r="J769" i="44" s="1"/>
  <c r="K769" i="44"/>
  <c r="O510" i="44"/>
  <c r="O1090" i="44" s="1"/>
  <c r="Q510" i="44"/>
  <c r="Q1090" i="44" s="1"/>
  <c r="P1090" i="44"/>
  <c r="J451" i="44"/>
  <c r="J1031" i="44" s="1"/>
  <c r="K1031" i="44"/>
  <c r="W1172" i="44"/>
  <c r="H1264" i="44"/>
  <c r="G1289" i="44" s="1"/>
  <c r="G1271" i="44"/>
  <c r="J32" i="44"/>
  <c r="J612" i="44" s="1"/>
  <c r="K612" i="44"/>
  <c r="Q320" i="44"/>
  <c r="Q900" i="44" s="1"/>
  <c r="O320" i="44"/>
  <c r="O900" i="44" s="1"/>
  <c r="P900" i="44"/>
  <c r="J1196" i="44"/>
  <c r="X1203" i="44"/>
  <c r="J124" i="44"/>
  <c r="J704" i="44" s="1"/>
  <c r="K704" i="44"/>
  <c r="J468" i="44"/>
  <c r="J1048" i="44" s="1"/>
  <c r="K1048" i="44"/>
  <c r="J197" i="44"/>
  <c r="J777" i="44" s="1"/>
  <c r="H1237" i="44" s="1"/>
  <c r="K777" i="44"/>
  <c r="O238" i="44"/>
  <c r="O818" i="44" s="1"/>
  <c r="Q238" i="44"/>
  <c r="Q818" i="44" s="1"/>
  <c r="P818" i="44"/>
  <c r="J279" i="44"/>
  <c r="J859" i="44" s="1"/>
  <c r="K859" i="44"/>
  <c r="J456" i="44"/>
  <c r="J1036" i="44" s="1"/>
  <c r="K1036" i="44"/>
  <c r="J292" i="44"/>
  <c r="J872" i="44" s="1"/>
  <c r="K872" i="44"/>
  <c r="Q50" i="44"/>
  <c r="Q630" i="44" s="1"/>
  <c r="O50" i="44"/>
  <c r="O630" i="44" s="1"/>
  <c r="P630" i="44"/>
  <c r="Q73" i="44"/>
  <c r="Q653" i="44" s="1"/>
  <c r="O73" i="44"/>
  <c r="O653" i="44" s="1"/>
  <c r="P653" i="44"/>
  <c r="J428" i="44"/>
  <c r="J1008" i="44" s="1"/>
  <c r="K1008" i="44"/>
  <c r="W1173" i="44"/>
  <c r="X1184" i="44"/>
  <c r="O550" i="44"/>
  <c r="O1130" i="44" s="1"/>
  <c r="Q550" i="44"/>
  <c r="Q1130" i="44" s="1"/>
  <c r="P1130" i="44"/>
  <c r="E1327" i="44"/>
  <c r="J544" i="44"/>
  <c r="J1124" i="44" s="1"/>
  <c r="K1124" i="44"/>
  <c r="J47" i="44"/>
  <c r="J627" i="44" s="1"/>
  <c r="K627" i="44"/>
  <c r="G1312" i="44"/>
  <c r="J125" i="44"/>
  <c r="J705" i="44" s="1"/>
  <c r="K705" i="44"/>
  <c r="Q1329" i="44"/>
  <c r="J499" i="44"/>
  <c r="J1079" i="44" s="1"/>
  <c r="K1079" i="44"/>
  <c r="W1251" i="44"/>
  <c r="J525" i="44"/>
  <c r="J1105" i="44" s="1"/>
  <c r="K1105" i="44"/>
  <c r="J274" i="44"/>
  <c r="J854" i="44" s="1"/>
  <c r="K854" i="44"/>
  <c r="Q167" i="44"/>
  <c r="Q747" i="44" s="1"/>
  <c r="O167" i="44"/>
  <c r="O747" i="44" s="1"/>
  <c r="P747" i="44"/>
  <c r="J309" i="44"/>
  <c r="J889" i="44" s="1"/>
  <c r="K889" i="44"/>
  <c r="W1169" i="44"/>
  <c r="J354" i="44"/>
  <c r="J934" i="44" s="1"/>
  <c r="K934" i="44"/>
  <c r="O364" i="44"/>
  <c r="O944" i="44" s="1"/>
  <c r="Q364" i="44"/>
  <c r="Q944" i="44" s="1"/>
  <c r="P944" i="44"/>
  <c r="Q131" i="44"/>
  <c r="Q711" i="44" s="1"/>
  <c r="O1219" i="44" s="1"/>
  <c r="O131" i="44"/>
  <c r="O711" i="44" s="1"/>
  <c r="P711" i="44"/>
  <c r="J174" i="44"/>
  <c r="J754" i="44" s="1"/>
  <c r="K754" i="44"/>
  <c r="Q460" i="44"/>
  <c r="Q1040" i="44" s="1"/>
  <c r="O460" i="44"/>
  <c r="O1040" i="44" s="1"/>
  <c r="P1040" i="44"/>
  <c r="J204" i="44"/>
  <c r="J784" i="44" s="1"/>
  <c r="K784" i="44"/>
  <c r="Q235" i="44"/>
  <c r="Q815" i="44" s="1"/>
  <c r="O235" i="44"/>
  <c r="O815" i="44" s="1"/>
  <c r="P815" i="44"/>
  <c r="J575" i="44"/>
  <c r="J1155" i="44" s="1"/>
  <c r="K1155" i="44"/>
  <c r="J18" i="44"/>
  <c r="J598" i="44" s="1"/>
  <c r="K598" i="44"/>
  <c r="Q1279" i="44"/>
  <c r="W1168" i="44"/>
  <c r="E1279" i="44"/>
  <c r="X1192" i="44"/>
  <c r="V1199" i="44"/>
  <c r="K1203" i="44"/>
  <c r="Q475" i="44"/>
  <c r="Q1055" i="44" s="1"/>
  <c r="O475" i="44"/>
  <c r="O1055" i="44" s="1"/>
  <c r="P1055" i="44"/>
  <c r="Q1344" i="44"/>
  <c r="O251" i="44"/>
  <c r="O831" i="44" s="1"/>
  <c r="Q251" i="44"/>
  <c r="Q831" i="44" s="1"/>
  <c r="P831" i="44"/>
  <c r="J319" i="44"/>
  <c r="J899" i="44" s="1"/>
  <c r="K899" i="44"/>
  <c r="W1177" i="44"/>
  <c r="J412" i="44"/>
  <c r="J992" i="44" s="1"/>
  <c r="K992" i="44"/>
  <c r="Q422" i="44"/>
  <c r="Q1002" i="44" s="1"/>
  <c r="O422" i="44"/>
  <c r="O1002" i="44" s="1"/>
  <c r="P1002" i="44"/>
  <c r="Q140" i="44"/>
  <c r="Q720" i="44" s="1"/>
  <c r="O140" i="44"/>
  <c r="O720" i="44" s="1"/>
  <c r="M1228" i="44" s="1"/>
  <c r="P720" i="44"/>
  <c r="N1228" i="44" s="1"/>
  <c r="J196" i="44"/>
  <c r="J776" i="44" s="1"/>
  <c r="K776" i="44"/>
  <c r="I1236" i="44" s="1"/>
  <c r="X1242" i="44"/>
  <c r="Q214" i="44"/>
  <c r="Q794" i="44" s="1"/>
  <c r="O214" i="44"/>
  <c r="O794" i="44" s="1"/>
  <c r="P794" i="44"/>
  <c r="J526" i="44"/>
  <c r="J1106" i="44" s="1"/>
  <c r="K1106" i="44"/>
  <c r="O544" i="44"/>
  <c r="O1124" i="44" s="1"/>
  <c r="Q544" i="44"/>
  <c r="Q1124" i="44" s="1"/>
  <c r="P1124" i="44"/>
  <c r="J284" i="44"/>
  <c r="J864" i="44" s="1"/>
  <c r="K864" i="44"/>
  <c r="Q283" i="44"/>
  <c r="Q863" i="44" s="1"/>
  <c r="O283" i="44"/>
  <c r="O863" i="44" s="1"/>
  <c r="P863" i="44"/>
  <c r="J153" i="44"/>
  <c r="J733" i="44" s="1"/>
  <c r="K733" i="44"/>
  <c r="J295" i="44"/>
  <c r="J875" i="44" s="1"/>
  <c r="K875" i="44"/>
  <c r="X1178" i="44"/>
  <c r="J1170" i="44"/>
  <c r="G1316" i="44"/>
  <c r="X1245" i="44"/>
  <c r="E1342" i="44"/>
  <c r="J234" i="44"/>
  <c r="J814" i="44" s="1"/>
  <c r="K814" i="44"/>
  <c r="J558" i="44"/>
  <c r="J1138" i="44" s="1"/>
  <c r="K1138" i="44"/>
  <c r="J1225" i="44"/>
  <c r="Q135" i="44"/>
  <c r="Q715" i="44" s="1"/>
  <c r="O135" i="44"/>
  <c r="O715" i="44" s="1"/>
  <c r="P715" i="44"/>
  <c r="J501" i="44"/>
  <c r="J1081" i="44" s="1"/>
  <c r="K1081" i="44"/>
  <c r="Q486" i="44"/>
  <c r="Q1066" i="44" s="1"/>
  <c r="O486" i="44"/>
  <c r="O1066" i="44" s="1"/>
  <c r="M1238" i="44" s="1"/>
  <c r="P1066" i="44"/>
  <c r="Q201" i="44"/>
  <c r="Q781" i="44" s="1"/>
  <c r="O201" i="44"/>
  <c r="O781" i="44" s="1"/>
  <c r="P781" i="44"/>
  <c r="Q216" i="44"/>
  <c r="Q796" i="44" s="1"/>
  <c r="O216" i="44"/>
  <c r="O796" i="44" s="1"/>
  <c r="P796" i="44"/>
  <c r="Q253" i="44"/>
  <c r="Q833" i="44" s="1"/>
  <c r="O253" i="44"/>
  <c r="O833" i="44" s="1"/>
  <c r="P833" i="44"/>
  <c r="J306" i="44"/>
  <c r="J886" i="44" s="1"/>
  <c r="K886" i="44"/>
  <c r="X1165" i="44"/>
  <c r="J40" i="44"/>
  <c r="J620" i="44" s="1"/>
  <c r="K620" i="44"/>
  <c r="J350" i="44"/>
  <c r="J930" i="44" s="1"/>
  <c r="K930" i="44"/>
  <c r="W1195" i="44"/>
  <c r="X1225" i="44"/>
  <c r="J190" i="44"/>
  <c r="J770" i="44" s="1"/>
  <c r="K770" i="44"/>
  <c r="J208" i="44"/>
  <c r="J788" i="44" s="1"/>
  <c r="K788" i="44"/>
  <c r="J542" i="44"/>
  <c r="J1122" i="44" s="1"/>
  <c r="K1122" i="44"/>
  <c r="V1186" i="44"/>
  <c r="Q51" i="44"/>
  <c r="Q631" i="44" s="1"/>
  <c r="O51" i="44"/>
  <c r="O631" i="44" s="1"/>
  <c r="P631" i="44"/>
  <c r="J129" i="44"/>
  <c r="J709" i="44" s="1"/>
  <c r="K709" i="44"/>
  <c r="V1215" i="44"/>
  <c r="Q1326" i="44"/>
  <c r="Q195" i="44"/>
  <c r="Q775" i="44" s="1"/>
  <c r="O195" i="44"/>
  <c r="O775" i="44" s="1"/>
  <c r="P775" i="44"/>
  <c r="J508" i="44"/>
  <c r="J1088" i="44" s="1"/>
  <c r="K1088" i="44"/>
  <c r="V1184" i="44"/>
  <c r="O455" i="44"/>
  <c r="O1035" i="44" s="1"/>
  <c r="Q455" i="44"/>
  <c r="Q1035" i="44" s="1"/>
  <c r="P1035" i="44"/>
  <c r="E1328" i="44"/>
  <c r="Q1280" i="44"/>
  <c r="E1299" i="44"/>
  <c r="Q417" i="44"/>
  <c r="Q997" i="44" s="1"/>
  <c r="O417" i="44"/>
  <c r="O997" i="44" s="1"/>
  <c r="P997" i="44"/>
  <c r="V1255" i="44"/>
  <c r="O502" i="44"/>
  <c r="O1082" i="44" s="1"/>
  <c r="Q502" i="44"/>
  <c r="Q1082" i="44" s="1"/>
  <c r="P1082" i="44"/>
  <c r="J512" i="44"/>
  <c r="J1092" i="44" s="1"/>
  <c r="K1092" i="44"/>
  <c r="Q554" i="44"/>
  <c r="Q1134" i="44" s="1"/>
  <c r="O554" i="44"/>
  <c r="O1134" i="44" s="1"/>
  <c r="P1134" i="44"/>
  <c r="X1174" i="44"/>
  <c r="J75" i="44"/>
  <c r="J655" i="44" s="1"/>
  <c r="K655" i="44"/>
  <c r="J51" i="44"/>
  <c r="J631" i="44" s="1"/>
  <c r="K631" i="44"/>
  <c r="E1309" i="44"/>
  <c r="J429" i="44"/>
  <c r="J1009" i="44" s="1"/>
  <c r="K1009" i="44"/>
  <c r="J560" i="44"/>
  <c r="J1140" i="44" s="1"/>
  <c r="K1140" i="44"/>
  <c r="J114" i="44"/>
  <c r="J694" i="44" s="1"/>
  <c r="K694" i="44"/>
  <c r="J88" i="44"/>
  <c r="J668" i="44" s="1"/>
  <c r="K668" i="44"/>
  <c r="J103" i="44"/>
  <c r="J683" i="44" s="1"/>
  <c r="K683" i="44"/>
  <c r="Q339" i="44"/>
  <c r="Q919" i="44" s="1"/>
  <c r="O339" i="44"/>
  <c r="O919" i="44" s="1"/>
  <c r="P919" i="44"/>
  <c r="J382" i="44"/>
  <c r="J962" i="44" s="1"/>
  <c r="K962" i="44"/>
  <c r="V1200" i="44"/>
  <c r="J298" i="44"/>
  <c r="J878" i="44" s="1"/>
  <c r="K878" i="44"/>
  <c r="Q1295" i="44"/>
  <c r="J369" i="44"/>
  <c r="J949" i="44" s="1"/>
  <c r="K949" i="44"/>
  <c r="J535" i="44"/>
  <c r="J1115" i="44" s="1"/>
  <c r="K1115" i="44"/>
  <c r="Q27" i="44"/>
  <c r="Q607" i="44" s="1"/>
  <c r="O27" i="44"/>
  <c r="O607" i="44" s="1"/>
  <c r="M1187" i="44" s="1"/>
  <c r="P607" i="44"/>
  <c r="N1187" i="44" s="1"/>
  <c r="J66" i="44"/>
  <c r="J646" i="44" s="1"/>
  <c r="K646" i="44"/>
  <c r="Q112" i="44"/>
  <c r="Q692" i="44" s="1"/>
  <c r="O112" i="44"/>
  <c r="O692" i="44" s="1"/>
  <c r="P692" i="44"/>
  <c r="J97" i="44"/>
  <c r="J677" i="44" s="1"/>
  <c r="K677" i="44"/>
  <c r="J135" i="44"/>
  <c r="J715" i="44" s="1"/>
  <c r="K715" i="44"/>
  <c r="Q1312" i="44"/>
  <c r="E1307" i="44"/>
  <c r="Q120" i="44"/>
  <c r="Q700" i="44" s="1"/>
  <c r="O120" i="44"/>
  <c r="O700" i="44" s="1"/>
  <c r="P700" i="44"/>
  <c r="O511" i="44"/>
  <c r="O1091" i="44" s="1"/>
  <c r="Q511" i="44"/>
  <c r="Q1091" i="44" s="1"/>
  <c r="P1091" i="44"/>
  <c r="J173" i="44"/>
  <c r="J753" i="44" s="1"/>
  <c r="K753" i="44"/>
  <c r="J62" i="44"/>
  <c r="J642" i="44" s="1"/>
  <c r="K642" i="44"/>
  <c r="Q1304" i="44"/>
  <c r="L1200" i="44"/>
  <c r="J420" i="44"/>
  <c r="J1000" i="44" s="1"/>
  <c r="K1000" i="44"/>
  <c r="W1216" i="44"/>
  <c r="J198" i="44"/>
  <c r="J778" i="44" s="1"/>
  <c r="K778" i="44"/>
  <c r="Q1352" i="44"/>
  <c r="X1257" i="44"/>
  <c r="Q205" i="44"/>
  <c r="Q785" i="44" s="1"/>
  <c r="O1245" i="44" s="1"/>
  <c r="O205" i="44"/>
  <c r="O785" i="44" s="1"/>
  <c r="P785" i="44"/>
  <c r="N1245" i="44" s="1"/>
  <c r="J266" i="44"/>
  <c r="J846" i="44" s="1"/>
  <c r="K846" i="44"/>
  <c r="Q560" i="44"/>
  <c r="Q1140" i="44" s="1"/>
  <c r="O560" i="44"/>
  <c r="O1140" i="44" s="1"/>
  <c r="P1140" i="44"/>
  <c r="Q152" i="44"/>
  <c r="Q732" i="44" s="1"/>
  <c r="O152" i="44"/>
  <c r="O732" i="44" s="1"/>
  <c r="P732" i="44"/>
  <c r="W1175" i="44"/>
  <c r="J321" i="44"/>
  <c r="J901" i="44" s="1"/>
  <c r="K901" i="44"/>
  <c r="J358" i="44"/>
  <c r="J938" i="44" s="1"/>
  <c r="K938" i="44"/>
  <c r="E1320" i="44"/>
  <c r="V1220" i="44"/>
  <c r="J490" i="44"/>
  <c r="J1070" i="44" s="1"/>
  <c r="K1070" i="44"/>
  <c r="I1242" i="44" s="1"/>
  <c r="Q1349" i="44"/>
  <c r="J555" i="44"/>
  <c r="J1135" i="44" s="1"/>
  <c r="K1135" i="44"/>
  <c r="J561" i="44"/>
  <c r="J1141" i="44" s="1"/>
  <c r="K1141" i="44"/>
  <c r="E1325" i="44"/>
  <c r="W1186" i="44"/>
  <c r="Q325" i="44"/>
  <c r="Q905" i="44" s="1"/>
  <c r="O325" i="44"/>
  <c r="O905" i="44" s="1"/>
  <c r="P905" i="44"/>
  <c r="J126" i="44"/>
  <c r="J706" i="44" s="1"/>
  <c r="K706" i="44"/>
  <c r="G1350" i="44"/>
  <c r="O237" i="44"/>
  <c r="O817" i="44" s="1"/>
  <c r="Q237" i="44"/>
  <c r="Q817" i="44" s="1"/>
  <c r="P817" i="44"/>
  <c r="Q259" i="44"/>
  <c r="Q839" i="44" s="1"/>
  <c r="O259" i="44"/>
  <c r="O839" i="44" s="1"/>
  <c r="P839" i="44"/>
  <c r="O578" i="44"/>
  <c r="O1158" i="44" s="1"/>
  <c r="Q578" i="44"/>
  <c r="Q1158" i="44" s="1"/>
  <c r="P1158" i="44"/>
  <c r="Q276" i="44"/>
  <c r="Q856" i="44" s="1"/>
  <c r="O276" i="44"/>
  <c r="O856" i="44" s="1"/>
  <c r="P856" i="44"/>
  <c r="J39" i="44"/>
  <c r="J619" i="44" s="1"/>
  <c r="K619" i="44"/>
  <c r="O37" i="44"/>
  <c r="O617" i="44" s="1"/>
  <c r="Q37" i="44"/>
  <c r="Q617" i="44" s="1"/>
  <c r="P617" i="44"/>
  <c r="G1303" i="44"/>
  <c r="E1324" i="44"/>
  <c r="W1255" i="44"/>
  <c r="J528" i="44"/>
  <c r="J1108" i="44" s="1"/>
  <c r="K1108" i="44"/>
  <c r="O515" i="44"/>
  <c r="O1095" i="44" s="1"/>
  <c r="Q515" i="44"/>
  <c r="Q1095" i="44" s="1"/>
  <c r="P1095" i="44"/>
  <c r="J70" i="44"/>
  <c r="J650" i="44" s="1"/>
  <c r="K650" i="44"/>
  <c r="W1208" i="44"/>
  <c r="J210" i="44"/>
  <c r="J790" i="44" s="1"/>
  <c r="K790" i="44"/>
  <c r="J367" i="44"/>
  <c r="J947" i="44" s="1"/>
  <c r="K947" i="44"/>
  <c r="Q88" i="44"/>
  <c r="Q668" i="44" s="1"/>
  <c r="O88" i="44"/>
  <c r="O668" i="44" s="1"/>
  <c r="P668" i="44"/>
  <c r="J563" i="44"/>
  <c r="J1143" i="44" s="1"/>
  <c r="K1143" i="44"/>
  <c r="J379" i="44"/>
  <c r="J959" i="44" s="1"/>
  <c r="K959" i="44"/>
  <c r="O370" i="44"/>
  <c r="O950" i="44" s="1"/>
  <c r="Q370" i="44"/>
  <c r="Q950" i="44" s="1"/>
  <c r="P950" i="44"/>
  <c r="V1234" i="44"/>
  <c r="O221" i="44"/>
  <c r="O801" i="44" s="1"/>
  <c r="M1237" i="44" s="1"/>
  <c r="Q221" i="44"/>
  <c r="Q801" i="44" s="1"/>
  <c r="P801" i="44"/>
  <c r="N1237" i="44" s="1"/>
  <c r="Q379" i="44"/>
  <c r="Q959" i="44" s="1"/>
  <c r="O379" i="44"/>
  <c r="O959" i="44" s="1"/>
  <c r="P959" i="44"/>
  <c r="Q576" i="44"/>
  <c r="Q1156" i="44" s="1"/>
  <c r="O576" i="44"/>
  <c r="O1156" i="44" s="1"/>
  <c r="P1156" i="44"/>
  <c r="J395" i="44"/>
  <c r="J975" i="44" s="1"/>
  <c r="K975" i="44"/>
  <c r="Q378" i="44"/>
  <c r="Q958" i="44" s="1"/>
  <c r="O378" i="44"/>
  <c r="O958" i="44" s="1"/>
  <c r="P958" i="44"/>
  <c r="O563" i="44"/>
  <c r="O1143" i="44" s="1"/>
  <c r="Q563" i="44"/>
  <c r="Q1143" i="44" s="1"/>
  <c r="P1143" i="44"/>
  <c r="Q1308" i="44"/>
  <c r="J378" i="44"/>
  <c r="J958" i="44" s="1"/>
  <c r="K958" i="44"/>
  <c r="Q84" i="44"/>
  <c r="Q664" i="44" s="1"/>
  <c r="O84" i="44"/>
  <c r="O664" i="44" s="1"/>
  <c r="P664" i="44"/>
  <c r="V1218" i="44"/>
  <c r="J149" i="44"/>
  <c r="J729" i="44" s="1"/>
  <c r="K729" i="44"/>
  <c r="W1200" i="44"/>
  <c r="Q113" i="44"/>
  <c r="Q693" i="44" s="1"/>
  <c r="O113" i="44"/>
  <c r="O693" i="44" s="1"/>
  <c r="P693" i="44"/>
  <c r="O119" i="44"/>
  <c r="O699" i="44" s="1"/>
  <c r="Q119" i="44"/>
  <c r="Q699" i="44" s="1"/>
  <c r="P699" i="44"/>
  <c r="J1187" i="44"/>
  <c r="J383" i="44"/>
  <c r="J963" i="44" s="1"/>
  <c r="K963" i="44"/>
  <c r="O61" i="44"/>
  <c r="O641" i="44" s="1"/>
  <c r="Q61" i="44"/>
  <c r="Q641" i="44" s="1"/>
  <c r="P641" i="44"/>
  <c r="V1202" i="44"/>
  <c r="Q92" i="44"/>
  <c r="Q672" i="44" s="1"/>
  <c r="O92" i="44"/>
  <c r="O672" i="44" s="1"/>
  <c r="P672" i="44"/>
  <c r="V1252" i="44"/>
  <c r="O518" i="44"/>
  <c r="O1098" i="44" s="1"/>
  <c r="Q518" i="44"/>
  <c r="Q1098" i="44" s="1"/>
  <c r="P1098" i="44"/>
  <c r="J444" i="44"/>
  <c r="J1024" i="44" s="1"/>
  <c r="K1024" i="44"/>
  <c r="D1198" i="44"/>
  <c r="E1264" i="44" s="1"/>
  <c r="O393" i="44"/>
  <c r="O973" i="44" s="1"/>
  <c r="Q393" i="44"/>
  <c r="Q973" i="44" s="1"/>
  <c r="P973" i="44"/>
  <c r="Q101" i="44"/>
  <c r="Q681" i="44" s="1"/>
  <c r="O101" i="44"/>
  <c r="O681" i="44" s="1"/>
  <c r="P681" i="44"/>
  <c r="G1358" i="44"/>
  <c r="J243" i="44"/>
  <c r="J823" i="44" s="1"/>
  <c r="K823" i="44"/>
  <c r="Q530" i="44"/>
  <c r="Q1110" i="44" s="1"/>
  <c r="O530" i="44"/>
  <c r="O1110" i="44" s="1"/>
  <c r="P1110" i="44"/>
  <c r="J538" i="44"/>
  <c r="J1118" i="44" s="1"/>
  <c r="K1118" i="44"/>
  <c r="O263" i="44"/>
  <c r="O843" i="44" s="1"/>
  <c r="Q263" i="44"/>
  <c r="Q843" i="44" s="1"/>
  <c r="P843" i="44"/>
  <c r="J459" i="44"/>
  <c r="J1039" i="44" s="1"/>
  <c r="K1039" i="44"/>
  <c r="J19" i="44"/>
  <c r="J599" i="44" s="1"/>
  <c r="K599" i="44"/>
  <c r="V1167" i="44"/>
  <c r="E1297" i="44"/>
  <c r="W1233" i="44"/>
  <c r="Q137" i="44"/>
  <c r="Q717" i="44" s="1"/>
  <c r="O1225" i="44" s="1"/>
  <c r="O137" i="44"/>
  <c r="O717" i="44" s="1"/>
  <c r="P717" i="44"/>
  <c r="N1225" i="44" s="1"/>
  <c r="E1349" i="44"/>
  <c r="J267" i="44"/>
  <c r="J847" i="44" s="1"/>
  <c r="K847" i="44"/>
  <c r="J276" i="44"/>
  <c r="J856" i="44" s="1"/>
  <c r="K856" i="44"/>
  <c r="V1164" i="44"/>
  <c r="W1166" i="44"/>
  <c r="J49" i="44"/>
  <c r="J629" i="44" s="1"/>
  <c r="K629" i="44"/>
  <c r="J361" i="44"/>
  <c r="J941" i="44" s="1"/>
  <c r="K941" i="44"/>
  <c r="G1293" i="44"/>
  <c r="Q1324" i="44"/>
  <c r="Q139" i="44"/>
  <c r="Q719" i="44" s="1"/>
  <c r="O139" i="44"/>
  <c r="O719" i="44" s="1"/>
  <c r="P719" i="44"/>
  <c r="V1239" i="44"/>
  <c r="J536" i="44"/>
  <c r="J1116" i="44" s="1"/>
  <c r="K1116" i="44"/>
  <c r="Q246" i="44"/>
  <c r="Q826" i="44" s="1"/>
  <c r="O246" i="44"/>
  <c r="O826" i="44" s="1"/>
  <c r="P826" i="44"/>
  <c r="G1275" i="44"/>
  <c r="E1318" i="44"/>
  <c r="Q463" i="44"/>
  <c r="Q1043" i="44" s="1"/>
  <c r="O463" i="44"/>
  <c r="O1043" i="44" s="1"/>
  <c r="P1043" i="44"/>
  <c r="Q1355" i="44"/>
  <c r="Q1353" i="44"/>
  <c r="O262" i="44"/>
  <c r="O842" i="44" s="1"/>
  <c r="Q262" i="44"/>
  <c r="Q842" i="44" s="1"/>
  <c r="P842" i="44"/>
  <c r="Q447" i="44"/>
  <c r="Q1027" i="44" s="1"/>
  <c r="O447" i="44"/>
  <c r="O1027" i="44" s="1"/>
  <c r="P1027" i="44"/>
  <c r="Q64" i="44"/>
  <c r="Q644" i="44" s="1"/>
  <c r="O64" i="44"/>
  <c r="O644" i="44" s="1"/>
  <c r="P644" i="44"/>
  <c r="J183" i="44"/>
  <c r="J763" i="44" s="1"/>
  <c r="K763" i="44"/>
  <c r="X1216" i="44"/>
  <c r="V1246" i="44"/>
  <c r="Q1290" i="44"/>
  <c r="V1173" i="44"/>
  <c r="V1165" i="44"/>
  <c r="Q1272" i="44"/>
  <c r="J363" i="44"/>
  <c r="J943" i="44" s="1"/>
  <c r="K943" i="44"/>
  <c r="U1306" i="44"/>
  <c r="Q1333" i="44"/>
  <c r="J495" i="44"/>
  <c r="J1075" i="44" s="1"/>
  <c r="H1247" i="44" s="1"/>
  <c r="K1075" i="44"/>
  <c r="N1248" i="44"/>
  <c r="J156" i="44"/>
  <c r="J736" i="44" s="1"/>
  <c r="K736" i="44"/>
  <c r="W1214" i="44"/>
  <c r="J9" i="44"/>
  <c r="J589" i="44" s="1"/>
  <c r="K589" i="44"/>
  <c r="X1186" i="44"/>
  <c r="W1206" i="44"/>
  <c r="G1327" i="44"/>
  <c r="W1215" i="44"/>
  <c r="Q185" i="44"/>
  <c r="Q765" i="44" s="1"/>
  <c r="O185" i="44"/>
  <c r="O765" i="44" s="1"/>
  <c r="P765" i="44"/>
  <c r="J211" i="44"/>
  <c r="J791" i="44" s="1"/>
  <c r="K791" i="44"/>
  <c r="Q488" i="44"/>
  <c r="Q1068" i="44" s="1"/>
  <c r="O488" i="44"/>
  <c r="O1068" i="44" s="1"/>
  <c r="P1068" i="44"/>
  <c r="Q1354" i="44"/>
  <c r="Q1348" i="44"/>
  <c r="X1185" i="44"/>
  <c r="J34" i="44"/>
  <c r="J614" i="44" s="1"/>
  <c r="K614" i="44"/>
  <c r="W1229" i="44"/>
  <c r="Q1342" i="44"/>
  <c r="J520" i="44"/>
  <c r="J1100" i="44" s="1"/>
  <c r="K1100" i="44"/>
  <c r="Q548" i="44"/>
  <c r="Q1128" i="44" s="1"/>
  <c r="O548" i="44"/>
  <c r="O1128" i="44" s="1"/>
  <c r="P1128" i="44"/>
  <c r="J160" i="44"/>
  <c r="J740" i="44" s="1"/>
  <c r="K740" i="44"/>
  <c r="G1291" i="44"/>
  <c r="O314" i="44"/>
  <c r="O894" i="44" s="1"/>
  <c r="Q314" i="44"/>
  <c r="Q894" i="44" s="1"/>
  <c r="P894" i="44"/>
  <c r="J336" i="44"/>
  <c r="J916" i="44" s="1"/>
  <c r="K916" i="44"/>
  <c r="J352" i="44"/>
  <c r="J932" i="44" s="1"/>
  <c r="K932" i="44"/>
  <c r="J203" i="44"/>
  <c r="J783" i="44" s="1"/>
  <c r="K783" i="44"/>
  <c r="Q571" i="44"/>
  <c r="Q1151" i="44" s="1"/>
  <c r="O571" i="44"/>
  <c r="O1151" i="44" s="1"/>
  <c r="P1151" i="44"/>
  <c r="J386" i="44"/>
  <c r="J966" i="44" s="1"/>
  <c r="K966" i="44"/>
  <c r="J475" i="44"/>
  <c r="J1055" i="44" s="1"/>
  <c r="K1055" i="44"/>
  <c r="Q93" i="44"/>
  <c r="Q673" i="44" s="1"/>
  <c r="O93" i="44"/>
  <c r="O673" i="44" s="1"/>
  <c r="P673" i="44"/>
  <c r="J46" i="44"/>
  <c r="J626" i="44" s="1"/>
  <c r="K626" i="44"/>
  <c r="J78" i="44"/>
  <c r="J658" i="44" s="1"/>
  <c r="K658" i="44"/>
  <c r="J77" i="44"/>
  <c r="J657" i="44" s="1"/>
  <c r="K657" i="44"/>
  <c r="Q28" i="44"/>
  <c r="Q608" i="44" s="1"/>
  <c r="O28" i="44"/>
  <c r="O608" i="44" s="1"/>
  <c r="P608" i="44"/>
  <c r="Q470" i="44"/>
  <c r="Q1050" i="44" s="1"/>
  <c r="O470" i="44"/>
  <c r="O1050" i="44" s="1"/>
  <c r="P1050" i="44"/>
  <c r="J345" i="44"/>
  <c r="J925" i="44" s="1"/>
  <c r="K925" i="44"/>
  <c r="J404" i="44"/>
  <c r="J984" i="44" s="1"/>
  <c r="K984" i="44"/>
  <c r="Q396" i="44"/>
  <c r="Q976" i="44" s="1"/>
  <c r="O396" i="44"/>
  <c r="O976" i="44" s="1"/>
  <c r="P976" i="44"/>
  <c r="J85" i="44"/>
  <c r="J665" i="44" s="1"/>
  <c r="K665" i="44"/>
  <c r="J54" i="44"/>
  <c r="J634" i="44" s="1"/>
  <c r="K634" i="44"/>
  <c r="Q401" i="44"/>
  <c r="Q981" i="44" s="1"/>
  <c r="O401" i="44"/>
  <c r="O981" i="44" s="1"/>
  <c r="P981" i="44"/>
  <c r="X1200" i="44"/>
  <c r="J104" i="44"/>
  <c r="J684" i="44" s="1"/>
  <c r="K684" i="44"/>
  <c r="O381" i="44"/>
  <c r="O961" i="44" s="1"/>
  <c r="Q381" i="44"/>
  <c r="Q961" i="44" s="1"/>
  <c r="P961" i="44"/>
  <c r="J338" i="44"/>
  <c r="J918" i="44" s="1"/>
  <c r="K918" i="44"/>
  <c r="J107" i="44"/>
  <c r="J687" i="44" s="1"/>
  <c r="K687" i="44"/>
  <c r="J15" i="44"/>
  <c r="J595" i="44" s="1"/>
  <c r="K595" i="44"/>
  <c r="V1190" i="44"/>
  <c r="Q392" i="44"/>
  <c r="Q972" i="44" s="1"/>
  <c r="O392" i="44"/>
  <c r="O972" i="44" s="1"/>
  <c r="P972" i="44"/>
  <c r="O177" i="44"/>
  <c r="O757" i="44" s="1"/>
  <c r="Q177" i="44"/>
  <c r="Q757" i="44" s="1"/>
  <c r="P757" i="44"/>
  <c r="J74" i="44"/>
  <c r="J654" i="44" s="1"/>
  <c r="K654" i="44"/>
  <c r="G1300" i="44"/>
  <c r="W1202" i="44"/>
  <c r="O107" i="44"/>
  <c r="O687" i="44" s="1"/>
  <c r="Q107" i="44"/>
  <c r="Q687" i="44" s="1"/>
  <c r="P687" i="44"/>
  <c r="W1252" i="44"/>
  <c r="Q514" i="44"/>
  <c r="Q1094" i="44" s="1"/>
  <c r="O514" i="44"/>
  <c r="O1094" i="44" s="1"/>
  <c r="P1094" i="44"/>
  <c r="W1219" i="44"/>
  <c r="Q1294" i="44"/>
  <c r="V1176" i="44"/>
  <c r="G1294" i="44"/>
  <c r="X1222" i="44"/>
  <c r="J181" i="44"/>
  <c r="J761" i="44" s="1"/>
  <c r="K761" i="44"/>
  <c r="O461" i="44"/>
  <c r="O1041" i="44" s="1"/>
  <c r="Q461" i="44"/>
  <c r="Q1041" i="44" s="1"/>
  <c r="P1041" i="44"/>
  <c r="X1246" i="44"/>
  <c r="Q204" i="44"/>
  <c r="Q784" i="44" s="1"/>
  <c r="O204" i="44"/>
  <c r="O784" i="44" s="1"/>
  <c r="P784" i="44"/>
  <c r="O278" i="44"/>
  <c r="O858" i="44" s="1"/>
  <c r="Q278" i="44"/>
  <c r="Q858" i="44" s="1"/>
  <c r="P858" i="44"/>
  <c r="Q1332" i="44"/>
  <c r="W1184" i="44"/>
  <c r="E1285" i="44"/>
  <c r="O318" i="44"/>
  <c r="O898" i="44" s="1"/>
  <c r="Q318" i="44"/>
  <c r="Q898" i="44" s="1"/>
  <c r="P898" i="44"/>
  <c r="J1188" i="44"/>
  <c r="J140" i="44"/>
  <c r="J720" i="44" s="1"/>
  <c r="K720" i="44"/>
  <c r="W1220" i="44"/>
  <c r="Q225" i="44"/>
  <c r="Q805" i="44" s="1"/>
  <c r="O225" i="44"/>
  <c r="O805" i="44" s="1"/>
  <c r="P805" i="44"/>
  <c r="J441" i="44"/>
  <c r="J1021" i="44" s="1"/>
  <c r="K1021" i="44"/>
  <c r="J302" i="44"/>
  <c r="J882" i="44" s="1"/>
  <c r="K882" i="44"/>
  <c r="V1174" i="44"/>
  <c r="X1206" i="44"/>
  <c r="G1317" i="44"/>
  <c r="G1319" i="44"/>
  <c r="J486" i="44"/>
  <c r="J1066" i="44" s="1"/>
  <c r="K1066" i="44"/>
  <c r="V1237" i="44"/>
  <c r="Q250" i="44"/>
  <c r="Q830" i="44" s="1"/>
  <c r="O250" i="44"/>
  <c r="O830" i="44" s="1"/>
  <c r="P830" i="44"/>
  <c r="V1175" i="44"/>
  <c r="X1173" i="44"/>
  <c r="J322" i="44"/>
  <c r="J902" i="44" s="1"/>
  <c r="K902" i="44"/>
  <c r="Q32" i="44"/>
  <c r="Q612" i="44" s="1"/>
  <c r="O32" i="44"/>
  <c r="O612" i="44" s="1"/>
  <c r="P612" i="44"/>
  <c r="V1250" i="44"/>
  <c r="Q256" i="44"/>
  <c r="Q836" i="44" s="1"/>
  <c r="O256" i="44"/>
  <c r="O836" i="44" s="1"/>
  <c r="P836" i="44"/>
  <c r="Q149" i="44"/>
  <c r="Q729" i="44" s="1"/>
  <c r="O149" i="44"/>
  <c r="O729" i="44" s="1"/>
  <c r="P729" i="44"/>
  <c r="J1186" i="44"/>
  <c r="J329" i="44"/>
  <c r="J909" i="44" s="1"/>
  <c r="K909" i="44"/>
  <c r="J1164" i="44"/>
  <c r="Q362" i="44"/>
  <c r="Q942" i="44" s="1"/>
  <c r="O362" i="44"/>
  <c r="O942" i="44" s="1"/>
  <c r="P942" i="44"/>
  <c r="J446" i="44"/>
  <c r="J1026" i="44" s="1"/>
  <c r="K1026" i="44"/>
  <c r="Q48" i="44"/>
  <c r="Q628" i="44" s="1"/>
  <c r="O48" i="44"/>
  <c r="O628" i="44" s="1"/>
  <c r="P628" i="44"/>
  <c r="J375" i="44"/>
  <c r="J955" i="44" s="1"/>
  <c r="K955" i="44"/>
  <c r="Q81" i="44"/>
  <c r="Q661" i="44" s="1"/>
  <c r="O81" i="44"/>
  <c r="O661" i="44" s="1"/>
  <c r="P661" i="44"/>
  <c r="Q574" i="44"/>
  <c r="Q1154" i="44" s="1"/>
  <c r="O574" i="44"/>
  <c r="O1154" i="44" s="1"/>
  <c r="P1154" i="44"/>
  <c r="J376" i="44"/>
  <c r="J956" i="44" s="1"/>
  <c r="K956" i="44"/>
  <c r="W1234" i="44"/>
  <c r="M1203" i="44"/>
  <c r="O386" i="44"/>
  <c r="O966" i="44" s="1"/>
  <c r="Q386" i="44"/>
  <c r="Q966" i="44" s="1"/>
  <c r="P966" i="44"/>
  <c r="J91" i="44"/>
  <c r="J671" i="44" s="1"/>
  <c r="K671" i="44"/>
  <c r="J364" i="44"/>
  <c r="J944" i="44" s="1"/>
  <c r="K944" i="44"/>
  <c r="J92" i="44"/>
  <c r="J672" i="44" s="1"/>
  <c r="K672" i="44"/>
  <c r="J81" i="44"/>
  <c r="J661" i="44" s="1"/>
  <c r="K661" i="44"/>
  <c r="E1303" i="44"/>
  <c r="O123" i="44"/>
  <c r="O703" i="44" s="1"/>
  <c r="Q123" i="44"/>
  <c r="Q703" i="44" s="1"/>
  <c r="P703" i="44"/>
  <c r="X1218" i="44"/>
  <c r="E1302" i="44"/>
  <c r="J94" i="44"/>
  <c r="J674" i="44" s="1"/>
  <c r="K674" i="44"/>
  <c r="V1212" i="44"/>
  <c r="J314" i="44"/>
  <c r="J894" i="44" s="1"/>
  <c r="K894" i="44"/>
  <c r="J397" i="44"/>
  <c r="J977" i="44" s="1"/>
  <c r="K977" i="44"/>
  <c r="O118" i="44"/>
  <c r="O698" i="44" s="1"/>
  <c r="Q118" i="44"/>
  <c r="Q698" i="44" s="1"/>
  <c r="P698" i="44"/>
  <c r="Q538" i="44"/>
  <c r="Q1118" i="44" s="1"/>
  <c r="O538" i="44"/>
  <c r="O1118" i="44" s="1"/>
  <c r="P1118" i="44"/>
  <c r="O446" i="44"/>
  <c r="O1026" i="44" s="1"/>
  <c r="M1222" i="44" s="1"/>
  <c r="Q446" i="44"/>
  <c r="Q1026" i="44" s="1"/>
  <c r="P1026" i="44"/>
  <c r="E1310" i="44"/>
  <c r="X1202" i="44"/>
  <c r="Q394" i="44"/>
  <c r="Q974" i="44" s="1"/>
  <c r="O394" i="44"/>
  <c r="O974" i="44" s="1"/>
  <c r="P974" i="44"/>
  <c r="X1252" i="44"/>
  <c r="Q508" i="44"/>
  <c r="Q1088" i="44" s="1"/>
  <c r="O508" i="44"/>
  <c r="O1088" i="44" s="1"/>
  <c r="P1088" i="44"/>
  <c r="V1264" i="44"/>
  <c r="U1303" i="44" s="1"/>
  <c r="U1269" i="44"/>
  <c r="V1180" i="44"/>
  <c r="E1301" i="44"/>
  <c r="Q52" i="44"/>
  <c r="Q632" i="44" s="1"/>
  <c r="O52" i="44"/>
  <c r="O632" i="44" s="1"/>
  <c r="P632" i="44"/>
  <c r="J434" i="44"/>
  <c r="J1014" i="44" s="1"/>
  <c r="K1014" i="44"/>
  <c r="V1232" i="44"/>
  <c r="J1233" i="44"/>
  <c r="Q277" i="44"/>
  <c r="Q857" i="44" s="1"/>
  <c r="O277" i="44"/>
  <c r="O857" i="44" s="1"/>
  <c r="P857" i="44"/>
  <c r="J445" i="44"/>
  <c r="J1025" i="44" s="1"/>
  <c r="K1025" i="44"/>
  <c r="J312" i="44"/>
  <c r="J892" i="44" s="1"/>
  <c r="K892" i="44"/>
  <c r="W1174" i="44"/>
  <c r="O18" i="44"/>
  <c r="O598" i="44" s="1"/>
  <c r="Q18" i="44"/>
  <c r="Q598" i="44" s="1"/>
  <c r="P598" i="44"/>
  <c r="V1213" i="44"/>
  <c r="J182" i="44"/>
  <c r="J762" i="44" s="1"/>
  <c r="K762" i="44"/>
  <c r="O483" i="44"/>
  <c r="O1063" i="44" s="1"/>
  <c r="Q483" i="44"/>
  <c r="Q1063" i="44" s="1"/>
  <c r="P1063" i="44"/>
  <c r="J507" i="44"/>
  <c r="J1087" i="44" s="1"/>
  <c r="K1087" i="44"/>
  <c r="W1237" i="44"/>
  <c r="O542" i="44"/>
  <c r="O1122" i="44" s="1"/>
  <c r="Q542" i="44"/>
  <c r="Q1122" i="44" s="1"/>
  <c r="P1122" i="44"/>
  <c r="J453" i="44"/>
  <c r="J1033" i="44" s="1"/>
  <c r="K1033" i="44"/>
  <c r="U1291" i="44"/>
  <c r="W1196" i="44"/>
  <c r="W1205" i="44"/>
  <c r="E1329" i="44"/>
  <c r="W1250" i="44"/>
  <c r="J1241" i="44"/>
  <c r="O547" i="44"/>
  <c r="O1127" i="44" s="1"/>
  <c r="Q547" i="44"/>
  <c r="Q1127" i="44" s="1"/>
  <c r="P1127" i="44"/>
  <c r="Q26" i="44"/>
  <c r="Q606" i="44" s="1"/>
  <c r="O1186" i="44" s="1"/>
  <c r="O26" i="44"/>
  <c r="O606" i="44" s="1"/>
  <c r="P606" i="44"/>
  <c r="N1186" i="44" s="1"/>
  <c r="Q316" i="44"/>
  <c r="Q896" i="44" s="1"/>
  <c r="O316" i="44"/>
  <c r="O896" i="44" s="1"/>
  <c r="P896" i="44"/>
  <c r="Q355" i="44"/>
  <c r="Q935" i="44" s="1"/>
  <c r="O1203" i="44" s="1"/>
  <c r="O355" i="44"/>
  <c r="O935" i="44" s="1"/>
  <c r="P935" i="44"/>
  <c r="N1203" i="44" s="1"/>
  <c r="Q1306" i="44"/>
  <c r="J373" i="44"/>
  <c r="J953" i="44" s="1"/>
  <c r="K953" i="44"/>
  <c r="J116" i="44"/>
  <c r="J696" i="44" s="1"/>
  <c r="K696" i="44"/>
  <c r="Q96" i="44"/>
  <c r="Q676" i="44" s="1"/>
  <c r="O96" i="44"/>
  <c r="O676" i="44" s="1"/>
  <c r="P676" i="44"/>
  <c r="Q228" i="44"/>
  <c r="Q808" i="44" s="1"/>
  <c r="O228" i="44"/>
  <c r="O808" i="44" s="1"/>
  <c r="P808" i="44"/>
  <c r="Q35" i="44"/>
  <c r="Q615" i="44" s="1"/>
  <c r="O35" i="44"/>
  <c r="O615" i="44" s="1"/>
  <c r="P615" i="44"/>
  <c r="Q374" i="44"/>
  <c r="Q954" i="44" s="1"/>
  <c r="O374" i="44"/>
  <c r="O954" i="44" s="1"/>
  <c r="P954" i="44"/>
  <c r="Q99" i="44"/>
  <c r="Q679" i="44" s="1"/>
  <c r="O99" i="44"/>
  <c r="O679" i="44" s="1"/>
  <c r="P679" i="44"/>
  <c r="Q230" i="44"/>
  <c r="Q810" i="44" s="1"/>
  <c r="O230" i="44"/>
  <c r="O810" i="44" s="1"/>
  <c r="P810" i="44"/>
  <c r="J113" i="44"/>
  <c r="J693" i="44" s="1"/>
  <c r="K693" i="44"/>
  <c r="Q275" i="44"/>
  <c r="Q855" i="44" s="1"/>
  <c r="O275" i="44"/>
  <c r="O855" i="44" s="1"/>
  <c r="P855" i="44"/>
  <c r="J281" i="44"/>
  <c r="J861" i="44" s="1"/>
  <c r="K861" i="44"/>
  <c r="O357" i="44"/>
  <c r="O937" i="44" s="1"/>
  <c r="Q357" i="44"/>
  <c r="Q937" i="44" s="1"/>
  <c r="P937" i="44"/>
  <c r="J380" i="44"/>
  <c r="J960" i="44" s="1"/>
  <c r="K960" i="44"/>
  <c r="J366" i="44"/>
  <c r="J946" i="44" s="1"/>
  <c r="K946" i="44"/>
  <c r="J391" i="44"/>
  <c r="J971" i="44" s="1"/>
  <c r="K971" i="44"/>
  <c r="G1313" i="44"/>
  <c r="J118" i="44"/>
  <c r="J698" i="44" s="1"/>
  <c r="K698" i="44"/>
  <c r="J93" i="44"/>
  <c r="J673" i="44" s="1"/>
  <c r="K673" i="44"/>
  <c r="Q1297" i="44"/>
  <c r="J247" i="44"/>
  <c r="J827" i="44" s="1"/>
  <c r="K827" i="44"/>
  <c r="O327" i="44"/>
  <c r="O907" i="44" s="1"/>
  <c r="Q327" i="44"/>
  <c r="Q907" i="44" s="1"/>
  <c r="P907" i="44"/>
  <c r="J410" i="44"/>
  <c r="J990" i="44" s="1"/>
  <c r="K990" i="44"/>
  <c r="Q171" i="44"/>
  <c r="Q751" i="44" s="1"/>
  <c r="O171" i="44"/>
  <c r="O751" i="44" s="1"/>
  <c r="P751" i="44"/>
  <c r="G1269" i="44"/>
  <c r="X1190" i="44"/>
  <c r="J57" i="44"/>
  <c r="J637" i="44" s="1"/>
  <c r="H1193" i="44" s="1"/>
  <c r="K637" i="44"/>
  <c r="J394" i="44"/>
  <c r="J974" i="44" s="1"/>
  <c r="K974" i="44"/>
  <c r="O288" i="44"/>
  <c r="O868" i="44" s="1"/>
  <c r="Q288" i="44"/>
  <c r="Q868" i="44" s="1"/>
  <c r="P868" i="44"/>
  <c r="Q395" i="44"/>
  <c r="Q975" i="44" s="1"/>
  <c r="O395" i="44"/>
  <c r="O975" i="44" s="1"/>
  <c r="P975" i="44"/>
  <c r="Q105" i="44"/>
  <c r="Q685" i="44" s="1"/>
  <c r="O105" i="44"/>
  <c r="O685" i="44" s="1"/>
  <c r="P685" i="44"/>
  <c r="W1176" i="44"/>
  <c r="J50" i="44"/>
  <c r="J630" i="44" s="1"/>
  <c r="K630" i="44"/>
  <c r="X1194" i="44"/>
  <c r="O418" i="44"/>
  <c r="O998" i="44" s="1"/>
  <c r="Q418" i="44"/>
  <c r="Q998" i="44" s="1"/>
  <c r="P998" i="44"/>
  <c r="Q1321" i="44"/>
  <c r="J480" i="44"/>
  <c r="J1060" i="44" s="1"/>
  <c r="K1060" i="44"/>
  <c r="Q186" i="44"/>
  <c r="Q766" i="44" s="1"/>
  <c r="O186" i="44"/>
  <c r="O766" i="44" s="1"/>
  <c r="P766" i="44"/>
  <c r="J522" i="44"/>
  <c r="J1102" i="44" s="1"/>
  <c r="K1102" i="44"/>
  <c r="E1280" i="44"/>
  <c r="W1180" i="44"/>
  <c r="Q65" i="44"/>
  <c r="Q645" i="44" s="1"/>
  <c r="O1201" i="44" s="1"/>
  <c r="O65" i="44"/>
  <c r="O645" i="44" s="1"/>
  <c r="P645" i="44"/>
  <c r="N1201" i="44" s="1"/>
  <c r="G1307" i="44"/>
  <c r="J414" i="44"/>
  <c r="J994" i="44" s="1"/>
  <c r="K994" i="44"/>
  <c r="Q145" i="44"/>
  <c r="Q725" i="44" s="1"/>
  <c r="O145" i="44"/>
  <c r="O725" i="44" s="1"/>
  <c r="P725" i="44"/>
  <c r="Q172" i="44"/>
  <c r="Q752" i="44" s="1"/>
  <c r="O172" i="44"/>
  <c r="O752" i="44" s="1"/>
  <c r="P752" i="44"/>
  <c r="J1257" i="44"/>
  <c r="V1259" i="44"/>
  <c r="J224" i="44"/>
  <c r="J804" i="44" s="1"/>
  <c r="K804" i="44"/>
  <c r="J449" i="44"/>
  <c r="J1029" i="44" s="1"/>
  <c r="K1029" i="44"/>
  <c r="U1329" i="44"/>
  <c r="G1314" i="44"/>
  <c r="U1326" i="44"/>
  <c r="J465" i="44"/>
  <c r="J1045" i="44" s="1"/>
  <c r="K1045" i="44"/>
  <c r="X1237" i="44"/>
  <c r="Q531" i="44"/>
  <c r="Q1111" i="44" s="1"/>
  <c r="O531" i="44"/>
  <c r="O1111" i="44" s="1"/>
  <c r="P1111" i="44"/>
  <c r="J457" i="44"/>
  <c r="J1037" i="44" s="1"/>
  <c r="K1037" i="44"/>
  <c r="X1175" i="44"/>
  <c r="Q17" i="44"/>
  <c r="Q597" i="44" s="1"/>
  <c r="O17" i="44"/>
  <c r="O597" i="44" s="1"/>
  <c r="P597" i="44"/>
  <c r="E1316" i="44"/>
  <c r="J142" i="44"/>
  <c r="J722" i="44" s="1"/>
  <c r="K722" i="44"/>
  <c r="Q434" i="44"/>
  <c r="Q1014" i="44" s="1"/>
  <c r="O434" i="44"/>
  <c r="O1014" i="44" s="1"/>
  <c r="M1234" i="44" s="1"/>
  <c r="P1014" i="44"/>
  <c r="N1234" i="44" s="1"/>
  <c r="O1234" i="44"/>
  <c r="Q482" i="44"/>
  <c r="Q1062" i="44" s="1"/>
  <c r="O482" i="44"/>
  <c r="O1062" i="44" s="1"/>
  <c r="P1062" i="44"/>
  <c r="E1350" i="44"/>
  <c r="E1360" i="44"/>
  <c r="X1250" i="44"/>
  <c r="Q513" i="44"/>
  <c r="Q1093" i="44" s="1"/>
  <c r="O1241" i="44" s="1"/>
  <c r="O513" i="44"/>
  <c r="O1093" i="44" s="1"/>
  <c r="M1241" i="44" s="1"/>
  <c r="P1093" i="44"/>
  <c r="N1241" i="44" s="1"/>
  <c r="X1258" i="44"/>
  <c r="Q290" i="44"/>
  <c r="Q870" i="44" s="1"/>
  <c r="O290" i="44"/>
  <c r="O870" i="44" s="1"/>
  <c r="P870" i="44"/>
  <c r="G1315" i="44"/>
  <c r="Q1313" i="44"/>
  <c r="J123" i="44"/>
  <c r="J703" i="44" s="1"/>
  <c r="K703" i="44"/>
  <c r="J96" i="44"/>
  <c r="J676" i="44" s="1"/>
  <c r="K676" i="44"/>
  <c r="I1255" i="44"/>
  <c r="J273" i="44"/>
  <c r="J853" i="44" s="1"/>
  <c r="K853" i="44"/>
  <c r="Q80" i="44"/>
  <c r="Q660" i="44" s="1"/>
  <c r="O80" i="44"/>
  <c r="O660" i="44" s="1"/>
  <c r="P660" i="44"/>
  <c r="Q553" i="44"/>
  <c r="Q1133" i="44" s="1"/>
  <c r="O553" i="44"/>
  <c r="O1133" i="44" s="1"/>
  <c r="P1133" i="44"/>
  <c r="J115" i="44"/>
  <c r="J695" i="44" s="1"/>
  <c r="K695" i="44"/>
  <c r="J408" i="44"/>
  <c r="J988" i="44" s="1"/>
  <c r="K988" i="44"/>
  <c r="Q367" i="44"/>
  <c r="Q947" i="44" s="1"/>
  <c r="O367" i="44"/>
  <c r="O947" i="44" s="1"/>
  <c r="P947" i="44"/>
  <c r="J159" i="44"/>
  <c r="J739" i="44" s="1"/>
  <c r="K739" i="44"/>
  <c r="J76" i="44"/>
  <c r="J656" i="44" s="1"/>
  <c r="K656" i="44"/>
  <c r="Q1298" i="44"/>
  <c r="Q332" i="44"/>
  <c r="Q912" i="44" s="1"/>
  <c r="O332" i="44"/>
  <c r="O912" i="44" s="1"/>
  <c r="P912" i="44"/>
  <c r="J396" i="44"/>
  <c r="J976" i="44" s="1"/>
  <c r="K976" i="44"/>
  <c r="Q103" i="44"/>
  <c r="Q683" i="44" s="1"/>
  <c r="O103" i="44"/>
  <c r="O683" i="44" s="1"/>
  <c r="P683" i="44"/>
  <c r="Q373" i="44"/>
  <c r="Q953" i="44" s="1"/>
  <c r="O373" i="44"/>
  <c r="O953" i="44" s="1"/>
  <c r="P953" i="44"/>
  <c r="J411" i="44"/>
  <c r="J991" i="44" s="1"/>
  <c r="K991" i="44"/>
  <c r="X1212" i="44"/>
  <c r="O303" i="44"/>
  <c r="O883" i="44" s="1"/>
  <c r="Q303" i="44"/>
  <c r="Q883" i="44" s="1"/>
  <c r="P883" i="44"/>
  <c r="K1175" i="44"/>
  <c r="J339" i="44"/>
  <c r="J919" i="44" s="1"/>
  <c r="K919" i="44"/>
  <c r="Q117" i="44"/>
  <c r="Q697" i="44" s="1"/>
  <c r="O117" i="44"/>
  <c r="O697" i="44" s="1"/>
  <c r="P697" i="44"/>
  <c r="O83" i="44"/>
  <c r="O663" i="44" s="1"/>
  <c r="Q83" i="44"/>
  <c r="Q663" i="44" s="1"/>
  <c r="P663" i="44"/>
  <c r="J1230" i="44"/>
  <c r="Q116" i="44"/>
  <c r="Q696" i="44" s="1"/>
  <c r="O116" i="44"/>
  <c r="O696" i="44" s="1"/>
  <c r="P696" i="44"/>
  <c r="Q506" i="44"/>
  <c r="Q1086" i="44" s="1"/>
  <c r="O506" i="44"/>
  <c r="O1086" i="44" s="1"/>
  <c r="P1086" i="44"/>
  <c r="Q63" i="44"/>
  <c r="Q643" i="44" s="1"/>
  <c r="O63" i="44"/>
  <c r="O643" i="44" s="1"/>
  <c r="P643" i="44"/>
  <c r="M1192" i="44"/>
  <c r="J84" i="44"/>
  <c r="J664" i="44" s="1"/>
  <c r="K664" i="44"/>
  <c r="O512" i="44"/>
  <c r="O1092" i="44" s="1"/>
  <c r="Q512" i="44"/>
  <c r="Q1092" i="44" s="1"/>
  <c r="P1092" i="44"/>
  <c r="J120" i="44"/>
  <c r="J700" i="44" s="1"/>
  <c r="K700" i="44"/>
  <c r="J87" i="44"/>
  <c r="J667" i="44" s="1"/>
  <c r="K667" i="44"/>
  <c r="Q1264" i="44"/>
  <c r="J1169" i="44"/>
  <c r="J334" i="44"/>
  <c r="J914" i="44" s="1"/>
  <c r="K914" i="44"/>
  <c r="Q30" i="44"/>
  <c r="Q610" i="44" s="1"/>
  <c r="O1166" i="44" s="1"/>
  <c r="O30" i="44"/>
  <c r="O610" i="44" s="1"/>
  <c r="P610" i="44"/>
  <c r="N1166" i="44" s="1"/>
  <c r="G1310" i="44"/>
  <c r="X1191" i="44"/>
  <c r="Q196" i="44"/>
  <c r="Q776" i="44" s="1"/>
  <c r="O196" i="44"/>
  <c r="O776" i="44" s="1"/>
  <c r="M1236" i="44" s="1"/>
  <c r="P776" i="44"/>
  <c r="N1236" i="44" s="1"/>
  <c r="J531" i="44"/>
  <c r="J1111" i="44" s="1"/>
  <c r="K1111" i="44"/>
  <c r="J282" i="44"/>
  <c r="J862" i="44" s="1"/>
  <c r="K862" i="44"/>
  <c r="Q297" i="44"/>
  <c r="Q877" i="44" s="1"/>
  <c r="O297" i="44"/>
  <c r="O877" i="44" s="1"/>
  <c r="P877" i="44"/>
  <c r="O24" i="44"/>
  <c r="O604" i="44" s="1"/>
  <c r="Q24" i="44"/>
  <c r="Q604" i="44" s="1"/>
  <c r="P604" i="44"/>
  <c r="T1264" i="44"/>
  <c r="S1275" i="44" s="1"/>
  <c r="X1180" i="44"/>
  <c r="Q1300" i="44"/>
  <c r="J435" i="44"/>
  <c r="J1015" i="44" s="1"/>
  <c r="K1015" i="44"/>
  <c r="X1232" i="44"/>
  <c r="N1222" i="44"/>
  <c r="Q505" i="44"/>
  <c r="Q1085" i="44" s="1"/>
  <c r="O505" i="44"/>
  <c r="O1085" i="44" s="1"/>
  <c r="P1085" i="44"/>
  <c r="W1259" i="44"/>
  <c r="J225" i="44"/>
  <c r="J805" i="44" s="1"/>
  <c r="K805" i="44"/>
  <c r="O565" i="44"/>
  <c r="O1145" i="44" s="1"/>
  <c r="Q565" i="44"/>
  <c r="Q1145" i="44" s="1"/>
  <c r="P1145" i="44"/>
  <c r="E1332" i="44"/>
  <c r="Q1325" i="44"/>
  <c r="G1284" i="44"/>
  <c r="O347" i="44"/>
  <c r="O927" i="44" s="1"/>
  <c r="Q347" i="44"/>
  <c r="Q927" i="44" s="1"/>
  <c r="P927" i="44"/>
  <c r="Q1303" i="44"/>
  <c r="X1213" i="44"/>
  <c r="V1235" i="44"/>
  <c r="V1229" i="44"/>
  <c r="J469" i="44"/>
  <c r="J1049" i="44" s="1"/>
  <c r="K1049" i="44"/>
  <c r="Q1341" i="44"/>
  <c r="Q551" i="44"/>
  <c r="Q1131" i="44" s="1"/>
  <c r="O551" i="44"/>
  <c r="O1131" i="44" s="1"/>
  <c r="P1131" i="44"/>
  <c r="Q150" i="44"/>
  <c r="Q730" i="44" s="1"/>
  <c r="O150" i="44"/>
  <c r="O730" i="44" s="1"/>
  <c r="P730" i="44"/>
  <c r="G1283" i="44"/>
  <c r="Q331" i="44"/>
  <c r="Q911" i="44" s="1"/>
  <c r="O331" i="44"/>
  <c r="O911" i="44" s="1"/>
  <c r="P911" i="44"/>
  <c r="J416" i="44"/>
  <c r="J996" i="44" s="1"/>
  <c r="K996" i="44"/>
  <c r="J185" i="44"/>
  <c r="J765" i="44" s="1"/>
  <c r="K765" i="44"/>
  <c r="J200" i="44"/>
  <c r="J780" i="44" s="1"/>
  <c r="K780" i="44"/>
  <c r="V1254" i="44"/>
  <c r="Q213" i="44"/>
  <c r="Q793" i="44" s="1"/>
  <c r="O1253" i="44" s="1"/>
  <c r="O213" i="44"/>
  <c r="O793" i="44" s="1"/>
  <c r="M1253" i="44" s="1"/>
  <c r="P793" i="44"/>
  <c r="W1258" i="44"/>
  <c r="J534" i="44"/>
  <c r="J1114" i="44" s="1"/>
  <c r="K1114" i="44"/>
  <c r="U1273" i="44"/>
  <c r="J1191" i="44"/>
  <c r="J121" i="44"/>
  <c r="J701" i="44" s="1"/>
  <c r="K701" i="44"/>
  <c r="O248" i="44"/>
  <c r="O828" i="44" s="1"/>
  <c r="Q248" i="44"/>
  <c r="Q828" i="44" s="1"/>
  <c r="P828" i="44"/>
  <c r="J351" i="44"/>
  <c r="J931" i="44" s="1"/>
  <c r="K931" i="44"/>
  <c r="Q541" i="44"/>
  <c r="Q1121" i="44" s="1"/>
  <c r="O541" i="44"/>
  <c r="O1121" i="44" s="1"/>
  <c r="P1121" i="44"/>
  <c r="J389" i="44"/>
  <c r="J969" i="44" s="1"/>
  <c r="K969" i="44"/>
  <c r="Q78" i="44"/>
  <c r="Q658" i="44" s="1"/>
  <c r="O78" i="44"/>
  <c r="O658" i="44" s="1"/>
  <c r="P658" i="44"/>
  <c r="O203" i="44"/>
  <c r="O783" i="44" s="1"/>
  <c r="M1243" i="44" s="1"/>
  <c r="Q203" i="44"/>
  <c r="Q783" i="44" s="1"/>
  <c r="O1243" i="44" s="1"/>
  <c r="P783" i="44"/>
  <c r="N1243" i="44" s="1"/>
  <c r="J150" i="44"/>
  <c r="J730" i="44" s="1"/>
  <c r="K730" i="44"/>
  <c r="J359" i="44"/>
  <c r="J939" i="44" s="1"/>
  <c r="K939" i="44"/>
  <c r="Q384" i="44"/>
  <c r="Q964" i="44" s="1"/>
  <c r="O384" i="44"/>
  <c r="O964" i="44" s="1"/>
  <c r="P964" i="44"/>
  <c r="J551" i="44"/>
  <c r="J1131" i="44" s="1"/>
  <c r="K1131" i="44"/>
  <c r="Q311" i="44"/>
  <c r="Q891" i="44" s="1"/>
  <c r="O311" i="44"/>
  <c r="O891" i="44" s="1"/>
  <c r="P891" i="44"/>
  <c r="J390" i="44"/>
  <c r="J970" i="44" s="1"/>
  <c r="K970" i="44"/>
  <c r="Q104" i="44"/>
  <c r="Q684" i="44" s="1"/>
  <c r="O104" i="44"/>
  <c r="O684" i="44" s="1"/>
  <c r="P684" i="44"/>
  <c r="J407" i="44"/>
  <c r="J987" i="44" s="1"/>
  <c r="K987" i="44"/>
  <c r="O411" i="44"/>
  <c r="O991" i="44" s="1"/>
  <c r="Q411" i="44"/>
  <c r="Q991" i="44" s="1"/>
  <c r="P991" i="44"/>
  <c r="Q252" i="44"/>
  <c r="Q832" i="44" s="1"/>
  <c r="O252" i="44"/>
  <c r="O832" i="44" s="1"/>
  <c r="P832" i="44"/>
  <c r="Q71" i="44"/>
  <c r="Q651" i="44" s="1"/>
  <c r="O71" i="44"/>
  <c r="O651" i="44" s="1"/>
  <c r="P651" i="44"/>
  <c r="J398" i="44"/>
  <c r="J978" i="44" s="1"/>
  <c r="K978" i="44"/>
  <c r="Q142" i="44"/>
  <c r="Q722" i="44" s="1"/>
  <c r="O1230" i="44" s="1"/>
  <c r="O142" i="44"/>
  <c r="O722" i="44" s="1"/>
  <c r="P722" i="44"/>
  <c r="J511" i="44"/>
  <c r="J1091" i="44" s="1"/>
  <c r="K1091" i="44"/>
  <c r="Q13" i="44"/>
  <c r="Q593" i="44" s="1"/>
  <c r="O1173" i="44" s="1"/>
  <c r="O13" i="44"/>
  <c r="O593" i="44" s="1"/>
  <c r="P593" i="44"/>
  <c r="U1313" i="44"/>
  <c r="J1256" i="44"/>
  <c r="J521" i="44"/>
  <c r="J1101" i="44" s="1"/>
  <c r="K1101" i="44"/>
  <c r="Q436" i="44"/>
  <c r="Q1016" i="44" s="1"/>
  <c r="O436" i="44"/>
  <c r="O1016" i="44" s="1"/>
  <c r="P1016" i="44"/>
  <c r="V1205" i="44"/>
  <c r="G1306" i="44"/>
  <c r="O408" i="44"/>
  <c r="O988" i="44" s="1"/>
  <c r="Q408" i="44"/>
  <c r="Q988" i="44" s="1"/>
  <c r="P988" i="44"/>
  <c r="J86" i="44"/>
  <c r="J666" i="44" s="1"/>
  <c r="K666" i="44"/>
  <c r="J68" i="44"/>
  <c r="J648" i="44" s="1"/>
  <c r="H1204" i="44" s="1"/>
  <c r="K648" i="44"/>
  <c r="J112" i="44"/>
  <c r="J692" i="44" s="1"/>
  <c r="K692" i="44"/>
  <c r="X1205" i="44"/>
  <c r="J98" i="44"/>
  <c r="J678" i="44" s="1"/>
  <c r="K678" i="44"/>
  <c r="Q356" i="44"/>
  <c r="Q936" i="44" s="1"/>
  <c r="O356" i="44"/>
  <c r="O936" i="44" s="1"/>
  <c r="P936" i="44"/>
  <c r="Q121" i="44"/>
  <c r="Q701" i="44" s="1"/>
  <c r="O121" i="44"/>
  <c r="O701" i="44" s="1"/>
  <c r="P701" i="44"/>
  <c r="O9" i="44"/>
  <c r="O589" i="44" s="1"/>
  <c r="Q9" i="44"/>
  <c r="Q589" i="44" s="1"/>
  <c r="P589" i="44"/>
  <c r="N1169" i="44" s="1"/>
  <c r="P1280" i="44"/>
  <c r="G1299" i="44"/>
  <c r="X1251" i="44"/>
  <c r="Q1350" i="44"/>
  <c r="W1183" i="44"/>
  <c r="J167" i="44"/>
  <c r="J747" i="44" s="1"/>
  <c r="K747" i="44"/>
  <c r="X1220" i="44"/>
  <c r="R1279" i="44"/>
  <c r="G1274" i="44"/>
  <c r="Q1302" i="44"/>
  <c r="O68" i="44"/>
  <c r="O648" i="44" s="1"/>
  <c r="Q68" i="44"/>
  <c r="Q648" i="44" s="1"/>
  <c r="O1204" i="44" s="1"/>
  <c r="P648" i="44"/>
  <c r="V1208" i="44"/>
  <c r="Q1340" i="44"/>
  <c r="O1222" i="44"/>
  <c r="Q190" i="44"/>
  <c r="Q770" i="44" s="1"/>
  <c r="O190" i="44"/>
  <c r="O770" i="44" s="1"/>
  <c r="P770" i="44"/>
  <c r="P1349" i="44"/>
  <c r="X1259" i="44"/>
  <c r="U1357" i="44"/>
  <c r="J275" i="44"/>
  <c r="J855" i="44" s="1"/>
  <c r="K855" i="44"/>
  <c r="G1326" i="44"/>
  <c r="V1223" i="44"/>
  <c r="Q151" i="44"/>
  <c r="Q731" i="44" s="1"/>
  <c r="O151" i="44"/>
  <c r="O731" i="44" s="1"/>
  <c r="P731" i="44"/>
  <c r="U1279" i="44"/>
  <c r="J328" i="44"/>
  <c r="J908" i="44" s="1"/>
  <c r="K908" i="44"/>
  <c r="O358" i="44"/>
  <c r="O938" i="44" s="1"/>
  <c r="Q358" i="44"/>
  <c r="Q938" i="44" s="1"/>
  <c r="O1206" i="44" s="1"/>
  <c r="P938" i="44"/>
  <c r="J1210" i="44"/>
  <c r="V1211" i="44"/>
  <c r="W1235" i="44"/>
  <c r="X1229" i="44"/>
  <c r="R1348" i="44"/>
  <c r="M1249" i="44"/>
  <c r="J252" i="44"/>
  <c r="J832" i="44" s="1"/>
  <c r="K832" i="44"/>
  <c r="E1339" i="44"/>
  <c r="J421" i="44"/>
  <c r="J1001" i="44" s="1"/>
  <c r="K1001" i="44"/>
  <c r="J194" i="44"/>
  <c r="J774" i="44" s="1"/>
  <c r="K774" i="44"/>
  <c r="J498" i="44"/>
  <c r="J1078" i="44" s="1"/>
  <c r="H1250" i="44" s="1"/>
  <c r="K1078" i="44"/>
  <c r="I1250" i="44" s="1"/>
  <c r="W1254" i="44"/>
  <c r="U1362" i="44"/>
  <c r="Q1363" i="44"/>
  <c r="G1280" i="44"/>
  <c r="P1283" i="44"/>
  <c r="G1292" i="44"/>
  <c r="O343" i="44"/>
  <c r="O923" i="44" s="1"/>
  <c r="Q343" i="44"/>
  <c r="Q923" i="44" s="1"/>
  <c r="P923" i="44"/>
  <c r="L1224" i="44"/>
  <c r="J402" i="44"/>
  <c r="J982" i="44" s="1"/>
  <c r="K982" i="44"/>
  <c r="J95" i="44"/>
  <c r="J675" i="44" s="1"/>
  <c r="K675" i="44"/>
  <c r="O226" i="44"/>
  <c r="O806" i="44" s="1"/>
  <c r="Q226" i="44"/>
  <c r="Q806" i="44" s="1"/>
  <c r="P806" i="44"/>
  <c r="N1242" i="44" s="1"/>
  <c r="J286" i="44"/>
  <c r="J866" i="44" s="1"/>
  <c r="K866" i="44"/>
  <c r="I1182" i="44" s="1"/>
  <c r="U1309" i="44"/>
  <c r="O365" i="44"/>
  <c r="O945" i="44" s="1"/>
  <c r="Q365" i="44"/>
  <c r="Q945" i="44" s="1"/>
  <c r="P945" i="44"/>
  <c r="Q1319" i="44"/>
  <c r="J272" i="44"/>
  <c r="J852" i="44" s="1"/>
  <c r="K852" i="44"/>
  <c r="J42" i="44"/>
  <c r="J622" i="44" s="1"/>
  <c r="K622" i="44"/>
  <c r="J80" i="44"/>
  <c r="J660" i="44" s="1"/>
  <c r="K660" i="44"/>
  <c r="J90" i="44"/>
  <c r="J670" i="44" s="1"/>
  <c r="K670" i="44"/>
  <c r="J206" i="44"/>
  <c r="J786" i="44" s="1"/>
  <c r="H1246" i="44" s="1"/>
  <c r="K786" i="44"/>
  <c r="I1246" i="44" s="1"/>
  <c r="Q368" i="44"/>
  <c r="Q948" i="44" s="1"/>
  <c r="O368" i="44"/>
  <c r="O948" i="44" s="1"/>
  <c r="P948" i="44"/>
  <c r="Q114" i="44"/>
  <c r="Q694" i="44" s="1"/>
  <c r="O114" i="44"/>
  <c r="O694" i="44" s="1"/>
  <c r="P694" i="44"/>
  <c r="J261" i="44"/>
  <c r="J841" i="44" s="1"/>
  <c r="K841" i="44"/>
  <c r="W1189" i="44"/>
  <c r="E1300" i="44"/>
  <c r="Q138" i="44"/>
  <c r="Q718" i="44" s="1"/>
  <c r="O1226" i="44" s="1"/>
  <c r="O138" i="44"/>
  <c r="O718" i="44" s="1"/>
  <c r="M1226" i="44" s="1"/>
  <c r="P718" i="44"/>
  <c r="N1226" i="44" s="1"/>
  <c r="Q328" i="44"/>
  <c r="Q908" i="44" s="1"/>
  <c r="O328" i="44"/>
  <c r="O908" i="44" s="1"/>
  <c r="P908" i="44"/>
  <c r="Q106" i="44"/>
  <c r="Q686" i="44" s="1"/>
  <c r="O106" i="44"/>
  <c r="O686" i="44" s="1"/>
  <c r="P686" i="44"/>
  <c r="K1173" i="44"/>
  <c r="L1264" i="44" s="1"/>
  <c r="R1315" i="44"/>
  <c r="Q504" i="44"/>
  <c r="Q1084" i="44" s="1"/>
  <c r="O504" i="44"/>
  <c r="O1084" i="44" s="1"/>
  <c r="P1084" i="44"/>
  <c r="Q437" i="44"/>
  <c r="Q1017" i="44" s="1"/>
  <c r="O437" i="44"/>
  <c r="O1017" i="44" s="1"/>
  <c r="P1017" i="44"/>
  <c r="J108" i="44"/>
  <c r="J688" i="44" s="1"/>
  <c r="K688" i="44"/>
  <c r="Q507" i="44"/>
  <c r="Q1087" i="44" s="1"/>
  <c r="O1259" i="44" s="1"/>
  <c r="O507" i="44"/>
  <c r="O1087" i="44" s="1"/>
  <c r="M1259" i="44" s="1"/>
  <c r="P1087" i="44"/>
  <c r="N1259" i="44" s="1"/>
  <c r="F1309" i="44"/>
  <c r="O390" i="44"/>
  <c r="O970" i="44" s="1"/>
  <c r="Q390" i="44"/>
  <c r="Q970" i="44" s="1"/>
  <c r="P970" i="44"/>
  <c r="J384" i="44"/>
  <c r="J964" i="44" s="1"/>
  <c r="K964" i="44"/>
  <c r="Q76" i="44"/>
  <c r="Q656" i="44" s="1"/>
  <c r="O76" i="44"/>
  <c r="O656" i="44" s="1"/>
  <c r="P656" i="44"/>
  <c r="Q433" i="44"/>
  <c r="Q1013" i="44" s="1"/>
  <c r="O433" i="44"/>
  <c r="O1013" i="44" s="1"/>
  <c r="M1233" i="44" s="1"/>
  <c r="P1013" i="44"/>
  <c r="J111" i="44"/>
  <c r="J691" i="44" s="1"/>
  <c r="K691" i="44"/>
  <c r="Q69" i="44"/>
  <c r="Q649" i="44" s="1"/>
  <c r="O69" i="44"/>
  <c r="O649" i="44" s="1"/>
  <c r="P649" i="44"/>
  <c r="J419" i="44"/>
  <c r="J999" i="44" s="1"/>
  <c r="K999" i="44"/>
  <c r="I1219" i="44" s="1"/>
  <c r="G1336" i="44"/>
  <c r="E1335" i="44"/>
  <c r="W1242" i="44"/>
  <c r="P1350" i="44"/>
  <c r="J530" i="44"/>
  <c r="J1110" i="44" s="1"/>
  <c r="K1110" i="44"/>
  <c r="Q543" i="44"/>
  <c r="Q1123" i="44" s="1"/>
  <c r="O543" i="44"/>
  <c r="O1123" i="44" s="1"/>
  <c r="P1123" i="44"/>
  <c r="J165" i="44"/>
  <c r="J745" i="44" s="1"/>
  <c r="K745" i="44"/>
  <c r="G1272" i="44"/>
  <c r="Q10" i="44"/>
  <c r="Q590" i="44" s="1"/>
  <c r="O1170" i="44" s="1"/>
  <c r="O10" i="44"/>
  <c r="O590" i="44" s="1"/>
  <c r="M1170" i="44" s="1"/>
  <c r="P590" i="44"/>
  <c r="N1170" i="44" s="1"/>
  <c r="O341" i="44"/>
  <c r="O921" i="44" s="1"/>
  <c r="Q341" i="44"/>
  <c r="Q921" i="44" s="1"/>
  <c r="P921" i="44"/>
  <c r="J1189" i="44"/>
  <c r="S1324" i="44"/>
  <c r="Q1338" i="44"/>
  <c r="J461" i="44"/>
  <c r="J1041" i="44" s="1"/>
  <c r="K1041" i="44"/>
  <c r="V1245" i="44"/>
  <c r="P1348" i="44"/>
  <c r="G1364" i="44"/>
  <c r="J222" i="44"/>
  <c r="J802" i="44" s="1"/>
  <c r="K802" i="44"/>
  <c r="J545" i="44"/>
  <c r="J1125" i="44" s="1"/>
  <c r="K1125" i="44"/>
  <c r="J291" i="44"/>
  <c r="J871" i="44" s="1"/>
  <c r="K871" i="44"/>
  <c r="J164" i="44"/>
  <c r="J744" i="44" s="1"/>
  <c r="K744" i="44"/>
  <c r="V1172" i="44"/>
  <c r="U1264" i="44"/>
  <c r="T1334" i="44" s="1"/>
  <c r="J1168" i="44"/>
  <c r="W1197" i="44"/>
  <c r="W1203" i="44"/>
  <c r="J413" i="44"/>
  <c r="J993" i="44" s="1"/>
  <c r="K993" i="44"/>
  <c r="Q136" i="44"/>
  <c r="Q716" i="44" s="1"/>
  <c r="O136" i="44"/>
  <c r="O716" i="44" s="1"/>
  <c r="P716" i="44"/>
  <c r="G1325" i="44"/>
  <c r="J464" i="44"/>
  <c r="J1044" i="44" s="1"/>
  <c r="K1044" i="44"/>
  <c r="Q181" i="44"/>
  <c r="Q761" i="44" s="1"/>
  <c r="O181" i="44"/>
  <c r="O761" i="44" s="1"/>
  <c r="P761" i="44"/>
  <c r="N1221" i="44" s="1"/>
  <c r="G1357" i="44"/>
  <c r="E1356" i="44"/>
  <c r="O240" i="44"/>
  <c r="O820" i="44" s="1"/>
  <c r="Q240" i="44"/>
  <c r="Q820" i="44" s="1"/>
  <c r="P820" i="44"/>
  <c r="O533" i="44"/>
  <c r="O1113" i="44" s="1"/>
  <c r="Q533" i="44"/>
  <c r="Q1113" i="44" s="1"/>
  <c r="P1113" i="44"/>
  <c r="J565" i="44"/>
  <c r="J1145" i="44" s="1"/>
  <c r="K1145" i="44"/>
  <c r="I1173" i="44" s="1"/>
  <c r="J440" i="44"/>
  <c r="J1020" i="44" s="1"/>
  <c r="K1020" i="44"/>
  <c r="W1226" i="44"/>
  <c r="O165" i="44"/>
  <c r="O745" i="44" s="1"/>
  <c r="Q165" i="44"/>
  <c r="Q745" i="44" s="1"/>
  <c r="P745" i="44"/>
  <c r="J311" i="44"/>
  <c r="J891" i="44" s="1"/>
  <c r="K891" i="44"/>
  <c r="S1271" i="44"/>
  <c r="Q5" i="44"/>
  <c r="Q585" i="44" s="1"/>
  <c r="O1165" i="44" s="1"/>
  <c r="O5" i="44"/>
  <c r="O585" i="44" s="1"/>
  <c r="P585" i="44"/>
  <c r="N1165" i="44" s="1"/>
  <c r="V1181" i="44"/>
  <c r="J344" i="44"/>
  <c r="J924" i="44" s="1"/>
  <c r="K924" i="44"/>
  <c r="S1299" i="44"/>
  <c r="V1226" i="44"/>
  <c r="R1336" i="44"/>
  <c r="E1353" i="44"/>
  <c r="W1241" i="44"/>
  <c r="U1343" i="44"/>
  <c r="V1240" i="44"/>
  <c r="J452" i="44"/>
  <c r="J1032" i="44" s="1"/>
  <c r="K1032" i="44"/>
  <c r="V1187" i="44"/>
  <c r="U1285" i="44"/>
  <c r="O29" i="44"/>
  <c r="O609" i="44" s="1"/>
  <c r="Q29" i="44"/>
  <c r="Q609" i="44" s="1"/>
  <c r="P609" i="44"/>
  <c r="Q1316" i="44"/>
  <c r="Q1317" i="44"/>
  <c r="S1329" i="44"/>
  <c r="Q245" i="44"/>
  <c r="Q825" i="44" s="1"/>
  <c r="O245" i="44"/>
  <c r="O825" i="44" s="1"/>
  <c r="P825" i="44"/>
  <c r="P1285" i="44"/>
  <c r="P1291" i="44"/>
  <c r="J335" i="44"/>
  <c r="J915" i="44" s="1"/>
  <c r="K915" i="44"/>
  <c r="M1171" i="44"/>
  <c r="Q74" i="44"/>
  <c r="Q654" i="44" s="1"/>
  <c r="O74" i="44"/>
  <c r="O654" i="44" s="1"/>
  <c r="P654" i="44"/>
  <c r="W1211" i="44"/>
  <c r="U1335" i="44"/>
  <c r="X1235" i="44"/>
  <c r="E1341" i="44"/>
  <c r="G1356" i="44"/>
  <c r="O1249" i="44"/>
  <c r="Q566" i="44"/>
  <c r="Q1146" i="44" s="1"/>
  <c r="O566" i="44"/>
  <c r="O1146" i="44" s="1"/>
  <c r="P1146" i="44"/>
  <c r="O440" i="44"/>
  <c r="O1020" i="44" s="1"/>
  <c r="Q440" i="44"/>
  <c r="Q1020" i="44" s="1"/>
  <c r="P1020" i="44"/>
  <c r="O160" i="44"/>
  <c r="O740" i="44" s="1"/>
  <c r="Q160" i="44"/>
  <c r="Q740" i="44" s="1"/>
  <c r="P740" i="44"/>
  <c r="Q335" i="44"/>
  <c r="Q915" i="44" s="1"/>
  <c r="O335" i="44"/>
  <c r="O915" i="44" s="1"/>
  <c r="P915" i="44"/>
  <c r="E1317" i="44"/>
  <c r="J477" i="44"/>
  <c r="J1057" i="44" s="1"/>
  <c r="K1057" i="44"/>
  <c r="J491" i="44"/>
  <c r="J1071" i="44" s="1"/>
  <c r="H1243" i="44" s="1"/>
  <c r="K1071" i="44"/>
  <c r="I1243" i="44" s="1"/>
  <c r="X1254" i="44"/>
  <c r="Q241" i="44"/>
  <c r="Q821" i="44" s="1"/>
  <c r="O241" i="44"/>
  <c r="O821" i="44" s="1"/>
  <c r="P821" i="44"/>
  <c r="E1277" i="44"/>
  <c r="Q15" i="44"/>
  <c r="Q595" i="44" s="1"/>
  <c r="O15" i="44"/>
  <c r="O595" i="44" s="1"/>
  <c r="M1175" i="44" s="1"/>
  <c r="P595" i="44"/>
  <c r="N1175" i="44" s="1"/>
  <c r="Q337" i="44"/>
  <c r="Q917" i="44" s="1"/>
  <c r="O337" i="44"/>
  <c r="O917" i="44" s="1"/>
  <c r="P917" i="44"/>
  <c r="V1193" i="44"/>
  <c r="Q448" i="44"/>
  <c r="Q1028" i="44" s="1"/>
  <c r="O448" i="44"/>
  <c r="O1028" i="44" s="1"/>
  <c r="P1028" i="44"/>
  <c r="Q399" i="44"/>
  <c r="Q979" i="44" s="1"/>
  <c r="O399" i="44"/>
  <c r="O979" i="44" s="1"/>
  <c r="P979" i="44"/>
  <c r="Q211" i="44"/>
  <c r="Q791" i="44" s="1"/>
  <c r="O1251" i="44" s="1"/>
  <c r="O211" i="44"/>
  <c r="O791" i="44" s="1"/>
  <c r="M1251" i="44" s="1"/>
  <c r="P791" i="44"/>
  <c r="N1251" i="44" s="1"/>
  <c r="O340" i="44"/>
  <c r="O920" i="44" s="1"/>
  <c r="Q340" i="44"/>
  <c r="Q920" i="44" s="1"/>
  <c r="P920" i="44"/>
  <c r="J479" i="44"/>
  <c r="J1059" i="44" s="1"/>
  <c r="K1059" i="44"/>
  <c r="J365" i="44"/>
  <c r="J945" i="44" s="1"/>
  <c r="K945" i="44"/>
  <c r="G1304" i="44"/>
  <c r="Q95" i="44"/>
  <c r="Q675" i="44" s="1"/>
  <c r="O95" i="44"/>
  <c r="O675" i="44" s="1"/>
  <c r="P675" i="44"/>
  <c r="V1194" i="44"/>
  <c r="P1308" i="44"/>
  <c r="O387" i="44"/>
  <c r="O967" i="44" s="1"/>
  <c r="Q387" i="44"/>
  <c r="Q967" i="44" s="1"/>
  <c r="P967" i="44"/>
  <c r="V1201" i="44"/>
  <c r="J255" i="44"/>
  <c r="J835" i="44" s="1"/>
  <c r="K835" i="44"/>
  <c r="J307" i="44"/>
  <c r="J887" i="44" s="1"/>
  <c r="K887" i="44"/>
  <c r="P1315" i="44"/>
  <c r="J178" i="44"/>
  <c r="J758" i="44" s="1"/>
  <c r="K758" i="44"/>
  <c r="Q255" i="44"/>
  <c r="Q835" i="44" s="1"/>
  <c r="O255" i="44"/>
  <c r="O835" i="44" s="1"/>
  <c r="P835" i="44"/>
  <c r="J26" i="44"/>
  <c r="J606" i="44" s="1"/>
  <c r="K606" i="44"/>
  <c r="J16" i="44"/>
  <c r="J596" i="44" s="1"/>
  <c r="K596" i="44"/>
  <c r="J399" i="44"/>
  <c r="J979" i="44" s="1"/>
  <c r="K979" i="44"/>
  <c r="J400" i="44"/>
  <c r="J980" i="44" s="1"/>
  <c r="K980" i="44"/>
  <c r="Q82" i="44"/>
  <c r="Q662" i="44" s="1"/>
  <c r="O82" i="44"/>
  <c r="O662" i="44" s="1"/>
  <c r="P662" i="44"/>
  <c r="Q280" i="44"/>
  <c r="Q860" i="44" s="1"/>
  <c r="O280" i="44"/>
  <c r="O860" i="44" s="1"/>
  <c r="P860" i="44"/>
  <c r="J69" i="44"/>
  <c r="J649" i="44" s="1"/>
  <c r="K649" i="44"/>
  <c r="O524" i="44"/>
  <c r="O1104" i="44" s="1"/>
  <c r="Q524" i="44"/>
  <c r="Q1104" i="44" s="1"/>
  <c r="P1104" i="44"/>
  <c r="J109" i="44"/>
  <c r="J689" i="44" s="1"/>
  <c r="K689" i="44"/>
  <c r="J405" i="44"/>
  <c r="J985" i="44" s="1"/>
  <c r="K985" i="44"/>
  <c r="O110" i="44"/>
  <c r="O690" i="44" s="1"/>
  <c r="Q110" i="44"/>
  <c r="Q690" i="44" s="1"/>
  <c r="P690" i="44"/>
  <c r="W1181" i="44"/>
  <c r="Q319" i="44"/>
  <c r="Q899" i="44" s="1"/>
  <c r="O319" i="44"/>
  <c r="O899" i="44" s="1"/>
  <c r="P899" i="44"/>
  <c r="J348" i="44"/>
  <c r="J928" i="44" s="1"/>
  <c r="K928" i="44"/>
  <c r="Q72" i="44"/>
  <c r="Q652" i="44" s="1"/>
  <c r="O1208" i="44" s="1"/>
  <c r="O72" i="44"/>
  <c r="O652" i="44" s="1"/>
  <c r="P652" i="44"/>
  <c r="Q1337" i="44"/>
  <c r="Q191" i="44"/>
  <c r="Q771" i="44" s="1"/>
  <c r="O191" i="44"/>
  <c r="O771" i="44" s="1"/>
  <c r="P771" i="44"/>
  <c r="T1358" i="44"/>
  <c r="J258" i="44"/>
  <c r="J838" i="44" s="1"/>
  <c r="K838" i="44"/>
  <c r="J154" i="44"/>
  <c r="J734" i="44" s="1"/>
  <c r="K734" i="44"/>
  <c r="W1187" i="44"/>
  <c r="G1273" i="44"/>
  <c r="U1296" i="44"/>
  <c r="S1312" i="44"/>
  <c r="X1208" i="44"/>
  <c r="E1330" i="44"/>
  <c r="O270" i="44"/>
  <c r="O850" i="44" s="1"/>
  <c r="Q270" i="44"/>
  <c r="Q850" i="44" s="1"/>
  <c r="P850" i="44"/>
  <c r="Q268" i="44"/>
  <c r="Q848" i="44" s="1"/>
  <c r="O268" i="44"/>
  <c r="O848" i="44" s="1"/>
  <c r="P848" i="44"/>
  <c r="F1325" i="44"/>
  <c r="G1270" i="44"/>
  <c r="Q8" i="44"/>
  <c r="Q588" i="44" s="1"/>
  <c r="O8" i="44"/>
  <c r="O588" i="44" s="1"/>
  <c r="P588" i="44"/>
  <c r="N1168" i="44" s="1"/>
  <c r="U1282" i="44"/>
  <c r="P1282" i="44"/>
  <c r="X1211" i="44"/>
  <c r="P1337" i="44"/>
  <c r="G1324" i="44"/>
  <c r="U1341" i="44"/>
  <c r="J236" i="44"/>
  <c r="J816" i="44" s="1"/>
  <c r="K816" i="44"/>
  <c r="S1359" i="44"/>
  <c r="O568" i="44"/>
  <c r="O1148" i="44" s="1"/>
  <c r="Q568" i="44"/>
  <c r="Q1148" i="44" s="1"/>
  <c r="P1148" i="44"/>
  <c r="O271" i="44"/>
  <c r="O851" i="44" s="1"/>
  <c r="Q271" i="44"/>
  <c r="Q851" i="44" s="1"/>
  <c r="P851" i="44"/>
  <c r="J27" i="44"/>
  <c r="J607" i="44" s="1"/>
  <c r="H1187" i="44" s="1"/>
  <c r="K607" i="44"/>
  <c r="E1284" i="44"/>
  <c r="Q1296" i="44"/>
  <c r="G1297" i="44"/>
  <c r="J1213" i="44"/>
  <c r="P1321" i="44"/>
  <c r="J481" i="44"/>
  <c r="J1061" i="44" s="1"/>
  <c r="K1061" i="44"/>
  <c r="J201" i="44"/>
  <c r="J781" i="44" s="1"/>
  <c r="K781" i="44"/>
  <c r="G1348" i="44"/>
  <c r="V1243" i="44"/>
  <c r="J171" i="44"/>
  <c r="J751" i="44" s="1"/>
  <c r="K751" i="44"/>
  <c r="S1272" i="44"/>
  <c r="G1264" i="44"/>
  <c r="O40" i="44"/>
  <c r="O620" i="44" s="1"/>
  <c r="Q40" i="44"/>
  <c r="Q620" i="44" s="1"/>
  <c r="P620" i="44"/>
  <c r="X1193" i="44"/>
  <c r="J227" i="44"/>
  <c r="J807" i="44" s="1"/>
  <c r="K807" i="44"/>
  <c r="G1288" i="44"/>
  <c r="S1293" i="44"/>
  <c r="J368" i="44"/>
  <c r="J948" i="44" s="1"/>
  <c r="K948" i="44"/>
  <c r="O200" i="44"/>
  <c r="O780" i="44" s="1"/>
  <c r="Q200" i="44"/>
  <c r="Q780" i="44" s="1"/>
  <c r="P780" i="44"/>
  <c r="O236" i="44"/>
  <c r="O816" i="44" s="1"/>
  <c r="Q236" i="44"/>
  <c r="Q816" i="44" s="1"/>
  <c r="P816" i="44"/>
  <c r="U1327" i="44"/>
  <c r="J377" i="44"/>
  <c r="J957" i="44" s="1"/>
  <c r="K957" i="44"/>
  <c r="Q94" i="44"/>
  <c r="Q674" i="44" s="1"/>
  <c r="O94" i="44"/>
  <c r="O674" i="44" s="1"/>
  <c r="P674" i="44"/>
  <c r="J89" i="44"/>
  <c r="J669" i="44" s="1"/>
  <c r="K669" i="44"/>
  <c r="I1201" i="44" s="1"/>
  <c r="J223" i="44"/>
  <c r="J803" i="44" s="1"/>
  <c r="K803" i="44"/>
  <c r="Q36" i="44"/>
  <c r="Q616" i="44" s="1"/>
  <c r="O36" i="44"/>
  <c r="O616" i="44" s="1"/>
  <c r="M1172" i="44" s="1"/>
  <c r="P616" i="44"/>
  <c r="N1172" i="44" s="1"/>
  <c r="W1201" i="44"/>
  <c r="P1298" i="44"/>
  <c r="V1219" i="44"/>
  <c r="J578" i="44"/>
  <c r="J1158" i="44" s="1"/>
  <c r="K1158" i="44"/>
  <c r="S1310" i="44"/>
  <c r="Q383" i="44"/>
  <c r="Q963" i="44" s="1"/>
  <c r="O383" i="44"/>
  <c r="O963" i="44" s="1"/>
  <c r="P963" i="44"/>
  <c r="Q97" i="44"/>
  <c r="Q677" i="44" s="1"/>
  <c r="O97" i="44"/>
  <c r="O677" i="44" s="1"/>
  <c r="P677" i="44"/>
  <c r="Q129" i="44"/>
  <c r="Q709" i="44" s="1"/>
  <c r="O1217" i="44" s="1"/>
  <c r="O129" i="44"/>
  <c r="O709" i="44" s="1"/>
  <c r="M1217" i="44" s="1"/>
  <c r="P709" i="44"/>
  <c r="N1217" i="44" s="1"/>
  <c r="F1284" i="44"/>
  <c r="Q330" i="44"/>
  <c r="Q910" i="44" s="1"/>
  <c r="O330" i="44"/>
  <c r="O910" i="44" s="1"/>
  <c r="P910" i="44"/>
  <c r="O509" i="44"/>
  <c r="O1089" i="44" s="1"/>
  <c r="Q509" i="44"/>
  <c r="Q1089" i="44" s="1"/>
  <c r="P1089" i="44"/>
  <c r="J119" i="44"/>
  <c r="J699" i="44" s="1"/>
  <c r="K699" i="44"/>
  <c r="Q438" i="44"/>
  <c r="Q1018" i="44" s="1"/>
  <c r="O438" i="44"/>
  <c r="O1018" i="44" s="1"/>
  <c r="P1018" i="44"/>
  <c r="Q1310" i="44"/>
  <c r="J527" i="44"/>
  <c r="J1107" i="44" s="1"/>
  <c r="H1255" i="44" s="1"/>
  <c r="K1107" i="44"/>
  <c r="D1205" i="44"/>
  <c r="O90" i="44"/>
  <c r="O670" i="44" s="1"/>
  <c r="Q90" i="44"/>
  <c r="Q670" i="44" s="1"/>
  <c r="P670" i="44"/>
  <c r="V1207" i="44"/>
  <c r="J388" i="44"/>
  <c r="J968" i="44" s="1"/>
  <c r="K968" i="44"/>
  <c r="O526" i="44"/>
  <c r="O1106" i="44" s="1"/>
  <c r="M1254" i="44" s="1"/>
  <c r="Q526" i="44"/>
  <c r="Q1106" i="44" s="1"/>
  <c r="O1254" i="44" s="1"/>
  <c r="P1106" i="44"/>
  <c r="J250" i="44"/>
  <c r="J830" i="44" s="1"/>
  <c r="K830" i="44"/>
  <c r="J283" i="44"/>
  <c r="J863" i="44" s="1"/>
  <c r="K863" i="44"/>
  <c r="Q573" i="44"/>
  <c r="Q1153" i="44" s="1"/>
  <c r="O573" i="44"/>
  <c r="O1153" i="44" s="1"/>
  <c r="P1153" i="44"/>
  <c r="Q289" i="44"/>
  <c r="Q869" i="44" s="1"/>
  <c r="O289" i="44"/>
  <c r="O869" i="44" s="1"/>
  <c r="P869" i="44"/>
  <c r="T1333" i="44"/>
  <c r="E1273" i="44"/>
  <c r="J343" i="44"/>
  <c r="J923" i="44" s="1"/>
  <c r="K923" i="44"/>
  <c r="Q1293" i="44"/>
  <c r="Q75" i="44"/>
  <c r="Q655" i="44" s="1"/>
  <c r="O1211" i="44" s="1"/>
  <c r="O75" i="44"/>
  <c r="O655" i="44" s="1"/>
  <c r="P655" i="44"/>
  <c r="Q57" i="44"/>
  <c r="Q637" i="44" s="1"/>
  <c r="O57" i="44"/>
  <c r="O637" i="44" s="1"/>
  <c r="M1193" i="44" s="1"/>
  <c r="P637" i="44"/>
  <c r="N1193" i="44" s="1"/>
  <c r="Q416" i="44"/>
  <c r="Q996" i="44" s="1"/>
  <c r="O416" i="44"/>
  <c r="O996" i="44" s="1"/>
  <c r="P996" i="44"/>
  <c r="E1321" i="44"/>
  <c r="J191" i="44"/>
  <c r="J771" i="44" s="1"/>
  <c r="K771" i="44"/>
  <c r="J310" i="44"/>
  <c r="J890" i="44" s="1"/>
  <c r="K890" i="44"/>
  <c r="E1292" i="44"/>
  <c r="F1271" i="44"/>
  <c r="F1276" i="44"/>
  <c r="E1296" i="44"/>
  <c r="J134" i="44"/>
  <c r="J714" i="44" s="1"/>
  <c r="K714" i="44"/>
  <c r="J217" i="44"/>
  <c r="J797" i="44" s="1"/>
  <c r="H1257" i="44" s="1"/>
  <c r="K797" i="44"/>
  <c r="W1245" i="44"/>
  <c r="P1358" i="44"/>
  <c r="S1342" i="44"/>
  <c r="Q558" i="44"/>
  <c r="Q1138" i="44" s="1"/>
  <c r="O558" i="44"/>
  <c r="O1138" i="44" s="1"/>
  <c r="P1138" i="44"/>
  <c r="J448" i="44"/>
  <c r="J1028" i="44" s="1"/>
  <c r="K1028" i="44"/>
  <c r="I1224" i="44" s="1"/>
  <c r="X1172" i="44"/>
  <c r="V1177" i="44"/>
  <c r="P1273" i="44"/>
  <c r="J38" i="44"/>
  <c r="J618" i="44" s="1"/>
  <c r="H1174" i="44" s="1"/>
  <c r="K618" i="44"/>
  <c r="I1174" i="44" s="1"/>
  <c r="Q352" i="44"/>
  <c r="Q932" i="44" s="1"/>
  <c r="O1200" i="44" s="1"/>
  <c r="O352" i="44"/>
  <c r="O932" i="44" s="1"/>
  <c r="M1200" i="44" s="1"/>
  <c r="P932" i="44"/>
  <c r="N1200" i="44" s="1"/>
  <c r="Q348" i="44"/>
  <c r="Q928" i="44" s="1"/>
  <c r="O348" i="44"/>
  <c r="O928" i="44" s="1"/>
  <c r="P928" i="44"/>
  <c r="J473" i="44"/>
  <c r="J1053" i="44" s="1"/>
  <c r="K1053" i="44"/>
  <c r="J489" i="44"/>
  <c r="J1069" i="44" s="1"/>
  <c r="K1069" i="44"/>
  <c r="V1244" i="44"/>
  <c r="E1362" i="44"/>
  <c r="P1359" i="44"/>
  <c r="O537" i="44"/>
  <c r="O1117" i="44" s="1"/>
  <c r="Q537" i="44"/>
  <c r="Q1117" i="44" s="1"/>
  <c r="P1117" i="44"/>
  <c r="J166" i="44"/>
  <c r="J746" i="44" s="1"/>
  <c r="K746" i="44"/>
  <c r="R1332" i="44"/>
  <c r="R1284" i="44"/>
  <c r="Q1275" i="44"/>
  <c r="X1181" i="44"/>
  <c r="U1301" i="44"/>
  <c r="J128" i="44"/>
  <c r="J708" i="44" s="1"/>
  <c r="H1216" i="44" s="1"/>
  <c r="K708" i="44"/>
  <c r="Q1339" i="44"/>
  <c r="X1226" i="44"/>
  <c r="G1339" i="44"/>
  <c r="J209" i="44"/>
  <c r="J789" i="44" s="1"/>
  <c r="K789" i="44"/>
  <c r="I1249" i="44" s="1"/>
  <c r="E1347" i="44"/>
  <c r="J543" i="44"/>
  <c r="J1123" i="44" s="1"/>
  <c r="K1123" i="44"/>
  <c r="J577" i="44"/>
  <c r="J1157" i="44" s="1"/>
  <c r="K1157" i="44"/>
  <c r="J436" i="44"/>
  <c r="J1016" i="44" s="1"/>
  <c r="K1016" i="44"/>
  <c r="X1187" i="44"/>
  <c r="J33" i="44"/>
  <c r="J613" i="44" s="1"/>
  <c r="K613" i="44"/>
  <c r="O346" i="44"/>
  <c r="O926" i="44" s="1"/>
  <c r="Q346" i="44"/>
  <c r="Q926" i="44" s="1"/>
  <c r="P926" i="44"/>
  <c r="Q1330" i="44"/>
  <c r="V1225" i="44"/>
  <c r="E1334" i="44"/>
  <c r="J195" i="44"/>
  <c r="J775" i="44" s="1"/>
  <c r="K775" i="44"/>
  <c r="R1357" i="44"/>
  <c r="Q260" i="44"/>
  <c r="Q840" i="44" s="1"/>
  <c r="O260" i="44"/>
  <c r="O840" i="44" s="1"/>
  <c r="P840" i="44"/>
  <c r="O281" i="44"/>
  <c r="O861" i="44" s="1"/>
  <c r="Q281" i="44"/>
  <c r="Q861" i="44" s="1"/>
  <c r="P861" i="44"/>
  <c r="Q1281" i="44"/>
  <c r="V1179" i="44"/>
  <c r="J362" i="44"/>
  <c r="J942" i="44" s="1"/>
  <c r="K942" i="44"/>
  <c r="Q54" i="44"/>
  <c r="Q634" i="44" s="1"/>
  <c r="O54" i="44"/>
  <c r="O634" i="44" s="1"/>
  <c r="P634" i="44"/>
  <c r="Q1327" i="44"/>
  <c r="Q1336" i="44"/>
  <c r="Q479" i="44"/>
  <c r="Q1059" i="44" s="1"/>
  <c r="O479" i="44"/>
  <c r="O1059" i="44" s="1"/>
  <c r="P1059" i="44"/>
  <c r="Q189" i="44"/>
  <c r="Q769" i="44" s="1"/>
  <c r="O189" i="44"/>
  <c r="O769" i="44" s="1"/>
  <c r="P769" i="44"/>
  <c r="E1355" i="44"/>
  <c r="J523" i="44"/>
  <c r="J1103" i="44" s="1"/>
  <c r="K1103" i="44"/>
  <c r="W1225" i="44"/>
  <c r="J21" i="44"/>
  <c r="J601" i="44" s="1"/>
  <c r="K601" i="44"/>
  <c r="Q25" i="44"/>
  <c r="Q605" i="44" s="1"/>
  <c r="O1185" i="44" s="1"/>
  <c r="O25" i="44"/>
  <c r="O605" i="44" s="1"/>
  <c r="P605" i="44"/>
  <c r="N1185" i="44" s="1"/>
  <c r="O326" i="44"/>
  <c r="O906" i="44" s="1"/>
  <c r="Q326" i="44"/>
  <c r="Q906" i="44" s="1"/>
  <c r="P906" i="44"/>
  <c r="Q427" i="44"/>
  <c r="Q1007" i="44" s="1"/>
  <c r="O427" i="44"/>
  <c r="O1007" i="44" s="1"/>
  <c r="P1007" i="44"/>
  <c r="O413" i="44"/>
  <c r="O993" i="44" s="1"/>
  <c r="Q413" i="44"/>
  <c r="Q993" i="44" s="1"/>
  <c r="P993" i="44"/>
  <c r="J1218" i="44"/>
  <c r="V1227" i="44"/>
  <c r="S1358" i="44"/>
  <c r="X1243" i="44"/>
  <c r="O1242" i="44"/>
  <c r="J10" i="44"/>
  <c r="J590" i="44" s="1"/>
  <c r="K590" i="44"/>
  <c r="W1193" i="44"/>
  <c r="H1219" i="44"/>
  <c r="J381" i="44"/>
  <c r="J961" i="44" s="1"/>
  <c r="K961" i="44"/>
  <c r="J101" i="44"/>
  <c r="J681" i="44" s="1"/>
  <c r="K681" i="44"/>
  <c r="I1189" i="44" s="1"/>
  <c r="Q79" i="44"/>
  <c r="Q659" i="44" s="1"/>
  <c r="O79" i="44"/>
  <c r="O659" i="44" s="1"/>
  <c r="P659" i="44"/>
  <c r="O23" i="44"/>
  <c r="O603" i="44" s="1"/>
  <c r="Q23" i="44"/>
  <c r="Q603" i="44" s="1"/>
  <c r="P603" i="44"/>
  <c r="N1183" i="44" s="1"/>
  <c r="H1189" i="44"/>
  <c r="G1298" i="44"/>
  <c r="J59" i="44"/>
  <c r="J639" i="44" s="1"/>
  <c r="K639" i="44"/>
  <c r="I1195" i="44" s="1"/>
  <c r="J63" i="44"/>
  <c r="J643" i="44" s="1"/>
  <c r="K643" i="44"/>
  <c r="X1201" i="44"/>
  <c r="Q87" i="44"/>
  <c r="Q667" i="44" s="1"/>
  <c r="O87" i="44"/>
  <c r="O667" i="44" s="1"/>
  <c r="P667" i="44"/>
  <c r="J573" i="44"/>
  <c r="J1153" i="44" s="1"/>
  <c r="K1153" i="44"/>
  <c r="J327" i="44"/>
  <c r="J907" i="44" s="1"/>
  <c r="K907" i="44"/>
  <c r="Q398" i="44"/>
  <c r="Q978" i="44" s="1"/>
  <c r="O398" i="44"/>
  <c r="O978" i="44" s="1"/>
  <c r="P978" i="44"/>
  <c r="O371" i="44"/>
  <c r="O951" i="44" s="1"/>
  <c r="Q371" i="44"/>
  <c r="Q951" i="44" s="1"/>
  <c r="P951" i="44"/>
  <c r="R1307" i="44"/>
  <c r="J102" i="44"/>
  <c r="J682" i="44" s="1"/>
  <c r="K682" i="44"/>
  <c r="O86" i="44"/>
  <c r="O666" i="44" s="1"/>
  <c r="Q86" i="44"/>
  <c r="Q666" i="44" s="1"/>
  <c r="P666" i="44"/>
  <c r="J244" i="44"/>
  <c r="J824" i="44" s="1"/>
  <c r="H1164" i="44" s="1"/>
  <c r="K824" i="44"/>
  <c r="I1164" i="44" s="1"/>
  <c r="J296" i="44"/>
  <c r="J876" i="44" s="1"/>
  <c r="K876" i="44"/>
  <c r="J64" i="44"/>
  <c r="J644" i="44" s="1"/>
  <c r="K644" i="44"/>
  <c r="I1200" i="44" s="1"/>
  <c r="O244" i="44"/>
  <c r="O824" i="44" s="1"/>
  <c r="Q244" i="44"/>
  <c r="Q824" i="44" s="1"/>
  <c r="P824" i="44"/>
  <c r="Q14" i="44"/>
  <c r="Q594" i="44" s="1"/>
  <c r="O1174" i="44" s="1"/>
  <c r="O14" i="44"/>
  <c r="O594" i="44" s="1"/>
  <c r="M1174" i="44" s="1"/>
  <c r="P594" i="44"/>
  <c r="S1264" i="44"/>
  <c r="R1318" i="44" s="1"/>
  <c r="R1269" i="44"/>
  <c r="J100" i="44"/>
  <c r="J680" i="44" s="1"/>
  <c r="K680" i="44"/>
  <c r="Q1322" i="44"/>
  <c r="J502" i="44"/>
  <c r="J1082" i="44" s="1"/>
  <c r="K1082" i="44"/>
  <c r="W1194" i="44"/>
  <c r="J72" i="44"/>
  <c r="J652" i="44" s="1"/>
  <c r="H1208" i="44" s="1"/>
  <c r="K652" i="44"/>
  <c r="I1208" i="44" s="1"/>
  <c r="Q1307" i="44"/>
  <c r="Q122" i="44"/>
  <c r="Q702" i="44" s="1"/>
  <c r="O122" i="44"/>
  <c r="O702" i="44" s="1"/>
  <c r="P702" i="44"/>
  <c r="O412" i="44"/>
  <c r="O992" i="44" s="1"/>
  <c r="Q412" i="44"/>
  <c r="Q992" i="44" s="1"/>
  <c r="O1212" i="44" s="1"/>
  <c r="P992" i="44"/>
  <c r="J58" i="44"/>
  <c r="J638" i="44" s="1"/>
  <c r="K638" i="44"/>
  <c r="I1194" i="44" s="1"/>
  <c r="W1207" i="44"/>
  <c r="Q4" i="44"/>
  <c r="Q584" i="44" s="1"/>
  <c r="O1164" i="44" s="1"/>
  <c r="O4" i="44"/>
  <c r="O584" i="44" s="1"/>
  <c r="M1164" i="44" s="1"/>
  <c r="F1275" i="44"/>
  <c r="O46" i="44"/>
  <c r="O626" i="44" s="1"/>
  <c r="Q46" i="44"/>
  <c r="Q626" i="44" s="1"/>
  <c r="P626" i="44"/>
  <c r="J1209" i="44"/>
  <c r="J422" i="44"/>
  <c r="J1002" i="44" s="1"/>
  <c r="K1002" i="44"/>
  <c r="I1222" i="44" s="1"/>
  <c r="Q423" i="44"/>
  <c r="Q1003" i="44" s="1"/>
  <c r="O423" i="44"/>
  <c r="O1003" i="44" s="1"/>
  <c r="P1003" i="44"/>
  <c r="J1223" i="44"/>
  <c r="J218" i="44"/>
  <c r="J798" i="44" s="1"/>
  <c r="K798" i="44"/>
  <c r="V1257" i="44"/>
  <c r="E1283" i="44"/>
  <c r="U1332" i="44"/>
  <c r="Q163" i="44"/>
  <c r="Q743" i="44" s="1"/>
  <c r="O163" i="44"/>
  <c r="O743" i="44" s="1"/>
  <c r="P743" i="44"/>
  <c r="J20" i="44"/>
  <c r="J600" i="44" s="1"/>
  <c r="H1180" i="44" s="1"/>
  <c r="K600" i="44"/>
  <c r="I1180" i="44" s="1"/>
  <c r="W1165" i="44"/>
  <c r="X1264" i="44" s="1"/>
  <c r="J326" i="44"/>
  <c r="J906" i="44" s="1"/>
  <c r="K906" i="44"/>
  <c r="O62" i="44"/>
  <c r="O642" i="44" s="1"/>
  <c r="Q62" i="44"/>
  <c r="Q642" i="44" s="1"/>
  <c r="P642" i="44"/>
  <c r="J193" i="44"/>
  <c r="J773" i="44" s="1"/>
  <c r="K773" i="44"/>
  <c r="J199" i="44"/>
  <c r="J779" i="44" s="1"/>
  <c r="K779" i="44"/>
  <c r="E1352" i="44"/>
  <c r="E1351" i="44"/>
  <c r="Q532" i="44"/>
  <c r="Q1112" i="44" s="1"/>
  <c r="O532" i="44"/>
  <c r="O1112" i="44" s="1"/>
  <c r="P1112" i="44"/>
  <c r="J570" i="44"/>
  <c r="J1150" i="44" s="1"/>
  <c r="K1150" i="44"/>
  <c r="W1227" i="44"/>
  <c r="R1278" i="44"/>
  <c r="W1179" i="44"/>
  <c r="J349" i="44"/>
  <c r="J929" i="44" s="1"/>
  <c r="K929" i="44"/>
  <c r="J130" i="44"/>
  <c r="J710" i="44" s="1"/>
  <c r="K710" i="44"/>
  <c r="S1331" i="44"/>
  <c r="Q210" i="44"/>
  <c r="Q790" i="44" s="1"/>
  <c r="O210" i="44"/>
  <c r="O790" i="44" s="1"/>
  <c r="P790" i="44"/>
  <c r="J516" i="44"/>
  <c r="J1096" i="44" s="1"/>
  <c r="K1096" i="44"/>
  <c r="J263" i="44"/>
  <c r="J843" i="44" s="1"/>
  <c r="K843" i="44"/>
  <c r="J554" i="44"/>
  <c r="J1134" i="44" s="1"/>
  <c r="K1134" i="44"/>
  <c r="J289" i="44"/>
  <c r="J869" i="44" s="1"/>
  <c r="K869" i="44"/>
  <c r="O284" i="44"/>
  <c r="O864" i="44" s="1"/>
  <c r="Q284" i="44"/>
  <c r="Q864" i="44" s="1"/>
  <c r="P864" i="44"/>
  <c r="J299" i="44"/>
  <c r="J879" i="44" s="1"/>
  <c r="K879" i="44"/>
  <c r="P1278" i="44"/>
  <c r="M1166" i="44"/>
  <c r="R1300" i="44"/>
  <c r="G1309" i="44"/>
  <c r="Q130" i="44"/>
  <c r="Q710" i="44" s="1"/>
  <c r="O1218" i="44" s="1"/>
  <c r="O130" i="44"/>
  <c r="O710" i="44" s="1"/>
  <c r="M1218" i="44" s="1"/>
  <c r="P710" i="44"/>
  <c r="M1242" i="44"/>
  <c r="U1346" i="44"/>
  <c r="J293" i="44"/>
  <c r="J873" i="44" s="1"/>
  <c r="H1165" i="44" s="1"/>
  <c r="K873" i="44"/>
  <c r="I1165" i="44" s="1"/>
  <c r="Q1277" i="44"/>
  <c r="Q16" i="44"/>
  <c r="Q596" i="44" s="1"/>
  <c r="O16" i="44"/>
  <c r="O596" i="44" s="1"/>
  <c r="P596" i="44"/>
  <c r="Q31" i="44"/>
  <c r="Q611" i="44" s="1"/>
  <c r="O31" i="44"/>
  <c r="O611" i="44" s="1"/>
  <c r="P611" i="44"/>
  <c r="J237" i="44"/>
  <c r="J817" i="44" s="1"/>
  <c r="K817" i="44"/>
  <c r="J52" i="44"/>
  <c r="J632" i="44" s="1"/>
  <c r="H1188" i="44" s="1"/>
  <c r="K632" i="44"/>
  <c r="I1188" i="44" s="1"/>
  <c r="X1209" i="44"/>
  <c r="Q552" i="44"/>
  <c r="Q1132" i="44" s="1"/>
  <c r="O552" i="44"/>
  <c r="O1132" i="44" s="1"/>
  <c r="P1132" i="44"/>
  <c r="J110" i="44"/>
  <c r="J690" i="44" s="1"/>
  <c r="K690" i="44"/>
  <c r="J423" i="44"/>
  <c r="J1003" i="44" s="1"/>
  <c r="K1003" i="44"/>
  <c r="L1183" i="44"/>
  <c r="J360" i="44"/>
  <c r="J940" i="44" s="1"/>
  <c r="K940" i="44"/>
  <c r="O380" i="44"/>
  <c r="O960" i="44" s="1"/>
  <c r="Q380" i="44"/>
  <c r="Q960" i="44" s="1"/>
  <c r="P960" i="44"/>
  <c r="O85" i="44"/>
  <c r="O665" i="44" s="1"/>
  <c r="Q85" i="44"/>
  <c r="Q665" i="44" s="1"/>
  <c r="P665" i="44"/>
  <c r="Q492" i="44"/>
  <c r="Q1072" i="44" s="1"/>
  <c r="O492" i="44"/>
  <c r="O1072" i="44" s="1"/>
  <c r="P1072" i="44"/>
  <c r="Q342" i="44"/>
  <c r="Q922" i="44" s="1"/>
  <c r="O342" i="44"/>
  <c r="O922" i="44" s="1"/>
  <c r="P922" i="44"/>
  <c r="J82" i="44"/>
  <c r="J662" i="44" s="1"/>
  <c r="K662" i="44"/>
  <c r="E1295" i="44"/>
  <c r="X1219" i="44"/>
  <c r="J568" i="44"/>
  <c r="J1148" i="44" s="1"/>
  <c r="K1148" i="44"/>
  <c r="U1293" i="44"/>
  <c r="V1191" i="44"/>
  <c r="Q102" i="44"/>
  <c r="Q682" i="44" s="1"/>
  <c r="O102" i="44"/>
  <c r="O682" i="44" s="1"/>
  <c r="P682" i="44"/>
  <c r="D1200" i="44"/>
  <c r="J83" i="44"/>
  <c r="J663" i="44" s="1"/>
  <c r="K663" i="44"/>
  <c r="J1174" i="44"/>
  <c r="J403" i="44"/>
  <c r="J983" i="44" s="1"/>
  <c r="K983" i="44"/>
  <c r="Q439" i="44"/>
  <c r="Q1019" i="44" s="1"/>
  <c r="O439" i="44"/>
  <c r="O1019" i="44" s="1"/>
  <c r="P1019" i="44"/>
  <c r="X1207" i="44"/>
  <c r="Q388" i="44"/>
  <c r="Q968" i="44" s="1"/>
  <c r="O388" i="44"/>
  <c r="O968" i="44" s="1"/>
  <c r="P968" i="44"/>
  <c r="O391" i="44"/>
  <c r="O971" i="44" s="1"/>
  <c r="Q391" i="44"/>
  <c r="Q971" i="44" s="1"/>
  <c r="P971" i="44"/>
  <c r="P584" i="44"/>
  <c r="N1164" i="44" s="1"/>
  <c r="B3" i="28" a="1"/>
  <c r="B3" i="28" s="1"/>
  <c r="K1270" i="44" l="1"/>
  <c r="K1395" i="44" a="1"/>
  <c r="K1395" i="44" s="1"/>
  <c r="K1387" i="44" a="1"/>
  <c r="K1387" i="44" s="1"/>
  <c r="K1405" i="44" a="1"/>
  <c r="K1405" i="44" s="1"/>
  <c r="K1388" i="44" a="1"/>
  <c r="K1388" i="44" s="1"/>
  <c r="K1392" i="44" a="1"/>
  <c r="K1392" i="44" s="1"/>
  <c r="K1389" i="44" a="1"/>
  <c r="K1389" i="44" s="1"/>
  <c r="K1381" i="44" a="1"/>
  <c r="K1381" i="44" s="1"/>
  <c r="K1377" i="44" a="1"/>
  <c r="K1377" i="44" s="1"/>
  <c r="K1408" i="44" a="1"/>
  <c r="K1408" i="44" s="1"/>
  <c r="K1397" i="44" a="1"/>
  <c r="K1397" i="44" s="1"/>
  <c r="K1411" i="44" a="1"/>
  <c r="K1411" i="44" s="1"/>
  <c r="K1372" i="44" a="1"/>
  <c r="K1372" i="44" s="1"/>
  <c r="K1376" i="44" a="1"/>
  <c r="K1376" i="44" s="1"/>
  <c r="K1365" i="44" a="1"/>
  <c r="K1365" i="44" s="1"/>
  <c r="K1380" i="44" a="1"/>
  <c r="K1380" i="44" s="1"/>
  <c r="K1410" i="44" a="1"/>
  <c r="K1410" i="44" s="1"/>
  <c r="K1368" i="44" a="1"/>
  <c r="K1368" i="44" s="1"/>
  <c r="K1383" i="44" a="1"/>
  <c r="K1383" i="44" s="1"/>
  <c r="K1393" i="44" a="1"/>
  <c r="K1393" i="44" s="1"/>
  <c r="K1399" i="44" a="1"/>
  <c r="K1399" i="44" s="1"/>
  <c r="K1394" i="44" a="1"/>
  <c r="K1394" i="44" s="1"/>
  <c r="K1371" i="44" a="1"/>
  <c r="K1371" i="44" s="1"/>
  <c r="K1398" i="44" a="1"/>
  <c r="K1398" i="44" s="1"/>
  <c r="K1370" i="44" a="1"/>
  <c r="K1370" i="44" s="1"/>
  <c r="K1396" i="44" a="1"/>
  <c r="K1396" i="44" s="1"/>
  <c r="K1369" i="44" a="1"/>
  <c r="K1369" i="44" s="1"/>
  <c r="K1404" i="44" a="1"/>
  <c r="K1404" i="44" s="1"/>
  <c r="K1382" i="44" a="1"/>
  <c r="K1382" i="44" s="1"/>
  <c r="K1374" i="44" a="1"/>
  <c r="K1374" i="44" s="1"/>
  <c r="K1386" i="44" a="1"/>
  <c r="K1386" i="44" s="1"/>
  <c r="K1378" i="44" a="1"/>
  <c r="K1378" i="44" s="1"/>
  <c r="K1402" i="44" a="1"/>
  <c r="K1402" i="44" s="1"/>
  <c r="K1403" i="44" a="1"/>
  <c r="K1403" i="44" s="1"/>
  <c r="K1400" i="44" a="1"/>
  <c r="K1400" i="44" s="1"/>
  <c r="K1385" i="44" a="1"/>
  <c r="K1385" i="44" s="1"/>
  <c r="K1409" i="44" a="1"/>
  <c r="K1409" i="44" s="1"/>
  <c r="K1373" i="44" a="1"/>
  <c r="K1373" i="44" s="1"/>
  <c r="K1412" i="44" a="1"/>
  <c r="K1412" i="44" s="1"/>
  <c r="K1375" i="44" a="1"/>
  <c r="K1375" i="44" s="1"/>
  <c r="K1366" i="44" a="1"/>
  <c r="K1366" i="44" s="1"/>
  <c r="K1407" i="44" a="1"/>
  <c r="K1407" i="44" s="1"/>
  <c r="K1379" i="44" a="1"/>
  <c r="K1379" i="44" s="1"/>
  <c r="K1390" i="44" a="1"/>
  <c r="K1390" i="44" s="1"/>
  <c r="K1401" i="44" a="1"/>
  <c r="K1401" i="44" s="1"/>
  <c r="K1384" i="44" a="1"/>
  <c r="K1384" i="44" s="1"/>
  <c r="K1367" i="44" a="1"/>
  <c r="K1367" i="44" s="1"/>
  <c r="K1406" i="44" a="1"/>
  <c r="K1406" i="44" s="1"/>
  <c r="K1391" i="44" a="1"/>
  <c r="K1391" i="44" s="1"/>
  <c r="K1342" i="44"/>
  <c r="K1339" i="44"/>
  <c r="K1348" i="44"/>
  <c r="K1356" i="44"/>
  <c r="K1325" i="44"/>
  <c r="K1363" i="44"/>
  <c r="K1314" i="44"/>
  <c r="K1349" i="44"/>
  <c r="K1275" i="44"/>
  <c r="K1311" i="44"/>
  <c r="K1327" i="44"/>
  <c r="K1298" i="44"/>
  <c r="K1301" i="44"/>
  <c r="K1276" i="44"/>
  <c r="K1282" i="44"/>
  <c r="K1272" i="44"/>
  <c r="K1315" i="44"/>
  <c r="K1304" i="44"/>
  <c r="K1338" i="44"/>
  <c r="K1354" i="44"/>
  <c r="K1330" i="44"/>
  <c r="K1346" i="44"/>
  <c r="K1319" i="44"/>
  <c r="K1345" i="44"/>
  <c r="K1335" i="44"/>
  <c r="K1337" i="44"/>
  <c r="K1320" i="44"/>
  <c r="K1351" i="44"/>
  <c r="K1341" i="44"/>
  <c r="K1281" i="44"/>
  <c r="K1297" i="44"/>
  <c r="K1324" i="44"/>
  <c r="K1285" i="44"/>
  <c r="K1295" i="44"/>
  <c r="K1307" i="44"/>
  <c r="K1284" i="44"/>
  <c r="K1279" i="44"/>
  <c r="K1352" i="44"/>
  <c r="K1336" i="44"/>
  <c r="K1299" i="44"/>
  <c r="K1313" i="44"/>
  <c r="K1288" i="44"/>
  <c r="K1316" i="44"/>
  <c r="K1328" i="44"/>
  <c r="K1303" i="44"/>
  <c r="K1360" i="44"/>
  <c r="K1294" i="44"/>
  <c r="K1340" i="44"/>
  <c r="K1274" i="44"/>
  <c r="K1357" i="44"/>
  <c r="K1334" i="44"/>
  <c r="K1300" i="44"/>
  <c r="K1321" i="44"/>
  <c r="K1364" i="44"/>
  <c r="K1291" i="44"/>
  <c r="K1347" i="44"/>
  <c r="K1286" i="44"/>
  <c r="K1359" i="44"/>
  <c r="K1289" i="44"/>
  <c r="K1343" i="44"/>
  <c r="K1292" i="44"/>
  <c r="K1322" i="44"/>
  <c r="K1323" i="44"/>
  <c r="K1287" i="44"/>
  <c r="K1302" i="44"/>
  <c r="K1326" i="44"/>
  <c r="K1353" i="44"/>
  <c r="K1355" i="44"/>
  <c r="K1273" i="44"/>
  <c r="K1290" i="44"/>
  <c r="K1329" i="44"/>
  <c r="K1277" i="44"/>
  <c r="K1271" i="44"/>
  <c r="K1333" i="44"/>
  <c r="K1350" i="44"/>
  <c r="K1309" i="44"/>
  <c r="K1361" i="44"/>
  <c r="K1283" i="44"/>
  <c r="K1312" i="44"/>
  <c r="K1306" i="44"/>
  <c r="K1331" i="44"/>
  <c r="K1310" i="44"/>
  <c r="K1296" i="44"/>
  <c r="K1305" i="44"/>
  <c r="K1318" i="44"/>
  <c r="K1317" i="44"/>
  <c r="K1269" i="44"/>
  <c r="K1344" i="44"/>
  <c r="K1362" i="44"/>
  <c r="K1293" i="44"/>
  <c r="K1358" i="44"/>
  <c r="K1332" i="44"/>
  <c r="D1355" i="44"/>
  <c r="D1358" i="44"/>
  <c r="D1382" i="44" a="1"/>
  <c r="D1382" i="44" s="1"/>
  <c r="D1373" i="44" a="1"/>
  <c r="D1373" i="44" s="1"/>
  <c r="D1393" i="44" a="1"/>
  <c r="D1393" i="44" s="1"/>
  <c r="D1367" i="44" a="1"/>
  <c r="D1367" i="44" s="1"/>
  <c r="D1380" i="44" a="1"/>
  <c r="D1380" i="44" s="1"/>
  <c r="D1402" i="44" a="1"/>
  <c r="D1402" i="44" s="1"/>
  <c r="D1400" i="44" a="1"/>
  <c r="D1400" i="44" s="1"/>
  <c r="D1392" i="44" a="1"/>
  <c r="D1392" i="44" s="1"/>
  <c r="D1389" i="44" a="1"/>
  <c r="D1389" i="44" s="1"/>
  <c r="D1410" i="44" a="1"/>
  <c r="D1410" i="44" s="1"/>
  <c r="D1371" i="44" a="1"/>
  <c r="D1371" i="44" s="1"/>
  <c r="D1368" i="44" a="1"/>
  <c r="D1368" i="44" s="1"/>
  <c r="D1388" i="44" a="1"/>
  <c r="D1388" i="44" s="1"/>
  <c r="D1394" i="44" a="1"/>
  <c r="D1394" i="44" s="1"/>
  <c r="D1407" i="44" a="1"/>
  <c r="D1407" i="44" s="1"/>
  <c r="D1395" i="44" a="1"/>
  <c r="D1395" i="44" s="1"/>
  <c r="D1370" i="44" a="1"/>
  <c r="D1370" i="44" s="1"/>
  <c r="D1398" i="44" a="1"/>
  <c r="D1398" i="44" s="1"/>
  <c r="D1403" i="44" a="1"/>
  <c r="D1403" i="44" s="1"/>
  <c r="D1408" i="44" a="1"/>
  <c r="D1408" i="44" s="1"/>
  <c r="D1383" i="44" a="1"/>
  <c r="D1383" i="44" s="1"/>
  <c r="D1387" i="44" a="1"/>
  <c r="D1387" i="44" s="1"/>
  <c r="D1376" i="44" a="1"/>
  <c r="D1376" i="44" s="1"/>
  <c r="D1372" i="44" a="1"/>
  <c r="D1372" i="44" s="1"/>
  <c r="D1378" i="44" a="1"/>
  <c r="D1378" i="44" s="1"/>
  <c r="D1386" i="44" a="1"/>
  <c r="D1386" i="44" s="1"/>
  <c r="D1365" i="44" a="1"/>
  <c r="D1365" i="44" s="1"/>
  <c r="D1379" i="44" a="1"/>
  <c r="D1379" i="44" s="1"/>
  <c r="D1404" i="44" a="1"/>
  <c r="D1404" i="44" s="1"/>
  <c r="D1374" i="44" a="1"/>
  <c r="D1374" i="44" s="1"/>
  <c r="D1401" i="44" a="1"/>
  <c r="D1401" i="44" s="1"/>
  <c r="D1409" i="44" a="1"/>
  <c r="D1409" i="44" s="1"/>
  <c r="D1377" i="44" a="1"/>
  <c r="D1377" i="44" s="1"/>
  <c r="D1381" i="44" a="1"/>
  <c r="D1381" i="44" s="1"/>
  <c r="D1397" i="44" a="1"/>
  <c r="D1397" i="44" s="1"/>
  <c r="D1385" i="44" a="1"/>
  <c r="D1385" i="44" s="1"/>
  <c r="D1412" i="44" a="1"/>
  <c r="D1412" i="44" s="1"/>
  <c r="D1405" i="44" a="1"/>
  <c r="D1405" i="44" s="1"/>
  <c r="D1406" i="44" a="1"/>
  <c r="D1406" i="44" s="1"/>
  <c r="D1369" i="44" a="1"/>
  <c r="D1369" i="44" s="1"/>
  <c r="D1411" i="44" a="1"/>
  <c r="D1411" i="44" s="1"/>
  <c r="D1390" i="44" a="1"/>
  <c r="D1390" i="44" s="1"/>
  <c r="D1375" i="44" a="1"/>
  <c r="D1375" i="44" s="1"/>
  <c r="D1366" i="44" a="1"/>
  <c r="D1366" i="44" s="1"/>
  <c r="D1384" i="44" a="1"/>
  <c r="D1384" i="44" s="1"/>
  <c r="D1396" i="44" a="1"/>
  <c r="D1396" i="44" s="1"/>
  <c r="D1391" i="44" a="1"/>
  <c r="D1391" i="44" s="1"/>
  <c r="D1399" i="44" a="1"/>
  <c r="D1399" i="44" s="1"/>
  <c r="D1276" i="44"/>
  <c r="D1280" i="44"/>
  <c r="D1298" i="44"/>
  <c r="D1332" i="44"/>
  <c r="D1334" i="44"/>
  <c r="D1363" i="44"/>
  <c r="D1289" i="44"/>
  <c r="D1359" i="44"/>
  <c r="D1273" i="44"/>
  <c r="D1344" i="44"/>
  <c r="D1343" i="44"/>
  <c r="D1290" i="44"/>
  <c r="D1287" i="44"/>
  <c r="D1271" i="44"/>
  <c r="D1283" i="44"/>
  <c r="D1309" i="44"/>
  <c r="D1307" i="44"/>
  <c r="D1278" i="44"/>
  <c r="D1339" i="44"/>
  <c r="D1272" i="44"/>
  <c r="D1331" i="44"/>
  <c r="D1285" i="44"/>
  <c r="D1353" i="44"/>
  <c r="D1333" i="44"/>
  <c r="D1323" i="44"/>
  <c r="D1356" i="44"/>
  <c r="D1347" i="44"/>
  <c r="D1293" i="44"/>
  <c r="D1296" i="44"/>
  <c r="D1282" i="44"/>
  <c r="D1337" i="44"/>
  <c r="D1294" i="44"/>
  <c r="D1314" i="44"/>
  <c r="D1320" i="44"/>
  <c r="D1321" i="44"/>
  <c r="D1338" i="44"/>
  <c r="D1348" i="44"/>
  <c r="D1306" i="44"/>
  <c r="D1354" i="44"/>
  <c r="D1364" i="44"/>
  <c r="D1292" i="44"/>
  <c r="D1340" i="44"/>
  <c r="D1316" i="44"/>
  <c r="D1299" i="44"/>
  <c r="D1270" i="44"/>
  <c r="D1351" i="44"/>
  <c r="D1330" i="44"/>
  <c r="D1277" i="44"/>
  <c r="D1327" i="44"/>
  <c r="D1349" i="44"/>
  <c r="D1302" i="44"/>
  <c r="D1286" i="44"/>
  <c r="D1352" i="44"/>
  <c r="D1288" i="44"/>
  <c r="D1319" i="44"/>
  <c r="D1291" i="44"/>
  <c r="D1311" i="44"/>
  <c r="D1346" i="44"/>
  <c r="D1341" i="44"/>
  <c r="D1279" i="44"/>
  <c r="D1336" i="44"/>
  <c r="D1362" i="44"/>
  <c r="D1313" i="44"/>
  <c r="D1329" i="44"/>
  <c r="D1300" i="44"/>
  <c r="D1342" i="44"/>
  <c r="D1322" i="44"/>
  <c r="D1295" i="44"/>
  <c r="D1345" i="44"/>
  <c r="D1275" i="44"/>
  <c r="D1315" i="44"/>
  <c r="D1269" i="44"/>
  <c r="D1360" i="44"/>
  <c r="D1325" i="44"/>
  <c r="D1324" i="44"/>
  <c r="D1361" i="44"/>
  <c r="D1328" i="44"/>
  <c r="D1284" i="44"/>
  <c r="D1297" i="44"/>
  <c r="D1335" i="44"/>
  <c r="D1301" i="44"/>
  <c r="D1317" i="44"/>
  <c r="D1350" i="44"/>
  <c r="D1326" i="44"/>
  <c r="D1308" i="44"/>
  <c r="D1274" i="44"/>
  <c r="D1304" i="44"/>
  <c r="D1312" i="44"/>
  <c r="D1318" i="44"/>
  <c r="D1357" i="44"/>
  <c r="D1281" i="44"/>
  <c r="T1363" i="44"/>
  <c r="H1170" i="44"/>
  <c r="F1326" i="44"/>
  <c r="F1335" i="44"/>
  <c r="F1387" i="44" a="1"/>
  <c r="F1387" i="44" s="1"/>
  <c r="F1404" i="44" a="1"/>
  <c r="F1404" i="44" s="1"/>
  <c r="F1407" i="44" a="1"/>
  <c r="F1407" i="44" s="1"/>
  <c r="F1372" i="44" a="1"/>
  <c r="F1372" i="44" s="1"/>
  <c r="F1384" i="44" a="1"/>
  <c r="F1384" i="44" s="1"/>
  <c r="F1385" i="44" a="1"/>
  <c r="F1385" i="44" s="1"/>
  <c r="F1381" i="44" a="1"/>
  <c r="F1381" i="44" s="1"/>
  <c r="F1395" i="44" a="1"/>
  <c r="F1395" i="44" s="1"/>
  <c r="F1367" i="44" a="1"/>
  <c r="F1367" i="44" s="1"/>
  <c r="F1382" i="44" a="1"/>
  <c r="F1382" i="44" s="1"/>
  <c r="F1369" i="44" a="1"/>
  <c r="F1369" i="44" s="1"/>
  <c r="F1375" i="44" a="1"/>
  <c r="F1375" i="44" s="1"/>
  <c r="F1377" i="44" a="1"/>
  <c r="F1377" i="44" s="1"/>
  <c r="F1379" i="44" a="1"/>
  <c r="F1379" i="44" s="1"/>
  <c r="F1365" i="44" a="1"/>
  <c r="F1365" i="44" s="1"/>
  <c r="F1386" i="44" a="1"/>
  <c r="F1386" i="44" s="1"/>
  <c r="F1380" i="44" a="1"/>
  <c r="F1380" i="44" s="1"/>
  <c r="F1396" i="44" a="1"/>
  <c r="F1396" i="44" s="1"/>
  <c r="F1410" i="44" a="1"/>
  <c r="F1410" i="44" s="1"/>
  <c r="F1378" i="44" a="1"/>
  <c r="F1378" i="44" s="1"/>
  <c r="F1390" i="44" a="1"/>
  <c r="F1390" i="44" s="1"/>
  <c r="F1406" i="44" a="1"/>
  <c r="F1406" i="44" s="1"/>
  <c r="F1383" i="44" a="1"/>
  <c r="F1383" i="44" s="1"/>
  <c r="F1393" i="44" a="1"/>
  <c r="F1393" i="44" s="1"/>
  <c r="F1405" i="44" a="1"/>
  <c r="F1405" i="44" s="1"/>
  <c r="F1370" i="44" a="1"/>
  <c r="F1370" i="44" s="1"/>
  <c r="F1371" i="44" a="1"/>
  <c r="F1371" i="44" s="1"/>
  <c r="F1388" i="44" a="1"/>
  <c r="F1388" i="44" s="1"/>
  <c r="F1342" i="44"/>
  <c r="F1376" i="44" a="1"/>
  <c r="F1376" i="44" s="1"/>
  <c r="F1366" i="44" a="1"/>
  <c r="F1366" i="44" s="1"/>
  <c r="F1368" i="44" a="1"/>
  <c r="F1368" i="44" s="1"/>
  <c r="F1374" i="44" a="1"/>
  <c r="F1374" i="44" s="1"/>
  <c r="F1392" i="44" a="1"/>
  <c r="F1392" i="44" s="1"/>
  <c r="F1373" i="44" a="1"/>
  <c r="F1373" i="44" s="1"/>
  <c r="F1409" i="44" a="1"/>
  <c r="F1409" i="44" s="1"/>
  <c r="F1389" i="44" a="1"/>
  <c r="F1389" i="44" s="1"/>
  <c r="F1398" i="44" a="1"/>
  <c r="F1398" i="44" s="1"/>
  <c r="F1391" i="44" a="1"/>
  <c r="F1391" i="44" s="1"/>
  <c r="F1401" i="44" a="1"/>
  <c r="F1401" i="44" s="1"/>
  <c r="F1411" i="44" a="1"/>
  <c r="F1411" i="44" s="1"/>
  <c r="F1358" i="44"/>
  <c r="F1408" i="44" a="1"/>
  <c r="F1408" i="44" s="1"/>
  <c r="F1403" i="44" a="1"/>
  <c r="F1403" i="44" s="1"/>
  <c r="F1394" i="44" a="1"/>
  <c r="F1394" i="44" s="1"/>
  <c r="F1402" i="44" a="1"/>
  <c r="F1402" i="44" s="1"/>
  <c r="F1339" i="44"/>
  <c r="F1412" i="44" a="1"/>
  <c r="F1412" i="44" s="1"/>
  <c r="F1397" i="44" a="1"/>
  <c r="F1397" i="44" s="1"/>
  <c r="F1400" i="44" a="1"/>
  <c r="F1400" i="44" s="1"/>
  <c r="F1399" i="44" a="1"/>
  <c r="F1399" i="44" s="1"/>
  <c r="T1302" i="44"/>
  <c r="T1361" i="44"/>
  <c r="T1314" i="44"/>
  <c r="M1184" i="44"/>
  <c r="P1397" i="44" a="1"/>
  <c r="P1397" i="44" s="1"/>
  <c r="P1404" i="44" a="1"/>
  <c r="P1404" i="44" s="1"/>
  <c r="P1382" i="44" a="1"/>
  <c r="P1382" i="44" s="1"/>
  <c r="P1389" i="44" a="1"/>
  <c r="P1389" i="44" s="1"/>
  <c r="P1370" i="44" a="1"/>
  <c r="P1370" i="44" s="1"/>
  <c r="P1365" i="44" a="1"/>
  <c r="P1365" i="44" s="1"/>
  <c r="P1368" i="44" a="1"/>
  <c r="P1368" i="44" s="1"/>
  <c r="P1378" i="44" a="1"/>
  <c r="P1378" i="44" s="1"/>
  <c r="P1327" i="44"/>
  <c r="P1369" i="44" a="1"/>
  <c r="P1369" i="44" s="1"/>
  <c r="P1399" i="44" a="1"/>
  <c r="P1399" i="44" s="1"/>
  <c r="P1409" i="44" a="1"/>
  <c r="P1409" i="44" s="1"/>
  <c r="P1366" i="44" a="1"/>
  <c r="P1366" i="44" s="1"/>
  <c r="P1341" i="44"/>
  <c r="P1375" i="44" a="1"/>
  <c r="P1375" i="44" s="1"/>
  <c r="P1410" i="44" a="1"/>
  <c r="P1410" i="44" s="1"/>
  <c r="P1406" i="44" a="1"/>
  <c r="P1406" i="44" s="1"/>
  <c r="P1384" i="44" a="1"/>
  <c r="P1384" i="44" s="1"/>
  <c r="P1301" i="44"/>
  <c r="P1335" i="44"/>
  <c r="P1408" i="44" a="1"/>
  <c r="P1408" i="44" s="1"/>
  <c r="P1388" i="44" a="1"/>
  <c r="P1388" i="44" s="1"/>
  <c r="P1372" i="44" a="1"/>
  <c r="P1372" i="44" s="1"/>
  <c r="P1390" i="44" a="1"/>
  <c r="P1390" i="44" s="1"/>
  <c r="P1329" i="44"/>
  <c r="P1379" i="44" a="1"/>
  <c r="P1379" i="44" s="1"/>
  <c r="P1395" i="44" a="1"/>
  <c r="P1395" i="44" s="1"/>
  <c r="P1373" i="44" a="1"/>
  <c r="P1373" i="44" s="1"/>
  <c r="P1377" i="44" a="1"/>
  <c r="P1377" i="44" s="1"/>
  <c r="P1289" i="44"/>
  <c r="P1405" i="44" a="1"/>
  <c r="P1405" i="44" s="1"/>
  <c r="P1393" i="44" a="1"/>
  <c r="P1393" i="44" s="1"/>
  <c r="P1381" i="44" a="1"/>
  <c r="P1381" i="44" s="1"/>
  <c r="P1401" i="44" a="1"/>
  <c r="P1401" i="44" s="1"/>
  <c r="P1376" i="44" a="1"/>
  <c r="P1376" i="44" s="1"/>
  <c r="P1380" i="44" a="1"/>
  <c r="P1380" i="44" s="1"/>
  <c r="P1386" i="44" a="1"/>
  <c r="P1386" i="44" s="1"/>
  <c r="P1400" i="44" a="1"/>
  <c r="P1400" i="44" s="1"/>
  <c r="P1304" i="44"/>
  <c r="P1387" i="44" a="1"/>
  <c r="P1387" i="44" s="1"/>
  <c r="P1396" i="44" a="1"/>
  <c r="P1396" i="44" s="1"/>
  <c r="P1403" i="44" a="1"/>
  <c r="P1403" i="44" s="1"/>
  <c r="P1367" i="44" a="1"/>
  <c r="P1367" i="44" s="1"/>
  <c r="P1385" i="44" a="1"/>
  <c r="P1385" i="44" s="1"/>
  <c r="P1394" i="44" a="1"/>
  <c r="P1394" i="44" s="1"/>
  <c r="P1402" i="44" a="1"/>
  <c r="P1402" i="44" s="1"/>
  <c r="P1398" i="44" a="1"/>
  <c r="P1398" i="44" s="1"/>
  <c r="P1371" i="44" a="1"/>
  <c r="P1371" i="44" s="1"/>
  <c r="P1383" i="44" a="1"/>
  <c r="P1383" i="44" s="1"/>
  <c r="P1374" i="44" a="1"/>
  <c r="P1374" i="44" s="1"/>
  <c r="P1411" i="44" a="1"/>
  <c r="P1411" i="44" s="1"/>
  <c r="P1407" i="44" a="1"/>
  <c r="P1407" i="44" s="1"/>
  <c r="P1391" i="44" a="1"/>
  <c r="P1391" i="44" s="1"/>
  <c r="P1412" i="44" a="1"/>
  <c r="P1412" i="44" s="1"/>
  <c r="P1392" i="44" a="1"/>
  <c r="P1392" i="44" s="1"/>
  <c r="P1326" i="44"/>
  <c r="P1325" i="44"/>
  <c r="M1199" i="44"/>
  <c r="R1352" i="44"/>
  <c r="M1188" i="44"/>
  <c r="N1210" i="44"/>
  <c r="P1333" i="44"/>
  <c r="S1353" i="44"/>
  <c r="P1360" i="44"/>
  <c r="I1210" i="44"/>
  <c r="T1309" i="44"/>
  <c r="T1345" i="44"/>
  <c r="O1227" i="44"/>
  <c r="P1293" i="44"/>
  <c r="U1311" i="44"/>
  <c r="I1214" i="44"/>
  <c r="P1317" i="44"/>
  <c r="F1270" i="44"/>
  <c r="T1286" i="44"/>
  <c r="K1308" i="44"/>
  <c r="H1233" i="44"/>
  <c r="H1183" i="44"/>
  <c r="O1223" i="44"/>
  <c r="N1195" i="44"/>
  <c r="O1221" i="44"/>
  <c r="O1181" i="44"/>
  <c r="F1301" i="44"/>
  <c r="S1349" i="44"/>
  <c r="M1180" i="44"/>
  <c r="N1213" i="44"/>
  <c r="P1332" i="44"/>
  <c r="R1325" i="44"/>
  <c r="U1318" i="44"/>
  <c r="P1361" i="44"/>
  <c r="R1296" i="44"/>
  <c r="R1282" i="44"/>
  <c r="R1329" i="44"/>
  <c r="I1218" i="44"/>
  <c r="S1340" i="44"/>
  <c r="S1361" i="44"/>
  <c r="P1276" i="44"/>
  <c r="T1353" i="44"/>
  <c r="H1229" i="44"/>
  <c r="U1272" i="44"/>
  <c r="N1181" i="44"/>
  <c r="R1299" i="44"/>
  <c r="F1320" i="44"/>
  <c r="F1352" i="44"/>
  <c r="G1332" i="44"/>
  <c r="G1308" i="44"/>
  <c r="G1311" i="44"/>
  <c r="S1333" i="44"/>
  <c r="G1285" i="44"/>
  <c r="H1258" i="44"/>
  <c r="F1286" i="44"/>
  <c r="G1321" i="44"/>
  <c r="F1293" i="44"/>
  <c r="P1330" i="44"/>
  <c r="F1277" i="44"/>
  <c r="F1346" i="44"/>
  <c r="F1295" i="44"/>
  <c r="M1190" i="44"/>
  <c r="F1344" i="44"/>
  <c r="M1211" i="44"/>
  <c r="P1297" i="44"/>
  <c r="M1168" i="44"/>
  <c r="F1345" i="44"/>
  <c r="I1186" i="44"/>
  <c r="T1285" i="44"/>
  <c r="T1300" i="44"/>
  <c r="T1356" i="44"/>
  <c r="S1319" i="44"/>
  <c r="R1340" i="44"/>
  <c r="N1207" i="44"/>
  <c r="O1199" i="44"/>
  <c r="N1177" i="44"/>
  <c r="P1362" i="44"/>
  <c r="R1305" i="44"/>
  <c r="P1323" i="44"/>
  <c r="O1188" i="44"/>
  <c r="M1210" i="44"/>
  <c r="F1348" i="44"/>
  <c r="R1353" i="44"/>
  <c r="T1344" i="44"/>
  <c r="H1210" i="44"/>
  <c r="P1309" i="44"/>
  <c r="N1240" i="44"/>
  <c r="S1355" i="44"/>
  <c r="U1354" i="44"/>
  <c r="T1282" i="44"/>
  <c r="P1303" i="44"/>
  <c r="H1214" i="44"/>
  <c r="F1314" i="44"/>
  <c r="I1211" i="44"/>
  <c r="T1279" i="44"/>
  <c r="R1295" i="44"/>
  <c r="H1227" i="44"/>
  <c r="T1289" i="44"/>
  <c r="O1167" i="44"/>
  <c r="Y1264" i="44"/>
  <c r="X1313" i="44" s="1"/>
  <c r="H1203" i="44"/>
  <c r="G1278" i="44"/>
  <c r="P1352" i="44"/>
  <c r="O1180" i="44"/>
  <c r="M1213" i="44"/>
  <c r="G1360" i="44"/>
  <c r="R1338" i="44"/>
  <c r="E1312" i="44"/>
  <c r="E1275" i="44"/>
  <c r="E1346" i="44"/>
  <c r="E1333" i="44"/>
  <c r="E1282" i="44"/>
  <c r="E1364" i="44"/>
  <c r="E1337" i="44"/>
  <c r="E1348" i="44"/>
  <c r="E1378" i="44" a="1"/>
  <c r="E1378" i="44" s="1"/>
  <c r="E1379" i="44" a="1"/>
  <c r="E1379" i="44" s="1"/>
  <c r="E1412" i="44" a="1"/>
  <c r="E1412" i="44" s="1"/>
  <c r="E1385" i="44" a="1"/>
  <c r="E1385" i="44" s="1"/>
  <c r="E1375" i="44" a="1"/>
  <c r="E1375" i="44" s="1"/>
  <c r="E1407" i="44" a="1"/>
  <c r="E1407" i="44" s="1"/>
  <c r="E1366" i="44" a="1"/>
  <c r="E1366" i="44" s="1"/>
  <c r="C7" i="17" s="1" a="1"/>
  <c r="C7" i="17" s="1"/>
  <c r="E1408" i="44" a="1"/>
  <c r="E1408" i="44" s="1"/>
  <c r="E1376" i="44" a="1"/>
  <c r="E1376" i="44" s="1"/>
  <c r="E1381" i="44" a="1"/>
  <c r="E1381" i="44" s="1"/>
  <c r="E1396" i="44" a="1"/>
  <c r="E1396" i="44" s="1"/>
  <c r="E1401" i="44" a="1"/>
  <c r="E1401" i="44" s="1"/>
  <c r="E1406" i="44" a="1"/>
  <c r="E1406" i="44" s="1"/>
  <c r="E1397" i="44" a="1"/>
  <c r="E1397" i="44" s="1"/>
  <c r="E1374" i="44" a="1"/>
  <c r="E1374" i="44" s="1"/>
  <c r="E1400" i="44" a="1"/>
  <c r="E1400" i="44" s="1"/>
  <c r="E1372" i="44" a="1"/>
  <c r="E1372" i="44" s="1"/>
  <c r="E1411" i="44" a="1"/>
  <c r="E1411" i="44" s="1"/>
  <c r="E1389" i="44" a="1"/>
  <c r="E1389" i="44" s="1"/>
  <c r="E1402" i="44" a="1"/>
  <c r="E1402" i="44" s="1"/>
  <c r="E1410" i="44" a="1"/>
  <c r="E1410" i="44" s="1"/>
  <c r="E1384" i="44" a="1"/>
  <c r="E1384" i="44" s="1"/>
  <c r="E1388" i="44" a="1"/>
  <c r="E1388" i="44" s="1"/>
  <c r="E1403" i="44" a="1"/>
  <c r="E1403" i="44" s="1"/>
  <c r="E1392" i="44" a="1"/>
  <c r="E1392" i="44" s="1"/>
  <c r="E1371" i="44" a="1"/>
  <c r="E1371" i="44" s="1"/>
  <c r="E1365" i="44" a="1"/>
  <c r="E1365" i="44" s="1"/>
  <c r="E1387" i="44" a="1"/>
  <c r="E1387" i="44" s="1"/>
  <c r="E1390" i="44" a="1"/>
  <c r="E1390" i="44" s="1"/>
  <c r="E1370" i="44" a="1"/>
  <c r="E1370" i="44" s="1"/>
  <c r="E1394" i="44" a="1"/>
  <c r="E1394" i="44" s="1"/>
  <c r="E1399" i="44" a="1"/>
  <c r="E1399" i="44" s="1"/>
  <c r="E1373" i="44" a="1"/>
  <c r="E1373" i="44" s="1"/>
  <c r="E1377" i="44" a="1"/>
  <c r="E1377" i="44" s="1"/>
  <c r="E1369" i="44" a="1"/>
  <c r="E1369" i="44" s="1"/>
  <c r="E1393" i="44" a="1"/>
  <c r="E1393" i="44" s="1"/>
  <c r="E1383" i="44" a="1"/>
  <c r="E1383" i="44" s="1"/>
  <c r="E1405" i="44" a="1"/>
  <c r="E1405" i="44" s="1"/>
  <c r="E1391" i="44" a="1"/>
  <c r="E1391" i="44" s="1"/>
  <c r="E1386" i="44" a="1"/>
  <c r="E1386" i="44" s="1"/>
  <c r="E1368" i="44" a="1"/>
  <c r="E1368" i="44" s="1"/>
  <c r="E1404" i="44" a="1"/>
  <c r="E1404" i="44" s="1"/>
  <c r="E1380" i="44" a="1"/>
  <c r="E1380" i="44" s="1"/>
  <c r="E1409" i="44" a="1"/>
  <c r="E1409" i="44" s="1"/>
  <c r="E1398" i="44" a="1"/>
  <c r="E1398" i="44" s="1"/>
  <c r="E1382" i="44" a="1"/>
  <c r="E1382" i="44" s="1"/>
  <c r="E1367" i="44" a="1"/>
  <c r="E1367" i="44" s="1"/>
  <c r="E1395" i="44" a="1"/>
  <c r="E1395" i="44" s="1"/>
  <c r="I1231" i="44"/>
  <c r="P1269" i="44"/>
  <c r="I1171" i="44"/>
  <c r="I1239" i="44"/>
  <c r="T1287" i="44"/>
  <c r="T1291" i="44"/>
  <c r="E1305" i="44"/>
  <c r="G1334" i="44"/>
  <c r="F1332" i="44"/>
  <c r="G1279" i="44"/>
  <c r="E1270" i="44"/>
  <c r="R1304" i="44"/>
  <c r="M1181" i="44"/>
  <c r="F1290" i="44"/>
  <c r="E1308" i="44"/>
  <c r="F1343" i="44"/>
  <c r="Q1331" i="44"/>
  <c r="S1363" i="44"/>
  <c r="R1349" i="44"/>
  <c r="E1272" i="44"/>
  <c r="S1334" i="44"/>
  <c r="P1314" i="44"/>
  <c r="Q1345" i="44"/>
  <c r="R1293" i="44"/>
  <c r="F1291" i="44"/>
  <c r="N1235" i="44"/>
  <c r="R1272" i="44"/>
  <c r="S1294" i="44"/>
  <c r="Q1357" i="44"/>
  <c r="F1350" i="44"/>
  <c r="J1328" i="44"/>
  <c r="N1211" i="44"/>
  <c r="F1294" i="44"/>
  <c r="H1199" i="44"/>
  <c r="O1168" i="44"/>
  <c r="F1356" i="44"/>
  <c r="H1186" i="44"/>
  <c r="R1342" i="44"/>
  <c r="N1205" i="44"/>
  <c r="R1350" i="44"/>
  <c r="S1278" i="44"/>
  <c r="M1207" i="44"/>
  <c r="S1306" i="44"/>
  <c r="S1291" i="44"/>
  <c r="R1327" i="44"/>
  <c r="M1177" i="44"/>
  <c r="R1361" i="44"/>
  <c r="O1210" i="44"/>
  <c r="F1361" i="44"/>
  <c r="M1201" i="44"/>
  <c r="M1240" i="44"/>
  <c r="P1320" i="44"/>
  <c r="P1312" i="44"/>
  <c r="S1315" i="44"/>
  <c r="U1359" i="44"/>
  <c r="U1364" i="44"/>
  <c r="H1211" i="44"/>
  <c r="F1289" i="44"/>
  <c r="T1278" i="44"/>
  <c r="N1219" i="44"/>
  <c r="T1357" i="44"/>
  <c r="U1312" i="44"/>
  <c r="P1340" i="44"/>
  <c r="R1286" i="44"/>
  <c r="R1311" i="44"/>
  <c r="O1195" i="44"/>
  <c r="M1225" i="44"/>
  <c r="N1179" i="44"/>
  <c r="F1331" i="44"/>
  <c r="U1289" i="44"/>
  <c r="S1321" i="44"/>
  <c r="S1286" i="44"/>
  <c r="P1313" i="44"/>
  <c r="F1334" i="44"/>
  <c r="O1213" i="44"/>
  <c r="P1339" i="44"/>
  <c r="G1281" i="44"/>
  <c r="H1231" i="44"/>
  <c r="Q1351" i="44"/>
  <c r="F1308" i="44"/>
  <c r="U1331" i="44"/>
  <c r="H1171" i="44"/>
  <c r="F1354" i="44"/>
  <c r="F1321" i="44"/>
  <c r="N1231" i="44"/>
  <c r="T1350" i="44"/>
  <c r="T1349" i="44"/>
  <c r="U1298" i="44"/>
  <c r="P1353" i="44"/>
  <c r="R1308" i="44"/>
  <c r="J1336" i="44"/>
  <c r="F1274" i="44"/>
  <c r="S1304" i="44"/>
  <c r="N1255" i="44"/>
  <c r="I1254" i="44"/>
  <c r="T1352" i="44"/>
  <c r="G1351" i="44"/>
  <c r="I1215" i="44"/>
  <c r="N1252" i="44"/>
  <c r="F1297" i="44"/>
  <c r="T1328" i="44"/>
  <c r="U1290" i="44"/>
  <c r="I1220" i="44"/>
  <c r="M1183" i="44"/>
  <c r="O1224" i="44"/>
  <c r="O1176" i="44"/>
  <c r="S1270" i="44"/>
  <c r="R1339" i="44"/>
  <c r="D1310" i="44"/>
  <c r="H1192" i="44"/>
  <c r="M1205" i="44"/>
  <c r="P1272" i="44"/>
  <c r="N1173" i="44"/>
  <c r="O1207" i="44"/>
  <c r="I1240" i="44"/>
  <c r="O1177" i="44"/>
  <c r="J1362" i="44"/>
  <c r="R1345" i="44"/>
  <c r="U1330" i="44"/>
  <c r="T1364" i="44"/>
  <c r="K1264" i="44"/>
  <c r="J1361" i="44" s="1"/>
  <c r="U1300" i="44"/>
  <c r="O1240" i="44"/>
  <c r="S1282" i="44"/>
  <c r="R1313" i="44"/>
  <c r="S1305" i="44"/>
  <c r="T1308" i="44"/>
  <c r="I1170" i="44"/>
  <c r="G1282" i="44"/>
  <c r="T1273" i="44"/>
  <c r="R1316" i="44"/>
  <c r="H1253" i="44"/>
  <c r="N1254" i="44"/>
  <c r="S1279" i="44"/>
  <c r="S1357" i="44"/>
  <c r="T1348" i="44"/>
  <c r="I1196" i="44"/>
  <c r="H1176" i="44"/>
  <c r="H1249" i="44"/>
  <c r="O1179" i="44"/>
  <c r="S1330" i="44"/>
  <c r="F1288" i="44"/>
  <c r="M1247" i="44"/>
  <c r="S1285" i="44"/>
  <c r="S1273" i="44"/>
  <c r="G1337" i="44"/>
  <c r="G1320" i="44"/>
  <c r="N1206" i="44"/>
  <c r="T1295" i="44"/>
  <c r="R1321" i="44"/>
  <c r="S1338" i="44"/>
  <c r="F1272" i="44"/>
  <c r="I1235" i="44"/>
  <c r="M1231" i="44"/>
  <c r="S1318" i="44"/>
  <c r="U1334" i="44"/>
  <c r="I1203" i="44"/>
  <c r="T1280" i="44"/>
  <c r="M1255" i="44"/>
  <c r="E1287" i="44"/>
  <c r="H1254" i="44"/>
  <c r="G1361" i="44"/>
  <c r="E1343" i="44"/>
  <c r="H1215" i="44"/>
  <c r="O1252" i="44"/>
  <c r="G1318" i="44"/>
  <c r="O1235" i="44"/>
  <c r="I1259" i="44"/>
  <c r="S1276" i="44"/>
  <c r="M1167" i="44"/>
  <c r="H1220" i="44"/>
  <c r="N1190" i="44"/>
  <c r="M1208" i="44"/>
  <c r="N1176" i="44"/>
  <c r="M1176" i="44"/>
  <c r="T1330" i="44"/>
  <c r="O1190" i="44"/>
  <c r="H1218" i="44"/>
  <c r="T1346" i="44"/>
  <c r="R1341" i="44"/>
  <c r="R1401" i="44" a="1"/>
  <c r="R1401" i="44" s="1"/>
  <c r="R1394" i="44" a="1"/>
  <c r="R1394" i="44" s="1"/>
  <c r="R1392" i="44" a="1"/>
  <c r="R1392" i="44" s="1"/>
  <c r="R1375" i="44" a="1"/>
  <c r="R1375" i="44" s="1"/>
  <c r="R1390" i="44" a="1"/>
  <c r="R1390" i="44" s="1"/>
  <c r="R1382" i="44" a="1"/>
  <c r="R1382" i="44" s="1"/>
  <c r="R1376" i="44" a="1"/>
  <c r="R1376" i="44" s="1"/>
  <c r="R1395" i="44" a="1"/>
  <c r="R1395" i="44" s="1"/>
  <c r="R1380" i="44" a="1"/>
  <c r="R1380" i="44" s="1"/>
  <c r="R1412" i="44" a="1"/>
  <c r="R1412" i="44" s="1"/>
  <c r="R1398" i="44" a="1"/>
  <c r="R1398" i="44" s="1"/>
  <c r="R1409" i="44" a="1"/>
  <c r="R1409" i="44" s="1"/>
  <c r="R1328" i="44"/>
  <c r="R1331" i="44"/>
  <c r="R1404" i="44" a="1"/>
  <c r="R1404" i="44" s="1"/>
  <c r="R1381" i="44" a="1"/>
  <c r="R1381" i="44" s="1"/>
  <c r="R1396" i="44" a="1"/>
  <c r="R1396" i="44" s="1"/>
  <c r="R1400" i="44" a="1"/>
  <c r="R1400" i="44" s="1"/>
  <c r="R1335" i="44"/>
  <c r="R1358" i="44"/>
  <c r="R1373" i="44" a="1"/>
  <c r="R1373" i="44" s="1"/>
  <c r="R1402" i="44" a="1"/>
  <c r="R1402" i="44" s="1"/>
  <c r="R1406" i="44" a="1"/>
  <c r="R1406" i="44" s="1"/>
  <c r="R1399" i="44" a="1"/>
  <c r="R1399" i="44" s="1"/>
  <c r="R1270" i="44"/>
  <c r="R1290" i="44"/>
  <c r="R1280" i="44"/>
  <c r="R1374" i="44" a="1"/>
  <c r="R1374" i="44" s="1"/>
  <c r="R1372" i="44" a="1"/>
  <c r="R1372" i="44" s="1"/>
  <c r="R1410" i="44" a="1"/>
  <c r="R1410" i="44" s="1"/>
  <c r="R1384" i="44" a="1"/>
  <c r="R1384" i="44" s="1"/>
  <c r="R1379" i="44" a="1"/>
  <c r="R1379" i="44" s="1"/>
  <c r="R1405" i="44" a="1"/>
  <c r="R1405" i="44" s="1"/>
  <c r="R1411" i="44" a="1"/>
  <c r="R1411" i="44" s="1"/>
  <c r="R1377" i="44" a="1"/>
  <c r="R1377" i="44" s="1"/>
  <c r="R1360" i="44"/>
  <c r="R1397" i="44" a="1"/>
  <c r="R1397" i="44" s="1"/>
  <c r="R1365" i="44" a="1"/>
  <c r="R1365" i="44" s="1"/>
  <c r="R1388" i="44" a="1"/>
  <c r="R1388" i="44" s="1"/>
  <c r="R1389" i="44" a="1"/>
  <c r="R1389" i="44" s="1"/>
  <c r="R1393" i="44" a="1"/>
  <c r="R1393" i="44" s="1"/>
  <c r="R1367" i="44" a="1"/>
  <c r="R1367" i="44" s="1"/>
  <c r="R1403" i="44" a="1"/>
  <c r="R1403" i="44" s="1"/>
  <c r="R1378" i="44" a="1"/>
  <c r="R1378" i="44" s="1"/>
  <c r="R1368" i="44" a="1"/>
  <c r="R1368" i="44" s="1"/>
  <c r="R1371" i="44" a="1"/>
  <c r="R1371" i="44" s="1"/>
  <c r="R1407" i="44" a="1"/>
  <c r="R1407" i="44" s="1"/>
  <c r="R1383" i="44" a="1"/>
  <c r="R1383" i="44" s="1"/>
  <c r="R1322" i="44"/>
  <c r="R1366" i="44" a="1"/>
  <c r="R1366" i="44" s="1"/>
  <c r="R1385" i="44" a="1"/>
  <c r="R1385" i="44" s="1"/>
  <c r="R1408" i="44" a="1"/>
  <c r="R1408" i="44" s="1"/>
  <c r="R1369" i="44" a="1"/>
  <c r="R1369" i="44" s="1"/>
  <c r="R1276" i="44"/>
  <c r="R1326" i="44"/>
  <c r="R1387" i="44" a="1"/>
  <c r="R1387" i="44" s="1"/>
  <c r="R1386" i="44" a="1"/>
  <c r="R1386" i="44" s="1"/>
  <c r="R1391" i="44" a="1"/>
  <c r="R1391" i="44" s="1"/>
  <c r="R1370" i="44" a="1"/>
  <c r="R1370" i="44" s="1"/>
  <c r="R1363" i="44"/>
  <c r="T1329" i="44"/>
  <c r="S1345" i="44"/>
  <c r="N1174" i="44"/>
  <c r="H1195" i="44"/>
  <c r="J1323" i="44"/>
  <c r="H1224" i="44"/>
  <c r="F1304" i="44"/>
  <c r="I1187" i="44"/>
  <c r="S1344" i="44"/>
  <c r="T1277" i="44"/>
  <c r="R1320" i="44"/>
  <c r="R1344" i="44"/>
  <c r="R1297" i="44"/>
  <c r="O1205" i="44"/>
  <c r="U1297" i="44"/>
  <c r="R1347" i="44"/>
  <c r="N1204" i="44"/>
  <c r="R1354" i="44"/>
  <c r="M1173" i="44"/>
  <c r="H1235" i="44"/>
  <c r="R1302" i="44"/>
  <c r="U1278" i="44"/>
  <c r="R1362" i="44"/>
  <c r="U1314" i="44"/>
  <c r="U1308" i="44"/>
  <c r="U1305" i="44"/>
  <c r="F1351" i="44"/>
  <c r="U1321" i="44"/>
  <c r="S1328" i="44"/>
  <c r="I1190" i="44"/>
  <c r="P1316" i="44"/>
  <c r="T1293" i="44"/>
  <c r="S1289" i="44"/>
  <c r="G1286" i="44"/>
  <c r="H1242" i="44"/>
  <c r="T1275" i="44"/>
  <c r="M1245" i="44"/>
  <c r="P1336" i="44"/>
  <c r="I1217" i="44"/>
  <c r="N1223" i="44"/>
  <c r="F1349" i="44"/>
  <c r="P1305" i="44"/>
  <c r="N3" i="11" s="1" a="1"/>
  <c r="N3" i="11" s="1"/>
  <c r="U1338" i="44"/>
  <c r="P1334" i="44"/>
  <c r="I1237" i="44"/>
  <c r="F1287" i="44"/>
  <c r="H1196" i="44"/>
  <c r="I1166" i="44"/>
  <c r="J1264" i="44" s="1"/>
  <c r="I1209" i="44"/>
  <c r="M1179" i="44"/>
  <c r="R1324" i="44"/>
  <c r="I1184" i="44"/>
  <c r="U1299" i="44"/>
  <c r="Q1273" i="44"/>
  <c r="Q1360" i="44"/>
  <c r="Q1274" i="44"/>
  <c r="Q1278" i="44"/>
  <c r="Q1271" i="44"/>
  <c r="Q1276" i="44"/>
  <c r="Q1292" i="44"/>
  <c r="Q1288" i="44"/>
  <c r="Q1375" i="44" a="1"/>
  <c r="Q1375" i="44" s="1"/>
  <c r="Q1394" i="44" a="1"/>
  <c r="Q1394" i="44" s="1"/>
  <c r="Q1393" i="44" a="1"/>
  <c r="Q1393" i="44" s="1"/>
  <c r="Q1378" i="44" a="1"/>
  <c r="Q1378" i="44" s="1"/>
  <c r="Q1383" i="44" a="1"/>
  <c r="Q1383" i="44" s="1"/>
  <c r="Q1384" i="44" a="1"/>
  <c r="Q1384" i="44" s="1"/>
  <c r="Q1406" i="44" a="1"/>
  <c r="Q1406" i="44" s="1"/>
  <c r="Q1388" i="44" a="1"/>
  <c r="Q1388" i="44" s="1"/>
  <c r="Q1389" i="44" a="1"/>
  <c r="Q1389" i="44" s="1"/>
  <c r="Q1396" i="44" a="1"/>
  <c r="Q1396" i="44" s="1"/>
  <c r="Q1391" i="44" a="1"/>
  <c r="Q1391" i="44" s="1"/>
  <c r="Q1410" i="44" a="1"/>
  <c r="Q1410" i="44" s="1"/>
  <c r="Q1392" i="44" a="1"/>
  <c r="Q1392" i="44" s="1"/>
  <c r="Q1374" i="44" a="1"/>
  <c r="Q1374" i="44" s="1"/>
  <c r="Q1376" i="44" a="1"/>
  <c r="Q1376" i="44" s="1"/>
  <c r="Q1395" i="44" a="1"/>
  <c r="Q1395" i="44" s="1"/>
  <c r="Q1385" i="44" a="1"/>
  <c r="Q1385" i="44" s="1"/>
  <c r="Q1372" i="44" a="1"/>
  <c r="Q1372" i="44" s="1"/>
  <c r="Q1387" i="44" a="1"/>
  <c r="Q1387" i="44" s="1"/>
  <c r="Q1379" i="44" a="1"/>
  <c r="Q1379" i="44" s="1"/>
  <c r="Q1401" i="44" a="1"/>
  <c r="Q1401" i="44" s="1"/>
  <c r="Q1368" i="44" a="1"/>
  <c r="Q1368" i="44" s="1"/>
  <c r="Q1398" i="44" a="1"/>
  <c r="Q1398" i="44" s="1"/>
  <c r="Q1400" i="44" a="1"/>
  <c r="Q1400" i="44" s="1"/>
  <c r="Q1402" i="44" a="1"/>
  <c r="Q1402" i="44" s="1"/>
  <c r="Q1408" i="44" a="1"/>
  <c r="Q1408" i="44" s="1"/>
  <c r="Q1412" i="44" a="1"/>
  <c r="Q1412" i="44" s="1"/>
  <c r="Q1404" i="44" a="1"/>
  <c r="Q1404" i="44" s="1"/>
  <c r="Q1399" i="44" a="1"/>
  <c r="Q1399" i="44" s="1"/>
  <c r="Q1382" i="44" a="1"/>
  <c r="Q1382" i="44" s="1"/>
  <c r="Q1405" i="44" a="1"/>
  <c r="Q1405" i="44" s="1"/>
  <c r="Q1409" i="44" a="1"/>
  <c r="Q1409" i="44" s="1"/>
  <c r="Q1403" i="44" a="1"/>
  <c r="Q1403" i="44" s="1"/>
  <c r="Q1390" i="44" a="1"/>
  <c r="Q1390" i="44" s="1"/>
  <c r="Q1366" i="44" a="1"/>
  <c r="Q1366" i="44" s="1"/>
  <c r="Q1365" i="44" a="1"/>
  <c r="Q1365" i="44" s="1"/>
  <c r="Q1371" i="44" a="1"/>
  <c r="Q1371" i="44" s="1"/>
  <c r="Q1386" i="44" a="1"/>
  <c r="Q1386" i="44" s="1"/>
  <c r="Q1381" i="44" a="1"/>
  <c r="Q1381" i="44" s="1"/>
  <c r="Q1407" i="44" a="1"/>
  <c r="Q1407" i="44" s="1"/>
  <c r="Q1397" i="44" a="1"/>
  <c r="Q1397" i="44" s="1"/>
  <c r="Q1370" i="44" a="1"/>
  <c r="Q1370" i="44" s="1"/>
  <c r="Q1346" i="44"/>
  <c r="Q1367" i="44" a="1"/>
  <c r="Q1367" i="44" s="1"/>
  <c r="Q1411" i="44" a="1"/>
  <c r="Q1411" i="44" s="1"/>
  <c r="Q1373" i="44" a="1"/>
  <c r="Q1373" i="44" s="1"/>
  <c r="Q1377" i="44" a="1"/>
  <c r="Q1377" i="44" s="1"/>
  <c r="Q1380" i="44" a="1"/>
  <c r="Q1380" i="44" s="1"/>
  <c r="Q1369" i="44" a="1"/>
  <c r="Q1369" i="44" s="1"/>
  <c r="Q1335" i="44"/>
  <c r="F1327" i="44"/>
  <c r="G1322" i="44"/>
  <c r="G1362" i="44"/>
  <c r="J1311" i="44"/>
  <c r="U1351" i="44"/>
  <c r="G1301" i="44"/>
  <c r="P1287" i="44"/>
  <c r="R1275" i="44"/>
  <c r="G1359" i="44"/>
  <c r="G1295" i="44"/>
  <c r="U1288" i="44"/>
  <c r="O1231" i="44"/>
  <c r="T1347" i="44"/>
  <c r="N1232" i="44"/>
  <c r="I1232" i="44"/>
  <c r="O1255" i="44"/>
  <c r="I1221" i="44"/>
  <c r="T1274" i="44"/>
  <c r="Q1287" i="44"/>
  <c r="N1189" i="44"/>
  <c r="N1258" i="44"/>
  <c r="M1252" i="44"/>
  <c r="E1354" i="44"/>
  <c r="N1238" i="44"/>
  <c r="P1290" i="44"/>
  <c r="T1342" i="44"/>
  <c r="U1304" i="44"/>
  <c r="J1273" i="44"/>
  <c r="T1303" i="44"/>
  <c r="I1202" i="44"/>
  <c r="F1285" i="44"/>
  <c r="N1198" i="44"/>
  <c r="N1178" i="44"/>
  <c r="R1351" i="44"/>
  <c r="I1199" i="44"/>
  <c r="I1228" i="44"/>
  <c r="H1190" i="44"/>
  <c r="H1251" i="44"/>
  <c r="T1269" i="44"/>
  <c r="D1303" i="44"/>
  <c r="N1197" i="44"/>
  <c r="F1312" i="44"/>
  <c r="T1283" i="44"/>
  <c r="H1217" i="44"/>
  <c r="N1256" i="44"/>
  <c r="M1223" i="44"/>
  <c r="P1363" i="44"/>
  <c r="F1280" i="44"/>
  <c r="I1251" i="44"/>
  <c r="R1317" i="44"/>
  <c r="T1292" i="44"/>
  <c r="F1279" i="44"/>
  <c r="H1166" i="44"/>
  <c r="I1264" i="44" s="1"/>
  <c r="U1336" i="44"/>
  <c r="H1184" i="44"/>
  <c r="I1257" i="44"/>
  <c r="R1312" i="44"/>
  <c r="S1307" i="44"/>
  <c r="S1302" i="44"/>
  <c r="P1310" i="44"/>
  <c r="P1322" i="44"/>
  <c r="M1235" i="44"/>
  <c r="P1288" i="44"/>
  <c r="M1232" i="44"/>
  <c r="H1232" i="44"/>
  <c r="S1341" i="44"/>
  <c r="S1351" i="44"/>
  <c r="H1221" i="44"/>
  <c r="I1225" i="44"/>
  <c r="R1285" i="44"/>
  <c r="G1329" i="44"/>
  <c r="M1189" i="44"/>
  <c r="P1355" i="44"/>
  <c r="F1273" i="44"/>
  <c r="O1258" i="44"/>
  <c r="G1296" i="44"/>
  <c r="F1306" i="44"/>
  <c r="P1343" i="44"/>
  <c r="E1361" i="44"/>
  <c r="I1253" i="44"/>
  <c r="P1294" i="44"/>
  <c r="M1185" i="44"/>
  <c r="I1216" i="44"/>
  <c r="M1165" i="44"/>
  <c r="N1264" i="44" s="1"/>
  <c r="T1272" i="44"/>
  <c r="H1202" i="44"/>
  <c r="M1206" i="44"/>
  <c r="M1204" i="44"/>
  <c r="M1309" i="44" s="1"/>
  <c r="S1350" i="44"/>
  <c r="K1280" i="44"/>
  <c r="T1331" i="44"/>
  <c r="R1303" i="44"/>
  <c r="M1198" i="44"/>
  <c r="M1186" i="44"/>
  <c r="H1259" i="44"/>
  <c r="O1178" i="44"/>
  <c r="P1364" i="44"/>
  <c r="U1349" i="44"/>
  <c r="U1380" i="44" a="1"/>
  <c r="U1380" i="44" s="1"/>
  <c r="U1390" i="44" a="1"/>
  <c r="U1390" i="44" s="1"/>
  <c r="U1383" i="44" a="1"/>
  <c r="U1383" i="44" s="1"/>
  <c r="U1396" i="44" a="1"/>
  <c r="U1396" i="44" s="1"/>
  <c r="U1389" i="44" a="1"/>
  <c r="U1389" i="44" s="1"/>
  <c r="U1375" i="44" a="1"/>
  <c r="U1375" i="44" s="1"/>
  <c r="U1398" i="44" a="1"/>
  <c r="U1398" i="44" s="1"/>
  <c r="U1400" i="44" a="1"/>
  <c r="U1400" i="44" s="1"/>
  <c r="U1320" i="44"/>
  <c r="U1376" i="44" a="1"/>
  <c r="U1376" i="44" s="1"/>
  <c r="U1392" i="44" a="1"/>
  <c r="U1392" i="44" s="1"/>
  <c r="U1409" i="44" a="1"/>
  <c r="U1409" i="44" s="1"/>
  <c r="U1391" i="44" a="1"/>
  <c r="U1391" i="44" s="1"/>
  <c r="U1382" i="44" a="1"/>
  <c r="U1382" i="44" s="1"/>
  <c r="U1370" i="44" a="1"/>
  <c r="U1370" i="44" s="1"/>
  <c r="U1394" i="44" a="1"/>
  <c r="U1394" i="44" s="1"/>
  <c r="U1377" i="44" a="1"/>
  <c r="U1377" i="44" s="1"/>
  <c r="U1337" i="44"/>
  <c r="U1286" i="44"/>
  <c r="U1325" i="44"/>
  <c r="U1402" i="44" a="1"/>
  <c r="U1402" i="44" s="1"/>
  <c r="U1368" i="44" a="1"/>
  <c r="U1368" i="44" s="1"/>
  <c r="U1365" i="44" a="1"/>
  <c r="U1365" i="44" s="1"/>
  <c r="U1393" i="44" a="1"/>
  <c r="U1393" i="44" s="1"/>
  <c r="U1372" i="44" a="1"/>
  <c r="U1372" i="44" s="1"/>
  <c r="U1408" i="44" a="1"/>
  <c r="U1408" i="44" s="1"/>
  <c r="U1404" i="44" a="1"/>
  <c r="U1404" i="44" s="1"/>
  <c r="U1411" i="44" a="1"/>
  <c r="U1411" i="44" s="1"/>
  <c r="U1397" i="44" a="1"/>
  <c r="U1397" i="44" s="1"/>
  <c r="U1384" i="44" a="1"/>
  <c r="U1384" i="44" s="1"/>
  <c r="U1366" i="44" a="1"/>
  <c r="U1366" i="44" s="1"/>
  <c r="U1371" i="44" a="1"/>
  <c r="U1371" i="44" s="1"/>
  <c r="U1276" i="44"/>
  <c r="U1412" i="44" a="1"/>
  <c r="U1412" i="44" s="1"/>
  <c r="U1385" i="44" a="1"/>
  <c r="U1385" i="44" s="1"/>
  <c r="U1379" i="44" a="1"/>
  <c r="U1379" i="44" s="1"/>
  <c r="U1369" i="44" a="1"/>
  <c r="U1369" i="44" s="1"/>
  <c r="U1406" i="44" a="1"/>
  <c r="U1406" i="44" s="1"/>
  <c r="U1395" i="44" a="1"/>
  <c r="U1395" i="44" s="1"/>
  <c r="U1374" i="44" a="1"/>
  <c r="U1374" i="44" s="1"/>
  <c r="U1373" i="44" a="1"/>
  <c r="U1373" i="44" s="1"/>
  <c r="U1280" i="44"/>
  <c r="U1270" i="44"/>
  <c r="U1378" i="44" a="1"/>
  <c r="U1378" i="44" s="1"/>
  <c r="U1403" i="44" a="1"/>
  <c r="U1403" i="44" s="1"/>
  <c r="U1387" i="44" a="1"/>
  <c r="U1387" i="44" s="1"/>
  <c r="U1381" i="44" a="1"/>
  <c r="U1381" i="44" s="1"/>
  <c r="U1407" i="44" a="1"/>
  <c r="U1407" i="44" s="1"/>
  <c r="U1401" i="44" a="1"/>
  <c r="U1401" i="44" s="1"/>
  <c r="U1386" i="44" a="1"/>
  <c r="U1386" i="44" s="1"/>
  <c r="U1405" i="44" a="1"/>
  <c r="U1405" i="44" s="1"/>
  <c r="U1342" i="44"/>
  <c r="U1367" i="44" a="1"/>
  <c r="U1367" i="44" s="1"/>
  <c r="U1388" i="44" a="1"/>
  <c r="U1388" i="44" s="1"/>
  <c r="U1410" i="44" a="1"/>
  <c r="U1410" i="44" s="1"/>
  <c r="U1399" i="44" a="1"/>
  <c r="U1399" i="44" s="1"/>
  <c r="U1287" i="44"/>
  <c r="J1291" i="44"/>
  <c r="H1228" i="44"/>
  <c r="F1323" i="44"/>
  <c r="H1169" i="44"/>
  <c r="F1315" i="44"/>
  <c r="R1343" i="44"/>
  <c r="S1274" i="44"/>
  <c r="U1316" i="44"/>
  <c r="O1197" i="44"/>
  <c r="P1351" i="44"/>
  <c r="F1310" i="44"/>
  <c r="M1256" i="44"/>
  <c r="I1252" i="44"/>
  <c r="F1283" i="44"/>
  <c r="I1172" i="44"/>
  <c r="T1336" i="44"/>
  <c r="F1278" i="44"/>
  <c r="R1301" i="44"/>
  <c r="F1336" i="44"/>
  <c r="N1194" i="44"/>
  <c r="T1355" i="44"/>
  <c r="T1299" i="44"/>
  <c r="T1359" i="44"/>
  <c r="U1310" i="44"/>
  <c r="I1168" i="44"/>
  <c r="R1323" i="44"/>
  <c r="P1342" i="44"/>
  <c r="U1348" i="44"/>
  <c r="N1191" i="44"/>
  <c r="I1241" i="44"/>
  <c r="T1322" i="44"/>
  <c r="U1358" i="44"/>
  <c r="I1197" i="44"/>
  <c r="H1225" i="44"/>
  <c r="M1264" i="44"/>
  <c r="Q1283" i="44"/>
  <c r="O1232" i="44"/>
  <c r="S1300" i="44"/>
  <c r="T1307" i="44"/>
  <c r="U1333" i="44"/>
  <c r="R1291" i="44"/>
  <c r="N1192" i="44"/>
  <c r="R1359" i="44"/>
  <c r="M1212" i="44"/>
  <c r="R1292" i="44"/>
  <c r="O1189" i="44"/>
  <c r="U1361" i="44"/>
  <c r="E1271" i="44"/>
  <c r="M1258" i="44"/>
  <c r="N1216" i="44"/>
  <c r="O1238" i="44"/>
  <c r="R1294" i="44"/>
  <c r="U1274" i="44"/>
  <c r="H1239" i="44"/>
  <c r="F1298" i="44"/>
  <c r="O1198" i="44"/>
  <c r="M1178" i="44"/>
  <c r="J1338" i="44"/>
  <c r="J1293" i="44"/>
  <c r="N1244" i="44"/>
  <c r="S1364" i="44"/>
  <c r="I1179" i="44"/>
  <c r="M1197" i="44"/>
  <c r="F1324" i="44"/>
  <c r="U1271" i="44"/>
  <c r="O1256" i="44"/>
  <c r="M1227" i="44"/>
  <c r="I1244" i="44"/>
  <c r="F1330" i="44"/>
  <c r="H1252" i="44"/>
  <c r="U1353" i="44"/>
  <c r="H1172" i="44"/>
  <c r="P1319" i="44"/>
  <c r="I1167" i="44"/>
  <c r="U1360" i="44"/>
  <c r="N1196" i="44"/>
  <c r="U1302" i="44"/>
  <c r="I1185" i="44"/>
  <c r="G1363" i="44"/>
  <c r="N1246" i="44"/>
  <c r="S1296" i="44"/>
  <c r="H1168" i="44"/>
  <c r="R1355" i="44"/>
  <c r="H1241" i="44"/>
  <c r="O1237" i="44"/>
  <c r="T1311" i="44"/>
  <c r="P1281" i="44"/>
  <c r="S1360" i="44"/>
  <c r="U1340" i="44"/>
  <c r="H1177" i="44"/>
  <c r="G1333" i="44"/>
  <c r="Q1301" i="44"/>
  <c r="H1197" i="44"/>
  <c r="S1352" i="44"/>
  <c r="F1357" i="44"/>
  <c r="T1320" i="44"/>
  <c r="S1362" i="44"/>
  <c r="U1344" i="44"/>
  <c r="E1289" i="44"/>
  <c r="F1363" i="44"/>
  <c r="J1353" i="44"/>
  <c r="E1344" i="44"/>
  <c r="T1298" i="44"/>
  <c r="G1340" i="44"/>
  <c r="R1283" i="44"/>
  <c r="P1347" i="44"/>
  <c r="U1317" i="44"/>
  <c r="F1311" i="44"/>
  <c r="R1289" i="44"/>
  <c r="M1216" i="44"/>
  <c r="N1182" i="44"/>
  <c r="T1360" i="44"/>
  <c r="O1183" i="44"/>
  <c r="T1281" i="44"/>
  <c r="T1313" i="44"/>
  <c r="T1335" i="44"/>
  <c r="K1278" i="44"/>
  <c r="F1364" i="44"/>
  <c r="N1230" i="44"/>
  <c r="M1195" i="44"/>
  <c r="S1280" i="44"/>
  <c r="S1297" i="44"/>
  <c r="R1271" i="44"/>
  <c r="N1233" i="44"/>
  <c r="I1193" i="44"/>
  <c r="P1279" i="44"/>
  <c r="S1314" i="44"/>
  <c r="T1354" i="44"/>
  <c r="P1277" i="44"/>
  <c r="F1316" i="44"/>
  <c r="M1244" i="44"/>
  <c r="S1320" i="44"/>
  <c r="S1292" i="44"/>
  <c r="H1179" i="44"/>
  <c r="S1301" i="44"/>
  <c r="S1347" i="44"/>
  <c r="R1288" i="44"/>
  <c r="T1294" i="44"/>
  <c r="U1307" i="44"/>
  <c r="U1356" i="44"/>
  <c r="R1364" i="44"/>
  <c r="J1330" i="44"/>
  <c r="H1236" i="44"/>
  <c r="I1178" i="44"/>
  <c r="R1309" i="44"/>
  <c r="N1209" i="44"/>
  <c r="P1328" i="44"/>
  <c r="N1215" i="44"/>
  <c r="G1331" i="44"/>
  <c r="P1296" i="44"/>
  <c r="E3" i="11" s="1" a="1"/>
  <c r="E3" i="11" s="1"/>
  <c r="R1337" i="44"/>
  <c r="H1167" i="44"/>
  <c r="U1347" i="44"/>
  <c r="M1196" i="44"/>
  <c r="I1169" i="44"/>
  <c r="F1299" i="44"/>
  <c r="O1194" i="44"/>
  <c r="H1185" i="44"/>
  <c r="P1295" i="44"/>
  <c r="R1310" i="44"/>
  <c r="G1277" i="44"/>
  <c r="G1343" i="44"/>
  <c r="D5" i="19" s="1" a="1"/>
  <c r="D5" i="19" s="1"/>
  <c r="O1246" i="44"/>
  <c r="I1207" i="44"/>
  <c r="P1284" i="44"/>
  <c r="R1273" i="44"/>
  <c r="F1360" i="44"/>
  <c r="O1191" i="44"/>
  <c r="G1341" i="44"/>
  <c r="R1319" i="44"/>
  <c r="T1306" i="44"/>
  <c r="F1282" i="44"/>
  <c r="S1325" i="44"/>
  <c r="F1292" i="44"/>
  <c r="P1346" i="44"/>
  <c r="N1253" i="44"/>
  <c r="R1333" i="44"/>
  <c r="P1299" i="44"/>
  <c r="N1171" i="44"/>
  <c r="N1257" i="44"/>
  <c r="U1295" i="44"/>
  <c r="I1177" i="44"/>
  <c r="G1342" i="44"/>
  <c r="Q1315" i="44"/>
  <c r="U1323" i="44"/>
  <c r="T1327" i="44"/>
  <c r="F1307" i="44"/>
  <c r="G1355" i="44"/>
  <c r="O1192" i="44"/>
  <c r="P1344" i="44"/>
  <c r="T1323" i="44"/>
  <c r="Q1285" i="44"/>
  <c r="R1281" i="44"/>
  <c r="R1330" i="44"/>
  <c r="U1350" i="44"/>
  <c r="F1318" i="44"/>
  <c r="T1332" i="44"/>
  <c r="O1216" i="44"/>
  <c r="M1182" i="44"/>
  <c r="F1341" i="44"/>
  <c r="N1249" i="44"/>
  <c r="T1351" i="44"/>
  <c r="L1329" i="44"/>
  <c r="O1169" i="44"/>
  <c r="M1230" i="44"/>
  <c r="S1281" i="44"/>
  <c r="S1398" i="44" a="1"/>
  <c r="S1398" i="44" s="1"/>
  <c r="S1377" i="44" a="1"/>
  <c r="S1377" i="44" s="1"/>
  <c r="S1390" i="44" a="1"/>
  <c r="S1390" i="44" s="1"/>
  <c r="S1370" i="44" a="1"/>
  <c r="S1370" i="44" s="1"/>
  <c r="S1403" i="44" a="1"/>
  <c r="S1403" i="44" s="1"/>
  <c r="S1381" i="44" a="1"/>
  <c r="S1381" i="44" s="1"/>
  <c r="S1376" i="44" a="1"/>
  <c r="S1376" i="44" s="1"/>
  <c r="S1387" i="44" a="1"/>
  <c r="S1387" i="44" s="1"/>
  <c r="S1298" i="44"/>
  <c r="S1375" i="44" a="1"/>
  <c r="S1375" i="44" s="1"/>
  <c r="S1396" i="44" a="1"/>
  <c r="S1396" i="44" s="1"/>
  <c r="S1368" i="44" a="1"/>
  <c r="S1368" i="44" s="1"/>
  <c r="S1395" i="44" a="1"/>
  <c r="S1395" i="44" s="1"/>
  <c r="S1385" i="44" a="1"/>
  <c r="S1385" i="44" s="1"/>
  <c r="S1367" i="44" a="1"/>
  <c r="S1367" i="44" s="1"/>
  <c r="S1404" i="44" a="1"/>
  <c r="S1404" i="44" s="1"/>
  <c r="S1382" i="44" a="1"/>
  <c r="S1382" i="44" s="1"/>
  <c r="S1380" i="44" a="1"/>
  <c r="S1380" i="44" s="1"/>
  <c r="S1393" i="44" a="1"/>
  <c r="S1393" i="44" s="1"/>
  <c r="S1407" i="44" a="1"/>
  <c r="S1407" i="44" s="1"/>
  <c r="S1406" i="44" a="1"/>
  <c r="S1406" i="44" s="1"/>
  <c r="S1408" i="44" a="1"/>
  <c r="S1408" i="44" s="1"/>
  <c r="S1400" i="44" a="1"/>
  <c r="S1400" i="44" s="1"/>
  <c r="S1389" i="44" a="1"/>
  <c r="S1389" i="44" s="1"/>
  <c r="S1410" i="44" a="1"/>
  <c r="S1410" i="44" s="1"/>
  <c r="S1348" i="44"/>
  <c r="S1383" i="44" a="1"/>
  <c r="S1383" i="44" s="1"/>
  <c r="S1401" i="44" a="1"/>
  <c r="S1401" i="44" s="1"/>
  <c r="S1386" i="44" a="1"/>
  <c r="S1386" i="44" s="1"/>
  <c r="S1409" i="44" a="1"/>
  <c r="S1409" i="44" s="1"/>
  <c r="S1343" i="44"/>
  <c r="S1365" i="44" a="1"/>
  <c r="S1365" i="44" s="1"/>
  <c r="S1411" i="44" a="1"/>
  <c r="S1411" i="44" s="1"/>
  <c r="S1412" i="44" a="1"/>
  <c r="S1412" i="44" s="1"/>
  <c r="S1392" i="44" a="1"/>
  <c r="S1392" i="44" s="1"/>
  <c r="S1346" i="44"/>
  <c r="S1399" i="44" a="1"/>
  <c r="S1399" i="44" s="1"/>
  <c r="S1366" i="44" a="1"/>
  <c r="S1366" i="44" s="1"/>
  <c r="S1371" i="44" a="1"/>
  <c r="S1371" i="44" s="1"/>
  <c r="S1391" i="44" a="1"/>
  <c r="S1391" i="44" s="1"/>
  <c r="S1295" i="44"/>
  <c r="S1372" i="44" a="1"/>
  <c r="S1372" i="44" s="1"/>
  <c r="S1379" i="44" a="1"/>
  <c r="S1379" i="44" s="1"/>
  <c r="S1373" i="44" a="1"/>
  <c r="S1373" i="44" s="1"/>
  <c r="S1374" i="44" a="1"/>
  <c r="S1374" i="44" s="1"/>
  <c r="S1335" i="44"/>
  <c r="S1290" i="44"/>
  <c r="S1384" i="44" a="1"/>
  <c r="S1384" i="44" s="1"/>
  <c r="S1405" i="44" a="1"/>
  <c r="S1405" i="44" s="1"/>
  <c r="S1402" i="44" a="1"/>
  <c r="S1402" i="44" s="1"/>
  <c r="S1369" i="44" a="1"/>
  <c r="S1369" i="44" s="1"/>
  <c r="S1378" i="44" a="1"/>
  <c r="S1378" i="44" s="1"/>
  <c r="S1388" i="44" a="1"/>
  <c r="S1388" i="44" s="1"/>
  <c r="S1394" i="44" a="1"/>
  <c r="S1394" i="44" s="1"/>
  <c r="S1397" i="44" a="1"/>
  <c r="S1397" i="44" s="1"/>
  <c r="S1326" i="44"/>
  <c r="J1335" i="44"/>
  <c r="R1287" i="44"/>
  <c r="R1298" i="44"/>
  <c r="P1275" i="44"/>
  <c r="H2" i="11" s="1" a="1"/>
  <c r="H2" i="11" s="1"/>
  <c r="I1234" i="44"/>
  <c r="S1316" i="44"/>
  <c r="S1311" i="44"/>
  <c r="O1244" i="44"/>
  <c r="H1200" i="44"/>
  <c r="T1325" i="44"/>
  <c r="P1345" i="44"/>
  <c r="I1206" i="44"/>
  <c r="U1345" i="44"/>
  <c r="I1238" i="44"/>
  <c r="I1198" i="44"/>
  <c r="I1303" i="44" s="1"/>
  <c r="O1187" i="44"/>
  <c r="I1248" i="44"/>
  <c r="S1322" i="44"/>
  <c r="J1275" i="44"/>
  <c r="P1292" i="44"/>
  <c r="H1178" i="44"/>
  <c r="S1309" i="44"/>
  <c r="I1213" i="44"/>
  <c r="M1209" i="44"/>
  <c r="G1410" i="44" a="1"/>
  <c r="G1410" i="44" s="1"/>
  <c r="G1384" i="44" a="1"/>
  <c r="G1384" i="44" s="1"/>
  <c r="G1371" i="44" a="1"/>
  <c r="G1371" i="44" s="1"/>
  <c r="G1412" i="44" a="1"/>
  <c r="G1412" i="44" s="1"/>
  <c r="G1323" i="44"/>
  <c r="G1287" i="44"/>
  <c r="G1344" i="44"/>
  <c r="G1386" i="44" a="1"/>
  <c r="G1386" i="44" s="1"/>
  <c r="G1393" i="44" a="1"/>
  <c r="G1393" i="44" s="1"/>
  <c r="G1391" i="44" a="1"/>
  <c r="G1391" i="44" s="1"/>
  <c r="G1409" i="44" a="1"/>
  <c r="G1409" i="44" s="1"/>
  <c r="G1349" i="44"/>
  <c r="G1392" i="44" a="1"/>
  <c r="G1392" i="44" s="1"/>
  <c r="G1405" i="44" a="1"/>
  <c r="G1405" i="44" s="1"/>
  <c r="G1400" i="44" a="1"/>
  <c r="G1400" i="44" s="1"/>
  <c r="G1402" i="44" a="1"/>
  <c r="G1402" i="44" s="1"/>
  <c r="G1403" i="44" a="1"/>
  <c r="G1403" i="44" s="1"/>
  <c r="G1369" i="44" a="1"/>
  <c r="G1369" i="44" s="1"/>
  <c r="G1382" i="44" a="1"/>
  <c r="G1382" i="44" s="1"/>
  <c r="G1372" i="44" a="1"/>
  <c r="G1372" i="44" s="1"/>
  <c r="G1377" i="44" a="1"/>
  <c r="G1377" i="44" s="1"/>
  <c r="G1408" i="44" a="1"/>
  <c r="G1408" i="44" s="1"/>
  <c r="G1376" i="44" a="1"/>
  <c r="G1376" i="44" s="1"/>
  <c r="G1397" i="44" a="1"/>
  <c r="G1397" i="44" s="1"/>
  <c r="G1305" i="44"/>
  <c r="G1378" i="44" a="1"/>
  <c r="G1378" i="44" s="1"/>
  <c r="G1367" i="44" a="1"/>
  <c r="G1367" i="44" s="1"/>
  <c r="G1388" i="44" a="1"/>
  <c r="G1388" i="44" s="1"/>
  <c r="G1370" i="44" a="1"/>
  <c r="G1370" i="44" s="1"/>
  <c r="G1353" i="44"/>
  <c r="G1399" i="44" a="1"/>
  <c r="G1399" i="44" s="1"/>
  <c r="G1396" i="44" a="1"/>
  <c r="G1396" i="44" s="1"/>
  <c r="G1407" i="44" a="1"/>
  <c r="G1407" i="44" s="1"/>
  <c r="G1390" i="44" a="1"/>
  <c r="G1390" i="44" s="1"/>
  <c r="G1404" i="44" a="1"/>
  <c r="G1404" i="44" s="1"/>
  <c r="G1387" i="44" a="1"/>
  <c r="G1387" i="44" s="1"/>
  <c r="G1385" i="44" a="1"/>
  <c r="G1385" i="44" s="1"/>
  <c r="G1368" i="44" a="1"/>
  <c r="G1368" i="44" s="1"/>
  <c r="G1401" i="44" a="1"/>
  <c r="G1401" i="44" s="1"/>
  <c r="G1380" i="44" a="1"/>
  <c r="G1380" i="44" s="1"/>
  <c r="G1381" i="44" a="1"/>
  <c r="G1381" i="44" s="1"/>
  <c r="G1395" i="44" a="1"/>
  <c r="G1395" i="44" s="1"/>
  <c r="G1398" i="44" a="1"/>
  <c r="G1398" i="44" s="1"/>
  <c r="G1375" i="44" a="1"/>
  <c r="G1375" i="44" s="1"/>
  <c r="G1379" i="44" a="1"/>
  <c r="G1379" i="44" s="1"/>
  <c r="G1373" i="44" a="1"/>
  <c r="G1373" i="44" s="1"/>
  <c r="G1276" i="44"/>
  <c r="G1366" i="44" a="1"/>
  <c r="G1366" i="44" s="1"/>
  <c r="G1383" i="44" a="1"/>
  <c r="G1383" i="44" s="1"/>
  <c r="G1365" i="44" a="1"/>
  <c r="G1365" i="44" s="1"/>
  <c r="G1374" i="44" a="1"/>
  <c r="G1374" i="44" s="1"/>
  <c r="G1347" i="44"/>
  <c r="H5" i="19" s="1" a="1"/>
  <c r="H5" i="19" s="1"/>
  <c r="G1406" i="44" a="1"/>
  <c r="G1406" i="44" s="1"/>
  <c r="G1394" i="44" a="1"/>
  <c r="G1394" i="44" s="1"/>
  <c r="G1389" i="44" a="1"/>
  <c r="G1389" i="44" s="1"/>
  <c r="G1411" i="44" a="1"/>
  <c r="G1411" i="44" s="1"/>
  <c r="S1317" i="44"/>
  <c r="T1317" i="44"/>
  <c r="N1202" i="44"/>
  <c r="G1328" i="44"/>
  <c r="O1196" i="44"/>
  <c r="F1340" i="44"/>
  <c r="H1207" i="44"/>
  <c r="I1205" i="44"/>
  <c r="I1310" i="44" s="1"/>
  <c r="S1288" i="44"/>
  <c r="I1256" i="44"/>
  <c r="T1290" i="44"/>
  <c r="T1305" i="44"/>
  <c r="U1355" i="44"/>
  <c r="R1346" i="44"/>
  <c r="F1338" i="44"/>
  <c r="I1192" i="44"/>
  <c r="T1288" i="44"/>
  <c r="G1338" i="44"/>
  <c r="M1257" i="44"/>
  <c r="M1362" i="44" s="1"/>
  <c r="P1306" i="44"/>
  <c r="G1302" i="44"/>
  <c r="N1214" i="44"/>
  <c r="Q1334" i="44"/>
  <c r="F1303" i="44"/>
  <c r="P1307" i="44"/>
  <c r="N1239" i="44"/>
  <c r="N1229" i="44"/>
  <c r="T1339" i="44"/>
  <c r="Q1364" i="44"/>
  <c r="S1327" i="44"/>
  <c r="S1332" i="44"/>
  <c r="N1250" i="44"/>
  <c r="T1340" i="44"/>
  <c r="E1323" i="44"/>
  <c r="P1357" i="44"/>
  <c r="O1182" i="44"/>
  <c r="G1354" i="44"/>
  <c r="U1352" i="44"/>
  <c r="T1337" i="44"/>
  <c r="U1328" i="44"/>
  <c r="Q1323" i="44"/>
  <c r="D1305" i="44"/>
  <c r="H1181" i="44"/>
  <c r="H1194" i="44"/>
  <c r="F1319" i="44"/>
  <c r="F1269" i="44"/>
  <c r="F1313" i="44"/>
  <c r="T1296" i="44"/>
  <c r="M1191" i="44"/>
  <c r="F1353" i="44"/>
  <c r="M1169" i="44"/>
  <c r="N1184" i="44"/>
  <c r="J1274" i="44"/>
  <c r="I1230" i="44"/>
  <c r="O1233" i="44"/>
  <c r="T1326" i="44"/>
  <c r="N1218" i="44"/>
  <c r="F1355" i="44"/>
  <c r="F1302" i="44"/>
  <c r="I1175" i="44"/>
  <c r="R1314" i="44"/>
  <c r="S1313" i="44"/>
  <c r="U1324" i="44"/>
  <c r="F1305" i="44"/>
  <c r="N1227" i="44"/>
  <c r="W1264" i="44"/>
  <c r="V1357" i="44" s="1"/>
  <c r="P1354" i="44"/>
  <c r="F1328" i="44"/>
  <c r="H1206" i="44"/>
  <c r="H1238" i="44"/>
  <c r="H1198" i="44"/>
  <c r="I1223" i="44"/>
  <c r="H1240" i="44"/>
  <c r="P1302" i="44"/>
  <c r="F1347" i="44"/>
  <c r="H1248" i="44"/>
  <c r="F1281" i="44"/>
  <c r="P1324" i="44"/>
  <c r="U1339" i="44"/>
  <c r="H1213" i="44"/>
  <c r="O1209" i="44"/>
  <c r="I1212" i="44"/>
  <c r="U1294" i="44"/>
  <c r="T1324" i="44"/>
  <c r="U1319" i="44"/>
  <c r="S1277" i="44"/>
  <c r="G1290" i="44"/>
  <c r="O1202" i="44"/>
  <c r="F1322" i="44"/>
  <c r="I1191" i="44"/>
  <c r="F1362" i="44"/>
  <c r="G1352" i="44"/>
  <c r="F1359" i="44"/>
  <c r="R1334" i="44"/>
  <c r="U1283" i="44"/>
  <c r="O1215" i="44"/>
  <c r="O1172" i="44"/>
  <c r="P1264" i="44" s="1"/>
  <c r="O1269" i="44" s="1"/>
  <c r="H1244" i="44"/>
  <c r="H1209" i="44"/>
  <c r="O1171" i="44"/>
  <c r="O1257" i="44"/>
  <c r="M1214" i="44"/>
  <c r="S1337" i="44"/>
  <c r="S1354" i="44"/>
  <c r="O1239" i="44"/>
  <c r="M1229" i="44"/>
  <c r="P1318" i="44"/>
  <c r="Q1358" i="44"/>
  <c r="Q1311" i="44"/>
  <c r="Q1309" i="44"/>
  <c r="G1345" i="44"/>
  <c r="J1360" i="44"/>
  <c r="Q1305" i="44"/>
  <c r="O1250" i="44"/>
  <c r="P1286" i="44"/>
  <c r="I1226" i="44"/>
  <c r="U1277" i="44"/>
  <c r="T1383" i="44" a="1"/>
  <c r="T1383" i="44" s="1"/>
  <c r="T1409" i="44" a="1"/>
  <c r="T1409" i="44" s="1"/>
  <c r="T1376" i="44" a="1"/>
  <c r="T1376" i="44" s="1"/>
  <c r="T1400" i="44" a="1"/>
  <c r="T1400" i="44" s="1"/>
  <c r="T1384" i="44" a="1"/>
  <c r="T1384" i="44" s="1"/>
  <c r="T1412" i="44" a="1"/>
  <c r="T1412" i="44" s="1"/>
  <c r="T1404" i="44" a="1"/>
  <c r="T1404" i="44" s="1"/>
  <c r="T1385" i="44" a="1"/>
  <c r="T1385" i="44" s="1"/>
  <c r="T1310" i="44"/>
  <c r="T1406" i="44" a="1"/>
  <c r="T1406" i="44" s="1"/>
  <c r="T1365" i="44" a="1"/>
  <c r="T1365" i="44" s="1"/>
  <c r="T1396" i="44" a="1"/>
  <c r="T1396" i="44" s="1"/>
  <c r="T1401" i="44" a="1"/>
  <c r="T1401" i="44" s="1"/>
  <c r="T1378" i="44" a="1"/>
  <c r="T1378" i="44" s="1"/>
  <c r="T1373" i="44" a="1"/>
  <c r="T1373" i="44" s="1"/>
  <c r="T1390" i="44" a="1"/>
  <c r="T1390" i="44" s="1"/>
  <c r="T1271" i="44"/>
  <c r="T1402" i="44" a="1"/>
  <c r="T1402" i="44" s="1"/>
  <c r="T1387" i="44" a="1"/>
  <c r="T1387" i="44" s="1"/>
  <c r="T1389" i="44" a="1"/>
  <c r="T1389" i="44" s="1"/>
  <c r="T1394" i="44" a="1"/>
  <c r="T1394" i="44" s="1"/>
  <c r="T1386" i="44" a="1"/>
  <c r="T1386" i="44" s="1"/>
  <c r="T1405" i="44" a="1"/>
  <c r="T1405" i="44" s="1"/>
  <c r="T1372" i="44" a="1"/>
  <c r="T1372" i="44" s="1"/>
  <c r="T1379" i="44" a="1"/>
  <c r="T1379" i="44" s="1"/>
  <c r="T1369" i="44" a="1"/>
  <c r="T1369" i="44" s="1"/>
  <c r="T1374" i="44" a="1"/>
  <c r="T1374" i="44" s="1"/>
  <c r="T1410" i="44" a="1"/>
  <c r="T1410" i="44" s="1"/>
  <c r="T1411" i="44" a="1"/>
  <c r="T1411" i="44" s="1"/>
  <c r="T1392" i="44" a="1"/>
  <c r="T1392" i="44" s="1"/>
  <c r="T1338" i="44"/>
  <c r="T1399" i="44" a="1"/>
  <c r="T1399" i="44" s="1"/>
  <c r="T1403" i="44" a="1"/>
  <c r="T1403" i="44" s="1"/>
  <c r="T1367" i="44" a="1"/>
  <c r="T1367" i="44" s="1"/>
  <c r="T1375" i="44" a="1"/>
  <c r="T1375" i="44" s="1"/>
  <c r="T1397" i="44" a="1"/>
  <c r="T1397" i="44" s="1"/>
  <c r="T1391" i="44" a="1"/>
  <c r="T1391" i="44" s="1"/>
  <c r="T1408" i="44" a="1"/>
  <c r="T1408" i="44" s="1"/>
  <c r="T1393" i="44" a="1"/>
  <c r="T1393" i="44" s="1"/>
  <c r="T1377" i="44" a="1"/>
  <c r="T1377" i="44" s="1"/>
  <c r="T1382" i="44" a="1"/>
  <c r="T1382" i="44" s="1"/>
  <c r="T1380" i="44" a="1"/>
  <c r="T1380" i="44" s="1"/>
  <c r="T1366" i="44" a="1"/>
  <c r="T1366" i="44" s="1"/>
  <c r="T1398" i="44" a="1"/>
  <c r="T1398" i="44" s="1"/>
  <c r="T1371" i="44" a="1"/>
  <c r="T1371" i="44" s="1"/>
  <c r="T1368" i="44" a="1"/>
  <c r="T1368" i="44" s="1"/>
  <c r="T1370" i="44" a="1"/>
  <c r="T1370" i="44" s="1"/>
  <c r="T1388" i="44" a="1"/>
  <c r="T1388" i="44" s="1"/>
  <c r="T1395" i="44" a="1"/>
  <c r="T1395" i="44" s="1"/>
  <c r="T1407" i="44" a="1"/>
  <c r="T1407" i="44" s="1"/>
  <c r="T1381" i="44" a="1"/>
  <c r="T1381" i="44" s="1"/>
  <c r="I1181" i="44"/>
  <c r="I1286" i="44" s="1"/>
  <c r="T1362" i="44"/>
  <c r="N1224" i="44"/>
  <c r="T1319" i="44"/>
  <c r="H1222" i="44"/>
  <c r="N1212" i="44"/>
  <c r="M1194" i="44"/>
  <c r="H1182" i="44"/>
  <c r="O1193" i="44"/>
  <c r="T1270" i="44"/>
  <c r="C2" i="31" s="1" a="1"/>
  <c r="C2" i="31" s="1"/>
  <c r="R1277" i="44"/>
  <c r="J2" i="29" s="1" a="1"/>
  <c r="J2" i="29" s="1"/>
  <c r="J1318" i="44"/>
  <c r="N1208" i="44"/>
  <c r="H1205" i="44"/>
  <c r="I1176" i="44"/>
  <c r="O1175" i="44"/>
  <c r="M1224" i="44"/>
  <c r="T1318" i="44"/>
  <c r="U1281" i="44"/>
  <c r="N2" i="32" s="1" a="1"/>
  <c r="N2" i="32" s="1"/>
  <c r="I1204" i="44"/>
  <c r="I1309" i="44" s="1"/>
  <c r="U1292" i="44"/>
  <c r="U1363" i="44"/>
  <c r="O1184" i="44"/>
  <c r="O1236" i="44"/>
  <c r="P1270" i="44"/>
  <c r="N1199" i="44"/>
  <c r="H1230" i="44"/>
  <c r="P1338" i="44"/>
  <c r="R1274" i="44"/>
  <c r="N1188" i="44"/>
  <c r="H1175" i="44"/>
  <c r="S1269" i="44"/>
  <c r="P1331" i="44"/>
  <c r="F1300" i="44"/>
  <c r="S1323" i="44"/>
  <c r="U1322" i="44"/>
  <c r="M1246" i="44"/>
  <c r="P1271" i="44"/>
  <c r="S1336" i="44"/>
  <c r="F1329" i="44"/>
  <c r="H1223" i="44"/>
  <c r="O1228" i="44"/>
  <c r="G1330" i="44"/>
  <c r="S1308" i="44"/>
  <c r="T1297" i="44"/>
  <c r="H1212" i="44"/>
  <c r="S1303" i="44"/>
  <c r="I1233" i="44"/>
  <c r="T1316" i="44"/>
  <c r="I1183" i="44"/>
  <c r="T1301" i="44"/>
  <c r="M1202" i="44"/>
  <c r="G1335" i="44"/>
  <c r="H1191" i="44"/>
  <c r="M1221" i="44"/>
  <c r="H1234" i="44"/>
  <c r="N1167" i="44"/>
  <c r="O1264" i="44" s="1"/>
  <c r="N1269" i="44" s="1"/>
  <c r="U1315" i="44"/>
  <c r="F1296" i="44"/>
  <c r="Q1356" i="44"/>
  <c r="N1180" i="44"/>
  <c r="S1339" i="44"/>
  <c r="P1274" i="44"/>
  <c r="U1275" i="44"/>
  <c r="S1287" i="44"/>
  <c r="R1356" i="44"/>
  <c r="F1333" i="44"/>
  <c r="H1201" i="44"/>
  <c r="T1312" i="44"/>
  <c r="Q1314" i="44"/>
  <c r="M1215" i="44"/>
  <c r="M1320" i="44" s="1"/>
  <c r="S1356" i="44"/>
  <c r="F1337" i="44"/>
  <c r="S1284" i="44"/>
  <c r="T1343" i="44"/>
  <c r="P1300" i="44"/>
  <c r="T1321" i="44"/>
  <c r="P1356" i="44"/>
  <c r="O1214" i="44"/>
  <c r="I1229" i="44"/>
  <c r="I1334" i="44" s="1"/>
  <c r="S1283" i="44"/>
  <c r="P2" i="30" s="1" a="1"/>
  <c r="P2" i="30" s="1"/>
  <c r="M1239" i="44"/>
  <c r="M1344" i="44" s="1"/>
  <c r="O1229" i="44"/>
  <c r="F1317" i="44"/>
  <c r="T1315" i="44"/>
  <c r="T1284" i="44"/>
  <c r="E1322" i="44"/>
  <c r="R1306" i="44"/>
  <c r="P1311" i="44"/>
  <c r="M1250" i="44"/>
  <c r="T1276" i="44"/>
  <c r="H1226" i="44"/>
  <c r="I1258" i="44"/>
  <c r="I1363" i="44" s="1"/>
  <c r="U1284" i="44"/>
  <c r="Q2" i="32" s="1" a="1"/>
  <c r="Q2" i="32" s="1"/>
  <c r="T1341" i="44"/>
  <c r="T1304" i="44"/>
  <c r="E1313" i="44"/>
  <c r="H1256" i="44"/>
  <c r="W1330" i="44"/>
  <c r="W1293" i="44"/>
  <c r="W1288" i="44"/>
  <c r="W1360" i="44"/>
  <c r="W1338" i="44"/>
  <c r="W1316" i="44"/>
  <c r="W1272" i="44"/>
  <c r="W1301" i="44"/>
  <c r="W1279" i="44"/>
  <c r="W1308" i="44"/>
  <c r="W1271" i="44"/>
  <c r="W1344" i="44"/>
  <c r="W1322" i="44"/>
  <c r="W1300" i="44"/>
  <c r="W1329" i="44"/>
  <c r="W1332" i="44"/>
  <c r="W1303" i="44"/>
  <c r="W1281" i="44"/>
  <c r="W1345" i="44"/>
  <c r="W1352" i="44"/>
  <c r="W1286" i="44"/>
  <c r="W1351" i="44"/>
  <c r="W1323" i="44"/>
  <c r="W1325" i="44"/>
  <c r="W1307" i="44"/>
  <c r="W1347" i="44"/>
  <c r="W1310" i="44"/>
  <c r="W1359" i="44"/>
  <c r="W1337" i="44"/>
  <c r="W1285" i="44"/>
  <c r="W1362" i="44"/>
  <c r="W1340" i="44"/>
  <c r="W1318" i="44"/>
  <c r="W1296" i="44"/>
  <c r="W1274" i="44"/>
  <c r="W1354" i="44"/>
  <c r="W1294" i="44"/>
  <c r="W1315" i="44"/>
  <c r="W1278" i="44"/>
  <c r="W1363" i="44"/>
  <c r="W1287" i="44"/>
  <c r="W1320" i="44"/>
  <c r="W1313" i="44"/>
  <c r="W1343" i="44"/>
  <c r="W1290" i="44"/>
  <c r="W1273" i="44"/>
  <c r="W1334" i="44"/>
  <c r="W1342" i="44"/>
  <c r="W1335" i="44"/>
  <c r="W1282" i="44"/>
  <c r="W1339" i="44"/>
  <c r="W1295" i="44"/>
  <c r="W1277" i="44"/>
  <c r="W1321" i="44"/>
  <c r="W1364" i="44"/>
  <c r="W1357" i="44"/>
  <c r="W1317" i="44"/>
  <c r="W1319" i="44"/>
  <c r="W1291" i="44"/>
  <c r="W1356" i="44"/>
  <c r="W1270" i="44"/>
  <c r="W1327" i="44"/>
  <c r="W1358" i="44"/>
  <c r="W1276" i="44"/>
  <c r="W1324" i="44"/>
  <c r="W1284" i="44"/>
  <c r="W1314" i="44"/>
  <c r="W1292" i="44"/>
  <c r="W1341" i="44"/>
  <c r="W1336" i="44"/>
  <c r="W1312" i="44"/>
  <c r="W1306" i="44"/>
  <c r="W1280" i="44"/>
  <c r="W1328" i="44"/>
  <c r="W1309" i="44"/>
  <c r="W1283" i="44"/>
  <c r="W1346" i="44"/>
  <c r="W1275" i="44"/>
  <c r="W1350" i="44"/>
  <c r="W1349" i="44"/>
  <c r="W1311" i="44"/>
  <c r="W1361" i="44"/>
  <c r="W1355" i="44"/>
  <c r="W1297" i="44"/>
  <c r="W1305" i="44"/>
  <c r="W1326" i="44"/>
  <c r="W1304" i="44"/>
  <c r="W1331" i="44"/>
  <c r="W1333" i="44"/>
  <c r="W1348" i="44"/>
  <c r="W1302" i="44"/>
  <c r="W1289" i="44"/>
  <c r="W1353" i="44"/>
  <c r="W1299" i="44"/>
  <c r="W1298" i="44"/>
  <c r="W1269" i="44"/>
  <c r="X1383" i="44" a="1"/>
  <c r="X1383" i="44" s="1"/>
  <c r="X1398" i="44" a="1"/>
  <c r="X1398" i="44" s="1"/>
  <c r="X1380" i="44" a="1"/>
  <c r="X1380" i="44" s="1"/>
  <c r="X1373" i="44" a="1"/>
  <c r="X1373" i="44" s="1"/>
  <c r="X1365" i="44" a="1"/>
  <c r="X1365" i="44" s="1"/>
  <c r="X1403" i="44" a="1"/>
  <c r="X1403" i="44" s="1"/>
  <c r="X1406" i="44" a="1"/>
  <c r="X1406" i="44" s="1"/>
  <c r="X1376" i="44" a="1"/>
  <c r="X1376" i="44" s="1"/>
  <c r="X1392" i="44" a="1"/>
  <c r="X1392" i="44" s="1"/>
  <c r="X1384" i="44" a="1"/>
  <c r="X1384" i="44" s="1"/>
  <c r="X1368" i="44" a="1"/>
  <c r="X1368" i="44" s="1"/>
  <c r="X1400" i="44" a="1"/>
  <c r="X1400" i="44" s="1"/>
  <c r="X1407" i="44" a="1"/>
  <c r="X1407" i="44" s="1"/>
  <c r="X1410" i="44" a="1"/>
  <c r="X1410" i="44" s="1"/>
  <c r="X1389" i="44" a="1"/>
  <c r="X1389" i="44" s="1"/>
  <c r="X1409" i="44" a="1"/>
  <c r="X1409" i="44" s="1"/>
  <c r="X1385" i="44" a="1"/>
  <c r="X1385" i="44" s="1"/>
  <c r="X1412" i="44" a="1"/>
  <c r="X1412" i="44" s="1"/>
  <c r="X1378" i="44" a="1"/>
  <c r="X1378" i="44" s="1"/>
  <c r="X1399" i="44" a="1"/>
  <c r="X1399" i="44" s="1"/>
  <c r="X1397" i="44" a="1"/>
  <c r="X1397" i="44" s="1"/>
  <c r="X1404" i="44" a="1"/>
  <c r="X1404" i="44" s="1"/>
  <c r="X1379" i="44" a="1"/>
  <c r="X1379" i="44" s="1"/>
  <c r="X1405" i="44" a="1"/>
  <c r="X1405" i="44" s="1"/>
  <c r="X1402" i="44" a="1"/>
  <c r="X1402" i="44" s="1"/>
  <c r="X1391" i="44" a="1"/>
  <c r="X1391" i="44" s="1"/>
  <c r="X1394" i="44" a="1"/>
  <c r="X1394" i="44" s="1"/>
  <c r="X1411" i="44" a="1"/>
  <c r="X1411" i="44" s="1"/>
  <c r="X1381" i="44" a="1"/>
  <c r="X1381" i="44" s="1"/>
  <c r="X1382" i="44" a="1"/>
  <c r="X1382" i="44" s="1"/>
  <c r="X1390" i="44" a="1"/>
  <c r="X1390" i="44" s="1"/>
  <c r="X1388" i="44" a="1"/>
  <c r="X1388" i="44" s="1"/>
  <c r="X1377" i="44" a="1"/>
  <c r="X1377" i="44" s="1"/>
  <c r="X1401" i="44" a="1"/>
  <c r="X1401" i="44" s="1"/>
  <c r="X1386" i="44" a="1"/>
  <c r="X1386" i="44" s="1"/>
  <c r="X1396" i="44" a="1"/>
  <c r="X1396" i="44" s="1"/>
  <c r="X1408" i="44" a="1"/>
  <c r="X1408" i="44" s="1"/>
  <c r="X1370" i="44" a="1"/>
  <c r="X1370" i="44" s="1"/>
  <c r="X1374" i="44" a="1"/>
  <c r="X1374" i="44" s="1"/>
  <c r="X1393" i="44" a="1"/>
  <c r="X1393" i="44" s="1"/>
  <c r="X1367" i="44" a="1"/>
  <c r="X1367" i="44" s="1"/>
  <c r="X1387" i="44" a="1"/>
  <c r="X1387" i="44" s="1"/>
  <c r="X1371" i="44" a="1"/>
  <c r="X1371" i="44" s="1"/>
  <c r="X1375" i="44" a="1"/>
  <c r="X1375" i="44" s="1"/>
  <c r="X1369" i="44" a="1"/>
  <c r="X1369" i="44" s="1"/>
  <c r="X1366" i="44" a="1"/>
  <c r="X1366" i="44" s="1"/>
  <c r="X1395" i="44" a="1"/>
  <c r="X1395" i="44" s="1"/>
  <c r="X1372" i="44" a="1"/>
  <c r="X1372" i="44" s="1"/>
  <c r="S2" i="32" a="1"/>
  <c r="S2" i="32" s="1"/>
  <c r="U4" i="19" a="1"/>
  <c r="U4" i="19" s="1"/>
  <c r="E3" i="28" a="1"/>
  <c r="E3" i="28" s="1"/>
  <c r="R2" i="19" a="1"/>
  <c r="R2" i="19" s="1"/>
  <c r="R3" i="19" a="1"/>
  <c r="R3" i="19" s="1"/>
  <c r="Q4" i="19" a="1"/>
  <c r="Q4" i="19" s="1"/>
  <c r="M2" i="17" a="1"/>
  <c r="M2" i="17" s="1"/>
  <c r="G3" i="17" a="1"/>
  <c r="G3" i="17" s="1"/>
  <c r="B3" i="17" a="1"/>
  <c r="B3" i="17" s="1"/>
  <c r="E3" i="19" a="1"/>
  <c r="E3" i="19" s="1"/>
  <c r="N4" i="19" a="1"/>
  <c r="N4" i="19" s="1"/>
  <c r="D3" i="30" a="1"/>
  <c r="D3" i="30" s="1"/>
  <c r="N2" i="30" a="1"/>
  <c r="N2" i="30" s="1"/>
  <c r="I2" i="29" a="1"/>
  <c r="I2" i="29" s="1"/>
  <c r="U2" i="28" a="1"/>
  <c r="U2" i="28" s="1"/>
  <c r="G2" i="29" a="1"/>
  <c r="G2" i="29" s="1"/>
  <c r="I2" i="30" a="1"/>
  <c r="I2" i="30" s="1"/>
  <c r="J5" i="19" a="1"/>
  <c r="J5" i="19" s="1"/>
  <c r="C3" i="28" a="1"/>
  <c r="C3" i="28" s="1"/>
  <c r="C5" i="19" a="1"/>
  <c r="C5" i="19" s="1"/>
  <c r="C2" i="19" a="1"/>
  <c r="C2" i="19" s="1"/>
  <c r="T2" i="29" a="1"/>
  <c r="T2" i="29" s="1"/>
  <c r="K3" i="29" a="1"/>
  <c r="K3" i="29" s="1"/>
  <c r="B3" i="30" a="1"/>
  <c r="B3" i="30" s="1"/>
  <c r="E5" i="19" a="1"/>
  <c r="E5" i="19" s="1"/>
  <c r="B3" i="11" a="1"/>
  <c r="B3" i="11" s="1"/>
  <c r="I3" i="11" a="1"/>
  <c r="I3" i="11" s="1"/>
  <c r="D2" i="32" a="1"/>
  <c r="D2" i="32" s="1"/>
  <c r="G4" i="19" a="1"/>
  <c r="G4" i="19" s="1"/>
  <c r="V2" i="29" a="1"/>
  <c r="V2" i="29" s="1"/>
  <c r="F5" i="17" a="1"/>
  <c r="F5" i="17" s="1"/>
  <c r="Q3" i="19" a="1"/>
  <c r="Q3" i="19" s="1"/>
  <c r="K4" i="19" a="1"/>
  <c r="K4" i="19" s="1"/>
  <c r="O3" i="19" a="1"/>
  <c r="O3" i="19" s="1"/>
  <c r="L2" i="28" a="1"/>
  <c r="L2" i="28" s="1"/>
  <c r="U3" i="19" a="1"/>
  <c r="U3" i="19" s="1"/>
  <c r="Q5" i="19" a="1"/>
  <c r="Q5" i="19" s="1"/>
  <c r="M3" i="19" a="1"/>
  <c r="M3" i="19" s="1"/>
  <c r="O2" i="28" a="1"/>
  <c r="O2" i="28" s="1"/>
  <c r="C2" i="11" a="1"/>
  <c r="C2" i="11" s="1"/>
  <c r="F2" i="29" a="1"/>
  <c r="F2" i="29" s="1"/>
  <c r="D2" i="19" a="1"/>
  <c r="D2" i="19" s="1"/>
  <c r="K3" i="22" a="1"/>
  <c r="K3" i="22" s="1"/>
  <c r="T2" i="19" a="1"/>
  <c r="T2" i="19" s="1"/>
  <c r="Y4" i="19" a="1"/>
  <c r="Y4" i="19" s="1"/>
  <c r="D7" i="17" a="1"/>
  <c r="D7" i="17" s="1"/>
  <c r="I3" i="29" a="1"/>
  <c r="I3" i="29" s="1"/>
  <c r="D5" i="17" a="1"/>
  <c r="D5" i="17" s="1"/>
  <c r="B3" i="19" a="1"/>
  <c r="B3" i="19" s="1"/>
  <c r="C3" i="19" a="1"/>
  <c r="C3" i="19" s="1"/>
  <c r="K2" i="29" a="1"/>
  <c r="K2" i="29" s="1"/>
  <c r="T4" i="19" a="1"/>
  <c r="T4" i="19" s="1"/>
  <c r="X2" i="28" a="1"/>
  <c r="X2" i="28" s="1"/>
  <c r="L2" i="30" a="1"/>
  <c r="L2" i="30" s="1"/>
  <c r="W3" i="19" a="1"/>
  <c r="W3" i="19" s="1"/>
  <c r="C3" i="30" a="1"/>
  <c r="C3" i="30" s="1"/>
  <c r="C2" i="32" a="1"/>
  <c r="C2" i="32" s="1"/>
  <c r="H3" i="28" a="1"/>
  <c r="H3" i="28" s="1"/>
  <c r="K5" i="19" a="1"/>
  <c r="K5" i="19" s="1"/>
  <c r="Q2" i="29" a="1"/>
  <c r="Q2" i="29" s="1"/>
  <c r="I2" i="28" a="1"/>
  <c r="I2" i="28" s="1"/>
  <c r="H2" i="17" a="1"/>
  <c r="H2" i="17" s="1"/>
  <c r="F4" i="19" a="1"/>
  <c r="F4" i="19" s="1"/>
  <c r="U3" i="11" a="1"/>
  <c r="U3" i="11" s="1"/>
  <c r="S5" i="19" a="1"/>
  <c r="S5" i="19" s="1"/>
  <c r="W2" i="19" a="1"/>
  <c r="W2" i="19" s="1"/>
  <c r="Y2" i="28" a="1"/>
  <c r="Y2" i="28" s="1"/>
  <c r="F3" i="28" a="1"/>
  <c r="F3" i="28" s="1"/>
  <c r="N2" i="22" a="1"/>
  <c r="N2" i="22" s="1"/>
  <c r="D2" i="30" a="1"/>
  <c r="D2" i="30" s="1"/>
  <c r="P3" i="19" a="1"/>
  <c r="P3" i="19" s="1"/>
  <c r="Q2" i="19" a="1"/>
  <c r="Q2" i="19" s="1"/>
  <c r="C4" i="19" a="1"/>
  <c r="C4" i="19" s="1"/>
  <c r="U3" i="17" a="1"/>
  <c r="U3" i="17" s="1"/>
  <c r="Q3" i="28" a="1"/>
  <c r="Q3" i="28" s="1"/>
  <c r="J4" i="22" a="1"/>
  <c r="J4" i="22" s="1"/>
  <c r="L3" i="19" a="1"/>
  <c r="L3" i="19" s="1"/>
  <c r="F5" i="19" a="1"/>
  <c r="F5" i="19" s="1"/>
  <c r="X3" i="19" a="1"/>
  <c r="X3" i="19" s="1"/>
  <c r="I2" i="17" a="1"/>
  <c r="I2" i="17" s="1"/>
  <c r="G3" i="19" a="1"/>
  <c r="G3" i="19" s="1"/>
  <c r="S2" i="11" a="1"/>
  <c r="S2" i="11" s="1"/>
  <c r="K2" i="19" a="1"/>
  <c r="K2" i="19" s="1"/>
  <c r="N3" i="19" a="1"/>
  <c r="N3" i="19" s="1"/>
  <c r="F2" i="19" a="1"/>
  <c r="F2" i="19" s="1"/>
  <c r="I4" i="19" a="1"/>
  <c r="I4" i="19" s="1"/>
  <c r="G3" i="30" a="1"/>
  <c r="G3" i="30" s="1"/>
  <c r="M2" i="32" a="1"/>
  <c r="M2" i="32" s="1"/>
  <c r="F4" i="22" a="1"/>
  <c r="F4" i="22" s="1"/>
  <c r="F2" i="31" a="1"/>
  <c r="F2" i="31" s="1"/>
  <c r="G2" i="22" a="1"/>
  <c r="G2" i="22" s="1"/>
  <c r="E3" i="17" a="1"/>
  <c r="E3" i="17" s="1"/>
  <c r="K3" i="19" a="1"/>
  <c r="K3" i="19" s="1"/>
  <c r="Y3" i="22" a="1"/>
  <c r="Y3" i="22" s="1"/>
  <c r="R5" i="19" a="1"/>
  <c r="R5" i="19" s="1"/>
  <c r="T2" i="30" a="1"/>
  <c r="T2" i="30" s="1"/>
  <c r="E4" i="19" a="1"/>
  <c r="E4" i="19" s="1"/>
  <c r="X2" i="31" a="1"/>
  <c r="X2" i="31" s="1"/>
  <c r="E3" i="22" a="1"/>
  <c r="E3" i="22" s="1"/>
  <c r="S2" i="31" a="1"/>
  <c r="S2" i="31" s="1"/>
  <c r="G2" i="31" a="1"/>
  <c r="G2" i="31" s="1"/>
  <c r="F3" i="19" a="1"/>
  <c r="F3" i="19" s="1"/>
  <c r="V3" i="11" a="1"/>
  <c r="V3" i="11" s="1"/>
  <c r="M5" i="19" a="1"/>
  <c r="M5" i="19" s="1"/>
  <c r="K2" i="32" a="1"/>
  <c r="K2" i="32" s="1"/>
  <c r="F4" i="17" a="1"/>
  <c r="F4" i="17" s="1"/>
  <c r="B5" i="19" a="1"/>
  <c r="B5" i="19" s="1"/>
  <c r="E2" i="30" a="1"/>
  <c r="E2" i="30" s="1"/>
  <c r="F2" i="11" a="1"/>
  <c r="F2" i="11" s="1"/>
  <c r="P5" i="17" a="1"/>
  <c r="P5" i="17" s="1"/>
  <c r="V2" i="28" a="1"/>
  <c r="V2" i="28" s="1"/>
  <c r="M4" i="19" a="1"/>
  <c r="M4" i="19" s="1"/>
  <c r="H3" i="19" a="1"/>
  <c r="H3" i="19" s="1"/>
  <c r="N5" i="19" a="1"/>
  <c r="N5" i="19" s="1"/>
  <c r="G2" i="17" a="1"/>
  <c r="G2" i="17" s="1"/>
  <c r="Q2" i="31" a="1"/>
  <c r="Q2" i="31" s="1"/>
  <c r="F3" i="30" a="1"/>
  <c r="F3" i="30" s="1"/>
  <c r="B2" i="30" a="1"/>
  <c r="B2" i="30" s="1"/>
  <c r="P2" i="29" a="1"/>
  <c r="P2" i="29" s="1"/>
  <c r="H2" i="28" a="1"/>
  <c r="H2" i="28" s="1"/>
  <c r="M5" i="17" a="1"/>
  <c r="M5" i="17" s="1"/>
  <c r="N3" i="17" a="1"/>
  <c r="N3" i="17" s="1"/>
  <c r="S3" i="22" a="1"/>
  <c r="S3" i="22" s="1"/>
  <c r="H4" i="19" a="1"/>
  <c r="H4" i="19" s="1"/>
  <c r="J2" i="30" a="1"/>
  <c r="J2" i="30" s="1"/>
  <c r="X2" i="19" a="1"/>
  <c r="X2" i="19" s="1"/>
  <c r="E3" i="29" a="1"/>
  <c r="E3" i="29" s="1"/>
  <c r="B2" i="28" a="1"/>
  <c r="B2" i="28" s="1"/>
  <c r="G2" i="19" a="1"/>
  <c r="G2" i="19" s="1"/>
  <c r="I3" i="19" a="1"/>
  <c r="I3" i="19" s="1"/>
  <c r="C3" i="29" a="1"/>
  <c r="C3" i="29" s="1"/>
  <c r="E2" i="31" a="1"/>
  <c r="E2" i="31" s="1"/>
  <c r="R3" i="11" a="1"/>
  <c r="R3" i="11" s="1"/>
  <c r="G2" i="30" a="1"/>
  <c r="G2" i="30" s="1"/>
  <c r="R2" i="30" a="1"/>
  <c r="R2" i="30" s="1"/>
  <c r="R2" i="28" a="1"/>
  <c r="R2" i="28" s="1"/>
  <c r="B4" i="19" a="1"/>
  <c r="B4" i="19" s="1"/>
  <c r="K2" i="30" a="1"/>
  <c r="K2" i="30" s="1"/>
  <c r="K5" i="17" a="1"/>
  <c r="K5" i="17" s="1"/>
  <c r="W3" i="22" a="1"/>
  <c r="W3" i="22" s="1"/>
  <c r="W2" i="22" a="1"/>
  <c r="W2" i="22" s="1"/>
  <c r="N2" i="31" a="1"/>
  <c r="N2" i="31" s="1"/>
  <c r="B3" i="29" a="1"/>
  <c r="B3" i="29" s="1"/>
  <c r="G3" i="28" a="1"/>
  <c r="G3" i="28" s="1"/>
  <c r="B2" i="19" a="1"/>
  <c r="B2" i="19" s="1"/>
  <c r="J4" i="19" a="1"/>
  <c r="J4" i="19" s="1"/>
  <c r="V4" i="19" a="1"/>
  <c r="V4" i="19" s="1"/>
  <c r="D4" i="22" a="1"/>
  <c r="D4" i="22" s="1"/>
  <c r="T3" i="22" a="1"/>
  <c r="T3" i="22" s="1"/>
  <c r="P4" i="19" a="1"/>
  <c r="P4" i="19" s="1"/>
  <c r="D2" i="29" a="1"/>
  <c r="D2" i="29" s="1"/>
  <c r="E3" i="30" a="1"/>
  <c r="E3" i="30" s="1"/>
  <c r="G3" i="11" a="1"/>
  <c r="G3" i="11" s="1"/>
  <c r="O5" i="19" a="1"/>
  <c r="O5" i="19" s="1"/>
  <c r="O2" i="29" a="1"/>
  <c r="O2" i="29" s="1"/>
  <c r="H3" i="29" a="1"/>
  <c r="H3" i="29" s="1"/>
  <c r="P3" i="11" a="1"/>
  <c r="P3" i="11" s="1"/>
  <c r="G5" i="19" a="1"/>
  <c r="G5" i="19" s="1"/>
  <c r="H2" i="19" a="1"/>
  <c r="H2" i="19" s="1"/>
  <c r="M2" i="19" a="1"/>
  <c r="M2" i="19" s="1"/>
  <c r="Y3" i="19" a="1"/>
  <c r="Y3" i="19" s="1"/>
  <c r="N2" i="29" a="1"/>
  <c r="N2" i="29" s="1"/>
  <c r="P2" i="32" a="1"/>
  <c r="P2" i="32" s="1"/>
  <c r="H2" i="31" a="1"/>
  <c r="H2" i="31" s="1"/>
  <c r="M2" i="31" a="1"/>
  <c r="M2" i="31" s="1"/>
  <c r="W4" i="17" a="1"/>
  <c r="W4" i="17" s="1"/>
  <c r="X3" i="22" a="1"/>
  <c r="X3" i="22" s="1"/>
  <c r="C2" i="30" a="1"/>
  <c r="C2" i="30" s="1"/>
  <c r="L4" i="19" a="1"/>
  <c r="L4" i="19" s="1"/>
  <c r="I2" i="32" a="1"/>
  <c r="I2" i="32" s="1"/>
  <c r="D2" i="17" a="1"/>
  <c r="D2" i="17" s="1"/>
  <c r="S2" i="17" a="1"/>
  <c r="S2" i="17" s="1"/>
  <c r="C3" i="11" a="1"/>
  <c r="C3" i="11" s="1"/>
  <c r="U2" i="30" a="1"/>
  <c r="U2" i="30" s="1"/>
  <c r="H3" i="22" a="1"/>
  <c r="H3" i="22" s="1"/>
  <c r="W2" i="29" a="1"/>
  <c r="W2" i="29" s="1"/>
  <c r="X4" i="19" a="1"/>
  <c r="X4" i="19" s="1"/>
  <c r="J3" i="28" a="1"/>
  <c r="J3" i="28" s="1"/>
  <c r="H2" i="22" a="1"/>
  <c r="H2" i="22" s="1"/>
  <c r="J3" i="17" a="1"/>
  <c r="J3" i="17" s="1"/>
  <c r="E7" i="17" a="1"/>
  <c r="E7" i="17" s="1"/>
  <c r="N2" i="19" a="1"/>
  <c r="N2" i="19" s="1"/>
  <c r="K3" i="11" a="1"/>
  <c r="K3" i="11" s="1"/>
  <c r="J3" i="19" a="1"/>
  <c r="J3" i="19" s="1"/>
  <c r="V2" i="11" a="1"/>
  <c r="V2" i="11" s="1"/>
  <c r="I4" i="22" a="1"/>
  <c r="I4" i="22" s="1"/>
  <c r="L4" i="22" a="1"/>
  <c r="L4" i="22" s="1"/>
  <c r="V3" i="19" a="1"/>
  <c r="V3" i="19" s="1"/>
  <c r="D3" i="17" a="1"/>
  <c r="D3" i="17" s="1"/>
  <c r="T4" i="22" a="1"/>
  <c r="T4" i="22" s="1"/>
  <c r="O3" i="28" a="1"/>
  <c r="O3" i="28" s="1"/>
  <c r="E2" i="28" a="1"/>
  <c r="E2" i="28" s="1"/>
  <c r="R2" i="11" a="1"/>
  <c r="R2" i="11" s="1"/>
  <c r="S2" i="30" a="1"/>
  <c r="S2" i="30" s="1"/>
  <c r="V2" i="22" a="1"/>
  <c r="V2" i="22" s="1"/>
  <c r="K3" i="28" a="1"/>
  <c r="K3" i="28" s="1"/>
  <c r="W4" i="19" a="1"/>
  <c r="W4" i="19" s="1"/>
  <c r="P3" i="28" a="1"/>
  <c r="P3" i="28" s="1"/>
  <c r="C2" i="29" a="1"/>
  <c r="C2" i="29" s="1"/>
  <c r="J3" i="11" a="1"/>
  <c r="J3" i="11" s="1"/>
  <c r="F2" i="28" a="1"/>
  <c r="F2" i="28" s="1"/>
  <c r="K3" i="17" a="1"/>
  <c r="K3" i="17" s="1"/>
  <c r="L5" i="19" a="1"/>
  <c r="L5" i="19" s="1"/>
  <c r="F2" i="17" a="1"/>
  <c r="F2" i="17" s="1"/>
  <c r="M3" i="28" a="1"/>
  <c r="M3" i="28" s="1"/>
  <c r="B2" i="17" a="1"/>
  <c r="B2" i="17" s="1"/>
  <c r="R5" i="17" a="1"/>
  <c r="R5" i="17" s="1"/>
  <c r="L3" i="17" a="1"/>
  <c r="L3" i="17" s="1"/>
  <c r="D3" i="19" a="1"/>
  <c r="D3" i="19" s="1"/>
  <c r="W2" i="11" a="1"/>
  <c r="W2" i="11" s="1"/>
  <c r="J2" i="17" a="1"/>
  <c r="J2" i="17" s="1"/>
  <c r="I2" i="11" a="1"/>
  <c r="I2" i="11" s="1"/>
  <c r="N4" i="22" a="1"/>
  <c r="N4" i="22" s="1"/>
  <c r="H3" i="17" a="1"/>
  <c r="H3" i="17" s="1"/>
  <c r="J3" i="29" a="1"/>
  <c r="J3" i="29" s="1"/>
  <c r="M2" i="11" a="1"/>
  <c r="M2" i="11" s="1"/>
  <c r="D3" i="28" a="1"/>
  <c r="D3" i="28" s="1"/>
  <c r="G3" i="29" a="1"/>
  <c r="G3" i="29" s="1"/>
  <c r="L3" i="29" a="1"/>
  <c r="L3" i="29" s="1"/>
  <c r="U2" i="32" a="1"/>
  <c r="U2" i="32" s="1"/>
  <c r="T2" i="17" a="1"/>
  <c r="T2" i="17" s="1"/>
  <c r="G2" i="32" a="1"/>
  <c r="G2" i="32" s="1"/>
  <c r="I3" i="17" a="1"/>
  <c r="I3" i="17" s="1"/>
  <c r="R2" i="29" a="1"/>
  <c r="R2" i="29" s="1"/>
  <c r="S4" i="19" a="1"/>
  <c r="S4" i="19" s="1"/>
  <c r="E4" i="17" a="1"/>
  <c r="E4" i="17" s="1"/>
  <c r="J4" i="17" a="1"/>
  <c r="J4" i="17" s="1"/>
  <c r="J2" i="28" a="1"/>
  <c r="J2" i="28" s="1"/>
  <c r="X2" i="29" a="1"/>
  <c r="X2" i="29" s="1"/>
  <c r="U2" i="29" a="1"/>
  <c r="U2" i="29" s="1"/>
  <c r="B2" i="29" a="1"/>
  <c r="B2" i="29" s="1"/>
  <c r="H2" i="32" a="1"/>
  <c r="H2" i="32" s="1"/>
  <c r="M2" i="29" a="1"/>
  <c r="M2" i="29" s="1"/>
  <c r="M4" i="22" a="1"/>
  <c r="M4" i="22" s="1"/>
  <c r="Y2" i="29" a="1"/>
  <c r="Y2" i="29" s="1"/>
  <c r="P2" i="31" a="1"/>
  <c r="P2" i="31" s="1"/>
  <c r="L2" i="32" a="1"/>
  <c r="L2" i="32" s="1"/>
  <c r="D3" i="22" a="1"/>
  <c r="D3" i="22" s="1"/>
  <c r="I5" i="19" a="1"/>
  <c r="I5" i="19" s="1"/>
  <c r="L3" i="22" a="1"/>
  <c r="L3" i="22" s="1"/>
  <c r="I2" i="19" a="1"/>
  <c r="I2" i="19" s="1"/>
  <c r="D3" i="29" a="1"/>
  <c r="D3" i="29" s="1"/>
  <c r="I3" i="28" a="1"/>
  <c r="I3" i="28" s="1"/>
  <c r="O2" i="11" a="1"/>
  <c r="O2" i="11" s="1"/>
  <c r="L3" i="28" a="1"/>
  <c r="L3" i="28" s="1"/>
  <c r="F3" i="22" a="1"/>
  <c r="F3" i="22" s="1"/>
  <c r="F2" i="32" a="1"/>
  <c r="F2" i="32" s="1"/>
  <c r="F3" i="17" a="1"/>
  <c r="F3" i="17" s="1"/>
  <c r="U2" i="31" a="1"/>
  <c r="U2" i="31" s="1"/>
  <c r="K2" i="11" a="1"/>
  <c r="K2" i="11" s="1"/>
  <c r="U3" i="22" a="1"/>
  <c r="U3" i="22" s="1"/>
  <c r="F2" i="30" a="1"/>
  <c r="F2" i="30" s="1"/>
  <c r="R2" i="17" a="1"/>
  <c r="R2" i="17" s="1"/>
  <c r="N5" i="17" a="1"/>
  <c r="N5" i="17" s="1"/>
  <c r="B7" i="17" a="1"/>
  <c r="B7" i="17" s="1"/>
  <c r="P2" i="28" a="1"/>
  <c r="P2" i="28" s="1"/>
  <c r="P5" i="19" a="1"/>
  <c r="P5" i="19" s="1"/>
  <c r="H5" i="17" a="1"/>
  <c r="H5" i="17" s="1"/>
  <c r="T3" i="11" a="1"/>
  <c r="T3" i="11" s="1"/>
  <c r="R4" i="19" a="1"/>
  <c r="R4" i="19" s="1"/>
  <c r="K2" i="31" a="1"/>
  <c r="K2" i="31" s="1"/>
  <c r="Q3" i="17" a="1"/>
  <c r="Q3" i="17" s="1"/>
  <c r="Y2" i="11" a="1"/>
  <c r="Y2" i="11" s="1"/>
  <c r="N3" i="22" a="1"/>
  <c r="N3" i="22" s="1"/>
  <c r="W2" i="28" a="1"/>
  <c r="W2" i="28" s="1"/>
  <c r="K2" i="22" a="1"/>
  <c r="K2" i="22" s="1"/>
  <c r="T2" i="32" a="1"/>
  <c r="T2" i="32" s="1"/>
  <c r="W2" i="31" a="1"/>
  <c r="W2" i="31" s="1"/>
  <c r="E2" i="32" a="1"/>
  <c r="E2" i="32" s="1"/>
  <c r="J2" i="32" a="1"/>
  <c r="J2" i="32" s="1"/>
  <c r="R3" i="17" a="1"/>
  <c r="R3" i="17" s="1"/>
  <c r="F3" i="11" a="1"/>
  <c r="F3" i="11" s="1"/>
  <c r="S2" i="28" a="1"/>
  <c r="S2" i="28" s="1"/>
  <c r="X4" i="17" a="1"/>
  <c r="X4" i="17" s="1"/>
  <c r="D3" i="11" a="1"/>
  <c r="D3" i="11" s="1"/>
  <c r="S3" i="11" a="1"/>
  <c r="S3" i="11" s="1"/>
  <c r="O5" i="17" a="1"/>
  <c r="O5" i="17" s="1"/>
  <c r="X3" i="17" a="1"/>
  <c r="X3" i="17" s="1"/>
  <c r="O3" i="22" a="1"/>
  <c r="O3" i="22" s="1"/>
  <c r="L2" i="29" a="1"/>
  <c r="L2" i="29" s="1"/>
  <c r="S4" i="22" a="1"/>
  <c r="S4" i="22" s="1"/>
  <c r="N3" i="28" a="1"/>
  <c r="N3" i="28" s="1"/>
  <c r="N2" i="11" a="1"/>
  <c r="N2" i="11" s="1"/>
  <c r="G3" i="22" a="1"/>
  <c r="G3" i="22" s="1"/>
  <c r="S5" i="17" a="1"/>
  <c r="S5" i="17" s="1"/>
  <c r="Q4" i="22" a="1"/>
  <c r="Q4" i="22" s="1"/>
  <c r="M2" i="30" a="1"/>
  <c r="M2" i="30" s="1"/>
  <c r="M3" i="11" a="1"/>
  <c r="M3" i="11" s="1"/>
  <c r="L2" i="22" a="1"/>
  <c r="L2" i="22" s="1"/>
  <c r="X2" i="30" a="1"/>
  <c r="X2" i="30" s="1"/>
  <c r="Q2" i="30" a="1"/>
  <c r="Q2" i="30" s="1"/>
  <c r="S2" i="19" a="1"/>
  <c r="S2" i="19" s="1"/>
  <c r="C2" i="17" a="1"/>
  <c r="C2" i="17" s="1"/>
  <c r="Q2" i="17" a="1"/>
  <c r="Q2" i="17" s="1"/>
  <c r="L2" i="17" a="1"/>
  <c r="L2" i="17" s="1"/>
  <c r="J5" i="17" a="1"/>
  <c r="J5" i="17" s="1"/>
  <c r="T4" i="17" a="1"/>
  <c r="T4" i="17" s="1"/>
  <c r="T2" i="11" a="1"/>
  <c r="T2" i="11" s="1"/>
  <c r="O2" i="19" a="1"/>
  <c r="O2" i="19" s="1"/>
  <c r="U2" i="19" a="1"/>
  <c r="U2" i="19" s="1"/>
  <c r="Y2" i="19" a="1"/>
  <c r="Y2" i="19" s="1"/>
  <c r="S2" i="29" a="1"/>
  <c r="S2" i="29" s="1"/>
  <c r="O3" i="17" a="1"/>
  <c r="O3" i="17" s="1"/>
  <c r="W2" i="30" a="1"/>
  <c r="W2" i="30" s="1"/>
  <c r="Q2" i="22" a="1"/>
  <c r="Q2" i="22" s="1"/>
  <c r="R4" i="17" a="1"/>
  <c r="R4" i="17" s="1"/>
  <c r="X2" i="11" a="1"/>
  <c r="X2" i="11" s="1"/>
  <c r="O2" i="32" a="1"/>
  <c r="O2" i="32" s="1"/>
  <c r="L5" i="17" a="1"/>
  <c r="L5" i="17" s="1"/>
  <c r="Q3" i="11" a="1"/>
  <c r="Q3" i="11" s="1"/>
  <c r="J2" i="11" a="1"/>
  <c r="J2" i="11" s="1"/>
  <c r="D4" i="17" a="1"/>
  <c r="D4" i="17" s="1"/>
  <c r="G5" i="17" a="1"/>
  <c r="G5" i="17" s="1"/>
  <c r="E5" i="17" a="1"/>
  <c r="E5" i="17" s="1"/>
  <c r="J2" i="19" a="1"/>
  <c r="J2" i="19" s="1"/>
  <c r="C3" i="22" a="1"/>
  <c r="C3" i="22" s="1"/>
  <c r="I3" i="22" a="1"/>
  <c r="I3" i="22" s="1"/>
  <c r="D2" i="22" a="1"/>
  <c r="D2" i="22" s="1"/>
  <c r="D4" i="19" a="1"/>
  <c r="D4" i="19" s="1"/>
  <c r="O4" i="19" a="1"/>
  <c r="O4" i="19" s="1"/>
  <c r="R2" i="32" a="1"/>
  <c r="R2" i="32" s="1"/>
  <c r="O2" i="30" a="1"/>
  <c r="O2" i="30" s="1"/>
  <c r="K2" i="17" a="1"/>
  <c r="K2" i="17" s="1"/>
  <c r="V3" i="22" a="1"/>
  <c r="V3" i="22" s="1"/>
  <c r="X2" i="17" a="1"/>
  <c r="X2" i="17" s="1"/>
  <c r="V2" i="17" a="1"/>
  <c r="V2" i="17" s="1"/>
  <c r="L2" i="19" a="1"/>
  <c r="L2" i="19" s="1"/>
  <c r="S3" i="19" a="1"/>
  <c r="S3" i="19" s="1"/>
  <c r="K2" i="28" a="1"/>
  <c r="K2" i="28" s="1"/>
  <c r="I4" i="17" a="1"/>
  <c r="I4" i="17" s="1"/>
  <c r="T3" i="19" a="1"/>
  <c r="T3" i="19" s="1"/>
  <c r="I2" i="31" a="1"/>
  <c r="I2" i="31" s="1"/>
  <c r="E2" i="19" a="1"/>
  <c r="E2" i="19" s="1"/>
  <c r="P2" i="19" a="1"/>
  <c r="P2" i="19" s="1"/>
  <c r="L2" i="31" a="1"/>
  <c r="L2" i="31" s="1"/>
  <c r="D2" i="11" a="1"/>
  <c r="D2" i="11" s="1"/>
  <c r="U2" i="22" a="1"/>
  <c r="U2" i="22" s="1"/>
  <c r="H4" i="22" a="1"/>
  <c r="H4" i="22" s="1"/>
  <c r="R2" i="22" a="1"/>
  <c r="R2" i="22" s="1"/>
  <c r="V2" i="19" a="1"/>
  <c r="V2" i="19" s="1"/>
  <c r="Y4" i="17" a="1"/>
  <c r="Y4" i="17" s="1"/>
  <c r="U5" i="17" a="1"/>
  <c r="U5" i="17" s="1"/>
  <c r="P3" i="22" a="1"/>
  <c r="P3" i="22" s="1"/>
  <c r="Q3" i="22" a="1"/>
  <c r="Q3" i="22" s="1"/>
  <c r="B2" i="31" a="1"/>
  <c r="B2" i="31" s="1"/>
  <c r="B2" i="11" a="1"/>
  <c r="B2" i="11" s="1"/>
  <c r="M2" i="22" a="1"/>
  <c r="M2" i="22" s="1"/>
  <c r="X5" i="17" a="1"/>
  <c r="X5" i="17" s="1"/>
  <c r="R4" i="22" a="1"/>
  <c r="R4" i="22" s="1"/>
  <c r="P3" i="17" a="1"/>
  <c r="P3" i="17" s="1"/>
  <c r="H2" i="29" a="1"/>
  <c r="H2" i="29" s="1"/>
  <c r="Y2" i="30" a="1"/>
  <c r="Y2" i="30" s="1"/>
  <c r="E2" i="29" a="1"/>
  <c r="E2" i="29" s="1"/>
  <c r="Q2" i="28" a="1"/>
  <c r="Q2" i="28" s="1"/>
  <c r="G4" i="17" a="1"/>
  <c r="G4" i="17" s="1"/>
  <c r="E2" i="17" a="1"/>
  <c r="E2" i="17" s="1"/>
  <c r="P2" i="22" a="1"/>
  <c r="P2" i="22" s="1"/>
  <c r="D2" i="31" a="1"/>
  <c r="D2" i="31" s="1"/>
  <c r="I2" i="22" a="1"/>
  <c r="I2" i="22" s="1"/>
  <c r="W2" i="17" a="1"/>
  <c r="W2" i="17" s="1"/>
  <c r="Y2" i="17" a="1"/>
  <c r="Y2" i="17" s="1"/>
  <c r="V5" i="17" a="1"/>
  <c r="V5" i="17" s="1"/>
  <c r="I5" i="17" a="1"/>
  <c r="I5" i="17" s="1"/>
  <c r="H3" i="11" a="1"/>
  <c r="H3" i="11" s="1"/>
  <c r="F3" i="29" a="1"/>
  <c r="F3" i="29" s="1"/>
  <c r="W3" i="17" a="1"/>
  <c r="W3" i="17" s="1"/>
  <c r="V3" i="17" a="1"/>
  <c r="V3" i="17" s="1"/>
  <c r="S4" i="17" a="1"/>
  <c r="S4" i="17" s="1"/>
  <c r="Q5" i="17" a="1"/>
  <c r="Q5" i="17" s="1"/>
  <c r="Y5" i="17" a="1"/>
  <c r="Y5" i="17" s="1"/>
  <c r="Q2" i="11" a="1"/>
  <c r="Q2" i="11" s="1"/>
  <c r="V2" i="30" a="1"/>
  <c r="V2" i="30" s="1"/>
  <c r="H2" i="30" a="1"/>
  <c r="H2" i="30" s="1"/>
  <c r="W5" i="17" a="1"/>
  <c r="W5" i="17" s="1"/>
  <c r="Y3" i="17" a="1"/>
  <c r="Y3" i="17" s="1"/>
  <c r="L2" i="11" a="1"/>
  <c r="L2" i="11" s="1"/>
  <c r="B3" i="31" a="1"/>
  <c r="B3" i="31" s="1"/>
  <c r="R2" i="31" a="1"/>
  <c r="R2" i="31" s="1"/>
  <c r="J2" i="22" a="1"/>
  <c r="J2" i="22" s="1"/>
  <c r="O2" i="31" a="1"/>
  <c r="O2" i="31" s="1"/>
  <c r="V4" i="17" a="1"/>
  <c r="V4" i="17" s="1"/>
  <c r="V2" i="31" a="1"/>
  <c r="V2" i="31" s="1"/>
  <c r="S2" i="22" a="1"/>
  <c r="S2" i="22" s="1"/>
  <c r="M2" i="28" a="1"/>
  <c r="M2" i="28" s="1"/>
  <c r="C2" i="28" a="1"/>
  <c r="C2" i="28" s="1"/>
  <c r="Y2" i="31" a="1"/>
  <c r="Y2" i="31" s="1"/>
  <c r="B2" i="22" a="1"/>
  <c r="B2" i="22" s="1"/>
  <c r="T3" i="17" a="1"/>
  <c r="T3" i="17" s="1"/>
  <c r="T5" i="17" a="1"/>
  <c r="T5" i="17" s="1"/>
  <c r="J3" i="22" a="1"/>
  <c r="J3" i="22" s="1"/>
  <c r="M3" i="17" a="1"/>
  <c r="M3" i="17" s="1"/>
  <c r="B5" i="17" a="1"/>
  <c r="B5" i="17" s="1"/>
  <c r="M4" i="17" a="1"/>
  <c r="M4" i="17" s="1"/>
  <c r="B4" i="17" a="1"/>
  <c r="B4" i="17" s="1"/>
  <c r="O4" i="17" a="1"/>
  <c r="O4" i="17" s="1"/>
  <c r="Q4" i="17" a="1"/>
  <c r="Q4" i="17" s="1"/>
  <c r="C4" i="17" a="1"/>
  <c r="C4" i="17" s="1"/>
  <c r="V4" i="22" a="1"/>
  <c r="V4" i="22" s="1"/>
  <c r="U4" i="17" a="1"/>
  <c r="U4" i="17" s="1"/>
  <c r="E4" i="22" a="1"/>
  <c r="E4" i="22" s="1"/>
  <c r="P2" i="11" a="1"/>
  <c r="P2" i="11" s="1"/>
  <c r="B2" i="32" a="1"/>
  <c r="B2" i="32" s="1"/>
  <c r="C5" i="17" a="1"/>
  <c r="C5" i="17" s="1"/>
  <c r="T2" i="31" a="1"/>
  <c r="T2" i="31" s="1"/>
  <c r="U2" i="11" a="1"/>
  <c r="U2" i="11" s="1"/>
  <c r="X2" i="22" a="1"/>
  <c r="X2" i="22" s="1"/>
  <c r="U4" i="22" a="1"/>
  <c r="U4" i="22" s="1"/>
  <c r="L4" i="17" a="1"/>
  <c r="L4" i="17" s="1"/>
  <c r="G4" i="22" a="1"/>
  <c r="G4" i="22" s="1"/>
  <c r="O2" i="22" a="1"/>
  <c r="O2" i="22" s="1"/>
  <c r="C4" i="22" a="1"/>
  <c r="C4" i="22" s="1"/>
  <c r="P4" i="22" a="1"/>
  <c r="P4" i="22" s="1"/>
  <c r="C2" i="22" a="1"/>
  <c r="C2" i="22" s="1"/>
  <c r="B3" i="22" a="1"/>
  <c r="B3" i="22" s="1"/>
  <c r="N4" i="17" a="1"/>
  <c r="N4" i="17" s="1"/>
  <c r="O4" i="22" a="1"/>
  <c r="O4" i="22" s="1"/>
  <c r="E2" i="11" a="1"/>
  <c r="E2" i="11" s="1"/>
  <c r="P2" i="17" a="1"/>
  <c r="P2" i="17" s="1"/>
  <c r="H4" i="17" a="1"/>
  <c r="H4" i="17" s="1"/>
  <c r="W4" i="22" a="1"/>
  <c r="W4" i="22" s="1"/>
  <c r="S3" i="17" a="1"/>
  <c r="S3" i="17" s="1"/>
  <c r="R3" i="22" a="1"/>
  <c r="R3" i="22" s="1"/>
  <c r="U2" i="17" a="1"/>
  <c r="U2" i="17" s="1"/>
  <c r="G2" i="11" a="1"/>
  <c r="G2" i="11" s="1"/>
  <c r="N2" i="17" a="1"/>
  <c r="N2" i="17" s="1"/>
  <c r="O3" i="11" a="1"/>
  <c r="O3" i="11" s="1"/>
  <c r="C3" i="17" a="1"/>
  <c r="C3" i="17" s="1"/>
  <c r="J2" i="31" a="1"/>
  <c r="J2" i="31" s="1"/>
  <c r="T2" i="22" a="1"/>
  <c r="T2" i="22" s="1"/>
  <c r="T2" i="28" a="1"/>
  <c r="T2" i="28" s="1"/>
  <c r="B4" i="22" a="1"/>
  <c r="B4" i="22" s="1"/>
  <c r="Y2" i="22" a="1"/>
  <c r="Y2" i="22" s="1"/>
  <c r="F2" i="22" a="1"/>
  <c r="F2" i="22" s="1"/>
  <c r="E2" i="22" a="1"/>
  <c r="E2" i="22" s="1"/>
  <c r="K4" i="22" a="1"/>
  <c r="K4" i="22" s="1"/>
  <c r="M3" i="22" a="1"/>
  <c r="M3" i="22" s="1"/>
  <c r="D2" i="28" a="1"/>
  <c r="D2" i="28" s="1"/>
  <c r="K4" i="17" a="1"/>
  <c r="K4" i="17" s="1"/>
  <c r="O2" i="17" a="1"/>
  <c r="O2" i="17" s="1"/>
  <c r="L3" i="11" a="1"/>
  <c r="L3" i="11" s="1"/>
  <c r="N2" i="28" a="1"/>
  <c r="N2" i="28" s="1"/>
  <c r="G2" i="28" a="1"/>
  <c r="G2" i="28" s="1"/>
  <c r="P4" i="17" a="1"/>
  <c r="P4" i="17" s="1"/>
  <c r="I5" i="46"/>
  <c r="F3" i="46"/>
  <c r="P2" i="46"/>
  <c r="C2" i="46"/>
  <c r="J2" i="46"/>
  <c r="O2" i="46"/>
  <c r="D2" i="46"/>
  <c r="D4" i="46"/>
  <c r="F2" i="46"/>
  <c r="J3" i="46"/>
  <c r="C3" i="46"/>
  <c r="Q2" i="46"/>
  <c r="C5" i="46"/>
  <c r="D5" i="46"/>
  <c r="I2" i="46"/>
  <c r="D3" i="46"/>
  <c r="R2" i="46"/>
  <c r="F4" i="46"/>
  <c r="I4" i="46"/>
  <c r="I3" i="46"/>
  <c r="S2" i="46"/>
  <c r="C4" i="46"/>
  <c r="I1284" i="44" l="1"/>
  <c r="H1306" i="44"/>
  <c r="H1339" i="44"/>
  <c r="H1280" i="44"/>
  <c r="M1342" i="44"/>
  <c r="M1299" i="44"/>
  <c r="M1272" i="44"/>
  <c r="M1354" i="44"/>
  <c r="M1280" i="44"/>
  <c r="M1313" i="44"/>
  <c r="M1303" i="44"/>
  <c r="M1314" i="44"/>
  <c r="M1298" i="44"/>
  <c r="M1328" i="44"/>
  <c r="M1329" i="44"/>
  <c r="M1290" i="44"/>
  <c r="M1358" i="44"/>
  <c r="M1300" i="44"/>
  <c r="M1289" i="44"/>
  <c r="M1337" i="44"/>
  <c r="M1364" i="44"/>
  <c r="M1356" i="44"/>
  <c r="M1360" i="44"/>
  <c r="M1308" i="44"/>
  <c r="M1325" i="44"/>
  <c r="M1288" i="44"/>
  <c r="M1339" i="44"/>
  <c r="M1296" i="44"/>
  <c r="M1284" i="44"/>
  <c r="M1355" i="44"/>
  <c r="M1311" i="44"/>
  <c r="M1361" i="44"/>
  <c r="M1341" i="44"/>
  <c r="M1271" i="44"/>
  <c r="M1312" i="44"/>
  <c r="M1274" i="44"/>
  <c r="M1276" i="44"/>
  <c r="M1301" i="44"/>
  <c r="M1324" i="44"/>
  <c r="M1336" i="44"/>
  <c r="M1353" i="44"/>
  <c r="M1327" i="44"/>
  <c r="M1350" i="44"/>
  <c r="M1316" i="44"/>
  <c r="M1304" i="44"/>
  <c r="M1347" i="44"/>
  <c r="M1322" i="44"/>
  <c r="M1292" i="44"/>
  <c r="M1269" i="44"/>
  <c r="M1349" i="44"/>
  <c r="M1334" i="44"/>
  <c r="M1333" i="44"/>
  <c r="M1363" i="44"/>
  <c r="M1326" i="44"/>
  <c r="M1330" i="44"/>
  <c r="M1307" i="44"/>
  <c r="M1275" i="44"/>
  <c r="M1270" i="44"/>
  <c r="M1348" i="44"/>
  <c r="M1305" i="44"/>
  <c r="M1340" i="44"/>
  <c r="M1277" i="44"/>
  <c r="M1302" i="44"/>
  <c r="M1295" i="44"/>
  <c r="M1319" i="44"/>
  <c r="M1281" i="44"/>
  <c r="M1346" i="44"/>
  <c r="M1283" i="44"/>
  <c r="M1331" i="44"/>
  <c r="M1273" i="44"/>
  <c r="M1335" i="44"/>
  <c r="M1306" i="44"/>
  <c r="M1294" i="44"/>
  <c r="M1291" i="44"/>
  <c r="M1352" i="44"/>
  <c r="M1285" i="44"/>
  <c r="M1343" i="44"/>
  <c r="M1323" i="44"/>
  <c r="M1338" i="44"/>
  <c r="M1359" i="44"/>
  <c r="M1278" i="44"/>
  <c r="M1332" i="44"/>
  <c r="M1357" i="44"/>
  <c r="M1345" i="44"/>
  <c r="M1287" i="44"/>
  <c r="M1318" i="44"/>
  <c r="M1321" i="44"/>
  <c r="M1279" i="44"/>
  <c r="M1310" i="44"/>
  <c r="M1286" i="44"/>
  <c r="M1317" i="44"/>
  <c r="M1282" i="44"/>
  <c r="M1293" i="44"/>
  <c r="M1351" i="44"/>
  <c r="M1297" i="44"/>
  <c r="M1315" i="44"/>
  <c r="I1333" i="44"/>
  <c r="H1337" i="44"/>
  <c r="I1335" i="44"/>
  <c r="H1277" i="44"/>
  <c r="I1288" i="44"/>
  <c r="I1278" i="44"/>
  <c r="I1322" i="44"/>
  <c r="I1281" i="44"/>
  <c r="I1290" i="44"/>
  <c r="I1318" i="44"/>
  <c r="I1362" i="44"/>
  <c r="I1351" i="44"/>
  <c r="I1273" i="44"/>
  <c r="I1360" i="44"/>
  <c r="I1347" i="44"/>
  <c r="I1352" i="44"/>
  <c r="I1292" i="44"/>
  <c r="I1323" i="44"/>
  <c r="I1359" i="44"/>
  <c r="I1307" i="44"/>
  <c r="I1304" i="44"/>
  <c r="I1338" i="44"/>
  <c r="I1299" i="44"/>
  <c r="I1297" i="44"/>
  <c r="I1348" i="44"/>
  <c r="I1337" i="44"/>
  <c r="I1350" i="44"/>
  <c r="I1328" i="44"/>
  <c r="I1357" i="44"/>
  <c r="I1316" i="44"/>
  <c r="I1327" i="44"/>
  <c r="I1336" i="44"/>
  <c r="I1361" i="44"/>
  <c r="I1298" i="44"/>
  <c r="I1324" i="44"/>
  <c r="I1317" i="44"/>
  <c r="I1356" i="44"/>
  <c r="I1355" i="44"/>
  <c r="I1305" i="44"/>
  <c r="I1325" i="44"/>
  <c r="I1287" i="44"/>
  <c r="I1312" i="44"/>
  <c r="I1295" i="44"/>
  <c r="I1306" i="44"/>
  <c r="I1269" i="44"/>
  <c r="I1344" i="44"/>
  <c r="I1294" i="44"/>
  <c r="I1301" i="44"/>
  <c r="I1302" i="44"/>
  <c r="I1282" i="44"/>
  <c r="I1343" i="44"/>
  <c r="I1311" i="44"/>
  <c r="I1308" i="44"/>
  <c r="I1345" i="44"/>
  <c r="I1280" i="44"/>
  <c r="I1358" i="44"/>
  <c r="I1342" i="44"/>
  <c r="I1330" i="44"/>
  <c r="I1331" i="44"/>
  <c r="I1354" i="44"/>
  <c r="I1319" i="44"/>
  <c r="I1291" i="44"/>
  <c r="I1293" i="44"/>
  <c r="I1283" i="44"/>
  <c r="I1353" i="44"/>
  <c r="I1349" i="44"/>
  <c r="I1314" i="44"/>
  <c r="I1339" i="44"/>
  <c r="I1329" i="44"/>
  <c r="I1320" i="44"/>
  <c r="I1346" i="44"/>
  <c r="I1332" i="44"/>
  <c r="I1300" i="44"/>
  <c r="I1272" i="44"/>
  <c r="I1285" i="44"/>
  <c r="I1313" i="44"/>
  <c r="I1274" i="44"/>
  <c r="I1340" i="44"/>
  <c r="I1270" i="44"/>
  <c r="I1279" i="44"/>
  <c r="I1296" i="44"/>
  <c r="I1321" i="44"/>
  <c r="I1289" i="44"/>
  <c r="I1275" i="44"/>
  <c r="I1341" i="44"/>
  <c r="I1315" i="44"/>
  <c r="I1276" i="44"/>
  <c r="I1326" i="44"/>
  <c r="I1271" i="44"/>
  <c r="I1277" i="44"/>
  <c r="I1364" i="44"/>
  <c r="H1314" i="44"/>
  <c r="H1310" i="44"/>
  <c r="H1349" i="44"/>
  <c r="H1269" i="44"/>
  <c r="H1333" i="44"/>
  <c r="H1321" i="44"/>
  <c r="H1294" i="44"/>
  <c r="H1347" i="44"/>
  <c r="H1345" i="44"/>
  <c r="H1335" i="44"/>
  <c r="H1291" i="44"/>
  <c r="H1334" i="44"/>
  <c r="H1289" i="44"/>
  <c r="H1327" i="44"/>
  <c r="H1363" i="44"/>
  <c r="H1271" i="44"/>
  <c r="H1287" i="44"/>
  <c r="H1331" i="44"/>
  <c r="H1357" i="44"/>
  <c r="H1302" i="44"/>
  <c r="H1341" i="44"/>
  <c r="H1286" i="44"/>
  <c r="H1312" i="44"/>
  <c r="H1329" i="44"/>
  <c r="H1353" i="44"/>
  <c r="H1274" i="44"/>
  <c r="H1295" i="44"/>
  <c r="H1338" i="44"/>
  <c r="H1319" i="44"/>
  <c r="H1358" i="44"/>
  <c r="H1301" i="44"/>
  <c r="H1293" i="44"/>
  <c r="H1350" i="44"/>
  <c r="H1318" i="44"/>
  <c r="H1290" i="44"/>
  <c r="H1316" i="44"/>
  <c r="H1308" i="44"/>
  <c r="H1281" i="44"/>
  <c r="H1351" i="44"/>
  <c r="H1304" i="44"/>
  <c r="H1285" i="44"/>
  <c r="H1320" i="44"/>
  <c r="H1305" i="44"/>
  <c r="H1275" i="44"/>
  <c r="H1325" i="44"/>
  <c r="H1309" i="44"/>
  <c r="H1315" i="44"/>
  <c r="H1297" i="44"/>
  <c r="H1332" i="44"/>
  <c r="H1296" i="44"/>
  <c r="H1273" i="44"/>
  <c r="H1307" i="44"/>
  <c r="H1292" i="44"/>
  <c r="H1279" i="44"/>
  <c r="H1283" i="44"/>
  <c r="H1276" i="44"/>
  <c r="H1340" i="44"/>
  <c r="H1352" i="44"/>
  <c r="H1311" i="44"/>
  <c r="H1343" i="44"/>
  <c r="H1270" i="44"/>
  <c r="H1298" i="44"/>
  <c r="H1284" i="44"/>
  <c r="H1324" i="44"/>
  <c r="H1300" i="44"/>
  <c r="H1303" i="44"/>
  <c r="H1326" i="44"/>
  <c r="H1360" i="44"/>
  <c r="H1330" i="44"/>
  <c r="H1323" i="44"/>
  <c r="H1342" i="44"/>
  <c r="H1355" i="44"/>
  <c r="H1278" i="44"/>
  <c r="H1336" i="44"/>
  <c r="H1282" i="44"/>
  <c r="H1328" i="44"/>
  <c r="H1348" i="44"/>
  <c r="H1364" i="44"/>
  <c r="H1288" i="44"/>
  <c r="H1272" i="44"/>
  <c r="H1346" i="44"/>
  <c r="H1344" i="44"/>
  <c r="H1354" i="44"/>
  <c r="H1299" i="44"/>
  <c r="H1356" i="44"/>
  <c r="H1313" i="44"/>
  <c r="H1361" i="44"/>
  <c r="H1322" i="44"/>
  <c r="H1362" i="44"/>
  <c r="H1359" i="44"/>
  <c r="H1317" i="44"/>
  <c r="V1284" i="44"/>
  <c r="V1338" i="44"/>
  <c r="V1342" i="44"/>
  <c r="V1347" i="44"/>
  <c r="V1288" i="44"/>
  <c r="V1278" i="44"/>
  <c r="K2" i="10" s="1" a="1"/>
  <c r="K2" i="10" s="1"/>
  <c r="V1308" i="44"/>
  <c r="V1324" i="44"/>
  <c r="X1324" i="44"/>
  <c r="V1312" i="44"/>
  <c r="V1314" i="44"/>
  <c r="V1277" i="44"/>
  <c r="J2" i="10" s="1" a="1"/>
  <c r="J2" i="10" s="1"/>
  <c r="V1344" i="44"/>
  <c r="V1299" i="44"/>
  <c r="L1365" i="44" a="1"/>
  <c r="L1365" i="44" s="1"/>
  <c r="L1375" i="44" a="1"/>
  <c r="L1375" i="44" s="1"/>
  <c r="L1408" i="44" a="1"/>
  <c r="L1408" i="44" s="1"/>
  <c r="L1393" i="44" a="1"/>
  <c r="L1393" i="44" s="1"/>
  <c r="L1366" i="44" a="1"/>
  <c r="L1366" i="44" s="1"/>
  <c r="L1410" i="44" a="1"/>
  <c r="L1410" i="44" s="1"/>
  <c r="L1380" i="44" a="1"/>
  <c r="L1380" i="44" s="1"/>
  <c r="L1409" i="44" a="1"/>
  <c r="L1409" i="44" s="1"/>
  <c r="L1392" i="44" a="1"/>
  <c r="L1392" i="44" s="1"/>
  <c r="L1399" i="44" a="1"/>
  <c r="L1399" i="44" s="1"/>
  <c r="L1379" i="44" a="1"/>
  <c r="L1379" i="44" s="1"/>
  <c r="L1404" i="44" a="1"/>
  <c r="L1404" i="44" s="1"/>
  <c r="L1369" i="44" a="1"/>
  <c r="L1369" i="44" s="1"/>
  <c r="L1402" i="44" a="1"/>
  <c r="L1402" i="44" s="1"/>
  <c r="L1401" i="44" a="1"/>
  <c r="L1401" i="44" s="1"/>
  <c r="L1398" i="44" a="1"/>
  <c r="L1398" i="44" s="1"/>
  <c r="L1382" i="44" a="1"/>
  <c r="L1382" i="44" s="1"/>
  <c r="L1395" i="44" a="1"/>
  <c r="L1395" i="44" s="1"/>
  <c r="L1371" i="44" a="1"/>
  <c r="L1371" i="44" s="1"/>
  <c r="L1405" i="44" a="1"/>
  <c r="L1405" i="44" s="1"/>
  <c r="L1400" i="44" a="1"/>
  <c r="L1400" i="44" s="1"/>
  <c r="L1385" i="44" a="1"/>
  <c r="L1385" i="44" s="1"/>
  <c r="L1397" i="44" a="1"/>
  <c r="L1397" i="44" s="1"/>
  <c r="L1378" i="44" a="1"/>
  <c r="L1378" i="44" s="1"/>
  <c r="L1411" i="44" a="1"/>
  <c r="L1411" i="44" s="1"/>
  <c r="L1374" i="44" a="1"/>
  <c r="L1374" i="44" s="1"/>
  <c r="L1383" i="44" a="1"/>
  <c r="L1383" i="44" s="1"/>
  <c r="L1403" i="44" a="1"/>
  <c r="L1403" i="44" s="1"/>
  <c r="L1384" i="44" a="1"/>
  <c r="L1384" i="44" s="1"/>
  <c r="L1376" i="44" a="1"/>
  <c r="L1376" i="44" s="1"/>
  <c r="L1368" i="44" a="1"/>
  <c r="L1368" i="44" s="1"/>
  <c r="L1387" i="44" a="1"/>
  <c r="L1387" i="44" s="1"/>
  <c r="L1367" i="44" a="1"/>
  <c r="L1367" i="44" s="1"/>
  <c r="L1407" i="44" a="1"/>
  <c r="L1407" i="44" s="1"/>
  <c r="L1396" i="44" a="1"/>
  <c r="L1396" i="44" s="1"/>
  <c r="L1394" i="44" a="1"/>
  <c r="L1394" i="44" s="1"/>
  <c r="L1389" i="44" a="1"/>
  <c r="L1389" i="44" s="1"/>
  <c r="L1406" i="44" a="1"/>
  <c r="L1406" i="44" s="1"/>
  <c r="L1373" i="44" a="1"/>
  <c r="L1373" i="44" s="1"/>
  <c r="L1390" i="44" a="1"/>
  <c r="L1390" i="44" s="1"/>
  <c r="L1358" i="44"/>
  <c r="L1292" i="44"/>
  <c r="L1372" i="44" a="1"/>
  <c r="L1372" i="44" s="1"/>
  <c r="L1381" i="44" a="1"/>
  <c r="L1381" i="44" s="1"/>
  <c r="L1370" i="44" a="1"/>
  <c r="L1370" i="44" s="1"/>
  <c r="L1412" i="44" a="1"/>
  <c r="L1412" i="44" s="1"/>
  <c r="L1289" i="44"/>
  <c r="L1386" i="44" a="1"/>
  <c r="L1386" i="44" s="1"/>
  <c r="L1377" i="44" a="1"/>
  <c r="L1377" i="44" s="1"/>
  <c r="L1391" i="44" a="1"/>
  <c r="L1391" i="44" s="1"/>
  <c r="L1388" i="44" a="1"/>
  <c r="L1388" i="44" s="1"/>
  <c r="L1335" i="44"/>
  <c r="L1295" i="44"/>
  <c r="L1339" i="44"/>
  <c r="L1336" i="44"/>
  <c r="L1334" i="44"/>
  <c r="L1296" i="44"/>
  <c r="L1273" i="44"/>
  <c r="L1321" i="44"/>
  <c r="L1270" i="44"/>
  <c r="L1293" i="44"/>
  <c r="L1356" i="44"/>
  <c r="L1324" i="44"/>
  <c r="L1319" i="44"/>
  <c r="L1313" i="44"/>
  <c r="L1311" i="44"/>
  <c r="L1318" i="44"/>
  <c r="L1343" i="44"/>
  <c r="L1299" i="44"/>
  <c r="L1351" i="44"/>
  <c r="L1276" i="44"/>
  <c r="L1294" i="44"/>
  <c r="L1297" i="44"/>
  <c r="L1320" i="44"/>
  <c r="L1269" i="44"/>
  <c r="L1301" i="44"/>
  <c r="L1355" i="44"/>
  <c r="L1354" i="44"/>
  <c r="L1352" i="44"/>
  <c r="L1284" i="44"/>
  <c r="L1280" i="44"/>
  <c r="L1304" i="44"/>
  <c r="L1317" i="44"/>
  <c r="L1332" i="44"/>
  <c r="L1310" i="44"/>
  <c r="L1300" i="44"/>
  <c r="L1353" i="44"/>
  <c r="L1309" i="44"/>
  <c r="L1350" i="44"/>
  <c r="L1272" i="44"/>
  <c r="L1277" i="44"/>
  <c r="L1286" i="44"/>
  <c r="L1279" i="44"/>
  <c r="L1360" i="44"/>
  <c r="L1282" i="44"/>
  <c r="L1333" i="44"/>
  <c r="L1338" i="44"/>
  <c r="L1271" i="44"/>
  <c r="L1283" i="44"/>
  <c r="L1326" i="44"/>
  <c r="L1357" i="44"/>
  <c r="L1363" i="44"/>
  <c r="L1322" i="44"/>
  <c r="L1308" i="44"/>
  <c r="L1345" i="44"/>
  <c r="L1348" i="44"/>
  <c r="L1278" i="44"/>
  <c r="L1290" i="44"/>
  <c r="L1364" i="44"/>
  <c r="L1316" i="44"/>
  <c r="L1362" i="44"/>
  <c r="L1341" i="44"/>
  <c r="L1323" i="44"/>
  <c r="L1314" i="44"/>
  <c r="L1302" i="44"/>
  <c r="L1349" i="44"/>
  <c r="L1285" i="44"/>
  <c r="L1361" i="44"/>
  <c r="L1344" i="44"/>
  <c r="L1307" i="44"/>
  <c r="L1325" i="44"/>
  <c r="L1315" i="44"/>
  <c r="L1331" i="44"/>
  <c r="L1306" i="44"/>
  <c r="L1287" i="44"/>
  <c r="L1337" i="44"/>
  <c r="L1303" i="44"/>
  <c r="L1342" i="44"/>
  <c r="L1298" i="44"/>
  <c r="L1340" i="44"/>
  <c r="L1347" i="44"/>
  <c r="L1281" i="44"/>
  <c r="L1328" i="44"/>
  <c r="L1359" i="44"/>
  <c r="L1275" i="44"/>
  <c r="L1327" i="44"/>
  <c r="L1346" i="44"/>
  <c r="L1330" i="44"/>
  <c r="L1274" i="44"/>
  <c r="L1291" i="44"/>
  <c r="L1312" i="44"/>
  <c r="V1345" i="44"/>
  <c r="J1296" i="44"/>
  <c r="V1332" i="44"/>
  <c r="V1326" i="44"/>
  <c r="V1323" i="44"/>
  <c r="X1285" i="44"/>
  <c r="V1329" i="44"/>
  <c r="V1349" i="44"/>
  <c r="V1335" i="44"/>
  <c r="V1285" i="44"/>
  <c r="V1341" i="44"/>
  <c r="V1334" i="44"/>
  <c r="J1301" i="44"/>
  <c r="V1290" i="44"/>
  <c r="X1292" i="44"/>
  <c r="X1364" i="44"/>
  <c r="V1301" i="44"/>
  <c r="V1404" i="44" a="1"/>
  <c r="V1404" i="44" s="1"/>
  <c r="V1383" i="44" a="1"/>
  <c r="V1383" i="44" s="1"/>
  <c r="V1366" i="44" a="1"/>
  <c r="V1366" i="44" s="1"/>
  <c r="V1389" i="44" a="1"/>
  <c r="V1389" i="44" s="1"/>
  <c r="V1388" i="44" a="1"/>
  <c r="V1388" i="44" s="1"/>
  <c r="V1373" i="44" a="1"/>
  <c r="V1373" i="44" s="1"/>
  <c r="V1370" i="44" a="1"/>
  <c r="V1370" i="44" s="1"/>
  <c r="V1393" i="44" a="1"/>
  <c r="V1393" i="44" s="1"/>
  <c r="V1398" i="44" a="1"/>
  <c r="V1398" i="44" s="1"/>
  <c r="V1405" i="44" a="1"/>
  <c r="V1405" i="44" s="1"/>
  <c r="V1375" i="44" a="1"/>
  <c r="V1375" i="44" s="1"/>
  <c r="V1382" i="44" a="1"/>
  <c r="V1382" i="44" s="1"/>
  <c r="V1394" i="44" a="1"/>
  <c r="V1394" i="44" s="1"/>
  <c r="V1412" i="44" a="1"/>
  <c r="V1412" i="44" s="1"/>
  <c r="V1397" i="44" a="1"/>
  <c r="V1397" i="44" s="1"/>
  <c r="V1384" i="44" a="1"/>
  <c r="V1384" i="44" s="1"/>
  <c r="V1369" i="44" a="1"/>
  <c r="V1369" i="44" s="1"/>
  <c r="V1386" i="44" a="1"/>
  <c r="V1386" i="44" s="1"/>
  <c r="V1391" i="44" a="1"/>
  <c r="V1391" i="44" s="1"/>
  <c r="V1371" i="44" a="1"/>
  <c r="V1371" i="44" s="1"/>
  <c r="V1390" i="44" a="1"/>
  <c r="V1390" i="44" s="1"/>
  <c r="V1372" i="44" a="1"/>
  <c r="V1372" i="44" s="1"/>
  <c r="V1385" i="44" a="1"/>
  <c r="V1385" i="44" s="1"/>
  <c r="V1377" i="44" a="1"/>
  <c r="V1377" i="44" s="1"/>
  <c r="V1392" i="44" a="1"/>
  <c r="V1392" i="44" s="1"/>
  <c r="V1407" i="44" a="1"/>
  <c r="V1407" i="44" s="1"/>
  <c r="V1368" i="44" a="1"/>
  <c r="V1368" i="44" s="1"/>
  <c r="V1399" i="44" a="1"/>
  <c r="V1399" i="44" s="1"/>
  <c r="V1406" i="44" a="1"/>
  <c r="V1406" i="44" s="1"/>
  <c r="V1409" i="44" a="1"/>
  <c r="V1409" i="44" s="1"/>
  <c r="V1367" i="44" a="1"/>
  <c r="V1367" i="44" s="1"/>
  <c r="V1408" i="44" a="1"/>
  <c r="V1408" i="44" s="1"/>
  <c r="V1381" i="44" a="1"/>
  <c r="V1381" i="44" s="1"/>
  <c r="V1411" i="44" a="1"/>
  <c r="V1411" i="44" s="1"/>
  <c r="V1380" i="44" a="1"/>
  <c r="V1380" i="44" s="1"/>
  <c r="V1395" i="44" a="1"/>
  <c r="V1395" i="44" s="1"/>
  <c r="V1403" i="44" a="1"/>
  <c r="V1403" i="44" s="1"/>
  <c r="V1376" i="44" a="1"/>
  <c r="V1376" i="44" s="1"/>
  <c r="V1410" i="44" a="1"/>
  <c r="V1410" i="44" s="1"/>
  <c r="V1378" i="44" a="1"/>
  <c r="V1378" i="44" s="1"/>
  <c r="V1396" i="44" a="1"/>
  <c r="V1396" i="44" s="1"/>
  <c r="V1400" i="44" a="1"/>
  <c r="V1400" i="44" s="1"/>
  <c r="V1379" i="44" a="1"/>
  <c r="V1379" i="44" s="1"/>
  <c r="V1401" i="44" a="1"/>
  <c r="V1401" i="44" s="1"/>
  <c r="V1387" i="44" a="1"/>
  <c r="V1387" i="44" s="1"/>
  <c r="V1402" i="44" a="1"/>
  <c r="V1402" i="44" s="1"/>
  <c r="V1365" i="44" a="1"/>
  <c r="V1365" i="44" s="1"/>
  <c r="V1374" i="44" a="1"/>
  <c r="V1374" i="44" s="1"/>
  <c r="V1294" i="44"/>
  <c r="V1302" i="44"/>
  <c r="V1275" i="44"/>
  <c r="H2" i="10" s="1" a="1"/>
  <c r="H2" i="10" s="1"/>
  <c r="V1356" i="44"/>
  <c r="V1343" i="44"/>
  <c r="V1361" i="44"/>
  <c r="V1327" i="44"/>
  <c r="V1315" i="44"/>
  <c r="V1297" i="44"/>
  <c r="V1311" i="44"/>
  <c r="V1346" i="44"/>
  <c r="V1336" i="44"/>
  <c r="V1331" i="44"/>
  <c r="V1353" i="44"/>
  <c r="V1272" i="44"/>
  <c r="E2" i="10" s="1" a="1"/>
  <c r="E2" i="10" s="1"/>
  <c r="V1286" i="44"/>
  <c r="J1314" i="44"/>
  <c r="V1320" i="44"/>
  <c r="V1279" i="44"/>
  <c r="L2" i="10" s="1" a="1"/>
  <c r="L2" i="10" s="1"/>
  <c r="J1279" i="44"/>
  <c r="V1304" i="44"/>
  <c r="J1346" i="44"/>
  <c r="V1350" i="44"/>
  <c r="V1300" i="44"/>
  <c r="V1295" i="44"/>
  <c r="V1310" i="44"/>
  <c r="V1360" i="44"/>
  <c r="J1269" i="44"/>
  <c r="V1313" i="44"/>
  <c r="V1362" i="44"/>
  <c r="V1287" i="44"/>
  <c r="V1359" i="44"/>
  <c r="V1291" i="44"/>
  <c r="X1359" i="44"/>
  <c r="V1351" i="44"/>
  <c r="V1298" i="44"/>
  <c r="V1307" i="44"/>
  <c r="J1351" i="44"/>
  <c r="J1398" i="44" a="1"/>
  <c r="J1398" i="44" s="1"/>
  <c r="J1383" i="44" a="1"/>
  <c r="J1383" i="44" s="1"/>
  <c r="J1380" i="44" a="1"/>
  <c r="J1380" i="44" s="1"/>
  <c r="J1377" i="44" a="1"/>
  <c r="J1377" i="44" s="1"/>
  <c r="J1410" i="44" a="1"/>
  <c r="J1410" i="44" s="1"/>
  <c r="J1391" i="44" a="1"/>
  <c r="J1391" i="44" s="1"/>
  <c r="J1384" i="44" a="1"/>
  <c r="J1384" i="44" s="1"/>
  <c r="J1403" i="44" a="1"/>
  <c r="J1403" i="44" s="1"/>
  <c r="J1365" i="44" a="1"/>
  <c r="J1365" i="44" s="1"/>
  <c r="J1399" i="44" a="1"/>
  <c r="J1399" i="44" s="1"/>
  <c r="J1392" i="44" a="1"/>
  <c r="J1392" i="44" s="1"/>
  <c r="J1408" i="44" a="1"/>
  <c r="J1408" i="44" s="1"/>
  <c r="J1401" i="44" a="1"/>
  <c r="J1401" i="44" s="1"/>
  <c r="J1371" i="44" a="1"/>
  <c r="J1371" i="44" s="1"/>
  <c r="J1374" i="44" a="1"/>
  <c r="J1374" i="44" s="1"/>
  <c r="J1405" i="44" a="1"/>
  <c r="J1405" i="44" s="1"/>
  <c r="J1369" i="44" a="1"/>
  <c r="J1369" i="44" s="1"/>
  <c r="J1404" i="44" a="1"/>
  <c r="J1404" i="44" s="1"/>
  <c r="J1381" i="44" a="1"/>
  <c r="J1381" i="44" s="1"/>
  <c r="J1395" i="44" a="1"/>
  <c r="J1395" i="44" s="1"/>
  <c r="J1400" i="44" a="1"/>
  <c r="J1400" i="44" s="1"/>
  <c r="J1394" i="44" a="1"/>
  <c r="J1394" i="44" s="1"/>
  <c r="J1409" i="44" a="1"/>
  <c r="J1409" i="44" s="1"/>
  <c r="J1370" i="44" a="1"/>
  <c r="J1370" i="44" s="1"/>
  <c r="J1388" i="44" a="1"/>
  <c r="J1388" i="44" s="1"/>
  <c r="J1396" i="44" a="1"/>
  <c r="J1396" i="44" s="1"/>
  <c r="J1375" i="44" a="1"/>
  <c r="J1375" i="44" s="1"/>
  <c r="J1372" i="44" a="1"/>
  <c r="J1372" i="44" s="1"/>
  <c r="J1373" i="44" a="1"/>
  <c r="J1373" i="44" s="1"/>
  <c r="J1411" i="44" a="1"/>
  <c r="J1411" i="44" s="1"/>
  <c r="J1379" i="44" a="1"/>
  <c r="J1379" i="44" s="1"/>
  <c r="J1387" i="44" a="1"/>
  <c r="J1387" i="44" s="1"/>
  <c r="J1382" i="44" a="1"/>
  <c r="J1382" i="44" s="1"/>
  <c r="J1406" i="44" a="1"/>
  <c r="J1406" i="44" s="1"/>
  <c r="J1407" i="44" a="1"/>
  <c r="J1407" i="44" s="1"/>
  <c r="J1378" i="44" a="1"/>
  <c r="J1378" i="44" s="1"/>
  <c r="J1368" i="44" a="1"/>
  <c r="J1368" i="44" s="1"/>
  <c r="J1367" i="44" a="1"/>
  <c r="J1367" i="44" s="1"/>
  <c r="J1397" i="44" a="1"/>
  <c r="J1397" i="44" s="1"/>
  <c r="J1402" i="44" a="1"/>
  <c r="J1402" i="44" s="1"/>
  <c r="J1358" i="44"/>
  <c r="J1385" i="44" a="1"/>
  <c r="J1385" i="44" s="1"/>
  <c r="J1412" i="44" a="1"/>
  <c r="J1412" i="44" s="1"/>
  <c r="J1389" i="44" a="1"/>
  <c r="J1389" i="44" s="1"/>
  <c r="J1386" i="44" a="1"/>
  <c r="J1386" i="44" s="1"/>
  <c r="J1376" i="44" a="1"/>
  <c r="J1376" i="44" s="1"/>
  <c r="J1366" i="44" a="1"/>
  <c r="J1366" i="44" s="1"/>
  <c r="J1393" i="44" a="1"/>
  <c r="J1393" i="44" s="1"/>
  <c r="J1390" i="44" a="1"/>
  <c r="J1390" i="44" s="1"/>
  <c r="J1304" i="44"/>
  <c r="J1316" i="44"/>
  <c r="J1334" i="44"/>
  <c r="J1324" i="44"/>
  <c r="J1348" i="44"/>
  <c r="J1354" i="44"/>
  <c r="J1340" i="44"/>
  <c r="J1320" i="44"/>
  <c r="J1272" i="44"/>
  <c r="J1284" i="44"/>
  <c r="J1308" i="44"/>
  <c r="J1309" i="44"/>
  <c r="J1357" i="44"/>
  <c r="J1333" i="44"/>
  <c r="J1286" i="44"/>
  <c r="J1321" i="44"/>
  <c r="J1343" i="44"/>
  <c r="J1300" i="44"/>
  <c r="J1345" i="44"/>
  <c r="J1278" i="44"/>
  <c r="J1307" i="44"/>
  <c r="J1363" i="44"/>
  <c r="J1289" i="44"/>
  <c r="J1364" i="44"/>
  <c r="J1329" i="44"/>
  <c r="J1344" i="44"/>
  <c r="J1277" i="44"/>
  <c r="J1303" i="44"/>
  <c r="J1352" i="44"/>
  <c r="J1285" i="44"/>
  <c r="J1359" i="44"/>
  <c r="J1326" i="44"/>
  <c r="J1342" i="44"/>
  <c r="J1337" i="44"/>
  <c r="J1306" i="44"/>
  <c r="J1313" i="44"/>
  <c r="J1341" i="44"/>
  <c r="J1325" i="44"/>
  <c r="J1331" i="44"/>
  <c r="J1287" i="44"/>
  <c r="J1319" i="44"/>
  <c r="J1282" i="44"/>
  <c r="J1297" i="44"/>
  <c r="J1270" i="44"/>
  <c r="J1283" i="44"/>
  <c r="J1347" i="44"/>
  <c r="J1355" i="44"/>
  <c r="J1271" i="44"/>
  <c r="J1322" i="44"/>
  <c r="J1298" i="44"/>
  <c r="J1317" i="44"/>
  <c r="J1276" i="44"/>
  <c r="J1288" i="44"/>
  <c r="J1299" i="44"/>
  <c r="J1281" i="44"/>
  <c r="J1327" i="44"/>
  <c r="J1280" i="44"/>
  <c r="J1302" i="44"/>
  <c r="J1339" i="44"/>
  <c r="J1349" i="44"/>
  <c r="J1356" i="44"/>
  <c r="J1312" i="44"/>
  <c r="J1295" i="44"/>
  <c r="J1310" i="44"/>
  <c r="J1290" i="44"/>
  <c r="J1305" i="44"/>
  <c r="J1332" i="44"/>
  <c r="J1315" i="44"/>
  <c r="V1270" i="44"/>
  <c r="C2" i="10" s="1" a="1"/>
  <c r="C2" i="10" s="1"/>
  <c r="V1319" i="44"/>
  <c r="V1333" i="44"/>
  <c r="V1280" i="44"/>
  <c r="M2" i="10" s="1" a="1"/>
  <c r="M2" i="10" s="1"/>
  <c r="X1288" i="44"/>
  <c r="X1322" i="44"/>
  <c r="X1311" i="44"/>
  <c r="X1329" i="44"/>
  <c r="X1295" i="44"/>
  <c r="X1319" i="44"/>
  <c r="X1309" i="44"/>
  <c r="X1310" i="44"/>
  <c r="X1337" i="44"/>
  <c r="X1314" i="44"/>
  <c r="X1297" i="44"/>
  <c r="X1353" i="44"/>
  <c r="X1349" i="44"/>
  <c r="X1272" i="44"/>
  <c r="X1327" i="44"/>
  <c r="X1280" i="44"/>
  <c r="X1336" i="44"/>
  <c r="X1294" i="44"/>
  <c r="X1305" i="44"/>
  <c r="X1289" i="44"/>
  <c r="X1286" i="44"/>
  <c r="X1303" i="44"/>
  <c r="X1338" i="44"/>
  <c r="X1325" i="44"/>
  <c r="X1339" i="44"/>
  <c r="X1328" i="44"/>
  <c r="X1300" i="44"/>
  <c r="X1275" i="44"/>
  <c r="X1301" i="44"/>
  <c r="X1293" i="44"/>
  <c r="X1304" i="44"/>
  <c r="X1362" i="44"/>
  <c r="X1279" i="44"/>
  <c r="X1323" i="44"/>
  <c r="X1346" i="44"/>
  <c r="X1321" i="44"/>
  <c r="X1331" i="44"/>
  <c r="X1318" i="44"/>
  <c r="X1352" i="44"/>
  <c r="X1342" i="44"/>
  <c r="X1290" i="44"/>
  <c r="X1358" i="44"/>
  <c r="X1361" i="44"/>
  <c r="X1270" i="44"/>
  <c r="X1316" i="44"/>
  <c r="X1278" i="44"/>
  <c r="X1356" i="44"/>
  <c r="X1348" i="44"/>
  <c r="X1343" i="44"/>
  <c r="X1320" i="44"/>
  <c r="X1291" i="44"/>
  <c r="X1271" i="44"/>
  <c r="X1355" i="44"/>
  <c r="X1335" i="44"/>
  <c r="X1282" i="44"/>
  <c r="X1326" i="44"/>
  <c r="X1274" i="44"/>
  <c r="X1284" i="44"/>
  <c r="X1354" i="44"/>
  <c r="X1315" i="44"/>
  <c r="X1347" i="44"/>
  <c r="X1334" i="44"/>
  <c r="X1299" i="44"/>
  <c r="X1276" i="44"/>
  <c r="X1357" i="44"/>
  <c r="X1283" i="44"/>
  <c r="X1330" i="44"/>
  <c r="X1308" i="44"/>
  <c r="X1317" i="44"/>
  <c r="X1302" i="44"/>
  <c r="X1350" i="44"/>
  <c r="X1332" i="44"/>
  <c r="X1344" i="44"/>
  <c r="X1333" i="44"/>
  <c r="X1281" i="44"/>
  <c r="X1341" i="44"/>
  <c r="X1269" i="44"/>
  <c r="X1296" i="44"/>
  <c r="X1351" i="44"/>
  <c r="X1345" i="44"/>
  <c r="X1360" i="44"/>
  <c r="X1307" i="44"/>
  <c r="X1287" i="44"/>
  <c r="X1273" i="44"/>
  <c r="V1282" i="44"/>
  <c r="O2" i="10" s="1" a="1"/>
  <c r="O2" i="10" s="1"/>
  <c r="X1298" i="44"/>
  <c r="V1296" i="44"/>
  <c r="V1269" i="44"/>
  <c r="B2" i="10" s="1" a="1"/>
  <c r="B2" i="10" s="1"/>
  <c r="V1317" i="44"/>
  <c r="V1309" i="44"/>
  <c r="V1354" i="44"/>
  <c r="V1352" i="44"/>
  <c r="L1305" i="44"/>
  <c r="V1276" i="44"/>
  <c r="I2" i="10" s="1" a="1"/>
  <c r="I2" i="10" s="1"/>
  <c r="V1355" i="44"/>
  <c r="V1328" i="44"/>
  <c r="L1288" i="44"/>
  <c r="J1294" i="44"/>
  <c r="X1306" i="44"/>
  <c r="V1289" i="44"/>
  <c r="V1273" i="44"/>
  <c r="F2" i="10" s="1" a="1"/>
  <c r="F2" i="10" s="1"/>
  <c r="V1339" i="44"/>
  <c r="V1316" i="44"/>
  <c r="J1350" i="44"/>
  <c r="J1292" i="44"/>
  <c r="X1312" i="44"/>
  <c r="V1293" i="44"/>
  <c r="V1337" i="44"/>
  <c r="V1274" i="44"/>
  <c r="G2" i="10" s="1" a="1"/>
  <c r="G2" i="10" s="1"/>
  <c r="V1305" i="44"/>
  <c r="V1292" i="44"/>
  <c r="V1318" i="44"/>
  <c r="V1271" i="44"/>
  <c r="D2" i="10" s="1" a="1"/>
  <c r="D2" i="10" s="1"/>
  <c r="V1358" i="44"/>
  <c r="V1281" i="44"/>
  <c r="N2" i="10" s="1" a="1"/>
  <c r="N2" i="10" s="1"/>
  <c r="X1363" i="44"/>
  <c r="V1303" i="44"/>
  <c r="V1348" i="44"/>
  <c r="V1363" i="44"/>
  <c r="V1330" i="44"/>
  <c r="X1340" i="44"/>
  <c r="V1325" i="44"/>
  <c r="V1322" i="44"/>
  <c r="V1340" i="44"/>
  <c r="V1321" i="44"/>
  <c r="V1364" i="44"/>
  <c r="V1283" i="44"/>
  <c r="P2" i="10" s="1" a="1"/>
  <c r="P2" i="10" s="1"/>
  <c r="V1306" i="44"/>
  <c r="X1277" i="44"/>
  <c r="O1306" i="44"/>
  <c r="O1344" i="44"/>
  <c r="O1322" i="44"/>
  <c r="O1300" i="44"/>
  <c r="O1321" i="44"/>
  <c r="O1351" i="44"/>
  <c r="O1307" i="44"/>
  <c r="O1285" i="44"/>
  <c r="O1350" i="44"/>
  <c r="O1328" i="44"/>
  <c r="O1284" i="44"/>
  <c r="O1362" i="44"/>
  <c r="O1340" i="44"/>
  <c r="O1318" i="44"/>
  <c r="O1296" i="44"/>
  <c r="O1274" i="44"/>
  <c r="O1364" i="44"/>
  <c r="O1298" i="44"/>
  <c r="O1299" i="44"/>
  <c r="O1278" i="44"/>
  <c r="O1305" i="44"/>
  <c r="O1283" i="44"/>
  <c r="O1343" i="44"/>
  <c r="O1349" i="44"/>
  <c r="O1327" i="44"/>
  <c r="O1342" i="44"/>
  <c r="O1320" i="44"/>
  <c r="O1276" i="44"/>
  <c r="O1277" i="44"/>
  <c r="O1329" i="44"/>
  <c r="O1363" i="44"/>
  <c r="O1361" i="44"/>
  <c r="O1282" i="44"/>
  <c r="O1303" i="44"/>
  <c r="O1346" i="44"/>
  <c r="O1287" i="44"/>
  <c r="O1293" i="44"/>
  <c r="O1314" i="44"/>
  <c r="O1357" i="44"/>
  <c r="O1309" i="44"/>
  <c r="O1304" i="44"/>
  <c r="O1325" i="44"/>
  <c r="O1289" i="44"/>
  <c r="O1331" i="44"/>
  <c r="O1279" i="44"/>
  <c r="O1315" i="44"/>
  <c r="O1336" i="44"/>
  <c r="O1280" i="44"/>
  <c r="O1302" i="44"/>
  <c r="O1324" i="44"/>
  <c r="O1353" i="44"/>
  <c r="O1290" i="44"/>
  <c r="O1326" i="44"/>
  <c r="O1347" i="44"/>
  <c r="O1356" i="44"/>
  <c r="O1295" i="44"/>
  <c r="O1281" i="44"/>
  <c r="O1335" i="44"/>
  <c r="O1312" i="44"/>
  <c r="O1301" i="44"/>
  <c r="O1337" i="44"/>
  <c r="O1358" i="44"/>
  <c r="O1297" i="44"/>
  <c r="O1273" i="44"/>
  <c r="O1339" i="44"/>
  <c r="O1334" i="44"/>
  <c r="O1272" i="44"/>
  <c r="O1323" i="44"/>
  <c r="O1348" i="44"/>
  <c r="O1316" i="44"/>
  <c r="O1294" i="44"/>
  <c r="O1345" i="44"/>
  <c r="O1359" i="44"/>
  <c r="O1360" i="44"/>
  <c r="O1319" i="44"/>
  <c r="O1313" i="44"/>
  <c r="O1341" i="44"/>
  <c r="O1271" i="44"/>
  <c r="O1338" i="44"/>
  <c r="O1291" i="44"/>
  <c r="O1330" i="44"/>
  <c r="O1352" i="44"/>
  <c r="O1311" i="44"/>
  <c r="O1288" i="44"/>
  <c r="O1354" i="44"/>
  <c r="O1332" i="44"/>
  <c r="O1310" i="44"/>
  <c r="O1270" i="44"/>
  <c r="O1317" i="44"/>
  <c r="O1292" i="44"/>
  <c r="O1333" i="44"/>
  <c r="O1275" i="44"/>
  <c r="O1355" i="44"/>
  <c r="O1286" i="44"/>
  <c r="O1308" i="44"/>
  <c r="N1345" i="44"/>
  <c r="N1327" i="44"/>
  <c r="N1305" i="44"/>
  <c r="N1324" i="44"/>
  <c r="N1280" i="44"/>
  <c r="N1348" i="44"/>
  <c r="N1326" i="44"/>
  <c r="N1304" i="44"/>
  <c r="N1351" i="44"/>
  <c r="N1329" i="44"/>
  <c r="N1307" i="44"/>
  <c r="N1323" i="44"/>
  <c r="N1279" i="44"/>
  <c r="N1281" i="44"/>
  <c r="N1349" i="44"/>
  <c r="N1283" i="44"/>
  <c r="N1285" i="44"/>
  <c r="N1301" i="44"/>
  <c r="N1347" i="44"/>
  <c r="N1303" i="44"/>
  <c r="N1362" i="44"/>
  <c r="N1340" i="44"/>
  <c r="N1318" i="44"/>
  <c r="N1296" i="44"/>
  <c r="N1274" i="44"/>
  <c r="N1346" i="44"/>
  <c r="N1302" i="44"/>
  <c r="N1350" i="44"/>
  <c r="N1328" i="44"/>
  <c r="N1306" i="44"/>
  <c r="N1284" i="44"/>
  <c r="N1343" i="44"/>
  <c r="N1321" i="44"/>
  <c r="N1299" i="44"/>
  <c r="N1277" i="44"/>
  <c r="N1322" i="44"/>
  <c r="N1300" i="44"/>
  <c r="N1278" i="44"/>
  <c r="N1282" i="44"/>
  <c r="N1272" i="44"/>
  <c r="N1315" i="44"/>
  <c r="N1320" i="44"/>
  <c r="N1287" i="44"/>
  <c r="N1338" i="44"/>
  <c r="N1289" i="44"/>
  <c r="N1342" i="44"/>
  <c r="N1363" i="44"/>
  <c r="N1276" i="44"/>
  <c r="N1337" i="44"/>
  <c r="N1355" i="44"/>
  <c r="N1364" i="44"/>
  <c r="N1341" i="44"/>
  <c r="N1295" i="44"/>
  <c r="N1286" i="44"/>
  <c r="N1308" i="44"/>
  <c r="N1273" i="44"/>
  <c r="N1339" i="44"/>
  <c r="N1361" i="44"/>
  <c r="N1360" i="44"/>
  <c r="N1271" i="44"/>
  <c r="N1359" i="44"/>
  <c r="N1288" i="44"/>
  <c r="N1275" i="44"/>
  <c r="N1270" i="44"/>
  <c r="N1310" i="44"/>
  <c r="N1297" i="44"/>
  <c r="N1314" i="44"/>
  <c r="N1336" i="44"/>
  <c r="N1358" i="44"/>
  <c r="N1344" i="44"/>
  <c r="N1292" i="44"/>
  <c r="N1332" i="44"/>
  <c r="N1319" i="44"/>
  <c r="N1354" i="44"/>
  <c r="N1309" i="44"/>
  <c r="N1356" i="44"/>
  <c r="N1352" i="44"/>
  <c r="N1298" i="44"/>
  <c r="N1291" i="44"/>
  <c r="N1331" i="44"/>
  <c r="N1317" i="44"/>
  <c r="N1313" i="44"/>
  <c r="N1353" i="44"/>
  <c r="N1316" i="44"/>
  <c r="N1335" i="44"/>
  <c r="N1294" i="44"/>
  <c r="N1325" i="44"/>
  <c r="N1357" i="44"/>
  <c r="N1293" i="44"/>
  <c r="N1290" i="44"/>
  <c r="N1311" i="44"/>
  <c r="N1312" i="44"/>
  <c r="N1333" i="44"/>
  <c r="N1334" i="44"/>
  <c r="N1330" i="44"/>
  <c r="B2" i="8" a="1"/>
  <c r="B2" i="8" s="1"/>
  <c r="I1375" i="44" a="1"/>
  <c r="I1375" i="44" s="1"/>
  <c r="I1365" i="44" a="1"/>
  <c r="I1365" i="44" s="1"/>
  <c r="I1411" i="44" a="1"/>
  <c r="I1411" i="44" s="1"/>
  <c r="I1386" i="44" a="1"/>
  <c r="I1386" i="44" s="1"/>
  <c r="I1381" i="44" a="1"/>
  <c r="I1381" i="44" s="1"/>
  <c r="I1367" i="44" a="1"/>
  <c r="I1367" i="44" s="1"/>
  <c r="I1372" i="44" a="1"/>
  <c r="I1372" i="44" s="1"/>
  <c r="I1393" i="44" a="1"/>
  <c r="I1393" i="44" s="1"/>
  <c r="I1391" i="44" a="1"/>
  <c r="I1391" i="44" s="1"/>
  <c r="I1371" i="44" a="1"/>
  <c r="I1371" i="44" s="1"/>
  <c r="I1394" i="44" a="1"/>
  <c r="I1394" i="44" s="1"/>
  <c r="I1373" i="44" a="1"/>
  <c r="I1373" i="44" s="1"/>
  <c r="I1412" i="44" a="1"/>
  <c r="I1412" i="44" s="1"/>
  <c r="I1387" i="44" a="1"/>
  <c r="I1387" i="44" s="1"/>
  <c r="I1408" i="44" a="1"/>
  <c r="I1408" i="44" s="1"/>
  <c r="I1399" i="44" a="1"/>
  <c r="I1399" i="44" s="1"/>
  <c r="I1377" i="44" a="1"/>
  <c r="I1377" i="44" s="1"/>
  <c r="I1398" i="44" a="1"/>
  <c r="I1398" i="44" s="1"/>
  <c r="I1382" i="44" a="1"/>
  <c r="I1382" i="44" s="1"/>
  <c r="I1389" i="44" a="1"/>
  <c r="I1389" i="44" s="1"/>
  <c r="I1384" i="44" a="1"/>
  <c r="I1384" i="44" s="1"/>
  <c r="I1374" i="44" a="1"/>
  <c r="I1374" i="44" s="1"/>
  <c r="I1366" i="44" a="1"/>
  <c r="I1366" i="44" s="1"/>
  <c r="I1401" i="44" a="1"/>
  <c r="I1401" i="44" s="1"/>
  <c r="I1368" i="44" a="1"/>
  <c r="I1368" i="44" s="1"/>
  <c r="I1395" i="44" a="1"/>
  <c r="I1395" i="44" s="1"/>
  <c r="I1388" i="44" a="1"/>
  <c r="I1388" i="44" s="1"/>
  <c r="I1403" i="44" a="1"/>
  <c r="I1403" i="44" s="1"/>
  <c r="I1370" i="44" a="1"/>
  <c r="I1370" i="44" s="1"/>
  <c r="I1407" i="44" a="1"/>
  <c r="I1407" i="44" s="1"/>
  <c r="I1383" i="44" a="1"/>
  <c r="I1383" i="44" s="1"/>
  <c r="I1390" i="44" a="1"/>
  <c r="I1390" i="44" s="1"/>
  <c r="I1400" i="44" a="1"/>
  <c r="I1400" i="44" s="1"/>
  <c r="I1410" i="44" a="1"/>
  <c r="I1410" i="44" s="1"/>
  <c r="I1392" i="44" a="1"/>
  <c r="I1392" i="44" s="1"/>
  <c r="I1380" i="44" a="1"/>
  <c r="I1380" i="44" s="1"/>
  <c r="I1404" i="44" a="1"/>
  <c r="I1404" i="44" s="1"/>
  <c r="I1379" i="44" a="1"/>
  <c r="I1379" i="44" s="1"/>
  <c r="I1369" i="44" a="1"/>
  <c r="I1369" i="44" s="1"/>
  <c r="I1405" i="44" a="1"/>
  <c r="I1405" i="44" s="1"/>
  <c r="I1397" i="44" a="1"/>
  <c r="I1397" i="44" s="1"/>
  <c r="I1396" i="44" a="1"/>
  <c r="I1396" i="44" s="1"/>
  <c r="I1378" i="44" a="1"/>
  <c r="I1378" i="44" s="1"/>
  <c r="I1402" i="44" a="1"/>
  <c r="I1402" i="44" s="1"/>
  <c r="I1406" i="44" a="1"/>
  <c r="I1406" i="44" s="1"/>
  <c r="I1409" i="44" a="1"/>
  <c r="I1409" i="44" s="1"/>
  <c r="I1385" i="44" a="1"/>
  <c r="I1385" i="44" s="1"/>
  <c r="I1376" i="44" a="1"/>
  <c r="I1376" i="44" s="1"/>
  <c r="W1392" i="44" a="1"/>
  <c r="W1392" i="44" s="1"/>
  <c r="W1373" i="44" a="1"/>
  <c r="W1373" i="44" s="1"/>
  <c r="W1368" i="44" a="1"/>
  <c r="W1368" i="44" s="1"/>
  <c r="W1397" i="44" a="1"/>
  <c r="W1397" i="44" s="1"/>
  <c r="W1388" i="44" a="1"/>
  <c r="W1388" i="44" s="1"/>
  <c r="W1384" i="44" a="1"/>
  <c r="W1384" i="44" s="1"/>
  <c r="W1382" i="44" a="1"/>
  <c r="W1382" i="44" s="1"/>
  <c r="W1385" i="44" a="1"/>
  <c r="W1385" i="44" s="1"/>
  <c r="W1396" i="44" a="1"/>
  <c r="W1396" i="44" s="1"/>
  <c r="W1383" i="44" a="1"/>
  <c r="W1383" i="44" s="1"/>
  <c r="W1403" i="44" a="1"/>
  <c r="W1403" i="44" s="1"/>
  <c r="W1410" i="44" a="1"/>
  <c r="W1410" i="44" s="1"/>
  <c r="W1402" i="44" a="1"/>
  <c r="W1402" i="44" s="1"/>
  <c r="W1387" i="44" a="1"/>
  <c r="W1387" i="44" s="1"/>
  <c r="W1391" i="44" a="1"/>
  <c r="W1391" i="44" s="1"/>
  <c r="W1405" i="44" a="1"/>
  <c r="W1405" i="44" s="1"/>
  <c r="W1411" i="44" a="1"/>
  <c r="W1411" i="44" s="1"/>
  <c r="W1381" i="44" a="1"/>
  <c r="W1381" i="44" s="1"/>
  <c r="W1401" i="44" a="1"/>
  <c r="W1401" i="44" s="1"/>
  <c r="W1393" i="44" a="1"/>
  <c r="W1393" i="44" s="1"/>
  <c r="W1379" i="44" a="1"/>
  <c r="W1379" i="44" s="1"/>
  <c r="W1406" i="44" a="1"/>
  <c r="W1406" i="44" s="1"/>
  <c r="W1366" i="44" a="1"/>
  <c r="W1366" i="44" s="1"/>
  <c r="W1371" i="44" a="1"/>
  <c r="W1371" i="44" s="1"/>
  <c r="W1407" i="44" a="1"/>
  <c r="W1407" i="44" s="1"/>
  <c r="W1390" i="44" a="1"/>
  <c r="W1390" i="44" s="1"/>
  <c r="W1389" i="44" a="1"/>
  <c r="W1389" i="44" s="1"/>
  <c r="W1369" i="44" a="1"/>
  <c r="W1369" i="44" s="1"/>
  <c r="W1380" i="44" a="1"/>
  <c r="W1380" i="44" s="1"/>
  <c r="W1408" i="44" a="1"/>
  <c r="W1408" i="44" s="1"/>
  <c r="W1386" i="44" a="1"/>
  <c r="W1386" i="44" s="1"/>
  <c r="W1374" i="44" a="1"/>
  <c r="W1374" i="44" s="1"/>
  <c r="W1398" i="44" a="1"/>
  <c r="W1398" i="44" s="1"/>
  <c r="W1367" i="44" a="1"/>
  <c r="W1367" i="44" s="1"/>
  <c r="W1365" i="44" a="1"/>
  <c r="W1365" i="44" s="1"/>
  <c r="W1404" i="44" a="1"/>
  <c r="W1404" i="44" s="1"/>
  <c r="W1409" i="44" a="1"/>
  <c r="W1409" i="44" s="1"/>
  <c r="W1395" i="44" a="1"/>
  <c r="W1395" i="44" s="1"/>
  <c r="W1378" i="44" a="1"/>
  <c r="W1378" i="44" s="1"/>
  <c r="W1400" i="44" a="1"/>
  <c r="W1400" i="44" s="1"/>
  <c r="W1375" i="44" a="1"/>
  <c r="W1375" i="44" s="1"/>
  <c r="W1376" i="44" a="1"/>
  <c r="W1376" i="44" s="1"/>
  <c r="W1412" i="44" a="1"/>
  <c r="W1412" i="44" s="1"/>
  <c r="W1372" i="44" a="1"/>
  <c r="W1372" i="44" s="1"/>
  <c r="W1377" i="44" a="1"/>
  <c r="W1377" i="44" s="1"/>
  <c r="W1370" i="44" a="1"/>
  <c r="W1370" i="44" s="1"/>
  <c r="W1399" i="44" a="1"/>
  <c r="W1399" i="44" s="1"/>
  <c r="W1394" i="44" a="1"/>
  <c r="W1394" i="44" s="1"/>
  <c r="M1407" i="44" a="1"/>
  <c r="M1407" i="44" s="1"/>
  <c r="M1382" i="44" a="1"/>
  <c r="M1382" i="44" s="1"/>
  <c r="M1381" i="44" a="1"/>
  <c r="M1381" i="44" s="1"/>
  <c r="M1380" i="44" a="1"/>
  <c r="M1380" i="44" s="1"/>
  <c r="M1388" i="44" a="1"/>
  <c r="M1388" i="44" s="1"/>
  <c r="M1390" i="44" a="1"/>
  <c r="M1390" i="44" s="1"/>
  <c r="M1384" i="44" a="1"/>
  <c r="M1384" i="44" s="1"/>
  <c r="M1393" i="44" a="1"/>
  <c r="M1393" i="44" s="1"/>
  <c r="M1377" i="44" a="1"/>
  <c r="M1377" i="44" s="1"/>
  <c r="M1396" i="44" a="1"/>
  <c r="M1396" i="44" s="1"/>
  <c r="M1386" i="44" a="1"/>
  <c r="M1386" i="44" s="1"/>
  <c r="M1376" i="44" a="1"/>
  <c r="M1376" i="44" s="1"/>
  <c r="M1404" i="44" a="1"/>
  <c r="M1404" i="44" s="1"/>
  <c r="M1405" i="44" a="1"/>
  <c r="M1405" i="44" s="1"/>
  <c r="M1411" i="44" a="1"/>
  <c r="M1411" i="44" s="1"/>
  <c r="M1395" i="44" a="1"/>
  <c r="M1395" i="44" s="1"/>
  <c r="M1379" i="44" a="1"/>
  <c r="M1379" i="44" s="1"/>
  <c r="M1368" i="44" a="1"/>
  <c r="M1368" i="44" s="1"/>
  <c r="M1369" i="44" a="1"/>
  <c r="M1369" i="44" s="1"/>
  <c r="M1385" i="44" a="1"/>
  <c r="M1385" i="44" s="1"/>
  <c r="M1370" i="44" a="1"/>
  <c r="M1370" i="44" s="1"/>
  <c r="M1367" i="44" a="1"/>
  <c r="M1367" i="44" s="1"/>
  <c r="M1398" i="44" a="1"/>
  <c r="M1398" i="44" s="1"/>
  <c r="M1402" i="44" a="1"/>
  <c r="M1402" i="44" s="1"/>
  <c r="M1372" i="44" a="1"/>
  <c r="M1372" i="44" s="1"/>
  <c r="M1371" i="44" a="1"/>
  <c r="M1371" i="44" s="1"/>
  <c r="M1401" i="44" a="1"/>
  <c r="M1401" i="44" s="1"/>
  <c r="M1383" i="44" a="1"/>
  <c r="M1383" i="44" s="1"/>
  <c r="M1409" i="44" a="1"/>
  <c r="M1409" i="44" s="1"/>
  <c r="M1378" i="44" a="1"/>
  <c r="M1378" i="44" s="1"/>
  <c r="M1373" i="44" a="1"/>
  <c r="M1373" i="44" s="1"/>
  <c r="M1410" i="44" a="1"/>
  <c r="M1410" i="44" s="1"/>
  <c r="M1389" i="44" a="1"/>
  <c r="M1389" i="44" s="1"/>
  <c r="M1412" i="44" a="1"/>
  <c r="M1412" i="44" s="1"/>
  <c r="M1375" i="44" a="1"/>
  <c r="M1375" i="44" s="1"/>
  <c r="M1366" i="44" a="1"/>
  <c r="M1366" i="44" s="1"/>
  <c r="M1406" i="44" a="1"/>
  <c r="M1406" i="44" s="1"/>
  <c r="M1394" i="44" a="1"/>
  <c r="M1394" i="44" s="1"/>
  <c r="M1399" i="44" a="1"/>
  <c r="M1399" i="44" s="1"/>
  <c r="M1391" i="44" a="1"/>
  <c r="M1391" i="44" s="1"/>
  <c r="M1397" i="44" a="1"/>
  <c r="M1397" i="44" s="1"/>
  <c r="M1387" i="44" a="1"/>
  <c r="M1387" i="44" s="1"/>
  <c r="M1408" i="44" a="1"/>
  <c r="M1408" i="44" s="1"/>
  <c r="M1365" i="44" a="1"/>
  <c r="M1365" i="44" s="1"/>
  <c r="M1403" i="44" a="1"/>
  <c r="M1403" i="44" s="1"/>
  <c r="M1374" i="44" a="1"/>
  <c r="M1374" i="44" s="1"/>
  <c r="M1400" i="44" a="1"/>
  <c r="M1400" i="44" s="1"/>
  <c r="M1392" i="44" a="1"/>
  <c r="M1392" i="44" s="1"/>
  <c r="H1386" i="44" a="1"/>
  <c r="H1386" i="44" s="1"/>
  <c r="H1387" i="44" a="1"/>
  <c r="H1387" i="44" s="1"/>
  <c r="H1375" i="44" a="1"/>
  <c r="H1375" i="44" s="1"/>
  <c r="H1403" i="44" a="1"/>
  <c r="H1403" i="44" s="1"/>
  <c r="H1389" i="44" a="1"/>
  <c r="H1389" i="44" s="1"/>
  <c r="H1408" i="44" a="1"/>
  <c r="H1408" i="44" s="1"/>
  <c r="H1398" i="44" a="1"/>
  <c r="H1398" i="44" s="1"/>
  <c r="H1407" i="44" a="1"/>
  <c r="H1407" i="44" s="1"/>
  <c r="H1365" i="44" a="1"/>
  <c r="H1365" i="44" s="1"/>
  <c r="H1383" i="44" a="1"/>
  <c r="H1383" i="44" s="1"/>
  <c r="H1367" i="44" a="1"/>
  <c r="H1367" i="44" s="1"/>
  <c r="H1392" i="44" a="1"/>
  <c r="H1392" i="44" s="1"/>
  <c r="H1401" i="44" a="1"/>
  <c r="H1401" i="44" s="1"/>
  <c r="H1393" i="44" a="1"/>
  <c r="H1393" i="44" s="1"/>
  <c r="H1369" i="44" a="1"/>
  <c r="H1369" i="44" s="1"/>
  <c r="H1370" i="44" a="1"/>
  <c r="H1370" i="44" s="1"/>
  <c r="H1411" i="44" a="1"/>
  <c r="H1411" i="44" s="1"/>
  <c r="H1372" i="44" a="1"/>
  <c r="H1372" i="44" s="1"/>
  <c r="H1385" i="44" a="1"/>
  <c r="H1385" i="44" s="1"/>
  <c r="H1410" i="44" a="1"/>
  <c r="H1410" i="44" s="1"/>
  <c r="H1381" i="44" a="1"/>
  <c r="H1381" i="44" s="1"/>
  <c r="H1395" i="44" a="1"/>
  <c r="H1395" i="44" s="1"/>
  <c r="H1400" i="44" a="1"/>
  <c r="H1400" i="44" s="1"/>
  <c r="H1380" i="44" a="1"/>
  <c r="H1380" i="44" s="1"/>
  <c r="H1368" i="44" a="1"/>
  <c r="H1368" i="44" s="1"/>
  <c r="H1394" i="44" a="1"/>
  <c r="H1394" i="44" s="1"/>
  <c r="H1378" i="44" a="1"/>
  <c r="H1378" i="44" s="1"/>
  <c r="H1406" i="44" a="1"/>
  <c r="H1406" i="44" s="1"/>
  <c r="H1404" i="44" a="1"/>
  <c r="H1404" i="44" s="1"/>
  <c r="H1388" i="44" a="1"/>
  <c r="H1388" i="44" s="1"/>
  <c r="H1405" i="44" a="1"/>
  <c r="H1405" i="44" s="1"/>
  <c r="H1391" i="44" a="1"/>
  <c r="H1391" i="44" s="1"/>
  <c r="H1382" i="44" a="1"/>
  <c r="H1382" i="44" s="1"/>
  <c r="H1412" i="44" a="1"/>
  <c r="H1412" i="44" s="1"/>
  <c r="H1366" i="44" a="1"/>
  <c r="H1366" i="44" s="1"/>
  <c r="H1409" i="44" a="1"/>
  <c r="H1409" i="44" s="1"/>
  <c r="H1399" i="44" a="1"/>
  <c r="H1399" i="44" s="1"/>
  <c r="H1374" i="44" a="1"/>
  <c r="H1374" i="44" s="1"/>
  <c r="H1377" i="44" a="1"/>
  <c r="H1377" i="44" s="1"/>
  <c r="H1390" i="44" a="1"/>
  <c r="H1390" i="44" s="1"/>
  <c r="H1396" i="44" a="1"/>
  <c r="H1396" i="44" s="1"/>
  <c r="H1384" i="44" a="1"/>
  <c r="H1384" i="44" s="1"/>
  <c r="H1379" i="44" a="1"/>
  <c r="H1379" i="44" s="1"/>
  <c r="H1373" i="44" a="1"/>
  <c r="H1373" i="44" s="1"/>
  <c r="H1371" i="44" a="1"/>
  <c r="H1371" i="44" s="1"/>
  <c r="H1402" i="44" a="1"/>
  <c r="H1402" i="44" s="1"/>
  <c r="H1397" i="44" a="1"/>
  <c r="H1397" i="44" s="1"/>
  <c r="H1376" i="44" a="1"/>
  <c r="H1376" i="44" s="1"/>
  <c r="H4" i="24" a="1"/>
  <c r="H4" i="24" s="1"/>
  <c r="X3" i="24" a="1"/>
  <c r="X3" i="24" s="1"/>
  <c r="V3" i="24" a="1"/>
  <c r="V3" i="24" s="1"/>
  <c r="U2" i="24" a="1"/>
  <c r="U2" i="24" s="1"/>
  <c r="L4" i="24" a="1"/>
  <c r="L4" i="24" s="1"/>
  <c r="U3" i="24" a="1"/>
  <c r="U3" i="24" s="1"/>
  <c r="N2" i="24" a="1"/>
  <c r="N2" i="24" s="1"/>
  <c r="G4" i="24" a="1"/>
  <c r="G4" i="24" s="1"/>
  <c r="F3" i="24" a="1"/>
  <c r="F3" i="24" s="1"/>
  <c r="I3" i="24" a="1"/>
  <c r="I3" i="24" s="1"/>
  <c r="B3" i="24" a="1"/>
  <c r="B3" i="24" s="1"/>
  <c r="Q3" i="24" a="1"/>
  <c r="Q3" i="24" s="1"/>
  <c r="T2" i="24" a="1"/>
  <c r="T2" i="24" s="1"/>
  <c r="F2" i="24" a="1"/>
  <c r="F2" i="24" s="1"/>
  <c r="W2" i="24" a="1"/>
  <c r="W2" i="24" s="1"/>
  <c r="D3" i="24" a="1"/>
  <c r="D3" i="24" s="1"/>
  <c r="D4" i="24" a="1"/>
  <c r="D4" i="24" s="1"/>
  <c r="O2" i="24" a="1"/>
  <c r="O2" i="24" s="1"/>
  <c r="H3" i="24" a="1"/>
  <c r="H3" i="24" s="1"/>
  <c r="Y3" i="24" a="1"/>
  <c r="Y3" i="24" s="1"/>
  <c r="R3" i="24" a="1"/>
  <c r="R3" i="24" s="1"/>
  <c r="I4" i="24" a="1"/>
  <c r="I4" i="24" s="1"/>
  <c r="P3" i="24" a="1"/>
  <c r="P3" i="24" s="1"/>
  <c r="F4" i="24" a="1"/>
  <c r="F4" i="24" s="1"/>
  <c r="L3" i="24" a="1"/>
  <c r="L3" i="24" s="1"/>
  <c r="L2" i="24" a="1"/>
  <c r="L2" i="24" s="1"/>
  <c r="M3" i="24" a="1"/>
  <c r="M3" i="24" s="1"/>
  <c r="R2" i="24" a="1"/>
  <c r="R2" i="24" s="1"/>
  <c r="O3" i="24" a="1"/>
  <c r="O3" i="24" s="1"/>
  <c r="G2" i="24" a="1"/>
  <c r="G2" i="24" s="1"/>
  <c r="S3" i="24" a="1"/>
  <c r="S3" i="24" s="1"/>
  <c r="T3" i="24" a="1"/>
  <c r="T3" i="24" s="1"/>
  <c r="Y2" i="24" a="1"/>
  <c r="Y2" i="24" s="1"/>
  <c r="W3" i="24" a="1"/>
  <c r="W3" i="24" s="1"/>
  <c r="I2" i="24" a="1"/>
  <c r="I2" i="24" s="1"/>
  <c r="G3" i="24" a="1"/>
  <c r="G3" i="24" s="1"/>
  <c r="H2" i="24" a="1"/>
  <c r="H2" i="24" s="1"/>
  <c r="K3" i="24" a="1"/>
  <c r="K3" i="24" s="1"/>
  <c r="J4" i="24" a="1"/>
  <c r="J4" i="24" s="1"/>
  <c r="V2" i="24" a="1"/>
  <c r="V2" i="24" s="1"/>
  <c r="C3" i="24" a="1"/>
  <c r="C3" i="24" s="1"/>
  <c r="E2" i="24" a="1"/>
  <c r="E2" i="24" s="1"/>
  <c r="D2" i="24" a="1"/>
  <c r="D2" i="24" s="1"/>
  <c r="J2" i="24" a="1"/>
  <c r="J2" i="24" s="1"/>
  <c r="M4" i="24" a="1"/>
  <c r="M4" i="24" s="1"/>
  <c r="K2" i="24" a="1"/>
  <c r="K2" i="24" s="1"/>
  <c r="K4" i="24" a="1"/>
  <c r="K4" i="24" s="1"/>
  <c r="M2" i="24" a="1"/>
  <c r="M2" i="24" s="1"/>
  <c r="J3" i="24" a="1"/>
  <c r="J3" i="24" s="1"/>
  <c r="C4" i="24" a="1"/>
  <c r="C4" i="24" s="1"/>
  <c r="X2" i="24" a="1"/>
  <c r="X2" i="24" s="1"/>
  <c r="P2" i="24" a="1"/>
  <c r="P2" i="24" s="1"/>
  <c r="C2" i="24" a="1"/>
  <c r="C2" i="24" s="1"/>
  <c r="B4" i="24" a="1"/>
  <c r="B4" i="24" s="1"/>
  <c r="E3" i="24" a="1"/>
  <c r="E3" i="24" s="1"/>
  <c r="C2" i="33" a="1"/>
  <c r="C2" i="33" s="1"/>
  <c r="D2" i="33" a="1"/>
  <c r="D2" i="33" s="1"/>
  <c r="F2" i="33" a="1"/>
  <c r="F2" i="33" s="1"/>
  <c r="E2" i="33" a="1"/>
  <c r="E2" i="33" s="1"/>
  <c r="H2" i="33" a="1"/>
  <c r="H2" i="33" s="1"/>
  <c r="K2" i="33" a="1"/>
  <c r="K2" i="33" s="1"/>
  <c r="J2" i="33" a="1"/>
  <c r="J2" i="33" s="1"/>
  <c r="G2" i="33" a="1"/>
  <c r="G2" i="33" s="1"/>
  <c r="X3" i="16" a="1"/>
  <c r="X3" i="16" s="1"/>
  <c r="V4" i="16" a="1"/>
  <c r="V4" i="16" s="1"/>
  <c r="W4" i="16" a="1"/>
  <c r="W4" i="16" s="1"/>
  <c r="H3" i="16" a="1"/>
  <c r="H3" i="16" s="1"/>
  <c r="T2" i="16" a="1"/>
  <c r="T2" i="16" s="1"/>
  <c r="Y4" i="16" a="1"/>
  <c r="Y4" i="16" s="1"/>
  <c r="C2" i="16" a="1"/>
  <c r="C2" i="16" s="1"/>
  <c r="Q4" i="16" a="1"/>
  <c r="Q4" i="16" s="1"/>
  <c r="M3" i="16" a="1"/>
  <c r="M3" i="16" s="1"/>
  <c r="P4" i="16" a="1"/>
  <c r="P4" i="16" s="1"/>
  <c r="X4" i="16" a="1"/>
  <c r="X4" i="16" s="1"/>
  <c r="B4" i="16" a="1"/>
  <c r="B4" i="16" s="1"/>
  <c r="F3" i="16" a="1"/>
  <c r="F3" i="16" s="1"/>
  <c r="L2" i="16" a="1"/>
  <c r="L2" i="16" s="1"/>
  <c r="M4" i="16" a="1"/>
  <c r="M4" i="16" s="1"/>
  <c r="W2" i="16" a="1"/>
  <c r="W2" i="16" s="1"/>
  <c r="I3" i="16" a="1"/>
  <c r="I3" i="16" s="1"/>
  <c r="O2" i="16" a="1"/>
  <c r="O2" i="16" s="1"/>
  <c r="D5" i="16" a="1"/>
  <c r="D5" i="16" s="1"/>
  <c r="G5" i="16" a="1"/>
  <c r="G5" i="16" s="1"/>
  <c r="H2" i="16" a="1"/>
  <c r="H2" i="16" s="1"/>
  <c r="L5" i="16" a="1"/>
  <c r="L5" i="16" s="1"/>
  <c r="T4" i="16" a="1"/>
  <c r="T4" i="16" s="1"/>
  <c r="K3" i="16" a="1"/>
  <c r="K3" i="16" s="1"/>
  <c r="G3" i="16" a="1"/>
  <c r="G3" i="16" s="1"/>
  <c r="B3" i="16" a="1"/>
  <c r="B3" i="16" s="1"/>
  <c r="J4" i="16" a="1"/>
  <c r="J4" i="16" s="1"/>
  <c r="M2" i="16" a="1"/>
  <c r="M2" i="16" s="1"/>
  <c r="S2" i="16" a="1"/>
  <c r="S2" i="16" s="1"/>
  <c r="I5" i="16" a="1"/>
  <c r="I5" i="16" s="1"/>
  <c r="R4" i="16" a="1"/>
  <c r="R4" i="16" s="1"/>
  <c r="Q3" i="16" a="1"/>
  <c r="Q3" i="16" s="1"/>
  <c r="N4" i="16" a="1"/>
  <c r="N4" i="16" s="1"/>
  <c r="K5" i="16" a="1"/>
  <c r="K5" i="16" s="1"/>
  <c r="L4" i="16" a="1"/>
  <c r="L4" i="16" s="1"/>
  <c r="C5" i="16" a="1"/>
  <c r="C5" i="16" s="1"/>
  <c r="F5" i="16" a="1"/>
  <c r="F5" i="16" s="1"/>
  <c r="O4" i="16" a="1"/>
  <c r="O4" i="16" s="1"/>
  <c r="P3" i="16" a="1"/>
  <c r="P3" i="16" s="1"/>
  <c r="E5" i="16" a="1"/>
  <c r="E5" i="16" s="1"/>
  <c r="P2" i="16" a="1"/>
  <c r="P2" i="16" s="1"/>
  <c r="U2" i="16" a="1"/>
  <c r="U2" i="16" s="1"/>
  <c r="F4" i="16" a="1"/>
  <c r="F4" i="16" s="1"/>
  <c r="N2" i="16" a="1"/>
  <c r="N2" i="16" s="1"/>
  <c r="U3" i="16" a="1"/>
  <c r="U3" i="16" s="1"/>
  <c r="J3" i="16" a="1"/>
  <c r="J3" i="16" s="1"/>
  <c r="L3" i="16" a="1"/>
  <c r="L3" i="16" s="1"/>
  <c r="J2" i="16" a="1"/>
  <c r="J2" i="16" s="1"/>
  <c r="X2" i="16" a="1"/>
  <c r="X2" i="16" s="1"/>
  <c r="D4" i="16" a="1"/>
  <c r="D4" i="16" s="1"/>
  <c r="M5" i="16" a="1"/>
  <c r="M5" i="16" s="1"/>
  <c r="F2" i="16" a="1"/>
  <c r="F2" i="16" s="1"/>
  <c r="N5" i="16" a="1"/>
  <c r="N5" i="16" s="1"/>
  <c r="Y2" i="16" a="1"/>
  <c r="Y2" i="16" s="1"/>
  <c r="D2" i="16" a="1"/>
  <c r="D2" i="16" s="1"/>
  <c r="U4" i="16" a="1"/>
  <c r="U4" i="16" s="1"/>
  <c r="I4" i="16" a="1"/>
  <c r="I4" i="16" s="1"/>
  <c r="G2" i="16" a="1"/>
  <c r="G2" i="16" s="1"/>
  <c r="Q2" i="16" a="1"/>
  <c r="Q2" i="16" s="1"/>
  <c r="N3" i="16" a="1"/>
  <c r="N3" i="16" s="1"/>
  <c r="V3" i="16" a="1"/>
  <c r="V3" i="16" s="1"/>
  <c r="C4" i="16" a="1"/>
  <c r="C4" i="16" s="1"/>
  <c r="J5" i="16" a="1"/>
  <c r="J5" i="16" s="1"/>
  <c r="Y3" i="16" a="1"/>
  <c r="Y3" i="16" s="1"/>
  <c r="W3" i="16" a="1"/>
  <c r="W3" i="16" s="1"/>
  <c r="C3" i="16" a="1"/>
  <c r="C3" i="16" s="1"/>
  <c r="S4" i="16" a="1"/>
  <c r="S4" i="16" s="1"/>
  <c r="G4" i="16" a="1"/>
  <c r="G4" i="16" s="1"/>
  <c r="H4" i="16" a="1"/>
  <c r="H4" i="16" s="1"/>
  <c r="O3" i="16" a="1"/>
  <c r="O3" i="16" s="1"/>
  <c r="E2" i="16" a="1"/>
  <c r="E2" i="16" s="1"/>
  <c r="D3" i="16" a="1"/>
  <c r="D3" i="16" s="1"/>
  <c r="K2" i="16" a="1"/>
  <c r="K2" i="16" s="1"/>
  <c r="R2" i="16" a="1"/>
  <c r="R2" i="16" s="1"/>
  <c r="T3" i="16" a="1"/>
  <c r="T3" i="16" s="1"/>
  <c r="V2" i="16" a="1"/>
  <c r="V2" i="16" s="1"/>
  <c r="B5" i="16" a="1"/>
  <c r="B5" i="16" s="1"/>
  <c r="R3" i="16" a="1"/>
  <c r="R3" i="16" s="1"/>
  <c r="K4" i="16" a="1"/>
  <c r="K4" i="16" s="1"/>
  <c r="E3" i="16" a="1"/>
  <c r="E3" i="16" s="1"/>
  <c r="H5" i="16" a="1"/>
  <c r="H5" i="16" s="1"/>
  <c r="E4" i="16" a="1"/>
  <c r="E4" i="16" s="1"/>
  <c r="I2" i="16" a="1"/>
  <c r="I2" i="16" s="1"/>
  <c r="S3" i="16" a="1"/>
  <c r="S3" i="16" s="1"/>
  <c r="B2" i="26" a="1"/>
  <c r="B2" i="26" s="1"/>
  <c r="D4" i="8" a="1"/>
  <c r="D4" i="8" s="1"/>
  <c r="V4" i="8" a="1"/>
  <c r="V4" i="8" s="1"/>
  <c r="T2" i="8" a="1"/>
  <c r="T2" i="8" s="1"/>
  <c r="M2" i="8" a="1"/>
  <c r="M2" i="8" s="1"/>
  <c r="G3" i="8" a="1"/>
  <c r="G3" i="8" s="1"/>
  <c r="I3" i="8" a="1"/>
  <c r="I3" i="8" s="1"/>
  <c r="H3" i="8" a="1"/>
  <c r="H3" i="8" s="1"/>
  <c r="O2" i="8" a="1"/>
  <c r="O2" i="8" s="1"/>
  <c r="L4" i="8" a="1"/>
  <c r="L4" i="8" s="1"/>
  <c r="M3" i="8" a="1"/>
  <c r="M3" i="8" s="1"/>
  <c r="L2" i="8" a="1"/>
  <c r="L2" i="8" s="1"/>
  <c r="Y4" i="8" a="1"/>
  <c r="Y4" i="8" s="1"/>
  <c r="G5" i="8" a="1"/>
  <c r="G5" i="8" s="1"/>
  <c r="P3" i="8" a="1"/>
  <c r="P3" i="8" s="1"/>
  <c r="U2" i="8" a="1"/>
  <c r="U2" i="8" s="1"/>
  <c r="L3" i="8" a="1"/>
  <c r="L3" i="8" s="1"/>
  <c r="D5" i="8" a="1"/>
  <c r="D5" i="8" s="1"/>
  <c r="W2" i="8" a="1"/>
  <c r="W2" i="8" s="1"/>
  <c r="T3" i="8" a="1"/>
  <c r="T3" i="8" s="1"/>
  <c r="W4" i="8" a="1"/>
  <c r="W4" i="8" s="1"/>
  <c r="X3" i="8" a="1"/>
  <c r="X3" i="8" s="1"/>
  <c r="R4" i="8" a="1"/>
  <c r="R4" i="8" s="1"/>
  <c r="P4" i="8" a="1"/>
  <c r="P4" i="8" s="1"/>
  <c r="K3" i="8" a="1"/>
  <c r="K3" i="8" s="1"/>
  <c r="N4" i="8" a="1"/>
  <c r="N4" i="8" s="1"/>
  <c r="H5" i="8" a="1"/>
  <c r="H5" i="8" s="1"/>
  <c r="E5" i="8" a="1"/>
  <c r="E5" i="8" s="1"/>
  <c r="T4" i="8" a="1"/>
  <c r="T4" i="8" s="1"/>
  <c r="K4" i="8" a="1"/>
  <c r="K4" i="8" s="1"/>
  <c r="X4" i="8" a="1"/>
  <c r="X4" i="8" s="1"/>
  <c r="Q3" i="8" a="1"/>
  <c r="Q3" i="8" s="1"/>
  <c r="J3" i="8" a="1"/>
  <c r="J3" i="8" s="1"/>
  <c r="I5" i="8" a="1"/>
  <c r="I5" i="8" s="1"/>
  <c r="N2" i="8" a="1"/>
  <c r="N2" i="8" s="1"/>
  <c r="W3" i="8" a="1"/>
  <c r="W3" i="8" s="1"/>
  <c r="H4" i="8" a="1"/>
  <c r="H4" i="8" s="1"/>
  <c r="B3" i="8" a="1"/>
  <c r="B3" i="8" s="1"/>
  <c r="F3" i="8" a="1"/>
  <c r="F3" i="8" s="1"/>
  <c r="E4" i="8" a="1"/>
  <c r="E4" i="8" s="1"/>
  <c r="D2" i="8" a="1"/>
  <c r="D2" i="8" s="1"/>
  <c r="E2" i="8" a="1"/>
  <c r="E2" i="8" s="1"/>
  <c r="H2" i="8" a="1"/>
  <c r="H2" i="8" s="1"/>
  <c r="X2" i="8" a="1"/>
  <c r="X2" i="8" s="1"/>
  <c r="K2" i="8" a="1"/>
  <c r="K2" i="8" s="1"/>
  <c r="I4" i="8" a="1"/>
  <c r="I4" i="8" s="1"/>
  <c r="D3" i="8" a="1"/>
  <c r="D3" i="8" s="1"/>
  <c r="Y2" i="8" a="1"/>
  <c r="Y2" i="8" s="1"/>
  <c r="Q2" i="8" a="1"/>
  <c r="Q2" i="8" s="1"/>
  <c r="S4" i="8" a="1"/>
  <c r="S4" i="8" s="1"/>
  <c r="R3" i="8" a="1"/>
  <c r="R3" i="8" s="1"/>
  <c r="J2" i="8" a="1"/>
  <c r="J2" i="8" s="1"/>
  <c r="C2" i="8" a="1"/>
  <c r="C2" i="8" s="1"/>
  <c r="J4" i="8" a="1"/>
  <c r="J4" i="8" s="1"/>
  <c r="Y3" i="8" a="1"/>
  <c r="Y3" i="8" s="1"/>
  <c r="B5" i="8" a="1"/>
  <c r="B5" i="8" s="1"/>
  <c r="U4" i="8" a="1"/>
  <c r="U4" i="8" s="1"/>
  <c r="U3" i="8" a="1"/>
  <c r="U3" i="8" s="1"/>
  <c r="G4" i="8" a="1"/>
  <c r="G4" i="8" s="1"/>
  <c r="V2" i="8" a="1"/>
  <c r="V2" i="8" s="1"/>
  <c r="N3" i="8" a="1"/>
  <c r="N3" i="8" s="1"/>
  <c r="C3" i="8" a="1"/>
  <c r="C3" i="8" s="1"/>
  <c r="I2" i="8" a="1"/>
  <c r="I2" i="8" s="1"/>
  <c r="F2" i="8" a="1"/>
  <c r="F2" i="8" s="1"/>
  <c r="R2" i="8" a="1"/>
  <c r="R2" i="8" s="1"/>
  <c r="S2" i="8" a="1"/>
  <c r="S2" i="8" s="1"/>
  <c r="F4" i="8" a="1"/>
  <c r="F4" i="8" s="1"/>
  <c r="O3" i="8" a="1"/>
  <c r="O3" i="8" s="1"/>
  <c r="M4" i="8" a="1"/>
  <c r="M4" i="8" s="1"/>
  <c r="V3" i="8" a="1"/>
  <c r="V3" i="8" s="1"/>
  <c r="G2" i="8" a="1"/>
  <c r="G2" i="8" s="1"/>
  <c r="S3" i="8" a="1"/>
  <c r="S3" i="8" s="1"/>
  <c r="O4" i="8" a="1"/>
  <c r="O4" i="8" s="1"/>
  <c r="C5" i="8" a="1"/>
  <c r="C5" i="8" s="1"/>
  <c r="E3" i="8" a="1"/>
  <c r="E3" i="8" s="1"/>
  <c r="P2" i="8" a="1"/>
  <c r="P2" i="8" s="1"/>
  <c r="B2" i="24" a="1"/>
  <c r="B2" i="24" s="1"/>
  <c r="B2" i="33" a="1"/>
  <c r="B2" i="33" s="1"/>
  <c r="B2" i="16" a="1"/>
  <c r="B2" i="16" s="1"/>
  <c r="N3" i="24" a="1"/>
  <c r="N3" i="24" s="1"/>
  <c r="E4" i="24" a="1"/>
  <c r="E4" i="24" s="1"/>
  <c r="Q2" i="24" a="1"/>
  <c r="Q2" i="24" s="1"/>
  <c r="I2" i="33" a="1"/>
  <c r="I2" i="33" s="1"/>
  <c r="E2" i="34" a="1"/>
  <c r="E2" i="34" s="1"/>
  <c r="C2" i="34" a="1"/>
  <c r="C2" i="34" s="1"/>
  <c r="D2" i="34" a="1"/>
  <c r="D2" i="34" s="1"/>
  <c r="F2" i="34" a="1"/>
  <c r="F2" i="34" s="1"/>
  <c r="B2" i="34" a="1"/>
  <c r="B2" i="34" s="1"/>
  <c r="I7" i="46"/>
  <c r="D7" i="46"/>
  <c r="Q4" i="8" a="1"/>
  <c r="Q4" i="8" s="1"/>
  <c r="S2" i="24" a="1"/>
  <c r="S2" i="24" s="1"/>
  <c r="C7" i="46"/>
  <c r="H2" i="46"/>
  <c r="L3" i="46"/>
  <c r="G4" i="46"/>
  <c r="L2" i="46"/>
  <c r="H3" i="46"/>
  <c r="G2" i="46"/>
  <c r="G3" i="46"/>
  <c r="O1399" i="44" l="1" a="1"/>
  <c r="O1399" i="44" s="1"/>
  <c r="O1395" i="44" a="1"/>
  <c r="O1395" i="44" s="1"/>
  <c r="O1390" i="44" a="1"/>
  <c r="O1390" i="44" s="1"/>
  <c r="O1377" i="44" a="1"/>
  <c r="O1377" i="44" s="1"/>
  <c r="O1404" i="44" a="1"/>
  <c r="O1404" i="44" s="1"/>
  <c r="O1403" i="44" a="1"/>
  <c r="O1403" i="44" s="1"/>
  <c r="O1380" i="44" a="1"/>
  <c r="O1380" i="44" s="1"/>
  <c r="O1374" i="44" a="1"/>
  <c r="O1374" i="44" s="1"/>
  <c r="O1366" i="44" a="1"/>
  <c r="O1366" i="44" s="1"/>
  <c r="O1405" i="44" a="1"/>
  <c r="O1405" i="44" s="1"/>
  <c r="O1385" i="44" a="1"/>
  <c r="O1385" i="44" s="1"/>
  <c r="O1392" i="44" a="1"/>
  <c r="O1392" i="44" s="1"/>
  <c r="O1397" i="44" a="1"/>
  <c r="O1397" i="44" s="1"/>
  <c r="O1402" i="44" a="1"/>
  <c r="O1402" i="44" s="1"/>
  <c r="O1384" i="44" a="1"/>
  <c r="O1384" i="44" s="1"/>
  <c r="O1382" i="44" a="1"/>
  <c r="O1382" i="44" s="1"/>
  <c r="O1370" i="44" a="1"/>
  <c r="O1370" i="44" s="1"/>
  <c r="O1391" i="44" a="1"/>
  <c r="O1391" i="44" s="1"/>
  <c r="O1407" i="44" a="1"/>
  <c r="O1407" i="44" s="1"/>
  <c r="O1383" i="44" a="1"/>
  <c r="O1383" i="44" s="1"/>
  <c r="O1365" i="44" a="1"/>
  <c r="O1365" i="44" s="1"/>
  <c r="O1411" i="44" a="1"/>
  <c r="O1411" i="44" s="1"/>
  <c r="O1372" i="44" a="1"/>
  <c r="O1372" i="44" s="1"/>
  <c r="O1394" i="44" a="1"/>
  <c r="O1394" i="44" s="1"/>
  <c r="O1410" i="44" a="1"/>
  <c r="O1410" i="44" s="1"/>
  <c r="O1381" i="44" a="1"/>
  <c r="O1381" i="44" s="1"/>
  <c r="O1388" i="44" a="1"/>
  <c r="O1388" i="44" s="1"/>
  <c r="O1393" i="44" a="1"/>
  <c r="O1393" i="44" s="1"/>
  <c r="O1389" i="44" a="1"/>
  <c r="O1389" i="44" s="1"/>
  <c r="O1379" i="44" a="1"/>
  <c r="O1379" i="44" s="1"/>
  <c r="O1408" i="44" a="1"/>
  <c r="O1408" i="44" s="1"/>
  <c r="O1375" i="44" a="1"/>
  <c r="O1375" i="44" s="1"/>
  <c r="O1396" i="44" a="1"/>
  <c r="O1396" i="44" s="1"/>
  <c r="O1398" i="44" a="1"/>
  <c r="O1398" i="44" s="1"/>
  <c r="O1401" i="44" a="1"/>
  <c r="O1401" i="44" s="1"/>
  <c r="O1371" i="44" a="1"/>
  <c r="O1371" i="44" s="1"/>
  <c r="O1376" i="44" a="1"/>
  <c r="O1376" i="44" s="1"/>
  <c r="O1400" i="44" a="1"/>
  <c r="O1400" i="44" s="1"/>
  <c r="O1406" i="44" a="1"/>
  <c r="O1406" i="44" s="1"/>
  <c r="O1386" i="44" a="1"/>
  <c r="O1386" i="44" s="1"/>
  <c r="O1368" i="44" a="1"/>
  <c r="O1368" i="44" s="1"/>
  <c r="O1373" i="44" a="1"/>
  <c r="O1373" i="44" s="1"/>
  <c r="O1367" i="44" a="1"/>
  <c r="O1367" i="44" s="1"/>
  <c r="O1412" i="44" a="1"/>
  <c r="O1412" i="44" s="1"/>
  <c r="O1369" i="44" a="1"/>
  <c r="O1369" i="44" s="1"/>
  <c r="O1409" i="44" a="1"/>
  <c r="O1409" i="44" s="1"/>
  <c r="O1378" i="44" a="1"/>
  <c r="O1378" i="44" s="1"/>
  <c r="O1387" i="44" a="1"/>
  <c r="O1387" i="44" s="1"/>
  <c r="N1374" i="44" a="1"/>
  <c r="N1374" i="44" s="1"/>
  <c r="N1385" i="44" a="1"/>
  <c r="N1385" i="44" s="1"/>
  <c r="N1369" i="44" a="1"/>
  <c r="N1369" i="44" s="1"/>
  <c r="N1410" i="44" a="1"/>
  <c r="N1410" i="44" s="1"/>
  <c r="N1376" i="44" a="1"/>
  <c r="N1376" i="44" s="1"/>
  <c r="N1394" i="44" a="1"/>
  <c r="N1394" i="44" s="1"/>
  <c r="N1379" i="44" a="1"/>
  <c r="N1379" i="44" s="1"/>
  <c r="N1412" i="44" a="1"/>
  <c r="N1412" i="44" s="1"/>
  <c r="N1383" i="44" a="1"/>
  <c r="N1383" i="44" s="1"/>
  <c r="N1399" i="44" a="1"/>
  <c r="N1399" i="44" s="1"/>
  <c r="N1375" i="44" a="1"/>
  <c r="N1375" i="44" s="1"/>
  <c r="N1402" i="44" a="1"/>
  <c r="N1402" i="44" s="1"/>
  <c r="N1371" i="44" a="1"/>
  <c r="N1371" i="44" s="1"/>
  <c r="N1378" i="44" a="1"/>
  <c r="N1378" i="44" s="1"/>
  <c r="N1366" i="44" a="1"/>
  <c r="N1366" i="44" s="1"/>
  <c r="N1404" i="44" a="1"/>
  <c r="N1404" i="44" s="1"/>
  <c r="N1393" i="44" a="1"/>
  <c r="N1393" i="44" s="1"/>
  <c r="N1407" i="44" a="1"/>
  <c r="N1407" i="44" s="1"/>
  <c r="N1377" i="44" a="1"/>
  <c r="N1377" i="44" s="1"/>
  <c r="N1380" i="44" a="1"/>
  <c r="N1380" i="44" s="1"/>
  <c r="N1367" i="44" a="1"/>
  <c r="N1367" i="44" s="1"/>
  <c r="N1387" i="44" a="1"/>
  <c r="N1387" i="44" s="1"/>
  <c r="N1384" i="44" a="1"/>
  <c r="N1384" i="44" s="1"/>
  <c r="N1370" i="44" a="1"/>
  <c r="N1370" i="44" s="1"/>
  <c r="N1395" i="44" a="1"/>
  <c r="N1395" i="44" s="1"/>
  <c r="N1392" i="44" a="1"/>
  <c r="N1392" i="44" s="1"/>
  <c r="N1403" i="44" a="1"/>
  <c r="N1403" i="44" s="1"/>
  <c r="N1408" i="44" a="1"/>
  <c r="N1408" i="44" s="1"/>
  <c r="N1372" i="44" a="1"/>
  <c r="N1372" i="44" s="1"/>
  <c r="N1397" i="44" a="1"/>
  <c r="N1397" i="44" s="1"/>
  <c r="N1405" i="44" a="1"/>
  <c r="N1405" i="44" s="1"/>
  <c r="N1396" i="44" a="1"/>
  <c r="N1396" i="44" s="1"/>
  <c r="N1398" i="44" a="1"/>
  <c r="N1398" i="44" s="1"/>
  <c r="N1373" i="44" a="1"/>
  <c r="N1373" i="44" s="1"/>
  <c r="N1365" i="44" a="1"/>
  <c r="N1365" i="44" s="1"/>
  <c r="N1409" i="44" a="1"/>
  <c r="N1409" i="44" s="1"/>
  <c r="N1389" i="44" a="1"/>
  <c r="N1389" i="44" s="1"/>
  <c r="N1381" i="44" a="1"/>
  <c r="N1381" i="44" s="1"/>
  <c r="N1391" i="44" a="1"/>
  <c r="N1391" i="44" s="1"/>
  <c r="N1411" i="44" a="1"/>
  <c r="N1411" i="44" s="1"/>
  <c r="N1401" i="44" a="1"/>
  <c r="N1401" i="44" s="1"/>
  <c r="N1386" i="44" a="1"/>
  <c r="N1386" i="44" s="1"/>
  <c r="N1382" i="44" a="1"/>
  <c r="N1382" i="44" s="1"/>
  <c r="N1390" i="44" a="1"/>
  <c r="N1390" i="44" s="1"/>
  <c r="N1400" i="44" a="1"/>
  <c r="N1400" i="44" s="1"/>
  <c r="N1406" i="44" a="1"/>
  <c r="N1406" i="44" s="1"/>
  <c r="N1388" i="44" a="1"/>
  <c r="N1388" i="44" s="1"/>
  <c r="N1368" i="44" a="1"/>
  <c r="N1368" i="44" s="1"/>
  <c r="Q3" i="25" a="1"/>
  <c r="Q3" i="25" s="1"/>
  <c r="C4" i="25" a="1"/>
  <c r="C4" i="25" s="1"/>
  <c r="S3" i="25" a="1"/>
  <c r="S3" i="25" s="1"/>
  <c r="G3" i="25" a="1"/>
  <c r="G3" i="25" s="1"/>
  <c r="E2" i="25" a="1"/>
  <c r="E2" i="25" s="1"/>
  <c r="V3" i="25" a="1"/>
  <c r="V3" i="25" s="1"/>
  <c r="B3" i="25" a="1"/>
  <c r="B3" i="25" s="1"/>
  <c r="D3" i="25" a="1"/>
  <c r="D3" i="25" s="1"/>
  <c r="U2" i="25" a="1"/>
  <c r="U2" i="25" s="1"/>
  <c r="X3" i="25" a="1"/>
  <c r="X3" i="25" s="1"/>
  <c r="H4" i="25" a="1"/>
  <c r="H4" i="25" s="1"/>
  <c r="L3" i="25" a="1"/>
  <c r="L3" i="25" s="1"/>
  <c r="D4" i="25" a="1"/>
  <c r="D4" i="25" s="1"/>
  <c r="L2" i="25" a="1"/>
  <c r="L2" i="25" s="1"/>
  <c r="M2" i="25" a="1"/>
  <c r="M2" i="25" s="1"/>
  <c r="P2" i="25" a="1"/>
  <c r="P2" i="25" s="1"/>
  <c r="B4" i="25" a="1"/>
  <c r="B4" i="25" s="1"/>
  <c r="T2" i="25" a="1"/>
  <c r="T2" i="25" s="1"/>
  <c r="O2" i="25" a="1"/>
  <c r="O2" i="25" s="1"/>
  <c r="C2" i="25" a="1"/>
  <c r="C2" i="25" s="1"/>
  <c r="P3" i="25" a="1"/>
  <c r="P3" i="25" s="1"/>
  <c r="I3" i="25" a="1"/>
  <c r="I3" i="25" s="1"/>
  <c r="N2" i="25" a="1"/>
  <c r="N2" i="25" s="1"/>
  <c r="E4" i="25" a="1"/>
  <c r="E4" i="25" s="1"/>
  <c r="W3" i="25" a="1"/>
  <c r="W3" i="25" s="1"/>
  <c r="H3" i="25" a="1"/>
  <c r="H3" i="25" s="1"/>
  <c r="U3" i="25" a="1"/>
  <c r="U3" i="25" s="1"/>
  <c r="F3" i="25" a="1"/>
  <c r="F3" i="25" s="1"/>
  <c r="W2" i="25" a="1"/>
  <c r="W2" i="25" s="1"/>
  <c r="R3" i="25" a="1"/>
  <c r="R3" i="25" s="1"/>
  <c r="F2" i="25" a="1"/>
  <c r="F2" i="25" s="1"/>
  <c r="G2" i="25" a="1"/>
  <c r="G2" i="25" s="1"/>
  <c r="F4" i="25" a="1"/>
  <c r="F4" i="25" s="1"/>
  <c r="K3" i="25" a="1"/>
  <c r="K3" i="25" s="1"/>
  <c r="G4" i="25" a="1"/>
  <c r="G4" i="25" s="1"/>
  <c r="X2" i="25" a="1"/>
  <c r="X2" i="25" s="1"/>
  <c r="H2" i="25" a="1"/>
  <c r="H2" i="25" s="1"/>
  <c r="S2" i="25" a="1"/>
  <c r="S2" i="25" s="1"/>
  <c r="J3" i="25" a="1"/>
  <c r="J3" i="25" s="1"/>
  <c r="K2" i="25" a="1"/>
  <c r="K2" i="25" s="1"/>
  <c r="V2" i="25" a="1"/>
  <c r="V2" i="25" s="1"/>
  <c r="R2" i="25" a="1"/>
  <c r="R2" i="25" s="1"/>
  <c r="I2" i="25" a="1"/>
  <c r="I2" i="25" s="1"/>
  <c r="Y2" i="25" a="1"/>
  <c r="Y2" i="25" s="1"/>
  <c r="D2" i="25" a="1"/>
  <c r="D2" i="25" s="1"/>
  <c r="O3" i="25" a="1"/>
  <c r="O3" i="25" s="1"/>
  <c r="N3" i="25" a="1"/>
  <c r="N3" i="25" s="1"/>
  <c r="Y3" i="25" a="1"/>
  <c r="Y3" i="25" s="1"/>
  <c r="M3" i="25" a="1"/>
  <c r="M3" i="25" s="1"/>
  <c r="J2" i="25" a="1"/>
  <c r="J2" i="25" s="1"/>
  <c r="T3" i="25" a="1"/>
  <c r="T3" i="25" s="1"/>
  <c r="E3" i="25" a="1"/>
  <c r="E3" i="25" s="1"/>
  <c r="O2" i="26" a="1"/>
  <c r="O2" i="26" s="1"/>
  <c r="L2" i="26" a="1"/>
  <c r="L2" i="26" s="1"/>
  <c r="I3" i="26" a="1"/>
  <c r="I3" i="26" s="1"/>
  <c r="J3" i="26" a="1"/>
  <c r="J3" i="26" s="1"/>
  <c r="D3" i="26" a="1"/>
  <c r="D3" i="26" s="1"/>
  <c r="G3" i="26" a="1"/>
  <c r="G3" i="26" s="1"/>
  <c r="F3" i="26" a="1"/>
  <c r="F3" i="26" s="1"/>
  <c r="P3" i="26" a="1"/>
  <c r="P3" i="26" s="1"/>
  <c r="R3" i="26" a="1"/>
  <c r="R3" i="26" s="1"/>
  <c r="K2" i="26" a="1"/>
  <c r="K2" i="26" s="1"/>
  <c r="X3" i="26" a="1"/>
  <c r="X3" i="26" s="1"/>
  <c r="C2" i="26" a="1"/>
  <c r="C2" i="26" s="1"/>
  <c r="X2" i="26" a="1"/>
  <c r="X2" i="26" s="1"/>
  <c r="T3" i="26" a="1"/>
  <c r="T3" i="26" s="1"/>
  <c r="N2" i="26" a="1"/>
  <c r="N2" i="26" s="1"/>
  <c r="V3" i="26" a="1"/>
  <c r="V3" i="26" s="1"/>
  <c r="B4" i="26" a="1"/>
  <c r="B4" i="26" s="1"/>
  <c r="B3" i="26" a="1"/>
  <c r="B3" i="26" s="1"/>
  <c r="P2" i="26" a="1"/>
  <c r="P2" i="26" s="1"/>
  <c r="Q3" i="26" a="1"/>
  <c r="Q3" i="26" s="1"/>
  <c r="H3" i="26" a="1"/>
  <c r="H3" i="26" s="1"/>
  <c r="T2" i="26" a="1"/>
  <c r="T2" i="26" s="1"/>
  <c r="C3" i="26" a="1"/>
  <c r="C3" i="26" s="1"/>
  <c r="G2" i="26" a="1"/>
  <c r="G2" i="26" s="1"/>
  <c r="N3" i="26" a="1"/>
  <c r="N3" i="26" s="1"/>
  <c r="H2" i="26" a="1"/>
  <c r="H2" i="26" s="1"/>
  <c r="U3" i="26" a="1"/>
  <c r="U3" i="26" s="1"/>
  <c r="K3" i="26" a="1"/>
  <c r="K3" i="26" s="1"/>
  <c r="F2" i="26" a="1"/>
  <c r="F2" i="26" s="1"/>
  <c r="Q2" i="26" a="1"/>
  <c r="Q2" i="26" s="1"/>
  <c r="S3" i="26" a="1"/>
  <c r="S3" i="26" s="1"/>
  <c r="V2" i="26" a="1"/>
  <c r="V2" i="26" s="1"/>
  <c r="M3" i="26" a="1"/>
  <c r="M3" i="26" s="1"/>
  <c r="U2" i="26" a="1"/>
  <c r="U2" i="26" s="1"/>
  <c r="C4" i="26" a="1"/>
  <c r="C4" i="26" s="1"/>
  <c r="Y2" i="26" a="1"/>
  <c r="Y2" i="26" s="1"/>
  <c r="I2" i="26" a="1"/>
  <c r="I2" i="26" s="1"/>
  <c r="D2" i="26" a="1"/>
  <c r="D2" i="26" s="1"/>
  <c r="W2" i="26" a="1"/>
  <c r="W2" i="26" s="1"/>
  <c r="R2" i="26" a="1"/>
  <c r="R2" i="26" s="1"/>
  <c r="E2" i="26" a="1"/>
  <c r="E2" i="26" s="1"/>
  <c r="S2" i="26" a="1"/>
  <c r="S2" i="26" s="1"/>
  <c r="L3" i="26" a="1"/>
  <c r="L3" i="26" s="1"/>
  <c r="J2" i="26" a="1"/>
  <c r="J2" i="26" s="1"/>
  <c r="W3" i="26" a="1"/>
  <c r="W3" i="26" s="1"/>
  <c r="Y3" i="26" a="1"/>
  <c r="Y3" i="26" s="1"/>
  <c r="O3" i="26" a="1"/>
  <c r="O3" i="26" s="1"/>
  <c r="E3" i="26" a="1"/>
  <c r="E3" i="26" s="1"/>
  <c r="M2" i="26" a="1"/>
  <c r="M2" i="26" s="1"/>
  <c r="B2" i="25" a="1"/>
  <c r="B2" i="25" s="1"/>
  <c r="C3" i="25" a="1"/>
  <c r="C3" i="25" s="1"/>
  <c r="Q2" i="25" a="1"/>
  <c r="Q2" i="25" s="1"/>
  <c r="F5" i="8" a="1"/>
  <c r="F5" i="8" s="1"/>
  <c r="C4" i="8" a="1"/>
  <c r="C4" i="8" s="1"/>
  <c r="B4" i="8" a="1"/>
  <c r="B4" i="8" s="1"/>
  <c r="M2" i="46"/>
  <c r="N3" i="46"/>
  <c r="M3" i="46"/>
  <c r="N2" i="46"/>
  <c r="H4" i="46"/>
  <c r="G2" i="34" l="1" a="1"/>
  <c r="G2" i="34" s="1"/>
  <c r="P2" i="34" a="1"/>
  <c r="P2" i="34" s="1"/>
  <c r="J2" i="34" a="1"/>
  <c r="J2" i="34" s="1"/>
  <c r="O2" i="34" a="1"/>
  <c r="O2" i="34" s="1"/>
  <c r="I2" i="34" a="1"/>
  <c r="I2" i="34" s="1"/>
  <c r="H2" i="34" a="1"/>
  <c r="H2" i="34" s="1"/>
  <c r="K2" i="34" a="1"/>
  <c r="K2" i="34" s="1"/>
  <c r="L2" i="34" a="1"/>
  <c r="L2" i="34" s="1"/>
  <c r="N2" i="34" a="1"/>
  <c r="N2" i="34" s="1"/>
  <c r="L2" i="33" l="1" a="1"/>
  <c r="L2" i="33" s="1"/>
  <c r="M2" i="33" a="1"/>
  <c r="M2" i="33" s="1"/>
  <c r="N2" i="33" a="1"/>
  <c r="N2" i="33" s="1"/>
  <c r="Q2" i="33" a="1"/>
  <c r="Q2" i="33" s="1"/>
  <c r="M2" i="34" a="1"/>
  <c r="M2" i="34" s="1"/>
  <c r="S2" i="33" a="1"/>
  <c r="S2" i="33" s="1"/>
  <c r="P2" i="33" a="1"/>
  <c r="P2" i="33" s="1"/>
  <c r="T2" i="33" a="1"/>
  <c r="T2" i="33" s="1"/>
  <c r="O2" i="33" a="1"/>
  <c r="O2" i="33" s="1"/>
  <c r="U2" i="33" a="1"/>
  <c r="U2" i="33" s="1"/>
  <c r="Q2" i="34" l="1" a="1"/>
  <c r="Q2" i="34" s="1"/>
  <c r="Q2" i="10" a="1"/>
  <c r="Q2" i="10" s="1"/>
  <c r="Y2" i="10" a="1"/>
  <c r="Y2" i="10" s="1"/>
  <c r="U2" i="10" a="1"/>
  <c r="U2" i="10" s="1"/>
  <c r="R2" i="33" a="1"/>
  <c r="R2" i="33" s="1"/>
  <c r="V2" i="10" a="1"/>
  <c r="V2" i="10" s="1"/>
  <c r="B3" i="10" a="1"/>
  <c r="B3" i="10" s="1"/>
  <c r="S2" i="10" a="1"/>
  <c r="S2" i="10" s="1"/>
  <c r="X2" i="10" a="1"/>
  <c r="X2" i="10" s="1"/>
  <c r="T2" i="10" a="1"/>
  <c r="T2" i="10" s="1"/>
  <c r="R2" i="10" a="1"/>
  <c r="R2" i="10" s="1"/>
  <c r="V2" i="32" l="1" a="1"/>
  <c r="V2" i="32" s="1"/>
  <c r="V2" i="33" a="1"/>
  <c r="V2" i="33" s="1"/>
  <c r="W2" i="32" a="1"/>
  <c r="W2" i="32" s="1"/>
  <c r="X2" i="32" a="1"/>
  <c r="X2" i="32" s="1"/>
  <c r="S2" i="34" a="1"/>
  <c r="S2" i="34" s="1"/>
  <c r="U2" i="34" a="1"/>
  <c r="U2" i="34" s="1"/>
  <c r="G3" i="32" a="1"/>
  <c r="G3" i="32" s="1"/>
  <c r="C3" i="32" a="1"/>
  <c r="C3" i="32" s="1"/>
  <c r="W2" i="10" a="1"/>
  <c r="W2" i="10" s="1"/>
  <c r="Y2" i="32" a="1"/>
  <c r="Y2" i="32" s="1"/>
  <c r="T2" i="34" a="1"/>
  <c r="T2" i="34" s="1"/>
  <c r="R2" i="34" a="1"/>
  <c r="R2" i="34" s="1"/>
  <c r="B3" i="32" a="1"/>
  <c r="B3" i="32" s="1"/>
  <c r="V2" i="34" a="1"/>
  <c r="V2" i="34" s="1"/>
  <c r="F3" i="32" a="1"/>
  <c r="F3" i="32" s="1"/>
  <c r="E3" i="32" a="1"/>
  <c r="E3" i="32" s="1"/>
  <c r="T2" i="46"/>
  <c r="U2" i="46"/>
  <c r="C3" i="10" l="1" a="1"/>
  <c r="C3" i="10" s="1"/>
  <c r="C3" i="31" a="1"/>
  <c r="C3" i="31" s="1"/>
  <c r="W2" i="33" a="1"/>
  <c r="W2" i="33" s="1"/>
  <c r="L3" i="31" a="1"/>
  <c r="L3" i="31" s="1"/>
  <c r="B3" i="33" a="1"/>
  <c r="B3" i="33" s="1"/>
  <c r="C3" i="34" a="1"/>
  <c r="C3" i="34" s="1"/>
  <c r="X2" i="33" a="1"/>
  <c r="X2" i="33" s="1"/>
  <c r="Y2" i="33" a="1"/>
  <c r="Y2" i="33" s="1"/>
  <c r="J3" i="31" a="1"/>
  <c r="J3" i="31" s="1"/>
  <c r="E3" i="31" a="1"/>
  <c r="E3" i="31" s="1"/>
  <c r="D3" i="31" a="1"/>
  <c r="D3" i="31" s="1"/>
  <c r="F3" i="31" a="1"/>
  <c r="F3" i="31" s="1"/>
  <c r="X2" i="34" a="1"/>
  <c r="X2" i="34" s="1"/>
  <c r="K3" i="31" a="1"/>
  <c r="K3" i="31" s="1"/>
  <c r="C3" i="33" a="1"/>
  <c r="C3" i="33" s="1"/>
  <c r="D3" i="32" a="1"/>
  <c r="D3" i="32" s="1"/>
  <c r="W2" i="34" a="1"/>
  <c r="W2" i="34" s="1"/>
  <c r="G3" i="31" a="1"/>
  <c r="G3" i="31" s="1"/>
  <c r="H3" i="31" a="1"/>
  <c r="H3" i="31" s="1"/>
  <c r="Y2" i="34" a="1"/>
  <c r="Y2" i="34" s="1"/>
  <c r="V2" i="46"/>
  <c r="W2" i="46"/>
  <c r="H3" i="30" l="1" a="1"/>
  <c r="H3" i="30" s="1"/>
  <c r="H3" i="32" a="1"/>
  <c r="H3" i="32" s="1"/>
  <c r="F3" i="33" a="1"/>
  <c r="F3" i="33" s="1"/>
  <c r="M3" i="30" a="1"/>
  <c r="M3" i="30" s="1"/>
  <c r="L3" i="30" a="1"/>
  <c r="L3" i="30" s="1"/>
  <c r="D3" i="33" a="1"/>
  <c r="D3" i="33" s="1"/>
  <c r="I3" i="31" a="1"/>
  <c r="I3" i="31" s="1"/>
  <c r="H3" i="10" a="1"/>
  <c r="H3" i="10" s="1"/>
  <c r="P3" i="30" a="1"/>
  <c r="P3" i="30" s="1"/>
  <c r="E3" i="33" a="1"/>
  <c r="E3" i="33" s="1"/>
  <c r="K3" i="30" a="1"/>
  <c r="K3" i="30" s="1"/>
  <c r="I3" i="30" a="1"/>
  <c r="I3" i="30" s="1"/>
  <c r="F3" i="34" a="1"/>
  <c r="F3" i="34" s="1"/>
  <c r="J3" i="30" a="1"/>
  <c r="J3" i="30" s="1"/>
  <c r="O3" i="30" a="1"/>
  <c r="O3" i="30" s="1"/>
  <c r="B3" i="34" a="1"/>
  <c r="B3" i="34" s="1"/>
  <c r="E3" i="34" a="1"/>
  <c r="E3" i="34" s="1"/>
  <c r="F3" i="10" a="1"/>
  <c r="F3" i="10" s="1"/>
  <c r="E3" i="10" a="1"/>
  <c r="E3" i="10" s="1"/>
  <c r="H3" i="33" a="1"/>
  <c r="H3" i="33" s="1"/>
  <c r="G3" i="10" a="1"/>
  <c r="G3" i="10" s="1"/>
  <c r="Q3" i="30" a="1"/>
  <c r="Q3" i="30" s="1"/>
  <c r="D3" i="10" a="1"/>
  <c r="D3" i="10" s="1"/>
  <c r="M3" i="31" l="1" a="1"/>
  <c r="M3" i="31" s="1"/>
  <c r="M3" i="29" a="1"/>
  <c r="M3" i="29" s="1"/>
  <c r="I3" i="32" a="1"/>
  <c r="I3" i="32" s="1"/>
  <c r="V3" i="29" a="1"/>
  <c r="V3" i="29" s="1"/>
  <c r="L3" i="32" a="1"/>
  <c r="L3" i="32" s="1"/>
  <c r="M3" i="10" a="1"/>
  <c r="M3" i="10" s="1"/>
  <c r="J3" i="32" a="1"/>
  <c r="J3" i="32" s="1"/>
  <c r="K3" i="32" a="1"/>
  <c r="K3" i="32" s="1"/>
  <c r="J3" i="33" a="1"/>
  <c r="J3" i="33" s="1"/>
  <c r="G3" i="33" a="1"/>
  <c r="G3" i="33" s="1"/>
  <c r="T3" i="29" a="1"/>
  <c r="T3" i="29" s="1"/>
  <c r="O3" i="29" a="1"/>
  <c r="O3" i="29" s="1"/>
  <c r="J3" i="34" a="1"/>
  <c r="J3" i="34" s="1"/>
  <c r="D3" i="34" a="1"/>
  <c r="D3" i="34" s="1"/>
  <c r="K3" i="33" a="1"/>
  <c r="K3" i="33" s="1"/>
  <c r="N3" i="29" a="1"/>
  <c r="N3" i="29" s="1"/>
  <c r="I3" i="34" a="1"/>
  <c r="I3" i="34" s="1"/>
  <c r="P3" i="29" a="1"/>
  <c r="P3" i="29" s="1"/>
  <c r="K3" i="34" a="1"/>
  <c r="K3" i="34" s="1"/>
  <c r="J3" i="10" a="1"/>
  <c r="J3" i="10" s="1"/>
  <c r="U3" i="29" a="1"/>
  <c r="U3" i="29" s="1"/>
  <c r="M3" i="32" a="1"/>
  <c r="M3" i="32" s="1"/>
  <c r="G3" i="34" a="1"/>
  <c r="G3" i="34" s="1"/>
  <c r="N3" i="30" a="1"/>
  <c r="N3" i="30" s="1"/>
  <c r="H3" i="34" a="1"/>
  <c r="H3" i="34" s="1"/>
  <c r="I3" i="10" a="1"/>
  <c r="I3" i="10" s="1"/>
  <c r="Q3" i="29" a="1"/>
  <c r="Q3" i="29" s="1"/>
  <c r="L3" i="34" a="1"/>
  <c r="L3" i="34" s="1"/>
  <c r="R3" i="29" a="1"/>
  <c r="R3" i="29" s="1"/>
  <c r="M3" i="34" a="1"/>
  <c r="M3" i="34" s="1"/>
  <c r="K3" i="10" a="1"/>
  <c r="K3" i="10" s="1"/>
  <c r="R3" i="28" l="1" a="1"/>
  <c r="R3" i="28" s="1"/>
  <c r="R3" i="30" a="1"/>
  <c r="R3" i="30" s="1"/>
  <c r="P3" i="32" a="1"/>
  <c r="P3" i="32" s="1"/>
  <c r="R3" i="33" a="1"/>
  <c r="R3" i="33" s="1"/>
  <c r="W3" i="28" a="1"/>
  <c r="W3" i="28" s="1"/>
  <c r="R3" i="34" a="1"/>
  <c r="R3" i="34" s="1"/>
  <c r="Q3" i="33" a="1"/>
  <c r="Q3" i="33" s="1"/>
  <c r="V3" i="28" a="1"/>
  <c r="V3" i="28" s="1"/>
  <c r="Q3" i="34" a="1"/>
  <c r="Q3" i="34" s="1"/>
  <c r="N3" i="32" a="1"/>
  <c r="N3" i="32" s="1"/>
  <c r="M3" i="33" a="1"/>
  <c r="M3" i="33" s="1"/>
  <c r="S3" i="29" a="1"/>
  <c r="S3" i="29" s="1"/>
  <c r="L3" i="33" a="1"/>
  <c r="L3" i="33" s="1"/>
  <c r="R3" i="31" a="1"/>
  <c r="R3" i="31" s="1"/>
  <c r="B4" i="28" a="1"/>
  <c r="B4" i="28" s="1"/>
  <c r="O3" i="32" a="1"/>
  <c r="O3" i="32" s="1"/>
  <c r="P3" i="33" a="1"/>
  <c r="P3" i="33" s="1"/>
  <c r="U3" i="28" a="1"/>
  <c r="U3" i="28" s="1"/>
  <c r="P3" i="34" a="1"/>
  <c r="P3" i="34" s="1"/>
  <c r="N3" i="33" a="1"/>
  <c r="N3" i="33" s="1"/>
  <c r="S3" i="28" a="1"/>
  <c r="S3" i="28" s="1"/>
  <c r="N3" i="34" a="1"/>
  <c r="N3" i="34" s="1"/>
  <c r="P3" i="10" a="1"/>
  <c r="P3" i="10" s="1"/>
  <c r="I3" i="33" a="1"/>
  <c r="I3" i="33" s="1"/>
  <c r="O3" i="33" a="1"/>
  <c r="O3" i="33" s="1"/>
  <c r="T3" i="28" a="1"/>
  <c r="T3" i="28" s="1"/>
  <c r="O3" i="34" a="1"/>
  <c r="O3" i="34" s="1"/>
  <c r="Y3" i="28" a="1"/>
  <c r="Y3" i="28" s="1"/>
  <c r="L3" i="10" a="1"/>
  <c r="L3" i="10" s="1"/>
  <c r="O3" i="10" a="1"/>
  <c r="O3" i="10" s="1"/>
  <c r="P3" i="31" a="1"/>
  <c r="P3" i="31" s="1"/>
  <c r="O3" i="31" a="1"/>
  <c r="O3" i="31" s="1"/>
  <c r="R3" i="32" a="1"/>
  <c r="R3" i="32" s="1"/>
  <c r="Q3" i="31" a="1"/>
  <c r="Q3" i="31" s="1"/>
  <c r="C4" i="28" a="1"/>
  <c r="C4" i="28" s="1"/>
  <c r="N3" i="31" a="1"/>
  <c r="N3" i="31" s="1"/>
  <c r="W3" i="11" l="1" a="1"/>
  <c r="W3" i="11" s="1"/>
  <c r="W3" i="29" a="1"/>
  <c r="W3" i="29" s="1"/>
  <c r="S3" i="30" a="1"/>
  <c r="S3" i="30" s="1"/>
  <c r="H4" i="11" a="1"/>
  <c r="H4" i="11" s="1"/>
  <c r="V3" i="30" a="1"/>
  <c r="V3" i="30" s="1"/>
  <c r="W3" i="31" a="1"/>
  <c r="W3" i="31" s="1"/>
  <c r="T3" i="30" a="1"/>
  <c r="T3" i="30" s="1"/>
  <c r="U3" i="30" a="1"/>
  <c r="U3" i="30" s="1"/>
  <c r="T3" i="32" a="1"/>
  <c r="T3" i="32" s="1"/>
  <c r="Q3" i="32" a="1"/>
  <c r="Q3" i="32" s="1"/>
  <c r="F4" i="11" a="1"/>
  <c r="F4" i="11" s="1"/>
  <c r="T3" i="33" a="1"/>
  <c r="T3" i="33" s="1"/>
  <c r="Y3" i="11" a="1"/>
  <c r="Y3" i="11" s="1"/>
  <c r="T3" i="34" a="1"/>
  <c r="T3" i="34" s="1"/>
  <c r="T3" i="10" a="1"/>
  <c r="T3" i="10" s="1"/>
  <c r="N3" i="10" a="1"/>
  <c r="N3" i="10" s="1"/>
  <c r="U3" i="32" a="1"/>
  <c r="U3" i="32" s="1"/>
  <c r="S3" i="33" a="1"/>
  <c r="S3" i="33" s="1"/>
  <c r="X3" i="11" a="1"/>
  <c r="X3" i="11" s="1"/>
  <c r="S3" i="34" a="1"/>
  <c r="S3" i="34" s="1"/>
  <c r="S3" i="10" a="1"/>
  <c r="S3" i="10" s="1"/>
  <c r="U3" i="33" a="1"/>
  <c r="U3" i="33" s="1"/>
  <c r="B4" i="11" a="1"/>
  <c r="B4" i="11" s="1"/>
  <c r="U3" i="34" a="1"/>
  <c r="U3" i="34" s="1"/>
  <c r="U3" i="10" a="1"/>
  <c r="U3" i="10" s="1"/>
  <c r="T3" i="31" a="1"/>
  <c r="T3" i="31" s="1"/>
  <c r="G4" i="11" a="1"/>
  <c r="G4" i="11" s="1"/>
  <c r="W3" i="30" a="1"/>
  <c r="W3" i="30" s="1"/>
  <c r="Q3" i="10" a="1"/>
  <c r="Q3" i="10" s="1"/>
  <c r="X3" i="28" a="1"/>
  <c r="X3" i="28" s="1"/>
  <c r="R3" i="10" a="1"/>
  <c r="R3" i="10" s="1"/>
  <c r="S3" i="31" a="1"/>
  <c r="S3" i="31" s="1"/>
  <c r="V3" i="33" a="1"/>
  <c r="V3" i="33" s="1"/>
  <c r="C4" i="11" a="1"/>
  <c r="C4" i="11" s="1"/>
  <c r="V3" i="34" a="1"/>
  <c r="V3" i="34" s="1"/>
  <c r="V3" i="10" a="1"/>
  <c r="V3" i="10" s="1"/>
  <c r="W3" i="33" a="1"/>
  <c r="W3" i="33" s="1"/>
  <c r="D4" i="11" a="1"/>
  <c r="D4" i="11" s="1"/>
  <c r="W3" i="34" a="1"/>
  <c r="W3" i="34" s="1"/>
  <c r="W3" i="10" a="1"/>
  <c r="W3" i="10" s="1"/>
  <c r="U3" i="31" a="1"/>
  <c r="U3" i="31" s="1"/>
  <c r="O3" i="46"/>
  <c r="P3" i="46"/>
  <c r="D4" i="28" l="1" a="1"/>
  <c r="D4" i="28" s="1"/>
  <c r="D4" i="26" a="1"/>
  <c r="D4" i="26" s="1"/>
  <c r="B4" i="30" a="1"/>
  <c r="B4" i="30" s="1"/>
  <c r="D4" i="32" a="1"/>
  <c r="D4" i="32" s="1"/>
  <c r="D4" i="33" a="1"/>
  <c r="D4" i="33" s="1"/>
  <c r="I4" i="26" a="1"/>
  <c r="I4" i="26" s="1"/>
  <c r="D4" i="34" a="1"/>
  <c r="D4" i="34" s="1"/>
  <c r="D4" i="10" a="1"/>
  <c r="D4" i="10" s="1"/>
  <c r="C4" i="32" a="1"/>
  <c r="C4" i="32" s="1"/>
  <c r="C4" i="33" a="1"/>
  <c r="C4" i="33" s="1"/>
  <c r="H4" i="26" a="1"/>
  <c r="H4" i="26" s="1"/>
  <c r="C4" i="34" a="1"/>
  <c r="C4" i="34" s="1"/>
  <c r="C4" i="10" a="1"/>
  <c r="C4" i="10" s="1"/>
  <c r="X3" i="30" a="1"/>
  <c r="X3" i="30" s="1"/>
  <c r="W3" i="32" a="1"/>
  <c r="W3" i="32" s="1"/>
  <c r="E4" i="11" a="1"/>
  <c r="E4" i="11" s="1"/>
  <c r="V3" i="32" a="1"/>
  <c r="V3" i="32" s="1"/>
  <c r="D4" i="29" a="1"/>
  <c r="D4" i="29" s="1"/>
  <c r="L4" i="26" a="1"/>
  <c r="L4" i="26" s="1"/>
  <c r="Y3" i="30" a="1"/>
  <c r="Y3" i="30" s="1"/>
  <c r="B4" i="32" a="1"/>
  <c r="B4" i="32" s="1"/>
  <c r="B4" i="33" a="1"/>
  <c r="B4" i="33" s="1"/>
  <c r="G4" i="26" a="1"/>
  <c r="G4" i="26" s="1"/>
  <c r="B4" i="34" a="1"/>
  <c r="B4" i="34" s="1"/>
  <c r="B4" i="10" a="1"/>
  <c r="B4" i="10" s="1"/>
  <c r="X3" i="32" a="1"/>
  <c r="X3" i="32" s="1"/>
  <c r="X3" i="33" a="1"/>
  <c r="X3" i="33" s="1"/>
  <c r="E4" i="26" a="1"/>
  <c r="E4" i="26" s="1"/>
  <c r="X3" i="34" a="1"/>
  <c r="X3" i="34" s="1"/>
  <c r="X3" i="10" a="1"/>
  <c r="X3" i="10" s="1"/>
  <c r="B4" i="31" a="1"/>
  <c r="B4" i="31" s="1"/>
  <c r="S3" i="32" a="1"/>
  <c r="S3" i="32" s="1"/>
  <c r="Y3" i="32" a="1"/>
  <c r="Y3" i="32" s="1"/>
  <c r="Y3" i="33" a="1"/>
  <c r="Y3" i="33" s="1"/>
  <c r="F4" i="26" a="1"/>
  <c r="F4" i="26" s="1"/>
  <c r="Y3" i="34" a="1"/>
  <c r="Y3" i="34" s="1"/>
  <c r="Y3" i="10" a="1"/>
  <c r="Y3" i="10" s="1"/>
  <c r="K4" i="26" a="1"/>
  <c r="K4" i="26" s="1"/>
  <c r="V3" i="31" a="1"/>
  <c r="V3" i="31" s="1"/>
  <c r="Y3" i="31" a="1"/>
  <c r="Y3" i="31" s="1"/>
  <c r="B4" i="29" a="1"/>
  <c r="B4" i="29" s="1"/>
  <c r="Y3" i="29" a="1"/>
  <c r="Y3" i="29" s="1"/>
  <c r="D4" i="30" a="1"/>
  <c r="D4" i="30" s="1"/>
  <c r="C4" i="29" a="1"/>
  <c r="C4" i="29" s="1"/>
  <c r="M4" i="26" a="1"/>
  <c r="M4" i="26" s="1"/>
  <c r="X3" i="29" a="1"/>
  <c r="X3" i="29" s="1"/>
  <c r="T3" i="46"/>
  <c r="W3" i="46"/>
  <c r="R3" i="46"/>
  <c r="Q3" i="46"/>
  <c r="V3" i="46"/>
  <c r="U3" i="46"/>
  <c r="I4" i="25" l="1" a="1"/>
  <c r="I4" i="25" s="1"/>
  <c r="I4" i="11" a="1"/>
  <c r="I4" i="11" s="1"/>
  <c r="E4" i="28" a="1"/>
  <c r="E4" i="28" s="1"/>
  <c r="R4" i="25" a="1"/>
  <c r="R4" i="25" s="1"/>
  <c r="H4" i="28" a="1"/>
  <c r="H4" i="28" s="1"/>
  <c r="I4" i="29" a="1"/>
  <c r="I4" i="29" s="1"/>
  <c r="F4" i="28" a="1"/>
  <c r="F4" i="28" s="1"/>
  <c r="G4" i="28" a="1"/>
  <c r="G4" i="28" s="1"/>
  <c r="F4" i="30" a="1"/>
  <c r="F4" i="30" s="1"/>
  <c r="C4" i="30" a="1"/>
  <c r="C4" i="30" s="1"/>
  <c r="P4" i="25" a="1"/>
  <c r="P4" i="25" s="1"/>
  <c r="F4" i="32" a="1"/>
  <c r="F4" i="32" s="1"/>
  <c r="F4" i="33" a="1"/>
  <c r="F4" i="33" s="1"/>
  <c r="K4" i="25" a="1"/>
  <c r="K4" i="25" s="1"/>
  <c r="F4" i="34" a="1"/>
  <c r="F4" i="34" s="1"/>
  <c r="F4" i="10" a="1"/>
  <c r="F4" i="10" s="1"/>
  <c r="F4" i="31" a="1"/>
  <c r="F4" i="31" s="1"/>
  <c r="X3" i="31" a="1"/>
  <c r="X3" i="31" s="1"/>
  <c r="G4" i="30" a="1"/>
  <c r="G4" i="30" s="1"/>
  <c r="E4" i="32" a="1"/>
  <c r="E4" i="32" s="1"/>
  <c r="E4" i="33" a="1"/>
  <c r="E4" i="33" s="1"/>
  <c r="J4" i="25" a="1"/>
  <c r="J4" i="25" s="1"/>
  <c r="E4" i="34" a="1"/>
  <c r="E4" i="34" s="1"/>
  <c r="E4" i="10" a="1"/>
  <c r="E4" i="10" s="1"/>
  <c r="E4" i="31" a="1"/>
  <c r="E4" i="31" s="1"/>
  <c r="G4" i="32" a="1"/>
  <c r="G4" i="32" s="1"/>
  <c r="G4" i="33" a="1"/>
  <c r="G4" i="33" s="1"/>
  <c r="L4" i="25" a="1"/>
  <c r="L4" i="25" s="1"/>
  <c r="G4" i="34" a="1"/>
  <c r="G4" i="34" s="1"/>
  <c r="G4" i="10" a="1"/>
  <c r="G4" i="10" s="1"/>
  <c r="G4" i="31" a="1"/>
  <c r="G4" i="31" s="1"/>
  <c r="F4" i="29" a="1"/>
  <c r="F4" i="29" s="1"/>
  <c r="Q4" i="25" a="1"/>
  <c r="Q4" i="25" s="1"/>
  <c r="I4" i="28" a="1"/>
  <c r="I4" i="28" s="1"/>
  <c r="C4" i="31" a="1"/>
  <c r="C4" i="31" s="1"/>
  <c r="J4" i="26" a="1"/>
  <c r="J4" i="26" s="1"/>
  <c r="D4" i="31" a="1"/>
  <c r="D4" i="31" s="1"/>
  <c r="E4" i="29" a="1"/>
  <c r="E4" i="29" s="1"/>
  <c r="H4" i="32" a="1"/>
  <c r="H4" i="32" s="1"/>
  <c r="H4" i="33" a="1"/>
  <c r="H4" i="33" s="1"/>
  <c r="M4" i="25" a="1"/>
  <c r="M4" i="25" s="1"/>
  <c r="H4" i="34" a="1"/>
  <c r="H4" i="34" s="1"/>
  <c r="H4" i="10" a="1"/>
  <c r="H4" i="10" s="1"/>
  <c r="H4" i="31" a="1"/>
  <c r="H4" i="31" s="1"/>
  <c r="I4" i="32" a="1"/>
  <c r="I4" i="32" s="1"/>
  <c r="I4" i="33" a="1"/>
  <c r="I4" i="33" s="1"/>
  <c r="N4" i="25" a="1"/>
  <c r="N4" i="25" s="1"/>
  <c r="I4" i="34" a="1"/>
  <c r="I4" i="34" s="1"/>
  <c r="I4" i="10" a="1"/>
  <c r="I4" i="10" s="1"/>
  <c r="I4" i="31" a="1"/>
  <c r="I4" i="31" s="1"/>
  <c r="G4" i="29" a="1"/>
  <c r="G4" i="29" s="1"/>
  <c r="S3" i="46"/>
  <c r="N4" i="26" l="1" a="1"/>
  <c r="N4" i="26" s="1"/>
  <c r="N4" i="24" a="1"/>
  <c r="N4" i="24" s="1"/>
  <c r="L4" i="28" a="1"/>
  <c r="L4" i="28" s="1"/>
  <c r="N4" i="30" a="1"/>
  <c r="N4" i="30" s="1"/>
  <c r="N4" i="32" a="1"/>
  <c r="N4" i="32" s="1"/>
  <c r="N4" i="33" a="1"/>
  <c r="N4" i="33" s="1"/>
  <c r="S4" i="24" a="1"/>
  <c r="S4" i="24" s="1"/>
  <c r="N4" i="34" a="1"/>
  <c r="N4" i="34" s="1"/>
  <c r="N4" i="10" a="1"/>
  <c r="N4" i="10" s="1"/>
  <c r="N4" i="31" a="1"/>
  <c r="N4" i="31" s="1"/>
  <c r="M4" i="30" a="1"/>
  <c r="M4" i="30" s="1"/>
  <c r="M4" i="32" a="1"/>
  <c r="M4" i="32" s="1"/>
  <c r="M4" i="33" a="1"/>
  <c r="M4" i="33" s="1"/>
  <c r="R4" i="24" a="1"/>
  <c r="R4" i="24" s="1"/>
  <c r="M4" i="34" a="1"/>
  <c r="M4" i="34" s="1"/>
  <c r="M4" i="10" a="1"/>
  <c r="M4" i="10" s="1"/>
  <c r="M4" i="31" a="1"/>
  <c r="M4" i="31" s="1"/>
  <c r="J4" i="28" a="1"/>
  <c r="J4" i="28" s="1"/>
  <c r="I4" i="30" a="1"/>
  <c r="I4" i="30" s="1"/>
  <c r="O4" i="25" a="1"/>
  <c r="O4" i="25" s="1"/>
  <c r="H4" i="30" a="1"/>
  <c r="H4" i="30" s="1"/>
  <c r="N4" i="11" a="1"/>
  <c r="N4" i="11" s="1"/>
  <c r="V4" i="24" a="1"/>
  <c r="V4" i="24" s="1"/>
  <c r="K4" i="28" a="1"/>
  <c r="K4" i="28" s="1"/>
  <c r="L4" i="30" a="1"/>
  <c r="L4" i="30" s="1"/>
  <c r="L4" i="32" a="1"/>
  <c r="L4" i="32" s="1"/>
  <c r="L4" i="33" a="1"/>
  <c r="L4" i="33" s="1"/>
  <c r="Q4" i="24" a="1"/>
  <c r="Q4" i="24" s="1"/>
  <c r="L4" i="34" a="1"/>
  <c r="L4" i="34" s="1"/>
  <c r="L4" i="10" a="1"/>
  <c r="L4" i="10" s="1"/>
  <c r="L4" i="31" a="1"/>
  <c r="L4" i="31" s="1"/>
  <c r="J4" i="30" a="1"/>
  <c r="J4" i="30" s="1"/>
  <c r="J4" i="32" a="1"/>
  <c r="J4" i="32" s="1"/>
  <c r="J4" i="33" a="1"/>
  <c r="J4" i="33" s="1"/>
  <c r="O4" i="24" a="1"/>
  <c r="O4" i="24" s="1"/>
  <c r="J4" i="34" a="1"/>
  <c r="J4" i="34" s="1"/>
  <c r="J4" i="10" a="1"/>
  <c r="J4" i="10" s="1"/>
  <c r="J4" i="31" a="1"/>
  <c r="J4" i="31" s="1"/>
  <c r="L4" i="29" a="1"/>
  <c r="L4" i="29" s="1"/>
  <c r="E4" i="30" a="1"/>
  <c r="E4" i="30" s="1"/>
  <c r="K4" i="30" a="1"/>
  <c r="K4" i="30" s="1"/>
  <c r="K4" i="32" a="1"/>
  <c r="K4" i="32" s="1"/>
  <c r="K4" i="33" a="1"/>
  <c r="K4" i="33" s="1"/>
  <c r="P4" i="24" a="1"/>
  <c r="P4" i="24" s="1"/>
  <c r="K4" i="34" a="1"/>
  <c r="K4" i="34" s="1"/>
  <c r="K4" i="10" a="1"/>
  <c r="K4" i="10" s="1"/>
  <c r="K4" i="31" a="1"/>
  <c r="K4" i="31" s="1"/>
  <c r="U4" i="24" a="1"/>
  <c r="U4" i="24" s="1"/>
  <c r="H4" i="29" a="1"/>
  <c r="H4" i="29" s="1"/>
  <c r="K4" i="29" a="1"/>
  <c r="K4" i="29" s="1"/>
  <c r="L4" i="11" a="1"/>
  <c r="L4" i="11" s="1"/>
  <c r="K4" i="11" a="1"/>
  <c r="K4" i="11" s="1"/>
  <c r="N4" i="28" a="1"/>
  <c r="N4" i="28" s="1"/>
  <c r="M4" i="11" a="1"/>
  <c r="M4" i="11" s="1"/>
  <c r="W4" i="24" a="1"/>
  <c r="W4" i="24" s="1"/>
  <c r="J4" i="11" a="1"/>
  <c r="J4" i="11" s="1"/>
  <c r="X4" i="22" l="1" a="1"/>
  <c r="X4" i="22" s="1"/>
  <c r="S4" i="25" a="1"/>
  <c r="S4" i="25" s="1"/>
  <c r="O4" i="26" a="1"/>
  <c r="O4" i="26" s="1"/>
  <c r="I5" i="22" a="1"/>
  <c r="I5" i="22" s="1"/>
  <c r="R4" i="26" a="1"/>
  <c r="R4" i="26" s="1"/>
  <c r="S4" i="11" a="1"/>
  <c r="S4" i="11" s="1"/>
  <c r="P4" i="26" a="1"/>
  <c r="P4" i="26" s="1"/>
  <c r="Q4" i="26" a="1"/>
  <c r="Q4" i="26" s="1"/>
  <c r="P4" i="28" a="1"/>
  <c r="P4" i="28" s="1"/>
  <c r="M4" i="28" a="1"/>
  <c r="M4" i="28" s="1"/>
  <c r="G5" i="22" a="1"/>
  <c r="G5" i="22" s="1"/>
  <c r="P4" i="30" a="1"/>
  <c r="P4" i="30" s="1"/>
  <c r="P4" i="32" a="1"/>
  <c r="P4" i="32" s="1"/>
  <c r="P4" i="33" a="1"/>
  <c r="P4" i="33" s="1"/>
  <c r="P4" i="34" a="1"/>
  <c r="P4" i="34" s="1"/>
  <c r="P4" i="10" a="1"/>
  <c r="P4" i="10" s="1"/>
  <c r="P4" i="31" a="1"/>
  <c r="P4" i="31" s="1"/>
  <c r="P4" i="29" a="1"/>
  <c r="P4" i="29" s="1"/>
  <c r="J4" i="29" a="1"/>
  <c r="J4" i="29" s="1"/>
  <c r="Q4" i="28" a="1"/>
  <c r="Q4" i="28" s="1"/>
  <c r="O4" i="30" a="1"/>
  <c r="O4" i="30" s="1"/>
  <c r="O4" i="32" a="1"/>
  <c r="O4" i="32" s="1"/>
  <c r="O4" i="33" a="1"/>
  <c r="O4" i="33" s="1"/>
  <c r="O4" i="34" a="1"/>
  <c r="O4" i="34" s="1"/>
  <c r="O4" i="10" a="1"/>
  <c r="O4" i="10" s="1"/>
  <c r="O4" i="31" a="1"/>
  <c r="O4" i="31" s="1"/>
  <c r="O4" i="29" a="1"/>
  <c r="O4" i="29" s="1"/>
  <c r="Q4" i="30" a="1"/>
  <c r="Q4" i="30" s="1"/>
  <c r="Q4" i="32" a="1"/>
  <c r="Q4" i="32" s="1"/>
  <c r="Q4" i="33" a="1"/>
  <c r="Q4" i="33" s="1"/>
  <c r="Q4" i="34" a="1"/>
  <c r="Q4" i="34" s="1"/>
  <c r="Q4" i="10" a="1"/>
  <c r="Q4" i="10" s="1"/>
  <c r="Q4" i="31" a="1"/>
  <c r="Q4" i="31" s="1"/>
  <c r="Q4" i="29" a="1"/>
  <c r="Q4" i="29" s="1"/>
  <c r="P4" i="11" a="1"/>
  <c r="P4" i="11" s="1"/>
  <c r="H5" i="22" a="1"/>
  <c r="H5" i="22" s="1"/>
  <c r="S4" i="26" a="1"/>
  <c r="S4" i="26" s="1"/>
  <c r="M4" i="29" a="1"/>
  <c r="M4" i="29" s="1"/>
  <c r="T4" i="24" a="1"/>
  <c r="T4" i="24" s="1"/>
  <c r="N4" i="29" a="1"/>
  <c r="N4" i="29" s="1"/>
  <c r="O4" i="11" a="1"/>
  <c r="O4" i="11" s="1"/>
  <c r="R4" i="30" a="1"/>
  <c r="R4" i="30" s="1"/>
  <c r="R4" i="32" a="1"/>
  <c r="R4" i="32" s="1"/>
  <c r="R4" i="33" a="1"/>
  <c r="R4" i="33" s="1"/>
  <c r="R4" i="34" a="1"/>
  <c r="R4" i="34" s="1"/>
  <c r="R4" i="10" a="1"/>
  <c r="R4" i="10" s="1"/>
  <c r="R4" i="31" a="1"/>
  <c r="R4" i="31" s="1"/>
  <c r="R4" i="29" a="1"/>
  <c r="R4" i="29" s="1"/>
  <c r="S4" i="30" a="1"/>
  <c r="S4" i="30" s="1"/>
  <c r="S4" i="32" a="1"/>
  <c r="S4" i="32" s="1"/>
  <c r="S4" i="33" a="1"/>
  <c r="S4" i="33" s="1"/>
  <c r="S4" i="34" a="1"/>
  <c r="S4" i="34" s="1"/>
  <c r="S4" i="10" a="1"/>
  <c r="S4" i="10" s="1"/>
  <c r="S4" i="31" a="1"/>
  <c r="S4" i="31" s="1"/>
  <c r="S4" i="29" a="1"/>
  <c r="S4" i="29" s="1"/>
  <c r="Q4" i="11" a="1"/>
  <c r="Q4" i="11" s="1"/>
  <c r="X4" i="24" l="1" a="1"/>
  <c r="X4" i="24" s="1"/>
  <c r="J5" i="8" a="1"/>
  <c r="J5" i="8" s="1"/>
  <c r="V4" i="26" a="1"/>
  <c r="V4" i="26" s="1"/>
  <c r="X4" i="28" a="1"/>
  <c r="X4" i="28" s="1"/>
  <c r="X4" i="30" a="1"/>
  <c r="X4" i="30" s="1"/>
  <c r="X4" i="32" a="1"/>
  <c r="X4" i="32" s="1"/>
  <c r="X4" i="33" a="1"/>
  <c r="X4" i="33" s="1"/>
  <c r="E5" i="22" a="1"/>
  <c r="E5" i="22" s="1"/>
  <c r="X4" i="34" a="1"/>
  <c r="X4" i="34" s="1"/>
  <c r="X4" i="10" a="1"/>
  <c r="X4" i="10" s="1"/>
  <c r="X4" i="31" a="1"/>
  <c r="X4" i="31" s="1"/>
  <c r="X4" i="29" a="1"/>
  <c r="X4" i="29" s="1"/>
  <c r="W4" i="28" a="1"/>
  <c r="W4" i="28" s="1"/>
  <c r="W4" i="30" a="1"/>
  <c r="W4" i="30" s="1"/>
  <c r="W4" i="32" a="1"/>
  <c r="W4" i="32" s="1"/>
  <c r="W4" i="33" a="1"/>
  <c r="W4" i="33" s="1"/>
  <c r="D5" i="22" a="1"/>
  <c r="D5" i="22" s="1"/>
  <c r="W4" i="34" a="1"/>
  <c r="W4" i="34" s="1"/>
  <c r="W4" i="10" a="1"/>
  <c r="W4" i="10" s="1"/>
  <c r="W4" i="31" a="1"/>
  <c r="W4" i="31" s="1"/>
  <c r="W4" i="29" a="1"/>
  <c r="W4" i="29" s="1"/>
  <c r="T4" i="26" a="1"/>
  <c r="T4" i="26" s="1"/>
  <c r="S4" i="28" a="1"/>
  <c r="S4" i="28" s="1"/>
  <c r="F5" i="22" a="1"/>
  <c r="F5" i="22" s="1"/>
  <c r="R4" i="28" a="1"/>
  <c r="R4" i="28" s="1"/>
  <c r="X4" i="25" a="1"/>
  <c r="X4" i="25" s="1"/>
  <c r="R5" i="8" a="1"/>
  <c r="R5" i="8" s="1"/>
  <c r="U4" i="26" a="1"/>
  <c r="U4" i="26" s="1"/>
  <c r="V4" i="28" a="1"/>
  <c r="V4" i="28" s="1"/>
  <c r="V4" i="30" a="1"/>
  <c r="V4" i="30" s="1"/>
  <c r="V4" i="32" a="1"/>
  <c r="V4" i="32" s="1"/>
  <c r="V4" i="33" a="1"/>
  <c r="V4" i="33" s="1"/>
  <c r="C5" i="22" a="1"/>
  <c r="C5" i="22" s="1"/>
  <c r="V4" i="34" a="1"/>
  <c r="V4" i="34" s="1"/>
  <c r="V4" i="10" a="1"/>
  <c r="V4" i="10" s="1"/>
  <c r="V4" i="31" a="1"/>
  <c r="V4" i="31" s="1"/>
  <c r="V4" i="29" a="1"/>
  <c r="V4" i="29" s="1"/>
  <c r="T4" i="28" a="1"/>
  <c r="T4" i="28" s="1"/>
  <c r="T4" i="30" a="1"/>
  <c r="T4" i="30" s="1"/>
  <c r="T4" i="32" a="1"/>
  <c r="T4" i="32" s="1"/>
  <c r="T4" i="33" a="1"/>
  <c r="T4" i="33" s="1"/>
  <c r="Y4" i="22" a="1"/>
  <c r="Y4" i="22" s="1"/>
  <c r="T4" i="34" a="1"/>
  <c r="T4" i="34" s="1"/>
  <c r="T4" i="10" a="1"/>
  <c r="T4" i="10" s="1"/>
  <c r="T4" i="31" a="1"/>
  <c r="T4" i="31" s="1"/>
  <c r="T4" i="29" a="1"/>
  <c r="T4" i="29" s="1"/>
  <c r="V4" i="11" a="1"/>
  <c r="V4" i="11" s="1"/>
  <c r="O4" i="28" a="1"/>
  <c r="O4" i="28" s="1"/>
  <c r="U4" i="28" a="1"/>
  <c r="U4" i="28" s="1"/>
  <c r="U4" i="30" a="1"/>
  <c r="U4" i="30" s="1"/>
  <c r="U4" i="32" a="1"/>
  <c r="U4" i="32" s="1"/>
  <c r="U4" i="33" a="1"/>
  <c r="U4" i="33" s="1"/>
  <c r="B5" i="22" a="1"/>
  <c r="B5" i="22" s="1"/>
  <c r="U4" i="34" a="1"/>
  <c r="U4" i="34" s="1"/>
  <c r="U4" i="10" a="1"/>
  <c r="U4" i="10" s="1"/>
  <c r="U4" i="31" a="1"/>
  <c r="U4" i="31" s="1"/>
  <c r="U4" i="29" a="1"/>
  <c r="U4" i="29" s="1"/>
  <c r="Q5" i="8" a="1"/>
  <c r="Q5" i="8" s="1"/>
  <c r="R4" i="11" a="1"/>
  <c r="R4" i="11" s="1"/>
  <c r="U4" i="11" a="1"/>
  <c r="U4" i="11" s="1"/>
  <c r="V4" i="25" a="1"/>
  <c r="V4" i="25" s="1"/>
  <c r="U4" i="25" a="1"/>
  <c r="U4" i="25" s="1"/>
  <c r="X4" i="26" a="1"/>
  <c r="X4" i="26" s="1"/>
  <c r="W4" i="25" a="1"/>
  <c r="W4" i="25" s="1"/>
  <c r="S5" i="8" a="1"/>
  <c r="S5" i="8" s="1"/>
  <c r="T4" i="25" a="1"/>
  <c r="T4" i="25" s="1"/>
  <c r="J4" i="46"/>
  <c r="O5" i="16" l="1" a="1"/>
  <c r="O5" i="16" s="1"/>
  <c r="J5" i="22" a="1"/>
  <c r="J5" i="22" s="1"/>
  <c r="Y4" i="24" a="1"/>
  <c r="Y4" i="24" s="1"/>
  <c r="X5" i="16" a="1"/>
  <c r="X5" i="16" s="1"/>
  <c r="D5" i="24" a="1"/>
  <c r="D5" i="24" s="1"/>
  <c r="E5" i="25" a="1"/>
  <c r="E5" i="25" s="1"/>
  <c r="B5" i="24" a="1"/>
  <c r="B5" i="24" s="1"/>
  <c r="C5" i="24" a="1"/>
  <c r="C5" i="24" s="1"/>
  <c r="B5" i="26" a="1"/>
  <c r="B5" i="26" s="1"/>
  <c r="W4" i="26" a="1"/>
  <c r="W4" i="26" s="1"/>
  <c r="V5" i="16" a="1"/>
  <c r="V5" i="16" s="1"/>
  <c r="B5" i="28" a="1"/>
  <c r="B5" i="28" s="1"/>
  <c r="B5" i="30" a="1"/>
  <c r="B5" i="30" s="1"/>
  <c r="B5" i="32" a="1"/>
  <c r="B5" i="32" s="1"/>
  <c r="B5" i="33" a="1"/>
  <c r="B5" i="33" s="1"/>
  <c r="B5" i="34" a="1"/>
  <c r="B5" i="34" s="1"/>
  <c r="B5" i="10" a="1"/>
  <c r="B5" i="10" s="1"/>
  <c r="B5" i="31" a="1"/>
  <c r="B5" i="31" s="1"/>
  <c r="B5" i="29" a="1"/>
  <c r="B5" i="29" s="1"/>
  <c r="B5" i="11" a="1"/>
  <c r="B5" i="11" s="1"/>
  <c r="T4" i="11" a="1"/>
  <c r="T4" i="11" s="1"/>
  <c r="C5" i="26" a="1"/>
  <c r="C5" i="26" s="1"/>
  <c r="Y4" i="28" a="1"/>
  <c r="Y4" i="28" s="1"/>
  <c r="Y4" i="30" a="1"/>
  <c r="Y4" i="30" s="1"/>
  <c r="Y4" i="32" a="1"/>
  <c r="Y4" i="32" s="1"/>
  <c r="Y4" i="33" a="1"/>
  <c r="Y4" i="33" s="1"/>
  <c r="Y4" i="34" a="1"/>
  <c r="Y4" i="34" s="1"/>
  <c r="Y4" i="10" a="1"/>
  <c r="Y4" i="10" s="1"/>
  <c r="Y4" i="31" a="1"/>
  <c r="Y4" i="31" s="1"/>
  <c r="Y4" i="29" a="1"/>
  <c r="Y4" i="29" s="1"/>
  <c r="Y4" i="11" a="1"/>
  <c r="Y4" i="11" s="1"/>
  <c r="C5" i="28" a="1"/>
  <c r="C5" i="28" s="1"/>
  <c r="C5" i="30" a="1"/>
  <c r="C5" i="30" s="1"/>
  <c r="C5" i="32" a="1"/>
  <c r="C5" i="32" s="1"/>
  <c r="C5" i="33" a="1"/>
  <c r="C5" i="33" s="1"/>
  <c r="C5" i="34" a="1"/>
  <c r="C5" i="34" s="1"/>
  <c r="C5" i="10" a="1"/>
  <c r="C5" i="10" s="1"/>
  <c r="C5" i="31" a="1"/>
  <c r="C5" i="31" s="1"/>
  <c r="C5" i="29" a="1"/>
  <c r="C5" i="29" s="1"/>
  <c r="C5" i="11" a="1"/>
  <c r="C5" i="11" s="1"/>
  <c r="B5" i="25" a="1"/>
  <c r="B5" i="25" s="1"/>
  <c r="W5" i="16" a="1"/>
  <c r="W5" i="16" s="1"/>
  <c r="E5" i="24" a="1"/>
  <c r="E5" i="24" s="1"/>
  <c r="W4" i="11" a="1"/>
  <c r="W4" i="11" s="1"/>
  <c r="P5" i="8" a="1"/>
  <c r="P5" i="8" s="1"/>
  <c r="X4" i="11" a="1"/>
  <c r="X4" i="11" s="1"/>
  <c r="Y4" i="25" a="1"/>
  <c r="Y4" i="25" s="1"/>
  <c r="D5" i="28" a="1"/>
  <c r="D5" i="28" s="1"/>
  <c r="D5" i="30" a="1"/>
  <c r="D5" i="30" s="1"/>
  <c r="D5" i="32" a="1"/>
  <c r="D5" i="32" s="1"/>
  <c r="D5" i="33" a="1"/>
  <c r="D5" i="33" s="1"/>
  <c r="D5" i="34" a="1"/>
  <c r="D5" i="34" s="1"/>
  <c r="D5" i="10" a="1"/>
  <c r="D5" i="10" s="1"/>
  <c r="D5" i="31" a="1"/>
  <c r="D5" i="31" s="1"/>
  <c r="D5" i="29" a="1"/>
  <c r="D5" i="29" s="1"/>
  <c r="D5" i="11" a="1"/>
  <c r="D5" i="11" s="1"/>
  <c r="E5" i="28" a="1"/>
  <c r="E5" i="28" s="1"/>
  <c r="E5" i="30" a="1"/>
  <c r="E5" i="30" s="1"/>
  <c r="E5" i="32" a="1"/>
  <c r="E5" i="32" s="1"/>
  <c r="E5" i="33" a="1"/>
  <c r="E5" i="33" s="1"/>
  <c r="E5" i="34" a="1"/>
  <c r="E5" i="34" s="1"/>
  <c r="E5" i="10" a="1"/>
  <c r="E5" i="10" s="1"/>
  <c r="E5" i="31" a="1"/>
  <c r="E5" i="31" s="1"/>
  <c r="E5" i="29" a="1"/>
  <c r="E5" i="29" s="1"/>
  <c r="E5" i="11" a="1"/>
  <c r="E5" i="11" s="1"/>
  <c r="C5" i="25" a="1"/>
  <c r="C5" i="25" s="1"/>
  <c r="S4" i="46"/>
  <c r="V4" i="46"/>
  <c r="L4" i="46"/>
  <c r="P4" i="46"/>
  <c r="U4" i="46"/>
  <c r="W4" i="46"/>
  <c r="T4" i="46"/>
  <c r="M4" i="46"/>
  <c r="R4" i="46"/>
  <c r="O4" i="46"/>
  <c r="Q4" i="46"/>
  <c r="T5" i="8" l="1" a="1"/>
  <c r="T5" i="8" s="1"/>
  <c r="T5" i="19" a="1"/>
  <c r="T5" i="19" s="1"/>
  <c r="H5" i="24" a="1"/>
  <c r="H5" i="24" s="1"/>
  <c r="J5" i="26" a="1"/>
  <c r="J5" i="26" s="1"/>
  <c r="J5" i="28" a="1"/>
  <c r="J5" i="28" s="1"/>
  <c r="J5" i="30" a="1"/>
  <c r="J5" i="30" s="1"/>
  <c r="J5" i="32" a="1"/>
  <c r="J5" i="32" s="1"/>
  <c r="J5" i="33" a="1"/>
  <c r="J5" i="33" s="1"/>
  <c r="O5" i="8" a="1"/>
  <c r="O5" i="8" s="1"/>
  <c r="J5" i="34" a="1"/>
  <c r="J5" i="34" s="1"/>
  <c r="J5" i="10" a="1"/>
  <c r="J5" i="10" s="1"/>
  <c r="J5" i="31" a="1"/>
  <c r="J5" i="31" s="1"/>
  <c r="J5" i="29" a="1"/>
  <c r="J5" i="29" s="1"/>
  <c r="J5" i="11" a="1"/>
  <c r="J5" i="11" s="1"/>
  <c r="I5" i="26" a="1"/>
  <c r="I5" i="26" s="1"/>
  <c r="I5" i="28" a="1"/>
  <c r="I5" i="28" s="1"/>
  <c r="I5" i="30" a="1"/>
  <c r="I5" i="30" s="1"/>
  <c r="I5" i="32" a="1"/>
  <c r="I5" i="32" s="1"/>
  <c r="I5" i="33" a="1"/>
  <c r="I5" i="33" s="1"/>
  <c r="N5" i="8" a="1"/>
  <c r="N5" i="8" s="1"/>
  <c r="I5" i="34" a="1"/>
  <c r="I5" i="34" s="1"/>
  <c r="I5" i="10" a="1"/>
  <c r="I5" i="10" s="1"/>
  <c r="I5" i="31" a="1"/>
  <c r="I5" i="31" s="1"/>
  <c r="I5" i="29" a="1"/>
  <c r="I5" i="29" s="1"/>
  <c r="I5" i="11" a="1"/>
  <c r="I5" i="11" s="1"/>
  <c r="F5" i="24" a="1"/>
  <c r="F5" i="24" s="1"/>
  <c r="E5" i="26" a="1"/>
  <c r="E5" i="26" s="1"/>
  <c r="U5" i="16" a="1"/>
  <c r="U5" i="16" s="1"/>
  <c r="D5" i="26" a="1"/>
  <c r="D5" i="26" s="1"/>
  <c r="O5" i="22" a="1"/>
  <c r="O5" i="22" s="1"/>
  <c r="D7" i="19" a="1"/>
  <c r="D7" i="19" s="1"/>
  <c r="G5" i="24" a="1"/>
  <c r="G5" i="24" s="1"/>
  <c r="H5" i="26" a="1"/>
  <c r="H5" i="26" s="1"/>
  <c r="H5" i="28" a="1"/>
  <c r="H5" i="28" s="1"/>
  <c r="H5" i="30" a="1"/>
  <c r="H5" i="30" s="1"/>
  <c r="H5" i="32" a="1"/>
  <c r="H5" i="32" s="1"/>
  <c r="H5" i="33" a="1"/>
  <c r="H5" i="33" s="1"/>
  <c r="M5" i="8" a="1"/>
  <c r="M5" i="8" s="1"/>
  <c r="H5" i="34" a="1"/>
  <c r="H5" i="34" s="1"/>
  <c r="H5" i="10" a="1"/>
  <c r="H5" i="10" s="1"/>
  <c r="H5" i="31" a="1"/>
  <c r="H5" i="31" s="1"/>
  <c r="H5" i="29" a="1"/>
  <c r="H5" i="29" s="1"/>
  <c r="H5" i="11" a="1"/>
  <c r="H5" i="11" s="1"/>
  <c r="F5" i="26" a="1"/>
  <c r="F5" i="26" s="1"/>
  <c r="F5" i="28" a="1"/>
  <c r="F5" i="28" s="1"/>
  <c r="F5" i="30" a="1"/>
  <c r="F5" i="30" s="1"/>
  <c r="F5" i="32" a="1"/>
  <c r="F5" i="32" s="1"/>
  <c r="F5" i="33" a="1"/>
  <c r="F5" i="33" s="1"/>
  <c r="K5" i="8" a="1"/>
  <c r="K5" i="8" s="1"/>
  <c r="F5" i="34" a="1"/>
  <c r="F5" i="34" s="1"/>
  <c r="F5" i="10" a="1"/>
  <c r="F5" i="10" s="1"/>
  <c r="F5" i="31" a="1"/>
  <c r="F5" i="31" s="1"/>
  <c r="F5" i="29" a="1"/>
  <c r="F5" i="29" s="1"/>
  <c r="F5" i="11" a="1"/>
  <c r="F5" i="11" s="1"/>
  <c r="H5" i="25" a="1"/>
  <c r="H5" i="25" s="1"/>
  <c r="Y4" i="26" a="1"/>
  <c r="Y4" i="26" s="1"/>
  <c r="G5" i="26" a="1"/>
  <c r="G5" i="26" s="1"/>
  <c r="G5" i="28" a="1"/>
  <c r="G5" i="28" s="1"/>
  <c r="G5" i="30" a="1"/>
  <c r="G5" i="30" s="1"/>
  <c r="G5" i="32" a="1"/>
  <c r="G5" i="32" s="1"/>
  <c r="G5" i="33" a="1"/>
  <c r="G5" i="33" s="1"/>
  <c r="L5" i="8" a="1"/>
  <c r="L5" i="8" s="1"/>
  <c r="G5" i="34" a="1"/>
  <c r="G5" i="34" s="1"/>
  <c r="G5" i="10" a="1"/>
  <c r="G5" i="10" s="1"/>
  <c r="G5" i="31" a="1"/>
  <c r="G5" i="31" s="1"/>
  <c r="G5" i="29" a="1"/>
  <c r="G5" i="29" s="1"/>
  <c r="G5" i="11" a="1"/>
  <c r="G5" i="11" s="1"/>
  <c r="C7" i="19" a="1"/>
  <c r="C7" i="19" s="1"/>
  <c r="D5" i="25" a="1"/>
  <c r="D5" i="25" s="1"/>
  <c r="G5" i="25" a="1"/>
  <c r="G5" i="25" s="1"/>
  <c r="M5" i="22" a="1"/>
  <c r="M5" i="22" s="1"/>
  <c r="L5" i="22" a="1"/>
  <c r="L5" i="22" s="1"/>
  <c r="J5" i="24" a="1"/>
  <c r="J5" i="24" s="1"/>
  <c r="N5" i="22" a="1"/>
  <c r="N5" i="22" s="1"/>
  <c r="E7" i="19" a="1"/>
  <c r="E7" i="19" s="1"/>
  <c r="K5" i="22" a="1"/>
  <c r="K5" i="22" s="1"/>
  <c r="N4" i="46"/>
  <c r="F7" i="17" l="1" a="1"/>
  <c r="F7" i="17" s="1"/>
  <c r="Y5" i="16" a="1"/>
  <c r="Y5" i="16" s="1"/>
  <c r="U5" i="8" a="1"/>
  <c r="U5" i="8" s="1"/>
  <c r="O7" i="17" a="1"/>
  <c r="O7" i="17" s="1"/>
  <c r="X5" i="8" a="1"/>
  <c r="X5" i="8" s="1"/>
  <c r="T5" i="22" a="1"/>
  <c r="T5" i="22" s="1"/>
  <c r="V5" i="8" a="1"/>
  <c r="V5" i="8" s="1"/>
  <c r="W5" i="8" a="1"/>
  <c r="W5" i="8" s="1"/>
  <c r="L5" i="24" a="1"/>
  <c r="L5" i="24" s="1"/>
  <c r="I5" i="24" a="1"/>
  <c r="I5" i="24" s="1"/>
  <c r="M7" i="17" a="1"/>
  <c r="M7" i="17" s="1"/>
  <c r="L5" i="26" a="1"/>
  <c r="L5" i="26" s="1"/>
  <c r="L5" i="28" a="1"/>
  <c r="L5" i="28" s="1"/>
  <c r="L5" i="30" a="1"/>
  <c r="L5" i="30" s="1"/>
  <c r="L5" i="32" a="1"/>
  <c r="L5" i="32" s="1"/>
  <c r="L5" i="33" a="1"/>
  <c r="L5" i="33" s="1"/>
  <c r="Q5" i="16" a="1"/>
  <c r="Q5" i="16" s="1"/>
  <c r="L5" i="34" a="1"/>
  <c r="L5" i="34" s="1"/>
  <c r="L5" i="10" a="1"/>
  <c r="L5" i="10" s="1"/>
  <c r="L5" i="31" a="1"/>
  <c r="L5" i="31" s="1"/>
  <c r="L5" i="29" a="1"/>
  <c r="L5" i="29" s="1"/>
  <c r="L5" i="11" a="1"/>
  <c r="L5" i="11" s="1"/>
  <c r="L5" i="25" a="1"/>
  <c r="L5" i="25" s="1"/>
  <c r="F5" i="25" a="1"/>
  <c r="F5" i="25" s="1"/>
  <c r="M5" i="24" a="1"/>
  <c r="M5" i="24" s="1"/>
  <c r="K5" i="26" a="1"/>
  <c r="K5" i="26" s="1"/>
  <c r="K5" i="28" a="1"/>
  <c r="K5" i="28" s="1"/>
  <c r="K5" i="30" a="1"/>
  <c r="K5" i="30" s="1"/>
  <c r="K5" i="32" a="1"/>
  <c r="K5" i="32" s="1"/>
  <c r="K5" i="33" a="1"/>
  <c r="K5" i="33" s="1"/>
  <c r="P5" i="16" a="1"/>
  <c r="P5" i="16" s="1"/>
  <c r="K5" i="34" a="1"/>
  <c r="K5" i="34" s="1"/>
  <c r="K5" i="10" a="1"/>
  <c r="K5" i="10" s="1"/>
  <c r="K5" i="31" a="1"/>
  <c r="K5" i="31" s="1"/>
  <c r="K5" i="29" a="1"/>
  <c r="K5" i="29" s="1"/>
  <c r="K5" i="11" a="1"/>
  <c r="K5" i="11" s="1"/>
  <c r="K5" i="25" a="1"/>
  <c r="K5" i="25" s="1"/>
  <c r="M5" i="26" a="1"/>
  <c r="M5" i="26" s="1"/>
  <c r="M5" i="28" a="1"/>
  <c r="M5" i="28" s="1"/>
  <c r="M5" i="30" a="1"/>
  <c r="M5" i="30" s="1"/>
  <c r="M5" i="32" a="1"/>
  <c r="M5" i="32" s="1"/>
  <c r="M5" i="33" a="1"/>
  <c r="M5" i="33" s="1"/>
  <c r="R5" i="16" a="1"/>
  <c r="R5" i="16" s="1"/>
  <c r="M5" i="34" a="1"/>
  <c r="M5" i="34" s="1"/>
  <c r="M5" i="10" a="1"/>
  <c r="M5" i="10" s="1"/>
  <c r="M5" i="31" a="1"/>
  <c r="M5" i="31" s="1"/>
  <c r="M5" i="29" a="1"/>
  <c r="M5" i="29" s="1"/>
  <c r="M5" i="11" a="1"/>
  <c r="M5" i="11" s="1"/>
  <c r="M5" i="25" a="1"/>
  <c r="M5" i="25" s="1"/>
  <c r="Q5" i="22" a="1"/>
  <c r="Q5" i="22" s="1"/>
  <c r="N7" i="17" a="1"/>
  <c r="N7" i="17" s="1"/>
  <c r="Y5" i="8" a="1"/>
  <c r="Y5" i="8" s="1"/>
  <c r="I5" i="25" a="1"/>
  <c r="I5" i="25" s="1"/>
  <c r="B7" i="19" a="1"/>
  <c r="B7" i="19" s="1"/>
  <c r="J5" i="25" a="1"/>
  <c r="J5" i="25" s="1"/>
  <c r="P5" i="22" a="1"/>
  <c r="P5" i="22" s="1"/>
  <c r="N5" i="26" a="1"/>
  <c r="N5" i="26" s="1"/>
  <c r="N5" i="28" a="1"/>
  <c r="N5" i="28" s="1"/>
  <c r="N5" i="30" a="1"/>
  <c r="N5" i="30" s="1"/>
  <c r="N5" i="32" a="1"/>
  <c r="N5" i="32" s="1"/>
  <c r="N5" i="33" a="1"/>
  <c r="N5" i="33" s="1"/>
  <c r="S5" i="16" a="1"/>
  <c r="S5" i="16" s="1"/>
  <c r="N5" i="34" a="1"/>
  <c r="N5" i="34" s="1"/>
  <c r="N5" i="10" a="1"/>
  <c r="N5" i="10" s="1"/>
  <c r="N5" i="31" a="1"/>
  <c r="N5" i="31" s="1"/>
  <c r="N5" i="29" a="1"/>
  <c r="N5" i="29" s="1"/>
  <c r="N5" i="11" a="1"/>
  <c r="N5" i="11" s="1"/>
  <c r="N5" i="25" a="1"/>
  <c r="N5" i="25" s="1"/>
  <c r="O5" i="26" a="1"/>
  <c r="O5" i="26" s="1"/>
  <c r="O5" i="28" a="1"/>
  <c r="O5" i="28" s="1"/>
  <c r="O5" i="30" a="1"/>
  <c r="O5" i="30" s="1"/>
  <c r="O5" i="32" a="1"/>
  <c r="O5" i="32" s="1"/>
  <c r="O5" i="33" a="1"/>
  <c r="O5" i="33" s="1"/>
  <c r="T5" i="16" a="1"/>
  <c r="T5" i="16" s="1"/>
  <c r="O5" i="34" a="1"/>
  <c r="O5" i="34" s="1"/>
  <c r="O5" i="10" a="1"/>
  <c r="O5" i="10" s="1"/>
  <c r="O5" i="31" a="1"/>
  <c r="O5" i="31" s="1"/>
  <c r="O5" i="29" a="1"/>
  <c r="O5" i="29" s="1"/>
  <c r="O5" i="11" a="1"/>
  <c r="O5" i="11" s="1"/>
  <c r="O5" i="25" a="1"/>
  <c r="O5" i="25" s="1"/>
  <c r="R5" i="22" a="1"/>
  <c r="R5" i="22" s="1"/>
  <c r="H5" i="46"/>
  <c r="G5" i="46"/>
  <c r="H7" i="46" l="1"/>
  <c r="G7" i="46"/>
  <c r="F7" i="19" a="1"/>
  <c r="F7" i="19" s="1"/>
  <c r="D7" i="8" a="1"/>
  <c r="D7" i="8" s="1"/>
  <c r="T5" i="24" a="1"/>
  <c r="T5" i="24" s="1"/>
  <c r="T5" i="26" a="1"/>
  <c r="T5" i="26" s="1"/>
  <c r="T5" i="28" a="1"/>
  <c r="T5" i="28" s="1"/>
  <c r="T5" i="30" a="1"/>
  <c r="T5" i="30" s="1"/>
  <c r="T5" i="32" a="1"/>
  <c r="T5" i="32" s="1"/>
  <c r="T5" i="33" a="1"/>
  <c r="T5" i="33" s="1"/>
  <c r="Y5" i="19" a="1"/>
  <c r="Y5" i="19" s="1"/>
  <c r="T5" i="34" a="1"/>
  <c r="T5" i="34" s="1"/>
  <c r="T5" i="10" a="1"/>
  <c r="T5" i="10" s="1"/>
  <c r="T5" i="31" a="1"/>
  <c r="T5" i="31" s="1"/>
  <c r="T5" i="29" a="1"/>
  <c r="T5" i="29" s="1"/>
  <c r="T5" i="11" a="1"/>
  <c r="T5" i="11" s="1"/>
  <c r="T5" i="25" a="1"/>
  <c r="T5" i="25" s="1"/>
  <c r="S5" i="24" a="1"/>
  <c r="S5" i="24" s="1"/>
  <c r="S5" i="26" a="1"/>
  <c r="S5" i="26" s="1"/>
  <c r="S5" i="28" a="1"/>
  <c r="S5" i="28" s="1"/>
  <c r="S5" i="30" a="1"/>
  <c r="S5" i="30" s="1"/>
  <c r="S5" i="32" a="1"/>
  <c r="S5" i="32" s="1"/>
  <c r="S5" i="33" a="1"/>
  <c r="S5" i="33" s="1"/>
  <c r="X5" i="19" a="1"/>
  <c r="X5" i="19" s="1"/>
  <c r="S5" i="34" a="1"/>
  <c r="S5" i="34" s="1"/>
  <c r="S5" i="10" a="1"/>
  <c r="S5" i="10" s="1"/>
  <c r="S5" i="31" a="1"/>
  <c r="S5" i="31" s="1"/>
  <c r="S5" i="29" a="1"/>
  <c r="S5" i="29" s="1"/>
  <c r="S5" i="11" a="1"/>
  <c r="S5" i="11" s="1"/>
  <c r="S5" i="25" a="1"/>
  <c r="S5" i="25" s="1"/>
  <c r="B7" i="8" a="1"/>
  <c r="B7" i="8" s="1"/>
  <c r="O5" i="24" a="1"/>
  <c r="O5" i="24" s="1"/>
  <c r="L7" i="17" a="1"/>
  <c r="L7" i="17" s="1"/>
  <c r="N5" i="24" a="1"/>
  <c r="N5" i="24" s="1"/>
  <c r="F7" i="16" a="1"/>
  <c r="F7" i="16" s="1"/>
  <c r="C7" i="8" a="1"/>
  <c r="C7" i="8" s="1"/>
  <c r="R5" i="24" a="1"/>
  <c r="R5" i="24" s="1"/>
  <c r="R5" i="26" a="1"/>
  <c r="R5" i="26" s="1"/>
  <c r="R5" i="28" a="1"/>
  <c r="R5" i="28" s="1"/>
  <c r="R5" i="30" a="1"/>
  <c r="R5" i="30" s="1"/>
  <c r="R5" i="32" a="1"/>
  <c r="R5" i="32" s="1"/>
  <c r="R5" i="33" a="1"/>
  <c r="R5" i="33" s="1"/>
  <c r="W5" i="19" a="1"/>
  <c r="W5" i="19" s="1"/>
  <c r="R5" i="34" a="1"/>
  <c r="R5" i="34" s="1"/>
  <c r="R5" i="10" a="1"/>
  <c r="R5" i="10" s="1"/>
  <c r="R5" i="31" a="1"/>
  <c r="R5" i="31" s="1"/>
  <c r="R5" i="29" a="1"/>
  <c r="R5" i="29" s="1"/>
  <c r="R5" i="11" a="1"/>
  <c r="R5" i="11" s="1"/>
  <c r="R5" i="25" a="1"/>
  <c r="R5" i="25" s="1"/>
  <c r="P5" i="24" a="1"/>
  <c r="P5" i="24" s="1"/>
  <c r="P5" i="26" a="1"/>
  <c r="P5" i="26" s="1"/>
  <c r="P5" i="28" a="1"/>
  <c r="P5" i="28" s="1"/>
  <c r="P5" i="30" a="1"/>
  <c r="P5" i="30" s="1"/>
  <c r="P5" i="32" a="1"/>
  <c r="P5" i="32" s="1"/>
  <c r="P5" i="33" a="1"/>
  <c r="P5" i="33" s="1"/>
  <c r="U5" i="19" a="1"/>
  <c r="U5" i="19" s="1"/>
  <c r="P5" i="34" a="1"/>
  <c r="P5" i="34" s="1"/>
  <c r="P5" i="10" a="1"/>
  <c r="P5" i="10" s="1"/>
  <c r="P5" i="31" a="1"/>
  <c r="P5" i="31" s="1"/>
  <c r="P5" i="29" a="1"/>
  <c r="P5" i="29" s="1"/>
  <c r="P5" i="11" a="1"/>
  <c r="P5" i="11" s="1"/>
  <c r="P5" i="25" a="1"/>
  <c r="P5" i="25" s="1"/>
  <c r="W5" i="22" a="1"/>
  <c r="W5" i="22" s="1"/>
  <c r="K5" i="24" a="1"/>
  <c r="K5" i="24" s="1"/>
  <c r="Q5" i="24" a="1"/>
  <c r="Q5" i="24" s="1"/>
  <c r="Q5" i="26" a="1"/>
  <c r="Q5" i="26" s="1"/>
  <c r="Q5" i="28" a="1"/>
  <c r="Q5" i="28" s="1"/>
  <c r="Q5" i="30" a="1"/>
  <c r="Q5" i="30" s="1"/>
  <c r="Q5" i="32" a="1"/>
  <c r="Q5" i="32" s="1"/>
  <c r="Q5" i="33" a="1"/>
  <c r="Q5" i="33" s="1"/>
  <c r="V5" i="19" a="1"/>
  <c r="V5" i="19" s="1"/>
  <c r="Q5" i="34" a="1"/>
  <c r="Q5" i="34" s="1"/>
  <c r="Q5" i="10" a="1"/>
  <c r="Q5" i="10" s="1"/>
  <c r="Q5" i="31" a="1"/>
  <c r="Q5" i="31" s="1"/>
  <c r="Q5" i="29" a="1"/>
  <c r="Q5" i="29" s="1"/>
  <c r="Q5" i="11" a="1"/>
  <c r="Q5" i="11" s="1"/>
  <c r="Q5" i="25" a="1"/>
  <c r="Q5" i="25" s="1"/>
  <c r="S5" i="22" a="1"/>
  <c r="S5" i="22" s="1"/>
  <c r="V5" i="22" a="1"/>
  <c r="V5" i="22" s="1"/>
  <c r="D7" i="16" a="1"/>
  <c r="D7" i="16" s="1"/>
  <c r="C7" i="16" a="1"/>
  <c r="C7" i="16" s="1"/>
  <c r="F7" i="8" a="1"/>
  <c r="F7" i="8" s="1"/>
  <c r="E7" i="16" a="1"/>
  <c r="E7" i="16" s="1"/>
  <c r="B7" i="16" a="1"/>
  <c r="B7" i="16" s="1"/>
  <c r="F5" i="46"/>
  <c r="F7" i="46" l="1"/>
  <c r="P7" i="17" a="1"/>
  <c r="P7" i="17" s="1"/>
  <c r="G7" i="19" a="1"/>
  <c r="G7" i="19" s="1"/>
  <c r="J7" i="19" a="1"/>
  <c r="J7" i="19" s="1"/>
  <c r="K7" i="16" a="1"/>
  <c r="K7" i="16" s="1"/>
  <c r="H7" i="19" a="1"/>
  <c r="H7" i="19" s="1"/>
  <c r="I7" i="19" a="1"/>
  <c r="I7" i="19" s="1"/>
  <c r="H7" i="8" a="1"/>
  <c r="H7" i="8" s="1"/>
  <c r="E7" i="8" a="1"/>
  <c r="E7" i="8" s="1"/>
  <c r="V5" i="24" a="1"/>
  <c r="V5" i="24" s="1"/>
  <c r="V5" i="26" a="1"/>
  <c r="V5" i="26" s="1"/>
  <c r="V5" i="28" a="1"/>
  <c r="V5" i="28" s="1"/>
  <c r="V5" i="30" a="1"/>
  <c r="V5" i="30" s="1"/>
  <c r="V5" i="32" a="1"/>
  <c r="V5" i="32" s="1"/>
  <c r="V5" i="33" a="1"/>
  <c r="V5" i="33" s="1"/>
  <c r="V5" i="34" a="1"/>
  <c r="V5" i="34" s="1"/>
  <c r="V5" i="10" a="1"/>
  <c r="V5" i="10" s="1"/>
  <c r="V5" i="31" a="1"/>
  <c r="V5" i="31" s="1"/>
  <c r="V5" i="29" a="1"/>
  <c r="V5" i="29" s="1"/>
  <c r="V5" i="11" a="1"/>
  <c r="V5" i="11" s="1"/>
  <c r="V5" i="25" a="1"/>
  <c r="V5" i="25" s="1"/>
  <c r="C7" i="22" a="1"/>
  <c r="C7" i="22" s="1"/>
  <c r="U5" i="22" a="1"/>
  <c r="U5" i="22" s="1"/>
  <c r="I7" i="8" a="1"/>
  <c r="I7" i="8" s="1"/>
  <c r="U5" i="24" a="1"/>
  <c r="U5" i="24" s="1"/>
  <c r="U5" i="26" a="1"/>
  <c r="U5" i="26" s="1"/>
  <c r="U5" i="28" a="1"/>
  <c r="U5" i="28" s="1"/>
  <c r="U5" i="30" a="1"/>
  <c r="U5" i="30" s="1"/>
  <c r="U5" i="32" a="1"/>
  <c r="U5" i="32" s="1"/>
  <c r="U5" i="33" a="1"/>
  <c r="U5" i="33" s="1"/>
  <c r="U5" i="34" a="1"/>
  <c r="U5" i="34" s="1"/>
  <c r="U5" i="10" a="1"/>
  <c r="U5" i="10" s="1"/>
  <c r="U5" i="31" a="1"/>
  <c r="U5" i="31" s="1"/>
  <c r="U5" i="29" a="1"/>
  <c r="U5" i="29" s="1"/>
  <c r="U5" i="11" a="1"/>
  <c r="U5" i="11" s="1"/>
  <c r="U5" i="25" a="1"/>
  <c r="U5" i="25" s="1"/>
  <c r="B7" i="22" a="1"/>
  <c r="B7" i="22" s="1"/>
  <c r="W5" i="24" a="1"/>
  <c r="W5" i="24" s="1"/>
  <c r="W5" i="26" a="1"/>
  <c r="W5" i="26" s="1"/>
  <c r="W5" i="28" a="1"/>
  <c r="W5" i="28" s="1"/>
  <c r="W5" i="30" a="1"/>
  <c r="W5" i="30" s="1"/>
  <c r="W5" i="32" a="1"/>
  <c r="W5" i="32" s="1"/>
  <c r="W5" i="33" a="1"/>
  <c r="W5" i="33" s="1"/>
  <c r="W5" i="34" a="1"/>
  <c r="W5" i="34" s="1"/>
  <c r="W5" i="10" a="1"/>
  <c r="W5" i="10" s="1"/>
  <c r="W5" i="31" a="1"/>
  <c r="W5" i="31" s="1"/>
  <c r="W5" i="29" a="1"/>
  <c r="W5" i="29" s="1"/>
  <c r="W5" i="11" a="1"/>
  <c r="W5" i="11" s="1"/>
  <c r="W5" i="25" a="1"/>
  <c r="W5" i="25" s="1"/>
  <c r="D7" i="22" a="1"/>
  <c r="D7" i="22" s="1"/>
  <c r="H7" i="16" a="1"/>
  <c r="H7" i="16" s="1"/>
  <c r="K7" i="19" a="1"/>
  <c r="K7" i="19" s="1"/>
  <c r="X5" i="22" a="1"/>
  <c r="X5" i="22" s="1"/>
  <c r="Y5" i="22" a="1"/>
  <c r="Y5" i="22" s="1"/>
  <c r="G7" i="16" a="1"/>
  <c r="G7" i="16" s="1"/>
  <c r="X5" i="24" a="1"/>
  <c r="X5" i="24" s="1"/>
  <c r="X5" i="26" a="1"/>
  <c r="X5" i="26" s="1"/>
  <c r="X5" i="28" a="1"/>
  <c r="X5" i="28" s="1"/>
  <c r="X5" i="30" a="1"/>
  <c r="X5" i="30" s="1"/>
  <c r="X5" i="32" a="1"/>
  <c r="X5" i="32" s="1"/>
  <c r="X5" i="33" a="1"/>
  <c r="X5" i="33" s="1"/>
  <c r="X5" i="34" a="1"/>
  <c r="X5" i="34" s="1"/>
  <c r="X5" i="10" a="1"/>
  <c r="X5" i="10" s="1"/>
  <c r="X5" i="31" a="1"/>
  <c r="X5" i="31" s="1"/>
  <c r="X5" i="29" a="1"/>
  <c r="X5" i="29" s="1"/>
  <c r="X5" i="11" a="1"/>
  <c r="X5" i="11" s="1"/>
  <c r="X5" i="25" a="1"/>
  <c r="X5" i="25" s="1"/>
  <c r="E7" i="22" a="1"/>
  <c r="E7" i="22" s="1"/>
  <c r="Y5" i="24" a="1"/>
  <c r="Y5" i="24" s="1"/>
  <c r="Y5" i="26" a="1"/>
  <c r="Y5" i="26" s="1"/>
  <c r="Y5" i="28" a="1"/>
  <c r="Y5" i="28" s="1"/>
  <c r="Y5" i="30" a="1"/>
  <c r="Y5" i="30" s="1"/>
  <c r="Y5" i="32" a="1"/>
  <c r="Y5" i="32" s="1"/>
  <c r="Y5" i="33" a="1"/>
  <c r="Y5" i="33" s="1"/>
  <c r="Y5" i="34" a="1"/>
  <c r="Y5" i="34" s="1"/>
  <c r="Y5" i="10" a="1"/>
  <c r="Y5" i="10" s="1"/>
  <c r="Y5" i="31" a="1"/>
  <c r="Y5" i="31" s="1"/>
  <c r="Y5" i="29" a="1"/>
  <c r="Y5" i="29" s="1"/>
  <c r="Y5" i="11" a="1"/>
  <c r="Y5" i="11" s="1"/>
  <c r="Y5" i="25" a="1"/>
  <c r="Y5" i="25" s="1"/>
  <c r="F7" i="22" a="1"/>
  <c r="F7" i="22" s="1"/>
  <c r="I7" i="16" a="1"/>
  <c r="I7" i="16" s="1"/>
  <c r="P5" i="46"/>
  <c r="J5" i="46"/>
  <c r="W5" i="46"/>
  <c r="U5" i="46"/>
  <c r="L5" i="46"/>
  <c r="M5" i="46"/>
  <c r="V5" i="46"/>
  <c r="R5" i="46"/>
  <c r="Q5" i="46"/>
  <c r="O5" i="46"/>
  <c r="T5" i="46"/>
  <c r="N5" i="46"/>
  <c r="S5" i="46"/>
  <c r="M7" i="46" l="1"/>
  <c r="O7" i="46"/>
  <c r="L7" i="46"/>
  <c r="S7" i="46"/>
  <c r="J7" i="46"/>
  <c r="U7" i="46"/>
  <c r="W7" i="46"/>
  <c r="V7" i="46"/>
  <c r="T7" i="46"/>
  <c r="R7" i="46"/>
  <c r="N7" i="46"/>
  <c r="Q7" i="46"/>
  <c r="P7" i="46"/>
  <c r="N7" i="19" a="1"/>
  <c r="N7" i="19" s="1"/>
  <c r="P7" i="8" a="1"/>
  <c r="P7" i="8" s="1"/>
  <c r="F7" i="24" a="1"/>
  <c r="F7" i="24" s="1"/>
  <c r="F7" i="26" a="1"/>
  <c r="F7" i="26" s="1"/>
  <c r="F7" i="28" a="1"/>
  <c r="F7" i="28" s="1"/>
  <c r="F7" i="30" a="1"/>
  <c r="F7" i="30" s="1"/>
  <c r="F7" i="32" a="1"/>
  <c r="F7" i="32" s="1"/>
  <c r="F7" i="33" a="1"/>
  <c r="F7" i="33" s="1"/>
  <c r="K7" i="17" a="1"/>
  <c r="K7" i="17" s="1"/>
  <c r="F7" i="10" a="1"/>
  <c r="F7" i="10" s="1"/>
  <c r="F7" i="31" a="1"/>
  <c r="F7" i="31" s="1"/>
  <c r="F7" i="29" a="1"/>
  <c r="F7" i="29" s="1"/>
  <c r="F7" i="11" a="1"/>
  <c r="F7" i="11" s="1"/>
  <c r="F7" i="25" a="1"/>
  <c r="F7" i="25" s="1"/>
  <c r="K7" i="22" a="1"/>
  <c r="K7" i="22" s="1"/>
  <c r="O7" i="8" a="1"/>
  <c r="O7" i="8" s="1"/>
  <c r="E7" i="24" a="1"/>
  <c r="E7" i="24" s="1"/>
  <c r="E7" i="26" a="1"/>
  <c r="E7" i="26" s="1"/>
  <c r="E7" i="28" a="1"/>
  <c r="E7" i="28" s="1"/>
  <c r="E7" i="30" a="1"/>
  <c r="E7" i="30" s="1"/>
  <c r="E7" i="32" a="1"/>
  <c r="E7" i="32" s="1"/>
  <c r="E7" i="33" a="1"/>
  <c r="E7" i="33" s="1"/>
  <c r="J7" i="34" a="1"/>
  <c r="J7" i="34" s="1"/>
  <c r="J7" i="17" a="1"/>
  <c r="J7" i="17" s="1"/>
  <c r="E7" i="34" a="1"/>
  <c r="E7" i="34" s="1"/>
  <c r="E7" i="10" a="1"/>
  <c r="E7" i="10" s="1"/>
  <c r="E7" i="31" a="1"/>
  <c r="E7" i="31" s="1"/>
  <c r="E7" i="29" a="1"/>
  <c r="E7" i="29" s="1"/>
  <c r="E7" i="11" a="1"/>
  <c r="E7" i="11" s="1"/>
  <c r="E7" i="25" a="1"/>
  <c r="E7" i="25" s="1"/>
  <c r="J7" i="22" a="1"/>
  <c r="J7" i="22" s="1"/>
  <c r="L7" i="19" a="1"/>
  <c r="L7" i="19" s="1"/>
  <c r="K7" i="8" a="1"/>
  <c r="K7" i="8" s="1"/>
  <c r="J7" i="8" a="1"/>
  <c r="J7" i="8" s="1"/>
  <c r="U7" i="17" a="1"/>
  <c r="U7" i="17" s="1"/>
  <c r="M7" i="19" a="1"/>
  <c r="M7" i="19" s="1"/>
  <c r="N7" i="8" a="1"/>
  <c r="N7" i="8" s="1"/>
  <c r="D7" i="24" a="1"/>
  <c r="D7" i="24" s="1"/>
  <c r="D7" i="26" a="1"/>
  <c r="D7" i="26" s="1"/>
  <c r="D7" i="28" a="1"/>
  <c r="D7" i="28" s="1"/>
  <c r="D7" i="30" a="1"/>
  <c r="D7" i="30" s="1"/>
  <c r="D7" i="32" a="1"/>
  <c r="D7" i="32" s="1"/>
  <c r="D7" i="33" a="1"/>
  <c r="D7" i="33" s="1"/>
  <c r="I7" i="34" a="1"/>
  <c r="I7" i="34" s="1"/>
  <c r="I7" i="17" a="1"/>
  <c r="I7" i="17" s="1"/>
  <c r="D7" i="34" a="1"/>
  <c r="D7" i="34" s="1"/>
  <c r="D7" i="10" a="1"/>
  <c r="D7" i="10" s="1"/>
  <c r="D7" i="31" a="1"/>
  <c r="D7" i="31" s="1"/>
  <c r="D7" i="29" a="1"/>
  <c r="D7" i="29" s="1"/>
  <c r="D7" i="11" a="1"/>
  <c r="D7" i="11" s="1"/>
  <c r="D7" i="25" a="1"/>
  <c r="D7" i="25" s="1"/>
  <c r="I7" i="22" a="1"/>
  <c r="I7" i="22" s="1"/>
  <c r="L7" i="8" a="1"/>
  <c r="L7" i="8" s="1"/>
  <c r="B7" i="24" a="1"/>
  <c r="B7" i="24" s="1"/>
  <c r="B7" i="26" a="1"/>
  <c r="B7" i="26" s="1"/>
  <c r="B7" i="28" a="1"/>
  <c r="B7" i="28" s="1"/>
  <c r="B7" i="30" a="1"/>
  <c r="B7" i="30" s="1"/>
  <c r="B7" i="32" a="1"/>
  <c r="B7" i="32" s="1"/>
  <c r="B7" i="33" a="1"/>
  <c r="B7" i="33" s="1"/>
  <c r="G7" i="17" a="1"/>
  <c r="G7" i="17" s="1"/>
  <c r="B7" i="10" a="1"/>
  <c r="B7" i="10" s="1"/>
  <c r="B7" i="31" a="1"/>
  <c r="B7" i="31" s="1"/>
  <c r="B7" i="29" a="1"/>
  <c r="B7" i="29" s="1"/>
  <c r="B7" i="11" a="1"/>
  <c r="B7" i="11" s="1"/>
  <c r="B7" i="25" a="1"/>
  <c r="B7" i="25" s="1"/>
  <c r="G7" i="22" a="1"/>
  <c r="G7" i="22" s="1"/>
  <c r="N7" i="16" a="1"/>
  <c r="N7" i="16" s="1"/>
  <c r="G7" i="8" a="1"/>
  <c r="G7" i="8" s="1"/>
  <c r="M7" i="8" a="1"/>
  <c r="M7" i="8" s="1"/>
  <c r="C7" i="24" a="1"/>
  <c r="C7" i="24" s="1"/>
  <c r="C7" i="26" a="1"/>
  <c r="C7" i="26" s="1"/>
  <c r="C7" i="28" a="1"/>
  <c r="C7" i="28" s="1"/>
  <c r="C7" i="30" a="1"/>
  <c r="C7" i="30" s="1"/>
  <c r="C7" i="32" a="1"/>
  <c r="C7" i="32" s="1"/>
  <c r="C7" i="33" a="1"/>
  <c r="C7" i="33" s="1"/>
  <c r="H7" i="34" a="1"/>
  <c r="H7" i="34" s="1"/>
  <c r="H7" i="17" a="1"/>
  <c r="H7" i="17" s="1"/>
  <c r="C7" i="34" a="1"/>
  <c r="C7" i="34" s="1"/>
  <c r="C7" i="10" a="1"/>
  <c r="C7" i="10" s="1"/>
  <c r="C7" i="31" a="1"/>
  <c r="C7" i="31" s="1"/>
  <c r="C7" i="29" a="1"/>
  <c r="C7" i="29" s="1"/>
  <c r="C7" i="11" a="1"/>
  <c r="C7" i="11" s="1"/>
  <c r="C7" i="25" a="1"/>
  <c r="C7" i="25" s="1"/>
  <c r="H7" i="22" a="1"/>
  <c r="H7" i="22" s="1"/>
  <c r="J7" i="16" a="1"/>
  <c r="J7" i="16" s="1"/>
  <c r="M7" i="16" a="1"/>
  <c r="M7" i="16" s="1"/>
  <c r="S7" i="17" a="1"/>
  <c r="S7" i="17" s="1"/>
  <c r="R7" i="17" a="1"/>
  <c r="R7" i="17" s="1"/>
  <c r="P7" i="19" a="1"/>
  <c r="P7" i="19" s="1"/>
  <c r="T7" i="17" a="1"/>
  <c r="T7" i="17" s="1"/>
  <c r="Q7" i="17" a="1"/>
  <c r="Q7" i="17" s="1"/>
  <c r="K7" i="34" l="1" a="1"/>
  <c r="K7" i="34" s="1"/>
  <c r="B7" i="34" a="1"/>
  <c r="B7" i="34" s="1"/>
  <c r="F7" i="34" a="1"/>
  <c r="F7" i="34" s="1"/>
  <c r="B6" i="17" a="1"/>
  <c r="B6" i="17" s="1"/>
  <c r="R7" i="19" a="1"/>
  <c r="R7" i="19" s="1"/>
  <c r="O7" i="19" a="1"/>
  <c r="O7" i="19" s="1"/>
  <c r="R7" i="8" a="1"/>
  <c r="R7" i="8" s="1"/>
  <c r="H7" i="24" a="1"/>
  <c r="H7" i="24" s="1"/>
  <c r="H7" i="26" a="1"/>
  <c r="H7" i="26" s="1"/>
  <c r="H7" i="28" a="1"/>
  <c r="H7" i="28" s="1"/>
  <c r="H7" i="30" a="1"/>
  <c r="H7" i="30" s="1"/>
  <c r="H7" i="32" a="1"/>
  <c r="H7" i="32" s="1"/>
  <c r="H7" i="33" a="1"/>
  <c r="H7" i="33" s="1"/>
  <c r="M7" i="34" a="1"/>
  <c r="M7" i="34" s="1"/>
  <c r="M7" i="33" a="1"/>
  <c r="M7" i="33" s="1"/>
  <c r="H7" i="10" a="1"/>
  <c r="H7" i="10" s="1"/>
  <c r="H7" i="31" a="1"/>
  <c r="H7" i="31" s="1"/>
  <c r="H7" i="29" a="1"/>
  <c r="H7" i="29" s="1"/>
  <c r="H7" i="11" a="1"/>
  <c r="H7" i="11" s="1"/>
  <c r="H7" i="25" a="1"/>
  <c r="H7" i="25" s="1"/>
  <c r="M7" i="22" a="1"/>
  <c r="M7" i="22" s="1"/>
  <c r="R7" i="16" a="1"/>
  <c r="R7" i="16" s="1"/>
  <c r="L7" i="16" a="1"/>
  <c r="L7" i="16" s="1"/>
  <c r="S7" i="19" a="1"/>
  <c r="S7" i="19" s="1"/>
  <c r="Q7" i="8" a="1"/>
  <c r="Q7" i="8" s="1"/>
  <c r="G7" i="24" a="1"/>
  <c r="G7" i="24" s="1"/>
  <c r="G7" i="26" a="1"/>
  <c r="G7" i="26" s="1"/>
  <c r="G7" i="28" a="1"/>
  <c r="G7" i="28" s="1"/>
  <c r="G7" i="30" a="1"/>
  <c r="G7" i="30" s="1"/>
  <c r="G7" i="32" a="1"/>
  <c r="G7" i="32" s="1"/>
  <c r="G7" i="33" a="1"/>
  <c r="G7" i="33" s="1"/>
  <c r="G7" i="10" a="1"/>
  <c r="G7" i="10" s="1"/>
  <c r="G7" i="31" a="1"/>
  <c r="G7" i="31" s="1"/>
  <c r="G7" i="29" a="1"/>
  <c r="G7" i="29" s="1"/>
  <c r="G7" i="11" a="1"/>
  <c r="G7" i="11" s="1"/>
  <c r="G7" i="25" a="1"/>
  <c r="G7" i="25" s="1"/>
  <c r="L7" i="22" a="1"/>
  <c r="L7" i="22" s="1"/>
  <c r="Q7" i="16" a="1"/>
  <c r="Q7" i="16" s="1"/>
  <c r="S7" i="8" a="1"/>
  <c r="S7" i="8" s="1"/>
  <c r="I7" i="24" a="1"/>
  <c r="I7" i="24" s="1"/>
  <c r="I7" i="26" a="1"/>
  <c r="I7" i="26" s="1"/>
  <c r="I7" i="28" a="1"/>
  <c r="I7" i="28" s="1"/>
  <c r="I7" i="30" a="1"/>
  <c r="I7" i="30" s="1"/>
  <c r="I7" i="32" a="1"/>
  <c r="I7" i="32" s="1"/>
  <c r="I7" i="33" a="1"/>
  <c r="I7" i="33" s="1"/>
  <c r="N7" i="34" a="1"/>
  <c r="N7" i="34" s="1"/>
  <c r="N7" i="33" a="1"/>
  <c r="N7" i="33" s="1"/>
  <c r="I7" i="10" a="1"/>
  <c r="I7" i="10" s="1"/>
  <c r="I7" i="31" a="1"/>
  <c r="I7" i="31" s="1"/>
  <c r="I7" i="29" a="1"/>
  <c r="I7" i="29" s="1"/>
  <c r="I7" i="11" a="1"/>
  <c r="I7" i="11" s="1"/>
  <c r="I7" i="25" a="1"/>
  <c r="I7" i="25" s="1"/>
  <c r="N7" i="22" a="1"/>
  <c r="N7" i="22" s="1"/>
  <c r="S7" i="16" a="1"/>
  <c r="S7" i="16" s="1"/>
  <c r="W7" i="17" a="1"/>
  <c r="W7" i="17" s="1"/>
  <c r="O7" i="16" a="1"/>
  <c r="O7" i="16" s="1"/>
  <c r="P7" i="16" a="1"/>
  <c r="P7" i="16" s="1"/>
  <c r="V7" i="17" a="1"/>
  <c r="V7" i="17" s="1"/>
  <c r="T7" i="8" a="1"/>
  <c r="T7" i="8" s="1"/>
  <c r="J7" i="24" a="1"/>
  <c r="J7" i="24" s="1"/>
  <c r="J7" i="26" a="1"/>
  <c r="J7" i="26" s="1"/>
  <c r="J7" i="28" a="1"/>
  <c r="J7" i="28" s="1"/>
  <c r="J7" i="30" a="1"/>
  <c r="J7" i="30" s="1"/>
  <c r="J7" i="32" a="1"/>
  <c r="J7" i="32" s="1"/>
  <c r="J7" i="33" a="1"/>
  <c r="J7" i="33" s="1"/>
  <c r="O7" i="34" a="1"/>
  <c r="O7" i="34" s="1"/>
  <c r="O7" i="33" a="1"/>
  <c r="O7" i="33" s="1"/>
  <c r="J7" i="10" a="1"/>
  <c r="J7" i="10" s="1"/>
  <c r="J7" i="31" a="1"/>
  <c r="J7" i="31" s="1"/>
  <c r="J7" i="29" a="1"/>
  <c r="J7" i="29" s="1"/>
  <c r="J7" i="11" a="1"/>
  <c r="J7" i="11" s="1"/>
  <c r="J7" i="25" a="1"/>
  <c r="J7" i="25" s="1"/>
  <c r="O7" i="22" a="1"/>
  <c r="O7" i="22" s="1"/>
  <c r="T7" i="16" a="1"/>
  <c r="T7" i="16" s="1"/>
  <c r="U7" i="8" a="1"/>
  <c r="U7" i="8" s="1"/>
  <c r="K7" i="24" a="1"/>
  <c r="K7" i="24" s="1"/>
  <c r="K7" i="26" a="1"/>
  <c r="K7" i="26" s="1"/>
  <c r="K7" i="28" a="1"/>
  <c r="K7" i="28" s="1"/>
  <c r="K7" i="30" a="1"/>
  <c r="K7" i="30" s="1"/>
  <c r="K7" i="32" a="1"/>
  <c r="K7" i="32" s="1"/>
  <c r="K7" i="33" a="1"/>
  <c r="K7" i="33" s="1"/>
  <c r="P7" i="34" a="1"/>
  <c r="P7" i="34" s="1"/>
  <c r="P7" i="33" a="1"/>
  <c r="P7" i="33" s="1"/>
  <c r="K7" i="10" a="1"/>
  <c r="K7" i="10" s="1"/>
  <c r="K7" i="31" a="1"/>
  <c r="K7" i="31" s="1"/>
  <c r="K7" i="29" a="1"/>
  <c r="K7" i="29" s="1"/>
  <c r="K7" i="11" a="1"/>
  <c r="K7" i="11" s="1"/>
  <c r="K7" i="25" a="1"/>
  <c r="K7" i="25" s="1"/>
  <c r="P7" i="22" a="1"/>
  <c r="P7" i="22" s="1"/>
  <c r="U7" i="16" a="1"/>
  <c r="U7" i="16" s="1"/>
  <c r="X7" i="17" a="1"/>
  <c r="X7" i="17" s="1"/>
  <c r="G7" i="34" l="1" a="1"/>
  <c r="G7" i="34" s="1"/>
  <c r="L7" i="34" a="1"/>
  <c r="L7" i="34" s="1"/>
  <c r="B6" i="19" a="1"/>
  <c r="B6" i="19" s="1"/>
  <c r="B6" i="8" a="1"/>
  <c r="B6" i="8" s="1"/>
  <c r="P7" i="24" a="1"/>
  <c r="P7" i="24" s="1"/>
  <c r="P7" i="26" a="1"/>
  <c r="P7" i="26" s="1"/>
  <c r="P7" i="28" a="1"/>
  <c r="P7" i="28" s="1"/>
  <c r="P7" i="30" a="1"/>
  <c r="P7" i="30" s="1"/>
  <c r="P7" i="32" a="1"/>
  <c r="P7" i="32" s="1"/>
  <c r="U7" i="10" a="1"/>
  <c r="U7" i="10" s="1"/>
  <c r="U7" i="33" a="1"/>
  <c r="U7" i="33" s="1"/>
  <c r="P7" i="10" a="1"/>
  <c r="P7" i="10" s="1"/>
  <c r="P7" i="31" a="1"/>
  <c r="P7" i="31" s="1"/>
  <c r="P7" i="29" a="1"/>
  <c r="P7" i="29" s="1"/>
  <c r="P7" i="11" a="1"/>
  <c r="P7" i="11" s="1"/>
  <c r="P7" i="25" a="1"/>
  <c r="P7" i="25" s="1"/>
  <c r="U7" i="22" a="1"/>
  <c r="U7" i="22" s="1"/>
  <c r="B6" i="16" a="1"/>
  <c r="B6" i="16" s="1"/>
  <c r="Y7" i="19" a="1"/>
  <c r="Y7" i="19" s="1"/>
  <c r="Y7" i="8" a="1"/>
  <c r="Y7" i="8" s="1"/>
  <c r="O7" i="24" a="1"/>
  <c r="O7" i="24" s="1"/>
  <c r="O7" i="26" a="1"/>
  <c r="O7" i="26" s="1"/>
  <c r="O7" i="28" a="1"/>
  <c r="O7" i="28" s="1"/>
  <c r="O7" i="30" a="1"/>
  <c r="O7" i="30" s="1"/>
  <c r="O7" i="32" a="1"/>
  <c r="O7" i="32" s="1"/>
  <c r="T7" i="10" a="1"/>
  <c r="T7" i="10" s="1"/>
  <c r="T7" i="33" a="1"/>
  <c r="T7" i="33" s="1"/>
  <c r="O7" i="10" a="1"/>
  <c r="O7" i="10" s="1"/>
  <c r="O7" i="31" a="1"/>
  <c r="O7" i="31" s="1"/>
  <c r="O7" i="29" a="1"/>
  <c r="O7" i="29" s="1"/>
  <c r="O7" i="11" a="1"/>
  <c r="O7" i="11" s="1"/>
  <c r="O7" i="25" a="1"/>
  <c r="O7" i="25" s="1"/>
  <c r="T7" i="22" a="1"/>
  <c r="T7" i="22" s="1"/>
  <c r="Y7" i="16" a="1"/>
  <c r="Y7" i="16" s="1"/>
  <c r="U7" i="19" a="1"/>
  <c r="U7" i="19" s="1"/>
  <c r="T7" i="19" a="1"/>
  <c r="T7" i="19" s="1"/>
  <c r="X7" i="19" a="1"/>
  <c r="X7" i="19" s="1"/>
  <c r="X7" i="8" a="1"/>
  <c r="X7" i="8" s="1"/>
  <c r="N7" i="24" a="1"/>
  <c r="N7" i="24" s="1"/>
  <c r="N7" i="26" a="1"/>
  <c r="N7" i="26" s="1"/>
  <c r="N7" i="28" a="1"/>
  <c r="N7" i="28" s="1"/>
  <c r="N7" i="30" a="1"/>
  <c r="N7" i="30" s="1"/>
  <c r="N7" i="32" a="1"/>
  <c r="N7" i="32" s="1"/>
  <c r="S7" i="10" a="1"/>
  <c r="S7" i="10" s="1"/>
  <c r="S7" i="33" a="1"/>
  <c r="S7" i="33" s="1"/>
  <c r="N7" i="10" a="1"/>
  <c r="N7" i="10" s="1"/>
  <c r="N7" i="31" a="1"/>
  <c r="N7" i="31" s="1"/>
  <c r="N7" i="29" a="1"/>
  <c r="N7" i="29" s="1"/>
  <c r="N7" i="11" a="1"/>
  <c r="N7" i="11" s="1"/>
  <c r="N7" i="25" a="1"/>
  <c r="N7" i="25" s="1"/>
  <c r="S7" i="22" a="1"/>
  <c r="S7" i="22" s="1"/>
  <c r="X7" i="16" a="1"/>
  <c r="X7" i="16" s="1"/>
  <c r="V7" i="19" a="1"/>
  <c r="V7" i="19" s="1"/>
  <c r="V7" i="8" a="1"/>
  <c r="V7" i="8" s="1"/>
  <c r="L7" i="24" a="1"/>
  <c r="L7" i="24" s="1"/>
  <c r="L7" i="26" a="1"/>
  <c r="L7" i="26" s="1"/>
  <c r="L7" i="28" a="1"/>
  <c r="L7" i="28" s="1"/>
  <c r="L7" i="30" a="1"/>
  <c r="L7" i="30" s="1"/>
  <c r="L7" i="32" a="1"/>
  <c r="L7" i="32" s="1"/>
  <c r="Q7" i="33" a="1"/>
  <c r="Q7" i="33" s="1"/>
  <c r="L7" i="10" a="1"/>
  <c r="L7" i="10" s="1"/>
  <c r="L7" i="31" a="1"/>
  <c r="L7" i="31" s="1"/>
  <c r="L7" i="29" a="1"/>
  <c r="L7" i="29" s="1"/>
  <c r="L7" i="11" a="1"/>
  <c r="L7" i="11" s="1"/>
  <c r="L7" i="25" a="1"/>
  <c r="L7" i="25" s="1"/>
  <c r="Q7" i="22" a="1"/>
  <c r="Q7" i="22" s="1"/>
  <c r="V7" i="16" a="1"/>
  <c r="V7" i="16" s="1"/>
  <c r="E6" i="17" a="1"/>
  <c r="E6" i="17" s="1"/>
  <c r="Q7" i="19" a="1"/>
  <c r="Q7" i="19" s="1"/>
  <c r="W7" i="19" a="1"/>
  <c r="W7" i="19" s="1"/>
  <c r="W7" i="8" a="1"/>
  <c r="W7" i="8" s="1"/>
  <c r="M7" i="24" a="1"/>
  <c r="M7" i="24" s="1"/>
  <c r="M7" i="26" a="1"/>
  <c r="M7" i="26" s="1"/>
  <c r="M7" i="28" a="1"/>
  <c r="M7" i="28" s="1"/>
  <c r="M7" i="30" a="1"/>
  <c r="M7" i="30" s="1"/>
  <c r="M7" i="32" a="1"/>
  <c r="M7" i="32" s="1"/>
  <c r="R7" i="10" a="1"/>
  <c r="R7" i="10" s="1"/>
  <c r="R7" i="33" a="1"/>
  <c r="R7" i="33" s="1"/>
  <c r="M7" i="10" a="1"/>
  <c r="M7" i="10" s="1"/>
  <c r="M7" i="31" a="1"/>
  <c r="M7" i="31" s="1"/>
  <c r="M7" i="29" a="1"/>
  <c r="M7" i="29" s="1"/>
  <c r="M7" i="11" a="1"/>
  <c r="M7" i="11" s="1"/>
  <c r="M7" i="25" a="1"/>
  <c r="M7" i="25" s="1"/>
  <c r="R7" i="22" a="1"/>
  <c r="R7" i="22" s="1"/>
  <c r="W7" i="16" a="1"/>
  <c r="W7" i="16" s="1"/>
  <c r="Y7" i="17" a="1"/>
  <c r="Y7" i="17" s="1"/>
  <c r="D6" i="17" a="1"/>
  <c r="D6" i="17" s="1"/>
  <c r="W7" i="34" l="1" a="1"/>
  <c r="W7" i="34" s="1"/>
  <c r="U7" i="34" a="1"/>
  <c r="U7" i="34" s="1"/>
  <c r="L7" i="33" a="1"/>
  <c r="L7" i="33" s="1"/>
  <c r="S7" i="34" a="1"/>
  <c r="S7" i="34" s="1"/>
  <c r="T7" i="34" a="1"/>
  <c r="T7" i="34" s="1"/>
  <c r="R7" i="34" a="1"/>
  <c r="R7" i="34" s="1"/>
  <c r="D6" i="19" a="1"/>
  <c r="D6" i="19" s="1"/>
  <c r="D6" i="8" a="1"/>
  <c r="D6" i="8" s="1"/>
  <c r="R7" i="24" a="1"/>
  <c r="R7" i="24" s="1"/>
  <c r="R7" i="26" a="1"/>
  <c r="R7" i="26" s="1"/>
  <c r="R7" i="28" a="1"/>
  <c r="R7" i="28" s="1"/>
  <c r="R7" i="30" a="1"/>
  <c r="R7" i="30" s="1"/>
  <c r="R7" i="32" a="1"/>
  <c r="R7" i="32" s="1"/>
  <c r="W7" i="10" a="1"/>
  <c r="W7" i="10" s="1"/>
  <c r="W7" i="32" a="1"/>
  <c r="W7" i="32" s="1"/>
  <c r="R7" i="31" a="1"/>
  <c r="R7" i="31" s="1"/>
  <c r="R7" i="29" a="1"/>
  <c r="R7" i="29" s="1"/>
  <c r="R7" i="11" a="1"/>
  <c r="R7" i="11" s="1"/>
  <c r="R7" i="25" a="1"/>
  <c r="R7" i="25" s="1"/>
  <c r="W7" i="22" a="1"/>
  <c r="W7" i="22" s="1"/>
  <c r="D6" i="16" a="1"/>
  <c r="D6" i="16" s="1"/>
  <c r="I6" i="17" a="1"/>
  <c r="I6" i="17" s="1"/>
  <c r="C6" i="17" a="1"/>
  <c r="C6" i="17" s="1"/>
  <c r="C6" i="19" a="1"/>
  <c r="C6" i="19" s="1"/>
  <c r="C6" i="8" a="1"/>
  <c r="C6" i="8" s="1"/>
  <c r="Q7" i="24" a="1"/>
  <c r="Q7" i="24" s="1"/>
  <c r="Q7" i="26" a="1"/>
  <c r="Q7" i="26" s="1"/>
  <c r="Q7" i="28" a="1"/>
  <c r="Q7" i="28" s="1"/>
  <c r="Q7" i="30" a="1"/>
  <c r="Q7" i="30" s="1"/>
  <c r="Q7" i="32" a="1"/>
  <c r="Q7" i="32" s="1"/>
  <c r="V7" i="10" a="1"/>
  <c r="V7" i="10" s="1"/>
  <c r="Q7" i="31" a="1"/>
  <c r="Q7" i="31" s="1"/>
  <c r="Q7" i="29" a="1"/>
  <c r="Q7" i="29" s="1"/>
  <c r="Q7" i="11" a="1"/>
  <c r="Q7" i="11" s="1"/>
  <c r="Q7" i="25" a="1"/>
  <c r="Q7" i="25" s="1"/>
  <c r="V7" i="22" a="1"/>
  <c r="V7" i="22" s="1"/>
  <c r="C6" i="16" a="1"/>
  <c r="C6" i="16" s="1"/>
  <c r="H6" i="17" a="1"/>
  <c r="H6" i="17" s="1"/>
  <c r="E6" i="19" a="1"/>
  <c r="E6" i="19" s="1"/>
  <c r="E6" i="8" a="1"/>
  <c r="E6" i="8" s="1"/>
  <c r="S7" i="24" a="1"/>
  <c r="S7" i="24" s="1"/>
  <c r="S7" i="26" a="1"/>
  <c r="S7" i="26" s="1"/>
  <c r="S7" i="28" a="1"/>
  <c r="S7" i="28" s="1"/>
  <c r="S7" i="30" a="1"/>
  <c r="S7" i="30" s="1"/>
  <c r="S7" i="32" a="1"/>
  <c r="S7" i="32" s="1"/>
  <c r="X7" i="10" a="1"/>
  <c r="X7" i="10" s="1"/>
  <c r="X7" i="32" a="1"/>
  <c r="X7" i="32" s="1"/>
  <c r="S7" i="31" a="1"/>
  <c r="S7" i="31" s="1"/>
  <c r="S7" i="29" a="1"/>
  <c r="S7" i="29" s="1"/>
  <c r="S7" i="11" a="1"/>
  <c r="S7" i="11" s="1"/>
  <c r="S7" i="25" a="1"/>
  <c r="S7" i="25" s="1"/>
  <c r="X7" i="22" a="1"/>
  <c r="X7" i="22" s="1"/>
  <c r="E6" i="16" a="1"/>
  <c r="E6" i="16" s="1"/>
  <c r="J6" i="17" a="1"/>
  <c r="J6" i="17" s="1"/>
  <c r="F6" i="17" a="1"/>
  <c r="F6" i="17" s="1"/>
  <c r="G6" i="17" a="1"/>
  <c r="G6" i="17" s="1"/>
  <c r="F6" i="19" a="1"/>
  <c r="F6" i="19" s="1"/>
  <c r="F6" i="8" a="1"/>
  <c r="F6" i="8" s="1"/>
  <c r="T7" i="24" a="1"/>
  <c r="T7" i="24" s="1"/>
  <c r="T7" i="26" a="1"/>
  <c r="T7" i="26" s="1"/>
  <c r="T7" i="28" a="1"/>
  <c r="T7" i="28" s="1"/>
  <c r="T7" i="30" a="1"/>
  <c r="T7" i="30" s="1"/>
  <c r="T7" i="32" a="1"/>
  <c r="T7" i="32" s="1"/>
  <c r="Y7" i="10" a="1"/>
  <c r="Y7" i="10" s="1"/>
  <c r="Y7" i="32" a="1"/>
  <c r="Y7" i="32" s="1"/>
  <c r="T7" i="31" a="1"/>
  <c r="T7" i="31" s="1"/>
  <c r="T7" i="29" a="1"/>
  <c r="T7" i="29" s="1"/>
  <c r="T7" i="11" a="1"/>
  <c r="T7" i="11" s="1"/>
  <c r="T7" i="25" a="1"/>
  <c r="T7" i="25" s="1"/>
  <c r="Y7" i="22" a="1"/>
  <c r="Y7" i="22" s="1"/>
  <c r="F6" i="16" a="1"/>
  <c r="F6" i="16" s="1"/>
  <c r="K6" i="17" a="1"/>
  <c r="K6" i="17" s="1"/>
  <c r="G6" i="19" a="1"/>
  <c r="G6" i="19" s="1"/>
  <c r="G6" i="8" a="1"/>
  <c r="G6" i="8" s="1"/>
  <c r="U7" i="24" a="1"/>
  <c r="U7" i="24" s="1"/>
  <c r="U7" i="26" a="1"/>
  <c r="U7" i="26" s="1"/>
  <c r="U7" i="28" a="1"/>
  <c r="U7" i="28" s="1"/>
  <c r="U7" i="30" a="1"/>
  <c r="U7" i="30" s="1"/>
  <c r="U7" i="32" a="1"/>
  <c r="U7" i="32" s="1"/>
  <c r="B6" i="10" a="1"/>
  <c r="B6" i="10" s="1"/>
  <c r="B6" i="32" a="1"/>
  <c r="B6" i="32" s="1"/>
  <c r="U7" i="31" a="1"/>
  <c r="U7" i="31" s="1"/>
  <c r="U7" i="29" a="1"/>
  <c r="U7" i="29" s="1"/>
  <c r="U7" i="11" a="1"/>
  <c r="U7" i="11" s="1"/>
  <c r="U7" i="25" a="1"/>
  <c r="U7" i="25" s="1"/>
  <c r="B6" i="22" a="1"/>
  <c r="B6" i="22" s="1"/>
  <c r="G6" i="16" a="1"/>
  <c r="G6" i="16" s="1"/>
  <c r="L6" i="17" a="1"/>
  <c r="L6" i="17" s="1"/>
  <c r="G6" i="34" l="1" a="1"/>
  <c r="G6" i="34" s="1"/>
  <c r="Y7" i="34" a="1"/>
  <c r="Y7" i="34" s="1"/>
  <c r="Y7" i="33" a="1"/>
  <c r="Y7" i="33" s="1"/>
  <c r="X7" i="33" a="1"/>
  <c r="X7" i="33" s="1"/>
  <c r="X7" i="34" a="1"/>
  <c r="X7" i="34" s="1"/>
  <c r="Q7" i="10" a="1"/>
  <c r="Q7" i="10" s="1"/>
  <c r="B6" i="33" a="1"/>
  <c r="B6" i="33" s="1"/>
  <c r="Q7" i="34" a="1"/>
  <c r="Q7" i="34" s="1"/>
  <c r="B6" i="34" a="1"/>
  <c r="B6" i="34" s="1"/>
  <c r="W7" i="33" a="1"/>
  <c r="W7" i="33" s="1"/>
  <c r="D6" i="33" a="1"/>
  <c r="D6" i="33" s="1"/>
  <c r="V6" i="17" a="1"/>
  <c r="V6" i="17" s="1"/>
  <c r="L6" i="19" a="1"/>
  <c r="L6" i="19" s="1"/>
  <c r="L6" i="8" a="1"/>
  <c r="L6" i="8" s="1"/>
  <c r="B6" i="24" a="1"/>
  <c r="B6" i="24" s="1"/>
  <c r="B6" i="26" a="1"/>
  <c r="B6" i="26" s="1"/>
  <c r="B6" i="28" a="1"/>
  <c r="B6" i="28" s="1"/>
  <c r="B6" i="30" a="1"/>
  <c r="B6" i="30" s="1"/>
  <c r="G6" i="31" a="1"/>
  <c r="G6" i="31" s="1"/>
  <c r="G6" i="32" a="1"/>
  <c r="G6" i="32" s="1"/>
  <c r="B6" i="31" a="1"/>
  <c r="B6" i="31" s="1"/>
  <c r="B6" i="29" a="1"/>
  <c r="B6" i="29" s="1"/>
  <c r="B6" i="11" a="1"/>
  <c r="B6" i="11" s="1"/>
  <c r="B6" i="25" a="1"/>
  <c r="B6" i="25" s="1"/>
  <c r="G6" i="22" a="1"/>
  <c r="G6" i="22" s="1"/>
  <c r="L6" i="16" a="1"/>
  <c r="L6" i="16" s="1"/>
  <c r="Q6" i="17" a="1"/>
  <c r="Q6" i="17" s="1"/>
  <c r="U6" i="17" a="1"/>
  <c r="U6" i="17" s="1"/>
  <c r="K6" i="19" a="1"/>
  <c r="K6" i="19" s="1"/>
  <c r="K6" i="8" a="1"/>
  <c r="K6" i="8" s="1"/>
  <c r="Y7" i="24" a="1"/>
  <c r="Y7" i="24" s="1"/>
  <c r="Y7" i="26" a="1"/>
  <c r="Y7" i="26" s="1"/>
  <c r="Y7" i="28" a="1"/>
  <c r="Y7" i="28" s="1"/>
  <c r="Y7" i="30" a="1"/>
  <c r="Y7" i="30" s="1"/>
  <c r="F6" i="31" a="1"/>
  <c r="F6" i="31" s="1"/>
  <c r="F6" i="32" a="1"/>
  <c r="F6" i="32" s="1"/>
  <c r="Y7" i="31" a="1"/>
  <c r="Y7" i="31" s="1"/>
  <c r="Y7" i="29" a="1"/>
  <c r="Y7" i="29" s="1"/>
  <c r="Y7" i="11" a="1"/>
  <c r="Y7" i="11" s="1"/>
  <c r="Y7" i="25" a="1"/>
  <c r="Y7" i="25" s="1"/>
  <c r="F6" i="22" a="1"/>
  <c r="F6" i="22" s="1"/>
  <c r="K6" i="16" a="1"/>
  <c r="K6" i="16" s="1"/>
  <c r="P6" i="17" a="1"/>
  <c r="P6" i="17" s="1"/>
  <c r="J6" i="19" a="1"/>
  <c r="J6" i="19" s="1"/>
  <c r="J6" i="8" a="1"/>
  <c r="J6" i="8" s="1"/>
  <c r="X7" i="24" a="1"/>
  <c r="X7" i="24" s="1"/>
  <c r="X7" i="26" a="1"/>
  <c r="X7" i="26" s="1"/>
  <c r="X7" i="28" a="1"/>
  <c r="X7" i="28" s="1"/>
  <c r="X7" i="30" a="1"/>
  <c r="X7" i="30" s="1"/>
  <c r="E6" i="31" a="1"/>
  <c r="E6" i="31" s="1"/>
  <c r="E6" i="32" a="1"/>
  <c r="E6" i="32" s="1"/>
  <c r="X7" i="31" a="1"/>
  <c r="X7" i="31" s="1"/>
  <c r="X7" i="29" a="1"/>
  <c r="X7" i="29" s="1"/>
  <c r="X7" i="11" a="1"/>
  <c r="X7" i="11" s="1"/>
  <c r="X7" i="25" a="1"/>
  <c r="X7" i="25" s="1"/>
  <c r="E6" i="22" a="1"/>
  <c r="E6" i="22" s="1"/>
  <c r="J6" i="16" a="1"/>
  <c r="J6" i="16" s="1"/>
  <c r="O6" i="17" a="1"/>
  <c r="O6" i="17" s="1"/>
  <c r="H6" i="19" a="1"/>
  <c r="H6" i="19" s="1"/>
  <c r="H6" i="8" a="1"/>
  <c r="H6" i="8" s="1"/>
  <c r="V7" i="24" a="1"/>
  <c r="V7" i="24" s="1"/>
  <c r="V7" i="26" a="1"/>
  <c r="V7" i="26" s="1"/>
  <c r="V7" i="28" a="1"/>
  <c r="V7" i="28" s="1"/>
  <c r="V7" i="30" a="1"/>
  <c r="V7" i="30" s="1"/>
  <c r="C6" i="32" a="1"/>
  <c r="C6" i="32" s="1"/>
  <c r="V7" i="31" a="1"/>
  <c r="V7" i="31" s="1"/>
  <c r="V7" i="29" a="1"/>
  <c r="V7" i="29" s="1"/>
  <c r="V7" i="11" a="1"/>
  <c r="V7" i="11" s="1"/>
  <c r="V7" i="25" a="1"/>
  <c r="V7" i="25" s="1"/>
  <c r="C6" i="22" a="1"/>
  <c r="C6" i="22" s="1"/>
  <c r="H6" i="16" a="1"/>
  <c r="H6" i="16" s="1"/>
  <c r="M6" i="17" a="1"/>
  <c r="M6" i="17" s="1"/>
  <c r="I6" i="19" a="1"/>
  <c r="I6" i="19" s="1"/>
  <c r="I6" i="8" a="1"/>
  <c r="I6" i="8" s="1"/>
  <c r="W7" i="24" a="1"/>
  <c r="W7" i="24" s="1"/>
  <c r="W7" i="26" a="1"/>
  <c r="W7" i="26" s="1"/>
  <c r="W7" i="28" a="1"/>
  <c r="W7" i="28" s="1"/>
  <c r="W7" i="30" a="1"/>
  <c r="W7" i="30" s="1"/>
  <c r="D6" i="31" a="1"/>
  <c r="D6" i="31" s="1"/>
  <c r="D6" i="32" a="1"/>
  <c r="D6" i="32" s="1"/>
  <c r="W7" i="31" a="1"/>
  <c r="W7" i="31" s="1"/>
  <c r="W7" i="29" a="1"/>
  <c r="W7" i="29" s="1"/>
  <c r="W7" i="11" a="1"/>
  <c r="W7" i="11" s="1"/>
  <c r="W7" i="25" a="1"/>
  <c r="W7" i="25" s="1"/>
  <c r="D6" i="22" a="1"/>
  <c r="D6" i="22" s="1"/>
  <c r="I6" i="16" a="1"/>
  <c r="I6" i="16" s="1"/>
  <c r="N6" i="17" a="1"/>
  <c r="N6" i="17" s="1"/>
  <c r="K6" i="34" l="1" a="1"/>
  <c r="K6" i="34" s="1"/>
  <c r="L6" i="34" a="1"/>
  <c r="L6" i="34" s="1"/>
  <c r="G6" i="10" a="1"/>
  <c r="G6" i="10" s="1"/>
  <c r="E6" i="34" a="1"/>
  <c r="E6" i="34" s="1"/>
  <c r="V7" i="32" a="1"/>
  <c r="V7" i="32" s="1"/>
  <c r="I6" i="10" a="1"/>
  <c r="I6" i="10" s="1"/>
  <c r="D6" i="10" a="1"/>
  <c r="D6" i="10" s="1"/>
  <c r="E6" i="33" a="1"/>
  <c r="E6" i="33" s="1"/>
  <c r="E6" i="10" a="1"/>
  <c r="E6" i="10" s="1"/>
  <c r="D6" i="34" a="1"/>
  <c r="D6" i="34" s="1"/>
  <c r="G6" i="33" a="1"/>
  <c r="G6" i="33" s="1"/>
  <c r="F6" i="10" a="1"/>
  <c r="F6" i="10" s="1"/>
  <c r="V7" i="34" a="1"/>
  <c r="V7" i="34" s="1"/>
  <c r="F6" i="33" a="1"/>
  <c r="F6" i="33" s="1"/>
  <c r="V7" i="33" a="1"/>
  <c r="V7" i="33" s="1"/>
  <c r="F6" i="34" a="1"/>
  <c r="F6" i="34" s="1"/>
  <c r="L6" i="33" a="1"/>
  <c r="L6" i="33" s="1"/>
  <c r="X6" i="17" a="1"/>
  <c r="X6" i="17" s="1"/>
  <c r="N6" i="19" a="1"/>
  <c r="N6" i="19" s="1"/>
  <c r="N6" i="8" a="1"/>
  <c r="N6" i="8" s="1"/>
  <c r="D6" i="24" a="1"/>
  <c r="D6" i="24" s="1"/>
  <c r="D6" i="26" a="1"/>
  <c r="D6" i="26" s="1"/>
  <c r="D6" i="28" a="1"/>
  <c r="D6" i="28" s="1"/>
  <c r="D6" i="30" a="1"/>
  <c r="D6" i="30" s="1"/>
  <c r="I6" i="31" a="1"/>
  <c r="I6" i="31" s="1"/>
  <c r="I6" i="30" a="1"/>
  <c r="I6" i="30" s="1"/>
  <c r="D6" i="29" a="1"/>
  <c r="D6" i="29" s="1"/>
  <c r="D6" i="11" a="1"/>
  <c r="D6" i="11" s="1"/>
  <c r="D6" i="25" a="1"/>
  <c r="D6" i="25" s="1"/>
  <c r="I6" i="22" a="1"/>
  <c r="I6" i="22" s="1"/>
  <c r="N6" i="16" a="1"/>
  <c r="N6" i="16" s="1"/>
  <c r="S6" i="17" a="1"/>
  <c r="S6" i="17" s="1"/>
  <c r="W6" i="17" a="1"/>
  <c r="W6" i="17" s="1"/>
  <c r="M6" i="19" a="1"/>
  <c r="M6" i="19" s="1"/>
  <c r="M6" i="8" a="1"/>
  <c r="M6" i="8" s="1"/>
  <c r="C6" i="24" a="1"/>
  <c r="C6" i="24" s="1"/>
  <c r="C6" i="26" a="1"/>
  <c r="C6" i="26" s="1"/>
  <c r="C6" i="28" a="1"/>
  <c r="C6" i="28" s="1"/>
  <c r="C6" i="30" a="1"/>
  <c r="C6" i="30" s="1"/>
  <c r="H6" i="31" a="1"/>
  <c r="H6" i="31" s="1"/>
  <c r="C6" i="29" a="1"/>
  <c r="C6" i="29" s="1"/>
  <c r="C6" i="11" a="1"/>
  <c r="C6" i="11" s="1"/>
  <c r="C6" i="25" a="1"/>
  <c r="C6" i="25" s="1"/>
  <c r="H6" i="22" a="1"/>
  <c r="H6" i="22" s="1"/>
  <c r="M6" i="16" a="1"/>
  <c r="M6" i="16" s="1"/>
  <c r="R6" i="17" a="1"/>
  <c r="R6" i="17" s="1"/>
  <c r="Y6" i="17" a="1"/>
  <c r="Y6" i="17" s="1"/>
  <c r="O6" i="19" a="1"/>
  <c r="O6" i="19" s="1"/>
  <c r="O6" i="8" a="1"/>
  <c r="O6" i="8" s="1"/>
  <c r="E6" i="24" a="1"/>
  <c r="E6" i="24" s="1"/>
  <c r="E6" i="26" a="1"/>
  <c r="E6" i="26" s="1"/>
  <c r="E6" i="28" a="1"/>
  <c r="E6" i="28" s="1"/>
  <c r="E6" i="30" a="1"/>
  <c r="E6" i="30" s="1"/>
  <c r="J6" i="31" a="1"/>
  <c r="J6" i="31" s="1"/>
  <c r="J6" i="30" a="1"/>
  <c r="J6" i="30" s="1"/>
  <c r="E6" i="29" a="1"/>
  <c r="E6" i="29" s="1"/>
  <c r="E6" i="11" a="1"/>
  <c r="E6" i="11" s="1"/>
  <c r="E6" i="25" a="1"/>
  <c r="E6" i="25" s="1"/>
  <c r="J6" i="22" a="1"/>
  <c r="J6" i="22" s="1"/>
  <c r="O6" i="16" a="1"/>
  <c r="O6" i="16" s="1"/>
  <c r="T6" i="17" a="1"/>
  <c r="T6" i="17" s="1"/>
  <c r="P6" i="19" a="1"/>
  <c r="P6" i="19" s="1"/>
  <c r="U6" i="16" a="1"/>
  <c r="U6" i="16" s="1"/>
  <c r="P6" i="8" a="1"/>
  <c r="P6" i="8" s="1"/>
  <c r="F6" i="24" a="1"/>
  <c r="F6" i="24" s="1"/>
  <c r="F6" i="26" a="1"/>
  <c r="F6" i="26" s="1"/>
  <c r="F6" i="28" a="1"/>
  <c r="F6" i="28" s="1"/>
  <c r="F6" i="30" a="1"/>
  <c r="F6" i="30" s="1"/>
  <c r="K6" i="31" a="1"/>
  <c r="K6" i="31" s="1"/>
  <c r="K6" i="30" a="1"/>
  <c r="K6" i="30" s="1"/>
  <c r="F6" i="29" a="1"/>
  <c r="F6" i="29" s="1"/>
  <c r="F6" i="11" a="1"/>
  <c r="F6" i="11" s="1"/>
  <c r="F6" i="25" a="1"/>
  <c r="F6" i="25" s="1"/>
  <c r="U6" i="8" a="1"/>
  <c r="U6" i="8" s="1"/>
  <c r="K6" i="22" a="1"/>
  <c r="K6" i="22" s="1"/>
  <c r="U6" i="19" a="1"/>
  <c r="U6" i="19" s="1"/>
  <c r="P6" i="16" a="1"/>
  <c r="P6" i="16" s="1"/>
  <c r="Q6" i="19" a="1"/>
  <c r="Q6" i="19" s="1"/>
  <c r="V6" i="16" a="1"/>
  <c r="V6" i="16" s="1"/>
  <c r="Q6" i="8" a="1"/>
  <c r="Q6" i="8" s="1"/>
  <c r="G6" i="24" a="1"/>
  <c r="G6" i="24" s="1"/>
  <c r="G6" i="26" a="1"/>
  <c r="G6" i="26" s="1"/>
  <c r="G6" i="28" a="1"/>
  <c r="G6" i="28" s="1"/>
  <c r="G6" i="30" a="1"/>
  <c r="G6" i="30" s="1"/>
  <c r="L6" i="31" a="1"/>
  <c r="L6" i="31" s="1"/>
  <c r="L6" i="30" a="1"/>
  <c r="L6" i="30" s="1"/>
  <c r="G6" i="29" a="1"/>
  <c r="G6" i="29" s="1"/>
  <c r="G6" i="11" a="1"/>
  <c r="G6" i="11" s="1"/>
  <c r="G6" i="25" a="1"/>
  <c r="G6" i="25" s="1"/>
  <c r="V6" i="8" a="1"/>
  <c r="V6" i="8" s="1"/>
  <c r="L6" i="22" a="1"/>
  <c r="L6" i="22" s="1"/>
  <c r="V6" i="19" a="1"/>
  <c r="V6" i="19" s="1"/>
  <c r="Q6" i="16" a="1"/>
  <c r="Q6" i="16" s="1"/>
  <c r="N6" i="34" l="1" a="1"/>
  <c r="N6" i="34" s="1"/>
  <c r="J6" i="32" a="1"/>
  <c r="J6" i="32" s="1"/>
  <c r="K6" i="10" a="1"/>
  <c r="K6" i="10" s="1"/>
  <c r="C6" i="33" a="1"/>
  <c r="C6" i="33" s="1"/>
  <c r="J6" i="10" a="1"/>
  <c r="J6" i="10" s="1"/>
  <c r="I6" i="32" a="1"/>
  <c r="I6" i="32" s="1"/>
  <c r="K6" i="32" a="1"/>
  <c r="K6" i="32" s="1"/>
  <c r="N6" i="32" a="1"/>
  <c r="N6" i="32" s="1"/>
  <c r="L6" i="10" a="1"/>
  <c r="L6" i="10" s="1"/>
  <c r="C6" i="31" a="1"/>
  <c r="C6" i="31" s="1"/>
  <c r="C6" i="34" a="1"/>
  <c r="C6" i="34" s="1"/>
  <c r="J6" i="33" a="1"/>
  <c r="J6" i="33" s="1"/>
  <c r="I6" i="34" a="1"/>
  <c r="I6" i="34" s="1"/>
  <c r="L6" i="32" a="1"/>
  <c r="L6" i="32" s="1"/>
  <c r="Q6" i="10" a="1"/>
  <c r="Q6" i="10" s="1"/>
  <c r="V6" i="32" a="1"/>
  <c r="V6" i="32" s="1"/>
  <c r="J6" i="34" a="1"/>
  <c r="J6" i="34" s="1"/>
  <c r="V6" i="10" a="1"/>
  <c r="V6" i="10" s="1"/>
  <c r="Q6" i="33" a="1"/>
  <c r="Q6" i="33" s="1"/>
  <c r="C6" i="10" a="1"/>
  <c r="C6" i="10" s="1"/>
  <c r="U6" i="10" a="1"/>
  <c r="U6" i="10" s="1"/>
  <c r="P6" i="33" a="1"/>
  <c r="P6" i="33" s="1"/>
  <c r="Q6" i="22" a="1"/>
  <c r="Q6" i="22" s="1"/>
  <c r="K6" i="33" a="1"/>
  <c r="K6" i="33" s="1"/>
  <c r="I6" i="33" a="1"/>
  <c r="I6" i="33" s="1"/>
  <c r="V6" i="22" a="1"/>
  <c r="V6" i="22" s="1"/>
  <c r="L6" i="24" a="1"/>
  <c r="L6" i="24" s="1"/>
  <c r="L6" i="26" a="1"/>
  <c r="L6" i="26" s="1"/>
  <c r="L6" i="28" a="1"/>
  <c r="L6" i="28" s="1"/>
  <c r="V6" i="28" a="1"/>
  <c r="V6" i="28" s="1"/>
  <c r="Q6" i="29" a="1"/>
  <c r="Q6" i="29" s="1"/>
  <c r="V6" i="29" a="1"/>
  <c r="V6" i="29" s="1"/>
  <c r="Q6" i="30" a="1"/>
  <c r="Q6" i="30" s="1"/>
  <c r="L6" i="29" a="1"/>
  <c r="L6" i="29" s="1"/>
  <c r="L6" i="11" a="1"/>
  <c r="L6" i="11" s="1"/>
  <c r="L6" i="25" a="1"/>
  <c r="L6" i="25" s="1"/>
  <c r="U6" i="22" a="1"/>
  <c r="U6" i="22" s="1"/>
  <c r="K6" i="24" a="1"/>
  <c r="K6" i="24" s="1"/>
  <c r="K6" i="26" a="1"/>
  <c r="K6" i="26" s="1"/>
  <c r="K6" i="28" a="1"/>
  <c r="K6" i="28" s="1"/>
  <c r="U6" i="28" a="1"/>
  <c r="U6" i="28" s="1"/>
  <c r="P6" i="29" a="1"/>
  <c r="P6" i="29" s="1"/>
  <c r="U6" i="29" a="1"/>
  <c r="U6" i="29" s="1"/>
  <c r="P6" i="30" a="1"/>
  <c r="P6" i="30" s="1"/>
  <c r="K6" i="29" a="1"/>
  <c r="K6" i="29" s="1"/>
  <c r="K6" i="11" a="1"/>
  <c r="K6" i="11" s="1"/>
  <c r="K6" i="25" a="1"/>
  <c r="K6" i="25" s="1"/>
  <c r="P6" i="22" a="1"/>
  <c r="P6" i="22" s="1"/>
  <c r="T6" i="19" a="1"/>
  <c r="T6" i="19" s="1"/>
  <c r="Y6" i="16" a="1"/>
  <c r="Y6" i="16" s="1"/>
  <c r="T6" i="8" a="1"/>
  <c r="T6" i="8" s="1"/>
  <c r="J6" i="24" a="1"/>
  <c r="J6" i="24" s="1"/>
  <c r="J6" i="26" a="1"/>
  <c r="J6" i="26" s="1"/>
  <c r="J6" i="28" a="1"/>
  <c r="J6" i="28" s="1"/>
  <c r="O6" i="29" a="1"/>
  <c r="O6" i="29" s="1"/>
  <c r="O6" i="30" a="1"/>
  <c r="O6" i="30" s="1"/>
  <c r="J6" i="29" a="1"/>
  <c r="J6" i="29" s="1"/>
  <c r="J6" i="11" a="1"/>
  <c r="J6" i="11" s="1"/>
  <c r="J6" i="25" a="1"/>
  <c r="J6" i="25" s="1"/>
  <c r="Y6" i="8" a="1"/>
  <c r="Y6" i="8" s="1"/>
  <c r="O6" i="22" a="1"/>
  <c r="O6" i="22" s="1"/>
  <c r="Y6" i="19" a="1"/>
  <c r="Y6" i="19" s="1"/>
  <c r="T6" i="16" a="1"/>
  <c r="T6" i="16" s="1"/>
  <c r="R6" i="19" a="1"/>
  <c r="R6" i="19" s="1"/>
  <c r="W6" i="16" a="1"/>
  <c r="W6" i="16" s="1"/>
  <c r="R6" i="8" a="1"/>
  <c r="R6" i="8" s="1"/>
  <c r="H6" i="24" a="1"/>
  <c r="H6" i="24" s="1"/>
  <c r="H6" i="26" a="1"/>
  <c r="H6" i="26" s="1"/>
  <c r="H6" i="28" a="1"/>
  <c r="H6" i="28" s="1"/>
  <c r="M6" i="30" a="1"/>
  <c r="M6" i="30" s="1"/>
  <c r="H6" i="29" a="1"/>
  <c r="H6" i="29" s="1"/>
  <c r="H6" i="11" a="1"/>
  <c r="H6" i="11" s="1"/>
  <c r="H6" i="25" a="1"/>
  <c r="H6" i="25" s="1"/>
  <c r="W6" i="8" a="1"/>
  <c r="W6" i="8" s="1"/>
  <c r="M6" i="22" a="1"/>
  <c r="M6" i="22" s="1"/>
  <c r="W6" i="19" a="1"/>
  <c r="W6" i="19" s="1"/>
  <c r="R6" i="16" a="1"/>
  <c r="R6" i="16" s="1"/>
  <c r="S6" i="19" a="1"/>
  <c r="S6" i="19" s="1"/>
  <c r="X6" i="16" a="1"/>
  <c r="X6" i="16" s="1"/>
  <c r="S6" i="8" a="1"/>
  <c r="S6" i="8" s="1"/>
  <c r="I6" i="24" a="1"/>
  <c r="I6" i="24" s="1"/>
  <c r="I6" i="26" a="1"/>
  <c r="I6" i="26" s="1"/>
  <c r="I6" i="28" a="1"/>
  <c r="I6" i="28" s="1"/>
  <c r="N6" i="29" a="1"/>
  <c r="N6" i="29" s="1"/>
  <c r="N6" i="30" a="1"/>
  <c r="N6" i="30" s="1"/>
  <c r="I6" i="29" a="1"/>
  <c r="I6" i="29" s="1"/>
  <c r="I6" i="11" a="1"/>
  <c r="I6" i="11" s="1"/>
  <c r="I6" i="25" a="1"/>
  <c r="I6" i="25" s="1"/>
  <c r="X6" i="8" a="1"/>
  <c r="X6" i="8" s="1"/>
  <c r="N6" i="22" a="1"/>
  <c r="N6" i="22" s="1"/>
  <c r="X6" i="19" a="1"/>
  <c r="X6" i="19" s="1"/>
  <c r="S6" i="16" a="1"/>
  <c r="S6" i="16" s="1"/>
  <c r="O6" i="34" l="1" a="1"/>
  <c r="O6" i="34" s="1"/>
  <c r="X6" i="30" a="1"/>
  <c r="X6" i="30" s="1"/>
  <c r="S6" i="31" a="1"/>
  <c r="S6" i="31" s="1"/>
  <c r="P6" i="31" a="1"/>
  <c r="P6" i="31" s="1"/>
  <c r="U6" i="30" a="1"/>
  <c r="U6" i="30" s="1"/>
  <c r="U6" i="33" a="1"/>
  <c r="U6" i="33" s="1"/>
  <c r="P6" i="34" a="1"/>
  <c r="P6" i="34" s="1"/>
  <c r="V6" i="34" a="1"/>
  <c r="V6" i="34" s="1"/>
  <c r="N6" i="10" a="1"/>
  <c r="N6" i="10" s="1"/>
  <c r="O6" i="32" a="1"/>
  <c r="O6" i="32" s="1"/>
  <c r="U6" i="32" a="1"/>
  <c r="U6" i="32" s="1"/>
  <c r="P6" i="10" a="1"/>
  <c r="P6" i="10" s="1"/>
  <c r="Q6" i="31" a="1"/>
  <c r="Q6" i="31" s="1"/>
  <c r="V6" i="30" a="1"/>
  <c r="V6" i="30" s="1"/>
  <c r="H6" i="10" a="1"/>
  <c r="H6" i="10" s="1"/>
  <c r="M6" i="34" a="1"/>
  <c r="M6" i="34" s="1"/>
  <c r="N6" i="33" a="1"/>
  <c r="N6" i="33" s="1"/>
  <c r="Q6" i="34" a="1"/>
  <c r="Q6" i="34" s="1"/>
  <c r="V6" i="33" a="1"/>
  <c r="V6" i="33" s="1"/>
  <c r="O6" i="10" a="1"/>
  <c r="O6" i="10" s="1"/>
  <c r="U6" i="31" a="1"/>
  <c r="U6" i="31" s="1"/>
  <c r="P6" i="32" a="1"/>
  <c r="P6" i="32" s="1"/>
  <c r="U6" i="34" a="1"/>
  <c r="U6" i="34" s="1"/>
  <c r="O6" i="31" a="1"/>
  <c r="O6" i="31" s="1"/>
  <c r="H6" i="33" a="1"/>
  <c r="H6" i="33" s="1"/>
  <c r="H6" i="32" a="1"/>
  <c r="H6" i="32" s="1"/>
  <c r="H6" i="30" a="1"/>
  <c r="H6" i="30" s="1"/>
  <c r="H6" i="34" a="1"/>
  <c r="H6" i="34" s="1"/>
  <c r="N6" i="31" a="1"/>
  <c r="N6" i="31" s="1"/>
  <c r="V6" i="31" a="1"/>
  <c r="V6" i="31" s="1"/>
  <c r="Q6" i="32" a="1"/>
  <c r="Q6" i="32" s="1"/>
  <c r="O6" i="33" a="1"/>
  <c r="O6" i="33" s="1"/>
  <c r="X6" i="10" a="1"/>
  <c r="X6" i="10" s="1"/>
  <c r="S6" i="33" a="1"/>
  <c r="S6" i="33" s="1"/>
  <c r="X6" i="22" a="1"/>
  <c r="X6" i="22" s="1"/>
  <c r="N6" i="24" a="1"/>
  <c r="N6" i="24" s="1"/>
  <c r="N6" i="26" a="1"/>
  <c r="N6" i="26" s="1"/>
  <c r="N6" i="28" a="1"/>
  <c r="N6" i="28" s="1"/>
  <c r="X6" i="28" a="1"/>
  <c r="X6" i="28" s="1"/>
  <c r="S6" i="29" a="1"/>
  <c r="S6" i="29" s="1"/>
  <c r="X6" i="11" a="1"/>
  <c r="X6" i="11" s="1"/>
  <c r="S6" i="28" a="1"/>
  <c r="S6" i="28" s="1"/>
  <c r="N6" i="11" a="1"/>
  <c r="N6" i="11" s="1"/>
  <c r="N6" i="25" a="1"/>
  <c r="N6" i="25" s="1"/>
  <c r="S6" i="22" a="1"/>
  <c r="S6" i="22" s="1"/>
  <c r="W6" i="22" a="1"/>
  <c r="W6" i="22" s="1"/>
  <c r="M6" i="24" a="1"/>
  <c r="M6" i="24" s="1"/>
  <c r="M6" i="26" a="1"/>
  <c r="M6" i="26" s="1"/>
  <c r="M6" i="28" a="1"/>
  <c r="M6" i="28" s="1"/>
  <c r="W6" i="28" a="1"/>
  <c r="W6" i="28" s="1"/>
  <c r="R6" i="29" a="1"/>
  <c r="R6" i="29" s="1"/>
  <c r="M6" i="11" a="1"/>
  <c r="M6" i="11" s="1"/>
  <c r="M6" i="25" a="1"/>
  <c r="M6" i="25" s="1"/>
  <c r="R6" i="22" a="1"/>
  <c r="R6" i="22" s="1"/>
  <c r="Y6" i="22" a="1"/>
  <c r="Y6" i="22" s="1"/>
  <c r="O6" i="24" a="1"/>
  <c r="O6" i="24" s="1"/>
  <c r="O6" i="26" a="1"/>
  <c r="O6" i="26" s="1"/>
  <c r="O6" i="28" a="1"/>
  <c r="O6" i="28" s="1"/>
  <c r="Y6" i="28" a="1"/>
  <c r="Y6" i="28" s="1"/>
  <c r="T6" i="29" a="1"/>
  <c r="T6" i="29" s="1"/>
  <c r="Y6" i="11" a="1"/>
  <c r="Y6" i="11" s="1"/>
  <c r="T6" i="28" a="1"/>
  <c r="T6" i="28" s="1"/>
  <c r="O6" i="11" a="1"/>
  <c r="O6" i="11" s="1"/>
  <c r="Y6" i="34" a="1"/>
  <c r="Y6" i="34" s="1"/>
  <c r="O6" i="25" a="1"/>
  <c r="O6" i="25" s="1"/>
  <c r="T6" i="22" a="1"/>
  <c r="T6" i="22" s="1"/>
  <c r="P6" i="24" a="1"/>
  <c r="P6" i="24" s="1"/>
  <c r="U6" i="25" a="1"/>
  <c r="U6" i="25" s="1"/>
  <c r="P6" i="26" a="1"/>
  <c r="P6" i="26" s="1"/>
  <c r="U6" i="11" a="1"/>
  <c r="U6" i="11" s="1"/>
  <c r="P6" i="28" a="1"/>
  <c r="P6" i="28" s="1"/>
  <c r="U6" i="26" a="1"/>
  <c r="U6" i="26" s="1"/>
  <c r="P6" i="11" a="1"/>
  <c r="P6" i="11" s="1"/>
  <c r="U6" i="24" a="1"/>
  <c r="U6" i="24" s="1"/>
  <c r="P6" i="25" a="1"/>
  <c r="P6" i="25" s="1"/>
  <c r="Q6" i="24" a="1"/>
  <c r="Q6" i="24" s="1"/>
  <c r="V6" i="25" a="1"/>
  <c r="V6" i="25" s="1"/>
  <c r="Q6" i="26" a="1"/>
  <c r="Q6" i="26" s="1"/>
  <c r="V6" i="11" a="1"/>
  <c r="V6" i="11" s="1"/>
  <c r="Q6" i="28" a="1"/>
  <c r="Q6" i="28" s="1"/>
  <c r="V6" i="26" a="1"/>
  <c r="V6" i="26" s="1"/>
  <c r="Q6" i="11" a="1"/>
  <c r="Q6" i="11" s="1"/>
  <c r="V6" i="24" a="1"/>
  <c r="V6" i="24" s="1"/>
  <c r="Q6" i="25" a="1"/>
  <c r="Q6" i="25" s="1"/>
  <c r="W6" i="33" l="1" a="1"/>
  <c r="W6" i="33" s="1"/>
  <c r="R6" i="34" a="1"/>
  <c r="R6" i="34" s="1"/>
  <c r="S6" i="32" a="1"/>
  <c r="S6" i="32" s="1"/>
  <c r="X6" i="31" a="1"/>
  <c r="X6" i="31" s="1"/>
  <c r="M6" i="10" a="1"/>
  <c r="M6" i="10" s="1"/>
  <c r="S6" i="34" a="1"/>
  <c r="S6" i="34" s="1"/>
  <c r="X6" i="33" a="1"/>
  <c r="X6" i="33" s="1"/>
  <c r="Y6" i="32" a="1"/>
  <c r="Y6" i="32" s="1"/>
  <c r="T6" i="10" a="1"/>
  <c r="T6" i="10" s="1"/>
  <c r="T6" i="32" a="1"/>
  <c r="T6" i="32" s="1"/>
  <c r="Y6" i="31" a="1"/>
  <c r="Y6" i="31" s="1"/>
  <c r="Y6" i="30" a="1"/>
  <c r="Y6" i="30" s="1"/>
  <c r="T6" i="31" a="1"/>
  <c r="T6" i="31" s="1"/>
  <c r="X6" i="34" a="1"/>
  <c r="X6" i="34" s="1"/>
  <c r="S6" i="30" a="1"/>
  <c r="S6" i="30" s="1"/>
  <c r="X6" i="29" a="1"/>
  <c r="X6" i="29" s="1"/>
  <c r="X6" i="32" a="1"/>
  <c r="X6" i="32" s="1"/>
  <c r="S6" i="10" a="1"/>
  <c r="S6" i="10" s="1"/>
  <c r="M6" i="33" a="1"/>
  <c r="M6" i="33" s="1"/>
  <c r="T6" i="33" a="1"/>
  <c r="T6" i="33" s="1"/>
  <c r="Y6" i="10" a="1"/>
  <c r="Y6" i="10" s="1"/>
  <c r="T6" i="30" a="1"/>
  <c r="T6" i="30" s="1"/>
  <c r="Y6" i="29" a="1"/>
  <c r="Y6" i="29" s="1"/>
  <c r="M6" i="29" a="1"/>
  <c r="M6" i="29" s="1"/>
  <c r="W6" i="10" a="1"/>
  <c r="W6" i="10" s="1"/>
  <c r="R6" i="33" a="1"/>
  <c r="R6" i="33" s="1"/>
  <c r="Y6" i="33" a="1"/>
  <c r="Y6" i="33" s="1"/>
  <c r="T6" i="34" a="1"/>
  <c r="T6" i="34" s="1"/>
  <c r="M6" i="31" a="1"/>
  <c r="M6" i="31" s="1"/>
  <c r="M6" i="32" a="1"/>
  <c r="M6" i="32" s="1"/>
  <c r="T6" i="24" a="1"/>
  <c r="T6" i="24" s="1"/>
  <c r="Y6" i="25" a="1"/>
  <c r="Y6" i="25" s="1"/>
  <c r="T6" i="26" a="1"/>
  <c r="T6" i="26" s="1"/>
  <c r="Y6" i="26" a="1"/>
  <c r="Y6" i="26" s="1"/>
  <c r="T6" i="11" a="1"/>
  <c r="T6" i="11" s="1"/>
  <c r="Y6" i="24" a="1"/>
  <c r="Y6" i="24" s="1"/>
  <c r="T6" i="25" a="1"/>
  <c r="T6" i="25" s="1"/>
  <c r="R6" i="24" a="1"/>
  <c r="R6" i="24" s="1"/>
  <c r="W6" i="25" a="1"/>
  <c r="W6" i="25" s="1"/>
  <c r="R6" i="26" a="1"/>
  <c r="R6" i="26" s="1"/>
  <c r="W6" i="26" a="1"/>
  <c r="W6" i="26" s="1"/>
  <c r="R6" i="11" a="1"/>
  <c r="R6" i="11" s="1"/>
  <c r="W6" i="24" a="1"/>
  <c r="W6" i="24" s="1"/>
  <c r="R6" i="25" a="1"/>
  <c r="R6" i="25" s="1"/>
  <c r="S6" i="24" a="1"/>
  <c r="S6" i="24" s="1"/>
  <c r="X6" i="25" a="1"/>
  <c r="X6" i="25" s="1"/>
  <c r="S6" i="26" a="1"/>
  <c r="S6" i="26" s="1"/>
  <c r="X6" i="26" a="1"/>
  <c r="X6" i="26" s="1"/>
  <c r="S6" i="11" a="1"/>
  <c r="S6" i="11" s="1"/>
  <c r="X6" i="24" a="1"/>
  <c r="X6" i="24" s="1"/>
  <c r="S6" i="25" a="1"/>
  <c r="S6" i="25" s="1"/>
  <c r="W6" i="30" l="1" a="1"/>
  <c r="W6" i="30" s="1"/>
  <c r="R6" i="31" a="1"/>
  <c r="R6" i="31" s="1"/>
  <c r="W6" i="29" a="1"/>
  <c r="W6" i="29" s="1"/>
  <c r="R6" i="30" a="1"/>
  <c r="R6" i="30" s="1"/>
  <c r="W6" i="11" a="1"/>
  <c r="W6" i="11" s="1"/>
  <c r="R6" i="28" a="1"/>
  <c r="R6" i="28" s="1"/>
  <c r="R6" i="32" a="1"/>
  <c r="R6" i="32" s="1"/>
  <c r="W6" i="31" a="1"/>
  <c r="W6" i="31" s="1"/>
  <c r="W6" i="32" a="1"/>
  <c r="W6" i="32" s="1"/>
  <c r="R6" i="10" a="1"/>
  <c r="R6" i="10" s="1"/>
  <c r="W6" i="34" l="1" a="1"/>
  <c r="W6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BF022B-876E-41EC-B03B-070AD51A1A70}" keepAlive="1" name="Query - Future global electricity demand load curves" description="Connection to the 'Future global electricity demand load curves' query in the workbook." type="5" refreshedVersion="8" background="1" saveData="1">
    <dbPr connection="Provider=Microsoft.Mashup.OleDb.1;Data Source=$Workbook$;Location=&quot;Future global electricity demand load curves&quot;;Extended Properties=&quot;&quot;" command="SELECT * FROM [Future global electricity demand load curves]"/>
  </connection>
  <connection id="2" xr16:uid="{F330CBFC-8879-4803-B07E-D3455920BB81}" keepAlive="1" name="Query - Future global electricity demand load curves (2)" description="Connection to the 'Future global electricity demand load curves (2)' query in the workbook." type="5" refreshedVersion="8" background="1" saveData="1">
    <dbPr connection="Provider=Microsoft.Mashup.OleDb.1;Data Source=$Workbook$;Location=&quot;Future global electricity demand load curves (2)&quot;;Extended Properties=&quot;&quot;" command="SELECT * FROM [Future global electricity demand load curves (2)]"/>
  </connection>
  <connection id="3" xr16:uid="{385F7B77-9BBE-469A-8981-1D6573ACD93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75A53F6-953E-4EAD-895D-8AE770EB0D17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5" xr16:uid="{F2938307-66F2-48E2-BB37-18EB5A45F0D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B62F3D0D-711D-4537-86F2-53687F47B52D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<sst xmlns="http://schemas.openxmlformats.org/spreadsheetml/2006/main" count="4325" uniqueCount="271">
  <si>
    <t>SHELF Seasonal Hourly Equipment Load Factors</t>
  </si>
  <si>
    <t>Source:</t>
  </si>
  <si>
    <t>Hourly Load Data</t>
  </si>
  <si>
    <t>Meixco SHELF Seasonal Hourly Equipment Load Factors</t>
  </si>
  <si>
    <t>NREL</t>
  </si>
  <si>
    <t>National Energy Control Center (Cenace)</t>
  </si>
  <si>
    <t>Electrification Futures Study Load Profiles</t>
  </si>
  <si>
    <t>Accessed 2024</t>
  </si>
  <si>
    <t>https://data.nrel.gov/submissions/126</t>
  </si>
  <si>
    <t>Public area of ​​the market information system</t>
  </si>
  <si>
    <t>EFSLoadProfile_Medium_Moderate</t>
  </si>
  <si>
    <t>https://www.cenace.gob.mx/Paginas/SIM/PronosticosHorasCriticas.aspx</t>
  </si>
  <si>
    <t>Horas criticas de 2022</t>
  </si>
  <si>
    <t>Monthly natural gas and electricity consumption</t>
  </si>
  <si>
    <t>EIA</t>
  </si>
  <si>
    <t>Monthly Energy Review</t>
  </si>
  <si>
    <t>https://www.eia.gov/totalenergy/data/monthly/</t>
  </si>
  <si>
    <t>https://www.cenace.gob.mx/APSIM.aspx</t>
  </si>
  <si>
    <t>Tables and 4.3 and 7.6</t>
  </si>
  <si>
    <t>Obtained through the Energy Transition Observatory in Mexico (Obtrenmx.org)</t>
  </si>
  <si>
    <t xml:space="preserve">https://obtrenmx.org/ </t>
  </si>
  <si>
    <t>Zapata, Victhalia (2022)</t>
  </si>
  <si>
    <t>“Data for: Future global electricity demand load curves”</t>
  </si>
  <si>
    <t>https://data.mendeley.com/datasets/pmd2dchk44/1</t>
  </si>
  <si>
    <t>About</t>
  </si>
  <si>
    <t>This file specifies the ratio of the electricity consumed in each hour of the year to the</t>
  </si>
  <si>
    <t>total amount of electricity consumed during the year, disaggregated by sector.</t>
  </si>
  <si>
    <t>For the US, we use data from NREL's Electrification Futures Study. We choose to use</t>
  </si>
  <si>
    <t>the Medium Electrification scenario with Moderate technology advancement, which</t>
  </si>
  <si>
    <t>is more in line with deployment of technologies like electric vehicles in the EPS</t>
  </si>
  <si>
    <t>BAU case when compared to NREL's Reference scenario. We choose data from the</t>
  </si>
  <si>
    <t>year 2018 to ensure we're using historical data.</t>
  </si>
  <si>
    <t>Due to file size limitations, the raw NREL data is already consolidated using Excel's</t>
  </si>
  <si>
    <t>Power Query feature.</t>
  </si>
  <si>
    <t>If you are adapting the EPS to a new geography and don't have hourly load data broken out</t>
  </si>
  <si>
    <t>by sector, you can use total economywide data in all of the blue output tabs.</t>
  </si>
  <si>
    <t>The NREL data only includes a combined category for heating and cooling and does not</t>
  </si>
  <si>
    <t>break these end uses out separately in commercial and residential buildings. For winter</t>
  </si>
  <si>
    <t>timeslices, we assume 100% of this category is heating and for summer timeslice, we assume</t>
  </si>
  <si>
    <t>100% of this category is cooling. For spring and fall days, we assume the following, based</t>
  </si>
  <si>
    <t>on ratios of natural gas to electricity demand in relevant months:</t>
  </si>
  <si>
    <t>For China, we use Victhalia Zapata's demand load curve for the year 2019.</t>
  </si>
  <si>
    <t>In Zapata's research, hourly electricity demand aggregated at the monthly level is modeled within the integrated</t>
  </si>
  <si>
    <t>assessment model (IAM) IMAGE and under the SSP2 baseline scenario for the future.</t>
  </si>
  <si>
    <t>Zapata's data files have already been consolidated using Excel's</t>
  </si>
  <si>
    <t>Power Query (aka Get &amp; Transform) feature in the 'Source Data' sheet.</t>
  </si>
  <si>
    <t>by certain sectors, you can use total economy-wide or sector-wide data.</t>
  </si>
  <si>
    <t>Number of days per week</t>
  </si>
  <si>
    <t>Weekend</t>
  </si>
  <si>
    <t>Weekday</t>
  </si>
  <si>
    <t>Total</t>
  </si>
  <si>
    <t>heating</t>
  </si>
  <si>
    <t>cooling</t>
  </si>
  <si>
    <t>Source.Name</t>
  </si>
  <si>
    <t>(Multiple Items)</t>
  </si>
  <si>
    <t>Row Labels</t>
  </si>
  <si>
    <t>Sum of h9</t>
  </si>
  <si>
    <t>Source Data</t>
  </si>
  <si>
    <t>Category Mapping</t>
  </si>
  <si>
    <t>Year</t>
  </si>
  <si>
    <t>Region</t>
  </si>
  <si>
    <t>Regions_code.Region Name</t>
  </si>
  <si>
    <t>Month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</si>
  <si>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</si>
  <si>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</si>
  <si>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</si>
  <si>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</si>
  <si>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</si>
  <si>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</si>
  <si>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</si>
  <si>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</si>
  <si>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</si>
  <si>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</si>
  <si>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</si>
  <si>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</si>
  <si>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</si>
  <si>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</si>
  <si>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</si>
  <si>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</si>
  <si>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</si>
  <si>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</si>
  <si>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</si>
  <si>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</si>
  <si>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</si>
  <si>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</si>
  <si>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</si>
  <si>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</si>
  <si>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season</t>
  </si>
  <si>
    <t>time of week</t>
  </si>
  <si>
    <t>sector</t>
  </si>
  <si>
    <t>subsector</t>
  </si>
  <si>
    <t>Residential_cooling_weekday.csv</t>
  </si>
  <si>
    <t>Residential_cooling_weekend.csv</t>
  </si>
  <si>
    <t>Residential_heating_weekday.csv</t>
  </si>
  <si>
    <t>Residential_heating_weekend.csv</t>
  </si>
  <si>
    <t>Residential_lighting_weekday.csv</t>
  </si>
  <si>
    <t>Residential_lighting_weekend.csv</t>
  </si>
  <si>
    <t>Residential_waterheating_weekday.csv</t>
  </si>
  <si>
    <t>Residential_waterheating_weekend.csv</t>
  </si>
  <si>
    <t>Service_cooling_weekday.csv</t>
  </si>
  <si>
    <t>Service_cooling_weekend.csv</t>
  </si>
  <si>
    <t>Service_heating_weekday.csv</t>
  </si>
  <si>
    <t>Service_heating_weekend.csv</t>
  </si>
  <si>
    <t>Service_waterheating_weekday.csv</t>
  </si>
  <si>
    <t>Service_waterheating_weekend.csv</t>
  </si>
  <si>
    <t>Industry_total_weekday_SSP2.csv</t>
  </si>
  <si>
    <t>Industry_total_weekend_SSP2.csv</t>
  </si>
  <si>
    <t>Residential_total_weekday_SSP2.csv</t>
  </si>
  <si>
    <t>Residential_total_weekend_SSP2.csv</t>
  </si>
  <si>
    <t>Service_total_weekday_SSP2.csv</t>
  </si>
  <si>
    <t>Service_total_weekend_SSP2.csv</t>
  </si>
  <si>
    <t>Total_regional_weekday_SSP2.csv</t>
  </si>
  <si>
    <t>Total_regional_weekend_SSP2.csv</t>
  </si>
  <si>
    <t>Transport_total_weekday.csv</t>
  </si>
  <si>
    <t>Transport_total_weekend.csv</t>
  </si>
  <si>
    <t>Total Season Demand Per Specified Hour, Time of Week, and End Use (kW/month)</t>
  </si>
  <si>
    <t>Residential</t>
  </si>
  <si>
    <t>Commercial</t>
  </si>
  <si>
    <t>Transportation</t>
  </si>
  <si>
    <t>Industry</t>
  </si>
  <si>
    <t>Season</t>
  </si>
  <si>
    <t>Hour</t>
  </si>
  <si>
    <t>Time of Week</t>
  </si>
  <si>
    <t>Heating</t>
  </si>
  <si>
    <t>Cooling</t>
  </si>
  <si>
    <t>Envelope</t>
  </si>
  <si>
    <t>Lighting</t>
  </si>
  <si>
    <t>Appliances</t>
  </si>
  <si>
    <t>Other</t>
  </si>
  <si>
    <t>LDVs</t>
  </si>
  <si>
    <t>HDVs</t>
  </si>
  <si>
    <t>Aircraft</t>
  </si>
  <si>
    <t>Rail</t>
  </si>
  <si>
    <t>Ships</t>
  </si>
  <si>
    <t>Motorbikes</t>
  </si>
  <si>
    <t>District Heat and Hydrogen</t>
  </si>
  <si>
    <t>Geoengineering</t>
  </si>
  <si>
    <t>Winter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</si>
  <si>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</si>
  <si>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</si>
  <si>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</si>
  <si>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</si>
  <si>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</si>
  <si>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</si>
  <si>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</si>
  <si>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</si>
  <si>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</si>
  <si>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</si>
  <si>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</si>
  <si>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</si>
  <si>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</si>
  <si>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</si>
  <si>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</si>
  <si>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</si>
  <si>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</si>
  <si>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</si>
  <si>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</si>
  <si>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</si>
  <si>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</si>
  <si>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</si>
  <si>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</si>
  <si>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</si>
  <si>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Spring</t>
  </si>
  <si>
    <t>Summer</t>
  </si>
  <si>
    <t>Fall</t>
  </si>
  <si>
    <t>Average and Peak Load Factors by Season and Hour</t>
  </si>
  <si>
    <t>Winter Peak</t>
  </si>
  <si>
    <t>Summer Peak</t>
  </si>
  <si>
    <t>LBNL Source Name</t>
  </si>
  <si>
    <t>Time</t>
  </si>
  <si>
    <t>EPS Sector</t>
  </si>
  <si>
    <t>EPS End Use</t>
  </si>
  <si>
    <t>Notes</t>
  </si>
  <si>
    <t>In addition to lighting, cooling, heating, and water heating, the residential sector total also includes cooking and appliances/equipment (the latter showing less climate dependence)</t>
  </si>
  <si>
    <t>In addition to lighting, cooling, heating, and water heating, the service sector total also includes cooking and appliances/equipment (the latter showing less climate dependence)</t>
  </si>
  <si>
    <t>All Sectors</t>
  </si>
  <si>
    <t>Month Name</t>
  </si>
  <si>
    <t>Month Abbrev.</t>
  </si>
  <si>
    <t># of Days</t>
  </si>
  <si>
    <t>Weekend Days</t>
  </si>
  <si>
    <t>Weekdays</t>
  </si>
  <si>
    <t>January</t>
  </si>
  <si>
    <t>Jan</t>
  </si>
  <si>
    <t>February</t>
  </si>
  <si>
    <t>Feb</t>
  </si>
  <si>
    <t>March</t>
  </si>
  <si>
    <t>Mar</t>
  </si>
  <si>
    <t>April</t>
  </si>
  <si>
    <t>Apr</t>
  </si>
  <si>
    <t>May</t>
  </si>
  <si>
    <t>June</t>
  </si>
  <si>
    <t>Jun</t>
  </si>
  <si>
    <t>July</t>
  </si>
  <si>
    <t>Jul</t>
  </si>
  <si>
    <t>August</t>
  </si>
  <si>
    <t>Aug</t>
  </si>
  <si>
    <t>September</t>
  </si>
  <si>
    <t>Sep</t>
  </si>
  <si>
    <t>October</t>
  </si>
  <si>
    <t>Oct</t>
  </si>
  <si>
    <t>November</t>
  </si>
  <si>
    <t>Nov</t>
  </si>
  <si>
    <t>December</t>
  </si>
  <si>
    <t>Dec</t>
  </si>
  <si>
    <t>Days per Season</t>
  </si>
  <si>
    <t>Hours per Season</t>
  </si>
  <si>
    <t>Days per Electricity Timeslice</t>
  </si>
  <si>
    <t>SHELF-residential-heating</t>
  </si>
  <si>
    <t>SHELF-residential-cooling</t>
  </si>
  <si>
    <t>SHELF-residential-envelope</t>
  </si>
  <si>
    <t>SHELF-residential-lighting</t>
  </si>
  <si>
    <t>SHELF-residential-appliances</t>
  </si>
  <si>
    <t>SHELF-residential-other</t>
  </si>
  <si>
    <t>SHELF-commercial-heating</t>
  </si>
  <si>
    <t>SHELF-commercial-cooling</t>
  </si>
  <si>
    <t>SHELF-commercial-envelope</t>
  </si>
  <si>
    <t>SHELF-commercial-lighting</t>
  </si>
  <si>
    <t>SHELF-commercial-appliances</t>
  </si>
  <si>
    <t>SHELF-commercial-other</t>
  </si>
  <si>
    <t>SHELF-LDVs</t>
  </si>
  <si>
    <t>SHELF-HDVs</t>
  </si>
  <si>
    <t>SHELF-aircraft</t>
  </si>
  <si>
    <t>SHELF-rail</t>
  </si>
  <si>
    <t>SHELF-ships</t>
  </si>
  <si>
    <t>SHELF-motorbikes</t>
  </si>
  <si>
    <t>SHELF-industry</t>
  </si>
  <si>
    <t>SHELF-district-heat-hydrogen</t>
  </si>
  <si>
    <t>SHELF-geoeng</t>
  </si>
  <si>
    <t>Check</t>
  </si>
  <si>
    <t>Unit: days</t>
  </si>
  <si>
    <t>Days per Timeslice</t>
  </si>
  <si>
    <t>Unit: dimensionless (ratio of electricity demand in this hour to annual demand)</t>
  </si>
  <si>
    <t>SHELF-datacenters</t>
  </si>
  <si>
    <t>Column Labels</t>
  </si>
  <si>
    <t>Sum of h1</t>
  </si>
  <si>
    <t>Sum of h2</t>
  </si>
  <si>
    <t>Sum of h3</t>
  </si>
  <si>
    <t>Sum of h4</t>
  </si>
  <si>
    <t>Sum of h5</t>
  </si>
  <si>
    <t>Sum of h6</t>
  </si>
  <si>
    <t>Sum of h7</t>
  </si>
  <si>
    <t>Sum of h8</t>
  </si>
  <si>
    <t>Sum of h10</t>
  </si>
  <si>
    <t>Sum of h11</t>
  </si>
  <si>
    <t>Sum of h12</t>
  </si>
  <si>
    <t>Sum of h13</t>
  </si>
  <si>
    <t>Sum of h14</t>
  </si>
  <si>
    <t>Sum of h15</t>
  </si>
  <si>
    <t>Sum of h16</t>
  </si>
  <si>
    <t>Sum of h17</t>
  </si>
  <si>
    <t>Sum of h18</t>
  </si>
  <si>
    <t>Sum of h19</t>
  </si>
  <si>
    <t>Sum of h20</t>
  </si>
  <si>
    <t>Sum of h21</t>
  </si>
  <si>
    <t>Sum of h22</t>
  </si>
  <si>
    <t>Sum of h23</t>
  </si>
  <si>
    <t>Sum of h24</t>
  </si>
  <si>
    <t>weekend</t>
  </si>
  <si>
    <t>weekday</t>
  </si>
  <si>
    <t>total</t>
  </si>
  <si>
    <t>total per day</t>
  </si>
  <si>
    <t>winter</t>
  </si>
  <si>
    <t>spring</t>
  </si>
  <si>
    <t>summer</t>
  </si>
  <si>
    <t>fall</t>
  </si>
  <si>
    <t>Total Annual Demand by End Use (kWh/year)</t>
  </si>
  <si>
    <t>Total Season Demand Per Specified Hour, Time of Week, and End Use (kW/day)</t>
  </si>
  <si>
    <t>Total Seasonal Load (kWh/season)</t>
  </si>
  <si>
    <t>Calibration Multipliers</t>
  </si>
  <si>
    <t>Korea</t>
  </si>
  <si>
    <t>(everything should add up to 1 as long as not filled with 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</si>
</sst>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E+00"/>
    <numFmt numFmtId="165" formatCode="0.000000000000000"/>
    <numFmt numFmtId="166" formatCode="0.0"/>
    <numFmt numFmtId="167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/>
      <right/>
      <top/>
      <bottom style="thin">
        <color rgb="FFA9D08E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6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1"/>
    <xf numFmtId="0" fontId="0" fillId="0" borderId="0" xfId="0" applyAlignment="1">
      <alignment wrapText="1"/>
    </xf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right" wrapText="1"/>
    </xf>
    <xf numFmtId="1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6" fillId="5" borderId="1" xfId="0" applyFont="1" applyFill="1" applyBorder="1"/>
    <xf numFmtId="0" fontId="6" fillId="5" borderId="2" xfId="0" applyFont="1" applyFill="1" applyBorder="1"/>
    <xf numFmtId="0" fontId="6" fillId="5" borderId="3" xfId="0" applyFont="1" applyFill="1" applyBorder="1"/>
    <xf numFmtId="0" fontId="5" fillId="6" borderId="1" xfId="0" applyFont="1" applyFill="1" applyBorder="1"/>
    <xf numFmtId="0" fontId="5" fillId="6" borderId="2" xfId="0" applyFont="1" applyFill="1" applyBorder="1"/>
    <xf numFmtId="0" fontId="5" fillId="0" borderId="1" xfId="0" applyFont="1" applyBorder="1"/>
    <xf numFmtId="0" fontId="5" fillId="0" borderId="2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66" fontId="0" fillId="0" borderId="0" xfId="0" applyNumberFormat="1" applyAlignment="1">
      <alignment horizontal="center" wrapText="1"/>
    </xf>
    <xf numFmtId="1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1" fontId="0" fillId="7" borderId="0" xfId="0" applyNumberFormat="1" applyFill="1" applyAlignment="1">
      <alignment horizontal="center"/>
    </xf>
    <xf numFmtId="11" fontId="5" fillId="0" borderId="2" xfId="0" applyNumberFormat="1" applyFont="1" applyBorder="1"/>
    <xf numFmtId="11" fontId="5" fillId="6" borderId="2" xfId="0" applyNumberFormat="1" applyFont="1" applyFill="1" applyBorder="1"/>
    <xf numFmtId="11" fontId="0" fillId="7" borderId="0" xfId="0" applyNumberFormat="1" applyFill="1"/>
    <xf numFmtId="11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1" fontId="0" fillId="9" borderId="0" xfId="0" applyNumberFormat="1" applyFill="1" applyAlignment="1">
      <alignment horizontal="center"/>
    </xf>
    <xf numFmtId="0" fontId="0" fillId="0" borderId="0" xfId="0" pivotButton="1"/>
    <xf numFmtId="0" fontId="7" fillId="0" borderId="0" xfId="0" applyFont="1"/>
    <xf numFmtId="0" fontId="8" fillId="0" borderId="0" xfId="0" applyFont="1"/>
    <xf numFmtId="0" fontId="7" fillId="10" borderId="0" xfId="0" applyFont="1" applyFill="1"/>
    <xf numFmtId="0" fontId="8" fillId="0" borderId="0" xfId="0" applyFont="1" applyAlignment="1">
      <alignment horizontal="left"/>
    </xf>
    <xf numFmtId="0" fontId="9" fillId="0" borderId="0" xfId="0" applyFont="1"/>
    <xf numFmtId="0" fontId="8" fillId="0" borderId="0" xfId="0" applyFont="1" applyAlignment="1">
      <alignment horizontal="right"/>
    </xf>
    <xf numFmtId="9" fontId="8" fillId="0" borderId="0" xfId="0" applyNumberFormat="1" applyFont="1"/>
    <xf numFmtId="0" fontId="0" fillId="9" borderId="0" xfId="0" applyFill="1"/>
    <xf numFmtId="11" fontId="0" fillId="9" borderId="0" xfId="0" applyNumberFormat="1" applyFill="1"/>
    <xf numFmtId="11" fontId="0" fillId="0" borderId="0" xfId="0" applyNumberFormat="1" applyAlignment="1">
      <alignment horizontal="left"/>
    </xf>
    <xf numFmtId="167" fontId="0" fillId="0" borderId="0" xfId="0" applyNumberFormat="1"/>
    <xf numFmtId="0" fontId="10" fillId="0" borderId="0" xfId="0" applyFont="1"/>
    <xf numFmtId="0" fontId="1" fillId="9" borderId="0" xfId="0" applyFont="1" applyFill="1"/>
    <xf numFmtId="0" fontId="0" fillId="11" borderId="0" xfId="0" applyFill="1"/>
    <xf numFmtId="0" fontId="0" fillId="11" borderId="0" xfId="0" applyFill="1" applyAlignment="1">
      <alignment horizontal="center"/>
    </xf>
    <xf numFmtId="0" fontId="0" fillId="11" borderId="0" xfId="0" applyFill="1" applyAlignment="1">
      <alignment wrapText="1"/>
    </xf>
    <xf numFmtId="0" fontId="0" fillId="11" borderId="0" xfId="0" applyFill="1" applyAlignment="1">
      <alignment horizontal="center" wrapText="1"/>
    </xf>
    <xf numFmtId="11" fontId="0" fillId="12" borderId="0" xfId="0" applyNumberFormat="1" applyFill="1" applyAlignment="1">
      <alignment horizontal="center"/>
    </xf>
    <xf numFmtId="0" fontId="0" fillId="13" borderId="5" xfId="0" applyFill="1" applyBorder="1"/>
    <xf numFmtId="0" fontId="0" fillId="13" borderId="6" xfId="0" applyFill="1" applyBorder="1"/>
    <xf numFmtId="0" fontId="0" fillId="13" borderId="7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1" fontId="5" fillId="6" borderId="3" xfId="0" applyNumberFormat="1" applyFont="1" applyFill="1" applyBorder="1"/>
    <xf numFmtId="11" fontId="5" fillId="0" borderId="3" xfId="0" applyNumberFormat="1" applyFont="1" applyBorder="1"/>
    <xf numFmtId="0" fontId="1" fillId="2" borderId="4" xfId="0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1" fillId="4" borderId="0" xfId="0" applyFont="1" applyFill="1" applyAlignment="1">
      <alignment horizontal="left"/>
    </xf>
    <xf numFmtId="0" fontId="0" fillId="0" borderId="0" xfId="0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D3AB6638-E7D9-4681-B987-396182D5819A}"/>
  </cellStyles>
  <dxfs count="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onnections" Target="connections.xml"/><Relationship Id="rId37" Type="http://schemas.openxmlformats.org/officeDocument/2006/relationships/customXml" Target="../customXml/item1.xml"/><Relationship Id="rId40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Sheet1!$D$21:$D$32</c:f>
              <c:numCache>
                <c:formatCode>General</c:formatCode>
                <c:ptCount val="12"/>
                <c:pt idx="0">
                  <c:v>372205999.4285714</c:v>
                </c:pt>
                <c:pt idx="1">
                  <c:v>707348244</c:v>
                </c:pt>
                <c:pt idx="2">
                  <c:v>6768088520.4285707</c:v>
                </c:pt>
                <c:pt idx="3">
                  <c:v>80966142857.142853</c:v>
                </c:pt>
                <c:pt idx="4">
                  <c:v>469658857142.85712</c:v>
                </c:pt>
                <c:pt idx="5">
                  <c:v>826281428571.42871</c:v>
                </c:pt>
                <c:pt idx="6">
                  <c:v>1252293714285.7144</c:v>
                </c:pt>
                <c:pt idx="7">
                  <c:v>1186281428571.4285</c:v>
                </c:pt>
                <c:pt idx="8">
                  <c:v>575464285714.28577</c:v>
                </c:pt>
                <c:pt idx="9">
                  <c:v>137492085714.28571</c:v>
                </c:pt>
                <c:pt idx="10">
                  <c:v>33876746957.14286</c:v>
                </c:pt>
                <c:pt idx="11">
                  <c:v>2735842207.2857141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23-4126-9EF6-46C23B6AE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7281712"/>
        <c:axId val="1017282672"/>
      </c:lineChart>
      <c:catAx>
        <c:axId val="1017281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282672"/>
        <c:crosses val="autoZero"/>
        <c:auto val="1"/>
        <c:lblAlgn val="ctr"/>
        <c:lblOffset val="100"/>
        <c:noMultiLvlLbl val="0"/>
      </c:catAx>
      <c:valAx>
        <c:axId val="101728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28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468630</xdr:colOff>
      <xdr:row>15</xdr:row>
      <xdr:rowOff>85725</xdr:rowOff>
    </xdr:from>
    <xdr:to>
      <xdr:col>16</xdr:col>
      <xdr:colOff>41910</xdr:colOff>
      <xdr:row>29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4303F1-B281-DC84-3B0E-C811DA9D3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shu Deng" refreshedDate="45462.615018518518" createdVersion="8" refreshedVersion="8" minRefreshableVersion="3" recordCount="288" xr:uid="{BB640B33-191D-4BAB-B6C4-9B1A8002F3E0}">
  <cacheSource type="worksheet">
    <worksheetSource ref="A2:AG290" sheet="Source Data"/>
  </cacheSource>
  <cacheFields count="33">
    <cacheField name="Source.Name" numFmtId="0">
      <sharedItems count="24">
        <s v="Residential_cooling_weekday.csv"/>
        <s v="Residential_cooling_weekend.csv"/>
        <s v="Residential_heating_weekday.csv"/>
        <s v="Residential_heating_weekend.csv"/>
        <s v="Residential_lighting_weekday.csv"/>
        <s v="Residential_lighting_weekend.csv"/>
        <s v="Residential_waterheating_weekday.csv"/>
        <s v="Residential_waterheating_weekend.csv"/>
        <s v="Service_cooling_weekday.csv"/>
        <s v="Service_cooling_weekend.csv"/>
        <s v="Service_heating_weekday.csv"/>
        <s v="Service_heating_weekend.csv"/>
        <s v="Service_waterheating_weekday.csv"/>
        <s v="Service_waterheating_weekend.csv"/>
        <s v="Industry_total_weekday_SSP2.csv"/>
        <s v="Industry_total_weekend_SSP2.csv"/>
        <s v="Residential_total_weekday_SSP2.csv"/>
        <s v="Residential_total_weekend_SSP2.csv"/>
        <s v="Service_total_weekday_SSP2.csv"/>
        <s v="Service_total_weekend_SSP2.csv"/>
        <s v="Total_regional_weekday_SSP2.csv"/>
        <s v="Total_regional_weekend_SSP2.csv"/>
        <s v="Transport_total_weekday.csv"/>
        <s v="Transport_total_weekend.csv"/>
      </sharedItems>
    </cacheField>
    <cacheField name="Year" numFmtId="0">
      <sharedItems containsSemiMixedTypes="0" containsString="0" containsNumber="1" containsInteger="1" minValue="2019" maxValue="2019"/>
    </cacheField>
    <cacheField name="Region" numFmtId="0">
      <sharedItems containsSemiMixedTypes="0" containsString="0" containsNumber="1" containsInteger="1" minValue="20" maxValue="20"/>
    </cacheField>
    <cacheField name="Regions_code.Region Name" numFmtId="0">
      <sharedItems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h1" numFmtId="11">
      <sharedItems containsSemiMixedTypes="0" containsString="0" containsNumber="1" containsInteger="1" minValue="14693" maxValue="13700000000"/>
    </cacheField>
    <cacheField name="h2" numFmtId="11">
      <sharedItems containsSemiMixedTypes="0" containsString="0" containsNumber="1" containsInteger="1" minValue="14918" maxValue="13200000000"/>
    </cacheField>
    <cacheField name="h3" numFmtId="11">
      <sharedItems containsSemiMixedTypes="0" containsString="0" containsNumber="1" containsInteger="1" minValue="15116" maxValue="13000000000"/>
    </cacheField>
    <cacheField name="h4" numFmtId="11">
      <sharedItems containsSemiMixedTypes="0" containsString="0" containsNumber="1" containsInteger="1" minValue="15145" maxValue="12900000000"/>
    </cacheField>
    <cacheField name="h5" numFmtId="11">
      <sharedItems containsSemiMixedTypes="0" containsString="0" containsNumber="1" containsInteger="1" minValue="15096" maxValue="13100000000"/>
    </cacheField>
    <cacheField name="h6" numFmtId="11">
      <sharedItems containsSemiMixedTypes="0" containsString="0" containsNumber="1" containsInteger="1" minValue="19621" maxValue="13600000000"/>
    </cacheField>
    <cacheField name="h7" numFmtId="11">
      <sharedItems containsSemiMixedTypes="0" containsString="0" containsNumber="1" containsInteger="1" minValue="35428" maxValue="14500000000"/>
    </cacheField>
    <cacheField name="h8" numFmtId="11">
      <sharedItems containsSemiMixedTypes="0" containsString="0" containsNumber="1" containsInteger="1" minValue="84365" maxValue="15800000000"/>
    </cacheField>
    <cacheField name="h9" numFmtId="11">
      <sharedItems containsSemiMixedTypes="0" containsString="0" containsNumber="1" containsInteger="1" minValue="138588" maxValue="16800000000"/>
    </cacheField>
    <cacheField name="h10" numFmtId="11">
      <sharedItems containsSemiMixedTypes="0" containsString="0" containsNumber="1" containsInteger="1" minValue="164265" maxValue="16700000000"/>
    </cacheField>
    <cacheField name="h11" numFmtId="11">
      <sharedItems containsSemiMixedTypes="0" containsString="0" containsNumber="1" containsInteger="1" minValue="169250" maxValue="16500000000"/>
    </cacheField>
    <cacheField name="h12" numFmtId="11">
      <sharedItems containsSemiMixedTypes="0" containsString="0" containsNumber="1" containsInteger="1" minValue="170911" maxValue="16800000000"/>
    </cacheField>
    <cacheField name="h13" numFmtId="11">
      <sharedItems containsSemiMixedTypes="0" containsString="0" containsNumber="1" containsInteger="1" minValue="172675" maxValue="17100000000"/>
    </cacheField>
    <cacheField name="h14" numFmtId="11">
      <sharedItems containsSemiMixedTypes="0" containsString="0" containsNumber="1" containsInteger="1" minValue="173349" maxValue="17300000000"/>
    </cacheField>
    <cacheField name="h15" numFmtId="11">
      <sharedItems containsSemiMixedTypes="0" containsString="0" containsNumber="1" containsInteger="1" minValue="173619" maxValue="17400000000"/>
    </cacheField>
    <cacheField name="h16" numFmtId="11">
      <sharedItems containsSemiMixedTypes="0" containsString="0" containsNumber="1" containsInteger="1" minValue="173387" maxValue="17800000000"/>
    </cacheField>
    <cacheField name="h17" numFmtId="11">
      <sharedItems containsSemiMixedTypes="0" containsString="0" containsNumber="1" containsInteger="1" minValue="170880" maxValue="18500000000"/>
    </cacheField>
    <cacheField name="h18" numFmtId="11">
      <sharedItems containsSemiMixedTypes="0" containsString="0" containsNumber="1" containsInteger="1" minValue="165972" maxValue="19000000000"/>
    </cacheField>
    <cacheField name="h19" numFmtId="11">
      <sharedItems containsSemiMixedTypes="0" containsString="0" containsNumber="1" containsInteger="1" minValue="161879" maxValue="19200000000"/>
    </cacheField>
    <cacheField name="h20" numFmtId="11">
      <sharedItems containsSemiMixedTypes="0" containsString="0" containsNumber="1" containsInteger="1" minValue="156544" maxValue="18600000000"/>
    </cacheField>
    <cacheField name="h21" numFmtId="11">
      <sharedItems containsSemiMixedTypes="0" containsString="0" containsNumber="1" containsInteger="1" minValue="151071" maxValue="17800000000"/>
    </cacheField>
    <cacheField name="h22" numFmtId="11">
      <sharedItems containsSemiMixedTypes="0" containsString="0" containsNumber="1" containsInteger="1" minValue="85760" maxValue="17000000000"/>
    </cacheField>
    <cacheField name="h23" numFmtId="11">
      <sharedItems containsSemiMixedTypes="0" containsString="0" containsNumber="1" containsInteger="1" minValue="34742" maxValue="15600000000"/>
    </cacheField>
    <cacheField name="h24" numFmtId="11">
      <sharedItems containsSemiMixedTypes="0" containsString="0" containsNumber="1" containsInteger="1" minValue="19049" maxValue="14500000000"/>
    </cacheField>
    <cacheField name="season" numFmtId="0">
      <sharedItems/>
    </cacheField>
    <cacheField name="time of week" numFmtId="0">
      <sharedItems count="2">
        <s v="Weekday"/>
        <s v="Weekend"/>
      </sharedItems>
    </cacheField>
    <cacheField name="sector" numFmtId="0">
      <sharedItems/>
    </cacheField>
    <cacheField name="subsec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n v="2019"/>
    <n v="20"/>
    <s v="China +"/>
    <x v="0"/>
    <n v="34908"/>
    <n v="35104"/>
    <n v="35239"/>
    <n v="35258"/>
    <n v="34366"/>
    <n v="41819"/>
    <n v="64256"/>
    <n v="123535"/>
    <n v="183343"/>
    <n v="255776"/>
    <n v="394590"/>
    <n v="742081"/>
    <n v="1289245"/>
    <n v="1733170"/>
    <n v="1978424"/>
    <n v="1976738"/>
    <n v="1656191"/>
    <n v="1134240"/>
    <n v="748799"/>
    <n v="528328"/>
    <n v="354370"/>
    <n v="205207"/>
    <n v="83503"/>
    <n v="45616"/>
    <s v="Winter"/>
    <x v="0"/>
    <s v="Residential"/>
    <s v="Cooling"/>
  </r>
  <r>
    <x v="0"/>
    <n v="2019"/>
    <n v="20"/>
    <s v="China +"/>
    <x v="1"/>
    <n v="135151"/>
    <n v="102185"/>
    <n v="91498"/>
    <n v="102633"/>
    <n v="133054"/>
    <n v="184478"/>
    <n v="234586"/>
    <n v="273654"/>
    <n v="370002"/>
    <n v="634273"/>
    <n v="1093638"/>
    <n v="1822472"/>
    <n v="2568012"/>
    <n v="3077575"/>
    <n v="3375899"/>
    <n v="3510078"/>
    <n v="3298923"/>
    <n v="2785572"/>
    <n v="2075360"/>
    <n v="1310149"/>
    <n v="715150"/>
    <n v="454575"/>
    <n v="304852"/>
    <n v="201230"/>
    <s v="Winter"/>
    <x v="0"/>
    <s v="Residential"/>
    <s v="Cooling"/>
  </r>
  <r>
    <x v="0"/>
    <n v="2019"/>
    <n v="20"/>
    <s v="China +"/>
    <x v="2"/>
    <n v="1781185"/>
    <n v="1483811"/>
    <n v="1392836"/>
    <n v="1490319"/>
    <n v="1753539"/>
    <n v="2285454"/>
    <n v="3215461"/>
    <n v="4246147"/>
    <n v="5622156"/>
    <n v="7303471"/>
    <n v="10200000"/>
    <n v="14700000"/>
    <n v="18900000"/>
    <n v="21500000"/>
    <n v="23200000"/>
    <n v="24500000"/>
    <n v="24300000"/>
    <n v="22500000"/>
    <n v="19300000"/>
    <n v="15100000"/>
    <n v="10900000"/>
    <n v="7053397"/>
    <n v="4178593"/>
    <n v="2492988"/>
    <s v="Spring"/>
    <x v="0"/>
    <s v="Residential"/>
    <s v="Cooling"/>
  </r>
  <r>
    <x v="0"/>
    <n v="2019"/>
    <n v="20"/>
    <s v="China +"/>
    <x v="3"/>
    <n v="52100000"/>
    <n v="45000000"/>
    <n v="42800000"/>
    <n v="45200000"/>
    <n v="51300000"/>
    <n v="58600000"/>
    <n v="62000000"/>
    <n v="60700000"/>
    <n v="64200000"/>
    <n v="73400000"/>
    <n v="99100000"/>
    <n v="155000000"/>
    <n v="216000000"/>
    <n v="258000000"/>
    <n v="282000000"/>
    <n v="294000000"/>
    <n v="278000000"/>
    <n v="236000000"/>
    <n v="188000000"/>
    <n v="152000000"/>
    <n v="124000000"/>
    <n v="101000000"/>
    <n v="80600000"/>
    <n v="63900000"/>
    <s v="Spring"/>
    <x v="0"/>
    <s v="Residential"/>
    <s v="Cooling"/>
  </r>
  <r>
    <x v="0"/>
    <n v="2019"/>
    <n v="20"/>
    <s v="China +"/>
    <x v="4"/>
    <n v="304000000"/>
    <n v="265000000"/>
    <n v="254000000"/>
    <n v="266000000"/>
    <n v="299000000"/>
    <n v="359000000"/>
    <n v="420000000"/>
    <n v="447000000"/>
    <n v="487000000"/>
    <n v="539000000"/>
    <n v="649000000"/>
    <n v="845000000"/>
    <n v="1020000000"/>
    <n v="1120000000"/>
    <n v="1190000000"/>
    <n v="1280000000"/>
    <n v="1310000000"/>
    <n v="1290000000"/>
    <n v="1230000000"/>
    <n v="1110000000"/>
    <n v="941000000"/>
    <n v="742000000"/>
    <n v="545000000"/>
    <n v="392000000"/>
    <s v="Spring"/>
    <x v="0"/>
    <s v="Residential"/>
    <s v="Cooling"/>
  </r>
  <r>
    <x v="0"/>
    <n v="2019"/>
    <n v="20"/>
    <s v="China +"/>
    <x v="5"/>
    <n v="999000000"/>
    <n v="906000000"/>
    <n v="876000000"/>
    <n v="910000000"/>
    <n v="983000000"/>
    <n v="1050000000"/>
    <n v="1030000000"/>
    <n v="927000000"/>
    <n v="893000000"/>
    <n v="901000000"/>
    <n v="1010000000"/>
    <n v="1250000000"/>
    <n v="1450000000"/>
    <n v="1560000000"/>
    <n v="1650000000"/>
    <n v="1780000000"/>
    <n v="1860000000"/>
    <n v="1900000000"/>
    <n v="1920000000"/>
    <n v="1860000000"/>
    <n v="1730000000"/>
    <n v="1540000000"/>
    <n v="1330000000"/>
    <n v="1150000000"/>
    <s v="Summer"/>
    <x v="0"/>
    <s v="Residential"/>
    <s v="Cooling"/>
  </r>
  <r>
    <x v="0"/>
    <n v="2019"/>
    <n v="20"/>
    <s v="China +"/>
    <x v="6"/>
    <n v="1760000000"/>
    <n v="1650000000"/>
    <n v="1620000000"/>
    <n v="1660000000"/>
    <n v="1730000000"/>
    <n v="1770000000"/>
    <n v="1640000000"/>
    <n v="1410000000"/>
    <n v="1290000000"/>
    <n v="1250000000"/>
    <n v="1360000000"/>
    <n v="1650000000"/>
    <n v="1890000000"/>
    <n v="2010000000"/>
    <n v="2130000000"/>
    <n v="2300000000"/>
    <n v="2430000000"/>
    <n v="2520000000"/>
    <n v="2590000000"/>
    <n v="2590000000"/>
    <n v="2500000000"/>
    <n v="2340000000"/>
    <n v="2130000000"/>
    <n v="1930000000"/>
    <s v="Summer"/>
    <x v="0"/>
    <s v="Residential"/>
    <s v="Cooling"/>
  </r>
  <r>
    <x v="0"/>
    <n v="2019"/>
    <n v="20"/>
    <s v="China +"/>
    <x v="7"/>
    <n v="1610000000"/>
    <n v="1500000000"/>
    <n v="1470000000"/>
    <n v="1510000000"/>
    <n v="1580000000"/>
    <n v="1630000000"/>
    <n v="1520000000"/>
    <n v="1320000000"/>
    <n v="1230000000"/>
    <n v="1200000000"/>
    <n v="1320000000"/>
    <n v="1600000000"/>
    <n v="1840000000"/>
    <n v="1960000000"/>
    <n v="2080000000"/>
    <n v="2240000000"/>
    <n v="2360000000"/>
    <n v="2440000000"/>
    <n v="2500000000"/>
    <n v="2480000000"/>
    <n v="2370000000"/>
    <n v="2200000000"/>
    <n v="1980000000"/>
    <n v="1780000000"/>
    <s v="Summer"/>
    <x v="0"/>
    <s v="Residential"/>
    <s v="Cooling"/>
  </r>
  <r>
    <x v="0"/>
    <n v="2019"/>
    <n v="20"/>
    <s v="China +"/>
    <x v="8"/>
    <n v="629000000"/>
    <n v="567000000"/>
    <n v="548000000"/>
    <n v="569000000"/>
    <n v="619000000"/>
    <n v="677000000"/>
    <n v="679000000"/>
    <n v="628000000"/>
    <n v="616000000"/>
    <n v="633000000"/>
    <n v="723000000"/>
    <n v="910000000"/>
    <n v="1070000000"/>
    <n v="1170000000"/>
    <n v="1240000000"/>
    <n v="1330000000"/>
    <n v="1380000000"/>
    <n v="1390000000"/>
    <n v="1370000000"/>
    <n v="1310000000"/>
    <n v="1190000000"/>
    <n v="1040000000"/>
    <n v="883000000"/>
    <n v="738000000"/>
    <s v="Fall"/>
    <x v="0"/>
    <s v="Residential"/>
    <s v="Cooling"/>
  </r>
  <r>
    <x v="0"/>
    <n v="2019"/>
    <n v="20"/>
    <s v="China +"/>
    <x v="9"/>
    <n v="89400000"/>
    <n v="79600000"/>
    <n v="76500000"/>
    <n v="79900000"/>
    <n v="88000000"/>
    <n v="96900000"/>
    <n v="99700000"/>
    <n v="99200000"/>
    <n v="113000000"/>
    <n v="139000000"/>
    <n v="188000000"/>
    <n v="265000000"/>
    <n v="336000000"/>
    <n v="379000000"/>
    <n v="407000000"/>
    <n v="432000000"/>
    <n v="431000000"/>
    <n v="405000000"/>
    <n v="356000000"/>
    <n v="287000000"/>
    <n v="218000000"/>
    <n v="165000000"/>
    <n v="130000000"/>
    <n v="106000000"/>
    <s v="Fall"/>
    <x v="0"/>
    <s v="Residential"/>
    <s v="Cooling"/>
  </r>
  <r>
    <x v="0"/>
    <n v="2019"/>
    <n v="20"/>
    <s v="China +"/>
    <x v="10"/>
    <n v="13300000"/>
    <n v="10100000"/>
    <n v="9396386"/>
    <n v="10100000"/>
    <n v="13100000"/>
    <n v="18300000"/>
    <n v="24600000"/>
    <n v="29500000"/>
    <n v="34800000"/>
    <n v="40400000"/>
    <n v="50800000"/>
    <n v="68800000"/>
    <n v="86300000"/>
    <n v="98100000"/>
    <n v="106000000"/>
    <n v="112000000"/>
    <n v="111000000"/>
    <n v="105000000"/>
    <n v="96400000"/>
    <n v="83500000"/>
    <n v="67300000"/>
    <n v="49000000"/>
    <n v="32000000"/>
    <n v="20000000"/>
    <s v="Winter"/>
    <x v="0"/>
    <s v="Residential"/>
    <s v="Cooling"/>
  </r>
  <r>
    <x v="0"/>
    <n v="2019"/>
    <n v="20"/>
    <s v="China +"/>
    <x v="11"/>
    <n v="203853"/>
    <n v="117532"/>
    <n v="117982"/>
    <n v="118048"/>
    <n v="200689"/>
    <n v="325447"/>
    <n v="541526"/>
    <n v="755170"/>
    <n v="977208"/>
    <n v="1435455"/>
    <n v="3058504"/>
    <n v="6354962"/>
    <n v="10000000"/>
    <n v="12600000"/>
    <n v="14000000"/>
    <n v="14400000"/>
    <n v="12900000"/>
    <n v="9713295"/>
    <n v="5804020"/>
    <n v="2965063"/>
    <n v="1888776"/>
    <n v="1254434"/>
    <n v="703731"/>
    <n v="355000"/>
    <s v="Winter"/>
    <x v="0"/>
    <s v="Residential"/>
    <s v="Cooling"/>
  </r>
  <r>
    <x v="1"/>
    <n v="2019"/>
    <n v="20"/>
    <s v="China +"/>
    <x v="0"/>
    <n v="14693"/>
    <n v="14918"/>
    <n v="15116"/>
    <n v="15145"/>
    <n v="15096"/>
    <n v="19621"/>
    <n v="35428"/>
    <n v="84365"/>
    <n v="138588"/>
    <n v="194920"/>
    <n v="283962"/>
    <n v="493989"/>
    <n v="824331"/>
    <n v="1084428"/>
    <n v="1182978"/>
    <n v="1078706"/>
    <n v="834276"/>
    <n v="541892"/>
    <n v="342077"/>
    <n v="232842"/>
    <n v="151071"/>
    <n v="85760"/>
    <n v="34742"/>
    <n v="19049"/>
    <s v="Winter"/>
    <x v="1"/>
    <s v="Residential"/>
    <s v="Cooling"/>
  </r>
  <r>
    <x v="1"/>
    <n v="2019"/>
    <n v="20"/>
    <s v="China +"/>
    <x v="1"/>
    <n v="57407"/>
    <n v="43822"/>
    <n v="39608"/>
    <n v="44488"/>
    <n v="58982"/>
    <n v="87346"/>
    <n v="130522"/>
    <n v="188595"/>
    <n v="282239"/>
    <n v="487781"/>
    <n v="794217"/>
    <n v="1224276"/>
    <n v="1656972"/>
    <n v="1943212"/>
    <n v="2037037"/>
    <n v="1932960"/>
    <n v="1676963"/>
    <n v="1342995"/>
    <n v="956762"/>
    <n v="582680"/>
    <n v="307662"/>
    <n v="191712"/>
    <n v="127996"/>
    <n v="84799"/>
    <s v="Winter"/>
    <x v="1"/>
    <s v="Residential"/>
    <s v="Cooling"/>
  </r>
  <r>
    <x v="1"/>
    <n v="2019"/>
    <n v="20"/>
    <s v="China +"/>
    <x v="2"/>
    <n v="766213"/>
    <n v="644441"/>
    <n v="610610"/>
    <n v="654239"/>
    <n v="787234"/>
    <n v="1095890"/>
    <n v="1811845"/>
    <n v="2963605"/>
    <n v="4343235"/>
    <n v="5688216"/>
    <n v="7482564"/>
    <n v="9995950"/>
    <n v="12300000"/>
    <n v="13700000"/>
    <n v="14200000"/>
    <n v="13700000"/>
    <n v="12500000"/>
    <n v="11000000"/>
    <n v="9013947"/>
    <n v="6794861"/>
    <n v="4734461"/>
    <n v="3012592"/>
    <n v="1776794"/>
    <n v="1063937"/>
    <s v="Spring"/>
    <x v="1"/>
    <s v="Residential"/>
    <s v="Cooling"/>
  </r>
  <r>
    <x v="1"/>
    <n v="2019"/>
    <n v="20"/>
    <s v="China +"/>
    <x v="3"/>
    <n v="22800000"/>
    <n v="19900000"/>
    <n v="19100000"/>
    <n v="20200000"/>
    <n v="23400000"/>
    <n v="28600000"/>
    <n v="35600000"/>
    <n v="43100000"/>
    <n v="50400000"/>
    <n v="58100000"/>
    <n v="74200000"/>
    <n v="107000000"/>
    <n v="144000000"/>
    <n v="168000000"/>
    <n v="175000000"/>
    <n v="167000000"/>
    <n v="145000000"/>
    <n v="117000000"/>
    <n v="89400000"/>
    <n v="69500000"/>
    <n v="55000000"/>
    <n v="43800000"/>
    <n v="34900000"/>
    <n v="27800000"/>
    <s v="Spring"/>
    <x v="1"/>
    <s v="Residential"/>
    <s v="Cooling"/>
  </r>
  <r>
    <x v="1"/>
    <n v="2019"/>
    <n v="20"/>
    <s v="China +"/>
    <x v="4"/>
    <n v="134000000"/>
    <n v="118000000"/>
    <n v="115000000"/>
    <n v="120000000"/>
    <n v="138000000"/>
    <n v="177000000"/>
    <n v="243000000"/>
    <n v="320000000"/>
    <n v="386000000"/>
    <n v="431000000"/>
    <n v="490000000"/>
    <n v="591000000"/>
    <n v="685000000"/>
    <n v="735000000"/>
    <n v="749000000"/>
    <n v="731000000"/>
    <n v="693000000"/>
    <n v="648000000"/>
    <n v="591000000"/>
    <n v="515000000"/>
    <n v="421000000"/>
    <n v="325000000"/>
    <n v="238000000"/>
    <n v="172000000"/>
    <s v="Spring"/>
    <x v="1"/>
    <s v="Residential"/>
    <s v="Cooling"/>
  </r>
  <r>
    <x v="1"/>
    <n v="2019"/>
    <n v="20"/>
    <s v="China +"/>
    <x v="5"/>
    <n v="454000000"/>
    <n v="416000000"/>
    <n v="406000000"/>
    <n v="422000000"/>
    <n v="467000000"/>
    <n v="533000000"/>
    <n v="611000000"/>
    <n v="684000000"/>
    <n v="730000000"/>
    <n v="742000000"/>
    <n v="785000000"/>
    <n v="896000000"/>
    <n v="1000000000"/>
    <n v="1050000000"/>
    <n v="1060000000"/>
    <n v="1050000000"/>
    <n v="1010000000"/>
    <n v="983000000"/>
    <n v="946000000"/>
    <n v="886000000"/>
    <n v="795000000"/>
    <n v="695000000"/>
    <n v="599000000"/>
    <n v="517000000"/>
    <s v="Summer"/>
    <x v="1"/>
    <s v="Residential"/>
    <s v="Cooling"/>
  </r>
  <r>
    <x v="1"/>
    <n v="2019"/>
    <n v="20"/>
    <s v="China +"/>
    <x v="6"/>
    <n v="810000000"/>
    <n v="767000000"/>
    <n v="758000000"/>
    <n v="778000000"/>
    <n v="832000000"/>
    <n v="908000000"/>
    <n v="989000000"/>
    <n v="1050000000"/>
    <n v="1070000000"/>
    <n v="1040000000"/>
    <n v="1070000000"/>
    <n v="1200000000"/>
    <n v="1320000000"/>
    <n v="1380000000"/>
    <n v="1390000000"/>
    <n v="1370000000"/>
    <n v="1340000000"/>
    <n v="1320000000"/>
    <n v="1290000000"/>
    <n v="1250000000"/>
    <n v="1160000000"/>
    <n v="1070000000"/>
    <n v="970000000"/>
    <n v="881000000"/>
    <s v="Summer"/>
    <x v="1"/>
    <s v="Residential"/>
    <s v="Cooling"/>
  </r>
  <r>
    <x v="1"/>
    <n v="2019"/>
    <n v="20"/>
    <s v="China +"/>
    <x v="7"/>
    <n v="738000000"/>
    <n v="695000000"/>
    <n v="686000000"/>
    <n v="706000000"/>
    <n v="758000000"/>
    <n v="833000000"/>
    <n v="917000000"/>
    <n v="985000000"/>
    <n v="1010000000"/>
    <n v="999000000"/>
    <n v="1030000000"/>
    <n v="1160000000"/>
    <n v="1280000000"/>
    <n v="1340000000"/>
    <n v="1350000000"/>
    <n v="1330000000"/>
    <n v="1300000000"/>
    <n v="1270000000"/>
    <n v="1250000000"/>
    <n v="1190000000"/>
    <n v="1100000000"/>
    <n v="1000000000"/>
    <n v="899000000"/>
    <n v="809000000"/>
    <s v="Summer"/>
    <x v="1"/>
    <s v="Residential"/>
    <s v="Cooling"/>
  </r>
  <r>
    <x v="1"/>
    <n v="2019"/>
    <n v="20"/>
    <s v="China +"/>
    <x v="8"/>
    <n v="284000000"/>
    <n v="259000000"/>
    <n v="252000000"/>
    <n v="263000000"/>
    <n v="292000000"/>
    <n v="341000000"/>
    <n v="402000000"/>
    <n v="461000000"/>
    <n v="500000000"/>
    <n v="518000000"/>
    <n v="559000000"/>
    <n v="650000000"/>
    <n v="738000000"/>
    <n v="783000000"/>
    <n v="795000000"/>
    <n v="779000000"/>
    <n v="747000000"/>
    <n v="713000000"/>
    <n v="673000000"/>
    <n v="618000000"/>
    <n v="545000000"/>
    <n v="468000000"/>
    <n v="394000000"/>
    <n v="331000000"/>
    <s v="Fall"/>
    <x v="1"/>
    <s v="Residential"/>
    <s v="Cooling"/>
  </r>
  <r>
    <x v="1"/>
    <n v="2019"/>
    <n v="20"/>
    <s v="China +"/>
    <x v="9"/>
    <n v="39300000"/>
    <n v="35300000"/>
    <n v="34200000"/>
    <n v="35800000"/>
    <n v="40300000"/>
    <n v="47400000"/>
    <n v="57300000"/>
    <n v="70700000"/>
    <n v="89200000"/>
    <n v="110000000"/>
    <n v="141000000"/>
    <n v="184000000"/>
    <n v="224000000"/>
    <n v="247000000"/>
    <n v="254000000"/>
    <n v="246000000"/>
    <n v="227000000"/>
    <n v="202000000"/>
    <n v="170000000"/>
    <n v="132000000"/>
    <n v="97200000"/>
    <n v="71900000"/>
    <n v="56200000"/>
    <n v="46000000"/>
    <s v="Fall"/>
    <x v="1"/>
    <s v="Residential"/>
    <s v="Cooling"/>
  </r>
  <r>
    <x v="1"/>
    <n v="2019"/>
    <n v="20"/>
    <s v="China +"/>
    <x v="10"/>
    <n v="5792137"/>
    <n v="4425960"/>
    <n v="4163202"/>
    <n v="4493249"/>
    <n v="5951045"/>
    <n v="8864524"/>
    <n v="14000000"/>
    <n v="20800000"/>
    <n v="27200000"/>
    <n v="31800000"/>
    <n v="37800000"/>
    <n v="47300000"/>
    <n v="57000000"/>
    <n v="63400000"/>
    <n v="65500000"/>
    <n v="63100000"/>
    <n v="57700000"/>
    <n v="51900000"/>
    <n v="45500000"/>
    <n v="38000000"/>
    <n v="29600000"/>
    <n v="21200000"/>
    <n v="13700000"/>
    <n v="8606063"/>
    <s v="Winter"/>
    <x v="1"/>
    <s v="Residential"/>
    <s v="Cooling"/>
  </r>
  <r>
    <x v="1"/>
    <n v="2019"/>
    <n v="20"/>
    <s v="China +"/>
    <x v="11"/>
    <n v="85705"/>
    <n v="49890"/>
    <n v="50551"/>
    <n v="50648"/>
    <n v="88057"/>
    <n v="152519"/>
    <n v="298227"/>
    <n v="515133"/>
    <n v="737815"/>
    <n v="1092663"/>
    <n v="2198480"/>
    <n v="4225508"/>
    <n v="6415201"/>
    <n v="7884403"/>
    <n v="8371094"/>
    <n v="7842804"/>
    <n v="6492599"/>
    <n v="4635261"/>
    <n v="2648421"/>
    <n v="1305241"/>
    <n v="804275"/>
    <n v="523648"/>
    <n v="292458"/>
    <n v="148072"/>
    <s v="Winter"/>
    <x v="1"/>
    <s v="Residential"/>
    <s v="Cooling"/>
  </r>
  <r>
    <x v="2"/>
    <n v="2019"/>
    <n v="20"/>
    <s v="China +"/>
    <x v="0"/>
    <n v="422000000"/>
    <n v="430000000"/>
    <n v="433000000"/>
    <n v="430000000"/>
    <n v="422000000"/>
    <n v="538000000"/>
    <n v="573000000"/>
    <n v="559000000"/>
    <n v="535000000"/>
    <n v="376000000"/>
    <n v="359000000"/>
    <n v="359000000"/>
    <n v="356000000"/>
    <n v="351000000"/>
    <n v="354000000"/>
    <n v="372000000"/>
    <n v="399000000"/>
    <n v="432000000"/>
    <n v="472000000"/>
    <n v="512000000"/>
    <n v="538000000"/>
    <n v="504000000"/>
    <n v="423000000"/>
    <n v="409000000"/>
    <s v="Winter"/>
    <x v="0"/>
    <s v="Residential"/>
    <s v="Heating"/>
  </r>
  <r>
    <x v="2"/>
    <n v="2019"/>
    <n v="20"/>
    <s v="China +"/>
    <x v="1"/>
    <n v="328000000"/>
    <n v="336000000"/>
    <n v="338000000"/>
    <n v="336000000"/>
    <n v="328000000"/>
    <n v="433000000"/>
    <n v="464000000"/>
    <n v="452000000"/>
    <n v="431000000"/>
    <n v="290000000"/>
    <n v="279000000"/>
    <n v="293000000"/>
    <n v="301000000"/>
    <n v="304000000"/>
    <n v="308000000"/>
    <n v="322000000"/>
    <n v="339000000"/>
    <n v="358000000"/>
    <n v="379000000"/>
    <n v="412000000"/>
    <n v="434000000"/>
    <n v="403000000"/>
    <n v="330000000"/>
    <n v="317000000"/>
    <s v="Winter"/>
    <x v="0"/>
    <s v="Residential"/>
    <s v="Heating"/>
  </r>
  <r>
    <x v="2"/>
    <n v="2019"/>
    <n v="20"/>
    <s v="China +"/>
    <x v="2"/>
    <n v="200000000"/>
    <n v="206000000"/>
    <n v="208000000"/>
    <n v="206000000"/>
    <n v="200000000"/>
    <n v="279000000"/>
    <n v="304000000"/>
    <n v="308000000"/>
    <n v="306000000"/>
    <n v="211000000"/>
    <n v="213000000"/>
    <n v="224000000"/>
    <n v="230000000"/>
    <n v="232000000"/>
    <n v="235000000"/>
    <n v="246000000"/>
    <n v="259000000"/>
    <n v="274000000"/>
    <n v="290000000"/>
    <n v="304000000"/>
    <n v="308000000"/>
    <n v="270000000"/>
    <n v="202000000"/>
    <n v="191000000"/>
    <s v="Spring"/>
    <x v="0"/>
    <s v="Residential"/>
    <s v="Heating"/>
  </r>
  <r>
    <x v="2"/>
    <n v="2019"/>
    <n v="20"/>
    <s v="China +"/>
    <x v="3"/>
    <n v="71700000"/>
    <n v="71700000"/>
    <n v="71700000"/>
    <n v="71700000"/>
    <n v="71700000"/>
    <n v="107000000"/>
    <n v="121000000"/>
    <n v="122000000"/>
    <n v="121000000"/>
    <n v="83900000"/>
    <n v="84600000"/>
    <n v="88900000"/>
    <n v="91500000"/>
    <n v="92200000"/>
    <n v="93500000"/>
    <n v="97900000"/>
    <n v="103000000"/>
    <n v="109000000"/>
    <n v="115000000"/>
    <n v="121000000"/>
    <n v="122000000"/>
    <n v="107000000"/>
    <n v="80200000"/>
    <n v="71700000"/>
    <s v="Spring"/>
    <x v="0"/>
    <s v="Residential"/>
    <s v="Heating"/>
  </r>
  <r>
    <x v="2"/>
    <n v="2019"/>
    <n v="20"/>
    <s v="China +"/>
    <x v="4"/>
    <n v="14800000"/>
    <n v="14800000"/>
    <n v="14800000"/>
    <n v="14800000"/>
    <n v="14800000"/>
    <n v="22000000"/>
    <n v="24900000"/>
    <n v="25200000"/>
    <n v="25000000"/>
    <n v="17300000"/>
    <n v="17400000"/>
    <n v="18300000"/>
    <n v="18900000"/>
    <n v="19000000"/>
    <n v="19300000"/>
    <n v="20200000"/>
    <n v="21200000"/>
    <n v="22400000"/>
    <n v="23800000"/>
    <n v="24900000"/>
    <n v="25200000"/>
    <n v="22100000"/>
    <n v="16500000"/>
    <n v="14800000"/>
    <s v="Spring"/>
    <x v="0"/>
    <s v="Residential"/>
    <s v="Heating"/>
  </r>
  <r>
    <x v="2"/>
    <n v="2019"/>
    <n v="20"/>
    <s v="China +"/>
    <x v="5"/>
    <n v="4095635"/>
    <n v="4095635"/>
    <n v="4095635"/>
    <n v="4095635"/>
    <n v="4095635"/>
    <n v="6099411"/>
    <n v="6904896"/>
    <n v="6991139"/>
    <n v="6936619"/>
    <n v="4790442"/>
    <n v="4831074"/>
    <n v="5074268"/>
    <n v="5223201"/>
    <n v="5265101"/>
    <n v="5341326"/>
    <n v="5587548"/>
    <n v="5884243"/>
    <n v="6210209"/>
    <n v="6580950"/>
    <n v="6907895"/>
    <n v="6980355"/>
    <n v="6132261"/>
    <n v="4578847"/>
    <n v="4095635"/>
    <s v="Summer"/>
    <x v="0"/>
    <s v="Residential"/>
    <s v="Heating"/>
  </r>
  <r>
    <x v="2"/>
    <n v="2019"/>
    <n v="20"/>
    <s v="China +"/>
    <x v="6"/>
    <n v="1920502"/>
    <n v="1920502"/>
    <n v="1920502"/>
    <n v="1920502"/>
    <n v="1920502"/>
    <n v="2860101"/>
    <n v="3237805"/>
    <n v="3278245"/>
    <n v="3252680"/>
    <n v="2246307"/>
    <n v="2265360"/>
    <n v="2379397"/>
    <n v="2449234"/>
    <n v="2468881"/>
    <n v="2504624"/>
    <n v="2620082"/>
    <n v="2759206"/>
    <n v="2912056"/>
    <n v="3085902"/>
    <n v="3239211"/>
    <n v="3273188"/>
    <n v="2875505"/>
    <n v="2147087"/>
    <n v="1920502"/>
    <s v="Summer"/>
    <x v="0"/>
    <s v="Residential"/>
    <s v="Heating"/>
  </r>
  <r>
    <x v="2"/>
    <n v="2019"/>
    <n v="20"/>
    <s v="China +"/>
    <x v="7"/>
    <n v="2544110"/>
    <n v="2544110"/>
    <n v="2544110"/>
    <n v="2544110"/>
    <n v="2544110"/>
    <n v="3788807"/>
    <n v="4289155"/>
    <n v="4342727"/>
    <n v="4308860"/>
    <n v="2975707"/>
    <n v="3000946"/>
    <n v="3152013"/>
    <n v="3244526"/>
    <n v="3270554"/>
    <n v="3317903"/>
    <n v="3470850"/>
    <n v="3655150"/>
    <n v="3857632"/>
    <n v="4087928"/>
    <n v="4291017"/>
    <n v="4336028"/>
    <n v="3809213"/>
    <n v="2844269"/>
    <n v="2544110"/>
    <s v="Summer"/>
    <x v="0"/>
    <s v="Residential"/>
    <s v="Heating"/>
  </r>
  <r>
    <x v="2"/>
    <n v="2019"/>
    <n v="20"/>
    <s v="China +"/>
    <x v="8"/>
    <n v="14300000"/>
    <n v="14300000"/>
    <n v="14300000"/>
    <n v="14300000"/>
    <n v="14300000"/>
    <n v="21300000"/>
    <n v="24100000"/>
    <n v="24400000"/>
    <n v="24200000"/>
    <n v="16700000"/>
    <n v="16900000"/>
    <n v="17700000"/>
    <n v="18200000"/>
    <n v="18400000"/>
    <n v="18600000"/>
    <n v="19500000"/>
    <n v="20500000"/>
    <n v="21700000"/>
    <n v="23000000"/>
    <n v="24100000"/>
    <n v="24300000"/>
    <n v="21400000"/>
    <n v="16000000"/>
    <n v="14300000"/>
    <s v="Fall"/>
    <x v="0"/>
    <s v="Residential"/>
    <s v="Heating"/>
  </r>
  <r>
    <x v="2"/>
    <n v="2019"/>
    <n v="20"/>
    <s v="China +"/>
    <x v="9"/>
    <n v="60900000"/>
    <n v="60900000"/>
    <n v="60900000"/>
    <n v="60900000"/>
    <n v="60900000"/>
    <n v="90700000"/>
    <n v="103000000"/>
    <n v="104000000"/>
    <n v="103000000"/>
    <n v="71300000"/>
    <n v="71900000"/>
    <n v="75500000"/>
    <n v="77700000"/>
    <n v="78300000"/>
    <n v="79500000"/>
    <n v="83100000"/>
    <n v="87500000"/>
    <n v="92400000"/>
    <n v="97900000"/>
    <n v="103000000"/>
    <n v="104000000"/>
    <n v="91200000"/>
    <n v="68100000"/>
    <n v="60900000"/>
    <s v="Fall"/>
    <x v="0"/>
    <s v="Residential"/>
    <s v="Heating"/>
  </r>
  <r>
    <x v="2"/>
    <n v="2019"/>
    <n v="20"/>
    <s v="China +"/>
    <x v="10"/>
    <n v="173000000"/>
    <n v="178000000"/>
    <n v="180000000"/>
    <n v="178000000"/>
    <n v="173000000"/>
    <n v="244000000"/>
    <n v="274000000"/>
    <n v="277000000"/>
    <n v="275000000"/>
    <n v="190000000"/>
    <n v="192000000"/>
    <n v="201000000"/>
    <n v="207000000"/>
    <n v="209000000"/>
    <n v="212000000"/>
    <n v="222000000"/>
    <n v="234000000"/>
    <n v="246000000"/>
    <n v="261000000"/>
    <n v="274000000"/>
    <n v="277000000"/>
    <n v="243000000"/>
    <n v="182000000"/>
    <n v="165000000"/>
    <s v="Winter"/>
    <x v="0"/>
    <s v="Residential"/>
    <s v="Heating"/>
  </r>
  <r>
    <x v="2"/>
    <n v="2019"/>
    <n v="20"/>
    <s v="China +"/>
    <x v="11"/>
    <n v="364000000"/>
    <n v="372000000"/>
    <n v="374000000"/>
    <n v="372000000"/>
    <n v="364000000"/>
    <n v="472000000"/>
    <n v="505000000"/>
    <n v="491000000"/>
    <n v="468000000"/>
    <n v="320000000"/>
    <n v="304000000"/>
    <n v="305000000"/>
    <n v="314000000"/>
    <n v="316000000"/>
    <n v="321000000"/>
    <n v="336000000"/>
    <n v="353000000"/>
    <n v="373000000"/>
    <n v="409000000"/>
    <n v="447000000"/>
    <n v="471000000"/>
    <n v="440000000"/>
    <n v="365000000"/>
    <n v="352000000"/>
    <s v="Winter"/>
    <x v="0"/>
    <s v="Residential"/>
    <s v="Heating"/>
  </r>
  <r>
    <x v="3"/>
    <n v="2019"/>
    <n v="20"/>
    <s v="China +"/>
    <x v="0"/>
    <n v="231000000"/>
    <n v="235000000"/>
    <n v="237000000"/>
    <n v="235000000"/>
    <n v="231000000"/>
    <n v="249000000"/>
    <n v="266000000"/>
    <n v="288000000"/>
    <n v="298000000"/>
    <n v="291000000"/>
    <n v="282000000"/>
    <n v="226000000"/>
    <n v="224000000"/>
    <n v="220000000"/>
    <n v="217000000"/>
    <n v="219000000"/>
    <n v="226000000"/>
    <n v="239000000"/>
    <n v="256000000"/>
    <n v="274000000"/>
    <n v="284000000"/>
    <n v="270000000"/>
    <n v="236000000"/>
    <n v="224000000"/>
    <s v="Winter"/>
    <x v="1"/>
    <s v="Residential"/>
    <s v="Heating"/>
  </r>
  <r>
    <x v="3"/>
    <n v="2019"/>
    <n v="20"/>
    <s v="China +"/>
    <x v="1"/>
    <n v="181000000"/>
    <n v="185000000"/>
    <n v="186000000"/>
    <n v="185000000"/>
    <n v="181000000"/>
    <n v="200000000"/>
    <n v="215000000"/>
    <n v="236000000"/>
    <n v="245000000"/>
    <n v="239000000"/>
    <n v="233000000"/>
    <n v="179000000"/>
    <n v="183000000"/>
    <n v="183000000"/>
    <n v="182000000"/>
    <n v="182000000"/>
    <n v="185000000"/>
    <n v="191000000"/>
    <n v="206000000"/>
    <n v="221000000"/>
    <n v="230000000"/>
    <n v="217000000"/>
    <n v="186000000"/>
    <n v="174000000"/>
    <s v="Winter"/>
    <x v="1"/>
    <s v="Residential"/>
    <s v="Heating"/>
  </r>
  <r>
    <x v="3"/>
    <n v="2019"/>
    <n v="20"/>
    <s v="China +"/>
    <x v="2"/>
    <n v="110000000"/>
    <n v="113000000"/>
    <n v="114000000"/>
    <n v="113000000"/>
    <n v="110000000"/>
    <n v="127000000"/>
    <n v="139000000"/>
    <n v="162000000"/>
    <n v="176000000"/>
    <n v="178000000"/>
    <n v="179000000"/>
    <n v="138000000"/>
    <n v="141000000"/>
    <n v="141000000"/>
    <n v="140000000"/>
    <n v="140000000"/>
    <n v="142000000"/>
    <n v="147000000"/>
    <n v="152000000"/>
    <n v="157000000"/>
    <n v="156000000"/>
    <n v="138000000"/>
    <n v="114000000"/>
    <n v="105000000"/>
    <s v="Spring"/>
    <x v="1"/>
    <s v="Residential"/>
    <s v="Heating"/>
  </r>
  <r>
    <x v="3"/>
    <n v="2019"/>
    <n v="20"/>
    <s v="China +"/>
    <x v="3"/>
    <n v="37200000"/>
    <n v="37200000"/>
    <n v="37200000"/>
    <n v="37200000"/>
    <n v="37200000"/>
    <n v="49100000"/>
    <n v="56100000"/>
    <n v="65200000"/>
    <n v="70800000"/>
    <n v="71900000"/>
    <n v="72100000"/>
    <n v="55500000"/>
    <n v="56700000"/>
    <n v="56700000"/>
    <n v="56300000"/>
    <n v="56400000"/>
    <n v="57400000"/>
    <n v="59200000"/>
    <n v="61300000"/>
    <n v="63200000"/>
    <n v="63000000"/>
    <n v="55700000"/>
    <n v="43400000"/>
    <n v="37200000"/>
    <s v="Spring"/>
    <x v="1"/>
    <s v="Residential"/>
    <s v="Heating"/>
  </r>
  <r>
    <x v="3"/>
    <n v="2019"/>
    <n v="20"/>
    <s v="China +"/>
    <x v="4"/>
    <n v="7667865"/>
    <n v="7667865"/>
    <n v="7667865"/>
    <n v="7667865"/>
    <n v="7667865"/>
    <n v="10100000"/>
    <n v="11600000"/>
    <n v="13400000"/>
    <n v="14600000"/>
    <n v="14800000"/>
    <n v="14900000"/>
    <n v="11400000"/>
    <n v="11700000"/>
    <n v="11700000"/>
    <n v="11600000"/>
    <n v="11600000"/>
    <n v="11800000"/>
    <n v="12200000"/>
    <n v="12600000"/>
    <n v="13000000"/>
    <n v="13000000"/>
    <n v="11500000"/>
    <n v="8940763"/>
    <n v="7667865"/>
    <s v="Spring"/>
    <x v="1"/>
    <s v="Residential"/>
    <s v="Heating"/>
  </r>
  <r>
    <x v="3"/>
    <n v="2019"/>
    <n v="20"/>
    <s v="China +"/>
    <x v="5"/>
    <n v="2123693"/>
    <n v="2123693"/>
    <n v="2123693"/>
    <n v="2123693"/>
    <n v="2123693"/>
    <n v="2806514"/>
    <n v="3206000"/>
    <n v="3721152"/>
    <n v="4043315"/>
    <n v="4107965"/>
    <n v="4119009"/>
    <n v="3170824"/>
    <n v="3239506"/>
    <n v="3236886"/>
    <n v="3215397"/>
    <n v="3220468"/>
    <n v="3275791"/>
    <n v="3379070"/>
    <n v="3502187"/>
    <n v="3611580"/>
    <n v="3598520"/>
    <n v="3182316"/>
    <n v="2476235"/>
    <n v="2123693"/>
    <s v="Summer"/>
    <x v="1"/>
    <s v="Residential"/>
    <s v="Heating"/>
  </r>
  <r>
    <x v="3"/>
    <n v="2019"/>
    <n v="20"/>
    <s v="China +"/>
    <x v="6"/>
    <n v="995830"/>
    <n v="995830"/>
    <n v="995830"/>
    <n v="995830"/>
    <n v="995830"/>
    <n v="1316015"/>
    <n v="1503339"/>
    <n v="1744901"/>
    <n v="1895968"/>
    <n v="1926284"/>
    <n v="1931463"/>
    <n v="1486845"/>
    <n v="1519051"/>
    <n v="1517822"/>
    <n v="1507746"/>
    <n v="1510124"/>
    <n v="1536065"/>
    <n v="1584494"/>
    <n v="1642226"/>
    <n v="1693521"/>
    <n v="1687398"/>
    <n v="1492234"/>
    <n v="1161142"/>
    <n v="995830"/>
    <s v="Summer"/>
    <x v="1"/>
    <s v="Residential"/>
    <s v="Heating"/>
  </r>
  <r>
    <x v="3"/>
    <n v="2019"/>
    <n v="20"/>
    <s v="China +"/>
    <x v="7"/>
    <n v="1319187"/>
    <n v="1319187"/>
    <n v="1319187"/>
    <n v="1319187"/>
    <n v="1319187"/>
    <n v="1743339"/>
    <n v="1991490"/>
    <n v="2311490"/>
    <n v="2511610"/>
    <n v="2551769"/>
    <n v="2558629"/>
    <n v="1969639"/>
    <n v="2012303"/>
    <n v="2010676"/>
    <n v="1997327"/>
    <n v="2000477"/>
    <n v="2034842"/>
    <n v="2098997"/>
    <n v="2175474"/>
    <n v="2243426"/>
    <n v="2235314"/>
    <n v="1976778"/>
    <n v="1538177"/>
    <n v="1319187"/>
    <s v="Summer"/>
    <x v="1"/>
    <s v="Residential"/>
    <s v="Heating"/>
  </r>
  <r>
    <x v="3"/>
    <n v="2019"/>
    <n v="20"/>
    <s v="China +"/>
    <x v="8"/>
    <n v="7407310"/>
    <n v="7407310"/>
    <n v="7407310"/>
    <n v="7407310"/>
    <n v="7407310"/>
    <n v="9788947"/>
    <n v="11200000"/>
    <n v="13000000"/>
    <n v="14100000"/>
    <n v="14300000"/>
    <n v="14400000"/>
    <n v="11100000"/>
    <n v="11300000"/>
    <n v="11300000"/>
    <n v="11200000"/>
    <n v="11200000"/>
    <n v="11400000"/>
    <n v="11800000"/>
    <n v="12200000"/>
    <n v="12600000"/>
    <n v="12600000"/>
    <n v="11100000"/>
    <n v="8636954"/>
    <n v="7407310"/>
    <s v="Fall"/>
    <x v="1"/>
    <s v="Residential"/>
    <s v="Heating"/>
  </r>
  <r>
    <x v="3"/>
    <n v="2019"/>
    <n v="20"/>
    <s v="China +"/>
    <x v="9"/>
    <n v="31600000"/>
    <n v="31600000"/>
    <n v="31600000"/>
    <n v="31600000"/>
    <n v="31600000"/>
    <n v="41800000"/>
    <n v="47700000"/>
    <n v="55400000"/>
    <n v="60200000"/>
    <n v="61100000"/>
    <n v="61300000"/>
    <n v="47200000"/>
    <n v="48200000"/>
    <n v="48200000"/>
    <n v="47800000"/>
    <n v="47900000"/>
    <n v="48700000"/>
    <n v="50300000"/>
    <n v="52100000"/>
    <n v="53700000"/>
    <n v="53500000"/>
    <n v="47300000"/>
    <n v="36800000"/>
    <n v="31600000"/>
    <s v="Fall"/>
    <x v="1"/>
    <s v="Residential"/>
    <s v="Heating"/>
  </r>
  <r>
    <x v="3"/>
    <n v="2019"/>
    <n v="20"/>
    <s v="China +"/>
    <x v="10"/>
    <n v="95300000"/>
    <n v="98200000"/>
    <n v="99200000"/>
    <n v="98200000"/>
    <n v="95300000"/>
    <n v="111000000"/>
    <n v="126000000"/>
    <n v="146000000"/>
    <n v="158000000"/>
    <n v="161000000"/>
    <n v="161000000"/>
    <n v="124000000"/>
    <n v="127000000"/>
    <n v="127000000"/>
    <n v="126000000"/>
    <n v="126000000"/>
    <n v="128000000"/>
    <n v="132000000"/>
    <n v="137000000"/>
    <n v="141000000"/>
    <n v="141000000"/>
    <n v="125000000"/>
    <n v="98600000"/>
    <n v="90700000"/>
    <s v="Winter"/>
    <x v="1"/>
    <s v="Residential"/>
    <s v="Heating"/>
  </r>
  <r>
    <x v="3"/>
    <n v="2019"/>
    <n v="20"/>
    <s v="China +"/>
    <x v="11"/>
    <n v="200000000"/>
    <n v="204000000"/>
    <n v="206000000"/>
    <n v="204000000"/>
    <n v="200000000"/>
    <n v="218000000"/>
    <n v="234000000"/>
    <n v="255000000"/>
    <n v="264000000"/>
    <n v="257000000"/>
    <n v="249000000"/>
    <n v="195000000"/>
    <n v="193000000"/>
    <n v="190000000"/>
    <n v="189000000"/>
    <n v="189000000"/>
    <n v="195000000"/>
    <n v="208000000"/>
    <n v="223000000"/>
    <n v="239000000"/>
    <n v="249000000"/>
    <n v="236000000"/>
    <n v="205000000"/>
    <n v="193000000"/>
    <s v="Winter"/>
    <x v="1"/>
    <s v="Residential"/>
    <s v="Heating"/>
  </r>
  <r>
    <x v="4"/>
    <n v="2019"/>
    <n v="20"/>
    <s v="China +"/>
    <x v="0"/>
    <n v="120000000"/>
    <n v="111000000"/>
    <n v="110000000"/>
    <n v="112000000"/>
    <n v="144000000"/>
    <n v="248000000"/>
    <n v="363000000"/>
    <n v="243000000"/>
    <n v="110000000"/>
    <n v="106000000"/>
    <n v="108000000"/>
    <n v="118000000"/>
    <n v="124000000"/>
    <n v="126000000"/>
    <n v="129000000"/>
    <n v="140000000"/>
    <n v="329000000"/>
    <n v="555000000"/>
    <n v="608000000"/>
    <n v="654000000"/>
    <n v="664000000"/>
    <n v="544000000"/>
    <n v="323000000"/>
    <n v="170000000"/>
    <s v="Winter"/>
    <x v="0"/>
    <s v="Residential"/>
    <s v="Lighting"/>
  </r>
  <r>
    <x v="4"/>
    <n v="2019"/>
    <n v="20"/>
    <s v="China +"/>
    <x v="1"/>
    <n v="115000000"/>
    <n v="106000000"/>
    <n v="105000000"/>
    <n v="108000000"/>
    <n v="139000000"/>
    <n v="238000000"/>
    <n v="348000000"/>
    <n v="155000000"/>
    <n v="106000000"/>
    <n v="102000000"/>
    <n v="103000000"/>
    <n v="113000000"/>
    <n v="119000000"/>
    <n v="121000000"/>
    <n v="124000000"/>
    <n v="134000000"/>
    <n v="210000000"/>
    <n v="533000000"/>
    <n v="583000000"/>
    <n v="628000000"/>
    <n v="638000000"/>
    <n v="522000000"/>
    <n v="310000000"/>
    <n v="163000000"/>
    <s v="Winter"/>
    <x v="0"/>
    <s v="Residential"/>
    <s v="Lighting"/>
  </r>
  <r>
    <x v="4"/>
    <n v="2019"/>
    <n v="20"/>
    <s v="China +"/>
    <x v="2"/>
    <n v="108000000"/>
    <n v="100000000"/>
    <n v="99000000"/>
    <n v="101000000"/>
    <n v="130000000"/>
    <n v="224000000"/>
    <n v="313000000"/>
    <n v="107000000"/>
    <n v="99400000"/>
    <n v="95600000"/>
    <n v="97100000"/>
    <n v="106000000"/>
    <n v="112000000"/>
    <n v="114000000"/>
    <n v="117000000"/>
    <n v="126000000"/>
    <n v="145000000"/>
    <n v="479000000"/>
    <n v="548000000"/>
    <n v="590000000"/>
    <n v="599000000"/>
    <n v="490000000"/>
    <n v="291000000"/>
    <n v="153000000"/>
    <s v="Spring"/>
    <x v="0"/>
    <s v="Residential"/>
    <s v="Lighting"/>
  </r>
  <r>
    <x v="4"/>
    <n v="2019"/>
    <n v="20"/>
    <s v="China +"/>
    <x v="3"/>
    <n v="108000000"/>
    <n v="99400000"/>
    <n v="98400000"/>
    <n v="101000000"/>
    <n v="129000000"/>
    <n v="223000000"/>
    <n v="166000000"/>
    <n v="101000000"/>
    <n v="98800000"/>
    <n v="95000000"/>
    <n v="96600000"/>
    <n v="106000000"/>
    <n v="112000000"/>
    <n v="113000000"/>
    <n v="116000000"/>
    <n v="125000000"/>
    <n v="137000000"/>
    <n v="254000000"/>
    <n v="545000000"/>
    <n v="586000000"/>
    <n v="596000000"/>
    <n v="488000000"/>
    <n v="290000000"/>
    <n v="152000000"/>
    <s v="Spring"/>
    <x v="0"/>
    <s v="Residential"/>
    <s v="Lighting"/>
  </r>
  <r>
    <x v="4"/>
    <n v="2019"/>
    <n v="20"/>
    <s v="China +"/>
    <x v="4"/>
    <n v="103000000"/>
    <n v="95200000"/>
    <n v="94300000"/>
    <n v="96400000"/>
    <n v="124000000"/>
    <n v="213000000"/>
    <n v="119000000"/>
    <n v="96600000"/>
    <n v="94600000"/>
    <n v="91000000"/>
    <n v="92500000"/>
    <n v="101000000"/>
    <n v="107000000"/>
    <n v="108000000"/>
    <n v="111000000"/>
    <n v="120000000"/>
    <n v="131000000"/>
    <n v="182000000"/>
    <n v="522000000"/>
    <n v="562000000"/>
    <n v="571000000"/>
    <n v="467000000"/>
    <n v="278000000"/>
    <n v="146000000"/>
    <s v="Spring"/>
    <x v="0"/>
    <s v="Residential"/>
    <s v="Lighting"/>
  </r>
  <r>
    <x v="4"/>
    <n v="2019"/>
    <n v="20"/>
    <s v="China +"/>
    <x v="5"/>
    <n v="103000000"/>
    <n v="95100000"/>
    <n v="94100000"/>
    <n v="96200000"/>
    <n v="124000000"/>
    <n v="180000000"/>
    <n v="105000000"/>
    <n v="96500000"/>
    <n v="94500000"/>
    <n v="90900000"/>
    <n v="92400000"/>
    <n v="101000000"/>
    <n v="107000000"/>
    <n v="108000000"/>
    <n v="111000000"/>
    <n v="120000000"/>
    <n v="131000000"/>
    <n v="161000000"/>
    <n v="442000000"/>
    <n v="561000000"/>
    <n v="570000000"/>
    <n v="466000000"/>
    <n v="277000000"/>
    <n v="146000000"/>
    <s v="Summer"/>
    <x v="0"/>
    <s v="Residential"/>
    <s v="Lighting"/>
  </r>
  <r>
    <x v="4"/>
    <n v="2019"/>
    <n v="20"/>
    <s v="China +"/>
    <x v="6"/>
    <n v="102000000"/>
    <n v="94300000"/>
    <n v="93400000"/>
    <n v="95500000"/>
    <n v="123000000"/>
    <n v="201000000"/>
    <n v="108000000"/>
    <n v="95700000"/>
    <n v="93700000"/>
    <n v="90200000"/>
    <n v="91600000"/>
    <n v="100000000"/>
    <n v="106000000"/>
    <n v="107000000"/>
    <n v="110000000"/>
    <n v="119000000"/>
    <n v="130000000"/>
    <n v="166000000"/>
    <n v="491000000"/>
    <n v="556000000"/>
    <n v="565000000"/>
    <n v="463000000"/>
    <n v="275000000"/>
    <n v="145000000"/>
    <s v="Summer"/>
    <x v="0"/>
    <s v="Residential"/>
    <s v="Lighting"/>
  </r>
  <r>
    <x v="4"/>
    <n v="2019"/>
    <n v="20"/>
    <s v="China +"/>
    <x v="7"/>
    <n v="105000000"/>
    <n v="97100000"/>
    <n v="96100000"/>
    <n v="98300000"/>
    <n v="126000000"/>
    <n v="217000000"/>
    <n v="135000000"/>
    <n v="98500000"/>
    <n v="96500000"/>
    <n v="92800000"/>
    <n v="94300000"/>
    <n v="103000000"/>
    <n v="109000000"/>
    <n v="111000000"/>
    <n v="113000000"/>
    <n v="123000000"/>
    <n v="134000000"/>
    <n v="206000000"/>
    <n v="532000000"/>
    <n v="573000000"/>
    <n v="582000000"/>
    <n v="476000000"/>
    <n v="283000000"/>
    <n v="149000000"/>
    <s v="Summer"/>
    <x v="0"/>
    <s v="Residential"/>
    <s v="Lighting"/>
  </r>
  <r>
    <x v="4"/>
    <n v="2019"/>
    <n v="20"/>
    <s v="China +"/>
    <x v="8"/>
    <n v="109000000"/>
    <n v="101000000"/>
    <n v="99800000"/>
    <n v="102000000"/>
    <n v="131000000"/>
    <n v="226000000"/>
    <n v="209000000"/>
    <n v="102000000"/>
    <n v="100000000"/>
    <n v="96400000"/>
    <n v="97900000"/>
    <n v="107000000"/>
    <n v="113000000"/>
    <n v="115000000"/>
    <n v="118000000"/>
    <n v="127000000"/>
    <n v="139000000"/>
    <n v="319000000"/>
    <n v="552000000"/>
    <n v="595000000"/>
    <n v="604000000"/>
    <n v="494000000"/>
    <n v="294000000"/>
    <n v="155000000"/>
    <s v="Fall"/>
    <x v="0"/>
    <s v="Residential"/>
    <s v="Lighting"/>
  </r>
  <r>
    <x v="4"/>
    <n v="2019"/>
    <n v="20"/>
    <s v="China +"/>
    <x v="9"/>
    <n v="111000000"/>
    <n v="102000000"/>
    <n v="101000000"/>
    <n v="104000000"/>
    <n v="133000000"/>
    <n v="229000000"/>
    <n v="335000000"/>
    <n v="123000000"/>
    <n v="102000000"/>
    <n v="98000000"/>
    <n v="99600000"/>
    <n v="109000000"/>
    <n v="115000000"/>
    <n v="117000000"/>
    <n v="120000000"/>
    <n v="129000000"/>
    <n v="167000000"/>
    <n v="513000000"/>
    <n v="562000000"/>
    <n v="605000000"/>
    <n v="614000000"/>
    <n v="503000000"/>
    <n v="299000000"/>
    <n v="157000000"/>
    <s v="Fall"/>
    <x v="0"/>
    <s v="Residential"/>
    <s v="Lighting"/>
  </r>
  <r>
    <x v="4"/>
    <n v="2019"/>
    <n v="20"/>
    <s v="China +"/>
    <x v="10"/>
    <n v="118000000"/>
    <n v="109000000"/>
    <n v="108000000"/>
    <n v="110000000"/>
    <n v="142000000"/>
    <n v="244000000"/>
    <n v="356000000"/>
    <n v="187000000"/>
    <n v="108000000"/>
    <n v="104000000"/>
    <n v="106000000"/>
    <n v="116000000"/>
    <n v="122000000"/>
    <n v="124000000"/>
    <n v="127000000"/>
    <n v="137000000"/>
    <n v="254000000"/>
    <n v="545000000"/>
    <n v="597000000"/>
    <n v="642000000"/>
    <n v="652000000"/>
    <n v="534000000"/>
    <n v="317000000"/>
    <n v="167000000"/>
    <s v="Winter"/>
    <x v="0"/>
    <s v="Residential"/>
    <s v="Lighting"/>
  </r>
  <r>
    <x v="4"/>
    <n v="2019"/>
    <n v="20"/>
    <s v="China +"/>
    <x v="11"/>
    <n v="121000000"/>
    <n v="111000000"/>
    <n v="110000000"/>
    <n v="113000000"/>
    <n v="145000000"/>
    <n v="249000000"/>
    <n v="364000000"/>
    <n v="279000000"/>
    <n v="111000000"/>
    <n v="106000000"/>
    <n v="108000000"/>
    <n v="119000000"/>
    <n v="125000000"/>
    <n v="127000000"/>
    <n v="130000000"/>
    <n v="141000000"/>
    <n v="378000000"/>
    <n v="557000000"/>
    <n v="610000000"/>
    <n v="657000000"/>
    <n v="667000000"/>
    <n v="546000000"/>
    <n v="324000000"/>
    <n v="171000000"/>
    <s v="Winter"/>
    <x v="0"/>
    <s v="Residential"/>
    <s v="Lighting"/>
  </r>
  <r>
    <x v="5"/>
    <n v="2019"/>
    <n v="20"/>
    <s v="China +"/>
    <x v="0"/>
    <n v="71500000"/>
    <n v="61700000"/>
    <n v="59600000"/>
    <n v="59600000"/>
    <n v="62700000"/>
    <n v="81300000"/>
    <n v="140000000"/>
    <n v="140000000"/>
    <n v="79200000"/>
    <n v="82100000"/>
    <n v="82600000"/>
    <n v="87600000"/>
    <n v="90600000"/>
    <n v="90500000"/>
    <n v="89600000"/>
    <n v="89800000"/>
    <n v="199000000"/>
    <n v="323000000"/>
    <n v="341000000"/>
    <n v="357000000"/>
    <n v="355000000"/>
    <n v="294000000"/>
    <n v="189000000"/>
    <n v="106000000"/>
    <s v="Winter"/>
    <x v="1"/>
    <s v="Residential"/>
    <s v="Lighting"/>
  </r>
  <r>
    <x v="5"/>
    <n v="2019"/>
    <n v="20"/>
    <s v="China +"/>
    <x v="1"/>
    <n v="68700000"/>
    <n v="59400000"/>
    <n v="57300000"/>
    <n v="57300000"/>
    <n v="60300000"/>
    <n v="78100000"/>
    <n v="135000000"/>
    <n v="89600000"/>
    <n v="76200000"/>
    <n v="78900000"/>
    <n v="79400000"/>
    <n v="84200000"/>
    <n v="87200000"/>
    <n v="87000000"/>
    <n v="86100000"/>
    <n v="86300000"/>
    <n v="127000000"/>
    <n v="310000000"/>
    <n v="328000000"/>
    <n v="343000000"/>
    <n v="342000000"/>
    <n v="282000000"/>
    <n v="182000000"/>
    <n v="102000000"/>
    <s v="Winter"/>
    <x v="1"/>
    <s v="Residential"/>
    <s v="Lighting"/>
  </r>
  <r>
    <x v="5"/>
    <n v="2019"/>
    <n v="20"/>
    <s v="China +"/>
    <x v="2"/>
    <n v="64600000"/>
    <n v="55800000"/>
    <n v="53900000"/>
    <n v="53800000"/>
    <n v="56700000"/>
    <n v="73400000"/>
    <n v="121000000"/>
    <n v="61900000"/>
    <n v="71600000"/>
    <n v="74100000"/>
    <n v="74600000"/>
    <n v="79100000"/>
    <n v="81900000"/>
    <n v="81800000"/>
    <n v="80900000"/>
    <n v="81100000"/>
    <n v="88000000"/>
    <n v="279000000"/>
    <n v="308000000"/>
    <n v="323000000"/>
    <n v="321000000"/>
    <n v="265000000"/>
    <n v="171000000"/>
    <n v="95700000"/>
    <s v="Spring"/>
    <x v="1"/>
    <s v="Residential"/>
    <s v="Lighting"/>
  </r>
  <r>
    <x v="5"/>
    <n v="2019"/>
    <n v="20"/>
    <s v="China +"/>
    <x v="3"/>
    <n v="63700000"/>
    <n v="55000000"/>
    <n v="53100000"/>
    <n v="53100000"/>
    <n v="55900000"/>
    <n v="72400000"/>
    <n v="63800000"/>
    <n v="57900000"/>
    <n v="70600000"/>
    <n v="73100000"/>
    <n v="73600000"/>
    <n v="78100000"/>
    <n v="80800000"/>
    <n v="80700000"/>
    <n v="79800000"/>
    <n v="80000000"/>
    <n v="82200000"/>
    <n v="147000000"/>
    <n v="304000000"/>
    <n v="318000000"/>
    <n v="317000000"/>
    <n v="262000000"/>
    <n v="169000000"/>
    <n v="94400000"/>
    <s v="Spring"/>
    <x v="1"/>
    <s v="Residential"/>
    <s v="Lighting"/>
  </r>
  <r>
    <x v="5"/>
    <n v="2019"/>
    <n v="20"/>
    <s v="China +"/>
    <x v="4"/>
    <n v="60900000"/>
    <n v="52600000"/>
    <n v="50800000"/>
    <n v="50800000"/>
    <n v="53400000"/>
    <n v="69200000"/>
    <n v="45500000"/>
    <n v="55300000"/>
    <n v="67500000"/>
    <n v="69900000"/>
    <n v="70300000"/>
    <n v="74600000"/>
    <n v="77200000"/>
    <n v="77100000"/>
    <n v="76300000"/>
    <n v="76500000"/>
    <n v="78600000"/>
    <n v="105000000"/>
    <n v="290000000"/>
    <n v="304000000"/>
    <n v="303000000"/>
    <n v="250000000"/>
    <n v="161000000"/>
    <n v="90200000"/>
    <s v="Spring"/>
    <x v="1"/>
    <s v="Residential"/>
    <s v="Lighting"/>
  </r>
  <r>
    <x v="5"/>
    <n v="2019"/>
    <n v="20"/>
    <s v="China +"/>
    <x v="5"/>
    <n v="60500000"/>
    <n v="52300000"/>
    <n v="50500000"/>
    <n v="50500000"/>
    <n v="53100000"/>
    <n v="58300000"/>
    <n v="40300000"/>
    <n v="55000000"/>
    <n v="67100000"/>
    <n v="69500000"/>
    <n v="69900000"/>
    <n v="74200000"/>
    <n v="76800000"/>
    <n v="76700000"/>
    <n v="75900000"/>
    <n v="76000000"/>
    <n v="78100000"/>
    <n v="92700000"/>
    <n v="245000000"/>
    <n v="302000000"/>
    <n v="301000000"/>
    <n v="249000000"/>
    <n v="160000000"/>
    <n v="89700000"/>
    <s v="Summer"/>
    <x v="1"/>
    <s v="Residential"/>
    <s v="Lighting"/>
  </r>
  <r>
    <x v="5"/>
    <n v="2019"/>
    <n v="20"/>
    <s v="China +"/>
    <x v="6"/>
    <n v="60200000"/>
    <n v="52000000"/>
    <n v="50200000"/>
    <n v="50200000"/>
    <n v="52800000"/>
    <n v="65000000"/>
    <n v="41500000"/>
    <n v="54700000"/>
    <n v="66700000"/>
    <n v="69100000"/>
    <n v="69500000"/>
    <n v="73800000"/>
    <n v="76300000"/>
    <n v="76200000"/>
    <n v="75400000"/>
    <n v="75600000"/>
    <n v="77700000"/>
    <n v="95400000"/>
    <n v="273000000"/>
    <n v="301000000"/>
    <n v="299000000"/>
    <n v="247000000"/>
    <n v="159000000"/>
    <n v="89200000"/>
    <s v="Summer"/>
    <x v="1"/>
    <s v="Residential"/>
    <s v="Lighting"/>
  </r>
  <r>
    <x v="5"/>
    <n v="2019"/>
    <n v="20"/>
    <s v="China +"/>
    <x v="7"/>
    <n v="62100000"/>
    <n v="53700000"/>
    <n v="51800000"/>
    <n v="51800000"/>
    <n v="54500000"/>
    <n v="70600000"/>
    <n v="51700000"/>
    <n v="56400000"/>
    <n v="68800000"/>
    <n v="71300000"/>
    <n v="71800000"/>
    <n v="76100000"/>
    <n v="78800000"/>
    <n v="78700000"/>
    <n v="77900000"/>
    <n v="78100000"/>
    <n v="80200000"/>
    <n v="119000000"/>
    <n v="296000000"/>
    <n v="310000000"/>
    <n v="309000000"/>
    <n v="255000000"/>
    <n v="165000000"/>
    <n v="92000000"/>
    <s v="Summer"/>
    <x v="1"/>
    <s v="Residential"/>
    <s v="Lighting"/>
  </r>
  <r>
    <x v="5"/>
    <n v="2019"/>
    <n v="20"/>
    <s v="China +"/>
    <x v="8"/>
    <n v="64700000"/>
    <n v="55900000"/>
    <n v="54000000"/>
    <n v="54000000"/>
    <n v="56800000"/>
    <n v="73600000"/>
    <n v="80500000"/>
    <n v="58800000"/>
    <n v="71700000"/>
    <n v="74300000"/>
    <n v="74800000"/>
    <n v="79400000"/>
    <n v="82100000"/>
    <n v="82000000"/>
    <n v="81100000"/>
    <n v="81300000"/>
    <n v="83600000"/>
    <n v="185000000"/>
    <n v="309000000"/>
    <n v="323000000"/>
    <n v="322000000"/>
    <n v="266000000"/>
    <n v="172000000"/>
    <n v="95900000"/>
    <s v="Fall"/>
    <x v="1"/>
    <s v="Residential"/>
    <s v="Lighting"/>
  </r>
  <r>
    <x v="5"/>
    <n v="2019"/>
    <n v="20"/>
    <s v="China +"/>
    <x v="9"/>
    <n v="66200000"/>
    <n v="57200000"/>
    <n v="55200000"/>
    <n v="55200000"/>
    <n v="58100000"/>
    <n v="75300000"/>
    <n v="130000000"/>
    <n v="71300000"/>
    <n v="73400000"/>
    <n v="76000000"/>
    <n v="76500000"/>
    <n v="81100000"/>
    <n v="84000000"/>
    <n v="83800000"/>
    <n v="83000000"/>
    <n v="83200000"/>
    <n v="101000000"/>
    <n v="299000000"/>
    <n v="316000000"/>
    <n v="331000000"/>
    <n v="329000000"/>
    <n v="272000000"/>
    <n v="175000000"/>
    <n v="98100000"/>
    <s v="Fall"/>
    <x v="1"/>
    <s v="Residential"/>
    <s v="Lighting"/>
  </r>
  <r>
    <x v="5"/>
    <n v="2019"/>
    <n v="20"/>
    <s v="China +"/>
    <x v="10"/>
    <n v="70200000"/>
    <n v="60700000"/>
    <n v="58600000"/>
    <n v="58500000"/>
    <n v="61600000"/>
    <n v="79900000"/>
    <n v="138000000"/>
    <n v="108000000"/>
    <n v="77800000"/>
    <n v="80600000"/>
    <n v="81100000"/>
    <n v="86100000"/>
    <n v="89100000"/>
    <n v="89000000"/>
    <n v="88000000"/>
    <n v="88200000"/>
    <n v="154000000"/>
    <n v="317000000"/>
    <n v="335000000"/>
    <n v="351000000"/>
    <n v="349000000"/>
    <n v="289000000"/>
    <n v="186000000"/>
    <n v="104000000"/>
    <s v="Winter"/>
    <x v="1"/>
    <s v="Residential"/>
    <s v="Lighting"/>
  </r>
  <r>
    <x v="5"/>
    <n v="2019"/>
    <n v="20"/>
    <s v="China +"/>
    <x v="11"/>
    <n v="71700000"/>
    <n v="61900000"/>
    <n v="59800000"/>
    <n v="59800000"/>
    <n v="62900000"/>
    <n v="81500000"/>
    <n v="141000000"/>
    <n v="161000000"/>
    <n v="79500000"/>
    <n v="82300000"/>
    <n v="82800000"/>
    <n v="87900000"/>
    <n v="90900000"/>
    <n v="90800000"/>
    <n v="89900000"/>
    <n v="90100000"/>
    <n v="228000000"/>
    <n v="324000000"/>
    <n v="342000000"/>
    <n v="358000000"/>
    <n v="356000000"/>
    <n v="295000000"/>
    <n v="190000000"/>
    <n v="106000000"/>
    <s v="Winter"/>
    <x v="1"/>
    <s v="Residential"/>
    <s v="Lighting"/>
  </r>
  <r>
    <x v="6"/>
    <n v="2019"/>
    <n v="20"/>
    <s v="China +"/>
    <x v="0"/>
    <n v="68300000"/>
    <n v="47200000"/>
    <n v="42900000"/>
    <n v="41900000"/>
    <n v="58800000"/>
    <n v="131000000"/>
    <n v="256000000"/>
    <n v="352000000"/>
    <n v="233000000"/>
    <n v="208000000"/>
    <n v="194000000"/>
    <n v="167000000"/>
    <n v="136000000"/>
    <n v="119000000"/>
    <n v="117000000"/>
    <n v="119000000"/>
    <n v="143000000"/>
    <n v="181000000"/>
    <n v="233000000"/>
    <n v="233000000"/>
    <n v="210000000"/>
    <n v="194000000"/>
    <n v="171000000"/>
    <n v="120000000"/>
    <s v="Winter"/>
    <x v="0"/>
    <s v="Residential"/>
    <s v="Appliances"/>
  </r>
  <r>
    <x v="6"/>
    <n v="2019"/>
    <n v="20"/>
    <s v="China +"/>
    <x v="1"/>
    <n v="65100000"/>
    <n v="45000000"/>
    <n v="40900000"/>
    <n v="40000000"/>
    <n v="56100000"/>
    <n v="124000000"/>
    <n v="244000000"/>
    <n v="336000000"/>
    <n v="222000000"/>
    <n v="198000000"/>
    <n v="185000000"/>
    <n v="159000000"/>
    <n v="130000000"/>
    <n v="114000000"/>
    <n v="112000000"/>
    <n v="113000000"/>
    <n v="136000000"/>
    <n v="173000000"/>
    <n v="222000000"/>
    <n v="222000000"/>
    <n v="200000000"/>
    <n v="185000000"/>
    <n v="163000000"/>
    <n v="114000000"/>
    <s v="Winter"/>
    <x v="0"/>
    <s v="Residential"/>
    <s v="Appliances"/>
  </r>
  <r>
    <x v="6"/>
    <n v="2019"/>
    <n v="20"/>
    <s v="China +"/>
    <x v="2"/>
    <n v="61000000"/>
    <n v="42200000"/>
    <n v="38300000"/>
    <n v="37400000"/>
    <n v="52500000"/>
    <n v="116000000"/>
    <n v="228000000"/>
    <n v="314000000"/>
    <n v="208000000"/>
    <n v="186000000"/>
    <n v="173000000"/>
    <n v="149000000"/>
    <n v="121000000"/>
    <n v="107000000"/>
    <n v="105000000"/>
    <n v="106000000"/>
    <n v="128000000"/>
    <n v="162000000"/>
    <n v="208000000"/>
    <n v="208000000"/>
    <n v="187000000"/>
    <n v="173000000"/>
    <n v="153000000"/>
    <n v="107000000"/>
    <s v="Spring"/>
    <x v="0"/>
    <s v="Residential"/>
    <s v="Appliances"/>
  </r>
  <r>
    <x v="6"/>
    <n v="2019"/>
    <n v="20"/>
    <s v="China +"/>
    <x v="3"/>
    <n v="55300000"/>
    <n v="38200000"/>
    <n v="34700000"/>
    <n v="33900000"/>
    <n v="47600000"/>
    <n v="106000000"/>
    <n v="207000000"/>
    <n v="285000000"/>
    <n v="188000000"/>
    <n v="168000000"/>
    <n v="157000000"/>
    <n v="135000000"/>
    <n v="110000000"/>
    <n v="96500000"/>
    <n v="94900000"/>
    <n v="95900000"/>
    <n v="116000000"/>
    <n v="147000000"/>
    <n v="188000000"/>
    <n v="189000000"/>
    <n v="170000000"/>
    <n v="157000000"/>
    <n v="138000000"/>
    <n v="96800000"/>
    <s v="Spring"/>
    <x v="0"/>
    <s v="Residential"/>
    <s v="Appliances"/>
  </r>
  <r>
    <x v="6"/>
    <n v="2019"/>
    <n v="20"/>
    <s v="China +"/>
    <x v="4"/>
    <n v="52400000"/>
    <n v="36200000"/>
    <n v="32900000"/>
    <n v="32200000"/>
    <n v="45100000"/>
    <n v="100000000"/>
    <n v="196000000"/>
    <n v="270000000"/>
    <n v="178000000"/>
    <n v="160000000"/>
    <n v="149000000"/>
    <n v="128000000"/>
    <n v="104000000"/>
    <n v="91500000"/>
    <n v="89900000"/>
    <n v="90900000"/>
    <n v="110000000"/>
    <n v="139000000"/>
    <n v="179000000"/>
    <n v="179000000"/>
    <n v="161000000"/>
    <n v="149000000"/>
    <n v="131000000"/>
    <n v="91700000"/>
    <s v="Spring"/>
    <x v="0"/>
    <s v="Residential"/>
    <s v="Appliances"/>
  </r>
  <r>
    <x v="6"/>
    <n v="2019"/>
    <n v="20"/>
    <s v="China +"/>
    <x v="5"/>
    <n v="51900000"/>
    <n v="35900000"/>
    <n v="32600000"/>
    <n v="31800000"/>
    <n v="44700000"/>
    <n v="99100000"/>
    <n v="194000000"/>
    <n v="267000000"/>
    <n v="177000000"/>
    <n v="158000000"/>
    <n v="147000000"/>
    <n v="127000000"/>
    <n v="103000000"/>
    <n v="90600000"/>
    <n v="89000000"/>
    <n v="90000000"/>
    <n v="109000000"/>
    <n v="138000000"/>
    <n v="177000000"/>
    <n v="177000000"/>
    <n v="159000000"/>
    <n v="147000000"/>
    <n v="130000000"/>
    <n v="90800000"/>
    <s v="Summer"/>
    <x v="0"/>
    <s v="Residential"/>
    <s v="Appliances"/>
  </r>
  <r>
    <x v="6"/>
    <n v="2019"/>
    <n v="20"/>
    <s v="China +"/>
    <x v="6"/>
    <n v="51800000"/>
    <n v="35800000"/>
    <n v="32500000"/>
    <n v="31800000"/>
    <n v="44600000"/>
    <n v="98900000"/>
    <n v="194000000"/>
    <n v="267000000"/>
    <n v="176000000"/>
    <n v="158000000"/>
    <n v="147000000"/>
    <n v="127000000"/>
    <n v="103000000"/>
    <n v="90400000"/>
    <n v="88800000"/>
    <n v="89800000"/>
    <n v="109000000"/>
    <n v="137000000"/>
    <n v="176000000"/>
    <n v="177000000"/>
    <n v="159000000"/>
    <n v="147000000"/>
    <n v="129000000"/>
    <n v="90600000"/>
    <s v="Summer"/>
    <x v="0"/>
    <s v="Residential"/>
    <s v="Appliances"/>
  </r>
  <r>
    <x v="6"/>
    <n v="2019"/>
    <n v="20"/>
    <s v="China +"/>
    <x v="7"/>
    <n v="51800000"/>
    <n v="35800000"/>
    <n v="32500000"/>
    <n v="31800000"/>
    <n v="44600000"/>
    <n v="98900000"/>
    <n v="194000000"/>
    <n v="267000000"/>
    <n v="176000000"/>
    <n v="158000000"/>
    <n v="147000000"/>
    <n v="127000000"/>
    <n v="103000000"/>
    <n v="90500000"/>
    <n v="88900000"/>
    <n v="89800000"/>
    <n v="109000000"/>
    <n v="137000000"/>
    <n v="177000000"/>
    <n v="177000000"/>
    <n v="159000000"/>
    <n v="147000000"/>
    <n v="130000000"/>
    <n v="90700000"/>
    <s v="Summer"/>
    <x v="0"/>
    <s v="Residential"/>
    <s v="Appliances"/>
  </r>
  <r>
    <x v="6"/>
    <n v="2019"/>
    <n v="20"/>
    <s v="China +"/>
    <x v="8"/>
    <n v="52400000"/>
    <n v="36200000"/>
    <n v="32900000"/>
    <n v="32100000"/>
    <n v="45100000"/>
    <n v="100000000"/>
    <n v="196000000"/>
    <n v="270000000"/>
    <n v="178000000"/>
    <n v="160000000"/>
    <n v="149000000"/>
    <n v="128000000"/>
    <n v="104000000"/>
    <n v="91500000"/>
    <n v="89900000"/>
    <n v="90800000"/>
    <n v="110000000"/>
    <n v="139000000"/>
    <n v="179000000"/>
    <n v="179000000"/>
    <n v="161000000"/>
    <n v="149000000"/>
    <n v="131000000"/>
    <n v="91700000"/>
    <s v="Fall"/>
    <x v="0"/>
    <s v="Residential"/>
    <s v="Appliances"/>
  </r>
  <r>
    <x v="6"/>
    <n v="2019"/>
    <n v="20"/>
    <s v="China +"/>
    <x v="9"/>
    <n v="54700000"/>
    <n v="37800000"/>
    <n v="34400000"/>
    <n v="33600000"/>
    <n v="47100000"/>
    <n v="105000000"/>
    <n v="205000000"/>
    <n v="282000000"/>
    <n v="186000000"/>
    <n v="167000000"/>
    <n v="155000000"/>
    <n v="134000000"/>
    <n v="109000000"/>
    <n v="95600000"/>
    <n v="93900000"/>
    <n v="94900000"/>
    <n v="115000000"/>
    <n v="145000000"/>
    <n v="187000000"/>
    <n v="187000000"/>
    <n v="168000000"/>
    <n v="156000000"/>
    <n v="137000000"/>
    <n v="95800000"/>
    <s v="Fall"/>
    <x v="0"/>
    <s v="Residential"/>
    <s v="Appliances"/>
  </r>
  <r>
    <x v="6"/>
    <n v="2019"/>
    <n v="20"/>
    <s v="China +"/>
    <x v="10"/>
    <n v="60000000"/>
    <n v="41500000"/>
    <n v="37700000"/>
    <n v="36800000"/>
    <n v="51600000"/>
    <n v="115000000"/>
    <n v="225000000"/>
    <n v="309000000"/>
    <n v="204000000"/>
    <n v="183000000"/>
    <n v="170000000"/>
    <n v="147000000"/>
    <n v="119000000"/>
    <n v="105000000"/>
    <n v="103000000"/>
    <n v="104000000"/>
    <n v="126000000"/>
    <n v="159000000"/>
    <n v="204000000"/>
    <n v="205000000"/>
    <n v="184000000"/>
    <n v="171000000"/>
    <n v="150000000"/>
    <n v="105000000"/>
    <s v="Winter"/>
    <x v="0"/>
    <s v="Residential"/>
    <s v="Appliances"/>
  </r>
  <r>
    <x v="6"/>
    <n v="2019"/>
    <n v="20"/>
    <s v="China +"/>
    <x v="11"/>
    <n v="66200000"/>
    <n v="45800000"/>
    <n v="41600000"/>
    <n v="40600000"/>
    <n v="57000000"/>
    <n v="126000000"/>
    <n v="248000000"/>
    <n v="341000000"/>
    <n v="225000000"/>
    <n v="202000000"/>
    <n v="188000000"/>
    <n v="162000000"/>
    <n v="132000000"/>
    <n v="116000000"/>
    <n v="114000000"/>
    <n v="115000000"/>
    <n v="139000000"/>
    <n v="176000000"/>
    <n v="226000000"/>
    <n v="226000000"/>
    <n v="203000000"/>
    <n v="188000000"/>
    <n v="166000000"/>
    <n v="116000000"/>
    <s v="Winter"/>
    <x v="0"/>
    <s v="Residential"/>
    <s v="Appliances"/>
  </r>
  <r>
    <x v="7"/>
    <n v="2019"/>
    <n v="20"/>
    <s v="China +"/>
    <x v="0"/>
    <n v="58900000"/>
    <n v="38000000"/>
    <n v="31700000"/>
    <n v="29400000"/>
    <n v="30300000"/>
    <n v="39300000"/>
    <n v="69100000"/>
    <n v="108000000"/>
    <n v="164000000"/>
    <n v="224000000"/>
    <n v="231000000"/>
    <n v="212000000"/>
    <n v="190000000"/>
    <n v="163000000"/>
    <n v="150000000"/>
    <n v="131000000"/>
    <n v="131000000"/>
    <n v="151000000"/>
    <n v="172000000"/>
    <n v="157000000"/>
    <n v="146000000"/>
    <n v="128000000"/>
    <n v="111000000"/>
    <n v="84500000"/>
    <s v="Winter"/>
    <x v="1"/>
    <s v="Residential"/>
    <s v="Appliances"/>
  </r>
  <r>
    <x v="7"/>
    <n v="2019"/>
    <n v="20"/>
    <s v="China +"/>
    <x v="1"/>
    <n v="56100000"/>
    <n v="36200000"/>
    <n v="30200000"/>
    <n v="28000000"/>
    <n v="28900000"/>
    <n v="37400000"/>
    <n v="65900000"/>
    <n v="103000000"/>
    <n v="157000000"/>
    <n v="213000000"/>
    <n v="220000000"/>
    <n v="202000000"/>
    <n v="181000000"/>
    <n v="156000000"/>
    <n v="143000000"/>
    <n v="125000000"/>
    <n v="125000000"/>
    <n v="144000000"/>
    <n v="164000000"/>
    <n v="149000000"/>
    <n v="139000000"/>
    <n v="122000000"/>
    <n v="106000000"/>
    <n v="80500000"/>
    <s v="Winter"/>
    <x v="1"/>
    <s v="Residential"/>
    <s v="Appliances"/>
  </r>
  <r>
    <x v="7"/>
    <n v="2019"/>
    <n v="20"/>
    <s v="China +"/>
    <x v="2"/>
    <n v="52500000"/>
    <n v="34000000"/>
    <n v="28300000"/>
    <n v="26200000"/>
    <n v="27000000"/>
    <n v="35000000"/>
    <n v="61700000"/>
    <n v="96300000"/>
    <n v="147000000"/>
    <n v="200000000"/>
    <n v="206000000"/>
    <n v="189000000"/>
    <n v="169000000"/>
    <n v="146000000"/>
    <n v="134000000"/>
    <n v="117000000"/>
    <n v="117000000"/>
    <n v="135000000"/>
    <n v="153000000"/>
    <n v="140000000"/>
    <n v="131000000"/>
    <n v="114000000"/>
    <n v="99100000"/>
    <n v="75400000"/>
    <s v="Spring"/>
    <x v="1"/>
    <s v="Residential"/>
    <s v="Appliances"/>
  </r>
  <r>
    <x v="7"/>
    <n v="2019"/>
    <n v="20"/>
    <s v="China +"/>
    <x v="3"/>
    <n v="47600000"/>
    <n v="30800000"/>
    <n v="25600000"/>
    <n v="23800000"/>
    <n v="24500000"/>
    <n v="31800000"/>
    <n v="55900000"/>
    <n v="87300000"/>
    <n v="133000000"/>
    <n v="181000000"/>
    <n v="187000000"/>
    <n v="172000000"/>
    <n v="153000000"/>
    <n v="132000000"/>
    <n v="122000000"/>
    <n v="106000000"/>
    <n v="106000000"/>
    <n v="122000000"/>
    <n v="139000000"/>
    <n v="127000000"/>
    <n v="118000000"/>
    <n v="103000000"/>
    <n v="89800000"/>
    <n v="68400000"/>
    <s v="Spring"/>
    <x v="1"/>
    <s v="Residential"/>
    <s v="Appliances"/>
  </r>
  <r>
    <x v="7"/>
    <n v="2019"/>
    <n v="20"/>
    <s v="China +"/>
    <x v="4"/>
    <n v="45200000"/>
    <n v="29200000"/>
    <n v="24300000"/>
    <n v="22500000"/>
    <n v="23200000"/>
    <n v="30100000"/>
    <n v="53000000"/>
    <n v="82700000"/>
    <n v="126000000"/>
    <n v="172000000"/>
    <n v="177000000"/>
    <n v="163000000"/>
    <n v="145000000"/>
    <n v="125000000"/>
    <n v="115000000"/>
    <n v="101000000"/>
    <n v="101000000"/>
    <n v="116000000"/>
    <n v="132000000"/>
    <n v="120000000"/>
    <n v="112000000"/>
    <n v="98000000"/>
    <n v="85100000"/>
    <n v="64800000"/>
    <s v="Spring"/>
    <x v="1"/>
    <s v="Residential"/>
    <s v="Appliances"/>
  </r>
  <r>
    <x v="7"/>
    <n v="2019"/>
    <n v="20"/>
    <s v="China +"/>
    <x v="5"/>
    <n v="44700000"/>
    <n v="28900000"/>
    <n v="24100000"/>
    <n v="22300000"/>
    <n v="23000000"/>
    <n v="29800000"/>
    <n v="52500000"/>
    <n v="81900000"/>
    <n v="125000000"/>
    <n v="170000000"/>
    <n v="175000000"/>
    <n v="161000000"/>
    <n v="144000000"/>
    <n v="124000000"/>
    <n v="114000000"/>
    <n v="99600000"/>
    <n v="99700000"/>
    <n v="114000000"/>
    <n v="130000000"/>
    <n v="119000000"/>
    <n v="111000000"/>
    <n v="97000000"/>
    <n v="84200000"/>
    <n v="64200000"/>
    <s v="Summer"/>
    <x v="1"/>
    <s v="Residential"/>
    <s v="Appliances"/>
  </r>
  <r>
    <x v="7"/>
    <n v="2019"/>
    <n v="20"/>
    <s v="China +"/>
    <x v="6"/>
    <n v="44600000"/>
    <n v="28800000"/>
    <n v="24000000"/>
    <n v="22300000"/>
    <n v="22900000"/>
    <n v="29700000"/>
    <n v="52400000"/>
    <n v="81700000"/>
    <n v="124000000"/>
    <n v="170000000"/>
    <n v="175000000"/>
    <n v="161000000"/>
    <n v="144000000"/>
    <n v="124000000"/>
    <n v="114000000"/>
    <n v="99400000"/>
    <n v="99500000"/>
    <n v="114000000"/>
    <n v="130000000"/>
    <n v="119000000"/>
    <n v="111000000"/>
    <n v="96800000"/>
    <n v="84100000"/>
    <n v="64000000"/>
    <s v="Summer"/>
    <x v="1"/>
    <s v="Residential"/>
    <s v="Appliances"/>
  </r>
  <r>
    <x v="7"/>
    <n v="2019"/>
    <n v="20"/>
    <s v="China +"/>
    <x v="7"/>
    <n v="44600000"/>
    <n v="28800000"/>
    <n v="24000000"/>
    <n v="22300000"/>
    <n v="23000000"/>
    <n v="29700000"/>
    <n v="52400000"/>
    <n v="81800000"/>
    <n v="125000000"/>
    <n v="170000000"/>
    <n v="175000000"/>
    <n v="161000000"/>
    <n v="144000000"/>
    <n v="124000000"/>
    <n v="114000000"/>
    <n v="99500000"/>
    <n v="99500000"/>
    <n v="114000000"/>
    <n v="130000000"/>
    <n v="119000000"/>
    <n v="111000000"/>
    <n v="96900000"/>
    <n v="84100000"/>
    <n v="64100000"/>
    <s v="Summer"/>
    <x v="1"/>
    <s v="Residential"/>
    <s v="Appliances"/>
  </r>
  <r>
    <x v="7"/>
    <n v="2019"/>
    <n v="20"/>
    <s v="China +"/>
    <x v="8"/>
    <n v="45100000"/>
    <n v="29200000"/>
    <n v="24300000"/>
    <n v="22500000"/>
    <n v="23200000"/>
    <n v="30100000"/>
    <n v="53000000"/>
    <n v="82700000"/>
    <n v="126000000"/>
    <n v="172000000"/>
    <n v="177000000"/>
    <n v="163000000"/>
    <n v="145000000"/>
    <n v="125000000"/>
    <n v="115000000"/>
    <n v="101000000"/>
    <n v="101000000"/>
    <n v="116000000"/>
    <n v="132000000"/>
    <n v="120000000"/>
    <n v="112000000"/>
    <n v="98000000"/>
    <n v="85100000"/>
    <n v="64800000"/>
    <s v="Fall"/>
    <x v="1"/>
    <s v="Residential"/>
    <s v="Appliances"/>
  </r>
  <r>
    <x v="7"/>
    <n v="2019"/>
    <n v="20"/>
    <s v="China +"/>
    <x v="9"/>
    <n v="47200000"/>
    <n v="30500000"/>
    <n v="25400000"/>
    <n v="23500000"/>
    <n v="24300000"/>
    <n v="31400000"/>
    <n v="55400000"/>
    <n v="86400000"/>
    <n v="132000000"/>
    <n v="179000000"/>
    <n v="185000000"/>
    <n v="170000000"/>
    <n v="152000000"/>
    <n v="131000000"/>
    <n v="121000000"/>
    <n v="105000000"/>
    <n v="105000000"/>
    <n v="121000000"/>
    <n v="138000000"/>
    <n v="125000000"/>
    <n v="117000000"/>
    <n v="102000000"/>
    <n v="88900000"/>
    <n v="67700000"/>
    <s v="Fall"/>
    <x v="1"/>
    <s v="Residential"/>
    <s v="Appliances"/>
  </r>
  <r>
    <x v="7"/>
    <n v="2019"/>
    <n v="20"/>
    <s v="China +"/>
    <x v="10"/>
    <n v="51700000"/>
    <n v="33400000"/>
    <n v="27800000"/>
    <n v="25800000"/>
    <n v="26600000"/>
    <n v="34500000"/>
    <n v="60700000"/>
    <n v="94700000"/>
    <n v="144000000"/>
    <n v="197000000"/>
    <n v="202000000"/>
    <n v="186000000"/>
    <n v="166000000"/>
    <n v="143000000"/>
    <n v="132000000"/>
    <n v="115000000"/>
    <n v="115000000"/>
    <n v="132000000"/>
    <n v="151000000"/>
    <n v="137000000"/>
    <n v="128000000"/>
    <n v="112000000"/>
    <n v="97400000"/>
    <n v="74200000"/>
    <s v="Winter"/>
    <x v="1"/>
    <s v="Residential"/>
    <s v="Appliances"/>
  </r>
  <r>
    <x v="7"/>
    <n v="2019"/>
    <n v="20"/>
    <s v="China +"/>
    <x v="11"/>
    <n v="57000000"/>
    <n v="36900000"/>
    <n v="30700000"/>
    <n v="28500000"/>
    <n v="29300000"/>
    <n v="38000000"/>
    <n v="67000000"/>
    <n v="105000000"/>
    <n v="159000000"/>
    <n v="217000000"/>
    <n v="223000000"/>
    <n v="206000000"/>
    <n v="184000000"/>
    <n v="158000000"/>
    <n v="146000000"/>
    <n v="127000000"/>
    <n v="127000000"/>
    <n v="146000000"/>
    <n v="166000000"/>
    <n v="152000000"/>
    <n v="142000000"/>
    <n v="124000000"/>
    <n v="108000000"/>
    <n v="81900000"/>
    <s v="Winter"/>
    <x v="1"/>
    <s v="Residential"/>
    <s v="Appliances"/>
  </r>
  <r>
    <x v="8"/>
    <n v="2019"/>
    <n v="20"/>
    <s v="China +"/>
    <x v="0"/>
    <n v="238848"/>
    <n v="225210"/>
    <n v="219520"/>
    <n v="216316"/>
    <n v="215637"/>
    <n v="222400"/>
    <n v="246558"/>
    <n v="294290"/>
    <n v="364438"/>
    <n v="409408"/>
    <n v="433096"/>
    <n v="439462"/>
    <n v="424750"/>
    <n v="435828"/>
    <n v="446998"/>
    <n v="446739"/>
    <n v="436555"/>
    <n v="415018"/>
    <n v="396618"/>
    <n v="371195"/>
    <n v="349895"/>
    <n v="328259"/>
    <n v="302359"/>
    <n v="267171"/>
    <s v="Winter"/>
    <x v="0"/>
    <s v="Commercial"/>
    <s v="Cooling"/>
  </r>
  <r>
    <x v="8"/>
    <n v="2019"/>
    <n v="20"/>
    <s v="China +"/>
    <x v="1"/>
    <n v="498600"/>
    <n v="470041"/>
    <n v="458136"/>
    <n v="451494"/>
    <n v="450195"/>
    <n v="464539"/>
    <n v="515286"/>
    <n v="615198"/>
    <n v="762376"/>
    <n v="858887"/>
    <n v="912409"/>
    <n v="929651"/>
    <n v="901452"/>
    <n v="926004"/>
    <n v="949739"/>
    <n v="948760"/>
    <n v="926070"/>
    <n v="878674"/>
    <n v="836336"/>
    <n v="779196"/>
    <n v="732047"/>
    <n v="686039"/>
    <n v="631656"/>
    <n v="557906"/>
    <s v="Winter"/>
    <x v="0"/>
    <s v="Commercial"/>
    <s v="Cooling"/>
  </r>
  <r>
    <x v="8"/>
    <n v="2019"/>
    <n v="20"/>
    <s v="China +"/>
    <x v="2"/>
    <n v="4243565"/>
    <n v="3999334"/>
    <n v="3897748"/>
    <n v="3841979"/>
    <n v="3832891"/>
    <n v="3959748"/>
    <n v="4404904"/>
    <n v="5280108"/>
    <n v="6566929"/>
    <n v="7421252"/>
    <n v="7910771"/>
    <n v="8086211"/>
    <n v="7866308"/>
    <n v="8085435"/>
    <n v="8290348"/>
    <n v="8278495"/>
    <n v="8075166"/>
    <n v="7653715"/>
    <n v="7265356"/>
    <n v="6745148"/>
    <n v="6309613"/>
    <n v="5881126"/>
    <n v="5392199"/>
    <n v="4751885"/>
    <s v="Spring"/>
    <x v="0"/>
    <s v="Commercial"/>
    <s v="Cooling"/>
  </r>
  <r>
    <x v="8"/>
    <n v="2019"/>
    <n v="20"/>
    <s v="China +"/>
    <x v="3"/>
    <n v="50800000"/>
    <n v="47700000"/>
    <n v="46500000"/>
    <n v="45900000"/>
    <n v="46000000"/>
    <n v="47800000"/>
    <n v="53300000"/>
    <n v="63900000"/>
    <n v="79300000"/>
    <n v="89900000"/>
    <n v="96800000"/>
    <n v="101000000"/>
    <n v="101000000"/>
    <n v="105000000"/>
    <n v="108000000"/>
    <n v="107000000"/>
    <n v="103000000"/>
    <n v="96000000"/>
    <n v="89300000"/>
    <n v="82000000"/>
    <n v="76300000"/>
    <n v="70900000"/>
    <n v="64800000"/>
    <n v="57000000"/>
    <s v="Spring"/>
    <x v="0"/>
    <s v="Commercial"/>
    <s v="Cooling"/>
  </r>
  <r>
    <x v="8"/>
    <n v="2019"/>
    <n v="20"/>
    <s v="China +"/>
    <x v="4"/>
    <n v="247000000"/>
    <n v="230000000"/>
    <n v="224000000"/>
    <n v="222000000"/>
    <n v="226000000"/>
    <n v="241000000"/>
    <n v="281000000"/>
    <n v="348000000"/>
    <n v="440000000"/>
    <n v="512000000"/>
    <n v="565000000"/>
    <n v="599000000"/>
    <n v="607000000"/>
    <n v="631000000"/>
    <n v="645000000"/>
    <n v="641000000"/>
    <n v="618000000"/>
    <n v="577000000"/>
    <n v="532000000"/>
    <n v="478000000"/>
    <n v="427000000"/>
    <n v="379000000"/>
    <n v="331000000"/>
    <n v="282000000"/>
    <s v="Spring"/>
    <x v="0"/>
    <s v="Commercial"/>
    <s v="Cooling"/>
  </r>
  <r>
    <x v="8"/>
    <n v="2019"/>
    <n v="20"/>
    <s v="China +"/>
    <x v="5"/>
    <n v="482000000"/>
    <n v="448000000"/>
    <n v="435000000"/>
    <n v="436000000"/>
    <n v="450000000"/>
    <n v="485000000"/>
    <n v="553000000"/>
    <n v="662000000"/>
    <n v="807000000"/>
    <n v="920000000"/>
    <n v="1000000000"/>
    <n v="1050000000"/>
    <n v="1060000000"/>
    <n v="1090000000"/>
    <n v="1110000000"/>
    <n v="1110000000"/>
    <n v="1080000000"/>
    <n v="1020000000"/>
    <n v="950000000"/>
    <n v="867000000"/>
    <n v="787000000"/>
    <n v="708000000"/>
    <n v="629000000"/>
    <n v="546000000"/>
    <s v="Summer"/>
    <x v="0"/>
    <s v="Commercial"/>
    <s v="Cooling"/>
  </r>
  <r>
    <x v="8"/>
    <n v="2019"/>
    <n v="20"/>
    <s v="China +"/>
    <x v="6"/>
    <n v="754000000"/>
    <n v="707000000"/>
    <n v="690000000"/>
    <n v="691000000"/>
    <n v="711000000"/>
    <n v="759000000"/>
    <n v="851000000"/>
    <n v="995000000"/>
    <n v="1180000000"/>
    <n v="1330000000"/>
    <n v="1430000000"/>
    <n v="1490000000"/>
    <n v="1500000000"/>
    <n v="1550000000"/>
    <n v="1570000000"/>
    <n v="1570000000"/>
    <n v="1520000000"/>
    <n v="1450000000"/>
    <n v="1360000000"/>
    <n v="1260000000"/>
    <n v="1160000000"/>
    <n v="1060000000"/>
    <n v="952000000"/>
    <n v="841000000"/>
    <s v="Summer"/>
    <x v="0"/>
    <s v="Commercial"/>
    <s v="Cooling"/>
  </r>
  <r>
    <x v="8"/>
    <n v="2019"/>
    <n v="20"/>
    <s v="China +"/>
    <x v="7"/>
    <n v="703000000"/>
    <n v="659000000"/>
    <n v="642000000"/>
    <n v="643000000"/>
    <n v="662000000"/>
    <n v="708000000"/>
    <n v="796000000"/>
    <n v="937000000"/>
    <n v="1120000000"/>
    <n v="1260000000"/>
    <n v="1360000000"/>
    <n v="1430000000"/>
    <n v="1440000000"/>
    <n v="1480000000"/>
    <n v="1510000000"/>
    <n v="1500000000"/>
    <n v="1460000000"/>
    <n v="1380000000"/>
    <n v="1300000000"/>
    <n v="1200000000"/>
    <n v="1100000000"/>
    <n v="997000000"/>
    <n v="895000000"/>
    <n v="787000000"/>
    <s v="Summer"/>
    <x v="0"/>
    <s v="Commercial"/>
    <s v="Cooling"/>
  </r>
  <r>
    <x v="8"/>
    <n v="2019"/>
    <n v="20"/>
    <s v="China +"/>
    <x v="8"/>
    <n v="336000000"/>
    <n v="314000000"/>
    <n v="305000000"/>
    <n v="304000000"/>
    <n v="311000000"/>
    <n v="333000000"/>
    <n v="380000000"/>
    <n v="457000000"/>
    <n v="563000000"/>
    <n v="643000000"/>
    <n v="699000000"/>
    <n v="733000000"/>
    <n v="738000000"/>
    <n v="764000000"/>
    <n v="780000000"/>
    <n v="776000000"/>
    <n v="751000000"/>
    <n v="707000000"/>
    <n v="659000000"/>
    <n v="601000000"/>
    <n v="547000000"/>
    <n v="494000000"/>
    <n v="441000000"/>
    <n v="382000000"/>
    <s v="Fall"/>
    <x v="0"/>
    <s v="Commercial"/>
    <s v="Cooling"/>
  </r>
  <r>
    <x v="8"/>
    <n v="2019"/>
    <n v="20"/>
    <s v="China +"/>
    <x v="9"/>
    <n v="79700000"/>
    <n v="74900000"/>
    <n v="72900000"/>
    <n v="72100000"/>
    <n v="72500000"/>
    <n v="75500000"/>
    <n v="84600000"/>
    <n v="102000000"/>
    <n v="128000000"/>
    <n v="148000000"/>
    <n v="162000000"/>
    <n v="171000000"/>
    <n v="171000000"/>
    <n v="178000000"/>
    <n v="183000000"/>
    <n v="182000000"/>
    <n v="175000000"/>
    <n v="163000000"/>
    <n v="151000000"/>
    <n v="136000000"/>
    <n v="123000000"/>
    <n v="113000000"/>
    <n v="102000000"/>
    <n v="89600000"/>
    <s v="Fall"/>
    <x v="0"/>
    <s v="Commercial"/>
    <s v="Cooling"/>
  </r>
  <r>
    <x v="8"/>
    <n v="2019"/>
    <n v="20"/>
    <s v="China +"/>
    <x v="10"/>
    <n v="21700000"/>
    <n v="20400000"/>
    <n v="19900000"/>
    <n v="19600000"/>
    <n v="19600000"/>
    <n v="20300000"/>
    <n v="22700000"/>
    <n v="27300000"/>
    <n v="34000000"/>
    <n v="38500000"/>
    <n v="41000000"/>
    <n v="42000000"/>
    <n v="40900000"/>
    <n v="42100000"/>
    <n v="43200000"/>
    <n v="43100000"/>
    <n v="42000000"/>
    <n v="39800000"/>
    <n v="37700000"/>
    <n v="35000000"/>
    <n v="32700000"/>
    <n v="30400000"/>
    <n v="27700000"/>
    <n v="24400000"/>
    <s v="Winter"/>
    <x v="0"/>
    <s v="Commercial"/>
    <s v="Cooling"/>
  </r>
  <r>
    <x v="8"/>
    <n v="2019"/>
    <n v="20"/>
    <s v="China +"/>
    <x v="11"/>
    <n v="1748230"/>
    <n v="1648250"/>
    <n v="1606559"/>
    <n v="1583166"/>
    <n v="1578370"/>
    <n v="1628140"/>
    <n v="1805613"/>
    <n v="2155429"/>
    <n v="2669343"/>
    <n v="3000409"/>
    <n v="3182554"/>
    <n v="3242147"/>
    <n v="3143977"/>
    <n v="3230487"/>
    <n v="3313842"/>
    <n v="3310339"/>
    <n v="3230363"/>
    <n v="3063261"/>
    <n v="2915603"/>
    <n v="2720764"/>
    <n v="2562914"/>
    <n v="2404017"/>
    <n v="2213970"/>
    <n v="1955776"/>
    <s v="Winter"/>
    <x v="0"/>
    <s v="Commercial"/>
    <s v="Cooling"/>
  </r>
  <r>
    <x v="9"/>
    <n v="2019"/>
    <n v="20"/>
    <s v="China +"/>
    <x v="0"/>
    <n v="129464"/>
    <n v="126703"/>
    <n v="125552"/>
    <n v="124906"/>
    <n v="124774"/>
    <n v="126150"/>
    <n v="131053"/>
    <n v="140770"/>
    <n v="155044"/>
    <n v="164265"/>
    <n v="169250"/>
    <n v="170911"/>
    <n v="172675"/>
    <n v="173349"/>
    <n v="173619"/>
    <n v="173387"/>
    <n v="170880"/>
    <n v="165972"/>
    <n v="161879"/>
    <n v="156544"/>
    <n v="152106"/>
    <n v="147634"/>
    <n v="142328"/>
    <n v="135196"/>
    <s v="Winter"/>
    <x v="1"/>
    <s v="Commercial"/>
    <s v="Cooling"/>
  </r>
  <r>
    <x v="9"/>
    <n v="2019"/>
    <n v="20"/>
    <s v="China +"/>
    <x v="1"/>
    <n v="269418"/>
    <n v="263609"/>
    <n v="261193"/>
    <n v="259873"/>
    <n v="259669"/>
    <n v="262675"/>
    <n v="273088"/>
    <n v="293511"/>
    <n v="323719"/>
    <n v="344536"/>
    <n v="357387"/>
    <n v="363238"/>
    <n v="368404"/>
    <n v="370682"/>
    <n v="371508"/>
    <n v="370760"/>
    <n v="364671"/>
    <n v="352970"/>
    <n v="342065"/>
    <n v="328485"/>
    <n v="317610"/>
    <n v="307779"/>
    <n v="296527"/>
    <n v="281480"/>
    <s v="Winter"/>
    <x v="1"/>
    <s v="Commercial"/>
    <s v="Cooling"/>
  </r>
  <r>
    <x v="9"/>
    <n v="2019"/>
    <n v="20"/>
    <s v="China +"/>
    <x v="2"/>
    <n v="2279280"/>
    <n v="2229148"/>
    <n v="2208425"/>
    <n v="2197656"/>
    <n v="2197091"/>
    <n v="2225528"/>
    <n v="2322095"/>
    <n v="2510795"/>
    <n v="2788357"/>
    <n v="2985170"/>
    <n v="3114786"/>
    <n v="3181611"/>
    <n v="3236774"/>
    <n v="3262478"/>
    <n v="3271574"/>
    <n v="3263138"/>
    <n v="3205309"/>
    <n v="3095055"/>
    <n v="2985618"/>
    <n v="2849860"/>
    <n v="2736860"/>
    <n v="2631078"/>
    <n v="2519684"/>
    <n v="2384060"/>
    <s v="Spring"/>
    <x v="1"/>
    <s v="Commercial"/>
    <s v="Cooling"/>
  </r>
  <r>
    <x v="9"/>
    <n v="2019"/>
    <n v="20"/>
    <s v="China +"/>
    <x v="3"/>
    <n v="26800000"/>
    <n v="26100000"/>
    <n v="25800000"/>
    <n v="25800000"/>
    <n v="25900000"/>
    <n v="26400000"/>
    <n v="27700000"/>
    <n v="30100000"/>
    <n v="33500000"/>
    <n v="36100000"/>
    <n v="38300000"/>
    <n v="40400000"/>
    <n v="42400000"/>
    <n v="43700000"/>
    <n v="44200000"/>
    <n v="43800000"/>
    <n v="42100000"/>
    <n v="39400000"/>
    <n v="36800000"/>
    <n v="34600000"/>
    <n v="32900000"/>
    <n v="31400000"/>
    <n v="29900000"/>
    <n v="28200000"/>
    <s v="Spring"/>
    <x v="1"/>
    <s v="Commercial"/>
    <s v="Cooling"/>
  </r>
  <r>
    <x v="9"/>
    <n v="2019"/>
    <n v="20"/>
    <s v="China +"/>
    <x v="4"/>
    <n v="123000000"/>
    <n v="118000000"/>
    <n v="117000000"/>
    <n v="117000000"/>
    <n v="119000000"/>
    <n v="125000000"/>
    <n v="139000000"/>
    <n v="160000000"/>
    <n v="188000000"/>
    <n v="213000000"/>
    <n v="234000000"/>
    <n v="251000000"/>
    <n v="264000000"/>
    <n v="272000000"/>
    <n v="275000000"/>
    <n v="272000000"/>
    <n v="263000000"/>
    <n v="247000000"/>
    <n v="228000000"/>
    <n v="206000000"/>
    <n v="186000000"/>
    <n v="166000000"/>
    <n v="148000000"/>
    <n v="133000000"/>
    <s v="Spring"/>
    <x v="1"/>
    <s v="Commercial"/>
    <s v="Cooling"/>
  </r>
  <r>
    <x v="9"/>
    <n v="2019"/>
    <n v="20"/>
    <s v="China +"/>
    <x v="5"/>
    <n v="236000000"/>
    <n v="225000000"/>
    <n v="221000000"/>
    <n v="223000000"/>
    <n v="231000000"/>
    <n v="246000000"/>
    <n v="270000000"/>
    <n v="305000000"/>
    <n v="348000000"/>
    <n v="386000000"/>
    <n v="417000000"/>
    <n v="440000000"/>
    <n v="458000000"/>
    <n v="469000000"/>
    <n v="473000000"/>
    <n v="469000000"/>
    <n v="456000000"/>
    <n v="434000000"/>
    <n v="408000000"/>
    <n v="376000000"/>
    <n v="344000000"/>
    <n v="313000000"/>
    <n v="283000000"/>
    <n v="257000000"/>
    <s v="Summer"/>
    <x v="1"/>
    <s v="Commercial"/>
    <s v="Cooling"/>
  </r>
  <r>
    <x v="9"/>
    <n v="2019"/>
    <n v="20"/>
    <s v="China +"/>
    <x v="6"/>
    <n v="367000000"/>
    <n v="352000000"/>
    <n v="346000000"/>
    <n v="349000000"/>
    <n v="360000000"/>
    <n v="380000000"/>
    <n v="413000000"/>
    <n v="458000000"/>
    <n v="512000000"/>
    <n v="559000000"/>
    <n v="597000000"/>
    <n v="626000000"/>
    <n v="648000000"/>
    <n v="661000000"/>
    <n v="665000000"/>
    <n v="661000000"/>
    <n v="645000000"/>
    <n v="618000000"/>
    <n v="586000000"/>
    <n v="547000000"/>
    <n v="508000000"/>
    <n v="468000000"/>
    <n v="430000000"/>
    <n v="395000000"/>
    <s v="Summer"/>
    <x v="1"/>
    <s v="Commercial"/>
    <s v="Cooling"/>
  </r>
  <r>
    <x v="9"/>
    <n v="2019"/>
    <n v="20"/>
    <s v="China +"/>
    <x v="7"/>
    <n v="343000000"/>
    <n v="328000000"/>
    <n v="323000000"/>
    <n v="326000000"/>
    <n v="336000000"/>
    <n v="356000000"/>
    <n v="387000000"/>
    <n v="431000000"/>
    <n v="485000000"/>
    <n v="531000000"/>
    <n v="569000000"/>
    <n v="598000000"/>
    <n v="620000000"/>
    <n v="633000000"/>
    <n v="637000000"/>
    <n v="633000000"/>
    <n v="617000000"/>
    <n v="590000000"/>
    <n v="558000000"/>
    <n v="520000000"/>
    <n v="480000000"/>
    <n v="441000000"/>
    <n v="404000000"/>
    <n v="369000000"/>
    <s v="Summer"/>
    <x v="1"/>
    <s v="Commercial"/>
    <s v="Cooling"/>
  </r>
  <r>
    <x v="9"/>
    <n v="2019"/>
    <n v="20"/>
    <s v="China +"/>
    <x v="8"/>
    <n v="168000000"/>
    <n v="161000000"/>
    <n v="158000000"/>
    <n v="159000000"/>
    <n v="163000000"/>
    <n v="172000000"/>
    <n v="188000000"/>
    <n v="212000000"/>
    <n v="241000000"/>
    <n v="267000000"/>
    <n v="288000000"/>
    <n v="305000000"/>
    <n v="318000000"/>
    <n v="326000000"/>
    <n v="329000000"/>
    <n v="326000000"/>
    <n v="316000000"/>
    <n v="300000000"/>
    <n v="281000000"/>
    <n v="260000000"/>
    <n v="238000000"/>
    <n v="218000000"/>
    <n v="199000000"/>
    <n v="181000000"/>
    <s v="Fall"/>
    <x v="1"/>
    <s v="Commercial"/>
    <s v="Cooling"/>
  </r>
  <r>
    <x v="9"/>
    <n v="2019"/>
    <n v="20"/>
    <s v="China +"/>
    <x v="9"/>
    <n v="41300000"/>
    <n v="40100000"/>
    <n v="39700000"/>
    <n v="39600000"/>
    <n v="39900000"/>
    <n v="40800000"/>
    <n v="43100000"/>
    <n v="47400000"/>
    <n v="53900000"/>
    <n v="59900000"/>
    <n v="65400000"/>
    <n v="69700000"/>
    <n v="73200000"/>
    <n v="75300000"/>
    <n v="76100000"/>
    <n v="75300000"/>
    <n v="72700000"/>
    <n v="68200000"/>
    <n v="63200000"/>
    <n v="57600000"/>
    <n v="53000000"/>
    <n v="49400000"/>
    <n v="46500000"/>
    <n v="43500000"/>
    <s v="Fall"/>
    <x v="1"/>
    <s v="Commercial"/>
    <s v="Cooling"/>
  </r>
  <r>
    <x v="9"/>
    <n v="2019"/>
    <n v="20"/>
    <s v="China +"/>
    <x v="10"/>
    <n v="11600000"/>
    <n v="11300000"/>
    <n v="11200000"/>
    <n v="11200000"/>
    <n v="11200000"/>
    <n v="11400000"/>
    <n v="11900000"/>
    <n v="13000000"/>
    <n v="14500000"/>
    <n v="15500000"/>
    <n v="16200000"/>
    <n v="16600000"/>
    <n v="16900000"/>
    <n v="17100000"/>
    <n v="17200000"/>
    <n v="17100000"/>
    <n v="16700000"/>
    <n v="16100000"/>
    <n v="15600000"/>
    <n v="14800000"/>
    <n v="14200000"/>
    <n v="13600000"/>
    <n v="12900000"/>
    <n v="12200000"/>
    <s v="Winter"/>
    <x v="1"/>
    <s v="Commercial"/>
    <s v="Cooling"/>
  </r>
  <r>
    <x v="9"/>
    <n v="2019"/>
    <n v="20"/>
    <s v="China +"/>
    <x v="11"/>
    <n v="945908"/>
    <n v="925637"/>
    <n v="917196"/>
    <n v="912510"/>
    <n v="911647"/>
    <n v="921867"/>
    <n v="958098"/>
    <n v="1029389"/>
    <n v="1133999"/>
    <n v="1202551"/>
    <n v="1244283"/>
    <n v="1264290"/>
    <n v="1282919"/>
    <n v="1291139"/>
    <n v="1294083"/>
    <n v="1291414"/>
    <n v="1269803"/>
    <n v="1228209"/>
    <n v="1190439"/>
    <n v="1146147"/>
    <n v="1112532"/>
    <n v="1079529"/>
    <n v="1040463"/>
    <n v="987951"/>
    <s v="Winter"/>
    <x v="1"/>
    <s v="Commercial"/>
    <s v="Cooling"/>
  </r>
  <r>
    <x v="10"/>
    <n v="2019"/>
    <n v="20"/>
    <s v="China +"/>
    <x v="0"/>
    <n v="221000000"/>
    <n v="202000000"/>
    <n v="182000000"/>
    <n v="190000000"/>
    <n v="199000000"/>
    <n v="203000000"/>
    <n v="295000000"/>
    <n v="626000000"/>
    <n v="666000000"/>
    <n v="480000000"/>
    <n v="401000000"/>
    <n v="353000000"/>
    <n v="312000000"/>
    <n v="293000000"/>
    <n v="274000000"/>
    <n v="264000000"/>
    <n v="259000000"/>
    <n v="263000000"/>
    <n v="304000000"/>
    <n v="342000000"/>
    <n v="364000000"/>
    <n v="393000000"/>
    <n v="394000000"/>
    <n v="181000000"/>
    <s v="Winter"/>
    <x v="0"/>
    <s v="Commercial"/>
    <s v="Heating"/>
  </r>
  <r>
    <x v="10"/>
    <n v="2019"/>
    <n v="20"/>
    <s v="China +"/>
    <x v="1"/>
    <n v="181000000"/>
    <n v="166000000"/>
    <n v="149000000"/>
    <n v="154000000"/>
    <n v="164000000"/>
    <n v="165000000"/>
    <n v="249000000"/>
    <n v="533000000"/>
    <n v="556000000"/>
    <n v="392000000"/>
    <n v="322000000"/>
    <n v="280000000"/>
    <n v="245000000"/>
    <n v="228000000"/>
    <n v="213000000"/>
    <n v="204000000"/>
    <n v="199000000"/>
    <n v="197000000"/>
    <n v="229000000"/>
    <n v="266000000"/>
    <n v="290000000"/>
    <n v="319000000"/>
    <n v="318000000"/>
    <n v="156000000"/>
    <s v="Winter"/>
    <x v="0"/>
    <s v="Commercial"/>
    <s v="Heating"/>
  </r>
  <r>
    <x v="10"/>
    <n v="2019"/>
    <n v="20"/>
    <s v="China +"/>
    <x v="2"/>
    <n v="135000000"/>
    <n v="120000000"/>
    <n v="115000000"/>
    <n v="119000000"/>
    <n v="121000000"/>
    <n v="169000000"/>
    <n v="296000000"/>
    <n v="417000000"/>
    <n v="347000000"/>
    <n v="257000000"/>
    <n v="212000000"/>
    <n v="180000000"/>
    <n v="160000000"/>
    <n v="147000000"/>
    <n v="137000000"/>
    <n v="128000000"/>
    <n v="120000000"/>
    <n v="125000000"/>
    <n v="144000000"/>
    <n v="172000000"/>
    <n v="202000000"/>
    <n v="178000000"/>
    <n v="156000000"/>
    <n v="131000000"/>
    <s v="Spring"/>
    <x v="0"/>
    <s v="Commercial"/>
    <s v="Heating"/>
  </r>
  <r>
    <x v="10"/>
    <n v="2019"/>
    <n v="20"/>
    <s v="China +"/>
    <x v="3"/>
    <n v="68500000"/>
    <n v="61200000"/>
    <n v="62100000"/>
    <n v="63100000"/>
    <n v="61500000"/>
    <n v="103000000"/>
    <n v="190000000"/>
    <n v="159000000"/>
    <n v="107000000"/>
    <n v="83500000"/>
    <n v="69100000"/>
    <n v="56800000"/>
    <n v="51200000"/>
    <n v="46900000"/>
    <n v="43600000"/>
    <n v="40300000"/>
    <n v="36400000"/>
    <n v="40000000"/>
    <n v="45600000"/>
    <n v="54500000"/>
    <n v="70100000"/>
    <n v="53000000"/>
    <n v="48400000"/>
    <n v="48400000"/>
    <s v="Spring"/>
    <x v="0"/>
    <s v="Commercial"/>
    <s v="Heating"/>
  </r>
  <r>
    <x v="10"/>
    <n v="2019"/>
    <n v="20"/>
    <s v="China +"/>
    <x v="4"/>
    <n v="11500000"/>
    <n v="10800000"/>
    <n v="11000000"/>
    <n v="11200000"/>
    <n v="10800000"/>
    <n v="17000000"/>
    <n v="42700000"/>
    <n v="33500000"/>
    <n v="21900000"/>
    <n v="17200000"/>
    <n v="14500000"/>
    <n v="12200000"/>
    <n v="11100000"/>
    <n v="10300000"/>
    <n v="9653035"/>
    <n v="8959085"/>
    <n v="8187129"/>
    <n v="8727635"/>
    <n v="9834550"/>
    <n v="11500000"/>
    <n v="15300000"/>
    <n v="13500000"/>
    <n v="10400000"/>
    <n v="11100000"/>
    <s v="Spring"/>
    <x v="0"/>
    <s v="Commercial"/>
    <s v="Heating"/>
  </r>
  <r>
    <x v="10"/>
    <n v="2019"/>
    <n v="20"/>
    <s v="China +"/>
    <x v="5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n v="3957070"/>
    <s v="Summer"/>
    <x v="0"/>
    <s v="Commercial"/>
    <s v="Heating"/>
  </r>
  <r>
    <x v="10"/>
    <n v="2019"/>
    <n v="20"/>
    <s v="China +"/>
    <x v="6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n v="1855527"/>
    <s v="Summer"/>
    <x v="0"/>
    <s v="Commercial"/>
    <s v="Heating"/>
  </r>
  <r>
    <x v="10"/>
    <n v="2019"/>
    <n v="20"/>
    <s v="China +"/>
    <x v="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n v="2458037"/>
    <s v="Summer"/>
    <x v="0"/>
    <s v="Commercial"/>
    <s v="Heating"/>
  </r>
  <r>
    <x v="10"/>
    <n v="2019"/>
    <n v="20"/>
    <s v="China +"/>
    <x v="8"/>
    <n v="19700000"/>
    <n v="19100000"/>
    <n v="19500000"/>
    <n v="19900000"/>
    <n v="19200000"/>
    <n v="29200000"/>
    <n v="29400000"/>
    <n v="25900000"/>
    <n v="16600000"/>
    <n v="12300000"/>
    <n v="9804806"/>
    <n v="8051819"/>
    <n v="7235626"/>
    <n v="6607815"/>
    <n v="6138650"/>
    <n v="5703118"/>
    <n v="5373388"/>
    <n v="5734862"/>
    <n v="6948868"/>
    <n v="8605936"/>
    <n v="11600000"/>
    <n v="10900000"/>
    <n v="13500000"/>
    <n v="14300000"/>
    <s v="Fall"/>
    <x v="0"/>
    <s v="Commercial"/>
    <s v="Heating"/>
  </r>
  <r>
    <x v="10"/>
    <n v="2019"/>
    <n v="20"/>
    <s v="China +"/>
    <x v="9"/>
    <n v="57900000"/>
    <n v="52100000"/>
    <n v="52800000"/>
    <n v="53600000"/>
    <n v="52100000"/>
    <n v="86800000"/>
    <n v="149000000"/>
    <n v="135000000"/>
    <n v="92600000"/>
    <n v="70600000"/>
    <n v="56800000"/>
    <n v="46000000"/>
    <n v="41300000"/>
    <n v="37600000"/>
    <n v="35000000"/>
    <n v="32700000"/>
    <n v="30600000"/>
    <n v="35500000"/>
    <n v="44100000"/>
    <n v="52800000"/>
    <n v="64700000"/>
    <n v="47900000"/>
    <n v="41700000"/>
    <n v="43800000"/>
    <s v="Fall"/>
    <x v="0"/>
    <s v="Commercial"/>
    <s v="Heating"/>
  </r>
  <r>
    <x v="10"/>
    <n v="2019"/>
    <n v="20"/>
    <s v="China +"/>
    <x v="10"/>
    <n v="126000000"/>
    <n v="116000000"/>
    <n v="103000000"/>
    <n v="105000000"/>
    <n v="107000000"/>
    <n v="114000000"/>
    <n v="118000000"/>
    <n v="376000000"/>
    <n v="333000000"/>
    <n v="232000000"/>
    <n v="186000000"/>
    <n v="159000000"/>
    <n v="138000000"/>
    <n v="128000000"/>
    <n v="120000000"/>
    <n v="116000000"/>
    <n v="115000000"/>
    <n v="121000000"/>
    <n v="147000000"/>
    <n v="169000000"/>
    <n v="185000000"/>
    <n v="198000000"/>
    <n v="194000000"/>
    <n v="118000000"/>
    <s v="Winter"/>
    <x v="0"/>
    <s v="Commercial"/>
    <s v="Heating"/>
  </r>
  <r>
    <x v="10"/>
    <n v="2019"/>
    <n v="20"/>
    <s v="China +"/>
    <x v="11"/>
    <n v="197000000"/>
    <n v="179000000"/>
    <n v="160000000"/>
    <n v="164000000"/>
    <n v="173000000"/>
    <n v="174000000"/>
    <n v="197000000"/>
    <n v="571000000"/>
    <n v="586000000"/>
    <n v="420000000"/>
    <n v="346000000"/>
    <n v="302000000"/>
    <n v="265000000"/>
    <n v="249000000"/>
    <n v="235000000"/>
    <n v="227000000"/>
    <n v="226000000"/>
    <n v="234000000"/>
    <n v="273000000"/>
    <n v="306000000"/>
    <n v="325000000"/>
    <n v="352000000"/>
    <n v="350000000"/>
    <n v="169000000"/>
    <s v="Winter"/>
    <x v="0"/>
    <s v="Commercial"/>
    <s v="Heating"/>
  </r>
  <r>
    <x v="11"/>
    <n v="2019"/>
    <n v="20"/>
    <s v="China +"/>
    <x v="0"/>
    <n v="67100000"/>
    <n v="66000000"/>
    <n v="59300000"/>
    <n v="63300000"/>
    <n v="65200000"/>
    <n v="68800000"/>
    <n v="80300000"/>
    <n v="155000000"/>
    <n v="198000000"/>
    <n v="163000000"/>
    <n v="139000000"/>
    <n v="124000000"/>
    <n v="112000000"/>
    <n v="104000000"/>
    <n v="98400000"/>
    <n v="101000000"/>
    <n v="100000000"/>
    <n v="108000000"/>
    <n v="125000000"/>
    <n v="86600000"/>
    <n v="87300000"/>
    <n v="94600000"/>
    <n v="96600000"/>
    <n v="81200000"/>
    <s v="Winter"/>
    <x v="1"/>
    <s v="Commercial"/>
    <s v="Heating"/>
  </r>
  <r>
    <x v="11"/>
    <n v="2019"/>
    <n v="20"/>
    <s v="China +"/>
    <x v="1"/>
    <n v="57100000"/>
    <n v="52800000"/>
    <n v="47500000"/>
    <n v="49700000"/>
    <n v="52700000"/>
    <n v="54400000"/>
    <n v="66200000"/>
    <n v="136000000"/>
    <n v="172000000"/>
    <n v="135000000"/>
    <n v="114000000"/>
    <n v="99600000"/>
    <n v="90100000"/>
    <n v="82500000"/>
    <n v="77700000"/>
    <n v="79300000"/>
    <n v="77800000"/>
    <n v="82000000"/>
    <n v="96400000"/>
    <n v="66200000"/>
    <n v="68600000"/>
    <n v="74700000"/>
    <n v="77000000"/>
    <n v="63100000"/>
    <s v="Winter"/>
    <x v="1"/>
    <s v="Commercial"/>
    <s v="Heating"/>
  </r>
  <r>
    <x v="11"/>
    <n v="2019"/>
    <n v="20"/>
    <s v="China +"/>
    <x v="2"/>
    <n v="41500000"/>
    <n v="36700000"/>
    <n v="35300000"/>
    <n v="36400000"/>
    <n v="37500000"/>
    <n v="42700000"/>
    <n v="72700000"/>
    <n v="109000000"/>
    <n v="110000000"/>
    <n v="87700000"/>
    <n v="73700000"/>
    <n v="64800000"/>
    <n v="58400000"/>
    <n v="54100000"/>
    <n v="52600000"/>
    <n v="51300000"/>
    <n v="50400000"/>
    <n v="54500000"/>
    <n v="54700000"/>
    <n v="46200000"/>
    <n v="50800000"/>
    <n v="53200000"/>
    <n v="48200000"/>
    <n v="45100000"/>
    <s v="Spring"/>
    <x v="1"/>
    <s v="Commercial"/>
    <s v="Heating"/>
  </r>
  <r>
    <x v="11"/>
    <n v="2019"/>
    <n v="20"/>
    <s v="China +"/>
    <x v="3"/>
    <n v="18300000"/>
    <n v="16400000"/>
    <n v="16600000"/>
    <n v="16900000"/>
    <n v="16900000"/>
    <n v="20000000"/>
    <n v="40200000"/>
    <n v="42700000"/>
    <n v="34800000"/>
    <n v="29400000"/>
    <n v="25300000"/>
    <n v="22500000"/>
    <n v="20500000"/>
    <n v="19300000"/>
    <n v="19300000"/>
    <n v="17400000"/>
    <n v="17400000"/>
    <n v="19300000"/>
    <n v="17200000"/>
    <n v="18600000"/>
    <n v="21600000"/>
    <n v="22000000"/>
    <n v="18800000"/>
    <n v="19800000"/>
    <s v="Spring"/>
    <x v="1"/>
    <s v="Commercial"/>
    <s v="Heating"/>
  </r>
  <r>
    <x v="11"/>
    <n v="2019"/>
    <n v="20"/>
    <s v="China +"/>
    <x v="4"/>
    <n v="4504500"/>
    <n v="4245247"/>
    <n v="4320999"/>
    <n v="4393211"/>
    <n v="4349707"/>
    <n v="4913871"/>
    <n v="7607855"/>
    <n v="7792532"/>
    <n v="6351653"/>
    <n v="5398964"/>
    <n v="4707610"/>
    <n v="4261300"/>
    <n v="3917455"/>
    <n v="3697094"/>
    <n v="3637926"/>
    <n v="3209188"/>
    <n v="3185704"/>
    <n v="3467756"/>
    <n v="3511457"/>
    <n v="3816907"/>
    <n v="4563842"/>
    <n v="4646906"/>
    <n v="4361812"/>
    <n v="4597259"/>
    <s v="Spring"/>
    <x v="1"/>
    <s v="Commercial"/>
    <s v="Heating"/>
  </r>
  <r>
    <x v="11"/>
    <n v="2019"/>
    <n v="20"/>
    <s v="China +"/>
    <x v="5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n v="1263178"/>
    <s v="Summer"/>
    <x v="1"/>
    <s v="Commercial"/>
    <s v="Heating"/>
  </r>
  <r>
    <x v="11"/>
    <n v="2019"/>
    <n v="20"/>
    <s v="China +"/>
    <x v="6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n v="592322"/>
    <s v="Summer"/>
    <x v="1"/>
    <s v="Commercial"/>
    <s v="Heating"/>
  </r>
  <r>
    <x v="11"/>
    <n v="2019"/>
    <n v="20"/>
    <s v="China +"/>
    <x v="7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n v="784656"/>
    <s v="Summer"/>
    <x v="1"/>
    <s v="Commercial"/>
    <s v="Heating"/>
  </r>
  <r>
    <x v="11"/>
    <n v="2019"/>
    <n v="20"/>
    <s v="China +"/>
    <x v="8"/>
    <n v="4509530"/>
    <n v="4390663"/>
    <n v="4487247"/>
    <n v="4578738"/>
    <n v="4530064"/>
    <n v="4961106"/>
    <n v="7113485"/>
    <n v="7991176"/>
    <n v="6297097"/>
    <n v="5136819"/>
    <n v="4333247"/>
    <n v="3843667"/>
    <n v="3502266"/>
    <n v="3287363"/>
    <n v="3216849"/>
    <n v="2753150"/>
    <n v="2780827"/>
    <n v="3094858"/>
    <n v="3267302"/>
    <n v="3683424"/>
    <n v="4434166"/>
    <n v="4485716"/>
    <n v="4426097"/>
    <n v="4636404"/>
    <s v="Fall"/>
    <x v="1"/>
    <s v="Commercial"/>
    <s v="Heating"/>
  </r>
  <r>
    <x v="11"/>
    <n v="2019"/>
    <n v="20"/>
    <s v="China +"/>
    <x v="9"/>
    <n v="15600000"/>
    <n v="14000000"/>
    <n v="14200000"/>
    <n v="14400000"/>
    <n v="14300000"/>
    <n v="16800000"/>
    <n v="33000000"/>
    <n v="36600000"/>
    <n v="30100000"/>
    <n v="24600000"/>
    <n v="20700000"/>
    <n v="18400000"/>
    <n v="16700000"/>
    <n v="15700000"/>
    <n v="15800000"/>
    <n v="14400000"/>
    <n v="14600000"/>
    <n v="17000000"/>
    <n v="15500000"/>
    <n v="16900000"/>
    <n v="19200000"/>
    <n v="19200000"/>
    <n v="16300000"/>
    <n v="17100000"/>
    <s v="Fall"/>
    <x v="1"/>
    <s v="Commercial"/>
    <s v="Heating"/>
  </r>
  <r>
    <x v="11"/>
    <n v="2019"/>
    <n v="20"/>
    <s v="China +"/>
    <x v="10"/>
    <n v="38700000"/>
    <n v="35400000"/>
    <n v="32000000"/>
    <n v="32800000"/>
    <n v="33700000"/>
    <n v="35500000"/>
    <n v="52600000"/>
    <n v="88400000"/>
    <n v="91600000"/>
    <n v="75500000"/>
    <n v="64200000"/>
    <n v="56400000"/>
    <n v="51100000"/>
    <n v="47100000"/>
    <n v="45300000"/>
    <n v="45500000"/>
    <n v="45900000"/>
    <n v="51400000"/>
    <n v="56700000"/>
    <n v="47400000"/>
    <n v="49000000"/>
    <n v="51900000"/>
    <n v="50000000"/>
    <n v="42300000"/>
    <s v="Winter"/>
    <x v="1"/>
    <s v="Commercial"/>
    <s v="Heating"/>
  </r>
  <r>
    <x v="11"/>
    <n v="2019"/>
    <n v="20"/>
    <s v="China +"/>
    <x v="11"/>
    <n v="58900000"/>
    <n v="54100000"/>
    <n v="48400000"/>
    <n v="50300000"/>
    <n v="53000000"/>
    <n v="54600000"/>
    <n v="66200000"/>
    <n v="140000000"/>
    <n v="175000000"/>
    <n v="141000000"/>
    <n v="120000000"/>
    <n v="107000000"/>
    <n v="97400000"/>
    <n v="90500000"/>
    <n v="86400000"/>
    <n v="89800000"/>
    <n v="90500000"/>
    <n v="99400000"/>
    <n v="116000000"/>
    <n v="76500000"/>
    <n v="77800000"/>
    <n v="83600000"/>
    <n v="85800000"/>
    <n v="70000000"/>
    <s v="Winter"/>
    <x v="1"/>
    <s v="Commercial"/>
    <s v="Heating"/>
  </r>
  <r>
    <x v="12"/>
    <n v="2019"/>
    <n v="20"/>
    <s v="China +"/>
    <x v="0"/>
    <n v="17000000"/>
    <n v="12900000"/>
    <n v="11400000"/>
    <n v="11400000"/>
    <n v="13300000"/>
    <n v="19900000"/>
    <n v="32800000"/>
    <n v="48900000"/>
    <n v="51500000"/>
    <n v="44300000"/>
    <n v="38100000"/>
    <n v="33100000"/>
    <n v="31200000"/>
    <n v="31400000"/>
    <n v="30100000"/>
    <n v="28900000"/>
    <n v="24700000"/>
    <n v="24600000"/>
    <n v="35600000"/>
    <n v="35300000"/>
    <n v="30800000"/>
    <n v="37200000"/>
    <n v="35600000"/>
    <n v="24000000"/>
    <s v="Winter"/>
    <x v="0"/>
    <s v="Commercial"/>
    <s v="Appliances"/>
  </r>
  <r>
    <x v="12"/>
    <n v="2019"/>
    <n v="20"/>
    <s v="China +"/>
    <x v="1"/>
    <n v="15900000"/>
    <n v="12100000"/>
    <n v="10700000"/>
    <n v="10700000"/>
    <n v="12400000"/>
    <n v="18600000"/>
    <n v="30600000"/>
    <n v="45700000"/>
    <n v="48100000"/>
    <n v="41300000"/>
    <n v="35500000"/>
    <n v="30900000"/>
    <n v="29200000"/>
    <n v="29300000"/>
    <n v="28100000"/>
    <n v="27000000"/>
    <n v="23000000"/>
    <n v="23000000"/>
    <n v="33300000"/>
    <n v="33000000"/>
    <n v="28700000"/>
    <n v="34700000"/>
    <n v="33300000"/>
    <n v="22400000"/>
    <s v="Winter"/>
    <x v="0"/>
    <s v="Commercial"/>
    <s v="Appliances"/>
  </r>
  <r>
    <x v="12"/>
    <n v="2019"/>
    <n v="20"/>
    <s v="China +"/>
    <x v="2"/>
    <n v="14500000"/>
    <n v="11000000"/>
    <n v="9710607"/>
    <n v="9688289"/>
    <n v="11300000"/>
    <n v="16900000"/>
    <n v="27800000"/>
    <n v="41500000"/>
    <n v="43700000"/>
    <n v="37600000"/>
    <n v="32300000"/>
    <n v="28100000"/>
    <n v="26500000"/>
    <n v="26600000"/>
    <n v="25600000"/>
    <n v="24600000"/>
    <n v="21000000"/>
    <n v="20900000"/>
    <n v="30300000"/>
    <n v="30000000"/>
    <n v="26100000"/>
    <n v="31600000"/>
    <n v="30200000"/>
    <n v="20400000"/>
    <s v="Spring"/>
    <x v="0"/>
    <s v="Commercial"/>
    <s v="Appliances"/>
  </r>
  <r>
    <x v="12"/>
    <n v="2019"/>
    <n v="20"/>
    <s v="China +"/>
    <x v="3"/>
    <n v="12500000"/>
    <n v="9449205"/>
    <n v="8371056"/>
    <n v="8351817"/>
    <n v="9736495"/>
    <n v="14600000"/>
    <n v="24000000"/>
    <n v="35800000"/>
    <n v="37700000"/>
    <n v="32400000"/>
    <n v="27900000"/>
    <n v="24300000"/>
    <n v="22900000"/>
    <n v="23000000"/>
    <n v="22000000"/>
    <n v="21200000"/>
    <n v="18100000"/>
    <n v="18000000"/>
    <n v="26100000"/>
    <n v="25900000"/>
    <n v="22500000"/>
    <n v="27200000"/>
    <n v="26100000"/>
    <n v="17500000"/>
    <s v="Spring"/>
    <x v="0"/>
    <s v="Commercial"/>
    <s v="Appliances"/>
  </r>
  <r>
    <x v="12"/>
    <n v="2019"/>
    <n v="20"/>
    <s v="China +"/>
    <x v="4"/>
    <n v="11500000"/>
    <n v="8688029"/>
    <n v="7696730"/>
    <n v="7679040"/>
    <n v="8952177"/>
    <n v="13400000"/>
    <n v="22100000"/>
    <n v="32900000"/>
    <n v="34700000"/>
    <n v="29800000"/>
    <n v="25600000"/>
    <n v="22300000"/>
    <n v="21000000"/>
    <n v="21100000"/>
    <n v="20300000"/>
    <n v="19500000"/>
    <n v="16600000"/>
    <n v="16600000"/>
    <n v="24000000"/>
    <n v="23800000"/>
    <n v="20700000"/>
    <n v="25000000"/>
    <n v="24000000"/>
    <n v="16100000"/>
    <s v="Spring"/>
    <x v="0"/>
    <s v="Commercial"/>
    <s v="Appliances"/>
  </r>
  <r>
    <x v="12"/>
    <n v="2019"/>
    <n v="20"/>
    <s v="China +"/>
    <x v="5"/>
    <n v="11300000"/>
    <n v="8545089"/>
    <n v="7570099"/>
    <n v="7552700"/>
    <n v="8804890"/>
    <n v="13200000"/>
    <n v="21700000"/>
    <n v="32400000"/>
    <n v="34100000"/>
    <n v="29300000"/>
    <n v="25200000"/>
    <n v="21900000"/>
    <n v="20700000"/>
    <n v="20800000"/>
    <n v="19900000"/>
    <n v="19200000"/>
    <n v="16300000"/>
    <n v="16300000"/>
    <n v="23600000"/>
    <n v="23400000"/>
    <n v="20400000"/>
    <n v="24600000"/>
    <n v="23600000"/>
    <n v="15900000"/>
    <s v="Summer"/>
    <x v="0"/>
    <s v="Commercial"/>
    <s v="Appliances"/>
  </r>
  <r>
    <x v="12"/>
    <n v="2019"/>
    <n v="20"/>
    <s v="China +"/>
    <x v="6"/>
    <n v="11200000"/>
    <n v="8516010"/>
    <n v="7544338"/>
    <n v="7526999"/>
    <n v="8774927"/>
    <n v="13100000"/>
    <n v="21600000"/>
    <n v="32300000"/>
    <n v="34000000"/>
    <n v="29200000"/>
    <n v="25100000"/>
    <n v="21900000"/>
    <n v="20600000"/>
    <n v="20700000"/>
    <n v="19900000"/>
    <n v="19100000"/>
    <n v="16300000"/>
    <n v="16200000"/>
    <n v="23500000"/>
    <n v="23300000"/>
    <n v="20300000"/>
    <n v="24600000"/>
    <n v="23500000"/>
    <n v="15800000"/>
    <s v="Summer"/>
    <x v="0"/>
    <s v="Commercial"/>
    <s v="Appliances"/>
  </r>
  <r>
    <x v="12"/>
    <n v="2019"/>
    <n v="20"/>
    <s v="China +"/>
    <x v="7"/>
    <n v="11200000"/>
    <n v="8524347"/>
    <n v="7551724"/>
    <n v="7534367"/>
    <n v="8783518"/>
    <n v="13200000"/>
    <n v="21600000"/>
    <n v="32300000"/>
    <n v="34000000"/>
    <n v="29200000"/>
    <n v="25100000"/>
    <n v="21900000"/>
    <n v="20600000"/>
    <n v="20700000"/>
    <n v="19900000"/>
    <n v="19100000"/>
    <n v="16300000"/>
    <n v="16300000"/>
    <n v="23500000"/>
    <n v="23300000"/>
    <n v="20300000"/>
    <n v="24600000"/>
    <n v="23500000"/>
    <n v="15800000"/>
    <s v="Summer"/>
    <x v="0"/>
    <s v="Commercial"/>
    <s v="Appliances"/>
  </r>
  <r>
    <x v="12"/>
    <n v="2019"/>
    <n v="20"/>
    <s v="China +"/>
    <x v="8"/>
    <n v="11400000"/>
    <n v="8681311"/>
    <n v="7690779"/>
    <n v="7673103"/>
    <n v="8945254"/>
    <n v="13400000"/>
    <n v="22000000"/>
    <n v="32900000"/>
    <n v="34600000"/>
    <n v="29800000"/>
    <n v="25600000"/>
    <n v="22300000"/>
    <n v="21000000"/>
    <n v="21100000"/>
    <n v="20200000"/>
    <n v="19500000"/>
    <n v="16600000"/>
    <n v="16600000"/>
    <n v="24000000"/>
    <n v="23800000"/>
    <n v="20700000"/>
    <n v="25000000"/>
    <n v="24000000"/>
    <n v="16100000"/>
    <s v="Fall"/>
    <x v="0"/>
    <s v="Commercial"/>
    <s v="Appliances"/>
  </r>
  <r>
    <x v="12"/>
    <n v="2019"/>
    <n v="20"/>
    <s v="China +"/>
    <x v="9"/>
    <n v="12300000"/>
    <n v="9304903"/>
    <n v="8243220"/>
    <n v="8224274"/>
    <n v="9587806"/>
    <n v="14400000"/>
    <n v="23600000"/>
    <n v="35300000"/>
    <n v="37100000"/>
    <n v="31900000"/>
    <n v="27400000"/>
    <n v="23900000"/>
    <n v="22500000"/>
    <n v="22600000"/>
    <n v="21700000"/>
    <n v="20900000"/>
    <n v="17800000"/>
    <n v="17700000"/>
    <n v="25700000"/>
    <n v="25500000"/>
    <n v="22200000"/>
    <n v="26800000"/>
    <n v="25700000"/>
    <n v="17300000"/>
    <s v="Fall"/>
    <x v="0"/>
    <s v="Commercial"/>
    <s v="Appliances"/>
  </r>
  <r>
    <x v="12"/>
    <n v="2019"/>
    <n v="20"/>
    <s v="China +"/>
    <x v="10"/>
    <n v="14100000"/>
    <n v="10700000"/>
    <n v="9474081"/>
    <n v="9452307"/>
    <n v="11000000"/>
    <n v="16500000"/>
    <n v="27100000"/>
    <n v="40500000"/>
    <n v="42700000"/>
    <n v="36700000"/>
    <n v="31500000"/>
    <n v="27500000"/>
    <n v="25900000"/>
    <n v="26000000"/>
    <n v="24900000"/>
    <n v="24000000"/>
    <n v="20500000"/>
    <n v="20400000"/>
    <n v="29500000"/>
    <n v="29300000"/>
    <n v="25500000"/>
    <n v="30800000"/>
    <n v="29500000"/>
    <n v="19900000"/>
    <s v="Winter"/>
    <x v="0"/>
    <s v="Commercial"/>
    <s v="Appliances"/>
  </r>
  <r>
    <x v="12"/>
    <n v="2019"/>
    <n v="20"/>
    <s v="China +"/>
    <x v="11"/>
    <n v="16300000"/>
    <n v="12300000"/>
    <n v="10900000"/>
    <n v="10900000"/>
    <n v="12700000"/>
    <n v="19000000"/>
    <n v="31300000"/>
    <n v="46800000"/>
    <n v="49200000"/>
    <n v="42300000"/>
    <n v="36400000"/>
    <n v="31700000"/>
    <n v="29900000"/>
    <n v="30000000"/>
    <n v="28800000"/>
    <n v="27700000"/>
    <n v="23600000"/>
    <n v="23500000"/>
    <n v="34100000"/>
    <n v="33800000"/>
    <n v="29400000"/>
    <n v="35600000"/>
    <n v="34100000"/>
    <n v="22900000"/>
    <s v="Winter"/>
    <x v="0"/>
    <s v="Commercial"/>
    <s v="Appliances"/>
  </r>
  <r>
    <x v="13"/>
    <n v="2019"/>
    <n v="20"/>
    <s v="China +"/>
    <x v="0"/>
    <n v="9275227"/>
    <n v="6768905"/>
    <n v="5995559"/>
    <n v="5990188"/>
    <n v="6945460"/>
    <n v="8615240"/>
    <n v="11400000"/>
    <n v="17600000"/>
    <n v="26400000"/>
    <n v="25700000"/>
    <n v="20600000"/>
    <n v="17300000"/>
    <n v="14000000"/>
    <n v="12600000"/>
    <n v="12400000"/>
    <n v="12200000"/>
    <n v="10300000"/>
    <n v="10000000"/>
    <n v="11500000"/>
    <n v="13900000"/>
    <n v="15000000"/>
    <n v="15600000"/>
    <n v="19100000"/>
    <n v="15900000"/>
    <s v="Winter"/>
    <x v="1"/>
    <s v="Commercial"/>
    <s v="Appliances"/>
  </r>
  <r>
    <x v="13"/>
    <n v="2019"/>
    <n v="20"/>
    <s v="China +"/>
    <x v="1"/>
    <n v="8661345"/>
    <n v="6320905"/>
    <n v="5598743"/>
    <n v="5593728"/>
    <n v="6485774"/>
    <n v="8045041"/>
    <n v="10700000"/>
    <n v="16500000"/>
    <n v="24700000"/>
    <n v="24000000"/>
    <n v="19300000"/>
    <n v="16100000"/>
    <n v="13000000"/>
    <n v="11800000"/>
    <n v="11500000"/>
    <n v="11400000"/>
    <n v="9609257"/>
    <n v="9375654"/>
    <n v="10700000"/>
    <n v="13000000"/>
    <n v="14000000"/>
    <n v="14600000"/>
    <n v="17900000"/>
    <n v="14900000"/>
    <s v="Winter"/>
    <x v="1"/>
    <s v="Commercial"/>
    <s v="Appliances"/>
  </r>
  <r>
    <x v="13"/>
    <n v="2019"/>
    <n v="20"/>
    <s v="China +"/>
    <x v="2"/>
    <n v="7877278"/>
    <n v="5748706"/>
    <n v="5091917"/>
    <n v="5087356"/>
    <n v="5898650"/>
    <n v="7316764"/>
    <n v="9717290"/>
    <n v="15000000"/>
    <n v="22500000"/>
    <n v="21800000"/>
    <n v="17500000"/>
    <n v="14700000"/>
    <n v="11900000"/>
    <n v="10700000"/>
    <n v="10500000"/>
    <n v="10400000"/>
    <n v="8739381"/>
    <n v="8526924"/>
    <n v="9740258"/>
    <n v="11800000"/>
    <n v="12700000"/>
    <n v="13300000"/>
    <n v="16200000"/>
    <n v="13500000"/>
    <s v="Spring"/>
    <x v="1"/>
    <s v="Commercial"/>
    <s v="Appliances"/>
  </r>
  <r>
    <x v="13"/>
    <n v="2019"/>
    <n v="20"/>
    <s v="China +"/>
    <x v="3"/>
    <n v="6790630"/>
    <n v="4955688"/>
    <n v="4389501"/>
    <n v="4385569"/>
    <n v="5084948"/>
    <n v="6307437"/>
    <n v="8376817"/>
    <n v="12900000"/>
    <n v="19400000"/>
    <n v="18800000"/>
    <n v="15100000"/>
    <n v="12600000"/>
    <n v="10200000"/>
    <n v="9229640"/>
    <n v="9049440"/>
    <n v="8924656"/>
    <n v="7533808"/>
    <n v="7350659"/>
    <n v="8396616"/>
    <n v="10200000"/>
    <n v="11000000"/>
    <n v="11400000"/>
    <n v="14000000"/>
    <n v="11600000"/>
    <s v="Spring"/>
    <x v="1"/>
    <s v="Commercial"/>
    <s v="Appliances"/>
  </r>
  <r>
    <x v="13"/>
    <n v="2019"/>
    <n v="20"/>
    <s v="China +"/>
    <x v="4"/>
    <n v="6243614"/>
    <n v="4556485"/>
    <n v="4035907"/>
    <n v="4032292"/>
    <n v="4675333"/>
    <n v="5799344"/>
    <n v="7702027"/>
    <n v="11900000"/>
    <n v="17800000"/>
    <n v="17300000"/>
    <n v="13900000"/>
    <n v="11600000"/>
    <n v="9393084"/>
    <n v="8486152"/>
    <n v="8320468"/>
    <n v="8205735"/>
    <n v="6926925"/>
    <n v="6758530"/>
    <n v="7720232"/>
    <n v="9366025"/>
    <n v="10100000"/>
    <n v="10500000"/>
    <n v="12900000"/>
    <n v="10700000"/>
    <s v="Spring"/>
    <x v="1"/>
    <s v="Commercial"/>
    <s v="Appliances"/>
  </r>
  <r>
    <x v="13"/>
    <n v="2019"/>
    <n v="20"/>
    <s v="China +"/>
    <x v="5"/>
    <n v="6140890"/>
    <n v="4481519"/>
    <n v="3969506"/>
    <n v="3965951"/>
    <n v="4598412"/>
    <n v="5703930"/>
    <n v="7575309"/>
    <n v="11700000"/>
    <n v="17500000"/>
    <n v="17000000"/>
    <n v="13700000"/>
    <n v="11400000"/>
    <n v="9238544"/>
    <n v="8346533"/>
    <n v="8183574"/>
    <n v="8070730"/>
    <n v="6812960"/>
    <n v="6647335"/>
    <n v="7593214"/>
    <n v="9211930"/>
    <n v="9909773"/>
    <n v="10300000"/>
    <n v="12700000"/>
    <n v="10500000"/>
    <s v="Summer"/>
    <x v="1"/>
    <s v="Commercial"/>
    <s v="Appliances"/>
  </r>
  <r>
    <x v="13"/>
    <n v="2019"/>
    <n v="20"/>
    <s v="China +"/>
    <x v="6"/>
    <n v="6119993"/>
    <n v="4466269"/>
    <n v="3955998"/>
    <n v="3952455"/>
    <n v="4582763"/>
    <n v="5684520"/>
    <n v="7549530"/>
    <n v="11600000"/>
    <n v="17400000"/>
    <n v="17000000"/>
    <n v="13600000"/>
    <n v="11400000"/>
    <n v="9207105"/>
    <n v="8318130"/>
    <n v="8155727"/>
    <n v="8043265"/>
    <n v="6789776"/>
    <n v="6624714"/>
    <n v="7567374"/>
    <n v="9180582"/>
    <n v="9876050"/>
    <n v="10300000"/>
    <n v="12600000"/>
    <n v="10500000"/>
    <s v="Summer"/>
    <x v="1"/>
    <s v="Commercial"/>
    <s v="Appliances"/>
  </r>
  <r>
    <x v="13"/>
    <n v="2019"/>
    <n v="20"/>
    <s v="China +"/>
    <x v="7"/>
    <n v="6125985"/>
    <n v="4470641"/>
    <n v="3959871"/>
    <n v="3956324"/>
    <n v="4587250"/>
    <n v="5690085"/>
    <n v="7556921"/>
    <n v="11600000"/>
    <n v="17500000"/>
    <n v="17000000"/>
    <n v="13600000"/>
    <n v="11400000"/>
    <n v="9216119"/>
    <n v="8326272"/>
    <n v="8163710"/>
    <n v="8051139"/>
    <n v="6796422"/>
    <n v="6631200"/>
    <n v="7574782"/>
    <n v="9189570"/>
    <n v="9885718"/>
    <n v="10300000"/>
    <n v="12600000"/>
    <n v="10500000"/>
    <s v="Summer"/>
    <x v="1"/>
    <s v="Commercial"/>
    <s v="Appliances"/>
  </r>
  <r>
    <x v="13"/>
    <n v="2019"/>
    <n v="20"/>
    <s v="China +"/>
    <x v="8"/>
    <n v="6238786"/>
    <n v="4552962"/>
    <n v="4032786"/>
    <n v="4029174"/>
    <n v="4671718"/>
    <n v="5794861"/>
    <n v="7696072"/>
    <n v="11900000"/>
    <n v="17800000"/>
    <n v="17300000"/>
    <n v="13900000"/>
    <n v="11600000"/>
    <n v="9385821"/>
    <n v="8479590"/>
    <n v="8314035"/>
    <n v="8199390"/>
    <n v="6921570"/>
    <n v="6753305"/>
    <n v="7714262"/>
    <n v="9358783"/>
    <n v="10100000"/>
    <n v="10500000"/>
    <n v="12900000"/>
    <n v="10700000"/>
    <s v="Fall"/>
    <x v="1"/>
    <s v="Commercial"/>
    <s v="Appliances"/>
  </r>
  <r>
    <x v="13"/>
    <n v="2019"/>
    <n v="20"/>
    <s v="China +"/>
    <x v="9"/>
    <n v="6686928"/>
    <n v="4880008"/>
    <n v="4322468"/>
    <n v="4318596"/>
    <n v="5007294"/>
    <n v="6211114"/>
    <n v="8248892"/>
    <n v="12700000"/>
    <n v="19100000"/>
    <n v="18500000"/>
    <n v="14900000"/>
    <n v="12400000"/>
    <n v="10100000"/>
    <n v="9088692"/>
    <n v="8911244"/>
    <n v="8788365"/>
    <n v="7418756"/>
    <n v="7238405"/>
    <n v="8268389"/>
    <n v="10000000"/>
    <n v="10800000"/>
    <n v="11300000"/>
    <n v="13800000"/>
    <n v="11500000"/>
    <s v="Fall"/>
    <x v="1"/>
    <s v="Commercial"/>
    <s v="Appliances"/>
  </r>
  <r>
    <x v="13"/>
    <n v="2019"/>
    <n v="20"/>
    <s v="China +"/>
    <x v="10"/>
    <n v="7685407"/>
    <n v="5608682"/>
    <n v="4967891"/>
    <n v="4963441"/>
    <n v="5754974"/>
    <n v="7138546"/>
    <n v="9480601"/>
    <n v="14600000"/>
    <n v="21900000"/>
    <n v="21300000"/>
    <n v="17100000"/>
    <n v="14300000"/>
    <n v="11600000"/>
    <n v="10400000"/>
    <n v="10200000"/>
    <n v="10100000"/>
    <n v="8526511"/>
    <n v="8319230"/>
    <n v="9503010"/>
    <n v="11500000"/>
    <n v="12400000"/>
    <n v="12900000"/>
    <n v="15900000"/>
    <n v="13200000"/>
    <s v="Winter"/>
    <x v="1"/>
    <s v="Commercial"/>
    <s v="Appliances"/>
  </r>
  <r>
    <x v="13"/>
    <n v="2019"/>
    <n v="20"/>
    <s v="China +"/>
    <x v="11"/>
    <n v="8869653"/>
    <n v="6472925"/>
    <n v="5733394"/>
    <n v="5728258"/>
    <n v="6641759"/>
    <n v="8238526"/>
    <n v="10900000"/>
    <n v="16900000"/>
    <n v="25300000"/>
    <n v="24600000"/>
    <n v="19700000"/>
    <n v="16500000"/>
    <n v="13300000"/>
    <n v="12100000"/>
    <n v="11800000"/>
    <n v="11700000"/>
    <n v="9840363"/>
    <n v="9601141"/>
    <n v="11000000"/>
    <n v="13300000"/>
    <n v="14300000"/>
    <n v="14900000"/>
    <n v="18300000"/>
    <n v="15200000"/>
    <s v="Winter"/>
    <x v="1"/>
    <s v="Commercial"/>
    <s v="Appliances"/>
  </r>
  <r>
    <x v="14"/>
    <n v="2019"/>
    <n v="20"/>
    <s v="China +"/>
    <x v="0"/>
    <n v="8720000000"/>
    <n v="8710000000"/>
    <n v="8710000000"/>
    <n v="8710000000"/>
    <n v="8730000000"/>
    <n v="8780000000"/>
    <n v="8860000000"/>
    <n v="8920000000"/>
    <n v="8950000000"/>
    <n v="8940000000"/>
    <n v="8910000000"/>
    <n v="8890000000"/>
    <n v="8870000000"/>
    <n v="8860000000"/>
    <n v="8870000000"/>
    <n v="8930000000"/>
    <n v="9000000000"/>
    <n v="9010000000"/>
    <n v="8970000000"/>
    <n v="8930000000"/>
    <n v="8880000000"/>
    <n v="8820000000"/>
    <n v="8770000000"/>
    <n v="8730000000"/>
    <s v="Winter"/>
    <x v="0"/>
    <s v="Industry"/>
    <s v="Industry"/>
  </r>
  <r>
    <x v="14"/>
    <n v="2019"/>
    <n v="20"/>
    <s v="China +"/>
    <x v="1"/>
    <n v="8720000000"/>
    <n v="8710000000"/>
    <n v="8710000000"/>
    <n v="8710000000"/>
    <n v="8730000000"/>
    <n v="8780000000"/>
    <n v="8860000000"/>
    <n v="8930000000"/>
    <n v="8950000000"/>
    <n v="8940000000"/>
    <n v="8920000000"/>
    <n v="8890000000"/>
    <n v="8870000000"/>
    <n v="8860000000"/>
    <n v="8870000000"/>
    <n v="8930000000"/>
    <n v="9000000000"/>
    <n v="9010000000"/>
    <n v="8980000000"/>
    <n v="8930000000"/>
    <n v="8880000000"/>
    <n v="8820000000"/>
    <n v="8770000000"/>
    <n v="8730000000"/>
    <s v="Winter"/>
    <x v="0"/>
    <s v="Industry"/>
    <s v="Industry"/>
  </r>
  <r>
    <x v="14"/>
    <n v="2019"/>
    <n v="20"/>
    <s v="China +"/>
    <x v="2"/>
    <n v="8780000000"/>
    <n v="8770000000"/>
    <n v="8760000000"/>
    <n v="8760000000"/>
    <n v="8790000000"/>
    <n v="8830000000"/>
    <n v="8910000000"/>
    <n v="8980000000"/>
    <n v="9000000000"/>
    <n v="8990000000"/>
    <n v="8970000000"/>
    <n v="8950000000"/>
    <n v="8920000000"/>
    <n v="8910000000"/>
    <n v="8920000000"/>
    <n v="8980000000"/>
    <n v="9050000000"/>
    <n v="9070000000"/>
    <n v="9030000000"/>
    <n v="8990000000"/>
    <n v="8940000000"/>
    <n v="8880000000"/>
    <n v="8820000000"/>
    <n v="8780000000"/>
    <s v="Spring"/>
    <x v="0"/>
    <s v="Industry"/>
    <s v="Industry"/>
  </r>
  <r>
    <x v="14"/>
    <n v="2019"/>
    <n v="20"/>
    <s v="China +"/>
    <x v="3"/>
    <n v="8410000000"/>
    <n v="8400000000"/>
    <n v="8400000000"/>
    <n v="8400000000"/>
    <n v="8420000000"/>
    <n v="8460000000"/>
    <n v="8540000000"/>
    <n v="8600000000"/>
    <n v="8620000000"/>
    <n v="8610000000"/>
    <n v="8590000000"/>
    <n v="8570000000"/>
    <n v="8550000000"/>
    <n v="8540000000"/>
    <n v="8550000000"/>
    <n v="8600000000"/>
    <n v="8660000000"/>
    <n v="8680000000"/>
    <n v="8640000000"/>
    <n v="8600000000"/>
    <n v="8560000000"/>
    <n v="8510000000"/>
    <n v="8450000000"/>
    <n v="8420000000"/>
    <s v="Spring"/>
    <x v="0"/>
    <s v="Industry"/>
    <s v="Industry"/>
  </r>
  <r>
    <x v="14"/>
    <n v="2019"/>
    <n v="20"/>
    <s v="China +"/>
    <x v="4"/>
    <n v="8530000000"/>
    <n v="8520000000"/>
    <n v="8510000000"/>
    <n v="8520000000"/>
    <n v="8540000000"/>
    <n v="8580000000"/>
    <n v="8660000000"/>
    <n v="8720000000"/>
    <n v="8750000000"/>
    <n v="8740000000"/>
    <n v="8710000000"/>
    <n v="8690000000"/>
    <n v="8670000000"/>
    <n v="8660000000"/>
    <n v="8670000000"/>
    <n v="8730000000"/>
    <n v="8790000000"/>
    <n v="8810000000"/>
    <n v="8770000000"/>
    <n v="8730000000"/>
    <n v="8680000000"/>
    <n v="8630000000"/>
    <n v="8570000000"/>
    <n v="8530000000"/>
    <s v="Spring"/>
    <x v="0"/>
    <s v="Industry"/>
    <s v="Industry"/>
  </r>
  <r>
    <x v="14"/>
    <n v="2019"/>
    <n v="20"/>
    <s v="China +"/>
    <x v="5"/>
    <n v="8700000000"/>
    <n v="8690000000"/>
    <n v="8680000000"/>
    <n v="8680000000"/>
    <n v="8700000000"/>
    <n v="8750000000"/>
    <n v="8830000000"/>
    <n v="8900000000"/>
    <n v="8930000000"/>
    <n v="8920000000"/>
    <n v="8890000000"/>
    <n v="8870000000"/>
    <n v="8850000000"/>
    <n v="8840000000"/>
    <n v="8850000000"/>
    <n v="8910000000"/>
    <n v="8980000000"/>
    <n v="8990000000"/>
    <n v="8950000000"/>
    <n v="8910000000"/>
    <n v="8860000000"/>
    <n v="8800000000"/>
    <n v="8740000000"/>
    <n v="8700000000"/>
    <s v="Summer"/>
    <x v="0"/>
    <s v="Industry"/>
    <s v="Industry"/>
  </r>
  <r>
    <x v="14"/>
    <n v="2019"/>
    <n v="20"/>
    <s v="China +"/>
    <x v="6"/>
    <n v="8110000000"/>
    <n v="8100000000"/>
    <n v="8100000000"/>
    <n v="8100000000"/>
    <n v="8120000000"/>
    <n v="8170000000"/>
    <n v="8240000000"/>
    <n v="8310000000"/>
    <n v="8330000000"/>
    <n v="8320000000"/>
    <n v="8300000000"/>
    <n v="8280000000"/>
    <n v="8260000000"/>
    <n v="8250000000"/>
    <n v="8250000000"/>
    <n v="8310000000"/>
    <n v="8370000000"/>
    <n v="8390000000"/>
    <n v="8350000000"/>
    <n v="8310000000"/>
    <n v="8270000000"/>
    <n v="8210000000"/>
    <n v="8160000000"/>
    <n v="8120000000"/>
    <s v="Summer"/>
    <x v="0"/>
    <s v="Industry"/>
    <s v="Industry"/>
  </r>
  <r>
    <x v="14"/>
    <n v="2019"/>
    <n v="20"/>
    <s v="China +"/>
    <x v="7"/>
    <n v="8610000000"/>
    <n v="8600000000"/>
    <n v="8590000000"/>
    <n v="8600000000"/>
    <n v="8620000000"/>
    <n v="8670000000"/>
    <n v="8750000000"/>
    <n v="8820000000"/>
    <n v="8850000000"/>
    <n v="8840000000"/>
    <n v="8810000000"/>
    <n v="8790000000"/>
    <n v="8760000000"/>
    <n v="8750000000"/>
    <n v="8760000000"/>
    <n v="8830000000"/>
    <n v="8900000000"/>
    <n v="8910000000"/>
    <n v="8870000000"/>
    <n v="8830000000"/>
    <n v="8780000000"/>
    <n v="8720000000"/>
    <n v="8660000000"/>
    <n v="8620000000"/>
    <s v="Summer"/>
    <x v="0"/>
    <s v="Industry"/>
    <s v="Industry"/>
  </r>
  <r>
    <x v="14"/>
    <n v="2019"/>
    <n v="20"/>
    <s v="China +"/>
    <x v="8"/>
    <n v="8690000000"/>
    <n v="8680000000"/>
    <n v="8680000000"/>
    <n v="8680000000"/>
    <n v="8700000000"/>
    <n v="8750000000"/>
    <n v="8830000000"/>
    <n v="8900000000"/>
    <n v="8920000000"/>
    <n v="8910000000"/>
    <n v="8890000000"/>
    <n v="8860000000"/>
    <n v="8840000000"/>
    <n v="8830000000"/>
    <n v="8840000000"/>
    <n v="8900000000"/>
    <n v="8970000000"/>
    <n v="8990000000"/>
    <n v="8950000000"/>
    <n v="8900000000"/>
    <n v="8860000000"/>
    <n v="8800000000"/>
    <n v="8740000000"/>
    <n v="8700000000"/>
    <s v="Fall"/>
    <x v="0"/>
    <s v="Industry"/>
    <s v="Industry"/>
  </r>
  <r>
    <x v="14"/>
    <n v="2019"/>
    <n v="20"/>
    <s v="China +"/>
    <x v="9"/>
    <n v="8640000000"/>
    <n v="8630000000"/>
    <n v="8620000000"/>
    <n v="8630000000"/>
    <n v="8650000000"/>
    <n v="8690000000"/>
    <n v="8770000000"/>
    <n v="8840000000"/>
    <n v="8860000000"/>
    <n v="8850000000"/>
    <n v="8830000000"/>
    <n v="8810000000"/>
    <n v="8780000000"/>
    <n v="8770000000"/>
    <n v="8780000000"/>
    <n v="8840000000"/>
    <n v="8910000000"/>
    <n v="8930000000"/>
    <n v="8890000000"/>
    <n v="8840000000"/>
    <n v="8800000000"/>
    <n v="8740000000"/>
    <n v="8680000000"/>
    <n v="8650000000"/>
    <s v="Fall"/>
    <x v="0"/>
    <s v="Industry"/>
    <s v="Industry"/>
  </r>
  <r>
    <x v="14"/>
    <n v="2019"/>
    <n v="20"/>
    <s v="China +"/>
    <x v="10"/>
    <n v="8780000000"/>
    <n v="8770000000"/>
    <n v="8760000000"/>
    <n v="8760000000"/>
    <n v="8780000000"/>
    <n v="8830000000"/>
    <n v="8910000000"/>
    <n v="8980000000"/>
    <n v="9000000000"/>
    <n v="8990000000"/>
    <n v="8970000000"/>
    <n v="8950000000"/>
    <n v="8920000000"/>
    <n v="8910000000"/>
    <n v="8920000000"/>
    <n v="8980000000"/>
    <n v="9050000000"/>
    <n v="9070000000"/>
    <n v="9030000000"/>
    <n v="8990000000"/>
    <n v="8940000000"/>
    <n v="8880000000"/>
    <n v="8820000000"/>
    <n v="8780000000"/>
    <s v="Winter"/>
    <x v="0"/>
    <s v="Industry"/>
    <s v="Industry"/>
  </r>
  <r>
    <x v="14"/>
    <n v="2019"/>
    <n v="20"/>
    <s v="China +"/>
    <x v="11"/>
    <n v="8200000000"/>
    <n v="8190000000"/>
    <n v="8190000000"/>
    <n v="8190000000"/>
    <n v="8210000000"/>
    <n v="8250000000"/>
    <n v="8320000000"/>
    <n v="8380000000"/>
    <n v="8400000000"/>
    <n v="8390000000"/>
    <n v="8370000000"/>
    <n v="8350000000"/>
    <n v="8330000000"/>
    <n v="8320000000"/>
    <n v="8330000000"/>
    <n v="8390000000"/>
    <n v="8450000000"/>
    <n v="8460000000"/>
    <n v="8430000000"/>
    <n v="8390000000"/>
    <n v="8350000000"/>
    <n v="8290000000"/>
    <n v="8240000000"/>
    <n v="8210000000"/>
    <s v="Winter"/>
    <x v="0"/>
    <s v="Industry"/>
    <s v="Industry"/>
  </r>
  <r>
    <x v="15"/>
    <n v="2019"/>
    <n v="20"/>
    <s v="China +"/>
    <x v="0"/>
    <n v="4530000000"/>
    <n v="4520000000"/>
    <n v="4530000000"/>
    <n v="4530000000"/>
    <n v="4560000000"/>
    <n v="4600000000"/>
    <n v="4610000000"/>
    <n v="4610000000"/>
    <n v="4600000000"/>
    <n v="4590000000"/>
    <n v="4580000000"/>
    <n v="4580000000"/>
    <n v="4570000000"/>
    <n v="4570000000"/>
    <n v="4590000000"/>
    <n v="4630000000"/>
    <n v="4670000000"/>
    <n v="4680000000"/>
    <n v="4660000000"/>
    <n v="4640000000"/>
    <n v="4620000000"/>
    <n v="4590000000"/>
    <n v="4560000000"/>
    <n v="4540000000"/>
    <s v="Winter"/>
    <x v="1"/>
    <s v="Industry"/>
    <s v="Industry"/>
  </r>
  <r>
    <x v="15"/>
    <n v="2019"/>
    <n v="20"/>
    <s v="China +"/>
    <x v="1"/>
    <n v="4530000000"/>
    <n v="4520000000"/>
    <n v="4520000000"/>
    <n v="4530000000"/>
    <n v="4560000000"/>
    <n v="4600000000"/>
    <n v="4610000000"/>
    <n v="4610000000"/>
    <n v="4610000000"/>
    <n v="4590000000"/>
    <n v="4580000000"/>
    <n v="4580000000"/>
    <n v="4570000000"/>
    <n v="4580000000"/>
    <n v="4590000000"/>
    <n v="4630000000"/>
    <n v="4670000000"/>
    <n v="4680000000"/>
    <n v="4670000000"/>
    <n v="4650000000"/>
    <n v="4620000000"/>
    <n v="4590000000"/>
    <n v="4560000000"/>
    <n v="4540000000"/>
    <s v="Winter"/>
    <x v="1"/>
    <s v="Industry"/>
    <s v="Industry"/>
  </r>
  <r>
    <x v="15"/>
    <n v="2019"/>
    <n v="20"/>
    <s v="China +"/>
    <x v="2"/>
    <n v="4550000000"/>
    <n v="4550000000"/>
    <n v="4550000000"/>
    <n v="4560000000"/>
    <n v="4590000000"/>
    <n v="4630000000"/>
    <n v="4640000000"/>
    <n v="4640000000"/>
    <n v="4630000000"/>
    <n v="4620000000"/>
    <n v="4610000000"/>
    <n v="4600000000"/>
    <n v="4600000000"/>
    <n v="4600000000"/>
    <n v="4620000000"/>
    <n v="4660000000"/>
    <n v="4700000000"/>
    <n v="4710000000"/>
    <n v="4690000000"/>
    <n v="4670000000"/>
    <n v="4650000000"/>
    <n v="4620000000"/>
    <n v="4580000000"/>
    <n v="4570000000"/>
    <s v="Spring"/>
    <x v="1"/>
    <s v="Industry"/>
    <s v="Industry"/>
  </r>
  <r>
    <x v="15"/>
    <n v="2019"/>
    <n v="20"/>
    <s v="China +"/>
    <x v="3"/>
    <n v="4370000000"/>
    <n v="4370000000"/>
    <n v="4370000000"/>
    <n v="4370000000"/>
    <n v="4400000000"/>
    <n v="4430000000"/>
    <n v="4450000000"/>
    <n v="4450000000"/>
    <n v="4440000000"/>
    <n v="4430000000"/>
    <n v="4420000000"/>
    <n v="4410000000"/>
    <n v="4410000000"/>
    <n v="4410000000"/>
    <n v="4420000000"/>
    <n v="4460000000"/>
    <n v="4500000000"/>
    <n v="4510000000"/>
    <n v="4490000000"/>
    <n v="4470000000"/>
    <n v="4450000000"/>
    <n v="4420000000"/>
    <n v="4390000000"/>
    <n v="4380000000"/>
    <s v="Spring"/>
    <x v="1"/>
    <s v="Industry"/>
    <s v="Industry"/>
  </r>
  <r>
    <x v="15"/>
    <n v="2019"/>
    <n v="20"/>
    <s v="China +"/>
    <x v="4"/>
    <n v="4430000000"/>
    <n v="4420000000"/>
    <n v="4420000000"/>
    <n v="4430000000"/>
    <n v="4460000000"/>
    <n v="4500000000"/>
    <n v="4510000000"/>
    <n v="4510000000"/>
    <n v="4500000000"/>
    <n v="4490000000"/>
    <n v="4480000000"/>
    <n v="4470000000"/>
    <n v="4470000000"/>
    <n v="4470000000"/>
    <n v="4490000000"/>
    <n v="4520000000"/>
    <n v="4570000000"/>
    <n v="4570000000"/>
    <n v="4560000000"/>
    <n v="4540000000"/>
    <n v="4520000000"/>
    <n v="4490000000"/>
    <n v="4450000000"/>
    <n v="4440000000"/>
    <s v="Spring"/>
    <x v="1"/>
    <s v="Industry"/>
    <s v="Industry"/>
  </r>
  <r>
    <x v="15"/>
    <n v="2019"/>
    <n v="20"/>
    <s v="China +"/>
    <x v="5"/>
    <n v="4510000000"/>
    <n v="4510000000"/>
    <n v="4510000000"/>
    <n v="4520000000"/>
    <n v="4550000000"/>
    <n v="4590000000"/>
    <n v="4600000000"/>
    <n v="4600000000"/>
    <n v="4590000000"/>
    <n v="4580000000"/>
    <n v="4570000000"/>
    <n v="4560000000"/>
    <n v="4560000000"/>
    <n v="4560000000"/>
    <n v="4580000000"/>
    <n v="4620000000"/>
    <n v="4660000000"/>
    <n v="4670000000"/>
    <n v="4650000000"/>
    <n v="4630000000"/>
    <n v="4610000000"/>
    <n v="4580000000"/>
    <n v="4540000000"/>
    <n v="4520000000"/>
    <s v="Summer"/>
    <x v="1"/>
    <s v="Industry"/>
    <s v="Industry"/>
  </r>
  <r>
    <x v="15"/>
    <n v="2019"/>
    <n v="20"/>
    <s v="China +"/>
    <x v="6"/>
    <n v="4210000000"/>
    <n v="4210000000"/>
    <n v="4210000000"/>
    <n v="4220000000"/>
    <n v="4250000000"/>
    <n v="4280000000"/>
    <n v="4290000000"/>
    <n v="4290000000"/>
    <n v="4280000000"/>
    <n v="4270000000"/>
    <n v="4260000000"/>
    <n v="4260000000"/>
    <n v="4250000000"/>
    <n v="4260000000"/>
    <n v="4270000000"/>
    <n v="4310000000"/>
    <n v="4350000000"/>
    <n v="4360000000"/>
    <n v="4340000000"/>
    <n v="4320000000"/>
    <n v="4300000000"/>
    <n v="4270000000"/>
    <n v="4240000000"/>
    <n v="4220000000"/>
    <s v="Summer"/>
    <x v="1"/>
    <s v="Industry"/>
    <s v="Industry"/>
  </r>
  <r>
    <x v="15"/>
    <n v="2019"/>
    <n v="20"/>
    <s v="China +"/>
    <x v="7"/>
    <n v="4470000000"/>
    <n v="4470000000"/>
    <n v="4470000000"/>
    <n v="4470000000"/>
    <n v="4500000000"/>
    <n v="4540000000"/>
    <n v="4560000000"/>
    <n v="4560000000"/>
    <n v="4550000000"/>
    <n v="4540000000"/>
    <n v="4530000000"/>
    <n v="4520000000"/>
    <n v="4520000000"/>
    <n v="4520000000"/>
    <n v="4530000000"/>
    <n v="4570000000"/>
    <n v="4620000000"/>
    <n v="4630000000"/>
    <n v="4610000000"/>
    <n v="4590000000"/>
    <n v="4570000000"/>
    <n v="4530000000"/>
    <n v="4500000000"/>
    <n v="4480000000"/>
    <s v="Summer"/>
    <x v="1"/>
    <s v="Industry"/>
    <s v="Industry"/>
  </r>
  <r>
    <x v="15"/>
    <n v="2019"/>
    <n v="20"/>
    <s v="China +"/>
    <x v="8"/>
    <n v="4510000000"/>
    <n v="4510000000"/>
    <n v="4510000000"/>
    <n v="4520000000"/>
    <n v="4550000000"/>
    <n v="4580000000"/>
    <n v="4600000000"/>
    <n v="4600000000"/>
    <n v="4590000000"/>
    <n v="4580000000"/>
    <n v="4570000000"/>
    <n v="4560000000"/>
    <n v="4560000000"/>
    <n v="4560000000"/>
    <n v="4570000000"/>
    <n v="4610000000"/>
    <n v="4660000000"/>
    <n v="4670000000"/>
    <n v="4650000000"/>
    <n v="4630000000"/>
    <n v="4610000000"/>
    <n v="4570000000"/>
    <n v="4540000000"/>
    <n v="4520000000"/>
    <s v="Fall"/>
    <x v="1"/>
    <s v="Industry"/>
    <s v="Industry"/>
  </r>
  <r>
    <x v="15"/>
    <n v="2019"/>
    <n v="20"/>
    <s v="China +"/>
    <x v="9"/>
    <n v="4480000000"/>
    <n v="4480000000"/>
    <n v="4480000000"/>
    <n v="4490000000"/>
    <n v="4520000000"/>
    <n v="4550000000"/>
    <n v="4570000000"/>
    <n v="4570000000"/>
    <n v="4560000000"/>
    <n v="4550000000"/>
    <n v="4540000000"/>
    <n v="4530000000"/>
    <n v="4530000000"/>
    <n v="4530000000"/>
    <n v="4540000000"/>
    <n v="4580000000"/>
    <n v="4630000000"/>
    <n v="4630000000"/>
    <n v="4620000000"/>
    <n v="4600000000"/>
    <n v="4580000000"/>
    <n v="4540000000"/>
    <n v="4510000000"/>
    <n v="4490000000"/>
    <s v="Fall"/>
    <x v="1"/>
    <s v="Industry"/>
    <s v="Industry"/>
  </r>
  <r>
    <x v="15"/>
    <n v="2019"/>
    <n v="20"/>
    <s v="China +"/>
    <x v="10"/>
    <n v="4550000000"/>
    <n v="4550000000"/>
    <n v="4550000000"/>
    <n v="4560000000"/>
    <n v="4590000000"/>
    <n v="4630000000"/>
    <n v="4640000000"/>
    <n v="4640000000"/>
    <n v="4630000000"/>
    <n v="4620000000"/>
    <n v="4610000000"/>
    <n v="4600000000"/>
    <n v="4600000000"/>
    <n v="4600000000"/>
    <n v="4620000000"/>
    <n v="4660000000"/>
    <n v="4700000000"/>
    <n v="4710000000"/>
    <n v="4690000000"/>
    <n v="4670000000"/>
    <n v="4650000000"/>
    <n v="4620000000"/>
    <n v="4580000000"/>
    <n v="4570000000"/>
    <s v="Winter"/>
    <x v="1"/>
    <s v="Industry"/>
    <s v="Industry"/>
  </r>
  <r>
    <x v="15"/>
    <n v="2019"/>
    <n v="20"/>
    <s v="China +"/>
    <x v="11"/>
    <n v="4260000000"/>
    <n v="4260000000"/>
    <n v="4260000000"/>
    <n v="4260000000"/>
    <n v="4290000000"/>
    <n v="4320000000"/>
    <n v="4330000000"/>
    <n v="4340000000"/>
    <n v="4330000000"/>
    <n v="4320000000"/>
    <n v="4310000000"/>
    <n v="4300000000"/>
    <n v="4300000000"/>
    <n v="4300000000"/>
    <n v="4310000000"/>
    <n v="4350000000"/>
    <n v="4390000000"/>
    <n v="4390000000"/>
    <n v="4380000000"/>
    <n v="4360000000"/>
    <n v="4340000000"/>
    <n v="4310000000"/>
    <n v="4280000000"/>
    <n v="4270000000"/>
    <s v="Winter"/>
    <x v="1"/>
    <s v="Industry"/>
    <s v="Industry"/>
  </r>
  <r>
    <x v="16"/>
    <n v="2019"/>
    <n v="20"/>
    <s v="China +"/>
    <x v="0"/>
    <n v="1790000000"/>
    <n v="1450000000"/>
    <n v="1270000000"/>
    <n v="1170000000"/>
    <n v="1200000000"/>
    <n v="1590000000"/>
    <n v="2130000000"/>
    <n v="2390000000"/>
    <n v="2340000000"/>
    <n v="2180000000"/>
    <n v="2120000000"/>
    <n v="2070000000"/>
    <n v="2050000000"/>
    <n v="2090000000"/>
    <n v="2120000000"/>
    <n v="2200000000"/>
    <n v="2660000000"/>
    <n v="3200000000"/>
    <n v="3370000000"/>
    <n v="3470000000"/>
    <n v="3560000000"/>
    <n v="3430000000"/>
    <n v="2660000000"/>
    <n v="2130000000"/>
    <s v="Winter"/>
    <x v="0"/>
    <s v="Residential"/>
    <s v="Total"/>
  </r>
  <r>
    <x v="16"/>
    <n v="2019"/>
    <n v="20"/>
    <s v="China +"/>
    <x v="1"/>
    <n v="1690000000"/>
    <n v="1350000000"/>
    <n v="1160000000"/>
    <n v="1060000000"/>
    <n v="1090000000"/>
    <n v="1460000000"/>
    <n v="1980000000"/>
    <n v="2170000000"/>
    <n v="2210000000"/>
    <n v="2080000000"/>
    <n v="2020000000"/>
    <n v="1990000000"/>
    <n v="1980000000"/>
    <n v="2030000000"/>
    <n v="2060000000"/>
    <n v="2140000000"/>
    <n v="2460000000"/>
    <n v="3090000000"/>
    <n v="3240000000"/>
    <n v="3330000000"/>
    <n v="3410000000"/>
    <n v="3290000000"/>
    <n v="2540000000"/>
    <n v="2020000000"/>
    <s v="Winter"/>
    <x v="0"/>
    <s v="Residential"/>
    <s v="Total"/>
  </r>
  <r>
    <x v="16"/>
    <n v="2019"/>
    <n v="20"/>
    <s v="China +"/>
    <x v="2"/>
    <n v="1540000000"/>
    <n v="1200000000"/>
    <n v="1020000000"/>
    <n v="912000000"/>
    <n v="943000000"/>
    <n v="1280000000"/>
    <n v="1760000000"/>
    <n v="1950000000"/>
    <n v="2060000000"/>
    <n v="1980000000"/>
    <n v="1940000000"/>
    <n v="1910000000"/>
    <n v="1910000000"/>
    <n v="1950000000"/>
    <n v="1990000000"/>
    <n v="2070000000"/>
    <n v="2320000000"/>
    <n v="2950000000"/>
    <n v="3110000000"/>
    <n v="3170000000"/>
    <n v="3230000000"/>
    <n v="3110000000"/>
    <n v="2380000000"/>
    <n v="1870000000"/>
    <s v="Spring"/>
    <x v="0"/>
    <s v="Residential"/>
    <s v="Total"/>
  </r>
  <r>
    <x v="16"/>
    <n v="2019"/>
    <n v="20"/>
    <s v="China +"/>
    <x v="3"/>
    <n v="1440000000"/>
    <n v="1090000000"/>
    <n v="908000000"/>
    <n v="809000000"/>
    <n v="850000000"/>
    <n v="1140000000"/>
    <n v="1450000000"/>
    <n v="1770000000"/>
    <n v="1900000000"/>
    <n v="1890000000"/>
    <n v="1880000000"/>
    <n v="1890000000"/>
    <n v="1950000000"/>
    <n v="2040000000"/>
    <n v="2100000000"/>
    <n v="2170000000"/>
    <n v="2400000000"/>
    <n v="2750000000"/>
    <n v="3080000000"/>
    <n v="3090000000"/>
    <n v="3120000000"/>
    <n v="3020000000"/>
    <n v="2310000000"/>
    <n v="1790000000"/>
    <s v="Spring"/>
    <x v="0"/>
    <s v="Residential"/>
    <s v="Total"/>
  </r>
  <r>
    <x v="16"/>
    <n v="2019"/>
    <n v="20"/>
    <s v="China +"/>
    <x v="4"/>
    <n v="1640000000"/>
    <n v="1250000000"/>
    <n v="1060000000"/>
    <n v="971000000"/>
    <n v="1040000000"/>
    <n v="1340000000"/>
    <n v="1660000000"/>
    <n v="2050000000"/>
    <n v="2220000000"/>
    <n v="2290000000"/>
    <n v="2360000000"/>
    <n v="2520000000"/>
    <n v="2700000000"/>
    <n v="2840000000"/>
    <n v="2950000000"/>
    <n v="3100000000"/>
    <n v="3370000000"/>
    <n v="3670000000"/>
    <n v="4030000000"/>
    <n v="3950000000"/>
    <n v="3830000000"/>
    <n v="3560000000"/>
    <n v="2700000000"/>
    <n v="2060000000"/>
    <s v="Spring"/>
    <x v="0"/>
    <s v="Residential"/>
    <s v="Total"/>
  </r>
  <r>
    <x v="16"/>
    <n v="2019"/>
    <n v="20"/>
    <s v="China +"/>
    <x v="5"/>
    <n v="2350000000"/>
    <n v="1910000000"/>
    <n v="1690000000"/>
    <n v="1630000000"/>
    <n v="1740000000"/>
    <n v="2010000000"/>
    <n v="2250000000"/>
    <n v="2520000000"/>
    <n v="2620000000"/>
    <n v="2650000000"/>
    <n v="2720000000"/>
    <n v="2920000000"/>
    <n v="3120000000"/>
    <n v="3280000000"/>
    <n v="3410000000"/>
    <n v="3600000000"/>
    <n v="3920000000"/>
    <n v="4270000000"/>
    <n v="4630000000"/>
    <n v="4710000000"/>
    <n v="4630000000"/>
    <n v="4370000000"/>
    <n v="3500000000"/>
    <n v="2830000000"/>
    <s v="Summer"/>
    <x v="0"/>
    <s v="Residential"/>
    <s v="Total"/>
  </r>
  <r>
    <x v="16"/>
    <n v="2019"/>
    <n v="20"/>
    <s v="China +"/>
    <x v="6"/>
    <n v="3130000000"/>
    <n v="2670000000"/>
    <n v="2460000000"/>
    <n v="2400000000"/>
    <n v="2510000000"/>
    <n v="2770000000"/>
    <n v="2890000000"/>
    <n v="3010000000"/>
    <n v="3030000000"/>
    <n v="3010000000"/>
    <n v="3080000000"/>
    <n v="3330000000"/>
    <n v="3580000000"/>
    <n v="3750000000"/>
    <n v="3900000000"/>
    <n v="4140000000"/>
    <n v="4500000000"/>
    <n v="4900000000"/>
    <n v="5380000000"/>
    <n v="5450000000"/>
    <n v="5420000000"/>
    <n v="5190000000"/>
    <n v="4330000000"/>
    <n v="3640000000"/>
    <s v="Summer"/>
    <x v="0"/>
    <s v="Residential"/>
    <s v="Total"/>
  </r>
  <r>
    <x v="16"/>
    <n v="2019"/>
    <n v="20"/>
    <s v="China +"/>
    <x v="7"/>
    <n v="2980000000"/>
    <n v="2520000000"/>
    <n v="2310000000"/>
    <n v="2240000000"/>
    <n v="2360000000"/>
    <n v="2640000000"/>
    <n v="2800000000"/>
    <n v="2930000000"/>
    <n v="2970000000"/>
    <n v="2960000000"/>
    <n v="3040000000"/>
    <n v="3290000000"/>
    <n v="3530000000"/>
    <n v="3700000000"/>
    <n v="3850000000"/>
    <n v="4080000000"/>
    <n v="4440000000"/>
    <n v="4870000000"/>
    <n v="5330000000"/>
    <n v="5360000000"/>
    <n v="5310000000"/>
    <n v="5060000000"/>
    <n v="4180000000"/>
    <n v="3490000000"/>
    <s v="Summer"/>
    <x v="0"/>
    <s v="Residential"/>
    <s v="Total"/>
  </r>
  <r>
    <x v="16"/>
    <n v="2019"/>
    <n v="20"/>
    <s v="China +"/>
    <x v="8"/>
    <n v="1980000000"/>
    <n v="1570000000"/>
    <n v="1370000000"/>
    <n v="1290000000"/>
    <n v="1380000000"/>
    <n v="1680000000"/>
    <n v="2020000000"/>
    <n v="2240000000"/>
    <n v="2360000000"/>
    <n v="2390000000"/>
    <n v="2440000000"/>
    <n v="2590000000"/>
    <n v="2760000000"/>
    <n v="2900000000"/>
    <n v="3000000000"/>
    <n v="3160000000"/>
    <n v="3450000000"/>
    <n v="3920000000"/>
    <n v="4200000000"/>
    <n v="4190000000"/>
    <n v="4130000000"/>
    <n v="3900000000"/>
    <n v="3070000000"/>
    <n v="2430000000"/>
    <s v="Fall"/>
    <x v="0"/>
    <s v="Residential"/>
    <s v="Total"/>
  </r>
  <r>
    <x v="16"/>
    <n v="2019"/>
    <n v="20"/>
    <s v="China +"/>
    <x v="9"/>
    <n v="1470000000"/>
    <n v="1120000000"/>
    <n v="934000000"/>
    <n v="836000000"/>
    <n v="880000000"/>
    <n v="1160000000"/>
    <n v="1640000000"/>
    <n v="1810000000"/>
    <n v="1940000000"/>
    <n v="1950000000"/>
    <n v="1960000000"/>
    <n v="1990000000"/>
    <n v="2060000000"/>
    <n v="2150000000"/>
    <n v="2210000000"/>
    <n v="2300000000"/>
    <n v="2570000000"/>
    <n v="3170000000"/>
    <n v="3250000000"/>
    <n v="3230000000"/>
    <n v="3220000000"/>
    <n v="3080000000"/>
    <n v="2350000000"/>
    <n v="1830000000"/>
    <s v="Fall"/>
    <x v="0"/>
    <s v="Residential"/>
    <s v="Total"/>
  </r>
  <r>
    <x v="16"/>
    <n v="2019"/>
    <n v="20"/>
    <s v="China +"/>
    <x v="10"/>
    <n v="1530000000"/>
    <n v="1190000000"/>
    <n v="1000000000"/>
    <n v="900000000"/>
    <n v="936000000"/>
    <n v="1270000000"/>
    <n v="1790000000"/>
    <n v="2020000000"/>
    <n v="2060000000"/>
    <n v="2000000000"/>
    <n v="1960000000"/>
    <n v="1950000000"/>
    <n v="1960000000"/>
    <n v="2020000000"/>
    <n v="2060000000"/>
    <n v="2140000000"/>
    <n v="2500000000"/>
    <n v="3080000000"/>
    <n v="3210000000"/>
    <n v="3260000000"/>
    <n v="3310000000"/>
    <n v="3170000000"/>
    <n v="2410000000"/>
    <n v="1870000000"/>
    <s v="Winter"/>
    <x v="0"/>
    <s v="Residential"/>
    <s v="Total"/>
  </r>
  <r>
    <x v="16"/>
    <n v="2019"/>
    <n v="20"/>
    <s v="China +"/>
    <x v="11"/>
    <n v="1730000000"/>
    <n v="1390000000"/>
    <n v="1210000000"/>
    <n v="1100000000"/>
    <n v="1140000000"/>
    <n v="1520000000"/>
    <n v="2050000000"/>
    <n v="2340000000"/>
    <n v="2260000000"/>
    <n v="2120000000"/>
    <n v="2060000000"/>
    <n v="2010000000"/>
    <n v="2010000000"/>
    <n v="2060000000"/>
    <n v="2100000000"/>
    <n v="2170000000"/>
    <n v="2660000000"/>
    <n v="3140000000"/>
    <n v="3310000000"/>
    <n v="3400000000"/>
    <n v="3480000000"/>
    <n v="3360000000"/>
    <n v="2590000000"/>
    <n v="2070000000"/>
    <s v="Winter"/>
    <x v="0"/>
    <s v="Residential"/>
    <s v="Total"/>
  </r>
  <r>
    <x v="17"/>
    <n v="2019"/>
    <n v="20"/>
    <s v="China +"/>
    <x v="0"/>
    <n v="942000000"/>
    <n v="794000000"/>
    <n v="687000000"/>
    <n v="615000000"/>
    <n v="614000000"/>
    <n v="674000000"/>
    <n v="867000000"/>
    <n v="1070000000"/>
    <n v="1200000000"/>
    <n v="1450000000"/>
    <n v="1710000000"/>
    <n v="1790000000"/>
    <n v="1680000000"/>
    <n v="1550000000"/>
    <n v="1600000000"/>
    <n v="1600000000"/>
    <n v="1740000000"/>
    <n v="1900000000"/>
    <n v="1970000000"/>
    <n v="1950000000"/>
    <n v="1910000000"/>
    <n v="1760000000"/>
    <n v="1450000000"/>
    <n v="1150000000"/>
    <s v="Winter"/>
    <x v="1"/>
    <s v="Residential"/>
    <s v="Total"/>
  </r>
  <r>
    <x v="17"/>
    <n v="2019"/>
    <n v="20"/>
    <s v="China +"/>
    <x v="1"/>
    <n v="883000000"/>
    <n v="736000000"/>
    <n v="629000000"/>
    <n v="557000000"/>
    <n v="557000000"/>
    <n v="616000000"/>
    <n v="804000000"/>
    <n v="952000000"/>
    <n v="1130000000"/>
    <n v="1380000000"/>
    <n v="1640000000"/>
    <n v="1730000000"/>
    <n v="1620000000"/>
    <n v="1500000000"/>
    <n v="1560000000"/>
    <n v="1550000000"/>
    <n v="1620000000"/>
    <n v="1830000000"/>
    <n v="1890000000"/>
    <n v="1870000000"/>
    <n v="1840000000"/>
    <n v="1690000000"/>
    <n v="1380000000"/>
    <n v="1090000000"/>
    <s v="Winter"/>
    <x v="1"/>
    <s v="Residential"/>
    <s v="Total"/>
  </r>
  <r>
    <x v="17"/>
    <n v="2019"/>
    <n v="20"/>
    <s v="China +"/>
    <x v="2"/>
    <n v="799000000"/>
    <n v="653000000"/>
    <n v="547000000"/>
    <n v="475000000"/>
    <n v="476000000"/>
    <n v="532000000"/>
    <n v="706000000"/>
    <n v="840000000"/>
    <n v="1050000000"/>
    <n v="1300000000"/>
    <n v="1570000000"/>
    <n v="1680000000"/>
    <n v="1570000000"/>
    <n v="1450000000"/>
    <n v="1510000000"/>
    <n v="1500000000"/>
    <n v="1530000000"/>
    <n v="1750000000"/>
    <n v="1810000000"/>
    <n v="1780000000"/>
    <n v="1730000000"/>
    <n v="1580000000"/>
    <n v="1290000000"/>
    <n v="1010000000"/>
    <s v="Spring"/>
    <x v="1"/>
    <s v="Residential"/>
    <s v="Total"/>
  </r>
  <r>
    <x v="17"/>
    <n v="2019"/>
    <n v="20"/>
    <s v="China +"/>
    <x v="3"/>
    <n v="738000000"/>
    <n v="587000000"/>
    <n v="479000000"/>
    <n v="410000000"/>
    <n v="417000000"/>
    <n v="472000000"/>
    <n v="587000000"/>
    <n v="764000000"/>
    <n v="970000000"/>
    <n v="1220000000"/>
    <n v="1500000000"/>
    <n v="1670000000"/>
    <n v="1600000000"/>
    <n v="1500000000"/>
    <n v="1570000000"/>
    <n v="1560000000"/>
    <n v="1560000000"/>
    <n v="1620000000"/>
    <n v="1780000000"/>
    <n v="1730000000"/>
    <n v="1670000000"/>
    <n v="1520000000"/>
    <n v="1230000000"/>
    <n v="954000000"/>
    <s v="Spring"/>
    <x v="1"/>
    <s v="Residential"/>
    <s v="Total"/>
  </r>
  <r>
    <x v="17"/>
    <n v="2019"/>
    <n v="20"/>
    <s v="China +"/>
    <x v="4"/>
    <n v="816000000"/>
    <n v="653000000"/>
    <n v="543000000"/>
    <n v="479000000"/>
    <n v="501000000"/>
    <n v="579000000"/>
    <n v="732000000"/>
    <n v="989000000"/>
    <n v="1250000000"/>
    <n v="1530000000"/>
    <n v="1860000000"/>
    <n v="2110000000"/>
    <n v="2100000000"/>
    <n v="2030000000"/>
    <n v="2110000000"/>
    <n v="2090000000"/>
    <n v="2070000000"/>
    <n v="2070000000"/>
    <n v="2230000000"/>
    <n v="2110000000"/>
    <n v="1970000000"/>
    <n v="1750000000"/>
    <n v="1400000000"/>
    <n v="1060000000"/>
    <s v="Spring"/>
    <x v="1"/>
    <s v="Residential"/>
    <s v="Total"/>
  </r>
  <r>
    <x v="17"/>
    <n v="2019"/>
    <n v="20"/>
    <s v="China +"/>
    <x v="5"/>
    <n v="1140000000"/>
    <n v="955000000"/>
    <n v="839000000"/>
    <n v="785000000"/>
    <n v="835000000"/>
    <n v="929000000"/>
    <n v="1100000000"/>
    <n v="1350000000"/>
    <n v="1590000000"/>
    <n v="1840000000"/>
    <n v="2150000000"/>
    <n v="2420000000"/>
    <n v="2420000000"/>
    <n v="2350000000"/>
    <n v="2430000000"/>
    <n v="2410000000"/>
    <n v="2390000000"/>
    <n v="2390000000"/>
    <n v="2540000000"/>
    <n v="2490000000"/>
    <n v="2350000000"/>
    <n v="2120000000"/>
    <n v="1760000000"/>
    <n v="1420000000"/>
    <s v="Summer"/>
    <x v="1"/>
    <s v="Residential"/>
    <s v="Total"/>
  </r>
  <r>
    <x v="17"/>
    <n v="2019"/>
    <n v="20"/>
    <s v="China +"/>
    <x v="6"/>
    <n v="1510000000"/>
    <n v="1320000000"/>
    <n v="1200000000"/>
    <n v="1150000000"/>
    <n v="1210000000"/>
    <n v="1320000000"/>
    <n v="1490000000"/>
    <n v="1730000000"/>
    <n v="1940000000"/>
    <n v="2150000000"/>
    <n v="2450000000"/>
    <n v="2730000000"/>
    <n v="2750000000"/>
    <n v="2690000000"/>
    <n v="2760000000"/>
    <n v="2740000000"/>
    <n v="2730000000"/>
    <n v="2740000000"/>
    <n v="2930000000"/>
    <n v="2860000000"/>
    <n v="2730000000"/>
    <n v="2500000000"/>
    <n v="2140000000"/>
    <n v="1790000000"/>
    <s v="Summer"/>
    <x v="1"/>
    <s v="Residential"/>
    <s v="Total"/>
  </r>
  <r>
    <x v="17"/>
    <n v="2019"/>
    <n v="20"/>
    <s v="China +"/>
    <x v="7"/>
    <n v="1440000000"/>
    <n v="1250000000"/>
    <n v="1130000000"/>
    <n v="1080000000"/>
    <n v="1140000000"/>
    <n v="1250000000"/>
    <n v="1430000000"/>
    <n v="1670000000"/>
    <n v="1880000000"/>
    <n v="2110000000"/>
    <n v="2410000000"/>
    <n v="2690000000"/>
    <n v="2710000000"/>
    <n v="2650000000"/>
    <n v="2730000000"/>
    <n v="2700000000"/>
    <n v="2690000000"/>
    <n v="2720000000"/>
    <n v="2900000000"/>
    <n v="2810000000"/>
    <n v="2670000000"/>
    <n v="2440000000"/>
    <n v="2080000000"/>
    <n v="1720000000"/>
    <s v="Summer"/>
    <x v="1"/>
    <s v="Residential"/>
    <s v="Total"/>
  </r>
  <r>
    <x v="17"/>
    <n v="2019"/>
    <n v="20"/>
    <s v="China +"/>
    <x v="8"/>
    <n v="975000000"/>
    <n v="802000000"/>
    <n v="689000000"/>
    <n v="629000000"/>
    <n v="663000000"/>
    <n v="753000000"/>
    <n v="933000000"/>
    <n v="1140000000"/>
    <n v="1370000000"/>
    <n v="1630000000"/>
    <n v="1940000000"/>
    <n v="2180000000"/>
    <n v="2160000000"/>
    <n v="2090000000"/>
    <n v="2160000000"/>
    <n v="2140000000"/>
    <n v="2130000000"/>
    <n v="2220000000"/>
    <n v="2330000000"/>
    <n v="2240000000"/>
    <n v="2120000000"/>
    <n v="1910000000"/>
    <n v="1570000000"/>
    <n v="1230000000"/>
    <s v="Fall"/>
    <x v="1"/>
    <s v="Residential"/>
    <s v="Total"/>
  </r>
  <r>
    <x v="17"/>
    <n v="2019"/>
    <n v="20"/>
    <s v="China +"/>
    <x v="9"/>
    <n v="751000000"/>
    <n v="599000000"/>
    <n v="491000000"/>
    <n v="422000000"/>
    <n v="431000000"/>
    <n v="486000000"/>
    <n v="668000000"/>
    <n v="796000000"/>
    <n v="1000000000"/>
    <n v="1270000000"/>
    <n v="1560000000"/>
    <n v="1740000000"/>
    <n v="1680000000"/>
    <n v="1580000000"/>
    <n v="1650000000"/>
    <n v="1630000000"/>
    <n v="1660000000"/>
    <n v="1850000000"/>
    <n v="1870000000"/>
    <n v="1790000000"/>
    <n v="1710000000"/>
    <n v="1550000000"/>
    <n v="1260000000"/>
    <n v="971000000"/>
    <s v="Fall"/>
    <x v="1"/>
    <s v="Residential"/>
    <s v="Total"/>
  </r>
  <r>
    <x v="17"/>
    <n v="2019"/>
    <n v="20"/>
    <s v="China +"/>
    <x v="10"/>
    <n v="794000000"/>
    <n v="645000000"/>
    <n v="538000000"/>
    <n v="467000000"/>
    <n v="470000000"/>
    <n v="529000000"/>
    <n v="720000000"/>
    <n v="887000000"/>
    <n v="1060000000"/>
    <n v="1310000000"/>
    <n v="1590000000"/>
    <n v="1700000000"/>
    <n v="1610000000"/>
    <n v="1490000000"/>
    <n v="1550000000"/>
    <n v="1540000000"/>
    <n v="1630000000"/>
    <n v="1820000000"/>
    <n v="1860000000"/>
    <n v="1820000000"/>
    <n v="1770000000"/>
    <n v="1610000000"/>
    <n v="1300000000"/>
    <n v="1010000000"/>
    <s v="Winter"/>
    <x v="1"/>
    <s v="Residential"/>
    <s v="Total"/>
  </r>
  <r>
    <x v="17"/>
    <n v="2019"/>
    <n v="20"/>
    <s v="China +"/>
    <x v="11"/>
    <n v="907000000"/>
    <n v="760000000"/>
    <n v="653000000"/>
    <n v="581000000"/>
    <n v="580000000"/>
    <n v="641000000"/>
    <n v="832000000"/>
    <n v="1050000000"/>
    <n v="1160000000"/>
    <n v="1410000000"/>
    <n v="1670000000"/>
    <n v="1760000000"/>
    <n v="1640000000"/>
    <n v="1520000000"/>
    <n v="1580000000"/>
    <n v="1570000000"/>
    <n v="1740000000"/>
    <n v="1870000000"/>
    <n v="1930000000"/>
    <n v="1910000000"/>
    <n v="1870000000"/>
    <n v="1730000000"/>
    <n v="1410000000"/>
    <n v="1120000000"/>
    <s v="Winter"/>
    <x v="1"/>
    <s v="Residential"/>
    <s v="Total"/>
  </r>
  <r>
    <x v="18"/>
    <n v="2019"/>
    <n v="20"/>
    <s v="China +"/>
    <x v="0"/>
    <n v="601000000"/>
    <n v="571000000"/>
    <n v="547000000"/>
    <n v="584000000"/>
    <n v="635000000"/>
    <n v="739000000"/>
    <n v="1150000000"/>
    <n v="1870000000"/>
    <n v="2170000000"/>
    <n v="2030000000"/>
    <n v="1940000000"/>
    <n v="1890000000"/>
    <n v="1830000000"/>
    <n v="1810000000"/>
    <n v="1790000000"/>
    <n v="1780000000"/>
    <n v="1700000000"/>
    <n v="1580000000"/>
    <n v="1560000000"/>
    <n v="1410000000"/>
    <n v="1220000000"/>
    <n v="1040000000"/>
    <n v="916000000"/>
    <n v="628000000"/>
    <s v="Winter"/>
    <x v="0"/>
    <s v="Commercial"/>
    <s v="Total"/>
  </r>
  <r>
    <x v="18"/>
    <n v="2019"/>
    <n v="20"/>
    <s v="China +"/>
    <x v="1"/>
    <n v="559000000"/>
    <n v="533000000"/>
    <n v="512000000"/>
    <n v="546000000"/>
    <n v="596000000"/>
    <n v="697000000"/>
    <n v="1100000000"/>
    <n v="1770000000"/>
    <n v="2040000000"/>
    <n v="1930000000"/>
    <n v="1850000000"/>
    <n v="1800000000"/>
    <n v="1750000000"/>
    <n v="1730000000"/>
    <n v="1720000000"/>
    <n v="1710000000"/>
    <n v="1630000000"/>
    <n v="1500000000"/>
    <n v="1480000000"/>
    <n v="1330000000"/>
    <n v="1140000000"/>
    <n v="965000000"/>
    <n v="837000000"/>
    <n v="600000000"/>
    <s v="Winter"/>
    <x v="0"/>
    <s v="Commercial"/>
    <s v="Total"/>
  </r>
  <r>
    <x v="18"/>
    <n v="2019"/>
    <n v="20"/>
    <s v="China +"/>
    <x v="2"/>
    <n v="513000000"/>
    <n v="488000000"/>
    <n v="480000000"/>
    <n v="512000000"/>
    <n v="554000000"/>
    <n v="700000000"/>
    <n v="1140000000"/>
    <n v="1640000000"/>
    <n v="1830000000"/>
    <n v="1790000000"/>
    <n v="1730000000"/>
    <n v="1690000000"/>
    <n v="1660000000"/>
    <n v="1650000000"/>
    <n v="1630000000"/>
    <n v="1630000000"/>
    <n v="1550000000"/>
    <n v="1430000000"/>
    <n v="1390000000"/>
    <n v="1230000000"/>
    <n v="1050000000"/>
    <n v="823000000"/>
    <n v="675000000"/>
    <n v="575000000"/>
    <s v="Spring"/>
    <x v="0"/>
    <s v="Commercial"/>
    <s v="Total"/>
  </r>
  <r>
    <x v="18"/>
    <n v="2019"/>
    <n v="20"/>
    <s v="China +"/>
    <x v="3"/>
    <n v="490000000"/>
    <n v="470000000"/>
    <n v="466000000"/>
    <n v="495000000"/>
    <n v="533000000"/>
    <n v="672000000"/>
    <n v="1070000000"/>
    <n v="1430000000"/>
    <n v="1640000000"/>
    <n v="1680000000"/>
    <n v="1670000000"/>
    <n v="1650000000"/>
    <n v="1630000000"/>
    <n v="1630000000"/>
    <n v="1630000000"/>
    <n v="1630000000"/>
    <n v="1550000000"/>
    <n v="1420000000"/>
    <n v="1360000000"/>
    <n v="1180000000"/>
    <n v="983000000"/>
    <n v="756000000"/>
    <n v="620000000"/>
    <n v="541000000"/>
    <s v="Spring"/>
    <x v="0"/>
    <s v="Commercial"/>
    <s v="Total"/>
  </r>
  <r>
    <x v="18"/>
    <n v="2019"/>
    <n v="20"/>
    <s v="China +"/>
    <x v="4"/>
    <n v="627000000"/>
    <n v="600000000"/>
    <n v="591000000"/>
    <n v="617000000"/>
    <n v="660000000"/>
    <n v="777000000"/>
    <n v="1150000000"/>
    <n v="1580000000"/>
    <n v="1910000000"/>
    <n v="2030000000"/>
    <n v="2070000000"/>
    <n v="2100000000"/>
    <n v="2090000000"/>
    <n v="2110000000"/>
    <n v="2120000000"/>
    <n v="2120000000"/>
    <n v="2030000000"/>
    <n v="1860000000"/>
    <n v="1760000000"/>
    <n v="1520000000"/>
    <n v="1270000000"/>
    <n v="1020000000"/>
    <n v="845000000"/>
    <n v="726000000"/>
    <s v="Spring"/>
    <x v="0"/>
    <s v="Commercial"/>
    <s v="Total"/>
  </r>
  <r>
    <x v="18"/>
    <n v="2019"/>
    <n v="20"/>
    <s v="China +"/>
    <x v="5"/>
    <n v="854000000"/>
    <n v="811000000"/>
    <n v="795000000"/>
    <n v="823000000"/>
    <n v="876000000"/>
    <n v="1010000000"/>
    <n v="1380000000"/>
    <n v="1860000000"/>
    <n v="2250000000"/>
    <n v="2420000000"/>
    <n v="2490000000"/>
    <n v="2530000000"/>
    <n v="2530000000"/>
    <n v="2560000000"/>
    <n v="2580000000"/>
    <n v="2580000000"/>
    <n v="2480000000"/>
    <n v="2290000000"/>
    <n v="2170000000"/>
    <n v="1900000000"/>
    <n v="1620000000"/>
    <n v="1340000000"/>
    <n v="1140000000"/>
    <n v="982000000"/>
    <s v="Summer"/>
    <x v="0"/>
    <s v="Commercial"/>
    <s v="Total"/>
  </r>
  <r>
    <x v="18"/>
    <n v="2019"/>
    <n v="20"/>
    <s v="China +"/>
    <x v="6"/>
    <n v="1120000000"/>
    <n v="1070000000"/>
    <n v="1050000000"/>
    <n v="1080000000"/>
    <n v="1140000000"/>
    <n v="1280000000"/>
    <n v="1680000000"/>
    <n v="2190000000"/>
    <n v="2630000000"/>
    <n v="2830000000"/>
    <n v="2920000000"/>
    <n v="2980000000"/>
    <n v="2970000000"/>
    <n v="3010000000"/>
    <n v="3040000000"/>
    <n v="3030000000"/>
    <n v="2920000000"/>
    <n v="2730000000"/>
    <n v="2580000000"/>
    <n v="2290000000"/>
    <n v="1990000000"/>
    <n v="1690000000"/>
    <n v="1460000000"/>
    <n v="1270000000"/>
    <s v="Summer"/>
    <x v="0"/>
    <s v="Commercial"/>
    <s v="Total"/>
  </r>
  <r>
    <x v="18"/>
    <n v="2019"/>
    <n v="20"/>
    <s v="China +"/>
    <x v="7"/>
    <n v="1070000000"/>
    <n v="1020000000"/>
    <n v="1000000000"/>
    <n v="1030000000"/>
    <n v="1090000000"/>
    <n v="1230000000"/>
    <n v="1630000000"/>
    <n v="2140000000"/>
    <n v="2570000000"/>
    <n v="2770000000"/>
    <n v="2860000000"/>
    <n v="2910000000"/>
    <n v="2910000000"/>
    <n v="2950000000"/>
    <n v="2980000000"/>
    <n v="2970000000"/>
    <n v="2860000000"/>
    <n v="2660000000"/>
    <n v="2520000000"/>
    <n v="2240000000"/>
    <n v="1930000000"/>
    <n v="1630000000"/>
    <n v="1400000000"/>
    <n v="1220000000"/>
    <s v="Summer"/>
    <x v="0"/>
    <s v="Commercial"/>
    <s v="Total"/>
  </r>
  <r>
    <x v="18"/>
    <n v="2019"/>
    <n v="20"/>
    <s v="China +"/>
    <x v="8"/>
    <n v="727000000"/>
    <n v="694000000"/>
    <n v="682000000"/>
    <n v="710000000"/>
    <n v="756000000"/>
    <n v="884000000"/>
    <n v="1240000000"/>
    <n v="1690000000"/>
    <n v="2040000000"/>
    <n v="2160000000"/>
    <n v="2210000000"/>
    <n v="2240000000"/>
    <n v="2220000000"/>
    <n v="2250000000"/>
    <n v="2270000000"/>
    <n v="2260000000"/>
    <n v="2170000000"/>
    <n v="2000000000"/>
    <n v="1890000000"/>
    <n v="1650000000"/>
    <n v="1400000000"/>
    <n v="1140000000"/>
    <n v="959000000"/>
    <n v="830000000"/>
    <s v="Fall"/>
    <x v="0"/>
    <s v="Commercial"/>
    <s v="Total"/>
  </r>
  <r>
    <x v="18"/>
    <n v="2019"/>
    <n v="20"/>
    <s v="China +"/>
    <x v="9"/>
    <n v="510000000"/>
    <n v="490000000"/>
    <n v="485000000"/>
    <n v="514000000"/>
    <n v="553000000"/>
    <n v="688000000"/>
    <n v="1070000000"/>
    <n v="1450000000"/>
    <n v="1690000000"/>
    <n v="1740000000"/>
    <n v="1730000000"/>
    <n v="1720000000"/>
    <n v="1700000000"/>
    <n v="1710000000"/>
    <n v="1710000000"/>
    <n v="1710000000"/>
    <n v="1630000000"/>
    <n v="1490000000"/>
    <n v="1430000000"/>
    <n v="1240000000"/>
    <n v="1030000000"/>
    <n v="796000000"/>
    <n v="653000000"/>
    <n v="571000000"/>
    <s v="Fall"/>
    <x v="0"/>
    <s v="Commercial"/>
    <s v="Total"/>
  </r>
  <r>
    <x v="18"/>
    <n v="2019"/>
    <n v="20"/>
    <s v="China +"/>
    <x v="10"/>
    <n v="524000000"/>
    <n v="502000000"/>
    <n v="485000000"/>
    <n v="515000000"/>
    <n v="559000000"/>
    <n v="665000000"/>
    <n v="989000000"/>
    <n v="1640000000"/>
    <n v="1850000000"/>
    <n v="1810000000"/>
    <n v="1760000000"/>
    <n v="1720000000"/>
    <n v="1680000000"/>
    <n v="1680000000"/>
    <n v="1670000000"/>
    <n v="1660000000"/>
    <n v="1590000000"/>
    <n v="1470000000"/>
    <n v="1430000000"/>
    <n v="1270000000"/>
    <n v="1070000000"/>
    <n v="871000000"/>
    <n v="736000000"/>
    <n v="584000000"/>
    <s v="Winter"/>
    <x v="0"/>
    <s v="Commercial"/>
    <s v="Total"/>
  </r>
  <r>
    <x v="18"/>
    <n v="2019"/>
    <n v="20"/>
    <s v="China +"/>
    <x v="11"/>
    <n v="578000000"/>
    <n v="549000000"/>
    <n v="526000000"/>
    <n v="560000000"/>
    <n v="610000000"/>
    <n v="711000000"/>
    <n v="1050000000"/>
    <n v="1820000000"/>
    <n v="2090000000"/>
    <n v="1970000000"/>
    <n v="1890000000"/>
    <n v="1840000000"/>
    <n v="1790000000"/>
    <n v="1770000000"/>
    <n v="1750000000"/>
    <n v="1750000000"/>
    <n v="1670000000"/>
    <n v="1550000000"/>
    <n v="1540000000"/>
    <n v="1380000000"/>
    <n v="1190000000"/>
    <n v="1000000000"/>
    <n v="873000000"/>
    <n v="617000000"/>
    <s v="Winter"/>
    <x v="0"/>
    <s v="Commercial"/>
    <s v="Total"/>
  </r>
  <r>
    <x v="19"/>
    <n v="2019"/>
    <n v="20"/>
    <s v="China +"/>
    <x v="0"/>
    <n v="259000000"/>
    <n v="235000000"/>
    <n v="225000000"/>
    <n v="232000000"/>
    <n v="238000000"/>
    <n v="262000000"/>
    <n v="302000000"/>
    <n v="444000000"/>
    <n v="532000000"/>
    <n v="523000000"/>
    <n v="492000000"/>
    <n v="476000000"/>
    <n v="462000000"/>
    <n v="431000000"/>
    <n v="407000000"/>
    <n v="394000000"/>
    <n v="376000000"/>
    <n v="384000000"/>
    <n v="401000000"/>
    <n v="357000000"/>
    <n v="344000000"/>
    <n v="331000000"/>
    <n v="317000000"/>
    <n v="279000000"/>
    <s v="Winter"/>
    <x v="1"/>
    <s v="Commercial"/>
    <s v="Total"/>
  </r>
  <r>
    <x v="19"/>
    <n v="2019"/>
    <n v="20"/>
    <s v="China +"/>
    <x v="1"/>
    <n v="248000000"/>
    <n v="221000000"/>
    <n v="212000000"/>
    <n v="217000000"/>
    <n v="225000000"/>
    <n v="246000000"/>
    <n v="286000000"/>
    <n v="421000000"/>
    <n v="503000000"/>
    <n v="492000000"/>
    <n v="463000000"/>
    <n v="449000000"/>
    <n v="437000000"/>
    <n v="407000000"/>
    <n v="385000000"/>
    <n v="370000000"/>
    <n v="352000000"/>
    <n v="357000000"/>
    <n v="371000000"/>
    <n v="334000000"/>
    <n v="323000000"/>
    <n v="310000000"/>
    <n v="295000000"/>
    <n v="259000000"/>
    <s v="Winter"/>
    <x v="1"/>
    <s v="Commercial"/>
    <s v="Total"/>
  </r>
  <r>
    <x v="19"/>
    <n v="2019"/>
    <n v="20"/>
    <s v="China +"/>
    <x v="2"/>
    <n v="233000000"/>
    <n v="205000000"/>
    <n v="201000000"/>
    <n v="205000000"/>
    <n v="210000000"/>
    <n v="235000000"/>
    <n v="292000000"/>
    <n v="394000000"/>
    <n v="440000000"/>
    <n v="442000000"/>
    <n v="422000000"/>
    <n v="414000000"/>
    <n v="405000000"/>
    <n v="379000000"/>
    <n v="360000000"/>
    <n v="342000000"/>
    <n v="325000000"/>
    <n v="330000000"/>
    <n v="330000000"/>
    <n v="314000000"/>
    <n v="305000000"/>
    <n v="288000000"/>
    <n v="266000000"/>
    <n v="241000000"/>
    <s v="Spring"/>
    <x v="1"/>
    <s v="Commercial"/>
    <s v="Total"/>
  </r>
  <r>
    <x v="19"/>
    <n v="2019"/>
    <n v="20"/>
    <s v="China +"/>
    <x v="3"/>
    <n v="232000000"/>
    <n v="207000000"/>
    <n v="204000000"/>
    <n v="208000000"/>
    <n v="212000000"/>
    <n v="234000000"/>
    <n v="283000000"/>
    <n v="352000000"/>
    <n v="390000000"/>
    <n v="412000000"/>
    <n v="405000000"/>
    <n v="405000000"/>
    <n v="403000000"/>
    <n v="381000000"/>
    <n v="365000000"/>
    <n v="346000000"/>
    <n v="328000000"/>
    <n v="328000000"/>
    <n v="323000000"/>
    <n v="315000000"/>
    <n v="303000000"/>
    <n v="283000000"/>
    <n v="261000000"/>
    <n v="239000000"/>
    <s v="Spring"/>
    <x v="1"/>
    <s v="Commercial"/>
    <s v="Total"/>
  </r>
  <r>
    <x v="19"/>
    <n v="2019"/>
    <n v="20"/>
    <s v="China +"/>
    <x v="4"/>
    <n v="314000000"/>
    <n v="287000000"/>
    <n v="282000000"/>
    <n v="285000000"/>
    <n v="291000000"/>
    <n v="317000000"/>
    <n v="360000000"/>
    <n v="445000000"/>
    <n v="513000000"/>
    <n v="562000000"/>
    <n v="578000000"/>
    <n v="594000000"/>
    <n v="606000000"/>
    <n v="592000000"/>
    <n v="578000000"/>
    <n v="558000000"/>
    <n v="533000000"/>
    <n v="518000000"/>
    <n v="499000000"/>
    <n v="471000000"/>
    <n v="437000000"/>
    <n v="398000000"/>
    <n v="363000000"/>
    <n v="327000000"/>
    <s v="Spring"/>
    <x v="1"/>
    <s v="Commercial"/>
    <s v="Total"/>
  </r>
  <r>
    <x v="19"/>
    <n v="2019"/>
    <n v="20"/>
    <s v="China +"/>
    <x v="5"/>
    <n v="424000000"/>
    <n v="390000000"/>
    <n v="383000000"/>
    <n v="388000000"/>
    <n v="400000000"/>
    <n v="433000000"/>
    <n v="484000000"/>
    <n v="582000000"/>
    <n v="667000000"/>
    <n v="730000000"/>
    <n v="756000000"/>
    <n v="780000000"/>
    <n v="797000000"/>
    <n v="786000000"/>
    <n v="773000000"/>
    <n v="753000000"/>
    <n v="724000000"/>
    <n v="703000000"/>
    <n v="676000000"/>
    <n v="637000000"/>
    <n v="592000000"/>
    <n v="541000000"/>
    <n v="495000000"/>
    <n v="447000000"/>
    <s v="Summer"/>
    <x v="1"/>
    <s v="Commercial"/>
    <s v="Total"/>
  </r>
  <r>
    <x v="19"/>
    <n v="2019"/>
    <n v="20"/>
    <s v="China +"/>
    <x v="6"/>
    <n v="554000000"/>
    <n v="516000000"/>
    <n v="508000000"/>
    <n v="513000000"/>
    <n v="528000000"/>
    <n v="568000000"/>
    <n v="626000000"/>
    <n v="734000000"/>
    <n v="831000000"/>
    <n v="903000000"/>
    <n v="936000000"/>
    <n v="965000000"/>
    <n v="986000000"/>
    <n v="977000000"/>
    <n v="964000000"/>
    <n v="944000000"/>
    <n v="912000000"/>
    <n v="886000000"/>
    <n v="854000000"/>
    <n v="808000000"/>
    <n v="755000000"/>
    <n v="696000000"/>
    <n v="641000000"/>
    <n v="584000000"/>
    <s v="Summer"/>
    <x v="1"/>
    <s v="Commercial"/>
    <s v="Total"/>
  </r>
  <r>
    <x v="19"/>
    <n v="2019"/>
    <n v="20"/>
    <s v="China +"/>
    <x v="7"/>
    <n v="530000000"/>
    <n v="493000000"/>
    <n v="485000000"/>
    <n v="491000000"/>
    <n v="505000000"/>
    <n v="543000000"/>
    <n v="601000000"/>
    <n v="709000000"/>
    <n v="805000000"/>
    <n v="876000000"/>
    <n v="909000000"/>
    <n v="938000000"/>
    <n v="959000000"/>
    <n v="950000000"/>
    <n v="938000000"/>
    <n v="917000000"/>
    <n v="885000000"/>
    <n v="859000000"/>
    <n v="827000000"/>
    <n v="781000000"/>
    <n v="728000000"/>
    <n v="670000000"/>
    <n v="615000000"/>
    <n v="559000000"/>
    <s v="Summer"/>
    <x v="1"/>
    <s v="Commercial"/>
    <s v="Total"/>
  </r>
  <r>
    <x v="19"/>
    <n v="2019"/>
    <n v="20"/>
    <s v="China +"/>
    <x v="8"/>
    <n v="359000000"/>
    <n v="330000000"/>
    <n v="325000000"/>
    <n v="328000000"/>
    <n v="336000000"/>
    <n v="365000000"/>
    <n v="410000000"/>
    <n v="498000000"/>
    <n v="569000000"/>
    <n v="618000000"/>
    <n v="634000000"/>
    <n v="650000000"/>
    <n v="662000000"/>
    <n v="647000000"/>
    <n v="633000000"/>
    <n v="614000000"/>
    <n v="588000000"/>
    <n v="573000000"/>
    <n v="554000000"/>
    <n v="525000000"/>
    <n v="491000000"/>
    <n v="451000000"/>
    <n v="415000000"/>
    <n v="376000000"/>
    <s v="Fall"/>
    <x v="1"/>
    <s v="Commercial"/>
    <s v="Total"/>
  </r>
  <r>
    <x v="19"/>
    <n v="2019"/>
    <n v="20"/>
    <s v="China +"/>
    <x v="9"/>
    <n v="245000000"/>
    <n v="220000000"/>
    <n v="217000000"/>
    <n v="220000000"/>
    <n v="224000000"/>
    <n v="247000000"/>
    <n v="292000000"/>
    <n v="365000000"/>
    <n v="408000000"/>
    <n v="434000000"/>
    <n v="430000000"/>
    <n v="432000000"/>
    <n v="433000000"/>
    <n v="411000000"/>
    <n v="395000000"/>
    <n v="377000000"/>
    <n v="358000000"/>
    <n v="357000000"/>
    <n v="350000000"/>
    <n v="338000000"/>
    <n v="322000000"/>
    <n v="299000000"/>
    <n v="276000000"/>
    <n v="252000000"/>
    <s v="Fall"/>
    <x v="1"/>
    <s v="Commercial"/>
    <s v="Total"/>
  </r>
  <r>
    <x v="19"/>
    <n v="2019"/>
    <n v="20"/>
    <s v="China +"/>
    <x v="10"/>
    <n v="240000000"/>
    <n v="214000000"/>
    <n v="207000000"/>
    <n v="211000000"/>
    <n v="216000000"/>
    <n v="238000000"/>
    <n v="283000000"/>
    <n v="386000000"/>
    <n v="435000000"/>
    <n v="445000000"/>
    <n v="428000000"/>
    <n v="421000000"/>
    <n v="414000000"/>
    <n v="388000000"/>
    <n v="368000000"/>
    <n v="352000000"/>
    <n v="336000000"/>
    <n v="341000000"/>
    <n v="346000000"/>
    <n v="329000000"/>
    <n v="316000000"/>
    <n v="299000000"/>
    <n v="279000000"/>
    <n v="249000000"/>
    <s v="Winter"/>
    <x v="1"/>
    <s v="Commercial"/>
    <s v="Total"/>
  </r>
  <r>
    <x v="19"/>
    <n v="2019"/>
    <n v="20"/>
    <s v="China +"/>
    <x v="11"/>
    <n v="252000000"/>
    <n v="224000000"/>
    <n v="215000000"/>
    <n v="220000000"/>
    <n v="227000000"/>
    <n v="248000000"/>
    <n v="288000000"/>
    <n v="429000000"/>
    <n v="510000000"/>
    <n v="501000000"/>
    <n v="474000000"/>
    <n v="460000000"/>
    <n v="448000000"/>
    <n v="418000000"/>
    <n v="396000000"/>
    <n v="384000000"/>
    <n v="367000000"/>
    <n v="377000000"/>
    <n v="393000000"/>
    <n v="347000000"/>
    <n v="335000000"/>
    <n v="321000000"/>
    <n v="306000000"/>
    <n v="268000000"/>
    <s v="Winter"/>
    <x v="1"/>
    <s v="Commercial"/>
    <s v="Total"/>
  </r>
  <r>
    <x v="20"/>
    <n v="2019"/>
    <n v="20"/>
    <s v="China +"/>
    <x v="0"/>
    <n v="12200000000"/>
    <n v="11800000000"/>
    <n v="11600000000"/>
    <n v="11500000000"/>
    <n v="11600000000"/>
    <n v="12200000000"/>
    <n v="13400000000"/>
    <n v="15100000000"/>
    <n v="15900000000"/>
    <n v="15300000000"/>
    <n v="14800000000"/>
    <n v="14700000000"/>
    <n v="14700000000"/>
    <n v="14700000000"/>
    <n v="14600000000"/>
    <n v="14900000000"/>
    <n v="15700000000"/>
    <n v="16400000000"/>
    <n v="16500000000"/>
    <n v="16000000000"/>
    <n v="15500000000"/>
    <n v="14900000000"/>
    <n v="13700000000"/>
    <n v="12700000000"/>
    <s v="Winter"/>
    <x v="0"/>
    <s v="All Sectors"/>
    <s v="Total"/>
  </r>
  <r>
    <x v="20"/>
    <n v="2019"/>
    <n v="20"/>
    <s v="China +"/>
    <x v="1"/>
    <n v="12100000000"/>
    <n v="11700000000"/>
    <n v="11500000000"/>
    <n v="11400000000"/>
    <n v="11500000000"/>
    <n v="12000000000"/>
    <n v="13200000000"/>
    <n v="14800000000"/>
    <n v="15600000000"/>
    <n v="15100000000"/>
    <n v="14600000000"/>
    <n v="14500000000"/>
    <n v="14500000000"/>
    <n v="14500000000"/>
    <n v="14500000000"/>
    <n v="14700000000"/>
    <n v="15400000000"/>
    <n v="16200000000"/>
    <n v="16200000000"/>
    <n v="15800000000"/>
    <n v="15300000000"/>
    <n v="14700000000"/>
    <n v="13500000000"/>
    <n v="12600000000"/>
    <s v="Winter"/>
    <x v="0"/>
    <s v="All Sectors"/>
    <s v="Total"/>
  </r>
  <r>
    <x v="20"/>
    <n v="2019"/>
    <n v="20"/>
    <s v="China +"/>
    <x v="2"/>
    <n v="11900000000"/>
    <n v="11500000000"/>
    <n v="11300000000"/>
    <n v="11300000000"/>
    <n v="11300000000"/>
    <n v="11900000000"/>
    <n v="13100000000"/>
    <n v="14500000000"/>
    <n v="15300000000"/>
    <n v="14900000000"/>
    <n v="14500000000"/>
    <n v="14400000000"/>
    <n v="14400000000"/>
    <n v="14400000000"/>
    <n v="14400000000"/>
    <n v="14600000000"/>
    <n v="15200000000"/>
    <n v="16000000000"/>
    <n v="16100000000"/>
    <n v="15600000000"/>
    <n v="15000000000"/>
    <n v="14400000000"/>
    <n v="13200000000"/>
    <n v="12500000000"/>
    <s v="Spring"/>
    <x v="0"/>
    <s v="All Sectors"/>
    <s v="Total"/>
  </r>
  <r>
    <x v="20"/>
    <n v="2019"/>
    <n v="20"/>
    <s v="China +"/>
    <x v="3"/>
    <n v="11400000000"/>
    <n v="11000000000"/>
    <n v="10800000000"/>
    <n v="10800000000"/>
    <n v="10900000000"/>
    <n v="11400000000"/>
    <n v="12300000000"/>
    <n v="13700000000"/>
    <n v="14500000000"/>
    <n v="14300000000"/>
    <n v="14000000000"/>
    <n v="13900000000"/>
    <n v="14000000000"/>
    <n v="14100000000"/>
    <n v="14100000000"/>
    <n v="14300000000"/>
    <n v="14900000000"/>
    <n v="15400000000"/>
    <n v="15600000000"/>
    <n v="15100000000"/>
    <n v="14500000000"/>
    <n v="13800000000"/>
    <n v="12700000000"/>
    <n v="12000000000"/>
    <s v="Spring"/>
    <x v="0"/>
    <s v="All Sectors"/>
    <s v="Total"/>
  </r>
  <r>
    <x v="20"/>
    <n v="2019"/>
    <n v="20"/>
    <s v="China +"/>
    <x v="4"/>
    <n v="11900000000"/>
    <n v="11400000000"/>
    <n v="11200000000"/>
    <n v="11200000000"/>
    <n v="11300000000"/>
    <n v="11800000000"/>
    <n v="12700000000"/>
    <n v="14300000000"/>
    <n v="15200000000"/>
    <n v="15200000000"/>
    <n v="15000000000"/>
    <n v="15100000000"/>
    <n v="15300000000"/>
    <n v="15500000000"/>
    <n v="15600000000"/>
    <n v="15900000000"/>
    <n v="16500000000"/>
    <n v="16900000000"/>
    <n v="17100000000"/>
    <n v="16400000000"/>
    <n v="15600000000"/>
    <n v="14800000000"/>
    <n v="13500000000"/>
    <n v="12500000000"/>
    <s v="Spring"/>
    <x v="0"/>
    <s v="All Sectors"/>
    <s v="Total"/>
  </r>
  <r>
    <x v="20"/>
    <n v="2019"/>
    <n v="20"/>
    <s v="China +"/>
    <x v="5"/>
    <n v="13000000000"/>
    <n v="12500000000"/>
    <n v="12200000000"/>
    <n v="12200000000"/>
    <n v="12400000000"/>
    <n v="12900000000"/>
    <n v="13700000000"/>
    <n v="15200000000"/>
    <n v="16200000000"/>
    <n v="16100000000"/>
    <n v="15900000000"/>
    <n v="16100000000"/>
    <n v="16400000000"/>
    <n v="16600000000"/>
    <n v="16700000000"/>
    <n v="17000000000"/>
    <n v="17600000000"/>
    <n v="18100000000"/>
    <n v="18300000000"/>
    <n v="17700000000"/>
    <n v="16900000000"/>
    <n v="16100000000"/>
    <n v="14700000000"/>
    <n v="13700000000"/>
    <s v="Summer"/>
    <x v="0"/>
    <s v="All Sectors"/>
    <s v="Total"/>
  </r>
  <r>
    <x v="20"/>
    <n v="2019"/>
    <n v="20"/>
    <s v="China +"/>
    <x v="6"/>
    <n v="13400000000"/>
    <n v="12900000000"/>
    <n v="12700000000"/>
    <n v="12600000000"/>
    <n v="12800000000"/>
    <n v="13300000000"/>
    <n v="14100000000"/>
    <n v="15400000000"/>
    <n v="16300000000"/>
    <n v="16300000000"/>
    <n v="16100000000"/>
    <n v="16400000000"/>
    <n v="16700000000"/>
    <n v="16900000000"/>
    <n v="17000000000"/>
    <n v="17400000000"/>
    <n v="18100000000"/>
    <n v="18600000000"/>
    <n v="18800000000"/>
    <n v="18200000000"/>
    <n v="17500000000"/>
    <n v="16600000000"/>
    <n v="15300000000"/>
    <n v="14200000000"/>
    <s v="Summer"/>
    <x v="0"/>
    <s v="All Sectors"/>
    <s v="Total"/>
  </r>
  <r>
    <x v="20"/>
    <n v="2019"/>
    <n v="20"/>
    <s v="China +"/>
    <x v="7"/>
    <n v="13700000000"/>
    <n v="13200000000"/>
    <n v="13000000000"/>
    <n v="12900000000"/>
    <n v="13100000000"/>
    <n v="13600000000"/>
    <n v="14500000000"/>
    <n v="15800000000"/>
    <n v="16800000000"/>
    <n v="16700000000"/>
    <n v="16500000000"/>
    <n v="16800000000"/>
    <n v="17100000000"/>
    <n v="17300000000"/>
    <n v="17400000000"/>
    <n v="17800000000"/>
    <n v="18500000000"/>
    <n v="19000000000"/>
    <n v="19200000000"/>
    <n v="18600000000"/>
    <n v="17800000000"/>
    <n v="17000000000"/>
    <n v="15600000000"/>
    <n v="14500000000"/>
    <s v="Summer"/>
    <x v="0"/>
    <s v="All Sectors"/>
    <s v="Total"/>
  </r>
  <r>
    <x v="20"/>
    <n v="2019"/>
    <n v="20"/>
    <s v="China +"/>
    <x v="8"/>
    <n v="12500000000"/>
    <n v="12000000000"/>
    <n v="11800000000"/>
    <n v="11700000000"/>
    <n v="11900000000"/>
    <n v="12400000000"/>
    <n v="13400000000"/>
    <n v="14700000000"/>
    <n v="15700000000"/>
    <n v="15600000000"/>
    <n v="15400000000"/>
    <n v="15500000000"/>
    <n v="15700000000"/>
    <n v="15900000000"/>
    <n v="15900000000"/>
    <n v="16300000000"/>
    <n v="16900000000"/>
    <n v="17500000000"/>
    <n v="17600000000"/>
    <n v="16900000000"/>
    <n v="16200000000"/>
    <n v="15400000000"/>
    <n v="14100000000"/>
    <n v="13200000000"/>
    <s v="Fall"/>
    <x v="0"/>
    <s v="All Sectors"/>
    <s v="Total"/>
  </r>
  <r>
    <x v="20"/>
    <n v="2019"/>
    <n v="20"/>
    <s v="China +"/>
    <x v="9"/>
    <n v="11700000000"/>
    <n v="11300000000"/>
    <n v="11100000000"/>
    <n v="11000000000"/>
    <n v="11100000000"/>
    <n v="11700000000"/>
    <n v="12800000000"/>
    <n v="14000000000"/>
    <n v="14900000000"/>
    <n v="14700000000"/>
    <n v="14300000000"/>
    <n v="14400000000"/>
    <n v="14500000000"/>
    <n v="14500000000"/>
    <n v="14500000000"/>
    <n v="14800000000"/>
    <n v="15400000000"/>
    <n v="16200000000"/>
    <n v="16100000000"/>
    <n v="15500000000"/>
    <n v="14900000000"/>
    <n v="14200000000"/>
    <n v="13100000000"/>
    <n v="12300000000"/>
    <s v="Fall"/>
    <x v="0"/>
    <s v="All Sectors"/>
    <s v="Total"/>
  </r>
  <r>
    <x v="20"/>
    <n v="2019"/>
    <n v="20"/>
    <s v="China +"/>
    <x v="10"/>
    <n v="11900000000"/>
    <n v="11500000000"/>
    <n v="11300000000"/>
    <n v="11300000000"/>
    <n v="11300000000"/>
    <n v="11900000000"/>
    <n v="13000000000"/>
    <n v="14600000000"/>
    <n v="15300000000"/>
    <n v="15000000000"/>
    <n v="14500000000"/>
    <n v="14500000000"/>
    <n v="14500000000"/>
    <n v="14500000000"/>
    <n v="14500000000"/>
    <n v="14800000000"/>
    <n v="15400000000"/>
    <n v="16200000000"/>
    <n v="16200000000"/>
    <n v="15700000000"/>
    <n v="15100000000"/>
    <n v="14500000000"/>
    <n v="13300000000"/>
    <n v="12500000000"/>
    <s v="Winter"/>
    <x v="0"/>
    <s v="All Sectors"/>
    <s v="Total"/>
  </r>
  <r>
    <x v="20"/>
    <n v="2019"/>
    <n v="20"/>
    <s v="China +"/>
    <x v="11"/>
    <n v="11600000000"/>
    <n v="11200000000"/>
    <n v="11000000000"/>
    <n v="10900000000"/>
    <n v="11000000000"/>
    <n v="11600000000"/>
    <n v="12700000000"/>
    <n v="14500000000"/>
    <n v="15200000000"/>
    <n v="14700000000"/>
    <n v="14200000000"/>
    <n v="14100000000"/>
    <n v="14100000000"/>
    <n v="14100000000"/>
    <n v="14000000000"/>
    <n v="14300000000"/>
    <n v="15100000000"/>
    <n v="15800000000"/>
    <n v="15800000000"/>
    <n v="15400000000"/>
    <n v="14800000000"/>
    <n v="14200000000"/>
    <n v="13100000000"/>
    <n v="12100000000"/>
    <s v="Winter"/>
    <x v="0"/>
    <s v="All Sectors"/>
    <s v="Total"/>
  </r>
  <r>
    <x v="21"/>
    <n v="2019"/>
    <n v="20"/>
    <s v="China +"/>
    <x v="0"/>
    <n v="6350000000"/>
    <n v="6130000000"/>
    <n v="6000000000"/>
    <n v="5950000000"/>
    <n v="5980000000"/>
    <n v="6100000000"/>
    <n v="6390000000"/>
    <n v="6780000000"/>
    <n v="7090000000"/>
    <n v="7420000000"/>
    <n v="7690000000"/>
    <n v="7820000000"/>
    <n v="7700000000"/>
    <n v="7550000000"/>
    <n v="7580000000"/>
    <n v="7560000000"/>
    <n v="7720000000"/>
    <n v="7910000000"/>
    <n v="7960000000"/>
    <n v="7830000000"/>
    <n v="7700000000"/>
    <n v="7440000000"/>
    <n v="7050000000"/>
    <n v="6620000000"/>
    <s v="Winter"/>
    <x v="1"/>
    <s v="All Sectors"/>
    <s v="Total"/>
  </r>
  <r>
    <x v="21"/>
    <n v="2019"/>
    <n v="20"/>
    <s v="China +"/>
    <x v="1"/>
    <n v="6280000000"/>
    <n v="6060000000"/>
    <n v="5930000000"/>
    <n v="5870000000"/>
    <n v="5900000000"/>
    <n v="6030000000"/>
    <n v="6310000000"/>
    <n v="6640000000"/>
    <n v="6990000000"/>
    <n v="7320000000"/>
    <n v="7600000000"/>
    <n v="7720000000"/>
    <n v="7610000000"/>
    <n v="7480000000"/>
    <n v="7500000000"/>
    <n v="7490000000"/>
    <n v="7580000000"/>
    <n v="7810000000"/>
    <n v="7850000000"/>
    <n v="7730000000"/>
    <n v="7600000000"/>
    <n v="7340000000"/>
    <n v="6960000000"/>
    <n v="6540000000"/>
    <s v="Winter"/>
    <x v="1"/>
    <s v="All Sectors"/>
    <s v="Total"/>
  </r>
  <r>
    <x v="21"/>
    <n v="2019"/>
    <n v="20"/>
    <s v="China +"/>
    <x v="2"/>
    <n v="6210000000"/>
    <n v="5990000000"/>
    <n v="5860000000"/>
    <n v="5800000000"/>
    <n v="5830000000"/>
    <n v="5960000000"/>
    <n v="6240000000"/>
    <n v="6520000000"/>
    <n v="6870000000"/>
    <n v="7220000000"/>
    <n v="7510000000"/>
    <n v="7660000000"/>
    <n v="7550000000"/>
    <n v="7430000000"/>
    <n v="7460000000"/>
    <n v="7440000000"/>
    <n v="7490000000"/>
    <n v="7720000000"/>
    <n v="7760000000"/>
    <n v="7640000000"/>
    <n v="7500000000"/>
    <n v="7230000000"/>
    <n v="6860000000"/>
    <n v="6460000000"/>
    <s v="Spring"/>
    <x v="1"/>
    <s v="All Sectors"/>
    <s v="Total"/>
  </r>
  <r>
    <x v="21"/>
    <n v="2019"/>
    <n v="20"/>
    <s v="China +"/>
    <x v="3"/>
    <n v="5950000000"/>
    <n v="5730000000"/>
    <n v="5610000000"/>
    <n v="5550000000"/>
    <n v="5590000000"/>
    <n v="5700000000"/>
    <n v="5910000000"/>
    <n v="6210000000"/>
    <n v="6540000000"/>
    <n v="6910000000"/>
    <n v="7230000000"/>
    <n v="7450000000"/>
    <n v="7390000000"/>
    <n v="7290000000"/>
    <n v="7330000000"/>
    <n v="7300000000"/>
    <n v="7320000000"/>
    <n v="7380000000"/>
    <n v="7510000000"/>
    <n v="7390000000"/>
    <n v="7230000000"/>
    <n v="6970000000"/>
    <n v="6610000000"/>
    <n v="6210000000"/>
    <s v="Spring"/>
    <x v="1"/>
    <s v="All Sectors"/>
    <s v="Total"/>
  </r>
  <r>
    <x v="21"/>
    <n v="2019"/>
    <n v="20"/>
    <s v="China +"/>
    <x v="4"/>
    <n v="6170000000"/>
    <n v="5940000000"/>
    <n v="5810000000"/>
    <n v="5760000000"/>
    <n v="5810000000"/>
    <n v="5950000000"/>
    <n v="6200000000"/>
    <n v="6590000000"/>
    <n v="7000000000"/>
    <n v="7430000000"/>
    <n v="7820000000"/>
    <n v="8140000000"/>
    <n v="8150000000"/>
    <n v="8090000000"/>
    <n v="8140000000"/>
    <n v="8100000000"/>
    <n v="8100000000"/>
    <n v="8090000000"/>
    <n v="8200000000"/>
    <n v="7990000000"/>
    <n v="7730000000"/>
    <n v="7370000000"/>
    <n v="6930000000"/>
    <n v="6470000000"/>
    <s v="Spring"/>
    <x v="1"/>
    <s v="All Sectors"/>
    <s v="Total"/>
  </r>
  <r>
    <x v="21"/>
    <n v="2019"/>
    <n v="20"/>
    <s v="China +"/>
    <x v="5"/>
    <n v="6690000000"/>
    <n v="6430000000"/>
    <n v="6290000000"/>
    <n v="6250000000"/>
    <n v="6340000000"/>
    <n v="6510000000"/>
    <n v="6780000000"/>
    <n v="7180000000"/>
    <n v="7590000000"/>
    <n v="7990000000"/>
    <n v="8370000000"/>
    <n v="8720000000"/>
    <n v="8740000000"/>
    <n v="8690000000"/>
    <n v="8740000000"/>
    <n v="8700000000"/>
    <n v="8700000000"/>
    <n v="8690000000"/>
    <n v="8780000000"/>
    <n v="8620000000"/>
    <n v="8350000000"/>
    <n v="7970000000"/>
    <n v="7510000000"/>
    <n v="7020000000"/>
    <s v="Summer"/>
    <x v="1"/>
    <s v="All Sectors"/>
    <s v="Total"/>
  </r>
  <r>
    <x v="21"/>
    <n v="2019"/>
    <n v="20"/>
    <s v="China +"/>
    <x v="6"/>
    <n v="6890000000"/>
    <n v="6610000000"/>
    <n v="6480000000"/>
    <n v="6440000000"/>
    <n v="6540000000"/>
    <n v="6730000000"/>
    <n v="7000000000"/>
    <n v="7400000000"/>
    <n v="7790000000"/>
    <n v="8170000000"/>
    <n v="8540000000"/>
    <n v="8900000000"/>
    <n v="8950000000"/>
    <n v="8900000000"/>
    <n v="8950000000"/>
    <n v="8910000000"/>
    <n v="8900000000"/>
    <n v="8900000000"/>
    <n v="9030000000"/>
    <n v="8850000000"/>
    <n v="8580000000"/>
    <n v="8200000000"/>
    <n v="7730000000"/>
    <n v="7230000000"/>
    <s v="Summer"/>
    <x v="1"/>
    <s v="All Sectors"/>
    <s v="Total"/>
  </r>
  <r>
    <x v="21"/>
    <n v="2019"/>
    <n v="20"/>
    <s v="China +"/>
    <x v="7"/>
    <n v="7050000000"/>
    <n v="6780000000"/>
    <n v="6640000000"/>
    <n v="6600000000"/>
    <n v="6700000000"/>
    <n v="6900000000"/>
    <n v="7180000000"/>
    <n v="7570000000"/>
    <n v="7970000000"/>
    <n v="8360000000"/>
    <n v="8740000000"/>
    <n v="9110000000"/>
    <n v="9150000000"/>
    <n v="9110000000"/>
    <n v="9160000000"/>
    <n v="9120000000"/>
    <n v="9120000000"/>
    <n v="9130000000"/>
    <n v="9250000000"/>
    <n v="9050000000"/>
    <n v="8770000000"/>
    <n v="8380000000"/>
    <n v="7900000000"/>
    <n v="7400000000"/>
    <s v="Summer"/>
    <x v="1"/>
    <s v="All Sectors"/>
    <s v="Total"/>
  </r>
  <r>
    <x v="21"/>
    <n v="2019"/>
    <n v="20"/>
    <s v="China +"/>
    <x v="8"/>
    <n v="6460000000"/>
    <n v="6220000000"/>
    <n v="6090000000"/>
    <n v="6040000000"/>
    <n v="6100000000"/>
    <n v="6270000000"/>
    <n v="6540000000"/>
    <n v="6880000000"/>
    <n v="7270000000"/>
    <n v="7670000000"/>
    <n v="8040000000"/>
    <n v="8350000000"/>
    <n v="8350000000"/>
    <n v="8290000000"/>
    <n v="8330000000"/>
    <n v="8300000000"/>
    <n v="8300000000"/>
    <n v="8390000000"/>
    <n v="8450000000"/>
    <n v="8270000000"/>
    <n v="8030000000"/>
    <n v="7680000000"/>
    <n v="7240000000"/>
    <n v="6780000000"/>
    <s v="Fall"/>
    <x v="1"/>
    <s v="All Sectors"/>
    <s v="Total"/>
  </r>
  <r>
    <x v="21"/>
    <n v="2019"/>
    <n v="20"/>
    <s v="China +"/>
    <x v="9"/>
    <n v="6100000000"/>
    <n v="5880000000"/>
    <n v="5750000000"/>
    <n v="5700000000"/>
    <n v="5730000000"/>
    <n v="5850000000"/>
    <n v="6130000000"/>
    <n v="6380000000"/>
    <n v="6720000000"/>
    <n v="7100000000"/>
    <n v="7440000000"/>
    <n v="7670000000"/>
    <n v="7620000000"/>
    <n v="7520000000"/>
    <n v="7560000000"/>
    <n v="7530000000"/>
    <n v="7570000000"/>
    <n v="7780000000"/>
    <n v="7760000000"/>
    <n v="7610000000"/>
    <n v="7430000000"/>
    <n v="7140000000"/>
    <n v="6770000000"/>
    <n v="6360000000"/>
    <s v="Fall"/>
    <x v="1"/>
    <s v="All Sectors"/>
    <s v="Total"/>
  </r>
  <r>
    <x v="21"/>
    <n v="2019"/>
    <n v="20"/>
    <s v="China +"/>
    <x v="10"/>
    <n v="6210000000"/>
    <n v="5990000000"/>
    <n v="5860000000"/>
    <n v="5800000000"/>
    <n v="5840000000"/>
    <n v="5960000000"/>
    <n v="6250000000"/>
    <n v="6570000000"/>
    <n v="6880000000"/>
    <n v="7230000000"/>
    <n v="7530000000"/>
    <n v="7700000000"/>
    <n v="7600000000"/>
    <n v="7480000000"/>
    <n v="7510000000"/>
    <n v="7490000000"/>
    <n v="7600000000"/>
    <n v="7800000000"/>
    <n v="7820000000"/>
    <n v="7700000000"/>
    <n v="7550000000"/>
    <n v="7270000000"/>
    <n v="6890000000"/>
    <n v="6470000000"/>
    <s v="Winter"/>
    <x v="1"/>
    <s v="All Sectors"/>
    <s v="Total"/>
  </r>
  <r>
    <x v="21"/>
    <n v="2019"/>
    <n v="20"/>
    <s v="China +"/>
    <x v="11"/>
    <n v="6040000000"/>
    <n v="5820000000"/>
    <n v="5690000000"/>
    <n v="5630000000"/>
    <n v="5660000000"/>
    <n v="5780000000"/>
    <n v="6060000000"/>
    <n v="6460000000"/>
    <n v="6750000000"/>
    <n v="7080000000"/>
    <n v="7360000000"/>
    <n v="7490000000"/>
    <n v="7370000000"/>
    <n v="7240000000"/>
    <n v="7260000000"/>
    <n v="7240000000"/>
    <n v="7430000000"/>
    <n v="7580000000"/>
    <n v="7630000000"/>
    <n v="7500000000"/>
    <n v="7370000000"/>
    <n v="7110000000"/>
    <n v="6730000000"/>
    <n v="6300000000"/>
    <s v="Winter"/>
    <x v="1"/>
    <s v="All Sectors"/>
    <s v="Total"/>
  </r>
  <r>
    <x v="22"/>
    <n v="2019"/>
    <n v="20"/>
    <s v="China +"/>
    <x v="0"/>
    <n v="158000000"/>
    <n v="140000000"/>
    <n v="135000000"/>
    <n v="139000000"/>
    <n v="135000000"/>
    <n v="171000000"/>
    <n v="329000000"/>
    <n v="882000000"/>
    <n v="1250000000"/>
    <n v="1060000000"/>
    <n v="781000000"/>
    <n v="790000000"/>
    <n v="849000000"/>
    <n v="835000000"/>
    <n v="789000000"/>
    <n v="896000000"/>
    <n v="1170000000"/>
    <n v="1420000000"/>
    <n v="1370000000"/>
    <n v="1080000000"/>
    <n v="779000000"/>
    <n v="576000000"/>
    <n v="406000000"/>
    <n v="279000000"/>
    <s v="Winter"/>
    <x v="0"/>
    <s v="Transportation"/>
    <s v="Transportation"/>
  </r>
  <r>
    <x v="22"/>
    <n v="2019"/>
    <n v="20"/>
    <s v="China +"/>
    <x v="1"/>
    <n v="155000000"/>
    <n v="137000000"/>
    <n v="132000000"/>
    <n v="136000000"/>
    <n v="132000000"/>
    <n v="168000000"/>
    <n v="324000000"/>
    <n v="873000000"/>
    <n v="1250000000"/>
    <n v="1060000000"/>
    <n v="774000000"/>
    <n v="783000000"/>
    <n v="843000000"/>
    <n v="829000000"/>
    <n v="783000000"/>
    <n v="888000000"/>
    <n v="1170000000"/>
    <n v="1410000000"/>
    <n v="1360000000"/>
    <n v="1070000000"/>
    <n v="772000000"/>
    <n v="570000000"/>
    <n v="400000000"/>
    <n v="275000000"/>
    <s v="Winter"/>
    <x v="0"/>
    <s v="Transportation"/>
    <s v="Transportation"/>
  </r>
  <r>
    <x v="22"/>
    <n v="2019"/>
    <n v="20"/>
    <s v="China +"/>
    <x v="2"/>
    <n v="152000000"/>
    <n v="134000000"/>
    <n v="129000000"/>
    <n v="133000000"/>
    <n v="129000000"/>
    <n v="165000000"/>
    <n v="320000000"/>
    <n v="865000000"/>
    <n v="1240000000"/>
    <n v="1050000000"/>
    <n v="768000000"/>
    <n v="777000000"/>
    <n v="836000000"/>
    <n v="822000000"/>
    <n v="776000000"/>
    <n v="881000000"/>
    <n v="1160000000"/>
    <n v="1410000000"/>
    <n v="1350000000"/>
    <n v="1060000000"/>
    <n v="766000000"/>
    <n v="564000000"/>
    <n v="393000000"/>
    <n v="271000000"/>
    <s v="Spring"/>
    <x v="0"/>
    <s v="Transportation"/>
    <s v="Transportation"/>
  </r>
  <r>
    <x v="22"/>
    <n v="2019"/>
    <n v="20"/>
    <s v="China +"/>
    <x v="3"/>
    <n v="149000000"/>
    <n v="131000000"/>
    <n v="126000000"/>
    <n v="130000000"/>
    <n v="126000000"/>
    <n v="162000000"/>
    <n v="316000000"/>
    <n v="856000000"/>
    <n v="1230000000"/>
    <n v="1040000000"/>
    <n v="761000000"/>
    <n v="770000000"/>
    <n v="830000000"/>
    <n v="816000000"/>
    <n v="770000000"/>
    <n v="873000000"/>
    <n v="1150000000"/>
    <n v="1400000000"/>
    <n v="1350000000"/>
    <n v="1060000000"/>
    <n v="759000000"/>
    <n v="557000000"/>
    <n v="387000000"/>
    <n v="266000000"/>
    <s v="Spring"/>
    <x v="0"/>
    <s v="Transportation"/>
    <s v="Transportation"/>
  </r>
  <r>
    <x v="22"/>
    <n v="2019"/>
    <n v="20"/>
    <s v="China +"/>
    <x v="4"/>
    <n v="146000000"/>
    <n v="128000000"/>
    <n v="123000000"/>
    <n v="127000000"/>
    <n v="122000000"/>
    <n v="159000000"/>
    <n v="311000000"/>
    <n v="847000000"/>
    <n v="1220000000"/>
    <n v="1030000000"/>
    <n v="754000000"/>
    <n v="764000000"/>
    <n v="823000000"/>
    <n v="809000000"/>
    <n v="763000000"/>
    <n v="865000000"/>
    <n v="1140000000"/>
    <n v="1390000000"/>
    <n v="1340000000"/>
    <n v="1050000000"/>
    <n v="753000000"/>
    <n v="550000000"/>
    <n v="380000000"/>
    <n v="262000000"/>
    <s v="Spring"/>
    <x v="0"/>
    <s v="Transportation"/>
    <s v="Transportation"/>
  </r>
  <r>
    <x v="22"/>
    <n v="2019"/>
    <n v="20"/>
    <s v="China +"/>
    <x v="5"/>
    <n v="143000000"/>
    <n v="124000000"/>
    <n v="120000000"/>
    <n v="124000000"/>
    <n v="119000000"/>
    <n v="156000000"/>
    <n v="306000000"/>
    <n v="838000000"/>
    <n v="1210000000"/>
    <n v="1020000000"/>
    <n v="748000000"/>
    <n v="757000000"/>
    <n v="816000000"/>
    <n v="802000000"/>
    <n v="756000000"/>
    <n v="856000000"/>
    <n v="1130000000"/>
    <n v="1380000000"/>
    <n v="1330000000"/>
    <n v="1040000000"/>
    <n v="746000000"/>
    <n v="543000000"/>
    <n v="373000000"/>
    <n v="257000000"/>
    <s v="Summer"/>
    <x v="0"/>
    <s v="Transportation"/>
    <s v="Transportation"/>
  </r>
  <r>
    <x v="22"/>
    <n v="2019"/>
    <n v="20"/>
    <s v="China +"/>
    <x v="6"/>
    <n v="140000000"/>
    <n v="122000000"/>
    <n v="117000000"/>
    <n v="121000000"/>
    <n v="117000000"/>
    <n v="153000000"/>
    <n v="303000000"/>
    <n v="831000000"/>
    <n v="1200000000"/>
    <n v="1020000000"/>
    <n v="742000000"/>
    <n v="751000000"/>
    <n v="811000000"/>
    <n v="797000000"/>
    <n v="751000000"/>
    <n v="850000000"/>
    <n v="1120000000"/>
    <n v="1370000000"/>
    <n v="1320000000"/>
    <n v="1040000000"/>
    <n v="740000000"/>
    <n v="538000000"/>
    <n v="368000000"/>
    <n v="254000000"/>
    <s v="Summer"/>
    <x v="0"/>
    <s v="Transportation"/>
    <s v="Transportation"/>
  </r>
  <r>
    <x v="22"/>
    <n v="2019"/>
    <n v="20"/>
    <s v="China +"/>
    <x v="7"/>
    <n v="144000000"/>
    <n v="125000000"/>
    <n v="120000000"/>
    <n v="125000000"/>
    <n v="120000000"/>
    <n v="157000000"/>
    <n v="308000000"/>
    <n v="840000000"/>
    <n v="1210000000"/>
    <n v="1030000000"/>
    <n v="750000000"/>
    <n v="759000000"/>
    <n v="818000000"/>
    <n v="804000000"/>
    <n v="758000000"/>
    <n v="859000000"/>
    <n v="1130000000"/>
    <n v="1380000000"/>
    <n v="1330000000"/>
    <n v="1050000000"/>
    <n v="748000000"/>
    <n v="545000000"/>
    <n v="375000000"/>
    <n v="258000000"/>
    <s v="Summer"/>
    <x v="0"/>
    <s v="Transportation"/>
    <s v="Transportation"/>
  </r>
  <r>
    <x v="22"/>
    <n v="2019"/>
    <n v="20"/>
    <s v="China +"/>
    <x v="8"/>
    <n v="148000000"/>
    <n v="130000000"/>
    <n v="125000000"/>
    <n v="129000000"/>
    <n v="125000000"/>
    <n v="161000000"/>
    <n v="314000000"/>
    <n v="853000000"/>
    <n v="1230000000"/>
    <n v="1040000000"/>
    <n v="759000000"/>
    <n v="768000000"/>
    <n v="828000000"/>
    <n v="814000000"/>
    <n v="768000000"/>
    <n v="870000000"/>
    <n v="1150000000"/>
    <n v="1390000000"/>
    <n v="1340000000"/>
    <n v="1060000000"/>
    <n v="757000000"/>
    <n v="555000000"/>
    <n v="385000000"/>
    <n v="265000000"/>
    <s v="Fall"/>
    <x v="0"/>
    <s v="Transportation"/>
    <s v="Transportation"/>
  </r>
  <r>
    <x v="22"/>
    <n v="2019"/>
    <n v="20"/>
    <s v="China +"/>
    <x v="9"/>
    <n v="154000000"/>
    <n v="135000000"/>
    <n v="130000000"/>
    <n v="135000000"/>
    <n v="130000000"/>
    <n v="167000000"/>
    <n v="322000000"/>
    <n v="869000000"/>
    <n v="1240000000"/>
    <n v="1050000000"/>
    <n v="771000000"/>
    <n v="780000000"/>
    <n v="840000000"/>
    <n v="826000000"/>
    <n v="780000000"/>
    <n v="885000000"/>
    <n v="1160000000"/>
    <n v="1410000000"/>
    <n v="1360000000"/>
    <n v="1070000000"/>
    <n v="769000000"/>
    <n v="567000000"/>
    <n v="396000000"/>
    <n v="273000000"/>
    <s v="Fall"/>
    <x v="0"/>
    <s v="Transportation"/>
    <s v="Transportation"/>
  </r>
  <r>
    <x v="22"/>
    <n v="2019"/>
    <n v="20"/>
    <s v="China +"/>
    <x v="10"/>
    <n v="155000000"/>
    <n v="137000000"/>
    <n v="132000000"/>
    <n v="136000000"/>
    <n v="131000000"/>
    <n v="168000000"/>
    <n v="324000000"/>
    <n v="873000000"/>
    <n v="1240000000"/>
    <n v="1050000000"/>
    <n v="774000000"/>
    <n v="783000000"/>
    <n v="842000000"/>
    <n v="828000000"/>
    <n v="782000000"/>
    <n v="888000000"/>
    <n v="1170000000"/>
    <n v="1410000000"/>
    <n v="1360000000"/>
    <n v="1070000000"/>
    <n v="772000000"/>
    <n v="569000000"/>
    <n v="399000000"/>
    <n v="275000000"/>
    <s v="Winter"/>
    <x v="0"/>
    <s v="Transportation"/>
    <s v="Transportation"/>
  </r>
  <r>
    <x v="22"/>
    <n v="2019"/>
    <n v="20"/>
    <s v="China +"/>
    <x v="11"/>
    <n v="157000000"/>
    <n v="138000000"/>
    <n v="134000000"/>
    <n v="138000000"/>
    <n v="133000000"/>
    <n v="170000000"/>
    <n v="326000000"/>
    <n v="878000000"/>
    <n v="1250000000"/>
    <n v="1060000000"/>
    <n v="778000000"/>
    <n v="787000000"/>
    <n v="846000000"/>
    <n v="832000000"/>
    <n v="786000000"/>
    <n v="892000000"/>
    <n v="1170000000"/>
    <n v="1420000000"/>
    <n v="1370000000"/>
    <n v="1070000000"/>
    <n v="776000000"/>
    <n v="573000000"/>
    <n v="403000000"/>
    <n v="277000000"/>
    <s v="Winter"/>
    <x v="0"/>
    <s v="Transportation"/>
    <s v="Transportation"/>
  </r>
  <r>
    <x v="23"/>
    <n v="2019"/>
    <n v="20"/>
    <s v="China +"/>
    <x v="0"/>
    <n v="122000000"/>
    <n v="86700000"/>
    <n v="77100000"/>
    <n v="77100000"/>
    <n v="73900000"/>
    <n v="78700000"/>
    <n v="110000000"/>
    <n v="153000000"/>
    <n v="234000000"/>
    <n v="323000000"/>
    <n v="367000000"/>
    <n v="417000000"/>
    <n v="425000000"/>
    <n v="438000000"/>
    <n v="419000000"/>
    <n v="390000000"/>
    <n v="390000000"/>
    <n v="392000000"/>
    <n v="381000000"/>
    <n v="344000000"/>
    <n v="294000000"/>
    <n v="238000000"/>
    <n v="219000000"/>
    <n v="148000000"/>
    <s v="Winter"/>
    <x v="1"/>
    <s v="Transportation"/>
    <s v="Transportation"/>
  </r>
  <r>
    <x v="23"/>
    <n v="2019"/>
    <n v="20"/>
    <s v="China +"/>
    <x v="1"/>
    <n v="120000000"/>
    <n v="85200000"/>
    <n v="75500000"/>
    <n v="75500000"/>
    <n v="72300000"/>
    <n v="77100000"/>
    <n v="108000000"/>
    <n v="150000000"/>
    <n v="231000000"/>
    <n v="320000000"/>
    <n v="364000000"/>
    <n v="414000000"/>
    <n v="422000000"/>
    <n v="435000000"/>
    <n v="416000000"/>
    <n v="387000000"/>
    <n v="387000000"/>
    <n v="389000000"/>
    <n v="378000000"/>
    <n v="341000000"/>
    <n v="291000000"/>
    <n v="235000000"/>
    <n v="215000000"/>
    <n v="146000000"/>
    <s v="Winter"/>
    <x v="1"/>
    <s v="Transportation"/>
    <s v="Transportation"/>
  </r>
  <r>
    <x v="23"/>
    <n v="2019"/>
    <n v="20"/>
    <s v="China +"/>
    <x v="2"/>
    <n v="119000000"/>
    <n v="83600000"/>
    <n v="74000000"/>
    <n v="74000000"/>
    <n v="70800000"/>
    <n v="75600000"/>
    <n v="106000000"/>
    <n v="148000000"/>
    <n v="228000000"/>
    <n v="317000000"/>
    <n v="361000000"/>
    <n v="410000000"/>
    <n v="419000000"/>
    <n v="432000000"/>
    <n v="413000000"/>
    <n v="384000000"/>
    <n v="384000000"/>
    <n v="385000000"/>
    <n v="374000000"/>
    <n v="337000000"/>
    <n v="287000000"/>
    <n v="231000000"/>
    <n v="212000000"/>
    <n v="144000000"/>
    <s v="Spring"/>
    <x v="1"/>
    <s v="Transportation"/>
    <s v="Transportation"/>
  </r>
  <r>
    <x v="23"/>
    <n v="2019"/>
    <n v="20"/>
    <s v="China +"/>
    <x v="3"/>
    <n v="117000000"/>
    <n v="82000000"/>
    <n v="72400000"/>
    <n v="72400000"/>
    <n v="69200000"/>
    <n v="74000000"/>
    <n v="105000000"/>
    <n v="145000000"/>
    <n v="226000000"/>
    <n v="314000000"/>
    <n v="357000000"/>
    <n v="407000000"/>
    <n v="416000000"/>
    <n v="430000000"/>
    <n v="410000000"/>
    <n v="381000000"/>
    <n v="380000000"/>
    <n v="382000000"/>
    <n v="371000000"/>
    <n v="334000000"/>
    <n v="284000000"/>
    <n v="228000000"/>
    <n v="209000000"/>
    <n v="142000000"/>
    <s v="Spring"/>
    <x v="1"/>
    <s v="Transportation"/>
    <s v="Transportation"/>
  </r>
  <r>
    <x v="23"/>
    <n v="2019"/>
    <n v="20"/>
    <s v="China +"/>
    <x v="4"/>
    <n v="116000000"/>
    <n v="80300000"/>
    <n v="70700000"/>
    <n v="70700000"/>
    <n v="67500000"/>
    <n v="72300000"/>
    <n v="103000000"/>
    <n v="143000000"/>
    <n v="223000000"/>
    <n v="310000000"/>
    <n v="354000000"/>
    <n v="404000000"/>
    <n v="413000000"/>
    <n v="427000000"/>
    <n v="407000000"/>
    <n v="378000000"/>
    <n v="377000000"/>
    <n v="378000000"/>
    <n v="367000000"/>
    <n v="330000000"/>
    <n v="280000000"/>
    <n v="224000000"/>
    <n v="205000000"/>
    <n v="139000000"/>
    <s v="Spring"/>
    <x v="1"/>
    <s v="Transportation"/>
    <s v="Transportation"/>
  </r>
  <r>
    <x v="23"/>
    <n v="2019"/>
    <n v="20"/>
    <s v="China +"/>
    <x v="5"/>
    <n v="114000000"/>
    <n v="78700000"/>
    <n v="69000000"/>
    <n v="69000000"/>
    <n v="65800000"/>
    <n v="70600000"/>
    <n v="100000000"/>
    <n v="140000000"/>
    <n v="220000000"/>
    <n v="307000000"/>
    <n v="351000000"/>
    <n v="400000000"/>
    <n v="410000000"/>
    <n v="424000000"/>
    <n v="404000000"/>
    <n v="375000000"/>
    <n v="373000000"/>
    <n v="375000000"/>
    <n v="364000000"/>
    <n v="327000000"/>
    <n v="277000000"/>
    <n v="221000000"/>
    <n v="201000000"/>
    <n v="137000000"/>
    <s v="Summer"/>
    <x v="1"/>
    <s v="Transportation"/>
    <s v="Transportation"/>
  </r>
  <r>
    <x v="23"/>
    <n v="2019"/>
    <n v="20"/>
    <s v="China +"/>
    <x v="6"/>
    <n v="113000000"/>
    <n v="77400000"/>
    <n v="67800000"/>
    <n v="67800000"/>
    <n v="64600000"/>
    <n v="69400000"/>
    <n v="98900000"/>
    <n v="138000000"/>
    <n v="217000000"/>
    <n v="305000000"/>
    <n v="348000000"/>
    <n v="398000000"/>
    <n v="407000000"/>
    <n v="421000000"/>
    <n v="402000000"/>
    <n v="373000000"/>
    <n v="370000000"/>
    <n v="372000000"/>
    <n v="361000000"/>
    <n v="324000000"/>
    <n v="274000000"/>
    <n v="218000000"/>
    <n v="199000000"/>
    <n v="135000000"/>
    <s v="Summer"/>
    <x v="1"/>
    <s v="Transportation"/>
    <s v="Transportation"/>
  </r>
  <r>
    <x v="23"/>
    <n v="2019"/>
    <n v="20"/>
    <s v="China +"/>
    <x v="7"/>
    <n v="114000000"/>
    <n v="79200000"/>
    <n v="69500000"/>
    <n v="69500000"/>
    <n v="66300000"/>
    <n v="71100000"/>
    <n v="101000000"/>
    <n v="141000000"/>
    <n v="221000000"/>
    <n v="308000000"/>
    <n v="352000000"/>
    <n v="401000000"/>
    <n v="411000000"/>
    <n v="424000000"/>
    <n v="405000000"/>
    <n v="376000000"/>
    <n v="374000000"/>
    <n v="376000000"/>
    <n v="365000000"/>
    <n v="328000000"/>
    <n v="278000000"/>
    <n v="222000000"/>
    <n v="202000000"/>
    <n v="138000000"/>
    <s v="Summer"/>
    <x v="1"/>
    <s v="Transportation"/>
    <s v="Transportation"/>
  </r>
  <r>
    <x v="23"/>
    <n v="2019"/>
    <n v="20"/>
    <s v="China +"/>
    <x v="8"/>
    <n v="117000000"/>
    <n v="81500000"/>
    <n v="71800000"/>
    <n v="71800000"/>
    <n v="68600000"/>
    <n v="73400000"/>
    <n v="104000000"/>
    <n v="144000000"/>
    <n v="225000000"/>
    <n v="312000000"/>
    <n v="356000000"/>
    <n v="406000000"/>
    <n v="415000000"/>
    <n v="429000000"/>
    <n v="409000000"/>
    <n v="380000000"/>
    <n v="379000000"/>
    <n v="381000000"/>
    <n v="370000000"/>
    <n v="333000000"/>
    <n v="283000000"/>
    <n v="227000000"/>
    <n v="207000000"/>
    <n v="141000000"/>
    <s v="Fall"/>
    <x v="1"/>
    <s v="Transportation"/>
    <s v="Transportation"/>
  </r>
  <r>
    <x v="23"/>
    <n v="2019"/>
    <n v="20"/>
    <s v="China +"/>
    <x v="9"/>
    <n v="120000000"/>
    <n v="84400000"/>
    <n v="74700000"/>
    <n v="74700000"/>
    <n v="71500000"/>
    <n v="76400000"/>
    <n v="107000000"/>
    <n v="149000000"/>
    <n v="230000000"/>
    <n v="318000000"/>
    <n v="362000000"/>
    <n v="412000000"/>
    <n v="421000000"/>
    <n v="434000000"/>
    <n v="415000000"/>
    <n v="386000000"/>
    <n v="385000000"/>
    <n v="387000000"/>
    <n v="376000000"/>
    <n v="339000000"/>
    <n v="289000000"/>
    <n v="233000000"/>
    <n v="214000000"/>
    <n v="145000000"/>
    <s v="Fall"/>
    <x v="1"/>
    <s v="Transportation"/>
    <s v="Transportation"/>
  </r>
  <r>
    <x v="23"/>
    <n v="2019"/>
    <n v="20"/>
    <s v="China +"/>
    <x v="10"/>
    <n v="120000000"/>
    <n v="85100000"/>
    <n v="75400000"/>
    <n v="75400000"/>
    <n v="72200000"/>
    <n v="77000000"/>
    <n v="108000000"/>
    <n v="150000000"/>
    <n v="231000000"/>
    <n v="319000000"/>
    <n v="364000000"/>
    <n v="413000000"/>
    <n v="422000000"/>
    <n v="435000000"/>
    <n v="416000000"/>
    <n v="387000000"/>
    <n v="387000000"/>
    <n v="389000000"/>
    <n v="377000000"/>
    <n v="340000000"/>
    <n v="291000000"/>
    <n v="234000000"/>
    <n v="215000000"/>
    <n v="146000000"/>
    <s v="Winter"/>
    <x v="1"/>
    <s v="Transportation"/>
    <s v="Transportation"/>
  </r>
  <r>
    <x v="23"/>
    <n v="2019"/>
    <n v="20"/>
    <s v="China +"/>
    <x v="11"/>
    <n v="121000000"/>
    <n v="86000000"/>
    <n v="76300000"/>
    <n v="76300000"/>
    <n v="73100000"/>
    <n v="77900000"/>
    <n v="109000000"/>
    <n v="151000000"/>
    <n v="233000000"/>
    <n v="321000000"/>
    <n v="365000000"/>
    <n v="415000000"/>
    <n v="424000000"/>
    <n v="437000000"/>
    <n v="417000000"/>
    <n v="389000000"/>
    <n v="389000000"/>
    <n v="390000000"/>
    <n v="379000000"/>
    <n v="342000000"/>
    <n v="292000000"/>
    <n v="236000000"/>
    <n v="217000000"/>
    <n v="147000000"/>
    <s v="Winter"/>
    <x v="1"/>
    <s v="Transportation"/>
    <s v="Transportat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03306-012C-481B-A66C-72CC2554CEED}" name="PivotTable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4:AW18" firstHeaderRow="1" firstDataRow="3" firstDataCol="1" rowPageCount="1" colPageCount="1"/>
  <pivotFields count="33">
    <pivotField axis="axisPage" subtotalTop="0" multipleItemSelectionAllowed="1" showAll="0">
      <items count="25">
        <item h="1" x="14"/>
        <item h="1" x="15"/>
        <item x="0"/>
        <item x="1"/>
        <item h="1" x="2"/>
        <item h="1" x="3"/>
        <item h="1" x="4"/>
        <item h="1" x="5"/>
        <item h="1" x="16"/>
        <item h="1" x="17"/>
        <item h="1" x="6"/>
        <item h="1" x="7"/>
        <item h="1" x="8"/>
        <item h="1" x="9"/>
        <item h="1" x="10"/>
        <item h="1" x="11"/>
        <item h="1" x="18"/>
        <item h="1" x="19"/>
        <item h="1" x="12"/>
        <item h="1" x="13"/>
        <item h="1" x="20"/>
        <item h="1" x="21"/>
        <item h="1" x="22"/>
        <item h="1" x="23"/>
        <item t="default"/>
      </items>
    </pivotField>
    <pivotField subtotalTop="0" showAll="0"/>
    <pivotField subtotalTop="0" showAll="0"/>
    <pivotField subtotalTop="0" showAll="0"/>
    <pivotField axis="axisRow" subtotalTop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dataField="1" numFmtId="11" subtotalTop="0" showAll="0"/>
    <pivotField subtotalTop="0" showAll="0"/>
    <pivotField axis="axisCol" subtotalTop="0" showAll="0" sortType="descending">
      <items count="3">
        <item x="1"/>
        <item x="0"/>
        <item t="default"/>
      </items>
    </pivotField>
    <pivotField subtotalTop="0" showAll="0"/>
    <pivotField subtotalTop="0"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2">
    <field x="30"/>
    <field x="-2"/>
  </colFields>
  <colItems count="48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 r="1" i="16">
      <x v="16"/>
    </i>
    <i r="1" i="17">
      <x v="17"/>
    </i>
    <i r="1" i="18">
      <x v="18"/>
    </i>
    <i r="1" i="19">
      <x v="19"/>
    </i>
    <i r="1" i="20">
      <x v="20"/>
    </i>
    <i r="1" i="21">
      <x v="21"/>
    </i>
    <i r="1" i="22">
      <x v="22"/>
    </i>
    <i r="1" i="23">
      <x v="23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 r="1" i="14">
      <x v="14"/>
    </i>
    <i r="1" i="15">
      <x v="15"/>
    </i>
    <i r="1" i="16">
      <x v="16"/>
    </i>
    <i r="1" i="17">
      <x v="17"/>
    </i>
    <i r="1" i="18">
      <x v="18"/>
    </i>
    <i r="1" i="19">
      <x v="19"/>
    </i>
    <i r="1" i="20">
      <x v="20"/>
    </i>
    <i r="1" i="21">
      <x v="21"/>
    </i>
    <i r="1" i="22">
      <x v="22"/>
    </i>
    <i r="1" i="23">
      <x v="23"/>
    </i>
  </colItems>
  <pageFields count="1">
    <pageField fld="0" hier="-1"/>
  </pageFields>
  <dataFields count="24">
    <dataField name="Sum of h1" fld="5" baseField="0" baseItem="0" numFmtId="11"/>
    <dataField name="Sum of h2" fld="6" baseField="0" baseItem="0" numFmtId="11"/>
    <dataField name="Sum of h3" fld="7" baseField="0" baseItem="0" numFmtId="11"/>
    <dataField name="Sum of h4" fld="8" baseField="0" baseItem="0" numFmtId="11"/>
    <dataField name="Sum of h5" fld="9" baseField="0" baseItem="0" numFmtId="11"/>
    <dataField name="Sum of h6" fld="10" baseField="0" baseItem="0" numFmtId="11"/>
    <dataField name="Sum of h7" fld="11" baseField="0" baseItem="0" numFmtId="11"/>
    <dataField name="Sum of h8" fld="12" baseField="0" baseItem="0" numFmtId="11"/>
    <dataField name="Sum of h9" fld="13" baseField="0" baseItem="0" numFmtId="11"/>
    <dataField name="Sum of h10" fld="14" baseField="0" baseItem="0" numFmtId="11"/>
    <dataField name="Sum of h11" fld="15" baseField="0" baseItem="0" numFmtId="11"/>
    <dataField name="Sum of h12" fld="16" baseField="0" baseItem="0" numFmtId="11"/>
    <dataField name="Sum of h13" fld="17" baseField="0" baseItem="0" numFmtId="11"/>
    <dataField name="Sum of h14" fld="18" baseField="0" baseItem="0" numFmtId="11"/>
    <dataField name="Sum of h15" fld="19" baseField="0" baseItem="0" numFmtId="11"/>
    <dataField name="Sum of h16" fld="20" baseField="0" baseItem="0" numFmtId="11"/>
    <dataField name="Sum of h17" fld="21" baseField="0" baseItem="0" numFmtId="11"/>
    <dataField name="Sum of h18" fld="22" baseField="0" baseItem="0" numFmtId="11"/>
    <dataField name="Sum of h19" fld="23" baseField="0" baseItem="0" numFmtId="11"/>
    <dataField name="Sum of h20" fld="24" baseField="0" baseItem="0" numFmtId="11"/>
    <dataField name="Sum of h21" fld="25" baseField="0" baseItem="0" numFmtId="11"/>
    <dataField name="Sum of h22" fld="26" baseField="0" baseItem="0" numFmtId="11"/>
    <dataField name="Sum of h23" fld="27" baseField="0" baseItem="0" numFmtId="11"/>
    <dataField name="Sum of h24" fld="28" baseField="0" baseItem="0" numFmtId="1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totalenergy/data/monthly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cenace.gob.mx/Paginas/SIM/PronosticosHorasCriticas.aspx" TargetMode="External"/><Relationship Id="rId1" Type="http://schemas.openxmlformats.org/officeDocument/2006/relationships/hyperlink" Target="https://data.nrel.gov/submissions/126" TargetMode="External"/><Relationship Id="rId6" Type="http://schemas.openxmlformats.org/officeDocument/2006/relationships/hyperlink" Target="https://data.mendeley.com/datasets/pmd2dchk44/1" TargetMode="External"/><Relationship Id="rId5" Type="http://schemas.openxmlformats.org/officeDocument/2006/relationships/hyperlink" Target="https://obtrenmx.org/" TargetMode="External"/><Relationship Id="rId4" Type="http://schemas.openxmlformats.org/officeDocument/2006/relationships/hyperlink" Target="https://www.cenace.gob.mx/APSIM.asp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4BC6-E9B6-4A5C-B81E-1C82F1EFD636}">
  <sheetPr codeName="Sheet1"/>
  <dimension ref="A1:V82"/>
  <sheetViews>
    <sheetView topLeftCell="A76" workbookViewId="0">
      <selection activeCell="F87" sqref="F87"/>
    </sheetView>
  </sheetViews>
  <sheetFormatPr defaultRowHeight="14.4" x14ac:dyDescent="0.3"/>
  <cols>
    <col min="2" max="2" width="50.109375" customWidth="1"/>
    <col min="6" max="6" width="9.88671875" bestFit="1" customWidth="1"/>
    <col min="11" max="12" width="10.6640625" bestFit="1" customWidth="1"/>
    <col min="19" max="19" width="13.33203125" bestFit="1" customWidth="1"/>
    <col min="21" max="21" width="19.109375" customWidth="1"/>
    <col min="22" max="22" width="16" customWidth="1"/>
  </cols>
  <sheetData>
    <row r="1" spans="1:9" x14ac:dyDescent="0.3">
      <c r="A1" s="37" t="s">
        <v>0</v>
      </c>
      <c r="B1" s="38"/>
      <c r="C1" s="38"/>
      <c r="D1" s="38"/>
      <c r="E1" s="38"/>
      <c r="F1" s="38"/>
      <c r="G1" s="38"/>
      <c r="H1" s="38"/>
      <c r="I1" s="38"/>
    </row>
    <row r="2" spans="1:9" x14ac:dyDescent="0.3">
      <c r="A2" s="38"/>
      <c r="B2" s="38"/>
      <c r="C2" s="38"/>
      <c r="D2" s="38"/>
      <c r="E2" s="38"/>
      <c r="F2" s="38"/>
      <c r="G2" s="38"/>
      <c r="H2" s="38"/>
      <c r="I2" s="38"/>
    </row>
    <row r="3" spans="1:9" x14ac:dyDescent="0.3">
      <c r="A3" s="38" t="s">
        <v>1</v>
      </c>
      <c r="B3" s="39" t="s">
        <v>2</v>
      </c>
      <c r="C3" s="38"/>
      <c r="D3" s="38"/>
      <c r="E3" s="38"/>
      <c r="F3" s="38"/>
      <c r="G3" s="38"/>
      <c r="H3" s="37" t="s">
        <v>3</v>
      </c>
      <c r="I3" s="38"/>
    </row>
    <row r="4" spans="1:9" x14ac:dyDescent="0.3">
      <c r="A4" s="38"/>
      <c r="B4" s="38" t="s">
        <v>4</v>
      </c>
      <c r="C4" s="38"/>
      <c r="D4" s="38"/>
      <c r="E4" s="38"/>
      <c r="F4" s="38"/>
      <c r="G4" s="38"/>
      <c r="H4" s="38"/>
      <c r="I4" s="38"/>
    </row>
    <row r="5" spans="1:9" x14ac:dyDescent="0.3">
      <c r="A5" s="38"/>
      <c r="B5" s="40">
        <v>2018</v>
      </c>
      <c r="C5" s="38"/>
      <c r="D5" s="38"/>
      <c r="E5" s="38"/>
      <c r="F5" s="38"/>
      <c r="G5" s="38"/>
      <c r="H5" s="38" t="s">
        <v>1</v>
      </c>
      <c r="I5" s="39" t="s">
        <v>5</v>
      </c>
    </row>
    <row r="6" spans="1:9" x14ac:dyDescent="0.3">
      <c r="A6" s="38"/>
      <c r="B6" s="38" t="s">
        <v>6</v>
      </c>
      <c r="C6" s="38"/>
      <c r="D6" s="38"/>
      <c r="E6" s="38"/>
      <c r="F6" s="38"/>
      <c r="G6" s="38"/>
      <c r="H6" s="38"/>
      <c r="I6" s="38" t="s">
        <v>7</v>
      </c>
    </row>
    <row r="7" spans="1:9" x14ac:dyDescent="0.3">
      <c r="A7" s="38"/>
      <c r="B7" s="3" t="s">
        <v>8</v>
      </c>
      <c r="C7" s="38"/>
      <c r="D7" s="38"/>
      <c r="E7" s="38"/>
      <c r="F7" s="38"/>
      <c r="G7" s="38"/>
      <c r="H7" s="38"/>
      <c r="I7" s="38" t="s">
        <v>9</v>
      </c>
    </row>
    <row r="8" spans="1:9" x14ac:dyDescent="0.3">
      <c r="A8" s="38"/>
      <c r="B8" s="38" t="s">
        <v>10</v>
      </c>
      <c r="C8" s="38"/>
      <c r="D8" s="38"/>
      <c r="E8" s="38"/>
      <c r="F8" s="38"/>
      <c r="G8" s="38"/>
      <c r="H8" s="38"/>
      <c r="I8" s="3" t="s">
        <v>11</v>
      </c>
    </row>
    <row r="9" spans="1:9" x14ac:dyDescent="0.3">
      <c r="A9" s="38"/>
      <c r="B9" s="38"/>
      <c r="C9" s="38"/>
      <c r="D9" s="38"/>
      <c r="E9" s="38"/>
      <c r="F9" s="38"/>
      <c r="G9" s="38"/>
      <c r="H9" s="38"/>
      <c r="I9" s="38" t="s">
        <v>12</v>
      </c>
    </row>
    <row r="10" spans="1:9" x14ac:dyDescent="0.3">
      <c r="A10" s="38"/>
      <c r="B10" s="39" t="s">
        <v>13</v>
      </c>
      <c r="C10" s="38"/>
      <c r="D10" s="38"/>
      <c r="E10" s="38"/>
      <c r="F10" s="38"/>
      <c r="G10" s="38"/>
      <c r="H10" s="38"/>
      <c r="I10" s="38"/>
    </row>
    <row r="11" spans="1:9" x14ac:dyDescent="0.3">
      <c r="A11" s="38"/>
      <c r="B11" s="38" t="s">
        <v>14</v>
      </c>
      <c r="C11" s="38"/>
      <c r="D11" s="38"/>
      <c r="E11" s="38"/>
      <c r="F11" s="38"/>
      <c r="G11" s="38"/>
      <c r="H11" s="38"/>
      <c r="I11" s="39" t="s">
        <v>5</v>
      </c>
    </row>
    <row r="12" spans="1:9" x14ac:dyDescent="0.3">
      <c r="A12" s="38"/>
      <c r="B12" s="40">
        <v>2023</v>
      </c>
      <c r="C12" s="38"/>
      <c r="D12" s="38"/>
      <c r="E12" s="38"/>
      <c r="F12" s="38"/>
      <c r="G12" s="38"/>
      <c r="H12" s="38"/>
      <c r="I12" s="38" t="s">
        <v>7</v>
      </c>
    </row>
    <row r="13" spans="1:9" x14ac:dyDescent="0.3">
      <c r="A13" s="38"/>
      <c r="B13" s="38" t="s">
        <v>15</v>
      </c>
      <c r="C13" s="38"/>
      <c r="D13" s="38"/>
      <c r="E13" s="38"/>
      <c r="F13" s="38"/>
      <c r="G13" s="38"/>
      <c r="H13" s="38"/>
      <c r="I13" s="38" t="s">
        <v>9</v>
      </c>
    </row>
    <row r="14" spans="1:9" x14ac:dyDescent="0.3">
      <c r="A14" s="38"/>
      <c r="B14" s="3" t="s">
        <v>16</v>
      </c>
      <c r="C14" s="38"/>
      <c r="D14" s="38"/>
      <c r="E14" s="38"/>
      <c r="F14" s="38"/>
      <c r="G14" s="38"/>
      <c r="H14" s="38"/>
      <c r="I14" s="3" t="s">
        <v>17</v>
      </c>
    </row>
    <row r="15" spans="1:9" x14ac:dyDescent="0.3">
      <c r="A15" s="38"/>
      <c r="B15" s="38" t="s">
        <v>18</v>
      </c>
      <c r="C15" s="38"/>
      <c r="D15" s="38"/>
      <c r="E15" s="38"/>
      <c r="F15" s="38"/>
      <c r="G15" s="38"/>
      <c r="H15" s="38"/>
      <c r="I15" s="38" t="s">
        <v>19</v>
      </c>
    </row>
    <row r="16" spans="1:9" x14ac:dyDescent="0.3">
      <c r="A16" s="38"/>
      <c r="B16" s="38"/>
      <c r="C16" s="38"/>
      <c r="D16" s="38"/>
      <c r="E16" s="38"/>
      <c r="F16" s="38"/>
      <c r="G16" s="38"/>
      <c r="H16" s="38"/>
      <c r="I16" s="3" t="s">
        <v>20</v>
      </c>
    </row>
    <row r="17" spans="1:9" x14ac:dyDescent="0.3">
      <c r="A17" s="38"/>
      <c r="B17" s="39" t="s">
        <v>2</v>
      </c>
      <c r="C17" s="38"/>
      <c r="D17" s="38"/>
      <c r="E17" s="38"/>
      <c r="F17" s="38"/>
      <c r="G17" s="38"/>
      <c r="H17" s="38"/>
      <c r="I17" s="41"/>
    </row>
    <row r="18" spans="1:9" x14ac:dyDescent="0.3">
      <c r="A18" s="38"/>
      <c r="B18" s="38" t="s">
        <v>21</v>
      </c>
      <c r="C18" s="38"/>
      <c r="D18" s="38"/>
      <c r="E18" s="38"/>
      <c r="F18" s="38"/>
      <c r="G18" s="38"/>
      <c r="H18" s="37"/>
      <c r="I18" s="38"/>
    </row>
    <row r="19" spans="1:9" x14ac:dyDescent="0.3">
      <c r="A19" s="38"/>
      <c r="B19" s="40" t="s">
        <v>22</v>
      </c>
      <c r="C19" s="38"/>
      <c r="D19" s="38"/>
      <c r="E19" s="38"/>
      <c r="F19" s="38"/>
      <c r="G19" s="38"/>
      <c r="H19" s="38"/>
      <c r="I19" s="38"/>
    </row>
    <row r="20" spans="1:9" x14ac:dyDescent="0.3">
      <c r="A20" s="38"/>
      <c r="B20" s="3" t="s">
        <v>23</v>
      </c>
      <c r="C20" s="38"/>
      <c r="D20" s="38"/>
      <c r="E20" s="38"/>
      <c r="F20" s="38"/>
      <c r="G20" s="38"/>
      <c r="H20" s="38"/>
      <c r="I20" s="38"/>
    </row>
    <row r="21" spans="1:9" x14ac:dyDescent="0.3">
      <c r="A21" s="38"/>
      <c r="B21" s="38"/>
      <c r="C21" s="38"/>
      <c r="D21" s="38"/>
      <c r="E21" s="38"/>
      <c r="F21" s="38"/>
      <c r="G21" s="38"/>
      <c r="H21" s="38"/>
      <c r="I21" s="38"/>
    </row>
    <row r="22" spans="1:9" x14ac:dyDescent="0.3">
      <c r="A22" s="38"/>
      <c r="B22" s="41"/>
      <c r="C22" s="38"/>
      <c r="D22" s="38"/>
      <c r="E22" s="38"/>
      <c r="F22" s="38"/>
      <c r="G22" s="38"/>
      <c r="H22" s="38"/>
      <c r="I22" s="38"/>
    </row>
    <row r="23" spans="1:9" x14ac:dyDescent="0.3">
      <c r="A23" s="37" t="s">
        <v>24</v>
      </c>
      <c r="B23" s="38"/>
      <c r="C23" s="38"/>
      <c r="D23" s="38"/>
      <c r="E23" s="38"/>
      <c r="F23" s="38"/>
      <c r="G23" s="38"/>
      <c r="H23" s="38"/>
      <c r="I23" s="38"/>
    </row>
    <row r="24" spans="1:9" x14ac:dyDescent="0.3">
      <c r="A24" s="38" t="s">
        <v>25</v>
      </c>
      <c r="B24" s="38"/>
      <c r="C24" s="38"/>
      <c r="D24" s="38"/>
      <c r="E24" s="38"/>
      <c r="F24" s="38"/>
      <c r="G24" s="38"/>
      <c r="H24" s="38"/>
      <c r="I24" s="38"/>
    </row>
    <row r="25" spans="1:9" x14ac:dyDescent="0.3">
      <c r="A25" s="38" t="s">
        <v>26</v>
      </c>
      <c r="B25" s="38"/>
      <c r="C25" s="38"/>
      <c r="D25" s="38"/>
      <c r="E25" s="38"/>
      <c r="F25" s="38"/>
      <c r="G25" s="38"/>
      <c r="H25" s="38"/>
      <c r="I25" s="38"/>
    </row>
    <row r="26" spans="1:9" x14ac:dyDescent="0.3">
      <c r="A26" s="38"/>
      <c r="B26" s="38"/>
      <c r="C26" s="38"/>
      <c r="D26" s="38"/>
      <c r="E26" s="38"/>
      <c r="F26" s="38"/>
      <c r="G26" s="38"/>
      <c r="H26" s="38"/>
      <c r="I26" s="38"/>
    </row>
    <row r="27" spans="1:9" x14ac:dyDescent="0.3">
      <c r="A27" s="38" t="s">
        <v>27</v>
      </c>
      <c r="B27" s="38"/>
      <c r="C27" s="38"/>
      <c r="D27" s="38"/>
      <c r="E27" s="38"/>
      <c r="F27" s="38"/>
      <c r="G27" s="38"/>
      <c r="H27" s="38"/>
      <c r="I27" s="38"/>
    </row>
    <row r="28" spans="1:9" x14ac:dyDescent="0.3">
      <c r="A28" s="38" t="s">
        <v>28</v>
      </c>
      <c r="B28" s="38"/>
      <c r="C28" s="38"/>
      <c r="D28" s="38"/>
      <c r="E28" s="38"/>
      <c r="F28" s="38"/>
      <c r="G28" s="38"/>
      <c r="H28" s="38"/>
      <c r="I28" s="38"/>
    </row>
    <row r="29" spans="1:9" x14ac:dyDescent="0.3">
      <c r="A29" s="38" t="s">
        <v>29</v>
      </c>
      <c r="B29" s="38"/>
      <c r="C29" s="38"/>
      <c r="D29" s="38"/>
      <c r="E29" s="38"/>
      <c r="F29" s="38"/>
      <c r="G29" s="38"/>
      <c r="H29" s="38"/>
      <c r="I29" s="38"/>
    </row>
    <row r="30" spans="1:9" x14ac:dyDescent="0.3">
      <c r="A30" s="38" t="s">
        <v>30</v>
      </c>
      <c r="B30" s="38"/>
      <c r="C30" s="38"/>
      <c r="D30" s="38"/>
      <c r="E30" s="38"/>
      <c r="F30" s="38"/>
      <c r="G30" s="38"/>
      <c r="H30" s="38"/>
      <c r="I30" s="38"/>
    </row>
    <row r="31" spans="1:9" x14ac:dyDescent="0.3">
      <c r="A31" s="38" t="s">
        <v>31</v>
      </c>
      <c r="B31" s="38"/>
      <c r="C31" s="38"/>
      <c r="D31" s="38"/>
      <c r="E31" s="38"/>
      <c r="F31" s="38"/>
      <c r="G31" s="38"/>
      <c r="H31" s="38"/>
      <c r="I31" s="38"/>
    </row>
    <row r="32" spans="1:9" x14ac:dyDescent="0.3">
      <c r="A32" s="38" t="s">
        <v>32</v>
      </c>
      <c r="B32" s="38"/>
      <c r="C32" s="38"/>
      <c r="D32" s="38"/>
      <c r="E32" s="38"/>
      <c r="F32" s="38"/>
      <c r="G32" s="38"/>
      <c r="H32" s="38"/>
      <c r="I32" s="38"/>
    </row>
    <row r="33" spans="1:9" x14ac:dyDescent="0.3">
      <c r="A33" s="38" t="s">
        <v>33</v>
      </c>
      <c r="B33" s="38"/>
      <c r="C33" s="38"/>
      <c r="D33" s="38"/>
      <c r="E33" s="38"/>
      <c r="F33" s="38"/>
      <c r="G33" s="38"/>
      <c r="H33" s="38"/>
      <c r="I33" s="38"/>
    </row>
    <row r="34" spans="1:9" x14ac:dyDescent="0.3">
      <c r="A34" s="38"/>
      <c r="B34" s="38"/>
      <c r="C34" s="38"/>
      <c r="D34" s="38"/>
      <c r="E34" s="38"/>
      <c r="F34" s="38"/>
      <c r="G34" s="38"/>
      <c r="H34" s="38"/>
      <c r="I34" s="38"/>
    </row>
    <row r="35" spans="1:9" x14ac:dyDescent="0.3">
      <c r="A35" s="38" t="s">
        <v>34</v>
      </c>
      <c r="B35" s="38"/>
      <c r="C35" s="38"/>
      <c r="D35" s="38"/>
      <c r="E35" s="38"/>
      <c r="F35" s="38"/>
      <c r="G35" s="38"/>
      <c r="H35" s="38"/>
      <c r="I35" s="38"/>
    </row>
    <row r="36" spans="1:9" x14ac:dyDescent="0.3">
      <c r="A36" s="38" t="s">
        <v>35</v>
      </c>
      <c r="B36" s="38"/>
      <c r="C36" s="38"/>
      <c r="D36" s="38"/>
      <c r="E36" s="38"/>
      <c r="F36" s="38"/>
      <c r="G36" s="38"/>
      <c r="H36" s="38"/>
      <c r="I36" s="38"/>
    </row>
    <row r="37" spans="1:9" x14ac:dyDescent="0.3">
      <c r="A37" s="38"/>
      <c r="B37" s="38"/>
      <c r="C37" s="38"/>
      <c r="D37" s="38"/>
      <c r="E37" s="38"/>
      <c r="F37" s="38"/>
      <c r="G37" s="38"/>
      <c r="H37" s="38"/>
      <c r="I37" s="38"/>
    </row>
    <row r="38" spans="1:9" x14ac:dyDescent="0.3">
      <c r="A38" s="38" t="s">
        <v>36</v>
      </c>
      <c r="B38" s="38"/>
      <c r="C38" s="38"/>
      <c r="D38" s="38"/>
      <c r="E38" s="38"/>
      <c r="F38" s="38"/>
      <c r="G38" s="38"/>
      <c r="H38" s="38"/>
      <c r="I38" s="38"/>
    </row>
    <row r="39" spans="1:9" x14ac:dyDescent="0.3">
      <c r="A39" s="38" t="s">
        <v>37</v>
      </c>
      <c r="B39" s="38"/>
      <c r="C39" s="38"/>
      <c r="D39" s="38"/>
      <c r="E39" s="38"/>
      <c r="F39" s="38"/>
      <c r="G39" s="38"/>
      <c r="H39" s="38"/>
      <c r="I39" s="38"/>
    </row>
    <row r="40" spans="1:9" x14ac:dyDescent="0.3">
      <c r="A40" s="38" t="s">
        <v>38</v>
      </c>
      <c r="B40" s="38"/>
      <c r="C40" s="38"/>
      <c r="D40" s="38"/>
      <c r="E40" s="38"/>
      <c r="F40" s="38"/>
      <c r="G40" s="38"/>
      <c r="H40" s="38"/>
      <c r="I40" s="38"/>
    </row>
    <row r="41" spans="1:9" x14ac:dyDescent="0.3">
      <c r="A41" s="38" t="s">
        <v>39</v>
      </c>
      <c r="B41" s="38"/>
      <c r="C41" s="38"/>
      <c r="D41" s="38"/>
      <c r="E41" s="38"/>
      <c r="F41" s="38"/>
      <c r="G41" s="38"/>
      <c r="H41" s="38"/>
      <c r="I41" s="38"/>
    </row>
    <row r="42" spans="1:9" x14ac:dyDescent="0.3">
      <c r="A42" s="38" t="s">
        <v>40</v>
      </c>
      <c r="B42" s="38"/>
      <c r="C42" s="38"/>
      <c r="D42" s="38"/>
      <c r="E42" s="38"/>
      <c r="F42" s="38"/>
      <c r="G42" s="38"/>
      <c r="H42" s="38"/>
      <c r="I42" s="38"/>
    </row>
    <row r="43" spans="1:9" x14ac:dyDescent="0.3">
      <c r="A43" s="38"/>
      <c r="B43" s="38"/>
      <c r="C43" s="38"/>
      <c r="D43" s="38"/>
      <c r="E43" s="38"/>
      <c r="F43" s="38"/>
      <c r="G43" s="38"/>
      <c r="H43" s="38"/>
      <c r="I43" s="38"/>
    </row>
    <row r="44" spans="1:9" x14ac:dyDescent="0.3">
      <c r="A44" s="38" t="s">
        <v>25</v>
      </c>
      <c r="B44" s="38"/>
      <c r="C44" s="38"/>
      <c r="D44" s="38"/>
      <c r="E44" s="38"/>
      <c r="F44" s="38"/>
      <c r="G44" s="38"/>
      <c r="H44" s="38"/>
      <c r="I44" s="38"/>
    </row>
    <row r="45" spans="1:9" x14ac:dyDescent="0.3">
      <c r="A45" s="38" t="s">
        <v>26</v>
      </c>
      <c r="B45" s="38"/>
      <c r="C45" s="38"/>
      <c r="D45" s="38"/>
      <c r="E45" s="38"/>
      <c r="F45" s="38"/>
      <c r="G45" s="38"/>
      <c r="H45" s="38"/>
      <c r="I45" s="38"/>
    </row>
    <row r="46" spans="1:9" x14ac:dyDescent="0.3">
      <c r="A46" s="38"/>
      <c r="B46" s="38"/>
      <c r="C46" s="38"/>
      <c r="D46" s="38"/>
      <c r="E46" s="38"/>
      <c r="F46" s="38"/>
      <c r="G46" s="38"/>
      <c r="H46" s="38"/>
      <c r="I46" s="38"/>
    </row>
    <row r="47" spans="1:9" x14ac:dyDescent="0.3">
      <c r="A47" s="38" t="s">
        <v>41</v>
      </c>
      <c r="B47" s="38"/>
      <c r="C47" s="38"/>
      <c r="D47" s="38"/>
      <c r="E47" s="38"/>
      <c r="F47" s="38"/>
      <c r="G47" s="38"/>
      <c r="H47" s="38"/>
      <c r="I47" s="38"/>
    </row>
    <row r="48" spans="1:9" x14ac:dyDescent="0.3">
      <c r="A48" s="38" t="s">
        <v>42</v>
      </c>
      <c r="B48" s="38"/>
      <c r="C48" s="38"/>
      <c r="D48" s="38"/>
      <c r="E48" s="38"/>
      <c r="F48" s="38"/>
      <c r="G48" s="38"/>
      <c r="H48" s="38"/>
      <c r="I48" s="38"/>
    </row>
    <row r="49" spans="1:9" x14ac:dyDescent="0.3">
      <c r="A49" s="38" t="s">
        <v>43</v>
      </c>
      <c r="B49" s="38"/>
      <c r="C49" s="38"/>
      <c r="D49" s="38"/>
      <c r="E49" s="38"/>
      <c r="F49" s="38"/>
      <c r="G49" s="38"/>
      <c r="H49" s="38"/>
      <c r="I49" s="38"/>
    </row>
    <row r="50" spans="1:9" x14ac:dyDescent="0.3">
      <c r="A50" s="38"/>
      <c r="B50" s="38"/>
      <c r="C50" s="38"/>
      <c r="D50" s="38"/>
      <c r="E50" s="38"/>
      <c r="F50" s="38"/>
      <c r="G50" s="38"/>
      <c r="H50" s="38"/>
      <c r="I50" s="38"/>
    </row>
    <row r="51" spans="1:9" x14ac:dyDescent="0.3">
      <c r="A51" s="38" t="s">
        <v>44</v>
      </c>
      <c r="B51" s="38"/>
      <c r="C51" s="38"/>
      <c r="D51" s="38"/>
      <c r="E51" s="38"/>
      <c r="F51" s="38"/>
      <c r="G51" s="38"/>
      <c r="H51" s="38"/>
      <c r="I51" s="38"/>
    </row>
    <row r="52" spans="1:9" x14ac:dyDescent="0.3">
      <c r="A52" s="38" t="s">
        <v>45</v>
      </c>
      <c r="B52" s="38"/>
      <c r="C52" s="38"/>
      <c r="D52" s="38"/>
      <c r="E52" s="38"/>
      <c r="F52" s="38"/>
      <c r="G52" s="38"/>
      <c r="H52" s="38"/>
      <c r="I52" s="38"/>
    </row>
    <row r="53" spans="1:9" x14ac:dyDescent="0.3">
      <c r="A53" s="38"/>
      <c r="B53" s="38"/>
      <c r="C53" s="38"/>
      <c r="D53" s="38"/>
      <c r="E53" s="38"/>
      <c r="F53" s="38"/>
      <c r="G53" s="38"/>
      <c r="H53" s="38"/>
      <c r="I53" s="38"/>
    </row>
    <row r="54" spans="1:9" x14ac:dyDescent="0.3">
      <c r="A54" s="38" t="s">
        <v>25</v>
      </c>
      <c r="B54" s="38"/>
      <c r="C54" s="38"/>
      <c r="D54" s="38"/>
      <c r="E54" s="38"/>
      <c r="F54" s="38"/>
      <c r="G54" s="38"/>
      <c r="H54" s="38"/>
      <c r="I54" s="38"/>
    </row>
    <row r="55" spans="1:9" x14ac:dyDescent="0.3">
      <c r="A55" s="38" t="s">
        <v>26</v>
      </c>
      <c r="B55" s="38"/>
      <c r="C55" s="38"/>
      <c r="D55" s="38"/>
      <c r="E55" s="38"/>
      <c r="F55" s="38"/>
      <c r="G55" s="38"/>
      <c r="H55" s="38"/>
      <c r="I55" s="38"/>
    </row>
    <row r="56" spans="1:9" x14ac:dyDescent="0.3">
      <c r="A56" s="38"/>
      <c r="B56" s="38"/>
      <c r="C56" s="38"/>
      <c r="D56" s="38"/>
      <c r="E56" s="38"/>
      <c r="F56" s="38"/>
      <c r="G56" s="38"/>
      <c r="H56" s="38"/>
      <c r="I56" s="38"/>
    </row>
    <row r="57" spans="1:9" x14ac:dyDescent="0.3">
      <c r="A57" s="38" t="s">
        <v>41</v>
      </c>
      <c r="B57" s="38"/>
      <c r="C57" s="38"/>
      <c r="D57" s="38"/>
      <c r="E57" s="38"/>
      <c r="F57" s="38"/>
      <c r="G57" s="38"/>
      <c r="H57" s="38"/>
      <c r="I57" s="38"/>
    </row>
    <row r="58" spans="1:9" x14ac:dyDescent="0.3">
      <c r="A58" s="38" t="s">
        <v>42</v>
      </c>
      <c r="B58" s="38"/>
      <c r="C58" s="38"/>
      <c r="D58" s="38"/>
      <c r="E58" s="38"/>
      <c r="F58" s="38"/>
      <c r="G58" s="38"/>
      <c r="H58" s="38"/>
      <c r="I58" s="38"/>
    </row>
    <row r="59" spans="1:9" x14ac:dyDescent="0.3">
      <c r="A59" s="38" t="s">
        <v>43</v>
      </c>
      <c r="B59" s="38"/>
      <c r="C59" s="38"/>
      <c r="D59" s="38"/>
      <c r="E59" s="38"/>
      <c r="F59" s="38"/>
      <c r="G59" s="38"/>
      <c r="H59" s="38"/>
      <c r="I59" s="38"/>
    </row>
    <row r="60" spans="1:9" x14ac:dyDescent="0.3">
      <c r="A60" s="38" t="s">
        <v>44</v>
      </c>
      <c r="B60" s="38"/>
      <c r="C60" s="38"/>
      <c r="D60" s="38"/>
      <c r="E60" s="38"/>
      <c r="F60" s="38"/>
      <c r="G60" s="38"/>
      <c r="H60" s="38"/>
      <c r="I60" s="38"/>
    </row>
    <row r="61" spans="1:9" x14ac:dyDescent="0.3">
      <c r="A61" s="38" t="s">
        <v>45</v>
      </c>
      <c r="B61" s="38"/>
      <c r="C61" s="38"/>
      <c r="D61" s="38"/>
      <c r="E61" s="38"/>
      <c r="F61" s="38"/>
      <c r="G61" s="38"/>
      <c r="H61" s="38"/>
      <c r="I61" s="38"/>
    </row>
    <row r="62" spans="1:9" x14ac:dyDescent="0.3">
      <c r="A62" s="38"/>
      <c r="B62" s="38"/>
      <c r="C62" s="38"/>
      <c r="D62" s="38"/>
      <c r="E62" s="38"/>
      <c r="F62" s="38"/>
      <c r="G62" s="38"/>
      <c r="H62" s="38"/>
      <c r="I62" s="38"/>
    </row>
    <row r="63" spans="1:9" x14ac:dyDescent="0.3">
      <c r="A63" s="38" t="s">
        <v>34</v>
      </c>
      <c r="B63" s="38"/>
      <c r="C63" s="38"/>
      <c r="D63" s="38"/>
      <c r="E63" s="38"/>
      <c r="F63" s="38"/>
      <c r="G63" s="38"/>
      <c r="H63" s="38"/>
      <c r="I63" s="38"/>
    </row>
    <row r="64" spans="1:9" x14ac:dyDescent="0.3">
      <c r="A64" s="38" t="s">
        <v>46</v>
      </c>
      <c r="B64" s="38"/>
      <c r="C64" s="38"/>
      <c r="D64" s="38"/>
      <c r="E64" s="38"/>
      <c r="F64" s="38"/>
      <c r="G64" s="38"/>
      <c r="H64" s="38"/>
      <c r="I64" s="38"/>
    </row>
    <row r="67" spans="1:22" x14ac:dyDescent="0.3">
      <c r="B67" t="s">
        <v>47</v>
      </c>
    </row>
    <row r="68" spans="1:22" x14ac:dyDescent="0.3">
      <c r="A68" t="s">
        <v>48</v>
      </c>
      <c r="B68" s="12">
        <v>2</v>
      </c>
    </row>
    <row r="69" spans="1:22" x14ac:dyDescent="0.3">
      <c r="A69" t="s">
        <v>49</v>
      </c>
      <c r="B69" s="12">
        <v>5</v>
      </c>
    </row>
    <row r="70" spans="1:22" x14ac:dyDescent="0.3">
      <c r="A70" t="s">
        <v>50</v>
      </c>
      <c r="B70" s="12">
        <f>SUM(B68:B69)</f>
        <v>7</v>
      </c>
    </row>
    <row r="72" spans="1:22" x14ac:dyDescent="0.3">
      <c r="A72" s="42" t="s">
        <v>51</v>
      </c>
      <c r="B72" s="42" t="s">
        <v>52</v>
      </c>
    </row>
    <row r="73" spans="1:22" x14ac:dyDescent="0.3">
      <c r="A73" s="43">
        <v>0.19</v>
      </c>
      <c r="B73" s="43">
        <v>0.81</v>
      </c>
    </row>
    <row r="74" spans="1:22" x14ac:dyDescent="0.3">
      <c r="A74" s="43">
        <v>0.19</v>
      </c>
      <c r="B74" s="43">
        <v>0.81</v>
      </c>
    </row>
    <row r="75" spans="1:22" x14ac:dyDescent="0.3">
      <c r="A75" s="38"/>
      <c r="B75" s="38"/>
    </row>
    <row r="76" spans="1:22" x14ac:dyDescent="0.3">
      <c r="A76" s="49" t="s">
        <v>268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</row>
    <row r="77" spans="1:22" x14ac:dyDescent="0.3">
      <c r="B77" s="50" t="s">
        <v>116</v>
      </c>
      <c r="C77" s="50" t="s">
        <v>116</v>
      </c>
      <c r="D77" s="50" t="s">
        <v>116</v>
      </c>
      <c r="E77" s="50" t="s">
        <v>116</v>
      </c>
      <c r="F77" s="50" t="s">
        <v>116</v>
      </c>
      <c r="G77" s="50" t="s">
        <v>116</v>
      </c>
      <c r="H77" s="50" t="s">
        <v>117</v>
      </c>
      <c r="I77" s="50" t="s">
        <v>117</v>
      </c>
      <c r="J77" s="50" t="s">
        <v>117</v>
      </c>
      <c r="K77" s="50" t="s">
        <v>117</v>
      </c>
      <c r="L77" s="50" t="s">
        <v>117</v>
      </c>
      <c r="M77" s="50" t="s">
        <v>117</v>
      </c>
      <c r="N77" s="50" t="s">
        <v>118</v>
      </c>
      <c r="O77" s="50" t="s">
        <v>118</v>
      </c>
      <c r="P77" s="50" t="s">
        <v>118</v>
      </c>
      <c r="Q77" s="50" t="s">
        <v>118</v>
      </c>
      <c r="R77" s="50" t="s">
        <v>118</v>
      </c>
      <c r="S77" s="50" t="s">
        <v>118</v>
      </c>
      <c r="T77" s="50" t="s">
        <v>119</v>
      </c>
      <c r="U77" s="50" t="s">
        <v>119</v>
      </c>
      <c r="V77" s="51" t="s">
        <v>119</v>
      </c>
    </row>
    <row r="78" spans="1:22" ht="28.8" x14ac:dyDescent="0.3">
      <c r="B78" s="52" t="s">
        <v>123</v>
      </c>
      <c r="C78" s="52" t="s">
        <v>124</v>
      </c>
      <c r="D78" s="52" t="s">
        <v>125</v>
      </c>
      <c r="E78" s="52" t="s">
        <v>126</v>
      </c>
      <c r="F78" s="52" t="s">
        <v>127</v>
      </c>
      <c r="G78" s="52" t="s">
        <v>128</v>
      </c>
      <c r="H78" s="52" t="s">
        <v>123</v>
      </c>
      <c r="I78" s="52" t="s">
        <v>124</v>
      </c>
      <c r="J78" s="52" t="s">
        <v>125</v>
      </c>
      <c r="K78" s="52" t="s">
        <v>126</v>
      </c>
      <c r="L78" s="52" t="s">
        <v>127</v>
      </c>
      <c r="M78" s="52" t="s">
        <v>128</v>
      </c>
      <c r="N78" s="52" t="s">
        <v>129</v>
      </c>
      <c r="O78" s="52" t="s">
        <v>130</v>
      </c>
      <c r="P78" s="52" t="s">
        <v>131</v>
      </c>
      <c r="Q78" s="52" t="s">
        <v>132</v>
      </c>
      <c r="R78" s="52" t="s">
        <v>133</v>
      </c>
      <c r="S78" s="52" t="s">
        <v>134</v>
      </c>
      <c r="T78" s="52" t="s">
        <v>119</v>
      </c>
      <c r="U78" s="52" t="s">
        <v>135</v>
      </c>
      <c r="V78" s="53" t="s">
        <v>136</v>
      </c>
    </row>
    <row r="79" spans="1:22" x14ac:dyDescent="0.3">
      <c r="A79" t="s">
        <v>137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</row>
    <row r="80" spans="1:22" x14ac:dyDescent="0.3">
      <c r="A80" t="s">
        <v>162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</row>
    <row r="81" spans="1:22" x14ac:dyDescent="0.3">
      <c r="A81" t="s">
        <v>163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</row>
    <row r="82" spans="1:22" x14ac:dyDescent="0.3">
      <c r="A82" t="s">
        <v>164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</row>
  </sheetData>
  <hyperlinks>
    <hyperlink ref="B7" r:id="rId1" xr:uid="{3B34165D-85CE-4D9E-B9D6-953448AF9A33}"/>
    <hyperlink ref="I8" r:id="rId2" xr:uid="{B024401C-C7C6-40D4-8672-F7771BC5260F}"/>
    <hyperlink ref="B14" r:id="rId3" xr:uid="{8CC9089F-707A-4C6D-A9BE-53AEDC7176CD}"/>
    <hyperlink ref="I14" r:id="rId4" xr:uid="{BE09A841-42B5-4E66-99A6-7410D00CB1CB}"/>
    <hyperlink ref="I16" r:id="rId5" display="https://obtrenmx.org/" xr:uid="{46116971-41EB-429D-A729-E967529EFF79}"/>
    <hyperlink ref="B20" r:id="rId6" xr:uid="{E0A76BF3-2DA1-4C24-9E94-59227DB688C7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9887-7FB8-4222-A5C2-356585F8C46D}">
  <dimension ref="A2:AW32"/>
  <sheetViews>
    <sheetView workbookViewId="0">
      <selection activeCell="C17" sqref="C17"/>
    </sheetView>
  </sheetViews>
  <sheetFormatPr defaultRowHeight="14.4" x14ac:dyDescent="0.3"/>
  <cols>
    <col min="1" max="1" width="13.109375" bestFit="1" customWidth="1"/>
    <col min="2" max="2" width="17.88671875" bestFit="1" customWidth="1"/>
    <col min="3" max="10" width="9.88671875" bestFit="1" customWidth="1"/>
    <col min="11" max="25" width="10.88671875" bestFit="1" customWidth="1"/>
    <col min="26" max="34" width="9.88671875" bestFit="1" customWidth="1"/>
    <col min="35" max="49" width="10.88671875" bestFit="1" customWidth="1"/>
    <col min="50" max="58" width="14.6640625" bestFit="1" customWidth="1"/>
    <col min="59" max="73" width="15.88671875" bestFit="1" customWidth="1"/>
  </cols>
  <sheetData>
    <row r="2" spans="1:49" x14ac:dyDescent="0.3">
      <c r="A2" s="36" t="s">
        <v>53</v>
      </c>
      <c r="B2" t="s">
        <v>54</v>
      </c>
    </row>
    <row r="4" spans="1:49" x14ac:dyDescent="0.3">
      <c r="B4" s="36" t="s">
        <v>233</v>
      </c>
    </row>
    <row r="5" spans="1:49" x14ac:dyDescent="0.3">
      <c r="B5" t="s">
        <v>48</v>
      </c>
      <c r="Z5" t="s">
        <v>49</v>
      </c>
    </row>
    <row r="6" spans="1:49" x14ac:dyDescent="0.3">
      <c r="A6" s="36" t="s">
        <v>55</v>
      </c>
      <c r="B6" t="s">
        <v>234</v>
      </c>
      <c r="C6" t="s">
        <v>235</v>
      </c>
      <c r="D6" t="s">
        <v>236</v>
      </c>
      <c r="E6" t="s">
        <v>237</v>
      </c>
      <c r="F6" t="s">
        <v>238</v>
      </c>
      <c r="G6" t="s">
        <v>239</v>
      </c>
      <c r="H6" t="s">
        <v>240</v>
      </c>
      <c r="I6" t="s">
        <v>241</v>
      </c>
      <c r="J6" t="s">
        <v>56</v>
      </c>
      <c r="K6" t="s">
        <v>242</v>
      </c>
      <c r="L6" t="s">
        <v>243</v>
      </c>
      <c r="M6" t="s">
        <v>244</v>
      </c>
      <c r="N6" t="s">
        <v>245</v>
      </c>
      <c r="O6" t="s">
        <v>246</v>
      </c>
      <c r="P6" t="s">
        <v>247</v>
      </c>
      <c r="Q6" t="s">
        <v>248</v>
      </c>
      <c r="R6" t="s">
        <v>249</v>
      </c>
      <c r="S6" t="s">
        <v>250</v>
      </c>
      <c r="T6" t="s">
        <v>251</v>
      </c>
      <c r="U6" t="s">
        <v>252</v>
      </c>
      <c r="V6" t="s">
        <v>253</v>
      </c>
      <c r="W6" t="s">
        <v>254</v>
      </c>
      <c r="X6" t="s">
        <v>255</v>
      </c>
      <c r="Y6" t="s">
        <v>256</v>
      </c>
      <c r="Z6" t="s">
        <v>234</v>
      </c>
      <c r="AA6" t="s">
        <v>235</v>
      </c>
      <c r="AB6" t="s">
        <v>236</v>
      </c>
      <c r="AC6" t="s">
        <v>237</v>
      </c>
      <c r="AD6" t="s">
        <v>238</v>
      </c>
      <c r="AE6" t="s">
        <v>239</v>
      </c>
      <c r="AF6" t="s">
        <v>240</v>
      </c>
      <c r="AG6" t="s">
        <v>241</v>
      </c>
      <c r="AH6" t="s">
        <v>56</v>
      </c>
      <c r="AI6" t="s">
        <v>242</v>
      </c>
      <c r="AJ6" t="s">
        <v>243</v>
      </c>
      <c r="AK6" t="s">
        <v>244</v>
      </c>
      <c r="AL6" t="s">
        <v>245</v>
      </c>
      <c r="AM6" t="s">
        <v>246</v>
      </c>
      <c r="AN6" t="s">
        <v>247</v>
      </c>
      <c r="AO6" t="s">
        <v>248</v>
      </c>
      <c r="AP6" t="s">
        <v>249</v>
      </c>
      <c r="AQ6" t="s">
        <v>250</v>
      </c>
      <c r="AR6" t="s">
        <v>251</v>
      </c>
      <c r="AS6" t="s">
        <v>252</v>
      </c>
      <c r="AT6" t="s">
        <v>253</v>
      </c>
      <c r="AU6" t="s">
        <v>254</v>
      </c>
      <c r="AV6" t="s">
        <v>255</v>
      </c>
      <c r="AW6" t="s">
        <v>256</v>
      </c>
    </row>
    <row r="7" spans="1:49" x14ac:dyDescent="0.3">
      <c r="A7" s="2">
        <v>1</v>
      </c>
      <c r="B7" s="10">
        <v>14693</v>
      </c>
      <c r="C7" s="10">
        <v>14918</v>
      </c>
      <c r="D7" s="10">
        <v>15116</v>
      </c>
      <c r="E7" s="10">
        <v>15145</v>
      </c>
      <c r="F7" s="10">
        <v>15096</v>
      </c>
      <c r="G7" s="10">
        <v>19621</v>
      </c>
      <c r="H7" s="10">
        <v>35428</v>
      </c>
      <c r="I7" s="10">
        <v>84365</v>
      </c>
      <c r="J7" s="10">
        <v>138588</v>
      </c>
      <c r="K7" s="10">
        <v>194920</v>
      </c>
      <c r="L7" s="10">
        <v>283962</v>
      </c>
      <c r="M7" s="10">
        <v>493989</v>
      </c>
      <c r="N7" s="10">
        <v>824331</v>
      </c>
      <c r="O7" s="10">
        <v>1084428</v>
      </c>
      <c r="P7" s="10">
        <v>1182978</v>
      </c>
      <c r="Q7" s="10">
        <v>1078706</v>
      </c>
      <c r="R7" s="10">
        <v>834276</v>
      </c>
      <c r="S7" s="10">
        <v>541892</v>
      </c>
      <c r="T7" s="10">
        <v>342077</v>
      </c>
      <c r="U7" s="10">
        <v>232842</v>
      </c>
      <c r="V7" s="10">
        <v>151071</v>
      </c>
      <c r="W7" s="10">
        <v>85760</v>
      </c>
      <c r="X7" s="10">
        <v>34742</v>
      </c>
      <c r="Y7" s="10">
        <v>19049</v>
      </c>
      <c r="Z7" s="10">
        <v>34908</v>
      </c>
      <c r="AA7" s="10">
        <v>35104</v>
      </c>
      <c r="AB7" s="10">
        <v>35239</v>
      </c>
      <c r="AC7" s="10">
        <v>35258</v>
      </c>
      <c r="AD7" s="10">
        <v>34366</v>
      </c>
      <c r="AE7" s="10">
        <v>41819</v>
      </c>
      <c r="AF7" s="10">
        <v>64256</v>
      </c>
      <c r="AG7" s="10">
        <v>123535</v>
      </c>
      <c r="AH7" s="10">
        <v>183343</v>
      </c>
      <c r="AI7" s="10">
        <v>255776</v>
      </c>
      <c r="AJ7" s="10">
        <v>394590</v>
      </c>
      <c r="AK7" s="10">
        <v>742081</v>
      </c>
      <c r="AL7" s="10">
        <v>1289245</v>
      </c>
      <c r="AM7" s="10">
        <v>1733170</v>
      </c>
      <c r="AN7" s="10">
        <v>1978424</v>
      </c>
      <c r="AO7" s="10">
        <v>1976738</v>
      </c>
      <c r="AP7" s="10">
        <v>1656191</v>
      </c>
      <c r="AQ7" s="10">
        <v>1134240</v>
      </c>
      <c r="AR7" s="10">
        <v>748799</v>
      </c>
      <c r="AS7" s="10">
        <v>528328</v>
      </c>
      <c r="AT7" s="10">
        <v>354370</v>
      </c>
      <c r="AU7" s="10">
        <v>205207</v>
      </c>
      <c r="AV7" s="10">
        <v>83503</v>
      </c>
      <c r="AW7" s="10">
        <v>45616</v>
      </c>
    </row>
    <row r="8" spans="1:49" x14ac:dyDescent="0.3">
      <c r="A8" s="2">
        <v>2</v>
      </c>
      <c r="B8" s="10">
        <v>57407</v>
      </c>
      <c r="C8" s="10">
        <v>43822</v>
      </c>
      <c r="D8" s="10">
        <v>39608</v>
      </c>
      <c r="E8" s="10">
        <v>44488</v>
      </c>
      <c r="F8" s="10">
        <v>58982</v>
      </c>
      <c r="G8" s="10">
        <v>87346</v>
      </c>
      <c r="H8" s="10">
        <v>130522</v>
      </c>
      <c r="I8" s="10">
        <v>188595</v>
      </c>
      <c r="J8" s="10">
        <v>282239</v>
      </c>
      <c r="K8" s="10">
        <v>487781</v>
      </c>
      <c r="L8" s="10">
        <v>794217</v>
      </c>
      <c r="M8" s="10">
        <v>1224276</v>
      </c>
      <c r="N8" s="10">
        <v>1656972</v>
      </c>
      <c r="O8" s="10">
        <v>1943212</v>
      </c>
      <c r="P8" s="10">
        <v>2037037</v>
      </c>
      <c r="Q8" s="10">
        <v>1932960</v>
      </c>
      <c r="R8" s="10">
        <v>1676963</v>
      </c>
      <c r="S8" s="10">
        <v>1342995</v>
      </c>
      <c r="T8" s="10">
        <v>956762</v>
      </c>
      <c r="U8" s="10">
        <v>582680</v>
      </c>
      <c r="V8" s="10">
        <v>307662</v>
      </c>
      <c r="W8" s="10">
        <v>191712</v>
      </c>
      <c r="X8" s="10">
        <v>127996</v>
      </c>
      <c r="Y8" s="10">
        <v>84799</v>
      </c>
      <c r="Z8" s="10">
        <v>135151</v>
      </c>
      <c r="AA8" s="10">
        <v>102185</v>
      </c>
      <c r="AB8" s="10">
        <v>91498</v>
      </c>
      <c r="AC8" s="10">
        <v>102633</v>
      </c>
      <c r="AD8" s="10">
        <v>133054</v>
      </c>
      <c r="AE8" s="10">
        <v>184478</v>
      </c>
      <c r="AF8" s="10">
        <v>234586</v>
      </c>
      <c r="AG8" s="10">
        <v>273654</v>
      </c>
      <c r="AH8" s="10">
        <v>370002</v>
      </c>
      <c r="AI8" s="10">
        <v>634273</v>
      </c>
      <c r="AJ8" s="10">
        <v>1093638</v>
      </c>
      <c r="AK8" s="10">
        <v>1822472</v>
      </c>
      <c r="AL8" s="10">
        <v>2568012</v>
      </c>
      <c r="AM8" s="10">
        <v>3077575</v>
      </c>
      <c r="AN8" s="10">
        <v>3375899</v>
      </c>
      <c r="AO8" s="10">
        <v>3510078</v>
      </c>
      <c r="AP8" s="10">
        <v>3298923</v>
      </c>
      <c r="AQ8" s="10">
        <v>2785572</v>
      </c>
      <c r="AR8" s="10">
        <v>2075360</v>
      </c>
      <c r="AS8" s="10">
        <v>1310149</v>
      </c>
      <c r="AT8" s="10">
        <v>715150</v>
      </c>
      <c r="AU8" s="10">
        <v>454575</v>
      </c>
      <c r="AV8" s="10">
        <v>304852</v>
      </c>
      <c r="AW8" s="10">
        <v>201230</v>
      </c>
    </row>
    <row r="9" spans="1:49" x14ac:dyDescent="0.3">
      <c r="A9" s="2">
        <v>3</v>
      </c>
      <c r="B9" s="10">
        <v>766213</v>
      </c>
      <c r="C9" s="10">
        <v>644441</v>
      </c>
      <c r="D9" s="10">
        <v>610610</v>
      </c>
      <c r="E9" s="10">
        <v>654239</v>
      </c>
      <c r="F9" s="10">
        <v>787234</v>
      </c>
      <c r="G9" s="10">
        <v>1095890</v>
      </c>
      <c r="H9" s="10">
        <v>1811845</v>
      </c>
      <c r="I9" s="10">
        <v>2963605</v>
      </c>
      <c r="J9" s="10">
        <v>4343235</v>
      </c>
      <c r="K9" s="10">
        <v>5688216</v>
      </c>
      <c r="L9" s="10">
        <v>7482564</v>
      </c>
      <c r="M9" s="10">
        <v>9995950</v>
      </c>
      <c r="N9" s="10">
        <v>12300000</v>
      </c>
      <c r="O9" s="10">
        <v>13700000</v>
      </c>
      <c r="P9" s="10">
        <v>14200000</v>
      </c>
      <c r="Q9" s="10">
        <v>13700000</v>
      </c>
      <c r="R9" s="10">
        <v>12500000</v>
      </c>
      <c r="S9" s="10">
        <v>11000000</v>
      </c>
      <c r="T9" s="10">
        <v>9013947</v>
      </c>
      <c r="U9" s="10">
        <v>6794861</v>
      </c>
      <c r="V9" s="10">
        <v>4734461</v>
      </c>
      <c r="W9" s="10">
        <v>3012592</v>
      </c>
      <c r="X9" s="10">
        <v>1776794</v>
      </c>
      <c r="Y9" s="10">
        <v>1063937</v>
      </c>
      <c r="Z9" s="10">
        <v>1781185</v>
      </c>
      <c r="AA9" s="10">
        <v>1483811</v>
      </c>
      <c r="AB9" s="10">
        <v>1392836</v>
      </c>
      <c r="AC9" s="10">
        <v>1490319</v>
      </c>
      <c r="AD9" s="10">
        <v>1753539</v>
      </c>
      <c r="AE9" s="10">
        <v>2285454</v>
      </c>
      <c r="AF9" s="10">
        <v>3215461</v>
      </c>
      <c r="AG9" s="10">
        <v>4246147</v>
      </c>
      <c r="AH9" s="10">
        <v>5622156</v>
      </c>
      <c r="AI9" s="10">
        <v>7303471</v>
      </c>
      <c r="AJ9" s="10">
        <v>10200000</v>
      </c>
      <c r="AK9" s="10">
        <v>14700000</v>
      </c>
      <c r="AL9" s="10">
        <v>18900000</v>
      </c>
      <c r="AM9" s="10">
        <v>21500000</v>
      </c>
      <c r="AN9" s="10">
        <v>23200000</v>
      </c>
      <c r="AO9" s="10">
        <v>24500000</v>
      </c>
      <c r="AP9" s="10">
        <v>24300000</v>
      </c>
      <c r="AQ9" s="10">
        <v>22500000</v>
      </c>
      <c r="AR9" s="10">
        <v>19300000</v>
      </c>
      <c r="AS9" s="10">
        <v>15100000</v>
      </c>
      <c r="AT9" s="10">
        <v>10900000</v>
      </c>
      <c r="AU9" s="10">
        <v>7053397</v>
      </c>
      <c r="AV9" s="10">
        <v>4178593</v>
      </c>
      <c r="AW9" s="10">
        <v>2492988</v>
      </c>
    </row>
    <row r="10" spans="1:49" x14ac:dyDescent="0.3">
      <c r="A10" s="2">
        <v>4</v>
      </c>
      <c r="B10" s="10">
        <v>22800000</v>
      </c>
      <c r="C10" s="10">
        <v>19900000</v>
      </c>
      <c r="D10" s="10">
        <v>19100000</v>
      </c>
      <c r="E10" s="10">
        <v>20200000</v>
      </c>
      <c r="F10" s="10">
        <v>23400000</v>
      </c>
      <c r="G10" s="10">
        <v>28600000</v>
      </c>
      <c r="H10" s="10">
        <v>35600000</v>
      </c>
      <c r="I10" s="10">
        <v>43100000</v>
      </c>
      <c r="J10" s="10">
        <v>50400000</v>
      </c>
      <c r="K10" s="10">
        <v>58100000</v>
      </c>
      <c r="L10" s="10">
        <v>74200000</v>
      </c>
      <c r="M10" s="10">
        <v>107000000</v>
      </c>
      <c r="N10" s="10">
        <v>144000000</v>
      </c>
      <c r="O10" s="10">
        <v>168000000</v>
      </c>
      <c r="P10" s="10">
        <v>175000000</v>
      </c>
      <c r="Q10" s="10">
        <v>167000000</v>
      </c>
      <c r="R10" s="10">
        <v>145000000</v>
      </c>
      <c r="S10" s="10">
        <v>117000000</v>
      </c>
      <c r="T10" s="10">
        <v>89400000</v>
      </c>
      <c r="U10" s="10">
        <v>69500000</v>
      </c>
      <c r="V10" s="10">
        <v>55000000</v>
      </c>
      <c r="W10" s="10">
        <v>43800000</v>
      </c>
      <c r="X10" s="10">
        <v>34900000</v>
      </c>
      <c r="Y10" s="10">
        <v>27800000</v>
      </c>
      <c r="Z10" s="10">
        <v>52100000</v>
      </c>
      <c r="AA10" s="10">
        <v>45000000</v>
      </c>
      <c r="AB10" s="10">
        <v>42800000</v>
      </c>
      <c r="AC10" s="10">
        <v>45200000</v>
      </c>
      <c r="AD10" s="10">
        <v>51300000</v>
      </c>
      <c r="AE10" s="10">
        <v>58600000</v>
      </c>
      <c r="AF10" s="10">
        <v>62000000</v>
      </c>
      <c r="AG10" s="10">
        <v>60700000</v>
      </c>
      <c r="AH10" s="10">
        <v>64200000</v>
      </c>
      <c r="AI10" s="10">
        <v>73400000</v>
      </c>
      <c r="AJ10" s="10">
        <v>99100000</v>
      </c>
      <c r="AK10" s="10">
        <v>155000000</v>
      </c>
      <c r="AL10" s="10">
        <v>216000000</v>
      </c>
      <c r="AM10" s="10">
        <v>258000000</v>
      </c>
      <c r="AN10" s="10">
        <v>282000000</v>
      </c>
      <c r="AO10" s="10">
        <v>294000000</v>
      </c>
      <c r="AP10" s="10">
        <v>278000000</v>
      </c>
      <c r="AQ10" s="10">
        <v>236000000</v>
      </c>
      <c r="AR10" s="10">
        <v>188000000</v>
      </c>
      <c r="AS10" s="10">
        <v>152000000</v>
      </c>
      <c r="AT10" s="10">
        <v>124000000</v>
      </c>
      <c r="AU10" s="10">
        <v>101000000</v>
      </c>
      <c r="AV10" s="10">
        <v>80600000</v>
      </c>
      <c r="AW10" s="10">
        <v>63900000</v>
      </c>
    </row>
    <row r="11" spans="1:49" x14ac:dyDescent="0.3">
      <c r="A11" s="2">
        <v>5</v>
      </c>
      <c r="B11" s="10">
        <v>134000000</v>
      </c>
      <c r="C11" s="10">
        <v>118000000</v>
      </c>
      <c r="D11" s="10">
        <v>115000000</v>
      </c>
      <c r="E11" s="10">
        <v>120000000</v>
      </c>
      <c r="F11" s="10">
        <v>138000000</v>
      </c>
      <c r="G11" s="10">
        <v>177000000</v>
      </c>
      <c r="H11" s="10">
        <v>243000000</v>
      </c>
      <c r="I11" s="10">
        <v>320000000</v>
      </c>
      <c r="J11" s="10">
        <v>386000000</v>
      </c>
      <c r="K11" s="10">
        <v>431000000</v>
      </c>
      <c r="L11" s="10">
        <v>490000000</v>
      </c>
      <c r="M11" s="10">
        <v>591000000</v>
      </c>
      <c r="N11" s="10">
        <v>685000000</v>
      </c>
      <c r="O11" s="10">
        <v>735000000</v>
      </c>
      <c r="P11" s="10">
        <v>749000000</v>
      </c>
      <c r="Q11" s="10">
        <v>731000000</v>
      </c>
      <c r="R11" s="10">
        <v>693000000</v>
      </c>
      <c r="S11" s="10">
        <v>648000000</v>
      </c>
      <c r="T11" s="10">
        <v>591000000</v>
      </c>
      <c r="U11" s="10">
        <v>515000000</v>
      </c>
      <c r="V11" s="10">
        <v>421000000</v>
      </c>
      <c r="W11" s="10">
        <v>325000000</v>
      </c>
      <c r="X11" s="10">
        <v>238000000</v>
      </c>
      <c r="Y11" s="10">
        <v>172000000</v>
      </c>
      <c r="Z11" s="10">
        <v>304000000</v>
      </c>
      <c r="AA11" s="10">
        <v>265000000</v>
      </c>
      <c r="AB11" s="10">
        <v>254000000</v>
      </c>
      <c r="AC11" s="10">
        <v>266000000</v>
      </c>
      <c r="AD11" s="10">
        <v>299000000</v>
      </c>
      <c r="AE11" s="10">
        <v>359000000</v>
      </c>
      <c r="AF11" s="10">
        <v>420000000</v>
      </c>
      <c r="AG11" s="10">
        <v>447000000</v>
      </c>
      <c r="AH11" s="10">
        <v>487000000</v>
      </c>
      <c r="AI11" s="10">
        <v>539000000</v>
      </c>
      <c r="AJ11" s="10">
        <v>649000000</v>
      </c>
      <c r="AK11" s="10">
        <v>845000000</v>
      </c>
      <c r="AL11" s="10">
        <v>1020000000</v>
      </c>
      <c r="AM11" s="10">
        <v>1120000000</v>
      </c>
      <c r="AN11" s="10">
        <v>1190000000</v>
      </c>
      <c r="AO11" s="10">
        <v>1280000000</v>
      </c>
      <c r="AP11" s="10">
        <v>1310000000</v>
      </c>
      <c r="AQ11" s="10">
        <v>1290000000</v>
      </c>
      <c r="AR11" s="10">
        <v>1230000000</v>
      </c>
      <c r="AS11" s="10">
        <v>1110000000</v>
      </c>
      <c r="AT11" s="10">
        <v>941000000</v>
      </c>
      <c r="AU11" s="10">
        <v>742000000</v>
      </c>
      <c r="AV11" s="10">
        <v>545000000</v>
      </c>
      <c r="AW11" s="10">
        <v>392000000</v>
      </c>
    </row>
    <row r="12" spans="1:49" x14ac:dyDescent="0.3">
      <c r="A12" s="2">
        <v>6</v>
      </c>
      <c r="B12" s="10">
        <v>454000000</v>
      </c>
      <c r="C12" s="10">
        <v>416000000</v>
      </c>
      <c r="D12" s="10">
        <v>406000000</v>
      </c>
      <c r="E12" s="10">
        <v>422000000</v>
      </c>
      <c r="F12" s="10">
        <v>467000000</v>
      </c>
      <c r="G12" s="10">
        <v>533000000</v>
      </c>
      <c r="H12" s="10">
        <v>611000000</v>
      </c>
      <c r="I12" s="10">
        <v>684000000</v>
      </c>
      <c r="J12" s="10">
        <v>730000000</v>
      </c>
      <c r="K12" s="10">
        <v>742000000</v>
      </c>
      <c r="L12" s="10">
        <v>785000000</v>
      </c>
      <c r="M12" s="10">
        <v>896000000</v>
      </c>
      <c r="N12" s="10">
        <v>1000000000</v>
      </c>
      <c r="O12" s="10">
        <v>1050000000</v>
      </c>
      <c r="P12" s="10">
        <v>1060000000</v>
      </c>
      <c r="Q12" s="10">
        <v>1050000000</v>
      </c>
      <c r="R12" s="10">
        <v>1010000000</v>
      </c>
      <c r="S12" s="10">
        <v>983000000</v>
      </c>
      <c r="T12" s="10">
        <v>946000000</v>
      </c>
      <c r="U12" s="10">
        <v>886000000</v>
      </c>
      <c r="V12" s="10">
        <v>795000000</v>
      </c>
      <c r="W12" s="10">
        <v>695000000</v>
      </c>
      <c r="X12" s="10">
        <v>599000000</v>
      </c>
      <c r="Y12" s="10">
        <v>517000000</v>
      </c>
      <c r="Z12" s="10">
        <v>999000000</v>
      </c>
      <c r="AA12" s="10">
        <v>906000000</v>
      </c>
      <c r="AB12" s="10">
        <v>876000000</v>
      </c>
      <c r="AC12" s="10">
        <v>910000000</v>
      </c>
      <c r="AD12" s="10">
        <v>983000000</v>
      </c>
      <c r="AE12" s="10">
        <v>1050000000</v>
      </c>
      <c r="AF12" s="10">
        <v>1030000000</v>
      </c>
      <c r="AG12" s="10">
        <v>927000000</v>
      </c>
      <c r="AH12" s="10">
        <v>893000000</v>
      </c>
      <c r="AI12" s="10">
        <v>901000000</v>
      </c>
      <c r="AJ12" s="10">
        <v>1010000000</v>
      </c>
      <c r="AK12" s="10">
        <v>1250000000</v>
      </c>
      <c r="AL12" s="10">
        <v>1450000000</v>
      </c>
      <c r="AM12" s="10">
        <v>1560000000</v>
      </c>
      <c r="AN12" s="10">
        <v>1650000000</v>
      </c>
      <c r="AO12" s="10">
        <v>1780000000</v>
      </c>
      <c r="AP12" s="10">
        <v>1860000000</v>
      </c>
      <c r="AQ12" s="10">
        <v>1900000000</v>
      </c>
      <c r="AR12" s="10">
        <v>1920000000</v>
      </c>
      <c r="AS12" s="10">
        <v>1860000000</v>
      </c>
      <c r="AT12" s="10">
        <v>1730000000</v>
      </c>
      <c r="AU12" s="10">
        <v>1540000000</v>
      </c>
      <c r="AV12" s="10">
        <v>1330000000</v>
      </c>
      <c r="AW12" s="10">
        <v>1150000000</v>
      </c>
    </row>
    <row r="13" spans="1:49" x14ac:dyDescent="0.3">
      <c r="A13" s="2">
        <v>7</v>
      </c>
      <c r="B13" s="10">
        <v>810000000</v>
      </c>
      <c r="C13" s="10">
        <v>767000000</v>
      </c>
      <c r="D13" s="10">
        <v>758000000</v>
      </c>
      <c r="E13" s="10">
        <v>778000000</v>
      </c>
      <c r="F13" s="10">
        <v>832000000</v>
      </c>
      <c r="G13" s="10">
        <v>908000000</v>
      </c>
      <c r="H13" s="10">
        <v>989000000</v>
      </c>
      <c r="I13" s="10">
        <v>1050000000</v>
      </c>
      <c r="J13" s="10">
        <v>1070000000</v>
      </c>
      <c r="K13" s="10">
        <v>1040000000</v>
      </c>
      <c r="L13" s="10">
        <v>1070000000</v>
      </c>
      <c r="M13" s="10">
        <v>1200000000</v>
      </c>
      <c r="N13" s="10">
        <v>1320000000</v>
      </c>
      <c r="O13" s="10">
        <v>1380000000</v>
      </c>
      <c r="P13" s="10">
        <v>1390000000</v>
      </c>
      <c r="Q13" s="10">
        <v>1370000000</v>
      </c>
      <c r="R13" s="10">
        <v>1340000000</v>
      </c>
      <c r="S13" s="10">
        <v>1320000000</v>
      </c>
      <c r="T13" s="10">
        <v>1290000000</v>
      </c>
      <c r="U13" s="10">
        <v>1250000000</v>
      </c>
      <c r="V13" s="10">
        <v>1160000000</v>
      </c>
      <c r="W13" s="10">
        <v>1070000000</v>
      </c>
      <c r="X13" s="10">
        <v>970000000</v>
      </c>
      <c r="Y13" s="10">
        <v>881000000</v>
      </c>
      <c r="Z13" s="10">
        <v>1760000000</v>
      </c>
      <c r="AA13" s="10">
        <v>1650000000</v>
      </c>
      <c r="AB13" s="10">
        <v>1620000000</v>
      </c>
      <c r="AC13" s="10">
        <v>1660000000</v>
      </c>
      <c r="AD13" s="10">
        <v>1730000000</v>
      </c>
      <c r="AE13" s="10">
        <v>1770000000</v>
      </c>
      <c r="AF13" s="10">
        <v>1640000000</v>
      </c>
      <c r="AG13" s="10">
        <v>1410000000</v>
      </c>
      <c r="AH13" s="10">
        <v>1290000000</v>
      </c>
      <c r="AI13" s="10">
        <v>1250000000</v>
      </c>
      <c r="AJ13" s="10">
        <v>1360000000</v>
      </c>
      <c r="AK13" s="10">
        <v>1650000000</v>
      </c>
      <c r="AL13" s="10">
        <v>1890000000</v>
      </c>
      <c r="AM13" s="10">
        <v>2010000000</v>
      </c>
      <c r="AN13" s="10">
        <v>2130000000</v>
      </c>
      <c r="AO13" s="10">
        <v>2300000000</v>
      </c>
      <c r="AP13" s="10">
        <v>2430000000</v>
      </c>
      <c r="AQ13" s="10">
        <v>2520000000</v>
      </c>
      <c r="AR13" s="10">
        <v>2590000000</v>
      </c>
      <c r="AS13" s="10">
        <v>2590000000</v>
      </c>
      <c r="AT13" s="10">
        <v>2500000000</v>
      </c>
      <c r="AU13" s="10">
        <v>2340000000</v>
      </c>
      <c r="AV13" s="10">
        <v>2130000000</v>
      </c>
      <c r="AW13" s="10">
        <v>1930000000</v>
      </c>
    </row>
    <row r="14" spans="1:49" x14ac:dyDescent="0.3">
      <c r="A14" s="2">
        <v>8</v>
      </c>
      <c r="B14" s="10">
        <v>738000000</v>
      </c>
      <c r="C14" s="10">
        <v>695000000</v>
      </c>
      <c r="D14" s="10">
        <v>686000000</v>
      </c>
      <c r="E14" s="10">
        <v>706000000</v>
      </c>
      <c r="F14" s="10">
        <v>758000000</v>
      </c>
      <c r="G14" s="10">
        <v>833000000</v>
      </c>
      <c r="H14" s="10">
        <v>917000000</v>
      </c>
      <c r="I14" s="10">
        <v>985000000</v>
      </c>
      <c r="J14" s="10">
        <v>1010000000</v>
      </c>
      <c r="K14" s="10">
        <v>999000000</v>
      </c>
      <c r="L14" s="10">
        <v>1030000000</v>
      </c>
      <c r="M14" s="10">
        <v>1160000000</v>
      </c>
      <c r="N14" s="10">
        <v>1280000000</v>
      </c>
      <c r="O14" s="10">
        <v>1340000000</v>
      </c>
      <c r="P14" s="10">
        <v>1350000000</v>
      </c>
      <c r="Q14" s="10">
        <v>1330000000</v>
      </c>
      <c r="R14" s="10">
        <v>1300000000</v>
      </c>
      <c r="S14" s="10">
        <v>1270000000</v>
      </c>
      <c r="T14" s="10">
        <v>1250000000</v>
      </c>
      <c r="U14" s="10">
        <v>1190000000</v>
      </c>
      <c r="V14" s="10">
        <v>1100000000</v>
      </c>
      <c r="W14" s="10">
        <v>1000000000</v>
      </c>
      <c r="X14" s="10">
        <v>899000000</v>
      </c>
      <c r="Y14" s="10">
        <v>809000000</v>
      </c>
      <c r="Z14" s="10">
        <v>1610000000</v>
      </c>
      <c r="AA14" s="10">
        <v>1500000000</v>
      </c>
      <c r="AB14" s="10">
        <v>1470000000</v>
      </c>
      <c r="AC14" s="10">
        <v>1510000000</v>
      </c>
      <c r="AD14" s="10">
        <v>1580000000</v>
      </c>
      <c r="AE14" s="10">
        <v>1630000000</v>
      </c>
      <c r="AF14" s="10">
        <v>1520000000</v>
      </c>
      <c r="AG14" s="10">
        <v>1320000000</v>
      </c>
      <c r="AH14" s="10">
        <v>1230000000</v>
      </c>
      <c r="AI14" s="10">
        <v>1200000000</v>
      </c>
      <c r="AJ14" s="10">
        <v>1320000000</v>
      </c>
      <c r="AK14" s="10">
        <v>1600000000</v>
      </c>
      <c r="AL14" s="10">
        <v>1840000000</v>
      </c>
      <c r="AM14" s="10">
        <v>1960000000</v>
      </c>
      <c r="AN14" s="10">
        <v>2080000000</v>
      </c>
      <c r="AO14" s="10">
        <v>2240000000</v>
      </c>
      <c r="AP14" s="10">
        <v>2360000000</v>
      </c>
      <c r="AQ14" s="10">
        <v>2440000000</v>
      </c>
      <c r="AR14" s="10">
        <v>2500000000</v>
      </c>
      <c r="AS14" s="10">
        <v>2480000000</v>
      </c>
      <c r="AT14" s="10">
        <v>2370000000</v>
      </c>
      <c r="AU14" s="10">
        <v>2200000000</v>
      </c>
      <c r="AV14" s="10">
        <v>1980000000</v>
      </c>
      <c r="AW14" s="10">
        <v>1780000000</v>
      </c>
    </row>
    <row r="15" spans="1:49" x14ac:dyDescent="0.3">
      <c r="A15" s="2">
        <v>9</v>
      </c>
      <c r="B15" s="10">
        <v>284000000</v>
      </c>
      <c r="C15" s="10">
        <v>259000000</v>
      </c>
      <c r="D15" s="10">
        <v>252000000</v>
      </c>
      <c r="E15" s="10">
        <v>263000000</v>
      </c>
      <c r="F15" s="10">
        <v>292000000</v>
      </c>
      <c r="G15" s="10">
        <v>341000000</v>
      </c>
      <c r="H15" s="10">
        <v>402000000</v>
      </c>
      <c r="I15" s="10">
        <v>461000000</v>
      </c>
      <c r="J15" s="10">
        <v>500000000</v>
      </c>
      <c r="K15" s="10">
        <v>518000000</v>
      </c>
      <c r="L15" s="10">
        <v>559000000</v>
      </c>
      <c r="M15" s="10">
        <v>650000000</v>
      </c>
      <c r="N15" s="10">
        <v>738000000</v>
      </c>
      <c r="O15" s="10">
        <v>783000000</v>
      </c>
      <c r="P15" s="10">
        <v>795000000</v>
      </c>
      <c r="Q15" s="10">
        <v>779000000</v>
      </c>
      <c r="R15" s="10">
        <v>747000000</v>
      </c>
      <c r="S15" s="10">
        <v>713000000</v>
      </c>
      <c r="T15" s="10">
        <v>673000000</v>
      </c>
      <c r="U15" s="10">
        <v>618000000</v>
      </c>
      <c r="V15" s="10">
        <v>545000000</v>
      </c>
      <c r="W15" s="10">
        <v>468000000</v>
      </c>
      <c r="X15" s="10">
        <v>394000000</v>
      </c>
      <c r="Y15" s="10">
        <v>331000000</v>
      </c>
      <c r="Z15" s="10">
        <v>629000000</v>
      </c>
      <c r="AA15" s="10">
        <v>567000000</v>
      </c>
      <c r="AB15" s="10">
        <v>548000000</v>
      </c>
      <c r="AC15" s="10">
        <v>569000000</v>
      </c>
      <c r="AD15" s="10">
        <v>619000000</v>
      </c>
      <c r="AE15" s="10">
        <v>677000000</v>
      </c>
      <c r="AF15" s="10">
        <v>679000000</v>
      </c>
      <c r="AG15" s="10">
        <v>628000000</v>
      </c>
      <c r="AH15" s="10">
        <v>616000000</v>
      </c>
      <c r="AI15" s="10">
        <v>633000000</v>
      </c>
      <c r="AJ15" s="10">
        <v>723000000</v>
      </c>
      <c r="AK15" s="10">
        <v>910000000</v>
      </c>
      <c r="AL15" s="10">
        <v>1070000000</v>
      </c>
      <c r="AM15" s="10">
        <v>1170000000</v>
      </c>
      <c r="AN15" s="10">
        <v>1240000000</v>
      </c>
      <c r="AO15" s="10">
        <v>1330000000</v>
      </c>
      <c r="AP15" s="10">
        <v>1380000000</v>
      </c>
      <c r="AQ15" s="10">
        <v>1390000000</v>
      </c>
      <c r="AR15" s="10">
        <v>1370000000</v>
      </c>
      <c r="AS15" s="10">
        <v>1310000000</v>
      </c>
      <c r="AT15" s="10">
        <v>1190000000</v>
      </c>
      <c r="AU15" s="10">
        <v>1040000000</v>
      </c>
      <c r="AV15" s="10">
        <v>883000000</v>
      </c>
      <c r="AW15" s="10">
        <v>738000000</v>
      </c>
    </row>
    <row r="16" spans="1:49" x14ac:dyDescent="0.3">
      <c r="A16" s="2">
        <v>10</v>
      </c>
      <c r="B16" s="10">
        <v>39300000</v>
      </c>
      <c r="C16" s="10">
        <v>35300000</v>
      </c>
      <c r="D16" s="10">
        <v>34200000</v>
      </c>
      <c r="E16" s="10">
        <v>35800000</v>
      </c>
      <c r="F16" s="10">
        <v>40300000</v>
      </c>
      <c r="G16" s="10">
        <v>47400000</v>
      </c>
      <c r="H16" s="10">
        <v>57300000</v>
      </c>
      <c r="I16" s="10">
        <v>70700000</v>
      </c>
      <c r="J16" s="10">
        <v>89200000</v>
      </c>
      <c r="K16" s="10">
        <v>110000000</v>
      </c>
      <c r="L16" s="10">
        <v>141000000</v>
      </c>
      <c r="M16" s="10">
        <v>184000000</v>
      </c>
      <c r="N16" s="10">
        <v>224000000</v>
      </c>
      <c r="O16" s="10">
        <v>247000000</v>
      </c>
      <c r="P16" s="10">
        <v>254000000</v>
      </c>
      <c r="Q16" s="10">
        <v>246000000</v>
      </c>
      <c r="R16" s="10">
        <v>227000000</v>
      </c>
      <c r="S16" s="10">
        <v>202000000</v>
      </c>
      <c r="T16" s="10">
        <v>170000000</v>
      </c>
      <c r="U16" s="10">
        <v>132000000</v>
      </c>
      <c r="V16" s="10">
        <v>97200000</v>
      </c>
      <c r="W16" s="10">
        <v>71900000</v>
      </c>
      <c r="X16" s="10">
        <v>56200000</v>
      </c>
      <c r="Y16" s="10">
        <v>46000000</v>
      </c>
      <c r="Z16" s="10">
        <v>89400000</v>
      </c>
      <c r="AA16" s="10">
        <v>79600000</v>
      </c>
      <c r="AB16" s="10">
        <v>76500000</v>
      </c>
      <c r="AC16" s="10">
        <v>79900000</v>
      </c>
      <c r="AD16" s="10">
        <v>88000000</v>
      </c>
      <c r="AE16" s="10">
        <v>96900000</v>
      </c>
      <c r="AF16" s="10">
        <v>99700000</v>
      </c>
      <c r="AG16" s="10">
        <v>99200000</v>
      </c>
      <c r="AH16" s="10">
        <v>113000000</v>
      </c>
      <c r="AI16" s="10">
        <v>139000000</v>
      </c>
      <c r="AJ16" s="10">
        <v>188000000</v>
      </c>
      <c r="AK16" s="10">
        <v>265000000</v>
      </c>
      <c r="AL16" s="10">
        <v>336000000</v>
      </c>
      <c r="AM16" s="10">
        <v>379000000</v>
      </c>
      <c r="AN16" s="10">
        <v>407000000</v>
      </c>
      <c r="AO16" s="10">
        <v>432000000</v>
      </c>
      <c r="AP16" s="10">
        <v>431000000</v>
      </c>
      <c r="AQ16" s="10">
        <v>405000000</v>
      </c>
      <c r="AR16" s="10">
        <v>356000000</v>
      </c>
      <c r="AS16" s="10">
        <v>287000000</v>
      </c>
      <c r="AT16" s="10">
        <v>218000000</v>
      </c>
      <c r="AU16" s="10">
        <v>165000000</v>
      </c>
      <c r="AV16" s="10">
        <v>130000000</v>
      </c>
      <c r="AW16" s="10">
        <v>106000000</v>
      </c>
    </row>
    <row r="17" spans="1:49" x14ac:dyDescent="0.3">
      <c r="A17" s="2">
        <v>11</v>
      </c>
      <c r="B17" s="10">
        <v>5792137</v>
      </c>
      <c r="C17" s="10">
        <v>4425960</v>
      </c>
      <c r="D17" s="10">
        <v>4163202</v>
      </c>
      <c r="E17" s="10">
        <v>4493249</v>
      </c>
      <c r="F17" s="10">
        <v>5951045</v>
      </c>
      <c r="G17" s="10">
        <v>8864524</v>
      </c>
      <c r="H17" s="10">
        <v>14000000</v>
      </c>
      <c r="I17" s="10">
        <v>20800000</v>
      </c>
      <c r="J17" s="10">
        <v>27200000</v>
      </c>
      <c r="K17" s="10">
        <v>31800000</v>
      </c>
      <c r="L17" s="10">
        <v>37800000</v>
      </c>
      <c r="M17" s="10">
        <v>47300000</v>
      </c>
      <c r="N17" s="10">
        <v>57000000</v>
      </c>
      <c r="O17" s="10">
        <v>63400000</v>
      </c>
      <c r="P17" s="10">
        <v>65500000</v>
      </c>
      <c r="Q17" s="10">
        <v>63100000</v>
      </c>
      <c r="R17" s="10">
        <v>57700000</v>
      </c>
      <c r="S17" s="10">
        <v>51900000</v>
      </c>
      <c r="T17" s="10">
        <v>45500000</v>
      </c>
      <c r="U17" s="10">
        <v>38000000</v>
      </c>
      <c r="V17" s="10">
        <v>29600000</v>
      </c>
      <c r="W17" s="10">
        <v>21200000</v>
      </c>
      <c r="X17" s="10">
        <v>13700000</v>
      </c>
      <c r="Y17" s="10">
        <v>8606063</v>
      </c>
      <c r="Z17" s="10">
        <v>13300000</v>
      </c>
      <c r="AA17" s="10">
        <v>10100000</v>
      </c>
      <c r="AB17" s="10">
        <v>9396386</v>
      </c>
      <c r="AC17" s="10">
        <v>10100000</v>
      </c>
      <c r="AD17" s="10">
        <v>13100000</v>
      </c>
      <c r="AE17" s="10">
        <v>18300000</v>
      </c>
      <c r="AF17" s="10">
        <v>24600000</v>
      </c>
      <c r="AG17" s="10">
        <v>29500000</v>
      </c>
      <c r="AH17" s="10">
        <v>34800000</v>
      </c>
      <c r="AI17" s="10">
        <v>40400000</v>
      </c>
      <c r="AJ17" s="10">
        <v>50800000</v>
      </c>
      <c r="AK17" s="10">
        <v>68800000</v>
      </c>
      <c r="AL17" s="10">
        <v>86300000</v>
      </c>
      <c r="AM17" s="10">
        <v>98100000</v>
      </c>
      <c r="AN17" s="10">
        <v>106000000</v>
      </c>
      <c r="AO17" s="10">
        <v>112000000</v>
      </c>
      <c r="AP17" s="10">
        <v>111000000</v>
      </c>
      <c r="AQ17" s="10">
        <v>105000000</v>
      </c>
      <c r="AR17" s="10">
        <v>96400000</v>
      </c>
      <c r="AS17" s="10">
        <v>83500000</v>
      </c>
      <c r="AT17" s="10">
        <v>67300000</v>
      </c>
      <c r="AU17" s="10">
        <v>49000000</v>
      </c>
      <c r="AV17" s="10">
        <v>32000000</v>
      </c>
      <c r="AW17" s="10">
        <v>20000000</v>
      </c>
    </row>
    <row r="18" spans="1:49" x14ac:dyDescent="0.3">
      <c r="A18" s="2">
        <v>12</v>
      </c>
      <c r="B18" s="10">
        <v>85705</v>
      </c>
      <c r="C18" s="10">
        <v>49890</v>
      </c>
      <c r="D18" s="10">
        <v>50551</v>
      </c>
      <c r="E18" s="10">
        <v>50648</v>
      </c>
      <c r="F18" s="10">
        <v>88057</v>
      </c>
      <c r="G18" s="10">
        <v>152519</v>
      </c>
      <c r="H18" s="10">
        <v>298227</v>
      </c>
      <c r="I18" s="10">
        <v>515133</v>
      </c>
      <c r="J18" s="10">
        <v>737815</v>
      </c>
      <c r="K18" s="10">
        <v>1092663</v>
      </c>
      <c r="L18" s="10">
        <v>2198480</v>
      </c>
      <c r="M18" s="10">
        <v>4225508</v>
      </c>
      <c r="N18" s="10">
        <v>6415201</v>
      </c>
      <c r="O18" s="10">
        <v>7884403</v>
      </c>
      <c r="P18" s="10">
        <v>8371094</v>
      </c>
      <c r="Q18" s="10">
        <v>7842804</v>
      </c>
      <c r="R18" s="10">
        <v>6492599</v>
      </c>
      <c r="S18" s="10">
        <v>4635261</v>
      </c>
      <c r="T18" s="10">
        <v>2648421</v>
      </c>
      <c r="U18" s="10">
        <v>1305241</v>
      </c>
      <c r="V18" s="10">
        <v>804275</v>
      </c>
      <c r="W18" s="10">
        <v>523648</v>
      </c>
      <c r="X18" s="10">
        <v>292458</v>
      </c>
      <c r="Y18" s="10">
        <v>148072</v>
      </c>
      <c r="Z18" s="10">
        <v>203853</v>
      </c>
      <c r="AA18" s="10">
        <v>117532</v>
      </c>
      <c r="AB18" s="10">
        <v>117982</v>
      </c>
      <c r="AC18" s="10">
        <v>118048</v>
      </c>
      <c r="AD18" s="10">
        <v>200689</v>
      </c>
      <c r="AE18" s="10">
        <v>325447</v>
      </c>
      <c r="AF18" s="10">
        <v>541526</v>
      </c>
      <c r="AG18" s="10">
        <v>755170</v>
      </c>
      <c r="AH18" s="10">
        <v>977208</v>
      </c>
      <c r="AI18" s="10">
        <v>1435455</v>
      </c>
      <c r="AJ18" s="10">
        <v>3058504</v>
      </c>
      <c r="AK18" s="10">
        <v>6354962</v>
      </c>
      <c r="AL18" s="10">
        <v>10000000</v>
      </c>
      <c r="AM18" s="10">
        <v>12600000</v>
      </c>
      <c r="AN18" s="10">
        <v>14000000</v>
      </c>
      <c r="AO18" s="10">
        <v>14400000</v>
      </c>
      <c r="AP18" s="10">
        <v>12900000</v>
      </c>
      <c r="AQ18" s="10">
        <v>9713295</v>
      </c>
      <c r="AR18" s="10">
        <v>5804020</v>
      </c>
      <c r="AS18" s="10">
        <v>2965063</v>
      </c>
      <c r="AT18" s="10">
        <v>1888776</v>
      </c>
      <c r="AU18" s="10">
        <v>1254434</v>
      </c>
      <c r="AV18" s="10">
        <v>703731</v>
      </c>
      <c r="AW18" s="10">
        <v>355000</v>
      </c>
    </row>
    <row r="20" spans="1:49" x14ac:dyDescent="0.3">
      <c r="A20" s="2"/>
      <c r="B20" t="s">
        <v>257</v>
      </c>
      <c r="C20" t="s">
        <v>258</v>
      </c>
      <c r="D20" t="s">
        <v>259</v>
      </c>
      <c r="E20" t="s">
        <v>260</v>
      </c>
    </row>
    <row r="21" spans="1:49" x14ac:dyDescent="0.3">
      <c r="A21" s="2">
        <v>1</v>
      </c>
      <c r="B21" s="10">
        <f>SUM(B7:Y7)</f>
        <v>7737993</v>
      </c>
      <c r="C21" s="10">
        <f>SUM(Z7:AW7)</f>
        <v>13714106</v>
      </c>
      <c r="D21">
        <f>SUMPRODUCT(B21:C21,'Category Mapping'!E28:F28)</f>
        <v>372205999.4285714</v>
      </c>
      <c r="E21" s="10">
        <f>D21/'Category Mapping'!D28</f>
        <v>12006645.142857142</v>
      </c>
      <c r="F21" t="str">
        <f>INDEX('Category Mapping'!$G$28:$G$39,MATCH(A21,'Category Mapping'!$A$28:$A$39,0),1)</f>
        <v>Winter</v>
      </c>
    </row>
    <row r="22" spans="1:49" x14ac:dyDescent="0.3">
      <c r="A22" s="2">
        <v>2</v>
      </c>
      <c r="B22" s="10">
        <f t="shared" ref="B22:B32" si="0">SUM(B8:Y8)</f>
        <v>16281033</v>
      </c>
      <c r="C22" s="10">
        <f t="shared" ref="C22:C32" si="1">SUM(Z8:AW8)</f>
        <v>28854999</v>
      </c>
      <c r="D22">
        <f>SUMPRODUCT(B22:C22,'Category Mapping'!E29:F29)</f>
        <v>707348244</v>
      </c>
      <c r="E22" s="10">
        <f>D22/'Category Mapping'!D29</f>
        <v>25262437.285714287</v>
      </c>
      <c r="F22" t="str">
        <f>INDEX('Category Mapping'!$G$28:$G$39,MATCH(A22,'Category Mapping'!$A$28:$A$39,0),1)</f>
        <v>Winter</v>
      </c>
      <c r="H22" t="s">
        <v>261</v>
      </c>
      <c r="I22" s="10">
        <f>SUMIFS($D$21:$D$32,$F$21:$F$32,H22)</f>
        <v>37692143407.857147</v>
      </c>
    </row>
    <row r="23" spans="1:49" x14ac:dyDescent="0.3">
      <c r="A23" s="2">
        <v>3</v>
      </c>
      <c r="B23" s="10">
        <f t="shared" si="0"/>
        <v>140640634</v>
      </c>
      <c r="C23" s="10">
        <f t="shared" si="1"/>
        <v>249399357</v>
      </c>
      <c r="D23">
        <f>SUMPRODUCT(B23:C23,'Category Mapping'!E30:F30)</f>
        <v>6768088520.4285707</v>
      </c>
      <c r="E23" s="10">
        <f>D23/'Category Mapping'!D30</f>
        <v>218325436.14285713</v>
      </c>
      <c r="F23" t="str">
        <f>INDEX('Category Mapping'!$G$28:$G$39,MATCH(A23,'Category Mapping'!$A$28:$A$39,0),1)</f>
        <v>Spring</v>
      </c>
      <c r="H23" t="s">
        <v>262</v>
      </c>
      <c r="I23" s="10">
        <f t="shared" ref="I23:I25" si="2">SUMIFS($D$21:$D$32,$F$21:$F$32,H23)</f>
        <v>557393088520.42859</v>
      </c>
    </row>
    <row r="24" spans="1:49" x14ac:dyDescent="0.3">
      <c r="A24" s="2">
        <v>4</v>
      </c>
      <c r="B24" s="10">
        <f t="shared" si="0"/>
        <v>1738800000</v>
      </c>
      <c r="C24" s="10">
        <f t="shared" si="1"/>
        <v>3082900000</v>
      </c>
      <c r="D24">
        <f>SUMPRODUCT(B24:C24,'Category Mapping'!E31:F31)</f>
        <v>80966142857.142853</v>
      </c>
      <c r="E24" s="10">
        <f>D24/'Category Mapping'!D31</f>
        <v>2698871428.5714283</v>
      </c>
      <c r="F24" t="str">
        <f>INDEX('Category Mapping'!$G$28:$G$39,MATCH(A24,'Category Mapping'!$A$28:$A$39,0),1)</f>
        <v>Spring</v>
      </c>
      <c r="H24" t="s">
        <v>263</v>
      </c>
      <c r="I24" s="10">
        <f t="shared" si="2"/>
        <v>3264856571428.5713</v>
      </c>
    </row>
    <row r="25" spans="1:49" x14ac:dyDescent="0.3">
      <c r="A25" s="2">
        <v>5</v>
      </c>
      <c r="B25" s="10">
        <f t="shared" si="0"/>
        <v>9766000000</v>
      </c>
      <c r="C25" s="10">
        <f t="shared" si="1"/>
        <v>17304000000</v>
      </c>
      <c r="D25">
        <f>SUMPRODUCT(B25:C25,'Category Mapping'!E32:F32)</f>
        <v>469658857142.85712</v>
      </c>
      <c r="E25" s="10">
        <f>D25/'Category Mapping'!D32</f>
        <v>15150285714.285713</v>
      </c>
      <c r="F25" t="str">
        <f>INDEX('Category Mapping'!$G$28:$G$39,MATCH(A25,'Category Mapping'!$A$28:$A$39,0),1)</f>
        <v>Spring</v>
      </c>
      <c r="H25" t="s">
        <v>264</v>
      </c>
      <c r="I25" s="10">
        <f t="shared" si="2"/>
        <v>712956371428.57153</v>
      </c>
    </row>
    <row r="26" spans="1:49" x14ac:dyDescent="0.3">
      <c r="A26" s="2">
        <v>6</v>
      </c>
      <c r="B26" s="10">
        <f t="shared" si="0"/>
        <v>17737000000</v>
      </c>
      <c r="C26" s="10">
        <f t="shared" si="1"/>
        <v>31465000000</v>
      </c>
      <c r="D26">
        <f>SUMPRODUCT(B26:C26,'Category Mapping'!E33:F33)</f>
        <v>826281428571.42871</v>
      </c>
      <c r="E26" s="10">
        <f>D26/'Category Mapping'!D33</f>
        <v>27542714285.714291</v>
      </c>
      <c r="F26" t="str">
        <f>INDEX('Category Mapping'!$G$28:$G$39,MATCH(A26,'Category Mapping'!$A$28:$A$39,0),1)</f>
        <v>Summer</v>
      </c>
    </row>
    <row r="27" spans="1:49" x14ac:dyDescent="0.3">
      <c r="A27" s="2">
        <v>7</v>
      </c>
      <c r="B27" s="10">
        <f t="shared" si="0"/>
        <v>26013000000</v>
      </c>
      <c r="C27" s="10">
        <f t="shared" si="1"/>
        <v>46150000000</v>
      </c>
      <c r="D27">
        <f>SUMPRODUCT(B27:C27,'Category Mapping'!E34:F34)</f>
        <v>1252293714285.7144</v>
      </c>
      <c r="E27" s="10">
        <f>D27/'Category Mapping'!D34</f>
        <v>40396571428.571434</v>
      </c>
      <c r="F27" t="str">
        <f>INDEX('Category Mapping'!$G$28:$G$39,MATCH(A27,'Category Mapping'!$A$28:$A$39,0),1)</f>
        <v>Summer</v>
      </c>
    </row>
    <row r="28" spans="1:49" x14ac:dyDescent="0.3">
      <c r="A28" s="2">
        <v>8</v>
      </c>
      <c r="B28" s="10">
        <f t="shared" si="0"/>
        <v>24635000000</v>
      </c>
      <c r="C28" s="10">
        <f t="shared" si="1"/>
        <v>43720000000</v>
      </c>
      <c r="D28">
        <f>SUMPRODUCT(B28:C28,'Category Mapping'!E35:F35)</f>
        <v>1186281428571.4285</v>
      </c>
      <c r="E28" s="10">
        <f>D28/'Category Mapping'!D35</f>
        <v>38267142857.142853</v>
      </c>
      <c r="F28" t="str">
        <f>INDEX('Category Mapping'!$G$28:$G$39,MATCH(A28,'Category Mapping'!$A$28:$A$39,0),1)</f>
        <v>Summer</v>
      </c>
    </row>
    <row r="29" spans="1:49" x14ac:dyDescent="0.3">
      <c r="A29" s="2">
        <v>9</v>
      </c>
      <c r="B29" s="10">
        <f t="shared" si="0"/>
        <v>12365000000</v>
      </c>
      <c r="C29" s="10">
        <f t="shared" si="1"/>
        <v>21909000000</v>
      </c>
      <c r="D29">
        <f>SUMPRODUCT(B29:C29,'Category Mapping'!E36:F36)</f>
        <v>575464285714.28577</v>
      </c>
      <c r="E29" s="10">
        <f>D29/'Category Mapping'!D36</f>
        <v>19182142857.14286</v>
      </c>
      <c r="F29" t="str">
        <f>INDEX('Category Mapping'!$G$28:$G$39,MATCH(A29,'Category Mapping'!$A$28:$A$39,0),1)</f>
        <v>Fall</v>
      </c>
    </row>
    <row r="30" spans="1:49" x14ac:dyDescent="0.3">
      <c r="A30" s="2">
        <v>10</v>
      </c>
      <c r="B30" s="10">
        <f t="shared" si="0"/>
        <v>2857800000</v>
      </c>
      <c r="C30" s="10">
        <f t="shared" si="1"/>
        <v>5066200000</v>
      </c>
      <c r="D30">
        <f>SUMPRODUCT(B30:C30,'Category Mapping'!E37:F37)</f>
        <v>137492085714.28571</v>
      </c>
      <c r="E30" s="10">
        <f>D30/'Category Mapping'!D37</f>
        <v>4435228571.4285707</v>
      </c>
      <c r="F30" t="str">
        <f>INDEX('Category Mapping'!$G$28:$G$39,MATCH(A30,'Category Mapping'!$A$28:$A$39,0),1)</f>
        <v>Fall</v>
      </c>
    </row>
    <row r="31" spans="1:49" x14ac:dyDescent="0.3">
      <c r="A31" s="2">
        <v>11</v>
      </c>
      <c r="B31" s="10">
        <f t="shared" si="0"/>
        <v>727796180</v>
      </c>
      <c r="C31" s="10">
        <f t="shared" si="1"/>
        <v>1289796386</v>
      </c>
      <c r="D31">
        <f>SUMPRODUCT(B31:C31,'Category Mapping'!E38:F38)</f>
        <v>33876746957.14286</v>
      </c>
      <c r="E31" s="10">
        <f>D31/'Category Mapping'!D38</f>
        <v>1129224898.5714288</v>
      </c>
      <c r="F31" t="str">
        <f>INDEX('Category Mapping'!$G$28:$G$39,MATCH(A31,'Category Mapping'!$A$28:$A$39,0),1)</f>
        <v>Winter</v>
      </c>
    </row>
    <row r="32" spans="1:49" x14ac:dyDescent="0.3">
      <c r="A32" s="2">
        <v>12</v>
      </c>
      <c r="B32" s="10">
        <f t="shared" si="0"/>
        <v>56908673</v>
      </c>
      <c r="C32" s="10">
        <f t="shared" si="1"/>
        <v>100790695</v>
      </c>
      <c r="D32">
        <f>SUMPRODUCT(B32:C32,'Category Mapping'!E39:F39)</f>
        <v>2735842207.2857141</v>
      </c>
      <c r="E32" s="10">
        <f>D32/'Category Mapping'!D39</f>
        <v>88252974.428571418</v>
      </c>
      <c r="F32" t="str">
        <f>INDEX('Category Mapping'!$G$28:$G$39,MATCH(A32,'Category Mapping'!$A$28:$A$39,0),1)</f>
        <v>Winter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0058-43D6-4757-A82C-F4E11CFA513B}">
  <dimension ref="A1:AH296"/>
  <sheetViews>
    <sheetView zoomScale="89" zoomScaleNormal="89" workbookViewId="0">
      <selection sqref="A1:XFD1048576"/>
    </sheetView>
  </sheetViews>
  <sheetFormatPr defaultRowHeight="14.4" x14ac:dyDescent="0.3"/>
  <cols>
    <col min="1" max="1" width="36.109375" bestFit="1" customWidth="1"/>
    <col min="6" max="29" width="14.5546875" bestFit="1" customWidth="1"/>
    <col min="30" max="30" width="7.5546875" bestFit="1" customWidth="1"/>
    <col min="31" max="31" width="11.88671875" bestFit="1" customWidth="1"/>
    <col min="32" max="33" width="13.44140625" bestFit="1" customWidth="1"/>
  </cols>
  <sheetData>
    <row r="1" spans="1:34" x14ac:dyDescent="0.3">
      <c r="A1" s="63" t="s">
        <v>57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4" t="s">
        <v>58</v>
      </c>
      <c r="AE1" s="64"/>
      <c r="AF1" s="64"/>
      <c r="AG1" s="64"/>
    </row>
    <row r="2" spans="1:34" x14ac:dyDescent="0.3">
      <c r="A2" s="13" t="s">
        <v>53</v>
      </c>
      <c r="B2" s="14" t="s">
        <v>59</v>
      </c>
      <c r="C2" s="14" t="s">
        <v>60</v>
      </c>
      <c r="D2" s="14" t="s">
        <v>61</v>
      </c>
      <c r="E2" s="14" t="s">
        <v>62</v>
      </c>
      <c r="F2" s="14" t="s">
        <v>63</v>
      </c>
      <c r="G2" s="14" t="s">
        <v>64</v>
      </c>
      <c r="H2" s="14" t="s">
        <v>65</v>
      </c>
      <c r="I2" s="14" t="s">
        <v>66</v>
      </c>
      <c r="J2" s="14" t="s">
        <v>67</v>
      </c>
      <c r="K2" s="14" t="s">
        <v>68</v>
      </c>
      <c r="L2" s="14" t="s">
        <v>69</v>
      </c>
      <c r="M2" s="14" t="s">
        <v>70</v>
      </c>
      <c r="N2" s="14" t="s">
        <v>71</v>
      </c>
      <c r="O2" s="14" t="s">
        <v>72</v>
      </c>
      <c r="P2" s="14" t="s">
        <v>73</v>
      </c>
      <c r="Q2" s="14" t="s">
        <v>74</v>
      </c>
      <c r="R2" s="14" t="s">
        <v>75</v>
      </c>
      <c r="S2" s="14" t="s">
        <v>76</v>
      </c>
      <c r="T2" s="14" t="s">
        <v>77</v>
      </c>
      <c r="U2" s="14" t="s">
        <v>78</v>
      </c>
      <c r="V2" s="14" t="s">
        <v>79</v>
      </c>
      <c r="W2" s="14" t="s">
        <v>80</v>
      </c>
      <c r="X2" s="14" t="s">
        <v>81</v>
      </c>
      <c r="Y2" s="14" t="s">
        <v>82</v>
      </c>
      <c r="Z2" s="14" t="s">
        <v>83</v>
      </c>
      <c r="AA2" s="14" t="s">
        <v>84</v>
      </c>
      <c r="AB2" s="14" t="s">
        <v>85</v>
      </c>
      <c r="AC2" s="15" t="s">
        <v>86</v>
      </c>
      <c r="AD2" t="s">
        <v>87</v>
      </c>
      <c r="AE2" t="s">
        <v>88</v>
      </c>
      <c r="AF2" t="s">
        <v>89</v>
      </c>
      <c r="AG2" t="s">
        <v>90</v>
      </c>
    </row>
    <row r="3" spans="1:34" x14ac:dyDescent="0.3">
      <c r="A3" s="55" t="s">
        <v>91</v>
      </c>
      <c r="B3" s="56">
        <v>2019</v>
      </c>
      <c r="C3" s="56">
        <v>19</v>
      </c>
      <c r="D3" s="56" t="s">
        <v>269</v>
      </c>
      <c r="E3" s="56">
        <v>1</v>
      </c>
      <c r="F3" s="56">
        <v>13377</v>
      </c>
      <c r="G3" s="56">
        <v>13452</v>
      </c>
      <c r="H3" s="56">
        <v>13504</v>
      </c>
      <c r="I3" s="56">
        <v>13511</v>
      </c>
      <c r="J3" s="56">
        <v>13169</v>
      </c>
      <c r="K3" s="56">
        <v>12109</v>
      </c>
      <c r="L3" s="56">
        <v>9892</v>
      </c>
      <c r="M3" s="56">
        <v>7424</v>
      </c>
      <c r="N3" s="56">
        <v>5999</v>
      </c>
      <c r="O3" s="56">
        <v>5187</v>
      </c>
      <c r="P3" s="56">
        <v>5125</v>
      </c>
      <c r="Q3" s="56">
        <v>5732</v>
      </c>
      <c r="R3" s="56">
        <v>6222</v>
      </c>
      <c r="S3" s="56">
        <v>6418</v>
      </c>
      <c r="T3" s="56">
        <v>6702</v>
      </c>
      <c r="U3" s="56">
        <v>7320</v>
      </c>
      <c r="V3" s="56">
        <v>7993</v>
      </c>
      <c r="W3" s="56">
        <v>8761</v>
      </c>
      <c r="X3" s="56">
        <v>9726</v>
      </c>
      <c r="Y3" s="56">
        <v>10713</v>
      </c>
      <c r="Z3" s="56">
        <v>11596</v>
      </c>
      <c r="AA3" s="56">
        <v>12331</v>
      </c>
      <c r="AB3" s="56">
        <v>12855</v>
      </c>
      <c r="AC3" s="57">
        <v>13209</v>
      </c>
      <c r="AD3" t="str">
        <f>INDEX('Category Mapping'!$G$28:$G$39,MATCH(E3,'Category Mapping'!$A$28:$A$39,0),1)</f>
        <v>Winter</v>
      </c>
      <c r="AE3" t="str">
        <f>INDEX('Category Mapping'!$B$2:$B$25,MATCH('Source Data'!A3,'Category Mapping'!$A$2:$A$25,0))</f>
        <v>Weekday</v>
      </c>
      <c r="AF3" t="str">
        <f>INDEX('Category Mapping'!$C$2:$C$25,MATCH('Source Data'!A3,'Category Mapping'!$A$2:$A$25,0))</f>
        <v>Residential</v>
      </c>
      <c r="AG3" t="str">
        <f>INDEX('Category Mapping'!$D$2:$D$25,MATCH('Source Data'!A3,'Category Mapping'!$A$2:$A$25,0))</f>
        <v>Cooling</v>
      </c>
      <c r="AH3" s="10"/>
    </row>
    <row r="4" spans="1:34" x14ac:dyDescent="0.3">
      <c r="A4" s="58" t="s">
        <v>91</v>
      </c>
      <c r="B4" s="59">
        <v>2019</v>
      </c>
      <c r="C4" s="59">
        <v>19</v>
      </c>
      <c r="D4" s="59" t="s">
        <v>269</v>
      </c>
      <c r="E4" s="59">
        <v>2</v>
      </c>
      <c r="F4" s="59">
        <v>15093</v>
      </c>
      <c r="G4" s="59">
        <v>15177</v>
      </c>
      <c r="H4" s="59">
        <v>15235</v>
      </c>
      <c r="I4" s="59">
        <v>15244</v>
      </c>
      <c r="J4" s="59">
        <v>14858</v>
      </c>
      <c r="K4" s="59">
        <v>13662</v>
      </c>
      <c r="L4" s="59">
        <v>11161</v>
      </c>
      <c r="M4" s="59">
        <v>8376</v>
      </c>
      <c r="N4" s="59">
        <v>6769</v>
      </c>
      <c r="O4" s="59">
        <v>5852</v>
      </c>
      <c r="P4" s="59">
        <v>5782</v>
      </c>
      <c r="Q4" s="59">
        <v>6467</v>
      </c>
      <c r="R4" s="59">
        <v>7020</v>
      </c>
      <c r="S4" s="59">
        <v>7241</v>
      </c>
      <c r="T4" s="59">
        <v>7561</v>
      </c>
      <c r="U4" s="59">
        <v>8259</v>
      </c>
      <c r="V4" s="59">
        <v>9018</v>
      </c>
      <c r="W4" s="59">
        <v>9885</v>
      </c>
      <c r="X4" s="59">
        <v>10973</v>
      </c>
      <c r="Y4" s="59">
        <v>12087</v>
      </c>
      <c r="Z4" s="59">
        <v>13083</v>
      </c>
      <c r="AA4" s="59">
        <v>13913</v>
      </c>
      <c r="AB4" s="59">
        <v>14504</v>
      </c>
      <c r="AC4" s="60">
        <v>14902</v>
      </c>
      <c r="AD4" t="str">
        <f>INDEX('Category Mapping'!$G$28:$G$39,MATCH(E4,'Category Mapping'!$A$28:$A$39,0),1)</f>
        <v>Winter</v>
      </c>
      <c r="AE4" t="str">
        <f>INDEX('Category Mapping'!$B$2:$B$25,MATCH('Source Data'!A4,'Category Mapping'!$A$2:$A$25,0))</f>
        <v>Weekday</v>
      </c>
      <c r="AF4" t="str">
        <f>INDEX('Category Mapping'!$C$2:$C$25,MATCH('Source Data'!A4,'Category Mapping'!$A$2:$A$25,0))</f>
        <v>Residential</v>
      </c>
      <c r="AG4" t="str">
        <f>INDEX('Category Mapping'!$D$2:$D$25,MATCH('Source Data'!A4,'Category Mapping'!$A$2:$A$25,0))</f>
        <v>Cooling</v>
      </c>
    </row>
    <row r="5" spans="1:34" x14ac:dyDescent="0.3">
      <c r="A5" s="55" t="s">
        <v>91</v>
      </c>
      <c r="B5" s="56">
        <v>2019</v>
      </c>
      <c r="C5" s="56">
        <v>19</v>
      </c>
      <c r="D5" s="56" t="s">
        <v>269</v>
      </c>
      <c r="E5" s="56">
        <v>3</v>
      </c>
      <c r="F5" s="56">
        <v>33976</v>
      </c>
      <c r="G5" s="56">
        <v>34167</v>
      </c>
      <c r="H5" s="56">
        <v>34298</v>
      </c>
      <c r="I5" s="56">
        <v>34317</v>
      </c>
      <c r="J5" s="56">
        <v>33448</v>
      </c>
      <c r="K5" s="56">
        <v>30755</v>
      </c>
      <c r="L5" s="56">
        <v>25125</v>
      </c>
      <c r="M5" s="56">
        <v>18855</v>
      </c>
      <c r="N5" s="56">
        <v>15238</v>
      </c>
      <c r="O5" s="56">
        <v>13173</v>
      </c>
      <c r="P5" s="56">
        <v>13017</v>
      </c>
      <c r="Q5" s="56">
        <v>14558</v>
      </c>
      <c r="R5" s="56">
        <v>15804</v>
      </c>
      <c r="S5" s="56">
        <v>16301</v>
      </c>
      <c r="T5" s="56">
        <v>17022</v>
      </c>
      <c r="U5" s="56">
        <v>18592</v>
      </c>
      <c r="V5" s="56">
        <v>20302</v>
      </c>
      <c r="W5" s="56">
        <v>22252</v>
      </c>
      <c r="X5" s="56">
        <v>24702</v>
      </c>
      <c r="Y5" s="56">
        <v>27210</v>
      </c>
      <c r="Z5" s="56">
        <v>29452</v>
      </c>
      <c r="AA5" s="56">
        <v>31320</v>
      </c>
      <c r="AB5" s="56">
        <v>32650</v>
      </c>
      <c r="AC5" s="57">
        <v>33548</v>
      </c>
      <c r="AD5" t="str">
        <f>INDEX('Category Mapping'!$G$28:$G$39,MATCH(E5,'Category Mapping'!$A$28:$A$39,0),1)</f>
        <v>Spring</v>
      </c>
      <c r="AE5" t="str">
        <f>INDEX('Category Mapping'!$B$2:$B$25,MATCH('Source Data'!A5,'Category Mapping'!$A$2:$A$25,0))</f>
        <v>Weekday</v>
      </c>
      <c r="AF5" t="str">
        <f>INDEX('Category Mapping'!$C$2:$C$25,MATCH('Source Data'!A5,'Category Mapping'!$A$2:$A$25,0))</f>
        <v>Residential</v>
      </c>
      <c r="AG5" t="str">
        <f>INDEX('Category Mapping'!$D$2:$D$25,MATCH('Source Data'!A5,'Category Mapping'!$A$2:$A$25,0))</f>
        <v>Cooling</v>
      </c>
    </row>
    <row r="6" spans="1:34" x14ac:dyDescent="0.3">
      <c r="A6" s="58" t="s">
        <v>91</v>
      </c>
      <c r="B6" s="59">
        <v>2019</v>
      </c>
      <c r="C6" s="59">
        <v>19</v>
      </c>
      <c r="D6" s="59" t="s">
        <v>269</v>
      </c>
      <c r="E6" s="59">
        <v>4</v>
      </c>
      <c r="F6" s="59">
        <v>37933</v>
      </c>
      <c r="G6" s="59">
        <v>38146</v>
      </c>
      <c r="H6" s="59">
        <v>38292</v>
      </c>
      <c r="I6" s="59">
        <v>38314</v>
      </c>
      <c r="J6" s="59">
        <v>37344</v>
      </c>
      <c r="K6" s="59">
        <v>34337</v>
      </c>
      <c r="L6" s="59">
        <v>28051</v>
      </c>
      <c r="M6" s="59">
        <v>21051</v>
      </c>
      <c r="N6" s="59">
        <v>17012</v>
      </c>
      <c r="O6" s="59">
        <v>14707</v>
      </c>
      <c r="P6" s="59">
        <v>14533</v>
      </c>
      <c r="Q6" s="59">
        <v>16254</v>
      </c>
      <c r="R6" s="59">
        <v>17644</v>
      </c>
      <c r="S6" s="59">
        <v>536764</v>
      </c>
      <c r="T6" s="59">
        <v>1040400</v>
      </c>
      <c r="U6" s="59">
        <v>612197</v>
      </c>
      <c r="V6" s="59">
        <v>22666</v>
      </c>
      <c r="W6" s="59">
        <v>24843</v>
      </c>
      <c r="X6" s="59">
        <v>27579</v>
      </c>
      <c r="Y6" s="59">
        <v>30380</v>
      </c>
      <c r="Z6" s="59">
        <v>32882</v>
      </c>
      <c r="AA6" s="59">
        <v>34968</v>
      </c>
      <c r="AB6" s="59">
        <v>36453</v>
      </c>
      <c r="AC6" s="60">
        <v>37455</v>
      </c>
      <c r="AD6" t="str">
        <f>INDEX('Category Mapping'!$G$28:$G$39,MATCH(E6,'Category Mapping'!$A$28:$A$39,0),1)</f>
        <v>Spring</v>
      </c>
      <c r="AE6" t="str">
        <f>INDEX('Category Mapping'!$B$2:$B$25,MATCH('Source Data'!A6,'Category Mapping'!$A$2:$A$25,0))</f>
        <v>Weekday</v>
      </c>
      <c r="AF6" t="str">
        <f>INDEX('Category Mapping'!$C$2:$C$25,MATCH('Source Data'!A6,'Category Mapping'!$A$2:$A$25,0))</f>
        <v>Residential</v>
      </c>
      <c r="AG6" t="str">
        <f>INDEX('Category Mapping'!$D$2:$D$25,MATCH('Source Data'!A6,'Category Mapping'!$A$2:$A$25,0))</f>
        <v>Cooling</v>
      </c>
    </row>
    <row r="7" spans="1:34" x14ac:dyDescent="0.3">
      <c r="A7" s="55" t="s">
        <v>91</v>
      </c>
      <c r="B7" s="56">
        <v>2019</v>
      </c>
      <c r="C7" s="56">
        <v>19</v>
      </c>
      <c r="D7" s="56" t="s">
        <v>269</v>
      </c>
      <c r="E7" s="56">
        <v>5</v>
      </c>
      <c r="F7" s="56">
        <v>4397</v>
      </c>
      <c r="G7" s="56">
        <v>4421</v>
      </c>
      <c r="H7" s="56">
        <v>4438</v>
      </c>
      <c r="I7" s="56">
        <v>4441</v>
      </c>
      <c r="J7" s="56">
        <v>4329</v>
      </c>
      <c r="K7" s="56">
        <v>3980</v>
      </c>
      <c r="L7" s="56">
        <v>3251</v>
      </c>
      <c r="M7" s="56">
        <v>2440</v>
      </c>
      <c r="N7" s="56">
        <v>58818</v>
      </c>
      <c r="O7" s="56">
        <v>995883</v>
      </c>
      <c r="P7" s="56">
        <v>2342718</v>
      </c>
      <c r="Q7" s="56">
        <v>4070541</v>
      </c>
      <c r="R7" s="56">
        <v>5674487</v>
      </c>
      <c r="S7" s="56">
        <v>6673404</v>
      </c>
      <c r="T7" s="56">
        <v>7261770</v>
      </c>
      <c r="U7" s="56">
        <v>7611241</v>
      </c>
      <c r="V7" s="56">
        <v>7289568</v>
      </c>
      <c r="W7" s="56">
        <v>6221652</v>
      </c>
      <c r="X7" s="56">
        <v>4445696</v>
      </c>
      <c r="Y7" s="56">
        <v>2057088</v>
      </c>
      <c r="Z7" s="56">
        <v>113684</v>
      </c>
      <c r="AA7" s="56">
        <v>4053</v>
      </c>
      <c r="AB7" s="56">
        <v>4225</v>
      </c>
      <c r="AC7" s="57">
        <v>4341</v>
      </c>
      <c r="AD7" t="str">
        <f>INDEX('Category Mapping'!$G$28:$G$39,MATCH(E7,'Category Mapping'!$A$28:$A$39,0),1)</f>
        <v>Spring</v>
      </c>
      <c r="AE7" t="str">
        <f>INDEX('Category Mapping'!$B$2:$B$25,MATCH('Source Data'!A7,'Category Mapping'!$A$2:$A$25,0))</f>
        <v>Weekday</v>
      </c>
      <c r="AF7" t="str">
        <f>INDEX('Category Mapping'!$C$2:$C$25,MATCH('Source Data'!A7,'Category Mapping'!$A$2:$A$25,0))</f>
        <v>Residential</v>
      </c>
      <c r="AG7" t="str">
        <f>INDEX('Category Mapping'!$D$2:$D$25,MATCH('Source Data'!A7,'Category Mapping'!$A$2:$A$25,0))</f>
        <v>Cooling</v>
      </c>
    </row>
    <row r="8" spans="1:34" x14ac:dyDescent="0.3">
      <c r="A8" s="58" t="s">
        <v>91</v>
      </c>
      <c r="B8" s="59">
        <v>2019</v>
      </c>
      <c r="C8" s="59">
        <v>19</v>
      </c>
      <c r="D8" s="59" t="s">
        <v>269</v>
      </c>
      <c r="E8" s="59">
        <v>6</v>
      </c>
      <c r="F8" s="59">
        <v>3799513</v>
      </c>
      <c r="G8" s="59">
        <v>2502986</v>
      </c>
      <c r="H8" s="59">
        <v>2214972</v>
      </c>
      <c r="I8" s="59">
        <v>2513965</v>
      </c>
      <c r="J8" s="59">
        <v>3740541</v>
      </c>
      <c r="K8" s="59">
        <v>6945215</v>
      </c>
      <c r="L8" s="59">
        <v>11800000</v>
      </c>
      <c r="M8" s="59">
        <v>14800000</v>
      </c>
      <c r="N8" s="59">
        <v>17500000</v>
      </c>
      <c r="O8" s="59">
        <v>20100000</v>
      </c>
      <c r="P8" s="59">
        <v>24600000</v>
      </c>
      <c r="Q8" s="59">
        <v>32000000</v>
      </c>
      <c r="R8" s="59">
        <v>38600000</v>
      </c>
      <c r="S8" s="59">
        <v>42300000</v>
      </c>
      <c r="T8" s="59">
        <v>45000000</v>
      </c>
      <c r="U8" s="59">
        <v>48200000</v>
      </c>
      <c r="V8" s="59">
        <v>49600000</v>
      </c>
      <c r="W8" s="59">
        <v>49000000</v>
      </c>
      <c r="X8" s="59">
        <v>46600000</v>
      </c>
      <c r="Y8" s="59">
        <v>41600000</v>
      </c>
      <c r="Z8" s="59">
        <v>33900000</v>
      </c>
      <c r="AA8" s="59">
        <v>24600000</v>
      </c>
      <c r="AB8" s="59">
        <v>15300000</v>
      </c>
      <c r="AC8" s="60">
        <v>7575886</v>
      </c>
      <c r="AD8" t="str">
        <f>INDEX('Category Mapping'!$G$28:$G$39,MATCH(E8,'Category Mapping'!$A$28:$A$39,0),1)</f>
        <v>Summer</v>
      </c>
      <c r="AE8" t="str">
        <f>INDEX('Category Mapping'!$B$2:$B$25,MATCH('Source Data'!A8,'Category Mapping'!$A$2:$A$25,0))</f>
        <v>Weekday</v>
      </c>
      <c r="AF8" t="str">
        <f>INDEX('Category Mapping'!$C$2:$C$25,MATCH('Source Data'!A8,'Category Mapping'!$A$2:$A$25,0))</f>
        <v>Residential</v>
      </c>
      <c r="AG8" t="str">
        <f>INDEX('Category Mapping'!$D$2:$D$25,MATCH('Source Data'!A8,'Category Mapping'!$A$2:$A$25,0))</f>
        <v>Cooling</v>
      </c>
    </row>
    <row r="9" spans="1:34" x14ac:dyDescent="0.3">
      <c r="A9" s="55" t="s">
        <v>91</v>
      </c>
      <c r="B9" s="56">
        <v>2019</v>
      </c>
      <c r="C9" s="56">
        <v>19</v>
      </c>
      <c r="D9" s="56" t="s">
        <v>269</v>
      </c>
      <c r="E9" s="56">
        <v>7</v>
      </c>
      <c r="F9" s="56">
        <v>53400000</v>
      </c>
      <c r="G9" s="56">
        <v>48800000</v>
      </c>
      <c r="H9" s="56">
        <v>47300000</v>
      </c>
      <c r="I9" s="56">
        <v>49000000</v>
      </c>
      <c r="J9" s="56">
        <v>52600000</v>
      </c>
      <c r="K9" s="56">
        <v>55500000</v>
      </c>
      <c r="L9" s="56">
        <v>53100000</v>
      </c>
      <c r="M9" s="56">
        <v>46600000</v>
      </c>
      <c r="N9" s="56">
        <v>43700000</v>
      </c>
      <c r="O9" s="56">
        <v>43100000</v>
      </c>
      <c r="P9" s="56">
        <v>47500000</v>
      </c>
      <c r="Q9" s="56">
        <v>57800000</v>
      </c>
      <c r="R9" s="56">
        <v>66700000</v>
      </c>
      <c r="S9" s="56">
        <v>71300000</v>
      </c>
      <c r="T9" s="56">
        <v>75400000</v>
      </c>
      <c r="U9" s="56">
        <v>81400000</v>
      </c>
      <c r="V9" s="56">
        <v>85700000</v>
      </c>
      <c r="W9" s="56">
        <v>88300000</v>
      </c>
      <c r="X9" s="56">
        <v>90000000</v>
      </c>
      <c r="Y9" s="56">
        <v>89000000</v>
      </c>
      <c r="Z9" s="56">
        <v>84500000</v>
      </c>
      <c r="AA9" s="56">
        <v>77500000</v>
      </c>
      <c r="AB9" s="56">
        <v>69000000</v>
      </c>
      <c r="AC9" s="57">
        <v>60500000</v>
      </c>
      <c r="AD9" t="str">
        <f>INDEX('Category Mapping'!$G$28:$G$39,MATCH(E9,'Category Mapping'!$A$28:$A$39,0),1)</f>
        <v>Summer</v>
      </c>
      <c r="AE9" t="str">
        <f>INDEX('Category Mapping'!$B$2:$B$25,MATCH('Source Data'!A9,'Category Mapping'!$A$2:$A$25,0))</f>
        <v>Weekday</v>
      </c>
      <c r="AF9" t="str">
        <f>INDEX('Category Mapping'!$C$2:$C$25,MATCH('Source Data'!A9,'Category Mapping'!$A$2:$A$25,0))</f>
        <v>Residential</v>
      </c>
      <c r="AG9" t="str">
        <f>INDEX('Category Mapping'!$D$2:$D$25,MATCH('Source Data'!A9,'Category Mapping'!$A$2:$A$25,0))</f>
        <v>Cooling</v>
      </c>
    </row>
    <row r="10" spans="1:34" x14ac:dyDescent="0.3">
      <c r="A10" s="58" t="s">
        <v>91</v>
      </c>
      <c r="B10" s="59">
        <v>2019</v>
      </c>
      <c r="C10" s="59">
        <v>19</v>
      </c>
      <c r="D10" s="59" t="s">
        <v>269</v>
      </c>
      <c r="E10" s="59">
        <v>8</v>
      </c>
      <c r="F10" s="59">
        <v>56500000</v>
      </c>
      <c r="G10" s="59">
        <v>50600000</v>
      </c>
      <c r="H10" s="59">
        <v>48600000</v>
      </c>
      <c r="I10" s="59">
        <v>50800000</v>
      </c>
      <c r="J10" s="59">
        <v>55600000</v>
      </c>
      <c r="K10" s="59">
        <v>60300000</v>
      </c>
      <c r="L10" s="59">
        <v>59300000</v>
      </c>
      <c r="M10" s="59">
        <v>53200000</v>
      </c>
      <c r="N10" s="59">
        <v>50700000</v>
      </c>
      <c r="O10" s="59">
        <v>50600000</v>
      </c>
      <c r="P10" s="59">
        <v>56300000</v>
      </c>
      <c r="Q10" s="59">
        <v>69000000</v>
      </c>
      <c r="R10" s="59">
        <v>80000000</v>
      </c>
      <c r="S10" s="59">
        <v>85800000</v>
      </c>
      <c r="T10" s="59">
        <v>90800000</v>
      </c>
      <c r="U10" s="59">
        <v>97900000</v>
      </c>
      <c r="V10" s="59">
        <v>103000000</v>
      </c>
      <c r="W10" s="59">
        <v>106000000</v>
      </c>
      <c r="X10" s="59">
        <v>107000000</v>
      </c>
      <c r="Y10" s="59">
        <v>105000000</v>
      </c>
      <c r="Z10" s="59">
        <v>98000000</v>
      </c>
      <c r="AA10" s="59">
        <v>88400000</v>
      </c>
      <c r="AB10" s="59">
        <v>77000000</v>
      </c>
      <c r="AC10" s="60">
        <v>65800000</v>
      </c>
      <c r="AD10" t="str">
        <f>INDEX('Category Mapping'!$G$28:$G$39,MATCH(E10,'Category Mapping'!$A$28:$A$39,0),1)</f>
        <v>Summer</v>
      </c>
      <c r="AE10" t="str">
        <f>INDEX('Category Mapping'!$B$2:$B$25,MATCH('Source Data'!A10,'Category Mapping'!$A$2:$A$25,0))</f>
        <v>Weekday</v>
      </c>
      <c r="AF10" t="str">
        <f>INDEX('Category Mapping'!$C$2:$C$25,MATCH('Source Data'!A10,'Category Mapping'!$A$2:$A$25,0))</f>
        <v>Residential</v>
      </c>
      <c r="AG10" t="str">
        <f>INDEX('Category Mapping'!$D$2:$D$25,MATCH('Source Data'!A10,'Category Mapping'!$A$2:$A$25,0))</f>
        <v>Cooling</v>
      </c>
    </row>
    <row r="11" spans="1:34" x14ac:dyDescent="0.3">
      <c r="A11" s="55" t="s">
        <v>91</v>
      </c>
      <c r="B11" s="56">
        <v>2019</v>
      </c>
      <c r="C11" s="56">
        <v>19</v>
      </c>
      <c r="D11" s="56" t="s">
        <v>269</v>
      </c>
      <c r="E11" s="56">
        <v>9</v>
      </c>
      <c r="F11" s="56">
        <v>2827273</v>
      </c>
      <c r="G11" s="56">
        <v>2549733</v>
      </c>
      <c r="H11" s="56">
        <v>2460053</v>
      </c>
      <c r="I11" s="56">
        <v>2560917</v>
      </c>
      <c r="J11" s="56">
        <v>2783391</v>
      </c>
      <c r="K11" s="56">
        <v>3228720</v>
      </c>
      <c r="L11" s="56">
        <v>4970225</v>
      </c>
      <c r="M11" s="56">
        <v>7996402</v>
      </c>
      <c r="N11" s="56">
        <v>11500000</v>
      </c>
      <c r="O11" s="56">
        <v>14700000</v>
      </c>
      <c r="P11" s="56">
        <v>19200000</v>
      </c>
      <c r="Q11" s="56">
        <v>25900000</v>
      </c>
      <c r="R11" s="56">
        <v>32000000</v>
      </c>
      <c r="S11" s="56">
        <v>35500000</v>
      </c>
      <c r="T11" s="56">
        <v>37900000</v>
      </c>
      <c r="U11" s="56">
        <v>40400000</v>
      </c>
      <c r="V11" s="56">
        <v>41100000</v>
      </c>
      <c r="W11" s="56">
        <v>39700000</v>
      </c>
      <c r="X11" s="56">
        <v>36300000</v>
      </c>
      <c r="Y11" s="56">
        <v>30400000</v>
      </c>
      <c r="Z11" s="56">
        <v>22200000</v>
      </c>
      <c r="AA11" s="56">
        <v>13300000</v>
      </c>
      <c r="AB11" s="56">
        <v>6458964</v>
      </c>
      <c r="AC11" s="57">
        <v>3521910</v>
      </c>
      <c r="AD11" t="str">
        <f>INDEX('Category Mapping'!$G$28:$G$39,MATCH(E11,'Category Mapping'!$A$28:$A$39,0),1)</f>
        <v>Fall</v>
      </c>
      <c r="AE11" t="str">
        <f>INDEX('Category Mapping'!$B$2:$B$25,MATCH('Source Data'!A11,'Category Mapping'!$A$2:$A$25,0))</f>
        <v>Weekday</v>
      </c>
      <c r="AF11" t="str">
        <f>INDEX('Category Mapping'!$C$2:$C$25,MATCH('Source Data'!A11,'Category Mapping'!$A$2:$A$25,0))</f>
        <v>Residential</v>
      </c>
      <c r="AG11" t="str">
        <f>INDEX('Category Mapping'!$D$2:$D$25,MATCH('Source Data'!A11,'Category Mapping'!$A$2:$A$25,0))</f>
        <v>Cooling</v>
      </c>
    </row>
    <row r="12" spans="1:34" x14ac:dyDescent="0.3">
      <c r="A12" s="58" t="s">
        <v>91</v>
      </c>
      <c r="B12" s="59">
        <v>2019</v>
      </c>
      <c r="C12" s="59">
        <v>19</v>
      </c>
      <c r="D12" s="59" t="s">
        <v>269</v>
      </c>
      <c r="E12" s="59">
        <v>10</v>
      </c>
      <c r="F12" s="59">
        <v>2902</v>
      </c>
      <c r="G12" s="59">
        <v>2918</v>
      </c>
      <c r="H12" s="59">
        <v>2929</v>
      </c>
      <c r="I12" s="59">
        <v>2931</v>
      </c>
      <c r="J12" s="59">
        <v>2857</v>
      </c>
      <c r="K12" s="59">
        <v>2627</v>
      </c>
      <c r="L12" s="59">
        <v>2146</v>
      </c>
      <c r="M12" s="59">
        <v>1610</v>
      </c>
      <c r="N12" s="59">
        <v>1301</v>
      </c>
      <c r="O12" s="59">
        <v>10087</v>
      </c>
      <c r="P12" s="59">
        <v>65252</v>
      </c>
      <c r="Q12" s="59">
        <v>413141</v>
      </c>
      <c r="R12" s="59">
        <v>1020552</v>
      </c>
      <c r="S12" s="59">
        <v>1479165</v>
      </c>
      <c r="T12" s="59">
        <v>1702028</v>
      </c>
      <c r="U12" s="59">
        <v>1687037</v>
      </c>
      <c r="V12" s="59">
        <v>1311023</v>
      </c>
      <c r="W12" s="59">
        <v>631468</v>
      </c>
      <c r="X12" s="59">
        <v>123827</v>
      </c>
      <c r="Y12" s="59">
        <v>20837</v>
      </c>
      <c r="Z12" s="59">
        <v>2515</v>
      </c>
      <c r="AA12" s="59">
        <v>2675</v>
      </c>
      <c r="AB12" s="59">
        <v>2788</v>
      </c>
      <c r="AC12" s="60">
        <v>2865</v>
      </c>
      <c r="AD12" t="str">
        <f>INDEX('Category Mapping'!$G$28:$G$39,MATCH(E12,'Category Mapping'!$A$28:$A$39,0),1)</f>
        <v>Fall</v>
      </c>
      <c r="AE12" t="str">
        <f>INDEX('Category Mapping'!$B$2:$B$25,MATCH('Source Data'!A12,'Category Mapping'!$A$2:$A$25,0))</f>
        <v>Weekday</v>
      </c>
      <c r="AF12" t="str">
        <f>INDEX('Category Mapping'!$C$2:$C$25,MATCH('Source Data'!A12,'Category Mapping'!$A$2:$A$25,0))</f>
        <v>Residential</v>
      </c>
      <c r="AG12" t="str">
        <f>INDEX('Category Mapping'!$D$2:$D$25,MATCH('Source Data'!A12,'Category Mapping'!$A$2:$A$25,0))</f>
        <v>Cooling</v>
      </c>
    </row>
    <row r="13" spans="1:34" x14ac:dyDescent="0.3">
      <c r="A13" s="55" t="s">
        <v>91</v>
      </c>
      <c r="B13" s="56">
        <v>2019</v>
      </c>
      <c r="C13" s="56">
        <v>19</v>
      </c>
      <c r="D13" s="56" t="s">
        <v>269</v>
      </c>
      <c r="E13" s="56">
        <v>11</v>
      </c>
      <c r="F13" s="56">
        <v>47696</v>
      </c>
      <c r="G13" s="56">
        <v>47964</v>
      </c>
      <c r="H13" s="56">
        <v>48148</v>
      </c>
      <c r="I13" s="56">
        <v>48174</v>
      </c>
      <c r="J13" s="56">
        <v>46956</v>
      </c>
      <c r="K13" s="56">
        <v>43175</v>
      </c>
      <c r="L13" s="56">
        <v>35271</v>
      </c>
      <c r="M13" s="56">
        <v>26469</v>
      </c>
      <c r="N13" s="56">
        <v>21391</v>
      </c>
      <c r="O13" s="56">
        <v>18493</v>
      </c>
      <c r="P13" s="56">
        <v>18273</v>
      </c>
      <c r="Q13" s="56">
        <v>20437</v>
      </c>
      <c r="R13" s="56">
        <v>22185</v>
      </c>
      <c r="S13" s="56">
        <v>22884</v>
      </c>
      <c r="T13" s="56">
        <v>23895</v>
      </c>
      <c r="U13" s="56">
        <v>26100</v>
      </c>
      <c r="V13" s="56">
        <v>28500</v>
      </c>
      <c r="W13" s="56">
        <v>31237</v>
      </c>
      <c r="X13" s="56">
        <v>34677</v>
      </c>
      <c r="Y13" s="56">
        <v>38198</v>
      </c>
      <c r="Z13" s="56">
        <v>41345</v>
      </c>
      <c r="AA13" s="56">
        <v>43968</v>
      </c>
      <c r="AB13" s="56">
        <v>45835</v>
      </c>
      <c r="AC13" s="57">
        <v>47095</v>
      </c>
      <c r="AD13" t="str">
        <f>INDEX('Category Mapping'!$G$28:$G$39,MATCH(E13,'Category Mapping'!$A$28:$A$39,0),1)</f>
        <v>Winter</v>
      </c>
      <c r="AE13" t="str">
        <f>INDEX('Category Mapping'!$B$2:$B$25,MATCH('Source Data'!A13,'Category Mapping'!$A$2:$A$25,0))</f>
        <v>Weekday</v>
      </c>
      <c r="AF13" t="str">
        <f>INDEX('Category Mapping'!$C$2:$C$25,MATCH('Source Data'!A13,'Category Mapping'!$A$2:$A$25,0))</f>
        <v>Residential</v>
      </c>
      <c r="AG13" t="str">
        <f>INDEX('Category Mapping'!$D$2:$D$25,MATCH('Source Data'!A13,'Category Mapping'!$A$2:$A$25,0))</f>
        <v>Cooling</v>
      </c>
    </row>
    <row r="14" spans="1:34" x14ac:dyDescent="0.3">
      <c r="A14" s="58" t="s">
        <v>91</v>
      </c>
      <c r="B14" s="59">
        <v>2019</v>
      </c>
      <c r="C14" s="59">
        <v>19</v>
      </c>
      <c r="D14" s="59" t="s">
        <v>269</v>
      </c>
      <c r="E14" s="59">
        <v>12</v>
      </c>
      <c r="F14" s="59">
        <v>18044</v>
      </c>
      <c r="G14" s="59">
        <v>18146</v>
      </c>
      <c r="H14" s="59">
        <v>18215</v>
      </c>
      <c r="I14" s="59">
        <v>18225</v>
      </c>
      <c r="J14" s="59">
        <v>17764</v>
      </c>
      <c r="K14" s="59">
        <v>16334</v>
      </c>
      <c r="L14" s="59">
        <v>13343</v>
      </c>
      <c r="M14" s="59">
        <v>10014</v>
      </c>
      <c r="N14" s="59">
        <v>8092</v>
      </c>
      <c r="O14" s="59">
        <v>6996</v>
      </c>
      <c r="P14" s="59">
        <v>6913</v>
      </c>
      <c r="Q14" s="59">
        <v>7732</v>
      </c>
      <c r="R14" s="59">
        <v>8393</v>
      </c>
      <c r="S14" s="59">
        <v>8657</v>
      </c>
      <c r="T14" s="59">
        <v>9040</v>
      </c>
      <c r="U14" s="59">
        <v>9874</v>
      </c>
      <c r="V14" s="59">
        <v>10782</v>
      </c>
      <c r="W14" s="59">
        <v>11818</v>
      </c>
      <c r="X14" s="59">
        <v>13119</v>
      </c>
      <c r="Y14" s="59">
        <v>14451</v>
      </c>
      <c r="Z14" s="59">
        <v>15641</v>
      </c>
      <c r="AA14" s="59">
        <v>16634</v>
      </c>
      <c r="AB14" s="59">
        <v>17340</v>
      </c>
      <c r="AC14" s="60">
        <v>17817</v>
      </c>
      <c r="AD14" t="str">
        <f>INDEX('Category Mapping'!$G$28:$G$39,MATCH(E14,'Category Mapping'!$A$28:$A$39,0),1)</f>
        <v>Winter</v>
      </c>
      <c r="AE14" t="str">
        <f>INDEX('Category Mapping'!$B$2:$B$25,MATCH('Source Data'!A14,'Category Mapping'!$A$2:$A$25,0))</f>
        <v>Weekday</v>
      </c>
      <c r="AF14" t="str">
        <f>INDEX('Category Mapping'!$C$2:$C$25,MATCH('Source Data'!A14,'Category Mapping'!$A$2:$A$25,0))</f>
        <v>Residential</v>
      </c>
      <c r="AG14" t="str">
        <f>INDEX('Category Mapping'!$D$2:$D$25,MATCH('Source Data'!A14,'Category Mapping'!$A$2:$A$25,0))</f>
        <v>Cooling</v>
      </c>
    </row>
    <row r="15" spans="1:34" x14ac:dyDescent="0.3">
      <c r="A15" s="55" t="s">
        <v>92</v>
      </c>
      <c r="B15" s="56">
        <v>2019</v>
      </c>
      <c r="C15" s="56">
        <v>19</v>
      </c>
      <c r="D15" s="56" t="s">
        <v>269</v>
      </c>
      <c r="E15" s="56">
        <v>1</v>
      </c>
      <c r="F15" s="56">
        <v>6404</v>
      </c>
      <c r="G15" s="56">
        <v>6502</v>
      </c>
      <c r="H15" s="56">
        <v>6588</v>
      </c>
      <c r="I15" s="56">
        <v>6601</v>
      </c>
      <c r="J15" s="56">
        <v>6579</v>
      </c>
      <c r="K15" s="56">
        <v>6462</v>
      </c>
      <c r="L15" s="56">
        <v>6203</v>
      </c>
      <c r="M15" s="56">
        <v>5766</v>
      </c>
      <c r="N15" s="56">
        <v>5158</v>
      </c>
      <c r="O15" s="56">
        <v>4495</v>
      </c>
      <c r="P15" s="56">
        <v>4195</v>
      </c>
      <c r="Q15" s="56">
        <v>4340</v>
      </c>
      <c r="R15" s="56">
        <v>4525</v>
      </c>
      <c r="S15" s="56">
        <v>4567</v>
      </c>
      <c r="T15" s="56">
        <v>4558</v>
      </c>
      <c r="U15" s="56">
        <v>4543</v>
      </c>
      <c r="V15" s="56">
        <v>4579</v>
      </c>
      <c r="W15" s="56">
        <v>4760</v>
      </c>
      <c r="X15" s="56">
        <v>5053</v>
      </c>
      <c r="Y15" s="56">
        <v>5370</v>
      </c>
      <c r="Z15" s="56">
        <v>5622</v>
      </c>
      <c r="AA15" s="56">
        <v>5861</v>
      </c>
      <c r="AB15" s="56">
        <v>6083</v>
      </c>
      <c r="AC15" s="57">
        <v>6273</v>
      </c>
      <c r="AD15" t="str">
        <f>INDEX('Category Mapping'!$G$28:$G$39,MATCH(E15,'Category Mapping'!$A$28:$A$39,0),1)</f>
        <v>Winter</v>
      </c>
      <c r="AE15" t="str">
        <f>INDEX('Category Mapping'!$B$2:$B$25,MATCH('Source Data'!A15,'Category Mapping'!$A$2:$A$25,0))</f>
        <v>Weekend</v>
      </c>
      <c r="AF15" t="str">
        <f>INDEX('Category Mapping'!$C$2:$C$25,MATCH('Source Data'!A15,'Category Mapping'!$A$2:$A$25,0))</f>
        <v>Residential</v>
      </c>
      <c r="AG15" t="str">
        <f>INDEX('Category Mapping'!$D$2:$D$25,MATCH('Source Data'!A15,'Category Mapping'!$A$2:$A$25,0))</f>
        <v>Cooling</v>
      </c>
    </row>
    <row r="16" spans="1:34" x14ac:dyDescent="0.3">
      <c r="A16" s="58" t="s">
        <v>92</v>
      </c>
      <c r="B16" s="59">
        <v>2019</v>
      </c>
      <c r="C16" s="59">
        <v>19</v>
      </c>
      <c r="D16" s="59" t="s">
        <v>269</v>
      </c>
      <c r="E16" s="59">
        <v>2</v>
      </c>
      <c r="F16" s="59">
        <v>7225</v>
      </c>
      <c r="G16" s="59">
        <v>7336</v>
      </c>
      <c r="H16" s="59">
        <v>7433</v>
      </c>
      <c r="I16" s="59">
        <v>7447</v>
      </c>
      <c r="J16" s="59">
        <v>7423</v>
      </c>
      <c r="K16" s="59">
        <v>7290</v>
      </c>
      <c r="L16" s="59">
        <v>6999</v>
      </c>
      <c r="M16" s="59">
        <v>6505</v>
      </c>
      <c r="N16" s="59">
        <v>5819</v>
      </c>
      <c r="O16" s="59">
        <v>5072</v>
      </c>
      <c r="P16" s="59">
        <v>4733</v>
      </c>
      <c r="Q16" s="59">
        <v>4896</v>
      </c>
      <c r="R16" s="59">
        <v>5105</v>
      </c>
      <c r="S16" s="59">
        <v>5153</v>
      </c>
      <c r="T16" s="59">
        <v>5142</v>
      </c>
      <c r="U16" s="59">
        <v>5126</v>
      </c>
      <c r="V16" s="59">
        <v>5167</v>
      </c>
      <c r="W16" s="59">
        <v>5371</v>
      </c>
      <c r="X16" s="59">
        <v>5701</v>
      </c>
      <c r="Y16" s="59">
        <v>6059</v>
      </c>
      <c r="Z16" s="59">
        <v>6343</v>
      </c>
      <c r="AA16" s="59">
        <v>6613</v>
      </c>
      <c r="AB16" s="59">
        <v>6863</v>
      </c>
      <c r="AC16" s="60">
        <v>7078</v>
      </c>
      <c r="AD16" t="str">
        <f>INDEX('Category Mapping'!$G$28:$G$39,MATCH(E16,'Category Mapping'!$A$28:$A$39,0),1)</f>
        <v>Winter</v>
      </c>
      <c r="AE16" t="str">
        <f>INDEX('Category Mapping'!$B$2:$B$25,MATCH('Source Data'!A16,'Category Mapping'!$A$2:$A$25,0))</f>
        <v>Weekend</v>
      </c>
      <c r="AF16" t="str">
        <f>INDEX('Category Mapping'!$C$2:$C$25,MATCH('Source Data'!A16,'Category Mapping'!$A$2:$A$25,0))</f>
        <v>Residential</v>
      </c>
      <c r="AG16" t="str">
        <f>INDEX('Category Mapping'!$D$2:$D$25,MATCH('Source Data'!A16,'Category Mapping'!$A$2:$A$25,0))</f>
        <v>Cooling</v>
      </c>
    </row>
    <row r="17" spans="1:33" x14ac:dyDescent="0.3">
      <c r="A17" s="55" t="s">
        <v>92</v>
      </c>
      <c r="B17" s="56">
        <v>2019</v>
      </c>
      <c r="C17" s="56">
        <v>19</v>
      </c>
      <c r="D17" s="56" t="s">
        <v>269</v>
      </c>
      <c r="E17" s="56">
        <v>3</v>
      </c>
      <c r="F17" s="56">
        <v>16265</v>
      </c>
      <c r="G17" s="56">
        <v>16514</v>
      </c>
      <c r="H17" s="56">
        <v>16733</v>
      </c>
      <c r="I17" s="56">
        <v>16765</v>
      </c>
      <c r="J17" s="56">
        <v>16711</v>
      </c>
      <c r="K17" s="56">
        <v>16412</v>
      </c>
      <c r="L17" s="56">
        <v>15755</v>
      </c>
      <c r="M17" s="56">
        <v>14645</v>
      </c>
      <c r="N17" s="56">
        <v>13100</v>
      </c>
      <c r="O17" s="56">
        <v>11418</v>
      </c>
      <c r="P17" s="56">
        <v>10654</v>
      </c>
      <c r="Q17" s="56">
        <v>11022</v>
      </c>
      <c r="R17" s="56">
        <v>11492</v>
      </c>
      <c r="S17" s="56">
        <v>11600</v>
      </c>
      <c r="T17" s="56">
        <v>11576</v>
      </c>
      <c r="U17" s="56">
        <v>11539</v>
      </c>
      <c r="V17" s="56">
        <v>11631</v>
      </c>
      <c r="W17" s="56">
        <v>12091</v>
      </c>
      <c r="X17" s="56">
        <v>12834</v>
      </c>
      <c r="Y17" s="56">
        <v>13639</v>
      </c>
      <c r="Z17" s="56">
        <v>14280</v>
      </c>
      <c r="AA17" s="56">
        <v>14887</v>
      </c>
      <c r="AB17" s="56">
        <v>15450</v>
      </c>
      <c r="AC17" s="57">
        <v>15933</v>
      </c>
      <c r="AD17" t="str">
        <f>INDEX('Category Mapping'!$G$28:$G$39,MATCH(E17,'Category Mapping'!$A$28:$A$39,0),1)</f>
        <v>Spring</v>
      </c>
      <c r="AE17" t="str">
        <f>INDEX('Category Mapping'!$B$2:$B$25,MATCH('Source Data'!A17,'Category Mapping'!$A$2:$A$25,0))</f>
        <v>Weekend</v>
      </c>
      <c r="AF17" t="str">
        <f>INDEX('Category Mapping'!$C$2:$C$25,MATCH('Source Data'!A17,'Category Mapping'!$A$2:$A$25,0))</f>
        <v>Residential</v>
      </c>
      <c r="AG17" t="str">
        <f>INDEX('Category Mapping'!$D$2:$D$25,MATCH('Source Data'!A17,'Category Mapping'!$A$2:$A$25,0))</f>
        <v>Cooling</v>
      </c>
    </row>
    <row r="18" spans="1:33" x14ac:dyDescent="0.3">
      <c r="A18" s="58" t="s">
        <v>92</v>
      </c>
      <c r="B18" s="59">
        <v>2019</v>
      </c>
      <c r="C18" s="59">
        <v>19</v>
      </c>
      <c r="D18" s="59" t="s">
        <v>269</v>
      </c>
      <c r="E18" s="59">
        <v>4</v>
      </c>
      <c r="F18" s="59">
        <v>15861</v>
      </c>
      <c r="G18" s="59">
        <v>16104</v>
      </c>
      <c r="H18" s="59">
        <v>16317</v>
      </c>
      <c r="I18" s="59">
        <v>16349</v>
      </c>
      <c r="J18" s="59">
        <v>16296</v>
      </c>
      <c r="K18" s="59">
        <v>16004</v>
      </c>
      <c r="L18" s="59">
        <v>15364</v>
      </c>
      <c r="M18" s="59">
        <v>14281</v>
      </c>
      <c r="N18" s="59">
        <v>12775</v>
      </c>
      <c r="O18" s="59">
        <v>11134</v>
      </c>
      <c r="P18" s="59">
        <v>10390</v>
      </c>
      <c r="Q18" s="59">
        <v>10749</v>
      </c>
      <c r="R18" s="59">
        <v>11207</v>
      </c>
      <c r="S18" s="59">
        <v>333634</v>
      </c>
      <c r="T18" s="59">
        <v>617997</v>
      </c>
      <c r="U18" s="59">
        <v>331874</v>
      </c>
      <c r="V18" s="59">
        <v>11342</v>
      </c>
      <c r="W18" s="59">
        <v>11791</v>
      </c>
      <c r="X18" s="59">
        <v>12516</v>
      </c>
      <c r="Y18" s="59">
        <v>13300</v>
      </c>
      <c r="Z18" s="59">
        <v>13925</v>
      </c>
      <c r="AA18" s="59">
        <v>14518</v>
      </c>
      <c r="AB18" s="59">
        <v>15067</v>
      </c>
      <c r="AC18" s="60">
        <v>15538</v>
      </c>
      <c r="AD18" t="str">
        <f>INDEX('Category Mapping'!$G$28:$G$39,MATCH(E18,'Category Mapping'!$A$28:$A$39,0),1)</f>
        <v>Spring</v>
      </c>
      <c r="AE18" t="str">
        <f>INDEX('Category Mapping'!$B$2:$B$25,MATCH('Source Data'!A18,'Category Mapping'!$A$2:$A$25,0))</f>
        <v>Weekend</v>
      </c>
      <c r="AF18" t="str">
        <f>INDEX('Category Mapping'!$C$2:$C$25,MATCH('Source Data'!A18,'Category Mapping'!$A$2:$A$25,0))</f>
        <v>Residential</v>
      </c>
      <c r="AG18" t="str">
        <f>INDEX('Category Mapping'!$D$2:$D$25,MATCH('Source Data'!A18,'Category Mapping'!$A$2:$A$25,0))</f>
        <v>Cooling</v>
      </c>
    </row>
    <row r="19" spans="1:33" x14ac:dyDescent="0.3">
      <c r="A19" s="55" t="s">
        <v>92</v>
      </c>
      <c r="B19" s="56">
        <v>2019</v>
      </c>
      <c r="C19" s="56">
        <v>19</v>
      </c>
      <c r="D19" s="56" t="s">
        <v>269</v>
      </c>
      <c r="E19" s="56">
        <v>5</v>
      </c>
      <c r="F19" s="56">
        <v>1839</v>
      </c>
      <c r="G19" s="56">
        <v>1867</v>
      </c>
      <c r="H19" s="56">
        <v>1892</v>
      </c>
      <c r="I19" s="56">
        <v>1896</v>
      </c>
      <c r="J19" s="56">
        <v>1890</v>
      </c>
      <c r="K19" s="56">
        <v>1856</v>
      </c>
      <c r="L19" s="56">
        <v>1781</v>
      </c>
      <c r="M19" s="56">
        <v>1656</v>
      </c>
      <c r="N19" s="56">
        <v>44183</v>
      </c>
      <c r="O19" s="56">
        <v>754204</v>
      </c>
      <c r="P19" s="56">
        <v>1675395</v>
      </c>
      <c r="Q19" s="56">
        <v>2692787</v>
      </c>
      <c r="R19" s="56">
        <v>3605591</v>
      </c>
      <c r="S19" s="56">
        <v>4149450</v>
      </c>
      <c r="T19" s="56">
        <v>4315027</v>
      </c>
      <c r="U19" s="56">
        <v>4127557</v>
      </c>
      <c r="V19" s="56">
        <v>3649092</v>
      </c>
      <c r="W19" s="56">
        <v>2953910</v>
      </c>
      <c r="X19" s="56">
        <v>2018282</v>
      </c>
      <c r="Y19" s="56">
        <v>900935</v>
      </c>
      <c r="Z19" s="56">
        <v>48162</v>
      </c>
      <c r="AA19" s="56">
        <v>1683</v>
      </c>
      <c r="AB19" s="56">
        <v>1747</v>
      </c>
      <c r="AC19" s="57">
        <v>1802</v>
      </c>
      <c r="AD19" t="str">
        <f>INDEX('Category Mapping'!$G$28:$G$39,MATCH(E19,'Category Mapping'!$A$28:$A$39,0),1)</f>
        <v>Spring</v>
      </c>
      <c r="AE19" t="str">
        <f>INDEX('Category Mapping'!$B$2:$B$25,MATCH('Source Data'!A19,'Category Mapping'!$A$2:$A$25,0))</f>
        <v>Weekend</v>
      </c>
      <c r="AF19" t="str">
        <f>INDEX('Category Mapping'!$C$2:$C$25,MATCH('Source Data'!A19,'Category Mapping'!$A$2:$A$25,0))</f>
        <v>Residential</v>
      </c>
      <c r="AG19" t="str">
        <f>INDEX('Category Mapping'!$D$2:$D$25,MATCH('Source Data'!A19,'Category Mapping'!$A$2:$A$25,0))</f>
        <v>Cooling</v>
      </c>
    </row>
    <row r="20" spans="1:33" x14ac:dyDescent="0.3">
      <c r="A20" s="58" t="s">
        <v>92</v>
      </c>
      <c r="B20" s="59">
        <v>2019</v>
      </c>
      <c r="C20" s="59">
        <v>19</v>
      </c>
      <c r="D20" s="59" t="s">
        <v>269</v>
      </c>
      <c r="E20" s="59">
        <v>6</v>
      </c>
      <c r="F20" s="59">
        <v>1646896</v>
      </c>
      <c r="G20" s="59">
        <v>1095371</v>
      </c>
      <c r="H20" s="59">
        <v>978431</v>
      </c>
      <c r="I20" s="59">
        <v>1112024</v>
      </c>
      <c r="J20" s="59">
        <v>1692079</v>
      </c>
      <c r="K20" s="59">
        <v>3355660</v>
      </c>
      <c r="L20" s="59">
        <v>6681058</v>
      </c>
      <c r="M20" s="59">
        <v>10400000</v>
      </c>
      <c r="N20" s="59">
        <v>13700000</v>
      </c>
      <c r="O20" s="59">
        <v>15800000</v>
      </c>
      <c r="P20" s="59">
        <v>18200000</v>
      </c>
      <c r="Q20" s="59">
        <v>22000000</v>
      </c>
      <c r="R20" s="59">
        <v>25400000</v>
      </c>
      <c r="S20" s="59">
        <v>27200000</v>
      </c>
      <c r="T20" s="59">
        <v>27700000</v>
      </c>
      <c r="U20" s="59">
        <v>27100000</v>
      </c>
      <c r="V20" s="59">
        <v>25700000</v>
      </c>
      <c r="W20" s="59">
        <v>24100000</v>
      </c>
      <c r="X20" s="59">
        <v>21900000</v>
      </c>
      <c r="Y20" s="59">
        <v>18900000</v>
      </c>
      <c r="Z20" s="59">
        <v>14900000</v>
      </c>
      <c r="AA20" s="59">
        <v>10600000</v>
      </c>
      <c r="AB20" s="59">
        <v>6551808</v>
      </c>
      <c r="AC20" s="60">
        <v>3257820</v>
      </c>
      <c r="AD20" t="str">
        <f>INDEX('Category Mapping'!$G$28:$G$39,MATCH(E20,'Category Mapping'!$A$28:$A$39,0),1)</f>
        <v>Summer</v>
      </c>
      <c r="AE20" t="str">
        <f>INDEX('Category Mapping'!$B$2:$B$25,MATCH('Source Data'!A20,'Category Mapping'!$A$2:$A$25,0))</f>
        <v>Weekend</v>
      </c>
      <c r="AF20" t="str">
        <f>INDEX('Category Mapping'!$C$2:$C$25,MATCH('Source Data'!A20,'Category Mapping'!$A$2:$A$25,0))</f>
        <v>Residential</v>
      </c>
      <c r="AG20" t="str">
        <f>INDEX('Category Mapping'!$D$2:$D$25,MATCH('Source Data'!A20,'Category Mapping'!$A$2:$A$25,0))</f>
        <v>Cooling</v>
      </c>
    </row>
    <row r="21" spans="1:33" x14ac:dyDescent="0.3">
      <c r="A21" s="55" t="s">
        <v>92</v>
      </c>
      <c r="B21" s="56">
        <v>2019</v>
      </c>
      <c r="C21" s="56">
        <v>19</v>
      </c>
      <c r="D21" s="56" t="s">
        <v>269</v>
      </c>
      <c r="E21" s="56">
        <v>7</v>
      </c>
      <c r="F21" s="56">
        <v>24400000</v>
      </c>
      <c r="G21" s="56">
        <v>22600000</v>
      </c>
      <c r="H21" s="56">
        <v>22100000</v>
      </c>
      <c r="I21" s="56">
        <v>22900000</v>
      </c>
      <c r="J21" s="56">
        <v>25100000</v>
      </c>
      <c r="K21" s="56">
        <v>28300000</v>
      </c>
      <c r="L21" s="56">
        <v>31800000</v>
      </c>
      <c r="M21" s="56">
        <v>34600000</v>
      </c>
      <c r="N21" s="56">
        <v>35900000</v>
      </c>
      <c r="O21" s="56">
        <v>35700000</v>
      </c>
      <c r="P21" s="56">
        <v>37100000</v>
      </c>
      <c r="Q21" s="56">
        <v>41800000</v>
      </c>
      <c r="R21" s="56">
        <v>46300000</v>
      </c>
      <c r="S21" s="56">
        <v>48500000</v>
      </c>
      <c r="T21" s="56">
        <v>49000000</v>
      </c>
      <c r="U21" s="56">
        <v>48300000</v>
      </c>
      <c r="V21" s="56">
        <v>46900000</v>
      </c>
      <c r="W21" s="56">
        <v>45900000</v>
      </c>
      <c r="X21" s="56">
        <v>44700000</v>
      </c>
      <c r="Y21" s="56">
        <v>42600000</v>
      </c>
      <c r="Z21" s="56">
        <v>39100000</v>
      </c>
      <c r="AA21" s="56">
        <v>35200000</v>
      </c>
      <c r="AB21" s="56">
        <v>31200000</v>
      </c>
      <c r="AC21" s="57">
        <v>27500000</v>
      </c>
      <c r="AD21" t="str">
        <f>INDEX('Category Mapping'!$G$28:$G$39,MATCH(E21,'Category Mapping'!$A$28:$A$39,0),1)</f>
        <v>Summer</v>
      </c>
      <c r="AE21" t="str">
        <f>INDEX('Category Mapping'!$B$2:$B$25,MATCH('Source Data'!A21,'Category Mapping'!$A$2:$A$25,0))</f>
        <v>Weekend</v>
      </c>
      <c r="AF21" t="str">
        <f>INDEX('Category Mapping'!$C$2:$C$25,MATCH('Source Data'!A21,'Category Mapping'!$A$2:$A$25,0))</f>
        <v>Residential</v>
      </c>
      <c r="AG21" t="str">
        <f>INDEX('Category Mapping'!$D$2:$D$25,MATCH('Source Data'!A21,'Category Mapping'!$A$2:$A$25,0))</f>
        <v>Cooling</v>
      </c>
    </row>
    <row r="22" spans="1:33" x14ac:dyDescent="0.3">
      <c r="A22" s="58" t="s">
        <v>92</v>
      </c>
      <c r="B22" s="59">
        <v>2019</v>
      </c>
      <c r="C22" s="59">
        <v>19</v>
      </c>
      <c r="D22" s="59" t="s">
        <v>269</v>
      </c>
      <c r="E22" s="59">
        <v>8</v>
      </c>
      <c r="F22" s="59">
        <v>25700000</v>
      </c>
      <c r="G22" s="59">
        <v>23200000</v>
      </c>
      <c r="H22" s="59">
        <v>22600000</v>
      </c>
      <c r="I22" s="59">
        <v>23600000</v>
      </c>
      <c r="J22" s="59">
        <v>26400000</v>
      </c>
      <c r="K22" s="59">
        <v>30600000</v>
      </c>
      <c r="L22" s="59">
        <v>35300000</v>
      </c>
      <c r="M22" s="59">
        <v>39300000</v>
      </c>
      <c r="N22" s="59">
        <v>41400000</v>
      </c>
      <c r="O22" s="59">
        <v>41700000</v>
      </c>
      <c r="P22" s="59">
        <v>43800000</v>
      </c>
      <c r="Q22" s="59">
        <v>49700000</v>
      </c>
      <c r="R22" s="59">
        <v>55300000</v>
      </c>
      <c r="S22" s="59">
        <v>58100000</v>
      </c>
      <c r="T22" s="59">
        <v>58700000</v>
      </c>
      <c r="U22" s="59">
        <v>57700000</v>
      </c>
      <c r="V22" s="59">
        <v>56000000</v>
      </c>
      <c r="W22" s="59">
        <v>54500000</v>
      </c>
      <c r="X22" s="59">
        <v>52800000</v>
      </c>
      <c r="Y22" s="59">
        <v>49800000</v>
      </c>
      <c r="Z22" s="59">
        <v>45200000</v>
      </c>
      <c r="AA22" s="59">
        <v>40000000</v>
      </c>
      <c r="AB22" s="59">
        <v>34600000</v>
      </c>
      <c r="AC22" s="60">
        <v>29700000</v>
      </c>
      <c r="AD22" t="str">
        <f>INDEX('Category Mapping'!$G$28:$G$39,MATCH(E22,'Category Mapping'!$A$28:$A$39,0),1)</f>
        <v>Summer</v>
      </c>
      <c r="AE22" t="str">
        <f>INDEX('Category Mapping'!$B$2:$B$25,MATCH('Source Data'!A22,'Category Mapping'!$A$2:$A$25,0))</f>
        <v>Weekend</v>
      </c>
      <c r="AF22" t="str">
        <f>INDEX('Category Mapping'!$C$2:$C$25,MATCH('Source Data'!A22,'Category Mapping'!$A$2:$A$25,0))</f>
        <v>Residential</v>
      </c>
      <c r="AG22" t="str">
        <f>INDEX('Category Mapping'!$D$2:$D$25,MATCH('Source Data'!A22,'Category Mapping'!$A$2:$A$25,0))</f>
        <v>Cooling</v>
      </c>
    </row>
    <row r="23" spans="1:33" x14ac:dyDescent="0.3">
      <c r="A23" s="55" t="s">
        <v>92</v>
      </c>
      <c r="B23" s="56">
        <v>2019</v>
      </c>
      <c r="C23" s="56">
        <v>19</v>
      </c>
      <c r="D23" s="56" t="s">
        <v>269</v>
      </c>
      <c r="E23" s="56">
        <v>9</v>
      </c>
      <c r="F23" s="56">
        <v>1216668</v>
      </c>
      <c r="G23" s="56">
        <v>1107806</v>
      </c>
      <c r="H23" s="56">
        <v>1078879</v>
      </c>
      <c r="I23" s="56">
        <v>1124648</v>
      </c>
      <c r="J23" s="56">
        <v>1250048</v>
      </c>
      <c r="K23" s="56">
        <v>1548777</v>
      </c>
      <c r="L23" s="56">
        <v>2801677</v>
      </c>
      <c r="M23" s="56">
        <v>5583211</v>
      </c>
      <c r="N23" s="56">
        <v>8880556</v>
      </c>
      <c r="O23" s="56">
        <v>11500000</v>
      </c>
      <c r="P23" s="56">
        <v>14100000</v>
      </c>
      <c r="Q23" s="56">
        <v>17700000</v>
      </c>
      <c r="R23" s="56">
        <v>20900000</v>
      </c>
      <c r="S23" s="56">
        <v>22700000</v>
      </c>
      <c r="T23" s="56">
        <v>23200000</v>
      </c>
      <c r="U23" s="56">
        <v>22600000</v>
      </c>
      <c r="V23" s="56">
        <v>21100000</v>
      </c>
      <c r="W23" s="56">
        <v>19400000</v>
      </c>
      <c r="X23" s="56">
        <v>17000000</v>
      </c>
      <c r="Y23" s="56">
        <v>13700000</v>
      </c>
      <c r="Z23" s="56">
        <v>9680490</v>
      </c>
      <c r="AA23" s="56">
        <v>5675497</v>
      </c>
      <c r="AB23" s="56">
        <v>2747476</v>
      </c>
      <c r="AC23" s="57">
        <v>1503620</v>
      </c>
      <c r="AD23" t="str">
        <f>INDEX('Category Mapping'!$G$28:$G$39,MATCH(E23,'Category Mapping'!$A$28:$A$39,0),1)</f>
        <v>Fall</v>
      </c>
      <c r="AE23" t="str">
        <f>INDEX('Category Mapping'!$B$2:$B$25,MATCH('Source Data'!A23,'Category Mapping'!$A$2:$A$25,0))</f>
        <v>Weekend</v>
      </c>
      <c r="AF23" t="str">
        <f>INDEX('Category Mapping'!$C$2:$C$25,MATCH('Source Data'!A23,'Category Mapping'!$A$2:$A$25,0))</f>
        <v>Residential</v>
      </c>
      <c r="AG23" t="str">
        <f>INDEX('Category Mapping'!$D$2:$D$25,MATCH('Source Data'!A23,'Category Mapping'!$A$2:$A$25,0))</f>
        <v>Cooling</v>
      </c>
    </row>
    <row r="24" spans="1:33" x14ac:dyDescent="0.3">
      <c r="A24" s="58" t="s">
        <v>92</v>
      </c>
      <c r="B24" s="59">
        <v>2019</v>
      </c>
      <c r="C24" s="59">
        <v>19</v>
      </c>
      <c r="D24" s="59" t="s">
        <v>269</v>
      </c>
      <c r="E24" s="59">
        <v>10</v>
      </c>
      <c r="F24" s="59">
        <v>1198</v>
      </c>
      <c r="G24" s="59">
        <v>1216</v>
      </c>
      <c r="H24" s="59">
        <v>1232</v>
      </c>
      <c r="I24" s="59">
        <v>1235</v>
      </c>
      <c r="J24" s="59">
        <v>1231</v>
      </c>
      <c r="K24" s="59">
        <v>1209</v>
      </c>
      <c r="L24" s="59">
        <v>1160</v>
      </c>
      <c r="M24" s="59">
        <v>1078</v>
      </c>
      <c r="N24" s="59">
        <v>965</v>
      </c>
      <c r="O24" s="59">
        <v>7539</v>
      </c>
      <c r="P24" s="59">
        <v>46050</v>
      </c>
      <c r="Q24" s="59">
        <v>269701</v>
      </c>
      <c r="R24" s="59">
        <v>639911</v>
      </c>
      <c r="S24" s="59">
        <v>907600</v>
      </c>
      <c r="T24" s="59">
        <v>998027</v>
      </c>
      <c r="U24" s="59">
        <v>902811</v>
      </c>
      <c r="V24" s="59">
        <v>647631</v>
      </c>
      <c r="W24" s="59">
        <v>295854</v>
      </c>
      <c r="X24" s="59">
        <v>55474</v>
      </c>
      <c r="Y24" s="59">
        <v>9005</v>
      </c>
      <c r="Z24" s="59">
        <v>1052</v>
      </c>
      <c r="AA24" s="59">
        <v>1096</v>
      </c>
      <c r="AB24" s="59">
        <v>1138</v>
      </c>
      <c r="AC24" s="60">
        <v>1173</v>
      </c>
      <c r="AD24" t="str">
        <f>INDEX('Category Mapping'!$G$28:$G$39,MATCH(E24,'Category Mapping'!$A$28:$A$39,0),1)</f>
        <v>Fall</v>
      </c>
      <c r="AE24" t="str">
        <f>INDEX('Category Mapping'!$B$2:$B$25,MATCH('Source Data'!A24,'Category Mapping'!$A$2:$A$25,0))</f>
        <v>Weekend</v>
      </c>
      <c r="AF24" t="str">
        <f>INDEX('Category Mapping'!$C$2:$C$25,MATCH('Source Data'!A24,'Category Mapping'!$A$2:$A$25,0))</f>
        <v>Residential</v>
      </c>
      <c r="AG24" t="str">
        <f>INDEX('Category Mapping'!$D$2:$D$25,MATCH('Source Data'!A24,'Category Mapping'!$A$2:$A$25,0))</f>
        <v>Cooling</v>
      </c>
    </row>
    <row r="25" spans="1:33" x14ac:dyDescent="0.3">
      <c r="A25" s="55" t="s">
        <v>92</v>
      </c>
      <c r="B25" s="56">
        <v>2019</v>
      </c>
      <c r="C25" s="56">
        <v>19</v>
      </c>
      <c r="D25" s="56" t="s">
        <v>269</v>
      </c>
      <c r="E25" s="56">
        <v>11</v>
      </c>
      <c r="F25" s="56">
        <v>22833</v>
      </c>
      <c r="G25" s="56">
        <v>23182</v>
      </c>
      <c r="H25" s="56">
        <v>23490</v>
      </c>
      <c r="I25" s="56">
        <v>23535</v>
      </c>
      <c r="J25" s="56">
        <v>23459</v>
      </c>
      <c r="K25" s="56">
        <v>23039</v>
      </c>
      <c r="L25" s="56">
        <v>22117</v>
      </c>
      <c r="M25" s="56">
        <v>20559</v>
      </c>
      <c r="N25" s="56">
        <v>18390</v>
      </c>
      <c r="O25" s="56">
        <v>16028</v>
      </c>
      <c r="P25" s="56">
        <v>14956</v>
      </c>
      <c r="Q25" s="56">
        <v>15473</v>
      </c>
      <c r="R25" s="56">
        <v>16133</v>
      </c>
      <c r="S25" s="56">
        <v>16285</v>
      </c>
      <c r="T25" s="56">
        <v>16250</v>
      </c>
      <c r="U25" s="56">
        <v>16199</v>
      </c>
      <c r="V25" s="56">
        <v>16328</v>
      </c>
      <c r="W25" s="56">
        <v>16974</v>
      </c>
      <c r="X25" s="56">
        <v>18017</v>
      </c>
      <c r="Y25" s="56">
        <v>19147</v>
      </c>
      <c r="Z25" s="56">
        <v>20046</v>
      </c>
      <c r="AA25" s="56">
        <v>20899</v>
      </c>
      <c r="AB25" s="56">
        <v>21689</v>
      </c>
      <c r="AC25" s="57">
        <v>22367</v>
      </c>
      <c r="AD25" t="str">
        <f>INDEX('Category Mapping'!$G$28:$G$39,MATCH(E25,'Category Mapping'!$A$28:$A$39,0),1)</f>
        <v>Winter</v>
      </c>
      <c r="AE25" t="str">
        <f>INDEX('Category Mapping'!$B$2:$B$25,MATCH('Source Data'!A25,'Category Mapping'!$A$2:$A$25,0))</f>
        <v>Weekend</v>
      </c>
      <c r="AF25" t="str">
        <f>INDEX('Category Mapping'!$C$2:$C$25,MATCH('Source Data'!A25,'Category Mapping'!$A$2:$A$25,0))</f>
        <v>Residential</v>
      </c>
      <c r="AG25" t="str">
        <f>INDEX('Category Mapping'!$D$2:$D$25,MATCH('Source Data'!A25,'Category Mapping'!$A$2:$A$25,0))</f>
        <v>Cooling</v>
      </c>
    </row>
    <row r="26" spans="1:33" x14ac:dyDescent="0.3">
      <c r="A26" s="58" t="s">
        <v>92</v>
      </c>
      <c r="B26" s="59">
        <v>2019</v>
      </c>
      <c r="C26" s="59">
        <v>19</v>
      </c>
      <c r="D26" s="59" t="s">
        <v>269</v>
      </c>
      <c r="E26" s="59">
        <v>12</v>
      </c>
      <c r="F26" s="59">
        <v>8638</v>
      </c>
      <c r="G26" s="59">
        <v>8770</v>
      </c>
      <c r="H26" s="59">
        <v>8886</v>
      </c>
      <c r="I26" s="59">
        <v>8904</v>
      </c>
      <c r="J26" s="59">
        <v>8875</v>
      </c>
      <c r="K26" s="59">
        <v>8716</v>
      </c>
      <c r="L26" s="59">
        <v>8367</v>
      </c>
      <c r="M26" s="59">
        <v>7778</v>
      </c>
      <c r="N26" s="59">
        <v>6957</v>
      </c>
      <c r="O26" s="59">
        <v>6064</v>
      </c>
      <c r="P26" s="59">
        <v>5658</v>
      </c>
      <c r="Q26" s="59">
        <v>5854</v>
      </c>
      <c r="R26" s="59">
        <v>6103</v>
      </c>
      <c r="S26" s="59">
        <v>6161</v>
      </c>
      <c r="T26" s="59">
        <v>6148</v>
      </c>
      <c r="U26" s="59">
        <v>6128</v>
      </c>
      <c r="V26" s="59">
        <v>6177</v>
      </c>
      <c r="W26" s="59">
        <v>6421</v>
      </c>
      <c r="X26" s="59">
        <v>6816</v>
      </c>
      <c r="Y26" s="59">
        <v>7243</v>
      </c>
      <c r="Z26" s="59">
        <v>7584</v>
      </c>
      <c r="AA26" s="59">
        <v>7906</v>
      </c>
      <c r="AB26" s="59">
        <v>8205</v>
      </c>
      <c r="AC26" s="60">
        <v>8462</v>
      </c>
      <c r="AD26" t="str">
        <f>INDEX('Category Mapping'!$G$28:$G$39,MATCH(E26,'Category Mapping'!$A$28:$A$39,0),1)</f>
        <v>Winter</v>
      </c>
      <c r="AE26" t="str">
        <f>INDEX('Category Mapping'!$B$2:$B$25,MATCH('Source Data'!A26,'Category Mapping'!$A$2:$A$25,0))</f>
        <v>Weekend</v>
      </c>
      <c r="AF26" t="str">
        <f>INDEX('Category Mapping'!$C$2:$C$25,MATCH('Source Data'!A26,'Category Mapping'!$A$2:$A$25,0))</f>
        <v>Residential</v>
      </c>
      <c r="AG26" t="str">
        <f>INDEX('Category Mapping'!$D$2:$D$25,MATCH('Source Data'!A26,'Category Mapping'!$A$2:$A$25,0))</f>
        <v>Cooling</v>
      </c>
    </row>
    <row r="27" spans="1:33" x14ac:dyDescent="0.3">
      <c r="A27" s="55" t="s">
        <v>93</v>
      </c>
      <c r="B27" s="56">
        <v>2019</v>
      </c>
      <c r="C27" s="56">
        <v>19</v>
      </c>
      <c r="D27" s="56" t="s">
        <v>269</v>
      </c>
      <c r="E27" s="56">
        <v>1</v>
      </c>
      <c r="F27" s="56">
        <v>20700000</v>
      </c>
      <c r="G27" s="56">
        <v>21100000</v>
      </c>
      <c r="H27" s="56">
        <v>21200000</v>
      </c>
      <c r="I27" s="56">
        <v>21100000</v>
      </c>
      <c r="J27" s="56">
        <v>20700000</v>
      </c>
      <c r="K27" s="56">
        <v>25000000</v>
      </c>
      <c r="L27" s="56">
        <v>26300000</v>
      </c>
      <c r="M27" s="56">
        <v>25600000</v>
      </c>
      <c r="N27" s="56">
        <v>24600000</v>
      </c>
      <c r="O27" s="56">
        <v>18400000</v>
      </c>
      <c r="P27" s="56">
        <v>17700000</v>
      </c>
      <c r="Q27" s="56">
        <v>17600000</v>
      </c>
      <c r="R27" s="56">
        <v>17400000</v>
      </c>
      <c r="S27" s="56">
        <v>17100000</v>
      </c>
      <c r="T27" s="56">
        <v>17200000</v>
      </c>
      <c r="U27" s="56">
        <v>17900000</v>
      </c>
      <c r="V27" s="56">
        <v>19000000</v>
      </c>
      <c r="W27" s="56">
        <v>20300000</v>
      </c>
      <c r="X27" s="56">
        <v>22000000</v>
      </c>
      <c r="Y27" s="56">
        <v>23600000</v>
      </c>
      <c r="Z27" s="56">
        <v>24700000</v>
      </c>
      <c r="AA27" s="56">
        <v>23500000</v>
      </c>
      <c r="AB27" s="56">
        <v>20600000</v>
      </c>
      <c r="AC27" s="57">
        <v>20200000</v>
      </c>
      <c r="AD27" t="str">
        <f>INDEX('Category Mapping'!$G$28:$G$39,MATCH(E27,'Category Mapping'!$A$28:$A$39,0),1)</f>
        <v>Winter</v>
      </c>
      <c r="AE27" t="str">
        <f>INDEX('Category Mapping'!$B$2:$B$25,MATCH('Source Data'!A27,'Category Mapping'!$A$2:$A$25,0))</f>
        <v>Weekday</v>
      </c>
      <c r="AF27" t="str">
        <f>INDEX('Category Mapping'!$C$2:$C$25,MATCH('Source Data'!A27,'Category Mapping'!$A$2:$A$25,0))</f>
        <v>Residential</v>
      </c>
      <c r="AG27" t="str">
        <f>INDEX('Category Mapping'!$D$2:$D$25,MATCH('Source Data'!A27,'Category Mapping'!$A$2:$A$25,0))</f>
        <v>Heating</v>
      </c>
    </row>
    <row r="28" spans="1:33" x14ac:dyDescent="0.3">
      <c r="A28" s="58" t="s">
        <v>93</v>
      </c>
      <c r="B28" s="59">
        <v>2019</v>
      </c>
      <c r="C28" s="59">
        <v>19</v>
      </c>
      <c r="D28" s="59" t="s">
        <v>269</v>
      </c>
      <c r="E28" s="59">
        <v>2</v>
      </c>
      <c r="F28" s="59">
        <v>16700000</v>
      </c>
      <c r="G28" s="59">
        <v>17100000</v>
      </c>
      <c r="H28" s="59">
        <v>17200000</v>
      </c>
      <c r="I28" s="59">
        <v>17100000</v>
      </c>
      <c r="J28" s="59">
        <v>16700000</v>
      </c>
      <c r="K28" s="59">
        <v>20600000</v>
      </c>
      <c r="L28" s="59">
        <v>21700000</v>
      </c>
      <c r="M28" s="59">
        <v>21100000</v>
      </c>
      <c r="N28" s="59">
        <v>20100000</v>
      </c>
      <c r="O28" s="59">
        <v>14600000</v>
      </c>
      <c r="P28" s="59">
        <v>13800000</v>
      </c>
      <c r="Q28" s="59">
        <v>13700000</v>
      </c>
      <c r="R28" s="59">
        <v>13500000</v>
      </c>
      <c r="S28" s="59">
        <v>13300000</v>
      </c>
      <c r="T28" s="59">
        <v>13300000</v>
      </c>
      <c r="U28" s="59">
        <v>14000000</v>
      </c>
      <c r="V28" s="59">
        <v>14900000</v>
      </c>
      <c r="W28" s="59">
        <v>16200000</v>
      </c>
      <c r="X28" s="59">
        <v>17700000</v>
      </c>
      <c r="Y28" s="59">
        <v>19200000</v>
      </c>
      <c r="Z28" s="59">
        <v>20200000</v>
      </c>
      <c r="AA28" s="59">
        <v>19200000</v>
      </c>
      <c r="AB28" s="59">
        <v>16600000</v>
      </c>
      <c r="AC28" s="60">
        <v>16200000</v>
      </c>
      <c r="AD28" t="str">
        <f>INDEX('Category Mapping'!$G$28:$G$39,MATCH(E28,'Category Mapping'!$A$28:$A$39,0),1)</f>
        <v>Winter</v>
      </c>
      <c r="AE28" t="str">
        <f>INDEX('Category Mapping'!$B$2:$B$25,MATCH('Source Data'!A28,'Category Mapping'!$A$2:$A$25,0))</f>
        <v>Weekday</v>
      </c>
      <c r="AF28" t="str">
        <f>INDEX('Category Mapping'!$C$2:$C$25,MATCH('Source Data'!A28,'Category Mapping'!$A$2:$A$25,0))</f>
        <v>Residential</v>
      </c>
      <c r="AG28" t="str">
        <f>INDEX('Category Mapping'!$D$2:$D$25,MATCH('Source Data'!A28,'Category Mapping'!$A$2:$A$25,0))</f>
        <v>Heating</v>
      </c>
    </row>
    <row r="29" spans="1:33" x14ac:dyDescent="0.3">
      <c r="A29" s="55" t="s">
        <v>93</v>
      </c>
      <c r="B29" s="56">
        <v>2019</v>
      </c>
      <c r="C29" s="56">
        <v>19</v>
      </c>
      <c r="D29" s="56" t="s">
        <v>269</v>
      </c>
      <c r="E29" s="56">
        <v>3</v>
      </c>
      <c r="F29" s="56">
        <v>13000000</v>
      </c>
      <c r="G29" s="56">
        <v>13300000</v>
      </c>
      <c r="H29" s="56">
        <v>13400000</v>
      </c>
      <c r="I29" s="56">
        <v>13300000</v>
      </c>
      <c r="J29" s="56">
        <v>13000000</v>
      </c>
      <c r="K29" s="56">
        <v>16700000</v>
      </c>
      <c r="L29" s="56">
        <v>17700000</v>
      </c>
      <c r="M29" s="56">
        <v>17100000</v>
      </c>
      <c r="N29" s="56">
        <v>16200000</v>
      </c>
      <c r="O29" s="56">
        <v>10900000</v>
      </c>
      <c r="P29" s="56">
        <v>10200000</v>
      </c>
      <c r="Q29" s="56">
        <v>10600000</v>
      </c>
      <c r="R29" s="56">
        <v>10900000</v>
      </c>
      <c r="S29" s="56">
        <v>11000000</v>
      </c>
      <c r="T29" s="56">
        <v>11200000</v>
      </c>
      <c r="U29" s="56">
        <v>11700000</v>
      </c>
      <c r="V29" s="56">
        <v>12300000</v>
      </c>
      <c r="W29" s="56">
        <v>13000000</v>
      </c>
      <c r="X29" s="56">
        <v>13900000</v>
      </c>
      <c r="Y29" s="56">
        <v>15300000</v>
      </c>
      <c r="Z29" s="56">
        <v>16300000</v>
      </c>
      <c r="AA29" s="56">
        <v>15300000</v>
      </c>
      <c r="AB29" s="56">
        <v>12900000</v>
      </c>
      <c r="AC29" s="57">
        <v>12500000</v>
      </c>
      <c r="AD29" t="str">
        <f>INDEX('Category Mapping'!$G$28:$G$39,MATCH(E29,'Category Mapping'!$A$28:$A$39,0),1)</f>
        <v>Spring</v>
      </c>
      <c r="AE29" t="str">
        <f>INDEX('Category Mapping'!$B$2:$B$25,MATCH('Source Data'!A29,'Category Mapping'!$A$2:$A$25,0))</f>
        <v>Weekday</v>
      </c>
      <c r="AF29" t="str">
        <f>INDEX('Category Mapping'!$C$2:$C$25,MATCH('Source Data'!A29,'Category Mapping'!$A$2:$A$25,0))</f>
        <v>Residential</v>
      </c>
      <c r="AG29" t="str">
        <f>INDEX('Category Mapping'!$D$2:$D$25,MATCH('Source Data'!A29,'Category Mapping'!$A$2:$A$25,0))</f>
        <v>Heating</v>
      </c>
    </row>
    <row r="30" spans="1:33" x14ac:dyDescent="0.3">
      <c r="A30" s="58" t="s">
        <v>93</v>
      </c>
      <c r="B30" s="59">
        <v>2019</v>
      </c>
      <c r="C30" s="59">
        <v>19</v>
      </c>
      <c r="D30" s="59" t="s">
        <v>269</v>
      </c>
      <c r="E30" s="59">
        <v>4</v>
      </c>
      <c r="F30" s="59">
        <v>5437090</v>
      </c>
      <c r="G30" s="59">
        <v>5630222</v>
      </c>
      <c r="H30" s="59">
        <v>5695999</v>
      </c>
      <c r="I30" s="59">
        <v>5630222</v>
      </c>
      <c r="J30" s="59">
        <v>5437090</v>
      </c>
      <c r="K30" s="59">
        <v>7581491</v>
      </c>
      <c r="L30" s="59">
        <v>8446843</v>
      </c>
      <c r="M30" s="59">
        <v>8552344</v>
      </c>
      <c r="N30" s="59">
        <v>8485649</v>
      </c>
      <c r="O30" s="59">
        <v>5860206</v>
      </c>
      <c r="P30" s="59">
        <v>5909911</v>
      </c>
      <c r="Q30" s="59">
        <v>6207414</v>
      </c>
      <c r="R30" s="59">
        <v>6389605</v>
      </c>
      <c r="S30" s="59">
        <v>6440861</v>
      </c>
      <c r="T30" s="59">
        <v>6534109</v>
      </c>
      <c r="U30" s="59">
        <v>6835315</v>
      </c>
      <c r="V30" s="59">
        <v>7198265</v>
      </c>
      <c r="W30" s="59">
        <v>7597023</v>
      </c>
      <c r="X30" s="59">
        <v>8050556</v>
      </c>
      <c r="Y30" s="59">
        <v>8450511</v>
      </c>
      <c r="Z30" s="59">
        <v>8539152</v>
      </c>
      <c r="AA30" s="59">
        <v>7501669</v>
      </c>
      <c r="AB30" s="59">
        <v>5601358</v>
      </c>
      <c r="AC30" s="60">
        <v>5130247</v>
      </c>
      <c r="AD30" t="str">
        <f>INDEX('Category Mapping'!$G$28:$G$39,MATCH(E30,'Category Mapping'!$A$28:$A$39,0),1)</f>
        <v>Spring</v>
      </c>
      <c r="AE30" t="str">
        <f>INDEX('Category Mapping'!$B$2:$B$25,MATCH('Source Data'!A30,'Category Mapping'!$A$2:$A$25,0))</f>
        <v>Weekday</v>
      </c>
      <c r="AF30" t="str">
        <f>INDEX('Category Mapping'!$C$2:$C$25,MATCH('Source Data'!A30,'Category Mapping'!$A$2:$A$25,0))</f>
        <v>Residential</v>
      </c>
      <c r="AG30" t="str">
        <f>INDEX('Category Mapping'!$D$2:$D$25,MATCH('Source Data'!A30,'Category Mapping'!$A$2:$A$25,0))</f>
        <v>Heating</v>
      </c>
    </row>
    <row r="31" spans="1:33" x14ac:dyDescent="0.3">
      <c r="A31" s="55" t="s">
        <v>93</v>
      </c>
      <c r="B31" s="56">
        <v>2019</v>
      </c>
      <c r="C31" s="56">
        <v>19</v>
      </c>
      <c r="D31" s="56" t="s">
        <v>269</v>
      </c>
      <c r="E31" s="56">
        <v>5</v>
      </c>
      <c r="F31" s="56">
        <v>1510774</v>
      </c>
      <c r="G31" s="56">
        <v>1510774</v>
      </c>
      <c r="H31" s="56">
        <v>1510774</v>
      </c>
      <c r="I31" s="56">
        <v>1510774</v>
      </c>
      <c r="J31" s="56">
        <v>1510774</v>
      </c>
      <c r="K31" s="56">
        <v>2249916</v>
      </c>
      <c r="L31" s="56">
        <v>2547039</v>
      </c>
      <c r="M31" s="56">
        <v>2578851</v>
      </c>
      <c r="N31" s="56">
        <v>2558740</v>
      </c>
      <c r="O31" s="56">
        <v>1767071</v>
      </c>
      <c r="P31" s="56">
        <v>1782059</v>
      </c>
      <c r="Q31" s="56">
        <v>1871767</v>
      </c>
      <c r="R31" s="56">
        <v>1926704</v>
      </c>
      <c r="S31" s="56">
        <v>1942160</v>
      </c>
      <c r="T31" s="56">
        <v>1970278</v>
      </c>
      <c r="U31" s="56">
        <v>2061103</v>
      </c>
      <c r="V31" s="56">
        <v>2170546</v>
      </c>
      <c r="W31" s="56">
        <v>2290786</v>
      </c>
      <c r="X31" s="56">
        <v>2427543</v>
      </c>
      <c r="Y31" s="56">
        <v>2548145</v>
      </c>
      <c r="Z31" s="56">
        <v>2574873</v>
      </c>
      <c r="AA31" s="56">
        <v>2262033</v>
      </c>
      <c r="AB31" s="56">
        <v>1689019</v>
      </c>
      <c r="AC31" s="57">
        <v>1510774</v>
      </c>
      <c r="AD31" t="str">
        <f>INDEX('Category Mapping'!$G$28:$G$39,MATCH(E31,'Category Mapping'!$A$28:$A$39,0),1)</f>
        <v>Spring</v>
      </c>
      <c r="AE31" t="str">
        <f>INDEX('Category Mapping'!$B$2:$B$25,MATCH('Source Data'!A31,'Category Mapping'!$A$2:$A$25,0))</f>
        <v>Weekday</v>
      </c>
      <c r="AF31" t="str">
        <f>INDEX('Category Mapping'!$C$2:$C$25,MATCH('Source Data'!A31,'Category Mapping'!$A$2:$A$25,0))</f>
        <v>Residential</v>
      </c>
      <c r="AG31" t="str">
        <f>INDEX('Category Mapping'!$D$2:$D$25,MATCH('Source Data'!A31,'Category Mapping'!$A$2:$A$25,0))</f>
        <v>Heating</v>
      </c>
    </row>
    <row r="32" spans="1:33" x14ac:dyDescent="0.3">
      <c r="A32" s="58" t="s">
        <v>93</v>
      </c>
      <c r="B32" s="59">
        <v>2019</v>
      </c>
      <c r="C32" s="59">
        <v>19</v>
      </c>
      <c r="D32" s="59" t="s">
        <v>269</v>
      </c>
      <c r="E32" s="59">
        <v>6</v>
      </c>
      <c r="F32" s="59">
        <v>260040</v>
      </c>
      <c r="G32" s="59">
        <v>260040</v>
      </c>
      <c r="H32" s="59">
        <v>260040</v>
      </c>
      <c r="I32" s="59">
        <v>260040</v>
      </c>
      <c r="J32" s="59">
        <v>260040</v>
      </c>
      <c r="K32" s="59">
        <v>387264</v>
      </c>
      <c r="L32" s="59">
        <v>438406</v>
      </c>
      <c r="M32" s="59">
        <v>443882</v>
      </c>
      <c r="N32" s="59">
        <v>440420</v>
      </c>
      <c r="O32" s="59">
        <v>304155</v>
      </c>
      <c r="P32" s="59">
        <v>306735</v>
      </c>
      <c r="Q32" s="59">
        <v>322176</v>
      </c>
      <c r="R32" s="59">
        <v>331632</v>
      </c>
      <c r="S32" s="59">
        <v>334292</v>
      </c>
      <c r="T32" s="59">
        <v>339132</v>
      </c>
      <c r="U32" s="59">
        <v>354765</v>
      </c>
      <c r="V32" s="59">
        <v>373603</v>
      </c>
      <c r="W32" s="59">
        <v>394299</v>
      </c>
      <c r="X32" s="59">
        <v>417838</v>
      </c>
      <c r="Y32" s="59">
        <v>438597</v>
      </c>
      <c r="Z32" s="59">
        <v>443197</v>
      </c>
      <c r="AA32" s="59">
        <v>389350</v>
      </c>
      <c r="AB32" s="59">
        <v>290720</v>
      </c>
      <c r="AC32" s="60">
        <v>260040</v>
      </c>
      <c r="AD32" t="str">
        <f>INDEX('Category Mapping'!$G$28:$G$39,MATCH(E32,'Category Mapping'!$A$28:$A$39,0),1)</f>
        <v>Summer</v>
      </c>
      <c r="AE32" t="str">
        <f>INDEX('Category Mapping'!$B$2:$B$25,MATCH('Source Data'!A32,'Category Mapping'!$A$2:$A$25,0))</f>
        <v>Weekday</v>
      </c>
      <c r="AF32" t="str">
        <f>INDEX('Category Mapping'!$C$2:$C$25,MATCH('Source Data'!A32,'Category Mapping'!$A$2:$A$25,0))</f>
        <v>Residential</v>
      </c>
      <c r="AG32" t="str">
        <f>INDEX('Category Mapping'!$D$2:$D$25,MATCH('Source Data'!A32,'Category Mapping'!$A$2:$A$25,0))</f>
        <v>Heating</v>
      </c>
    </row>
    <row r="33" spans="1:33" x14ac:dyDescent="0.3">
      <c r="A33" s="55" t="s">
        <v>93</v>
      </c>
      <c r="B33" s="56">
        <v>2019</v>
      </c>
      <c r="C33" s="56">
        <v>19</v>
      </c>
      <c r="D33" s="56" t="s">
        <v>269</v>
      </c>
      <c r="E33" s="56">
        <v>7</v>
      </c>
      <c r="F33" s="56">
        <v>51165</v>
      </c>
      <c r="G33" s="56">
        <v>51165</v>
      </c>
      <c r="H33" s="56">
        <v>51165</v>
      </c>
      <c r="I33" s="56">
        <v>51165</v>
      </c>
      <c r="J33" s="56">
        <v>51165</v>
      </c>
      <c r="K33" s="56">
        <v>76198</v>
      </c>
      <c r="L33" s="56">
        <v>86260</v>
      </c>
      <c r="M33" s="56">
        <v>87338</v>
      </c>
      <c r="N33" s="56">
        <v>86657</v>
      </c>
      <c r="O33" s="56">
        <v>59845</v>
      </c>
      <c r="P33" s="56">
        <v>60353</v>
      </c>
      <c r="Q33" s="56">
        <v>63391</v>
      </c>
      <c r="R33" s="56">
        <v>65252</v>
      </c>
      <c r="S33" s="56">
        <v>65775</v>
      </c>
      <c r="T33" s="56">
        <v>66727</v>
      </c>
      <c r="U33" s="56">
        <v>69803</v>
      </c>
      <c r="V33" s="56">
        <v>73510</v>
      </c>
      <c r="W33" s="56">
        <v>77582</v>
      </c>
      <c r="X33" s="56">
        <v>82213</v>
      </c>
      <c r="Y33" s="56">
        <v>86298</v>
      </c>
      <c r="Z33" s="56">
        <v>87203</v>
      </c>
      <c r="AA33" s="56">
        <v>76608</v>
      </c>
      <c r="AB33" s="56">
        <v>57202</v>
      </c>
      <c r="AC33" s="57">
        <v>51165</v>
      </c>
      <c r="AD33" t="str">
        <f>INDEX('Category Mapping'!$G$28:$G$39,MATCH(E33,'Category Mapping'!$A$28:$A$39,0),1)</f>
        <v>Summer</v>
      </c>
      <c r="AE33" t="str">
        <f>INDEX('Category Mapping'!$B$2:$B$25,MATCH('Source Data'!A33,'Category Mapping'!$A$2:$A$25,0))</f>
        <v>Weekday</v>
      </c>
      <c r="AF33" t="str">
        <f>INDEX('Category Mapping'!$C$2:$C$25,MATCH('Source Data'!A33,'Category Mapping'!$A$2:$A$25,0))</f>
        <v>Residential</v>
      </c>
      <c r="AG33" t="str">
        <f>INDEX('Category Mapping'!$D$2:$D$25,MATCH('Source Data'!A33,'Category Mapping'!$A$2:$A$25,0))</f>
        <v>Heating</v>
      </c>
    </row>
    <row r="34" spans="1:33" x14ac:dyDescent="0.3">
      <c r="A34" s="58" t="s">
        <v>93</v>
      </c>
      <c r="B34" s="59">
        <v>2019</v>
      </c>
      <c r="C34" s="59">
        <v>19</v>
      </c>
      <c r="D34" s="59" t="s">
        <v>269</v>
      </c>
      <c r="E34" s="59">
        <v>8</v>
      </c>
      <c r="F34" s="59">
        <v>53554</v>
      </c>
      <c r="G34" s="59">
        <v>53554</v>
      </c>
      <c r="H34" s="59">
        <v>53554</v>
      </c>
      <c r="I34" s="59">
        <v>53554</v>
      </c>
      <c r="J34" s="59">
        <v>53554</v>
      </c>
      <c r="K34" s="59">
        <v>79755</v>
      </c>
      <c r="L34" s="59">
        <v>90288</v>
      </c>
      <c r="M34" s="59">
        <v>91415</v>
      </c>
      <c r="N34" s="59">
        <v>90702</v>
      </c>
      <c r="O34" s="59">
        <v>62639</v>
      </c>
      <c r="P34" s="59">
        <v>63171</v>
      </c>
      <c r="Q34" s="59">
        <v>66350</v>
      </c>
      <c r="R34" s="59">
        <v>68298</v>
      </c>
      <c r="S34" s="59">
        <v>68846</v>
      </c>
      <c r="T34" s="59">
        <v>69843</v>
      </c>
      <c r="U34" s="59">
        <v>73062</v>
      </c>
      <c r="V34" s="59">
        <v>76942</v>
      </c>
      <c r="W34" s="59">
        <v>81204</v>
      </c>
      <c r="X34" s="59">
        <v>86052</v>
      </c>
      <c r="Y34" s="59">
        <v>90327</v>
      </c>
      <c r="Z34" s="59">
        <v>91274</v>
      </c>
      <c r="AA34" s="59">
        <v>80185</v>
      </c>
      <c r="AB34" s="59">
        <v>59872</v>
      </c>
      <c r="AC34" s="60">
        <v>53554</v>
      </c>
      <c r="AD34" t="str">
        <f>INDEX('Category Mapping'!$G$28:$G$39,MATCH(E34,'Category Mapping'!$A$28:$A$39,0),1)</f>
        <v>Summer</v>
      </c>
      <c r="AE34" t="str">
        <f>INDEX('Category Mapping'!$B$2:$B$25,MATCH('Source Data'!A34,'Category Mapping'!$A$2:$A$25,0))</f>
        <v>Weekday</v>
      </c>
      <c r="AF34" t="str">
        <f>INDEX('Category Mapping'!$C$2:$C$25,MATCH('Source Data'!A34,'Category Mapping'!$A$2:$A$25,0))</f>
        <v>Residential</v>
      </c>
      <c r="AG34" t="str">
        <f>INDEX('Category Mapping'!$D$2:$D$25,MATCH('Source Data'!A34,'Category Mapping'!$A$2:$A$25,0))</f>
        <v>Heating</v>
      </c>
    </row>
    <row r="35" spans="1:33" x14ac:dyDescent="0.3">
      <c r="A35" s="55" t="s">
        <v>93</v>
      </c>
      <c r="B35" s="56">
        <v>2019</v>
      </c>
      <c r="C35" s="56">
        <v>19</v>
      </c>
      <c r="D35" s="56" t="s">
        <v>269</v>
      </c>
      <c r="E35" s="56">
        <v>9</v>
      </c>
      <c r="F35" s="56">
        <v>530600</v>
      </c>
      <c r="G35" s="56">
        <v>530600</v>
      </c>
      <c r="H35" s="56">
        <v>530600</v>
      </c>
      <c r="I35" s="56">
        <v>530600</v>
      </c>
      <c r="J35" s="56">
        <v>530600</v>
      </c>
      <c r="K35" s="56">
        <v>790194</v>
      </c>
      <c r="L35" s="56">
        <v>894547</v>
      </c>
      <c r="M35" s="56">
        <v>905720</v>
      </c>
      <c r="N35" s="56">
        <v>898657</v>
      </c>
      <c r="O35" s="56">
        <v>620614</v>
      </c>
      <c r="P35" s="56">
        <v>625878</v>
      </c>
      <c r="Q35" s="56">
        <v>657384</v>
      </c>
      <c r="R35" s="56">
        <v>676679</v>
      </c>
      <c r="S35" s="56">
        <v>682107</v>
      </c>
      <c r="T35" s="56">
        <v>691982</v>
      </c>
      <c r="U35" s="56">
        <v>723881</v>
      </c>
      <c r="V35" s="56">
        <v>762319</v>
      </c>
      <c r="W35" s="56">
        <v>804548</v>
      </c>
      <c r="X35" s="56">
        <v>852579</v>
      </c>
      <c r="Y35" s="56">
        <v>894935</v>
      </c>
      <c r="Z35" s="56">
        <v>904323</v>
      </c>
      <c r="AA35" s="56">
        <v>794450</v>
      </c>
      <c r="AB35" s="56">
        <v>593201</v>
      </c>
      <c r="AC35" s="57">
        <v>530600</v>
      </c>
      <c r="AD35" t="str">
        <f>INDEX('Category Mapping'!$G$28:$G$39,MATCH(E35,'Category Mapping'!$A$28:$A$39,0),1)</f>
        <v>Fall</v>
      </c>
      <c r="AE35" t="str">
        <f>INDEX('Category Mapping'!$B$2:$B$25,MATCH('Source Data'!A35,'Category Mapping'!$A$2:$A$25,0))</f>
        <v>Weekday</v>
      </c>
      <c r="AF35" t="str">
        <f>INDEX('Category Mapping'!$C$2:$C$25,MATCH('Source Data'!A35,'Category Mapping'!$A$2:$A$25,0))</f>
        <v>Residential</v>
      </c>
      <c r="AG35" t="str">
        <f>INDEX('Category Mapping'!$D$2:$D$25,MATCH('Source Data'!A35,'Category Mapping'!$A$2:$A$25,0))</f>
        <v>Heating</v>
      </c>
    </row>
    <row r="36" spans="1:33" x14ac:dyDescent="0.3">
      <c r="A36" s="58" t="s">
        <v>93</v>
      </c>
      <c r="B36" s="59">
        <v>2019</v>
      </c>
      <c r="C36" s="59">
        <v>19</v>
      </c>
      <c r="D36" s="59" t="s">
        <v>269</v>
      </c>
      <c r="E36" s="59">
        <v>10</v>
      </c>
      <c r="F36" s="59">
        <v>3718567</v>
      </c>
      <c r="G36" s="59">
        <v>3718567</v>
      </c>
      <c r="H36" s="59">
        <v>3718567</v>
      </c>
      <c r="I36" s="59">
        <v>3718567</v>
      </c>
      <c r="J36" s="59">
        <v>3718567</v>
      </c>
      <c r="K36" s="59">
        <v>5537864</v>
      </c>
      <c r="L36" s="59">
        <v>6269191</v>
      </c>
      <c r="M36" s="59">
        <v>6347494</v>
      </c>
      <c r="N36" s="59">
        <v>6297993</v>
      </c>
      <c r="O36" s="59">
        <v>4349406</v>
      </c>
      <c r="P36" s="59">
        <v>4386297</v>
      </c>
      <c r="Q36" s="59">
        <v>4607102</v>
      </c>
      <c r="R36" s="59">
        <v>4742322</v>
      </c>
      <c r="S36" s="59">
        <v>4780364</v>
      </c>
      <c r="T36" s="59">
        <v>4849572</v>
      </c>
      <c r="U36" s="59">
        <v>5073126</v>
      </c>
      <c r="V36" s="59">
        <v>5342505</v>
      </c>
      <c r="W36" s="59">
        <v>5638460</v>
      </c>
      <c r="X36" s="59">
        <v>5975069</v>
      </c>
      <c r="Y36" s="59">
        <v>6271913</v>
      </c>
      <c r="Z36" s="59">
        <v>6337702</v>
      </c>
      <c r="AA36" s="59">
        <v>5567689</v>
      </c>
      <c r="AB36" s="59">
        <v>4157291</v>
      </c>
      <c r="AC36" s="60">
        <v>3718567</v>
      </c>
      <c r="AD36" t="str">
        <f>INDEX('Category Mapping'!$G$28:$G$39,MATCH(E36,'Category Mapping'!$A$28:$A$39,0),1)</f>
        <v>Fall</v>
      </c>
      <c r="AE36" t="str">
        <f>INDEX('Category Mapping'!$B$2:$B$25,MATCH('Source Data'!A36,'Category Mapping'!$A$2:$A$25,0))</f>
        <v>Weekday</v>
      </c>
      <c r="AF36" t="str">
        <f>INDEX('Category Mapping'!$C$2:$C$25,MATCH('Source Data'!A36,'Category Mapping'!$A$2:$A$25,0))</f>
        <v>Residential</v>
      </c>
      <c r="AG36" t="str">
        <f>INDEX('Category Mapping'!$D$2:$D$25,MATCH('Source Data'!A36,'Category Mapping'!$A$2:$A$25,0))</f>
        <v>Heating</v>
      </c>
    </row>
    <row r="37" spans="1:33" x14ac:dyDescent="0.3">
      <c r="A37" s="55" t="s">
        <v>93</v>
      </c>
      <c r="B37" s="56">
        <v>2019</v>
      </c>
      <c r="C37" s="56">
        <v>19</v>
      </c>
      <c r="D37" s="56" t="s">
        <v>269</v>
      </c>
      <c r="E37" s="56">
        <v>11</v>
      </c>
      <c r="F37" s="56">
        <v>10400000</v>
      </c>
      <c r="G37" s="56">
        <v>10700000</v>
      </c>
      <c r="H37" s="56">
        <v>10800000</v>
      </c>
      <c r="I37" s="56">
        <v>10700000</v>
      </c>
      <c r="J37" s="56">
        <v>10400000</v>
      </c>
      <c r="K37" s="56">
        <v>13600000</v>
      </c>
      <c r="L37" s="56">
        <v>14500000</v>
      </c>
      <c r="M37" s="56">
        <v>14000000</v>
      </c>
      <c r="N37" s="56">
        <v>13200000</v>
      </c>
      <c r="O37" s="56">
        <v>8654439</v>
      </c>
      <c r="P37" s="56">
        <v>8614184</v>
      </c>
      <c r="Q37" s="56">
        <v>9047819</v>
      </c>
      <c r="R37" s="56">
        <v>9313377</v>
      </c>
      <c r="S37" s="56">
        <v>9388088</v>
      </c>
      <c r="T37" s="56">
        <v>9524004</v>
      </c>
      <c r="U37" s="56">
        <v>9963037</v>
      </c>
      <c r="V37" s="56">
        <v>10500000</v>
      </c>
      <c r="W37" s="56">
        <v>11100000</v>
      </c>
      <c r="X37" s="56">
        <v>11700000</v>
      </c>
      <c r="Y37" s="56">
        <v>12400000</v>
      </c>
      <c r="Z37" s="56">
        <v>13300000</v>
      </c>
      <c r="AA37" s="56">
        <v>12400000</v>
      </c>
      <c r="AB37" s="56">
        <v>10300000</v>
      </c>
      <c r="AC37" s="57">
        <v>10000000</v>
      </c>
      <c r="AD37" t="str">
        <f>INDEX('Category Mapping'!$G$28:$G$39,MATCH(E37,'Category Mapping'!$A$28:$A$39,0),1)</f>
        <v>Winter</v>
      </c>
      <c r="AE37" t="str">
        <f>INDEX('Category Mapping'!$B$2:$B$25,MATCH('Source Data'!A37,'Category Mapping'!$A$2:$A$25,0))</f>
        <v>Weekday</v>
      </c>
      <c r="AF37" t="str">
        <f>INDEX('Category Mapping'!$C$2:$C$25,MATCH('Source Data'!A37,'Category Mapping'!$A$2:$A$25,0))</f>
        <v>Residential</v>
      </c>
      <c r="AG37" t="str">
        <f>INDEX('Category Mapping'!$D$2:$D$25,MATCH('Source Data'!A37,'Category Mapping'!$A$2:$A$25,0))</f>
        <v>Heating</v>
      </c>
    </row>
    <row r="38" spans="1:33" x14ac:dyDescent="0.3">
      <c r="A38" s="58" t="s">
        <v>93</v>
      </c>
      <c r="B38" s="59">
        <v>2019</v>
      </c>
      <c r="C38" s="59">
        <v>19</v>
      </c>
      <c r="D38" s="59" t="s">
        <v>269</v>
      </c>
      <c r="E38" s="59">
        <v>12</v>
      </c>
      <c r="F38" s="59">
        <v>17500000</v>
      </c>
      <c r="G38" s="59">
        <v>17800000</v>
      </c>
      <c r="H38" s="59">
        <v>17900000</v>
      </c>
      <c r="I38" s="59">
        <v>17800000</v>
      </c>
      <c r="J38" s="59">
        <v>17500000</v>
      </c>
      <c r="K38" s="59">
        <v>21500000</v>
      </c>
      <c r="L38" s="59">
        <v>22700000</v>
      </c>
      <c r="M38" s="59">
        <v>22200000</v>
      </c>
      <c r="N38" s="59">
        <v>21200000</v>
      </c>
      <c r="O38" s="59">
        <v>15600000</v>
      </c>
      <c r="P38" s="59">
        <v>14900000</v>
      </c>
      <c r="Q38" s="59">
        <v>14800000</v>
      </c>
      <c r="R38" s="59">
        <v>14700000</v>
      </c>
      <c r="S38" s="59">
        <v>14500000</v>
      </c>
      <c r="T38" s="59">
        <v>14500000</v>
      </c>
      <c r="U38" s="59">
        <v>15200000</v>
      </c>
      <c r="V38" s="59">
        <v>16200000</v>
      </c>
      <c r="W38" s="59">
        <v>17400000</v>
      </c>
      <c r="X38" s="59">
        <v>18900000</v>
      </c>
      <c r="Y38" s="59">
        <v>20400000</v>
      </c>
      <c r="Z38" s="59">
        <v>21300000</v>
      </c>
      <c r="AA38" s="59">
        <v>20200000</v>
      </c>
      <c r="AB38" s="59">
        <v>17400000</v>
      </c>
      <c r="AC38" s="60">
        <v>17000000</v>
      </c>
      <c r="AD38" t="str">
        <f>INDEX('Category Mapping'!$G$28:$G$39,MATCH(E38,'Category Mapping'!$A$28:$A$39,0),1)</f>
        <v>Winter</v>
      </c>
      <c r="AE38" t="str">
        <f>INDEX('Category Mapping'!$B$2:$B$25,MATCH('Source Data'!A38,'Category Mapping'!$A$2:$A$25,0))</f>
        <v>Weekday</v>
      </c>
      <c r="AF38" t="str">
        <f>INDEX('Category Mapping'!$C$2:$C$25,MATCH('Source Data'!A38,'Category Mapping'!$A$2:$A$25,0))</f>
        <v>Residential</v>
      </c>
      <c r="AG38" t="str">
        <f>INDEX('Category Mapping'!$D$2:$D$25,MATCH('Source Data'!A38,'Category Mapping'!$A$2:$A$25,0))</f>
        <v>Heating</v>
      </c>
    </row>
    <row r="39" spans="1:33" x14ac:dyDescent="0.3">
      <c r="A39" s="55" t="s">
        <v>94</v>
      </c>
      <c r="B39" s="56">
        <v>2019</v>
      </c>
      <c r="C39" s="56">
        <v>19</v>
      </c>
      <c r="D39" s="56" t="s">
        <v>269</v>
      </c>
      <c r="E39" s="56">
        <v>1</v>
      </c>
      <c r="F39" s="56">
        <v>11500000</v>
      </c>
      <c r="G39" s="56">
        <v>11700000</v>
      </c>
      <c r="H39" s="56">
        <v>11700000</v>
      </c>
      <c r="I39" s="56">
        <v>11700000</v>
      </c>
      <c r="J39" s="56">
        <v>11500000</v>
      </c>
      <c r="K39" s="56">
        <v>11900000</v>
      </c>
      <c r="L39" s="56">
        <v>12500000</v>
      </c>
      <c r="M39" s="56">
        <v>13300000</v>
      </c>
      <c r="N39" s="56">
        <v>13600000</v>
      </c>
      <c r="O39" s="56">
        <v>13300000</v>
      </c>
      <c r="P39" s="56">
        <v>12800000</v>
      </c>
      <c r="Q39" s="56">
        <v>10900000</v>
      </c>
      <c r="R39" s="56">
        <v>10700000</v>
      </c>
      <c r="S39" s="56">
        <v>10500000</v>
      </c>
      <c r="T39" s="56">
        <v>10400000</v>
      </c>
      <c r="U39" s="56">
        <v>10500000</v>
      </c>
      <c r="V39" s="56">
        <v>10800000</v>
      </c>
      <c r="W39" s="56">
        <v>11400000</v>
      </c>
      <c r="X39" s="56">
        <v>12100000</v>
      </c>
      <c r="Y39" s="56">
        <v>12800000</v>
      </c>
      <c r="Z39" s="56">
        <v>13300000</v>
      </c>
      <c r="AA39" s="56">
        <v>12800000</v>
      </c>
      <c r="AB39" s="56">
        <v>11600000</v>
      </c>
      <c r="AC39" s="57">
        <v>11100000</v>
      </c>
      <c r="AD39" t="str">
        <f>INDEX('Category Mapping'!$G$28:$G$39,MATCH(E39,'Category Mapping'!$A$28:$A$39,0),1)</f>
        <v>Winter</v>
      </c>
      <c r="AE39" t="str">
        <f>INDEX('Category Mapping'!$B$2:$B$25,MATCH('Source Data'!A39,'Category Mapping'!$A$2:$A$25,0))</f>
        <v>Weekend</v>
      </c>
      <c r="AF39" t="str">
        <f>INDEX('Category Mapping'!$C$2:$C$25,MATCH('Source Data'!A39,'Category Mapping'!$A$2:$A$25,0))</f>
        <v>Residential</v>
      </c>
      <c r="AG39" t="str">
        <f>INDEX('Category Mapping'!$D$2:$D$25,MATCH('Source Data'!A39,'Category Mapping'!$A$2:$A$25,0))</f>
        <v>Heating</v>
      </c>
    </row>
    <row r="40" spans="1:33" x14ac:dyDescent="0.3">
      <c r="A40" s="58" t="s">
        <v>94</v>
      </c>
      <c r="B40" s="59">
        <v>2019</v>
      </c>
      <c r="C40" s="59">
        <v>19</v>
      </c>
      <c r="D40" s="59" t="s">
        <v>269</v>
      </c>
      <c r="E40" s="59">
        <v>2</v>
      </c>
      <c r="F40" s="59">
        <v>9218859</v>
      </c>
      <c r="G40" s="59">
        <v>9403205</v>
      </c>
      <c r="H40" s="59">
        <v>9465939</v>
      </c>
      <c r="I40" s="59">
        <v>9403205</v>
      </c>
      <c r="J40" s="59">
        <v>9218859</v>
      </c>
      <c r="K40" s="59">
        <v>9685058</v>
      </c>
      <c r="L40" s="59">
        <v>10200000</v>
      </c>
      <c r="M40" s="59">
        <v>10900000</v>
      </c>
      <c r="N40" s="59">
        <v>11200000</v>
      </c>
      <c r="O40" s="59">
        <v>10900000</v>
      </c>
      <c r="P40" s="59">
        <v>10500000</v>
      </c>
      <c r="Q40" s="59">
        <v>8566602</v>
      </c>
      <c r="R40" s="59">
        <v>8420815</v>
      </c>
      <c r="S40" s="59">
        <v>8230841</v>
      </c>
      <c r="T40" s="59">
        <v>8121941</v>
      </c>
      <c r="U40" s="59">
        <v>8195570</v>
      </c>
      <c r="V40" s="59">
        <v>8498767</v>
      </c>
      <c r="W40" s="59">
        <v>9013986</v>
      </c>
      <c r="X40" s="59">
        <v>9660495</v>
      </c>
      <c r="Y40" s="59">
        <v>10300000</v>
      </c>
      <c r="Z40" s="59">
        <v>10800000</v>
      </c>
      <c r="AA40" s="59">
        <v>10400000</v>
      </c>
      <c r="AB40" s="59">
        <v>9301245</v>
      </c>
      <c r="AC40" s="60">
        <v>8925870</v>
      </c>
      <c r="AD40" t="str">
        <f>INDEX('Category Mapping'!$G$28:$G$39,MATCH(E40,'Category Mapping'!$A$28:$A$39,0),1)</f>
        <v>Winter</v>
      </c>
      <c r="AE40" t="str">
        <f>INDEX('Category Mapping'!$B$2:$B$25,MATCH('Source Data'!A40,'Category Mapping'!$A$2:$A$25,0))</f>
        <v>Weekend</v>
      </c>
      <c r="AF40" t="str">
        <f>INDEX('Category Mapping'!$C$2:$C$25,MATCH('Source Data'!A40,'Category Mapping'!$A$2:$A$25,0))</f>
        <v>Residential</v>
      </c>
      <c r="AG40" t="str">
        <f>INDEX('Category Mapping'!$D$2:$D$25,MATCH('Source Data'!A40,'Category Mapping'!$A$2:$A$25,0))</f>
        <v>Heating</v>
      </c>
    </row>
    <row r="41" spans="1:33" x14ac:dyDescent="0.3">
      <c r="A41" s="55" t="s">
        <v>94</v>
      </c>
      <c r="B41" s="56">
        <v>2019</v>
      </c>
      <c r="C41" s="56">
        <v>19</v>
      </c>
      <c r="D41" s="56" t="s">
        <v>269</v>
      </c>
      <c r="E41" s="56">
        <v>3</v>
      </c>
      <c r="F41" s="56">
        <v>7165946</v>
      </c>
      <c r="G41" s="56">
        <v>7341709</v>
      </c>
      <c r="H41" s="56">
        <v>7401971</v>
      </c>
      <c r="I41" s="56">
        <v>7341709</v>
      </c>
      <c r="J41" s="56">
        <v>7165946</v>
      </c>
      <c r="K41" s="56">
        <v>7760723</v>
      </c>
      <c r="L41" s="56">
        <v>8249120</v>
      </c>
      <c r="M41" s="56">
        <v>8920415</v>
      </c>
      <c r="N41" s="56">
        <v>9167345</v>
      </c>
      <c r="O41" s="56">
        <v>8886105</v>
      </c>
      <c r="P41" s="56">
        <v>8522854</v>
      </c>
      <c r="Q41" s="56">
        <v>6546186</v>
      </c>
      <c r="R41" s="56">
        <v>6648215</v>
      </c>
      <c r="S41" s="56">
        <v>6642837</v>
      </c>
      <c r="T41" s="56">
        <v>6598737</v>
      </c>
      <c r="U41" s="56">
        <v>6609144</v>
      </c>
      <c r="V41" s="56">
        <v>6722679</v>
      </c>
      <c r="W41" s="56">
        <v>6973553</v>
      </c>
      <c r="X41" s="56">
        <v>7590836</v>
      </c>
      <c r="Y41" s="56">
        <v>8239843</v>
      </c>
      <c r="Z41" s="56">
        <v>8668349</v>
      </c>
      <c r="AA41" s="56">
        <v>8269849</v>
      </c>
      <c r="AB41" s="56">
        <v>7245316</v>
      </c>
      <c r="AC41" s="57">
        <v>6886401</v>
      </c>
      <c r="AD41" t="str">
        <f>INDEX('Category Mapping'!$G$28:$G$39,MATCH(E41,'Category Mapping'!$A$28:$A$39,0),1)</f>
        <v>Spring</v>
      </c>
      <c r="AE41" t="str">
        <f>INDEX('Category Mapping'!$B$2:$B$25,MATCH('Source Data'!A41,'Category Mapping'!$A$2:$A$25,0))</f>
        <v>Weekend</v>
      </c>
      <c r="AF41" t="str">
        <f>INDEX('Category Mapping'!$C$2:$C$25,MATCH('Source Data'!A41,'Category Mapping'!$A$2:$A$25,0))</f>
        <v>Residential</v>
      </c>
      <c r="AG41" t="str">
        <f>INDEX('Category Mapping'!$D$2:$D$25,MATCH('Source Data'!A41,'Category Mapping'!$A$2:$A$25,0))</f>
        <v>Heating</v>
      </c>
    </row>
    <row r="42" spans="1:33" x14ac:dyDescent="0.3">
      <c r="A42" s="58" t="s">
        <v>94</v>
      </c>
      <c r="B42" s="59">
        <v>2019</v>
      </c>
      <c r="C42" s="59">
        <v>19</v>
      </c>
      <c r="D42" s="59" t="s">
        <v>269</v>
      </c>
      <c r="E42" s="59">
        <v>4</v>
      </c>
      <c r="F42" s="59">
        <v>2996652</v>
      </c>
      <c r="G42" s="59">
        <v>3105374</v>
      </c>
      <c r="H42" s="59">
        <v>3142402</v>
      </c>
      <c r="I42" s="59">
        <v>3105374</v>
      </c>
      <c r="J42" s="59">
        <v>2996652</v>
      </c>
      <c r="K42" s="59">
        <v>3449882</v>
      </c>
      <c r="L42" s="59">
        <v>3870788</v>
      </c>
      <c r="M42" s="59">
        <v>4492762</v>
      </c>
      <c r="N42" s="59">
        <v>4881727</v>
      </c>
      <c r="O42" s="59">
        <v>4959783</v>
      </c>
      <c r="P42" s="59">
        <v>4973118</v>
      </c>
      <c r="Q42" s="59">
        <v>3828319</v>
      </c>
      <c r="R42" s="59">
        <v>3911243</v>
      </c>
      <c r="S42" s="59">
        <v>3908079</v>
      </c>
      <c r="T42" s="59">
        <v>3882134</v>
      </c>
      <c r="U42" s="59">
        <v>3888257</v>
      </c>
      <c r="V42" s="59">
        <v>3955051</v>
      </c>
      <c r="W42" s="59">
        <v>4079746</v>
      </c>
      <c r="X42" s="59">
        <v>4228393</v>
      </c>
      <c r="Y42" s="59">
        <v>4360468</v>
      </c>
      <c r="Z42" s="59">
        <v>4344700</v>
      </c>
      <c r="AA42" s="59">
        <v>3842194</v>
      </c>
      <c r="AB42" s="59">
        <v>3024241</v>
      </c>
      <c r="AC42" s="60">
        <v>2823919</v>
      </c>
      <c r="AD42" t="str">
        <f>INDEX('Category Mapping'!$G$28:$G$39,MATCH(E42,'Category Mapping'!$A$28:$A$39,0),1)</f>
        <v>Spring</v>
      </c>
      <c r="AE42" t="str">
        <f>INDEX('Category Mapping'!$B$2:$B$25,MATCH('Source Data'!A42,'Category Mapping'!$A$2:$A$25,0))</f>
        <v>Weekend</v>
      </c>
      <c r="AF42" t="str">
        <f>INDEX('Category Mapping'!$C$2:$C$25,MATCH('Source Data'!A42,'Category Mapping'!$A$2:$A$25,0))</f>
        <v>Residential</v>
      </c>
      <c r="AG42" t="str">
        <f>INDEX('Category Mapping'!$D$2:$D$25,MATCH('Source Data'!A42,'Category Mapping'!$A$2:$A$25,0))</f>
        <v>Heating</v>
      </c>
    </row>
    <row r="43" spans="1:33" x14ac:dyDescent="0.3">
      <c r="A43" s="55" t="s">
        <v>94</v>
      </c>
      <c r="B43" s="56">
        <v>2019</v>
      </c>
      <c r="C43" s="56">
        <v>19</v>
      </c>
      <c r="D43" s="56" t="s">
        <v>269</v>
      </c>
      <c r="E43" s="56">
        <v>5</v>
      </c>
      <c r="F43" s="56">
        <v>783376</v>
      </c>
      <c r="G43" s="56">
        <v>783376</v>
      </c>
      <c r="H43" s="56">
        <v>783376</v>
      </c>
      <c r="I43" s="56">
        <v>783376</v>
      </c>
      <c r="J43" s="56">
        <v>783376</v>
      </c>
      <c r="K43" s="56">
        <v>1035251</v>
      </c>
      <c r="L43" s="56">
        <v>1182611</v>
      </c>
      <c r="M43" s="56">
        <v>1372637</v>
      </c>
      <c r="N43" s="56">
        <v>1491475</v>
      </c>
      <c r="O43" s="56">
        <v>1515322</v>
      </c>
      <c r="P43" s="56">
        <v>1519397</v>
      </c>
      <c r="Q43" s="56">
        <v>1169635</v>
      </c>
      <c r="R43" s="56">
        <v>1194971</v>
      </c>
      <c r="S43" s="56">
        <v>1194004</v>
      </c>
      <c r="T43" s="56">
        <v>1186077</v>
      </c>
      <c r="U43" s="56">
        <v>1187948</v>
      </c>
      <c r="V43" s="56">
        <v>1208355</v>
      </c>
      <c r="W43" s="56">
        <v>1246452</v>
      </c>
      <c r="X43" s="56">
        <v>1291867</v>
      </c>
      <c r="Y43" s="56">
        <v>1332219</v>
      </c>
      <c r="Z43" s="56">
        <v>1327401</v>
      </c>
      <c r="AA43" s="56">
        <v>1173875</v>
      </c>
      <c r="AB43" s="56">
        <v>913419</v>
      </c>
      <c r="AC43" s="57">
        <v>783376</v>
      </c>
      <c r="AD43" t="str">
        <f>INDEX('Category Mapping'!$G$28:$G$39,MATCH(E43,'Category Mapping'!$A$28:$A$39,0),1)</f>
        <v>Spring</v>
      </c>
      <c r="AE43" t="str">
        <f>INDEX('Category Mapping'!$B$2:$B$25,MATCH('Source Data'!A43,'Category Mapping'!$A$2:$A$25,0))</f>
        <v>Weekend</v>
      </c>
      <c r="AF43" t="str">
        <f>INDEX('Category Mapping'!$C$2:$C$25,MATCH('Source Data'!A43,'Category Mapping'!$A$2:$A$25,0))</f>
        <v>Residential</v>
      </c>
      <c r="AG43" t="str">
        <f>INDEX('Category Mapping'!$D$2:$D$25,MATCH('Source Data'!A43,'Category Mapping'!$A$2:$A$25,0))</f>
        <v>Heating</v>
      </c>
    </row>
    <row r="44" spans="1:33" x14ac:dyDescent="0.3">
      <c r="A44" s="58" t="s">
        <v>94</v>
      </c>
      <c r="B44" s="59">
        <v>2019</v>
      </c>
      <c r="C44" s="59">
        <v>19</v>
      </c>
      <c r="D44" s="59" t="s">
        <v>269</v>
      </c>
      <c r="E44" s="59">
        <v>6</v>
      </c>
      <c r="F44" s="59">
        <v>134838</v>
      </c>
      <c r="G44" s="59">
        <v>134838</v>
      </c>
      <c r="H44" s="59">
        <v>134838</v>
      </c>
      <c r="I44" s="59">
        <v>134838</v>
      </c>
      <c r="J44" s="59">
        <v>134838</v>
      </c>
      <c r="K44" s="59">
        <v>178191</v>
      </c>
      <c r="L44" s="59">
        <v>203556</v>
      </c>
      <c r="M44" s="59">
        <v>236264</v>
      </c>
      <c r="N44" s="59">
        <v>256718</v>
      </c>
      <c r="O44" s="59">
        <v>260823</v>
      </c>
      <c r="P44" s="59">
        <v>261524</v>
      </c>
      <c r="Q44" s="59">
        <v>201322</v>
      </c>
      <c r="R44" s="59">
        <v>205683</v>
      </c>
      <c r="S44" s="59">
        <v>205517</v>
      </c>
      <c r="T44" s="59">
        <v>204152</v>
      </c>
      <c r="U44" s="59">
        <v>204474</v>
      </c>
      <c r="V44" s="59">
        <v>207987</v>
      </c>
      <c r="W44" s="59">
        <v>214544</v>
      </c>
      <c r="X44" s="59">
        <v>222361</v>
      </c>
      <c r="Y44" s="59">
        <v>229307</v>
      </c>
      <c r="Z44" s="59">
        <v>228478</v>
      </c>
      <c r="AA44" s="59">
        <v>202052</v>
      </c>
      <c r="AB44" s="59">
        <v>157221</v>
      </c>
      <c r="AC44" s="60">
        <v>134838</v>
      </c>
      <c r="AD44" t="str">
        <f>INDEX('Category Mapping'!$G$28:$G$39,MATCH(E44,'Category Mapping'!$A$28:$A$39,0),1)</f>
        <v>Summer</v>
      </c>
      <c r="AE44" t="str">
        <f>INDEX('Category Mapping'!$B$2:$B$25,MATCH('Source Data'!A44,'Category Mapping'!$A$2:$A$25,0))</f>
        <v>Weekend</v>
      </c>
      <c r="AF44" t="str">
        <f>INDEX('Category Mapping'!$C$2:$C$25,MATCH('Source Data'!A44,'Category Mapping'!$A$2:$A$25,0))</f>
        <v>Residential</v>
      </c>
      <c r="AG44" t="str">
        <f>INDEX('Category Mapping'!$D$2:$D$25,MATCH('Source Data'!A44,'Category Mapping'!$A$2:$A$25,0))</f>
        <v>Heating</v>
      </c>
    </row>
    <row r="45" spans="1:33" x14ac:dyDescent="0.3">
      <c r="A45" s="55" t="s">
        <v>94</v>
      </c>
      <c r="B45" s="56">
        <v>2019</v>
      </c>
      <c r="C45" s="56">
        <v>19</v>
      </c>
      <c r="D45" s="56" t="s">
        <v>269</v>
      </c>
      <c r="E45" s="56">
        <v>7</v>
      </c>
      <c r="F45" s="56">
        <v>26531</v>
      </c>
      <c r="G45" s="56">
        <v>26531</v>
      </c>
      <c r="H45" s="56">
        <v>26531</v>
      </c>
      <c r="I45" s="56">
        <v>26531</v>
      </c>
      <c r="J45" s="56">
        <v>26531</v>
      </c>
      <c r="K45" s="56">
        <v>35061</v>
      </c>
      <c r="L45" s="56">
        <v>40051</v>
      </c>
      <c r="M45" s="56">
        <v>46487</v>
      </c>
      <c r="N45" s="56">
        <v>50512</v>
      </c>
      <c r="O45" s="56">
        <v>51319</v>
      </c>
      <c r="P45" s="56">
        <v>51457</v>
      </c>
      <c r="Q45" s="56">
        <v>39612</v>
      </c>
      <c r="R45" s="56">
        <v>40470</v>
      </c>
      <c r="S45" s="56">
        <v>40437</v>
      </c>
      <c r="T45" s="56">
        <v>40169</v>
      </c>
      <c r="U45" s="56">
        <v>40232</v>
      </c>
      <c r="V45" s="56">
        <v>40923</v>
      </c>
      <c r="W45" s="56">
        <v>42213</v>
      </c>
      <c r="X45" s="56">
        <v>43752</v>
      </c>
      <c r="Y45" s="56">
        <v>45118</v>
      </c>
      <c r="Z45" s="56">
        <v>44955</v>
      </c>
      <c r="AA45" s="56">
        <v>39756</v>
      </c>
      <c r="AB45" s="56">
        <v>30935</v>
      </c>
      <c r="AC45" s="57">
        <v>26531</v>
      </c>
      <c r="AD45" t="str">
        <f>INDEX('Category Mapping'!$G$28:$G$39,MATCH(E45,'Category Mapping'!$A$28:$A$39,0),1)</f>
        <v>Summer</v>
      </c>
      <c r="AE45" t="str">
        <f>INDEX('Category Mapping'!$B$2:$B$25,MATCH('Source Data'!A45,'Category Mapping'!$A$2:$A$25,0))</f>
        <v>Weekend</v>
      </c>
      <c r="AF45" t="str">
        <f>INDEX('Category Mapping'!$C$2:$C$25,MATCH('Source Data'!A45,'Category Mapping'!$A$2:$A$25,0))</f>
        <v>Residential</v>
      </c>
      <c r="AG45" t="str">
        <f>INDEX('Category Mapping'!$D$2:$D$25,MATCH('Source Data'!A45,'Category Mapping'!$A$2:$A$25,0))</f>
        <v>Heating</v>
      </c>
    </row>
    <row r="46" spans="1:33" x14ac:dyDescent="0.3">
      <c r="A46" s="58" t="s">
        <v>94</v>
      </c>
      <c r="B46" s="59">
        <v>2019</v>
      </c>
      <c r="C46" s="59">
        <v>19</v>
      </c>
      <c r="D46" s="59" t="s">
        <v>269</v>
      </c>
      <c r="E46" s="59">
        <v>8</v>
      </c>
      <c r="F46" s="59">
        <v>27769</v>
      </c>
      <c r="G46" s="59">
        <v>27769</v>
      </c>
      <c r="H46" s="59">
        <v>27769</v>
      </c>
      <c r="I46" s="59">
        <v>27769</v>
      </c>
      <c r="J46" s="59">
        <v>27769</v>
      </c>
      <c r="K46" s="59">
        <v>36698</v>
      </c>
      <c r="L46" s="59">
        <v>41921</v>
      </c>
      <c r="M46" s="59">
        <v>48657</v>
      </c>
      <c r="N46" s="59">
        <v>52870</v>
      </c>
      <c r="O46" s="59">
        <v>53715</v>
      </c>
      <c r="P46" s="59">
        <v>53860</v>
      </c>
      <c r="Q46" s="59">
        <v>41461</v>
      </c>
      <c r="R46" s="59">
        <v>42359</v>
      </c>
      <c r="S46" s="59">
        <v>42325</v>
      </c>
      <c r="T46" s="59">
        <v>42044</v>
      </c>
      <c r="U46" s="59">
        <v>42110</v>
      </c>
      <c r="V46" s="59">
        <v>42834</v>
      </c>
      <c r="W46" s="59">
        <v>44184</v>
      </c>
      <c r="X46" s="59">
        <v>45794</v>
      </c>
      <c r="Y46" s="59">
        <v>47225</v>
      </c>
      <c r="Z46" s="59">
        <v>47054</v>
      </c>
      <c r="AA46" s="59">
        <v>41612</v>
      </c>
      <c r="AB46" s="59">
        <v>32379</v>
      </c>
      <c r="AC46" s="60">
        <v>27769</v>
      </c>
      <c r="AD46" t="str">
        <f>INDEX('Category Mapping'!$G$28:$G$39,MATCH(E46,'Category Mapping'!$A$28:$A$39,0),1)</f>
        <v>Summer</v>
      </c>
      <c r="AE46" t="str">
        <f>INDEX('Category Mapping'!$B$2:$B$25,MATCH('Source Data'!A46,'Category Mapping'!$A$2:$A$25,0))</f>
        <v>Weekend</v>
      </c>
      <c r="AF46" t="str">
        <f>INDEX('Category Mapping'!$C$2:$C$25,MATCH('Source Data'!A46,'Category Mapping'!$A$2:$A$25,0))</f>
        <v>Residential</v>
      </c>
      <c r="AG46" t="str">
        <f>INDEX('Category Mapping'!$D$2:$D$25,MATCH('Source Data'!A46,'Category Mapping'!$A$2:$A$25,0))</f>
        <v>Heating</v>
      </c>
    </row>
    <row r="47" spans="1:33" x14ac:dyDescent="0.3">
      <c r="A47" s="55" t="s">
        <v>94</v>
      </c>
      <c r="B47" s="56">
        <v>2019</v>
      </c>
      <c r="C47" s="56">
        <v>19</v>
      </c>
      <c r="D47" s="56" t="s">
        <v>269</v>
      </c>
      <c r="E47" s="56">
        <v>9</v>
      </c>
      <c r="F47" s="56">
        <v>275130</v>
      </c>
      <c r="G47" s="56">
        <v>275130</v>
      </c>
      <c r="H47" s="56">
        <v>275130</v>
      </c>
      <c r="I47" s="56">
        <v>275130</v>
      </c>
      <c r="J47" s="56">
        <v>275130</v>
      </c>
      <c r="K47" s="56">
        <v>363591</v>
      </c>
      <c r="L47" s="56">
        <v>415345</v>
      </c>
      <c r="M47" s="56">
        <v>482085</v>
      </c>
      <c r="N47" s="56">
        <v>523822</v>
      </c>
      <c r="O47" s="56">
        <v>532197</v>
      </c>
      <c r="P47" s="56">
        <v>533628</v>
      </c>
      <c r="Q47" s="56">
        <v>410788</v>
      </c>
      <c r="R47" s="56">
        <v>419686</v>
      </c>
      <c r="S47" s="56">
        <v>419347</v>
      </c>
      <c r="T47" s="56">
        <v>416563</v>
      </c>
      <c r="U47" s="56">
        <v>417220</v>
      </c>
      <c r="V47" s="56">
        <v>424387</v>
      </c>
      <c r="W47" s="56">
        <v>437767</v>
      </c>
      <c r="X47" s="56">
        <v>453717</v>
      </c>
      <c r="Y47" s="56">
        <v>467889</v>
      </c>
      <c r="Z47" s="56">
        <v>466197</v>
      </c>
      <c r="AA47" s="56">
        <v>412277</v>
      </c>
      <c r="AB47" s="56">
        <v>320802</v>
      </c>
      <c r="AC47" s="57">
        <v>275130</v>
      </c>
      <c r="AD47" t="str">
        <f>INDEX('Category Mapping'!$G$28:$G$39,MATCH(E47,'Category Mapping'!$A$28:$A$39,0),1)</f>
        <v>Fall</v>
      </c>
      <c r="AE47" t="str">
        <f>INDEX('Category Mapping'!$B$2:$B$25,MATCH('Source Data'!A47,'Category Mapping'!$A$2:$A$25,0))</f>
        <v>Weekend</v>
      </c>
      <c r="AF47" t="str">
        <f>INDEX('Category Mapping'!$C$2:$C$25,MATCH('Source Data'!A47,'Category Mapping'!$A$2:$A$25,0))</f>
        <v>Residential</v>
      </c>
      <c r="AG47" t="str">
        <f>INDEX('Category Mapping'!$D$2:$D$25,MATCH('Source Data'!A47,'Category Mapping'!$A$2:$A$25,0))</f>
        <v>Heating</v>
      </c>
    </row>
    <row r="48" spans="1:33" x14ac:dyDescent="0.3">
      <c r="A48" s="58" t="s">
        <v>94</v>
      </c>
      <c r="B48" s="59">
        <v>2019</v>
      </c>
      <c r="C48" s="59">
        <v>19</v>
      </c>
      <c r="D48" s="59" t="s">
        <v>269</v>
      </c>
      <c r="E48" s="59">
        <v>10</v>
      </c>
      <c r="F48" s="59">
        <v>1927719</v>
      </c>
      <c r="G48" s="59">
        <v>1927719</v>
      </c>
      <c r="H48" s="59">
        <v>1943514</v>
      </c>
      <c r="I48" s="59">
        <v>1927719</v>
      </c>
      <c r="J48" s="59">
        <v>1927719</v>
      </c>
      <c r="K48" s="59">
        <v>2547530</v>
      </c>
      <c r="L48" s="59">
        <v>2910151</v>
      </c>
      <c r="M48" s="59">
        <v>3377765</v>
      </c>
      <c r="N48" s="59">
        <v>3670199</v>
      </c>
      <c r="O48" s="59">
        <v>3728883</v>
      </c>
      <c r="P48" s="59">
        <v>3738908</v>
      </c>
      <c r="Q48" s="59">
        <v>2878221</v>
      </c>
      <c r="R48" s="59">
        <v>2940566</v>
      </c>
      <c r="S48" s="59">
        <v>2938187</v>
      </c>
      <c r="T48" s="59">
        <v>2918681</v>
      </c>
      <c r="U48" s="59">
        <v>2923284</v>
      </c>
      <c r="V48" s="59">
        <v>2973502</v>
      </c>
      <c r="W48" s="59">
        <v>3067250</v>
      </c>
      <c r="X48" s="59">
        <v>3179007</v>
      </c>
      <c r="Y48" s="59">
        <v>3278304</v>
      </c>
      <c r="Z48" s="59">
        <v>3266449</v>
      </c>
      <c r="AA48" s="59">
        <v>2888653</v>
      </c>
      <c r="AB48" s="59">
        <v>2247729</v>
      </c>
      <c r="AC48" s="60">
        <v>1927719</v>
      </c>
      <c r="AD48" t="str">
        <f>INDEX('Category Mapping'!$G$28:$G$39,MATCH(E48,'Category Mapping'!$A$28:$A$39,0),1)</f>
        <v>Fall</v>
      </c>
      <c r="AE48" t="str">
        <f>INDEX('Category Mapping'!$B$2:$B$25,MATCH('Source Data'!A48,'Category Mapping'!$A$2:$A$25,0))</f>
        <v>Weekend</v>
      </c>
      <c r="AF48" t="str">
        <f>INDEX('Category Mapping'!$C$2:$C$25,MATCH('Source Data'!A48,'Category Mapping'!$A$2:$A$25,0))</f>
        <v>Residential</v>
      </c>
      <c r="AG48" t="str">
        <f>INDEX('Category Mapping'!$D$2:$D$25,MATCH('Source Data'!A48,'Category Mapping'!$A$2:$A$25,0))</f>
        <v>Heating</v>
      </c>
    </row>
    <row r="49" spans="1:33" x14ac:dyDescent="0.3">
      <c r="A49" s="55" t="s">
        <v>94</v>
      </c>
      <c r="B49" s="56">
        <v>2019</v>
      </c>
      <c r="C49" s="56">
        <v>19</v>
      </c>
      <c r="D49" s="56" t="s">
        <v>269</v>
      </c>
      <c r="E49" s="56">
        <v>11</v>
      </c>
      <c r="F49" s="56">
        <v>5753227</v>
      </c>
      <c r="G49" s="56">
        <v>5903270</v>
      </c>
      <c r="H49" s="56">
        <v>5954427</v>
      </c>
      <c r="I49" s="56">
        <v>5903270</v>
      </c>
      <c r="J49" s="56">
        <v>5753227</v>
      </c>
      <c r="K49" s="56">
        <v>6293809</v>
      </c>
      <c r="L49" s="56">
        <v>6710736</v>
      </c>
      <c r="M49" s="56">
        <v>7283799</v>
      </c>
      <c r="N49" s="56">
        <v>7494595</v>
      </c>
      <c r="O49" s="56">
        <v>7254250</v>
      </c>
      <c r="P49" s="56">
        <v>7216180</v>
      </c>
      <c r="Q49" s="56">
        <v>5555034</v>
      </c>
      <c r="R49" s="56">
        <v>5675360</v>
      </c>
      <c r="S49" s="56">
        <v>5670770</v>
      </c>
      <c r="T49" s="56">
        <v>5633123</v>
      </c>
      <c r="U49" s="56">
        <v>5642007</v>
      </c>
      <c r="V49" s="56">
        <v>5738928</v>
      </c>
      <c r="W49" s="56">
        <v>5919864</v>
      </c>
      <c r="X49" s="56">
        <v>6135557</v>
      </c>
      <c r="Y49" s="56">
        <v>6669404</v>
      </c>
      <c r="Z49" s="56">
        <v>7035493</v>
      </c>
      <c r="AA49" s="56">
        <v>6695306</v>
      </c>
      <c r="AB49" s="56">
        <v>5820696</v>
      </c>
      <c r="AC49" s="57">
        <v>5514302</v>
      </c>
      <c r="AD49" t="str">
        <f>INDEX('Category Mapping'!$G$28:$G$39,MATCH(E49,'Category Mapping'!$A$28:$A$39,0),1)</f>
        <v>Winter</v>
      </c>
      <c r="AE49" t="str">
        <f>INDEX('Category Mapping'!$B$2:$B$25,MATCH('Source Data'!A49,'Category Mapping'!$A$2:$A$25,0))</f>
        <v>Weekend</v>
      </c>
      <c r="AF49" t="str">
        <f>INDEX('Category Mapping'!$C$2:$C$25,MATCH('Source Data'!A49,'Category Mapping'!$A$2:$A$25,0))</f>
        <v>Residential</v>
      </c>
      <c r="AG49" t="str">
        <f>INDEX('Category Mapping'!$D$2:$D$25,MATCH('Source Data'!A49,'Category Mapping'!$A$2:$A$25,0))</f>
        <v>Heating</v>
      </c>
    </row>
    <row r="50" spans="1:33" x14ac:dyDescent="0.3">
      <c r="A50" s="58" t="s">
        <v>94</v>
      </c>
      <c r="B50" s="59">
        <v>2019</v>
      </c>
      <c r="C50" s="59">
        <v>19</v>
      </c>
      <c r="D50" s="59" t="s">
        <v>269</v>
      </c>
      <c r="E50" s="59">
        <v>12</v>
      </c>
      <c r="F50" s="59">
        <v>9631397</v>
      </c>
      <c r="G50" s="59">
        <v>9803247</v>
      </c>
      <c r="H50" s="59">
        <v>9862094</v>
      </c>
      <c r="I50" s="59">
        <v>9803247</v>
      </c>
      <c r="J50" s="59">
        <v>9631397</v>
      </c>
      <c r="K50" s="59">
        <v>10100000</v>
      </c>
      <c r="L50" s="59">
        <v>10700000</v>
      </c>
      <c r="M50" s="59">
        <v>11400000</v>
      </c>
      <c r="N50" s="59">
        <v>11800000</v>
      </c>
      <c r="O50" s="59">
        <v>11500000</v>
      </c>
      <c r="P50" s="59">
        <v>11100000</v>
      </c>
      <c r="Q50" s="59">
        <v>9242526</v>
      </c>
      <c r="R50" s="59">
        <v>9120867</v>
      </c>
      <c r="S50" s="59">
        <v>8943217</v>
      </c>
      <c r="T50" s="59">
        <v>8837173</v>
      </c>
      <c r="U50" s="59">
        <v>8906883</v>
      </c>
      <c r="V50" s="59">
        <v>9201168</v>
      </c>
      <c r="W50" s="59">
        <v>9703395</v>
      </c>
      <c r="X50" s="59">
        <v>10300000</v>
      </c>
      <c r="Y50" s="59">
        <v>11000000</v>
      </c>
      <c r="Z50" s="59">
        <v>11400000</v>
      </c>
      <c r="AA50" s="59">
        <v>10900000</v>
      </c>
      <c r="AB50" s="59">
        <v>9781972</v>
      </c>
      <c r="AC50" s="60">
        <v>9358097</v>
      </c>
      <c r="AD50" t="str">
        <f>INDEX('Category Mapping'!$G$28:$G$39,MATCH(E50,'Category Mapping'!$A$28:$A$39,0),1)</f>
        <v>Winter</v>
      </c>
      <c r="AE50" t="str">
        <f>INDEX('Category Mapping'!$B$2:$B$25,MATCH('Source Data'!A50,'Category Mapping'!$A$2:$A$25,0))</f>
        <v>Weekend</v>
      </c>
      <c r="AF50" t="str">
        <f>INDEX('Category Mapping'!$C$2:$C$25,MATCH('Source Data'!A50,'Category Mapping'!$A$2:$A$25,0))</f>
        <v>Residential</v>
      </c>
      <c r="AG50" t="str">
        <f>INDEX('Category Mapping'!$D$2:$D$25,MATCH('Source Data'!A50,'Category Mapping'!$A$2:$A$25,0))</f>
        <v>Heating</v>
      </c>
    </row>
    <row r="51" spans="1:33" x14ac:dyDescent="0.3">
      <c r="A51" s="55" t="s">
        <v>95</v>
      </c>
      <c r="B51" s="56">
        <v>2019</v>
      </c>
      <c r="C51" s="56">
        <v>19</v>
      </c>
      <c r="D51" s="56" t="s">
        <v>269</v>
      </c>
      <c r="E51" s="56">
        <v>1</v>
      </c>
      <c r="F51" s="56">
        <v>11700000</v>
      </c>
      <c r="G51" s="56">
        <v>10800000</v>
      </c>
      <c r="H51" s="56">
        <v>10700000</v>
      </c>
      <c r="I51" s="56">
        <v>10900000</v>
      </c>
      <c r="J51" s="56">
        <v>14100000</v>
      </c>
      <c r="K51" s="56">
        <v>24200000</v>
      </c>
      <c r="L51" s="56">
        <v>35300000</v>
      </c>
      <c r="M51" s="56">
        <v>33200000</v>
      </c>
      <c r="N51" s="56">
        <v>10700000</v>
      </c>
      <c r="O51" s="56">
        <v>10300000</v>
      </c>
      <c r="P51" s="56">
        <v>10500000</v>
      </c>
      <c r="Q51" s="56">
        <v>11500000</v>
      </c>
      <c r="R51" s="56">
        <v>12100000</v>
      </c>
      <c r="S51" s="56">
        <v>12300000</v>
      </c>
      <c r="T51" s="56">
        <v>12600000</v>
      </c>
      <c r="U51" s="56">
        <v>13600000</v>
      </c>
      <c r="V51" s="56">
        <v>45100000</v>
      </c>
      <c r="W51" s="56">
        <v>54100000</v>
      </c>
      <c r="X51" s="56">
        <v>59200000</v>
      </c>
      <c r="Y51" s="56">
        <v>63700000</v>
      </c>
      <c r="Z51" s="56">
        <v>64700000</v>
      </c>
      <c r="AA51" s="56">
        <v>53000000</v>
      </c>
      <c r="AB51" s="56">
        <v>31500000</v>
      </c>
      <c r="AC51" s="57">
        <v>16600000</v>
      </c>
      <c r="AD51" t="str">
        <f>INDEX('Category Mapping'!$G$28:$G$39,MATCH(E51,'Category Mapping'!$A$28:$A$39,0),1)</f>
        <v>Winter</v>
      </c>
      <c r="AE51" t="str">
        <f>INDEX('Category Mapping'!$B$2:$B$25,MATCH('Source Data'!A51,'Category Mapping'!$A$2:$A$25,0))</f>
        <v>Weekday</v>
      </c>
      <c r="AF51" t="str">
        <f>INDEX('Category Mapping'!$C$2:$C$25,MATCH('Source Data'!A51,'Category Mapping'!$A$2:$A$25,0))</f>
        <v>Residential</v>
      </c>
      <c r="AG51" t="str">
        <f>INDEX('Category Mapping'!$D$2:$D$25,MATCH('Source Data'!A51,'Category Mapping'!$A$2:$A$25,0))</f>
        <v>Lighting</v>
      </c>
    </row>
    <row r="52" spans="1:33" x14ac:dyDescent="0.3">
      <c r="A52" s="58" t="s">
        <v>95</v>
      </c>
      <c r="B52" s="59">
        <v>2019</v>
      </c>
      <c r="C52" s="59">
        <v>19</v>
      </c>
      <c r="D52" s="59" t="s">
        <v>269</v>
      </c>
      <c r="E52" s="59">
        <v>2</v>
      </c>
      <c r="F52" s="59">
        <v>11400000</v>
      </c>
      <c r="G52" s="59">
        <v>10500000</v>
      </c>
      <c r="H52" s="59">
        <v>10400000</v>
      </c>
      <c r="I52" s="59">
        <v>10600000</v>
      </c>
      <c r="J52" s="59">
        <v>13700000</v>
      </c>
      <c r="K52" s="59">
        <v>23500000</v>
      </c>
      <c r="L52" s="59">
        <v>34300000</v>
      </c>
      <c r="M52" s="59">
        <v>16900000</v>
      </c>
      <c r="N52" s="59">
        <v>10400000</v>
      </c>
      <c r="O52" s="59">
        <v>10000000</v>
      </c>
      <c r="P52" s="59">
        <v>10200000</v>
      </c>
      <c r="Q52" s="59">
        <v>11200000</v>
      </c>
      <c r="R52" s="59">
        <v>11800000</v>
      </c>
      <c r="S52" s="59">
        <v>12000000</v>
      </c>
      <c r="T52" s="59">
        <v>12300000</v>
      </c>
      <c r="U52" s="59">
        <v>13300000</v>
      </c>
      <c r="V52" s="59">
        <v>22900000</v>
      </c>
      <c r="W52" s="59">
        <v>52500000</v>
      </c>
      <c r="X52" s="59">
        <v>57500000</v>
      </c>
      <c r="Y52" s="59">
        <v>61900000</v>
      </c>
      <c r="Z52" s="59">
        <v>62900000</v>
      </c>
      <c r="AA52" s="59">
        <v>51500000</v>
      </c>
      <c r="AB52" s="59">
        <v>30600000</v>
      </c>
      <c r="AC52" s="60">
        <v>16100000</v>
      </c>
      <c r="AD52" t="str">
        <f>INDEX('Category Mapping'!$G$28:$G$39,MATCH(E52,'Category Mapping'!$A$28:$A$39,0),1)</f>
        <v>Winter</v>
      </c>
      <c r="AE52" t="str">
        <f>INDEX('Category Mapping'!$B$2:$B$25,MATCH('Source Data'!A52,'Category Mapping'!$A$2:$A$25,0))</f>
        <v>Weekday</v>
      </c>
      <c r="AF52" t="str">
        <f>INDEX('Category Mapping'!$C$2:$C$25,MATCH('Source Data'!A52,'Category Mapping'!$A$2:$A$25,0))</f>
        <v>Residential</v>
      </c>
      <c r="AG52" t="str">
        <f>INDEX('Category Mapping'!$D$2:$D$25,MATCH('Source Data'!A52,'Category Mapping'!$A$2:$A$25,0))</f>
        <v>Lighting</v>
      </c>
    </row>
    <row r="53" spans="1:33" x14ac:dyDescent="0.3">
      <c r="A53" s="55" t="s">
        <v>95</v>
      </c>
      <c r="B53" s="56">
        <v>2019</v>
      </c>
      <c r="C53" s="56">
        <v>19</v>
      </c>
      <c r="D53" s="56" t="s">
        <v>269</v>
      </c>
      <c r="E53" s="56">
        <v>3</v>
      </c>
      <c r="F53" s="56">
        <v>10500000</v>
      </c>
      <c r="G53" s="56">
        <v>9700166</v>
      </c>
      <c r="H53" s="56">
        <v>9604977</v>
      </c>
      <c r="I53" s="56">
        <v>9819097</v>
      </c>
      <c r="J53" s="56">
        <v>12600000</v>
      </c>
      <c r="K53" s="56">
        <v>21700000</v>
      </c>
      <c r="L53" s="56">
        <v>31200000</v>
      </c>
      <c r="M53" s="56">
        <v>10500000</v>
      </c>
      <c r="N53" s="56">
        <v>9639399</v>
      </c>
      <c r="O53" s="56">
        <v>9272622</v>
      </c>
      <c r="P53" s="56">
        <v>9424134</v>
      </c>
      <c r="Q53" s="56">
        <v>10300000</v>
      </c>
      <c r="R53" s="56">
        <v>10900000</v>
      </c>
      <c r="S53" s="56">
        <v>11000000</v>
      </c>
      <c r="T53" s="56">
        <v>11300000</v>
      </c>
      <c r="U53" s="56">
        <v>12200000</v>
      </c>
      <c r="V53" s="56">
        <v>14200000</v>
      </c>
      <c r="W53" s="56">
        <v>47800000</v>
      </c>
      <c r="X53" s="56">
        <v>53200000</v>
      </c>
      <c r="Y53" s="56">
        <v>57200000</v>
      </c>
      <c r="Z53" s="56">
        <v>58100000</v>
      </c>
      <c r="AA53" s="56">
        <v>47600000</v>
      </c>
      <c r="AB53" s="56">
        <v>28300000</v>
      </c>
      <c r="AC53" s="57">
        <v>14900000</v>
      </c>
      <c r="AD53" t="str">
        <f>INDEX('Category Mapping'!$G$28:$G$39,MATCH(E53,'Category Mapping'!$A$28:$A$39,0),1)</f>
        <v>Spring</v>
      </c>
      <c r="AE53" t="str">
        <f>INDEX('Category Mapping'!$B$2:$B$25,MATCH('Source Data'!A53,'Category Mapping'!$A$2:$A$25,0))</f>
        <v>Weekday</v>
      </c>
      <c r="AF53" t="str">
        <f>INDEX('Category Mapping'!$C$2:$C$25,MATCH('Source Data'!A53,'Category Mapping'!$A$2:$A$25,0))</f>
        <v>Residential</v>
      </c>
      <c r="AG53" t="str">
        <f>INDEX('Category Mapping'!$D$2:$D$25,MATCH('Source Data'!A53,'Category Mapping'!$A$2:$A$25,0))</f>
        <v>Lighting</v>
      </c>
    </row>
    <row r="54" spans="1:33" x14ac:dyDescent="0.3">
      <c r="A54" s="58" t="s">
        <v>95</v>
      </c>
      <c r="B54" s="59">
        <v>2019</v>
      </c>
      <c r="C54" s="59">
        <v>19</v>
      </c>
      <c r="D54" s="59" t="s">
        <v>269</v>
      </c>
      <c r="E54" s="59">
        <v>4</v>
      </c>
      <c r="F54" s="59">
        <v>10400000</v>
      </c>
      <c r="G54" s="59">
        <v>9589808</v>
      </c>
      <c r="H54" s="59">
        <v>9495704</v>
      </c>
      <c r="I54" s="59">
        <v>9707388</v>
      </c>
      <c r="J54" s="59">
        <v>12500000</v>
      </c>
      <c r="K54" s="59">
        <v>21500000</v>
      </c>
      <c r="L54" s="59">
        <v>14900000</v>
      </c>
      <c r="M54" s="59">
        <v>9730725</v>
      </c>
      <c r="N54" s="59">
        <v>9529734</v>
      </c>
      <c r="O54" s="59">
        <v>9167130</v>
      </c>
      <c r="P54" s="59">
        <v>9316919</v>
      </c>
      <c r="Q54" s="59">
        <v>10200000</v>
      </c>
      <c r="R54" s="59">
        <v>10800000</v>
      </c>
      <c r="S54" s="59">
        <v>10900000</v>
      </c>
      <c r="T54" s="59">
        <v>11200000</v>
      </c>
      <c r="U54" s="59">
        <v>12100000</v>
      </c>
      <c r="V54" s="59">
        <v>13200000</v>
      </c>
      <c r="W54" s="59">
        <v>22800000</v>
      </c>
      <c r="X54" s="59">
        <v>52600000</v>
      </c>
      <c r="Y54" s="59">
        <v>56600000</v>
      </c>
      <c r="Z54" s="59">
        <v>57500000</v>
      </c>
      <c r="AA54" s="59">
        <v>47000000</v>
      </c>
      <c r="AB54" s="59">
        <v>28000000</v>
      </c>
      <c r="AC54" s="60">
        <v>14700000</v>
      </c>
      <c r="AD54" t="str">
        <f>INDEX('Category Mapping'!$G$28:$G$39,MATCH(E54,'Category Mapping'!$A$28:$A$39,0),1)</f>
        <v>Spring</v>
      </c>
      <c r="AE54" t="str">
        <f>INDEX('Category Mapping'!$B$2:$B$25,MATCH('Source Data'!A54,'Category Mapping'!$A$2:$A$25,0))</f>
        <v>Weekday</v>
      </c>
      <c r="AF54" t="str">
        <f>INDEX('Category Mapping'!$C$2:$C$25,MATCH('Source Data'!A54,'Category Mapping'!$A$2:$A$25,0))</f>
        <v>Residential</v>
      </c>
      <c r="AG54" t="str">
        <f>INDEX('Category Mapping'!$D$2:$D$25,MATCH('Source Data'!A54,'Category Mapping'!$A$2:$A$25,0))</f>
        <v>Lighting</v>
      </c>
    </row>
    <row r="55" spans="1:33" x14ac:dyDescent="0.3">
      <c r="A55" s="55" t="s">
        <v>95</v>
      </c>
      <c r="B55" s="56">
        <v>2019</v>
      </c>
      <c r="C55" s="56">
        <v>19</v>
      </c>
      <c r="D55" s="56" t="s">
        <v>269</v>
      </c>
      <c r="E55" s="56">
        <v>5</v>
      </c>
      <c r="F55" s="56">
        <v>9967663</v>
      </c>
      <c r="G55" s="56">
        <v>9185694</v>
      </c>
      <c r="H55" s="56">
        <v>9095554</v>
      </c>
      <c r="I55" s="56">
        <v>9298318</v>
      </c>
      <c r="J55" s="56">
        <v>12000000</v>
      </c>
      <c r="K55" s="56">
        <v>19100000</v>
      </c>
      <c r="L55" s="56">
        <v>10500000</v>
      </c>
      <c r="M55" s="56">
        <v>9320671</v>
      </c>
      <c r="N55" s="56">
        <v>9128150</v>
      </c>
      <c r="O55" s="56">
        <v>8780826</v>
      </c>
      <c r="P55" s="56">
        <v>8924303</v>
      </c>
      <c r="Q55" s="56">
        <v>9783070</v>
      </c>
      <c r="R55" s="56">
        <v>10300000</v>
      </c>
      <c r="S55" s="56">
        <v>10500000</v>
      </c>
      <c r="T55" s="56">
        <v>10700000</v>
      </c>
      <c r="U55" s="56">
        <v>11600000</v>
      </c>
      <c r="V55" s="56">
        <v>12600000</v>
      </c>
      <c r="W55" s="56">
        <v>16000000</v>
      </c>
      <c r="X55" s="56">
        <v>46700000</v>
      </c>
      <c r="Y55" s="56">
        <v>54200000</v>
      </c>
      <c r="Z55" s="56">
        <v>55000000</v>
      </c>
      <c r="AA55" s="56">
        <v>45100000</v>
      </c>
      <c r="AB55" s="56">
        <v>26800000</v>
      </c>
      <c r="AC55" s="57">
        <v>14100000</v>
      </c>
      <c r="AD55" t="str">
        <f>INDEX('Category Mapping'!$G$28:$G$39,MATCH(E55,'Category Mapping'!$A$28:$A$39,0),1)</f>
        <v>Spring</v>
      </c>
      <c r="AE55" t="str">
        <f>INDEX('Category Mapping'!$B$2:$B$25,MATCH('Source Data'!A55,'Category Mapping'!$A$2:$A$25,0))</f>
        <v>Weekday</v>
      </c>
      <c r="AF55" t="str">
        <f>INDEX('Category Mapping'!$C$2:$C$25,MATCH('Source Data'!A55,'Category Mapping'!$A$2:$A$25,0))</f>
        <v>Residential</v>
      </c>
      <c r="AG55" t="str">
        <f>INDEX('Category Mapping'!$D$2:$D$25,MATCH('Source Data'!A55,'Category Mapping'!$A$2:$A$25,0))</f>
        <v>Lighting</v>
      </c>
    </row>
    <row r="56" spans="1:33" x14ac:dyDescent="0.3">
      <c r="A56" s="58" t="s">
        <v>95</v>
      </c>
      <c r="B56" s="59">
        <v>2019</v>
      </c>
      <c r="C56" s="59">
        <v>19</v>
      </c>
      <c r="D56" s="59" t="s">
        <v>269</v>
      </c>
      <c r="E56" s="59">
        <v>6</v>
      </c>
      <c r="F56" s="59">
        <v>10100000</v>
      </c>
      <c r="G56" s="59">
        <v>9311343</v>
      </c>
      <c r="H56" s="59">
        <v>9219972</v>
      </c>
      <c r="I56" s="59">
        <v>9425508</v>
      </c>
      <c r="J56" s="59">
        <v>12100000</v>
      </c>
      <c r="K56" s="59">
        <v>13600000</v>
      </c>
      <c r="L56" s="59">
        <v>9418487</v>
      </c>
      <c r="M56" s="59">
        <v>9448167</v>
      </c>
      <c r="N56" s="59">
        <v>9253012</v>
      </c>
      <c r="O56" s="59">
        <v>8900938</v>
      </c>
      <c r="P56" s="59">
        <v>9046377</v>
      </c>
      <c r="Q56" s="59">
        <v>9916891</v>
      </c>
      <c r="R56" s="59">
        <v>10400000</v>
      </c>
      <c r="S56" s="59">
        <v>10600000</v>
      </c>
      <c r="T56" s="59">
        <v>10900000</v>
      </c>
      <c r="U56" s="59">
        <v>11800000</v>
      </c>
      <c r="V56" s="59">
        <v>12800000</v>
      </c>
      <c r="W56" s="59">
        <v>14400000</v>
      </c>
      <c r="X56" s="59">
        <v>33200000</v>
      </c>
      <c r="Y56" s="59">
        <v>54900000</v>
      </c>
      <c r="Z56" s="59">
        <v>55800000</v>
      </c>
      <c r="AA56" s="59">
        <v>45700000</v>
      </c>
      <c r="AB56" s="59">
        <v>27100000</v>
      </c>
      <c r="AC56" s="60">
        <v>14300000</v>
      </c>
      <c r="AD56" t="str">
        <f>INDEX('Category Mapping'!$G$28:$G$39,MATCH(E56,'Category Mapping'!$A$28:$A$39,0),1)</f>
        <v>Summer</v>
      </c>
      <c r="AE56" t="str">
        <f>INDEX('Category Mapping'!$B$2:$B$25,MATCH('Source Data'!A56,'Category Mapping'!$A$2:$A$25,0))</f>
        <v>Weekday</v>
      </c>
      <c r="AF56" t="str">
        <f>INDEX('Category Mapping'!$C$2:$C$25,MATCH('Source Data'!A56,'Category Mapping'!$A$2:$A$25,0))</f>
        <v>Residential</v>
      </c>
      <c r="AG56" t="str">
        <f>INDEX('Category Mapping'!$D$2:$D$25,MATCH('Source Data'!A56,'Category Mapping'!$A$2:$A$25,0))</f>
        <v>Lighting</v>
      </c>
    </row>
    <row r="57" spans="1:33" x14ac:dyDescent="0.3">
      <c r="A57" s="55" t="s">
        <v>95</v>
      </c>
      <c r="B57" s="56">
        <v>2019</v>
      </c>
      <c r="C57" s="56">
        <v>19</v>
      </c>
      <c r="D57" s="56" t="s">
        <v>269</v>
      </c>
      <c r="E57" s="56">
        <v>7</v>
      </c>
      <c r="F57" s="56">
        <v>10100000</v>
      </c>
      <c r="G57" s="56">
        <v>9303487</v>
      </c>
      <c r="H57" s="56">
        <v>9212192</v>
      </c>
      <c r="I57" s="56">
        <v>9417556</v>
      </c>
      <c r="J57" s="56">
        <v>12100000</v>
      </c>
      <c r="K57" s="56">
        <v>14900000</v>
      </c>
      <c r="L57" s="56">
        <v>9753282</v>
      </c>
      <c r="M57" s="56">
        <v>9440196</v>
      </c>
      <c r="N57" s="56">
        <v>9245206</v>
      </c>
      <c r="O57" s="56">
        <v>8893428</v>
      </c>
      <c r="P57" s="56">
        <v>9038745</v>
      </c>
      <c r="Q57" s="56">
        <v>9908524</v>
      </c>
      <c r="R57" s="56">
        <v>10400000</v>
      </c>
      <c r="S57" s="56">
        <v>10600000</v>
      </c>
      <c r="T57" s="56">
        <v>10900000</v>
      </c>
      <c r="U57" s="56">
        <v>11700000</v>
      </c>
      <c r="V57" s="56">
        <v>12800000</v>
      </c>
      <c r="W57" s="56">
        <v>14900000</v>
      </c>
      <c r="X57" s="56">
        <v>36600000</v>
      </c>
      <c r="Y57" s="56">
        <v>54900000</v>
      </c>
      <c r="Z57" s="56">
        <v>55800000</v>
      </c>
      <c r="AA57" s="56">
        <v>45600000</v>
      </c>
      <c r="AB57" s="56">
        <v>27100000</v>
      </c>
      <c r="AC57" s="57">
        <v>14300000</v>
      </c>
      <c r="AD57" t="str">
        <f>INDEX('Category Mapping'!$G$28:$G$39,MATCH(E57,'Category Mapping'!$A$28:$A$39,0),1)</f>
        <v>Summer</v>
      </c>
      <c r="AE57" t="str">
        <f>INDEX('Category Mapping'!$B$2:$B$25,MATCH('Source Data'!A57,'Category Mapping'!$A$2:$A$25,0))</f>
        <v>Weekday</v>
      </c>
      <c r="AF57" t="str">
        <f>INDEX('Category Mapping'!$C$2:$C$25,MATCH('Source Data'!A57,'Category Mapping'!$A$2:$A$25,0))</f>
        <v>Residential</v>
      </c>
      <c r="AG57" t="str">
        <f>INDEX('Category Mapping'!$D$2:$D$25,MATCH('Source Data'!A57,'Category Mapping'!$A$2:$A$25,0))</f>
        <v>Lighting</v>
      </c>
    </row>
    <row r="58" spans="1:33" x14ac:dyDescent="0.3">
      <c r="A58" s="58" t="s">
        <v>95</v>
      </c>
      <c r="B58" s="59">
        <v>2019</v>
      </c>
      <c r="C58" s="59">
        <v>19</v>
      </c>
      <c r="D58" s="59" t="s">
        <v>269</v>
      </c>
      <c r="E58" s="59">
        <v>8</v>
      </c>
      <c r="F58" s="59">
        <v>10100000</v>
      </c>
      <c r="G58" s="59">
        <v>9303677</v>
      </c>
      <c r="H58" s="59">
        <v>9212380</v>
      </c>
      <c r="I58" s="59">
        <v>9417748</v>
      </c>
      <c r="J58" s="59">
        <v>12100000</v>
      </c>
      <c r="K58" s="59">
        <v>20800000</v>
      </c>
      <c r="L58" s="59">
        <v>11900000</v>
      </c>
      <c r="M58" s="59">
        <v>9440389</v>
      </c>
      <c r="N58" s="59">
        <v>9245394</v>
      </c>
      <c r="O58" s="59">
        <v>8893610</v>
      </c>
      <c r="P58" s="59">
        <v>9038929</v>
      </c>
      <c r="Q58" s="59">
        <v>9908726</v>
      </c>
      <c r="R58" s="59">
        <v>10400000</v>
      </c>
      <c r="S58" s="59">
        <v>10600000</v>
      </c>
      <c r="T58" s="59">
        <v>10900000</v>
      </c>
      <c r="U58" s="59">
        <v>11700000</v>
      </c>
      <c r="V58" s="59">
        <v>12800000</v>
      </c>
      <c r="W58" s="59">
        <v>18200000</v>
      </c>
      <c r="X58" s="59">
        <v>51000000</v>
      </c>
      <c r="Y58" s="59">
        <v>54900000</v>
      </c>
      <c r="Z58" s="59">
        <v>55800000</v>
      </c>
      <c r="AA58" s="59">
        <v>45600000</v>
      </c>
      <c r="AB58" s="59">
        <v>27100000</v>
      </c>
      <c r="AC58" s="60">
        <v>14300000</v>
      </c>
      <c r="AD58" t="str">
        <f>INDEX('Category Mapping'!$G$28:$G$39,MATCH(E58,'Category Mapping'!$A$28:$A$39,0),1)</f>
        <v>Summer</v>
      </c>
      <c r="AE58" t="str">
        <f>INDEX('Category Mapping'!$B$2:$B$25,MATCH('Source Data'!A58,'Category Mapping'!$A$2:$A$25,0))</f>
        <v>Weekday</v>
      </c>
      <c r="AF58" t="str">
        <f>INDEX('Category Mapping'!$C$2:$C$25,MATCH('Source Data'!A58,'Category Mapping'!$A$2:$A$25,0))</f>
        <v>Residential</v>
      </c>
      <c r="AG58" t="str">
        <f>INDEX('Category Mapping'!$D$2:$D$25,MATCH('Source Data'!A58,'Category Mapping'!$A$2:$A$25,0))</f>
        <v>Lighting</v>
      </c>
    </row>
    <row r="59" spans="1:33" x14ac:dyDescent="0.3">
      <c r="A59" s="55" t="s">
        <v>95</v>
      </c>
      <c r="B59" s="56">
        <v>2019</v>
      </c>
      <c r="C59" s="56">
        <v>19</v>
      </c>
      <c r="D59" s="56" t="s">
        <v>269</v>
      </c>
      <c r="E59" s="56">
        <v>9</v>
      </c>
      <c r="F59" s="56">
        <v>10600000</v>
      </c>
      <c r="G59" s="56">
        <v>9779567</v>
      </c>
      <c r="H59" s="56">
        <v>9683599</v>
      </c>
      <c r="I59" s="56">
        <v>9899472</v>
      </c>
      <c r="J59" s="56">
        <v>12700000</v>
      </c>
      <c r="K59" s="56">
        <v>21900000</v>
      </c>
      <c r="L59" s="56">
        <v>19300000</v>
      </c>
      <c r="M59" s="56">
        <v>9923271</v>
      </c>
      <c r="N59" s="56">
        <v>9718303</v>
      </c>
      <c r="O59" s="56">
        <v>9348525</v>
      </c>
      <c r="P59" s="56">
        <v>9501277</v>
      </c>
      <c r="Q59" s="56">
        <v>10400000</v>
      </c>
      <c r="R59" s="56">
        <v>11000000</v>
      </c>
      <c r="S59" s="56">
        <v>11100000</v>
      </c>
      <c r="T59" s="56">
        <v>11400000</v>
      </c>
      <c r="U59" s="56">
        <v>12300000</v>
      </c>
      <c r="V59" s="56">
        <v>13500000</v>
      </c>
      <c r="W59" s="56">
        <v>29600000</v>
      </c>
      <c r="X59" s="56">
        <v>53600000</v>
      </c>
      <c r="Y59" s="56">
        <v>57700000</v>
      </c>
      <c r="Z59" s="56">
        <v>58600000</v>
      </c>
      <c r="AA59" s="56">
        <v>48000000</v>
      </c>
      <c r="AB59" s="56">
        <v>28500000</v>
      </c>
      <c r="AC59" s="57">
        <v>15000000</v>
      </c>
      <c r="AD59" t="str">
        <f>INDEX('Category Mapping'!$G$28:$G$39,MATCH(E59,'Category Mapping'!$A$28:$A$39,0),1)</f>
        <v>Fall</v>
      </c>
      <c r="AE59" t="str">
        <f>INDEX('Category Mapping'!$B$2:$B$25,MATCH('Source Data'!A59,'Category Mapping'!$A$2:$A$25,0))</f>
        <v>Weekday</v>
      </c>
      <c r="AF59" t="str">
        <f>INDEX('Category Mapping'!$C$2:$C$25,MATCH('Source Data'!A59,'Category Mapping'!$A$2:$A$25,0))</f>
        <v>Residential</v>
      </c>
      <c r="AG59" t="str">
        <f>INDEX('Category Mapping'!$D$2:$D$25,MATCH('Source Data'!A59,'Category Mapping'!$A$2:$A$25,0))</f>
        <v>Lighting</v>
      </c>
    </row>
    <row r="60" spans="1:33" x14ac:dyDescent="0.3">
      <c r="A60" s="58" t="s">
        <v>95</v>
      </c>
      <c r="B60" s="59">
        <v>2019</v>
      </c>
      <c r="C60" s="59">
        <v>19</v>
      </c>
      <c r="D60" s="59" t="s">
        <v>269</v>
      </c>
      <c r="E60" s="59">
        <v>10</v>
      </c>
      <c r="F60" s="59">
        <v>10900000</v>
      </c>
      <c r="G60" s="59">
        <v>10000000</v>
      </c>
      <c r="H60" s="59">
        <v>9944766</v>
      </c>
      <c r="I60" s="59">
        <v>10200000</v>
      </c>
      <c r="J60" s="59">
        <v>13100000</v>
      </c>
      <c r="K60" s="59">
        <v>22500000</v>
      </c>
      <c r="L60" s="59">
        <v>32900000</v>
      </c>
      <c r="M60" s="59">
        <v>12500000</v>
      </c>
      <c r="N60" s="59">
        <v>9980405</v>
      </c>
      <c r="O60" s="59">
        <v>9600653</v>
      </c>
      <c r="P60" s="59">
        <v>9757526</v>
      </c>
      <c r="Q60" s="59">
        <v>10700000</v>
      </c>
      <c r="R60" s="59">
        <v>11300000</v>
      </c>
      <c r="S60" s="59">
        <v>11400000</v>
      </c>
      <c r="T60" s="59">
        <v>11700000</v>
      </c>
      <c r="U60" s="59">
        <v>12700000</v>
      </c>
      <c r="V60" s="59">
        <v>17000000</v>
      </c>
      <c r="W60" s="59">
        <v>50300000</v>
      </c>
      <c r="X60" s="59">
        <v>55000000</v>
      </c>
      <c r="Y60" s="59">
        <v>59300000</v>
      </c>
      <c r="Z60" s="59">
        <v>60200000</v>
      </c>
      <c r="AA60" s="59">
        <v>49300000</v>
      </c>
      <c r="AB60" s="59">
        <v>29300000</v>
      </c>
      <c r="AC60" s="60">
        <v>15400000</v>
      </c>
      <c r="AD60" t="str">
        <f>INDEX('Category Mapping'!$G$28:$G$39,MATCH(E60,'Category Mapping'!$A$28:$A$39,0),1)</f>
        <v>Fall</v>
      </c>
      <c r="AE60" t="str">
        <f>INDEX('Category Mapping'!$B$2:$B$25,MATCH('Source Data'!A60,'Category Mapping'!$A$2:$A$25,0))</f>
        <v>Weekday</v>
      </c>
      <c r="AF60" t="str">
        <f>INDEX('Category Mapping'!$C$2:$C$25,MATCH('Source Data'!A60,'Category Mapping'!$A$2:$A$25,0))</f>
        <v>Residential</v>
      </c>
      <c r="AG60" t="str">
        <f>INDEX('Category Mapping'!$D$2:$D$25,MATCH('Source Data'!A60,'Category Mapping'!$A$2:$A$25,0))</f>
        <v>Lighting</v>
      </c>
    </row>
    <row r="61" spans="1:33" x14ac:dyDescent="0.3">
      <c r="A61" s="55" t="s">
        <v>95</v>
      </c>
      <c r="B61" s="56">
        <v>2019</v>
      </c>
      <c r="C61" s="56">
        <v>19</v>
      </c>
      <c r="D61" s="56" t="s">
        <v>269</v>
      </c>
      <c r="E61" s="56">
        <v>11</v>
      </c>
      <c r="F61" s="56">
        <v>11700000</v>
      </c>
      <c r="G61" s="56">
        <v>10700000</v>
      </c>
      <c r="H61" s="56">
        <v>10600000</v>
      </c>
      <c r="I61" s="56">
        <v>10900000</v>
      </c>
      <c r="J61" s="56">
        <v>14000000</v>
      </c>
      <c r="K61" s="56">
        <v>24100000</v>
      </c>
      <c r="L61" s="56">
        <v>35100000</v>
      </c>
      <c r="M61" s="56">
        <v>22000000</v>
      </c>
      <c r="N61" s="56">
        <v>10700000</v>
      </c>
      <c r="O61" s="56">
        <v>10300000</v>
      </c>
      <c r="P61" s="56">
        <v>10400000</v>
      </c>
      <c r="Q61" s="56">
        <v>11400000</v>
      </c>
      <c r="R61" s="56">
        <v>12100000</v>
      </c>
      <c r="S61" s="56">
        <v>12200000</v>
      </c>
      <c r="T61" s="56">
        <v>12500000</v>
      </c>
      <c r="U61" s="56">
        <v>13600000</v>
      </c>
      <c r="V61" s="56">
        <v>29800000</v>
      </c>
      <c r="W61" s="56">
        <v>53800000</v>
      </c>
      <c r="X61" s="56">
        <v>58900000</v>
      </c>
      <c r="Y61" s="56">
        <v>63400000</v>
      </c>
      <c r="Z61" s="56">
        <v>64400000</v>
      </c>
      <c r="AA61" s="56">
        <v>52700000</v>
      </c>
      <c r="AB61" s="56">
        <v>31300000</v>
      </c>
      <c r="AC61" s="57">
        <v>16500000</v>
      </c>
      <c r="AD61" t="str">
        <f>INDEX('Category Mapping'!$G$28:$G$39,MATCH(E61,'Category Mapping'!$A$28:$A$39,0),1)</f>
        <v>Winter</v>
      </c>
      <c r="AE61" t="str">
        <f>INDEX('Category Mapping'!$B$2:$B$25,MATCH('Source Data'!A61,'Category Mapping'!$A$2:$A$25,0))</f>
        <v>Weekday</v>
      </c>
      <c r="AF61" t="str">
        <f>INDEX('Category Mapping'!$C$2:$C$25,MATCH('Source Data'!A61,'Category Mapping'!$A$2:$A$25,0))</f>
        <v>Residential</v>
      </c>
      <c r="AG61" t="str">
        <f>INDEX('Category Mapping'!$D$2:$D$25,MATCH('Source Data'!A61,'Category Mapping'!$A$2:$A$25,0))</f>
        <v>Lighting</v>
      </c>
    </row>
    <row r="62" spans="1:33" x14ac:dyDescent="0.3">
      <c r="A62" s="58" t="s">
        <v>95</v>
      </c>
      <c r="B62" s="59">
        <v>2019</v>
      </c>
      <c r="C62" s="59">
        <v>19</v>
      </c>
      <c r="D62" s="59" t="s">
        <v>269</v>
      </c>
      <c r="E62" s="59">
        <v>12</v>
      </c>
      <c r="F62" s="59">
        <v>11800000</v>
      </c>
      <c r="G62" s="59">
        <v>10900000</v>
      </c>
      <c r="H62" s="59">
        <v>10800000</v>
      </c>
      <c r="I62" s="59">
        <v>11000000</v>
      </c>
      <c r="J62" s="59">
        <v>14200000</v>
      </c>
      <c r="K62" s="59">
        <v>24400000</v>
      </c>
      <c r="L62" s="59">
        <v>35700000</v>
      </c>
      <c r="M62" s="59">
        <v>36900000</v>
      </c>
      <c r="N62" s="59">
        <v>10800000</v>
      </c>
      <c r="O62" s="59">
        <v>10400000</v>
      </c>
      <c r="P62" s="59">
        <v>10600000</v>
      </c>
      <c r="Q62" s="59">
        <v>11600000</v>
      </c>
      <c r="R62" s="59">
        <v>12200000</v>
      </c>
      <c r="S62" s="59">
        <v>12400000</v>
      </c>
      <c r="T62" s="59">
        <v>12700000</v>
      </c>
      <c r="U62" s="59">
        <v>13800000</v>
      </c>
      <c r="V62" s="59">
        <v>50000000</v>
      </c>
      <c r="W62" s="59">
        <v>54600000</v>
      </c>
      <c r="X62" s="59">
        <v>59700000</v>
      </c>
      <c r="Y62" s="59">
        <v>64300000</v>
      </c>
      <c r="Z62" s="59">
        <v>65300000</v>
      </c>
      <c r="AA62" s="59">
        <v>53500000</v>
      </c>
      <c r="AB62" s="59">
        <v>31800000</v>
      </c>
      <c r="AC62" s="60">
        <v>16700000</v>
      </c>
      <c r="AD62" t="str">
        <f>INDEX('Category Mapping'!$G$28:$G$39,MATCH(E62,'Category Mapping'!$A$28:$A$39,0),1)</f>
        <v>Winter</v>
      </c>
      <c r="AE62" t="str">
        <f>INDEX('Category Mapping'!$B$2:$B$25,MATCH('Source Data'!A62,'Category Mapping'!$A$2:$A$25,0))</f>
        <v>Weekday</v>
      </c>
      <c r="AF62" t="str">
        <f>INDEX('Category Mapping'!$C$2:$C$25,MATCH('Source Data'!A62,'Category Mapping'!$A$2:$A$25,0))</f>
        <v>Residential</v>
      </c>
      <c r="AG62" t="str">
        <f>INDEX('Category Mapping'!$D$2:$D$25,MATCH('Source Data'!A62,'Category Mapping'!$A$2:$A$25,0))</f>
        <v>Lighting</v>
      </c>
    </row>
    <row r="63" spans="1:33" x14ac:dyDescent="0.3">
      <c r="A63" s="55" t="s">
        <v>96</v>
      </c>
      <c r="B63" s="56">
        <v>2019</v>
      </c>
      <c r="C63" s="56">
        <v>19</v>
      </c>
      <c r="D63" s="56" t="s">
        <v>269</v>
      </c>
      <c r="E63" s="56">
        <v>1</v>
      </c>
      <c r="F63" s="56">
        <v>6948352</v>
      </c>
      <c r="G63" s="56">
        <v>6003332</v>
      </c>
      <c r="H63" s="56">
        <v>5798140</v>
      </c>
      <c r="I63" s="56">
        <v>5793246</v>
      </c>
      <c r="J63" s="56">
        <v>6097947</v>
      </c>
      <c r="K63" s="56">
        <v>7902722</v>
      </c>
      <c r="L63" s="56">
        <v>13600000</v>
      </c>
      <c r="M63" s="56">
        <v>19200000</v>
      </c>
      <c r="N63" s="56">
        <v>7701263</v>
      </c>
      <c r="O63" s="56">
        <v>7979897</v>
      </c>
      <c r="P63" s="56">
        <v>8027498</v>
      </c>
      <c r="Q63" s="56">
        <v>8517362</v>
      </c>
      <c r="R63" s="56">
        <v>8813374</v>
      </c>
      <c r="S63" s="56">
        <v>8802082</v>
      </c>
      <c r="T63" s="56">
        <v>8709466</v>
      </c>
      <c r="U63" s="56">
        <v>8731323</v>
      </c>
      <c r="V63" s="56">
        <v>27200000</v>
      </c>
      <c r="W63" s="56">
        <v>31400000</v>
      </c>
      <c r="X63" s="56">
        <v>33200000</v>
      </c>
      <c r="Y63" s="56">
        <v>34700000</v>
      </c>
      <c r="Z63" s="56">
        <v>34500000</v>
      </c>
      <c r="AA63" s="56">
        <v>28600000</v>
      </c>
      <c r="AB63" s="56">
        <v>18400000</v>
      </c>
      <c r="AC63" s="57">
        <v>10300000</v>
      </c>
      <c r="AD63" t="str">
        <f>INDEX('Category Mapping'!$G$28:$G$39,MATCH(E63,'Category Mapping'!$A$28:$A$39,0),1)</f>
        <v>Winter</v>
      </c>
      <c r="AE63" t="str">
        <f>INDEX('Category Mapping'!$B$2:$B$25,MATCH('Source Data'!A63,'Category Mapping'!$A$2:$A$25,0))</f>
        <v>Weekend</v>
      </c>
      <c r="AF63" t="str">
        <f>INDEX('Category Mapping'!$C$2:$C$25,MATCH('Source Data'!A63,'Category Mapping'!$A$2:$A$25,0))</f>
        <v>Residential</v>
      </c>
      <c r="AG63" t="str">
        <f>INDEX('Category Mapping'!$D$2:$D$25,MATCH('Source Data'!A63,'Category Mapping'!$A$2:$A$25,0))</f>
        <v>Lighting</v>
      </c>
    </row>
    <row r="64" spans="1:33" x14ac:dyDescent="0.3">
      <c r="A64" s="58" t="s">
        <v>96</v>
      </c>
      <c r="B64" s="59">
        <v>2019</v>
      </c>
      <c r="C64" s="59">
        <v>19</v>
      </c>
      <c r="D64" s="59" t="s">
        <v>269</v>
      </c>
      <c r="E64" s="59">
        <v>2</v>
      </c>
      <c r="F64" s="59">
        <v>6774368</v>
      </c>
      <c r="G64" s="59">
        <v>5853012</v>
      </c>
      <c r="H64" s="59">
        <v>5652957</v>
      </c>
      <c r="I64" s="59">
        <v>5648185</v>
      </c>
      <c r="J64" s="59">
        <v>5945257</v>
      </c>
      <c r="K64" s="59">
        <v>7704840</v>
      </c>
      <c r="L64" s="59">
        <v>13300000</v>
      </c>
      <c r="M64" s="59">
        <v>9747728</v>
      </c>
      <c r="N64" s="59">
        <v>7508427</v>
      </c>
      <c r="O64" s="59">
        <v>7780084</v>
      </c>
      <c r="P64" s="59">
        <v>7826492</v>
      </c>
      <c r="Q64" s="59">
        <v>8304091</v>
      </c>
      <c r="R64" s="59">
        <v>8592692</v>
      </c>
      <c r="S64" s="59">
        <v>8581681</v>
      </c>
      <c r="T64" s="59">
        <v>8491385</v>
      </c>
      <c r="U64" s="59">
        <v>8512694</v>
      </c>
      <c r="V64" s="59">
        <v>13900000</v>
      </c>
      <c r="W64" s="59">
        <v>30600000</v>
      </c>
      <c r="X64" s="59">
        <v>32300000</v>
      </c>
      <c r="Y64" s="59">
        <v>33900000</v>
      </c>
      <c r="Z64" s="59">
        <v>33700000</v>
      </c>
      <c r="AA64" s="59">
        <v>27800000</v>
      </c>
      <c r="AB64" s="59">
        <v>18000000</v>
      </c>
      <c r="AC64" s="60">
        <v>10000000</v>
      </c>
      <c r="AD64" t="str">
        <f>INDEX('Category Mapping'!$G$28:$G$39,MATCH(E64,'Category Mapping'!$A$28:$A$39,0),1)</f>
        <v>Winter</v>
      </c>
      <c r="AE64" t="str">
        <f>INDEX('Category Mapping'!$B$2:$B$25,MATCH('Source Data'!A64,'Category Mapping'!$A$2:$A$25,0))</f>
        <v>Weekend</v>
      </c>
      <c r="AF64" t="str">
        <f>INDEX('Category Mapping'!$C$2:$C$25,MATCH('Source Data'!A64,'Category Mapping'!$A$2:$A$25,0))</f>
        <v>Residential</v>
      </c>
      <c r="AG64" t="str">
        <f>INDEX('Category Mapping'!$D$2:$D$25,MATCH('Source Data'!A64,'Category Mapping'!$A$2:$A$25,0))</f>
        <v>Lighting</v>
      </c>
    </row>
    <row r="65" spans="1:33" x14ac:dyDescent="0.3">
      <c r="A65" s="55" t="s">
        <v>96</v>
      </c>
      <c r="B65" s="56">
        <v>2019</v>
      </c>
      <c r="C65" s="56">
        <v>19</v>
      </c>
      <c r="D65" s="56" t="s">
        <v>269</v>
      </c>
      <c r="E65" s="56">
        <v>3</v>
      </c>
      <c r="F65" s="56">
        <v>6265754</v>
      </c>
      <c r="G65" s="56">
        <v>5413572</v>
      </c>
      <c r="H65" s="56">
        <v>5228537</v>
      </c>
      <c r="I65" s="56">
        <v>5224123</v>
      </c>
      <c r="J65" s="56">
        <v>5498891</v>
      </c>
      <c r="K65" s="56">
        <v>7126367</v>
      </c>
      <c r="L65" s="56">
        <v>12100000</v>
      </c>
      <c r="M65" s="56">
        <v>6053407</v>
      </c>
      <c r="N65" s="56">
        <v>6944700</v>
      </c>
      <c r="O65" s="56">
        <v>7195960</v>
      </c>
      <c r="P65" s="56">
        <v>7238886</v>
      </c>
      <c r="Q65" s="56">
        <v>7680626</v>
      </c>
      <c r="R65" s="56">
        <v>7947560</v>
      </c>
      <c r="S65" s="56">
        <v>7937376</v>
      </c>
      <c r="T65" s="56">
        <v>7853858</v>
      </c>
      <c r="U65" s="56">
        <v>7873568</v>
      </c>
      <c r="V65" s="56">
        <v>8601209</v>
      </c>
      <c r="W65" s="56">
        <v>27800000</v>
      </c>
      <c r="X65" s="56">
        <v>29900000</v>
      </c>
      <c r="Y65" s="56">
        <v>31300000</v>
      </c>
      <c r="Z65" s="56">
        <v>31100000</v>
      </c>
      <c r="AA65" s="56">
        <v>25800000</v>
      </c>
      <c r="AB65" s="56">
        <v>16600000</v>
      </c>
      <c r="AC65" s="57">
        <v>9284207</v>
      </c>
      <c r="AD65" t="str">
        <f>INDEX('Category Mapping'!$G$28:$G$39,MATCH(E65,'Category Mapping'!$A$28:$A$39,0),1)</f>
        <v>Spring</v>
      </c>
      <c r="AE65" t="str">
        <f>INDEX('Category Mapping'!$B$2:$B$25,MATCH('Source Data'!A65,'Category Mapping'!$A$2:$A$25,0))</f>
        <v>Weekend</v>
      </c>
      <c r="AF65" t="str">
        <f>INDEX('Category Mapping'!$C$2:$C$25,MATCH('Source Data'!A65,'Category Mapping'!$A$2:$A$25,0))</f>
        <v>Residential</v>
      </c>
      <c r="AG65" t="str">
        <f>INDEX('Category Mapping'!$D$2:$D$25,MATCH('Source Data'!A65,'Category Mapping'!$A$2:$A$25,0))</f>
        <v>Lighting</v>
      </c>
    </row>
    <row r="66" spans="1:33" x14ac:dyDescent="0.3">
      <c r="A66" s="58" t="s">
        <v>96</v>
      </c>
      <c r="B66" s="59">
        <v>2019</v>
      </c>
      <c r="C66" s="59">
        <v>19</v>
      </c>
      <c r="D66" s="59" t="s">
        <v>269</v>
      </c>
      <c r="E66" s="59">
        <v>4</v>
      </c>
      <c r="F66" s="59">
        <v>6141192</v>
      </c>
      <c r="G66" s="59">
        <v>5305951</v>
      </c>
      <c r="H66" s="59">
        <v>5124595</v>
      </c>
      <c r="I66" s="59">
        <v>5120269</v>
      </c>
      <c r="J66" s="59">
        <v>5389575</v>
      </c>
      <c r="K66" s="59">
        <v>6984697</v>
      </c>
      <c r="L66" s="59">
        <v>5739201</v>
      </c>
      <c r="M66" s="59">
        <v>5579456</v>
      </c>
      <c r="N66" s="59">
        <v>6806641</v>
      </c>
      <c r="O66" s="59">
        <v>7052907</v>
      </c>
      <c r="P66" s="59">
        <v>7094978</v>
      </c>
      <c r="Q66" s="59">
        <v>7527937</v>
      </c>
      <c r="R66" s="59">
        <v>7789564</v>
      </c>
      <c r="S66" s="59">
        <v>7779583</v>
      </c>
      <c r="T66" s="59">
        <v>7697725</v>
      </c>
      <c r="U66" s="59">
        <v>7717043</v>
      </c>
      <c r="V66" s="59">
        <v>7927779</v>
      </c>
      <c r="W66" s="59">
        <v>13200000</v>
      </c>
      <c r="X66" s="59">
        <v>29300000</v>
      </c>
      <c r="Y66" s="59">
        <v>30700000</v>
      </c>
      <c r="Z66" s="59">
        <v>30500000</v>
      </c>
      <c r="AA66" s="59">
        <v>25200000</v>
      </c>
      <c r="AB66" s="59">
        <v>16300000</v>
      </c>
      <c r="AC66" s="60">
        <v>9099641</v>
      </c>
      <c r="AD66" t="str">
        <f>INDEX('Category Mapping'!$G$28:$G$39,MATCH(E66,'Category Mapping'!$A$28:$A$39,0),1)</f>
        <v>Spring</v>
      </c>
      <c r="AE66" t="str">
        <f>INDEX('Category Mapping'!$B$2:$B$25,MATCH('Source Data'!A66,'Category Mapping'!$A$2:$A$25,0))</f>
        <v>Weekend</v>
      </c>
      <c r="AF66" t="str">
        <f>INDEX('Category Mapping'!$C$2:$C$25,MATCH('Source Data'!A66,'Category Mapping'!$A$2:$A$25,0))</f>
        <v>Residential</v>
      </c>
      <c r="AG66" t="str">
        <f>INDEX('Category Mapping'!$D$2:$D$25,MATCH('Source Data'!A66,'Category Mapping'!$A$2:$A$25,0))</f>
        <v>Lighting</v>
      </c>
    </row>
    <row r="67" spans="1:33" x14ac:dyDescent="0.3">
      <c r="A67" s="55" t="s">
        <v>96</v>
      </c>
      <c r="B67" s="56">
        <v>2019</v>
      </c>
      <c r="C67" s="56">
        <v>19</v>
      </c>
      <c r="D67" s="56" t="s">
        <v>269</v>
      </c>
      <c r="E67" s="56">
        <v>5</v>
      </c>
      <c r="F67" s="56">
        <v>5859047</v>
      </c>
      <c r="G67" s="56">
        <v>5062180</v>
      </c>
      <c r="H67" s="56">
        <v>4889156</v>
      </c>
      <c r="I67" s="56">
        <v>4885029</v>
      </c>
      <c r="J67" s="56">
        <v>5141962</v>
      </c>
      <c r="K67" s="56">
        <v>6185456</v>
      </c>
      <c r="L67" s="56">
        <v>4010750</v>
      </c>
      <c r="M67" s="56">
        <v>5323119</v>
      </c>
      <c r="N67" s="56">
        <v>6493924</v>
      </c>
      <c r="O67" s="56">
        <v>6728875</v>
      </c>
      <c r="P67" s="56">
        <v>6769014</v>
      </c>
      <c r="Q67" s="56">
        <v>7182082</v>
      </c>
      <c r="R67" s="56">
        <v>7431687</v>
      </c>
      <c r="S67" s="56">
        <v>7422165</v>
      </c>
      <c r="T67" s="56">
        <v>7344069</v>
      </c>
      <c r="U67" s="56">
        <v>7362499</v>
      </c>
      <c r="V67" s="56">
        <v>7563552</v>
      </c>
      <c r="W67" s="56">
        <v>9226705</v>
      </c>
      <c r="X67" s="56">
        <v>25900000</v>
      </c>
      <c r="Y67" s="56">
        <v>29300000</v>
      </c>
      <c r="Z67" s="56">
        <v>29100000</v>
      </c>
      <c r="AA67" s="56">
        <v>24100000</v>
      </c>
      <c r="AB67" s="56">
        <v>15500000</v>
      </c>
      <c r="AC67" s="57">
        <v>8681575</v>
      </c>
      <c r="AD67" t="str">
        <f>INDEX('Category Mapping'!$G$28:$G$39,MATCH(E67,'Category Mapping'!$A$28:$A$39,0),1)</f>
        <v>Spring</v>
      </c>
      <c r="AE67" t="str">
        <f>INDEX('Category Mapping'!$B$2:$B$25,MATCH('Source Data'!A67,'Category Mapping'!$A$2:$A$25,0))</f>
        <v>Weekend</v>
      </c>
      <c r="AF67" t="str">
        <f>INDEX('Category Mapping'!$C$2:$C$25,MATCH('Source Data'!A67,'Category Mapping'!$A$2:$A$25,0))</f>
        <v>Residential</v>
      </c>
      <c r="AG67" t="str">
        <f>INDEX('Category Mapping'!$D$2:$D$25,MATCH('Source Data'!A67,'Category Mapping'!$A$2:$A$25,0))</f>
        <v>Lighting</v>
      </c>
    </row>
    <row r="68" spans="1:33" x14ac:dyDescent="0.3">
      <c r="A68" s="58" t="s">
        <v>96</v>
      </c>
      <c r="B68" s="59">
        <v>2019</v>
      </c>
      <c r="C68" s="59">
        <v>19</v>
      </c>
      <c r="D68" s="59" t="s">
        <v>269</v>
      </c>
      <c r="E68" s="59">
        <v>6</v>
      </c>
      <c r="F68" s="59">
        <v>5896661</v>
      </c>
      <c r="G68" s="59">
        <v>5094679</v>
      </c>
      <c r="H68" s="59">
        <v>4920543</v>
      </c>
      <c r="I68" s="59">
        <v>4916390</v>
      </c>
      <c r="J68" s="59">
        <v>5174972</v>
      </c>
      <c r="K68" s="59">
        <v>4363421</v>
      </c>
      <c r="L68" s="59">
        <v>3579136</v>
      </c>
      <c r="M68" s="59">
        <v>5357293</v>
      </c>
      <c r="N68" s="59">
        <v>6535613</v>
      </c>
      <c r="O68" s="59">
        <v>6772073</v>
      </c>
      <c r="P68" s="59">
        <v>6812470</v>
      </c>
      <c r="Q68" s="59">
        <v>7228189</v>
      </c>
      <c r="R68" s="59">
        <v>7479398</v>
      </c>
      <c r="S68" s="59">
        <v>7469815</v>
      </c>
      <c r="T68" s="59">
        <v>7391217</v>
      </c>
      <c r="U68" s="59">
        <v>7409765</v>
      </c>
      <c r="V68" s="59">
        <v>7612110</v>
      </c>
      <c r="W68" s="59">
        <v>8233780</v>
      </c>
      <c r="X68" s="59">
        <v>18300000</v>
      </c>
      <c r="Y68" s="59">
        <v>29500000</v>
      </c>
      <c r="Z68" s="59">
        <v>29300000</v>
      </c>
      <c r="AA68" s="59">
        <v>24200000</v>
      </c>
      <c r="AB68" s="59">
        <v>15600000</v>
      </c>
      <c r="AC68" s="60">
        <v>8737309</v>
      </c>
      <c r="AD68" t="str">
        <f>INDEX('Category Mapping'!$G$28:$G$39,MATCH(E68,'Category Mapping'!$A$28:$A$39,0),1)</f>
        <v>Summer</v>
      </c>
      <c r="AE68" t="str">
        <f>INDEX('Category Mapping'!$B$2:$B$25,MATCH('Source Data'!A68,'Category Mapping'!$A$2:$A$25,0))</f>
        <v>Weekend</v>
      </c>
      <c r="AF68" t="str">
        <f>INDEX('Category Mapping'!$C$2:$C$25,MATCH('Source Data'!A68,'Category Mapping'!$A$2:$A$25,0))</f>
        <v>Residential</v>
      </c>
      <c r="AG68" t="str">
        <f>INDEX('Category Mapping'!$D$2:$D$25,MATCH('Source Data'!A68,'Category Mapping'!$A$2:$A$25,0))</f>
        <v>Lighting</v>
      </c>
    </row>
    <row r="69" spans="1:33" x14ac:dyDescent="0.3">
      <c r="A69" s="55" t="s">
        <v>96</v>
      </c>
      <c r="B69" s="56">
        <v>2019</v>
      </c>
      <c r="C69" s="56">
        <v>19</v>
      </c>
      <c r="D69" s="56" t="s">
        <v>269</v>
      </c>
      <c r="E69" s="56">
        <v>7</v>
      </c>
      <c r="F69" s="56">
        <v>5902495</v>
      </c>
      <c r="G69" s="56">
        <v>5099719</v>
      </c>
      <c r="H69" s="56">
        <v>4925411</v>
      </c>
      <c r="I69" s="56">
        <v>4921254</v>
      </c>
      <c r="J69" s="56">
        <v>5180092</v>
      </c>
      <c r="K69" s="56">
        <v>4816079</v>
      </c>
      <c r="L69" s="56">
        <v>3713161</v>
      </c>
      <c r="M69" s="56">
        <v>5362592</v>
      </c>
      <c r="N69" s="56">
        <v>6542079</v>
      </c>
      <c r="O69" s="56">
        <v>6778772</v>
      </c>
      <c r="P69" s="56">
        <v>6819209</v>
      </c>
      <c r="Q69" s="56">
        <v>7235339</v>
      </c>
      <c r="R69" s="56">
        <v>7486797</v>
      </c>
      <c r="S69" s="56">
        <v>7477204</v>
      </c>
      <c r="T69" s="56">
        <v>7398528</v>
      </c>
      <c r="U69" s="56">
        <v>7417095</v>
      </c>
      <c r="V69" s="56">
        <v>7619641</v>
      </c>
      <c r="W69" s="56">
        <v>8542103</v>
      </c>
      <c r="X69" s="56">
        <v>20200000</v>
      </c>
      <c r="Y69" s="56">
        <v>29500000</v>
      </c>
      <c r="Z69" s="56">
        <v>29300000</v>
      </c>
      <c r="AA69" s="56">
        <v>24300000</v>
      </c>
      <c r="AB69" s="56">
        <v>15600000</v>
      </c>
      <c r="AC69" s="57">
        <v>8745953</v>
      </c>
      <c r="AD69" t="str">
        <f>INDEX('Category Mapping'!$G$28:$G$39,MATCH(E69,'Category Mapping'!$A$28:$A$39,0),1)</f>
        <v>Summer</v>
      </c>
      <c r="AE69" t="str">
        <f>INDEX('Category Mapping'!$B$2:$B$25,MATCH('Source Data'!A69,'Category Mapping'!$A$2:$A$25,0))</f>
        <v>Weekend</v>
      </c>
      <c r="AF69" t="str">
        <f>INDEX('Category Mapping'!$C$2:$C$25,MATCH('Source Data'!A69,'Category Mapping'!$A$2:$A$25,0))</f>
        <v>Residential</v>
      </c>
      <c r="AG69" t="str">
        <f>INDEX('Category Mapping'!$D$2:$D$25,MATCH('Source Data'!A69,'Category Mapping'!$A$2:$A$25,0))</f>
        <v>Lighting</v>
      </c>
    </row>
    <row r="70" spans="1:33" x14ac:dyDescent="0.3">
      <c r="A70" s="58" t="s">
        <v>96</v>
      </c>
      <c r="B70" s="59">
        <v>2019</v>
      </c>
      <c r="C70" s="59">
        <v>19</v>
      </c>
      <c r="D70" s="59" t="s">
        <v>269</v>
      </c>
      <c r="E70" s="59">
        <v>8</v>
      </c>
      <c r="F70" s="59">
        <v>5948297</v>
      </c>
      <c r="G70" s="59">
        <v>5139291</v>
      </c>
      <c r="H70" s="59">
        <v>4963631</v>
      </c>
      <c r="I70" s="59">
        <v>4959441</v>
      </c>
      <c r="J70" s="59">
        <v>5220288</v>
      </c>
      <c r="K70" s="59">
        <v>6765307</v>
      </c>
      <c r="L70" s="59">
        <v>4559200</v>
      </c>
      <c r="M70" s="59">
        <v>5404205</v>
      </c>
      <c r="N70" s="59">
        <v>6592844</v>
      </c>
      <c r="O70" s="59">
        <v>6831374</v>
      </c>
      <c r="P70" s="59">
        <v>6872124</v>
      </c>
      <c r="Q70" s="59">
        <v>7291484</v>
      </c>
      <c r="R70" s="59">
        <v>7544893</v>
      </c>
      <c r="S70" s="59">
        <v>7535226</v>
      </c>
      <c r="T70" s="59">
        <v>7455939</v>
      </c>
      <c r="U70" s="59">
        <v>7474650</v>
      </c>
      <c r="V70" s="59">
        <v>7678766</v>
      </c>
      <c r="W70" s="59">
        <v>10500000</v>
      </c>
      <c r="X70" s="59">
        <v>28400000</v>
      </c>
      <c r="Y70" s="59">
        <v>29700000</v>
      </c>
      <c r="Z70" s="59">
        <v>29600000</v>
      </c>
      <c r="AA70" s="59">
        <v>24400000</v>
      </c>
      <c r="AB70" s="59">
        <v>15800000</v>
      </c>
      <c r="AC70" s="60">
        <v>8813820</v>
      </c>
      <c r="AD70" t="str">
        <f>INDEX('Category Mapping'!$G$28:$G$39,MATCH(E70,'Category Mapping'!$A$28:$A$39,0),1)</f>
        <v>Summer</v>
      </c>
      <c r="AE70" t="str">
        <f>INDEX('Category Mapping'!$B$2:$B$25,MATCH('Source Data'!A70,'Category Mapping'!$A$2:$A$25,0))</f>
        <v>Weekend</v>
      </c>
      <c r="AF70" t="str">
        <f>INDEX('Category Mapping'!$C$2:$C$25,MATCH('Source Data'!A70,'Category Mapping'!$A$2:$A$25,0))</f>
        <v>Residential</v>
      </c>
      <c r="AG70" t="str">
        <f>INDEX('Category Mapping'!$D$2:$D$25,MATCH('Source Data'!A70,'Category Mapping'!$A$2:$A$25,0))</f>
        <v>Lighting</v>
      </c>
    </row>
    <row r="71" spans="1:33" x14ac:dyDescent="0.3">
      <c r="A71" s="55" t="s">
        <v>96</v>
      </c>
      <c r="B71" s="56">
        <v>2019</v>
      </c>
      <c r="C71" s="56">
        <v>19</v>
      </c>
      <c r="D71" s="56" t="s">
        <v>269</v>
      </c>
      <c r="E71" s="56">
        <v>9</v>
      </c>
      <c r="F71" s="56">
        <v>6277411</v>
      </c>
      <c r="G71" s="56">
        <v>5423644</v>
      </c>
      <c r="H71" s="56">
        <v>5238265</v>
      </c>
      <c r="I71" s="56">
        <v>5233843</v>
      </c>
      <c r="J71" s="56">
        <v>5509122</v>
      </c>
      <c r="K71" s="56">
        <v>7139626</v>
      </c>
      <c r="L71" s="56">
        <v>7443108</v>
      </c>
      <c r="M71" s="56">
        <v>5703215</v>
      </c>
      <c r="N71" s="56">
        <v>6957621</v>
      </c>
      <c r="O71" s="56">
        <v>7209349</v>
      </c>
      <c r="P71" s="56">
        <v>7252354</v>
      </c>
      <c r="Q71" s="56">
        <v>7694915</v>
      </c>
      <c r="R71" s="56">
        <v>7962345</v>
      </c>
      <c r="S71" s="56">
        <v>7952143</v>
      </c>
      <c r="T71" s="56">
        <v>7868470</v>
      </c>
      <c r="U71" s="56">
        <v>7888216</v>
      </c>
      <c r="V71" s="56">
        <v>8103626</v>
      </c>
      <c r="W71" s="56">
        <v>17100000</v>
      </c>
      <c r="X71" s="56">
        <v>30000000</v>
      </c>
      <c r="Y71" s="56">
        <v>31400000</v>
      </c>
      <c r="Z71" s="56">
        <v>31200000</v>
      </c>
      <c r="AA71" s="56">
        <v>25800000</v>
      </c>
      <c r="AB71" s="56">
        <v>16600000</v>
      </c>
      <c r="AC71" s="57">
        <v>9301481</v>
      </c>
      <c r="AD71" t="str">
        <f>INDEX('Category Mapping'!$G$28:$G$39,MATCH(E71,'Category Mapping'!$A$28:$A$39,0),1)</f>
        <v>Fall</v>
      </c>
      <c r="AE71" t="str">
        <f>INDEX('Category Mapping'!$B$2:$B$25,MATCH('Source Data'!A71,'Category Mapping'!$A$2:$A$25,0))</f>
        <v>Weekend</v>
      </c>
      <c r="AF71" t="str">
        <f>INDEX('Category Mapping'!$C$2:$C$25,MATCH('Source Data'!A71,'Category Mapping'!$A$2:$A$25,0))</f>
        <v>Residential</v>
      </c>
      <c r="AG71" t="str">
        <f>INDEX('Category Mapping'!$D$2:$D$25,MATCH('Source Data'!A71,'Category Mapping'!$A$2:$A$25,0))</f>
        <v>Lighting</v>
      </c>
    </row>
    <row r="72" spans="1:33" x14ac:dyDescent="0.3">
      <c r="A72" s="58" t="s">
        <v>96</v>
      </c>
      <c r="B72" s="59">
        <v>2019</v>
      </c>
      <c r="C72" s="59">
        <v>19</v>
      </c>
      <c r="D72" s="59" t="s">
        <v>269</v>
      </c>
      <c r="E72" s="59">
        <v>10</v>
      </c>
      <c r="F72" s="59">
        <v>6486574</v>
      </c>
      <c r="G72" s="59">
        <v>5604359</v>
      </c>
      <c r="H72" s="59">
        <v>5412804</v>
      </c>
      <c r="I72" s="59">
        <v>5408235</v>
      </c>
      <c r="J72" s="59">
        <v>5692686</v>
      </c>
      <c r="K72" s="59">
        <v>7377518</v>
      </c>
      <c r="L72" s="59">
        <v>12700000</v>
      </c>
      <c r="M72" s="59">
        <v>7240305</v>
      </c>
      <c r="N72" s="59">
        <v>7189449</v>
      </c>
      <c r="O72" s="59">
        <v>7449564</v>
      </c>
      <c r="P72" s="59">
        <v>7494002</v>
      </c>
      <c r="Q72" s="59">
        <v>7951310</v>
      </c>
      <c r="R72" s="59">
        <v>8227652</v>
      </c>
      <c r="S72" s="59">
        <v>8217109</v>
      </c>
      <c r="T72" s="59">
        <v>8130648</v>
      </c>
      <c r="U72" s="59">
        <v>8151052</v>
      </c>
      <c r="V72" s="59">
        <v>10300000</v>
      </c>
      <c r="W72" s="59">
        <v>29300000</v>
      </c>
      <c r="X72" s="59">
        <v>30900000</v>
      </c>
      <c r="Y72" s="59">
        <v>32400000</v>
      </c>
      <c r="Z72" s="59">
        <v>32200000</v>
      </c>
      <c r="AA72" s="59">
        <v>26700000</v>
      </c>
      <c r="AB72" s="59">
        <v>17200000</v>
      </c>
      <c r="AC72" s="60">
        <v>9611407</v>
      </c>
      <c r="AD72" t="str">
        <f>INDEX('Category Mapping'!$G$28:$G$39,MATCH(E72,'Category Mapping'!$A$28:$A$39,0),1)</f>
        <v>Fall</v>
      </c>
      <c r="AE72" t="str">
        <f>INDEX('Category Mapping'!$B$2:$B$25,MATCH('Source Data'!A72,'Category Mapping'!$A$2:$A$25,0))</f>
        <v>Weekend</v>
      </c>
      <c r="AF72" t="str">
        <f>INDEX('Category Mapping'!$C$2:$C$25,MATCH('Source Data'!A72,'Category Mapping'!$A$2:$A$25,0))</f>
        <v>Residential</v>
      </c>
      <c r="AG72" t="str">
        <f>INDEX('Category Mapping'!$D$2:$D$25,MATCH('Source Data'!A72,'Category Mapping'!$A$2:$A$25,0))</f>
        <v>Lighting</v>
      </c>
    </row>
    <row r="73" spans="1:33" x14ac:dyDescent="0.3">
      <c r="A73" s="55" t="s">
        <v>96</v>
      </c>
      <c r="B73" s="56">
        <v>2019</v>
      </c>
      <c r="C73" s="56">
        <v>19</v>
      </c>
      <c r="D73" s="56" t="s">
        <v>269</v>
      </c>
      <c r="E73" s="56">
        <v>11</v>
      </c>
      <c r="F73" s="56">
        <v>6924355</v>
      </c>
      <c r="G73" s="56">
        <v>5982599</v>
      </c>
      <c r="H73" s="56">
        <v>5778115</v>
      </c>
      <c r="I73" s="56">
        <v>5773238</v>
      </c>
      <c r="J73" s="56">
        <v>6076887</v>
      </c>
      <c r="K73" s="56">
        <v>7875428</v>
      </c>
      <c r="L73" s="56">
        <v>13600000</v>
      </c>
      <c r="M73" s="56">
        <v>12700000</v>
      </c>
      <c r="N73" s="56">
        <v>7674665</v>
      </c>
      <c r="O73" s="56">
        <v>7952336</v>
      </c>
      <c r="P73" s="56">
        <v>7999773</v>
      </c>
      <c r="Q73" s="56">
        <v>8487946</v>
      </c>
      <c r="R73" s="56">
        <v>8782936</v>
      </c>
      <c r="S73" s="56">
        <v>8771683</v>
      </c>
      <c r="T73" s="56">
        <v>8679387</v>
      </c>
      <c r="U73" s="56">
        <v>8701168</v>
      </c>
      <c r="V73" s="56">
        <v>18000000</v>
      </c>
      <c r="W73" s="56">
        <v>31300000</v>
      </c>
      <c r="X73" s="56">
        <v>33000000</v>
      </c>
      <c r="Y73" s="56">
        <v>34600000</v>
      </c>
      <c r="Z73" s="56">
        <v>34400000</v>
      </c>
      <c r="AA73" s="56">
        <v>28500000</v>
      </c>
      <c r="AB73" s="56">
        <v>18300000</v>
      </c>
      <c r="AC73" s="57">
        <v>10300000</v>
      </c>
      <c r="AD73" t="str">
        <f>INDEX('Category Mapping'!$G$28:$G$39,MATCH(E73,'Category Mapping'!$A$28:$A$39,0),1)</f>
        <v>Winter</v>
      </c>
      <c r="AE73" t="str">
        <f>INDEX('Category Mapping'!$B$2:$B$25,MATCH('Source Data'!A73,'Category Mapping'!$A$2:$A$25,0))</f>
        <v>Weekend</v>
      </c>
      <c r="AF73" t="str">
        <f>INDEX('Category Mapping'!$C$2:$C$25,MATCH('Source Data'!A73,'Category Mapping'!$A$2:$A$25,0))</f>
        <v>Residential</v>
      </c>
      <c r="AG73" t="str">
        <f>INDEX('Category Mapping'!$D$2:$D$25,MATCH('Source Data'!A73,'Category Mapping'!$A$2:$A$25,0))</f>
        <v>Lighting</v>
      </c>
    </row>
    <row r="74" spans="1:33" x14ac:dyDescent="0.3">
      <c r="A74" s="58" t="s">
        <v>96</v>
      </c>
      <c r="B74" s="59">
        <v>2019</v>
      </c>
      <c r="C74" s="59">
        <v>19</v>
      </c>
      <c r="D74" s="59" t="s">
        <v>269</v>
      </c>
      <c r="E74" s="59">
        <v>12</v>
      </c>
      <c r="F74" s="59">
        <v>7008055</v>
      </c>
      <c r="G74" s="59">
        <v>6054916</v>
      </c>
      <c r="H74" s="59">
        <v>5847960</v>
      </c>
      <c r="I74" s="59">
        <v>5843024</v>
      </c>
      <c r="J74" s="59">
        <v>6150343</v>
      </c>
      <c r="K74" s="59">
        <v>7970625</v>
      </c>
      <c r="L74" s="59">
        <v>13800000</v>
      </c>
      <c r="M74" s="59">
        <v>21200000</v>
      </c>
      <c r="N74" s="59">
        <v>7767437</v>
      </c>
      <c r="O74" s="59">
        <v>8048464</v>
      </c>
      <c r="P74" s="59">
        <v>8096474</v>
      </c>
      <c r="Q74" s="59">
        <v>8590548</v>
      </c>
      <c r="R74" s="59">
        <v>8889103</v>
      </c>
      <c r="S74" s="59">
        <v>8877712</v>
      </c>
      <c r="T74" s="59">
        <v>8784302</v>
      </c>
      <c r="U74" s="59">
        <v>8806346</v>
      </c>
      <c r="V74" s="59">
        <v>30200000</v>
      </c>
      <c r="W74" s="59">
        <v>31700000</v>
      </c>
      <c r="X74" s="59">
        <v>33400000</v>
      </c>
      <c r="Y74" s="59">
        <v>35000000</v>
      </c>
      <c r="Z74" s="59">
        <v>34800000</v>
      </c>
      <c r="AA74" s="59">
        <v>28800000</v>
      </c>
      <c r="AB74" s="59">
        <v>18600000</v>
      </c>
      <c r="AC74" s="60">
        <v>10400000</v>
      </c>
      <c r="AD74" t="str">
        <f>INDEX('Category Mapping'!$G$28:$G$39,MATCH(E74,'Category Mapping'!$A$28:$A$39,0),1)</f>
        <v>Winter</v>
      </c>
      <c r="AE74" t="str">
        <f>INDEX('Category Mapping'!$B$2:$B$25,MATCH('Source Data'!A74,'Category Mapping'!$A$2:$A$25,0))</f>
        <v>Weekend</v>
      </c>
      <c r="AF74" t="str">
        <f>INDEX('Category Mapping'!$C$2:$C$25,MATCH('Source Data'!A74,'Category Mapping'!$A$2:$A$25,0))</f>
        <v>Residential</v>
      </c>
      <c r="AG74" t="str">
        <f>INDEX('Category Mapping'!$D$2:$D$25,MATCH('Source Data'!A74,'Category Mapping'!$A$2:$A$25,0))</f>
        <v>Lighting</v>
      </c>
    </row>
    <row r="75" spans="1:33" x14ac:dyDescent="0.3">
      <c r="A75" s="55" t="s">
        <v>97</v>
      </c>
      <c r="B75" s="56">
        <v>2019</v>
      </c>
      <c r="C75" s="56">
        <v>19</v>
      </c>
      <c r="D75" s="56" t="s">
        <v>269</v>
      </c>
      <c r="E75" s="56">
        <v>1</v>
      </c>
      <c r="F75" s="56">
        <v>5289287</v>
      </c>
      <c r="G75" s="56">
        <v>3656468</v>
      </c>
      <c r="H75" s="56">
        <v>3320863</v>
      </c>
      <c r="I75" s="56">
        <v>3245602</v>
      </c>
      <c r="J75" s="56">
        <v>4554087</v>
      </c>
      <c r="K75" s="56">
        <v>10100000</v>
      </c>
      <c r="L75" s="56">
        <v>19800000</v>
      </c>
      <c r="M75" s="56">
        <v>27300000</v>
      </c>
      <c r="N75" s="56">
        <v>18000000</v>
      </c>
      <c r="O75" s="56">
        <v>16100000</v>
      </c>
      <c r="P75" s="56">
        <v>15000000</v>
      </c>
      <c r="Q75" s="56">
        <v>12900000</v>
      </c>
      <c r="R75" s="56">
        <v>10500000</v>
      </c>
      <c r="S75" s="56">
        <v>9237531</v>
      </c>
      <c r="T75" s="56">
        <v>9075739</v>
      </c>
      <c r="U75" s="56">
        <v>9173165</v>
      </c>
      <c r="V75" s="56">
        <v>11100000</v>
      </c>
      <c r="W75" s="56">
        <v>14000000</v>
      </c>
      <c r="X75" s="56">
        <v>18000000</v>
      </c>
      <c r="Y75" s="56">
        <v>18000000</v>
      </c>
      <c r="Z75" s="56">
        <v>16200000</v>
      </c>
      <c r="AA75" s="56">
        <v>15000000</v>
      </c>
      <c r="AB75" s="56">
        <v>13200000</v>
      </c>
      <c r="AC75" s="57">
        <v>9259196</v>
      </c>
      <c r="AD75" t="str">
        <f>INDEX('Category Mapping'!$G$28:$G$39,MATCH(E75,'Category Mapping'!$A$28:$A$39,0),1)</f>
        <v>Winter</v>
      </c>
      <c r="AE75" t="str">
        <f>INDEX('Category Mapping'!$B$2:$B$25,MATCH('Source Data'!A75,'Category Mapping'!$A$2:$A$25,0))</f>
        <v>Weekday</v>
      </c>
      <c r="AF75" t="str">
        <f>INDEX('Category Mapping'!$C$2:$C$25,MATCH('Source Data'!A75,'Category Mapping'!$A$2:$A$25,0))</f>
        <v>Residential</v>
      </c>
      <c r="AG75" t="str">
        <f>INDEX('Category Mapping'!$D$2:$D$25,MATCH('Source Data'!A75,'Category Mapping'!$A$2:$A$25,0))</f>
        <v>Appliances</v>
      </c>
    </row>
    <row r="76" spans="1:33" x14ac:dyDescent="0.3">
      <c r="A76" s="58" t="s">
        <v>97</v>
      </c>
      <c r="B76" s="59">
        <v>2019</v>
      </c>
      <c r="C76" s="59">
        <v>19</v>
      </c>
      <c r="D76" s="59" t="s">
        <v>269</v>
      </c>
      <c r="E76" s="59">
        <v>2</v>
      </c>
      <c r="F76" s="59">
        <v>4961836</v>
      </c>
      <c r="G76" s="59">
        <v>3430102</v>
      </c>
      <c r="H76" s="59">
        <v>3115274</v>
      </c>
      <c r="I76" s="59">
        <v>3044672</v>
      </c>
      <c r="J76" s="59">
        <v>4272150</v>
      </c>
      <c r="K76" s="59">
        <v>9477508</v>
      </c>
      <c r="L76" s="59">
        <v>18600000</v>
      </c>
      <c r="M76" s="59">
        <v>25600000</v>
      </c>
      <c r="N76" s="59">
        <v>16900000</v>
      </c>
      <c r="O76" s="59">
        <v>15100000</v>
      </c>
      <c r="P76" s="59">
        <v>14100000</v>
      </c>
      <c r="Q76" s="59">
        <v>12100000</v>
      </c>
      <c r="R76" s="59">
        <v>9875154</v>
      </c>
      <c r="S76" s="59">
        <v>8665650</v>
      </c>
      <c r="T76" s="59">
        <v>8513874</v>
      </c>
      <c r="U76" s="59">
        <v>8605268</v>
      </c>
      <c r="V76" s="59">
        <v>10400000</v>
      </c>
      <c r="W76" s="59">
        <v>13200000</v>
      </c>
      <c r="X76" s="59">
        <v>16900000</v>
      </c>
      <c r="Y76" s="59">
        <v>16900000</v>
      </c>
      <c r="Z76" s="59">
        <v>15200000</v>
      </c>
      <c r="AA76" s="59">
        <v>14100000</v>
      </c>
      <c r="AB76" s="59">
        <v>12400000</v>
      </c>
      <c r="AC76" s="60">
        <v>8685973</v>
      </c>
      <c r="AD76" t="str">
        <f>INDEX('Category Mapping'!$G$28:$G$39,MATCH(E76,'Category Mapping'!$A$28:$A$39,0),1)</f>
        <v>Winter</v>
      </c>
      <c r="AE76" t="str">
        <f>INDEX('Category Mapping'!$B$2:$B$25,MATCH('Source Data'!A76,'Category Mapping'!$A$2:$A$25,0))</f>
        <v>Weekday</v>
      </c>
      <c r="AF76" t="str">
        <f>INDEX('Category Mapping'!$C$2:$C$25,MATCH('Source Data'!A76,'Category Mapping'!$A$2:$A$25,0))</f>
        <v>Residential</v>
      </c>
      <c r="AG76" t="str">
        <f>INDEX('Category Mapping'!$D$2:$D$25,MATCH('Source Data'!A76,'Category Mapping'!$A$2:$A$25,0))</f>
        <v>Appliances</v>
      </c>
    </row>
    <row r="77" spans="1:33" x14ac:dyDescent="0.3">
      <c r="A77" s="55" t="s">
        <v>97</v>
      </c>
      <c r="B77" s="56">
        <v>2019</v>
      </c>
      <c r="C77" s="56">
        <v>19</v>
      </c>
      <c r="D77" s="56" t="s">
        <v>269</v>
      </c>
      <c r="E77" s="56">
        <v>3</v>
      </c>
      <c r="F77" s="56">
        <v>4685614</v>
      </c>
      <c r="G77" s="56">
        <v>3239151</v>
      </c>
      <c r="H77" s="56">
        <v>2941849</v>
      </c>
      <c r="I77" s="56">
        <v>2875177</v>
      </c>
      <c r="J77" s="56">
        <v>4034323</v>
      </c>
      <c r="K77" s="56">
        <v>8949902</v>
      </c>
      <c r="L77" s="56">
        <v>17500000</v>
      </c>
      <c r="M77" s="56">
        <v>24100000</v>
      </c>
      <c r="N77" s="56">
        <v>16000000</v>
      </c>
      <c r="O77" s="56">
        <v>14300000</v>
      </c>
      <c r="P77" s="56">
        <v>13300000</v>
      </c>
      <c r="Q77" s="56">
        <v>11500000</v>
      </c>
      <c r="R77" s="56">
        <v>9325412</v>
      </c>
      <c r="S77" s="56">
        <v>8183240</v>
      </c>
      <c r="T77" s="56">
        <v>8039913</v>
      </c>
      <c r="U77" s="56">
        <v>8126220</v>
      </c>
      <c r="V77" s="56">
        <v>9822617</v>
      </c>
      <c r="W77" s="56">
        <v>12400000</v>
      </c>
      <c r="X77" s="56">
        <v>16000000</v>
      </c>
      <c r="Y77" s="56">
        <v>16000000</v>
      </c>
      <c r="Z77" s="56">
        <v>14400000</v>
      </c>
      <c r="AA77" s="56">
        <v>13300000</v>
      </c>
      <c r="AB77" s="56">
        <v>11700000</v>
      </c>
      <c r="AC77" s="57">
        <v>8202431</v>
      </c>
      <c r="AD77" t="str">
        <f>INDEX('Category Mapping'!$G$28:$G$39,MATCH(E77,'Category Mapping'!$A$28:$A$39,0),1)</f>
        <v>Spring</v>
      </c>
      <c r="AE77" t="str">
        <f>INDEX('Category Mapping'!$B$2:$B$25,MATCH('Source Data'!A77,'Category Mapping'!$A$2:$A$25,0))</f>
        <v>Weekday</v>
      </c>
      <c r="AF77" t="str">
        <f>INDEX('Category Mapping'!$C$2:$C$25,MATCH('Source Data'!A77,'Category Mapping'!$A$2:$A$25,0))</f>
        <v>Residential</v>
      </c>
      <c r="AG77" t="str">
        <f>INDEX('Category Mapping'!$D$2:$D$25,MATCH('Source Data'!A77,'Category Mapping'!$A$2:$A$25,0))</f>
        <v>Appliances</v>
      </c>
    </row>
    <row r="78" spans="1:33" x14ac:dyDescent="0.3">
      <c r="A78" s="58" t="s">
        <v>97</v>
      </c>
      <c r="B78" s="59">
        <v>2019</v>
      </c>
      <c r="C78" s="59">
        <v>19</v>
      </c>
      <c r="D78" s="59" t="s">
        <v>269</v>
      </c>
      <c r="E78" s="59">
        <v>4</v>
      </c>
      <c r="F78" s="59">
        <v>4157965</v>
      </c>
      <c r="G78" s="59">
        <v>2874388</v>
      </c>
      <c r="H78" s="59">
        <v>2610566</v>
      </c>
      <c r="I78" s="59">
        <v>2551402</v>
      </c>
      <c r="J78" s="59">
        <v>3580016</v>
      </c>
      <c r="K78" s="59">
        <v>7942049</v>
      </c>
      <c r="L78" s="59">
        <v>15600000</v>
      </c>
      <c r="M78" s="59">
        <v>21400000</v>
      </c>
      <c r="N78" s="59">
        <v>14200000</v>
      </c>
      <c r="O78" s="59">
        <v>12700000</v>
      </c>
      <c r="P78" s="59">
        <v>11800000</v>
      </c>
      <c r="Q78" s="59">
        <v>10200000</v>
      </c>
      <c r="R78" s="59">
        <v>8275273</v>
      </c>
      <c r="S78" s="59">
        <v>7261721</v>
      </c>
      <c r="T78" s="59">
        <v>7134535</v>
      </c>
      <c r="U78" s="59">
        <v>7211122</v>
      </c>
      <c r="V78" s="59">
        <v>8716487</v>
      </c>
      <c r="W78" s="59">
        <v>11000000</v>
      </c>
      <c r="X78" s="59">
        <v>14200000</v>
      </c>
      <c r="Y78" s="59">
        <v>14200000</v>
      </c>
      <c r="Z78" s="59">
        <v>12800000</v>
      </c>
      <c r="AA78" s="59">
        <v>11800000</v>
      </c>
      <c r="AB78" s="59">
        <v>10400000</v>
      </c>
      <c r="AC78" s="60">
        <v>7278752</v>
      </c>
      <c r="AD78" t="str">
        <f>INDEX('Category Mapping'!$G$28:$G$39,MATCH(E78,'Category Mapping'!$A$28:$A$39,0),1)</f>
        <v>Spring</v>
      </c>
      <c r="AE78" t="str">
        <f>INDEX('Category Mapping'!$B$2:$B$25,MATCH('Source Data'!A78,'Category Mapping'!$A$2:$A$25,0))</f>
        <v>Weekday</v>
      </c>
      <c r="AF78" t="str">
        <f>INDEX('Category Mapping'!$C$2:$C$25,MATCH('Source Data'!A78,'Category Mapping'!$A$2:$A$25,0))</f>
        <v>Residential</v>
      </c>
      <c r="AG78" t="str">
        <f>INDEX('Category Mapping'!$D$2:$D$25,MATCH('Source Data'!A78,'Category Mapping'!$A$2:$A$25,0))</f>
        <v>Appliances</v>
      </c>
    </row>
    <row r="79" spans="1:33" x14ac:dyDescent="0.3">
      <c r="A79" s="55" t="s">
        <v>97</v>
      </c>
      <c r="B79" s="56">
        <v>2019</v>
      </c>
      <c r="C79" s="56">
        <v>19</v>
      </c>
      <c r="D79" s="56" t="s">
        <v>269</v>
      </c>
      <c r="E79" s="56">
        <v>5</v>
      </c>
      <c r="F79" s="56">
        <v>3775949</v>
      </c>
      <c r="G79" s="56">
        <v>2610302</v>
      </c>
      <c r="H79" s="56">
        <v>2370718</v>
      </c>
      <c r="I79" s="56">
        <v>2316991</v>
      </c>
      <c r="J79" s="56">
        <v>3251100</v>
      </c>
      <c r="K79" s="56">
        <v>7212369</v>
      </c>
      <c r="L79" s="56">
        <v>14100000</v>
      </c>
      <c r="M79" s="56">
        <v>19500000</v>
      </c>
      <c r="N79" s="56">
        <v>12900000</v>
      </c>
      <c r="O79" s="56">
        <v>11500000</v>
      </c>
      <c r="P79" s="56">
        <v>10700000</v>
      </c>
      <c r="Q79" s="56">
        <v>9235780</v>
      </c>
      <c r="R79" s="56">
        <v>7514977</v>
      </c>
      <c r="S79" s="56">
        <v>6594546</v>
      </c>
      <c r="T79" s="56">
        <v>6479045</v>
      </c>
      <c r="U79" s="56">
        <v>6548596</v>
      </c>
      <c r="V79" s="56">
        <v>7915655</v>
      </c>
      <c r="W79" s="56">
        <v>10000000</v>
      </c>
      <c r="X79" s="56">
        <v>12900000</v>
      </c>
      <c r="Y79" s="56">
        <v>12900000</v>
      </c>
      <c r="Z79" s="56">
        <v>11600000</v>
      </c>
      <c r="AA79" s="56">
        <v>10700000</v>
      </c>
      <c r="AB79" s="56">
        <v>9444075</v>
      </c>
      <c r="AC79" s="57">
        <v>6610012</v>
      </c>
      <c r="AD79" t="str">
        <f>INDEX('Category Mapping'!$G$28:$G$39,MATCH(E79,'Category Mapping'!$A$28:$A$39,0),1)</f>
        <v>Spring</v>
      </c>
      <c r="AE79" t="str">
        <f>INDEX('Category Mapping'!$B$2:$B$25,MATCH('Source Data'!A79,'Category Mapping'!$A$2:$A$25,0))</f>
        <v>Weekday</v>
      </c>
      <c r="AF79" t="str">
        <f>INDEX('Category Mapping'!$C$2:$C$25,MATCH('Source Data'!A79,'Category Mapping'!$A$2:$A$25,0))</f>
        <v>Residential</v>
      </c>
      <c r="AG79" t="str">
        <f>INDEX('Category Mapping'!$D$2:$D$25,MATCH('Source Data'!A79,'Category Mapping'!$A$2:$A$25,0))</f>
        <v>Appliances</v>
      </c>
    </row>
    <row r="80" spans="1:33" x14ac:dyDescent="0.3">
      <c r="A80" s="58" t="s">
        <v>97</v>
      </c>
      <c r="B80" s="59">
        <v>2019</v>
      </c>
      <c r="C80" s="59">
        <v>19</v>
      </c>
      <c r="D80" s="59" t="s">
        <v>269</v>
      </c>
      <c r="E80" s="59">
        <v>6</v>
      </c>
      <c r="F80" s="59">
        <v>3643003</v>
      </c>
      <c r="G80" s="59">
        <v>2518397</v>
      </c>
      <c r="H80" s="59">
        <v>2287249</v>
      </c>
      <c r="I80" s="59">
        <v>2235413</v>
      </c>
      <c r="J80" s="59">
        <v>3136633</v>
      </c>
      <c r="K80" s="59">
        <v>6958432</v>
      </c>
      <c r="L80" s="59">
        <v>13600000</v>
      </c>
      <c r="M80" s="59">
        <v>18800000</v>
      </c>
      <c r="N80" s="59">
        <v>12400000</v>
      </c>
      <c r="O80" s="59">
        <v>11100000</v>
      </c>
      <c r="P80" s="59">
        <v>10300000</v>
      </c>
      <c r="Q80" s="59">
        <v>8910601</v>
      </c>
      <c r="R80" s="59">
        <v>7250386</v>
      </c>
      <c r="S80" s="59">
        <v>6362362</v>
      </c>
      <c r="T80" s="59">
        <v>6250927</v>
      </c>
      <c r="U80" s="59">
        <v>6318029</v>
      </c>
      <c r="V80" s="59">
        <v>7636956</v>
      </c>
      <c r="W80" s="59">
        <v>9669768</v>
      </c>
      <c r="X80" s="59">
        <v>12400000</v>
      </c>
      <c r="Y80" s="59">
        <v>12400000</v>
      </c>
      <c r="Z80" s="59">
        <v>11200000</v>
      </c>
      <c r="AA80" s="59">
        <v>10400000</v>
      </c>
      <c r="AB80" s="59">
        <v>9111562</v>
      </c>
      <c r="AC80" s="60">
        <v>6377283</v>
      </c>
      <c r="AD80" t="str">
        <f>INDEX('Category Mapping'!$G$28:$G$39,MATCH(E80,'Category Mapping'!$A$28:$A$39,0),1)</f>
        <v>Summer</v>
      </c>
      <c r="AE80" t="str">
        <f>INDEX('Category Mapping'!$B$2:$B$25,MATCH('Source Data'!A80,'Category Mapping'!$A$2:$A$25,0))</f>
        <v>Weekday</v>
      </c>
      <c r="AF80" t="str">
        <f>INDEX('Category Mapping'!$C$2:$C$25,MATCH('Source Data'!A80,'Category Mapping'!$A$2:$A$25,0))</f>
        <v>Residential</v>
      </c>
      <c r="AG80" t="str">
        <f>INDEX('Category Mapping'!$D$2:$D$25,MATCH('Source Data'!A80,'Category Mapping'!$A$2:$A$25,0))</f>
        <v>Appliances</v>
      </c>
    </row>
    <row r="81" spans="1:33" x14ac:dyDescent="0.3">
      <c r="A81" s="55" t="s">
        <v>97</v>
      </c>
      <c r="B81" s="56">
        <v>2019</v>
      </c>
      <c r="C81" s="56">
        <v>19</v>
      </c>
      <c r="D81" s="56" t="s">
        <v>269</v>
      </c>
      <c r="E81" s="56">
        <v>7</v>
      </c>
      <c r="F81" s="56">
        <v>3620801</v>
      </c>
      <c r="G81" s="56">
        <v>2503049</v>
      </c>
      <c r="H81" s="56">
        <v>2273309</v>
      </c>
      <c r="I81" s="56">
        <v>2221789</v>
      </c>
      <c r="J81" s="56">
        <v>3117517</v>
      </c>
      <c r="K81" s="56">
        <v>6916023</v>
      </c>
      <c r="L81" s="56">
        <v>13600000</v>
      </c>
      <c r="M81" s="56">
        <v>18700000</v>
      </c>
      <c r="N81" s="56">
        <v>12300000</v>
      </c>
      <c r="O81" s="56">
        <v>11000000</v>
      </c>
      <c r="P81" s="56">
        <v>10300000</v>
      </c>
      <c r="Q81" s="56">
        <v>8856295</v>
      </c>
      <c r="R81" s="56">
        <v>7206198</v>
      </c>
      <c r="S81" s="56">
        <v>6323586</v>
      </c>
      <c r="T81" s="56">
        <v>6212831</v>
      </c>
      <c r="U81" s="56">
        <v>6279524</v>
      </c>
      <c r="V81" s="56">
        <v>7590412</v>
      </c>
      <c r="W81" s="56">
        <v>9610835</v>
      </c>
      <c r="X81" s="56">
        <v>12300000</v>
      </c>
      <c r="Y81" s="56">
        <v>12400000</v>
      </c>
      <c r="Z81" s="56">
        <v>11100000</v>
      </c>
      <c r="AA81" s="56">
        <v>10300000</v>
      </c>
      <c r="AB81" s="56">
        <v>9056031</v>
      </c>
      <c r="AC81" s="57">
        <v>6338416</v>
      </c>
      <c r="AD81" t="str">
        <f>INDEX('Category Mapping'!$G$28:$G$39,MATCH(E81,'Category Mapping'!$A$28:$A$39,0),1)</f>
        <v>Summer</v>
      </c>
      <c r="AE81" t="str">
        <f>INDEX('Category Mapping'!$B$2:$B$25,MATCH('Source Data'!A81,'Category Mapping'!$A$2:$A$25,0))</f>
        <v>Weekday</v>
      </c>
      <c r="AF81" t="str">
        <f>INDEX('Category Mapping'!$C$2:$C$25,MATCH('Source Data'!A81,'Category Mapping'!$A$2:$A$25,0))</f>
        <v>Residential</v>
      </c>
      <c r="AG81" t="str">
        <f>INDEX('Category Mapping'!$D$2:$D$25,MATCH('Source Data'!A81,'Category Mapping'!$A$2:$A$25,0))</f>
        <v>Appliances</v>
      </c>
    </row>
    <row r="82" spans="1:33" x14ac:dyDescent="0.3">
      <c r="A82" s="58" t="s">
        <v>97</v>
      </c>
      <c r="B82" s="59">
        <v>2019</v>
      </c>
      <c r="C82" s="59">
        <v>19</v>
      </c>
      <c r="D82" s="59" t="s">
        <v>269</v>
      </c>
      <c r="E82" s="59">
        <v>8</v>
      </c>
      <c r="F82" s="59">
        <v>3621055</v>
      </c>
      <c r="G82" s="59">
        <v>2503224</v>
      </c>
      <c r="H82" s="59">
        <v>2273468</v>
      </c>
      <c r="I82" s="59">
        <v>2221945</v>
      </c>
      <c r="J82" s="59">
        <v>3117735</v>
      </c>
      <c r="K82" s="59">
        <v>6916508</v>
      </c>
      <c r="L82" s="59">
        <v>13600000</v>
      </c>
      <c r="M82" s="59">
        <v>18700000</v>
      </c>
      <c r="N82" s="59">
        <v>12300000</v>
      </c>
      <c r="O82" s="59">
        <v>11000000</v>
      </c>
      <c r="P82" s="59">
        <v>10300000</v>
      </c>
      <c r="Q82" s="59">
        <v>8856916</v>
      </c>
      <c r="R82" s="59">
        <v>7206703</v>
      </c>
      <c r="S82" s="59">
        <v>6324029</v>
      </c>
      <c r="T82" s="59">
        <v>6213267</v>
      </c>
      <c r="U82" s="59">
        <v>6279964</v>
      </c>
      <c r="V82" s="59">
        <v>7590945</v>
      </c>
      <c r="W82" s="59">
        <v>9611509</v>
      </c>
      <c r="X82" s="59">
        <v>12300000</v>
      </c>
      <c r="Y82" s="59">
        <v>12400000</v>
      </c>
      <c r="Z82" s="59">
        <v>11100000</v>
      </c>
      <c r="AA82" s="59">
        <v>10300000</v>
      </c>
      <c r="AB82" s="59">
        <v>9056667</v>
      </c>
      <c r="AC82" s="60">
        <v>6338861</v>
      </c>
      <c r="AD82" t="str">
        <f>INDEX('Category Mapping'!$G$28:$G$39,MATCH(E82,'Category Mapping'!$A$28:$A$39,0),1)</f>
        <v>Summer</v>
      </c>
      <c r="AE82" t="str">
        <f>INDEX('Category Mapping'!$B$2:$B$25,MATCH('Source Data'!A82,'Category Mapping'!$A$2:$A$25,0))</f>
        <v>Weekday</v>
      </c>
      <c r="AF82" t="str">
        <f>INDEX('Category Mapping'!$C$2:$C$25,MATCH('Source Data'!A82,'Category Mapping'!$A$2:$A$25,0))</f>
        <v>Residential</v>
      </c>
      <c r="AG82" t="str">
        <f>INDEX('Category Mapping'!$D$2:$D$25,MATCH('Source Data'!A82,'Category Mapping'!$A$2:$A$25,0))</f>
        <v>Appliances</v>
      </c>
    </row>
    <row r="83" spans="1:33" x14ac:dyDescent="0.3">
      <c r="A83" s="55" t="s">
        <v>97</v>
      </c>
      <c r="B83" s="56">
        <v>2019</v>
      </c>
      <c r="C83" s="56">
        <v>19</v>
      </c>
      <c r="D83" s="56" t="s">
        <v>269</v>
      </c>
      <c r="E83" s="56">
        <v>9</v>
      </c>
      <c r="F83" s="56">
        <v>3671762</v>
      </c>
      <c r="G83" s="56">
        <v>2538278</v>
      </c>
      <c r="H83" s="56">
        <v>2305305</v>
      </c>
      <c r="I83" s="56">
        <v>2253060</v>
      </c>
      <c r="J83" s="56">
        <v>3161394</v>
      </c>
      <c r="K83" s="56">
        <v>7013363</v>
      </c>
      <c r="L83" s="56">
        <v>13700000</v>
      </c>
      <c r="M83" s="56">
        <v>18900000</v>
      </c>
      <c r="N83" s="56">
        <v>12500000</v>
      </c>
      <c r="O83" s="56">
        <v>11200000</v>
      </c>
      <c r="P83" s="56">
        <v>10400000</v>
      </c>
      <c r="Q83" s="56">
        <v>8980943</v>
      </c>
      <c r="R83" s="56">
        <v>7307622</v>
      </c>
      <c r="S83" s="56">
        <v>6412587</v>
      </c>
      <c r="T83" s="56">
        <v>6300274</v>
      </c>
      <c r="U83" s="56">
        <v>6367905</v>
      </c>
      <c r="V83" s="56">
        <v>7697244</v>
      </c>
      <c r="W83" s="56">
        <v>9746103</v>
      </c>
      <c r="X83" s="56">
        <v>12500000</v>
      </c>
      <c r="Y83" s="56">
        <v>12500000</v>
      </c>
      <c r="Z83" s="56">
        <v>11300000</v>
      </c>
      <c r="AA83" s="56">
        <v>10400000</v>
      </c>
      <c r="AB83" s="56">
        <v>9183491</v>
      </c>
      <c r="AC83" s="57">
        <v>6427627</v>
      </c>
      <c r="AD83" t="str">
        <f>INDEX('Category Mapping'!$G$28:$G$39,MATCH(E83,'Category Mapping'!$A$28:$A$39,0),1)</f>
        <v>Fall</v>
      </c>
      <c r="AE83" t="str">
        <f>INDEX('Category Mapping'!$B$2:$B$25,MATCH('Source Data'!A83,'Category Mapping'!$A$2:$A$25,0))</f>
        <v>Weekday</v>
      </c>
      <c r="AF83" t="str">
        <f>INDEX('Category Mapping'!$C$2:$C$25,MATCH('Source Data'!A83,'Category Mapping'!$A$2:$A$25,0))</f>
        <v>Residential</v>
      </c>
      <c r="AG83" t="str">
        <f>INDEX('Category Mapping'!$D$2:$D$25,MATCH('Source Data'!A83,'Category Mapping'!$A$2:$A$25,0))</f>
        <v>Appliances</v>
      </c>
    </row>
    <row r="84" spans="1:33" x14ac:dyDescent="0.3">
      <c r="A84" s="58" t="s">
        <v>97</v>
      </c>
      <c r="B84" s="59">
        <v>2019</v>
      </c>
      <c r="C84" s="59">
        <v>19</v>
      </c>
      <c r="D84" s="59" t="s">
        <v>269</v>
      </c>
      <c r="E84" s="59">
        <v>10</v>
      </c>
      <c r="F84" s="59">
        <v>4010625</v>
      </c>
      <c r="G84" s="59">
        <v>2772533</v>
      </c>
      <c r="H84" s="59">
        <v>2518059</v>
      </c>
      <c r="I84" s="59">
        <v>2460992</v>
      </c>
      <c r="J84" s="59">
        <v>3453156</v>
      </c>
      <c r="K84" s="59">
        <v>7660618</v>
      </c>
      <c r="L84" s="59">
        <v>15000000</v>
      </c>
      <c r="M84" s="59">
        <v>20700000</v>
      </c>
      <c r="N84" s="59">
        <v>13700000</v>
      </c>
      <c r="O84" s="59">
        <v>12200000</v>
      </c>
      <c r="P84" s="59">
        <v>11400000</v>
      </c>
      <c r="Q84" s="59">
        <v>9809784</v>
      </c>
      <c r="R84" s="59">
        <v>7982034</v>
      </c>
      <c r="S84" s="59">
        <v>7004398</v>
      </c>
      <c r="T84" s="59">
        <v>6881719</v>
      </c>
      <c r="U84" s="59">
        <v>6955592</v>
      </c>
      <c r="V84" s="59">
        <v>8407613</v>
      </c>
      <c r="W84" s="59">
        <v>10600000</v>
      </c>
      <c r="X84" s="59">
        <v>13700000</v>
      </c>
      <c r="Y84" s="59">
        <v>13700000</v>
      </c>
      <c r="Z84" s="59">
        <v>12300000</v>
      </c>
      <c r="AA84" s="59">
        <v>11400000</v>
      </c>
      <c r="AB84" s="59">
        <v>10000000</v>
      </c>
      <c r="AC84" s="60">
        <v>7020825</v>
      </c>
      <c r="AD84" t="str">
        <f>INDEX('Category Mapping'!$G$28:$G$39,MATCH(E84,'Category Mapping'!$A$28:$A$39,0),1)</f>
        <v>Fall</v>
      </c>
      <c r="AE84" t="str">
        <f>INDEX('Category Mapping'!$B$2:$B$25,MATCH('Source Data'!A84,'Category Mapping'!$A$2:$A$25,0))</f>
        <v>Weekday</v>
      </c>
      <c r="AF84" t="str">
        <f>INDEX('Category Mapping'!$C$2:$C$25,MATCH('Source Data'!A84,'Category Mapping'!$A$2:$A$25,0))</f>
        <v>Residential</v>
      </c>
      <c r="AG84" t="str">
        <f>INDEX('Category Mapping'!$D$2:$D$25,MATCH('Source Data'!A84,'Category Mapping'!$A$2:$A$25,0))</f>
        <v>Appliances</v>
      </c>
    </row>
    <row r="85" spans="1:33" x14ac:dyDescent="0.3">
      <c r="A85" s="55" t="s">
        <v>97</v>
      </c>
      <c r="B85" s="56">
        <v>2019</v>
      </c>
      <c r="C85" s="56">
        <v>19</v>
      </c>
      <c r="D85" s="56" t="s">
        <v>269</v>
      </c>
      <c r="E85" s="56">
        <v>11</v>
      </c>
      <c r="F85" s="56">
        <v>4494989</v>
      </c>
      <c r="G85" s="56">
        <v>3107372</v>
      </c>
      <c r="H85" s="56">
        <v>2822165</v>
      </c>
      <c r="I85" s="56">
        <v>2758206</v>
      </c>
      <c r="J85" s="56">
        <v>3870194</v>
      </c>
      <c r="K85" s="56">
        <v>8585792</v>
      </c>
      <c r="L85" s="56">
        <v>16800000</v>
      </c>
      <c r="M85" s="56">
        <v>23200000</v>
      </c>
      <c r="N85" s="56">
        <v>15300000</v>
      </c>
      <c r="O85" s="56">
        <v>13700000</v>
      </c>
      <c r="P85" s="56">
        <v>12700000</v>
      </c>
      <c r="Q85" s="56">
        <v>11000000</v>
      </c>
      <c r="R85" s="56">
        <v>8946025</v>
      </c>
      <c r="S85" s="56">
        <v>7850320</v>
      </c>
      <c r="T85" s="56">
        <v>7712825</v>
      </c>
      <c r="U85" s="56">
        <v>7795620</v>
      </c>
      <c r="V85" s="56">
        <v>9423002</v>
      </c>
      <c r="W85" s="56">
        <v>11900000</v>
      </c>
      <c r="X85" s="56">
        <v>15300000</v>
      </c>
      <c r="Y85" s="56">
        <v>15300000</v>
      </c>
      <c r="Z85" s="56">
        <v>13800000</v>
      </c>
      <c r="AA85" s="56">
        <v>12800000</v>
      </c>
      <c r="AB85" s="56">
        <v>11200000</v>
      </c>
      <c r="AC85" s="57">
        <v>7868731</v>
      </c>
      <c r="AD85" t="str">
        <f>INDEX('Category Mapping'!$G$28:$G$39,MATCH(E85,'Category Mapping'!$A$28:$A$39,0),1)</f>
        <v>Winter</v>
      </c>
      <c r="AE85" t="str">
        <f>INDEX('Category Mapping'!$B$2:$B$25,MATCH('Source Data'!A85,'Category Mapping'!$A$2:$A$25,0))</f>
        <v>Weekday</v>
      </c>
      <c r="AF85" t="str">
        <f>INDEX('Category Mapping'!$C$2:$C$25,MATCH('Source Data'!A85,'Category Mapping'!$A$2:$A$25,0))</f>
        <v>Residential</v>
      </c>
      <c r="AG85" t="str">
        <f>INDEX('Category Mapping'!$D$2:$D$25,MATCH('Source Data'!A85,'Category Mapping'!$A$2:$A$25,0))</f>
        <v>Appliances</v>
      </c>
    </row>
    <row r="86" spans="1:33" x14ac:dyDescent="0.3">
      <c r="A86" s="58" t="s">
        <v>97</v>
      </c>
      <c r="B86" s="59">
        <v>2019</v>
      </c>
      <c r="C86" s="59">
        <v>19</v>
      </c>
      <c r="D86" s="59" t="s">
        <v>269</v>
      </c>
      <c r="E86" s="59">
        <v>12</v>
      </c>
      <c r="F86" s="59">
        <v>5042649</v>
      </c>
      <c r="G86" s="59">
        <v>3485968</v>
      </c>
      <c r="H86" s="59">
        <v>3166012</v>
      </c>
      <c r="I86" s="59">
        <v>3094260</v>
      </c>
      <c r="J86" s="59">
        <v>4341731</v>
      </c>
      <c r="K86" s="59">
        <v>9631867</v>
      </c>
      <c r="L86" s="59">
        <v>18900000</v>
      </c>
      <c r="M86" s="59">
        <v>26000000</v>
      </c>
      <c r="N86" s="59">
        <v>17200000</v>
      </c>
      <c r="O86" s="59">
        <v>15400000</v>
      </c>
      <c r="P86" s="59">
        <v>14300000</v>
      </c>
      <c r="Q86" s="59">
        <v>12300000</v>
      </c>
      <c r="R86" s="59">
        <v>10000000</v>
      </c>
      <c r="S86" s="59">
        <v>8806787</v>
      </c>
      <c r="T86" s="59">
        <v>8652539</v>
      </c>
      <c r="U86" s="59">
        <v>8745422</v>
      </c>
      <c r="V86" s="59">
        <v>10600000</v>
      </c>
      <c r="W86" s="59">
        <v>13400000</v>
      </c>
      <c r="X86" s="59">
        <v>17200000</v>
      </c>
      <c r="Y86" s="59">
        <v>17200000</v>
      </c>
      <c r="Z86" s="59">
        <v>15500000</v>
      </c>
      <c r="AA86" s="59">
        <v>14300000</v>
      </c>
      <c r="AB86" s="59">
        <v>12600000</v>
      </c>
      <c r="AC86" s="60">
        <v>8827441</v>
      </c>
      <c r="AD86" t="str">
        <f>INDEX('Category Mapping'!$G$28:$G$39,MATCH(E86,'Category Mapping'!$A$28:$A$39,0),1)</f>
        <v>Winter</v>
      </c>
      <c r="AE86" t="str">
        <f>INDEX('Category Mapping'!$B$2:$B$25,MATCH('Source Data'!A86,'Category Mapping'!$A$2:$A$25,0))</f>
        <v>Weekday</v>
      </c>
      <c r="AF86" t="str">
        <f>INDEX('Category Mapping'!$C$2:$C$25,MATCH('Source Data'!A86,'Category Mapping'!$A$2:$A$25,0))</f>
        <v>Residential</v>
      </c>
      <c r="AG86" t="str">
        <f>INDEX('Category Mapping'!$D$2:$D$25,MATCH('Source Data'!A86,'Category Mapping'!$A$2:$A$25,0))</f>
        <v>Appliances</v>
      </c>
    </row>
    <row r="87" spans="1:33" x14ac:dyDescent="0.3">
      <c r="A87" s="55" t="s">
        <v>98</v>
      </c>
      <c r="B87" s="56">
        <v>2019</v>
      </c>
      <c r="C87" s="56">
        <v>19</v>
      </c>
      <c r="D87" s="56" t="s">
        <v>269</v>
      </c>
      <c r="E87" s="56">
        <v>1</v>
      </c>
      <c r="F87" s="56">
        <v>4556869</v>
      </c>
      <c r="G87" s="56">
        <v>2944436</v>
      </c>
      <c r="H87" s="56">
        <v>2454087</v>
      </c>
      <c r="I87" s="56">
        <v>2274738</v>
      </c>
      <c r="J87" s="56">
        <v>2344891</v>
      </c>
      <c r="K87" s="56">
        <v>3038123</v>
      </c>
      <c r="L87" s="56">
        <v>5350823</v>
      </c>
      <c r="M87" s="56">
        <v>8349451</v>
      </c>
      <c r="N87" s="56">
        <v>12700000</v>
      </c>
      <c r="O87" s="56">
        <v>17300000</v>
      </c>
      <c r="P87" s="56">
        <v>17800000</v>
      </c>
      <c r="Q87" s="56">
        <v>16400000</v>
      </c>
      <c r="R87" s="56">
        <v>14700000</v>
      </c>
      <c r="S87" s="56">
        <v>12600000</v>
      </c>
      <c r="T87" s="56">
        <v>11600000</v>
      </c>
      <c r="U87" s="56">
        <v>10200000</v>
      </c>
      <c r="V87" s="56">
        <v>10200000</v>
      </c>
      <c r="W87" s="56">
        <v>11700000</v>
      </c>
      <c r="X87" s="56">
        <v>13300000</v>
      </c>
      <c r="Y87" s="56">
        <v>12100000</v>
      </c>
      <c r="Z87" s="56">
        <v>11300000</v>
      </c>
      <c r="AA87" s="56">
        <v>9892092</v>
      </c>
      <c r="AB87" s="56">
        <v>8590929</v>
      </c>
      <c r="AC87" s="57">
        <v>6542610</v>
      </c>
      <c r="AD87" t="str">
        <f>INDEX('Category Mapping'!$G$28:$G$39,MATCH(E87,'Category Mapping'!$A$28:$A$39,0),1)</f>
        <v>Winter</v>
      </c>
      <c r="AE87" t="str">
        <f>INDEX('Category Mapping'!$B$2:$B$25,MATCH('Source Data'!A87,'Category Mapping'!$A$2:$A$25,0))</f>
        <v>Weekend</v>
      </c>
      <c r="AF87" t="str">
        <f>INDEX('Category Mapping'!$C$2:$C$25,MATCH('Source Data'!A87,'Category Mapping'!$A$2:$A$25,0))</f>
        <v>Residential</v>
      </c>
      <c r="AG87" t="str">
        <f>INDEX('Category Mapping'!$D$2:$D$25,MATCH('Source Data'!A87,'Category Mapping'!$A$2:$A$25,0))</f>
        <v>Appliances</v>
      </c>
    </row>
    <row r="88" spans="1:33" x14ac:dyDescent="0.3">
      <c r="A88" s="58" t="s">
        <v>98</v>
      </c>
      <c r="B88" s="59">
        <v>2019</v>
      </c>
      <c r="C88" s="59">
        <v>19</v>
      </c>
      <c r="D88" s="59" t="s">
        <v>269</v>
      </c>
      <c r="E88" s="59">
        <v>2</v>
      </c>
      <c r="F88" s="59">
        <v>4274761</v>
      </c>
      <c r="G88" s="59">
        <v>2762150</v>
      </c>
      <c r="H88" s="59">
        <v>2302158</v>
      </c>
      <c r="I88" s="59">
        <v>2133912</v>
      </c>
      <c r="J88" s="59">
        <v>2199722</v>
      </c>
      <c r="K88" s="59">
        <v>2850038</v>
      </c>
      <c r="L88" s="59">
        <v>5019562</v>
      </c>
      <c r="M88" s="59">
        <v>7832549</v>
      </c>
      <c r="N88" s="59">
        <v>11900000</v>
      </c>
      <c r="O88" s="59">
        <v>16300000</v>
      </c>
      <c r="P88" s="59">
        <v>16700000</v>
      </c>
      <c r="Q88" s="59">
        <v>15400000</v>
      </c>
      <c r="R88" s="59">
        <v>13800000</v>
      </c>
      <c r="S88" s="59">
        <v>11900000</v>
      </c>
      <c r="T88" s="59">
        <v>10900000</v>
      </c>
      <c r="U88" s="59">
        <v>9528293</v>
      </c>
      <c r="V88" s="59">
        <v>9535652</v>
      </c>
      <c r="W88" s="59">
        <v>10900000</v>
      </c>
      <c r="X88" s="59">
        <v>12500000</v>
      </c>
      <c r="Y88" s="59">
        <v>11400000</v>
      </c>
      <c r="Z88" s="59">
        <v>10600000</v>
      </c>
      <c r="AA88" s="59">
        <v>9279688</v>
      </c>
      <c r="AB88" s="59">
        <v>8059077</v>
      </c>
      <c r="AC88" s="60">
        <v>6137567</v>
      </c>
      <c r="AD88" t="str">
        <f>INDEX('Category Mapping'!$G$28:$G$39,MATCH(E88,'Category Mapping'!$A$28:$A$39,0),1)</f>
        <v>Winter</v>
      </c>
      <c r="AE88" t="str">
        <f>INDEX('Category Mapping'!$B$2:$B$25,MATCH('Source Data'!A88,'Category Mapping'!$A$2:$A$25,0))</f>
        <v>Weekend</v>
      </c>
      <c r="AF88" t="str">
        <f>INDEX('Category Mapping'!$C$2:$C$25,MATCH('Source Data'!A88,'Category Mapping'!$A$2:$A$25,0))</f>
        <v>Residential</v>
      </c>
      <c r="AG88" t="str">
        <f>INDEX('Category Mapping'!$D$2:$D$25,MATCH('Source Data'!A88,'Category Mapping'!$A$2:$A$25,0))</f>
        <v>Appliances</v>
      </c>
    </row>
    <row r="89" spans="1:33" x14ac:dyDescent="0.3">
      <c r="A89" s="55" t="s">
        <v>98</v>
      </c>
      <c r="B89" s="56">
        <v>2019</v>
      </c>
      <c r="C89" s="56">
        <v>19</v>
      </c>
      <c r="D89" s="56" t="s">
        <v>269</v>
      </c>
      <c r="E89" s="56">
        <v>3</v>
      </c>
      <c r="F89" s="56">
        <v>4036788</v>
      </c>
      <c r="G89" s="56">
        <v>2608383</v>
      </c>
      <c r="H89" s="56">
        <v>2173999</v>
      </c>
      <c r="I89" s="56">
        <v>2015119</v>
      </c>
      <c r="J89" s="56">
        <v>2077265</v>
      </c>
      <c r="K89" s="56">
        <v>2691378</v>
      </c>
      <c r="L89" s="56">
        <v>4740126</v>
      </c>
      <c r="M89" s="56">
        <v>7396517</v>
      </c>
      <c r="N89" s="56">
        <v>11300000</v>
      </c>
      <c r="O89" s="56">
        <v>15400000</v>
      </c>
      <c r="P89" s="56">
        <v>15800000</v>
      </c>
      <c r="Q89" s="56">
        <v>14500000</v>
      </c>
      <c r="R89" s="56">
        <v>13000000</v>
      </c>
      <c r="S89" s="56">
        <v>11200000</v>
      </c>
      <c r="T89" s="56">
        <v>10300000</v>
      </c>
      <c r="U89" s="56">
        <v>8997860</v>
      </c>
      <c r="V89" s="56">
        <v>9004809</v>
      </c>
      <c r="W89" s="56">
        <v>10300000</v>
      </c>
      <c r="X89" s="56">
        <v>11800000</v>
      </c>
      <c r="Y89" s="56">
        <v>10700000</v>
      </c>
      <c r="Z89" s="56">
        <v>10000000</v>
      </c>
      <c r="AA89" s="56">
        <v>8763094</v>
      </c>
      <c r="AB89" s="56">
        <v>7610435</v>
      </c>
      <c r="AC89" s="57">
        <v>5795893</v>
      </c>
      <c r="AD89" t="str">
        <f>INDEX('Category Mapping'!$G$28:$G$39,MATCH(E89,'Category Mapping'!$A$28:$A$39,0),1)</f>
        <v>Spring</v>
      </c>
      <c r="AE89" t="str">
        <f>INDEX('Category Mapping'!$B$2:$B$25,MATCH('Source Data'!A89,'Category Mapping'!$A$2:$A$25,0))</f>
        <v>Weekend</v>
      </c>
      <c r="AF89" t="str">
        <f>INDEX('Category Mapping'!$C$2:$C$25,MATCH('Source Data'!A89,'Category Mapping'!$A$2:$A$25,0))</f>
        <v>Residential</v>
      </c>
      <c r="AG89" t="str">
        <f>INDEX('Category Mapping'!$D$2:$D$25,MATCH('Source Data'!A89,'Category Mapping'!$A$2:$A$25,0))</f>
        <v>Appliances</v>
      </c>
    </row>
    <row r="90" spans="1:33" x14ac:dyDescent="0.3">
      <c r="A90" s="58" t="s">
        <v>98</v>
      </c>
      <c r="B90" s="59">
        <v>2019</v>
      </c>
      <c r="C90" s="59">
        <v>19</v>
      </c>
      <c r="D90" s="59" t="s">
        <v>269</v>
      </c>
      <c r="E90" s="59">
        <v>4</v>
      </c>
      <c r="F90" s="59">
        <v>3582203</v>
      </c>
      <c r="G90" s="59">
        <v>2314652</v>
      </c>
      <c r="H90" s="59">
        <v>1929184</v>
      </c>
      <c r="I90" s="59">
        <v>1788195</v>
      </c>
      <c r="J90" s="59">
        <v>1843343</v>
      </c>
      <c r="K90" s="59">
        <v>2388301</v>
      </c>
      <c r="L90" s="59">
        <v>4206338</v>
      </c>
      <c r="M90" s="59">
        <v>6563592</v>
      </c>
      <c r="N90" s="59">
        <v>9998639</v>
      </c>
      <c r="O90" s="59">
        <v>13600000</v>
      </c>
      <c r="P90" s="59">
        <v>14000000</v>
      </c>
      <c r="Q90" s="59">
        <v>12900000</v>
      </c>
      <c r="R90" s="59">
        <v>11500000</v>
      </c>
      <c r="S90" s="59">
        <v>9931299</v>
      </c>
      <c r="T90" s="59">
        <v>9153983</v>
      </c>
      <c r="U90" s="59">
        <v>7984606</v>
      </c>
      <c r="V90" s="59">
        <v>7990773</v>
      </c>
      <c r="W90" s="59">
        <v>9172271</v>
      </c>
      <c r="X90" s="59">
        <v>10500000</v>
      </c>
      <c r="Y90" s="59">
        <v>9527472</v>
      </c>
      <c r="Z90" s="59">
        <v>8896673</v>
      </c>
      <c r="AA90" s="59">
        <v>7776278</v>
      </c>
      <c r="AB90" s="59">
        <v>6753420</v>
      </c>
      <c r="AC90" s="60">
        <v>5143214</v>
      </c>
      <c r="AD90" t="str">
        <f>INDEX('Category Mapping'!$G$28:$G$39,MATCH(E90,'Category Mapping'!$A$28:$A$39,0),1)</f>
        <v>Spring</v>
      </c>
      <c r="AE90" t="str">
        <f>INDEX('Category Mapping'!$B$2:$B$25,MATCH('Source Data'!A90,'Category Mapping'!$A$2:$A$25,0))</f>
        <v>Weekend</v>
      </c>
      <c r="AF90" t="str">
        <f>INDEX('Category Mapping'!$C$2:$C$25,MATCH('Source Data'!A90,'Category Mapping'!$A$2:$A$25,0))</f>
        <v>Residential</v>
      </c>
      <c r="AG90" t="str">
        <f>INDEX('Category Mapping'!$D$2:$D$25,MATCH('Source Data'!A90,'Category Mapping'!$A$2:$A$25,0))</f>
        <v>Appliances</v>
      </c>
    </row>
    <row r="91" spans="1:33" x14ac:dyDescent="0.3">
      <c r="A91" s="55" t="s">
        <v>98</v>
      </c>
      <c r="B91" s="56">
        <v>2019</v>
      </c>
      <c r="C91" s="56">
        <v>19</v>
      </c>
      <c r="D91" s="56" t="s">
        <v>269</v>
      </c>
      <c r="E91" s="56">
        <v>5</v>
      </c>
      <c r="F91" s="56">
        <v>3253086</v>
      </c>
      <c r="G91" s="56">
        <v>2101992</v>
      </c>
      <c r="H91" s="56">
        <v>1751939</v>
      </c>
      <c r="I91" s="56">
        <v>1623904</v>
      </c>
      <c r="J91" s="56">
        <v>1673985</v>
      </c>
      <c r="K91" s="56">
        <v>2168874</v>
      </c>
      <c r="L91" s="56">
        <v>3819879</v>
      </c>
      <c r="M91" s="56">
        <v>5960558</v>
      </c>
      <c r="N91" s="56">
        <v>9080008</v>
      </c>
      <c r="O91" s="56">
        <v>12400000</v>
      </c>
      <c r="P91" s="56">
        <v>12700000</v>
      </c>
      <c r="Q91" s="56">
        <v>11700000</v>
      </c>
      <c r="R91" s="56">
        <v>10500000</v>
      </c>
      <c r="S91" s="56">
        <v>9018855</v>
      </c>
      <c r="T91" s="56">
        <v>8312956</v>
      </c>
      <c r="U91" s="56">
        <v>7251016</v>
      </c>
      <c r="V91" s="56">
        <v>7256617</v>
      </c>
      <c r="W91" s="56">
        <v>8329563</v>
      </c>
      <c r="X91" s="56">
        <v>9491665</v>
      </c>
      <c r="Y91" s="56">
        <v>8652130</v>
      </c>
      <c r="Z91" s="56">
        <v>8079287</v>
      </c>
      <c r="AA91" s="56">
        <v>7061828</v>
      </c>
      <c r="AB91" s="56">
        <v>6132946</v>
      </c>
      <c r="AC91" s="57">
        <v>4670679</v>
      </c>
      <c r="AD91" t="str">
        <f>INDEX('Category Mapping'!$G$28:$G$39,MATCH(E91,'Category Mapping'!$A$28:$A$39,0),1)</f>
        <v>Spring</v>
      </c>
      <c r="AE91" t="str">
        <f>INDEX('Category Mapping'!$B$2:$B$25,MATCH('Source Data'!A91,'Category Mapping'!$A$2:$A$25,0))</f>
        <v>Weekend</v>
      </c>
      <c r="AF91" t="str">
        <f>INDEX('Category Mapping'!$C$2:$C$25,MATCH('Source Data'!A91,'Category Mapping'!$A$2:$A$25,0))</f>
        <v>Residential</v>
      </c>
      <c r="AG91" t="str">
        <f>INDEX('Category Mapping'!$D$2:$D$25,MATCH('Source Data'!A91,'Category Mapping'!$A$2:$A$25,0))</f>
        <v>Appliances</v>
      </c>
    </row>
    <row r="92" spans="1:33" x14ac:dyDescent="0.3">
      <c r="A92" s="58" t="s">
        <v>98</v>
      </c>
      <c r="B92" s="59">
        <v>2019</v>
      </c>
      <c r="C92" s="59">
        <v>19</v>
      </c>
      <c r="D92" s="59" t="s">
        <v>269</v>
      </c>
      <c r="E92" s="59">
        <v>6</v>
      </c>
      <c r="F92" s="59">
        <v>3138550</v>
      </c>
      <c r="G92" s="59">
        <v>2027984</v>
      </c>
      <c r="H92" s="59">
        <v>1690256</v>
      </c>
      <c r="I92" s="59">
        <v>1566728</v>
      </c>
      <c r="J92" s="59">
        <v>1615046</v>
      </c>
      <c r="K92" s="59">
        <v>2092511</v>
      </c>
      <c r="L92" s="59">
        <v>3685386</v>
      </c>
      <c r="M92" s="59">
        <v>5750695</v>
      </c>
      <c r="N92" s="59">
        <v>8760314</v>
      </c>
      <c r="O92" s="59">
        <v>11900000</v>
      </c>
      <c r="P92" s="59">
        <v>12300000</v>
      </c>
      <c r="Q92" s="59">
        <v>11300000</v>
      </c>
      <c r="R92" s="59">
        <v>10100000</v>
      </c>
      <c r="S92" s="59">
        <v>8701314</v>
      </c>
      <c r="T92" s="59">
        <v>8020269</v>
      </c>
      <c r="U92" s="59">
        <v>6995718</v>
      </c>
      <c r="V92" s="59">
        <v>7001122</v>
      </c>
      <c r="W92" s="59">
        <v>8036291</v>
      </c>
      <c r="X92" s="59">
        <v>9157477</v>
      </c>
      <c r="Y92" s="59">
        <v>8347501</v>
      </c>
      <c r="Z92" s="59">
        <v>7794826</v>
      </c>
      <c r="AA92" s="59">
        <v>6813191</v>
      </c>
      <c r="AB92" s="59">
        <v>5917013</v>
      </c>
      <c r="AC92" s="60">
        <v>4506231</v>
      </c>
      <c r="AD92" t="str">
        <f>INDEX('Category Mapping'!$G$28:$G$39,MATCH(E92,'Category Mapping'!$A$28:$A$39,0),1)</f>
        <v>Summer</v>
      </c>
      <c r="AE92" t="str">
        <f>INDEX('Category Mapping'!$B$2:$B$25,MATCH('Source Data'!A92,'Category Mapping'!$A$2:$A$25,0))</f>
        <v>Weekend</v>
      </c>
      <c r="AF92" t="str">
        <f>INDEX('Category Mapping'!$C$2:$C$25,MATCH('Source Data'!A92,'Category Mapping'!$A$2:$A$25,0))</f>
        <v>Residential</v>
      </c>
      <c r="AG92" t="str">
        <f>INDEX('Category Mapping'!$D$2:$D$25,MATCH('Source Data'!A92,'Category Mapping'!$A$2:$A$25,0))</f>
        <v>Appliances</v>
      </c>
    </row>
    <row r="93" spans="1:33" x14ac:dyDescent="0.3">
      <c r="A93" s="55" t="s">
        <v>98</v>
      </c>
      <c r="B93" s="56">
        <v>2019</v>
      </c>
      <c r="C93" s="56">
        <v>19</v>
      </c>
      <c r="D93" s="56" t="s">
        <v>269</v>
      </c>
      <c r="E93" s="56">
        <v>7</v>
      </c>
      <c r="F93" s="56">
        <v>3119421</v>
      </c>
      <c r="G93" s="56">
        <v>2015624</v>
      </c>
      <c r="H93" s="56">
        <v>1679954</v>
      </c>
      <c r="I93" s="56">
        <v>1557180</v>
      </c>
      <c r="J93" s="56">
        <v>1605203</v>
      </c>
      <c r="K93" s="56">
        <v>2079758</v>
      </c>
      <c r="L93" s="56">
        <v>3662925</v>
      </c>
      <c r="M93" s="56">
        <v>5715647</v>
      </c>
      <c r="N93" s="56">
        <v>8706924</v>
      </c>
      <c r="O93" s="56">
        <v>11900000</v>
      </c>
      <c r="P93" s="56">
        <v>12200000</v>
      </c>
      <c r="Q93" s="56">
        <v>11200000</v>
      </c>
      <c r="R93" s="56">
        <v>10100000</v>
      </c>
      <c r="S93" s="56">
        <v>8648283</v>
      </c>
      <c r="T93" s="56">
        <v>7971389</v>
      </c>
      <c r="U93" s="56">
        <v>6953082</v>
      </c>
      <c r="V93" s="56">
        <v>6958453</v>
      </c>
      <c r="W93" s="56">
        <v>7987313</v>
      </c>
      <c r="X93" s="56">
        <v>9101666</v>
      </c>
      <c r="Y93" s="56">
        <v>8296626</v>
      </c>
      <c r="Z93" s="56">
        <v>7747320</v>
      </c>
      <c r="AA93" s="56">
        <v>6771668</v>
      </c>
      <c r="AB93" s="56">
        <v>5880952</v>
      </c>
      <c r="AC93" s="57">
        <v>4478767</v>
      </c>
      <c r="AD93" t="str">
        <f>INDEX('Category Mapping'!$G$28:$G$39,MATCH(E93,'Category Mapping'!$A$28:$A$39,0),1)</f>
        <v>Summer</v>
      </c>
      <c r="AE93" t="str">
        <f>INDEX('Category Mapping'!$B$2:$B$25,MATCH('Source Data'!A93,'Category Mapping'!$A$2:$A$25,0))</f>
        <v>Weekend</v>
      </c>
      <c r="AF93" t="str">
        <f>INDEX('Category Mapping'!$C$2:$C$25,MATCH('Source Data'!A93,'Category Mapping'!$A$2:$A$25,0))</f>
        <v>Residential</v>
      </c>
      <c r="AG93" t="str">
        <f>INDEX('Category Mapping'!$D$2:$D$25,MATCH('Source Data'!A93,'Category Mapping'!$A$2:$A$25,0))</f>
        <v>Appliances</v>
      </c>
    </row>
    <row r="94" spans="1:33" x14ac:dyDescent="0.3">
      <c r="A94" s="58" t="s">
        <v>98</v>
      </c>
      <c r="B94" s="59">
        <v>2019</v>
      </c>
      <c r="C94" s="59">
        <v>19</v>
      </c>
      <c r="D94" s="59" t="s">
        <v>269</v>
      </c>
      <c r="E94" s="59">
        <v>8</v>
      </c>
      <c r="F94" s="59">
        <v>3119640</v>
      </c>
      <c r="G94" s="59">
        <v>2015766</v>
      </c>
      <c r="H94" s="59">
        <v>1680072</v>
      </c>
      <c r="I94" s="59">
        <v>1557289</v>
      </c>
      <c r="J94" s="59">
        <v>1605316</v>
      </c>
      <c r="K94" s="59">
        <v>2079904</v>
      </c>
      <c r="L94" s="59">
        <v>3663182</v>
      </c>
      <c r="M94" s="59">
        <v>5716048</v>
      </c>
      <c r="N94" s="59">
        <v>8707535</v>
      </c>
      <c r="O94" s="59">
        <v>11900000</v>
      </c>
      <c r="P94" s="59">
        <v>12200000</v>
      </c>
      <c r="Q94" s="59">
        <v>11200000</v>
      </c>
      <c r="R94" s="59">
        <v>10100000</v>
      </c>
      <c r="S94" s="59">
        <v>8648890</v>
      </c>
      <c r="T94" s="59">
        <v>7971948</v>
      </c>
      <c r="U94" s="59">
        <v>6953570</v>
      </c>
      <c r="V94" s="59">
        <v>6958941</v>
      </c>
      <c r="W94" s="59">
        <v>7987874</v>
      </c>
      <c r="X94" s="59">
        <v>9102305</v>
      </c>
      <c r="Y94" s="59">
        <v>8297209</v>
      </c>
      <c r="Z94" s="59">
        <v>7747864</v>
      </c>
      <c r="AA94" s="59">
        <v>6772143</v>
      </c>
      <c r="AB94" s="59">
        <v>5881364</v>
      </c>
      <c r="AC94" s="60">
        <v>4479082</v>
      </c>
      <c r="AD94" t="str">
        <f>INDEX('Category Mapping'!$G$28:$G$39,MATCH(E94,'Category Mapping'!$A$28:$A$39,0),1)</f>
        <v>Summer</v>
      </c>
      <c r="AE94" t="str">
        <f>INDEX('Category Mapping'!$B$2:$B$25,MATCH('Source Data'!A94,'Category Mapping'!$A$2:$A$25,0))</f>
        <v>Weekend</v>
      </c>
      <c r="AF94" t="str">
        <f>INDEX('Category Mapping'!$C$2:$C$25,MATCH('Source Data'!A94,'Category Mapping'!$A$2:$A$25,0))</f>
        <v>Residential</v>
      </c>
      <c r="AG94" t="str">
        <f>INDEX('Category Mapping'!$D$2:$D$25,MATCH('Source Data'!A94,'Category Mapping'!$A$2:$A$25,0))</f>
        <v>Appliances</v>
      </c>
    </row>
    <row r="95" spans="1:33" x14ac:dyDescent="0.3">
      <c r="A95" s="55" t="s">
        <v>98</v>
      </c>
      <c r="B95" s="56">
        <v>2019</v>
      </c>
      <c r="C95" s="56">
        <v>19</v>
      </c>
      <c r="D95" s="56" t="s">
        <v>269</v>
      </c>
      <c r="E95" s="56">
        <v>9</v>
      </c>
      <c r="F95" s="56">
        <v>3163326</v>
      </c>
      <c r="G95" s="56">
        <v>2043993</v>
      </c>
      <c r="H95" s="56">
        <v>1703599</v>
      </c>
      <c r="I95" s="56">
        <v>1579096</v>
      </c>
      <c r="J95" s="56">
        <v>1627796</v>
      </c>
      <c r="K95" s="56">
        <v>2109030</v>
      </c>
      <c r="L95" s="56">
        <v>3714479</v>
      </c>
      <c r="M95" s="56">
        <v>5796092</v>
      </c>
      <c r="N95" s="56">
        <v>8829470</v>
      </c>
      <c r="O95" s="56">
        <v>12000000</v>
      </c>
      <c r="P95" s="56">
        <v>12400000</v>
      </c>
      <c r="Q95" s="56">
        <v>11400000</v>
      </c>
      <c r="R95" s="56">
        <v>10200000</v>
      </c>
      <c r="S95" s="56">
        <v>8770004</v>
      </c>
      <c r="T95" s="56">
        <v>8083582</v>
      </c>
      <c r="U95" s="56">
        <v>7050944</v>
      </c>
      <c r="V95" s="56">
        <v>7056390</v>
      </c>
      <c r="W95" s="56">
        <v>8099731</v>
      </c>
      <c r="X95" s="56">
        <v>9229768</v>
      </c>
      <c r="Y95" s="56">
        <v>8413398</v>
      </c>
      <c r="Z95" s="56">
        <v>7856360</v>
      </c>
      <c r="AA95" s="56">
        <v>6866976</v>
      </c>
      <c r="AB95" s="56">
        <v>5963723</v>
      </c>
      <c r="AC95" s="57">
        <v>4541804</v>
      </c>
      <c r="AD95" t="str">
        <f>INDEX('Category Mapping'!$G$28:$G$39,MATCH(E95,'Category Mapping'!$A$28:$A$39,0),1)</f>
        <v>Fall</v>
      </c>
      <c r="AE95" t="str">
        <f>INDEX('Category Mapping'!$B$2:$B$25,MATCH('Source Data'!A95,'Category Mapping'!$A$2:$A$25,0))</f>
        <v>Weekend</v>
      </c>
      <c r="AF95" t="str">
        <f>INDEX('Category Mapping'!$C$2:$C$25,MATCH('Source Data'!A95,'Category Mapping'!$A$2:$A$25,0))</f>
        <v>Residential</v>
      </c>
      <c r="AG95" t="str">
        <f>INDEX('Category Mapping'!$D$2:$D$25,MATCH('Source Data'!A95,'Category Mapping'!$A$2:$A$25,0))</f>
        <v>Appliances</v>
      </c>
    </row>
    <row r="96" spans="1:33" x14ac:dyDescent="0.3">
      <c r="A96" s="58" t="s">
        <v>98</v>
      </c>
      <c r="B96" s="59">
        <v>2019</v>
      </c>
      <c r="C96" s="59">
        <v>19</v>
      </c>
      <c r="D96" s="59" t="s">
        <v>269</v>
      </c>
      <c r="E96" s="59">
        <v>10</v>
      </c>
      <c r="F96" s="59">
        <v>3455266</v>
      </c>
      <c r="G96" s="59">
        <v>2232631</v>
      </c>
      <c r="H96" s="59">
        <v>1860822</v>
      </c>
      <c r="I96" s="59">
        <v>1724829</v>
      </c>
      <c r="J96" s="59">
        <v>1778023</v>
      </c>
      <c r="K96" s="59">
        <v>2303670</v>
      </c>
      <c r="L96" s="59">
        <v>4057284</v>
      </c>
      <c r="M96" s="59">
        <v>6331007</v>
      </c>
      <c r="N96" s="59">
        <v>9644332</v>
      </c>
      <c r="O96" s="59">
        <v>13100000</v>
      </c>
      <c r="P96" s="59">
        <v>13500000</v>
      </c>
      <c r="Q96" s="59">
        <v>12500000</v>
      </c>
      <c r="R96" s="59">
        <v>11100000</v>
      </c>
      <c r="S96" s="59">
        <v>9579378</v>
      </c>
      <c r="T96" s="59">
        <v>8829607</v>
      </c>
      <c r="U96" s="59">
        <v>7701668</v>
      </c>
      <c r="V96" s="59">
        <v>7707616</v>
      </c>
      <c r="W96" s="59">
        <v>8847246</v>
      </c>
      <c r="X96" s="59">
        <v>10100000</v>
      </c>
      <c r="Y96" s="59">
        <v>9189861</v>
      </c>
      <c r="Z96" s="59">
        <v>8581415</v>
      </c>
      <c r="AA96" s="59">
        <v>7500722</v>
      </c>
      <c r="AB96" s="59">
        <v>6514109</v>
      </c>
      <c r="AC96" s="60">
        <v>4960962</v>
      </c>
      <c r="AD96" t="str">
        <f>INDEX('Category Mapping'!$G$28:$G$39,MATCH(E96,'Category Mapping'!$A$28:$A$39,0),1)</f>
        <v>Fall</v>
      </c>
      <c r="AE96" t="str">
        <f>INDEX('Category Mapping'!$B$2:$B$25,MATCH('Source Data'!A96,'Category Mapping'!$A$2:$A$25,0))</f>
        <v>Weekend</v>
      </c>
      <c r="AF96" t="str">
        <f>INDEX('Category Mapping'!$C$2:$C$25,MATCH('Source Data'!A96,'Category Mapping'!$A$2:$A$25,0))</f>
        <v>Residential</v>
      </c>
      <c r="AG96" t="str">
        <f>INDEX('Category Mapping'!$D$2:$D$25,MATCH('Source Data'!A96,'Category Mapping'!$A$2:$A$25,0))</f>
        <v>Appliances</v>
      </c>
    </row>
    <row r="97" spans="1:33" x14ac:dyDescent="0.3">
      <c r="A97" s="55" t="s">
        <v>98</v>
      </c>
      <c r="B97" s="56">
        <v>2019</v>
      </c>
      <c r="C97" s="56">
        <v>19</v>
      </c>
      <c r="D97" s="56" t="s">
        <v>269</v>
      </c>
      <c r="E97" s="56">
        <v>11</v>
      </c>
      <c r="F97" s="56">
        <v>3872559</v>
      </c>
      <c r="G97" s="56">
        <v>2502266</v>
      </c>
      <c r="H97" s="56">
        <v>2085554</v>
      </c>
      <c r="I97" s="56">
        <v>1933137</v>
      </c>
      <c r="J97" s="56">
        <v>1992755</v>
      </c>
      <c r="K97" s="56">
        <v>2581885</v>
      </c>
      <c r="L97" s="56">
        <v>4547284</v>
      </c>
      <c r="M97" s="56">
        <v>7095604</v>
      </c>
      <c r="N97" s="56">
        <v>10800000</v>
      </c>
      <c r="O97" s="56">
        <v>14700000</v>
      </c>
      <c r="P97" s="56">
        <v>15200000</v>
      </c>
      <c r="Q97" s="56">
        <v>14000000</v>
      </c>
      <c r="R97" s="56">
        <v>12500000</v>
      </c>
      <c r="S97" s="56">
        <v>10700000</v>
      </c>
      <c r="T97" s="56">
        <v>9895960</v>
      </c>
      <c r="U97" s="56">
        <v>8631799</v>
      </c>
      <c r="V97" s="56">
        <v>8638466</v>
      </c>
      <c r="W97" s="56">
        <v>9915730</v>
      </c>
      <c r="X97" s="56">
        <v>11300000</v>
      </c>
      <c r="Y97" s="56">
        <v>10300000</v>
      </c>
      <c r="Z97" s="56">
        <v>9617794</v>
      </c>
      <c r="AA97" s="56">
        <v>8406585</v>
      </c>
      <c r="AB97" s="56">
        <v>7300819</v>
      </c>
      <c r="AC97" s="57">
        <v>5560098</v>
      </c>
      <c r="AD97" t="str">
        <f>INDEX('Category Mapping'!$G$28:$G$39,MATCH(E97,'Category Mapping'!$A$28:$A$39,0),1)</f>
        <v>Winter</v>
      </c>
      <c r="AE97" t="str">
        <f>INDEX('Category Mapping'!$B$2:$B$25,MATCH('Source Data'!A97,'Category Mapping'!$A$2:$A$25,0))</f>
        <v>Weekend</v>
      </c>
      <c r="AF97" t="str">
        <f>INDEX('Category Mapping'!$C$2:$C$25,MATCH('Source Data'!A97,'Category Mapping'!$A$2:$A$25,0))</f>
        <v>Residential</v>
      </c>
      <c r="AG97" t="str">
        <f>INDEX('Category Mapping'!$D$2:$D$25,MATCH('Source Data'!A97,'Category Mapping'!$A$2:$A$25,0))</f>
        <v>Appliances</v>
      </c>
    </row>
    <row r="98" spans="1:33" x14ac:dyDescent="0.3">
      <c r="A98" s="58" t="s">
        <v>98</v>
      </c>
      <c r="B98" s="59">
        <v>2019</v>
      </c>
      <c r="C98" s="59">
        <v>19</v>
      </c>
      <c r="D98" s="59" t="s">
        <v>269</v>
      </c>
      <c r="E98" s="59">
        <v>12</v>
      </c>
      <c r="F98" s="59">
        <v>4344383</v>
      </c>
      <c r="G98" s="59">
        <v>2807137</v>
      </c>
      <c r="H98" s="59">
        <v>2339654</v>
      </c>
      <c r="I98" s="59">
        <v>2168667</v>
      </c>
      <c r="J98" s="59">
        <v>2235549</v>
      </c>
      <c r="K98" s="59">
        <v>2896456</v>
      </c>
      <c r="L98" s="59">
        <v>5101315</v>
      </c>
      <c r="M98" s="59">
        <v>7960118</v>
      </c>
      <c r="N98" s="59">
        <v>12100000</v>
      </c>
      <c r="O98" s="59">
        <v>16500000</v>
      </c>
      <c r="P98" s="59">
        <v>17000000</v>
      </c>
      <c r="Q98" s="59">
        <v>15700000</v>
      </c>
      <c r="R98" s="59">
        <v>14000000</v>
      </c>
      <c r="S98" s="59">
        <v>12000000</v>
      </c>
      <c r="T98" s="59">
        <v>11100000</v>
      </c>
      <c r="U98" s="59">
        <v>9683480</v>
      </c>
      <c r="V98" s="59">
        <v>9690959</v>
      </c>
      <c r="W98" s="59">
        <v>11100000</v>
      </c>
      <c r="X98" s="59">
        <v>12700000</v>
      </c>
      <c r="Y98" s="59">
        <v>11600000</v>
      </c>
      <c r="Z98" s="59">
        <v>10800000</v>
      </c>
      <c r="AA98" s="59">
        <v>9430826</v>
      </c>
      <c r="AB98" s="59">
        <v>8190335</v>
      </c>
      <c r="AC98" s="60">
        <v>6237529</v>
      </c>
      <c r="AD98" t="str">
        <f>INDEX('Category Mapping'!$G$28:$G$39,MATCH(E98,'Category Mapping'!$A$28:$A$39,0),1)</f>
        <v>Winter</v>
      </c>
      <c r="AE98" t="str">
        <f>INDEX('Category Mapping'!$B$2:$B$25,MATCH('Source Data'!A98,'Category Mapping'!$A$2:$A$25,0))</f>
        <v>Weekend</v>
      </c>
      <c r="AF98" t="str">
        <f>INDEX('Category Mapping'!$C$2:$C$25,MATCH('Source Data'!A98,'Category Mapping'!$A$2:$A$25,0))</f>
        <v>Residential</v>
      </c>
      <c r="AG98" t="str">
        <f>INDEX('Category Mapping'!$D$2:$D$25,MATCH('Source Data'!A98,'Category Mapping'!$A$2:$A$25,0))</f>
        <v>Appliances</v>
      </c>
    </row>
    <row r="99" spans="1:33" x14ac:dyDescent="0.3">
      <c r="A99" s="55" t="s">
        <v>99</v>
      </c>
      <c r="B99" s="56">
        <v>2019</v>
      </c>
      <c r="C99" s="56">
        <v>19</v>
      </c>
      <c r="D99" s="56" t="s">
        <v>269</v>
      </c>
      <c r="E99" s="56">
        <v>1</v>
      </c>
      <c r="F99" s="56">
        <v>35427</v>
      </c>
      <c r="G99" s="56">
        <v>33406</v>
      </c>
      <c r="H99" s="56">
        <v>32562</v>
      </c>
      <c r="I99" s="56">
        <v>32086</v>
      </c>
      <c r="J99" s="56">
        <v>31984</v>
      </c>
      <c r="K99" s="56">
        <v>32984</v>
      </c>
      <c r="L99" s="56">
        <v>36559</v>
      </c>
      <c r="M99" s="56">
        <v>43614</v>
      </c>
      <c r="N99" s="56">
        <v>53983</v>
      </c>
      <c r="O99" s="56">
        <v>60605</v>
      </c>
      <c r="P99" s="56">
        <v>64047</v>
      </c>
      <c r="Q99" s="56">
        <v>64853</v>
      </c>
      <c r="R99" s="56">
        <v>62467</v>
      </c>
      <c r="S99" s="56">
        <v>63945</v>
      </c>
      <c r="T99" s="56">
        <v>65536</v>
      </c>
      <c r="U99" s="56">
        <v>65564</v>
      </c>
      <c r="V99" s="56">
        <v>64218</v>
      </c>
      <c r="W99" s="56">
        <v>61227</v>
      </c>
      <c r="X99" s="56">
        <v>58635</v>
      </c>
      <c r="Y99" s="56">
        <v>54937</v>
      </c>
      <c r="Z99" s="56">
        <v>51826</v>
      </c>
      <c r="AA99" s="56">
        <v>48653</v>
      </c>
      <c r="AB99" s="56">
        <v>44837</v>
      </c>
      <c r="AC99" s="57">
        <v>39625</v>
      </c>
      <c r="AD99" t="str">
        <f>INDEX('Category Mapping'!$G$28:$G$39,MATCH(E99,'Category Mapping'!$A$28:$A$39,0),1)</f>
        <v>Winter</v>
      </c>
      <c r="AE99" t="str">
        <f>INDEX('Category Mapping'!$B$2:$B$25,MATCH('Source Data'!A99,'Category Mapping'!$A$2:$A$25,0))</f>
        <v>Weekday</v>
      </c>
      <c r="AF99" t="str">
        <f>INDEX('Category Mapping'!$C$2:$C$25,MATCH('Source Data'!A99,'Category Mapping'!$A$2:$A$25,0))</f>
        <v>Commercial</v>
      </c>
      <c r="AG99" t="str">
        <f>INDEX('Category Mapping'!$D$2:$D$25,MATCH('Source Data'!A99,'Category Mapping'!$A$2:$A$25,0))</f>
        <v>Cooling</v>
      </c>
    </row>
    <row r="100" spans="1:33" x14ac:dyDescent="0.3">
      <c r="A100" s="58" t="s">
        <v>99</v>
      </c>
      <c r="B100" s="59">
        <v>2019</v>
      </c>
      <c r="C100" s="59">
        <v>19</v>
      </c>
      <c r="D100" s="59" t="s">
        <v>269</v>
      </c>
      <c r="E100" s="59">
        <v>2</v>
      </c>
      <c r="F100" s="59">
        <v>39970</v>
      </c>
      <c r="G100" s="59">
        <v>37690</v>
      </c>
      <c r="H100" s="59">
        <v>36738</v>
      </c>
      <c r="I100" s="59">
        <v>36201</v>
      </c>
      <c r="J100" s="59">
        <v>36085</v>
      </c>
      <c r="K100" s="59">
        <v>37213</v>
      </c>
      <c r="L100" s="59">
        <v>41248</v>
      </c>
      <c r="M100" s="59">
        <v>49207</v>
      </c>
      <c r="N100" s="59">
        <v>60907</v>
      </c>
      <c r="O100" s="59">
        <v>68378</v>
      </c>
      <c r="P100" s="59">
        <v>72260</v>
      </c>
      <c r="Q100" s="59">
        <v>73170</v>
      </c>
      <c r="R100" s="59">
        <v>70478</v>
      </c>
      <c r="S100" s="59">
        <v>72146</v>
      </c>
      <c r="T100" s="59">
        <v>73941</v>
      </c>
      <c r="U100" s="59">
        <v>73972</v>
      </c>
      <c r="V100" s="59">
        <v>72454</v>
      </c>
      <c r="W100" s="59">
        <v>69079</v>
      </c>
      <c r="X100" s="59">
        <v>66155</v>
      </c>
      <c r="Y100" s="59">
        <v>61982</v>
      </c>
      <c r="Z100" s="59">
        <v>58472</v>
      </c>
      <c r="AA100" s="59">
        <v>54892</v>
      </c>
      <c r="AB100" s="59">
        <v>50587</v>
      </c>
      <c r="AC100" s="60">
        <v>44707</v>
      </c>
      <c r="AD100" t="str">
        <f>INDEX('Category Mapping'!$G$28:$G$39,MATCH(E100,'Category Mapping'!$A$28:$A$39,0),1)</f>
        <v>Winter</v>
      </c>
      <c r="AE100" t="str">
        <f>INDEX('Category Mapping'!$B$2:$B$25,MATCH('Source Data'!A100,'Category Mapping'!$A$2:$A$25,0))</f>
        <v>Weekday</v>
      </c>
      <c r="AF100" t="str">
        <f>INDEX('Category Mapping'!$C$2:$C$25,MATCH('Source Data'!A100,'Category Mapping'!$A$2:$A$25,0))</f>
        <v>Commercial</v>
      </c>
      <c r="AG100" t="str">
        <f>INDEX('Category Mapping'!$D$2:$D$25,MATCH('Source Data'!A100,'Category Mapping'!$A$2:$A$25,0))</f>
        <v>Cooling</v>
      </c>
    </row>
    <row r="101" spans="1:33" x14ac:dyDescent="0.3">
      <c r="A101" s="55" t="s">
        <v>99</v>
      </c>
      <c r="B101" s="56">
        <v>2019</v>
      </c>
      <c r="C101" s="56">
        <v>19</v>
      </c>
      <c r="D101" s="56" t="s">
        <v>269</v>
      </c>
      <c r="E101" s="56">
        <v>3</v>
      </c>
      <c r="F101" s="56">
        <v>89980</v>
      </c>
      <c r="G101" s="56">
        <v>84846</v>
      </c>
      <c r="H101" s="56">
        <v>82703</v>
      </c>
      <c r="I101" s="56">
        <v>81495</v>
      </c>
      <c r="J101" s="56">
        <v>81234</v>
      </c>
      <c r="K101" s="56">
        <v>83774</v>
      </c>
      <c r="L101" s="56">
        <v>92856</v>
      </c>
      <c r="M101" s="56">
        <v>110773</v>
      </c>
      <c r="N101" s="56">
        <v>137111</v>
      </c>
      <c r="O101" s="56">
        <v>153929</v>
      </c>
      <c r="P101" s="56">
        <v>162670</v>
      </c>
      <c r="Q101" s="56">
        <v>164719</v>
      </c>
      <c r="R101" s="56">
        <v>158658</v>
      </c>
      <c r="S101" s="56">
        <v>162412</v>
      </c>
      <c r="T101" s="56">
        <v>166453</v>
      </c>
      <c r="U101" s="56">
        <v>166524</v>
      </c>
      <c r="V101" s="56">
        <v>163105</v>
      </c>
      <c r="W101" s="56">
        <v>155509</v>
      </c>
      <c r="X101" s="56">
        <v>148926</v>
      </c>
      <c r="Y101" s="56">
        <v>139532</v>
      </c>
      <c r="Z101" s="56">
        <v>131631</v>
      </c>
      <c r="AA101" s="56">
        <v>123572</v>
      </c>
      <c r="AB101" s="56">
        <v>113881</v>
      </c>
      <c r="AC101" s="57">
        <v>100643</v>
      </c>
      <c r="AD101" t="str">
        <f>INDEX('Category Mapping'!$G$28:$G$39,MATCH(E101,'Category Mapping'!$A$28:$A$39,0),1)</f>
        <v>Spring</v>
      </c>
      <c r="AE101" t="str">
        <f>INDEX('Category Mapping'!$B$2:$B$25,MATCH('Source Data'!A101,'Category Mapping'!$A$2:$A$25,0))</f>
        <v>Weekday</v>
      </c>
      <c r="AF101" t="str">
        <f>INDEX('Category Mapping'!$C$2:$C$25,MATCH('Source Data'!A101,'Category Mapping'!$A$2:$A$25,0))</f>
        <v>Commercial</v>
      </c>
      <c r="AG101" t="str">
        <f>INDEX('Category Mapping'!$D$2:$D$25,MATCH('Source Data'!A101,'Category Mapping'!$A$2:$A$25,0))</f>
        <v>Cooling</v>
      </c>
    </row>
    <row r="102" spans="1:33" x14ac:dyDescent="0.3">
      <c r="A102" s="58" t="s">
        <v>99</v>
      </c>
      <c r="B102" s="59">
        <v>2019</v>
      </c>
      <c r="C102" s="59">
        <v>19</v>
      </c>
      <c r="D102" s="59" t="s">
        <v>269</v>
      </c>
      <c r="E102" s="59">
        <v>4</v>
      </c>
      <c r="F102" s="59">
        <v>425192</v>
      </c>
      <c r="G102" s="59">
        <v>400930</v>
      </c>
      <c r="H102" s="59">
        <v>390806</v>
      </c>
      <c r="I102" s="59">
        <v>385096</v>
      </c>
      <c r="J102" s="59">
        <v>383866</v>
      </c>
      <c r="K102" s="59">
        <v>395865</v>
      </c>
      <c r="L102" s="59">
        <v>438782</v>
      </c>
      <c r="M102" s="59">
        <v>523448</v>
      </c>
      <c r="N102" s="59">
        <v>647905</v>
      </c>
      <c r="O102" s="59">
        <v>727380</v>
      </c>
      <c r="P102" s="59">
        <v>768684</v>
      </c>
      <c r="Q102" s="59">
        <v>778365</v>
      </c>
      <c r="R102" s="59">
        <v>749794</v>
      </c>
      <c r="S102" s="59">
        <v>769890</v>
      </c>
      <c r="T102" s="59">
        <v>791062</v>
      </c>
      <c r="U102" s="59">
        <v>789317</v>
      </c>
      <c r="V102" s="59">
        <v>770811</v>
      </c>
      <c r="W102" s="59">
        <v>734843</v>
      </c>
      <c r="X102" s="59">
        <v>703736</v>
      </c>
      <c r="Y102" s="59">
        <v>659344</v>
      </c>
      <c r="Z102" s="59">
        <v>622011</v>
      </c>
      <c r="AA102" s="59">
        <v>583928</v>
      </c>
      <c r="AB102" s="59">
        <v>538132</v>
      </c>
      <c r="AC102" s="60">
        <v>475578</v>
      </c>
      <c r="AD102" t="str">
        <f>INDEX('Category Mapping'!$G$28:$G$39,MATCH(E102,'Category Mapping'!$A$28:$A$39,0),1)</f>
        <v>Spring</v>
      </c>
      <c r="AE102" t="str">
        <f>INDEX('Category Mapping'!$B$2:$B$25,MATCH('Source Data'!A102,'Category Mapping'!$A$2:$A$25,0))</f>
        <v>Weekday</v>
      </c>
      <c r="AF102" t="str">
        <f>INDEX('Category Mapping'!$C$2:$C$25,MATCH('Source Data'!A102,'Category Mapping'!$A$2:$A$25,0))</f>
        <v>Commercial</v>
      </c>
      <c r="AG102" t="str">
        <f>INDEX('Category Mapping'!$D$2:$D$25,MATCH('Source Data'!A102,'Category Mapping'!$A$2:$A$25,0))</f>
        <v>Cooling</v>
      </c>
    </row>
    <row r="103" spans="1:33" x14ac:dyDescent="0.3">
      <c r="A103" s="55" t="s">
        <v>99</v>
      </c>
      <c r="B103" s="56">
        <v>2019</v>
      </c>
      <c r="C103" s="56">
        <v>19</v>
      </c>
      <c r="D103" s="56" t="s">
        <v>269</v>
      </c>
      <c r="E103" s="56">
        <v>5</v>
      </c>
      <c r="F103" s="56">
        <v>7378556</v>
      </c>
      <c r="G103" s="56">
        <v>6957531</v>
      </c>
      <c r="H103" s="56">
        <v>6781846</v>
      </c>
      <c r="I103" s="56">
        <v>6682746</v>
      </c>
      <c r="J103" s="56">
        <v>6661407</v>
      </c>
      <c r="K103" s="56">
        <v>6869632</v>
      </c>
      <c r="L103" s="56">
        <v>7614378</v>
      </c>
      <c r="M103" s="56">
        <v>9083633</v>
      </c>
      <c r="N103" s="56">
        <v>11300000</v>
      </c>
      <c r="O103" s="56">
        <v>13500000</v>
      </c>
      <c r="P103" s="56">
        <v>15300000</v>
      </c>
      <c r="Q103" s="56">
        <v>16600000</v>
      </c>
      <c r="R103" s="56">
        <v>17000000</v>
      </c>
      <c r="S103" s="56">
        <v>17800000</v>
      </c>
      <c r="T103" s="56">
        <v>18400000</v>
      </c>
      <c r="U103" s="56">
        <v>18200000</v>
      </c>
      <c r="V103" s="56">
        <v>17300000</v>
      </c>
      <c r="W103" s="56">
        <v>15800000</v>
      </c>
      <c r="X103" s="56">
        <v>14200000</v>
      </c>
      <c r="Y103" s="56">
        <v>12300000</v>
      </c>
      <c r="Z103" s="56">
        <v>10800000</v>
      </c>
      <c r="AA103" s="56">
        <v>10100000</v>
      </c>
      <c r="AB103" s="56">
        <v>9338463</v>
      </c>
      <c r="AC103" s="57">
        <v>8252918</v>
      </c>
      <c r="AD103" t="str">
        <f>INDEX('Category Mapping'!$G$28:$G$39,MATCH(E103,'Category Mapping'!$A$28:$A$39,0),1)</f>
        <v>Spring</v>
      </c>
      <c r="AE103" t="str">
        <f>INDEX('Category Mapping'!$B$2:$B$25,MATCH('Source Data'!A103,'Category Mapping'!$A$2:$A$25,0))</f>
        <v>Weekday</v>
      </c>
      <c r="AF103" t="str">
        <f>INDEX('Category Mapping'!$C$2:$C$25,MATCH('Source Data'!A103,'Category Mapping'!$A$2:$A$25,0))</f>
        <v>Commercial</v>
      </c>
      <c r="AG103" t="str">
        <f>INDEX('Category Mapping'!$D$2:$D$25,MATCH('Source Data'!A103,'Category Mapping'!$A$2:$A$25,0))</f>
        <v>Cooling</v>
      </c>
    </row>
    <row r="104" spans="1:33" x14ac:dyDescent="0.3">
      <c r="A104" s="58" t="s">
        <v>99</v>
      </c>
      <c r="B104" s="59">
        <v>2019</v>
      </c>
      <c r="C104" s="59">
        <v>19</v>
      </c>
      <c r="D104" s="59" t="s">
        <v>269</v>
      </c>
      <c r="E104" s="59">
        <v>6</v>
      </c>
      <c r="F104" s="59">
        <v>67600000</v>
      </c>
      <c r="G104" s="59">
        <v>62800000</v>
      </c>
      <c r="H104" s="59">
        <v>61000000</v>
      </c>
      <c r="I104" s="59">
        <v>60400000</v>
      </c>
      <c r="J104" s="59">
        <v>61300000</v>
      </c>
      <c r="K104" s="59">
        <v>66400000</v>
      </c>
      <c r="L104" s="59">
        <v>79700000</v>
      </c>
      <c r="M104" s="59">
        <v>102000000</v>
      </c>
      <c r="N104" s="59">
        <v>131000000</v>
      </c>
      <c r="O104" s="59">
        <v>154000000</v>
      </c>
      <c r="P104" s="59">
        <v>170000000</v>
      </c>
      <c r="Q104" s="59">
        <v>180000000</v>
      </c>
      <c r="R104" s="59">
        <v>183000000</v>
      </c>
      <c r="S104" s="59">
        <v>190000000</v>
      </c>
      <c r="T104" s="59">
        <v>194000000</v>
      </c>
      <c r="U104" s="59">
        <v>193000000</v>
      </c>
      <c r="V104" s="59">
        <v>186000000</v>
      </c>
      <c r="W104" s="59">
        <v>174000000</v>
      </c>
      <c r="X104" s="59">
        <v>160000000</v>
      </c>
      <c r="Y104" s="59">
        <v>143000000</v>
      </c>
      <c r="Z104" s="59">
        <v>127000000</v>
      </c>
      <c r="AA104" s="59">
        <v>111000000</v>
      </c>
      <c r="AB104" s="59">
        <v>94800000</v>
      </c>
      <c r="AC104" s="60">
        <v>78400000</v>
      </c>
      <c r="AD104" t="str">
        <f>INDEX('Category Mapping'!$G$28:$G$39,MATCH(E104,'Category Mapping'!$A$28:$A$39,0),1)</f>
        <v>Summer</v>
      </c>
      <c r="AE104" t="str">
        <f>INDEX('Category Mapping'!$B$2:$B$25,MATCH('Source Data'!A104,'Category Mapping'!$A$2:$A$25,0))</f>
        <v>Weekday</v>
      </c>
      <c r="AF104" t="str">
        <f>INDEX('Category Mapping'!$C$2:$C$25,MATCH('Source Data'!A104,'Category Mapping'!$A$2:$A$25,0))</f>
        <v>Commercial</v>
      </c>
      <c r="AG104" t="str">
        <f>INDEX('Category Mapping'!$D$2:$D$25,MATCH('Source Data'!A104,'Category Mapping'!$A$2:$A$25,0))</f>
        <v>Cooling</v>
      </c>
    </row>
    <row r="105" spans="1:33" x14ac:dyDescent="0.3">
      <c r="A105" s="55" t="s">
        <v>99</v>
      </c>
      <c r="B105" s="56">
        <v>2019</v>
      </c>
      <c r="C105" s="56">
        <v>19</v>
      </c>
      <c r="D105" s="56" t="s">
        <v>269</v>
      </c>
      <c r="E105" s="56">
        <v>7</v>
      </c>
      <c r="F105" s="56">
        <v>214000000</v>
      </c>
      <c r="G105" s="56">
        <v>199000000</v>
      </c>
      <c r="H105" s="56">
        <v>193000000</v>
      </c>
      <c r="I105" s="56">
        <v>194000000</v>
      </c>
      <c r="J105" s="56">
        <v>200000000</v>
      </c>
      <c r="K105" s="56">
        <v>214000000</v>
      </c>
      <c r="L105" s="56">
        <v>242000000</v>
      </c>
      <c r="M105" s="56">
        <v>287000000</v>
      </c>
      <c r="N105" s="56">
        <v>347000000</v>
      </c>
      <c r="O105" s="56">
        <v>391000000</v>
      </c>
      <c r="P105" s="56">
        <v>422000000</v>
      </c>
      <c r="Q105" s="56">
        <v>440000000</v>
      </c>
      <c r="R105" s="56">
        <v>441000000</v>
      </c>
      <c r="S105" s="56">
        <v>454000000</v>
      </c>
      <c r="T105" s="56">
        <v>463000000</v>
      </c>
      <c r="U105" s="56">
        <v>461000000</v>
      </c>
      <c r="V105" s="56">
        <v>448000000</v>
      </c>
      <c r="W105" s="56">
        <v>425000000</v>
      </c>
      <c r="X105" s="56">
        <v>400000000</v>
      </c>
      <c r="Y105" s="56">
        <v>368000000</v>
      </c>
      <c r="Z105" s="56">
        <v>338000000</v>
      </c>
      <c r="AA105" s="56">
        <v>307000000</v>
      </c>
      <c r="AB105" s="56">
        <v>276000000</v>
      </c>
      <c r="AC105" s="57">
        <v>241000000</v>
      </c>
      <c r="AD105" t="str">
        <f>INDEX('Category Mapping'!$G$28:$G$39,MATCH(E105,'Category Mapping'!$A$28:$A$39,0),1)</f>
        <v>Summer</v>
      </c>
      <c r="AE105" t="str">
        <f>INDEX('Category Mapping'!$B$2:$B$25,MATCH('Source Data'!A105,'Category Mapping'!$A$2:$A$25,0))</f>
        <v>Weekday</v>
      </c>
      <c r="AF105" t="str">
        <f>INDEX('Category Mapping'!$C$2:$C$25,MATCH('Source Data'!A105,'Category Mapping'!$A$2:$A$25,0))</f>
        <v>Commercial</v>
      </c>
      <c r="AG105" t="str">
        <f>INDEX('Category Mapping'!$D$2:$D$25,MATCH('Source Data'!A105,'Category Mapping'!$A$2:$A$25,0))</f>
        <v>Cooling</v>
      </c>
    </row>
    <row r="106" spans="1:33" x14ac:dyDescent="0.3">
      <c r="A106" s="58" t="s">
        <v>99</v>
      </c>
      <c r="B106" s="59">
        <v>2019</v>
      </c>
      <c r="C106" s="59">
        <v>19</v>
      </c>
      <c r="D106" s="59" t="s">
        <v>269</v>
      </c>
      <c r="E106" s="59">
        <v>8</v>
      </c>
      <c r="F106" s="59">
        <v>237000000</v>
      </c>
      <c r="G106" s="59">
        <v>220000000</v>
      </c>
      <c r="H106" s="59">
        <v>213000000</v>
      </c>
      <c r="I106" s="59">
        <v>214000000</v>
      </c>
      <c r="J106" s="59">
        <v>222000000</v>
      </c>
      <c r="K106" s="59">
        <v>240000000</v>
      </c>
      <c r="L106" s="59">
        <v>274000000</v>
      </c>
      <c r="M106" s="59">
        <v>327000000</v>
      </c>
      <c r="N106" s="59">
        <v>397000000</v>
      </c>
      <c r="O106" s="59">
        <v>451000000</v>
      </c>
      <c r="P106" s="59">
        <v>489000000</v>
      </c>
      <c r="Q106" s="59">
        <v>511000000</v>
      </c>
      <c r="R106" s="59">
        <v>515000000</v>
      </c>
      <c r="S106" s="59">
        <v>530000000</v>
      </c>
      <c r="T106" s="59">
        <v>541000000</v>
      </c>
      <c r="U106" s="59">
        <v>538000000</v>
      </c>
      <c r="V106" s="59">
        <v>523000000</v>
      </c>
      <c r="W106" s="59">
        <v>494000000</v>
      </c>
      <c r="X106" s="59">
        <v>464000000</v>
      </c>
      <c r="Y106" s="59">
        <v>425000000</v>
      </c>
      <c r="Z106" s="59">
        <v>388000000</v>
      </c>
      <c r="AA106" s="59">
        <v>350000000</v>
      </c>
      <c r="AB106" s="59">
        <v>312000000</v>
      </c>
      <c r="AC106" s="60">
        <v>270000000</v>
      </c>
      <c r="AD106" t="str">
        <f>INDEX('Category Mapping'!$G$28:$G$39,MATCH(E106,'Category Mapping'!$A$28:$A$39,0),1)</f>
        <v>Summer</v>
      </c>
      <c r="AE106" t="str">
        <f>INDEX('Category Mapping'!$B$2:$B$25,MATCH('Source Data'!A106,'Category Mapping'!$A$2:$A$25,0))</f>
        <v>Weekday</v>
      </c>
      <c r="AF106" t="str">
        <f>INDEX('Category Mapping'!$C$2:$C$25,MATCH('Source Data'!A106,'Category Mapping'!$A$2:$A$25,0))</f>
        <v>Commercial</v>
      </c>
      <c r="AG106" t="str">
        <f>INDEX('Category Mapping'!$D$2:$D$25,MATCH('Source Data'!A106,'Category Mapping'!$A$2:$A$25,0))</f>
        <v>Cooling</v>
      </c>
    </row>
    <row r="107" spans="1:33" x14ac:dyDescent="0.3">
      <c r="A107" s="55" t="s">
        <v>99</v>
      </c>
      <c r="B107" s="56">
        <v>2019</v>
      </c>
      <c r="C107" s="56">
        <v>19</v>
      </c>
      <c r="D107" s="56" t="s">
        <v>269</v>
      </c>
      <c r="E107" s="56">
        <v>9</v>
      </c>
      <c r="F107" s="56">
        <v>53900000</v>
      </c>
      <c r="G107" s="56">
        <v>50700000</v>
      </c>
      <c r="H107" s="56">
        <v>49400000</v>
      </c>
      <c r="I107" s="56">
        <v>48800000</v>
      </c>
      <c r="J107" s="56">
        <v>48800000</v>
      </c>
      <c r="K107" s="56">
        <v>50800000</v>
      </c>
      <c r="L107" s="56">
        <v>58100000</v>
      </c>
      <c r="M107" s="56">
        <v>73500000</v>
      </c>
      <c r="N107" s="56">
        <v>96200000</v>
      </c>
      <c r="O107" s="56">
        <v>114000000</v>
      </c>
      <c r="P107" s="56">
        <v>127000000</v>
      </c>
      <c r="Q107" s="56">
        <v>135000000</v>
      </c>
      <c r="R107" s="56">
        <v>137000000</v>
      </c>
      <c r="S107" s="56">
        <v>143000000</v>
      </c>
      <c r="T107" s="56">
        <v>146000000</v>
      </c>
      <c r="U107" s="56">
        <v>145000000</v>
      </c>
      <c r="V107" s="56">
        <v>140000000</v>
      </c>
      <c r="W107" s="56">
        <v>130000000</v>
      </c>
      <c r="X107" s="56">
        <v>119000000</v>
      </c>
      <c r="Y107" s="56">
        <v>106000000</v>
      </c>
      <c r="Z107" s="56">
        <v>93000000</v>
      </c>
      <c r="AA107" s="56">
        <v>80900000</v>
      </c>
      <c r="AB107" s="56">
        <v>70300000</v>
      </c>
      <c r="AC107" s="57">
        <v>60500000</v>
      </c>
      <c r="AD107" t="str">
        <f>INDEX('Category Mapping'!$G$28:$G$39,MATCH(E107,'Category Mapping'!$A$28:$A$39,0),1)</f>
        <v>Fall</v>
      </c>
      <c r="AE107" t="str">
        <f>INDEX('Category Mapping'!$B$2:$B$25,MATCH('Source Data'!A107,'Category Mapping'!$A$2:$A$25,0))</f>
        <v>Weekday</v>
      </c>
      <c r="AF107" t="str">
        <f>INDEX('Category Mapping'!$C$2:$C$25,MATCH('Source Data'!A107,'Category Mapping'!$A$2:$A$25,0))</f>
        <v>Commercial</v>
      </c>
      <c r="AG107" t="str">
        <f>INDEX('Category Mapping'!$D$2:$D$25,MATCH('Source Data'!A107,'Category Mapping'!$A$2:$A$25,0))</f>
        <v>Cooling</v>
      </c>
    </row>
    <row r="108" spans="1:33" x14ac:dyDescent="0.3">
      <c r="A108" s="58" t="s">
        <v>99</v>
      </c>
      <c r="B108" s="59">
        <v>2019</v>
      </c>
      <c r="C108" s="59">
        <v>19</v>
      </c>
      <c r="D108" s="59" t="s">
        <v>269</v>
      </c>
      <c r="E108" s="59">
        <v>10</v>
      </c>
      <c r="F108" s="59">
        <v>1255669</v>
      </c>
      <c r="G108" s="59">
        <v>1184020</v>
      </c>
      <c r="H108" s="59">
        <v>1154122</v>
      </c>
      <c r="I108" s="59">
        <v>1137258</v>
      </c>
      <c r="J108" s="59">
        <v>1133626</v>
      </c>
      <c r="K108" s="59">
        <v>1169062</v>
      </c>
      <c r="L108" s="59">
        <v>1295801</v>
      </c>
      <c r="M108" s="59">
        <v>1545836</v>
      </c>
      <c r="N108" s="59">
        <v>1913596</v>
      </c>
      <c r="O108" s="59">
        <v>2150262</v>
      </c>
      <c r="P108" s="59">
        <v>2284313</v>
      </c>
      <c r="Q108" s="59">
        <v>2379330</v>
      </c>
      <c r="R108" s="59">
        <v>2397655</v>
      </c>
      <c r="S108" s="59">
        <v>2524426</v>
      </c>
      <c r="T108" s="59">
        <v>2607128</v>
      </c>
      <c r="U108" s="59">
        <v>2581799</v>
      </c>
      <c r="V108" s="59">
        <v>2459724</v>
      </c>
      <c r="W108" s="59">
        <v>2250802</v>
      </c>
      <c r="X108" s="59">
        <v>2092511</v>
      </c>
      <c r="Y108" s="59">
        <v>1949339</v>
      </c>
      <c r="Z108" s="59">
        <v>1837128</v>
      </c>
      <c r="AA108" s="59">
        <v>1724445</v>
      </c>
      <c r="AB108" s="59">
        <v>1589203</v>
      </c>
      <c r="AC108" s="60">
        <v>1404467</v>
      </c>
      <c r="AD108" t="str">
        <f>INDEX('Category Mapping'!$G$28:$G$39,MATCH(E108,'Category Mapping'!$A$28:$A$39,0),1)</f>
        <v>Fall</v>
      </c>
      <c r="AE108" t="str">
        <f>INDEX('Category Mapping'!$B$2:$B$25,MATCH('Source Data'!A108,'Category Mapping'!$A$2:$A$25,0))</f>
        <v>Weekday</v>
      </c>
      <c r="AF108" t="str">
        <f>INDEX('Category Mapping'!$C$2:$C$25,MATCH('Source Data'!A108,'Category Mapping'!$A$2:$A$25,0))</f>
        <v>Commercial</v>
      </c>
      <c r="AG108" t="str">
        <f>INDEX('Category Mapping'!$D$2:$D$25,MATCH('Source Data'!A108,'Category Mapping'!$A$2:$A$25,0))</f>
        <v>Cooling</v>
      </c>
    </row>
    <row r="109" spans="1:33" x14ac:dyDescent="0.3">
      <c r="A109" s="55" t="s">
        <v>99</v>
      </c>
      <c r="B109" s="56">
        <v>2019</v>
      </c>
      <c r="C109" s="56">
        <v>19</v>
      </c>
      <c r="D109" s="56" t="s">
        <v>269</v>
      </c>
      <c r="E109" s="56">
        <v>11</v>
      </c>
      <c r="F109" s="56">
        <v>126316</v>
      </c>
      <c r="G109" s="56">
        <v>119108</v>
      </c>
      <c r="H109" s="56">
        <v>116100</v>
      </c>
      <c r="I109" s="56">
        <v>114404</v>
      </c>
      <c r="J109" s="56">
        <v>114038</v>
      </c>
      <c r="K109" s="56">
        <v>117603</v>
      </c>
      <c r="L109" s="56">
        <v>130353</v>
      </c>
      <c r="M109" s="56">
        <v>155505</v>
      </c>
      <c r="N109" s="56">
        <v>192479</v>
      </c>
      <c r="O109" s="56">
        <v>216089</v>
      </c>
      <c r="P109" s="56">
        <v>228360</v>
      </c>
      <c r="Q109" s="56">
        <v>231236</v>
      </c>
      <c r="R109" s="56">
        <v>222727</v>
      </c>
      <c r="S109" s="56">
        <v>227998</v>
      </c>
      <c r="T109" s="56">
        <v>233670</v>
      </c>
      <c r="U109" s="56">
        <v>233769</v>
      </c>
      <c r="V109" s="56">
        <v>228970</v>
      </c>
      <c r="W109" s="56">
        <v>218306</v>
      </c>
      <c r="X109" s="56">
        <v>209065</v>
      </c>
      <c r="Y109" s="56">
        <v>195877</v>
      </c>
      <c r="Z109" s="56">
        <v>184786</v>
      </c>
      <c r="AA109" s="56">
        <v>173472</v>
      </c>
      <c r="AB109" s="56">
        <v>159868</v>
      </c>
      <c r="AC109" s="57">
        <v>141284</v>
      </c>
      <c r="AD109" t="str">
        <f>INDEX('Category Mapping'!$G$28:$G$39,MATCH(E109,'Category Mapping'!$A$28:$A$39,0),1)</f>
        <v>Winter</v>
      </c>
      <c r="AE109" t="str">
        <f>INDEX('Category Mapping'!$B$2:$B$25,MATCH('Source Data'!A109,'Category Mapping'!$A$2:$A$25,0))</f>
        <v>Weekday</v>
      </c>
      <c r="AF109" t="str">
        <f>INDEX('Category Mapping'!$C$2:$C$25,MATCH('Source Data'!A109,'Category Mapping'!$A$2:$A$25,0))</f>
        <v>Commercial</v>
      </c>
      <c r="AG109" t="str">
        <f>INDEX('Category Mapping'!$D$2:$D$25,MATCH('Source Data'!A109,'Category Mapping'!$A$2:$A$25,0))</f>
        <v>Cooling</v>
      </c>
    </row>
    <row r="110" spans="1:33" x14ac:dyDescent="0.3">
      <c r="A110" s="58" t="s">
        <v>99</v>
      </c>
      <c r="B110" s="59">
        <v>2019</v>
      </c>
      <c r="C110" s="59">
        <v>19</v>
      </c>
      <c r="D110" s="59" t="s">
        <v>269</v>
      </c>
      <c r="E110" s="59">
        <v>12</v>
      </c>
      <c r="F110" s="59">
        <v>47787</v>
      </c>
      <c r="G110" s="59">
        <v>45060</v>
      </c>
      <c r="H110" s="59">
        <v>43923</v>
      </c>
      <c r="I110" s="59">
        <v>43281</v>
      </c>
      <c r="J110" s="59">
        <v>43142</v>
      </c>
      <c r="K110" s="59">
        <v>44491</v>
      </c>
      <c r="L110" s="59">
        <v>49314</v>
      </c>
      <c r="M110" s="59">
        <v>58830</v>
      </c>
      <c r="N110" s="59">
        <v>72818</v>
      </c>
      <c r="O110" s="59">
        <v>81750</v>
      </c>
      <c r="P110" s="59">
        <v>86392</v>
      </c>
      <c r="Q110" s="59">
        <v>87480</v>
      </c>
      <c r="R110" s="59">
        <v>84261</v>
      </c>
      <c r="S110" s="59">
        <v>86255</v>
      </c>
      <c r="T110" s="59">
        <v>88401</v>
      </c>
      <c r="U110" s="59">
        <v>88438</v>
      </c>
      <c r="V110" s="59">
        <v>86623</v>
      </c>
      <c r="W110" s="59">
        <v>82589</v>
      </c>
      <c r="X110" s="59">
        <v>79092</v>
      </c>
      <c r="Y110" s="59">
        <v>74103</v>
      </c>
      <c r="Z110" s="59">
        <v>69908</v>
      </c>
      <c r="AA110" s="59">
        <v>65627</v>
      </c>
      <c r="AB110" s="59">
        <v>60480</v>
      </c>
      <c r="AC110" s="60">
        <v>53450</v>
      </c>
      <c r="AD110" t="str">
        <f>INDEX('Category Mapping'!$G$28:$G$39,MATCH(E110,'Category Mapping'!$A$28:$A$39,0),1)</f>
        <v>Winter</v>
      </c>
      <c r="AE110" t="str">
        <f>INDEX('Category Mapping'!$B$2:$B$25,MATCH('Source Data'!A110,'Category Mapping'!$A$2:$A$25,0))</f>
        <v>Weekday</v>
      </c>
      <c r="AF110" t="str">
        <f>INDEX('Category Mapping'!$C$2:$C$25,MATCH('Source Data'!A110,'Category Mapping'!$A$2:$A$25,0))</f>
        <v>Commercial</v>
      </c>
      <c r="AG110" t="str">
        <f>INDEX('Category Mapping'!$D$2:$D$25,MATCH('Source Data'!A110,'Category Mapping'!$A$2:$A$25,0))</f>
        <v>Cooling</v>
      </c>
    </row>
    <row r="111" spans="1:33" x14ac:dyDescent="0.3">
      <c r="A111" s="55" t="s">
        <v>100</v>
      </c>
      <c r="B111" s="56">
        <v>2019</v>
      </c>
      <c r="C111" s="56">
        <v>19</v>
      </c>
      <c r="D111" s="56" t="s">
        <v>269</v>
      </c>
      <c r="E111" s="56">
        <v>1</v>
      </c>
      <c r="F111" s="56">
        <v>19231</v>
      </c>
      <c r="G111" s="56">
        <v>18822</v>
      </c>
      <c r="H111" s="56">
        <v>18651</v>
      </c>
      <c r="I111" s="56">
        <v>18555</v>
      </c>
      <c r="J111" s="56">
        <v>18534</v>
      </c>
      <c r="K111" s="56">
        <v>18737</v>
      </c>
      <c r="L111" s="56">
        <v>19460</v>
      </c>
      <c r="M111" s="56">
        <v>20888</v>
      </c>
      <c r="N111" s="56">
        <v>22986</v>
      </c>
      <c r="O111" s="56">
        <v>24327</v>
      </c>
      <c r="P111" s="56">
        <v>25023</v>
      </c>
      <c r="Q111" s="56">
        <v>25186</v>
      </c>
      <c r="R111" s="56">
        <v>25324</v>
      </c>
      <c r="S111" s="56">
        <v>25324</v>
      </c>
      <c r="T111" s="56">
        <v>25324</v>
      </c>
      <c r="U111" s="56">
        <v>25330</v>
      </c>
      <c r="V111" s="56">
        <v>25058</v>
      </c>
      <c r="W111" s="56">
        <v>24452</v>
      </c>
      <c r="X111" s="56">
        <v>23928</v>
      </c>
      <c r="Y111" s="56">
        <v>23179</v>
      </c>
      <c r="Z111" s="56">
        <v>22550</v>
      </c>
      <c r="AA111" s="56">
        <v>21908</v>
      </c>
      <c r="AB111" s="56">
        <v>21136</v>
      </c>
      <c r="AC111" s="57">
        <v>20081</v>
      </c>
      <c r="AD111" t="str">
        <f>INDEX('Category Mapping'!$G$28:$G$39,MATCH(E111,'Category Mapping'!$A$28:$A$39,0),1)</f>
        <v>Winter</v>
      </c>
      <c r="AE111" t="str">
        <f>INDEX('Category Mapping'!$B$2:$B$25,MATCH('Source Data'!A111,'Category Mapping'!$A$2:$A$25,0))</f>
        <v>Weekend</v>
      </c>
      <c r="AF111" t="str">
        <f>INDEX('Category Mapping'!$C$2:$C$25,MATCH('Source Data'!A111,'Category Mapping'!$A$2:$A$25,0))</f>
        <v>Commercial</v>
      </c>
      <c r="AG111" t="str">
        <f>INDEX('Category Mapping'!$D$2:$D$25,MATCH('Source Data'!A111,'Category Mapping'!$A$2:$A$25,0))</f>
        <v>Cooling</v>
      </c>
    </row>
    <row r="112" spans="1:33" x14ac:dyDescent="0.3">
      <c r="A112" s="58" t="s">
        <v>100</v>
      </c>
      <c r="B112" s="59">
        <v>2019</v>
      </c>
      <c r="C112" s="59">
        <v>19</v>
      </c>
      <c r="D112" s="59" t="s">
        <v>269</v>
      </c>
      <c r="E112" s="59">
        <v>2</v>
      </c>
      <c r="F112" s="59">
        <v>21698</v>
      </c>
      <c r="G112" s="59">
        <v>21236</v>
      </c>
      <c r="H112" s="59">
        <v>21043</v>
      </c>
      <c r="I112" s="59">
        <v>20935</v>
      </c>
      <c r="J112" s="59">
        <v>20911</v>
      </c>
      <c r="K112" s="59">
        <v>21140</v>
      </c>
      <c r="L112" s="59">
        <v>21956</v>
      </c>
      <c r="M112" s="59">
        <v>23567</v>
      </c>
      <c r="N112" s="59">
        <v>25934</v>
      </c>
      <c r="O112" s="59">
        <v>27446</v>
      </c>
      <c r="P112" s="59">
        <v>28232</v>
      </c>
      <c r="Q112" s="59">
        <v>28416</v>
      </c>
      <c r="R112" s="59">
        <v>28572</v>
      </c>
      <c r="S112" s="59">
        <v>28572</v>
      </c>
      <c r="T112" s="59">
        <v>28572</v>
      </c>
      <c r="U112" s="59">
        <v>28578</v>
      </c>
      <c r="V112" s="59">
        <v>28271</v>
      </c>
      <c r="W112" s="59">
        <v>27588</v>
      </c>
      <c r="X112" s="59">
        <v>26996</v>
      </c>
      <c r="Y112" s="59">
        <v>26152</v>
      </c>
      <c r="Z112" s="59">
        <v>25442</v>
      </c>
      <c r="AA112" s="59">
        <v>24717</v>
      </c>
      <c r="AB112" s="59">
        <v>23846</v>
      </c>
      <c r="AC112" s="60">
        <v>22656</v>
      </c>
      <c r="AD112" t="str">
        <f>INDEX('Category Mapping'!$G$28:$G$39,MATCH(E112,'Category Mapping'!$A$28:$A$39,0),1)</f>
        <v>Winter</v>
      </c>
      <c r="AE112" t="str">
        <f>INDEX('Category Mapping'!$B$2:$B$25,MATCH('Source Data'!A112,'Category Mapping'!$A$2:$A$25,0))</f>
        <v>Weekend</v>
      </c>
      <c r="AF112" t="str">
        <f>INDEX('Category Mapping'!$C$2:$C$25,MATCH('Source Data'!A112,'Category Mapping'!$A$2:$A$25,0))</f>
        <v>Commercial</v>
      </c>
      <c r="AG112" t="str">
        <f>INDEX('Category Mapping'!$D$2:$D$25,MATCH('Source Data'!A112,'Category Mapping'!$A$2:$A$25,0))</f>
        <v>Cooling</v>
      </c>
    </row>
    <row r="113" spans="1:33" x14ac:dyDescent="0.3">
      <c r="A113" s="55" t="s">
        <v>100</v>
      </c>
      <c r="B113" s="56">
        <v>2019</v>
      </c>
      <c r="C113" s="56">
        <v>19</v>
      </c>
      <c r="D113" s="56" t="s">
        <v>269</v>
      </c>
      <c r="E113" s="56">
        <v>3</v>
      </c>
      <c r="F113" s="56">
        <v>48845</v>
      </c>
      <c r="G113" s="56">
        <v>47806</v>
      </c>
      <c r="H113" s="56">
        <v>47372</v>
      </c>
      <c r="I113" s="56">
        <v>47128</v>
      </c>
      <c r="J113" s="56">
        <v>47075</v>
      </c>
      <c r="K113" s="56">
        <v>47589</v>
      </c>
      <c r="L113" s="56">
        <v>49427</v>
      </c>
      <c r="M113" s="56">
        <v>53053</v>
      </c>
      <c r="N113" s="56">
        <v>58383</v>
      </c>
      <c r="O113" s="56">
        <v>61786</v>
      </c>
      <c r="P113" s="56">
        <v>63555</v>
      </c>
      <c r="Q113" s="56">
        <v>63970</v>
      </c>
      <c r="R113" s="56">
        <v>64321</v>
      </c>
      <c r="S113" s="56">
        <v>64321</v>
      </c>
      <c r="T113" s="56">
        <v>64321</v>
      </c>
      <c r="U113" s="56">
        <v>64335</v>
      </c>
      <c r="V113" s="56">
        <v>63643</v>
      </c>
      <c r="W113" s="56">
        <v>62106</v>
      </c>
      <c r="X113" s="56">
        <v>60774</v>
      </c>
      <c r="Y113" s="56">
        <v>58872</v>
      </c>
      <c r="Z113" s="56">
        <v>57274</v>
      </c>
      <c r="AA113" s="56">
        <v>55643</v>
      </c>
      <c r="AB113" s="56">
        <v>53682</v>
      </c>
      <c r="AC113" s="57">
        <v>51003</v>
      </c>
      <c r="AD113" t="str">
        <f>INDEX('Category Mapping'!$G$28:$G$39,MATCH(E113,'Category Mapping'!$A$28:$A$39,0),1)</f>
        <v>Spring</v>
      </c>
      <c r="AE113" t="str">
        <f>INDEX('Category Mapping'!$B$2:$B$25,MATCH('Source Data'!A113,'Category Mapping'!$A$2:$A$25,0))</f>
        <v>Weekend</v>
      </c>
      <c r="AF113" t="str">
        <f>INDEX('Category Mapping'!$C$2:$C$25,MATCH('Source Data'!A113,'Category Mapping'!$A$2:$A$25,0))</f>
        <v>Commercial</v>
      </c>
      <c r="AG113" t="str">
        <f>INDEX('Category Mapping'!$D$2:$D$25,MATCH('Source Data'!A113,'Category Mapping'!$A$2:$A$25,0))</f>
        <v>Cooling</v>
      </c>
    </row>
    <row r="114" spans="1:33" x14ac:dyDescent="0.3">
      <c r="A114" s="58" t="s">
        <v>100</v>
      </c>
      <c r="B114" s="59">
        <v>2019</v>
      </c>
      <c r="C114" s="59">
        <v>19</v>
      </c>
      <c r="D114" s="59" t="s">
        <v>269</v>
      </c>
      <c r="E114" s="59">
        <v>4</v>
      </c>
      <c r="F114" s="59">
        <v>230756</v>
      </c>
      <c r="G114" s="59">
        <v>225847</v>
      </c>
      <c r="H114" s="59">
        <v>223799</v>
      </c>
      <c r="I114" s="59">
        <v>222643</v>
      </c>
      <c r="J114" s="59">
        <v>222395</v>
      </c>
      <c r="K114" s="59">
        <v>224822</v>
      </c>
      <c r="L114" s="59">
        <v>233505</v>
      </c>
      <c r="M114" s="59">
        <v>250635</v>
      </c>
      <c r="N114" s="59">
        <v>275815</v>
      </c>
      <c r="O114" s="59">
        <v>291894</v>
      </c>
      <c r="P114" s="59">
        <v>300251</v>
      </c>
      <c r="Q114" s="59">
        <v>302210</v>
      </c>
      <c r="R114" s="59">
        <v>303911</v>
      </c>
      <c r="S114" s="59">
        <v>305340</v>
      </c>
      <c r="T114" s="59">
        <v>306600</v>
      </c>
      <c r="U114" s="59">
        <v>305407</v>
      </c>
      <c r="V114" s="59">
        <v>300710</v>
      </c>
      <c r="W114" s="59">
        <v>293404</v>
      </c>
      <c r="X114" s="59">
        <v>287111</v>
      </c>
      <c r="Y114" s="59">
        <v>278129</v>
      </c>
      <c r="Z114" s="59">
        <v>270576</v>
      </c>
      <c r="AA114" s="59">
        <v>262871</v>
      </c>
      <c r="AB114" s="59">
        <v>253606</v>
      </c>
      <c r="AC114" s="60">
        <v>240950</v>
      </c>
      <c r="AD114" t="str">
        <f>INDEX('Category Mapping'!$G$28:$G$39,MATCH(E114,'Category Mapping'!$A$28:$A$39,0),1)</f>
        <v>Spring</v>
      </c>
      <c r="AE114" t="str">
        <f>INDEX('Category Mapping'!$B$2:$B$25,MATCH('Source Data'!A114,'Category Mapping'!$A$2:$A$25,0))</f>
        <v>Weekend</v>
      </c>
      <c r="AF114" t="str">
        <f>INDEX('Category Mapping'!$C$2:$C$25,MATCH('Source Data'!A114,'Category Mapping'!$A$2:$A$25,0))</f>
        <v>Commercial</v>
      </c>
      <c r="AG114" t="str">
        <f>INDEX('Category Mapping'!$D$2:$D$25,MATCH('Source Data'!A114,'Category Mapping'!$A$2:$A$25,0))</f>
        <v>Cooling</v>
      </c>
    </row>
    <row r="115" spans="1:33" x14ac:dyDescent="0.3">
      <c r="A115" s="55" t="s">
        <v>100</v>
      </c>
      <c r="B115" s="56">
        <v>2019</v>
      </c>
      <c r="C115" s="56">
        <v>19</v>
      </c>
      <c r="D115" s="56" t="s">
        <v>269</v>
      </c>
      <c r="E115" s="56">
        <v>5</v>
      </c>
      <c r="F115" s="56">
        <v>3838547</v>
      </c>
      <c r="G115" s="56">
        <v>3756893</v>
      </c>
      <c r="H115" s="56">
        <v>3722821</v>
      </c>
      <c r="I115" s="56">
        <v>3703601</v>
      </c>
      <c r="J115" s="56">
        <v>3699463</v>
      </c>
      <c r="K115" s="56">
        <v>3739846</v>
      </c>
      <c r="L115" s="56">
        <v>3884282</v>
      </c>
      <c r="M115" s="56">
        <v>4169228</v>
      </c>
      <c r="N115" s="56">
        <v>4612852</v>
      </c>
      <c r="O115" s="56">
        <v>5340502</v>
      </c>
      <c r="P115" s="56">
        <v>6149038</v>
      </c>
      <c r="Q115" s="56">
        <v>6820678</v>
      </c>
      <c r="R115" s="56">
        <v>7357973</v>
      </c>
      <c r="S115" s="56">
        <v>7680697</v>
      </c>
      <c r="T115" s="56">
        <v>7791332</v>
      </c>
      <c r="U115" s="56">
        <v>7681814</v>
      </c>
      <c r="V115" s="56">
        <v>7304727</v>
      </c>
      <c r="W115" s="56">
        <v>6674204</v>
      </c>
      <c r="X115" s="56">
        <v>5930455</v>
      </c>
      <c r="Y115" s="56">
        <v>5111525</v>
      </c>
      <c r="Z115" s="56">
        <v>4525707</v>
      </c>
      <c r="AA115" s="56">
        <v>4372776</v>
      </c>
      <c r="AB115" s="56">
        <v>4218651</v>
      </c>
      <c r="AC115" s="57">
        <v>4008120</v>
      </c>
      <c r="AD115" t="str">
        <f>INDEX('Category Mapping'!$G$28:$G$39,MATCH(E115,'Category Mapping'!$A$28:$A$39,0),1)</f>
        <v>Spring</v>
      </c>
      <c r="AE115" t="str">
        <f>INDEX('Category Mapping'!$B$2:$B$25,MATCH('Source Data'!A115,'Category Mapping'!$A$2:$A$25,0))</f>
        <v>Weekend</v>
      </c>
      <c r="AF115" t="str">
        <f>INDEX('Category Mapping'!$C$2:$C$25,MATCH('Source Data'!A115,'Category Mapping'!$A$2:$A$25,0))</f>
        <v>Commercial</v>
      </c>
      <c r="AG115" t="str">
        <f>INDEX('Category Mapping'!$D$2:$D$25,MATCH('Source Data'!A115,'Category Mapping'!$A$2:$A$25,0))</f>
        <v>Cooling</v>
      </c>
    </row>
    <row r="116" spans="1:33" x14ac:dyDescent="0.3">
      <c r="A116" s="58" t="s">
        <v>100</v>
      </c>
      <c r="B116" s="59">
        <v>2019</v>
      </c>
      <c r="C116" s="59">
        <v>19</v>
      </c>
      <c r="D116" s="59" t="s">
        <v>269</v>
      </c>
      <c r="E116" s="59">
        <v>6</v>
      </c>
      <c r="F116" s="59">
        <v>33500000</v>
      </c>
      <c r="G116" s="59">
        <v>32200000</v>
      </c>
      <c r="H116" s="59">
        <v>31800000</v>
      </c>
      <c r="I116" s="59">
        <v>31700000</v>
      </c>
      <c r="J116" s="59">
        <v>32300000</v>
      </c>
      <c r="K116" s="59">
        <v>34400000</v>
      </c>
      <c r="L116" s="59">
        <v>39400000</v>
      </c>
      <c r="M116" s="59">
        <v>46700000</v>
      </c>
      <c r="N116" s="59">
        <v>55900000</v>
      </c>
      <c r="O116" s="59">
        <v>64000000</v>
      </c>
      <c r="P116" s="59">
        <v>70800000</v>
      </c>
      <c r="Q116" s="59">
        <v>75900000</v>
      </c>
      <c r="R116" s="59">
        <v>80000000</v>
      </c>
      <c r="S116" s="59">
        <v>82300000</v>
      </c>
      <c r="T116" s="59">
        <v>83100000</v>
      </c>
      <c r="U116" s="59">
        <v>82300000</v>
      </c>
      <c r="V116" s="59">
        <v>79500000</v>
      </c>
      <c r="W116" s="59">
        <v>74700000</v>
      </c>
      <c r="X116" s="59">
        <v>69000000</v>
      </c>
      <c r="Y116" s="59">
        <v>62100000</v>
      </c>
      <c r="Z116" s="59">
        <v>55200000</v>
      </c>
      <c r="AA116" s="59">
        <v>48400000</v>
      </c>
      <c r="AB116" s="59">
        <v>42200000</v>
      </c>
      <c r="AC116" s="60">
        <v>36600000</v>
      </c>
      <c r="AD116" t="str">
        <f>INDEX('Category Mapping'!$G$28:$G$39,MATCH(E116,'Category Mapping'!$A$28:$A$39,0),1)</f>
        <v>Summer</v>
      </c>
      <c r="AE116" t="str">
        <f>INDEX('Category Mapping'!$B$2:$B$25,MATCH('Source Data'!A116,'Category Mapping'!$A$2:$A$25,0))</f>
        <v>Weekend</v>
      </c>
      <c r="AF116" t="str">
        <f>INDEX('Category Mapping'!$C$2:$C$25,MATCH('Source Data'!A116,'Category Mapping'!$A$2:$A$25,0))</f>
        <v>Commercial</v>
      </c>
      <c r="AG116" t="str">
        <f>INDEX('Category Mapping'!$D$2:$D$25,MATCH('Source Data'!A116,'Category Mapping'!$A$2:$A$25,0))</f>
        <v>Cooling</v>
      </c>
    </row>
    <row r="117" spans="1:33" x14ac:dyDescent="0.3">
      <c r="A117" s="55" t="s">
        <v>100</v>
      </c>
      <c r="B117" s="56">
        <v>2019</v>
      </c>
      <c r="C117" s="56">
        <v>19</v>
      </c>
      <c r="D117" s="56" t="s">
        <v>269</v>
      </c>
      <c r="E117" s="56">
        <v>7</v>
      </c>
      <c r="F117" s="56">
        <v>105000000</v>
      </c>
      <c r="G117" s="56">
        <v>100000000</v>
      </c>
      <c r="H117" s="56">
        <v>98700000</v>
      </c>
      <c r="I117" s="56">
        <v>99600000</v>
      </c>
      <c r="J117" s="56">
        <v>103000000</v>
      </c>
      <c r="K117" s="56">
        <v>109000000</v>
      </c>
      <c r="L117" s="56">
        <v>119000000</v>
      </c>
      <c r="M117" s="56">
        <v>133000000</v>
      </c>
      <c r="N117" s="56">
        <v>149000000</v>
      </c>
      <c r="O117" s="56">
        <v>164000000</v>
      </c>
      <c r="P117" s="56">
        <v>175000000</v>
      </c>
      <c r="Q117" s="56">
        <v>183000000</v>
      </c>
      <c r="R117" s="56">
        <v>190000000</v>
      </c>
      <c r="S117" s="56">
        <v>194000000</v>
      </c>
      <c r="T117" s="56">
        <v>195000000</v>
      </c>
      <c r="U117" s="56">
        <v>194000000</v>
      </c>
      <c r="V117" s="56">
        <v>189000000</v>
      </c>
      <c r="W117" s="56">
        <v>181000000</v>
      </c>
      <c r="X117" s="56">
        <v>171000000</v>
      </c>
      <c r="Y117" s="56">
        <v>160000000</v>
      </c>
      <c r="Z117" s="56">
        <v>148000000</v>
      </c>
      <c r="AA117" s="56">
        <v>136000000</v>
      </c>
      <c r="AB117" s="56">
        <v>125000000</v>
      </c>
      <c r="AC117" s="57">
        <v>114000000</v>
      </c>
      <c r="AD117" t="str">
        <f>INDEX('Category Mapping'!$G$28:$G$39,MATCH(E117,'Category Mapping'!$A$28:$A$39,0),1)</f>
        <v>Summer</v>
      </c>
      <c r="AE117" t="str">
        <f>INDEX('Category Mapping'!$B$2:$B$25,MATCH('Source Data'!A117,'Category Mapping'!$A$2:$A$25,0))</f>
        <v>Weekend</v>
      </c>
      <c r="AF117" t="str">
        <f>INDEX('Category Mapping'!$C$2:$C$25,MATCH('Source Data'!A117,'Category Mapping'!$A$2:$A$25,0))</f>
        <v>Commercial</v>
      </c>
      <c r="AG117" t="str">
        <f>INDEX('Category Mapping'!$D$2:$D$25,MATCH('Source Data'!A117,'Category Mapping'!$A$2:$A$25,0))</f>
        <v>Cooling</v>
      </c>
    </row>
    <row r="118" spans="1:33" x14ac:dyDescent="0.3">
      <c r="A118" s="58" t="s">
        <v>100</v>
      </c>
      <c r="B118" s="59">
        <v>2019</v>
      </c>
      <c r="C118" s="59">
        <v>19</v>
      </c>
      <c r="D118" s="59" t="s">
        <v>269</v>
      </c>
      <c r="E118" s="59">
        <v>8</v>
      </c>
      <c r="F118" s="59">
        <v>117000000</v>
      </c>
      <c r="G118" s="59">
        <v>111000000</v>
      </c>
      <c r="H118" s="59">
        <v>108000000</v>
      </c>
      <c r="I118" s="59">
        <v>110000000</v>
      </c>
      <c r="J118" s="59">
        <v>114000000</v>
      </c>
      <c r="K118" s="59">
        <v>122000000</v>
      </c>
      <c r="L118" s="59">
        <v>134000000</v>
      </c>
      <c r="M118" s="59">
        <v>151000000</v>
      </c>
      <c r="N118" s="59">
        <v>171000000</v>
      </c>
      <c r="O118" s="59">
        <v>189000000</v>
      </c>
      <c r="P118" s="59">
        <v>203000000</v>
      </c>
      <c r="Q118" s="59">
        <v>214000000</v>
      </c>
      <c r="R118" s="59">
        <v>222000000</v>
      </c>
      <c r="S118" s="59">
        <v>227000000</v>
      </c>
      <c r="T118" s="59">
        <v>229000000</v>
      </c>
      <c r="U118" s="59">
        <v>227000000</v>
      </c>
      <c r="V118" s="59">
        <v>221000000</v>
      </c>
      <c r="W118" s="59">
        <v>211000000</v>
      </c>
      <c r="X118" s="59">
        <v>199000000</v>
      </c>
      <c r="Y118" s="59">
        <v>184000000</v>
      </c>
      <c r="Z118" s="59">
        <v>170000000</v>
      </c>
      <c r="AA118" s="59">
        <v>155000000</v>
      </c>
      <c r="AB118" s="59">
        <v>141000000</v>
      </c>
      <c r="AC118" s="60">
        <v>127000000</v>
      </c>
      <c r="AD118" t="str">
        <f>INDEX('Category Mapping'!$G$28:$G$39,MATCH(E118,'Category Mapping'!$A$28:$A$39,0),1)</f>
        <v>Summer</v>
      </c>
      <c r="AE118" t="str">
        <f>INDEX('Category Mapping'!$B$2:$B$25,MATCH('Source Data'!A118,'Category Mapping'!$A$2:$A$25,0))</f>
        <v>Weekend</v>
      </c>
      <c r="AF118" t="str">
        <f>INDEX('Category Mapping'!$C$2:$C$25,MATCH('Source Data'!A118,'Category Mapping'!$A$2:$A$25,0))</f>
        <v>Commercial</v>
      </c>
      <c r="AG118" t="str">
        <f>INDEX('Category Mapping'!$D$2:$D$25,MATCH('Source Data'!A118,'Category Mapping'!$A$2:$A$25,0))</f>
        <v>Cooling</v>
      </c>
    </row>
    <row r="119" spans="1:33" x14ac:dyDescent="0.3">
      <c r="A119" s="55" t="s">
        <v>100</v>
      </c>
      <c r="B119" s="56">
        <v>2019</v>
      </c>
      <c r="C119" s="56">
        <v>19</v>
      </c>
      <c r="D119" s="56" t="s">
        <v>269</v>
      </c>
      <c r="E119" s="56">
        <v>9</v>
      </c>
      <c r="F119" s="56">
        <v>27100000</v>
      </c>
      <c r="G119" s="56">
        <v>26500000</v>
      </c>
      <c r="H119" s="56">
        <v>26200000</v>
      </c>
      <c r="I119" s="56">
        <v>26100000</v>
      </c>
      <c r="J119" s="56">
        <v>26200000</v>
      </c>
      <c r="K119" s="56">
        <v>26700000</v>
      </c>
      <c r="L119" s="56">
        <v>28900000</v>
      </c>
      <c r="M119" s="56">
        <v>33700000</v>
      </c>
      <c r="N119" s="56">
        <v>40700000</v>
      </c>
      <c r="O119" s="56">
        <v>47000000</v>
      </c>
      <c r="P119" s="56">
        <v>52400000</v>
      </c>
      <c r="Q119" s="56">
        <v>56600000</v>
      </c>
      <c r="R119" s="56">
        <v>59800000</v>
      </c>
      <c r="S119" s="56">
        <v>61700000</v>
      </c>
      <c r="T119" s="56">
        <v>62400000</v>
      </c>
      <c r="U119" s="56">
        <v>61700000</v>
      </c>
      <c r="V119" s="56">
        <v>59400000</v>
      </c>
      <c r="W119" s="56">
        <v>55600000</v>
      </c>
      <c r="X119" s="56">
        <v>51000000</v>
      </c>
      <c r="Y119" s="56">
        <v>45500000</v>
      </c>
      <c r="Z119" s="56">
        <v>40100000</v>
      </c>
      <c r="AA119" s="56">
        <v>35000000</v>
      </c>
      <c r="AB119" s="56">
        <v>31200000</v>
      </c>
      <c r="AC119" s="57">
        <v>28600000</v>
      </c>
      <c r="AD119" t="str">
        <f>INDEX('Category Mapping'!$G$28:$G$39,MATCH(E119,'Category Mapping'!$A$28:$A$39,0),1)</f>
        <v>Fall</v>
      </c>
      <c r="AE119" t="str">
        <f>INDEX('Category Mapping'!$B$2:$B$25,MATCH('Source Data'!A119,'Category Mapping'!$A$2:$A$25,0))</f>
        <v>Weekend</v>
      </c>
      <c r="AF119" t="str">
        <f>INDEX('Category Mapping'!$C$2:$C$25,MATCH('Source Data'!A119,'Category Mapping'!$A$2:$A$25,0))</f>
        <v>Commercial</v>
      </c>
      <c r="AG119" t="str">
        <f>INDEX('Category Mapping'!$D$2:$D$25,MATCH('Source Data'!A119,'Category Mapping'!$A$2:$A$25,0))</f>
        <v>Cooling</v>
      </c>
    </row>
    <row r="120" spans="1:33" x14ac:dyDescent="0.3">
      <c r="A120" s="58" t="s">
        <v>100</v>
      </c>
      <c r="B120" s="59">
        <v>2019</v>
      </c>
      <c r="C120" s="59">
        <v>19</v>
      </c>
      <c r="D120" s="59" t="s">
        <v>269</v>
      </c>
      <c r="E120" s="59">
        <v>10</v>
      </c>
      <c r="F120" s="59">
        <v>673947</v>
      </c>
      <c r="G120" s="59">
        <v>659611</v>
      </c>
      <c r="H120" s="59">
        <v>653629</v>
      </c>
      <c r="I120" s="59">
        <v>650254</v>
      </c>
      <c r="J120" s="59">
        <v>649528</v>
      </c>
      <c r="K120" s="59">
        <v>656618</v>
      </c>
      <c r="L120" s="59">
        <v>681977</v>
      </c>
      <c r="M120" s="59">
        <v>732006</v>
      </c>
      <c r="N120" s="59">
        <v>805677</v>
      </c>
      <c r="O120" s="59">
        <v>853816</v>
      </c>
      <c r="P120" s="59">
        <v>885470</v>
      </c>
      <c r="Q120" s="59">
        <v>931064</v>
      </c>
      <c r="R120" s="59">
        <v>997681</v>
      </c>
      <c r="S120" s="59">
        <v>1042325</v>
      </c>
      <c r="T120" s="59">
        <v>1058118</v>
      </c>
      <c r="U120" s="59">
        <v>1042521</v>
      </c>
      <c r="V120" s="59">
        <v>988332</v>
      </c>
      <c r="W120" s="59">
        <v>905347</v>
      </c>
      <c r="X120" s="59">
        <v>847092</v>
      </c>
      <c r="Y120" s="59">
        <v>813614</v>
      </c>
      <c r="Z120" s="59">
        <v>790377</v>
      </c>
      <c r="AA120" s="59">
        <v>767744</v>
      </c>
      <c r="AB120" s="59">
        <v>740684</v>
      </c>
      <c r="AC120" s="60">
        <v>703720</v>
      </c>
      <c r="AD120" t="str">
        <f>INDEX('Category Mapping'!$G$28:$G$39,MATCH(E120,'Category Mapping'!$A$28:$A$39,0),1)</f>
        <v>Fall</v>
      </c>
      <c r="AE120" t="str">
        <f>INDEX('Category Mapping'!$B$2:$B$25,MATCH('Source Data'!A120,'Category Mapping'!$A$2:$A$25,0))</f>
        <v>Weekend</v>
      </c>
      <c r="AF120" t="str">
        <f>INDEX('Category Mapping'!$C$2:$C$25,MATCH('Source Data'!A120,'Category Mapping'!$A$2:$A$25,0))</f>
        <v>Commercial</v>
      </c>
      <c r="AG120" t="str">
        <f>INDEX('Category Mapping'!$D$2:$D$25,MATCH('Source Data'!A120,'Category Mapping'!$A$2:$A$25,0))</f>
        <v>Cooling</v>
      </c>
    </row>
    <row r="121" spans="1:33" x14ac:dyDescent="0.3">
      <c r="A121" s="55" t="s">
        <v>100</v>
      </c>
      <c r="B121" s="56">
        <v>2019</v>
      </c>
      <c r="C121" s="56">
        <v>19</v>
      </c>
      <c r="D121" s="56" t="s">
        <v>269</v>
      </c>
      <c r="E121" s="56">
        <v>11</v>
      </c>
      <c r="F121" s="56">
        <v>68569</v>
      </c>
      <c r="G121" s="56">
        <v>67111</v>
      </c>
      <c r="H121" s="56">
        <v>66502</v>
      </c>
      <c r="I121" s="56">
        <v>66159</v>
      </c>
      <c r="J121" s="56">
        <v>66085</v>
      </c>
      <c r="K121" s="56">
        <v>66806</v>
      </c>
      <c r="L121" s="56">
        <v>69386</v>
      </c>
      <c r="M121" s="56">
        <v>74476</v>
      </c>
      <c r="N121" s="56">
        <v>81959</v>
      </c>
      <c r="O121" s="56">
        <v>86737</v>
      </c>
      <c r="P121" s="56">
        <v>89220</v>
      </c>
      <c r="Q121" s="56">
        <v>89802</v>
      </c>
      <c r="R121" s="56">
        <v>90294</v>
      </c>
      <c r="S121" s="56">
        <v>90294</v>
      </c>
      <c r="T121" s="56">
        <v>90294</v>
      </c>
      <c r="U121" s="56">
        <v>90314</v>
      </c>
      <c r="V121" s="56">
        <v>89343</v>
      </c>
      <c r="W121" s="56">
        <v>87185</v>
      </c>
      <c r="X121" s="56">
        <v>85315</v>
      </c>
      <c r="Y121" s="56">
        <v>82646</v>
      </c>
      <c r="Z121" s="56">
        <v>80402</v>
      </c>
      <c r="AA121" s="56">
        <v>78112</v>
      </c>
      <c r="AB121" s="56">
        <v>75359</v>
      </c>
      <c r="AC121" s="57">
        <v>71598</v>
      </c>
      <c r="AD121" t="str">
        <f>INDEX('Category Mapping'!$G$28:$G$39,MATCH(E121,'Category Mapping'!$A$28:$A$39,0),1)</f>
        <v>Winter</v>
      </c>
      <c r="AE121" t="str">
        <f>INDEX('Category Mapping'!$B$2:$B$25,MATCH('Source Data'!A121,'Category Mapping'!$A$2:$A$25,0))</f>
        <v>Weekend</v>
      </c>
      <c r="AF121" t="str">
        <f>INDEX('Category Mapping'!$C$2:$C$25,MATCH('Source Data'!A121,'Category Mapping'!$A$2:$A$25,0))</f>
        <v>Commercial</v>
      </c>
      <c r="AG121" t="str">
        <f>INDEX('Category Mapping'!$D$2:$D$25,MATCH('Source Data'!A121,'Category Mapping'!$A$2:$A$25,0))</f>
        <v>Cooling</v>
      </c>
    </row>
    <row r="122" spans="1:33" x14ac:dyDescent="0.3">
      <c r="A122" s="58" t="s">
        <v>100</v>
      </c>
      <c r="B122" s="59">
        <v>2019</v>
      </c>
      <c r="C122" s="59">
        <v>19</v>
      </c>
      <c r="D122" s="59" t="s">
        <v>269</v>
      </c>
      <c r="E122" s="59">
        <v>12</v>
      </c>
      <c r="F122" s="59">
        <v>25941</v>
      </c>
      <c r="G122" s="59">
        <v>25389</v>
      </c>
      <c r="H122" s="59">
        <v>25159</v>
      </c>
      <c r="I122" s="59">
        <v>25029</v>
      </c>
      <c r="J122" s="59">
        <v>25001</v>
      </c>
      <c r="K122" s="59">
        <v>25274</v>
      </c>
      <c r="L122" s="59">
        <v>26250</v>
      </c>
      <c r="M122" s="59">
        <v>28176</v>
      </c>
      <c r="N122" s="59">
        <v>31006</v>
      </c>
      <c r="O122" s="59">
        <v>32814</v>
      </c>
      <c r="P122" s="59">
        <v>33753</v>
      </c>
      <c r="Q122" s="59">
        <v>33973</v>
      </c>
      <c r="R122" s="59">
        <v>34160</v>
      </c>
      <c r="S122" s="59">
        <v>34160</v>
      </c>
      <c r="T122" s="59">
        <v>34160</v>
      </c>
      <c r="U122" s="59">
        <v>34167</v>
      </c>
      <c r="V122" s="59">
        <v>33800</v>
      </c>
      <c r="W122" s="59">
        <v>32984</v>
      </c>
      <c r="X122" s="59">
        <v>32276</v>
      </c>
      <c r="Y122" s="59">
        <v>31266</v>
      </c>
      <c r="Z122" s="59">
        <v>30417</v>
      </c>
      <c r="AA122" s="59">
        <v>29551</v>
      </c>
      <c r="AB122" s="59">
        <v>28510</v>
      </c>
      <c r="AC122" s="60">
        <v>27087</v>
      </c>
      <c r="AD122" t="str">
        <f>INDEX('Category Mapping'!$G$28:$G$39,MATCH(E122,'Category Mapping'!$A$28:$A$39,0),1)</f>
        <v>Winter</v>
      </c>
      <c r="AE122" t="str">
        <f>INDEX('Category Mapping'!$B$2:$B$25,MATCH('Source Data'!A122,'Category Mapping'!$A$2:$A$25,0))</f>
        <v>Weekend</v>
      </c>
      <c r="AF122" t="str">
        <f>INDEX('Category Mapping'!$C$2:$C$25,MATCH('Source Data'!A122,'Category Mapping'!$A$2:$A$25,0))</f>
        <v>Commercial</v>
      </c>
      <c r="AG122" t="str">
        <f>INDEX('Category Mapping'!$D$2:$D$25,MATCH('Source Data'!A122,'Category Mapping'!$A$2:$A$25,0))</f>
        <v>Cooling</v>
      </c>
    </row>
    <row r="123" spans="1:33" x14ac:dyDescent="0.3">
      <c r="A123" s="55" t="s">
        <v>101</v>
      </c>
      <c r="B123" s="56">
        <v>2019</v>
      </c>
      <c r="C123" s="56">
        <v>19</v>
      </c>
      <c r="D123" s="56" t="s">
        <v>269</v>
      </c>
      <c r="E123" s="56">
        <v>1</v>
      </c>
      <c r="F123" s="56">
        <v>42300000</v>
      </c>
      <c r="G123" s="56">
        <v>38600000</v>
      </c>
      <c r="H123" s="56">
        <v>34800000</v>
      </c>
      <c r="I123" s="56">
        <v>36300000</v>
      </c>
      <c r="J123" s="56">
        <v>38100000</v>
      </c>
      <c r="K123" s="56">
        <v>38800000</v>
      </c>
      <c r="L123" s="56">
        <v>56400000</v>
      </c>
      <c r="M123" s="56">
        <v>120000000</v>
      </c>
      <c r="N123" s="56">
        <v>127000000</v>
      </c>
      <c r="O123" s="56">
        <v>91800000</v>
      </c>
      <c r="P123" s="56">
        <v>76800000</v>
      </c>
      <c r="Q123" s="56">
        <v>67500000</v>
      </c>
      <c r="R123" s="56">
        <v>59800000</v>
      </c>
      <c r="S123" s="56">
        <v>56000000</v>
      </c>
      <c r="T123" s="56">
        <v>52500000</v>
      </c>
      <c r="U123" s="56">
        <v>50500000</v>
      </c>
      <c r="V123" s="56">
        <v>49500000</v>
      </c>
      <c r="W123" s="56">
        <v>50300000</v>
      </c>
      <c r="X123" s="56">
        <v>58200000</v>
      </c>
      <c r="Y123" s="56">
        <v>65400000</v>
      </c>
      <c r="Z123" s="56">
        <v>69600000</v>
      </c>
      <c r="AA123" s="56">
        <v>75200000</v>
      </c>
      <c r="AB123" s="56">
        <v>75300000</v>
      </c>
      <c r="AC123" s="57">
        <v>34600000</v>
      </c>
      <c r="AD123" t="str">
        <f>INDEX('Category Mapping'!$G$28:$G$39,MATCH(E123,'Category Mapping'!$A$28:$A$39,0),1)</f>
        <v>Winter</v>
      </c>
      <c r="AE123" t="str">
        <f>INDEX('Category Mapping'!$B$2:$B$25,MATCH('Source Data'!A123,'Category Mapping'!$A$2:$A$25,0))</f>
        <v>Weekday</v>
      </c>
      <c r="AF123" t="str">
        <f>INDEX('Category Mapping'!$C$2:$C$25,MATCH('Source Data'!A123,'Category Mapping'!$A$2:$A$25,0))</f>
        <v>Commercial</v>
      </c>
      <c r="AG123" t="str">
        <f>INDEX('Category Mapping'!$D$2:$D$25,MATCH('Source Data'!A123,'Category Mapping'!$A$2:$A$25,0))</f>
        <v>Heating</v>
      </c>
    </row>
    <row r="124" spans="1:33" x14ac:dyDescent="0.3">
      <c r="A124" s="58" t="s">
        <v>101</v>
      </c>
      <c r="B124" s="59">
        <v>2019</v>
      </c>
      <c r="C124" s="59">
        <v>19</v>
      </c>
      <c r="D124" s="59" t="s">
        <v>269</v>
      </c>
      <c r="E124" s="59">
        <v>2</v>
      </c>
      <c r="F124" s="59">
        <v>34600000</v>
      </c>
      <c r="G124" s="59">
        <v>31600000</v>
      </c>
      <c r="H124" s="59">
        <v>28400000</v>
      </c>
      <c r="I124" s="59">
        <v>29400000</v>
      </c>
      <c r="J124" s="59">
        <v>31200000</v>
      </c>
      <c r="K124" s="59">
        <v>31500000</v>
      </c>
      <c r="L124" s="59">
        <v>47600000</v>
      </c>
      <c r="M124" s="59">
        <v>102000000</v>
      </c>
      <c r="N124" s="59">
        <v>106000000</v>
      </c>
      <c r="O124" s="59">
        <v>74700000</v>
      </c>
      <c r="P124" s="59">
        <v>61500000</v>
      </c>
      <c r="Q124" s="59">
        <v>53500000</v>
      </c>
      <c r="R124" s="59">
        <v>46800000</v>
      </c>
      <c r="S124" s="59">
        <v>43600000</v>
      </c>
      <c r="T124" s="59">
        <v>40700000</v>
      </c>
      <c r="U124" s="59">
        <v>39000000</v>
      </c>
      <c r="V124" s="59">
        <v>37900000</v>
      </c>
      <c r="W124" s="59">
        <v>37700000</v>
      </c>
      <c r="X124" s="59">
        <v>43800000</v>
      </c>
      <c r="Y124" s="59">
        <v>50800000</v>
      </c>
      <c r="Z124" s="59">
        <v>55400000</v>
      </c>
      <c r="AA124" s="59">
        <v>60900000</v>
      </c>
      <c r="AB124" s="59">
        <v>60700000</v>
      </c>
      <c r="AC124" s="60">
        <v>29800000</v>
      </c>
      <c r="AD124" t="str">
        <f>INDEX('Category Mapping'!$G$28:$G$39,MATCH(E124,'Category Mapping'!$A$28:$A$39,0),1)</f>
        <v>Winter</v>
      </c>
      <c r="AE124" t="str">
        <f>INDEX('Category Mapping'!$B$2:$B$25,MATCH('Source Data'!A124,'Category Mapping'!$A$2:$A$25,0))</f>
        <v>Weekday</v>
      </c>
      <c r="AF124" t="str">
        <f>INDEX('Category Mapping'!$C$2:$C$25,MATCH('Source Data'!A124,'Category Mapping'!$A$2:$A$25,0))</f>
        <v>Commercial</v>
      </c>
      <c r="AG124" t="str">
        <f>INDEX('Category Mapping'!$D$2:$D$25,MATCH('Source Data'!A124,'Category Mapping'!$A$2:$A$25,0))</f>
        <v>Heating</v>
      </c>
    </row>
    <row r="125" spans="1:33" x14ac:dyDescent="0.3">
      <c r="A125" s="55" t="s">
        <v>101</v>
      </c>
      <c r="B125" s="56">
        <v>2019</v>
      </c>
      <c r="C125" s="56">
        <v>19</v>
      </c>
      <c r="D125" s="56" t="s">
        <v>269</v>
      </c>
      <c r="E125" s="56">
        <v>3</v>
      </c>
      <c r="F125" s="56">
        <v>29500000</v>
      </c>
      <c r="G125" s="56">
        <v>26200000</v>
      </c>
      <c r="H125" s="56">
        <v>25200000</v>
      </c>
      <c r="I125" s="56">
        <v>26000000</v>
      </c>
      <c r="J125" s="56">
        <v>26400000</v>
      </c>
      <c r="K125" s="56">
        <v>36900000</v>
      </c>
      <c r="L125" s="56">
        <v>64700000</v>
      </c>
      <c r="M125" s="56">
        <v>91200000</v>
      </c>
      <c r="N125" s="56">
        <v>75800000</v>
      </c>
      <c r="O125" s="56">
        <v>56100000</v>
      </c>
      <c r="P125" s="56">
        <v>46200000</v>
      </c>
      <c r="Q125" s="56">
        <v>39200000</v>
      </c>
      <c r="R125" s="56">
        <v>34900000</v>
      </c>
      <c r="S125" s="56">
        <v>32100000</v>
      </c>
      <c r="T125" s="56">
        <v>29900000</v>
      </c>
      <c r="U125" s="56">
        <v>28000000</v>
      </c>
      <c r="V125" s="56">
        <v>26300000</v>
      </c>
      <c r="W125" s="56">
        <v>27300000</v>
      </c>
      <c r="X125" s="56">
        <v>31600000</v>
      </c>
      <c r="Y125" s="56">
        <v>37600000</v>
      </c>
      <c r="Z125" s="56">
        <v>44100000</v>
      </c>
      <c r="AA125" s="56">
        <v>38800000</v>
      </c>
      <c r="AB125" s="56">
        <v>34200000</v>
      </c>
      <c r="AC125" s="57">
        <v>28600000</v>
      </c>
      <c r="AD125" t="str">
        <f>INDEX('Category Mapping'!$G$28:$G$39,MATCH(E125,'Category Mapping'!$A$28:$A$39,0),1)</f>
        <v>Spring</v>
      </c>
      <c r="AE125" t="str">
        <f>INDEX('Category Mapping'!$B$2:$B$25,MATCH('Source Data'!A125,'Category Mapping'!$A$2:$A$25,0))</f>
        <v>Weekday</v>
      </c>
      <c r="AF125" t="str">
        <f>INDEX('Category Mapping'!$C$2:$C$25,MATCH('Source Data'!A125,'Category Mapping'!$A$2:$A$25,0))</f>
        <v>Commercial</v>
      </c>
      <c r="AG125" t="str">
        <f>INDEX('Category Mapping'!$D$2:$D$25,MATCH('Source Data'!A125,'Category Mapping'!$A$2:$A$25,0))</f>
        <v>Heating</v>
      </c>
    </row>
    <row r="126" spans="1:33" x14ac:dyDescent="0.3">
      <c r="A126" s="58" t="s">
        <v>101</v>
      </c>
      <c r="B126" s="59">
        <v>2019</v>
      </c>
      <c r="C126" s="59">
        <v>19</v>
      </c>
      <c r="D126" s="59" t="s">
        <v>269</v>
      </c>
      <c r="E126" s="59">
        <v>4</v>
      </c>
      <c r="F126" s="59">
        <v>19600000</v>
      </c>
      <c r="G126" s="59">
        <v>17500000</v>
      </c>
      <c r="H126" s="59">
        <v>17700000</v>
      </c>
      <c r="I126" s="59">
        <v>18000000</v>
      </c>
      <c r="J126" s="59">
        <v>17600000</v>
      </c>
      <c r="K126" s="59">
        <v>29300000</v>
      </c>
      <c r="L126" s="59">
        <v>54200000</v>
      </c>
      <c r="M126" s="59">
        <v>45500000</v>
      </c>
      <c r="N126" s="59">
        <v>30500000</v>
      </c>
      <c r="O126" s="59">
        <v>23900000</v>
      </c>
      <c r="P126" s="59">
        <v>19700000</v>
      </c>
      <c r="Q126" s="59">
        <v>16200000</v>
      </c>
      <c r="R126" s="59">
        <v>14600000</v>
      </c>
      <c r="S126" s="59">
        <v>13400000</v>
      </c>
      <c r="T126" s="59">
        <v>12500000</v>
      </c>
      <c r="U126" s="59">
        <v>11500000</v>
      </c>
      <c r="V126" s="59">
        <v>10400000</v>
      </c>
      <c r="W126" s="59">
        <v>11400000</v>
      </c>
      <c r="X126" s="59">
        <v>13000000</v>
      </c>
      <c r="Y126" s="59">
        <v>15600000</v>
      </c>
      <c r="Z126" s="59">
        <v>20000000</v>
      </c>
      <c r="AA126" s="59">
        <v>15100000</v>
      </c>
      <c r="AB126" s="59">
        <v>13800000</v>
      </c>
      <c r="AC126" s="60">
        <v>13800000</v>
      </c>
      <c r="AD126" t="str">
        <f>INDEX('Category Mapping'!$G$28:$G$39,MATCH(E126,'Category Mapping'!$A$28:$A$39,0),1)</f>
        <v>Spring</v>
      </c>
      <c r="AE126" t="str">
        <f>INDEX('Category Mapping'!$B$2:$B$25,MATCH('Source Data'!A126,'Category Mapping'!$A$2:$A$25,0))</f>
        <v>Weekday</v>
      </c>
      <c r="AF126" t="str">
        <f>INDEX('Category Mapping'!$C$2:$C$25,MATCH('Source Data'!A126,'Category Mapping'!$A$2:$A$25,0))</f>
        <v>Commercial</v>
      </c>
      <c r="AG126" t="str">
        <f>INDEX('Category Mapping'!$D$2:$D$25,MATCH('Source Data'!A126,'Category Mapping'!$A$2:$A$25,0))</f>
        <v>Heating</v>
      </c>
    </row>
    <row r="127" spans="1:33" x14ac:dyDescent="0.3">
      <c r="A127" s="55" t="s">
        <v>101</v>
      </c>
      <c r="B127" s="56">
        <v>2019</v>
      </c>
      <c r="C127" s="56">
        <v>19</v>
      </c>
      <c r="D127" s="56" t="s">
        <v>269</v>
      </c>
      <c r="E127" s="56">
        <v>5</v>
      </c>
      <c r="F127" s="56">
        <v>4714881</v>
      </c>
      <c r="G127" s="56">
        <v>4432044</v>
      </c>
      <c r="H127" s="56">
        <v>4506486</v>
      </c>
      <c r="I127" s="56">
        <v>4578442</v>
      </c>
      <c r="J127" s="56">
        <v>4430885</v>
      </c>
      <c r="K127" s="56">
        <v>6988517</v>
      </c>
      <c r="L127" s="56">
        <v>17500000</v>
      </c>
      <c r="M127" s="56">
        <v>13700000</v>
      </c>
      <c r="N127" s="56">
        <v>8972358</v>
      </c>
      <c r="O127" s="56">
        <v>7068316</v>
      </c>
      <c r="P127" s="56">
        <v>5953044</v>
      </c>
      <c r="Q127" s="56">
        <v>4994629</v>
      </c>
      <c r="R127" s="56">
        <v>4550673</v>
      </c>
      <c r="S127" s="56">
        <v>4223149</v>
      </c>
      <c r="T127" s="56">
        <v>3957311</v>
      </c>
      <c r="U127" s="56">
        <v>3672823</v>
      </c>
      <c r="V127" s="56">
        <v>3356355</v>
      </c>
      <c r="W127" s="56">
        <v>3577938</v>
      </c>
      <c r="X127" s="56">
        <v>4031724</v>
      </c>
      <c r="Y127" s="56">
        <v>4715178</v>
      </c>
      <c r="Z127" s="56">
        <v>6253307</v>
      </c>
      <c r="AA127" s="56">
        <v>5546639</v>
      </c>
      <c r="AB127" s="56">
        <v>4273846</v>
      </c>
      <c r="AC127" s="57">
        <v>4533801</v>
      </c>
      <c r="AD127" t="str">
        <f>INDEX('Category Mapping'!$G$28:$G$39,MATCH(E127,'Category Mapping'!$A$28:$A$39,0),1)</f>
        <v>Spring</v>
      </c>
      <c r="AE127" t="str">
        <f>INDEX('Category Mapping'!$B$2:$B$25,MATCH('Source Data'!A127,'Category Mapping'!$A$2:$A$25,0))</f>
        <v>Weekday</v>
      </c>
      <c r="AF127" t="str">
        <f>INDEX('Category Mapping'!$C$2:$C$25,MATCH('Source Data'!A127,'Category Mapping'!$A$2:$A$25,0))</f>
        <v>Commercial</v>
      </c>
      <c r="AG127" t="str">
        <f>INDEX('Category Mapping'!$D$2:$D$25,MATCH('Source Data'!A127,'Category Mapping'!$A$2:$A$25,0))</f>
        <v>Heating</v>
      </c>
    </row>
    <row r="128" spans="1:33" x14ac:dyDescent="0.3">
      <c r="A128" s="58" t="s">
        <v>101</v>
      </c>
      <c r="B128" s="59">
        <v>2019</v>
      </c>
      <c r="C128" s="59">
        <v>19</v>
      </c>
      <c r="D128" s="59" t="s">
        <v>269</v>
      </c>
      <c r="E128" s="59">
        <v>6</v>
      </c>
      <c r="F128" s="59">
        <v>1105477</v>
      </c>
      <c r="G128" s="59">
        <v>1104580</v>
      </c>
      <c r="H128" s="59">
        <v>1135704</v>
      </c>
      <c r="I128" s="59">
        <v>1164114</v>
      </c>
      <c r="J128" s="59">
        <v>1127001</v>
      </c>
      <c r="K128" s="59">
        <v>1640218</v>
      </c>
      <c r="L128" s="59">
        <v>2368709</v>
      </c>
      <c r="M128" s="59">
        <v>1902970</v>
      </c>
      <c r="N128" s="59">
        <v>1266102</v>
      </c>
      <c r="O128" s="59">
        <v>1007682</v>
      </c>
      <c r="P128" s="59">
        <v>866160</v>
      </c>
      <c r="Q128" s="59">
        <v>753706</v>
      </c>
      <c r="R128" s="59">
        <v>689861</v>
      </c>
      <c r="S128" s="59">
        <v>636455</v>
      </c>
      <c r="T128" s="59">
        <v>589596</v>
      </c>
      <c r="U128" s="59">
        <v>541806</v>
      </c>
      <c r="V128" s="59">
        <v>504816</v>
      </c>
      <c r="W128" s="59">
        <v>515053</v>
      </c>
      <c r="X128" s="59">
        <v>601351</v>
      </c>
      <c r="Y128" s="59">
        <v>701190</v>
      </c>
      <c r="Z128" s="59">
        <v>955758</v>
      </c>
      <c r="AA128" s="59">
        <v>1006258</v>
      </c>
      <c r="AB128" s="59">
        <v>971636</v>
      </c>
      <c r="AC128" s="60">
        <v>1039891</v>
      </c>
      <c r="AD128" t="str">
        <f>INDEX('Category Mapping'!$G$28:$G$39,MATCH(E128,'Category Mapping'!$A$28:$A$39,0),1)</f>
        <v>Summer</v>
      </c>
      <c r="AE128" t="str">
        <f>INDEX('Category Mapping'!$B$2:$B$25,MATCH('Source Data'!A128,'Category Mapping'!$A$2:$A$25,0))</f>
        <v>Weekday</v>
      </c>
      <c r="AF128" t="str">
        <f>INDEX('Category Mapping'!$C$2:$C$25,MATCH('Source Data'!A128,'Category Mapping'!$A$2:$A$25,0))</f>
        <v>Commercial</v>
      </c>
      <c r="AG128" t="str">
        <f>INDEX('Category Mapping'!$D$2:$D$25,MATCH('Source Data'!A128,'Category Mapping'!$A$2:$A$25,0))</f>
        <v>Heating</v>
      </c>
    </row>
    <row r="129" spans="1:33" x14ac:dyDescent="0.3">
      <c r="A129" s="55" t="s">
        <v>101</v>
      </c>
      <c r="B129" s="56">
        <v>2019</v>
      </c>
      <c r="C129" s="56">
        <v>19</v>
      </c>
      <c r="D129" s="56" t="s">
        <v>269</v>
      </c>
      <c r="E129" s="56">
        <v>7</v>
      </c>
      <c r="F129" s="56">
        <v>198366</v>
      </c>
      <c r="G129" s="56">
        <v>198366</v>
      </c>
      <c r="H129" s="56">
        <v>198366</v>
      </c>
      <c r="I129" s="56">
        <v>198366</v>
      </c>
      <c r="J129" s="56">
        <v>198366</v>
      </c>
      <c r="K129" s="56">
        <v>198366</v>
      </c>
      <c r="L129" s="56">
        <v>198366</v>
      </c>
      <c r="M129" s="56">
        <v>198366</v>
      </c>
      <c r="N129" s="56">
        <v>198366</v>
      </c>
      <c r="O129" s="56">
        <v>198366</v>
      </c>
      <c r="P129" s="56">
        <v>198366</v>
      </c>
      <c r="Q129" s="56">
        <v>198366</v>
      </c>
      <c r="R129" s="56">
        <v>198366</v>
      </c>
      <c r="S129" s="56">
        <v>198366</v>
      </c>
      <c r="T129" s="56">
        <v>198366</v>
      </c>
      <c r="U129" s="56">
        <v>198366</v>
      </c>
      <c r="V129" s="56">
        <v>198366</v>
      </c>
      <c r="W129" s="56">
        <v>198366</v>
      </c>
      <c r="X129" s="56">
        <v>198366</v>
      </c>
      <c r="Y129" s="56">
        <v>198366</v>
      </c>
      <c r="Z129" s="56">
        <v>198366</v>
      </c>
      <c r="AA129" s="56">
        <v>198366</v>
      </c>
      <c r="AB129" s="56">
        <v>198366</v>
      </c>
      <c r="AC129" s="57">
        <v>198366</v>
      </c>
      <c r="AD129" t="str">
        <f>INDEX('Category Mapping'!$G$28:$G$39,MATCH(E129,'Category Mapping'!$A$28:$A$39,0),1)</f>
        <v>Summer</v>
      </c>
      <c r="AE129" t="str">
        <f>INDEX('Category Mapping'!$B$2:$B$25,MATCH('Source Data'!A129,'Category Mapping'!$A$2:$A$25,0))</f>
        <v>Weekday</v>
      </c>
      <c r="AF129" t="str">
        <f>INDEX('Category Mapping'!$C$2:$C$25,MATCH('Source Data'!A129,'Category Mapping'!$A$2:$A$25,0))</f>
        <v>Commercial</v>
      </c>
      <c r="AG129" t="str">
        <f>INDEX('Category Mapping'!$D$2:$D$25,MATCH('Source Data'!A129,'Category Mapping'!$A$2:$A$25,0))</f>
        <v>Heating</v>
      </c>
    </row>
    <row r="130" spans="1:33" x14ac:dyDescent="0.3">
      <c r="A130" s="58" t="s">
        <v>101</v>
      </c>
      <c r="B130" s="59">
        <v>2019</v>
      </c>
      <c r="C130" s="59">
        <v>19</v>
      </c>
      <c r="D130" s="59" t="s">
        <v>269</v>
      </c>
      <c r="E130" s="59">
        <v>8</v>
      </c>
      <c r="F130" s="59">
        <v>207628</v>
      </c>
      <c r="G130" s="59">
        <v>207628</v>
      </c>
      <c r="H130" s="59">
        <v>207628</v>
      </c>
      <c r="I130" s="59">
        <v>207628</v>
      </c>
      <c r="J130" s="59">
        <v>207628</v>
      </c>
      <c r="K130" s="59">
        <v>207628</v>
      </c>
      <c r="L130" s="59">
        <v>207628</v>
      </c>
      <c r="M130" s="59">
        <v>207628</v>
      </c>
      <c r="N130" s="59">
        <v>207628</v>
      </c>
      <c r="O130" s="59">
        <v>207628</v>
      </c>
      <c r="P130" s="59">
        <v>207628</v>
      </c>
      <c r="Q130" s="59">
        <v>207628</v>
      </c>
      <c r="R130" s="59">
        <v>207628</v>
      </c>
      <c r="S130" s="59">
        <v>207628</v>
      </c>
      <c r="T130" s="59">
        <v>207628</v>
      </c>
      <c r="U130" s="59">
        <v>207628</v>
      </c>
      <c r="V130" s="59">
        <v>207628</v>
      </c>
      <c r="W130" s="59">
        <v>207628</v>
      </c>
      <c r="X130" s="59">
        <v>207628</v>
      </c>
      <c r="Y130" s="59">
        <v>207628</v>
      </c>
      <c r="Z130" s="59">
        <v>207628</v>
      </c>
      <c r="AA130" s="59">
        <v>207628</v>
      </c>
      <c r="AB130" s="59">
        <v>207628</v>
      </c>
      <c r="AC130" s="60">
        <v>207628</v>
      </c>
      <c r="AD130" t="str">
        <f>INDEX('Category Mapping'!$G$28:$G$39,MATCH(E130,'Category Mapping'!$A$28:$A$39,0),1)</f>
        <v>Summer</v>
      </c>
      <c r="AE130" t="str">
        <f>INDEX('Category Mapping'!$B$2:$B$25,MATCH('Source Data'!A130,'Category Mapping'!$A$2:$A$25,0))</f>
        <v>Weekday</v>
      </c>
      <c r="AF130" t="str">
        <f>INDEX('Category Mapping'!$C$2:$C$25,MATCH('Source Data'!A130,'Category Mapping'!$A$2:$A$25,0))</f>
        <v>Commercial</v>
      </c>
      <c r="AG130" t="str">
        <f>INDEX('Category Mapping'!$D$2:$D$25,MATCH('Source Data'!A130,'Category Mapping'!$A$2:$A$25,0))</f>
        <v>Heating</v>
      </c>
    </row>
    <row r="131" spans="1:33" x14ac:dyDescent="0.3">
      <c r="A131" s="55" t="s">
        <v>101</v>
      </c>
      <c r="B131" s="56">
        <v>2019</v>
      </c>
      <c r="C131" s="56">
        <v>19</v>
      </c>
      <c r="D131" s="56" t="s">
        <v>269</v>
      </c>
      <c r="E131" s="56">
        <v>9</v>
      </c>
      <c r="F131" s="56">
        <v>2929728</v>
      </c>
      <c r="G131" s="56">
        <v>2850955</v>
      </c>
      <c r="H131" s="56">
        <v>2910694</v>
      </c>
      <c r="I131" s="56">
        <v>2966623</v>
      </c>
      <c r="J131" s="56">
        <v>2866526</v>
      </c>
      <c r="K131" s="56">
        <v>4346346</v>
      </c>
      <c r="L131" s="56">
        <v>4376276</v>
      </c>
      <c r="M131" s="56">
        <v>3866558</v>
      </c>
      <c r="N131" s="56">
        <v>2472873</v>
      </c>
      <c r="O131" s="56">
        <v>1832172</v>
      </c>
      <c r="P131" s="56">
        <v>1461359</v>
      </c>
      <c r="Q131" s="56">
        <v>1200085</v>
      </c>
      <c r="R131" s="56">
        <v>1078435</v>
      </c>
      <c r="S131" s="56">
        <v>984863</v>
      </c>
      <c r="T131" s="56">
        <v>914936</v>
      </c>
      <c r="U131" s="56">
        <v>850022</v>
      </c>
      <c r="V131" s="56">
        <v>800877</v>
      </c>
      <c r="W131" s="56">
        <v>854753</v>
      </c>
      <c r="X131" s="56">
        <v>1035695</v>
      </c>
      <c r="Y131" s="56">
        <v>1282673</v>
      </c>
      <c r="Z131" s="56">
        <v>1724551</v>
      </c>
      <c r="AA131" s="56">
        <v>1619485</v>
      </c>
      <c r="AB131" s="56">
        <v>2013487</v>
      </c>
      <c r="AC131" s="57">
        <v>2130997</v>
      </c>
      <c r="AD131" t="str">
        <f>INDEX('Category Mapping'!$G$28:$G$39,MATCH(E131,'Category Mapping'!$A$28:$A$39,0),1)</f>
        <v>Fall</v>
      </c>
      <c r="AE131" t="str">
        <f>INDEX('Category Mapping'!$B$2:$B$25,MATCH('Source Data'!A131,'Category Mapping'!$A$2:$A$25,0))</f>
        <v>Weekday</v>
      </c>
      <c r="AF131" t="str">
        <f>INDEX('Category Mapping'!$C$2:$C$25,MATCH('Source Data'!A131,'Category Mapping'!$A$2:$A$25,0))</f>
        <v>Commercial</v>
      </c>
      <c r="AG131" t="str">
        <f>INDEX('Category Mapping'!$D$2:$D$25,MATCH('Source Data'!A131,'Category Mapping'!$A$2:$A$25,0))</f>
        <v>Heating</v>
      </c>
    </row>
    <row r="132" spans="1:33" x14ac:dyDescent="0.3">
      <c r="A132" s="58" t="s">
        <v>101</v>
      </c>
      <c r="B132" s="59">
        <v>2019</v>
      </c>
      <c r="C132" s="59">
        <v>19</v>
      </c>
      <c r="D132" s="59" t="s">
        <v>269</v>
      </c>
      <c r="E132" s="59">
        <v>10</v>
      </c>
      <c r="F132" s="59">
        <v>14200000</v>
      </c>
      <c r="G132" s="59">
        <v>12800000</v>
      </c>
      <c r="H132" s="59">
        <v>12900000</v>
      </c>
      <c r="I132" s="59">
        <v>13100000</v>
      </c>
      <c r="J132" s="59">
        <v>12700000</v>
      </c>
      <c r="K132" s="59">
        <v>21200000</v>
      </c>
      <c r="L132" s="59">
        <v>36600000</v>
      </c>
      <c r="M132" s="59">
        <v>33000000</v>
      </c>
      <c r="N132" s="59">
        <v>22700000</v>
      </c>
      <c r="O132" s="59">
        <v>17300000</v>
      </c>
      <c r="P132" s="59">
        <v>13900000</v>
      </c>
      <c r="Q132" s="59">
        <v>11300000</v>
      </c>
      <c r="R132" s="59">
        <v>10100000</v>
      </c>
      <c r="S132" s="59">
        <v>9208803</v>
      </c>
      <c r="T132" s="59">
        <v>8571802</v>
      </c>
      <c r="U132" s="59">
        <v>8010053</v>
      </c>
      <c r="V132" s="59">
        <v>7488322</v>
      </c>
      <c r="W132" s="59">
        <v>8693915</v>
      </c>
      <c r="X132" s="59">
        <v>10800000</v>
      </c>
      <c r="Y132" s="59">
        <v>12900000</v>
      </c>
      <c r="Z132" s="59">
        <v>15900000</v>
      </c>
      <c r="AA132" s="59">
        <v>11700000</v>
      </c>
      <c r="AB132" s="59">
        <v>10200000</v>
      </c>
      <c r="AC132" s="60">
        <v>10700000</v>
      </c>
      <c r="AD132" t="str">
        <f>INDEX('Category Mapping'!$G$28:$G$39,MATCH(E132,'Category Mapping'!$A$28:$A$39,0),1)</f>
        <v>Fall</v>
      </c>
      <c r="AE132" t="str">
        <f>INDEX('Category Mapping'!$B$2:$B$25,MATCH('Source Data'!A132,'Category Mapping'!$A$2:$A$25,0))</f>
        <v>Weekday</v>
      </c>
      <c r="AF132" t="str">
        <f>INDEX('Category Mapping'!$C$2:$C$25,MATCH('Source Data'!A132,'Category Mapping'!$A$2:$A$25,0))</f>
        <v>Commercial</v>
      </c>
      <c r="AG132" t="str">
        <f>INDEX('Category Mapping'!$D$2:$D$25,MATCH('Source Data'!A132,'Category Mapping'!$A$2:$A$25,0))</f>
        <v>Heating</v>
      </c>
    </row>
    <row r="133" spans="1:33" x14ac:dyDescent="0.3">
      <c r="A133" s="55" t="s">
        <v>101</v>
      </c>
      <c r="B133" s="56">
        <v>2019</v>
      </c>
      <c r="C133" s="56">
        <v>19</v>
      </c>
      <c r="D133" s="56" t="s">
        <v>269</v>
      </c>
      <c r="E133" s="56">
        <v>11</v>
      </c>
      <c r="F133" s="56">
        <v>25300000</v>
      </c>
      <c r="G133" s="56">
        <v>23300000</v>
      </c>
      <c r="H133" s="56">
        <v>20700000</v>
      </c>
      <c r="I133" s="56">
        <v>21100000</v>
      </c>
      <c r="J133" s="56">
        <v>21600000</v>
      </c>
      <c r="K133" s="56">
        <v>22900000</v>
      </c>
      <c r="L133" s="56">
        <v>23800000</v>
      </c>
      <c r="M133" s="56">
        <v>75800000</v>
      </c>
      <c r="N133" s="56">
        <v>67200000</v>
      </c>
      <c r="O133" s="56">
        <v>46700000</v>
      </c>
      <c r="P133" s="56">
        <v>37600000</v>
      </c>
      <c r="Q133" s="56">
        <v>32100000</v>
      </c>
      <c r="R133" s="56">
        <v>27700000</v>
      </c>
      <c r="S133" s="56">
        <v>25800000</v>
      </c>
      <c r="T133" s="56">
        <v>24100000</v>
      </c>
      <c r="U133" s="56">
        <v>23300000</v>
      </c>
      <c r="V133" s="56">
        <v>23100000</v>
      </c>
      <c r="W133" s="56">
        <v>24300000</v>
      </c>
      <c r="X133" s="56">
        <v>29600000</v>
      </c>
      <c r="Y133" s="56">
        <v>34100000</v>
      </c>
      <c r="Z133" s="56">
        <v>37300000</v>
      </c>
      <c r="AA133" s="56">
        <v>39800000</v>
      </c>
      <c r="AB133" s="56">
        <v>39000000</v>
      </c>
      <c r="AC133" s="57">
        <v>23700000</v>
      </c>
      <c r="AD133" t="str">
        <f>INDEX('Category Mapping'!$G$28:$G$39,MATCH(E133,'Category Mapping'!$A$28:$A$39,0),1)</f>
        <v>Winter</v>
      </c>
      <c r="AE133" t="str">
        <f>INDEX('Category Mapping'!$B$2:$B$25,MATCH('Source Data'!A133,'Category Mapping'!$A$2:$A$25,0))</f>
        <v>Weekday</v>
      </c>
      <c r="AF133" t="str">
        <f>INDEX('Category Mapping'!$C$2:$C$25,MATCH('Source Data'!A133,'Category Mapping'!$A$2:$A$25,0))</f>
        <v>Commercial</v>
      </c>
      <c r="AG133" t="str">
        <f>INDEX('Category Mapping'!$D$2:$D$25,MATCH('Source Data'!A133,'Category Mapping'!$A$2:$A$25,0))</f>
        <v>Heating</v>
      </c>
    </row>
    <row r="134" spans="1:33" x14ac:dyDescent="0.3">
      <c r="A134" s="58" t="s">
        <v>101</v>
      </c>
      <c r="B134" s="59">
        <v>2019</v>
      </c>
      <c r="C134" s="59">
        <v>19</v>
      </c>
      <c r="D134" s="59" t="s">
        <v>269</v>
      </c>
      <c r="E134" s="59">
        <v>12</v>
      </c>
      <c r="F134" s="59">
        <v>36800000</v>
      </c>
      <c r="G134" s="59">
        <v>33400000</v>
      </c>
      <c r="H134" s="59">
        <v>29900000</v>
      </c>
      <c r="I134" s="59">
        <v>30700000</v>
      </c>
      <c r="J134" s="59">
        <v>32400000</v>
      </c>
      <c r="K134" s="59">
        <v>32500000</v>
      </c>
      <c r="L134" s="59">
        <v>36800000</v>
      </c>
      <c r="M134" s="59">
        <v>107000000</v>
      </c>
      <c r="N134" s="59">
        <v>110000000</v>
      </c>
      <c r="O134" s="59">
        <v>78500000</v>
      </c>
      <c r="P134" s="59">
        <v>64800000</v>
      </c>
      <c r="Q134" s="59">
        <v>56500000</v>
      </c>
      <c r="R134" s="59">
        <v>49600000</v>
      </c>
      <c r="S134" s="59">
        <v>46600000</v>
      </c>
      <c r="T134" s="59">
        <v>43900000</v>
      </c>
      <c r="U134" s="59">
        <v>42500000</v>
      </c>
      <c r="V134" s="59">
        <v>42300000</v>
      </c>
      <c r="W134" s="59">
        <v>43800000</v>
      </c>
      <c r="X134" s="59">
        <v>51000000</v>
      </c>
      <c r="Y134" s="59">
        <v>57200000</v>
      </c>
      <c r="Z134" s="59">
        <v>60800000</v>
      </c>
      <c r="AA134" s="59">
        <v>65900000</v>
      </c>
      <c r="AB134" s="59">
        <v>65500000</v>
      </c>
      <c r="AC134" s="60">
        <v>31700000</v>
      </c>
      <c r="AD134" t="str">
        <f>INDEX('Category Mapping'!$G$28:$G$39,MATCH(E134,'Category Mapping'!$A$28:$A$39,0),1)</f>
        <v>Winter</v>
      </c>
      <c r="AE134" t="str">
        <f>INDEX('Category Mapping'!$B$2:$B$25,MATCH('Source Data'!A134,'Category Mapping'!$A$2:$A$25,0))</f>
        <v>Weekday</v>
      </c>
      <c r="AF134" t="str">
        <f>INDEX('Category Mapping'!$C$2:$C$25,MATCH('Source Data'!A134,'Category Mapping'!$A$2:$A$25,0))</f>
        <v>Commercial</v>
      </c>
      <c r="AG134" t="str">
        <f>INDEX('Category Mapping'!$D$2:$D$25,MATCH('Source Data'!A134,'Category Mapping'!$A$2:$A$25,0))</f>
        <v>Heating</v>
      </c>
    </row>
    <row r="135" spans="1:33" x14ac:dyDescent="0.3">
      <c r="A135" s="55" t="s">
        <v>102</v>
      </c>
      <c r="B135" s="56">
        <v>2019</v>
      </c>
      <c r="C135" s="56">
        <v>19</v>
      </c>
      <c r="D135" s="56" t="s">
        <v>269</v>
      </c>
      <c r="E135" s="56">
        <v>1</v>
      </c>
      <c r="F135" s="56">
        <v>12800000</v>
      </c>
      <c r="G135" s="56">
        <v>12600000</v>
      </c>
      <c r="H135" s="56">
        <v>11400000</v>
      </c>
      <c r="I135" s="56">
        <v>12100000</v>
      </c>
      <c r="J135" s="56">
        <v>12500000</v>
      </c>
      <c r="K135" s="56">
        <v>13200000</v>
      </c>
      <c r="L135" s="56">
        <v>15400000</v>
      </c>
      <c r="M135" s="56">
        <v>29700000</v>
      </c>
      <c r="N135" s="56">
        <v>37900000</v>
      </c>
      <c r="O135" s="56">
        <v>31200000</v>
      </c>
      <c r="P135" s="56">
        <v>26600000</v>
      </c>
      <c r="Q135" s="56">
        <v>23700000</v>
      </c>
      <c r="R135" s="56">
        <v>21500000</v>
      </c>
      <c r="S135" s="56">
        <v>19900000</v>
      </c>
      <c r="T135" s="56">
        <v>18800000</v>
      </c>
      <c r="U135" s="56">
        <v>19400000</v>
      </c>
      <c r="V135" s="56">
        <v>19200000</v>
      </c>
      <c r="W135" s="56">
        <v>20700000</v>
      </c>
      <c r="X135" s="56">
        <v>23800000</v>
      </c>
      <c r="Y135" s="56">
        <v>16600000</v>
      </c>
      <c r="Z135" s="56">
        <v>16700000</v>
      </c>
      <c r="AA135" s="56">
        <v>18100000</v>
      </c>
      <c r="AB135" s="56">
        <v>18500000</v>
      </c>
      <c r="AC135" s="57">
        <v>15500000</v>
      </c>
      <c r="AD135" t="str">
        <f>INDEX('Category Mapping'!$G$28:$G$39,MATCH(E135,'Category Mapping'!$A$28:$A$39,0),1)</f>
        <v>Winter</v>
      </c>
      <c r="AE135" t="str">
        <f>INDEX('Category Mapping'!$B$2:$B$25,MATCH('Source Data'!A135,'Category Mapping'!$A$2:$A$25,0))</f>
        <v>Weekend</v>
      </c>
      <c r="AF135" t="str">
        <f>INDEX('Category Mapping'!$C$2:$C$25,MATCH('Source Data'!A135,'Category Mapping'!$A$2:$A$25,0))</f>
        <v>Commercial</v>
      </c>
      <c r="AG135" t="str">
        <f>INDEX('Category Mapping'!$D$2:$D$25,MATCH('Source Data'!A135,'Category Mapping'!$A$2:$A$25,0))</f>
        <v>Heating</v>
      </c>
    </row>
    <row r="136" spans="1:33" x14ac:dyDescent="0.3">
      <c r="A136" s="58" t="s">
        <v>102</v>
      </c>
      <c r="B136" s="59">
        <v>2019</v>
      </c>
      <c r="C136" s="59">
        <v>19</v>
      </c>
      <c r="D136" s="59" t="s">
        <v>269</v>
      </c>
      <c r="E136" s="59">
        <v>2</v>
      </c>
      <c r="F136" s="59">
        <v>10900000</v>
      </c>
      <c r="G136" s="59">
        <v>10100000</v>
      </c>
      <c r="H136" s="59">
        <v>9070712</v>
      </c>
      <c r="I136" s="59">
        <v>9474688</v>
      </c>
      <c r="J136" s="59">
        <v>10000000</v>
      </c>
      <c r="K136" s="59">
        <v>10400000</v>
      </c>
      <c r="L136" s="59">
        <v>12600000</v>
      </c>
      <c r="M136" s="59">
        <v>25900000</v>
      </c>
      <c r="N136" s="59">
        <v>32700000</v>
      </c>
      <c r="O136" s="59">
        <v>25800000</v>
      </c>
      <c r="P136" s="59">
        <v>21700000</v>
      </c>
      <c r="Q136" s="59">
        <v>19000000</v>
      </c>
      <c r="R136" s="59">
        <v>17200000</v>
      </c>
      <c r="S136" s="59">
        <v>15700000</v>
      </c>
      <c r="T136" s="59">
        <v>14800000</v>
      </c>
      <c r="U136" s="59">
        <v>15100000</v>
      </c>
      <c r="V136" s="59">
        <v>14800000</v>
      </c>
      <c r="W136" s="59">
        <v>15600000</v>
      </c>
      <c r="X136" s="59">
        <v>18400000</v>
      </c>
      <c r="Y136" s="59">
        <v>12600000</v>
      </c>
      <c r="Z136" s="59">
        <v>13100000</v>
      </c>
      <c r="AA136" s="59">
        <v>14200000</v>
      </c>
      <c r="AB136" s="59">
        <v>14700000</v>
      </c>
      <c r="AC136" s="60">
        <v>12000000</v>
      </c>
      <c r="AD136" t="str">
        <f>INDEX('Category Mapping'!$G$28:$G$39,MATCH(E136,'Category Mapping'!$A$28:$A$39,0),1)</f>
        <v>Winter</v>
      </c>
      <c r="AE136" t="str">
        <f>INDEX('Category Mapping'!$B$2:$B$25,MATCH('Source Data'!A136,'Category Mapping'!$A$2:$A$25,0))</f>
        <v>Weekend</v>
      </c>
      <c r="AF136" t="str">
        <f>INDEX('Category Mapping'!$C$2:$C$25,MATCH('Source Data'!A136,'Category Mapping'!$A$2:$A$25,0))</f>
        <v>Commercial</v>
      </c>
      <c r="AG136" t="str">
        <f>INDEX('Category Mapping'!$D$2:$D$25,MATCH('Source Data'!A136,'Category Mapping'!$A$2:$A$25,0))</f>
        <v>Heating</v>
      </c>
    </row>
    <row r="137" spans="1:33" x14ac:dyDescent="0.3">
      <c r="A137" s="55" t="s">
        <v>102</v>
      </c>
      <c r="B137" s="56">
        <v>2019</v>
      </c>
      <c r="C137" s="56">
        <v>19</v>
      </c>
      <c r="D137" s="56" t="s">
        <v>269</v>
      </c>
      <c r="E137" s="56">
        <v>3</v>
      </c>
      <c r="F137" s="56">
        <v>9077037</v>
      </c>
      <c r="G137" s="56">
        <v>8020362</v>
      </c>
      <c r="H137" s="56">
        <v>7708773</v>
      </c>
      <c r="I137" s="56">
        <v>7958585</v>
      </c>
      <c r="J137" s="56">
        <v>8207315</v>
      </c>
      <c r="K137" s="56">
        <v>9328540</v>
      </c>
      <c r="L137" s="56">
        <v>15900000</v>
      </c>
      <c r="M137" s="56">
        <v>23900000</v>
      </c>
      <c r="N137" s="56">
        <v>24100000</v>
      </c>
      <c r="O137" s="56">
        <v>19200000</v>
      </c>
      <c r="P137" s="56">
        <v>16100000</v>
      </c>
      <c r="Q137" s="56">
        <v>14200000</v>
      </c>
      <c r="R137" s="56">
        <v>12800000</v>
      </c>
      <c r="S137" s="56">
        <v>11800000</v>
      </c>
      <c r="T137" s="56">
        <v>11500000</v>
      </c>
      <c r="U137" s="56">
        <v>11200000</v>
      </c>
      <c r="V137" s="56">
        <v>11000000</v>
      </c>
      <c r="W137" s="56">
        <v>11900000</v>
      </c>
      <c r="X137" s="56">
        <v>12000000</v>
      </c>
      <c r="Y137" s="56">
        <v>10100000</v>
      </c>
      <c r="Z137" s="56">
        <v>11100000</v>
      </c>
      <c r="AA137" s="56">
        <v>11600000</v>
      </c>
      <c r="AB137" s="56">
        <v>10500000</v>
      </c>
      <c r="AC137" s="57">
        <v>9864752</v>
      </c>
      <c r="AD137" t="str">
        <f>INDEX('Category Mapping'!$G$28:$G$39,MATCH(E137,'Category Mapping'!$A$28:$A$39,0),1)</f>
        <v>Spring</v>
      </c>
      <c r="AE137" t="str">
        <f>INDEX('Category Mapping'!$B$2:$B$25,MATCH('Source Data'!A137,'Category Mapping'!$A$2:$A$25,0))</f>
        <v>Weekend</v>
      </c>
      <c r="AF137" t="str">
        <f>INDEX('Category Mapping'!$C$2:$C$25,MATCH('Source Data'!A137,'Category Mapping'!$A$2:$A$25,0))</f>
        <v>Commercial</v>
      </c>
      <c r="AG137" t="str">
        <f>INDEX('Category Mapping'!$D$2:$D$25,MATCH('Source Data'!A137,'Category Mapping'!$A$2:$A$25,0))</f>
        <v>Heating</v>
      </c>
    </row>
    <row r="138" spans="1:33" x14ac:dyDescent="0.3">
      <c r="A138" s="58" t="s">
        <v>102</v>
      </c>
      <c r="B138" s="59">
        <v>2019</v>
      </c>
      <c r="C138" s="59">
        <v>19</v>
      </c>
      <c r="D138" s="59" t="s">
        <v>269</v>
      </c>
      <c r="E138" s="59">
        <v>4</v>
      </c>
      <c r="F138" s="59">
        <v>5218639</v>
      </c>
      <c r="G138" s="59">
        <v>4671067</v>
      </c>
      <c r="H138" s="59">
        <v>4745185</v>
      </c>
      <c r="I138" s="59">
        <v>4827337</v>
      </c>
      <c r="J138" s="59">
        <v>4816634</v>
      </c>
      <c r="K138" s="59">
        <v>5718600</v>
      </c>
      <c r="L138" s="59">
        <v>11500000</v>
      </c>
      <c r="M138" s="59">
        <v>12200000</v>
      </c>
      <c r="N138" s="59">
        <v>9939302</v>
      </c>
      <c r="O138" s="59">
        <v>8389465</v>
      </c>
      <c r="P138" s="59">
        <v>7215264</v>
      </c>
      <c r="Q138" s="59">
        <v>6421846</v>
      </c>
      <c r="R138" s="59">
        <v>5855516</v>
      </c>
      <c r="S138" s="59">
        <v>5505845</v>
      </c>
      <c r="T138" s="59">
        <v>5511896</v>
      </c>
      <c r="U138" s="59">
        <v>4972132</v>
      </c>
      <c r="V138" s="59">
        <v>4959262</v>
      </c>
      <c r="W138" s="59">
        <v>5502430</v>
      </c>
      <c r="X138" s="59">
        <v>4900848</v>
      </c>
      <c r="Y138" s="59">
        <v>5310237</v>
      </c>
      <c r="Z138" s="59">
        <v>6180292</v>
      </c>
      <c r="AA138" s="59">
        <v>6276157</v>
      </c>
      <c r="AB138" s="59">
        <v>5366521</v>
      </c>
      <c r="AC138" s="60">
        <v>5647324</v>
      </c>
      <c r="AD138" t="str">
        <f>INDEX('Category Mapping'!$G$28:$G$39,MATCH(E138,'Category Mapping'!$A$28:$A$39,0),1)</f>
        <v>Spring</v>
      </c>
      <c r="AE138" t="str">
        <f>INDEX('Category Mapping'!$B$2:$B$25,MATCH('Source Data'!A138,'Category Mapping'!$A$2:$A$25,0))</f>
        <v>Weekend</v>
      </c>
      <c r="AF138" t="str">
        <f>INDEX('Category Mapping'!$C$2:$C$25,MATCH('Source Data'!A138,'Category Mapping'!$A$2:$A$25,0))</f>
        <v>Commercial</v>
      </c>
      <c r="AG138" t="str">
        <f>INDEX('Category Mapping'!$D$2:$D$25,MATCH('Source Data'!A138,'Category Mapping'!$A$2:$A$25,0))</f>
        <v>Heating</v>
      </c>
    </row>
    <row r="139" spans="1:33" x14ac:dyDescent="0.3">
      <c r="A139" s="55" t="s">
        <v>102</v>
      </c>
      <c r="B139" s="56">
        <v>2019</v>
      </c>
      <c r="C139" s="56">
        <v>19</v>
      </c>
      <c r="D139" s="56" t="s">
        <v>269</v>
      </c>
      <c r="E139" s="56">
        <v>5</v>
      </c>
      <c r="F139" s="56">
        <v>1846643</v>
      </c>
      <c r="G139" s="56">
        <v>1740361</v>
      </c>
      <c r="H139" s="56">
        <v>1771415</v>
      </c>
      <c r="I139" s="56">
        <v>1801019</v>
      </c>
      <c r="J139" s="56">
        <v>1783184</v>
      </c>
      <c r="K139" s="56">
        <v>2014466</v>
      </c>
      <c r="L139" s="56">
        <v>3118879</v>
      </c>
      <c r="M139" s="56">
        <v>3194588</v>
      </c>
      <c r="N139" s="56">
        <v>2603892</v>
      </c>
      <c r="O139" s="56">
        <v>2213333</v>
      </c>
      <c r="P139" s="56">
        <v>1929909</v>
      </c>
      <c r="Q139" s="56">
        <v>1746941</v>
      </c>
      <c r="R139" s="56">
        <v>1605981</v>
      </c>
      <c r="S139" s="56">
        <v>1515643</v>
      </c>
      <c r="T139" s="56">
        <v>1491386</v>
      </c>
      <c r="U139" s="56">
        <v>1315623</v>
      </c>
      <c r="V139" s="56">
        <v>1305995</v>
      </c>
      <c r="W139" s="56">
        <v>1421624</v>
      </c>
      <c r="X139" s="56">
        <v>1439540</v>
      </c>
      <c r="Y139" s="56">
        <v>1564760</v>
      </c>
      <c r="Z139" s="56">
        <v>1870970</v>
      </c>
      <c r="AA139" s="56">
        <v>1905023</v>
      </c>
      <c r="AB139" s="56">
        <v>1788147</v>
      </c>
      <c r="AC139" s="57">
        <v>1884670</v>
      </c>
      <c r="AD139" t="str">
        <f>INDEX('Category Mapping'!$G$28:$G$39,MATCH(E139,'Category Mapping'!$A$28:$A$39,0),1)</f>
        <v>Spring</v>
      </c>
      <c r="AE139" t="str">
        <f>INDEX('Category Mapping'!$B$2:$B$25,MATCH('Source Data'!A139,'Category Mapping'!$A$2:$A$25,0))</f>
        <v>Weekend</v>
      </c>
      <c r="AF139" t="str">
        <f>INDEX('Category Mapping'!$C$2:$C$25,MATCH('Source Data'!A139,'Category Mapping'!$A$2:$A$25,0))</f>
        <v>Commercial</v>
      </c>
      <c r="AG139" t="str">
        <f>INDEX('Category Mapping'!$D$2:$D$25,MATCH('Source Data'!A139,'Category Mapping'!$A$2:$A$25,0))</f>
        <v>Heating</v>
      </c>
    </row>
    <row r="140" spans="1:33" x14ac:dyDescent="0.3">
      <c r="A140" s="58" t="s">
        <v>102</v>
      </c>
      <c r="B140" s="59">
        <v>2019</v>
      </c>
      <c r="C140" s="59">
        <v>19</v>
      </c>
      <c r="D140" s="59" t="s">
        <v>269</v>
      </c>
      <c r="E140" s="59">
        <v>6</v>
      </c>
      <c r="F140" s="59">
        <v>361235</v>
      </c>
      <c r="G140" s="59">
        <v>359435</v>
      </c>
      <c r="H140" s="59">
        <v>369213</v>
      </c>
      <c r="I140" s="59">
        <v>378101</v>
      </c>
      <c r="J140" s="59">
        <v>374486</v>
      </c>
      <c r="K140" s="59">
        <v>401454</v>
      </c>
      <c r="L140" s="59">
        <v>460355</v>
      </c>
      <c r="M140" s="59">
        <v>497764</v>
      </c>
      <c r="N140" s="59">
        <v>406445</v>
      </c>
      <c r="O140" s="59">
        <v>344482</v>
      </c>
      <c r="P140" s="59">
        <v>302390</v>
      </c>
      <c r="Q140" s="59">
        <v>276374</v>
      </c>
      <c r="R140" s="59">
        <v>256294</v>
      </c>
      <c r="S140" s="59">
        <v>242234</v>
      </c>
      <c r="T140" s="59">
        <v>233718</v>
      </c>
      <c r="U140" s="59">
        <v>200366</v>
      </c>
      <c r="V140" s="59">
        <v>197911</v>
      </c>
      <c r="W140" s="59">
        <v>212470</v>
      </c>
      <c r="X140" s="59">
        <v>236067</v>
      </c>
      <c r="Y140" s="59">
        <v>256749</v>
      </c>
      <c r="Z140" s="59">
        <v>316912</v>
      </c>
      <c r="AA140" s="59">
        <v>330915</v>
      </c>
      <c r="AB140" s="59">
        <v>344602</v>
      </c>
      <c r="AC140" s="60">
        <v>363914</v>
      </c>
      <c r="AD140" t="str">
        <f>INDEX('Category Mapping'!$G$28:$G$39,MATCH(E140,'Category Mapping'!$A$28:$A$39,0),1)</f>
        <v>Summer</v>
      </c>
      <c r="AE140" t="str">
        <f>INDEX('Category Mapping'!$B$2:$B$25,MATCH('Source Data'!A140,'Category Mapping'!$A$2:$A$25,0))</f>
        <v>Weekend</v>
      </c>
      <c r="AF140" t="str">
        <f>INDEX('Category Mapping'!$C$2:$C$25,MATCH('Source Data'!A140,'Category Mapping'!$A$2:$A$25,0))</f>
        <v>Commercial</v>
      </c>
      <c r="AG140" t="str">
        <f>INDEX('Category Mapping'!$D$2:$D$25,MATCH('Source Data'!A140,'Category Mapping'!$A$2:$A$25,0))</f>
        <v>Heating</v>
      </c>
    </row>
    <row r="141" spans="1:33" x14ac:dyDescent="0.3">
      <c r="A141" s="55" t="s">
        <v>102</v>
      </c>
      <c r="B141" s="56">
        <v>2019</v>
      </c>
      <c r="C141" s="56">
        <v>19</v>
      </c>
      <c r="D141" s="56" t="s">
        <v>269</v>
      </c>
      <c r="E141" s="56">
        <v>7</v>
      </c>
      <c r="F141" s="56">
        <v>63323</v>
      </c>
      <c r="G141" s="56">
        <v>63323</v>
      </c>
      <c r="H141" s="56">
        <v>63323</v>
      </c>
      <c r="I141" s="56">
        <v>63323</v>
      </c>
      <c r="J141" s="56">
        <v>63323</v>
      </c>
      <c r="K141" s="56">
        <v>63323</v>
      </c>
      <c r="L141" s="56">
        <v>63323</v>
      </c>
      <c r="M141" s="56">
        <v>63323</v>
      </c>
      <c r="N141" s="56">
        <v>63323</v>
      </c>
      <c r="O141" s="56">
        <v>63323</v>
      </c>
      <c r="P141" s="56">
        <v>63323</v>
      </c>
      <c r="Q141" s="56">
        <v>63323</v>
      </c>
      <c r="R141" s="56">
        <v>63323</v>
      </c>
      <c r="S141" s="56">
        <v>63323</v>
      </c>
      <c r="T141" s="56">
        <v>63323</v>
      </c>
      <c r="U141" s="56">
        <v>63323</v>
      </c>
      <c r="V141" s="56">
        <v>63323</v>
      </c>
      <c r="W141" s="56">
        <v>63323</v>
      </c>
      <c r="X141" s="56">
        <v>63323</v>
      </c>
      <c r="Y141" s="56">
        <v>63323</v>
      </c>
      <c r="Z141" s="56">
        <v>63323</v>
      </c>
      <c r="AA141" s="56">
        <v>63323</v>
      </c>
      <c r="AB141" s="56">
        <v>63323</v>
      </c>
      <c r="AC141" s="57">
        <v>63323</v>
      </c>
      <c r="AD141" t="str">
        <f>INDEX('Category Mapping'!$G$28:$G$39,MATCH(E141,'Category Mapping'!$A$28:$A$39,0),1)</f>
        <v>Summer</v>
      </c>
      <c r="AE141" t="str">
        <f>INDEX('Category Mapping'!$B$2:$B$25,MATCH('Source Data'!A141,'Category Mapping'!$A$2:$A$25,0))</f>
        <v>Weekend</v>
      </c>
      <c r="AF141" t="str">
        <f>INDEX('Category Mapping'!$C$2:$C$25,MATCH('Source Data'!A141,'Category Mapping'!$A$2:$A$25,0))</f>
        <v>Commercial</v>
      </c>
      <c r="AG141" t="str">
        <f>INDEX('Category Mapping'!$D$2:$D$25,MATCH('Source Data'!A141,'Category Mapping'!$A$2:$A$25,0))</f>
        <v>Heating</v>
      </c>
    </row>
    <row r="142" spans="1:33" x14ac:dyDescent="0.3">
      <c r="A142" s="58" t="s">
        <v>102</v>
      </c>
      <c r="B142" s="59">
        <v>2019</v>
      </c>
      <c r="C142" s="59">
        <v>19</v>
      </c>
      <c r="D142" s="59" t="s">
        <v>269</v>
      </c>
      <c r="E142" s="59">
        <v>8</v>
      </c>
      <c r="F142" s="59">
        <v>66279</v>
      </c>
      <c r="G142" s="59">
        <v>66279</v>
      </c>
      <c r="H142" s="59">
        <v>66279</v>
      </c>
      <c r="I142" s="59">
        <v>66279</v>
      </c>
      <c r="J142" s="59">
        <v>66279</v>
      </c>
      <c r="K142" s="59">
        <v>66279</v>
      </c>
      <c r="L142" s="59">
        <v>66279</v>
      </c>
      <c r="M142" s="59">
        <v>66279</v>
      </c>
      <c r="N142" s="59">
        <v>66279</v>
      </c>
      <c r="O142" s="59">
        <v>66279</v>
      </c>
      <c r="P142" s="59">
        <v>66279</v>
      </c>
      <c r="Q142" s="59">
        <v>66279</v>
      </c>
      <c r="R142" s="59">
        <v>66279</v>
      </c>
      <c r="S142" s="59">
        <v>66279</v>
      </c>
      <c r="T142" s="59">
        <v>66279</v>
      </c>
      <c r="U142" s="59">
        <v>66279</v>
      </c>
      <c r="V142" s="59">
        <v>66279</v>
      </c>
      <c r="W142" s="59">
        <v>66279</v>
      </c>
      <c r="X142" s="59">
        <v>66279</v>
      </c>
      <c r="Y142" s="59">
        <v>66279</v>
      </c>
      <c r="Z142" s="59">
        <v>66279</v>
      </c>
      <c r="AA142" s="59">
        <v>66279</v>
      </c>
      <c r="AB142" s="59">
        <v>66279</v>
      </c>
      <c r="AC142" s="60">
        <v>66279</v>
      </c>
      <c r="AD142" t="str">
        <f>INDEX('Category Mapping'!$G$28:$G$39,MATCH(E142,'Category Mapping'!$A$28:$A$39,0),1)</f>
        <v>Summer</v>
      </c>
      <c r="AE142" t="str">
        <f>INDEX('Category Mapping'!$B$2:$B$25,MATCH('Source Data'!A142,'Category Mapping'!$A$2:$A$25,0))</f>
        <v>Weekend</v>
      </c>
      <c r="AF142" t="str">
        <f>INDEX('Category Mapping'!$C$2:$C$25,MATCH('Source Data'!A142,'Category Mapping'!$A$2:$A$25,0))</f>
        <v>Commercial</v>
      </c>
      <c r="AG142" t="str">
        <f>INDEX('Category Mapping'!$D$2:$D$25,MATCH('Source Data'!A142,'Category Mapping'!$A$2:$A$25,0))</f>
        <v>Heating</v>
      </c>
    </row>
    <row r="143" spans="1:33" x14ac:dyDescent="0.3">
      <c r="A143" s="55" t="s">
        <v>102</v>
      </c>
      <c r="B143" s="56">
        <v>2019</v>
      </c>
      <c r="C143" s="56">
        <v>19</v>
      </c>
      <c r="D143" s="56" t="s">
        <v>269</v>
      </c>
      <c r="E143" s="56">
        <v>9</v>
      </c>
      <c r="F143" s="56">
        <v>672124</v>
      </c>
      <c r="G143" s="56">
        <v>654407</v>
      </c>
      <c r="H143" s="56">
        <v>668802</v>
      </c>
      <c r="I143" s="56">
        <v>682439</v>
      </c>
      <c r="J143" s="56">
        <v>675184</v>
      </c>
      <c r="K143" s="56">
        <v>739429</v>
      </c>
      <c r="L143" s="56">
        <v>1060230</v>
      </c>
      <c r="M143" s="56">
        <v>1191046</v>
      </c>
      <c r="N143" s="56">
        <v>938552</v>
      </c>
      <c r="O143" s="56">
        <v>765618</v>
      </c>
      <c r="P143" s="56">
        <v>645849</v>
      </c>
      <c r="Q143" s="56">
        <v>572880</v>
      </c>
      <c r="R143" s="56">
        <v>521996</v>
      </c>
      <c r="S143" s="56">
        <v>489966</v>
      </c>
      <c r="T143" s="56">
        <v>479456</v>
      </c>
      <c r="U143" s="56">
        <v>410344</v>
      </c>
      <c r="V143" s="56">
        <v>414469</v>
      </c>
      <c r="W143" s="56">
        <v>461274</v>
      </c>
      <c r="X143" s="56">
        <v>486975</v>
      </c>
      <c r="Y143" s="56">
        <v>548997</v>
      </c>
      <c r="Z143" s="56">
        <v>660891</v>
      </c>
      <c r="AA143" s="56">
        <v>668574</v>
      </c>
      <c r="AB143" s="56">
        <v>659688</v>
      </c>
      <c r="AC143" s="57">
        <v>691034</v>
      </c>
      <c r="AD143" t="str">
        <f>INDEX('Category Mapping'!$G$28:$G$39,MATCH(E143,'Category Mapping'!$A$28:$A$39,0),1)</f>
        <v>Fall</v>
      </c>
      <c r="AE143" t="str">
        <f>INDEX('Category Mapping'!$B$2:$B$25,MATCH('Source Data'!A143,'Category Mapping'!$A$2:$A$25,0))</f>
        <v>Weekend</v>
      </c>
      <c r="AF143" t="str">
        <f>INDEX('Category Mapping'!$C$2:$C$25,MATCH('Source Data'!A143,'Category Mapping'!$A$2:$A$25,0))</f>
        <v>Commercial</v>
      </c>
      <c r="AG143" t="str">
        <f>INDEX('Category Mapping'!$D$2:$D$25,MATCH('Source Data'!A143,'Category Mapping'!$A$2:$A$25,0))</f>
        <v>Heating</v>
      </c>
    </row>
    <row r="144" spans="1:33" x14ac:dyDescent="0.3">
      <c r="A144" s="58" t="s">
        <v>102</v>
      </c>
      <c r="B144" s="59">
        <v>2019</v>
      </c>
      <c r="C144" s="59">
        <v>19</v>
      </c>
      <c r="D144" s="59" t="s">
        <v>269</v>
      </c>
      <c r="E144" s="59">
        <v>10</v>
      </c>
      <c r="F144" s="59">
        <v>3815407</v>
      </c>
      <c r="G144" s="59">
        <v>3429233</v>
      </c>
      <c r="H144" s="59">
        <v>3474470</v>
      </c>
      <c r="I144" s="59">
        <v>3526275</v>
      </c>
      <c r="J144" s="59">
        <v>3503241</v>
      </c>
      <c r="K144" s="59">
        <v>4112008</v>
      </c>
      <c r="L144" s="59">
        <v>8072043</v>
      </c>
      <c r="M144" s="59">
        <v>8953361</v>
      </c>
      <c r="N144" s="59">
        <v>7366065</v>
      </c>
      <c r="O144" s="59">
        <v>6025122</v>
      </c>
      <c r="P144" s="59">
        <v>5080371</v>
      </c>
      <c r="Q144" s="59">
        <v>4508250</v>
      </c>
      <c r="R144" s="59">
        <v>4089644</v>
      </c>
      <c r="S144" s="59">
        <v>3841211</v>
      </c>
      <c r="T144" s="59">
        <v>3863725</v>
      </c>
      <c r="U144" s="59">
        <v>3514485</v>
      </c>
      <c r="V144" s="59">
        <v>3584994</v>
      </c>
      <c r="W144" s="59">
        <v>4156366</v>
      </c>
      <c r="X144" s="59">
        <v>3808006</v>
      </c>
      <c r="Y144" s="59">
        <v>4143169</v>
      </c>
      <c r="Z144" s="59">
        <v>4698174</v>
      </c>
      <c r="AA144" s="59">
        <v>4691097</v>
      </c>
      <c r="AB144" s="59">
        <v>4001268</v>
      </c>
      <c r="AC144" s="60">
        <v>4193277</v>
      </c>
      <c r="AD144" t="str">
        <f>INDEX('Category Mapping'!$G$28:$G$39,MATCH(E144,'Category Mapping'!$A$28:$A$39,0),1)</f>
        <v>Fall</v>
      </c>
      <c r="AE144" t="str">
        <f>INDEX('Category Mapping'!$B$2:$B$25,MATCH('Source Data'!A144,'Category Mapping'!$A$2:$A$25,0))</f>
        <v>Weekend</v>
      </c>
      <c r="AF144" t="str">
        <f>INDEX('Category Mapping'!$C$2:$C$25,MATCH('Source Data'!A144,'Category Mapping'!$A$2:$A$25,0))</f>
        <v>Commercial</v>
      </c>
      <c r="AG144" t="str">
        <f>INDEX('Category Mapping'!$D$2:$D$25,MATCH('Source Data'!A144,'Category Mapping'!$A$2:$A$25,0))</f>
        <v>Heating</v>
      </c>
    </row>
    <row r="145" spans="1:33" x14ac:dyDescent="0.3">
      <c r="A145" s="55" t="s">
        <v>102</v>
      </c>
      <c r="B145" s="56">
        <v>2019</v>
      </c>
      <c r="C145" s="56">
        <v>19</v>
      </c>
      <c r="D145" s="56" t="s">
        <v>269</v>
      </c>
      <c r="E145" s="56">
        <v>11</v>
      </c>
      <c r="F145" s="56">
        <v>7804061</v>
      </c>
      <c r="G145" s="56">
        <v>7130356</v>
      </c>
      <c r="H145" s="56">
        <v>6449058</v>
      </c>
      <c r="I145" s="56">
        <v>6599931</v>
      </c>
      <c r="J145" s="56">
        <v>6785656</v>
      </c>
      <c r="K145" s="56">
        <v>7151769</v>
      </c>
      <c r="L145" s="56">
        <v>10600000</v>
      </c>
      <c r="M145" s="56">
        <v>17800000</v>
      </c>
      <c r="N145" s="56">
        <v>18500000</v>
      </c>
      <c r="O145" s="56">
        <v>15200000</v>
      </c>
      <c r="P145" s="56">
        <v>12900000</v>
      </c>
      <c r="Q145" s="56">
        <v>11400000</v>
      </c>
      <c r="R145" s="56">
        <v>10300000</v>
      </c>
      <c r="S145" s="56">
        <v>9477244</v>
      </c>
      <c r="T145" s="56">
        <v>9124239</v>
      </c>
      <c r="U145" s="56">
        <v>9168618</v>
      </c>
      <c r="V145" s="56">
        <v>9240321</v>
      </c>
      <c r="W145" s="56">
        <v>10400000</v>
      </c>
      <c r="X145" s="56">
        <v>11400000</v>
      </c>
      <c r="Y145" s="56">
        <v>9557101</v>
      </c>
      <c r="Z145" s="56">
        <v>9866798</v>
      </c>
      <c r="AA145" s="56">
        <v>10500000</v>
      </c>
      <c r="AB145" s="56">
        <v>10100000</v>
      </c>
      <c r="AC145" s="57">
        <v>8527650</v>
      </c>
      <c r="AD145" t="str">
        <f>INDEX('Category Mapping'!$G$28:$G$39,MATCH(E145,'Category Mapping'!$A$28:$A$39,0),1)</f>
        <v>Winter</v>
      </c>
      <c r="AE145" t="str">
        <f>INDEX('Category Mapping'!$B$2:$B$25,MATCH('Source Data'!A145,'Category Mapping'!$A$2:$A$25,0))</f>
        <v>Weekend</v>
      </c>
      <c r="AF145" t="str">
        <f>INDEX('Category Mapping'!$C$2:$C$25,MATCH('Source Data'!A145,'Category Mapping'!$A$2:$A$25,0))</f>
        <v>Commercial</v>
      </c>
      <c r="AG145" t="str">
        <f>INDEX('Category Mapping'!$D$2:$D$25,MATCH('Source Data'!A145,'Category Mapping'!$A$2:$A$25,0))</f>
        <v>Heating</v>
      </c>
    </row>
    <row r="146" spans="1:33" x14ac:dyDescent="0.3">
      <c r="A146" s="58" t="s">
        <v>102</v>
      </c>
      <c r="B146" s="59">
        <v>2019</v>
      </c>
      <c r="C146" s="59">
        <v>19</v>
      </c>
      <c r="D146" s="59" t="s">
        <v>269</v>
      </c>
      <c r="E146" s="59">
        <v>12</v>
      </c>
      <c r="F146" s="59">
        <v>11000000</v>
      </c>
      <c r="G146" s="59">
        <v>10100000</v>
      </c>
      <c r="H146" s="59">
        <v>9042940</v>
      </c>
      <c r="I146" s="59">
        <v>9398065</v>
      </c>
      <c r="J146" s="59">
        <v>9912965</v>
      </c>
      <c r="K146" s="59">
        <v>10200000</v>
      </c>
      <c r="L146" s="59">
        <v>12400000</v>
      </c>
      <c r="M146" s="59">
        <v>26300000</v>
      </c>
      <c r="N146" s="59">
        <v>32800000</v>
      </c>
      <c r="O146" s="59">
        <v>26500000</v>
      </c>
      <c r="P146" s="59">
        <v>22500000</v>
      </c>
      <c r="Q146" s="59">
        <v>19900000</v>
      </c>
      <c r="R146" s="59">
        <v>18200000</v>
      </c>
      <c r="S146" s="59">
        <v>16900000</v>
      </c>
      <c r="T146" s="59">
        <v>16200000</v>
      </c>
      <c r="U146" s="59">
        <v>16800000</v>
      </c>
      <c r="V146" s="59">
        <v>16900000</v>
      </c>
      <c r="W146" s="59">
        <v>18600000</v>
      </c>
      <c r="X146" s="59">
        <v>21600000</v>
      </c>
      <c r="Y146" s="59">
        <v>14300000</v>
      </c>
      <c r="Z146" s="59">
        <v>14600000</v>
      </c>
      <c r="AA146" s="59">
        <v>15600000</v>
      </c>
      <c r="AB146" s="59">
        <v>16000000</v>
      </c>
      <c r="AC146" s="60">
        <v>13100000</v>
      </c>
      <c r="AD146" t="str">
        <f>INDEX('Category Mapping'!$G$28:$G$39,MATCH(E146,'Category Mapping'!$A$28:$A$39,0),1)</f>
        <v>Winter</v>
      </c>
      <c r="AE146" t="str">
        <f>INDEX('Category Mapping'!$B$2:$B$25,MATCH('Source Data'!A146,'Category Mapping'!$A$2:$A$25,0))</f>
        <v>Weekend</v>
      </c>
      <c r="AF146" t="str">
        <f>INDEX('Category Mapping'!$C$2:$C$25,MATCH('Source Data'!A146,'Category Mapping'!$A$2:$A$25,0))</f>
        <v>Commercial</v>
      </c>
      <c r="AG146" t="str">
        <f>INDEX('Category Mapping'!$D$2:$D$25,MATCH('Source Data'!A146,'Category Mapping'!$A$2:$A$25,0))</f>
        <v>Heating</v>
      </c>
    </row>
    <row r="147" spans="1:33" x14ac:dyDescent="0.3">
      <c r="A147" s="55" t="s">
        <v>103</v>
      </c>
      <c r="B147" s="56">
        <v>2019</v>
      </c>
      <c r="C147" s="56">
        <v>19</v>
      </c>
      <c r="D147" s="56" t="s">
        <v>269</v>
      </c>
      <c r="E147" s="56">
        <v>1</v>
      </c>
      <c r="F147" s="56">
        <v>4724201</v>
      </c>
      <c r="G147" s="56">
        <v>3583468</v>
      </c>
      <c r="H147" s="56">
        <v>3174597</v>
      </c>
      <c r="I147" s="56">
        <v>3167300</v>
      </c>
      <c r="J147" s="56">
        <v>3692419</v>
      </c>
      <c r="K147" s="56">
        <v>5528259</v>
      </c>
      <c r="L147" s="56">
        <v>9097187</v>
      </c>
      <c r="M147" s="56">
        <v>13600000</v>
      </c>
      <c r="N147" s="56">
        <v>14300000</v>
      </c>
      <c r="O147" s="56">
        <v>12300000</v>
      </c>
      <c r="P147" s="56">
        <v>10600000</v>
      </c>
      <c r="Q147" s="56">
        <v>9201468</v>
      </c>
      <c r="R147" s="56">
        <v>8673664</v>
      </c>
      <c r="S147" s="56">
        <v>8708451</v>
      </c>
      <c r="T147" s="56">
        <v>8357538</v>
      </c>
      <c r="U147" s="56">
        <v>8037290</v>
      </c>
      <c r="V147" s="56">
        <v>6853234</v>
      </c>
      <c r="W147" s="56">
        <v>6835010</v>
      </c>
      <c r="X147" s="56">
        <v>9890533</v>
      </c>
      <c r="Y147" s="56">
        <v>9805135</v>
      </c>
      <c r="Z147" s="56">
        <v>8540297</v>
      </c>
      <c r="AA147" s="56">
        <v>10300000</v>
      </c>
      <c r="AB147" s="56">
        <v>9886906</v>
      </c>
      <c r="AC147" s="57">
        <v>6653606</v>
      </c>
      <c r="AD147" t="str">
        <f>INDEX('Category Mapping'!$G$28:$G$39,MATCH(E147,'Category Mapping'!$A$28:$A$39,0),1)</f>
        <v>Winter</v>
      </c>
      <c r="AE147" t="str">
        <f>INDEX('Category Mapping'!$B$2:$B$25,MATCH('Source Data'!A147,'Category Mapping'!$A$2:$A$25,0))</f>
        <v>Weekday</v>
      </c>
      <c r="AF147" t="str">
        <f>INDEX('Category Mapping'!$C$2:$C$25,MATCH('Source Data'!A147,'Category Mapping'!$A$2:$A$25,0))</f>
        <v>Commercial</v>
      </c>
      <c r="AG147" t="str">
        <f>INDEX('Category Mapping'!$D$2:$D$25,MATCH('Source Data'!A147,'Category Mapping'!$A$2:$A$25,0))</f>
        <v>Appliances</v>
      </c>
    </row>
    <row r="148" spans="1:33" x14ac:dyDescent="0.3">
      <c r="A148" s="58" t="s">
        <v>103</v>
      </c>
      <c r="B148" s="59">
        <v>2019</v>
      </c>
      <c r="C148" s="59">
        <v>19</v>
      </c>
      <c r="D148" s="59" t="s">
        <v>269</v>
      </c>
      <c r="E148" s="59">
        <v>2</v>
      </c>
      <c r="F148" s="59">
        <v>4329240</v>
      </c>
      <c r="G148" s="59">
        <v>3283877</v>
      </c>
      <c r="H148" s="59">
        <v>2909189</v>
      </c>
      <c r="I148" s="59">
        <v>2902503</v>
      </c>
      <c r="J148" s="59">
        <v>3383719</v>
      </c>
      <c r="K148" s="59">
        <v>5066077</v>
      </c>
      <c r="L148" s="59">
        <v>8336630</v>
      </c>
      <c r="M148" s="59">
        <v>12400000</v>
      </c>
      <c r="N148" s="59">
        <v>13100000</v>
      </c>
      <c r="O148" s="59">
        <v>11300000</v>
      </c>
      <c r="P148" s="59">
        <v>9685073</v>
      </c>
      <c r="Q148" s="59">
        <v>8432192</v>
      </c>
      <c r="R148" s="59">
        <v>7948514</v>
      </c>
      <c r="S148" s="59">
        <v>7980394</v>
      </c>
      <c r="T148" s="59">
        <v>7658818</v>
      </c>
      <c r="U148" s="59">
        <v>7365343</v>
      </c>
      <c r="V148" s="59">
        <v>6280279</v>
      </c>
      <c r="W148" s="59">
        <v>6263579</v>
      </c>
      <c r="X148" s="59">
        <v>9063649</v>
      </c>
      <c r="Y148" s="59">
        <v>8985390</v>
      </c>
      <c r="Z148" s="59">
        <v>7826297</v>
      </c>
      <c r="AA148" s="59">
        <v>9468200</v>
      </c>
      <c r="AB148" s="59">
        <v>9060325</v>
      </c>
      <c r="AC148" s="60">
        <v>6097341</v>
      </c>
      <c r="AD148" t="str">
        <f>INDEX('Category Mapping'!$G$28:$G$39,MATCH(E148,'Category Mapping'!$A$28:$A$39,0),1)</f>
        <v>Winter</v>
      </c>
      <c r="AE148" t="str">
        <f>INDEX('Category Mapping'!$B$2:$B$25,MATCH('Source Data'!A148,'Category Mapping'!$A$2:$A$25,0))</f>
        <v>Weekday</v>
      </c>
      <c r="AF148" t="str">
        <f>INDEX('Category Mapping'!$C$2:$C$25,MATCH('Source Data'!A148,'Category Mapping'!$A$2:$A$25,0))</f>
        <v>Commercial</v>
      </c>
      <c r="AG148" t="str">
        <f>INDEX('Category Mapping'!$D$2:$D$25,MATCH('Source Data'!A148,'Category Mapping'!$A$2:$A$25,0))</f>
        <v>Appliances</v>
      </c>
    </row>
    <row r="149" spans="1:33" x14ac:dyDescent="0.3">
      <c r="A149" s="55" t="s">
        <v>103</v>
      </c>
      <c r="B149" s="56">
        <v>2019</v>
      </c>
      <c r="C149" s="56">
        <v>19</v>
      </c>
      <c r="D149" s="56" t="s">
        <v>269</v>
      </c>
      <c r="E149" s="56">
        <v>3</v>
      </c>
      <c r="F149" s="56">
        <v>3996073</v>
      </c>
      <c r="G149" s="56">
        <v>3031158</v>
      </c>
      <c r="H149" s="56">
        <v>2685305</v>
      </c>
      <c r="I149" s="56">
        <v>2679133</v>
      </c>
      <c r="J149" s="56">
        <v>3123316</v>
      </c>
      <c r="K149" s="56">
        <v>4676204</v>
      </c>
      <c r="L149" s="56">
        <v>7695063</v>
      </c>
      <c r="M149" s="56">
        <v>11500000</v>
      </c>
      <c r="N149" s="56">
        <v>12100000</v>
      </c>
      <c r="O149" s="56">
        <v>10400000</v>
      </c>
      <c r="P149" s="56">
        <v>8939733</v>
      </c>
      <c r="Q149" s="56">
        <v>7783272</v>
      </c>
      <c r="R149" s="56">
        <v>7336816</v>
      </c>
      <c r="S149" s="56">
        <v>7366242</v>
      </c>
      <c r="T149" s="56">
        <v>7069414</v>
      </c>
      <c r="U149" s="56">
        <v>6798525</v>
      </c>
      <c r="V149" s="56">
        <v>5796965</v>
      </c>
      <c r="W149" s="56">
        <v>5781549</v>
      </c>
      <c r="X149" s="56">
        <v>8366133</v>
      </c>
      <c r="Y149" s="56">
        <v>8293897</v>
      </c>
      <c r="Z149" s="56">
        <v>7224004</v>
      </c>
      <c r="AA149" s="56">
        <v>8739551</v>
      </c>
      <c r="AB149" s="56">
        <v>8363065</v>
      </c>
      <c r="AC149" s="57">
        <v>5628105</v>
      </c>
      <c r="AD149" t="str">
        <f>INDEX('Category Mapping'!$G$28:$G$39,MATCH(E149,'Category Mapping'!$A$28:$A$39,0),1)</f>
        <v>Spring</v>
      </c>
      <c r="AE149" t="str">
        <f>INDEX('Category Mapping'!$B$2:$B$25,MATCH('Source Data'!A149,'Category Mapping'!$A$2:$A$25,0))</f>
        <v>Weekday</v>
      </c>
      <c r="AF149" t="str">
        <f>INDEX('Category Mapping'!$C$2:$C$25,MATCH('Source Data'!A149,'Category Mapping'!$A$2:$A$25,0))</f>
        <v>Commercial</v>
      </c>
      <c r="AG149" t="str">
        <f>INDEX('Category Mapping'!$D$2:$D$25,MATCH('Source Data'!A149,'Category Mapping'!$A$2:$A$25,0))</f>
        <v>Appliances</v>
      </c>
    </row>
    <row r="150" spans="1:33" x14ac:dyDescent="0.3">
      <c r="A150" s="58" t="s">
        <v>103</v>
      </c>
      <c r="B150" s="59">
        <v>2019</v>
      </c>
      <c r="C150" s="59">
        <v>19</v>
      </c>
      <c r="D150" s="59" t="s">
        <v>269</v>
      </c>
      <c r="E150" s="59">
        <v>4</v>
      </c>
      <c r="F150" s="59">
        <v>3359641</v>
      </c>
      <c r="G150" s="59">
        <v>2548403</v>
      </c>
      <c r="H150" s="59">
        <v>2257632</v>
      </c>
      <c r="I150" s="59">
        <v>2252443</v>
      </c>
      <c r="J150" s="59">
        <v>2625884</v>
      </c>
      <c r="K150" s="59">
        <v>3931452</v>
      </c>
      <c r="L150" s="59">
        <v>6469515</v>
      </c>
      <c r="M150" s="59">
        <v>9655953</v>
      </c>
      <c r="N150" s="59">
        <v>10200000</v>
      </c>
      <c r="O150" s="59">
        <v>8739436</v>
      </c>
      <c r="P150" s="59">
        <v>7515954</v>
      </c>
      <c r="Q150" s="59">
        <v>6543675</v>
      </c>
      <c r="R150" s="59">
        <v>6168324</v>
      </c>
      <c r="S150" s="59">
        <v>6193064</v>
      </c>
      <c r="T150" s="59">
        <v>5943510</v>
      </c>
      <c r="U150" s="59">
        <v>5715763</v>
      </c>
      <c r="V150" s="59">
        <v>4873716</v>
      </c>
      <c r="W150" s="59">
        <v>4860756</v>
      </c>
      <c r="X150" s="59">
        <v>7033708</v>
      </c>
      <c r="Y150" s="59">
        <v>6972976</v>
      </c>
      <c r="Z150" s="59">
        <v>6073479</v>
      </c>
      <c r="AA150" s="59">
        <v>7347654</v>
      </c>
      <c r="AB150" s="59">
        <v>7031128</v>
      </c>
      <c r="AC150" s="60">
        <v>4731749</v>
      </c>
      <c r="AD150" t="str">
        <f>INDEX('Category Mapping'!$G$28:$G$39,MATCH(E150,'Category Mapping'!$A$28:$A$39,0),1)</f>
        <v>Spring</v>
      </c>
      <c r="AE150" t="str">
        <f>INDEX('Category Mapping'!$B$2:$B$25,MATCH('Source Data'!A150,'Category Mapping'!$A$2:$A$25,0))</f>
        <v>Weekday</v>
      </c>
      <c r="AF150" t="str">
        <f>INDEX('Category Mapping'!$C$2:$C$25,MATCH('Source Data'!A150,'Category Mapping'!$A$2:$A$25,0))</f>
        <v>Commercial</v>
      </c>
      <c r="AG150" t="str">
        <f>INDEX('Category Mapping'!$D$2:$D$25,MATCH('Source Data'!A150,'Category Mapping'!$A$2:$A$25,0))</f>
        <v>Appliances</v>
      </c>
    </row>
    <row r="151" spans="1:33" x14ac:dyDescent="0.3">
      <c r="A151" s="55" t="s">
        <v>103</v>
      </c>
      <c r="B151" s="56">
        <v>2019</v>
      </c>
      <c r="C151" s="56">
        <v>19</v>
      </c>
      <c r="D151" s="56" t="s">
        <v>269</v>
      </c>
      <c r="E151" s="56">
        <v>5</v>
      </c>
      <c r="F151" s="56">
        <v>2898868</v>
      </c>
      <c r="G151" s="56">
        <v>2198891</v>
      </c>
      <c r="H151" s="56">
        <v>1947999</v>
      </c>
      <c r="I151" s="56">
        <v>1943522</v>
      </c>
      <c r="J151" s="56">
        <v>2265746</v>
      </c>
      <c r="K151" s="56">
        <v>3392255</v>
      </c>
      <c r="L151" s="56">
        <v>5582225</v>
      </c>
      <c r="M151" s="56">
        <v>8331645</v>
      </c>
      <c r="N151" s="56">
        <v>8773450</v>
      </c>
      <c r="O151" s="56">
        <v>7540828</v>
      </c>
      <c r="P151" s="56">
        <v>6485145</v>
      </c>
      <c r="Q151" s="56">
        <v>5646214</v>
      </c>
      <c r="R151" s="56">
        <v>5322342</v>
      </c>
      <c r="S151" s="56">
        <v>5343688</v>
      </c>
      <c r="T151" s="56">
        <v>5128361</v>
      </c>
      <c r="U151" s="56">
        <v>4931850</v>
      </c>
      <c r="V151" s="56">
        <v>4205289</v>
      </c>
      <c r="W151" s="56">
        <v>4194106</v>
      </c>
      <c r="X151" s="56">
        <v>6069039</v>
      </c>
      <c r="Y151" s="56">
        <v>6016637</v>
      </c>
      <c r="Z151" s="56">
        <v>5240505</v>
      </c>
      <c r="AA151" s="56">
        <v>6339927</v>
      </c>
      <c r="AB151" s="56">
        <v>6066814</v>
      </c>
      <c r="AC151" s="57">
        <v>4082792</v>
      </c>
      <c r="AD151" t="str">
        <f>INDEX('Category Mapping'!$G$28:$G$39,MATCH(E151,'Category Mapping'!$A$28:$A$39,0),1)</f>
        <v>Spring</v>
      </c>
      <c r="AE151" t="str">
        <f>INDEX('Category Mapping'!$B$2:$B$25,MATCH('Source Data'!A151,'Category Mapping'!$A$2:$A$25,0))</f>
        <v>Weekday</v>
      </c>
      <c r="AF151" t="str">
        <f>INDEX('Category Mapping'!$C$2:$C$25,MATCH('Source Data'!A151,'Category Mapping'!$A$2:$A$25,0))</f>
        <v>Commercial</v>
      </c>
      <c r="AG151" t="str">
        <f>INDEX('Category Mapping'!$D$2:$D$25,MATCH('Source Data'!A151,'Category Mapping'!$A$2:$A$25,0))</f>
        <v>Appliances</v>
      </c>
    </row>
    <row r="152" spans="1:33" x14ac:dyDescent="0.3">
      <c r="A152" s="58" t="s">
        <v>103</v>
      </c>
      <c r="B152" s="59">
        <v>2019</v>
      </c>
      <c r="C152" s="59">
        <v>19</v>
      </c>
      <c r="D152" s="59" t="s">
        <v>269</v>
      </c>
      <c r="E152" s="59">
        <v>6</v>
      </c>
      <c r="F152" s="59">
        <v>2738514</v>
      </c>
      <c r="G152" s="59">
        <v>2077257</v>
      </c>
      <c r="H152" s="59">
        <v>1840243</v>
      </c>
      <c r="I152" s="59">
        <v>1836014</v>
      </c>
      <c r="J152" s="59">
        <v>2140413</v>
      </c>
      <c r="K152" s="59">
        <v>3204609</v>
      </c>
      <c r="L152" s="59">
        <v>5273438</v>
      </c>
      <c r="M152" s="59">
        <v>7870770</v>
      </c>
      <c r="N152" s="59">
        <v>8288136</v>
      </c>
      <c r="O152" s="59">
        <v>7123698</v>
      </c>
      <c r="P152" s="59">
        <v>6126412</v>
      </c>
      <c r="Q152" s="59">
        <v>5333887</v>
      </c>
      <c r="R152" s="59">
        <v>5027930</v>
      </c>
      <c r="S152" s="59">
        <v>5048096</v>
      </c>
      <c r="T152" s="59">
        <v>4844679</v>
      </c>
      <c r="U152" s="59">
        <v>4659038</v>
      </c>
      <c r="V152" s="59">
        <v>3972668</v>
      </c>
      <c r="W152" s="59">
        <v>3962104</v>
      </c>
      <c r="X152" s="59">
        <v>5733323</v>
      </c>
      <c r="Y152" s="59">
        <v>5683819</v>
      </c>
      <c r="Z152" s="59">
        <v>4950620</v>
      </c>
      <c r="AA152" s="59">
        <v>5989226</v>
      </c>
      <c r="AB152" s="59">
        <v>5731220</v>
      </c>
      <c r="AC152" s="60">
        <v>3856948</v>
      </c>
      <c r="AD152" t="str">
        <f>INDEX('Category Mapping'!$G$28:$G$39,MATCH(E152,'Category Mapping'!$A$28:$A$39,0),1)</f>
        <v>Summer</v>
      </c>
      <c r="AE152" t="str">
        <f>INDEX('Category Mapping'!$B$2:$B$25,MATCH('Source Data'!A152,'Category Mapping'!$A$2:$A$25,0))</f>
        <v>Weekday</v>
      </c>
      <c r="AF152" t="str">
        <f>INDEX('Category Mapping'!$C$2:$C$25,MATCH('Source Data'!A152,'Category Mapping'!$A$2:$A$25,0))</f>
        <v>Commercial</v>
      </c>
      <c r="AG152" t="str">
        <f>INDEX('Category Mapping'!$D$2:$D$25,MATCH('Source Data'!A152,'Category Mapping'!$A$2:$A$25,0))</f>
        <v>Appliances</v>
      </c>
    </row>
    <row r="153" spans="1:33" x14ac:dyDescent="0.3">
      <c r="A153" s="55" t="s">
        <v>103</v>
      </c>
      <c r="B153" s="56">
        <v>2019</v>
      </c>
      <c r="C153" s="56">
        <v>19</v>
      </c>
      <c r="D153" s="56" t="s">
        <v>269</v>
      </c>
      <c r="E153" s="56">
        <v>7</v>
      </c>
      <c r="F153" s="56">
        <v>2711735</v>
      </c>
      <c r="G153" s="56">
        <v>2056944</v>
      </c>
      <c r="H153" s="56">
        <v>1822248</v>
      </c>
      <c r="I153" s="56">
        <v>1818060</v>
      </c>
      <c r="J153" s="56">
        <v>2119482</v>
      </c>
      <c r="K153" s="56">
        <v>3173272</v>
      </c>
      <c r="L153" s="56">
        <v>5221869</v>
      </c>
      <c r="M153" s="56">
        <v>7793803</v>
      </c>
      <c r="N153" s="56">
        <v>8207088</v>
      </c>
      <c r="O153" s="56">
        <v>7054036</v>
      </c>
      <c r="P153" s="56">
        <v>6066502</v>
      </c>
      <c r="Q153" s="56">
        <v>5281728</v>
      </c>
      <c r="R153" s="56">
        <v>4978763</v>
      </c>
      <c r="S153" s="56">
        <v>4998732</v>
      </c>
      <c r="T153" s="56">
        <v>4797304</v>
      </c>
      <c r="U153" s="56">
        <v>4613479</v>
      </c>
      <c r="V153" s="56">
        <v>3933820</v>
      </c>
      <c r="W153" s="56">
        <v>3923359</v>
      </c>
      <c r="X153" s="56">
        <v>5677258</v>
      </c>
      <c r="Y153" s="56">
        <v>5628238</v>
      </c>
      <c r="Z153" s="56">
        <v>4902209</v>
      </c>
      <c r="AA153" s="56">
        <v>5930659</v>
      </c>
      <c r="AB153" s="56">
        <v>5675176</v>
      </c>
      <c r="AC153" s="57">
        <v>3819231</v>
      </c>
      <c r="AD153" t="str">
        <f>INDEX('Category Mapping'!$G$28:$G$39,MATCH(E153,'Category Mapping'!$A$28:$A$39,0),1)</f>
        <v>Summer</v>
      </c>
      <c r="AE153" t="str">
        <f>INDEX('Category Mapping'!$B$2:$B$25,MATCH('Source Data'!A153,'Category Mapping'!$A$2:$A$25,0))</f>
        <v>Weekday</v>
      </c>
      <c r="AF153" t="str">
        <f>INDEX('Category Mapping'!$C$2:$C$25,MATCH('Source Data'!A153,'Category Mapping'!$A$2:$A$25,0))</f>
        <v>Commercial</v>
      </c>
      <c r="AG153" t="str">
        <f>INDEX('Category Mapping'!$D$2:$D$25,MATCH('Source Data'!A153,'Category Mapping'!$A$2:$A$25,0))</f>
        <v>Appliances</v>
      </c>
    </row>
    <row r="154" spans="1:33" x14ac:dyDescent="0.3">
      <c r="A154" s="58" t="s">
        <v>103</v>
      </c>
      <c r="B154" s="59">
        <v>2019</v>
      </c>
      <c r="C154" s="59">
        <v>19</v>
      </c>
      <c r="D154" s="59" t="s">
        <v>269</v>
      </c>
      <c r="E154" s="59">
        <v>8</v>
      </c>
      <c r="F154" s="59">
        <v>2712041</v>
      </c>
      <c r="G154" s="59">
        <v>2057176</v>
      </c>
      <c r="H154" s="59">
        <v>1822453</v>
      </c>
      <c r="I154" s="59">
        <v>1818265</v>
      </c>
      <c r="J154" s="59">
        <v>2119722</v>
      </c>
      <c r="K154" s="59">
        <v>3173630</v>
      </c>
      <c r="L154" s="59">
        <v>5222459</v>
      </c>
      <c r="M154" s="59">
        <v>7794683</v>
      </c>
      <c r="N154" s="59">
        <v>8208014</v>
      </c>
      <c r="O154" s="59">
        <v>7054833</v>
      </c>
      <c r="P154" s="59">
        <v>6067187</v>
      </c>
      <c r="Q154" s="59">
        <v>5282324</v>
      </c>
      <c r="R154" s="59">
        <v>4979325</v>
      </c>
      <c r="S154" s="59">
        <v>4999296</v>
      </c>
      <c r="T154" s="59">
        <v>4797846</v>
      </c>
      <c r="U154" s="59">
        <v>4613999</v>
      </c>
      <c r="V154" s="59">
        <v>3934264</v>
      </c>
      <c r="W154" s="59">
        <v>3923802</v>
      </c>
      <c r="X154" s="59">
        <v>5677899</v>
      </c>
      <c r="Y154" s="59">
        <v>5628874</v>
      </c>
      <c r="Z154" s="59">
        <v>4902763</v>
      </c>
      <c r="AA154" s="59">
        <v>5931328</v>
      </c>
      <c r="AB154" s="59">
        <v>5675817</v>
      </c>
      <c r="AC154" s="60">
        <v>3819663</v>
      </c>
      <c r="AD154" t="str">
        <f>INDEX('Category Mapping'!$G$28:$G$39,MATCH(E154,'Category Mapping'!$A$28:$A$39,0),1)</f>
        <v>Summer</v>
      </c>
      <c r="AE154" t="str">
        <f>INDEX('Category Mapping'!$B$2:$B$25,MATCH('Source Data'!A154,'Category Mapping'!$A$2:$A$25,0))</f>
        <v>Weekday</v>
      </c>
      <c r="AF154" t="str">
        <f>INDEX('Category Mapping'!$C$2:$C$25,MATCH('Source Data'!A154,'Category Mapping'!$A$2:$A$25,0))</f>
        <v>Commercial</v>
      </c>
      <c r="AG154" t="str">
        <f>INDEX('Category Mapping'!$D$2:$D$25,MATCH('Source Data'!A154,'Category Mapping'!$A$2:$A$25,0))</f>
        <v>Appliances</v>
      </c>
    </row>
    <row r="155" spans="1:33" x14ac:dyDescent="0.3">
      <c r="A155" s="55" t="s">
        <v>103</v>
      </c>
      <c r="B155" s="56">
        <v>2019</v>
      </c>
      <c r="C155" s="56">
        <v>19</v>
      </c>
      <c r="D155" s="56" t="s">
        <v>269</v>
      </c>
      <c r="E155" s="56">
        <v>9</v>
      </c>
      <c r="F155" s="56">
        <v>2773202</v>
      </c>
      <c r="G155" s="56">
        <v>2103569</v>
      </c>
      <c r="H155" s="56">
        <v>1863553</v>
      </c>
      <c r="I155" s="56">
        <v>1859270</v>
      </c>
      <c r="J155" s="56">
        <v>2167525</v>
      </c>
      <c r="K155" s="56">
        <v>3245201</v>
      </c>
      <c r="L155" s="56">
        <v>5340235</v>
      </c>
      <c r="M155" s="56">
        <v>7970467</v>
      </c>
      <c r="N155" s="56">
        <v>8393119</v>
      </c>
      <c r="O155" s="56">
        <v>7213932</v>
      </c>
      <c r="P155" s="56">
        <v>6204013</v>
      </c>
      <c r="Q155" s="56">
        <v>5401449</v>
      </c>
      <c r="R155" s="56">
        <v>5091617</v>
      </c>
      <c r="S155" s="56">
        <v>5112039</v>
      </c>
      <c r="T155" s="56">
        <v>4906045</v>
      </c>
      <c r="U155" s="56">
        <v>4718053</v>
      </c>
      <c r="V155" s="56">
        <v>4022988</v>
      </c>
      <c r="W155" s="56">
        <v>4012290</v>
      </c>
      <c r="X155" s="56">
        <v>5805945</v>
      </c>
      <c r="Y155" s="56">
        <v>5755814</v>
      </c>
      <c r="Z155" s="56">
        <v>5013329</v>
      </c>
      <c r="AA155" s="56">
        <v>6065090</v>
      </c>
      <c r="AB155" s="56">
        <v>5803816</v>
      </c>
      <c r="AC155" s="57">
        <v>3905803</v>
      </c>
      <c r="AD155" t="str">
        <f>INDEX('Category Mapping'!$G$28:$G$39,MATCH(E155,'Category Mapping'!$A$28:$A$39,0),1)</f>
        <v>Fall</v>
      </c>
      <c r="AE155" t="str">
        <f>INDEX('Category Mapping'!$B$2:$B$25,MATCH('Source Data'!A155,'Category Mapping'!$A$2:$A$25,0))</f>
        <v>Weekday</v>
      </c>
      <c r="AF155" t="str">
        <f>INDEX('Category Mapping'!$C$2:$C$25,MATCH('Source Data'!A155,'Category Mapping'!$A$2:$A$25,0))</f>
        <v>Commercial</v>
      </c>
      <c r="AG155" t="str">
        <f>INDEX('Category Mapping'!$D$2:$D$25,MATCH('Source Data'!A155,'Category Mapping'!$A$2:$A$25,0))</f>
        <v>Appliances</v>
      </c>
    </row>
    <row r="156" spans="1:33" x14ac:dyDescent="0.3">
      <c r="A156" s="58" t="s">
        <v>103</v>
      </c>
      <c r="B156" s="59">
        <v>2019</v>
      </c>
      <c r="C156" s="59">
        <v>19</v>
      </c>
      <c r="D156" s="59" t="s">
        <v>269</v>
      </c>
      <c r="E156" s="59">
        <v>10</v>
      </c>
      <c r="F156" s="59">
        <v>3181925</v>
      </c>
      <c r="G156" s="59">
        <v>2413600</v>
      </c>
      <c r="H156" s="59">
        <v>2138209</v>
      </c>
      <c r="I156" s="59">
        <v>2133295</v>
      </c>
      <c r="J156" s="59">
        <v>2486982</v>
      </c>
      <c r="K156" s="59">
        <v>3723489</v>
      </c>
      <c r="L156" s="59">
        <v>6127296</v>
      </c>
      <c r="M156" s="59">
        <v>9145179</v>
      </c>
      <c r="N156" s="59">
        <v>9630124</v>
      </c>
      <c r="O156" s="59">
        <v>8277144</v>
      </c>
      <c r="P156" s="59">
        <v>7118381</v>
      </c>
      <c r="Q156" s="59">
        <v>6197533</v>
      </c>
      <c r="R156" s="59">
        <v>5842037</v>
      </c>
      <c r="S156" s="59">
        <v>5865467</v>
      </c>
      <c r="T156" s="59">
        <v>5629114</v>
      </c>
      <c r="U156" s="59">
        <v>5413415</v>
      </c>
      <c r="V156" s="59">
        <v>4615910</v>
      </c>
      <c r="W156" s="59">
        <v>4603635</v>
      </c>
      <c r="X156" s="59">
        <v>6661644</v>
      </c>
      <c r="Y156" s="59">
        <v>6604125</v>
      </c>
      <c r="Z156" s="59">
        <v>5752209</v>
      </c>
      <c r="AA156" s="59">
        <v>6958982</v>
      </c>
      <c r="AB156" s="59">
        <v>6659201</v>
      </c>
      <c r="AC156" s="60">
        <v>4481452</v>
      </c>
      <c r="AD156" t="str">
        <f>INDEX('Category Mapping'!$G$28:$G$39,MATCH(E156,'Category Mapping'!$A$28:$A$39,0),1)</f>
        <v>Fall</v>
      </c>
      <c r="AE156" t="str">
        <f>INDEX('Category Mapping'!$B$2:$B$25,MATCH('Source Data'!A156,'Category Mapping'!$A$2:$A$25,0))</f>
        <v>Weekday</v>
      </c>
      <c r="AF156" t="str">
        <f>INDEX('Category Mapping'!$C$2:$C$25,MATCH('Source Data'!A156,'Category Mapping'!$A$2:$A$25,0))</f>
        <v>Commercial</v>
      </c>
      <c r="AG156" t="str">
        <f>INDEX('Category Mapping'!$D$2:$D$25,MATCH('Source Data'!A156,'Category Mapping'!$A$2:$A$25,0))</f>
        <v>Appliances</v>
      </c>
    </row>
    <row r="157" spans="1:33" x14ac:dyDescent="0.3">
      <c r="A157" s="55" t="s">
        <v>103</v>
      </c>
      <c r="B157" s="56">
        <v>2019</v>
      </c>
      <c r="C157" s="56">
        <v>19</v>
      </c>
      <c r="D157" s="56" t="s">
        <v>269</v>
      </c>
      <c r="E157" s="56">
        <v>11</v>
      </c>
      <c r="F157" s="56">
        <v>3766147</v>
      </c>
      <c r="G157" s="56">
        <v>2856752</v>
      </c>
      <c r="H157" s="56">
        <v>2530798</v>
      </c>
      <c r="I157" s="56">
        <v>2524982</v>
      </c>
      <c r="J157" s="56">
        <v>2943608</v>
      </c>
      <c r="K157" s="56">
        <v>4407145</v>
      </c>
      <c r="L157" s="56">
        <v>7252306</v>
      </c>
      <c r="M157" s="56">
        <v>10800000</v>
      </c>
      <c r="N157" s="56">
        <v>11400000</v>
      </c>
      <c r="O157" s="56">
        <v>9796881</v>
      </c>
      <c r="P157" s="56">
        <v>8425360</v>
      </c>
      <c r="Q157" s="56">
        <v>7335439</v>
      </c>
      <c r="R157" s="56">
        <v>6914672</v>
      </c>
      <c r="S157" s="56">
        <v>6942405</v>
      </c>
      <c r="T157" s="56">
        <v>6662655</v>
      </c>
      <c r="U157" s="56">
        <v>6407352</v>
      </c>
      <c r="V157" s="56">
        <v>5463420</v>
      </c>
      <c r="W157" s="56">
        <v>5448891</v>
      </c>
      <c r="X157" s="56">
        <v>7884764</v>
      </c>
      <c r="Y157" s="56">
        <v>7816684</v>
      </c>
      <c r="Z157" s="56">
        <v>6808351</v>
      </c>
      <c r="AA157" s="56">
        <v>8236696</v>
      </c>
      <c r="AB157" s="56">
        <v>7881873</v>
      </c>
      <c r="AC157" s="57">
        <v>5304275</v>
      </c>
      <c r="AD157" t="str">
        <f>INDEX('Category Mapping'!$G$28:$G$39,MATCH(E157,'Category Mapping'!$A$28:$A$39,0),1)</f>
        <v>Winter</v>
      </c>
      <c r="AE157" t="str">
        <f>INDEX('Category Mapping'!$B$2:$B$25,MATCH('Source Data'!A157,'Category Mapping'!$A$2:$A$25,0))</f>
        <v>Weekday</v>
      </c>
      <c r="AF157" t="str">
        <f>INDEX('Category Mapping'!$C$2:$C$25,MATCH('Source Data'!A157,'Category Mapping'!$A$2:$A$25,0))</f>
        <v>Commercial</v>
      </c>
      <c r="AG157" t="str">
        <f>INDEX('Category Mapping'!$D$2:$D$25,MATCH('Source Data'!A157,'Category Mapping'!$A$2:$A$25,0))</f>
        <v>Appliances</v>
      </c>
    </row>
    <row r="158" spans="1:33" x14ac:dyDescent="0.3">
      <c r="A158" s="58" t="s">
        <v>103</v>
      </c>
      <c r="B158" s="59">
        <v>2019</v>
      </c>
      <c r="C158" s="59">
        <v>19</v>
      </c>
      <c r="D158" s="59" t="s">
        <v>269</v>
      </c>
      <c r="E158" s="59">
        <v>12</v>
      </c>
      <c r="F158" s="59">
        <v>4426714</v>
      </c>
      <c r="G158" s="59">
        <v>3357815</v>
      </c>
      <c r="H158" s="59">
        <v>2974690</v>
      </c>
      <c r="I158" s="59">
        <v>2967853</v>
      </c>
      <c r="J158" s="59">
        <v>3459904</v>
      </c>
      <c r="K158" s="59">
        <v>5180141</v>
      </c>
      <c r="L158" s="59">
        <v>8524331</v>
      </c>
      <c r="M158" s="59">
        <v>12700000</v>
      </c>
      <c r="N158" s="59">
        <v>13400000</v>
      </c>
      <c r="O158" s="59">
        <v>11500000</v>
      </c>
      <c r="P158" s="59">
        <v>9903134</v>
      </c>
      <c r="Q158" s="59">
        <v>8622045</v>
      </c>
      <c r="R158" s="59">
        <v>8127477</v>
      </c>
      <c r="S158" s="59">
        <v>8160074</v>
      </c>
      <c r="T158" s="59">
        <v>7831258</v>
      </c>
      <c r="U158" s="59">
        <v>7531176</v>
      </c>
      <c r="V158" s="59">
        <v>6421682</v>
      </c>
      <c r="W158" s="59">
        <v>6404605</v>
      </c>
      <c r="X158" s="59">
        <v>9267720</v>
      </c>
      <c r="Y158" s="59">
        <v>9187699</v>
      </c>
      <c r="Z158" s="59">
        <v>8002508</v>
      </c>
      <c r="AA158" s="59">
        <v>9681379</v>
      </c>
      <c r="AB158" s="59">
        <v>9264321</v>
      </c>
      <c r="AC158" s="60">
        <v>6234624</v>
      </c>
      <c r="AD158" t="str">
        <f>INDEX('Category Mapping'!$G$28:$G$39,MATCH(E158,'Category Mapping'!$A$28:$A$39,0),1)</f>
        <v>Winter</v>
      </c>
      <c r="AE158" t="str">
        <f>INDEX('Category Mapping'!$B$2:$B$25,MATCH('Source Data'!A158,'Category Mapping'!$A$2:$A$25,0))</f>
        <v>Weekday</v>
      </c>
      <c r="AF158" t="str">
        <f>INDEX('Category Mapping'!$C$2:$C$25,MATCH('Source Data'!A158,'Category Mapping'!$A$2:$A$25,0))</f>
        <v>Commercial</v>
      </c>
      <c r="AG158" t="str">
        <f>INDEX('Category Mapping'!$D$2:$D$25,MATCH('Source Data'!A158,'Category Mapping'!$A$2:$A$25,0))</f>
        <v>Appliances</v>
      </c>
    </row>
    <row r="159" spans="1:33" x14ac:dyDescent="0.3">
      <c r="A159" s="55" t="s">
        <v>104</v>
      </c>
      <c r="B159" s="56">
        <v>2019</v>
      </c>
      <c r="C159" s="56">
        <v>19</v>
      </c>
      <c r="D159" s="56" t="s">
        <v>269</v>
      </c>
      <c r="E159" s="56">
        <v>1</v>
      </c>
      <c r="F159" s="56">
        <v>2575244</v>
      </c>
      <c r="G159" s="56">
        <v>1879370</v>
      </c>
      <c r="H159" s="56">
        <v>1664652</v>
      </c>
      <c r="I159" s="56">
        <v>1663161</v>
      </c>
      <c r="J159" s="56">
        <v>1928390</v>
      </c>
      <c r="K159" s="56">
        <v>2392000</v>
      </c>
      <c r="L159" s="56">
        <v>3176781</v>
      </c>
      <c r="M159" s="56">
        <v>4894543</v>
      </c>
      <c r="N159" s="56">
        <v>7341454</v>
      </c>
      <c r="O159" s="56">
        <v>7141541</v>
      </c>
      <c r="P159" s="56">
        <v>5729925</v>
      </c>
      <c r="Q159" s="56">
        <v>4791159</v>
      </c>
      <c r="R159" s="56">
        <v>3874275</v>
      </c>
      <c r="S159" s="56">
        <v>3500202</v>
      </c>
      <c r="T159" s="56">
        <v>3431864</v>
      </c>
      <c r="U159" s="56">
        <v>3384541</v>
      </c>
      <c r="V159" s="56">
        <v>2857083</v>
      </c>
      <c r="W159" s="56">
        <v>2787626</v>
      </c>
      <c r="X159" s="56">
        <v>3184290</v>
      </c>
      <c r="Y159" s="56">
        <v>3863115</v>
      </c>
      <c r="Z159" s="56">
        <v>4155762</v>
      </c>
      <c r="AA159" s="56">
        <v>4338858</v>
      </c>
      <c r="AB159" s="56">
        <v>5311091</v>
      </c>
      <c r="AC159" s="57">
        <v>4417758</v>
      </c>
      <c r="AD159" t="str">
        <f>INDEX('Category Mapping'!$G$28:$G$39,MATCH(E159,'Category Mapping'!$A$28:$A$39,0),1)</f>
        <v>Winter</v>
      </c>
      <c r="AE159" t="str">
        <f>INDEX('Category Mapping'!$B$2:$B$25,MATCH('Source Data'!A159,'Category Mapping'!$A$2:$A$25,0))</f>
        <v>Weekend</v>
      </c>
      <c r="AF159" t="str">
        <f>INDEX('Category Mapping'!$C$2:$C$25,MATCH('Source Data'!A159,'Category Mapping'!$A$2:$A$25,0))</f>
        <v>Commercial</v>
      </c>
      <c r="AG159" t="str">
        <f>INDEX('Category Mapping'!$D$2:$D$25,MATCH('Source Data'!A159,'Category Mapping'!$A$2:$A$25,0))</f>
        <v>Appliances</v>
      </c>
    </row>
    <row r="160" spans="1:33" x14ac:dyDescent="0.3">
      <c r="A160" s="58" t="s">
        <v>104</v>
      </c>
      <c r="B160" s="59">
        <v>2019</v>
      </c>
      <c r="C160" s="59">
        <v>19</v>
      </c>
      <c r="D160" s="59" t="s">
        <v>269</v>
      </c>
      <c r="E160" s="59">
        <v>2</v>
      </c>
      <c r="F160" s="59">
        <v>2359944</v>
      </c>
      <c r="G160" s="59">
        <v>1722248</v>
      </c>
      <c r="H160" s="59">
        <v>1525481</v>
      </c>
      <c r="I160" s="59">
        <v>1524115</v>
      </c>
      <c r="J160" s="59">
        <v>1767169</v>
      </c>
      <c r="K160" s="59">
        <v>2192020</v>
      </c>
      <c r="L160" s="59">
        <v>2911191</v>
      </c>
      <c r="M160" s="59">
        <v>4485342</v>
      </c>
      <c r="N160" s="59">
        <v>6727682</v>
      </c>
      <c r="O160" s="59">
        <v>6544482</v>
      </c>
      <c r="P160" s="59">
        <v>5250883</v>
      </c>
      <c r="Q160" s="59">
        <v>4390601</v>
      </c>
      <c r="R160" s="59">
        <v>3550372</v>
      </c>
      <c r="S160" s="59">
        <v>3207572</v>
      </c>
      <c r="T160" s="59">
        <v>3144948</v>
      </c>
      <c r="U160" s="59">
        <v>3101581</v>
      </c>
      <c r="V160" s="59">
        <v>2618220</v>
      </c>
      <c r="W160" s="59">
        <v>2554571</v>
      </c>
      <c r="X160" s="59">
        <v>2918072</v>
      </c>
      <c r="Y160" s="59">
        <v>3540145</v>
      </c>
      <c r="Z160" s="59">
        <v>3808325</v>
      </c>
      <c r="AA160" s="59">
        <v>3976113</v>
      </c>
      <c r="AB160" s="59">
        <v>4867065</v>
      </c>
      <c r="AC160" s="60">
        <v>4048418</v>
      </c>
      <c r="AD160" t="str">
        <f>INDEX('Category Mapping'!$G$28:$G$39,MATCH(E160,'Category Mapping'!$A$28:$A$39,0),1)</f>
        <v>Winter</v>
      </c>
      <c r="AE160" t="str">
        <f>INDEX('Category Mapping'!$B$2:$B$25,MATCH('Source Data'!A160,'Category Mapping'!$A$2:$A$25,0))</f>
        <v>Weekend</v>
      </c>
      <c r="AF160" t="str">
        <f>INDEX('Category Mapping'!$C$2:$C$25,MATCH('Source Data'!A160,'Category Mapping'!$A$2:$A$25,0))</f>
        <v>Commercial</v>
      </c>
      <c r="AG160" t="str">
        <f>INDEX('Category Mapping'!$D$2:$D$25,MATCH('Source Data'!A160,'Category Mapping'!$A$2:$A$25,0))</f>
        <v>Appliances</v>
      </c>
    </row>
    <row r="161" spans="1:33" x14ac:dyDescent="0.3">
      <c r="A161" s="55" t="s">
        <v>104</v>
      </c>
      <c r="B161" s="56">
        <v>2019</v>
      </c>
      <c r="C161" s="56">
        <v>19</v>
      </c>
      <c r="D161" s="56" t="s">
        <v>269</v>
      </c>
      <c r="E161" s="56">
        <v>3</v>
      </c>
      <c r="F161" s="56">
        <v>2178328</v>
      </c>
      <c r="G161" s="56">
        <v>1589708</v>
      </c>
      <c r="H161" s="56">
        <v>1408084</v>
      </c>
      <c r="I161" s="56">
        <v>1406823</v>
      </c>
      <c r="J161" s="56">
        <v>1631172</v>
      </c>
      <c r="K161" s="56">
        <v>2023328</v>
      </c>
      <c r="L161" s="56">
        <v>2687153</v>
      </c>
      <c r="M161" s="56">
        <v>4140161</v>
      </c>
      <c r="N161" s="56">
        <v>6209936</v>
      </c>
      <c r="O161" s="56">
        <v>6040835</v>
      </c>
      <c r="P161" s="56">
        <v>4846788</v>
      </c>
      <c r="Q161" s="56">
        <v>4052711</v>
      </c>
      <c r="R161" s="56">
        <v>3277144</v>
      </c>
      <c r="S161" s="56">
        <v>2960725</v>
      </c>
      <c r="T161" s="56">
        <v>2902920</v>
      </c>
      <c r="U161" s="56">
        <v>2862891</v>
      </c>
      <c r="V161" s="56">
        <v>2416728</v>
      </c>
      <c r="W161" s="56">
        <v>2357977</v>
      </c>
      <c r="X161" s="56">
        <v>2693504</v>
      </c>
      <c r="Y161" s="56">
        <v>3267704</v>
      </c>
      <c r="Z161" s="56">
        <v>3515246</v>
      </c>
      <c r="AA161" s="56">
        <v>3670121</v>
      </c>
      <c r="AB161" s="56">
        <v>4492507</v>
      </c>
      <c r="AC161" s="57">
        <v>3736862</v>
      </c>
      <c r="AD161" t="str">
        <f>INDEX('Category Mapping'!$G$28:$G$39,MATCH(E161,'Category Mapping'!$A$28:$A$39,0),1)</f>
        <v>Spring</v>
      </c>
      <c r="AE161" t="str">
        <f>INDEX('Category Mapping'!$B$2:$B$25,MATCH('Source Data'!A161,'Category Mapping'!$A$2:$A$25,0))</f>
        <v>Weekend</v>
      </c>
      <c r="AF161" t="str">
        <f>INDEX('Category Mapping'!$C$2:$C$25,MATCH('Source Data'!A161,'Category Mapping'!$A$2:$A$25,0))</f>
        <v>Commercial</v>
      </c>
      <c r="AG161" t="str">
        <f>INDEX('Category Mapping'!$D$2:$D$25,MATCH('Source Data'!A161,'Category Mapping'!$A$2:$A$25,0))</f>
        <v>Appliances</v>
      </c>
    </row>
    <row r="162" spans="1:33" x14ac:dyDescent="0.3">
      <c r="A162" s="58" t="s">
        <v>104</v>
      </c>
      <c r="B162" s="59">
        <v>2019</v>
      </c>
      <c r="C162" s="59">
        <v>19</v>
      </c>
      <c r="D162" s="59" t="s">
        <v>269</v>
      </c>
      <c r="E162" s="59">
        <v>4</v>
      </c>
      <c r="F162" s="59">
        <v>1831399</v>
      </c>
      <c r="G162" s="59">
        <v>1336524</v>
      </c>
      <c r="H162" s="59">
        <v>1183827</v>
      </c>
      <c r="I162" s="59">
        <v>1182766</v>
      </c>
      <c r="J162" s="59">
        <v>1371385</v>
      </c>
      <c r="K162" s="59">
        <v>1701084</v>
      </c>
      <c r="L162" s="59">
        <v>2259186</v>
      </c>
      <c r="M162" s="59">
        <v>3480781</v>
      </c>
      <c r="N162" s="59">
        <v>5220916</v>
      </c>
      <c r="O162" s="59">
        <v>5078747</v>
      </c>
      <c r="P162" s="59">
        <v>4074868</v>
      </c>
      <c r="Q162" s="59">
        <v>3407259</v>
      </c>
      <c r="R162" s="59">
        <v>2755212</v>
      </c>
      <c r="S162" s="59">
        <v>2489188</v>
      </c>
      <c r="T162" s="59">
        <v>2440589</v>
      </c>
      <c r="U162" s="59">
        <v>2406935</v>
      </c>
      <c r="V162" s="59">
        <v>2031830</v>
      </c>
      <c r="W162" s="59">
        <v>1982436</v>
      </c>
      <c r="X162" s="59">
        <v>2264525</v>
      </c>
      <c r="Y162" s="59">
        <v>2747276</v>
      </c>
      <c r="Z162" s="59">
        <v>2955393</v>
      </c>
      <c r="AA162" s="59">
        <v>3085603</v>
      </c>
      <c r="AB162" s="59">
        <v>3777012</v>
      </c>
      <c r="AC162" s="60">
        <v>3141713</v>
      </c>
      <c r="AD162" t="str">
        <f>INDEX('Category Mapping'!$G$28:$G$39,MATCH(E162,'Category Mapping'!$A$28:$A$39,0),1)</f>
        <v>Spring</v>
      </c>
      <c r="AE162" t="str">
        <f>INDEX('Category Mapping'!$B$2:$B$25,MATCH('Source Data'!A162,'Category Mapping'!$A$2:$A$25,0))</f>
        <v>Weekend</v>
      </c>
      <c r="AF162" t="str">
        <f>INDEX('Category Mapping'!$C$2:$C$25,MATCH('Source Data'!A162,'Category Mapping'!$A$2:$A$25,0))</f>
        <v>Commercial</v>
      </c>
      <c r="AG162" t="str">
        <f>INDEX('Category Mapping'!$D$2:$D$25,MATCH('Source Data'!A162,'Category Mapping'!$A$2:$A$25,0))</f>
        <v>Appliances</v>
      </c>
    </row>
    <row r="163" spans="1:33" x14ac:dyDescent="0.3">
      <c r="A163" s="55" t="s">
        <v>104</v>
      </c>
      <c r="B163" s="56">
        <v>2019</v>
      </c>
      <c r="C163" s="56">
        <v>19</v>
      </c>
      <c r="D163" s="56" t="s">
        <v>269</v>
      </c>
      <c r="E163" s="56">
        <v>5</v>
      </c>
      <c r="F163" s="56">
        <v>1580223</v>
      </c>
      <c r="G163" s="56">
        <v>1153221</v>
      </c>
      <c r="H163" s="56">
        <v>1021465</v>
      </c>
      <c r="I163" s="56">
        <v>1020550</v>
      </c>
      <c r="J163" s="56">
        <v>1183300</v>
      </c>
      <c r="K163" s="56">
        <v>1467781</v>
      </c>
      <c r="L163" s="56">
        <v>1949340</v>
      </c>
      <c r="M163" s="56">
        <v>3003394</v>
      </c>
      <c r="N163" s="56">
        <v>4504870</v>
      </c>
      <c r="O163" s="56">
        <v>4382199</v>
      </c>
      <c r="P163" s="56">
        <v>3516002</v>
      </c>
      <c r="Q163" s="56">
        <v>2939955</v>
      </c>
      <c r="R163" s="56">
        <v>2377337</v>
      </c>
      <c r="S163" s="56">
        <v>2147797</v>
      </c>
      <c r="T163" s="56">
        <v>2105864</v>
      </c>
      <c r="U163" s="56">
        <v>2076825</v>
      </c>
      <c r="V163" s="56">
        <v>1753166</v>
      </c>
      <c r="W163" s="56">
        <v>1710546</v>
      </c>
      <c r="X163" s="56">
        <v>1953947</v>
      </c>
      <c r="Y163" s="56">
        <v>2370488</v>
      </c>
      <c r="Z163" s="56">
        <v>2550063</v>
      </c>
      <c r="AA163" s="56">
        <v>2662414</v>
      </c>
      <c r="AB163" s="56">
        <v>3258997</v>
      </c>
      <c r="AC163" s="57">
        <v>2710829</v>
      </c>
      <c r="AD163" t="str">
        <f>INDEX('Category Mapping'!$G$28:$G$39,MATCH(E163,'Category Mapping'!$A$28:$A$39,0),1)</f>
        <v>Spring</v>
      </c>
      <c r="AE163" t="str">
        <f>INDEX('Category Mapping'!$B$2:$B$25,MATCH('Source Data'!A163,'Category Mapping'!$A$2:$A$25,0))</f>
        <v>Weekend</v>
      </c>
      <c r="AF163" t="str">
        <f>INDEX('Category Mapping'!$C$2:$C$25,MATCH('Source Data'!A163,'Category Mapping'!$A$2:$A$25,0))</f>
        <v>Commercial</v>
      </c>
      <c r="AG163" t="str">
        <f>INDEX('Category Mapping'!$D$2:$D$25,MATCH('Source Data'!A163,'Category Mapping'!$A$2:$A$25,0))</f>
        <v>Appliances</v>
      </c>
    </row>
    <row r="164" spans="1:33" x14ac:dyDescent="0.3">
      <c r="A164" s="58" t="s">
        <v>104</v>
      </c>
      <c r="B164" s="59">
        <v>2019</v>
      </c>
      <c r="C164" s="59">
        <v>19</v>
      </c>
      <c r="D164" s="59" t="s">
        <v>269</v>
      </c>
      <c r="E164" s="59">
        <v>6</v>
      </c>
      <c r="F164" s="59">
        <v>1492811</v>
      </c>
      <c r="G164" s="59">
        <v>1089429</v>
      </c>
      <c r="H164" s="59">
        <v>964962</v>
      </c>
      <c r="I164" s="59">
        <v>964097</v>
      </c>
      <c r="J164" s="59">
        <v>1117845</v>
      </c>
      <c r="K164" s="59">
        <v>1386589</v>
      </c>
      <c r="L164" s="59">
        <v>1841510</v>
      </c>
      <c r="M164" s="59">
        <v>2837258</v>
      </c>
      <c r="N164" s="59">
        <v>4255678</v>
      </c>
      <c r="O164" s="59">
        <v>4139793</v>
      </c>
      <c r="P164" s="59">
        <v>3321510</v>
      </c>
      <c r="Q164" s="59">
        <v>2777328</v>
      </c>
      <c r="R164" s="59">
        <v>2245832</v>
      </c>
      <c r="S164" s="59">
        <v>2028989</v>
      </c>
      <c r="T164" s="59">
        <v>1989375</v>
      </c>
      <c r="U164" s="59">
        <v>1961943</v>
      </c>
      <c r="V164" s="59">
        <v>1656187</v>
      </c>
      <c r="W164" s="59">
        <v>1615925</v>
      </c>
      <c r="X164" s="59">
        <v>1845862</v>
      </c>
      <c r="Y164" s="59">
        <v>2239362</v>
      </c>
      <c r="Z164" s="59">
        <v>2409003</v>
      </c>
      <c r="AA164" s="59">
        <v>2515139</v>
      </c>
      <c r="AB164" s="59">
        <v>3078722</v>
      </c>
      <c r="AC164" s="60">
        <v>2560876</v>
      </c>
      <c r="AD164" t="str">
        <f>INDEX('Category Mapping'!$G$28:$G$39,MATCH(E164,'Category Mapping'!$A$28:$A$39,0),1)</f>
        <v>Summer</v>
      </c>
      <c r="AE164" t="str">
        <f>INDEX('Category Mapping'!$B$2:$B$25,MATCH('Source Data'!A164,'Category Mapping'!$A$2:$A$25,0))</f>
        <v>Weekend</v>
      </c>
      <c r="AF164" t="str">
        <f>INDEX('Category Mapping'!$C$2:$C$25,MATCH('Source Data'!A164,'Category Mapping'!$A$2:$A$25,0))</f>
        <v>Commercial</v>
      </c>
      <c r="AG164" t="str">
        <f>INDEX('Category Mapping'!$D$2:$D$25,MATCH('Source Data'!A164,'Category Mapping'!$A$2:$A$25,0))</f>
        <v>Appliances</v>
      </c>
    </row>
    <row r="165" spans="1:33" x14ac:dyDescent="0.3">
      <c r="A165" s="55" t="s">
        <v>104</v>
      </c>
      <c r="B165" s="56">
        <v>2019</v>
      </c>
      <c r="C165" s="56">
        <v>19</v>
      </c>
      <c r="D165" s="56" t="s">
        <v>269</v>
      </c>
      <c r="E165" s="56">
        <v>7</v>
      </c>
      <c r="F165" s="56">
        <v>1478214</v>
      </c>
      <c r="G165" s="56">
        <v>1078776</v>
      </c>
      <c r="H165" s="56">
        <v>955526</v>
      </c>
      <c r="I165" s="56">
        <v>954670</v>
      </c>
      <c r="J165" s="56">
        <v>1106913</v>
      </c>
      <c r="K165" s="56">
        <v>1373030</v>
      </c>
      <c r="L165" s="56">
        <v>1823502</v>
      </c>
      <c r="M165" s="56">
        <v>2809513</v>
      </c>
      <c r="N165" s="56">
        <v>4214062</v>
      </c>
      <c r="O165" s="56">
        <v>4099310</v>
      </c>
      <c r="P165" s="56">
        <v>3289030</v>
      </c>
      <c r="Q165" s="56">
        <v>2750169</v>
      </c>
      <c r="R165" s="56">
        <v>2223870</v>
      </c>
      <c r="S165" s="56">
        <v>2009148</v>
      </c>
      <c r="T165" s="56">
        <v>1969921</v>
      </c>
      <c r="U165" s="56">
        <v>1942758</v>
      </c>
      <c r="V165" s="56">
        <v>1639992</v>
      </c>
      <c r="W165" s="56">
        <v>1600123</v>
      </c>
      <c r="X165" s="56">
        <v>1827812</v>
      </c>
      <c r="Y165" s="56">
        <v>2217463</v>
      </c>
      <c r="Z165" s="56">
        <v>2385446</v>
      </c>
      <c r="AA165" s="56">
        <v>2490544</v>
      </c>
      <c r="AB165" s="56">
        <v>3048615</v>
      </c>
      <c r="AC165" s="57">
        <v>2535834</v>
      </c>
      <c r="AD165" t="str">
        <f>INDEX('Category Mapping'!$G$28:$G$39,MATCH(E165,'Category Mapping'!$A$28:$A$39,0),1)</f>
        <v>Summer</v>
      </c>
      <c r="AE165" t="str">
        <f>INDEX('Category Mapping'!$B$2:$B$25,MATCH('Source Data'!A165,'Category Mapping'!$A$2:$A$25,0))</f>
        <v>Weekend</v>
      </c>
      <c r="AF165" t="str">
        <f>INDEX('Category Mapping'!$C$2:$C$25,MATCH('Source Data'!A165,'Category Mapping'!$A$2:$A$25,0))</f>
        <v>Commercial</v>
      </c>
      <c r="AG165" t="str">
        <f>INDEX('Category Mapping'!$D$2:$D$25,MATCH('Source Data'!A165,'Category Mapping'!$A$2:$A$25,0))</f>
        <v>Appliances</v>
      </c>
    </row>
    <row r="166" spans="1:33" x14ac:dyDescent="0.3">
      <c r="A166" s="58" t="s">
        <v>104</v>
      </c>
      <c r="B166" s="59">
        <v>2019</v>
      </c>
      <c r="C166" s="59">
        <v>19</v>
      </c>
      <c r="D166" s="59" t="s">
        <v>269</v>
      </c>
      <c r="E166" s="59">
        <v>8</v>
      </c>
      <c r="F166" s="59">
        <v>1478380</v>
      </c>
      <c r="G166" s="59">
        <v>1078897</v>
      </c>
      <c r="H166" s="59">
        <v>955633</v>
      </c>
      <c r="I166" s="59">
        <v>954777</v>
      </c>
      <c r="J166" s="59">
        <v>1107038</v>
      </c>
      <c r="K166" s="59">
        <v>1373185</v>
      </c>
      <c r="L166" s="59">
        <v>1823708</v>
      </c>
      <c r="M166" s="59">
        <v>2809830</v>
      </c>
      <c r="N166" s="59">
        <v>4214538</v>
      </c>
      <c r="O166" s="59">
        <v>4099773</v>
      </c>
      <c r="P166" s="59">
        <v>3289401</v>
      </c>
      <c r="Q166" s="59">
        <v>2750480</v>
      </c>
      <c r="R166" s="59">
        <v>2224121</v>
      </c>
      <c r="S166" s="59">
        <v>2009375</v>
      </c>
      <c r="T166" s="59">
        <v>1970144</v>
      </c>
      <c r="U166" s="59">
        <v>1942977</v>
      </c>
      <c r="V166" s="59">
        <v>1640177</v>
      </c>
      <c r="W166" s="59">
        <v>1600304</v>
      </c>
      <c r="X166" s="59">
        <v>1828018</v>
      </c>
      <c r="Y166" s="59">
        <v>2217714</v>
      </c>
      <c r="Z166" s="59">
        <v>2385715</v>
      </c>
      <c r="AA166" s="59">
        <v>2490825</v>
      </c>
      <c r="AB166" s="59">
        <v>3048959</v>
      </c>
      <c r="AC166" s="60">
        <v>2536120</v>
      </c>
      <c r="AD166" t="str">
        <f>INDEX('Category Mapping'!$G$28:$G$39,MATCH(E166,'Category Mapping'!$A$28:$A$39,0),1)</f>
        <v>Summer</v>
      </c>
      <c r="AE166" t="str">
        <f>INDEX('Category Mapping'!$B$2:$B$25,MATCH('Source Data'!A166,'Category Mapping'!$A$2:$A$25,0))</f>
        <v>Weekend</v>
      </c>
      <c r="AF166" t="str">
        <f>INDEX('Category Mapping'!$C$2:$C$25,MATCH('Source Data'!A166,'Category Mapping'!$A$2:$A$25,0))</f>
        <v>Commercial</v>
      </c>
      <c r="AG166" t="str">
        <f>INDEX('Category Mapping'!$D$2:$D$25,MATCH('Source Data'!A166,'Category Mapping'!$A$2:$A$25,0))</f>
        <v>Appliances</v>
      </c>
    </row>
    <row r="167" spans="1:33" x14ac:dyDescent="0.3">
      <c r="A167" s="55" t="s">
        <v>104</v>
      </c>
      <c r="B167" s="56">
        <v>2019</v>
      </c>
      <c r="C167" s="56">
        <v>19</v>
      </c>
      <c r="D167" s="56" t="s">
        <v>269</v>
      </c>
      <c r="E167" s="56">
        <v>9</v>
      </c>
      <c r="F167" s="56">
        <v>1511721</v>
      </c>
      <c r="G167" s="56">
        <v>1103228</v>
      </c>
      <c r="H167" s="56">
        <v>977185</v>
      </c>
      <c r="I167" s="56">
        <v>976309</v>
      </c>
      <c r="J167" s="56">
        <v>1132004</v>
      </c>
      <c r="K167" s="56">
        <v>1404153</v>
      </c>
      <c r="L167" s="56">
        <v>1864835</v>
      </c>
      <c r="M167" s="56">
        <v>2873197</v>
      </c>
      <c r="N167" s="56">
        <v>4309583</v>
      </c>
      <c r="O167" s="56">
        <v>4192230</v>
      </c>
      <c r="P167" s="56">
        <v>3363583</v>
      </c>
      <c r="Q167" s="56">
        <v>2812508</v>
      </c>
      <c r="R167" s="56">
        <v>2274279</v>
      </c>
      <c r="S167" s="56">
        <v>2054690</v>
      </c>
      <c r="T167" s="56">
        <v>2014574</v>
      </c>
      <c r="U167" s="56">
        <v>1986795</v>
      </c>
      <c r="V167" s="56">
        <v>1677166</v>
      </c>
      <c r="W167" s="56">
        <v>1636393</v>
      </c>
      <c r="X167" s="56">
        <v>1869243</v>
      </c>
      <c r="Y167" s="56">
        <v>2267727</v>
      </c>
      <c r="Z167" s="56">
        <v>2439517</v>
      </c>
      <c r="AA167" s="56">
        <v>2546998</v>
      </c>
      <c r="AB167" s="56">
        <v>3117719</v>
      </c>
      <c r="AC167" s="57">
        <v>2593314</v>
      </c>
      <c r="AD167" t="str">
        <f>INDEX('Category Mapping'!$G$28:$G$39,MATCH(E167,'Category Mapping'!$A$28:$A$39,0),1)</f>
        <v>Fall</v>
      </c>
      <c r="AE167" t="str">
        <f>INDEX('Category Mapping'!$B$2:$B$25,MATCH('Source Data'!A167,'Category Mapping'!$A$2:$A$25,0))</f>
        <v>Weekend</v>
      </c>
      <c r="AF167" t="str">
        <f>INDEX('Category Mapping'!$C$2:$C$25,MATCH('Source Data'!A167,'Category Mapping'!$A$2:$A$25,0))</f>
        <v>Commercial</v>
      </c>
      <c r="AG167" t="str">
        <f>INDEX('Category Mapping'!$D$2:$D$25,MATCH('Source Data'!A167,'Category Mapping'!$A$2:$A$25,0))</f>
        <v>Appliances</v>
      </c>
    </row>
    <row r="168" spans="1:33" x14ac:dyDescent="0.3">
      <c r="A168" s="58" t="s">
        <v>104</v>
      </c>
      <c r="B168" s="59">
        <v>2019</v>
      </c>
      <c r="C168" s="59">
        <v>19</v>
      </c>
      <c r="D168" s="59" t="s">
        <v>269</v>
      </c>
      <c r="E168" s="59">
        <v>10</v>
      </c>
      <c r="F168" s="59">
        <v>1734523</v>
      </c>
      <c r="G168" s="59">
        <v>1265826</v>
      </c>
      <c r="H168" s="59">
        <v>1121205</v>
      </c>
      <c r="I168" s="59">
        <v>1120201</v>
      </c>
      <c r="J168" s="59">
        <v>1298842</v>
      </c>
      <c r="K168" s="59">
        <v>1611101</v>
      </c>
      <c r="L168" s="59">
        <v>2139681</v>
      </c>
      <c r="M168" s="59">
        <v>3296657</v>
      </c>
      <c r="N168" s="59">
        <v>4944743</v>
      </c>
      <c r="O168" s="59">
        <v>4810094</v>
      </c>
      <c r="P168" s="59">
        <v>3859319</v>
      </c>
      <c r="Q168" s="59">
        <v>3227024</v>
      </c>
      <c r="R168" s="59">
        <v>2609469</v>
      </c>
      <c r="S168" s="59">
        <v>2357517</v>
      </c>
      <c r="T168" s="59">
        <v>2311488</v>
      </c>
      <c r="U168" s="59">
        <v>2279615</v>
      </c>
      <c r="V168" s="59">
        <v>1924352</v>
      </c>
      <c r="W168" s="59">
        <v>1877570</v>
      </c>
      <c r="X168" s="59">
        <v>2144738</v>
      </c>
      <c r="Y168" s="59">
        <v>2601952</v>
      </c>
      <c r="Z168" s="59">
        <v>2799061</v>
      </c>
      <c r="AA168" s="59">
        <v>2922383</v>
      </c>
      <c r="AB168" s="59">
        <v>3577218</v>
      </c>
      <c r="AC168" s="60">
        <v>2975525</v>
      </c>
      <c r="AD168" t="str">
        <f>INDEX('Category Mapping'!$G$28:$G$39,MATCH(E168,'Category Mapping'!$A$28:$A$39,0),1)</f>
        <v>Fall</v>
      </c>
      <c r="AE168" t="str">
        <f>INDEX('Category Mapping'!$B$2:$B$25,MATCH('Source Data'!A168,'Category Mapping'!$A$2:$A$25,0))</f>
        <v>Weekend</v>
      </c>
      <c r="AF168" t="str">
        <f>INDEX('Category Mapping'!$C$2:$C$25,MATCH('Source Data'!A168,'Category Mapping'!$A$2:$A$25,0))</f>
        <v>Commercial</v>
      </c>
      <c r="AG168" t="str">
        <f>INDEX('Category Mapping'!$D$2:$D$25,MATCH('Source Data'!A168,'Category Mapping'!$A$2:$A$25,0))</f>
        <v>Appliances</v>
      </c>
    </row>
    <row r="169" spans="1:33" x14ac:dyDescent="0.3">
      <c r="A169" s="55" t="s">
        <v>104</v>
      </c>
      <c r="B169" s="56">
        <v>2019</v>
      </c>
      <c r="C169" s="56">
        <v>19</v>
      </c>
      <c r="D169" s="56" t="s">
        <v>269</v>
      </c>
      <c r="E169" s="56">
        <v>11</v>
      </c>
      <c r="F169" s="56">
        <v>2052992</v>
      </c>
      <c r="G169" s="56">
        <v>1498239</v>
      </c>
      <c r="H169" s="56">
        <v>1327066</v>
      </c>
      <c r="I169" s="56">
        <v>1325877</v>
      </c>
      <c r="J169" s="56">
        <v>1537318</v>
      </c>
      <c r="K169" s="56">
        <v>1906910</v>
      </c>
      <c r="L169" s="56">
        <v>2532540</v>
      </c>
      <c r="M169" s="56">
        <v>3901945</v>
      </c>
      <c r="N169" s="56">
        <v>5852630</v>
      </c>
      <c r="O169" s="56">
        <v>5693259</v>
      </c>
      <c r="P169" s="56">
        <v>4567914</v>
      </c>
      <c r="Q169" s="56">
        <v>3819526</v>
      </c>
      <c r="R169" s="56">
        <v>3088584</v>
      </c>
      <c r="S169" s="56">
        <v>2790372</v>
      </c>
      <c r="T169" s="56">
        <v>2735892</v>
      </c>
      <c r="U169" s="56">
        <v>2698167</v>
      </c>
      <c r="V169" s="56">
        <v>2277675</v>
      </c>
      <c r="W169" s="56">
        <v>2222304</v>
      </c>
      <c r="X169" s="56">
        <v>2538526</v>
      </c>
      <c r="Y169" s="56">
        <v>3079687</v>
      </c>
      <c r="Z169" s="56">
        <v>3312986</v>
      </c>
      <c r="AA169" s="56">
        <v>3458950</v>
      </c>
      <c r="AB169" s="56">
        <v>4234018</v>
      </c>
      <c r="AC169" s="57">
        <v>3521851</v>
      </c>
      <c r="AD169" t="str">
        <f>INDEX('Category Mapping'!$G$28:$G$39,MATCH(E169,'Category Mapping'!$A$28:$A$39,0),1)</f>
        <v>Winter</v>
      </c>
      <c r="AE169" t="str">
        <f>INDEX('Category Mapping'!$B$2:$B$25,MATCH('Source Data'!A169,'Category Mapping'!$A$2:$A$25,0))</f>
        <v>Weekend</v>
      </c>
      <c r="AF169" t="str">
        <f>INDEX('Category Mapping'!$C$2:$C$25,MATCH('Source Data'!A169,'Category Mapping'!$A$2:$A$25,0))</f>
        <v>Commercial</v>
      </c>
      <c r="AG169" t="str">
        <f>INDEX('Category Mapping'!$D$2:$D$25,MATCH('Source Data'!A169,'Category Mapping'!$A$2:$A$25,0))</f>
        <v>Appliances</v>
      </c>
    </row>
    <row r="170" spans="1:33" x14ac:dyDescent="0.3">
      <c r="A170" s="58" t="s">
        <v>104</v>
      </c>
      <c r="B170" s="59">
        <v>2019</v>
      </c>
      <c r="C170" s="59">
        <v>19</v>
      </c>
      <c r="D170" s="59" t="s">
        <v>269</v>
      </c>
      <c r="E170" s="59">
        <v>12</v>
      </c>
      <c r="F170" s="59">
        <v>2413079</v>
      </c>
      <c r="G170" s="59">
        <v>1761025</v>
      </c>
      <c r="H170" s="59">
        <v>1559828</v>
      </c>
      <c r="I170" s="59">
        <v>1558431</v>
      </c>
      <c r="J170" s="59">
        <v>1806958</v>
      </c>
      <c r="K170" s="59">
        <v>2241374</v>
      </c>
      <c r="L170" s="59">
        <v>2976737</v>
      </c>
      <c r="M170" s="59">
        <v>4586331</v>
      </c>
      <c r="N170" s="59">
        <v>6879158</v>
      </c>
      <c r="O170" s="59">
        <v>6691833</v>
      </c>
      <c r="P170" s="59">
        <v>5369108</v>
      </c>
      <c r="Q170" s="59">
        <v>4489456</v>
      </c>
      <c r="R170" s="59">
        <v>3630310</v>
      </c>
      <c r="S170" s="59">
        <v>3279791</v>
      </c>
      <c r="T170" s="59">
        <v>3215757</v>
      </c>
      <c r="U170" s="59">
        <v>3171414</v>
      </c>
      <c r="V170" s="59">
        <v>2677170</v>
      </c>
      <c r="W170" s="59">
        <v>2612087</v>
      </c>
      <c r="X170" s="59">
        <v>2983773</v>
      </c>
      <c r="Y170" s="59">
        <v>3619852</v>
      </c>
      <c r="Z170" s="59">
        <v>3894071</v>
      </c>
      <c r="AA170" s="59">
        <v>4065637</v>
      </c>
      <c r="AB170" s="59">
        <v>4976648</v>
      </c>
      <c r="AC170" s="60">
        <v>4139569</v>
      </c>
      <c r="AD170" t="str">
        <f>INDEX('Category Mapping'!$G$28:$G$39,MATCH(E170,'Category Mapping'!$A$28:$A$39,0),1)</f>
        <v>Winter</v>
      </c>
      <c r="AE170" t="str">
        <f>INDEX('Category Mapping'!$B$2:$B$25,MATCH('Source Data'!A170,'Category Mapping'!$A$2:$A$25,0))</f>
        <v>Weekend</v>
      </c>
      <c r="AF170" t="str">
        <f>INDEX('Category Mapping'!$C$2:$C$25,MATCH('Source Data'!A170,'Category Mapping'!$A$2:$A$25,0))</f>
        <v>Commercial</v>
      </c>
      <c r="AG170" t="str">
        <f>INDEX('Category Mapping'!$D$2:$D$25,MATCH('Source Data'!A170,'Category Mapping'!$A$2:$A$25,0))</f>
        <v>Appliances</v>
      </c>
    </row>
    <row r="171" spans="1:33" x14ac:dyDescent="0.3">
      <c r="A171" s="16" t="s">
        <v>105</v>
      </c>
      <c r="B171" s="17">
        <v>2019</v>
      </c>
      <c r="C171" s="17">
        <v>19</v>
      </c>
      <c r="D171" s="17" t="s">
        <v>269</v>
      </c>
      <c r="E171" s="17">
        <v>1</v>
      </c>
      <c r="F171" s="31">
        <v>661000000</v>
      </c>
      <c r="G171" s="31">
        <v>660000000</v>
      </c>
      <c r="H171" s="31">
        <v>660000000</v>
      </c>
      <c r="I171" s="31">
        <v>660000000</v>
      </c>
      <c r="J171" s="31">
        <v>662000000</v>
      </c>
      <c r="K171" s="31">
        <v>666000000</v>
      </c>
      <c r="L171" s="31">
        <v>674000000</v>
      </c>
      <c r="M171" s="31">
        <v>681000000</v>
      </c>
      <c r="N171" s="31">
        <v>683000000</v>
      </c>
      <c r="O171" s="31">
        <v>682000000</v>
      </c>
      <c r="P171" s="31">
        <v>679000000</v>
      </c>
      <c r="Q171" s="31">
        <v>677000000</v>
      </c>
      <c r="R171" s="31">
        <v>675000000</v>
      </c>
      <c r="S171" s="31">
        <v>674000000</v>
      </c>
      <c r="T171" s="31">
        <v>675000000</v>
      </c>
      <c r="U171" s="31">
        <v>681000000</v>
      </c>
      <c r="V171" s="31">
        <v>687000000</v>
      </c>
      <c r="W171" s="31">
        <v>689000000</v>
      </c>
      <c r="X171" s="31">
        <v>685000000</v>
      </c>
      <c r="Y171" s="31">
        <v>681000000</v>
      </c>
      <c r="Z171" s="31">
        <v>677000000</v>
      </c>
      <c r="AA171" s="31">
        <v>671000000</v>
      </c>
      <c r="AB171" s="31">
        <v>665000000</v>
      </c>
      <c r="AC171" s="61">
        <v>662000000</v>
      </c>
      <c r="AD171" t="str">
        <f>INDEX('Category Mapping'!$G$28:$G$39,MATCH(E171,'Category Mapping'!$A$28:$A$39,0),1)</f>
        <v>Winter</v>
      </c>
      <c r="AE171" t="str">
        <f>INDEX('Category Mapping'!$B$2:$B$25,MATCH('Source Data'!A171,'Category Mapping'!$A$2:$A$25,0))</f>
        <v>Weekday</v>
      </c>
      <c r="AF171" t="str">
        <f>INDEX('Category Mapping'!$C$2:$C$25,MATCH('Source Data'!A171,'Category Mapping'!$A$2:$A$25,0))</f>
        <v>Industry</v>
      </c>
      <c r="AG171" t="str">
        <f>INDEX('Category Mapping'!$D$2:$D$25,MATCH('Source Data'!A171,'Category Mapping'!$A$2:$A$25,0))</f>
        <v>Industry</v>
      </c>
    </row>
    <row r="172" spans="1:33" x14ac:dyDescent="0.3">
      <c r="A172" s="18" t="s">
        <v>105</v>
      </c>
      <c r="B172" s="19">
        <v>2019</v>
      </c>
      <c r="C172" s="19">
        <v>19</v>
      </c>
      <c r="D172" s="19" t="s">
        <v>269</v>
      </c>
      <c r="E172" s="19">
        <v>2</v>
      </c>
      <c r="F172" s="30">
        <v>663000000</v>
      </c>
      <c r="G172" s="30">
        <v>662000000</v>
      </c>
      <c r="H172" s="30">
        <v>662000000</v>
      </c>
      <c r="I172" s="30">
        <v>662000000</v>
      </c>
      <c r="J172" s="30">
        <v>664000000</v>
      </c>
      <c r="K172" s="30">
        <v>669000000</v>
      </c>
      <c r="L172" s="30">
        <v>677000000</v>
      </c>
      <c r="M172" s="30">
        <v>683000000</v>
      </c>
      <c r="N172" s="30">
        <v>685000000</v>
      </c>
      <c r="O172" s="30">
        <v>684000000</v>
      </c>
      <c r="P172" s="30">
        <v>681000000</v>
      </c>
      <c r="Q172" s="30">
        <v>679000000</v>
      </c>
      <c r="R172" s="30">
        <v>677000000</v>
      </c>
      <c r="S172" s="30">
        <v>676000000</v>
      </c>
      <c r="T172" s="30">
        <v>677000000</v>
      </c>
      <c r="U172" s="30">
        <v>683000000</v>
      </c>
      <c r="V172" s="30">
        <v>690000000</v>
      </c>
      <c r="W172" s="30">
        <v>691000000</v>
      </c>
      <c r="X172" s="30">
        <v>688000000</v>
      </c>
      <c r="Y172" s="30">
        <v>684000000</v>
      </c>
      <c r="Z172" s="30">
        <v>679000000</v>
      </c>
      <c r="AA172" s="30">
        <v>673000000</v>
      </c>
      <c r="AB172" s="30">
        <v>667000000</v>
      </c>
      <c r="AC172" s="62">
        <v>664000000</v>
      </c>
      <c r="AD172" t="str">
        <f>INDEX('Category Mapping'!$G$28:$G$39,MATCH(E172,'Category Mapping'!$A$28:$A$39,0),1)</f>
        <v>Winter</v>
      </c>
      <c r="AE172" t="str">
        <f>INDEX('Category Mapping'!$B$2:$B$25,MATCH('Source Data'!A172,'Category Mapping'!$A$2:$A$25,0))</f>
        <v>Weekday</v>
      </c>
      <c r="AF172" t="str">
        <f>INDEX('Category Mapping'!$C$2:$C$25,MATCH('Source Data'!A172,'Category Mapping'!$A$2:$A$25,0))</f>
        <v>Industry</v>
      </c>
      <c r="AG172" t="str">
        <f>INDEX('Category Mapping'!$D$2:$D$25,MATCH('Source Data'!A172,'Category Mapping'!$A$2:$A$25,0))</f>
        <v>Industry</v>
      </c>
    </row>
    <row r="173" spans="1:33" x14ac:dyDescent="0.3">
      <c r="A173" s="16" t="s">
        <v>105</v>
      </c>
      <c r="B173" s="17">
        <v>2019</v>
      </c>
      <c r="C173" s="17">
        <v>19</v>
      </c>
      <c r="D173" s="17" t="s">
        <v>269</v>
      </c>
      <c r="E173" s="17">
        <v>3</v>
      </c>
      <c r="F173" s="31">
        <v>664000000</v>
      </c>
      <c r="G173" s="31">
        <v>663000000</v>
      </c>
      <c r="H173" s="31">
        <v>663000000</v>
      </c>
      <c r="I173" s="31">
        <v>663000000</v>
      </c>
      <c r="J173" s="31">
        <v>665000000</v>
      </c>
      <c r="K173" s="31">
        <v>670000000</v>
      </c>
      <c r="L173" s="31">
        <v>677000000</v>
      </c>
      <c r="M173" s="31">
        <v>684000000</v>
      </c>
      <c r="N173" s="31">
        <v>686000000</v>
      </c>
      <c r="O173" s="31">
        <v>685000000</v>
      </c>
      <c r="P173" s="31">
        <v>682000000</v>
      </c>
      <c r="Q173" s="31">
        <v>680000000</v>
      </c>
      <c r="R173" s="31">
        <v>678000000</v>
      </c>
      <c r="S173" s="31">
        <v>677000000</v>
      </c>
      <c r="T173" s="31">
        <v>678000000</v>
      </c>
      <c r="U173" s="31">
        <v>684000000</v>
      </c>
      <c r="V173" s="31">
        <v>691000000</v>
      </c>
      <c r="W173" s="31">
        <v>692000000</v>
      </c>
      <c r="X173" s="31">
        <v>689000000</v>
      </c>
      <c r="Y173" s="31">
        <v>685000000</v>
      </c>
      <c r="Z173" s="31">
        <v>680000000</v>
      </c>
      <c r="AA173" s="31">
        <v>674000000</v>
      </c>
      <c r="AB173" s="31">
        <v>668000000</v>
      </c>
      <c r="AC173" s="61">
        <v>665000000</v>
      </c>
      <c r="AD173" t="str">
        <f>INDEX('Category Mapping'!$G$28:$G$39,MATCH(E173,'Category Mapping'!$A$28:$A$39,0),1)</f>
        <v>Spring</v>
      </c>
      <c r="AE173" t="str">
        <f>INDEX('Category Mapping'!$B$2:$B$25,MATCH('Source Data'!A173,'Category Mapping'!$A$2:$A$25,0))</f>
        <v>Weekday</v>
      </c>
      <c r="AF173" t="str">
        <f>INDEX('Category Mapping'!$C$2:$C$25,MATCH('Source Data'!A173,'Category Mapping'!$A$2:$A$25,0))</f>
        <v>Industry</v>
      </c>
      <c r="AG173" t="str">
        <f>INDEX('Category Mapping'!$D$2:$D$25,MATCH('Source Data'!A173,'Category Mapping'!$A$2:$A$25,0))</f>
        <v>Industry</v>
      </c>
    </row>
    <row r="174" spans="1:33" x14ac:dyDescent="0.3">
      <c r="A174" s="18" t="s">
        <v>105</v>
      </c>
      <c r="B174" s="19">
        <v>2019</v>
      </c>
      <c r="C174" s="19">
        <v>19</v>
      </c>
      <c r="D174" s="19" t="s">
        <v>269</v>
      </c>
      <c r="E174" s="19">
        <v>4</v>
      </c>
      <c r="F174" s="30">
        <v>638000000</v>
      </c>
      <c r="G174" s="30">
        <v>637000000</v>
      </c>
      <c r="H174" s="30">
        <v>637000000</v>
      </c>
      <c r="I174" s="30">
        <v>637000000</v>
      </c>
      <c r="J174" s="30">
        <v>639000000</v>
      </c>
      <c r="K174" s="30">
        <v>643000000</v>
      </c>
      <c r="L174" s="30">
        <v>650000000</v>
      </c>
      <c r="M174" s="30">
        <v>656000000</v>
      </c>
      <c r="N174" s="30">
        <v>658000000</v>
      </c>
      <c r="O174" s="30">
        <v>657000000</v>
      </c>
      <c r="P174" s="30">
        <v>654000000</v>
      </c>
      <c r="Q174" s="30">
        <v>652000000</v>
      </c>
      <c r="R174" s="30">
        <v>650000000</v>
      </c>
      <c r="S174" s="30">
        <v>650000000</v>
      </c>
      <c r="T174" s="30">
        <v>651000000</v>
      </c>
      <c r="U174" s="30">
        <v>656000000</v>
      </c>
      <c r="V174" s="30">
        <v>662000000</v>
      </c>
      <c r="W174" s="30">
        <v>663000000</v>
      </c>
      <c r="X174" s="30">
        <v>660000000</v>
      </c>
      <c r="Y174" s="30">
        <v>656000000</v>
      </c>
      <c r="Z174" s="30">
        <v>652000000</v>
      </c>
      <c r="AA174" s="30">
        <v>647000000</v>
      </c>
      <c r="AB174" s="30">
        <v>642000000</v>
      </c>
      <c r="AC174" s="62">
        <v>638000000</v>
      </c>
      <c r="AD174" t="str">
        <f>INDEX('Category Mapping'!$G$28:$G$39,MATCH(E174,'Category Mapping'!$A$28:$A$39,0),1)</f>
        <v>Spring</v>
      </c>
      <c r="AE174" t="str">
        <f>INDEX('Category Mapping'!$B$2:$B$25,MATCH('Source Data'!A174,'Category Mapping'!$A$2:$A$25,0))</f>
        <v>Weekday</v>
      </c>
      <c r="AF174" t="str">
        <f>INDEX('Category Mapping'!$C$2:$C$25,MATCH('Source Data'!A174,'Category Mapping'!$A$2:$A$25,0))</f>
        <v>Industry</v>
      </c>
      <c r="AG174" t="str">
        <f>INDEX('Category Mapping'!$D$2:$D$25,MATCH('Source Data'!A174,'Category Mapping'!$A$2:$A$25,0))</f>
        <v>Industry</v>
      </c>
    </row>
    <row r="175" spans="1:33" x14ac:dyDescent="0.3">
      <c r="A175" s="16" t="s">
        <v>105</v>
      </c>
      <c r="B175" s="17">
        <v>2019</v>
      </c>
      <c r="C175" s="17">
        <v>19</v>
      </c>
      <c r="D175" s="17" t="s">
        <v>269</v>
      </c>
      <c r="E175" s="17">
        <v>5</v>
      </c>
      <c r="F175" s="31">
        <v>646000000</v>
      </c>
      <c r="G175" s="31">
        <v>645000000</v>
      </c>
      <c r="H175" s="31">
        <v>645000000</v>
      </c>
      <c r="I175" s="31">
        <v>645000000</v>
      </c>
      <c r="J175" s="31">
        <v>647000000</v>
      </c>
      <c r="K175" s="31">
        <v>652000000</v>
      </c>
      <c r="L175" s="31">
        <v>659000000</v>
      </c>
      <c r="M175" s="31">
        <v>665000000</v>
      </c>
      <c r="N175" s="31">
        <v>667000000</v>
      </c>
      <c r="O175" s="31">
        <v>666000000</v>
      </c>
      <c r="P175" s="31">
        <v>664000000</v>
      </c>
      <c r="Q175" s="31">
        <v>662000000</v>
      </c>
      <c r="R175" s="31">
        <v>659000000</v>
      </c>
      <c r="S175" s="31">
        <v>659000000</v>
      </c>
      <c r="T175" s="31">
        <v>660000000</v>
      </c>
      <c r="U175" s="31">
        <v>665000000</v>
      </c>
      <c r="V175" s="31">
        <v>672000000</v>
      </c>
      <c r="W175" s="31">
        <v>673000000</v>
      </c>
      <c r="X175" s="31">
        <v>670000000</v>
      </c>
      <c r="Y175" s="31">
        <v>666000000</v>
      </c>
      <c r="Z175" s="31">
        <v>661000000</v>
      </c>
      <c r="AA175" s="31">
        <v>656000000</v>
      </c>
      <c r="AB175" s="31">
        <v>650000000</v>
      </c>
      <c r="AC175" s="61">
        <v>647000000</v>
      </c>
      <c r="AD175" t="str">
        <f>INDEX('Category Mapping'!$G$28:$G$39,MATCH(E175,'Category Mapping'!$A$28:$A$39,0),1)</f>
        <v>Spring</v>
      </c>
      <c r="AE175" t="str">
        <f>INDEX('Category Mapping'!$B$2:$B$25,MATCH('Source Data'!A175,'Category Mapping'!$A$2:$A$25,0))</f>
        <v>Weekday</v>
      </c>
      <c r="AF175" t="str">
        <f>INDEX('Category Mapping'!$C$2:$C$25,MATCH('Source Data'!A175,'Category Mapping'!$A$2:$A$25,0))</f>
        <v>Industry</v>
      </c>
      <c r="AG175" t="str">
        <f>INDEX('Category Mapping'!$D$2:$D$25,MATCH('Source Data'!A175,'Category Mapping'!$A$2:$A$25,0))</f>
        <v>Industry</v>
      </c>
    </row>
    <row r="176" spans="1:33" x14ac:dyDescent="0.3">
      <c r="A176" s="18" t="s">
        <v>105</v>
      </c>
      <c r="B176" s="19">
        <v>2019</v>
      </c>
      <c r="C176" s="19">
        <v>19</v>
      </c>
      <c r="D176" s="19" t="s">
        <v>269</v>
      </c>
      <c r="E176" s="19">
        <v>6</v>
      </c>
      <c r="F176" s="30">
        <v>659000000</v>
      </c>
      <c r="G176" s="30">
        <v>658000000</v>
      </c>
      <c r="H176" s="30">
        <v>658000000</v>
      </c>
      <c r="I176" s="30">
        <v>658000000</v>
      </c>
      <c r="J176" s="30">
        <v>660000000</v>
      </c>
      <c r="K176" s="30">
        <v>665000000</v>
      </c>
      <c r="L176" s="30">
        <v>673000000</v>
      </c>
      <c r="M176" s="30">
        <v>679000000</v>
      </c>
      <c r="N176" s="30">
        <v>682000000</v>
      </c>
      <c r="O176" s="30">
        <v>680000000</v>
      </c>
      <c r="P176" s="30">
        <v>678000000</v>
      </c>
      <c r="Q176" s="30">
        <v>675000000</v>
      </c>
      <c r="R176" s="30">
        <v>673000000</v>
      </c>
      <c r="S176" s="30">
        <v>673000000</v>
      </c>
      <c r="T176" s="30">
        <v>674000000</v>
      </c>
      <c r="U176" s="30">
        <v>680000000</v>
      </c>
      <c r="V176" s="30">
        <v>686000000</v>
      </c>
      <c r="W176" s="30">
        <v>688000000</v>
      </c>
      <c r="X176" s="30">
        <v>684000000</v>
      </c>
      <c r="Y176" s="30">
        <v>680000000</v>
      </c>
      <c r="Z176" s="30">
        <v>675000000</v>
      </c>
      <c r="AA176" s="30">
        <v>669000000</v>
      </c>
      <c r="AB176" s="30">
        <v>664000000</v>
      </c>
      <c r="AC176" s="62">
        <v>660000000</v>
      </c>
      <c r="AD176" t="str">
        <f>INDEX('Category Mapping'!$G$28:$G$39,MATCH(E176,'Category Mapping'!$A$28:$A$39,0),1)</f>
        <v>Summer</v>
      </c>
      <c r="AE176" t="str">
        <f>INDEX('Category Mapping'!$B$2:$B$25,MATCH('Source Data'!A176,'Category Mapping'!$A$2:$A$25,0))</f>
        <v>Weekday</v>
      </c>
      <c r="AF176" t="str">
        <f>INDEX('Category Mapping'!$C$2:$C$25,MATCH('Source Data'!A176,'Category Mapping'!$A$2:$A$25,0))</f>
        <v>Industry</v>
      </c>
      <c r="AG176" t="str">
        <f>INDEX('Category Mapping'!$D$2:$D$25,MATCH('Source Data'!A176,'Category Mapping'!$A$2:$A$25,0))</f>
        <v>Industry</v>
      </c>
    </row>
    <row r="177" spans="1:33" x14ac:dyDescent="0.3">
      <c r="A177" s="16" t="s">
        <v>105</v>
      </c>
      <c r="B177" s="17">
        <v>2019</v>
      </c>
      <c r="C177" s="17">
        <v>19</v>
      </c>
      <c r="D177" s="17" t="s">
        <v>269</v>
      </c>
      <c r="E177" s="17">
        <v>7</v>
      </c>
      <c r="F177" s="31">
        <v>618000000</v>
      </c>
      <c r="G177" s="31">
        <v>617000000</v>
      </c>
      <c r="H177" s="31">
        <v>617000000</v>
      </c>
      <c r="I177" s="31">
        <v>617000000</v>
      </c>
      <c r="J177" s="31">
        <v>619000000</v>
      </c>
      <c r="K177" s="31">
        <v>623000000</v>
      </c>
      <c r="L177" s="31">
        <v>630000000</v>
      </c>
      <c r="M177" s="31">
        <v>637000000</v>
      </c>
      <c r="N177" s="31">
        <v>639000000</v>
      </c>
      <c r="O177" s="31">
        <v>638000000</v>
      </c>
      <c r="P177" s="31">
        <v>635000000</v>
      </c>
      <c r="Q177" s="31">
        <v>633000000</v>
      </c>
      <c r="R177" s="31">
        <v>631000000</v>
      </c>
      <c r="S177" s="31">
        <v>630000000</v>
      </c>
      <c r="T177" s="31">
        <v>631000000</v>
      </c>
      <c r="U177" s="31">
        <v>637000000</v>
      </c>
      <c r="V177" s="31">
        <v>643000000</v>
      </c>
      <c r="W177" s="31">
        <v>644000000</v>
      </c>
      <c r="X177" s="31">
        <v>641000000</v>
      </c>
      <c r="Y177" s="31">
        <v>637000000</v>
      </c>
      <c r="Z177" s="31">
        <v>633000000</v>
      </c>
      <c r="AA177" s="31">
        <v>627000000</v>
      </c>
      <c r="AB177" s="31">
        <v>622000000</v>
      </c>
      <c r="AC177" s="61">
        <v>619000000</v>
      </c>
      <c r="AD177" t="str">
        <f>INDEX('Category Mapping'!$G$28:$G$39,MATCH(E177,'Category Mapping'!$A$28:$A$39,0),1)</f>
        <v>Summer</v>
      </c>
      <c r="AE177" t="str">
        <f>INDEX('Category Mapping'!$B$2:$B$25,MATCH('Source Data'!A177,'Category Mapping'!$A$2:$A$25,0))</f>
        <v>Weekday</v>
      </c>
      <c r="AF177" t="str">
        <f>INDEX('Category Mapping'!$C$2:$C$25,MATCH('Source Data'!A177,'Category Mapping'!$A$2:$A$25,0))</f>
        <v>Industry</v>
      </c>
      <c r="AG177" t="str">
        <f>INDEX('Category Mapping'!$D$2:$D$25,MATCH('Source Data'!A177,'Category Mapping'!$A$2:$A$25,0))</f>
        <v>Industry</v>
      </c>
    </row>
    <row r="178" spans="1:33" x14ac:dyDescent="0.3">
      <c r="A178" s="18" t="s">
        <v>105</v>
      </c>
      <c r="B178" s="19">
        <v>2019</v>
      </c>
      <c r="C178" s="19">
        <v>19</v>
      </c>
      <c r="D178" s="19" t="s">
        <v>269</v>
      </c>
      <c r="E178" s="19">
        <v>8</v>
      </c>
      <c r="F178" s="30">
        <v>652000000</v>
      </c>
      <c r="G178" s="30">
        <v>651000000</v>
      </c>
      <c r="H178" s="30">
        <v>651000000</v>
      </c>
      <c r="I178" s="30">
        <v>651000000</v>
      </c>
      <c r="J178" s="30">
        <v>653000000</v>
      </c>
      <c r="K178" s="30">
        <v>658000000</v>
      </c>
      <c r="L178" s="30">
        <v>666000000</v>
      </c>
      <c r="M178" s="30">
        <v>673000000</v>
      </c>
      <c r="N178" s="30">
        <v>675000000</v>
      </c>
      <c r="O178" s="30">
        <v>674000000</v>
      </c>
      <c r="P178" s="30">
        <v>671000000</v>
      </c>
      <c r="Q178" s="30">
        <v>669000000</v>
      </c>
      <c r="R178" s="30">
        <v>667000000</v>
      </c>
      <c r="S178" s="30">
        <v>666000000</v>
      </c>
      <c r="T178" s="30">
        <v>667000000</v>
      </c>
      <c r="U178" s="30">
        <v>673000000</v>
      </c>
      <c r="V178" s="30">
        <v>680000000</v>
      </c>
      <c r="W178" s="30">
        <v>682000000</v>
      </c>
      <c r="X178" s="30">
        <v>678000000</v>
      </c>
      <c r="Y178" s="30">
        <v>673000000</v>
      </c>
      <c r="Z178" s="30">
        <v>669000000</v>
      </c>
      <c r="AA178" s="30">
        <v>663000000</v>
      </c>
      <c r="AB178" s="30">
        <v>657000000</v>
      </c>
      <c r="AC178" s="62">
        <v>653000000</v>
      </c>
      <c r="AD178" t="str">
        <f>INDEX('Category Mapping'!$G$28:$G$39,MATCH(E178,'Category Mapping'!$A$28:$A$39,0),1)</f>
        <v>Summer</v>
      </c>
      <c r="AE178" t="str">
        <f>INDEX('Category Mapping'!$B$2:$B$25,MATCH('Source Data'!A178,'Category Mapping'!$A$2:$A$25,0))</f>
        <v>Weekday</v>
      </c>
      <c r="AF178" t="str">
        <f>INDEX('Category Mapping'!$C$2:$C$25,MATCH('Source Data'!A178,'Category Mapping'!$A$2:$A$25,0))</f>
        <v>Industry</v>
      </c>
      <c r="AG178" t="str">
        <f>INDEX('Category Mapping'!$D$2:$D$25,MATCH('Source Data'!A178,'Category Mapping'!$A$2:$A$25,0))</f>
        <v>Industry</v>
      </c>
    </row>
    <row r="179" spans="1:33" x14ac:dyDescent="0.3">
      <c r="A179" s="16" t="s">
        <v>105</v>
      </c>
      <c r="B179" s="17">
        <v>2019</v>
      </c>
      <c r="C179" s="17">
        <v>19</v>
      </c>
      <c r="D179" s="17" t="s">
        <v>269</v>
      </c>
      <c r="E179" s="17">
        <v>9</v>
      </c>
      <c r="F179" s="31">
        <v>657000000</v>
      </c>
      <c r="G179" s="31">
        <v>656000000</v>
      </c>
      <c r="H179" s="31">
        <v>655000000</v>
      </c>
      <c r="I179" s="31">
        <v>656000000</v>
      </c>
      <c r="J179" s="31">
        <v>658000000</v>
      </c>
      <c r="K179" s="31">
        <v>662000000</v>
      </c>
      <c r="L179" s="31">
        <v>670000000</v>
      </c>
      <c r="M179" s="31">
        <v>677000000</v>
      </c>
      <c r="N179" s="31">
        <v>679000000</v>
      </c>
      <c r="O179" s="31">
        <v>678000000</v>
      </c>
      <c r="P179" s="31">
        <v>675000000</v>
      </c>
      <c r="Q179" s="31">
        <v>673000000</v>
      </c>
      <c r="R179" s="31">
        <v>671000000</v>
      </c>
      <c r="S179" s="31">
        <v>670000000</v>
      </c>
      <c r="T179" s="31">
        <v>671000000</v>
      </c>
      <c r="U179" s="31">
        <v>677000000</v>
      </c>
      <c r="V179" s="31">
        <v>683000000</v>
      </c>
      <c r="W179" s="31">
        <v>685000000</v>
      </c>
      <c r="X179" s="31">
        <v>681000000</v>
      </c>
      <c r="Y179" s="31">
        <v>677000000</v>
      </c>
      <c r="Z179" s="31">
        <v>672000000</v>
      </c>
      <c r="AA179" s="31">
        <v>667000000</v>
      </c>
      <c r="AB179" s="31">
        <v>661000000</v>
      </c>
      <c r="AC179" s="61">
        <v>657000000</v>
      </c>
      <c r="AD179" t="str">
        <f>INDEX('Category Mapping'!$G$28:$G$39,MATCH(E179,'Category Mapping'!$A$28:$A$39,0),1)</f>
        <v>Fall</v>
      </c>
      <c r="AE179" t="str">
        <f>INDEX('Category Mapping'!$B$2:$B$25,MATCH('Source Data'!A179,'Category Mapping'!$A$2:$A$25,0))</f>
        <v>Weekday</v>
      </c>
      <c r="AF179" t="str">
        <f>INDEX('Category Mapping'!$C$2:$C$25,MATCH('Source Data'!A179,'Category Mapping'!$A$2:$A$25,0))</f>
        <v>Industry</v>
      </c>
      <c r="AG179" t="str">
        <f>INDEX('Category Mapping'!$D$2:$D$25,MATCH('Source Data'!A179,'Category Mapping'!$A$2:$A$25,0))</f>
        <v>Industry</v>
      </c>
    </row>
    <row r="180" spans="1:33" x14ac:dyDescent="0.3">
      <c r="A180" s="18" t="s">
        <v>105</v>
      </c>
      <c r="B180" s="19">
        <v>2019</v>
      </c>
      <c r="C180" s="19">
        <v>19</v>
      </c>
      <c r="D180" s="19" t="s">
        <v>269</v>
      </c>
      <c r="E180" s="19">
        <v>10</v>
      </c>
      <c r="F180" s="30">
        <v>653000000</v>
      </c>
      <c r="G180" s="30">
        <v>652000000</v>
      </c>
      <c r="H180" s="30">
        <v>652000000</v>
      </c>
      <c r="I180" s="30">
        <v>652000000</v>
      </c>
      <c r="J180" s="30">
        <v>654000000</v>
      </c>
      <c r="K180" s="30">
        <v>659000000</v>
      </c>
      <c r="L180" s="30">
        <v>666000000</v>
      </c>
      <c r="M180" s="30">
        <v>673000000</v>
      </c>
      <c r="N180" s="30">
        <v>675000000</v>
      </c>
      <c r="O180" s="30">
        <v>674000000</v>
      </c>
      <c r="P180" s="30">
        <v>671000000</v>
      </c>
      <c r="Q180" s="30">
        <v>669000000</v>
      </c>
      <c r="R180" s="30">
        <v>667000000</v>
      </c>
      <c r="S180" s="30">
        <v>666000000</v>
      </c>
      <c r="T180" s="30">
        <v>667000000</v>
      </c>
      <c r="U180" s="30">
        <v>673000000</v>
      </c>
      <c r="V180" s="30">
        <v>680000000</v>
      </c>
      <c r="W180" s="30">
        <v>681000000</v>
      </c>
      <c r="X180" s="30">
        <v>678000000</v>
      </c>
      <c r="Y180" s="30">
        <v>673000000</v>
      </c>
      <c r="Z180" s="30">
        <v>669000000</v>
      </c>
      <c r="AA180" s="30">
        <v>663000000</v>
      </c>
      <c r="AB180" s="30">
        <v>657000000</v>
      </c>
      <c r="AC180" s="62">
        <v>654000000</v>
      </c>
      <c r="AD180" t="str">
        <f>INDEX('Category Mapping'!$G$28:$G$39,MATCH(E180,'Category Mapping'!$A$28:$A$39,0),1)</f>
        <v>Fall</v>
      </c>
      <c r="AE180" t="str">
        <f>INDEX('Category Mapping'!$B$2:$B$25,MATCH('Source Data'!A180,'Category Mapping'!$A$2:$A$25,0))</f>
        <v>Weekday</v>
      </c>
      <c r="AF180" t="str">
        <f>INDEX('Category Mapping'!$C$2:$C$25,MATCH('Source Data'!A180,'Category Mapping'!$A$2:$A$25,0))</f>
        <v>Industry</v>
      </c>
      <c r="AG180" t="str">
        <f>INDEX('Category Mapping'!$D$2:$D$25,MATCH('Source Data'!A180,'Category Mapping'!$A$2:$A$25,0))</f>
        <v>Industry</v>
      </c>
    </row>
    <row r="181" spans="1:33" x14ac:dyDescent="0.3">
      <c r="A181" s="16" t="s">
        <v>105</v>
      </c>
      <c r="B181" s="17">
        <v>2019</v>
      </c>
      <c r="C181" s="17">
        <v>19</v>
      </c>
      <c r="D181" s="17" t="s">
        <v>269</v>
      </c>
      <c r="E181" s="17">
        <v>11</v>
      </c>
      <c r="F181" s="31">
        <v>661000000</v>
      </c>
      <c r="G181" s="31">
        <v>660000000</v>
      </c>
      <c r="H181" s="31">
        <v>660000000</v>
      </c>
      <c r="I181" s="31">
        <v>660000000</v>
      </c>
      <c r="J181" s="31">
        <v>662000000</v>
      </c>
      <c r="K181" s="31">
        <v>667000000</v>
      </c>
      <c r="L181" s="31">
        <v>675000000</v>
      </c>
      <c r="M181" s="31">
        <v>681000000</v>
      </c>
      <c r="N181" s="31">
        <v>683000000</v>
      </c>
      <c r="O181" s="31">
        <v>682000000</v>
      </c>
      <c r="P181" s="31">
        <v>680000000</v>
      </c>
      <c r="Q181" s="31">
        <v>677000000</v>
      </c>
      <c r="R181" s="31">
        <v>675000000</v>
      </c>
      <c r="S181" s="31">
        <v>674000000</v>
      </c>
      <c r="T181" s="31">
        <v>675000000</v>
      </c>
      <c r="U181" s="31">
        <v>681000000</v>
      </c>
      <c r="V181" s="31">
        <v>688000000</v>
      </c>
      <c r="W181" s="31">
        <v>690000000</v>
      </c>
      <c r="X181" s="31">
        <v>686000000</v>
      </c>
      <c r="Y181" s="31">
        <v>682000000</v>
      </c>
      <c r="Z181" s="31">
        <v>677000000</v>
      </c>
      <c r="AA181" s="31">
        <v>671000000</v>
      </c>
      <c r="AB181" s="31">
        <v>665000000</v>
      </c>
      <c r="AC181" s="61">
        <v>662000000</v>
      </c>
      <c r="AD181" t="str">
        <f>INDEX('Category Mapping'!$G$28:$G$39,MATCH(E181,'Category Mapping'!$A$28:$A$39,0),1)</f>
        <v>Winter</v>
      </c>
      <c r="AE181" t="str">
        <f>INDEX('Category Mapping'!$B$2:$B$25,MATCH('Source Data'!A181,'Category Mapping'!$A$2:$A$25,0))</f>
        <v>Weekday</v>
      </c>
      <c r="AF181" t="str">
        <f>INDEX('Category Mapping'!$C$2:$C$25,MATCH('Source Data'!A181,'Category Mapping'!$A$2:$A$25,0))</f>
        <v>Industry</v>
      </c>
      <c r="AG181" t="str">
        <f>INDEX('Category Mapping'!$D$2:$D$25,MATCH('Source Data'!A181,'Category Mapping'!$A$2:$A$25,0))</f>
        <v>Industry</v>
      </c>
    </row>
    <row r="182" spans="1:33" x14ac:dyDescent="0.3">
      <c r="A182" s="18" t="s">
        <v>105</v>
      </c>
      <c r="B182" s="19">
        <v>2019</v>
      </c>
      <c r="C182" s="19">
        <v>19</v>
      </c>
      <c r="D182" s="19" t="s">
        <v>269</v>
      </c>
      <c r="E182" s="19">
        <v>12</v>
      </c>
      <c r="F182" s="30">
        <v>621000000</v>
      </c>
      <c r="G182" s="30">
        <v>621000000</v>
      </c>
      <c r="H182" s="30">
        <v>620000000</v>
      </c>
      <c r="I182" s="30">
        <v>620000000</v>
      </c>
      <c r="J182" s="30">
        <v>622000000</v>
      </c>
      <c r="K182" s="30">
        <v>626000000</v>
      </c>
      <c r="L182" s="30">
        <v>633000000</v>
      </c>
      <c r="M182" s="30">
        <v>639000000</v>
      </c>
      <c r="N182" s="30">
        <v>641000000</v>
      </c>
      <c r="O182" s="30">
        <v>640000000</v>
      </c>
      <c r="P182" s="30">
        <v>637000000</v>
      </c>
      <c r="Q182" s="30">
        <v>635000000</v>
      </c>
      <c r="R182" s="30">
        <v>634000000</v>
      </c>
      <c r="S182" s="30">
        <v>633000000</v>
      </c>
      <c r="T182" s="30">
        <v>634000000</v>
      </c>
      <c r="U182" s="30">
        <v>639000000</v>
      </c>
      <c r="V182" s="30">
        <v>645000000</v>
      </c>
      <c r="W182" s="30">
        <v>646000000</v>
      </c>
      <c r="X182" s="30">
        <v>643000000</v>
      </c>
      <c r="Y182" s="30">
        <v>639000000</v>
      </c>
      <c r="Z182" s="30">
        <v>635000000</v>
      </c>
      <c r="AA182" s="30">
        <v>630000000</v>
      </c>
      <c r="AB182" s="30">
        <v>625000000</v>
      </c>
      <c r="AC182" s="62">
        <v>622000000</v>
      </c>
      <c r="AD182" t="str">
        <f>INDEX('Category Mapping'!$G$28:$G$39,MATCH(E182,'Category Mapping'!$A$28:$A$39,0),1)</f>
        <v>Winter</v>
      </c>
      <c r="AE182" t="str">
        <f>INDEX('Category Mapping'!$B$2:$B$25,MATCH('Source Data'!A182,'Category Mapping'!$A$2:$A$25,0))</f>
        <v>Weekday</v>
      </c>
      <c r="AF182" t="str">
        <f>INDEX('Category Mapping'!$C$2:$C$25,MATCH('Source Data'!A182,'Category Mapping'!$A$2:$A$25,0))</f>
        <v>Industry</v>
      </c>
      <c r="AG182" t="str">
        <f>INDEX('Category Mapping'!$D$2:$D$25,MATCH('Source Data'!A182,'Category Mapping'!$A$2:$A$25,0))</f>
        <v>Industry</v>
      </c>
    </row>
    <row r="183" spans="1:33" x14ac:dyDescent="0.3">
      <c r="A183" s="16" t="s">
        <v>106</v>
      </c>
      <c r="B183" s="17">
        <v>2019</v>
      </c>
      <c r="C183" s="17">
        <v>19</v>
      </c>
      <c r="D183" s="17" t="s">
        <v>269</v>
      </c>
      <c r="E183" s="17">
        <v>1</v>
      </c>
      <c r="F183" s="31">
        <v>343000000</v>
      </c>
      <c r="G183" s="31">
        <v>342000000</v>
      </c>
      <c r="H183" s="31">
        <v>342000000</v>
      </c>
      <c r="I183" s="31">
        <v>343000000</v>
      </c>
      <c r="J183" s="31">
        <v>346000000</v>
      </c>
      <c r="K183" s="31">
        <v>349000000</v>
      </c>
      <c r="L183" s="31">
        <v>351000000</v>
      </c>
      <c r="M183" s="31">
        <v>351000000</v>
      </c>
      <c r="N183" s="31">
        <v>350000000</v>
      </c>
      <c r="O183" s="31">
        <v>349000000</v>
      </c>
      <c r="P183" s="31">
        <v>348000000</v>
      </c>
      <c r="Q183" s="31">
        <v>347000000</v>
      </c>
      <c r="R183" s="31">
        <v>347000000</v>
      </c>
      <c r="S183" s="31">
        <v>347000000</v>
      </c>
      <c r="T183" s="31">
        <v>349000000</v>
      </c>
      <c r="U183" s="31">
        <v>352000000</v>
      </c>
      <c r="V183" s="31">
        <v>357000000</v>
      </c>
      <c r="W183" s="31">
        <v>357000000</v>
      </c>
      <c r="X183" s="31">
        <v>356000000</v>
      </c>
      <c r="Y183" s="31">
        <v>354000000</v>
      </c>
      <c r="Z183" s="31">
        <v>352000000</v>
      </c>
      <c r="AA183" s="31">
        <v>349000000</v>
      </c>
      <c r="AB183" s="31">
        <v>346000000</v>
      </c>
      <c r="AC183" s="61">
        <v>344000000</v>
      </c>
      <c r="AD183" t="str">
        <f>INDEX('Category Mapping'!$G$28:$G$39,MATCH(E183,'Category Mapping'!$A$28:$A$39,0),1)</f>
        <v>Winter</v>
      </c>
      <c r="AE183" t="str">
        <f>INDEX('Category Mapping'!$B$2:$B$25,MATCH('Source Data'!A183,'Category Mapping'!$A$2:$A$25,0))</f>
        <v>Weekend</v>
      </c>
      <c r="AF183" t="str">
        <f>INDEX('Category Mapping'!$C$2:$C$25,MATCH('Source Data'!A183,'Category Mapping'!$A$2:$A$25,0))</f>
        <v>Industry</v>
      </c>
      <c r="AG183" t="str">
        <f>INDEX('Category Mapping'!$D$2:$D$25,MATCH('Source Data'!A183,'Category Mapping'!$A$2:$A$25,0))</f>
        <v>Industry</v>
      </c>
    </row>
    <row r="184" spans="1:33" x14ac:dyDescent="0.3">
      <c r="A184" s="18" t="s">
        <v>106</v>
      </c>
      <c r="B184" s="19">
        <v>2019</v>
      </c>
      <c r="C184" s="19">
        <v>19</v>
      </c>
      <c r="D184" s="19" t="s">
        <v>269</v>
      </c>
      <c r="E184" s="19">
        <v>2</v>
      </c>
      <c r="F184" s="30">
        <v>344000000</v>
      </c>
      <c r="G184" s="30">
        <v>343000000</v>
      </c>
      <c r="H184" s="30">
        <v>343000000</v>
      </c>
      <c r="I184" s="30">
        <v>344000000</v>
      </c>
      <c r="J184" s="30">
        <v>347000000</v>
      </c>
      <c r="K184" s="30">
        <v>350000000</v>
      </c>
      <c r="L184" s="30">
        <v>352000000</v>
      </c>
      <c r="M184" s="30">
        <v>352000000</v>
      </c>
      <c r="N184" s="30">
        <v>352000000</v>
      </c>
      <c r="O184" s="30">
        <v>350000000</v>
      </c>
      <c r="P184" s="30">
        <v>349000000</v>
      </c>
      <c r="Q184" s="30">
        <v>349000000</v>
      </c>
      <c r="R184" s="30">
        <v>348000000</v>
      </c>
      <c r="S184" s="30">
        <v>349000000</v>
      </c>
      <c r="T184" s="30">
        <v>350000000</v>
      </c>
      <c r="U184" s="30">
        <v>354000000</v>
      </c>
      <c r="V184" s="30">
        <v>358000000</v>
      </c>
      <c r="W184" s="30">
        <v>359000000</v>
      </c>
      <c r="X184" s="30">
        <v>357000000</v>
      </c>
      <c r="Y184" s="30">
        <v>355000000</v>
      </c>
      <c r="Z184" s="30">
        <v>353000000</v>
      </c>
      <c r="AA184" s="30">
        <v>350000000</v>
      </c>
      <c r="AB184" s="30">
        <v>347000000</v>
      </c>
      <c r="AC184" s="62">
        <v>345000000</v>
      </c>
      <c r="AD184" t="str">
        <f>INDEX('Category Mapping'!$G$28:$G$39,MATCH(E184,'Category Mapping'!$A$28:$A$39,0),1)</f>
        <v>Winter</v>
      </c>
      <c r="AE184" t="str">
        <f>INDEX('Category Mapping'!$B$2:$B$25,MATCH('Source Data'!A184,'Category Mapping'!$A$2:$A$25,0))</f>
        <v>Weekend</v>
      </c>
      <c r="AF184" t="str">
        <f>INDEX('Category Mapping'!$C$2:$C$25,MATCH('Source Data'!A184,'Category Mapping'!$A$2:$A$25,0))</f>
        <v>Industry</v>
      </c>
      <c r="AG184" t="str">
        <f>INDEX('Category Mapping'!$D$2:$D$25,MATCH('Source Data'!A184,'Category Mapping'!$A$2:$A$25,0))</f>
        <v>Industry</v>
      </c>
    </row>
    <row r="185" spans="1:33" x14ac:dyDescent="0.3">
      <c r="A185" s="16" t="s">
        <v>106</v>
      </c>
      <c r="B185" s="17">
        <v>2019</v>
      </c>
      <c r="C185" s="17">
        <v>19</v>
      </c>
      <c r="D185" s="17" t="s">
        <v>269</v>
      </c>
      <c r="E185" s="17">
        <v>3</v>
      </c>
      <c r="F185" s="31">
        <v>344000000</v>
      </c>
      <c r="G185" s="31">
        <v>344000000</v>
      </c>
      <c r="H185" s="31">
        <v>344000000</v>
      </c>
      <c r="I185" s="31">
        <v>345000000</v>
      </c>
      <c r="J185" s="31">
        <v>347000000</v>
      </c>
      <c r="K185" s="31">
        <v>351000000</v>
      </c>
      <c r="L185" s="31">
        <v>352000000</v>
      </c>
      <c r="M185" s="31">
        <v>353000000</v>
      </c>
      <c r="N185" s="31">
        <v>352000000</v>
      </c>
      <c r="O185" s="31">
        <v>351000000</v>
      </c>
      <c r="P185" s="31">
        <v>350000000</v>
      </c>
      <c r="Q185" s="31">
        <v>349000000</v>
      </c>
      <c r="R185" s="31">
        <v>349000000</v>
      </c>
      <c r="S185" s="31">
        <v>349000000</v>
      </c>
      <c r="T185" s="31">
        <v>350000000</v>
      </c>
      <c r="U185" s="31">
        <v>354000000</v>
      </c>
      <c r="V185" s="31">
        <v>358000000</v>
      </c>
      <c r="W185" s="31">
        <v>359000000</v>
      </c>
      <c r="X185" s="31">
        <v>358000000</v>
      </c>
      <c r="Y185" s="31">
        <v>356000000</v>
      </c>
      <c r="Z185" s="31">
        <v>353000000</v>
      </c>
      <c r="AA185" s="31">
        <v>350000000</v>
      </c>
      <c r="AB185" s="31">
        <v>347000000</v>
      </c>
      <c r="AC185" s="61">
        <v>345000000</v>
      </c>
      <c r="AD185" t="str">
        <f>INDEX('Category Mapping'!$G$28:$G$39,MATCH(E185,'Category Mapping'!$A$28:$A$39,0),1)</f>
        <v>Spring</v>
      </c>
      <c r="AE185" t="str">
        <f>INDEX('Category Mapping'!$B$2:$B$25,MATCH('Source Data'!A185,'Category Mapping'!$A$2:$A$25,0))</f>
        <v>Weekend</v>
      </c>
      <c r="AF185" t="str">
        <f>INDEX('Category Mapping'!$C$2:$C$25,MATCH('Source Data'!A185,'Category Mapping'!$A$2:$A$25,0))</f>
        <v>Industry</v>
      </c>
      <c r="AG185" t="str">
        <f>INDEX('Category Mapping'!$D$2:$D$25,MATCH('Source Data'!A185,'Category Mapping'!$A$2:$A$25,0))</f>
        <v>Industry</v>
      </c>
    </row>
    <row r="186" spans="1:33" x14ac:dyDescent="0.3">
      <c r="A186" s="18" t="s">
        <v>106</v>
      </c>
      <c r="B186" s="19">
        <v>2019</v>
      </c>
      <c r="C186" s="19">
        <v>19</v>
      </c>
      <c r="D186" s="19" t="s">
        <v>269</v>
      </c>
      <c r="E186" s="19">
        <v>4</v>
      </c>
      <c r="F186" s="30">
        <v>331000000</v>
      </c>
      <c r="G186" s="30">
        <v>330000000</v>
      </c>
      <c r="H186" s="30">
        <v>331000000</v>
      </c>
      <c r="I186" s="30">
        <v>331000000</v>
      </c>
      <c r="J186" s="30">
        <v>333000000</v>
      </c>
      <c r="K186" s="30">
        <v>337000000</v>
      </c>
      <c r="L186" s="30">
        <v>338000000</v>
      </c>
      <c r="M186" s="30">
        <v>338000000</v>
      </c>
      <c r="N186" s="30">
        <v>338000000</v>
      </c>
      <c r="O186" s="30">
        <v>337000000</v>
      </c>
      <c r="P186" s="30">
        <v>336000000</v>
      </c>
      <c r="Q186" s="30">
        <v>335000000</v>
      </c>
      <c r="R186" s="30">
        <v>335000000</v>
      </c>
      <c r="S186" s="30">
        <v>335000000</v>
      </c>
      <c r="T186" s="30">
        <v>336000000</v>
      </c>
      <c r="U186" s="30">
        <v>340000000</v>
      </c>
      <c r="V186" s="30">
        <v>343000000</v>
      </c>
      <c r="W186" s="30">
        <v>344000000</v>
      </c>
      <c r="X186" s="30">
        <v>343000000</v>
      </c>
      <c r="Y186" s="30">
        <v>341000000</v>
      </c>
      <c r="Z186" s="30">
        <v>339000000</v>
      </c>
      <c r="AA186" s="30">
        <v>336000000</v>
      </c>
      <c r="AB186" s="30">
        <v>333000000</v>
      </c>
      <c r="AC186" s="62">
        <v>332000000</v>
      </c>
      <c r="AD186" t="str">
        <f>INDEX('Category Mapping'!$G$28:$G$39,MATCH(E186,'Category Mapping'!$A$28:$A$39,0),1)</f>
        <v>Spring</v>
      </c>
      <c r="AE186" t="str">
        <f>INDEX('Category Mapping'!$B$2:$B$25,MATCH('Source Data'!A186,'Category Mapping'!$A$2:$A$25,0))</f>
        <v>Weekend</v>
      </c>
      <c r="AF186" t="str">
        <f>INDEX('Category Mapping'!$C$2:$C$25,MATCH('Source Data'!A186,'Category Mapping'!$A$2:$A$25,0))</f>
        <v>Industry</v>
      </c>
      <c r="AG186" t="str">
        <f>INDEX('Category Mapping'!$D$2:$D$25,MATCH('Source Data'!A186,'Category Mapping'!$A$2:$A$25,0))</f>
        <v>Industry</v>
      </c>
    </row>
    <row r="187" spans="1:33" x14ac:dyDescent="0.3">
      <c r="A187" s="16" t="s">
        <v>106</v>
      </c>
      <c r="B187" s="17">
        <v>2019</v>
      </c>
      <c r="C187" s="17">
        <v>19</v>
      </c>
      <c r="D187" s="17" t="s">
        <v>269</v>
      </c>
      <c r="E187" s="17">
        <v>5</v>
      </c>
      <c r="F187" s="31">
        <v>335000000</v>
      </c>
      <c r="G187" s="31">
        <v>335000000</v>
      </c>
      <c r="H187" s="31">
        <v>335000000</v>
      </c>
      <c r="I187" s="31">
        <v>335000000</v>
      </c>
      <c r="J187" s="31">
        <v>338000000</v>
      </c>
      <c r="K187" s="31">
        <v>341000000</v>
      </c>
      <c r="L187" s="31">
        <v>343000000</v>
      </c>
      <c r="M187" s="31">
        <v>343000000</v>
      </c>
      <c r="N187" s="31">
        <v>342000000</v>
      </c>
      <c r="O187" s="31">
        <v>341000000</v>
      </c>
      <c r="P187" s="31">
        <v>340000000</v>
      </c>
      <c r="Q187" s="31">
        <v>340000000</v>
      </c>
      <c r="R187" s="31">
        <v>339000000</v>
      </c>
      <c r="S187" s="31">
        <v>340000000</v>
      </c>
      <c r="T187" s="31">
        <v>341000000</v>
      </c>
      <c r="U187" s="31">
        <v>344000000</v>
      </c>
      <c r="V187" s="31">
        <v>349000000</v>
      </c>
      <c r="W187" s="31">
        <v>349000000</v>
      </c>
      <c r="X187" s="31">
        <v>348000000</v>
      </c>
      <c r="Y187" s="31">
        <v>346000000</v>
      </c>
      <c r="Z187" s="31">
        <v>344000000</v>
      </c>
      <c r="AA187" s="31">
        <v>341000000</v>
      </c>
      <c r="AB187" s="31">
        <v>338000000</v>
      </c>
      <c r="AC187" s="61">
        <v>336000000</v>
      </c>
      <c r="AD187" t="str">
        <f>INDEX('Category Mapping'!$G$28:$G$39,MATCH(E187,'Category Mapping'!$A$28:$A$39,0),1)</f>
        <v>Spring</v>
      </c>
      <c r="AE187" t="str">
        <f>INDEX('Category Mapping'!$B$2:$B$25,MATCH('Source Data'!A187,'Category Mapping'!$A$2:$A$25,0))</f>
        <v>Weekend</v>
      </c>
      <c r="AF187" t="str">
        <f>INDEX('Category Mapping'!$C$2:$C$25,MATCH('Source Data'!A187,'Category Mapping'!$A$2:$A$25,0))</f>
        <v>Industry</v>
      </c>
      <c r="AG187" t="str">
        <f>INDEX('Category Mapping'!$D$2:$D$25,MATCH('Source Data'!A187,'Category Mapping'!$A$2:$A$25,0))</f>
        <v>Industry</v>
      </c>
    </row>
    <row r="188" spans="1:33" x14ac:dyDescent="0.3">
      <c r="A188" s="18" t="s">
        <v>106</v>
      </c>
      <c r="B188" s="19">
        <v>2019</v>
      </c>
      <c r="C188" s="19">
        <v>19</v>
      </c>
      <c r="D188" s="19" t="s">
        <v>269</v>
      </c>
      <c r="E188" s="19">
        <v>6</v>
      </c>
      <c r="F188" s="30">
        <v>342000000</v>
      </c>
      <c r="G188" s="30">
        <v>341000000</v>
      </c>
      <c r="H188" s="30">
        <v>342000000</v>
      </c>
      <c r="I188" s="30">
        <v>342000000</v>
      </c>
      <c r="J188" s="30">
        <v>345000000</v>
      </c>
      <c r="K188" s="30">
        <v>348000000</v>
      </c>
      <c r="L188" s="30">
        <v>350000000</v>
      </c>
      <c r="M188" s="30">
        <v>350000000</v>
      </c>
      <c r="N188" s="30">
        <v>350000000</v>
      </c>
      <c r="O188" s="30">
        <v>348000000</v>
      </c>
      <c r="P188" s="30">
        <v>347000000</v>
      </c>
      <c r="Q188" s="30">
        <v>347000000</v>
      </c>
      <c r="R188" s="30">
        <v>346000000</v>
      </c>
      <c r="S188" s="30">
        <v>347000000</v>
      </c>
      <c r="T188" s="30">
        <v>348000000</v>
      </c>
      <c r="U188" s="30">
        <v>352000000</v>
      </c>
      <c r="V188" s="30">
        <v>356000000</v>
      </c>
      <c r="W188" s="30">
        <v>357000000</v>
      </c>
      <c r="X188" s="30">
        <v>355000000</v>
      </c>
      <c r="Y188" s="30">
        <v>353000000</v>
      </c>
      <c r="Z188" s="30">
        <v>351000000</v>
      </c>
      <c r="AA188" s="30">
        <v>348000000</v>
      </c>
      <c r="AB188" s="30">
        <v>345000000</v>
      </c>
      <c r="AC188" s="62">
        <v>343000000</v>
      </c>
      <c r="AD188" t="str">
        <f>INDEX('Category Mapping'!$G$28:$G$39,MATCH(E188,'Category Mapping'!$A$28:$A$39,0),1)</f>
        <v>Summer</v>
      </c>
      <c r="AE188" t="str">
        <f>INDEX('Category Mapping'!$B$2:$B$25,MATCH('Source Data'!A188,'Category Mapping'!$A$2:$A$25,0))</f>
        <v>Weekend</v>
      </c>
      <c r="AF188" t="str">
        <f>INDEX('Category Mapping'!$C$2:$C$25,MATCH('Source Data'!A188,'Category Mapping'!$A$2:$A$25,0))</f>
        <v>Industry</v>
      </c>
      <c r="AG188" t="str">
        <f>INDEX('Category Mapping'!$D$2:$D$25,MATCH('Source Data'!A188,'Category Mapping'!$A$2:$A$25,0))</f>
        <v>Industry</v>
      </c>
    </row>
    <row r="189" spans="1:33" x14ac:dyDescent="0.3">
      <c r="A189" s="16" t="s">
        <v>106</v>
      </c>
      <c r="B189" s="17">
        <v>2019</v>
      </c>
      <c r="C189" s="17">
        <v>19</v>
      </c>
      <c r="D189" s="17" t="s">
        <v>269</v>
      </c>
      <c r="E189" s="17">
        <v>7</v>
      </c>
      <c r="F189" s="31">
        <v>320000000</v>
      </c>
      <c r="G189" s="31">
        <v>320000000</v>
      </c>
      <c r="H189" s="31">
        <v>320000000</v>
      </c>
      <c r="I189" s="31">
        <v>321000000</v>
      </c>
      <c r="J189" s="31">
        <v>323000000</v>
      </c>
      <c r="K189" s="31">
        <v>327000000</v>
      </c>
      <c r="L189" s="31">
        <v>328000000</v>
      </c>
      <c r="M189" s="31">
        <v>328000000</v>
      </c>
      <c r="N189" s="31">
        <v>328000000</v>
      </c>
      <c r="O189" s="31">
        <v>326000000</v>
      </c>
      <c r="P189" s="31">
        <v>326000000</v>
      </c>
      <c r="Q189" s="31">
        <v>325000000</v>
      </c>
      <c r="R189" s="31">
        <v>325000000</v>
      </c>
      <c r="S189" s="31">
        <v>325000000</v>
      </c>
      <c r="T189" s="31">
        <v>326000000</v>
      </c>
      <c r="U189" s="31">
        <v>330000000</v>
      </c>
      <c r="V189" s="31">
        <v>334000000</v>
      </c>
      <c r="W189" s="31">
        <v>334000000</v>
      </c>
      <c r="X189" s="31">
        <v>333000000</v>
      </c>
      <c r="Y189" s="31">
        <v>331000000</v>
      </c>
      <c r="Z189" s="31">
        <v>329000000</v>
      </c>
      <c r="AA189" s="31">
        <v>326000000</v>
      </c>
      <c r="AB189" s="31">
        <v>323000000</v>
      </c>
      <c r="AC189" s="61">
        <v>321000000</v>
      </c>
      <c r="AD189" t="str">
        <f>INDEX('Category Mapping'!$G$28:$G$39,MATCH(E189,'Category Mapping'!$A$28:$A$39,0),1)</f>
        <v>Summer</v>
      </c>
      <c r="AE189" t="str">
        <f>INDEX('Category Mapping'!$B$2:$B$25,MATCH('Source Data'!A189,'Category Mapping'!$A$2:$A$25,0))</f>
        <v>Weekend</v>
      </c>
      <c r="AF189" t="str">
        <f>INDEX('Category Mapping'!$C$2:$C$25,MATCH('Source Data'!A189,'Category Mapping'!$A$2:$A$25,0))</f>
        <v>Industry</v>
      </c>
      <c r="AG189" t="str">
        <f>INDEX('Category Mapping'!$D$2:$D$25,MATCH('Source Data'!A189,'Category Mapping'!$A$2:$A$25,0))</f>
        <v>Industry</v>
      </c>
    </row>
    <row r="190" spans="1:33" x14ac:dyDescent="0.3">
      <c r="A190" s="18" t="s">
        <v>106</v>
      </c>
      <c r="B190" s="19">
        <v>2019</v>
      </c>
      <c r="C190" s="19">
        <v>19</v>
      </c>
      <c r="D190" s="19" t="s">
        <v>269</v>
      </c>
      <c r="E190" s="19">
        <v>8</v>
      </c>
      <c r="F190" s="30">
        <v>338000000</v>
      </c>
      <c r="G190" s="30">
        <v>338000000</v>
      </c>
      <c r="H190" s="30">
        <v>338000000</v>
      </c>
      <c r="I190" s="30">
        <v>339000000</v>
      </c>
      <c r="J190" s="30">
        <v>341000000</v>
      </c>
      <c r="K190" s="30">
        <v>345000000</v>
      </c>
      <c r="L190" s="30">
        <v>347000000</v>
      </c>
      <c r="M190" s="30">
        <v>347000000</v>
      </c>
      <c r="N190" s="30">
        <v>346000000</v>
      </c>
      <c r="O190" s="30">
        <v>345000000</v>
      </c>
      <c r="P190" s="30">
        <v>344000000</v>
      </c>
      <c r="Q190" s="30">
        <v>343000000</v>
      </c>
      <c r="R190" s="30">
        <v>343000000</v>
      </c>
      <c r="S190" s="30">
        <v>343000000</v>
      </c>
      <c r="T190" s="30">
        <v>344000000</v>
      </c>
      <c r="U190" s="30">
        <v>348000000</v>
      </c>
      <c r="V190" s="30">
        <v>353000000</v>
      </c>
      <c r="W190" s="30">
        <v>354000000</v>
      </c>
      <c r="X190" s="30">
        <v>352000000</v>
      </c>
      <c r="Y190" s="30">
        <v>350000000</v>
      </c>
      <c r="Z190" s="30">
        <v>348000000</v>
      </c>
      <c r="AA190" s="30">
        <v>344000000</v>
      </c>
      <c r="AB190" s="30">
        <v>341000000</v>
      </c>
      <c r="AC190" s="62">
        <v>339000000</v>
      </c>
      <c r="AD190" t="str">
        <f>INDEX('Category Mapping'!$G$28:$G$39,MATCH(E190,'Category Mapping'!$A$28:$A$39,0),1)</f>
        <v>Summer</v>
      </c>
      <c r="AE190" t="str">
        <f>INDEX('Category Mapping'!$B$2:$B$25,MATCH('Source Data'!A190,'Category Mapping'!$A$2:$A$25,0))</f>
        <v>Weekend</v>
      </c>
      <c r="AF190" t="str">
        <f>INDEX('Category Mapping'!$C$2:$C$25,MATCH('Source Data'!A190,'Category Mapping'!$A$2:$A$25,0))</f>
        <v>Industry</v>
      </c>
      <c r="AG190" t="str">
        <f>INDEX('Category Mapping'!$D$2:$D$25,MATCH('Source Data'!A190,'Category Mapping'!$A$2:$A$25,0))</f>
        <v>Industry</v>
      </c>
    </row>
    <row r="191" spans="1:33" x14ac:dyDescent="0.3">
      <c r="A191" s="16" t="s">
        <v>106</v>
      </c>
      <c r="B191" s="17">
        <v>2019</v>
      </c>
      <c r="C191" s="17">
        <v>19</v>
      </c>
      <c r="D191" s="17" t="s">
        <v>269</v>
      </c>
      <c r="E191" s="17">
        <v>9</v>
      </c>
      <c r="F191" s="31">
        <v>340000000</v>
      </c>
      <c r="G191" s="31">
        <v>340000000</v>
      </c>
      <c r="H191" s="31">
        <v>340000000</v>
      </c>
      <c r="I191" s="31">
        <v>341000000</v>
      </c>
      <c r="J191" s="31">
        <v>343000000</v>
      </c>
      <c r="K191" s="31">
        <v>347000000</v>
      </c>
      <c r="L191" s="31">
        <v>349000000</v>
      </c>
      <c r="M191" s="31">
        <v>349000000</v>
      </c>
      <c r="N191" s="31">
        <v>348000000</v>
      </c>
      <c r="O191" s="31">
        <v>347000000</v>
      </c>
      <c r="P191" s="31">
        <v>346000000</v>
      </c>
      <c r="Q191" s="31">
        <v>345000000</v>
      </c>
      <c r="R191" s="31">
        <v>345000000</v>
      </c>
      <c r="S191" s="31">
        <v>345000000</v>
      </c>
      <c r="T191" s="31">
        <v>346000000</v>
      </c>
      <c r="U191" s="31">
        <v>350000000</v>
      </c>
      <c r="V191" s="31">
        <v>354000000</v>
      </c>
      <c r="W191" s="31">
        <v>355000000</v>
      </c>
      <c r="X191" s="31">
        <v>354000000</v>
      </c>
      <c r="Y191" s="31">
        <v>352000000</v>
      </c>
      <c r="Z191" s="31">
        <v>350000000</v>
      </c>
      <c r="AA191" s="31">
        <v>346000000</v>
      </c>
      <c r="AB191" s="31">
        <v>343000000</v>
      </c>
      <c r="AC191" s="61">
        <v>342000000</v>
      </c>
      <c r="AD191" t="str">
        <f>INDEX('Category Mapping'!$G$28:$G$39,MATCH(E191,'Category Mapping'!$A$28:$A$39,0),1)</f>
        <v>Fall</v>
      </c>
      <c r="AE191" t="str">
        <f>INDEX('Category Mapping'!$B$2:$B$25,MATCH('Source Data'!A191,'Category Mapping'!$A$2:$A$25,0))</f>
        <v>Weekend</v>
      </c>
      <c r="AF191" t="str">
        <f>INDEX('Category Mapping'!$C$2:$C$25,MATCH('Source Data'!A191,'Category Mapping'!$A$2:$A$25,0))</f>
        <v>Industry</v>
      </c>
      <c r="AG191" t="str">
        <f>INDEX('Category Mapping'!$D$2:$D$25,MATCH('Source Data'!A191,'Category Mapping'!$A$2:$A$25,0))</f>
        <v>Industry</v>
      </c>
    </row>
    <row r="192" spans="1:33" x14ac:dyDescent="0.3">
      <c r="A192" s="18" t="s">
        <v>106</v>
      </c>
      <c r="B192" s="19">
        <v>2019</v>
      </c>
      <c r="C192" s="19">
        <v>19</v>
      </c>
      <c r="D192" s="19" t="s">
        <v>269</v>
      </c>
      <c r="E192" s="19">
        <v>10</v>
      </c>
      <c r="F192" s="30">
        <v>339000000</v>
      </c>
      <c r="G192" s="30">
        <v>338000000</v>
      </c>
      <c r="H192" s="30">
        <v>338000000</v>
      </c>
      <c r="I192" s="30">
        <v>339000000</v>
      </c>
      <c r="J192" s="30">
        <v>342000000</v>
      </c>
      <c r="K192" s="30">
        <v>345000000</v>
      </c>
      <c r="L192" s="30">
        <v>347000000</v>
      </c>
      <c r="M192" s="30">
        <v>347000000</v>
      </c>
      <c r="N192" s="30">
        <v>346000000</v>
      </c>
      <c r="O192" s="30">
        <v>345000000</v>
      </c>
      <c r="P192" s="30">
        <v>344000000</v>
      </c>
      <c r="Q192" s="30">
        <v>343000000</v>
      </c>
      <c r="R192" s="30">
        <v>343000000</v>
      </c>
      <c r="S192" s="30">
        <v>343000000</v>
      </c>
      <c r="T192" s="30">
        <v>345000000</v>
      </c>
      <c r="U192" s="30">
        <v>348000000</v>
      </c>
      <c r="V192" s="30">
        <v>352000000</v>
      </c>
      <c r="W192" s="30">
        <v>353000000</v>
      </c>
      <c r="X192" s="30">
        <v>352000000</v>
      </c>
      <c r="Y192" s="30">
        <v>350000000</v>
      </c>
      <c r="Z192" s="30">
        <v>348000000</v>
      </c>
      <c r="AA192" s="30">
        <v>344000000</v>
      </c>
      <c r="AB192" s="30">
        <v>341000000</v>
      </c>
      <c r="AC192" s="62">
        <v>340000000</v>
      </c>
      <c r="AD192" t="str">
        <f>INDEX('Category Mapping'!$G$28:$G$39,MATCH(E192,'Category Mapping'!$A$28:$A$39,0),1)</f>
        <v>Fall</v>
      </c>
      <c r="AE192" t="str">
        <f>INDEX('Category Mapping'!$B$2:$B$25,MATCH('Source Data'!A192,'Category Mapping'!$A$2:$A$25,0))</f>
        <v>Weekend</v>
      </c>
      <c r="AF192" t="str">
        <f>INDEX('Category Mapping'!$C$2:$C$25,MATCH('Source Data'!A192,'Category Mapping'!$A$2:$A$25,0))</f>
        <v>Industry</v>
      </c>
      <c r="AG192" t="str">
        <f>INDEX('Category Mapping'!$D$2:$D$25,MATCH('Source Data'!A192,'Category Mapping'!$A$2:$A$25,0))</f>
        <v>Industry</v>
      </c>
    </row>
    <row r="193" spans="1:33" x14ac:dyDescent="0.3">
      <c r="A193" s="16" t="s">
        <v>106</v>
      </c>
      <c r="B193" s="17">
        <v>2019</v>
      </c>
      <c r="C193" s="17">
        <v>19</v>
      </c>
      <c r="D193" s="17" t="s">
        <v>269</v>
      </c>
      <c r="E193" s="17">
        <v>11</v>
      </c>
      <c r="F193" s="31">
        <v>343000000</v>
      </c>
      <c r="G193" s="31">
        <v>342000000</v>
      </c>
      <c r="H193" s="31">
        <v>342000000</v>
      </c>
      <c r="I193" s="31">
        <v>343000000</v>
      </c>
      <c r="J193" s="31">
        <v>346000000</v>
      </c>
      <c r="K193" s="31">
        <v>349000000</v>
      </c>
      <c r="L193" s="31">
        <v>351000000</v>
      </c>
      <c r="M193" s="31">
        <v>351000000</v>
      </c>
      <c r="N193" s="31">
        <v>351000000</v>
      </c>
      <c r="O193" s="31">
        <v>349000000</v>
      </c>
      <c r="P193" s="31">
        <v>348000000</v>
      </c>
      <c r="Q193" s="31">
        <v>348000000</v>
      </c>
      <c r="R193" s="31">
        <v>347000000</v>
      </c>
      <c r="S193" s="31">
        <v>348000000</v>
      </c>
      <c r="T193" s="31">
        <v>349000000</v>
      </c>
      <c r="U193" s="31">
        <v>353000000</v>
      </c>
      <c r="V193" s="31">
        <v>357000000</v>
      </c>
      <c r="W193" s="31">
        <v>358000000</v>
      </c>
      <c r="X193" s="31">
        <v>356000000</v>
      </c>
      <c r="Y193" s="31">
        <v>354000000</v>
      </c>
      <c r="Z193" s="31">
        <v>352000000</v>
      </c>
      <c r="AA193" s="31">
        <v>349000000</v>
      </c>
      <c r="AB193" s="31">
        <v>346000000</v>
      </c>
      <c r="AC193" s="61">
        <v>344000000</v>
      </c>
      <c r="AD193" t="str">
        <f>INDEX('Category Mapping'!$G$28:$G$39,MATCH(E193,'Category Mapping'!$A$28:$A$39,0),1)</f>
        <v>Winter</v>
      </c>
      <c r="AE193" t="str">
        <f>INDEX('Category Mapping'!$B$2:$B$25,MATCH('Source Data'!A193,'Category Mapping'!$A$2:$A$25,0))</f>
        <v>Weekend</v>
      </c>
      <c r="AF193" t="str">
        <f>INDEX('Category Mapping'!$C$2:$C$25,MATCH('Source Data'!A193,'Category Mapping'!$A$2:$A$25,0))</f>
        <v>Industry</v>
      </c>
      <c r="AG193" t="str">
        <f>INDEX('Category Mapping'!$D$2:$D$25,MATCH('Source Data'!A193,'Category Mapping'!$A$2:$A$25,0))</f>
        <v>Industry</v>
      </c>
    </row>
    <row r="194" spans="1:33" x14ac:dyDescent="0.3">
      <c r="A194" s="18" t="s">
        <v>106</v>
      </c>
      <c r="B194" s="19">
        <v>2019</v>
      </c>
      <c r="C194" s="19">
        <v>19</v>
      </c>
      <c r="D194" s="19" t="s">
        <v>269</v>
      </c>
      <c r="E194" s="19">
        <v>12</v>
      </c>
      <c r="F194" s="30">
        <v>322000000</v>
      </c>
      <c r="G194" s="30">
        <v>322000000</v>
      </c>
      <c r="H194" s="30">
        <v>322000000</v>
      </c>
      <c r="I194" s="30">
        <v>323000000</v>
      </c>
      <c r="J194" s="30">
        <v>325000000</v>
      </c>
      <c r="K194" s="30">
        <v>328000000</v>
      </c>
      <c r="L194" s="30">
        <v>329000000</v>
      </c>
      <c r="M194" s="30">
        <v>330000000</v>
      </c>
      <c r="N194" s="30">
        <v>329000000</v>
      </c>
      <c r="O194" s="30">
        <v>328000000</v>
      </c>
      <c r="P194" s="30">
        <v>327000000</v>
      </c>
      <c r="Q194" s="30">
        <v>326000000</v>
      </c>
      <c r="R194" s="30">
        <v>326000000</v>
      </c>
      <c r="S194" s="30">
        <v>326000000</v>
      </c>
      <c r="T194" s="30">
        <v>328000000</v>
      </c>
      <c r="U194" s="30">
        <v>331000000</v>
      </c>
      <c r="V194" s="30">
        <v>335000000</v>
      </c>
      <c r="W194" s="30">
        <v>335000000</v>
      </c>
      <c r="X194" s="30">
        <v>334000000</v>
      </c>
      <c r="Y194" s="30">
        <v>332000000</v>
      </c>
      <c r="Z194" s="30">
        <v>330000000</v>
      </c>
      <c r="AA194" s="30">
        <v>327000000</v>
      </c>
      <c r="AB194" s="30">
        <v>325000000</v>
      </c>
      <c r="AC194" s="62">
        <v>323000000</v>
      </c>
      <c r="AD194" t="str">
        <f>INDEX('Category Mapping'!$G$28:$G$39,MATCH(E194,'Category Mapping'!$A$28:$A$39,0),1)</f>
        <v>Winter</v>
      </c>
      <c r="AE194" t="str">
        <f>INDEX('Category Mapping'!$B$2:$B$25,MATCH('Source Data'!A194,'Category Mapping'!$A$2:$A$25,0))</f>
        <v>Weekend</v>
      </c>
      <c r="AF194" t="str">
        <f>INDEX('Category Mapping'!$C$2:$C$25,MATCH('Source Data'!A194,'Category Mapping'!$A$2:$A$25,0))</f>
        <v>Industry</v>
      </c>
      <c r="AG194" t="str">
        <f>INDEX('Category Mapping'!$D$2:$D$25,MATCH('Source Data'!A194,'Category Mapping'!$A$2:$A$25,0))</f>
        <v>Industry</v>
      </c>
    </row>
    <row r="195" spans="1:33" x14ac:dyDescent="0.3">
      <c r="A195" s="16" t="s">
        <v>107</v>
      </c>
      <c r="B195" s="17">
        <v>2019</v>
      </c>
      <c r="C195" s="17">
        <v>19</v>
      </c>
      <c r="D195" s="17" t="s">
        <v>269</v>
      </c>
      <c r="E195" s="17">
        <v>1</v>
      </c>
      <c r="F195" s="31">
        <v>107000000</v>
      </c>
      <c r="G195" s="31">
        <v>86200000</v>
      </c>
      <c r="H195" s="31">
        <v>75600000</v>
      </c>
      <c r="I195" s="31">
        <v>69900000</v>
      </c>
      <c r="J195" s="31">
        <v>75000000</v>
      </c>
      <c r="K195" s="31">
        <v>105000000</v>
      </c>
      <c r="L195" s="31">
        <v>151000000</v>
      </c>
      <c r="M195" s="31">
        <v>173000000</v>
      </c>
      <c r="N195" s="31">
        <v>149000000</v>
      </c>
      <c r="O195" s="31">
        <v>142000000</v>
      </c>
      <c r="P195" s="31">
        <v>140000000</v>
      </c>
      <c r="Q195" s="31">
        <v>141000000</v>
      </c>
      <c r="R195" s="31">
        <v>137000000</v>
      </c>
      <c r="S195" s="31">
        <v>136000000</v>
      </c>
      <c r="T195" s="31">
        <v>140000000</v>
      </c>
      <c r="U195" s="31">
        <v>155000000</v>
      </c>
      <c r="V195" s="31">
        <v>214000000</v>
      </c>
      <c r="W195" s="31">
        <v>240000000</v>
      </c>
      <c r="X195" s="31">
        <v>243000000</v>
      </c>
      <c r="Y195" s="31">
        <v>242000000</v>
      </c>
      <c r="Z195" s="31">
        <v>241000000</v>
      </c>
      <c r="AA195" s="31">
        <v>226000000</v>
      </c>
      <c r="AB195" s="31">
        <v>170000000</v>
      </c>
      <c r="AC195" s="61">
        <v>130000000</v>
      </c>
      <c r="AD195" t="str">
        <f>INDEX('Category Mapping'!$G$28:$G$39,MATCH(E195,'Category Mapping'!$A$28:$A$39,0),1)</f>
        <v>Winter</v>
      </c>
      <c r="AE195" t="str">
        <f>INDEX('Category Mapping'!$B$2:$B$25,MATCH('Source Data'!A195,'Category Mapping'!$A$2:$A$25,0))</f>
        <v>Weekday</v>
      </c>
      <c r="AF195" t="str">
        <f>INDEX('Category Mapping'!$C$2:$C$25,MATCH('Source Data'!A195,'Category Mapping'!$A$2:$A$25,0))</f>
        <v>Residential</v>
      </c>
      <c r="AG195" t="str">
        <f>INDEX('Category Mapping'!$D$2:$D$25,MATCH('Source Data'!A195,'Category Mapping'!$A$2:$A$25,0))</f>
        <v>Total</v>
      </c>
    </row>
    <row r="196" spans="1:33" x14ac:dyDescent="0.3">
      <c r="A196" s="18" t="s">
        <v>107</v>
      </c>
      <c r="B196" s="19">
        <v>2019</v>
      </c>
      <c r="C196" s="19">
        <v>19</v>
      </c>
      <c r="D196" s="19" t="s">
        <v>269</v>
      </c>
      <c r="E196" s="19">
        <v>2</v>
      </c>
      <c r="F196" s="30">
        <v>102000000</v>
      </c>
      <c r="G196" s="30">
        <v>81500000</v>
      </c>
      <c r="H196" s="30">
        <v>70900000</v>
      </c>
      <c r="I196" s="30">
        <v>65300000</v>
      </c>
      <c r="J196" s="30">
        <v>70200000</v>
      </c>
      <c r="K196" s="30">
        <v>99500000</v>
      </c>
      <c r="L196" s="30">
        <v>144000000</v>
      </c>
      <c r="M196" s="30">
        <v>150000000</v>
      </c>
      <c r="N196" s="30">
        <v>143000000</v>
      </c>
      <c r="O196" s="30">
        <v>137000000</v>
      </c>
      <c r="P196" s="30">
        <v>135000000</v>
      </c>
      <c r="Q196" s="30">
        <v>136000000</v>
      </c>
      <c r="R196" s="30">
        <v>132000000</v>
      </c>
      <c r="S196" s="30">
        <v>131000000</v>
      </c>
      <c r="T196" s="30">
        <v>135000000</v>
      </c>
      <c r="U196" s="30">
        <v>150000000</v>
      </c>
      <c r="V196" s="30">
        <v>187000000</v>
      </c>
      <c r="W196" s="30">
        <v>234000000</v>
      </c>
      <c r="X196" s="30">
        <v>236000000</v>
      </c>
      <c r="Y196" s="30">
        <v>235000000</v>
      </c>
      <c r="Z196" s="30">
        <v>233000000</v>
      </c>
      <c r="AA196" s="30">
        <v>219000000</v>
      </c>
      <c r="AB196" s="30">
        <v>164000000</v>
      </c>
      <c r="AC196" s="62">
        <v>125000000</v>
      </c>
      <c r="AD196" t="str">
        <f>INDEX('Category Mapping'!$G$28:$G$39,MATCH(E196,'Category Mapping'!$A$28:$A$39,0),1)</f>
        <v>Winter</v>
      </c>
      <c r="AE196" t="str">
        <f>INDEX('Category Mapping'!$B$2:$B$25,MATCH('Source Data'!A196,'Category Mapping'!$A$2:$A$25,0))</f>
        <v>Weekday</v>
      </c>
      <c r="AF196" t="str">
        <f>INDEX('Category Mapping'!$C$2:$C$25,MATCH('Source Data'!A196,'Category Mapping'!$A$2:$A$25,0))</f>
        <v>Residential</v>
      </c>
      <c r="AG196" t="str">
        <f>INDEX('Category Mapping'!$D$2:$D$25,MATCH('Source Data'!A196,'Category Mapping'!$A$2:$A$25,0))</f>
        <v>Total</v>
      </c>
    </row>
    <row r="197" spans="1:33" x14ac:dyDescent="0.3">
      <c r="A197" s="16" t="s">
        <v>107</v>
      </c>
      <c r="B197" s="17">
        <v>2019</v>
      </c>
      <c r="C197" s="17">
        <v>19</v>
      </c>
      <c r="D197" s="17" t="s">
        <v>269</v>
      </c>
      <c r="E197" s="17">
        <v>3</v>
      </c>
      <c r="F197" s="31">
        <v>97400000</v>
      </c>
      <c r="G197" s="31">
        <v>76600000</v>
      </c>
      <c r="H197" s="31">
        <v>66100000</v>
      </c>
      <c r="I197" s="31">
        <v>60400000</v>
      </c>
      <c r="J197" s="31">
        <v>65100000</v>
      </c>
      <c r="K197" s="31">
        <v>93100000</v>
      </c>
      <c r="L197" s="31">
        <v>136000000</v>
      </c>
      <c r="M197" s="31">
        <v>138000000</v>
      </c>
      <c r="N197" s="31">
        <v>138000000</v>
      </c>
      <c r="O197" s="31">
        <v>132000000</v>
      </c>
      <c r="P197" s="31">
        <v>130000000</v>
      </c>
      <c r="Q197" s="31">
        <v>131000000</v>
      </c>
      <c r="R197" s="31">
        <v>128000000</v>
      </c>
      <c r="S197" s="31">
        <v>127000000</v>
      </c>
      <c r="T197" s="31">
        <v>131000000</v>
      </c>
      <c r="U197" s="31">
        <v>146000000</v>
      </c>
      <c r="V197" s="31">
        <v>174000000</v>
      </c>
      <c r="W197" s="31">
        <v>225000000</v>
      </c>
      <c r="X197" s="31">
        <v>227000000</v>
      </c>
      <c r="Y197" s="31">
        <v>225000000</v>
      </c>
      <c r="Z197" s="31">
        <v>223000000</v>
      </c>
      <c r="AA197" s="31">
        <v>210000000</v>
      </c>
      <c r="AB197" s="31">
        <v>157000000</v>
      </c>
      <c r="AC197" s="61">
        <v>119000000</v>
      </c>
      <c r="AD197" t="str">
        <f>INDEX('Category Mapping'!$G$28:$G$39,MATCH(E197,'Category Mapping'!$A$28:$A$39,0),1)</f>
        <v>Spring</v>
      </c>
      <c r="AE197" t="str">
        <f>INDEX('Category Mapping'!$B$2:$B$25,MATCH('Source Data'!A197,'Category Mapping'!$A$2:$A$25,0))</f>
        <v>Weekday</v>
      </c>
      <c r="AF197" t="str">
        <f>INDEX('Category Mapping'!$C$2:$C$25,MATCH('Source Data'!A197,'Category Mapping'!$A$2:$A$25,0))</f>
        <v>Residential</v>
      </c>
      <c r="AG197" t="str">
        <f>INDEX('Category Mapping'!$D$2:$D$25,MATCH('Source Data'!A197,'Category Mapping'!$A$2:$A$25,0))</f>
        <v>Total</v>
      </c>
    </row>
    <row r="198" spans="1:33" x14ac:dyDescent="0.3">
      <c r="A198" s="18" t="s">
        <v>107</v>
      </c>
      <c r="B198" s="19">
        <v>2019</v>
      </c>
      <c r="C198" s="19">
        <v>19</v>
      </c>
      <c r="D198" s="19" t="s">
        <v>269</v>
      </c>
      <c r="E198" s="19">
        <v>4</v>
      </c>
      <c r="F198" s="30">
        <v>88900000</v>
      </c>
      <c r="G198" s="30">
        <v>68200000</v>
      </c>
      <c r="H198" s="30">
        <v>57600000</v>
      </c>
      <c r="I198" s="30">
        <v>52000000</v>
      </c>
      <c r="J198" s="30">
        <v>56600000</v>
      </c>
      <c r="K198" s="30">
        <v>82400000</v>
      </c>
      <c r="L198" s="30">
        <v>108000000</v>
      </c>
      <c r="M198" s="30">
        <v>126000000</v>
      </c>
      <c r="N198" s="30">
        <v>128000000</v>
      </c>
      <c r="O198" s="30">
        <v>125000000</v>
      </c>
      <c r="P198" s="30">
        <v>124000000</v>
      </c>
      <c r="Q198" s="30">
        <v>125000000</v>
      </c>
      <c r="R198" s="30">
        <v>122000000</v>
      </c>
      <c r="S198" s="30">
        <v>122000000</v>
      </c>
      <c r="T198" s="30">
        <v>126000000</v>
      </c>
      <c r="U198" s="30">
        <v>141000000</v>
      </c>
      <c r="V198" s="30">
        <v>167000000</v>
      </c>
      <c r="W198" s="30">
        <v>192000000</v>
      </c>
      <c r="X198" s="30">
        <v>218000000</v>
      </c>
      <c r="Y198" s="30">
        <v>215000000</v>
      </c>
      <c r="Z198" s="30">
        <v>213000000</v>
      </c>
      <c r="AA198" s="30">
        <v>200000000</v>
      </c>
      <c r="AB198" s="30">
        <v>148000000</v>
      </c>
      <c r="AC198" s="62">
        <v>111000000</v>
      </c>
      <c r="AD198" t="str">
        <f>INDEX('Category Mapping'!$G$28:$G$39,MATCH(E198,'Category Mapping'!$A$28:$A$39,0),1)</f>
        <v>Spring</v>
      </c>
      <c r="AE198" t="str">
        <f>INDEX('Category Mapping'!$B$2:$B$25,MATCH('Source Data'!A198,'Category Mapping'!$A$2:$A$25,0))</f>
        <v>Weekday</v>
      </c>
      <c r="AF198" t="str">
        <f>INDEX('Category Mapping'!$C$2:$C$25,MATCH('Source Data'!A198,'Category Mapping'!$A$2:$A$25,0))</f>
        <v>Residential</v>
      </c>
      <c r="AG198" t="str">
        <f>INDEX('Category Mapping'!$D$2:$D$25,MATCH('Source Data'!A198,'Category Mapping'!$A$2:$A$25,0))</f>
        <v>Total</v>
      </c>
    </row>
    <row r="199" spans="1:33" x14ac:dyDescent="0.3">
      <c r="A199" s="16" t="s">
        <v>107</v>
      </c>
      <c r="B199" s="17">
        <v>2019</v>
      </c>
      <c r="C199" s="17">
        <v>19</v>
      </c>
      <c r="D199" s="17" t="s">
        <v>269</v>
      </c>
      <c r="E199" s="17">
        <v>5</v>
      </c>
      <c r="F199" s="31">
        <v>84000000</v>
      </c>
      <c r="G199" s="31">
        <v>63200000</v>
      </c>
      <c r="H199" s="31">
        <v>52600000</v>
      </c>
      <c r="I199" s="31">
        <v>47000000</v>
      </c>
      <c r="J199" s="31">
        <v>51700000</v>
      </c>
      <c r="K199" s="31">
        <v>73600000</v>
      </c>
      <c r="L199" s="31">
        <v>95400000</v>
      </c>
      <c r="M199" s="31">
        <v>117000000</v>
      </c>
      <c r="N199" s="31">
        <v>120000000</v>
      </c>
      <c r="O199" s="31">
        <v>120000000</v>
      </c>
      <c r="P199" s="31">
        <v>121000000</v>
      </c>
      <c r="Q199" s="31">
        <v>123000000</v>
      </c>
      <c r="R199" s="31">
        <v>122000000</v>
      </c>
      <c r="S199" s="31">
        <v>122000000</v>
      </c>
      <c r="T199" s="31">
        <v>127000000</v>
      </c>
      <c r="U199" s="31">
        <v>142000000</v>
      </c>
      <c r="V199" s="31">
        <v>168000000</v>
      </c>
      <c r="W199" s="31">
        <v>185000000</v>
      </c>
      <c r="X199" s="31">
        <v>210000000</v>
      </c>
      <c r="Y199" s="31">
        <v>208000000</v>
      </c>
      <c r="Z199" s="31">
        <v>203000000</v>
      </c>
      <c r="AA199" s="31">
        <v>191000000</v>
      </c>
      <c r="AB199" s="31">
        <v>141000000</v>
      </c>
      <c r="AC199" s="61">
        <v>106000000</v>
      </c>
      <c r="AD199" t="str">
        <f>INDEX('Category Mapping'!$G$28:$G$39,MATCH(E199,'Category Mapping'!$A$28:$A$39,0),1)</f>
        <v>Spring</v>
      </c>
      <c r="AE199" t="str">
        <f>INDEX('Category Mapping'!$B$2:$B$25,MATCH('Source Data'!A199,'Category Mapping'!$A$2:$A$25,0))</f>
        <v>Weekday</v>
      </c>
      <c r="AF199" t="str">
        <f>INDEX('Category Mapping'!$C$2:$C$25,MATCH('Source Data'!A199,'Category Mapping'!$A$2:$A$25,0))</f>
        <v>Residential</v>
      </c>
      <c r="AG199" t="str">
        <f>INDEX('Category Mapping'!$D$2:$D$25,MATCH('Source Data'!A199,'Category Mapping'!$A$2:$A$25,0))</f>
        <v>Total</v>
      </c>
    </row>
    <row r="200" spans="1:33" x14ac:dyDescent="0.3">
      <c r="A200" s="18" t="s">
        <v>107</v>
      </c>
      <c r="B200" s="19">
        <v>2019</v>
      </c>
      <c r="C200" s="19">
        <v>19</v>
      </c>
      <c r="D200" s="19" t="s">
        <v>269</v>
      </c>
      <c r="E200" s="19">
        <v>6</v>
      </c>
      <c r="F200" s="30">
        <v>86600000</v>
      </c>
      <c r="G200" s="30">
        <v>64500000</v>
      </c>
      <c r="H200" s="30">
        <v>53600000</v>
      </c>
      <c r="I200" s="30">
        <v>48400000</v>
      </c>
      <c r="J200" s="30">
        <v>54300000</v>
      </c>
      <c r="K200" s="30">
        <v>73000000</v>
      </c>
      <c r="L200" s="30">
        <v>104000000</v>
      </c>
      <c r="M200" s="30">
        <v>129000000</v>
      </c>
      <c r="N200" s="30">
        <v>135000000</v>
      </c>
      <c r="O200" s="30">
        <v>138000000</v>
      </c>
      <c r="P200" s="30">
        <v>142000000</v>
      </c>
      <c r="Q200" s="30">
        <v>150000000</v>
      </c>
      <c r="R200" s="30">
        <v>154000000</v>
      </c>
      <c r="S200" s="30">
        <v>157000000</v>
      </c>
      <c r="T200" s="30">
        <v>164000000</v>
      </c>
      <c r="U200" s="30">
        <v>182000000</v>
      </c>
      <c r="V200" s="30">
        <v>210000000</v>
      </c>
      <c r="W200" s="30">
        <v>225000000</v>
      </c>
      <c r="X200" s="30">
        <v>237000000</v>
      </c>
      <c r="Y200" s="30">
        <v>247000000</v>
      </c>
      <c r="Z200" s="30">
        <v>236000000</v>
      </c>
      <c r="AA200" s="30">
        <v>215000000</v>
      </c>
      <c r="AB200" s="30">
        <v>156000000</v>
      </c>
      <c r="AC200" s="62">
        <v>112000000</v>
      </c>
      <c r="AD200" t="str">
        <f>INDEX('Category Mapping'!$G$28:$G$39,MATCH(E200,'Category Mapping'!$A$28:$A$39,0),1)</f>
        <v>Summer</v>
      </c>
      <c r="AE200" t="str">
        <f>INDEX('Category Mapping'!$B$2:$B$25,MATCH('Source Data'!A200,'Category Mapping'!$A$2:$A$25,0))</f>
        <v>Weekday</v>
      </c>
      <c r="AF200" t="str">
        <f>INDEX('Category Mapping'!$C$2:$C$25,MATCH('Source Data'!A200,'Category Mapping'!$A$2:$A$25,0))</f>
        <v>Residential</v>
      </c>
      <c r="AG200" t="str">
        <f>INDEX('Category Mapping'!$D$2:$D$25,MATCH('Source Data'!A200,'Category Mapping'!$A$2:$A$25,0))</f>
        <v>Total</v>
      </c>
    </row>
    <row r="201" spans="1:33" x14ac:dyDescent="0.3">
      <c r="A201" s="16" t="s">
        <v>107</v>
      </c>
      <c r="B201" s="17">
        <v>2019</v>
      </c>
      <c r="C201" s="17">
        <v>19</v>
      </c>
      <c r="D201" s="17" t="s">
        <v>269</v>
      </c>
      <c r="E201" s="17">
        <v>7</v>
      </c>
      <c r="F201" s="31">
        <v>138000000</v>
      </c>
      <c r="G201" s="31">
        <v>112000000</v>
      </c>
      <c r="H201" s="31">
        <v>100000000</v>
      </c>
      <c r="I201" s="31">
        <v>96200000</v>
      </c>
      <c r="J201" s="31">
        <v>104000000</v>
      </c>
      <c r="K201" s="31">
        <v>124000000</v>
      </c>
      <c r="L201" s="31">
        <v>146000000</v>
      </c>
      <c r="M201" s="31">
        <v>162000000</v>
      </c>
      <c r="N201" s="31">
        <v>162000000</v>
      </c>
      <c r="O201" s="31">
        <v>161000000</v>
      </c>
      <c r="P201" s="31">
        <v>165000000</v>
      </c>
      <c r="Q201" s="31">
        <v>177000000</v>
      </c>
      <c r="R201" s="31">
        <v>183000000</v>
      </c>
      <c r="S201" s="31">
        <v>187000000</v>
      </c>
      <c r="T201" s="31">
        <v>195000000</v>
      </c>
      <c r="U201" s="31">
        <v>216000000</v>
      </c>
      <c r="V201" s="31">
        <v>247000000</v>
      </c>
      <c r="W201" s="31">
        <v>266000000</v>
      </c>
      <c r="X201" s="31">
        <v>285000000</v>
      </c>
      <c r="Y201" s="31">
        <v>295000000</v>
      </c>
      <c r="Z201" s="31">
        <v>288000000</v>
      </c>
      <c r="AA201" s="31">
        <v>269000000</v>
      </c>
      <c r="AB201" s="31">
        <v>211000000</v>
      </c>
      <c r="AC201" s="61">
        <v>167000000</v>
      </c>
      <c r="AD201" t="str">
        <f>INDEX('Category Mapping'!$G$28:$G$39,MATCH(E201,'Category Mapping'!$A$28:$A$39,0),1)</f>
        <v>Summer</v>
      </c>
      <c r="AE201" t="str">
        <f>INDEX('Category Mapping'!$B$2:$B$25,MATCH('Source Data'!A201,'Category Mapping'!$A$2:$A$25,0))</f>
        <v>Weekday</v>
      </c>
      <c r="AF201" t="str">
        <f>INDEX('Category Mapping'!$C$2:$C$25,MATCH('Source Data'!A201,'Category Mapping'!$A$2:$A$25,0))</f>
        <v>Residential</v>
      </c>
      <c r="AG201" t="str">
        <f>INDEX('Category Mapping'!$D$2:$D$25,MATCH('Source Data'!A201,'Category Mapping'!$A$2:$A$25,0))</f>
        <v>Total</v>
      </c>
    </row>
    <row r="202" spans="1:33" x14ac:dyDescent="0.3">
      <c r="A202" s="18" t="s">
        <v>107</v>
      </c>
      <c r="B202" s="19">
        <v>2019</v>
      </c>
      <c r="C202" s="19">
        <v>19</v>
      </c>
      <c r="D202" s="19" t="s">
        <v>269</v>
      </c>
      <c r="E202" s="19">
        <v>8</v>
      </c>
      <c r="F202" s="30">
        <v>141000000</v>
      </c>
      <c r="G202" s="30">
        <v>114000000</v>
      </c>
      <c r="H202" s="30">
        <v>101000000</v>
      </c>
      <c r="I202" s="30">
        <v>98000000</v>
      </c>
      <c r="J202" s="30">
        <v>108000000</v>
      </c>
      <c r="K202" s="30">
        <v>135000000</v>
      </c>
      <c r="L202" s="30">
        <v>155000000</v>
      </c>
      <c r="M202" s="30">
        <v>169000000</v>
      </c>
      <c r="N202" s="30">
        <v>169000000</v>
      </c>
      <c r="O202" s="30">
        <v>169000000</v>
      </c>
      <c r="P202" s="30">
        <v>174000000</v>
      </c>
      <c r="Q202" s="30">
        <v>188000000</v>
      </c>
      <c r="R202" s="30">
        <v>196000000</v>
      </c>
      <c r="S202" s="30">
        <v>202000000</v>
      </c>
      <c r="T202" s="30">
        <v>211000000</v>
      </c>
      <c r="U202" s="30">
        <v>233000000</v>
      </c>
      <c r="V202" s="30">
        <v>264000000</v>
      </c>
      <c r="W202" s="30">
        <v>287000000</v>
      </c>
      <c r="X202" s="30">
        <v>317000000</v>
      </c>
      <c r="Y202" s="30">
        <v>311000000</v>
      </c>
      <c r="Z202" s="30">
        <v>302000000</v>
      </c>
      <c r="AA202" s="30">
        <v>280000000</v>
      </c>
      <c r="AB202" s="30">
        <v>219000000</v>
      </c>
      <c r="AC202" s="62">
        <v>172000000</v>
      </c>
      <c r="AD202" t="str">
        <f>INDEX('Category Mapping'!$G$28:$G$39,MATCH(E202,'Category Mapping'!$A$28:$A$39,0),1)</f>
        <v>Summer</v>
      </c>
      <c r="AE202" t="str">
        <f>INDEX('Category Mapping'!$B$2:$B$25,MATCH('Source Data'!A202,'Category Mapping'!$A$2:$A$25,0))</f>
        <v>Weekday</v>
      </c>
      <c r="AF202" t="str">
        <f>INDEX('Category Mapping'!$C$2:$C$25,MATCH('Source Data'!A202,'Category Mapping'!$A$2:$A$25,0))</f>
        <v>Residential</v>
      </c>
      <c r="AG202" t="str">
        <f>INDEX('Category Mapping'!$D$2:$D$25,MATCH('Source Data'!A202,'Category Mapping'!$A$2:$A$25,0))</f>
        <v>Total</v>
      </c>
    </row>
    <row r="203" spans="1:33" x14ac:dyDescent="0.3">
      <c r="A203" s="16" t="s">
        <v>107</v>
      </c>
      <c r="B203" s="17">
        <v>2019</v>
      </c>
      <c r="C203" s="17">
        <v>19</v>
      </c>
      <c r="D203" s="17" t="s">
        <v>269</v>
      </c>
      <c r="E203" s="17">
        <v>9</v>
      </c>
      <c r="F203" s="31">
        <v>86400000</v>
      </c>
      <c r="G203" s="31">
        <v>65300000</v>
      </c>
      <c r="H203" s="31">
        <v>54600000</v>
      </c>
      <c r="I203" s="31">
        <v>49200000</v>
      </c>
      <c r="J203" s="31">
        <v>54200000</v>
      </c>
      <c r="K203" s="31">
        <v>78100000</v>
      </c>
      <c r="L203" s="31">
        <v>107000000</v>
      </c>
      <c r="M203" s="31">
        <v>124000000</v>
      </c>
      <c r="N203" s="31">
        <v>130000000</v>
      </c>
      <c r="O203" s="31">
        <v>133000000</v>
      </c>
      <c r="P203" s="31">
        <v>137000000</v>
      </c>
      <c r="Q203" s="31">
        <v>145000000</v>
      </c>
      <c r="R203" s="31">
        <v>148000000</v>
      </c>
      <c r="S203" s="31">
        <v>151000000</v>
      </c>
      <c r="T203" s="31">
        <v>158000000</v>
      </c>
      <c r="U203" s="31">
        <v>175000000</v>
      </c>
      <c r="V203" s="31">
        <v>202000000</v>
      </c>
      <c r="W203" s="31">
        <v>232000000</v>
      </c>
      <c r="X203" s="31">
        <v>248000000</v>
      </c>
      <c r="Y203" s="31">
        <v>238000000</v>
      </c>
      <c r="Z203" s="31">
        <v>228000000</v>
      </c>
      <c r="AA203" s="31">
        <v>206000000</v>
      </c>
      <c r="AB203" s="31">
        <v>148000000</v>
      </c>
      <c r="AC203" s="61">
        <v>109000000</v>
      </c>
      <c r="AD203" t="str">
        <f>INDEX('Category Mapping'!$G$28:$G$39,MATCH(E203,'Category Mapping'!$A$28:$A$39,0),1)</f>
        <v>Fall</v>
      </c>
      <c r="AE203" t="str">
        <f>INDEX('Category Mapping'!$B$2:$B$25,MATCH('Source Data'!A203,'Category Mapping'!$A$2:$A$25,0))</f>
        <v>Weekday</v>
      </c>
      <c r="AF203" t="str">
        <f>INDEX('Category Mapping'!$C$2:$C$25,MATCH('Source Data'!A203,'Category Mapping'!$A$2:$A$25,0))</f>
        <v>Residential</v>
      </c>
      <c r="AG203" t="str">
        <f>INDEX('Category Mapping'!$D$2:$D$25,MATCH('Source Data'!A203,'Category Mapping'!$A$2:$A$25,0))</f>
        <v>Total</v>
      </c>
    </row>
    <row r="204" spans="1:33" x14ac:dyDescent="0.3">
      <c r="A204" s="18" t="s">
        <v>107</v>
      </c>
      <c r="B204" s="19">
        <v>2019</v>
      </c>
      <c r="C204" s="19">
        <v>19</v>
      </c>
      <c r="D204" s="19" t="s">
        <v>269</v>
      </c>
      <c r="E204" s="19">
        <v>10</v>
      </c>
      <c r="F204" s="30">
        <v>87500000</v>
      </c>
      <c r="G204" s="30">
        <v>66500000</v>
      </c>
      <c r="H204" s="30">
        <v>55900000</v>
      </c>
      <c r="I204" s="30">
        <v>50400000</v>
      </c>
      <c r="J204" s="30">
        <v>55300000</v>
      </c>
      <c r="K204" s="30">
        <v>81000000</v>
      </c>
      <c r="L204" s="30">
        <v>123000000</v>
      </c>
      <c r="M204" s="30">
        <v>125000000</v>
      </c>
      <c r="N204" s="30">
        <v>125000000</v>
      </c>
      <c r="O204" s="30">
        <v>123000000</v>
      </c>
      <c r="P204" s="30">
        <v>122000000</v>
      </c>
      <c r="Q204" s="30">
        <v>124000000</v>
      </c>
      <c r="R204" s="30">
        <v>121000000</v>
      </c>
      <c r="S204" s="30">
        <v>121000000</v>
      </c>
      <c r="T204" s="30">
        <v>125000000</v>
      </c>
      <c r="U204" s="30">
        <v>140000000</v>
      </c>
      <c r="V204" s="30">
        <v>170000000</v>
      </c>
      <c r="W204" s="30">
        <v>218000000</v>
      </c>
      <c r="X204" s="30">
        <v>218000000</v>
      </c>
      <c r="Y204" s="30">
        <v>215000000</v>
      </c>
      <c r="Z204" s="30">
        <v>213000000</v>
      </c>
      <c r="AA204" s="30">
        <v>200000000</v>
      </c>
      <c r="AB204" s="30">
        <v>147000000</v>
      </c>
      <c r="AC204" s="62">
        <v>110000000</v>
      </c>
      <c r="AD204" t="str">
        <f>INDEX('Category Mapping'!$G$28:$G$39,MATCH(E204,'Category Mapping'!$A$28:$A$39,0),1)</f>
        <v>Fall</v>
      </c>
      <c r="AE204" t="str">
        <f>INDEX('Category Mapping'!$B$2:$B$25,MATCH('Source Data'!A204,'Category Mapping'!$A$2:$A$25,0))</f>
        <v>Weekday</v>
      </c>
      <c r="AF204" t="str">
        <f>INDEX('Category Mapping'!$C$2:$C$25,MATCH('Source Data'!A204,'Category Mapping'!$A$2:$A$25,0))</f>
        <v>Residential</v>
      </c>
      <c r="AG204" t="str">
        <f>INDEX('Category Mapping'!$D$2:$D$25,MATCH('Source Data'!A204,'Category Mapping'!$A$2:$A$25,0))</f>
        <v>Total</v>
      </c>
    </row>
    <row r="205" spans="1:33" x14ac:dyDescent="0.3">
      <c r="A205" s="16" t="s">
        <v>107</v>
      </c>
      <c r="B205" s="17">
        <v>2019</v>
      </c>
      <c r="C205" s="17">
        <v>19</v>
      </c>
      <c r="D205" s="17" t="s">
        <v>269</v>
      </c>
      <c r="E205" s="17">
        <v>11</v>
      </c>
      <c r="F205" s="31">
        <v>95700000</v>
      </c>
      <c r="G205" s="31">
        <v>74800000</v>
      </c>
      <c r="H205" s="31">
        <v>64300000</v>
      </c>
      <c r="I205" s="31">
        <v>58700000</v>
      </c>
      <c r="J205" s="31">
        <v>63600000</v>
      </c>
      <c r="K205" s="31">
        <v>91900000</v>
      </c>
      <c r="L205" s="31">
        <v>136000000</v>
      </c>
      <c r="M205" s="31">
        <v>145000000</v>
      </c>
      <c r="N205" s="31">
        <v>135000000</v>
      </c>
      <c r="O205" s="31">
        <v>130000000</v>
      </c>
      <c r="P205" s="31">
        <v>129000000</v>
      </c>
      <c r="Q205" s="31">
        <v>130000000</v>
      </c>
      <c r="R205" s="31">
        <v>127000000</v>
      </c>
      <c r="S205" s="31">
        <v>126000000</v>
      </c>
      <c r="T205" s="31">
        <v>130000000</v>
      </c>
      <c r="U205" s="31">
        <v>145000000</v>
      </c>
      <c r="V205" s="31">
        <v>188000000</v>
      </c>
      <c r="W205" s="31">
        <v>228000000</v>
      </c>
      <c r="X205" s="31">
        <v>230000000</v>
      </c>
      <c r="Y205" s="31">
        <v>228000000</v>
      </c>
      <c r="Z205" s="31">
        <v>226000000</v>
      </c>
      <c r="AA205" s="31">
        <v>212000000</v>
      </c>
      <c r="AB205" s="31">
        <v>157000000</v>
      </c>
      <c r="AC205" s="61">
        <v>118000000</v>
      </c>
      <c r="AD205" t="str">
        <f>INDEX('Category Mapping'!$G$28:$G$39,MATCH(E205,'Category Mapping'!$A$28:$A$39,0),1)</f>
        <v>Winter</v>
      </c>
      <c r="AE205" t="str">
        <f>INDEX('Category Mapping'!$B$2:$B$25,MATCH('Source Data'!A205,'Category Mapping'!$A$2:$A$25,0))</f>
        <v>Weekday</v>
      </c>
      <c r="AF205" t="str">
        <f>INDEX('Category Mapping'!$C$2:$C$25,MATCH('Source Data'!A205,'Category Mapping'!$A$2:$A$25,0))</f>
        <v>Residential</v>
      </c>
      <c r="AG205" t="str">
        <f>INDEX('Category Mapping'!$D$2:$D$25,MATCH('Source Data'!A205,'Category Mapping'!$A$2:$A$25,0))</f>
        <v>Total</v>
      </c>
    </row>
    <row r="206" spans="1:33" x14ac:dyDescent="0.3">
      <c r="A206" s="18" t="s">
        <v>107</v>
      </c>
      <c r="B206" s="19">
        <v>2019</v>
      </c>
      <c r="C206" s="19">
        <v>19</v>
      </c>
      <c r="D206" s="19" t="s">
        <v>269</v>
      </c>
      <c r="E206" s="19">
        <v>12</v>
      </c>
      <c r="F206" s="30">
        <v>104000000</v>
      </c>
      <c r="G206" s="30">
        <v>82700000</v>
      </c>
      <c r="H206" s="30">
        <v>72100000</v>
      </c>
      <c r="I206" s="30">
        <v>66500000</v>
      </c>
      <c r="J206" s="30">
        <v>71600000</v>
      </c>
      <c r="K206" s="30">
        <v>101000000</v>
      </c>
      <c r="L206" s="30">
        <v>147000000</v>
      </c>
      <c r="M206" s="30">
        <v>172000000</v>
      </c>
      <c r="N206" s="30">
        <v>145000000</v>
      </c>
      <c r="O206" s="30">
        <v>139000000</v>
      </c>
      <c r="P206" s="30">
        <v>137000000</v>
      </c>
      <c r="Q206" s="30">
        <v>137000000</v>
      </c>
      <c r="R206" s="30">
        <v>134000000</v>
      </c>
      <c r="S206" s="30">
        <v>133000000</v>
      </c>
      <c r="T206" s="30">
        <v>137000000</v>
      </c>
      <c r="U206" s="30">
        <v>152000000</v>
      </c>
      <c r="V206" s="30">
        <v>216000000</v>
      </c>
      <c r="W206" s="30">
        <v>237000000</v>
      </c>
      <c r="X206" s="30">
        <v>240000000</v>
      </c>
      <c r="Y206" s="30">
        <v>239000000</v>
      </c>
      <c r="Z206" s="30">
        <v>237000000</v>
      </c>
      <c r="AA206" s="30">
        <v>222000000</v>
      </c>
      <c r="AB206" s="30">
        <v>166000000</v>
      </c>
      <c r="AC206" s="62">
        <v>127000000</v>
      </c>
      <c r="AD206" t="str">
        <f>INDEX('Category Mapping'!$G$28:$G$39,MATCH(E206,'Category Mapping'!$A$28:$A$39,0),1)</f>
        <v>Winter</v>
      </c>
      <c r="AE206" t="str">
        <f>INDEX('Category Mapping'!$B$2:$B$25,MATCH('Source Data'!A206,'Category Mapping'!$A$2:$A$25,0))</f>
        <v>Weekday</v>
      </c>
      <c r="AF206" t="str">
        <f>INDEX('Category Mapping'!$C$2:$C$25,MATCH('Source Data'!A206,'Category Mapping'!$A$2:$A$25,0))</f>
        <v>Residential</v>
      </c>
      <c r="AG206" t="str">
        <f>INDEX('Category Mapping'!$D$2:$D$25,MATCH('Source Data'!A206,'Category Mapping'!$A$2:$A$25,0))</f>
        <v>Total</v>
      </c>
    </row>
    <row r="207" spans="1:33" x14ac:dyDescent="0.3">
      <c r="A207" s="16" t="s">
        <v>108</v>
      </c>
      <c r="B207" s="17">
        <v>2019</v>
      </c>
      <c r="C207" s="17">
        <v>19</v>
      </c>
      <c r="D207" s="17" t="s">
        <v>269</v>
      </c>
      <c r="E207" s="17">
        <v>1</v>
      </c>
      <c r="F207" s="31">
        <v>57000000</v>
      </c>
      <c r="G207" s="31">
        <v>47600000</v>
      </c>
      <c r="H207" s="31">
        <v>41000000</v>
      </c>
      <c r="I207" s="31">
        <v>36900000</v>
      </c>
      <c r="J207" s="31">
        <v>37500000</v>
      </c>
      <c r="K207" s="31">
        <v>42800000</v>
      </c>
      <c r="L207" s="31">
        <v>60000000</v>
      </c>
      <c r="M207" s="31">
        <v>80700000</v>
      </c>
      <c r="N207" s="31">
        <v>81900000</v>
      </c>
      <c r="O207" s="31">
        <v>98000000</v>
      </c>
      <c r="P207" s="31">
        <v>115000000</v>
      </c>
      <c r="Q207" s="31">
        <v>123000000</v>
      </c>
      <c r="R207" s="31">
        <v>114000000</v>
      </c>
      <c r="S207" s="31">
        <v>103000000</v>
      </c>
      <c r="T207" s="31">
        <v>106000000</v>
      </c>
      <c r="U207" s="31">
        <v>109000000</v>
      </c>
      <c r="V207" s="31">
        <v>134000000</v>
      </c>
      <c r="W207" s="31">
        <v>139000000</v>
      </c>
      <c r="X207" s="31">
        <v>140000000</v>
      </c>
      <c r="Y207" s="31">
        <v>135000000</v>
      </c>
      <c r="Z207" s="31">
        <v>130000000</v>
      </c>
      <c r="AA207" s="31">
        <v>117000000</v>
      </c>
      <c r="AB207" s="31">
        <v>93100000</v>
      </c>
      <c r="AC207" s="61">
        <v>71700000</v>
      </c>
      <c r="AD207" t="str">
        <f>INDEX('Category Mapping'!$G$28:$G$39,MATCH(E207,'Category Mapping'!$A$28:$A$39,0),1)</f>
        <v>Winter</v>
      </c>
      <c r="AE207" t="str">
        <f>INDEX('Category Mapping'!$B$2:$B$25,MATCH('Source Data'!A207,'Category Mapping'!$A$2:$A$25,0))</f>
        <v>Weekend</v>
      </c>
      <c r="AF207" t="str">
        <f>INDEX('Category Mapping'!$C$2:$C$25,MATCH('Source Data'!A207,'Category Mapping'!$A$2:$A$25,0))</f>
        <v>Residential</v>
      </c>
      <c r="AG207" t="str">
        <f>INDEX('Category Mapping'!$D$2:$D$25,MATCH('Source Data'!A207,'Category Mapping'!$A$2:$A$25,0))</f>
        <v>Total</v>
      </c>
    </row>
    <row r="208" spans="1:33" x14ac:dyDescent="0.3">
      <c r="A208" s="18" t="s">
        <v>108</v>
      </c>
      <c r="B208" s="19">
        <v>2019</v>
      </c>
      <c r="C208" s="19">
        <v>19</v>
      </c>
      <c r="D208" s="19" t="s">
        <v>269</v>
      </c>
      <c r="E208" s="19">
        <v>2</v>
      </c>
      <c r="F208" s="30">
        <v>54200000</v>
      </c>
      <c r="G208" s="30">
        <v>44900000</v>
      </c>
      <c r="H208" s="30">
        <v>38300000</v>
      </c>
      <c r="I208" s="30">
        <v>34300000</v>
      </c>
      <c r="J208" s="30">
        <v>34800000</v>
      </c>
      <c r="K208" s="30">
        <v>40100000</v>
      </c>
      <c r="L208" s="30">
        <v>57000000</v>
      </c>
      <c r="M208" s="30">
        <v>68100000</v>
      </c>
      <c r="N208" s="30">
        <v>78400000</v>
      </c>
      <c r="O208" s="30">
        <v>94200000</v>
      </c>
      <c r="P208" s="30">
        <v>111000000</v>
      </c>
      <c r="Q208" s="30">
        <v>120000000</v>
      </c>
      <c r="R208" s="30">
        <v>111000000</v>
      </c>
      <c r="S208" s="30">
        <v>99100000</v>
      </c>
      <c r="T208" s="30">
        <v>102000000</v>
      </c>
      <c r="U208" s="30">
        <v>106000000</v>
      </c>
      <c r="V208" s="30">
        <v>118000000</v>
      </c>
      <c r="W208" s="30">
        <v>136000000</v>
      </c>
      <c r="X208" s="30">
        <v>135000000</v>
      </c>
      <c r="Y208" s="30">
        <v>130000000</v>
      </c>
      <c r="Z208" s="30">
        <v>125000000</v>
      </c>
      <c r="AA208" s="30">
        <v>113000000</v>
      </c>
      <c r="AB208" s="30">
        <v>89700000</v>
      </c>
      <c r="AC208" s="62">
        <v>68700000</v>
      </c>
      <c r="AD208" t="str">
        <f>INDEX('Category Mapping'!$G$28:$G$39,MATCH(E208,'Category Mapping'!$A$28:$A$39,0),1)</f>
        <v>Winter</v>
      </c>
      <c r="AE208" t="str">
        <f>INDEX('Category Mapping'!$B$2:$B$25,MATCH('Source Data'!A208,'Category Mapping'!$A$2:$A$25,0))</f>
        <v>Weekend</v>
      </c>
      <c r="AF208" t="str">
        <f>INDEX('Category Mapping'!$C$2:$C$25,MATCH('Source Data'!A208,'Category Mapping'!$A$2:$A$25,0))</f>
        <v>Residential</v>
      </c>
      <c r="AG208" t="str">
        <f>INDEX('Category Mapping'!$D$2:$D$25,MATCH('Source Data'!A208,'Category Mapping'!$A$2:$A$25,0))</f>
        <v>Total</v>
      </c>
    </row>
    <row r="209" spans="1:33" x14ac:dyDescent="0.3">
      <c r="A209" s="16" t="s">
        <v>108</v>
      </c>
      <c r="B209" s="17">
        <v>2019</v>
      </c>
      <c r="C209" s="17">
        <v>19</v>
      </c>
      <c r="D209" s="17" t="s">
        <v>269</v>
      </c>
      <c r="E209" s="17">
        <v>3</v>
      </c>
      <c r="F209" s="31">
        <v>51300000</v>
      </c>
      <c r="G209" s="31">
        <v>42200000</v>
      </c>
      <c r="H209" s="31">
        <v>35600000</v>
      </c>
      <c r="I209" s="31">
        <v>31600000</v>
      </c>
      <c r="J209" s="31">
        <v>32100000</v>
      </c>
      <c r="K209" s="31">
        <v>37400000</v>
      </c>
      <c r="L209" s="31">
        <v>53500000</v>
      </c>
      <c r="M209" s="31">
        <v>61900000</v>
      </c>
      <c r="N209" s="31">
        <v>75100000</v>
      </c>
      <c r="O209" s="31">
        <v>90700000</v>
      </c>
      <c r="P209" s="31">
        <v>108000000</v>
      </c>
      <c r="Q209" s="31">
        <v>116000000</v>
      </c>
      <c r="R209" s="31">
        <v>107000000</v>
      </c>
      <c r="S209" s="31">
        <v>96200000</v>
      </c>
      <c r="T209" s="31">
        <v>99600000</v>
      </c>
      <c r="U209" s="31">
        <v>103000000</v>
      </c>
      <c r="V209" s="31">
        <v>110000000</v>
      </c>
      <c r="W209" s="31">
        <v>130000000</v>
      </c>
      <c r="X209" s="31">
        <v>130000000</v>
      </c>
      <c r="Y209" s="31">
        <v>125000000</v>
      </c>
      <c r="Z209" s="31">
        <v>120000000</v>
      </c>
      <c r="AA209" s="31">
        <v>108000000</v>
      </c>
      <c r="AB209" s="31">
        <v>85800000</v>
      </c>
      <c r="AC209" s="61">
        <v>65500000</v>
      </c>
      <c r="AD209" t="str">
        <f>INDEX('Category Mapping'!$G$28:$G$39,MATCH(E209,'Category Mapping'!$A$28:$A$39,0),1)</f>
        <v>Spring</v>
      </c>
      <c r="AE209" t="str">
        <f>INDEX('Category Mapping'!$B$2:$B$25,MATCH('Source Data'!A209,'Category Mapping'!$A$2:$A$25,0))</f>
        <v>Weekend</v>
      </c>
      <c r="AF209" t="str">
        <f>INDEX('Category Mapping'!$C$2:$C$25,MATCH('Source Data'!A209,'Category Mapping'!$A$2:$A$25,0))</f>
        <v>Residential</v>
      </c>
      <c r="AG209" t="str">
        <f>INDEX('Category Mapping'!$D$2:$D$25,MATCH('Source Data'!A209,'Category Mapping'!$A$2:$A$25,0))</f>
        <v>Total</v>
      </c>
    </row>
    <row r="210" spans="1:33" x14ac:dyDescent="0.3">
      <c r="A210" s="18" t="s">
        <v>108</v>
      </c>
      <c r="B210" s="19">
        <v>2019</v>
      </c>
      <c r="C210" s="19">
        <v>19</v>
      </c>
      <c r="D210" s="19" t="s">
        <v>269</v>
      </c>
      <c r="E210" s="19">
        <v>4</v>
      </c>
      <c r="F210" s="30">
        <v>46400000</v>
      </c>
      <c r="G210" s="30">
        <v>37400000</v>
      </c>
      <c r="H210" s="30">
        <v>30900000</v>
      </c>
      <c r="I210" s="30">
        <v>26900000</v>
      </c>
      <c r="J210" s="30">
        <v>27500000</v>
      </c>
      <c r="K210" s="30">
        <v>32500000</v>
      </c>
      <c r="L210" s="30">
        <v>41900000</v>
      </c>
      <c r="M210" s="30">
        <v>56000000</v>
      </c>
      <c r="N210" s="30">
        <v>69200000</v>
      </c>
      <c r="O210" s="30">
        <v>84800000</v>
      </c>
      <c r="P210" s="30">
        <v>102000000</v>
      </c>
      <c r="Q210" s="30">
        <v>112000000</v>
      </c>
      <c r="R210" s="30">
        <v>103000000</v>
      </c>
      <c r="S210" s="30">
        <v>92300000</v>
      </c>
      <c r="T210" s="30">
        <v>96100000</v>
      </c>
      <c r="U210" s="30">
        <v>99400000</v>
      </c>
      <c r="V210" s="30">
        <v>105000000</v>
      </c>
      <c r="W210" s="30">
        <v>111000000</v>
      </c>
      <c r="X210" s="30">
        <v>125000000</v>
      </c>
      <c r="Y210" s="30">
        <v>119000000</v>
      </c>
      <c r="Z210" s="30">
        <v>114000000</v>
      </c>
      <c r="AA210" s="30">
        <v>102000000</v>
      </c>
      <c r="AB210" s="30">
        <v>80200000</v>
      </c>
      <c r="AC210" s="62">
        <v>60400000</v>
      </c>
      <c r="AD210" t="str">
        <f>INDEX('Category Mapping'!$G$28:$G$39,MATCH(E210,'Category Mapping'!$A$28:$A$39,0),1)</f>
        <v>Spring</v>
      </c>
      <c r="AE210" t="str">
        <f>INDEX('Category Mapping'!$B$2:$B$25,MATCH('Source Data'!A210,'Category Mapping'!$A$2:$A$25,0))</f>
        <v>Weekend</v>
      </c>
      <c r="AF210" t="str">
        <f>INDEX('Category Mapping'!$C$2:$C$25,MATCH('Source Data'!A210,'Category Mapping'!$A$2:$A$25,0))</f>
        <v>Residential</v>
      </c>
      <c r="AG210" t="str">
        <f>INDEX('Category Mapping'!$D$2:$D$25,MATCH('Source Data'!A210,'Category Mapping'!$A$2:$A$25,0))</f>
        <v>Total</v>
      </c>
    </row>
    <row r="211" spans="1:33" x14ac:dyDescent="0.3">
      <c r="A211" s="16" t="s">
        <v>108</v>
      </c>
      <c r="B211" s="17">
        <v>2019</v>
      </c>
      <c r="C211" s="17">
        <v>19</v>
      </c>
      <c r="D211" s="17" t="s">
        <v>269</v>
      </c>
      <c r="E211" s="17">
        <v>5</v>
      </c>
      <c r="F211" s="31">
        <v>43500000</v>
      </c>
      <c r="G211" s="31">
        <v>34500000</v>
      </c>
      <c r="H211" s="31">
        <v>28000000</v>
      </c>
      <c r="I211" s="31">
        <v>24100000</v>
      </c>
      <c r="J211" s="31">
        <v>24700000</v>
      </c>
      <c r="K211" s="31">
        <v>28900000</v>
      </c>
      <c r="L211" s="31">
        <v>36900000</v>
      </c>
      <c r="M211" s="31">
        <v>51900000</v>
      </c>
      <c r="N211" s="31">
        <v>64500000</v>
      </c>
      <c r="O211" s="31">
        <v>80400000</v>
      </c>
      <c r="P211" s="31">
        <v>98600000</v>
      </c>
      <c r="Q211" s="31">
        <v>110000000</v>
      </c>
      <c r="R211" s="31">
        <v>102000000</v>
      </c>
      <c r="S211" s="31">
        <v>92100000</v>
      </c>
      <c r="T211" s="31">
        <v>95900000</v>
      </c>
      <c r="U211" s="31">
        <v>99400000</v>
      </c>
      <c r="V211" s="31">
        <v>105000000</v>
      </c>
      <c r="W211" s="31">
        <v>106000000</v>
      </c>
      <c r="X211" s="31">
        <v>119000000</v>
      </c>
      <c r="Y211" s="31">
        <v>115000000</v>
      </c>
      <c r="Z211" s="31">
        <v>108000000</v>
      </c>
      <c r="AA211" s="31">
        <v>97100000</v>
      </c>
      <c r="AB211" s="31">
        <v>76600000</v>
      </c>
      <c r="AC211" s="61">
        <v>57400000</v>
      </c>
      <c r="AD211" t="str">
        <f>INDEX('Category Mapping'!$G$28:$G$39,MATCH(E211,'Category Mapping'!$A$28:$A$39,0),1)</f>
        <v>Spring</v>
      </c>
      <c r="AE211" t="str">
        <f>INDEX('Category Mapping'!$B$2:$B$25,MATCH('Source Data'!A211,'Category Mapping'!$A$2:$A$25,0))</f>
        <v>Weekend</v>
      </c>
      <c r="AF211" t="str">
        <f>INDEX('Category Mapping'!$C$2:$C$25,MATCH('Source Data'!A211,'Category Mapping'!$A$2:$A$25,0))</f>
        <v>Residential</v>
      </c>
      <c r="AG211" t="str">
        <f>INDEX('Category Mapping'!$D$2:$D$25,MATCH('Source Data'!A211,'Category Mapping'!$A$2:$A$25,0))</f>
        <v>Total</v>
      </c>
    </row>
    <row r="212" spans="1:33" x14ac:dyDescent="0.3">
      <c r="A212" s="18" t="s">
        <v>108</v>
      </c>
      <c r="B212" s="19">
        <v>2019</v>
      </c>
      <c r="C212" s="19">
        <v>19</v>
      </c>
      <c r="D212" s="19" t="s">
        <v>269</v>
      </c>
      <c r="E212" s="19">
        <v>6</v>
      </c>
      <c r="F212" s="30">
        <v>44500000</v>
      </c>
      <c r="G212" s="30">
        <v>34900000</v>
      </c>
      <c r="H212" s="30">
        <v>28300000</v>
      </c>
      <c r="I212" s="30">
        <v>24500000</v>
      </c>
      <c r="J212" s="30">
        <v>25800000</v>
      </c>
      <c r="K212" s="30">
        <v>29500000</v>
      </c>
      <c r="L212" s="30">
        <v>42300000</v>
      </c>
      <c r="M212" s="30">
        <v>61300000</v>
      </c>
      <c r="N212" s="30">
        <v>77000000</v>
      </c>
      <c r="O212" s="30">
        <v>94200000</v>
      </c>
      <c r="P212" s="30">
        <v>114000000</v>
      </c>
      <c r="Q212" s="30">
        <v>129000000</v>
      </c>
      <c r="R212" s="30">
        <v>123000000</v>
      </c>
      <c r="S212" s="30">
        <v>115000000</v>
      </c>
      <c r="T212" s="30">
        <v>119000000</v>
      </c>
      <c r="U212" s="30">
        <v>122000000</v>
      </c>
      <c r="V212" s="30">
        <v>127000000</v>
      </c>
      <c r="W212" s="30">
        <v>126000000</v>
      </c>
      <c r="X212" s="30">
        <v>131000000</v>
      </c>
      <c r="Y212" s="30">
        <v>132000000</v>
      </c>
      <c r="Z212" s="30">
        <v>122000000</v>
      </c>
      <c r="AA212" s="30">
        <v>107000000</v>
      </c>
      <c r="AB212" s="30">
        <v>82500000</v>
      </c>
      <c r="AC212" s="62">
        <v>60000000</v>
      </c>
      <c r="AD212" t="str">
        <f>INDEX('Category Mapping'!$G$28:$G$39,MATCH(E212,'Category Mapping'!$A$28:$A$39,0),1)</f>
        <v>Summer</v>
      </c>
      <c r="AE212" t="str">
        <f>INDEX('Category Mapping'!$B$2:$B$25,MATCH('Source Data'!A212,'Category Mapping'!$A$2:$A$25,0))</f>
        <v>Weekend</v>
      </c>
      <c r="AF212" t="str">
        <f>INDEX('Category Mapping'!$C$2:$C$25,MATCH('Source Data'!A212,'Category Mapping'!$A$2:$A$25,0))</f>
        <v>Residential</v>
      </c>
      <c r="AG212" t="str">
        <f>INDEX('Category Mapping'!$D$2:$D$25,MATCH('Source Data'!A212,'Category Mapping'!$A$2:$A$25,0))</f>
        <v>Total</v>
      </c>
    </row>
    <row r="213" spans="1:33" x14ac:dyDescent="0.3">
      <c r="A213" s="16" t="s">
        <v>108</v>
      </c>
      <c r="B213" s="17">
        <v>2019</v>
      </c>
      <c r="C213" s="17">
        <v>19</v>
      </c>
      <c r="D213" s="17" t="s">
        <v>269</v>
      </c>
      <c r="E213" s="17">
        <v>7</v>
      </c>
      <c r="F213" s="31">
        <v>67900000</v>
      </c>
      <c r="G213" s="31">
        <v>56900000</v>
      </c>
      <c r="H213" s="31">
        <v>50000000</v>
      </c>
      <c r="I213" s="31">
        <v>46900000</v>
      </c>
      <c r="J213" s="31">
        <v>49900000</v>
      </c>
      <c r="K213" s="31">
        <v>55600000</v>
      </c>
      <c r="L213" s="31">
        <v>68100000</v>
      </c>
      <c r="M213" s="31">
        <v>86000000</v>
      </c>
      <c r="N213" s="31">
        <v>99700000</v>
      </c>
      <c r="O213" s="31">
        <v>114000000</v>
      </c>
      <c r="P213" s="31">
        <v>133000000</v>
      </c>
      <c r="Q213" s="31">
        <v>149000000</v>
      </c>
      <c r="R213" s="31">
        <v>145000000</v>
      </c>
      <c r="S213" s="31">
        <v>136000000</v>
      </c>
      <c r="T213" s="31">
        <v>141000000</v>
      </c>
      <c r="U213" s="31">
        <v>144000000</v>
      </c>
      <c r="V213" s="31">
        <v>148000000</v>
      </c>
      <c r="W213" s="31">
        <v>148000000</v>
      </c>
      <c r="X213" s="31">
        <v>156000000</v>
      </c>
      <c r="Y213" s="31">
        <v>156000000</v>
      </c>
      <c r="Z213" s="31">
        <v>147000000</v>
      </c>
      <c r="AA213" s="31">
        <v>132000000</v>
      </c>
      <c r="AB213" s="31">
        <v>108000000</v>
      </c>
      <c r="AC213" s="61">
        <v>84900000</v>
      </c>
      <c r="AD213" t="str">
        <f>INDEX('Category Mapping'!$G$28:$G$39,MATCH(E213,'Category Mapping'!$A$28:$A$39,0),1)</f>
        <v>Summer</v>
      </c>
      <c r="AE213" t="str">
        <f>INDEX('Category Mapping'!$B$2:$B$25,MATCH('Source Data'!A213,'Category Mapping'!$A$2:$A$25,0))</f>
        <v>Weekend</v>
      </c>
      <c r="AF213" t="str">
        <f>INDEX('Category Mapping'!$C$2:$C$25,MATCH('Source Data'!A213,'Category Mapping'!$A$2:$A$25,0))</f>
        <v>Residential</v>
      </c>
      <c r="AG213" t="str">
        <f>INDEX('Category Mapping'!$D$2:$D$25,MATCH('Source Data'!A213,'Category Mapping'!$A$2:$A$25,0))</f>
        <v>Total</v>
      </c>
    </row>
    <row r="214" spans="1:33" x14ac:dyDescent="0.3">
      <c r="A214" s="18" t="s">
        <v>108</v>
      </c>
      <c r="B214" s="19">
        <v>2019</v>
      </c>
      <c r="C214" s="19">
        <v>19</v>
      </c>
      <c r="D214" s="19" t="s">
        <v>269</v>
      </c>
      <c r="E214" s="19">
        <v>8</v>
      </c>
      <c r="F214" s="30">
        <v>69200000</v>
      </c>
      <c r="G214" s="30">
        <v>57700000</v>
      </c>
      <c r="H214" s="30">
        <v>50500000</v>
      </c>
      <c r="I214" s="30">
        <v>47600000</v>
      </c>
      <c r="J214" s="30">
        <v>51200000</v>
      </c>
      <c r="K214" s="30">
        <v>60000000</v>
      </c>
      <c r="L214" s="30">
        <v>72600000</v>
      </c>
      <c r="M214" s="30">
        <v>90900000</v>
      </c>
      <c r="N214" s="30">
        <v>106000000</v>
      </c>
      <c r="O214" s="30">
        <v>121000000</v>
      </c>
      <c r="P214" s="30">
        <v>140000000</v>
      </c>
      <c r="Q214" s="30">
        <v>157000000</v>
      </c>
      <c r="R214" s="30">
        <v>154000000</v>
      </c>
      <c r="S214" s="30">
        <v>146000000</v>
      </c>
      <c r="T214" s="30">
        <v>151000000</v>
      </c>
      <c r="U214" s="30">
        <v>153000000</v>
      </c>
      <c r="V214" s="30">
        <v>158000000</v>
      </c>
      <c r="W214" s="30">
        <v>159000000</v>
      </c>
      <c r="X214" s="30">
        <v>172000000</v>
      </c>
      <c r="Y214" s="30">
        <v>164000000</v>
      </c>
      <c r="Z214" s="30">
        <v>154000000</v>
      </c>
      <c r="AA214" s="30">
        <v>137000000</v>
      </c>
      <c r="AB214" s="30">
        <v>111000000</v>
      </c>
      <c r="AC214" s="62">
        <v>87200000</v>
      </c>
      <c r="AD214" t="str">
        <f>INDEX('Category Mapping'!$G$28:$G$39,MATCH(E214,'Category Mapping'!$A$28:$A$39,0),1)</f>
        <v>Summer</v>
      </c>
      <c r="AE214" t="str">
        <f>INDEX('Category Mapping'!$B$2:$B$25,MATCH('Source Data'!A214,'Category Mapping'!$A$2:$A$25,0))</f>
        <v>Weekend</v>
      </c>
      <c r="AF214" t="str">
        <f>INDEX('Category Mapping'!$C$2:$C$25,MATCH('Source Data'!A214,'Category Mapping'!$A$2:$A$25,0))</f>
        <v>Residential</v>
      </c>
      <c r="AG214" t="str">
        <f>INDEX('Category Mapping'!$D$2:$D$25,MATCH('Source Data'!A214,'Category Mapping'!$A$2:$A$25,0))</f>
        <v>Total</v>
      </c>
    </row>
    <row r="215" spans="1:33" x14ac:dyDescent="0.3">
      <c r="A215" s="16" t="s">
        <v>108</v>
      </c>
      <c r="B215" s="17">
        <v>2019</v>
      </c>
      <c r="C215" s="17">
        <v>19</v>
      </c>
      <c r="D215" s="17" t="s">
        <v>269</v>
      </c>
      <c r="E215" s="17">
        <v>9</v>
      </c>
      <c r="F215" s="31">
        <v>44600000</v>
      </c>
      <c r="G215" s="31">
        <v>35400000</v>
      </c>
      <c r="H215" s="31">
        <v>28900000</v>
      </c>
      <c r="I215" s="31">
        <v>25000000</v>
      </c>
      <c r="J215" s="31">
        <v>25800000</v>
      </c>
      <c r="K215" s="31">
        <v>30700000</v>
      </c>
      <c r="L215" s="31">
        <v>42400000</v>
      </c>
      <c r="M215" s="31">
        <v>56900000</v>
      </c>
      <c r="N215" s="31">
        <v>72900000</v>
      </c>
      <c r="O215" s="31">
        <v>90500000</v>
      </c>
      <c r="P215" s="31">
        <v>111000000</v>
      </c>
      <c r="Q215" s="31">
        <v>125000000</v>
      </c>
      <c r="R215" s="31">
        <v>120000000</v>
      </c>
      <c r="S215" s="31">
        <v>111000000</v>
      </c>
      <c r="T215" s="31">
        <v>115000000</v>
      </c>
      <c r="U215" s="31">
        <v>118000000</v>
      </c>
      <c r="V215" s="31">
        <v>123000000</v>
      </c>
      <c r="W215" s="31">
        <v>130000000</v>
      </c>
      <c r="X215" s="31">
        <v>138000000</v>
      </c>
      <c r="Y215" s="31">
        <v>129000000</v>
      </c>
      <c r="Z215" s="31">
        <v>119000000</v>
      </c>
      <c r="AA215" s="31">
        <v>104000000</v>
      </c>
      <c r="AB215" s="31">
        <v>79800000</v>
      </c>
      <c r="AC215" s="61">
        <v>58900000</v>
      </c>
      <c r="AD215" t="str">
        <f>INDEX('Category Mapping'!$G$28:$G$39,MATCH(E215,'Category Mapping'!$A$28:$A$39,0),1)</f>
        <v>Fall</v>
      </c>
      <c r="AE215" t="str">
        <f>INDEX('Category Mapping'!$B$2:$B$25,MATCH('Source Data'!A215,'Category Mapping'!$A$2:$A$25,0))</f>
        <v>Weekend</v>
      </c>
      <c r="AF215" t="str">
        <f>INDEX('Category Mapping'!$C$2:$C$25,MATCH('Source Data'!A215,'Category Mapping'!$A$2:$A$25,0))</f>
        <v>Residential</v>
      </c>
      <c r="AG215" t="str">
        <f>INDEX('Category Mapping'!$D$2:$D$25,MATCH('Source Data'!A215,'Category Mapping'!$A$2:$A$25,0))</f>
        <v>Total</v>
      </c>
    </row>
    <row r="216" spans="1:33" x14ac:dyDescent="0.3">
      <c r="A216" s="18" t="s">
        <v>108</v>
      </c>
      <c r="B216" s="19">
        <v>2019</v>
      </c>
      <c r="C216" s="19">
        <v>19</v>
      </c>
      <c r="D216" s="19" t="s">
        <v>269</v>
      </c>
      <c r="E216" s="19">
        <v>10</v>
      </c>
      <c r="F216" s="30">
        <v>45500000</v>
      </c>
      <c r="G216" s="30">
        <v>36400000</v>
      </c>
      <c r="H216" s="30">
        <v>29800000</v>
      </c>
      <c r="I216" s="30">
        <v>25900000</v>
      </c>
      <c r="J216" s="30">
        <v>26600000</v>
      </c>
      <c r="K216" s="30">
        <v>31800000</v>
      </c>
      <c r="L216" s="30">
        <v>47900000</v>
      </c>
      <c r="M216" s="30">
        <v>56300000</v>
      </c>
      <c r="N216" s="30">
        <v>68000000</v>
      </c>
      <c r="O216" s="30">
        <v>83400000</v>
      </c>
      <c r="P216" s="30">
        <v>101000000</v>
      </c>
      <c r="Q216" s="30">
        <v>111000000</v>
      </c>
      <c r="R216" s="30">
        <v>103000000</v>
      </c>
      <c r="S216" s="30">
        <v>91900000</v>
      </c>
      <c r="T216" s="30">
        <v>95600000</v>
      </c>
      <c r="U216" s="30">
        <v>99100000</v>
      </c>
      <c r="V216" s="30">
        <v>107000000</v>
      </c>
      <c r="W216" s="30">
        <v>126000000</v>
      </c>
      <c r="X216" s="30">
        <v>125000000</v>
      </c>
      <c r="Y216" s="30">
        <v>119000000</v>
      </c>
      <c r="Z216" s="30">
        <v>114000000</v>
      </c>
      <c r="AA216" s="30">
        <v>102000000</v>
      </c>
      <c r="AB216" s="30">
        <v>80100000</v>
      </c>
      <c r="AC216" s="62">
        <v>59800000</v>
      </c>
      <c r="AD216" t="str">
        <f>INDEX('Category Mapping'!$G$28:$G$39,MATCH(E216,'Category Mapping'!$A$28:$A$39,0),1)</f>
        <v>Fall</v>
      </c>
      <c r="AE216" t="str">
        <f>INDEX('Category Mapping'!$B$2:$B$25,MATCH('Source Data'!A216,'Category Mapping'!$A$2:$A$25,0))</f>
        <v>Weekend</v>
      </c>
      <c r="AF216" t="str">
        <f>INDEX('Category Mapping'!$C$2:$C$25,MATCH('Source Data'!A216,'Category Mapping'!$A$2:$A$25,0))</f>
        <v>Residential</v>
      </c>
      <c r="AG216" t="str">
        <f>INDEX('Category Mapping'!$D$2:$D$25,MATCH('Source Data'!A216,'Category Mapping'!$A$2:$A$25,0))</f>
        <v>Total</v>
      </c>
    </row>
    <row r="217" spans="1:33" x14ac:dyDescent="0.3">
      <c r="A217" s="16" t="s">
        <v>108</v>
      </c>
      <c r="B217" s="17">
        <v>2019</v>
      </c>
      <c r="C217" s="17">
        <v>19</v>
      </c>
      <c r="D217" s="17" t="s">
        <v>269</v>
      </c>
      <c r="E217" s="17">
        <v>11</v>
      </c>
      <c r="F217" s="31">
        <v>50400000</v>
      </c>
      <c r="G217" s="31">
        <v>41200000</v>
      </c>
      <c r="H217" s="31">
        <v>34600000</v>
      </c>
      <c r="I217" s="31">
        <v>30600000</v>
      </c>
      <c r="J217" s="31">
        <v>31200000</v>
      </c>
      <c r="K217" s="31">
        <v>36500000</v>
      </c>
      <c r="L217" s="31">
        <v>53200000</v>
      </c>
      <c r="M217" s="31">
        <v>66700000</v>
      </c>
      <c r="N217" s="31">
        <v>73700000</v>
      </c>
      <c r="O217" s="31">
        <v>89200000</v>
      </c>
      <c r="P217" s="31">
        <v>106000000</v>
      </c>
      <c r="Q217" s="31">
        <v>115000000</v>
      </c>
      <c r="R217" s="31">
        <v>107000000</v>
      </c>
      <c r="S217" s="31">
        <v>95600000</v>
      </c>
      <c r="T217" s="31">
        <v>99000000</v>
      </c>
      <c r="U217" s="31">
        <v>103000000</v>
      </c>
      <c r="V217" s="31">
        <v>118000000</v>
      </c>
      <c r="W217" s="31">
        <v>132000000</v>
      </c>
      <c r="X217" s="31">
        <v>131000000</v>
      </c>
      <c r="Y217" s="31">
        <v>126000000</v>
      </c>
      <c r="Z217" s="31">
        <v>121000000</v>
      </c>
      <c r="AA217" s="31">
        <v>109000000</v>
      </c>
      <c r="AB217" s="31">
        <v>85800000</v>
      </c>
      <c r="AC217" s="61">
        <v>64800000</v>
      </c>
      <c r="AD217" t="str">
        <f>INDEX('Category Mapping'!$G$28:$G$39,MATCH(E217,'Category Mapping'!$A$28:$A$39,0),1)</f>
        <v>Winter</v>
      </c>
      <c r="AE217" t="str">
        <f>INDEX('Category Mapping'!$B$2:$B$25,MATCH('Source Data'!A217,'Category Mapping'!$A$2:$A$25,0))</f>
        <v>Weekend</v>
      </c>
      <c r="AF217" t="str">
        <f>INDEX('Category Mapping'!$C$2:$C$25,MATCH('Source Data'!A217,'Category Mapping'!$A$2:$A$25,0))</f>
        <v>Residential</v>
      </c>
      <c r="AG217" t="str">
        <f>INDEX('Category Mapping'!$D$2:$D$25,MATCH('Source Data'!A217,'Category Mapping'!$A$2:$A$25,0))</f>
        <v>Total</v>
      </c>
    </row>
    <row r="218" spans="1:33" x14ac:dyDescent="0.3">
      <c r="A218" s="18" t="s">
        <v>108</v>
      </c>
      <c r="B218" s="19">
        <v>2019</v>
      </c>
      <c r="C218" s="19">
        <v>19</v>
      </c>
      <c r="D218" s="19" t="s">
        <v>269</v>
      </c>
      <c r="E218" s="19">
        <v>12</v>
      </c>
      <c r="F218" s="30">
        <v>55000000</v>
      </c>
      <c r="G218" s="30">
        <v>45600000</v>
      </c>
      <c r="H218" s="30">
        <v>39000000</v>
      </c>
      <c r="I218" s="30">
        <v>35000000</v>
      </c>
      <c r="J218" s="30">
        <v>35500000</v>
      </c>
      <c r="K218" s="30">
        <v>40900000</v>
      </c>
      <c r="L218" s="30">
        <v>58000000</v>
      </c>
      <c r="M218" s="30">
        <v>80500000</v>
      </c>
      <c r="N218" s="30">
        <v>79500000</v>
      </c>
      <c r="O218" s="30">
        <v>95400000</v>
      </c>
      <c r="P218" s="30">
        <v>112000000</v>
      </c>
      <c r="Q218" s="30">
        <v>121000000</v>
      </c>
      <c r="R218" s="30">
        <v>112000000</v>
      </c>
      <c r="S218" s="30">
        <v>100000000</v>
      </c>
      <c r="T218" s="30">
        <v>104000000</v>
      </c>
      <c r="U218" s="30">
        <v>107000000</v>
      </c>
      <c r="V218" s="30">
        <v>135000000</v>
      </c>
      <c r="W218" s="30">
        <v>138000000</v>
      </c>
      <c r="X218" s="30">
        <v>137000000</v>
      </c>
      <c r="Y218" s="30">
        <v>132000000</v>
      </c>
      <c r="Z218" s="30">
        <v>127000000</v>
      </c>
      <c r="AA218" s="30">
        <v>114000000</v>
      </c>
      <c r="AB218" s="30">
        <v>91000000</v>
      </c>
      <c r="AC218" s="62">
        <v>69600000</v>
      </c>
      <c r="AD218" t="str">
        <f>INDEX('Category Mapping'!$G$28:$G$39,MATCH(E218,'Category Mapping'!$A$28:$A$39,0),1)</f>
        <v>Winter</v>
      </c>
      <c r="AE218" t="str">
        <f>INDEX('Category Mapping'!$B$2:$B$25,MATCH('Source Data'!A218,'Category Mapping'!$A$2:$A$25,0))</f>
        <v>Weekend</v>
      </c>
      <c r="AF218" t="str">
        <f>INDEX('Category Mapping'!$C$2:$C$25,MATCH('Source Data'!A218,'Category Mapping'!$A$2:$A$25,0))</f>
        <v>Residential</v>
      </c>
      <c r="AG218" t="str">
        <f>INDEX('Category Mapping'!$D$2:$D$25,MATCH('Source Data'!A218,'Category Mapping'!$A$2:$A$25,0))</f>
        <v>Total</v>
      </c>
    </row>
    <row r="219" spans="1:33" x14ac:dyDescent="0.3">
      <c r="A219" s="16" t="s">
        <v>109</v>
      </c>
      <c r="B219" s="17">
        <v>2019</v>
      </c>
      <c r="C219" s="17">
        <v>19</v>
      </c>
      <c r="D219" s="17" t="s">
        <v>269</v>
      </c>
      <c r="E219" s="17">
        <v>1</v>
      </c>
      <c r="F219" s="31">
        <v>197000000</v>
      </c>
      <c r="G219" s="31">
        <v>190000000</v>
      </c>
      <c r="H219" s="31">
        <v>186000000</v>
      </c>
      <c r="I219" s="31">
        <v>194000000</v>
      </c>
      <c r="J219" s="31">
        <v>206000000</v>
      </c>
      <c r="K219" s="31">
        <v>235000000</v>
      </c>
      <c r="L219" s="31">
        <v>352000000</v>
      </c>
      <c r="M219" s="31">
        <v>527000000</v>
      </c>
      <c r="N219" s="31">
        <v>631000000</v>
      </c>
      <c r="O219" s="31">
        <v>621000000</v>
      </c>
      <c r="P219" s="31">
        <v>603000000</v>
      </c>
      <c r="Q219" s="31">
        <v>592000000</v>
      </c>
      <c r="R219" s="31">
        <v>576000000</v>
      </c>
      <c r="S219" s="31">
        <v>572000000</v>
      </c>
      <c r="T219" s="31">
        <v>568000000</v>
      </c>
      <c r="U219" s="31">
        <v>566000000</v>
      </c>
      <c r="V219" s="31">
        <v>548000000</v>
      </c>
      <c r="W219" s="31">
        <v>518000000</v>
      </c>
      <c r="X219" s="31">
        <v>504000000</v>
      </c>
      <c r="Y219" s="31">
        <v>439000000</v>
      </c>
      <c r="Z219" s="31">
        <v>380000000</v>
      </c>
      <c r="AA219" s="31">
        <v>327000000</v>
      </c>
      <c r="AB219" s="31">
        <v>287000000</v>
      </c>
      <c r="AC219" s="61">
        <v>219000000</v>
      </c>
      <c r="AD219" t="str">
        <f>INDEX('Category Mapping'!$G$28:$G$39,MATCH(E219,'Category Mapping'!$A$28:$A$39,0),1)</f>
        <v>Winter</v>
      </c>
      <c r="AE219" t="str">
        <f>INDEX('Category Mapping'!$B$2:$B$25,MATCH('Source Data'!A219,'Category Mapping'!$A$2:$A$25,0))</f>
        <v>Weekday</v>
      </c>
      <c r="AF219" t="str">
        <f>INDEX('Category Mapping'!$C$2:$C$25,MATCH('Source Data'!A219,'Category Mapping'!$A$2:$A$25,0))</f>
        <v>Commercial</v>
      </c>
      <c r="AG219" t="str">
        <f>INDEX('Category Mapping'!$D$2:$D$25,MATCH('Source Data'!A219,'Category Mapping'!$A$2:$A$25,0))</f>
        <v>Total</v>
      </c>
    </row>
    <row r="220" spans="1:33" x14ac:dyDescent="0.3">
      <c r="A220" s="18" t="s">
        <v>109</v>
      </c>
      <c r="B220" s="19">
        <v>2019</v>
      </c>
      <c r="C220" s="19">
        <v>19</v>
      </c>
      <c r="D220" s="19" t="s">
        <v>269</v>
      </c>
      <c r="E220" s="19">
        <v>2</v>
      </c>
      <c r="F220" s="30">
        <v>188000000</v>
      </c>
      <c r="G220" s="30">
        <v>183000000</v>
      </c>
      <c r="H220" s="30">
        <v>179000000</v>
      </c>
      <c r="I220" s="30">
        <v>186000000</v>
      </c>
      <c r="J220" s="30">
        <v>198000000</v>
      </c>
      <c r="K220" s="30">
        <v>226000000</v>
      </c>
      <c r="L220" s="30">
        <v>341000000</v>
      </c>
      <c r="M220" s="30">
        <v>505000000</v>
      </c>
      <c r="N220" s="30">
        <v>606000000</v>
      </c>
      <c r="O220" s="30">
        <v>600000000</v>
      </c>
      <c r="P220" s="30">
        <v>584000000</v>
      </c>
      <c r="Q220" s="30">
        <v>574000000</v>
      </c>
      <c r="R220" s="30">
        <v>559000000</v>
      </c>
      <c r="S220" s="30">
        <v>556000000</v>
      </c>
      <c r="T220" s="30">
        <v>553000000</v>
      </c>
      <c r="U220" s="30">
        <v>551000000</v>
      </c>
      <c r="V220" s="30">
        <v>533000000</v>
      </c>
      <c r="W220" s="30">
        <v>503000000</v>
      </c>
      <c r="X220" s="30">
        <v>487000000</v>
      </c>
      <c r="Y220" s="30">
        <v>422000000</v>
      </c>
      <c r="Z220" s="30">
        <v>363000000</v>
      </c>
      <c r="AA220" s="30">
        <v>311000000</v>
      </c>
      <c r="AB220" s="30">
        <v>271000000</v>
      </c>
      <c r="AC220" s="62">
        <v>213000000</v>
      </c>
      <c r="AD220" t="str">
        <f>INDEX('Category Mapping'!$G$28:$G$39,MATCH(E220,'Category Mapping'!$A$28:$A$39,0),1)</f>
        <v>Winter</v>
      </c>
      <c r="AE220" t="str">
        <f>INDEX('Category Mapping'!$B$2:$B$25,MATCH('Source Data'!A220,'Category Mapping'!$A$2:$A$25,0))</f>
        <v>Weekday</v>
      </c>
      <c r="AF220" t="str">
        <f>INDEX('Category Mapping'!$C$2:$C$25,MATCH('Source Data'!A220,'Category Mapping'!$A$2:$A$25,0))</f>
        <v>Commercial</v>
      </c>
      <c r="AG220" t="str">
        <f>INDEX('Category Mapping'!$D$2:$D$25,MATCH('Source Data'!A220,'Category Mapping'!$A$2:$A$25,0))</f>
        <v>Total</v>
      </c>
    </row>
    <row r="221" spans="1:33" x14ac:dyDescent="0.3">
      <c r="A221" s="16" t="s">
        <v>109</v>
      </c>
      <c r="B221" s="17">
        <v>2019</v>
      </c>
      <c r="C221" s="17">
        <v>19</v>
      </c>
      <c r="D221" s="17" t="s">
        <v>269</v>
      </c>
      <c r="E221" s="17">
        <v>3</v>
      </c>
      <c r="F221" s="31">
        <v>182000000</v>
      </c>
      <c r="G221" s="31">
        <v>177000000</v>
      </c>
      <c r="H221" s="31">
        <v>175000000</v>
      </c>
      <c r="I221" s="31">
        <v>182000000</v>
      </c>
      <c r="J221" s="31">
        <v>192000000</v>
      </c>
      <c r="K221" s="31">
        <v>231000000</v>
      </c>
      <c r="L221" s="31">
        <v>356000000</v>
      </c>
      <c r="M221" s="31">
        <v>491000000</v>
      </c>
      <c r="N221" s="31">
        <v>572000000</v>
      </c>
      <c r="O221" s="31">
        <v>577000000</v>
      </c>
      <c r="P221" s="31">
        <v>565000000</v>
      </c>
      <c r="Q221" s="31">
        <v>556000000</v>
      </c>
      <c r="R221" s="31">
        <v>543000000</v>
      </c>
      <c r="S221" s="31">
        <v>541000000</v>
      </c>
      <c r="T221" s="31">
        <v>538000000</v>
      </c>
      <c r="U221" s="31">
        <v>536000000</v>
      </c>
      <c r="V221" s="31">
        <v>518000000</v>
      </c>
      <c r="W221" s="31">
        <v>489000000</v>
      </c>
      <c r="X221" s="31">
        <v>472000000</v>
      </c>
      <c r="Y221" s="31">
        <v>406000000</v>
      </c>
      <c r="Z221" s="31">
        <v>350000000</v>
      </c>
      <c r="AA221" s="31">
        <v>287000000</v>
      </c>
      <c r="AB221" s="31">
        <v>243000000</v>
      </c>
      <c r="AC221" s="61">
        <v>211000000</v>
      </c>
      <c r="AD221" t="str">
        <f>INDEX('Category Mapping'!$G$28:$G$39,MATCH(E221,'Category Mapping'!$A$28:$A$39,0),1)</f>
        <v>Spring</v>
      </c>
      <c r="AE221" t="str">
        <f>INDEX('Category Mapping'!$B$2:$B$25,MATCH('Source Data'!A221,'Category Mapping'!$A$2:$A$25,0))</f>
        <v>Weekday</v>
      </c>
      <c r="AF221" t="str">
        <f>INDEX('Category Mapping'!$C$2:$C$25,MATCH('Source Data'!A221,'Category Mapping'!$A$2:$A$25,0))</f>
        <v>Commercial</v>
      </c>
      <c r="AG221" t="str">
        <f>INDEX('Category Mapping'!$D$2:$D$25,MATCH('Source Data'!A221,'Category Mapping'!$A$2:$A$25,0))</f>
        <v>Total</v>
      </c>
    </row>
    <row r="222" spans="1:33" x14ac:dyDescent="0.3">
      <c r="A222" s="18" t="s">
        <v>109</v>
      </c>
      <c r="B222" s="19">
        <v>2019</v>
      </c>
      <c r="C222" s="19">
        <v>19</v>
      </c>
      <c r="D222" s="19" t="s">
        <v>269</v>
      </c>
      <c r="E222" s="19">
        <v>4</v>
      </c>
      <c r="F222" s="30">
        <v>172000000</v>
      </c>
      <c r="G222" s="30">
        <v>167000000</v>
      </c>
      <c r="H222" s="30">
        <v>167000000</v>
      </c>
      <c r="I222" s="30">
        <v>174000000</v>
      </c>
      <c r="J222" s="30">
        <v>183000000</v>
      </c>
      <c r="K222" s="30">
        <v>222000000</v>
      </c>
      <c r="L222" s="30">
        <v>343000000</v>
      </c>
      <c r="M222" s="30">
        <v>441000000</v>
      </c>
      <c r="N222" s="30">
        <v>522000000</v>
      </c>
      <c r="O222" s="30">
        <v>541000000</v>
      </c>
      <c r="P222" s="30">
        <v>535000000</v>
      </c>
      <c r="Q222" s="30">
        <v>530000000</v>
      </c>
      <c r="R222" s="30">
        <v>520000000</v>
      </c>
      <c r="S222" s="30">
        <v>519000000</v>
      </c>
      <c r="T222" s="30">
        <v>518000000</v>
      </c>
      <c r="U222" s="30">
        <v>517000000</v>
      </c>
      <c r="V222" s="30">
        <v>499000000</v>
      </c>
      <c r="W222" s="30">
        <v>471000000</v>
      </c>
      <c r="X222" s="30">
        <v>450000000</v>
      </c>
      <c r="Y222" s="30">
        <v>382000000</v>
      </c>
      <c r="Z222" s="30">
        <v>324000000</v>
      </c>
      <c r="AA222" s="30">
        <v>262000000</v>
      </c>
      <c r="AB222" s="30">
        <v>222000000</v>
      </c>
      <c r="AC222" s="62">
        <v>195000000</v>
      </c>
      <c r="AD222" t="str">
        <f>INDEX('Category Mapping'!$G$28:$G$39,MATCH(E222,'Category Mapping'!$A$28:$A$39,0),1)</f>
        <v>Spring</v>
      </c>
      <c r="AE222" t="str">
        <f>INDEX('Category Mapping'!$B$2:$B$25,MATCH('Source Data'!A222,'Category Mapping'!$A$2:$A$25,0))</f>
        <v>Weekday</v>
      </c>
      <c r="AF222" t="str">
        <f>INDEX('Category Mapping'!$C$2:$C$25,MATCH('Source Data'!A222,'Category Mapping'!$A$2:$A$25,0))</f>
        <v>Commercial</v>
      </c>
      <c r="AG222" t="str">
        <f>INDEX('Category Mapping'!$D$2:$D$25,MATCH('Source Data'!A222,'Category Mapping'!$A$2:$A$25,0))</f>
        <v>Total</v>
      </c>
    </row>
    <row r="223" spans="1:33" x14ac:dyDescent="0.3">
      <c r="A223" s="16" t="s">
        <v>109</v>
      </c>
      <c r="B223" s="17">
        <v>2019</v>
      </c>
      <c r="C223" s="17">
        <v>19</v>
      </c>
      <c r="D223" s="17" t="s">
        <v>269</v>
      </c>
      <c r="E223" s="17">
        <v>5</v>
      </c>
      <c r="F223" s="31">
        <v>163000000</v>
      </c>
      <c r="G223" s="31">
        <v>160000000</v>
      </c>
      <c r="H223" s="31">
        <v>159000000</v>
      </c>
      <c r="I223" s="31">
        <v>166000000</v>
      </c>
      <c r="J223" s="31">
        <v>175000000</v>
      </c>
      <c r="K223" s="31">
        <v>205000000</v>
      </c>
      <c r="L223" s="31">
        <v>311000000</v>
      </c>
      <c r="M223" s="31">
        <v>415000000</v>
      </c>
      <c r="N223" s="31">
        <v>508000000</v>
      </c>
      <c r="O223" s="31">
        <v>534000000</v>
      </c>
      <c r="P223" s="31">
        <v>533000000</v>
      </c>
      <c r="Q223" s="31">
        <v>532000000</v>
      </c>
      <c r="R223" s="31">
        <v>523000000</v>
      </c>
      <c r="S223" s="31">
        <v>524000000</v>
      </c>
      <c r="T223" s="31">
        <v>524000000</v>
      </c>
      <c r="U223" s="31">
        <v>524000000</v>
      </c>
      <c r="V223" s="31">
        <v>506000000</v>
      </c>
      <c r="W223" s="31">
        <v>476000000</v>
      </c>
      <c r="X223" s="31">
        <v>452000000</v>
      </c>
      <c r="Y223" s="31">
        <v>380000000</v>
      </c>
      <c r="Z223" s="31">
        <v>318000000</v>
      </c>
      <c r="AA223" s="31">
        <v>260000000</v>
      </c>
      <c r="AB223" s="31">
        <v>219000000</v>
      </c>
      <c r="AC223" s="61">
        <v>193000000</v>
      </c>
      <c r="AD223" t="str">
        <f>INDEX('Category Mapping'!$G$28:$G$39,MATCH(E223,'Category Mapping'!$A$28:$A$39,0),1)</f>
        <v>Spring</v>
      </c>
      <c r="AE223" t="str">
        <f>INDEX('Category Mapping'!$B$2:$B$25,MATCH('Source Data'!A223,'Category Mapping'!$A$2:$A$25,0))</f>
        <v>Weekday</v>
      </c>
      <c r="AF223" t="str">
        <f>INDEX('Category Mapping'!$C$2:$C$25,MATCH('Source Data'!A223,'Category Mapping'!$A$2:$A$25,0))</f>
        <v>Commercial</v>
      </c>
      <c r="AG223" t="str">
        <f>INDEX('Category Mapping'!$D$2:$D$25,MATCH('Source Data'!A223,'Category Mapping'!$A$2:$A$25,0))</f>
        <v>Total</v>
      </c>
    </row>
    <row r="224" spans="1:33" x14ac:dyDescent="0.3">
      <c r="A224" s="18" t="s">
        <v>109</v>
      </c>
      <c r="B224" s="19">
        <v>2019</v>
      </c>
      <c r="C224" s="19">
        <v>19</v>
      </c>
      <c r="D224" s="19" t="s">
        <v>269</v>
      </c>
      <c r="E224" s="19">
        <v>6</v>
      </c>
      <c r="F224" s="30">
        <v>220000000</v>
      </c>
      <c r="G224" s="30">
        <v>212000000</v>
      </c>
      <c r="H224" s="30">
        <v>210000000</v>
      </c>
      <c r="I224" s="30">
        <v>216000000</v>
      </c>
      <c r="J224" s="30">
        <v>226000000</v>
      </c>
      <c r="K224" s="30">
        <v>258000000</v>
      </c>
      <c r="L224" s="30">
        <v>368000000</v>
      </c>
      <c r="M224" s="30">
        <v>494000000</v>
      </c>
      <c r="N224" s="30">
        <v>619000000</v>
      </c>
      <c r="O224" s="30">
        <v>667000000</v>
      </c>
      <c r="P224" s="30">
        <v>681000000</v>
      </c>
      <c r="Q224" s="30">
        <v>690000000</v>
      </c>
      <c r="R224" s="30">
        <v>684000000</v>
      </c>
      <c r="S224" s="30">
        <v>691000000</v>
      </c>
      <c r="T224" s="30">
        <v>695000000</v>
      </c>
      <c r="U224" s="30">
        <v>694000000</v>
      </c>
      <c r="V224" s="30">
        <v>671000000</v>
      </c>
      <c r="W224" s="30">
        <v>630000000</v>
      </c>
      <c r="X224" s="30">
        <v>594000000</v>
      </c>
      <c r="Y224" s="30">
        <v>506000000</v>
      </c>
      <c r="Z224" s="30">
        <v>428000000</v>
      </c>
      <c r="AA224" s="30">
        <v>355000000</v>
      </c>
      <c r="AB224" s="30">
        <v>301000000</v>
      </c>
      <c r="AC224" s="62">
        <v>259000000</v>
      </c>
      <c r="AD224" t="str">
        <f>INDEX('Category Mapping'!$G$28:$G$39,MATCH(E224,'Category Mapping'!$A$28:$A$39,0),1)</f>
        <v>Summer</v>
      </c>
      <c r="AE224" t="str">
        <f>INDEX('Category Mapping'!$B$2:$B$25,MATCH('Source Data'!A224,'Category Mapping'!$A$2:$A$25,0))</f>
        <v>Weekday</v>
      </c>
      <c r="AF224" t="str">
        <f>INDEX('Category Mapping'!$C$2:$C$25,MATCH('Source Data'!A224,'Category Mapping'!$A$2:$A$25,0))</f>
        <v>Commercial</v>
      </c>
      <c r="AG224" t="str">
        <f>INDEX('Category Mapping'!$D$2:$D$25,MATCH('Source Data'!A224,'Category Mapping'!$A$2:$A$25,0))</f>
        <v>Total</v>
      </c>
    </row>
    <row r="225" spans="1:33" x14ac:dyDescent="0.3">
      <c r="A225" s="16" t="s">
        <v>109</v>
      </c>
      <c r="B225" s="17">
        <v>2019</v>
      </c>
      <c r="C225" s="17">
        <v>19</v>
      </c>
      <c r="D225" s="17" t="s">
        <v>269</v>
      </c>
      <c r="E225" s="17">
        <v>7</v>
      </c>
      <c r="F225" s="31">
        <v>365000000</v>
      </c>
      <c r="G225" s="31">
        <v>348000000</v>
      </c>
      <c r="H225" s="31">
        <v>341000000</v>
      </c>
      <c r="I225" s="31">
        <v>348000000</v>
      </c>
      <c r="J225" s="31">
        <v>363000000</v>
      </c>
      <c r="K225" s="31">
        <v>405000000</v>
      </c>
      <c r="L225" s="31">
        <v>528000000</v>
      </c>
      <c r="M225" s="31">
        <v>678000000</v>
      </c>
      <c r="N225" s="31">
        <v>833000000</v>
      </c>
      <c r="O225" s="31">
        <v>904000000</v>
      </c>
      <c r="P225" s="31">
        <v>933000000</v>
      </c>
      <c r="Q225" s="31">
        <v>949000000</v>
      </c>
      <c r="R225" s="31">
        <v>942000000</v>
      </c>
      <c r="S225" s="31">
        <v>955000000</v>
      </c>
      <c r="T225" s="31">
        <v>964000000</v>
      </c>
      <c r="U225" s="31">
        <v>962000000</v>
      </c>
      <c r="V225" s="31">
        <v>934000000</v>
      </c>
      <c r="W225" s="31">
        <v>881000000</v>
      </c>
      <c r="X225" s="31">
        <v>834000000</v>
      </c>
      <c r="Y225" s="31">
        <v>731000000</v>
      </c>
      <c r="Z225" s="31">
        <v>639000000</v>
      </c>
      <c r="AA225" s="31">
        <v>551000000</v>
      </c>
      <c r="AB225" s="31">
        <v>481000000</v>
      </c>
      <c r="AC225" s="61">
        <v>421000000</v>
      </c>
      <c r="AD225" t="str">
        <f>INDEX('Category Mapping'!$G$28:$G$39,MATCH(E225,'Category Mapping'!$A$28:$A$39,0),1)</f>
        <v>Summer</v>
      </c>
      <c r="AE225" t="str">
        <f>INDEX('Category Mapping'!$B$2:$B$25,MATCH('Source Data'!A225,'Category Mapping'!$A$2:$A$25,0))</f>
        <v>Weekday</v>
      </c>
      <c r="AF225" t="str">
        <f>INDEX('Category Mapping'!$C$2:$C$25,MATCH('Source Data'!A225,'Category Mapping'!$A$2:$A$25,0))</f>
        <v>Commercial</v>
      </c>
      <c r="AG225" t="str">
        <f>INDEX('Category Mapping'!$D$2:$D$25,MATCH('Source Data'!A225,'Category Mapping'!$A$2:$A$25,0))</f>
        <v>Total</v>
      </c>
    </row>
    <row r="226" spans="1:33" x14ac:dyDescent="0.3">
      <c r="A226" s="18" t="s">
        <v>109</v>
      </c>
      <c r="B226" s="19">
        <v>2019</v>
      </c>
      <c r="C226" s="19">
        <v>19</v>
      </c>
      <c r="D226" s="19" t="s">
        <v>269</v>
      </c>
      <c r="E226" s="19">
        <v>8</v>
      </c>
      <c r="F226" s="30">
        <v>389000000</v>
      </c>
      <c r="G226" s="30">
        <v>369000000</v>
      </c>
      <c r="H226" s="30">
        <v>361000000</v>
      </c>
      <c r="I226" s="30">
        <v>369000000</v>
      </c>
      <c r="J226" s="30">
        <v>386000000</v>
      </c>
      <c r="K226" s="30">
        <v>431000000</v>
      </c>
      <c r="L226" s="30">
        <v>561000000</v>
      </c>
      <c r="M226" s="30">
        <v>720000000</v>
      </c>
      <c r="N226" s="30">
        <v>886000000</v>
      </c>
      <c r="O226" s="30">
        <v>965000000</v>
      </c>
      <c r="P226" s="30">
        <v>1000000000</v>
      </c>
      <c r="Q226" s="30">
        <v>1020000000</v>
      </c>
      <c r="R226" s="30">
        <v>1020000000</v>
      </c>
      <c r="S226" s="30">
        <v>1030000000</v>
      </c>
      <c r="T226" s="30">
        <v>1040000000</v>
      </c>
      <c r="U226" s="30">
        <v>1040000000</v>
      </c>
      <c r="V226" s="30">
        <v>1010000000</v>
      </c>
      <c r="W226" s="30">
        <v>952000000</v>
      </c>
      <c r="X226" s="30">
        <v>898000000</v>
      </c>
      <c r="Y226" s="30">
        <v>788000000</v>
      </c>
      <c r="Z226" s="30">
        <v>689000000</v>
      </c>
      <c r="AA226" s="30">
        <v>595000000</v>
      </c>
      <c r="AB226" s="30">
        <v>518000000</v>
      </c>
      <c r="AC226" s="62">
        <v>450000000</v>
      </c>
      <c r="AD226" t="str">
        <f>INDEX('Category Mapping'!$G$28:$G$39,MATCH(E226,'Category Mapping'!$A$28:$A$39,0),1)</f>
        <v>Summer</v>
      </c>
      <c r="AE226" t="str">
        <f>INDEX('Category Mapping'!$B$2:$B$25,MATCH('Source Data'!A226,'Category Mapping'!$A$2:$A$25,0))</f>
        <v>Weekday</v>
      </c>
      <c r="AF226" t="str">
        <f>INDEX('Category Mapping'!$C$2:$C$25,MATCH('Source Data'!A226,'Category Mapping'!$A$2:$A$25,0))</f>
        <v>Commercial</v>
      </c>
      <c r="AG226" t="str">
        <f>INDEX('Category Mapping'!$D$2:$D$25,MATCH('Source Data'!A226,'Category Mapping'!$A$2:$A$25,0))</f>
        <v>Total</v>
      </c>
    </row>
    <row r="227" spans="1:33" x14ac:dyDescent="0.3">
      <c r="A227" s="16" t="s">
        <v>109</v>
      </c>
      <c r="B227" s="17">
        <v>2019</v>
      </c>
      <c r="C227" s="17">
        <v>19</v>
      </c>
      <c r="D227" s="17" t="s">
        <v>269</v>
      </c>
      <c r="E227" s="17">
        <v>9</v>
      </c>
      <c r="F227" s="31">
        <v>208000000</v>
      </c>
      <c r="G227" s="31">
        <v>203000000</v>
      </c>
      <c r="H227" s="31">
        <v>201000000</v>
      </c>
      <c r="I227" s="31">
        <v>207000000</v>
      </c>
      <c r="J227" s="31">
        <v>216000000</v>
      </c>
      <c r="K227" s="31">
        <v>247000000</v>
      </c>
      <c r="L227" s="31">
        <v>350000000</v>
      </c>
      <c r="M227" s="31">
        <v>472000000</v>
      </c>
      <c r="N227" s="31">
        <v>589000000</v>
      </c>
      <c r="O227" s="31">
        <v>632000000</v>
      </c>
      <c r="P227" s="31">
        <v>643000000</v>
      </c>
      <c r="Q227" s="31">
        <v>649000000</v>
      </c>
      <c r="R227" s="31">
        <v>643000000</v>
      </c>
      <c r="S227" s="31">
        <v>648000000</v>
      </c>
      <c r="T227" s="31">
        <v>652000000</v>
      </c>
      <c r="U227" s="31">
        <v>651000000</v>
      </c>
      <c r="V227" s="31">
        <v>629000000</v>
      </c>
      <c r="W227" s="31">
        <v>590000000</v>
      </c>
      <c r="X227" s="31">
        <v>556000000</v>
      </c>
      <c r="Y227" s="31">
        <v>472000000</v>
      </c>
      <c r="Z227" s="31">
        <v>397000000</v>
      </c>
      <c r="AA227" s="31">
        <v>328000000</v>
      </c>
      <c r="AB227" s="31">
        <v>278000000</v>
      </c>
      <c r="AC227" s="61">
        <v>243000000</v>
      </c>
      <c r="AD227" t="str">
        <f>INDEX('Category Mapping'!$G$28:$G$39,MATCH(E227,'Category Mapping'!$A$28:$A$39,0),1)</f>
        <v>Fall</v>
      </c>
      <c r="AE227" t="str">
        <f>INDEX('Category Mapping'!$B$2:$B$25,MATCH('Source Data'!A227,'Category Mapping'!$A$2:$A$25,0))</f>
        <v>Weekday</v>
      </c>
      <c r="AF227" t="str">
        <f>INDEX('Category Mapping'!$C$2:$C$25,MATCH('Source Data'!A227,'Category Mapping'!$A$2:$A$25,0))</f>
        <v>Commercial</v>
      </c>
      <c r="AG227" t="str">
        <f>INDEX('Category Mapping'!$D$2:$D$25,MATCH('Source Data'!A227,'Category Mapping'!$A$2:$A$25,0))</f>
        <v>Total</v>
      </c>
    </row>
    <row r="228" spans="1:33" x14ac:dyDescent="0.3">
      <c r="A228" s="18" t="s">
        <v>109</v>
      </c>
      <c r="B228" s="19">
        <v>2019</v>
      </c>
      <c r="C228" s="19">
        <v>19</v>
      </c>
      <c r="D228" s="19" t="s">
        <v>269</v>
      </c>
      <c r="E228" s="19">
        <v>10</v>
      </c>
      <c r="F228" s="30">
        <v>168000000</v>
      </c>
      <c r="G228" s="30">
        <v>164000000</v>
      </c>
      <c r="H228" s="30">
        <v>163000000</v>
      </c>
      <c r="I228" s="30">
        <v>170000000</v>
      </c>
      <c r="J228" s="30">
        <v>179000000</v>
      </c>
      <c r="K228" s="30">
        <v>215000000</v>
      </c>
      <c r="L228" s="30">
        <v>328000000</v>
      </c>
      <c r="M228" s="30">
        <v>433000000</v>
      </c>
      <c r="N228" s="30">
        <v>519000000</v>
      </c>
      <c r="O228" s="30">
        <v>540000000</v>
      </c>
      <c r="P228" s="30">
        <v>534000000</v>
      </c>
      <c r="Q228" s="30">
        <v>530000000</v>
      </c>
      <c r="R228" s="30">
        <v>521000000</v>
      </c>
      <c r="S228" s="30">
        <v>520000000</v>
      </c>
      <c r="T228" s="30">
        <v>519000000</v>
      </c>
      <c r="U228" s="30">
        <v>519000000</v>
      </c>
      <c r="V228" s="30">
        <v>502000000</v>
      </c>
      <c r="W228" s="30">
        <v>473000000</v>
      </c>
      <c r="X228" s="30">
        <v>452000000</v>
      </c>
      <c r="Y228" s="30">
        <v>382000000</v>
      </c>
      <c r="Z228" s="30">
        <v>322000000</v>
      </c>
      <c r="AA228" s="30">
        <v>260000000</v>
      </c>
      <c r="AB228" s="30">
        <v>219000000</v>
      </c>
      <c r="AC228" s="62">
        <v>193000000</v>
      </c>
      <c r="AD228" t="str">
        <f>INDEX('Category Mapping'!$G$28:$G$39,MATCH(E228,'Category Mapping'!$A$28:$A$39,0),1)</f>
        <v>Fall</v>
      </c>
      <c r="AE228" t="str">
        <f>INDEX('Category Mapping'!$B$2:$B$25,MATCH('Source Data'!A228,'Category Mapping'!$A$2:$A$25,0))</f>
        <v>Weekday</v>
      </c>
      <c r="AF228" t="str">
        <f>INDEX('Category Mapping'!$C$2:$C$25,MATCH('Source Data'!A228,'Category Mapping'!$A$2:$A$25,0))</f>
        <v>Commercial</v>
      </c>
      <c r="AG228" t="str">
        <f>INDEX('Category Mapping'!$D$2:$D$25,MATCH('Source Data'!A228,'Category Mapping'!$A$2:$A$25,0))</f>
        <v>Total</v>
      </c>
    </row>
    <row r="229" spans="1:33" x14ac:dyDescent="0.3">
      <c r="A229" s="16" t="s">
        <v>109</v>
      </c>
      <c r="B229" s="17">
        <v>2019</v>
      </c>
      <c r="C229" s="17">
        <v>19</v>
      </c>
      <c r="D229" s="17" t="s">
        <v>269</v>
      </c>
      <c r="E229" s="17">
        <v>11</v>
      </c>
      <c r="F229" s="31">
        <v>179000000</v>
      </c>
      <c r="G229" s="31">
        <v>174000000</v>
      </c>
      <c r="H229" s="31">
        <v>171000000</v>
      </c>
      <c r="I229" s="31">
        <v>178000000</v>
      </c>
      <c r="J229" s="31">
        <v>188000000</v>
      </c>
      <c r="K229" s="31">
        <v>218000000</v>
      </c>
      <c r="L229" s="31">
        <v>317000000</v>
      </c>
      <c r="M229" s="31">
        <v>479000000</v>
      </c>
      <c r="N229" s="31">
        <v>567000000</v>
      </c>
      <c r="O229" s="31">
        <v>572000000</v>
      </c>
      <c r="P229" s="31">
        <v>560000000</v>
      </c>
      <c r="Q229" s="31">
        <v>553000000</v>
      </c>
      <c r="R229" s="31">
        <v>540000000</v>
      </c>
      <c r="S229" s="31">
        <v>539000000</v>
      </c>
      <c r="T229" s="31">
        <v>537000000</v>
      </c>
      <c r="U229" s="31">
        <v>536000000</v>
      </c>
      <c r="V229" s="31">
        <v>519000000</v>
      </c>
      <c r="W229" s="31">
        <v>490000000</v>
      </c>
      <c r="X229" s="31">
        <v>473000000</v>
      </c>
      <c r="Y229" s="31">
        <v>405000000</v>
      </c>
      <c r="Z229" s="31">
        <v>345000000</v>
      </c>
      <c r="AA229" s="31">
        <v>289000000</v>
      </c>
      <c r="AB229" s="31">
        <v>249000000</v>
      </c>
      <c r="AC229" s="61">
        <v>207000000</v>
      </c>
      <c r="AD229" t="str">
        <f>INDEX('Category Mapping'!$G$28:$G$39,MATCH(E229,'Category Mapping'!$A$28:$A$39,0),1)</f>
        <v>Winter</v>
      </c>
      <c r="AE229" t="str">
        <f>INDEX('Category Mapping'!$B$2:$B$25,MATCH('Source Data'!A229,'Category Mapping'!$A$2:$A$25,0))</f>
        <v>Weekday</v>
      </c>
      <c r="AF229" t="str">
        <f>INDEX('Category Mapping'!$C$2:$C$25,MATCH('Source Data'!A229,'Category Mapping'!$A$2:$A$25,0))</f>
        <v>Commercial</v>
      </c>
      <c r="AG229" t="str">
        <f>INDEX('Category Mapping'!$D$2:$D$25,MATCH('Source Data'!A229,'Category Mapping'!$A$2:$A$25,0))</f>
        <v>Total</v>
      </c>
    </row>
    <row r="230" spans="1:33" x14ac:dyDescent="0.3">
      <c r="A230" s="18" t="s">
        <v>109</v>
      </c>
      <c r="B230" s="19">
        <v>2019</v>
      </c>
      <c r="C230" s="19">
        <v>19</v>
      </c>
      <c r="D230" s="19" t="s">
        <v>269</v>
      </c>
      <c r="E230" s="19">
        <v>12</v>
      </c>
      <c r="F230" s="30">
        <v>191000000</v>
      </c>
      <c r="G230" s="30">
        <v>185000000</v>
      </c>
      <c r="H230" s="30">
        <v>181000000</v>
      </c>
      <c r="I230" s="30">
        <v>188000000</v>
      </c>
      <c r="J230" s="30">
        <v>200000000</v>
      </c>
      <c r="K230" s="30">
        <v>229000000</v>
      </c>
      <c r="L230" s="30">
        <v>332000000</v>
      </c>
      <c r="M230" s="30">
        <v>513000000</v>
      </c>
      <c r="N230" s="30">
        <v>614000000</v>
      </c>
      <c r="O230" s="30">
        <v>608000000</v>
      </c>
      <c r="P230" s="30">
        <v>591000000</v>
      </c>
      <c r="Q230" s="30">
        <v>581000000</v>
      </c>
      <c r="R230" s="30">
        <v>566000000</v>
      </c>
      <c r="S230" s="30">
        <v>563000000</v>
      </c>
      <c r="T230" s="30">
        <v>560000000</v>
      </c>
      <c r="U230" s="30">
        <v>559000000</v>
      </c>
      <c r="V230" s="30">
        <v>541000000</v>
      </c>
      <c r="W230" s="30">
        <v>512000000</v>
      </c>
      <c r="X230" s="30">
        <v>497000000</v>
      </c>
      <c r="Y230" s="30">
        <v>431000000</v>
      </c>
      <c r="Z230" s="30">
        <v>371000000</v>
      </c>
      <c r="AA230" s="30">
        <v>317000000</v>
      </c>
      <c r="AB230" s="30">
        <v>277000000</v>
      </c>
      <c r="AC230" s="62">
        <v>216000000</v>
      </c>
      <c r="AD230" t="str">
        <f>INDEX('Category Mapping'!$G$28:$G$39,MATCH(E230,'Category Mapping'!$A$28:$A$39,0),1)</f>
        <v>Winter</v>
      </c>
      <c r="AE230" t="str">
        <f>INDEX('Category Mapping'!$B$2:$B$25,MATCH('Source Data'!A230,'Category Mapping'!$A$2:$A$25,0))</f>
        <v>Weekday</v>
      </c>
      <c r="AF230" t="str">
        <f>INDEX('Category Mapping'!$C$2:$C$25,MATCH('Source Data'!A230,'Category Mapping'!$A$2:$A$25,0))</f>
        <v>Commercial</v>
      </c>
      <c r="AG230" t="str">
        <f>INDEX('Category Mapping'!$D$2:$D$25,MATCH('Source Data'!A230,'Category Mapping'!$A$2:$A$25,0))</f>
        <v>Total</v>
      </c>
    </row>
    <row r="231" spans="1:33" x14ac:dyDescent="0.3">
      <c r="A231" s="16" t="s">
        <v>110</v>
      </c>
      <c r="B231" s="17">
        <v>2019</v>
      </c>
      <c r="C231" s="17">
        <v>19</v>
      </c>
      <c r="D231" s="17" t="s">
        <v>269</v>
      </c>
      <c r="E231" s="17">
        <v>1</v>
      </c>
      <c r="F231" s="31">
        <v>91700000</v>
      </c>
      <c r="G231" s="31">
        <v>81500000</v>
      </c>
      <c r="H231" s="31">
        <v>79300000</v>
      </c>
      <c r="I231" s="31">
        <v>80700000</v>
      </c>
      <c r="J231" s="31">
        <v>82200000</v>
      </c>
      <c r="K231" s="31">
        <v>87800000</v>
      </c>
      <c r="L231" s="31">
        <v>99000000</v>
      </c>
      <c r="M231" s="31">
        <v>136000000</v>
      </c>
      <c r="N231" s="31">
        <v>159000000</v>
      </c>
      <c r="O231" s="31">
        <v>163000000</v>
      </c>
      <c r="P231" s="31">
        <v>156000000</v>
      </c>
      <c r="Q231" s="31">
        <v>153000000</v>
      </c>
      <c r="R231" s="31">
        <v>150000000</v>
      </c>
      <c r="S231" s="31">
        <v>144000000</v>
      </c>
      <c r="T231" s="31">
        <v>137000000</v>
      </c>
      <c r="U231" s="31">
        <v>129000000</v>
      </c>
      <c r="V231" s="31">
        <v>124000000</v>
      </c>
      <c r="W231" s="31">
        <v>126000000</v>
      </c>
      <c r="X231" s="31">
        <v>128000000</v>
      </c>
      <c r="Y231" s="31">
        <v>118000000</v>
      </c>
      <c r="Z231" s="31">
        <v>114000000</v>
      </c>
      <c r="AA231" s="31">
        <v>109000000</v>
      </c>
      <c r="AB231" s="31">
        <v>105000000</v>
      </c>
      <c r="AC231" s="61">
        <v>94600000</v>
      </c>
      <c r="AD231" t="str">
        <f>INDEX('Category Mapping'!$G$28:$G$39,MATCH(E231,'Category Mapping'!$A$28:$A$39,0),1)</f>
        <v>Winter</v>
      </c>
      <c r="AE231" t="str">
        <f>INDEX('Category Mapping'!$B$2:$B$25,MATCH('Source Data'!A231,'Category Mapping'!$A$2:$A$25,0))</f>
        <v>Weekend</v>
      </c>
      <c r="AF231" t="str">
        <f>INDEX('Category Mapping'!$C$2:$C$25,MATCH('Source Data'!A231,'Category Mapping'!$A$2:$A$25,0))</f>
        <v>Commercial</v>
      </c>
      <c r="AG231" t="str">
        <f>INDEX('Category Mapping'!$D$2:$D$25,MATCH('Source Data'!A231,'Category Mapping'!$A$2:$A$25,0))</f>
        <v>Total</v>
      </c>
    </row>
    <row r="232" spans="1:33" x14ac:dyDescent="0.3">
      <c r="A232" s="18" t="s">
        <v>110</v>
      </c>
      <c r="B232" s="19">
        <v>2019</v>
      </c>
      <c r="C232" s="19">
        <v>19</v>
      </c>
      <c r="D232" s="19" t="s">
        <v>269</v>
      </c>
      <c r="E232" s="19">
        <v>2</v>
      </c>
      <c r="F232" s="30">
        <v>89400000</v>
      </c>
      <c r="G232" s="30">
        <v>78600000</v>
      </c>
      <c r="H232" s="30">
        <v>76700000</v>
      </c>
      <c r="I232" s="30">
        <v>77700000</v>
      </c>
      <c r="J232" s="30">
        <v>79400000</v>
      </c>
      <c r="K232" s="30">
        <v>84500000</v>
      </c>
      <c r="L232" s="30">
        <v>95700000</v>
      </c>
      <c r="M232" s="30">
        <v>131000000</v>
      </c>
      <c r="N232" s="30">
        <v>153000000</v>
      </c>
      <c r="O232" s="30">
        <v>157000000</v>
      </c>
      <c r="P232" s="30">
        <v>150000000</v>
      </c>
      <c r="Q232" s="30">
        <v>148000000</v>
      </c>
      <c r="R232" s="30">
        <v>145000000</v>
      </c>
      <c r="S232" s="30">
        <v>139000000</v>
      </c>
      <c r="T232" s="30">
        <v>132000000</v>
      </c>
      <c r="U232" s="30">
        <v>124000000</v>
      </c>
      <c r="V232" s="30">
        <v>119000000</v>
      </c>
      <c r="W232" s="30">
        <v>121000000</v>
      </c>
      <c r="X232" s="30">
        <v>122000000</v>
      </c>
      <c r="Y232" s="30">
        <v>114000000</v>
      </c>
      <c r="Z232" s="30">
        <v>109000000</v>
      </c>
      <c r="AA232" s="30">
        <v>104000000</v>
      </c>
      <c r="AB232" s="30">
        <v>101000000</v>
      </c>
      <c r="AC232" s="62">
        <v>90500000</v>
      </c>
      <c r="AD232" t="str">
        <f>INDEX('Category Mapping'!$G$28:$G$39,MATCH(E232,'Category Mapping'!$A$28:$A$39,0),1)</f>
        <v>Winter</v>
      </c>
      <c r="AE232" t="str">
        <f>INDEX('Category Mapping'!$B$2:$B$25,MATCH('Source Data'!A232,'Category Mapping'!$A$2:$A$25,0))</f>
        <v>Weekend</v>
      </c>
      <c r="AF232" t="str">
        <f>INDEX('Category Mapping'!$C$2:$C$25,MATCH('Source Data'!A232,'Category Mapping'!$A$2:$A$25,0))</f>
        <v>Commercial</v>
      </c>
      <c r="AG232" t="str">
        <f>INDEX('Category Mapping'!$D$2:$D$25,MATCH('Source Data'!A232,'Category Mapping'!$A$2:$A$25,0))</f>
        <v>Total</v>
      </c>
    </row>
    <row r="233" spans="1:33" x14ac:dyDescent="0.3">
      <c r="A233" s="16" t="s">
        <v>110</v>
      </c>
      <c r="B233" s="17">
        <v>2019</v>
      </c>
      <c r="C233" s="17">
        <v>19</v>
      </c>
      <c r="D233" s="17" t="s">
        <v>269</v>
      </c>
      <c r="E233" s="17">
        <v>3</v>
      </c>
      <c r="F233" s="31">
        <v>87200000</v>
      </c>
      <c r="G233" s="31">
        <v>76200000</v>
      </c>
      <c r="H233" s="31">
        <v>75000000</v>
      </c>
      <c r="I233" s="31">
        <v>75900000</v>
      </c>
      <c r="J233" s="31">
        <v>77200000</v>
      </c>
      <c r="K233" s="31">
        <v>83100000</v>
      </c>
      <c r="L233" s="31">
        <v>98400000</v>
      </c>
      <c r="M233" s="31">
        <v>128000000</v>
      </c>
      <c r="N233" s="31">
        <v>143000000</v>
      </c>
      <c r="O233" s="31">
        <v>149000000</v>
      </c>
      <c r="P233" s="31">
        <v>144000000</v>
      </c>
      <c r="Q233" s="31">
        <v>142000000</v>
      </c>
      <c r="R233" s="31">
        <v>140000000</v>
      </c>
      <c r="S233" s="31">
        <v>134000000</v>
      </c>
      <c r="T233" s="31">
        <v>128000000</v>
      </c>
      <c r="U233" s="31">
        <v>120000000</v>
      </c>
      <c r="V233" s="31">
        <v>114000000</v>
      </c>
      <c r="W233" s="31">
        <v>116000000</v>
      </c>
      <c r="X233" s="31">
        <v>115000000</v>
      </c>
      <c r="Y233" s="31">
        <v>110000000</v>
      </c>
      <c r="Z233" s="31">
        <v>107000000</v>
      </c>
      <c r="AA233" s="31">
        <v>101000000</v>
      </c>
      <c r="AB233" s="31">
        <v>95800000</v>
      </c>
      <c r="AC233" s="61">
        <v>87800000</v>
      </c>
      <c r="AD233" t="str">
        <f>INDEX('Category Mapping'!$G$28:$G$39,MATCH(E233,'Category Mapping'!$A$28:$A$39,0),1)</f>
        <v>Spring</v>
      </c>
      <c r="AE233" t="str">
        <f>INDEX('Category Mapping'!$B$2:$B$25,MATCH('Source Data'!A233,'Category Mapping'!$A$2:$A$25,0))</f>
        <v>Weekend</v>
      </c>
      <c r="AF233" t="str">
        <f>INDEX('Category Mapping'!$C$2:$C$25,MATCH('Source Data'!A233,'Category Mapping'!$A$2:$A$25,0))</f>
        <v>Commercial</v>
      </c>
      <c r="AG233" t="str">
        <f>INDEX('Category Mapping'!$D$2:$D$25,MATCH('Source Data'!A233,'Category Mapping'!$A$2:$A$25,0))</f>
        <v>Total</v>
      </c>
    </row>
    <row r="234" spans="1:33" x14ac:dyDescent="0.3">
      <c r="A234" s="18" t="s">
        <v>110</v>
      </c>
      <c r="B234" s="19">
        <v>2019</v>
      </c>
      <c r="C234" s="19">
        <v>19</v>
      </c>
      <c r="D234" s="19" t="s">
        <v>269</v>
      </c>
      <c r="E234" s="19">
        <v>4</v>
      </c>
      <c r="F234" s="30">
        <v>83000000</v>
      </c>
      <c r="G234" s="30">
        <v>72600000</v>
      </c>
      <c r="H234" s="30">
        <v>71800000</v>
      </c>
      <c r="I234" s="30">
        <v>72600000</v>
      </c>
      <c r="J234" s="30">
        <v>73500000</v>
      </c>
      <c r="K234" s="30">
        <v>79100000</v>
      </c>
      <c r="L234" s="30">
        <v>93500000</v>
      </c>
      <c r="M234" s="30">
        <v>116000000</v>
      </c>
      <c r="N234" s="30">
        <v>127000000</v>
      </c>
      <c r="O234" s="30">
        <v>137000000</v>
      </c>
      <c r="P234" s="30">
        <v>134000000</v>
      </c>
      <c r="Q234" s="30">
        <v>133000000</v>
      </c>
      <c r="R234" s="30">
        <v>132000000</v>
      </c>
      <c r="S234" s="30">
        <v>127000000</v>
      </c>
      <c r="T234" s="30">
        <v>122000000</v>
      </c>
      <c r="U234" s="30">
        <v>113000000</v>
      </c>
      <c r="V234" s="30">
        <v>108000000</v>
      </c>
      <c r="W234" s="30">
        <v>109000000</v>
      </c>
      <c r="X234" s="30">
        <v>107000000</v>
      </c>
      <c r="Y234" s="30">
        <v>105000000</v>
      </c>
      <c r="Z234" s="30">
        <v>101000000</v>
      </c>
      <c r="AA234" s="30">
        <v>95100000</v>
      </c>
      <c r="AB234" s="30">
        <v>89900000</v>
      </c>
      <c r="AC234" s="62">
        <v>83000000</v>
      </c>
      <c r="AD234" t="str">
        <f>INDEX('Category Mapping'!$G$28:$G$39,MATCH(E234,'Category Mapping'!$A$28:$A$39,0),1)</f>
        <v>Spring</v>
      </c>
      <c r="AE234" t="str">
        <f>INDEX('Category Mapping'!$B$2:$B$25,MATCH('Source Data'!A234,'Category Mapping'!$A$2:$A$25,0))</f>
        <v>Weekend</v>
      </c>
      <c r="AF234" t="str">
        <f>INDEX('Category Mapping'!$C$2:$C$25,MATCH('Source Data'!A234,'Category Mapping'!$A$2:$A$25,0))</f>
        <v>Commercial</v>
      </c>
      <c r="AG234" t="str">
        <f>INDEX('Category Mapping'!$D$2:$D$25,MATCH('Source Data'!A234,'Category Mapping'!$A$2:$A$25,0))</f>
        <v>Total</v>
      </c>
    </row>
    <row r="235" spans="1:33" x14ac:dyDescent="0.3">
      <c r="A235" s="16" t="s">
        <v>110</v>
      </c>
      <c r="B235" s="17">
        <v>2019</v>
      </c>
      <c r="C235" s="17">
        <v>19</v>
      </c>
      <c r="D235" s="17" t="s">
        <v>269</v>
      </c>
      <c r="E235" s="17">
        <v>5</v>
      </c>
      <c r="F235" s="31">
        <v>82800000</v>
      </c>
      <c r="G235" s="31">
        <v>72900000</v>
      </c>
      <c r="H235" s="31">
        <v>72100000</v>
      </c>
      <c r="I235" s="31">
        <v>72700000</v>
      </c>
      <c r="J235" s="31">
        <v>73600000</v>
      </c>
      <c r="K235" s="31">
        <v>78500000</v>
      </c>
      <c r="L235" s="31">
        <v>88200000</v>
      </c>
      <c r="M235" s="31">
        <v>110000000</v>
      </c>
      <c r="N235" s="31">
        <v>123000000</v>
      </c>
      <c r="O235" s="31">
        <v>135000000</v>
      </c>
      <c r="P235" s="31">
        <v>133000000</v>
      </c>
      <c r="Q235" s="31">
        <v>134000000</v>
      </c>
      <c r="R235" s="31">
        <v>134000000</v>
      </c>
      <c r="S235" s="31">
        <v>130000000</v>
      </c>
      <c r="T235" s="31">
        <v>124000000</v>
      </c>
      <c r="U235" s="31">
        <v>116000000</v>
      </c>
      <c r="V235" s="31">
        <v>110000000</v>
      </c>
      <c r="W235" s="31">
        <v>111000000</v>
      </c>
      <c r="X235" s="31">
        <v>109000000</v>
      </c>
      <c r="Y235" s="31">
        <v>105000000</v>
      </c>
      <c r="Z235" s="31">
        <v>101000000</v>
      </c>
      <c r="AA235" s="31">
        <v>94200000</v>
      </c>
      <c r="AB235" s="31">
        <v>89600000</v>
      </c>
      <c r="AC235" s="61">
        <v>82400000</v>
      </c>
      <c r="AD235" t="str">
        <f>INDEX('Category Mapping'!$G$28:$G$39,MATCH(E235,'Category Mapping'!$A$28:$A$39,0),1)</f>
        <v>Spring</v>
      </c>
      <c r="AE235" t="str">
        <f>INDEX('Category Mapping'!$B$2:$B$25,MATCH('Source Data'!A235,'Category Mapping'!$A$2:$A$25,0))</f>
        <v>Weekend</v>
      </c>
      <c r="AF235" t="str">
        <f>INDEX('Category Mapping'!$C$2:$C$25,MATCH('Source Data'!A235,'Category Mapping'!$A$2:$A$25,0))</f>
        <v>Commercial</v>
      </c>
      <c r="AG235" t="str">
        <f>INDEX('Category Mapping'!$D$2:$D$25,MATCH('Source Data'!A235,'Category Mapping'!$A$2:$A$25,0))</f>
        <v>Total</v>
      </c>
    </row>
    <row r="236" spans="1:33" x14ac:dyDescent="0.3">
      <c r="A236" s="18" t="s">
        <v>110</v>
      </c>
      <c r="B236" s="19">
        <v>2019</v>
      </c>
      <c r="C236" s="19">
        <v>19</v>
      </c>
      <c r="D236" s="19" t="s">
        <v>269</v>
      </c>
      <c r="E236" s="19">
        <v>6</v>
      </c>
      <c r="F236" s="30">
        <v>111000000</v>
      </c>
      <c r="G236" s="30">
        <v>99800000</v>
      </c>
      <c r="H236" s="30">
        <v>98600000</v>
      </c>
      <c r="I236" s="30">
        <v>99200000</v>
      </c>
      <c r="J236" s="30">
        <v>101000000</v>
      </c>
      <c r="K236" s="30">
        <v>107000000</v>
      </c>
      <c r="L236" s="30">
        <v>121000000</v>
      </c>
      <c r="M236" s="30">
        <v>149000000</v>
      </c>
      <c r="N236" s="30">
        <v>172000000</v>
      </c>
      <c r="O236" s="30">
        <v>191000000</v>
      </c>
      <c r="P236" s="30">
        <v>196000000</v>
      </c>
      <c r="Q236" s="30">
        <v>202000000</v>
      </c>
      <c r="R236" s="30">
        <v>205000000</v>
      </c>
      <c r="S236" s="30">
        <v>203000000</v>
      </c>
      <c r="T236" s="30">
        <v>198000000</v>
      </c>
      <c r="U236" s="30">
        <v>189000000</v>
      </c>
      <c r="V236" s="30">
        <v>181000000</v>
      </c>
      <c r="W236" s="30">
        <v>178000000</v>
      </c>
      <c r="X236" s="30">
        <v>171000000</v>
      </c>
      <c r="Y236" s="30">
        <v>161000000</v>
      </c>
      <c r="Z236" s="30">
        <v>149000000</v>
      </c>
      <c r="AA236" s="30">
        <v>136000000</v>
      </c>
      <c r="AB236" s="30">
        <v>126000000</v>
      </c>
      <c r="AC236" s="62">
        <v>113000000</v>
      </c>
      <c r="AD236" t="str">
        <f>INDEX('Category Mapping'!$G$28:$G$39,MATCH(E236,'Category Mapping'!$A$28:$A$39,0),1)</f>
        <v>Summer</v>
      </c>
      <c r="AE236" t="str">
        <f>INDEX('Category Mapping'!$B$2:$B$25,MATCH('Source Data'!A236,'Category Mapping'!$A$2:$A$25,0))</f>
        <v>Weekend</v>
      </c>
      <c r="AF236" t="str">
        <f>INDEX('Category Mapping'!$C$2:$C$25,MATCH('Source Data'!A236,'Category Mapping'!$A$2:$A$25,0))</f>
        <v>Commercial</v>
      </c>
      <c r="AG236" t="str">
        <f>INDEX('Category Mapping'!$D$2:$D$25,MATCH('Source Data'!A236,'Category Mapping'!$A$2:$A$25,0))</f>
        <v>Total</v>
      </c>
    </row>
    <row r="237" spans="1:33" x14ac:dyDescent="0.3">
      <c r="A237" s="16" t="s">
        <v>110</v>
      </c>
      <c r="B237" s="17">
        <v>2019</v>
      </c>
      <c r="C237" s="17">
        <v>19</v>
      </c>
      <c r="D237" s="17" t="s">
        <v>269</v>
      </c>
      <c r="E237" s="17">
        <v>7</v>
      </c>
      <c r="F237" s="31">
        <v>182000000</v>
      </c>
      <c r="G237" s="31">
        <v>168000000</v>
      </c>
      <c r="H237" s="31">
        <v>165000000</v>
      </c>
      <c r="I237" s="31">
        <v>167000000</v>
      </c>
      <c r="J237" s="31">
        <v>171000000</v>
      </c>
      <c r="K237" s="31">
        <v>182000000</v>
      </c>
      <c r="L237" s="31">
        <v>200000000</v>
      </c>
      <c r="M237" s="31">
        <v>235000000</v>
      </c>
      <c r="N237" s="31">
        <v>265000000</v>
      </c>
      <c r="O237" s="31">
        <v>290000000</v>
      </c>
      <c r="P237" s="31">
        <v>300000000</v>
      </c>
      <c r="Q237" s="31">
        <v>309000000</v>
      </c>
      <c r="R237" s="31">
        <v>315000000</v>
      </c>
      <c r="S237" s="31">
        <v>314000000</v>
      </c>
      <c r="T237" s="31">
        <v>310000000</v>
      </c>
      <c r="U237" s="31">
        <v>300000000</v>
      </c>
      <c r="V237" s="31">
        <v>291000000</v>
      </c>
      <c r="W237" s="31">
        <v>284000000</v>
      </c>
      <c r="X237" s="31">
        <v>273000000</v>
      </c>
      <c r="Y237" s="31">
        <v>258000000</v>
      </c>
      <c r="Z237" s="31">
        <v>242000000</v>
      </c>
      <c r="AA237" s="31">
        <v>224000000</v>
      </c>
      <c r="AB237" s="31">
        <v>208000000</v>
      </c>
      <c r="AC237" s="61">
        <v>190000000</v>
      </c>
      <c r="AD237" t="str">
        <f>INDEX('Category Mapping'!$G$28:$G$39,MATCH(E237,'Category Mapping'!$A$28:$A$39,0),1)</f>
        <v>Summer</v>
      </c>
      <c r="AE237" t="str">
        <f>INDEX('Category Mapping'!$B$2:$B$25,MATCH('Source Data'!A237,'Category Mapping'!$A$2:$A$25,0))</f>
        <v>Weekend</v>
      </c>
      <c r="AF237" t="str">
        <f>INDEX('Category Mapping'!$C$2:$C$25,MATCH('Source Data'!A237,'Category Mapping'!$A$2:$A$25,0))</f>
        <v>Commercial</v>
      </c>
      <c r="AG237" t="str">
        <f>INDEX('Category Mapping'!$D$2:$D$25,MATCH('Source Data'!A237,'Category Mapping'!$A$2:$A$25,0))</f>
        <v>Total</v>
      </c>
    </row>
    <row r="238" spans="1:33" x14ac:dyDescent="0.3">
      <c r="A238" s="18" t="s">
        <v>110</v>
      </c>
      <c r="B238" s="19">
        <v>2019</v>
      </c>
      <c r="C238" s="19">
        <v>19</v>
      </c>
      <c r="D238" s="19" t="s">
        <v>269</v>
      </c>
      <c r="E238" s="19">
        <v>8</v>
      </c>
      <c r="F238" s="30">
        <v>194000000</v>
      </c>
      <c r="G238" s="30">
        <v>178000000</v>
      </c>
      <c r="H238" s="30">
        <v>175000000</v>
      </c>
      <c r="I238" s="30">
        <v>177000000</v>
      </c>
      <c r="J238" s="30">
        <v>182000000</v>
      </c>
      <c r="K238" s="30">
        <v>195000000</v>
      </c>
      <c r="L238" s="30">
        <v>215000000</v>
      </c>
      <c r="M238" s="30">
        <v>254000000</v>
      </c>
      <c r="N238" s="30">
        <v>288000000</v>
      </c>
      <c r="O238" s="30">
        <v>316000000</v>
      </c>
      <c r="P238" s="30">
        <v>329000000</v>
      </c>
      <c r="Q238" s="30">
        <v>340000000</v>
      </c>
      <c r="R238" s="30">
        <v>348000000</v>
      </c>
      <c r="S238" s="30">
        <v>348000000</v>
      </c>
      <c r="T238" s="30">
        <v>344000000</v>
      </c>
      <c r="U238" s="30">
        <v>334000000</v>
      </c>
      <c r="V238" s="30">
        <v>323000000</v>
      </c>
      <c r="W238" s="30">
        <v>314000000</v>
      </c>
      <c r="X238" s="30">
        <v>301000000</v>
      </c>
      <c r="Y238" s="30">
        <v>283000000</v>
      </c>
      <c r="Z238" s="30">
        <v>264000000</v>
      </c>
      <c r="AA238" s="30">
        <v>243000000</v>
      </c>
      <c r="AB238" s="30">
        <v>224000000</v>
      </c>
      <c r="AC238" s="62">
        <v>204000000</v>
      </c>
      <c r="AD238" t="str">
        <f>INDEX('Category Mapping'!$G$28:$G$39,MATCH(E238,'Category Mapping'!$A$28:$A$39,0),1)</f>
        <v>Summer</v>
      </c>
      <c r="AE238" t="str">
        <f>INDEX('Category Mapping'!$B$2:$B$25,MATCH('Source Data'!A238,'Category Mapping'!$A$2:$A$25,0))</f>
        <v>Weekend</v>
      </c>
      <c r="AF238" t="str">
        <f>INDEX('Category Mapping'!$C$2:$C$25,MATCH('Source Data'!A238,'Category Mapping'!$A$2:$A$25,0))</f>
        <v>Commercial</v>
      </c>
      <c r="AG238" t="str">
        <f>INDEX('Category Mapping'!$D$2:$D$25,MATCH('Source Data'!A238,'Category Mapping'!$A$2:$A$25,0))</f>
        <v>Total</v>
      </c>
    </row>
    <row r="239" spans="1:33" x14ac:dyDescent="0.3">
      <c r="A239" s="16" t="s">
        <v>110</v>
      </c>
      <c r="B239" s="17">
        <v>2019</v>
      </c>
      <c r="C239" s="17">
        <v>19</v>
      </c>
      <c r="D239" s="17" t="s">
        <v>269</v>
      </c>
      <c r="E239" s="17">
        <v>9</v>
      </c>
      <c r="F239" s="31">
        <v>105000000</v>
      </c>
      <c r="G239" s="31">
        <v>94700000</v>
      </c>
      <c r="H239" s="31">
        <v>93600000</v>
      </c>
      <c r="I239" s="31">
        <v>94200000</v>
      </c>
      <c r="J239" s="31">
        <v>95200000</v>
      </c>
      <c r="K239" s="31">
        <v>100000000</v>
      </c>
      <c r="L239" s="31">
        <v>111000000</v>
      </c>
      <c r="M239" s="31">
        <v>138000000</v>
      </c>
      <c r="N239" s="31">
        <v>158000000</v>
      </c>
      <c r="O239" s="31">
        <v>175000000</v>
      </c>
      <c r="P239" s="31">
        <v>179000000</v>
      </c>
      <c r="Q239" s="31">
        <v>183000000</v>
      </c>
      <c r="R239" s="31">
        <v>186000000</v>
      </c>
      <c r="S239" s="31">
        <v>183000000</v>
      </c>
      <c r="T239" s="31">
        <v>178000000</v>
      </c>
      <c r="U239" s="31">
        <v>169000000</v>
      </c>
      <c r="V239" s="31">
        <v>162000000</v>
      </c>
      <c r="W239" s="31">
        <v>159000000</v>
      </c>
      <c r="X239" s="31">
        <v>153000000</v>
      </c>
      <c r="Y239" s="31">
        <v>145000000</v>
      </c>
      <c r="Z239" s="31">
        <v>135000000</v>
      </c>
      <c r="AA239" s="31">
        <v>124000000</v>
      </c>
      <c r="AB239" s="31">
        <v>116000000</v>
      </c>
      <c r="AC239" s="61">
        <v>106000000</v>
      </c>
      <c r="AD239" t="str">
        <f>INDEX('Category Mapping'!$G$28:$G$39,MATCH(E239,'Category Mapping'!$A$28:$A$39,0),1)</f>
        <v>Fall</v>
      </c>
      <c r="AE239" t="str">
        <f>INDEX('Category Mapping'!$B$2:$B$25,MATCH('Source Data'!A239,'Category Mapping'!$A$2:$A$25,0))</f>
        <v>Weekend</v>
      </c>
      <c r="AF239" t="str">
        <f>INDEX('Category Mapping'!$C$2:$C$25,MATCH('Source Data'!A239,'Category Mapping'!$A$2:$A$25,0))</f>
        <v>Commercial</v>
      </c>
      <c r="AG239" t="str">
        <f>INDEX('Category Mapping'!$D$2:$D$25,MATCH('Source Data'!A239,'Category Mapping'!$A$2:$A$25,0))</f>
        <v>Total</v>
      </c>
    </row>
    <row r="240" spans="1:33" x14ac:dyDescent="0.3">
      <c r="A240" s="18" t="s">
        <v>110</v>
      </c>
      <c r="B240" s="19">
        <v>2019</v>
      </c>
      <c r="C240" s="19">
        <v>19</v>
      </c>
      <c r="D240" s="19" t="s">
        <v>269</v>
      </c>
      <c r="E240" s="19">
        <v>10</v>
      </c>
      <c r="F240" s="30">
        <v>82200000</v>
      </c>
      <c r="G240" s="30">
        <v>72000000</v>
      </c>
      <c r="H240" s="30">
        <v>71200000</v>
      </c>
      <c r="I240" s="30">
        <v>71900000</v>
      </c>
      <c r="J240" s="30">
        <v>72800000</v>
      </c>
      <c r="K240" s="30">
        <v>78100000</v>
      </c>
      <c r="L240" s="30">
        <v>90800000</v>
      </c>
      <c r="M240" s="30">
        <v>113000000</v>
      </c>
      <c r="N240" s="30">
        <v>126000000</v>
      </c>
      <c r="O240" s="30">
        <v>135000000</v>
      </c>
      <c r="P240" s="30">
        <v>133000000</v>
      </c>
      <c r="Q240" s="30">
        <v>133000000</v>
      </c>
      <c r="R240" s="30">
        <v>132000000</v>
      </c>
      <c r="S240" s="30">
        <v>127000000</v>
      </c>
      <c r="T240" s="30">
        <v>121000000</v>
      </c>
      <c r="U240" s="30">
        <v>112000000</v>
      </c>
      <c r="V240" s="30">
        <v>107000000</v>
      </c>
      <c r="W240" s="30">
        <v>109000000</v>
      </c>
      <c r="X240" s="30">
        <v>107000000</v>
      </c>
      <c r="Y240" s="30">
        <v>105000000</v>
      </c>
      <c r="Z240" s="30">
        <v>101000000</v>
      </c>
      <c r="AA240" s="30">
        <v>94200000</v>
      </c>
      <c r="AB240" s="30">
        <v>89100000</v>
      </c>
      <c r="AC240" s="62">
        <v>82100000</v>
      </c>
      <c r="AD240" t="str">
        <f>INDEX('Category Mapping'!$G$28:$G$39,MATCH(E240,'Category Mapping'!$A$28:$A$39,0),1)</f>
        <v>Fall</v>
      </c>
      <c r="AE240" t="str">
        <f>INDEX('Category Mapping'!$B$2:$B$25,MATCH('Source Data'!A240,'Category Mapping'!$A$2:$A$25,0))</f>
        <v>Weekend</v>
      </c>
      <c r="AF240" t="str">
        <f>INDEX('Category Mapping'!$C$2:$C$25,MATCH('Source Data'!A240,'Category Mapping'!$A$2:$A$25,0))</f>
        <v>Commercial</v>
      </c>
      <c r="AG240" t="str">
        <f>INDEX('Category Mapping'!$D$2:$D$25,MATCH('Source Data'!A240,'Category Mapping'!$A$2:$A$25,0))</f>
        <v>Total</v>
      </c>
    </row>
    <row r="241" spans="1:33" x14ac:dyDescent="0.3">
      <c r="A241" s="16" t="s">
        <v>110</v>
      </c>
      <c r="B241" s="17">
        <v>2019</v>
      </c>
      <c r="C241" s="17">
        <v>19</v>
      </c>
      <c r="D241" s="17" t="s">
        <v>269</v>
      </c>
      <c r="E241" s="17">
        <v>11</v>
      </c>
      <c r="F241" s="31">
        <v>86100000</v>
      </c>
      <c r="G241" s="31">
        <v>75500000</v>
      </c>
      <c r="H241" s="31">
        <v>74000000</v>
      </c>
      <c r="I241" s="31">
        <v>74800000</v>
      </c>
      <c r="J241" s="31">
        <v>76000000</v>
      </c>
      <c r="K241" s="31">
        <v>81200000</v>
      </c>
      <c r="L241" s="31">
        <v>93500000</v>
      </c>
      <c r="M241" s="31">
        <v>123000000</v>
      </c>
      <c r="N241" s="31">
        <v>138000000</v>
      </c>
      <c r="O241" s="31">
        <v>145000000</v>
      </c>
      <c r="P241" s="31">
        <v>141000000</v>
      </c>
      <c r="Q241" s="31">
        <v>140000000</v>
      </c>
      <c r="R241" s="31">
        <v>138000000</v>
      </c>
      <c r="S241" s="31">
        <v>132000000</v>
      </c>
      <c r="T241" s="31">
        <v>126000000</v>
      </c>
      <c r="U241" s="31">
        <v>118000000</v>
      </c>
      <c r="V241" s="31">
        <v>113000000</v>
      </c>
      <c r="W241" s="31">
        <v>115000000</v>
      </c>
      <c r="X241" s="31">
        <v>115000000</v>
      </c>
      <c r="Y241" s="31">
        <v>110000000</v>
      </c>
      <c r="Z241" s="31">
        <v>106000000</v>
      </c>
      <c r="AA241" s="31">
        <v>100000000</v>
      </c>
      <c r="AB241" s="31">
        <v>95500000</v>
      </c>
      <c r="AC241" s="61">
        <v>86600000</v>
      </c>
      <c r="AD241" t="str">
        <f>INDEX('Category Mapping'!$G$28:$G$39,MATCH(E241,'Category Mapping'!$A$28:$A$39,0),1)</f>
        <v>Winter</v>
      </c>
      <c r="AE241" t="str">
        <f>INDEX('Category Mapping'!$B$2:$B$25,MATCH('Source Data'!A241,'Category Mapping'!$A$2:$A$25,0))</f>
        <v>Weekend</v>
      </c>
      <c r="AF241" t="str">
        <f>INDEX('Category Mapping'!$C$2:$C$25,MATCH('Source Data'!A241,'Category Mapping'!$A$2:$A$25,0))</f>
        <v>Commercial</v>
      </c>
      <c r="AG241" t="str">
        <f>INDEX('Category Mapping'!$D$2:$D$25,MATCH('Source Data'!A241,'Category Mapping'!$A$2:$A$25,0))</f>
        <v>Total</v>
      </c>
    </row>
    <row r="242" spans="1:33" x14ac:dyDescent="0.3">
      <c r="A242" s="18" t="s">
        <v>110</v>
      </c>
      <c r="B242" s="19">
        <v>2019</v>
      </c>
      <c r="C242" s="19">
        <v>19</v>
      </c>
      <c r="D242" s="19" t="s">
        <v>269</v>
      </c>
      <c r="E242" s="19">
        <v>12</v>
      </c>
      <c r="F242" s="30">
        <v>89800000</v>
      </c>
      <c r="G242" s="30">
        <v>78900000</v>
      </c>
      <c r="H242" s="30">
        <v>76900000</v>
      </c>
      <c r="I242" s="30">
        <v>77900000</v>
      </c>
      <c r="J242" s="30">
        <v>79500000</v>
      </c>
      <c r="K242" s="30">
        <v>84700000</v>
      </c>
      <c r="L242" s="30">
        <v>95900000</v>
      </c>
      <c r="M242" s="30">
        <v>132000000</v>
      </c>
      <c r="N242" s="30">
        <v>153000000</v>
      </c>
      <c r="O242" s="30">
        <v>158000000</v>
      </c>
      <c r="P242" s="30">
        <v>152000000</v>
      </c>
      <c r="Q242" s="30">
        <v>149000000</v>
      </c>
      <c r="R242" s="30">
        <v>147000000</v>
      </c>
      <c r="S242" s="30">
        <v>140000000</v>
      </c>
      <c r="T242" s="30">
        <v>134000000</v>
      </c>
      <c r="U242" s="30">
        <v>126000000</v>
      </c>
      <c r="V242" s="30">
        <v>121000000</v>
      </c>
      <c r="W242" s="30">
        <v>124000000</v>
      </c>
      <c r="X242" s="30">
        <v>126000000</v>
      </c>
      <c r="Y242" s="30">
        <v>116000000</v>
      </c>
      <c r="Z242" s="30">
        <v>112000000</v>
      </c>
      <c r="AA242" s="30">
        <v>106000000</v>
      </c>
      <c r="AB242" s="30">
        <v>102000000</v>
      </c>
      <c r="AC242" s="62">
        <v>91900000</v>
      </c>
      <c r="AD242" t="str">
        <f>INDEX('Category Mapping'!$G$28:$G$39,MATCH(E242,'Category Mapping'!$A$28:$A$39,0),1)</f>
        <v>Winter</v>
      </c>
      <c r="AE242" t="str">
        <f>INDEX('Category Mapping'!$B$2:$B$25,MATCH('Source Data'!A242,'Category Mapping'!$A$2:$A$25,0))</f>
        <v>Weekend</v>
      </c>
      <c r="AF242" t="str">
        <f>INDEX('Category Mapping'!$C$2:$C$25,MATCH('Source Data'!A242,'Category Mapping'!$A$2:$A$25,0))</f>
        <v>Commercial</v>
      </c>
      <c r="AG242" t="str">
        <f>INDEX('Category Mapping'!$D$2:$D$25,MATCH('Source Data'!A242,'Category Mapping'!$A$2:$A$25,0))</f>
        <v>Total</v>
      </c>
    </row>
    <row r="243" spans="1:33" x14ac:dyDescent="0.3">
      <c r="A243" s="16" t="s">
        <v>111</v>
      </c>
      <c r="B243" s="17">
        <v>2019</v>
      </c>
      <c r="C243" s="17">
        <v>19</v>
      </c>
      <c r="D243" s="17" t="s">
        <v>269</v>
      </c>
      <c r="E243" s="17">
        <v>1</v>
      </c>
      <c r="F243" s="31">
        <v>1020000000</v>
      </c>
      <c r="G243" s="31">
        <v>992000000</v>
      </c>
      <c r="H243" s="31">
        <v>977000000</v>
      </c>
      <c r="I243" s="31">
        <v>980000000</v>
      </c>
      <c r="J243" s="31">
        <v>999000000</v>
      </c>
      <c r="K243" s="31">
        <v>1060000000</v>
      </c>
      <c r="L243" s="31">
        <v>1240000000</v>
      </c>
      <c r="M243" s="31">
        <v>1450000000</v>
      </c>
      <c r="N243" s="31">
        <v>1530000000</v>
      </c>
      <c r="O243" s="31">
        <v>1510000000</v>
      </c>
      <c r="P243" s="31">
        <v>1490000000</v>
      </c>
      <c r="Q243" s="31">
        <v>1470000000</v>
      </c>
      <c r="R243" s="31">
        <v>1450000000</v>
      </c>
      <c r="S243" s="31">
        <v>1450000000</v>
      </c>
      <c r="T243" s="31">
        <v>1450000000</v>
      </c>
      <c r="U243" s="31">
        <v>1470000000</v>
      </c>
      <c r="V243" s="31">
        <v>1520000000</v>
      </c>
      <c r="W243" s="31">
        <v>1520000000</v>
      </c>
      <c r="X243" s="31">
        <v>1500000000</v>
      </c>
      <c r="Y243" s="31">
        <v>1430000000</v>
      </c>
      <c r="Z243" s="31">
        <v>1360000000</v>
      </c>
      <c r="AA243" s="31">
        <v>1290000000</v>
      </c>
      <c r="AB243" s="31">
        <v>1180000000</v>
      </c>
      <c r="AC243" s="61">
        <v>1070000000</v>
      </c>
      <c r="AD243" t="str">
        <f>INDEX('Category Mapping'!$G$28:$G$39,MATCH(E243,'Category Mapping'!$A$28:$A$39,0),1)</f>
        <v>Winter</v>
      </c>
      <c r="AE243" t="str">
        <f>INDEX('Category Mapping'!$B$2:$B$25,MATCH('Source Data'!A243,'Category Mapping'!$A$2:$A$25,0))</f>
        <v>Weekday</v>
      </c>
      <c r="AF243" t="str">
        <f>INDEX('Category Mapping'!$C$2:$C$25,MATCH('Source Data'!A243,'Category Mapping'!$A$2:$A$25,0))</f>
        <v>All Sectors</v>
      </c>
      <c r="AG243" t="str">
        <f>INDEX('Category Mapping'!$D$2:$D$25,MATCH('Source Data'!A243,'Category Mapping'!$A$2:$A$25,0))</f>
        <v>Total</v>
      </c>
    </row>
    <row r="244" spans="1:33" x14ac:dyDescent="0.3">
      <c r="A244" s="18" t="s">
        <v>111</v>
      </c>
      <c r="B244" s="19">
        <v>2019</v>
      </c>
      <c r="C244" s="19">
        <v>19</v>
      </c>
      <c r="D244" s="19" t="s">
        <v>269</v>
      </c>
      <c r="E244" s="19">
        <v>2</v>
      </c>
      <c r="F244" s="30">
        <v>1010000000</v>
      </c>
      <c r="G244" s="30">
        <v>982000000</v>
      </c>
      <c r="H244" s="30">
        <v>967000000</v>
      </c>
      <c r="I244" s="30">
        <v>969000000</v>
      </c>
      <c r="J244" s="30">
        <v>988000000</v>
      </c>
      <c r="K244" s="30">
        <v>1050000000</v>
      </c>
      <c r="L244" s="30">
        <v>1220000000</v>
      </c>
      <c r="M244" s="30">
        <v>1400000000</v>
      </c>
      <c r="N244" s="30">
        <v>1500000000</v>
      </c>
      <c r="O244" s="30">
        <v>1490000000</v>
      </c>
      <c r="P244" s="30">
        <v>1460000000</v>
      </c>
      <c r="Q244" s="30">
        <v>1450000000</v>
      </c>
      <c r="R244" s="30">
        <v>1430000000</v>
      </c>
      <c r="S244" s="30">
        <v>1430000000</v>
      </c>
      <c r="T244" s="30">
        <v>1430000000</v>
      </c>
      <c r="U244" s="30">
        <v>1450000000</v>
      </c>
      <c r="V244" s="30">
        <v>1480000000</v>
      </c>
      <c r="W244" s="30">
        <v>1500000000</v>
      </c>
      <c r="X244" s="30">
        <v>1480000000</v>
      </c>
      <c r="Y244" s="30">
        <v>1400000000</v>
      </c>
      <c r="Z244" s="30">
        <v>1340000000</v>
      </c>
      <c r="AA244" s="30">
        <v>1260000000</v>
      </c>
      <c r="AB244" s="30">
        <v>1160000000</v>
      </c>
      <c r="AC244" s="62">
        <v>1060000000</v>
      </c>
      <c r="AD244" t="str">
        <f>INDEX('Category Mapping'!$G$28:$G$39,MATCH(E244,'Category Mapping'!$A$28:$A$39,0),1)</f>
        <v>Winter</v>
      </c>
      <c r="AE244" t="str">
        <f>INDEX('Category Mapping'!$B$2:$B$25,MATCH('Source Data'!A244,'Category Mapping'!$A$2:$A$25,0))</f>
        <v>Weekday</v>
      </c>
      <c r="AF244" t="str">
        <f>INDEX('Category Mapping'!$C$2:$C$25,MATCH('Source Data'!A244,'Category Mapping'!$A$2:$A$25,0))</f>
        <v>All Sectors</v>
      </c>
      <c r="AG244" t="str">
        <f>INDEX('Category Mapping'!$D$2:$D$25,MATCH('Source Data'!A244,'Category Mapping'!$A$2:$A$25,0))</f>
        <v>Total</v>
      </c>
    </row>
    <row r="245" spans="1:33" x14ac:dyDescent="0.3">
      <c r="A245" s="16" t="s">
        <v>111</v>
      </c>
      <c r="B245" s="17">
        <v>2019</v>
      </c>
      <c r="C245" s="17">
        <v>19</v>
      </c>
      <c r="D245" s="17" t="s">
        <v>269</v>
      </c>
      <c r="E245" s="17">
        <v>3</v>
      </c>
      <c r="F245" s="31">
        <v>1000000000</v>
      </c>
      <c r="G245" s="31">
        <v>972000000</v>
      </c>
      <c r="H245" s="31">
        <v>959000000</v>
      </c>
      <c r="I245" s="31">
        <v>961000000</v>
      </c>
      <c r="J245" s="31">
        <v>978000000</v>
      </c>
      <c r="K245" s="31">
        <v>1050000000</v>
      </c>
      <c r="L245" s="31">
        <v>1230000000</v>
      </c>
      <c r="M245" s="31">
        <v>1380000000</v>
      </c>
      <c r="N245" s="31">
        <v>1460000000</v>
      </c>
      <c r="O245" s="31">
        <v>1460000000</v>
      </c>
      <c r="P245" s="31">
        <v>1440000000</v>
      </c>
      <c r="Q245" s="31">
        <v>1430000000</v>
      </c>
      <c r="R245" s="31">
        <v>1410000000</v>
      </c>
      <c r="S245" s="31">
        <v>1410000000</v>
      </c>
      <c r="T245" s="31">
        <v>1410000000</v>
      </c>
      <c r="U245" s="31">
        <v>1430000000</v>
      </c>
      <c r="V245" s="31">
        <v>1450000000</v>
      </c>
      <c r="W245" s="31">
        <v>1470000000</v>
      </c>
      <c r="X245" s="31">
        <v>1450000000</v>
      </c>
      <c r="Y245" s="31">
        <v>1380000000</v>
      </c>
      <c r="Z245" s="31">
        <v>1320000000</v>
      </c>
      <c r="AA245" s="31">
        <v>1230000000</v>
      </c>
      <c r="AB245" s="31">
        <v>1130000000</v>
      </c>
      <c r="AC245" s="61">
        <v>1050000000</v>
      </c>
      <c r="AD245" t="str">
        <f>INDEX('Category Mapping'!$G$28:$G$39,MATCH(E245,'Category Mapping'!$A$28:$A$39,0),1)</f>
        <v>Spring</v>
      </c>
      <c r="AE245" t="str">
        <f>INDEX('Category Mapping'!$B$2:$B$25,MATCH('Source Data'!A245,'Category Mapping'!$A$2:$A$25,0))</f>
        <v>Weekday</v>
      </c>
      <c r="AF245" t="str">
        <f>INDEX('Category Mapping'!$C$2:$C$25,MATCH('Source Data'!A245,'Category Mapping'!$A$2:$A$25,0))</f>
        <v>All Sectors</v>
      </c>
      <c r="AG245" t="str">
        <f>INDEX('Category Mapping'!$D$2:$D$25,MATCH('Source Data'!A245,'Category Mapping'!$A$2:$A$25,0))</f>
        <v>Total</v>
      </c>
    </row>
    <row r="246" spans="1:33" x14ac:dyDescent="0.3">
      <c r="A246" s="18" t="s">
        <v>111</v>
      </c>
      <c r="B246" s="19">
        <v>2019</v>
      </c>
      <c r="C246" s="19">
        <v>19</v>
      </c>
      <c r="D246" s="19" t="s">
        <v>269</v>
      </c>
      <c r="E246" s="19">
        <v>4</v>
      </c>
      <c r="F246" s="30">
        <v>954000000</v>
      </c>
      <c r="G246" s="30">
        <v>928000000</v>
      </c>
      <c r="H246" s="30">
        <v>917000000</v>
      </c>
      <c r="I246" s="30">
        <v>918000000</v>
      </c>
      <c r="J246" s="30">
        <v>933000000</v>
      </c>
      <c r="K246" s="30">
        <v>1000000000</v>
      </c>
      <c r="L246" s="30">
        <v>1160000000</v>
      </c>
      <c r="M246" s="30">
        <v>1290000000</v>
      </c>
      <c r="N246" s="30">
        <v>1370000000</v>
      </c>
      <c r="O246" s="30">
        <v>1390000000</v>
      </c>
      <c r="P246" s="30">
        <v>1380000000</v>
      </c>
      <c r="Q246" s="30">
        <v>1370000000</v>
      </c>
      <c r="R246" s="30">
        <v>1350000000</v>
      </c>
      <c r="S246" s="30">
        <v>1350000000</v>
      </c>
      <c r="T246" s="30">
        <v>1360000000</v>
      </c>
      <c r="U246" s="30">
        <v>1380000000</v>
      </c>
      <c r="V246" s="30">
        <v>1400000000</v>
      </c>
      <c r="W246" s="30">
        <v>1390000000</v>
      </c>
      <c r="X246" s="30">
        <v>1390000000</v>
      </c>
      <c r="Y246" s="30">
        <v>1320000000</v>
      </c>
      <c r="Z246" s="30">
        <v>1250000000</v>
      </c>
      <c r="AA246" s="30">
        <v>1170000000</v>
      </c>
      <c r="AB246" s="30">
        <v>1070000000</v>
      </c>
      <c r="AC246" s="62">
        <v>1000000000</v>
      </c>
      <c r="AD246" t="str">
        <f>INDEX('Category Mapping'!$G$28:$G$39,MATCH(E246,'Category Mapping'!$A$28:$A$39,0),1)</f>
        <v>Spring</v>
      </c>
      <c r="AE246" t="str">
        <f>INDEX('Category Mapping'!$B$2:$B$25,MATCH('Source Data'!A246,'Category Mapping'!$A$2:$A$25,0))</f>
        <v>Weekday</v>
      </c>
      <c r="AF246" t="str">
        <f>INDEX('Category Mapping'!$C$2:$C$25,MATCH('Source Data'!A246,'Category Mapping'!$A$2:$A$25,0))</f>
        <v>All Sectors</v>
      </c>
      <c r="AG246" t="str">
        <f>INDEX('Category Mapping'!$D$2:$D$25,MATCH('Source Data'!A246,'Category Mapping'!$A$2:$A$25,0))</f>
        <v>Total</v>
      </c>
    </row>
    <row r="247" spans="1:33" x14ac:dyDescent="0.3">
      <c r="A247" s="16" t="s">
        <v>111</v>
      </c>
      <c r="B247" s="17">
        <v>2019</v>
      </c>
      <c r="C247" s="17">
        <v>19</v>
      </c>
      <c r="D247" s="17" t="s">
        <v>269</v>
      </c>
      <c r="E247" s="17">
        <v>5</v>
      </c>
      <c r="F247" s="31">
        <v>949000000</v>
      </c>
      <c r="G247" s="31">
        <v>924000000</v>
      </c>
      <c r="H247" s="31">
        <v>912000000</v>
      </c>
      <c r="I247" s="31">
        <v>913000000</v>
      </c>
      <c r="J247" s="31">
        <v>929000000</v>
      </c>
      <c r="K247" s="31">
        <v>985000000</v>
      </c>
      <c r="L247" s="31">
        <v>1120000000</v>
      </c>
      <c r="M247" s="31">
        <v>1260000000</v>
      </c>
      <c r="N247" s="31">
        <v>1360000000</v>
      </c>
      <c r="O247" s="31">
        <v>1380000000</v>
      </c>
      <c r="P247" s="31">
        <v>1380000000</v>
      </c>
      <c r="Q247" s="31">
        <v>1380000000</v>
      </c>
      <c r="R247" s="31">
        <v>1370000000</v>
      </c>
      <c r="S247" s="31">
        <v>1370000000</v>
      </c>
      <c r="T247" s="31">
        <v>1370000000</v>
      </c>
      <c r="U247" s="31">
        <v>1390000000</v>
      </c>
      <c r="V247" s="31">
        <v>1410000000</v>
      </c>
      <c r="W247" s="31">
        <v>1400000000</v>
      </c>
      <c r="X247" s="31">
        <v>1400000000</v>
      </c>
      <c r="Y247" s="31">
        <v>1320000000</v>
      </c>
      <c r="Z247" s="31">
        <v>1240000000</v>
      </c>
      <c r="AA247" s="31">
        <v>1170000000</v>
      </c>
      <c r="AB247" s="31">
        <v>1070000000</v>
      </c>
      <c r="AC247" s="61">
        <v>1000000000</v>
      </c>
      <c r="AD247" t="str">
        <f>INDEX('Category Mapping'!$G$28:$G$39,MATCH(E247,'Category Mapping'!$A$28:$A$39,0),1)</f>
        <v>Spring</v>
      </c>
      <c r="AE247" t="str">
        <f>INDEX('Category Mapping'!$B$2:$B$25,MATCH('Source Data'!A247,'Category Mapping'!$A$2:$A$25,0))</f>
        <v>Weekday</v>
      </c>
      <c r="AF247" t="str">
        <f>INDEX('Category Mapping'!$C$2:$C$25,MATCH('Source Data'!A247,'Category Mapping'!$A$2:$A$25,0))</f>
        <v>All Sectors</v>
      </c>
      <c r="AG247" t="str">
        <f>INDEX('Category Mapping'!$D$2:$D$25,MATCH('Source Data'!A247,'Category Mapping'!$A$2:$A$25,0))</f>
        <v>Total</v>
      </c>
    </row>
    <row r="248" spans="1:33" x14ac:dyDescent="0.3">
      <c r="A248" s="18" t="s">
        <v>111</v>
      </c>
      <c r="B248" s="19">
        <v>2019</v>
      </c>
      <c r="C248" s="19">
        <v>19</v>
      </c>
      <c r="D248" s="19" t="s">
        <v>269</v>
      </c>
      <c r="E248" s="19">
        <v>6</v>
      </c>
      <c r="F248" s="30">
        <v>1020000000</v>
      </c>
      <c r="G248" s="30">
        <v>991000000</v>
      </c>
      <c r="H248" s="30">
        <v>977000000</v>
      </c>
      <c r="I248" s="30">
        <v>978000000</v>
      </c>
      <c r="J248" s="30">
        <v>996000000</v>
      </c>
      <c r="K248" s="30">
        <v>1050000000</v>
      </c>
      <c r="L248" s="30">
        <v>1200000000</v>
      </c>
      <c r="M248" s="30">
        <v>1370000000</v>
      </c>
      <c r="N248" s="30">
        <v>1500000000</v>
      </c>
      <c r="O248" s="30">
        <v>1550000000</v>
      </c>
      <c r="P248" s="30">
        <v>1560000000</v>
      </c>
      <c r="Q248" s="30">
        <v>1580000000</v>
      </c>
      <c r="R248" s="30">
        <v>1570000000</v>
      </c>
      <c r="S248" s="30">
        <v>1580000000</v>
      </c>
      <c r="T248" s="30">
        <v>1590000000</v>
      </c>
      <c r="U248" s="30">
        <v>1620000000</v>
      </c>
      <c r="V248" s="30">
        <v>1630000000</v>
      </c>
      <c r="W248" s="30">
        <v>1610000000</v>
      </c>
      <c r="X248" s="30">
        <v>1580000000</v>
      </c>
      <c r="Y248" s="30">
        <v>1490000000</v>
      </c>
      <c r="Z248" s="30">
        <v>1400000000</v>
      </c>
      <c r="AA248" s="30">
        <v>1300000000</v>
      </c>
      <c r="AB248" s="30">
        <v>1180000000</v>
      </c>
      <c r="AC248" s="62">
        <v>1090000000</v>
      </c>
      <c r="AD248" t="str">
        <f>INDEX('Category Mapping'!$G$28:$G$39,MATCH(E248,'Category Mapping'!$A$28:$A$39,0),1)</f>
        <v>Summer</v>
      </c>
      <c r="AE248" t="str">
        <f>INDEX('Category Mapping'!$B$2:$B$25,MATCH('Source Data'!A248,'Category Mapping'!$A$2:$A$25,0))</f>
        <v>Weekday</v>
      </c>
      <c r="AF248" t="str">
        <f>INDEX('Category Mapping'!$C$2:$C$25,MATCH('Source Data'!A248,'Category Mapping'!$A$2:$A$25,0))</f>
        <v>All Sectors</v>
      </c>
      <c r="AG248" t="str">
        <f>INDEX('Category Mapping'!$D$2:$D$25,MATCH('Source Data'!A248,'Category Mapping'!$A$2:$A$25,0))</f>
        <v>Total</v>
      </c>
    </row>
    <row r="249" spans="1:33" x14ac:dyDescent="0.3">
      <c r="A249" s="16" t="s">
        <v>111</v>
      </c>
      <c r="B249" s="17">
        <v>2019</v>
      </c>
      <c r="C249" s="17">
        <v>19</v>
      </c>
      <c r="D249" s="17" t="s">
        <v>269</v>
      </c>
      <c r="E249" s="17">
        <v>7</v>
      </c>
      <c r="F249" s="31">
        <v>1180000000</v>
      </c>
      <c r="G249" s="31">
        <v>1130000000</v>
      </c>
      <c r="H249" s="31">
        <v>1110000000</v>
      </c>
      <c r="I249" s="31">
        <v>1120000000</v>
      </c>
      <c r="J249" s="31">
        <v>1140000000</v>
      </c>
      <c r="K249" s="31">
        <v>1210000000</v>
      </c>
      <c r="L249" s="31">
        <v>1360000000</v>
      </c>
      <c r="M249" s="31">
        <v>1540000000</v>
      </c>
      <c r="N249" s="31">
        <v>1700000000</v>
      </c>
      <c r="O249" s="31">
        <v>1770000000</v>
      </c>
      <c r="P249" s="31">
        <v>1790000000</v>
      </c>
      <c r="Q249" s="31">
        <v>1820000000</v>
      </c>
      <c r="R249" s="31">
        <v>1820000000</v>
      </c>
      <c r="S249" s="31">
        <v>1830000000</v>
      </c>
      <c r="T249" s="31">
        <v>1850000000</v>
      </c>
      <c r="U249" s="31">
        <v>1880000000</v>
      </c>
      <c r="V249" s="31">
        <v>1890000000</v>
      </c>
      <c r="W249" s="31">
        <v>1860000000</v>
      </c>
      <c r="X249" s="31">
        <v>1820000000</v>
      </c>
      <c r="Y249" s="31">
        <v>1720000000</v>
      </c>
      <c r="Z249" s="31">
        <v>1620000000</v>
      </c>
      <c r="AA249" s="31">
        <v>1510000000</v>
      </c>
      <c r="AB249" s="31">
        <v>1370000000</v>
      </c>
      <c r="AC249" s="61">
        <v>1260000000</v>
      </c>
      <c r="AD249" t="str">
        <f>INDEX('Category Mapping'!$G$28:$G$39,MATCH(E249,'Category Mapping'!$A$28:$A$39,0),1)</f>
        <v>Summer</v>
      </c>
      <c r="AE249" t="str">
        <f>INDEX('Category Mapping'!$B$2:$B$25,MATCH('Source Data'!A249,'Category Mapping'!$A$2:$A$25,0))</f>
        <v>Weekday</v>
      </c>
      <c r="AF249" t="str">
        <f>INDEX('Category Mapping'!$C$2:$C$25,MATCH('Source Data'!A249,'Category Mapping'!$A$2:$A$25,0))</f>
        <v>All Sectors</v>
      </c>
      <c r="AG249" t="str">
        <f>INDEX('Category Mapping'!$D$2:$D$25,MATCH('Source Data'!A249,'Category Mapping'!$A$2:$A$25,0))</f>
        <v>Total</v>
      </c>
    </row>
    <row r="250" spans="1:33" x14ac:dyDescent="0.3">
      <c r="A250" s="18" t="s">
        <v>111</v>
      </c>
      <c r="B250" s="19">
        <v>2019</v>
      </c>
      <c r="C250" s="19">
        <v>19</v>
      </c>
      <c r="D250" s="19" t="s">
        <v>269</v>
      </c>
      <c r="E250" s="19">
        <v>8</v>
      </c>
      <c r="F250" s="30">
        <v>1240000000</v>
      </c>
      <c r="G250" s="30">
        <v>1190000000</v>
      </c>
      <c r="H250" s="30">
        <v>1170000000</v>
      </c>
      <c r="I250" s="30">
        <v>1170000000</v>
      </c>
      <c r="J250" s="30">
        <v>1200000000</v>
      </c>
      <c r="K250" s="30">
        <v>1280000000</v>
      </c>
      <c r="L250" s="30">
        <v>1440000000</v>
      </c>
      <c r="M250" s="30">
        <v>1630000000</v>
      </c>
      <c r="N250" s="30">
        <v>1800000000</v>
      </c>
      <c r="O250" s="30">
        <v>1870000000</v>
      </c>
      <c r="P250" s="30">
        <v>1910000000</v>
      </c>
      <c r="Q250" s="30">
        <v>1940000000</v>
      </c>
      <c r="R250" s="30">
        <v>1940000000</v>
      </c>
      <c r="S250" s="30">
        <v>1960000000</v>
      </c>
      <c r="T250" s="30">
        <v>1980000000</v>
      </c>
      <c r="U250" s="30">
        <v>2010000000</v>
      </c>
      <c r="V250" s="30">
        <v>2020000000</v>
      </c>
      <c r="W250" s="30">
        <v>1990000000</v>
      </c>
      <c r="X250" s="30">
        <v>1960000000</v>
      </c>
      <c r="Y250" s="30">
        <v>1840000000</v>
      </c>
      <c r="Z250" s="30">
        <v>1720000000</v>
      </c>
      <c r="AA250" s="30">
        <v>1600000000</v>
      </c>
      <c r="AB250" s="30">
        <v>1450000000</v>
      </c>
      <c r="AC250" s="62">
        <v>1330000000</v>
      </c>
      <c r="AD250" t="str">
        <f>INDEX('Category Mapping'!$G$28:$G$39,MATCH(E250,'Category Mapping'!$A$28:$A$39,0),1)</f>
        <v>Summer</v>
      </c>
      <c r="AE250" t="str">
        <f>INDEX('Category Mapping'!$B$2:$B$25,MATCH('Source Data'!A250,'Category Mapping'!$A$2:$A$25,0))</f>
        <v>Weekday</v>
      </c>
      <c r="AF250" t="str">
        <f>INDEX('Category Mapping'!$C$2:$C$25,MATCH('Source Data'!A250,'Category Mapping'!$A$2:$A$25,0))</f>
        <v>All Sectors</v>
      </c>
      <c r="AG250" t="str">
        <f>INDEX('Category Mapping'!$D$2:$D$25,MATCH('Source Data'!A250,'Category Mapping'!$A$2:$A$25,0))</f>
        <v>Total</v>
      </c>
    </row>
    <row r="251" spans="1:33" x14ac:dyDescent="0.3">
      <c r="A251" s="16" t="s">
        <v>111</v>
      </c>
      <c r="B251" s="17">
        <v>2019</v>
      </c>
      <c r="C251" s="17">
        <v>19</v>
      </c>
      <c r="D251" s="17" t="s">
        <v>269</v>
      </c>
      <c r="E251" s="17">
        <v>9</v>
      </c>
      <c r="F251" s="31">
        <v>1010000000</v>
      </c>
      <c r="G251" s="31">
        <v>979000000</v>
      </c>
      <c r="H251" s="31">
        <v>966000000</v>
      </c>
      <c r="I251" s="31">
        <v>967000000</v>
      </c>
      <c r="J251" s="31">
        <v>983000000</v>
      </c>
      <c r="K251" s="31">
        <v>1040000000</v>
      </c>
      <c r="L251" s="31">
        <v>1190000000</v>
      </c>
      <c r="M251" s="31">
        <v>1340000000</v>
      </c>
      <c r="N251" s="31">
        <v>1460000000</v>
      </c>
      <c r="O251" s="31">
        <v>1510000000</v>
      </c>
      <c r="P251" s="31">
        <v>1520000000</v>
      </c>
      <c r="Q251" s="31">
        <v>1530000000</v>
      </c>
      <c r="R251" s="31">
        <v>1520000000</v>
      </c>
      <c r="S251" s="31">
        <v>1530000000</v>
      </c>
      <c r="T251" s="31">
        <v>1540000000</v>
      </c>
      <c r="U251" s="31">
        <v>1570000000</v>
      </c>
      <c r="V251" s="31">
        <v>1580000000</v>
      </c>
      <c r="W251" s="31">
        <v>1570000000</v>
      </c>
      <c r="X251" s="31">
        <v>1550000000</v>
      </c>
      <c r="Y251" s="31">
        <v>1450000000</v>
      </c>
      <c r="Z251" s="31">
        <v>1360000000</v>
      </c>
      <c r="AA251" s="31">
        <v>1260000000</v>
      </c>
      <c r="AB251" s="31">
        <v>1150000000</v>
      </c>
      <c r="AC251" s="61">
        <v>1070000000</v>
      </c>
      <c r="AD251" t="str">
        <f>INDEX('Category Mapping'!$G$28:$G$39,MATCH(E251,'Category Mapping'!$A$28:$A$39,0),1)</f>
        <v>Fall</v>
      </c>
      <c r="AE251" t="str">
        <f>INDEX('Category Mapping'!$B$2:$B$25,MATCH('Source Data'!A251,'Category Mapping'!$A$2:$A$25,0))</f>
        <v>Weekday</v>
      </c>
      <c r="AF251" t="str">
        <f>INDEX('Category Mapping'!$C$2:$C$25,MATCH('Source Data'!A251,'Category Mapping'!$A$2:$A$25,0))</f>
        <v>All Sectors</v>
      </c>
      <c r="AG251" t="str">
        <f>INDEX('Category Mapping'!$D$2:$D$25,MATCH('Source Data'!A251,'Category Mapping'!$A$2:$A$25,0))</f>
        <v>Total</v>
      </c>
    </row>
    <row r="252" spans="1:33" x14ac:dyDescent="0.3">
      <c r="A252" s="18" t="s">
        <v>111</v>
      </c>
      <c r="B252" s="19">
        <v>2019</v>
      </c>
      <c r="C252" s="19">
        <v>19</v>
      </c>
      <c r="D252" s="19" t="s">
        <v>269</v>
      </c>
      <c r="E252" s="19">
        <v>10</v>
      </c>
      <c r="F252" s="30">
        <v>964000000</v>
      </c>
      <c r="G252" s="30">
        <v>938000000</v>
      </c>
      <c r="H252" s="30">
        <v>927000000</v>
      </c>
      <c r="I252" s="30">
        <v>928000000</v>
      </c>
      <c r="J252" s="30">
        <v>944000000</v>
      </c>
      <c r="K252" s="30">
        <v>1010000000</v>
      </c>
      <c r="L252" s="30">
        <v>1180000000</v>
      </c>
      <c r="M252" s="30">
        <v>1300000000</v>
      </c>
      <c r="N252" s="30">
        <v>1390000000</v>
      </c>
      <c r="O252" s="30">
        <v>1400000000</v>
      </c>
      <c r="P252" s="30">
        <v>1390000000</v>
      </c>
      <c r="Q252" s="30">
        <v>1390000000</v>
      </c>
      <c r="R252" s="30">
        <v>1370000000</v>
      </c>
      <c r="S252" s="30">
        <v>1370000000</v>
      </c>
      <c r="T252" s="30">
        <v>1370000000</v>
      </c>
      <c r="U252" s="30">
        <v>1400000000</v>
      </c>
      <c r="V252" s="30">
        <v>1420000000</v>
      </c>
      <c r="W252" s="30">
        <v>1440000000</v>
      </c>
      <c r="X252" s="30">
        <v>1410000000</v>
      </c>
      <c r="Y252" s="30">
        <v>1330000000</v>
      </c>
      <c r="Z252" s="30">
        <v>1270000000</v>
      </c>
      <c r="AA252" s="30">
        <v>1180000000</v>
      </c>
      <c r="AB252" s="30">
        <v>1090000000</v>
      </c>
      <c r="AC252" s="62">
        <v>1020000000</v>
      </c>
      <c r="AD252" t="str">
        <f>INDEX('Category Mapping'!$G$28:$G$39,MATCH(E252,'Category Mapping'!$A$28:$A$39,0),1)</f>
        <v>Fall</v>
      </c>
      <c r="AE252" t="str">
        <f>INDEX('Category Mapping'!$B$2:$B$25,MATCH('Source Data'!A252,'Category Mapping'!$A$2:$A$25,0))</f>
        <v>Weekday</v>
      </c>
      <c r="AF252" t="str">
        <f>INDEX('Category Mapping'!$C$2:$C$25,MATCH('Source Data'!A252,'Category Mapping'!$A$2:$A$25,0))</f>
        <v>All Sectors</v>
      </c>
      <c r="AG252" t="str">
        <f>INDEX('Category Mapping'!$D$2:$D$25,MATCH('Source Data'!A252,'Category Mapping'!$A$2:$A$25,0))</f>
        <v>Total</v>
      </c>
    </row>
    <row r="253" spans="1:33" x14ac:dyDescent="0.3">
      <c r="A253" s="16" t="s">
        <v>111</v>
      </c>
      <c r="B253" s="17">
        <v>2019</v>
      </c>
      <c r="C253" s="17">
        <v>19</v>
      </c>
      <c r="D253" s="17" t="s">
        <v>269</v>
      </c>
      <c r="E253" s="17">
        <v>11</v>
      </c>
      <c r="F253" s="31">
        <v>992000000</v>
      </c>
      <c r="G253" s="31">
        <v>965000000</v>
      </c>
      <c r="H253" s="31">
        <v>951000000</v>
      </c>
      <c r="I253" s="31">
        <v>952000000</v>
      </c>
      <c r="J253" s="31">
        <v>970000000</v>
      </c>
      <c r="K253" s="31">
        <v>1030000000</v>
      </c>
      <c r="L253" s="31">
        <v>1190000000</v>
      </c>
      <c r="M253" s="31">
        <v>1370000000</v>
      </c>
      <c r="N253" s="31">
        <v>1450000000</v>
      </c>
      <c r="O253" s="31">
        <v>1450000000</v>
      </c>
      <c r="P253" s="31">
        <v>1430000000</v>
      </c>
      <c r="Q253" s="31">
        <v>1420000000</v>
      </c>
      <c r="R253" s="31">
        <v>1410000000</v>
      </c>
      <c r="S253" s="31">
        <v>1400000000</v>
      </c>
      <c r="T253" s="31">
        <v>1410000000</v>
      </c>
      <c r="U253" s="31">
        <v>1430000000</v>
      </c>
      <c r="V253" s="31">
        <v>1460000000</v>
      </c>
      <c r="W253" s="31">
        <v>1480000000</v>
      </c>
      <c r="X253" s="31">
        <v>1460000000</v>
      </c>
      <c r="Y253" s="31">
        <v>1380000000</v>
      </c>
      <c r="Z253" s="31">
        <v>1310000000</v>
      </c>
      <c r="AA253" s="31">
        <v>1230000000</v>
      </c>
      <c r="AB253" s="31">
        <v>1130000000</v>
      </c>
      <c r="AC253" s="61">
        <v>1040000000</v>
      </c>
      <c r="AD253" t="str">
        <f>INDEX('Category Mapping'!$G$28:$G$39,MATCH(E253,'Category Mapping'!$A$28:$A$39,0),1)</f>
        <v>Winter</v>
      </c>
      <c r="AE253" t="str">
        <f>INDEX('Category Mapping'!$B$2:$B$25,MATCH('Source Data'!A253,'Category Mapping'!$A$2:$A$25,0))</f>
        <v>Weekday</v>
      </c>
      <c r="AF253" t="str">
        <f>INDEX('Category Mapping'!$C$2:$C$25,MATCH('Source Data'!A253,'Category Mapping'!$A$2:$A$25,0))</f>
        <v>All Sectors</v>
      </c>
      <c r="AG253" t="str">
        <f>INDEX('Category Mapping'!$D$2:$D$25,MATCH('Source Data'!A253,'Category Mapping'!$A$2:$A$25,0))</f>
        <v>Total</v>
      </c>
    </row>
    <row r="254" spans="1:33" x14ac:dyDescent="0.3">
      <c r="A254" s="18" t="s">
        <v>111</v>
      </c>
      <c r="B254" s="19">
        <v>2019</v>
      </c>
      <c r="C254" s="19">
        <v>19</v>
      </c>
      <c r="D254" s="19" t="s">
        <v>269</v>
      </c>
      <c r="E254" s="19">
        <v>12</v>
      </c>
      <c r="F254" s="30">
        <v>972000000</v>
      </c>
      <c r="G254" s="30">
        <v>944000000</v>
      </c>
      <c r="H254" s="30">
        <v>929000000</v>
      </c>
      <c r="I254" s="30">
        <v>931000000</v>
      </c>
      <c r="J254" s="30">
        <v>950000000</v>
      </c>
      <c r="K254" s="30">
        <v>1010000000</v>
      </c>
      <c r="L254" s="30">
        <v>1170000000</v>
      </c>
      <c r="M254" s="30">
        <v>1390000000</v>
      </c>
      <c r="N254" s="30">
        <v>1470000000</v>
      </c>
      <c r="O254" s="30">
        <v>1450000000</v>
      </c>
      <c r="P254" s="30">
        <v>1430000000</v>
      </c>
      <c r="Q254" s="30">
        <v>1420000000</v>
      </c>
      <c r="R254" s="30">
        <v>1400000000</v>
      </c>
      <c r="S254" s="30">
        <v>1390000000</v>
      </c>
      <c r="T254" s="30">
        <v>1390000000</v>
      </c>
      <c r="U254" s="30">
        <v>1410000000</v>
      </c>
      <c r="V254" s="30">
        <v>1470000000</v>
      </c>
      <c r="W254" s="30">
        <v>1460000000</v>
      </c>
      <c r="X254" s="30">
        <v>1450000000</v>
      </c>
      <c r="Y254" s="30">
        <v>1370000000</v>
      </c>
      <c r="Z254" s="30">
        <v>1310000000</v>
      </c>
      <c r="AA254" s="30">
        <v>1230000000</v>
      </c>
      <c r="AB254" s="30">
        <v>1130000000</v>
      </c>
      <c r="AC254" s="62">
        <v>1020000000</v>
      </c>
      <c r="AD254" t="str">
        <f>INDEX('Category Mapping'!$G$28:$G$39,MATCH(E254,'Category Mapping'!$A$28:$A$39,0),1)</f>
        <v>Winter</v>
      </c>
      <c r="AE254" t="str">
        <f>INDEX('Category Mapping'!$B$2:$B$25,MATCH('Source Data'!A254,'Category Mapping'!$A$2:$A$25,0))</f>
        <v>Weekday</v>
      </c>
      <c r="AF254" t="str">
        <f>INDEX('Category Mapping'!$C$2:$C$25,MATCH('Source Data'!A254,'Category Mapping'!$A$2:$A$25,0))</f>
        <v>All Sectors</v>
      </c>
      <c r="AG254" t="str">
        <f>INDEX('Category Mapping'!$D$2:$D$25,MATCH('Source Data'!A254,'Category Mapping'!$A$2:$A$25,0))</f>
        <v>Total</v>
      </c>
    </row>
    <row r="255" spans="1:33" x14ac:dyDescent="0.3">
      <c r="A255" s="16" t="s">
        <v>112</v>
      </c>
      <c r="B255" s="17">
        <v>2019</v>
      </c>
      <c r="C255" s="17">
        <v>19</v>
      </c>
      <c r="D255" s="17" t="s">
        <v>269</v>
      </c>
      <c r="E255" s="17">
        <v>1</v>
      </c>
      <c r="F255" s="31">
        <v>521000000</v>
      </c>
      <c r="G255" s="31">
        <v>501000000</v>
      </c>
      <c r="H255" s="31">
        <v>492000000</v>
      </c>
      <c r="I255" s="31">
        <v>490000000</v>
      </c>
      <c r="J255" s="31">
        <v>494000000</v>
      </c>
      <c r="K255" s="31">
        <v>509000000</v>
      </c>
      <c r="L255" s="31">
        <v>539000000</v>
      </c>
      <c r="M255" s="31">
        <v>598000000</v>
      </c>
      <c r="N255" s="31">
        <v>623000000</v>
      </c>
      <c r="O255" s="31">
        <v>642000000</v>
      </c>
      <c r="P255" s="31">
        <v>652000000</v>
      </c>
      <c r="Q255" s="31">
        <v>657000000</v>
      </c>
      <c r="R255" s="31">
        <v>644000000</v>
      </c>
      <c r="S255" s="31">
        <v>626000000</v>
      </c>
      <c r="T255" s="31">
        <v>623000000</v>
      </c>
      <c r="U255" s="31">
        <v>623000000</v>
      </c>
      <c r="V255" s="31">
        <v>647000000</v>
      </c>
      <c r="W255" s="31">
        <v>656000000</v>
      </c>
      <c r="X255" s="31">
        <v>656000000</v>
      </c>
      <c r="Y255" s="31">
        <v>640000000</v>
      </c>
      <c r="Z255" s="31">
        <v>628000000</v>
      </c>
      <c r="AA255" s="31">
        <v>606000000</v>
      </c>
      <c r="AB255" s="31">
        <v>576000000</v>
      </c>
      <c r="AC255" s="61">
        <v>540000000</v>
      </c>
      <c r="AD255" t="str">
        <f>INDEX('Category Mapping'!$G$28:$G$39,MATCH(E255,'Category Mapping'!$A$28:$A$39,0),1)</f>
        <v>Winter</v>
      </c>
      <c r="AE255" t="str">
        <f>INDEX('Category Mapping'!$B$2:$B$25,MATCH('Source Data'!A255,'Category Mapping'!$A$2:$A$25,0))</f>
        <v>Weekend</v>
      </c>
      <c r="AF255" t="str">
        <f>INDEX('Category Mapping'!$C$2:$C$25,MATCH('Source Data'!A255,'Category Mapping'!$A$2:$A$25,0))</f>
        <v>All Sectors</v>
      </c>
      <c r="AG255" t="str">
        <f>INDEX('Category Mapping'!$D$2:$D$25,MATCH('Source Data'!A255,'Category Mapping'!$A$2:$A$25,0))</f>
        <v>Total</v>
      </c>
    </row>
    <row r="256" spans="1:33" x14ac:dyDescent="0.3">
      <c r="A256" s="18" t="s">
        <v>112</v>
      </c>
      <c r="B256" s="19">
        <v>2019</v>
      </c>
      <c r="C256" s="19">
        <v>19</v>
      </c>
      <c r="D256" s="19" t="s">
        <v>269</v>
      </c>
      <c r="E256" s="19">
        <v>2</v>
      </c>
      <c r="F256" s="30">
        <v>516000000</v>
      </c>
      <c r="G256" s="30">
        <v>496000000</v>
      </c>
      <c r="H256" s="30">
        <v>488000000</v>
      </c>
      <c r="I256" s="30">
        <v>485000000</v>
      </c>
      <c r="J256" s="30">
        <v>490000000</v>
      </c>
      <c r="K256" s="30">
        <v>504000000</v>
      </c>
      <c r="L256" s="30">
        <v>534000000</v>
      </c>
      <c r="M256" s="30">
        <v>582000000</v>
      </c>
      <c r="N256" s="30">
        <v>614000000</v>
      </c>
      <c r="O256" s="30">
        <v>633000000</v>
      </c>
      <c r="P256" s="30">
        <v>643000000</v>
      </c>
      <c r="Q256" s="30">
        <v>649000000</v>
      </c>
      <c r="R256" s="30">
        <v>636000000</v>
      </c>
      <c r="S256" s="30">
        <v>618000000</v>
      </c>
      <c r="T256" s="30">
        <v>616000000</v>
      </c>
      <c r="U256" s="30">
        <v>616000000</v>
      </c>
      <c r="V256" s="30">
        <v>627000000</v>
      </c>
      <c r="W256" s="30">
        <v>648000000</v>
      </c>
      <c r="X256" s="30">
        <v>647000000</v>
      </c>
      <c r="Y256" s="30">
        <v>632000000</v>
      </c>
      <c r="Z256" s="30">
        <v>620000000</v>
      </c>
      <c r="AA256" s="30">
        <v>599000000</v>
      </c>
      <c r="AB256" s="30">
        <v>569000000</v>
      </c>
      <c r="AC256" s="62">
        <v>534000000</v>
      </c>
      <c r="AD256" t="str">
        <f>INDEX('Category Mapping'!$G$28:$G$39,MATCH(E256,'Category Mapping'!$A$28:$A$39,0),1)</f>
        <v>Winter</v>
      </c>
      <c r="AE256" t="str">
        <f>INDEX('Category Mapping'!$B$2:$B$25,MATCH('Source Data'!A256,'Category Mapping'!$A$2:$A$25,0))</f>
        <v>Weekend</v>
      </c>
      <c r="AF256" t="str">
        <f>INDEX('Category Mapping'!$C$2:$C$25,MATCH('Source Data'!A256,'Category Mapping'!$A$2:$A$25,0))</f>
        <v>All Sectors</v>
      </c>
      <c r="AG256" t="str">
        <f>INDEX('Category Mapping'!$D$2:$D$25,MATCH('Source Data'!A256,'Category Mapping'!$A$2:$A$25,0))</f>
        <v>Total</v>
      </c>
    </row>
    <row r="257" spans="1:33" x14ac:dyDescent="0.3">
      <c r="A257" s="16" t="s">
        <v>112</v>
      </c>
      <c r="B257" s="17">
        <v>2019</v>
      </c>
      <c r="C257" s="17">
        <v>19</v>
      </c>
      <c r="D257" s="17" t="s">
        <v>269</v>
      </c>
      <c r="E257" s="17">
        <v>3</v>
      </c>
      <c r="F257" s="31">
        <v>512000000</v>
      </c>
      <c r="G257" s="31">
        <v>491000000</v>
      </c>
      <c r="H257" s="31">
        <v>484000000</v>
      </c>
      <c r="I257" s="31">
        <v>481000000</v>
      </c>
      <c r="J257" s="31">
        <v>486000000</v>
      </c>
      <c r="K257" s="31">
        <v>500000000</v>
      </c>
      <c r="L257" s="31">
        <v>534000000</v>
      </c>
      <c r="M257" s="31">
        <v>574000000</v>
      </c>
      <c r="N257" s="31">
        <v>601000000</v>
      </c>
      <c r="O257" s="31">
        <v>622000000</v>
      </c>
      <c r="P257" s="31">
        <v>633000000</v>
      </c>
      <c r="Q257" s="31">
        <v>640000000</v>
      </c>
      <c r="R257" s="31">
        <v>628000000</v>
      </c>
      <c r="S257" s="31">
        <v>611000000</v>
      </c>
      <c r="T257" s="31">
        <v>610000000</v>
      </c>
      <c r="U257" s="31">
        <v>609000000</v>
      </c>
      <c r="V257" s="31">
        <v>615000000</v>
      </c>
      <c r="W257" s="31">
        <v>638000000</v>
      </c>
      <c r="X257" s="31">
        <v>635000000</v>
      </c>
      <c r="Y257" s="31">
        <v>624000000</v>
      </c>
      <c r="Z257" s="31">
        <v>613000000</v>
      </c>
      <c r="AA257" s="31">
        <v>591000000</v>
      </c>
      <c r="AB257" s="31">
        <v>561000000</v>
      </c>
      <c r="AC257" s="61">
        <v>529000000</v>
      </c>
      <c r="AD257" t="str">
        <f>INDEX('Category Mapping'!$G$28:$G$39,MATCH(E257,'Category Mapping'!$A$28:$A$39,0),1)</f>
        <v>Spring</v>
      </c>
      <c r="AE257" t="str">
        <f>INDEX('Category Mapping'!$B$2:$B$25,MATCH('Source Data'!A257,'Category Mapping'!$A$2:$A$25,0))</f>
        <v>Weekend</v>
      </c>
      <c r="AF257" t="str">
        <f>INDEX('Category Mapping'!$C$2:$C$25,MATCH('Source Data'!A257,'Category Mapping'!$A$2:$A$25,0))</f>
        <v>All Sectors</v>
      </c>
      <c r="AG257" t="str">
        <f>INDEX('Category Mapping'!$D$2:$D$25,MATCH('Source Data'!A257,'Category Mapping'!$A$2:$A$25,0))</f>
        <v>Total</v>
      </c>
    </row>
    <row r="258" spans="1:33" x14ac:dyDescent="0.3">
      <c r="A258" s="18" t="s">
        <v>112</v>
      </c>
      <c r="B258" s="19">
        <v>2019</v>
      </c>
      <c r="C258" s="19">
        <v>19</v>
      </c>
      <c r="D258" s="19" t="s">
        <v>269</v>
      </c>
      <c r="E258" s="19">
        <v>4</v>
      </c>
      <c r="F258" s="30">
        <v>489000000</v>
      </c>
      <c r="G258" s="30">
        <v>469000000</v>
      </c>
      <c r="H258" s="30">
        <v>462000000</v>
      </c>
      <c r="I258" s="30">
        <v>460000000</v>
      </c>
      <c r="J258" s="30">
        <v>463000000</v>
      </c>
      <c r="K258" s="30">
        <v>477000000</v>
      </c>
      <c r="L258" s="30">
        <v>503000000</v>
      </c>
      <c r="M258" s="30">
        <v>541000000</v>
      </c>
      <c r="N258" s="30">
        <v>566000000</v>
      </c>
      <c r="O258" s="30">
        <v>590000000</v>
      </c>
      <c r="P258" s="30">
        <v>604000000</v>
      </c>
      <c r="Q258" s="30">
        <v>612000000</v>
      </c>
      <c r="R258" s="30">
        <v>602000000</v>
      </c>
      <c r="S258" s="30">
        <v>586000000</v>
      </c>
      <c r="T258" s="30">
        <v>586000000</v>
      </c>
      <c r="U258" s="30">
        <v>583000000</v>
      </c>
      <c r="V258" s="30">
        <v>589000000</v>
      </c>
      <c r="W258" s="30">
        <v>597000000</v>
      </c>
      <c r="X258" s="30">
        <v>607000000</v>
      </c>
      <c r="Y258" s="30">
        <v>598000000</v>
      </c>
      <c r="Z258" s="30">
        <v>586000000</v>
      </c>
      <c r="AA258" s="30">
        <v>565000000</v>
      </c>
      <c r="AB258" s="30">
        <v>535000000</v>
      </c>
      <c r="AC258" s="62">
        <v>505000000</v>
      </c>
      <c r="AD258" t="str">
        <f>INDEX('Category Mapping'!$G$28:$G$39,MATCH(E258,'Category Mapping'!$A$28:$A$39,0),1)</f>
        <v>Spring</v>
      </c>
      <c r="AE258" t="str">
        <f>INDEX('Category Mapping'!$B$2:$B$25,MATCH('Source Data'!A258,'Category Mapping'!$A$2:$A$25,0))</f>
        <v>Weekend</v>
      </c>
      <c r="AF258" t="str">
        <f>INDEX('Category Mapping'!$C$2:$C$25,MATCH('Source Data'!A258,'Category Mapping'!$A$2:$A$25,0))</f>
        <v>All Sectors</v>
      </c>
      <c r="AG258" t="str">
        <f>INDEX('Category Mapping'!$D$2:$D$25,MATCH('Source Data'!A258,'Category Mapping'!$A$2:$A$25,0))</f>
        <v>Total</v>
      </c>
    </row>
    <row r="259" spans="1:33" x14ac:dyDescent="0.3">
      <c r="A259" s="16" t="s">
        <v>112</v>
      </c>
      <c r="B259" s="17">
        <v>2019</v>
      </c>
      <c r="C259" s="17">
        <v>19</v>
      </c>
      <c r="D259" s="17" t="s">
        <v>269</v>
      </c>
      <c r="E259" s="17">
        <v>5</v>
      </c>
      <c r="F259" s="31">
        <v>490000000</v>
      </c>
      <c r="G259" s="31">
        <v>471000000</v>
      </c>
      <c r="H259" s="31">
        <v>464000000</v>
      </c>
      <c r="I259" s="31">
        <v>461000000</v>
      </c>
      <c r="J259" s="31">
        <v>465000000</v>
      </c>
      <c r="K259" s="31">
        <v>477000000</v>
      </c>
      <c r="L259" s="31">
        <v>497000000</v>
      </c>
      <c r="M259" s="31">
        <v>535000000</v>
      </c>
      <c r="N259" s="31">
        <v>562000000</v>
      </c>
      <c r="O259" s="31">
        <v>588000000</v>
      </c>
      <c r="P259" s="31">
        <v>604000000</v>
      </c>
      <c r="Q259" s="31">
        <v>616000000</v>
      </c>
      <c r="R259" s="31">
        <v>608000000</v>
      </c>
      <c r="S259" s="31">
        <v>593000000</v>
      </c>
      <c r="T259" s="31">
        <v>593000000</v>
      </c>
      <c r="U259" s="31">
        <v>591000000</v>
      </c>
      <c r="V259" s="31">
        <v>596000000</v>
      </c>
      <c r="W259" s="31">
        <v>599000000</v>
      </c>
      <c r="X259" s="31">
        <v>608000000</v>
      </c>
      <c r="Y259" s="31">
        <v>598000000</v>
      </c>
      <c r="Z259" s="31">
        <v>585000000</v>
      </c>
      <c r="AA259" s="31">
        <v>564000000</v>
      </c>
      <c r="AB259" s="31">
        <v>536000000</v>
      </c>
      <c r="AC259" s="61">
        <v>506000000</v>
      </c>
      <c r="AD259" t="str">
        <f>INDEX('Category Mapping'!$G$28:$G$39,MATCH(E259,'Category Mapping'!$A$28:$A$39,0),1)</f>
        <v>Spring</v>
      </c>
      <c r="AE259" t="str">
        <f>INDEX('Category Mapping'!$B$2:$B$25,MATCH('Source Data'!A259,'Category Mapping'!$A$2:$A$25,0))</f>
        <v>Weekend</v>
      </c>
      <c r="AF259" t="str">
        <f>INDEX('Category Mapping'!$C$2:$C$25,MATCH('Source Data'!A259,'Category Mapping'!$A$2:$A$25,0))</f>
        <v>All Sectors</v>
      </c>
      <c r="AG259" t="str">
        <f>INDEX('Category Mapping'!$D$2:$D$25,MATCH('Source Data'!A259,'Category Mapping'!$A$2:$A$25,0))</f>
        <v>Total</v>
      </c>
    </row>
    <row r="260" spans="1:33" x14ac:dyDescent="0.3">
      <c r="A260" s="18" t="s">
        <v>112</v>
      </c>
      <c r="B260" s="19">
        <v>2019</v>
      </c>
      <c r="C260" s="19">
        <v>19</v>
      </c>
      <c r="D260" s="19" t="s">
        <v>269</v>
      </c>
      <c r="E260" s="19">
        <v>6</v>
      </c>
      <c r="F260" s="30">
        <v>526000000</v>
      </c>
      <c r="G260" s="30">
        <v>505000000</v>
      </c>
      <c r="H260" s="30">
        <v>497000000</v>
      </c>
      <c r="I260" s="30">
        <v>495000000</v>
      </c>
      <c r="J260" s="30">
        <v>500000000</v>
      </c>
      <c r="K260" s="30">
        <v>514000000</v>
      </c>
      <c r="L260" s="30">
        <v>542000000</v>
      </c>
      <c r="M260" s="30">
        <v>591000000</v>
      </c>
      <c r="N260" s="30">
        <v>630000000</v>
      </c>
      <c r="O260" s="30">
        <v>665000000</v>
      </c>
      <c r="P260" s="30">
        <v>689000000</v>
      </c>
      <c r="Q260" s="30">
        <v>709000000</v>
      </c>
      <c r="R260" s="30">
        <v>707000000</v>
      </c>
      <c r="S260" s="30">
        <v>695000000</v>
      </c>
      <c r="T260" s="30">
        <v>696000000</v>
      </c>
      <c r="U260" s="30">
        <v>694000000</v>
      </c>
      <c r="V260" s="30">
        <v>696000000</v>
      </c>
      <c r="W260" s="30">
        <v>692000000</v>
      </c>
      <c r="X260" s="30">
        <v>689000000</v>
      </c>
      <c r="Y260" s="30">
        <v>678000000</v>
      </c>
      <c r="Z260" s="30">
        <v>655000000</v>
      </c>
      <c r="AA260" s="30">
        <v>623000000</v>
      </c>
      <c r="AB260" s="30">
        <v>585000000</v>
      </c>
      <c r="AC260" s="62">
        <v>546000000</v>
      </c>
      <c r="AD260" t="str">
        <f>INDEX('Category Mapping'!$G$28:$G$39,MATCH(E260,'Category Mapping'!$A$28:$A$39,0),1)</f>
        <v>Summer</v>
      </c>
      <c r="AE260" t="str">
        <f>INDEX('Category Mapping'!$B$2:$B$25,MATCH('Source Data'!A260,'Category Mapping'!$A$2:$A$25,0))</f>
        <v>Weekend</v>
      </c>
      <c r="AF260" t="str">
        <f>INDEX('Category Mapping'!$C$2:$C$25,MATCH('Source Data'!A260,'Category Mapping'!$A$2:$A$25,0))</f>
        <v>All Sectors</v>
      </c>
      <c r="AG260" t="str">
        <f>INDEX('Category Mapping'!$D$2:$D$25,MATCH('Source Data'!A260,'Category Mapping'!$A$2:$A$25,0))</f>
        <v>Total</v>
      </c>
    </row>
    <row r="261" spans="1:33" x14ac:dyDescent="0.3">
      <c r="A261" s="16" t="s">
        <v>112</v>
      </c>
      <c r="B261" s="17">
        <v>2019</v>
      </c>
      <c r="C261" s="17">
        <v>19</v>
      </c>
      <c r="D261" s="17" t="s">
        <v>269</v>
      </c>
      <c r="E261" s="17">
        <v>7</v>
      </c>
      <c r="F261" s="31">
        <v>600000000</v>
      </c>
      <c r="G261" s="31">
        <v>574000000</v>
      </c>
      <c r="H261" s="31">
        <v>564000000</v>
      </c>
      <c r="I261" s="31">
        <v>563000000</v>
      </c>
      <c r="J261" s="31">
        <v>573000000</v>
      </c>
      <c r="K261" s="31">
        <v>593000000</v>
      </c>
      <c r="L261" s="31">
        <v>626000000</v>
      </c>
      <c r="M261" s="31">
        <v>680000000</v>
      </c>
      <c r="N261" s="31">
        <v>723000000</v>
      </c>
      <c r="O261" s="31">
        <v>763000000</v>
      </c>
      <c r="P261" s="31">
        <v>790000000</v>
      </c>
      <c r="Q261" s="31">
        <v>814000000</v>
      </c>
      <c r="R261" s="31">
        <v>816000000</v>
      </c>
      <c r="S261" s="31">
        <v>806000000</v>
      </c>
      <c r="T261" s="31">
        <v>808000000</v>
      </c>
      <c r="U261" s="31">
        <v>805000000</v>
      </c>
      <c r="V261" s="31">
        <v>804000000</v>
      </c>
      <c r="W261" s="31">
        <v>798000000</v>
      </c>
      <c r="X261" s="31">
        <v>793000000</v>
      </c>
      <c r="Y261" s="31">
        <v>778000000</v>
      </c>
      <c r="Z261" s="31">
        <v>750000000</v>
      </c>
      <c r="AA261" s="31">
        <v>714000000</v>
      </c>
      <c r="AB261" s="31">
        <v>671000000</v>
      </c>
      <c r="AC261" s="61">
        <v>626000000</v>
      </c>
      <c r="AD261" t="str">
        <f>INDEX('Category Mapping'!$G$28:$G$39,MATCH(E261,'Category Mapping'!$A$28:$A$39,0),1)</f>
        <v>Summer</v>
      </c>
      <c r="AE261" t="str">
        <f>INDEX('Category Mapping'!$B$2:$B$25,MATCH('Source Data'!A261,'Category Mapping'!$A$2:$A$25,0))</f>
        <v>Weekend</v>
      </c>
      <c r="AF261" t="str">
        <f>INDEX('Category Mapping'!$C$2:$C$25,MATCH('Source Data'!A261,'Category Mapping'!$A$2:$A$25,0))</f>
        <v>All Sectors</v>
      </c>
      <c r="AG261" t="str">
        <f>INDEX('Category Mapping'!$D$2:$D$25,MATCH('Source Data'!A261,'Category Mapping'!$A$2:$A$25,0))</f>
        <v>Total</v>
      </c>
    </row>
    <row r="262" spans="1:33" x14ac:dyDescent="0.3">
      <c r="A262" s="18" t="s">
        <v>112</v>
      </c>
      <c r="B262" s="19">
        <v>2019</v>
      </c>
      <c r="C262" s="19">
        <v>19</v>
      </c>
      <c r="D262" s="19" t="s">
        <v>269</v>
      </c>
      <c r="E262" s="19">
        <v>8</v>
      </c>
      <c r="F262" s="30">
        <v>630000000</v>
      </c>
      <c r="G262" s="30">
        <v>602000000</v>
      </c>
      <c r="H262" s="30">
        <v>592000000</v>
      </c>
      <c r="I262" s="30">
        <v>592000000</v>
      </c>
      <c r="J262" s="30">
        <v>603000000</v>
      </c>
      <c r="K262" s="30">
        <v>628000000</v>
      </c>
      <c r="L262" s="30">
        <v>664000000</v>
      </c>
      <c r="M262" s="30">
        <v>722000000</v>
      </c>
      <c r="N262" s="30">
        <v>770000000</v>
      </c>
      <c r="O262" s="30">
        <v>813000000</v>
      </c>
      <c r="P262" s="30">
        <v>844000000</v>
      </c>
      <c r="Q262" s="30">
        <v>872000000</v>
      </c>
      <c r="R262" s="30">
        <v>876000000</v>
      </c>
      <c r="S262" s="30">
        <v>868000000</v>
      </c>
      <c r="T262" s="30">
        <v>870000000</v>
      </c>
      <c r="U262" s="30">
        <v>867000000</v>
      </c>
      <c r="V262" s="30">
        <v>865000000</v>
      </c>
      <c r="W262" s="30">
        <v>859000000</v>
      </c>
      <c r="X262" s="30">
        <v>857000000</v>
      </c>
      <c r="Y262" s="30">
        <v>829000000</v>
      </c>
      <c r="Z262" s="30">
        <v>797000000</v>
      </c>
      <c r="AA262" s="30">
        <v>756000000</v>
      </c>
      <c r="AB262" s="30">
        <v>709000000</v>
      </c>
      <c r="AC262" s="62">
        <v>660000000</v>
      </c>
      <c r="AD262" t="str">
        <f>INDEX('Category Mapping'!$G$28:$G$39,MATCH(E262,'Category Mapping'!$A$28:$A$39,0),1)</f>
        <v>Summer</v>
      </c>
      <c r="AE262" t="str">
        <f>INDEX('Category Mapping'!$B$2:$B$25,MATCH('Source Data'!A262,'Category Mapping'!$A$2:$A$25,0))</f>
        <v>Weekend</v>
      </c>
      <c r="AF262" t="str">
        <f>INDEX('Category Mapping'!$C$2:$C$25,MATCH('Source Data'!A262,'Category Mapping'!$A$2:$A$25,0))</f>
        <v>All Sectors</v>
      </c>
      <c r="AG262" t="str">
        <f>INDEX('Category Mapping'!$D$2:$D$25,MATCH('Source Data'!A262,'Category Mapping'!$A$2:$A$25,0))</f>
        <v>Total</v>
      </c>
    </row>
    <row r="263" spans="1:33" x14ac:dyDescent="0.3">
      <c r="A263" s="16" t="s">
        <v>112</v>
      </c>
      <c r="B263" s="17">
        <v>2019</v>
      </c>
      <c r="C263" s="17">
        <v>19</v>
      </c>
      <c r="D263" s="17" t="s">
        <v>269</v>
      </c>
      <c r="E263" s="17">
        <v>9</v>
      </c>
      <c r="F263" s="31">
        <v>519000000</v>
      </c>
      <c r="G263" s="31">
        <v>499000000</v>
      </c>
      <c r="H263" s="31">
        <v>492000000</v>
      </c>
      <c r="I263" s="31">
        <v>489000000</v>
      </c>
      <c r="J263" s="31">
        <v>493000000</v>
      </c>
      <c r="K263" s="31">
        <v>507000000</v>
      </c>
      <c r="L263" s="31">
        <v>532000000</v>
      </c>
      <c r="M263" s="31">
        <v>574000000</v>
      </c>
      <c r="N263" s="31">
        <v>610000000</v>
      </c>
      <c r="O263" s="31">
        <v>644000000</v>
      </c>
      <c r="P263" s="31">
        <v>667000000</v>
      </c>
      <c r="Q263" s="31">
        <v>686000000</v>
      </c>
      <c r="R263" s="31">
        <v>683000000</v>
      </c>
      <c r="S263" s="31">
        <v>671000000</v>
      </c>
      <c r="T263" s="31">
        <v>671000000</v>
      </c>
      <c r="U263" s="31">
        <v>669000000</v>
      </c>
      <c r="V263" s="31">
        <v>671000000</v>
      </c>
      <c r="W263" s="31">
        <v>677000000</v>
      </c>
      <c r="X263" s="31">
        <v>677000000</v>
      </c>
      <c r="Y263" s="31">
        <v>658000000</v>
      </c>
      <c r="Z263" s="31">
        <v>636000000</v>
      </c>
      <c r="AA263" s="31">
        <v>606000000</v>
      </c>
      <c r="AB263" s="31">
        <v>571000000</v>
      </c>
      <c r="AC263" s="61">
        <v>536000000</v>
      </c>
      <c r="AD263" t="str">
        <f>INDEX('Category Mapping'!$G$28:$G$39,MATCH(E263,'Category Mapping'!$A$28:$A$39,0),1)</f>
        <v>Fall</v>
      </c>
      <c r="AE263" t="str">
        <f>INDEX('Category Mapping'!$B$2:$B$25,MATCH('Source Data'!A263,'Category Mapping'!$A$2:$A$25,0))</f>
        <v>Weekend</v>
      </c>
      <c r="AF263" t="str">
        <f>INDEX('Category Mapping'!$C$2:$C$25,MATCH('Source Data'!A263,'Category Mapping'!$A$2:$A$25,0))</f>
        <v>All Sectors</v>
      </c>
      <c r="AG263" t="str">
        <f>INDEX('Category Mapping'!$D$2:$D$25,MATCH('Source Data'!A263,'Category Mapping'!$A$2:$A$25,0))</f>
        <v>Total</v>
      </c>
    </row>
    <row r="264" spans="1:33" x14ac:dyDescent="0.3">
      <c r="A264" s="18" t="s">
        <v>112</v>
      </c>
      <c r="B264" s="19">
        <v>2019</v>
      </c>
      <c r="C264" s="19">
        <v>19</v>
      </c>
      <c r="D264" s="19" t="s">
        <v>269</v>
      </c>
      <c r="E264" s="19">
        <v>10</v>
      </c>
      <c r="F264" s="30">
        <v>495000000</v>
      </c>
      <c r="G264" s="30">
        <v>476000000</v>
      </c>
      <c r="H264" s="30">
        <v>468000000</v>
      </c>
      <c r="I264" s="30">
        <v>466000000</v>
      </c>
      <c r="J264" s="30">
        <v>470000000</v>
      </c>
      <c r="K264" s="30">
        <v>484000000</v>
      </c>
      <c r="L264" s="30">
        <v>515000000</v>
      </c>
      <c r="M264" s="30">
        <v>547000000</v>
      </c>
      <c r="N264" s="30">
        <v>572000000</v>
      </c>
      <c r="O264" s="30">
        <v>596000000</v>
      </c>
      <c r="P264" s="30">
        <v>610000000</v>
      </c>
      <c r="Q264" s="30">
        <v>619000000</v>
      </c>
      <c r="R264" s="30">
        <v>610000000</v>
      </c>
      <c r="S264" s="30">
        <v>594000000</v>
      </c>
      <c r="T264" s="30">
        <v>593000000</v>
      </c>
      <c r="U264" s="30">
        <v>592000000</v>
      </c>
      <c r="V264" s="30">
        <v>600000000</v>
      </c>
      <c r="W264" s="30">
        <v>621000000</v>
      </c>
      <c r="X264" s="30">
        <v>617000000</v>
      </c>
      <c r="Y264" s="30">
        <v>607000000</v>
      </c>
      <c r="Z264" s="30">
        <v>595000000</v>
      </c>
      <c r="AA264" s="30">
        <v>573000000</v>
      </c>
      <c r="AB264" s="30">
        <v>543000000</v>
      </c>
      <c r="AC264" s="62">
        <v>512000000</v>
      </c>
      <c r="AD264" t="str">
        <f>INDEX('Category Mapping'!$G$28:$G$39,MATCH(E264,'Category Mapping'!$A$28:$A$39,0),1)</f>
        <v>Fall</v>
      </c>
      <c r="AE264" t="str">
        <f>INDEX('Category Mapping'!$B$2:$B$25,MATCH('Source Data'!A264,'Category Mapping'!$A$2:$A$25,0))</f>
        <v>Weekend</v>
      </c>
      <c r="AF264" t="str">
        <f>INDEX('Category Mapping'!$C$2:$C$25,MATCH('Source Data'!A264,'Category Mapping'!$A$2:$A$25,0))</f>
        <v>All Sectors</v>
      </c>
      <c r="AG264" t="str">
        <f>INDEX('Category Mapping'!$D$2:$D$25,MATCH('Source Data'!A264,'Category Mapping'!$A$2:$A$25,0))</f>
        <v>Total</v>
      </c>
    </row>
    <row r="265" spans="1:33" x14ac:dyDescent="0.3">
      <c r="A265" s="16" t="s">
        <v>112</v>
      </c>
      <c r="B265" s="17">
        <v>2019</v>
      </c>
      <c r="C265" s="17">
        <v>19</v>
      </c>
      <c r="D265" s="17" t="s">
        <v>269</v>
      </c>
      <c r="E265" s="17">
        <v>11</v>
      </c>
      <c r="F265" s="31">
        <v>508000000</v>
      </c>
      <c r="G265" s="31">
        <v>488000000</v>
      </c>
      <c r="H265" s="31">
        <v>480000000</v>
      </c>
      <c r="I265" s="31">
        <v>478000000</v>
      </c>
      <c r="J265" s="31">
        <v>482000000</v>
      </c>
      <c r="K265" s="31">
        <v>496000000</v>
      </c>
      <c r="L265" s="31">
        <v>527000000</v>
      </c>
      <c r="M265" s="31">
        <v>571000000</v>
      </c>
      <c r="N265" s="31">
        <v>593000000</v>
      </c>
      <c r="O265" s="31">
        <v>616000000</v>
      </c>
      <c r="P265" s="31">
        <v>628000000</v>
      </c>
      <c r="Q265" s="31">
        <v>635000000</v>
      </c>
      <c r="R265" s="31">
        <v>624000000</v>
      </c>
      <c r="S265" s="31">
        <v>607000000</v>
      </c>
      <c r="T265" s="31">
        <v>606000000</v>
      </c>
      <c r="U265" s="31">
        <v>605000000</v>
      </c>
      <c r="V265" s="31">
        <v>621000000</v>
      </c>
      <c r="W265" s="31">
        <v>638000000</v>
      </c>
      <c r="X265" s="31">
        <v>635000000</v>
      </c>
      <c r="Y265" s="31">
        <v>624000000</v>
      </c>
      <c r="Z265" s="31">
        <v>612000000</v>
      </c>
      <c r="AA265" s="31">
        <v>590000000</v>
      </c>
      <c r="AB265" s="31">
        <v>559000000</v>
      </c>
      <c r="AC265" s="61">
        <v>526000000</v>
      </c>
      <c r="AD265" t="str">
        <f>INDEX('Category Mapping'!$G$28:$G$39,MATCH(E265,'Category Mapping'!$A$28:$A$39,0),1)</f>
        <v>Winter</v>
      </c>
      <c r="AE265" t="str">
        <f>INDEX('Category Mapping'!$B$2:$B$25,MATCH('Source Data'!A265,'Category Mapping'!$A$2:$A$25,0))</f>
        <v>Weekend</v>
      </c>
      <c r="AF265" t="str">
        <f>INDEX('Category Mapping'!$C$2:$C$25,MATCH('Source Data'!A265,'Category Mapping'!$A$2:$A$25,0))</f>
        <v>All Sectors</v>
      </c>
      <c r="AG265" t="str">
        <f>INDEX('Category Mapping'!$D$2:$D$25,MATCH('Source Data'!A265,'Category Mapping'!$A$2:$A$25,0))</f>
        <v>Total</v>
      </c>
    </row>
    <row r="266" spans="1:33" x14ac:dyDescent="0.3">
      <c r="A266" s="18" t="s">
        <v>112</v>
      </c>
      <c r="B266" s="19">
        <v>2019</v>
      </c>
      <c r="C266" s="19">
        <v>19</v>
      </c>
      <c r="D266" s="19" t="s">
        <v>269</v>
      </c>
      <c r="E266" s="19">
        <v>12</v>
      </c>
      <c r="F266" s="30">
        <v>496000000</v>
      </c>
      <c r="G266" s="30">
        <v>476000000</v>
      </c>
      <c r="H266" s="30">
        <v>467000000</v>
      </c>
      <c r="I266" s="30">
        <v>465000000</v>
      </c>
      <c r="J266" s="30">
        <v>469000000</v>
      </c>
      <c r="K266" s="30">
        <v>483000000</v>
      </c>
      <c r="L266" s="30">
        <v>513000000</v>
      </c>
      <c r="M266" s="30">
        <v>573000000</v>
      </c>
      <c r="N266" s="30">
        <v>594000000</v>
      </c>
      <c r="O266" s="30">
        <v>614000000</v>
      </c>
      <c r="P266" s="30">
        <v>624000000</v>
      </c>
      <c r="Q266" s="30">
        <v>629000000</v>
      </c>
      <c r="R266" s="30">
        <v>618000000</v>
      </c>
      <c r="S266" s="30">
        <v>599000000</v>
      </c>
      <c r="T266" s="30">
        <v>597000000</v>
      </c>
      <c r="U266" s="30">
        <v>596000000</v>
      </c>
      <c r="V266" s="30">
        <v>624000000</v>
      </c>
      <c r="W266" s="30">
        <v>630000000</v>
      </c>
      <c r="X266" s="30">
        <v>630000000</v>
      </c>
      <c r="Y266" s="30">
        <v>613000000</v>
      </c>
      <c r="Z266" s="30">
        <v>602000000</v>
      </c>
      <c r="AA266" s="30">
        <v>580000000</v>
      </c>
      <c r="AB266" s="30">
        <v>550000000</v>
      </c>
      <c r="AC266" s="62">
        <v>515000000</v>
      </c>
      <c r="AD266" t="str">
        <f>INDEX('Category Mapping'!$G$28:$G$39,MATCH(E266,'Category Mapping'!$A$28:$A$39,0),1)</f>
        <v>Winter</v>
      </c>
      <c r="AE266" t="str">
        <f>INDEX('Category Mapping'!$B$2:$B$25,MATCH('Source Data'!A266,'Category Mapping'!$A$2:$A$25,0))</f>
        <v>Weekend</v>
      </c>
      <c r="AF266" t="str">
        <f>INDEX('Category Mapping'!$C$2:$C$25,MATCH('Source Data'!A266,'Category Mapping'!$A$2:$A$25,0))</f>
        <v>All Sectors</v>
      </c>
      <c r="AG266" t="str">
        <f>INDEX('Category Mapping'!$D$2:$D$25,MATCH('Source Data'!A266,'Category Mapping'!$A$2:$A$25,0))</f>
        <v>Total</v>
      </c>
    </row>
    <row r="267" spans="1:33" x14ac:dyDescent="0.3">
      <c r="A267" s="16" t="s">
        <v>113</v>
      </c>
      <c r="B267" s="17">
        <v>2019</v>
      </c>
      <c r="C267" s="17">
        <v>19</v>
      </c>
      <c r="D267" s="17" t="s">
        <v>269</v>
      </c>
      <c r="E267" s="17">
        <v>1</v>
      </c>
      <c r="F267" s="31">
        <v>5047694</v>
      </c>
      <c r="G267" s="31">
        <v>4979874</v>
      </c>
      <c r="H267" s="31">
        <v>4962456</v>
      </c>
      <c r="I267" s="31">
        <v>4978492</v>
      </c>
      <c r="J267" s="31">
        <v>4961019</v>
      </c>
      <c r="K267" s="31">
        <v>5094226</v>
      </c>
      <c r="L267" s="31">
        <v>7632037</v>
      </c>
      <c r="M267" s="31">
        <v>16000000</v>
      </c>
      <c r="N267" s="31">
        <v>17400000</v>
      </c>
      <c r="O267" s="31">
        <v>15400000</v>
      </c>
      <c r="P267" s="31">
        <v>12400000</v>
      </c>
      <c r="Q267" s="31">
        <v>12500000</v>
      </c>
      <c r="R267" s="31">
        <v>12700000</v>
      </c>
      <c r="S267" s="31">
        <v>12600000</v>
      </c>
      <c r="T267" s="31">
        <v>12500000</v>
      </c>
      <c r="U267" s="31">
        <v>14800000</v>
      </c>
      <c r="V267" s="31">
        <v>17100000</v>
      </c>
      <c r="W267" s="31">
        <v>18000000</v>
      </c>
      <c r="X267" s="31">
        <v>16500000</v>
      </c>
      <c r="Y267" s="31">
        <v>13500000</v>
      </c>
      <c r="Z267" s="31">
        <v>12400000</v>
      </c>
      <c r="AA267" s="31">
        <v>11700000</v>
      </c>
      <c r="AB267" s="31">
        <v>11100000</v>
      </c>
      <c r="AC267" s="61">
        <v>7452133</v>
      </c>
      <c r="AD267" t="str">
        <f>INDEX('Category Mapping'!$G$28:$G$39,MATCH(E267,'Category Mapping'!$A$28:$A$39,0),1)</f>
        <v>Winter</v>
      </c>
      <c r="AE267" t="str">
        <f>INDEX('Category Mapping'!$B$2:$B$25,MATCH('Source Data'!A267,'Category Mapping'!$A$2:$A$25,0))</f>
        <v>Weekday</v>
      </c>
      <c r="AF267" t="str">
        <f>INDEX('Category Mapping'!$C$2:$C$25,MATCH('Source Data'!A267,'Category Mapping'!$A$2:$A$25,0))</f>
        <v>Transportation</v>
      </c>
      <c r="AG267" t="str">
        <f>INDEX('Category Mapping'!$D$2:$D$25,MATCH('Source Data'!A267,'Category Mapping'!$A$2:$A$25,0))</f>
        <v>Transportation</v>
      </c>
    </row>
    <row r="268" spans="1:33" x14ac:dyDescent="0.3">
      <c r="A268" s="18" t="s">
        <v>113</v>
      </c>
      <c r="B268" s="19">
        <v>2019</v>
      </c>
      <c r="C268" s="19">
        <v>19</v>
      </c>
      <c r="D268" s="19" t="s">
        <v>269</v>
      </c>
      <c r="E268" s="19">
        <v>2</v>
      </c>
      <c r="F268" s="30">
        <v>4913547</v>
      </c>
      <c r="G268" s="30">
        <v>4845727</v>
      </c>
      <c r="H268" s="30">
        <v>4828309</v>
      </c>
      <c r="I268" s="30">
        <v>4844345</v>
      </c>
      <c r="J268" s="30">
        <v>4826872</v>
      </c>
      <c r="K268" s="30">
        <v>4960079</v>
      </c>
      <c r="L268" s="30">
        <v>7438962</v>
      </c>
      <c r="M268" s="30">
        <v>15600000</v>
      </c>
      <c r="N268" s="30">
        <v>17000000</v>
      </c>
      <c r="O268" s="30">
        <v>15100000</v>
      </c>
      <c r="P268" s="30">
        <v>12100000</v>
      </c>
      <c r="Q268" s="30">
        <v>12200000</v>
      </c>
      <c r="R268" s="30">
        <v>12400000</v>
      </c>
      <c r="S268" s="30">
        <v>12300000</v>
      </c>
      <c r="T268" s="30">
        <v>12200000</v>
      </c>
      <c r="U268" s="30">
        <v>14500000</v>
      </c>
      <c r="V268" s="30">
        <v>16700000</v>
      </c>
      <c r="W268" s="30">
        <v>17600000</v>
      </c>
      <c r="X268" s="30">
        <v>16200000</v>
      </c>
      <c r="Y268" s="30">
        <v>13200000</v>
      </c>
      <c r="Z268" s="30">
        <v>12100000</v>
      </c>
      <c r="AA268" s="30">
        <v>11400000</v>
      </c>
      <c r="AB268" s="30">
        <v>10800000</v>
      </c>
      <c r="AC268" s="62">
        <v>7259058</v>
      </c>
      <c r="AD268" t="str">
        <f>INDEX('Category Mapping'!$G$28:$G$39,MATCH(E268,'Category Mapping'!$A$28:$A$39,0),1)</f>
        <v>Winter</v>
      </c>
      <c r="AE268" t="str">
        <f>INDEX('Category Mapping'!$B$2:$B$25,MATCH('Source Data'!A268,'Category Mapping'!$A$2:$A$25,0))</f>
        <v>Weekday</v>
      </c>
      <c r="AF268" t="str">
        <f>INDEX('Category Mapping'!$C$2:$C$25,MATCH('Source Data'!A268,'Category Mapping'!$A$2:$A$25,0))</f>
        <v>Transportation</v>
      </c>
      <c r="AG268" t="str">
        <f>INDEX('Category Mapping'!$D$2:$D$25,MATCH('Source Data'!A268,'Category Mapping'!$A$2:$A$25,0))</f>
        <v>Transportation</v>
      </c>
    </row>
    <row r="269" spans="1:33" x14ac:dyDescent="0.3">
      <c r="A269" s="16" t="s">
        <v>113</v>
      </c>
      <c r="B269" s="17">
        <v>2019</v>
      </c>
      <c r="C269" s="17">
        <v>19</v>
      </c>
      <c r="D269" s="17" t="s">
        <v>269</v>
      </c>
      <c r="E269" s="17">
        <v>3</v>
      </c>
      <c r="F269" s="31">
        <v>4779367</v>
      </c>
      <c r="G269" s="31">
        <v>4711547</v>
      </c>
      <c r="H269" s="31">
        <v>4694129</v>
      </c>
      <c r="I269" s="31">
        <v>4710164</v>
      </c>
      <c r="J269" s="31">
        <v>4692691</v>
      </c>
      <c r="K269" s="31">
        <v>4825898</v>
      </c>
      <c r="L269" s="31">
        <v>7245839</v>
      </c>
      <c r="M269" s="31">
        <v>15300000</v>
      </c>
      <c r="N269" s="31">
        <v>16600000</v>
      </c>
      <c r="O269" s="31">
        <v>14700000</v>
      </c>
      <c r="P269" s="31">
        <v>11900000</v>
      </c>
      <c r="Q269" s="31">
        <v>11900000</v>
      </c>
      <c r="R269" s="31">
        <v>12100000</v>
      </c>
      <c r="S269" s="31">
        <v>12100000</v>
      </c>
      <c r="T269" s="31">
        <v>11900000</v>
      </c>
      <c r="U269" s="31">
        <v>14100000</v>
      </c>
      <c r="V269" s="31">
        <v>16300000</v>
      </c>
      <c r="W269" s="31">
        <v>17200000</v>
      </c>
      <c r="X269" s="31">
        <v>15900000</v>
      </c>
      <c r="Y269" s="31">
        <v>12900000</v>
      </c>
      <c r="Z269" s="31">
        <v>11900000</v>
      </c>
      <c r="AA269" s="31">
        <v>11100000</v>
      </c>
      <c r="AB269" s="31">
        <v>10500000</v>
      </c>
      <c r="AC269" s="61">
        <v>7065935</v>
      </c>
      <c r="AD269" t="str">
        <f>INDEX('Category Mapping'!$G$28:$G$39,MATCH(E269,'Category Mapping'!$A$28:$A$39,0),1)</f>
        <v>Spring</v>
      </c>
      <c r="AE269" t="str">
        <f>INDEX('Category Mapping'!$B$2:$B$25,MATCH('Source Data'!A269,'Category Mapping'!$A$2:$A$25,0))</f>
        <v>Weekday</v>
      </c>
      <c r="AF269" t="str">
        <f>INDEX('Category Mapping'!$C$2:$C$25,MATCH('Source Data'!A269,'Category Mapping'!$A$2:$A$25,0))</f>
        <v>Transportation</v>
      </c>
      <c r="AG269" t="str">
        <f>INDEX('Category Mapping'!$D$2:$D$25,MATCH('Source Data'!A269,'Category Mapping'!$A$2:$A$25,0))</f>
        <v>Transportation</v>
      </c>
    </row>
    <row r="270" spans="1:33" x14ac:dyDescent="0.3">
      <c r="A270" s="18" t="s">
        <v>113</v>
      </c>
      <c r="B270" s="19">
        <v>2019</v>
      </c>
      <c r="C270" s="19">
        <v>19</v>
      </c>
      <c r="D270" s="19" t="s">
        <v>269</v>
      </c>
      <c r="E270" s="19">
        <v>4</v>
      </c>
      <c r="F270" s="30">
        <v>4642425</v>
      </c>
      <c r="G270" s="30">
        <v>4574605</v>
      </c>
      <c r="H270" s="30">
        <v>4557187</v>
      </c>
      <c r="I270" s="30">
        <v>4573223</v>
      </c>
      <c r="J270" s="30">
        <v>4555750</v>
      </c>
      <c r="K270" s="30">
        <v>4688957</v>
      </c>
      <c r="L270" s="30">
        <v>7048742</v>
      </c>
      <c r="M270" s="30">
        <v>14900000</v>
      </c>
      <c r="N270" s="30">
        <v>16200000</v>
      </c>
      <c r="O270" s="30">
        <v>14400000</v>
      </c>
      <c r="P270" s="30">
        <v>11600000</v>
      </c>
      <c r="Q270" s="30">
        <v>11600000</v>
      </c>
      <c r="R270" s="30">
        <v>11800000</v>
      </c>
      <c r="S270" s="30">
        <v>11800000</v>
      </c>
      <c r="T270" s="30">
        <v>11600000</v>
      </c>
      <c r="U270" s="30">
        <v>13800000</v>
      </c>
      <c r="V270" s="30">
        <v>15900000</v>
      </c>
      <c r="W270" s="30">
        <v>16800000</v>
      </c>
      <c r="X270" s="30">
        <v>15500000</v>
      </c>
      <c r="Y270" s="30">
        <v>12700000</v>
      </c>
      <c r="Z270" s="30">
        <v>11600000</v>
      </c>
      <c r="AA270" s="30">
        <v>10800000</v>
      </c>
      <c r="AB270" s="30">
        <v>10200000</v>
      </c>
      <c r="AC270" s="62">
        <v>6868838</v>
      </c>
      <c r="AD270" t="str">
        <f>INDEX('Category Mapping'!$G$28:$G$39,MATCH(E270,'Category Mapping'!$A$28:$A$39,0),1)</f>
        <v>Spring</v>
      </c>
      <c r="AE270" t="str">
        <f>INDEX('Category Mapping'!$B$2:$B$25,MATCH('Source Data'!A270,'Category Mapping'!$A$2:$A$25,0))</f>
        <v>Weekday</v>
      </c>
      <c r="AF270" t="str">
        <f>INDEX('Category Mapping'!$C$2:$C$25,MATCH('Source Data'!A270,'Category Mapping'!$A$2:$A$25,0))</f>
        <v>Transportation</v>
      </c>
      <c r="AG270" t="str">
        <f>INDEX('Category Mapping'!$D$2:$D$25,MATCH('Source Data'!A270,'Category Mapping'!$A$2:$A$25,0))</f>
        <v>Transportation</v>
      </c>
    </row>
    <row r="271" spans="1:33" x14ac:dyDescent="0.3">
      <c r="A271" s="16" t="s">
        <v>113</v>
      </c>
      <c r="B271" s="17">
        <v>2019</v>
      </c>
      <c r="C271" s="17">
        <v>19</v>
      </c>
      <c r="D271" s="17" t="s">
        <v>269</v>
      </c>
      <c r="E271" s="17">
        <v>5</v>
      </c>
      <c r="F271" s="31">
        <v>4497066</v>
      </c>
      <c r="G271" s="31">
        <v>4429246</v>
      </c>
      <c r="H271" s="31">
        <v>4411828</v>
      </c>
      <c r="I271" s="31">
        <v>4427863</v>
      </c>
      <c r="J271" s="31">
        <v>4410390</v>
      </c>
      <c r="K271" s="31">
        <v>4543597</v>
      </c>
      <c r="L271" s="31">
        <v>6839529</v>
      </c>
      <c r="M271" s="31">
        <v>14400000</v>
      </c>
      <c r="N271" s="31">
        <v>15800000</v>
      </c>
      <c r="O271" s="31">
        <v>14000000</v>
      </c>
      <c r="P271" s="31">
        <v>11300000</v>
      </c>
      <c r="Q271" s="31">
        <v>11300000</v>
      </c>
      <c r="R271" s="31">
        <v>11500000</v>
      </c>
      <c r="S271" s="31">
        <v>11500000</v>
      </c>
      <c r="T271" s="31">
        <v>11300000</v>
      </c>
      <c r="U271" s="31">
        <v>13400000</v>
      </c>
      <c r="V271" s="31">
        <v>15500000</v>
      </c>
      <c r="W271" s="31">
        <v>16400000</v>
      </c>
      <c r="X271" s="31">
        <v>15100000</v>
      </c>
      <c r="Y271" s="31">
        <v>12300000</v>
      </c>
      <c r="Z271" s="31">
        <v>11200000</v>
      </c>
      <c r="AA271" s="31">
        <v>10500000</v>
      </c>
      <c r="AB271" s="31">
        <v>9890570</v>
      </c>
      <c r="AC271" s="61">
        <v>6659625</v>
      </c>
      <c r="AD271" t="str">
        <f>INDEX('Category Mapping'!$G$28:$G$39,MATCH(E271,'Category Mapping'!$A$28:$A$39,0),1)</f>
        <v>Spring</v>
      </c>
      <c r="AE271" t="str">
        <f>INDEX('Category Mapping'!$B$2:$B$25,MATCH('Source Data'!A271,'Category Mapping'!$A$2:$A$25,0))</f>
        <v>Weekday</v>
      </c>
      <c r="AF271" t="str">
        <f>INDEX('Category Mapping'!$C$2:$C$25,MATCH('Source Data'!A271,'Category Mapping'!$A$2:$A$25,0))</f>
        <v>Transportation</v>
      </c>
      <c r="AG271" t="str">
        <f>INDEX('Category Mapping'!$D$2:$D$25,MATCH('Source Data'!A271,'Category Mapping'!$A$2:$A$25,0))</f>
        <v>Transportation</v>
      </c>
    </row>
    <row r="272" spans="1:33" x14ac:dyDescent="0.3">
      <c r="A272" s="18" t="s">
        <v>113</v>
      </c>
      <c r="B272" s="19">
        <v>2019</v>
      </c>
      <c r="C272" s="19">
        <v>19</v>
      </c>
      <c r="D272" s="19" t="s">
        <v>269</v>
      </c>
      <c r="E272" s="19">
        <v>6</v>
      </c>
      <c r="F272" s="30">
        <v>4351740</v>
      </c>
      <c r="G272" s="30">
        <v>4283920</v>
      </c>
      <c r="H272" s="30">
        <v>4266502</v>
      </c>
      <c r="I272" s="30">
        <v>4282538</v>
      </c>
      <c r="J272" s="30">
        <v>4265065</v>
      </c>
      <c r="K272" s="30">
        <v>4398272</v>
      </c>
      <c r="L272" s="30">
        <v>6630364</v>
      </c>
      <c r="M272" s="30">
        <v>14000000</v>
      </c>
      <c r="N272" s="30">
        <v>15400000</v>
      </c>
      <c r="O272" s="30">
        <v>13600000</v>
      </c>
      <c r="P272" s="30">
        <v>10900000</v>
      </c>
      <c r="Q272" s="30">
        <v>11000000</v>
      </c>
      <c r="R272" s="30">
        <v>11200000</v>
      </c>
      <c r="S272" s="30">
        <v>11100000</v>
      </c>
      <c r="T272" s="30">
        <v>11000000</v>
      </c>
      <c r="U272" s="30">
        <v>13000000</v>
      </c>
      <c r="V272" s="30">
        <v>15100000</v>
      </c>
      <c r="W272" s="30">
        <v>16000000</v>
      </c>
      <c r="X272" s="30">
        <v>14800000</v>
      </c>
      <c r="Y272" s="30">
        <v>12000000</v>
      </c>
      <c r="Z272" s="30">
        <v>10900000</v>
      </c>
      <c r="AA272" s="30">
        <v>10200000</v>
      </c>
      <c r="AB272" s="30">
        <v>9578769</v>
      </c>
      <c r="AC272" s="62">
        <v>6450460</v>
      </c>
      <c r="AD272" t="str">
        <f>INDEX('Category Mapping'!$G$28:$G$39,MATCH(E272,'Category Mapping'!$A$28:$A$39,0),1)</f>
        <v>Summer</v>
      </c>
      <c r="AE272" t="str">
        <f>INDEX('Category Mapping'!$B$2:$B$25,MATCH('Source Data'!A272,'Category Mapping'!$A$2:$A$25,0))</f>
        <v>Weekday</v>
      </c>
      <c r="AF272" t="str">
        <f>INDEX('Category Mapping'!$C$2:$C$25,MATCH('Source Data'!A272,'Category Mapping'!$A$2:$A$25,0))</f>
        <v>Transportation</v>
      </c>
      <c r="AG272" t="str">
        <f>INDEX('Category Mapping'!$D$2:$D$25,MATCH('Source Data'!A272,'Category Mapping'!$A$2:$A$25,0))</f>
        <v>Transportation</v>
      </c>
    </row>
    <row r="273" spans="1:33" x14ac:dyDescent="0.3">
      <c r="A273" s="16" t="s">
        <v>113</v>
      </c>
      <c r="B273" s="17">
        <v>2019</v>
      </c>
      <c r="C273" s="17">
        <v>19</v>
      </c>
      <c r="D273" s="17" t="s">
        <v>269</v>
      </c>
      <c r="E273" s="17">
        <v>7</v>
      </c>
      <c r="F273" s="31">
        <v>4242712</v>
      </c>
      <c r="G273" s="31">
        <v>4174892</v>
      </c>
      <c r="H273" s="31">
        <v>4157474</v>
      </c>
      <c r="I273" s="31">
        <v>4173510</v>
      </c>
      <c r="J273" s="31">
        <v>4156036</v>
      </c>
      <c r="K273" s="31">
        <v>4289243</v>
      </c>
      <c r="L273" s="31">
        <v>6473443</v>
      </c>
      <c r="M273" s="31">
        <v>13700000</v>
      </c>
      <c r="N273" s="31">
        <v>15100000</v>
      </c>
      <c r="O273" s="31">
        <v>13400000</v>
      </c>
      <c r="P273" s="31">
        <v>10700000</v>
      </c>
      <c r="Q273" s="31">
        <v>10700000</v>
      </c>
      <c r="R273" s="31">
        <v>11000000</v>
      </c>
      <c r="S273" s="31">
        <v>10900000</v>
      </c>
      <c r="T273" s="31">
        <v>10700000</v>
      </c>
      <c r="U273" s="31">
        <v>12700000</v>
      </c>
      <c r="V273" s="31">
        <v>14800000</v>
      </c>
      <c r="W273" s="31">
        <v>15700000</v>
      </c>
      <c r="X273" s="31">
        <v>14500000</v>
      </c>
      <c r="Y273" s="31">
        <v>11800000</v>
      </c>
      <c r="Z273" s="31">
        <v>10700000</v>
      </c>
      <c r="AA273" s="31">
        <v>9965456</v>
      </c>
      <c r="AB273" s="31">
        <v>9344846</v>
      </c>
      <c r="AC273" s="61">
        <v>6293539</v>
      </c>
      <c r="AD273" t="str">
        <f>INDEX('Category Mapping'!$G$28:$G$39,MATCH(E273,'Category Mapping'!$A$28:$A$39,0),1)</f>
        <v>Summer</v>
      </c>
      <c r="AE273" t="str">
        <f>INDEX('Category Mapping'!$B$2:$B$25,MATCH('Source Data'!A273,'Category Mapping'!$A$2:$A$25,0))</f>
        <v>Weekday</v>
      </c>
      <c r="AF273" t="str">
        <f>INDEX('Category Mapping'!$C$2:$C$25,MATCH('Source Data'!A273,'Category Mapping'!$A$2:$A$25,0))</f>
        <v>Transportation</v>
      </c>
      <c r="AG273" t="str">
        <f>INDEX('Category Mapping'!$D$2:$D$25,MATCH('Source Data'!A273,'Category Mapping'!$A$2:$A$25,0))</f>
        <v>Transportation</v>
      </c>
    </row>
    <row r="274" spans="1:33" x14ac:dyDescent="0.3">
      <c r="A274" s="18" t="s">
        <v>113</v>
      </c>
      <c r="B274" s="19">
        <v>2019</v>
      </c>
      <c r="C274" s="19">
        <v>19</v>
      </c>
      <c r="D274" s="19" t="s">
        <v>269</v>
      </c>
      <c r="E274" s="19">
        <v>8</v>
      </c>
      <c r="F274" s="30">
        <v>4393661</v>
      </c>
      <c r="G274" s="30">
        <v>4325841</v>
      </c>
      <c r="H274" s="30">
        <v>4308423</v>
      </c>
      <c r="I274" s="30">
        <v>4324459</v>
      </c>
      <c r="J274" s="30">
        <v>4306986</v>
      </c>
      <c r="K274" s="30">
        <v>4440193</v>
      </c>
      <c r="L274" s="30">
        <v>6690700</v>
      </c>
      <c r="M274" s="30">
        <v>14100000</v>
      </c>
      <c r="N274" s="30">
        <v>15500000</v>
      </c>
      <c r="O274" s="30">
        <v>13700000</v>
      </c>
      <c r="P274" s="30">
        <v>11000000</v>
      </c>
      <c r="Q274" s="30">
        <v>11100000</v>
      </c>
      <c r="R274" s="30">
        <v>11300000</v>
      </c>
      <c r="S274" s="30">
        <v>11200000</v>
      </c>
      <c r="T274" s="30">
        <v>11100000</v>
      </c>
      <c r="U274" s="30">
        <v>13100000</v>
      </c>
      <c r="V274" s="30">
        <v>15200000</v>
      </c>
      <c r="W274" s="30">
        <v>16100000</v>
      </c>
      <c r="X274" s="30">
        <v>14900000</v>
      </c>
      <c r="Y274" s="30">
        <v>12100000</v>
      </c>
      <c r="Z274" s="30">
        <v>11000000</v>
      </c>
      <c r="AA274" s="30">
        <v>10300000</v>
      </c>
      <c r="AB274" s="30">
        <v>9668711</v>
      </c>
      <c r="AC274" s="62">
        <v>6510796</v>
      </c>
      <c r="AD274" t="str">
        <f>INDEX('Category Mapping'!$G$28:$G$39,MATCH(E274,'Category Mapping'!$A$28:$A$39,0),1)</f>
        <v>Summer</v>
      </c>
      <c r="AE274" t="str">
        <f>INDEX('Category Mapping'!$B$2:$B$25,MATCH('Source Data'!A274,'Category Mapping'!$A$2:$A$25,0))</f>
        <v>Weekday</v>
      </c>
      <c r="AF274" t="str">
        <f>INDEX('Category Mapping'!$C$2:$C$25,MATCH('Source Data'!A274,'Category Mapping'!$A$2:$A$25,0))</f>
        <v>Transportation</v>
      </c>
      <c r="AG274" t="str">
        <f>INDEX('Category Mapping'!$D$2:$D$25,MATCH('Source Data'!A274,'Category Mapping'!$A$2:$A$25,0))</f>
        <v>Transportation</v>
      </c>
    </row>
    <row r="275" spans="1:33" x14ac:dyDescent="0.3">
      <c r="A275" s="16" t="s">
        <v>113</v>
      </c>
      <c r="B275" s="17">
        <v>2019</v>
      </c>
      <c r="C275" s="17">
        <v>19</v>
      </c>
      <c r="D275" s="17" t="s">
        <v>269</v>
      </c>
      <c r="E275" s="17">
        <v>9</v>
      </c>
      <c r="F275" s="31">
        <v>4594915</v>
      </c>
      <c r="G275" s="31">
        <v>4527095</v>
      </c>
      <c r="H275" s="31">
        <v>4509677</v>
      </c>
      <c r="I275" s="31">
        <v>4525713</v>
      </c>
      <c r="J275" s="31">
        <v>4508240</v>
      </c>
      <c r="K275" s="31">
        <v>4641447</v>
      </c>
      <c r="L275" s="31">
        <v>6980362</v>
      </c>
      <c r="M275" s="31">
        <v>14700000</v>
      </c>
      <c r="N275" s="31">
        <v>16100000</v>
      </c>
      <c r="O275" s="31">
        <v>14300000</v>
      </c>
      <c r="P275" s="31">
        <v>11500000</v>
      </c>
      <c r="Q275" s="31">
        <v>11500000</v>
      </c>
      <c r="R275" s="31">
        <v>11700000</v>
      </c>
      <c r="S275" s="31">
        <v>11700000</v>
      </c>
      <c r="T275" s="31">
        <v>11500000</v>
      </c>
      <c r="U275" s="31">
        <v>13700000</v>
      </c>
      <c r="V275" s="31">
        <v>15800000</v>
      </c>
      <c r="W275" s="31">
        <v>16700000</v>
      </c>
      <c r="X275" s="31">
        <v>15400000</v>
      </c>
      <c r="Y275" s="31">
        <v>12500000</v>
      </c>
      <c r="Z275" s="31">
        <v>11500000</v>
      </c>
      <c r="AA275" s="31">
        <v>10700000</v>
      </c>
      <c r="AB275" s="31">
        <v>10100000</v>
      </c>
      <c r="AC275" s="61">
        <v>6800458</v>
      </c>
      <c r="AD275" t="str">
        <f>INDEX('Category Mapping'!$G$28:$G$39,MATCH(E275,'Category Mapping'!$A$28:$A$39,0),1)</f>
        <v>Fall</v>
      </c>
      <c r="AE275" t="str">
        <f>INDEX('Category Mapping'!$B$2:$B$25,MATCH('Source Data'!A275,'Category Mapping'!$A$2:$A$25,0))</f>
        <v>Weekday</v>
      </c>
      <c r="AF275" t="str">
        <f>INDEX('Category Mapping'!$C$2:$C$25,MATCH('Source Data'!A275,'Category Mapping'!$A$2:$A$25,0))</f>
        <v>Transportation</v>
      </c>
      <c r="AG275" t="str">
        <f>INDEX('Category Mapping'!$D$2:$D$25,MATCH('Source Data'!A275,'Category Mapping'!$A$2:$A$25,0))</f>
        <v>Transportation</v>
      </c>
    </row>
    <row r="276" spans="1:33" x14ac:dyDescent="0.3">
      <c r="A276" s="18" t="s">
        <v>113</v>
      </c>
      <c r="B276" s="19">
        <v>2019</v>
      </c>
      <c r="C276" s="19">
        <v>19</v>
      </c>
      <c r="D276" s="19" t="s">
        <v>269</v>
      </c>
      <c r="E276" s="19">
        <v>10</v>
      </c>
      <c r="F276" s="30">
        <v>4846474</v>
      </c>
      <c r="G276" s="30">
        <v>4778654</v>
      </c>
      <c r="H276" s="30">
        <v>4761236</v>
      </c>
      <c r="I276" s="30">
        <v>4777272</v>
      </c>
      <c r="J276" s="30">
        <v>4759799</v>
      </c>
      <c r="K276" s="30">
        <v>4893006</v>
      </c>
      <c r="L276" s="30">
        <v>7342425</v>
      </c>
      <c r="M276" s="30">
        <v>15400000</v>
      </c>
      <c r="N276" s="30">
        <v>16800000</v>
      </c>
      <c r="O276" s="30">
        <v>14900000</v>
      </c>
      <c r="P276" s="30">
        <v>12000000</v>
      </c>
      <c r="Q276" s="30">
        <v>12000000</v>
      </c>
      <c r="R276" s="30">
        <v>12300000</v>
      </c>
      <c r="S276" s="30">
        <v>12200000</v>
      </c>
      <c r="T276" s="30">
        <v>12000000</v>
      </c>
      <c r="U276" s="30">
        <v>14300000</v>
      </c>
      <c r="V276" s="30">
        <v>16500000</v>
      </c>
      <c r="W276" s="30">
        <v>17400000</v>
      </c>
      <c r="X276" s="30">
        <v>16000000</v>
      </c>
      <c r="Y276" s="30">
        <v>13100000</v>
      </c>
      <c r="Z276" s="30">
        <v>12000000</v>
      </c>
      <c r="AA276" s="30">
        <v>11300000</v>
      </c>
      <c r="AB276" s="30">
        <v>10600000</v>
      </c>
      <c r="AC276" s="62">
        <v>7162521</v>
      </c>
      <c r="AD276" t="str">
        <f>INDEX('Category Mapping'!$G$28:$G$39,MATCH(E276,'Category Mapping'!$A$28:$A$39,0),1)</f>
        <v>Fall</v>
      </c>
      <c r="AE276" t="str">
        <f>INDEX('Category Mapping'!$B$2:$B$25,MATCH('Source Data'!A276,'Category Mapping'!$A$2:$A$25,0))</f>
        <v>Weekday</v>
      </c>
      <c r="AF276" t="str">
        <f>INDEX('Category Mapping'!$C$2:$C$25,MATCH('Source Data'!A276,'Category Mapping'!$A$2:$A$25,0))</f>
        <v>Transportation</v>
      </c>
      <c r="AG276" t="str">
        <f>INDEX('Category Mapping'!$D$2:$D$25,MATCH('Source Data'!A276,'Category Mapping'!$A$2:$A$25,0))</f>
        <v>Transportation</v>
      </c>
    </row>
    <row r="277" spans="1:33" x14ac:dyDescent="0.3">
      <c r="A277" s="16" t="s">
        <v>113</v>
      </c>
      <c r="B277" s="17">
        <v>2019</v>
      </c>
      <c r="C277" s="17">
        <v>19</v>
      </c>
      <c r="D277" s="17" t="s">
        <v>269</v>
      </c>
      <c r="E277" s="17">
        <v>11</v>
      </c>
      <c r="F277" s="31">
        <v>4905163</v>
      </c>
      <c r="G277" s="31">
        <v>4837343</v>
      </c>
      <c r="H277" s="31">
        <v>4819925</v>
      </c>
      <c r="I277" s="31">
        <v>4835961</v>
      </c>
      <c r="J277" s="31">
        <v>4818488</v>
      </c>
      <c r="K277" s="31">
        <v>4951695</v>
      </c>
      <c r="L277" s="31">
        <v>7426895</v>
      </c>
      <c r="M277" s="31">
        <v>15600000</v>
      </c>
      <c r="N277" s="31">
        <v>17000000</v>
      </c>
      <c r="O277" s="31">
        <v>15100000</v>
      </c>
      <c r="P277" s="31">
        <v>12100000</v>
      </c>
      <c r="Q277" s="31">
        <v>12200000</v>
      </c>
      <c r="R277" s="31">
        <v>12400000</v>
      </c>
      <c r="S277" s="31">
        <v>12300000</v>
      </c>
      <c r="T277" s="31">
        <v>12200000</v>
      </c>
      <c r="U277" s="31">
        <v>14500000</v>
      </c>
      <c r="V277" s="31">
        <v>16700000</v>
      </c>
      <c r="W277" s="31">
        <v>17600000</v>
      </c>
      <c r="X277" s="31">
        <v>16200000</v>
      </c>
      <c r="Y277" s="31">
        <v>13200000</v>
      </c>
      <c r="Z277" s="31">
        <v>12100000</v>
      </c>
      <c r="AA277" s="31">
        <v>11400000</v>
      </c>
      <c r="AB277" s="31">
        <v>10800000</v>
      </c>
      <c r="AC277" s="61">
        <v>7246991</v>
      </c>
      <c r="AD277" t="str">
        <f>INDEX('Category Mapping'!$G$28:$G$39,MATCH(E277,'Category Mapping'!$A$28:$A$39,0),1)</f>
        <v>Winter</v>
      </c>
      <c r="AE277" t="str">
        <f>INDEX('Category Mapping'!$B$2:$B$25,MATCH('Source Data'!A277,'Category Mapping'!$A$2:$A$25,0))</f>
        <v>Weekday</v>
      </c>
      <c r="AF277" t="str">
        <f>INDEX('Category Mapping'!$C$2:$C$25,MATCH('Source Data'!A277,'Category Mapping'!$A$2:$A$25,0))</f>
        <v>Transportation</v>
      </c>
      <c r="AG277" t="str">
        <f>INDEX('Category Mapping'!$D$2:$D$25,MATCH('Source Data'!A277,'Category Mapping'!$A$2:$A$25,0))</f>
        <v>Transportation</v>
      </c>
    </row>
    <row r="278" spans="1:33" x14ac:dyDescent="0.3">
      <c r="A278" s="18" t="s">
        <v>113</v>
      </c>
      <c r="B278" s="19">
        <v>2019</v>
      </c>
      <c r="C278" s="19">
        <v>19</v>
      </c>
      <c r="D278" s="19" t="s">
        <v>269</v>
      </c>
      <c r="E278" s="19">
        <v>12</v>
      </c>
      <c r="F278" s="30">
        <v>4983415</v>
      </c>
      <c r="G278" s="30">
        <v>4915595</v>
      </c>
      <c r="H278" s="30">
        <v>4898177</v>
      </c>
      <c r="I278" s="30">
        <v>4914213</v>
      </c>
      <c r="J278" s="30">
        <v>4896740</v>
      </c>
      <c r="K278" s="30">
        <v>5029947</v>
      </c>
      <c r="L278" s="30">
        <v>7539522</v>
      </c>
      <c r="M278" s="30">
        <v>15800000</v>
      </c>
      <c r="N278" s="30">
        <v>17200000</v>
      </c>
      <c r="O278" s="30">
        <v>15300000</v>
      </c>
      <c r="P278" s="30">
        <v>12300000</v>
      </c>
      <c r="Q278" s="30">
        <v>12300000</v>
      </c>
      <c r="R278" s="30">
        <v>12500000</v>
      </c>
      <c r="S278" s="30">
        <v>12500000</v>
      </c>
      <c r="T278" s="30">
        <v>12300000</v>
      </c>
      <c r="U278" s="30">
        <v>14700000</v>
      </c>
      <c r="V278" s="30">
        <v>16900000</v>
      </c>
      <c r="W278" s="30">
        <v>17800000</v>
      </c>
      <c r="X278" s="30">
        <v>16400000</v>
      </c>
      <c r="Y278" s="30">
        <v>13400000</v>
      </c>
      <c r="Z278" s="30">
        <v>12300000</v>
      </c>
      <c r="AA278" s="30">
        <v>11600000</v>
      </c>
      <c r="AB278" s="30">
        <v>10900000</v>
      </c>
      <c r="AC278" s="62">
        <v>7359618</v>
      </c>
      <c r="AD278" t="str">
        <f>INDEX('Category Mapping'!$G$28:$G$39,MATCH(E278,'Category Mapping'!$A$28:$A$39,0),1)</f>
        <v>Winter</v>
      </c>
      <c r="AE278" t="str">
        <f>INDEX('Category Mapping'!$B$2:$B$25,MATCH('Source Data'!A278,'Category Mapping'!$A$2:$A$25,0))</f>
        <v>Weekday</v>
      </c>
      <c r="AF278" t="str">
        <f>INDEX('Category Mapping'!$C$2:$C$25,MATCH('Source Data'!A278,'Category Mapping'!$A$2:$A$25,0))</f>
        <v>Transportation</v>
      </c>
      <c r="AG278" t="str">
        <f>INDEX('Category Mapping'!$D$2:$D$25,MATCH('Source Data'!A278,'Category Mapping'!$A$2:$A$25,0))</f>
        <v>Transportation</v>
      </c>
    </row>
    <row r="279" spans="1:33" x14ac:dyDescent="0.3">
      <c r="A279" s="16" t="s">
        <v>114</v>
      </c>
      <c r="B279" s="17">
        <v>2019</v>
      </c>
      <c r="C279" s="17">
        <v>19</v>
      </c>
      <c r="D279" s="17" t="s">
        <v>269</v>
      </c>
      <c r="E279" s="17">
        <v>1</v>
      </c>
      <c r="F279" s="31">
        <v>2776198</v>
      </c>
      <c r="G279" s="31">
        <v>2647378</v>
      </c>
      <c r="H279" s="31">
        <v>2612246</v>
      </c>
      <c r="I279" s="31">
        <v>2612246</v>
      </c>
      <c r="J279" s="31">
        <v>2600535</v>
      </c>
      <c r="K279" s="31">
        <v>2618101</v>
      </c>
      <c r="L279" s="31">
        <v>3244568</v>
      </c>
      <c r="M279" s="31">
        <v>4220775</v>
      </c>
      <c r="N279" s="31">
        <v>5032557</v>
      </c>
      <c r="O279" s="31">
        <v>5697415</v>
      </c>
      <c r="P279" s="31">
        <v>6029056</v>
      </c>
      <c r="Q279" s="31">
        <v>6210575</v>
      </c>
      <c r="R279" s="31">
        <v>6072164</v>
      </c>
      <c r="S279" s="31">
        <v>5776200</v>
      </c>
      <c r="T279" s="31">
        <v>5705935</v>
      </c>
      <c r="U279" s="31">
        <v>5600536</v>
      </c>
      <c r="V279" s="31">
        <v>6427805</v>
      </c>
      <c r="W279" s="31">
        <v>6433660</v>
      </c>
      <c r="X279" s="31">
        <v>6392672</v>
      </c>
      <c r="Y279" s="31">
        <v>6257996</v>
      </c>
      <c r="Z279" s="31">
        <v>6076477</v>
      </c>
      <c r="AA279" s="31">
        <v>5871536</v>
      </c>
      <c r="AB279" s="31">
        <v>5801271</v>
      </c>
      <c r="AC279" s="61">
        <v>3898252</v>
      </c>
      <c r="AD279" t="str">
        <f>INDEX('Category Mapping'!$G$28:$G$39,MATCH(E279,'Category Mapping'!$A$28:$A$39,0),1)</f>
        <v>Winter</v>
      </c>
      <c r="AE279" t="str">
        <f>INDEX('Category Mapping'!$B$2:$B$25,MATCH('Source Data'!A279,'Category Mapping'!$A$2:$A$25,0))</f>
        <v>Weekend</v>
      </c>
      <c r="AF279" t="str">
        <f>INDEX('Category Mapping'!$C$2:$C$25,MATCH('Source Data'!A279,'Category Mapping'!$A$2:$A$25,0))</f>
        <v>Transportation</v>
      </c>
      <c r="AG279" t="str">
        <f>INDEX('Category Mapping'!$D$2:$D$25,MATCH('Source Data'!A279,'Category Mapping'!$A$2:$A$25,0))</f>
        <v>Transportation</v>
      </c>
    </row>
    <row r="280" spans="1:33" x14ac:dyDescent="0.3">
      <c r="A280" s="18" t="s">
        <v>114</v>
      </c>
      <c r="B280" s="19">
        <v>2019</v>
      </c>
      <c r="C280" s="19">
        <v>19</v>
      </c>
      <c r="D280" s="19" t="s">
        <v>269</v>
      </c>
      <c r="E280" s="19">
        <v>2</v>
      </c>
      <c r="F280" s="30">
        <v>2706245</v>
      </c>
      <c r="G280" s="30">
        <v>2577425</v>
      </c>
      <c r="H280" s="30">
        <v>2542292</v>
      </c>
      <c r="I280" s="30">
        <v>2542292</v>
      </c>
      <c r="J280" s="30">
        <v>2530581</v>
      </c>
      <c r="K280" s="30">
        <v>2548147</v>
      </c>
      <c r="L280" s="30">
        <v>3159272</v>
      </c>
      <c r="M280" s="30">
        <v>4110814</v>
      </c>
      <c r="N280" s="30">
        <v>4907150</v>
      </c>
      <c r="O280" s="30">
        <v>5561745</v>
      </c>
      <c r="P280" s="30">
        <v>5888276</v>
      </c>
      <c r="Q280" s="30">
        <v>6069795</v>
      </c>
      <c r="R280" s="30">
        <v>5936494</v>
      </c>
      <c r="S280" s="30">
        <v>5650793</v>
      </c>
      <c r="T280" s="30">
        <v>5580528</v>
      </c>
      <c r="U280" s="30">
        <v>5475129</v>
      </c>
      <c r="V280" s="30">
        <v>6277641</v>
      </c>
      <c r="W280" s="30">
        <v>6283497</v>
      </c>
      <c r="X280" s="30">
        <v>6242508</v>
      </c>
      <c r="Y280" s="30">
        <v>6107833</v>
      </c>
      <c r="Z280" s="30">
        <v>5926314</v>
      </c>
      <c r="AA280" s="30">
        <v>5721373</v>
      </c>
      <c r="AB280" s="30">
        <v>5651107</v>
      </c>
      <c r="AC280" s="62">
        <v>3797510</v>
      </c>
      <c r="AD280" t="str">
        <f>INDEX('Category Mapping'!$G$28:$G$39,MATCH(E280,'Category Mapping'!$A$28:$A$39,0),1)</f>
        <v>Winter</v>
      </c>
      <c r="AE280" t="str">
        <f>INDEX('Category Mapping'!$B$2:$B$25,MATCH('Source Data'!A280,'Category Mapping'!$A$2:$A$25,0))</f>
        <v>Weekend</v>
      </c>
      <c r="AF280" t="str">
        <f>INDEX('Category Mapping'!$C$2:$C$25,MATCH('Source Data'!A280,'Category Mapping'!$A$2:$A$25,0))</f>
        <v>Transportation</v>
      </c>
      <c r="AG280" t="str">
        <f>INDEX('Category Mapping'!$D$2:$D$25,MATCH('Source Data'!A280,'Category Mapping'!$A$2:$A$25,0))</f>
        <v>Transportation</v>
      </c>
    </row>
    <row r="281" spans="1:33" x14ac:dyDescent="0.3">
      <c r="A281" s="16" t="s">
        <v>114</v>
      </c>
      <c r="B281" s="17">
        <v>2019</v>
      </c>
      <c r="C281" s="17">
        <v>19</v>
      </c>
      <c r="D281" s="17" t="s">
        <v>269</v>
      </c>
      <c r="E281" s="17">
        <v>3</v>
      </c>
      <c r="F281" s="31">
        <v>2636273</v>
      </c>
      <c r="G281" s="31">
        <v>2507453</v>
      </c>
      <c r="H281" s="31">
        <v>2472320</v>
      </c>
      <c r="I281" s="31">
        <v>2472320</v>
      </c>
      <c r="J281" s="31">
        <v>2460609</v>
      </c>
      <c r="K281" s="31">
        <v>2478176</v>
      </c>
      <c r="L281" s="31">
        <v>3073955</v>
      </c>
      <c r="M281" s="31">
        <v>4000825</v>
      </c>
      <c r="N281" s="31">
        <v>4781711</v>
      </c>
      <c r="O281" s="31">
        <v>5426040</v>
      </c>
      <c r="P281" s="31">
        <v>5747460</v>
      </c>
      <c r="Q281" s="31">
        <v>5928979</v>
      </c>
      <c r="R281" s="31">
        <v>5800789</v>
      </c>
      <c r="S281" s="31">
        <v>5525354</v>
      </c>
      <c r="T281" s="31">
        <v>5455089</v>
      </c>
      <c r="U281" s="31">
        <v>5349690</v>
      </c>
      <c r="V281" s="31">
        <v>6127439</v>
      </c>
      <c r="W281" s="31">
        <v>6133295</v>
      </c>
      <c r="X281" s="31">
        <v>6092306</v>
      </c>
      <c r="Y281" s="31">
        <v>5957631</v>
      </c>
      <c r="Z281" s="31">
        <v>5776112</v>
      </c>
      <c r="AA281" s="31">
        <v>5571171</v>
      </c>
      <c r="AB281" s="31">
        <v>5500905</v>
      </c>
      <c r="AC281" s="61">
        <v>3696743</v>
      </c>
      <c r="AD281" t="str">
        <f>INDEX('Category Mapping'!$G$28:$G$39,MATCH(E281,'Category Mapping'!$A$28:$A$39,0),1)</f>
        <v>Spring</v>
      </c>
      <c r="AE281" t="str">
        <f>INDEX('Category Mapping'!$B$2:$B$25,MATCH('Source Data'!A281,'Category Mapping'!$A$2:$A$25,0))</f>
        <v>Weekend</v>
      </c>
      <c r="AF281" t="str">
        <f>INDEX('Category Mapping'!$C$2:$C$25,MATCH('Source Data'!A281,'Category Mapping'!$A$2:$A$25,0))</f>
        <v>Transportation</v>
      </c>
      <c r="AG281" t="str">
        <f>INDEX('Category Mapping'!$D$2:$D$25,MATCH('Source Data'!A281,'Category Mapping'!$A$2:$A$25,0))</f>
        <v>Transportation</v>
      </c>
    </row>
    <row r="282" spans="1:33" x14ac:dyDescent="0.3">
      <c r="A282" s="18" t="s">
        <v>114</v>
      </c>
      <c r="B282" s="19">
        <v>2019</v>
      </c>
      <c r="C282" s="19">
        <v>19</v>
      </c>
      <c r="D282" s="19" t="s">
        <v>269</v>
      </c>
      <c r="E282" s="19">
        <v>4</v>
      </c>
      <c r="F282" s="30">
        <v>2564862</v>
      </c>
      <c r="G282" s="30">
        <v>2436042</v>
      </c>
      <c r="H282" s="30">
        <v>2400909</v>
      </c>
      <c r="I282" s="30">
        <v>2400909</v>
      </c>
      <c r="J282" s="30">
        <v>2389198</v>
      </c>
      <c r="K282" s="30">
        <v>2406765</v>
      </c>
      <c r="L282" s="30">
        <v>2986883</v>
      </c>
      <c r="M282" s="30">
        <v>3888573</v>
      </c>
      <c r="N282" s="30">
        <v>4653691</v>
      </c>
      <c r="O282" s="30">
        <v>5287543</v>
      </c>
      <c r="P282" s="30">
        <v>5603747</v>
      </c>
      <c r="Q282" s="30">
        <v>5785266</v>
      </c>
      <c r="R282" s="30">
        <v>5662293</v>
      </c>
      <c r="S282" s="30">
        <v>5397334</v>
      </c>
      <c r="T282" s="30">
        <v>5327069</v>
      </c>
      <c r="U282" s="30">
        <v>5221671</v>
      </c>
      <c r="V282" s="30">
        <v>5974147</v>
      </c>
      <c r="W282" s="30">
        <v>5980002</v>
      </c>
      <c r="X282" s="30">
        <v>5939014</v>
      </c>
      <c r="Y282" s="30">
        <v>5804338</v>
      </c>
      <c r="Z282" s="30">
        <v>5622819</v>
      </c>
      <c r="AA282" s="30">
        <v>5417878</v>
      </c>
      <c r="AB282" s="30">
        <v>5347613</v>
      </c>
      <c r="AC282" s="62">
        <v>3593903</v>
      </c>
      <c r="AD282" t="str">
        <f>INDEX('Category Mapping'!$G$28:$G$39,MATCH(E282,'Category Mapping'!$A$28:$A$39,0),1)</f>
        <v>Spring</v>
      </c>
      <c r="AE282" t="str">
        <f>INDEX('Category Mapping'!$B$2:$B$25,MATCH('Source Data'!A282,'Category Mapping'!$A$2:$A$25,0))</f>
        <v>Weekend</v>
      </c>
      <c r="AF282" t="str">
        <f>INDEX('Category Mapping'!$C$2:$C$25,MATCH('Source Data'!A282,'Category Mapping'!$A$2:$A$25,0))</f>
        <v>Transportation</v>
      </c>
      <c r="AG282" t="str">
        <f>INDEX('Category Mapping'!$D$2:$D$25,MATCH('Source Data'!A282,'Category Mapping'!$A$2:$A$25,0))</f>
        <v>Transportation</v>
      </c>
    </row>
    <row r="283" spans="1:33" x14ac:dyDescent="0.3">
      <c r="A283" s="16" t="s">
        <v>114</v>
      </c>
      <c r="B283" s="17">
        <v>2019</v>
      </c>
      <c r="C283" s="17">
        <v>19</v>
      </c>
      <c r="D283" s="17" t="s">
        <v>269</v>
      </c>
      <c r="E283" s="17">
        <v>5</v>
      </c>
      <c r="F283" s="31">
        <v>2489061</v>
      </c>
      <c r="G283" s="31">
        <v>2360241</v>
      </c>
      <c r="H283" s="31">
        <v>2325109</v>
      </c>
      <c r="I283" s="31">
        <v>2325109</v>
      </c>
      <c r="J283" s="31">
        <v>2313398</v>
      </c>
      <c r="K283" s="31">
        <v>2330964</v>
      </c>
      <c r="L283" s="31">
        <v>2894458</v>
      </c>
      <c r="M283" s="31">
        <v>3769421</v>
      </c>
      <c r="N283" s="31">
        <v>4517801</v>
      </c>
      <c r="O283" s="31">
        <v>5140532</v>
      </c>
      <c r="P283" s="31">
        <v>5451199</v>
      </c>
      <c r="Q283" s="31">
        <v>5632718</v>
      </c>
      <c r="R283" s="31">
        <v>5515282</v>
      </c>
      <c r="S283" s="31">
        <v>5261444</v>
      </c>
      <c r="T283" s="31">
        <v>5191179</v>
      </c>
      <c r="U283" s="31">
        <v>5085781</v>
      </c>
      <c r="V283" s="31">
        <v>5811431</v>
      </c>
      <c r="W283" s="31">
        <v>5817287</v>
      </c>
      <c r="X283" s="31">
        <v>5776298</v>
      </c>
      <c r="Y283" s="31">
        <v>5641623</v>
      </c>
      <c r="Z283" s="31">
        <v>5460104</v>
      </c>
      <c r="AA283" s="31">
        <v>5255163</v>
      </c>
      <c r="AB283" s="31">
        <v>5184897</v>
      </c>
      <c r="AC283" s="61">
        <v>3484740</v>
      </c>
      <c r="AD283" t="str">
        <f>INDEX('Category Mapping'!$G$28:$G$39,MATCH(E283,'Category Mapping'!$A$28:$A$39,0),1)</f>
        <v>Spring</v>
      </c>
      <c r="AE283" t="str">
        <f>INDEX('Category Mapping'!$B$2:$B$25,MATCH('Source Data'!A283,'Category Mapping'!$A$2:$A$25,0))</f>
        <v>Weekend</v>
      </c>
      <c r="AF283" t="str">
        <f>INDEX('Category Mapping'!$C$2:$C$25,MATCH('Source Data'!A283,'Category Mapping'!$A$2:$A$25,0))</f>
        <v>Transportation</v>
      </c>
      <c r="AG283" t="str">
        <f>INDEX('Category Mapping'!$D$2:$D$25,MATCH('Source Data'!A283,'Category Mapping'!$A$2:$A$25,0))</f>
        <v>Transportation</v>
      </c>
    </row>
    <row r="284" spans="1:33" x14ac:dyDescent="0.3">
      <c r="A284" s="18" t="s">
        <v>114</v>
      </c>
      <c r="B284" s="19">
        <v>2019</v>
      </c>
      <c r="C284" s="19">
        <v>19</v>
      </c>
      <c r="D284" s="19" t="s">
        <v>269</v>
      </c>
      <c r="E284" s="19">
        <v>6</v>
      </c>
      <c r="F284" s="30">
        <v>2413278</v>
      </c>
      <c r="G284" s="30">
        <v>2284458</v>
      </c>
      <c r="H284" s="30">
        <v>2249325</v>
      </c>
      <c r="I284" s="30">
        <v>2249325</v>
      </c>
      <c r="J284" s="30">
        <v>2237614</v>
      </c>
      <c r="K284" s="30">
        <v>2255181</v>
      </c>
      <c r="L284" s="30">
        <v>2802054</v>
      </c>
      <c r="M284" s="30">
        <v>3650297</v>
      </c>
      <c r="N284" s="30">
        <v>4381943</v>
      </c>
      <c r="O284" s="30">
        <v>4993556</v>
      </c>
      <c r="P284" s="30">
        <v>5298687</v>
      </c>
      <c r="Q284" s="30">
        <v>5480206</v>
      </c>
      <c r="R284" s="30">
        <v>5368305</v>
      </c>
      <c r="S284" s="30">
        <v>5125587</v>
      </c>
      <c r="T284" s="30">
        <v>5055321</v>
      </c>
      <c r="U284" s="30">
        <v>4949923</v>
      </c>
      <c r="V284" s="30">
        <v>5648754</v>
      </c>
      <c r="W284" s="30">
        <v>5654609</v>
      </c>
      <c r="X284" s="30">
        <v>5613621</v>
      </c>
      <c r="Y284" s="30">
        <v>5478945</v>
      </c>
      <c r="Z284" s="30">
        <v>5297426</v>
      </c>
      <c r="AA284" s="30">
        <v>5092485</v>
      </c>
      <c r="AB284" s="30">
        <v>5022220</v>
      </c>
      <c r="AC284" s="62">
        <v>3375603</v>
      </c>
      <c r="AD284" t="str">
        <f>INDEX('Category Mapping'!$G$28:$G$39,MATCH(E284,'Category Mapping'!$A$28:$A$39,0),1)</f>
        <v>Summer</v>
      </c>
      <c r="AE284" t="str">
        <f>INDEX('Category Mapping'!$B$2:$B$25,MATCH('Source Data'!A284,'Category Mapping'!$A$2:$A$25,0))</f>
        <v>Weekend</v>
      </c>
      <c r="AF284" t="str">
        <f>INDEX('Category Mapping'!$C$2:$C$25,MATCH('Source Data'!A284,'Category Mapping'!$A$2:$A$25,0))</f>
        <v>Transportation</v>
      </c>
      <c r="AG284" t="str">
        <f>INDEX('Category Mapping'!$D$2:$D$25,MATCH('Source Data'!A284,'Category Mapping'!$A$2:$A$25,0))</f>
        <v>Transportation</v>
      </c>
    </row>
    <row r="285" spans="1:33" x14ac:dyDescent="0.3">
      <c r="A285" s="16" t="s">
        <v>114</v>
      </c>
      <c r="B285" s="17">
        <v>2019</v>
      </c>
      <c r="C285" s="17">
        <v>19</v>
      </c>
      <c r="D285" s="17" t="s">
        <v>269</v>
      </c>
      <c r="E285" s="17">
        <v>7</v>
      </c>
      <c r="F285" s="31">
        <v>2356423</v>
      </c>
      <c r="G285" s="31">
        <v>2227603</v>
      </c>
      <c r="H285" s="31">
        <v>2192470</v>
      </c>
      <c r="I285" s="31">
        <v>2192470</v>
      </c>
      <c r="J285" s="31">
        <v>2180759</v>
      </c>
      <c r="K285" s="31">
        <v>2198326</v>
      </c>
      <c r="L285" s="31">
        <v>2732731</v>
      </c>
      <c r="M285" s="31">
        <v>3560926</v>
      </c>
      <c r="N285" s="31">
        <v>4280018</v>
      </c>
      <c r="O285" s="31">
        <v>4883289</v>
      </c>
      <c r="P285" s="31">
        <v>5184267</v>
      </c>
      <c r="Q285" s="31">
        <v>5365786</v>
      </c>
      <c r="R285" s="31">
        <v>5258039</v>
      </c>
      <c r="S285" s="31">
        <v>5023661</v>
      </c>
      <c r="T285" s="31">
        <v>4953396</v>
      </c>
      <c r="U285" s="31">
        <v>4847998</v>
      </c>
      <c r="V285" s="31">
        <v>5526708</v>
      </c>
      <c r="W285" s="31">
        <v>5532563</v>
      </c>
      <c r="X285" s="31">
        <v>5491575</v>
      </c>
      <c r="Y285" s="31">
        <v>5356899</v>
      </c>
      <c r="Z285" s="31">
        <v>5175380</v>
      </c>
      <c r="AA285" s="31">
        <v>4970439</v>
      </c>
      <c r="AB285" s="31">
        <v>4900174</v>
      </c>
      <c r="AC285" s="61">
        <v>3293725</v>
      </c>
      <c r="AD285" t="str">
        <f>INDEX('Category Mapping'!$G$28:$G$39,MATCH(E285,'Category Mapping'!$A$28:$A$39,0),1)</f>
        <v>Summer</v>
      </c>
      <c r="AE285" t="str">
        <f>INDEX('Category Mapping'!$B$2:$B$25,MATCH('Source Data'!A285,'Category Mapping'!$A$2:$A$25,0))</f>
        <v>Weekend</v>
      </c>
      <c r="AF285" t="str">
        <f>INDEX('Category Mapping'!$C$2:$C$25,MATCH('Source Data'!A285,'Category Mapping'!$A$2:$A$25,0))</f>
        <v>Transportation</v>
      </c>
      <c r="AG285" t="str">
        <f>INDEX('Category Mapping'!$D$2:$D$25,MATCH('Source Data'!A285,'Category Mapping'!$A$2:$A$25,0))</f>
        <v>Transportation</v>
      </c>
    </row>
    <row r="286" spans="1:33" x14ac:dyDescent="0.3">
      <c r="A286" s="18" t="s">
        <v>114</v>
      </c>
      <c r="B286" s="19">
        <v>2019</v>
      </c>
      <c r="C286" s="19">
        <v>19</v>
      </c>
      <c r="D286" s="19" t="s">
        <v>269</v>
      </c>
      <c r="E286" s="19">
        <v>8</v>
      </c>
      <c r="F286" s="30">
        <v>2435138</v>
      </c>
      <c r="G286" s="30">
        <v>2306318</v>
      </c>
      <c r="H286" s="30">
        <v>2271186</v>
      </c>
      <c r="I286" s="30">
        <v>2271186</v>
      </c>
      <c r="J286" s="30">
        <v>2259475</v>
      </c>
      <c r="K286" s="30">
        <v>2277041</v>
      </c>
      <c r="L286" s="30">
        <v>2828709</v>
      </c>
      <c r="M286" s="30">
        <v>3684659</v>
      </c>
      <c r="N286" s="30">
        <v>4421133</v>
      </c>
      <c r="O286" s="30">
        <v>5035953</v>
      </c>
      <c r="P286" s="30">
        <v>5342681</v>
      </c>
      <c r="Q286" s="30">
        <v>5524200</v>
      </c>
      <c r="R286" s="30">
        <v>5410702</v>
      </c>
      <c r="S286" s="30">
        <v>5164776</v>
      </c>
      <c r="T286" s="30">
        <v>5094511</v>
      </c>
      <c r="U286" s="30">
        <v>4989113</v>
      </c>
      <c r="V286" s="30">
        <v>5695680</v>
      </c>
      <c r="W286" s="30">
        <v>5701535</v>
      </c>
      <c r="X286" s="30">
        <v>5660547</v>
      </c>
      <c r="Y286" s="30">
        <v>5525871</v>
      </c>
      <c r="Z286" s="30">
        <v>5344352</v>
      </c>
      <c r="AA286" s="30">
        <v>5139411</v>
      </c>
      <c r="AB286" s="30">
        <v>5069146</v>
      </c>
      <c r="AC286" s="62">
        <v>3407085</v>
      </c>
      <c r="AD286" t="str">
        <f>INDEX('Category Mapping'!$G$28:$G$39,MATCH(E286,'Category Mapping'!$A$28:$A$39,0),1)</f>
        <v>Summer</v>
      </c>
      <c r="AE286" t="str">
        <f>INDEX('Category Mapping'!$B$2:$B$25,MATCH('Source Data'!A286,'Category Mapping'!$A$2:$A$25,0))</f>
        <v>Weekend</v>
      </c>
      <c r="AF286" t="str">
        <f>INDEX('Category Mapping'!$C$2:$C$25,MATCH('Source Data'!A286,'Category Mapping'!$A$2:$A$25,0))</f>
        <v>Transportation</v>
      </c>
      <c r="AG286" t="str">
        <f>INDEX('Category Mapping'!$D$2:$D$25,MATCH('Source Data'!A286,'Category Mapping'!$A$2:$A$25,0))</f>
        <v>Transportation</v>
      </c>
    </row>
    <row r="287" spans="1:33" x14ac:dyDescent="0.3">
      <c r="A287" s="16" t="s">
        <v>114</v>
      </c>
      <c r="B287" s="17">
        <v>2019</v>
      </c>
      <c r="C287" s="17">
        <v>19</v>
      </c>
      <c r="D287" s="17" t="s">
        <v>269</v>
      </c>
      <c r="E287" s="17">
        <v>9</v>
      </c>
      <c r="F287" s="31">
        <v>2540087</v>
      </c>
      <c r="G287" s="31">
        <v>2411267</v>
      </c>
      <c r="H287" s="31">
        <v>2376134</v>
      </c>
      <c r="I287" s="31">
        <v>2376134</v>
      </c>
      <c r="J287" s="31">
        <v>2364423</v>
      </c>
      <c r="K287" s="31">
        <v>2381990</v>
      </c>
      <c r="L287" s="31">
        <v>2956674</v>
      </c>
      <c r="M287" s="31">
        <v>3849629</v>
      </c>
      <c r="N287" s="31">
        <v>4609276</v>
      </c>
      <c r="O287" s="31">
        <v>5239493</v>
      </c>
      <c r="P287" s="31">
        <v>5553888</v>
      </c>
      <c r="Q287" s="31">
        <v>5735407</v>
      </c>
      <c r="R287" s="31">
        <v>5614242</v>
      </c>
      <c r="S287" s="31">
        <v>5352919</v>
      </c>
      <c r="T287" s="31">
        <v>5282654</v>
      </c>
      <c r="U287" s="31">
        <v>5177256</v>
      </c>
      <c r="V287" s="31">
        <v>5920964</v>
      </c>
      <c r="W287" s="31">
        <v>5926819</v>
      </c>
      <c r="X287" s="31">
        <v>5885831</v>
      </c>
      <c r="Y287" s="31">
        <v>5751155</v>
      </c>
      <c r="Z287" s="31">
        <v>5569636</v>
      </c>
      <c r="AA287" s="31">
        <v>5364695</v>
      </c>
      <c r="AB287" s="31">
        <v>5294430</v>
      </c>
      <c r="AC287" s="61">
        <v>3558223</v>
      </c>
      <c r="AD287" t="str">
        <f>INDEX('Category Mapping'!$G$28:$G$39,MATCH(E287,'Category Mapping'!$A$28:$A$39,0),1)</f>
        <v>Fall</v>
      </c>
      <c r="AE287" t="str">
        <f>INDEX('Category Mapping'!$B$2:$B$25,MATCH('Source Data'!A287,'Category Mapping'!$A$2:$A$25,0))</f>
        <v>Weekend</v>
      </c>
      <c r="AF287" t="str">
        <f>INDEX('Category Mapping'!$C$2:$C$25,MATCH('Source Data'!A287,'Category Mapping'!$A$2:$A$25,0))</f>
        <v>Transportation</v>
      </c>
      <c r="AG287" t="str">
        <f>INDEX('Category Mapping'!$D$2:$D$25,MATCH('Source Data'!A287,'Category Mapping'!$A$2:$A$25,0))</f>
        <v>Transportation</v>
      </c>
    </row>
    <row r="288" spans="1:33" x14ac:dyDescent="0.3">
      <c r="A288" s="18" t="s">
        <v>114</v>
      </c>
      <c r="B288" s="19">
        <v>2019</v>
      </c>
      <c r="C288" s="19">
        <v>19</v>
      </c>
      <c r="D288" s="19" t="s">
        <v>269</v>
      </c>
      <c r="E288" s="19">
        <v>10</v>
      </c>
      <c r="F288" s="30">
        <v>2671268</v>
      </c>
      <c r="G288" s="30">
        <v>2542448</v>
      </c>
      <c r="H288" s="30">
        <v>2507315</v>
      </c>
      <c r="I288" s="30">
        <v>2507315</v>
      </c>
      <c r="J288" s="30">
        <v>2495604</v>
      </c>
      <c r="K288" s="30">
        <v>2513171</v>
      </c>
      <c r="L288" s="30">
        <v>3116625</v>
      </c>
      <c r="M288" s="30">
        <v>4055833</v>
      </c>
      <c r="N288" s="30">
        <v>4844446</v>
      </c>
      <c r="O288" s="30">
        <v>5493910</v>
      </c>
      <c r="P288" s="30">
        <v>5817886</v>
      </c>
      <c r="Q288" s="30">
        <v>5999405</v>
      </c>
      <c r="R288" s="30">
        <v>5868659</v>
      </c>
      <c r="S288" s="30">
        <v>5588090</v>
      </c>
      <c r="T288" s="30">
        <v>5517824</v>
      </c>
      <c r="U288" s="30">
        <v>5412426</v>
      </c>
      <c r="V288" s="30">
        <v>6202559</v>
      </c>
      <c r="W288" s="30">
        <v>6208415</v>
      </c>
      <c r="X288" s="30">
        <v>6167426</v>
      </c>
      <c r="Y288" s="30">
        <v>6032751</v>
      </c>
      <c r="Z288" s="30">
        <v>5851232</v>
      </c>
      <c r="AA288" s="30">
        <v>5646291</v>
      </c>
      <c r="AB288" s="30">
        <v>5576025</v>
      </c>
      <c r="AC288" s="62">
        <v>3747140</v>
      </c>
      <c r="AD288" t="str">
        <f>INDEX('Category Mapping'!$G$28:$G$39,MATCH(E288,'Category Mapping'!$A$28:$A$39,0),1)</f>
        <v>Fall</v>
      </c>
      <c r="AE288" t="str">
        <f>INDEX('Category Mapping'!$B$2:$B$25,MATCH('Source Data'!A288,'Category Mapping'!$A$2:$A$25,0))</f>
        <v>Weekend</v>
      </c>
      <c r="AF288" t="str">
        <f>INDEX('Category Mapping'!$C$2:$C$25,MATCH('Source Data'!A288,'Category Mapping'!$A$2:$A$25,0))</f>
        <v>Transportation</v>
      </c>
      <c r="AG288" t="str">
        <f>INDEX('Category Mapping'!$D$2:$D$25,MATCH('Source Data'!A288,'Category Mapping'!$A$2:$A$25,0))</f>
        <v>Transportation</v>
      </c>
    </row>
    <row r="289" spans="1:33" x14ac:dyDescent="0.3">
      <c r="A289" s="16" t="s">
        <v>114</v>
      </c>
      <c r="B289" s="17">
        <v>2019</v>
      </c>
      <c r="C289" s="17">
        <v>19</v>
      </c>
      <c r="D289" s="17" t="s">
        <v>269</v>
      </c>
      <c r="E289" s="17">
        <v>11</v>
      </c>
      <c r="F289" s="31">
        <v>2701872</v>
      </c>
      <c r="G289" s="31">
        <v>2573052</v>
      </c>
      <c r="H289" s="31">
        <v>2537920</v>
      </c>
      <c r="I289" s="31">
        <v>2537920</v>
      </c>
      <c r="J289" s="31">
        <v>2526209</v>
      </c>
      <c r="K289" s="31">
        <v>2543775</v>
      </c>
      <c r="L289" s="31">
        <v>3153941</v>
      </c>
      <c r="M289" s="31">
        <v>4103941</v>
      </c>
      <c r="N289" s="31">
        <v>4899312</v>
      </c>
      <c r="O289" s="31">
        <v>5553265</v>
      </c>
      <c r="P289" s="31">
        <v>5879478</v>
      </c>
      <c r="Q289" s="31">
        <v>6060997</v>
      </c>
      <c r="R289" s="31">
        <v>5928015</v>
      </c>
      <c r="S289" s="31">
        <v>5642955</v>
      </c>
      <c r="T289" s="31">
        <v>5572690</v>
      </c>
      <c r="U289" s="31">
        <v>5467291</v>
      </c>
      <c r="V289" s="31">
        <v>6268256</v>
      </c>
      <c r="W289" s="31">
        <v>6274111</v>
      </c>
      <c r="X289" s="31">
        <v>6233123</v>
      </c>
      <c r="Y289" s="31">
        <v>6098447</v>
      </c>
      <c r="Z289" s="31">
        <v>5916928</v>
      </c>
      <c r="AA289" s="31">
        <v>5711987</v>
      </c>
      <c r="AB289" s="31">
        <v>5641722</v>
      </c>
      <c r="AC289" s="61">
        <v>3791214</v>
      </c>
      <c r="AD289" t="str">
        <f>INDEX('Category Mapping'!$G$28:$G$39,MATCH(E289,'Category Mapping'!$A$28:$A$39,0),1)</f>
        <v>Winter</v>
      </c>
      <c r="AE289" t="str">
        <f>INDEX('Category Mapping'!$B$2:$B$25,MATCH('Source Data'!A289,'Category Mapping'!$A$2:$A$25,0))</f>
        <v>Weekend</v>
      </c>
      <c r="AF289" t="str">
        <f>INDEX('Category Mapping'!$C$2:$C$25,MATCH('Source Data'!A289,'Category Mapping'!$A$2:$A$25,0))</f>
        <v>Transportation</v>
      </c>
      <c r="AG289" t="str">
        <f>INDEX('Category Mapping'!$D$2:$D$25,MATCH('Source Data'!A289,'Category Mapping'!$A$2:$A$25,0))</f>
        <v>Transportation</v>
      </c>
    </row>
    <row r="290" spans="1:33" x14ac:dyDescent="0.3">
      <c r="A290" s="18" t="s">
        <v>114</v>
      </c>
      <c r="B290" s="19">
        <v>2019</v>
      </c>
      <c r="C290" s="19">
        <v>19</v>
      </c>
      <c r="D290" s="19" t="s">
        <v>269</v>
      </c>
      <c r="E290" s="19">
        <v>12</v>
      </c>
      <c r="F290" s="30">
        <v>2742679</v>
      </c>
      <c r="G290" s="30">
        <v>2613859</v>
      </c>
      <c r="H290" s="30">
        <v>2578726</v>
      </c>
      <c r="I290" s="30">
        <v>2578726</v>
      </c>
      <c r="J290" s="30">
        <v>2567015</v>
      </c>
      <c r="K290" s="30">
        <v>2584582</v>
      </c>
      <c r="L290" s="30">
        <v>3203697</v>
      </c>
      <c r="M290" s="30">
        <v>4168085</v>
      </c>
      <c r="N290" s="30">
        <v>4972466</v>
      </c>
      <c r="O290" s="30">
        <v>5632407</v>
      </c>
      <c r="P290" s="30">
        <v>5961600</v>
      </c>
      <c r="Q290" s="30">
        <v>6143119</v>
      </c>
      <c r="R290" s="30">
        <v>6007156</v>
      </c>
      <c r="S290" s="30">
        <v>5716110</v>
      </c>
      <c r="T290" s="30">
        <v>5645844</v>
      </c>
      <c r="U290" s="30">
        <v>5540446</v>
      </c>
      <c r="V290" s="30">
        <v>6355851</v>
      </c>
      <c r="W290" s="30">
        <v>6361707</v>
      </c>
      <c r="X290" s="30">
        <v>6320718</v>
      </c>
      <c r="Y290" s="30">
        <v>6186043</v>
      </c>
      <c r="Z290" s="30">
        <v>6004524</v>
      </c>
      <c r="AA290" s="30">
        <v>5799583</v>
      </c>
      <c r="AB290" s="30">
        <v>5729317</v>
      </c>
      <c r="AC290" s="62">
        <v>3849980</v>
      </c>
      <c r="AD290" t="str">
        <f>INDEX('Category Mapping'!$G$28:$G$39,MATCH(E290,'Category Mapping'!$A$28:$A$39,0),1)</f>
        <v>Winter</v>
      </c>
      <c r="AE290" t="str">
        <f>INDEX('Category Mapping'!$B$2:$B$25,MATCH('Source Data'!A290,'Category Mapping'!$A$2:$A$25,0))</f>
        <v>Weekend</v>
      </c>
      <c r="AF290" t="str">
        <f>INDEX('Category Mapping'!$C$2:$C$25,MATCH('Source Data'!A290,'Category Mapping'!$A$2:$A$25,0))</f>
        <v>Transportation</v>
      </c>
      <c r="AG290" t="str">
        <f>INDEX('Category Mapping'!$D$2:$D$25,MATCH('Source Data'!A290,'Category Mapping'!$A$2:$A$25,0))</f>
        <v>Transportation</v>
      </c>
    </row>
    <row r="295" spans="1:33" x14ac:dyDescent="0.3">
      <c r="AB295" s="23"/>
    </row>
    <row r="296" spans="1:33" x14ac:dyDescent="0.3">
      <c r="AB296" s="23"/>
    </row>
  </sheetData>
  <autoFilter ref="A2:AG290" xr:uid="{60250058-43D6-4757-A82C-F4E11CFA513B}"/>
  <mergeCells count="2">
    <mergeCell ref="A1:AC1"/>
    <mergeCell ref="AD1:A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BAC3-5E59-4E76-9D94-B6DAF7B0EF33}">
  <dimension ref="A1:Z1460"/>
  <sheetViews>
    <sheetView tabSelected="1" workbookViewId="0">
      <selection activeCell="H14" sqref="H14"/>
    </sheetView>
  </sheetViews>
  <sheetFormatPr defaultColWidth="12.5546875" defaultRowHeight="14.4" outlineLevelRow="1" x14ac:dyDescent="0.3"/>
  <cols>
    <col min="2" max="2" width="12.5546875" customWidth="1"/>
    <col min="3" max="3" width="7.109375" bestFit="1" customWidth="1"/>
    <col min="6" max="6" width="12.5546875" customWidth="1"/>
    <col min="25" max="25" width="13.5546875" style="21" customWidth="1"/>
  </cols>
  <sheetData>
    <row r="1" spans="1:26" x14ac:dyDescent="0.3">
      <c r="A1" s="66" t="s">
        <v>266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</row>
    <row r="2" spans="1:26" outlineLevel="1" x14ac:dyDescent="0.3">
      <c r="F2" t="s">
        <v>116</v>
      </c>
      <c r="G2" t="s">
        <v>116</v>
      </c>
      <c r="H2" t="s">
        <v>116</v>
      </c>
      <c r="I2" t="s">
        <v>116</v>
      </c>
      <c r="J2" t="s">
        <v>116</v>
      </c>
      <c r="K2" t="s">
        <v>116</v>
      </c>
      <c r="L2" t="s">
        <v>117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  <c r="R2" t="s">
        <v>118</v>
      </c>
      <c r="S2" t="s">
        <v>118</v>
      </c>
      <c r="T2" t="s">
        <v>118</v>
      </c>
      <c r="U2" t="s">
        <v>118</v>
      </c>
      <c r="V2" t="s">
        <v>118</v>
      </c>
      <c r="W2" t="s">
        <v>118</v>
      </c>
      <c r="X2" t="s">
        <v>119</v>
      </c>
      <c r="Y2" t="s">
        <v>119</v>
      </c>
      <c r="Z2" s="21" t="s">
        <v>119</v>
      </c>
    </row>
    <row r="3" spans="1:26" s="4" customFormat="1" ht="43.5" customHeight="1" outlineLevel="1" x14ac:dyDescent="0.3">
      <c r="A3" s="4" t="s">
        <v>62</v>
      </c>
      <c r="B3" s="4" t="s">
        <v>120</v>
      </c>
      <c r="C3" s="65" t="s">
        <v>121</v>
      </c>
      <c r="D3" s="65"/>
      <c r="E3" s="4" t="s">
        <v>122</v>
      </c>
      <c r="F3" s="4" t="s">
        <v>123</v>
      </c>
      <c r="G3" s="4" t="s">
        <v>124</v>
      </c>
      <c r="H3" s="4" t="s">
        <v>125</v>
      </c>
      <c r="I3" s="4" t="s">
        <v>126</v>
      </c>
      <c r="J3" s="4" t="s">
        <v>127</v>
      </c>
      <c r="K3" s="4" t="s">
        <v>128</v>
      </c>
      <c r="L3" s="4" t="s">
        <v>123</v>
      </c>
      <c r="M3" s="4" t="s">
        <v>124</v>
      </c>
      <c r="N3" s="4" t="s">
        <v>125</v>
      </c>
      <c r="O3" s="4" t="s">
        <v>126</v>
      </c>
      <c r="P3" s="4" t="s">
        <v>127</v>
      </c>
      <c r="Q3" s="4" t="s">
        <v>128</v>
      </c>
      <c r="R3" s="4" t="s">
        <v>129</v>
      </c>
      <c r="S3" s="4" t="s">
        <v>130</v>
      </c>
      <c r="T3" s="4" t="s">
        <v>131</v>
      </c>
      <c r="U3" s="4" t="s">
        <v>132</v>
      </c>
      <c r="V3" s="4" t="s">
        <v>133</v>
      </c>
      <c r="W3" s="4" t="s">
        <v>134</v>
      </c>
      <c r="X3" s="4" t="s">
        <v>119</v>
      </c>
      <c r="Y3" s="4" t="s">
        <v>135</v>
      </c>
      <c r="Z3" s="25" t="s">
        <v>136</v>
      </c>
    </row>
    <row r="4" spans="1:26" outlineLevel="1" x14ac:dyDescent="0.3">
      <c r="A4">
        <f>ROUNDUP(ROW(A1)/24,0)</f>
        <v>1</v>
      </c>
      <c r="B4" t="str">
        <f>INDEX('Category Mapping'!$G$28:$G$39,MATCH(A4,'Category Mapping'!$A$28:$A$39,0),1)</f>
        <v>Winter</v>
      </c>
      <c r="C4" t="s">
        <v>63</v>
      </c>
      <c r="D4" s="6" t="s">
        <v>138</v>
      </c>
      <c r="E4" t="s">
        <v>49</v>
      </c>
      <c r="F4" s="27">
        <f>SUMIFS(INDEX(Load,,MATCH('Summarized Source Data'!$C4,Hour,0)),Month,'Summarized Source Data'!$A4,Sector,'Summarized Source Data'!F$2,Subsector,'Summarized Source Data'!F$3,TimeOfWeek,$E4)*INDEX(About!B$79:B$82,MATCH($B4,About!$A$79:$A$82,0),1)</f>
        <v>20700000</v>
      </c>
      <c r="G4" s="27">
        <f>SUMIFS(INDEX(Load,,MATCH('Summarized Source Data'!$C4,Hour,0)),Month,'Summarized Source Data'!$A4,Sector,'Summarized Source Data'!G$2,Subsector,'Summarized Source Data'!G$3,TimeOfWeek,$E4)*INDEX(About!C$79:C$82,MATCH($B4,About!$A$79:$A$82,0),1)</f>
        <v>13377</v>
      </c>
      <c r="H4" s="27">
        <f>SUMIFS(INDEX(Load,,MATCH('Summarized Source Data'!$C4,Hour,0)),Month,'Summarized Source Data'!$A4,Sector,'Summarized Source Data'!H$2,Subsector,'Summarized Source Data'!H$3,TimeOfWeek,$E4)*INDEX(About!D$79:D$82,MATCH($B4,About!$A$79:$A$82,0),1)</f>
        <v>0</v>
      </c>
      <c r="I4" s="27">
        <f>SUMIFS(INDEX(Load,,MATCH('Summarized Source Data'!$C4,Hour,0)),Month,'Summarized Source Data'!$A4,Sector,'Summarized Source Data'!I$2,Subsector,'Summarized Source Data'!I$3,TimeOfWeek,$E4)*INDEX(About!E$79:E$82,MATCH($B4,About!$A$79:$A$82,0),1)</f>
        <v>11700000</v>
      </c>
      <c r="J4" s="54">
        <f>K4</f>
        <v>74586623</v>
      </c>
      <c r="K4" s="27">
        <f>(SUMIFS(INDEX(Load,,MATCH('Summarized Source Data'!$C4,Hour,0)),Month,'Summarized Source Data'!$A4,Sector,'Summarized Source Data'!K$2,Subsector,"Total",TimeOfWeek,$E4)-SUM(F4:I4))*INDEX(About!G$79:G$82,MATCH($B4,About!$A$79:$A$82,0),1)</f>
        <v>74586623</v>
      </c>
      <c r="L4" s="27">
        <f>SUMIFS(INDEX(Load,,MATCH('Summarized Source Data'!$C4,Hour,0)),Month,'Summarized Source Data'!$A4,Sector,'Summarized Source Data'!L$2,Subsector,'Summarized Source Data'!L$3,TimeOfWeek,$E4)*INDEX(About!H$79:H$82,MATCH($B4,About!$A$79:$A$82,0),1)</f>
        <v>42300000</v>
      </c>
      <c r="M4" s="27">
        <f>SUMIFS(INDEX(Load,,MATCH('Summarized Source Data'!$C4,Hour,0)),Month,'Summarized Source Data'!$A4,Sector,'Summarized Source Data'!M$2,Subsector,'Summarized Source Data'!M$3,TimeOfWeek,$E4)*INDEX(About!I$79:I$82,MATCH($B4,About!$A$79:$A$82,0),1)</f>
        <v>35427</v>
      </c>
      <c r="N4" s="27">
        <f>SUMIFS(INDEX(Load,,MATCH('Summarized Source Data'!$C4,Hour,0)),Month,'Summarized Source Data'!$A4,Sector,'Summarized Source Data'!N$2,Subsector,'Summarized Source Data'!N$3,TimeOfWeek,$E4)*INDEX(About!J$79:J$82,MATCH($B4,About!$A$79:$A$82,0),1)</f>
        <v>0</v>
      </c>
      <c r="O4" s="29">
        <f>P4</f>
        <v>154664573</v>
      </c>
      <c r="P4" s="27">
        <f>(SUMIFS(INDEX(Load,,MATCH('Summarized Source Data'!$C4,Hour,0)),Month,'Summarized Source Data'!$A4,Sector,'Summarized Source Data'!P$2,Subsector,"Total",TimeOfWeek,$E4)-SUM(L4:N4)*INDEX(About!L$79:L$82,MATCH($B4,About!$A$79:$A$82,0),1))</f>
        <v>154664573</v>
      </c>
      <c r="Q4" s="29">
        <f>P4</f>
        <v>154664573</v>
      </c>
      <c r="R4" s="33">
        <f>SUMIFS(INDEX(Load,,MATCH('Summarized Source Data'!$C4,Hour,0)),Month,'Summarized Source Data'!$A4,Sector,'Summarized Source Data'!R$2,TimeOfWeek,$E4)*INDEX(About!N$79:N$82,MATCH($B4,About!$A$79:$A$82,0),1)</f>
        <v>5047694</v>
      </c>
      <c r="S4" s="33">
        <f>SUMIFS(INDEX(Load,,MATCH('Summarized Source Data'!$C4,Hour,0)),Month,'Summarized Source Data'!$A4,Sector,'Summarized Source Data'!S$2,TimeOfWeek,$E4)*INDEX(About!O$79:O$82,MATCH($B4,About!$A$79:$A$82,0),1)</f>
        <v>5047694</v>
      </c>
      <c r="T4" s="33">
        <f>SUMIFS(INDEX(Load,,MATCH('Summarized Source Data'!$C4,Hour,0)),Month,'Summarized Source Data'!$A4,Sector,'Summarized Source Data'!T$2,TimeOfWeek,$E4)*INDEX(About!P$79:P$82,MATCH($B4,About!$A$79:$A$82,0),1)</f>
        <v>5047694</v>
      </c>
      <c r="U4" s="33">
        <f>SUMIFS(INDEX(Load,,MATCH('Summarized Source Data'!$C4,Hour,0)),Month,'Summarized Source Data'!$A4,Sector,'Summarized Source Data'!U$2,TimeOfWeek,$E4)*INDEX(About!Q$79:Q$82,MATCH($B4,About!$A$79:$A$82,0),1)</f>
        <v>5047694</v>
      </c>
      <c r="V4" s="33">
        <f>SUMIFS(INDEX(Load,,MATCH('Summarized Source Data'!$C4,Hour,0)),Month,'Summarized Source Data'!$A4,Sector,'Summarized Source Data'!V$2,TimeOfWeek,$E4)*INDEX(About!R$79:R$82,MATCH($B4,About!$A$79:$A$82,0),1)</f>
        <v>5047694</v>
      </c>
      <c r="W4" s="33">
        <f>SUMIFS(INDEX(Load,,MATCH('Summarized Source Data'!$C4,Hour,0)),Month,'Summarized Source Data'!$A4,Sector,'Summarized Source Data'!W$2,TimeOfWeek,$E4)*INDEX(About!S$79:S$82,MATCH($B4,About!$A$79:$A$82,0),1)</f>
        <v>5047694</v>
      </c>
      <c r="X4" s="27">
        <f>SUMIFS(INDEX(Load,,MATCH('Summarized Source Data'!$C4,Hour,0)),Month,'Summarized Source Data'!$A4,Sector,'Summarized Source Data'!X$2,Subsector,'Summarized Source Data'!X$3,TimeOfWeek,$E4)*INDEX(About!T$79:T$82,MATCH($B4,About!$A$79:$A$82,0),1)</f>
        <v>661000000</v>
      </c>
      <c r="Y4" s="29">
        <f>$X4</f>
        <v>661000000</v>
      </c>
      <c r="Z4" s="29">
        <f>$X4</f>
        <v>661000000</v>
      </c>
    </row>
    <row r="5" spans="1:26" outlineLevel="1" x14ac:dyDescent="0.3">
      <c r="A5">
        <f t="shared" ref="A5:A68" si="0">ROUNDUP(ROW(A2)/24,0)</f>
        <v>1</v>
      </c>
      <c r="B5" t="str">
        <f>INDEX('Category Mapping'!$G$28:$G$39,MATCH(A5,'Category Mapping'!$A$28:$A$39,0),1)</f>
        <v>Winter</v>
      </c>
      <c r="C5" t="s">
        <v>64</v>
      </c>
      <c r="D5" s="6" t="s">
        <v>139</v>
      </c>
      <c r="E5" t="s">
        <v>49</v>
      </c>
      <c r="F5" s="27">
        <f>SUMIFS(INDEX(Load,,MATCH('Summarized Source Data'!$C5,Hour,0)),Month,'Summarized Source Data'!$A5,Sector,'Summarized Source Data'!F$2,Subsector,'Summarized Source Data'!F$3,TimeOfWeek,$E5)*INDEX(About!B$79:B$82,MATCH($B5,About!$A$79:$A$82,0),1)</f>
        <v>21100000</v>
      </c>
      <c r="G5" s="27">
        <f>SUMIFS(INDEX(Load,,MATCH('Summarized Source Data'!$C5,Hour,0)),Month,'Summarized Source Data'!$A5,Sector,'Summarized Source Data'!G$2,Subsector,'Summarized Source Data'!G$3,TimeOfWeek,$E5)*INDEX(About!C$79:C$82,MATCH($B5,About!$A$79:$A$82,0),1)</f>
        <v>13452</v>
      </c>
      <c r="H5" s="27">
        <f>SUMIFS(INDEX(Load,,MATCH('Summarized Source Data'!$C5,Hour,0)),Month,'Summarized Source Data'!$A5,Sector,'Summarized Source Data'!H$2,Subsector,'Summarized Source Data'!H$3,TimeOfWeek,$E5)*INDEX(About!D$79:D$82,MATCH($B5,About!$A$79:$A$82,0),1)</f>
        <v>0</v>
      </c>
      <c r="I5" s="27">
        <f>SUMIFS(INDEX(Load,,MATCH('Summarized Source Data'!$C5,Hour,0)),Month,'Summarized Source Data'!$A5,Sector,'Summarized Source Data'!I$2,Subsector,'Summarized Source Data'!I$3,TimeOfWeek,$E5)*INDEX(About!E$79:E$82,MATCH($B5,About!$A$79:$A$82,0),1)</f>
        <v>10800000</v>
      </c>
      <c r="J5" s="54">
        <f t="shared" ref="J5:J68" si="1">K5</f>
        <v>54286548</v>
      </c>
      <c r="K5" s="27">
        <f>(SUMIFS(INDEX(Load,,MATCH('Summarized Source Data'!$C5,Hour,0)),Month,'Summarized Source Data'!$A5,Sector,'Summarized Source Data'!K$2,Subsector,"Total",TimeOfWeek,$E5)-SUM(F5:I5))*INDEX(About!G$79:G$82,MATCH($B5,About!$A$79:$A$82,0),1)</f>
        <v>54286548</v>
      </c>
      <c r="L5" s="27">
        <f>SUMIFS(INDEX(Load,,MATCH('Summarized Source Data'!$C5,Hour,0)),Month,'Summarized Source Data'!$A5,Sector,'Summarized Source Data'!L$2,Subsector,'Summarized Source Data'!L$3,TimeOfWeek,$E5)*INDEX(About!H$79:H$82,MATCH($B5,About!$A$79:$A$82,0),1)</f>
        <v>38600000</v>
      </c>
      <c r="M5" s="27">
        <f>SUMIFS(INDEX(Load,,MATCH('Summarized Source Data'!$C5,Hour,0)),Month,'Summarized Source Data'!$A5,Sector,'Summarized Source Data'!M$2,Subsector,'Summarized Source Data'!M$3,TimeOfWeek,$E5)*INDEX(About!I$79:I$82,MATCH($B5,About!$A$79:$A$82,0),1)</f>
        <v>33406</v>
      </c>
      <c r="N5" s="27">
        <f>SUMIFS(INDEX(Load,,MATCH('Summarized Source Data'!$C5,Hour,0)),Month,'Summarized Source Data'!$A5,Sector,'Summarized Source Data'!N$2,Subsector,'Summarized Source Data'!N$3,TimeOfWeek,$E5)*INDEX(About!J$79:J$82,MATCH($B5,About!$A$79:$A$82,0),1)</f>
        <v>0</v>
      </c>
      <c r="O5" s="29">
        <f t="shared" ref="O5:O68" si="2">P5</f>
        <v>151366594</v>
      </c>
      <c r="P5" s="27">
        <f>(SUMIFS(INDEX(Load,,MATCH('Summarized Source Data'!$C5,Hour,0)),Month,'Summarized Source Data'!$A5,Sector,'Summarized Source Data'!P$2,Subsector,"Total",TimeOfWeek,$E5)-SUM(L5:N5)*INDEX(About!L$79:L$82,MATCH($B5,About!$A$79:$A$82,0),1))</f>
        <v>151366594</v>
      </c>
      <c r="Q5" s="29">
        <f t="shared" ref="Q5:Q68" si="3">P5</f>
        <v>151366594</v>
      </c>
      <c r="R5" s="33">
        <f>SUMIFS(INDEX(Load,,MATCH('Summarized Source Data'!$C5,Hour,0)),Month,'Summarized Source Data'!$A5,Sector,'Summarized Source Data'!R$2,TimeOfWeek,$E5)*INDEX(About!N$79:N$82,MATCH($B5,About!$A$79:$A$82,0),1)</f>
        <v>4979874</v>
      </c>
      <c r="S5" s="33">
        <f>SUMIFS(INDEX(Load,,MATCH('Summarized Source Data'!$C5,Hour,0)),Month,'Summarized Source Data'!$A5,Sector,'Summarized Source Data'!S$2,TimeOfWeek,$E5)*INDEX(About!O$79:O$82,MATCH($B5,About!$A$79:$A$82,0),1)</f>
        <v>4979874</v>
      </c>
      <c r="T5" s="33">
        <f>SUMIFS(INDEX(Load,,MATCH('Summarized Source Data'!$C5,Hour,0)),Month,'Summarized Source Data'!$A5,Sector,'Summarized Source Data'!T$2,TimeOfWeek,$E5)*INDEX(About!P$79:P$82,MATCH($B5,About!$A$79:$A$82,0),1)</f>
        <v>4979874</v>
      </c>
      <c r="U5" s="33">
        <f>SUMIFS(INDEX(Load,,MATCH('Summarized Source Data'!$C5,Hour,0)),Month,'Summarized Source Data'!$A5,Sector,'Summarized Source Data'!U$2,TimeOfWeek,$E5)*INDEX(About!Q$79:Q$82,MATCH($B5,About!$A$79:$A$82,0),1)</f>
        <v>4979874</v>
      </c>
      <c r="V5" s="33">
        <f>SUMIFS(INDEX(Load,,MATCH('Summarized Source Data'!$C5,Hour,0)),Month,'Summarized Source Data'!$A5,Sector,'Summarized Source Data'!V$2,TimeOfWeek,$E5)*INDEX(About!R$79:R$82,MATCH($B5,About!$A$79:$A$82,0),1)</f>
        <v>4979874</v>
      </c>
      <c r="W5" s="33">
        <f>SUMIFS(INDEX(Load,,MATCH('Summarized Source Data'!$C5,Hour,0)),Month,'Summarized Source Data'!$A5,Sector,'Summarized Source Data'!W$2,TimeOfWeek,$E5)*INDEX(About!S$79:S$82,MATCH($B5,About!$A$79:$A$82,0),1)</f>
        <v>4979874</v>
      </c>
      <c r="X5" s="27">
        <f>SUMIFS(INDEX(Load,,MATCH('Summarized Source Data'!$C5,Hour,0)),Month,'Summarized Source Data'!$A5,Sector,'Summarized Source Data'!X$2,Subsector,'Summarized Source Data'!X$3,TimeOfWeek,$E5)*INDEX(About!T$79:T$82,MATCH($B5,About!$A$79:$A$82,0),1)</f>
        <v>660000000</v>
      </c>
      <c r="Y5" s="29">
        <f t="shared" ref="Y5:Z68" si="4">$X5</f>
        <v>660000000</v>
      </c>
      <c r="Z5" s="29">
        <f t="shared" si="4"/>
        <v>660000000</v>
      </c>
    </row>
    <row r="6" spans="1:26" outlineLevel="1" x14ac:dyDescent="0.3">
      <c r="A6">
        <f t="shared" si="0"/>
        <v>1</v>
      </c>
      <c r="B6" t="str">
        <f>INDEX('Category Mapping'!$G$28:$G$39,MATCH(A6,'Category Mapping'!$A$28:$A$39,0),1)</f>
        <v>Winter</v>
      </c>
      <c r="C6" t="s">
        <v>65</v>
      </c>
      <c r="D6" s="6" t="s">
        <v>140</v>
      </c>
      <c r="E6" t="s">
        <v>49</v>
      </c>
      <c r="F6" s="27">
        <f>SUMIFS(INDEX(Load,,MATCH('Summarized Source Data'!$C6,Hour,0)),Month,'Summarized Source Data'!$A6,Sector,'Summarized Source Data'!F$2,Subsector,'Summarized Source Data'!F$3,TimeOfWeek,$E6)*INDEX(About!B$79:B$82,MATCH($B6,About!$A$79:$A$82,0),1)</f>
        <v>21200000</v>
      </c>
      <c r="G6" s="27">
        <f>SUMIFS(INDEX(Load,,MATCH('Summarized Source Data'!$C6,Hour,0)),Month,'Summarized Source Data'!$A6,Sector,'Summarized Source Data'!G$2,Subsector,'Summarized Source Data'!G$3,TimeOfWeek,$E6)*INDEX(About!C$79:C$82,MATCH($B6,About!$A$79:$A$82,0),1)</f>
        <v>13504</v>
      </c>
      <c r="H6" s="27">
        <f>SUMIFS(INDEX(Load,,MATCH('Summarized Source Data'!$C6,Hour,0)),Month,'Summarized Source Data'!$A6,Sector,'Summarized Source Data'!H$2,Subsector,'Summarized Source Data'!H$3,TimeOfWeek,$E6)*INDEX(About!D$79:D$82,MATCH($B6,About!$A$79:$A$82,0),1)</f>
        <v>0</v>
      </c>
      <c r="I6" s="27">
        <f>SUMIFS(INDEX(Load,,MATCH('Summarized Source Data'!$C6,Hour,0)),Month,'Summarized Source Data'!$A6,Sector,'Summarized Source Data'!I$2,Subsector,'Summarized Source Data'!I$3,TimeOfWeek,$E6)*INDEX(About!E$79:E$82,MATCH($B6,About!$A$79:$A$82,0),1)</f>
        <v>10700000</v>
      </c>
      <c r="J6" s="54">
        <f t="shared" si="1"/>
        <v>43686496</v>
      </c>
      <c r="K6" s="27">
        <f>(SUMIFS(INDEX(Load,,MATCH('Summarized Source Data'!$C6,Hour,0)),Month,'Summarized Source Data'!$A6,Sector,'Summarized Source Data'!K$2,Subsector,"Total",TimeOfWeek,$E6)-SUM(F6:I6))*INDEX(About!G$79:G$82,MATCH($B6,About!$A$79:$A$82,0),1)</f>
        <v>43686496</v>
      </c>
      <c r="L6" s="27">
        <f>SUMIFS(INDEX(Load,,MATCH('Summarized Source Data'!$C6,Hour,0)),Month,'Summarized Source Data'!$A6,Sector,'Summarized Source Data'!L$2,Subsector,'Summarized Source Data'!L$3,TimeOfWeek,$E6)*INDEX(About!H$79:H$82,MATCH($B6,About!$A$79:$A$82,0),1)</f>
        <v>34800000</v>
      </c>
      <c r="M6" s="27">
        <f>SUMIFS(INDEX(Load,,MATCH('Summarized Source Data'!$C6,Hour,0)),Month,'Summarized Source Data'!$A6,Sector,'Summarized Source Data'!M$2,Subsector,'Summarized Source Data'!M$3,TimeOfWeek,$E6)*INDEX(About!I$79:I$82,MATCH($B6,About!$A$79:$A$82,0),1)</f>
        <v>32562</v>
      </c>
      <c r="N6" s="27">
        <f>SUMIFS(INDEX(Load,,MATCH('Summarized Source Data'!$C6,Hour,0)),Month,'Summarized Source Data'!$A6,Sector,'Summarized Source Data'!N$2,Subsector,'Summarized Source Data'!N$3,TimeOfWeek,$E6)*INDEX(About!J$79:J$82,MATCH($B6,About!$A$79:$A$82,0),1)</f>
        <v>0</v>
      </c>
      <c r="O6" s="29">
        <f t="shared" si="2"/>
        <v>151167438</v>
      </c>
      <c r="P6" s="27">
        <f>(SUMIFS(INDEX(Load,,MATCH('Summarized Source Data'!$C6,Hour,0)),Month,'Summarized Source Data'!$A6,Sector,'Summarized Source Data'!P$2,Subsector,"Total",TimeOfWeek,$E6)-SUM(L6:N6)*INDEX(About!L$79:L$82,MATCH($B6,About!$A$79:$A$82,0),1))</f>
        <v>151167438</v>
      </c>
      <c r="Q6" s="29">
        <f t="shared" si="3"/>
        <v>151167438</v>
      </c>
      <c r="R6" s="33">
        <f>SUMIFS(INDEX(Load,,MATCH('Summarized Source Data'!$C6,Hour,0)),Month,'Summarized Source Data'!$A6,Sector,'Summarized Source Data'!R$2,TimeOfWeek,$E6)*INDEX(About!N$79:N$82,MATCH($B6,About!$A$79:$A$82,0),1)</f>
        <v>4962456</v>
      </c>
      <c r="S6" s="33">
        <f>SUMIFS(INDEX(Load,,MATCH('Summarized Source Data'!$C6,Hour,0)),Month,'Summarized Source Data'!$A6,Sector,'Summarized Source Data'!S$2,TimeOfWeek,$E6)*INDEX(About!O$79:O$82,MATCH($B6,About!$A$79:$A$82,0),1)</f>
        <v>4962456</v>
      </c>
      <c r="T6" s="33">
        <f>SUMIFS(INDEX(Load,,MATCH('Summarized Source Data'!$C6,Hour,0)),Month,'Summarized Source Data'!$A6,Sector,'Summarized Source Data'!T$2,TimeOfWeek,$E6)*INDEX(About!P$79:P$82,MATCH($B6,About!$A$79:$A$82,0),1)</f>
        <v>4962456</v>
      </c>
      <c r="U6" s="33">
        <f>SUMIFS(INDEX(Load,,MATCH('Summarized Source Data'!$C6,Hour,0)),Month,'Summarized Source Data'!$A6,Sector,'Summarized Source Data'!U$2,TimeOfWeek,$E6)*INDEX(About!Q$79:Q$82,MATCH($B6,About!$A$79:$A$82,0),1)</f>
        <v>4962456</v>
      </c>
      <c r="V6" s="33">
        <f>SUMIFS(INDEX(Load,,MATCH('Summarized Source Data'!$C6,Hour,0)),Month,'Summarized Source Data'!$A6,Sector,'Summarized Source Data'!V$2,TimeOfWeek,$E6)*INDEX(About!R$79:R$82,MATCH($B6,About!$A$79:$A$82,0),1)</f>
        <v>4962456</v>
      </c>
      <c r="W6" s="33">
        <f>SUMIFS(INDEX(Load,,MATCH('Summarized Source Data'!$C6,Hour,0)),Month,'Summarized Source Data'!$A6,Sector,'Summarized Source Data'!W$2,TimeOfWeek,$E6)*INDEX(About!S$79:S$82,MATCH($B6,About!$A$79:$A$82,0),1)</f>
        <v>4962456</v>
      </c>
      <c r="X6" s="27">
        <f>SUMIFS(INDEX(Load,,MATCH('Summarized Source Data'!$C6,Hour,0)),Month,'Summarized Source Data'!$A6,Sector,'Summarized Source Data'!X$2,Subsector,'Summarized Source Data'!X$3,TimeOfWeek,$E6)*INDEX(About!T$79:T$82,MATCH($B6,About!$A$79:$A$82,0),1)</f>
        <v>660000000</v>
      </c>
      <c r="Y6" s="29">
        <f t="shared" si="4"/>
        <v>660000000</v>
      </c>
      <c r="Z6" s="29">
        <f t="shared" si="4"/>
        <v>660000000</v>
      </c>
    </row>
    <row r="7" spans="1:26" outlineLevel="1" x14ac:dyDescent="0.3">
      <c r="A7">
        <f t="shared" si="0"/>
        <v>1</v>
      </c>
      <c r="B7" t="str">
        <f>INDEX('Category Mapping'!$G$28:$G$39,MATCH(A7,'Category Mapping'!$A$28:$A$39,0),1)</f>
        <v>Winter</v>
      </c>
      <c r="C7" t="s">
        <v>66</v>
      </c>
      <c r="D7" s="6" t="s">
        <v>141</v>
      </c>
      <c r="E7" t="s">
        <v>49</v>
      </c>
      <c r="F7" s="27">
        <f>SUMIFS(INDEX(Load,,MATCH('Summarized Source Data'!$C7,Hour,0)),Month,'Summarized Source Data'!$A7,Sector,'Summarized Source Data'!F$2,Subsector,'Summarized Source Data'!F$3,TimeOfWeek,$E7)*INDEX(About!B$79:B$82,MATCH($B7,About!$A$79:$A$82,0),1)</f>
        <v>21100000</v>
      </c>
      <c r="G7" s="27">
        <f>SUMIFS(INDEX(Load,,MATCH('Summarized Source Data'!$C7,Hour,0)),Month,'Summarized Source Data'!$A7,Sector,'Summarized Source Data'!G$2,Subsector,'Summarized Source Data'!G$3,TimeOfWeek,$E7)*INDEX(About!C$79:C$82,MATCH($B7,About!$A$79:$A$82,0),1)</f>
        <v>13511</v>
      </c>
      <c r="H7" s="27">
        <f>SUMIFS(INDEX(Load,,MATCH('Summarized Source Data'!$C7,Hour,0)),Month,'Summarized Source Data'!$A7,Sector,'Summarized Source Data'!H$2,Subsector,'Summarized Source Data'!H$3,TimeOfWeek,$E7)*INDEX(About!D$79:D$82,MATCH($B7,About!$A$79:$A$82,0),1)</f>
        <v>0</v>
      </c>
      <c r="I7" s="27">
        <f>SUMIFS(INDEX(Load,,MATCH('Summarized Source Data'!$C7,Hour,0)),Month,'Summarized Source Data'!$A7,Sector,'Summarized Source Data'!I$2,Subsector,'Summarized Source Data'!I$3,TimeOfWeek,$E7)*INDEX(About!E$79:E$82,MATCH($B7,About!$A$79:$A$82,0),1)</f>
        <v>10900000</v>
      </c>
      <c r="J7" s="54">
        <f t="shared" si="1"/>
        <v>37886489</v>
      </c>
      <c r="K7" s="27">
        <f>(SUMIFS(INDEX(Load,,MATCH('Summarized Source Data'!$C7,Hour,0)),Month,'Summarized Source Data'!$A7,Sector,'Summarized Source Data'!K$2,Subsector,"Total",TimeOfWeek,$E7)-SUM(F7:I7))*INDEX(About!G$79:G$82,MATCH($B7,About!$A$79:$A$82,0),1)</f>
        <v>37886489</v>
      </c>
      <c r="L7" s="27">
        <f>SUMIFS(INDEX(Load,,MATCH('Summarized Source Data'!$C7,Hour,0)),Month,'Summarized Source Data'!$A7,Sector,'Summarized Source Data'!L$2,Subsector,'Summarized Source Data'!L$3,TimeOfWeek,$E7)*INDEX(About!H$79:H$82,MATCH($B7,About!$A$79:$A$82,0),1)</f>
        <v>36300000</v>
      </c>
      <c r="M7" s="27">
        <f>SUMIFS(INDEX(Load,,MATCH('Summarized Source Data'!$C7,Hour,0)),Month,'Summarized Source Data'!$A7,Sector,'Summarized Source Data'!M$2,Subsector,'Summarized Source Data'!M$3,TimeOfWeek,$E7)*INDEX(About!I$79:I$82,MATCH($B7,About!$A$79:$A$82,0),1)</f>
        <v>32086</v>
      </c>
      <c r="N7" s="27">
        <f>SUMIFS(INDEX(Load,,MATCH('Summarized Source Data'!$C7,Hour,0)),Month,'Summarized Source Data'!$A7,Sector,'Summarized Source Data'!N$2,Subsector,'Summarized Source Data'!N$3,TimeOfWeek,$E7)*INDEX(About!J$79:J$82,MATCH($B7,About!$A$79:$A$82,0),1)</f>
        <v>0</v>
      </c>
      <c r="O7" s="29">
        <f t="shared" si="2"/>
        <v>157667914</v>
      </c>
      <c r="P7" s="27">
        <f>(SUMIFS(INDEX(Load,,MATCH('Summarized Source Data'!$C7,Hour,0)),Month,'Summarized Source Data'!$A7,Sector,'Summarized Source Data'!P$2,Subsector,"Total",TimeOfWeek,$E7)-SUM(L7:N7)*INDEX(About!L$79:L$82,MATCH($B7,About!$A$79:$A$82,0),1))</f>
        <v>157667914</v>
      </c>
      <c r="Q7" s="29">
        <f t="shared" si="3"/>
        <v>157667914</v>
      </c>
      <c r="R7" s="33">
        <f>SUMIFS(INDEX(Load,,MATCH('Summarized Source Data'!$C7,Hour,0)),Month,'Summarized Source Data'!$A7,Sector,'Summarized Source Data'!R$2,TimeOfWeek,$E7)*INDEX(About!N$79:N$82,MATCH($B7,About!$A$79:$A$82,0),1)</f>
        <v>4978492</v>
      </c>
      <c r="S7" s="33">
        <f>SUMIFS(INDEX(Load,,MATCH('Summarized Source Data'!$C7,Hour,0)),Month,'Summarized Source Data'!$A7,Sector,'Summarized Source Data'!S$2,TimeOfWeek,$E7)*INDEX(About!O$79:O$82,MATCH($B7,About!$A$79:$A$82,0),1)</f>
        <v>4978492</v>
      </c>
      <c r="T7" s="33">
        <f>SUMIFS(INDEX(Load,,MATCH('Summarized Source Data'!$C7,Hour,0)),Month,'Summarized Source Data'!$A7,Sector,'Summarized Source Data'!T$2,TimeOfWeek,$E7)*INDEX(About!P$79:P$82,MATCH($B7,About!$A$79:$A$82,0),1)</f>
        <v>4978492</v>
      </c>
      <c r="U7" s="33">
        <f>SUMIFS(INDEX(Load,,MATCH('Summarized Source Data'!$C7,Hour,0)),Month,'Summarized Source Data'!$A7,Sector,'Summarized Source Data'!U$2,TimeOfWeek,$E7)*INDEX(About!Q$79:Q$82,MATCH($B7,About!$A$79:$A$82,0),1)</f>
        <v>4978492</v>
      </c>
      <c r="V7" s="33">
        <f>SUMIFS(INDEX(Load,,MATCH('Summarized Source Data'!$C7,Hour,0)),Month,'Summarized Source Data'!$A7,Sector,'Summarized Source Data'!V$2,TimeOfWeek,$E7)*INDEX(About!R$79:R$82,MATCH($B7,About!$A$79:$A$82,0),1)</f>
        <v>4978492</v>
      </c>
      <c r="W7" s="33">
        <f>SUMIFS(INDEX(Load,,MATCH('Summarized Source Data'!$C7,Hour,0)),Month,'Summarized Source Data'!$A7,Sector,'Summarized Source Data'!W$2,TimeOfWeek,$E7)*INDEX(About!S$79:S$82,MATCH($B7,About!$A$79:$A$82,0),1)</f>
        <v>4978492</v>
      </c>
      <c r="X7" s="27">
        <f>SUMIFS(INDEX(Load,,MATCH('Summarized Source Data'!$C7,Hour,0)),Month,'Summarized Source Data'!$A7,Sector,'Summarized Source Data'!X$2,Subsector,'Summarized Source Data'!X$3,TimeOfWeek,$E7)*INDEX(About!T$79:T$82,MATCH($B7,About!$A$79:$A$82,0),1)</f>
        <v>660000000</v>
      </c>
      <c r="Y7" s="29">
        <f t="shared" si="4"/>
        <v>660000000</v>
      </c>
      <c r="Z7" s="29">
        <f t="shared" si="4"/>
        <v>660000000</v>
      </c>
    </row>
    <row r="8" spans="1:26" outlineLevel="1" x14ac:dyDescent="0.3">
      <c r="A8">
        <f t="shared" si="0"/>
        <v>1</v>
      </c>
      <c r="B8" t="str">
        <f>INDEX('Category Mapping'!$G$28:$G$39,MATCH(A8,'Category Mapping'!$A$28:$A$39,0),1)</f>
        <v>Winter</v>
      </c>
      <c r="C8" t="s">
        <v>67</v>
      </c>
      <c r="D8" s="6" t="s">
        <v>142</v>
      </c>
      <c r="E8" t="s">
        <v>49</v>
      </c>
      <c r="F8" s="27">
        <f>SUMIFS(INDEX(Load,,MATCH('Summarized Source Data'!$C8,Hour,0)),Month,'Summarized Source Data'!$A8,Sector,'Summarized Source Data'!F$2,Subsector,'Summarized Source Data'!F$3,TimeOfWeek,$E8)*INDEX(About!B$79:B$82,MATCH($B8,About!$A$79:$A$82,0),1)</f>
        <v>20700000</v>
      </c>
      <c r="G8" s="27">
        <f>SUMIFS(INDEX(Load,,MATCH('Summarized Source Data'!$C8,Hour,0)),Month,'Summarized Source Data'!$A8,Sector,'Summarized Source Data'!G$2,Subsector,'Summarized Source Data'!G$3,TimeOfWeek,$E8)*INDEX(About!C$79:C$82,MATCH($B8,About!$A$79:$A$82,0),1)</f>
        <v>13169</v>
      </c>
      <c r="H8" s="27">
        <f>SUMIFS(INDEX(Load,,MATCH('Summarized Source Data'!$C8,Hour,0)),Month,'Summarized Source Data'!$A8,Sector,'Summarized Source Data'!H$2,Subsector,'Summarized Source Data'!H$3,TimeOfWeek,$E8)*INDEX(About!D$79:D$82,MATCH($B8,About!$A$79:$A$82,0),1)</f>
        <v>0</v>
      </c>
      <c r="I8" s="27">
        <f>SUMIFS(INDEX(Load,,MATCH('Summarized Source Data'!$C8,Hour,0)),Month,'Summarized Source Data'!$A8,Sector,'Summarized Source Data'!I$2,Subsector,'Summarized Source Data'!I$3,TimeOfWeek,$E8)*INDEX(About!E$79:E$82,MATCH($B8,About!$A$79:$A$82,0),1)</f>
        <v>14100000</v>
      </c>
      <c r="J8" s="54">
        <f t="shared" si="1"/>
        <v>40186831</v>
      </c>
      <c r="K8" s="27">
        <f>(SUMIFS(INDEX(Load,,MATCH('Summarized Source Data'!$C8,Hour,0)),Month,'Summarized Source Data'!$A8,Sector,'Summarized Source Data'!K$2,Subsector,"Total",TimeOfWeek,$E8)-SUM(F8:I8))*INDEX(About!G$79:G$82,MATCH($B8,About!$A$79:$A$82,0),1)</f>
        <v>40186831</v>
      </c>
      <c r="L8" s="27">
        <f>SUMIFS(INDEX(Load,,MATCH('Summarized Source Data'!$C8,Hour,0)),Month,'Summarized Source Data'!$A8,Sector,'Summarized Source Data'!L$2,Subsector,'Summarized Source Data'!L$3,TimeOfWeek,$E8)*INDEX(About!H$79:H$82,MATCH($B8,About!$A$79:$A$82,0),1)</f>
        <v>38100000</v>
      </c>
      <c r="M8" s="27">
        <f>SUMIFS(INDEX(Load,,MATCH('Summarized Source Data'!$C8,Hour,0)),Month,'Summarized Source Data'!$A8,Sector,'Summarized Source Data'!M$2,Subsector,'Summarized Source Data'!M$3,TimeOfWeek,$E8)*INDEX(About!I$79:I$82,MATCH($B8,About!$A$79:$A$82,0),1)</f>
        <v>31984</v>
      </c>
      <c r="N8" s="27">
        <f>SUMIFS(INDEX(Load,,MATCH('Summarized Source Data'!$C8,Hour,0)),Month,'Summarized Source Data'!$A8,Sector,'Summarized Source Data'!N$2,Subsector,'Summarized Source Data'!N$3,TimeOfWeek,$E8)*INDEX(About!J$79:J$82,MATCH($B8,About!$A$79:$A$82,0),1)</f>
        <v>0</v>
      </c>
      <c r="O8" s="29">
        <f t="shared" si="2"/>
        <v>167868016</v>
      </c>
      <c r="P8" s="27">
        <f>(SUMIFS(INDEX(Load,,MATCH('Summarized Source Data'!$C8,Hour,0)),Month,'Summarized Source Data'!$A8,Sector,'Summarized Source Data'!P$2,Subsector,"Total",TimeOfWeek,$E8)-SUM(L8:N8)*INDEX(About!L$79:L$82,MATCH($B8,About!$A$79:$A$82,0),1))</f>
        <v>167868016</v>
      </c>
      <c r="Q8" s="29">
        <f t="shared" si="3"/>
        <v>167868016</v>
      </c>
      <c r="R8" s="33">
        <f>SUMIFS(INDEX(Load,,MATCH('Summarized Source Data'!$C8,Hour,0)),Month,'Summarized Source Data'!$A8,Sector,'Summarized Source Data'!R$2,TimeOfWeek,$E8)*INDEX(About!N$79:N$82,MATCH($B8,About!$A$79:$A$82,0),1)</f>
        <v>4961019</v>
      </c>
      <c r="S8" s="33">
        <f>SUMIFS(INDEX(Load,,MATCH('Summarized Source Data'!$C8,Hour,0)),Month,'Summarized Source Data'!$A8,Sector,'Summarized Source Data'!S$2,TimeOfWeek,$E8)*INDEX(About!O$79:O$82,MATCH($B8,About!$A$79:$A$82,0),1)</f>
        <v>4961019</v>
      </c>
      <c r="T8" s="33">
        <f>SUMIFS(INDEX(Load,,MATCH('Summarized Source Data'!$C8,Hour,0)),Month,'Summarized Source Data'!$A8,Sector,'Summarized Source Data'!T$2,TimeOfWeek,$E8)*INDEX(About!P$79:P$82,MATCH($B8,About!$A$79:$A$82,0),1)</f>
        <v>4961019</v>
      </c>
      <c r="U8" s="33">
        <f>SUMIFS(INDEX(Load,,MATCH('Summarized Source Data'!$C8,Hour,0)),Month,'Summarized Source Data'!$A8,Sector,'Summarized Source Data'!U$2,TimeOfWeek,$E8)*INDEX(About!Q$79:Q$82,MATCH($B8,About!$A$79:$A$82,0),1)</f>
        <v>4961019</v>
      </c>
      <c r="V8" s="33">
        <f>SUMIFS(INDEX(Load,,MATCH('Summarized Source Data'!$C8,Hour,0)),Month,'Summarized Source Data'!$A8,Sector,'Summarized Source Data'!V$2,TimeOfWeek,$E8)*INDEX(About!R$79:R$82,MATCH($B8,About!$A$79:$A$82,0),1)</f>
        <v>4961019</v>
      </c>
      <c r="W8" s="33">
        <f>SUMIFS(INDEX(Load,,MATCH('Summarized Source Data'!$C8,Hour,0)),Month,'Summarized Source Data'!$A8,Sector,'Summarized Source Data'!W$2,TimeOfWeek,$E8)*INDEX(About!S$79:S$82,MATCH($B8,About!$A$79:$A$82,0),1)</f>
        <v>4961019</v>
      </c>
      <c r="X8" s="27">
        <f>SUMIFS(INDEX(Load,,MATCH('Summarized Source Data'!$C8,Hour,0)),Month,'Summarized Source Data'!$A8,Sector,'Summarized Source Data'!X$2,Subsector,'Summarized Source Data'!X$3,TimeOfWeek,$E8)*INDEX(About!T$79:T$82,MATCH($B8,About!$A$79:$A$82,0),1)</f>
        <v>662000000</v>
      </c>
      <c r="Y8" s="29">
        <f t="shared" si="4"/>
        <v>662000000</v>
      </c>
      <c r="Z8" s="29">
        <f t="shared" si="4"/>
        <v>662000000</v>
      </c>
    </row>
    <row r="9" spans="1:26" outlineLevel="1" x14ac:dyDescent="0.3">
      <c r="A9">
        <f t="shared" si="0"/>
        <v>1</v>
      </c>
      <c r="B9" t="str">
        <f>INDEX('Category Mapping'!$G$28:$G$39,MATCH(A9,'Category Mapping'!$A$28:$A$39,0),1)</f>
        <v>Winter</v>
      </c>
      <c r="C9" t="s">
        <v>68</v>
      </c>
      <c r="D9" s="6" t="s">
        <v>143</v>
      </c>
      <c r="E9" t="s">
        <v>49</v>
      </c>
      <c r="F9" s="27">
        <f>SUMIFS(INDEX(Load,,MATCH('Summarized Source Data'!$C9,Hour,0)),Month,'Summarized Source Data'!$A9,Sector,'Summarized Source Data'!F$2,Subsector,'Summarized Source Data'!F$3,TimeOfWeek,$E9)*INDEX(About!B$79:B$82,MATCH($B9,About!$A$79:$A$82,0),1)</f>
        <v>25000000</v>
      </c>
      <c r="G9" s="27">
        <f>SUMIFS(INDEX(Load,,MATCH('Summarized Source Data'!$C9,Hour,0)),Month,'Summarized Source Data'!$A9,Sector,'Summarized Source Data'!G$2,Subsector,'Summarized Source Data'!G$3,TimeOfWeek,$E9)*INDEX(About!C$79:C$82,MATCH($B9,About!$A$79:$A$82,0),1)</f>
        <v>12109</v>
      </c>
      <c r="H9" s="27">
        <f>SUMIFS(INDEX(Load,,MATCH('Summarized Source Data'!$C9,Hour,0)),Month,'Summarized Source Data'!$A9,Sector,'Summarized Source Data'!H$2,Subsector,'Summarized Source Data'!H$3,TimeOfWeek,$E9)*INDEX(About!D$79:D$82,MATCH($B9,About!$A$79:$A$82,0),1)</f>
        <v>0</v>
      </c>
      <c r="I9" s="27">
        <f>SUMIFS(INDEX(Load,,MATCH('Summarized Source Data'!$C9,Hour,0)),Month,'Summarized Source Data'!$A9,Sector,'Summarized Source Data'!I$2,Subsector,'Summarized Source Data'!I$3,TimeOfWeek,$E9)*INDEX(About!E$79:E$82,MATCH($B9,About!$A$79:$A$82,0),1)</f>
        <v>24200000</v>
      </c>
      <c r="J9" s="54">
        <f t="shared" si="1"/>
        <v>55787891</v>
      </c>
      <c r="K9" s="27">
        <f>(SUMIFS(INDEX(Load,,MATCH('Summarized Source Data'!$C9,Hour,0)),Month,'Summarized Source Data'!$A9,Sector,'Summarized Source Data'!K$2,Subsector,"Total",TimeOfWeek,$E9)-SUM(F9:I9))*INDEX(About!G$79:G$82,MATCH($B9,About!$A$79:$A$82,0),1)</f>
        <v>55787891</v>
      </c>
      <c r="L9" s="27">
        <f>SUMIFS(INDEX(Load,,MATCH('Summarized Source Data'!$C9,Hour,0)),Month,'Summarized Source Data'!$A9,Sector,'Summarized Source Data'!L$2,Subsector,'Summarized Source Data'!L$3,TimeOfWeek,$E9)*INDEX(About!H$79:H$82,MATCH($B9,About!$A$79:$A$82,0),1)</f>
        <v>38800000</v>
      </c>
      <c r="M9" s="27">
        <f>SUMIFS(INDEX(Load,,MATCH('Summarized Source Data'!$C9,Hour,0)),Month,'Summarized Source Data'!$A9,Sector,'Summarized Source Data'!M$2,Subsector,'Summarized Source Data'!M$3,TimeOfWeek,$E9)*INDEX(About!I$79:I$82,MATCH($B9,About!$A$79:$A$82,0),1)</f>
        <v>32984</v>
      </c>
      <c r="N9" s="27">
        <f>SUMIFS(INDEX(Load,,MATCH('Summarized Source Data'!$C9,Hour,0)),Month,'Summarized Source Data'!$A9,Sector,'Summarized Source Data'!N$2,Subsector,'Summarized Source Data'!N$3,TimeOfWeek,$E9)*INDEX(About!J$79:J$82,MATCH($B9,About!$A$79:$A$82,0),1)</f>
        <v>0</v>
      </c>
      <c r="O9" s="29">
        <f t="shared" si="2"/>
        <v>196167016</v>
      </c>
      <c r="P9" s="27">
        <f>(SUMIFS(INDEX(Load,,MATCH('Summarized Source Data'!$C9,Hour,0)),Month,'Summarized Source Data'!$A9,Sector,'Summarized Source Data'!P$2,Subsector,"Total",TimeOfWeek,$E9)-SUM(L9:N9)*INDEX(About!L$79:L$82,MATCH($B9,About!$A$79:$A$82,0),1))</f>
        <v>196167016</v>
      </c>
      <c r="Q9" s="29">
        <f t="shared" si="3"/>
        <v>196167016</v>
      </c>
      <c r="R9" s="33">
        <f>SUMIFS(INDEX(Load,,MATCH('Summarized Source Data'!$C9,Hour,0)),Month,'Summarized Source Data'!$A9,Sector,'Summarized Source Data'!R$2,TimeOfWeek,$E9)*INDEX(About!N$79:N$82,MATCH($B9,About!$A$79:$A$82,0),1)</f>
        <v>5094226</v>
      </c>
      <c r="S9" s="33">
        <f>SUMIFS(INDEX(Load,,MATCH('Summarized Source Data'!$C9,Hour,0)),Month,'Summarized Source Data'!$A9,Sector,'Summarized Source Data'!S$2,TimeOfWeek,$E9)*INDEX(About!O$79:O$82,MATCH($B9,About!$A$79:$A$82,0),1)</f>
        <v>5094226</v>
      </c>
      <c r="T9" s="33">
        <f>SUMIFS(INDEX(Load,,MATCH('Summarized Source Data'!$C9,Hour,0)),Month,'Summarized Source Data'!$A9,Sector,'Summarized Source Data'!T$2,TimeOfWeek,$E9)*INDEX(About!P$79:P$82,MATCH($B9,About!$A$79:$A$82,0),1)</f>
        <v>5094226</v>
      </c>
      <c r="U9" s="33">
        <f>SUMIFS(INDEX(Load,,MATCH('Summarized Source Data'!$C9,Hour,0)),Month,'Summarized Source Data'!$A9,Sector,'Summarized Source Data'!U$2,TimeOfWeek,$E9)*INDEX(About!Q$79:Q$82,MATCH($B9,About!$A$79:$A$82,0),1)</f>
        <v>5094226</v>
      </c>
      <c r="V9" s="33">
        <f>SUMIFS(INDEX(Load,,MATCH('Summarized Source Data'!$C9,Hour,0)),Month,'Summarized Source Data'!$A9,Sector,'Summarized Source Data'!V$2,TimeOfWeek,$E9)*INDEX(About!R$79:R$82,MATCH($B9,About!$A$79:$A$82,0),1)</f>
        <v>5094226</v>
      </c>
      <c r="W9" s="33">
        <f>SUMIFS(INDEX(Load,,MATCH('Summarized Source Data'!$C9,Hour,0)),Month,'Summarized Source Data'!$A9,Sector,'Summarized Source Data'!W$2,TimeOfWeek,$E9)*INDEX(About!S$79:S$82,MATCH($B9,About!$A$79:$A$82,0),1)</f>
        <v>5094226</v>
      </c>
      <c r="X9" s="27">
        <f>SUMIFS(INDEX(Load,,MATCH('Summarized Source Data'!$C9,Hour,0)),Month,'Summarized Source Data'!$A9,Sector,'Summarized Source Data'!X$2,Subsector,'Summarized Source Data'!X$3,TimeOfWeek,$E9)*INDEX(About!T$79:T$82,MATCH($B9,About!$A$79:$A$82,0),1)</f>
        <v>666000000</v>
      </c>
      <c r="Y9" s="29">
        <f t="shared" si="4"/>
        <v>666000000</v>
      </c>
      <c r="Z9" s="29">
        <f t="shared" si="4"/>
        <v>666000000</v>
      </c>
    </row>
    <row r="10" spans="1:26" outlineLevel="1" x14ac:dyDescent="0.3">
      <c r="A10">
        <f t="shared" si="0"/>
        <v>1</v>
      </c>
      <c r="B10" t="str">
        <f>INDEX('Category Mapping'!$G$28:$G$39,MATCH(A10,'Category Mapping'!$A$28:$A$39,0),1)</f>
        <v>Winter</v>
      </c>
      <c r="C10" t="s">
        <v>69</v>
      </c>
      <c r="D10" s="6" t="s">
        <v>144</v>
      </c>
      <c r="E10" t="s">
        <v>49</v>
      </c>
      <c r="F10" s="27">
        <f>SUMIFS(INDEX(Load,,MATCH('Summarized Source Data'!$C10,Hour,0)),Month,'Summarized Source Data'!$A10,Sector,'Summarized Source Data'!F$2,Subsector,'Summarized Source Data'!F$3,TimeOfWeek,$E10)*INDEX(About!B$79:B$82,MATCH($B10,About!$A$79:$A$82,0),1)</f>
        <v>26300000</v>
      </c>
      <c r="G10" s="27">
        <f>SUMIFS(INDEX(Load,,MATCH('Summarized Source Data'!$C10,Hour,0)),Month,'Summarized Source Data'!$A10,Sector,'Summarized Source Data'!G$2,Subsector,'Summarized Source Data'!G$3,TimeOfWeek,$E10)*INDEX(About!C$79:C$82,MATCH($B10,About!$A$79:$A$82,0),1)</f>
        <v>9892</v>
      </c>
      <c r="H10" s="27">
        <f>SUMIFS(INDEX(Load,,MATCH('Summarized Source Data'!$C10,Hour,0)),Month,'Summarized Source Data'!$A10,Sector,'Summarized Source Data'!H$2,Subsector,'Summarized Source Data'!H$3,TimeOfWeek,$E10)*INDEX(About!D$79:D$82,MATCH($B10,About!$A$79:$A$82,0),1)</f>
        <v>0</v>
      </c>
      <c r="I10" s="27">
        <f>SUMIFS(INDEX(Load,,MATCH('Summarized Source Data'!$C10,Hour,0)),Month,'Summarized Source Data'!$A10,Sector,'Summarized Source Data'!I$2,Subsector,'Summarized Source Data'!I$3,TimeOfWeek,$E10)*INDEX(About!E$79:E$82,MATCH($B10,About!$A$79:$A$82,0),1)</f>
        <v>35300000</v>
      </c>
      <c r="J10" s="54">
        <f t="shared" si="1"/>
        <v>89390108</v>
      </c>
      <c r="K10" s="27">
        <f>(SUMIFS(INDEX(Load,,MATCH('Summarized Source Data'!$C10,Hour,0)),Month,'Summarized Source Data'!$A10,Sector,'Summarized Source Data'!K$2,Subsector,"Total",TimeOfWeek,$E10)-SUM(F10:I10))*INDEX(About!G$79:G$82,MATCH($B10,About!$A$79:$A$82,0),1)</f>
        <v>89390108</v>
      </c>
      <c r="L10" s="27">
        <f>SUMIFS(INDEX(Load,,MATCH('Summarized Source Data'!$C10,Hour,0)),Month,'Summarized Source Data'!$A10,Sector,'Summarized Source Data'!L$2,Subsector,'Summarized Source Data'!L$3,TimeOfWeek,$E10)*INDEX(About!H$79:H$82,MATCH($B10,About!$A$79:$A$82,0),1)</f>
        <v>56400000</v>
      </c>
      <c r="M10" s="27">
        <f>SUMIFS(INDEX(Load,,MATCH('Summarized Source Data'!$C10,Hour,0)),Month,'Summarized Source Data'!$A10,Sector,'Summarized Source Data'!M$2,Subsector,'Summarized Source Data'!M$3,TimeOfWeek,$E10)*INDEX(About!I$79:I$82,MATCH($B10,About!$A$79:$A$82,0),1)</f>
        <v>36559</v>
      </c>
      <c r="N10" s="27">
        <f>SUMIFS(INDEX(Load,,MATCH('Summarized Source Data'!$C10,Hour,0)),Month,'Summarized Source Data'!$A10,Sector,'Summarized Source Data'!N$2,Subsector,'Summarized Source Data'!N$3,TimeOfWeek,$E10)*INDEX(About!J$79:J$82,MATCH($B10,About!$A$79:$A$82,0),1)</f>
        <v>0</v>
      </c>
      <c r="O10" s="29">
        <f t="shared" si="2"/>
        <v>295563441</v>
      </c>
      <c r="P10" s="27">
        <f>(SUMIFS(INDEX(Load,,MATCH('Summarized Source Data'!$C10,Hour,0)),Month,'Summarized Source Data'!$A10,Sector,'Summarized Source Data'!P$2,Subsector,"Total",TimeOfWeek,$E10)-SUM(L10:N10)*INDEX(About!L$79:L$82,MATCH($B10,About!$A$79:$A$82,0),1))</f>
        <v>295563441</v>
      </c>
      <c r="Q10" s="29">
        <f t="shared" si="3"/>
        <v>295563441</v>
      </c>
      <c r="R10" s="33">
        <f>SUMIFS(INDEX(Load,,MATCH('Summarized Source Data'!$C10,Hour,0)),Month,'Summarized Source Data'!$A10,Sector,'Summarized Source Data'!R$2,TimeOfWeek,$E10)*INDEX(About!N$79:N$82,MATCH($B10,About!$A$79:$A$82,0),1)</f>
        <v>7632037</v>
      </c>
      <c r="S10" s="33">
        <f>SUMIFS(INDEX(Load,,MATCH('Summarized Source Data'!$C10,Hour,0)),Month,'Summarized Source Data'!$A10,Sector,'Summarized Source Data'!S$2,TimeOfWeek,$E10)*INDEX(About!O$79:O$82,MATCH($B10,About!$A$79:$A$82,0),1)</f>
        <v>7632037</v>
      </c>
      <c r="T10" s="33">
        <f>SUMIFS(INDEX(Load,,MATCH('Summarized Source Data'!$C10,Hour,0)),Month,'Summarized Source Data'!$A10,Sector,'Summarized Source Data'!T$2,TimeOfWeek,$E10)*INDEX(About!P$79:P$82,MATCH($B10,About!$A$79:$A$82,0),1)</f>
        <v>7632037</v>
      </c>
      <c r="U10" s="33">
        <f>SUMIFS(INDEX(Load,,MATCH('Summarized Source Data'!$C10,Hour,0)),Month,'Summarized Source Data'!$A10,Sector,'Summarized Source Data'!U$2,TimeOfWeek,$E10)*INDEX(About!Q$79:Q$82,MATCH($B10,About!$A$79:$A$82,0),1)</f>
        <v>7632037</v>
      </c>
      <c r="V10" s="33">
        <f>SUMIFS(INDEX(Load,,MATCH('Summarized Source Data'!$C10,Hour,0)),Month,'Summarized Source Data'!$A10,Sector,'Summarized Source Data'!V$2,TimeOfWeek,$E10)*INDEX(About!R$79:R$82,MATCH($B10,About!$A$79:$A$82,0),1)</f>
        <v>7632037</v>
      </c>
      <c r="W10" s="33">
        <f>SUMIFS(INDEX(Load,,MATCH('Summarized Source Data'!$C10,Hour,0)),Month,'Summarized Source Data'!$A10,Sector,'Summarized Source Data'!W$2,TimeOfWeek,$E10)*INDEX(About!S$79:S$82,MATCH($B10,About!$A$79:$A$82,0),1)</f>
        <v>7632037</v>
      </c>
      <c r="X10" s="27">
        <f>SUMIFS(INDEX(Load,,MATCH('Summarized Source Data'!$C10,Hour,0)),Month,'Summarized Source Data'!$A10,Sector,'Summarized Source Data'!X$2,Subsector,'Summarized Source Data'!X$3,TimeOfWeek,$E10)*INDEX(About!T$79:T$82,MATCH($B10,About!$A$79:$A$82,0),1)</f>
        <v>674000000</v>
      </c>
      <c r="Y10" s="29">
        <f t="shared" si="4"/>
        <v>674000000</v>
      </c>
      <c r="Z10" s="29">
        <f t="shared" si="4"/>
        <v>674000000</v>
      </c>
    </row>
    <row r="11" spans="1:26" outlineLevel="1" x14ac:dyDescent="0.3">
      <c r="A11">
        <f t="shared" si="0"/>
        <v>1</v>
      </c>
      <c r="B11" t="str">
        <f>INDEX('Category Mapping'!$G$28:$G$39,MATCH(A11,'Category Mapping'!$A$28:$A$39,0),1)</f>
        <v>Winter</v>
      </c>
      <c r="C11" t="s">
        <v>70</v>
      </c>
      <c r="D11" s="6" t="s">
        <v>145</v>
      </c>
      <c r="E11" t="s">
        <v>49</v>
      </c>
      <c r="F11" s="27">
        <f>SUMIFS(INDEX(Load,,MATCH('Summarized Source Data'!$C11,Hour,0)),Month,'Summarized Source Data'!$A11,Sector,'Summarized Source Data'!F$2,Subsector,'Summarized Source Data'!F$3,TimeOfWeek,$E11)*INDEX(About!B$79:B$82,MATCH($B11,About!$A$79:$A$82,0),1)</f>
        <v>25600000</v>
      </c>
      <c r="G11" s="27">
        <f>SUMIFS(INDEX(Load,,MATCH('Summarized Source Data'!$C11,Hour,0)),Month,'Summarized Source Data'!$A11,Sector,'Summarized Source Data'!G$2,Subsector,'Summarized Source Data'!G$3,TimeOfWeek,$E11)*INDEX(About!C$79:C$82,MATCH($B11,About!$A$79:$A$82,0),1)</f>
        <v>7424</v>
      </c>
      <c r="H11" s="27">
        <f>SUMIFS(INDEX(Load,,MATCH('Summarized Source Data'!$C11,Hour,0)),Month,'Summarized Source Data'!$A11,Sector,'Summarized Source Data'!H$2,Subsector,'Summarized Source Data'!H$3,TimeOfWeek,$E11)*INDEX(About!D$79:D$82,MATCH($B11,About!$A$79:$A$82,0),1)</f>
        <v>0</v>
      </c>
      <c r="I11" s="27">
        <f>SUMIFS(INDEX(Load,,MATCH('Summarized Source Data'!$C11,Hour,0)),Month,'Summarized Source Data'!$A11,Sector,'Summarized Source Data'!I$2,Subsector,'Summarized Source Data'!I$3,TimeOfWeek,$E11)*INDEX(About!E$79:E$82,MATCH($B11,About!$A$79:$A$82,0),1)</f>
        <v>33200000</v>
      </c>
      <c r="J11" s="54">
        <f t="shared" si="1"/>
        <v>114192576</v>
      </c>
      <c r="K11" s="27">
        <f>(SUMIFS(INDEX(Load,,MATCH('Summarized Source Data'!$C11,Hour,0)),Month,'Summarized Source Data'!$A11,Sector,'Summarized Source Data'!K$2,Subsector,"Total",TimeOfWeek,$E11)-SUM(F11:I11))*INDEX(About!G$79:G$82,MATCH($B11,About!$A$79:$A$82,0),1)</f>
        <v>114192576</v>
      </c>
      <c r="L11" s="27">
        <f>SUMIFS(INDEX(Load,,MATCH('Summarized Source Data'!$C11,Hour,0)),Month,'Summarized Source Data'!$A11,Sector,'Summarized Source Data'!L$2,Subsector,'Summarized Source Data'!L$3,TimeOfWeek,$E11)*INDEX(About!H$79:H$82,MATCH($B11,About!$A$79:$A$82,0),1)</f>
        <v>120000000</v>
      </c>
      <c r="M11" s="27">
        <f>SUMIFS(INDEX(Load,,MATCH('Summarized Source Data'!$C11,Hour,0)),Month,'Summarized Source Data'!$A11,Sector,'Summarized Source Data'!M$2,Subsector,'Summarized Source Data'!M$3,TimeOfWeek,$E11)*INDEX(About!I$79:I$82,MATCH($B11,About!$A$79:$A$82,0),1)</f>
        <v>43614</v>
      </c>
      <c r="N11" s="27">
        <f>SUMIFS(INDEX(Load,,MATCH('Summarized Source Data'!$C11,Hour,0)),Month,'Summarized Source Data'!$A11,Sector,'Summarized Source Data'!N$2,Subsector,'Summarized Source Data'!N$3,TimeOfWeek,$E11)*INDEX(About!J$79:J$82,MATCH($B11,About!$A$79:$A$82,0),1)</f>
        <v>0</v>
      </c>
      <c r="O11" s="29">
        <f t="shared" si="2"/>
        <v>406956386</v>
      </c>
      <c r="P11" s="27">
        <f>(SUMIFS(INDEX(Load,,MATCH('Summarized Source Data'!$C11,Hour,0)),Month,'Summarized Source Data'!$A11,Sector,'Summarized Source Data'!P$2,Subsector,"Total",TimeOfWeek,$E11)-SUM(L11:N11)*INDEX(About!L$79:L$82,MATCH($B11,About!$A$79:$A$82,0),1))</f>
        <v>406956386</v>
      </c>
      <c r="Q11" s="29">
        <f t="shared" si="3"/>
        <v>406956386</v>
      </c>
      <c r="R11" s="33">
        <f>SUMIFS(INDEX(Load,,MATCH('Summarized Source Data'!$C11,Hour,0)),Month,'Summarized Source Data'!$A11,Sector,'Summarized Source Data'!R$2,TimeOfWeek,$E11)*INDEX(About!N$79:N$82,MATCH($B11,About!$A$79:$A$82,0),1)</f>
        <v>16000000</v>
      </c>
      <c r="S11" s="33">
        <f>SUMIFS(INDEX(Load,,MATCH('Summarized Source Data'!$C11,Hour,0)),Month,'Summarized Source Data'!$A11,Sector,'Summarized Source Data'!S$2,TimeOfWeek,$E11)*INDEX(About!O$79:O$82,MATCH($B11,About!$A$79:$A$82,0),1)</f>
        <v>16000000</v>
      </c>
      <c r="T11" s="33">
        <f>SUMIFS(INDEX(Load,,MATCH('Summarized Source Data'!$C11,Hour,0)),Month,'Summarized Source Data'!$A11,Sector,'Summarized Source Data'!T$2,TimeOfWeek,$E11)*INDEX(About!P$79:P$82,MATCH($B11,About!$A$79:$A$82,0),1)</f>
        <v>16000000</v>
      </c>
      <c r="U11" s="33">
        <f>SUMIFS(INDEX(Load,,MATCH('Summarized Source Data'!$C11,Hour,0)),Month,'Summarized Source Data'!$A11,Sector,'Summarized Source Data'!U$2,TimeOfWeek,$E11)*INDEX(About!Q$79:Q$82,MATCH($B11,About!$A$79:$A$82,0),1)</f>
        <v>16000000</v>
      </c>
      <c r="V11" s="33">
        <f>SUMIFS(INDEX(Load,,MATCH('Summarized Source Data'!$C11,Hour,0)),Month,'Summarized Source Data'!$A11,Sector,'Summarized Source Data'!V$2,TimeOfWeek,$E11)*INDEX(About!R$79:R$82,MATCH($B11,About!$A$79:$A$82,0),1)</f>
        <v>16000000</v>
      </c>
      <c r="W11" s="33">
        <f>SUMIFS(INDEX(Load,,MATCH('Summarized Source Data'!$C11,Hour,0)),Month,'Summarized Source Data'!$A11,Sector,'Summarized Source Data'!W$2,TimeOfWeek,$E11)*INDEX(About!S$79:S$82,MATCH($B11,About!$A$79:$A$82,0),1)</f>
        <v>16000000</v>
      </c>
      <c r="X11" s="27">
        <f>SUMIFS(INDEX(Load,,MATCH('Summarized Source Data'!$C11,Hour,0)),Month,'Summarized Source Data'!$A11,Sector,'Summarized Source Data'!X$2,Subsector,'Summarized Source Data'!X$3,TimeOfWeek,$E11)*INDEX(About!T$79:T$82,MATCH($B11,About!$A$79:$A$82,0),1)</f>
        <v>681000000</v>
      </c>
      <c r="Y11" s="29">
        <f t="shared" si="4"/>
        <v>681000000</v>
      </c>
      <c r="Z11" s="29">
        <f t="shared" si="4"/>
        <v>681000000</v>
      </c>
    </row>
    <row r="12" spans="1:26" outlineLevel="1" x14ac:dyDescent="0.3">
      <c r="A12">
        <f t="shared" si="0"/>
        <v>1</v>
      </c>
      <c r="B12" t="str">
        <f>INDEX('Category Mapping'!$G$28:$G$39,MATCH(A12,'Category Mapping'!$A$28:$A$39,0),1)</f>
        <v>Winter</v>
      </c>
      <c r="C12" t="s">
        <v>71</v>
      </c>
      <c r="D12" s="6" t="s">
        <v>146</v>
      </c>
      <c r="E12" t="s">
        <v>49</v>
      </c>
      <c r="F12" s="27">
        <f>SUMIFS(INDEX(Load,,MATCH('Summarized Source Data'!$C12,Hour,0)),Month,'Summarized Source Data'!$A12,Sector,'Summarized Source Data'!F$2,Subsector,'Summarized Source Data'!F$3,TimeOfWeek,$E12)*INDEX(About!B$79:B$82,MATCH($B12,About!$A$79:$A$82,0),1)</f>
        <v>24600000</v>
      </c>
      <c r="G12" s="27">
        <f>SUMIFS(INDEX(Load,,MATCH('Summarized Source Data'!$C12,Hour,0)),Month,'Summarized Source Data'!$A12,Sector,'Summarized Source Data'!G$2,Subsector,'Summarized Source Data'!G$3,TimeOfWeek,$E12)*INDEX(About!C$79:C$82,MATCH($B12,About!$A$79:$A$82,0),1)</f>
        <v>5999</v>
      </c>
      <c r="H12" s="27">
        <f>SUMIFS(INDEX(Load,,MATCH('Summarized Source Data'!$C12,Hour,0)),Month,'Summarized Source Data'!$A12,Sector,'Summarized Source Data'!H$2,Subsector,'Summarized Source Data'!H$3,TimeOfWeek,$E12)*INDEX(About!D$79:D$82,MATCH($B12,About!$A$79:$A$82,0),1)</f>
        <v>0</v>
      </c>
      <c r="I12" s="27">
        <f>SUMIFS(INDEX(Load,,MATCH('Summarized Source Data'!$C12,Hour,0)),Month,'Summarized Source Data'!$A12,Sector,'Summarized Source Data'!I$2,Subsector,'Summarized Source Data'!I$3,TimeOfWeek,$E12)*INDEX(About!E$79:E$82,MATCH($B12,About!$A$79:$A$82,0),1)</f>
        <v>10700000</v>
      </c>
      <c r="J12" s="54">
        <f t="shared" si="1"/>
        <v>113694001</v>
      </c>
      <c r="K12" s="27">
        <f>(SUMIFS(INDEX(Load,,MATCH('Summarized Source Data'!$C12,Hour,0)),Month,'Summarized Source Data'!$A12,Sector,'Summarized Source Data'!K$2,Subsector,"Total",TimeOfWeek,$E12)-SUM(F12:I12))*INDEX(About!G$79:G$82,MATCH($B12,About!$A$79:$A$82,0),1)</f>
        <v>113694001</v>
      </c>
      <c r="L12" s="27">
        <f>SUMIFS(INDEX(Load,,MATCH('Summarized Source Data'!$C12,Hour,0)),Month,'Summarized Source Data'!$A12,Sector,'Summarized Source Data'!L$2,Subsector,'Summarized Source Data'!L$3,TimeOfWeek,$E12)*INDEX(About!H$79:H$82,MATCH($B12,About!$A$79:$A$82,0),1)</f>
        <v>127000000</v>
      </c>
      <c r="M12" s="27">
        <f>SUMIFS(INDEX(Load,,MATCH('Summarized Source Data'!$C12,Hour,0)),Month,'Summarized Source Data'!$A12,Sector,'Summarized Source Data'!M$2,Subsector,'Summarized Source Data'!M$3,TimeOfWeek,$E12)*INDEX(About!I$79:I$82,MATCH($B12,About!$A$79:$A$82,0),1)</f>
        <v>53983</v>
      </c>
      <c r="N12" s="27">
        <f>SUMIFS(INDEX(Load,,MATCH('Summarized Source Data'!$C12,Hour,0)),Month,'Summarized Source Data'!$A12,Sector,'Summarized Source Data'!N$2,Subsector,'Summarized Source Data'!N$3,TimeOfWeek,$E12)*INDEX(About!J$79:J$82,MATCH($B12,About!$A$79:$A$82,0),1)</f>
        <v>0</v>
      </c>
      <c r="O12" s="29">
        <f t="shared" si="2"/>
        <v>503946017</v>
      </c>
      <c r="P12" s="27">
        <f>(SUMIFS(INDEX(Load,,MATCH('Summarized Source Data'!$C12,Hour,0)),Month,'Summarized Source Data'!$A12,Sector,'Summarized Source Data'!P$2,Subsector,"Total",TimeOfWeek,$E12)-SUM(L12:N12)*INDEX(About!L$79:L$82,MATCH($B12,About!$A$79:$A$82,0),1))</f>
        <v>503946017</v>
      </c>
      <c r="Q12" s="29">
        <f t="shared" si="3"/>
        <v>503946017</v>
      </c>
      <c r="R12" s="33">
        <f>SUMIFS(INDEX(Load,,MATCH('Summarized Source Data'!$C12,Hour,0)),Month,'Summarized Source Data'!$A12,Sector,'Summarized Source Data'!R$2,TimeOfWeek,$E12)*INDEX(About!N$79:N$82,MATCH($B12,About!$A$79:$A$82,0),1)</f>
        <v>17400000</v>
      </c>
      <c r="S12" s="33">
        <f>SUMIFS(INDEX(Load,,MATCH('Summarized Source Data'!$C12,Hour,0)),Month,'Summarized Source Data'!$A12,Sector,'Summarized Source Data'!S$2,TimeOfWeek,$E12)*INDEX(About!O$79:O$82,MATCH($B12,About!$A$79:$A$82,0),1)</f>
        <v>17400000</v>
      </c>
      <c r="T12" s="33">
        <f>SUMIFS(INDEX(Load,,MATCH('Summarized Source Data'!$C12,Hour,0)),Month,'Summarized Source Data'!$A12,Sector,'Summarized Source Data'!T$2,TimeOfWeek,$E12)*INDEX(About!P$79:P$82,MATCH($B12,About!$A$79:$A$82,0),1)</f>
        <v>17400000</v>
      </c>
      <c r="U12" s="33">
        <f>SUMIFS(INDEX(Load,,MATCH('Summarized Source Data'!$C12,Hour,0)),Month,'Summarized Source Data'!$A12,Sector,'Summarized Source Data'!U$2,TimeOfWeek,$E12)*INDEX(About!Q$79:Q$82,MATCH($B12,About!$A$79:$A$82,0),1)</f>
        <v>17400000</v>
      </c>
      <c r="V12" s="33">
        <f>SUMIFS(INDEX(Load,,MATCH('Summarized Source Data'!$C12,Hour,0)),Month,'Summarized Source Data'!$A12,Sector,'Summarized Source Data'!V$2,TimeOfWeek,$E12)*INDEX(About!R$79:R$82,MATCH($B12,About!$A$79:$A$82,0),1)</f>
        <v>17400000</v>
      </c>
      <c r="W12" s="33">
        <f>SUMIFS(INDEX(Load,,MATCH('Summarized Source Data'!$C12,Hour,0)),Month,'Summarized Source Data'!$A12,Sector,'Summarized Source Data'!W$2,TimeOfWeek,$E12)*INDEX(About!S$79:S$82,MATCH($B12,About!$A$79:$A$82,0),1)</f>
        <v>17400000</v>
      </c>
      <c r="X12" s="27">
        <f>SUMIFS(INDEX(Load,,MATCH('Summarized Source Data'!$C12,Hour,0)),Month,'Summarized Source Data'!$A12,Sector,'Summarized Source Data'!X$2,Subsector,'Summarized Source Data'!X$3,TimeOfWeek,$E12)*INDEX(About!T$79:T$82,MATCH($B12,About!$A$79:$A$82,0),1)</f>
        <v>683000000</v>
      </c>
      <c r="Y12" s="29">
        <f t="shared" si="4"/>
        <v>683000000</v>
      </c>
      <c r="Z12" s="29">
        <f t="shared" si="4"/>
        <v>683000000</v>
      </c>
    </row>
    <row r="13" spans="1:26" outlineLevel="1" x14ac:dyDescent="0.3">
      <c r="A13">
        <f t="shared" si="0"/>
        <v>1</v>
      </c>
      <c r="B13" t="str">
        <f>INDEX('Category Mapping'!$G$28:$G$39,MATCH(A13,'Category Mapping'!$A$28:$A$39,0),1)</f>
        <v>Winter</v>
      </c>
      <c r="C13" t="s">
        <v>72</v>
      </c>
      <c r="D13" s="6" t="s">
        <v>147</v>
      </c>
      <c r="E13" t="s">
        <v>49</v>
      </c>
      <c r="F13" s="27">
        <f>SUMIFS(INDEX(Load,,MATCH('Summarized Source Data'!$C13,Hour,0)),Month,'Summarized Source Data'!$A13,Sector,'Summarized Source Data'!F$2,Subsector,'Summarized Source Data'!F$3,TimeOfWeek,$E13)*INDEX(About!B$79:B$82,MATCH($B13,About!$A$79:$A$82,0),1)</f>
        <v>18400000</v>
      </c>
      <c r="G13" s="27">
        <f>SUMIFS(INDEX(Load,,MATCH('Summarized Source Data'!$C13,Hour,0)),Month,'Summarized Source Data'!$A13,Sector,'Summarized Source Data'!G$2,Subsector,'Summarized Source Data'!G$3,TimeOfWeek,$E13)*INDEX(About!C$79:C$82,MATCH($B13,About!$A$79:$A$82,0),1)</f>
        <v>5187</v>
      </c>
      <c r="H13" s="27">
        <f>SUMIFS(INDEX(Load,,MATCH('Summarized Source Data'!$C13,Hour,0)),Month,'Summarized Source Data'!$A13,Sector,'Summarized Source Data'!H$2,Subsector,'Summarized Source Data'!H$3,TimeOfWeek,$E13)*INDEX(About!D$79:D$82,MATCH($B13,About!$A$79:$A$82,0),1)</f>
        <v>0</v>
      </c>
      <c r="I13" s="27">
        <f>SUMIFS(INDEX(Load,,MATCH('Summarized Source Data'!$C13,Hour,0)),Month,'Summarized Source Data'!$A13,Sector,'Summarized Source Data'!I$2,Subsector,'Summarized Source Data'!I$3,TimeOfWeek,$E13)*INDEX(About!E$79:E$82,MATCH($B13,About!$A$79:$A$82,0),1)</f>
        <v>10300000</v>
      </c>
      <c r="J13" s="54">
        <f t="shared" si="1"/>
        <v>113294813</v>
      </c>
      <c r="K13" s="27">
        <f>(SUMIFS(INDEX(Load,,MATCH('Summarized Source Data'!$C13,Hour,0)),Month,'Summarized Source Data'!$A13,Sector,'Summarized Source Data'!K$2,Subsector,"Total",TimeOfWeek,$E13)-SUM(F13:I13))*INDEX(About!G$79:G$82,MATCH($B13,About!$A$79:$A$82,0),1)</f>
        <v>113294813</v>
      </c>
      <c r="L13" s="27">
        <f>SUMIFS(INDEX(Load,,MATCH('Summarized Source Data'!$C13,Hour,0)),Month,'Summarized Source Data'!$A13,Sector,'Summarized Source Data'!L$2,Subsector,'Summarized Source Data'!L$3,TimeOfWeek,$E13)*INDEX(About!H$79:H$82,MATCH($B13,About!$A$79:$A$82,0),1)</f>
        <v>91800000</v>
      </c>
      <c r="M13" s="27">
        <f>SUMIFS(INDEX(Load,,MATCH('Summarized Source Data'!$C13,Hour,0)),Month,'Summarized Source Data'!$A13,Sector,'Summarized Source Data'!M$2,Subsector,'Summarized Source Data'!M$3,TimeOfWeek,$E13)*INDEX(About!I$79:I$82,MATCH($B13,About!$A$79:$A$82,0),1)</f>
        <v>60605</v>
      </c>
      <c r="N13" s="27">
        <f>SUMIFS(INDEX(Load,,MATCH('Summarized Source Data'!$C13,Hour,0)),Month,'Summarized Source Data'!$A13,Sector,'Summarized Source Data'!N$2,Subsector,'Summarized Source Data'!N$3,TimeOfWeek,$E13)*INDEX(About!J$79:J$82,MATCH($B13,About!$A$79:$A$82,0),1)</f>
        <v>0</v>
      </c>
      <c r="O13" s="29">
        <f t="shared" si="2"/>
        <v>529139395</v>
      </c>
      <c r="P13" s="27">
        <f>(SUMIFS(INDEX(Load,,MATCH('Summarized Source Data'!$C13,Hour,0)),Month,'Summarized Source Data'!$A13,Sector,'Summarized Source Data'!P$2,Subsector,"Total",TimeOfWeek,$E13)-SUM(L13:N13)*INDEX(About!L$79:L$82,MATCH($B13,About!$A$79:$A$82,0),1))</f>
        <v>529139395</v>
      </c>
      <c r="Q13" s="29">
        <f t="shared" si="3"/>
        <v>529139395</v>
      </c>
      <c r="R13" s="33">
        <f>SUMIFS(INDEX(Load,,MATCH('Summarized Source Data'!$C13,Hour,0)),Month,'Summarized Source Data'!$A13,Sector,'Summarized Source Data'!R$2,TimeOfWeek,$E13)*INDEX(About!N$79:N$82,MATCH($B13,About!$A$79:$A$82,0),1)</f>
        <v>15400000</v>
      </c>
      <c r="S13" s="33">
        <f>SUMIFS(INDEX(Load,,MATCH('Summarized Source Data'!$C13,Hour,0)),Month,'Summarized Source Data'!$A13,Sector,'Summarized Source Data'!S$2,TimeOfWeek,$E13)*INDEX(About!O$79:O$82,MATCH($B13,About!$A$79:$A$82,0),1)</f>
        <v>15400000</v>
      </c>
      <c r="T13" s="33">
        <f>SUMIFS(INDEX(Load,,MATCH('Summarized Source Data'!$C13,Hour,0)),Month,'Summarized Source Data'!$A13,Sector,'Summarized Source Data'!T$2,TimeOfWeek,$E13)*INDEX(About!P$79:P$82,MATCH($B13,About!$A$79:$A$82,0),1)</f>
        <v>15400000</v>
      </c>
      <c r="U13" s="33">
        <f>SUMIFS(INDEX(Load,,MATCH('Summarized Source Data'!$C13,Hour,0)),Month,'Summarized Source Data'!$A13,Sector,'Summarized Source Data'!U$2,TimeOfWeek,$E13)*INDEX(About!Q$79:Q$82,MATCH($B13,About!$A$79:$A$82,0),1)</f>
        <v>15400000</v>
      </c>
      <c r="V13" s="33">
        <f>SUMIFS(INDEX(Load,,MATCH('Summarized Source Data'!$C13,Hour,0)),Month,'Summarized Source Data'!$A13,Sector,'Summarized Source Data'!V$2,TimeOfWeek,$E13)*INDEX(About!R$79:R$82,MATCH($B13,About!$A$79:$A$82,0),1)</f>
        <v>15400000</v>
      </c>
      <c r="W13" s="33">
        <f>SUMIFS(INDEX(Load,,MATCH('Summarized Source Data'!$C13,Hour,0)),Month,'Summarized Source Data'!$A13,Sector,'Summarized Source Data'!W$2,TimeOfWeek,$E13)*INDEX(About!S$79:S$82,MATCH($B13,About!$A$79:$A$82,0),1)</f>
        <v>15400000</v>
      </c>
      <c r="X13" s="27">
        <f>SUMIFS(INDEX(Load,,MATCH('Summarized Source Data'!$C13,Hour,0)),Month,'Summarized Source Data'!$A13,Sector,'Summarized Source Data'!X$2,Subsector,'Summarized Source Data'!X$3,TimeOfWeek,$E13)*INDEX(About!T$79:T$82,MATCH($B13,About!$A$79:$A$82,0),1)</f>
        <v>682000000</v>
      </c>
      <c r="Y13" s="29">
        <f t="shared" si="4"/>
        <v>682000000</v>
      </c>
      <c r="Z13" s="29">
        <f t="shared" si="4"/>
        <v>682000000</v>
      </c>
    </row>
    <row r="14" spans="1:26" outlineLevel="1" x14ac:dyDescent="0.3">
      <c r="A14">
        <f t="shared" si="0"/>
        <v>1</v>
      </c>
      <c r="B14" t="str">
        <f>INDEX('Category Mapping'!$G$28:$G$39,MATCH(A14,'Category Mapping'!$A$28:$A$39,0),1)</f>
        <v>Winter</v>
      </c>
      <c r="C14" t="s">
        <v>73</v>
      </c>
      <c r="D14" s="6" t="s">
        <v>148</v>
      </c>
      <c r="E14" t="s">
        <v>49</v>
      </c>
      <c r="F14" s="27">
        <f>SUMIFS(INDEX(Load,,MATCH('Summarized Source Data'!$C14,Hour,0)),Month,'Summarized Source Data'!$A14,Sector,'Summarized Source Data'!F$2,Subsector,'Summarized Source Data'!F$3,TimeOfWeek,$E14)*INDEX(About!B$79:B$82,MATCH($B14,About!$A$79:$A$82,0),1)</f>
        <v>17700000</v>
      </c>
      <c r="G14" s="27">
        <f>SUMIFS(INDEX(Load,,MATCH('Summarized Source Data'!$C14,Hour,0)),Month,'Summarized Source Data'!$A14,Sector,'Summarized Source Data'!G$2,Subsector,'Summarized Source Data'!G$3,TimeOfWeek,$E14)*INDEX(About!C$79:C$82,MATCH($B14,About!$A$79:$A$82,0),1)</f>
        <v>5125</v>
      </c>
      <c r="H14" s="27">
        <f>SUMIFS(INDEX(Load,,MATCH('Summarized Source Data'!$C14,Hour,0)),Month,'Summarized Source Data'!$A14,Sector,'Summarized Source Data'!H$2,Subsector,'Summarized Source Data'!H$3,TimeOfWeek,$E14)*INDEX(About!D$79:D$82,MATCH($B14,About!$A$79:$A$82,0),1)</f>
        <v>0</v>
      </c>
      <c r="I14" s="27">
        <f>SUMIFS(INDEX(Load,,MATCH('Summarized Source Data'!$C14,Hour,0)),Month,'Summarized Source Data'!$A14,Sector,'Summarized Source Data'!I$2,Subsector,'Summarized Source Data'!I$3,TimeOfWeek,$E14)*INDEX(About!E$79:E$82,MATCH($B14,About!$A$79:$A$82,0),1)</f>
        <v>10500000</v>
      </c>
      <c r="J14" s="54">
        <f t="shared" si="1"/>
        <v>111794875</v>
      </c>
      <c r="K14" s="27">
        <f>(SUMIFS(INDEX(Load,,MATCH('Summarized Source Data'!$C14,Hour,0)),Month,'Summarized Source Data'!$A14,Sector,'Summarized Source Data'!K$2,Subsector,"Total",TimeOfWeek,$E14)-SUM(F14:I14))*INDEX(About!G$79:G$82,MATCH($B14,About!$A$79:$A$82,0),1)</f>
        <v>111794875</v>
      </c>
      <c r="L14" s="27">
        <f>SUMIFS(INDEX(Load,,MATCH('Summarized Source Data'!$C14,Hour,0)),Month,'Summarized Source Data'!$A14,Sector,'Summarized Source Data'!L$2,Subsector,'Summarized Source Data'!L$3,TimeOfWeek,$E14)*INDEX(About!H$79:H$82,MATCH($B14,About!$A$79:$A$82,0),1)</f>
        <v>76800000</v>
      </c>
      <c r="M14" s="27">
        <f>SUMIFS(INDEX(Load,,MATCH('Summarized Source Data'!$C14,Hour,0)),Month,'Summarized Source Data'!$A14,Sector,'Summarized Source Data'!M$2,Subsector,'Summarized Source Data'!M$3,TimeOfWeek,$E14)*INDEX(About!I$79:I$82,MATCH($B14,About!$A$79:$A$82,0),1)</f>
        <v>64047</v>
      </c>
      <c r="N14" s="27">
        <f>SUMIFS(INDEX(Load,,MATCH('Summarized Source Data'!$C14,Hour,0)),Month,'Summarized Source Data'!$A14,Sector,'Summarized Source Data'!N$2,Subsector,'Summarized Source Data'!N$3,TimeOfWeek,$E14)*INDEX(About!J$79:J$82,MATCH($B14,About!$A$79:$A$82,0),1)</f>
        <v>0</v>
      </c>
      <c r="O14" s="29">
        <f t="shared" si="2"/>
        <v>526135953</v>
      </c>
      <c r="P14" s="27">
        <f>(SUMIFS(INDEX(Load,,MATCH('Summarized Source Data'!$C14,Hour,0)),Month,'Summarized Source Data'!$A14,Sector,'Summarized Source Data'!P$2,Subsector,"Total",TimeOfWeek,$E14)-SUM(L14:N14)*INDEX(About!L$79:L$82,MATCH($B14,About!$A$79:$A$82,0),1))</f>
        <v>526135953</v>
      </c>
      <c r="Q14" s="29">
        <f t="shared" si="3"/>
        <v>526135953</v>
      </c>
      <c r="R14" s="33">
        <f>SUMIFS(INDEX(Load,,MATCH('Summarized Source Data'!$C14,Hour,0)),Month,'Summarized Source Data'!$A14,Sector,'Summarized Source Data'!R$2,TimeOfWeek,$E14)*INDEX(About!N$79:N$82,MATCH($B14,About!$A$79:$A$82,0),1)</f>
        <v>12400000</v>
      </c>
      <c r="S14" s="33">
        <f>SUMIFS(INDEX(Load,,MATCH('Summarized Source Data'!$C14,Hour,0)),Month,'Summarized Source Data'!$A14,Sector,'Summarized Source Data'!S$2,TimeOfWeek,$E14)*INDEX(About!O$79:O$82,MATCH($B14,About!$A$79:$A$82,0),1)</f>
        <v>12400000</v>
      </c>
      <c r="T14" s="33">
        <f>SUMIFS(INDEX(Load,,MATCH('Summarized Source Data'!$C14,Hour,0)),Month,'Summarized Source Data'!$A14,Sector,'Summarized Source Data'!T$2,TimeOfWeek,$E14)*INDEX(About!P$79:P$82,MATCH($B14,About!$A$79:$A$82,0),1)</f>
        <v>12400000</v>
      </c>
      <c r="U14" s="33">
        <f>SUMIFS(INDEX(Load,,MATCH('Summarized Source Data'!$C14,Hour,0)),Month,'Summarized Source Data'!$A14,Sector,'Summarized Source Data'!U$2,TimeOfWeek,$E14)*INDEX(About!Q$79:Q$82,MATCH($B14,About!$A$79:$A$82,0),1)</f>
        <v>12400000</v>
      </c>
      <c r="V14" s="33">
        <f>SUMIFS(INDEX(Load,,MATCH('Summarized Source Data'!$C14,Hour,0)),Month,'Summarized Source Data'!$A14,Sector,'Summarized Source Data'!V$2,TimeOfWeek,$E14)*INDEX(About!R$79:R$82,MATCH($B14,About!$A$79:$A$82,0),1)</f>
        <v>12400000</v>
      </c>
      <c r="W14" s="33">
        <f>SUMIFS(INDEX(Load,,MATCH('Summarized Source Data'!$C14,Hour,0)),Month,'Summarized Source Data'!$A14,Sector,'Summarized Source Data'!W$2,TimeOfWeek,$E14)*INDEX(About!S$79:S$82,MATCH($B14,About!$A$79:$A$82,0),1)</f>
        <v>12400000</v>
      </c>
      <c r="X14" s="27">
        <f>SUMIFS(INDEX(Load,,MATCH('Summarized Source Data'!$C14,Hour,0)),Month,'Summarized Source Data'!$A14,Sector,'Summarized Source Data'!X$2,Subsector,'Summarized Source Data'!X$3,TimeOfWeek,$E14)*INDEX(About!T$79:T$82,MATCH($B14,About!$A$79:$A$82,0),1)</f>
        <v>679000000</v>
      </c>
      <c r="Y14" s="29">
        <f t="shared" si="4"/>
        <v>679000000</v>
      </c>
      <c r="Z14" s="29">
        <f t="shared" si="4"/>
        <v>679000000</v>
      </c>
    </row>
    <row r="15" spans="1:26" outlineLevel="1" x14ac:dyDescent="0.3">
      <c r="A15">
        <f t="shared" si="0"/>
        <v>1</v>
      </c>
      <c r="B15" t="str">
        <f>INDEX('Category Mapping'!$G$28:$G$39,MATCH(A15,'Category Mapping'!$A$28:$A$39,0),1)</f>
        <v>Winter</v>
      </c>
      <c r="C15" t="s">
        <v>74</v>
      </c>
      <c r="D15" s="6" t="s">
        <v>149</v>
      </c>
      <c r="E15" t="s">
        <v>49</v>
      </c>
      <c r="F15" s="27">
        <f>SUMIFS(INDEX(Load,,MATCH('Summarized Source Data'!$C15,Hour,0)),Month,'Summarized Source Data'!$A15,Sector,'Summarized Source Data'!F$2,Subsector,'Summarized Source Data'!F$3,TimeOfWeek,$E15)*INDEX(About!B$79:B$82,MATCH($B15,About!$A$79:$A$82,0),1)</f>
        <v>17600000</v>
      </c>
      <c r="G15" s="27">
        <f>SUMIFS(INDEX(Load,,MATCH('Summarized Source Data'!$C15,Hour,0)),Month,'Summarized Source Data'!$A15,Sector,'Summarized Source Data'!G$2,Subsector,'Summarized Source Data'!G$3,TimeOfWeek,$E15)*INDEX(About!C$79:C$82,MATCH($B15,About!$A$79:$A$82,0),1)</f>
        <v>5732</v>
      </c>
      <c r="H15" s="27">
        <f>SUMIFS(INDEX(Load,,MATCH('Summarized Source Data'!$C15,Hour,0)),Month,'Summarized Source Data'!$A15,Sector,'Summarized Source Data'!H$2,Subsector,'Summarized Source Data'!H$3,TimeOfWeek,$E15)*INDEX(About!D$79:D$82,MATCH($B15,About!$A$79:$A$82,0),1)</f>
        <v>0</v>
      </c>
      <c r="I15" s="27">
        <f>SUMIFS(INDEX(Load,,MATCH('Summarized Source Data'!$C15,Hour,0)),Month,'Summarized Source Data'!$A15,Sector,'Summarized Source Data'!I$2,Subsector,'Summarized Source Data'!I$3,TimeOfWeek,$E15)*INDEX(About!E$79:E$82,MATCH($B15,About!$A$79:$A$82,0),1)</f>
        <v>11500000</v>
      </c>
      <c r="J15" s="54">
        <f t="shared" si="1"/>
        <v>111894268</v>
      </c>
      <c r="K15" s="27">
        <f>(SUMIFS(INDEX(Load,,MATCH('Summarized Source Data'!$C15,Hour,0)),Month,'Summarized Source Data'!$A15,Sector,'Summarized Source Data'!K$2,Subsector,"Total",TimeOfWeek,$E15)-SUM(F15:I15))*INDEX(About!G$79:G$82,MATCH($B15,About!$A$79:$A$82,0),1)</f>
        <v>111894268</v>
      </c>
      <c r="L15" s="27">
        <f>SUMIFS(INDEX(Load,,MATCH('Summarized Source Data'!$C15,Hour,0)),Month,'Summarized Source Data'!$A15,Sector,'Summarized Source Data'!L$2,Subsector,'Summarized Source Data'!L$3,TimeOfWeek,$E15)*INDEX(About!H$79:H$82,MATCH($B15,About!$A$79:$A$82,0),1)</f>
        <v>67500000</v>
      </c>
      <c r="M15" s="27">
        <f>SUMIFS(INDEX(Load,,MATCH('Summarized Source Data'!$C15,Hour,0)),Month,'Summarized Source Data'!$A15,Sector,'Summarized Source Data'!M$2,Subsector,'Summarized Source Data'!M$3,TimeOfWeek,$E15)*INDEX(About!I$79:I$82,MATCH($B15,About!$A$79:$A$82,0),1)</f>
        <v>64853</v>
      </c>
      <c r="N15" s="27">
        <f>SUMIFS(INDEX(Load,,MATCH('Summarized Source Data'!$C15,Hour,0)),Month,'Summarized Source Data'!$A15,Sector,'Summarized Source Data'!N$2,Subsector,'Summarized Source Data'!N$3,TimeOfWeek,$E15)*INDEX(About!J$79:J$82,MATCH($B15,About!$A$79:$A$82,0),1)</f>
        <v>0</v>
      </c>
      <c r="O15" s="29">
        <f t="shared" si="2"/>
        <v>524435147</v>
      </c>
      <c r="P15" s="27">
        <f>(SUMIFS(INDEX(Load,,MATCH('Summarized Source Data'!$C15,Hour,0)),Month,'Summarized Source Data'!$A15,Sector,'Summarized Source Data'!P$2,Subsector,"Total",TimeOfWeek,$E15)-SUM(L15:N15)*INDEX(About!L$79:L$82,MATCH($B15,About!$A$79:$A$82,0),1))</f>
        <v>524435147</v>
      </c>
      <c r="Q15" s="29">
        <f t="shared" si="3"/>
        <v>524435147</v>
      </c>
      <c r="R15" s="33">
        <f>SUMIFS(INDEX(Load,,MATCH('Summarized Source Data'!$C15,Hour,0)),Month,'Summarized Source Data'!$A15,Sector,'Summarized Source Data'!R$2,TimeOfWeek,$E15)*INDEX(About!N$79:N$82,MATCH($B15,About!$A$79:$A$82,0),1)</f>
        <v>12500000</v>
      </c>
      <c r="S15" s="33">
        <f>SUMIFS(INDEX(Load,,MATCH('Summarized Source Data'!$C15,Hour,0)),Month,'Summarized Source Data'!$A15,Sector,'Summarized Source Data'!S$2,TimeOfWeek,$E15)*INDEX(About!O$79:O$82,MATCH($B15,About!$A$79:$A$82,0),1)</f>
        <v>12500000</v>
      </c>
      <c r="T15" s="33">
        <f>SUMIFS(INDEX(Load,,MATCH('Summarized Source Data'!$C15,Hour,0)),Month,'Summarized Source Data'!$A15,Sector,'Summarized Source Data'!T$2,TimeOfWeek,$E15)*INDEX(About!P$79:P$82,MATCH($B15,About!$A$79:$A$82,0),1)</f>
        <v>12500000</v>
      </c>
      <c r="U15" s="33">
        <f>SUMIFS(INDEX(Load,,MATCH('Summarized Source Data'!$C15,Hour,0)),Month,'Summarized Source Data'!$A15,Sector,'Summarized Source Data'!U$2,TimeOfWeek,$E15)*INDEX(About!Q$79:Q$82,MATCH($B15,About!$A$79:$A$82,0),1)</f>
        <v>12500000</v>
      </c>
      <c r="V15" s="33">
        <f>SUMIFS(INDEX(Load,,MATCH('Summarized Source Data'!$C15,Hour,0)),Month,'Summarized Source Data'!$A15,Sector,'Summarized Source Data'!V$2,TimeOfWeek,$E15)*INDEX(About!R$79:R$82,MATCH($B15,About!$A$79:$A$82,0),1)</f>
        <v>12500000</v>
      </c>
      <c r="W15" s="33">
        <f>SUMIFS(INDEX(Load,,MATCH('Summarized Source Data'!$C15,Hour,0)),Month,'Summarized Source Data'!$A15,Sector,'Summarized Source Data'!W$2,TimeOfWeek,$E15)*INDEX(About!S$79:S$82,MATCH($B15,About!$A$79:$A$82,0),1)</f>
        <v>12500000</v>
      </c>
      <c r="X15" s="27">
        <f>SUMIFS(INDEX(Load,,MATCH('Summarized Source Data'!$C15,Hour,0)),Month,'Summarized Source Data'!$A15,Sector,'Summarized Source Data'!X$2,Subsector,'Summarized Source Data'!X$3,TimeOfWeek,$E15)*INDEX(About!T$79:T$82,MATCH($B15,About!$A$79:$A$82,0),1)</f>
        <v>677000000</v>
      </c>
      <c r="Y15" s="29">
        <f t="shared" si="4"/>
        <v>677000000</v>
      </c>
      <c r="Z15" s="29">
        <f t="shared" si="4"/>
        <v>677000000</v>
      </c>
    </row>
    <row r="16" spans="1:26" outlineLevel="1" x14ac:dyDescent="0.3">
      <c r="A16">
        <f t="shared" si="0"/>
        <v>1</v>
      </c>
      <c r="B16" t="str">
        <f>INDEX('Category Mapping'!$G$28:$G$39,MATCH(A16,'Category Mapping'!$A$28:$A$39,0),1)</f>
        <v>Winter</v>
      </c>
      <c r="C16" t="s">
        <v>75</v>
      </c>
      <c r="D16" s="6" t="s">
        <v>150</v>
      </c>
      <c r="E16" t="s">
        <v>49</v>
      </c>
      <c r="F16" s="27">
        <f>SUMIFS(INDEX(Load,,MATCH('Summarized Source Data'!$C16,Hour,0)),Month,'Summarized Source Data'!$A16,Sector,'Summarized Source Data'!F$2,Subsector,'Summarized Source Data'!F$3,TimeOfWeek,$E16)*INDEX(About!B$79:B$82,MATCH($B16,About!$A$79:$A$82,0),1)</f>
        <v>17400000</v>
      </c>
      <c r="G16" s="27">
        <f>SUMIFS(INDEX(Load,,MATCH('Summarized Source Data'!$C16,Hour,0)),Month,'Summarized Source Data'!$A16,Sector,'Summarized Source Data'!G$2,Subsector,'Summarized Source Data'!G$3,TimeOfWeek,$E16)*INDEX(About!C$79:C$82,MATCH($B16,About!$A$79:$A$82,0),1)</f>
        <v>6222</v>
      </c>
      <c r="H16" s="27">
        <f>SUMIFS(INDEX(Load,,MATCH('Summarized Source Data'!$C16,Hour,0)),Month,'Summarized Source Data'!$A16,Sector,'Summarized Source Data'!H$2,Subsector,'Summarized Source Data'!H$3,TimeOfWeek,$E16)*INDEX(About!D$79:D$82,MATCH($B16,About!$A$79:$A$82,0),1)</f>
        <v>0</v>
      </c>
      <c r="I16" s="27">
        <f>SUMIFS(INDEX(Load,,MATCH('Summarized Source Data'!$C16,Hour,0)),Month,'Summarized Source Data'!$A16,Sector,'Summarized Source Data'!I$2,Subsector,'Summarized Source Data'!I$3,TimeOfWeek,$E16)*INDEX(About!E$79:E$82,MATCH($B16,About!$A$79:$A$82,0),1)</f>
        <v>12100000</v>
      </c>
      <c r="J16" s="54">
        <f t="shared" si="1"/>
        <v>107493778</v>
      </c>
      <c r="K16" s="27">
        <f>(SUMIFS(INDEX(Load,,MATCH('Summarized Source Data'!$C16,Hour,0)),Month,'Summarized Source Data'!$A16,Sector,'Summarized Source Data'!K$2,Subsector,"Total",TimeOfWeek,$E16)-SUM(F16:I16))*INDEX(About!G$79:G$82,MATCH($B16,About!$A$79:$A$82,0),1)</f>
        <v>107493778</v>
      </c>
      <c r="L16" s="27">
        <f>SUMIFS(INDEX(Load,,MATCH('Summarized Source Data'!$C16,Hour,0)),Month,'Summarized Source Data'!$A16,Sector,'Summarized Source Data'!L$2,Subsector,'Summarized Source Data'!L$3,TimeOfWeek,$E16)*INDEX(About!H$79:H$82,MATCH($B16,About!$A$79:$A$82,0),1)</f>
        <v>59800000</v>
      </c>
      <c r="M16" s="27">
        <f>SUMIFS(INDEX(Load,,MATCH('Summarized Source Data'!$C16,Hour,0)),Month,'Summarized Source Data'!$A16,Sector,'Summarized Source Data'!M$2,Subsector,'Summarized Source Data'!M$3,TimeOfWeek,$E16)*INDEX(About!I$79:I$82,MATCH($B16,About!$A$79:$A$82,0),1)</f>
        <v>62467</v>
      </c>
      <c r="N16" s="27">
        <f>SUMIFS(INDEX(Load,,MATCH('Summarized Source Data'!$C16,Hour,0)),Month,'Summarized Source Data'!$A16,Sector,'Summarized Source Data'!N$2,Subsector,'Summarized Source Data'!N$3,TimeOfWeek,$E16)*INDEX(About!J$79:J$82,MATCH($B16,About!$A$79:$A$82,0),1)</f>
        <v>0</v>
      </c>
      <c r="O16" s="29">
        <f t="shared" si="2"/>
        <v>516137533</v>
      </c>
      <c r="P16" s="27">
        <f>(SUMIFS(INDEX(Load,,MATCH('Summarized Source Data'!$C16,Hour,0)),Month,'Summarized Source Data'!$A16,Sector,'Summarized Source Data'!P$2,Subsector,"Total",TimeOfWeek,$E16)-SUM(L16:N16)*INDEX(About!L$79:L$82,MATCH($B16,About!$A$79:$A$82,0),1))</f>
        <v>516137533</v>
      </c>
      <c r="Q16" s="29">
        <f t="shared" si="3"/>
        <v>516137533</v>
      </c>
      <c r="R16" s="33">
        <f>SUMIFS(INDEX(Load,,MATCH('Summarized Source Data'!$C16,Hour,0)),Month,'Summarized Source Data'!$A16,Sector,'Summarized Source Data'!R$2,TimeOfWeek,$E16)*INDEX(About!N$79:N$82,MATCH($B16,About!$A$79:$A$82,0),1)</f>
        <v>12700000</v>
      </c>
      <c r="S16" s="33">
        <f>SUMIFS(INDEX(Load,,MATCH('Summarized Source Data'!$C16,Hour,0)),Month,'Summarized Source Data'!$A16,Sector,'Summarized Source Data'!S$2,TimeOfWeek,$E16)*INDEX(About!O$79:O$82,MATCH($B16,About!$A$79:$A$82,0),1)</f>
        <v>12700000</v>
      </c>
      <c r="T16" s="33">
        <f>SUMIFS(INDEX(Load,,MATCH('Summarized Source Data'!$C16,Hour,0)),Month,'Summarized Source Data'!$A16,Sector,'Summarized Source Data'!T$2,TimeOfWeek,$E16)*INDEX(About!P$79:P$82,MATCH($B16,About!$A$79:$A$82,0),1)</f>
        <v>12700000</v>
      </c>
      <c r="U16" s="33">
        <f>SUMIFS(INDEX(Load,,MATCH('Summarized Source Data'!$C16,Hour,0)),Month,'Summarized Source Data'!$A16,Sector,'Summarized Source Data'!U$2,TimeOfWeek,$E16)*INDEX(About!Q$79:Q$82,MATCH($B16,About!$A$79:$A$82,0),1)</f>
        <v>12700000</v>
      </c>
      <c r="V16" s="33">
        <f>SUMIFS(INDEX(Load,,MATCH('Summarized Source Data'!$C16,Hour,0)),Month,'Summarized Source Data'!$A16,Sector,'Summarized Source Data'!V$2,TimeOfWeek,$E16)*INDEX(About!R$79:R$82,MATCH($B16,About!$A$79:$A$82,0),1)</f>
        <v>12700000</v>
      </c>
      <c r="W16" s="33">
        <f>SUMIFS(INDEX(Load,,MATCH('Summarized Source Data'!$C16,Hour,0)),Month,'Summarized Source Data'!$A16,Sector,'Summarized Source Data'!W$2,TimeOfWeek,$E16)*INDEX(About!S$79:S$82,MATCH($B16,About!$A$79:$A$82,0),1)</f>
        <v>12700000</v>
      </c>
      <c r="X16" s="27">
        <f>SUMIFS(INDEX(Load,,MATCH('Summarized Source Data'!$C16,Hour,0)),Month,'Summarized Source Data'!$A16,Sector,'Summarized Source Data'!X$2,Subsector,'Summarized Source Data'!X$3,TimeOfWeek,$E16)*INDEX(About!T$79:T$82,MATCH($B16,About!$A$79:$A$82,0),1)</f>
        <v>675000000</v>
      </c>
      <c r="Y16" s="29">
        <f t="shared" si="4"/>
        <v>675000000</v>
      </c>
      <c r="Z16" s="29">
        <f t="shared" si="4"/>
        <v>675000000</v>
      </c>
    </row>
    <row r="17" spans="1:26" outlineLevel="1" x14ac:dyDescent="0.3">
      <c r="A17">
        <f t="shared" si="0"/>
        <v>1</v>
      </c>
      <c r="B17" t="str">
        <f>INDEX('Category Mapping'!$G$28:$G$39,MATCH(A17,'Category Mapping'!$A$28:$A$39,0),1)</f>
        <v>Winter</v>
      </c>
      <c r="C17" t="s">
        <v>76</v>
      </c>
      <c r="D17" s="6" t="s">
        <v>151</v>
      </c>
      <c r="E17" t="s">
        <v>49</v>
      </c>
      <c r="F17" s="27">
        <f>SUMIFS(INDEX(Load,,MATCH('Summarized Source Data'!$C17,Hour,0)),Month,'Summarized Source Data'!$A17,Sector,'Summarized Source Data'!F$2,Subsector,'Summarized Source Data'!F$3,TimeOfWeek,$E17)*INDEX(About!B$79:B$82,MATCH($B17,About!$A$79:$A$82,0),1)</f>
        <v>17100000</v>
      </c>
      <c r="G17" s="27">
        <f>SUMIFS(INDEX(Load,,MATCH('Summarized Source Data'!$C17,Hour,0)),Month,'Summarized Source Data'!$A17,Sector,'Summarized Source Data'!G$2,Subsector,'Summarized Source Data'!G$3,TimeOfWeek,$E17)*INDEX(About!C$79:C$82,MATCH($B17,About!$A$79:$A$82,0),1)</f>
        <v>6418</v>
      </c>
      <c r="H17" s="27">
        <f>SUMIFS(INDEX(Load,,MATCH('Summarized Source Data'!$C17,Hour,0)),Month,'Summarized Source Data'!$A17,Sector,'Summarized Source Data'!H$2,Subsector,'Summarized Source Data'!H$3,TimeOfWeek,$E17)*INDEX(About!D$79:D$82,MATCH($B17,About!$A$79:$A$82,0),1)</f>
        <v>0</v>
      </c>
      <c r="I17" s="27">
        <f>SUMIFS(INDEX(Load,,MATCH('Summarized Source Data'!$C17,Hour,0)),Month,'Summarized Source Data'!$A17,Sector,'Summarized Source Data'!I$2,Subsector,'Summarized Source Data'!I$3,TimeOfWeek,$E17)*INDEX(About!E$79:E$82,MATCH($B17,About!$A$79:$A$82,0),1)</f>
        <v>12300000</v>
      </c>
      <c r="J17" s="54">
        <f t="shared" si="1"/>
        <v>106593582</v>
      </c>
      <c r="K17" s="27">
        <f>(SUMIFS(INDEX(Load,,MATCH('Summarized Source Data'!$C17,Hour,0)),Month,'Summarized Source Data'!$A17,Sector,'Summarized Source Data'!K$2,Subsector,"Total",TimeOfWeek,$E17)-SUM(F17:I17))*INDEX(About!G$79:G$82,MATCH($B17,About!$A$79:$A$82,0),1)</f>
        <v>106593582</v>
      </c>
      <c r="L17" s="27">
        <f>SUMIFS(INDEX(Load,,MATCH('Summarized Source Data'!$C17,Hour,0)),Month,'Summarized Source Data'!$A17,Sector,'Summarized Source Data'!L$2,Subsector,'Summarized Source Data'!L$3,TimeOfWeek,$E17)*INDEX(About!H$79:H$82,MATCH($B17,About!$A$79:$A$82,0),1)</f>
        <v>56000000</v>
      </c>
      <c r="M17" s="27">
        <f>SUMIFS(INDEX(Load,,MATCH('Summarized Source Data'!$C17,Hour,0)),Month,'Summarized Source Data'!$A17,Sector,'Summarized Source Data'!M$2,Subsector,'Summarized Source Data'!M$3,TimeOfWeek,$E17)*INDEX(About!I$79:I$82,MATCH($B17,About!$A$79:$A$82,0),1)</f>
        <v>63945</v>
      </c>
      <c r="N17" s="27">
        <f>SUMIFS(INDEX(Load,,MATCH('Summarized Source Data'!$C17,Hour,0)),Month,'Summarized Source Data'!$A17,Sector,'Summarized Source Data'!N$2,Subsector,'Summarized Source Data'!N$3,TimeOfWeek,$E17)*INDEX(About!J$79:J$82,MATCH($B17,About!$A$79:$A$82,0),1)</f>
        <v>0</v>
      </c>
      <c r="O17" s="29">
        <f t="shared" si="2"/>
        <v>515936055</v>
      </c>
      <c r="P17" s="27">
        <f>(SUMIFS(INDEX(Load,,MATCH('Summarized Source Data'!$C17,Hour,0)),Month,'Summarized Source Data'!$A17,Sector,'Summarized Source Data'!P$2,Subsector,"Total",TimeOfWeek,$E17)-SUM(L17:N17)*INDEX(About!L$79:L$82,MATCH($B17,About!$A$79:$A$82,0),1))</f>
        <v>515936055</v>
      </c>
      <c r="Q17" s="29">
        <f t="shared" si="3"/>
        <v>515936055</v>
      </c>
      <c r="R17" s="33">
        <f>SUMIFS(INDEX(Load,,MATCH('Summarized Source Data'!$C17,Hour,0)),Month,'Summarized Source Data'!$A17,Sector,'Summarized Source Data'!R$2,TimeOfWeek,$E17)*INDEX(About!N$79:N$82,MATCH($B17,About!$A$79:$A$82,0),1)</f>
        <v>12600000</v>
      </c>
      <c r="S17" s="33">
        <f>SUMIFS(INDEX(Load,,MATCH('Summarized Source Data'!$C17,Hour,0)),Month,'Summarized Source Data'!$A17,Sector,'Summarized Source Data'!S$2,TimeOfWeek,$E17)*INDEX(About!O$79:O$82,MATCH($B17,About!$A$79:$A$82,0),1)</f>
        <v>12600000</v>
      </c>
      <c r="T17" s="33">
        <f>SUMIFS(INDEX(Load,,MATCH('Summarized Source Data'!$C17,Hour,0)),Month,'Summarized Source Data'!$A17,Sector,'Summarized Source Data'!T$2,TimeOfWeek,$E17)*INDEX(About!P$79:P$82,MATCH($B17,About!$A$79:$A$82,0),1)</f>
        <v>12600000</v>
      </c>
      <c r="U17" s="33">
        <f>SUMIFS(INDEX(Load,,MATCH('Summarized Source Data'!$C17,Hour,0)),Month,'Summarized Source Data'!$A17,Sector,'Summarized Source Data'!U$2,TimeOfWeek,$E17)*INDEX(About!Q$79:Q$82,MATCH($B17,About!$A$79:$A$82,0),1)</f>
        <v>12600000</v>
      </c>
      <c r="V17" s="33">
        <f>SUMIFS(INDEX(Load,,MATCH('Summarized Source Data'!$C17,Hour,0)),Month,'Summarized Source Data'!$A17,Sector,'Summarized Source Data'!V$2,TimeOfWeek,$E17)*INDEX(About!R$79:R$82,MATCH($B17,About!$A$79:$A$82,0),1)</f>
        <v>12600000</v>
      </c>
      <c r="W17" s="33">
        <f>SUMIFS(INDEX(Load,,MATCH('Summarized Source Data'!$C17,Hour,0)),Month,'Summarized Source Data'!$A17,Sector,'Summarized Source Data'!W$2,TimeOfWeek,$E17)*INDEX(About!S$79:S$82,MATCH($B17,About!$A$79:$A$82,0),1)</f>
        <v>12600000</v>
      </c>
      <c r="X17" s="27">
        <f>SUMIFS(INDEX(Load,,MATCH('Summarized Source Data'!$C17,Hour,0)),Month,'Summarized Source Data'!$A17,Sector,'Summarized Source Data'!X$2,Subsector,'Summarized Source Data'!X$3,TimeOfWeek,$E17)*INDEX(About!T$79:T$82,MATCH($B17,About!$A$79:$A$82,0),1)</f>
        <v>674000000</v>
      </c>
      <c r="Y17" s="29">
        <f t="shared" si="4"/>
        <v>674000000</v>
      </c>
      <c r="Z17" s="29">
        <f t="shared" si="4"/>
        <v>674000000</v>
      </c>
    </row>
    <row r="18" spans="1:26" outlineLevel="1" x14ac:dyDescent="0.3">
      <c r="A18">
        <f t="shared" si="0"/>
        <v>1</v>
      </c>
      <c r="B18" t="str">
        <f>INDEX('Category Mapping'!$G$28:$G$39,MATCH(A18,'Category Mapping'!$A$28:$A$39,0),1)</f>
        <v>Winter</v>
      </c>
      <c r="C18" t="s">
        <v>77</v>
      </c>
      <c r="D18" s="6" t="s">
        <v>152</v>
      </c>
      <c r="E18" t="s">
        <v>49</v>
      </c>
      <c r="F18" s="27">
        <f>SUMIFS(INDEX(Load,,MATCH('Summarized Source Data'!$C18,Hour,0)),Month,'Summarized Source Data'!$A18,Sector,'Summarized Source Data'!F$2,Subsector,'Summarized Source Data'!F$3,TimeOfWeek,$E18)*INDEX(About!B$79:B$82,MATCH($B18,About!$A$79:$A$82,0),1)</f>
        <v>17200000</v>
      </c>
      <c r="G18" s="27">
        <f>SUMIFS(INDEX(Load,,MATCH('Summarized Source Data'!$C18,Hour,0)),Month,'Summarized Source Data'!$A18,Sector,'Summarized Source Data'!G$2,Subsector,'Summarized Source Data'!G$3,TimeOfWeek,$E18)*INDEX(About!C$79:C$82,MATCH($B18,About!$A$79:$A$82,0),1)</f>
        <v>6702</v>
      </c>
      <c r="H18" s="27">
        <f>SUMIFS(INDEX(Load,,MATCH('Summarized Source Data'!$C18,Hour,0)),Month,'Summarized Source Data'!$A18,Sector,'Summarized Source Data'!H$2,Subsector,'Summarized Source Data'!H$3,TimeOfWeek,$E18)*INDEX(About!D$79:D$82,MATCH($B18,About!$A$79:$A$82,0),1)</f>
        <v>0</v>
      </c>
      <c r="I18" s="27">
        <f>SUMIFS(INDEX(Load,,MATCH('Summarized Source Data'!$C18,Hour,0)),Month,'Summarized Source Data'!$A18,Sector,'Summarized Source Data'!I$2,Subsector,'Summarized Source Data'!I$3,TimeOfWeek,$E18)*INDEX(About!E$79:E$82,MATCH($B18,About!$A$79:$A$82,0),1)</f>
        <v>12600000</v>
      </c>
      <c r="J18" s="54">
        <f t="shared" si="1"/>
        <v>110193298</v>
      </c>
      <c r="K18" s="27">
        <f>(SUMIFS(INDEX(Load,,MATCH('Summarized Source Data'!$C18,Hour,0)),Month,'Summarized Source Data'!$A18,Sector,'Summarized Source Data'!K$2,Subsector,"Total",TimeOfWeek,$E18)-SUM(F18:I18))*INDEX(About!G$79:G$82,MATCH($B18,About!$A$79:$A$82,0),1)</f>
        <v>110193298</v>
      </c>
      <c r="L18" s="27">
        <f>SUMIFS(INDEX(Load,,MATCH('Summarized Source Data'!$C18,Hour,0)),Month,'Summarized Source Data'!$A18,Sector,'Summarized Source Data'!L$2,Subsector,'Summarized Source Data'!L$3,TimeOfWeek,$E18)*INDEX(About!H$79:H$82,MATCH($B18,About!$A$79:$A$82,0),1)</f>
        <v>52500000</v>
      </c>
      <c r="M18" s="27">
        <f>SUMIFS(INDEX(Load,,MATCH('Summarized Source Data'!$C18,Hour,0)),Month,'Summarized Source Data'!$A18,Sector,'Summarized Source Data'!M$2,Subsector,'Summarized Source Data'!M$3,TimeOfWeek,$E18)*INDEX(About!I$79:I$82,MATCH($B18,About!$A$79:$A$82,0),1)</f>
        <v>65536</v>
      </c>
      <c r="N18" s="27">
        <f>SUMIFS(INDEX(Load,,MATCH('Summarized Source Data'!$C18,Hour,0)),Month,'Summarized Source Data'!$A18,Sector,'Summarized Source Data'!N$2,Subsector,'Summarized Source Data'!N$3,TimeOfWeek,$E18)*INDEX(About!J$79:J$82,MATCH($B18,About!$A$79:$A$82,0),1)</f>
        <v>0</v>
      </c>
      <c r="O18" s="29">
        <f t="shared" si="2"/>
        <v>515434464</v>
      </c>
      <c r="P18" s="27">
        <f>(SUMIFS(INDEX(Load,,MATCH('Summarized Source Data'!$C18,Hour,0)),Month,'Summarized Source Data'!$A18,Sector,'Summarized Source Data'!P$2,Subsector,"Total",TimeOfWeek,$E18)-SUM(L18:N18)*INDEX(About!L$79:L$82,MATCH($B18,About!$A$79:$A$82,0),1))</f>
        <v>515434464</v>
      </c>
      <c r="Q18" s="29">
        <f t="shared" si="3"/>
        <v>515434464</v>
      </c>
      <c r="R18" s="33">
        <f>SUMIFS(INDEX(Load,,MATCH('Summarized Source Data'!$C18,Hour,0)),Month,'Summarized Source Data'!$A18,Sector,'Summarized Source Data'!R$2,TimeOfWeek,$E18)*INDEX(About!N$79:N$82,MATCH($B18,About!$A$79:$A$82,0),1)</f>
        <v>12500000</v>
      </c>
      <c r="S18" s="33">
        <f>SUMIFS(INDEX(Load,,MATCH('Summarized Source Data'!$C18,Hour,0)),Month,'Summarized Source Data'!$A18,Sector,'Summarized Source Data'!S$2,TimeOfWeek,$E18)*INDEX(About!O$79:O$82,MATCH($B18,About!$A$79:$A$82,0),1)</f>
        <v>12500000</v>
      </c>
      <c r="T18" s="33">
        <f>SUMIFS(INDEX(Load,,MATCH('Summarized Source Data'!$C18,Hour,0)),Month,'Summarized Source Data'!$A18,Sector,'Summarized Source Data'!T$2,TimeOfWeek,$E18)*INDEX(About!P$79:P$82,MATCH($B18,About!$A$79:$A$82,0),1)</f>
        <v>12500000</v>
      </c>
      <c r="U18" s="33">
        <f>SUMIFS(INDEX(Load,,MATCH('Summarized Source Data'!$C18,Hour,0)),Month,'Summarized Source Data'!$A18,Sector,'Summarized Source Data'!U$2,TimeOfWeek,$E18)*INDEX(About!Q$79:Q$82,MATCH($B18,About!$A$79:$A$82,0),1)</f>
        <v>12500000</v>
      </c>
      <c r="V18" s="33">
        <f>SUMIFS(INDEX(Load,,MATCH('Summarized Source Data'!$C18,Hour,0)),Month,'Summarized Source Data'!$A18,Sector,'Summarized Source Data'!V$2,TimeOfWeek,$E18)*INDEX(About!R$79:R$82,MATCH($B18,About!$A$79:$A$82,0),1)</f>
        <v>12500000</v>
      </c>
      <c r="W18" s="33">
        <f>SUMIFS(INDEX(Load,,MATCH('Summarized Source Data'!$C18,Hour,0)),Month,'Summarized Source Data'!$A18,Sector,'Summarized Source Data'!W$2,TimeOfWeek,$E18)*INDEX(About!S$79:S$82,MATCH($B18,About!$A$79:$A$82,0),1)</f>
        <v>12500000</v>
      </c>
      <c r="X18" s="27">
        <f>SUMIFS(INDEX(Load,,MATCH('Summarized Source Data'!$C18,Hour,0)),Month,'Summarized Source Data'!$A18,Sector,'Summarized Source Data'!X$2,Subsector,'Summarized Source Data'!X$3,TimeOfWeek,$E18)*INDEX(About!T$79:T$82,MATCH($B18,About!$A$79:$A$82,0),1)</f>
        <v>675000000</v>
      </c>
      <c r="Y18" s="29">
        <f t="shared" si="4"/>
        <v>675000000</v>
      </c>
      <c r="Z18" s="29">
        <f t="shared" si="4"/>
        <v>675000000</v>
      </c>
    </row>
    <row r="19" spans="1:26" outlineLevel="1" x14ac:dyDescent="0.3">
      <c r="A19">
        <f t="shared" si="0"/>
        <v>1</v>
      </c>
      <c r="B19" t="str">
        <f>INDEX('Category Mapping'!$G$28:$G$39,MATCH(A19,'Category Mapping'!$A$28:$A$39,0),1)</f>
        <v>Winter</v>
      </c>
      <c r="C19" t="s">
        <v>78</v>
      </c>
      <c r="D19" s="6" t="s">
        <v>153</v>
      </c>
      <c r="E19" t="s">
        <v>49</v>
      </c>
      <c r="F19" s="27">
        <f>SUMIFS(INDEX(Load,,MATCH('Summarized Source Data'!$C19,Hour,0)),Month,'Summarized Source Data'!$A19,Sector,'Summarized Source Data'!F$2,Subsector,'Summarized Source Data'!F$3,TimeOfWeek,$E19)*INDEX(About!B$79:B$82,MATCH($B19,About!$A$79:$A$82,0),1)</f>
        <v>17900000</v>
      </c>
      <c r="G19" s="27">
        <f>SUMIFS(INDEX(Load,,MATCH('Summarized Source Data'!$C19,Hour,0)),Month,'Summarized Source Data'!$A19,Sector,'Summarized Source Data'!G$2,Subsector,'Summarized Source Data'!G$3,TimeOfWeek,$E19)*INDEX(About!C$79:C$82,MATCH($B19,About!$A$79:$A$82,0),1)</f>
        <v>7320</v>
      </c>
      <c r="H19" s="27">
        <f>SUMIFS(INDEX(Load,,MATCH('Summarized Source Data'!$C19,Hour,0)),Month,'Summarized Source Data'!$A19,Sector,'Summarized Source Data'!H$2,Subsector,'Summarized Source Data'!H$3,TimeOfWeek,$E19)*INDEX(About!D$79:D$82,MATCH($B19,About!$A$79:$A$82,0),1)</f>
        <v>0</v>
      </c>
      <c r="I19" s="27">
        <f>SUMIFS(INDEX(Load,,MATCH('Summarized Source Data'!$C19,Hour,0)),Month,'Summarized Source Data'!$A19,Sector,'Summarized Source Data'!I$2,Subsector,'Summarized Source Data'!I$3,TimeOfWeek,$E19)*INDEX(About!E$79:E$82,MATCH($B19,About!$A$79:$A$82,0),1)</f>
        <v>13600000</v>
      </c>
      <c r="J19" s="54">
        <f t="shared" si="1"/>
        <v>123492680</v>
      </c>
      <c r="K19" s="27">
        <f>(SUMIFS(INDEX(Load,,MATCH('Summarized Source Data'!$C19,Hour,0)),Month,'Summarized Source Data'!$A19,Sector,'Summarized Source Data'!K$2,Subsector,"Total",TimeOfWeek,$E19)-SUM(F19:I19))*INDEX(About!G$79:G$82,MATCH($B19,About!$A$79:$A$82,0),1)</f>
        <v>123492680</v>
      </c>
      <c r="L19" s="27">
        <f>SUMIFS(INDEX(Load,,MATCH('Summarized Source Data'!$C19,Hour,0)),Month,'Summarized Source Data'!$A19,Sector,'Summarized Source Data'!L$2,Subsector,'Summarized Source Data'!L$3,TimeOfWeek,$E19)*INDEX(About!H$79:H$82,MATCH($B19,About!$A$79:$A$82,0),1)</f>
        <v>50500000</v>
      </c>
      <c r="M19" s="27">
        <f>SUMIFS(INDEX(Load,,MATCH('Summarized Source Data'!$C19,Hour,0)),Month,'Summarized Source Data'!$A19,Sector,'Summarized Source Data'!M$2,Subsector,'Summarized Source Data'!M$3,TimeOfWeek,$E19)*INDEX(About!I$79:I$82,MATCH($B19,About!$A$79:$A$82,0),1)</f>
        <v>65564</v>
      </c>
      <c r="N19" s="27">
        <f>SUMIFS(INDEX(Load,,MATCH('Summarized Source Data'!$C19,Hour,0)),Month,'Summarized Source Data'!$A19,Sector,'Summarized Source Data'!N$2,Subsector,'Summarized Source Data'!N$3,TimeOfWeek,$E19)*INDEX(About!J$79:J$82,MATCH($B19,About!$A$79:$A$82,0),1)</f>
        <v>0</v>
      </c>
      <c r="O19" s="29">
        <f t="shared" si="2"/>
        <v>515434436</v>
      </c>
      <c r="P19" s="27">
        <f>(SUMIFS(INDEX(Load,,MATCH('Summarized Source Data'!$C19,Hour,0)),Month,'Summarized Source Data'!$A19,Sector,'Summarized Source Data'!P$2,Subsector,"Total",TimeOfWeek,$E19)-SUM(L19:N19)*INDEX(About!L$79:L$82,MATCH($B19,About!$A$79:$A$82,0),1))</f>
        <v>515434436</v>
      </c>
      <c r="Q19" s="29">
        <f t="shared" si="3"/>
        <v>515434436</v>
      </c>
      <c r="R19" s="33">
        <f>SUMIFS(INDEX(Load,,MATCH('Summarized Source Data'!$C19,Hour,0)),Month,'Summarized Source Data'!$A19,Sector,'Summarized Source Data'!R$2,TimeOfWeek,$E19)*INDEX(About!N$79:N$82,MATCH($B19,About!$A$79:$A$82,0),1)</f>
        <v>14800000</v>
      </c>
      <c r="S19" s="33">
        <f>SUMIFS(INDEX(Load,,MATCH('Summarized Source Data'!$C19,Hour,0)),Month,'Summarized Source Data'!$A19,Sector,'Summarized Source Data'!S$2,TimeOfWeek,$E19)*INDEX(About!O$79:O$82,MATCH($B19,About!$A$79:$A$82,0),1)</f>
        <v>14800000</v>
      </c>
      <c r="T19" s="33">
        <f>SUMIFS(INDEX(Load,,MATCH('Summarized Source Data'!$C19,Hour,0)),Month,'Summarized Source Data'!$A19,Sector,'Summarized Source Data'!T$2,TimeOfWeek,$E19)*INDEX(About!P$79:P$82,MATCH($B19,About!$A$79:$A$82,0),1)</f>
        <v>14800000</v>
      </c>
      <c r="U19" s="33">
        <f>SUMIFS(INDEX(Load,,MATCH('Summarized Source Data'!$C19,Hour,0)),Month,'Summarized Source Data'!$A19,Sector,'Summarized Source Data'!U$2,TimeOfWeek,$E19)*INDEX(About!Q$79:Q$82,MATCH($B19,About!$A$79:$A$82,0),1)</f>
        <v>14800000</v>
      </c>
      <c r="V19" s="33">
        <f>SUMIFS(INDEX(Load,,MATCH('Summarized Source Data'!$C19,Hour,0)),Month,'Summarized Source Data'!$A19,Sector,'Summarized Source Data'!V$2,TimeOfWeek,$E19)*INDEX(About!R$79:R$82,MATCH($B19,About!$A$79:$A$82,0),1)</f>
        <v>14800000</v>
      </c>
      <c r="W19" s="33">
        <f>SUMIFS(INDEX(Load,,MATCH('Summarized Source Data'!$C19,Hour,0)),Month,'Summarized Source Data'!$A19,Sector,'Summarized Source Data'!W$2,TimeOfWeek,$E19)*INDEX(About!S$79:S$82,MATCH($B19,About!$A$79:$A$82,0),1)</f>
        <v>14800000</v>
      </c>
      <c r="X19" s="27">
        <f>SUMIFS(INDEX(Load,,MATCH('Summarized Source Data'!$C19,Hour,0)),Month,'Summarized Source Data'!$A19,Sector,'Summarized Source Data'!X$2,Subsector,'Summarized Source Data'!X$3,TimeOfWeek,$E19)*INDEX(About!T$79:T$82,MATCH($B19,About!$A$79:$A$82,0),1)</f>
        <v>681000000</v>
      </c>
      <c r="Y19" s="29">
        <f t="shared" si="4"/>
        <v>681000000</v>
      </c>
      <c r="Z19" s="29">
        <f t="shared" si="4"/>
        <v>681000000</v>
      </c>
    </row>
    <row r="20" spans="1:26" outlineLevel="1" x14ac:dyDescent="0.3">
      <c r="A20">
        <f t="shared" si="0"/>
        <v>1</v>
      </c>
      <c r="B20" t="str">
        <f>INDEX('Category Mapping'!$G$28:$G$39,MATCH(A20,'Category Mapping'!$A$28:$A$39,0),1)</f>
        <v>Winter</v>
      </c>
      <c r="C20" t="s">
        <v>79</v>
      </c>
      <c r="D20" s="6" t="s">
        <v>154</v>
      </c>
      <c r="E20" t="s">
        <v>49</v>
      </c>
      <c r="F20" s="27">
        <f>SUMIFS(INDEX(Load,,MATCH('Summarized Source Data'!$C20,Hour,0)),Month,'Summarized Source Data'!$A20,Sector,'Summarized Source Data'!F$2,Subsector,'Summarized Source Data'!F$3,TimeOfWeek,$E20)*INDEX(About!B$79:B$82,MATCH($B20,About!$A$79:$A$82,0),1)</f>
        <v>19000000</v>
      </c>
      <c r="G20" s="27">
        <f>SUMIFS(INDEX(Load,,MATCH('Summarized Source Data'!$C20,Hour,0)),Month,'Summarized Source Data'!$A20,Sector,'Summarized Source Data'!G$2,Subsector,'Summarized Source Data'!G$3,TimeOfWeek,$E20)*INDEX(About!C$79:C$82,MATCH($B20,About!$A$79:$A$82,0),1)</f>
        <v>7993</v>
      </c>
      <c r="H20" s="27">
        <f>SUMIFS(INDEX(Load,,MATCH('Summarized Source Data'!$C20,Hour,0)),Month,'Summarized Source Data'!$A20,Sector,'Summarized Source Data'!H$2,Subsector,'Summarized Source Data'!H$3,TimeOfWeek,$E20)*INDEX(About!D$79:D$82,MATCH($B20,About!$A$79:$A$82,0),1)</f>
        <v>0</v>
      </c>
      <c r="I20" s="27">
        <f>SUMIFS(INDEX(Load,,MATCH('Summarized Source Data'!$C20,Hour,0)),Month,'Summarized Source Data'!$A20,Sector,'Summarized Source Data'!I$2,Subsector,'Summarized Source Data'!I$3,TimeOfWeek,$E20)*INDEX(About!E$79:E$82,MATCH($B20,About!$A$79:$A$82,0),1)</f>
        <v>45100000</v>
      </c>
      <c r="J20" s="54">
        <f t="shared" si="1"/>
        <v>149892007</v>
      </c>
      <c r="K20" s="27">
        <f>(SUMIFS(INDEX(Load,,MATCH('Summarized Source Data'!$C20,Hour,0)),Month,'Summarized Source Data'!$A20,Sector,'Summarized Source Data'!K$2,Subsector,"Total",TimeOfWeek,$E20)-SUM(F20:I20))*INDEX(About!G$79:G$82,MATCH($B20,About!$A$79:$A$82,0),1)</f>
        <v>149892007</v>
      </c>
      <c r="L20" s="27">
        <f>SUMIFS(INDEX(Load,,MATCH('Summarized Source Data'!$C20,Hour,0)),Month,'Summarized Source Data'!$A20,Sector,'Summarized Source Data'!L$2,Subsector,'Summarized Source Data'!L$3,TimeOfWeek,$E20)*INDEX(About!H$79:H$82,MATCH($B20,About!$A$79:$A$82,0),1)</f>
        <v>49500000</v>
      </c>
      <c r="M20" s="27">
        <f>SUMIFS(INDEX(Load,,MATCH('Summarized Source Data'!$C20,Hour,0)),Month,'Summarized Source Data'!$A20,Sector,'Summarized Source Data'!M$2,Subsector,'Summarized Source Data'!M$3,TimeOfWeek,$E20)*INDEX(About!I$79:I$82,MATCH($B20,About!$A$79:$A$82,0),1)</f>
        <v>64218</v>
      </c>
      <c r="N20" s="27">
        <f>SUMIFS(INDEX(Load,,MATCH('Summarized Source Data'!$C20,Hour,0)),Month,'Summarized Source Data'!$A20,Sector,'Summarized Source Data'!N$2,Subsector,'Summarized Source Data'!N$3,TimeOfWeek,$E20)*INDEX(About!J$79:J$82,MATCH($B20,About!$A$79:$A$82,0),1)</f>
        <v>0</v>
      </c>
      <c r="O20" s="29">
        <f t="shared" si="2"/>
        <v>498435782</v>
      </c>
      <c r="P20" s="27">
        <f>(SUMIFS(INDEX(Load,,MATCH('Summarized Source Data'!$C20,Hour,0)),Month,'Summarized Source Data'!$A20,Sector,'Summarized Source Data'!P$2,Subsector,"Total",TimeOfWeek,$E20)-SUM(L20:N20)*INDEX(About!L$79:L$82,MATCH($B20,About!$A$79:$A$82,0),1))</f>
        <v>498435782</v>
      </c>
      <c r="Q20" s="29">
        <f t="shared" si="3"/>
        <v>498435782</v>
      </c>
      <c r="R20" s="33">
        <f>SUMIFS(INDEX(Load,,MATCH('Summarized Source Data'!$C20,Hour,0)),Month,'Summarized Source Data'!$A20,Sector,'Summarized Source Data'!R$2,TimeOfWeek,$E20)*INDEX(About!N$79:N$82,MATCH($B20,About!$A$79:$A$82,0),1)</f>
        <v>17100000</v>
      </c>
      <c r="S20" s="33">
        <f>SUMIFS(INDEX(Load,,MATCH('Summarized Source Data'!$C20,Hour,0)),Month,'Summarized Source Data'!$A20,Sector,'Summarized Source Data'!S$2,TimeOfWeek,$E20)*INDEX(About!O$79:O$82,MATCH($B20,About!$A$79:$A$82,0),1)</f>
        <v>17100000</v>
      </c>
      <c r="T20" s="33">
        <f>SUMIFS(INDEX(Load,,MATCH('Summarized Source Data'!$C20,Hour,0)),Month,'Summarized Source Data'!$A20,Sector,'Summarized Source Data'!T$2,TimeOfWeek,$E20)*INDEX(About!P$79:P$82,MATCH($B20,About!$A$79:$A$82,0),1)</f>
        <v>17100000</v>
      </c>
      <c r="U20" s="33">
        <f>SUMIFS(INDEX(Load,,MATCH('Summarized Source Data'!$C20,Hour,0)),Month,'Summarized Source Data'!$A20,Sector,'Summarized Source Data'!U$2,TimeOfWeek,$E20)*INDEX(About!Q$79:Q$82,MATCH($B20,About!$A$79:$A$82,0),1)</f>
        <v>17100000</v>
      </c>
      <c r="V20" s="33">
        <f>SUMIFS(INDEX(Load,,MATCH('Summarized Source Data'!$C20,Hour,0)),Month,'Summarized Source Data'!$A20,Sector,'Summarized Source Data'!V$2,TimeOfWeek,$E20)*INDEX(About!R$79:R$82,MATCH($B20,About!$A$79:$A$82,0),1)</f>
        <v>17100000</v>
      </c>
      <c r="W20" s="33">
        <f>SUMIFS(INDEX(Load,,MATCH('Summarized Source Data'!$C20,Hour,0)),Month,'Summarized Source Data'!$A20,Sector,'Summarized Source Data'!W$2,TimeOfWeek,$E20)*INDEX(About!S$79:S$82,MATCH($B20,About!$A$79:$A$82,0),1)</f>
        <v>17100000</v>
      </c>
      <c r="X20" s="27">
        <f>SUMIFS(INDEX(Load,,MATCH('Summarized Source Data'!$C20,Hour,0)),Month,'Summarized Source Data'!$A20,Sector,'Summarized Source Data'!X$2,Subsector,'Summarized Source Data'!X$3,TimeOfWeek,$E20)*INDEX(About!T$79:T$82,MATCH($B20,About!$A$79:$A$82,0),1)</f>
        <v>687000000</v>
      </c>
      <c r="Y20" s="29">
        <f t="shared" si="4"/>
        <v>687000000</v>
      </c>
      <c r="Z20" s="29">
        <f t="shared" si="4"/>
        <v>687000000</v>
      </c>
    </row>
    <row r="21" spans="1:26" outlineLevel="1" x14ac:dyDescent="0.3">
      <c r="A21">
        <f t="shared" si="0"/>
        <v>1</v>
      </c>
      <c r="B21" t="str">
        <f>INDEX('Category Mapping'!$G$28:$G$39,MATCH(A21,'Category Mapping'!$A$28:$A$39,0),1)</f>
        <v>Winter</v>
      </c>
      <c r="C21" t="s">
        <v>80</v>
      </c>
      <c r="D21" s="6" t="s">
        <v>155</v>
      </c>
      <c r="E21" t="s">
        <v>49</v>
      </c>
      <c r="F21" s="27">
        <f>SUMIFS(INDEX(Load,,MATCH('Summarized Source Data'!$C21,Hour,0)),Month,'Summarized Source Data'!$A21,Sector,'Summarized Source Data'!F$2,Subsector,'Summarized Source Data'!F$3,TimeOfWeek,$E21)*INDEX(About!B$79:B$82,MATCH($B21,About!$A$79:$A$82,0),1)</f>
        <v>20300000</v>
      </c>
      <c r="G21" s="27">
        <f>SUMIFS(INDEX(Load,,MATCH('Summarized Source Data'!$C21,Hour,0)),Month,'Summarized Source Data'!$A21,Sector,'Summarized Source Data'!G$2,Subsector,'Summarized Source Data'!G$3,TimeOfWeek,$E21)*INDEX(About!C$79:C$82,MATCH($B21,About!$A$79:$A$82,0),1)</f>
        <v>8761</v>
      </c>
      <c r="H21" s="27">
        <f>SUMIFS(INDEX(Load,,MATCH('Summarized Source Data'!$C21,Hour,0)),Month,'Summarized Source Data'!$A21,Sector,'Summarized Source Data'!H$2,Subsector,'Summarized Source Data'!H$3,TimeOfWeek,$E21)*INDEX(About!D$79:D$82,MATCH($B21,About!$A$79:$A$82,0),1)</f>
        <v>0</v>
      </c>
      <c r="I21" s="27">
        <f>SUMIFS(INDEX(Load,,MATCH('Summarized Source Data'!$C21,Hour,0)),Month,'Summarized Source Data'!$A21,Sector,'Summarized Source Data'!I$2,Subsector,'Summarized Source Data'!I$3,TimeOfWeek,$E21)*INDEX(About!E$79:E$82,MATCH($B21,About!$A$79:$A$82,0),1)</f>
        <v>54100000</v>
      </c>
      <c r="J21" s="54">
        <f t="shared" si="1"/>
        <v>165591239</v>
      </c>
      <c r="K21" s="27">
        <f>(SUMIFS(INDEX(Load,,MATCH('Summarized Source Data'!$C21,Hour,0)),Month,'Summarized Source Data'!$A21,Sector,'Summarized Source Data'!K$2,Subsector,"Total",TimeOfWeek,$E21)-SUM(F21:I21))*INDEX(About!G$79:G$82,MATCH($B21,About!$A$79:$A$82,0),1)</f>
        <v>165591239</v>
      </c>
      <c r="L21" s="27">
        <f>SUMIFS(INDEX(Load,,MATCH('Summarized Source Data'!$C21,Hour,0)),Month,'Summarized Source Data'!$A21,Sector,'Summarized Source Data'!L$2,Subsector,'Summarized Source Data'!L$3,TimeOfWeek,$E21)*INDEX(About!H$79:H$82,MATCH($B21,About!$A$79:$A$82,0),1)</f>
        <v>50300000</v>
      </c>
      <c r="M21" s="27">
        <f>SUMIFS(INDEX(Load,,MATCH('Summarized Source Data'!$C21,Hour,0)),Month,'Summarized Source Data'!$A21,Sector,'Summarized Source Data'!M$2,Subsector,'Summarized Source Data'!M$3,TimeOfWeek,$E21)*INDEX(About!I$79:I$82,MATCH($B21,About!$A$79:$A$82,0),1)</f>
        <v>61227</v>
      </c>
      <c r="N21" s="27">
        <f>SUMIFS(INDEX(Load,,MATCH('Summarized Source Data'!$C21,Hour,0)),Month,'Summarized Source Data'!$A21,Sector,'Summarized Source Data'!N$2,Subsector,'Summarized Source Data'!N$3,TimeOfWeek,$E21)*INDEX(About!J$79:J$82,MATCH($B21,About!$A$79:$A$82,0),1)</f>
        <v>0</v>
      </c>
      <c r="O21" s="29">
        <f t="shared" si="2"/>
        <v>467638773</v>
      </c>
      <c r="P21" s="27">
        <f>(SUMIFS(INDEX(Load,,MATCH('Summarized Source Data'!$C21,Hour,0)),Month,'Summarized Source Data'!$A21,Sector,'Summarized Source Data'!P$2,Subsector,"Total",TimeOfWeek,$E21)-SUM(L21:N21)*INDEX(About!L$79:L$82,MATCH($B21,About!$A$79:$A$82,0),1))</f>
        <v>467638773</v>
      </c>
      <c r="Q21" s="29">
        <f t="shared" si="3"/>
        <v>467638773</v>
      </c>
      <c r="R21" s="33">
        <f>SUMIFS(INDEX(Load,,MATCH('Summarized Source Data'!$C21,Hour,0)),Month,'Summarized Source Data'!$A21,Sector,'Summarized Source Data'!R$2,TimeOfWeek,$E21)*INDEX(About!N$79:N$82,MATCH($B21,About!$A$79:$A$82,0),1)</f>
        <v>18000000</v>
      </c>
      <c r="S21" s="33">
        <f>SUMIFS(INDEX(Load,,MATCH('Summarized Source Data'!$C21,Hour,0)),Month,'Summarized Source Data'!$A21,Sector,'Summarized Source Data'!S$2,TimeOfWeek,$E21)*INDEX(About!O$79:O$82,MATCH($B21,About!$A$79:$A$82,0),1)</f>
        <v>18000000</v>
      </c>
      <c r="T21" s="33">
        <f>SUMIFS(INDEX(Load,,MATCH('Summarized Source Data'!$C21,Hour,0)),Month,'Summarized Source Data'!$A21,Sector,'Summarized Source Data'!T$2,TimeOfWeek,$E21)*INDEX(About!P$79:P$82,MATCH($B21,About!$A$79:$A$82,0),1)</f>
        <v>18000000</v>
      </c>
      <c r="U21" s="33">
        <f>SUMIFS(INDEX(Load,,MATCH('Summarized Source Data'!$C21,Hour,0)),Month,'Summarized Source Data'!$A21,Sector,'Summarized Source Data'!U$2,TimeOfWeek,$E21)*INDEX(About!Q$79:Q$82,MATCH($B21,About!$A$79:$A$82,0),1)</f>
        <v>18000000</v>
      </c>
      <c r="V21" s="33">
        <f>SUMIFS(INDEX(Load,,MATCH('Summarized Source Data'!$C21,Hour,0)),Month,'Summarized Source Data'!$A21,Sector,'Summarized Source Data'!V$2,TimeOfWeek,$E21)*INDEX(About!R$79:R$82,MATCH($B21,About!$A$79:$A$82,0),1)</f>
        <v>18000000</v>
      </c>
      <c r="W21" s="33">
        <f>SUMIFS(INDEX(Load,,MATCH('Summarized Source Data'!$C21,Hour,0)),Month,'Summarized Source Data'!$A21,Sector,'Summarized Source Data'!W$2,TimeOfWeek,$E21)*INDEX(About!S$79:S$82,MATCH($B21,About!$A$79:$A$82,0),1)</f>
        <v>18000000</v>
      </c>
      <c r="X21" s="27">
        <f>SUMIFS(INDEX(Load,,MATCH('Summarized Source Data'!$C21,Hour,0)),Month,'Summarized Source Data'!$A21,Sector,'Summarized Source Data'!X$2,Subsector,'Summarized Source Data'!X$3,TimeOfWeek,$E21)*INDEX(About!T$79:T$82,MATCH($B21,About!$A$79:$A$82,0),1)</f>
        <v>689000000</v>
      </c>
      <c r="Y21" s="29">
        <f t="shared" si="4"/>
        <v>689000000</v>
      </c>
      <c r="Z21" s="29">
        <f t="shared" si="4"/>
        <v>689000000</v>
      </c>
    </row>
    <row r="22" spans="1:26" outlineLevel="1" x14ac:dyDescent="0.3">
      <c r="A22">
        <f t="shared" si="0"/>
        <v>1</v>
      </c>
      <c r="B22" t="str">
        <f>INDEX('Category Mapping'!$G$28:$G$39,MATCH(A22,'Category Mapping'!$A$28:$A$39,0),1)</f>
        <v>Winter</v>
      </c>
      <c r="C22" t="s">
        <v>81</v>
      </c>
      <c r="D22" s="6" t="s">
        <v>156</v>
      </c>
      <c r="E22" t="s">
        <v>49</v>
      </c>
      <c r="F22" s="27">
        <f>SUMIFS(INDEX(Load,,MATCH('Summarized Source Data'!$C22,Hour,0)),Month,'Summarized Source Data'!$A22,Sector,'Summarized Source Data'!F$2,Subsector,'Summarized Source Data'!F$3,TimeOfWeek,$E22)*INDEX(About!B$79:B$82,MATCH($B22,About!$A$79:$A$82,0),1)</f>
        <v>22000000</v>
      </c>
      <c r="G22" s="27">
        <f>SUMIFS(INDEX(Load,,MATCH('Summarized Source Data'!$C22,Hour,0)),Month,'Summarized Source Data'!$A22,Sector,'Summarized Source Data'!G$2,Subsector,'Summarized Source Data'!G$3,TimeOfWeek,$E22)*INDEX(About!C$79:C$82,MATCH($B22,About!$A$79:$A$82,0),1)</f>
        <v>9726</v>
      </c>
      <c r="H22" s="27">
        <f>SUMIFS(INDEX(Load,,MATCH('Summarized Source Data'!$C22,Hour,0)),Month,'Summarized Source Data'!$A22,Sector,'Summarized Source Data'!H$2,Subsector,'Summarized Source Data'!H$3,TimeOfWeek,$E22)*INDEX(About!D$79:D$82,MATCH($B22,About!$A$79:$A$82,0),1)</f>
        <v>0</v>
      </c>
      <c r="I22" s="27">
        <f>SUMIFS(INDEX(Load,,MATCH('Summarized Source Data'!$C22,Hour,0)),Month,'Summarized Source Data'!$A22,Sector,'Summarized Source Data'!I$2,Subsector,'Summarized Source Data'!I$3,TimeOfWeek,$E22)*INDEX(About!E$79:E$82,MATCH($B22,About!$A$79:$A$82,0),1)</f>
        <v>59200000</v>
      </c>
      <c r="J22" s="54">
        <f t="shared" si="1"/>
        <v>161790274</v>
      </c>
      <c r="K22" s="27">
        <f>(SUMIFS(INDEX(Load,,MATCH('Summarized Source Data'!$C22,Hour,0)),Month,'Summarized Source Data'!$A22,Sector,'Summarized Source Data'!K$2,Subsector,"Total",TimeOfWeek,$E22)-SUM(F22:I22))*INDEX(About!G$79:G$82,MATCH($B22,About!$A$79:$A$82,0),1)</f>
        <v>161790274</v>
      </c>
      <c r="L22" s="27">
        <f>SUMIFS(INDEX(Load,,MATCH('Summarized Source Data'!$C22,Hour,0)),Month,'Summarized Source Data'!$A22,Sector,'Summarized Source Data'!L$2,Subsector,'Summarized Source Data'!L$3,TimeOfWeek,$E22)*INDEX(About!H$79:H$82,MATCH($B22,About!$A$79:$A$82,0),1)</f>
        <v>58200000</v>
      </c>
      <c r="M22" s="27">
        <f>SUMIFS(INDEX(Load,,MATCH('Summarized Source Data'!$C22,Hour,0)),Month,'Summarized Source Data'!$A22,Sector,'Summarized Source Data'!M$2,Subsector,'Summarized Source Data'!M$3,TimeOfWeek,$E22)*INDEX(About!I$79:I$82,MATCH($B22,About!$A$79:$A$82,0),1)</f>
        <v>58635</v>
      </c>
      <c r="N22" s="27">
        <f>SUMIFS(INDEX(Load,,MATCH('Summarized Source Data'!$C22,Hour,0)),Month,'Summarized Source Data'!$A22,Sector,'Summarized Source Data'!N$2,Subsector,'Summarized Source Data'!N$3,TimeOfWeek,$E22)*INDEX(About!J$79:J$82,MATCH($B22,About!$A$79:$A$82,0),1)</f>
        <v>0</v>
      </c>
      <c r="O22" s="29">
        <f t="shared" si="2"/>
        <v>445741365</v>
      </c>
      <c r="P22" s="27">
        <f>(SUMIFS(INDEX(Load,,MATCH('Summarized Source Data'!$C22,Hour,0)),Month,'Summarized Source Data'!$A22,Sector,'Summarized Source Data'!P$2,Subsector,"Total",TimeOfWeek,$E22)-SUM(L22:N22)*INDEX(About!L$79:L$82,MATCH($B22,About!$A$79:$A$82,0),1))</f>
        <v>445741365</v>
      </c>
      <c r="Q22" s="29">
        <f t="shared" si="3"/>
        <v>445741365</v>
      </c>
      <c r="R22" s="33">
        <f>SUMIFS(INDEX(Load,,MATCH('Summarized Source Data'!$C22,Hour,0)),Month,'Summarized Source Data'!$A22,Sector,'Summarized Source Data'!R$2,TimeOfWeek,$E22)*INDEX(About!N$79:N$82,MATCH($B22,About!$A$79:$A$82,0),1)</f>
        <v>16500000</v>
      </c>
      <c r="S22" s="33">
        <f>SUMIFS(INDEX(Load,,MATCH('Summarized Source Data'!$C22,Hour,0)),Month,'Summarized Source Data'!$A22,Sector,'Summarized Source Data'!S$2,TimeOfWeek,$E22)*INDEX(About!O$79:O$82,MATCH($B22,About!$A$79:$A$82,0),1)</f>
        <v>16500000</v>
      </c>
      <c r="T22" s="33">
        <f>SUMIFS(INDEX(Load,,MATCH('Summarized Source Data'!$C22,Hour,0)),Month,'Summarized Source Data'!$A22,Sector,'Summarized Source Data'!T$2,TimeOfWeek,$E22)*INDEX(About!P$79:P$82,MATCH($B22,About!$A$79:$A$82,0),1)</f>
        <v>16500000</v>
      </c>
      <c r="U22" s="33">
        <f>SUMIFS(INDEX(Load,,MATCH('Summarized Source Data'!$C22,Hour,0)),Month,'Summarized Source Data'!$A22,Sector,'Summarized Source Data'!U$2,TimeOfWeek,$E22)*INDEX(About!Q$79:Q$82,MATCH($B22,About!$A$79:$A$82,0),1)</f>
        <v>16500000</v>
      </c>
      <c r="V22" s="33">
        <f>SUMIFS(INDEX(Load,,MATCH('Summarized Source Data'!$C22,Hour,0)),Month,'Summarized Source Data'!$A22,Sector,'Summarized Source Data'!V$2,TimeOfWeek,$E22)*INDEX(About!R$79:R$82,MATCH($B22,About!$A$79:$A$82,0),1)</f>
        <v>16500000</v>
      </c>
      <c r="W22" s="33">
        <f>SUMIFS(INDEX(Load,,MATCH('Summarized Source Data'!$C22,Hour,0)),Month,'Summarized Source Data'!$A22,Sector,'Summarized Source Data'!W$2,TimeOfWeek,$E22)*INDEX(About!S$79:S$82,MATCH($B22,About!$A$79:$A$82,0),1)</f>
        <v>16500000</v>
      </c>
      <c r="X22" s="27">
        <f>SUMIFS(INDEX(Load,,MATCH('Summarized Source Data'!$C22,Hour,0)),Month,'Summarized Source Data'!$A22,Sector,'Summarized Source Data'!X$2,Subsector,'Summarized Source Data'!X$3,TimeOfWeek,$E22)*INDEX(About!T$79:T$82,MATCH($B22,About!$A$79:$A$82,0),1)</f>
        <v>685000000</v>
      </c>
      <c r="Y22" s="29">
        <f t="shared" si="4"/>
        <v>685000000</v>
      </c>
      <c r="Z22" s="29">
        <f t="shared" si="4"/>
        <v>685000000</v>
      </c>
    </row>
    <row r="23" spans="1:26" outlineLevel="1" x14ac:dyDescent="0.3">
      <c r="A23">
        <f t="shared" si="0"/>
        <v>1</v>
      </c>
      <c r="B23" t="str">
        <f>INDEX('Category Mapping'!$G$28:$G$39,MATCH(A23,'Category Mapping'!$A$28:$A$39,0),1)</f>
        <v>Winter</v>
      </c>
      <c r="C23" t="s">
        <v>82</v>
      </c>
      <c r="D23" s="6" t="s">
        <v>157</v>
      </c>
      <c r="E23" t="s">
        <v>49</v>
      </c>
      <c r="F23" s="27">
        <f>SUMIFS(INDEX(Load,,MATCH('Summarized Source Data'!$C23,Hour,0)),Month,'Summarized Source Data'!$A23,Sector,'Summarized Source Data'!F$2,Subsector,'Summarized Source Data'!F$3,TimeOfWeek,$E23)*INDEX(About!B$79:B$82,MATCH($B23,About!$A$79:$A$82,0),1)</f>
        <v>23600000</v>
      </c>
      <c r="G23" s="27">
        <f>SUMIFS(INDEX(Load,,MATCH('Summarized Source Data'!$C23,Hour,0)),Month,'Summarized Source Data'!$A23,Sector,'Summarized Source Data'!G$2,Subsector,'Summarized Source Data'!G$3,TimeOfWeek,$E23)*INDEX(About!C$79:C$82,MATCH($B23,About!$A$79:$A$82,0),1)</f>
        <v>10713</v>
      </c>
      <c r="H23" s="27">
        <f>SUMIFS(INDEX(Load,,MATCH('Summarized Source Data'!$C23,Hour,0)),Month,'Summarized Source Data'!$A23,Sector,'Summarized Source Data'!H$2,Subsector,'Summarized Source Data'!H$3,TimeOfWeek,$E23)*INDEX(About!D$79:D$82,MATCH($B23,About!$A$79:$A$82,0),1)</f>
        <v>0</v>
      </c>
      <c r="I23" s="27">
        <f>SUMIFS(INDEX(Load,,MATCH('Summarized Source Data'!$C23,Hour,0)),Month,'Summarized Source Data'!$A23,Sector,'Summarized Source Data'!I$2,Subsector,'Summarized Source Data'!I$3,TimeOfWeek,$E23)*INDEX(About!E$79:E$82,MATCH($B23,About!$A$79:$A$82,0),1)</f>
        <v>63700000</v>
      </c>
      <c r="J23" s="54">
        <f t="shared" si="1"/>
        <v>154689287</v>
      </c>
      <c r="K23" s="27">
        <f>(SUMIFS(INDEX(Load,,MATCH('Summarized Source Data'!$C23,Hour,0)),Month,'Summarized Source Data'!$A23,Sector,'Summarized Source Data'!K$2,Subsector,"Total",TimeOfWeek,$E23)-SUM(F23:I23))*INDEX(About!G$79:G$82,MATCH($B23,About!$A$79:$A$82,0),1)</f>
        <v>154689287</v>
      </c>
      <c r="L23" s="27">
        <f>SUMIFS(INDEX(Load,,MATCH('Summarized Source Data'!$C23,Hour,0)),Month,'Summarized Source Data'!$A23,Sector,'Summarized Source Data'!L$2,Subsector,'Summarized Source Data'!L$3,TimeOfWeek,$E23)*INDEX(About!H$79:H$82,MATCH($B23,About!$A$79:$A$82,0),1)</f>
        <v>65400000</v>
      </c>
      <c r="M23" s="27">
        <f>SUMIFS(INDEX(Load,,MATCH('Summarized Source Data'!$C23,Hour,0)),Month,'Summarized Source Data'!$A23,Sector,'Summarized Source Data'!M$2,Subsector,'Summarized Source Data'!M$3,TimeOfWeek,$E23)*INDEX(About!I$79:I$82,MATCH($B23,About!$A$79:$A$82,0),1)</f>
        <v>54937</v>
      </c>
      <c r="N23" s="27">
        <f>SUMIFS(INDEX(Load,,MATCH('Summarized Source Data'!$C23,Hour,0)),Month,'Summarized Source Data'!$A23,Sector,'Summarized Source Data'!N$2,Subsector,'Summarized Source Data'!N$3,TimeOfWeek,$E23)*INDEX(About!J$79:J$82,MATCH($B23,About!$A$79:$A$82,0),1)</f>
        <v>0</v>
      </c>
      <c r="O23" s="29">
        <f t="shared" si="2"/>
        <v>373545063</v>
      </c>
      <c r="P23" s="27">
        <f>(SUMIFS(INDEX(Load,,MATCH('Summarized Source Data'!$C23,Hour,0)),Month,'Summarized Source Data'!$A23,Sector,'Summarized Source Data'!P$2,Subsector,"Total",TimeOfWeek,$E23)-SUM(L23:N23)*INDEX(About!L$79:L$82,MATCH($B23,About!$A$79:$A$82,0),1))</f>
        <v>373545063</v>
      </c>
      <c r="Q23" s="29">
        <f t="shared" si="3"/>
        <v>373545063</v>
      </c>
      <c r="R23" s="33">
        <f>SUMIFS(INDEX(Load,,MATCH('Summarized Source Data'!$C23,Hour,0)),Month,'Summarized Source Data'!$A23,Sector,'Summarized Source Data'!R$2,TimeOfWeek,$E23)*INDEX(About!N$79:N$82,MATCH($B23,About!$A$79:$A$82,0),1)</f>
        <v>13500000</v>
      </c>
      <c r="S23" s="33">
        <f>SUMIFS(INDEX(Load,,MATCH('Summarized Source Data'!$C23,Hour,0)),Month,'Summarized Source Data'!$A23,Sector,'Summarized Source Data'!S$2,TimeOfWeek,$E23)*INDEX(About!O$79:O$82,MATCH($B23,About!$A$79:$A$82,0),1)</f>
        <v>13500000</v>
      </c>
      <c r="T23" s="33">
        <f>SUMIFS(INDEX(Load,,MATCH('Summarized Source Data'!$C23,Hour,0)),Month,'Summarized Source Data'!$A23,Sector,'Summarized Source Data'!T$2,TimeOfWeek,$E23)*INDEX(About!P$79:P$82,MATCH($B23,About!$A$79:$A$82,0),1)</f>
        <v>13500000</v>
      </c>
      <c r="U23" s="33">
        <f>SUMIFS(INDEX(Load,,MATCH('Summarized Source Data'!$C23,Hour,0)),Month,'Summarized Source Data'!$A23,Sector,'Summarized Source Data'!U$2,TimeOfWeek,$E23)*INDEX(About!Q$79:Q$82,MATCH($B23,About!$A$79:$A$82,0),1)</f>
        <v>13500000</v>
      </c>
      <c r="V23" s="33">
        <f>SUMIFS(INDEX(Load,,MATCH('Summarized Source Data'!$C23,Hour,0)),Month,'Summarized Source Data'!$A23,Sector,'Summarized Source Data'!V$2,TimeOfWeek,$E23)*INDEX(About!R$79:R$82,MATCH($B23,About!$A$79:$A$82,0),1)</f>
        <v>13500000</v>
      </c>
      <c r="W23" s="33">
        <f>SUMIFS(INDEX(Load,,MATCH('Summarized Source Data'!$C23,Hour,0)),Month,'Summarized Source Data'!$A23,Sector,'Summarized Source Data'!W$2,TimeOfWeek,$E23)*INDEX(About!S$79:S$82,MATCH($B23,About!$A$79:$A$82,0),1)</f>
        <v>13500000</v>
      </c>
      <c r="X23" s="27">
        <f>SUMIFS(INDEX(Load,,MATCH('Summarized Source Data'!$C23,Hour,0)),Month,'Summarized Source Data'!$A23,Sector,'Summarized Source Data'!X$2,Subsector,'Summarized Source Data'!X$3,TimeOfWeek,$E23)*INDEX(About!T$79:T$82,MATCH($B23,About!$A$79:$A$82,0),1)</f>
        <v>681000000</v>
      </c>
      <c r="Y23" s="29">
        <f t="shared" si="4"/>
        <v>681000000</v>
      </c>
      <c r="Z23" s="29">
        <f t="shared" si="4"/>
        <v>681000000</v>
      </c>
    </row>
    <row r="24" spans="1:26" outlineLevel="1" x14ac:dyDescent="0.3">
      <c r="A24">
        <f t="shared" si="0"/>
        <v>1</v>
      </c>
      <c r="B24" t="str">
        <f>INDEX('Category Mapping'!$G$28:$G$39,MATCH(A24,'Category Mapping'!$A$28:$A$39,0),1)</f>
        <v>Winter</v>
      </c>
      <c r="C24" t="s">
        <v>83</v>
      </c>
      <c r="D24" s="6" t="s">
        <v>158</v>
      </c>
      <c r="E24" t="s">
        <v>49</v>
      </c>
      <c r="F24" s="27">
        <f>SUMIFS(INDEX(Load,,MATCH('Summarized Source Data'!$C24,Hour,0)),Month,'Summarized Source Data'!$A24,Sector,'Summarized Source Data'!F$2,Subsector,'Summarized Source Data'!F$3,TimeOfWeek,$E24)*INDEX(About!B$79:B$82,MATCH($B24,About!$A$79:$A$82,0),1)</f>
        <v>24700000</v>
      </c>
      <c r="G24" s="27">
        <f>SUMIFS(INDEX(Load,,MATCH('Summarized Source Data'!$C24,Hour,0)),Month,'Summarized Source Data'!$A24,Sector,'Summarized Source Data'!G$2,Subsector,'Summarized Source Data'!G$3,TimeOfWeek,$E24)*INDEX(About!C$79:C$82,MATCH($B24,About!$A$79:$A$82,0),1)</f>
        <v>11596</v>
      </c>
      <c r="H24" s="27">
        <f>SUMIFS(INDEX(Load,,MATCH('Summarized Source Data'!$C24,Hour,0)),Month,'Summarized Source Data'!$A24,Sector,'Summarized Source Data'!H$2,Subsector,'Summarized Source Data'!H$3,TimeOfWeek,$E24)*INDEX(About!D$79:D$82,MATCH($B24,About!$A$79:$A$82,0),1)</f>
        <v>0</v>
      </c>
      <c r="I24" s="27">
        <f>SUMIFS(INDEX(Load,,MATCH('Summarized Source Data'!$C24,Hour,0)),Month,'Summarized Source Data'!$A24,Sector,'Summarized Source Data'!I$2,Subsector,'Summarized Source Data'!I$3,TimeOfWeek,$E24)*INDEX(About!E$79:E$82,MATCH($B24,About!$A$79:$A$82,0),1)</f>
        <v>64700000</v>
      </c>
      <c r="J24" s="54">
        <f t="shared" si="1"/>
        <v>151588404</v>
      </c>
      <c r="K24" s="27">
        <f>(SUMIFS(INDEX(Load,,MATCH('Summarized Source Data'!$C24,Hour,0)),Month,'Summarized Source Data'!$A24,Sector,'Summarized Source Data'!K$2,Subsector,"Total",TimeOfWeek,$E24)-SUM(F24:I24))*INDEX(About!G$79:G$82,MATCH($B24,About!$A$79:$A$82,0),1)</f>
        <v>151588404</v>
      </c>
      <c r="L24" s="27">
        <f>SUMIFS(INDEX(Load,,MATCH('Summarized Source Data'!$C24,Hour,0)),Month,'Summarized Source Data'!$A24,Sector,'Summarized Source Data'!L$2,Subsector,'Summarized Source Data'!L$3,TimeOfWeek,$E24)*INDEX(About!H$79:H$82,MATCH($B24,About!$A$79:$A$82,0),1)</f>
        <v>69600000</v>
      </c>
      <c r="M24" s="27">
        <f>SUMIFS(INDEX(Load,,MATCH('Summarized Source Data'!$C24,Hour,0)),Month,'Summarized Source Data'!$A24,Sector,'Summarized Source Data'!M$2,Subsector,'Summarized Source Data'!M$3,TimeOfWeek,$E24)*INDEX(About!I$79:I$82,MATCH($B24,About!$A$79:$A$82,0),1)</f>
        <v>51826</v>
      </c>
      <c r="N24" s="27">
        <f>SUMIFS(INDEX(Load,,MATCH('Summarized Source Data'!$C24,Hour,0)),Month,'Summarized Source Data'!$A24,Sector,'Summarized Source Data'!N$2,Subsector,'Summarized Source Data'!N$3,TimeOfWeek,$E24)*INDEX(About!J$79:J$82,MATCH($B24,About!$A$79:$A$82,0),1)</f>
        <v>0</v>
      </c>
      <c r="O24" s="29">
        <f t="shared" si="2"/>
        <v>310348174</v>
      </c>
      <c r="P24" s="27">
        <f>(SUMIFS(INDEX(Load,,MATCH('Summarized Source Data'!$C24,Hour,0)),Month,'Summarized Source Data'!$A24,Sector,'Summarized Source Data'!P$2,Subsector,"Total",TimeOfWeek,$E24)-SUM(L24:N24)*INDEX(About!L$79:L$82,MATCH($B24,About!$A$79:$A$82,0),1))</f>
        <v>310348174</v>
      </c>
      <c r="Q24" s="29">
        <f t="shared" si="3"/>
        <v>310348174</v>
      </c>
      <c r="R24" s="33">
        <f>SUMIFS(INDEX(Load,,MATCH('Summarized Source Data'!$C24,Hour,0)),Month,'Summarized Source Data'!$A24,Sector,'Summarized Source Data'!R$2,TimeOfWeek,$E24)*INDEX(About!N$79:N$82,MATCH($B24,About!$A$79:$A$82,0),1)</f>
        <v>12400000</v>
      </c>
      <c r="S24" s="33">
        <f>SUMIFS(INDEX(Load,,MATCH('Summarized Source Data'!$C24,Hour,0)),Month,'Summarized Source Data'!$A24,Sector,'Summarized Source Data'!S$2,TimeOfWeek,$E24)*INDEX(About!O$79:O$82,MATCH($B24,About!$A$79:$A$82,0),1)</f>
        <v>12400000</v>
      </c>
      <c r="T24" s="33">
        <f>SUMIFS(INDEX(Load,,MATCH('Summarized Source Data'!$C24,Hour,0)),Month,'Summarized Source Data'!$A24,Sector,'Summarized Source Data'!T$2,TimeOfWeek,$E24)*INDEX(About!P$79:P$82,MATCH($B24,About!$A$79:$A$82,0),1)</f>
        <v>12400000</v>
      </c>
      <c r="U24" s="33">
        <f>SUMIFS(INDEX(Load,,MATCH('Summarized Source Data'!$C24,Hour,0)),Month,'Summarized Source Data'!$A24,Sector,'Summarized Source Data'!U$2,TimeOfWeek,$E24)*INDEX(About!Q$79:Q$82,MATCH($B24,About!$A$79:$A$82,0),1)</f>
        <v>12400000</v>
      </c>
      <c r="V24" s="33">
        <f>SUMIFS(INDEX(Load,,MATCH('Summarized Source Data'!$C24,Hour,0)),Month,'Summarized Source Data'!$A24,Sector,'Summarized Source Data'!V$2,TimeOfWeek,$E24)*INDEX(About!R$79:R$82,MATCH($B24,About!$A$79:$A$82,0),1)</f>
        <v>12400000</v>
      </c>
      <c r="W24" s="33">
        <f>SUMIFS(INDEX(Load,,MATCH('Summarized Source Data'!$C24,Hour,0)),Month,'Summarized Source Data'!$A24,Sector,'Summarized Source Data'!W$2,TimeOfWeek,$E24)*INDEX(About!S$79:S$82,MATCH($B24,About!$A$79:$A$82,0),1)</f>
        <v>12400000</v>
      </c>
      <c r="X24" s="27">
        <f>SUMIFS(INDEX(Load,,MATCH('Summarized Source Data'!$C24,Hour,0)),Month,'Summarized Source Data'!$A24,Sector,'Summarized Source Data'!X$2,Subsector,'Summarized Source Data'!X$3,TimeOfWeek,$E24)*INDEX(About!T$79:T$82,MATCH($B24,About!$A$79:$A$82,0),1)</f>
        <v>677000000</v>
      </c>
      <c r="Y24" s="29">
        <f t="shared" si="4"/>
        <v>677000000</v>
      </c>
      <c r="Z24" s="29">
        <f t="shared" si="4"/>
        <v>677000000</v>
      </c>
    </row>
    <row r="25" spans="1:26" outlineLevel="1" x14ac:dyDescent="0.3">
      <c r="A25">
        <f t="shared" si="0"/>
        <v>1</v>
      </c>
      <c r="B25" t="str">
        <f>INDEX('Category Mapping'!$G$28:$G$39,MATCH(A25,'Category Mapping'!$A$28:$A$39,0),1)</f>
        <v>Winter</v>
      </c>
      <c r="C25" t="s">
        <v>84</v>
      </c>
      <c r="D25" s="6" t="s">
        <v>159</v>
      </c>
      <c r="E25" t="s">
        <v>49</v>
      </c>
      <c r="F25" s="27">
        <f>SUMIFS(INDEX(Load,,MATCH('Summarized Source Data'!$C25,Hour,0)),Month,'Summarized Source Data'!$A25,Sector,'Summarized Source Data'!F$2,Subsector,'Summarized Source Data'!F$3,TimeOfWeek,$E25)*INDEX(About!B$79:B$82,MATCH($B25,About!$A$79:$A$82,0),1)</f>
        <v>23500000</v>
      </c>
      <c r="G25" s="27">
        <f>SUMIFS(INDEX(Load,,MATCH('Summarized Source Data'!$C25,Hour,0)),Month,'Summarized Source Data'!$A25,Sector,'Summarized Source Data'!G$2,Subsector,'Summarized Source Data'!G$3,TimeOfWeek,$E25)*INDEX(About!C$79:C$82,MATCH($B25,About!$A$79:$A$82,0),1)</f>
        <v>12331</v>
      </c>
      <c r="H25" s="27">
        <f>SUMIFS(INDEX(Load,,MATCH('Summarized Source Data'!$C25,Hour,0)),Month,'Summarized Source Data'!$A25,Sector,'Summarized Source Data'!H$2,Subsector,'Summarized Source Data'!H$3,TimeOfWeek,$E25)*INDEX(About!D$79:D$82,MATCH($B25,About!$A$79:$A$82,0),1)</f>
        <v>0</v>
      </c>
      <c r="I25" s="27">
        <f>SUMIFS(INDEX(Load,,MATCH('Summarized Source Data'!$C25,Hour,0)),Month,'Summarized Source Data'!$A25,Sector,'Summarized Source Data'!I$2,Subsector,'Summarized Source Data'!I$3,TimeOfWeek,$E25)*INDEX(About!E$79:E$82,MATCH($B25,About!$A$79:$A$82,0),1)</f>
        <v>53000000</v>
      </c>
      <c r="J25" s="54">
        <f t="shared" si="1"/>
        <v>149487669</v>
      </c>
      <c r="K25" s="27">
        <f>(SUMIFS(INDEX(Load,,MATCH('Summarized Source Data'!$C25,Hour,0)),Month,'Summarized Source Data'!$A25,Sector,'Summarized Source Data'!K$2,Subsector,"Total",TimeOfWeek,$E25)-SUM(F25:I25))*INDEX(About!G$79:G$82,MATCH($B25,About!$A$79:$A$82,0),1)</f>
        <v>149487669</v>
      </c>
      <c r="L25" s="27">
        <f>SUMIFS(INDEX(Load,,MATCH('Summarized Source Data'!$C25,Hour,0)),Month,'Summarized Source Data'!$A25,Sector,'Summarized Source Data'!L$2,Subsector,'Summarized Source Data'!L$3,TimeOfWeek,$E25)*INDEX(About!H$79:H$82,MATCH($B25,About!$A$79:$A$82,0),1)</f>
        <v>75200000</v>
      </c>
      <c r="M25" s="27">
        <f>SUMIFS(INDEX(Load,,MATCH('Summarized Source Data'!$C25,Hour,0)),Month,'Summarized Source Data'!$A25,Sector,'Summarized Source Data'!M$2,Subsector,'Summarized Source Data'!M$3,TimeOfWeek,$E25)*INDEX(About!I$79:I$82,MATCH($B25,About!$A$79:$A$82,0),1)</f>
        <v>48653</v>
      </c>
      <c r="N25" s="27">
        <f>SUMIFS(INDEX(Load,,MATCH('Summarized Source Data'!$C25,Hour,0)),Month,'Summarized Source Data'!$A25,Sector,'Summarized Source Data'!N$2,Subsector,'Summarized Source Data'!N$3,TimeOfWeek,$E25)*INDEX(About!J$79:J$82,MATCH($B25,About!$A$79:$A$82,0),1)</f>
        <v>0</v>
      </c>
      <c r="O25" s="29">
        <f t="shared" si="2"/>
        <v>251751347</v>
      </c>
      <c r="P25" s="27">
        <f>(SUMIFS(INDEX(Load,,MATCH('Summarized Source Data'!$C25,Hour,0)),Month,'Summarized Source Data'!$A25,Sector,'Summarized Source Data'!P$2,Subsector,"Total",TimeOfWeek,$E25)-SUM(L25:N25)*INDEX(About!L$79:L$82,MATCH($B25,About!$A$79:$A$82,0),1))</f>
        <v>251751347</v>
      </c>
      <c r="Q25" s="29">
        <f t="shared" si="3"/>
        <v>251751347</v>
      </c>
      <c r="R25" s="33">
        <f>SUMIFS(INDEX(Load,,MATCH('Summarized Source Data'!$C25,Hour,0)),Month,'Summarized Source Data'!$A25,Sector,'Summarized Source Data'!R$2,TimeOfWeek,$E25)*INDEX(About!N$79:N$82,MATCH($B25,About!$A$79:$A$82,0),1)</f>
        <v>11700000</v>
      </c>
      <c r="S25" s="33">
        <f>SUMIFS(INDEX(Load,,MATCH('Summarized Source Data'!$C25,Hour,0)),Month,'Summarized Source Data'!$A25,Sector,'Summarized Source Data'!S$2,TimeOfWeek,$E25)*INDEX(About!O$79:O$82,MATCH($B25,About!$A$79:$A$82,0),1)</f>
        <v>11700000</v>
      </c>
      <c r="T25" s="33">
        <f>SUMIFS(INDEX(Load,,MATCH('Summarized Source Data'!$C25,Hour,0)),Month,'Summarized Source Data'!$A25,Sector,'Summarized Source Data'!T$2,TimeOfWeek,$E25)*INDEX(About!P$79:P$82,MATCH($B25,About!$A$79:$A$82,0),1)</f>
        <v>11700000</v>
      </c>
      <c r="U25" s="33">
        <f>SUMIFS(INDEX(Load,,MATCH('Summarized Source Data'!$C25,Hour,0)),Month,'Summarized Source Data'!$A25,Sector,'Summarized Source Data'!U$2,TimeOfWeek,$E25)*INDEX(About!Q$79:Q$82,MATCH($B25,About!$A$79:$A$82,0),1)</f>
        <v>11700000</v>
      </c>
      <c r="V25" s="33">
        <f>SUMIFS(INDEX(Load,,MATCH('Summarized Source Data'!$C25,Hour,0)),Month,'Summarized Source Data'!$A25,Sector,'Summarized Source Data'!V$2,TimeOfWeek,$E25)*INDEX(About!R$79:R$82,MATCH($B25,About!$A$79:$A$82,0),1)</f>
        <v>11700000</v>
      </c>
      <c r="W25" s="33">
        <f>SUMIFS(INDEX(Load,,MATCH('Summarized Source Data'!$C25,Hour,0)),Month,'Summarized Source Data'!$A25,Sector,'Summarized Source Data'!W$2,TimeOfWeek,$E25)*INDEX(About!S$79:S$82,MATCH($B25,About!$A$79:$A$82,0),1)</f>
        <v>11700000</v>
      </c>
      <c r="X25" s="27">
        <f>SUMIFS(INDEX(Load,,MATCH('Summarized Source Data'!$C25,Hour,0)),Month,'Summarized Source Data'!$A25,Sector,'Summarized Source Data'!X$2,Subsector,'Summarized Source Data'!X$3,TimeOfWeek,$E25)*INDEX(About!T$79:T$82,MATCH($B25,About!$A$79:$A$82,0),1)</f>
        <v>671000000</v>
      </c>
      <c r="Y25" s="29">
        <f t="shared" si="4"/>
        <v>671000000</v>
      </c>
      <c r="Z25" s="29">
        <f t="shared" si="4"/>
        <v>671000000</v>
      </c>
    </row>
    <row r="26" spans="1:26" outlineLevel="1" x14ac:dyDescent="0.3">
      <c r="A26">
        <f t="shared" si="0"/>
        <v>1</v>
      </c>
      <c r="B26" t="str">
        <f>INDEX('Category Mapping'!$G$28:$G$39,MATCH(A26,'Category Mapping'!$A$28:$A$39,0),1)</f>
        <v>Winter</v>
      </c>
      <c r="C26" t="s">
        <v>85</v>
      </c>
      <c r="D26" s="6" t="s">
        <v>160</v>
      </c>
      <c r="E26" t="s">
        <v>49</v>
      </c>
      <c r="F26" s="27">
        <f>SUMIFS(INDEX(Load,,MATCH('Summarized Source Data'!$C26,Hour,0)),Month,'Summarized Source Data'!$A26,Sector,'Summarized Source Data'!F$2,Subsector,'Summarized Source Data'!F$3,TimeOfWeek,$E26)*INDEX(About!B$79:B$82,MATCH($B26,About!$A$79:$A$82,0),1)</f>
        <v>20600000</v>
      </c>
      <c r="G26" s="27">
        <f>SUMIFS(INDEX(Load,,MATCH('Summarized Source Data'!$C26,Hour,0)),Month,'Summarized Source Data'!$A26,Sector,'Summarized Source Data'!G$2,Subsector,'Summarized Source Data'!G$3,TimeOfWeek,$E26)*INDEX(About!C$79:C$82,MATCH($B26,About!$A$79:$A$82,0),1)</f>
        <v>12855</v>
      </c>
      <c r="H26" s="27">
        <f>SUMIFS(INDEX(Load,,MATCH('Summarized Source Data'!$C26,Hour,0)),Month,'Summarized Source Data'!$A26,Sector,'Summarized Source Data'!H$2,Subsector,'Summarized Source Data'!H$3,TimeOfWeek,$E26)*INDEX(About!D$79:D$82,MATCH($B26,About!$A$79:$A$82,0),1)</f>
        <v>0</v>
      </c>
      <c r="I26" s="27">
        <f>SUMIFS(INDEX(Load,,MATCH('Summarized Source Data'!$C26,Hour,0)),Month,'Summarized Source Data'!$A26,Sector,'Summarized Source Data'!I$2,Subsector,'Summarized Source Data'!I$3,TimeOfWeek,$E26)*INDEX(About!E$79:E$82,MATCH($B26,About!$A$79:$A$82,0),1)</f>
        <v>31500000</v>
      </c>
      <c r="J26" s="54">
        <f t="shared" si="1"/>
        <v>117887145</v>
      </c>
      <c r="K26" s="27">
        <f>(SUMIFS(INDEX(Load,,MATCH('Summarized Source Data'!$C26,Hour,0)),Month,'Summarized Source Data'!$A26,Sector,'Summarized Source Data'!K$2,Subsector,"Total",TimeOfWeek,$E26)-SUM(F26:I26))*INDEX(About!G$79:G$82,MATCH($B26,About!$A$79:$A$82,0),1)</f>
        <v>117887145</v>
      </c>
      <c r="L26" s="27">
        <f>SUMIFS(INDEX(Load,,MATCH('Summarized Source Data'!$C26,Hour,0)),Month,'Summarized Source Data'!$A26,Sector,'Summarized Source Data'!L$2,Subsector,'Summarized Source Data'!L$3,TimeOfWeek,$E26)*INDEX(About!H$79:H$82,MATCH($B26,About!$A$79:$A$82,0),1)</f>
        <v>75300000</v>
      </c>
      <c r="M26" s="27">
        <f>SUMIFS(INDEX(Load,,MATCH('Summarized Source Data'!$C26,Hour,0)),Month,'Summarized Source Data'!$A26,Sector,'Summarized Source Data'!M$2,Subsector,'Summarized Source Data'!M$3,TimeOfWeek,$E26)*INDEX(About!I$79:I$82,MATCH($B26,About!$A$79:$A$82,0),1)</f>
        <v>44837</v>
      </c>
      <c r="N26" s="27">
        <f>SUMIFS(INDEX(Load,,MATCH('Summarized Source Data'!$C26,Hour,0)),Month,'Summarized Source Data'!$A26,Sector,'Summarized Source Data'!N$2,Subsector,'Summarized Source Data'!N$3,TimeOfWeek,$E26)*INDEX(About!J$79:J$82,MATCH($B26,About!$A$79:$A$82,0),1)</f>
        <v>0</v>
      </c>
      <c r="O26" s="29">
        <f t="shared" si="2"/>
        <v>211655163</v>
      </c>
      <c r="P26" s="27">
        <f>(SUMIFS(INDEX(Load,,MATCH('Summarized Source Data'!$C26,Hour,0)),Month,'Summarized Source Data'!$A26,Sector,'Summarized Source Data'!P$2,Subsector,"Total",TimeOfWeek,$E26)-SUM(L26:N26)*INDEX(About!L$79:L$82,MATCH($B26,About!$A$79:$A$82,0),1))</f>
        <v>211655163</v>
      </c>
      <c r="Q26" s="29">
        <f t="shared" si="3"/>
        <v>211655163</v>
      </c>
      <c r="R26" s="33">
        <f>SUMIFS(INDEX(Load,,MATCH('Summarized Source Data'!$C26,Hour,0)),Month,'Summarized Source Data'!$A26,Sector,'Summarized Source Data'!R$2,TimeOfWeek,$E26)*INDEX(About!N$79:N$82,MATCH($B26,About!$A$79:$A$82,0),1)</f>
        <v>11100000</v>
      </c>
      <c r="S26" s="33">
        <f>SUMIFS(INDEX(Load,,MATCH('Summarized Source Data'!$C26,Hour,0)),Month,'Summarized Source Data'!$A26,Sector,'Summarized Source Data'!S$2,TimeOfWeek,$E26)*INDEX(About!O$79:O$82,MATCH($B26,About!$A$79:$A$82,0),1)</f>
        <v>11100000</v>
      </c>
      <c r="T26" s="33">
        <f>SUMIFS(INDEX(Load,,MATCH('Summarized Source Data'!$C26,Hour,0)),Month,'Summarized Source Data'!$A26,Sector,'Summarized Source Data'!T$2,TimeOfWeek,$E26)*INDEX(About!P$79:P$82,MATCH($B26,About!$A$79:$A$82,0),1)</f>
        <v>11100000</v>
      </c>
      <c r="U26" s="33">
        <f>SUMIFS(INDEX(Load,,MATCH('Summarized Source Data'!$C26,Hour,0)),Month,'Summarized Source Data'!$A26,Sector,'Summarized Source Data'!U$2,TimeOfWeek,$E26)*INDEX(About!Q$79:Q$82,MATCH($B26,About!$A$79:$A$82,0),1)</f>
        <v>11100000</v>
      </c>
      <c r="V26" s="33">
        <f>SUMIFS(INDEX(Load,,MATCH('Summarized Source Data'!$C26,Hour,0)),Month,'Summarized Source Data'!$A26,Sector,'Summarized Source Data'!V$2,TimeOfWeek,$E26)*INDEX(About!R$79:R$82,MATCH($B26,About!$A$79:$A$82,0),1)</f>
        <v>11100000</v>
      </c>
      <c r="W26" s="33">
        <f>SUMIFS(INDEX(Load,,MATCH('Summarized Source Data'!$C26,Hour,0)),Month,'Summarized Source Data'!$A26,Sector,'Summarized Source Data'!W$2,TimeOfWeek,$E26)*INDEX(About!S$79:S$82,MATCH($B26,About!$A$79:$A$82,0),1)</f>
        <v>11100000</v>
      </c>
      <c r="X26" s="27">
        <f>SUMIFS(INDEX(Load,,MATCH('Summarized Source Data'!$C26,Hour,0)),Month,'Summarized Source Data'!$A26,Sector,'Summarized Source Data'!X$2,Subsector,'Summarized Source Data'!X$3,TimeOfWeek,$E26)*INDEX(About!T$79:T$82,MATCH($B26,About!$A$79:$A$82,0),1)</f>
        <v>665000000</v>
      </c>
      <c r="Y26" s="29">
        <f t="shared" si="4"/>
        <v>665000000</v>
      </c>
      <c r="Z26" s="29">
        <f t="shared" si="4"/>
        <v>665000000</v>
      </c>
    </row>
    <row r="27" spans="1:26" outlineLevel="1" x14ac:dyDescent="0.3">
      <c r="A27">
        <f t="shared" si="0"/>
        <v>1</v>
      </c>
      <c r="B27" t="str">
        <f>INDEX('Category Mapping'!$G$28:$G$39,MATCH(A27,'Category Mapping'!$A$28:$A$39,0),1)</f>
        <v>Winter</v>
      </c>
      <c r="C27" t="s">
        <v>86</v>
      </c>
      <c r="D27" s="6" t="s">
        <v>161</v>
      </c>
      <c r="E27" t="s">
        <v>49</v>
      </c>
      <c r="F27" s="27">
        <f>SUMIFS(INDEX(Load,,MATCH('Summarized Source Data'!$C27,Hour,0)),Month,'Summarized Source Data'!$A27,Sector,'Summarized Source Data'!F$2,Subsector,'Summarized Source Data'!F$3,TimeOfWeek,$E27)*INDEX(About!B$79:B$82,MATCH($B27,About!$A$79:$A$82,0),1)</f>
        <v>20200000</v>
      </c>
      <c r="G27" s="27">
        <f>SUMIFS(INDEX(Load,,MATCH('Summarized Source Data'!$C27,Hour,0)),Month,'Summarized Source Data'!$A27,Sector,'Summarized Source Data'!G$2,Subsector,'Summarized Source Data'!G$3,TimeOfWeek,$E27)*INDEX(About!C$79:C$82,MATCH($B27,About!$A$79:$A$82,0),1)</f>
        <v>13209</v>
      </c>
      <c r="H27" s="27">
        <f>SUMIFS(INDEX(Load,,MATCH('Summarized Source Data'!$C27,Hour,0)),Month,'Summarized Source Data'!$A27,Sector,'Summarized Source Data'!H$2,Subsector,'Summarized Source Data'!H$3,TimeOfWeek,$E27)*INDEX(About!D$79:D$82,MATCH($B27,About!$A$79:$A$82,0),1)</f>
        <v>0</v>
      </c>
      <c r="I27" s="27">
        <f>SUMIFS(INDEX(Load,,MATCH('Summarized Source Data'!$C27,Hour,0)),Month,'Summarized Source Data'!$A27,Sector,'Summarized Source Data'!I$2,Subsector,'Summarized Source Data'!I$3,TimeOfWeek,$E27)*INDEX(About!E$79:E$82,MATCH($B27,About!$A$79:$A$82,0),1)</f>
        <v>16600000</v>
      </c>
      <c r="J27" s="54">
        <f t="shared" si="1"/>
        <v>93186791</v>
      </c>
      <c r="K27" s="27">
        <f>(SUMIFS(INDEX(Load,,MATCH('Summarized Source Data'!$C27,Hour,0)),Month,'Summarized Source Data'!$A27,Sector,'Summarized Source Data'!K$2,Subsector,"Total",TimeOfWeek,$E27)-SUM(F27:I27))*INDEX(About!G$79:G$82,MATCH($B27,About!$A$79:$A$82,0),1)</f>
        <v>93186791</v>
      </c>
      <c r="L27" s="27">
        <f>SUMIFS(INDEX(Load,,MATCH('Summarized Source Data'!$C27,Hour,0)),Month,'Summarized Source Data'!$A27,Sector,'Summarized Source Data'!L$2,Subsector,'Summarized Source Data'!L$3,TimeOfWeek,$E27)*INDEX(About!H$79:H$82,MATCH($B27,About!$A$79:$A$82,0),1)</f>
        <v>34600000</v>
      </c>
      <c r="M27" s="27">
        <f>SUMIFS(INDEX(Load,,MATCH('Summarized Source Data'!$C27,Hour,0)),Month,'Summarized Source Data'!$A27,Sector,'Summarized Source Data'!M$2,Subsector,'Summarized Source Data'!M$3,TimeOfWeek,$E27)*INDEX(About!I$79:I$82,MATCH($B27,About!$A$79:$A$82,0),1)</f>
        <v>39625</v>
      </c>
      <c r="N27" s="27">
        <f>SUMIFS(INDEX(Load,,MATCH('Summarized Source Data'!$C27,Hour,0)),Month,'Summarized Source Data'!$A27,Sector,'Summarized Source Data'!N$2,Subsector,'Summarized Source Data'!N$3,TimeOfWeek,$E27)*INDEX(About!J$79:J$82,MATCH($B27,About!$A$79:$A$82,0),1)</f>
        <v>0</v>
      </c>
      <c r="O27" s="29">
        <f t="shared" si="2"/>
        <v>184360375</v>
      </c>
      <c r="P27" s="27">
        <f>(SUMIFS(INDEX(Load,,MATCH('Summarized Source Data'!$C27,Hour,0)),Month,'Summarized Source Data'!$A27,Sector,'Summarized Source Data'!P$2,Subsector,"Total",TimeOfWeek,$E27)-SUM(L27:N27)*INDEX(About!L$79:L$82,MATCH($B27,About!$A$79:$A$82,0),1))</f>
        <v>184360375</v>
      </c>
      <c r="Q27" s="29">
        <f t="shared" si="3"/>
        <v>184360375</v>
      </c>
      <c r="R27" s="33">
        <f>SUMIFS(INDEX(Load,,MATCH('Summarized Source Data'!$C27,Hour,0)),Month,'Summarized Source Data'!$A27,Sector,'Summarized Source Data'!R$2,TimeOfWeek,$E27)*INDEX(About!N$79:N$82,MATCH($B27,About!$A$79:$A$82,0),1)</f>
        <v>7452133</v>
      </c>
      <c r="S27" s="33">
        <f>SUMIFS(INDEX(Load,,MATCH('Summarized Source Data'!$C27,Hour,0)),Month,'Summarized Source Data'!$A27,Sector,'Summarized Source Data'!S$2,TimeOfWeek,$E27)*INDEX(About!O$79:O$82,MATCH($B27,About!$A$79:$A$82,0),1)</f>
        <v>7452133</v>
      </c>
      <c r="T27" s="33">
        <f>SUMIFS(INDEX(Load,,MATCH('Summarized Source Data'!$C27,Hour,0)),Month,'Summarized Source Data'!$A27,Sector,'Summarized Source Data'!T$2,TimeOfWeek,$E27)*INDEX(About!P$79:P$82,MATCH($B27,About!$A$79:$A$82,0),1)</f>
        <v>7452133</v>
      </c>
      <c r="U27" s="33">
        <f>SUMIFS(INDEX(Load,,MATCH('Summarized Source Data'!$C27,Hour,0)),Month,'Summarized Source Data'!$A27,Sector,'Summarized Source Data'!U$2,TimeOfWeek,$E27)*INDEX(About!Q$79:Q$82,MATCH($B27,About!$A$79:$A$82,0),1)</f>
        <v>7452133</v>
      </c>
      <c r="V27" s="33">
        <f>SUMIFS(INDEX(Load,,MATCH('Summarized Source Data'!$C27,Hour,0)),Month,'Summarized Source Data'!$A27,Sector,'Summarized Source Data'!V$2,TimeOfWeek,$E27)*INDEX(About!R$79:R$82,MATCH($B27,About!$A$79:$A$82,0),1)</f>
        <v>7452133</v>
      </c>
      <c r="W27" s="33">
        <f>SUMIFS(INDEX(Load,,MATCH('Summarized Source Data'!$C27,Hour,0)),Month,'Summarized Source Data'!$A27,Sector,'Summarized Source Data'!W$2,TimeOfWeek,$E27)*INDEX(About!S$79:S$82,MATCH($B27,About!$A$79:$A$82,0),1)</f>
        <v>7452133</v>
      </c>
      <c r="X27" s="27">
        <f>SUMIFS(INDEX(Load,,MATCH('Summarized Source Data'!$C27,Hour,0)),Month,'Summarized Source Data'!$A27,Sector,'Summarized Source Data'!X$2,Subsector,'Summarized Source Data'!X$3,TimeOfWeek,$E27)*INDEX(About!T$79:T$82,MATCH($B27,About!$A$79:$A$82,0),1)</f>
        <v>662000000</v>
      </c>
      <c r="Y27" s="29">
        <f t="shared" si="4"/>
        <v>662000000</v>
      </c>
      <c r="Z27" s="29">
        <f t="shared" si="4"/>
        <v>662000000</v>
      </c>
    </row>
    <row r="28" spans="1:26" outlineLevel="1" x14ac:dyDescent="0.3">
      <c r="A28">
        <f t="shared" si="0"/>
        <v>2</v>
      </c>
      <c r="B28" t="str">
        <f>INDEX('Category Mapping'!$G$28:$G$39,MATCH(A28,'Category Mapping'!$A$28:$A$39,0),1)</f>
        <v>Winter</v>
      </c>
      <c r="C28" t="s">
        <v>63</v>
      </c>
      <c r="D28" s="6" t="s">
        <v>138</v>
      </c>
      <c r="E28" t="s">
        <v>49</v>
      </c>
      <c r="F28" s="27">
        <f>SUMIFS(INDEX(Load,,MATCH('Summarized Source Data'!$C28,Hour,0)),Month,'Summarized Source Data'!$A28,Sector,'Summarized Source Data'!F$2,Subsector,'Summarized Source Data'!F$3,TimeOfWeek,$E28)*INDEX(About!B$79:B$82,MATCH($B28,About!$A$79:$A$82,0),1)</f>
        <v>16700000</v>
      </c>
      <c r="G28" s="27">
        <f>SUMIFS(INDEX(Load,,MATCH('Summarized Source Data'!$C28,Hour,0)),Month,'Summarized Source Data'!$A28,Sector,'Summarized Source Data'!G$2,Subsector,'Summarized Source Data'!G$3,TimeOfWeek,$E28)*INDEX(About!C$79:C$82,MATCH($B28,About!$A$79:$A$82,0),1)</f>
        <v>15093</v>
      </c>
      <c r="H28" s="27">
        <f>SUMIFS(INDEX(Load,,MATCH('Summarized Source Data'!$C28,Hour,0)),Month,'Summarized Source Data'!$A28,Sector,'Summarized Source Data'!H$2,Subsector,'Summarized Source Data'!H$3,TimeOfWeek,$E28)*INDEX(About!D$79:D$82,MATCH($B28,About!$A$79:$A$82,0),1)</f>
        <v>0</v>
      </c>
      <c r="I28" s="27">
        <f>SUMIFS(INDEX(Load,,MATCH('Summarized Source Data'!$C28,Hour,0)),Month,'Summarized Source Data'!$A28,Sector,'Summarized Source Data'!I$2,Subsector,'Summarized Source Data'!I$3,TimeOfWeek,$E28)*INDEX(About!E$79:E$82,MATCH($B28,About!$A$79:$A$82,0),1)</f>
        <v>11400000</v>
      </c>
      <c r="J28" s="54">
        <f t="shared" si="1"/>
        <v>73884907</v>
      </c>
      <c r="K28" s="27">
        <f>(SUMIFS(INDEX(Load,,MATCH('Summarized Source Data'!$C28,Hour,0)),Month,'Summarized Source Data'!$A28,Sector,'Summarized Source Data'!K$2,Subsector,"Total",TimeOfWeek,$E28)-SUM(F28:I28))*INDEX(About!G$79:G$82,MATCH($B28,About!$A$79:$A$82,0),1)</f>
        <v>73884907</v>
      </c>
      <c r="L28" s="27">
        <f>SUMIFS(INDEX(Load,,MATCH('Summarized Source Data'!$C28,Hour,0)),Month,'Summarized Source Data'!$A28,Sector,'Summarized Source Data'!L$2,Subsector,'Summarized Source Data'!L$3,TimeOfWeek,$E28)*INDEX(About!H$79:H$82,MATCH($B28,About!$A$79:$A$82,0),1)</f>
        <v>34600000</v>
      </c>
      <c r="M28" s="27">
        <f>SUMIFS(INDEX(Load,,MATCH('Summarized Source Data'!$C28,Hour,0)),Month,'Summarized Source Data'!$A28,Sector,'Summarized Source Data'!M$2,Subsector,'Summarized Source Data'!M$3,TimeOfWeek,$E28)*INDEX(About!I$79:I$82,MATCH($B28,About!$A$79:$A$82,0),1)</f>
        <v>39970</v>
      </c>
      <c r="N28" s="27">
        <f>SUMIFS(INDEX(Load,,MATCH('Summarized Source Data'!$C28,Hour,0)),Month,'Summarized Source Data'!$A28,Sector,'Summarized Source Data'!N$2,Subsector,'Summarized Source Data'!N$3,TimeOfWeek,$E28)*INDEX(About!J$79:J$82,MATCH($B28,About!$A$79:$A$82,0),1)</f>
        <v>0</v>
      </c>
      <c r="O28" s="29">
        <f t="shared" si="2"/>
        <v>153360030</v>
      </c>
      <c r="P28" s="27">
        <f>(SUMIFS(INDEX(Load,,MATCH('Summarized Source Data'!$C28,Hour,0)),Month,'Summarized Source Data'!$A28,Sector,'Summarized Source Data'!P$2,Subsector,"Total",TimeOfWeek,$E28)-SUM(L28:N28)*INDEX(About!L$79:L$82,MATCH($B28,About!$A$79:$A$82,0),1))</f>
        <v>153360030</v>
      </c>
      <c r="Q28" s="29">
        <f t="shared" si="3"/>
        <v>153360030</v>
      </c>
      <c r="R28" s="33">
        <f>SUMIFS(INDEX(Load,,MATCH('Summarized Source Data'!$C28,Hour,0)),Month,'Summarized Source Data'!$A28,Sector,'Summarized Source Data'!R$2,TimeOfWeek,$E28)*INDEX(About!N$79:N$82,MATCH($B28,About!$A$79:$A$82,0),1)</f>
        <v>4913547</v>
      </c>
      <c r="S28" s="33">
        <f>SUMIFS(INDEX(Load,,MATCH('Summarized Source Data'!$C28,Hour,0)),Month,'Summarized Source Data'!$A28,Sector,'Summarized Source Data'!S$2,TimeOfWeek,$E28)*INDEX(About!O$79:O$82,MATCH($B28,About!$A$79:$A$82,0),1)</f>
        <v>4913547</v>
      </c>
      <c r="T28" s="33">
        <f>SUMIFS(INDEX(Load,,MATCH('Summarized Source Data'!$C28,Hour,0)),Month,'Summarized Source Data'!$A28,Sector,'Summarized Source Data'!T$2,TimeOfWeek,$E28)*INDEX(About!P$79:P$82,MATCH($B28,About!$A$79:$A$82,0),1)</f>
        <v>4913547</v>
      </c>
      <c r="U28" s="33">
        <f>SUMIFS(INDEX(Load,,MATCH('Summarized Source Data'!$C28,Hour,0)),Month,'Summarized Source Data'!$A28,Sector,'Summarized Source Data'!U$2,TimeOfWeek,$E28)*INDEX(About!Q$79:Q$82,MATCH($B28,About!$A$79:$A$82,0),1)</f>
        <v>4913547</v>
      </c>
      <c r="V28" s="33">
        <f>SUMIFS(INDEX(Load,,MATCH('Summarized Source Data'!$C28,Hour,0)),Month,'Summarized Source Data'!$A28,Sector,'Summarized Source Data'!V$2,TimeOfWeek,$E28)*INDEX(About!R$79:R$82,MATCH($B28,About!$A$79:$A$82,0),1)</f>
        <v>4913547</v>
      </c>
      <c r="W28" s="33">
        <f>SUMIFS(INDEX(Load,,MATCH('Summarized Source Data'!$C28,Hour,0)),Month,'Summarized Source Data'!$A28,Sector,'Summarized Source Data'!W$2,TimeOfWeek,$E28)*INDEX(About!S$79:S$82,MATCH($B28,About!$A$79:$A$82,0),1)</f>
        <v>4913547</v>
      </c>
      <c r="X28" s="27">
        <f>SUMIFS(INDEX(Load,,MATCH('Summarized Source Data'!$C28,Hour,0)),Month,'Summarized Source Data'!$A28,Sector,'Summarized Source Data'!X$2,Subsector,'Summarized Source Data'!X$3,TimeOfWeek,$E28)*INDEX(About!T$79:T$82,MATCH($B28,About!$A$79:$A$82,0),1)</f>
        <v>663000000</v>
      </c>
      <c r="Y28" s="29">
        <f t="shared" si="4"/>
        <v>663000000</v>
      </c>
      <c r="Z28" s="29">
        <f t="shared" si="4"/>
        <v>663000000</v>
      </c>
    </row>
    <row r="29" spans="1:26" outlineLevel="1" x14ac:dyDescent="0.3">
      <c r="A29">
        <f t="shared" si="0"/>
        <v>2</v>
      </c>
      <c r="B29" t="str">
        <f>INDEX('Category Mapping'!$G$28:$G$39,MATCH(A29,'Category Mapping'!$A$28:$A$39,0),1)</f>
        <v>Winter</v>
      </c>
      <c r="C29" t="s">
        <v>64</v>
      </c>
      <c r="D29" s="6" t="s">
        <v>139</v>
      </c>
      <c r="E29" t="s">
        <v>49</v>
      </c>
      <c r="F29" s="27">
        <f>SUMIFS(INDEX(Load,,MATCH('Summarized Source Data'!$C29,Hour,0)),Month,'Summarized Source Data'!$A29,Sector,'Summarized Source Data'!F$2,Subsector,'Summarized Source Data'!F$3,TimeOfWeek,$E29)*INDEX(About!B$79:B$82,MATCH($B29,About!$A$79:$A$82,0),1)</f>
        <v>17100000</v>
      </c>
      <c r="G29" s="27">
        <f>SUMIFS(INDEX(Load,,MATCH('Summarized Source Data'!$C29,Hour,0)),Month,'Summarized Source Data'!$A29,Sector,'Summarized Source Data'!G$2,Subsector,'Summarized Source Data'!G$3,TimeOfWeek,$E29)*INDEX(About!C$79:C$82,MATCH($B29,About!$A$79:$A$82,0),1)</f>
        <v>15177</v>
      </c>
      <c r="H29" s="27">
        <f>SUMIFS(INDEX(Load,,MATCH('Summarized Source Data'!$C29,Hour,0)),Month,'Summarized Source Data'!$A29,Sector,'Summarized Source Data'!H$2,Subsector,'Summarized Source Data'!H$3,TimeOfWeek,$E29)*INDEX(About!D$79:D$82,MATCH($B29,About!$A$79:$A$82,0),1)</f>
        <v>0</v>
      </c>
      <c r="I29" s="27">
        <f>SUMIFS(INDEX(Load,,MATCH('Summarized Source Data'!$C29,Hour,0)),Month,'Summarized Source Data'!$A29,Sector,'Summarized Source Data'!I$2,Subsector,'Summarized Source Data'!I$3,TimeOfWeek,$E29)*INDEX(About!E$79:E$82,MATCH($B29,About!$A$79:$A$82,0),1)</f>
        <v>10500000</v>
      </c>
      <c r="J29" s="54">
        <f t="shared" si="1"/>
        <v>53884823</v>
      </c>
      <c r="K29" s="27">
        <f>(SUMIFS(INDEX(Load,,MATCH('Summarized Source Data'!$C29,Hour,0)),Month,'Summarized Source Data'!$A29,Sector,'Summarized Source Data'!K$2,Subsector,"Total",TimeOfWeek,$E29)-SUM(F29:I29))*INDEX(About!G$79:G$82,MATCH($B29,About!$A$79:$A$82,0),1)</f>
        <v>53884823</v>
      </c>
      <c r="L29" s="27">
        <f>SUMIFS(INDEX(Load,,MATCH('Summarized Source Data'!$C29,Hour,0)),Month,'Summarized Source Data'!$A29,Sector,'Summarized Source Data'!L$2,Subsector,'Summarized Source Data'!L$3,TimeOfWeek,$E29)*INDEX(About!H$79:H$82,MATCH($B29,About!$A$79:$A$82,0),1)</f>
        <v>31600000</v>
      </c>
      <c r="M29" s="27">
        <f>SUMIFS(INDEX(Load,,MATCH('Summarized Source Data'!$C29,Hour,0)),Month,'Summarized Source Data'!$A29,Sector,'Summarized Source Data'!M$2,Subsector,'Summarized Source Data'!M$3,TimeOfWeek,$E29)*INDEX(About!I$79:I$82,MATCH($B29,About!$A$79:$A$82,0),1)</f>
        <v>37690</v>
      </c>
      <c r="N29" s="27">
        <f>SUMIFS(INDEX(Load,,MATCH('Summarized Source Data'!$C29,Hour,0)),Month,'Summarized Source Data'!$A29,Sector,'Summarized Source Data'!N$2,Subsector,'Summarized Source Data'!N$3,TimeOfWeek,$E29)*INDEX(About!J$79:J$82,MATCH($B29,About!$A$79:$A$82,0),1)</f>
        <v>0</v>
      </c>
      <c r="O29" s="29">
        <f t="shared" si="2"/>
        <v>151362310</v>
      </c>
      <c r="P29" s="27">
        <f>(SUMIFS(INDEX(Load,,MATCH('Summarized Source Data'!$C29,Hour,0)),Month,'Summarized Source Data'!$A29,Sector,'Summarized Source Data'!P$2,Subsector,"Total",TimeOfWeek,$E29)-SUM(L29:N29)*INDEX(About!L$79:L$82,MATCH($B29,About!$A$79:$A$82,0),1))</f>
        <v>151362310</v>
      </c>
      <c r="Q29" s="29">
        <f t="shared" si="3"/>
        <v>151362310</v>
      </c>
      <c r="R29" s="33">
        <f>SUMIFS(INDEX(Load,,MATCH('Summarized Source Data'!$C29,Hour,0)),Month,'Summarized Source Data'!$A29,Sector,'Summarized Source Data'!R$2,TimeOfWeek,$E29)*INDEX(About!N$79:N$82,MATCH($B29,About!$A$79:$A$82,0),1)</f>
        <v>4845727</v>
      </c>
      <c r="S29" s="33">
        <f>SUMIFS(INDEX(Load,,MATCH('Summarized Source Data'!$C29,Hour,0)),Month,'Summarized Source Data'!$A29,Sector,'Summarized Source Data'!S$2,TimeOfWeek,$E29)*INDEX(About!O$79:O$82,MATCH($B29,About!$A$79:$A$82,0),1)</f>
        <v>4845727</v>
      </c>
      <c r="T29" s="33">
        <f>SUMIFS(INDEX(Load,,MATCH('Summarized Source Data'!$C29,Hour,0)),Month,'Summarized Source Data'!$A29,Sector,'Summarized Source Data'!T$2,TimeOfWeek,$E29)*INDEX(About!P$79:P$82,MATCH($B29,About!$A$79:$A$82,0),1)</f>
        <v>4845727</v>
      </c>
      <c r="U29" s="33">
        <f>SUMIFS(INDEX(Load,,MATCH('Summarized Source Data'!$C29,Hour,0)),Month,'Summarized Source Data'!$A29,Sector,'Summarized Source Data'!U$2,TimeOfWeek,$E29)*INDEX(About!Q$79:Q$82,MATCH($B29,About!$A$79:$A$82,0),1)</f>
        <v>4845727</v>
      </c>
      <c r="V29" s="33">
        <f>SUMIFS(INDEX(Load,,MATCH('Summarized Source Data'!$C29,Hour,0)),Month,'Summarized Source Data'!$A29,Sector,'Summarized Source Data'!V$2,TimeOfWeek,$E29)*INDEX(About!R$79:R$82,MATCH($B29,About!$A$79:$A$82,0),1)</f>
        <v>4845727</v>
      </c>
      <c r="W29" s="33">
        <f>SUMIFS(INDEX(Load,,MATCH('Summarized Source Data'!$C29,Hour,0)),Month,'Summarized Source Data'!$A29,Sector,'Summarized Source Data'!W$2,TimeOfWeek,$E29)*INDEX(About!S$79:S$82,MATCH($B29,About!$A$79:$A$82,0),1)</f>
        <v>4845727</v>
      </c>
      <c r="X29" s="27">
        <f>SUMIFS(INDEX(Load,,MATCH('Summarized Source Data'!$C29,Hour,0)),Month,'Summarized Source Data'!$A29,Sector,'Summarized Source Data'!X$2,Subsector,'Summarized Source Data'!X$3,TimeOfWeek,$E29)*INDEX(About!T$79:T$82,MATCH($B29,About!$A$79:$A$82,0),1)</f>
        <v>662000000</v>
      </c>
      <c r="Y29" s="29">
        <f t="shared" si="4"/>
        <v>662000000</v>
      </c>
      <c r="Z29" s="29">
        <f t="shared" si="4"/>
        <v>662000000</v>
      </c>
    </row>
    <row r="30" spans="1:26" outlineLevel="1" x14ac:dyDescent="0.3">
      <c r="A30">
        <f t="shared" si="0"/>
        <v>2</v>
      </c>
      <c r="B30" t="str">
        <f>INDEX('Category Mapping'!$G$28:$G$39,MATCH(A30,'Category Mapping'!$A$28:$A$39,0),1)</f>
        <v>Winter</v>
      </c>
      <c r="C30" t="s">
        <v>65</v>
      </c>
      <c r="D30" s="6" t="s">
        <v>140</v>
      </c>
      <c r="E30" t="s">
        <v>49</v>
      </c>
      <c r="F30" s="27">
        <f>SUMIFS(INDEX(Load,,MATCH('Summarized Source Data'!$C30,Hour,0)),Month,'Summarized Source Data'!$A30,Sector,'Summarized Source Data'!F$2,Subsector,'Summarized Source Data'!F$3,TimeOfWeek,$E30)*INDEX(About!B$79:B$82,MATCH($B30,About!$A$79:$A$82,0),1)</f>
        <v>17200000</v>
      </c>
      <c r="G30" s="27">
        <f>SUMIFS(INDEX(Load,,MATCH('Summarized Source Data'!$C30,Hour,0)),Month,'Summarized Source Data'!$A30,Sector,'Summarized Source Data'!G$2,Subsector,'Summarized Source Data'!G$3,TimeOfWeek,$E30)*INDEX(About!C$79:C$82,MATCH($B30,About!$A$79:$A$82,0),1)</f>
        <v>15235</v>
      </c>
      <c r="H30" s="27">
        <f>SUMIFS(INDEX(Load,,MATCH('Summarized Source Data'!$C30,Hour,0)),Month,'Summarized Source Data'!$A30,Sector,'Summarized Source Data'!H$2,Subsector,'Summarized Source Data'!H$3,TimeOfWeek,$E30)*INDEX(About!D$79:D$82,MATCH($B30,About!$A$79:$A$82,0),1)</f>
        <v>0</v>
      </c>
      <c r="I30" s="27">
        <f>SUMIFS(INDEX(Load,,MATCH('Summarized Source Data'!$C30,Hour,0)),Month,'Summarized Source Data'!$A30,Sector,'Summarized Source Data'!I$2,Subsector,'Summarized Source Data'!I$3,TimeOfWeek,$E30)*INDEX(About!E$79:E$82,MATCH($B30,About!$A$79:$A$82,0),1)</f>
        <v>10400000</v>
      </c>
      <c r="J30" s="54">
        <f t="shared" si="1"/>
        <v>43284765</v>
      </c>
      <c r="K30" s="27">
        <f>(SUMIFS(INDEX(Load,,MATCH('Summarized Source Data'!$C30,Hour,0)),Month,'Summarized Source Data'!$A30,Sector,'Summarized Source Data'!K$2,Subsector,"Total",TimeOfWeek,$E30)-SUM(F30:I30))*INDEX(About!G$79:G$82,MATCH($B30,About!$A$79:$A$82,0),1)</f>
        <v>43284765</v>
      </c>
      <c r="L30" s="27">
        <f>SUMIFS(INDEX(Load,,MATCH('Summarized Source Data'!$C30,Hour,0)),Month,'Summarized Source Data'!$A30,Sector,'Summarized Source Data'!L$2,Subsector,'Summarized Source Data'!L$3,TimeOfWeek,$E30)*INDEX(About!H$79:H$82,MATCH($B30,About!$A$79:$A$82,0),1)</f>
        <v>28400000</v>
      </c>
      <c r="M30" s="27">
        <f>SUMIFS(INDEX(Load,,MATCH('Summarized Source Data'!$C30,Hour,0)),Month,'Summarized Source Data'!$A30,Sector,'Summarized Source Data'!M$2,Subsector,'Summarized Source Data'!M$3,TimeOfWeek,$E30)*INDEX(About!I$79:I$82,MATCH($B30,About!$A$79:$A$82,0),1)</f>
        <v>36738</v>
      </c>
      <c r="N30" s="27">
        <f>SUMIFS(INDEX(Load,,MATCH('Summarized Source Data'!$C30,Hour,0)),Month,'Summarized Source Data'!$A30,Sector,'Summarized Source Data'!N$2,Subsector,'Summarized Source Data'!N$3,TimeOfWeek,$E30)*INDEX(About!J$79:J$82,MATCH($B30,About!$A$79:$A$82,0),1)</f>
        <v>0</v>
      </c>
      <c r="O30" s="29">
        <f t="shared" si="2"/>
        <v>150563262</v>
      </c>
      <c r="P30" s="27">
        <f>(SUMIFS(INDEX(Load,,MATCH('Summarized Source Data'!$C30,Hour,0)),Month,'Summarized Source Data'!$A30,Sector,'Summarized Source Data'!P$2,Subsector,"Total",TimeOfWeek,$E30)-SUM(L30:N30)*INDEX(About!L$79:L$82,MATCH($B30,About!$A$79:$A$82,0),1))</f>
        <v>150563262</v>
      </c>
      <c r="Q30" s="29">
        <f t="shared" si="3"/>
        <v>150563262</v>
      </c>
      <c r="R30" s="33">
        <f>SUMIFS(INDEX(Load,,MATCH('Summarized Source Data'!$C30,Hour,0)),Month,'Summarized Source Data'!$A30,Sector,'Summarized Source Data'!R$2,TimeOfWeek,$E30)*INDEX(About!N$79:N$82,MATCH($B30,About!$A$79:$A$82,0),1)</f>
        <v>4828309</v>
      </c>
      <c r="S30" s="33">
        <f>SUMIFS(INDEX(Load,,MATCH('Summarized Source Data'!$C30,Hour,0)),Month,'Summarized Source Data'!$A30,Sector,'Summarized Source Data'!S$2,TimeOfWeek,$E30)*INDEX(About!O$79:O$82,MATCH($B30,About!$A$79:$A$82,0),1)</f>
        <v>4828309</v>
      </c>
      <c r="T30" s="33">
        <f>SUMIFS(INDEX(Load,,MATCH('Summarized Source Data'!$C30,Hour,0)),Month,'Summarized Source Data'!$A30,Sector,'Summarized Source Data'!T$2,TimeOfWeek,$E30)*INDEX(About!P$79:P$82,MATCH($B30,About!$A$79:$A$82,0),1)</f>
        <v>4828309</v>
      </c>
      <c r="U30" s="33">
        <f>SUMIFS(INDEX(Load,,MATCH('Summarized Source Data'!$C30,Hour,0)),Month,'Summarized Source Data'!$A30,Sector,'Summarized Source Data'!U$2,TimeOfWeek,$E30)*INDEX(About!Q$79:Q$82,MATCH($B30,About!$A$79:$A$82,0),1)</f>
        <v>4828309</v>
      </c>
      <c r="V30" s="33">
        <f>SUMIFS(INDEX(Load,,MATCH('Summarized Source Data'!$C30,Hour,0)),Month,'Summarized Source Data'!$A30,Sector,'Summarized Source Data'!V$2,TimeOfWeek,$E30)*INDEX(About!R$79:R$82,MATCH($B30,About!$A$79:$A$82,0),1)</f>
        <v>4828309</v>
      </c>
      <c r="W30" s="33">
        <f>SUMIFS(INDEX(Load,,MATCH('Summarized Source Data'!$C30,Hour,0)),Month,'Summarized Source Data'!$A30,Sector,'Summarized Source Data'!W$2,TimeOfWeek,$E30)*INDEX(About!S$79:S$82,MATCH($B30,About!$A$79:$A$82,0),1)</f>
        <v>4828309</v>
      </c>
      <c r="X30" s="27">
        <f>SUMIFS(INDEX(Load,,MATCH('Summarized Source Data'!$C30,Hour,0)),Month,'Summarized Source Data'!$A30,Sector,'Summarized Source Data'!X$2,Subsector,'Summarized Source Data'!X$3,TimeOfWeek,$E30)*INDEX(About!T$79:T$82,MATCH($B30,About!$A$79:$A$82,0),1)</f>
        <v>662000000</v>
      </c>
      <c r="Y30" s="29">
        <f t="shared" si="4"/>
        <v>662000000</v>
      </c>
      <c r="Z30" s="29">
        <f t="shared" si="4"/>
        <v>662000000</v>
      </c>
    </row>
    <row r="31" spans="1:26" outlineLevel="1" x14ac:dyDescent="0.3">
      <c r="A31">
        <f t="shared" si="0"/>
        <v>2</v>
      </c>
      <c r="B31" t="str">
        <f>INDEX('Category Mapping'!$G$28:$G$39,MATCH(A31,'Category Mapping'!$A$28:$A$39,0),1)</f>
        <v>Winter</v>
      </c>
      <c r="C31" t="s">
        <v>66</v>
      </c>
      <c r="D31" s="6" t="s">
        <v>141</v>
      </c>
      <c r="E31" t="s">
        <v>49</v>
      </c>
      <c r="F31" s="27">
        <f>SUMIFS(INDEX(Load,,MATCH('Summarized Source Data'!$C31,Hour,0)),Month,'Summarized Source Data'!$A31,Sector,'Summarized Source Data'!F$2,Subsector,'Summarized Source Data'!F$3,TimeOfWeek,$E31)*INDEX(About!B$79:B$82,MATCH($B31,About!$A$79:$A$82,0),1)</f>
        <v>17100000</v>
      </c>
      <c r="G31" s="27">
        <f>SUMIFS(INDEX(Load,,MATCH('Summarized Source Data'!$C31,Hour,0)),Month,'Summarized Source Data'!$A31,Sector,'Summarized Source Data'!G$2,Subsector,'Summarized Source Data'!G$3,TimeOfWeek,$E31)*INDEX(About!C$79:C$82,MATCH($B31,About!$A$79:$A$82,0),1)</f>
        <v>15244</v>
      </c>
      <c r="H31" s="27">
        <f>SUMIFS(INDEX(Load,,MATCH('Summarized Source Data'!$C31,Hour,0)),Month,'Summarized Source Data'!$A31,Sector,'Summarized Source Data'!H$2,Subsector,'Summarized Source Data'!H$3,TimeOfWeek,$E31)*INDEX(About!D$79:D$82,MATCH($B31,About!$A$79:$A$82,0),1)</f>
        <v>0</v>
      </c>
      <c r="I31" s="27">
        <f>SUMIFS(INDEX(Load,,MATCH('Summarized Source Data'!$C31,Hour,0)),Month,'Summarized Source Data'!$A31,Sector,'Summarized Source Data'!I$2,Subsector,'Summarized Source Data'!I$3,TimeOfWeek,$E31)*INDEX(About!E$79:E$82,MATCH($B31,About!$A$79:$A$82,0),1)</f>
        <v>10600000</v>
      </c>
      <c r="J31" s="54">
        <f t="shared" si="1"/>
        <v>37584756</v>
      </c>
      <c r="K31" s="27">
        <f>(SUMIFS(INDEX(Load,,MATCH('Summarized Source Data'!$C31,Hour,0)),Month,'Summarized Source Data'!$A31,Sector,'Summarized Source Data'!K$2,Subsector,"Total",TimeOfWeek,$E31)-SUM(F31:I31))*INDEX(About!G$79:G$82,MATCH($B31,About!$A$79:$A$82,0),1)</f>
        <v>37584756</v>
      </c>
      <c r="L31" s="27">
        <f>SUMIFS(INDEX(Load,,MATCH('Summarized Source Data'!$C31,Hour,0)),Month,'Summarized Source Data'!$A31,Sector,'Summarized Source Data'!L$2,Subsector,'Summarized Source Data'!L$3,TimeOfWeek,$E31)*INDEX(About!H$79:H$82,MATCH($B31,About!$A$79:$A$82,0),1)</f>
        <v>29400000</v>
      </c>
      <c r="M31" s="27">
        <f>SUMIFS(INDEX(Load,,MATCH('Summarized Source Data'!$C31,Hour,0)),Month,'Summarized Source Data'!$A31,Sector,'Summarized Source Data'!M$2,Subsector,'Summarized Source Data'!M$3,TimeOfWeek,$E31)*INDEX(About!I$79:I$82,MATCH($B31,About!$A$79:$A$82,0),1)</f>
        <v>36201</v>
      </c>
      <c r="N31" s="27">
        <f>SUMIFS(INDEX(Load,,MATCH('Summarized Source Data'!$C31,Hour,0)),Month,'Summarized Source Data'!$A31,Sector,'Summarized Source Data'!N$2,Subsector,'Summarized Source Data'!N$3,TimeOfWeek,$E31)*INDEX(About!J$79:J$82,MATCH($B31,About!$A$79:$A$82,0),1)</f>
        <v>0</v>
      </c>
      <c r="O31" s="29">
        <f t="shared" si="2"/>
        <v>156563799</v>
      </c>
      <c r="P31" s="27">
        <f>(SUMIFS(INDEX(Load,,MATCH('Summarized Source Data'!$C31,Hour,0)),Month,'Summarized Source Data'!$A31,Sector,'Summarized Source Data'!P$2,Subsector,"Total",TimeOfWeek,$E31)-SUM(L31:N31)*INDEX(About!L$79:L$82,MATCH($B31,About!$A$79:$A$82,0),1))</f>
        <v>156563799</v>
      </c>
      <c r="Q31" s="29">
        <f t="shared" si="3"/>
        <v>156563799</v>
      </c>
      <c r="R31" s="33">
        <f>SUMIFS(INDEX(Load,,MATCH('Summarized Source Data'!$C31,Hour,0)),Month,'Summarized Source Data'!$A31,Sector,'Summarized Source Data'!R$2,TimeOfWeek,$E31)*INDEX(About!N$79:N$82,MATCH($B31,About!$A$79:$A$82,0),1)</f>
        <v>4844345</v>
      </c>
      <c r="S31" s="33">
        <f>SUMIFS(INDEX(Load,,MATCH('Summarized Source Data'!$C31,Hour,0)),Month,'Summarized Source Data'!$A31,Sector,'Summarized Source Data'!S$2,TimeOfWeek,$E31)*INDEX(About!O$79:O$82,MATCH($B31,About!$A$79:$A$82,0),1)</f>
        <v>4844345</v>
      </c>
      <c r="T31" s="33">
        <f>SUMIFS(INDEX(Load,,MATCH('Summarized Source Data'!$C31,Hour,0)),Month,'Summarized Source Data'!$A31,Sector,'Summarized Source Data'!T$2,TimeOfWeek,$E31)*INDEX(About!P$79:P$82,MATCH($B31,About!$A$79:$A$82,0),1)</f>
        <v>4844345</v>
      </c>
      <c r="U31" s="33">
        <f>SUMIFS(INDEX(Load,,MATCH('Summarized Source Data'!$C31,Hour,0)),Month,'Summarized Source Data'!$A31,Sector,'Summarized Source Data'!U$2,TimeOfWeek,$E31)*INDEX(About!Q$79:Q$82,MATCH($B31,About!$A$79:$A$82,0),1)</f>
        <v>4844345</v>
      </c>
      <c r="V31" s="33">
        <f>SUMIFS(INDEX(Load,,MATCH('Summarized Source Data'!$C31,Hour,0)),Month,'Summarized Source Data'!$A31,Sector,'Summarized Source Data'!V$2,TimeOfWeek,$E31)*INDEX(About!R$79:R$82,MATCH($B31,About!$A$79:$A$82,0),1)</f>
        <v>4844345</v>
      </c>
      <c r="W31" s="33">
        <f>SUMIFS(INDEX(Load,,MATCH('Summarized Source Data'!$C31,Hour,0)),Month,'Summarized Source Data'!$A31,Sector,'Summarized Source Data'!W$2,TimeOfWeek,$E31)*INDEX(About!S$79:S$82,MATCH($B31,About!$A$79:$A$82,0),1)</f>
        <v>4844345</v>
      </c>
      <c r="X31" s="27">
        <f>SUMIFS(INDEX(Load,,MATCH('Summarized Source Data'!$C31,Hour,0)),Month,'Summarized Source Data'!$A31,Sector,'Summarized Source Data'!X$2,Subsector,'Summarized Source Data'!X$3,TimeOfWeek,$E31)*INDEX(About!T$79:T$82,MATCH($B31,About!$A$79:$A$82,0),1)</f>
        <v>662000000</v>
      </c>
      <c r="Y31" s="29">
        <f t="shared" si="4"/>
        <v>662000000</v>
      </c>
      <c r="Z31" s="29">
        <f t="shared" si="4"/>
        <v>662000000</v>
      </c>
    </row>
    <row r="32" spans="1:26" outlineLevel="1" x14ac:dyDescent="0.3">
      <c r="A32">
        <f t="shared" si="0"/>
        <v>2</v>
      </c>
      <c r="B32" t="str">
        <f>INDEX('Category Mapping'!$G$28:$G$39,MATCH(A32,'Category Mapping'!$A$28:$A$39,0),1)</f>
        <v>Winter</v>
      </c>
      <c r="C32" t="s">
        <v>67</v>
      </c>
      <c r="D32" s="6" t="s">
        <v>142</v>
      </c>
      <c r="E32" t="s">
        <v>49</v>
      </c>
      <c r="F32" s="27">
        <f>SUMIFS(INDEX(Load,,MATCH('Summarized Source Data'!$C32,Hour,0)),Month,'Summarized Source Data'!$A32,Sector,'Summarized Source Data'!F$2,Subsector,'Summarized Source Data'!F$3,TimeOfWeek,$E32)*INDEX(About!B$79:B$82,MATCH($B32,About!$A$79:$A$82,0),1)</f>
        <v>16700000</v>
      </c>
      <c r="G32" s="27">
        <f>SUMIFS(INDEX(Load,,MATCH('Summarized Source Data'!$C32,Hour,0)),Month,'Summarized Source Data'!$A32,Sector,'Summarized Source Data'!G$2,Subsector,'Summarized Source Data'!G$3,TimeOfWeek,$E32)*INDEX(About!C$79:C$82,MATCH($B32,About!$A$79:$A$82,0),1)</f>
        <v>14858</v>
      </c>
      <c r="H32" s="27">
        <f>SUMIFS(INDEX(Load,,MATCH('Summarized Source Data'!$C32,Hour,0)),Month,'Summarized Source Data'!$A32,Sector,'Summarized Source Data'!H$2,Subsector,'Summarized Source Data'!H$3,TimeOfWeek,$E32)*INDEX(About!D$79:D$82,MATCH($B32,About!$A$79:$A$82,0),1)</f>
        <v>0</v>
      </c>
      <c r="I32" s="27">
        <f>SUMIFS(INDEX(Load,,MATCH('Summarized Source Data'!$C32,Hour,0)),Month,'Summarized Source Data'!$A32,Sector,'Summarized Source Data'!I$2,Subsector,'Summarized Source Data'!I$3,TimeOfWeek,$E32)*INDEX(About!E$79:E$82,MATCH($B32,About!$A$79:$A$82,0),1)</f>
        <v>13700000</v>
      </c>
      <c r="J32" s="54">
        <f t="shared" si="1"/>
        <v>39785142</v>
      </c>
      <c r="K32" s="27">
        <f>(SUMIFS(INDEX(Load,,MATCH('Summarized Source Data'!$C32,Hour,0)),Month,'Summarized Source Data'!$A32,Sector,'Summarized Source Data'!K$2,Subsector,"Total",TimeOfWeek,$E32)-SUM(F32:I32))*INDEX(About!G$79:G$82,MATCH($B32,About!$A$79:$A$82,0),1)</f>
        <v>39785142</v>
      </c>
      <c r="L32" s="27">
        <f>SUMIFS(INDEX(Load,,MATCH('Summarized Source Data'!$C32,Hour,0)),Month,'Summarized Source Data'!$A32,Sector,'Summarized Source Data'!L$2,Subsector,'Summarized Source Data'!L$3,TimeOfWeek,$E32)*INDEX(About!H$79:H$82,MATCH($B32,About!$A$79:$A$82,0),1)</f>
        <v>31200000</v>
      </c>
      <c r="M32" s="27">
        <f>SUMIFS(INDEX(Load,,MATCH('Summarized Source Data'!$C32,Hour,0)),Month,'Summarized Source Data'!$A32,Sector,'Summarized Source Data'!M$2,Subsector,'Summarized Source Data'!M$3,TimeOfWeek,$E32)*INDEX(About!I$79:I$82,MATCH($B32,About!$A$79:$A$82,0),1)</f>
        <v>36085</v>
      </c>
      <c r="N32" s="27">
        <f>SUMIFS(INDEX(Load,,MATCH('Summarized Source Data'!$C32,Hour,0)),Month,'Summarized Source Data'!$A32,Sector,'Summarized Source Data'!N$2,Subsector,'Summarized Source Data'!N$3,TimeOfWeek,$E32)*INDEX(About!J$79:J$82,MATCH($B32,About!$A$79:$A$82,0),1)</f>
        <v>0</v>
      </c>
      <c r="O32" s="29">
        <f t="shared" si="2"/>
        <v>166763915</v>
      </c>
      <c r="P32" s="27">
        <f>(SUMIFS(INDEX(Load,,MATCH('Summarized Source Data'!$C32,Hour,0)),Month,'Summarized Source Data'!$A32,Sector,'Summarized Source Data'!P$2,Subsector,"Total",TimeOfWeek,$E32)-SUM(L32:N32)*INDEX(About!L$79:L$82,MATCH($B32,About!$A$79:$A$82,0),1))</f>
        <v>166763915</v>
      </c>
      <c r="Q32" s="29">
        <f t="shared" si="3"/>
        <v>166763915</v>
      </c>
      <c r="R32" s="33">
        <f>SUMIFS(INDEX(Load,,MATCH('Summarized Source Data'!$C32,Hour,0)),Month,'Summarized Source Data'!$A32,Sector,'Summarized Source Data'!R$2,TimeOfWeek,$E32)*INDEX(About!N$79:N$82,MATCH($B32,About!$A$79:$A$82,0),1)</f>
        <v>4826872</v>
      </c>
      <c r="S32" s="33">
        <f>SUMIFS(INDEX(Load,,MATCH('Summarized Source Data'!$C32,Hour,0)),Month,'Summarized Source Data'!$A32,Sector,'Summarized Source Data'!S$2,TimeOfWeek,$E32)*INDEX(About!O$79:O$82,MATCH($B32,About!$A$79:$A$82,0),1)</f>
        <v>4826872</v>
      </c>
      <c r="T32" s="33">
        <f>SUMIFS(INDEX(Load,,MATCH('Summarized Source Data'!$C32,Hour,0)),Month,'Summarized Source Data'!$A32,Sector,'Summarized Source Data'!T$2,TimeOfWeek,$E32)*INDEX(About!P$79:P$82,MATCH($B32,About!$A$79:$A$82,0),1)</f>
        <v>4826872</v>
      </c>
      <c r="U32" s="33">
        <f>SUMIFS(INDEX(Load,,MATCH('Summarized Source Data'!$C32,Hour,0)),Month,'Summarized Source Data'!$A32,Sector,'Summarized Source Data'!U$2,TimeOfWeek,$E32)*INDEX(About!Q$79:Q$82,MATCH($B32,About!$A$79:$A$82,0),1)</f>
        <v>4826872</v>
      </c>
      <c r="V32" s="33">
        <f>SUMIFS(INDEX(Load,,MATCH('Summarized Source Data'!$C32,Hour,0)),Month,'Summarized Source Data'!$A32,Sector,'Summarized Source Data'!V$2,TimeOfWeek,$E32)*INDEX(About!R$79:R$82,MATCH($B32,About!$A$79:$A$82,0),1)</f>
        <v>4826872</v>
      </c>
      <c r="W32" s="33">
        <f>SUMIFS(INDEX(Load,,MATCH('Summarized Source Data'!$C32,Hour,0)),Month,'Summarized Source Data'!$A32,Sector,'Summarized Source Data'!W$2,TimeOfWeek,$E32)*INDEX(About!S$79:S$82,MATCH($B32,About!$A$79:$A$82,0),1)</f>
        <v>4826872</v>
      </c>
      <c r="X32" s="27">
        <f>SUMIFS(INDEX(Load,,MATCH('Summarized Source Data'!$C32,Hour,0)),Month,'Summarized Source Data'!$A32,Sector,'Summarized Source Data'!X$2,Subsector,'Summarized Source Data'!X$3,TimeOfWeek,$E32)*INDEX(About!T$79:T$82,MATCH($B32,About!$A$79:$A$82,0),1)</f>
        <v>664000000</v>
      </c>
      <c r="Y32" s="29">
        <f t="shared" si="4"/>
        <v>664000000</v>
      </c>
      <c r="Z32" s="29">
        <f t="shared" si="4"/>
        <v>664000000</v>
      </c>
    </row>
    <row r="33" spans="1:26" outlineLevel="1" x14ac:dyDescent="0.3">
      <c r="A33">
        <f t="shared" si="0"/>
        <v>2</v>
      </c>
      <c r="B33" t="str">
        <f>INDEX('Category Mapping'!$G$28:$G$39,MATCH(A33,'Category Mapping'!$A$28:$A$39,0),1)</f>
        <v>Winter</v>
      </c>
      <c r="C33" t="s">
        <v>68</v>
      </c>
      <c r="D33" s="6" t="s">
        <v>143</v>
      </c>
      <c r="E33" t="s">
        <v>49</v>
      </c>
      <c r="F33" s="27">
        <f>SUMIFS(INDEX(Load,,MATCH('Summarized Source Data'!$C33,Hour,0)),Month,'Summarized Source Data'!$A33,Sector,'Summarized Source Data'!F$2,Subsector,'Summarized Source Data'!F$3,TimeOfWeek,$E33)*INDEX(About!B$79:B$82,MATCH($B33,About!$A$79:$A$82,0),1)</f>
        <v>20600000</v>
      </c>
      <c r="G33" s="27">
        <f>SUMIFS(INDEX(Load,,MATCH('Summarized Source Data'!$C33,Hour,0)),Month,'Summarized Source Data'!$A33,Sector,'Summarized Source Data'!G$2,Subsector,'Summarized Source Data'!G$3,TimeOfWeek,$E33)*INDEX(About!C$79:C$82,MATCH($B33,About!$A$79:$A$82,0),1)</f>
        <v>13662</v>
      </c>
      <c r="H33" s="27">
        <f>SUMIFS(INDEX(Load,,MATCH('Summarized Source Data'!$C33,Hour,0)),Month,'Summarized Source Data'!$A33,Sector,'Summarized Source Data'!H$2,Subsector,'Summarized Source Data'!H$3,TimeOfWeek,$E33)*INDEX(About!D$79:D$82,MATCH($B33,About!$A$79:$A$82,0),1)</f>
        <v>0</v>
      </c>
      <c r="I33" s="27">
        <f>SUMIFS(INDEX(Load,,MATCH('Summarized Source Data'!$C33,Hour,0)),Month,'Summarized Source Data'!$A33,Sector,'Summarized Source Data'!I$2,Subsector,'Summarized Source Data'!I$3,TimeOfWeek,$E33)*INDEX(About!E$79:E$82,MATCH($B33,About!$A$79:$A$82,0),1)</f>
        <v>23500000</v>
      </c>
      <c r="J33" s="54">
        <f t="shared" si="1"/>
        <v>55386338</v>
      </c>
      <c r="K33" s="27">
        <f>(SUMIFS(INDEX(Load,,MATCH('Summarized Source Data'!$C33,Hour,0)),Month,'Summarized Source Data'!$A33,Sector,'Summarized Source Data'!K$2,Subsector,"Total",TimeOfWeek,$E33)-SUM(F33:I33))*INDEX(About!G$79:G$82,MATCH($B33,About!$A$79:$A$82,0),1)</f>
        <v>55386338</v>
      </c>
      <c r="L33" s="27">
        <f>SUMIFS(INDEX(Load,,MATCH('Summarized Source Data'!$C33,Hour,0)),Month,'Summarized Source Data'!$A33,Sector,'Summarized Source Data'!L$2,Subsector,'Summarized Source Data'!L$3,TimeOfWeek,$E33)*INDEX(About!H$79:H$82,MATCH($B33,About!$A$79:$A$82,0),1)</f>
        <v>31500000</v>
      </c>
      <c r="M33" s="27">
        <f>SUMIFS(INDEX(Load,,MATCH('Summarized Source Data'!$C33,Hour,0)),Month,'Summarized Source Data'!$A33,Sector,'Summarized Source Data'!M$2,Subsector,'Summarized Source Data'!M$3,TimeOfWeek,$E33)*INDEX(About!I$79:I$82,MATCH($B33,About!$A$79:$A$82,0),1)</f>
        <v>37213</v>
      </c>
      <c r="N33" s="27">
        <f>SUMIFS(INDEX(Load,,MATCH('Summarized Source Data'!$C33,Hour,0)),Month,'Summarized Source Data'!$A33,Sector,'Summarized Source Data'!N$2,Subsector,'Summarized Source Data'!N$3,TimeOfWeek,$E33)*INDEX(About!J$79:J$82,MATCH($B33,About!$A$79:$A$82,0),1)</f>
        <v>0</v>
      </c>
      <c r="O33" s="29">
        <f t="shared" si="2"/>
        <v>194462787</v>
      </c>
      <c r="P33" s="27">
        <f>(SUMIFS(INDEX(Load,,MATCH('Summarized Source Data'!$C33,Hour,0)),Month,'Summarized Source Data'!$A33,Sector,'Summarized Source Data'!P$2,Subsector,"Total",TimeOfWeek,$E33)-SUM(L33:N33)*INDEX(About!L$79:L$82,MATCH($B33,About!$A$79:$A$82,0),1))</f>
        <v>194462787</v>
      </c>
      <c r="Q33" s="29">
        <f t="shared" si="3"/>
        <v>194462787</v>
      </c>
      <c r="R33" s="33">
        <f>SUMIFS(INDEX(Load,,MATCH('Summarized Source Data'!$C33,Hour,0)),Month,'Summarized Source Data'!$A33,Sector,'Summarized Source Data'!R$2,TimeOfWeek,$E33)*INDEX(About!N$79:N$82,MATCH($B33,About!$A$79:$A$82,0),1)</f>
        <v>4960079</v>
      </c>
      <c r="S33" s="33">
        <f>SUMIFS(INDEX(Load,,MATCH('Summarized Source Data'!$C33,Hour,0)),Month,'Summarized Source Data'!$A33,Sector,'Summarized Source Data'!S$2,TimeOfWeek,$E33)*INDEX(About!O$79:O$82,MATCH($B33,About!$A$79:$A$82,0),1)</f>
        <v>4960079</v>
      </c>
      <c r="T33" s="33">
        <f>SUMIFS(INDEX(Load,,MATCH('Summarized Source Data'!$C33,Hour,0)),Month,'Summarized Source Data'!$A33,Sector,'Summarized Source Data'!T$2,TimeOfWeek,$E33)*INDEX(About!P$79:P$82,MATCH($B33,About!$A$79:$A$82,0),1)</f>
        <v>4960079</v>
      </c>
      <c r="U33" s="33">
        <f>SUMIFS(INDEX(Load,,MATCH('Summarized Source Data'!$C33,Hour,0)),Month,'Summarized Source Data'!$A33,Sector,'Summarized Source Data'!U$2,TimeOfWeek,$E33)*INDEX(About!Q$79:Q$82,MATCH($B33,About!$A$79:$A$82,0),1)</f>
        <v>4960079</v>
      </c>
      <c r="V33" s="33">
        <f>SUMIFS(INDEX(Load,,MATCH('Summarized Source Data'!$C33,Hour,0)),Month,'Summarized Source Data'!$A33,Sector,'Summarized Source Data'!V$2,TimeOfWeek,$E33)*INDEX(About!R$79:R$82,MATCH($B33,About!$A$79:$A$82,0),1)</f>
        <v>4960079</v>
      </c>
      <c r="W33" s="33">
        <f>SUMIFS(INDEX(Load,,MATCH('Summarized Source Data'!$C33,Hour,0)),Month,'Summarized Source Data'!$A33,Sector,'Summarized Source Data'!W$2,TimeOfWeek,$E33)*INDEX(About!S$79:S$82,MATCH($B33,About!$A$79:$A$82,0),1)</f>
        <v>4960079</v>
      </c>
      <c r="X33" s="27">
        <f>SUMIFS(INDEX(Load,,MATCH('Summarized Source Data'!$C33,Hour,0)),Month,'Summarized Source Data'!$A33,Sector,'Summarized Source Data'!X$2,Subsector,'Summarized Source Data'!X$3,TimeOfWeek,$E33)*INDEX(About!T$79:T$82,MATCH($B33,About!$A$79:$A$82,0),1)</f>
        <v>669000000</v>
      </c>
      <c r="Y33" s="29">
        <f t="shared" si="4"/>
        <v>669000000</v>
      </c>
      <c r="Z33" s="29">
        <f t="shared" si="4"/>
        <v>669000000</v>
      </c>
    </row>
    <row r="34" spans="1:26" outlineLevel="1" x14ac:dyDescent="0.3">
      <c r="A34">
        <f t="shared" si="0"/>
        <v>2</v>
      </c>
      <c r="B34" t="str">
        <f>INDEX('Category Mapping'!$G$28:$G$39,MATCH(A34,'Category Mapping'!$A$28:$A$39,0),1)</f>
        <v>Winter</v>
      </c>
      <c r="C34" t="s">
        <v>69</v>
      </c>
      <c r="D34" s="6" t="s">
        <v>144</v>
      </c>
      <c r="E34" t="s">
        <v>49</v>
      </c>
      <c r="F34" s="27">
        <f>SUMIFS(INDEX(Load,,MATCH('Summarized Source Data'!$C34,Hour,0)),Month,'Summarized Source Data'!$A34,Sector,'Summarized Source Data'!F$2,Subsector,'Summarized Source Data'!F$3,TimeOfWeek,$E34)*INDEX(About!B$79:B$82,MATCH($B34,About!$A$79:$A$82,0),1)</f>
        <v>21700000</v>
      </c>
      <c r="G34" s="27">
        <f>SUMIFS(INDEX(Load,,MATCH('Summarized Source Data'!$C34,Hour,0)),Month,'Summarized Source Data'!$A34,Sector,'Summarized Source Data'!G$2,Subsector,'Summarized Source Data'!G$3,TimeOfWeek,$E34)*INDEX(About!C$79:C$82,MATCH($B34,About!$A$79:$A$82,0),1)</f>
        <v>11161</v>
      </c>
      <c r="H34" s="27">
        <f>SUMIFS(INDEX(Load,,MATCH('Summarized Source Data'!$C34,Hour,0)),Month,'Summarized Source Data'!$A34,Sector,'Summarized Source Data'!H$2,Subsector,'Summarized Source Data'!H$3,TimeOfWeek,$E34)*INDEX(About!D$79:D$82,MATCH($B34,About!$A$79:$A$82,0),1)</f>
        <v>0</v>
      </c>
      <c r="I34" s="27">
        <f>SUMIFS(INDEX(Load,,MATCH('Summarized Source Data'!$C34,Hour,0)),Month,'Summarized Source Data'!$A34,Sector,'Summarized Source Data'!I$2,Subsector,'Summarized Source Data'!I$3,TimeOfWeek,$E34)*INDEX(About!E$79:E$82,MATCH($B34,About!$A$79:$A$82,0),1)</f>
        <v>34300000</v>
      </c>
      <c r="J34" s="54">
        <f t="shared" si="1"/>
        <v>87988839</v>
      </c>
      <c r="K34" s="27">
        <f>(SUMIFS(INDEX(Load,,MATCH('Summarized Source Data'!$C34,Hour,0)),Month,'Summarized Source Data'!$A34,Sector,'Summarized Source Data'!K$2,Subsector,"Total",TimeOfWeek,$E34)-SUM(F34:I34))*INDEX(About!G$79:G$82,MATCH($B34,About!$A$79:$A$82,0),1)</f>
        <v>87988839</v>
      </c>
      <c r="L34" s="27">
        <f>SUMIFS(INDEX(Load,,MATCH('Summarized Source Data'!$C34,Hour,0)),Month,'Summarized Source Data'!$A34,Sector,'Summarized Source Data'!L$2,Subsector,'Summarized Source Data'!L$3,TimeOfWeek,$E34)*INDEX(About!H$79:H$82,MATCH($B34,About!$A$79:$A$82,0),1)</f>
        <v>47600000</v>
      </c>
      <c r="M34" s="27">
        <f>SUMIFS(INDEX(Load,,MATCH('Summarized Source Data'!$C34,Hour,0)),Month,'Summarized Source Data'!$A34,Sector,'Summarized Source Data'!M$2,Subsector,'Summarized Source Data'!M$3,TimeOfWeek,$E34)*INDEX(About!I$79:I$82,MATCH($B34,About!$A$79:$A$82,0),1)</f>
        <v>41248</v>
      </c>
      <c r="N34" s="27">
        <f>SUMIFS(INDEX(Load,,MATCH('Summarized Source Data'!$C34,Hour,0)),Month,'Summarized Source Data'!$A34,Sector,'Summarized Source Data'!N$2,Subsector,'Summarized Source Data'!N$3,TimeOfWeek,$E34)*INDEX(About!J$79:J$82,MATCH($B34,About!$A$79:$A$82,0),1)</f>
        <v>0</v>
      </c>
      <c r="O34" s="29">
        <f t="shared" si="2"/>
        <v>293358752</v>
      </c>
      <c r="P34" s="27">
        <f>(SUMIFS(INDEX(Load,,MATCH('Summarized Source Data'!$C34,Hour,0)),Month,'Summarized Source Data'!$A34,Sector,'Summarized Source Data'!P$2,Subsector,"Total",TimeOfWeek,$E34)-SUM(L34:N34)*INDEX(About!L$79:L$82,MATCH($B34,About!$A$79:$A$82,0),1))</f>
        <v>293358752</v>
      </c>
      <c r="Q34" s="29">
        <f t="shared" si="3"/>
        <v>293358752</v>
      </c>
      <c r="R34" s="33">
        <f>SUMIFS(INDEX(Load,,MATCH('Summarized Source Data'!$C34,Hour,0)),Month,'Summarized Source Data'!$A34,Sector,'Summarized Source Data'!R$2,TimeOfWeek,$E34)*INDEX(About!N$79:N$82,MATCH($B34,About!$A$79:$A$82,0),1)</f>
        <v>7438962</v>
      </c>
      <c r="S34" s="33">
        <f>SUMIFS(INDEX(Load,,MATCH('Summarized Source Data'!$C34,Hour,0)),Month,'Summarized Source Data'!$A34,Sector,'Summarized Source Data'!S$2,TimeOfWeek,$E34)*INDEX(About!O$79:O$82,MATCH($B34,About!$A$79:$A$82,0),1)</f>
        <v>7438962</v>
      </c>
      <c r="T34" s="33">
        <f>SUMIFS(INDEX(Load,,MATCH('Summarized Source Data'!$C34,Hour,0)),Month,'Summarized Source Data'!$A34,Sector,'Summarized Source Data'!T$2,TimeOfWeek,$E34)*INDEX(About!P$79:P$82,MATCH($B34,About!$A$79:$A$82,0),1)</f>
        <v>7438962</v>
      </c>
      <c r="U34" s="33">
        <f>SUMIFS(INDEX(Load,,MATCH('Summarized Source Data'!$C34,Hour,0)),Month,'Summarized Source Data'!$A34,Sector,'Summarized Source Data'!U$2,TimeOfWeek,$E34)*INDEX(About!Q$79:Q$82,MATCH($B34,About!$A$79:$A$82,0),1)</f>
        <v>7438962</v>
      </c>
      <c r="V34" s="33">
        <f>SUMIFS(INDEX(Load,,MATCH('Summarized Source Data'!$C34,Hour,0)),Month,'Summarized Source Data'!$A34,Sector,'Summarized Source Data'!V$2,TimeOfWeek,$E34)*INDEX(About!R$79:R$82,MATCH($B34,About!$A$79:$A$82,0),1)</f>
        <v>7438962</v>
      </c>
      <c r="W34" s="33">
        <f>SUMIFS(INDEX(Load,,MATCH('Summarized Source Data'!$C34,Hour,0)),Month,'Summarized Source Data'!$A34,Sector,'Summarized Source Data'!W$2,TimeOfWeek,$E34)*INDEX(About!S$79:S$82,MATCH($B34,About!$A$79:$A$82,0),1)</f>
        <v>7438962</v>
      </c>
      <c r="X34" s="27">
        <f>SUMIFS(INDEX(Load,,MATCH('Summarized Source Data'!$C34,Hour,0)),Month,'Summarized Source Data'!$A34,Sector,'Summarized Source Data'!X$2,Subsector,'Summarized Source Data'!X$3,TimeOfWeek,$E34)*INDEX(About!T$79:T$82,MATCH($B34,About!$A$79:$A$82,0),1)</f>
        <v>677000000</v>
      </c>
      <c r="Y34" s="29">
        <f t="shared" si="4"/>
        <v>677000000</v>
      </c>
      <c r="Z34" s="29">
        <f t="shared" si="4"/>
        <v>677000000</v>
      </c>
    </row>
    <row r="35" spans="1:26" outlineLevel="1" x14ac:dyDescent="0.3">
      <c r="A35">
        <f t="shared" si="0"/>
        <v>2</v>
      </c>
      <c r="B35" t="str">
        <f>INDEX('Category Mapping'!$G$28:$G$39,MATCH(A35,'Category Mapping'!$A$28:$A$39,0),1)</f>
        <v>Winter</v>
      </c>
      <c r="C35" t="s">
        <v>70</v>
      </c>
      <c r="D35" s="6" t="s">
        <v>145</v>
      </c>
      <c r="E35" t="s">
        <v>49</v>
      </c>
      <c r="F35" s="27">
        <f>SUMIFS(INDEX(Load,,MATCH('Summarized Source Data'!$C35,Hour,0)),Month,'Summarized Source Data'!$A35,Sector,'Summarized Source Data'!F$2,Subsector,'Summarized Source Data'!F$3,TimeOfWeek,$E35)*INDEX(About!B$79:B$82,MATCH($B35,About!$A$79:$A$82,0),1)</f>
        <v>21100000</v>
      </c>
      <c r="G35" s="27">
        <f>SUMIFS(INDEX(Load,,MATCH('Summarized Source Data'!$C35,Hour,0)),Month,'Summarized Source Data'!$A35,Sector,'Summarized Source Data'!G$2,Subsector,'Summarized Source Data'!G$3,TimeOfWeek,$E35)*INDEX(About!C$79:C$82,MATCH($B35,About!$A$79:$A$82,0),1)</f>
        <v>8376</v>
      </c>
      <c r="H35" s="27">
        <f>SUMIFS(INDEX(Load,,MATCH('Summarized Source Data'!$C35,Hour,0)),Month,'Summarized Source Data'!$A35,Sector,'Summarized Source Data'!H$2,Subsector,'Summarized Source Data'!H$3,TimeOfWeek,$E35)*INDEX(About!D$79:D$82,MATCH($B35,About!$A$79:$A$82,0),1)</f>
        <v>0</v>
      </c>
      <c r="I35" s="27">
        <f>SUMIFS(INDEX(Load,,MATCH('Summarized Source Data'!$C35,Hour,0)),Month,'Summarized Source Data'!$A35,Sector,'Summarized Source Data'!I$2,Subsector,'Summarized Source Data'!I$3,TimeOfWeek,$E35)*INDEX(About!E$79:E$82,MATCH($B35,About!$A$79:$A$82,0),1)</f>
        <v>16900000</v>
      </c>
      <c r="J35" s="54">
        <f t="shared" si="1"/>
        <v>111991624</v>
      </c>
      <c r="K35" s="27">
        <f>(SUMIFS(INDEX(Load,,MATCH('Summarized Source Data'!$C35,Hour,0)),Month,'Summarized Source Data'!$A35,Sector,'Summarized Source Data'!K$2,Subsector,"Total",TimeOfWeek,$E35)-SUM(F35:I35))*INDEX(About!G$79:G$82,MATCH($B35,About!$A$79:$A$82,0),1)</f>
        <v>111991624</v>
      </c>
      <c r="L35" s="27">
        <f>SUMIFS(INDEX(Load,,MATCH('Summarized Source Data'!$C35,Hour,0)),Month,'Summarized Source Data'!$A35,Sector,'Summarized Source Data'!L$2,Subsector,'Summarized Source Data'!L$3,TimeOfWeek,$E35)*INDEX(About!H$79:H$82,MATCH($B35,About!$A$79:$A$82,0),1)</f>
        <v>102000000</v>
      </c>
      <c r="M35" s="27">
        <f>SUMIFS(INDEX(Load,,MATCH('Summarized Source Data'!$C35,Hour,0)),Month,'Summarized Source Data'!$A35,Sector,'Summarized Source Data'!M$2,Subsector,'Summarized Source Data'!M$3,TimeOfWeek,$E35)*INDEX(About!I$79:I$82,MATCH($B35,About!$A$79:$A$82,0),1)</f>
        <v>49207</v>
      </c>
      <c r="N35" s="27">
        <f>SUMIFS(INDEX(Load,,MATCH('Summarized Source Data'!$C35,Hour,0)),Month,'Summarized Source Data'!$A35,Sector,'Summarized Source Data'!N$2,Subsector,'Summarized Source Data'!N$3,TimeOfWeek,$E35)*INDEX(About!J$79:J$82,MATCH($B35,About!$A$79:$A$82,0),1)</f>
        <v>0</v>
      </c>
      <c r="O35" s="29">
        <f t="shared" si="2"/>
        <v>402950793</v>
      </c>
      <c r="P35" s="27">
        <f>(SUMIFS(INDEX(Load,,MATCH('Summarized Source Data'!$C35,Hour,0)),Month,'Summarized Source Data'!$A35,Sector,'Summarized Source Data'!P$2,Subsector,"Total",TimeOfWeek,$E35)-SUM(L35:N35)*INDEX(About!L$79:L$82,MATCH($B35,About!$A$79:$A$82,0),1))</f>
        <v>402950793</v>
      </c>
      <c r="Q35" s="29">
        <f t="shared" si="3"/>
        <v>402950793</v>
      </c>
      <c r="R35" s="33">
        <f>SUMIFS(INDEX(Load,,MATCH('Summarized Source Data'!$C35,Hour,0)),Month,'Summarized Source Data'!$A35,Sector,'Summarized Source Data'!R$2,TimeOfWeek,$E35)*INDEX(About!N$79:N$82,MATCH($B35,About!$A$79:$A$82,0),1)</f>
        <v>15600000</v>
      </c>
      <c r="S35" s="33">
        <f>SUMIFS(INDEX(Load,,MATCH('Summarized Source Data'!$C35,Hour,0)),Month,'Summarized Source Data'!$A35,Sector,'Summarized Source Data'!S$2,TimeOfWeek,$E35)*INDEX(About!O$79:O$82,MATCH($B35,About!$A$79:$A$82,0),1)</f>
        <v>15600000</v>
      </c>
      <c r="T35" s="33">
        <f>SUMIFS(INDEX(Load,,MATCH('Summarized Source Data'!$C35,Hour,0)),Month,'Summarized Source Data'!$A35,Sector,'Summarized Source Data'!T$2,TimeOfWeek,$E35)*INDEX(About!P$79:P$82,MATCH($B35,About!$A$79:$A$82,0),1)</f>
        <v>15600000</v>
      </c>
      <c r="U35" s="33">
        <f>SUMIFS(INDEX(Load,,MATCH('Summarized Source Data'!$C35,Hour,0)),Month,'Summarized Source Data'!$A35,Sector,'Summarized Source Data'!U$2,TimeOfWeek,$E35)*INDEX(About!Q$79:Q$82,MATCH($B35,About!$A$79:$A$82,0),1)</f>
        <v>15600000</v>
      </c>
      <c r="V35" s="33">
        <f>SUMIFS(INDEX(Load,,MATCH('Summarized Source Data'!$C35,Hour,0)),Month,'Summarized Source Data'!$A35,Sector,'Summarized Source Data'!V$2,TimeOfWeek,$E35)*INDEX(About!R$79:R$82,MATCH($B35,About!$A$79:$A$82,0),1)</f>
        <v>15600000</v>
      </c>
      <c r="W35" s="33">
        <f>SUMIFS(INDEX(Load,,MATCH('Summarized Source Data'!$C35,Hour,0)),Month,'Summarized Source Data'!$A35,Sector,'Summarized Source Data'!W$2,TimeOfWeek,$E35)*INDEX(About!S$79:S$82,MATCH($B35,About!$A$79:$A$82,0),1)</f>
        <v>15600000</v>
      </c>
      <c r="X35" s="27">
        <f>SUMIFS(INDEX(Load,,MATCH('Summarized Source Data'!$C35,Hour,0)),Month,'Summarized Source Data'!$A35,Sector,'Summarized Source Data'!X$2,Subsector,'Summarized Source Data'!X$3,TimeOfWeek,$E35)*INDEX(About!T$79:T$82,MATCH($B35,About!$A$79:$A$82,0),1)</f>
        <v>683000000</v>
      </c>
      <c r="Y35" s="29">
        <f t="shared" si="4"/>
        <v>683000000</v>
      </c>
      <c r="Z35" s="29">
        <f t="shared" si="4"/>
        <v>683000000</v>
      </c>
    </row>
    <row r="36" spans="1:26" outlineLevel="1" x14ac:dyDescent="0.3">
      <c r="A36">
        <f t="shared" si="0"/>
        <v>2</v>
      </c>
      <c r="B36" t="str">
        <f>INDEX('Category Mapping'!$G$28:$G$39,MATCH(A36,'Category Mapping'!$A$28:$A$39,0),1)</f>
        <v>Winter</v>
      </c>
      <c r="C36" t="s">
        <v>71</v>
      </c>
      <c r="D36" s="6" t="s">
        <v>146</v>
      </c>
      <c r="E36" t="s">
        <v>49</v>
      </c>
      <c r="F36" s="27">
        <f>SUMIFS(INDEX(Load,,MATCH('Summarized Source Data'!$C36,Hour,0)),Month,'Summarized Source Data'!$A36,Sector,'Summarized Source Data'!F$2,Subsector,'Summarized Source Data'!F$3,TimeOfWeek,$E36)*INDEX(About!B$79:B$82,MATCH($B36,About!$A$79:$A$82,0),1)</f>
        <v>20100000</v>
      </c>
      <c r="G36" s="27">
        <f>SUMIFS(INDEX(Load,,MATCH('Summarized Source Data'!$C36,Hour,0)),Month,'Summarized Source Data'!$A36,Sector,'Summarized Source Data'!G$2,Subsector,'Summarized Source Data'!G$3,TimeOfWeek,$E36)*INDEX(About!C$79:C$82,MATCH($B36,About!$A$79:$A$82,0),1)</f>
        <v>6769</v>
      </c>
      <c r="H36" s="27">
        <f>SUMIFS(INDEX(Load,,MATCH('Summarized Source Data'!$C36,Hour,0)),Month,'Summarized Source Data'!$A36,Sector,'Summarized Source Data'!H$2,Subsector,'Summarized Source Data'!H$3,TimeOfWeek,$E36)*INDEX(About!D$79:D$82,MATCH($B36,About!$A$79:$A$82,0),1)</f>
        <v>0</v>
      </c>
      <c r="I36" s="27">
        <f>SUMIFS(INDEX(Load,,MATCH('Summarized Source Data'!$C36,Hour,0)),Month,'Summarized Source Data'!$A36,Sector,'Summarized Source Data'!I$2,Subsector,'Summarized Source Data'!I$3,TimeOfWeek,$E36)*INDEX(About!E$79:E$82,MATCH($B36,About!$A$79:$A$82,0),1)</f>
        <v>10400000</v>
      </c>
      <c r="J36" s="54">
        <f t="shared" si="1"/>
        <v>112493231</v>
      </c>
      <c r="K36" s="27">
        <f>(SUMIFS(INDEX(Load,,MATCH('Summarized Source Data'!$C36,Hour,0)),Month,'Summarized Source Data'!$A36,Sector,'Summarized Source Data'!K$2,Subsector,"Total",TimeOfWeek,$E36)-SUM(F36:I36))*INDEX(About!G$79:G$82,MATCH($B36,About!$A$79:$A$82,0),1)</f>
        <v>112493231</v>
      </c>
      <c r="L36" s="27">
        <f>SUMIFS(INDEX(Load,,MATCH('Summarized Source Data'!$C36,Hour,0)),Month,'Summarized Source Data'!$A36,Sector,'Summarized Source Data'!L$2,Subsector,'Summarized Source Data'!L$3,TimeOfWeek,$E36)*INDEX(About!H$79:H$82,MATCH($B36,About!$A$79:$A$82,0),1)</f>
        <v>106000000</v>
      </c>
      <c r="M36" s="27">
        <f>SUMIFS(INDEX(Load,,MATCH('Summarized Source Data'!$C36,Hour,0)),Month,'Summarized Source Data'!$A36,Sector,'Summarized Source Data'!M$2,Subsector,'Summarized Source Data'!M$3,TimeOfWeek,$E36)*INDEX(About!I$79:I$82,MATCH($B36,About!$A$79:$A$82,0),1)</f>
        <v>60907</v>
      </c>
      <c r="N36" s="27">
        <f>SUMIFS(INDEX(Load,,MATCH('Summarized Source Data'!$C36,Hour,0)),Month,'Summarized Source Data'!$A36,Sector,'Summarized Source Data'!N$2,Subsector,'Summarized Source Data'!N$3,TimeOfWeek,$E36)*INDEX(About!J$79:J$82,MATCH($B36,About!$A$79:$A$82,0),1)</f>
        <v>0</v>
      </c>
      <c r="O36" s="29">
        <f t="shared" si="2"/>
        <v>499939093</v>
      </c>
      <c r="P36" s="27">
        <f>(SUMIFS(INDEX(Load,,MATCH('Summarized Source Data'!$C36,Hour,0)),Month,'Summarized Source Data'!$A36,Sector,'Summarized Source Data'!P$2,Subsector,"Total",TimeOfWeek,$E36)-SUM(L36:N36)*INDEX(About!L$79:L$82,MATCH($B36,About!$A$79:$A$82,0),1))</f>
        <v>499939093</v>
      </c>
      <c r="Q36" s="29">
        <f t="shared" si="3"/>
        <v>499939093</v>
      </c>
      <c r="R36" s="33">
        <f>SUMIFS(INDEX(Load,,MATCH('Summarized Source Data'!$C36,Hour,0)),Month,'Summarized Source Data'!$A36,Sector,'Summarized Source Data'!R$2,TimeOfWeek,$E36)*INDEX(About!N$79:N$82,MATCH($B36,About!$A$79:$A$82,0),1)</f>
        <v>17000000</v>
      </c>
      <c r="S36" s="33">
        <f>SUMIFS(INDEX(Load,,MATCH('Summarized Source Data'!$C36,Hour,0)),Month,'Summarized Source Data'!$A36,Sector,'Summarized Source Data'!S$2,TimeOfWeek,$E36)*INDEX(About!O$79:O$82,MATCH($B36,About!$A$79:$A$82,0),1)</f>
        <v>17000000</v>
      </c>
      <c r="T36" s="33">
        <f>SUMIFS(INDEX(Load,,MATCH('Summarized Source Data'!$C36,Hour,0)),Month,'Summarized Source Data'!$A36,Sector,'Summarized Source Data'!T$2,TimeOfWeek,$E36)*INDEX(About!P$79:P$82,MATCH($B36,About!$A$79:$A$82,0),1)</f>
        <v>17000000</v>
      </c>
      <c r="U36" s="33">
        <f>SUMIFS(INDEX(Load,,MATCH('Summarized Source Data'!$C36,Hour,0)),Month,'Summarized Source Data'!$A36,Sector,'Summarized Source Data'!U$2,TimeOfWeek,$E36)*INDEX(About!Q$79:Q$82,MATCH($B36,About!$A$79:$A$82,0),1)</f>
        <v>17000000</v>
      </c>
      <c r="V36" s="33">
        <f>SUMIFS(INDEX(Load,,MATCH('Summarized Source Data'!$C36,Hour,0)),Month,'Summarized Source Data'!$A36,Sector,'Summarized Source Data'!V$2,TimeOfWeek,$E36)*INDEX(About!R$79:R$82,MATCH($B36,About!$A$79:$A$82,0),1)</f>
        <v>17000000</v>
      </c>
      <c r="W36" s="33">
        <f>SUMIFS(INDEX(Load,,MATCH('Summarized Source Data'!$C36,Hour,0)),Month,'Summarized Source Data'!$A36,Sector,'Summarized Source Data'!W$2,TimeOfWeek,$E36)*INDEX(About!S$79:S$82,MATCH($B36,About!$A$79:$A$82,0),1)</f>
        <v>17000000</v>
      </c>
      <c r="X36" s="27">
        <f>SUMIFS(INDEX(Load,,MATCH('Summarized Source Data'!$C36,Hour,0)),Month,'Summarized Source Data'!$A36,Sector,'Summarized Source Data'!X$2,Subsector,'Summarized Source Data'!X$3,TimeOfWeek,$E36)*INDEX(About!T$79:T$82,MATCH($B36,About!$A$79:$A$82,0),1)</f>
        <v>685000000</v>
      </c>
      <c r="Y36" s="29">
        <f t="shared" si="4"/>
        <v>685000000</v>
      </c>
      <c r="Z36" s="29">
        <f t="shared" si="4"/>
        <v>685000000</v>
      </c>
    </row>
    <row r="37" spans="1:26" outlineLevel="1" x14ac:dyDescent="0.3">
      <c r="A37">
        <f t="shared" si="0"/>
        <v>2</v>
      </c>
      <c r="B37" t="str">
        <f>INDEX('Category Mapping'!$G$28:$G$39,MATCH(A37,'Category Mapping'!$A$28:$A$39,0),1)</f>
        <v>Winter</v>
      </c>
      <c r="C37" t="s">
        <v>72</v>
      </c>
      <c r="D37" s="6" t="s">
        <v>147</v>
      </c>
      <c r="E37" t="s">
        <v>49</v>
      </c>
      <c r="F37" s="27">
        <f>SUMIFS(INDEX(Load,,MATCH('Summarized Source Data'!$C37,Hour,0)),Month,'Summarized Source Data'!$A37,Sector,'Summarized Source Data'!F$2,Subsector,'Summarized Source Data'!F$3,TimeOfWeek,$E37)*INDEX(About!B$79:B$82,MATCH($B37,About!$A$79:$A$82,0),1)</f>
        <v>14600000</v>
      </c>
      <c r="G37" s="27">
        <f>SUMIFS(INDEX(Load,,MATCH('Summarized Source Data'!$C37,Hour,0)),Month,'Summarized Source Data'!$A37,Sector,'Summarized Source Data'!G$2,Subsector,'Summarized Source Data'!G$3,TimeOfWeek,$E37)*INDEX(About!C$79:C$82,MATCH($B37,About!$A$79:$A$82,0),1)</f>
        <v>5852</v>
      </c>
      <c r="H37" s="27">
        <f>SUMIFS(INDEX(Load,,MATCH('Summarized Source Data'!$C37,Hour,0)),Month,'Summarized Source Data'!$A37,Sector,'Summarized Source Data'!H$2,Subsector,'Summarized Source Data'!H$3,TimeOfWeek,$E37)*INDEX(About!D$79:D$82,MATCH($B37,About!$A$79:$A$82,0),1)</f>
        <v>0</v>
      </c>
      <c r="I37" s="27">
        <f>SUMIFS(INDEX(Load,,MATCH('Summarized Source Data'!$C37,Hour,0)),Month,'Summarized Source Data'!$A37,Sector,'Summarized Source Data'!I$2,Subsector,'Summarized Source Data'!I$3,TimeOfWeek,$E37)*INDEX(About!E$79:E$82,MATCH($B37,About!$A$79:$A$82,0),1)</f>
        <v>10000000</v>
      </c>
      <c r="J37" s="54">
        <f t="shared" si="1"/>
        <v>112394148</v>
      </c>
      <c r="K37" s="27">
        <f>(SUMIFS(INDEX(Load,,MATCH('Summarized Source Data'!$C37,Hour,0)),Month,'Summarized Source Data'!$A37,Sector,'Summarized Source Data'!K$2,Subsector,"Total",TimeOfWeek,$E37)-SUM(F37:I37))*INDEX(About!G$79:G$82,MATCH($B37,About!$A$79:$A$82,0),1)</f>
        <v>112394148</v>
      </c>
      <c r="L37" s="27">
        <f>SUMIFS(INDEX(Load,,MATCH('Summarized Source Data'!$C37,Hour,0)),Month,'Summarized Source Data'!$A37,Sector,'Summarized Source Data'!L$2,Subsector,'Summarized Source Data'!L$3,TimeOfWeek,$E37)*INDEX(About!H$79:H$82,MATCH($B37,About!$A$79:$A$82,0),1)</f>
        <v>74700000</v>
      </c>
      <c r="M37" s="27">
        <f>SUMIFS(INDEX(Load,,MATCH('Summarized Source Data'!$C37,Hour,0)),Month,'Summarized Source Data'!$A37,Sector,'Summarized Source Data'!M$2,Subsector,'Summarized Source Data'!M$3,TimeOfWeek,$E37)*INDEX(About!I$79:I$82,MATCH($B37,About!$A$79:$A$82,0),1)</f>
        <v>68378</v>
      </c>
      <c r="N37" s="27">
        <f>SUMIFS(INDEX(Load,,MATCH('Summarized Source Data'!$C37,Hour,0)),Month,'Summarized Source Data'!$A37,Sector,'Summarized Source Data'!N$2,Subsector,'Summarized Source Data'!N$3,TimeOfWeek,$E37)*INDEX(About!J$79:J$82,MATCH($B37,About!$A$79:$A$82,0),1)</f>
        <v>0</v>
      </c>
      <c r="O37" s="29">
        <f t="shared" si="2"/>
        <v>525231622</v>
      </c>
      <c r="P37" s="27">
        <f>(SUMIFS(INDEX(Load,,MATCH('Summarized Source Data'!$C37,Hour,0)),Month,'Summarized Source Data'!$A37,Sector,'Summarized Source Data'!P$2,Subsector,"Total",TimeOfWeek,$E37)-SUM(L37:N37)*INDEX(About!L$79:L$82,MATCH($B37,About!$A$79:$A$82,0),1))</f>
        <v>525231622</v>
      </c>
      <c r="Q37" s="29">
        <f t="shared" si="3"/>
        <v>525231622</v>
      </c>
      <c r="R37" s="33">
        <f>SUMIFS(INDEX(Load,,MATCH('Summarized Source Data'!$C37,Hour,0)),Month,'Summarized Source Data'!$A37,Sector,'Summarized Source Data'!R$2,TimeOfWeek,$E37)*INDEX(About!N$79:N$82,MATCH($B37,About!$A$79:$A$82,0),1)</f>
        <v>15100000</v>
      </c>
      <c r="S37" s="33">
        <f>SUMIFS(INDEX(Load,,MATCH('Summarized Source Data'!$C37,Hour,0)),Month,'Summarized Source Data'!$A37,Sector,'Summarized Source Data'!S$2,TimeOfWeek,$E37)*INDEX(About!O$79:O$82,MATCH($B37,About!$A$79:$A$82,0),1)</f>
        <v>15100000</v>
      </c>
      <c r="T37" s="33">
        <f>SUMIFS(INDEX(Load,,MATCH('Summarized Source Data'!$C37,Hour,0)),Month,'Summarized Source Data'!$A37,Sector,'Summarized Source Data'!T$2,TimeOfWeek,$E37)*INDEX(About!P$79:P$82,MATCH($B37,About!$A$79:$A$82,0),1)</f>
        <v>15100000</v>
      </c>
      <c r="U37" s="33">
        <f>SUMIFS(INDEX(Load,,MATCH('Summarized Source Data'!$C37,Hour,0)),Month,'Summarized Source Data'!$A37,Sector,'Summarized Source Data'!U$2,TimeOfWeek,$E37)*INDEX(About!Q$79:Q$82,MATCH($B37,About!$A$79:$A$82,0),1)</f>
        <v>15100000</v>
      </c>
      <c r="V37" s="33">
        <f>SUMIFS(INDEX(Load,,MATCH('Summarized Source Data'!$C37,Hour,0)),Month,'Summarized Source Data'!$A37,Sector,'Summarized Source Data'!V$2,TimeOfWeek,$E37)*INDEX(About!R$79:R$82,MATCH($B37,About!$A$79:$A$82,0),1)</f>
        <v>15100000</v>
      </c>
      <c r="W37" s="33">
        <f>SUMIFS(INDEX(Load,,MATCH('Summarized Source Data'!$C37,Hour,0)),Month,'Summarized Source Data'!$A37,Sector,'Summarized Source Data'!W$2,TimeOfWeek,$E37)*INDEX(About!S$79:S$82,MATCH($B37,About!$A$79:$A$82,0),1)</f>
        <v>15100000</v>
      </c>
      <c r="X37" s="27">
        <f>SUMIFS(INDEX(Load,,MATCH('Summarized Source Data'!$C37,Hour,0)),Month,'Summarized Source Data'!$A37,Sector,'Summarized Source Data'!X$2,Subsector,'Summarized Source Data'!X$3,TimeOfWeek,$E37)*INDEX(About!T$79:T$82,MATCH($B37,About!$A$79:$A$82,0),1)</f>
        <v>684000000</v>
      </c>
      <c r="Y37" s="29">
        <f t="shared" si="4"/>
        <v>684000000</v>
      </c>
      <c r="Z37" s="29">
        <f t="shared" si="4"/>
        <v>684000000</v>
      </c>
    </row>
    <row r="38" spans="1:26" outlineLevel="1" x14ac:dyDescent="0.3">
      <c r="A38">
        <f t="shared" si="0"/>
        <v>2</v>
      </c>
      <c r="B38" t="str">
        <f>INDEX('Category Mapping'!$G$28:$G$39,MATCH(A38,'Category Mapping'!$A$28:$A$39,0),1)</f>
        <v>Winter</v>
      </c>
      <c r="C38" t="s">
        <v>73</v>
      </c>
      <c r="D38" s="6" t="s">
        <v>148</v>
      </c>
      <c r="E38" t="s">
        <v>49</v>
      </c>
      <c r="F38" s="27">
        <f>SUMIFS(INDEX(Load,,MATCH('Summarized Source Data'!$C38,Hour,0)),Month,'Summarized Source Data'!$A38,Sector,'Summarized Source Data'!F$2,Subsector,'Summarized Source Data'!F$3,TimeOfWeek,$E38)*INDEX(About!B$79:B$82,MATCH($B38,About!$A$79:$A$82,0),1)</f>
        <v>13800000</v>
      </c>
      <c r="G38" s="27">
        <f>SUMIFS(INDEX(Load,,MATCH('Summarized Source Data'!$C38,Hour,0)),Month,'Summarized Source Data'!$A38,Sector,'Summarized Source Data'!G$2,Subsector,'Summarized Source Data'!G$3,TimeOfWeek,$E38)*INDEX(About!C$79:C$82,MATCH($B38,About!$A$79:$A$82,0),1)</f>
        <v>5782</v>
      </c>
      <c r="H38" s="27">
        <f>SUMIFS(INDEX(Load,,MATCH('Summarized Source Data'!$C38,Hour,0)),Month,'Summarized Source Data'!$A38,Sector,'Summarized Source Data'!H$2,Subsector,'Summarized Source Data'!H$3,TimeOfWeek,$E38)*INDEX(About!D$79:D$82,MATCH($B38,About!$A$79:$A$82,0),1)</f>
        <v>0</v>
      </c>
      <c r="I38" s="27">
        <f>SUMIFS(INDEX(Load,,MATCH('Summarized Source Data'!$C38,Hour,0)),Month,'Summarized Source Data'!$A38,Sector,'Summarized Source Data'!I$2,Subsector,'Summarized Source Data'!I$3,TimeOfWeek,$E38)*INDEX(About!E$79:E$82,MATCH($B38,About!$A$79:$A$82,0),1)</f>
        <v>10200000</v>
      </c>
      <c r="J38" s="54">
        <f t="shared" si="1"/>
        <v>110994218</v>
      </c>
      <c r="K38" s="27">
        <f>(SUMIFS(INDEX(Load,,MATCH('Summarized Source Data'!$C38,Hour,0)),Month,'Summarized Source Data'!$A38,Sector,'Summarized Source Data'!K$2,Subsector,"Total",TimeOfWeek,$E38)-SUM(F38:I38))*INDEX(About!G$79:G$82,MATCH($B38,About!$A$79:$A$82,0),1)</f>
        <v>110994218</v>
      </c>
      <c r="L38" s="27">
        <f>SUMIFS(INDEX(Load,,MATCH('Summarized Source Data'!$C38,Hour,0)),Month,'Summarized Source Data'!$A38,Sector,'Summarized Source Data'!L$2,Subsector,'Summarized Source Data'!L$3,TimeOfWeek,$E38)*INDEX(About!H$79:H$82,MATCH($B38,About!$A$79:$A$82,0),1)</f>
        <v>61500000</v>
      </c>
      <c r="M38" s="27">
        <f>SUMIFS(INDEX(Load,,MATCH('Summarized Source Data'!$C38,Hour,0)),Month,'Summarized Source Data'!$A38,Sector,'Summarized Source Data'!M$2,Subsector,'Summarized Source Data'!M$3,TimeOfWeek,$E38)*INDEX(About!I$79:I$82,MATCH($B38,About!$A$79:$A$82,0),1)</f>
        <v>72260</v>
      </c>
      <c r="N38" s="27">
        <f>SUMIFS(INDEX(Load,,MATCH('Summarized Source Data'!$C38,Hour,0)),Month,'Summarized Source Data'!$A38,Sector,'Summarized Source Data'!N$2,Subsector,'Summarized Source Data'!N$3,TimeOfWeek,$E38)*INDEX(About!J$79:J$82,MATCH($B38,About!$A$79:$A$82,0),1)</f>
        <v>0</v>
      </c>
      <c r="O38" s="29">
        <f t="shared" si="2"/>
        <v>522427740</v>
      </c>
      <c r="P38" s="27">
        <f>(SUMIFS(INDEX(Load,,MATCH('Summarized Source Data'!$C38,Hour,0)),Month,'Summarized Source Data'!$A38,Sector,'Summarized Source Data'!P$2,Subsector,"Total",TimeOfWeek,$E38)-SUM(L38:N38)*INDEX(About!L$79:L$82,MATCH($B38,About!$A$79:$A$82,0),1))</f>
        <v>522427740</v>
      </c>
      <c r="Q38" s="29">
        <f t="shared" si="3"/>
        <v>522427740</v>
      </c>
      <c r="R38" s="33">
        <f>SUMIFS(INDEX(Load,,MATCH('Summarized Source Data'!$C38,Hour,0)),Month,'Summarized Source Data'!$A38,Sector,'Summarized Source Data'!R$2,TimeOfWeek,$E38)*INDEX(About!N$79:N$82,MATCH($B38,About!$A$79:$A$82,0),1)</f>
        <v>12100000</v>
      </c>
      <c r="S38" s="33">
        <f>SUMIFS(INDEX(Load,,MATCH('Summarized Source Data'!$C38,Hour,0)),Month,'Summarized Source Data'!$A38,Sector,'Summarized Source Data'!S$2,TimeOfWeek,$E38)*INDEX(About!O$79:O$82,MATCH($B38,About!$A$79:$A$82,0),1)</f>
        <v>12100000</v>
      </c>
      <c r="T38" s="33">
        <f>SUMIFS(INDEX(Load,,MATCH('Summarized Source Data'!$C38,Hour,0)),Month,'Summarized Source Data'!$A38,Sector,'Summarized Source Data'!T$2,TimeOfWeek,$E38)*INDEX(About!P$79:P$82,MATCH($B38,About!$A$79:$A$82,0),1)</f>
        <v>12100000</v>
      </c>
      <c r="U38" s="33">
        <f>SUMIFS(INDEX(Load,,MATCH('Summarized Source Data'!$C38,Hour,0)),Month,'Summarized Source Data'!$A38,Sector,'Summarized Source Data'!U$2,TimeOfWeek,$E38)*INDEX(About!Q$79:Q$82,MATCH($B38,About!$A$79:$A$82,0),1)</f>
        <v>12100000</v>
      </c>
      <c r="V38" s="33">
        <f>SUMIFS(INDEX(Load,,MATCH('Summarized Source Data'!$C38,Hour,0)),Month,'Summarized Source Data'!$A38,Sector,'Summarized Source Data'!V$2,TimeOfWeek,$E38)*INDEX(About!R$79:R$82,MATCH($B38,About!$A$79:$A$82,0),1)</f>
        <v>12100000</v>
      </c>
      <c r="W38" s="33">
        <f>SUMIFS(INDEX(Load,,MATCH('Summarized Source Data'!$C38,Hour,0)),Month,'Summarized Source Data'!$A38,Sector,'Summarized Source Data'!W$2,TimeOfWeek,$E38)*INDEX(About!S$79:S$82,MATCH($B38,About!$A$79:$A$82,0),1)</f>
        <v>12100000</v>
      </c>
      <c r="X38" s="27">
        <f>SUMIFS(INDEX(Load,,MATCH('Summarized Source Data'!$C38,Hour,0)),Month,'Summarized Source Data'!$A38,Sector,'Summarized Source Data'!X$2,Subsector,'Summarized Source Data'!X$3,TimeOfWeek,$E38)*INDEX(About!T$79:T$82,MATCH($B38,About!$A$79:$A$82,0),1)</f>
        <v>681000000</v>
      </c>
      <c r="Y38" s="29">
        <f t="shared" si="4"/>
        <v>681000000</v>
      </c>
      <c r="Z38" s="29">
        <f t="shared" si="4"/>
        <v>681000000</v>
      </c>
    </row>
    <row r="39" spans="1:26" outlineLevel="1" x14ac:dyDescent="0.3">
      <c r="A39">
        <f t="shared" si="0"/>
        <v>2</v>
      </c>
      <c r="B39" t="str">
        <f>INDEX('Category Mapping'!$G$28:$G$39,MATCH(A39,'Category Mapping'!$A$28:$A$39,0),1)</f>
        <v>Winter</v>
      </c>
      <c r="C39" t="s">
        <v>74</v>
      </c>
      <c r="D39" s="6" t="s">
        <v>149</v>
      </c>
      <c r="E39" t="s">
        <v>49</v>
      </c>
      <c r="F39" s="27">
        <f>SUMIFS(INDEX(Load,,MATCH('Summarized Source Data'!$C39,Hour,0)),Month,'Summarized Source Data'!$A39,Sector,'Summarized Source Data'!F$2,Subsector,'Summarized Source Data'!F$3,TimeOfWeek,$E39)*INDEX(About!B$79:B$82,MATCH($B39,About!$A$79:$A$82,0),1)</f>
        <v>13700000</v>
      </c>
      <c r="G39" s="27">
        <f>SUMIFS(INDEX(Load,,MATCH('Summarized Source Data'!$C39,Hour,0)),Month,'Summarized Source Data'!$A39,Sector,'Summarized Source Data'!G$2,Subsector,'Summarized Source Data'!G$3,TimeOfWeek,$E39)*INDEX(About!C$79:C$82,MATCH($B39,About!$A$79:$A$82,0),1)</f>
        <v>6467</v>
      </c>
      <c r="H39" s="27">
        <f>SUMIFS(INDEX(Load,,MATCH('Summarized Source Data'!$C39,Hour,0)),Month,'Summarized Source Data'!$A39,Sector,'Summarized Source Data'!H$2,Subsector,'Summarized Source Data'!H$3,TimeOfWeek,$E39)*INDEX(About!D$79:D$82,MATCH($B39,About!$A$79:$A$82,0),1)</f>
        <v>0</v>
      </c>
      <c r="I39" s="27">
        <f>SUMIFS(INDEX(Load,,MATCH('Summarized Source Data'!$C39,Hour,0)),Month,'Summarized Source Data'!$A39,Sector,'Summarized Source Data'!I$2,Subsector,'Summarized Source Data'!I$3,TimeOfWeek,$E39)*INDEX(About!E$79:E$82,MATCH($B39,About!$A$79:$A$82,0),1)</f>
        <v>11200000</v>
      </c>
      <c r="J39" s="54">
        <f t="shared" si="1"/>
        <v>111093533</v>
      </c>
      <c r="K39" s="27">
        <f>(SUMIFS(INDEX(Load,,MATCH('Summarized Source Data'!$C39,Hour,0)),Month,'Summarized Source Data'!$A39,Sector,'Summarized Source Data'!K$2,Subsector,"Total",TimeOfWeek,$E39)-SUM(F39:I39))*INDEX(About!G$79:G$82,MATCH($B39,About!$A$79:$A$82,0),1)</f>
        <v>111093533</v>
      </c>
      <c r="L39" s="27">
        <f>SUMIFS(INDEX(Load,,MATCH('Summarized Source Data'!$C39,Hour,0)),Month,'Summarized Source Data'!$A39,Sector,'Summarized Source Data'!L$2,Subsector,'Summarized Source Data'!L$3,TimeOfWeek,$E39)*INDEX(About!H$79:H$82,MATCH($B39,About!$A$79:$A$82,0),1)</f>
        <v>53500000</v>
      </c>
      <c r="M39" s="27">
        <f>SUMIFS(INDEX(Load,,MATCH('Summarized Source Data'!$C39,Hour,0)),Month,'Summarized Source Data'!$A39,Sector,'Summarized Source Data'!M$2,Subsector,'Summarized Source Data'!M$3,TimeOfWeek,$E39)*INDEX(About!I$79:I$82,MATCH($B39,About!$A$79:$A$82,0),1)</f>
        <v>73170</v>
      </c>
      <c r="N39" s="27">
        <f>SUMIFS(INDEX(Load,,MATCH('Summarized Source Data'!$C39,Hour,0)),Month,'Summarized Source Data'!$A39,Sector,'Summarized Source Data'!N$2,Subsector,'Summarized Source Data'!N$3,TimeOfWeek,$E39)*INDEX(About!J$79:J$82,MATCH($B39,About!$A$79:$A$82,0),1)</f>
        <v>0</v>
      </c>
      <c r="O39" s="29">
        <f t="shared" si="2"/>
        <v>520426830</v>
      </c>
      <c r="P39" s="27">
        <f>(SUMIFS(INDEX(Load,,MATCH('Summarized Source Data'!$C39,Hour,0)),Month,'Summarized Source Data'!$A39,Sector,'Summarized Source Data'!P$2,Subsector,"Total",TimeOfWeek,$E39)-SUM(L39:N39)*INDEX(About!L$79:L$82,MATCH($B39,About!$A$79:$A$82,0),1))</f>
        <v>520426830</v>
      </c>
      <c r="Q39" s="29">
        <f t="shared" si="3"/>
        <v>520426830</v>
      </c>
      <c r="R39" s="33">
        <f>SUMIFS(INDEX(Load,,MATCH('Summarized Source Data'!$C39,Hour,0)),Month,'Summarized Source Data'!$A39,Sector,'Summarized Source Data'!R$2,TimeOfWeek,$E39)*INDEX(About!N$79:N$82,MATCH($B39,About!$A$79:$A$82,0),1)</f>
        <v>12200000</v>
      </c>
      <c r="S39" s="33">
        <f>SUMIFS(INDEX(Load,,MATCH('Summarized Source Data'!$C39,Hour,0)),Month,'Summarized Source Data'!$A39,Sector,'Summarized Source Data'!S$2,TimeOfWeek,$E39)*INDEX(About!O$79:O$82,MATCH($B39,About!$A$79:$A$82,0),1)</f>
        <v>12200000</v>
      </c>
      <c r="T39" s="33">
        <f>SUMIFS(INDEX(Load,,MATCH('Summarized Source Data'!$C39,Hour,0)),Month,'Summarized Source Data'!$A39,Sector,'Summarized Source Data'!T$2,TimeOfWeek,$E39)*INDEX(About!P$79:P$82,MATCH($B39,About!$A$79:$A$82,0),1)</f>
        <v>12200000</v>
      </c>
      <c r="U39" s="33">
        <f>SUMIFS(INDEX(Load,,MATCH('Summarized Source Data'!$C39,Hour,0)),Month,'Summarized Source Data'!$A39,Sector,'Summarized Source Data'!U$2,TimeOfWeek,$E39)*INDEX(About!Q$79:Q$82,MATCH($B39,About!$A$79:$A$82,0),1)</f>
        <v>12200000</v>
      </c>
      <c r="V39" s="33">
        <f>SUMIFS(INDEX(Load,,MATCH('Summarized Source Data'!$C39,Hour,0)),Month,'Summarized Source Data'!$A39,Sector,'Summarized Source Data'!V$2,TimeOfWeek,$E39)*INDEX(About!R$79:R$82,MATCH($B39,About!$A$79:$A$82,0),1)</f>
        <v>12200000</v>
      </c>
      <c r="W39" s="33">
        <f>SUMIFS(INDEX(Load,,MATCH('Summarized Source Data'!$C39,Hour,0)),Month,'Summarized Source Data'!$A39,Sector,'Summarized Source Data'!W$2,TimeOfWeek,$E39)*INDEX(About!S$79:S$82,MATCH($B39,About!$A$79:$A$82,0),1)</f>
        <v>12200000</v>
      </c>
      <c r="X39" s="27">
        <f>SUMIFS(INDEX(Load,,MATCH('Summarized Source Data'!$C39,Hour,0)),Month,'Summarized Source Data'!$A39,Sector,'Summarized Source Data'!X$2,Subsector,'Summarized Source Data'!X$3,TimeOfWeek,$E39)*INDEX(About!T$79:T$82,MATCH($B39,About!$A$79:$A$82,0),1)</f>
        <v>679000000</v>
      </c>
      <c r="Y39" s="29">
        <f t="shared" si="4"/>
        <v>679000000</v>
      </c>
      <c r="Z39" s="29">
        <f t="shared" si="4"/>
        <v>679000000</v>
      </c>
    </row>
    <row r="40" spans="1:26" outlineLevel="1" x14ac:dyDescent="0.3">
      <c r="A40">
        <f t="shared" si="0"/>
        <v>2</v>
      </c>
      <c r="B40" t="str">
        <f>INDEX('Category Mapping'!$G$28:$G$39,MATCH(A40,'Category Mapping'!$A$28:$A$39,0),1)</f>
        <v>Winter</v>
      </c>
      <c r="C40" t="s">
        <v>75</v>
      </c>
      <c r="D40" s="6" t="s">
        <v>150</v>
      </c>
      <c r="E40" t="s">
        <v>49</v>
      </c>
      <c r="F40" s="27">
        <f>SUMIFS(INDEX(Load,,MATCH('Summarized Source Data'!$C40,Hour,0)),Month,'Summarized Source Data'!$A40,Sector,'Summarized Source Data'!F$2,Subsector,'Summarized Source Data'!F$3,TimeOfWeek,$E40)*INDEX(About!B$79:B$82,MATCH($B40,About!$A$79:$A$82,0),1)</f>
        <v>13500000</v>
      </c>
      <c r="G40" s="27">
        <f>SUMIFS(INDEX(Load,,MATCH('Summarized Source Data'!$C40,Hour,0)),Month,'Summarized Source Data'!$A40,Sector,'Summarized Source Data'!G$2,Subsector,'Summarized Source Data'!G$3,TimeOfWeek,$E40)*INDEX(About!C$79:C$82,MATCH($B40,About!$A$79:$A$82,0),1)</f>
        <v>7020</v>
      </c>
      <c r="H40" s="27">
        <f>SUMIFS(INDEX(Load,,MATCH('Summarized Source Data'!$C40,Hour,0)),Month,'Summarized Source Data'!$A40,Sector,'Summarized Source Data'!H$2,Subsector,'Summarized Source Data'!H$3,TimeOfWeek,$E40)*INDEX(About!D$79:D$82,MATCH($B40,About!$A$79:$A$82,0),1)</f>
        <v>0</v>
      </c>
      <c r="I40" s="27">
        <f>SUMIFS(INDEX(Load,,MATCH('Summarized Source Data'!$C40,Hour,0)),Month,'Summarized Source Data'!$A40,Sector,'Summarized Source Data'!I$2,Subsector,'Summarized Source Data'!I$3,TimeOfWeek,$E40)*INDEX(About!E$79:E$82,MATCH($B40,About!$A$79:$A$82,0),1)</f>
        <v>11800000</v>
      </c>
      <c r="J40" s="54">
        <f t="shared" si="1"/>
        <v>106692980</v>
      </c>
      <c r="K40" s="27">
        <f>(SUMIFS(INDEX(Load,,MATCH('Summarized Source Data'!$C40,Hour,0)),Month,'Summarized Source Data'!$A40,Sector,'Summarized Source Data'!K$2,Subsector,"Total",TimeOfWeek,$E40)-SUM(F40:I40))*INDEX(About!G$79:G$82,MATCH($B40,About!$A$79:$A$82,0),1)</f>
        <v>106692980</v>
      </c>
      <c r="L40" s="27">
        <f>SUMIFS(INDEX(Load,,MATCH('Summarized Source Data'!$C40,Hour,0)),Month,'Summarized Source Data'!$A40,Sector,'Summarized Source Data'!L$2,Subsector,'Summarized Source Data'!L$3,TimeOfWeek,$E40)*INDEX(About!H$79:H$82,MATCH($B40,About!$A$79:$A$82,0),1)</f>
        <v>46800000</v>
      </c>
      <c r="M40" s="27">
        <f>SUMIFS(INDEX(Load,,MATCH('Summarized Source Data'!$C40,Hour,0)),Month,'Summarized Source Data'!$A40,Sector,'Summarized Source Data'!M$2,Subsector,'Summarized Source Data'!M$3,TimeOfWeek,$E40)*INDEX(About!I$79:I$82,MATCH($B40,About!$A$79:$A$82,0),1)</f>
        <v>70478</v>
      </c>
      <c r="N40" s="27">
        <f>SUMIFS(INDEX(Load,,MATCH('Summarized Source Data'!$C40,Hour,0)),Month,'Summarized Source Data'!$A40,Sector,'Summarized Source Data'!N$2,Subsector,'Summarized Source Data'!N$3,TimeOfWeek,$E40)*INDEX(About!J$79:J$82,MATCH($B40,About!$A$79:$A$82,0),1)</f>
        <v>0</v>
      </c>
      <c r="O40" s="29">
        <f t="shared" si="2"/>
        <v>512129522</v>
      </c>
      <c r="P40" s="27">
        <f>(SUMIFS(INDEX(Load,,MATCH('Summarized Source Data'!$C40,Hour,0)),Month,'Summarized Source Data'!$A40,Sector,'Summarized Source Data'!P$2,Subsector,"Total",TimeOfWeek,$E40)-SUM(L40:N40)*INDEX(About!L$79:L$82,MATCH($B40,About!$A$79:$A$82,0),1))</f>
        <v>512129522</v>
      </c>
      <c r="Q40" s="29">
        <f t="shared" si="3"/>
        <v>512129522</v>
      </c>
      <c r="R40" s="33">
        <f>SUMIFS(INDEX(Load,,MATCH('Summarized Source Data'!$C40,Hour,0)),Month,'Summarized Source Data'!$A40,Sector,'Summarized Source Data'!R$2,TimeOfWeek,$E40)*INDEX(About!N$79:N$82,MATCH($B40,About!$A$79:$A$82,0),1)</f>
        <v>12400000</v>
      </c>
      <c r="S40" s="33">
        <f>SUMIFS(INDEX(Load,,MATCH('Summarized Source Data'!$C40,Hour,0)),Month,'Summarized Source Data'!$A40,Sector,'Summarized Source Data'!S$2,TimeOfWeek,$E40)*INDEX(About!O$79:O$82,MATCH($B40,About!$A$79:$A$82,0),1)</f>
        <v>12400000</v>
      </c>
      <c r="T40" s="33">
        <f>SUMIFS(INDEX(Load,,MATCH('Summarized Source Data'!$C40,Hour,0)),Month,'Summarized Source Data'!$A40,Sector,'Summarized Source Data'!T$2,TimeOfWeek,$E40)*INDEX(About!P$79:P$82,MATCH($B40,About!$A$79:$A$82,0),1)</f>
        <v>12400000</v>
      </c>
      <c r="U40" s="33">
        <f>SUMIFS(INDEX(Load,,MATCH('Summarized Source Data'!$C40,Hour,0)),Month,'Summarized Source Data'!$A40,Sector,'Summarized Source Data'!U$2,TimeOfWeek,$E40)*INDEX(About!Q$79:Q$82,MATCH($B40,About!$A$79:$A$82,0),1)</f>
        <v>12400000</v>
      </c>
      <c r="V40" s="33">
        <f>SUMIFS(INDEX(Load,,MATCH('Summarized Source Data'!$C40,Hour,0)),Month,'Summarized Source Data'!$A40,Sector,'Summarized Source Data'!V$2,TimeOfWeek,$E40)*INDEX(About!R$79:R$82,MATCH($B40,About!$A$79:$A$82,0),1)</f>
        <v>12400000</v>
      </c>
      <c r="W40" s="33">
        <f>SUMIFS(INDEX(Load,,MATCH('Summarized Source Data'!$C40,Hour,0)),Month,'Summarized Source Data'!$A40,Sector,'Summarized Source Data'!W$2,TimeOfWeek,$E40)*INDEX(About!S$79:S$82,MATCH($B40,About!$A$79:$A$82,0),1)</f>
        <v>12400000</v>
      </c>
      <c r="X40" s="27">
        <f>SUMIFS(INDEX(Load,,MATCH('Summarized Source Data'!$C40,Hour,0)),Month,'Summarized Source Data'!$A40,Sector,'Summarized Source Data'!X$2,Subsector,'Summarized Source Data'!X$3,TimeOfWeek,$E40)*INDEX(About!T$79:T$82,MATCH($B40,About!$A$79:$A$82,0),1)</f>
        <v>677000000</v>
      </c>
      <c r="Y40" s="29">
        <f t="shared" si="4"/>
        <v>677000000</v>
      </c>
      <c r="Z40" s="29">
        <f t="shared" si="4"/>
        <v>677000000</v>
      </c>
    </row>
    <row r="41" spans="1:26" outlineLevel="1" x14ac:dyDescent="0.3">
      <c r="A41">
        <f t="shared" si="0"/>
        <v>2</v>
      </c>
      <c r="B41" t="str">
        <f>INDEX('Category Mapping'!$G$28:$G$39,MATCH(A41,'Category Mapping'!$A$28:$A$39,0),1)</f>
        <v>Winter</v>
      </c>
      <c r="C41" t="s">
        <v>76</v>
      </c>
      <c r="D41" s="6" t="s">
        <v>151</v>
      </c>
      <c r="E41" t="s">
        <v>49</v>
      </c>
      <c r="F41" s="27">
        <f>SUMIFS(INDEX(Load,,MATCH('Summarized Source Data'!$C41,Hour,0)),Month,'Summarized Source Data'!$A41,Sector,'Summarized Source Data'!F$2,Subsector,'Summarized Source Data'!F$3,TimeOfWeek,$E41)*INDEX(About!B$79:B$82,MATCH($B41,About!$A$79:$A$82,0),1)</f>
        <v>13300000</v>
      </c>
      <c r="G41" s="27">
        <f>SUMIFS(INDEX(Load,,MATCH('Summarized Source Data'!$C41,Hour,0)),Month,'Summarized Source Data'!$A41,Sector,'Summarized Source Data'!G$2,Subsector,'Summarized Source Data'!G$3,TimeOfWeek,$E41)*INDEX(About!C$79:C$82,MATCH($B41,About!$A$79:$A$82,0),1)</f>
        <v>7241</v>
      </c>
      <c r="H41" s="27">
        <f>SUMIFS(INDEX(Load,,MATCH('Summarized Source Data'!$C41,Hour,0)),Month,'Summarized Source Data'!$A41,Sector,'Summarized Source Data'!H$2,Subsector,'Summarized Source Data'!H$3,TimeOfWeek,$E41)*INDEX(About!D$79:D$82,MATCH($B41,About!$A$79:$A$82,0),1)</f>
        <v>0</v>
      </c>
      <c r="I41" s="27">
        <f>SUMIFS(INDEX(Load,,MATCH('Summarized Source Data'!$C41,Hour,0)),Month,'Summarized Source Data'!$A41,Sector,'Summarized Source Data'!I$2,Subsector,'Summarized Source Data'!I$3,TimeOfWeek,$E41)*INDEX(About!E$79:E$82,MATCH($B41,About!$A$79:$A$82,0),1)</f>
        <v>12000000</v>
      </c>
      <c r="J41" s="54">
        <f t="shared" si="1"/>
        <v>105692759</v>
      </c>
      <c r="K41" s="27">
        <f>(SUMIFS(INDEX(Load,,MATCH('Summarized Source Data'!$C41,Hour,0)),Month,'Summarized Source Data'!$A41,Sector,'Summarized Source Data'!K$2,Subsector,"Total",TimeOfWeek,$E41)-SUM(F41:I41))*INDEX(About!G$79:G$82,MATCH($B41,About!$A$79:$A$82,0),1)</f>
        <v>105692759</v>
      </c>
      <c r="L41" s="27">
        <f>SUMIFS(INDEX(Load,,MATCH('Summarized Source Data'!$C41,Hour,0)),Month,'Summarized Source Data'!$A41,Sector,'Summarized Source Data'!L$2,Subsector,'Summarized Source Data'!L$3,TimeOfWeek,$E41)*INDEX(About!H$79:H$82,MATCH($B41,About!$A$79:$A$82,0),1)</f>
        <v>43600000</v>
      </c>
      <c r="M41" s="27">
        <f>SUMIFS(INDEX(Load,,MATCH('Summarized Source Data'!$C41,Hour,0)),Month,'Summarized Source Data'!$A41,Sector,'Summarized Source Data'!M$2,Subsector,'Summarized Source Data'!M$3,TimeOfWeek,$E41)*INDEX(About!I$79:I$82,MATCH($B41,About!$A$79:$A$82,0),1)</f>
        <v>72146</v>
      </c>
      <c r="N41" s="27">
        <f>SUMIFS(INDEX(Load,,MATCH('Summarized Source Data'!$C41,Hour,0)),Month,'Summarized Source Data'!$A41,Sector,'Summarized Source Data'!N$2,Subsector,'Summarized Source Data'!N$3,TimeOfWeek,$E41)*INDEX(About!J$79:J$82,MATCH($B41,About!$A$79:$A$82,0),1)</f>
        <v>0</v>
      </c>
      <c r="O41" s="29">
        <f t="shared" si="2"/>
        <v>512327854</v>
      </c>
      <c r="P41" s="27">
        <f>(SUMIFS(INDEX(Load,,MATCH('Summarized Source Data'!$C41,Hour,0)),Month,'Summarized Source Data'!$A41,Sector,'Summarized Source Data'!P$2,Subsector,"Total",TimeOfWeek,$E41)-SUM(L41:N41)*INDEX(About!L$79:L$82,MATCH($B41,About!$A$79:$A$82,0),1))</f>
        <v>512327854</v>
      </c>
      <c r="Q41" s="29">
        <f t="shared" si="3"/>
        <v>512327854</v>
      </c>
      <c r="R41" s="33">
        <f>SUMIFS(INDEX(Load,,MATCH('Summarized Source Data'!$C41,Hour,0)),Month,'Summarized Source Data'!$A41,Sector,'Summarized Source Data'!R$2,TimeOfWeek,$E41)*INDEX(About!N$79:N$82,MATCH($B41,About!$A$79:$A$82,0),1)</f>
        <v>12300000</v>
      </c>
      <c r="S41" s="33">
        <f>SUMIFS(INDEX(Load,,MATCH('Summarized Source Data'!$C41,Hour,0)),Month,'Summarized Source Data'!$A41,Sector,'Summarized Source Data'!S$2,TimeOfWeek,$E41)*INDEX(About!O$79:O$82,MATCH($B41,About!$A$79:$A$82,0),1)</f>
        <v>12300000</v>
      </c>
      <c r="T41" s="33">
        <f>SUMIFS(INDEX(Load,,MATCH('Summarized Source Data'!$C41,Hour,0)),Month,'Summarized Source Data'!$A41,Sector,'Summarized Source Data'!T$2,TimeOfWeek,$E41)*INDEX(About!P$79:P$82,MATCH($B41,About!$A$79:$A$82,0),1)</f>
        <v>12300000</v>
      </c>
      <c r="U41" s="33">
        <f>SUMIFS(INDEX(Load,,MATCH('Summarized Source Data'!$C41,Hour,0)),Month,'Summarized Source Data'!$A41,Sector,'Summarized Source Data'!U$2,TimeOfWeek,$E41)*INDEX(About!Q$79:Q$82,MATCH($B41,About!$A$79:$A$82,0),1)</f>
        <v>12300000</v>
      </c>
      <c r="V41" s="33">
        <f>SUMIFS(INDEX(Load,,MATCH('Summarized Source Data'!$C41,Hour,0)),Month,'Summarized Source Data'!$A41,Sector,'Summarized Source Data'!V$2,TimeOfWeek,$E41)*INDEX(About!R$79:R$82,MATCH($B41,About!$A$79:$A$82,0),1)</f>
        <v>12300000</v>
      </c>
      <c r="W41" s="33">
        <f>SUMIFS(INDEX(Load,,MATCH('Summarized Source Data'!$C41,Hour,0)),Month,'Summarized Source Data'!$A41,Sector,'Summarized Source Data'!W$2,TimeOfWeek,$E41)*INDEX(About!S$79:S$82,MATCH($B41,About!$A$79:$A$82,0),1)</f>
        <v>12300000</v>
      </c>
      <c r="X41" s="27">
        <f>SUMIFS(INDEX(Load,,MATCH('Summarized Source Data'!$C41,Hour,0)),Month,'Summarized Source Data'!$A41,Sector,'Summarized Source Data'!X$2,Subsector,'Summarized Source Data'!X$3,TimeOfWeek,$E41)*INDEX(About!T$79:T$82,MATCH($B41,About!$A$79:$A$82,0),1)</f>
        <v>676000000</v>
      </c>
      <c r="Y41" s="29">
        <f t="shared" si="4"/>
        <v>676000000</v>
      </c>
      <c r="Z41" s="29">
        <f t="shared" si="4"/>
        <v>676000000</v>
      </c>
    </row>
    <row r="42" spans="1:26" outlineLevel="1" x14ac:dyDescent="0.3">
      <c r="A42">
        <f t="shared" si="0"/>
        <v>2</v>
      </c>
      <c r="B42" t="str">
        <f>INDEX('Category Mapping'!$G$28:$G$39,MATCH(A42,'Category Mapping'!$A$28:$A$39,0),1)</f>
        <v>Winter</v>
      </c>
      <c r="C42" t="s">
        <v>77</v>
      </c>
      <c r="D42" s="6" t="s">
        <v>152</v>
      </c>
      <c r="E42" t="s">
        <v>49</v>
      </c>
      <c r="F42" s="27">
        <f>SUMIFS(INDEX(Load,,MATCH('Summarized Source Data'!$C42,Hour,0)),Month,'Summarized Source Data'!$A42,Sector,'Summarized Source Data'!F$2,Subsector,'Summarized Source Data'!F$3,TimeOfWeek,$E42)*INDEX(About!B$79:B$82,MATCH($B42,About!$A$79:$A$82,0),1)</f>
        <v>13300000</v>
      </c>
      <c r="G42" s="27">
        <f>SUMIFS(INDEX(Load,,MATCH('Summarized Source Data'!$C42,Hour,0)),Month,'Summarized Source Data'!$A42,Sector,'Summarized Source Data'!G$2,Subsector,'Summarized Source Data'!G$3,TimeOfWeek,$E42)*INDEX(About!C$79:C$82,MATCH($B42,About!$A$79:$A$82,0),1)</f>
        <v>7561</v>
      </c>
      <c r="H42" s="27">
        <f>SUMIFS(INDEX(Load,,MATCH('Summarized Source Data'!$C42,Hour,0)),Month,'Summarized Source Data'!$A42,Sector,'Summarized Source Data'!H$2,Subsector,'Summarized Source Data'!H$3,TimeOfWeek,$E42)*INDEX(About!D$79:D$82,MATCH($B42,About!$A$79:$A$82,0),1)</f>
        <v>0</v>
      </c>
      <c r="I42" s="27">
        <f>SUMIFS(INDEX(Load,,MATCH('Summarized Source Data'!$C42,Hour,0)),Month,'Summarized Source Data'!$A42,Sector,'Summarized Source Data'!I$2,Subsector,'Summarized Source Data'!I$3,TimeOfWeek,$E42)*INDEX(About!E$79:E$82,MATCH($B42,About!$A$79:$A$82,0),1)</f>
        <v>12300000</v>
      </c>
      <c r="J42" s="54">
        <f t="shared" si="1"/>
        <v>109392439</v>
      </c>
      <c r="K42" s="27">
        <f>(SUMIFS(INDEX(Load,,MATCH('Summarized Source Data'!$C42,Hour,0)),Month,'Summarized Source Data'!$A42,Sector,'Summarized Source Data'!K$2,Subsector,"Total",TimeOfWeek,$E42)-SUM(F42:I42))*INDEX(About!G$79:G$82,MATCH($B42,About!$A$79:$A$82,0),1)</f>
        <v>109392439</v>
      </c>
      <c r="L42" s="27">
        <f>SUMIFS(INDEX(Load,,MATCH('Summarized Source Data'!$C42,Hour,0)),Month,'Summarized Source Data'!$A42,Sector,'Summarized Source Data'!L$2,Subsector,'Summarized Source Data'!L$3,TimeOfWeek,$E42)*INDEX(About!H$79:H$82,MATCH($B42,About!$A$79:$A$82,0),1)</f>
        <v>40700000</v>
      </c>
      <c r="M42" s="27">
        <f>SUMIFS(INDEX(Load,,MATCH('Summarized Source Data'!$C42,Hour,0)),Month,'Summarized Source Data'!$A42,Sector,'Summarized Source Data'!M$2,Subsector,'Summarized Source Data'!M$3,TimeOfWeek,$E42)*INDEX(About!I$79:I$82,MATCH($B42,About!$A$79:$A$82,0),1)</f>
        <v>73941</v>
      </c>
      <c r="N42" s="27">
        <f>SUMIFS(INDEX(Load,,MATCH('Summarized Source Data'!$C42,Hour,0)),Month,'Summarized Source Data'!$A42,Sector,'Summarized Source Data'!N$2,Subsector,'Summarized Source Data'!N$3,TimeOfWeek,$E42)*INDEX(About!J$79:J$82,MATCH($B42,About!$A$79:$A$82,0),1)</f>
        <v>0</v>
      </c>
      <c r="O42" s="29">
        <f t="shared" si="2"/>
        <v>512226059</v>
      </c>
      <c r="P42" s="27">
        <f>(SUMIFS(INDEX(Load,,MATCH('Summarized Source Data'!$C42,Hour,0)),Month,'Summarized Source Data'!$A42,Sector,'Summarized Source Data'!P$2,Subsector,"Total",TimeOfWeek,$E42)-SUM(L42:N42)*INDEX(About!L$79:L$82,MATCH($B42,About!$A$79:$A$82,0),1))</f>
        <v>512226059</v>
      </c>
      <c r="Q42" s="29">
        <f t="shared" si="3"/>
        <v>512226059</v>
      </c>
      <c r="R42" s="33">
        <f>SUMIFS(INDEX(Load,,MATCH('Summarized Source Data'!$C42,Hour,0)),Month,'Summarized Source Data'!$A42,Sector,'Summarized Source Data'!R$2,TimeOfWeek,$E42)*INDEX(About!N$79:N$82,MATCH($B42,About!$A$79:$A$82,0),1)</f>
        <v>12200000</v>
      </c>
      <c r="S42" s="33">
        <f>SUMIFS(INDEX(Load,,MATCH('Summarized Source Data'!$C42,Hour,0)),Month,'Summarized Source Data'!$A42,Sector,'Summarized Source Data'!S$2,TimeOfWeek,$E42)*INDEX(About!O$79:O$82,MATCH($B42,About!$A$79:$A$82,0),1)</f>
        <v>12200000</v>
      </c>
      <c r="T42" s="33">
        <f>SUMIFS(INDEX(Load,,MATCH('Summarized Source Data'!$C42,Hour,0)),Month,'Summarized Source Data'!$A42,Sector,'Summarized Source Data'!T$2,TimeOfWeek,$E42)*INDEX(About!P$79:P$82,MATCH($B42,About!$A$79:$A$82,0),1)</f>
        <v>12200000</v>
      </c>
      <c r="U42" s="33">
        <f>SUMIFS(INDEX(Load,,MATCH('Summarized Source Data'!$C42,Hour,0)),Month,'Summarized Source Data'!$A42,Sector,'Summarized Source Data'!U$2,TimeOfWeek,$E42)*INDEX(About!Q$79:Q$82,MATCH($B42,About!$A$79:$A$82,0),1)</f>
        <v>12200000</v>
      </c>
      <c r="V42" s="33">
        <f>SUMIFS(INDEX(Load,,MATCH('Summarized Source Data'!$C42,Hour,0)),Month,'Summarized Source Data'!$A42,Sector,'Summarized Source Data'!V$2,TimeOfWeek,$E42)*INDEX(About!R$79:R$82,MATCH($B42,About!$A$79:$A$82,0),1)</f>
        <v>12200000</v>
      </c>
      <c r="W42" s="33">
        <f>SUMIFS(INDEX(Load,,MATCH('Summarized Source Data'!$C42,Hour,0)),Month,'Summarized Source Data'!$A42,Sector,'Summarized Source Data'!W$2,TimeOfWeek,$E42)*INDEX(About!S$79:S$82,MATCH($B42,About!$A$79:$A$82,0),1)</f>
        <v>12200000</v>
      </c>
      <c r="X42" s="27">
        <f>SUMIFS(INDEX(Load,,MATCH('Summarized Source Data'!$C42,Hour,0)),Month,'Summarized Source Data'!$A42,Sector,'Summarized Source Data'!X$2,Subsector,'Summarized Source Data'!X$3,TimeOfWeek,$E42)*INDEX(About!T$79:T$82,MATCH($B42,About!$A$79:$A$82,0),1)</f>
        <v>677000000</v>
      </c>
      <c r="Y42" s="29">
        <f t="shared" si="4"/>
        <v>677000000</v>
      </c>
      <c r="Z42" s="29">
        <f t="shared" si="4"/>
        <v>677000000</v>
      </c>
    </row>
    <row r="43" spans="1:26" outlineLevel="1" x14ac:dyDescent="0.3">
      <c r="A43">
        <f t="shared" si="0"/>
        <v>2</v>
      </c>
      <c r="B43" t="str">
        <f>INDEX('Category Mapping'!$G$28:$G$39,MATCH(A43,'Category Mapping'!$A$28:$A$39,0),1)</f>
        <v>Winter</v>
      </c>
      <c r="C43" t="s">
        <v>78</v>
      </c>
      <c r="D43" s="6" t="s">
        <v>153</v>
      </c>
      <c r="E43" t="s">
        <v>49</v>
      </c>
      <c r="F43" s="27">
        <f>SUMIFS(INDEX(Load,,MATCH('Summarized Source Data'!$C43,Hour,0)),Month,'Summarized Source Data'!$A43,Sector,'Summarized Source Data'!F$2,Subsector,'Summarized Source Data'!F$3,TimeOfWeek,$E43)*INDEX(About!B$79:B$82,MATCH($B43,About!$A$79:$A$82,0),1)</f>
        <v>14000000</v>
      </c>
      <c r="G43" s="27">
        <f>SUMIFS(INDEX(Load,,MATCH('Summarized Source Data'!$C43,Hour,0)),Month,'Summarized Source Data'!$A43,Sector,'Summarized Source Data'!G$2,Subsector,'Summarized Source Data'!G$3,TimeOfWeek,$E43)*INDEX(About!C$79:C$82,MATCH($B43,About!$A$79:$A$82,0),1)</f>
        <v>8259</v>
      </c>
      <c r="H43" s="27">
        <f>SUMIFS(INDEX(Load,,MATCH('Summarized Source Data'!$C43,Hour,0)),Month,'Summarized Source Data'!$A43,Sector,'Summarized Source Data'!H$2,Subsector,'Summarized Source Data'!H$3,TimeOfWeek,$E43)*INDEX(About!D$79:D$82,MATCH($B43,About!$A$79:$A$82,0),1)</f>
        <v>0</v>
      </c>
      <c r="I43" s="27">
        <f>SUMIFS(INDEX(Load,,MATCH('Summarized Source Data'!$C43,Hour,0)),Month,'Summarized Source Data'!$A43,Sector,'Summarized Source Data'!I$2,Subsector,'Summarized Source Data'!I$3,TimeOfWeek,$E43)*INDEX(About!E$79:E$82,MATCH($B43,About!$A$79:$A$82,0),1)</f>
        <v>13300000</v>
      </c>
      <c r="J43" s="54">
        <f t="shared" si="1"/>
        <v>122691741</v>
      </c>
      <c r="K43" s="27">
        <f>(SUMIFS(INDEX(Load,,MATCH('Summarized Source Data'!$C43,Hour,0)),Month,'Summarized Source Data'!$A43,Sector,'Summarized Source Data'!K$2,Subsector,"Total",TimeOfWeek,$E43)-SUM(F43:I43))*INDEX(About!G$79:G$82,MATCH($B43,About!$A$79:$A$82,0),1)</f>
        <v>122691741</v>
      </c>
      <c r="L43" s="27">
        <f>SUMIFS(INDEX(Load,,MATCH('Summarized Source Data'!$C43,Hour,0)),Month,'Summarized Source Data'!$A43,Sector,'Summarized Source Data'!L$2,Subsector,'Summarized Source Data'!L$3,TimeOfWeek,$E43)*INDEX(About!H$79:H$82,MATCH($B43,About!$A$79:$A$82,0),1)</f>
        <v>39000000</v>
      </c>
      <c r="M43" s="27">
        <f>SUMIFS(INDEX(Load,,MATCH('Summarized Source Data'!$C43,Hour,0)),Month,'Summarized Source Data'!$A43,Sector,'Summarized Source Data'!M$2,Subsector,'Summarized Source Data'!M$3,TimeOfWeek,$E43)*INDEX(About!I$79:I$82,MATCH($B43,About!$A$79:$A$82,0),1)</f>
        <v>73972</v>
      </c>
      <c r="N43" s="27">
        <f>SUMIFS(INDEX(Load,,MATCH('Summarized Source Data'!$C43,Hour,0)),Month,'Summarized Source Data'!$A43,Sector,'Summarized Source Data'!N$2,Subsector,'Summarized Source Data'!N$3,TimeOfWeek,$E43)*INDEX(About!J$79:J$82,MATCH($B43,About!$A$79:$A$82,0),1)</f>
        <v>0</v>
      </c>
      <c r="O43" s="29">
        <f t="shared" si="2"/>
        <v>511926028</v>
      </c>
      <c r="P43" s="27">
        <f>(SUMIFS(INDEX(Load,,MATCH('Summarized Source Data'!$C43,Hour,0)),Month,'Summarized Source Data'!$A43,Sector,'Summarized Source Data'!P$2,Subsector,"Total",TimeOfWeek,$E43)-SUM(L43:N43)*INDEX(About!L$79:L$82,MATCH($B43,About!$A$79:$A$82,0),1))</f>
        <v>511926028</v>
      </c>
      <c r="Q43" s="29">
        <f t="shared" si="3"/>
        <v>511926028</v>
      </c>
      <c r="R43" s="33">
        <f>SUMIFS(INDEX(Load,,MATCH('Summarized Source Data'!$C43,Hour,0)),Month,'Summarized Source Data'!$A43,Sector,'Summarized Source Data'!R$2,TimeOfWeek,$E43)*INDEX(About!N$79:N$82,MATCH($B43,About!$A$79:$A$82,0),1)</f>
        <v>14500000</v>
      </c>
      <c r="S43" s="33">
        <f>SUMIFS(INDEX(Load,,MATCH('Summarized Source Data'!$C43,Hour,0)),Month,'Summarized Source Data'!$A43,Sector,'Summarized Source Data'!S$2,TimeOfWeek,$E43)*INDEX(About!O$79:O$82,MATCH($B43,About!$A$79:$A$82,0),1)</f>
        <v>14500000</v>
      </c>
      <c r="T43" s="33">
        <f>SUMIFS(INDEX(Load,,MATCH('Summarized Source Data'!$C43,Hour,0)),Month,'Summarized Source Data'!$A43,Sector,'Summarized Source Data'!T$2,TimeOfWeek,$E43)*INDEX(About!P$79:P$82,MATCH($B43,About!$A$79:$A$82,0),1)</f>
        <v>14500000</v>
      </c>
      <c r="U43" s="33">
        <f>SUMIFS(INDEX(Load,,MATCH('Summarized Source Data'!$C43,Hour,0)),Month,'Summarized Source Data'!$A43,Sector,'Summarized Source Data'!U$2,TimeOfWeek,$E43)*INDEX(About!Q$79:Q$82,MATCH($B43,About!$A$79:$A$82,0),1)</f>
        <v>14500000</v>
      </c>
      <c r="V43" s="33">
        <f>SUMIFS(INDEX(Load,,MATCH('Summarized Source Data'!$C43,Hour,0)),Month,'Summarized Source Data'!$A43,Sector,'Summarized Source Data'!V$2,TimeOfWeek,$E43)*INDEX(About!R$79:R$82,MATCH($B43,About!$A$79:$A$82,0),1)</f>
        <v>14500000</v>
      </c>
      <c r="W43" s="33">
        <f>SUMIFS(INDEX(Load,,MATCH('Summarized Source Data'!$C43,Hour,0)),Month,'Summarized Source Data'!$A43,Sector,'Summarized Source Data'!W$2,TimeOfWeek,$E43)*INDEX(About!S$79:S$82,MATCH($B43,About!$A$79:$A$82,0),1)</f>
        <v>14500000</v>
      </c>
      <c r="X43" s="27">
        <f>SUMIFS(INDEX(Load,,MATCH('Summarized Source Data'!$C43,Hour,0)),Month,'Summarized Source Data'!$A43,Sector,'Summarized Source Data'!X$2,Subsector,'Summarized Source Data'!X$3,TimeOfWeek,$E43)*INDEX(About!T$79:T$82,MATCH($B43,About!$A$79:$A$82,0),1)</f>
        <v>683000000</v>
      </c>
      <c r="Y43" s="29">
        <f t="shared" si="4"/>
        <v>683000000</v>
      </c>
      <c r="Z43" s="29">
        <f t="shared" si="4"/>
        <v>683000000</v>
      </c>
    </row>
    <row r="44" spans="1:26" outlineLevel="1" x14ac:dyDescent="0.3">
      <c r="A44">
        <f t="shared" si="0"/>
        <v>2</v>
      </c>
      <c r="B44" t="str">
        <f>INDEX('Category Mapping'!$G$28:$G$39,MATCH(A44,'Category Mapping'!$A$28:$A$39,0),1)</f>
        <v>Winter</v>
      </c>
      <c r="C44" t="s">
        <v>79</v>
      </c>
      <c r="D44" s="6" t="s">
        <v>154</v>
      </c>
      <c r="E44" t="s">
        <v>49</v>
      </c>
      <c r="F44" s="27">
        <f>SUMIFS(INDEX(Load,,MATCH('Summarized Source Data'!$C44,Hour,0)),Month,'Summarized Source Data'!$A44,Sector,'Summarized Source Data'!F$2,Subsector,'Summarized Source Data'!F$3,TimeOfWeek,$E44)*INDEX(About!B$79:B$82,MATCH($B44,About!$A$79:$A$82,0),1)</f>
        <v>14900000</v>
      </c>
      <c r="G44" s="27">
        <f>SUMIFS(INDEX(Load,,MATCH('Summarized Source Data'!$C44,Hour,0)),Month,'Summarized Source Data'!$A44,Sector,'Summarized Source Data'!G$2,Subsector,'Summarized Source Data'!G$3,TimeOfWeek,$E44)*INDEX(About!C$79:C$82,MATCH($B44,About!$A$79:$A$82,0),1)</f>
        <v>9018</v>
      </c>
      <c r="H44" s="27">
        <f>SUMIFS(INDEX(Load,,MATCH('Summarized Source Data'!$C44,Hour,0)),Month,'Summarized Source Data'!$A44,Sector,'Summarized Source Data'!H$2,Subsector,'Summarized Source Data'!H$3,TimeOfWeek,$E44)*INDEX(About!D$79:D$82,MATCH($B44,About!$A$79:$A$82,0),1)</f>
        <v>0</v>
      </c>
      <c r="I44" s="27">
        <f>SUMIFS(INDEX(Load,,MATCH('Summarized Source Data'!$C44,Hour,0)),Month,'Summarized Source Data'!$A44,Sector,'Summarized Source Data'!I$2,Subsector,'Summarized Source Data'!I$3,TimeOfWeek,$E44)*INDEX(About!E$79:E$82,MATCH($B44,About!$A$79:$A$82,0),1)</f>
        <v>22900000</v>
      </c>
      <c r="J44" s="54">
        <f t="shared" si="1"/>
        <v>149190982</v>
      </c>
      <c r="K44" s="27">
        <f>(SUMIFS(INDEX(Load,,MATCH('Summarized Source Data'!$C44,Hour,0)),Month,'Summarized Source Data'!$A44,Sector,'Summarized Source Data'!K$2,Subsector,"Total",TimeOfWeek,$E44)-SUM(F44:I44))*INDEX(About!G$79:G$82,MATCH($B44,About!$A$79:$A$82,0),1)</f>
        <v>149190982</v>
      </c>
      <c r="L44" s="27">
        <f>SUMIFS(INDEX(Load,,MATCH('Summarized Source Data'!$C44,Hour,0)),Month,'Summarized Source Data'!$A44,Sector,'Summarized Source Data'!L$2,Subsector,'Summarized Source Data'!L$3,TimeOfWeek,$E44)*INDEX(About!H$79:H$82,MATCH($B44,About!$A$79:$A$82,0),1)</f>
        <v>37900000</v>
      </c>
      <c r="M44" s="27">
        <f>SUMIFS(INDEX(Load,,MATCH('Summarized Source Data'!$C44,Hour,0)),Month,'Summarized Source Data'!$A44,Sector,'Summarized Source Data'!M$2,Subsector,'Summarized Source Data'!M$3,TimeOfWeek,$E44)*INDEX(About!I$79:I$82,MATCH($B44,About!$A$79:$A$82,0),1)</f>
        <v>72454</v>
      </c>
      <c r="N44" s="27">
        <f>SUMIFS(INDEX(Load,,MATCH('Summarized Source Data'!$C44,Hour,0)),Month,'Summarized Source Data'!$A44,Sector,'Summarized Source Data'!N$2,Subsector,'Summarized Source Data'!N$3,TimeOfWeek,$E44)*INDEX(About!J$79:J$82,MATCH($B44,About!$A$79:$A$82,0),1)</f>
        <v>0</v>
      </c>
      <c r="O44" s="29">
        <f t="shared" si="2"/>
        <v>495027546</v>
      </c>
      <c r="P44" s="27">
        <f>(SUMIFS(INDEX(Load,,MATCH('Summarized Source Data'!$C44,Hour,0)),Month,'Summarized Source Data'!$A44,Sector,'Summarized Source Data'!P$2,Subsector,"Total",TimeOfWeek,$E44)-SUM(L44:N44)*INDEX(About!L$79:L$82,MATCH($B44,About!$A$79:$A$82,0),1))</f>
        <v>495027546</v>
      </c>
      <c r="Q44" s="29">
        <f t="shared" si="3"/>
        <v>495027546</v>
      </c>
      <c r="R44" s="33">
        <f>SUMIFS(INDEX(Load,,MATCH('Summarized Source Data'!$C44,Hour,0)),Month,'Summarized Source Data'!$A44,Sector,'Summarized Source Data'!R$2,TimeOfWeek,$E44)*INDEX(About!N$79:N$82,MATCH($B44,About!$A$79:$A$82,0),1)</f>
        <v>16700000</v>
      </c>
      <c r="S44" s="33">
        <f>SUMIFS(INDEX(Load,,MATCH('Summarized Source Data'!$C44,Hour,0)),Month,'Summarized Source Data'!$A44,Sector,'Summarized Source Data'!S$2,TimeOfWeek,$E44)*INDEX(About!O$79:O$82,MATCH($B44,About!$A$79:$A$82,0),1)</f>
        <v>16700000</v>
      </c>
      <c r="T44" s="33">
        <f>SUMIFS(INDEX(Load,,MATCH('Summarized Source Data'!$C44,Hour,0)),Month,'Summarized Source Data'!$A44,Sector,'Summarized Source Data'!T$2,TimeOfWeek,$E44)*INDEX(About!P$79:P$82,MATCH($B44,About!$A$79:$A$82,0),1)</f>
        <v>16700000</v>
      </c>
      <c r="U44" s="33">
        <f>SUMIFS(INDEX(Load,,MATCH('Summarized Source Data'!$C44,Hour,0)),Month,'Summarized Source Data'!$A44,Sector,'Summarized Source Data'!U$2,TimeOfWeek,$E44)*INDEX(About!Q$79:Q$82,MATCH($B44,About!$A$79:$A$82,0),1)</f>
        <v>16700000</v>
      </c>
      <c r="V44" s="33">
        <f>SUMIFS(INDEX(Load,,MATCH('Summarized Source Data'!$C44,Hour,0)),Month,'Summarized Source Data'!$A44,Sector,'Summarized Source Data'!V$2,TimeOfWeek,$E44)*INDEX(About!R$79:R$82,MATCH($B44,About!$A$79:$A$82,0),1)</f>
        <v>16700000</v>
      </c>
      <c r="W44" s="33">
        <f>SUMIFS(INDEX(Load,,MATCH('Summarized Source Data'!$C44,Hour,0)),Month,'Summarized Source Data'!$A44,Sector,'Summarized Source Data'!W$2,TimeOfWeek,$E44)*INDEX(About!S$79:S$82,MATCH($B44,About!$A$79:$A$82,0),1)</f>
        <v>16700000</v>
      </c>
      <c r="X44" s="27">
        <f>SUMIFS(INDEX(Load,,MATCH('Summarized Source Data'!$C44,Hour,0)),Month,'Summarized Source Data'!$A44,Sector,'Summarized Source Data'!X$2,Subsector,'Summarized Source Data'!X$3,TimeOfWeek,$E44)*INDEX(About!T$79:T$82,MATCH($B44,About!$A$79:$A$82,0),1)</f>
        <v>690000000</v>
      </c>
      <c r="Y44" s="29">
        <f t="shared" si="4"/>
        <v>690000000</v>
      </c>
      <c r="Z44" s="29">
        <f t="shared" si="4"/>
        <v>690000000</v>
      </c>
    </row>
    <row r="45" spans="1:26" outlineLevel="1" x14ac:dyDescent="0.3">
      <c r="A45">
        <f t="shared" si="0"/>
        <v>2</v>
      </c>
      <c r="B45" t="str">
        <f>INDEX('Category Mapping'!$G$28:$G$39,MATCH(A45,'Category Mapping'!$A$28:$A$39,0),1)</f>
        <v>Winter</v>
      </c>
      <c r="C45" t="s">
        <v>80</v>
      </c>
      <c r="D45" s="6" t="s">
        <v>155</v>
      </c>
      <c r="E45" t="s">
        <v>49</v>
      </c>
      <c r="F45" s="27">
        <f>SUMIFS(INDEX(Load,,MATCH('Summarized Source Data'!$C45,Hour,0)),Month,'Summarized Source Data'!$A45,Sector,'Summarized Source Data'!F$2,Subsector,'Summarized Source Data'!F$3,TimeOfWeek,$E45)*INDEX(About!B$79:B$82,MATCH($B45,About!$A$79:$A$82,0),1)</f>
        <v>16200000</v>
      </c>
      <c r="G45" s="27">
        <f>SUMIFS(INDEX(Load,,MATCH('Summarized Source Data'!$C45,Hour,0)),Month,'Summarized Source Data'!$A45,Sector,'Summarized Source Data'!G$2,Subsector,'Summarized Source Data'!G$3,TimeOfWeek,$E45)*INDEX(About!C$79:C$82,MATCH($B45,About!$A$79:$A$82,0),1)</f>
        <v>9885</v>
      </c>
      <c r="H45" s="27">
        <f>SUMIFS(INDEX(Load,,MATCH('Summarized Source Data'!$C45,Hour,0)),Month,'Summarized Source Data'!$A45,Sector,'Summarized Source Data'!H$2,Subsector,'Summarized Source Data'!H$3,TimeOfWeek,$E45)*INDEX(About!D$79:D$82,MATCH($B45,About!$A$79:$A$82,0),1)</f>
        <v>0</v>
      </c>
      <c r="I45" s="27">
        <f>SUMIFS(INDEX(Load,,MATCH('Summarized Source Data'!$C45,Hour,0)),Month,'Summarized Source Data'!$A45,Sector,'Summarized Source Data'!I$2,Subsector,'Summarized Source Data'!I$3,TimeOfWeek,$E45)*INDEX(About!E$79:E$82,MATCH($B45,About!$A$79:$A$82,0),1)</f>
        <v>52500000</v>
      </c>
      <c r="J45" s="54">
        <f t="shared" si="1"/>
        <v>165290115</v>
      </c>
      <c r="K45" s="27">
        <f>(SUMIFS(INDEX(Load,,MATCH('Summarized Source Data'!$C45,Hour,0)),Month,'Summarized Source Data'!$A45,Sector,'Summarized Source Data'!K$2,Subsector,"Total",TimeOfWeek,$E45)-SUM(F45:I45))*INDEX(About!G$79:G$82,MATCH($B45,About!$A$79:$A$82,0),1)</f>
        <v>165290115</v>
      </c>
      <c r="L45" s="27">
        <f>SUMIFS(INDEX(Load,,MATCH('Summarized Source Data'!$C45,Hour,0)),Month,'Summarized Source Data'!$A45,Sector,'Summarized Source Data'!L$2,Subsector,'Summarized Source Data'!L$3,TimeOfWeek,$E45)*INDEX(About!H$79:H$82,MATCH($B45,About!$A$79:$A$82,0),1)</f>
        <v>37700000</v>
      </c>
      <c r="M45" s="27">
        <f>SUMIFS(INDEX(Load,,MATCH('Summarized Source Data'!$C45,Hour,0)),Month,'Summarized Source Data'!$A45,Sector,'Summarized Source Data'!M$2,Subsector,'Summarized Source Data'!M$3,TimeOfWeek,$E45)*INDEX(About!I$79:I$82,MATCH($B45,About!$A$79:$A$82,0),1)</f>
        <v>69079</v>
      </c>
      <c r="N45" s="27">
        <f>SUMIFS(INDEX(Load,,MATCH('Summarized Source Data'!$C45,Hour,0)),Month,'Summarized Source Data'!$A45,Sector,'Summarized Source Data'!N$2,Subsector,'Summarized Source Data'!N$3,TimeOfWeek,$E45)*INDEX(About!J$79:J$82,MATCH($B45,About!$A$79:$A$82,0),1)</f>
        <v>0</v>
      </c>
      <c r="O45" s="29">
        <f t="shared" si="2"/>
        <v>465230921</v>
      </c>
      <c r="P45" s="27">
        <f>(SUMIFS(INDEX(Load,,MATCH('Summarized Source Data'!$C45,Hour,0)),Month,'Summarized Source Data'!$A45,Sector,'Summarized Source Data'!P$2,Subsector,"Total",TimeOfWeek,$E45)-SUM(L45:N45)*INDEX(About!L$79:L$82,MATCH($B45,About!$A$79:$A$82,0),1))</f>
        <v>465230921</v>
      </c>
      <c r="Q45" s="29">
        <f t="shared" si="3"/>
        <v>465230921</v>
      </c>
      <c r="R45" s="33">
        <f>SUMIFS(INDEX(Load,,MATCH('Summarized Source Data'!$C45,Hour,0)),Month,'Summarized Source Data'!$A45,Sector,'Summarized Source Data'!R$2,TimeOfWeek,$E45)*INDEX(About!N$79:N$82,MATCH($B45,About!$A$79:$A$82,0),1)</f>
        <v>17600000</v>
      </c>
      <c r="S45" s="33">
        <f>SUMIFS(INDEX(Load,,MATCH('Summarized Source Data'!$C45,Hour,0)),Month,'Summarized Source Data'!$A45,Sector,'Summarized Source Data'!S$2,TimeOfWeek,$E45)*INDEX(About!O$79:O$82,MATCH($B45,About!$A$79:$A$82,0),1)</f>
        <v>17600000</v>
      </c>
      <c r="T45" s="33">
        <f>SUMIFS(INDEX(Load,,MATCH('Summarized Source Data'!$C45,Hour,0)),Month,'Summarized Source Data'!$A45,Sector,'Summarized Source Data'!T$2,TimeOfWeek,$E45)*INDEX(About!P$79:P$82,MATCH($B45,About!$A$79:$A$82,0),1)</f>
        <v>17600000</v>
      </c>
      <c r="U45" s="33">
        <f>SUMIFS(INDEX(Load,,MATCH('Summarized Source Data'!$C45,Hour,0)),Month,'Summarized Source Data'!$A45,Sector,'Summarized Source Data'!U$2,TimeOfWeek,$E45)*INDEX(About!Q$79:Q$82,MATCH($B45,About!$A$79:$A$82,0),1)</f>
        <v>17600000</v>
      </c>
      <c r="V45" s="33">
        <f>SUMIFS(INDEX(Load,,MATCH('Summarized Source Data'!$C45,Hour,0)),Month,'Summarized Source Data'!$A45,Sector,'Summarized Source Data'!V$2,TimeOfWeek,$E45)*INDEX(About!R$79:R$82,MATCH($B45,About!$A$79:$A$82,0),1)</f>
        <v>17600000</v>
      </c>
      <c r="W45" s="33">
        <f>SUMIFS(INDEX(Load,,MATCH('Summarized Source Data'!$C45,Hour,0)),Month,'Summarized Source Data'!$A45,Sector,'Summarized Source Data'!W$2,TimeOfWeek,$E45)*INDEX(About!S$79:S$82,MATCH($B45,About!$A$79:$A$82,0),1)</f>
        <v>17600000</v>
      </c>
      <c r="X45" s="27">
        <f>SUMIFS(INDEX(Load,,MATCH('Summarized Source Data'!$C45,Hour,0)),Month,'Summarized Source Data'!$A45,Sector,'Summarized Source Data'!X$2,Subsector,'Summarized Source Data'!X$3,TimeOfWeek,$E45)*INDEX(About!T$79:T$82,MATCH($B45,About!$A$79:$A$82,0),1)</f>
        <v>691000000</v>
      </c>
      <c r="Y45" s="29">
        <f t="shared" si="4"/>
        <v>691000000</v>
      </c>
      <c r="Z45" s="29">
        <f t="shared" si="4"/>
        <v>691000000</v>
      </c>
    </row>
    <row r="46" spans="1:26" outlineLevel="1" x14ac:dyDescent="0.3">
      <c r="A46">
        <f t="shared" si="0"/>
        <v>2</v>
      </c>
      <c r="B46" t="str">
        <f>INDEX('Category Mapping'!$G$28:$G$39,MATCH(A46,'Category Mapping'!$A$28:$A$39,0),1)</f>
        <v>Winter</v>
      </c>
      <c r="C46" t="s">
        <v>81</v>
      </c>
      <c r="D46" s="6" t="s">
        <v>156</v>
      </c>
      <c r="E46" t="s">
        <v>49</v>
      </c>
      <c r="F46" s="27">
        <f>SUMIFS(INDEX(Load,,MATCH('Summarized Source Data'!$C46,Hour,0)),Month,'Summarized Source Data'!$A46,Sector,'Summarized Source Data'!F$2,Subsector,'Summarized Source Data'!F$3,TimeOfWeek,$E46)*INDEX(About!B$79:B$82,MATCH($B46,About!$A$79:$A$82,0),1)</f>
        <v>17700000</v>
      </c>
      <c r="G46" s="27">
        <f>SUMIFS(INDEX(Load,,MATCH('Summarized Source Data'!$C46,Hour,0)),Month,'Summarized Source Data'!$A46,Sector,'Summarized Source Data'!G$2,Subsector,'Summarized Source Data'!G$3,TimeOfWeek,$E46)*INDEX(About!C$79:C$82,MATCH($B46,About!$A$79:$A$82,0),1)</f>
        <v>10973</v>
      </c>
      <c r="H46" s="27">
        <f>SUMIFS(INDEX(Load,,MATCH('Summarized Source Data'!$C46,Hour,0)),Month,'Summarized Source Data'!$A46,Sector,'Summarized Source Data'!H$2,Subsector,'Summarized Source Data'!H$3,TimeOfWeek,$E46)*INDEX(About!D$79:D$82,MATCH($B46,About!$A$79:$A$82,0),1)</f>
        <v>0</v>
      </c>
      <c r="I46" s="27">
        <f>SUMIFS(INDEX(Load,,MATCH('Summarized Source Data'!$C46,Hour,0)),Month,'Summarized Source Data'!$A46,Sector,'Summarized Source Data'!I$2,Subsector,'Summarized Source Data'!I$3,TimeOfWeek,$E46)*INDEX(About!E$79:E$82,MATCH($B46,About!$A$79:$A$82,0),1)</f>
        <v>57500000</v>
      </c>
      <c r="J46" s="54">
        <f t="shared" si="1"/>
        <v>160789027</v>
      </c>
      <c r="K46" s="27">
        <f>(SUMIFS(INDEX(Load,,MATCH('Summarized Source Data'!$C46,Hour,0)),Month,'Summarized Source Data'!$A46,Sector,'Summarized Source Data'!K$2,Subsector,"Total",TimeOfWeek,$E46)-SUM(F46:I46))*INDEX(About!G$79:G$82,MATCH($B46,About!$A$79:$A$82,0),1)</f>
        <v>160789027</v>
      </c>
      <c r="L46" s="27">
        <f>SUMIFS(INDEX(Load,,MATCH('Summarized Source Data'!$C46,Hour,0)),Month,'Summarized Source Data'!$A46,Sector,'Summarized Source Data'!L$2,Subsector,'Summarized Source Data'!L$3,TimeOfWeek,$E46)*INDEX(About!H$79:H$82,MATCH($B46,About!$A$79:$A$82,0),1)</f>
        <v>43800000</v>
      </c>
      <c r="M46" s="27">
        <f>SUMIFS(INDEX(Load,,MATCH('Summarized Source Data'!$C46,Hour,0)),Month,'Summarized Source Data'!$A46,Sector,'Summarized Source Data'!M$2,Subsector,'Summarized Source Data'!M$3,TimeOfWeek,$E46)*INDEX(About!I$79:I$82,MATCH($B46,About!$A$79:$A$82,0),1)</f>
        <v>66155</v>
      </c>
      <c r="N46" s="27">
        <f>SUMIFS(INDEX(Load,,MATCH('Summarized Source Data'!$C46,Hour,0)),Month,'Summarized Source Data'!$A46,Sector,'Summarized Source Data'!N$2,Subsector,'Summarized Source Data'!N$3,TimeOfWeek,$E46)*INDEX(About!J$79:J$82,MATCH($B46,About!$A$79:$A$82,0),1)</f>
        <v>0</v>
      </c>
      <c r="O46" s="29">
        <f t="shared" si="2"/>
        <v>443133845</v>
      </c>
      <c r="P46" s="27">
        <f>(SUMIFS(INDEX(Load,,MATCH('Summarized Source Data'!$C46,Hour,0)),Month,'Summarized Source Data'!$A46,Sector,'Summarized Source Data'!P$2,Subsector,"Total",TimeOfWeek,$E46)-SUM(L46:N46)*INDEX(About!L$79:L$82,MATCH($B46,About!$A$79:$A$82,0),1))</f>
        <v>443133845</v>
      </c>
      <c r="Q46" s="29">
        <f t="shared" si="3"/>
        <v>443133845</v>
      </c>
      <c r="R46" s="33">
        <f>SUMIFS(INDEX(Load,,MATCH('Summarized Source Data'!$C46,Hour,0)),Month,'Summarized Source Data'!$A46,Sector,'Summarized Source Data'!R$2,TimeOfWeek,$E46)*INDEX(About!N$79:N$82,MATCH($B46,About!$A$79:$A$82,0),1)</f>
        <v>16200000</v>
      </c>
      <c r="S46" s="33">
        <f>SUMIFS(INDEX(Load,,MATCH('Summarized Source Data'!$C46,Hour,0)),Month,'Summarized Source Data'!$A46,Sector,'Summarized Source Data'!S$2,TimeOfWeek,$E46)*INDEX(About!O$79:O$82,MATCH($B46,About!$A$79:$A$82,0),1)</f>
        <v>16200000</v>
      </c>
      <c r="T46" s="33">
        <f>SUMIFS(INDEX(Load,,MATCH('Summarized Source Data'!$C46,Hour,0)),Month,'Summarized Source Data'!$A46,Sector,'Summarized Source Data'!T$2,TimeOfWeek,$E46)*INDEX(About!P$79:P$82,MATCH($B46,About!$A$79:$A$82,0),1)</f>
        <v>16200000</v>
      </c>
      <c r="U46" s="33">
        <f>SUMIFS(INDEX(Load,,MATCH('Summarized Source Data'!$C46,Hour,0)),Month,'Summarized Source Data'!$A46,Sector,'Summarized Source Data'!U$2,TimeOfWeek,$E46)*INDEX(About!Q$79:Q$82,MATCH($B46,About!$A$79:$A$82,0),1)</f>
        <v>16200000</v>
      </c>
      <c r="V46" s="33">
        <f>SUMIFS(INDEX(Load,,MATCH('Summarized Source Data'!$C46,Hour,0)),Month,'Summarized Source Data'!$A46,Sector,'Summarized Source Data'!V$2,TimeOfWeek,$E46)*INDEX(About!R$79:R$82,MATCH($B46,About!$A$79:$A$82,0),1)</f>
        <v>16200000</v>
      </c>
      <c r="W46" s="33">
        <f>SUMIFS(INDEX(Load,,MATCH('Summarized Source Data'!$C46,Hour,0)),Month,'Summarized Source Data'!$A46,Sector,'Summarized Source Data'!W$2,TimeOfWeek,$E46)*INDEX(About!S$79:S$82,MATCH($B46,About!$A$79:$A$82,0),1)</f>
        <v>16200000</v>
      </c>
      <c r="X46" s="27">
        <f>SUMIFS(INDEX(Load,,MATCH('Summarized Source Data'!$C46,Hour,0)),Month,'Summarized Source Data'!$A46,Sector,'Summarized Source Data'!X$2,Subsector,'Summarized Source Data'!X$3,TimeOfWeek,$E46)*INDEX(About!T$79:T$82,MATCH($B46,About!$A$79:$A$82,0),1)</f>
        <v>688000000</v>
      </c>
      <c r="Y46" s="29">
        <f t="shared" si="4"/>
        <v>688000000</v>
      </c>
      <c r="Z46" s="29">
        <f t="shared" si="4"/>
        <v>688000000</v>
      </c>
    </row>
    <row r="47" spans="1:26" outlineLevel="1" x14ac:dyDescent="0.3">
      <c r="A47">
        <f t="shared" si="0"/>
        <v>2</v>
      </c>
      <c r="B47" t="str">
        <f>INDEX('Category Mapping'!$G$28:$G$39,MATCH(A47,'Category Mapping'!$A$28:$A$39,0),1)</f>
        <v>Winter</v>
      </c>
      <c r="C47" t="s">
        <v>82</v>
      </c>
      <c r="D47" s="6" t="s">
        <v>157</v>
      </c>
      <c r="E47" t="s">
        <v>49</v>
      </c>
      <c r="F47" s="27">
        <f>SUMIFS(INDEX(Load,,MATCH('Summarized Source Data'!$C47,Hour,0)),Month,'Summarized Source Data'!$A47,Sector,'Summarized Source Data'!F$2,Subsector,'Summarized Source Data'!F$3,TimeOfWeek,$E47)*INDEX(About!B$79:B$82,MATCH($B47,About!$A$79:$A$82,0),1)</f>
        <v>19200000</v>
      </c>
      <c r="G47" s="27">
        <f>SUMIFS(INDEX(Load,,MATCH('Summarized Source Data'!$C47,Hour,0)),Month,'Summarized Source Data'!$A47,Sector,'Summarized Source Data'!G$2,Subsector,'Summarized Source Data'!G$3,TimeOfWeek,$E47)*INDEX(About!C$79:C$82,MATCH($B47,About!$A$79:$A$82,0),1)</f>
        <v>12087</v>
      </c>
      <c r="H47" s="27">
        <f>SUMIFS(INDEX(Load,,MATCH('Summarized Source Data'!$C47,Hour,0)),Month,'Summarized Source Data'!$A47,Sector,'Summarized Source Data'!H$2,Subsector,'Summarized Source Data'!H$3,TimeOfWeek,$E47)*INDEX(About!D$79:D$82,MATCH($B47,About!$A$79:$A$82,0),1)</f>
        <v>0</v>
      </c>
      <c r="I47" s="27">
        <f>SUMIFS(INDEX(Load,,MATCH('Summarized Source Data'!$C47,Hour,0)),Month,'Summarized Source Data'!$A47,Sector,'Summarized Source Data'!I$2,Subsector,'Summarized Source Data'!I$3,TimeOfWeek,$E47)*INDEX(About!E$79:E$82,MATCH($B47,About!$A$79:$A$82,0),1)</f>
        <v>61900000</v>
      </c>
      <c r="J47" s="54">
        <f t="shared" si="1"/>
        <v>153887913</v>
      </c>
      <c r="K47" s="27">
        <f>(SUMIFS(INDEX(Load,,MATCH('Summarized Source Data'!$C47,Hour,0)),Month,'Summarized Source Data'!$A47,Sector,'Summarized Source Data'!K$2,Subsector,"Total",TimeOfWeek,$E47)-SUM(F47:I47))*INDEX(About!G$79:G$82,MATCH($B47,About!$A$79:$A$82,0),1)</f>
        <v>153887913</v>
      </c>
      <c r="L47" s="27">
        <f>SUMIFS(INDEX(Load,,MATCH('Summarized Source Data'!$C47,Hour,0)),Month,'Summarized Source Data'!$A47,Sector,'Summarized Source Data'!L$2,Subsector,'Summarized Source Data'!L$3,TimeOfWeek,$E47)*INDEX(About!H$79:H$82,MATCH($B47,About!$A$79:$A$82,0),1)</f>
        <v>50800000</v>
      </c>
      <c r="M47" s="27">
        <f>SUMIFS(INDEX(Load,,MATCH('Summarized Source Data'!$C47,Hour,0)),Month,'Summarized Source Data'!$A47,Sector,'Summarized Source Data'!M$2,Subsector,'Summarized Source Data'!M$3,TimeOfWeek,$E47)*INDEX(About!I$79:I$82,MATCH($B47,About!$A$79:$A$82,0),1)</f>
        <v>61982</v>
      </c>
      <c r="N47" s="27">
        <f>SUMIFS(INDEX(Load,,MATCH('Summarized Source Data'!$C47,Hour,0)),Month,'Summarized Source Data'!$A47,Sector,'Summarized Source Data'!N$2,Subsector,'Summarized Source Data'!N$3,TimeOfWeek,$E47)*INDEX(About!J$79:J$82,MATCH($B47,About!$A$79:$A$82,0),1)</f>
        <v>0</v>
      </c>
      <c r="O47" s="29">
        <f t="shared" si="2"/>
        <v>371138018</v>
      </c>
      <c r="P47" s="27">
        <f>(SUMIFS(INDEX(Load,,MATCH('Summarized Source Data'!$C47,Hour,0)),Month,'Summarized Source Data'!$A47,Sector,'Summarized Source Data'!P$2,Subsector,"Total",TimeOfWeek,$E47)-SUM(L47:N47)*INDEX(About!L$79:L$82,MATCH($B47,About!$A$79:$A$82,0),1))</f>
        <v>371138018</v>
      </c>
      <c r="Q47" s="29">
        <f t="shared" si="3"/>
        <v>371138018</v>
      </c>
      <c r="R47" s="33">
        <f>SUMIFS(INDEX(Load,,MATCH('Summarized Source Data'!$C47,Hour,0)),Month,'Summarized Source Data'!$A47,Sector,'Summarized Source Data'!R$2,TimeOfWeek,$E47)*INDEX(About!N$79:N$82,MATCH($B47,About!$A$79:$A$82,0),1)</f>
        <v>13200000</v>
      </c>
      <c r="S47" s="33">
        <f>SUMIFS(INDEX(Load,,MATCH('Summarized Source Data'!$C47,Hour,0)),Month,'Summarized Source Data'!$A47,Sector,'Summarized Source Data'!S$2,TimeOfWeek,$E47)*INDEX(About!O$79:O$82,MATCH($B47,About!$A$79:$A$82,0),1)</f>
        <v>13200000</v>
      </c>
      <c r="T47" s="33">
        <f>SUMIFS(INDEX(Load,,MATCH('Summarized Source Data'!$C47,Hour,0)),Month,'Summarized Source Data'!$A47,Sector,'Summarized Source Data'!T$2,TimeOfWeek,$E47)*INDEX(About!P$79:P$82,MATCH($B47,About!$A$79:$A$82,0),1)</f>
        <v>13200000</v>
      </c>
      <c r="U47" s="33">
        <f>SUMIFS(INDEX(Load,,MATCH('Summarized Source Data'!$C47,Hour,0)),Month,'Summarized Source Data'!$A47,Sector,'Summarized Source Data'!U$2,TimeOfWeek,$E47)*INDEX(About!Q$79:Q$82,MATCH($B47,About!$A$79:$A$82,0),1)</f>
        <v>13200000</v>
      </c>
      <c r="V47" s="33">
        <f>SUMIFS(INDEX(Load,,MATCH('Summarized Source Data'!$C47,Hour,0)),Month,'Summarized Source Data'!$A47,Sector,'Summarized Source Data'!V$2,TimeOfWeek,$E47)*INDEX(About!R$79:R$82,MATCH($B47,About!$A$79:$A$82,0),1)</f>
        <v>13200000</v>
      </c>
      <c r="W47" s="33">
        <f>SUMIFS(INDEX(Load,,MATCH('Summarized Source Data'!$C47,Hour,0)),Month,'Summarized Source Data'!$A47,Sector,'Summarized Source Data'!W$2,TimeOfWeek,$E47)*INDEX(About!S$79:S$82,MATCH($B47,About!$A$79:$A$82,0),1)</f>
        <v>13200000</v>
      </c>
      <c r="X47" s="27">
        <f>SUMIFS(INDEX(Load,,MATCH('Summarized Source Data'!$C47,Hour,0)),Month,'Summarized Source Data'!$A47,Sector,'Summarized Source Data'!X$2,Subsector,'Summarized Source Data'!X$3,TimeOfWeek,$E47)*INDEX(About!T$79:T$82,MATCH($B47,About!$A$79:$A$82,0),1)</f>
        <v>684000000</v>
      </c>
      <c r="Y47" s="29">
        <f t="shared" si="4"/>
        <v>684000000</v>
      </c>
      <c r="Z47" s="29">
        <f t="shared" si="4"/>
        <v>684000000</v>
      </c>
    </row>
    <row r="48" spans="1:26" outlineLevel="1" x14ac:dyDescent="0.3">
      <c r="A48">
        <f t="shared" si="0"/>
        <v>2</v>
      </c>
      <c r="B48" t="str">
        <f>INDEX('Category Mapping'!$G$28:$G$39,MATCH(A48,'Category Mapping'!$A$28:$A$39,0),1)</f>
        <v>Winter</v>
      </c>
      <c r="C48" t="s">
        <v>83</v>
      </c>
      <c r="D48" s="6" t="s">
        <v>158</v>
      </c>
      <c r="E48" t="s">
        <v>49</v>
      </c>
      <c r="F48" s="27">
        <f>SUMIFS(INDEX(Load,,MATCH('Summarized Source Data'!$C48,Hour,0)),Month,'Summarized Source Data'!$A48,Sector,'Summarized Source Data'!F$2,Subsector,'Summarized Source Data'!F$3,TimeOfWeek,$E48)*INDEX(About!B$79:B$82,MATCH($B48,About!$A$79:$A$82,0),1)</f>
        <v>20200000</v>
      </c>
      <c r="G48" s="27">
        <f>SUMIFS(INDEX(Load,,MATCH('Summarized Source Data'!$C48,Hour,0)),Month,'Summarized Source Data'!$A48,Sector,'Summarized Source Data'!G$2,Subsector,'Summarized Source Data'!G$3,TimeOfWeek,$E48)*INDEX(About!C$79:C$82,MATCH($B48,About!$A$79:$A$82,0),1)</f>
        <v>13083</v>
      </c>
      <c r="H48" s="27">
        <f>SUMIFS(INDEX(Load,,MATCH('Summarized Source Data'!$C48,Hour,0)),Month,'Summarized Source Data'!$A48,Sector,'Summarized Source Data'!H$2,Subsector,'Summarized Source Data'!H$3,TimeOfWeek,$E48)*INDEX(About!D$79:D$82,MATCH($B48,About!$A$79:$A$82,0),1)</f>
        <v>0</v>
      </c>
      <c r="I48" s="27">
        <f>SUMIFS(INDEX(Load,,MATCH('Summarized Source Data'!$C48,Hour,0)),Month,'Summarized Source Data'!$A48,Sector,'Summarized Source Data'!I$2,Subsector,'Summarized Source Data'!I$3,TimeOfWeek,$E48)*INDEX(About!E$79:E$82,MATCH($B48,About!$A$79:$A$82,0),1)</f>
        <v>62900000</v>
      </c>
      <c r="J48" s="54">
        <f t="shared" si="1"/>
        <v>149886917</v>
      </c>
      <c r="K48" s="27">
        <f>(SUMIFS(INDEX(Load,,MATCH('Summarized Source Data'!$C48,Hour,0)),Month,'Summarized Source Data'!$A48,Sector,'Summarized Source Data'!K$2,Subsector,"Total",TimeOfWeek,$E48)-SUM(F48:I48))*INDEX(About!G$79:G$82,MATCH($B48,About!$A$79:$A$82,0),1)</f>
        <v>149886917</v>
      </c>
      <c r="L48" s="27">
        <f>SUMIFS(INDEX(Load,,MATCH('Summarized Source Data'!$C48,Hour,0)),Month,'Summarized Source Data'!$A48,Sector,'Summarized Source Data'!L$2,Subsector,'Summarized Source Data'!L$3,TimeOfWeek,$E48)*INDEX(About!H$79:H$82,MATCH($B48,About!$A$79:$A$82,0),1)</f>
        <v>55400000</v>
      </c>
      <c r="M48" s="27">
        <f>SUMIFS(INDEX(Load,,MATCH('Summarized Source Data'!$C48,Hour,0)),Month,'Summarized Source Data'!$A48,Sector,'Summarized Source Data'!M$2,Subsector,'Summarized Source Data'!M$3,TimeOfWeek,$E48)*INDEX(About!I$79:I$82,MATCH($B48,About!$A$79:$A$82,0),1)</f>
        <v>58472</v>
      </c>
      <c r="N48" s="27">
        <f>SUMIFS(INDEX(Load,,MATCH('Summarized Source Data'!$C48,Hour,0)),Month,'Summarized Source Data'!$A48,Sector,'Summarized Source Data'!N$2,Subsector,'Summarized Source Data'!N$3,TimeOfWeek,$E48)*INDEX(About!J$79:J$82,MATCH($B48,About!$A$79:$A$82,0),1)</f>
        <v>0</v>
      </c>
      <c r="O48" s="29">
        <f t="shared" si="2"/>
        <v>307541528</v>
      </c>
      <c r="P48" s="27">
        <f>(SUMIFS(INDEX(Load,,MATCH('Summarized Source Data'!$C48,Hour,0)),Month,'Summarized Source Data'!$A48,Sector,'Summarized Source Data'!P$2,Subsector,"Total",TimeOfWeek,$E48)-SUM(L48:N48)*INDEX(About!L$79:L$82,MATCH($B48,About!$A$79:$A$82,0),1))</f>
        <v>307541528</v>
      </c>
      <c r="Q48" s="29">
        <f t="shared" si="3"/>
        <v>307541528</v>
      </c>
      <c r="R48" s="33">
        <f>SUMIFS(INDEX(Load,,MATCH('Summarized Source Data'!$C48,Hour,0)),Month,'Summarized Source Data'!$A48,Sector,'Summarized Source Data'!R$2,TimeOfWeek,$E48)*INDEX(About!N$79:N$82,MATCH($B48,About!$A$79:$A$82,0),1)</f>
        <v>12100000</v>
      </c>
      <c r="S48" s="33">
        <f>SUMIFS(INDEX(Load,,MATCH('Summarized Source Data'!$C48,Hour,0)),Month,'Summarized Source Data'!$A48,Sector,'Summarized Source Data'!S$2,TimeOfWeek,$E48)*INDEX(About!O$79:O$82,MATCH($B48,About!$A$79:$A$82,0),1)</f>
        <v>12100000</v>
      </c>
      <c r="T48" s="33">
        <f>SUMIFS(INDEX(Load,,MATCH('Summarized Source Data'!$C48,Hour,0)),Month,'Summarized Source Data'!$A48,Sector,'Summarized Source Data'!T$2,TimeOfWeek,$E48)*INDEX(About!P$79:P$82,MATCH($B48,About!$A$79:$A$82,0),1)</f>
        <v>12100000</v>
      </c>
      <c r="U48" s="33">
        <f>SUMIFS(INDEX(Load,,MATCH('Summarized Source Data'!$C48,Hour,0)),Month,'Summarized Source Data'!$A48,Sector,'Summarized Source Data'!U$2,TimeOfWeek,$E48)*INDEX(About!Q$79:Q$82,MATCH($B48,About!$A$79:$A$82,0),1)</f>
        <v>12100000</v>
      </c>
      <c r="V48" s="33">
        <f>SUMIFS(INDEX(Load,,MATCH('Summarized Source Data'!$C48,Hour,0)),Month,'Summarized Source Data'!$A48,Sector,'Summarized Source Data'!V$2,TimeOfWeek,$E48)*INDEX(About!R$79:R$82,MATCH($B48,About!$A$79:$A$82,0),1)</f>
        <v>12100000</v>
      </c>
      <c r="W48" s="33">
        <f>SUMIFS(INDEX(Load,,MATCH('Summarized Source Data'!$C48,Hour,0)),Month,'Summarized Source Data'!$A48,Sector,'Summarized Source Data'!W$2,TimeOfWeek,$E48)*INDEX(About!S$79:S$82,MATCH($B48,About!$A$79:$A$82,0),1)</f>
        <v>12100000</v>
      </c>
      <c r="X48" s="27">
        <f>SUMIFS(INDEX(Load,,MATCH('Summarized Source Data'!$C48,Hour,0)),Month,'Summarized Source Data'!$A48,Sector,'Summarized Source Data'!X$2,Subsector,'Summarized Source Data'!X$3,TimeOfWeek,$E48)*INDEX(About!T$79:T$82,MATCH($B48,About!$A$79:$A$82,0),1)</f>
        <v>679000000</v>
      </c>
      <c r="Y48" s="29">
        <f t="shared" si="4"/>
        <v>679000000</v>
      </c>
      <c r="Z48" s="29">
        <f t="shared" si="4"/>
        <v>679000000</v>
      </c>
    </row>
    <row r="49" spans="1:26" outlineLevel="1" x14ac:dyDescent="0.3">
      <c r="A49">
        <f t="shared" si="0"/>
        <v>2</v>
      </c>
      <c r="B49" t="str">
        <f>INDEX('Category Mapping'!$G$28:$G$39,MATCH(A49,'Category Mapping'!$A$28:$A$39,0),1)</f>
        <v>Winter</v>
      </c>
      <c r="C49" t="s">
        <v>84</v>
      </c>
      <c r="D49" s="6" t="s">
        <v>159</v>
      </c>
      <c r="E49" t="s">
        <v>49</v>
      </c>
      <c r="F49" s="27">
        <f>SUMIFS(INDEX(Load,,MATCH('Summarized Source Data'!$C49,Hour,0)),Month,'Summarized Source Data'!$A49,Sector,'Summarized Source Data'!F$2,Subsector,'Summarized Source Data'!F$3,TimeOfWeek,$E49)*INDEX(About!B$79:B$82,MATCH($B49,About!$A$79:$A$82,0),1)</f>
        <v>19200000</v>
      </c>
      <c r="G49" s="27">
        <f>SUMIFS(INDEX(Load,,MATCH('Summarized Source Data'!$C49,Hour,0)),Month,'Summarized Source Data'!$A49,Sector,'Summarized Source Data'!G$2,Subsector,'Summarized Source Data'!G$3,TimeOfWeek,$E49)*INDEX(About!C$79:C$82,MATCH($B49,About!$A$79:$A$82,0),1)</f>
        <v>13913</v>
      </c>
      <c r="H49" s="27">
        <f>SUMIFS(INDEX(Load,,MATCH('Summarized Source Data'!$C49,Hour,0)),Month,'Summarized Source Data'!$A49,Sector,'Summarized Source Data'!H$2,Subsector,'Summarized Source Data'!H$3,TimeOfWeek,$E49)*INDEX(About!D$79:D$82,MATCH($B49,About!$A$79:$A$82,0),1)</f>
        <v>0</v>
      </c>
      <c r="I49" s="27">
        <f>SUMIFS(INDEX(Load,,MATCH('Summarized Source Data'!$C49,Hour,0)),Month,'Summarized Source Data'!$A49,Sector,'Summarized Source Data'!I$2,Subsector,'Summarized Source Data'!I$3,TimeOfWeek,$E49)*INDEX(About!E$79:E$82,MATCH($B49,About!$A$79:$A$82,0),1)</f>
        <v>51500000</v>
      </c>
      <c r="J49" s="54">
        <f t="shared" si="1"/>
        <v>148286087</v>
      </c>
      <c r="K49" s="27">
        <f>(SUMIFS(INDEX(Load,,MATCH('Summarized Source Data'!$C49,Hour,0)),Month,'Summarized Source Data'!$A49,Sector,'Summarized Source Data'!K$2,Subsector,"Total",TimeOfWeek,$E49)-SUM(F49:I49))*INDEX(About!G$79:G$82,MATCH($B49,About!$A$79:$A$82,0),1)</f>
        <v>148286087</v>
      </c>
      <c r="L49" s="27">
        <f>SUMIFS(INDEX(Load,,MATCH('Summarized Source Data'!$C49,Hour,0)),Month,'Summarized Source Data'!$A49,Sector,'Summarized Source Data'!L$2,Subsector,'Summarized Source Data'!L$3,TimeOfWeek,$E49)*INDEX(About!H$79:H$82,MATCH($B49,About!$A$79:$A$82,0),1)</f>
        <v>60900000</v>
      </c>
      <c r="M49" s="27">
        <f>SUMIFS(INDEX(Load,,MATCH('Summarized Source Data'!$C49,Hour,0)),Month,'Summarized Source Data'!$A49,Sector,'Summarized Source Data'!M$2,Subsector,'Summarized Source Data'!M$3,TimeOfWeek,$E49)*INDEX(About!I$79:I$82,MATCH($B49,About!$A$79:$A$82,0),1)</f>
        <v>54892</v>
      </c>
      <c r="N49" s="27">
        <f>SUMIFS(INDEX(Load,,MATCH('Summarized Source Data'!$C49,Hour,0)),Month,'Summarized Source Data'!$A49,Sector,'Summarized Source Data'!N$2,Subsector,'Summarized Source Data'!N$3,TimeOfWeek,$E49)*INDEX(About!J$79:J$82,MATCH($B49,About!$A$79:$A$82,0),1)</f>
        <v>0</v>
      </c>
      <c r="O49" s="29">
        <f t="shared" si="2"/>
        <v>250045108</v>
      </c>
      <c r="P49" s="27">
        <f>(SUMIFS(INDEX(Load,,MATCH('Summarized Source Data'!$C49,Hour,0)),Month,'Summarized Source Data'!$A49,Sector,'Summarized Source Data'!P$2,Subsector,"Total",TimeOfWeek,$E49)-SUM(L49:N49)*INDEX(About!L$79:L$82,MATCH($B49,About!$A$79:$A$82,0),1))</f>
        <v>250045108</v>
      </c>
      <c r="Q49" s="29">
        <f t="shared" si="3"/>
        <v>250045108</v>
      </c>
      <c r="R49" s="33">
        <f>SUMIFS(INDEX(Load,,MATCH('Summarized Source Data'!$C49,Hour,0)),Month,'Summarized Source Data'!$A49,Sector,'Summarized Source Data'!R$2,TimeOfWeek,$E49)*INDEX(About!N$79:N$82,MATCH($B49,About!$A$79:$A$82,0),1)</f>
        <v>11400000</v>
      </c>
      <c r="S49" s="33">
        <f>SUMIFS(INDEX(Load,,MATCH('Summarized Source Data'!$C49,Hour,0)),Month,'Summarized Source Data'!$A49,Sector,'Summarized Source Data'!S$2,TimeOfWeek,$E49)*INDEX(About!O$79:O$82,MATCH($B49,About!$A$79:$A$82,0),1)</f>
        <v>11400000</v>
      </c>
      <c r="T49" s="33">
        <f>SUMIFS(INDEX(Load,,MATCH('Summarized Source Data'!$C49,Hour,0)),Month,'Summarized Source Data'!$A49,Sector,'Summarized Source Data'!T$2,TimeOfWeek,$E49)*INDEX(About!P$79:P$82,MATCH($B49,About!$A$79:$A$82,0),1)</f>
        <v>11400000</v>
      </c>
      <c r="U49" s="33">
        <f>SUMIFS(INDEX(Load,,MATCH('Summarized Source Data'!$C49,Hour,0)),Month,'Summarized Source Data'!$A49,Sector,'Summarized Source Data'!U$2,TimeOfWeek,$E49)*INDEX(About!Q$79:Q$82,MATCH($B49,About!$A$79:$A$82,0),1)</f>
        <v>11400000</v>
      </c>
      <c r="V49" s="33">
        <f>SUMIFS(INDEX(Load,,MATCH('Summarized Source Data'!$C49,Hour,0)),Month,'Summarized Source Data'!$A49,Sector,'Summarized Source Data'!V$2,TimeOfWeek,$E49)*INDEX(About!R$79:R$82,MATCH($B49,About!$A$79:$A$82,0),1)</f>
        <v>11400000</v>
      </c>
      <c r="W49" s="33">
        <f>SUMIFS(INDEX(Load,,MATCH('Summarized Source Data'!$C49,Hour,0)),Month,'Summarized Source Data'!$A49,Sector,'Summarized Source Data'!W$2,TimeOfWeek,$E49)*INDEX(About!S$79:S$82,MATCH($B49,About!$A$79:$A$82,0),1)</f>
        <v>11400000</v>
      </c>
      <c r="X49" s="27">
        <f>SUMIFS(INDEX(Load,,MATCH('Summarized Source Data'!$C49,Hour,0)),Month,'Summarized Source Data'!$A49,Sector,'Summarized Source Data'!X$2,Subsector,'Summarized Source Data'!X$3,TimeOfWeek,$E49)*INDEX(About!T$79:T$82,MATCH($B49,About!$A$79:$A$82,0),1)</f>
        <v>673000000</v>
      </c>
      <c r="Y49" s="29">
        <f t="shared" si="4"/>
        <v>673000000</v>
      </c>
      <c r="Z49" s="29">
        <f t="shared" si="4"/>
        <v>673000000</v>
      </c>
    </row>
    <row r="50" spans="1:26" outlineLevel="1" x14ac:dyDescent="0.3">
      <c r="A50">
        <f t="shared" si="0"/>
        <v>2</v>
      </c>
      <c r="B50" t="str">
        <f>INDEX('Category Mapping'!$G$28:$G$39,MATCH(A50,'Category Mapping'!$A$28:$A$39,0),1)</f>
        <v>Winter</v>
      </c>
      <c r="C50" t="s">
        <v>85</v>
      </c>
      <c r="D50" s="6" t="s">
        <v>160</v>
      </c>
      <c r="E50" t="s">
        <v>49</v>
      </c>
      <c r="F50" s="27">
        <f>SUMIFS(INDEX(Load,,MATCH('Summarized Source Data'!$C50,Hour,0)),Month,'Summarized Source Data'!$A50,Sector,'Summarized Source Data'!F$2,Subsector,'Summarized Source Data'!F$3,TimeOfWeek,$E50)*INDEX(About!B$79:B$82,MATCH($B50,About!$A$79:$A$82,0),1)</f>
        <v>16600000</v>
      </c>
      <c r="G50" s="27">
        <f>SUMIFS(INDEX(Load,,MATCH('Summarized Source Data'!$C50,Hour,0)),Month,'Summarized Source Data'!$A50,Sector,'Summarized Source Data'!G$2,Subsector,'Summarized Source Data'!G$3,TimeOfWeek,$E50)*INDEX(About!C$79:C$82,MATCH($B50,About!$A$79:$A$82,0),1)</f>
        <v>14504</v>
      </c>
      <c r="H50" s="27">
        <f>SUMIFS(INDEX(Load,,MATCH('Summarized Source Data'!$C50,Hour,0)),Month,'Summarized Source Data'!$A50,Sector,'Summarized Source Data'!H$2,Subsector,'Summarized Source Data'!H$3,TimeOfWeek,$E50)*INDEX(About!D$79:D$82,MATCH($B50,About!$A$79:$A$82,0),1)</f>
        <v>0</v>
      </c>
      <c r="I50" s="27">
        <f>SUMIFS(INDEX(Load,,MATCH('Summarized Source Data'!$C50,Hour,0)),Month,'Summarized Source Data'!$A50,Sector,'Summarized Source Data'!I$2,Subsector,'Summarized Source Data'!I$3,TimeOfWeek,$E50)*INDEX(About!E$79:E$82,MATCH($B50,About!$A$79:$A$82,0),1)</f>
        <v>30600000</v>
      </c>
      <c r="J50" s="54">
        <f t="shared" si="1"/>
        <v>116785496</v>
      </c>
      <c r="K50" s="27">
        <f>(SUMIFS(INDEX(Load,,MATCH('Summarized Source Data'!$C50,Hour,0)),Month,'Summarized Source Data'!$A50,Sector,'Summarized Source Data'!K$2,Subsector,"Total",TimeOfWeek,$E50)-SUM(F50:I50))*INDEX(About!G$79:G$82,MATCH($B50,About!$A$79:$A$82,0),1)</f>
        <v>116785496</v>
      </c>
      <c r="L50" s="27">
        <f>SUMIFS(INDEX(Load,,MATCH('Summarized Source Data'!$C50,Hour,0)),Month,'Summarized Source Data'!$A50,Sector,'Summarized Source Data'!L$2,Subsector,'Summarized Source Data'!L$3,TimeOfWeek,$E50)*INDEX(About!H$79:H$82,MATCH($B50,About!$A$79:$A$82,0),1)</f>
        <v>60700000</v>
      </c>
      <c r="M50" s="27">
        <f>SUMIFS(INDEX(Load,,MATCH('Summarized Source Data'!$C50,Hour,0)),Month,'Summarized Source Data'!$A50,Sector,'Summarized Source Data'!M$2,Subsector,'Summarized Source Data'!M$3,TimeOfWeek,$E50)*INDEX(About!I$79:I$82,MATCH($B50,About!$A$79:$A$82,0),1)</f>
        <v>50587</v>
      </c>
      <c r="N50" s="27">
        <f>SUMIFS(INDEX(Load,,MATCH('Summarized Source Data'!$C50,Hour,0)),Month,'Summarized Source Data'!$A50,Sector,'Summarized Source Data'!N$2,Subsector,'Summarized Source Data'!N$3,TimeOfWeek,$E50)*INDEX(About!J$79:J$82,MATCH($B50,About!$A$79:$A$82,0),1)</f>
        <v>0</v>
      </c>
      <c r="O50" s="29">
        <f t="shared" si="2"/>
        <v>210249413</v>
      </c>
      <c r="P50" s="27">
        <f>(SUMIFS(INDEX(Load,,MATCH('Summarized Source Data'!$C50,Hour,0)),Month,'Summarized Source Data'!$A50,Sector,'Summarized Source Data'!P$2,Subsector,"Total",TimeOfWeek,$E50)-SUM(L50:N50)*INDEX(About!L$79:L$82,MATCH($B50,About!$A$79:$A$82,0),1))</f>
        <v>210249413</v>
      </c>
      <c r="Q50" s="29">
        <f t="shared" si="3"/>
        <v>210249413</v>
      </c>
      <c r="R50" s="33">
        <f>SUMIFS(INDEX(Load,,MATCH('Summarized Source Data'!$C50,Hour,0)),Month,'Summarized Source Data'!$A50,Sector,'Summarized Source Data'!R$2,TimeOfWeek,$E50)*INDEX(About!N$79:N$82,MATCH($B50,About!$A$79:$A$82,0),1)</f>
        <v>10800000</v>
      </c>
      <c r="S50" s="33">
        <f>SUMIFS(INDEX(Load,,MATCH('Summarized Source Data'!$C50,Hour,0)),Month,'Summarized Source Data'!$A50,Sector,'Summarized Source Data'!S$2,TimeOfWeek,$E50)*INDEX(About!O$79:O$82,MATCH($B50,About!$A$79:$A$82,0),1)</f>
        <v>10800000</v>
      </c>
      <c r="T50" s="33">
        <f>SUMIFS(INDEX(Load,,MATCH('Summarized Source Data'!$C50,Hour,0)),Month,'Summarized Source Data'!$A50,Sector,'Summarized Source Data'!T$2,TimeOfWeek,$E50)*INDEX(About!P$79:P$82,MATCH($B50,About!$A$79:$A$82,0),1)</f>
        <v>10800000</v>
      </c>
      <c r="U50" s="33">
        <f>SUMIFS(INDEX(Load,,MATCH('Summarized Source Data'!$C50,Hour,0)),Month,'Summarized Source Data'!$A50,Sector,'Summarized Source Data'!U$2,TimeOfWeek,$E50)*INDEX(About!Q$79:Q$82,MATCH($B50,About!$A$79:$A$82,0),1)</f>
        <v>10800000</v>
      </c>
      <c r="V50" s="33">
        <f>SUMIFS(INDEX(Load,,MATCH('Summarized Source Data'!$C50,Hour,0)),Month,'Summarized Source Data'!$A50,Sector,'Summarized Source Data'!V$2,TimeOfWeek,$E50)*INDEX(About!R$79:R$82,MATCH($B50,About!$A$79:$A$82,0),1)</f>
        <v>10800000</v>
      </c>
      <c r="W50" s="33">
        <f>SUMIFS(INDEX(Load,,MATCH('Summarized Source Data'!$C50,Hour,0)),Month,'Summarized Source Data'!$A50,Sector,'Summarized Source Data'!W$2,TimeOfWeek,$E50)*INDEX(About!S$79:S$82,MATCH($B50,About!$A$79:$A$82,0),1)</f>
        <v>10800000</v>
      </c>
      <c r="X50" s="27">
        <f>SUMIFS(INDEX(Load,,MATCH('Summarized Source Data'!$C50,Hour,0)),Month,'Summarized Source Data'!$A50,Sector,'Summarized Source Data'!X$2,Subsector,'Summarized Source Data'!X$3,TimeOfWeek,$E50)*INDEX(About!T$79:T$82,MATCH($B50,About!$A$79:$A$82,0),1)</f>
        <v>667000000</v>
      </c>
      <c r="Y50" s="29">
        <f t="shared" si="4"/>
        <v>667000000</v>
      </c>
      <c r="Z50" s="29">
        <f t="shared" si="4"/>
        <v>667000000</v>
      </c>
    </row>
    <row r="51" spans="1:26" outlineLevel="1" x14ac:dyDescent="0.3">
      <c r="A51">
        <f t="shared" si="0"/>
        <v>2</v>
      </c>
      <c r="B51" t="str">
        <f>INDEX('Category Mapping'!$G$28:$G$39,MATCH(A51,'Category Mapping'!$A$28:$A$39,0),1)</f>
        <v>Winter</v>
      </c>
      <c r="C51" t="s">
        <v>86</v>
      </c>
      <c r="D51" s="6" t="s">
        <v>161</v>
      </c>
      <c r="E51" t="s">
        <v>49</v>
      </c>
      <c r="F51" s="27">
        <f>SUMIFS(INDEX(Load,,MATCH('Summarized Source Data'!$C51,Hour,0)),Month,'Summarized Source Data'!$A51,Sector,'Summarized Source Data'!F$2,Subsector,'Summarized Source Data'!F$3,TimeOfWeek,$E51)*INDEX(About!B$79:B$82,MATCH($B51,About!$A$79:$A$82,0),1)</f>
        <v>16200000</v>
      </c>
      <c r="G51" s="27">
        <f>SUMIFS(INDEX(Load,,MATCH('Summarized Source Data'!$C51,Hour,0)),Month,'Summarized Source Data'!$A51,Sector,'Summarized Source Data'!G$2,Subsector,'Summarized Source Data'!G$3,TimeOfWeek,$E51)*INDEX(About!C$79:C$82,MATCH($B51,About!$A$79:$A$82,0),1)</f>
        <v>14902</v>
      </c>
      <c r="H51" s="27">
        <f>SUMIFS(INDEX(Load,,MATCH('Summarized Source Data'!$C51,Hour,0)),Month,'Summarized Source Data'!$A51,Sector,'Summarized Source Data'!H$2,Subsector,'Summarized Source Data'!H$3,TimeOfWeek,$E51)*INDEX(About!D$79:D$82,MATCH($B51,About!$A$79:$A$82,0),1)</f>
        <v>0</v>
      </c>
      <c r="I51" s="27">
        <f>SUMIFS(INDEX(Load,,MATCH('Summarized Source Data'!$C51,Hour,0)),Month,'Summarized Source Data'!$A51,Sector,'Summarized Source Data'!I$2,Subsector,'Summarized Source Data'!I$3,TimeOfWeek,$E51)*INDEX(About!E$79:E$82,MATCH($B51,About!$A$79:$A$82,0),1)</f>
        <v>16100000</v>
      </c>
      <c r="J51" s="54">
        <f t="shared" si="1"/>
        <v>92685098</v>
      </c>
      <c r="K51" s="27">
        <f>(SUMIFS(INDEX(Load,,MATCH('Summarized Source Data'!$C51,Hour,0)),Month,'Summarized Source Data'!$A51,Sector,'Summarized Source Data'!K$2,Subsector,"Total",TimeOfWeek,$E51)-SUM(F51:I51))*INDEX(About!G$79:G$82,MATCH($B51,About!$A$79:$A$82,0),1)</f>
        <v>92685098</v>
      </c>
      <c r="L51" s="27">
        <f>SUMIFS(INDEX(Load,,MATCH('Summarized Source Data'!$C51,Hour,0)),Month,'Summarized Source Data'!$A51,Sector,'Summarized Source Data'!L$2,Subsector,'Summarized Source Data'!L$3,TimeOfWeek,$E51)*INDEX(About!H$79:H$82,MATCH($B51,About!$A$79:$A$82,0),1)</f>
        <v>29800000</v>
      </c>
      <c r="M51" s="27">
        <f>SUMIFS(INDEX(Load,,MATCH('Summarized Source Data'!$C51,Hour,0)),Month,'Summarized Source Data'!$A51,Sector,'Summarized Source Data'!M$2,Subsector,'Summarized Source Data'!M$3,TimeOfWeek,$E51)*INDEX(About!I$79:I$82,MATCH($B51,About!$A$79:$A$82,0),1)</f>
        <v>44707</v>
      </c>
      <c r="N51" s="27">
        <f>SUMIFS(INDEX(Load,,MATCH('Summarized Source Data'!$C51,Hour,0)),Month,'Summarized Source Data'!$A51,Sector,'Summarized Source Data'!N$2,Subsector,'Summarized Source Data'!N$3,TimeOfWeek,$E51)*INDEX(About!J$79:J$82,MATCH($B51,About!$A$79:$A$82,0),1)</f>
        <v>0</v>
      </c>
      <c r="O51" s="29">
        <f t="shared" si="2"/>
        <v>183155293</v>
      </c>
      <c r="P51" s="27">
        <f>(SUMIFS(INDEX(Load,,MATCH('Summarized Source Data'!$C51,Hour,0)),Month,'Summarized Source Data'!$A51,Sector,'Summarized Source Data'!P$2,Subsector,"Total",TimeOfWeek,$E51)-SUM(L51:N51)*INDEX(About!L$79:L$82,MATCH($B51,About!$A$79:$A$82,0),1))</f>
        <v>183155293</v>
      </c>
      <c r="Q51" s="29">
        <f t="shared" si="3"/>
        <v>183155293</v>
      </c>
      <c r="R51" s="33">
        <f>SUMIFS(INDEX(Load,,MATCH('Summarized Source Data'!$C51,Hour,0)),Month,'Summarized Source Data'!$A51,Sector,'Summarized Source Data'!R$2,TimeOfWeek,$E51)*INDEX(About!N$79:N$82,MATCH($B51,About!$A$79:$A$82,0),1)</f>
        <v>7259058</v>
      </c>
      <c r="S51" s="33">
        <f>SUMIFS(INDEX(Load,,MATCH('Summarized Source Data'!$C51,Hour,0)),Month,'Summarized Source Data'!$A51,Sector,'Summarized Source Data'!S$2,TimeOfWeek,$E51)*INDEX(About!O$79:O$82,MATCH($B51,About!$A$79:$A$82,0),1)</f>
        <v>7259058</v>
      </c>
      <c r="T51" s="33">
        <f>SUMIFS(INDEX(Load,,MATCH('Summarized Source Data'!$C51,Hour,0)),Month,'Summarized Source Data'!$A51,Sector,'Summarized Source Data'!T$2,TimeOfWeek,$E51)*INDEX(About!P$79:P$82,MATCH($B51,About!$A$79:$A$82,0),1)</f>
        <v>7259058</v>
      </c>
      <c r="U51" s="33">
        <f>SUMIFS(INDEX(Load,,MATCH('Summarized Source Data'!$C51,Hour,0)),Month,'Summarized Source Data'!$A51,Sector,'Summarized Source Data'!U$2,TimeOfWeek,$E51)*INDEX(About!Q$79:Q$82,MATCH($B51,About!$A$79:$A$82,0),1)</f>
        <v>7259058</v>
      </c>
      <c r="V51" s="33">
        <f>SUMIFS(INDEX(Load,,MATCH('Summarized Source Data'!$C51,Hour,0)),Month,'Summarized Source Data'!$A51,Sector,'Summarized Source Data'!V$2,TimeOfWeek,$E51)*INDEX(About!R$79:R$82,MATCH($B51,About!$A$79:$A$82,0),1)</f>
        <v>7259058</v>
      </c>
      <c r="W51" s="33">
        <f>SUMIFS(INDEX(Load,,MATCH('Summarized Source Data'!$C51,Hour,0)),Month,'Summarized Source Data'!$A51,Sector,'Summarized Source Data'!W$2,TimeOfWeek,$E51)*INDEX(About!S$79:S$82,MATCH($B51,About!$A$79:$A$82,0),1)</f>
        <v>7259058</v>
      </c>
      <c r="X51" s="27">
        <f>SUMIFS(INDEX(Load,,MATCH('Summarized Source Data'!$C51,Hour,0)),Month,'Summarized Source Data'!$A51,Sector,'Summarized Source Data'!X$2,Subsector,'Summarized Source Data'!X$3,TimeOfWeek,$E51)*INDEX(About!T$79:T$82,MATCH($B51,About!$A$79:$A$82,0),1)</f>
        <v>664000000</v>
      </c>
      <c r="Y51" s="29">
        <f t="shared" si="4"/>
        <v>664000000</v>
      </c>
      <c r="Z51" s="29">
        <f t="shared" si="4"/>
        <v>664000000</v>
      </c>
    </row>
    <row r="52" spans="1:26" outlineLevel="1" x14ac:dyDescent="0.3">
      <c r="A52">
        <f t="shared" si="0"/>
        <v>3</v>
      </c>
      <c r="B52" t="str">
        <f>INDEX('Category Mapping'!$G$28:$G$39,MATCH(A52,'Category Mapping'!$A$28:$A$39,0),1)</f>
        <v>Spring</v>
      </c>
      <c r="C52" t="s">
        <v>63</v>
      </c>
      <c r="D52" s="6" t="s">
        <v>138</v>
      </c>
      <c r="E52" t="s">
        <v>49</v>
      </c>
      <c r="F52" s="27">
        <f>SUMIFS(INDEX(Load,,MATCH('Summarized Source Data'!$C52,Hour,0)),Month,'Summarized Source Data'!$A52,Sector,'Summarized Source Data'!F$2,Subsector,'Summarized Source Data'!F$3,TimeOfWeek,$E52)*INDEX(About!B$79:B$82,MATCH($B52,About!$A$79:$A$82,0),1)</f>
        <v>13000000</v>
      </c>
      <c r="G52" s="27">
        <f>SUMIFS(INDEX(Load,,MATCH('Summarized Source Data'!$C52,Hour,0)),Month,'Summarized Source Data'!$A52,Sector,'Summarized Source Data'!G$2,Subsector,'Summarized Source Data'!G$3,TimeOfWeek,$E52)*INDEX(About!C$79:C$82,MATCH($B52,About!$A$79:$A$82,0),1)</f>
        <v>33976</v>
      </c>
      <c r="H52" s="27">
        <f>SUMIFS(INDEX(Load,,MATCH('Summarized Source Data'!$C52,Hour,0)),Month,'Summarized Source Data'!$A52,Sector,'Summarized Source Data'!H$2,Subsector,'Summarized Source Data'!H$3,TimeOfWeek,$E52)*INDEX(About!D$79:D$82,MATCH($B52,About!$A$79:$A$82,0),1)</f>
        <v>0</v>
      </c>
      <c r="I52" s="27">
        <f>SUMIFS(INDEX(Load,,MATCH('Summarized Source Data'!$C52,Hour,0)),Month,'Summarized Source Data'!$A52,Sector,'Summarized Source Data'!I$2,Subsector,'Summarized Source Data'!I$3,TimeOfWeek,$E52)*INDEX(About!E$79:E$82,MATCH($B52,About!$A$79:$A$82,0),1)</f>
        <v>10500000</v>
      </c>
      <c r="J52" s="54">
        <f t="shared" si="1"/>
        <v>73866024</v>
      </c>
      <c r="K52" s="27">
        <f>(SUMIFS(INDEX(Load,,MATCH('Summarized Source Data'!$C52,Hour,0)),Month,'Summarized Source Data'!$A52,Sector,'Summarized Source Data'!K$2,Subsector,"Total",TimeOfWeek,$E52)-SUM(F52:I52))*INDEX(About!G$79:G$82,MATCH($B52,About!$A$79:$A$82,0),1)</f>
        <v>73866024</v>
      </c>
      <c r="L52" s="27">
        <f>SUMIFS(INDEX(Load,,MATCH('Summarized Source Data'!$C52,Hour,0)),Month,'Summarized Source Data'!$A52,Sector,'Summarized Source Data'!L$2,Subsector,'Summarized Source Data'!L$3,TimeOfWeek,$E52)*INDEX(About!H$79:H$82,MATCH($B52,About!$A$79:$A$82,0),1)</f>
        <v>29500000</v>
      </c>
      <c r="M52" s="27">
        <f>SUMIFS(INDEX(Load,,MATCH('Summarized Source Data'!$C52,Hour,0)),Month,'Summarized Source Data'!$A52,Sector,'Summarized Source Data'!M$2,Subsector,'Summarized Source Data'!M$3,TimeOfWeek,$E52)*INDEX(About!I$79:I$82,MATCH($B52,About!$A$79:$A$82,0),1)</f>
        <v>89980</v>
      </c>
      <c r="N52" s="27">
        <f>SUMIFS(INDEX(Load,,MATCH('Summarized Source Data'!$C52,Hour,0)),Month,'Summarized Source Data'!$A52,Sector,'Summarized Source Data'!N$2,Subsector,'Summarized Source Data'!N$3,TimeOfWeek,$E52)*INDEX(About!J$79:J$82,MATCH($B52,About!$A$79:$A$82,0),1)</f>
        <v>0</v>
      </c>
      <c r="O52" s="29">
        <f t="shared" si="2"/>
        <v>152410020</v>
      </c>
      <c r="P52" s="27">
        <f>(SUMIFS(INDEX(Load,,MATCH('Summarized Source Data'!$C52,Hour,0)),Month,'Summarized Source Data'!$A52,Sector,'Summarized Source Data'!P$2,Subsector,"Total",TimeOfWeek,$E52)-SUM(L52:N52)*INDEX(About!L$79:L$82,MATCH($B52,About!$A$79:$A$82,0),1))</f>
        <v>152410020</v>
      </c>
      <c r="Q52" s="29">
        <f t="shared" si="3"/>
        <v>152410020</v>
      </c>
      <c r="R52" s="33">
        <f>SUMIFS(INDEX(Load,,MATCH('Summarized Source Data'!$C52,Hour,0)),Month,'Summarized Source Data'!$A52,Sector,'Summarized Source Data'!R$2,TimeOfWeek,$E52)*INDEX(About!N$79:N$82,MATCH($B52,About!$A$79:$A$82,0),1)</f>
        <v>4779367</v>
      </c>
      <c r="S52" s="33">
        <f>SUMIFS(INDEX(Load,,MATCH('Summarized Source Data'!$C52,Hour,0)),Month,'Summarized Source Data'!$A52,Sector,'Summarized Source Data'!S$2,TimeOfWeek,$E52)*INDEX(About!O$79:O$82,MATCH($B52,About!$A$79:$A$82,0),1)</f>
        <v>4779367</v>
      </c>
      <c r="T52" s="33">
        <f>SUMIFS(INDEX(Load,,MATCH('Summarized Source Data'!$C52,Hour,0)),Month,'Summarized Source Data'!$A52,Sector,'Summarized Source Data'!T$2,TimeOfWeek,$E52)*INDEX(About!P$79:P$82,MATCH($B52,About!$A$79:$A$82,0),1)</f>
        <v>4779367</v>
      </c>
      <c r="U52" s="33">
        <f>SUMIFS(INDEX(Load,,MATCH('Summarized Source Data'!$C52,Hour,0)),Month,'Summarized Source Data'!$A52,Sector,'Summarized Source Data'!U$2,TimeOfWeek,$E52)*INDEX(About!Q$79:Q$82,MATCH($B52,About!$A$79:$A$82,0),1)</f>
        <v>4779367</v>
      </c>
      <c r="V52" s="33">
        <f>SUMIFS(INDEX(Load,,MATCH('Summarized Source Data'!$C52,Hour,0)),Month,'Summarized Source Data'!$A52,Sector,'Summarized Source Data'!V$2,TimeOfWeek,$E52)*INDEX(About!R$79:R$82,MATCH($B52,About!$A$79:$A$82,0),1)</f>
        <v>4779367</v>
      </c>
      <c r="W52" s="33">
        <f>SUMIFS(INDEX(Load,,MATCH('Summarized Source Data'!$C52,Hour,0)),Month,'Summarized Source Data'!$A52,Sector,'Summarized Source Data'!W$2,TimeOfWeek,$E52)*INDEX(About!S$79:S$82,MATCH($B52,About!$A$79:$A$82,0),1)</f>
        <v>4779367</v>
      </c>
      <c r="X52" s="27">
        <f>SUMIFS(INDEX(Load,,MATCH('Summarized Source Data'!$C52,Hour,0)),Month,'Summarized Source Data'!$A52,Sector,'Summarized Source Data'!X$2,Subsector,'Summarized Source Data'!X$3,TimeOfWeek,$E52)*INDEX(About!T$79:T$82,MATCH($B52,About!$A$79:$A$82,0),1)</f>
        <v>664000000</v>
      </c>
      <c r="Y52" s="29">
        <f t="shared" si="4"/>
        <v>664000000</v>
      </c>
      <c r="Z52" s="29">
        <f t="shared" si="4"/>
        <v>664000000</v>
      </c>
    </row>
    <row r="53" spans="1:26" outlineLevel="1" x14ac:dyDescent="0.3">
      <c r="A53">
        <f t="shared" si="0"/>
        <v>3</v>
      </c>
      <c r="B53" t="str">
        <f>INDEX('Category Mapping'!$G$28:$G$39,MATCH(A53,'Category Mapping'!$A$28:$A$39,0),1)</f>
        <v>Spring</v>
      </c>
      <c r="C53" t="s">
        <v>64</v>
      </c>
      <c r="D53" s="6" t="s">
        <v>139</v>
      </c>
      <c r="E53" t="s">
        <v>49</v>
      </c>
      <c r="F53" s="27">
        <f>SUMIFS(INDEX(Load,,MATCH('Summarized Source Data'!$C53,Hour,0)),Month,'Summarized Source Data'!$A53,Sector,'Summarized Source Data'!F$2,Subsector,'Summarized Source Data'!F$3,TimeOfWeek,$E53)*INDEX(About!B$79:B$82,MATCH($B53,About!$A$79:$A$82,0),1)</f>
        <v>13300000</v>
      </c>
      <c r="G53" s="27">
        <f>SUMIFS(INDEX(Load,,MATCH('Summarized Source Data'!$C53,Hour,0)),Month,'Summarized Source Data'!$A53,Sector,'Summarized Source Data'!G$2,Subsector,'Summarized Source Data'!G$3,TimeOfWeek,$E53)*INDEX(About!C$79:C$82,MATCH($B53,About!$A$79:$A$82,0),1)</f>
        <v>34167</v>
      </c>
      <c r="H53" s="27">
        <f>SUMIFS(INDEX(Load,,MATCH('Summarized Source Data'!$C53,Hour,0)),Month,'Summarized Source Data'!$A53,Sector,'Summarized Source Data'!H$2,Subsector,'Summarized Source Data'!H$3,TimeOfWeek,$E53)*INDEX(About!D$79:D$82,MATCH($B53,About!$A$79:$A$82,0),1)</f>
        <v>0</v>
      </c>
      <c r="I53" s="27">
        <f>SUMIFS(INDEX(Load,,MATCH('Summarized Source Data'!$C53,Hour,0)),Month,'Summarized Source Data'!$A53,Sector,'Summarized Source Data'!I$2,Subsector,'Summarized Source Data'!I$3,TimeOfWeek,$E53)*INDEX(About!E$79:E$82,MATCH($B53,About!$A$79:$A$82,0),1)</f>
        <v>9700166</v>
      </c>
      <c r="J53" s="54">
        <f t="shared" si="1"/>
        <v>53565667</v>
      </c>
      <c r="K53" s="27">
        <f>(SUMIFS(INDEX(Load,,MATCH('Summarized Source Data'!$C53,Hour,0)),Month,'Summarized Source Data'!$A53,Sector,'Summarized Source Data'!K$2,Subsector,"Total",TimeOfWeek,$E53)-SUM(F53:I53))*INDEX(About!G$79:G$82,MATCH($B53,About!$A$79:$A$82,0),1)</f>
        <v>53565667</v>
      </c>
      <c r="L53" s="27">
        <f>SUMIFS(INDEX(Load,,MATCH('Summarized Source Data'!$C53,Hour,0)),Month,'Summarized Source Data'!$A53,Sector,'Summarized Source Data'!L$2,Subsector,'Summarized Source Data'!L$3,TimeOfWeek,$E53)*INDEX(About!H$79:H$82,MATCH($B53,About!$A$79:$A$82,0),1)</f>
        <v>26200000</v>
      </c>
      <c r="M53" s="27">
        <f>SUMIFS(INDEX(Load,,MATCH('Summarized Source Data'!$C53,Hour,0)),Month,'Summarized Source Data'!$A53,Sector,'Summarized Source Data'!M$2,Subsector,'Summarized Source Data'!M$3,TimeOfWeek,$E53)*INDEX(About!I$79:I$82,MATCH($B53,About!$A$79:$A$82,0),1)</f>
        <v>84846</v>
      </c>
      <c r="N53" s="27">
        <f>SUMIFS(INDEX(Load,,MATCH('Summarized Source Data'!$C53,Hour,0)),Month,'Summarized Source Data'!$A53,Sector,'Summarized Source Data'!N$2,Subsector,'Summarized Source Data'!N$3,TimeOfWeek,$E53)*INDEX(About!J$79:J$82,MATCH($B53,About!$A$79:$A$82,0),1)</f>
        <v>0</v>
      </c>
      <c r="O53" s="29">
        <f t="shared" si="2"/>
        <v>150715154</v>
      </c>
      <c r="P53" s="27">
        <f>(SUMIFS(INDEX(Load,,MATCH('Summarized Source Data'!$C53,Hour,0)),Month,'Summarized Source Data'!$A53,Sector,'Summarized Source Data'!P$2,Subsector,"Total",TimeOfWeek,$E53)-SUM(L53:N53)*INDEX(About!L$79:L$82,MATCH($B53,About!$A$79:$A$82,0),1))</f>
        <v>150715154</v>
      </c>
      <c r="Q53" s="29">
        <f t="shared" si="3"/>
        <v>150715154</v>
      </c>
      <c r="R53" s="33">
        <f>SUMIFS(INDEX(Load,,MATCH('Summarized Source Data'!$C53,Hour,0)),Month,'Summarized Source Data'!$A53,Sector,'Summarized Source Data'!R$2,TimeOfWeek,$E53)*INDEX(About!N$79:N$82,MATCH($B53,About!$A$79:$A$82,0),1)</f>
        <v>4711547</v>
      </c>
      <c r="S53" s="33">
        <f>SUMIFS(INDEX(Load,,MATCH('Summarized Source Data'!$C53,Hour,0)),Month,'Summarized Source Data'!$A53,Sector,'Summarized Source Data'!S$2,TimeOfWeek,$E53)*INDEX(About!O$79:O$82,MATCH($B53,About!$A$79:$A$82,0),1)</f>
        <v>4711547</v>
      </c>
      <c r="T53" s="33">
        <f>SUMIFS(INDEX(Load,,MATCH('Summarized Source Data'!$C53,Hour,0)),Month,'Summarized Source Data'!$A53,Sector,'Summarized Source Data'!T$2,TimeOfWeek,$E53)*INDEX(About!P$79:P$82,MATCH($B53,About!$A$79:$A$82,0),1)</f>
        <v>4711547</v>
      </c>
      <c r="U53" s="33">
        <f>SUMIFS(INDEX(Load,,MATCH('Summarized Source Data'!$C53,Hour,0)),Month,'Summarized Source Data'!$A53,Sector,'Summarized Source Data'!U$2,TimeOfWeek,$E53)*INDEX(About!Q$79:Q$82,MATCH($B53,About!$A$79:$A$82,0),1)</f>
        <v>4711547</v>
      </c>
      <c r="V53" s="33">
        <f>SUMIFS(INDEX(Load,,MATCH('Summarized Source Data'!$C53,Hour,0)),Month,'Summarized Source Data'!$A53,Sector,'Summarized Source Data'!V$2,TimeOfWeek,$E53)*INDEX(About!R$79:R$82,MATCH($B53,About!$A$79:$A$82,0),1)</f>
        <v>4711547</v>
      </c>
      <c r="W53" s="33">
        <f>SUMIFS(INDEX(Load,,MATCH('Summarized Source Data'!$C53,Hour,0)),Month,'Summarized Source Data'!$A53,Sector,'Summarized Source Data'!W$2,TimeOfWeek,$E53)*INDEX(About!S$79:S$82,MATCH($B53,About!$A$79:$A$82,0),1)</f>
        <v>4711547</v>
      </c>
      <c r="X53" s="27">
        <f>SUMIFS(INDEX(Load,,MATCH('Summarized Source Data'!$C53,Hour,0)),Month,'Summarized Source Data'!$A53,Sector,'Summarized Source Data'!X$2,Subsector,'Summarized Source Data'!X$3,TimeOfWeek,$E53)*INDEX(About!T$79:T$82,MATCH($B53,About!$A$79:$A$82,0),1)</f>
        <v>663000000</v>
      </c>
      <c r="Y53" s="29">
        <f t="shared" si="4"/>
        <v>663000000</v>
      </c>
      <c r="Z53" s="29">
        <f t="shared" si="4"/>
        <v>663000000</v>
      </c>
    </row>
    <row r="54" spans="1:26" outlineLevel="1" x14ac:dyDescent="0.3">
      <c r="A54">
        <f t="shared" si="0"/>
        <v>3</v>
      </c>
      <c r="B54" t="str">
        <f>INDEX('Category Mapping'!$G$28:$G$39,MATCH(A54,'Category Mapping'!$A$28:$A$39,0),1)</f>
        <v>Spring</v>
      </c>
      <c r="C54" t="s">
        <v>65</v>
      </c>
      <c r="D54" s="6" t="s">
        <v>140</v>
      </c>
      <c r="E54" t="s">
        <v>49</v>
      </c>
      <c r="F54" s="27">
        <f>SUMIFS(INDEX(Load,,MATCH('Summarized Source Data'!$C54,Hour,0)),Month,'Summarized Source Data'!$A54,Sector,'Summarized Source Data'!F$2,Subsector,'Summarized Source Data'!F$3,TimeOfWeek,$E54)*INDEX(About!B$79:B$82,MATCH($B54,About!$A$79:$A$82,0),1)</f>
        <v>13400000</v>
      </c>
      <c r="G54" s="27">
        <f>SUMIFS(INDEX(Load,,MATCH('Summarized Source Data'!$C54,Hour,0)),Month,'Summarized Source Data'!$A54,Sector,'Summarized Source Data'!G$2,Subsector,'Summarized Source Data'!G$3,TimeOfWeek,$E54)*INDEX(About!C$79:C$82,MATCH($B54,About!$A$79:$A$82,0),1)</f>
        <v>34298</v>
      </c>
      <c r="H54" s="27">
        <f>SUMIFS(INDEX(Load,,MATCH('Summarized Source Data'!$C54,Hour,0)),Month,'Summarized Source Data'!$A54,Sector,'Summarized Source Data'!H$2,Subsector,'Summarized Source Data'!H$3,TimeOfWeek,$E54)*INDEX(About!D$79:D$82,MATCH($B54,About!$A$79:$A$82,0),1)</f>
        <v>0</v>
      </c>
      <c r="I54" s="27">
        <f>SUMIFS(INDEX(Load,,MATCH('Summarized Source Data'!$C54,Hour,0)),Month,'Summarized Source Data'!$A54,Sector,'Summarized Source Data'!I$2,Subsector,'Summarized Source Data'!I$3,TimeOfWeek,$E54)*INDEX(About!E$79:E$82,MATCH($B54,About!$A$79:$A$82,0),1)</f>
        <v>9604977</v>
      </c>
      <c r="J54" s="54">
        <f t="shared" si="1"/>
        <v>43060725</v>
      </c>
      <c r="K54" s="27">
        <f>(SUMIFS(INDEX(Load,,MATCH('Summarized Source Data'!$C54,Hour,0)),Month,'Summarized Source Data'!$A54,Sector,'Summarized Source Data'!K$2,Subsector,"Total",TimeOfWeek,$E54)-SUM(F54:I54))*INDEX(About!G$79:G$82,MATCH($B54,About!$A$79:$A$82,0),1)</f>
        <v>43060725</v>
      </c>
      <c r="L54" s="27">
        <f>SUMIFS(INDEX(Load,,MATCH('Summarized Source Data'!$C54,Hour,0)),Month,'Summarized Source Data'!$A54,Sector,'Summarized Source Data'!L$2,Subsector,'Summarized Source Data'!L$3,TimeOfWeek,$E54)*INDEX(About!H$79:H$82,MATCH($B54,About!$A$79:$A$82,0),1)</f>
        <v>25200000</v>
      </c>
      <c r="M54" s="27">
        <f>SUMIFS(INDEX(Load,,MATCH('Summarized Source Data'!$C54,Hour,0)),Month,'Summarized Source Data'!$A54,Sector,'Summarized Source Data'!M$2,Subsector,'Summarized Source Data'!M$3,TimeOfWeek,$E54)*INDEX(About!I$79:I$82,MATCH($B54,About!$A$79:$A$82,0),1)</f>
        <v>82703</v>
      </c>
      <c r="N54" s="27">
        <f>SUMIFS(INDEX(Load,,MATCH('Summarized Source Data'!$C54,Hour,0)),Month,'Summarized Source Data'!$A54,Sector,'Summarized Source Data'!N$2,Subsector,'Summarized Source Data'!N$3,TimeOfWeek,$E54)*INDEX(About!J$79:J$82,MATCH($B54,About!$A$79:$A$82,0),1)</f>
        <v>0</v>
      </c>
      <c r="O54" s="29">
        <f t="shared" si="2"/>
        <v>149717297</v>
      </c>
      <c r="P54" s="27">
        <f>(SUMIFS(INDEX(Load,,MATCH('Summarized Source Data'!$C54,Hour,0)),Month,'Summarized Source Data'!$A54,Sector,'Summarized Source Data'!P$2,Subsector,"Total",TimeOfWeek,$E54)-SUM(L54:N54)*INDEX(About!L$79:L$82,MATCH($B54,About!$A$79:$A$82,0),1))</f>
        <v>149717297</v>
      </c>
      <c r="Q54" s="29">
        <f t="shared" si="3"/>
        <v>149717297</v>
      </c>
      <c r="R54" s="33">
        <f>SUMIFS(INDEX(Load,,MATCH('Summarized Source Data'!$C54,Hour,0)),Month,'Summarized Source Data'!$A54,Sector,'Summarized Source Data'!R$2,TimeOfWeek,$E54)*INDEX(About!N$79:N$82,MATCH($B54,About!$A$79:$A$82,0),1)</f>
        <v>4694129</v>
      </c>
      <c r="S54" s="33">
        <f>SUMIFS(INDEX(Load,,MATCH('Summarized Source Data'!$C54,Hour,0)),Month,'Summarized Source Data'!$A54,Sector,'Summarized Source Data'!S$2,TimeOfWeek,$E54)*INDEX(About!O$79:O$82,MATCH($B54,About!$A$79:$A$82,0),1)</f>
        <v>4694129</v>
      </c>
      <c r="T54" s="33">
        <f>SUMIFS(INDEX(Load,,MATCH('Summarized Source Data'!$C54,Hour,0)),Month,'Summarized Source Data'!$A54,Sector,'Summarized Source Data'!T$2,TimeOfWeek,$E54)*INDEX(About!P$79:P$82,MATCH($B54,About!$A$79:$A$82,0),1)</f>
        <v>4694129</v>
      </c>
      <c r="U54" s="33">
        <f>SUMIFS(INDEX(Load,,MATCH('Summarized Source Data'!$C54,Hour,0)),Month,'Summarized Source Data'!$A54,Sector,'Summarized Source Data'!U$2,TimeOfWeek,$E54)*INDEX(About!Q$79:Q$82,MATCH($B54,About!$A$79:$A$82,0),1)</f>
        <v>4694129</v>
      </c>
      <c r="V54" s="33">
        <f>SUMIFS(INDEX(Load,,MATCH('Summarized Source Data'!$C54,Hour,0)),Month,'Summarized Source Data'!$A54,Sector,'Summarized Source Data'!V$2,TimeOfWeek,$E54)*INDEX(About!R$79:R$82,MATCH($B54,About!$A$79:$A$82,0),1)</f>
        <v>4694129</v>
      </c>
      <c r="W54" s="33">
        <f>SUMIFS(INDEX(Load,,MATCH('Summarized Source Data'!$C54,Hour,0)),Month,'Summarized Source Data'!$A54,Sector,'Summarized Source Data'!W$2,TimeOfWeek,$E54)*INDEX(About!S$79:S$82,MATCH($B54,About!$A$79:$A$82,0),1)</f>
        <v>4694129</v>
      </c>
      <c r="X54" s="27">
        <f>SUMIFS(INDEX(Load,,MATCH('Summarized Source Data'!$C54,Hour,0)),Month,'Summarized Source Data'!$A54,Sector,'Summarized Source Data'!X$2,Subsector,'Summarized Source Data'!X$3,TimeOfWeek,$E54)*INDEX(About!T$79:T$82,MATCH($B54,About!$A$79:$A$82,0),1)</f>
        <v>663000000</v>
      </c>
      <c r="Y54" s="29">
        <f t="shared" si="4"/>
        <v>663000000</v>
      </c>
      <c r="Z54" s="29">
        <f t="shared" si="4"/>
        <v>663000000</v>
      </c>
    </row>
    <row r="55" spans="1:26" outlineLevel="1" x14ac:dyDescent="0.3">
      <c r="A55">
        <f t="shared" si="0"/>
        <v>3</v>
      </c>
      <c r="B55" t="str">
        <f>INDEX('Category Mapping'!$G$28:$G$39,MATCH(A55,'Category Mapping'!$A$28:$A$39,0),1)</f>
        <v>Spring</v>
      </c>
      <c r="C55" t="s">
        <v>66</v>
      </c>
      <c r="D55" s="6" t="s">
        <v>141</v>
      </c>
      <c r="E55" t="s">
        <v>49</v>
      </c>
      <c r="F55" s="27">
        <f>SUMIFS(INDEX(Load,,MATCH('Summarized Source Data'!$C55,Hour,0)),Month,'Summarized Source Data'!$A55,Sector,'Summarized Source Data'!F$2,Subsector,'Summarized Source Data'!F$3,TimeOfWeek,$E55)*INDEX(About!B$79:B$82,MATCH($B55,About!$A$79:$A$82,0),1)</f>
        <v>13300000</v>
      </c>
      <c r="G55" s="27">
        <f>SUMIFS(INDEX(Load,,MATCH('Summarized Source Data'!$C55,Hour,0)),Month,'Summarized Source Data'!$A55,Sector,'Summarized Source Data'!G$2,Subsector,'Summarized Source Data'!G$3,TimeOfWeek,$E55)*INDEX(About!C$79:C$82,MATCH($B55,About!$A$79:$A$82,0),1)</f>
        <v>34317</v>
      </c>
      <c r="H55" s="27">
        <f>SUMIFS(INDEX(Load,,MATCH('Summarized Source Data'!$C55,Hour,0)),Month,'Summarized Source Data'!$A55,Sector,'Summarized Source Data'!H$2,Subsector,'Summarized Source Data'!H$3,TimeOfWeek,$E55)*INDEX(About!D$79:D$82,MATCH($B55,About!$A$79:$A$82,0),1)</f>
        <v>0</v>
      </c>
      <c r="I55" s="27">
        <f>SUMIFS(INDEX(Load,,MATCH('Summarized Source Data'!$C55,Hour,0)),Month,'Summarized Source Data'!$A55,Sector,'Summarized Source Data'!I$2,Subsector,'Summarized Source Data'!I$3,TimeOfWeek,$E55)*INDEX(About!E$79:E$82,MATCH($B55,About!$A$79:$A$82,0),1)</f>
        <v>9819097</v>
      </c>
      <c r="J55" s="54">
        <f t="shared" si="1"/>
        <v>37246586</v>
      </c>
      <c r="K55" s="27">
        <f>(SUMIFS(INDEX(Load,,MATCH('Summarized Source Data'!$C55,Hour,0)),Month,'Summarized Source Data'!$A55,Sector,'Summarized Source Data'!K$2,Subsector,"Total",TimeOfWeek,$E55)-SUM(F55:I55))*INDEX(About!G$79:G$82,MATCH($B55,About!$A$79:$A$82,0),1)</f>
        <v>37246586</v>
      </c>
      <c r="L55" s="27">
        <f>SUMIFS(INDEX(Load,,MATCH('Summarized Source Data'!$C55,Hour,0)),Month,'Summarized Source Data'!$A55,Sector,'Summarized Source Data'!L$2,Subsector,'Summarized Source Data'!L$3,TimeOfWeek,$E55)*INDEX(About!H$79:H$82,MATCH($B55,About!$A$79:$A$82,0),1)</f>
        <v>26000000</v>
      </c>
      <c r="M55" s="27">
        <f>SUMIFS(INDEX(Load,,MATCH('Summarized Source Data'!$C55,Hour,0)),Month,'Summarized Source Data'!$A55,Sector,'Summarized Source Data'!M$2,Subsector,'Summarized Source Data'!M$3,TimeOfWeek,$E55)*INDEX(About!I$79:I$82,MATCH($B55,About!$A$79:$A$82,0),1)</f>
        <v>81495</v>
      </c>
      <c r="N55" s="27">
        <f>SUMIFS(INDEX(Load,,MATCH('Summarized Source Data'!$C55,Hour,0)),Month,'Summarized Source Data'!$A55,Sector,'Summarized Source Data'!N$2,Subsector,'Summarized Source Data'!N$3,TimeOfWeek,$E55)*INDEX(About!J$79:J$82,MATCH($B55,About!$A$79:$A$82,0),1)</f>
        <v>0</v>
      </c>
      <c r="O55" s="29">
        <f t="shared" si="2"/>
        <v>155918505</v>
      </c>
      <c r="P55" s="27">
        <f>(SUMIFS(INDEX(Load,,MATCH('Summarized Source Data'!$C55,Hour,0)),Month,'Summarized Source Data'!$A55,Sector,'Summarized Source Data'!P$2,Subsector,"Total",TimeOfWeek,$E55)-SUM(L55:N55)*INDEX(About!L$79:L$82,MATCH($B55,About!$A$79:$A$82,0),1))</f>
        <v>155918505</v>
      </c>
      <c r="Q55" s="29">
        <f t="shared" si="3"/>
        <v>155918505</v>
      </c>
      <c r="R55" s="33">
        <f>SUMIFS(INDEX(Load,,MATCH('Summarized Source Data'!$C55,Hour,0)),Month,'Summarized Source Data'!$A55,Sector,'Summarized Source Data'!R$2,TimeOfWeek,$E55)*INDEX(About!N$79:N$82,MATCH($B55,About!$A$79:$A$82,0),1)</f>
        <v>4710164</v>
      </c>
      <c r="S55" s="33">
        <f>SUMIFS(INDEX(Load,,MATCH('Summarized Source Data'!$C55,Hour,0)),Month,'Summarized Source Data'!$A55,Sector,'Summarized Source Data'!S$2,TimeOfWeek,$E55)*INDEX(About!O$79:O$82,MATCH($B55,About!$A$79:$A$82,0),1)</f>
        <v>4710164</v>
      </c>
      <c r="T55" s="33">
        <f>SUMIFS(INDEX(Load,,MATCH('Summarized Source Data'!$C55,Hour,0)),Month,'Summarized Source Data'!$A55,Sector,'Summarized Source Data'!T$2,TimeOfWeek,$E55)*INDEX(About!P$79:P$82,MATCH($B55,About!$A$79:$A$82,0),1)</f>
        <v>4710164</v>
      </c>
      <c r="U55" s="33">
        <f>SUMIFS(INDEX(Load,,MATCH('Summarized Source Data'!$C55,Hour,0)),Month,'Summarized Source Data'!$A55,Sector,'Summarized Source Data'!U$2,TimeOfWeek,$E55)*INDEX(About!Q$79:Q$82,MATCH($B55,About!$A$79:$A$82,0),1)</f>
        <v>4710164</v>
      </c>
      <c r="V55" s="33">
        <f>SUMIFS(INDEX(Load,,MATCH('Summarized Source Data'!$C55,Hour,0)),Month,'Summarized Source Data'!$A55,Sector,'Summarized Source Data'!V$2,TimeOfWeek,$E55)*INDEX(About!R$79:R$82,MATCH($B55,About!$A$79:$A$82,0),1)</f>
        <v>4710164</v>
      </c>
      <c r="W55" s="33">
        <f>SUMIFS(INDEX(Load,,MATCH('Summarized Source Data'!$C55,Hour,0)),Month,'Summarized Source Data'!$A55,Sector,'Summarized Source Data'!W$2,TimeOfWeek,$E55)*INDEX(About!S$79:S$82,MATCH($B55,About!$A$79:$A$82,0),1)</f>
        <v>4710164</v>
      </c>
      <c r="X55" s="27">
        <f>SUMIFS(INDEX(Load,,MATCH('Summarized Source Data'!$C55,Hour,0)),Month,'Summarized Source Data'!$A55,Sector,'Summarized Source Data'!X$2,Subsector,'Summarized Source Data'!X$3,TimeOfWeek,$E55)*INDEX(About!T$79:T$82,MATCH($B55,About!$A$79:$A$82,0),1)</f>
        <v>663000000</v>
      </c>
      <c r="Y55" s="29">
        <f t="shared" si="4"/>
        <v>663000000</v>
      </c>
      <c r="Z55" s="29">
        <f t="shared" si="4"/>
        <v>663000000</v>
      </c>
    </row>
    <row r="56" spans="1:26" outlineLevel="1" x14ac:dyDescent="0.3">
      <c r="A56">
        <f t="shared" si="0"/>
        <v>3</v>
      </c>
      <c r="B56" t="str">
        <f>INDEX('Category Mapping'!$G$28:$G$39,MATCH(A56,'Category Mapping'!$A$28:$A$39,0),1)</f>
        <v>Spring</v>
      </c>
      <c r="C56" t="s">
        <v>67</v>
      </c>
      <c r="D56" s="6" t="s">
        <v>142</v>
      </c>
      <c r="E56" t="s">
        <v>49</v>
      </c>
      <c r="F56" s="27">
        <f>SUMIFS(INDEX(Load,,MATCH('Summarized Source Data'!$C56,Hour,0)),Month,'Summarized Source Data'!$A56,Sector,'Summarized Source Data'!F$2,Subsector,'Summarized Source Data'!F$3,TimeOfWeek,$E56)*INDEX(About!B$79:B$82,MATCH($B56,About!$A$79:$A$82,0),1)</f>
        <v>13000000</v>
      </c>
      <c r="G56" s="27">
        <f>SUMIFS(INDEX(Load,,MATCH('Summarized Source Data'!$C56,Hour,0)),Month,'Summarized Source Data'!$A56,Sector,'Summarized Source Data'!G$2,Subsector,'Summarized Source Data'!G$3,TimeOfWeek,$E56)*INDEX(About!C$79:C$82,MATCH($B56,About!$A$79:$A$82,0),1)</f>
        <v>33448</v>
      </c>
      <c r="H56" s="27">
        <f>SUMIFS(INDEX(Load,,MATCH('Summarized Source Data'!$C56,Hour,0)),Month,'Summarized Source Data'!$A56,Sector,'Summarized Source Data'!H$2,Subsector,'Summarized Source Data'!H$3,TimeOfWeek,$E56)*INDEX(About!D$79:D$82,MATCH($B56,About!$A$79:$A$82,0),1)</f>
        <v>0</v>
      </c>
      <c r="I56" s="27">
        <f>SUMIFS(INDEX(Load,,MATCH('Summarized Source Data'!$C56,Hour,0)),Month,'Summarized Source Data'!$A56,Sector,'Summarized Source Data'!I$2,Subsector,'Summarized Source Data'!I$3,TimeOfWeek,$E56)*INDEX(About!E$79:E$82,MATCH($B56,About!$A$79:$A$82,0),1)</f>
        <v>12600000</v>
      </c>
      <c r="J56" s="54">
        <f t="shared" si="1"/>
        <v>39466552</v>
      </c>
      <c r="K56" s="27">
        <f>(SUMIFS(INDEX(Load,,MATCH('Summarized Source Data'!$C56,Hour,0)),Month,'Summarized Source Data'!$A56,Sector,'Summarized Source Data'!K$2,Subsector,"Total",TimeOfWeek,$E56)-SUM(F56:I56))*INDEX(About!G$79:G$82,MATCH($B56,About!$A$79:$A$82,0),1)</f>
        <v>39466552</v>
      </c>
      <c r="L56" s="27">
        <f>SUMIFS(INDEX(Load,,MATCH('Summarized Source Data'!$C56,Hour,0)),Month,'Summarized Source Data'!$A56,Sector,'Summarized Source Data'!L$2,Subsector,'Summarized Source Data'!L$3,TimeOfWeek,$E56)*INDEX(About!H$79:H$82,MATCH($B56,About!$A$79:$A$82,0),1)</f>
        <v>26400000</v>
      </c>
      <c r="M56" s="27">
        <f>SUMIFS(INDEX(Load,,MATCH('Summarized Source Data'!$C56,Hour,0)),Month,'Summarized Source Data'!$A56,Sector,'Summarized Source Data'!M$2,Subsector,'Summarized Source Data'!M$3,TimeOfWeek,$E56)*INDEX(About!I$79:I$82,MATCH($B56,About!$A$79:$A$82,0),1)</f>
        <v>81234</v>
      </c>
      <c r="N56" s="27">
        <f>SUMIFS(INDEX(Load,,MATCH('Summarized Source Data'!$C56,Hour,0)),Month,'Summarized Source Data'!$A56,Sector,'Summarized Source Data'!N$2,Subsector,'Summarized Source Data'!N$3,TimeOfWeek,$E56)*INDEX(About!J$79:J$82,MATCH($B56,About!$A$79:$A$82,0),1)</f>
        <v>0</v>
      </c>
      <c r="O56" s="29">
        <f t="shared" si="2"/>
        <v>165518766</v>
      </c>
      <c r="P56" s="27">
        <f>(SUMIFS(INDEX(Load,,MATCH('Summarized Source Data'!$C56,Hour,0)),Month,'Summarized Source Data'!$A56,Sector,'Summarized Source Data'!P$2,Subsector,"Total",TimeOfWeek,$E56)-SUM(L56:N56)*INDEX(About!L$79:L$82,MATCH($B56,About!$A$79:$A$82,0),1))</f>
        <v>165518766</v>
      </c>
      <c r="Q56" s="29">
        <f t="shared" si="3"/>
        <v>165518766</v>
      </c>
      <c r="R56" s="33">
        <f>SUMIFS(INDEX(Load,,MATCH('Summarized Source Data'!$C56,Hour,0)),Month,'Summarized Source Data'!$A56,Sector,'Summarized Source Data'!R$2,TimeOfWeek,$E56)*INDEX(About!N$79:N$82,MATCH($B56,About!$A$79:$A$82,0),1)</f>
        <v>4692691</v>
      </c>
      <c r="S56" s="33">
        <f>SUMIFS(INDEX(Load,,MATCH('Summarized Source Data'!$C56,Hour,0)),Month,'Summarized Source Data'!$A56,Sector,'Summarized Source Data'!S$2,TimeOfWeek,$E56)*INDEX(About!O$79:O$82,MATCH($B56,About!$A$79:$A$82,0),1)</f>
        <v>4692691</v>
      </c>
      <c r="T56" s="33">
        <f>SUMIFS(INDEX(Load,,MATCH('Summarized Source Data'!$C56,Hour,0)),Month,'Summarized Source Data'!$A56,Sector,'Summarized Source Data'!T$2,TimeOfWeek,$E56)*INDEX(About!P$79:P$82,MATCH($B56,About!$A$79:$A$82,0),1)</f>
        <v>4692691</v>
      </c>
      <c r="U56" s="33">
        <f>SUMIFS(INDEX(Load,,MATCH('Summarized Source Data'!$C56,Hour,0)),Month,'Summarized Source Data'!$A56,Sector,'Summarized Source Data'!U$2,TimeOfWeek,$E56)*INDEX(About!Q$79:Q$82,MATCH($B56,About!$A$79:$A$82,0),1)</f>
        <v>4692691</v>
      </c>
      <c r="V56" s="33">
        <f>SUMIFS(INDEX(Load,,MATCH('Summarized Source Data'!$C56,Hour,0)),Month,'Summarized Source Data'!$A56,Sector,'Summarized Source Data'!V$2,TimeOfWeek,$E56)*INDEX(About!R$79:R$82,MATCH($B56,About!$A$79:$A$82,0),1)</f>
        <v>4692691</v>
      </c>
      <c r="W56" s="33">
        <f>SUMIFS(INDEX(Load,,MATCH('Summarized Source Data'!$C56,Hour,0)),Month,'Summarized Source Data'!$A56,Sector,'Summarized Source Data'!W$2,TimeOfWeek,$E56)*INDEX(About!S$79:S$82,MATCH($B56,About!$A$79:$A$82,0),1)</f>
        <v>4692691</v>
      </c>
      <c r="X56" s="27">
        <f>SUMIFS(INDEX(Load,,MATCH('Summarized Source Data'!$C56,Hour,0)),Month,'Summarized Source Data'!$A56,Sector,'Summarized Source Data'!X$2,Subsector,'Summarized Source Data'!X$3,TimeOfWeek,$E56)*INDEX(About!T$79:T$82,MATCH($B56,About!$A$79:$A$82,0),1)</f>
        <v>665000000</v>
      </c>
      <c r="Y56" s="29">
        <f t="shared" si="4"/>
        <v>665000000</v>
      </c>
      <c r="Z56" s="29">
        <f t="shared" si="4"/>
        <v>665000000</v>
      </c>
    </row>
    <row r="57" spans="1:26" outlineLevel="1" x14ac:dyDescent="0.3">
      <c r="A57">
        <f t="shared" si="0"/>
        <v>3</v>
      </c>
      <c r="B57" t="str">
        <f>INDEX('Category Mapping'!$G$28:$G$39,MATCH(A57,'Category Mapping'!$A$28:$A$39,0),1)</f>
        <v>Spring</v>
      </c>
      <c r="C57" t="s">
        <v>68</v>
      </c>
      <c r="D57" s="6" t="s">
        <v>143</v>
      </c>
      <c r="E57" t="s">
        <v>49</v>
      </c>
      <c r="F57" s="27">
        <f>SUMIFS(INDEX(Load,,MATCH('Summarized Source Data'!$C57,Hour,0)),Month,'Summarized Source Data'!$A57,Sector,'Summarized Source Data'!F$2,Subsector,'Summarized Source Data'!F$3,TimeOfWeek,$E57)*INDEX(About!B$79:B$82,MATCH($B57,About!$A$79:$A$82,0),1)</f>
        <v>16700000</v>
      </c>
      <c r="G57" s="27">
        <f>SUMIFS(INDEX(Load,,MATCH('Summarized Source Data'!$C57,Hour,0)),Month,'Summarized Source Data'!$A57,Sector,'Summarized Source Data'!G$2,Subsector,'Summarized Source Data'!G$3,TimeOfWeek,$E57)*INDEX(About!C$79:C$82,MATCH($B57,About!$A$79:$A$82,0),1)</f>
        <v>30755</v>
      </c>
      <c r="H57" s="27">
        <f>SUMIFS(INDEX(Load,,MATCH('Summarized Source Data'!$C57,Hour,0)),Month,'Summarized Source Data'!$A57,Sector,'Summarized Source Data'!H$2,Subsector,'Summarized Source Data'!H$3,TimeOfWeek,$E57)*INDEX(About!D$79:D$82,MATCH($B57,About!$A$79:$A$82,0),1)</f>
        <v>0</v>
      </c>
      <c r="I57" s="27">
        <f>SUMIFS(INDEX(Load,,MATCH('Summarized Source Data'!$C57,Hour,0)),Month,'Summarized Source Data'!$A57,Sector,'Summarized Source Data'!I$2,Subsector,'Summarized Source Data'!I$3,TimeOfWeek,$E57)*INDEX(About!E$79:E$82,MATCH($B57,About!$A$79:$A$82,0),1)</f>
        <v>21700000</v>
      </c>
      <c r="J57" s="54">
        <f t="shared" si="1"/>
        <v>54669245</v>
      </c>
      <c r="K57" s="27">
        <f>(SUMIFS(INDEX(Load,,MATCH('Summarized Source Data'!$C57,Hour,0)),Month,'Summarized Source Data'!$A57,Sector,'Summarized Source Data'!K$2,Subsector,"Total",TimeOfWeek,$E57)-SUM(F57:I57))*INDEX(About!G$79:G$82,MATCH($B57,About!$A$79:$A$82,0),1)</f>
        <v>54669245</v>
      </c>
      <c r="L57" s="27">
        <f>SUMIFS(INDEX(Load,,MATCH('Summarized Source Data'!$C57,Hour,0)),Month,'Summarized Source Data'!$A57,Sector,'Summarized Source Data'!L$2,Subsector,'Summarized Source Data'!L$3,TimeOfWeek,$E57)*INDEX(About!H$79:H$82,MATCH($B57,About!$A$79:$A$82,0),1)</f>
        <v>36900000</v>
      </c>
      <c r="M57" s="27">
        <f>SUMIFS(INDEX(Load,,MATCH('Summarized Source Data'!$C57,Hour,0)),Month,'Summarized Source Data'!$A57,Sector,'Summarized Source Data'!M$2,Subsector,'Summarized Source Data'!M$3,TimeOfWeek,$E57)*INDEX(About!I$79:I$82,MATCH($B57,About!$A$79:$A$82,0),1)</f>
        <v>83774</v>
      </c>
      <c r="N57" s="27">
        <f>SUMIFS(INDEX(Load,,MATCH('Summarized Source Data'!$C57,Hour,0)),Month,'Summarized Source Data'!$A57,Sector,'Summarized Source Data'!N$2,Subsector,'Summarized Source Data'!N$3,TimeOfWeek,$E57)*INDEX(About!J$79:J$82,MATCH($B57,About!$A$79:$A$82,0),1)</f>
        <v>0</v>
      </c>
      <c r="O57" s="29">
        <f t="shared" si="2"/>
        <v>194016226</v>
      </c>
      <c r="P57" s="27">
        <f>(SUMIFS(INDEX(Load,,MATCH('Summarized Source Data'!$C57,Hour,0)),Month,'Summarized Source Data'!$A57,Sector,'Summarized Source Data'!P$2,Subsector,"Total",TimeOfWeek,$E57)-SUM(L57:N57)*INDEX(About!L$79:L$82,MATCH($B57,About!$A$79:$A$82,0),1))</f>
        <v>194016226</v>
      </c>
      <c r="Q57" s="29">
        <f t="shared" si="3"/>
        <v>194016226</v>
      </c>
      <c r="R57" s="33">
        <f>SUMIFS(INDEX(Load,,MATCH('Summarized Source Data'!$C57,Hour,0)),Month,'Summarized Source Data'!$A57,Sector,'Summarized Source Data'!R$2,TimeOfWeek,$E57)*INDEX(About!N$79:N$82,MATCH($B57,About!$A$79:$A$82,0),1)</f>
        <v>4825898</v>
      </c>
      <c r="S57" s="33">
        <f>SUMIFS(INDEX(Load,,MATCH('Summarized Source Data'!$C57,Hour,0)),Month,'Summarized Source Data'!$A57,Sector,'Summarized Source Data'!S$2,TimeOfWeek,$E57)*INDEX(About!O$79:O$82,MATCH($B57,About!$A$79:$A$82,0),1)</f>
        <v>4825898</v>
      </c>
      <c r="T57" s="33">
        <f>SUMIFS(INDEX(Load,,MATCH('Summarized Source Data'!$C57,Hour,0)),Month,'Summarized Source Data'!$A57,Sector,'Summarized Source Data'!T$2,TimeOfWeek,$E57)*INDEX(About!P$79:P$82,MATCH($B57,About!$A$79:$A$82,0),1)</f>
        <v>4825898</v>
      </c>
      <c r="U57" s="33">
        <f>SUMIFS(INDEX(Load,,MATCH('Summarized Source Data'!$C57,Hour,0)),Month,'Summarized Source Data'!$A57,Sector,'Summarized Source Data'!U$2,TimeOfWeek,$E57)*INDEX(About!Q$79:Q$82,MATCH($B57,About!$A$79:$A$82,0),1)</f>
        <v>4825898</v>
      </c>
      <c r="V57" s="33">
        <f>SUMIFS(INDEX(Load,,MATCH('Summarized Source Data'!$C57,Hour,0)),Month,'Summarized Source Data'!$A57,Sector,'Summarized Source Data'!V$2,TimeOfWeek,$E57)*INDEX(About!R$79:R$82,MATCH($B57,About!$A$79:$A$82,0),1)</f>
        <v>4825898</v>
      </c>
      <c r="W57" s="33">
        <f>SUMIFS(INDEX(Load,,MATCH('Summarized Source Data'!$C57,Hour,0)),Month,'Summarized Source Data'!$A57,Sector,'Summarized Source Data'!W$2,TimeOfWeek,$E57)*INDEX(About!S$79:S$82,MATCH($B57,About!$A$79:$A$82,0),1)</f>
        <v>4825898</v>
      </c>
      <c r="X57" s="27">
        <f>SUMIFS(INDEX(Load,,MATCH('Summarized Source Data'!$C57,Hour,0)),Month,'Summarized Source Data'!$A57,Sector,'Summarized Source Data'!X$2,Subsector,'Summarized Source Data'!X$3,TimeOfWeek,$E57)*INDEX(About!T$79:T$82,MATCH($B57,About!$A$79:$A$82,0),1)</f>
        <v>670000000</v>
      </c>
      <c r="Y57" s="29">
        <f t="shared" si="4"/>
        <v>670000000</v>
      </c>
      <c r="Z57" s="29">
        <f t="shared" si="4"/>
        <v>670000000</v>
      </c>
    </row>
    <row r="58" spans="1:26" outlineLevel="1" x14ac:dyDescent="0.3">
      <c r="A58">
        <f t="shared" si="0"/>
        <v>3</v>
      </c>
      <c r="B58" t="str">
        <f>INDEX('Category Mapping'!$G$28:$G$39,MATCH(A58,'Category Mapping'!$A$28:$A$39,0),1)</f>
        <v>Spring</v>
      </c>
      <c r="C58" t="s">
        <v>69</v>
      </c>
      <c r="D58" s="6" t="s">
        <v>144</v>
      </c>
      <c r="E58" t="s">
        <v>49</v>
      </c>
      <c r="F58" s="27">
        <f>SUMIFS(INDEX(Load,,MATCH('Summarized Source Data'!$C58,Hour,0)),Month,'Summarized Source Data'!$A58,Sector,'Summarized Source Data'!F$2,Subsector,'Summarized Source Data'!F$3,TimeOfWeek,$E58)*INDEX(About!B$79:B$82,MATCH($B58,About!$A$79:$A$82,0),1)</f>
        <v>17700000</v>
      </c>
      <c r="G58" s="27">
        <f>SUMIFS(INDEX(Load,,MATCH('Summarized Source Data'!$C58,Hour,0)),Month,'Summarized Source Data'!$A58,Sector,'Summarized Source Data'!G$2,Subsector,'Summarized Source Data'!G$3,TimeOfWeek,$E58)*INDEX(About!C$79:C$82,MATCH($B58,About!$A$79:$A$82,0),1)</f>
        <v>25125</v>
      </c>
      <c r="H58" s="27">
        <f>SUMIFS(INDEX(Load,,MATCH('Summarized Source Data'!$C58,Hour,0)),Month,'Summarized Source Data'!$A58,Sector,'Summarized Source Data'!H$2,Subsector,'Summarized Source Data'!H$3,TimeOfWeek,$E58)*INDEX(About!D$79:D$82,MATCH($B58,About!$A$79:$A$82,0),1)</f>
        <v>0</v>
      </c>
      <c r="I58" s="27">
        <f>SUMIFS(INDEX(Load,,MATCH('Summarized Source Data'!$C58,Hour,0)),Month,'Summarized Source Data'!$A58,Sector,'Summarized Source Data'!I$2,Subsector,'Summarized Source Data'!I$3,TimeOfWeek,$E58)*INDEX(About!E$79:E$82,MATCH($B58,About!$A$79:$A$82,0),1)</f>
        <v>31200000</v>
      </c>
      <c r="J58" s="54">
        <f t="shared" si="1"/>
        <v>87074875</v>
      </c>
      <c r="K58" s="27">
        <f>(SUMIFS(INDEX(Load,,MATCH('Summarized Source Data'!$C58,Hour,0)),Month,'Summarized Source Data'!$A58,Sector,'Summarized Source Data'!K$2,Subsector,"Total",TimeOfWeek,$E58)-SUM(F58:I58))*INDEX(About!G$79:G$82,MATCH($B58,About!$A$79:$A$82,0),1)</f>
        <v>87074875</v>
      </c>
      <c r="L58" s="27">
        <f>SUMIFS(INDEX(Load,,MATCH('Summarized Source Data'!$C58,Hour,0)),Month,'Summarized Source Data'!$A58,Sector,'Summarized Source Data'!L$2,Subsector,'Summarized Source Data'!L$3,TimeOfWeek,$E58)*INDEX(About!H$79:H$82,MATCH($B58,About!$A$79:$A$82,0),1)</f>
        <v>64700000</v>
      </c>
      <c r="M58" s="27">
        <f>SUMIFS(INDEX(Load,,MATCH('Summarized Source Data'!$C58,Hour,0)),Month,'Summarized Source Data'!$A58,Sector,'Summarized Source Data'!M$2,Subsector,'Summarized Source Data'!M$3,TimeOfWeek,$E58)*INDEX(About!I$79:I$82,MATCH($B58,About!$A$79:$A$82,0),1)</f>
        <v>92856</v>
      </c>
      <c r="N58" s="27">
        <f>SUMIFS(INDEX(Load,,MATCH('Summarized Source Data'!$C58,Hour,0)),Month,'Summarized Source Data'!$A58,Sector,'Summarized Source Data'!N$2,Subsector,'Summarized Source Data'!N$3,TimeOfWeek,$E58)*INDEX(About!J$79:J$82,MATCH($B58,About!$A$79:$A$82,0),1)</f>
        <v>0</v>
      </c>
      <c r="O58" s="29">
        <f t="shared" si="2"/>
        <v>291207144</v>
      </c>
      <c r="P58" s="27">
        <f>(SUMIFS(INDEX(Load,,MATCH('Summarized Source Data'!$C58,Hour,0)),Month,'Summarized Source Data'!$A58,Sector,'Summarized Source Data'!P$2,Subsector,"Total",TimeOfWeek,$E58)-SUM(L58:N58)*INDEX(About!L$79:L$82,MATCH($B58,About!$A$79:$A$82,0),1))</f>
        <v>291207144</v>
      </c>
      <c r="Q58" s="29">
        <f t="shared" si="3"/>
        <v>291207144</v>
      </c>
      <c r="R58" s="33">
        <f>SUMIFS(INDEX(Load,,MATCH('Summarized Source Data'!$C58,Hour,0)),Month,'Summarized Source Data'!$A58,Sector,'Summarized Source Data'!R$2,TimeOfWeek,$E58)*INDEX(About!N$79:N$82,MATCH($B58,About!$A$79:$A$82,0),1)</f>
        <v>7245839</v>
      </c>
      <c r="S58" s="33">
        <f>SUMIFS(INDEX(Load,,MATCH('Summarized Source Data'!$C58,Hour,0)),Month,'Summarized Source Data'!$A58,Sector,'Summarized Source Data'!S$2,TimeOfWeek,$E58)*INDEX(About!O$79:O$82,MATCH($B58,About!$A$79:$A$82,0),1)</f>
        <v>7245839</v>
      </c>
      <c r="T58" s="33">
        <f>SUMIFS(INDEX(Load,,MATCH('Summarized Source Data'!$C58,Hour,0)),Month,'Summarized Source Data'!$A58,Sector,'Summarized Source Data'!T$2,TimeOfWeek,$E58)*INDEX(About!P$79:P$82,MATCH($B58,About!$A$79:$A$82,0),1)</f>
        <v>7245839</v>
      </c>
      <c r="U58" s="33">
        <f>SUMIFS(INDEX(Load,,MATCH('Summarized Source Data'!$C58,Hour,0)),Month,'Summarized Source Data'!$A58,Sector,'Summarized Source Data'!U$2,TimeOfWeek,$E58)*INDEX(About!Q$79:Q$82,MATCH($B58,About!$A$79:$A$82,0),1)</f>
        <v>7245839</v>
      </c>
      <c r="V58" s="33">
        <f>SUMIFS(INDEX(Load,,MATCH('Summarized Source Data'!$C58,Hour,0)),Month,'Summarized Source Data'!$A58,Sector,'Summarized Source Data'!V$2,TimeOfWeek,$E58)*INDEX(About!R$79:R$82,MATCH($B58,About!$A$79:$A$82,0),1)</f>
        <v>7245839</v>
      </c>
      <c r="W58" s="33">
        <f>SUMIFS(INDEX(Load,,MATCH('Summarized Source Data'!$C58,Hour,0)),Month,'Summarized Source Data'!$A58,Sector,'Summarized Source Data'!W$2,TimeOfWeek,$E58)*INDEX(About!S$79:S$82,MATCH($B58,About!$A$79:$A$82,0),1)</f>
        <v>7245839</v>
      </c>
      <c r="X58" s="27">
        <f>SUMIFS(INDEX(Load,,MATCH('Summarized Source Data'!$C58,Hour,0)),Month,'Summarized Source Data'!$A58,Sector,'Summarized Source Data'!X$2,Subsector,'Summarized Source Data'!X$3,TimeOfWeek,$E58)*INDEX(About!T$79:T$82,MATCH($B58,About!$A$79:$A$82,0),1)</f>
        <v>677000000</v>
      </c>
      <c r="Y58" s="29">
        <f t="shared" si="4"/>
        <v>677000000</v>
      </c>
      <c r="Z58" s="29">
        <f t="shared" si="4"/>
        <v>677000000</v>
      </c>
    </row>
    <row r="59" spans="1:26" outlineLevel="1" x14ac:dyDescent="0.3">
      <c r="A59">
        <f t="shared" si="0"/>
        <v>3</v>
      </c>
      <c r="B59" t="str">
        <f>INDEX('Category Mapping'!$G$28:$G$39,MATCH(A59,'Category Mapping'!$A$28:$A$39,0),1)</f>
        <v>Spring</v>
      </c>
      <c r="C59" t="s">
        <v>70</v>
      </c>
      <c r="D59" s="6" t="s">
        <v>145</v>
      </c>
      <c r="E59" t="s">
        <v>49</v>
      </c>
      <c r="F59" s="27">
        <f>SUMIFS(INDEX(Load,,MATCH('Summarized Source Data'!$C59,Hour,0)),Month,'Summarized Source Data'!$A59,Sector,'Summarized Source Data'!F$2,Subsector,'Summarized Source Data'!F$3,TimeOfWeek,$E59)*INDEX(About!B$79:B$82,MATCH($B59,About!$A$79:$A$82,0),1)</f>
        <v>17100000</v>
      </c>
      <c r="G59" s="27">
        <f>SUMIFS(INDEX(Load,,MATCH('Summarized Source Data'!$C59,Hour,0)),Month,'Summarized Source Data'!$A59,Sector,'Summarized Source Data'!G$2,Subsector,'Summarized Source Data'!G$3,TimeOfWeek,$E59)*INDEX(About!C$79:C$82,MATCH($B59,About!$A$79:$A$82,0),1)</f>
        <v>18855</v>
      </c>
      <c r="H59" s="27">
        <f>SUMIFS(INDEX(Load,,MATCH('Summarized Source Data'!$C59,Hour,0)),Month,'Summarized Source Data'!$A59,Sector,'Summarized Source Data'!H$2,Subsector,'Summarized Source Data'!H$3,TimeOfWeek,$E59)*INDEX(About!D$79:D$82,MATCH($B59,About!$A$79:$A$82,0),1)</f>
        <v>0</v>
      </c>
      <c r="I59" s="27">
        <f>SUMIFS(INDEX(Load,,MATCH('Summarized Source Data'!$C59,Hour,0)),Month,'Summarized Source Data'!$A59,Sector,'Summarized Source Data'!I$2,Subsector,'Summarized Source Data'!I$3,TimeOfWeek,$E59)*INDEX(About!E$79:E$82,MATCH($B59,About!$A$79:$A$82,0),1)</f>
        <v>10500000</v>
      </c>
      <c r="J59" s="54">
        <f t="shared" si="1"/>
        <v>110381145</v>
      </c>
      <c r="K59" s="27">
        <f>(SUMIFS(INDEX(Load,,MATCH('Summarized Source Data'!$C59,Hour,0)),Month,'Summarized Source Data'!$A59,Sector,'Summarized Source Data'!K$2,Subsector,"Total",TimeOfWeek,$E59)-SUM(F59:I59))*INDEX(About!G$79:G$82,MATCH($B59,About!$A$79:$A$82,0),1)</f>
        <v>110381145</v>
      </c>
      <c r="L59" s="27">
        <f>SUMIFS(INDEX(Load,,MATCH('Summarized Source Data'!$C59,Hour,0)),Month,'Summarized Source Data'!$A59,Sector,'Summarized Source Data'!L$2,Subsector,'Summarized Source Data'!L$3,TimeOfWeek,$E59)*INDEX(About!H$79:H$82,MATCH($B59,About!$A$79:$A$82,0),1)</f>
        <v>91200000</v>
      </c>
      <c r="M59" s="27">
        <f>SUMIFS(INDEX(Load,,MATCH('Summarized Source Data'!$C59,Hour,0)),Month,'Summarized Source Data'!$A59,Sector,'Summarized Source Data'!M$2,Subsector,'Summarized Source Data'!M$3,TimeOfWeek,$E59)*INDEX(About!I$79:I$82,MATCH($B59,About!$A$79:$A$82,0),1)</f>
        <v>110773</v>
      </c>
      <c r="N59" s="27">
        <f>SUMIFS(INDEX(Load,,MATCH('Summarized Source Data'!$C59,Hour,0)),Month,'Summarized Source Data'!$A59,Sector,'Summarized Source Data'!N$2,Subsector,'Summarized Source Data'!N$3,TimeOfWeek,$E59)*INDEX(About!J$79:J$82,MATCH($B59,About!$A$79:$A$82,0),1)</f>
        <v>0</v>
      </c>
      <c r="O59" s="29">
        <f t="shared" si="2"/>
        <v>399689227</v>
      </c>
      <c r="P59" s="27">
        <f>(SUMIFS(INDEX(Load,,MATCH('Summarized Source Data'!$C59,Hour,0)),Month,'Summarized Source Data'!$A59,Sector,'Summarized Source Data'!P$2,Subsector,"Total",TimeOfWeek,$E59)-SUM(L59:N59)*INDEX(About!L$79:L$82,MATCH($B59,About!$A$79:$A$82,0),1))</f>
        <v>399689227</v>
      </c>
      <c r="Q59" s="29">
        <f t="shared" si="3"/>
        <v>399689227</v>
      </c>
      <c r="R59" s="33">
        <f>SUMIFS(INDEX(Load,,MATCH('Summarized Source Data'!$C59,Hour,0)),Month,'Summarized Source Data'!$A59,Sector,'Summarized Source Data'!R$2,TimeOfWeek,$E59)*INDEX(About!N$79:N$82,MATCH($B59,About!$A$79:$A$82,0),1)</f>
        <v>15300000</v>
      </c>
      <c r="S59" s="33">
        <f>SUMIFS(INDEX(Load,,MATCH('Summarized Source Data'!$C59,Hour,0)),Month,'Summarized Source Data'!$A59,Sector,'Summarized Source Data'!S$2,TimeOfWeek,$E59)*INDEX(About!O$79:O$82,MATCH($B59,About!$A$79:$A$82,0),1)</f>
        <v>15300000</v>
      </c>
      <c r="T59" s="33">
        <f>SUMIFS(INDEX(Load,,MATCH('Summarized Source Data'!$C59,Hour,0)),Month,'Summarized Source Data'!$A59,Sector,'Summarized Source Data'!T$2,TimeOfWeek,$E59)*INDEX(About!P$79:P$82,MATCH($B59,About!$A$79:$A$82,0),1)</f>
        <v>15300000</v>
      </c>
      <c r="U59" s="33">
        <f>SUMIFS(INDEX(Load,,MATCH('Summarized Source Data'!$C59,Hour,0)),Month,'Summarized Source Data'!$A59,Sector,'Summarized Source Data'!U$2,TimeOfWeek,$E59)*INDEX(About!Q$79:Q$82,MATCH($B59,About!$A$79:$A$82,0),1)</f>
        <v>15300000</v>
      </c>
      <c r="V59" s="33">
        <f>SUMIFS(INDEX(Load,,MATCH('Summarized Source Data'!$C59,Hour,0)),Month,'Summarized Source Data'!$A59,Sector,'Summarized Source Data'!V$2,TimeOfWeek,$E59)*INDEX(About!R$79:R$82,MATCH($B59,About!$A$79:$A$82,0),1)</f>
        <v>15300000</v>
      </c>
      <c r="W59" s="33">
        <f>SUMIFS(INDEX(Load,,MATCH('Summarized Source Data'!$C59,Hour,0)),Month,'Summarized Source Data'!$A59,Sector,'Summarized Source Data'!W$2,TimeOfWeek,$E59)*INDEX(About!S$79:S$82,MATCH($B59,About!$A$79:$A$82,0),1)</f>
        <v>15300000</v>
      </c>
      <c r="X59" s="27">
        <f>SUMIFS(INDEX(Load,,MATCH('Summarized Source Data'!$C59,Hour,0)),Month,'Summarized Source Data'!$A59,Sector,'Summarized Source Data'!X$2,Subsector,'Summarized Source Data'!X$3,TimeOfWeek,$E59)*INDEX(About!T$79:T$82,MATCH($B59,About!$A$79:$A$82,0),1)</f>
        <v>684000000</v>
      </c>
      <c r="Y59" s="29">
        <f t="shared" si="4"/>
        <v>684000000</v>
      </c>
      <c r="Z59" s="29">
        <f t="shared" si="4"/>
        <v>684000000</v>
      </c>
    </row>
    <row r="60" spans="1:26" outlineLevel="1" x14ac:dyDescent="0.3">
      <c r="A60">
        <f t="shared" si="0"/>
        <v>3</v>
      </c>
      <c r="B60" t="str">
        <f>INDEX('Category Mapping'!$G$28:$G$39,MATCH(A60,'Category Mapping'!$A$28:$A$39,0),1)</f>
        <v>Spring</v>
      </c>
      <c r="C60" t="s">
        <v>71</v>
      </c>
      <c r="D60" s="6" t="s">
        <v>146</v>
      </c>
      <c r="E60" t="s">
        <v>49</v>
      </c>
      <c r="F60" s="27">
        <f>SUMIFS(INDEX(Load,,MATCH('Summarized Source Data'!$C60,Hour,0)),Month,'Summarized Source Data'!$A60,Sector,'Summarized Source Data'!F$2,Subsector,'Summarized Source Data'!F$3,TimeOfWeek,$E60)*INDEX(About!B$79:B$82,MATCH($B60,About!$A$79:$A$82,0),1)</f>
        <v>16200000</v>
      </c>
      <c r="G60" s="27">
        <f>SUMIFS(INDEX(Load,,MATCH('Summarized Source Data'!$C60,Hour,0)),Month,'Summarized Source Data'!$A60,Sector,'Summarized Source Data'!G$2,Subsector,'Summarized Source Data'!G$3,TimeOfWeek,$E60)*INDEX(About!C$79:C$82,MATCH($B60,About!$A$79:$A$82,0),1)</f>
        <v>15238</v>
      </c>
      <c r="H60" s="27">
        <f>SUMIFS(INDEX(Load,,MATCH('Summarized Source Data'!$C60,Hour,0)),Month,'Summarized Source Data'!$A60,Sector,'Summarized Source Data'!H$2,Subsector,'Summarized Source Data'!H$3,TimeOfWeek,$E60)*INDEX(About!D$79:D$82,MATCH($B60,About!$A$79:$A$82,0),1)</f>
        <v>0</v>
      </c>
      <c r="I60" s="27">
        <f>SUMIFS(INDEX(Load,,MATCH('Summarized Source Data'!$C60,Hour,0)),Month,'Summarized Source Data'!$A60,Sector,'Summarized Source Data'!I$2,Subsector,'Summarized Source Data'!I$3,TimeOfWeek,$E60)*INDEX(About!E$79:E$82,MATCH($B60,About!$A$79:$A$82,0),1)</f>
        <v>9639399</v>
      </c>
      <c r="J60" s="54">
        <f t="shared" si="1"/>
        <v>112145363</v>
      </c>
      <c r="K60" s="27">
        <f>(SUMIFS(INDEX(Load,,MATCH('Summarized Source Data'!$C60,Hour,0)),Month,'Summarized Source Data'!$A60,Sector,'Summarized Source Data'!K$2,Subsector,"Total",TimeOfWeek,$E60)-SUM(F60:I60))*INDEX(About!G$79:G$82,MATCH($B60,About!$A$79:$A$82,0),1)</f>
        <v>112145363</v>
      </c>
      <c r="L60" s="27">
        <f>SUMIFS(INDEX(Load,,MATCH('Summarized Source Data'!$C60,Hour,0)),Month,'Summarized Source Data'!$A60,Sector,'Summarized Source Data'!L$2,Subsector,'Summarized Source Data'!L$3,TimeOfWeek,$E60)*INDEX(About!H$79:H$82,MATCH($B60,About!$A$79:$A$82,0),1)</f>
        <v>75800000</v>
      </c>
      <c r="M60" s="27">
        <f>SUMIFS(INDEX(Load,,MATCH('Summarized Source Data'!$C60,Hour,0)),Month,'Summarized Source Data'!$A60,Sector,'Summarized Source Data'!M$2,Subsector,'Summarized Source Data'!M$3,TimeOfWeek,$E60)*INDEX(About!I$79:I$82,MATCH($B60,About!$A$79:$A$82,0),1)</f>
        <v>137111</v>
      </c>
      <c r="N60" s="27">
        <f>SUMIFS(INDEX(Load,,MATCH('Summarized Source Data'!$C60,Hour,0)),Month,'Summarized Source Data'!$A60,Sector,'Summarized Source Data'!N$2,Subsector,'Summarized Source Data'!N$3,TimeOfWeek,$E60)*INDEX(About!J$79:J$82,MATCH($B60,About!$A$79:$A$82,0),1)</f>
        <v>0</v>
      </c>
      <c r="O60" s="29">
        <f t="shared" si="2"/>
        <v>496062889</v>
      </c>
      <c r="P60" s="27">
        <f>(SUMIFS(INDEX(Load,,MATCH('Summarized Source Data'!$C60,Hour,0)),Month,'Summarized Source Data'!$A60,Sector,'Summarized Source Data'!P$2,Subsector,"Total",TimeOfWeek,$E60)-SUM(L60:N60)*INDEX(About!L$79:L$82,MATCH($B60,About!$A$79:$A$82,0),1))</f>
        <v>496062889</v>
      </c>
      <c r="Q60" s="29">
        <f t="shared" si="3"/>
        <v>496062889</v>
      </c>
      <c r="R60" s="33">
        <f>SUMIFS(INDEX(Load,,MATCH('Summarized Source Data'!$C60,Hour,0)),Month,'Summarized Source Data'!$A60,Sector,'Summarized Source Data'!R$2,TimeOfWeek,$E60)*INDEX(About!N$79:N$82,MATCH($B60,About!$A$79:$A$82,0),1)</f>
        <v>16600000</v>
      </c>
      <c r="S60" s="33">
        <f>SUMIFS(INDEX(Load,,MATCH('Summarized Source Data'!$C60,Hour,0)),Month,'Summarized Source Data'!$A60,Sector,'Summarized Source Data'!S$2,TimeOfWeek,$E60)*INDEX(About!O$79:O$82,MATCH($B60,About!$A$79:$A$82,0),1)</f>
        <v>16600000</v>
      </c>
      <c r="T60" s="33">
        <f>SUMIFS(INDEX(Load,,MATCH('Summarized Source Data'!$C60,Hour,0)),Month,'Summarized Source Data'!$A60,Sector,'Summarized Source Data'!T$2,TimeOfWeek,$E60)*INDEX(About!P$79:P$82,MATCH($B60,About!$A$79:$A$82,0),1)</f>
        <v>16600000</v>
      </c>
      <c r="U60" s="33">
        <f>SUMIFS(INDEX(Load,,MATCH('Summarized Source Data'!$C60,Hour,0)),Month,'Summarized Source Data'!$A60,Sector,'Summarized Source Data'!U$2,TimeOfWeek,$E60)*INDEX(About!Q$79:Q$82,MATCH($B60,About!$A$79:$A$82,0),1)</f>
        <v>16600000</v>
      </c>
      <c r="V60" s="33">
        <f>SUMIFS(INDEX(Load,,MATCH('Summarized Source Data'!$C60,Hour,0)),Month,'Summarized Source Data'!$A60,Sector,'Summarized Source Data'!V$2,TimeOfWeek,$E60)*INDEX(About!R$79:R$82,MATCH($B60,About!$A$79:$A$82,0),1)</f>
        <v>16600000</v>
      </c>
      <c r="W60" s="33">
        <f>SUMIFS(INDEX(Load,,MATCH('Summarized Source Data'!$C60,Hour,0)),Month,'Summarized Source Data'!$A60,Sector,'Summarized Source Data'!W$2,TimeOfWeek,$E60)*INDEX(About!S$79:S$82,MATCH($B60,About!$A$79:$A$82,0),1)</f>
        <v>16600000</v>
      </c>
      <c r="X60" s="27">
        <f>SUMIFS(INDEX(Load,,MATCH('Summarized Source Data'!$C60,Hour,0)),Month,'Summarized Source Data'!$A60,Sector,'Summarized Source Data'!X$2,Subsector,'Summarized Source Data'!X$3,TimeOfWeek,$E60)*INDEX(About!T$79:T$82,MATCH($B60,About!$A$79:$A$82,0),1)</f>
        <v>686000000</v>
      </c>
      <c r="Y60" s="29">
        <f t="shared" si="4"/>
        <v>686000000</v>
      </c>
      <c r="Z60" s="29">
        <f t="shared" si="4"/>
        <v>686000000</v>
      </c>
    </row>
    <row r="61" spans="1:26" outlineLevel="1" x14ac:dyDescent="0.3">
      <c r="A61">
        <f t="shared" si="0"/>
        <v>3</v>
      </c>
      <c r="B61" t="str">
        <f>INDEX('Category Mapping'!$G$28:$G$39,MATCH(A61,'Category Mapping'!$A$28:$A$39,0),1)</f>
        <v>Spring</v>
      </c>
      <c r="C61" t="s">
        <v>72</v>
      </c>
      <c r="D61" s="6" t="s">
        <v>147</v>
      </c>
      <c r="E61" t="s">
        <v>49</v>
      </c>
      <c r="F61" s="27">
        <f>SUMIFS(INDEX(Load,,MATCH('Summarized Source Data'!$C61,Hour,0)),Month,'Summarized Source Data'!$A61,Sector,'Summarized Source Data'!F$2,Subsector,'Summarized Source Data'!F$3,TimeOfWeek,$E61)*INDEX(About!B$79:B$82,MATCH($B61,About!$A$79:$A$82,0),1)</f>
        <v>10900000</v>
      </c>
      <c r="G61" s="27">
        <f>SUMIFS(INDEX(Load,,MATCH('Summarized Source Data'!$C61,Hour,0)),Month,'Summarized Source Data'!$A61,Sector,'Summarized Source Data'!G$2,Subsector,'Summarized Source Data'!G$3,TimeOfWeek,$E61)*INDEX(About!C$79:C$82,MATCH($B61,About!$A$79:$A$82,0),1)</f>
        <v>13173</v>
      </c>
      <c r="H61" s="27">
        <f>SUMIFS(INDEX(Load,,MATCH('Summarized Source Data'!$C61,Hour,0)),Month,'Summarized Source Data'!$A61,Sector,'Summarized Source Data'!H$2,Subsector,'Summarized Source Data'!H$3,TimeOfWeek,$E61)*INDEX(About!D$79:D$82,MATCH($B61,About!$A$79:$A$82,0),1)</f>
        <v>0</v>
      </c>
      <c r="I61" s="27">
        <f>SUMIFS(INDEX(Load,,MATCH('Summarized Source Data'!$C61,Hour,0)),Month,'Summarized Source Data'!$A61,Sector,'Summarized Source Data'!I$2,Subsector,'Summarized Source Data'!I$3,TimeOfWeek,$E61)*INDEX(About!E$79:E$82,MATCH($B61,About!$A$79:$A$82,0),1)</f>
        <v>9272622</v>
      </c>
      <c r="J61" s="54">
        <f t="shared" si="1"/>
        <v>111814205</v>
      </c>
      <c r="K61" s="27">
        <f>(SUMIFS(INDEX(Load,,MATCH('Summarized Source Data'!$C61,Hour,0)),Month,'Summarized Source Data'!$A61,Sector,'Summarized Source Data'!K$2,Subsector,"Total",TimeOfWeek,$E61)-SUM(F61:I61))*INDEX(About!G$79:G$82,MATCH($B61,About!$A$79:$A$82,0),1)</f>
        <v>111814205</v>
      </c>
      <c r="L61" s="27">
        <f>SUMIFS(INDEX(Load,,MATCH('Summarized Source Data'!$C61,Hour,0)),Month,'Summarized Source Data'!$A61,Sector,'Summarized Source Data'!L$2,Subsector,'Summarized Source Data'!L$3,TimeOfWeek,$E61)*INDEX(About!H$79:H$82,MATCH($B61,About!$A$79:$A$82,0),1)</f>
        <v>56100000</v>
      </c>
      <c r="M61" s="27">
        <f>SUMIFS(INDEX(Load,,MATCH('Summarized Source Data'!$C61,Hour,0)),Month,'Summarized Source Data'!$A61,Sector,'Summarized Source Data'!M$2,Subsector,'Summarized Source Data'!M$3,TimeOfWeek,$E61)*INDEX(About!I$79:I$82,MATCH($B61,About!$A$79:$A$82,0),1)</f>
        <v>153929</v>
      </c>
      <c r="N61" s="27">
        <f>SUMIFS(INDEX(Load,,MATCH('Summarized Source Data'!$C61,Hour,0)),Month,'Summarized Source Data'!$A61,Sector,'Summarized Source Data'!N$2,Subsector,'Summarized Source Data'!N$3,TimeOfWeek,$E61)*INDEX(About!J$79:J$82,MATCH($B61,About!$A$79:$A$82,0),1)</f>
        <v>0</v>
      </c>
      <c r="O61" s="29">
        <f t="shared" si="2"/>
        <v>520746071</v>
      </c>
      <c r="P61" s="27">
        <f>(SUMIFS(INDEX(Load,,MATCH('Summarized Source Data'!$C61,Hour,0)),Month,'Summarized Source Data'!$A61,Sector,'Summarized Source Data'!P$2,Subsector,"Total",TimeOfWeek,$E61)-SUM(L61:N61)*INDEX(About!L$79:L$82,MATCH($B61,About!$A$79:$A$82,0),1))</f>
        <v>520746071</v>
      </c>
      <c r="Q61" s="29">
        <f t="shared" si="3"/>
        <v>520746071</v>
      </c>
      <c r="R61" s="33">
        <f>SUMIFS(INDEX(Load,,MATCH('Summarized Source Data'!$C61,Hour,0)),Month,'Summarized Source Data'!$A61,Sector,'Summarized Source Data'!R$2,TimeOfWeek,$E61)*INDEX(About!N$79:N$82,MATCH($B61,About!$A$79:$A$82,0),1)</f>
        <v>14700000</v>
      </c>
      <c r="S61" s="33">
        <f>SUMIFS(INDEX(Load,,MATCH('Summarized Source Data'!$C61,Hour,0)),Month,'Summarized Source Data'!$A61,Sector,'Summarized Source Data'!S$2,TimeOfWeek,$E61)*INDEX(About!O$79:O$82,MATCH($B61,About!$A$79:$A$82,0),1)</f>
        <v>14700000</v>
      </c>
      <c r="T61" s="33">
        <f>SUMIFS(INDEX(Load,,MATCH('Summarized Source Data'!$C61,Hour,0)),Month,'Summarized Source Data'!$A61,Sector,'Summarized Source Data'!T$2,TimeOfWeek,$E61)*INDEX(About!P$79:P$82,MATCH($B61,About!$A$79:$A$82,0),1)</f>
        <v>14700000</v>
      </c>
      <c r="U61" s="33">
        <f>SUMIFS(INDEX(Load,,MATCH('Summarized Source Data'!$C61,Hour,0)),Month,'Summarized Source Data'!$A61,Sector,'Summarized Source Data'!U$2,TimeOfWeek,$E61)*INDEX(About!Q$79:Q$82,MATCH($B61,About!$A$79:$A$82,0),1)</f>
        <v>14700000</v>
      </c>
      <c r="V61" s="33">
        <f>SUMIFS(INDEX(Load,,MATCH('Summarized Source Data'!$C61,Hour,0)),Month,'Summarized Source Data'!$A61,Sector,'Summarized Source Data'!V$2,TimeOfWeek,$E61)*INDEX(About!R$79:R$82,MATCH($B61,About!$A$79:$A$82,0),1)</f>
        <v>14700000</v>
      </c>
      <c r="W61" s="33">
        <f>SUMIFS(INDEX(Load,,MATCH('Summarized Source Data'!$C61,Hour,0)),Month,'Summarized Source Data'!$A61,Sector,'Summarized Source Data'!W$2,TimeOfWeek,$E61)*INDEX(About!S$79:S$82,MATCH($B61,About!$A$79:$A$82,0),1)</f>
        <v>14700000</v>
      </c>
      <c r="X61" s="27">
        <f>SUMIFS(INDEX(Load,,MATCH('Summarized Source Data'!$C61,Hour,0)),Month,'Summarized Source Data'!$A61,Sector,'Summarized Source Data'!X$2,Subsector,'Summarized Source Data'!X$3,TimeOfWeek,$E61)*INDEX(About!T$79:T$82,MATCH($B61,About!$A$79:$A$82,0),1)</f>
        <v>685000000</v>
      </c>
      <c r="Y61" s="29">
        <f t="shared" si="4"/>
        <v>685000000</v>
      </c>
      <c r="Z61" s="29">
        <f t="shared" si="4"/>
        <v>685000000</v>
      </c>
    </row>
    <row r="62" spans="1:26" outlineLevel="1" x14ac:dyDescent="0.3">
      <c r="A62">
        <f t="shared" si="0"/>
        <v>3</v>
      </c>
      <c r="B62" t="str">
        <f>INDEX('Category Mapping'!$G$28:$G$39,MATCH(A62,'Category Mapping'!$A$28:$A$39,0),1)</f>
        <v>Spring</v>
      </c>
      <c r="C62" t="s">
        <v>73</v>
      </c>
      <c r="D62" s="6" t="s">
        <v>148</v>
      </c>
      <c r="E62" t="s">
        <v>49</v>
      </c>
      <c r="F62" s="27">
        <f>SUMIFS(INDEX(Load,,MATCH('Summarized Source Data'!$C62,Hour,0)),Month,'Summarized Source Data'!$A62,Sector,'Summarized Source Data'!F$2,Subsector,'Summarized Source Data'!F$3,TimeOfWeek,$E62)*INDEX(About!B$79:B$82,MATCH($B62,About!$A$79:$A$82,0),1)</f>
        <v>10200000</v>
      </c>
      <c r="G62" s="27">
        <f>SUMIFS(INDEX(Load,,MATCH('Summarized Source Data'!$C62,Hour,0)),Month,'Summarized Source Data'!$A62,Sector,'Summarized Source Data'!G$2,Subsector,'Summarized Source Data'!G$3,TimeOfWeek,$E62)*INDEX(About!C$79:C$82,MATCH($B62,About!$A$79:$A$82,0),1)</f>
        <v>13017</v>
      </c>
      <c r="H62" s="27">
        <f>SUMIFS(INDEX(Load,,MATCH('Summarized Source Data'!$C62,Hour,0)),Month,'Summarized Source Data'!$A62,Sector,'Summarized Source Data'!H$2,Subsector,'Summarized Source Data'!H$3,TimeOfWeek,$E62)*INDEX(About!D$79:D$82,MATCH($B62,About!$A$79:$A$82,0),1)</f>
        <v>0</v>
      </c>
      <c r="I62" s="27">
        <f>SUMIFS(INDEX(Load,,MATCH('Summarized Source Data'!$C62,Hour,0)),Month,'Summarized Source Data'!$A62,Sector,'Summarized Source Data'!I$2,Subsector,'Summarized Source Data'!I$3,TimeOfWeek,$E62)*INDEX(About!E$79:E$82,MATCH($B62,About!$A$79:$A$82,0),1)</f>
        <v>9424134</v>
      </c>
      <c r="J62" s="54">
        <f t="shared" si="1"/>
        <v>110362849</v>
      </c>
      <c r="K62" s="27">
        <f>(SUMIFS(INDEX(Load,,MATCH('Summarized Source Data'!$C62,Hour,0)),Month,'Summarized Source Data'!$A62,Sector,'Summarized Source Data'!K$2,Subsector,"Total",TimeOfWeek,$E62)-SUM(F62:I62))*INDEX(About!G$79:G$82,MATCH($B62,About!$A$79:$A$82,0),1)</f>
        <v>110362849</v>
      </c>
      <c r="L62" s="27">
        <f>SUMIFS(INDEX(Load,,MATCH('Summarized Source Data'!$C62,Hour,0)),Month,'Summarized Source Data'!$A62,Sector,'Summarized Source Data'!L$2,Subsector,'Summarized Source Data'!L$3,TimeOfWeek,$E62)*INDEX(About!H$79:H$82,MATCH($B62,About!$A$79:$A$82,0),1)</f>
        <v>46200000</v>
      </c>
      <c r="M62" s="27">
        <f>SUMIFS(INDEX(Load,,MATCH('Summarized Source Data'!$C62,Hour,0)),Month,'Summarized Source Data'!$A62,Sector,'Summarized Source Data'!M$2,Subsector,'Summarized Source Data'!M$3,TimeOfWeek,$E62)*INDEX(About!I$79:I$82,MATCH($B62,About!$A$79:$A$82,0),1)</f>
        <v>162670</v>
      </c>
      <c r="N62" s="27">
        <f>SUMIFS(INDEX(Load,,MATCH('Summarized Source Data'!$C62,Hour,0)),Month,'Summarized Source Data'!$A62,Sector,'Summarized Source Data'!N$2,Subsector,'Summarized Source Data'!N$3,TimeOfWeek,$E62)*INDEX(About!J$79:J$82,MATCH($B62,About!$A$79:$A$82,0),1)</f>
        <v>0</v>
      </c>
      <c r="O62" s="29">
        <f t="shared" si="2"/>
        <v>518637330</v>
      </c>
      <c r="P62" s="27">
        <f>(SUMIFS(INDEX(Load,,MATCH('Summarized Source Data'!$C62,Hour,0)),Month,'Summarized Source Data'!$A62,Sector,'Summarized Source Data'!P$2,Subsector,"Total",TimeOfWeek,$E62)-SUM(L62:N62)*INDEX(About!L$79:L$82,MATCH($B62,About!$A$79:$A$82,0),1))</f>
        <v>518637330</v>
      </c>
      <c r="Q62" s="29">
        <f t="shared" si="3"/>
        <v>518637330</v>
      </c>
      <c r="R62" s="33">
        <f>SUMIFS(INDEX(Load,,MATCH('Summarized Source Data'!$C62,Hour,0)),Month,'Summarized Source Data'!$A62,Sector,'Summarized Source Data'!R$2,TimeOfWeek,$E62)*INDEX(About!N$79:N$82,MATCH($B62,About!$A$79:$A$82,0),1)</f>
        <v>11900000</v>
      </c>
      <c r="S62" s="33">
        <f>SUMIFS(INDEX(Load,,MATCH('Summarized Source Data'!$C62,Hour,0)),Month,'Summarized Source Data'!$A62,Sector,'Summarized Source Data'!S$2,TimeOfWeek,$E62)*INDEX(About!O$79:O$82,MATCH($B62,About!$A$79:$A$82,0),1)</f>
        <v>11900000</v>
      </c>
      <c r="T62" s="33">
        <f>SUMIFS(INDEX(Load,,MATCH('Summarized Source Data'!$C62,Hour,0)),Month,'Summarized Source Data'!$A62,Sector,'Summarized Source Data'!T$2,TimeOfWeek,$E62)*INDEX(About!P$79:P$82,MATCH($B62,About!$A$79:$A$82,0),1)</f>
        <v>11900000</v>
      </c>
      <c r="U62" s="33">
        <f>SUMIFS(INDEX(Load,,MATCH('Summarized Source Data'!$C62,Hour,0)),Month,'Summarized Source Data'!$A62,Sector,'Summarized Source Data'!U$2,TimeOfWeek,$E62)*INDEX(About!Q$79:Q$82,MATCH($B62,About!$A$79:$A$82,0),1)</f>
        <v>11900000</v>
      </c>
      <c r="V62" s="33">
        <f>SUMIFS(INDEX(Load,,MATCH('Summarized Source Data'!$C62,Hour,0)),Month,'Summarized Source Data'!$A62,Sector,'Summarized Source Data'!V$2,TimeOfWeek,$E62)*INDEX(About!R$79:R$82,MATCH($B62,About!$A$79:$A$82,0),1)</f>
        <v>11900000</v>
      </c>
      <c r="W62" s="33">
        <f>SUMIFS(INDEX(Load,,MATCH('Summarized Source Data'!$C62,Hour,0)),Month,'Summarized Source Data'!$A62,Sector,'Summarized Source Data'!W$2,TimeOfWeek,$E62)*INDEX(About!S$79:S$82,MATCH($B62,About!$A$79:$A$82,0),1)</f>
        <v>11900000</v>
      </c>
      <c r="X62" s="27">
        <f>SUMIFS(INDEX(Load,,MATCH('Summarized Source Data'!$C62,Hour,0)),Month,'Summarized Source Data'!$A62,Sector,'Summarized Source Data'!X$2,Subsector,'Summarized Source Data'!X$3,TimeOfWeek,$E62)*INDEX(About!T$79:T$82,MATCH($B62,About!$A$79:$A$82,0),1)</f>
        <v>682000000</v>
      </c>
      <c r="Y62" s="29">
        <f t="shared" si="4"/>
        <v>682000000</v>
      </c>
      <c r="Z62" s="29">
        <f t="shared" si="4"/>
        <v>682000000</v>
      </c>
    </row>
    <row r="63" spans="1:26" outlineLevel="1" x14ac:dyDescent="0.3">
      <c r="A63">
        <f t="shared" si="0"/>
        <v>3</v>
      </c>
      <c r="B63" t="str">
        <f>INDEX('Category Mapping'!$G$28:$G$39,MATCH(A63,'Category Mapping'!$A$28:$A$39,0),1)</f>
        <v>Spring</v>
      </c>
      <c r="C63" t="s">
        <v>74</v>
      </c>
      <c r="D63" s="6" t="s">
        <v>149</v>
      </c>
      <c r="E63" t="s">
        <v>49</v>
      </c>
      <c r="F63" s="27">
        <f>SUMIFS(INDEX(Load,,MATCH('Summarized Source Data'!$C63,Hour,0)),Month,'Summarized Source Data'!$A63,Sector,'Summarized Source Data'!F$2,Subsector,'Summarized Source Data'!F$3,TimeOfWeek,$E63)*INDEX(About!B$79:B$82,MATCH($B63,About!$A$79:$A$82,0),1)</f>
        <v>10600000</v>
      </c>
      <c r="G63" s="27">
        <f>SUMIFS(INDEX(Load,,MATCH('Summarized Source Data'!$C63,Hour,0)),Month,'Summarized Source Data'!$A63,Sector,'Summarized Source Data'!G$2,Subsector,'Summarized Source Data'!G$3,TimeOfWeek,$E63)*INDEX(About!C$79:C$82,MATCH($B63,About!$A$79:$A$82,0),1)</f>
        <v>14558</v>
      </c>
      <c r="H63" s="27">
        <f>SUMIFS(INDEX(Load,,MATCH('Summarized Source Data'!$C63,Hour,0)),Month,'Summarized Source Data'!$A63,Sector,'Summarized Source Data'!H$2,Subsector,'Summarized Source Data'!H$3,TimeOfWeek,$E63)*INDEX(About!D$79:D$82,MATCH($B63,About!$A$79:$A$82,0),1)</f>
        <v>0</v>
      </c>
      <c r="I63" s="27">
        <f>SUMIFS(INDEX(Load,,MATCH('Summarized Source Data'!$C63,Hour,0)),Month,'Summarized Source Data'!$A63,Sector,'Summarized Source Data'!I$2,Subsector,'Summarized Source Data'!I$3,TimeOfWeek,$E63)*INDEX(About!E$79:E$82,MATCH($B63,About!$A$79:$A$82,0),1)</f>
        <v>10300000</v>
      </c>
      <c r="J63" s="54">
        <f t="shared" si="1"/>
        <v>110085442</v>
      </c>
      <c r="K63" s="27">
        <f>(SUMIFS(INDEX(Load,,MATCH('Summarized Source Data'!$C63,Hour,0)),Month,'Summarized Source Data'!$A63,Sector,'Summarized Source Data'!K$2,Subsector,"Total",TimeOfWeek,$E63)-SUM(F63:I63))*INDEX(About!G$79:G$82,MATCH($B63,About!$A$79:$A$82,0),1)</f>
        <v>110085442</v>
      </c>
      <c r="L63" s="27">
        <f>SUMIFS(INDEX(Load,,MATCH('Summarized Source Data'!$C63,Hour,0)),Month,'Summarized Source Data'!$A63,Sector,'Summarized Source Data'!L$2,Subsector,'Summarized Source Data'!L$3,TimeOfWeek,$E63)*INDEX(About!H$79:H$82,MATCH($B63,About!$A$79:$A$82,0),1)</f>
        <v>39200000</v>
      </c>
      <c r="M63" s="27">
        <f>SUMIFS(INDEX(Load,,MATCH('Summarized Source Data'!$C63,Hour,0)),Month,'Summarized Source Data'!$A63,Sector,'Summarized Source Data'!M$2,Subsector,'Summarized Source Data'!M$3,TimeOfWeek,$E63)*INDEX(About!I$79:I$82,MATCH($B63,About!$A$79:$A$82,0),1)</f>
        <v>164719</v>
      </c>
      <c r="N63" s="27">
        <f>SUMIFS(INDEX(Load,,MATCH('Summarized Source Data'!$C63,Hour,0)),Month,'Summarized Source Data'!$A63,Sector,'Summarized Source Data'!N$2,Subsector,'Summarized Source Data'!N$3,TimeOfWeek,$E63)*INDEX(About!J$79:J$82,MATCH($B63,About!$A$79:$A$82,0),1)</f>
        <v>0</v>
      </c>
      <c r="O63" s="29">
        <f t="shared" si="2"/>
        <v>516635281</v>
      </c>
      <c r="P63" s="27">
        <f>(SUMIFS(INDEX(Load,,MATCH('Summarized Source Data'!$C63,Hour,0)),Month,'Summarized Source Data'!$A63,Sector,'Summarized Source Data'!P$2,Subsector,"Total",TimeOfWeek,$E63)-SUM(L63:N63)*INDEX(About!L$79:L$82,MATCH($B63,About!$A$79:$A$82,0),1))</f>
        <v>516635281</v>
      </c>
      <c r="Q63" s="29">
        <f t="shared" si="3"/>
        <v>516635281</v>
      </c>
      <c r="R63" s="33">
        <f>SUMIFS(INDEX(Load,,MATCH('Summarized Source Data'!$C63,Hour,0)),Month,'Summarized Source Data'!$A63,Sector,'Summarized Source Data'!R$2,TimeOfWeek,$E63)*INDEX(About!N$79:N$82,MATCH($B63,About!$A$79:$A$82,0),1)</f>
        <v>11900000</v>
      </c>
      <c r="S63" s="33">
        <f>SUMIFS(INDEX(Load,,MATCH('Summarized Source Data'!$C63,Hour,0)),Month,'Summarized Source Data'!$A63,Sector,'Summarized Source Data'!S$2,TimeOfWeek,$E63)*INDEX(About!O$79:O$82,MATCH($B63,About!$A$79:$A$82,0),1)</f>
        <v>11900000</v>
      </c>
      <c r="T63" s="33">
        <f>SUMIFS(INDEX(Load,,MATCH('Summarized Source Data'!$C63,Hour,0)),Month,'Summarized Source Data'!$A63,Sector,'Summarized Source Data'!T$2,TimeOfWeek,$E63)*INDEX(About!P$79:P$82,MATCH($B63,About!$A$79:$A$82,0),1)</f>
        <v>11900000</v>
      </c>
      <c r="U63" s="33">
        <f>SUMIFS(INDEX(Load,,MATCH('Summarized Source Data'!$C63,Hour,0)),Month,'Summarized Source Data'!$A63,Sector,'Summarized Source Data'!U$2,TimeOfWeek,$E63)*INDEX(About!Q$79:Q$82,MATCH($B63,About!$A$79:$A$82,0),1)</f>
        <v>11900000</v>
      </c>
      <c r="V63" s="33">
        <f>SUMIFS(INDEX(Load,,MATCH('Summarized Source Data'!$C63,Hour,0)),Month,'Summarized Source Data'!$A63,Sector,'Summarized Source Data'!V$2,TimeOfWeek,$E63)*INDEX(About!R$79:R$82,MATCH($B63,About!$A$79:$A$82,0),1)</f>
        <v>11900000</v>
      </c>
      <c r="W63" s="33">
        <f>SUMIFS(INDEX(Load,,MATCH('Summarized Source Data'!$C63,Hour,0)),Month,'Summarized Source Data'!$A63,Sector,'Summarized Source Data'!W$2,TimeOfWeek,$E63)*INDEX(About!S$79:S$82,MATCH($B63,About!$A$79:$A$82,0),1)</f>
        <v>11900000</v>
      </c>
      <c r="X63" s="27">
        <f>SUMIFS(INDEX(Load,,MATCH('Summarized Source Data'!$C63,Hour,0)),Month,'Summarized Source Data'!$A63,Sector,'Summarized Source Data'!X$2,Subsector,'Summarized Source Data'!X$3,TimeOfWeek,$E63)*INDEX(About!T$79:T$82,MATCH($B63,About!$A$79:$A$82,0),1)</f>
        <v>680000000</v>
      </c>
      <c r="Y63" s="29">
        <f t="shared" si="4"/>
        <v>680000000</v>
      </c>
      <c r="Z63" s="29">
        <f t="shared" si="4"/>
        <v>680000000</v>
      </c>
    </row>
    <row r="64" spans="1:26" outlineLevel="1" x14ac:dyDescent="0.3">
      <c r="A64">
        <f t="shared" si="0"/>
        <v>3</v>
      </c>
      <c r="B64" t="str">
        <f>INDEX('Category Mapping'!$G$28:$G$39,MATCH(A64,'Category Mapping'!$A$28:$A$39,0),1)</f>
        <v>Spring</v>
      </c>
      <c r="C64" t="s">
        <v>75</v>
      </c>
      <c r="D64" s="6" t="s">
        <v>150</v>
      </c>
      <c r="E64" t="s">
        <v>49</v>
      </c>
      <c r="F64" s="27">
        <f>SUMIFS(INDEX(Load,,MATCH('Summarized Source Data'!$C64,Hour,0)),Month,'Summarized Source Data'!$A64,Sector,'Summarized Source Data'!F$2,Subsector,'Summarized Source Data'!F$3,TimeOfWeek,$E64)*INDEX(About!B$79:B$82,MATCH($B64,About!$A$79:$A$82,0),1)</f>
        <v>10900000</v>
      </c>
      <c r="G64" s="27">
        <f>SUMIFS(INDEX(Load,,MATCH('Summarized Source Data'!$C64,Hour,0)),Month,'Summarized Source Data'!$A64,Sector,'Summarized Source Data'!G$2,Subsector,'Summarized Source Data'!G$3,TimeOfWeek,$E64)*INDEX(About!C$79:C$82,MATCH($B64,About!$A$79:$A$82,0),1)</f>
        <v>15804</v>
      </c>
      <c r="H64" s="27">
        <f>SUMIFS(INDEX(Load,,MATCH('Summarized Source Data'!$C64,Hour,0)),Month,'Summarized Source Data'!$A64,Sector,'Summarized Source Data'!H$2,Subsector,'Summarized Source Data'!H$3,TimeOfWeek,$E64)*INDEX(About!D$79:D$82,MATCH($B64,About!$A$79:$A$82,0),1)</f>
        <v>0</v>
      </c>
      <c r="I64" s="27">
        <f>SUMIFS(INDEX(Load,,MATCH('Summarized Source Data'!$C64,Hour,0)),Month,'Summarized Source Data'!$A64,Sector,'Summarized Source Data'!I$2,Subsector,'Summarized Source Data'!I$3,TimeOfWeek,$E64)*INDEX(About!E$79:E$82,MATCH($B64,About!$A$79:$A$82,0),1)</f>
        <v>10900000</v>
      </c>
      <c r="J64" s="54">
        <f t="shared" si="1"/>
        <v>106184196</v>
      </c>
      <c r="K64" s="27">
        <f>(SUMIFS(INDEX(Load,,MATCH('Summarized Source Data'!$C64,Hour,0)),Month,'Summarized Source Data'!$A64,Sector,'Summarized Source Data'!K$2,Subsector,"Total",TimeOfWeek,$E64)-SUM(F64:I64))*INDEX(About!G$79:G$82,MATCH($B64,About!$A$79:$A$82,0),1)</f>
        <v>106184196</v>
      </c>
      <c r="L64" s="27">
        <f>SUMIFS(INDEX(Load,,MATCH('Summarized Source Data'!$C64,Hour,0)),Month,'Summarized Source Data'!$A64,Sector,'Summarized Source Data'!L$2,Subsector,'Summarized Source Data'!L$3,TimeOfWeek,$E64)*INDEX(About!H$79:H$82,MATCH($B64,About!$A$79:$A$82,0),1)</f>
        <v>34900000</v>
      </c>
      <c r="M64" s="27">
        <f>SUMIFS(INDEX(Load,,MATCH('Summarized Source Data'!$C64,Hour,0)),Month,'Summarized Source Data'!$A64,Sector,'Summarized Source Data'!M$2,Subsector,'Summarized Source Data'!M$3,TimeOfWeek,$E64)*INDEX(About!I$79:I$82,MATCH($B64,About!$A$79:$A$82,0),1)</f>
        <v>158658</v>
      </c>
      <c r="N64" s="27">
        <f>SUMIFS(INDEX(Load,,MATCH('Summarized Source Data'!$C64,Hour,0)),Month,'Summarized Source Data'!$A64,Sector,'Summarized Source Data'!N$2,Subsector,'Summarized Source Data'!N$3,TimeOfWeek,$E64)*INDEX(About!J$79:J$82,MATCH($B64,About!$A$79:$A$82,0),1)</f>
        <v>0</v>
      </c>
      <c r="O64" s="29">
        <f t="shared" si="2"/>
        <v>507941342</v>
      </c>
      <c r="P64" s="27">
        <f>(SUMIFS(INDEX(Load,,MATCH('Summarized Source Data'!$C64,Hour,0)),Month,'Summarized Source Data'!$A64,Sector,'Summarized Source Data'!P$2,Subsector,"Total",TimeOfWeek,$E64)-SUM(L64:N64)*INDEX(About!L$79:L$82,MATCH($B64,About!$A$79:$A$82,0),1))</f>
        <v>507941342</v>
      </c>
      <c r="Q64" s="29">
        <f t="shared" si="3"/>
        <v>507941342</v>
      </c>
      <c r="R64" s="33">
        <f>SUMIFS(INDEX(Load,,MATCH('Summarized Source Data'!$C64,Hour,0)),Month,'Summarized Source Data'!$A64,Sector,'Summarized Source Data'!R$2,TimeOfWeek,$E64)*INDEX(About!N$79:N$82,MATCH($B64,About!$A$79:$A$82,0),1)</f>
        <v>12100000</v>
      </c>
      <c r="S64" s="33">
        <f>SUMIFS(INDEX(Load,,MATCH('Summarized Source Data'!$C64,Hour,0)),Month,'Summarized Source Data'!$A64,Sector,'Summarized Source Data'!S$2,TimeOfWeek,$E64)*INDEX(About!O$79:O$82,MATCH($B64,About!$A$79:$A$82,0),1)</f>
        <v>12100000</v>
      </c>
      <c r="T64" s="33">
        <f>SUMIFS(INDEX(Load,,MATCH('Summarized Source Data'!$C64,Hour,0)),Month,'Summarized Source Data'!$A64,Sector,'Summarized Source Data'!T$2,TimeOfWeek,$E64)*INDEX(About!P$79:P$82,MATCH($B64,About!$A$79:$A$82,0),1)</f>
        <v>12100000</v>
      </c>
      <c r="U64" s="33">
        <f>SUMIFS(INDEX(Load,,MATCH('Summarized Source Data'!$C64,Hour,0)),Month,'Summarized Source Data'!$A64,Sector,'Summarized Source Data'!U$2,TimeOfWeek,$E64)*INDEX(About!Q$79:Q$82,MATCH($B64,About!$A$79:$A$82,0),1)</f>
        <v>12100000</v>
      </c>
      <c r="V64" s="33">
        <f>SUMIFS(INDEX(Load,,MATCH('Summarized Source Data'!$C64,Hour,0)),Month,'Summarized Source Data'!$A64,Sector,'Summarized Source Data'!V$2,TimeOfWeek,$E64)*INDEX(About!R$79:R$82,MATCH($B64,About!$A$79:$A$82,0),1)</f>
        <v>12100000</v>
      </c>
      <c r="W64" s="33">
        <f>SUMIFS(INDEX(Load,,MATCH('Summarized Source Data'!$C64,Hour,0)),Month,'Summarized Source Data'!$A64,Sector,'Summarized Source Data'!W$2,TimeOfWeek,$E64)*INDEX(About!S$79:S$82,MATCH($B64,About!$A$79:$A$82,0),1)</f>
        <v>12100000</v>
      </c>
      <c r="X64" s="27">
        <f>SUMIFS(INDEX(Load,,MATCH('Summarized Source Data'!$C64,Hour,0)),Month,'Summarized Source Data'!$A64,Sector,'Summarized Source Data'!X$2,Subsector,'Summarized Source Data'!X$3,TimeOfWeek,$E64)*INDEX(About!T$79:T$82,MATCH($B64,About!$A$79:$A$82,0),1)</f>
        <v>678000000</v>
      </c>
      <c r="Y64" s="29">
        <f t="shared" si="4"/>
        <v>678000000</v>
      </c>
      <c r="Z64" s="29">
        <f t="shared" si="4"/>
        <v>678000000</v>
      </c>
    </row>
    <row r="65" spans="1:26" outlineLevel="1" x14ac:dyDescent="0.3">
      <c r="A65">
        <f t="shared" si="0"/>
        <v>3</v>
      </c>
      <c r="B65" t="str">
        <f>INDEX('Category Mapping'!$G$28:$G$39,MATCH(A65,'Category Mapping'!$A$28:$A$39,0),1)</f>
        <v>Spring</v>
      </c>
      <c r="C65" t="s">
        <v>76</v>
      </c>
      <c r="D65" s="6" t="s">
        <v>151</v>
      </c>
      <c r="E65" t="s">
        <v>49</v>
      </c>
      <c r="F65" s="27">
        <f>SUMIFS(INDEX(Load,,MATCH('Summarized Source Data'!$C65,Hour,0)),Month,'Summarized Source Data'!$A65,Sector,'Summarized Source Data'!F$2,Subsector,'Summarized Source Data'!F$3,TimeOfWeek,$E65)*INDEX(About!B$79:B$82,MATCH($B65,About!$A$79:$A$82,0),1)</f>
        <v>11000000</v>
      </c>
      <c r="G65" s="27">
        <f>SUMIFS(INDEX(Load,,MATCH('Summarized Source Data'!$C65,Hour,0)),Month,'Summarized Source Data'!$A65,Sector,'Summarized Source Data'!G$2,Subsector,'Summarized Source Data'!G$3,TimeOfWeek,$E65)*INDEX(About!C$79:C$82,MATCH($B65,About!$A$79:$A$82,0),1)</f>
        <v>16301</v>
      </c>
      <c r="H65" s="27">
        <f>SUMIFS(INDEX(Load,,MATCH('Summarized Source Data'!$C65,Hour,0)),Month,'Summarized Source Data'!$A65,Sector,'Summarized Source Data'!H$2,Subsector,'Summarized Source Data'!H$3,TimeOfWeek,$E65)*INDEX(About!D$79:D$82,MATCH($B65,About!$A$79:$A$82,0),1)</f>
        <v>0</v>
      </c>
      <c r="I65" s="27">
        <f>SUMIFS(INDEX(Load,,MATCH('Summarized Source Data'!$C65,Hour,0)),Month,'Summarized Source Data'!$A65,Sector,'Summarized Source Data'!I$2,Subsector,'Summarized Source Data'!I$3,TimeOfWeek,$E65)*INDEX(About!E$79:E$82,MATCH($B65,About!$A$79:$A$82,0),1)</f>
        <v>11000000</v>
      </c>
      <c r="J65" s="54">
        <f t="shared" si="1"/>
        <v>104983699</v>
      </c>
      <c r="K65" s="27">
        <f>(SUMIFS(INDEX(Load,,MATCH('Summarized Source Data'!$C65,Hour,0)),Month,'Summarized Source Data'!$A65,Sector,'Summarized Source Data'!K$2,Subsector,"Total",TimeOfWeek,$E65)-SUM(F65:I65))*INDEX(About!G$79:G$82,MATCH($B65,About!$A$79:$A$82,0),1)</f>
        <v>104983699</v>
      </c>
      <c r="L65" s="27">
        <f>SUMIFS(INDEX(Load,,MATCH('Summarized Source Data'!$C65,Hour,0)),Month,'Summarized Source Data'!$A65,Sector,'Summarized Source Data'!L$2,Subsector,'Summarized Source Data'!L$3,TimeOfWeek,$E65)*INDEX(About!H$79:H$82,MATCH($B65,About!$A$79:$A$82,0),1)</f>
        <v>32100000</v>
      </c>
      <c r="M65" s="27">
        <f>SUMIFS(INDEX(Load,,MATCH('Summarized Source Data'!$C65,Hour,0)),Month,'Summarized Source Data'!$A65,Sector,'Summarized Source Data'!M$2,Subsector,'Summarized Source Data'!M$3,TimeOfWeek,$E65)*INDEX(About!I$79:I$82,MATCH($B65,About!$A$79:$A$82,0),1)</f>
        <v>162412</v>
      </c>
      <c r="N65" s="27">
        <f>SUMIFS(INDEX(Load,,MATCH('Summarized Source Data'!$C65,Hour,0)),Month,'Summarized Source Data'!$A65,Sector,'Summarized Source Data'!N$2,Subsector,'Summarized Source Data'!N$3,TimeOfWeek,$E65)*INDEX(About!J$79:J$82,MATCH($B65,About!$A$79:$A$82,0),1)</f>
        <v>0</v>
      </c>
      <c r="O65" s="29">
        <f t="shared" si="2"/>
        <v>508737588</v>
      </c>
      <c r="P65" s="27">
        <f>(SUMIFS(INDEX(Load,,MATCH('Summarized Source Data'!$C65,Hour,0)),Month,'Summarized Source Data'!$A65,Sector,'Summarized Source Data'!P$2,Subsector,"Total",TimeOfWeek,$E65)-SUM(L65:N65)*INDEX(About!L$79:L$82,MATCH($B65,About!$A$79:$A$82,0),1))</f>
        <v>508737588</v>
      </c>
      <c r="Q65" s="29">
        <f t="shared" si="3"/>
        <v>508737588</v>
      </c>
      <c r="R65" s="33">
        <f>SUMIFS(INDEX(Load,,MATCH('Summarized Source Data'!$C65,Hour,0)),Month,'Summarized Source Data'!$A65,Sector,'Summarized Source Data'!R$2,TimeOfWeek,$E65)*INDEX(About!N$79:N$82,MATCH($B65,About!$A$79:$A$82,0),1)</f>
        <v>12100000</v>
      </c>
      <c r="S65" s="33">
        <f>SUMIFS(INDEX(Load,,MATCH('Summarized Source Data'!$C65,Hour,0)),Month,'Summarized Source Data'!$A65,Sector,'Summarized Source Data'!S$2,TimeOfWeek,$E65)*INDEX(About!O$79:O$82,MATCH($B65,About!$A$79:$A$82,0),1)</f>
        <v>12100000</v>
      </c>
      <c r="T65" s="33">
        <f>SUMIFS(INDEX(Load,,MATCH('Summarized Source Data'!$C65,Hour,0)),Month,'Summarized Source Data'!$A65,Sector,'Summarized Source Data'!T$2,TimeOfWeek,$E65)*INDEX(About!P$79:P$82,MATCH($B65,About!$A$79:$A$82,0),1)</f>
        <v>12100000</v>
      </c>
      <c r="U65" s="33">
        <f>SUMIFS(INDEX(Load,,MATCH('Summarized Source Data'!$C65,Hour,0)),Month,'Summarized Source Data'!$A65,Sector,'Summarized Source Data'!U$2,TimeOfWeek,$E65)*INDEX(About!Q$79:Q$82,MATCH($B65,About!$A$79:$A$82,0),1)</f>
        <v>12100000</v>
      </c>
      <c r="V65" s="33">
        <f>SUMIFS(INDEX(Load,,MATCH('Summarized Source Data'!$C65,Hour,0)),Month,'Summarized Source Data'!$A65,Sector,'Summarized Source Data'!V$2,TimeOfWeek,$E65)*INDEX(About!R$79:R$82,MATCH($B65,About!$A$79:$A$82,0),1)</f>
        <v>12100000</v>
      </c>
      <c r="W65" s="33">
        <f>SUMIFS(INDEX(Load,,MATCH('Summarized Source Data'!$C65,Hour,0)),Month,'Summarized Source Data'!$A65,Sector,'Summarized Source Data'!W$2,TimeOfWeek,$E65)*INDEX(About!S$79:S$82,MATCH($B65,About!$A$79:$A$82,0),1)</f>
        <v>12100000</v>
      </c>
      <c r="X65" s="27">
        <f>SUMIFS(INDEX(Load,,MATCH('Summarized Source Data'!$C65,Hour,0)),Month,'Summarized Source Data'!$A65,Sector,'Summarized Source Data'!X$2,Subsector,'Summarized Source Data'!X$3,TimeOfWeek,$E65)*INDEX(About!T$79:T$82,MATCH($B65,About!$A$79:$A$82,0),1)</f>
        <v>677000000</v>
      </c>
      <c r="Y65" s="29">
        <f t="shared" si="4"/>
        <v>677000000</v>
      </c>
      <c r="Z65" s="29">
        <f t="shared" si="4"/>
        <v>677000000</v>
      </c>
    </row>
    <row r="66" spans="1:26" outlineLevel="1" x14ac:dyDescent="0.3">
      <c r="A66">
        <f t="shared" si="0"/>
        <v>3</v>
      </c>
      <c r="B66" t="str">
        <f>INDEX('Category Mapping'!$G$28:$G$39,MATCH(A66,'Category Mapping'!$A$28:$A$39,0),1)</f>
        <v>Spring</v>
      </c>
      <c r="C66" t="s">
        <v>77</v>
      </c>
      <c r="D66" s="6" t="s">
        <v>152</v>
      </c>
      <c r="E66" t="s">
        <v>49</v>
      </c>
      <c r="F66" s="27">
        <f>SUMIFS(INDEX(Load,,MATCH('Summarized Source Data'!$C66,Hour,0)),Month,'Summarized Source Data'!$A66,Sector,'Summarized Source Data'!F$2,Subsector,'Summarized Source Data'!F$3,TimeOfWeek,$E66)*INDEX(About!B$79:B$82,MATCH($B66,About!$A$79:$A$82,0),1)</f>
        <v>11200000</v>
      </c>
      <c r="G66" s="27">
        <f>SUMIFS(INDEX(Load,,MATCH('Summarized Source Data'!$C66,Hour,0)),Month,'Summarized Source Data'!$A66,Sector,'Summarized Source Data'!G$2,Subsector,'Summarized Source Data'!G$3,TimeOfWeek,$E66)*INDEX(About!C$79:C$82,MATCH($B66,About!$A$79:$A$82,0),1)</f>
        <v>17022</v>
      </c>
      <c r="H66" s="27">
        <f>SUMIFS(INDEX(Load,,MATCH('Summarized Source Data'!$C66,Hour,0)),Month,'Summarized Source Data'!$A66,Sector,'Summarized Source Data'!H$2,Subsector,'Summarized Source Data'!H$3,TimeOfWeek,$E66)*INDEX(About!D$79:D$82,MATCH($B66,About!$A$79:$A$82,0),1)</f>
        <v>0</v>
      </c>
      <c r="I66" s="27">
        <f>SUMIFS(INDEX(Load,,MATCH('Summarized Source Data'!$C66,Hour,0)),Month,'Summarized Source Data'!$A66,Sector,'Summarized Source Data'!I$2,Subsector,'Summarized Source Data'!I$3,TimeOfWeek,$E66)*INDEX(About!E$79:E$82,MATCH($B66,About!$A$79:$A$82,0),1)</f>
        <v>11300000</v>
      </c>
      <c r="J66" s="54">
        <f t="shared" si="1"/>
        <v>108482978</v>
      </c>
      <c r="K66" s="27">
        <f>(SUMIFS(INDEX(Load,,MATCH('Summarized Source Data'!$C66,Hour,0)),Month,'Summarized Source Data'!$A66,Sector,'Summarized Source Data'!K$2,Subsector,"Total",TimeOfWeek,$E66)-SUM(F66:I66))*INDEX(About!G$79:G$82,MATCH($B66,About!$A$79:$A$82,0),1)</f>
        <v>108482978</v>
      </c>
      <c r="L66" s="27">
        <f>SUMIFS(INDEX(Load,,MATCH('Summarized Source Data'!$C66,Hour,0)),Month,'Summarized Source Data'!$A66,Sector,'Summarized Source Data'!L$2,Subsector,'Summarized Source Data'!L$3,TimeOfWeek,$E66)*INDEX(About!H$79:H$82,MATCH($B66,About!$A$79:$A$82,0),1)</f>
        <v>29900000</v>
      </c>
      <c r="M66" s="27">
        <f>SUMIFS(INDEX(Load,,MATCH('Summarized Source Data'!$C66,Hour,0)),Month,'Summarized Source Data'!$A66,Sector,'Summarized Source Data'!M$2,Subsector,'Summarized Source Data'!M$3,TimeOfWeek,$E66)*INDEX(About!I$79:I$82,MATCH($B66,About!$A$79:$A$82,0),1)</f>
        <v>166453</v>
      </c>
      <c r="N66" s="27">
        <f>SUMIFS(INDEX(Load,,MATCH('Summarized Source Data'!$C66,Hour,0)),Month,'Summarized Source Data'!$A66,Sector,'Summarized Source Data'!N$2,Subsector,'Summarized Source Data'!N$3,TimeOfWeek,$E66)*INDEX(About!J$79:J$82,MATCH($B66,About!$A$79:$A$82,0),1)</f>
        <v>0</v>
      </c>
      <c r="O66" s="29">
        <f t="shared" si="2"/>
        <v>507933547</v>
      </c>
      <c r="P66" s="27">
        <f>(SUMIFS(INDEX(Load,,MATCH('Summarized Source Data'!$C66,Hour,0)),Month,'Summarized Source Data'!$A66,Sector,'Summarized Source Data'!P$2,Subsector,"Total",TimeOfWeek,$E66)-SUM(L66:N66)*INDEX(About!L$79:L$82,MATCH($B66,About!$A$79:$A$82,0),1))</f>
        <v>507933547</v>
      </c>
      <c r="Q66" s="29">
        <f t="shared" si="3"/>
        <v>507933547</v>
      </c>
      <c r="R66" s="33">
        <f>SUMIFS(INDEX(Load,,MATCH('Summarized Source Data'!$C66,Hour,0)),Month,'Summarized Source Data'!$A66,Sector,'Summarized Source Data'!R$2,TimeOfWeek,$E66)*INDEX(About!N$79:N$82,MATCH($B66,About!$A$79:$A$82,0),1)</f>
        <v>11900000</v>
      </c>
      <c r="S66" s="33">
        <f>SUMIFS(INDEX(Load,,MATCH('Summarized Source Data'!$C66,Hour,0)),Month,'Summarized Source Data'!$A66,Sector,'Summarized Source Data'!S$2,TimeOfWeek,$E66)*INDEX(About!O$79:O$82,MATCH($B66,About!$A$79:$A$82,0),1)</f>
        <v>11900000</v>
      </c>
      <c r="T66" s="33">
        <f>SUMIFS(INDEX(Load,,MATCH('Summarized Source Data'!$C66,Hour,0)),Month,'Summarized Source Data'!$A66,Sector,'Summarized Source Data'!T$2,TimeOfWeek,$E66)*INDEX(About!P$79:P$82,MATCH($B66,About!$A$79:$A$82,0),1)</f>
        <v>11900000</v>
      </c>
      <c r="U66" s="33">
        <f>SUMIFS(INDEX(Load,,MATCH('Summarized Source Data'!$C66,Hour,0)),Month,'Summarized Source Data'!$A66,Sector,'Summarized Source Data'!U$2,TimeOfWeek,$E66)*INDEX(About!Q$79:Q$82,MATCH($B66,About!$A$79:$A$82,0),1)</f>
        <v>11900000</v>
      </c>
      <c r="V66" s="33">
        <f>SUMIFS(INDEX(Load,,MATCH('Summarized Source Data'!$C66,Hour,0)),Month,'Summarized Source Data'!$A66,Sector,'Summarized Source Data'!V$2,TimeOfWeek,$E66)*INDEX(About!R$79:R$82,MATCH($B66,About!$A$79:$A$82,0),1)</f>
        <v>11900000</v>
      </c>
      <c r="W66" s="33">
        <f>SUMIFS(INDEX(Load,,MATCH('Summarized Source Data'!$C66,Hour,0)),Month,'Summarized Source Data'!$A66,Sector,'Summarized Source Data'!W$2,TimeOfWeek,$E66)*INDEX(About!S$79:S$82,MATCH($B66,About!$A$79:$A$82,0),1)</f>
        <v>11900000</v>
      </c>
      <c r="X66" s="27">
        <f>SUMIFS(INDEX(Load,,MATCH('Summarized Source Data'!$C66,Hour,0)),Month,'Summarized Source Data'!$A66,Sector,'Summarized Source Data'!X$2,Subsector,'Summarized Source Data'!X$3,TimeOfWeek,$E66)*INDEX(About!T$79:T$82,MATCH($B66,About!$A$79:$A$82,0),1)</f>
        <v>678000000</v>
      </c>
      <c r="Y66" s="29">
        <f t="shared" si="4"/>
        <v>678000000</v>
      </c>
      <c r="Z66" s="29">
        <f t="shared" si="4"/>
        <v>678000000</v>
      </c>
    </row>
    <row r="67" spans="1:26" outlineLevel="1" x14ac:dyDescent="0.3">
      <c r="A67">
        <f t="shared" si="0"/>
        <v>3</v>
      </c>
      <c r="B67" t="str">
        <f>INDEX('Category Mapping'!$G$28:$G$39,MATCH(A67,'Category Mapping'!$A$28:$A$39,0),1)</f>
        <v>Spring</v>
      </c>
      <c r="C67" t="s">
        <v>78</v>
      </c>
      <c r="D67" s="6" t="s">
        <v>153</v>
      </c>
      <c r="E67" t="s">
        <v>49</v>
      </c>
      <c r="F67" s="27">
        <f>SUMIFS(INDEX(Load,,MATCH('Summarized Source Data'!$C67,Hour,0)),Month,'Summarized Source Data'!$A67,Sector,'Summarized Source Data'!F$2,Subsector,'Summarized Source Data'!F$3,TimeOfWeek,$E67)*INDEX(About!B$79:B$82,MATCH($B67,About!$A$79:$A$82,0),1)</f>
        <v>11700000</v>
      </c>
      <c r="G67" s="27">
        <f>SUMIFS(INDEX(Load,,MATCH('Summarized Source Data'!$C67,Hour,0)),Month,'Summarized Source Data'!$A67,Sector,'Summarized Source Data'!G$2,Subsector,'Summarized Source Data'!G$3,TimeOfWeek,$E67)*INDEX(About!C$79:C$82,MATCH($B67,About!$A$79:$A$82,0),1)</f>
        <v>18592</v>
      </c>
      <c r="H67" s="27">
        <f>SUMIFS(INDEX(Load,,MATCH('Summarized Source Data'!$C67,Hour,0)),Month,'Summarized Source Data'!$A67,Sector,'Summarized Source Data'!H$2,Subsector,'Summarized Source Data'!H$3,TimeOfWeek,$E67)*INDEX(About!D$79:D$82,MATCH($B67,About!$A$79:$A$82,0),1)</f>
        <v>0</v>
      </c>
      <c r="I67" s="27">
        <f>SUMIFS(INDEX(Load,,MATCH('Summarized Source Data'!$C67,Hour,0)),Month,'Summarized Source Data'!$A67,Sector,'Summarized Source Data'!I$2,Subsector,'Summarized Source Data'!I$3,TimeOfWeek,$E67)*INDEX(About!E$79:E$82,MATCH($B67,About!$A$79:$A$82,0),1)</f>
        <v>12200000</v>
      </c>
      <c r="J67" s="54">
        <f t="shared" si="1"/>
        <v>122081408</v>
      </c>
      <c r="K67" s="27">
        <f>(SUMIFS(INDEX(Load,,MATCH('Summarized Source Data'!$C67,Hour,0)),Month,'Summarized Source Data'!$A67,Sector,'Summarized Source Data'!K$2,Subsector,"Total",TimeOfWeek,$E67)-SUM(F67:I67))*INDEX(About!G$79:G$82,MATCH($B67,About!$A$79:$A$82,0),1)</f>
        <v>122081408</v>
      </c>
      <c r="L67" s="27">
        <f>SUMIFS(INDEX(Load,,MATCH('Summarized Source Data'!$C67,Hour,0)),Month,'Summarized Source Data'!$A67,Sector,'Summarized Source Data'!L$2,Subsector,'Summarized Source Data'!L$3,TimeOfWeek,$E67)*INDEX(About!H$79:H$82,MATCH($B67,About!$A$79:$A$82,0),1)</f>
        <v>28000000</v>
      </c>
      <c r="M67" s="27">
        <f>SUMIFS(INDEX(Load,,MATCH('Summarized Source Data'!$C67,Hour,0)),Month,'Summarized Source Data'!$A67,Sector,'Summarized Source Data'!M$2,Subsector,'Summarized Source Data'!M$3,TimeOfWeek,$E67)*INDEX(About!I$79:I$82,MATCH($B67,About!$A$79:$A$82,0),1)</f>
        <v>166524</v>
      </c>
      <c r="N67" s="27">
        <f>SUMIFS(INDEX(Load,,MATCH('Summarized Source Data'!$C67,Hour,0)),Month,'Summarized Source Data'!$A67,Sector,'Summarized Source Data'!N$2,Subsector,'Summarized Source Data'!N$3,TimeOfWeek,$E67)*INDEX(About!J$79:J$82,MATCH($B67,About!$A$79:$A$82,0),1)</f>
        <v>0</v>
      </c>
      <c r="O67" s="29">
        <f t="shared" si="2"/>
        <v>507833476</v>
      </c>
      <c r="P67" s="27">
        <f>(SUMIFS(INDEX(Load,,MATCH('Summarized Source Data'!$C67,Hour,0)),Month,'Summarized Source Data'!$A67,Sector,'Summarized Source Data'!P$2,Subsector,"Total",TimeOfWeek,$E67)-SUM(L67:N67)*INDEX(About!L$79:L$82,MATCH($B67,About!$A$79:$A$82,0),1))</f>
        <v>507833476</v>
      </c>
      <c r="Q67" s="29">
        <f t="shared" si="3"/>
        <v>507833476</v>
      </c>
      <c r="R67" s="33">
        <f>SUMIFS(INDEX(Load,,MATCH('Summarized Source Data'!$C67,Hour,0)),Month,'Summarized Source Data'!$A67,Sector,'Summarized Source Data'!R$2,TimeOfWeek,$E67)*INDEX(About!N$79:N$82,MATCH($B67,About!$A$79:$A$82,0),1)</f>
        <v>14100000</v>
      </c>
      <c r="S67" s="33">
        <f>SUMIFS(INDEX(Load,,MATCH('Summarized Source Data'!$C67,Hour,0)),Month,'Summarized Source Data'!$A67,Sector,'Summarized Source Data'!S$2,TimeOfWeek,$E67)*INDEX(About!O$79:O$82,MATCH($B67,About!$A$79:$A$82,0),1)</f>
        <v>14100000</v>
      </c>
      <c r="T67" s="33">
        <f>SUMIFS(INDEX(Load,,MATCH('Summarized Source Data'!$C67,Hour,0)),Month,'Summarized Source Data'!$A67,Sector,'Summarized Source Data'!T$2,TimeOfWeek,$E67)*INDEX(About!P$79:P$82,MATCH($B67,About!$A$79:$A$82,0),1)</f>
        <v>14100000</v>
      </c>
      <c r="U67" s="33">
        <f>SUMIFS(INDEX(Load,,MATCH('Summarized Source Data'!$C67,Hour,0)),Month,'Summarized Source Data'!$A67,Sector,'Summarized Source Data'!U$2,TimeOfWeek,$E67)*INDEX(About!Q$79:Q$82,MATCH($B67,About!$A$79:$A$82,0),1)</f>
        <v>14100000</v>
      </c>
      <c r="V67" s="33">
        <f>SUMIFS(INDEX(Load,,MATCH('Summarized Source Data'!$C67,Hour,0)),Month,'Summarized Source Data'!$A67,Sector,'Summarized Source Data'!V$2,TimeOfWeek,$E67)*INDEX(About!R$79:R$82,MATCH($B67,About!$A$79:$A$82,0),1)</f>
        <v>14100000</v>
      </c>
      <c r="W67" s="33">
        <f>SUMIFS(INDEX(Load,,MATCH('Summarized Source Data'!$C67,Hour,0)),Month,'Summarized Source Data'!$A67,Sector,'Summarized Source Data'!W$2,TimeOfWeek,$E67)*INDEX(About!S$79:S$82,MATCH($B67,About!$A$79:$A$82,0),1)</f>
        <v>14100000</v>
      </c>
      <c r="X67" s="27">
        <f>SUMIFS(INDEX(Load,,MATCH('Summarized Source Data'!$C67,Hour,0)),Month,'Summarized Source Data'!$A67,Sector,'Summarized Source Data'!X$2,Subsector,'Summarized Source Data'!X$3,TimeOfWeek,$E67)*INDEX(About!T$79:T$82,MATCH($B67,About!$A$79:$A$82,0),1)</f>
        <v>684000000</v>
      </c>
      <c r="Y67" s="29">
        <f t="shared" si="4"/>
        <v>684000000</v>
      </c>
      <c r="Z67" s="29">
        <f t="shared" si="4"/>
        <v>684000000</v>
      </c>
    </row>
    <row r="68" spans="1:26" outlineLevel="1" x14ac:dyDescent="0.3">
      <c r="A68">
        <f t="shared" si="0"/>
        <v>3</v>
      </c>
      <c r="B68" t="str">
        <f>INDEX('Category Mapping'!$G$28:$G$39,MATCH(A68,'Category Mapping'!$A$28:$A$39,0),1)</f>
        <v>Spring</v>
      </c>
      <c r="C68" t="s">
        <v>79</v>
      </c>
      <c r="D68" s="6" t="s">
        <v>154</v>
      </c>
      <c r="E68" t="s">
        <v>49</v>
      </c>
      <c r="F68" s="27">
        <f>SUMIFS(INDEX(Load,,MATCH('Summarized Source Data'!$C68,Hour,0)),Month,'Summarized Source Data'!$A68,Sector,'Summarized Source Data'!F$2,Subsector,'Summarized Source Data'!F$3,TimeOfWeek,$E68)*INDEX(About!B$79:B$82,MATCH($B68,About!$A$79:$A$82,0),1)</f>
        <v>12300000</v>
      </c>
      <c r="G68" s="27">
        <f>SUMIFS(INDEX(Load,,MATCH('Summarized Source Data'!$C68,Hour,0)),Month,'Summarized Source Data'!$A68,Sector,'Summarized Source Data'!G$2,Subsector,'Summarized Source Data'!G$3,TimeOfWeek,$E68)*INDEX(About!C$79:C$82,MATCH($B68,About!$A$79:$A$82,0),1)</f>
        <v>20302</v>
      </c>
      <c r="H68" s="27">
        <f>SUMIFS(INDEX(Load,,MATCH('Summarized Source Data'!$C68,Hour,0)),Month,'Summarized Source Data'!$A68,Sector,'Summarized Source Data'!H$2,Subsector,'Summarized Source Data'!H$3,TimeOfWeek,$E68)*INDEX(About!D$79:D$82,MATCH($B68,About!$A$79:$A$82,0),1)</f>
        <v>0</v>
      </c>
      <c r="I68" s="27">
        <f>SUMIFS(INDEX(Load,,MATCH('Summarized Source Data'!$C68,Hour,0)),Month,'Summarized Source Data'!$A68,Sector,'Summarized Source Data'!I$2,Subsector,'Summarized Source Data'!I$3,TimeOfWeek,$E68)*INDEX(About!E$79:E$82,MATCH($B68,About!$A$79:$A$82,0),1)</f>
        <v>14200000</v>
      </c>
      <c r="J68" s="54">
        <f t="shared" si="1"/>
        <v>147479698</v>
      </c>
      <c r="K68" s="27">
        <f>(SUMIFS(INDEX(Load,,MATCH('Summarized Source Data'!$C68,Hour,0)),Month,'Summarized Source Data'!$A68,Sector,'Summarized Source Data'!K$2,Subsector,"Total",TimeOfWeek,$E68)-SUM(F68:I68))*INDEX(About!G$79:G$82,MATCH($B68,About!$A$79:$A$82,0),1)</f>
        <v>147479698</v>
      </c>
      <c r="L68" s="27">
        <f>SUMIFS(INDEX(Load,,MATCH('Summarized Source Data'!$C68,Hour,0)),Month,'Summarized Source Data'!$A68,Sector,'Summarized Source Data'!L$2,Subsector,'Summarized Source Data'!L$3,TimeOfWeek,$E68)*INDEX(About!H$79:H$82,MATCH($B68,About!$A$79:$A$82,0),1)</f>
        <v>26300000</v>
      </c>
      <c r="M68" s="27">
        <f>SUMIFS(INDEX(Load,,MATCH('Summarized Source Data'!$C68,Hour,0)),Month,'Summarized Source Data'!$A68,Sector,'Summarized Source Data'!M$2,Subsector,'Summarized Source Data'!M$3,TimeOfWeek,$E68)*INDEX(About!I$79:I$82,MATCH($B68,About!$A$79:$A$82,0),1)</f>
        <v>163105</v>
      </c>
      <c r="N68" s="27">
        <f>SUMIFS(INDEX(Load,,MATCH('Summarized Source Data'!$C68,Hour,0)),Month,'Summarized Source Data'!$A68,Sector,'Summarized Source Data'!N$2,Subsector,'Summarized Source Data'!N$3,TimeOfWeek,$E68)*INDEX(About!J$79:J$82,MATCH($B68,About!$A$79:$A$82,0),1)</f>
        <v>0</v>
      </c>
      <c r="O68" s="29">
        <f t="shared" si="2"/>
        <v>491536895</v>
      </c>
      <c r="P68" s="27">
        <f>(SUMIFS(INDEX(Load,,MATCH('Summarized Source Data'!$C68,Hour,0)),Month,'Summarized Source Data'!$A68,Sector,'Summarized Source Data'!P$2,Subsector,"Total",TimeOfWeek,$E68)-SUM(L68:N68)*INDEX(About!L$79:L$82,MATCH($B68,About!$A$79:$A$82,0),1))</f>
        <v>491536895</v>
      </c>
      <c r="Q68" s="29">
        <f t="shared" si="3"/>
        <v>491536895</v>
      </c>
      <c r="R68" s="33">
        <f>SUMIFS(INDEX(Load,,MATCH('Summarized Source Data'!$C68,Hour,0)),Month,'Summarized Source Data'!$A68,Sector,'Summarized Source Data'!R$2,TimeOfWeek,$E68)*INDEX(About!N$79:N$82,MATCH($B68,About!$A$79:$A$82,0),1)</f>
        <v>16300000</v>
      </c>
      <c r="S68" s="33">
        <f>SUMIFS(INDEX(Load,,MATCH('Summarized Source Data'!$C68,Hour,0)),Month,'Summarized Source Data'!$A68,Sector,'Summarized Source Data'!S$2,TimeOfWeek,$E68)*INDEX(About!O$79:O$82,MATCH($B68,About!$A$79:$A$82,0),1)</f>
        <v>16300000</v>
      </c>
      <c r="T68" s="33">
        <f>SUMIFS(INDEX(Load,,MATCH('Summarized Source Data'!$C68,Hour,0)),Month,'Summarized Source Data'!$A68,Sector,'Summarized Source Data'!T$2,TimeOfWeek,$E68)*INDEX(About!P$79:P$82,MATCH($B68,About!$A$79:$A$82,0),1)</f>
        <v>16300000</v>
      </c>
      <c r="U68" s="33">
        <f>SUMIFS(INDEX(Load,,MATCH('Summarized Source Data'!$C68,Hour,0)),Month,'Summarized Source Data'!$A68,Sector,'Summarized Source Data'!U$2,TimeOfWeek,$E68)*INDEX(About!Q$79:Q$82,MATCH($B68,About!$A$79:$A$82,0),1)</f>
        <v>16300000</v>
      </c>
      <c r="V68" s="33">
        <f>SUMIFS(INDEX(Load,,MATCH('Summarized Source Data'!$C68,Hour,0)),Month,'Summarized Source Data'!$A68,Sector,'Summarized Source Data'!V$2,TimeOfWeek,$E68)*INDEX(About!R$79:R$82,MATCH($B68,About!$A$79:$A$82,0),1)</f>
        <v>16300000</v>
      </c>
      <c r="W68" s="33">
        <f>SUMIFS(INDEX(Load,,MATCH('Summarized Source Data'!$C68,Hour,0)),Month,'Summarized Source Data'!$A68,Sector,'Summarized Source Data'!W$2,TimeOfWeek,$E68)*INDEX(About!S$79:S$82,MATCH($B68,About!$A$79:$A$82,0),1)</f>
        <v>16300000</v>
      </c>
      <c r="X68" s="27">
        <f>SUMIFS(INDEX(Load,,MATCH('Summarized Source Data'!$C68,Hour,0)),Month,'Summarized Source Data'!$A68,Sector,'Summarized Source Data'!X$2,Subsector,'Summarized Source Data'!X$3,TimeOfWeek,$E68)*INDEX(About!T$79:T$82,MATCH($B68,About!$A$79:$A$82,0),1)</f>
        <v>691000000</v>
      </c>
      <c r="Y68" s="29">
        <f t="shared" si="4"/>
        <v>691000000</v>
      </c>
      <c r="Z68" s="29">
        <f t="shared" si="4"/>
        <v>691000000</v>
      </c>
    </row>
    <row r="69" spans="1:26" outlineLevel="1" x14ac:dyDescent="0.3">
      <c r="A69">
        <f t="shared" ref="A69:A132" si="5">ROUNDUP(ROW(A66)/24,0)</f>
        <v>3</v>
      </c>
      <c r="B69" t="str">
        <f>INDEX('Category Mapping'!$G$28:$G$39,MATCH(A69,'Category Mapping'!$A$28:$A$39,0),1)</f>
        <v>Spring</v>
      </c>
      <c r="C69" t="s">
        <v>80</v>
      </c>
      <c r="D69" s="6" t="s">
        <v>155</v>
      </c>
      <c r="E69" t="s">
        <v>49</v>
      </c>
      <c r="F69" s="27">
        <f>SUMIFS(INDEX(Load,,MATCH('Summarized Source Data'!$C69,Hour,0)),Month,'Summarized Source Data'!$A69,Sector,'Summarized Source Data'!F$2,Subsector,'Summarized Source Data'!F$3,TimeOfWeek,$E69)*INDEX(About!B$79:B$82,MATCH($B69,About!$A$79:$A$82,0),1)</f>
        <v>13000000</v>
      </c>
      <c r="G69" s="27">
        <f>SUMIFS(INDEX(Load,,MATCH('Summarized Source Data'!$C69,Hour,0)),Month,'Summarized Source Data'!$A69,Sector,'Summarized Source Data'!G$2,Subsector,'Summarized Source Data'!G$3,TimeOfWeek,$E69)*INDEX(About!C$79:C$82,MATCH($B69,About!$A$79:$A$82,0),1)</f>
        <v>22252</v>
      </c>
      <c r="H69" s="27">
        <f>SUMIFS(INDEX(Load,,MATCH('Summarized Source Data'!$C69,Hour,0)),Month,'Summarized Source Data'!$A69,Sector,'Summarized Source Data'!H$2,Subsector,'Summarized Source Data'!H$3,TimeOfWeek,$E69)*INDEX(About!D$79:D$82,MATCH($B69,About!$A$79:$A$82,0),1)</f>
        <v>0</v>
      </c>
      <c r="I69" s="27">
        <f>SUMIFS(INDEX(Load,,MATCH('Summarized Source Data'!$C69,Hour,0)),Month,'Summarized Source Data'!$A69,Sector,'Summarized Source Data'!I$2,Subsector,'Summarized Source Data'!I$3,TimeOfWeek,$E69)*INDEX(About!E$79:E$82,MATCH($B69,About!$A$79:$A$82,0),1)</f>
        <v>47800000</v>
      </c>
      <c r="J69" s="54">
        <f t="shared" ref="J69:J132" si="6">K69</f>
        <v>164177748</v>
      </c>
      <c r="K69" s="27">
        <f>(SUMIFS(INDEX(Load,,MATCH('Summarized Source Data'!$C69,Hour,0)),Month,'Summarized Source Data'!$A69,Sector,'Summarized Source Data'!K$2,Subsector,"Total",TimeOfWeek,$E69)-SUM(F69:I69))*INDEX(About!G$79:G$82,MATCH($B69,About!$A$79:$A$82,0),1)</f>
        <v>164177748</v>
      </c>
      <c r="L69" s="27">
        <f>SUMIFS(INDEX(Load,,MATCH('Summarized Source Data'!$C69,Hour,0)),Month,'Summarized Source Data'!$A69,Sector,'Summarized Source Data'!L$2,Subsector,'Summarized Source Data'!L$3,TimeOfWeek,$E69)*INDEX(About!H$79:H$82,MATCH($B69,About!$A$79:$A$82,0),1)</f>
        <v>27300000</v>
      </c>
      <c r="M69" s="27">
        <f>SUMIFS(INDEX(Load,,MATCH('Summarized Source Data'!$C69,Hour,0)),Month,'Summarized Source Data'!$A69,Sector,'Summarized Source Data'!M$2,Subsector,'Summarized Source Data'!M$3,TimeOfWeek,$E69)*INDEX(About!I$79:I$82,MATCH($B69,About!$A$79:$A$82,0),1)</f>
        <v>155509</v>
      </c>
      <c r="N69" s="27">
        <f>SUMIFS(INDEX(Load,,MATCH('Summarized Source Data'!$C69,Hour,0)),Month,'Summarized Source Data'!$A69,Sector,'Summarized Source Data'!N$2,Subsector,'Summarized Source Data'!N$3,TimeOfWeek,$E69)*INDEX(About!J$79:J$82,MATCH($B69,About!$A$79:$A$82,0),1)</f>
        <v>0</v>
      </c>
      <c r="O69" s="29">
        <f t="shared" ref="O69:O132" si="7">P69</f>
        <v>461544491</v>
      </c>
      <c r="P69" s="27">
        <f>(SUMIFS(INDEX(Load,,MATCH('Summarized Source Data'!$C69,Hour,0)),Month,'Summarized Source Data'!$A69,Sector,'Summarized Source Data'!P$2,Subsector,"Total",TimeOfWeek,$E69)-SUM(L69:N69)*INDEX(About!L$79:L$82,MATCH($B69,About!$A$79:$A$82,0),1))</f>
        <v>461544491</v>
      </c>
      <c r="Q69" s="29">
        <f t="shared" ref="Q69:Q132" si="8">P69</f>
        <v>461544491</v>
      </c>
      <c r="R69" s="33">
        <f>SUMIFS(INDEX(Load,,MATCH('Summarized Source Data'!$C69,Hour,0)),Month,'Summarized Source Data'!$A69,Sector,'Summarized Source Data'!R$2,TimeOfWeek,$E69)*INDEX(About!N$79:N$82,MATCH($B69,About!$A$79:$A$82,0),1)</f>
        <v>17200000</v>
      </c>
      <c r="S69" s="33">
        <f>SUMIFS(INDEX(Load,,MATCH('Summarized Source Data'!$C69,Hour,0)),Month,'Summarized Source Data'!$A69,Sector,'Summarized Source Data'!S$2,TimeOfWeek,$E69)*INDEX(About!O$79:O$82,MATCH($B69,About!$A$79:$A$82,0),1)</f>
        <v>17200000</v>
      </c>
      <c r="T69" s="33">
        <f>SUMIFS(INDEX(Load,,MATCH('Summarized Source Data'!$C69,Hour,0)),Month,'Summarized Source Data'!$A69,Sector,'Summarized Source Data'!T$2,TimeOfWeek,$E69)*INDEX(About!P$79:P$82,MATCH($B69,About!$A$79:$A$82,0),1)</f>
        <v>17200000</v>
      </c>
      <c r="U69" s="33">
        <f>SUMIFS(INDEX(Load,,MATCH('Summarized Source Data'!$C69,Hour,0)),Month,'Summarized Source Data'!$A69,Sector,'Summarized Source Data'!U$2,TimeOfWeek,$E69)*INDEX(About!Q$79:Q$82,MATCH($B69,About!$A$79:$A$82,0),1)</f>
        <v>17200000</v>
      </c>
      <c r="V69" s="33">
        <f>SUMIFS(INDEX(Load,,MATCH('Summarized Source Data'!$C69,Hour,0)),Month,'Summarized Source Data'!$A69,Sector,'Summarized Source Data'!V$2,TimeOfWeek,$E69)*INDEX(About!R$79:R$82,MATCH($B69,About!$A$79:$A$82,0),1)</f>
        <v>17200000</v>
      </c>
      <c r="W69" s="33">
        <f>SUMIFS(INDEX(Load,,MATCH('Summarized Source Data'!$C69,Hour,0)),Month,'Summarized Source Data'!$A69,Sector,'Summarized Source Data'!W$2,TimeOfWeek,$E69)*INDEX(About!S$79:S$82,MATCH($B69,About!$A$79:$A$82,0),1)</f>
        <v>17200000</v>
      </c>
      <c r="X69" s="27">
        <f>SUMIFS(INDEX(Load,,MATCH('Summarized Source Data'!$C69,Hour,0)),Month,'Summarized Source Data'!$A69,Sector,'Summarized Source Data'!X$2,Subsector,'Summarized Source Data'!X$3,TimeOfWeek,$E69)*INDEX(About!T$79:T$82,MATCH($B69,About!$A$79:$A$82,0),1)</f>
        <v>692000000</v>
      </c>
      <c r="Y69" s="29">
        <f t="shared" ref="Y69:Z132" si="9">$X69</f>
        <v>692000000</v>
      </c>
      <c r="Z69" s="29">
        <f t="shared" si="9"/>
        <v>692000000</v>
      </c>
    </row>
    <row r="70" spans="1:26" outlineLevel="1" x14ac:dyDescent="0.3">
      <c r="A70">
        <f t="shared" si="5"/>
        <v>3</v>
      </c>
      <c r="B70" t="str">
        <f>INDEX('Category Mapping'!$G$28:$G$39,MATCH(A70,'Category Mapping'!$A$28:$A$39,0),1)</f>
        <v>Spring</v>
      </c>
      <c r="C70" t="s">
        <v>81</v>
      </c>
      <c r="D70" s="6" t="s">
        <v>156</v>
      </c>
      <c r="E70" t="s">
        <v>49</v>
      </c>
      <c r="F70" s="27">
        <f>SUMIFS(INDEX(Load,,MATCH('Summarized Source Data'!$C70,Hour,0)),Month,'Summarized Source Data'!$A70,Sector,'Summarized Source Data'!F$2,Subsector,'Summarized Source Data'!F$3,TimeOfWeek,$E70)*INDEX(About!B$79:B$82,MATCH($B70,About!$A$79:$A$82,0),1)</f>
        <v>13900000</v>
      </c>
      <c r="G70" s="27">
        <f>SUMIFS(INDEX(Load,,MATCH('Summarized Source Data'!$C70,Hour,0)),Month,'Summarized Source Data'!$A70,Sector,'Summarized Source Data'!G$2,Subsector,'Summarized Source Data'!G$3,TimeOfWeek,$E70)*INDEX(About!C$79:C$82,MATCH($B70,About!$A$79:$A$82,0),1)</f>
        <v>24702</v>
      </c>
      <c r="H70" s="27">
        <f>SUMIFS(INDEX(Load,,MATCH('Summarized Source Data'!$C70,Hour,0)),Month,'Summarized Source Data'!$A70,Sector,'Summarized Source Data'!H$2,Subsector,'Summarized Source Data'!H$3,TimeOfWeek,$E70)*INDEX(About!D$79:D$82,MATCH($B70,About!$A$79:$A$82,0),1)</f>
        <v>0</v>
      </c>
      <c r="I70" s="27">
        <f>SUMIFS(INDEX(Load,,MATCH('Summarized Source Data'!$C70,Hour,0)),Month,'Summarized Source Data'!$A70,Sector,'Summarized Source Data'!I$2,Subsector,'Summarized Source Data'!I$3,TimeOfWeek,$E70)*INDEX(About!E$79:E$82,MATCH($B70,About!$A$79:$A$82,0),1)</f>
        <v>53200000</v>
      </c>
      <c r="J70" s="54">
        <f t="shared" si="6"/>
        <v>159875298</v>
      </c>
      <c r="K70" s="27">
        <f>(SUMIFS(INDEX(Load,,MATCH('Summarized Source Data'!$C70,Hour,0)),Month,'Summarized Source Data'!$A70,Sector,'Summarized Source Data'!K$2,Subsector,"Total",TimeOfWeek,$E70)-SUM(F70:I70))*INDEX(About!G$79:G$82,MATCH($B70,About!$A$79:$A$82,0),1)</f>
        <v>159875298</v>
      </c>
      <c r="L70" s="27">
        <f>SUMIFS(INDEX(Load,,MATCH('Summarized Source Data'!$C70,Hour,0)),Month,'Summarized Source Data'!$A70,Sector,'Summarized Source Data'!L$2,Subsector,'Summarized Source Data'!L$3,TimeOfWeek,$E70)*INDEX(About!H$79:H$82,MATCH($B70,About!$A$79:$A$82,0),1)</f>
        <v>31600000</v>
      </c>
      <c r="M70" s="27">
        <f>SUMIFS(INDEX(Load,,MATCH('Summarized Source Data'!$C70,Hour,0)),Month,'Summarized Source Data'!$A70,Sector,'Summarized Source Data'!M$2,Subsector,'Summarized Source Data'!M$3,TimeOfWeek,$E70)*INDEX(About!I$79:I$82,MATCH($B70,About!$A$79:$A$82,0),1)</f>
        <v>148926</v>
      </c>
      <c r="N70" s="27">
        <f>SUMIFS(INDEX(Load,,MATCH('Summarized Source Data'!$C70,Hour,0)),Month,'Summarized Source Data'!$A70,Sector,'Summarized Source Data'!N$2,Subsector,'Summarized Source Data'!N$3,TimeOfWeek,$E70)*INDEX(About!J$79:J$82,MATCH($B70,About!$A$79:$A$82,0),1)</f>
        <v>0</v>
      </c>
      <c r="O70" s="29">
        <f t="shared" si="7"/>
        <v>440251074</v>
      </c>
      <c r="P70" s="27">
        <f>(SUMIFS(INDEX(Load,,MATCH('Summarized Source Data'!$C70,Hour,0)),Month,'Summarized Source Data'!$A70,Sector,'Summarized Source Data'!P$2,Subsector,"Total",TimeOfWeek,$E70)-SUM(L70:N70)*INDEX(About!L$79:L$82,MATCH($B70,About!$A$79:$A$82,0),1))</f>
        <v>440251074</v>
      </c>
      <c r="Q70" s="29">
        <f t="shared" si="8"/>
        <v>440251074</v>
      </c>
      <c r="R70" s="33">
        <f>SUMIFS(INDEX(Load,,MATCH('Summarized Source Data'!$C70,Hour,0)),Month,'Summarized Source Data'!$A70,Sector,'Summarized Source Data'!R$2,TimeOfWeek,$E70)*INDEX(About!N$79:N$82,MATCH($B70,About!$A$79:$A$82,0),1)</f>
        <v>15900000</v>
      </c>
      <c r="S70" s="33">
        <f>SUMIFS(INDEX(Load,,MATCH('Summarized Source Data'!$C70,Hour,0)),Month,'Summarized Source Data'!$A70,Sector,'Summarized Source Data'!S$2,TimeOfWeek,$E70)*INDEX(About!O$79:O$82,MATCH($B70,About!$A$79:$A$82,0),1)</f>
        <v>15900000</v>
      </c>
      <c r="T70" s="33">
        <f>SUMIFS(INDEX(Load,,MATCH('Summarized Source Data'!$C70,Hour,0)),Month,'Summarized Source Data'!$A70,Sector,'Summarized Source Data'!T$2,TimeOfWeek,$E70)*INDEX(About!P$79:P$82,MATCH($B70,About!$A$79:$A$82,0),1)</f>
        <v>15900000</v>
      </c>
      <c r="U70" s="33">
        <f>SUMIFS(INDEX(Load,,MATCH('Summarized Source Data'!$C70,Hour,0)),Month,'Summarized Source Data'!$A70,Sector,'Summarized Source Data'!U$2,TimeOfWeek,$E70)*INDEX(About!Q$79:Q$82,MATCH($B70,About!$A$79:$A$82,0),1)</f>
        <v>15900000</v>
      </c>
      <c r="V70" s="33">
        <f>SUMIFS(INDEX(Load,,MATCH('Summarized Source Data'!$C70,Hour,0)),Month,'Summarized Source Data'!$A70,Sector,'Summarized Source Data'!V$2,TimeOfWeek,$E70)*INDEX(About!R$79:R$82,MATCH($B70,About!$A$79:$A$82,0),1)</f>
        <v>15900000</v>
      </c>
      <c r="W70" s="33">
        <f>SUMIFS(INDEX(Load,,MATCH('Summarized Source Data'!$C70,Hour,0)),Month,'Summarized Source Data'!$A70,Sector,'Summarized Source Data'!W$2,TimeOfWeek,$E70)*INDEX(About!S$79:S$82,MATCH($B70,About!$A$79:$A$82,0),1)</f>
        <v>15900000</v>
      </c>
      <c r="X70" s="27">
        <f>SUMIFS(INDEX(Load,,MATCH('Summarized Source Data'!$C70,Hour,0)),Month,'Summarized Source Data'!$A70,Sector,'Summarized Source Data'!X$2,Subsector,'Summarized Source Data'!X$3,TimeOfWeek,$E70)*INDEX(About!T$79:T$82,MATCH($B70,About!$A$79:$A$82,0),1)</f>
        <v>689000000</v>
      </c>
      <c r="Y70" s="29">
        <f t="shared" si="9"/>
        <v>689000000</v>
      </c>
      <c r="Z70" s="29">
        <f t="shared" si="9"/>
        <v>689000000</v>
      </c>
    </row>
    <row r="71" spans="1:26" outlineLevel="1" x14ac:dyDescent="0.3">
      <c r="A71">
        <f t="shared" si="5"/>
        <v>3</v>
      </c>
      <c r="B71" t="str">
        <f>INDEX('Category Mapping'!$G$28:$G$39,MATCH(A71,'Category Mapping'!$A$28:$A$39,0),1)</f>
        <v>Spring</v>
      </c>
      <c r="C71" t="s">
        <v>82</v>
      </c>
      <c r="D71" s="6" t="s">
        <v>157</v>
      </c>
      <c r="E71" t="s">
        <v>49</v>
      </c>
      <c r="F71" s="27">
        <f>SUMIFS(INDEX(Load,,MATCH('Summarized Source Data'!$C71,Hour,0)),Month,'Summarized Source Data'!$A71,Sector,'Summarized Source Data'!F$2,Subsector,'Summarized Source Data'!F$3,TimeOfWeek,$E71)*INDEX(About!B$79:B$82,MATCH($B71,About!$A$79:$A$82,0),1)</f>
        <v>15300000</v>
      </c>
      <c r="G71" s="27">
        <f>SUMIFS(INDEX(Load,,MATCH('Summarized Source Data'!$C71,Hour,0)),Month,'Summarized Source Data'!$A71,Sector,'Summarized Source Data'!G$2,Subsector,'Summarized Source Data'!G$3,TimeOfWeek,$E71)*INDEX(About!C$79:C$82,MATCH($B71,About!$A$79:$A$82,0),1)</f>
        <v>27210</v>
      </c>
      <c r="H71" s="27">
        <f>SUMIFS(INDEX(Load,,MATCH('Summarized Source Data'!$C71,Hour,0)),Month,'Summarized Source Data'!$A71,Sector,'Summarized Source Data'!H$2,Subsector,'Summarized Source Data'!H$3,TimeOfWeek,$E71)*INDEX(About!D$79:D$82,MATCH($B71,About!$A$79:$A$82,0),1)</f>
        <v>0</v>
      </c>
      <c r="I71" s="27">
        <f>SUMIFS(INDEX(Load,,MATCH('Summarized Source Data'!$C71,Hour,0)),Month,'Summarized Source Data'!$A71,Sector,'Summarized Source Data'!I$2,Subsector,'Summarized Source Data'!I$3,TimeOfWeek,$E71)*INDEX(About!E$79:E$82,MATCH($B71,About!$A$79:$A$82,0),1)</f>
        <v>57200000</v>
      </c>
      <c r="J71" s="54">
        <f t="shared" si="6"/>
        <v>152472790</v>
      </c>
      <c r="K71" s="27">
        <f>(SUMIFS(INDEX(Load,,MATCH('Summarized Source Data'!$C71,Hour,0)),Month,'Summarized Source Data'!$A71,Sector,'Summarized Source Data'!K$2,Subsector,"Total",TimeOfWeek,$E71)-SUM(F71:I71))*INDEX(About!G$79:G$82,MATCH($B71,About!$A$79:$A$82,0),1)</f>
        <v>152472790</v>
      </c>
      <c r="L71" s="27">
        <f>SUMIFS(INDEX(Load,,MATCH('Summarized Source Data'!$C71,Hour,0)),Month,'Summarized Source Data'!$A71,Sector,'Summarized Source Data'!L$2,Subsector,'Summarized Source Data'!L$3,TimeOfWeek,$E71)*INDEX(About!H$79:H$82,MATCH($B71,About!$A$79:$A$82,0),1)</f>
        <v>37600000</v>
      </c>
      <c r="M71" s="27">
        <f>SUMIFS(INDEX(Load,,MATCH('Summarized Source Data'!$C71,Hour,0)),Month,'Summarized Source Data'!$A71,Sector,'Summarized Source Data'!M$2,Subsector,'Summarized Source Data'!M$3,TimeOfWeek,$E71)*INDEX(About!I$79:I$82,MATCH($B71,About!$A$79:$A$82,0),1)</f>
        <v>139532</v>
      </c>
      <c r="N71" s="27">
        <f>SUMIFS(INDEX(Load,,MATCH('Summarized Source Data'!$C71,Hour,0)),Month,'Summarized Source Data'!$A71,Sector,'Summarized Source Data'!N$2,Subsector,'Summarized Source Data'!N$3,TimeOfWeek,$E71)*INDEX(About!J$79:J$82,MATCH($B71,About!$A$79:$A$82,0),1)</f>
        <v>0</v>
      </c>
      <c r="O71" s="29">
        <f t="shared" si="7"/>
        <v>368260468</v>
      </c>
      <c r="P71" s="27">
        <f>(SUMIFS(INDEX(Load,,MATCH('Summarized Source Data'!$C71,Hour,0)),Month,'Summarized Source Data'!$A71,Sector,'Summarized Source Data'!P$2,Subsector,"Total",TimeOfWeek,$E71)-SUM(L71:N71)*INDEX(About!L$79:L$82,MATCH($B71,About!$A$79:$A$82,0),1))</f>
        <v>368260468</v>
      </c>
      <c r="Q71" s="29">
        <f t="shared" si="8"/>
        <v>368260468</v>
      </c>
      <c r="R71" s="33">
        <f>SUMIFS(INDEX(Load,,MATCH('Summarized Source Data'!$C71,Hour,0)),Month,'Summarized Source Data'!$A71,Sector,'Summarized Source Data'!R$2,TimeOfWeek,$E71)*INDEX(About!N$79:N$82,MATCH($B71,About!$A$79:$A$82,0),1)</f>
        <v>12900000</v>
      </c>
      <c r="S71" s="33">
        <f>SUMIFS(INDEX(Load,,MATCH('Summarized Source Data'!$C71,Hour,0)),Month,'Summarized Source Data'!$A71,Sector,'Summarized Source Data'!S$2,TimeOfWeek,$E71)*INDEX(About!O$79:O$82,MATCH($B71,About!$A$79:$A$82,0),1)</f>
        <v>12900000</v>
      </c>
      <c r="T71" s="33">
        <f>SUMIFS(INDEX(Load,,MATCH('Summarized Source Data'!$C71,Hour,0)),Month,'Summarized Source Data'!$A71,Sector,'Summarized Source Data'!T$2,TimeOfWeek,$E71)*INDEX(About!P$79:P$82,MATCH($B71,About!$A$79:$A$82,0),1)</f>
        <v>12900000</v>
      </c>
      <c r="U71" s="33">
        <f>SUMIFS(INDEX(Load,,MATCH('Summarized Source Data'!$C71,Hour,0)),Month,'Summarized Source Data'!$A71,Sector,'Summarized Source Data'!U$2,TimeOfWeek,$E71)*INDEX(About!Q$79:Q$82,MATCH($B71,About!$A$79:$A$82,0),1)</f>
        <v>12900000</v>
      </c>
      <c r="V71" s="33">
        <f>SUMIFS(INDEX(Load,,MATCH('Summarized Source Data'!$C71,Hour,0)),Month,'Summarized Source Data'!$A71,Sector,'Summarized Source Data'!V$2,TimeOfWeek,$E71)*INDEX(About!R$79:R$82,MATCH($B71,About!$A$79:$A$82,0),1)</f>
        <v>12900000</v>
      </c>
      <c r="W71" s="33">
        <f>SUMIFS(INDEX(Load,,MATCH('Summarized Source Data'!$C71,Hour,0)),Month,'Summarized Source Data'!$A71,Sector,'Summarized Source Data'!W$2,TimeOfWeek,$E71)*INDEX(About!S$79:S$82,MATCH($B71,About!$A$79:$A$82,0),1)</f>
        <v>12900000</v>
      </c>
      <c r="X71" s="27">
        <f>SUMIFS(INDEX(Load,,MATCH('Summarized Source Data'!$C71,Hour,0)),Month,'Summarized Source Data'!$A71,Sector,'Summarized Source Data'!X$2,Subsector,'Summarized Source Data'!X$3,TimeOfWeek,$E71)*INDEX(About!T$79:T$82,MATCH($B71,About!$A$79:$A$82,0),1)</f>
        <v>685000000</v>
      </c>
      <c r="Y71" s="29">
        <f t="shared" si="9"/>
        <v>685000000</v>
      </c>
      <c r="Z71" s="29">
        <f t="shared" si="9"/>
        <v>685000000</v>
      </c>
    </row>
    <row r="72" spans="1:26" outlineLevel="1" x14ac:dyDescent="0.3">
      <c r="A72">
        <f t="shared" si="5"/>
        <v>3</v>
      </c>
      <c r="B72" t="str">
        <f>INDEX('Category Mapping'!$G$28:$G$39,MATCH(A72,'Category Mapping'!$A$28:$A$39,0),1)</f>
        <v>Spring</v>
      </c>
      <c r="C72" t="s">
        <v>83</v>
      </c>
      <c r="D72" s="6" t="s">
        <v>158</v>
      </c>
      <c r="E72" t="s">
        <v>49</v>
      </c>
      <c r="F72" s="27">
        <f>SUMIFS(INDEX(Load,,MATCH('Summarized Source Data'!$C72,Hour,0)),Month,'Summarized Source Data'!$A72,Sector,'Summarized Source Data'!F$2,Subsector,'Summarized Source Data'!F$3,TimeOfWeek,$E72)*INDEX(About!B$79:B$82,MATCH($B72,About!$A$79:$A$82,0),1)</f>
        <v>16300000</v>
      </c>
      <c r="G72" s="27">
        <f>SUMIFS(INDEX(Load,,MATCH('Summarized Source Data'!$C72,Hour,0)),Month,'Summarized Source Data'!$A72,Sector,'Summarized Source Data'!G$2,Subsector,'Summarized Source Data'!G$3,TimeOfWeek,$E72)*INDEX(About!C$79:C$82,MATCH($B72,About!$A$79:$A$82,0),1)</f>
        <v>29452</v>
      </c>
      <c r="H72" s="27">
        <f>SUMIFS(INDEX(Load,,MATCH('Summarized Source Data'!$C72,Hour,0)),Month,'Summarized Source Data'!$A72,Sector,'Summarized Source Data'!H$2,Subsector,'Summarized Source Data'!H$3,TimeOfWeek,$E72)*INDEX(About!D$79:D$82,MATCH($B72,About!$A$79:$A$82,0),1)</f>
        <v>0</v>
      </c>
      <c r="I72" s="27">
        <f>SUMIFS(INDEX(Load,,MATCH('Summarized Source Data'!$C72,Hour,0)),Month,'Summarized Source Data'!$A72,Sector,'Summarized Source Data'!I$2,Subsector,'Summarized Source Data'!I$3,TimeOfWeek,$E72)*INDEX(About!E$79:E$82,MATCH($B72,About!$A$79:$A$82,0),1)</f>
        <v>58100000</v>
      </c>
      <c r="J72" s="54">
        <f t="shared" si="6"/>
        <v>148570548</v>
      </c>
      <c r="K72" s="27">
        <f>(SUMIFS(INDEX(Load,,MATCH('Summarized Source Data'!$C72,Hour,0)),Month,'Summarized Source Data'!$A72,Sector,'Summarized Source Data'!K$2,Subsector,"Total",TimeOfWeek,$E72)-SUM(F72:I72))*INDEX(About!G$79:G$82,MATCH($B72,About!$A$79:$A$82,0),1)</f>
        <v>148570548</v>
      </c>
      <c r="L72" s="27">
        <f>SUMIFS(INDEX(Load,,MATCH('Summarized Source Data'!$C72,Hour,0)),Month,'Summarized Source Data'!$A72,Sector,'Summarized Source Data'!L$2,Subsector,'Summarized Source Data'!L$3,TimeOfWeek,$E72)*INDEX(About!H$79:H$82,MATCH($B72,About!$A$79:$A$82,0),1)</f>
        <v>44100000</v>
      </c>
      <c r="M72" s="27">
        <f>SUMIFS(INDEX(Load,,MATCH('Summarized Source Data'!$C72,Hour,0)),Month,'Summarized Source Data'!$A72,Sector,'Summarized Source Data'!M$2,Subsector,'Summarized Source Data'!M$3,TimeOfWeek,$E72)*INDEX(About!I$79:I$82,MATCH($B72,About!$A$79:$A$82,0),1)</f>
        <v>131631</v>
      </c>
      <c r="N72" s="27">
        <f>SUMIFS(INDEX(Load,,MATCH('Summarized Source Data'!$C72,Hour,0)),Month,'Summarized Source Data'!$A72,Sector,'Summarized Source Data'!N$2,Subsector,'Summarized Source Data'!N$3,TimeOfWeek,$E72)*INDEX(About!J$79:J$82,MATCH($B72,About!$A$79:$A$82,0),1)</f>
        <v>0</v>
      </c>
      <c r="O72" s="29">
        <f t="shared" si="7"/>
        <v>305768369</v>
      </c>
      <c r="P72" s="27">
        <f>(SUMIFS(INDEX(Load,,MATCH('Summarized Source Data'!$C72,Hour,0)),Month,'Summarized Source Data'!$A72,Sector,'Summarized Source Data'!P$2,Subsector,"Total",TimeOfWeek,$E72)-SUM(L72:N72)*INDEX(About!L$79:L$82,MATCH($B72,About!$A$79:$A$82,0),1))</f>
        <v>305768369</v>
      </c>
      <c r="Q72" s="29">
        <f t="shared" si="8"/>
        <v>305768369</v>
      </c>
      <c r="R72" s="33">
        <f>SUMIFS(INDEX(Load,,MATCH('Summarized Source Data'!$C72,Hour,0)),Month,'Summarized Source Data'!$A72,Sector,'Summarized Source Data'!R$2,TimeOfWeek,$E72)*INDEX(About!N$79:N$82,MATCH($B72,About!$A$79:$A$82,0),1)</f>
        <v>11900000</v>
      </c>
      <c r="S72" s="33">
        <f>SUMIFS(INDEX(Load,,MATCH('Summarized Source Data'!$C72,Hour,0)),Month,'Summarized Source Data'!$A72,Sector,'Summarized Source Data'!S$2,TimeOfWeek,$E72)*INDEX(About!O$79:O$82,MATCH($B72,About!$A$79:$A$82,0),1)</f>
        <v>11900000</v>
      </c>
      <c r="T72" s="33">
        <f>SUMIFS(INDEX(Load,,MATCH('Summarized Source Data'!$C72,Hour,0)),Month,'Summarized Source Data'!$A72,Sector,'Summarized Source Data'!T$2,TimeOfWeek,$E72)*INDEX(About!P$79:P$82,MATCH($B72,About!$A$79:$A$82,0),1)</f>
        <v>11900000</v>
      </c>
      <c r="U72" s="33">
        <f>SUMIFS(INDEX(Load,,MATCH('Summarized Source Data'!$C72,Hour,0)),Month,'Summarized Source Data'!$A72,Sector,'Summarized Source Data'!U$2,TimeOfWeek,$E72)*INDEX(About!Q$79:Q$82,MATCH($B72,About!$A$79:$A$82,0),1)</f>
        <v>11900000</v>
      </c>
      <c r="V72" s="33">
        <f>SUMIFS(INDEX(Load,,MATCH('Summarized Source Data'!$C72,Hour,0)),Month,'Summarized Source Data'!$A72,Sector,'Summarized Source Data'!V$2,TimeOfWeek,$E72)*INDEX(About!R$79:R$82,MATCH($B72,About!$A$79:$A$82,0),1)</f>
        <v>11900000</v>
      </c>
      <c r="W72" s="33">
        <f>SUMIFS(INDEX(Load,,MATCH('Summarized Source Data'!$C72,Hour,0)),Month,'Summarized Source Data'!$A72,Sector,'Summarized Source Data'!W$2,TimeOfWeek,$E72)*INDEX(About!S$79:S$82,MATCH($B72,About!$A$79:$A$82,0),1)</f>
        <v>11900000</v>
      </c>
      <c r="X72" s="27">
        <f>SUMIFS(INDEX(Load,,MATCH('Summarized Source Data'!$C72,Hour,0)),Month,'Summarized Source Data'!$A72,Sector,'Summarized Source Data'!X$2,Subsector,'Summarized Source Data'!X$3,TimeOfWeek,$E72)*INDEX(About!T$79:T$82,MATCH($B72,About!$A$79:$A$82,0),1)</f>
        <v>680000000</v>
      </c>
      <c r="Y72" s="29">
        <f t="shared" si="9"/>
        <v>680000000</v>
      </c>
      <c r="Z72" s="29">
        <f t="shared" si="9"/>
        <v>680000000</v>
      </c>
    </row>
    <row r="73" spans="1:26" outlineLevel="1" x14ac:dyDescent="0.3">
      <c r="A73">
        <f t="shared" si="5"/>
        <v>3</v>
      </c>
      <c r="B73" t="str">
        <f>INDEX('Category Mapping'!$G$28:$G$39,MATCH(A73,'Category Mapping'!$A$28:$A$39,0),1)</f>
        <v>Spring</v>
      </c>
      <c r="C73" t="s">
        <v>84</v>
      </c>
      <c r="D73" s="6" t="s">
        <v>159</v>
      </c>
      <c r="E73" t="s">
        <v>49</v>
      </c>
      <c r="F73" s="27">
        <f>SUMIFS(INDEX(Load,,MATCH('Summarized Source Data'!$C73,Hour,0)),Month,'Summarized Source Data'!$A73,Sector,'Summarized Source Data'!F$2,Subsector,'Summarized Source Data'!F$3,TimeOfWeek,$E73)*INDEX(About!B$79:B$82,MATCH($B73,About!$A$79:$A$82,0),1)</f>
        <v>15300000</v>
      </c>
      <c r="G73" s="27">
        <f>SUMIFS(INDEX(Load,,MATCH('Summarized Source Data'!$C73,Hour,0)),Month,'Summarized Source Data'!$A73,Sector,'Summarized Source Data'!G$2,Subsector,'Summarized Source Data'!G$3,TimeOfWeek,$E73)*INDEX(About!C$79:C$82,MATCH($B73,About!$A$79:$A$82,0),1)</f>
        <v>31320</v>
      </c>
      <c r="H73" s="27">
        <f>SUMIFS(INDEX(Load,,MATCH('Summarized Source Data'!$C73,Hour,0)),Month,'Summarized Source Data'!$A73,Sector,'Summarized Source Data'!H$2,Subsector,'Summarized Source Data'!H$3,TimeOfWeek,$E73)*INDEX(About!D$79:D$82,MATCH($B73,About!$A$79:$A$82,0),1)</f>
        <v>0</v>
      </c>
      <c r="I73" s="27">
        <f>SUMIFS(INDEX(Load,,MATCH('Summarized Source Data'!$C73,Hour,0)),Month,'Summarized Source Data'!$A73,Sector,'Summarized Source Data'!I$2,Subsector,'Summarized Source Data'!I$3,TimeOfWeek,$E73)*INDEX(About!E$79:E$82,MATCH($B73,About!$A$79:$A$82,0),1)</f>
        <v>47600000</v>
      </c>
      <c r="J73" s="54">
        <f t="shared" si="6"/>
        <v>147068680</v>
      </c>
      <c r="K73" s="27">
        <f>(SUMIFS(INDEX(Load,,MATCH('Summarized Source Data'!$C73,Hour,0)),Month,'Summarized Source Data'!$A73,Sector,'Summarized Source Data'!K$2,Subsector,"Total",TimeOfWeek,$E73)-SUM(F73:I73))*INDEX(About!G$79:G$82,MATCH($B73,About!$A$79:$A$82,0),1)</f>
        <v>147068680</v>
      </c>
      <c r="L73" s="27">
        <f>SUMIFS(INDEX(Load,,MATCH('Summarized Source Data'!$C73,Hour,0)),Month,'Summarized Source Data'!$A73,Sector,'Summarized Source Data'!L$2,Subsector,'Summarized Source Data'!L$3,TimeOfWeek,$E73)*INDEX(About!H$79:H$82,MATCH($B73,About!$A$79:$A$82,0),1)</f>
        <v>38800000</v>
      </c>
      <c r="M73" s="27">
        <f>SUMIFS(INDEX(Load,,MATCH('Summarized Source Data'!$C73,Hour,0)),Month,'Summarized Source Data'!$A73,Sector,'Summarized Source Data'!M$2,Subsector,'Summarized Source Data'!M$3,TimeOfWeek,$E73)*INDEX(About!I$79:I$82,MATCH($B73,About!$A$79:$A$82,0),1)</f>
        <v>123572</v>
      </c>
      <c r="N73" s="27">
        <f>SUMIFS(INDEX(Load,,MATCH('Summarized Source Data'!$C73,Hour,0)),Month,'Summarized Source Data'!$A73,Sector,'Summarized Source Data'!N$2,Subsector,'Summarized Source Data'!N$3,TimeOfWeek,$E73)*INDEX(About!J$79:J$82,MATCH($B73,About!$A$79:$A$82,0),1)</f>
        <v>0</v>
      </c>
      <c r="O73" s="29">
        <f t="shared" si="7"/>
        <v>248076428</v>
      </c>
      <c r="P73" s="27">
        <f>(SUMIFS(INDEX(Load,,MATCH('Summarized Source Data'!$C73,Hour,0)),Month,'Summarized Source Data'!$A73,Sector,'Summarized Source Data'!P$2,Subsector,"Total",TimeOfWeek,$E73)-SUM(L73:N73)*INDEX(About!L$79:L$82,MATCH($B73,About!$A$79:$A$82,0),1))</f>
        <v>248076428</v>
      </c>
      <c r="Q73" s="29">
        <f t="shared" si="8"/>
        <v>248076428</v>
      </c>
      <c r="R73" s="33">
        <f>SUMIFS(INDEX(Load,,MATCH('Summarized Source Data'!$C73,Hour,0)),Month,'Summarized Source Data'!$A73,Sector,'Summarized Source Data'!R$2,TimeOfWeek,$E73)*INDEX(About!N$79:N$82,MATCH($B73,About!$A$79:$A$82,0),1)</f>
        <v>11100000</v>
      </c>
      <c r="S73" s="33">
        <f>SUMIFS(INDEX(Load,,MATCH('Summarized Source Data'!$C73,Hour,0)),Month,'Summarized Source Data'!$A73,Sector,'Summarized Source Data'!S$2,TimeOfWeek,$E73)*INDEX(About!O$79:O$82,MATCH($B73,About!$A$79:$A$82,0),1)</f>
        <v>11100000</v>
      </c>
      <c r="T73" s="33">
        <f>SUMIFS(INDEX(Load,,MATCH('Summarized Source Data'!$C73,Hour,0)),Month,'Summarized Source Data'!$A73,Sector,'Summarized Source Data'!T$2,TimeOfWeek,$E73)*INDEX(About!P$79:P$82,MATCH($B73,About!$A$79:$A$82,0),1)</f>
        <v>11100000</v>
      </c>
      <c r="U73" s="33">
        <f>SUMIFS(INDEX(Load,,MATCH('Summarized Source Data'!$C73,Hour,0)),Month,'Summarized Source Data'!$A73,Sector,'Summarized Source Data'!U$2,TimeOfWeek,$E73)*INDEX(About!Q$79:Q$82,MATCH($B73,About!$A$79:$A$82,0),1)</f>
        <v>11100000</v>
      </c>
      <c r="V73" s="33">
        <f>SUMIFS(INDEX(Load,,MATCH('Summarized Source Data'!$C73,Hour,0)),Month,'Summarized Source Data'!$A73,Sector,'Summarized Source Data'!V$2,TimeOfWeek,$E73)*INDEX(About!R$79:R$82,MATCH($B73,About!$A$79:$A$82,0),1)</f>
        <v>11100000</v>
      </c>
      <c r="W73" s="33">
        <f>SUMIFS(INDEX(Load,,MATCH('Summarized Source Data'!$C73,Hour,0)),Month,'Summarized Source Data'!$A73,Sector,'Summarized Source Data'!W$2,TimeOfWeek,$E73)*INDEX(About!S$79:S$82,MATCH($B73,About!$A$79:$A$82,0),1)</f>
        <v>11100000</v>
      </c>
      <c r="X73" s="27">
        <f>SUMIFS(INDEX(Load,,MATCH('Summarized Source Data'!$C73,Hour,0)),Month,'Summarized Source Data'!$A73,Sector,'Summarized Source Data'!X$2,Subsector,'Summarized Source Data'!X$3,TimeOfWeek,$E73)*INDEX(About!T$79:T$82,MATCH($B73,About!$A$79:$A$82,0),1)</f>
        <v>674000000</v>
      </c>
      <c r="Y73" s="29">
        <f t="shared" si="9"/>
        <v>674000000</v>
      </c>
      <c r="Z73" s="29">
        <f t="shared" si="9"/>
        <v>674000000</v>
      </c>
    </row>
    <row r="74" spans="1:26" outlineLevel="1" x14ac:dyDescent="0.3">
      <c r="A74">
        <f t="shared" si="5"/>
        <v>3</v>
      </c>
      <c r="B74" t="str">
        <f>INDEX('Category Mapping'!$G$28:$G$39,MATCH(A74,'Category Mapping'!$A$28:$A$39,0),1)</f>
        <v>Spring</v>
      </c>
      <c r="C74" t="s">
        <v>85</v>
      </c>
      <c r="D74" s="6" t="s">
        <v>160</v>
      </c>
      <c r="E74" t="s">
        <v>49</v>
      </c>
      <c r="F74" s="27">
        <f>SUMIFS(INDEX(Load,,MATCH('Summarized Source Data'!$C74,Hour,0)),Month,'Summarized Source Data'!$A74,Sector,'Summarized Source Data'!F$2,Subsector,'Summarized Source Data'!F$3,TimeOfWeek,$E74)*INDEX(About!B$79:B$82,MATCH($B74,About!$A$79:$A$82,0),1)</f>
        <v>12900000</v>
      </c>
      <c r="G74" s="27">
        <f>SUMIFS(INDEX(Load,,MATCH('Summarized Source Data'!$C74,Hour,0)),Month,'Summarized Source Data'!$A74,Sector,'Summarized Source Data'!G$2,Subsector,'Summarized Source Data'!G$3,TimeOfWeek,$E74)*INDEX(About!C$79:C$82,MATCH($B74,About!$A$79:$A$82,0),1)</f>
        <v>32650</v>
      </c>
      <c r="H74" s="27">
        <f>SUMIFS(INDEX(Load,,MATCH('Summarized Source Data'!$C74,Hour,0)),Month,'Summarized Source Data'!$A74,Sector,'Summarized Source Data'!H$2,Subsector,'Summarized Source Data'!H$3,TimeOfWeek,$E74)*INDEX(About!D$79:D$82,MATCH($B74,About!$A$79:$A$82,0),1)</f>
        <v>0</v>
      </c>
      <c r="I74" s="27">
        <f>SUMIFS(INDEX(Load,,MATCH('Summarized Source Data'!$C74,Hour,0)),Month,'Summarized Source Data'!$A74,Sector,'Summarized Source Data'!I$2,Subsector,'Summarized Source Data'!I$3,TimeOfWeek,$E74)*INDEX(About!E$79:E$82,MATCH($B74,About!$A$79:$A$82,0),1)</f>
        <v>28300000</v>
      </c>
      <c r="J74" s="54">
        <f t="shared" si="6"/>
        <v>115767350</v>
      </c>
      <c r="K74" s="27">
        <f>(SUMIFS(INDEX(Load,,MATCH('Summarized Source Data'!$C74,Hour,0)),Month,'Summarized Source Data'!$A74,Sector,'Summarized Source Data'!K$2,Subsector,"Total",TimeOfWeek,$E74)-SUM(F74:I74))*INDEX(About!G$79:G$82,MATCH($B74,About!$A$79:$A$82,0),1)</f>
        <v>115767350</v>
      </c>
      <c r="L74" s="27">
        <f>SUMIFS(INDEX(Load,,MATCH('Summarized Source Data'!$C74,Hour,0)),Month,'Summarized Source Data'!$A74,Sector,'Summarized Source Data'!L$2,Subsector,'Summarized Source Data'!L$3,TimeOfWeek,$E74)*INDEX(About!H$79:H$82,MATCH($B74,About!$A$79:$A$82,0),1)</f>
        <v>34200000</v>
      </c>
      <c r="M74" s="27">
        <f>SUMIFS(INDEX(Load,,MATCH('Summarized Source Data'!$C74,Hour,0)),Month,'Summarized Source Data'!$A74,Sector,'Summarized Source Data'!M$2,Subsector,'Summarized Source Data'!M$3,TimeOfWeek,$E74)*INDEX(About!I$79:I$82,MATCH($B74,About!$A$79:$A$82,0),1)</f>
        <v>113881</v>
      </c>
      <c r="N74" s="27">
        <f>SUMIFS(INDEX(Load,,MATCH('Summarized Source Data'!$C74,Hour,0)),Month,'Summarized Source Data'!$A74,Sector,'Summarized Source Data'!N$2,Subsector,'Summarized Source Data'!N$3,TimeOfWeek,$E74)*INDEX(About!J$79:J$82,MATCH($B74,About!$A$79:$A$82,0),1)</f>
        <v>0</v>
      </c>
      <c r="O74" s="29">
        <f t="shared" si="7"/>
        <v>208686119</v>
      </c>
      <c r="P74" s="27">
        <f>(SUMIFS(INDEX(Load,,MATCH('Summarized Source Data'!$C74,Hour,0)),Month,'Summarized Source Data'!$A74,Sector,'Summarized Source Data'!P$2,Subsector,"Total",TimeOfWeek,$E74)-SUM(L74:N74)*INDEX(About!L$79:L$82,MATCH($B74,About!$A$79:$A$82,0),1))</f>
        <v>208686119</v>
      </c>
      <c r="Q74" s="29">
        <f t="shared" si="8"/>
        <v>208686119</v>
      </c>
      <c r="R74" s="33">
        <f>SUMIFS(INDEX(Load,,MATCH('Summarized Source Data'!$C74,Hour,0)),Month,'Summarized Source Data'!$A74,Sector,'Summarized Source Data'!R$2,TimeOfWeek,$E74)*INDEX(About!N$79:N$82,MATCH($B74,About!$A$79:$A$82,0),1)</f>
        <v>10500000</v>
      </c>
      <c r="S74" s="33">
        <f>SUMIFS(INDEX(Load,,MATCH('Summarized Source Data'!$C74,Hour,0)),Month,'Summarized Source Data'!$A74,Sector,'Summarized Source Data'!S$2,TimeOfWeek,$E74)*INDEX(About!O$79:O$82,MATCH($B74,About!$A$79:$A$82,0),1)</f>
        <v>10500000</v>
      </c>
      <c r="T74" s="33">
        <f>SUMIFS(INDEX(Load,,MATCH('Summarized Source Data'!$C74,Hour,0)),Month,'Summarized Source Data'!$A74,Sector,'Summarized Source Data'!T$2,TimeOfWeek,$E74)*INDEX(About!P$79:P$82,MATCH($B74,About!$A$79:$A$82,0),1)</f>
        <v>10500000</v>
      </c>
      <c r="U74" s="33">
        <f>SUMIFS(INDEX(Load,,MATCH('Summarized Source Data'!$C74,Hour,0)),Month,'Summarized Source Data'!$A74,Sector,'Summarized Source Data'!U$2,TimeOfWeek,$E74)*INDEX(About!Q$79:Q$82,MATCH($B74,About!$A$79:$A$82,0),1)</f>
        <v>10500000</v>
      </c>
      <c r="V74" s="33">
        <f>SUMIFS(INDEX(Load,,MATCH('Summarized Source Data'!$C74,Hour,0)),Month,'Summarized Source Data'!$A74,Sector,'Summarized Source Data'!V$2,TimeOfWeek,$E74)*INDEX(About!R$79:R$82,MATCH($B74,About!$A$79:$A$82,0),1)</f>
        <v>10500000</v>
      </c>
      <c r="W74" s="33">
        <f>SUMIFS(INDEX(Load,,MATCH('Summarized Source Data'!$C74,Hour,0)),Month,'Summarized Source Data'!$A74,Sector,'Summarized Source Data'!W$2,TimeOfWeek,$E74)*INDEX(About!S$79:S$82,MATCH($B74,About!$A$79:$A$82,0),1)</f>
        <v>10500000</v>
      </c>
      <c r="X74" s="27">
        <f>SUMIFS(INDEX(Load,,MATCH('Summarized Source Data'!$C74,Hour,0)),Month,'Summarized Source Data'!$A74,Sector,'Summarized Source Data'!X$2,Subsector,'Summarized Source Data'!X$3,TimeOfWeek,$E74)*INDEX(About!T$79:T$82,MATCH($B74,About!$A$79:$A$82,0),1)</f>
        <v>668000000</v>
      </c>
      <c r="Y74" s="29">
        <f t="shared" si="9"/>
        <v>668000000</v>
      </c>
      <c r="Z74" s="29">
        <f t="shared" si="9"/>
        <v>668000000</v>
      </c>
    </row>
    <row r="75" spans="1:26" outlineLevel="1" x14ac:dyDescent="0.3">
      <c r="A75">
        <f t="shared" si="5"/>
        <v>3</v>
      </c>
      <c r="B75" t="str">
        <f>INDEX('Category Mapping'!$G$28:$G$39,MATCH(A75,'Category Mapping'!$A$28:$A$39,0),1)</f>
        <v>Spring</v>
      </c>
      <c r="C75" t="s">
        <v>86</v>
      </c>
      <c r="D75" s="6" t="s">
        <v>161</v>
      </c>
      <c r="E75" t="s">
        <v>49</v>
      </c>
      <c r="F75" s="27">
        <f>SUMIFS(INDEX(Load,,MATCH('Summarized Source Data'!$C75,Hour,0)),Month,'Summarized Source Data'!$A75,Sector,'Summarized Source Data'!F$2,Subsector,'Summarized Source Data'!F$3,TimeOfWeek,$E75)*INDEX(About!B$79:B$82,MATCH($B75,About!$A$79:$A$82,0),1)</f>
        <v>12500000</v>
      </c>
      <c r="G75" s="27">
        <f>SUMIFS(INDEX(Load,,MATCH('Summarized Source Data'!$C75,Hour,0)),Month,'Summarized Source Data'!$A75,Sector,'Summarized Source Data'!G$2,Subsector,'Summarized Source Data'!G$3,TimeOfWeek,$E75)*INDEX(About!C$79:C$82,MATCH($B75,About!$A$79:$A$82,0),1)</f>
        <v>33548</v>
      </c>
      <c r="H75" s="27">
        <f>SUMIFS(INDEX(Load,,MATCH('Summarized Source Data'!$C75,Hour,0)),Month,'Summarized Source Data'!$A75,Sector,'Summarized Source Data'!H$2,Subsector,'Summarized Source Data'!H$3,TimeOfWeek,$E75)*INDEX(About!D$79:D$82,MATCH($B75,About!$A$79:$A$82,0),1)</f>
        <v>0</v>
      </c>
      <c r="I75" s="27">
        <f>SUMIFS(INDEX(Load,,MATCH('Summarized Source Data'!$C75,Hour,0)),Month,'Summarized Source Data'!$A75,Sector,'Summarized Source Data'!I$2,Subsector,'Summarized Source Data'!I$3,TimeOfWeek,$E75)*INDEX(About!E$79:E$82,MATCH($B75,About!$A$79:$A$82,0),1)</f>
        <v>14900000</v>
      </c>
      <c r="J75" s="54">
        <f t="shared" si="6"/>
        <v>91566452</v>
      </c>
      <c r="K75" s="27">
        <f>(SUMIFS(INDEX(Load,,MATCH('Summarized Source Data'!$C75,Hour,0)),Month,'Summarized Source Data'!$A75,Sector,'Summarized Source Data'!K$2,Subsector,"Total",TimeOfWeek,$E75)-SUM(F75:I75))*INDEX(About!G$79:G$82,MATCH($B75,About!$A$79:$A$82,0),1)</f>
        <v>91566452</v>
      </c>
      <c r="L75" s="27">
        <f>SUMIFS(INDEX(Load,,MATCH('Summarized Source Data'!$C75,Hour,0)),Month,'Summarized Source Data'!$A75,Sector,'Summarized Source Data'!L$2,Subsector,'Summarized Source Data'!L$3,TimeOfWeek,$E75)*INDEX(About!H$79:H$82,MATCH($B75,About!$A$79:$A$82,0),1)</f>
        <v>28600000</v>
      </c>
      <c r="M75" s="27">
        <f>SUMIFS(INDEX(Load,,MATCH('Summarized Source Data'!$C75,Hour,0)),Month,'Summarized Source Data'!$A75,Sector,'Summarized Source Data'!M$2,Subsector,'Summarized Source Data'!M$3,TimeOfWeek,$E75)*INDEX(About!I$79:I$82,MATCH($B75,About!$A$79:$A$82,0),1)</f>
        <v>100643</v>
      </c>
      <c r="N75" s="27">
        <f>SUMIFS(INDEX(Load,,MATCH('Summarized Source Data'!$C75,Hour,0)),Month,'Summarized Source Data'!$A75,Sector,'Summarized Source Data'!N$2,Subsector,'Summarized Source Data'!N$3,TimeOfWeek,$E75)*INDEX(About!J$79:J$82,MATCH($B75,About!$A$79:$A$82,0),1)</f>
        <v>0</v>
      </c>
      <c r="O75" s="29">
        <f t="shared" si="7"/>
        <v>182299357</v>
      </c>
      <c r="P75" s="27">
        <f>(SUMIFS(INDEX(Load,,MATCH('Summarized Source Data'!$C75,Hour,0)),Month,'Summarized Source Data'!$A75,Sector,'Summarized Source Data'!P$2,Subsector,"Total",TimeOfWeek,$E75)-SUM(L75:N75)*INDEX(About!L$79:L$82,MATCH($B75,About!$A$79:$A$82,0),1))</f>
        <v>182299357</v>
      </c>
      <c r="Q75" s="29">
        <f t="shared" si="8"/>
        <v>182299357</v>
      </c>
      <c r="R75" s="33">
        <f>SUMIFS(INDEX(Load,,MATCH('Summarized Source Data'!$C75,Hour,0)),Month,'Summarized Source Data'!$A75,Sector,'Summarized Source Data'!R$2,TimeOfWeek,$E75)*INDEX(About!N$79:N$82,MATCH($B75,About!$A$79:$A$82,0),1)</f>
        <v>7065935</v>
      </c>
      <c r="S75" s="33">
        <f>SUMIFS(INDEX(Load,,MATCH('Summarized Source Data'!$C75,Hour,0)),Month,'Summarized Source Data'!$A75,Sector,'Summarized Source Data'!S$2,TimeOfWeek,$E75)*INDEX(About!O$79:O$82,MATCH($B75,About!$A$79:$A$82,0),1)</f>
        <v>7065935</v>
      </c>
      <c r="T75" s="33">
        <f>SUMIFS(INDEX(Load,,MATCH('Summarized Source Data'!$C75,Hour,0)),Month,'Summarized Source Data'!$A75,Sector,'Summarized Source Data'!T$2,TimeOfWeek,$E75)*INDEX(About!P$79:P$82,MATCH($B75,About!$A$79:$A$82,0),1)</f>
        <v>7065935</v>
      </c>
      <c r="U75" s="33">
        <f>SUMIFS(INDEX(Load,,MATCH('Summarized Source Data'!$C75,Hour,0)),Month,'Summarized Source Data'!$A75,Sector,'Summarized Source Data'!U$2,TimeOfWeek,$E75)*INDEX(About!Q$79:Q$82,MATCH($B75,About!$A$79:$A$82,0),1)</f>
        <v>7065935</v>
      </c>
      <c r="V75" s="33">
        <f>SUMIFS(INDEX(Load,,MATCH('Summarized Source Data'!$C75,Hour,0)),Month,'Summarized Source Data'!$A75,Sector,'Summarized Source Data'!V$2,TimeOfWeek,$E75)*INDEX(About!R$79:R$82,MATCH($B75,About!$A$79:$A$82,0),1)</f>
        <v>7065935</v>
      </c>
      <c r="W75" s="33">
        <f>SUMIFS(INDEX(Load,,MATCH('Summarized Source Data'!$C75,Hour,0)),Month,'Summarized Source Data'!$A75,Sector,'Summarized Source Data'!W$2,TimeOfWeek,$E75)*INDEX(About!S$79:S$82,MATCH($B75,About!$A$79:$A$82,0),1)</f>
        <v>7065935</v>
      </c>
      <c r="X75" s="27">
        <f>SUMIFS(INDEX(Load,,MATCH('Summarized Source Data'!$C75,Hour,0)),Month,'Summarized Source Data'!$A75,Sector,'Summarized Source Data'!X$2,Subsector,'Summarized Source Data'!X$3,TimeOfWeek,$E75)*INDEX(About!T$79:T$82,MATCH($B75,About!$A$79:$A$82,0),1)</f>
        <v>665000000</v>
      </c>
      <c r="Y75" s="29">
        <f t="shared" si="9"/>
        <v>665000000</v>
      </c>
      <c r="Z75" s="29">
        <f t="shared" si="9"/>
        <v>665000000</v>
      </c>
    </row>
    <row r="76" spans="1:26" outlineLevel="1" x14ac:dyDescent="0.3">
      <c r="A76">
        <f t="shared" si="5"/>
        <v>4</v>
      </c>
      <c r="B76" t="str">
        <f>INDEX('Category Mapping'!$G$28:$G$39,MATCH(A76,'Category Mapping'!$A$28:$A$39,0),1)</f>
        <v>Spring</v>
      </c>
      <c r="C76" t="s">
        <v>63</v>
      </c>
      <c r="D76" s="6" t="s">
        <v>138</v>
      </c>
      <c r="E76" t="s">
        <v>49</v>
      </c>
      <c r="F76" s="27">
        <f>SUMIFS(INDEX(Load,,MATCH('Summarized Source Data'!$C76,Hour,0)),Month,'Summarized Source Data'!$A76,Sector,'Summarized Source Data'!F$2,Subsector,'Summarized Source Data'!F$3,TimeOfWeek,$E76)*INDEX(About!B$79:B$82,MATCH($B76,About!$A$79:$A$82,0),1)</f>
        <v>5437090</v>
      </c>
      <c r="G76" s="27">
        <f>SUMIFS(INDEX(Load,,MATCH('Summarized Source Data'!$C76,Hour,0)),Month,'Summarized Source Data'!$A76,Sector,'Summarized Source Data'!G$2,Subsector,'Summarized Source Data'!G$3,TimeOfWeek,$E76)*INDEX(About!C$79:C$82,MATCH($B76,About!$A$79:$A$82,0),1)</f>
        <v>37933</v>
      </c>
      <c r="H76" s="27">
        <f>SUMIFS(INDEX(Load,,MATCH('Summarized Source Data'!$C76,Hour,0)),Month,'Summarized Source Data'!$A76,Sector,'Summarized Source Data'!H$2,Subsector,'Summarized Source Data'!H$3,TimeOfWeek,$E76)*INDEX(About!D$79:D$82,MATCH($B76,About!$A$79:$A$82,0),1)</f>
        <v>0</v>
      </c>
      <c r="I76" s="27">
        <f>SUMIFS(INDEX(Load,,MATCH('Summarized Source Data'!$C76,Hour,0)),Month,'Summarized Source Data'!$A76,Sector,'Summarized Source Data'!I$2,Subsector,'Summarized Source Data'!I$3,TimeOfWeek,$E76)*INDEX(About!E$79:E$82,MATCH($B76,About!$A$79:$A$82,0),1)</f>
        <v>10400000</v>
      </c>
      <c r="J76" s="54">
        <f t="shared" si="6"/>
        <v>73024977</v>
      </c>
      <c r="K76" s="27">
        <f>(SUMIFS(INDEX(Load,,MATCH('Summarized Source Data'!$C76,Hour,0)),Month,'Summarized Source Data'!$A76,Sector,'Summarized Source Data'!K$2,Subsector,"Total",TimeOfWeek,$E76)-SUM(F76:I76))*INDEX(About!G$79:G$82,MATCH($B76,About!$A$79:$A$82,0),1)</f>
        <v>73024977</v>
      </c>
      <c r="L76" s="27">
        <f>SUMIFS(INDEX(Load,,MATCH('Summarized Source Data'!$C76,Hour,0)),Month,'Summarized Source Data'!$A76,Sector,'Summarized Source Data'!L$2,Subsector,'Summarized Source Data'!L$3,TimeOfWeek,$E76)*INDEX(About!H$79:H$82,MATCH($B76,About!$A$79:$A$82,0),1)</f>
        <v>19600000</v>
      </c>
      <c r="M76" s="27">
        <f>SUMIFS(INDEX(Load,,MATCH('Summarized Source Data'!$C76,Hour,0)),Month,'Summarized Source Data'!$A76,Sector,'Summarized Source Data'!M$2,Subsector,'Summarized Source Data'!M$3,TimeOfWeek,$E76)*INDEX(About!I$79:I$82,MATCH($B76,About!$A$79:$A$82,0),1)</f>
        <v>425192</v>
      </c>
      <c r="N76" s="27">
        <f>SUMIFS(INDEX(Load,,MATCH('Summarized Source Data'!$C76,Hour,0)),Month,'Summarized Source Data'!$A76,Sector,'Summarized Source Data'!N$2,Subsector,'Summarized Source Data'!N$3,TimeOfWeek,$E76)*INDEX(About!J$79:J$82,MATCH($B76,About!$A$79:$A$82,0),1)</f>
        <v>0</v>
      </c>
      <c r="O76" s="29">
        <f t="shared" si="7"/>
        <v>151974808</v>
      </c>
      <c r="P76" s="27">
        <f>(SUMIFS(INDEX(Load,,MATCH('Summarized Source Data'!$C76,Hour,0)),Month,'Summarized Source Data'!$A76,Sector,'Summarized Source Data'!P$2,Subsector,"Total",TimeOfWeek,$E76)-SUM(L76:N76)*INDEX(About!L$79:L$82,MATCH($B76,About!$A$79:$A$82,0),1))</f>
        <v>151974808</v>
      </c>
      <c r="Q76" s="29">
        <f t="shared" si="8"/>
        <v>151974808</v>
      </c>
      <c r="R76" s="33">
        <f>SUMIFS(INDEX(Load,,MATCH('Summarized Source Data'!$C76,Hour,0)),Month,'Summarized Source Data'!$A76,Sector,'Summarized Source Data'!R$2,TimeOfWeek,$E76)*INDEX(About!N$79:N$82,MATCH($B76,About!$A$79:$A$82,0),1)</f>
        <v>4642425</v>
      </c>
      <c r="S76" s="33">
        <f>SUMIFS(INDEX(Load,,MATCH('Summarized Source Data'!$C76,Hour,0)),Month,'Summarized Source Data'!$A76,Sector,'Summarized Source Data'!S$2,TimeOfWeek,$E76)*INDEX(About!O$79:O$82,MATCH($B76,About!$A$79:$A$82,0),1)</f>
        <v>4642425</v>
      </c>
      <c r="T76" s="33">
        <f>SUMIFS(INDEX(Load,,MATCH('Summarized Source Data'!$C76,Hour,0)),Month,'Summarized Source Data'!$A76,Sector,'Summarized Source Data'!T$2,TimeOfWeek,$E76)*INDEX(About!P$79:P$82,MATCH($B76,About!$A$79:$A$82,0),1)</f>
        <v>4642425</v>
      </c>
      <c r="U76" s="33">
        <f>SUMIFS(INDEX(Load,,MATCH('Summarized Source Data'!$C76,Hour,0)),Month,'Summarized Source Data'!$A76,Sector,'Summarized Source Data'!U$2,TimeOfWeek,$E76)*INDEX(About!Q$79:Q$82,MATCH($B76,About!$A$79:$A$82,0),1)</f>
        <v>4642425</v>
      </c>
      <c r="V76" s="33">
        <f>SUMIFS(INDEX(Load,,MATCH('Summarized Source Data'!$C76,Hour,0)),Month,'Summarized Source Data'!$A76,Sector,'Summarized Source Data'!V$2,TimeOfWeek,$E76)*INDEX(About!R$79:R$82,MATCH($B76,About!$A$79:$A$82,0),1)</f>
        <v>4642425</v>
      </c>
      <c r="W76" s="33">
        <f>SUMIFS(INDEX(Load,,MATCH('Summarized Source Data'!$C76,Hour,0)),Month,'Summarized Source Data'!$A76,Sector,'Summarized Source Data'!W$2,TimeOfWeek,$E76)*INDEX(About!S$79:S$82,MATCH($B76,About!$A$79:$A$82,0),1)</f>
        <v>4642425</v>
      </c>
      <c r="X76" s="27">
        <f>SUMIFS(INDEX(Load,,MATCH('Summarized Source Data'!$C76,Hour,0)),Month,'Summarized Source Data'!$A76,Sector,'Summarized Source Data'!X$2,Subsector,'Summarized Source Data'!X$3,TimeOfWeek,$E76)*INDEX(About!T$79:T$82,MATCH($B76,About!$A$79:$A$82,0),1)</f>
        <v>638000000</v>
      </c>
      <c r="Y76" s="29">
        <f t="shared" si="9"/>
        <v>638000000</v>
      </c>
      <c r="Z76" s="29">
        <f t="shared" si="9"/>
        <v>638000000</v>
      </c>
    </row>
    <row r="77" spans="1:26" outlineLevel="1" x14ac:dyDescent="0.3">
      <c r="A77">
        <f t="shared" si="5"/>
        <v>4</v>
      </c>
      <c r="B77" t="str">
        <f>INDEX('Category Mapping'!$G$28:$G$39,MATCH(A77,'Category Mapping'!$A$28:$A$39,0),1)</f>
        <v>Spring</v>
      </c>
      <c r="C77" t="s">
        <v>64</v>
      </c>
      <c r="D77" s="6" t="s">
        <v>139</v>
      </c>
      <c r="E77" t="s">
        <v>49</v>
      </c>
      <c r="F77" s="27">
        <f>SUMIFS(INDEX(Load,,MATCH('Summarized Source Data'!$C77,Hour,0)),Month,'Summarized Source Data'!$A77,Sector,'Summarized Source Data'!F$2,Subsector,'Summarized Source Data'!F$3,TimeOfWeek,$E77)*INDEX(About!B$79:B$82,MATCH($B77,About!$A$79:$A$82,0),1)</f>
        <v>5630222</v>
      </c>
      <c r="G77" s="27">
        <f>SUMIFS(INDEX(Load,,MATCH('Summarized Source Data'!$C77,Hour,0)),Month,'Summarized Source Data'!$A77,Sector,'Summarized Source Data'!G$2,Subsector,'Summarized Source Data'!G$3,TimeOfWeek,$E77)*INDEX(About!C$79:C$82,MATCH($B77,About!$A$79:$A$82,0),1)</f>
        <v>38146</v>
      </c>
      <c r="H77" s="27">
        <f>SUMIFS(INDEX(Load,,MATCH('Summarized Source Data'!$C77,Hour,0)),Month,'Summarized Source Data'!$A77,Sector,'Summarized Source Data'!H$2,Subsector,'Summarized Source Data'!H$3,TimeOfWeek,$E77)*INDEX(About!D$79:D$82,MATCH($B77,About!$A$79:$A$82,0),1)</f>
        <v>0</v>
      </c>
      <c r="I77" s="27">
        <f>SUMIFS(INDEX(Load,,MATCH('Summarized Source Data'!$C77,Hour,0)),Month,'Summarized Source Data'!$A77,Sector,'Summarized Source Data'!I$2,Subsector,'Summarized Source Data'!I$3,TimeOfWeek,$E77)*INDEX(About!E$79:E$82,MATCH($B77,About!$A$79:$A$82,0),1)</f>
        <v>9589808</v>
      </c>
      <c r="J77" s="54">
        <f t="shared" si="6"/>
        <v>52941824</v>
      </c>
      <c r="K77" s="27">
        <f>(SUMIFS(INDEX(Load,,MATCH('Summarized Source Data'!$C77,Hour,0)),Month,'Summarized Source Data'!$A77,Sector,'Summarized Source Data'!K$2,Subsector,"Total",TimeOfWeek,$E77)-SUM(F77:I77))*INDEX(About!G$79:G$82,MATCH($B77,About!$A$79:$A$82,0),1)</f>
        <v>52941824</v>
      </c>
      <c r="L77" s="27">
        <f>SUMIFS(INDEX(Load,,MATCH('Summarized Source Data'!$C77,Hour,0)),Month,'Summarized Source Data'!$A77,Sector,'Summarized Source Data'!L$2,Subsector,'Summarized Source Data'!L$3,TimeOfWeek,$E77)*INDEX(About!H$79:H$82,MATCH($B77,About!$A$79:$A$82,0),1)</f>
        <v>17500000</v>
      </c>
      <c r="M77" s="27">
        <f>SUMIFS(INDEX(Load,,MATCH('Summarized Source Data'!$C77,Hour,0)),Month,'Summarized Source Data'!$A77,Sector,'Summarized Source Data'!M$2,Subsector,'Summarized Source Data'!M$3,TimeOfWeek,$E77)*INDEX(About!I$79:I$82,MATCH($B77,About!$A$79:$A$82,0),1)</f>
        <v>400930</v>
      </c>
      <c r="N77" s="27">
        <f>SUMIFS(INDEX(Load,,MATCH('Summarized Source Data'!$C77,Hour,0)),Month,'Summarized Source Data'!$A77,Sector,'Summarized Source Data'!N$2,Subsector,'Summarized Source Data'!N$3,TimeOfWeek,$E77)*INDEX(About!J$79:J$82,MATCH($B77,About!$A$79:$A$82,0),1)</f>
        <v>0</v>
      </c>
      <c r="O77" s="29">
        <f t="shared" si="7"/>
        <v>149099070</v>
      </c>
      <c r="P77" s="27">
        <f>(SUMIFS(INDEX(Load,,MATCH('Summarized Source Data'!$C77,Hour,0)),Month,'Summarized Source Data'!$A77,Sector,'Summarized Source Data'!P$2,Subsector,"Total",TimeOfWeek,$E77)-SUM(L77:N77)*INDEX(About!L$79:L$82,MATCH($B77,About!$A$79:$A$82,0),1))</f>
        <v>149099070</v>
      </c>
      <c r="Q77" s="29">
        <f t="shared" si="8"/>
        <v>149099070</v>
      </c>
      <c r="R77" s="33">
        <f>SUMIFS(INDEX(Load,,MATCH('Summarized Source Data'!$C77,Hour,0)),Month,'Summarized Source Data'!$A77,Sector,'Summarized Source Data'!R$2,TimeOfWeek,$E77)*INDEX(About!N$79:N$82,MATCH($B77,About!$A$79:$A$82,0),1)</f>
        <v>4574605</v>
      </c>
      <c r="S77" s="33">
        <f>SUMIFS(INDEX(Load,,MATCH('Summarized Source Data'!$C77,Hour,0)),Month,'Summarized Source Data'!$A77,Sector,'Summarized Source Data'!S$2,TimeOfWeek,$E77)*INDEX(About!O$79:O$82,MATCH($B77,About!$A$79:$A$82,0),1)</f>
        <v>4574605</v>
      </c>
      <c r="T77" s="33">
        <f>SUMIFS(INDEX(Load,,MATCH('Summarized Source Data'!$C77,Hour,0)),Month,'Summarized Source Data'!$A77,Sector,'Summarized Source Data'!T$2,TimeOfWeek,$E77)*INDEX(About!P$79:P$82,MATCH($B77,About!$A$79:$A$82,0),1)</f>
        <v>4574605</v>
      </c>
      <c r="U77" s="33">
        <f>SUMIFS(INDEX(Load,,MATCH('Summarized Source Data'!$C77,Hour,0)),Month,'Summarized Source Data'!$A77,Sector,'Summarized Source Data'!U$2,TimeOfWeek,$E77)*INDEX(About!Q$79:Q$82,MATCH($B77,About!$A$79:$A$82,0),1)</f>
        <v>4574605</v>
      </c>
      <c r="V77" s="33">
        <f>SUMIFS(INDEX(Load,,MATCH('Summarized Source Data'!$C77,Hour,0)),Month,'Summarized Source Data'!$A77,Sector,'Summarized Source Data'!V$2,TimeOfWeek,$E77)*INDEX(About!R$79:R$82,MATCH($B77,About!$A$79:$A$82,0),1)</f>
        <v>4574605</v>
      </c>
      <c r="W77" s="33">
        <f>SUMIFS(INDEX(Load,,MATCH('Summarized Source Data'!$C77,Hour,0)),Month,'Summarized Source Data'!$A77,Sector,'Summarized Source Data'!W$2,TimeOfWeek,$E77)*INDEX(About!S$79:S$82,MATCH($B77,About!$A$79:$A$82,0),1)</f>
        <v>4574605</v>
      </c>
      <c r="X77" s="27">
        <f>SUMIFS(INDEX(Load,,MATCH('Summarized Source Data'!$C77,Hour,0)),Month,'Summarized Source Data'!$A77,Sector,'Summarized Source Data'!X$2,Subsector,'Summarized Source Data'!X$3,TimeOfWeek,$E77)*INDEX(About!T$79:T$82,MATCH($B77,About!$A$79:$A$82,0),1)</f>
        <v>637000000</v>
      </c>
      <c r="Y77" s="29">
        <f t="shared" si="9"/>
        <v>637000000</v>
      </c>
      <c r="Z77" s="29">
        <f t="shared" si="9"/>
        <v>637000000</v>
      </c>
    </row>
    <row r="78" spans="1:26" outlineLevel="1" x14ac:dyDescent="0.3">
      <c r="A78">
        <f t="shared" si="5"/>
        <v>4</v>
      </c>
      <c r="B78" t="str">
        <f>INDEX('Category Mapping'!$G$28:$G$39,MATCH(A78,'Category Mapping'!$A$28:$A$39,0),1)</f>
        <v>Spring</v>
      </c>
      <c r="C78" t="s">
        <v>65</v>
      </c>
      <c r="D78" s="6" t="s">
        <v>140</v>
      </c>
      <c r="E78" t="s">
        <v>49</v>
      </c>
      <c r="F78" s="27">
        <f>SUMIFS(INDEX(Load,,MATCH('Summarized Source Data'!$C78,Hour,0)),Month,'Summarized Source Data'!$A78,Sector,'Summarized Source Data'!F$2,Subsector,'Summarized Source Data'!F$3,TimeOfWeek,$E78)*INDEX(About!B$79:B$82,MATCH($B78,About!$A$79:$A$82,0),1)</f>
        <v>5695999</v>
      </c>
      <c r="G78" s="27">
        <f>SUMIFS(INDEX(Load,,MATCH('Summarized Source Data'!$C78,Hour,0)),Month,'Summarized Source Data'!$A78,Sector,'Summarized Source Data'!G$2,Subsector,'Summarized Source Data'!G$3,TimeOfWeek,$E78)*INDEX(About!C$79:C$82,MATCH($B78,About!$A$79:$A$82,0),1)</f>
        <v>38292</v>
      </c>
      <c r="H78" s="27">
        <f>SUMIFS(INDEX(Load,,MATCH('Summarized Source Data'!$C78,Hour,0)),Month,'Summarized Source Data'!$A78,Sector,'Summarized Source Data'!H$2,Subsector,'Summarized Source Data'!H$3,TimeOfWeek,$E78)*INDEX(About!D$79:D$82,MATCH($B78,About!$A$79:$A$82,0),1)</f>
        <v>0</v>
      </c>
      <c r="I78" s="27">
        <f>SUMIFS(INDEX(Load,,MATCH('Summarized Source Data'!$C78,Hour,0)),Month,'Summarized Source Data'!$A78,Sector,'Summarized Source Data'!I$2,Subsector,'Summarized Source Data'!I$3,TimeOfWeek,$E78)*INDEX(About!E$79:E$82,MATCH($B78,About!$A$79:$A$82,0),1)</f>
        <v>9495704</v>
      </c>
      <c r="J78" s="54">
        <f t="shared" si="6"/>
        <v>42370005</v>
      </c>
      <c r="K78" s="27">
        <f>(SUMIFS(INDEX(Load,,MATCH('Summarized Source Data'!$C78,Hour,0)),Month,'Summarized Source Data'!$A78,Sector,'Summarized Source Data'!K$2,Subsector,"Total",TimeOfWeek,$E78)-SUM(F78:I78))*INDEX(About!G$79:G$82,MATCH($B78,About!$A$79:$A$82,0),1)</f>
        <v>42370005</v>
      </c>
      <c r="L78" s="27">
        <f>SUMIFS(INDEX(Load,,MATCH('Summarized Source Data'!$C78,Hour,0)),Month,'Summarized Source Data'!$A78,Sector,'Summarized Source Data'!L$2,Subsector,'Summarized Source Data'!L$3,TimeOfWeek,$E78)*INDEX(About!H$79:H$82,MATCH($B78,About!$A$79:$A$82,0),1)</f>
        <v>17700000</v>
      </c>
      <c r="M78" s="27">
        <f>SUMIFS(INDEX(Load,,MATCH('Summarized Source Data'!$C78,Hour,0)),Month,'Summarized Source Data'!$A78,Sector,'Summarized Source Data'!M$2,Subsector,'Summarized Source Data'!M$3,TimeOfWeek,$E78)*INDEX(About!I$79:I$82,MATCH($B78,About!$A$79:$A$82,0),1)</f>
        <v>390806</v>
      </c>
      <c r="N78" s="27">
        <f>SUMIFS(INDEX(Load,,MATCH('Summarized Source Data'!$C78,Hour,0)),Month,'Summarized Source Data'!$A78,Sector,'Summarized Source Data'!N$2,Subsector,'Summarized Source Data'!N$3,TimeOfWeek,$E78)*INDEX(About!J$79:J$82,MATCH($B78,About!$A$79:$A$82,0),1)</f>
        <v>0</v>
      </c>
      <c r="O78" s="29">
        <f t="shared" si="7"/>
        <v>148909194</v>
      </c>
      <c r="P78" s="27">
        <f>(SUMIFS(INDEX(Load,,MATCH('Summarized Source Data'!$C78,Hour,0)),Month,'Summarized Source Data'!$A78,Sector,'Summarized Source Data'!P$2,Subsector,"Total",TimeOfWeek,$E78)-SUM(L78:N78)*INDEX(About!L$79:L$82,MATCH($B78,About!$A$79:$A$82,0),1))</f>
        <v>148909194</v>
      </c>
      <c r="Q78" s="29">
        <f t="shared" si="8"/>
        <v>148909194</v>
      </c>
      <c r="R78" s="33">
        <f>SUMIFS(INDEX(Load,,MATCH('Summarized Source Data'!$C78,Hour,0)),Month,'Summarized Source Data'!$A78,Sector,'Summarized Source Data'!R$2,TimeOfWeek,$E78)*INDEX(About!N$79:N$82,MATCH($B78,About!$A$79:$A$82,0),1)</f>
        <v>4557187</v>
      </c>
      <c r="S78" s="33">
        <f>SUMIFS(INDEX(Load,,MATCH('Summarized Source Data'!$C78,Hour,0)),Month,'Summarized Source Data'!$A78,Sector,'Summarized Source Data'!S$2,TimeOfWeek,$E78)*INDEX(About!O$79:O$82,MATCH($B78,About!$A$79:$A$82,0),1)</f>
        <v>4557187</v>
      </c>
      <c r="T78" s="33">
        <f>SUMIFS(INDEX(Load,,MATCH('Summarized Source Data'!$C78,Hour,0)),Month,'Summarized Source Data'!$A78,Sector,'Summarized Source Data'!T$2,TimeOfWeek,$E78)*INDEX(About!P$79:P$82,MATCH($B78,About!$A$79:$A$82,0),1)</f>
        <v>4557187</v>
      </c>
      <c r="U78" s="33">
        <f>SUMIFS(INDEX(Load,,MATCH('Summarized Source Data'!$C78,Hour,0)),Month,'Summarized Source Data'!$A78,Sector,'Summarized Source Data'!U$2,TimeOfWeek,$E78)*INDEX(About!Q$79:Q$82,MATCH($B78,About!$A$79:$A$82,0),1)</f>
        <v>4557187</v>
      </c>
      <c r="V78" s="33">
        <f>SUMIFS(INDEX(Load,,MATCH('Summarized Source Data'!$C78,Hour,0)),Month,'Summarized Source Data'!$A78,Sector,'Summarized Source Data'!V$2,TimeOfWeek,$E78)*INDEX(About!R$79:R$82,MATCH($B78,About!$A$79:$A$82,0),1)</f>
        <v>4557187</v>
      </c>
      <c r="W78" s="33">
        <f>SUMIFS(INDEX(Load,,MATCH('Summarized Source Data'!$C78,Hour,0)),Month,'Summarized Source Data'!$A78,Sector,'Summarized Source Data'!W$2,TimeOfWeek,$E78)*INDEX(About!S$79:S$82,MATCH($B78,About!$A$79:$A$82,0),1)</f>
        <v>4557187</v>
      </c>
      <c r="X78" s="27">
        <f>SUMIFS(INDEX(Load,,MATCH('Summarized Source Data'!$C78,Hour,0)),Month,'Summarized Source Data'!$A78,Sector,'Summarized Source Data'!X$2,Subsector,'Summarized Source Data'!X$3,TimeOfWeek,$E78)*INDEX(About!T$79:T$82,MATCH($B78,About!$A$79:$A$82,0),1)</f>
        <v>637000000</v>
      </c>
      <c r="Y78" s="29">
        <f t="shared" si="9"/>
        <v>637000000</v>
      </c>
      <c r="Z78" s="29">
        <f t="shared" si="9"/>
        <v>637000000</v>
      </c>
    </row>
    <row r="79" spans="1:26" outlineLevel="1" x14ac:dyDescent="0.3">
      <c r="A79">
        <f t="shared" si="5"/>
        <v>4</v>
      </c>
      <c r="B79" t="str">
        <f>INDEX('Category Mapping'!$G$28:$G$39,MATCH(A79,'Category Mapping'!$A$28:$A$39,0),1)</f>
        <v>Spring</v>
      </c>
      <c r="C79" t="s">
        <v>66</v>
      </c>
      <c r="D79" s="6" t="s">
        <v>141</v>
      </c>
      <c r="E79" t="s">
        <v>49</v>
      </c>
      <c r="F79" s="27">
        <f>SUMIFS(INDEX(Load,,MATCH('Summarized Source Data'!$C79,Hour,0)),Month,'Summarized Source Data'!$A79,Sector,'Summarized Source Data'!F$2,Subsector,'Summarized Source Data'!F$3,TimeOfWeek,$E79)*INDEX(About!B$79:B$82,MATCH($B79,About!$A$79:$A$82,0),1)</f>
        <v>5630222</v>
      </c>
      <c r="G79" s="27">
        <f>SUMIFS(INDEX(Load,,MATCH('Summarized Source Data'!$C79,Hour,0)),Month,'Summarized Source Data'!$A79,Sector,'Summarized Source Data'!G$2,Subsector,'Summarized Source Data'!G$3,TimeOfWeek,$E79)*INDEX(About!C$79:C$82,MATCH($B79,About!$A$79:$A$82,0),1)</f>
        <v>38314</v>
      </c>
      <c r="H79" s="27">
        <f>SUMIFS(INDEX(Load,,MATCH('Summarized Source Data'!$C79,Hour,0)),Month,'Summarized Source Data'!$A79,Sector,'Summarized Source Data'!H$2,Subsector,'Summarized Source Data'!H$3,TimeOfWeek,$E79)*INDEX(About!D$79:D$82,MATCH($B79,About!$A$79:$A$82,0),1)</f>
        <v>0</v>
      </c>
      <c r="I79" s="27">
        <f>SUMIFS(INDEX(Load,,MATCH('Summarized Source Data'!$C79,Hour,0)),Month,'Summarized Source Data'!$A79,Sector,'Summarized Source Data'!I$2,Subsector,'Summarized Source Data'!I$3,TimeOfWeek,$E79)*INDEX(About!E$79:E$82,MATCH($B79,About!$A$79:$A$82,0),1)</f>
        <v>9707388</v>
      </c>
      <c r="J79" s="54">
        <f t="shared" si="6"/>
        <v>36624076</v>
      </c>
      <c r="K79" s="27">
        <f>(SUMIFS(INDEX(Load,,MATCH('Summarized Source Data'!$C79,Hour,0)),Month,'Summarized Source Data'!$A79,Sector,'Summarized Source Data'!K$2,Subsector,"Total",TimeOfWeek,$E79)-SUM(F79:I79))*INDEX(About!G$79:G$82,MATCH($B79,About!$A$79:$A$82,0),1)</f>
        <v>36624076</v>
      </c>
      <c r="L79" s="27">
        <f>SUMIFS(INDEX(Load,,MATCH('Summarized Source Data'!$C79,Hour,0)),Month,'Summarized Source Data'!$A79,Sector,'Summarized Source Data'!L$2,Subsector,'Summarized Source Data'!L$3,TimeOfWeek,$E79)*INDEX(About!H$79:H$82,MATCH($B79,About!$A$79:$A$82,0),1)</f>
        <v>18000000</v>
      </c>
      <c r="M79" s="27">
        <f>SUMIFS(INDEX(Load,,MATCH('Summarized Source Data'!$C79,Hour,0)),Month,'Summarized Source Data'!$A79,Sector,'Summarized Source Data'!M$2,Subsector,'Summarized Source Data'!M$3,TimeOfWeek,$E79)*INDEX(About!I$79:I$82,MATCH($B79,About!$A$79:$A$82,0),1)</f>
        <v>385096</v>
      </c>
      <c r="N79" s="27">
        <f>SUMIFS(INDEX(Load,,MATCH('Summarized Source Data'!$C79,Hour,0)),Month,'Summarized Source Data'!$A79,Sector,'Summarized Source Data'!N$2,Subsector,'Summarized Source Data'!N$3,TimeOfWeek,$E79)*INDEX(About!J$79:J$82,MATCH($B79,About!$A$79:$A$82,0),1)</f>
        <v>0</v>
      </c>
      <c r="O79" s="29">
        <f t="shared" si="7"/>
        <v>155614904</v>
      </c>
      <c r="P79" s="27">
        <f>(SUMIFS(INDEX(Load,,MATCH('Summarized Source Data'!$C79,Hour,0)),Month,'Summarized Source Data'!$A79,Sector,'Summarized Source Data'!P$2,Subsector,"Total",TimeOfWeek,$E79)-SUM(L79:N79)*INDEX(About!L$79:L$82,MATCH($B79,About!$A$79:$A$82,0),1))</f>
        <v>155614904</v>
      </c>
      <c r="Q79" s="29">
        <f t="shared" si="8"/>
        <v>155614904</v>
      </c>
      <c r="R79" s="33">
        <f>SUMIFS(INDEX(Load,,MATCH('Summarized Source Data'!$C79,Hour,0)),Month,'Summarized Source Data'!$A79,Sector,'Summarized Source Data'!R$2,TimeOfWeek,$E79)*INDEX(About!N$79:N$82,MATCH($B79,About!$A$79:$A$82,0),1)</f>
        <v>4573223</v>
      </c>
      <c r="S79" s="33">
        <f>SUMIFS(INDEX(Load,,MATCH('Summarized Source Data'!$C79,Hour,0)),Month,'Summarized Source Data'!$A79,Sector,'Summarized Source Data'!S$2,TimeOfWeek,$E79)*INDEX(About!O$79:O$82,MATCH($B79,About!$A$79:$A$82,0),1)</f>
        <v>4573223</v>
      </c>
      <c r="T79" s="33">
        <f>SUMIFS(INDEX(Load,,MATCH('Summarized Source Data'!$C79,Hour,0)),Month,'Summarized Source Data'!$A79,Sector,'Summarized Source Data'!T$2,TimeOfWeek,$E79)*INDEX(About!P$79:P$82,MATCH($B79,About!$A$79:$A$82,0),1)</f>
        <v>4573223</v>
      </c>
      <c r="U79" s="33">
        <f>SUMIFS(INDEX(Load,,MATCH('Summarized Source Data'!$C79,Hour,0)),Month,'Summarized Source Data'!$A79,Sector,'Summarized Source Data'!U$2,TimeOfWeek,$E79)*INDEX(About!Q$79:Q$82,MATCH($B79,About!$A$79:$A$82,0),1)</f>
        <v>4573223</v>
      </c>
      <c r="V79" s="33">
        <f>SUMIFS(INDEX(Load,,MATCH('Summarized Source Data'!$C79,Hour,0)),Month,'Summarized Source Data'!$A79,Sector,'Summarized Source Data'!V$2,TimeOfWeek,$E79)*INDEX(About!R$79:R$82,MATCH($B79,About!$A$79:$A$82,0),1)</f>
        <v>4573223</v>
      </c>
      <c r="W79" s="33">
        <f>SUMIFS(INDEX(Load,,MATCH('Summarized Source Data'!$C79,Hour,0)),Month,'Summarized Source Data'!$A79,Sector,'Summarized Source Data'!W$2,TimeOfWeek,$E79)*INDEX(About!S$79:S$82,MATCH($B79,About!$A$79:$A$82,0),1)</f>
        <v>4573223</v>
      </c>
      <c r="X79" s="27">
        <f>SUMIFS(INDEX(Load,,MATCH('Summarized Source Data'!$C79,Hour,0)),Month,'Summarized Source Data'!$A79,Sector,'Summarized Source Data'!X$2,Subsector,'Summarized Source Data'!X$3,TimeOfWeek,$E79)*INDEX(About!T$79:T$82,MATCH($B79,About!$A$79:$A$82,0),1)</f>
        <v>637000000</v>
      </c>
      <c r="Y79" s="29">
        <f t="shared" si="9"/>
        <v>637000000</v>
      </c>
      <c r="Z79" s="29">
        <f t="shared" si="9"/>
        <v>637000000</v>
      </c>
    </row>
    <row r="80" spans="1:26" outlineLevel="1" x14ac:dyDescent="0.3">
      <c r="A80">
        <f t="shared" si="5"/>
        <v>4</v>
      </c>
      <c r="B80" t="str">
        <f>INDEX('Category Mapping'!$G$28:$G$39,MATCH(A80,'Category Mapping'!$A$28:$A$39,0),1)</f>
        <v>Spring</v>
      </c>
      <c r="C80" t="s">
        <v>67</v>
      </c>
      <c r="D80" s="6" t="s">
        <v>142</v>
      </c>
      <c r="E80" t="s">
        <v>49</v>
      </c>
      <c r="F80" s="27">
        <f>SUMIFS(INDEX(Load,,MATCH('Summarized Source Data'!$C80,Hour,0)),Month,'Summarized Source Data'!$A80,Sector,'Summarized Source Data'!F$2,Subsector,'Summarized Source Data'!F$3,TimeOfWeek,$E80)*INDEX(About!B$79:B$82,MATCH($B80,About!$A$79:$A$82,0),1)</f>
        <v>5437090</v>
      </c>
      <c r="G80" s="27">
        <f>SUMIFS(INDEX(Load,,MATCH('Summarized Source Data'!$C80,Hour,0)),Month,'Summarized Source Data'!$A80,Sector,'Summarized Source Data'!G$2,Subsector,'Summarized Source Data'!G$3,TimeOfWeek,$E80)*INDEX(About!C$79:C$82,MATCH($B80,About!$A$79:$A$82,0),1)</f>
        <v>37344</v>
      </c>
      <c r="H80" s="27">
        <f>SUMIFS(INDEX(Load,,MATCH('Summarized Source Data'!$C80,Hour,0)),Month,'Summarized Source Data'!$A80,Sector,'Summarized Source Data'!H$2,Subsector,'Summarized Source Data'!H$3,TimeOfWeek,$E80)*INDEX(About!D$79:D$82,MATCH($B80,About!$A$79:$A$82,0),1)</f>
        <v>0</v>
      </c>
      <c r="I80" s="27">
        <f>SUMIFS(INDEX(Load,,MATCH('Summarized Source Data'!$C80,Hour,0)),Month,'Summarized Source Data'!$A80,Sector,'Summarized Source Data'!I$2,Subsector,'Summarized Source Data'!I$3,TimeOfWeek,$E80)*INDEX(About!E$79:E$82,MATCH($B80,About!$A$79:$A$82,0),1)</f>
        <v>12500000</v>
      </c>
      <c r="J80" s="54">
        <f t="shared" si="6"/>
        <v>38625566</v>
      </c>
      <c r="K80" s="27">
        <f>(SUMIFS(INDEX(Load,,MATCH('Summarized Source Data'!$C80,Hour,0)),Month,'Summarized Source Data'!$A80,Sector,'Summarized Source Data'!K$2,Subsector,"Total",TimeOfWeek,$E80)-SUM(F80:I80))*INDEX(About!G$79:G$82,MATCH($B80,About!$A$79:$A$82,0),1)</f>
        <v>38625566</v>
      </c>
      <c r="L80" s="27">
        <f>SUMIFS(INDEX(Load,,MATCH('Summarized Source Data'!$C80,Hour,0)),Month,'Summarized Source Data'!$A80,Sector,'Summarized Source Data'!L$2,Subsector,'Summarized Source Data'!L$3,TimeOfWeek,$E80)*INDEX(About!H$79:H$82,MATCH($B80,About!$A$79:$A$82,0),1)</f>
        <v>17600000</v>
      </c>
      <c r="M80" s="27">
        <f>SUMIFS(INDEX(Load,,MATCH('Summarized Source Data'!$C80,Hour,0)),Month,'Summarized Source Data'!$A80,Sector,'Summarized Source Data'!M$2,Subsector,'Summarized Source Data'!M$3,TimeOfWeek,$E80)*INDEX(About!I$79:I$82,MATCH($B80,About!$A$79:$A$82,0),1)</f>
        <v>383866</v>
      </c>
      <c r="N80" s="27">
        <f>SUMIFS(INDEX(Load,,MATCH('Summarized Source Data'!$C80,Hour,0)),Month,'Summarized Source Data'!$A80,Sector,'Summarized Source Data'!N$2,Subsector,'Summarized Source Data'!N$3,TimeOfWeek,$E80)*INDEX(About!J$79:J$82,MATCH($B80,About!$A$79:$A$82,0),1)</f>
        <v>0</v>
      </c>
      <c r="O80" s="29">
        <f t="shared" si="7"/>
        <v>165016134</v>
      </c>
      <c r="P80" s="27">
        <f>(SUMIFS(INDEX(Load,,MATCH('Summarized Source Data'!$C80,Hour,0)),Month,'Summarized Source Data'!$A80,Sector,'Summarized Source Data'!P$2,Subsector,"Total",TimeOfWeek,$E80)-SUM(L80:N80)*INDEX(About!L$79:L$82,MATCH($B80,About!$A$79:$A$82,0),1))</f>
        <v>165016134</v>
      </c>
      <c r="Q80" s="29">
        <f t="shared" si="8"/>
        <v>165016134</v>
      </c>
      <c r="R80" s="33">
        <f>SUMIFS(INDEX(Load,,MATCH('Summarized Source Data'!$C80,Hour,0)),Month,'Summarized Source Data'!$A80,Sector,'Summarized Source Data'!R$2,TimeOfWeek,$E80)*INDEX(About!N$79:N$82,MATCH($B80,About!$A$79:$A$82,0),1)</f>
        <v>4555750</v>
      </c>
      <c r="S80" s="33">
        <f>SUMIFS(INDEX(Load,,MATCH('Summarized Source Data'!$C80,Hour,0)),Month,'Summarized Source Data'!$A80,Sector,'Summarized Source Data'!S$2,TimeOfWeek,$E80)*INDEX(About!O$79:O$82,MATCH($B80,About!$A$79:$A$82,0),1)</f>
        <v>4555750</v>
      </c>
      <c r="T80" s="33">
        <f>SUMIFS(INDEX(Load,,MATCH('Summarized Source Data'!$C80,Hour,0)),Month,'Summarized Source Data'!$A80,Sector,'Summarized Source Data'!T$2,TimeOfWeek,$E80)*INDEX(About!P$79:P$82,MATCH($B80,About!$A$79:$A$82,0),1)</f>
        <v>4555750</v>
      </c>
      <c r="U80" s="33">
        <f>SUMIFS(INDEX(Load,,MATCH('Summarized Source Data'!$C80,Hour,0)),Month,'Summarized Source Data'!$A80,Sector,'Summarized Source Data'!U$2,TimeOfWeek,$E80)*INDEX(About!Q$79:Q$82,MATCH($B80,About!$A$79:$A$82,0),1)</f>
        <v>4555750</v>
      </c>
      <c r="V80" s="33">
        <f>SUMIFS(INDEX(Load,,MATCH('Summarized Source Data'!$C80,Hour,0)),Month,'Summarized Source Data'!$A80,Sector,'Summarized Source Data'!V$2,TimeOfWeek,$E80)*INDEX(About!R$79:R$82,MATCH($B80,About!$A$79:$A$82,0),1)</f>
        <v>4555750</v>
      </c>
      <c r="W80" s="33">
        <f>SUMIFS(INDEX(Load,,MATCH('Summarized Source Data'!$C80,Hour,0)),Month,'Summarized Source Data'!$A80,Sector,'Summarized Source Data'!W$2,TimeOfWeek,$E80)*INDEX(About!S$79:S$82,MATCH($B80,About!$A$79:$A$82,0),1)</f>
        <v>4555750</v>
      </c>
      <c r="X80" s="27">
        <f>SUMIFS(INDEX(Load,,MATCH('Summarized Source Data'!$C80,Hour,0)),Month,'Summarized Source Data'!$A80,Sector,'Summarized Source Data'!X$2,Subsector,'Summarized Source Data'!X$3,TimeOfWeek,$E80)*INDEX(About!T$79:T$82,MATCH($B80,About!$A$79:$A$82,0),1)</f>
        <v>639000000</v>
      </c>
      <c r="Y80" s="29">
        <f t="shared" si="9"/>
        <v>639000000</v>
      </c>
      <c r="Z80" s="29">
        <f t="shared" si="9"/>
        <v>639000000</v>
      </c>
    </row>
    <row r="81" spans="1:26" outlineLevel="1" x14ac:dyDescent="0.3">
      <c r="A81">
        <f t="shared" si="5"/>
        <v>4</v>
      </c>
      <c r="B81" t="str">
        <f>INDEX('Category Mapping'!$G$28:$G$39,MATCH(A81,'Category Mapping'!$A$28:$A$39,0),1)</f>
        <v>Spring</v>
      </c>
      <c r="C81" t="s">
        <v>68</v>
      </c>
      <c r="D81" s="6" t="s">
        <v>143</v>
      </c>
      <c r="E81" t="s">
        <v>49</v>
      </c>
      <c r="F81" s="27">
        <f>SUMIFS(INDEX(Load,,MATCH('Summarized Source Data'!$C81,Hour,0)),Month,'Summarized Source Data'!$A81,Sector,'Summarized Source Data'!F$2,Subsector,'Summarized Source Data'!F$3,TimeOfWeek,$E81)*INDEX(About!B$79:B$82,MATCH($B81,About!$A$79:$A$82,0),1)</f>
        <v>7581491</v>
      </c>
      <c r="G81" s="27">
        <f>SUMIFS(INDEX(Load,,MATCH('Summarized Source Data'!$C81,Hour,0)),Month,'Summarized Source Data'!$A81,Sector,'Summarized Source Data'!G$2,Subsector,'Summarized Source Data'!G$3,TimeOfWeek,$E81)*INDEX(About!C$79:C$82,MATCH($B81,About!$A$79:$A$82,0),1)</f>
        <v>34337</v>
      </c>
      <c r="H81" s="27">
        <f>SUMIFS(INDEX(Load,,MATCH('Summarized Source Data'!$C81,Hour,0)),Month,'Summarized Source Data'!$A81,Sector,'Summarized Source Data'!H$2,Subsector,'Summarized Source Data'!H$3,TimeOfWeek,$E81)*INDEX(About!D$79:D$82,MATCH($B81,About!$A$79:$A$82,0),1)</f>
        <v>0</v>
      </c>
      <c r="I81" s="27">
        <f>SUMIFS(INDEX(Load,,MATCH('Summarized Source Data'!$C81,Hour,0)),Month,'Summarized Source Data'!$A81,Sector,'Summarized Source Data'!I$2,Subsector,'Summarized Source Data'!I$3,TimeOfWeek,$E81)*INDEX(About!E$79:E$82,MATCH($B81,About!$A$79:$A$82,0),1)</f>
        <v>21500000</v>
      </c>
      <c r="J81" s="54">
        <f t="shared" si="6"/>
        <v>53284172</v>
      </c>
      <c r="K81" s="27">
        <f>(SUMIFS(INDEX(Load,,MATCH('Summarized Source Data'!$C81,Hour,0)),Month,'Summarized Source Data'!$A81,Sector,'Summarized Source Data'!K$2,Subsector,"Total",TimeOfWeek,$E81)-SUM(F81:I81))*INDEX(About!G$79:G$82,MATCH($B81,About!$A$79:$A$82,0),1)</f>
        <v>53284172</v>
      </c>
      <c r="L81" s="27">
        <f>SUMIFS(INDEX(Load,,MATCH('Summarized Source Data'!$C81,Hour,0)),Month,'Summarized Source Data'!$A81,Sector,'Summarized Source Data'!L$2,Subsector,'Summarized Source Data'!L$3,TimeOfWeek,$E81)*INDEX(About!H$79:H$82,MATCH($B81,About!$A$79:$A$82,0),1)</f>
        <v>29300000</v>
      </c>
      <c r="M81" s="27">
        <f>SUMIFS(INDEX(Load,,MATCH('Summarized Source Data'!$C81,Hour,0)),Month,'Summarized Source Data'!$A81,Sector,'Summarized Source Data'!M$2,Subsector,'Summarized Source Data'!M$3,TimeOfWeek,$E81)*INDEX(About!I$79:I$82,MATCH($B81,About!$A$79:$A$82,0),1)</f>
        <v>395865</v>
      </c>
      <c r="N81" s="27">
        <f>SUMIFS(INDEX(Load,,MATCH('Summarized Source Data'!$C81,Hour,0)),Month,'Summarized Source Data'!$A81,Sector,'Summarized Source Data'!N$2,Subsector,'Summarized Source Data'!N$3,TimeOfWeek,$E81)*INDEX(About!J$79:J$82,MATCH($B81,About!$A$79:$A$82,0),1)</f>
        <v>0</v>
      </c>
      <c r="O81" s="29">
        <f t="shared" si="7"/>
        <v>192304135</v>
      </c>
      <c r="P81" s="27">
        <f>(SUMIFS(INDEX(Load,,MATCH('Summarized Source Data'!$C81,Hour,0)),Month,'Summarized Source Data'!$A81,Sector,'Summarized Source Data'!P$2,Subsector,"Total",TimeOfWeek,$E81)-SUM(L81:N81)*INDEX(About!L$79:L$82,MATCH($B81,About!$A$79:$A$82,0),1))</f>
        <v>192304135</v>
      </c>
      <c r="Q81" s="29">
        <f t="shared" si="8"/>
        <v>192304135</v>
      </c>
      <c r="R81" s="33">
        <f>SUMIFS(INDEX(Load,,MATCH('Summarized Source Data'!$C81,Hour,0)),Month,'Summarized Source Data'!$A81,Sector,'Summarized Source Data'!R$2,TimeOfWeek,$E81)*INDEX(About!N$79:N$82,MATCH($B81,About!$A$79:$A$82,0),1)</f>
        <v>4688957</v>
      </c>
      <c r="S81" s="33">
        <f>SUMIFS(INDEX(Load,,MATCH('Summarized Source Data'!$C81,Hour,0)),Month,'Summarized Source Data'!$A81,Sector,'Summarized Source Data'!S$2,TimeOfWeek,$E81)*INDEX(About!O$79:O$82,MATCH($B81,About!$A$79:$A$82,0),1)</f>
        <v>4688957</v>
      </c>
      <c r="T81" s="33">
        <f>SUMIFS(INDEX(Load,,MATCH('Summarized Source Data'!$C81,Hour,0)),Month,'Summarized Source Data'!$A81,Sector,'Summarized Source Data'!T$2,TimeOfWeek,$E81)*INDEX(About!P$79:P$82,MATCH($B81,About!$A$79:$A$82,0),1)</f>
        <v>4688957</v>
      </c>
      <c r="U81" s="33">
        <f>SUMIFS(INDEX(Load,,MATCH('Summarized Source Data'!$C81,Hour,0)),Month,'Summarized Source Data'!$A81,Sector,'Summarized Source Data'!U$2,TimeOfWeek,$E81)*INDEX(About!Q$79:Q$82,MATCH($B81,About!$A$79:$A$82,0),1)</f>
        <v>4688957</v>
      </c>
      <c r="V81" s="33">
        <f>SUMIFS(INDEX(Load,,MATCH('Summarized Source Data'!$C81,Hour,0)),Month,'Summarized Source Data'!$A81,Sector,'Summarized Source Data'!V$2,TimeOfWeek,$E81)*INDEX(About!R$79:R$82,MATCH($B81,About!$A$79:$A$82,0),1)</f>
        <v>4688957</v>
      </c>
      <c r="W81" s="33">
        <f>SUMIFS(INDEX(Load,,MATCH('Summarized Source Data'!$C81,Hour,0)),Month,'Summarized Source Data'!$A81,Sector,'Summarized Source Data'!W$2,TimeOfWeek,$E81)*INDEX(About!S$79:S$82,MATCH($B81,About!$A$79:$A$82,0),1)</f>
        <v>4688957</v>
      </c>
      <c r="X81" s="27">
        <f>SUMIFS(INDEX(Load,,MATCH('Summarized Source Data'!$C81,Hour,0)),Month,'Summarized Source Data'!$A81,Sector,'Summarized Source Data'!X$2,Subsector,'Summarized Source Data'!X$3,TimeOfWeek,$E81)*INDEX(About!T$79:T$82,MATCH($B81,About!$A$79:$A$82,0),1)</f>
        <v>643000000</v>
      </c>
      <c r="Y81" s="29">
        <f t="shared" si="9"/>
        <v>643000000</v>
      </c>
      <c r="Z81" s="29">
        <f t="shared" si="9"/>
        <v>643000000</v>
      </c>
    </row>
    <row r="82" spans="1:26" outlineLevel="1" x14ac:dyDescent="0.3">
      <c r="A82">
        <f t="shared" si="5"/>
        <v>4</v>
      </c>
      <c r="B82" t="str">
        <f>INDEX('Category Mapping'!$G$28:$G$39,MATCH(A82,'Category Mapping'!$A$28:$A$39,0),1)</f>
        <v>Spring</v>
      </c>
      <c r="C82" t="s">
        <v>69</v>
      </c>
      <c r="D82" s="6" t="s">
        <v>144</v>
      </c>
      <c r="E82" t="s">
        <v>49</v>
      </c>
      <c r="F82" s="27">
        <f>SUMIFS(INDEX(Load,,MATCH('Summarized Source Data'!$C82,Hour,0)),Month,'Summarized Source Data'!$A82,Sector,'Summarized Source Data'!F$2,Subsector,'Summarized Source Data'!F$3,TimeOfWeek,$E82)*INDEX(About!B$79:B$82,MATCH($B82,About!$A$79:$A$82,0),1)</f>
        <v>8446843</v>
      </c>
      <c r="G82" s="27">
        <f>SUMIFS(INDEX(Load,,MATCH('Summarized Source Data'!$C82,Hour,0)),Month,'Summarized Source Data'!$A82,Sector,'Summarized Source Data'!G$2,Subsector,'Summarized Source Data'!G$3,TimeOfWeek,$E82)*INDEX(About!C$79:C$82,MATCH($B82,About!$A$79:$A$82,0),1)</f>
        <v>28051</v>
      </c>
      <c r="H82" s="27">
        <f>SUMIFS(INDEX(Load,,MATCH('Summarized Source Data'!$C82,Hour,0)),Month,'Summarized Source Data'!$A82,Sector,'Summarized Source Data'!H$2,Subsector,'Summarized Source Data'!H$3,TimeOfWeek,$E82)*INDEX(About!D$79:D$82,MATCH($B82,About!$A$79:$A$82,0),1)</f>
        <v>0</v>
      </c>
      <c r="I82" s="27">
        <f>SUMIFS(INDEX(Load,,MATCH('Summarized Source Data'!$C82,Hour,0)),Month,'Summarized Source Data'!$A82,Sector,'Summarized Source Data'!I$2,Subsector,'Summarized Source Data'!I$3,TimeOfWeek,$E82)*INDEX(About!E$79:E$82,MATCH($B82,About!$A$79:$A$82,0),1)</f>
        <v>14900000</v>
      </c>
      <c r="J82" s="54">
        <f t="shared" si="6"/>
        <v>84625106</v>
      </c>
      <c r="K82" s="27">
        <f>(SUMIFS(INDEX(Load,,MATCH('Summarized Source Data'!$C82,Hour,0)),Month,'Summarized Source Data'!$A82,Sector,'Summarized Source Data'!K$2,Subsector,"Total",TimeOfWeek,$E82)-SUM(F82:I82))*INDEX(About!G$79:G$82,MATCH($B82,About!$A$79:$A$82,0),1)</f>
        <v>84625106</v>
      </c>
      <c r="L82" s="27">
        <f>SUMIFS(INDEX(Load,,MATCH('Summarized Source Data'!$C82,Hour,0)),Month,'Summarized Source Data'!$A82,Sector,'Summarized Source Data'!L$2,Subsector,'Summarized Source Data'!L$3,TimeOfWeek,$E82)*INDEX(About!H$79:H$82,MATCH($B82,About!$A$79:$A$82,0),1)</f>
        <v>54200000</v>
      </c>
      <c r="M82" s="27">
        <f>SUMIFS(INDEX(Load,,MATCH('Summarized Source Data'!$C82,Hour,0)),Month,'Summarized Source Data'!$A82,Sector,'Summarized Source Data'!M$2,Subsector,'Summarized Source Data'!M$3,TimeOfWeek,$E82)*INDEX(About!I$79:I$82,MATCH($B82,About!$A$79:$A$82,0),1)</f>
        <v>438782</v>
      </c>
      <c r="N82" s="27">
        <f>SUMIFS(INDEX(Load,,MATCH('Summarized Source Data'!$C82,Hour,0)),Month,'Summarized Source Data'!$A82,Sector,'Summarized Source Data'!N$2,Subsector,'Summarized Source Data'!N$3,TimeOfWeek,$E82)*INDEX(About!J$79:J$82,MATCH($B82,About!$A$79:$A$82,0),1)</f>
        <v>0</v>
      </c>
      <c r="O82" s="29">
        <f t="shared" si="7"/>
        <v>288361218</v>
      </c>
      <c r="P82" s="27">
        <f>(SUMIFS(INDEX(Load,,MATCH('Summarized Source Data'!$C82,Hour,0)),Month,'Summarized Source Data'!$A82,Sector,'Summarized Source Data'!P$2,Subsector,"Total",TimeOfWeek,$E82)-SUM(L82:N82)*INDEX(About!L$79:L$82,MATCH($B82,About!$A$79:$A$82,0),1))</f>
        <v>288361218</v>
      </c>
      <c r="Q82" s="29">
        <f t="shared" si="8"/>
        <v>288361218</v>
      </c>
      <c r="R82" s="33">
        <f>SUMIFS(INDEX(Load,,MATCH('Summarized Source Data'!$C82,Hour,0)),Month,'Summarized Source Data'!$A82,Sector,'Summarized Source Data'!R$2,TimeOfWeek,$E82)*INDEX(About!N$79:N$82,MATCH($B82,About!$A$79:$A$82,0),1)</f>
        <v>7048742</v>
      </c>
      <c r="S82" s="33">
        <f>SUMIFS(INDEX(Load,,MATCH('Summarized Source Data'!$C82,Hour,0)),Month,'Summarized Source Data'!$A82,Sector,'Summarized Source Data'!S$2,TimeOfWeek,$E82)*INDEX(About!O$79:O$82,MATCH($B82,About!$A$79:$A$82,0),1)</f>
        <v>7048742</v>
      </c>
      <c r="T82" s="33">
        <f>SUMIFS(INDEX(Load,,MATCH('Summarized Source Data'!$C82,Hour,0)),Month,'Summarized Source Data'!$A82,Sector,'Summarized Source Data'!T$2,TimeOfWeek,$E82)*INDEX(About!P$79:P$82,MATCH($B82,About!$A$79:$A$82,0),1)</f>
        <v>7048742</v>
      </c>
      <c r="U82" s="33">
        <f>SUMIFS(INDEX(Load,,MATCH('Summarized Source Data'!$C82,Hour,0)),Month,'Summarized Source Data'!$A82,Sector,'Summarized Source Data'!U$2,TimeOfWeek,$E82)*INDEX(About!Q$79:Q$82,MATCH($B82,About!$A$79:$A$82,0),1)</f>
        <v>7048742</v>
      </c>
      <c r="V82" s="33">
        <f>SUMIFS(INDEX(Load,,MATCH('Summarized Source Data'!$C82,Hour,0)),Month,'Summarized Source Data'!$A82,Sector,'Summarized Source Data'!V$2,TimeOfWeek,$E82)*INDEX(About!R$79:R$82,MATCH($B82,About!$A$79:$A$82,0),1)</f>
        <v>7048742</v>
      </c>
      <c r="W82" s="33">
        <f>SUMIFS(INDEX(Load,,MATCH('Summarized Source Data'!$C82,Hour,0)),Month,'Summarized Source Data'!$A82,Sector,'Summarized Source Data'!W$2,TimeOfWeek,$E82)*INDEX(About!S$79:S$82,MATCH($B82,About!$A$79:$A$82,0),1)</f>
        <v>7048742</v>
      </c>
      <c r="X82" s="27">
        <f>SUMIFS(INDEX(Load,,MATCH('Summarized Source Data'!$C82,Hour,0)),Month,'Summarized Source Data'!$A82,Sector,'Summarized Source Data'!X$2,Subsector,'Summarized Source Data'!X$3,TimeOfWeek,$E82)*INDEX(About!T$79:T$82,MATCH($B82,About!$A$79:$A$82,0),1)</f>
        <v>650000000</v>
      </c>
      <c r="Y82" s="29">
        <f t="shared" si="9"/>
        <v>650000000</v>
      </c>
      <c r="Z82" s="29">
        <f t="shared" si="9"/>
        <v>650000000</v>
      </c>
    </row>
    <row r="83" spans="1:26" outlineLevel="1" x14ac:dyDescent="0.3">
      <c r="A83">
        <f t="shared" si="5"/>
        <v>4</v>
      </c>
      <c r="B83" t="str">
        <f>INDEX('Category Mapping'!$G$28:$G$39,MATCH(A83,'Category Mapping'!$A$28:$A$39,0),1)</f>
        <v>Spring</v>
      </c>
      <c r="C83" t="s">
        <v>70</v>
      </c>
      <c r="D83" s="6" t="s">
        <v>145</v>
      </c>
      <c r="E83" t="s">
        <v>49</v>
      </c>
      <c r="F83" s="27">
        <f>SUMIFS(INDEX(Load,,MATCH('Summarized Source Data'!$C83,Hour,0)),Month,'Summarized Source Data'!$A83,Sector,'Summarized Source Data'!F$2,Subsector,'Summarized Source Data'!F$3,TimeOfWeek,$E83)*INDEX(About!B$79:B$82,MATCH($B83,About!$A$79:$A$82,0),1)</f>
        <v>8552344</v>
      </c>
      <c r="G83" s="27">
        <f>SUMIFS(INDEX(Load,,MATCH('Summarized Source Data'!$C83,Hour,0)),Month,'Summarized Source Data'!$A83,Sector,'Summarized Source Data'!G$2,Subsector,'Summarized Source Data'!G$3,TimeOfWeek,$E83)*INDEX(About!C$79:C$82,MATCH($B83,About!$A$79:$A$82,0),1)</f>
        <v>21051</v>
      </c>
      <c r="H83" s="27">
        <f>SUMIFS(INDEX(Load,,MATCH('Summarized Source Data'!$C83,Hour,0)),Month,'Summarized Source Data'!$A83,Sector,'Summarized Source Data'!H$2,Subsector,'Summarized Source Data'!H$3,TimeOfWeek,$E83)*INDEX(About!D$79:D$82,MATCH($B83,About!$A$79:$A$82,0),1)</f>
        <v>0</v>
      </c>
      <c r="I83" s="27">
        <f>SUMIFS(INDEX(Load,,MATCH('Summarized Source Data'!$C83,Hour,0)),Month,'Summarized Source Data'!$A83,Sector,'Summarized Source Data'!I$2,Subsector,'Summarized Source Data'!I$3,TimeOfWeek,$E83)*INDEX(About!E$79:E$82,MATCH($B83,About!$A$79:$A$82,0),1)</f>
        <v>9730725</v>
      </c>
      <c r="J83" s="54">
        <f t="shared" si="6"/>
        <v>107695880</v>
      </c>
      <c r="K83" s="27">
        <f>(SUMIFS(INDEX(Load,,MATCH('Summarized Source Data'!$C83,Hour,0)),Month,'Summarized Source Data'!$A83,Sector,'Summarized Source Data'!K$2,Subsector,"Total",TimeOfWeek,$E83)-SUM(F83:I83))*INDEX(About!G$79:G$82,MATCH($B83,About!$A$79:$A$82,0),1)</f>
        <v>107695880</v>
      </c>
      <c r="L83" s="27">
        <f>SUMIFS(INDEX(Load,,MATCH('Summarized Source Data'!$C83,Hour,0)),Month,'Summarized Source Data'!$A83,Sector,'Summarized Source Data'!L$2,Subsector,'Summarized Source Data'!L$3,TimeOfWeek,$E83)*INDEX(About!H$79:H$82,MATCH($B83,About!$A$79:$A$82,0),1)</f>
        <v>45500000</v>
      </c>
      <c r="M83" s="27">
        <f>SUMIFS(INDEX(Load,,MATCH('Summarized Source Data'!$C83,Hour,0)),Month,'Summarized Source Data'!$A83,Sector,'Summarized Source Data'!M$2,Subsector,'Summarized Source Data'!M$3,TimeOfWeek,$E83)*INDEX(About!I$79:I$82,MATCH($B83,About!$A$79:$A$82,0),1)</f>
        <v>523448</v>
      </c>
      <c r="N83" s="27">
        <f>SUMIFS(INDEX(Load,,MATCH('Summarized Source Data'!$C83,Hour,0)),Month,'Summarized Source Data'!$A83,Sector,'Summarized Source Data'!N$2,Subsector,'Summarized Source Data'!N$3,TimeOfWeek,$E83)*INDEX(About!J$79:J$82,MATCH($B83,About!$A$79:$A$82,0),1)</f>
        <v>0</v>
      </c>
      <c r="O83" s="29">
        <f t="shared" si="7"/>
        <v>394976552</v>
      </c>
      <c r="P83" s="27">
        <f>(SUMIFS(INDEX(Load,,MATCH('Summarized Source Data'!$C83,Hour,0)),Month,'Summarized Source Data'!$A83,Sector,'Summarized Source Data'!P$2,Subsector,"Total",TimeOfWeek,$E83)-SUM(L83:N83)*INDEX(About!L$79:L$82,MATCH($B83,About!$A$79:$A$82,0),1))</f>
        <v>394976552</v>
      </c>
      <c r="Q83" s="29">
        <f t="shared" si="8"/>
        <v>394976552</v>
      </c>
      <c r="R83" s="33">
        <f>SUMIFS(INDEX(Load,,MATCH('Summarized Source Data'!$C83,Hour,0)),Month,'Summarized Source Data'!$A83,Sector,'Summarized Source Data'!R$2,TimeOfWeek,$E83)*INDEX(About!N$79:N$82,MATCH($B83,About!$A$79:$A$82,0),1)</f>
        <v>14900000</v>
      </c>
      <c r="S83" s="33">
        <f>SUMIFS(INDEX(Load,,MATCH('Summarized Source Data'!$C83,Hour,0)),Month,'Summarized Source Data'!$A83,Sector,'Summarized Source Data'!S$2,TimeOfWeek,$E83)*INDEX(About!O$79:O$82,MATCH($B83,About!$A$79:$A$82,0),1)</f>
        <v>14900000</v>
      </c>
      <c r="T83" s="33">
        <f>SUMIFS(INDEX(Load,,MATCH('Summarized Source Data'!$C83,Hour,0)),Month,'Summarized Source Data'!$A83,Sector,'Summarized Source Data'!T$2,TimeOfWeek,$E83)*INDEX(About!P$79:P$82,MATCH($B83,About!$A$79:$A$82,0),1)</f>
        <v>14900000</v>
      </c>
      <c r="U83" s="33">
        <f>SUMIFS(INDEX(Load,,MATCH('Summarized Source Data'!$C83,Hour,0)),Month,'Summarized Source Data'!$A83,Sector,'Summarized Source Data'!U$2,TimeOfWeek,$E83)*INDEX(About!Q$79:Q$82,MATCH($B83,About!$A$79:$A$82,0),1)</f>
        <v>14900000</v>
      </c>
      <c r="V83" s="33">
        <f>SUMIFS(INDEX(Load,,MATCH('Summarized Source Data'!$C83,Hour,0)),Month,'Summarized Source Data'!$A83,Sector,'Summarized Source Data'!V$2,TimeOfWeek,$E83)*INDEX(About!R$79:R$82,MATCH($B83,About!$A$79:$A$82,0),1)</f>
        <v>14900000</v>
      </c>
      <c r="W83" s="33">
        <f>SUMIFS(INDEX(Load,,MATCH('Summarized Source Data'!$C83,Hour,0)),Month,'Summarized Source Data'!$A83,Sector,'Summarized Source Data'!W$2,TimeOfWeek,$E83)*INDEX(About!S$79:S$82,MATCH($B83,About!$A$79:$A$82,0),1)</f>
        <v>14900000</v>
      </c>
      <c r="X83" s="27">
        <f>SUMIFS(INDEX(Load,,MATCH('Summarized Source Data'!$C83,Hour,0)),Month,'Summarized Source Data'!$A83,Sector,'Summarized Source Data'!X$2,Subsector,'Summarized Source Data'!X$3,TimeOfWeek,$E83)*INDEX(About!T$79:T$82,MATCH($B83,About!$A$79:$A$82,0),1)</f>
        <v>656000000</v>
      </c>
      <c r="Y83" s="29">
        <f t="shared" si="9"/>
        <v>656000000</v>
      </c>
      <c r="Z83" s="29">
        <f t="shared" si="9"/>
        <v>656000000</v>
      </c>
    </row>
    <row r="84" spans="1:26" outlineLevel="1" x14ac:dyDescent="0.3">
      <c r="A84">
        <f t="shared" si="5"/>
        <v>4</v>
      </c>
      <c r="B84" t="str">
        <f>INDEX('Category Mapping'!$G$28:$G$39,MATCH(A84,'Category Mapping'!$A$28:$A$39,0),1)</f>
        <v>Spring</v>
      </c>
      <c r="C84" t="s">
        <v>71</v>
      </c>
      <c r="D84" s="6" t="s">
        <v>146</v>
      </c>
      <c r="E84" t="s">
        <v>49</v>
      </c>
      <c r="F84" s="27">
        <f>SUMIFS(INDEX(Load,,MATCH('Summarized Source Data'!$C84,Hour,0)),Month,'Summarized Source Data'!$A84,Sector,'Summarized Source Data'!F$2,Subsector,'Summarized Source Data'!F$3,TimeOfWeek,$E84)*INDEX(About!B$79:B$82,MATCH($B84,About!$A$79:$A$82,0),1)</f>
        <v>8485649</v>
      </c>
      <c r="G84" s="27">
        <f>SUMIFS(INDEX(Load,,MATCH('Summarized Source Data'!$C84,Hour,0)),Month,'Summarized Source Data'!$A84,Sector,'Summarized Source Data'!G$2,Subsector,'Summarized Source Data'!G$3,TimeOfWeek,$E84)*INDEX(About!C$79:C$82,MATCH($B84,About!$A$79:$A$82,0),1)</f>
        <v>17012</v>
      </c>
      <c r="H84" s="27">
        <f>SUMIFS(INDEX(Load,,MATCH('Summarized Source Data'!$C84,Hour,0)),Month,'Summarized Source Data'!$A84,Sector,'Summarized Source Data'!H$2,Subsector,'Summarized Source Data'!H$3,TimeOfWeek,$E84)*INDEX(About!D$79:D$82,MATCH($B84,About!$A$79:$A$82,0),1)</f>
        <v>0</v>
      </c>
      <c r="I84" s="27">
        <f>SUMIFS(INDEX(Load,,MATCH('Summarized Source Data'!$C84,Hour,0)),Month,'Summarized Source Data'!$A84,Sector,'Summarized Source Data'!I$2,Subsector,'Summarized Source Data'!I$3,TimeOfWeek,$E84)*INDEX(About!E$79:E$82,MATCH($B84,About!$A$79:$A$82,0),1)</f>
        <v>9529734</v>
      </c>
      <c r="J84" s="54">
        <f t="shared" si="6"/>
        <v>109967605</v>
      </c>
      <c r="K84" s="27">
        <f>(SUMIFS(INDEX(Load,,MATCH('Summarized Source Data'!$C84,Hour,0)),Month,'Summarized Source Data'!$A84,Sector,'Summarized Source Data'!K$2,Subsector,"Total",TimeOfWeek,$E84)-SUM(F84:I84))*INDEX(About!G$79:G$82,MATCH($B84,About!$A$79:$A$82,0),1)</f>
        <v>109967605</v>
      </c>
      <c r="L84" s="27">
        <f>SUMIFS(INDEX(Load,,MATCH('Summarized Source Data'!$C84,Hour,0)),Month,'Summarized Source Data'!$A84,Sector,'Summarized Source Data'!L$2,Subsector,'Summarized Source Data'!L$3,TimeOfWeek,$E84)*INDEX(About!H$79:H$82,MATCH($B84,About!$A$79:$A$82,0),1)</f>
        <v>30500000</v>
      </c>
      <c r="M84" s="27">
        <f>SUMIFS(INDEX(Load,,MATCH('Summarized Source Data'!$C84,Hour,0)),Month,'Summarized Source Data'!$A84,Sector,'Summarized Source Data'!M$2,Subsector,'Summarized Source Data'!M$3,TimeOfWeek,$E84)*INDEX(About!I$79:I$82,MATCH($B84,About!$A$79:$A$82,0),1)</f>
        <v>647905</v>
      </c>
      <c r="N84" s="27">
        <f>SUMIFS(INDEX(Load,,MATCH('Summarized Source Data'!$C84,Hour,0)),Month,'Summarized Source Data'!$A84,Sector,'Summarized Source Data'!N$2,Subsector,'Summarized Source Data'!N$3,TimeOfWeek,$E84)*INDEX(About!J$79:J$82,MATCH($B84,About!$A$79:$A$82,0),1)</f>
        <v>0</v>
      </c>
      <c r="O84" s="29">
        <f t="shared" si="7"/>
        <v>490852095</v>
      </c>
      <c r="P84" s="27">
        <f>(SUMIFS(INDEX(Load,,MATCH('Summarized Source Data'!$C84,Hour,0)),Month,'Summarized Source Data'!$A84,Sector,'Summarized Source Data'!P$2,Subsector,"Total",TimeOfWeek,$E84)-SUM(L84:N84)*INDEX(About!L$79:L$82,MATCH($B84,About!$A$79:$A$82,0),1))</f>
        <v>490852095</v>
      </c>
      <c r="Q84" s="29">
        <f t="shared" si="8"/>
        <v>490852095</v>
      </c>
      <c r="R84" s="33">
        <f>SUMIFS(INDEX(Load,,MATCH('Summarized Source Data'!$C84,Hour,0)),Month,'Summarized Source Data'!$A84,Sector,'Summarized Source Data'!R$2,TimeOfWeek,$E84)*INDEX(About!N$79:N$82,MATCH($B84,About!$A$79:$A$82,0),1)</f>
        <v>16200000</v>
      </c>
      <c r="S84" s="33">
        <f>SUMIFS(INDEX(Load,,MATCH('Summarized Source Data'!$C84,Hour,0)),Month,'Summarized Source Data'!$A84,Sector,'Summarized Source Data'!S$2,TimeOfWeek,$E84)*INDEX(About!O$79:O$82,MATCH($B84,About!$A$79:$A$82,0),1)</f>
        <v>16200000</v>
      </c>
      <c r="T84" s="33">
        <f>SUMIFS(INDEX(Load,,MATCH('Summarized Source Data'!$C84,Hour,0)),Month,'Summarized Source Data'!$A84,Sector,'Summarized Source Data'!T$2,TimeOfWeek,$E84)*INDEX(About!P$79:P$82,MATCH($B84,About!$A$79:$A$82,0),1)</f>
        <v>16200000</v>
      </c>
      <c r="U84" s="33">
        <f>SUMIFS(INDEX(Load,,MATCH('Summarized Source Data'!$C84,Hour,0)),Month,'Summarized Source Data'!$A84,Sector,'Summarized Source Data'!U$2,TimeOfWeek,$E84)*INDEX(About!Q$79:Q$82,MATCH($B84,About!$A$79:$A$82,0),1)</f>
        <v>16200000</v>
      </c>
      <c r="V84" s="33">
        <f>SUMIFS(INDEX(Load,,MATCH('Summarized Source Data'!$C84,Hour,0)),Month,'Summarized Source Data'!$A84,Sector,'Summarized Source Data'!V$2,TimeOfWeek,$E84)*INDEX(About!R$79:R$82,MATCH($B84,About!$A$79:$A$82,0),1)</f>
        <v>16200000</v>
      </c>
      <c r="W84" s="33">
        <f>SUMIFS(INDEX(Load,,MATCH('Summarized Source Data'!$C84,Hour,0)),Month,'Summarized Source Data'!$A84,Sector,'Summarized Source Data'!W$2,TimeOfWeek,$E84)*INDEX(About!S$79:S$82,MATCH($B84,About!$A$79:$A$82,0),1)</f>
        <v>16200000</v>
      </c>
      <c r="X84" s="27">
        <f>SUMIFS(INDEX(Load,,MATCH('Summarized Source Data'!$C84,Hour,0)),Month,'Summarized Source Data'!$A84,Sector,'Summarized Source Data'!X$2,Subsector,'Summarized Source Data'!X$3,TimeOfWeek,$E84)*INDEX(About!T$79:T$82,MATCH($B84,About!$A$79:$A$82,0),1)</f>
        <v>658000000</v>
      </c>
      <c r="Y84" s="29">
        <f t="shared" si="9"/>
        <v>658000000</v>
      </c>
      <c r="Z84" s="29">
        <f t="shared" si="9"/>
        <v>658000000</v>
      </c>
    </row>
    <row r="85" spans="1:26" outlineLevel="1" x14ac:dyDescent="0.3">
      <c r="A85">
        <f t="shared" si="5"/>
        <v>4</v>
      </c>
      <c r="B85" t="str">
        <f>INDEX('Category Mapping'!$G$28:$G$39,MATCH(A85,'Category Mapping'!$A$28:$A$39,0),1)</f>
        <v>Spring</v>
      </c>
      <c r="C85" t="s">
        <v>72</v>
      </c>
      <c r="D85" s="6" t="s">
        <v>147</v>
      </c>
      <c r="E85" t="s">
        <v>49</v>
      </c>
      <c r="F85" s="27">
        <f>SUMIFS(INDEX(Load,,MATCH('Summarized Source Data'!$C85,Hour,0)),Month,'Summarized Source Data'!$A85,Sector,'Summarized Source Data'!F$2,Subsector,'Summarized Source Data'!F$3,TimeOfWeek,$E85)*INDEX(About!B$79:B$82,MATCH($B85,About!$A$79:$A$82,0),1)</f>
        <v>5860206</v>
      </c>
      <c r="G85" s="27">
        <f>SUMIFS(INDEX(Load,,MATCH('Summarized Source Data'!$C85,Hour,0)),Month,'Summarized Source Data'!$A85,Sector,'Summarized Source Data'!G$2,Subsector,'Summarized Source Data'!G$3,TimeOfWeek,$E85)*INDEX(About!C$79:C$82,MATCH($B85,About!$A$79:$A$82,0),1)</f>
        <v>14707</v>
      </c>
      <c r="H85" s="27">
        <f>SUMIFS(INDEX(Load,,MATCH('Summarized Source Data'!$C85,Hour,0)),Month,'Summarized Source Data'!$A85,Sector,'Summarized Source Data'!H$2,Subsector,'Summarized Source Data'!H$3,TimeOfWeek,$E85)*INDEX(About!D$79:D$82,MATCH($B85,About!$A$79:$A$82,0),1)</f>
        <v>0</v>
      </c>
      <c r="I85" s="27">
        <f>SUMIFS(INDEX(Load,,MATCH('Summarized Source Data'!$C85,Hour,0)),Month,'Summarized Source Data'!$A85,Sector,'Summarized Source Data'!I$2,Subsector,'Summarized Source Data'!I$3,TimeOfWeek,$E85)*INDEX(About!E$79:E$82,MATCH($B85,About!$A$79:$A$82,0),1)</f>
        <v>9167130</v>
      </c>
      <c r="J85" s="54">
        <f t="shared" si="6"/>
        <v>109957957</v>
      </c>
      <c r="K85" s="27">
        <f>(SUMIFS(INDEX(Load,,MATCH('Summarized Source Data'!$C85,Hour,0)),Month,'Summarized Source Data'!$A85,Sector,'Summarized Source Data'!K$2,Subsector,"Total",TimeOfWeek,$E85)-SUM(F85:I85))*INDEX(About!G$79:G$82,MATCH($B85,About!$A$79:$A$82,0),1)</f>
        <v>109957957</v>
      </c>
      <c r="L85" s="27">
        <f>SUMIFS(INDEX(Load,,MATCH('Summarized Source Data'!$C85,Hour,0)),Month,'Summarized Source Data'!$A85,Sector,'Summarized Source Data'!L$2,Subsector,'Summarized Source Data'!L$3,TimeOfWeek,$E85)*INDEX(About!H$79:H$82,MATCH($B85,About!$A$79:$A$82,0),1)</f>
        <v>23900000</v>
      </c>
      <c r="M85" s="27">
        <f>SUMIFS(INDEX(Load,,MATCH('Summarized Source Data'!$C85,Hour,0)),Month,'Summarized Source Data'!$A85,Sector,'Summarized Source Data'!M$2,Subsector,'Summarized Source Data'!M$3,TimeOfWeek,$E85)*INDEX(About!I$79:I$82,MATCH($B85,About!$A$79:$A$82,0),1)</f>
        <v>727380</v>
      </c>
      <c r="N85" s="27">
        <f>SUMIFS(INDEX(Load,,MATCH('Summarized Source Data'!$C85,Hour,0)),Month,'Summarized Source Data'!$A85,Sector,'Summarized Source Data'!N$2,Subsector,'Summarized Source Data'!N$3,TimeOfWeek,$E85)*INDEX(About!J$79:J$82,MATCH($B85,About!$A$79:$A$82,0),1)</f>
        <v>0</v>
      </c>
      <c r="O85" s="29">
        <f t="shared" si="7"/>
        <v>516372620</v>
      </c>
      <c r="P85" s="27">
        <f>(SUMIFS(INDEX(Load,,MATCH('Summarized Source Data'!$C85,Hour,0)),Month,'Summarized Source Data'!$A85,Sector,'Summarized Source Data'!P$2,Subsector,"Total",TimeOfWeek,$E85)-SUM(L85:N85)*INDEX(About!L$79:L$82,MATCH($B85,About!$A$79:$A$82,0),1))</f>
        <v>516372620</v>
      </c>
      <c r="Q85" s="29">
        <f t="shared" si="8"/>
        <v>516372620</v>
      </c>
      <c r="R85" s="33">
        <f>SUMIFS(INDEX(Load,,MATCH('Summarized Source Data'!$C85,Hour,0)),Month,'Summarized Source Data'!$A85,Sector,'Summarized Source Data'!R$2,TimeOfWeek,$E85)*INDEX(About!N$79:N$82,MATCH($B85,About!$A$79:$A$82,0),1)</f>
        <v>14400000</v>
      </c>
      <c r="S85" s="33">
        <f>SUMIFS(INDEX(Load,,MATCH('Summarized Source Data'!$C85,Hour,0)),Month,'Summarized Source Data'!$A85,Sector,'Summarized Source Data'!S$2,TimeOfWeek,$E85)*INDEX(About!O$79:O$82,MATCH($B85,About!$A$79:$A$82,0),1)</f>
        <v>14400000</v>
      </c>
      <c r="T85" s="33">
        <f>SUMIFS(INDEX(Load,,MATCH('Summarized Source Data'!$C85,Hour,0)),Month,'Summarized Source Data'!$A85,Sector,'Summarized Source Data'!T$2,TimeOfWeek,$E85)*INDEX(About!P$79:P$82,MATCH($B85,About!$A$79:$A$82,0),1)</f>
        <v>14400000</v>
      </c>
      <c r="U85" s="33">
        <f>SUMIFS(INDEX(Load,,MATCH('Summarized Source Data'!$C85,Hour,0)),Month,'Summarized Source Data'!$A85,Sector,'Summarized Source Data'!U$2,TimeOfWeek,$E85)*INDEX(About!Q$79:Q$82,MATCH($B85,About!$A$79:$A$82,0),1)</f>
        <v>14400000</v>
      </c>
      <c r="V85" s="33">
        <f>SUMIFS(INDEX(Load,,MATCH('Summarized Source Data'!$C85,Hour,0)),Month,'Summarized Source Data'!$A85,Sector,'Summarized Source Data'!V$2,TimeOfWeek,$E85)*INDEX(About!R$79:R$82,MATCH($B85,About!$A$79:$A$82,0),1)</f>
        <v>14400000</v>
      </c>
      <c r="W85" s="33">
        <f>SUMIFS(INDEX(Load,,MATCH('Summarized Source Data'!$C85,Hour,0)),Month,'Summarized Source Data'!$A85,Sector,'Summarized Source Data'!W$2,TimeOfWeek,$E85)*INDEX(About!S$79:S$82,MATCH($B85,About!$A$79:$A$82,0),1)</f>
        <v>14400000</v>
      </c>
      <c r="X85" s="27">
        <f>SUMIFS(INDEX(Load,,MATCH('Summarized Source Data'!$C85,Hour,0)),Month,'Summarized Source Data'!$A85,Sector,'Summarized Source Data'!X$2,Subsector,'Summarized Source Data'!X$3,TimeOfWeek,$E85)*INDEX(About!T$79:T$82,MATCH($B85,About!$A$79:$A$82,0),1)</f>
        <v>657000000</v>
      </c>
      <c r="Y85" s="29">
        <f t="shared" si="9"/>
        <v>657000000</v>
      </c>
      <c r="Z85" s="29">
        <f t="shared" si="9"/>
        <v>657000000</v>
      </c>
    </row>
    <row r="86" spans="1:26" outlineLevel="1" x14ac:dyDescent="0.3">
      <c r="A86">
        <f t="shared" si="5"/>
        <v>4</v>
      </c>
      <c r="B86" t="str">
        <f>INDEX('Category Mapping'!$G$28:$G$39,MATCH(A86,'Category Mapping'!$A$28:$A$39,0),1)</f>
        <v>Spring</v>
      </c>
      <c r="C86" t="s">
        <v>73</v>
      </c>
      <c r="D86" s="6" t="s">
        <v>148</v>
      </c>
      <c r="E86" t="s">
        <v>49</v>
      </c>
      <c r="F86" s="27">
        <f>SUMIFS(INDEX(Load,,MATCH('Summarized Source Data'!$C86,Hour,0)),Month,'Summarized Source Data'!$A86,Sector,'Summarized Source Data'!F$2,Subsector,'Summarized Source Data'!F$3,TimeOfWeek,$E86)*INDEX(About!B$79:B$82,MATCH($B86,About!$A$79:$A$82,0),1)</f>
        <v>5909911</v>
      </c>
      <c r="G86" s="27">
        <f>SUMIFS(INDEX(Load,,MATCH('Summarized Source Data'!$C86,Hour,0)),Month,'Summarized Source Data'!$A86,Sector,'Summarized Source Data'!G$2,Subsector,'Summarized Source Data'!G$3,TimeOfWeek,$E86)*INDEX(About!C$79:C$82,MATCH($B86,About!$A$79:$A$82,0),1)</f>
        <v>14533</v>
      </c>
      <c r="H86" s="27">
        <f>SUMIFS(INDEX(Load,,MATCH('Summarized Source Data'!$C86,Hour,0)),Month,'Summarized Source Data'!$A86,Sector,'Summarized Source Data'!H$2,Subsector,'Summarized Source Data'!H$3,TimeOfWeek,$E86)*INDEX(About!D$79:D$82,MATCH($B86,About!$A$79:$A$82,0),1)</f>
        <v>0</v>
      </c>
      <c r="I86" s="27">
        <f>SUMIFS(INDEX(Load,,MATCH('Summarized Source Data'!$C86,Hour,0)),Month,'Summarized Source Data'!$A86,Sector,'Summarized Source Data'!I$2,Subsector,'Summarized Source Data'!I$3,TimeOfWeek,$E86)*INDEX(About!E$79:E$82,MATCH($B86,About!$A$79:$A$82,0),1)</f>
        <v>9316919</v>
      </c>
      <c r="J86" s="54">
        <f t="shared" si="6"/>
        <v>108758637</v>
      </c>
      <c r="K86" s="27">
        <f>(SUMIFS(INDEX(Load,,MATCH('Summarized Source Data'!$C86,Hour,0)),Month,'Summarized Source Data'!$A86,Sector,'Summarized Source Data'!K$2,Subsector,"Total",TimeOfWeek,$E86)-SUM(F86:I86))*INDEX(About!G$79:G$82,MATCH($B86,About!$A$79:$A$82,0),1)</f>
        <v>108758637</v>
      </c>
      <c r="L86" s="27">
        <f>SUMIFS(INDEX(Load,,MATCH('Summarized Source Data'!$C86,Hour,0)),Month,'Summarized Source Data'!$A86,Sector,'Summarized Source Data'!L$2,Subsector,'Summarized Source Data'!L$3,TimeOfWeek,$E86)*INDEX(About!H$79:H$82,MATCH($B86,About!$A$79:$A$82,0),1)</f>
        <v>19700000</v>
      </c>
      <c r="M86" s="27">
        <f>SUMIFS(INDEX(Load,,MATCH('Summarized Source Data'!$C86,Hour,0)),Month,'Summarized Source Data'!$A86,Sector,'Summarized Source Data'!M$2,Subsector,'Summarized Source Data'!M$3,TimeOfWeek,$E86)*INDEX(About!I$79:I$82,MATCH($B86,About!$A$79:$A$82,0),1)</f>
        <v>768684</v>
      </c>
      <c r="N86" s="27">
        <f>SUMIFS(INDEX(Load,,MATCH('Summarized Source Data'!$C86,Hour,0)),Month,'Summarized Source Data'!$A86,Sector,'Summarized Source Data'!N$2,Subsector,'Summarized Source Data'!N$3,TimeOfWeek,$E86)*INDEX(About!J$79:J$82,MATCH($B86,About!$A$79:$A$82,0),1)</f>
        <v>0</v>
      </c>
      <c r="O86" s="29">
        <f t="shared" si="7"/>
        <v>514531316</v>
      </c>
      <c r="P86" s="27">
        <f>(SUMIFS(INDEX(Load,,MATCH('Summarized Source Data'!$C86,Hour,0)),Month,'Summarized Source Data'!$A86,Sector,'Summarized Source Data'!P$2,Subsector,"Total",TimeOfWeek,$E86)-SUM(L86:N86)*INDEX(About!L$79:L$82,MATCH($B86,About!$A$79:$A$82,0),1))</f>
        <v>514531316</v>
      </c>
      <c r="Q86" s="29">
        <f t="shared" si="8"/>
        <v>514531316</v>
      </c>
      <c r="R86" s="33">
        <f>SUMIFS(INDEX(Load,,MATCH('Summarized Source Data'!$C86,Hour,0)),Month,'Summarized Source Data'!$A86,Sector,'Summarized Source Data'!R$2,TimeOfWeek,$E86)*INDEX(About!N$79:N$82,MATCH($B86,About!$A$79:$A$82,0),1)</f>
        <v>11600000</v>
      </c>
      <c r="S86" s="33">
        <f>SUMIFS(INDEX(Load,,MATCH('Summarized Source Data'!$C86,Hour,0)),Month,'Summarized Source Data'!$A86,Sector,'Summarized Source Data'!S$2,TimeOfWeek,$E86)*INDEX(About!O$79:O$82,MATCH($B86,About!$A$79:$A$82,0),1)</f>
        <v>11600000</v>
      </c>
      <c r="T86" s="33">
        <f>SUMIFS(INDEX(Load,,MATCH('Summarized Source Data'!$C86,Hour,0)),Month,'Summarized Source Data'!$A86,Sector,'Summarized Source Data'!T$2,TimeOfWeek,$E86)*INDEX(About!P$79:P$82,MATCH($B86,About!$A$79:$A$82,0),1)</f>
        <v>11600000</v>
      </c>
      <c r="U86" s="33">
        <f>SUMIFS(INDEX(Load,,MATCH('Summarized Source Data'!$C86,Hour,0)),Month,'Summarized Source Data'!$A86,Sector,'Summarized Source Data'!U$2,TimeOfWeek,$E86)*INDEX(About!Q$79:Q$82,MATCH($B86,About!$A$79:$A$82,0),1)</f>
        <v>11600000</v>
      </c>
      <c r="V86" s="33">
        <f>SUMIFS(INDEX(Load,,MATCH('Summarized Source Data'!$C86,Hour,0)),Month,'Summarized Source Data'!$A86,Sector,'Summarized Source Data'!V$2,TimeOfWeek,$E86)*INDEX(About!R$79:R$82,MATCH($B86,About!$A$79:$A$82,0),1)</f>
        <v>11600000</v>
      </c>
      <c r="W86" s="33">
        <f>SUMIFS(INDEX(Load,,MATCH('Summarized Source Data'!$C86,Hour,0)),Month,'Summarized Source Data'!$A86,Sector,'Summarized Source Data'!W$2,TimeOfWeek,$E86)*INDEX(About!S$79:S$82,MATCH($B86,About!$A$79:$A$82,0),1)</f>
        <v>11600000</v>
      </c>
      <c r="X86" s="27">
        <f>SUMIFS(INDEX(Load,,MATCH('Summarized Source Data'!$C86,Hour,0)),Month,'Summarized Source Data'!$A86,Sector,'Summarized Source Data'!X$2,Subsector,'Summarized Source Data'!X$3,TimeOfWeek,$E86)*INDEX(About!T$79:T$82,MATCH($B86,About!$A$79:$A$82,0),1)</f>
        <v>654000000</v>
      </c>
      <c r="Y86" s="29">
        <f t="shared" si="9"/>
        <v>654000000</v>
      </c>
      <c r="Z86" s="29">
        <f t="shared" si="9"/>
        <v>654000000</v>
      </c>
    </row>
    <row r="87" spans="1:26" outlineLevel="1" x14ac:dyDescent="0.3">
      <c r="A87">
        <f t="shared" si="5"/>
        <v>4</v>
      </c>
      <c r="B87" t="str">
        <f>INDEX('Category Mapping'!$G$28:$G$39,MATCH(A87,'Category Mapping'!$A$28:$A$39,0),1)</f>
        <v>Spring</v>
      </c>
      <c r="C87" t="s">
        <v>74</v>
      </c>
      <c r="D87" s="6" t="s">
        <v>149</v>
      </c>
      <c r="E87" t="s">
        <v>49</v>
      </c>
      <c r="F87" s="27">
        <f>SUMIFS(INDEX(Load,,MATCH('Summarized Source Data'!$C87,Hour,0)),Month,'Summarized Source Data'!$A87,Sector,'Summarized Source Data'!F$2,Subsector,'Summarized Source Data'!F$3,TimeOfWeek,$E87)*INDEX(About!B$79:B$82,MATCH($B87,About!$A$79:$A$82,0),1)</f>
        <v>6207414</v>
      </c>
      <c r="G87" s="27">
        <f>SUMIFS(INDEX(Load,,MATCH('Summarized Source Data'!$C87,Hour,0)),Month,'Summarized Source Data'!$A87,Sector,'Summarized Source Data'!G$2,Subsector,'Summarized Source Data'!G$3,TimeOfWeek,$E87)*INDEX(About!C$79:C$82,MATCH($B87,About!$A$79:$A$82,0),1)</f>
        <v>16254</v>
      </c>
      <c r="H87" s="27">
        <f>SUMIFS(INDEX(Load,,MATCH('Summarized Source Data'!$C87,Hour,0)),Month,'Summarized Source Data'!$A87,Sector,'Summarized Source Data'!H$2,Subsector,'Summarized Source Data'!H$3,TimeOfWeek,$E87)*INDEX(About!D$79:D$82,MATCH($B87,About!$A$79:$A$82,0),1)</f>
        <v>0</v>
      </c>
      <c r="I87" s="27">
        <f>SUMIFS(INDEX(Load,,MATCH('Summarized Source Data'!$C87,Hour,0)),Month,'Summarized Source Data'!$A87,Sector,'Summarized Source Data'!I$2,Subsector,'Summarized Source Data'!I$3,TimeOfWeek,$E87)*INDEX(About!E$79:E$82,MATCH($B87,About!$A$79:$A$82,0),1)</f>
        <v>10200000</v>
      </c>
      <c r="J87" s="54">
        <f t="shared" si="6"/>
        <v>108576332</v>
      </c>
      <c r="K87" s="27">
        <f>(SUMIFS(INDEX(Load,,MATCH('Summarized Source Data'!$C87,Hour,0)),Month,'Summarized Source Data'!$A87,Sector,'Summarized Source Data'!K$2,Subsector,"Total",TimeOfWeek,$E87)-SUM(F87:I87))*INDEX(About!G$79:G$82,MATCH($B87,About!$A$79:$A$82,0),1)</f>
        <v>108576332</v>
      </c>
      <c r="L87" s="27">
        <f>SUMIFS(INDEX(Load,,MATCH('Summarized Source Data'!$C87,Hour,0)),Month,'Summarized Source Data'!$A87,Sector,'Summarized Source Data'!L$2,Subsector,'Summarized Source Data'!L$3,TimeOfWeek,$E87)*INDEX(About!H$79:H$82,MATCH($B87,About!$A$79:$A$82,0),1)</f>
        <v>16200000</v>
      </c>
      <c r="M87" s="27">
        <f>SUMIFS(INDEX(Load,,MATCH('Summarized Source Data'!$C87,Hour,0)),Month,'Summarized Source Data'!$A87,Sector,'Summarized Source Data'!M$2,Subsector,'Summarized Source Data'!M$3,TimeOfWeek,$E87)*INDEX(About!I$79:I$82,MATCH($B87,About!$A$79:$A$82,0),1)</f>
        <v>778365</v>
      </c>
      <c r="N87" s="27">
        <f>SUMIFS(INDEX(Load,,MATCH('Summarized Source Data'!$C87,Hour,0)),Month,'Summarized Source Data'!$A87,Sector,'Summarized Source Data'!N$2,Subsector,'Summarized Source Data'!N$3,TimeOfWeek,$E87)*INDEX(About!J$79:J$82,MATCH($B87,About!$A$79:$A$82,0),1)</f>
        <v>0</v>
      </c>
      <c r="O87" s="29">
        <f t="shared" si="7"/>
        <v>513021635</v>
      </c>
      <c r="P87" s="27">
        <f>(SUMIFS(INDEX(Load,,MATCH('Summarized Source Data'!$C87,Hour,0)),Month,'Summarized Source Data'!$A87,Sector,'Summarized Source Data'!P$2,Subsector,"Total",TimeOfWeek,$E87)-SUM(L87:N87)*INDEX(About!L$79:L$82,MATCH($B87,About!$A$79:$A$82,0),1))</f>
        <v>513021635</v>
      </c>
      <c r="Q87" s="29">
        <f t="shared" si="8"/>
        <v>513021635</v>
      </c>
      <c r="R87" s="33">
        <f>SUMIFS(INDEX(Load,,MATCH('Summarized Source Data'!$C87,Hour,0)),Month,'Summarized Source Data'!$A87,Sector,'Summarized Source Data'!R$2,TimeOfWeek,$E87)*INDEX(About!N$79:N$82,MATCH($B87,About!$A$79:$A$82,0),1)</f>
        <v>11600000</v>
      </c>
      <c r="S87" s="33">
        <f>SUMIFS(INDEX(Load,,MATCH('Summarized Source Data'!$C87,Hour,0)),Month,'Summarized Source Data'!$A87,Sector,'Summarized Source Data'!S$2,TimeOfWeek,$E87)*INDEX(About!O$79:O$82,MATCH($B87,About!$A$79:$A$82,0),1)</f>
        <v>11600000</v>
      </c>
      <c r="T87" s="33">
        <f>SUMIFS(INDEX(Load,,MATCH('Summarized Source Data'!$C87,Hour,0)),Month,'Summarized Source Data'!$A87,Sector,'Summarized Source Data'!T$2,TimeOfWeek,$E87)*INDEX(About!P$79:P$82,MATCH($B87,About!$A$79:$A$82,0),1)</f>
        <v>11600000</v>
      </c>
      <c r="U87" s="33">
        <f>SUMIFS(INDEX(Load,,MATCH('Summarized Source Data'!$C87,Hour,0)),Month,'Summarized Source Data'!$A87,Sector,'Summarized Source Data'!U$2,TimeOfWeek,$E87)*INDEX(About!Q$79:Q$82,MATCH($B87,About!$A$79:$A$82,0),1)</f>
        <v>11600000</v>
      </c>
      <c r="V87" s="33">
        <f>SUMIFS(INDEX(Load,,MATCH('Summarized Source Data'!$C87,Hour,0)),Month,'Summarized Source Data'!$A87,Sector,'Summarized Source Data'!V$2,TimeOfWeek,$E87)*INDEX(About!R$79:R$82,MATCH($B87,About!$A$79:$A$82,0),1)</f>
        <v>11600000</v>
      </c>
      <c r="W87" s="33">
        <f>SUMIFS(INDEX(Load,,MATCH('Summarized Source Data'!$C87,Hour,0)),Month,'Summarized Source Data'!$A87,Sector,'Summarized Source Data'!W$2,TimeOfWeek,$E87)*INDEX(About!S$79:S$82,MATCH($B87,About!$A$79:$A$82,0),1)</f>
        <v>11600000</v>
      </c>
      <c r="X87" s="27">
        <f>SUMIFS(INDEX(Load,,MATCH('Summarized Source Data'!$C87,Hour,0)),Month,'Summarized Source Data'!$A87,Sector,'Summarized Source Data'!X$2,Subsector,'Summarized Source Data'!X$3,TimeOfWeek,$E87)*INDEX(About!T$79:T$82,MATCH($B87,About!$A$79:$A$82,0),1)</f>
        <v>652000000</v>
      </c>
      <c r="Y87" s="29">
        <f t="shared" si="9"/>
        <v>652000000</v>
      </c>
      <c r="Z87" s="29">
        <f t="shared" si="9"/>
        <v>652000000</v>
      </c>
    </row>
    <row r="88" spans="1:26" outlineLevel="1" x14ac:dyDescent="0.3">
      <c r="A88">
        <f t="shared" si="5"/>
        <v>4</v>
      </c>
      <c r="B88" t="str">
        <f>INDEX('Category Mapping'!$G$28:$G$39,MATCH(A88,'Category Mapping'!$A$28:$A$39,0),1)</f>
        <v>Spring</v>
      </c>
      <c r="C88" t="s">
        <v>75</v>
      </c>
      <c r="D88" s="6" t="s">
        <v>150</v>
      </c>
      <c r="E88" t="s">
        <v>49</v>
      </c>
      <c r="F88" s="27">
        <f>SUMIFS(INDEX(Load,,MATCH('Summarized Source Data'!$C88,Hour,0)),Month,'Summarized Source Data'!$A88,Sector,'Summarized Source Data'!F$2,Subsector,'Summarized Source Data'!F$3,TimeOfWeek,$E88)*INDEX(About!B$79:B$82,MATCH($B88,About!$A$79:$A$82,0),1)</f>
        <v>6389605</v>
      </c>
      <c r="G88" s="27">
        <f>SUMIFS(INDEX(Load,,MATCH('Summarized Source Data'!$C88,Hour,0)),Month,'Summarized Source Data'!$A88,Sector,'Summarized Source Data'!G$2,Subsector,'Summarized Source Data'!G$3,TimeOfWeek,$E88)*INDEX(About!C$79:C$82,MATCH($B88,About!$A$79:$A$82,0),1)</f>
        <v>17644</v>
      </c>
      <c r="H88" s="27">
        <f>SUMIFS(INDEX(Load,,MATCH('Summarized Source Data'!$C88,Hour,0)),Month,'Summarized Source Data'!$A88,Sector,'Summarized Source Data'!H$2,Subsector,'Summarized Source Data'!H$3,TimeOfWeek,$E88)*INDEX(About!D$79:D$82,MATCH($B88,About!$A$79:$A$82,0),1)</f>
        <v>0</v>
      </c>
      <c r="I88" s="27">
        <f>SUMIFS(INDEX(Load,,MATCH('Summarized Source Data'!$C88,Hour,0)),Month,'Summarized Source Data'!$A88,Sector,'Summarized Source Data'!I$2,Subsector,'Summarized Source Data'!I$3,TimeOfWeek,$E88)*INDEX(About!E$79:E$82,MATCH($B88,About!$A$79:$A$82,0),1)</f>
        <v>10800000</v>
      </c>
      <c r="J88" s="54">
        <f t="shared" si="6"/>
        <v>104792751</v>
      </c>
      <c r="K88" s="27">
        <f>(SUMIFS(INDEX(Load,,MATCH('Summarized Source Data'!$C88,Hour,0)),Month,'Summarized Source Data'!$A88,Sector,'Summarized Source Data'!K$2,Subsector,"Total",TimeOfWeek,$E88)-SUM(F88:I88))*INDEX(About!G$79:G$82,MATCH($B88,About!$A$79:$A$82,0),1)</f>
        <v>104792751</v>
      </c>
      <c r="L88" s="27">
        <f>SUMIFS(INDEX(Load,,MATCH('Summarized Source Data'!$C88,Hour,0)),Month,'Summarized Source Data'!$A88,Sector,'Summarized Source Data'!L$2,Subsector,'Summarized Source Data'!L$3,TimeOfWeek,$E88)*INDEX(About!H$79:H$82,MATCH($B88,About!$A$79:$A$82,0),1)</f>
        <v>14600000</v>
      </c>
      <c r="M88" s="27">
        <f>SUMIFS(INDEX(Load,,MATCH('Summarized Source Data'!$C88,Hour,0)),Month,'Summarized Source Data'!$A88,Sector,'Summarized Source Data'!M$2,Subsector,'Summarized Source Data'!M$3,TimeOfWeek,$E88)*INDEX(About!I$79:I$82,MATCH($B88,About!$A$79:$A$82,0),1)</f>
        <v>749794</v>
      </c>
      <c r="N88" s="27">
        <f>SUMIFS(INDEX(Load,,MATCH('Summarized Source Data'!$C88,Hour,0)),Month,'Summarized Source Data'!$A88,Sector,'Summarized Source Data'!N$2,Subsector,'Summarized Source Data'!N$3,TimeOfWeek,$E88)*INDEX(About!J$79:J$82,MATCH($B88,About!$A$79:$A$82,0),1)</f>
        <v>0</v>
      </c>
      <c r="O88" s="29">
        <f t="shared" si="7"/>
        <v>504650206</v>
      </c>
      <c r="P88" s="27">
        <f>(SUMIFS(INDEX(Load,,MATCH('Summarized Source Data'!$C88,Hour,0)),Month,'Summarized Source Data'!$A88,Sector,'Summarized Source Data'!P$2,Subsector,"Total",TimeOfWeek,$E88)-SUM(L88:N88)*INDEX(About!L$79:L$82,MATCH($B88,About!$A$79:$A$82,0),1))</f>
        <v>504650206</v>
      </c>
      <c r="Q88" s="29">
        <f t="shared" si="8"/>
        <v>504650206</v>
      </c>
      <c r="R88" s="33">
        <f>SUMIFS(INDEX(Load,,MATCH('Summarized Source Data'!$C88,Hour,0)),Month,'Summarized Source Data'!$A88,Sector,'Summarized Source Data'!R$2,TimeOfWeek,$E88)*INDEX(About!N$79:N$82,MATCH($B88,About!$A$79:$A$82,0),1)</f>
        <v>11800000</v>
      </c>
      <c r="S88" s="33">
        <f>SUMIFS(INDEX(Load,,MATCH('Summarized Source Data'!$C88,Hour,0)),Month,'Summarized Source Data'!$A88,Sector,'Summarized Source Data'!S$2,TimeOfWeek,$E88)*INDEX(About!O$79:O$82,MATCH($B88,About!$A$79:$A$82,0),1)</f>
        <v>11800000</v>
      </c>
      <c r="T88" s="33">
        <f>SUMIFS(INDEX(Load,,MATCH('Summarized Source Data'!$C88,Hour,0)),Month,'Summarized Source Data'!$A88,Sector,'Summarized Source Data'!T$2,TimeOfWeek,$E88)*INDEX(About!P$79:P$82,MATCH($B88,About!$A$79:$A$82,0),1)</f>
        <v>11800000</v>
      </c>
      <c r="U88" s="33">
        <f>SUMIFS(INDEX(Load,,MATCH('Summarized Source Data'!$C88,Hour,0)),Month,'Summarized Source Data'!$A88,Sector,'Summarized Source Data'!U$2,TimeOfWeek,$E88)*INDEX(About!Q$79:Q$82,MATCH($B88,About!$A$79:$A$82,0),1)</f>
        <v>11800000</v>
      </c>
      <c r="V88" s="33">
        <f>SUMIFS(INDEX(Load,,MATCH('Summarized Source Data'!$C88,Hour,0)),Month,'Summarized Source Data'!$A88,Sector,'Summarized Source Data'!V$2,TimeOfWeek,$E88)*INDEX(About!R$79:R$82,MATCH($B88,About!$A$79:$A$82,0),1)</f>
        <v>11800000</v>
      </c>
      <c r="W88" s="33">
        <f>SUMIFS(INDEX(Load,,MATCH('Summarized Source Data'!$C88,Hour,0)),Month,'Summarized Source Data'!$A88,Sector,'Summarized Source Data'!W$2,TimeOfWeek,$E88)*INDEX(About!S$79:S$82,MATCH($B88,About!$A$79:$A$82,0),1)</f>
        <v>11800000</v>
      </c>
      <c r="X88" s="27">
        <f>SUMIFS(INDEX(Load,,MATCH('Summarized Source Data'!$C88,Hour,0)),Month,'Summarized Source Data'!$A88,Sector,'Summarized Source Data'!X$2,Subsector,'Summarized Source Data'!X$3,TimeOfWeek,$E88)*INDEX(About!T$79:T$82,MATCH($B88,About!$A$79:$A$82,0),1)</f>
        <v>650000000</v>
      </c>
      <c r="Y88" s="29">
        <f t="shared" si="9"/>
        <v>650000000</v>
      </c>
      <c r="Z88" s="29">
        <f t="shared" si="9"/>
        <v>650000000</v>
      </c>
    </row>
    <row r="89" spans="1:26" outlineLevel="1" x14ac:dyDescent="0.3">
      <c r="A89">
        <f t="shared" si="5"/>
        <v>4</v>
      </c>
      <c r="B89" t="str">
        <f>INDEX('Category Mapping'!$G$28:$G$39,MATCH(A89,'Category Mapping'!$A$28:$A$39,0),1)</f>
        <v>Spring</v>
      </c>
      <c r="C89" t="s">
        <v>76</v>
      </c>
      <c r="D89" s="6" t="s">
        <v>151</v>
      </c>
      <c r="E89" t="s">
        <v>49</v>
      </c>
      <c r="F89" s="27">
        <f>SUMIFS(INDEX(Load,,MATCH('Summarized Source Data'!$C89,Hour,0)),Month,'Summarized Source Data'!$A89,Sector,'Summarized Source Data'!F$2,Subsector,'Summarized Source Data'!F$3,TimeOfWeek,$E89)*INDEX(About!B$79:B$82,MATCH($B89,About!$A$79:$A$82,0),1)</f>
        <v>6440861</v>
      </c>
      <c r="G89" s="27">
        <f>SUMIFS(INDEX(Load,,MATCH('Summarized Source Data'!$C89,Hour,0)),Month,'Summarized Source Data'!$A89,Sector,'Summarized Source Data'!G$2,Subsector,'Summarized Source Data'!G$3,TimeOfWeek,$E89)*INDEX(About!C$79:C$82,MATCH($B89,About!$A$79:$A$82,0),1)</f>
        <v>536764</v>
      </c>
      <c r="H89" s="27">
        <f>SUMIFS(INDEX(Load,,MATCH('Summarized Source Data'!$C89,Hour,0)),Month,'Summarized Source Data'!$A89,Sector,'Summarized Source Data'!H$2,Subsector,'Summarized Source Data'!H$3,TimeOfWeek,$E89)*INDEX(About!D$79:D$82,MATCH($B89,About!$A$79:$A$82,0),1)</f>
        <v>0</v>
      </c>
      <c r="I89" s="27">
        <f>SUMIFS(INDEX(Load,,MATCH('Summarized Source Data'!$C89,Hour,0)),Month,'Summarized Source Data'!$A89,Sector,'Summarized Source Data'!I$2,Subsector,'Summarized Source Data'!I$3,TimeOfWeek,$E89)*INDEX(About!E$79:E$82,MATCH($B89,About!$A$79:$A$82,0),1)</f>
        <v>10900000</v>
      </c>
      <c r="J89" s="54">
        <f t="shared" si="6"/>
        <v>104122375</v>
      </c>
      <c r="K89" s="27">
        <f>(SUMIFS(INDEX(Load,,MATCH('Summarized Source Data'!$C89,Hour,0)),Month,'Summarized Source Data'!$A89,Sector,'Summarized Source Data'!K$2,Subsector,"Total",TimeOfWeek,$E89)-SUM(F89:I89))*INDEX(About!G$79:G$82,MATCH($B89,About!$A$79:$A$82,0),1)</f>
        <v>104122375</v>
      </c>
      <c r="L89" s="27">
        <f>SUMIFS(INDEX(Load,,MATCH('Summarized Source Data'!$C89,Hour,0)),Month,'Summarized Source Data'!$A89,Sector,'Summarized Source Data'!L$2,Subsector,'Summarized Source Data'!L$3,TimeOfWeek,$E89)*INDEX(About!H$79:H$82,MATCH($B89,About!$A$79:$A$82,0),1)</f>
        <v>13400000</v>
      </c>
      <c r="M89" s="27">
        <f>SUMIFS(INDEX(Load,,MATCH('Summarized Source Data'!$C89,Hour,0)),Month,'Summarized Source Data'!$A89,Sector,'Summarized Source Data'!M$2,Subsector,'Summarized Source Data'!M$3,TimeOfWeek,$E89)*INDEX(About!I$79:I$82,MATCH($B89,About!$A$79:$A$82,0),1)</f>
        <v>769890</v>
      </c>
      <c r="N89" s="27">
        <f>SUMIFS(INDEX(Load,,MATCH('Summarized Source Data'!$C89,Hour,0)),Month,'Summarized Source Data'!$A89,Sector,'Summarized Source Data'!N$2,Subsector,'Summarized Source Data'!N$3,TimeOfWeek,$E89)*INDEX(About!J$79:J$82,MATCH($B89,About!$A$79:$A$82,0),1)</f>
        <v>0</v>
      </c>
      <c r="O89" s="29">
        <f t="shared" si="7"/>
        <v>504830110</v>
      </c>
      <c r="P89" s="27">
        <f>(SUMIFS(INDEX(Load,,MATCH('Summarized Source Data'!$C89,Hour,0)),Month,'Summarized Source Data'!$A89,Sector,'Summarized Source Data'!P$2,Subsector,"Total",TimeOfWeek,$E89)-SUM(L89:N89)*INDEX(About!L$79:L$82,MATCH($B89,About!$A$79:$A$82,0),1))</f>
        <v>504830110</v>
      </c>
      <c r="Q89" s="29">
        <f t="shared" si="8"/>
        <v>504830110</v>
      </c>
      <c r="R89" s="33">
        <f>SUMIFS(INDEX(Load,,MATCH('Summarized Source Data'!$C89,Hour,0)),Month,'Summarized Source Data'!$A89,Sector,'Summarized Source Data'!R$2,TimeOfWeek,$E89)*INDEX(About!N$79:N$82,MATCH($B89,About!$A$79:$A$82,0),1)</f>
        <v>11800000</v>
      </c>
      <c r="S89" s="33">
        <f>SUMIFS(INDEX(Load,,MATCH('Summarized Source Data'!$C89,Hour,0)),Month,'Summarized Source Data'!$A89,Sector,'Summarized Source Data'!S$2,TimeOfWeek,$E89)*INDEX(About!O$79:O$82,MATCH($B89,About!$A$79:$A$82,0),1)</f>
        <v>11800000</v>
      </c>
      <c r="T89" s="33">
        <f>SUMIFS(INDEX(Load,,MATCH('Summarized Source Data'!$C89,Hour,0)),Month,'Summarized Source Data'!$A89,Sector,'Summarized Source Data'!T$2,TimeOfWeek,$E89)*INDEX(About!P$79:P$82,MATCH($B89,About!$A$79:$A$82,0),1)</f>
        <v>11800000</v>
      </c>
      <c r="U89" s="33">
        <f>SUMIFS(INDEX(Load,,MATCH('Summarized Source Data'!$C89,Hour,0)),Month,'Summarized Source Data'!$A89,Sector,'Summarized Source Data'!U$2,TimeOfWeek,$E89)*INDEX(About!Q$79:Q$82,MATCH($B89,About!$A$79:$A$82,0),1)</f>
        <v>11800000</v>
      </c>
      <c r="V89" s="33">
        <f>SUMIFS(INDEX(Load,,MATCH('Summarized Source Data'!$C89,Hour,0)),Month,'Summarized Source Data'!$A89,Sector,'Summarized Source Data'!V$2,TimeOfWeek,$E89)*INDEX(About!R$79:R$82,MATCH($B89,About!$A$79:$A$82,0),1)</f>
        <v>11800000</v>
      </c>
      <c r="W89" s="33">
        <f>SUMIFS(INDEX(Load,,MATCH('Summarized Source Data'!$C89,Hour,0)),Month,'Summarized Source Data'!$A89,Sector,'Summarized Source Data'!W$2,TimeOfWeek,$E89)*INDEX(About!S$79:S$82,MATCH($B89,About!$A$79:$A$82,0),1)</f>
        <v>11800000</v>
      </c>
      <c r="X89" s="27">
        <f>SUMIFS(INDEX(Load,,MATCH('Summarized Source Data'!$C89,Hour,0)),Month,'Summarized Source Data'!$A89,Sector,'Summarized Source Data'!X$2,Subsector,'Summarized Source Data'!X$3,TimeOfWeek,$E89)*INDEX(About!T$79:T$82,MATCH($B89,About!$A$79:$A$82,0),1)</f>
        <v>650000000</v>
      </c>
      <c r="Y89" s="29">
        <f t="shared" si="9"/>
        <v>650000000</v>
      </c>
      <c r="Z89" s="29">
        <f t="shared" si="9"/>
        <v>650000000</v>
      </c>
    </row>
    <row r="90" spans="1:26" outlineLevel="1" x14ac:dyDescent="0.3">
      <c r="A90">
        <f t="shared" si="5"/>
        <v>4</v>
      </c>
      <c r="B90" t="str">
        <f>INDEX('Category Mapping'!$G$28:$G$39,MATCH(A90,'Category Mapping'!$A$28:$A$39,0),1)</f>
        <v>Spring</v>
      </c>
      <c r="C90" t="s">
        <v>77</v>
      </c>
      <c r="D90" s="6" t="s">
        <v>152</v>
      </c>
      <c r="E90" t="s">
        <v>49</v>
      </c>
      <c r="F90" s="27">
        <f>SUMIFS(INDEX(Load,,MATCH('Summarized Source Data'!$C90,Hour,0)),Month,'Summarized Source Data'!$A90,Sector,'Summarized Source Data'!F$2,Subsector,'Summarized Source Data'!F$3,TimeOfWeek,$E90)*INDEX(About!B$79:B$82,MATCH($B90,About!$A$79:$A$82,0),1)</f>
        <v>6534109</v>
      </c>
      <c r="G90" s="27">
        <f>SUMIFS(INDEX(Load,,MATCH('Summarized Source Data'!$C90,Hour,0)),Month,'Summarized Source Data'!$A90,Sector,'Summarized Source Data'!G$2,Subsector,'Summarized Source Data'!G$3,TimeOfWeek,$E90)*INDEX(About!C$79:C$82,MATCH($B90,About!$A$79:$A$82,0),1)</f>
        <v>1040400</v>
      </c>
      <c r="H90" s="27">
        <f>SUMIFS(INDEX(Load,,MATCH('Summarized Source Data'!$C90,Hour,0)),Month,'Summarized Source Data'!$A90,Sector,'Summarized Source Data'!H$2,Subsector,'Summarized Source Data'!H$3,TimeOfWeek,$E90)*INDEX(About!D$79:D$82,MATCH($B90,About!$A$79:$A$82,0),1)</f>
        <v>0</v>
      </c>
      <c r="I90" s="27">
        <f>SUMIFS(INDEX(Load,,MATCH('Summarized Source Data'!$C90,Hour,0)),Month,'Summarized Source Data'!$A90,Sector,'Summarized Source Data'!I$2,Subsector,'Summarized Source Data'!I$3,TimeOfWeek,$E90)*INDEX(About!E$79:E$82,MATCH($B90,About!$A$79:$A$82,0),1)</f>
        <v>11200000</v>
      </c>
      <c r="J90" s="54">
        <f t="shared" si="6"/>
        <v>107225491</v>
      </c>
      <c r="K90" s="27">
        <f>(SUMIFS(INDEX(Load,,MATCH('Summarized Source Data'!$C90,Hour,0)),Month,'Summarized Source Data'!$A90,Sector,'Summarized Source Data'!K$2,Subsector,"Total",TimeOfWeek,$E90)-SUM(F90:I90))*INDEX(About!G$79:G$82,MATCH($B90,About!$A$79:$A$82,0),1)</f>
        <v>107225491</v>
      </c>
      <c r="L90" s="27">
        <f>SUMIFS(INDEX(Load,,MATCH('Summarized Source Data'!$C90,Hour,0)),Month,'Summarized Source Data'!$A90,Sector,'Summarized Source Data'!L$2,Subsector,'Summarized Source Data'!L$3,TimeOfWeek,$E90)*INDEX(About!H$79:H$82,MATCH($B90,About!$A$79:$A$82,0),1)</f>
        <v>12500000</v>
      </c>
      <c r="M90" s="27">
        <f>SUMIFS(INDEX(Load,,MATCH('Summarized Source Data'!$C90,Hour,0)),Month,'Summarized Source Data'!$A90,Sector,'Summarized Source Data'!M$2,Subsector,'Summarized Source Data'!M$3,TimeOfWeek,$E90)*INDEX(About!I$79:I$82,MATCH($B90,About!$A$79:$A$82,0),1)</f>
        <v>791062</v>
      </c>
      <c r="N90" s="27">
        <f>SUMIFS(INDEX(Load,,MATCH('Summarized Source Data'!$C90,Hour,0)),Month,'Summarized Source Data'!$A90,Sector,'Summarized Source Data'!N$2,Subsector,'Summarized Source Data'!N$3,TimeOfWeek,$E90)*INDEX(About!J$79:J$82,MATCH($B90,About!$A$79:$A$82,0),1)</f>
        <v>0</v>
      </c>
      <c r="O90" s="29">
        <f t="shared" si="7"/>
        <v>504708938</v>
      </c>
      <c r="P90" s="27">
        <f>(SUMIFS(INDEX(Load,,MATCH('Summarized Source Data'!$C90,Hour,0)),Month,'Summarized Source Data'!$A90,Sector,'Summarized Source Data'!P$2,Subsector,"Total",TimeOfWeek,$E90)-SUM(L90:N90)*INDEX(About!L$79:L$82,MATCH($B90,About!$A$79:$A$82,0),1))</f>
        <v>504708938</v>
      </c>
      <c r="Q90" s="29">
        <f t="shared" si="8"/>
        <v>504708938</v>
      </c>
      <c r="R90" s="33">
        <f>SUMIFS(INDEX(Load,,MATCH('Summarized Source Data'!$C90,Hour,0)),Month,'Summarized Source Data'!$A90,Sector,'Summarized Source Data'!R$2,TimeOfWeek,$E90)*INDEX(About!N$79:N$82,MATCH($B90,About!$A$79:$A$82,0),1)</f>
        <v>11600000</v>
      </c>
      <c r="S90" s="33">
        <f>SUMIFS(INDEX(Load,,MATCH('Summarized Source Data'!$C90,Hour,0)),Month,'Summarized Source Data'!$A90,Sector,'Summarized Source Data'!S$2,TimeOfWeek,$E90)*INDEX(About!O$79:O$82,MATCH($B90,About!$A$79:$A$82,0),1)</f>
        <v>11600000</v>
      </c>
      <c r="T90" s="33">
        <f>SUMIFS(INDEX(Load,,MATCH('Summarized Source Data'!$C90,Hour,0)),Month,'Summarized Source Data'!$A90,Sector,'Summarized Source Data'!T$2,TimeOfWeek,$E90)*INDEX(About!P$79:P$82,MATCH($B90,About!$A$79:$A$82,0),1)</f>
        <v>11600000</v>
      </c>
      <c r="U90" s="33">
        <f>SUMIFS(INDEX(Load,,MATCH('Summarized Source Data'!$C90,Hour,0)),Month,'Summarized Source Data'!$A90,Sector,'Summarized Source Data'!U$2,TimeOfWeek,$E90)*INDEX(About!Q$79:Q$82,MATCH($B90,About!$A$79:$A$82,0),1)</f>
        <v>11600000</v>
      </c>
      <c r="V90" s="33">
        <f>SUMIFS(INDEX(Load,,MATCH('Summarized Source Data'!$C90,Hour,0)),Month,'Summarized Source Data'!$A90,Sector,'Summarized Source Data'!V$2,TimeOfWeek,$E90)*INDEX(About!R$79:R$82,MATCH($B90,About!$A$79:$A$82,0),1)</f>
        <v>11600000</v>
      </c>
      <c r="W90" s="33">
        <f>SUMIFS(INDEX(Load,,MATCH('Summarized Source Data'!$C90,Hour,0)),Month,'Summarized Source Data'!$A90,Sector,'Summarized Source Data'!W$2,TimeOfWeek,$E90)*INDEX(About!S$79:S$82,MATCH($B90,About!$A$79:$A$82,0),1)</f>
        <v>11600000</v>
      </c>
      <c r="X90" s="27">
        <f>SUMIFS(INDEX(Load,,MATCH('Summarized Source Data'!$C90,Hour,0)),Month,'Summarized Source Data'!$A90,Sector,'Summarized Source Data'!X$2,Subsector,'Summarized Source Data'!X$3,TimeOfWeek,$E90)*INDEX(About!T$79:T$82,MATCH($B90,About!$A$79:$A$82,0),1)</f>
        <v>651000000</v>
      </c>
      <c r="Y90" s="29">
        <f t="shared" si="9"/>
        <v>651000000</v>
      </c>
      <c r="Z90" s="29">
        <f t="shared" si="9"/>
        <v>651000000</v>
      </c>
    </row>
    <row r="91" spans="1:26" outlineLevel="1" x14ac:dyDescent="0.3">
      <c r="A91">
        <f t="shared" si="5"/>
        <v>4</v>
      </c>
      <c r="B91" t="str">
        <f>INDEX('Category Mapping'!$G$28:$G$39,MATCH(A91,'Category Mapping'!$A$28:$A$39,0),1)</f>
        <v>Spring</v>
      </c>
      <c r="C91" t="s">
        <v>78</v>
      </c>
      <c r="D91" s="6" t="s">
        <v>153</v>
      </c>
      <c r="E91" t="s">
        <v>49</v>
      </c>
      <c r="F91" s="27">
        <f>SUMIFS(INDEX(Load,,MATCH('Summarized Source Data'!$C91,Hour,0)),Month,'Summarized Source Data'!$A91,Sector,'Summarized Source Data'!F$2,Subsector,'Summarized Source Data'!F$3,TimeOfWeek,$E91)*INDEX(About!B$79:B$82,MATCH($B91,About!$A$79:$A$82,0),1)</f>
        <v>6835315</v>
      </c>
      <c r="G91" s="27">
        <f>SUMIFS(INDEX(Load,,MATCH('Summarized Source Data'!$C91,Hour,0)),Month,'Summarized Source Data'!$A91,Sector,'Summarized Source Data'!G$2,Subsector,'Summarized Source Data'!G$3,TimeOfWeek,$E91)*INDEX(About!C$79:C$82,MATCH($B91,About!$A$79:$A$82,0),1)</f>
        <v>612197</v>
      </c>
      <c r="H91" s="27">
        <f>SUMIFS(INDEX(Load,,MATCH('Summarized Source Data'!$C91,Hour,0)),Month,'Summarized Source Data'!$A91,Sector,'Summarized Source Data'!H$2,Subsector,'Summarized Source Data'!H$3,TimeOfWeek,$E91)*INDEX(About!D$79:D$82,MATCH($B91,About!$A$79:$A$82,0),1)</f>
        <v>0</v>
      </c>
      <c r="I91" s="27">
        <f>SUMIFS(INDEX(Load,,MATCH('Summarized Source Data'!$C91,Hour,0)),Month,'Summarized Source Data'!$A91,Sector,'Summarized Source Data'!I$2,Subsector,'Summarized Source Data'!I$3,TimeOfWeek,$E91)*INDEX(About!E$79:E$82,MATCH($B91,About!$A$79:$A$82,0),1)</f>
        <v>12100000</v>
      </c>
      <c r="J91" s="54">
        <f t="shared" si="6"/>
        <v>121452488</v>
      </c>
      <c r="K91" s="27">
        <f>(SUMIFS(INDEX(Load,,MATCH('Summarized Source Data'!$C91,Hour,0)),Month,'Summarized Source Data'!$A91,Sector,'Summarized Source Data'!K$2,Subsector,"Total",TimeOfWeek,$E91)-SUM(F91:I91))*INDEX(About!G$79:G$82,MATCH($B91,About!$A$79:$A$82,0),1)</f>
        <v>121452488</v>
      </c>
      <c r="L91" s="27">
        <f>SUMIFS(INDEX(Load,,MATCH('Summarized Source Data'!$C91,Hour,0)),Month,'Summarized Source Data'!$A91,Sector,'Summarized Source Data'!L$2,Subsector,'Summarized Source Data'!L$3,TimeOfWeek,$E91)*INDEX(About!H$79:H$82,MATCH($B91,About!$A$79:$A$82,0),1)</f>
        <v>11500000</v>
      </c>
      <c r="M91" s="27">
        <f>SUMIFS(INDEX(Load,,MATCH('Summarized Source Data'!$C91,Hour,0)),Month,'Summarized Source Data'!$A91,Sector,'Summarized Source Data'!M$2,Subsector,'Summarized Source Data'!M$3,TimeOfWeek,$E91)*INDEX(About!I$79:I$82,MATCH($B91,About!$A$79:$A$82,0),1)</f>
        <v>789317</v>
      </c>
      <c r="N91" s="27">
        <f>SUMIFS(INDEX(Load,,MATCH('Summarized Source Data'!$C91,Hour,0)),Month,'Summarized Source Data'!$A91,Sector,'Summarized Source Data'!N$2,Subsector,'Summarized Source Data'!N$3,TimeOfWeek,$E91)*INDEX(About!J$79:J$82,MATCH($B91,About!$A$79:$A$82,0),1)</f>
        <v>0</v>
      </c>
      <c r="O91" s="29">
        <f t="shared" si="7"/>
        <v>504710683</v>
      </c>
      <c r="P91" s="27">
        <f>(SUMIFS(INDEX(Load,,MATCH('Summarized Source Data'!$C91,Hour,0)),Month,'Summarized Source Data'!$A91,Sector,'Summarized Source Data'!P$2,Subsector,"Total",TimeOfWeek,$E91)-SUM(L91:N91)*INDEX(About!L$79:L$82,MATCH($B91,About!$A$79:$A$82,0),1))</f>
        <v>504710683</v>
      </c>
      <c r="Q91" s="29">
        <f t="shared" si="8"/>
        <v>504710683</v>
      </c>
      <c r="R91" s="33">
        <f>SUMIFS(INDEX(Load,,MATCH('Summarized Source Data'!$C91,Hour,0)),Month,'Summarized Source Data'!$A91,Sector,'Summarized Source Data'!R$2,TimeOfWeek,$E91)*INDEX(About!N$79:N$82,MATCH($B91,About!$A$79:$A$82,0),1)</f>
        <v>13800000</v>
      </c>
      <c r="S91" s="33">
        <f>SUMIFS(INDEX(Load,,MATCH('Summarized Source Data'!$C91,Hour,0)),Month,'Summarized Source Data'!$A91,Sector,'Summarized Source Data'!S$2,TimeOfWeek,$E91)*INDEX(About!O$79:O$82,MATCH($B91,About!$A$79:$A$82,0),1)</f>
        <v>13800000</v>
      </c>
      <c r="T91" s="33">
        <f>SUMIFS(INDEX(Load,,MATCH('Summarized Source Data'!$C91,Hour,0)),Month,'Summarized Source Data'!$A91,Sector,'Summarized Source Data'!T$2,TimeOfWeek,$E91)*INDEX(About!P$79:P$82,MATCH($B91,About!$A$79:$A$82,0),1)</f>
        <v>13800000</v>
      </c>
      <c r="U91" s="33">
        <f>SUMIFS(INDEX(Load,,MATCH('Summarized Source Data'!$C91,Hour,0)),Month,'Summarized Source Data'!$A91,Sector,'Summarized Source Data'!U$2,TimeOfWeek,$E91)*INDEX(About!Q$79:Q$82,MATCH($B91,About!$A$79:$A$82,0),1)</f>
        <v>13800000</v>
      </c>
      <c r="V91" s="33">
        <f>SUMIFS(INDEX(Load,,MATCH('Summarized Source Data'!$C91,Hour,0)),Month,'Summarized Source Data'!$A91,Sector,'Summarized Source Data'!V$2,TimeOfWeek,$E91)*INDEX(About!R$79:R$82,MATCH($B91,About!$A$79:$A$82,0),1)</f>
        <v>13800000</v>
      </c>
      <c r="W91" s="33">
        <f>SUMIFS(INDEX(Load,,MATCH('Summarized Source Data'!$C91,Hour,0)),Month,'Summarized Source Data'!$A91,Sector,'Summarized Source Data'!W$2,TimeOfWeek,$E91)*INDEX(About!S$79:S$82,MATCH($B91,About!$A$79:$A$82,0),1)</f>
        <v>13800000</v>
      </c>
      <c r="X91" s="27">
        <f>SUMIFS(INDEX(Load,,MATCH('Summarized Source Data'!$C91,Hour,0)),Month,'Summarized Source Data'!$A91,Sector,'Summarized Source Data'!X$2,Subsector,'Summarized Source Data'!X$3,TimeOfWeek,$E91)*INDEX(About!T$79:T$82,MATCH($B91,About!$A$79:$A$82,0),1)</f>
        <v>656000000</v>
      </c>
      <c r="Y91" s="29">
        <f t="shared" si="9"/>
        <v>656000000</v>
      </c>
      <c r="Z91" s="29">
        <f t="shared" si="9"/>
        <v>656000000</v>
      </c>
    </row>
    <row r="92" spans="1:26" outlineLevel="1" x14ac:dyDescent="0.3">
      <c r="A92">
        <f t="shared" si="5"/>
        <v>4</v>
      </c>
      <c r="B92" t="str">
        <f>INDEX('Category Mapping'!$G$28:$G$39,MATCH(A92,'Category Mapping'!$A$28:$A$39,0),1)</f>
        <v>Spring</v>
      </c>
      <c r="C92" t="s">
        <v>79</v>
      </c>
      <c r="D92" s="6" t="s">
        <v>154</v>
      </c>
      <c r="E92" t="s">
        <v>49</v>
      </c>
      <c r="F92" s="27">
        <f>SUMIFS(INDEX(Load,,MATCH('Summarized Source Data'!$C92,Hour,0)),Month,'Summarized Source Data'!$A92,Sector,'Summarized Source Data'!F$2,Subsector,'Summarized Source Data'!F$3,TimeOfWeek,$E92)*INDEX(About!B$79:B$82,MATCH($B92,About!$A$79:$A$82,0),1)</f>
        <v>7198265</v>
      </c>
      <c r="G92" s="27">
        <f>SUMIFS(INDEX(Load,,MATCH('Summarized Source Data'!$C92,Hour,0)),Month,'Summarized Source Data'!$A92,Sector,'Summarized Source Data'!G$2,Subsector,'Summarized Source Data'!G$3,TimeOfWeek,$E92)*INDEX(About!C$79:C$82,MATCH($B92,About!$A$79:$A$82,0),1)</f>
        <v>22666</v>
      </c>
      <c r="H92" s="27">
        <f>SUMIFS(INDEX(Load,,MATCH('Summarized Source Data'!$C92,Hour,0)),Month,'Summarized Source Data'!$A92,Sector,'Summarized Source Data'!H$2,Subsector,'Summarized Source Data'!H$3,TimeOfWeek,$E92)*INDEX(About!D$79:D$82,MATCH($B92,About!$A$79:$A$82,0),1)</f>
        <v>0</v>
      </c>
      <c r="I92" s="27">
        <f>SUMIFS(INDEX(Load,,MATCH('Summarized Source Data'!$C92,Hour,0)),Month,'Summarized Source Data'!$A92,Sector,'Summarized Source Data'!I$2,Subsector,'Summarized Source Data'!I$3,TimeOfWeek,$E92)*INDEX(About!E$79:E$82,MATCH($B92,About!$A$79:$A$82,0),1)</f>
        <v>13200000</v>
      </c>
      <c r="J92" s="54">
        <f t="shared" si="6"/>
        <v>146579069</v>
      </c>
      <c r="K92" s="27">
        <f>(SUMIFS(INDEX(Load,,MATCH('Summarized Source Data'!$C92,Hour,0)),Month,'Summarized Source Data'!$A92,Sector,'Summarized Source Data'!K$2,Subsector,"Total",TimeOfWeek,$E92)-SUM(F92:I92))*INDEX(About!G$79:G$82,MATCH($B92,About!$A$79:$A$82,0),1)</f>
        <v>146579069</v>
      </c>
      <c r="L92" s="27">
        <f>SUMIFS(INDEX(Load,,MATCH('Summarized Source Data'!$C92,Hour,0)),Month,'Summarized Source Data'!$A92,Sector,'Summarized Source Data'!L$2,Subsector,'Summarized Source Data'!L$3,TimeOfWeek,$E92)*INDEX(About!H$79:H$82,MATCH($B92,About!$A$79:$A$82,0),1)</f>
        <v>10400000</v>
      </c>
      <c r="M92" s="27">
        <f>SUMIFS(INDEX(Load,,MATCH('Summarized Source Data'!$C92,Hour,0)),Month,'Summarized Source Data'!$A92,Sector,'Summarized Source Data'!M$2,Subsector,'Summarized Source Data'!M$3,TimeOfWeek,$E92)*INDEX(About!I$79:I$82,MATCH($B92,About!$A$79:$A$82,0),1)</f>
        <v>770811</v>
      </c>
      <c r="N92" s="27">
        <f>SUMIFS(INDEX(Load,,MATCH('Summarized Source Data'!$C92,Hour,0)),Month,'Summarized Source Data'!$A92,Sector,'Summarized Source Data'!N$2,Subsector,'Summarized Source Data'!N$3,TimeOfWeek,$E92)*INDEX(About!J$79:J$82,MATCH($B92,About!$A$79:$A$82,0),1)</f>
        <v>0</v>
      </c>
      <c r="O92" s="29">
        <f t="shared" si="7"/>
        <v>487829189</v>
      </c>
      <c r="P92" s="27">
        <f>(SUMIFS(INDEX(Load,,MATCH('Summarized Source Data'!$C92,Hour,0)),Month,'Summarized Source Data'!$A92,Sector,'Summarized Source Data'!P$2,Subsector,"Total",TimeOfWeek,$E92)-SUM(L92:N92)*INDEX(About!L$79:L$82,MATCH($B92,About!$A$79:$A$82,0),1))</f>
        <v>487829189</v>
      </c>
      <c r="Q92" s="29">
        <f t="shared" si="8"/>
        <v>487829189</v>
      </c>
      <c r="R92" s="33">
        <f>SUMIFS(INDEX(Load,,MATCH('Summarized Source Data'!$C92,Hour,0)),Month,'Summarized Source Data'!$A92,Sector,'Summarized Source Data'!R$2,TimeOfWeek,$E92)*INDEX(About!N$79:N$82,MATCH($B92,About!$A$79:$A$82,0),1)</f>
        <v>15900000</v>
      </c>
      <c r="S92" s="33">
        <f>SUMIFS(INDEX(Load,,MATCH('Summarized Source Data'!$C92,Hour,0)),Month,'Summarized Source Data'!$A92,Sector,'Summarized Source Data'!S$2,TimeOfWeek,$E92)*INDEX(About!O$79:O$82,MATCH($B92,About!$A$79:$A$82,0),1)</f>
        <v>15900000</v>
      </c>
      <c r="T92" s="33">
        <f>SUMIFS(INDEX(Load,,MATCH('Summarized Source Data'!$C92,Hour,0)),Month,'Summarized Source Data'!$A92,Sector,'Summarized Source Data'!T$2,TimeOfWeek,$E92)*INDEX(About!P$79:P$82,MATCH($B92,About!$A$79:$A$82,0),1)</f>
        <v>15900000</v>
      </c>
      <c r="U92" s="33">
        <f>SUMIFS(INDEX(Load,,MATCH('Summarized Source Data'!$C92,Hour,0)),Month,'Summarized Source Data'!$A92,Sector,'Summarized Source Data'!U$2,TimeOfWeek,$E92)*INDEX(About!Q$79:Q$82,MATCH($B92,About!$A$79:$A$82,0),1)</f>
        <v>15900000</v>
      </c>
      <c r="V92" s="33">
        <f>SUMIFS(INDEX(Load,,MATCH('Summarized Source Data'!$C92,Hour,0)),Month,'Summarized Source Data'!$A92,Sector,'Summarized Source Data'!V$2,TimeOfWeek,$E92)*INDEX(About!R$79:R$82,MATCH($B92,About!$A$79:$A$82,0),1)</f>
        <v>15900000</v>
      </c>
      <c r="W92" s="33">
        <f>SUMIFS(INDEX(Load,,MATCH('Summarized Source Data'!$C92,Hour,0)),Month,'Summarized Source Data'!$A92,Sector,'Summarized Source Data'!W$2,TimeOfWeek,$E92)*INDEX(About!S$79:S$82,MATCH($B92,About!$A$79:$A$82,0),1)</f>
        <v>15900000</v>
      </c>
      <c r="X92" s="27">
        <f>SUMIFS(INDEX(Load,,MATCH('Summarized Source Data'!$C92,Hour,0)),Month,'Summarized Source Data'!$A92,Sector,'Summarized Source Data'!X$2,Subsector,'Summarized Source Data'!X$3,TimeOfWeek,$E92)*INDEX(About!T$79:T$82,MATCH($B92,About!$A$79:$A$82,0),1)</f>
        <v>662000000</v>
      </c>
      <c r="Y92" s="29">
        <f t="shared" si="9"/>
        <v>662000000</v>
      </c>
      <c r="Z92" s="29">
        <f t="shared" si="9"/>
        <v>662000000</v>
      </c>
    </row>
    <row r="93" spans="1:26" outlineLevel="1" x14ac:dyDescent="0.3">
      <c r="A93">
        <f t="shared" si="5"/>
        <v>4</v>
      </c>
      <c r="B93" t="str">
        <f>INDEX('Category Mapping'!$G$28:$G$39,MATCH(A93,'Category Mapping'!$A$28:$A$39,0),1)</f>
        <v>Spring</v>
      </c>
      <c r="C93" t="s">
        <v>80</v>
      </c>
      <c r="D93" s="6" t="s">
        <v>155</v>
      </c>
      <c r="E93" t="s">
        <v>49</v>
      </c>
      <c r="F93" s="27">
        <f>SUMIFS(INDEX(Load,,MATCH('Summarized Source Data'!$C93,Hour,0)),Month,'Summarized Source Data'!$A93,Sector,'Summarized Source Data'!F$2,Subsector,'Summarized Source Data'!F$3,TimeOfWeek,$E93)*INDEX(About!B$79:B$82,MATCH($B93,About!$A$79:$A$82,0),1)</f>
        <v>7597023</v>
      </c>
      <c r="G93" s="27">
        <f>SUMIFS(INDEX(Load,,MATCH('Summarized Source Data'!$C93,Hour,0)),Month,'Summarized Source Data'!$A93,Sector,'Summarized Source Data'!G$2,Subsector,'Summarized Source Data'!G$3,TimeOfWeek,$E93)*INDEX(About!C$79:C$82,MATCH($B93,About!$A$79:$A$82,0),1)</f>
        <v>24843</v>
      </c>
      <c r="H93" s="27">
        <f>SUMIFS(INDEX(Load,,MATCH('Summarized Source Data'!$C93,Hour,0)),Month,'Summarized Source Data'!$A93,Sector,'Summarized Source Data'!H$2,Subsector,'Summarized Source Data'!H$3,TimeOfWeek,$E93)*INDEX(About!D$79:D$82,MATCH($B93,About!$A$79:$A$82,0),1)</f>
        <v>0</v>
      </c>
      <c r="I93" s="27">
        <f>SUMIFS(INDEX(Load,,MATCH('Summarized Source Data'!$C93,Hour,0)),Month,'Summarized Source Data'!$A93,Sector,'Summarized Source Data'!I$2,Subsector,'Summarized Source Data'!I$3,TimeOfWeek,$E93)*INDEX(About!E$79:E$82,MATCH($B93,About!$A$79:$A$82,0),1)</f>
        <v>22800000</v>
      </c>
      <c r="J93" s="54">
        <f t="shared" si="6"/>
        <v>161578134</v>
      </c>
      <c r="K93" s="27">
        <f>(SUMIFS(INDEX(Load,,MATCH('Summarized Source Data'!$C93,Hour,0)),Month,'Summarized Source Data'!$A93,Sector,'Summarized Source Data'!K$2,Subsector,"Total",TimeOfWeek,$E93)-SUM(F93:I93))*INDEX(About!G$79:G$82,MATCH($B93,About!$A$79:$A$82,0),1)</f>
        <v>161578134</v>
      </c>
      <c r="L93" s="27">
        <f>SUMIFS(INDEX(Load,,MATCH('Summarized Source Data'!$C93,Hour,0)),Month,'Summarized Source Data'!$A93,Sector,'Summarized Source Data'!L$2,Subsector,'Summarized Source Data'!L$3,TimeOfWeek,$E93)*INDEX(About!H$79:H$82,MATCH($B93,About!$A$79:$A$82,0),1)</f>
        <v>11400000</v>
      </c>
      <c r="M93" s="27">
        <f>SUMIFS(INDEX(Load,,MATCH('Summarized Source Data'!$C93,Hour,0)),Month,'Summarized Source Data'!$A93,Sector,'Summarized Source Data'!M$2,Subsector,'Summarized Source Data'!M$3,TimeOfWeek,$E93)*INDEX(About!I$79:I$82,MATCH($B93,About!$A$79:$A$82,0),1)</f>
        <v>734843</v>
      </c>
      <c r="N93" s="27">
        <f>SUMIFS(INDEX(Load,,MATCH('Summarized Source Data'!$C93,Hour,0)),Month,'Summarized Source Data'!$A93,Sector,'Summarized Source Data'!N$2,Subsector,'Summarized Source Data'!N$3,TimeOfWeek,$E93)*INDEX(About!J$79:J$82,MATCH($B93,About!$A$79:$A$82,0),1)</f>
        <v>0</v>
      </c>
      <c r="O93" s="29">
        <f t="shared" si="7"/>
        <v>458865157</v>
      </c>
      <c r="P93" s="27">
        <f>(SUMIFS(INDEX(Load,,MATCH('Summarized Source Data'!$C93,Hour,0)),Month,'Summarized Source Data'!$A93,Sector,'Summarized Source Data'!P$2,Subsector,"Total",TimeOfWeek,$E93)-SUM(L93:N93)*INDEX(About!L$79:L$82,MATCH($B93,About!$A$79:$A$82,0),1))</f>
        <v>458865157</v>
      </c>
      <c r="Q93" s="29">
        <f t="shared" si="8"/>
        <v>458865157</v>
      </c>
      <c r="R93" s="33">
        <f>SUMIFS(INDEX(Load,,MATCH('Summarized Source Data'!$C93,Hour,0)),Month,'Summarized Source Data'!$A93,Sector,'Summarized Source Data'!R$2,TimeOfWeek,$E93)*INDEX(About!N$79:N$82,MATCH($B93,About!$A$79:$A$82,0),1)</f>
        <v>16800000</v>
      </c>
      <c r="S93" s="33">
        <f>SUMIFS(INDEX(Load,,MATCH('Summarized Source Data'!$C93,Hour,0)),Month,'Summarized Source Data'!$A93,Sector,'Summarized Source Data'!S$2,TimeOfWeek,$E93)*INDEX(About!O$79:O$82,MATCH($B93,About!$A$79:$A$82,0),1)</f>
        <v>16800000</v>
      </c>
      <c r="T93" s="33">
        <f>SUMIFS(INDEX(Load,,MATCH('Summarized Source Data'!$C93,Hour,0)),Month,'Summarized Source Data'!$A93,Sector,'Summarized Source Data'!T$2,TimeOfWeek,$E93)*INDEX(About!P$79:P$82,MATCH($B93,About!$A$79:$A$82,0),1)</f>
        <v>16800000</v>
      </c>
      <c r="U93" s="33">
        <f>SUMIFS(INDEX(Load,,MATCH('Summarized Source Data'!$C93,Hour,0)),Month,'Summarized Source Data'!$A93,Sector,'Summarized Source Data'!U$2,TimeOfWeek,$E93)*INDEX(About!Q$79:Q$82,MATCH($B93,About!$A$79:$A$82,0),1)</f>
        <v>16800000</v>
      </c>
      <c r="V93" s="33">
        <f>SUMIFS(INDEX(Load,,MATCH('Summarized Source Data'!$C93,Hour,0)),Month,'Summarized Source Data'!$A93,Sector,'Summarized Source Data'!V$2,TimeOfWeek,$E93)*INDEX(About!R$79:R$82,MATCH($B93,About!$A$79:$A$82,0),1)</f>
        <v>16800000</v>
      </c>
      <c r="W93" s="33">
        <f>SUMIFS(INDEX(Load,,MATCH('Summarized Source Data'!$C93,Hour,0)),Month,'Summarized Source Data'!$A93,Sector,'Summarized Source Data'!W$2,TimeOfWeek,$E93)*INDEX(About!S$79:S$82,MATCH($B93,About!$A$79:$A$82,0),1)</f>
        <v>16800000</v>
      </c>
      <c r="X93" s="27">
        <f>SUMIFS(INDEX(Load,,MATCH('Summarized Source Data'!$C93,Hour,0)),Month,'Summarized Source Data'!$A93,Sector,'Summarized Source Data'!X$2,Subsector,'Summarized Source Data'!X$3,TimeOfWeek,$E93)*INDEX(About!T$79:T$82,MATCH($B93,About!$A$79:$A$82,0),1)</f>
        <v>663000000</v>
      </c>
      <c r="Y93" s="29">
        <f t="shared" si="9"/>
        <v>663000000</v>
      </c>
      <c r="Z93" s="29">
        <f t="shared" si="9"/>
        <v>663000000</v>
      </c>
    </row>
    <row r="94" spans="1:26" outlineLevel="1" x14ac:dyDescent="0.3">
      <c r="A94">
        <f t="shared" si="5"/>
        <v>4</v>
      </c>
      <c r="B94" t="str">
        <f>INDEX('Category Mapping'!$G$28:$G$39,MATCH(A94,'Category Mapping'!$A$28:$A$39,0),1)</f>
        <v>Spring</v>
      </c>
      <c r="C94" t="s">
        <v>81</v>
      </c>
      <c r="D94" s="6" t="s">
        <v>156</v>
      </c>
      <c r="E94" t="s">
        <v>49</v>
      </c>
      <c r="F94" s="27">
        <f>SUMIFS(INDEX(Load,,MATCH('Summarized Source Data'!$C94,Hour,0)),Month,'Summarized Source Data'!$A94,Sector,'Summarized Source Data'!F$2,Subsector,'Summarized Source Data'!F$3,TimeOfWeek,$E94)*INDEX(About!B$79:B$82,MATCH($B94,About!$A$79:$A$82,0),1)</f>
        <v>8050556</v>
      </c>
      <c r="G94" s="27">
        <f>SUMIFS(INDEX(Load,,MATCH('Summarized Source Data'!$C94,Hour,0)),Month,'Summarized Source Data'!$A94,Sector,'Summarized Source Data'!G$2,Subsector,'Summarized Source Data'!G$3,TimeOfWeek,$E94)*INDEX(About!C$79:C$82,MATCH($B94,About!$A$79:$A$82,0),1)</f>
        <v>27579</v>
      </c>
      <c r="H94" s="27">
        <f>SUMIFS(INDEX(Load,,MATCH('Summarized Source Data'!$C94,Hour,0)),Month,'Summarized Source Data'!$A94,Sector,'Summarized Source Data'!H$2,Subsector,'Summarized Source Data'!H$3,TimeOfWeek,$E94)*INDEX(About!D$79:D$82,MATCH($B94,About!$A$79:$A$82,0),1)</f>
        <v>0</v>
      </c>
      <c r="I94" s="27">
        <f>SUMIFS(INDEX(Load,,MATCH('Summarized Source Data'!$C94,Hour,0)),Month,'Summarized Source Data'!$A94,Sector,'Summarized Source Data'!I$2,Subsector,'Summarized Source Data'!I$3,TimeOfWeek,$E94)*INDEX(About!E$79:E$82,MATCH($B94,About!$A$79:$A$82,0),1)</f>
        <v>52600000</v>
      </c>
      <c r="J94" s="54">
        <f t="shared" si="6"/>
        <v>157321865</v>
      </c>
      <c r="K94" s="27">
        <f>(SUMIFS(INDEX(Load,,MATCH('Summarized Source Data'!$C94,Hour,0)),Month,'Summarized Source Data'!$A94,Sector,'Summarized Source Data'!K$2,Subsector,"Total",TimeOfWeek,$E94)-SUM(F94:I94))*INDEX(About!G$79:G$82,MATCH($B94,About!$A$79:$A$82,0),1)</f>
        <v>157321865</v>
      </c>
      <c r="L94" s="27">
        <f>SUMIFS(INDEX(Load,,MATCH('Summarized Source Data'!$C94,Hour,0)),Month,'Summarized Source Data'!$A94,Sector,'Summarized Source Data'!L$2,Subsector,'Summarized Source Data'!L$3,TimeOfWeek,$E94)*INDEX(About!H$79:H$82,MATCH($B94,About!$A$79:$A$82,0),1)</f>
        <v>13000000</v>
      </c>
      <c r="M94" s="27">
        <f>SUMIFS(INDEX(Load,,MATCH('Summarized Source Data'!$C94,Hour,0)),Month,'Summarized Source Data'!$A94,Sector,'Summarized Source Data'!M$2,Subsector,'Summarized Source Data'!M$3,TimeOfWeek,$E94)*INDEX(About!I$79:I$82,MATCH($B94,About!$A$79:$A$82,0),1)</f>
        <v>703736</v>
      </c>
      <c r="N94" s="27">
        <f>SUMIFS(INDEX(Load,,MATCH('Summarized Source Data'!$C94,Hour,0)),Month,'Summarized Source Data'!$A94,Sector,'Summarized Source Data'!N$2,Subsector,'Summarized Source Data'!N$3,TimeOfWeek,$E94)*INDEX(About!J$79:J$82,MATCH($B94,About!$A$79:$A$82,0),1)</f>
        <v>0</v>
      </c>
      <c r="O94" s="29">
        <f t="shared" si="7"/>
        <v>436296264</v>
      </c>
      <c r="P94" s="27">
        <f>(SUMIFS(INDEX(Load,,MATCH('Summarized Source Data'!$C94,Hour,0)),Month,'Summarized Source Data'!$A94,Sector,'Summarized Source Data'!P$2,Subsector,"Total",TimeOfWeek,$E94)-SUM(L94:N94)*INDEX(About!L$79:L$82,MATCH($B94,About!$A$79:$A$82,0),1))</f>
        <v>436296264</v>
      </c>
      <c r="Q94" s="29">
        <f t="shared" si="8"/>
        <v>436296264</v>
      </c>
      <c r="R94" s="33">
        <f>SUMIFS(INDEX(Load,,MATCH('Summarized Source Data'!$C94,Hour,0)),Month,'Summarized Source Data'!$A94,Sector,'Summarized Source Data'!R$2,TimeOfWeek,$E94)*INDEX(About!N$79:N$82,MATCH($B94,About!$A$79:$A$82,0),1)</f>
        <v>15500000</v>
      </c>
      <c r="S94" s="33">
        <f>SUMIFS(INDEX(Load,,MATCH('Summarized Source Data'!$C94,Hour,0)),Month,'Summarized Source Data'!$A94,Sector,'Summarized Source Data'!S$2,TimeOfWeek,$E94)*INDEX(About!O$79:O$82,MATCH($B94,About!$A$79:$A$82,0),1)</f>
        <v>15500000</v>
      </c>
      <c r="T94" s="33">
        <f>SUMIFS(INDEX(Load,,MATCH('Summarized Source Data'!$C94,Hour,0)),Month,'Summarized Source Data'!$A94,Sector,'Summarized Source Data'!T$2,TimeOfWeek,$E94)*INDEX(About!P$79:P$82,MATCH($B94,About!$A$79:$A$82,0),1)</f>
        <v>15500000</v>
      </c>
      <c r="U94" s="33">
        <f>SUMIFS(INDEX(Load,,MATCH('Summarized Source Data'!$C94,Hour,0)),Month,'Summarized Source Data'!$A94,Sector,'Summarized Source Data'!U$2,TimeOfWeek,$E94)*INDEX(About!Q$79:Q$82,MATCH($B94,About!$A$79:$A$82,0),1)</f>
        <v>15500000</v>
      </c>
      <c r="V94" s="33">
        <f>SUMIFS(INDEX(Load,,MATCH('Summarized Source Data'!$C94,Hour,0)),Month,'Summarized Source Data'!$A94,Sector,'Summarized Source Data'!V$2,TimeOfWeek,$E94)*INDEX(About!R$79:R$82,MATCH($B94,About!$A$79:$A$82,0),1)</f>
        <v>15500000</v>
      </c>
      <c r="W94" s="33">
        <f>SUMIFS(INDEX(Load,,MATCH('Summarized Source Data'!$C94,Hour,0)),Month,'Summarized Source Data'!$A94,Sector,'Summarized Source Data'!W$2,TimeOfWeek,$E94)*INDEX(About!S$79:S$82,MATCH($B94,About!$A$79:$A$82,0),1)</f>
        <v>15500000</v>
      </c>
      <c r="X94" s="27">
        <f>SUMIFS(INDEX(Load,,MATCH('Summarized Source Data'!$C94,Hour,0)),Month,'Summarized Source Data'!$A94,Sector,'Summarized Source Data'!X$2,Subsector,'Summarized Source Data'!X$3,TimeOfWeek,$E94)*INDEX(About!T$79:T$82,MATCH($B94,About!$A$79:$A$82,0),1)</f>
        <v>660000000</v>
      </c>
      <c r="Y94" s="29">
        <f t="shared" si="9"/>
        <v>660000000</v>
      </c>
      <c r="Z94" s="29">
        <f t="shared" si="9"/>
        <v>660000000</v>
      </c>
    </row>
    <row r="95" spans="1:26" outlineLevel="1" x14ac:dyDescent="0.3">
      <c r="A95">
        <f t="shared" si="5"/>
        <v>4</v>
      </c>
      <c r="B95" t="str">
        <f>INDEX('Category Mapping'!$G$28:$G$39,MATCH(A95,'Category Mapping'!$A$28:$A$39,0),1)</f>
        <v>Spring</v>
      </c>
      <c r="C95" t="s">
        <v>82</v>
      </c>
      <c r="D95" s="6" t="s">
        <v>157</v>
      </c>
      <c r="E95" t="s">
        <v>49</v>
      </c>
      <c r="F95" s="27">
        <f>SUMIFS(INDEX(Load,,MATCH('Summarized Source Data'!$C95,Hour,0)),Month,'Summarized Source Data'!$A95,Sector,'Summarized Source Data'!F$2,Subsector,'Summarized Source Data'!F$3,TimeOfWeek,$E95)*INDEX(About!B$79:B$82,MATCH($B95,About!$A$79:$A$82,0),1)</f>
        <v>8450511</v>
      </c>
      <c r="G95" s="27">
        <f>SUMIFS(INDEX(Load,,MATCH('Summarized Source Data'!$C95,Hour,0)),Month,'Summarized Source Data'!$A95,Sector,'Summarized Source Data'!G$2,Subsector,'Summarized Source Data'!G$3,TimeOfWeek,$E95)*INDEX(About!C$79:C$82,MATCH($B95,About!$A$79:$A$82,0),1)</f>
        <v>30380</v>
      </c>
      <c r="H95" s="27">
        <f>SUMIFS(INDEX(Load,,MATCH('Summarized Source Data'!$C95,Hour,0)),Month,'Summarized Source Data'!$A95,Sector,'Summarized Source Data'!H$2,Subsector,'Summarized Source Data'!H$3,TimeOfWeek,$E95)*INDEX(About!D$79:D$82,MATCH($B95,About!$A$79:$A$82,0),1)</f>
        <v>0</v>
      </c>
      <c r="I95" s="27">
        <f>SUMIFS(INDEX(Load,,MATCH('Summarized Source Data'!$C95,Hour,0)),Month,'Summarized Source Data'!$A95,Sector,'Summarized Source Data'!I$2,Subsector,'Summarized Source Data'!I$3,TimeOfWeek,$E95)*INDEX(About!E$79:E$82,MATCH($B95,About!$A$79:$A$82,0),1)</f>
        <v>56600000</v>
      </c>
      <c r="J95" s="54">
        <f t="shared" si="6"/>
        <v>149919109</v>
      </c>
      <c r="K95" s="27">
        <f>(SUMIFS(INDEX(Load,,MATCH('Summarized Source Data'!$C95,Hour,0)),Month,'Summarized Source Data'!$A95,Sector,'Summarized Source Data'!K$2,Subsector,"Total",TimeOfWeek,$E95)-SUM(F95:I95))*INDEX(About!G$79:G$82,MATCH($B95,About!$A$79:$A$82,0),1)</f>
        <v>149919109</v>
      </c>
      <c r="L95" s="27">
        <f>SUMIFS(INDEX(Load,,MATCH('Summarized Source Data'!$C95,Hour,0)),Month,'Summarized Source Data'!$A95,Sector,'Summarized Source Data'!L$2,Subsector,'Summarized Source Data'!L$3,TimeOfWeek,$E95)*INDEX(About!H$79:H$82,MATCH($B95,About!$A$79:$A$82,0),1)</f>
        <v>15600000</v>
      </c>
      <c r="M95" s="27">
        <f>SUMIFS(INDEX(Load,,MATCH('Summarized Source Data'!$C95,Hour,0)),Month,'Summarized Source Data'!$A95,Sector,'Summarized Source Data'!M$2,Subsector,'Summarized Source Data'!M$3,TimeOfWeek,$E95)*INDEX(About!I$79:I$82,MATCH($B95,About!$A$79:$A$82,0),1)</f>
        <v>659344</v>
      </c>
      <c r="N95" s="27">
        <f>SUMIFS(INDEX(Load,,MATCH('Summarized Source Data'!$C95,Hour,0)),Month,'Summarized Source Data'!$A95,Sector,'Summarized Source Data'!N$2,Subsector,'Summarized Source Data'!N$3,TimeOfWeek,$E95)*INDEX(About!J$79:J$82,MATCH($B95,About!$A$79:$A$82,0),1)</f>
        <v>0</v>
      </c>
      <c r="O95" s="29">
        <f t="shared" si="7"/>
        <v>365740656</v>
      </c>
      <c r="P95" s="27">
        <f>(SUMIFS(INDEX(Load,,MATCH('Summarized Source Data'!$C95,Hour,0)),Month,'Summarized Source Data'!$A95,Sector,'Summarized Source Data'!P$2,Subsector,"Total",TimeOfWeek,$E95)-SUM(L95:N95)*INDEX(About!L$79:L$82,MATCH($B95,About!$A$79:$A$82,0),1))</f>
        <v>365740656</v>
      </c>
      <c r="Q95" s="29">
        <f t="shared" si="8"/>
        <v>365740656</v>
      </c>
      <c r="R95" s="33">
        <f>SUMIFS(INDEX(Load,,MATCH('Summarized Source Data'!$C95,Hour,0)),Month,'Summarized Source Data'!$A95,Sector,'Summarized Source Data'!R$2,TimeOfWeek,$E95)*INDEX(About!N$79:N$82,MATCH($B95,About!$A$79:$A$82,0),1)</f>
        <v>12700000</v>
      </c>
      <c r="S95" s="33">
        <f>SUMIFS(INDEX(Load,,MATCH('Summarized Source Data'!$C95,Hour,0)),Month,'Summarized Source Data'!$A95,Sector,'Summarized Source Data'!S$2,TimeOfWeek,$E95)*INDEX(About!O$79:O$82,MATCH($B95,About!$A$79:$A$82,0),1)</f>
        <v>12700000</v>
      </c>
      <c r="T95" s="33">
        <f>SUMIFS(INDEX(Load,,MATCH('Summarized Source Data'!$C95,Hour,0)),Month,'Summarized Source Data'!$A95,Sector,'Summarized Source Data'!T$2,TimeOfWeek,$E95)*INDEX(About!P$79:P$82,MATCH($B95,About!$A$79:$A$82,0),1)</f>
        <v>12700000</v>
      </c>
      <c r="U95" s="33">
        <f>SUMIFS(INDEX(Load,,MATCH('Summarized Source Data'!$C95,Hour,0)),Month,'Summarized Source Data'!$A95,Sector,'Summarized Source Data'!U$2,TimeOfWeek,$E95)*INDEX(About!Q$79:Q$82,MATCH($B95,About!$A$79:$A$82,0),1)</f>
        <v>12700000</v>
      </c>
      <c r="V95" s="33">
        <f>SUMIFS(INDEX(Load,,MATCH('Summarized Source Data'!$C95,Hour,0)),Month,'Summarized Source Data'!$A95,Sector,'Summarized Source Data'!V$2,TimeOfWeek,$E95)*INDEX(About!R$79:R$82,MATCH($B95,About!$A$79:$A$82,0),1)</f>
        <v>12700000</v>
      </c>
      <c r="W95" s="33">
        <f>SUMIFS(INDEX(Load,,MATCH('Summarized Source Data'!$C95,Hour,0)),Month,'Summarized Source Data'!$A95,Sector,'Summarized Source Data'!W$2,TimeOfWeek,$E95)*INDEX(About!S$79:S$82,MATCH($B95,About!$A$79:$A$82,0),1)</f>
        <v>12700000</v>
      </c>
      <c r="X95" s="27">
        <f>SUMIFS(INDEX(Load,,MATCH('Summarized Source Data'!$C95,Hour,0)),Month,'Summarized Source Data'!$A95,Sector,'Summarized Source Data'!X$2,Subsector,'Summarized Source Data'!X$3,TimeOfWeek,$E95)*INDEX(About!T$79:T$82,MATCH($B95,About!$A$79:$A$82,0),1)</f>
        <v>656000000</v>
      </c>
      <c r="Y95" s="29">
        <f t="shared" si="9"/>
        <v>656000000</v>
      </c>
      <c r="Z95" s="29">
        <f t="shared" si="9"/>
        <v>656000000</v>
      </c>
    </row>
    <row r="96" spans="1:26" outlineLevel="1" x14ac:dyDescent="0.3">
      <c r="A96">
        <f t="shared" si="5"/>
        <v>4</v>
      </c>
      <c r="B96" t="str">
        <f>INDEX('Category Mapping'!$G$28:$G$39,MATCH(A96,'Category Mapping'!$A$28:$A$39,0),1)</f>
        <v>Spring</v>
      </c>
      <c r="C96" t="s">
        <v>83</v>
      </c>
      <c r="D96" s="6" t="s">
        <v>158</v>
      </c>
      <c r="E96" t="s">
        <v>49</v>
      </c>
      <c r="F96" s="27">
        <f>SUMIFS(INDEX(Load,,MATCH('Summarized Source Data'!$C96,Hour,0)),Month,'Summarized Source Data'!$A96,Sector,'Summarized Source Data'!F$2,Subsector,'Summarized Source Data'!F$3,TimeOfWeek,$E96)*INDEX(About!B$79:B$82,MATCH($B96,About!$A$79:$A$82,0),1)</f>
        <v>8539152</v>
      </c>
      <c r="G96" s="27">
        <f>SUMIFS(INDEX(Load,,MATCH('Summarized Source Data'!$C96,Hour,0)),Month,'Summarized Source Data'!$A96,Sector,'Summarized Source Data'!G$2,Subsector,'Summarized Source Data'!G$3,TimeOfWeek,$E96)*INDEX(About!C$79:C$82,MATCH($B96,About!$A$79:$A$82,0),1)</f>
        <v>32882</v>
      </c>
      <c r="H96" s="27">
        <f>SUMIFS(INDEX(Load,,MATCH('Summarized Source Data'!$C96,Hour,0)),Month,'Summarized Source Data'!$A96,Sector,'Summarized Source Data'!H$2,Subsector,'Summarized Source Data'!H$3,TimeOfWeek,$E96)*INDEX(About!D$79:D$82,MATCH($B96,About!$A$79:$A$82,0),1)</f>
        <v>0</v>
      </c>
      <c r="I96" s="27">
        <f>SUMIFS(INDEX(Load,,MATCH('Summarized Source Data'!$C96,Hour,0)),Month,'Summarized Source Data'!$A96,Sector,'Summarized Source Data'!I$2,Subsector,'Summarized Source Data'!I$3,TimeOfWeek,$E96)*INDEX(About!E$79:E$82,MATCH($B96,About!$A$79:$A$82,0),1)</f>
        <v>57500000</v>
      </c>
      <c r="J96" s="54">
        <f t="shared" si="6"/>
        <v>146927966</v>
      </c>
      <c r="K96" s="27">
        <f>(SUMIFS(INDEX(Load,,MATCH('Summarized Source Data'!$C96,Hour,0)),Month,'Summarized Source Data'!$A96,Sector,'Summarized Source Data'!K$2,Subsector,"Total",TimeOfWeek,$E96)-SUM(F96:I96))*INDEX(About!G$79:G$82,MATCH($B96,About!$A$79:$A$82,0),1)</f>
        <v>146927966</v>
      </c>
      <c r="L96" s="27">
        <f>SUMIFS(INDEX(Load,,MATCH('Summarized Source Data'!$C96,Hour,0)),Month,'Summarized Source Data'!$A96,Sector,'Summarized Source Data'!L$2,Subsector,'Summarized Source Data'!L$3,TimeOfWeek,$E96)*INDEX(About!H$79:H$82,MATCH($B96,About!$A$79:$A$82,0),1)</f>
        <v>20000000</v>
      </c>
      <c r="M96" s="27">
        <f>SUMIFS(INDEX(Load,,MATCH('Summarized Source Data'!$C96,Hour,0)),Month,'Summarized Source Data'!$A96,Sector,'Summarized Source Data'!M$2,Subsector,'Summarized Source Data'!M$3,TimeOfWeek,$E96)*INDEX(About!I$79:I$82,MATCH($B96,About!$A$79:$A$82,0),1)</f>
        <v>622011</v>
      </c>
      <c r="N96" s="27">
        <f>SUMIFS(INDEX(Load,,MATCH('Summarized Source Data'!$C96,Hour,0)),Month,'Summarized Source Data'!$A96,Sector,'Summarized Source Data'!N$2,Subsector,'Summarized Source Data'!N$3,TimeOfWeek,$E96)*INDEX(About!J$79:J$82,MATCH($B96,About!$A$79:$A$82,0),1)</f>
        <v>0</v>
      </c>
      <c r="O96" s="29">
        <f t="shared" si="7"/>
        <v>303377989</v>
      </c>
      <c r="P96" s="27">
        <f>(SUMIFS(INDEX(Load,,MATCH('Summarized Source Data'!$C96,Hour,0)),Month,'Summarized Source Data'!$A96,Sector,'Summarized Source Data'!P$2,Subsector,"Total",TimeOfWeek,$E96)-SUM(L96:N96)*INDEX(About!L$79:L$82,MATCH($B96,About!$A$79:$A$82,0),1))</f>
        <v>303377989</v>
      </c>
      <c r="Q96" s="29">
        <f t="shared" si="8"/>
        <v>303377989</v>
      </c>
      <c r="R96" s="33">
        <f>SUMIFS(INDEX(Load,,MATCH('Summarized Source Data'!$C96,Hour,0)),Month,'Summarized Source Data'!$A96,Sector,'Summarized Source Data'!R$2,TimeOfWeek,$E96)*INDEX(About!N$79:N$82,MATCH($B96,About!$A$79:$A$82,0),1)</f>
        <v>11600000</v>
      </c>
      <c r="S96" s="33">
        <f>SUMIFS(INDEX(Load,,MATCH('Summarized Source Data'!$C96,Hour,0)),Month,'Summarized Source Data'!$A96,Sector,'Summarized Source Data'!S$2,TimeOfWeek,$E96)*INDEX(About!O$79:O$82,MATCH($B96,About!$A$79:$A$82,0),1)</f>
        <v>11600000</v>
      </c>
      <c r="T96" s="33">
        <f>SUMIFS(INDEX(Load,,MATCH('Summarized Source Data'!$C96,Hour,0)),Month,'Summarized Source Data'!$A96,Sector,'Summarized Source Data'!T$2,TimeOfWeek,$E96)*INDEX(About!P$79:P$82,MATCH($B96,About!$A$79:$A$82,0),1)</f>
        <v>11600000</v>
      </c>
      <c r="U96" s="33">
        <f>SUMIFS(INDEX(Load,,MATCH('Summarized Source Data'!$C96,Hour,0)),Month,'Summarized Source Data'!$A96,Sector,'Summarized Source Data'!U$2,TimeOfWeek,$E96)*INDEX(About!Q$79:Q$82,MATCH($B96,About!$A$79:$A$82,0),1)</f>
        <v>11600000</v>
      </c>
      <c r="V96" s="33">
        <f>SUMIFS(INDEX(Load,,MATCH('Summarized Source Data'!$C96,Hour,0)),Month,'Summarized Source Data'!$A96,Sector,'Summarized Source Data'!V$2,TimeOfWeek,$E96)*INDEX(About!R$79:R$82,MATCH($B96,About!$A$79:$A$82,0),1)</f>
        <v>11600000</v>
      </c>
      <c r="W96" s="33">
        <f>SUMIFS(INDEX(Load,,MATCH('Summarized Source Data'!$C96,Hour,0)),Month,'Summarized Source Data'!$A96,Sector,'Summarized Source Data'!W$2,TimeOfWeek,$E96)*INDEX(About!S$79:S$82,MATCH($B96,About!$A$79:$A$82,0),1)</f>
        <v>11600000</v>
      </c>
      <c r="X96" s="27">
        <f>SUMIFS(INDEX(Load,,MATCH('Summarized Source Data'!$C96,Hour,0)),Month,'Summarized Source Data'!$A96,Sector,'Summarized Source Data'!X$2,Subsector,'Summarized Source Data'!X$3,TimeOfWeek,$E96)*INDEX(About!T$79:T$82,MATCH($B96,About!$A$79:$A$82,0),1)</f>
        <v>652000000</v>
      </c>
      <c r="Y96" s="29">
        <f t="shared" si="9"/>
        <v>652000000</v>
      </c>
      <c r="Z96" s="29">
        <f t="shared" si="9"/>
        <v>652000000</v>
      </c>
    </row>
    <row r="97" spans="1:26" outlineLevel="1" x14ac:dyDescent="0.3">
      <c r="A97">
        <f t="shared" si="5"/>
        <v>4</v>
      </c>
      <c r="B97" t="str">
        <f>INDEX('Category Mapping'!$G$28:$G$39,MATCH(A97,'Category Mapping'!$A$28:$A$39,0),1)</f>
        <v>Spring</v>
      </c>
      <c r="C97" t="s">
        <v>84</v>
      </c>
      <c r="D97" s="6" t="s">
        <v>159</v>
      </c>
      <c r="E97" t="s">
        <v>49</v>
      </c>
      <c r="F97" s="27">
        <f>SUMIFS(INDEX(Load,,MATCH('Summarized Source Data'!$C97,Hour,0)),Month,'Summarized Source Data'!$A97,Sector,'Summarized Source Data'!F$2,Subsector,'Summarized Source Data'!F$3,TimeOfWeek,$E97)*INDEX(About!B$79:B$82,MATCH($B97,About!$A$79:$A$82,0),1)</f>
        <v>7501669</v>
      </c>
      <c r="G97" s="27">
        <f>SUMIFS(INDEX(Load,,MATCH('Summarized Source Data'!$C97,Hour,0)),Month,'Summarized Source Data'!$A97,Sector,'Summarized Source Data'!G$2,Subsector,'Summarized Source Data'!G$3,TimeOfWeek,$E97)*INDEX(About!C$79:C$82,MATCH($B97,About!$A$79:$A$82,0),1)</f>
        <v>34968</v>
      </c>
      <c r="H97" s="27">
        <f>SUMIFS(INDEX(Load,,MATCH('Summarized Source Data'!$C97,Hour,0)),Month,'Summarized Source Data'!$A97,Sector,'Summarized Source Data'!H$2,Subsector,'Summarized Source Data'!H$3,TimeOfWeek,$E97)*INDEX(About!D$79:D$82,MATCH($B97,About!$A$79:$A$82,0),1)</f>
        <v>0</v>
      </c>
      <c r="I97" s="27">
        <f>SUMIFS(INDEX(Load,,MATCH('Summarized Source Data'!$C97,Hour,0)),Month,'Summarized Source Data'!$A97,Sector,'Summarized Source Data'!I$2,Subsector,'Summarized Source Data'!I$3,TimeOfWeek,$E97)*INDEX(About!E$79:E$82,MATCH($B97,About!$A$79:$A$82,0),1)</f>
        <v>47000000</v>
      </c>
      <c r="J97" s="54">
        <f t="shared" si="6"/>
        <v>145463363</v>
      </c>
      <c r="K97" s="27">
        <f>(SUMIFS(INDEX(Load,,MATCH('Summarized Source Data'!$C97,Hour,0)),Month,'Summarized Source Data'!$A97,Sector,'Summarized Source Data'!K$2,Subsector,"Total",TimeOfWeek,$E97)-SUM(F97:I97))*INDEX(About!G$79:G$82,MATCH($B97,About!$A$79:$A$82,0),1)</f>
        <v>145463363</v>
      </c>
      <c r="L97" s="27">
        <f>SUMIFS(INDEX(Load,,MATCH('Summarized Source Data'!$C97,Hour,0)),Month,'Summarized Source Data'!$A97,Sector,'Summarized Source Data'!L$2,Subsector,'Summarized Source Data'!L$3,TimeOfWeek,$E97)*INDEX(About!H$79:H$82,MATCH($B97,About!$A$79:$A$82,0),1)</f>
        <v>15100000</v>
      </c>
      <c r="M97" s="27">
        <f>SUMIFS(INDEX(Load,,MATCH('Summarized Source Data'!$C97,Hour,0)),Month,'Summarized Source Data'!$A97,Sector,'Summarized Source Data'!M$2,Subsector,'Summarized Source Data'!M$3,TimeOfWeek,$E97)*INDEX(About!I$79:I$82,MATCH($B97,About!$A$79:$A$82,0),1)</f>
        <v>583928</v>
      </c>
      <c r="N97" s="27">
        <f>SUMIFS(INDEX(Load,,MATCH('Summarized Source Data'!$C97,Hour,0)),Month,'Summarized Source Data'!$A97,Sector,'Summarized Source Data'!N$2,Subsector,'Summarized Source Data'!N$3,TimeOfWeek,$E97)*INDEX(About!J$79:J$82,MATCH($B97,About!$A$79:$A$82,0),1)</f>
        <v>0</v>
      </c>
      <c r="O97" s="29">
        <f t="shared" si="7"/>
        <v>246316072</v>
      </c>
      <c r="P97" s="27">
        <f>(SUMIFS(INDEX(Load,,MATCH('Summarized Source Data'!$C97,Hour,0)),Month,'Summarized Source Data'!$A97,Sector,'Summarized Source Data'!P$2,Subsector,"Total",TimeOfWeek,$E97)-SUM(L97:N97)*INDEX(About!L$79:L$82,MATCH($B97,About!$A$79:$A$82,0),1))</f>
        <v>246316072</v>
      </c>
      <c r="Q97" s="29">
        <f t="shared" si="8"/>
        <v>246316072</v>
      </c>
      <c r="R97" s="33">
        <f>SUMIFS(INDEX(Load,,MATCH('Summarized Source Data'!$C97,Hour,0)),Month,'Summarized Source Data'!$A97,Sector,'Summarized Source Data'!R$2,TimeOfWeek,$E97)*INDEX(About!N$79:N$82,MATCH($B97,About!$A$79:$A$82,0),1)</f>
        <v>10800000</v>
      </c>
      <c r="S97" s="33">
        <f>SUMIFS(INDEX(Load,,MATCH('Summarized Source Data'!$C97,Hour,0)),Month,'Summarized Source Data'!$A97,Sector,'Summarized Source Data'!S$2,TimeOfWeek,$E97)*INDEX(About!O$79:O$82,MATCH($B97,About!$A$79:$A$82,0),1)</f>
        <v>10800000</v>
      </c>
      <c r="T97" s="33">
        <f>SUMIFS(INDEX(Load,,MATCH('Summarized Source Data'!$C97,Hour,0)),Month,'Summarized Source Data'!$A97,Sector,'Summarized Source Data'!T$2,TimeOfWeek,$E97)*INDEX(About!P$79:P$82,MATCH($B97,About!$A$79:$A$82,0),1)</f>
        <v>10800000</v>
      </c>
      <c r="U97" s="33">
        <f>SUMIFS(INDEX(Load,,MATCH('Summarized Source Data'!$C97,Hour,0)),Month,'Summarized Source Data'!$A97,Sector,'Summarized Source Data'!U$2,TimeOfWeek,$E97)*INDEX(About!Q$79:Q$82,MATCH($B97,About!$A$79:$A$82,0),1)</f>
        <v>10800000</v>
      </c>
      <c r="V97" s="33">
        <f>SUMIFS(INDEX(Load,,MATCH('Summarized Source Data'!$C97,Hour,0)),Month,'Summarized Source Data'!$A97,Sector,'Summarized Source Data'!V$2,TimeOfWeek,$E97)*INDEX(About!R$79:R$82,MATCH($B97,About!$A$79:$A$82,0),1)</f>
        <v>10800000</v>
      </c>
      <c r="W97" s="33">
        <f>SUMIFS(INDEX(Load,,MATCH('Summarized Source Data'!$C97,Hour,0)),Month,'Summarized Source Data'!$A97,Sector,'Summarized Source Data'!W$2,TimeOfWeek,$E97)*INDEX(About!S$79:S$82,MATCH($B97,About!$A$79:$A$82,0),1)</f>
        <v>10800000</v>
      </c>
      <c r="X97" s="27">
        <f>SUMIFS(INDEX(Load,,MATCH('Summarized Source Data'!$C97,Hour,0)),Month,'Summarized Source Data'!$A97,Sector,'Summarized Source Data'!X$2,Subsector,'Summarized Source Data'!X$3,TimeOfWeek,$E97)*INDEX(About!T$79:T$82,MATCH($B97,About!$A$79:$A$82,0),1)</f>
        <v>647000000</v>
      </c>
      <c r="Y97" s="29">
        <f t="shared" si="9"/>
        <v>647000000</v>
      </c>
      <c r="Z97" s="29">
        <f t="shared" si="9"/>
        <v>647000000</v>
      </c>
    </row>
    <row r="98" spans="1:26" outlineLevel="1" x14ac:dyDescent="0.3">
      <c r="A98">
        <f t="shared" si="5"/>
        <v>4</v>
      </c>
      <c r="B98" t="str">
        <f>INDEX('Category Mapping'!$G$28:$G$39,MATCH(A98,'Category Mapping'!$A$28:$A$39,0),1)</f>
        <v>Spring</v>
      </c>
      <c r="C98" t="s">
        <v>85</v>
      </c>
      <c r="D98" s="6" t="s">
        <v>160</v>
      </c>
      <c r="E98" t="s">
        <v>49</v>
      </c>
      <c r="F98" s="27">
        <f>SUMIFS(INDEX(Load,,MATCH('Summarized Source Data'!$C98,Hour,0)),Month,'Summarized Source Data'!$A98,Sector,'Summarized Source Data'!F$2,Subsector,'Summarized Source Data'!F$3,TimeOfWeek,$E98)*INDEX(About!B$79:B$82,MATCH($B98,About!$A$79:$A$82,0),1)</f>
        <v>5601358</v>
      </c>
      <c r="G98" s="27">
        <f>SUMIFS(INDEX(Load,,MATCH('Summarized Source Data'!$C98,Hour,0)),Month,'Summarized Source Data'!$A98,Sector,'Summarized Source Data'!G$2,Subsector,'Summarized Source Data'!G$3,TimeOfWeek,$E98)*INDEX(About!C$79:C$82,MATCH($B98,About!$A$79:$A$82,0),1)</f>
        <v>36453</v>
      </c>
      <c r="H98" s="27">
        <f>SUMIFS(INDEX(Load,,MATCH('Summarized Source Data'!$C98,Hour,0)),Month,'Summarized Source Data'!$A98,Sector,'Summarized Source Data'!H$2,Subsector,'Summarized Source Data'!H$3,TimeOfWeek,$E98)*INDEX(About!D$79:D$82,MATCH($B98,About!$A$79:$A$82,0),1)</f>
        <v>0</v>
      </c>
      <c r="I98" s="27">
        <f>SUMIFS(INDEX(Load,,MATCH('Summarized Source Data'!$C98,Hour,0)),Month,'Summarized Source Data'!$A98,Sector,'Summarized Source Data'!I$2,Subsector,'Summarized Source Data'!I$3,TimeOfWeek,$E98)*INDEX(About!E$79:E$82,MATCH($B98,About!$A$79:$A$82,0),1)</f>
        <v>28000000</v>
      </c>
      <c r="J98" s="54">
        <f t="shared" si="6"/>
        <v>114362189</v>
      </c>
      <c r="K98" s="27">
        <f>(SUMIFS(INDEX(Load,,MATCH('Summarized Source Data'!$C98,Hour,0)),Month,'Summarized Source Data'!$A98,Sector,'Summarized Source Data'!K$2,Subsector,"Total",TimeOfWeek,$E98)-SUM(F98:I98))*INDEX(About!G$79:G$82,MATCH($B98,About!$A$79:$A$82,0),1)</f>
        <v>114362189</v>
      </c>
      <c r="L98" s="27">
        <f>SUMIFS(INDEX(Load,,MATCH('Summarized Source Data'!$C98,Hour,0)),Month,'Summarized Source Data'!$A98,Sector,'Summarized Source Data'!L$2,Subsector,'Summarized Source Data'!L$3,TimeOfWeek,$E98)*INDEX(About!H$79:H$82,MATCH($B98,About!$A$79:$A$82,0),1)</f>
        <v>13800000</v>
      </c>
      <c r="M98" s="27">
        <f>SUMIFS(INDEX(Load,,MATCH('Summarized Source Data'!$C98,Hour,0)),Month,'Summarized Source Data'!$A98,Sector,'Summarized Source Data'!M$2,Subsector,'Summarized Source Data'!M$3,TimeOfWeek,$E98)*INDEX(About!I$79:I$82,MATCH($B98,About!$A$79:$A$82,0),1)</f>
        <v>538132</v>
      </c>
      <c r="N98" s="27">
        <f>SUMIFS(INDEX(Load,,MATCH('Summarized Source Data'!$C98,Hour,0)),Month,'Summarized Source Data'!$A98,Sector,'Summarized Source Data'!N$2,Subsector,'Summarized Source Data'!N$3,TimeOfWeek,$E98)*INDEX(About!J$79:J$82,MATCH($B98,About!$A$79:$A$82,0),1)</f>
        <v>0</v>
      </c>
      <c r="O98" s="29">
        <f t="shared" si="7"/>
        <v>207661868</v>
      </c>
      <c r="P98" s="27">
        <f>(SUMIFS(INDEX(Load,,MATCH('Summarized Source Data'!$C98,Hour,0)),Month,'Summarized Source Data'!$A98,Sector,'Summarized Source Data'!P$2,Subsector,"Total",TimeOfWeek,$E98)-SUM(L98:N98)*INDEX(About!L$79:L$82,MATCH($B98,About!$A$79:$A$82,0),1))</f>
        <v>207661868</v>
      </c>
      <c r="Q98" s="29">
        <f t="shared" si="8"/>
        <v>207661868</v>
      </c>
      <c r="R98" s="33">
        <f>SUMIFS(INDEX(Load,,MATCH('Summarized Source Data'!$C98,Hour,0)),Month,'Summarized Source Data'!$A98,Sector,'Summarized Source Data'!R$2,TimeOfWeek,$E98)*INDEX(About!N$79:N$82,MATCH($B98,About!$A$79:$A$82,0),1)</f>
        <v>10200000</v>
      </c>
      <c r="S98" s="33">
        <f>SUMIFS(INDEX(Load,,MATCH('Summarized Source Data'!$C98,Hour,0)),Month,'Summarized Source Data'!$A98,Sector,'Summarized Source Data'!S$2,TimeOfWeek,$E98)*INDEX(About!O$79:O$82,MATCH($B98,About!$A$79:$A$82,0),1)</f>
        <v>10200000</v>
      </c>
      <c r="T98" s="33">
        <f>SUMIFS(INDEX(Load,,MATCH('Summarized Source Data'!$C98,Hour,0)),Month,'Summarized Source Data'!$A98,Sector,'Summarized Source Data'!T$2,TimeOfWeek,$E98)*INDEX(About!P$79:P$82,MATCH($B98,About!$A$79:$A$82,0),1)</f>
        <v>10200000</v>
      </c>
      <c r="U98" s="33">
        <f>SUMIFS(INDEX(Load,,MATCH('Summarized Source Data'!$C98,Hour,0)),Month,'Summarized Source Data'!$A98,Sector,'Summarized Source Data'!U$2,TimeOfWeek,$E98)*INDEX(About!Q$79:Q$82,MATCH($B98,About!$A$79:$A$82,0),1)</f>
        <v>10200000</v>
      </c>
      <c r="V98" s="33">
        <f>SUMIFS(INDEX(Load,,MATCH('Summarized Source Data'!$C98,Hour,0)),Month,'Summarized Source Data'!$A98,Sector,'Summarized Source Data'!V$2,TimeOfWeek,$E98)*INDEX(About!R$79:R$82,MATCH($B98,About!$A$79:$A$82,0),1)</f>
        <v>10200000</v>
      </c>
      <c r="W98" s="33">
        <f>SUMIFS(INDEX(Load,,MATCH('Summarized Source Data'!$C98,Hour,0)),Month,'Summarized Source Data'!$A98,Sector,'Summarized Source Data'!W$2,TimeOfWeek,$E98)*INDEX(About!S$79:S$82,MATCH($B98,About!$A$79:$A$82,0),1)</f>
        <v>10200000</v>
      </c>
      <c r="X98" s="27">
        <f>SUMIFS(INDEX(Load,,MATCH('Summarized Source Data'!$C98,Hour,0)),Month,'Summarized Source Data'!$A98,Sector,'Summarized Source Data'!X$2,Subsector,'Summarized Source Data'!X$3,TimeOfWeek,$E98)*INDEX(About!T$79:T$82,MATCH($B98,About!$A$79:$A$82,0),1)</f>
        <v>642000000</v>
      </c>
      <c r="Y98" s="29">
        <f t="shared" si="9"/>
        <v>642000000</v>
      </c>
      <c r="Z98" s="29">
        <f t="shared" si="9"/>
        <v>642000000</v>
      </c>
    </row>
    <row r="99" spans="1:26" outlineLevel="1" x14ac:dyDescent="0.3">
      <c r="A99">
        <f t="shared" si="5"/>
        <v>4</v>
      </c>
      <c r="B99" t="str">
        <f>INDEX('Category Mapping'!$G$28:$G$39,MATCH(A99,'Category Mapping'!$A$28:$A$39,0),1)</f>
        <v>Spring</v>
      </c>
      <c r="C99" t="s">
        <v>86</v>
      </c>
      <c r="D99" s="6" t="s">
        <v>161</v>
      </c>
      <c r="E99" t="s">
        <v>49</v>
      </c>
      <c r="F99" s="27">
        <f>SUMIFS(INDEX(Load,,MATCH('Summarized Source Data'!$C99,Hour,0)),Month,'Summarized Source Data'!$A99,Sector,'Summarized Source Data'!F$2,Subsector,'Summarized Source Data'!F$3,TimeOfWeek,$E99)*INDEX(About!B$79:B$82,MATCH($B99,About!$A$79:$A$82,0),1)</f>
        <v>5130247</v>
      </c>
      <c r="G99" s="27">
        <f>SUMIFS(INDEX(Load,,MATCH('Summarized Source Data'!$C99,Hour,0)),Month,'Summarized Source Data'!$A99,Sector,'Summarized Source Data'!G$2,Subsector,'Summarized Source Data'!G$3,TimeOfWeek,$E99)*INDEX(About!C$79:C$82,MATCH($B99,About!$A$79:$A$82,0),1)</f>
        <v>37455</v>
      </c>
      <c r="H99" s="27">
        <f>SUMIFS(INDEX(Load,,MATCH('Summarized Source Data'!$C99,Hour,0)),Month,'Summarized Source Data'!$A99,Sector,'Summarized Source Data'!H$2,Subsector,'Summarized Source Data'!H$3,TimeOfWeek,$E99)*INDEX(About!D$79:D$82,MATCH($B99,About!$A$79:$A$82,0),1)</f>
        <v>0</v>
      </c>
      <c r="I99" s="27">
        <f>SUMIFS(INDEX(Load,,MATCH('Summarized Source Data'!$C99,Hour,0)),Month,'Summarized Source Data'!$A99,Sector,'Summarized Source Data'!I$2,Subsector,'Summarized Source Data'!I$3,TimeOfWeek,$E99)*INDEX(About!E$79:E$82,MATCH($B99,About!$A$79:$A$82,0),1)</f>
        <v>14700000</v>
      </c>
      <c r="J99" s="54">
        <f t="shared" si="6"/>
        <v>91132298</v>
      </c>
      <c r="K99" s="27">
        <f>(SUMIFS(INDEX(Load,,MATCH('Summarized Source Data'!$C99,Hour,0)),Month,'Summarized Source Data'!$A99,Sector,'Summarized Source Data'!K$2,Subsector,"Total",TimeOfWeek,$E99)-SUM(F99:I99))*INDEX(About!G$79:G$82,MATCH($B99,About!$A$79:$A$82,0),1)</f>
        <v>91132298</v>
      </c>
      <c r="L99" s="27">
        <f>SUMIFS(INDEX(Load,,MATCH('Summarized Source Data'!$C99,Hour,0)),Month,'Summarized Source Data'!$A99,Sector,'Summarized Source Data'!L$2,Subsector,'Summarized Source Data'!L$3,TimeOfWeek,$E99)*INDEX(About!H$79:H$82,MATCH($B99,About!$A$79:$A$82,0),1)</f>
        <v>13800000</v>
      </c>
      <c r="M99" s="27">
        <f>SUMIFS(INDEX(Load,,MATCH('Summarized Source Data'!$C99,Hour,0)),Month,'Summarized Source Data'!$A99,Sector,'Summarized Source Data'!M$2,Subsector,'Summarized Source Data'!M$3,TimeOfWeek,$E99)*INDEX(About!I$79:I$82,MATCH($B99,About!$A$79:$A$82,0),1)</f>
        <v>475578</v>
      </c>
      <c r="N99" s="27">
        <f>SUMIFS(INDEX(Load,,MATCH('Summarized Source Data'!$C99,Hour,0)),Month,'Summarized Source Data'!$A99,Sector,'Summarized Source Data'!N$2,Subsector,'Summarized Source Data'!N$3,TimeOfWeek,$E99)*INDEX(About!J$79:J$82,MATCH($B99,About!$A$79:$A$82,0),1)</f>
        <v>0</v>
      </c>
      <c r="O99" s="29">
        <f t="shared" si="7"/>
        <v>180724422</v>
      </c>
      <c r="P99" s="27">
        <f>(SUMIFS(INDEX(Load,,MATCH('Summarized Source Data'!$C99,Hour,0)),Month,'Summarized Source Data'!$A99,Sector,'Summarized Source Data'!P$2,Subsector,"Total",TimeOfWeek,$E99)-SUM(L99:N99)*INDEX(About!L$79:L$82,MATCH($B99,About!$A$79:$A$82,0),1))</f>
        <v>180724422</v>
      </c>
      <c r="Q99" s="29">
        <f t="shared" si="8"/>
        <v>180724422</v>
      </c>
      <c r="R99" s="33">
        <f>SUMIFS(INDEX(Load,,MATCH('Summarized Source Data'!$C99,Hour,0)),Month,'Summarized Source Data'!$A99,Sector,'Summarized Source Data'!R$2,TimeOfWeek,$E99)*INDEX(About!N$79:N$82,MATCH($B99,About!$A$79:$A$82,0),1)</f>
        <v>6868838</v>
      </c>
      <c r="S99" s="33">
        <f>SUMIFS(INDEX(Load,,MATCH('Summarized Source Data'!$C99,Hour,0)),Month,'Summarized Source Data'!$A99,Sector,'Summarized Source Data'!S$2,TimeOfWeek,$E99)*INDEX(About!O$79:O$82,MATCH($B99,About!$A$79:$A$82,0),1)</f>
        <v>6868838</v>
      </c>
      <c r="T99" s="33">
        <f>SUMIFS(INDEX(Load,,MATCH('Summarized Source Data'!$C99,Hour,0)),Month,'Summarized Source Data'!$A99,Sector,'Summarized Source Data'!T$2,TimeOfWeek,$E99)*INDEX(About!P$79:P$82,MATCH($B99,About!$A$79:$A$82,0),1)</f>
        <v>6868838</v>
      </c>
      <c r="U99" s="33">
        <f>SUMIFS(INDEX(Load,,MATCH('Summarized Source Data'!$C99,Hour,0)),Month,'Summarized Source Data'!$A99,Sector,'Summarized Source Data'!U$2,TimeOfWeek,$E99)*INDEX(About!Q$79:Q$82,MATCH($B99,About!$A$79:$A$82,0),1)</f>
        <v>6868838</v>
      </c>
      <c r="V99" s="33">
        <f>SUMIFS(INDEX(Load,,MATCH('Summarized Source Data'!$C99,Hour,0)),Month,'Summarized Source Data'!$A99,Sector,'Summarized Source Data'!V$2,TimeOfWeek,$E99)*INDEX(About!R$79:R$82,MATCH($B99,About!$A$79:$A$82,0),1)</f>
        <v>6868838</v>
      </c>
      <c r="W99" s="33">
        <f>SUMIFS(INDEX(Load,,MATCH('Summarized Source Data'!$C99,Hour,0)),Month,'Summarized Source Data'!$A99,Sector,'Summarized Source Data'!W$2,TimeOfWeek,$E99)*INDEX(About!S$79:S$82,MATCH($B99,About!$A$79:$A$82,0),1)</f>
        <v>6868838</v>
      </c>
      <c r="X99" s="27">
        <f>SUMIFS(INDEX(Load,,MATCH('Summarized Source Data'!$C99,Hour,0)),Month,'Summarized Source Data'!$A99,Sector,'Summarized Source Data'!X$2,Subsector,'Summarized Source Data'!X$3,TimeOfWeek,$E99)*INDEX(About!T$79:T$82,MATCH($B99,About!$A$79:$A$82,0),1)</f>
        <v>638000000</v>
      </c>
      <c r="Y99" s="29">
        <f t="shared" si="9"/>
        <v>638000000</v>
      </c>
      <c r="Z99" s="29">
        <f t="shared" si="9"/>
        <v>638000000</v>
      </c>
    </row>
    <row r="100" spans="1:26" outlineLevel="1" x14ac:dyDescent="0.3">
      <c r="A100">
        <f t="shared" si="5"/>
        <v>5</v>
      </c>
      <c r="B100" t="str">
        <f>INDEX('Category Mapping'!$G$28:$G$39,MATCH(A100,'Category Mapping'!$A$28:$A$39,0),1)</f>
        <v>Spring</v>
      </c>
      <c r="C100" t="s">
        <v>63</v>
      </c>
      <c r="D100" s="6" t="s">
        <v>138</v>
      </c>
      <c r="E100" t="s">
        <v>49</v>
      </c>
      <c r="F100" s="27">
        <f>SUMIFS(INDEX(Load,,MATCH('Summarized Source Data'!$C100,Hour,0)),Month,'Summarized Source Data'!$A100,Sector,'Summarized Source Data'!F$2,Subsector,'Summarized Source Data'!F$3,TimeOfWeek,$E100)*INDEX(About!B$79:B$82,MATCH($B100,About!$A$79:$A$82,0),1)</f>
        <v>1510774</v>
      </c>
      <c r="G100" s="27">
        <f>SUMIFS(INDEX(Load,,MATCH('Summarized Source Data'!$C100,Hour,0)),Month,'Summarized Source Data'!$A100,Sector,'Summarized Source Data'!G$2,Subsector,'Summarized Source Data'!G$3,TimeOfWeek,$E100)*INDEX(About!C$79:C$82,MATCH($B100,About!$A$79:$A$82,0),1)</f>
        <v>4397</v>
      </c>
      <c r="H100" s="27">
        <f>SUMIFS(INDEX(Load,,MATCH('Summarized Source Data'!$C100,Hour,0)),Month,'Summarized Source Data'!$A100,Sector,'Summarized Source Data'!H$2,Subsector,'Summarized Source Data'!H$3,TimeOfWeek,$E100)*INDEX(About!D$79:D$82,MATCH($B100,About!$A$79:$A$82,0),1)</f>
        <v>0</v>
      </c>
      <c r="I100" s="27">
        <f>SUMIFS(INDEX(Load,,MATCH('Summarized Source Data'!$C100,Hour,0)),Month,'Summarized Source Data'!$A100,Sector,'Summarized Source Data'!I$2,Subsector,'Summarized Source Data'!I$3,TimeOfWeek,$E100)*INDEX(About!E$79:E$82,MATCH($B100,About!$A$79:$A$82,0),1)</f>
        <v>9967663</v>
      </c>
      <c r="J100" s="54">
        <f t="shared" si="6"/>
        <v>72517166</v>
      </c>
      <c r="K100" s="27">
        <f>(SUMIFS(INDEX(Load,,MATCH('Summarized Source Data'!$C100,Hour,0)),Month,'Summarized Source Data'!$A100,Sector,'Summarized Source Data'!K$2,Subsector,"Total",TimeOfWeek,$E100)-SUM(F100:I100))*INDEX(About!G$79:G$82,MATCH($B100,About!$A$79:$A$82,0),1)</f>
        <v>72517166</v>
      </c>
      <c r="L100" s="27">
        <f>SUMIFS(INDEX(Load,,MATCH('Summarized Source Data'!$C100,Hour,0)),Month,'Summarized Source Data'!$A100,Sector,'Summarized Source Data'!L$2,Subsector,'Summarized Source Data'!L$3,TimeOfWeek,$E100)*INDEX(About!H$79:H$82,MATCH($B100,About!$A$79:$A$82,0),1)</f>
        <v>4714881</v>
      </c>
      <c r="M100" s="27">
        <f>SUMIFS(INDEX(Load,,MATCH('Summarized Source Data'!$C100,Hour,0)),Month,'Summarized Source Data'!$A100,Sector,'Summarized Source Data'!M$2,Subsector,'Summarized Source Data'!M$3,TimeOfWeek,$E100)*INDEX(About!I$79:I$82,MATCH($B100,About!$A$79:$A$82,0),1)</f>
        <v>7378556</v>
      </c>
      <c r="N100" s="27">
        <f>SUMIFS(INDEX(Load,,MATCH('Summarized Source Data'!$C100,Hour,0)),Month,'Summarized Source Data'!$A100,Sector,'Summarized Source Data'!N$2,Subsector,'Summarized Source Data'!N$3,TimeOfWeek,$E100)*INDEX(About!J$79:J$82,MATCH($B100,About!$A$79:$A$82,0),1)</f>
        <v>0</v>
      </c>
      <c r="O100" s="29">
        <f t="shared" si="7"/>
        <v>150906563</v>
      </c>
      <c r="P100" s="27">
        <f>(SUMIFS(INDEX(Load,,MATCH('Summarized Source Data'!$C100,Hour,0)),Month,'Summarized Source Data'!$A100,Sector,'Summarized Source Data'!P$2,Subsector,"Total",TimeOfWeek,$E100)-SUM(L100:N100)*INDEX(About!L$79:L$82,MATCH($B100,About!$A$79:$A$82,0),1))</f>
        <v>150906563</v>
      </c>
      <c r="Q100" s="29">
        <f t="shared" si="8"/>
        <v>150906563</v>
      </c>
      <c r="R100" s="33">
        <f>SUMIFS(INDEX(Load,,MATCH('Summarized Source Data'!$C100,Hour,0)),Month,'Summarized Source Data'!$A100,Sector,'Summarized Source Data'!R$2,TimeOfWeek,$E100)*INDEX(About!N$79:N$82,MATCH($B100,About!$A$79:$A$82,0),1)</f>
        <v>4497066</v>
      </c>
      <c r="S100" s="33">
        <f>SUMIFS(INDEX(Load,,MATCH('Summarized Source Data'!$C100,Hour,0)),Month,'Summarized Source Data'!$A100,Sector,'Summarized Source Data'!S$2,TimeOfWeek,$E100)*INDEX(About!O$79:O$82,MATCH($B100,About!$A$79:$A$82,0),1)</f>
        <v>4497066</v>
      </c>
      <c r="T100" s="33">
        <f>SUMIFS(INDEX(Load,,MATCH('Summarized Source Data'!$C100,Hour,0)),Month,'Summarized Source Data'!$A100,Sector,'Summarized Source Data'!T$2,TimeOfWeek,$E100)*INDEX(About!P$79:P$82,MATCH($B100,About!$A$79:$A$82,0),1)</f>
        <v>4497066</v>
      </c>
      <c r="U100" s="33">
        <f>SUMIFS(INDEX(Load,,MATCH('Summarized Source Data'!$C100,Hour,0)),Month,'Summarized Source Data'!$A100,Sector,'Summarized Source Data'!U$2,TimeOfWeek,$E100)*INDEX(About!Q$79:Q$82,MATCH($B100,About!$A$79:$A$82,0),1)</f>
        <v>4497066</v>
      </c>
      <c r="V100" s="33">
        <f>SUMIFS(INDEX(Load,,MATCH('Summarized Source Data'!$C100,Hour,0)),Month,'Summarized Source Data'!$A100,Sector,'Summarized Source Data'!V$2,TimeOfWeek,$E100)*INDEX(About!R$79:R$82,MATCH($B100,About!$A$79:$A$82,0),1)</f>
        <v>4497066</v>
      </c>
      <c r="W100" s="33">
        <f>SUMIFS(INDEX(Load,,MATCH('Summarized Source Data'!$C100,Hour,0)),Month,'Summarized Source Data'!$A100,Sector,'Summarized Source Data'!W$2,TimeOfWeek,$E100)*INDEX(About!S$79:S$82,MATCH($B100,About!$A$79:$A$82,0),1)</f>
        <v>4497066</v>
      </c>
      <c r="X100" s="27">
        <f>SUMIFS(INDEX(Load,,MATCH('Summarized Source Data'!$C100,Hour,0)),Month,'Summarized Source Data'!$A100,Sector,'Summarized Source Data'!X$2,Subsector,'Summarized Source Data'!X$3,TimeOfWeek,$E100)*INDEX(About!T$79:T$82,MATCH($B100,About!$A$79:$A$82,0),1)</f>
        <v>646000000</v>
      </c>
      <c r="Y100" s="29">
        <f t="shared" si="9"/>
        <v>646000000</v>
      </c>
      <c r="Z100" s="29">
        <f t="shared" si="9"/>
        <v>646000000</v>
      </c>
    </row>
    <row r="101" spans="1:26" outlineLevel="1" x14ac:dyDescent="0.3">
      <c r="A101">
        <f t="shared" si="5"/>
        <v>5</v>
      </c>
      <c r="B101" t="str">
        <f>INDEX('Category Mapping'!$G$28:$G$39,MATCH(A101,'Category Mapping'!$A$28:$A$39,0),1)</f>
        <v>Spring</v>
      </c>
      <c r="C101" t="s">
        <v>64</v>
      </c>
      <c r="D101" s="6" t="s">
        <v>139</v>
      </c>
      <c r="E101" t="s">
        <v>49</v>
      </c>
      <c r="F101" s="27">
        <f>SUMIFS(INDEX(Load,,MATCH('Summarized Source Data'!$C101,Hour,0)),Month,'Summarized Source Data'!$A101,Sector,'Summarized Source Data'!F$2,Subsector,'Summarized Source Data'!F$3,TimeOfWeek,$E101)*INDEX(About!B$79:B$82,MATCH($B101,About!$A$79:$A$82,0),1)</f>
        <v>1510774</v>
      </c>
      <c r="G101" s="27">
        <f>SUMIFS(INDEX(Load,,MATCH('Summarized Source Data'!$C101,Hour,0)),Month,'Summarized Source Data'!$A101,Sector,'Summarized Source Data'!G$2,Subsector,'Summarized Source Data'!G$3,TimeOfWeek,$E101)*INDEX(About!C$79:C$82,MATCH($B101,About!$A$79:$A$82,0),1)</f>
        <v>4421</v>
      </c>
      <c r="H101" s="27">
        <f>SUMIFS(INDEX(Load,,MATCH('Summarized Source Data'!$C101,Hour,0)),Month,'Summarized Source Data'!$A101,Sector,'Summarized Source Data'!H$2,Subsector,'Summarized Source Data'!H$3,TimeOfWeek,$E101)*INDEX(About!D$79:D$82,MATCH($B101,About!$A$79:$A$82,0),1)</f>
        <v>0</v>
      </c>
      <c r="I101" s="27">
        <f>SUMIFS(INDEX(Load,,MATCH('Summarized Source Data'!$C101,Hour,0)),Month,'Summarized Source Data'!$A101,Sector,'Summarized Source Data'!I$2,Subsector,'Summarized Source Data'!I$3,TimeOfWeek,$E101)*INDEX(About!E$79:E$82,MATCH($B101,About!$A$79:$A$82,0),1)</f>
        <v>9185694</v>
      </c>
      <c r="J101" s="54">
        <f t="shared" si="6"/>
        <v>52499111</v>
      </c>
      <c r="K101" s="27">
        <f>(SUMIFS(INDEX(Load,,MATCH('Summarized Source Data'!$C101,Hour,0)),Month,'Summarized Source Data'!$A101,Sector,'Summarized Source Data'!K$2,Subsector,"Total",TimeOfWeek,$E101)-SUM(F101:I101))*INDEX(About!G$79:G$82,MATCH($B101,About!$A$79:$A$82,0),1)</f>
        <v>52499111</v>
      </c>
      <c r="L101" s="27">
        <f>SUMIFS(INDEX(Load,,MATCH('Summarized Source Data'!$C101,Hour,0)),Month,'Summarized Source Data'!$A101,Sector,'Summarized Source Data'!L$2,Subsector,'Summarized Source Data'!L$3,TimeOfWeek,$E101)*INDEX(About!H$79:H$82,MATCH($B101,About!$A$79:$A$82,0),1)</f>
        <v>4432044</v>
      </c>
      <c r="M101" s="27">
        <f>SUMIFS(INDEX(Load,,MATCH('Summarized Source Data'!$C101,Hour,0)),Month,'Summarized Source Data'!$A101,Sector,'Summarized Source Data'!M$2,Subsector,'Summarized Source Data'!M$3,TimeOfWeek,$E101)*INDEX(About!I$79:I$82,MATCH($B101,About!$A$79:$A$82,0),1)</f>
        <v>6957531</v>
      </c>
      <c r="N101" s="27">
        <f>SUMIFS(INDEX(Load,,MATCH('Summarized Source Data'!$C101,Hour,0)),Month,'Summarized Source Data'!$A101,Sector,'Summarized Source Data'!N$2,Subsector,'Summarized Source Data'!N$3,TimeOfWeek,$E101)*INDEX(About!J$79:J$82,MATCH($B101,About!$A$79:$A$82,0),1)</f>
        <v>0</v>
      </c>
      <c r="O101" s="29">
        <f t="shared" si="7"/>
        <v>148610425</v>
      </c>
      <c r="P101" s="27">
        <f>(SUMIFS(INDEX(Load,,MATCH('Summarized Source Data'!$C101,Hour,0)),Month,'Summarized Source Data'!$A101,Sector,'Summarized Source Data'!P$2,Subsector,"Total",TimeOfWeek,$E101)-SUM(L101:N101)*INDEX(About!L$79:L$82,MATCH($B101,About!$A$79:$A$82,0),1))</f>
        <v>148610425</v>
      </c>
      <c r="Q101" s="29">
        <f t="shared" si="8"/>
        <v>148610425</v>
      </c>
      <c r="R101" s="33">
        <f>SUMIFS(INDEX(Load,,MATCH('Summarized Source Data'!$C101,Hour,0)),Month,'Summarized Source Data'!$A101,Sector,'Summarized Source Data'!R$2,TimeOfWeek,$E101)*INDEX(About!N$79:N$82,MATCH($B101,About!$A$79:$A$82,0),1)</f>
        <v>4429246</v>
      </c>
      <c r="S101" s="33">
        <f>SUMIFS(INDEX(Load,,MATCH('Summarized Source Data'!$C101,Hour,0)),Month,'Summarized Source Data'!$A101,Sector,'Summarized Source Data'!S$2,TimeOfWeek,$E101)*INDEX(About!O$79:O$82,MATCH($B101,About!$A$79:$A$82,0),1)</f>
        <v>4429246</v>
      </c>
      <c r="T101" s="33">
        <f>SUMIFS(INDEX(Load,,MATCH('Summarized Source Data'!$C101,Hour,0)),Month,'Summarized Source Data'!$A101,Sector,'Summarized Source Data'!T$2,TimeOfWeek,$E101)*INDEX(About!P$79:P$82,MATCH($B101,About!$A$79:$A$82,0),1)</f>
        <v>4429246</v>
      </c>
      <c r="U101" s="33">
        <f>SUMIFS(INDEX(Load,,MATCH('Summarized Source Data'!$C101,Hour,0)),Month,'Summarized Source Data'!$A101,Sector,'Summarized Source Data'!U$2,TimeOfWeek,$E101)*INDEX(About!Q$79:Q$82,MATCH($B101,About!$A$79:$A$82,0),1)</f>
        <v>4429246</v>
      </c>
      <c r="V101" s="33">
        <f>SUMIFS(INDEX(Load,,MATCH('Summarized Source Data'!$C101,Hour,0)),Month,'Summarized Source Data'!$A101,Sector,'Summarized Source Data'!V$2,TimeOfWeek,$E101)*INDEX(About!R$79:R$82,MATCH($B101,About!$A$79:$A$82,0),1)</f>
        <v>4429246</v>
      </c>
      <c r="W101" s="33">
        <f>SUMIFS(INDEX(Load,,MATCH('Summarized Source Data'!$C101,Hour,0)),Month,'Summarized Source Data'!$A101,Sector,'Summarized Source Data'!W$2,TimeOfWeek,$E101)*INDEX(About!S$79:S$82,MATCH($B101,About!$A$79:$A$82,0),1)</f>
        <v>4429246</v>
      </c>
      <c r="X101" s="27">
        <f>SUMIFS(INDEX(Load,,MATCH('Summarized Source Data'!$C101,Hour,0)),Month,'Summarized Source Data'!$A101,Sector,'Summarized Source Data'!X$2,Subsector,'Summarized Source Data'!X$3,TimeOfWeek,$E101)*INDEX(About!T$79:T$82,MATCH($B101,About!$A$79:$A$82,0),1)</f>
        <v>645000000</v>
      </c>
      <c r="Y101" s="29">
        <f t="shared" si="9"/>
        <v>645000000</v>
      </c>
      <c r="Z101" s="29">
        <f t="shared" si="9"/>
        <v>645000000</v>
      </c>
    </row>
    <row r="102" spans="1:26" outlineLevel="1" x14ac:dyDescent="0.3">
      <c r="A102">
        <f t="shared" si="5"/>
        <v>5</v>
      </c>
      <c r="B102" t="str">
        <f>INDEX('Category Mapping'!$G$28:$G$39,MATCH(A102,'Category Mapping'!$A$28:$A$39,0),1)</f>
        <v>Spring</v>
      </c>
      <c r="C102" t="s">
        <v>65</v>
      </c>
      <c r="D102" s="6" t="s">
        <v>140</v>
      </c>
      <c r="E102" t="s">
        <v>49</v>
      </c>
      <c r="F102" s="27">
        <f>SUMIFS(INDEX(Load,,MATCH('Summarized Source Data'!$C102,Hour,0)),Month,'Summarized Source Data'!$A102,Sector,'Summarized Source Data'!F$2,Subsector,'Summarized Source Data'!F$3,TimeOfWeek,$E102)*INDEX(About!B$79:B$82,MATCH($B102,About!$A$79:$A$82,0),1)</f>
        <v>1510774</v>
      </c>
      <c r="G102" s="27">
        <f>SUMIFS(INDEX(Load,,MATCH('Summarized Source Data'!$C102,Hour,0)),Month,'Summarized Source Data'!$A102,Sector,'Summarized Source Data'!G$2,Subsector,'Summarized Source Data'!G$3,TimeOfWeek,$E102)*INDEX(About!C$79:C$82,MATCH($B102,About!$A$79:$A$82,0),1)</f>
        <v>4438</v>
      </c>
      <c r="H102" s="27">
        <f>SUMIFS(INDEX(Load,,MATCH('Summarized Source Data'!$C102,Hour,0)),Month,'Summarized Source Data'!$A102,Sector,'Summarized Source Data'!H$2,Subsector,'Summarized Source Data'!H$3,TimeOfWeek,$E102)*INDEX(About!D$79:D$82,MATCH($B102,About!$A$79:$A$82,0),1)</f>
        <v>0</v>
      </c>
      <c r="I102" s="27">
        <f>SUMIFS(INDEX(Load,,MATCH('Summarized Source Data'!$C102,Hour,0)),Month,'Summarized Source Data'!$A102,Sector,'Summarized Source Data'!I$2,Subsector,'Summarized Source Data'!I$3,TimeOfWeek,$E102)*INDEX(About!E$79:E$82,MATCH($B102,About!$A$79:$A$82,0),1)</f>
        <v>9095554</v>
      </c>
      <c r="J102" s="54">
        <f t="shared" si="6"/>
        <v>41989234</v>
      </c>
      <c r="K102" s="27">
        <f>(SUMIFS(INDEX(Load,,MATCH('Summarized Source Data'!$C102,Hour,0)),Month,'Summarized Source Data'!$A102,Sector,'Summarized Source Data'!K$2,Subsector,"Total",TimeOfWeek,$E102)-SUM(F102:I102))*INDEX(About!G$79:G$82,MATCH($B102,About!$A$79:$A$82,0),1)</f>
        <v>41989234</v>
      </c>
      <c r="L102" s="27">
        <f>SUMIFS(INDEX(Load,,MATCH('Summarized Source Data'!$C102,Hour,0)),Month,'Summarized Source Data'!$A102,Sector,'Summarized Source Data'!L$2,Subsector,'Summarized Source Data'!L$3,TimeOfWeek,$E102)*INDEX(About!H$79:H$82,MATCH($B102,About!$A$79:$A$82,0),1)</f>
        <v>4506486</v>
      </c>
      <c r="M102" s="27">
        <f>SUMIFS(INDEX(Load,,MATCH('Summarized Source Data'!$C102,Hour,0)),Month,'Summarized Source Data'!$A102,Sector,'Summarized Source Data'!M$2,Subsector,'Summarized Source Data'!M$3,TimeOfWeek,$E102)*INDEX(About!I$79:I$82,MATCH($B102,About!$A$79:$A$82,0),1)</f>
        <v>6781846</v>
      </c>
      <c r="N102" s="27">
        <f>SUMIFS(INDEX(Load,,MATCH('Summarized Source Data'!$C102,Hour,0)),Month,'Summarized Source Data'!$A102,Sector,'Summarized Source Data'!N$2,Subsector,'Summarized Source Data'!N$3,TimeOfWeek,$E102)*INDEX(About!J$79:J$82,MATCH($B102,About!$A$79:$A$82,0),1)</f>
        <v>0</v>
      </c>
      <c r="O102" s="29">
        <f t="shared" si="7"/>
        <v>147711668</v>
      </c>
      <c r="P102" s="27">
        <f>(SUMIFS(INDEX(Load,,MATCH('Summarized Source Data'!$C102,Hour,0)),Month,'Summarized Source Data'!$A102,Sector,'Summarized Source Data'!P$2,Subsector,"Total",TimeOfWeek,$E102)-SUM(L102:N102)*INDEX(About!L$79:L$82,MATCH($B102,About!$A$79:$A$82,0),1))</f>
        <v>147711668</v>
      </c>
      <c r="Q102" s="29">
        <f t="shared" si="8"/>
        <v>147711668</v>
      </c>
      <c r="R102" s="33">
        <f>SUMIFS(INDEX(Load,,MATCH('Summarized Source Data'!$C102,Hour,0)),Month,'Summarized Source Data'!$A102,Sector,'Summarized Source Data'!R$2,TimeOfWeek,$E102)*INDEX(About!N$79:N$82,MATCH($B102,About!$A$79:$A$82,0),1)</f>
        <v>4411828</v>
      </c>
      <c r="S102" s="33">
        <f>SUMIFS(INDEX(Load,,MATCH('Summarized Source Data'!$C102,Hour,0)),Month,'Summarized Source Data'!$A102,Sector,'Summarized Source Data'!S$2,TimeOfWeek,$E102)*INDEX(About!O$79:O$82,MATCH($B102,About!$A$79:$A$82,0),1)</f>
        <v>4411828</v>
      </c>
      <c r="T102" s="33">
        <f>SUMIFS(INDEX(Load,,MATCH('Summarized Source Data'!$C102,Hour,0)),Month,'Summarized Source Data'!$A102,Sector,'Summarized Source Data'!T$2,TimeOfWeek,$E102)*INDEX(About!P$79:P$82,MATCH($B102,About!$A$79:$A$82,0),1)</f>
        <v>4411828</v>
      </c>
      <c r="U102" s="33">
        <f>SUMIFS(INDEX(Load,,MATCH('Summarized Source Data'!$C102,Hour,0)),Month,'Summarized Source Data'!$A102,Sector,'Summarized Source Data'!U$2,TimeOfWeek,$E102)*INDEX(About!Q$79:Q$82,MATCH($B102,About!$A$79:$A$82,0),1)</f>
        <v>4411828</v>
      </c>
      <c r="V102" s="33">
        <f>SUMIFS(INDEX(Load,,MATCH('Summarized Source Data'!$C102,Hour,0)),Month,'Summarized Source Data'!$A102,Sector,'Summarized Source Data'!V$2,TimeOfWeek,$E102)*INDEX(About!R$79:R$82,MATCH($B102,About!$A$79:$A$82,0),1)</f>
        <v>4411828</v>
      </c>
      <c r="W102" s="33">
        <f>SUMIFS(INDEX(Load,,MATCH('Summarized Source Data'!$C102,Hour,0)),Month,'Summarized Source Data'!$A102,Sector,'Summarized Source Data'!W$2,TimeOfWeek,$E102)*INDEX(About!S$79:S$82,MATCH($B102,About!$A$79:$A$82,0),1)</f>
        <v>4411828</v>
      </c>
      <c r="X102" s="27">
        <f>SUMIFS(INDEX(Load,,MATCH('Summarized Source Data'!$C102,Hour,0)),Month,'Summarized Source Data'!$A102,Sector,'Summarized Source Data'!X$2,Subsector,'Summarized Source Data'!X$3,TimeOfWeek,$E102)*INDEX(About!T$79:T$82,MATCH($B102,About!$A$79:$A$82,0),1)</f>
        <v>645000000</v>
      </c>
      <c r="Y102" s="29">
        <f t="shared" si="9"/>
        <v>645000000</v>
      </c>
      <c r="Z102" s="29">
        <f t="shared" si="9"/>
        <v>645000000</v>
      </c>
    </row>
    <row r="103" spans="1:26" outlineLevel="1" x14ac:dyDescent="0.3">
      <c r="A103">
        <f t="shared" si="5"/>
        <v>5</v>
      </c>
      <c r="B103" t="str">
        <f>INDEX('Category Mapping'!$G$28:$G$39,MATCH(A103,'Category Mapping'!$A$28:$A$39,0),1)</f>
        <v>Spring</v>
      </c>
      <c r="C103" t="s">
        <v>66</v>
      </c>
      <c r="D103" s="6" t="s">
        <v>141</v>
      </c>
      <c r="E103" t="s">
        <v>49</v>
      </c>
      <c r="F103" s="27">
        <f>SUMIFS(INDEX(Load,,MATCH('Summarized Source Data'!$C103,Hour,0)),Month,'Summarized Source Data'!$A103,Sector,'Summarized Source Data'!F$2,Subsector,'Summarized Source Data'!F$3,TimeOfWeek,$E103)*INDEX(About!B$79:B$82,MATCH($B103,About!$A$79:$A$82,0),1)</f>
        <v>1510774</v>
      </c>
      <c r="G103" s="27">
        <f>SUMIFS(INDEX(Load,,MATCH('Summarized Source Data'!$C103,Hour,0)),Month,'Summarized Source Data'!$A103,Sector,'Summarized Source Data'!G$2,Subsector,'Summarized Source Data'!G$3,TimeOfWeek,$E103)*INDEX(About!C$79:C$82,MATCH($B103,About!$A$79:$A$82,0),1)</f>
        <v>4441</v>
      </c>
      <c r="H103" s="27">
        <f>SUMIFS(INDEX(Load,,MATCH('Summarized Source Data'!$C103,Hour,0)),Month,'Summarized Source Data'!$A103,Sector,'Summarized Source Data'!H$2,Subsector,'Summarized Source Data'!H$3,TimeOfWeek,$E103)*INDEX(About!D$79:D$82,MATCH($B103,About!$A$79:$A$82,0),1)</f>
        <v>0</v>
      </c>
      <c r="I103" s="27">
        <f>SUMIFS(INDEX(Load,,MATCH('Summarized Source Data'!$C103,Hour,0)),Month,'Summarized Source Data'!$A103,Sector,'Summarized Source Data'!I$2,Subsector,'Summarized Source Data'!I$3,TimeOfWeek,$E103)*INDEX(About!E$79:E$82,MATCH($B103,About!$A$79:$A$82,0),1)</f>
        <v>9298318</v>
      </c>
      <c r="J103" s="54">
        <f t="shared" si="6"/>
        <v>36186467</v>
      </c>
      <c r="K103" s="27">
        <f>(SUMIFS(INDEX(Load,,MATCH('Summarized Source Data'!$C103,Hour,0)),Month,'Summarized Source Data'!$A103,Sector,'Summarized Source Data'!K$2,Subsector,"Total",TimeOfWeek,$E103)-SUM(F103:I103))*INDEX(About!G$79:G$82,MATCH($B103,About!$A$79:$A$82,0),1)</f>
        <v>36186467</v>
      </c>
      <c r="L103" s="27">
        <f>SUMIFS(INDEX(Load,,MATCH('Summarized Source Data'!$C103,Hour,0)),Month,'Summarized Source Data'!$A103,Sector,'Summarized Source Data'!L$2,Subsector,'Summarized Source Data'!L$3,TimeOfWeek,$E103)*INDEX(About!H$79:H$82,MATCH($B103,About!$A$79:$A$82,0),1)</f>
        <v>4578442</v>
      </c>
      <c r="M103" s="27">
        <f>SUMIFS(INDEX(Load,,MATCH('Summarized Source Data'!$C103,Hour,0)),Month,'Summarized Source Data'!$A103,Sector,'Summarized Source Data'!M$2,Subsector,'Summarized Source Data'!M$3,TimeOfWeek,$E103)*INDEX(About!I$79:I$82,MATCH($B103,About!$A$79:$A$82,0),1)</f>
        <v>6682746</v>
      </c>
      <c r="N103" s="27">
        <f>SUMIFS(INDEX(Load,,MATCH('Summarized Source Data'!$C103,Hour,0)),Month,'Summarized Source Data'!$A103,Sector,'Summarized Source Data'!N$2,Subsector,'Summarized Source Data'!N$3,TimeOfWeek,$E103)*INDEX(About!J$79:J$82,MATCH($B103,About!$A$79:$A$82,0),1)</f>
        <v>0</v>
      </c>
      <c r="O103" s="29">
        <f t="shared" si="7"/>
        <v>154738812</v>
      </c>
      <c r="P103" s="27">
        <f>(SUMIFS(INDEX(Load,,MATCH('Summarized Source Data'!$C103,Hour,0)),Month,'Summarized Source Data'!$A103,Sector,'Summarized Source Data'!P$2,Subsector,"Total",TimeOfWeek,$E103)-SUM(L103:N103)*INDEX(About!L$79:L$82,MATCH($B103,About!$A$79:$A$82,0),1))</f>
        <v>154738812</v>
      </c>
      <c r="Q103" s="29">
        <f t="shared" si="8"/>
        <v>154738812</v>
      </c>
      <c r="R103" s="33">
        <f>SUMIFS(INDEX(Load,,MATCH('Summarized Source Data'!$C103,Hour,0)),Month,'Summarized Source Data'!$A103,Sector,'Summarized Source Data'!R$2,TimeOfWeek,$E103)*INDEX(About!N$79:N$82,MATCH($B103,About!$A$79:$A$82,0),1)</f>
        <v>4427863</v>
      </c>
      <c r="S103" s="33">
        <f>SUMIFS(INDEX(Load,,MATCH('Summarized Source Data'!$C103,Hour,0)),Month,'Summarized Source Data'!$A103,Sector,'Summarized Source Data'!S$2,TimeOfWeek,$E103)*INDEX(About!O$79:O$82,MATCH($B103,About!$A$79:$A$82,0),1)</f>
        <v>4427863</v>
      </c>
      <c r="T103" s="33">
        <f>SUMIFS(INDEX(Load,,MATCH('Summarized Source Data'!$C103,Hour,0)),Month,'Summarized Source Data'!$A103,Sector,'Summarized Source Data'!T$2,TimeOfWeek,$E103)*INDEX(About!P$79:P$82,MATCH($B103,About!$A$79:$A$82,0),1)</f>
        <v>4427863</v>
      </c>
      <c r="U103" s="33">
        <f>SUMIFS(INDEX(Load,,MATCH('Summarized Source Data'!$C103,Hour,0)),Month,'Summarized Source Data'!$A103,Sector,'Summarized Source Data'!U$2,TimeOfWeek,$E103)*INDEX(About!Q$79:Q$82,MATCH($B103,About!$A$79:$A$82,0),1)</f>
        <v>4427863</v>
      </c>
      <c r="V103" s="33">
        <f>SUMIFS(INDEX(Load,,MATCH('Summarized Source Data'!$C103,Hour,0)),Month,'Summarized Source Data'!$A103,Sector,'Summarized Source Data'!V$2,TimeOfWeek,$E103)*INDEX(About!R$79:R$82,MATCH($B103,About!$A$79:$A$82,0),1)</f>
        <v>4427863</v>
      </c>
      <c r="W103" s="33">
        <f>SUMIFS(INDEX(Load,,MATCH('Summarized Source Data'!$C103,Hour,0)),Month,'Summarized Source Data'!$A103,Sector,'Summarized Source Data'!W$2,TimeOfWeek,$E103)*INDEX(About!S$79:S$82,MATCH($B103,About!$A$79:$A$82,0),1)</f>
        <v>4427863</v>
      </c>
      <c r="X103" s="27">
        <f>SUMIFS(INDEX(Load,,MATCH('Summarized Source Data'!$C103,Hour,0)),Month,'Summarized Source Data'!$A103,Sector,'Summarized Source Data'!X$2,Subsector,'Summarized Source Data'!X$3,TimeOfWeek,$E103)*INDEX(About!T$79:T$82,MATCH($B103,About!$A$79:$A$82,0),1)</f>
        <v>645000000</v>
      </c>
      <c r="Y103" s="29">
        <f t="shared" si="9"/>
        <v>645000000</v>
      </c>
      <c r="Z103" s="29">
        <f t="shared" si="9"/>
        <v>645000000</v>
      </c>
    </row>
    <row r="104" spans="1:26" outlineLevel="1" x14ac:dyDescent="0.3">
      <c r="A104">
        <f t="shared" si="5"/>
        <v>5</v>
      </c>
      <c r="B104" t="str">
        <f>INDEX('Category Mapping'!$G$28:$G$39,MATCH(A104,'Category Mapping'!$A$28:$A$39,0),1)</f>
        <v>Spring</v>
      </c>
      <c r="C104" t="s">
        <v>67</v>
      </c>
      <c r="D104" s="6" t="s">
        <v>142</v>
      </c>
      <c r="E104" t="s">
        <v>49</v>
      </c>
      <c r="F104" s="27">
        <f>SUMIFS(INDEX(Load,,MATCH('Summarized Source Data'!$C104,Hour,0)),Month,'Summarized Source Data'!$A104,Sector,'Summarized Source Data'!F$2,Subsector,'Summarized Source Data'!F$3,TimeOfWeek,$E104)*INDEX(About!B$79:B$82,MATCH($B104,About!$A$79:$A$82,0),1)</f>
        <v>1510774</v>
      </c>
      <c r="G104" s="27">
        <f>SUMIFS(INDEX(Load,,MATCH('Summarized Source Data'!$C104,Hour,0)),Month,'Summarized Source Data'!$A104,Sector,'Summarized Source Data'!G$2,Subsector,'Summarized Source Data'!G$3,TimeOfWeek,$E104)*INDEX(About!C$79:C$82,MATCH($B104,About!$A$79:$A$82,0),1)</f>
        <v>4329</v>
      </c>
      <c r="H104" s="27">
        <f>SUMIFS(INDEX(Load,,MATCH('Summarized Source Data'!$C104,Hour,0)),Month,'Summarized Source Data'!$A104,Sector,'Summarized Source Data'!H$2,Subsector,'Summarized Source Data'!H$3,TimeOfWeek,$E104)*INDEX(About!D$79:D$82,MATCH($B104,About!$A$79:$A$82,0),1)</f>
        <v>0</v>
      </c>
      <c r="I104" s="27">
        <f>SUMIFS(INDEX(Load,,MATCH('Summarized Source Data'!$C104,Hour,0)),Month,'Summarized Source Data'!$A104,Sector,'Summarized Source Data'!I$2,Subsector,'Summarized Source Data'!I$3,TimeOfWeek,$E104)*INDEX(About!E$79:E$82,MATCH($B104,About!$A$79:$A$82,0),1)</f>
        <v>12000000</v>
      </c>
      <c r="J104" s="54">
        <f t="shared" si="6"/>
        <v>38184897</v>
      </c>
      <c r="K104" s="27">
        <f>(SUMIFS(INDEX(Load,,MATCH('Summarized Source Data'!$C104,Hour,0)),Month,'Summarized Source Data'!$A104,Sector,'Summarized Source Data'!K$2,Subsector,"Total",TimeOfWeek,$E104)-SUM(F104:I104))*INDEX(About!G$79:G$82,MATCH($B104,About!$A$79:$A$82,0),1)</f>
        <v>38184897</v>
      </c>
      <c r="L104" s="27">
        <f>SUMIFS(INDEX(Load,,MATCH('Summarized Source Data'!$C104,Hour,0)),Month,'Summarized Source Data'!$A104,Sector,'Summarized Source Data'!L$2,Subsector,'Summarized Source Data'!L$3,TimeOfWeek,$E104)*INDEX(About!H$79:H$82,MATCH($B104,About!$A$79:$A$82,0),1)</f>
        <v>4430885</v>
      </c>
      <c r="M104" s="27">
        <f>SUMIFS(INDEX(Load,,MATCH('Summarized Source Data'!$C104,Hour,0)),Month,'Summarized Source Data'!$A104,Sector,'Summarized Source Data'!M$2,Subsector,'Summarized Source Data'!M$3,TimeOfWeek,$E104)*INDEX(About!I$79:I$82,MATCH($B104,About!$A$79:$A$82,0),1)</f>
        <v>6661407</v>
      </c>
      <c r="N104" s="27">
        <f>SUMIFS(INDEX(Load,,MATCH('Summarized Source Data'!$C104,Hour,0)),Month,'Summarized Source Data'!$A104,Sector,'Summarized Source Data'!N$2,Subsector,'Summarized Source Data'!N$3,TimeOfWeek,$E104)*INDEX(About!J$79:J$82,MATCH($B104,About!$A$79:$A$82,0),1)</f>
        <v>0</v>
      </c>
      <c r="O104" s="29">
        <f t="shared" si="7"/>
        <v>163907708</v>
      </c>
      <c r="P104" s="27">
        <f>(SUMIFS(INDEX(Load,,MATCH('Summarized Source Data'!$C104,Hour,0)),Month,'Summarized Source Data'!$A104,Sector,'Summarized Source Data'!P$2,Subsector,"Total",TimeOfWeek,$E104)-SUM(L104:N104)*INDEX(About!L$79:L$82,MATCH($B104,About!$A$79:$A$82,0),1))</f>
        <v>163907708</v>
      </c>
      <c r="Q104" s="29">
        <f t="shared" si="8"/>
        <v>163907708</v>
      </c>
      <c r="R104" s="33">
        <f>SUMIFS(INDEX(Load,,MATCH('Summarized Source Data'!$C104,Hour,0)),Month,'Summarized Source Data'!$A104,Sector,'Summarized Source Data'!R$2,TimeOfWeek,$E104)*INDEX(About!N$79:N$82,MATCH($B104,About!$A$79:$A$82,0),1)</f>
        <v>4410390</v>
      </c>
      <c r="S104" s="33">
        <f>SUMIFS(INDEX(Load,,MATCH('Summarized Source Data'!$C104,Hour,0)),Month,'Summarized Source Data'!$A104,Sector,'Summarized Source Data'!S$2,TimeOfWeek,$E104)*INDEX(About!O$79:O$82,MATCH($B104,About!$A$79:$A$82,0),1)</f>
        <v>4410390</v>
      </c>
      <c r="T104" s="33">
        <f>SUMIFS(INDEX(Load,,MATCH('Summarized Source Data'!$C104,Hour,0)),Month,'Summarized Source Data'!$A104,Sector,'Summarized Source Data'!T$2,TimeOfWeek,$E104)*INDEX(About!P$79:P$82,MATCH($B104,About!$A$79:$A$82,0),1)</f>
        <v>4410390</v>
      </c>
      <c r="U104" s="33">
        <f>SUMIFS(INDEX(Load,,MATCH('Summarized Source Data'!$C104,Hour,0)),Month,'Summarized Source Data'!$A104,Sector,'Summarized Source Data'!U$2,TimeOfWeek,$E104)*INDEX(About!Q$79:Q$82,MATCH($B104,About!$A$79:$A$82,0),1)</f>
        <v>4410390</v>
      </c>
      <c r="V104" s="33">
        <f>SUMIFS(INDEX(Load,,MATCH('Summarized Source Data'!$C104,Hour,0)),Month,'Summarized Source Data'!$A104,Sector,'Summarized Source Data'!V$2,TimeOfWeek,$E104)*INDEX(About!R$79:R$82,MATCH($B104,About!$A$79:$A$82,0),1)</f>
        <v>4410390</v>
      </c>
      <c r="W104" s="33">
        <f>SUMIFS(INDEX(Load,,MATCH('Summarized Source Data'!$C104,Hour,0)),Month,'Summarized Source Data'!$A104,Sector,'Summarized Source Data'!W$2,TimeOfWeek,$E104)*INDEX(About!S$79:S$82,MATCH($B104,About!$A$79:$A$82,0),1)</f>
        <v>4410390</v>
      </c>
      <c r="X104" s="27">
        <f>SUMIFS(INDEX(Load,,MATCH('Summarized Source Data'!$C104,Hour,0)),Month,'Summarized Source Data'!$A104,Sector,'Summarized Source Data'!X$2,Subsector,'Summarized Source Data'!X$3,TimeOfWeek,$E104)*INDEX(About!T$79:T$82,MATCH($B104,About!$A$79:$A$82,0),1)</f>
        <v>647000000</v>
      </c>
      <c r="Y104" s="29">
        <f t="shared" si="9"/>
        <v>647000000</v>
      </c>
      <c r="Z104" s="29">
        <f t="shared" si="9"/>
        <v>647000000</v>
      </c>
    </row>
    <row r="105" spans="1:26" outlineLevel="1" x14ac:dyDescent="0.3">
      <c r="A105">
        <f t="shared" si="5"/>
        <v>5</v>
      </c>
      <c r="B105" t="str">
        <f>INDEX('Category Mapping'!$G$28:$G$39,MATCH(A105,'Category Mapping'!$A$28:$A$39,0),1)</f>
        <v>Spring</v>
      </c>
      <c r="C105" t="s">
        <v>68</v>
      </c>
      <c r="D105" s="6" t="s">
        <v>143</v>
      </c>
      <c r="E105" t="s">
        <v>49</v>
      </c>
      <c r="F105" s="27">
        <f>SUMIFS(INDEX(Load,,MATCH('Summarized Source Data'!$C105,Hour,0)),Month,'Summarized Source Data'!$A105,Sector,'Summarized Source Data'!F$2,Subsector,'Summarized Source Data'!F$3,TimeOfWeek,$E105)*INDEX(About!B$79:B$82,MATCH($B105,About!$A$79:$A$82,0),1)</f>
        <v>2249916</v>
      </c>
      <c r="G105" s="27">
        <f>SUMIFS(INDEX(Load,,MATCH('Summarized Source Data'!$C105,Hour,0)),Month,'Summarized Source Data'!$A105,Sector,'Summarized Source Data'!G$2,Subsector,'Summarized Source Data'!G$3,TimeOfWeek,$E105)*INDEX(About!C$79:C$82,MATCH($B105,About!$A$79:$A$82,0),1)</f>
        <v>3980</v>
      </c>
      <c r="H105" s="27">
        <f>SUMIFS(INDEX(Load,,MATCH('Summarized Source Data'!$C105,Hour,0)),Month,'Summarized Source Data'!$A105,Sector,'Summarized Source Data'!H$2,Subsector,'Summarized Source Data'!H$3,TimeOfWeek,$E105)*INDEX(About!D$79:D$82,MATCH($B105,About!$A$79:$A$82,0),1)</f>
        <v>0</v>
      </c>
      <c r="I105" s="27">
        <f>SUMIFS(INDEX(Load,,MATCH('Summarized Source Data'!$C105,Hour,0)),Month,'Summarized Source Data'!$A105,Sector,'Summarized Source Data'!I$2,Subsector,'Summarized Source Data'!I$3,TimeOfWeek,$E105)*INDEX(About!E$79:E$82,MATCH($B105,About!$A$79:$A$82,0),1)</f>
        <v>19100000</v>
      </c>
      <c r="J105" s="54">
        <f t="shared" si="6"/>
        <v>52246104</v>
      </c>
      <c r="K105" s="27">
        <f>(SUMIFS(INDEX(Load,,MATCH('Summarized Source Data'!$C105,Hour,0)),Month,'Summarized Source Data'!$A105,Sector,'Summarized Source Data'!K$2,Subsector,"Total",TimeOfWeek,$E105)-SUM(F105:I105))*INDEX(About!G$79:G$82,MATCH($B105,About!$A$79:$A$82,0),1)</f>
        <v>52246104</v>
      </c>
      <c r="L105" s="27">
        <f>SUMIFS(INDEX(Load,,MATCH('Summarized Source Data'!$C105,Hour,0)),Month,'Summarized Source Data'!$A105,Sector,'Summarized Source Data'!L$2,Subsector,'Summarized Source Data'!L$3,TimeOfWeek,$E105)*INDEX(About!H$79:H$82,MATCH($B105,About!$A$79:$A$82,0),1)</f>
        <v>6988517</v>
      </c>
      <c r="M105" s="27">
        <f>SUMIFS(INDEX(Load,,MATCH('Summarized Source Data'!$C105,Hour,0)),Month,'Summarized Source Data'!$A105,Sector,'Summarized Source Data'!M$2,Subsector,'Summarized Source Data'!M$3,TimeOfWeek,$E105)*INDEX(About!I$79:I$82,MATCH($B105,About!$A$79:$A$82,0),1)</f>
        <v>6869632</v>
      </c>
      <c r="N105" s="27">
        <f>SUMIFS(INDEX(Load,,MATCH('Summarized Source Data'!$C105,Hour,0)),Month,'Summarized Source Data'!$A105,Sector,'Summarized Source Data'!N$2,Subsector,'Summarized Source Data'!N$3,TimeOfWeek,$E105)*INDEX(About!J$79:J$82,MATCH($B105,About!$A$79:$A$82,0),1)</f>
        <v>0</v>
      </c>
      <c r="O105" s="29">
        <f t="shared" si="7"/>
        <v>191141851</v>
      </c>
      <c r="P105" s="27">
        <f>(SUMIFS(INDEX(Load,,MATCH('Summarized Source Data'!$C105,Hour,0)),Month,'Summarized Source Data'!$A105,Sector,'Summarized Source Data'!P$2,Subsector,"Total",TimeOfWeek,$E105)-SUM(L105:N105)*INDEX(About!L$79:L$82,MATCH($B105,About!$A$79:$A$82,0),1))</f>
        <v>191141851</v>
      </c>
      <c r="Q105" s="29">
        <f t="shared" si="8"/>
        <v>191141851</v>
      </c>
      <c r="R105" s="33">
        <f>SUMIFS(INDEX(Load,,MATCH('Summarized Source Data'!$C105,Hour,0)),Month,'Summarized Source Data'!$A105,Sector,'Summarized Source Data'!R$2,TimeOfWeek,$E105)*INDEX(About!N$79:N$82,MATCH($B105,About!$A$79:$A$82,0),1)</f>
        <v>4543597</v>
      </c>
      <c r="S105" s="33">
        <f>SUMIFS(INDEX(Load,,MATCH('Summarized Source Data'!$C105,Hour,0)),Month,'Summarized Source Data'!$A105,Sector,'Summarized Source Data'!S$2,TimeOfWeek,$E105)*INDEX(About!O$79:O$82,MATCH($B105,About!$A$79:$A$82,0),1)</f>
        <v>4543597</v>
      </c>
      <c r="T105" s="33">
        <f>SUMIFS(INDEX(Load,,MATCH('Summarized Source Data'!$C105,Hour,0)),Month,'Summarized Source Data'!$A105,Sector,'Summarized Source Data'!T$2,TimeOfWeek,$E105)*INDEX(About!P$79:P$82,MATCH($B105,About!$A$79:$A$82,0),1)</f>
        <v>4543597</v>
      </c>
      <c r="U105" s="33">
        <f>SUMIFS(INDEX(Load,,MATCH('Summarized Source Data'!$C105,Hour,0)),Month,'Summarized Source Data'!$A105,Sector,'Summarized Source Data'!U$2,TimeOfWeek,$E105)*INDEX(About!Q$79:Q$82,MATCH($B105,About!$A$79:$A$82,0),1)</f>
        <v>4543597</v>
      </c>
      <c r="V105" s="33">
        <f>SUMIFS(INDEX(Load,,MATCH('Summarized Source Data'!$C105,Hour,0)),Month,'Summarized Source Data'!$A105,Sector,'Summarized Source Data'!V$2,TimeOfWeek,$E105)*INDEX(About!R$79:R$82,MATCH($B105,About!$A$79:$A$82,0),1)</f>
        <v>4543597</v>
      </c>
      <c r="W105" s="33">
        <f>SUMIFS(INDEX(Load,,MATCH('Summarized Source Data'!$C105,Hour,0)),Month,'Summarized Source Data'!$A105,Sector,'Summarized Source Data'!W$2,TimeOfWeek,$E105)*INDEX(About!S$79:S$82,MATCH($B105,About!$A$79:$A$82,0),1)</f>
        <v>4543597</v>
      </c>
      <c r="X105" s="27">
        <f>SUMIFS(INDEX(Load,,MATCH('Summarized Source Data'!$C105,Hour,0)),Month,'Summarized Source Data'!$A105,Sector,'Summarized Source Data'!X$2,Subsector,'Summarized Source Data'!X$3,TimeOfWeek,$E105)*INDEX(About!T$79:T$82,MATCH($B105,About!$A$79:$A$82,0),1)</f>
        <v>652000000</v>
      </c>
      <c r="Y105" s="29">
        <f t="shared" si="9"/>
        <v>652000000</v>
      </c>
      <c r="Z105" s="29">
        <f t="shared" si="9"/>
        <v>652000000</v>
      </c>
    </row>
    <row r="106" spans="1:26" outlineLevel="1" x14ac:dyDescent="0.3">
      <c r="A106">
        <f t="shared" si="5"/>
        <v>5</v>
      </c>
      <c r="B106" t="str">
        <f>INDEX('Category Mapping'!$G$28:$G$39,MATCH(A106,'Category Mapping'!$A$28:$A$39,0),1)</f>
        <v>Spring</v>
      </c>
      <c r="C106" t="s">
        <v>69</v>
      </c>
      <c r="D106" s="6" t="s">
        <v>144</v>
      </c>
      <c r="E106" t="s">
        <v>49</v>
      </c>
      <c r="F106" s="27">
        <f>SUMIFS(INDEX(Load,,MATCH('Summarized Source Data'!$C106,Hour,0)),Month,'Summarized Source Data'!$A106,Sector,'Summarized Source Data'!F$2,Subsector,'Summarized Source Data'!F$3,TimeOfWeek,$E106)*INDEX(About!B$79:B$82,MATCH($B106,About!$A$79:$A$82,0),1)</f>
        <v>2547039</v>
      </c>
      <c r="G106" s="27">
        <f>SUMIFS(INDEX(Load,,MATCH('Summarized Source Data'!$C106,Hour,0)),Month,'Summarized Source Data'!$A106,Sector,'Summarized Source Data'!G$2,Subsector,'Summarized Source Data'!G$3,TimeOfWeek,$E106)*INDEX(About!C$79:C$82,MATCH($B106,About!$A$79:$A$82,0),1)</f>
        <v>3251</v>
      </c>
      <c r="H106" s="27">
        <f>SUMIFS(INDEX(Load,,MATCH('Summarized Source Data'!$C106,Hour,0)),Month,'Summarized Source Data'!$A106,Sector,'Summarized Source Data'!H$2,Subsector,'Summarized Source Data'!H$3,TimeOfWeek,$E106)*INDEX(About!D$79:D$82,MATCH($B106,About!$A$79:$A$82,0),1)</f>
        <v>0</v>
      </c>
      <c r="I106" s="27">
        <f>SUMIFS(INDEX(Load,,MATCH('Summarized Source Data'!$C106,Hour,0)),Month,'Summarized Source Data'!$A106,Sector,'Summarized Source Data'!I$2,Subsector,'Summarized Source Data'!I$3,TimeOfWeek,$E106)*INDEX(About!E$79:E$82,MATCH($B106,About!$A$79:$A$82,0),1)</f>
        <v>10500000</v>
      </c>
      <c r="J106" s="54">
        <f t="shared" si="6"/>
        <v>82349710</v>
      </c>
      <c r="K106" s="27">
        <f>(SUMIFS(INDEX(Load,,MATCH('Summarized Source Data'!$C106,Hour,0)),Month,'Summarized Source Data'!$A106,Sector,'Summarized Source Data'!K$2,Subsector,"Total",TimeOfWeek,$E106)-SUM(F106:I106))*INDEX(About!G$79:G$82,MATCH($B106,About!$A$79:$A$82,0),1)</f>
        <v>82349710</v>
      </c>
      <c r="L106" s="27">
        <f>SUMIFS(INDEX(Load,,MATCH('Summarized Source Data'!$C106,Hour,0)),Month,'Summarized Source Data'!$A106,Sector,'Summarized Source Data'!L$2,Subsector,'Summarized Source Data'!L$3,TimeOfWeek,$E106)*INDEX(About!H$79:H$82,MATCH($B106,About!$A$79:$A$82,0),1)</f>
        <v>17500000</v>
      </c>
      <c r="M106" s="27">
        <f>SUMIFS(INDEX(Load,,MATCH('Summarized Source Data'!$C106,Hour,0)),Month,'Summarized Source Data'!$A106,Sector,'Summarized Source Data'!M$2,Subsector,'Summarized Source Data'!M$3,TimeOfWeek,$E106)*INDEX(About!I$79:I$82,MATCH($B106,About!$A$79:$A$82,0),1)</f>
        <v>7614378</v>
      </c>
      <c r="N106" s="27">
        <f>SUMIFS(INDEX(Load,,MATCH('Summarized Source Data'!$C106,Hour,0)),Month,'Summarized Source Data'!$A106,Sector,'Summarized Source Data'!N$2,Subsector,'Summarized Source Data'!N$3,TimeOfWeek,$E106)*INDEX(About!J$79:J$82,MATCH($B106,About!$A$79:$A$82,0),1)</f>
        <v>0</v>
      </c>
      <c r="O106" s="29">
        <f t="shared" si="7"/>
        <v>285885622</v>
      </c>
      <c r="P106" s="27">
        <f>(SUMIFS(INDEX(Load,,MATCH('Summarized Source Data'!$C106,Hour,0)),Month,'Summarized Source Data'!$A106,Sector,'Summarized Source Data'!P$2,Subsector,"Total",TimeOfWeek,$E106)-SUM(L106:N106)*INDEX(About!L$79:L$82,MATCH($B106,About!$A$79:$A$82,0),1))</f>
        <v>285885622</v>
      </c>
      <c r="Q106" s="29">
        <f t="shared" si="8"/>
        <v>285885622</v>
      </c>
      <c r="R106" s="33">
        <f>SUMIFS(INDEX(Load,,MATCH('Summarized Source Data'!$C106,Hour,0)),Month,'Summarized Source Data'!$A106,Sector,'Summarized Source Data'!R$2,TimeOfWeek,$E106)*INDEX(About!N$79:N$82,MATCH($B106,About!$A$79:$A$82,0),1)</f>
        <v>6839529</v>
      </c>
      <c r="S106" s="33">
        <f>SUMIFS(INDEX(Load,,MATCH('Summarized Source Data'!$C106,Hour,0)),Month,'Summarized Source Data'!$A106,Sector,'Summarized Source Data'!S$2,TimeOfWeek,$E106)*INDEX(About!O$79:O$82,MATCH($B106,About!$A$79:$A$82,0),1)</f>
        <v>6839529</v>
      </c>
      <c r="T106" s="33">
        <f>SUMIFS(INDEX(Load,,MATCH('Summarized Source Data'!$C106,Hour,0)),Month,'Summarized Source Data'!$A106,Sector,'Summarized Source Data'!T$2,TimeOfWeek,$E106)*INDEX(About!P$79:P$82,MATCH($B106,About!$A$79:$A$82,0),1)</f>
        <v>6839529</v>
      </c>
      <c r="U106" s="33">
        <f>SUMIFS(INDEX(Load,,MATCH('Summarized Source Data'!$C106,Hour,0)),Month,'Summarized Source Data'!$A106,Sector,'Summarized Source Data'!U$2,TimeOfWeek,$E106)*INDEX(About!Q$79:Q$82,MATCH($B106,About!$A$79:$A$82,0),1)</f>
        <v>6839529</v>
      </c>
      <c r="V106" s="33">
        <f>SUMIFS(INDEX(Load,,MATCH('Summarized Source Data'!$C106,Hour,0)),Month,'Summarized Source Data'!$A106,Sector,'Summarized Source Data'!V$2,TimeOfWeek,$E106)*INDEX(About!R$79:R$82,MATCH($B106,About!$A$79:$A$82,0),1)</f>
        <v>6839529</v>
      </c>
      <c r="W106" s="33">
        <f>SUMIFS(INDEX(Load,,MATCH('Summarized Source Data'!$C106,Hour,0)),Month,'Summarized Source Data'!$A106,Sector,'Summarized Source Data'!W$2,TimeOfWeek,$E106)*INDEX(About!S$79:S$82,MATCH($B106,About!$A$79:$A$82,0),1)</f>
        <v>6839529</v>
      </c>
      <c r="X106" s="27">
        <f>SUMIFS(INDEX(Load,,MATCH('Summarized Source Data'!$C106,Hour,0)),Month,'Summarized Source Data'!$A106,Sector,'Summarized Source Data'!X$2,Subsector,'Summarized Source Data'!X$3,TimeOfWeek,$E106)*INDEX(About!T$79:T$82,MATCH($B106,About!$A$79:$A$82,0),1)</f>
        <v>659000000</v>
      </c>
      <c r="Y106" s="29">
        <f t="shared" si="9"/>
        <v>659000000</v>
      </c>
      <c r="Z106" s="29">
        <f t="shared" si="9"/>
        <v>659000000</v>
      </c>
    </row>
    <row r="107" spans="1:26" outlineLevel="1" x14ac:dyDescent="0.3">
      <c r="A107">
        <f t="shared" si="5"/>
        <v>5</v>
      </c>
      <c r="B107" t="str">
        <f>INDEX('Category Mapping'!$G$28:$G$39,MATCH(A107,'Category Mapping'!$A$28:$A$39,0),1)</f>
        <v>Spring</v>
      </c>
      <c r="C107" t="s">
        <v>70</v>
      </c>
      <c r="D107" s="6" t="s">
        <v>145</v>
      </c>
      <c r="E107" t="s">
        <v>49</v>
      </c>
      <c r="F107" s="27">
        <f>SUMIFS(INDEX(Load,,MATCH('Summarized Source Data'!$C107,Hour,0)),Month,'Summarized Source Data'!$A107,Sector,'Summarized Source Data'!F$2,Subsector,'Summarized Source Data'!F$3,TimeOfWeek,$E107)*INDEX(About!B$79:B$82,MATCH($B107,About!$A$79:$A$82,0),1)</f>
        <v>2578851</v>
      </c>
      <c r="G107" s="27">
        <f>SUMIFS(INDEX(Load,,MATCH('Summarized Source Data'!$C107,Hour,0)),Month,'Summarized Source Data'!$A107,Sector,'Summarized Source Data'!G$2,Subsector,'Summarized Source Data'!G$3,TimeOfWeek,$E107)*INDEX(About!C$79:C$82,MATCH($B107,About!$A$79:$A$82,0),1)</f>
        <v>2440</v>
      </c>
      <c r="H107" s="27">
        <f>SUMIFS(INDEX(Load,,MATCH('Summarized Source Data'!$C107,Hour,0)),Month,'Summarized Source Data'!$A107,Sector,'Summarized Source Data'!H$2,Subsector,'Summarized Source Data'!H$3,TimeOfWeek,$E107)*INDEX(About!D$79:D$82,MATCH($B107,About!$A$79:$A$82,0),1)</f>
        <v>0</v>
      </c>
      <c r="I107" s="27">
        <f>SUMIFS(INDEX(Load,,MATCH('Summarized Source Data'!$C107,Hour,0)),Month,'Summarized Source Data'!$A107,Sector,'Summarized Source Data'!I$2,Subsector,'Summarized Source Data'!I$3,TimeOfWeek,$E107)*INDEX(About!E$79:E$82,MATCH($B107,About!$A$79:$A$82,0),1)</f>
        <v>9320671</v>
      </c>
      <c r="J107" s="54">
        <f t="shared" si="6"/>
        <v>105098038</v>
      </c>
      <c r="K107" s="27">
        <f>(SUMIFS(INDEX(Load,,MATCH('Summarized Source Data'!$C107,Hour,0)),Month,'Summarized Source Data'!$A107,Sector,'Summarized Source Data'!K$2,Subsector,"Total",TimeOfWeek,$E107)-SUM(F107:I107))*INDEX(About!G$79:G$82,MATCH($B107,About!$A$79:$A$82,0),1)</f>
        <v>105098038</v>
      </c>
      <c r="L107" s="27">
        <f>SUMIFS(INDEX(Load,,MATCH('Summarized Source Data'!$C107,Hour,0)),Month,'Summarized Source Data'!$A107,Sector,'Summarized Source Data'!L$2,Subsector,'Summarized Source Data'!L$3,TimeOfWeek,$E107)*INDEX(About!H$79:H$82,MATCH($B107,About!$A$79:$A$82,0),1)</f>
        <v>13700000</v>
      </c>
      <c r="M107" s="27">
        <f>SUMIFS(INDEX(Load,,MATCH('Summarized Source Data'!$C107,Hour,0)),Month,'Summarized Source Data'!$A107,Sector,'Summarized Source Data'!M$2,Subsector,'Summarized Source Data'!M$3,TimeOfWeek,$E107)*INDEX(About!I$79:I$82,MATCH($B107,About!$A$79:$A$82,0),1)</f>
        <v>9083633</v>
      </c>
      <c r="N107" s="27">
        <f>SUMIFS(INDEX(Load,,MATCH('Summarized Source Data'!$C107,Hour,0)),Month,'Summarized Source Data'!$A107,Sector,'Summarized Source Data'!N$2,Subsector,'Summarized Source Data'!N$3,TimeOfWeek,$E107)*INDEX(About!J$79:J$82,MATCH($B107,About!$A$79:$A$82,0),1)</f>
        <v>0</v>
      </c>
      <c r="O107" s="29">
        <f t="shared" si="7"/>
        <v>392216367</v>
      </c>
      <c r="P107" s="27">
        <f>(SUMIFS(INDEX(Load,,MATCH('Summarized Source Data'!$C107,Hour,0)),Month,'Summarized Source Data'!$A107,Sector,'Summarized Source Data'!P$2,Subsector,"Total",TimeOfWeek,$E107)-SUM(L107:N107)*INDEX(About!L$79:L$82,MATCH($B107,About!$A$79:$A$82,0),1))</f>
        <v>392216367</v>
      </c>
      <c r="Q107" s="29">
        <f t="shared" si="8"/>
        <v>392216367</v>
      </c>
      <c r="R107" s="33">
        <f>SUMIFS(INDEX(Load,,MATCH('Summarized Source Data'!$C107,Hour,0)),Month,'Summarized Source Data'!$A107,Sector,'Summarized Source Data'!R$2,TimeOfWeek,$E107)*INDEX(About!N$79:N$82,MATCH($B107,About!$A$79:$A$82,0),1)</f>
        <v>14400000</v>
      </c>
      <c r="S107" s="33">
        <f>SUMIFS(INDEX(Load,,MATCH('Summarized Source Data'!$C107,Hour,0)),Month,'Summarized Source Data'!$A107,Sector,'Summarized Source Data'!S$2,TimeOfWeek,$E107)*INDEX(About!O$79:O$82,MATCH($B107,About!$A$79:$A$82,0),1)</f>
        <v>14400000</v>
      </c>
      <c r="T107" s="33">
        <f>SUMIFS(INDEX(Load,,MATCH('Summarized Source Data'!$C107,Hour,0)),Month,'Summarized Source Data'!$A107,Sector,'Summarized Source Data'!T$2,TimeOfWeek,$E107)*INDEX(About!P$79:P$82,MATCH($B107,About!$A$79:$A$82,0),1)</f>
        <v>14400000</v>
      </c>
      <c r="U107" s="33">
        <f>SUMIFS(INDEX(Load,,MATCH('Summarized Source Data'!$C107,Hour,0)),Month,'Summarized Source Data'!$A107,Sector,'Summarized Source Data'!U$2,TimeOfWeek,$E107)*INDEX(About!Q$79:Q$82,MATCH($B107,About!$A$79:$A$82,0),1)</f>
        <v>14400000</v>
      </c>
      <c r="V107" s="33">
        <f>SUMIFS(INDEX(Load,,MATCH('Summarized Source Data'!$C107,Hour,0)),Month,'Summarized Source Data'!$A107,Sector,'Summarized Source Data'!V$2,TimeOfWeek,$E107)*INDEX(About!R$79:R$82,MATCH($B107,About!$A$79:$A$82,0),1)</f>
        <v>14400000</v>
      </c>
      <c r="W107" s="33">
        <f>SUMIFS(INDEX(Load,,MATCH('Summarized Source Data'!$C107,Hour,0)),Month,'Summarized Source Data'!$A107,Sector,'Summarized Source Data'!W$2,TimeOfWeek,$E107)*INDEX(About!S$79:S$82,MATCH($B107,About!$A$79:$A$82,0),1)</f>
        <v>14400000</v>
      </c>
      <c r="X107" s="27">
        <f>SUMIFS(INDEX(Load,,MATCH('Summarized Source Data'!$C107,Hour,0)),Month,'Summarized Source Data'!$A107,Sector,'Summarized Source Data'!X$2,Subsector,'Summarized Source Data'!X$3,TimeOfWeek,$E107)*INDEX(About!T$79:T$82,MATCH($B107,About!$A$79:$A$82,0),1)</f>
        <v>665000000</v>
      </c>
      <c r="Y107" s="29">
        <f t="shared" si="9"/>
        <v>665000000</v>
      </c>
      <c r="Z107" s="29">
        <f t="shared" si="9"/>
        <v>665000000</v>
      </c>
    </row>
    <row r="108" spans="1:26" outlineLevel="1" x14ac:dyDescent="0.3">
      <c r="A108">
        <f t="shared" si="5"/>
        <v>5</v>
      </c>
      <c r="B108" t="str">
        <f>INDEX('Category Mapping'!$G$28:$G$39,MATCH(A108,'Category Mapping'!$A$28:$A$39,0),1)</f>
        <v>Spring</v>
      </c>
      <c r="C108" t="s">
        <v>71</v>
      </c>
      <c r="D108" s="6" t="s">
        <v>146</v>
      </c>
      <c r="E108" t="s">
        <v>49</v>
      </c>
      <c r="F108" s="27">
        <f>SUMIFS(INDEX(Load,,MATCH('Summarized Source Data'!$C108,Hour,0)),Month,'Summarized Source Data'!$A108,Sector,'Summarized Source Data'!F$2,Subsector,'Summarized Source Data'!F$3,TimeOfWeek,$E108)*INDEX(About!B$79:B$82,MATCH($B108,About!$A$79:$A$82,0),1)</f>
        <v>2558740</v>
      </c>
      <c r="G108" s="27">
        <f>SUMIFS(INDEX(Load,,MATCH('Summarized Source Data'!$C108,Hour,0)),Month,'Summarized Source Data'!$A108,Sector,'Summarized Source Data'!G$2,Subsector,'Summarized Source Data'!G$3,TimeOfWeek,$E108)*INDEX(About!C$79:C$82,MATCH($B108,About!$A$79:$A$82,0),1)</f>
        <v>58818</v>
      </c>
      <c r="H108" s="27">
        <f>SUMIFS(INDEX(Load,,MATCH('Summarized Source Data'!$C108,Hour,0)),Month,'Summarized Source Data'!$A108,Sector,'Summarized Source Data'!H$2,Subsector,'Summarized Source Data'!H$3,TimeOfWeek,$E108)*INDEX(About!D$79:D$82,MATCH($B108,About!$A$79:$A$82,0),1)</f>
        <v>0</v>
      </c>
      <c r="I108" s="27">
        <f>SUMIFS(INDEX(Load,,MATCH('Summarized Source Data'!$C108,Hour,0)),Month,'Summarized Source Data'!$A108,Sector,'Summarized Source Data'!I$2,Subsector,'Summarized Source Data'!I$3,TimeOfWeek,$E108)*INDEX(About!E$79:E$82,MATCH($B108,About!$A$79:$A$82,0),1)</f>
        <v>9128150</v>
      </c>
      <c r="J108" s="54">
        <f t="shared" si="6"/>
        <v>108254292</v>
      </c>
      <c r="K108" s="27">
        <f>(SUMIFS(INDEX(Load,,MATCH('Summarized Source Data'!$C108,Hour,0)),Month,'Summarized Source Data'!$A108,Sector,'Summarized Source Data'!K$2,Subsector,"Total",TimeOfWeek,$E108)-SUM(F108:I108))*INDEX(About!G$79:G$82,MATCH($B108,About!$A$79:$A$82,0),1)</f>
        <v>108254292</v>
      </c>
      <c r="L108" s="27">
        <f>SUMIFS(INDEX(Load,,MATCH('Summarized Source Data'!$C108,Hour,0)),Month,'Summarized Source Data'!$A108,Sector,'Summarized Source Data'!L$2,Subsector,'Summarized Source Data'!L$3,TimeOfWeek,$E108)*INDEX(About!H$79:H$82,MATCH($B108,About!$A$79:$A$82,0),1)</f>
        <v>8972358</v>
      </c>
      <c r="M108" s="27">
        <f>SUMIFS(INDEX(Load,,MATCH('Summarized Source Data'!$C108,Hour,0)),Month,'Summarized Source Data'!$A108,Sector,'Summarized Source Data'!M$2,Subsector,'Summarized Source Data'!M$3,TimeOfWeek,$E108)*INDEX(About!I$79:I$82,MATCH($B108,About!$A$79:$A$82,0),1)</f>
        <v>11300000</v>
      </c>
      <c r="N108" s="27">
        <f>SUMIFS(INDEX(Load,,MATCH('Summarized Source Data'!$C108,Hour,0)),Month,'Summarized Source Data'!$A108,Sector,'Summarized Source Data'!N$2,Subsector,'Summarized Source Data'!N$3,TimeOfWeek,$E108)*INDEX(About!J$79:J$82,MATCH($B108,About!$A$79:$A$82,0),1)</f>
        <v>0</v>
      </c>
      <c r="O108" s="29">
        <f t="shared" si="7"/>
        <v>487727642</v>
      </c>
      <c r="P108" s="27">
        <f>(SUMIFS(INDEX(Load,,MATCH('Summarized Source Data'!$C108,Hour,0)),Month,'Summarized Source Data'!$A108,Sector,'Summarized Source Data'!P$2,Subsector,"Total",TimeOfWeek,$E108)-SUM(L108:N108)*INDEX(About!L$79:L$82,MATCH($B108,About!$A$79:$A$82,0),1))</f>
        <v>487727642</v>
      </c>
      <c r="Q108" s="29">
        <f t="shared" si="8"/>
        <v>487727642</v>
      </c>
      <c r="R108" s="33">
        <f>SUMIFS(INDEX(Load,,MATCH('Summarized Source Data'!$C108,Hour,0)),Month,'Summarized Source Data'!$A108,Sector,'Summarized Source Data'!R$2,TimeOfWeek,$E108)*INDEX(About!N$79:N$82,MATCH($B108,About!$A$79:$A$82,0),1)</f>
        <v>15800000</v>
      </c>
      <c r="S108" s="33">
        <f>SUMIFS(INDEX(Load,,MATCH('Summarized Source Data'!$C108,Hour,0)),Month,'Summarized Source Data'!$A108,Sector,'Summarized Source Data'!S$2,TimeOfWeek,$E108)*INDEX(About!O$79:O$82,MATCH($B108,About!$A$79:$A$82,0),1)</f>
        <v>15800000</v>
      </c>
      <c r="T108" s="33">
        <f>SUMIFS(INDEX(Load,,MATCH('Summarized Source Data'!$C108,Hour,0)),Month,'Summarized Source Data'!$A108,Sector,'Summarized Source Data'!T$2,TimeOfWeek,$E108)*INDEX(About!P$79:P$82,MATCH($B108,About!$A$79:$A$82,0),1)</f>
        <v>15800000</v>
      </c>
      <c r="U108" s="33">
        <f>SUMIFS(INDEX(Load,,MATCH('Summarized Source Data'!$C108,Hour,0)),Month,'Summarized Source Data'!$A108,Sector,'Summarized Source Data'!U$2,TimeOfWeek,$E108)*INDEX(About!Q$79:Q$82,MATCH($B108,About!$A$79:$A$82,0),1)</f>
        <v>15800000</v>
      </c>
      <c r="V108" s="33">
        <f>SUMIFS(INDEX(Load,,MATCH('Summarized Source Data'!$C108,Hour,0)),Month,'Summarized Source Data'!$A108,Sector,'Summarized Source Data'!V$2,TimeOfWeek,$E108)*INDEX(About!R$79:R$82,MATCH($B108,About!$A$79:$A$82,0),1)</f>
        <v>15800000</v>
      </c>
      <c r="W108" s="33">
        <f>SUMIFS(INDEX(Load,,MATCH('Summarized Source Data'!$C108,Hour,0)),Month,'Summarized Source Data'!$A108,Sector,'Summarized Source Data'!W$2,TimeOfWeek,$E108)*INDEX(About!S$79:S$82,MATCH($B108,About!$A$79:$A$82,0),1)</f>
        <v>15800000</v>
      </c>
      <c r="X108" s="27">
        <f>SUMIFS(INDEX(Load,,MATCH('Summarized Source Data'!$C108,Hour,0)),Month,'Summarized Source Data'!$A108,Sector,'Summarized Source Data'!X$2,Subsector,'Summarized Source Data'!X$3,TimeOfWeek,$E108)*INDEX(About!T$79:T$82,MATCH($B108,About!$A$79:$A$82,0),1)</f>
        <v>667000000</v>
      </c>
      <c r="Y108" s="29">
        <f t="shared" si="9"/>
        <v>667000000</v>
      </c>
      <c r="Z108" s="29">
        <f t="shared" si="9"/>
        <v>667000000</v>
      </c>
    </row>
    <row r="109" spans="1:26" outlineLevel="1" x14ac:dyDescent="0.3">
      <c r="A109">
        <f t="shared" si="5"/>
        <v>5</v>
      </c>
      <c r="B109" t="str">
        <f>INDEX('Category Mapping'!$G$28:$G$39,MATCH(A109,'Category Mapping'!$A$28:$A$39,0),1)</f>
        <v>Spring</v>
      </c>
      <c r="C109" t="s">
        <v>72</v>
      </c>
      <c r="D109" s="6" t="s">
        <v>147</v>
      </c>
      <c r="E109" t="s">
        <v>49</v>
      </c>
      <c r="F109" s="27">
        <f>SUMIFS(INDEX(Load,,MATCH('Summarized Source Data'!$C109,Hour,0)),Month,'Summarized Source Data'!$A109,Sector,'Summarized Source Data'!F$2,Subsector,'Summarized Source Data'!F$3,TimeOfWeek,$E109)*INDEX(About!B$79:B$82,MATCH($B109,About!$A$79:$A$82,0),1)</f>
        <v>1767071</v>
      </c>
      <c r="G109" s="27">
        <f>SUMIFS(INDEX(Load,,MATCH('Summarized Source Data'!$C109,Hour,0)),Month,'Summarized Source Data'!$A109,Sector,'Summarized Source Data'!G$2,Subsector,'Summarized Source Data'!G$3,TimeOfWeek,$E109)*INDEX(About!C$79:C$82,MATCH($B109,About!$A$79:$A$82,0),1)</f>
        <v>995883</v>
      </c>
      <c r="H109" s="27">
        <f>SUMIFS(INDEX(Load,,MATCH('Summarized Source Data'!$C109,Hour,0)),Month,'Summarized Source Data'!$A109,Sector,'Summarized Source Data'!H$2,Subsector,'Summarized Source Data'!H$3,TimeOfWeek,$E109)*INDEX(About!D$79:D$82,MATCH($B109,About!$A$79:$A$82,0),1)</f>
        <v>0</v>
      </c>
      <c r="I109" s="27">
        <f>SUMIFS(INDEX(Load,,MATCH('Summarized Source Data'!$C109,Hour,0)),Month,'Summarized Source Data'!$A109,Sector,'Summarized Source Data'!I$2,Subsector,'Summarized Source Data'!I$3,TimeOfWeek,$E109)*INDEX(About!E$79:E$82,MATCH($B109,About!$A$79:$A$82,0),1)</f>
        <v>8780826</v>
      </c>
      <c r="J109" s="54">
        <f t="shared" si="6"/>
        <v>108456220</v>
      </c>
      <c r="K109" s="27">
        <f>(SUMIFS(INDEX(Load,,MATCH('Summarized Source Data'!$C109,Hour,0)),Month,'Summarized Source Data'!$A109,Sector,'Summarized Source Data'!K$2,Subsector,"Total",TimeOfWeek,$E109)-SUM(F109:I109))*INDEX(About!G$79:G$82,MATCH($B109,About!$A$79:$A$82,0),1)</f>
        <v>108456220</v>
      </c>
      <c r="L109" s="27">
        <f>SUMIFS(INDEX(Load,,MATCH('Summarized Source Data'!$C109,Hour,0)),Month,'Summarized Source Data'!$A109,Sector,'Summarized Source Data'!L$2,Subsector,'Summarized Source Data'!L$3,TimeOfWeek,$E109)*INDEX(About!H$79:H$82,MATCH($B109,About!$A$79:$A$82,0),1)</f>
        <v>7068316</v>
      </c>
      <c r="M109" s="27">
        <f>SUMIFS(INDEX(Load,,MATCH('Summarized Source Data'!$C109,Hour,0)),Month,'Summarized Source Data'!$A109,Sector,'Summarized Source Data'!M$2,Subsector,'Summarized Source Data'!M$3,TimeOfWeek,$E109)*INDEX(About!I$79:I$82,MATCH($B109,About!$A$79:$A$82,0),1)</f>
        <v>13500000</v>
      </c>
      <c r="N109" s="27">
        <f>SUMIFS(INDEX(Load,,MATCH('Summarized Source Data'!$C109,Hour,0)),Month,'Summarized Source Data'!$A109,Sector,'Summarized Source Data'!N$2,Subsector,'Summarized Source Data'!N$3,TimeOfWeek,$E109)*INDEX(About!J$79:J$82,MATCH($B109,About!$A$79:$A$82,0),1)</f>
        <v>0</v>
      </c>
      <c r="O109" s="29">
        <f t="shared" si="7"/>
        <v>513431684</v>
      </c>
      <c r="P109" s="27">
        <f>(SUMIFS(INDEX(Load,,MATCH('Summarized Source Data'!$C109,Hour,0)),Month,'Summarized Source Data'!$A109,Sector,'Summarized Source Data'!P$2,Subsector,"Total",TimeOfWeek,$E109)-SUM(L109:N109)*INDEX(About!L$79:L$82,MATCH($B109,About!$A$79:$A$82,0),1))</f>
        <v>513431684</v>
      </c>
      <c r="Q109" s="29">
        <f t="shared" si="8"/>
        <v>513431684</v>
      </c>
      <c r="R109" s="33">
        <f>SUMIFS(INDEX(Load,,MATCH('Summarized Source Data'!$C109,Hour,0)),Month,'Summarized Source Data'!$A109,Sector,'Summarized Source Data'!R$2,TimeOfWeek,$E109)*INDEX(About!N$79:N$82,MATCH($B109,About!$A$79:$A$82,0),1)</f>
        <v>14000000</v>
      </c>
      <c r="S109" s="33">
        <f>SUMIFS(INDEX(Load,,MATCH('Summarized Source Data'!$C109,Hour,0)),Month,'Summarized Source Data'!$A109,Sector,'Summarized Source Data'!S$2,TimeOfWeek,$E109)*INDEX(About!O$79:O$82,MATCH($B109,About!$A$79:$A$82,0),1)</f>
        <v>14000000</v>
      </c>
      <c r="T109" s="33">
        <f>SUMIFS(INDEX(Load,,MATCH('Summarized Source Data'!$C109,Hour,0)),Month,'Summarized Source Data'!$A109,Sector,'Summarized Source Data'!T$2,TimeOfWeek,$E109)*INDEX(About!P$79:P$82,MATCH($B109,About!$A$79:$A$82,0),1)</f>
        <v>14000000</v>
      </c>
      <c r="U109" s="33">
        <f>SUMIFS(INDEX(Load,,MATCH('Summarized Source Data'!$C109,Hour,0)),Month,'Summarized Source Data'!$A109,Sector,'Summarized Source Data'!U$2,TimeOfWeek,$E109)*INDEX(About!Q$79:Q$82,MATCH($B109,About!$A$79:$A$82,0),1)</f>
        <v>14000000</v>
      </c>
      <c r="V109" s="33">
        <f>SUMIFS(INDEX(Load,,MATCH('Summarized Source Data'!$C109,Hour,0)),Month,'Summarized Source Data'!$A109,Sector,'Summarized Source Data'!V$2,TimeOfWeek,$E109)*INDEX(About!R$79:R$82,MATCH($B109,About!$A$79:$A$82,0),1)</f>
        <v>14000000</v>
      </c>
      <c r="W109" s="33">
        <f>SUMIFS(INDEX(Load,,MATCH('Summarized Source Data'!$C109,Hour,0)),Month,'Summarized Source Data'!$A109,Sector,'Summarized Source Data'!W$2,TimeOfWeek,$E109)*INDEX(About!S$79:S$82,MATCH($B109,About!$A$79:$A$82,0),1)</f>
        <v>14000000</v>
      </c>
      <c r="X109" s="27">
        <f>SUMIFS(INDEX(Load,,MATCH('Summarized Source Data'!$C109,Hour,0)),Month,'Summarized Source Data'!$A109,Sector,'Summarized Source Data'!X$2,Subsector,'Summarized Source Data'!X$3,TimeOfWeek,$E109)*INDEX(About!T$79:T$82,MATCH($B109,About!$A$79:$A$82,0),1)</f>
        <v>666000000</v>
      </c>
      <c r="Y109" s="29">
        <f t="shared" si="9"/>
        <v>666000000</v>
      </c>
      <c r="Z109" s="29">
        <f t="shared" si="9"/>
        <v>666000000</v>
      </c>
    </row>
    <row r="110" spans="1:26" outlineLevel="1" x14ac:dyDescent="0.3">
      <c r="A110">
        <f t="shared" si="5"/>
        <v>5</v>
      </c>
      <c r="B110" t="str">
        <f>INDEX('Category Mapping'!$G$28:$G$39,MATCH(A110,'Category Mapping'!$A$28:$A$39,0),1)</f>
        <v>Spring</v>
      </c>
      <c r="C110" t="s">
        <v>73</v>
      </c>
      <c r="D110" s="6" t="s">
        <v>148</v>
      </c>
      <c r="E110" t="s">
        <v>49</v>
      </c>
      <c r="F110" s="27">
        <f>SUMIFS(INDEX(Load,,MATCH('Summarized Source Data'!$C110,Hour,0)),Month,'Summarized Source Data'!$A110,Sector,'Summarized Source Data'!F$2,Subsector,'Summarized Source Data'!F$3,TimeOfWeek,$E110)*INDEX(About!B$79:B$82,MATCH($B110,About!$A$79:$A$82,0),1)</f>
        <v>1782059</v>
      </c>
      <c r="G110" s="27">
        <f>SUMIFS(INDEX(Load,,MATCH('Summarized Source Data'!$C110,Hour,0)),Month,'Summarized Source Data'!$A110,Sector,'Summarized Source Data'!G$2,Subsector,'Summarized Source Data'!G$3,TimeOfWeek,$E110)*INDEX(About!C$79:C$82,MATCH($B110,About!$A$79:$A$82,0),1)</f>
        <v>2342718</v>
      </c>
      <c r="H110" s="27">
        <f>SUMIFS(INDEX(Load,,MATCH('Summarized Source Data'!$C110,Hour,0)),Month,'Summarized Source Data'!$A110,Sector,'Summarized Source Data'!H$2,Subsector,'Summarized Source Data'!H$3,TimeOfWeek,$E110)*INDEX(About!D$79:D$82,MATCH($B110,About!$A$79:$A$82,0),1)</f>
        <v>0</v>
      </c>
      <c r="I110" s="27">
        <f>SUMIFS(INDEX(Load,,MATCH('Summarized Source Data'!$C110,Hour,0)),Month,'Summarized Source Data'!$A110,Sector,'Summarized Source Data'!I$2,Subsector,'Summarized Source Data'!I$3,TimeOfWeek,$E110)*INDEX(About!E$79:E$82,MATCH($B110,About!$A$79:$A$82,0),1)</f>
        <v>8924303</v>
      </c>
      <c r="J110" s="54">
        <f t="shared" si="6"/>
        <v>107950920</v>
      </c>
      <c r="K110" s="27">
        <f>(SUMIFS(INDEX(Load,,MATCH('Summarized Source Data'!$C110,Hour,0)),Month,'Summarized Source Data'!$A110,Sector,'Summarized Source Data'!K$2,Subsector,"Total",TimeOfWeek,$E110)-SUM(F110:I110))*INDEX(About!G$79:G$82,MATCH($B110,About!$A$79:$A$82,0),1)</f>
        <v>107950920</v>
      </c>
      <c r="L110" s="27">
        <f>SUMIFS(INDEX(Load,,MATCH('Summarized Source Data'!$C110,Hour,0)),Month,'Summarized Source Data'!$A110,Sector,'Summarized Source Data'!L$2,Subsector,'Summarized Source Data'!L$3,TimeOfWeek,$E110)*INDEX(About!H$79:H$82,MATCH($B110,About!$A$79:$A$82,0),1)</f>
        <v>5953044</v>
      </c>
      <c r="M110" s="27">
        <f>SUMIFS(INDEX(Load,,MATCH('Summarized Source Data'!$C110,Hour,0)),Month,'Summarized Source Data'!$A110,Sector,'Summarized Source Data'!M$2,Subsector,'Summarized Source Data'!M$3,TimeOfWeek,$E110)*INDEX(About!I$79:I$82,MATCH($B110,About!$A$79:$A$82,0),1)</f>
        <v>15300000</v>
      </c>
      <c r="N110" s="27">
        <f>SUMIFS(INDEX(Load,,MATCH('Summarized Source Data'!$C110,Hour,0)),Month,'Summarized Source Data'!$A110,Sector,'Summarized Source Data'!N$2,Subsector,'Summarized Source Data'!N$3,TimeOfWeek,$E110)*INDEX(About!J$79:J$82,MATCH($B110,About!$A$79:$A$82,0),1)</f>
        <v>0</v>
      </c>
      <c r="O110" s="29">
        <f t="shared" si="7"/>
        <v>511746956</v>
      </c>
      <c r="P110" s="27">
        <f>(SUMIFS(INDEX(Load,,MATCH('Summarized Source Data'!$C110,Hour,0)),Month,'Summarized Source Data'!$A110,Sector,'Summarized Source Data'!P$2,Subsector,"Total",TimeOfWeek,$E110)-SUM(L110:N110)*INDEX(About!L$79:L$82,MATCH($B110,About!$A$79:$A$82,0),1))</f>
        <v>511746956</v>
      </c>
      <c r="Q110" s="29">
        <f t="shared" si="8"/>
        <v>511746956</v>
      </c>
      <c r="R110" s="33">
        <f>SUMIFS(INDEX(Load,,MATCH('Summarized Source Data'!$C110,Hour,0)),Month,'Summarized Source Data'!$A110,Sector,'Summarized Source Data'!R$2,TimeOfWeek,$E110)*INDEX(About!N$79:N$82,MATCH($B110,About!$A$79:$A$82,0),1)</f>
        <v>11300000</v>
      </c>
      <c r="S110" s="33">
        <f>SUMIFS(INDEX(Load,,MATCH('Summarized Source Data'!$C110,Hour,0)),Month,'Summarized Source Data'!$A110,Sector,'Summarized Source Data'!S$2,TimeOfWeek,$E110)*INDEX(About!O$79:O$82,MATCH($B110,About!$A$79:$A$82,0),1)</f>
        <v>11300000</v>
      </c>
      <c r="T110" s="33">
        <f>SUMIFS(INDEX(Load,,MATCH('Summarized Source Data'!$C110,Hour,0)),Month,'Summarized Source Data'!$A110,Sector,'Summarized Source Data'!T$2,TimeOfWeek,$E110)*INDEX(About!P$79:P$82,MATCH($B110,About!$A$79:$A$82,0),1)</f>
        <v>11300000</v>
      </c>
      <c r="U110" s="33">
        <f>SUMIFS(INDEX(Load,,MATCH('Summarized Source Data'!$C110,Hour,0)),Month,'Summarized Source Data'!$A110,Sector,'Summarized Source Data'!U$2,TimeOfWeek,$E110)*INDEX(About!Q$79:Q$82,MATCH($B110,About!$A$79:$A$82,0),1)</f>
        <v>11300000</v>
      </c>
      <c r="V110" s="33">
        <f>SUMIFS(INDEX(Load,,MATCH('Summarized Source Data'!$C110,Hour,0)),Month,'Summarized Source Data'!$A110,Sector,'Summarized Source Data'!V$2,TimeOfWeek,$E110)*INDEX(About!R$79:R$82,MATCH($B110,About!$A$79:$A$82,0),1)</f>
        <v>11300000</v>
      </c>
      <c r="W110" s="33">
        <f>SUMIFS(INDEX(Load,,MATCH('Summarized Source Data'!$C110,Hour,0)),Month,'Summarized Source Data'!$A110,Sector,'Summarized Source Data'!W$2,TimeOfWeek,$E110)*INDEX(About!S$79:S$82,MATCH($B110,About!$A$79:$A$82,0),1)</f>
        <v>11300000</v>
      </c>
      <c r="X110" s="27">
        <f>SUMIFS(INDEX(Load,,MATCH('Summarized Source Data'!$C110,Hour,0)),Month,'Summarized Source Data'!$A110,Sector,'Summarized Source Data'!X$2,Subsector,'Summarized Source Data'!X$3,TimeOfWeek,$E110)*INDEX(About!T$79:T$82,MATCH($B110,About!$A$79:$A$82,0),1)</f>
        <v>664000000</v>
      </c>
      <c r="Y110" s="29">
        <f t="shared" si="9"/>
        <v>664000000</v>
      </c>
      <c r="Z110" s="29">
        <f t="shared" si="9"/>
        <v>664000000</v>
      </c>
    </row>
    <row r="111" spans="1:26" outlineLevel="1" x14ac:dyDescent="0.3">
      <c r="A111">
        <f t="shared" si="5"/>
        <v>5</v>
      </c>
      <c r="B111" t="str">
        <f>INDEX('Category Mapping'!$G$28:$G$39,MATCH(A111,'Category Mapping'!$A$28:$A$39,0),1)</f>
        <v>Spring</v>
      </c>
      <c r="C111" t="s">
        <v>74</v>
      </c>
      <c r="D111" s="6" t="s">
        <v>149</v>
      </c>
      <c r="E111" t="s">
        <v>49</v>
      </c>
      <c r="F111" s="27">
        <f>SUMIFS(INDEX(Load,,MATCH('Summarized Source Data'!$C111,Hour,0)),Month,'Summarized Source Data'!$A111,Sector,'Summarized Source Data'!F$2,Subsector,'Summarized Source Data'!F$3,TimeOfWeek,$E111)*INDEX(About!B$79:B$82,MATCH($B111,About!$A$79:$A$82,0),1)</f>
        <v>1871767</v>
      </c>
      <c r="G111" s="27">
        <f>SUMIFS(INDEX(Load,,MATCH('Summarized Source Data'!$C111,Hour,0)),Month,'Summarized Source Data'!$A111,Sector,'Summarized Source Data'!G$2,Subsector,'Summarized Source Data'!G$3,TimeOfWeek,$E111)*INDEX(About!C$79:C$82,MATCH($B111,About!$A$79:$A$82,0),1)</f>
        <v>4070541</v>
      </c>
      <c r="H111" s="27">
        <f>SUMIFS(INDEX(Load,,MATCH('Summarized Source Data'!$C111,Hour,0)),Month,'Summarized Source Data'!$A111,Sector,'Summarized Source Data'!H$2,Subsector,'Summarized Source Data'!H$3,TimeOfWeek,$E111)*INDEX(About!D$79:D$82,MATCH($B111,About!$A$79:$A$82,0),1)</f>
        <v>0</v>
      </c>
      <c r="I111" s="27">
        <f>SUMIFS(INDEX(Load,,MATCH('Summarized Source Data'!$C111,Hour,0)),Month,'Summarized Source Data'!$A111,Sector,'Summarized Source Data'!I$2,Subsector,'Summarized Source Data'!I$3,TimeOfWeek,$E111)*INDEX(About!E$79:E$82,MATCH($B111,About!$A$79:$A$82,0),1)</f>
        <v>9783070</v>
      </c>
      <c r="J111" s="54">
        <f t="shared" si="6"/>
        <v>107274622</v>
      </c>
      <c r="K111" s="27">
        <f>(SUMIFS(INDEX(Load,,MATCH('Summarized Source Data'!$C111,Hour,0)),Month,'Summarized Source Data'!$A111,Sector,'Summarized Source Data'!K$2,Subsector,"Total",TimeOfWeek,$E111)-SUM(F111:I111))*INDEX(About!G$79:G$82,MATCH($B111,About!$A$79:$A$82,0),1)</f>
        <v>107274622</v>
      </c>
      <c r="L111" s="27">
        <f>SUMIFS(INDEX(Load,,MATCH('Summarized Source Data'!$C111,Hour,0)),Month,'Summarized Source Data'!$A111,Sector,'Summarized Source Data'!L$2,Subsector,'Summarized Source Data'!L$3,TimeOfWeek,$E111)*INDEX(About!H$79:H$82,MATCH($B111,About!$A$79:$A$82,0),1)</f>
        <v>4994629</v>
      </c>
      <c r="M111" s="27">
        <f>SUMIFS(INDEX(Load,,MATCH('Summarized Source Data'!$C111,Hour,0)),Month,'Summarized Source Data'!$A111,Sector,'Summarized Source Data'!M$2,Subsector,'Summarized Source Data'!M$3,TimeOfWeek,$E111)*INDEX(About!I$79:I$82,MATCH($B111,About!$A$79:$A$82,0),1)</f>
        <v>16600000</v>
      </c>
      <c r="N111" s="27">
        <f>SUMIFS(INDEX(Load,,MATCH('Summarized Source Data'!$C111,Hour,0)),Month,'Summarized Source Data'!$A111,Sector,'Summarized Source Data'!N$2,Subsector,'Summarized Source Data'!N$3,TimeOfWeek,$E111)*INDEX(About!J$79:J$82,MATCH($B111,About!$A$79:$A$82,0),1)</f>
        <v>0</v>
      </c>
      <c r="O111" s="29">
        <f t="shared" si="7"/>
        <v>510405371</v>
      </c>
      <c r="P111" s="27">
        <f>(SUMIFS(INDEX(Load,,MATCH('Summarized Source Data'!$C111,Hour,0)),Month,'Summarized Source Data'!$A111,Sector,'Summarized Source Data'!P$2,Subsector,"Total",TimeOfWeek,$E111)-SUM(L111:N111)*INDEX(About!L$79:L$82,MATCH($B111,About!$A$79:$A$82,0),1))</f>
        <v>510405371</v>
      </c>
      <c r="Q111" s="29">
        <f t="shared" si="8"/>
        <v>510405371</v>
      </c>
      <c r="R111" s="33">
        <f>SUMIFS(INDEX(Load,,MATCH('Summarized Source Data'!$C111,Hour,0)),Month,'Summarized Source Data'!$A111,Sector,'Summarized Source Data'!R$2,TimeOfWeek,$E111)*INDEX(About!N$79:N$82,MATCH($B111,About!$A$79:$A$82,0),1)</f>
        <v>11300000</v>
      </c>
      <c r="S111" s="33">
        <f>SUMIFS(INDEX(Load,,MATCH('Summarized Source Data'!$C111,Hour,0)),Month,'Summarized Source Data'!$A111,Sector,'Summarized Source Data'!S$2,TimeOfWeek,$E111)*INDEX(About!O$79:O$82,MATCH($B111,About!$A$79:$A$82,0),1)</f>
        <v>11300000</v>
      </c>
      <c r="T111" s="33">
        <f>SUMIFS(INDEX(Load,,MATCH('Summarized Source Data'!$C111,Hour,0)),Month,'Summarized Source Data'!$A111,Sector,'Summarized Source Data'!T$2,TimeOfWeek,$E111)*INDEX(About!P$79:P$82,MATCH($B111,About!$A$79:$A$82,0),1)</f>
        <v>11300000</v>
      </c>
      <c r="U111" s="33">
        <f>SUMIFS(INDEX(Load,,MATCH('Summarized Source Data'!$C111,Hour,0)),Month,'Summarized Source Data'!$A111,Sector,'Summarized Source Data'!U$2,TimeOfWeek,$E111)*INDEX(About!Q$79:Q$82,MATCH($B111,About!$A$79:$A$82,0),1)</f>
        <v>11300000</v>
      </c>
      <c r="V111" s="33">
        <f>SUMIFS(INDEX(Load,,MATCH('Summarized Source Data'!$C111,Hour,0)),Month,'Summarized Source Data'!$A111,Sector,'Summarized Source Data'!V$2,TimeOfWeek,$E111)*INDEX(About!R$79:R$82,MATCH($B111,About!$A$79:$A$82,0),1)</f>
        <v>11300000</v>
      </c>
      <c r="W111" s="33">
        <f>SUMIFS(INDEX(Load,,MATCH('Summarized Source Data'!$C111,Hour,0)),Month,'Summarized Source Data'!$A111,Sector,'Summarized Source Data'!W$2,TimeOfWeek,$E111)*INDEX(About!S$79:S$82,MATCH($B111,About!$A$79:$A$82,0),1)</f>
        <v>11300000</v>
      </c>
      <c r="X111" s="27">
        <f>SUMIFS(INDEX(Load,,MATCH('Summarized Source Data'!$C111,Hour,0)),Month,'Summarized Source Data'!$A111,Sector,'Summarized Source Data'!X$2,Subsector,'Summarized Source Data'!X$3,TimeOfWeek,$E111)*INDEX(About!T$79:T$82,MATCH($B111,About!$A$79:$A$82,0),1)</f>
        <v>662000000</v>
      </c>
      <c r="Y111" s="29">
        <f t="shared" si="9"/>
        <v>662000000</v>
      </c>
      <c r="Z111" s="29">
        <f t="shared" si="9"/>
        <v>662000000</v>
      </c>
    </row>
    <row r="112" spans="1:26" outlineLevel="1" x14ac:dyDescent="0.3">
      <c r="A112">
        <f t="shared" si="5"/>
        <v>5</v>
      </c>
      <c r="B112" t="str">
        <f>INDEX('Category Mapping'!$G$28:$G$39,MATCH(A112,'Category Mapping'!$A$28:$A$39,0),1)</f>
        <v>Spring</v>
      </c>
      <c r="C112" t="s">
        <v>75</v>
      </c>
      <c r="D112" s="6" t="s">
        <v>150</v>
      </c>
      <c r="E112" t="s">
        <v>49</v>
      </c>
      <c r="F112" s="27">
        <f>SUMIFS(INDEX(Load,,MATCH('Summarized Source Data'!$C112,Hour,0)),Month,'Summarized Source Data'!$A112,Sector,'Summarized Source Data'!F$2,Subsector,'Summarized Source Data'!F$3,TimeOfWeek,$E112)*INDEX(About!B$79:B$82,MATCH($B112,About!$A$79:$A$82,0),1)</f>
        <v>1926704</v>
      </c>
      <c r="G112" s="27">
        <f>SUMIFS(INDEX(Load,,MATCH('Summarized Source Data'!$C112,Hour,0)),Month,'Summarized Source Data'!$A112,Sector,'Summarized Source Data'!G$2,Subsector,'Summarized Source Data'!G$3,TimeOfWeek,$E112)*INDEX(About!C$79:C$82,MATCH($B112,About!$A$79:$A$82,0),1)</f>
        <v>5674487</v>
      </c>
      <c r="H112" s="27">
        <f>SUMIFS(INDEX(Load,,MATCH('Summarized Source Data'!$C112,Hour,0)),Month,'Summarized Source Data'!$A112,Sector,'Summarized Source Data'!H$2,Subsector,'Summarized Source Data'!H$3,TimeOfWeek,$E112)*INDEX(About!D$79:D$82,MATCH($B112,About!$A$79:$A$82,0),1)</f>
        <v>0</v>
      </c>
      <c r="I112" s="27">
        <f>SUMIFS(INDEX(Load,,MATCH('Summarized Source Data'!$C112,Hour,0)),Month,'Summarized Source Data'!$A112,Sector,'Summarized Source Data'!I$2,Subsector,'Summarized Source Data'!I$3,TimeOfWeek,$E112)*INDEX(About!E$79:E$82,MATCH($B112,About!$A$79:$A$82,0),1)</f>
        <v>10300000</v>
      </c>
      <c r="J112" s="54">
        <f t="shared" si="6"/>
        <v>104098809</v>
      </c>
      <c r="K112" s="27">
        <f>(SUMIFS(INDEX(Load,,MATCH('Summarized Source Data'!$C112,Hour,0)),Month,'Summarized Source Data'!$A112,Sector,'Summarized Source Data'!K$2,Subsector,"Total",TimeOfWeek,$E112)-SUM(F112:I112))*INDEX(About!G$79:G$82,MATCH($B112,About!$A$79:$A$82,0),1)</f>
        <v>104098809</v>
      </c>
      <c r="L112" s="27">
        <f>SUMIFS(INDEX(Load,,MATCH('Summarized Source Data'!$C112,Hour,0)),Month,'Summarized Source Data'!$A112,Sector,'Summarized Source Data'!L$2,Subsector,'Summarized Source Data'!L$3,TimeOfWeek,$E112)*INDEX(About!H$79:H$82,MATCH($B112,About!$A$79:$A$82,0),1)</f>
        <v>4550673</v>
      </c>
      <c r="M112" s="27">
        <f>SUMIFS(INDEX(Load,,MATCH('Summarized Source Data'!$C112,Hour,0)),Month,'Summarized Source Data'!$A112,Sector,'Summarized Source Data'!M$2,Subsector,'Summarized Source Data'!M$3,TimeOfWeek,$E112)*INDEX(About!I$79:I$82,MATCH($B112,About!$A$79:$A$82,0),1)</f>
        <v>17000000</v>
      </c>
      <c r="N112" s="27">
        <f>SUMIFS(INDEX(Load,,MATCH('Summarized Source Data'!$C112,Hour,0)),Month,'Summarized Source Data'!$A112,Sector,'Summarized Source Data'!N$2,Subsector,'Summarized Source Data'!N$3,TimeOfWeek,$E112)*INDEX(About!J$79:J$82,MATCH($B112,About!$A$79:$A$82,0),1)</f>
        <v>0</v>
      </c>
      <c r="O112" s="29">
        <f t="shared" si="7"/>
        <v>501449327</v>
      </c>
      <c r="P112" s="27">
        <f>(SUMIFS(INDEX(Load,,MATCH('Summarized Source Data'!$C112,Hour,0)),Month,'Summarized Source Data'!$A112,Sector,'Summarized Source Data'!P$2,Subsector,"Total",TimeOfWeek,$E112)-SUM(L112:N112)*INDEX(About!L$79:L$82,MATCH($B112,About!$A$79:$A$82,0),1))</f>
        <v>501449327</v>
      </c>
      <c r="Q112" s="29">
        <f t="shared" si="8"/>
        <v>501449327</v>
      </c>
      <c r="R112" s="33">
        <f>SUMIFS(INDEX(Load,,MATCH('Summarized Source Data'!$C112,Hour,0)),Month,'Summarized Source Data'!$A112,Sector,'Summarized Source Data'!R$2,TimeOfWeek,$E112)*INDEX(About!N$79:N$82,MATCH($B112,About!$A$79:$A$82,0),1)</f>
        <v>11500000</v>
      </c>
      <c r="S112" s="33">
        <f>SUMIFS(INDEX(Load,,MATCH('Summarized Source Data'!$C112,Hour,0)),Month,'Summarized Source Data'!$A112,Sector,'Summarized Source Data'!S$2,TimeOfWeek,$E112)*INDEX(About!O$79:O$82,MATCH($B112,About!$A$79:$A$82,0),1)</f>
        <v>11500000</v>
      </c>
      <c r="T112" s="33">
        <f>SUMIFS(INDEX(Load,,MATCH('Summarized Source Data'!$C112,Hour,0)),Month,'Summarized Source Data'!$A112,Sector,'Summarized Source Data'!T$2,TimeOfWeek,$E112)*INDEX(About!P$79:P$82,MATCH($B112,About!$A$79:$A$82,0),1)</f>
        <v>11500000</v>
      </c>
      <c r="U112" s="33">
        <f>SUMIFS(INDEX(Load,,MATCH('Summarized Source Data'!$C112,Hour,0)),Month,'Summarized Source Data'!$A112,Sector,'Summarized Source Data'!U$2,TimeOfWeek,$E112)*INDEX(About!Q$79:Q$82,MATCH($B112,About!$A$79:$A$82,0),1)</f>
        <v>11500000</v>
      </c>
      <c r="V112" s="33">
        <f>SUMIFS(INDEX(Load,,MATCH('Summarized Source Data'!$C112,Hour,0)),Month,'Summarized Source Data'!$A112,Sector,'Summarized Source Data'!V$2,TimeOfWeek,$E112)*INDEX(About!R$79:R$82,MATCH($B112,About!$A$79:$A$82,0),1)</f>
        <v>11500000</v>
      </c>
      <c r="W112" s="33">
        <f>SUMIFS(INDEX(Load,,MATCH('Summarized Source Data'!$C112,Hour,0)),Month,'Summarized Source Data'!$A112,Sector,'Summarized Source Data'!W$2,TimeOfWeek,$E112)*INDEX(About!S$79:S$82,MATCH($B112,About!$A$79:$A$82,0),1)</f>
        <v>11500000</v>
      </c>
      <c r="X112" s="27">
        <f>SUMIFS(INDEX(Load,,MATCH('Summarized Source Data'!$C112,Hour,0)),Month,'Summarized Source Data'!$A112,Sector,'Summarized Source Data'!X$2,Subsector,'Summarized Source Data'!X$3,TimeOfWeek,$E112)*INDEX(About!T$79:T$82,MATCH($B112,About!$A$79:$A$82,0),1)</f>
        <v>659000000</v>
      </c>
      <c r="Y112" s="29">
        <f t="shared" si="9"/>
        <v>659000000</v>
      </c>
      <c r="Z112" s="29">
        <f t="shared" si="9"/>
        <v>659000000</v>
      </c>
    </row>
    <row r="113" spans="1:26" outlineLevel="1" x14ac:dyDescent="0.3">
      <c r="A113">
        <f t="shared" si="5"/>
        <v>5</v>
      </c>
      <c r="B113" t="str">
        <f>INDEX('Category Mapping'!$G$28:$G$39,MATCH(A113,'Category Mapping'!$A$28:$A$39,0),1)</f>
        <v>Spring</v>
      </c>
      <c r="C113" t="s">
        <v>76</v>
      </c>
      <c r="D113" s="6" t="s">
        <v>151</v>
      </c>
      <c r="E113" t="s">
        <v>49</v>
      </c>
      <c r="F113" s="27">
        <f>SUMIFS(INDEX(Load,,MATCH('Summarized Source Data'!$C113,Hour,0)),Month,'Summarized Source Data'!$A113,Sector,'Summarized Source Data'!F$2,Subsector,'Summarized Source Data'!F$3,TimeOfWeek,$E113)*INDEX(About!B$79:B$82,MATCH($B113,About!$A$79:$A$82,0),1)</f>
        <v>1942160</v>
      </c>
      <c r="G113" s="27">
        <f>SUMIFS(INDEX(Load,,MATCH('Summarized Source Data'!$C113,Hour,0)),Month,'Summarized Source Data'!$A113,Sector,'Summarized Source Data'!G$2,Subsector,'Summarized Source Data'!G$3,TimeOfWeek,$E113)*INDEX(About!C$79:C$82,MATCH($B113,About!$A$79:$A$82,0),1)</f>
        <v>6673404</v>
      </c>
      <c r="H113" s="27">
        <f>SUMIFS(INDEX(Load,,MATCH('Summarized Source Data'!$C113,Hour,0)),Month,'Summarized Source Data'!$A113,Sector,'Summarized Source Data'!H$2,Subsector,'Summarized Source Data'!H$3,TimeOfWeek,$E113)*INDEX(About!D$79:D$82,MATCH($B113,About!$A$79:$A$82,0),1)</f>
        <v>0</v>
      </c>
      <c r="I113" s="27">
        <f>SUMIFS(INDEX(Load,,MATCH('Summarized Source Data'!$C113,Hour,0)),Month,'Summarized Source Data'!$A113,Sector,'Summarized Source Data'!I$2,Subsector,'Summarized Source Data'!I$3,TimeOfWeek,$E113)*INDEX(About!E$79:E$82,MATCH($B113,About!$A$79:$A$82,0),1)</f>
        <v>10500000</v>
      </c>
      <c r="J113" s="54">
        <f t="shared" si="6"/>
        <v>102884436</v>
      </c>
      <c r="K113" s="27">
        <f>(SUMIFS(INDEX(Load,,MATCH('Summarized Source Data'!$C113,Hour,0)),Month,'Summarized Source Data'!$A113,Sector,'Summarized Source Data'!K$2,Subsector,"Total",TimeOfWeek,$E113)-SUM(F113:I113))*INDEX(About!G$79:G$82,MATCH($B113,About!$A$79:$A$82,0),1)</f>
        <v>102884436</v>
      </c>
      <c r="L113" s="27">
        <f>SUMIFS(INDEX(Load,,MATCH('Summarized Source Data'!$C113,Hour,0)),Month,'Summarized Source Data'!$A113,Sector,'Summarized Source Data'!L$2,Subsector,'Summarized Source Data'!L$3,TimeOfWeek,$E113)*INDEX(About!H$79:H$82,MATCH($B113,About!$A$79:$A$82,0),1)</f>
        <v>4223149</v>
      </c>
      <c r="M113" s="27">
        <f>SUMIFS(INDEX(Load,,MATCH('Summarized Source Data'!$C113,Hour,0)),Month,'Summarized Source Data'!$A113,Sector,'Summarized Source Data'!M$2,Subsector,'Summarized Source Data'!M$3,TimeOfWeek,$E113)*INDEX(About!I$79:I$82,MATCH($B113,About!$A$79:$A$82,0),1)</f>
        <v>17800000</v>
      </c>
      <c r="N113" s="27">
        <f>SUMIFS(INDEX(Load,,MATCH('Summarized Source Data'!$C113,Hour,0)),Month,'Summarized Source Data'!$A113,Sector,'Summarized Source Data'!N$2,Subsector,'Summarized Source Data'!N$3,TimeOfWeek,$E113)*INDEX(About!J$79:J$82,MATCH($B113,About!$A$79:$A$82,0),1)</f>
        <v>0</v>
      </c>
      <c r="O113" s="29">
        <f t="shared" si="7"/>
        <v>501976851</v>
      </c>
      <c r="P113" s="27">
        <f>(SUMIFS(INDEX(Load,,MATCH('Summarized Source Data'!$C113,Hour,0)),Month,'Summarized Source Data'!$A113,Sector,'Summarized Source Data'!P$2,Subsector,"Total",TimeOfWeek,$E113)-SUM(L113:N113)*INDEX(About!L$79:L$82,MATCH($B113,About!$A$79:$A$82,0),1))</f>
        <v>501976851</v>
      </c>
      <c r="Q113" s="29">
        <f t="shared" si="8"/>
        <v>501976851</v>
      </c>
      <c r="R113" s="33">
        <f>SUMIFS(INDEX(Load,,MATCH('Summarized Source Data'!$C113,Hour,0)),Month,'Summarized Source Data'!$A113,Sector,'Summarized Source Data'!R$2,TimeOfWeek,$E113)*INDEX(About!N$79:N$82,MATCH($B113,About!$A$79:$A$82,0),1)</f>
        <v>11500000</v>
      </c>
      <c r="S113" s="33">
        <f>SUMIFS(INDEX(Load,,MATCH('Summarized Source Data'!$C113,Hour,0)),Month,'Summarized Source Data'!$A113,Sector,'Summarized Source Data'!S$2,TimeOfWeek,$E113)*INDEX(About!O$79:O$82,MATCH($B113,About!$A$79:$A$82,0),1)</f>
        <v>11500000</v>
      </c>
      <c r="T113" s="33">
        <f>SUMIFS(INDEX(Load,,MATCH('Summarized Source Data'!$C113,Hour,0)),Month,'Summarized Source Data'!$A113,Sector,'Summarized Source Data'!T$2,TimeOfWeek,$E113)*INDEX(About!P$79:P$82,MATCH($B113,About!$A$79:$A$82,0),1)</f>
        <v>11500000</v>
      </c>
      <c r="U113" s="33">
        <f>SUMIFS(INDEX(Load,,MATCH('Summarized Source Data'!$C113,Hour,0)),Month,'Summarized Source Data'!$A113,Sector,'Summarized Source Data'!U$2,TimeOfWeek,$E113)*INDEX(About!Q$79:Q$82,MATCH($B113,About!$A$79:$A$82,0),1)</f>
        <v>11500000</v>
      </c>
      <c r="V113" s="33">
        <f>SUMIFS(INDEX(Load,,MATCH('Summarized Source Data'!$C113,Hour,0)),Month,'Summarized Source Data'!$A113,Sector,'Summarized Source Data'!V$2,TimeOfWeek,$E113)*INDEX(About!R$79:R$82,MATCH($B113,About!$A$79:$A$82,0),1)</f>
        <v>11500000</v>
      </c>
      <c r="W113" s="33">
        <f>SUMIFS(INDEX(Load,,MATCH('Summarized Source Data'!$C113,Hour,0)),Month,'Summarized Source Data'!$A113,Sector,'Summarized Source Data'!W$2,TimeOfWeek,$E113)*INDEX(About!S$79:S$82,MATCH($B113,About!$A$79:$A$82,0),1)</f>
        <v>11500000</v>
      </c>
      <c r="X113" s="27">
        <f>SUMIFS(INDEX(Load,,MATCH('Summarized Source Data'!$C113,Hour,0)),Month,'Summarized Source Data'!$A113,Sector,'Summarized Source Data'!X$2,Subsector,'Summarized Source Data'!X$3,TimeOfWeek,$E113)*INDEX(About!T$79:T$82,MATCH($B113,About!$A$79:$A$82,0),1)</f>
        <v>659000000</v>
      </c>
      <c r="Y113" s="29">
        <f t="shared" si="9"/>
        <v>659000000</v>
      </c>
      <c r="Z113" s="29">
        <f t="shared" si="9"/>
        <v>659000000</v>
      </c>
    </row>
    <row r="114" spans="1:26" outlineLevel="1" x14ac:dyDescent="0.3">
      <c r="A114">
        <f t="shared" si="5"/>
        <v>5</v>
      </c>
      <c r="B114" t="str">
        <f>INDEX('Category Mapping'!$G$28:$G$39,MATCH(A114,'Category Mapping'!$A$28:$A$39,0),1)</f>
        <v>Spring</v>
      </c>
      <c r="C114" t="s">
        <v>77</v>
      </c>
      <c r="D114" s="6" t="s">
        <v>152</v>
      </c>
      <c r="E114" t="s">
        <v>49</v>
      </c>
      <c r="F114" s="27">
        <f>SUMIFS(INDEX(Load,,MATCH('Summarized Source Data'!$C114,Hour,0)),Month,'Summarized Source Data'!$A114,Sector,'Summarized Source Data'!F$2,Subsector,'Summarized Source Data'!F$3,TimeOfWeek,$E114)*INDEX(About!B$79:B$82,MATCH($B114,About!$A$79:$A$82,0),1)</f>
        <v>1970278</v>
      </c>
      <c r="G114" s="27">
        <f>SUMIFS(INDEX(Load,,MATCH('Summarized Source Data'!$C114,Hour,0)),Month,'Summarized Source Data'!$A114,Sector,'Summarized Source Data'!G$2,Subsector,'Summarized Source Data'!G$3,TimeOfWeek,$E114)*INDEX(About!C$79:C$82,MATCH($B114,About!$A$79:$A$82,0),1)</f>
        <v>7261770</v>
      </c>
      <c r="H114" s="27">
        <f>SUMIFS(INDEX(Load,,MATCH('Summarized Source Data'!$C114,Hour,0)),Month,'Summarized Source Data'!$A114,Sector,'Summarized Source Data'!H$2,Subsector,'Summarized Source Data'!H$3,TimeOfWeek,$E114)*INDEX(About!D$79:D$82,MATCH($B114,About!$A$79:$A$82,0),1)</f>
        <v>0</v>
      </c>
      <c r="I114" s="27">
        <f>SUMIFS(INDEX(Load,,MATCH('Summarized Source Data'!$C114,Hour,0)),Month,'Summarized Source Data'!$A114,Sector,'Summarized Source Data'!I$2,Subsector,'Summarized Source Data'!I$3,TimeOfWeek,$E114)*INDEX(About!E$79:E$82,MATCH($B114,About!$A$79:$A$82,0),1)</f>
        <v>10700000</v>
      </c>
      <c r="J114" s="54">
        <f t="shared" si="6"/>
        <v>107067952</v>
      </c>
      <c r="K114" s="27">
        <f>(SUMIFS(INDEX(Load,,MATCH('Summarized Source Data'!$C114,Hour,0)),Month,'Summarized Source Data'!$A114,Sector,'Summarized Source Data'!K$2,Subsector,"Total",TimeOfWeek,$E114)-SUM(F114:I114))*INDEX(About!G$79:G$82,MATCH($B114,About!$A$79:$A$82,0),1)</f>
        <v>107067952</v>
      </c>
      <c r="L114" s="27">
        <f>SUMIFS(INDEX(Load,,MATCH('Summarized Source Data'!$C114,Hour,0)),Month,'Summarized Source Data'!$A114,Sector,'Summarized Source Data'!L$2,Subsector,'Summarized Source Data'!L$3,TimeOfWeek,$E114)*INDEX(About!H$79:H$82,MATCH($B114,About!$A$79:$A$82,0),1)</f>
        <v>3957311</v>
      </c>
      <c r="M114" s="27">
        <f>SUMIFS(INDEX(Load,,MATCH('Summarized Source Data'!$C114,Hour,0)),Month,'Summarized Source Data'!$A114,Sector,'Summarized Source Data'!M$2,Subsector,'Summarized Source Data'!M$3,TimeOfWeek,$E114)*INDEX(About!I$79:I$82,MATCH($B114,About!$A$79:$A$82,0),1)</f>
        <v>18400000</v>
      </c>
      <c r="N114" s="27">
        <f>SUMIFS(INDEX(Load,,MATCH('Summarized Source Data'!$C114,Hour,0)),Month,'Summarized Source Data'!$A114,Sector,'Summarized Source Data'!N$2,Subsector,'Summarized Source Data'!N$3,TimeOfWeek,$E114)*INDEX(About!J$79:J$82,MATCH($B114,About!$A$79:$A$82,0),1)</f>
        <v>0</v>
      </c>
      <c r="O114" s="29">
        <f t="shared" si="7"/>
        <v>501642689</v>
      </c>
      <c r="P114" s="27">
        <f>(SUMIFS(INDEX(Load,,MATCH('Summarized Source Data'!$C114,Hour,0)),Month,'Summarized Source Data'!$A114,Sector,'Summarized Source Data'!P$2,Subsector,"Total",TimeOfWeek,$E114)-SUM(L114:N114)*INDEX(About!L$79:L$82,MATCH($B114,About!$A$79:$A$82,0),1))</f>
        <v>501642689</v>
      </c>
      <c r="Q114" s="29">
        <f t="shared" si="8"/>
        <v>501642689</v>
      </c>
      <c r="R114" s="33">
        <f>SUMIFS(INDEX(Load,,MATCH('Summarized Source Data'!$C114,Hour,0)),Month,'Summarized Source Data'!$A114,Sector,'Summarized Source Data'!R$2,TimeOfWeek,$E114)*INDEX(About!N$79:N$82,MATCH($B114,About!$A$79:$A$82,0),1)</f>
        <v>11300000</v>
      </c>
      <c r="S114" s="33">
        <f>SUMIFS(INDEX(Load,,MATCH('Summarized Source Data'!$C114,Hour,0)),Month,'Summarized Source Data'!$A114,Sector,'Summarized Source Data'!S$2,TimeOfWeek,$E114)*INDEX(About!O$79:O$82,MATCH($B114,About!$A$79:$A$82,0),1)</f>
        <v>11300000</v>
      </c>
      <c r="T114" s="33">
        <f>SUMIFS(INDEX(Load,,MATCH('Summarized Source Data'!$C114,Hour,0)),Month,'Summarized Source Data'!$A114,Sector,'Summarized Source Data'!T$2,TimeOfWeek,$E114)*INDEX(About!P$79:P$82,MATCH($B114,About!$A$79:$A$82,0),1)</f>
        <v>11300000</v>
      </c>
      <c r="U114" s="33">
        <f>SUMIFS(INDEX(Load,,MATCH('Summarized Source Data'!$C114,Hour,0)),Month,'Summarized Source Data'!$A114,Sector,'Summarized Source Data'!U$2,TimeOfWeek,$E114)*INDEX(About!Q$79:Q$82,MATCH($B114,About!$A$79:$A$82,0),1)</f>
        <v>11300000</v>
      </c>
      <c r="V114" s="33">
        <f>SUMIFS(INDEX(Load,,MATCH('Summarized Source Data'!$C114,Hour,0)),Month,'Summarized Source Data'!$A114,Sector,'Summarized Source Data'!V$2,TimeOfWeek,$E114)*INDEX(About!R$79:R$82,MATCH($B114,About!$A$79:$A$82,0),1)</f>
        <v>11300000</v>
      </c>
      <c r="W114" s="33">
        <f>SUMIFS(INDEX(Load,,MATCH('Summarized Source Data'!$C114,Hour,0)),Month,'Summarized Source Data'!$A114,Sector,'Summarized Source Data'!W$2,TimeOfWeek,$E114)*INDEX(About!S$79:S$82,MATCH($B114,About!$A$79:$A$82,0),1)</f>
        <v>11300000</v>
      </c>
      <c r="X114" s="27">
        <f>SUMIFS(INDEX(Load,,MATCH('Summarized Source Data'!$C114,Hour,0)),Month,'Summarized Source Data'!$A114,Sector,'Summarized Source Data'!X$2,Subsector,'Summarized Source Data'!X$3,TimeOfWeek,$E114)*INDEX(About!T$79:T$82,MATCH($B114,About!$A$79:$A$82,0),1)</f>
        <v>660000000</v>
      </c>
      <c r="Y114" s="29">
        <f t="shared" si="9"/>
        <v>660000000</v>
      </c>
      <c r="Z114" s="29">
        <f t="shared" si="9"/>
        <v>660000000</v>
      </c>
    </row>
    <row r="115" spans="1:26" outlineLevel="1" x14ac:dyDescent="0.3">
      <c r="A115">
        <f t="shared" si="5"/>
        <v>5</v>
      </c>
      <c r="B115" t="str">
        <f>INDEX('Category Mapping'!$G$28:$G$39,MATCH(A115,'Category Mapping'!$A$28:$A$39,0),1)</f>
        <v>Spring</v>
      </c>
      <c r="C115" t="s">
        <v>78</v>
      </c>
      <c r="D115" s="6" t="s">
        <v>153</v>
      </c>
      <c r="E115" t="s">
        <v>49</v>
      </c>
      <c r="F115" s="27">
        <f>SUMIFS(INDEX(Load,,MATCH('Summarized Source Data'!$C115,Hour,0)),Month,'Summarized Source Data'!$A115,Sector,'Summarized Source Data'!F$2,Subsector,'Summarized Source Data'!F$3,TimeOfWeek,$E115)*INDEX(About!B$79:B$82,MATCH($B115,About!$A$79:$A$82,0),1)</f>
        <v>2061103</v>
      </c>
      <c r="G115" s="27">
        <f>SUMIFS(INDEX(Load,,MATCH('Summarized Source Data'!$C115,Hour,0)),Month,'Summarized Source Data'!$A115,Sector,'Summarized Source Data'!G$2,Subsector,'Summarized Source Data'!G$3,TimeOfWeek,$E115)*INDEX(About!C$79:C$82,MATCH($B115,About!$A$79:$A$82,0),1)</f>
        <v>7611241</v>
      </c>
      <c r="H115" s="27">
        <f>SUMIFS(INDEX(Load,,MATCH('Summarized Source Data'!$C115,Hour,0)),Month,'Summarized Source Data'!$A115,Sector,'Summarized Source Data'!H$2,Subsector,'Summarized Source Data'!H$3,TimeOfWeek,$E115)*INDEX(About!D$79:D$82,MATCH($B115,About!$A$79:$A$82,0),1)</f>
        <v>0</v>
      </c>
      <c r="I115" s="27">
        <f>SUMIFS(INDEX(Load,,MATCH('Summarized Source Data'!$C115,Hour,0)),Month,'Summarized Source Data'!$A115,Sector,'Summarized Source Data'!I$2,Subsector,'Summarized Source Data'!I$3,TimeOfWeek,$E115)*INDEX(About!E$79:E$82,MATCH($B115,About!$A$79:$A$82,0),1)</f>
        <v>11600000</v>
      </c>
      <c r="J115" s="54">
        <f t="shared" si="6"/>
        <v>120727656</v>
      </c>
      <c r="K115" s="27">
        <f>(SUMIFS(INDEX(Load,,MATCH('Summarized Source Data'!$C115,Hour,0)),Month,'Summarized Source Data'!$A115,Sector,'Summarized Source Data'!K$2,Subsector,"Total",TimeOfWeek,$E115)-SUM(F115:I115))*INDEX(About!G$79:G$82,MATCH($B115,About!$A$79:$A$82,0),1)</f>
        <v>120727656</v>
      </c>
      <c r="L115" s="27">
        <f>SUMIFS(INDEX(Load,,MATCH('Summarized Source Data'!$C115,Hour,0)),Month,'Summarized Source Data'!$A115,Sector,'Summarized Source Data'!L$2,Subsector,'Summarized Source Data'!L$3,TimeOfWeek,$E115)*INDEX(About!H$79:H$82,MATCH($B115,About!$A$79:$A$82,0),1)</f>
        <v>3672823</v>
      </c>
      <c r="M115" s="27">
        <f>SUMIFS(INDEX(Load,,MATCH('Summarized Source Data'!$C115,Hour,0)),Month,'Summarized Source Data'!$A115,Sector,'Summarized Source Data'!M$2,Subsector,'Summarized Source Data'!M$3,TimeOfWeek,$E115)*INDEX(About!I$79:I$82,MATCH($B115,About!$A$79:$A$82,0),1)</f>
        <v>18200000</v>
      </c>
      <c r="N115" s="27">
        <f>SUMIFS(INDEX(Load,,MATCH('Summarized Source Data'!$C115,Hour,0)),Month,'Summarized Source Data'!$A115,Sector,'Summarized Source Data'!N$2,Subsector,'Summarized Source Data'!N$3,TimeOfWeek,$E115)*INDEX(About!J$79:J$82,MATCH($B115,About!$A$79:$A$82,0),1)</f>
        <v>0</v>
      </c>
      <c r="O115" s="29">
        <f t="shared" si="7"/>
        <v>502127177</v>
      </c>
      <c r="P115" s="27">
        <f>(SUMIFS(INDEX(Load,,MATCH('Summarized Source Data'!$C115,Hour,0)),Month,'Summarized Source Data'!$A115,Sector,'Summarized Source Data'!P$2,Subsector,"Total",TimeOfWeek,$E115)-SUM(L115:N115)*INDEX(About!L$79:L$82,MATCH($B115,About!$A$79:$A$82,0),1))</f>
        <v>502127177</v>
      </c>
      <c r="Q115" s="29">
        <f t="shared" si="8"/>
        <v>502127177</v>
      </c>
      <c r="R115" s="33">
        <f>SUMIFS(INDEX(Load,,MATCH('Summarized Source Data'!$C115,Hour,0)),Month,'Summarized Source Data'!$A115,Sector,'Summarized Source Data'!R$2,TimeOfWeek,$E115)*INDEX(About!N$79:N$82,MATCH($B115,About!$A$79:$A$82,0),1)</f>
        <v>13400000</v>
      </c>
      <c r="S115" s="33">
        <f>SUMIFS(INDEX(Load,,MATCH('Summarized Source Data'!$C115,Hour,0)),Month,'Summarized Source Data'!$A115,Sector,'Summarized Source Data'!S$2,TimeOfWeek,$E115)*INDEX(About!O$79:O$82,MATCH($B115,About!$A$79:$A$82,0),1)</f>
        <v>13400000</v>
      </c>
      <c r="T115" s="33">
        <f>SUMIFS(INDEX(Load,,MATCH('Summarized Source Data'!$C115,Hour,0)),Month,'Summarized Source Data'!$A115,Sector,'Summarized Source Data'!T$2,TimeOfWeek,$E115)*INDEX(About!P$79:P$82,MATCH($B115,About!$A$79:$A$82,0),1)</f>
        <v>13400000</v>
      </c>
      <c r="U115" s="33">
        <f>SUMIFS(INDEX(Load,,MATCH('Summarized Source Data'!$C115,Hour,0)),Month,'Summarized Source Data'!$A115,Sector,'Summarized Source Data'!U$2,TimeOfWeek,$E115)*INDEX(About!Q$79:Q$82,MATCH($B115,About!$A$79:$A$82,0),1)</f>
        <v>13400000</v>
      </c>
      <c r="V115" s="33">
        <f>SUMIFS(INDEX(Load,,MATCH('Summarized Source Data'!$C115,Hour,0)),Month,'Summarized Source Data'!$A115,Sector,'Summarized Source Data'!V$2,TimeOfWeek,$E115)*INDEX(About!R$79:R$82,MATCH($B115,About!$A$79:$A$82,0),1)</f>
        <v>13400000</v>
      </c>
      <c r="W115" s="33">
        <f>SUMIFS(INDEX(Load,,MATCH('Summarized Source Data'!$C115,Hour,0)),Month,'Summarized Source Data'!$A115,Sector,'Summarized Source Data'!W$2,TimeOfWeek,$E115)*INDEX(About!S$79:S$82,MATCH($B115,About!$A$79:$A$82,0),1)</f>
        <v>13400000</v>
      </c>
      <c r="X115" s="27">
        <f>SUMIFS(INDEX(Load,,MATCH('Summarized Source Data'!$C115,Hour,0)),Month,'Summarized Source Data'!$A115,Sector,'Summarized Source Data'!X$2,Subsector,'Summarized Source Data'!X$3,TimeOfWeek,$E115)*INDEX(About!T$79:T$82,MATCH($B115,About!$A$79:$A$82,0),1)</f>
        <v>665000000</v>
      </c>
      <c r="Y115" s="29">
        <f t="shared" si="9"/>
        <v>665000000</v>
      </c>
      <c r="Z115" s="29">
        <f t="shared" si="9"/>
        <v>665000000</v>
      </c>
    </row>
    <row r="116" spans="1:26" outlineLevel="1" x14ac:dyDescent="0.3">
      <c r="A116">
        <f t="shared" si="5"/>
        <v>5</v>
      </c>
      <c r="B116" t="str">
        <f>INDEX('Category Mapping'!$G$28:$G$39,MATCH(A116,'Category Mapping'!$A$28:$A$39,0),1)</f>
        <v>Spring</v>
      </c>
      <c r="C116" t="s">
        <v>79</v>
      </c>
      <c r="D116" s="6" t="s">
        <v>154</v>
      </c>
      <c r="E116" t="s">
        <v>49</v>
      </c>
      <c r="F116" s="27">
        <f>SUMIFS(INDEX(Load,,MATCH('Summarized Source Data'!$C116,Hour,0)),Month,'Summarized Source Data'!$A116,Sector,'Summarized Source Data'!F$2,Subsector,'Summarized Source Data'!F$3,TimeOfWeek,$E116)*INDEX(About!B$79:B$82,MATCH($B116,About!$A$79:$A$82,0),1)</f>
        <v>2170546</v>
      </c>
      <c r="G116" s="27">
        <f>SUMIFS(INDEX(Load,,MATCH('Summarized Source Data'!$C116,Hour,0)),Month,'Summarized Source Data'!$A116,Sector,'Summarized Source Data'!G$2,Subsector,'Summarized Source Data'!G$3,TimeOfWeek,$E116)*INDEX(About!C$79:C$82,MATCH($B116,About!$A$79:$A$82,0),1)</f>
        <v>7289568</v>
      </c>
      <c r="H116" s="27">
        <f>SUMIFS(INDEX(Load,,MATCH('Summarized Source Data'!$C116,Hour,0)),Month,'Summarized Source Data'!$A116,Sector,'Summarized Source Data'!H$2,Subsector,'Summarized Source Data'!H$3,TimeOfWeek,$E116)*INDEX(About!D$79:D$82,MATCH($B116,About!$A$79:$A$82,0),1)</f>
        <v>0</v>
      </c>
      <c r="I116" s="27">
        <f>SUMIFS(INDEX(Load,,MATCH('Summarized Source Data'!$C116,Hour,0)),Month,'Summarized Source Data'!$A116,Sector,'Summarized Source Data'!I$2,Subsector,'Summarized Source Data'!I$3,TimeOfWeek,$E116)*INDEX(About!E$79:E$82,MATCH($B116,About!$A$79:$A$82,0),1)</f>
        <v>12600000</v>
      </c>
      <c r="J116" s="54">
        <f t="shared" si="6"/>
        <v>145939886</v>
      </c>
      <c r="K116" s="27">
        <f>(SUMIFS(INDEX(Load,,MATCH('Summarized Source Data'!$C116,Hour,0)),Month,'Summarized Source Data'!$A116,Sector,'Summarized Source Data'!K$2,Subsector,"Total",TimeOfWeek,$E116)-SUM(F116:I116))*INDEX(About!G$79:G$82,MATCH($B116,About!$A$79:$A$82,0),1)</f>
        <v>145939886</v>
      </c>
      <c r="L116" s="27">
        <f>SUMIFS(INDEX(Load,,MATCH('Summarized Source Data'!$C116,Hour,0)),Month,'Summarized Source Data'!$A116,Sector,'Summarized Source Data'!L$2,Subsector,'Summarized Source Data'!L$3,TimeOfWeek,$E116)*INDEX(About!H$79:H$82,MATCH($B116,About!$A$79:$A$82,0),1)</f>
        <v>3356355</v>
      </c>
      <c r="M116" s="27">
        <f>SUMIFS(INDEX(Load,,MATCH('Summarized Source Data'!$C116,Hour,0)),Month,'Summarized Source Data'!$A116,Sector,'Summarized Source Data'!M$2,Subsector,'Summarized Source Data'!M$3,TimeOfWeek,$E116)*INDEX(About!I$79:I$82,MATCH($B116,About!$A$79:$A$82,0),1)</f>
        <v>17300000</v>
      </c>
      <c r="N116" s="27">
        <f>SUMIFS(INDEX(Load,,MATCH('Summarized Source Data'!$C116,Hour,0)),Month,'Summarized Source Data'!$A116,Sector,'Summarized Source Data'!N$2,Subsector,'Summarized Source Data'!N$3,TimeOfWeek,$E116)*INDEX(About!J$79:J$82,MATCH($B116,About!$A$79:$A$82,0),1)</f>
        <v>0</v>
      </c>
      <c r="O116" s="29">
        <f t="shared" si="7"/>
        <v>485343645</v>
      </c>
      <c r="P116" s="27">
        <f>(SUMIFS(INDEX(Load,,MATCH('Summarized Source Data'!$C116,Hour,0)),Month,'Summarized Source Data'!$A116,Sector,'Summarized Source Data'!P$2,Subsector,"Total",TimeOfWeek,$E116)-SUM(L116:N116)*INDEX(About!L$79:L$82,MATCH($B116,About!$A$79:$A$82,0),1))</f>
        <v>485343645</v>
      </c>
      <c r="Q116" s="29">
        <f t="shared" si="8"/>
        <v>485343645</v>
      </c>
      <c r="R116" s="33">
        <f>SUMIFS(INDEX(Load,,MATCH('Summarized Source Data'!$C116,Hour,0)),Month,'Summarized Source Data'!$A116,Sector,'Summarized Source Data'!R$2,TimeOfWeek,$E116)*INDEX(About!N$79:N$82,MATCH($B116,About!$A$79:$A$82,0),1)</f>
        <v>15500000</v>
      </c>
      <c r="S116" s="33">
        <f>SUMIFS(INDEX(Load,,MATCH('Summarized Source Data'!$C116,Hour,0)),Month,'Summarized Source Data'!$A116,Sector,'Summarized Source Data'!S$2,TimeOfWeek,$E116)*INDEX(About!O$79:O$82,MATCH($B116,About!$A$79:$A$82,0),1)</f>
        <v>15500000</v>
      </c>
      <c r="T116" s="33">
        <f>SUMIFS(INDEX(Load,,MATCH('Summarized Source Data'!$C116,Hour,0)),Month,'Summarized Source Data'!$A116,Sector,'Summarized Source Data'!T$2,TimeOfWeek,$E116)*INDEX(About!P$79:P$82,MATCH($B116,About!$A$79:$A$82,0),1)</f>
        <v>15500000</v>
      </c>
      <c r="U116" s="33">
        <f>SUMIFS(INDEX(Load,,MATCH('Summarized Source Data'!$C116,Hour,0)),Month,'Summarized Source Data'!$A116,Sector,'Summarized Source Data'!U$2,TimeOfWeek,$E116)*INDEX(About!Q$79:Q$82,MATCH($B116,About!$A$79:$A$82,0),1)</f>
        <v>15500000</v>
      </c>
      <c r="V116" s="33">
        <f>SUMIFS(INDEX(Load,,MATCH('Summarized Source Data'!$C116,Hour,0)),Month,'Summarized Source Data'!$A116,Sector,'Summarized Source Data'!V$2,TimeOfWeek,$E116)*INDEX(About!R$79:R$82,MATCH($B116,About!$A$79:$A$82,0),1)</f>
        <v>15500000</v>
      </c>
      <c r="W116" s="33">
        <f>SUMIFS(INDEX(Load,,MATCH('Summarized Source Data'!$C116,Hour,0)),Month,'Summarized Source Data'!$A116,Sector,'Summarized Source Data'!W$2,TimeOfWeek,$E116)*INDEX(About!S$79:S$82,MATCH($B116,About!$A$79:$A$82,0),1)</f>
        <v>15500000</v>
      </c>
      <c r="X116" s="27">
        <f>SUMIFS(INDEX(Load,,MATCH('Summarized Source Data'!$C116,Hour,0)),Month,'Summarized Source Data'!$A116,Sector,'Summarized Source Data'!X$2,Subsector,'Summarized Source Data'!X$3,TimeOfWeek,$E116)*INDEX(About!T$79:T$82,MATCH($B116,About!$A$79:$A$82,0),1)</f>
        <v>672000000</v>
      </c>
      <c r="Y116" s="29">
        <f t="shared" si="9"/>
        <v>672000000</v>
      </c>
      <c r="Z116" s="29">
        <f t="shared" si="9"/>
        <v>672000000</v>
      </c>
    </row>
    <row r="117" spans="1:26" outlineLevel="1" x14ac:dyDescent="0.3">
      <c r="A117">
        <f t="shared" si="5"/>
        <v>5</v>
      </c>
      <c r="B117" t="str">
        <f>INDEX('Category Mapping'!$G$28:$G$39,MATCH(A117,'Category Mapping'!$A$28:$A$39,0),1)</f>
        <v>Spring</v>
      </c>
      <c r="C117" t="s">
        <v>80</v>
      </c>
      <c r="D117" s="6" t="s">
        <v>155</v>
      </c>
      <c r="E117" t="s">
        <v>49</v>
      </c>
      <c r="F117" s="27">
        <f>SUMIFS(INDEX(Load,,MATCH('Summarized Source Data'!$C117,Hour,0)),Month,'Summarized Source Data'!$A117,Sector,'Summarized Source Data'!F$2,Subsector,'Summarized Source Data'!F$3,TimeOfWeek,$E117)*INDEX(About!B$79:B$82,MATCH($B117,About!$A$79:$A$82,0),1)</f>
        <v>2290786</v>
      </c>
      <c r="G117" s="27">
        <f>SUMIFS(INDEX(Load,,MATCH('Summarized Source Data'!$C117,Hour,0)),Month,'Summarized Source Data'!$A117,Sector,'Summarized Source Data'!G$2,Subsector,'Summarized Source Data'!G$3,TimeOfWeek,$E117)*INDEX(About!C$79:C$82,MATCH($B117,About!$A$79:$A$82,0),1)</f>
        <v>6221652</v>
      </c>
      <c r="H117" s="27">
        <f>SUMIFS(INDEX(Load,,MATCH('Summarized Source Data'!$C117,Hour,0)),Month,'Summarized Source Data'!$A117,Sector,'Summarized Source Data'!H$2,Subsector,'Summarized Source Data'!H$3,TimeOfWeek,$E117)*INDEX(About!D$79:D$82,MATCH($B117,About!$A$79:$A$82,0),1)</f>
        <v>0</v>
      </c>
      <c r="I117" s="27">
        <f>SUMIFS(INDEX(Load,,MATCH('Summarized Source Data'!$C117,Hour,0)),Month,'Summarized Source Data'!$A117,Sector,'Summarized Source Data'!I$2,Subsector,'Summarized Source Data'!I$3,TimeOfWeek,$E117)*INDEX(About!E$79:E$82,MATCH($B117,About!$A$79:$A$82,0),1)</f>
        <v>16000000</v>
      </c>
      <c r="J117" s="54">
        <f t="shared" si="6"/>
        <v>160487562</v>
      </c>
      <c r="K117" s="27">
        <f>(SUMIFS(INDEX(Load,,MATCH('Summarized Source Data'!$C117,Hour,0)),Month,'Summarized Source Data'!$A117,Sector,'Summarized Source Data'!K$2,Subsector,"Total",TimeOfWeek,$E117)-SUM(F117:I117))*INDEX(About!G$79:G$82,MATCH($B117,About!$A$79:$A$82,0),1)</f>
        <v>160487562</v>
      </c>
      <c r="L117" s="27">
        <f>SUMIFS(INDEX(Load,,MATCH('Summarized Source Data'!$C117,Hour,0)),Month,'Summarized Source Data'!$A117,Sector,'Summarized Source Data'!L$2,Subsector,'Summarized Source Data'!L$3,TimeOfWeek,$E117)*INDEX(About!H$79:H$82,MATCH($B117,About!$A$79:$A$82,0),1)</f>
        <v>3577938</v>
      </c>
      <c r="M117" s="27">
        <f>SUMIFS(INDEX(Load,,MATCH('Summarized Source Data'!$C117,Hour,0)),Month,'Summarized Source Data'!$A117,Sector,'Summarized Source Data'!M$2,Subsector,'Summarized Source Data'!M$3,TimeOfWeek,$E117)*INDEX(About!I$79:I$82,MATCH($B117,About!$A$79:$A$82,0),1)</f>
        <v>15800000</v>
      </c>
      <c r="N117" s="27">
        <f>SUMIFS(INDEX(Load,,MATCH('Summarized Source Data'!$C117,Hour,0)),Month,'Summarized Source Data'!$A117,Sector,'Summarized Source Data'!N$2,Subsector,'Summarized Source Data'!N$3,TimeOfWeek,$E117)*INDEX(About!J$79:J$82,MATCH($B117,About!$A$79:$A$82,0),1)</f>
        <v>0</v>
      </c>
      <c r="O117" s="29">
        <f t="shared" si="7"/>
        <v>456622062</v>
      </c>
      <c r="P117" s="27">
        <f>(SUMIFS(INDEX(Load,,MATCH('Summarized Source Data'!$C117,Hour,0)),Month,'Summarized Source Data'!$A117,Sector,'Summarized Source Data'!P$2,Subsector,"Total",TimeOfWeek,$E117)-SUM(L117:N117)*INDEX(About!L$79:L$82,MATCH($B117,About!$A$79:$A$82,0),1))</f>
        <v>456622062</v>
      </c>
      <c r="Q117" s="29">
        <f t="shared" si="8"/>
        <v>456622062</v>
      </c>
      <c r="R117" s="33">
        <f>SUMIFS(INDEX(Load,,MATCH('Summarized Source Data'!$C117,Hour,0)),Month,'Summarized Source Data'!$A117,Sector,'Summarized Source Data'!R$2,TimeOfWeek,$E117)*INDEX(About!N$79:N$82,MATCH($B117,About!$A$79:$A$82,0),1)</f>
        <v>16400000</v>
      </c>
      <c r="S117" s="33">
        <f>SUMIFS(INDEX(Load,,MATCH('Summarized Source Data'!$C117,Hour,0)),Month,'Summarized Source Data'!$A117,Sector,'Summarized Source Data'!S$2,TimeOfWeek,$E117)*INDEX(About!O$79:O$82,MATCH($B117,About!$A$79:$A$82,0),1)</f>
        <v>16400000</v>
      </c>
      <c r="T117" s="33">
        <f>SUMIFS(INDEX(Load,,MATCH('Summarized Source Data'!$C117,Hour,0)),Month,'Summarized Source Data'!$A117,Sector,'Summarized Source Data'!T$2,TimeOfWeek,$E117)*INDEX(About!P$79:P$82,MATCH($B117,About!$A$79:$A$82,0),1)</f>
        <v>16400000</v>
      </c>
      <c r="U117" s="33">
        <f>SUMIFS(INDEX(Load,,MATCH('Summarized Source Data'!$C117,Hour,0)),Month,'Summarized Source Data'!$A117,Sector,'Summarized Source Data'!U$2,TimeOfWeek,$E117)*INDEX(About!Q$79:Q$82,MATCH($B117,About!$A$79:$A$82,0),1)</f>
        <v>16400000</v>
      </c>
      <c r="V117" s="33">
        <f>SUMIFS(INDEX(Load,,MATCH('Summarized Source Data'!$C117,Hour,0)),Month,'Summarized Source Data'!$A117,Sector,'Summarized Source Data'!V$2,TimeOfWeek,$E117)*INDEX(About!R$79:R$82,MATCH($B117,About!$A$79:$A$82,0),1)</f>
        <v>16400000</v>
      </c>
      <c r="W117" s="33">
        <f>SUMIFS(INDEX(Load,,MATCH('Summarized Source Data'!$C117,Hour,0)),Month,'Summarized Source Data'!$A117,Sector,'Summarized Source Data'!W$2,TimeOfWeek,$E117)*INDEX(About!S$79:S$82,MATCH($B117,About!$A$79:$A$82,0),1)</f>
        <v>16400000</v>
      </c>
      <c r="X117" s="27">
        <f>SUMIFS(INDEX(Load,,MATCH('Summarized Source Data'!$C117,Hour,0)),Month,'Summarized Source Data'!$A117,Sector,'Summarized Source Data'!X$2,Subsector,'Summarized Source Data'!X$3,TimeOfWeek,$E117)*INDEX(About!T$79:T$82,MATCH($B117,About!$A$79:$A$82,0),1)</f>
        <v>673000000</v>
      </c>
      <c r="Y117" s="29">
        <f t="shared" si="9"/>
        <v>673000000</v>
      </c>
      <c r="Z117" s="29">
        <f t="shared" si="9"/>
        <v>673000000</v>
      </c>
    </row>
    <row r="118" spans="1:26" outlineLevel="1" x14ac:dyDescent="0.3">
      <c r="A118">
        <f t="shared" si="5"/>
        <v>5</v>
      </c>
      <c r="B118" t="str">
        <f>INDEX('Category Mapping'!$G$28:$G$39,MATCH(A118,'Category Mapping'!$A$28:$A$39,0),1)</f>
        <v>Spring</v>
      </c>
      <c r="C118" t="s">
        <v>81</v>
      </c>
      <c r="D118" s="6" t="s">
        <v>156</v>
      </c>
      <c r="E118" t="s">
        <v>49</v>
      </c>
      <c r="F118" s="27">
        <f>SUMIFS(INDEX(Load,,MATCH('Summarized Source Data'!$C118,Hour,0)),Month,'Summarized Source Data'!$A118,Sector,'Summarized Source Data'!F$2,Subsector,'Summarized Source Data'!F$3,TimeOfWeek,$E118)*INDEX(About!B$79:B$82,MATCH($B118,About!$A$79:$A$82,0),1)</f>
        <v>2427543</v>
      </c>
      <c r="G118" s="27">
        <f>SUMIFS(INDEX(Load,,MATCH('Summarized Source Data'!$C118,Hour,0)),Month,'Summarized Source Data'!$A118,Sector,'Summarized Source Data'!G$2,Subsector,'Summarized Source Data'!G$3,TimeOfWeek,$E118)*INDEX(About!C$79:C$82,MATCH($B118,About!$A$79:$A$82,0),1)</f>
        <v>4445696</v>
      </c>
      <c r="H118" s="27">
        <f>SUMIFS(INDEX(Load,,MATCH('Summarized Source Data'!$C118,Hour,0)),Month,'Summarized Source Data'!$A118,Sector,'Summarized Source Data'!H$2,Subsector,'Summarized Source Data'!H$3,TimeOfWeek,$E118)*INDEX(About!D$79:D$82,MATCH($B118,About!$A$79:$A$82,0),1)</f>
        <v>0</v>
      </c>
      <c r="I118" s="27">
        <f>SUMIFS(INDEX(Load,,MATCH('Summarized Source Data'!$C118,Hour,0)),Month,'Summarized Source Data'!$A118,Sector,'Summarized Source Data'!I$2,Subsector,'Summarized Source Data'!I$3,TimeOfWeek,$E118)*INDEX(About!E$79:E$82,MATCH($B118,About!$A$79:$A$82,0),1)</f>
        <v>46700000</v>
      </c>
      <c r="J118" s="54">
        <f t="shared" si="6"/>
        <v>156426761</v>
      </c>
      <c r="K118" s="27">
        <f>(SUMIFS(INDEX(Load,,MATCH('Summarized Source Data'!$C118,Hour,0)),Month,'Summarized Source Data'!$A118,Sector,'Summarized Source Data'!K$2,Subsector,"Total",TimeOfWeek,$E118)-SUM(F118:I118))*INDEX(About!G$79:G$82,MATCH($B118,About!$A$79:$A$82,0),1)</f>
        <v>156426761</v>
      </c>
      <c r="L118" s="27">
        <f>SUMIFS(INDEX(Load,,MATCH('Summarized Source Data'!$C118,Hour,0)),Month,'Summarized Source Data'!$A118,Sector,'Summarized Source Data'!L$2,Subsector,'Summarized Source Data'!L$3,TimeOfWeek,$E118)*INDEX(About!H$79:H$82,MATCH($B118,About!$A$79:$A$82,0),1)</f>
        <v>4031724</v>
      </c>
      <c r="M118" s="27">
        <f>SUMIFS(INDEX(Load,,MATCH('Summarized Source Data'!$C118,Hour,0)),Month,'Summarized Source Data'!$A118,Sector,'Summarized Source Data'!M$2,Subsector,'Summarized Source Data'!M$3,TimeOfWeek,$E118)*INDEX(About!I$79:I$82,MATCH($B118,About!$A$79:$A$82,0),1)</f>
        <v>14200000</v>
      </c>
      <c r="N118" s="27">
        <f>SUMIFS(INDEX(Load,,MATCH('Summarized Source Data'!$C118,Hour,0)),Month,'Summarized Source Data'!$A118,Sector,'Summarized Source Data'!N$2,Subsector,'Summarized Source Data'!N$3,TimeOfWeek,$E118)*INDEX(About!J$79:J$82,MATCH($B118,About!$A$79:$A$82,0),1)</f>
        <v>0</v>
      </c>
      <c r="O118" s="29">
        <f t="shared" si="7"/>
        <v>433768276</v>
      </c>
      <c r="P118" s="27">
        <f>(SUMIFS(INDEX(Load,,MATCH('Summarized Source Data'!$C118,Hour,0)),Month,'Summarized Source Data'!$A118,Sector,'Summarized Source Data'!P$2,Subsector,"Total",TimeOfWeek,$E118)-SUM(L118:N118)*INDEX(About!L$79:L$82,MATCH($B118,About!$A$79:$A$82,0),1))</f>
        <v>433768276</v>
      </c>
      <c r="Q118" s="29">
        <f t="shared" si="8"/>
        <v>433768276</v>
      </c>
      <c r="R118" s="33">
        <f>SUMIFS(INDEX(Load,,MATCH('Summarized Source Data'!$C118,Hour,0)),Month,'Summarized Source Data'!$A118,Sector,'Summarized Source Data'!R$2,TimeOfWeek,$E118)*INDEX(About!N$79:N$82,MATCH($B118,About!$A$79:$A$82,0),1)</f>
        <v>15100000</v>
      </c>
      <c r="S118" s="33">
        <f>SUMIFS(INDEX(Load,,MATCH('Summarized Source Data'!$C118,Hour,0)),Month,'Summarized Source Data'!$A118,Sector,'Summarized Source Data'!S$2,TimeOfWeek,$E118)*INDEX(About!O$79:O$82,MATCH($B118,About!$A$79:$A$82,0),1)</f>
        <v>15100000</v>
      </c>
      <c r="T118" s="33">
        <f>SUMIFS(INDEX(Load,,MATCH('Summarized Source Data'!$C118,Hour,0)),Month,'Summarized Source Data'!$A118,Sector,'Summarized Source Data'!T$2,TimeOfWeek,$E118)*INDEX(About!P$79:P$82,MATCH($B118,About!$A$79:$A$82,0),1)</f>
        <v>15100000</v>
      </c>
      <c r="U118" s="33">
        <f>SUMIFS(INDEX(Load,,MATCH('Summarized Source Data'!$C118,Hour,0)),Month,'Summarized Source Data'!$A118,Sector,'Summarized Source Data'!U$2,TimeOfWeek,$E118)*INDEX(About!Q$79:Q$82,MATCH($B118,About!$A$79:$A$82,0),1)</f>
        <v>15100000</v>
      </c>
      <c r="V118" s="33">
        <f>SUMIFS(INDEX(Load,,MATCH('Summarized Source Data'!$C118,Hour,0)),Month,'Summarized Source Data'!$A118,Sector,'Summarized Source Data'!V$2,TimeOfWeek,$E118)*INDEX(About!R$79:R$82,MATCH($B118,About!$A$79:$A$82,0),1)</f>
        <v>15100000</v>
      </c>
      <c r="W118" s="33">
        <f>SUMIFS(INDEX(Load,,MATCH('Summarized Source Data'!$C118,Hour,0)),Month,'Summarized Source Data'!$A118,Sector,'Summarized Source Data'!W$2,TimeOfWeek,$E118)*INDEX(About!S$79:S$82,MATCH($B118,About!$A$79:$A$82,0),1)</f>
        <v>15100000</v>
      </c>
      <c r="X118" s="27">
        <f>SUMIFS(INDEX(Load,,MATCH('Summarized Source Data'!$C118,Hour,0)),Month,'Summarized Source Data'!$A118,Sector,'Summarized Source Data'!X$2,Subsector,'Summarized Source Data'!X$3,TimeOfWeek,$E118)*INDEX(About!T$79:T$82,MATCH($B118,About!$A$79:$A$82,0),1)</f>
        <v>670000000</v>
      </c>
      <c r="Y118" s="29">
        <f t="shared" si="9"/>
        <v>670000000</v>
      </c>
      <c r="Z118" s="29">
        <f t="shared" si="9"/>
        <v>670000000</v>
      </c>
    </row>
    <row r="119" spans="1:26" outlineLevel="1" x14ac:dyDescent="0.3">
      <c r="A119">
        <f t="shared" si="5"/>
        <v>5</v>
      </c>
      <c r="B119" t="str">
        <f>INDEX('Category Mapping'!$G$28:$G$39,MATCH(A119,'Category Mapping'!$A$28:$A$39,0),1)</f>
        <v>Spring</v>
      </c>
      <c r="C119" t="s">
        <v>82</v>
      </c>
      <c r="D119" s="6" t="s">
        <v>157</v>
      </c>
      <c r="E119" t="s">
        <v>49</v>
      </c>
      <c r="F119" s="27">
        <f>SUMIFS(INDEX(Load,,MATCH('Summarized Source Data'!$C119,Hour,0)),Month,'Summarized Source Data'!$A119,Sector,'Summarized Source Data'!F$2,Subsector,'Summarized Source Data'!F$3,TimeOfWeek,$E119)*INDEX(About!B$79:B$82,MATCH($B119,About!$A$79:$A$82,0),1)</f>
        <v>2548145</v>
      </c>
      <c r="G119" s="27">
        <f>SUMIFS(INDEX(Load,,MATCH('Summarized Source Data'!$C119,Hour,0)),Month,'Summarized Source Data'!$A119,Sector,'Summarized Source Data'!G$2,Subsector,'Summarized Source Data'!G$3,TimeOfWeek,$E119)*INDEX(About!C$79:C$82,MATCH($B119,About!$A$79:$A$82,0),1)</f>
        <v>2057088</v>
      </c>
      <c r="H119" s="27">
        <f>SUMIFS(INDEX(Load,,MATCH('Summarized Source Data'!$C119,Hour,0)),Month,'Summarized Source Data'!$A119,Sector,'Summarized Source Data'!H$2,Subsector,'Summarized Source Data'!H$3,TimeOfWeek,$E119)*INDEX(About!D$79:D$82,MATCH($B119,About!$A$79:$A$82,0),1)</f>
        <v>0</v>
      </c>
      <c r="I119" s="27">
        <f>SUMIFS(INDEX(Load,,MATCH('Summarized Source Data'!$C119,Hour,0)),Month,'Summarized Source Data'!$A119,Sector,'Summarized Source Data'!I$2,Subsector,'Summarized Source Data'!I$3,TimeOfWeek,$E119)*INDEX(About!E$79:E$82,MATCH($B119,About!$A$79:$A$82,0),1)</f>
        <v>54200000</v>
      </c>
      <c r="J119" s="54">
        <f t="shared" si="6"/>
        <v>149194767</v>
      </c>
      <c r="K119" s="27">
        <f>(SUMIFS(INDEX(Load,,MATCH('Summarized Source Data'!$C119,Hour,0)),Month,'Summarized Source Data'!$A119,Sector,'Summarized Source Data'!K$2,Subsector,"Total",TimeOfWeek,$E119)-SUM(F119:I119))*INDEX(About!G$79:G$82,MATCH($B119,About!$A$79:$A$82,0),1)</f>
        <v>149194767</v>
      </c>
      <c r="L119" s="27">
        <f>SUMIFS(INDEX(Load,,MATCH('Summarized Source Data'!$C119,Hour,0)),Month,'Summarized Source Data'!$A119,Sector,'Summarized Source Data'!L$2,Subsector,'Summarized Source Data'!L$3,TimeOfWeek,$E119)*INDEX(About!H$79:H$82,MATCH($B119,About!$A$79:$A$82,0),1)</f>
        <v>4715178</v>
      </c>
      <c r="M119" s="27">
        <f>SUMIFS(INDEX(Load,,MATCH('Summarized Source Data'!$C119,Hour,0)),Month,'Summarized Source Data'!$A119,Sector,'Summarized Source Data'!M$2,Subsector,'Summarized Source Data'!M$3,TimeOfWeek,$E119)*INDEX(About!I$79:I$82,MATCH($B119,About!$A$79:$A$82,0),1)</f>
        <v>12300000</v>
      </c>
      <c r="N119" s="27">
        <f>SUMIFS(INDEX(Load,,MATCH('Summarized Source Data'!$C119,Hour,0)),Month,'Summarized Source Data'!$A119,Sector,'Summarized Source Data'!N$2,Subsector,'Summarized Source Data'!N$3,TimeOfWeek,$E119)*INDEX(About!J$79:J$82,MATCH($B119,About!$A$79:$A$82,0),1)</f>
        <v>0</v>
      </c>
      <c r="O119" s="29">
        <f t="shared" si="7"/>
        <v>362984822</v>
      </c>
      <c r="P119" s="27">
        <f>(SUMIFS(INDEX(Load,,MATCH('Summarized Source Data'!$C119,Hour,0)),Month,'Summarized Source Data'!$A119,Sector,'Summarized Source Data'!P$2,Subsector,"Total",TimeOfWeek,$E119)-SUM(L119:N119)*INDEX(About!L$79:L$82,MATCH($B119,About!$A$79:$A$82,0),1))</f>
        <v>362984822</v>
      </c>
      <c r="Q119" s="29">
        <f t="shared" si="8"/>
        <v>362984822</v>
      </c>
      <c r="R119" s="33">
        <f>SUMIFS(INDEX(Load,,MATCH('Summarized Source Data'!$C119,Hour,0)),Month,'Summarized Source Data'!$A119,Sector,'Summarized Source Data'!R$2,TimeOfWeek,$E119)*INDEX(About!N$79:N$82,MATCH($B119,About!$A$79:$A$82,0),1)</f>
        <v>12300000</v>
      </c>
      <c r="S119" s="33">
        <f>SUMIFS(INDEX(Load,,MATCH('Summarized Source Data'!$C119,Hour,0)),Month,'Summarized Source Data'!$A119,Sector,'Summarized Source Data'!S$2,TimeOfWeek,$E119)*INDEX(About!O$79:O$82,MATCH($B119,About!$A$79:$A$82,0),1)</f>
        <v>12300000</v>
      </c>
      <c r="T119" s="33">
        <f>SUMIFS(INDEX(Load,,MATCH('Summarized Source Data'!$C119,Hour,0)),Month,'Summarized Source Data'!$A119,Sector,'Summarized Source Data'!T$2,TimeOfWeek,$E119)*INDEX(About!P$79:P$82,MATCH($B119,About!$A$79:$A$82,0),1)</f>
        <v>12300000</v>
      </c>
      <c r="U119" s="33">
        <f>SUMIFS(INDEX(Load,,MATCH('Summarized Source Data'!$C119,Hour,0)),Month,'Summarized Source Data'!$A119,Sector,'Summarized Source Data'!U$2,TimeOfWeek,$E119)*INDEX(About!Q$79:Q$82,MATCH($B119,About!$A$79:$A$82,0),1)</f>
        <v>12300000</v>
      </c>
      <c r="V119" s="33">
        <f>SUMIFS(INDEX(Load,,MATCH('Summarized Source Data'!$C119,Hour,0)),Month,'Summarized Source Data'!$A119,Sector,'Summarized Source Data'!V$2,TimeOfWeek,$E119)*INDEX(About!R$79:R$82,MATCH($B119,About!$A$79:$A$82,0),1)</f>
        <v>12300000</v>
      </c>
      <c r="W119" s="33">
        <f>SUMIFS(INDEX(Load,,MATCH('Summarized Source Data'!$C119,Hour,0)),Month,'Summarized Source Data'!$A119,Sector,'Summarized Source Data'!W$2,TimeOfWeek,$E119)*INDEX(About!S$79:S$82,MATCH($B119,About!$A$79:$A$82,0),1)</f>
        <v>12300000</v>
      </c>
      <c r="X119" s="27">
        <f>SUMIFS(INDEX(Load,,MATCH('Summarized Source Data'!$C119,Hour,0)),Month,'Summarized Source Data'!$A119,Sector,'Summarized Source Data'!X$2,Subsector,'Summarized Source Data'!X$3,TimeOfWeek,$E119)*INDEX(About!T$79:T$82,MATCH($B119,About!$A$79:$A$82,0),1)</f>
        <v>666000000</v>
      </c>
      <c r="Y119" s="29">
        <f t="shared" si="9"/>
        <v>666000000</v>
      </c>
      <c r="Z119" s="29">
        <f t="shared" si="9"/>
        <v>666000000</v>
      </c>
    </row>
    <row r="120" spans="1:26" outlineLevel="1" x14ac:dyDescent="0.3">
      <c r="A120">
        <f t="shared" si="5"/>
        <v>5</v>
      </c>
      <c r="B120" t="str">
        <f>INDEX('Category Mapping'!$G$28:$G$39,MATCH(A120,'Category Mapping'!$A$28:$A$39,0),1)</f>
        <v>Spring</v>
      </c>
      <c r="C120" t="s">
        <v>83</v>
      </c>
      <c r="D120" s="6" t="s">
        <v>158</v>
      </c>
      <c r="E120" t="s">
        <v>49</v>
      </c>
      <c r="F120" s="27">
        <f>SUMIFS(INDEX(Load,,MATCH('Summarized Source Data'!$C120,Hour,0)),Month,'Summarized Source Data'!$A120,Sector,'Summarized Source Data'!F$2,Subsector,'Summarized Source Data'!F$3,TimeOfWeek,$E120)*INDEX(About!B$79:B$82,MATCH($B120,About!$A$79:$A$82,0),1)</f>
        <v>2574873</v>
      </c>
      <c r="G120" s="27">
        <f>SUMIFS(INDEX(Load,,MATCH('Summarized Source Data'!$C120,Hour,0)),Month,'Summarized Source Data'!$A120,Sector,'Summarized Source Data'!G$2,Subsector,'Summarized Source Data'!G$3,TimeOfWeek,$E120)*INDEX(About!C$79:C$82,MATCH($B120,About!$A$79:$A$82,0),1)</f>
        <v>113684</v>
      </c>
      <c r="H120" s="27">
        <f>SUMIFS(INDEX(Load,,MATCH('Summarized Source Data'!$C120,Hour,0)),Month,'Summarized Source Data'!$A120,Sector,'Summarized Source Data'!H$2,Subsector,'Summarized Source Data'!H$3,TimeOfWeek,$E120)*INDEX(About!D$79:D$82,MATCH($B120,About!$A$79:$A$82,0),1)</f>
        <v>0</v>
      </c>
      <c r="I120" s="27">
        <f>SUMIFS(INDEX(Load,,MATCH('Summarized Source Data'!$C120,Hour,0)),Month,'Summarized Source Data'!$A120,Sector,'Summarized Source Data'!I$2,Subsector,'Summarized Source Data'!I$3,TimeOfWeek,$E120)*INDEX(About!E$79:E$82,MATCH($B120,About!$A$79:$A$82,0),1)</f>
        <v>55000000</v>
      </c>
      <c r="J120" s="54">
        <f t="shared" si="6"/>
        <v>145311443</v>
      </c>
      <c r="K120" s="27">
        <f>(SUMIFS(INDEX(Load,,MATCH('Summarized Source Data'!$C120,Hour,0)),Month,'Summarized Source Data'!$A120,Sector,'Summarized Source Data'!K$2,Subsector,"Total",TimeOfWeek,$E120)-SUM(F120:I120))*INDEX(About!G$79:G$82,MATCH($B120,About!$A$79:$A$82,0),1)</f>
        <v>145311443</v>
      </c>
      <c r="L120" s="27">
        <f>SUMIFS(INDEX(Load,,MATCH('Summarized Source Data'!$C120,Hour,0)),Month,'Summarized Source Data'!$A120,Sector,'Summarized Source Data'!L$2,Subsector,'Summarized Source Data'!L$3,TimeOfWeek,$E120)*INDEX(About!H$79:H$82,MATCH($B120,About!$A$79:$A$82,0),1)</f>
        <v>6253307</v>
      </c>
      <c r="M120" s="27">
        <f>SUMIFS(INDEX(Load,,MATCH('Summarized Source Data'!$C120,Hour,0)),Month,'Summarized Source Data'!$A120,Sector,'Summarized Source Data'!M$2,Subsector,'Summarized Source Data'!M$3,TimeOfWeek,$E120)*INDEX(About!I$79:I$82,MATCH($B120,About!$A$79:$A$82,0),1)</f>
        <v>10800000</v>
      </c>
      <c r="N120" s="27">
        <f>SUMIFS(INDEX(Load,,MATCH('Summarized Source Data'!$C120,Hour,0)),Month,'Summarized Source Data'!$A120,Sector,'Summarized Source Data'!N$2,Subsector,'Summarized Source Data'!N$3,TimeOfWeek,$E120)*INDEX(About!J$79:J$82,MATCH($B120,About!$A$79:$A$82,0),1)</f>
        <v>0</v>
      </c>
      <c r="O120" s="29">
        <f t="shared" si="7"/>
        <v>300946693</v>
      </c>
      <c r="P120" s="27">
        <f>(SUMIFS(INDEX(Load,,MATCH('Summarized Source Data'!$C120,Hour,0)),Month,'Summarized Source Data'!$A120,Sector,'Summarized Source Data'!P$2,Subsector,"Total",TimeOfWeek,$E120)-SUM(L120:N120)*INDEX(About!L$79:L$82,MATCH($B120,About!$A$79:$A$82,0),1))</f>
        <v>300946693</v>
      </c>
      <c r="Q120" s="29">
        <f t="shared" si="8"/>
        <v>300946693</v>
      </c>
      <c r="R120" s="33">
        <f>SUMIFS(INDEX(Load,,MATCH('Summarized Source Data'!$C120,Hour,0)),Month,'Summarized Source Data'!$A120,Sector,'Summarized Source Data'!R$2,TimeOfWeek,$E120)*INDEX(About!N$79:N$82,MATCH($B120,About!$A$79:$A$82,0),1)</f>
        <v>11200000</v>
      </c>
      <c r="S120" s="33">
        <f>SUMIFS(INDEX(Load,,MATCH('Summarized Source Data'!$C120,Hour,0)),Month,'Summarized Source Data'!$A120,Sector,'Summarized Source Data'!S$2,TimeOfWeek,$E120)*INDEX(About!O$79:O$82,MATCH($B120,About!$A$79:$A$82,0),1)</f>
        <v>11200000</v>
      </c>
      <c r="T120" s="33">
        <f>SUMIFS(INDEX(Load,,MATCH('Summarized Source Data'!$C120,Hour,0)),Month,'Summarized Source Data'!$A120,Sector,'Summarized Source Data'!T$2,TimeOfWeek,$E120)*INDEX(About!P$79:P$82,MATCH($B120,About!$A$79:$A$82,0),1)</f>
        <v>11200000</v>
      </c>
      <c r="U120" s="33">
        <f>SUMIFS(INDEX(Load,,MATCH('Summarized Source Data'!$C120,Hour,0)),Month,'Summarized Source Data'!$A120,Sector,'Summarized Source Data'!U$2,TimeOfWeek,$E120)*INDEX(About!Q$79:Q$82,MATCH($B120,About!$A$79:$A$82,0),1)</f>
        <v>11200000</v>
      </c>
      <c r="V120" s="33">
        <f>SUMIFS(INDEX(Load,,MATCH('Summarized Source Data'!$C120,Hour,0)),Month,'Summarized Source Data'!$A120,Sector,'Summarized Source Data'!V$2,TimeOfWeek,$E120)*INDEX(About!R$79:R$82,MATCH($B120,About!$A$79:$A$82,0),1)</f>
        <v>11200000</v>
      </c>
      <c r="W120" s="33">
        <f>SUMIFS(INDEX(Load,,MATCH('Summarized Source Data'!$C120,Hour,0)),Month,'Summarized Source Data'!$A120,Sector,'Summarized Source Data'!W$2,TimeOfWeek,$E120)*INDEX(About!S$79:S$82,MATCH($B120,About!$A$79:$A$82,0),1)</f>
        <v>11200000</v>
      </c>
      <c r="X120" s="27">
        <f>SUMIFS(INDEX(Load,,MATCH('Summarized Source Data'!$C120,Hour,0)),Month,'Summarized Source Data'!$A120,Sector,'Summarized Source Data'!X$2,Subsector,'Summarized Source Data'!X$3,TimeOfWeek,$E120)*INDEX(About!T$79:T$82,MATCH($B120,About!$A$79:$A$82,0),1)</f>
        <v>661000000</v>
      </c>
      <c r="Y120" s="29">
        <f t="shared" si="9"/>
        <v>661000000</v>
      </c>
      <c r="Z120" s="29">
        <f t="shared" si="9"/>
        <v>661000000</v>
      </c>
    </row>
    <row r="121" spans="1:26" outlineLevel="1" x14ac:dyDescent="0.3">
      <c r="A121">
        <f t="shared" si="5"/>
        <v>5</v>
      </c>
      <c r="B121" t="str">
        <f>INDEX('Category Mapping'!$G$28:$G$39,MATCH(A121,'Category Mapping'!$A$28:$A$39,0),1)</f>
        <v>Spring</v>
      </c>
      <c r="C121" t="s">
        <v>84</v>
      </c>
      <c r="D121" s="6" t="s">
        <v>159</v>
      </c>
      <c r="E121" t="s">
        <v>49</v>
      </c>
      <c r="F121" s="27">
        <f>SUMIFS(INDEX(Load,,MATCH('Summarized Source Data'!$C121,Hour,0)),Month,'Summarized Source Data'!$A121,Sector,'Summarized Source Data'!F$2,Subsector,'Summarized Source Data'!F$3,TimeOfWeek,$E121)*INDEX(About!B$79:B$82,MATCH($B121,About!$A$79:$A$82,0),1)</f>
        <v>2262033</v>
      </c>
      <c r="G121" s="27">
        <f>SUMIFS(INDEX(Load,,MATCH('Summarized Source Data'!$C121,Hour,0)),Month,'Summarized Source Data'!$A121,Sector,'Summarized Source Data'!G$2,Subsector,'Summarized Source Data'!G$3,TimeOfWeek,$E121)*INDEX(About!C$79:C$82,MATCH($B121,About!$A$79:$A$82,0),1)</f>
        <v>4053</v>
      </c>
      <c r="H121" s="27">
        <f>SUMIFS(INDEX(Load,,MATCH('Summarized Source Data'!$C121,Hour,0)),Month,'Summarized Source Data'!$A121,Sector,'Summarized Source Data'!H$2,Subsector,'Summarized Source Data'!H$3,TimeOfWeek,$E121)*INDEX(About!D$79:D$82,MATCH($B121,About!$A$79:$A$82,0),1)</f>
        <v>0</v>
      </c>
      <c r="I121" s="27">
        <f>SUMIFS(INDEX(Load,,MATCH('Summarized Source Data'!$C121,Hour,0)),Month,'Summarized Source Data'!$A121,Sector,'Summarized Source Data'!I$2,Subsector,'Summarized Source Data'!I$3,TimeOfWeek,$E121)*INDEX(About!E$79:E$82,MATCH($B121,About!$A$79:$A$82,0),1)</f>
        <v>45100000</v>
      </c>
      <c r="J121" s="54">
        <f t="shared" si="6"/>
        <v>143633914</v>
      </c>
      <c r="K121" s="27">
        <f>(SUMIFS(INDEX(Load,,MATCH('Summarized Source Data'!$C121,Hour,0)),Month,'Summarized Source Data'!$A121,Sector,'Summarized Source Data'!K$2,Subsector,"Total",TimeOfWeek,$E121)-SUM(F121:I121))*INDEX(About!G$79:G$82,MATCH($B121,About!$A$79:$A$82,0),1)</f>
        <v>143633914</v>
      </c>
      <c r="L121" s="27">
        <f>SUMIFS(INDEX(Load,,MATCH('Summarized Source Data'!$C121,Hour,0)),Month,'Summarized Source Data'!$A121,Sector,'Summarized Source Data'!L$2,Subsector,'Summarized Source Data'!L$3,TimeOfWeek,$E121)*INDEX(About!H$79:H$82,MATCH($B121,About!$A$79:$A$82,0),1)</f>
        <v>5546639</v>
      </c>
      <c r="M121" s="27">
        <f>SUMIFS(INDEX(Load,,MATCH('Summarized Source Data'!$C121,Hour,0)),Month,'Summarized Source Data'!$A121,Sector,'Summarized Source Data'!M$2,Subsector,'Summarized Source Data'!M$3,TimeOfWeek,$E121)*INDEX(About!I$79:I$82,MATCH($B121,About!$A$79:$A$82,0),1)</f>
        <v>10100000</v>
      </c>
      <c r="N121" s="27">
        <f>SUMIFS(INDEX(Load,,MATCH('Summarized Source Data'!$C121,Hour,0)),Month,'Summarized Source Data'!$A121,Sector,'Summarized Source Data'!N$2,Subsector,'Summarized Source Data'!N$3,TimeOfWeek,$E121)*INDEX(About!J$79:J$82,MATCH($B121,About!$A$79:$A$82,0),1)</f>
        <v>0</v>
      </c>
      <c r="O121" s="29">
        <f t="shared" si="7"/>
        <v>244353361</v>
      </c>
      <c r="P121" s="27">
        <f>(SUMIFS(INDEX(Load,,MATCH('Summarized Source Data'!$C121,Hour,0)),Month,'Summarized Source Data'!$A121,Sector,'Summarized Source Data'!P$2,Subsector,"Total",TimeOfWeek,$E121)-SUM(L121:N121)*INDEX(About!L$79:L$82,MATCH($B121,About!$A$79:$A$82,0),1))</f>
        <v>244353361</v>
      </c>
      <c r="Q121" s="29">
        <f t="shared" si="8"/>
        <v>244353361</v>
      </c>
      <c r="R121" s="33">
        <f>SUMIFS(INDEX(Load,,MATCH('Summarized Source Data'!$C121,Hour,0)),Month,'Summarized Source Data'!$A121,Sector,'Summarized Source Data'!R$2,TimeOfWeek,$E121)*INDEX(About!N$79:N$82,MATCH($B121,About!$A$79:$A$82,0),1)</f>
        <v>10500000</v>
      </c>
      <c r="S121" s="33">
        <f>SUMIFS(INDEX(Load,,MATCH('Summarized Source Data'!$C121,Hour,0)),Month,'Summarized Source Data'!$A121,Sector,'Summarized Source Data'!S$2,TimeOfWeek,$E121)*INDEX(About!O$79:O$82,MATCH($B121,About!$A$79:$A$82,0),1)</f>
        <v>10500000</v>
      </c>
      <c r="T121" s="33">
        <f>SUMIFS(INDEX(Load,,MATCH('Summarized Source Data'!$C121,Hour,0)),Month,'Summarized Source Data'!$A121,Sector,'Summarized Source Data'!T$2,TimeOfWeek,$E121)*INDEX(About!P$79:P$82,MATCH($B121,About!$A$79:$A$82,0),1)</f>
        <v>10500000</v>
      </c>
      <c r="U121" s="33">
        <f>SUMIFS(INDEX(Load,,MATCH('Summarized Source Data'!$C121,Hour,0)),Month,'Summarized Source Data'!$A121,Sector,'Summarized Source Data'!U$2,TimeOfWeek,$E121)*INDEX(About!Q$79:Q$82,MATCH($B121,About!$A$79:$A$82,0),1)</f>
        <v>10500000</v>
      </c>
      <c r="V121" s="33">
        <f>SUMIFS(INDEX(Load,,MATCH('Summarized Source Data'!$C121,Hour,0)),Month,'Summarized Source Data'!$A121,Sector,'Summarized Source Data'!V$2,TimeOfWeek,$E121)*INDEX(About!R$79:R$82,MATCH($B121,About!$A$79:$A$82,0),1)</f>
        <v>10500000</v>
      </c>
      <c r="W121" s="33">
        <f>SUMIFS(INDEX(Load,,MATCH('Summarized Source Data'!$C121,Hour,0)),Month,'Summarized Source Data'!$A121,Sector,'Summarized Source Data'!W$2,TimeOfWeek,$E121)*INDEX(About!S$79:S$82,MATCH($B121,About!$A$79:$A$82,0),1)</f>
        <v>10500000</v>
      </c>
      <c r="X121" s="27">
        <f>SUMIFS(INDEX(Load,,MATCH('Summarized Source Data'!$C121,Hour,0)),Month,'Summarized Source Data'!$A121,Sector,'Summarized Source Data'!X$2,Subsector,'Summarized Source Data'!X$3,TimeOfWeek,$E121)*INDEX(About!T$79:T$82,MATCH($B121,About!$A$79:$A$82,0),1)</f>
        <v>656000000</v>
      </c>
      <c r="Y121" s="29">
        <f t="shared" si="9"/>
        <v>656000000</v>
      </c>
      <c r="Z121" s="29">
        <f t="shared" si="9"/>
        <v>656000000</v>
      </c>
    </row>
    <row r="122" spans="1:26" outlineLevel="1" x14ac:dyDescent="0.3">
      <c r="A122">
        <f t="shared" si="5"/>
        <v>5</v>
      </c>
      <c r="B122" t="str">
        <f>INDEX('Category Mapping'!$G$28:$G$39,MATCH(A122,'Category Mapping'!$A$28:$A$39,0),1)</f>
        <v>Spring</v>
      </c>
      <c r="C122" t="s">
        <v>85</v>
      </c>
      <c r="D122" s="6" t="s">
        <v>160</v>
      </c>
      <c r="E122" t="s">
        <v>49</v>
      </c>
      <c r="F122" s="27">
        <f>SUMIFS(INDEX(Load,,MATCH('Summarized Source Data'!$C122,Hour,0)),Month,'Summarized Source Data'!$A122,Sector,'Summarized Source Data'!F$2,Subsector,'Summarized Source Data'!F$3,TimeOfWeek,$E122)*INDEX(About!B$79:B$82,MATCH($B122,About!$A$79:$A$82,0),1)</f>
        <v>1689019</v>
      </c>
      <c r="G122" s="27">
        <f>SUMIFS(INDEX(Load,,MATCH('Summarized Source Data'!$C122,Hour,0)),Month,'Summarized Source Data'!$A122,Sector,'Summarized Source Data'!G$2,Subsector,'Summarized Source Data'!G$3,TimeOfWeek,$E122)*INDEX(About!C$79:C$82,MATCH($B122,About!$A$79:$A$82,0),1)</f>
        <v>4225</v>
      </c>
      <c r="H122" s="27">
        <f>SUMIFS(INDEX(Load,,MATCH('Summarized Source Data'!$C122,Hour,0)),Month,'Summarized Source Data'!$A122,Sector,'Summarized Source Data'!H$2,Subsector,'Summarized Source Data'!H$3,TimeOfWeek,$E122)*INDEX(About!D$79:D$82,MATCH($B122,About!$A$79:$A$82,0),1)</f>
        <v>0</v>
      </c>
      <c r="I122" s="27">
        <f>SUMIFS(INDEX(Load,,MATCH('Summarized Source Data'!$C122,Hour,0)),Month,'Summarized Source Data'!$A122,Sector,'Summarized Source Data'!I$2,Subsector,'Summarized Source Data'!I$3,TimeOfWeek,$E122)*INDEX(About!E$79:E$82,MATCH($B122,About!$A$79:$A$82,0),1)</f>
        <v>26800000</v>
      </c>
      <c r="J122" s="54">
        <f t="shared" si="6"/>
        <v>112506756</v>
      </c>
      <c r="K122" s="27">
        <f>(SUMIFS(INDEX(Load,,MATCH('Summarized Source Data'!$C122,Hour,0)),Month,'Summarized Source Data'!$A122,Sector,'Summarized Source Data'!K$2,Subsector,"Total",TimeOfWeek,$E122)-SUM(F122:I122))*INDEX(About!G$79:G$82,MATCH($B122,About!$A$79:$A$82,0),1)</f>
        <v>112506756</v>
      </c>
      <c r="L122" s="27">
        <f>SUMIFS(INDEX(Load,,MATCH('Summarized Source Data'!$C122,Hour,0)),Month,'Summarized Source Data'!$A122,Sector,'Summarized Source Data'!L$2,Subsector,'Summarized Source Data'!L$3,TimeOfWeek,$E122)*INDEX(About!H$79:H$82,MATCH($B122,About!$A$79:$A$82,0),1)</f>
        <v>4273846</v>
      </c>
      <c r="M122" s="27">
        <f>SUMIFS(INDEX(Load,,MATCH('Summarized Source Data'!$C122,Hour,0)),Month,'Summarized Source Data'!$A122,Sector,'Summarized Source Data'!M$2,Subsector,'Summarized Source Data'!M$3,TimeOfWeek,$E122)*INDEX(About!I$79:I$82,MATCH($B122,About!$A$79:$A$82,0),1)</f>
        <v>9338463</v>
      </c>
      <c r="N122" s="27">
        <f>SUMIFS(INDEX(Load,,MATCH('Summarized Source Data'!$C122,Hour,0)),Month,'Summarized Source Data'!$A122,Sector,'Summarized Source Data'!N$2,Subsector,'Summarized Source Data'!N$3,TimeOfWeek,$E122)*INDEX(About!J$79:J$82,MATCH($B122,About!$A$79:$A$82,0),1)</f>
        <v>0</v>
      </c>
      <c r="O122" s="29">
        <f t="shared" si="7"/>
        <v>205387691</v>
      </c>
      <c r="P122" s="27">
        <f>(SUMIFS(INDEX(Load,,MATCH('Summarized Source Data'!$C122,Hour,0)),Month,'Summarized Source Data'!$A122,Sector,'Summarized Source Data'!P$2,Subsector,"Total",TimeOfWeek,$E122)-SUM(L122:N122)*INDEX(About!L$79:L$82,MATCH($B122,About!$A$79:$A$82,0),1))</f>
        <v>205387691</v>
      </c>
      <c r="Q122" s="29">
        <f t="shared" si="8"/>
        <v>205387691</v>
      </c>
      <c r="R122" s="33">
        <f>SUMIFS(INDEX(Load,,MATCH('Summarized Source Data'!$C122,Hour,0)),Month,'Summarized Source Data'!$A122,Sector,'Summarized Source Data'!R$2,TimeOfWeek,$E122)*INDEX(About!N$79:N$82,MATCH($B122,About!$A$79:$A$82,0),1)</f>
        <v>9890570</v>
      </c>
      <c r="S122" s="33">
        <f>SUMIFS(INDEX(Load,,MATCH('Summarized Source Data'!$C122,Hour,0)),Month,'Summarized Source Data'!$A122,Sector,'Summarized Source Data'!S$2,TimeOfWeek,$E122)*INDEX(About!O$79:O$82,MATCH($B122,About!$A$79:$A$82,0),1)</f>
        <v>9890570</v>
      </c>
      <c r="T122" s="33">
        <f>SUMIFS(INDEX(Load,,MATCH('Summarized Source Data'!$C122,Hour,0)),Month,'Summarized Source Data'!$A122,Sector,'Summarized Source Data'!T$2,TimeOfWeek,$E122)*INDEX(About!P$79:P$82,MATCH($B122,About!$A$79:$A$82,0),1)</f>
        <v>9890570</v>
      </c>
      <c r="U122" s="33">
        <f>SUMIFS(INDEX(Load,,MATCH('Summarized Source Data'!$C122,Hour,0)),Month,'Summarized Source Data'!$A122,Sector,'Summarized Source Data'!U$2,TimeOfWeek,$E122)*INDEX(About!Q$79:Q$82,MATCH($B122,About!$A$79:$A$82,0),1)</f>
        <v>9890570</v>
      </c>
      <c r="V122" s="33">
        <f>SUMIFS(INDEX(Load,,MATCH('Summarized Source Data'!$C122,Hour,0)),Month,'Summarized Source Data'!$A122,Sector,'Summarized Source Data'!V$2,TimeOfWeek,$E122)*INDEX(About!R$79:R$82,MATCH($B122,About!$A$79:$A$82,0),1)</f>
        <v>9890570</v>
      </c>
      <c r="W122" s="33">
        <f>SUMIFS(INDEX(Load,,MATCH('Summarized Source Data'!$C122,Hour,0)),Month,'Summarized Source Data'!$A122,Sector,'Summarized Source Data'!W$2,TimeOfWeek,$E122)*INDEX(About!S$79:S$82,MATCH($B122,About!$A$79:$A$82,0),1)</f>
        <v>9890570</v>
      </c>
      <c r="X122" s="27">
        <f>SUMIFS(INDEX(Load,,MATCH('Summarized Source Data'!$C122,Hour,0)),Month,'Summarized Source Data'!$A122,Sector,'Summarized Source Data'!X$2,Subsector,'Summarized Source Data'!X$3,TimeOfWeek,$E122)*INDEX(About!T$79:T$82,MATCH($B122,About!$A$79:$A$82,0),1)</f>
        <v>650000000</v>
      </c>
      <c r="Y122" s="29">
        <f t="shared" si="9"/>
        <v>650000000</v>
      </c>
      <c r="Z122" s="29">
        <f t="shared" si="9"/>
        <v>650000000</v>
      </c>
    </row>
    <row r="123" spans="1:26" outlineLevel="1" x14ac:dyDescent="0.3">
      <c r="A123">
        <f t="shared" si="5"/>
        <v>5</v>
      </c>
      <c r="B123" t="str">
        <f>INDEX('Category Mapping'!$G$28:$G$39,MATCH(A123,'Category Mapping'!$A$28:$A$39,0),1)</f>
        <v>Spring</v>
      </c>
      <c r="C123" t="s">
        <v>86</v>
      </c>
      <c r="D123" s="6" t="s">
        <v>161</v>
      </c>
      <c r="E123" t="s">
        <v>49</v>
      </c>
      <c r="F123" s="27">
        <f>SUMIFS(INDEX(Load,,MATCH('Summarized Source Data'!$C123,Hour,0)),Month,'Summarized Source Data'!$A123,Sector,'Summarized Source Data'!F$2,Subsector,'Summarized Source Data'!F$3,TimeOfWeek,$E123)*INDEX(About!B$79:B$82,MATCH($B123,About!$A$79:$A$82,0),1)</f>
        <v>1510774</v>
      </c>
      <c r="G123" s="27">
        <f>SUMIFS(INDEX(Load,,MATCH('Summarized Source Data'!$C123,Hour,0)),Month,'Summarized Source Data'!$A123,Sector,'Summarized Source Data'!G$2,Subsector,'Summarized Source Data'!G$3,TimeOfWeek,$E123)*INDEX(About!C$79:C$82,MATCH($B123,About!$A$79:$A$82,0),1)</f>
        <v>4341</v>
      </c>
      <c r="H123" s="27">
        <f>SUMIFS(INDEX(Load,,MATCH('Summarized Source Data'!$C123,Hour,0)),Month,'Summarized Source Data'!$A123,Sector,'Summarized Source Data'!H$2,Subsector,'Summarized Source Data'!H$3,TimeOfWeek,$E123)*INDEX(About!D$79:D$82,MATCH($B123,About!$A$79:$A$82,0),1)</f>
        <v>0</v>
      </c>
      <c r="I123" s="27">
        <f>SUMIFS(INDEX(Load,,MATCH('Summarized Source Data'!$C123,Hour,0)),Month,'Summarized Source Data'!$A123,Sector,'Summarized Source Data'!I$2,Subsector,'Summarized Source Data'!I$3,TimeOfWeek,$E123)*INDEX(About!E$79:E$82,MATCH($B123,About!$A$79:$A$82,0),1)</f>
        <v>14100000</v>
      </c>
      <c r="J123" s="54">
        <f t="shared" si="6"/>
        <v>90384885</v>
      </c>
      <c r="K123" s="27">
        <f>(SUMIFS(INDEX(Load,,MATCH('Summarized Source Data'!$C123,Hour,0)),Month,'Summarized Source Data'!$A123,Sector,'Summarized Source Data'!K$2,Subsector,"Total",TimeOfWeek,$E123)-SUM(F123:I123))*INDEX(About!G$79:G$82,MATCH($B123,About!$A$79:$A$82,0),1)</f>
        <v>90384885</v>
      </c>
      <c r="L123" s="27">
        <f>SUMIFS(INDEX(Load,,MATCH('Summarized Source Data'!$C123,Hour,0)),Month,'Summarized Source Data'!$A123,Sector,'Summarized Source Data'!L$2,Subsector,'Summarized Source Data'!L$3,TimeOfWeek,$E123)*INDEX(About!H$79:H$82,MATCH($B123,About!$A$79:$A$82,0),1)</f>
        <v>4533801</v>
      </c>
      <c r="M123" s="27">
        <f>SUMIFS(INDEX(Load,,MATCH('Summarized Source Data'!$C123,Hour,0)),Month,'Summarized Source Data'!$A123,Sector,'Summarized Source Data'!M$2,Subsector,'Summarized Source Data'!M$3,TimeOfWeek,$E123)*INDEX(About!I$79:I$82,MATCH($B123,About!$A$79:$A$82,0),1)</f>
        <v>8252918</v>
      </c>
      <c r="N123" s="27">
        <f>SUMIFS(INDEX(Load,,MATCH('Summarized Source Data'!$C123,Hour,0)),Month,'Summarized Source Data'!$A123,Sector,'Summarized Source Data'!N$2,Subsector,'Summarized Source Data'!N$3,TimeOfWeek,$E123)*INDEX(About!J$79:J$82,MATCH($B123,About!$A$79:$A$82,0),1)</f>
        <v>0</v>
      </c>
      <c r="O123" s="29">
        <f t="shared" si="7"/>
        <v>180213281</v>
      </c>
      <c r="P123" s="27">
        <f>(SUMIFS(INDEX(Load,,MATCH('Summarized Source Data'!$C123,Hour,0)),Month,'Summarized Source Data'!$A123,Sector,'Summarized Source Data'!P$2,Subsector,"Total",TimeOfWeek,$E123)-SUM(L123:N123)*INDEX(About!L$79:L$82,MATCH($B123,About!$A$79:$A$82,0),1))</f>
        <v>180213281</v>
      </c>
      <c r="Q123" s="29">
        <f t="shared" si="8"/>
        <v>180213281</v>
      </c>
      <c r="R123" s="33">
        <f>SUMIFS(INDEX(Load,,MATCH('Summarized Source Data'!$C123,Hour,0)),Month,'Summarized Source Data'!$A123,Sector,'Summarized Source Data'!R$2,TimeOfWeek,$E123)*INDEX(About!N$79:N$82,MATCH($B123,About!$A$79:$A$82,0),1)</f>
        <v>6659625</v>
      </c>
      <c r="S123" s="33">
        <f>SUMIFS(INDEX(Load,,MATCH('Summarized Source Data'!$C123,Hour,0)),Month,'Summarized Source Data'!$A123,Sector,'Summarized Source Data'!S$2,TimeOfWeek,$E123)*INDEX(About!O$79:O$82,MATCH($B123,About!$A$79:$A$82,0),1)</f>
        <v>6659625</v>
      </c>
      <c r="T123" s="33">
        <f>SUMIFS(INDEX(Load,,MATCH('Summarized Source Data'!$C123,Hour,0)),Month,'Summarized Source Data'!$A123,Sector,'Summarized Source Data'!T$2,TimeOfWeek,$E123)*INDEX(About!P$79:P$82,MATCH($B123,About!$A$79:$A$82,0),1)</f>
        <v>6659625</v>
      </c>
      <c r="U123" s="33">
        <f>SUMIFS(INDEX(Load,,MATCH('Summarized Source Data'!$C123,Hour,0)),Month,'Summarized Source Data'!$A123,Sector,'Summarized Source Data'!U$2,TimeOfWeek,$E123)*INDEX(About!Q$79:Q$82,MATCH($B123,About!$A$79:$A$82,0),1)</f>
        <v>6659625</v>
      </c>
      <c r="V123" s="33">
        <f>SUMIFS(INDEX(Load,,MATCH('Summarized Source Data'!$C123,Hour,0)),Month,'Summarized Source Data'!$A123,Sector,'Summarized Source Data'!V$2,TimeOfWeek,$E123)*INDEX(About!R$79:R$82,MATCH($B123,About!$A$79:$A$82,0),1)</f>
        <v>6659625</v>
      </c>
      <c r="W123" s="33">
        <f>SUMIFS(INDEX(Load,,MATCH('Summarized Source Data'!$C123,Hour,0)),Month,'Summarized Source Data'!$A123,Sector,'Summarized Source Data'!W$2,TimeOfWeek,$E123)*INDEX(About!S$79:S$82,MATCH($B123,About!$A$79:$A$82,0),1)</f>
        <v>6659625</v>
      </c>
      <c r="X123" s="27">
        <f>SUMIFS(INDEX(Load,,MATCH('Summarized Source Data'!$C123,Hour,0)),Month,'Summarized Source Data'!$A123,Sector,'Summarized Source Data'!X$2,Subsector,'Summarized Source Data'!X$3,TimeOfWeek,$E123)*INDEX(About!T$79:T$82,MATCH($B123,About!$A$79:$A$82,0),1)</f>
        <v>647000000</v>
      </c>
      <c r="Y123" s="29">
        <f t="shared" si="9"/>
        <v>647000000</v>
      </c>
      <c r="Z123" s="29">
        <f t="shared" si="9"/>
        <v>647000000</v>
      </c>
    </row>
    <row r="124" spans="1:26" outlineLevel="1" x14ac:dyDescent="0.3">
      <c r="A124">
        <f t="shared" si="5"/>
        <v>6</v>
      </c>
      <c r="B124" t="str">
        <f>INDEX('Category Mapping'!$G$28:$G$39,MATCH(A124,'Category Mapping'!$A$28:$A$39,0),1)</f>
        <v>Summer</v>
      </c>
      <c r="C124" t="s">
        <v>63</v>
      </c>
      <c r="D124" s="6" t="s">
        <v>138</v>
      </c>
      <c r="E124" t="s">
        <v>49</v>
      </c>
      <c r="F124" s="27">
        <f>SUMIFS(INDEX(Load,,MATCH('Summarized Source Data'!$C124,Hour,0)),Month,'Summarized Source Data'!$A124,Sector,'Summarized Source Data'!F$2,Subsector,'Summarized Source Data'!F$3,TimeOfWeek,$E124)*INDEX(About!B$79:B$82,MATCH($B124,About!$A$79:$A$82,0),1)</f>
        <v>260040</v>
      </c>
      <c r="G124" s="27">
        <f>SUMIFS(INDEX(Load,,MATCH('Summarized Source Data'!$C124,Hour,0)),Month,'Summarized Source Data'!$A124,Sector,'Summarized Source Data'!G$2,Subsector,'Summarized Source Data'!G$3,TimeOfWeek,$E124)*INDEX(About!C$79:C$82,MATCH($B124,About!$A$79:$A$82,0),1)</f>
        <v>3799513</v>
      </c>
      <c r="H124" s="27">
        <f>SUMIFS(INDEX(Load,,MATCH('Summarized Source Data'!$C124,Hour,0)),Month,'Summarized Source Data'!$A124,Sector,'Summarized Source Data'!H$2,Subsector,'Summarized Source Data'!H$3,TimeOfWeek,$E124)*INDEX(About!D$79:D$82,MATCH($B124,About!$A$79:$A$82,0),1)</f>
        <v>0</v>
      </c>
      <c r="I124" s="27">
        <f>SUMIFS(INDEX(Load,,MATCH('Summarized Source Data'!$C124,Hour,0)),Month,'Summarized Source Data'!$A124,Sector,'Summarized Source Data'!I$2,Subsector,'Summarized Source Data'!I$3,TimeOfWeek,$E124)*INDEX(About!E$79:E$82,MATCH($B124,About!$A$79:$A$82,0),1)</f>
        <v>10100000</v>
      </c>
      <c r="J124" s="54">
        <f t="shared" si="6"/>
        <v>72440447</v>
      </c>
      <c r="K124" s="27">
        <f>(SUMIFS(INDEX(Load,,MATCH('Summarized Source Data'!$C124,Hour,0)),Month,'Summarized Source Data'!$A124,Sector,'Summarized Source Data'!K$2,Subsector,"Total",TimeOfWeek,$E124)-SUM(F124:I124))*INDEX(About!G$79:G$82,MATCH($B124,About!$A$79:$A$82,0),1)</f>
        <v>72440447</v>
      </c>
      <c r="L124" s="27">
        <f>SUMIFS(INDEX(Load,,MATCH('Summarized Source Data'!$C124,Hour,0)),Month,'Summarized Source Data'!$A124,Sector,'Summarized Source Data'!L$2,Subsector,'Summarized Source Data'!L$3,TimeOfWeek,$E124)*INDEX(About!H$79:H$82,MATCH($B124,About!$A$79:$A$82,0),1)</f>
        <v>1105477</v>
      </c>
      <c r="M124" s="27">
        <f>SUMIFS(INDEX(Load,,MATCH('Summarized Source Data'!$C124,Hour,0)),Month,'Summarized Source Data'!$A124,Sector,'Summarized Source Data'!M$2,Subsector,'Summarized Source Data'!M$3,TimeOfWeek,$E124)*INDEX(About!I$79:I$82,MATCH($B124,About!$A$79:$A$82,0),1)</f>
        <v>67600000</v>
      </c>
      <c r="N124" s="27">
        <f>SUMIFS(INDEX(Load,,MATCH('Summarized Source Data'!$C124,Hour,0)),Month,'Summarized Source Data'!$A124,Sector,'Summarized Source Data'!N$2,Subsector,'Summarized Source Data'!N$3,TimeOfWeek,$E124)*INDEX(About!J$79:J$82,MATCH($B124,About!$A$79:$A$82,0),1)</f>
        <v>0</v>
      </c>
      <c r="O124" s="29">
        <f t="shared" si="7"/>
        <v>151294523</v>
      </c>
      <c r="P124" s="27">
        <f>(SUMIFS(INDEX(Load,,MATCH('Summarized Source Data'!$C124,Hour,0)),Month,'Summarized Source Data'!$A124,Sector,'Summarized Source Data'!P$2,Subsector,"Total",TimeOfWeek,$E124)-SUM(L124:N124)*INDEX(About!L$79:L$82,MATCH($B124,About!$A$79:$A$82,0),1))</f>
        <v>151294523</v>
      </c>
      <c r="Q124" s="29">
        <f t="shared" si="8"/>
        <v>151294523</v>
      </c>
      <c r="R124" s="33">
        <f>SUMIFS(INDEX(Load,,MATCH('Summarized Source Data'!$C124,Hour,0)),Month,'Summarized Source Data'!$A124,Sector,'Summarized Source Data'!R$2,TimeOfWeek,$E124)*INDEX(About!N$79:N$82,MATCH($B124,About!$A$79:$A$82,0),1)</f>
        <v>4351740</v>
      </c>
      <c r="S124" s="33">
        <f>SUMIFS(INDEX(Load,,MATCH('Summarized Source Data'!$C124,Hour,0)),Month,'Summarized Source Data'!$A124,Sector,'Summarized Source Data'!S$2,TimeOfWeek,$E124)*INDEX(About!O$79:O$82,MATCH($B124,About!$A$79:$A$82,0),1)</f>
        <v>4351740</v>
      </c>
      <c r="T124" s="33">
        <f>SUMIFS(INDEX(Load,,MATCH('Summarized Source Data'!$C124,Hour,0)),Month,'Summarized Source Data'!$A124,Sector,'Summarized Source Data'!T$2,TimeOfWeek,$E124)*INDEX(About!P$79:P$82,MATCH($B124,About!$A$79:$A$82,0),1)</f>
        <v>4351740</v>
      </c>
      <c r="U124" s="33">
        <f>SUMIFS(INDEX(Load,,MATCH('Summarized Source Data'!$C124,Hour,0)),Month,'Summarized Source Data'!$A124,Sector,'Summarized Source Data'!U$2,TimeOfWeek,$E124)*INDEX(About!Q$79:Q$82,MATCH($B124,About!$A$79:$A$82,0),1)</f>
        <v>4351740</v>
      </c>
      <c r="V124" s="33">
        <f>SUMIFS(INDEX(Load,,MATCH('Summarized Source Data'!$C124,Hour,0)),Month,'Summarized Source Data'!$A124,Sector,'Summarized Source Data'!V$2,TimeOfWeek,$E124)*INDEX(About!R$79:R$82,MATCH($B124,About!$A$79:$A$82,0),1)</f>
        <v>4351740</v>
      </c>
      <c r="W124" s="33">
        <f>SUMIFS(INDEX(Load,,MATCH('Summarized Source Data'!$C124,Hour,0)),Month,'Summarized Source Data'!$A124,Sector,'Summarized Source Data'!W$2,TimeOfWeek,$E124)*INDEX(About!S$79:S$82,MATCH($B124,About!$A$79:$A$82,0),1)</f>
        <v>4351740</v>
      </c>
      <c r="X124" s="27">
        <f>SUMIFS(INDEX(Load,,MATCH('Summarized Source Data'!$C124,Hour,0)),Month,'Summarized Source Data'!$A124,Sector,'Summarized Source Data'!X$2,Subsector,'Summarized Source Data'!X$3,TimeOfWeek,$E124)*INDEX(About!T$79:T$82,MATCH($B124,About!$A$79:$A$82,0),1)</f>
        <v>659000000</v>
      </c>
      <c r="Y124" s="29">
        <f t="shared" si="9"/>
        <v>659000000</v>
      </c>
      <c r="Z124" s="29">
        <f t="shared" si="9"/>
        <v>659000000</v>
      </c>
    </row>
    <row r="125" spans="1:26" outlineLevel="1" x14ac:dyDescent="0.3">
      <c r="A125">
        <f t="shared" si="5"/>
        <v>6</v>
      </c>
      <c r="B125" t="str">
        <f>INDEX('Category Mapping'!$G$28:$G$39,MATCH(A125,'Category Mapping'!$A$28:$A$39,0),1)</f>
        <v>Summer</v>
      </c>
      <c r="C125" t="s">
        <v>64</v>
      </c>
      <c r="D125" s="6" t="s">
        <v>139</v>
      </c>
      <c r="E125" t="s">
        <v>49</v>
      </c>
      <c r="F125" s="27">
        <f>SUMIFS(INDEX(Load,,MATCH('Summarized Source Data'!$C125,Hour,0)),Month,'Summarized Source Data'!$A125,Sector,'Summarized Source Data'!F$2,Subsector,'Summarized Source Data'!F$3,TimeOfWeek,$E125)*INDEX(About!B$79:B$82,MATCH($B125,About!$A$79:$A$82,0),1)</f>
        <v>260040</v>
      </c>
      <c r="G125" s="27">
        <f>SUMIFS(INDEX(Load,,MATCH('Summarized Source Data'!$C125,Hour,0)),Month,'Summarized Source Data'!$A125,Sector,'Summarized Source Data'!G$2,Subsector,'Summarized Source Data'!G$3,TimeOfWeek,$E125)*INDEX(About!C$79:C$82,MATCH($B125,About!$A$79:$A$82,0),1)</f>
        <v>2502986</v>
      </c>
      <c r="H125" s="27">
        <f>SUMIFS(INDEX(Load,,MATCH('Summarized Source Data'!$C125,Hour,0)),Month,'Summarized Source Data'!$A125,Sector,'Summarized Source Data'!H$2,Subsector,'Summarized Source Data'!H$3,TimeOfWeek,$E125)*INDEX(About!D$79:D$82,MATCH($B125,About!$A$79:$A$82,0),1)</f>
        <v>0</v>
      </c>
      <c r="I125" s="27">
        <f>SUMIFS(INDEX(Load,,MATCH('Summarized Source Data'!$C125,Hour,0)),Month,'Summarized Source Data'!$A125,Sector,'Summarized Source Data'!I$2,Subsector,'Summarized Source Data'!I$3,TimeOfWeek,$E125)*INDEX(About!E$79:E$82,MATCH($B125,About!$A$79:$A$82,0),1)</f>
        <v>9311343</v>
      </c>
      <c r="J125" s="54">
        <f t="shared" si="6"/>
        <v>52425631</v>
      </c>
      <c r="K125" s="27">
        <f>(SUMIFS(INDEX(Load,,MATCH('Summarized Source Data'!$C125,Hour,0)),Month,'Summarized Source Data'!$A125,Sector,'Summarized Source Data'!K$2,Subsector,"Total",TimeOfWeek,$E125)-SUM(F125:I125))*INDEX(About!G$79:G$82,MATCH($B125,About!$A$79:$A$82,0),1)</f>
        <v>52425631</v>
      </c>
      <c r="L125" s="27">
        <f>SUMIFS(INDEX(Load,,MATCH('Summarized Source Data'!$C125,Hour,0)),Month,'Summarized Source Data'!$A125,Sector,'Summarized Source Data'!L$2,Subsector,'Summarized Source Data'!L$3,TimeOfWeek,$E125)*INDEX(About!H$79:H$82,MATCH($B125,About!$A$79:$A$82,0),1)</f>
        <v>1104580</v>
      </c>
      <c r="M125" s="27">
        <f>SUMIFS(INDEX(Load,,MATCH('Summarized Source Data'!$C125,Hour,0)),Month,'Summarized Source Data'!$A125,Sector,'Summarized Source Data'!M$2,Subsector,'Summarized Source Data'!M$3,TimeOfWeek,$E125)*INDEX(About!I$79:I$82,MATCH($B125,About!$A$79:$A$82,0),1)</f>
        <v>62800000</v>
      </c>
      <c r="N125" s="27">
        <f>SUMIFS(INDEX(Load,,MATCH('Summarized Source Data'!$C125,Hour,0)),Month,'Summarized Source Data'!$A125,Sector,'Summarized Source Data'!N$2,Subsector,'Summarized Source Data'!N$3,TimeOfWeek,$E125)*INDEX(About!J$79:J$82,MATCH($B125,About!$A$79:$A$82,0),1)</f>
        <v>0</v>
      </c>
      <c r="O125" s="29">
        <f t="shared" si="7"/>
        <v>148095420</v>
      </c>
      <c r="P125" s="27">
        <f>(SUMIFS(INDEX(Load,,MATCH('Summarized Source Data'!$C125,Hour,0)),Month,'Summarized Source Data'!$A125,Sector,'Summarized Source Data'!P$2,Subsector,"Total",TimeOfWeek,$E125)-SUM(L125:N125)*INDEX(About!L$79:L$82,MATCH($B125,About!$A$79:$A$82,0),1))</f>
        <v>148095420</v>
      </c>
      <c r="Q125" s="29">
        <f t="shared" si="8"/>
        <v>148095420</v>
      </c>
      <c r="R125" s="33">
        <f>SUMIFS(INDEX(Load,,MATCH('Summarized Source Data'!$C125,Hour,0)),Month,'Summarized Source Data'!$A125,Sector,'Summarized Source Data'!R$2,TimeOfWeek,$E125)*INDEX(About!N$79:N$82,MATCH($B125,About!$A$79:$A$82,0),1)</f>
        <v>4283920</v>
      </c>
      <c r="S125" s="33">
        <f>SUMIFS(INDEX(Load,,MATCH('Summarized Source Data'!$C125,Hour,0)),Month,'Summarized Source Data'!$A125,Sector,'Summarized Source Data'!S$2,TimeOfWeek,$E125)*INDEX(About!O$79:O$82,MATCH($B125,About!$A$79:$A$82,0),1)</f>
        <v>4283920</v>
      </c>
      <c r="T125" s="33">
        <f>SUMIFS(INDEX(Load,,MATCH('Summarized Source Data'!$C125,Hour,0)),Month,'Summarized Source Data'!$A125,Sector,'Summarized Source Data'!T$2,TimeOfWeek,$E125)*INDEX(About!P$79:P$82,MATCH($B125,About!$A$79:$A$82,0),1)</f>
        <v>4283920</v>
      </c>
      <c r="U125" s="33">
        <f>SUMIFS(INDEX(Load,,MATCH('Summarized Source Data'!$C125,Hour,0)),Month,'Summarized Source Data'!$A125,Sector,'Summarized Source Data'!U$2,TimeOfWeek,$E125)*INDEX(About!Q$79:Q$82,MATCH($B125,About!$A$79:$A$82,0),1)</f>
        <v>4283920</v>
      </c>
      <c r="V125" s="33">
        <f>SUMIFS(INDEX(Load,,MATCH('Summarized Source Data'!$C125,Hour,0)),Month,'Summarized Source Data'!$A125,Sector,'Summarized Source Data'!V$2,TimeOfWeek,$E125)*INDEX(About!R$79:R$82,MATCH($B125,About!$A$79:$A$82,0),1)</f>
        <v>4283920</v>
      </c>
      <c r="W125" s="33">
        <f>SUMIFS(INDEX(Load,,MATCH('Summarized Source Data'!$C125,Hour,0)),Month,'Summarized Source Data'!$A125,Sector,'Summarized Source Data'!W$2,TimeOfWeek,$E125)*INDEX(About!S$79:S$82,MATCH($B125,About!$A$79:$A$82,0),1)</f>
        <v>4283920</v>
      </c>
      <c r="X125" s="27">
        <f>SUMIFS(INDEX(Load,,MATCH('Summarized Source Data'!$C125,Hour,0)),Month,'Summarized Source Data'!$A125,Sector,'Summarized Source Data'!X$2,Subsector,'Summarized Source Data'!X$3,TimeOfWeek,$E125)*INDEX(About!T$79:T$82,MATCH($B125,About!$A$79:$A$82,0),1)</f>
        <v>658000000</v>
      </c>
      <c r="Y125" s="29">
        <f t="shared" si="9"/>
        <v>658000000</v>
      </c>
      <c r="Z125" s="29">
        <f t="shared" si="9"/>
        <v>658000000</v>
      </c>
    </row>
    <row r="126" spans="1:26" outlineLevel="1" x14ac:dyDescent="0.3">
      <c r="A126">
        <f t="shared" si="5"/>
        <v>6</v>
      </c>
      <c r="B126" t="str">
        <f>INDEX('Category Mapping'!$G$28:$G$39,MATCH(A126,'Category Mapping'!$A$28:$A$39,0),1)</f>
        <v>Summer</v>
      </c>
      <c r="C126" t="s">
        <v>65</v>
      </c>
      <c r="D126" s="6" t="s">
        <v>140</v>
      </c>
      <c r="E126" t="s">
        <v>49</v>
      </c>
      <c r="F126" s="27">
        <f>SUMIFS(INDEX(Load,,MATCH('Summarized Source Data'!$C126,Hour,0)),Month,'Summarized Source Data'!$A126,Sector,'Summarized Source Data'!F$2,Subsector,'Summarized Source Data'!F$3,TimeOfWeek,$E126)*INDEX(About!B$79:B$82,MATCH($B126,About!$A$79:$A$82,0),1)</f>
        <v>260040</v>
      </c>
      <c r="G126" s="27">
        <f>SUMIFS(INDEX(Load,,MATCH('Summarized Source Data'!$C126,Hour,0)),Month,'Summarized Source Data'!$A126,Sector,'Summarized Source Data'!G$2,Subsector,'Summarized Source Data'!G$3,TimeOfWeek,$E126)*INDEX(About!C$79:C$82,MATCH($B126,About!$A$79:$A$82,0),1)</f>
        <v>2214972</v>
      </c>
      <c r="H126" s="27">
        <f>SUMIFS(INDEX(Load,,MATCH('Summarized Source Data'!$C126,Hour,0)),Month,'Summarized Source Data'!$A126,Sector,'Summarized Source Data'!H$2,Subsector,'Summarized Source Data'!H$3,TimeOfWeek,$E126)*INDEX(About!D$79:D$82,MATCH($B126,About!$A$79:$A$82,0),1)</f>
        <v>0</v>
      </c>
      <c r="I126" s="27">
        <f>SUMIFS(INDEX(Load,,MATCH('Summarized Source Data'!$C126,Hour,0)),Month,'Summarized Source Data'!$A126,Sector,'Summarized Source Data'!I$2,Subsector,'Summarized Source Data'!I$3,TimeOfWeek,$E126)*INDEX(About!E$79:E$82,MATCH($B126,About!$A$79:$A$82,0),1)</f>
        <v>9219972</v>
      </c>
      <c r="J126" s="54">
        <f t="shared" si="6"/>
        <v>41905016</v>
      </c>
      <c r="K126" s="27">
        <f>(SUMIFS(INDEX(Load,,MATCH('Summarized Source Data'!$C126,Hour,0)),Month,'Summarized Source Data'!$A126,Sector,'Summarized Source Data'!K$2,Subsector,"Total",TimeOfWeek,$E126)-SUM(F126:I126))*INDEX(About!G$79:G$82,MATCH($B126,About!$A$79:$A$82,0),1)</f>
        <v>41905016</v>
      </c>
      <c r="L126" s="27">
        <f>SUMIFS(INDEX(Load,,MATCH('Summarized Source Data'!$C126,Hour,0)),Month,'Summarized Source Data'!$A126,Sector,'Summarized Source Data'!L$2,Subsector,'Summarized Source Data'!L$3,TimeOfWeek,$E126)*INDEX(About!H$79:H$82,MATCH($B126,About!$A$79:$A$82,0),1)</f>
        <v>1135704</v>
      </c>
      <c r="M126" s="27">
        <f>SUMIFS(INDEX(Load,,MATCH('Summarized Source Data'!$C126,Hour,0)),Month,'Summarized Source Data'!$A126,Sector,'Summarized Source Data'!M$2,Subsector,'Summarized Source Data'!M$3,TimeOfWeek,$E126)*INDEX(About!I$79:I$82,MATCH($B126,About!$A$79:$A$82,0),1)</f>
        <v>61000000</v>
      </c>
      <c r="N126" s="27">
        <f>SUMIFS(INDEX(Load,,MATCH('Summarized Source Data'!$C126,Hour,0)),Month,'Summarized Source Data'!$A126,Sector,'Summarized Source Data'!N$2,Subsector,'Summarized Source Data'!N$3,TimeOfWeek,$E126)*INDEX(About!J$79:J$82,MATCH($B126,About!$A$79:$A$82,0),1)</f>
        <v>0</v>
      </c>
      <c r="O126" s="29">
        <f t="shared" si="7"/>
        <v>147864296</v>
      </c>
      <c r="P126" s="27">
        <f>(SUMIFS(INDEX(Load,,MATCH('Summarized Source Data'!$C126,Hour,0)),Month,'Summarized Source Data'!$A126,Sector,'Summarized Source Data'!P$2,Subsector,"Total",TimeOfWeek,$E126)-SUM(L126:N126)*INDEX(About!L$79:L$82,MATCH($B126,About!$A$79:$A$82,0),1))</f>
        <v>147864296</v>
      </c>
      <c r="Q126" s="29">
        <f t="shared" si="8"/>
        <v>147864296</v>
      </c>
      <c r="R126" s="33">
        <f>SUMIFS(INDEX(Load,,MATCH('Summarized Source Data'!$C126,Hour,0)),Month,'Summarized Source Data'!$A126,Sector,'Summarized Source Data'!R$2,TimeOfWeek,$E126)*INDEX(About!N$79:N$82,MATCH($B126,About!$A$79:$A$82,0),1)</f>
        <v>4266502</v>
      </c>
      <c r="S126" s="33">
        <f>SUMIFS(INDEX(Load,,MATCH('Summarized Source Data'!$C126,Hour,0)),Month,'Summarized Source Data'!$A126,Sector,'Summarized Source Data'!S$2,TimeOfWeek,$E126)*INDEX(About!O$79:O$82,MATCH($B126,About!$A$79:$A$82,0),1)</f>
        <v>4266502</v>
      </c>
      <c r="T126" s="33">
        <f>SUMIFS(INDEX(Load,,MATCH('Summarized Source Data'!$C126,Hour,0)),Month,'Summarized Source Data'!$A126,Sector,'Summarized Source Data'!T$2,TimeOfWeek,$E126)*INDEX(About!P$79:P$82,MATCH($B126,About!$A$79:$A$82,0),1)</f>
        <v>4266502</v>
      </c>
      <c r="U126" s="33">
        <f>SUMIFS(INDEX(Load,,MATCH('Summarized Source Data'!$C126,Hour,0)),Month,'Summarized Source Data'!$A126,Sector,'Summarized Source Data'!U$2,TimeOfWeek,$E126)*INDEX(About!Q$79:Q$82,MATCH($B126,About!$A$79:$A$82,0),1)</f>
        <v>4266502</v>
      </c>
      <c r="V126" s="33">
        <f>SUMIFS(INDEX(Load,,MATCH('Summarized Source Data'!$C126,Hour,0)),Month,'Summarized Source Data'!$A126,Sector,'Summarized Source Data'!V$2,TimeOfWeek,$E126)*INDEX(About!R$79:R$82,MATCH($B126,About!$A$79:$A$82,0),1)</f>
        <v>4266502</v>
      </c>
      <c r="W126" s="33">
        <f>SUMIFS(INDEX(Load,,MATCH('Summarized Source Data'!$C126,Hour,0)),Month,'Summarized Source Data'!$A126,Sector,'Summarized Source Data'!W$2,TimeOfWeek,$E126)*INDEX(About!S$79:S$82,MATCH($B126,About!$A$79:$A$82,0),1)</f>
        <v>4266502</v>
      </c>
      <c r="X126" s="27">
        <f>SUMIFS(INDEX(Load,,MATCH('Summarized Source Data'!$C126,Hour,0)),Month,'Summarized Source Data'!$A126,Sector,'Summarized Source Data'!X$2,Subsector,'Summarized Source Data'!X$3,TimeOfWeek,$E126)*INDEX(About!T$79:T$82,MATCH($B126,About!$A$79:$A$82,0),1)</f>
        <v>658000000</v>
      </c>
      <c r="Y126" s="29">
        <f t="shared" si="9"/>
        <v>658000000</v>
      </c>
      <c r="Z126" s="29">
        <f t="shared" si="9"/>
        <v>658000000</v>
      </c>
    </row>
    <row r="127" spans="1:26" outlineLevel="1" x14ac:dyDescent="0.3">
      <c r="A127">
        <f t="shared" si="5"/>
        <v>6</v>
      </c>
      <c r="B127" t="str">
        <f>INDEX('Category Mapping'!$G$28:$G$39,MATCH(A127,'Category Mapping'!$A$28:$A$39,0),1)</f>
        <v>Summer</v>
      </c>
      <c r="C127" t="s">
        <v>66</v>
      </c>
      <c r="D127" s="6" t="s">
        <v>141</v>
      </c>
      <c r="E127" t="s">
        <v>49</v>
      </c>
      <c r="F127" s="27">
        <f>SUMIFS(INDEX(Load,,MATCH('Summarized Source Data'!$C127,Hour,0)),Month,'Summarized Source Data'!$A127,Sector,'Summarized Source Data'!F$2,Subsector,'Summarized Source Data'!F$3,TimeOfWeek,$E127)*INDEX(About!B$79:B$82,MATCH($B127,About!$A$79:$A$82,0),1)</f>
        <v>260040</v>
      </c>
      <c r="G127" s="27">
        <f>SUMIFS(INDEX(Load,,MATCH('Summarized Source Data'!$C127,Hour,0)),Month,'Summarized Source Data'!$A127,Sector,'Summarized Source Data'!G$2,Subsector,'Summarized Source Data'!G$3,TimeOfWeek,$E127)*INDEX(About!C$79:C$82,MATCH($B127,About!$A$79:$A$82,0),1)</f>
        <v>2513965</v>
      </c>
      <c r="H127" s="27">
        <f>SUMIFS(INDEX(Load,,MATCH('Summarized Source Data'!$C127,Hour,0)),Month,'Summarized Source Data'!$A127,Sector,'Summarized Source Data'!H$2,Subsector,'Summarized Source Data'!H$3,TimeOfWeek,$E127)*INDEX(About!D$79:D$82,MATCH($B127,About!$A$79:$A$82,0),1)</f>
        <v>0</v>
      </c>
      <c r="I127" s="27">
        <f>SUMIFS(INDEX(Load,,MATCH('Summarized Source Data'!$C127,Hour,0)),Month,'Summarized Source Data'!$A127,Sector,'Summarized Source Data'!I$2,Subsector,'Summarized Source Data'!I$3,TimeOfWeek,$E127)*INDEX(About!E$79:E$82,MATCH($B127,About!$A$79:$A$82,0),1)</f>
        <v>9425508</v>
      </c>
      <c r="J127" s="54">
        <f t="shared" si="6"/>
        <v>36200487</v>
      </c>
      <c r="K127" s="27">
        <f>(SUMIFS(INDEX(Load,,MATCH('Summarized Source Data'!$C127,Hour,0)),Month,'Summarized Source Data'!$A127,Sector,'Summarized Source Data'!K$2,Subsector,"Total",TimeOfWeek,$E127)-SUM(F127:I127))*INDEX(About!G$79:G$82,MATCH($B127,About!$A$79:$A$82,0),1)</f>
        <v>36200487</v>
      </c>
      <c r="L127" s="27">
        <f>SUMIFS(INDEX(Load,,MATCH('Summarized Source Data'!$C127,Hour,0)),Month,'Summarized Source Data'!$A127,Sector,'Summarized Source Data'!L$2,Subsector,'Summarized Source Data'!L$3,TimeOfWeek,$E127)*INDEX(About!H$79:H$82,MATCH($B127,About!$A$79:$A$82,0),1)</f>
        <v>1164114</v>
      </c>
      <c r="M127" s="27">
        <f>SUMIFS(INDEX(Load,,MATCH('Summarized Source Data'!$C127,Hour,0)),Month,'Summarized Source Data'!$A127,Sector,'Summarized Source Data'!M$2,Subsector,'Summarized Source Data'!M$3,TimeOfWeek,$E127)*INDEX(About!I$79:I$82,MATCH($B127,About!$A$79:$A$82,0),1)</f>
        <v>60400000</v>
      </c>
      <c r="N127" s="27">
        <f>SUMIFS(INDEX(Load,,MATCH('Summarized Source Data'!$C127,Hour,0)),Month,'Summarized Source Data'!$A127,Sector,'Summarized Source Data'!N$2,Subsector,'Summarized Source Data'!N$3,TimeOfWeek,$E127)*INDEX(About!J$79:J$82,MATCH($B127,About!$A$79:$A$82,0),1)</f>
        <v>0</v>
      </c>
      <c r="O127" s="29">
        <f t="shared" si="7"/>
        <v>154435886</v>
      </c>
      <c r="P127" s="27">
        <f>(SUMIFS(INDEX(Load,,MATCH('Summarized Source Data'!$C127,Hour,0)),Month,'Summarized Source Data'!$A127,Sector,'Summarized Source Data'!P$2,Subsector,"Total",TimeOfWeek,$E127)-SUM(L127:N127)*INDEX(About!L$79:L$82,MATCH($B127,About!$A$79:$A$82,0),1))</f>
        <v>154435886</v>
      </c>
      <c r="Q127" s="29">
        <f t="shared" si="8"/>
        <v>154435886</v>
      </c>
      <c r="R127" s="33">
        <f>SUMIFS(INDEX(Load,,MATCH('Summarized Source Data'!$C127,Hour,0)),Month,'Summarized Source Data'!$A127,Sector,'Summarized Source Data'!R$2,TimeOfWeek,$E127)*INDEX(About!N$79:N$82,MATCH($B127,About!$A$79:$A$82,0),1)</f>
        <v>4282538</v>
      </c>
      <c r="S127" s="33">
        <f>SUMIFS(INDEX(Load,,MATCH('Summarized Source Data'!$C127,Hour,0)),Month,'Summarized Source Data'!$A127,Sector,'Summarized Source Data'!S$2,TimeOfWeek,$E127)*INDEX(About!O$79:O$82,MATCH($B127,About!$A$79:$A$82,0),1)</f>
        <v>4282538</v>
      </c>
      <c r="T127" s="33">
        <f>SUMIFS(INDEX(Load,,MATCH('Summarized Source Data'!$C127,Hour,0)),Month,'Summarized Source Data'!$A127,Sector,'Summarized Source Data'!T$2,TimeOfWeek,$E127)*INDEX(About!P$79:P$82,MATCH($B127,About!$A$79:$A$82,0),1)</f>
        <v>4282538</v>
      </c>
      <c r="U127" s="33">
        <f>SUMIFS(INDEX(Load,,MATCH('Summarized Source Data'!$C127,Hour,0)),Month,'Summarized Source Data'!$A127,Sector,'Summarized Source Data'!U$2,TimeOfWeek,$E127)*INDEX(About!Q$79:Q$82,MATCH($B127,About!$A$79:$A$82,0),1)</f>
        <v>4282538</v>
      </c>
      <c r="V127" s="33">
        <f>SUMIFS(INDEX(Load,,MATCH('Summarized Source Data'!$C127,Hour,0)),Month,'Summarized Source Data'!$A127,Sector,'Summarized Source Data'!V$2,TimeOfWeek,$E127)*INDEX(About!R$79:R$82,MATCH($B127,About!$A$79:$A$82,0),1)</f>
        <v>4282538</v>
      </c>
      <c r="W127" s="33">
        <f>SUMIFS(INDEX(Load,,MATCH('Summarized Source Data'!$C127,Hour,0)),Month,'Summarized Source Data'!$A127,Sector,'Summarized Source Data'!W$2,TimeOfWeek,$E127)*INDEX(About!S$79:S$82,MATCH($B127,About!$A$79:$A$82,0),1)</f>
        <v>4282538</v>
      </c>
      <c r="X127" s="27">
        <f>SUMIFS(INDEX(Load,,MATCH('Summarized Source Data'!$C127,Hour,0)),Month,'Summarized Source Data'!$A127,Sector,'Summarized Source Data'!X$2,Subsector,'Summarized Source Data'!X$3,TimeOfWeek,$E127)*INDEX(About!T$79:T$82,MATCH($B127,About!$A$79:$A$82,0),1)</f>
        <v>658000000</v>
      </c>
      <c r="Y127" s="29">
        <f t="shared" si="9"/>
        <v>658000000</v>
      </c>
      <c r="Z127" s="29">
        <f t="shared" si="9"/>
        <v>658000000</v>
      </c>
    </row>
    <row r="128" spans="1:26" outlineLevel="1" x14ac:dyDescent="0.3">
      <c r="A128">
        <f t="shared" si="5"/>
        <v>6</v>
      </c>
      <c r="B128" t="str">
        <f>INDEX('Category Mapping'!$G$28:$G$39,MATCH(A128,'Category Mapping'!$A$28:$A$39,0),1)</f>
        <v>Summer</v>
      </c>
      <c r="C128" t="s">
        <v>67</v>
      </c>
      <c r="D128" s="6" t="s">
        <v>142</v>
      </c>
      <c r="E128" t="s">
        <v>49</v>
      </c>
      <c r="F128" s="27">
        <f>SUMIFS(INDEX(Load,,MATCH('Summarized Source Data'!$C128,Hour,0)),Month,'Summarized Source Data'!$A128,Sector,'Summarized Source Data'!F$2,Subsector,'Summarized Source Data'!F$3,TimeOfWeek,$E128)*INDEX(About!B$79:B$82,MATCH($B128,About!$A$79:$A$82,0),1)</f>
        <v>260040</v>
      </c>
      <c r="G128" s="27">
        <f>SUMIFS(INDEX(Load,,MATCH('Summarized Source Data'!$C128,Hour,0)),Month,'Summarized Source Data'!$A128,Sector,'Summarized Source Data'!G$2,Subsector,'Summarized Source Data'!G$3,TimeOfWeek,$E128)*INDEX(About!C$79:C$82,MATCH($B128,About!$A$79:$A$82,0),1)</f>
        <v>3740541</v>
      </c>
      <c r="H128" s="27">
        <f>SUMIFS(INDEX(Load,,MATCH('Summarized Source Data'!$C128,Hour,0)),Month,'Summarized Source Data'!$A128,Sector,'Summarized Source Data'!H$2,Subsector,'Summarized Source Data'!H$3,TimeOfWeek,$E128)*INDEX(About!D$79:D$82,MATCH($B128,About!$A$79:$A$82,0),1)</f>
        <v>0</v>
      </c>
      <c r="I128" s="27">
        <f>SUMIFS(INDEX(Load,,MATCH('Summarized Source Data'!$C128,Hour,0)),Month,'Summarized Source Data'!$A128,Sector,'Summarized Source Data'!I$2,Subsector,'Summarized Source Data'!I$3,TimeOfWeek,$E128)*INDEX(About!E$79:E$82,MATCH($B128,About!$A$79:$A$82,0),1)</f>
        <v>12100000</v>
      </c>
      <c r="J128" s="54">
        <f t="shared" si="6"/>
        <v>38199419</v>
      </c>
      <c r="K128" s="27">
        <f>(SUMIFS(INDEX(Load,,MATCH('Summarized Source Data'!$C128,Hour,0)),Month,'Summarized Source Data'!$A128,Sector,'Summarized Source Data'!K$2,Subsector,"Total",TimeOfWeek,$E128)-SUM(F128:I128))*INDEX(About!G$79:G$82,MATCH($B128,About!$A$79:$A$82,0),1)</f>
        <v>38199419</v>
      </c>
      <c r="L128" s="27">
        <f>SUMIFS(INDEX(Load,,MATCH('Summarized Source Data'!$C128,Hour,0)),Month,'Summarized Source Data'!$A128,Sector,'Summarized Source Data'!L$2,Subsector,'Summarized Source Data'!L$3,TimeOfWeek,$E128)*INDEX(About!H$79:H$82,MATCH($B128,About!$A$79:$A$82,0),1)</f>
        <v>1127001</v>
      </c>
      <c r="M128" s="27">
        <f>SUMIFS(INDEX(Load,,MATCH('Summarized Source Data'!$C128,Hour,0)),Month,'Summarized Source Data'!$A128,Sector,'Summarized Source Data'!M$2,Subsector,'Summarized Source Data'!M$3,TimeOfWeek,$E128)*INDEX(About!I$79:I$82,MATCH($B128,About!$A$79:$A$82,0),1)</f>
        <v>61300000</v>
      </c>
      <c r="N128" s="27">
        <f>SUMIFS(INDEX(Load,,MATCH('Summarized Source Data'!$C128,Hour,0)),Month,'Summarized Source Data'!$A128,Sector,'Summarized Source Data'!N$2,Subsector,'Summarized Source Data'!N$3,TimeOfWeek,$E128)*INDEX(About!J$79:J$82,MATCH($B128,About!$A$79:$A$82,0),1)</f>
        <v>0</v>
      </c>
      <c r="O128" s="29">
        <f t="shared" si="7"/>
        <v>163572999</v>
      </c>
      <c r="P128" s="27">
        <f>(SUMIFS(INDEX(Load,,MATCH('Summarized Source Data'!$C128,Hour,0)),Month,'Summarized Source Data'!$A128,Sector,'Summarized Source Data'!P$2,Subsector,"Total",TimeOfWeek,$E128)-SUM(L128:N128)*INDEX(About!L$79:L$82,MATCH($B128,About!$A$79:$A$82,0),1))</f>
        <v>163572999</v>
      </c>
      <c r="Q128" s="29">
        <f t="shared" si="8"/>
        <v>163572999</v>
      </c>
      <c r="R128" s="33">
        <f>SUMIFS(INDEX(Load,,MATCH('Summarized Source Data'!$C128,Hour,0)),Month,'Summarized Source Data'!$A128,Sector,'Summarized Source Data'!R$2,TimeOfWeek,$E128)*INDEX(About!N$79:N$82,MATCH($B128,About!$A$79:$A$82,0),1)</f>
        <v>4265065</v>
      </c>
      <c r="S128" s="33">
        <f>SUMIFS(INDEX(Load,,MATCH('Summarized Source Data'!$C128,Hour,0)),Month,'Summarized Source Data'!$A128,Sector,'Summarized Source Data'!S$2,TimeOfWeek,$E128)*INDEX(About!O$79:O$82,MATCH($B128,About!$A$79:$A$82,0),1)</f>
        <v>4265065</v>
      </c>
      <c r="T128" s="33">
        <f>SUMIFS(INDEX(Load,,MATCH('Summarized Source Data'!$C128,Hour,0)),Month,'Summarized Source Data'!$A128,Sector,'Summarized Source Data'!T$2,TimeOfWeek,$E128)*INDEX(About!P$79:P$82,MATCH($B128,About!$A$79:$A$82,0),1)</f>
        <v>4265065</v>
      </c>
      <c r="U128" s="33">
        <f>SUMIFS(INDEX(Load,,MATCH('Summarized Source Data'!$C128,Hour,0)),Month,'Summarized Source Data'!$A128,Sector,'Summarized Source Data'!U$2,TimeOfWeek,$E128)*INDEX(About!Q$79:Q$82,MATCH($B128,About!$A$79:$A$82,0),1)</f>
        <v>4265065</v>
      </c>
      <c r="V128" s="33">
        <f>SUMIFS(INDEX(Load,,MATCH('Summarized Source Data'!$C128,Hour,0)),Month,'Summarized Source Data'!$A128,Sector,'Summarized Source Data'!V$2,TimeOfWeek,$E128)*INDEX(About!R$79:R$82,MATCH($B128,About!$A$79:$A$82,0),1)</f>
        <v>4265065</v>
      </c>
      <c r="W128" s="33">
        <f>SUMIFS(INDEX(Load,,MATCH('Summarized Source Data'!$C128,Hour,0)),Month,'Summarized Source Data'!$A128,Sector,'Summarized Source Data'!W$2,TimeOfWeek,$E128)*INDEX(About!S$79:S$82,MATCH($B128,About!$A$79:$A$82,0),1)</f>
        <v>4265065</v>
      </c>
      <c r="X128" s="27">
        <f>SUMIFS(INDEX(Load,,MATCH('Summarized Source Data'!$C128,Hour,0)),Month,'Summarized Source Data'!$A128,Sector,'Summarized Source Data'!X$2,Subsector,'Summarized Source Data'!X$3,TimeOfWeek,$E128)*INDEX(About!T$79:T$82,MATCH($B128,About!$A$79:$A$82,0),1)</f>
        <v>660000000</v>
      </c>
      <c r="Y128" s="29">
        <f t="shared" si="9"/>
        <v>660000000</v>
      </c>
      <c r="Z128" s="29">
        <f t="shared" si="9"/>
        <v>660000000</v>
      </c>
    </row>
    <row r="129" spans="1:26" outlineLevel="1" x14ac:dyDescent="0.3">
      <c r="A129">
        <f t="shared" si="5"/>
        <v>6</v>
      </c>
      <c r="B129" t="str">
        <f>INDEX('Category Mapping'!$G$28:$G$39,MATCH(A129,'Category Mapping'!$A$28:$A$39,0),1)</f>
        <v>Summer</v>
      </c>
      <c r="C129" t="s">
        <v>68</v>
      </c>
      <c r="D129" s="6" t="s">
        <v>143</v>
      </c>
      <c r="E129" t="s">
        <v>49</v>
      </c>
      <c r="F129" s="27">
        <f>SUMIFS(INDEX(Load,,MATCH('Summarized Source Data'!$C129,Hour,0)),Month,'Summarized Source Data'!$A129,Sector,'Summarized Source Data'!F$2,Subsector,'Summarized Source Data'!F$3,TimeOfWeek,$E129)*INDEX(About!B$79:B$82,MATCH($B129,About!$A$79:$A$82,0),1)</f>
        <v>387264</v>
      </c>
      <c r="G129" s="27">
        <f>SUMIFS(INDEX(Load,,MATCH('Summarized Source Data'!$C129,Hour,0)),Month,'Summarized Source Data'!$A129,Sector,'Summarized Source Data'!G$2,Subsector,'Summarized Source Data'!G$3,TimeOfWeek,$E129)*INDEX(About!C$79:C$82,MATCH($B129,About!$A$79:$A$82,0),1)</f>
        <v>6945215</v>
      </c>
      <c r="H129" s="27">
        <f>SUMIFS(INDEX(Load,,MATCH('Summarized Source Data'!$C129,Hour,0)),Month,'Summarized Source Data'!$A129,Sector,'Summarized Source Data'!H$2,Subsector,'Summarized Source Data'!H$3,TimeOfWeek,$E129)*INDEX(About!D$79:D$82,MATCH($B129,About!$A$79:$A$82,0),1)</f>
        <v>0</v>
      </c>
      <c r="I129" s="27">
        <f>SUMIFS(INDEX(Load,,MATCH('Summarized Source Data'!$C129,Hour,0)),Month,'Summarized Source Data'!$A129,Sector,'Summarized Source Data'!I$2,Subsector,'Summarized Source Data'!I$3,TimeOfWeek,$E129)*INDEX(About!E$79:E$82,MATCH($B129,About!$A$79:$A$82,0),1)</f>
        <v>13600000</v>
      </c>
      <c r="J129" s="54">
        <f t="shared" si="6"/>
        <v>52067521</v>
      </c>
      <c r="K129" s="27">
        <f>(SUMIFS(INDEX(Load,,MATCH('Summarized Source Data'!$C129,Hour,0)),Month,'Summarized Source Data'!$A129,Sector,'Summarized Source Data'!K$2,Subsector,"Total",TimeOfWeek,$E129)-SUM(F129:I129))*INDEX(About!G$79:G$82,MATCH($B129,About!$A$79:$A$82,0),1)</f>
        <v>52067521</v>
      </c>
      <c r="L129" s="27">
        <f>SUMIFS(INDEX(Load,,MATCH('Summarized Source Data'!$C129,Hour,0)),Month,'Summarized Source Data'!$A129,Sector,'Summarized Source Data'!L$2,Subsector,'Summarized Source Data'!L$3,TimeOfWeek,$E129)*INDEX(About!H$79:H$82,MATCH($B129,About!$A$79:$A$82,0),1)</f>
        <v>1640218</v>
      </c>
      <c r="M129" s="27">
        <f>SUMIFS(INDEX(Load,,MATCH('Summarized Source Data'!$C129,Hour,0)),Month,'Summarized Source Data'!$A129,Sector,'Summarized Source Data'!M$2,Subsector,'Summarized Source Data'!M$3,TimeOfWeek,$E129)*INDEX(About!I$79:I$82,MATCH($B129,About!$A$79:$A$82,0),1)</f>
        <v>66400000</v>
      </c>
      <c r="N129" s="27">
        <f>SUMIFS(INDEX(Load,,MATCH('Summarized Source Data'!$C129,Hour,0)),Month,'Summarized Source Data'!$A129,Sector,'Summarized Source Data'!N$2,Subsector,'Summarized Source Data'!N$3,TimeOfWeek,$E129)*INDEX(About!J$79:J$82,MATCH($B129,About!$A$79:$A$82,0),1)</f>
        <v>0</v>
      </c>
      <c r="O129" s="29">
        <f t="shared" si="7"/>
        <v>189959782</v>
      </c>
      <c r="P129" s="27">
        <f>(SUMIFS(INDEX(Load,,MATCH('Summarized Source Data'!$C129,Hour,0)),Month,'Summarized Source Data'!$A129,Sector,'Summarized Source Data'!P$2,Subsector,"Total",TimeOfWeek,$E129)-SUM(L129:N129)*INDEX(About!L$79:L$82,MATCH($B129,About!$A$79:$A$82,0),1))</f>
        <v>189959782</v>
      </c>
      <c r="Q129" s="29">
        <f t="shared" si="8"/>
        <v>189959782</v>
      </c>
      <c r="R129" s="33">
        <f>SUMIFS(INDEX(Load,,MATCH('Summarized Source Data'!$C129,Hour,0)),Month,'Summarized Source Data'!$A129,Sector,'Summarized Source Data'!R$2,TimeOfWeek,$E129)*INDEX(About!N$79:N$82,MATCH($B129,About!$A$79:$A$82,0),1)</f>
        <v>4398272</v>
      </c>
      <c r="S129" s="33">
        <f>SUMIFS(INDEX(Load,,MATCH('Summarized Source Data'!$C129,Hour,0)),Month,'Summarized Source Data'!$A129,Sector,'Summarized Source Data'!S$2,TimeOfWeek,$E129)*INDEX(About!O$79:O$82,MATCH($B129,About!$A$79:$A$82,0),1)</f>
        <v>4398272</v>
      </c>
      <c r="T129" s="33">
        <f>SUMIFS(INDEX(Load,,MATCH('Summarized Source Data'!$C129,Hour,0)),Month,'Summarized Source Data'!$A129,Sector,'Summarized Source Data'!T$2,TimeOfWeek,$E129)*INDEX(About!P$79:P$82,MATCH($B129,About!$A$79:$A$82,0),1)</f>
        <v>4398272</v>
      </c>
      <c r="U129" s="33">
        <f>SUMIFS(INDEX(Load,,MATCH('Summarized Source Data'!$C129,Hour,0)),Month,'Summarized Source Data'!$A129,Sector,'Summarized Source Data'!U$2,TimeOfWeek,$E129)*INDEX(About!Q$79:Q$82,MATCH($B129,About!$A$79:$A$82,0),1)</f>
        <v>4398272</v>
      </c>
      <c r="V129" s="33">
        <f>SUMIFS(INDEX(Load,,MATCH('Summarized Source Data'!$C129,Hour,0)),Month,'Summarized Source Data'!$A129,Sector,'Summarized Source Data'!V$2,TimeOfWeek,$E129)*INDEX(About!R$79:R$82,MATCH($B129,About!$A$79:$A$82,0),1)</f>
        <v>4398272</v>
      </c>
      <c r="W129" s="33">
        <f>SUMIFS(INDEX(Load,,MATCH('Summarized Source Data'!$C129,Hour,0)),Month,'Summarized Source Data'!$A129,Sector,'Summarized Source Data'!W$2,TimeOfWeek,$E129)*INDEX(About!S$79:S$82,MATCH($B129,About!$A$79:$A$82,0),1)</f>
        <v>4398272</v>
      </c>
      <c r="X129" s="27">
        <f>SUMIFS(INDEX(Load,,MATCH('Summarized Source Data'!$C129,Hour,0)),Month,'Summarized Source Data'!$A129,Sector,'Summarized Source Data'!X$2,Subsector,'Summarized Source Data'!X$3,TimeOfWeek,$E129)*INDEX(About!T$79:T$82,MATCH($B129,About!$A$79:$A$82,0),1)</f>
        <v>665000000</v>
      </c>
      <c r="Y129" s="29">
        <f t="shared" si="9"/>
        <v>665000000</v>
      </c>
      <c r="Z129" s="29">
        <f t="shared" si="9"/>
        <v>665000000</v>
      </c>
    </row>
    <row r="130" spans="1:26" outlineLevel="1" x14ac:dyDescent="0.3">
      <c r="A130">
        <f t="shared" si="5"/>
        <v>6</v>
      </c>
      <c r="B130" t="str">
        <f>INDEX('Category Mapping'!$G$28:$G$39,MATCH(A130,'Category Mapping'!$A$28:$A$39,0),1)</f>
        <v>Summer</v>
      </c>
      <c r="C130" t="s">
        <v>69</v>
      </c>
      <c r="D130" s="6" t="s">
        <v>144</v>
      </c>
      <c r="E130" t="s">
        <v>49</v>
      </c>
      <c r="F130" s="27">
        <f>SUMIFS(INDEX(Load,,MATCH('Summarized Source Data'!$C130,Hour,0)),Month,'Summarized Source Data'!$A130,Sector,'Summarized Source Data'!F$2,Subsector,'Summarized Source Data'!F$3,TimeOfWeek,$E130)*INDEX(About!B$79:B$82,MATCH($B130,About!$A$79:$A$82,0),1)</f>
        <v>438406</v>
      </c>
      <c r="G130" s="27">
        <f>SUMIFS(INDEX(Load,,MATCH('Summarized Source Data'!$C130,Hour,0)),Month,'Summarized Source Data'!$A130,Sector,'Summarized Source Data'!G$2,Subsector,'Summarized Source Data'!G$3,TimeOfWeek,$E130)*INDEX(About!C$79:C$82,MATCH($B130,About!$A$79:$A$82,0),1)</f>
        <v>11800000</v>
      </c>
      <c r="H130" s="27">
        <f>SUMIFS(INDEX(Load,,MATCH('Summarized Source Data'!$C130,Hour,0)),Month,'Summarized Source Data'!$A130,Sector,'Summarized Source Data'!H$2,Subsector,'Summarized Source Data'!H$3,TimeOfWeek,$E130)*INDEX(About!D$79:D$82,MATCH($B130,About!$A$79:$A$82,0),1)</f>
        <v>0</v>
      </c>
      <c r="I130" s="27">
        <f>SUMIFS(INDEX(Load,,MATCH('Summarized Source Data'!$C130,Hour,0)),Month,'Summarized Source Data'!$A130,Sector,'Summarized Source Data'!I$2,Subsector,'Summarized Source Data'!I$3,TimeOfWeek,$E130)*INDEX(About!E$79:E$82,MATCH($B130,About!$A$79:$A$82,0),1)</f>
        <v>9418487</v>
      </c>
      <c r="J130" s="54">
        <f t="shared" si="6"/>
        <v>82343107</v>
      </c>
      <c r="K130" s="27">
        <f>(SUMIFS(INDEX(Load,,MATCH('Summarized Source Data'!$C130,Hour,0)),Month,'Summarized Source Data'!$A130,Sector,'Summarized Source Data'!K$2,Subsector,"Total",TimeOfWeek,$E130)-SUM(F130:I130))*INDEX(About!G$79:G$82,MATCH($B130,About!$A$79:$A$82,0),1)</f>
        <v>82343107</v>
      </c>
      <c r="L130" s="27">
        <f>SUMIFS(INDEX(Load,,MATCH('Summarized Source Data'!$C130,Hour,0)),Month,'Summarized Source Data'!$A130,Sector,'Summarized Source Data'!L$2,Subsector,'Summarized Source Data'!L$3,TimeOfWeek,$E130)*INDEX(About!H$79:H$82,MATCH($B130,About!$A$79:$A$82,0),1)</f>
        <v>2368709</v>
      </c>
      <c r="M130" s="27">
        <f>SUMIFS(INDEX(Load,,MATCH('Summarized Source Data'!$C130,Hour,0)),Month,'Summarized Source Data'!$A130,Sector,'Summarized Source Data'!M$2,Subsector,'Summarized Source Data'!M$3,TimeOfWeek,$E130)*INDEX(About!I$79:I$82,MATCH($B130,About!$A$79:$A$82,0),1)</f>
        <v>79700000</v>
      </c>
      <c r="N130" s="27">
        <f>SUMIFS(INDEX(Load,,MATCH('Summarized Source Data'!$C130,Hour,0)),Month,'Summarized Source Data'!$A130,Sector,'Summarized Source Data'!N$2,Subsector,'Summarized Source Data'!N$3,TimeOfWeek,$E130)*INDEX(About!J$79:J$82,MATCH($B130,About!$A$79:$A$82,0),1)</f>
        <v>0</v>
      </c>
      <c r="O130" s="29">
        <f t="shared" si="7"/>
        <v>285931291</v>
      </c>
      <c r="P130" s="27">
        <f>(SUMIFS(INDEX(Load,,MATCH('Summarized Source Data'!$C130,Hour,0)),Month,'Summarized Source Data'!$A130,Sector,'Summarized Source Data'!P$2,Subsector,"Total",TimeOfWeek,$E130)-SUM(L130:N130)*INDEX(About!L$79:L$82,MATCH($B130,About!$A$79:$A$82,0),1))</f>
        <v>285931291</v>
      </c>
      <c r="Q130" s="29">
        <f t="shared" si="8"/>
        <v>285931291</v>
      </c>
      <c r="R130" s="33">
        <f>SUMIFS(INDEX(Load,,MATCH('Summarized Source Data'!$C130,Hour,0)),Month,'Summarized Source Data'!$A130,Sector,'Summarized Source Data'!R$2,TimeOfWeek,$E130)*INDEX(About!N$79:N$82,MATCH($B130,About!$A$79:$A$82,0),1)</f>
        <v>6630364</v>
      </c>
      <c r="S130" s="33">
        <f>SUMIFS(INDEX(Load,,MATCH('Summarized Source Data'!$C130,Hour,0)),Month,'Summarized Source Data'!$A130,Sector,'Summarized Source Data'!S$2,TimeOfWeek,$E130)*INDEX(About!O$79:O$82,MATCH($B130,About!$A$79:$A$82,0),1)</f>
        <v>6630364</v>
      </c>
      <c r="T130" s="33">
        <f>SUMIFS(INDEX(Load,,MATCH('Summarized Source Data'!$C130,Hour,0)),Month,'Summarized Source Data'!$A130,Sector,'Summarized Source Data'!T$2,TimeOfWeek,$E130)*INDEX(About!P$79:P$82,MATCH($B130,About!$A$79:$A$82,0),1)</f>
        <v>6630364</v>
      </c>
      <c r="U130" s="33">
        <f>SUMIFS(INDEX(Load,,MATCH('Summarized Source Data'!$C130,Hour,0)),Month,'Summarized Source Data'!$A130,Sector,'Summarized Source Data'!U$2,TimeOfWeek,$E130)*INDEX(About!Q$79:Q$82,MATCH($B130,About!$A$79:$A$82,0),1)</f>
        <v>6630364</v>
      </c>
      <c r="V130" s="33">
        <f>SUMIFS(INDEX(Load,,MATCH('Summarized Source Data'!$C130,Hour,0)),Month,'Summarized Source Data'!$A130,Sector,'Summarized Source Data'!V$2,TimeOfWeek,$E130)*INDEX(About!R$79:R$82,MATCH($B130,About!$A$79:$A$82,0),1)</f>
        <v>6630364</v>
      </c>
      <c r="W130" s="33">
        <f>SUMIFS(INDEX(Load,,MATCH('Summarized Source Data'!$C130,Hour,0)),Month,'Summarized Source Data'!$A130,Sector,'Summarized Source Data'!W$2,TimeOfWeek,$E130)*INDEX(About!S$79:S$82,MATCH($B130,About!$A$79:$A$82,0),1)</f>
        <v>6630364</v>
      </c>
      <c r="X130" s="27">
        <f>SUMIFS(INDEX(Load,,MATCH('Summarized Source Data'!$C130,Hour,0)),Month,'Summarized Source Data'!$A130,Sector,'Summarized Source Data'!X$2,Subsector,'Summarized Source Data'!X$3,TimeOfWeek,$E130)*INDEX(About!T$79:T$82,MATCH($B130,About!$A$79:$A$82,0),1)</f>
        <v>673000000</v>
      </c>
      <c r="Y130" s="29">
        <f t="shared" si="9"/>
        <v>673000000</v>
      </c>
      <c r="Z130" s="29">
        <f t="shared" si="9"/>
        <v>673000000</v>
      </c>
    </row>
    <row r="131" spans="1:26" outlineLevel="1" x14ac:dyDescent="0.3">
      <c r="A131">
        <f t="shared" si="5"/>
        <v>6</v>
      </c>
      <c r="B131" t="str">
        <f>INDEX('Category Mapping'!$G$28:$G$39,MATCH(A131,'Category Mapping'!$A$28:$A$39,0),1)</f>
        <v>Summer</v>
      </c>
      <c r="C131" t="s">
        <v>70</v>
      </c>
      <c r="D131" s="6" t="s">
        <v>145</v>
      </c>
      <c r="E131" t="s">
        <v>49</v>
      </c>
      <c r="F131" s="27">
        <f>SUMIFS(INDEX(Load,,MATCH('Summarized Source Data'!$C131,Hour,0)),Month,'Summarized Source Data'!$A131,Sector,'Summarized Source Data'!F$2,Subsector,'Summarized Source Data'!F$3,TimeOfWeek,$E131)*INDEX(About!B$79:B$82,MATCH($B131,About!$A$79:$A$82,0),1)</f>
        <v>443882</v>
      </c>
      <c r="G131" s="27">
        <f>SUMIFS(INDEX(Load,,MATCH('Summarized Source Data'!$C131,Hour,0)),Month,'Summarized Source Data'!$A131,Sector,'Summarized Source Data'!G$2,Subsector,'Summarized Source Data'!G$3,TimeOfWeek,$E131)*INDEX(About!C$79:C$82,MATCH($B131,About!$A$79:$A$82,0),1)</f>
        <v>14800000</v>
      </c>
      <c r="H131" s="27">
        <f>SUMIFS(INDEX(Load,,MATCH('Summarized Source Data'!$C131,Hour,0)),Month,'Summarized Source Data'!$A131,Sector,'Summarized Source Data'!H$2,Subsector,'Summarized Source Data'!H$3,TimeOfWeek,$E131)*INDEX(About!D$79:D$82,MATCH($B131,About!$A$79:$A$82,0),1)</f>
        <v>0</v>
      </c>
      <c r="I131" s="27">
        <f>SUMIFS(INDEX(Load,,MATCH('Summarized Source Data'!$C131,Hour,0)),Month,'Summarized Source Data'!$A131,Sector,'Summarized Source Data'!I$2,Subsector,'Summarized Source Data'!I$3,TimeOfWeek,$E131)*INDEX(About!E$79:E$82,MATCH($B131,About!$A$79:$A$82,0),1)</f>
        <v>9448167</v>
      </c>
      <c r="J131" s="54">
        <f t="shared" si="6"/>
        <v>104307951</v>
      </c>
      <c r="K131" s="27">
        <f>(SUMIFS(INDEX(Load,,MATCH('Summarized Source Data'!$C131,Hour,0)),Month,'Summarized Source Data'!$A131,Sector,'Summarized Source Data'!K$2,Subsector,"Total",TimeOfWeek,$E131)-SUM(F131:I131))*INDEX(About!G$79:G$82,MATCH($B131,About!$A$79:$A$82,0),1)</f>
        <v>104307951</v>
      </c>
      <c r="L131" s="27">
        <f>SUMIFS(INDEX(Load,,MATCH('Summarized Source Data'!$C131,Hour,0)),Month,'Summarized Source Data'!$A131,Sector,'Summarized Source Data'!L$2,Subsector,'Summarized Source Data'!L$3,TimeOfWeek,$E131)*INDEX(About!H$79:H$82,MATCH($B131,About!$A$79:$A$82,0),1)</f>
        <v>1902970</v>
      </c>
      <c r="M131" s="27">
        <f>SUMIFS(INDEX(Load,,MATCH('Summarized Source Data'!$C131,Hour,0)),Month,'Summarized Source Data'!$A131,Sector,'Summarized Source Data'!M$2,Subsector,'Summarized Source Data'!M$3,TimeOfWeek,$E131)*INDEX(About!I$79:I$82,MATCH($B131,About!$A$79:$A$82,0),1)</f>
        <v>102000000</v>
      </c>
      <c r="N131" s="27">
        <f>SUMIFS(INDEX(Load,,MATCH('Summarized Source Data'!$C131,Hour,0)),Month,'Summarized Source Data'!$A131,Sector,'Summarized Source Data'!N$2,Subsector,'Summarized Source Data'!N$3,TimeOfWeek,$E131)*INDEX(About!J$79:J$82,MATCH($B131,About!$A$79:$A$82,0),1)</f>
        <v>0</v>
      </c>
      <c r="O131" s="29">
        <f t="shared" si="7"/>
        <v>390097030</v>
      </c>
      <c r="P131" s="27">
        <f>(SUMIFS(INDEX(Load,,MATCH('Summarized Source Data'!$C131,Hour,0)),Month,'Summarized Source Data'!$A131,Sector,'Summarized Source Data'!P$2,Subsector,"Total",TimeOfWeek,$E131)-SUM(L131:N131)*INDEX(About!L$79:L$82,MATCH($B131,About!$A$79:$A$82,0),1))</f>
        <v>390097030</v>
      </c>
      <c r="Q131" s="29">
        <f t="shared" si="8"/>
        <v>390097030</v>
      </c>
      <c r="R131" s="33">
        <f>SUMIFS(INDEX(Load,,MATCH('Summarized Source Data'!$C131,Hour,0)),Month,'Summarized Source Data'!$A131,Sector,'Summarized Source Data'!R$2,TimeOfWeek,$E131)*INDEX(About!N$79:N$82,MATCH($B131,About!$A$79:$A$82,0),1)</f>
        <v>14000000</v>
      </c>
      <c r="S131" s="33">
        <f>SUMIFS(INDEX(Load,,MATCH('Summarized Source Data'!$C131,Hour,0)),Month,'Summarized Source Data'!$A131,Sector,'Summarized Source Data'!S$2,TimeOfWeek,$E131)*INDEX(About!O$79:O$82,MATCH($B131,About!$A$79:$A$82,0),1)</f>
        <v>14000000</v>
      </c>
      <c r="T131" s="33">
        <f>SUMIFS(INDEX(Load,,MATCH('Summarized Source Data'!$C131,Hour,0)),Month,'Summarized Source Data'!$A131,Sector,'Summarized Source Data'!T$2,TimeOfWeek,$E131)*INDEX(About!P$79:P$82,MATCH($B131,About!$A$79:$A$82,0),1)</f>
        <v>14000000</v>
      </c>
      <c r="U131" s="33">
        <f>SUMIFS(INDEX(Load,,MATCH('Summarized Source Data'!$C131,Hour,0)),Month,'Summarized Source Data'!$A131,Sector,'Summarized Source Data'!U$2,TimeOfWeek,$E131)*INDEX(About!Q$79:Q$82,MATCH($B131,About!$A$79:$A$82,0),1)</f>
        <v>14000000</v>
      </c>
      <c r="V131" s="33">
        <f>SUMIFS(INDEX(Load,,MATCH('Summarized Source Data'!$C131,Hour,0)),Month,'Summarized Source Data'!$A131,Sector,'Summarized Source Data'!V$2,TimeOfWeek,$E131)*INDEX(About!R$79:R$82,MATCH($B131,About!$A$79:$A$82,0),1)</f>
        <v>14000000</v>
      </c>
      <c r="W131" s="33">
        <f>SUMIFS(INDEX(Load,,MATCH('Summarized Source Data'!$C131,Hour,0)),Month,'Summarized Source Data'!$A131,Sector,'Summarized Source Data'!W$2,TimeOfWeek,$E131)*INDEX(About!S$79:S$82,MATCH($B131,About!$A$79:$A$82,0),1)</f>
        <v>14000000</v>
      </c>
      <c r="X131" s="27">
        <f>SUMIFS(INDEX(Load,,MATCH('Summarized Source Data'!$C131,Hour,0)),Month,'Summarized Source Data'!$A131,Sector,'Summarized Source Data'!X$2,Subsector,'Summarized Source Data'!X$3,TimeOfWeek,$E131)*INDEX(About!T$79:T$82,MATCH($B131,About!$A$79:$A$82,0),1)</f>
        <v>679000000</v>
      </c>
      <c r="Y131" s="29">
        <f t="shared" si="9"/>
        <v>679000000</v>
      </c>
      <c r="Z131" s="29">
        <f t="shared" si="9"/>
        <v>679000000</v>
      </c>
    </row>
    <row r="132" spans="1:26" outlineLevel="1" x14ac:dyDescent="0.3">
      <c r="A132">
        <f t="shared" si="5"/>
        <v>6</v>
      </c>
      <c r="B132" t="str">
        <f>INDEX('Category Mapping'!$G$28:$G$39,MATCH(A132,'Category Mapping'!$A$28:$A$39,0),1)</f>
        <v>Summer</v>
      </c>
      <c r="C132" t="s">
        <v>71</v>
      </c>
      <c r="D132" s="6" t="s">
        <v>146</v>
      </c>
      <c r="E132" t="s">
        <v>49</v>
      </c>
      <c r="F132" s="27">
        <f>SUMIFS(INDEX(Load,,MATCH('Summarized Source Data'!$C132,Hour,0)),Month,'Summarized Source Data'!$A132,Sector,'Summarized Source Data'!F$2,Subsector,'Summarized Source Data'!F$3,TimeOfWeek,$E132)*INDEX(About!B$79:B$82,MATCH($B132,About!$A$79:$A$82,0),1)</f>
        <v>440420</v>
      </c>
      <c r="G132" s="27">
        <f>SUMIFS(INDEX(Load,,MATCH('Summarized Source Data'!$C132,Hour,0)),Month,'Summarized Source Data'!$A132,Sector,'Summarized Source Data'!G$2,Subsector,'Summarized Source Data'!G$3,TimeOfWeek,$E132)*INDEX(About!C$79:C$82,MATCH($B132,About!$A$79:$A$82,0),1)</f>
        <v>17500000</v>
      </c>
      <c r="H132" s="27">
        <f>SUMIFS(INDEX(Load,,MATCH('Summarized Source Data'!$C132,Hour,0)),Month,'Summarized Source Data'!$A132,Sector,'Summarized Source Data'!H$2,Subsector,'Summarized Source Data'!H$3,TimeOfWeek,$E132)*INDEX(About!D$79:D$82,MATCH($B132,About!$A$79:$A$82,0),1)</f>
        <v>0</v>
      </c>
      <c r="I132" s="27">
        <f>SUMIFS(INDEX(Load,,MATCH('Summarized Source Data'!$C132,Hour,0)),Month,'Summarized Source Data'!$A132,Sector,'Summarized Source Data'!I$2,Subsector,'Summarized Source Data'!I$3,TimeOfWeek,$E132)*INDEX(About!E$79:E$82,MATCH($B132,About!$A$79:$A$82,0),1)</f>
        <v>9253012</v>
      </c>
      <c r="J132" s="54">
        <f t="shared" si="6"/>
        <v>107806568</v>
      </c>
      <c r="K132" s="27">
        <f>(SUMIFS(INDEX(Load,,MATCH('Summarized Source Data'!$C132,Hour,0)),Month,'Summarized Source Data'!$A132,Sector,'Summarized Source Data'!K$2,Subsector,"Total",TimeOfWeek,$E132)-SUM(F132:I132))*INDEX(About!G$79:G$82,MATCH($B132,About!$A$79:$A$82,0),1)</f>
        <v>107806568</v>
      </c>
      <c r="L132" s="27">
        <f>SUMIFS(INDEX(Load,,MATCH('Summarized Source Data'!$C132,Hour,0)),Month,'Summarized Source Data'!$A132,Sector,'Summarized Source Data'!L$2,Subsector,'Summarized Source Data'!L$3,TimeOfWeek,$E132)*INDEX(About!H$79:H$82,MATCH($B132,About!$A$79:$A$82,0),1)</f>
        <v>1266102</v>
      </c>
      <c r="M132" s="27">
        <f>SUMIFS(INDEX(Load,,MATCH('Summarized Source Data'!$C132,Hour,0)),Month,'Summarized Source Data'!$A132,Sector,'Summarized Source Data'!M$2,Subsector,'Summarized Source Data'!M$3,TimeOfWeek,$E132)*INDEX(About!I$79:I$82,MATCH($B132,About!$A$79:$A$82,0),1)</f>
        <v>131000000</v>
      </c>
      <c r="N132" s="27">
        <f>SUMIFS(INDEX(Load,,MATCH('Summarized Source Data'!$C132,Hour,0)),Month,'Summarized Source Data'!$A132,Sector,'Summarized Source Data'!N$2,Subsector,'Summarized Source Data'!N$3,TimeOfWeek,$E132)*INDEX(About!J$79:J$82,MATCH($B132,About!$A$79:$A$82,0),1)</f>
        <v>0</v>
      </c>
      <c r="O132" s="29">
        <f t="shared" si="7"/>
        <v>486733898</v>
      </c>
      <c r="P132" s="27">
        <f>(SUMIFS(INDEX(Load,,MATCH('Summarized Source Data'!$C132,Hour,0)),Month,'Summarized Source Data'!$A132,Sector,'Summarized Source Data'!P$2,Subsector,"Total",TimeOfWeek,$E132)-SUM(L132:N132)*INDEX(About!L$79:L$82,MATCH($B132,About!$A$79:$A$82,0),1))</f>
        <v>486733898</v>
      </c>
      <c r="Q132" s="29">
        <f t="shared" si="8"/>
        <v>486733898</v>
      </c>
      <c r="R132" s="33">
        <f>SUMIFS(INDEX(Load,,MATCH('Summarized Source Data'!$C132,Hour,0)),Month,'Summarized Source Data'!$A132,Sector,'Summarized Source Data'!R$2,TimeOfWeek,$E132)*INDEX(About!N$79:N$82,MATCH($B132,About!$A$79:$A$82,0),1)</f>
        <v>15400000</v>
      </c>
      <c r="S132" s="33">
        <f>SUMIFS(INDEX(Load,,MATCH('Summarized Source Data'!$C132,Hour,0)),Month,'Summarized Source Data'!$A132,Sector,'Summarized Source Data'!S$2,TimeOfWeek,$E132)*INDEX(About!O$79:O$82,MATCH($B132,About!$A$79:$A$82,0),1)</f>
        <v>15400000</v>
      </c>
      <c r="T132" s="33">
        <f>SUMIFS(INDEX(Load,,MATCH('Summarized Source Data'!$C132,Hour,0)),Month,'Summarized Source Data'!$A132,Sector,'Summarized Source Data'!T$2,TimeOfWeek,$E132)*INDEX(About!P$79:P$82,MATCH($B132,About!$A$79:$A$82,0),1)</f>
        <v>15400000</v>
      </c>
      <c r="U132" s="33">
        <f>SUMIFS(INDEX(Load,,MATCH('Summarized Source Data'!$C132,Hour,0)),Month,'Summarized Source Data'!$A132,Sector,'Summarized Source Data'!U$2,TimeOfWeek,$E132)*INDEX(About!Q$79:Q$82,MATCH($B132,About!$A$79:$A$82,0),1)</f>
        <v>15400000</v>
      </c>
      <c r="V132" s="33">
        <f>SUMIFS(INDEX(Load,,MATCH('Summarized Source Data'!$C132,Hour,0)),Month,'Summarized Source Data'!$A132,Sector,'Summarized Source Data'!V$2,TimeOfWeek,$E132)*INDEX(About!R$79:R$82,MATCH($B132,About!$A$79:$A$82,0),1)</f>
        <v>15400000</v>
      </c>
      <c r="W132" s="33">
        <f>SUMIFS(INDEX(Load,,MATCH('Summarized Source Data'!$C132,Hour,0)),Month,'Summarized Source Data'!$A132,Sector,'Summarized Source Data'!W$2,TimeOfWeek,$E132)*INDEX(About!S$79:S$82,MATCH($B132,About!$A$79:$A$82,0),1)</f>
        <v>15400000</v>
      </c>
      <c r="X132" s="27">
        <f>SUMIFS(INDEX(Load,,MATCH('Summarized Source Data'!$C132,Hour,0)),Month,'Summarized Source Data'!$A132,Sector,'Summarized Source Data'!X$2,Subsector,'Summarized Source Data'!X$3,TimeOfWeek,$E132)*INDEX(About!T$79:T$82,MATCH($B132,About!$A$79:$A$82,0),1)</f>
        <v>682000000</v>
      </c>
      <c r="Y132" s="29">
        <f t="shared" si="9"/>
        <v>682000000</v>
      </c>
      <c r="Z132" s="29">
        <f t="shared" si="9"/>
        <v>682000000</v>
      </c>
    </row>
    <row r="133" spans="1:26" outlineLevel="1" x14ac:dyDescent="0.3">
      <c r="A133">
        <f t="shared" ref="A133:A196" si="10">ROUNDUP(ROW(A130)/24,0)</f>
        <v>6</v>
      </c>
      <c r="B133" t="str">
        <f>INDEX('Category Mapping'!$G$28:$G$39,MATCH(A133,'Category Mapping'!$A$28:$A$39,0),1)</f>
        <v>Summer</v>
      </c>
      <c r="C133" t="s">
        <v>72</v>
      </c>
      <c r="D133" s="6" t="s">
        <v>147</v>
      </c>
      <c r="E133" t="s">
        <v>49</v>
      </c>
      <c r="F133" s="27">
        <f>SUMIFS(INDEX(Load,,MATCH('Summarized Source Data'!$C133,Hour,0)),Month,'Summarized Source Data'!$A133,Sector,'Summarized Source Data'!F$2,Subsector,'Summarized Source Data'!F$3,TimeOfWeek,$E133)*INDEX(About!B$79:B$82,MATCH($B133,About!$A$79:$A$82,0),1)</f>
        <v>304155</v>
      </c>
      <c r="G133" s="27">
        <f>SUMIFS(INDEX(Load,,MATCH('Summarized Source Data'!$C133,Hour,0)),Month,'Summarized Source Data'!$A133,Sector,'Summarized Source Data'!G$2,Subsector,'Summarized Source Data'!G$3,TimeOfWeek,$E133)*INDEX(About!C$79:C$82,MATCH($B133,About!$A$79:$A$82,0),1)</f>
        <v>20100000</v>
      </c>
      <c r="H133" s="27">
        <f>SUMIFS(INDEX(Load,,MATCH('Summarized Source Data'!$C133,Hour,0)),Month,'Summarized Source Data'!$A133,Sector,'Summarized Source Data'!H$2,Subsector,'Summarized Source Data'!H$3,TimeOfWeek,$E133)*INDEX(About!D$79:D$82,MATCH($B133,About!$A$79:$A$82,0),1)</f>
        <v>0</v>
      </c>
      <c r="I133" s="27">
        <f>SUMIFS(INDEX(Load,,MATCH('Summarized Source Data'!$C133,Hour,0)),Month,'Summarized Source Data'!$A133,Sector,'Summarized Source Data'!I$2,Subsector,'Summarized Source Data'!I$3,TimeOfWeek,$E133)*INDEX(About!E$79:E$82,MATCH($B133,About!$A$79:$A$82,0),1)</f>
        <v>8900938</v>
      </c>
      <c r="J133" s="54">
        <f t="shared" ref="J133:J196" si="11">K133</f>
        <v>108694907</v>
      </c>
      <c r="K133" s="27">
        <f>(SUMIFS(INDEX(Load,,MATCH('Summarized Source Data'!$C133,Hour,0)),Month,'Summarized Source Data'!$A133,Sector,'Summarized Source Data'!K$2,Subsector,"Total",TimeOfWeek,$E133)-SUM(F133:I133))*INDEX(About!G$79:G$82,MATCH($B133,About!$A$79:$A$82,0),1)</f>
        <v>108694907</v>
      </c>
      <c r="L133" s="27">
        <f>SUMIFS(INDEX(Load,,MATCH('Summarized Source Data'!$C133,Hour,0)),Month,'Summarized Source Data'!$A133,Sector,'Summarized Source Data'!L$2,Subsector,'Summarized Source Data'!L$3,TimeOfWeek,$E133)*INDEX(About!H$79:H$82,MATCH($B133,About!$A$79:$A$82,0),1)</f>
        <v>1007682</v>
      </c>
      <c r="M133" s="27">
        <f>SUMIFS(INDEX(Load,,MATCH('Summarized Source Data'!$C133,Hour,0)),Month,'Summarized Source Data'!$A133,Sector,'Summarized Source Data'!M$2,Subsector,'Summarized Source Data'!M$3,TimeOfWeek,$E133)*INDEX(About!I$79:I$82,MATCH($B133,About!$A$79:$A$82,0),1)</f>
        <v>154000000</v>
      </c>
      <c r="N133" s="27">
        <f>SUMIFS(INDEX(Load,,MATCH('Summarized Source Data'!$C133,Hour,0)),Month,'Summarized Source Data'!$A133,Sector,'Summarized Source Data'!N$2,Subsector,'Summarized Source Data'!N$3,TimeOfWeek,$E133)*INDEX(About!J$79:J$82,MATCH($B133,About!$A$79:$A$82,0),1)</f>
        <v>0</v>
      </c>
      <c r="O133" s="29">
        <f t="shared" ref="O133:O196" si="12">P133</f>
        <v>511992318</v>
      </c>
      <c r="P133" s="27">
        <f>(SUMIFS(INDEX(Load,,MATCH('Summarized Source Data'!$C133,Hour,0)),Month,'Summarized Source Data'!$A133,Sector,'Summarized Source Data'!P$2,Subsector,"Total",TimeOfWeek,$E133)-SUM(L133:N133)*INDEX(About!L$79:L$82,MATCH($B133,About!$A$79:$A$82,0),1))</f>
        <v>511992318</v>
      </c>
      <c r="Q133" s="29">
        <f t="shared" ref="Q133:Q196" si="13">P133</f>
        <v>511992318</v>
      </c>
      <c r="R133" s="33">
        <f>SUMIFS(INDEX(Load,,MATCH('Summarized Source Data'!$C133,Hour,0)),Month,'Summarized Source Data'!$A133,Sector,'Summarized Source Data'!R$2,TimeOfWeek,$E133)*INDEX(About!N$79:N$82,MATCH($B133,About!$A$79:$A$82,0),1)</f>
        <v>13600000</v>
      </c>
      <c r="S133" s="33">
        <f>SUMIFS(INDEX(Load,,MATCH('Summarized Source Data'!$C133,Hour,0)),Month,'Summarized Source Data'!$A133,Sector,'Summarized Source Data'!S$2,TimeOfWeek,$E133)*INDEX(About!O$79:O$82,MATCH($B133,About!$A$79:$A$82,0),1)</f>
        <v>13600000</v>
      </c>
      <c r="T133" s="33">
        <f>SUMIFS(INDEX(Load,,MATCH('Summarized Source Data'!$C133,Hour,0)),Month,'Summarized Source Data'!$A133,Sector,'Summarized Source Data'!T$2,TimeOfWeek,$E133)*INDEX(About!P$79:P$82,MATCH($B133,About!$A$79:$A$82,0),1)</f>
        <v>13600000</v>
      </c>
      <c r="U133" s="33">
        <f>SUMIFS(INDEX(Load,,MATCH('Summarized Source Data'!$C133,Hour,0)),Month,'Summarized Source Data'!$A133,Sector,'Summarized Source Data'!U$2,TimeOfWeek,$E133)*INDEX(About!Q$79:Q$82,MATCH($B133,About!$A$79:$A$82,0),1)</f>
        <v>13600000</v>
      </c>
      <c r="V133" s="33">
        <f>SUMIFS(INDEX(Load,,MATCH('Summarized Source Data'!$C133,Hour,0)),Month,'Summarized Source Data'!$A133,Sector,'Summarized Source Data'!V$2,TimeOfWeek,$E133)*INDEX(About!R$79:R$82,MATCH($B133,About!$A$79:$A$82,0),1)</f>
        <v>13600000</v>
      </c>
      <c r="W133" s="33">
        <f>SUMIFS(INDEX(Load,,MATCH('Summarized Source Data'!$C133,Hour,0)),Month,'Summarized Source Data'!$A133,Sector,'Summarized Source Data'!W$2,TimeOfWeek,$E133)*INDEX(About!S$79:S$82,MATCH($B133,About!$A$79:$A$82,0),1)</f>
        <v>13600000</v>
      </c>
      <c r="X133" s="27">
        <f>SUMIFS(INDEX(Load,,MATCH('Summarized Source Data'!$C133,Hour,0)),Month,'Summarized Source Data'!$A133,Sector,'Summarized Source Data'!X$2,Subsector,'Summarized Source Data'!X$3,TimeOfWeek,$E133)*INDEX(About!T$79:T$82,MATCH($B133,About!$A$79:$A$82,0),1)</f>
        <v>680000000</v>
      </c>
      <c r="Y133" s="29">
        <f t="shared" ref="Y133:Z196" si="14">$X133</f>
        <v>680000000</v>
      </c>
      <c r="Z133" s="29">
        <f t="shared" si="14"/>
        <v>680000000</v>
      </c>
    </row>
    <row r="134" spans="1:26" outlineLevel="1" x14ac:dyDescent="0.3">
      <c r="A134">
        <f t="shared" si="10"/>
        <v>6</v>
      </c>
      <c r="B134" t="str">
        <f>INDEX('Category Mapping'!$G$28:$G$39,MATCH(A134,'Category Mapping'!$A$28:$A$39,0),1)</f>
        <v>Summer</v>
      </c>
      <c r="C134" t="s">
        <v>73</v>
      </c>
      <c r="D134" s="6" t="s">
        <v>148</v>
      </c>
      <c r="E134" t="s">
        <v>49</v>
      </c>
      <c r="F134" s="27">
        <f>SUMIFS(INDEX(Load,,MATCH('Summarized Source Data'!$C134,Hour,0)),Month,'Summarized Source Data'!$A134,Sector,'Summarized Source Data'!F$2,Subsector,'Summarized Source Data'!F$3,TimeOfWeek,$E134)*INDEX(About!B$79:B$82,MATCH($B134,About!$A$79:$A$82,0),1)</f>
        <v>306735</v>
      </c>
      <c r="G134" s="27">
        <f>SUMIFS(INDEX(Load,,MATCH('Summarized Source Data'!$C134,Hour,0)),Month,'Summarized Source Data'!$A134,Sector,'Summarized Source Data'!G$2,Subsector,'Summarized Source Data'!G$3,TimeOfWeek,$E134)*INDEX(About!C$79:C$82,MATCH($B134,About!$A$79:$A$82,0),1)</f>
        <v>24600000</v>
      </c>
      <c r="H134" s="27">
        <f>SUMIFS(INDEX(Load,,MATCH('Summarized Source Data'!$C134,Hour,0)),Month,'Summarized Source Data'!$A134,Sector,'Summarized Source Data'!H$2,Subsector,'Summarized Source Data'!H$3,TimeOfWeek,$E134)*INDEX(About!D$79:D$82,MATCH($B134,About!$A$79:$A$82,0),1)</f>
        <v>0</v>
      </c>
      <c r="I134" s="27">
        <f>SUMIFS(INDEX(Load,,MATCH('Summarized Source Data'!$C134,Hour,0)),Month,'Summarized Source Data'!$A134,Sector,'Summarized Source Data'!I$2,Subsector,'Summarized Source Data'!I$3,TimeOfWeek,$E134)*INDEX(About!E$79:E$82,MATCH($B134,About!$A$79:$A$82,0),1)</f>
        <v>9046377</v>
      </c>
      <c r="J134" s="54">
        <f t="shared" si="11"/>
        <v>108046888</v>
      </c>
      <c r="K134" s="27">
        <f>(SUMIFS(INDEX(Load,,MATCH('Summarized Source Data'!$C134,Hour,0)),Month,'Summarized Source Data'!$A134,Sector,'Summarized Source Data'!K$2,Subsector,"Total",TimeOfWeek,$E134)-SUM(F134:I134))*INDEX(About!G$79:G$82,MATCH($B134,About!$A$79:$A$82,0),1)</f>
        <v>108046888</v>
      </c>
      <c r="L134" s="27">
        <f>SUMIFS(INDEX(Load,,MATCH('Summarized Source Data'!$C134,Hour,0)),Month,'Summarized Source Data'!$A134,Sector,'Summarized Source Data'!L$2,Subsector,'Summarized Source Data'!L$3,TimeOfWeek,$E134)*INDEX(About!H$79:H$82,MATCH($B134,About!$A$79:$A$82,0),1)</f>
        <v>866160</v>
      </c>
      <c r="M134" s="27">
        <f>SUMIFS(INDEX(Load,,MATCH('Summarized Source Data'!$C134,Hour,0)),Month,'Summarized Source Data'!$A134,Sector,'Summarized Source Data'!M$2,Subsector,'Summarized Source Data'!M$3,TimeOfWeek,$E134)*INDEX(About!I$79:I$82,MATCH($B134,About!$A$79:$A$82,0),1)</f>
        <v>170000000</v>
      </c>
      <c r="N134" s="27">
        <f>SUMIFS(INDEX(Load,,MATCH('Summarized Source Data'!$C134,Hour,0)),Month,'Summarized Source Data'!$A134,Sector,'Summarized Source Data'!N$2,Subsector,'Summarized Source Data'!N$3,TimeOfWeek,$E134)*INDEX(About!J$79:J$82,MATCH($B134,About!$A$79:$A$82,0),1)</f>
        <v>0</v>
      </c>
      <c r="O134" s="29">
        <f t="shared" si="12"/>
        <v>510133840</v>
      </c>
      <c r="P134" s="27">
        <f>(SUMIFS(INDEX(Load,,MATCH('Summarized Source Data'!$C134,Hour,0)),Month,'Summarized Source Data'!$A134,Sector,'Summarized Source Data'!P$2,Subsector,"Total",TimeOfWeek,$E134)-SUM(L134:N134)*INDEX(About!L$79:L$82,MATCH($B134,About!$A$79:$A$82,0),1))</f>
        <v>510133840</v>
      </c>
      <c r="Q134" s="29">
        <f t="shared" si="13"/>
        <v>510133840</v>
      </c>
      <c r="R134" s="33">
        <f>SUMIFS(INDEX(Load,,MATCH('Summarized Source Data'!$C134,Hour,0)),Month,'Summarized Source Data'!$A134,Sector,'Summarized Source Data'!R$2,TimeOfWeek,$E134)*INDEX(About!N$79:N$82,MATCH($B134,About!$A$79:$A$82,0),1)</f>
        <v>10900000</v>
      </c>
      <c r="S134" s="33">
        <f>SUMIFS(INDEX(Load,,MATCH('Summarized Source Data'!$C134,Hour,0)),Month,'Summarized Source Data'!$A134,Sector,'Summarized Source Data'!S$2,TimeOfWeek,$E134)*INDEX(About!O$79:O$82,MATCH($B134,About!$A$79:$A$82,0),1)</f>
        <v>10900000</v>
      </c>
      <c r="T134" s="33">
        <f>SUMIFS(INDEX(Load,,MATCH('Summarized Source Data'!$C134,Hour,0)),Month,'Summarized Source Data'!$A134,Sector,'Summarized Source Data'!T$2,TimeOfWeek,$E134)*INDEX(About!P$79:P$82,MATCH($B134,About!$A$79:$A$82,0),1)</f>
        <v>10900000</v>
      </c>
      <c r="U134" s="33">
        <f>SUMIFS(INDEX(Load,,MATCH('Summarized Source Data'!$C134,Hour,0)),Month,'Summarized Source Data'!$A134,Sector,'Summarized Source Data'!U$2,TimeOfWeek,$E134)*INDEX(About!Q$79:Q$82,MATCH($B134,About!$A$79:$A$82,0),1)</f>
        <v>10900000</v>
      </c>
      <c r="V134" s="33">
        <f>SUMIFS(INDEX(Load,,MATCH('Summarized Source Data'!$C134,Hour,0)),Month,'Summarized Source Data'!$A134,Sector,'Summarized Source Data'!V$2,TimeOfWeek,$E134)*INDEX(About!R$79:R$82,MATCH($B134,About!$A$79:$A$82,0),1)</f>
        <v>10900000</v>
      </c>
      <c r="W134" s="33">
        <f>SUMIFS(INDEX(Load,,MATCH('Summarized Source Data'!$C134,Hour,0)),Month,'Summarized Source Data'!$A134,Sector,'Summarized Source Data'!W$2,TimeOfWeek,$E134)*INDEX(About!S$79:S$82,MATCH($B134,About!$A$79:$A$82,0),1)</f>
        <v>10900000</v>
      </c>
      <c r="X134" s="27">
        <f>SUMIFS(INDEX(Load,,MATCH('Summarized Source Data'!$C134,Hour,0)),Month,'Summarized Source Data'!$A134,Sector,'Summarized Source Data'!X$2,Subsector,'Summarized Source Data'!X$3,TimeOfWeek,$E134)*INDEX(About!T$79:T$82,MATCH($B134,About!$A$79:$A$82,0),1)</f>
        <v>678000000</v>
      </c>
      <c r="Y134" s="29">
        <f t="shared" si="14"/>
        <v>678000000</v>
      </c>
      <c r="Z134" s="29">
        <f t="shared" si="14"/>
        <v>678000000</v>
      </c>
    </row>
    <row r="135" spans="1:26" outlineLevel="1" x14ac:dyDescent="0.3">
      <c r="A135">
        <f t="shared" si="10"/>
        <v>6</v>
      </c>
      <c r="B135" t="str">
        <f>INDEX('Category Mapping'!$G$28:$G$39,MATCH(A135,'Category Mapping'!$A$28:$A$39,0),1)</f>
        <v>Summer</v>
      </c>
      <c r="C135" t="s">
        <v>74</v>
      </c>
      <c r="D135" s="6" t="s">
        <v>149</v>
      </c>
      <c r="E135" t="s">
        <v>49</v>
      </c>
      <c r="F135" s="27">
        <f>SUMIFS(INDEX(Load,,MATCH('Summarized Source Data'!$C135,Hour,0)),Month,'Summarized Source Data'!$A135,Sector,'Summarized Source Data'!F$2,Subsector,'Summarized Source Data'!F$3,TimeOfWeek,$E135)*INDEX(About!B$79:B$82,MATCH($B135,About!$A$79:$A$82,0),1)</f>
        <v>322176</v>
      </c>
      <c r="G135" s="27">
        <f>SUMIFS(INDEX(Load,,MATCH('Summarized Source Data'!$C135,Hour,0)),Month,'Summarized Source Data'!$A135,Sector,'Summarized Source Data'!G$2,Subsector,'Summarized Source Data'!G$3,TimeOfWeek,$E135)*INDEX(About!C$79:C$82,MATCH($B135,About!$A$79:$A$82,0),1)</f>
        <v>32000000</v>
      </c>
      <c r="H135" s="27">
        <f>SUMIFS(INDEX(Load,,MATCH('Summarized Source Data'!$C135,Hour,0)),Month,'Summarized Source Data'!$A135,Sector,'Summarized Source Data'!H$2,Subsector,'Summarized Source Data'!H$3,TimeOfWeek,$E135)*INDEX(About!D$79:D$82,MATCH($B135,About!$A$79:$A$82,0),1)</f>
        <v>0</v>
      </c>
      <c r="I135" s="27">
        <f>SUMIFS(INDEX(Load,,MATCH('Summarized Source Data'!$C135,Hour,0)),Month,'Summarized Source Data'!$A135,Sector,'Summarized Source Data'!I$2,Subsector,'Summarized Source Data'!I$3,TimeOfWeek,$E135)*INDEX(About!E$79:E$82,MATCH($B135,About!$A$79:$A$82,0),1)</f>
        <v>9916891</v>
      </c>
      <c r="J135" s="54">
        <f t="shared" si="11"/>
        <v>107760933</v>
      </c>
      <c r="K135" s="27">
        <f>(SUMIFS(INDEX(Load,,MATCH('Summarized Source Data'!$C135,Hour,0)),Month,'Summarized Source Data'!$A135,Sector,'Summarized Source Data'!K$2,Subsector,"Total",TimeOfWeek,$E135)-SUM(F135:I135))*INDEX(About!G$79:G$82,MATCH($B135,About!$A$79:$A$82,0),1)</f>
        <v>107760933</v>
      </c>
      <c r="L135" s="27">
        <f>SUMIFS(INDEX(Load,,MATCH('Summarized Source Data'!$C135,Hour,0)),Month,'Summarized Source Data'!$A135,Sector,'Summarized Source Data'!L$2,Subsector,'Summarized Source Data'!L$3,TimeOfWeek,$E135)*INDEX(About!H$79:H$82,MATCH($B135,About!$A$79:$A$82,0),1)</f>
        <v>753706</v>
      </c>
      <c r="M135" s="27">
        <f>SUMIFS(INDEX(Load,,MATCH('Summarized Source Data'!$C135,Hour,0)),Month,'Summarized Source Data'!$A135,Sector,'Summarized Source Data'!M$2,Subsector,'Summarized Source Data'!M$3,TimeOfWeek,$E135)*INDEX(About!I$79:I$82,MATCH($B135,About!$A$79:$A$82,0),1)</f>
        <v>180000000</v>
      </c>
      <c r="N135" s="27">
        <f>SUMIFS(INDEX(Load,,MATCH('Summarized Source Data'!$C135,Hour,0)),Month,'Summarized Source Data'!$A135,Sector,'Summarized Source Data'!N$2,Subsector,'Summarized Source Data'!N$3,TimeOfWeek,$E135)*INDEX(About!J$79:J$82,MATCH($B135,About!$A$79:$A$82,0),1)</f>
        <v>0</v>
      </c>
      <c r="O135" s="29">
        <f t="shared" si="12"/>
        <v>509246294</v>
      </c>
      <c r="P135" s="27">
        <f>(SUMIFS(INDEX(Load,,MATCH('Summarized Source Data'!$C135,Hour,0)),Month,'Summarized Source Data'!$A135,Sector,'Summarized Source Data'!P$2,Subsector,"Total",TimeOfWeek,$E135)-SUM(L135:N135)*INDEX(About!L$79:L$82,MATCH($B135,About!$A$79:$A$82,0),1))</f>
        <v>509246294</v>
      </c>
      <c r="Q135" s="29">
        <f t="shared" si="13"/>
        <v>509246294</v>
      </c>
      <c r="R135" s="33">
        <f>SUMIFS(INDEX(Load,,MATCH('Summarized Source Data'!$C135,Hour,0)),Month,'Summarized Source Data'!$A135,Sector,'Summarized Source Data'!R$2,TimeOfWeek,$E135)*INDEX(About!N$79:N$82,MATCH($B135,About!$A$79:$A$82,0),1)</f>
        <v>11000000</v>
      </c>
      <c r="S135" s="33">
        <f>SUMIFS(INDEX(Load,,MATCH('Summarized Source Data'!$C135,Hour,0)),Month,'Summarized Source Data'!$A135,Sector,'Summarized Source Data'!S$2,TimeOfWeek,$E135)*INDEX(About!O$79:O$82,MATCH($B135,About!$A$79:$A$82,0),1)</f>
        <v>11000000</v>
      </c>
      <c r="T135" s="33">
        <f>SUMIFS(INDEX(Load,,MATCH('Summarized Source Data'!$C135,Hour,0)),Month,'Summarized Source Data'!$A135,Sector,'Summarized Source Data'!T$2,TimeOfWeek,$E135)*INDEX(About!P$79:P$82,MATCH($B135,About!$A$79:$A$82,0),1)</f>
        <v>11000000</v>
      </c>
      <c r="U135" s="33">
        <f>SUMIFS(INDEX(Load,,MATCH('Summarized Source Data'!$C135,Hour,0)),Month,'Summarized Source Data'!$A135,Sector,'Summarized Source Data'!U$2,TimeOfWeek,$E135)*INDEX(About!Q$79:Q$82,MATCH($B135,About!$A$79:$A$82,0),1)</f>
        <v>11000000</v>
      </c>
      <c r="V135" s="33">
        <f>SUMIFS(INDEX(Load,,MATCH('Summarized Source Data'!$C135,Hour,0)),Month,'Summarized Source Data'!$A135,Sector,'Summarized Source Data'!V$2,TimeOfWeek,$E135)*INDEX(About!R$79:R$82,MATCH($B135,About!$A$79:$A$82,0),1)</f>
        <v>11000000</v>
      </c>
      <c r="W135" s="33">
        <f>SUMIFS(INDEX(Load,,MATCH('Summarized Source Data'!$C135,Hour,0)),Month,'Summarized Source Data'!$A135,Sector,'Summarized Source Data'!W$2,TimeOfWeek,$E135)*INDEX(About!S$79:S$82,MATCH($B135,About!$A$79:$A$82,0),1)</f>
        <v>11000000</v>
      </c>
      <c r="X135" s="27">
        <f>SUMIFS(INDEX(Load,,MATCH('Summarized Source Data'!$C135,Hour,0)),Month,'Summarized Source Data'!$A135,Sector,'Summarized Source Data'!X$2,Subsector,'Summarized Source Data'!X$3,TimeOfWeek,$E135)*INDEX(About!T$79:T$82,MATCH($B135,About!$A$79:$A$82,0),1)</f>
        <v>675000000</v>
      </c>
      <c r="Y135" s="29">
        <f t="shared" si="14"/>
        <v>675000000</v>
      </c>
      <c r="Z135" s="29">
        <f t="shared" si="14"/>
        <v>675000000</v>
      </c>
    </row>
    <row r="136" spans="1:26" outlineLevel="1" x14ac:dyDescent="0.3">
      <c r="A136">
        <f t="shared" si="10"/>
        <v>6</v>
      </c>
      <c r="B136" t="str">
        <f>INDEX('Category Mapping'!$G$28:$G$39,MATCH(A136,'Category Mapping'!$A$28:$A$39,0),1)</f>
        <v>Summer</v>
      </c>
      <c r="C136" t="s">
        <v>75</v>
      </c>
      <c r="D136" s="6" t="s">
        <v>150</v>
      </c>
      <c r="E136" t="s">
        <v>49</v>
      </c>
      <c r="F136" s="27">
        <f>SUMIFS(INDEX(Load,,MATCH('Summarized Source Data'!$C136,Hour,0)),Month,'Summarized Source Data'!$A136,Sector,'Summarized Source Data'!F$2,Subsector,'Summarized Source Data'!F$3,TimeOfWeek,$E136)*INDEX(About!B$79:B$82,MATCH($B136,About!$A$79:$A$82,0),1)</f>
        <v>331632</v>
      </c>
      <c r="G136" s="27">
        <f>SUMIFS(INDEX(Load,,MATCH('Summarized Source Data'!$C136,Hour,0)),Month,'Summarized Source Data'!$A136,Sector,'Summarized Source Data'!G$2,Subsector,'Summarized Source Data'!G$3,TimeOfWeek,$E136)*INDEX(About!C$79:C$82,MATCH($B136,About!$A$79:$A$82,0),1)</f>
        <v>38600000</v>
      </c>
      <c r="H136" s="27">
        <f>SUMIFS(INDEX(Load,,MATCH('Summarized Source Data'!$C136,Hour,0)),Month,'Summarized Source Data'!$A136,Sector,'Summarized Source Data'!H$2,Subsector,'Summarized Source Data'!H$3,TimeOfWeek,$E136)*INDEX(About!D$79:D$82,MATCH($B136,About!$A$79:$A$82,0),1)</f>
        <v>0</v>
      </c>
      <c r="I136" s="27">
        <f>SUMIFS(INDEX(Load,,MATCH('Summarized Source Data'!$C136,Hour,0)),Month,'Summarized Source Data'!$A136,Sector,'Summarized Source Data'!I$2,Subsector,'Summarized Source Data'!I$3,TimeOfWeek,$E136)*INDEX(About!E$79:E$82,MATCH($B136,About!$A$79:$A$82,0),1)</f>
        <v>10400000</v>
      </c>
      <c r="J136" s="54">
        <f t="shared" si="11"/>
        <v>104668368</v>
      </c>
      <c r="K136" s="27">
        <f>(SUMIFS(INDEX(Load,,MATCH('Summarized Source Data'!$C136,Hour,0)),Month,'Summarized Source Data'!$A136,Sector,'Summarized Source Data'!K$2,Subsector,"Total",TimeOfWeek,$E136)-SUM(F136:I136))*INDEX(About!G$79:G$82,MATCH($B136,About!$A$79:$A$82,0),1)</f>
        <v>104668368</v>
      </c>
      <c r="L136" s="27">
        <f>SUMIFS(INDEX(Load,,MATCH('Summarized Source Data'!$C136,Hour,0)),Month,'Summarized Source Data'!$A136,Sector,'Summarized Source Data'!L$2,Subsector,'Summarized Source Data'!L$3,TimeOfWeek,$E136)*INDEX(About!H$79:H$82,MATCH($B136,About!$A$79:$A$82,0),1)</f>
        <v>689861</v>
      </c>
      <c r="M136" s="27">
        <f>SUMIFS(INDEX(Load,,MATCH('Summarized Source Data'!$C136,Hour,0)),Month,'Summarized Source Data'!$A136,Sector,'Summarized Source Data'!M$2,Subsector,'Summarized Source Data'!M$3,TimeOfWeek,$E136)*INDEX(About!I$79:I$82,MATCH($B136,About!$A$79:$A$82,0),1)</f>
        <v>183000000</v>
      </c>
      <c r="N136" s="27">
        <f>SUMIFS(INDEX(Load,,MATCH('Summarized Source Data'!$C136,Hour,0)),Month,'Summarized Source Data'!$A136,Sector,'Summarized Source Data'!N$2,Subsector,'Summarized Source Data'!N$3,TimeOfWeek,$E136)*INDEX(About!J$79:J$82,MATCH($B136,About!$A$79:$A$82,0),1)</f>
        <v>0</v>
      </c>
      <c r="O136" s="29">
        <f t="shared" si="12"/>
        <v>500310139</v>
      </c>
      <c r="P136" s="27">
        <f>(SUMIFS(INDEX(Load,,MATCH('Summarized Source Data'!$C136,Hour,0)),Month,'Summarized Source Data'!$A136,Sector,'Summarized Source Data'!P$2,Subsector,"Total",TimeOfWeek,$E136)-SUM(L136:N136)*INDEX(About!L$79:L$82,MATCH($B136,About!$A$79:$A$82,0),1))</f>
        <v>500310139</v>
      </c>
      <c r="Q136" s="29">
        <f t="shared" si="13"/>
        <v>500310139</v>
      </c>
      <c r="R136" s="33">
        <f>SUMIFS(INDEX(Load,,MATCH('Summarized Source Data'!$C136,Hour,0)),Month,'Summarized Source Data'!$A136,Sector,'Summarized Source Data'!R$2,TimeOfWeek,$E136)*INDEX(About!N$79:N$82,MATCH($B136,About!$A$79:$A$82,0),1)</f>
        <v>11200000</v>
      </c>
      <c r="S136" s="33">
        <f>SUMIFS(INDEX(Load,,MATCH('Summarized Source Data'!$C136,Hour,0)),Month,'Summarized Source Data'!$A136,Sector,'Summarized Source Data'!S$2,TimeOfWeek,$E136)*INDEX(About!O$79:O$82,MATCH($B136,About!$A$79:$A$82,0),1)</f>
        <v>11200000</v>
      </c>
      <c r="T136" s="33">
        <f>SUMIFS(INDEX(Load,,MATCH('Summarized Source Data'!$C136,Hour,0)),Month,'Summarized Source Data'!$A136,Sector,'Summarized Source Data'!T$2,TimeOfWeek,$E136)*INDEX(About!P$79:P$82,MATCH($B136,About!$A$79:$A$82,0),1)</f>
        <v>11200000</v>
      </c>
      <c r="U136" s="33">
        <f>SUMIFS(INDEX(Load,,MATCH('Summarized Source Data'!$C136,Hour,0)),Month,'Summarized Source Data'!$A136,Sector,'Summarized Source Data'!U$2,TimeOfWeek,$E136)*INDEX(About!Q$79:Q$82,MATCH($B136,About!$A$79:$A$82,0),1)</f>
        <v>11200000</v>
      </c>
      <c r="V136" s="33">
        <f>SUMIFS(INDEX(Load,,MATCH('Summarized Source Data'!$C136,Hour,0)),Month,'Summarized Source Data'!$A136,Sector,'Summarized Source Data'!V$2,TimeOfWeek,$E136)*INDEX(About!R$79:R$82,MATCH($B136,About!$A$79:$A$82,0),1)</f>
        <v>11200000</v>
      </c>
      <c r="W136" s="33">
        <f>SUMIFS(INDEX(Load,,MATCH('Summarized Source Data'!$C136,Hour,0)),Month,'Summarized Source Data'!$A136,Sector,'Summarized Source Data'!W$2,TimeOfWeek,$E136)*INDEX(About!S$79:S$82,MATCH($B136,About!$A$79:$A$82,0),1)</f>
        <v>11200000</v>
      </c>
      <c r="X136" s="27">
        <f>SUMIFS(INDEX(Load,,MATCH('Summarized Source Data'!$C136,Hour,0)),Month,'Summarized Source Data'!$A136,Sector,'Summarized Source Data'!X$2,Subsector,'Summarized Source Data'!X$3,TimeOfWeek,$E136)*INDEX(About!T$79:T$82,MATCH($B136,About!$A$79:$A$82,0),1)</f>
        <v>673000000</v>
      </c>
      <c r="Y136" s="29">
        <f t="shared" si="14"/>
        <v>673000000</v>
      </c>
      <c r="Z136" s="29">
        <f t="shared" si="14"/>
        <v>673000000</v>
      </c>
    </row>
    <row r="137" spans="1:26" outlineLevel="1" x14ac:dyDescent="0.3">
      <c r="A137">
        <f t="shared" si="10"/>
        <v>6</v>
      </c>
      <c r="B137" t="str">
        <f>INDEX('Category Mapping'!$G$28:$G$39,MATCH(A137,'Category Mapping'!$A$28:$A$39,0),1)</f>
        <v>Summer</v>
      </c>
      <c r="C137" t="s">
        <v>76</v>
      </c>
      <c r="D137" s="6" t="s">
        <v>151</v>
      </c>
      <c r="E137" t="s">
        <v>49</v>
      </c>
      <c r="F137" s="27">
        <f>SUMIFS(INDEX(Load,,MATCH('Summarized Source Data'!$C137,Hour,0)),Month,'Summarized Source Data'!$A137,Sector,'Summarized Source Data'!F$2,Subsector,'Summarized Source Data'!F$3,TimeOfWeek,$E137)*INDEX(About!B$79:B$82,MATCH($B137,About!$A$79:$A$82,0),1)</f>
        <v>334292</v>
      </c>
      <c r="G137" s="27">
        <f>SUMIFS(INDEX(Load,,MATCH('Summarized Source Data'!$C137,Hour,0)),Month,'Summarized Source Data'!$A137,Sector,'Summarized Source Data'!G$2,Subsector,'Summarized Source Data'!G$3,TimeOfWeek,$E137)*INDEX(About!C$79:C$82,MATCH($B137,About!$A$79:$A$82,0),1)</f>
        <v>42300000</v>
      </c>
      <c r="H137" s="27">
        <f>SUMIFS(INDEX(Load,,MATCH('Summarized Source Data'!$C137,Hour,0)),Month,'Summarized Source Data'!$A137,Sector,'Summarized Source Data'!H$2,Subsector,'Summarized Source Data'!H$3,TimeOfWeek,$E137)*INDEX(About!D$79:D$82,MATCH($B137,About!$A$79:$A$82,0),1)</f>
        <v>0</v>
      </c>
      <c r="I137" s="27">
        <f>SUMIFS(INDEX(Load,,MATCH('Summarized Source Data'!$C137,Hour,0)),Month,'Summarized Source Data'!$A137,Sector,'Summarized Source Data'!I$2,Subsector,'Summarized Source Data'!I$3,TimeOfWeek,$E137)*INDEX(About!E$79:E$82,MATCH($B137,About!$A$79:$A$82,0),1)</f>
        <v>10600000</v>
      </c>
      <c r="J137" s="54">
        <f t="shared" si="11"/>
        <v>103765708</v>
      </c>
      <c r="K137" s="27">
        <f>(SUMIFS(INDEX(Load,,MATCH('Summarized Source Data'!$C137,Hour,0)),Month,'Summarized Source Data'!$A137,Sector,'Summarized Source Data'!K$2,Subsector,"Total",TimeOfWeek,$E137)-SUM(F137:I137))*INDEX(About!G$79:G$82,MATCH($B137,About!$A$79:$A$82,0),1)</f>
        <v>103765708</v>
      </c>
      <c r="L137" s="27">
        <f>SUMIFS(INDEX(Load,,MATCH('Summarized Source Data'!$C137,Hour,0)),Month,'Summarized Source Data'!$A137,Sector,'Summarized Source Data'!L$2,Subsector,'Summarized Source Data'!L$3,TimeOfWeek,$E137)*INDEX(About!H$79:H$82,MATCH($B137,About!$A$79:$A$82,0),1)</f>
        <v>636455</v>
      </c>
      <c r="M137" s="27">
        <f>SUMIFS(INDEX(Load,,MATCH('Summarized Source Data'!$C137,Hour,0)),Month,'Summarized Source Data'!$A137,Sector,'Summarized Source Data'!M$2,Subsector,'Summarized Source Data'!M$3,TimeOfWeek,$E137)*INDEX(About!I$79:I$82,MATCH($B137,About!$A$79:$A$82,0),1)</f>
        <v>190000000</v>
      </c>
      <c r="N137" s="27">
        <f>SUMIFS(INDEX(Load,,MATCH('Summarized Source Data'!$C137,Hour,0)),Month,'Summarized Source Data'!$A137,Sector,'Summarized Source Data'!N$2,Subsector,'Summarized Source Data'!N$3,TimeOfWeek,$E137)*INDEX(About!J$79:J$82,MATCH($B137,About!$A$79:$A$82,0),1)</f>
        <v>0</v>
      </c>
      <c r="O137" s="29">
        <f t="shared" si="12"/>
        <v>500363545</v>
      </c>
      <c r="P137" s="27">
        <f>(SUMIFS(INDEX(Load,,MATCH('Summarized Source Data'!$C137,Hour,0)),Month,'Summarized Source Data'!$A137,Sector,'Summarized Source Data'!P$2,Subsector,"Total",TimeOfWeek,$E137)-SUM(L137:N137)*INDEX(About!L$79:L$82,MATCH($B137,About!$A$79:$A$82,0),1))</f>
        <v>500363545</v>
      </c>
      <c r="Q137" s="29">
        <f t="shared" si="13"/>
        <v>500363545</v>
      </c>
      <c r="R137" s="33">
        <f>SUMIFS(INDEX(Load,,MATCH('Summarized Source Data'!$C137,Hour,0)),Month,'Summarized Source Data'!$A137,Sector,'Summarized Source Data'!R$2,TimeOfWeek,$E137)*INDEX(About!N$79:N$82,MATCH($B137,About!$A$79:$A$82,0),1)</f>
        <v>11100000</v>
      </c>
      <c r="S137" s="33">
        <f>SUMIFS(INDEX(Load,,MATCH('Summarized Source Data'!$C137,Hour,0)),Month,'Summarized Source Data'!$A137,Sector,'Summarized Source Data'!S$2,TimeOfWeek,$E137)*INDEX(About!O$79:O$82,MATCH($B137,About!$A$79:$A$82,0),1)</f>
        <v>11100000</v>
      </c>
      <c r="T137" s="33">
        <f>SUMIFS(INDEX(Load,,MATCH('Summarized Source Data'!$C137,Hour,0)),Month,'Summarized Source Data'!$A137,Sector,'Summarized Source Data'!T$2,TimeOfWeek,$E137)*INDEX(About!P$79:P$82,MATCH($B137,About!$A$79:$A$82,0),1)</f>
        <v>11100000</v>
      </c>
      <c r="U137" s="33">
        <f>SUMIFS(INDEX(Load,,MATCH('Summarized Source Data'!$C137,Hour,0)),Month,'Summarized Source Data'!$A137,Sector,'Summarized Source Data'!U$2,TimeOfWeek,$E137)*INDEX(About!Q$79:Q$82,MATCH($B137,About!$A$79:$A$82,0),1)</f>
        <v>11100000</v>
      </c>
      <c r="V137" s="33">
        <f>SUMIFS(INDEX(Load,,MATCH('Summarized Source Data'!$C137,Hour,0)),Month,'Summarized Source Data'!$A137,Sector,'Summarized Source Data'!V$2,TimeOfWeek,$E137)*INDEX(About!R$79:R$82,MATCH($B137,About!$A$79:$A$82,0),1)</f>
        <v>11100000</v>
      </c>
      <c r="W137" s="33">
        <f>SUMIFS(INDEX(Load,,MATCH('Summarized Source Data'!$C137,Hour,0)),Month,'Summarized Source Data'!$A137,Sector,'Summarized Source Data'!W$2,TimeOfWeek,$E137)*INDEX(About!S$79:S$82,MATCH($B137,About!$A$79:$A$82,0),1)</f>
        <v>11100000</v>
      </c>
      <c r="X137" s="27">
        <f>SUMIFS(INDEX(Load,,MATCH('Summarized Source Data'!$C137,Hour,0)),Month,'Summarized Source Data'!$A137,Sector,'Summarized Source Data'!X$2,Subsector,'Summarized Source Data'!X$3,TimeOfWeek,$E137)*INDEX(About!T$79:T$82,MATCH($B137,About!$A$79:$A$82,0),1)</f>
        <v>673000000</v>
      </c>
      <c r="Y137" s="29">
        <f t="shared" si="14"/>
        <v>673000000</v>
      </c>
      <c r="Z137" s="29">
        <f t="shared" si="14"/>
        <v>673000000</v>
      </c>
    </row>
    <row r="138" spans="1:26" outlineLevel="1" x14ac:dyDescent="0.3">
      <c r="A138">
        <f t="shared" si="10"/>
        <v>6</v>
      </c>
      <c r="B138" t="str">
        <f>INDEX('Category Mapping'!$G$28:$G$39,MATCH(A138,'Category Mapping'!$A$28:$A$39,0),1)</f>
        <v>Summer</v>
      </c>
      <c r="C138" t="s">
        <v>77</v>
      </c>
      <c r="D138" s="6" t="s">
        <v>152</v>
      </c>
      <c r="E138" t="s">
        <v>49</v>
      </c>
      <c r="F138" s="27">
        <f>SUMIFS(INDEX(Load,,MATCH('Summarized Source Data'!$C138,Hour,0)),Month,'Summarized Source Data'!$A138,Sector,'Summarized Source Data'!F$2,Subsector,'Summarized Source Data'!F$3,TimeOfWeek,$E138)*INDEX(About!B$79:B$82,MATCH($B138,About!$A$79:$A$82,0),1)</f>
        <v>339132</v>
      </c>
      <c r="G138" s="27">
        <f>SUMIFS(INDEX(Load,,MATCH('Summarized Source Data'!$C138,Hour,0)),Month,'Summarized Source Data'!$A138,Sector,'Summarized Source Data'!G$2,Subsector,'Summarized Source Data'!G$3,TimeOfWeek,$E138)*INDEX(About!C$79:C$82,MATCH($B138,About!$A$79:$A$82,0),1)</f>
        <v>45000000</v>
      </c>
      <c r="H138" s="27">
        <f>SUMIFS(INDEX(Load,,MATCH('Summarized Source Data'!$C138,Hour,0)),Month,'Summarized Source Data'!$A138,Sector,'Summarized Source Data'!H$2,Subsector,'Summarized Source Data'!H$3,TimeOfWeek,$E138)*INDEX(About!D$79:D$82,MATCH($B138,About!$A$79:$A$82,0),1)</f>
        <v>0</v>
      </c>
      <c r="I138" s="27">
        <f>SUMIFS(INDEX(Load,,MATCH('Summarized Source Data'!$C138,Hour,0)),Month,'Summarized Source Data'!$A138,Sector,'Summarized Source Data'!I$2,Subsector,'Summarized Source Data'!I$3,TimeOfWeek,$E138)*INDEX(About!E$79:E$82,MATCH($B138,About!$A$79:$A$82,0),1)</f>
        <v>10900000</v>
      </c>
      <c r="J138" s="54">
        <f t="shared" si="11"/>
        <v>107760868</v>
      </c>
      <c r="K138" s="27">
        <f>(SUMIFS(INDEX(Load,,MATCH('Summarized Source Data'!$C138,Hour,0)),Month,'Summarized Source Data'!$A138,Sector,'Summarized Source Data'!K$2,Subsector,"Total",TimeOfWeek,$E138)-SUM(F138:I138))*INDEX(About!G$79:G$82,MATCH($B138,About!$A$79:$A$82,0),1)</f>
        <v>107760868</v>
      </c>
      <c r="L138" s="27">
        <f>SUMIFS(INDEX(Load,,MATCH('Summarized Source Data'!$C138,Hour,0)),Month,'Summarized Source Data'!$A138,Sector,'Summarized Source Data'!L$2,Subsector,'Summarized Source Data'!L$3,TimeOfWeek,$E138)*INDEX(About!H$79:H$82,MATCH($B138,About!$A$79:$A$82,0),1)</f>
        <v>589596</v>
      </c>
      <c r="M138" s="27">
        <f>SUMIFS(INDEX(Load,,MATCH('Summarized Source Data'!$C138,Hour,0)),Month,'Summarized Source Data'!$A138,Sector,'Summarized Source Data'!M$2,Subsector,'Summarized Source Data'!M$3,TimeOfWeek,$E138)*INDEX(About!I$79:I$82,MATCH($B138,About!$A$79:$A$82,0),1)</f>
        <v>194000000</v>
      </c>
      <c r="N138" s="27">
        <f>SUMIFS(INDEX(Load,,MATCH('Summarized Source Data'!$C138,Hour,0)),Month,'Summarized Source Data'!$A138,Sector,'Summarized Source Data'!N$2,Subsector,'Summarized Source Data'!N$3,TimeOfWeek,$E138)*INDEX(About!J$79:J$82,MATCH($B138,About!$A$79:$A$82,0),1)</f>
        <v>0</v>
      </c>
      <c r="O138" s="29">
        <f t="shared" si="12"/>
        <v>500410404</v>
      </c>
      <c r="P138" s="27">
        <f>(SUMIFS(INDEX(Load,,MATCH('Summarized Source Data'!$C138,Hour,0)),Month,'Summarized Source Data'!$A138,Sector,'Summarized Source Data'!P$2,Subsector,"Total",TimeOfWeek,$E138)-SUM(L138:N138)*INDEX(About!L$79:L$82,MATCH($B138,About!$A$79:$A$82,0),1))</f>
        <v>500410404</v>
      </c>
      <c r="Q138" s="29">
        <f t="shared" si="13"/>
        <v>500410404</v>
      </c>
      <c r="R138" s="33">
        <f>SUMIFS(INDEX(Load,,MATCH('Summarized Source Data'!$C138,Hour,0)),Month,'Summarized Source Data'!$A138,Sector,'Summarized Source Data'!R$2,TimeOfWeek,$E138)*INDEX(About!N$79:N$82,MATCH($B138,About!$A$79:$A$82,0),1)</f>
        <v>11000000</v>
      </c>
      <c r="S138" s="33">
        <f>SUMIFS(INDEX(Load,,MATCH('Summarized Source Data'!$C138,Hour,0)),Month,'Summarized Source Data'!$A138,Sector,'Summarized Source Data'!S$2,TimeOfWeek,$E138)*INDEX(About!O$79:O$82,MATCH($B138,About!$A$79:$A$82,0),1)</f>
        <v>11000000</v>
      </c>
      <c r="T138" s="33">
        <f>SUMIFS(INDEX(Load,,MATCH('Summarized Source Data'!$C138,Hour,0)),Month,'Summarized Source Data'!$A138,Sector,'Summarized Source Data'!T$2,TimeOfWeek,$E138)*INDEX(About!P$79:P$82,MATCH($B138,About!$A$79:$A$82,0),1)</f>
        <v>11000000</v>
      </c>
      <c r="U138" s="33">
        <f>SUMIFS(INDEX(Load,,MATCH('Summarized Source Data'!$C138,Hour,0)),Month,'Summarized Source Data'!$A138,Sector,'Summarized Source Data'!U$2,TimeOfWeek,$E138)*INDEX(About!Q$79:Q$82,MATCH($B138,About!$A$79:$A$82,0),1)</f>
        <v>11000000</v>
      </c>
      <c r="V138" s="33">
        <f>SUMIFS(INDEX(Load,,MATCH('Summarized Source Data'!$C138,Hour,0)),Month,'Summarized Source Data'!$A138,Sector,'Summarized Source Data'!V$2,TimeOfWeek,$E138)*INDEX(About!R$79:R$82,MATCH($B138,About!$A$79:$A$82,0),1)</f>
        <v>11000000</v>
      </c>
      <c r="W138" s="33">
        <f>SUMIFS(INDEX(Load,,MATCH('Summarized Source Data'!$C138,Hour,0)),Month,'Summarized Source Data'!$A138,Sector,'Summarized Source Data'!W$2,TimeOfWeek,$E138)*INDEX(About!S$79:S$82,MATCH($B138,About!$A$79:$A$82,0),1)</f>
        <v>11000000</v>
      </c>
      <c r="X138" s="27">
        <f>SUMIFS(INDEX(Load,,MATCH('Summarized Source Data'!$C138,Hour,0)),Month,'Summarized Source Data'!$A138,Sector,'Summarized Source Data'!X$2,Subsector,'Summarized Source Data'!X$3,TimeOfWeek,$E138)*INDEX(About!T$79:T$82,MATCH($B138,About!$A$79:$A$82,0),1)</f>
        <v>674000000</v>
      </c>
      <c r="Y138" s="29">
        <f t="shared" si="14"/>
        <v>674000000</v>
      </c>
      <c r="Z138" s="29">
        <f t="shared" si="14"/>
        <v>674000000</v>
      </c>
    </row>
    <row r="139" spans="1:26" outlineLevel="1" x14ac:dyDescent="0.3">
      <c r="A139">
        <f t="shared" si="10"/>
        <v>6</v>
      </c>
      <c r="B139" t="str">
        <f>INDEX('Category Mapping'!$G$28:$G$39,MATCH(A139,'Category Mapping'!$A$28:$A$39,0),1)</f>
        <v>Summer</v>
      </c>
      <c r="C139" t="s">
        <v>78</v>
      </c>
      <c r="D139" s="6" t="s">
        <v>153</v>
      </c>
      <c r="E139" t="s">
        <v>49</v>
      </c>
      <c r="F139" s="27">
        <f>SUMIFS(INDEX(Load,,MATCH('Summarized Source Data'!$C139,Hour,0)),Month,'Summarized Source Data'!$A139,Sector,'Summarized Source Data'!F$2,Subsector,'Summarized Source Data'!F$3,TimeOfWeek,$E139)*INDEX(About!B$79:B$82,MATCH($B139,About!$A$79:$A$82,0),1)</f>
        <v>354765</v>
      </c>
      <c r="G139" s="27">
        <f>SUMIFS(INDEX(Load,,MATCH('Summarized Source Data'!$C139,Hour,0)),Month,'Summarized Source Data'!$A139,Sector,'Summarized Source Data'!G$2,Subsector,'Summarized Source Data'!G$3,TimeOfWeek,$E139)*INDEX(About!C$79:C$82,MATCH($B139,About!$A$79:$A$82,0),1)</f>
        <v>48200000</v>
      </c>
      <c r="H139" s="27">
        <f>SUMIFS(INDEX(Load,,MATCH('Summarized Source Data'!$C139,Hour,0)),Month,'Summarized Source Data'!$A139,Sector,'Summarized Source Data'!H$2,Subsector,'Summarized Source Data'!H$3,TimeOfWeek,$E139)*INDEX(About!D$79:D$82,MATCH($B139,About!$A$79:$A$82,0),1)</f>
        <v>0</v>
      </c>
      <c r="I139" s="27">
        <f>SUMIFS(INDEX(Load,,MATCH('Summarized Source Data'!$C139,Hour,0)),Month,'Summarized Source Data'!$A139,Sector,'Summarized Source Data'!I$2,Subsector,'Summarized Source Data'!I$3,TimeOfWeek,$E139)*INDEX(About!E$79:E$82,MATCH($B139,About!$A$79:$A$82,0),1)</f>
        <v>11800000</v>
      </c>
      <c r="J139" s="54">
        <f t="shared" si="11"/>
        <v>121645235</v>
      </c>
      <c r="K139" s="27">
        <f>(SUMIFS(INDEX(Load,,MATCH('Summarized Source Data'!$C139,Hour,0)),Month,'Summarized Source Data'!$A139,Sector,'Summarized Source Data'!K$2,Subsector,"Total",TimeOfWeek,$E139)-SUM(F139:I139))*INDEX(About!G$79:G$82,MATCH($B139,About!$A$79:$A$82,0),1)</f>
        <v>121645235</v>
      </c>
      <c r="L139" s="27">
        <f>SUMIFS(INDEX(Load,,MATCH('Summarized Source Data'!$C139,Hour,0)),Month,'Summarized Source Data'!$A139,Sector,'Summarized Source Data'!L$2,Subsector,'Summarized Source Data'!L$3,TimeOfWeek,$E139)*INDEX(About!H$79:H$82,MATCH($B139,About!$A$79:$A$82,0),1)</f>
        <v>541806</v>
      </c>
      <c r="M139" s="27">
        <f>SUMIFS(INDEX(Load,,MATCH('Summarized Source Data'!$C139,Hour,0)),Month,'Summarized Source Data'!$A139,Sector,'Summarized Source Data'!M$2,Subsector,'Summarized Source Data'!M$3,TimeOfWeek,$E139)*INDEX(About!I$79:I$82,MATCH($B139,About!$A$79:$A$82,0),1)</f>
        <v>193000000</v>
      </c>
      <c r="N139" s="27">
        <f>SUMIFS(INDEX(Load,,MATCH('Summarized Source Data'!$C139,Hour,0)),Month,'Summarized Source Data'!$A139,Sector,'Summarized Source Data'!N$2,Subsector,'Summarized Source Data'!N$3,TimeOfWeek,$E139)*INDEX(About!J$79:J$82,MATCH($B139,About!$A$79:$A$82,0),1)</f>
        <v>0</v>
      </c>
      <c r="O139" s="29">
        <f t="shared" si="12"/>
        <v>500458194</v>
      </c>
      <c r="P139" s="27">
        <f>(SUMIFS(INDEX(Load,,MATCH('Summarized Source Data'!$C139,Hour,0)),Month,'Summarized Source Data'!$A139,Sector,'Summarized Source Data'!P$2,Subsector,"Total",TimeOfWeek,$E139)-SUM(L139:N139)*INDEX(About!L$79:L$82,MATCH($B139,About!$A$79:$A$82,0),1))</f>
        <v>500458194</v>
      </c>
      <c r="Q139" s="29">
        <f t="shared" si="13"/>
        <v>500458194</v>
      </c>
      <c r="R139" s="33">
        <f>SUMIFS(INDEX(Load,,MATCH('Summarized Source Data'!$C139,Hour,0)),Month,'Summarized Source Data'!$A139,Sector,'Summarized Source Data'!R$2,TimeOfWeek,$E139)*INDEX(About!N$79:N$82,MATCH($B139,About!$A$79:$A$82,0),1)</f>
        <v>13000000</v>
      </c>
      <c r="S139" s="33">
        <f>SUMIFS(INDEX(Load,,MATCH('Summarized Source Data'!$C139,Hour,0)),Month,'Summarized Source Data'!$A139,Sector,'Summarized Source Data'!S$2,TimeOfWeek,$E139)*INDEX(About!O$79:O$82,MATCH($B139,About!$A$79:$A$82,0),1)</f>
        <v>13000000</v>
      </c>
      <c r="T139" s="33">
        <f>SUMIFS(INDEX(Load,,MATCH('Summarized Source Data'!$C139,Hour,0)),Month,'Summarized Source Data'!$A139,Sector,'Summarized Source Data'!T$2,TimeOfWeek,$E139)*INDEX(About!P$79:P$82,MATCH($B139,About!$A$79:$A$82,0),1)</f>
        <v>13000000</v>
      </c>
      <c r="U139" s="33">
        <f>SUMIFS(INDEX(Load,,MATCH('Summarized Source Data'!$C139,Hour,0)),Month,'Summarized Source Data'!$A139,Sector,'Summarized Source Data'!U$2,TimeOfWeek,$E139)*INDEX(About!Q$79:Q$82,MATCH($B139,About!$A$79:$A$82,0),1)</f>
        <v>13000000</v>
      </c>
      <c r="V139" s="33">
        <f>SUMIFS(INDEX(Load,,MATCH('Summarized Source Data'!$C139,Hour,0)),Month,'Summarized Source Data'!$A139,Sector,'Summarized Source Data'!V$2,TimeOfWeek,$E139)*INDEX(About!R$79:R$82,MATCH($B139,About!$A$79:$A$82,0),1)</f>
        <v>13000000</v>
      </c>
      <c r="W139" s="33">
        <f>SUMIFS(INDEX(Load,,MATCH('Summarized Source Data'!$C139,Hour,0)),Month,'Summarized Source Data'!$A139,Sector,'Summarized Source Data'!W$2,TimeOfWeek,$E139)*INDEX(About!S$79:S$82,MATCH($B139,About!$A$79:$A$82,0),1)</f>
        <v>13000000</v>
      </c>
      <c r="X139" s="27">
        <f>SUMIFS(INDEX(Load,,MATCH('Summarized Source Data'!$C139,Hour,0)),Month,'Summarized Source Data'!$A139,Sector,'Summarized Source Data'!X$2,Subsector,'Summarized Source Data'!X$3,TimeOfWeek,$E139)*INDEX(About!T$79:T$82,MATCH($B139,About!$A$79:$A$82,0),1)</f>
        <v>680000000</v>
      </c>
      <c r="Y139" s="29">
        <f t="shared" si="14"/>
        <v>680000000</v>
      </c>
      <c r="Z139" s="29">
        <f t="shared" si="14"/>
        <v>680000000</v>
      </c>
    </row>
    <row r="140" spans="1:26" outlineLevel="1" x14ac:dyDescent="0.3">
      <c r="A140">
        <f t="shared" si="10"/>
        <v>6</v>
      </c>
      <c r="B140" t="str">
        <f>INDEX('Category Mapping'!$G$28:$G$39,MATCH(A140,'Category Mapping'!$A$28:$A$39,0),1)</f>
        <v>Summer</v>
      </c>
      <c r="C140" t="s">
        <v>79</v>
      </c>
      <c r="D140" s="6" t="s">
        <v>154</v>
      </c>
      <c r="E140" t="s">
        <v>49</v>
      </c>
      <c r="F140" s="27">
        <f>SUMIFS(INDEX(Load,,MATCH('Summarized Source Data'!$C140,Hour,0)),Month,'Summarized Source Data'!$A140,Sector,'Summarized Source Data'!F$2,Subsector,'Summarized Source Data'!F$3,TimeOfWeek,$E140)*INDEX(About!B$79:B$82,MATCH($B140,About!$A$79:$A$82,0),1)</f>
        <v>373603</v>
      </c>
      <c r="G140" s="27">
        <f>SUMIFS(INDEX(Load,,MATCH('Summarized Source Data'!$C140,Hour,0)),Month,'Summarized Source Data'!$A140,Sector,'Summarized Source Data'!G$2,Subsector,'Summarized Source Data'!G$3,TimeOfWeek,$E140)*INDEX(About!C$79:C$82,MATCH($B140,About!$A$79:$A$82,0),1)</f>
        <v>49600000</v>
      </c>
      <c r="H140" s="27">
        <f>SUMIFS(INDEX(Load,,MATCH('Summarized Source Data'!$C140,Hour,0)),Month,'Summarized Source Data'!$A140,Sector,'Summarized Source Data'!H$2,Subsector,'Summarized Source Data'!H$3,TimeOfWeek,$E140)*INDEX(About!D$79:D$82,MATCH($B140,About!$A$79:$A$82,0),1)</f>
        <v>0</v>
      </c>
      <c r="I140" s="27">
        <f>SUMIFS(INDEX(Load,,MATCH('Summarized Source Data'!$C140,Hour,0)),Month,'Summarized Source Data'!$A140,Sector,'Summarized Source Data'!I$2,Subsector,'Summarized Source Data'!I$3,TimeOfWeek,$E140)*INDEX(About!E$79:E$82,MATCH($B140,About!$A$79:$A$82,0),1)</f>
        <v>12800000</v>
      </c>
      <c r="J140" s="54">
        <f t="shared" si="11"/>
        <v>147226397</v>
      </c>
      <c r="K140" s="27">
        <f>(SUMIFS(INDEX(Load,,MATCH('Summarized Source Data'!$C140,Hour,0)),Month,'Summarized Source Data'!$A140,Sector,'Summarized Source Data'!K$2,Subsector,"Total",TimeOfWeek,$E140)-SUM(F140:I140))*INDEX(About!G$79:G$82,MATCH($B140,About!$A$79:$A$82,0),1)</f>
        <v>147226397</v>
      </c>
      <c r="L140" s="27">
        <f>SUMIFS(INDEX(Load,,MATCH('Summarized Source Data'!$C140,Hour,0)),Month,'Summarized Source Data'!$A140,Sector,'Summarized Source Data'!L$2,Subsector,'Summarized Source Data'!L$3,TimeOfWeek,$E140)*INDEX(About!H$79:H$82,MATCH($B140,About!$A$79:$A$82,0),1)</f>
        <v>504816</v>
      </c>
      <c r="M140" s="27">
        <f>SUMIFS(INDEX(Load,,MATCH('Summarized Source Data'!$C140,Hour,0)),Month,'Summarized Source Data'!$A140,Sector,'Summarized Source Data'!M$2,Subsector,'Summarized Source Data'!M$3,TimeOfWeek,$E140)*INDEX(About!I$79:I$82,MATCH($B140,About!$A$79:$A$82,0),1)</f>
        <v>186000000</v>
      </c>
      <c r="N140" s="27">
        <f>SUMIFS(INDEX(Load,,MATCH('Summarized Source Data'!$C140,Hour,0)),Month,'Summarized Source Data'!$A140,Sector,'Summarized Source Data'!N$2,Subsector,'Summarized Source Data'!N$3,TimeOfWeek,$E140)*INDEX(About!J$79:J$82,MATCH($B140,About!$A$79:$A$82,0),1)</f>
        <v>0</v>
      </c>
      <c r="O140" s="29">
        <f t="shared" si="12"/>
        <v>484495184</v>
      </c>
      <c r="P140" s="27">
        <f>(SUMIFS(INDEX(Load,,MATCH('Summarized Source Data'!$C140,Hour,0)),Month,'Summarized Source Data'!$A140,Sector,'Summarized Source Data'!P$2,Subsector,"Total",TimeOfWeek,$E140)-SUM(L140:N140)*INDEX(About!L$79:L$82,MATCH($B140,About!$A$79:$A$82,0),1))</f>
        <v>484495184</v>
      </c>
      <c r="Q140" s="29">
        <f t="shared" si="13"/>
        <v>484495184</v>
      </c>
      <c r="R140" s="33">
        <f>SUMIFS(INDEX(Load,,MATCH('Summarized Source Data'!$C140,Hour,0)),Month,'Summarized Source Data'!$A140,Sector,'Summarized Source Data'!R$2,TimeOfWeek,$E140)*INDEX(About!N$79:N$82,MATCH($B140,About!$A$79:$A$82,0),1)</f>
        <v>15100000</v>
      </c>
      <c r="S140" s="33">
        <f>SUMIFS(INDEX(Load,,MATCH('Summarized Source Data'!$C140,Hour,0)),Month,'Summarized Source Data'!$A140,Sector,'Summarized Source Data'!S$2,TimeOfWeek,$E140)*INDEX(About!O$79:O$82,MATCH($B140,About!$A$79:$A$82,0),1)</f>
        <v>15100000</v>
      </c>
      <c r="T140" s="33">
        <f>SUMIFS(INDEX(Load,,MATCH('Summarized Source Data'!$C140,Hour,0)),Month,'Summarized Source Data'!$A140,Sector,'Summarized Source Data'!T$2,TimeOfWeek,$E140)*INDEX(About!P$79:P$82,MATCH($B140,About!$A$79:$A$82,0),1)</f>
        <v>15100000</v>
      </c>
      <c r="U140" s="33">
        <f>SUMIFS(INDEX(Load,,MATCH('Summarized Source Data'!$C140,Hour,0)),Month,'Summarized Source Data'!$A140,Sector,'Summarized Source Data'!U$2,TimeOfWeek,$E140)*INDEX(About!Q$79:Q$82,MATCH($B140,About!$A$79:$A$82,0),1)</f>
        <v>15100000</v>
      </c>
      <c r="V140" s="33">
        <f>SUMIFS(INDEX(Load,,MATCH('Summarized Source Data'!$C140,Hour,0)),Month,'Summarized Source Data'!$A140,Sector,'Summarized Source Data'!V$2,TimeOfWeek,$E140)*INDEX(About!R$79:R$82,MATCH($B140,About!$A$79:$A$82,0),1)</f>
        <v>15100000</v>
      </c>
      <c r="W140" s="33">
        <f>SUMIFS(INDEX(Load,,MATCH('Summarized Source Data'!$C140,Hour,0)),Month,'Summarized Source Data'!$A140,Sector,'Summarized Source Data'!W$2,TimeOfWeek,$E140)*INDEX(About!S$79:S$82,MATCH($B140,About!$A$79:$A$82,0),1)</f>
        <v>15100000</v>
      </c>
      <c r="X140" s="27">
        <f>SUMIFS(INDEX(Load,,MATCH('Summarized Source Data'!$C140,Hour,0)),Month,'Summarized Source Data'!$A140,Sector,'Summarized Source Data'!X$2,Subsector,'Summarized Source Data'!X$3,TimeOfWeek,$E140)*INDEX(About!T$79:T$82,MATCH($B140,About!$A$79:$A$82,0),1)</f>
        <v>686000000</v>
      </c>
      <c r="Y140" s="29">
        <f t="shared" si="14"/>
        <v>686000000</v>
      </c>
      <c r="Z140" s="29">
        <f t="shared" si="14"/>
        <v>686000000</v>
      </c>
    </row>
    <row r="141" spans="1:26" outlineLevel="1" x14ac:dyDescent="0.3">
      <c r="A141">
        <f t="shared" si="10"/>
        <v>6</v>
      </c>
      <c r="B141" t="str">
        <f>INDEX('Category Mapping'!$G$28:$G$39,MATCH(A141,'Category Mapping'!$A$28:$A$39,0),1)</f>
        <v>Summer</v>
      </c>
      <c r="C141" t="s">
        <v>80</v>
      </c>
      <c r="D141" s="6" t="s">
        <v>155</v>
      </c>
      <c r="E141" t="s">
        <v>49</v>
      </c>
      <c r="F141" s="27">
        <f>SUMIFS(INDEX(Load,,MATCH('Summarized Source Data'!$C141,Hour,0)),Month,'Summarized Source Data'!$A141,Sector,'Summarized Source Data'!F$2,Subsector,'Summarized Source Data'!F$3,TimeOfWeek,$E141)*INDEX(About!B$79:B$82,MATCH($B141,About!$A$79:$A$82,0),1)</f>
        <v>394299</v>
      </c>
      <c r="G141" s="27">
        <f>SUMIFS(INDEX(Load,,MATCH('Summarized Source Data'!$C141,Hour,0)),Month,'Summarized Source Data'!$A141,Sector,'Summarized Source Data'!G$2,Subsector,'Summarized Source Data'!G$3,TimeOfWeek,$E141)*INDEX(About!C$79:C$82,MATCH($B141,About!$A$79:$A$82,0),1)</f>
        <v>49000000</v>
      </c>
      <c r="H141" s="27">
        <f>SUMIFS(INDEX(Load,,MATCH('Summarized Source Data'!$C141,Hour,0)),Month,'Summarized Source Data'!$A141,Sector,'Summarized Source Data'!H$2,Subsector,'Summarized Source Data'!H$3,TimeOfWeek,$E141)*INDEX(About!D$79:D$82,MATCH($B141,About!$A$79:$A$82,0),1)</f>
        <v>0</v>
      </c>
      <c r="I141" s="27">
        <f>SUMIFS(INDEX(Load,,MATCH('Summarized Source Data'!$C141,Hour,0)),Month,'Summarized Source Data'!$A141,Sector,'Summarized Source Data'!I$2,Subsector,'Summarized Source Data'!I$3,TimeOfWeek,$E141)*INDEX(About!E$79:E$82,MATCH($B141,About!$A$79:$A$82,0),1)</f>
        <v>14400000</v>
      </c>
      <c r="J141" s="54">
        <f t="shared" si="11"/>
        <v>161205701</v>
      </c>
      <c r="K141" s="27">
        <f>(SUMIFS(INDEX(Load,,MATCH('Summarized Source Data'!$C141,Hour,0)),Month,'Summarized Source Data'!$A141,Sector,'Summarized Source Data'!K$2,Subsector,"Total",TimeOfWeek,$E141)-SUM(F141:I141))*INDEX(About!G$79:G$82,MATCH($B141,About!$A$79:$A$82,0),1)</f>
        <v>161205701</v>
      </c>
      <c r="L141" s="27">
        <f>SUMIFS(INDEX(Load,,MATCH('Summarized Source Data'!$C141,Hour,0)),Month,'Summarized Source Data'!$A141,Sector,'Summarized Source Data'!L$2,Subsector,'Summarized Source Data'!L$3,TimeOfWeek,$E141)*INDEX(About!H$79:H$82,MATCH($B141,About!$A$79:$A$82,0),1)</f>
        <v>515053</v>
      </c>
      <c r="M141" s="27">
        <f>SUMIFS(INDEX(Load,,MATCH('Summarized Source Data'!$C141,Hour,0)),Month,'Summarized Source Data'!$A141,Sector,'Summarized Source Data'!M$2,Subsector,'Summarized Source Data'!M$3,TimeOfWeek,$E141)*INDEX(About!I$79:I$82,MATCH($B141,About!$A$79:$A$82,0),1)</f>
        <v>174000000</v>
      </c>
      <c r="N141" s="27">
        <f>SUMIFS(INDEX(Load,,MATCH('Summarized Source Data'!$C141,Hour,0)),Month,'Summarized Source Data'!$A141,Sector,'Summarized Source Data'!N$2,Subsector,'Summarized Source Data'!N$3,TimeOfWeek,$E141)*INDEX(About!J$79:J$82,MATCH($B141,About!$A$79:$A$82,0),1)</f>
        <v>0</v>
      </c>
      <c r="O141" s="29">
        <f t="shared" si="12"/>
        <v>455484947</v>
      </c>
      <c r="P141" s="27">
        <f>(SUMIFS(INDEX(Load,,MATCH('Summarized Source Data'!$C141,Hour,0)),Month,'Summarized Source Data'!$A141,Sector,'Summarized Source Data'!P$2,Subsector,"Total",TimeOfWeek,$E141)-SUM(L141:N141)*INDEX(About!L$79:L$82,MATCH($B141,About!$A$79:$A$82,0),1))</f>
        <v>455484947</v>
      </c>
      <c r="Q141" s="29">
        <f t="shared" si="13"/>
        <v>455484947</v>
      </c>
      <c r="R141" s="33">
        <f>SUMIFS(INDEX(Load,,MATCH('Summarized Source Data'!$C141,Hour,0)),Month,'Summarized Source Data'!$A141,Sector,'Summarized Source Data'!R$2,TimeOfWeek,$E141)*INDEX(About!N$79:N$82,MATCH($B141,About!$A$79:$A$82,0),1)</f>
        <v>16000000</v>
      </c>
      <c r="S141" s="33">
        <f>SUMIFS(INDEX(Load,,MATCH('Summarized Source Data'!$C141,Hour,0)),Month,'Summarized Source Data'!$A141,Sector,'Summarized Source Data'!S$2,TimeOfWeek,$E141)*INDEX(About!O$79:O$82,MATCH($B141,About!$A$79:$A$82,0),1)</f>
        <v>16000000</v>
      </c>
      <c r="T141" s="33">
        <f>SUMIFS(INDEX(Load,,MATCH('Summarized Source Data'!$C141,Hour,0)),Month,'Summarized Source Data'!$A141,Sector,'Summarized Source Data'!T$2,TimeOfWeek,$E141)*INDEX(About!P$79:P$82,MATCH($B141,About!$A$79:$A$82,0),1)</f>
        <v>16000000</v>
      </c>
      <c r="U141" s="33">
        <f>SUMIFS(INDEX(Load,,MATCH('Summarized Source Data'!$C141,Hour,0)),Month,'Summarized Source Data'!$A141,Sector,'Summarized Source Data'!U$2,TimeOfWeek,$E141)*INDEX(About!Q$79:Q$82,MATCH($B141,About!$A$79:$A$82,0),1)</f>
        <v>16000000</v>
      </c>
      <c r="V141" s="33">
        <f>SUMIFS(INDEX(Load,,MATCH('Summarized Source Data'!$C141,Hour,0)),Month,'Summarized Source Data'!$A141,Sector,'Summarized Source Data'!V$2,TimeOfWeek,$E141)*INDEX(About!R$79:R$82,MATCH($B141,About!$A$79:$A$82,0),1)</f>
        <v>16000000</v>
      </c>
      <c r="W141" s="33">
        <f>SUMIFS(INDEX(Load,,MATCH('Summarized Source Data'!$C141,Hour,0)),Month,'Summarized Source Data'!$A141,Sector,'Summarized Source Data'!W$2,TimeOfWeek,$E141)*INDEX(About!S$79:S$82,MATCH($B141,About!$A$79:$A$82,0),1)</f>
        <v>16000000</v>
      </c>
      <c r="X141" s="27">
        <f>SUMIFS(INDEX(Load,,MATCH('Summarized Source Data'!$C141,Hour,0)),Month,'Summarized Source Data'!$A141,Sector,'Summarized Source Data'!X$2,Subsector,'Summarized Source Data'!X$3,TimeOfWeek,$E141)*INDEX(About!T$79:T$82,MATCH($B141,About!$A$79:$A$82,0),1)</f>
        <v>688000000</v>
      </c>
      <c r="Y141" s="29">
        <f t="shared" si="14"/>
        <v>688000000</v>
      </c>
      <c r="Z141" s="29">
        <f t="shared" si="14"/>
        <v>688000000</v>
      </c>
    </row>
    <row r="142" spans="1:26" outlineLevel="1" x14ac:dyDescent="0.3">
      <c r="A142">
        <f t="shared" si="10"/>
        <v>6</v>
      </c>
      <c r="B142" t="str">
        <f>INDEX('Category Mapping'!$G$28:$G$39,MATCH(A142,'Category Mapping'!$A$28:$A$39,0),1)</f>
        <v>Summer</v>
      </c>
      <c r="C142" t="s">
        <v>81</v>
      </c>
      <c r="D142" s="6" t="s">
        <v>156</v>
      </c>
      <c r="E142" t="s">
        <v>49</v>
      </c>
      <c r="F142" s="27">
        <f>SUMIFS(INDEX(Load,,MATCH('Summarized Source Data'!$C142,Hour,0)),Month,'Summarized Source Data'!$A142,Sector,'Summarized Source Data'!F$2,Subsector,'Summarized Source Data'!F$3,TimeOfWeek,$E142)*INDEX(About!B$79:B$82,MATCH($B142,About!$A$79:$A$82,0),1)</f>
        <v>417838</v>
      </c>
      <c r="G142" s="27">
        <f>SUMIFS(INDEX(Load,,MATCH('Summarized Source Data'!$C142,Hour,0)),Month,'Summarized Source Data'!$A142,Sector,'Summarized Source Data'!G$2,Subsector,'Summarized Source Data'!G$3,TimeOfWeek,$E142)*INDEX(About!C$79:C$82,MATCH($B142,About!$A$79:$A$82,0),1)</f>
        <v>46600000</v>
      </c>
      <c r="H142" s="27">
        <f>SUMIFS(INDEX(Load,,MATCH('Summarized Source Data'!$C142,Hour,0)),Month,'Summarized Source Data'!$A142,Sector,'Summarized Source Data'!H$2,Subsector,'Summarized Source Data'!H$3,TimeOfWeek,$E142)*INDEX(About!D$79:D$82,MATCH($B142,About!$A$79:$A$82,0),1)</f>
        <v>0</v>
      </c>
      <c r="I142" s="27">
        <f>SUMIFS(INDEX(Load,,MATCH('Summarized Source Data'!$C142,Hour,0)),Month,'Summarized Source Data'!$A142,Sector,'Summarized Source Data'!I$2,Subsector,'Summarized Source Data'!I$3,TimeOfWeek,$E142)*INDEX(About!E$79:E$82,MATCH($B142,About!$A$79:$A$82,0),1)</f>
        <v>33200000</v>
      </c>
      <c r="J142" s="54">
        <f t="shared" si="11"/>
        <v>156782162</v>
      </c>
      <c r="K142" s="27">
        <f>(SUMIFS(INDEX(Load,,MATCH('Summarized Source Data'!$C142,Hour,0)),Month,'Summarized Source Data'!$A142,Sector,'Summarized Source Data'!K$2,Subsector,"Total",TimeOfWeek,$E142)-SUM(F142:I142))*INDEX(About!G$79:G$82,MATCH($B142,About!$A$79:$A$82,0),1)</f>
        <v>156782162</v>
      </c>
      <c r="L142" s="27">
        <f>SUMIFS(INDEX(Load,,MATCH('Summarized Source Data'!$C142,Hour,0)),Month,'Summarized Source Data'!$A142,Sector,'Summarized Source Data'!L$2,Subsector,'Summarized Source Data'!L$3,TimeOfWeek,$E142)*INDEX(About!H$79:H$82,MATCH($B142,About!$A$79:$A$82,0),1)</f>
        <v>601351</v>
      </c>
      <c r="M142" s="27">
        <f>SUMIFS(INDEX(Load,,MATCH('Summarized Source Data'!$C142,Hour,0)),Month,'Summarized Source Data'!$A142,Sector,'Summarized Source Data'!M$2,Subsector,'Summarized Source Data'!M$3,TimeOfWeek,$E142)*INDEX(About!I$79:I$82,MATCH($B142,About!$A$79:$A$82,0),1)</f>
        <v>160000000</v>
      </c>
      <c r="N142" s="27">
        <f>SUMIFS(INDEX(Load,,MATCH('Summarized Source Data'!$C142,Hour,0)),Month,'Summarized Source Data'!$A142,Sector,'Summarized Source Data'!N$2,Subsector,'Summarized Source Data'!N$3,TimeOfWeek,$E142)*INDEX(About!J$79:J$82,MATCH($B142,About!$A$79:$A$82,0),1)</f>
        <v>0</v>
      </c>
      <c r="O142" s="29">
        <f t="shared" si="12"/>
        <v>433398649</v>
      </c>
      <c r="P142" s="27">
        <f>(SUMIFS(INDEX(Load,,MATCH('Summarized Source Data'!$C142,Hour,0)),Month,'Summarized Source Data'!$A142,Sector,'Summarized Source Data'!P$2,Subsector,"Total",TimeOfWeek,$E142)-SUM(L142:N142)*INDEX(About!L$79:L$82,MATCH($B142,About!$A$79:$A$82,0),1))</f>
        <v>433398649</v>
      </c>
      <c r="Q142" s="29">
        <f t="shared" si="13"/>
        <v>433398649</v>
      </c>
      <c r="R142" s="33">
        <f>SUMIFS(INDEX(Load,,MATCH('Summarized Source Data'!$C142,Hour,0)),Month,'Summarized Source Data'!$A142,Sector,'Summarized Source Data'!R$2,TimeOfWeek,$E142)*INDEX(About!N$79:N$82,MATCH($B142,About!$A$79:$A$82,0),1)</f>
        <v>14800000</v>
      </c>
      <c r="S142" s="33">
        <f>SUMIFS(INDEX(Load,,MATCH('Summarized Source Data'!$C142,Hour,0)),Month,'Summarized Source Data'!$A142,Sector,'Summarized Source Data'!S$2,TimeOfWeek,$E142)*INDEX(About!O$79:O$82,MATCH($B142,About!$A$79:$A$82,0),1)</f>
        <v>14800000</v>
      </c>
      <c r="T142" s="33">
        <f>SUMIFS(INDEX(Load,,MATCH('Summarized Source Data'!$C142,Hour,0)),Month,'Summarized Source Data'!$A142,Sector,'Summarized Source Data'!T$2,TimeOfWeek,$E142)*INDEX(About!P$79:P$82,MATCH($B142,About!$A$79:$A$82,0),1)</f>
        <v>14800000</v>
      </c>
      <c r="U142" s="33">
        <f>SUMIFS(INDEX(Load,,MATCH('Summarized Source Data'!$C142,Hour,0)),Month,'Summarized Source Data'!$A142,Sector,'Summarized Source Data'!U$2,TimeOfWeek,$E142)*INDEX(About!Q$79:Q$82,MATCH($B142,About!$A$79:$A$82,0),1)</f>
        <v>14800000</v>
      </c>
      <c r="V142" s="33">
        <f>SUMIFS(INDEX(Load,,MATCH('Summarized Source Data'!$C142,Hour,0)),Month,'Summarized Source Data'!$A142,Sector,'Summarized Source Data'!V$2,TimeOfWeek,$E142)*INDEX(About!R$79:R$82,MATCH($B142,About!$A$79:$A$82,0),1)</f>
        <v>14800000</v>
      </c>
      <c r="W142" s="33">
        <f>SUMIFS(INDEX(Load,,MATCH('Summarized Source Data'!$C142,Hour,0)),Month,'Summarized Source Data'!$A142,Sector,'Summarized Source Data'!W$2,TimeOfWeek,$E142)*INDEX(About!S$79:S$82,MATCH($B142,About!$A$79:$A$82,0),1)</f>
        <v>14800000</v>
      </c>
      <c r="X142" s="27">
        <f>SUMIFS(INDEX(Load,,MATCH('Summarized Source Data'!$C142,Hour,0)),Month,'Summarized Source Data'!$A142,Sector,'Summarized Source Data'!X$2,Subsector,'Summarized Source Data'!X$3,TimeOfWeek,$E142)*INDEX(About!T$79:T$82,MATCH($B142,About!$A$79:$A$82,0),1)</f>
        <v>684000000</v>
      </c>
      <c r="Y142" s="29">
        <f t="shared" si="14"/>
        <v>684000000</v>
      </c>
      <c r="Z142" s="29">
        <f t="shared" si="14"/>
        <v>684000000</v>
      </c>
    </row>
    <row r="143" spans="1:26" outlineLevel="1" x14ac:dyDescent="0.3">
      <c r="A143">
        <f t="shared" si="10"/>
        <v>6</v>
      </c>
      <c r="B143" t="str">
        <f>INDEX('Category Mapping'!$G$28:$G$39,MATCH(A143,'Category Mapping'!$A$28:$A$39,0),1)</f>
        <v>Summer</v>
      </c>
      <c r="C143" t="s">
        <v>82</v>
      </c>
      <c r="D143" s="6" t="s">
        <v>157</v>
      </c>
      <c r="E143" t="s">
        <v>49</v>
      </c>
      <c r="F143" s="27">
        <f>SUMIFS(INDEX(Load,,MATCH('Summarized Source Data'!$C143,Hour,0)),Month,'Summarized Source Data'!$A143,Sector,'Summarized Source Data'!F$2,Subsector,'Summarized Source Data'!F$3,TimeOfWeek,$E143)*INDEX(About!B$79:B$82,MATCH($B143,About!$A$79:$A$82,0),1)</f>
        <v>438597</v>
      </c>
      <c r="G143" s="27">
        <f>SUMIFS(INDEX(Load,,MATCH('Summarized Source Data'!$C143,Hour,0)),Month,'Summarized Source Data'!$A143,Sector,'Summarized Source Data'!G$2,Subsector,'Summarized Source Data'!G$3,TimeOfWeek,$E143)*INDEX(About!C$79:C$82,MATCH($B143,About!$A$79:$A$82,0),1)</f>
        <v>41600000</v>
      </c>
      <c r="H143" s="27">
        <f>SUMIFS(INDEX(Load,,MATCH('Summarized Source Data'!$C143,Hour,0)),Month,'Summarized Source Data'!$A143,Sector,'Summarized Source Data'!H$2,Subsector,'Summarized Source Data'!H$3,TimeOfWeek,$E143)*INDEX(About!D$79:D$82,MATCH($B143,About!$A$79:$A$82,0),1)</f>
        <v>0</v>
      </c>
      <c r="I143" s="27">
        <f>SUMIFS(INDEX(Load,,MATCH('Summarized Source Data'!$C143,Hour,0)),Month,'Summarized Source Data'!$A143,Sector,'Summarized Source Data'!I$2,Subsector,'Summarized Source Data'!I$3,TimeOfWeek,$E143)*INDEX(About!E$79:E$82,MATCH($B143,About!$A$79:$A$82,0),1)</f>
        <v>54900000</v>
      </c>
      <c r="J143" s="54">
        <f t="shared" si="11"/>
        <v>150061403</v>
      </c>
      <c r="K143" s="27">
        <f>(SUMIFS(INDEX(Load,,MATCH('Summarized Source Data'!$C143,Hour,0)),Month,'Summarized Source Data'!$A143,Sector,'Summarized Source Data'!K$2,Subsector,"Total",TimeOfWeek,$E143)-SUM(F143:I143))*INDEX(About!G$79:G$82,MATCH($B143,About!$A$79:$A$82,0),1)</f>
        <v>150061403</v>
      </c>
      <c r="L143" s="27">
        <f>SUMIFS(INDEX(Load,,MATCH('Summarized Source Data'!$C143,Hour,0)),Month,'Summarized Source Data'!$A143,Sector,'Summarized Source Data'!L$2,Subsector,'Summarized Source Data'!L$3,TimeOfWeek,$E143)*INDEX(About!H$79:H$82,MATCH($B143,About!$A$79:$A$82,0),1)</f>
        <v>701190</v>
      </c>
      <c r="M143" s="27">
        <f>SUMIFS(INDEX(Load,,MATCH('Summarized Source Data'!$C143,Hour,0)),Month,'Summarized Source Data'!$A143,Sector,'Summarized Source Data'!M$2,Subsector,'Summarized Source Data'!M$3,TimeOfWeek,$E143)*INDEX(About!I$79:I$82,MATCH($B143,About!$A$79:$A$82,0),1)</f>
        <v>143000000</v>
      </c>
      <c r="N143" s="27">
        <f>SUMIFS(INDEX(Load,,MATCH('Summarized Source Data'!$C143,Hour,0)),Month,'Summarized Source Data'!$A143,Sector,'Summarized Source Data'!N$2,Subsector,'Summarized Source Data'!N$3,TimeOfWeek,$E143)*INDEX(About!J$79:J$82,MATCH($B143,About!$A$79:$A$82,0),1)</f>
        <v>0</v>
      </c>
      <c r="O143" s="29">
        <f t="shared" si="12"/>
        <v>362298810</v>
      </c>
      <c r="P143" s="27">
        <f>(SUMIFS(INDEX(Load,,MATCH('Summarized Source Data'!$C143,Hour,0)),Month,'Summarized Source Data'!$A143,Sector,'Summarized Source Data'!P$2,Subsector,"Total",TimeOfWeek,$E143)-SUM(L143:N143)*INDEX(About!L$79:L$82,MATCH($B143,About!$A$79:$A$82,0),1))</f>
        <v>362298810</v>
      </c>
      <c r="Q143" s="29">
        <f t="shared" si="13"/>
        <v>362298810</v>
      </c>
      <c r="R143" s="33">
        <f>SUMIFS(INDEX(Load,,MATCH('Summarized Source Data'!$C143,Hour,0)),Month,'Summarized Source Data'!$A143,Sector,'Summarized Source Data'!R$2,TimeOfWeek,$E143)*INDEX(About!N$79:N$82,MATCH($B143,About!$A$79:$A$82,0),1)</f>
        <v>12000000</v>
      </c>
      <c r="S143" s="33">
        <f>SUMIFS(INDEX(Load,,MATCH('Summarized Source Data'!$C143,Hour,0)),Month,'Summarized Source Data'!$A143,Sector,'Summarized Source Data'!S$2,TimeOfWeek,$E143)*INDEX(About!O$79:O$82,MATCH($B143,About!$A$79:$A$82,0),1)</f>
        <v>12000000</v>
      </c>
      <c r="T143" s="33">
        <f>SUMIFS(INDEX(Load,,MATCH('Summarized Source Data'!$C143,Hour,0)),Month,'Summarized Source Data'!$A143,Sector,'Summarized Source Data'!T$2,TimeOfWeek,$E143)*INDEX(About!P$79:P$82,MATCH($B143,About!$A$79:$A$82,0),1)</f>
        <v>12000000</v>
      </c>
      <c r="U143" s="33">
        <f>SUMIFS(INDEX(Load,,MATCH('Summarized Source Data'!$C143,Hour,0)),Month,'Summarized Source Data'!$A143,Sector,'Summarized Source Data'!U$2,TimeOfWeek,$E143)*INDEX(About!Q$79:Q$82,MATCH($B143,About!$A$79:$A$82,0),1)</f>
        <v>12000000</v>
      </c>
      <c r="V143" s="33">
        <f>SUMIFS(INDEX(Load,,MATCH('Summarized Source Data'!$C143,Hour,0)),Month,'Summarized Source Data'!$A143,Sector,'Summarized Source Data'!V$2,TimeOfWeek,$E143)*INDEX(About!R$79:R$82,MATCH($B143,About!$A$79:$A$82,0),1)</f>
        <v>12000000</v>
      </c>
      <c r="W143" s="33">
        <f>SUMIFS(INDEX(Load,,MATCH('Summarized Source Data'!$C143,Hour,0)),Month,'Summarized Source Data'!$A143,Sector,'Summarized Source Data'!W$2,TimeOfWeek,$E143)*INDEX(About!S$79:S$82,MATCH($B143,About!$A$79:$A$82,0),1)</f>
        <v>12000000</v>
      </c>
      <c r="X143" s="27">
        <f>SUMIFS(INDEX(Load,,MATCH('Summarized Source Data'!$C143,Hour,0)),Month,'Summarized Source Data'!$A143,Sector,'Summarized Source Data'!X$2,Subsector,'Summarized Source Data'!X$3,TimeOfWeek,$E143)*INDEX(About!T$79:T$82,MATCH($B143,About!$A$79:$A$82,0),1)</f>
        <v>680000000</v>
      </c>
      <c r="Y143" s="29">
        <f t="shared" si="14"/>
        <v>680000000</v>
      </c>
      <c r="Z143" s="29">
        <f t="shared" si="14"/>
        <v>680000000</v>
      </c>
    </row>
    <row r="144" spans="1:26" outlineLevel="1" x14ac:dyDescent="0.3">
      <c r="A144">
        <f t="shared" si="10"/>
        <v>6</v>
      </c>
      <c r="B144" t="str">
        <f>INDEX('Category Mapping'!$G$28:$G$39,MATCH(A144,'Category Mapping'!$A$28:$A$39,0),1)</f>
        <v>Summer</v>
      </c>
      <c r="C144" t="s">
        <v>83</v>
      </c>
      <c r="D144" s="6" t="s">
        <v>158</v>
      </c>
      <c r="E144" t="s">
        <v>49</v>
      </c>
      <c r="F144" s="27">
        <f>SUMIFS(INDEX(Load,,MATCH('Summarized Source Data'!$C144,Hour,0)),Month,'Summarized Source Data'!$A144,Sector,'Summarized Source Data'!F$2,Subsector,'Summarized Source Data'!F$3,TimeOfWeek,$E144)*INDEX(About!B$79:B$82,MATCH($B144,About!$A$79:$A$82,0),1)</f>
        <v>443197</v>
      </c>
      <c r="G144" s="27">
        <f>SUMIFS(INDEX(Load,,MATCH('Summarized Source Data'!$C144,Hour,0)),Month,'Summarized Source Data'!$A144,Sector,'Summarized Source Data'!G$2,Subsector,'Summarized Source Data'!G$3,TimeOfWeek,$E144)*INDEX(About!C$79:C$82,MATCH($B144,About!$A$79:$A$82,0),1)</f>
        <v>33900000</v>
      </c>
      <c r="H144" s="27">
        <f>SUMIFS(INDEX(Load,,MATCH('Summarized Source Data'!$C144,Hour,0)),Month,'Summarized Source Data'!$A144,Sector,'Summarized Source Data'!H$2,Subsector,'Summarized Source Data'!H$3,TimeOfWeek,$E144)*INDEX(About!D$79:D$82,MATCH($B144,About!$A$79:$A$82,0),1)</f>
        <v>0</v>
      </c>
      <c r="I144" s="27">
        <f>SUMIFS(INDEX(Load,,MATCH('Summarized Source Data'!$C144,Hour,0)),Month,'Summarized Source Data'!$A144,Sector,'Summarized Source Data'!I$2,Subsector,'Summarized Source Data'!I$3,TimeOfWeek,$E144)*INDEX(About!E$79:E$82,MATCH($B144,About!$A$79:$A$82,0),1)</f>
        <v>55800000</v>
      </c>
      <c r="J144" s="54">
        <f t="shared" si="11"/>
        <v>145856803</v>
      </c>
      <c r="K144" s="27">
        <f>(SUMIFS(INDEX(Load,,MATCH('Summarized Source Data'!$C144,Hour,0)),Month,'Summarized Source Data'!$A144,Sector,'Summarized Source Data'!K$2,Subsector,"Total",TimeOfWeek,$E144)-SUM(F144:I144))*INDEX(About!G$79:G$82,MATCH($B144,About!$A$79:$A$82,0),1)</f>
        <v>145856803</v>
      </c>
      <c r="L144" s="27">
        <f>SUMIFS(INDEX(Load,,MATCH('Summarized Source Data'!$C144,Hour,0)),Month,'Summarized Source Data'!$A144,Sector,'Summarized Source Data'!L$2,Subsector,'Summarized Source Data'!L$3,TimeOfWeek,$E144)*INDEX(About!H$79:H$82,MATCH($B144,About!$A$79:$A$82,0),1)</f>
        <v>955758</v>
      </c>
      <c r="M144" s="27">
        <f>SUMIFS(INDEX(Load,,MATCH('Summarized Source Data'!$C144,Hour,0)),Month,'Summarized Source Data'!$A144,Sector,'Summarized Source Data'!M$2,Subsector,'Summarized Source Data'!M$3,TimeOfWeek,$E144)*INDEX(About!I$79:I$82,MATCH($B144,About!$A$79:$A$82,0),1)</f>
        <v>127000000</v>
      </c>
      <c r="N144" s="27">
        <f>SUMIFS(INDEX(Load,,MATCH('Summarized Source Data'!$C144,Hour,0)),Month,'Summarized Source Data'!$A144,Sector,'Summarized Source Data'!N$2,Subsector,'Summarized Source Data'!N$3,TimeOfWeek,$E144)*INDEX(About!J$79:J$82,MATCH($B144,About!$A$79:$A$82,0),1)</f>
        <v>0</v>
      </c>
      <c r="O144" s="29">
        <f t="shared" si="12"/>
        <v>300044242</v>
      </c>
      <c r="P144" s="27">
        <f>(SUMIFS(INDEX(Load,,MATCH('Summarized Source Data'!$C144,Hour,0)),Month,'Summarized Source Data'!$A144,Sector,'Summarized Source Data'!P$2,Subsector,"Total",TimeOfWeek,$E144)-SUM(L144:N144)*INDEX(About!L$79:L$82,MATCH($B144,About!$A$79:$A$82,0),1))</f>
        <v>300044242</v>
      </c>
      <c r="Q144" s="29">
        <f t="shared" si="13"/>
        <v>300044242</v>
      </c>
      <c r="R144" s="33">
        <f>SUMIFS(INDEX(Load,,MATCH('Summarized Source Data'!$C144,Hour,0)),Month,'Summarized Source Data'!$A144,Sector,'Summarized Source Data'!R$2,TimeOfWeek,$E144)*INDEX(About!N$79:N$82,MATCH($B144,About!$A$79:$A$82,0),1)</f>
        <v>10900000</v>
      </c>
      <c r="S144" s="33">
        <f>SUMIFS(INDEX(Load,,MATCH('Summarized Source Data'!$C144,Hour,0)),Month,'Summarized Source Data'!$A144,Sector,'Summarized Source Data'!S$2,TimeOfWeek,$E144)*INDEX(About!O$79:O$82,MATCH($B144,About!$A$79:$A$82,0),1)</f>
        <v>10900000</v>
      </c>
      <c r="T144" s="33">
        <f>SUMIFS(INDEX(Load,,MATCH('Summarized Source Data'!$C144,Hour,0)),Month,'Summarized Source Data'!$A144,Sector,'Summarized Source Data'!T$2,TimeOfWeek,$E144)*INDEX(About!P$79:P$82,MATCH($B144,About!$A$79:$A$82,0),1)</f>
        <v>10900000</v>
      </c>
      <c r="U144" s="33">
        <f>SUMIFS(INDEX(Load,,MATCH('Summarized Source Data'!$C144,Hour,0)),Month,'Summarized Source Data'!$A144,Sector,'Summarized Source Data'!U$2,TimeOfWeek,$E144)*INDEX(About!Q$79:Q$82,MATCH($B144,About!$A$79:$A$82,0),1)</f>
        <v>10900000</v>
      </c>
      <c r="V144" s="33">
        <f>SUMIFS(INDEX(Load,,MATCH('Summarized Source Data'!$C144,Hour,0)),Month,'Summarized Source Data'!$A144,Sector,'Summarized Source Data'!V$2,TimeOfWeek,$E144)*INDEX(About!R$79:R$82,MATCH($B144,About!$A$79:$A$82,0),1)</f>
        <v>10900000</v>
      </c>
      <c r="W144" s="33">
        <f>SUMIFS(INDEX(Load,,MATCH('Summarized Source Data'!$C144,Hour,0)),Month,'Summarized Source Data'!$A144,Sector,'Summarized Source Data'!W$2,TimeOfWeek,$E144)*INDEX(About!S$79:S$82,MATCH($B144,About!$A$79:$A$82,0),1)</f>
        <v>10900000</v>
      </c>
      <c r="X144" s="27">
        <f>SUMIFS(INDEX(Load,,MATCH('Summarized Source Data'!$C144,Hour,0)),Month,'Summarized Source Data'!$A144,Sector,'Summarized Source Data'!X$2,Subsector,'Summarized Source Data'!X$3,TimeOfWeek,$E144)*INDEX(About!T$79:T$82,MATCH($B144,About!$A$79:$A$82,0),1)</f>
        <v>675000000</v>
      </c>
      <c r="Y144" s="29">
        <f t="shared" si="14"/>
        <v>675000000</v>
      </c>
      <c r="Z144" s="29">
        <f t="shared" si="14"/>
        <v>675000000</v>
      </c>
    </row>
    <row r="145" spans="1:26" outlineLevel="1" x14ac:dyDescent="0.3">
      <c r="A145">
        <f t="shared" si="10"/>
        <v>6</v>
      </c>
      <c r="B145" t="str">
        <f>INDEX('Category Mapping'!$G$28:$G$39,MATCH(A145,'Category Mapping'!$A$28:$A$39,0),1)</f>
        <v>Summer</v>
      </c>
      <c r="C145" t="s">
        <v>84</v>
      </c>
      <c r="D145" s="6" t="s">
        <v>159</v>
      </c>
      <c r="E145" t="s">
        <v>49</v>
      </c>
      <c r="F145" s="27">
        <f>SUMIFS(INDEX(Load,,MATCH('Summarized Source Data'!$C145,Hour,0)),Month,'Summarized Source Data'!$A145,Sector,'Summarized Source Data'!F$2,Subsector,'Summarized Source Data'!F$3,TimeOfWeek,$E145)*INDEX(About!B$79:B$82,MATCH($B145,About!$A$79:$A$82,0),1)</f>
        <v>389350</v>
      </c>
      <c r="G145" s="27">
        <f>SUMIFS(INDEX(Load,,MATCH('Summarized Source Data'!$C145,Hour,0)),Month,'Summarized Source Data'!$A145,Sector,'Summarized Source Data'!G$2,Subsector,'Summarized Source Data'!G$3,TimeOfWeek,$E145)*INDEX(About!C$79:C$82,MATCH($B145,About!$A$79:$A$82,0),1)</f>
        <v>24600000</v>
      </c>
      <c r="H145" s="27">
        <f>SUMIFS(INDEX(Load,,MATCH('Summarized Source Data'!$C145,Hour,0)),Month,'Summarized Source Data'!$A145,Sector,'Summarized Source Data'!H$2,Subsector,'Summarized Source Data'!H$3,TimeOfWeek,$E145)*INDEX(About!D$79:D$82,MATCH($B145,About!$A$79:$A$82,0),1)</f>
        <v>0</v>
      </c>
      <c r="I145" s="27">
        <f>SUMIFS(INDEX(Load,,MATCH('Summarized Source Data'!$C145,Hour,0)),Month,'Summarized Source Data'!$A145,Sector,'Summarized Source Data'!I$2,Subsector,'Summarized Source Data'!I$3,TimeOfWeek,$E145)*INDEX(About!E$79:E$82,MATCH($B145,About!$A$79:$A$82,0),1)</f>
        <v>45700000</v>
      </c>
      <c r="J145" s="54">
        <f t="shared" si="11"/>
        <v>144310650</v>
      </c>
      <c r="K145" s="27">
        <f>(SUMIFS(INDEX(Load,,MATCH('Summarized Source Data'!$C145,Hour,0)),Month,'Summarized Source Data'!$A145,Sector,'Summarized Source Data'!K$2,Subsector,"Total",TimeOfWeek,$E145)-SUM(F145:I145))*INDEX(About!G$79:G$82,MATCH($B145,About!$A$79:$A$82,0),1)</f>
        <v>144310650</v>
      </c>
      <c r="L145" s="27">
        <f>SUMIFS(INDEX(Load,,MATCH('Summarized Source Data'!$C145,Hour,0)),Month,'Summarized Source Data'!$A145,Sector,'Summarized Source Data'!L$2,Subsector,'Summarized Source Data'!L$3,TimeOfWeek,$E145)*INDEX(About!H$79:H$82,MATCH($B145,About!$A$79:$A$82,0),1)</f>
        <v>1006258</v>
      </c>
      <c r="M145" s="27">
        <f>SUMIFS(INDEX(Load,,MATCH('Summarized Source Data'!$C145,Hour,0)),Month,'Summarized Source Data'!$A145,Sector,'Summarized Source Data'!M$2,Subsector,'Summarized Source Data'!M$3,TimeOfWeek,$E145)*INDEX(About!I$79:I$82,MATCH($B145,About!$A$79:$A$82,0),1)</f>
        <v>111000000</v>
      </c>
      <c r="N145" s="27">
        <f>SUMIFS(INDEX(Load,,MATCH('Summarized Source Data'!$C145,Hour,0)),Month,'Summarized Source Data'!$A145,Sector,'Summarized Source Data'!N$2,Subsector,'Summarized Source Data'!N$3,TimeOfWeek,$E145)*INDEX(About!J$79:J$82,MATCH($B145,About!$A$79:$A$82,0),1)</f>
        <v>0</v>
      </c>
      <c r="O145" s="29">
        <f t="shared" si="12"/>
        <v>242993742</v>
      </c>
      <c r="P145" s="27">
        <f>(SUMIFS(INDEX(Load,,MATCH('Summarized Source Data'!$C145,Hour,0)),Month,'Summarized Source Data'!$A145,Sector,'Summarized Source Data'!P$2,Subsector,"Total",TimeOfWeek,$E145)-SUM(L145:N145)*INDEX(About!L$79:L$82,MATCH($B145,About!$A$79:$A$82,0),1))</f>
        <v>242993742</v>
      </c>
      <c r="Q145" s="29">
        <f t="shared" si="13"/>
        <v>242993742</v>
      </c>
      <c r="R145" s="33">
        <f>SUMIFS(INDEX(Load,,MATCH('Summarized Source Data'!$C145,Hour,0)),Month,'Summarized Source Data'!$A145,Sector,'Summarized Source Data'!R$2,TimeOfWeek,$E145)*INDEX(About!N$79:N$82,MATCH($B145,About!$A$79:$A$82,0),1)</f>
        <v>10200000</v>
      </c>
      <c r="S145" s="33">
        <f>SUMIFS(INDEX(Load,,MATCH('Summarized Source Data'!$C145,Hour,0)),Month,'Summarized Source Data'!$A145,Sector,'Summarized Source Data'!S$2,TimeOfWeek,$E145)*INDEX(About!O$79:O$82,MATCH($B145,About!$A$79:$A$82,0),1)</f>
        <v>10200000</v>
      </c>
      <c r="T145" s="33">
        <f>SUMIFS(INDEX(Load,,MATCH('Summarized Source Data'!$C145,Hour,0)),Month,'Summarized Source Data'!$A145,Sector,'Summarized Source Data'!T$2,TimeOfWeek,$E145)*INDEX(About!P$79:P$82,MATCH($B145,About!$A$79:$A$82,0),1)</f>
        <v>10200000</v>
      </c>
      <c r="U145" s="33">
        <f>SUMIFS(INDEX(Load,,MATCH('Summarized Source Data'!$C145,Hour,0)),Month,'Summarized Source Data'!$A145,Sector,'Summarized Source Data'!U$2,TimeOfWeek,$E145)*INDEX(About!Q$79:Q$82,MATCH($B145,About!$A$79:$A$82,0),1)</f>
        <v>10200000</v>
      </c>
      <c r="V145" s="33">
        <f>SUMIFS(INDEX(Load,,MATCH('Summarized Source Data'!$C145,Hour,0)),Month,'Summarized Source Data'!$A145,Sector,'Summarized Source Data'!V$2,TimeOfWeek,$E145)*INDEX(About!R$79:R$82,MATCH($B145,About!$A$79:$A$82,0),1)</f>
        <v>10200000</v>
      </c>
      <c r="W145" s="33">
        <f>SUMIFS(INDEX(Load,,MATCH('Summarized Source Data'!$C145,Hour,0)),Month,'Summarized Source Data'!$A145,Sector,'Summarized Source Data'!W$2,TimeOfWeek,$E145)*INDEX(About!S$79:S$82,MATCH($B145,About!$A$79:$A$82,0),1)</f>
        <v>10200000</v>
      </c>
      <c r="X145" s="27">
        <f>SUMIFS(INDEX(Load,,MATCH('Summarized Source Data'!$C145,Hour,0)),Month,'Summarized Source Data'!$A145,Sector,'Summarized Source Data'!X$2,Subsector,'Summarized Source Data'!X$3,TimeOfWeek,$E145)*INDEX(About!T$79:T$82,MATCH($B145,About!$A$79:$A$82,0),1)</f>
        <v>669000000</v>
      </c>
      <c r="Y145" s="29">
        <f t="shared" si="14"/>
        <v>669000000</v>
      </c>
      <c r="Z145" s="29">
        <f t="shared" si="14"/>
        <v>669000000</v>
      </c>
    </row>
    <row r="146" spans="1:26" outlineLevel="1" x14ac:dyDescent="0.3">
      <c r="A146">
        <f t="shared" si="10"/>
        <v>6</v>
      </c>
      <c r="B146" t="str">
        <f>INDEX('Category Mapping'!$G$28:$G$39,MATCH(A146,'Category Mapping'!$A$28:$A$39,0),1)</f>
        <v>Summer</v>
      </c>
      <c r="C146" t="s">
        <v>85</v>
      </c>
      <c r="D146" s="6" t="s">
        <v>160</v>
      </c>
      <c r="E146" t="s">
        <v>49</v>
      </c>
      <c r="F146" s="27">
        <f>SUMIFS(INDEX(Load,,MATCH('Summarized Source Data'!$C146,Hour,0)),Month,'Summarized Source Data'!$A146,Sector,'Summarized Source Data'!F$2,Subsector,'Summarized Source Data'!F$3,TimeOfWeek,$E146)*INDEX(About!B$79:B$82,MATCH($B146,About!$A$79:$A$82,0),1)</f>
        <v>290720</v>
      </c>
      <c r="G146" s="27">
        <f>SUMIFS(INDEX(Load,,MATCH('Summarized Source Data'!$C146,Hour,0)),Month,'Summarized Source Data'!$A146,Sector,'Summarized Source Data'!G$2,Subsector,'Summarized Source Data'!G$3,TimeOfWeek,$E146)*INDEX(About!C$79:C$82,MATCH($B146,About!$A$79:$A$82,0),1)</f>
        <v>15300000</v>
      </c>
      <c r="H146" s="27">
        <f>SUMIFS(INDEX(Load,,MATCH('Summarized Source Data'!$C146,Hour,0)),Month,'Summarized Source Data'!$A146,Sector,'Summarized Source Data'!H$2,Subsector,'Summarized Source Data'!H$3,TimeOfWeek,$E146)*INDEX(About!D$79:D$82,MATCH($B146,About!$A$79:$A$82,0),1)</f>
        <v>0</v>
      </c>
      <c r="I146" s="27">
        <f>SUMIFS(INDEX(Load,,MATCH('Summarized Source Data'!$C146,Hour,0)),Month,'Summarized Source Data'!$A146,Sector,'Summarized Source Data'!I$2,Subsector,'Summarized Source Data'!I$3,TimeOfWeek,$E146)*INDEX(About!E$79:E$82,MATCH($B146,About!$A$79:$A$82,0),1)</f>
        <v>27100000</v>
      </c>
      <c r="J146" s="54">
        <f t="shared" si="11"/>
        <v>113309280</v>
      </c>
      <c r="K146" s="27">
        <f>(SUMIFS(INDEX(Load,,MATCH('Summarized Source Data'!$C146,Hour,0)),Month,'Summarized Source Data'!$A146,Sector,'Summarized Source Data'!K$2,Subsector,"Total",TimeOfWeek,$E146)-SUM(F146:I146))*INDEX(About!G$79:G$82,MATCH($B146,About!$A$79:$A$82,0),1)</f>
        <v>113309280</v>
      </c>
      <c r="L146" s="27">
        <f>SUMIFS(INDEX(Load,,MATCH('Summarized Source Data'!$C146,Hour,0)),Month,'Summarized Source Data'!$A146,Sector,'Summarized Source Data'!L$2,Subsector,'Summarized Source Data'!L$3,TimeOfWeek,$E146)*INDEX(About!H$79:H$82,MATCH($B146,About!$A$79:$A$82,0),1)</f>
        <v>971636</v>
      </c>
      <c r="M146" s="27">
        <f>SUMIFS(INDEX(Load,,MATCH('Summarized Source Data'!$C146,Hour,0)),Month,'Summarized Source Data'!$A146,Sector,'Summarized Source Data'!M$2,Subsector,'Summarized Source Data'!M$3,TimeOfWeek,$E146)*INDEX(About!I$79:I$82,MATCH($B146,About!$A$79:$A$82,0),1)</f>
        <v>94800000</v>
      </c>
      <c r="N146" s="27">
        <f>SUMIFS(INDEX(Load,,MATCH('Summarized Source Data'!$C146,Hour,0)),Month,'Summarized Source Data'!$A146,Sector,'Summarized Source Data'!N$2,Subsector,'Summarized Source Data'!N$3,TimeOfWeek,$E146)*INDEX(About!J$79:J$82,MATCH($B146,About!$A$79:$A$82,0),1)</f>
        <v>0</v>
      </c>
      <c r="O146" s="29">
        <f t="shared" si="12"/>
        <v>205228364</v>
      </c>
      <c r="P146" s="27">
        <f>(SUMIFS(INDEX(Load,,MATCH('Summarized Source Data'!$C146,Hour,0)),Month,'Summarized Source Data'!$A146,Sector,'Summarized Source Data'!P$2,Subsector,"Total",TimeOfWeek,$E146)-SUM(L146:N146)*INDEX(About!L$79:L$82,MATCH($B146,About!$A$79:$A$82,0),1))</f>
        <v>205228364</v>
      </c>
      <c r="Q146" s="29">
        <f t="shared" si="13"/>
        <v>205228364</v>
      </c>
      <c r="R146" s="33">
        <f>SUMIFS(INDEX(Load,,MATCH('Summarized Source Data'!$C146,Hour,0)),Month,'Summarized Source Data'!$A146,Sector,'Summarized Source Data'!R$2,TimeOfWeek,$E146)*INDEX(About!N$79:N$82,MATCH($B146,About!$A$79:$A$82,0),1)</f>
        <v>9578769</v>
      </c>
      <c r="S146" s="33">
        <f>SUMIFS(INDEX(Load,,MATCH('Summarized Source Data'!$C146,Hour,0)),Month,'Summarized Source Data'!$A146,Sector,'Summarized Source Data'!S$2,TimeOfWeek,$E146)*INDEX(About!O$79:O$82,MATCH($B146,About!$A$79:$A$82,0),1)</f>
        <v>9578769</v>
      </c>
      <c r="T146" s="33">
        <f>SUMIFS(INDEX(Load,,MATCH('Summarized Source Data'!$C146,Hour,0)),Month,'Summarized Source Data'!$A146,Sector,'Summarized Source Data'!T$2,TimeOfWeek,$E146)*INDEX(About!P$79:P$82,MATCH($B146,About!$A$79:$A$82,0),1)</f>
        <v>9578769</v>
      </c>
      <c r="U146" s="33">
        <f>SUMIFS(INDEX(Load,,MATCH('Summarized Source Data'!$C146,Hour,0)),Month,'Summarized Source Data'!$A146,Sector,'Summarized Source Data'!U$2,TimeOfWeek,$E146)*INDEX(About!Q$79:Q$82,MATCH($B146,About!$A$79:$A$82,0),1)</f>
        <v>9578769</v>
      </c>
      <c r="V146" s="33">
        <f>SUMIFS(INDEX(Load,,MATCH('Summarized Source Data'!$C146,Hour,0)),Month,'Summarized Source Data'!$A146,Sector,'Summarized Source Data'!V$2,TimeOfWeek,$E146)*INDEX(About!R$79:R$82,MATCH($B146,About!$A$79:$A$82,0),1)</f>
        <v>9578769</v>
      </c>
      <c r="W146" s="33">
        <f>SUMIFS(INDEX(Load,,MATCH('Summarized Source Data'!$C146,Hour,0)),Month,'Summarized Source Data'!$A146,Sector,'Summarized Source Data'!W$2,TimeOfWeek,$E146)*INDEX(About!S$79:S$82,MATCH($B146,About!$A$79:$A$82,0),1)</f>
        <v>9578769</v>
      </c>
      <c r="X146" s="27">
        <f>SUMIFS(INDEX(Load,,MATCH('Summarized Source Data'!$C146,Hour,0)),Month,'Summarized Source Data'!$A146,Sector,'Summarized Source Data'!X$2,Subsector,'Summarized Source Data'!X$3,TimeOfWeek,$E146)*INDEX(About!T$79:T$82,MATCH($B146,About!$A$79:$A$82,0),1)</f>
        <v>664000000</v>
      </c>
      <c r="Y146" s="29">
        <f t="shared" si="14"/>
        <v>664000000</v>
      </c>
      <c r="Z146" s="29">
        <f t="shared" si="14"/>
        <v>664000000</v>
      </c>
    </row>
    <row r="147" spans="1:26" outlineLevel="1" x14ac:dyDescent="0.3">
      <c r="A147">
        <f t="shared" si="10"/>
        <v>6</v>
      </c>
      <c r="B147" t="str">
        <f>INDEX('Category Mapping'!$G$28:$G$39,MATCH(A147,'Category Mapping'!$A$28:$A$39,0),1)</f>
        <v>Summer</v>
      </c>
      <c r="C147" t="s">
        <v>86</v>
      </c>
      <c r="D147" s="6" t="s">
        <v>161</v>
      </c>
      <c r="E147" t="s">
        <v>49</v>
      </c>
      <c r="F147" s="27">
        <f>SUMIFS(INDEX(Load,,MATCH('Summarized Source Data'!$C147,Hour,0)),Month,'Summarized Source Data'!$A147,Sector,'Summarized Source Data'!F$2,Subsector,'Summarized Source Data'!F$3,TimeOfWeek,$E147)*INDEX(About!B$79:B$82,MATCH($B147,About!$A$79:$A$82,0),1)</f>
        <v>260040</v>
      </c>
      <c r="G147" s="27">
        <f>SUMIFS(INDEX(Load,,MATCH('Summarized Source Data'!$C147,Hour,0)),Month,'Summarized Source Data'!$A147,Sector,'Summarized Source Data'!G$2,Subsector,'Summarized Source Data'!G$3,TimeOfWeek,$E147)*INDEX(About!C$79:C$82,MATCH($B147,About!$A$79:$A$82,0),1)</f>
        <v>7575886</v>
      </c>
      <c r="H147" s="27">
        <f>SUMIFS(INDEX(Load,,MATCH('Summarized Source Data'!$C147,Hour,0)),Month,'Summarized Source Data'!$A147,Sector,'Summarized Source Data'!H$2,Subsector,'Summarized Source Data'!H$3,TimeOfWeek,$E147)*INDEX(About!D$79:D$82,MATCH($B147,About!$A$79:$A$82,0),1)</f>
        <v>0</v>
      </c>
      <c r="I147" s="27">
        <f>SUMIFS(INDEX(Load,,MATCH('Summarized Source Data'!$C147,Hour,0)),Month,'Summarized Source Data'!$A147,Sector,'Summarized Source Data'!I$2,Subsector,'Summarized Source Data'!I$3,TimeOfWeek,$E147)*INDEX(About!E$79:E$82,MATCH($B147,About!$A$79:$A$82,0),1)</f>
        <v>14300000</v>
      </c>
      <c r="J147" s="54">
        <f t="shared" si="11"/>
        <v>89864074</v>
      </c>
      <c r="K147" s="27">
        <f>(SUMIFS(INDEX(Load,,MATCH('Summarized Source Data'!$C147,Hour,0)),Month,'Summarized Source Data'!$A147,Sector,'Summarized Source Data'!K$2,Subsector,"Total",TimeOfWeek,$E147)-SUM(F147:I147))*INDEX(About!G$79:G$82,MATCH($B147,About!$A$79:$A$82,0),1)</f>
        <v>89864074</v>
      </c>
      <c r="L147" s="27">
        <f>SUMIFS(INDEX(Load,,MATCH('Summarized Source Data'!$C147,Hour,0)),Month,'Summarized Source Data'!$A147,Sector,'Summarized Source Data'!L$2,Subsector,'Summarized Source Data'!L$3,TimeOfWeek,$E147)*INDEX(About!H$79:H$82,MATCH($B147,About!$A$79:$A$82,0),1)</f>
        <v>1039891</v>
      </c>
      <c r="M147" s="27">
        <f>SUMIFS(INDEX(Load,,MATCH('Summarized Source Data'!$C147,Hour,0)),Month,'Summarized Source Data'!$A147,Sector,'Summarized Source Data'!M$2,Subsector,'Summarized Source Data'!M$3,TimeOfWeek,$E147)*INDEX(About!I$79:I$82,MATCH($B147,About!$A$79:$A$82,0),1)</f>
        <v>78400000</v>
      </c>
      <c r="N147" s="27">
        <f>SUMIFS(INDEX(Load,,MATCH('Summarized Source Data'!$C147,Hour,0)),Month,'Summarized Source Data'!$A147,Sector,'Summarized Source Data'!N$2,Subsector,'Summarized Source Data'!N$3,TimeOfWeek,$E147)*INDEX(About!J$79:J$82,MATCH($B147,About!$A$79:$A$82,0),1)</f>
        <v>0</v>
      </c>
      <c r="O147" s="29">
        <f t="shared" si="12"/>
        <v>179560109</v>
      </c>
      <c r="P147" s="27">
        <f>(SUMIFS(INDEX(Load,,MATCH('Summarized Source Data'!$C147,Hour,0)),Month,'Summarized Source Data'!$A147,Sector,'Summarized Source Data'!P$2,Subsector,"Total",TimeOfWeek,$E147)-SUM(L147:N147)*INDEX(About!L$79:L$82,MATCH($B147,About!$A$79:$A$82,0),1))</f>
        <v>179560109</v>
      </c>
      <c r="Q147" s="29">
        <f t="shared" si="13"/>
        <v>179560109</v>
      </c>
      <c r="R147" s="33">
        <f>SUMIFS(INDEX(Load,,MATCH('Summarized Source Data'!$C147,Hour,0)),Month,'Summarized Source Data'!$A147,Sector,'Summarized Source Data'!R$2,TimeOfWeek,$E147)*INDEX(About!N$79:N$82,MATCH($B147,About!$A$79:$A$82,0),1)</f>
        <v>6450460</v>
      </c>
      <c r="S147" s="33">
        <f>SUMIFS(INDEX(Load,,MATCH('Summarized Source Data'!$C147,Hour,0)),Month,'Summarized Source Data'!$A147,Sector,'Summarized Source Data'!S$2,TimeOfWeek,$E147)*INDEX(About!O$79:O$82,MATCH($B147,About!$A$79:$A$82,0),1)</f>
        <v>6450460</v>
      </c>
      <c r="T147" s="33">
        <f>SUMIFS(INDEX(Load,,MATCH('Summarized Source Data'!$C147,Hour,0)),Month,'Summarized Source Data'!$A147,Sector,'Summarized Source Data'!T$2,TimeOfWeek,$E147)*INDEX(About!P$79:P$82,MATCH($B147,About!$A$79:$A$82,0),1)</f>
        <v>6450460</v>
      </c>
      <c r="U147" s="33">
        <f>SUMIFS(INDEX(Load,,MATCH('Summarized Source Data'!$C147,Hour,0)),Month,'Summarized Source Data'!$A147,Sector,'Summarized Source Data'!U$2,TimeOfWeek,$E147)*INDEX(About!Q$79:Q$82,MATCH($B147,About!$A$79:$A$82,0),1)</f>
        <v>6450460</v>
      </c>
      <c r="V147" s="33">
        <f>SUMIFS(INDEX(Load,,MATCH('Summarized Source Data'!$C147,Hour,0)),Month,'Summarized Source Data'!$A147,Sector,'Summarized Source Data'!V$2,TimeOfWeek,$E147)*INDEX(About!R$79:R$82,MATCH($B147,About!$A$79:$A$82,0),1)</f>
        <v>6450460</v>
      </c>
      <c r="W147" s="33">
        <f>SUMIFS(INDEX(Load,,MATCH('Summarized Source Data'!$C147,Hour,0)),Month,'Summarized Source Data'!$A147,Sector,'Summarized Source Data'!W$2,TimeOfWeek,$E147)*INDEX(About!S$79:S$82,MATCH($B147,About!$A$79:$A$82,0),1)</f>
        <v>6450460</v>
      </c>
      <c r="X147" s="27">
        <f>SUMIFS(INDEX(Load,,MATCH('Summarized Source Data'!$C147,Hour,0)),Month,'Summarized Source Data'!$A147,Sector,'Summarized Source Data'!X$2,Subsector,'Summarized Source Data'!X$3,TimeOfWeek,$E147)*INDEX(About!T$79:T$82,MATCH($B147,About!$A$79:$A$82,0),1)</f>
        <v>660000000</v>
      </c>
      <c r="Y147" s="29">
        <f t="shared" si="14"/>
        <v>660000000</v>
      </c>
      <c r="Z147" s="29">
        <f t="shared" si="14"/>
        <v>660000000</v>
      </c>
    </row>
    <row r="148" spans="1:26" outlineLevel="1" x14ac:dyDescent="0.3">
      <c r="A148">
        <f t="shared" si="10"/>
        <v>7</v>
      </c>
      <c r="B148" t="str">
        <f>INDEX('Category Mapping'!$G$28:$G$39,MATCH(A148,'Category Mapping'!$A$28:$A$39,0),1)</f>
        <v>Summer</v>
      </c>
      <c r="C148" t="s">
        <v>63</v>
      </c>
      <c r="D148" s="6" t="s">
        <v>138</v>
      </c>
      <c r="E148" t="s">
        <v>49</v>
      </c>
      <c r="F148" s="27">
        <f>SUMIFS(INDEX(Load,,MATCH('Summarized Source Data'!$C148,Hour,0)),Month,'Summarized Source Data'!$A148,Sector,'Summarized Source Data'!F$2,Subsector,'Summarized Source Data'!F$3,TimeOfWeek,$E148)*INDEX(About!B$79:B$82,MATCH($B148,About!$A$79:$A$82,0),1)</f>
        <v>51165</v>
      </c>
      <c r="G148" s="27">
        <f>SUMIFS(INDEX(Load,,MATCH('Summarized Source Data'!$C148,Hour,0)),Month,'Summarized Source Data'!$A148,Sector,'Summarized Source Data'!G$2,Subsector,'Summarized Source Data'!G$3,TimeOfWeek,$E148)*INDEX(About!C$79:C$82,MATCH($B148,About!$A$79:$A$82,0),1)</f>
        <v>53400000</v>
      </c>
      <c r="H148" s="27">
        <f>SUMIFS(INDEX(Load,,MATCH('Summarized Source Data'!$C148,Hour,0)),Month,'Summarized Source Data'!$A148,Sector,'Summarized Source Data'!H$2,Subsector,'Summarized Source Data'!H$3,TimeOfWeek,$E148)*INDEX(About!D$79:D$82,MATCH($B148,About!$A$79:$A$82,0),1)</f>
        <v>0</v>
      </c>
      <c r="I148" s="27">
        <f>SUMIFS(INDEX(Load,,MATCH('Summarized Source Data'!$C148,Hour,0)),Month,'Summarized Source Data'!$A148,Sector,'Summarized Source Data'!I$2,Subsector,'Summarized Source Data'!I$3,TimeOfWeek,$E148)*INDEX(About!E$79:E$82,MATCH($B148,About!$A$79:$A$82,0),1)</f>
        <v>10100000</v>
      </c>
      <c r="J148" s="54">
        <f t="shared" si="11"/>
        <v>74448835</v>
      </c>
      <c r="K148" s="27">
        <f>(SUMIFS(INDEX(Load,,MATCH('Summarized Source Data'!$C148,Hour,0)),Month,'Summarized Source Data'!$A148,Sector,'Summarized Source Data'!K$2,Subsector,"Total",TimeOfWeek,$E148)-SUM(F148:I148))*INDEX(About!G$79:G$82,MATCH($B148,About!$A$79:$A$82,0),1)</f>
        <v>74448835</v>
      </c>
      <c r="L148" s="27">
        <f>SUMIFS(INDEX(Load,,MATCH('Summarized Source Data'!$C148,Hour,0)),Month,'Summarized Source Data'!$A148,Sector,'Summarized Source Data'!L$2,Subsector,'Summarized Source Data'!L$3,TimeOfWeek,$E148)*INDEX(About!H$79:H$82,MATCH($B148,About!$A$79:$A$82,0),1)</f>
        <v>198366</v>
      </c>
      <c r="M148" s="27">
        <f>SUMIFS(INDEX(Load,,MATCH('Summarized Source Data'!$C148,Hour,0)),Month,'Summarized Source Data'!$A148,Sector,'Summarized Source Data'!M$2,Subsector,'Summarized Source Data'!M$3,TimeOfWeek,$E148)*INDEX(About!I$79:I$82,MATCH($B148,About!$A$79:$A$82,0),1)</f>
        <v>214000000</v>
      </c>
      <c r="N148" s="27">
        <f>SUMIFS(INDEX(Load,,MATCH('Summarized Source Data'!$C148,Hour,0)),Month,'Summarized Source Data'!$A148,Sector,'Summarized Source Data'!N$2,Subsector,'Summarized Source Data'!N$3,TimeOfWeek,$E148)*INDEX(About!J$79:J$82,MATCH($B148,About!$A$79:$A$82,0),1)</f>
        <v>0</v>
      </c>
      <c r="O148" s="29">
        <f t="shared" si="12"/>
        <v>150801634</v>
      </c>
      <c r="P148" s="27">
        <f>(SUMIFS(INDEX(Load,,MATCH('Summarized Source Data'!$C148,Hour,0)),Month,'Summarized Source Data'!$A148,Sector,'Summarized Source Data'!P$2,Subsector,"Total",TimeOfWeek,$E148)-SUM(L148:N148)*INDEX(About!L$79:L$82,MATCH($B148,About!$A$79:$A$82,0),1))</f>
        <v>150801634</v>
      </c>
      <c r="Q148" s="29">
        <f t="shared" si="13"/>
        <v>150801634</v>
      </c>
      <c r="R148" s="33">
        <f>SUMIFS(INDEX(Load,,MATCH('Summarized Source Data'!$C148,Hour,0)),Month,'Summarized Source Data'!$A148,Sector,'Summarized Source Data'!R$2,TimeOfWeek,$E148)*INDEX(About!N$79:N$82,MATCH($B148,About!$A$79:$A$82,0),1)</f>
        <v>4242712</v>
      </c>
      <c r="S148" s="33">
        <f>SUMIFS(INDEX(Load,,MATCH('Summarized Source Data'!$C148,Hour,0)),Month,'Summarized Source Data'!$A148,Sector,'Summarized Source Data'!S$2,TimeOfWeek,$E148)*INDEX(About!O$79:O$82,MATCH($B148,About!$A$79:$A$82,0),1)</f>
        <v>4242712</v>
      </c>
      <c r="T148" s="33">
        <f>SUMIFS(INDEX(Load,,MATCH('Summarized Source Data'!$C148,Hour,0)),Month,'Summarized Source Data'!$A148,Sector,'Summarized Source Data'!T$2,TimeOfWeek,$E148)*INDEX(About!P$79:P$82,MATCH($B148,About!$A$79:$A$82,0),1)</f>
        <v>4242712</v>
      </c>
      <c r="U148" s="33">
        <f>SUMIFS(INDEX(Load,,MATCH('Summarized Source Data'!$C148,Hour,0)),Month,'Summarized Source Data'!$A148,Sector,'Summarized Source Data'!U$2,TimeOfWeek,$E148)*INDEX(About!Q$79:Q$82,MATCH($B148,About!$A$79:$A$82,0),1)</f>
        <v>4242712</v>
      </c>
      <c r="V148" s="33">
        <f>SUMIFS(INDEX(Load,,MATCH('Summarized Source Data'!$C148,Hour,0)),Month,'Summarized Source Data'!$A148,Sector,'Summarized Source Data'!V$2,TimeOfWeek,$E148)*INDEX(About!R$79:R$82,MATCH($B148,About!$A$79:$A$82,0),1)</f>
        <v>4242712</v>
      </c>
      <c r="W148" s="33">
        <f>SUMIFS(INDEX(Load,,MATCH('Summarized Source Data'!$C148,Hour,0)),Month,'Summarized Source Data'!$A148,Sector,'Summarized Source Data'!W$2,TimeOfWeek,$E148)*INDEX(About!S$79:S$82,MATCH($B148,About!$A$79:$A$82,0),1)</f>
        <v>4242712</v>
      </c>
      <c r="X148" s="27">
        <f>SUMIFS(INDEX(Load,,MATCH('Summarized Source Data'!$C148,Hour,0)),Month,'Summarized Source Data'!$A148,Sector,'Summarized Source Data'!X$2,Subsector,'Summarized Source Data'!X$3,TimeOfWeek,$E148)*INDEX(About!T$79:T$82,MATCH($B148,About!$A$79:$A$82,0),1)</f>
        <v>618000000</v>
      </c>
      <c r="Y148" s="29">
        <f t="shared" si="14"/>
        <v>618000000</v>
      </c>
      <c r="Z148" s="29">
        <f t="shared" si="14"/>
        <v>618000000</v>
      </c>
    </row>
    <row r="149" spans="1:26" outlineLevel="1" x14ac:dyDescent="0.3">
      <c r="A149">
        <f t="shared" si="10"/>
        <v>7</v>
      </c>
      <c r="B149" t="str">
        <f>INDEX('Category Mapping'!$G$28:$G$39,MATCH(A149,'Category Mapping'!$A$28:$A$39,0),1)</f>
        <v>Summer</v>
      </c>
      <c r="C149" t="s">
        <v>64</v>
      </c>
      <c r="D149" s="6" t="s">
        <v>139</v>
      </c>
      <c r="E149" t="s">
        <v>49</v>
      </c>
      <c r="F149" s="27">
        <f>SUMIFS(INDEX(Load,,MATCH('Summarized Source Data'!$C149,Hour,0)),Month,'Summarized Source Data'!$A149,Sector,'Summarized Source Data'!F$2,Subsector,'Summarized Source Data'!F$3,TimeOfWeek,$E149)*INDEX(About!B$79:B$82,MATCH($B149,About!$A$79:$A$82,0),1)</f>
        <v>51165</v>
      </c>
      <c r="G149" s="27">
        <f>SUMIFS(INDEX(Load,,MATCH('Summarized Source Data'!$C149,Hour,0)),Month,'Summarized Source Data'!$A149,Sector,'Summarized Source Data'!G$2,Subsector,'Summarized Source Data'!G$3,TimeOfWeek,$E149)*INDEX(About!C$79:C$82,MATCH($B149,About!$A$79:$A$82,0),1)</f>
        <v>48800000</v>
      </c>
      <c r="H149" s="27">
        <f>SUMIFS(INDEX(Load,,MATCH('Summarized Source Data'!$C149,Hour,0)),Month,'Summarized Source Data'!$A149,Sector,'Summarized Source Data'!H$2,Subsector,'Summarized Source Data'!H$3,TimeOfWeek,$E149)*INDEX(About!D$79:D$82,MATCH($B149,About!$A$79:$A$82,0),1)</f>
        <v>0</v>
      </c>
      <c r="I149" s="27">
        <f>SUMIFS(INDEX(Load,,MATCH('Summarized Source Data'!$C149,Hour,0)),Month,'Summarized Source Data'!$A149,Sector,'Summarized Source Data'!I$2,Subsector,'Summarized Source Data'!I$3,TimeOfWeek,$E149)*INDEX(About!E$79:E$82,MATCH($B149,About!$A$79:$A$82,0),1)</f>
        <v>9303487</v>
      </c>
      <c r="J149" s="54">
        <f t="shared" si="11"/>
        <v>53845348</v>
      </c>
      <c r="K149" s="27">
        <f>(SUMIFS(INDEX(Load,,MATCH('Summarized Source Data'!$C149,Hour,0)),Month,'Summarized Source Data'!$A149,Sector,'Summarized Source Data'!K$2,Subsector,"Total",TimeOfWeek,$E149)-SUM(F149:I149))*INDEX(About!G$79:G$82,MATCH($B149,About!$A$79:$A$82,0),1)</f>
        <v>53845348</v>
      </c>
      <c r="L149" s="27">
        <f>SUMIFS(INDEX(Load,,MATCH('Summarized Source Data'!$C149,Hour,0)),Month,'Summarized Source Data'!$A149,Sector,'Summarized Source Data'!L$2,Subsector,'Summarized Source Data'!L$3,TimeOfWeek,$E149)*INDEX(About!H$79:H$82,MATCH($B149,About!$A$79:$A$82,0),1)</f>
        <v>198366</v>
      </c>
      <c r="M149" s="27">
        <f>SUMIFS(INDEX(Load,,MATCH('Summarized Source Data'!$C149,Hour,0)),Month,'Summarized Source Data'!$A149,Sector,'Summarized Source Data'!M$2,Subsector,'Summarized Source Data'!M$3,TimeOfWeek,$E149)*INDEX(About!I$79:I$82,MATCH($B149,About!$A$79:$A$82,0),1)</f>
        <v>199000000</v>
      </c>
      <c r="N149" s="27">
        <f>SUMIFS(INDEX(Load,,MATCH('Summarized Source Data'!$C149,Hour,0)),Month,'Summarized Source Data'!$A149,Sector,'Summarized Source Data'!N$2,Subsector,'Summarized Source Data'!N$3,TimeOfWeek,$E149)*INDEX(About!J$79:J$82,MATCH($B149,About!$A$79:$A$82,0),1)</f>
        <v>0</v>
      </c>
      <c r="O149" s="29">
        <f t="shared" si="12"/>
        <v>148801634</v>
      </c>
      <c r="P149" s="27">
        <f>(SUMIFS(INDEX(Load,,MATCH('Summarized Source Data'!$C149,Hour,0)),Month,'Summarized Source Data'!$A149,Sector,'Summarized Source Data'!P$2,Subsector,"Total",TimeOfWeek,$E149)-SUM(L149:N149)*INDEX(About!L$79:L$82,MATCH($B149,About!$A$79:$A$82,0),1))</f>
        <v>148801634</v>
      </c>
      <c r="Q149" s="29">
        <f t="shared" si="13"/>
        <v>148801634</v>
      </c>
      <c r="R149" s="33">
        <f>SUMIFS(INDEX(Load,,MATCH('Summarized Source Data'!$C149,Hour,0)),Month,'Summarized Source Data'!$A149,Sector,'Summarized Source Data'!R$2,TimeOfWeek,$E149)*INDEX(About!N$79:N$82,MATCH($B149,About!$A$79:$A$82,0),1)</f>
        <v>4174892</v>
      </c>
      <c r="S149" s="33">
        <f>SUMIFS(INDEX(Load,,MATCH('Summarized Source Data'!$C149,Hour,0)),Month,'Summarized Source Data'!$A149,Sector,'Summarized Source Data'!S$2,TimeOfWeek,$E149)*INDEX(About!O$79:O$82,MATCH($B149,About!$A$79:$A$82,0),1)</f>
        <v>4174892</v>
      </c>
      <c r="T149" s="33">
        <f>SUMIFS(INDEX(Load,,MATCH('Summarized Source Data'!$C149,Hour,0)),Month,'Summarized Source Data'!$A149,Sector,'Summarized Source Data'!T$2,TimeOfWeek,$E149)*INDEX(About!P$79:P$82,MATCH($B149,About!$A$79:$A$82,0),1)</f>
        <v>4174892</v>
      </c>
      <c r="U149" s="33">
        <f>SUMIFS(INDEX(Load,,MATCH('Summarized Source Data'!$C149,Hour,0)),Month,'Summarized Source Data'!$A149,Sector,'Summarized Source Data'!U$2,TimeOfWeek,$E149)*INDEX(About!Q$79:Q$82,MATCH($B149,About!$A$79:$A$82,0),1)</f>
        <v>4174892</v>
      </c>
      <c r="V149" s="33">
        <f>SUMIFS(INDEX(Load,,MATCH('Summarized Source Data'!$C149,Hour,0)),Month,'Summarized Source Data'!$A149,Sector,'Summarized Source Data'!V$2,TimeOfWeek,$E149)*INDEX(About!R$79:R$82,MATCH($B149,About!$A$79:$A$82,0),1)</f>
        <v>4174892</v>
      </c>
      <c r="W149" s="33">
        <f>SUMIFS(INDEX(Load,,MATCH('Summarized Source Data'!$C149,Hour,0)),Month,'Summarized Source Data'!$A149,Sector,'Summarized Source Data'!W$2,TimeOfWeek,$E149)*INDEX(About!S$79:S$82,MATCH($B149,About!$A$79:$A$82,0),1)</f>
        <v>4174892</v>
      </c>
      <c r="X149" s="27">
        <f>SUMIFS(INDEX(Load,,MATCH('Summarized Source Data'!$C149,Hour,0)),Month,'Summarized Source Data'!$A149,Sector,'Summarized Source Data'!X$2,Subsector,'Summarized Source Data'!X$3,TimeOfWeek,$E149)*INDEX(About!T$79:T$82,MATCH($B149,About!$A$79:$A$82,0),1)</f>
        <v>617000000</v>
      </c>
      <c r="Y149" s="29">
        <f t="shared" si="14"/>
        <v>617000000</v>
      </c>
      <c r="Z149" s="29">
        <f t="shared" si="14"/>
        <v>617000000</v>
      </c>
    </row>
    <row r="150" spans="1:26" outlineLevel="1" x14ac:dyDescent="0.3">
      <c r="A150">
        <f t="shared" si="10"/>
        <v>7</v>
      </c>
      <c r="B150" t="str">
        <f>INDEX('Category Mapping'!$G$28:$G$39,MATCH(A150,'Category Mapping'!$A$28:$A$39,0),1)</f>
        <v>Summer</v>
      </c>
      <c r="C150" t="s">
        <v>65</v>
      </c>
      <c r="D150" s="6" t="s">
        <v>140</v>
      </c>
      <c r="E150" t="s">
        <v>49</v>
      </c>
      <c r="F150" s="27">
        <f>SUMIFS(INDEX(Load,,MATCH('Summarized Source Data'!$C150,Hour,0)),Month,'Summarized Source Data'!$A150,Sector,'Summarized Source Data'!F$2,Subsector,'Summarized Source Data'!F$3,TimeOfWeek,$E150)*INDEX(About!B$79:B$82,MATCH($B150,About!$A$79:$A$82,0),1)</f>
        <v>51165</v>
      </c>
      <c r="G150" s="27">
        <f>SUMIFS(INDEX(Load,,MATCH('Summarized Source Data'!$C150,Hour,0)),Month,'Summarized Source Data'!$A150,Sector,'Summarized Source Data'!G$2,Subsector,'Summarized Source Data'!G$3,TimeOfWeek,$E150)*INDEX(About!C$79:C$82,MATCH($B150,About!$A$79:$A$82,0),1)</f>
        <v>47300000</v>
      </c>
      <c r="H150" s="27">
        <f>SUMIFS(INDEX(Load,,MATCH('Summarized Source Data'!$C150,Hour,0)),Month,'Summarized Source Data'!$A150,Sector,'Summarized Source Data'!H$2,Subsector,'Summarized Source Data'!H$3,TimeOfWeek,$E150)*INDEX(About!D$79:D$82,MATCH($B150,About!$A$79:$A$82,0),1)</f>
        <v>0</v>
      </c>
      <c r="I150" s="27">
        <f>SUMIFS(INDEX(Load,,MATCH('Summarized Source Data'!$C150,Hour,0)),Month,'Summarized Source Data'!$A150,Sector,'Summarized Source Data'!I$2,Subsector,'Summarized Source Data'!I$3,TimeOfWeek,$E150)*INDEX(About!E$79:E$82,MATCH($B150,About!$A$79:$A$82,0),1)</f>
        <v>9212192</v>
      </c>
      <c r="J150" s="54">
        <f t="shared" si="11"/>
        <v>43436643</v>
      </c>
      <c r="K150" s="27">
        <f>(SUMIFS(INDEX(Load,,MATCH('Summarized Source Data'!$C150,Hour,0)),Month,'Summarized Source Data'!$A150,Sector,'Summarized Source Data'!K$2,Subsector,"Total",TimeOfWeek,$E150)-SUM(F150:I150))*INDEX(About!G$79:G$82,MATCH($B150,About!$A$79:$A$82,0),1)</f>
        <v>43436643</v>
      </c>
      <c r="L150" s="27">
        <f>SUMIFS(INDEX(Load,,MATCH('Summarized Source Data'!$C150,Hour,0)),Month,'Summarized Source Data'!$A150,Sector,'Summarized Source Data'!L$2,Subsector,'Summarized Source Data'!L$3,TimeOfWeek,$E150)*INDEX(About!H$79:H$82,MATCH($B150,About!$A$79:$A$82,0),1)</f>
        <v>198366</v>
      </c>
      <c r="M150" s="27">
        <f>SUMIFS(INDEX(Load,,MATCH('Summarized Source Data'!$C150,Hour,0)),Month,'Summarized Source Data'!$A150,Sector,'Summarized Source Data'!M$2,Subsector,'Summarized Source Data'!M$3,TimeOfWeek,$E150)*INDEX(About!I$79:I$82,MATCH($B150,About!$A$79:$A$82,0),1)</f>
        <v>193000000</v>
      </c>
      <c r="N150" s="27">
        <f>SUMIFS(INDEX(Load,,MATCH('Summarized Source Data'!$C150,Hour,0)),Month,'Summarized Source Data'!$A150,Sector,'Summarized Source Data'!N$2,Subsector,'Summarized Source Data'!N$3,TimeOfWeek,$E150)*INDEX(About!J$79:J$82,MATCH($B150,About!$A$79:$A$82,0),1)</f>
        <v>0</v>
      </c>
      <c r="O150" s="29">
        <f t="shared" si="12"/>
        <v>147801634</v>
      </c>
      <c r="P150" s="27">
        <f>(SUMIFS(INDEX(Load,,MATCH('Summarized Source Data'!$C150,Hour,0)),Month,'Summarized Source Data'!$A150,Sector,'Summarized Source Data'!P$2,Subsector,"Total",TimeOfWeek,$E150)-SUM(L150:N150)*INDEX(About!L$79:L$82,MATCH($B150,About!$A$79:$A$82,0),1))</f>
        <v>147801634</v>
      </c>
      <c r="Q150" s="29">
        <f t="shared" si="13"/>
        <v>147801634</v>
      </c>
      <c r="R150" s="33">
        <f>SUMIFS(INDEX(Load,,MATCH('Summarized Source Data'!$C150,Hour,0)),Month,'Summarized Source Data'!$A150,Sector,'Summarized Source Data'!R$2,TimeOfWeek,$E150)*INDEX(About!N$79:N$82,MATCH($B150,About!$A$79:$A$82,0),1)</f>
        <v>4157474</v>
      </c>
      <c r="S150" s="33">
        <f>SUMIFS(INDEX(Load,,MATCH('Summarized Source Data'!$C150,Hour,0)),Month,'Summarized Source Data'!$A150,Sector,'Summarized Source Data'!S$2,TimeOfWeek,$E150)*INDEX(About!O$79:O$82,MATCH($B150,About!$A$79:$A$82,0),1)</f>
        <v>4157474</v>
      </c>
      <c r="T150" s="33">
        <f>SUMIFS(INDEX(Load,,MATCH('Summarized Source Data'!$C150,Hour,0)),Month,'Summarized Source Data'!$A150,Sector,'Summarized Source Data'!T$2,TimeOfWeek,$E150)*INDEX(About!P$79:P$82,MATCH($B150,About!$A$79:$A$82,0),1)</f>
        <v>4157474</v>
      </c>
      <c r="U150" s="33">
        <f>SUMIFS(INDEX(Load,,MATCH('Summarized Source Data'!$C150,Hour,0)),Month,'Summarized Source Data'!$A150,Sector,'Summarized Source Data'!U$2,TimeOfWeek,$E150)*INDEX(About!Q$79:Q$82,MATCH($B150,About!$A$79:$A$82,0),1)</f>
        <v>4157474</v>
      </c>
      <c r="V150" s="33">
        <f>SUMIFS(INDEX(Load,,MATCH('Summarized Source Data'!$C150,Hour,0)),Month,'Summarized Source Data'!$A150,Sector,'Summarized Source Data'!V$2,TimeOfWeek,$E150)*INDEX(About!R$79:R$82,MATCH($B150,About!$A$79:$A$82,0),1)</f>
        <v>4157474</v>
      </c>
      <c r="W150" s="33">
        <f>SUMIFS(INDEX(Load,,MATCH('Summarized Source Data'!$C150,Hour,0)),Month,'Summarized Source Data'!$A150,Sector,'Summarized Source Data'!W$2,TimeOfWeek,$E150)*INDEX(About!S$79:S$82,MATCH($B150,About!$A$79:$A$82,0),1)</f>
        <v>4157474</v>
      </c>
      <c r="X150" s="27">
        <f>SUMIFS(INDEX(Load,,MATCH('Summarized Source Data'!$C150,Hour,0)),Month,'Summarized Source Data'!$A150,Sector,'Summarized Source Data'!X$2,Subsector,'Summarized Source Data'!X$3,TimeOfWeek,$E150)*INDEX(About!T$79:T$82,MATCH($B150,About!$A$79:$A$82,0),1)</f>
        <v>617000000</v>
      </c>
      <c r="Y150" s="29">
        <f t="shared" si="14"/>
        <v>617000000</v>
      </c>
      <c r="Z150" s="29">
        <f t="shared" si="14"/>
        <v>617000000</v>
      </c>
    </row>
    <row r="151" spans="1:26" outlineLevel="1" x14ac:dyDescent="0.3">
      <c r="A151">
        <f t="shared" si="10"/>
        <v>7</v>
      </c>
      <c r="B151" t="str">
        <f>INDEX('Category Mapping'!$G$28:$G$39,MATCH(A151,'Category Mapping'!$A$28:$A$39,0),1)</f>
        <v>Summer</v>
      </c>
      <c r="C151" t="s">
        <v>66</v>
      </c>
      <c r="D151" s="6" t="s">
        <v>141</v>
      </c>
      <c r="E151" t="s">
        <v>49</v>
      </c>
      <c r="F151" s="27">
        <f>SUMIFS(INDEX(Load,,MATCH('Summarized Source Data'!$C151,Hour,0)),Month,'Summarized Source Data'!$A151,Sector,'Summarized Source Data'!F$2,Subsector,'Summarized Source Data'!F$3,TimeOfWeek,$E151)*INDEX(About!B$79:B$82,MATCH($B151,About!$A$79:$A$82,0),1)</f>
        <v>51165</v>
      </c>
      <c r="G151" s="27">
        <f>SUMIFS(INDEX(Load,,MATCH('Summarized Source Data'!$C151,Hour,0)),Month,'Summarized Source Data'!$A151,Sector,'Summarized Source Data'!G$2,Subsector,'Summarized Source Data'!G$3,TimeOfWeek,$E151)*INDEX(About!C$79:C$82,MATCH($B151,About!$A$79:$A$82,0),1)</f>
        <v>49000000</v>
      </c>
      <c r="H151" s="27">
        <f>SUMIFS(INDEX(Load,,MATCH('Summarized Source Data'!$C151,Hour,0)),Month,'Summarized Source Data'!$A151,Sector,'Summarized Source Data'!H$2,Subsector,'Summarized Source Data'!H$3,TimeOfWeek,$E151)*INDEX(About!D$79:D$82,MATCH($B151,About!$A$79:$A$82,0),1)</f>
        <v>0</v>
      </c>
      <c r="I151" s="27">
        <f>SUMIFS(INDEX(Load,,MATCH('Summarized Source Data'!$C151,Hour,0)),Month,'Summarized Source Data'!$A151,Sector,'Summarized Source Data'!I$2,Subsector,'Summarized Source Data'!I$3,TimeOfWeek,$E151)*INDEX(About!E$79:E$82,MATCH($B151,About!$A$79:$A$82,0),1)</f>
        <v>9417556</v>
      </c>
      <c r="J151" s="54">
        <f t="shared" si="11"/>
        <v>37731279</v>
      </c>
      <c r="K151" s="27">
        <f>(SUMIFS(INDEX(Load,,MATCH('Summarized Source Data'!$C151,Hour,0)),Month,'Summarized Source Data'!$A151,Sector,'Summarized Source Data'!K$2,Subsector,"Total",TimeOfWeek,$E151)-SUM(F151:I151))*INDEX(About!G$79:G$82,MATCH($B151,About!$A$79:$A$82,0),1)</f>
        <v>37731279</v>
      </c>
      <c r="L151" s="27">
        <f>SUMIFS(INDEX(Load,,MATCH('Summarized Source Data'!$C151,Hour,0)),Month,'Summarized Source Data'!$A151,Sector,'Summarized Source Data'!L$2,Subsector,'Summarized Source Data'!L$3,TimeOfWeek,$E151)*INDEX(About!H$79:H$82,MATCH($B151,About!$A$79:$A$82,0),1)</f>
        <v>198366</v>
      </c>
      <c r="M151" s="27">
        <f>SUMIFS(INDEX(Load,,MATCH('Summarized Source Data'!$C151,Hour,0)),Month,'Summarized Source Data'!$A151,Sector,'Summarized Source Data'!M$2,Subsector,'Summarized Source Data'!M$3,TimeOfWeek,$E151)*INDEX(About!I$79:I$82,MATCH($B151,About!$A$79:$A$82,0),1)</f>
        <v>194000000</v>
      </c>
      <c r="N151" s="27">
        <f>SUMIFS(INDEX(Load,,MATCH('Summarized Source Data'!$C151,Hour,0)),Month,'Summarized Source Data'!$A151,Sector,'Summarized Source Data'!N$2,Subsector,'Summarized Source Data'!N$3,TimeOfWeek,$E151)*INDEX(About!J$79:J$82,MATCH($B151,About!$A$79:$A$82,0),1)</f>
        <v>0</v>
      </c>
      <c r="O151" s="29">
        <f t="shared" si="12"/>
        <v>153801634</v>
      </c>
      <c r="P151" s="27">
        <f>(SUMIFS(INDEX(Load,,MATCH('Summarized Source Data'!$C151,Hour,0)),Month,'Summarized Source Data'!$A151,Sector,'Summarized Source Data'!P$2,Subsector,"Total",TimeOfWeek,$E151)-SUM(L151:N151)*INDEX(About!L$79:L$82,MATCH($B151,About!$A$79:$A$82,0),1))</f>
        <v>153801634</v>
      </c>
      <c r="Q151" s="29">
        <f t="shared" si="13"/>
        <v>153801634</v>
      </c>
      <c r="R151" s="33">
        <f>SUMIFS(INDEX(Load,,MATCH('Summarized Source Data'!$C151,Hour,0)),Month,'Summarized Source Data'!$A151,Sector,'Summarized Source Data'!R$2,TimeOfWeek,$E151)*INDEX(About!N$79:N$82,MATCH($B151,About!$A$79:$A$82,0),1)</f>
        <v>4173510</v>
      </c>
      <c r="S151" s="33">
        <f>SUMIFS(INDEX(Load,,MATCH('Summarized Source Data'!$C151,Hour,0)),Month,'Summarized Source Data'!$A151,Sector,'Summarized Source Data'!S$2,TimeOfWeek,$E151)*INDEX(About!O$79:O$82,MATCH($B151,About!$A$79:$A$82,0),1)</f>
        <v>4173510</v>
      </c>
      <c r="T151" s="33">
        <f>SUMIFS(INDEX(Load,,MATCH('Summarized Source Data'!$C151,Hour,0)),Month,'Summarized Source Data'!$A151,Sector,'Summarized Source Data'!T$2,TimeOfWeek,$E151)*INDEX(About!P$79:P$82,MATCH($B151,About!$A$79:$A$82,0),1)</f>
        <v>4173510</v>
      </c>
      <c r="U151" s="33">
        <f>SUMIFS(INDEX(Load,,MATCH('Summarized Source Data'!$C151,Hour,0)),Month,'Summarized Source Data'!$A151,Sector,'Summarized Source Data'!U$2,TimeOfWeek,$E151)*INDEX(About!Q$79:Q$82,MATCH($B151,About!$A$79:$A$82,0),1)</f>
        <v>4173510</v>
      </c>
      <c r="V151" s="33">
        <f>SUMIFS(INDEX(Load,,MATCH('Summarized Source Data'!$C151,Hour,0)),Month,'Summarized Source Data'!$A151,Sector,'Summarized Source Data'!V$2,TimeOfWeek,$E151)*INDEX(About!R$79:R$82,MATCH($B151,About!$A$79:$A$82,0),1)</f>
        <v>4173510</v>
      </c>
      <c r="W151" s="33">
        <f>SUMIFS(INDEX(Load,,MATCH('Summarized Source Data'!$C151,Hour,0)),Month,'Summarized Source Data'!$A151,Sector,'Summarized Source Data'!W$2,TimeOfWeek,$E151)*INDEX(About!S$79:S$82,MATCH($B151,About!$A$79:$A$82,0),1)</f>
        <v>4173510</v>
      </c>
      <c r="X151" s="27">
        <f>SUMIFS(INDEX(Load,,MATCH('Summarized Source Data'!$C151,Hour,0)),Month,'Summarized Source Data'!$A151,Sector,'Summarized Source Data'!X$2,Subsector,'Summarized Source Data'!X$3,TimeOfWeek,$E151)*INDEX(About!T$79:T$82,MATCH($B151,About!$A$79:$A$82,0),1)</f>
        <v>617000000</v>
      </c>
      <c r="Y151" s="29">
        <f t="shared" si="14"/>
        <v>617000000</v>
      </c>
      <c r="Z151" s="29">
        <f t="shared" si="14"/>
        <v>617000000</v>
      </c>
    </row>
    <row r="152" spans="1:26" outlineLevel="1" x14ac:dyDescent="0.3">
      <c r="A152">
        <f t="shared" si="10"/>
        <v>7</v>
      </c>
      <c r="B152" t="str">
        <f>INDEX('Category Mapping'!$G$28:$G$39,MATCH(A152,'Category Mapping'!$A$28:$A$39,0),1)</f>
        <v>Summer</v>
      </c>
      <c r="C152" t="s">
        <v>67</v>
      </c>
      <c r="D152" s="6" t="s">
        <v>142</v>
      </c>
      <c r="E152" t="s">
        <v>49</v>
      </c>
      <c r="F152" s="27">
        <f>SUMIFS(INDEX(Load,,MATCH('Summarized Source Data'!$C152,Hour,0)),Month,'Summarized Source Data'!$A152,Sector,'Summarized Source Data'!F$2,Subsector,'Summarized Source Data'!F$3,TimeOfWeek,$E152)*INDEX(About!B$79:B$82,MATCH($B152,About!$A$79:$A$82,0),1)</f>
        <v>51165</v>
      </c>
      <c r="G152" s="27">
        <f>SUMIFS(INDEX(Load,,MATCH('Summarized Source Data'!$C152,Hour,0)),Month,'Summarized Source Data'!$A152,Sector,'Summarized Source Data'!G$2,Subsector,'Summarized Source Data'!G$3,TimeOfWeek,$E152)*INDEX(About!C$79:C$82,MATCH($B152,About!$A$79:$A$82,0),1)</f>
        <v>52600000</v>
      </c>
      <c r="H152" s="27">
        <f>SUMIFS(INDEX(Load,,MATCH('Summarized Source Data'!$C152,Hour,0)),Month,'Summarized Source Data'!$A152,Sector,'Summarized Source Data'!H$2,Subsector,'Summarized Source Data'!H$3,TimeOfWeek,$E152)*INDEX(About!D$79:D$82,MATCH($B152,About!$A$79:$A$82,0),1)</f>
        <v>0</v>
      </c>
      <c r="I152" s="27">
        <f>SUMIFS(INDEX(Load,,MATCH('Summarized Source Data'!$C152,Hour,0)),Month,'Summarized Source Data'!$A152,Sector,'Summarized Source Data'!I$2,Subsector,'Summarized Source Data'!I$3,TimeOfWeek,$E152)*INDEX(About!E$79:E$82,MATCH($B152,About!$A$79:$A$82,0),1)</f>
        <v>12100000</v>
      </c>
      <c r="J152" s="54">
        <f t="shared" si="11"/>
        <v>39248835</v>
      </c>
      <c r="K152" s="27">
        <f>(SUMIFS(INDEX(Load,,MATCH('Summarized Source Data'!$C152,Hour,0)),Month,'Summarized Source Data'!$A152,Sector,'Summarized Source Data'!K$2,Subsector,"Total",TimeOfWeek,$E152)-SUM(F152:I152))*INDEX(About!G$79:G$82,MATCH($B152,About!$A$79:$A$82,0),1)</f>
        <v>39248835</v>
      </c>
      <c r="L152" s="27">
        <f>SUMIFS(INDEX(Load,,MATCH('Summarized Source Data'!$C152,Hour,0)),Month,'Summarized Source Data'!$A152,Sector,'Summarized Source Data'!L$2,Subsector,'Summarized Source Data'!L$3,TimeOfWeek,$E152)*INDEX(About!H$79:H$82,MATCH($B152,About!$A$79:$A$82,0),1)</f>
        <v>198366</v>
      </c>
      <c r="M152" s="27">
        <f>SUMIFS(INDEX(Load,,MATCH('Summarized Source Data'!$C152,Hour,0)),Month,'Summarized Source Data'!$A152,Sector,'Summarized Source Data'!M$2,Subsector,'Summarized Source Data'!M$3,TimeOfWeek,$E152)*INDEX(About!I$79:I$82,MATCH($B152,About!$A$79:$A$82,0),1)</f>
        <v>200000000</v>
      </c>
      <c r="N152" s="27">
        <f>SUMIFS(INDEX(Load,,MATCH('Summarized Source Data'!$C152,Hour,0)),Month,'Summarized Source Data'!$A152,Sector,'Summarized Source Data'!N$2,Subsector,'Summarized Source Data'!N$3,TimeOfWeek,$E152)*INDEX(About!J$79:J$82,MATCH($B152,About!$A$79:$A$82,0),1)</f>
        <v>0</v>
      </c>
      <c r="O152" s="29">
        <f t="shared" si="12"/>
        <v>162801634</v>
      </c>
      <c r="P152" s="27">
        <f>(SUMIFS(INDEX(Load,,MATCH('Summarized Source Data'!$C152,Hour,0)),Month,'Summarized Source Data'!$A152,Sector,'Summarized Source Data'!P$2,Subsector,"Total",TimeOfWeek,$E152)-SUM(L152:N152)*INDEX(About!L$79:L$82,MATCH($B152,About!$A$79:$A$82,0),1))</f>
        <v>162801634</v>
      </c>
      <c r="Q152" s="29">
        <f t="shared" si="13"/>
        <v>162801634</v>
      </c>
      <c r="R152" s="33">
        <f>SUMIFS(INDEX(Load,,MATCH('Summarized Source Data'!$C152,Hour,0)),Month,'Summarized Source Data'!$A152,Sector,'Summarized Source Data'!R$2,TimeOfWeek,$E152)*INDEX(About!N$79:N$82,MATCH($B152,About!$A$79:$A$82,0),1)</f>
        <v>4156036</v>
      </c>
      <c r="S152" s="33">
        <f>SUMIFS(INDEX(Load,,MATCH('Summarized Source Data'!$C152,Hour,0)),Month,'Summarized Source Data'!$A152,Sector,'Summarized Source Data'!S$2,TimeOfWeek,$E152)*INDEX(About!O$79:O$82,MATCH($B152,About!$A$79:$A$82,0),1)</f>
        <v>4156036</v>
      </c>
      <c r="T152" s="33">
        <f>SUMIFS(INDEX(Load,,MATCH('Summarized Source Data'!$C152,Hour,0)),Month,'Summarized Source Data'!$A152,Sector,'Summarized Source Data'!T$2,TimeOfWeek,$E152)*INDEX(About!P$79:P$82,MATCH($B152,About!$A$79:$A$82,0),1)</f>
        <v>4156036</v>
      </c>
      <c r="U152" s="33">
        <f>SUMIFS(INDEX(Load,,MATCH('Summarized Source Data'!$C152,Hour,0)),Month,'Summarized Source Data'!$A152,Sector,'Summarized Source Data'!U$2,TimeOfWeek,$E152)*INDEX(About!Q$79:Q$82,MATCH($B152,About!$A$79:$A$82,0),1)</f>
        <v>4156036</v>
      </c>
      <c r="V152" s="33">
        <f>SUMIFS(INDEX(Load,,MATCH('Summarized Source Data'!$C152,Hour,0)),Month,'Summarized Source Data'!$A152,Sector,'Summarized Source Data'!V$2,TimeOfWeek,$E152)*INDEX(About!R$79:R$82,MATCH($B152,About!$A$79:$A$82,0),1)</f>
        <v>4156036</v>
      </c>
      <c r="W152" s="33">
        <f>SUMIFS(INDEX(Load,,MATCH('Summarized Source Data'!$C152,Hour,0)),Month,'Summarized Source Data'!$A152,Sector,'Summarized Source Data'!W$2,TimeOfWeek,$E152)*INDEX(About!S$79:S$82,MATCH($B152,About!$A$79:$A$82,0),1)</f>
        <v>4156036</v>
      </c>
      <c r="X152" s="27">
        <f>SUMIFS(INDEX(Load,,MATCH('Summarized Source Data'!$C152,Hour,0)),Month,'Summarized Source Data'!$A152,Sector,'Summarized Source Data'!X$2,Subsector,'Summarized Source Data'!X$3,TimeOfWeek,$E152)*INDEX(About!T$79:T$82,MATCH($B152,About!$A$79:$A$82,0),1)</f>
        <v>619000000</v>
      </c>
      <c r="Y152" s="29">
        <f t="shared" si="14"/>
        <v>619000000</v>
      </c>
      <c r="Z152" s="29">
        <f t="shared" si="14"/>
        <v>619000000</v>
      </c>
    </row>
    <row r="153" spans="1:26" outlineLevel="1" x14ac:dyDescent="0.3">
      <c r="A153">
        <f t="shared" si="10"/>
        <v>7</v>
      </c>
      <c r="B153" t="str">
        <f>INDEX('Category Mapping'!$G$28:$G$39,MATCH(A153,'Category Mapping'!$A$28:$A$39,0),1)</f>
        <v>Summer</v>
      </c>
      <c r="C153" t="s">
        <v>68</v>
      </c>
      <c r="D153" s="6" t="s">
        <v>143</v>
      </c>
      <c r="E153" t="s">
        <v>49</v>
      </c>
      <c r="F153" s="27">
        <f>SUMIFS(INDEX(Load,,MATCH('Summarized Source Data'!$C153,Hour,0)),Month,'Summarized Source Data'!$A153,Sector,'Summarized Source Data'!F$2,Subsector,'Summarized Source Data'!F$3,TimeOfWeek,$E153)*INDEX(About!B$79:B$82,MATCH($B153,About!$A$79:$A$82,0),1)</f>
        <v>76198</v>
      </c>
      <c r="G153" s="27">
        <f>SUMIFS(INDEX(Load,,MATCH('Summarized Source Data'!$C153,Hour,0)),Month,'Summarized Source Data'!$A153,Sector,'Summarized Source Data'!G$2,Subsector,'Summarized Source Data'!G$3,TimeOfWeek,$E153)*INDEX(About!C$79:C$82,MATCH($B153,About!$A$79:$A$82,0),1)</f>
        <v>55500000</v>
      </c>
      <c r="H153" s="27">
        <f>SUMIFS(INDEX(Load,,MATCH('Summarized Source Data'!$C153,Hour,0)),Month,'Summarized Source Data'!$A153,Sector,'Summarized Source Data'!H$2,Subsector,'Summarized Source Data'!H$3,TimeOfWeek,$E153)*INDEX(About!D$79:D$82,MATCH($B153,About!$A$79:$A$82,0),1)</f>
        <v>0</v>
      </c>
      <c r="I153" s="27">
        <f>SUMIFS(INDEX(Load,,MATCH('Summarized Source Data'!$C153,Hour,0)),Month,'Summarized Source Data'!$A153,Sector,'Summarized Source Data'!I$2,Subsector,'Summarized Source Data'!I$3,TimeOfWeek,$E153)*INDEX(About!E$79:E$82,MATCH($B153,About!$A$79:$A$82,0),1)</f>
        <v>14900000</v>
      </c>
      <c r="J153" s="54">
        <f t="shared" si="11"/>
        <v>53523802</v>
      </c>
      <c r="K153" s="27">
        <f>(SUMIFS(INDEX(Load,,MATCH('Summarized Source Data'!$C153,Hour,0)),Month,'Summarized Source Data'!$A153,Sector,'Summarized Source Data'!K$2,Subsector,"Total",TimeOfWeek,$E153)-SUM(F153:I153))*INDEX(About!G$79:G$82,MATCH($B153,About!$A$79:$A$82,0),1)</f>
        <v>53523802</v>
      </c>
      <c r="L153" s="27">
        <f>SUMIFS(INDEX(Load,,MATCH('Summarized Source Data'!$C153,Hour,0)),Month,'Summarized Source Data'!$A153,Sector,'Summarized Source Data'!L$2,Subsector,'Summarized Source Data'!L$3,TimeOfWeek,$E153)*INDEX(About!H$79:H$82,MATCH($B153,About!$A$79:$A$82,0),1)</f>
        <v>198366</v>
      </c>
      <c r="M153" s="27">
        <f>SUMIFS(INDEX(Load,,MATCH('Summarized Source Data'!$C153,Hour,0)),Month,'Summarized Source Data'!$A153,Sector,'Summarized Source Data'!M$2,Subsector,'Summarized Source Data'!M$3,TimeOfWeek,$E153)*INDEX(About!I$79:I$82,MATCH($B153,About!$A$79:$A$82,0),1)</f>
        <v>214000000</v>
      </c>
      <c r="N153" s="27">
        <f>SUMIFS(INDEX(Load,,MATCH('Summarized Source Data'!$C153,Hour,0)),Month,'Summarized Source Data'!$A153,Sector,'Summarized Source Data'!N$2,Subsector,'Summarized Source Data'!N$3,TimeOfWeek,$E153)*INDEX(About!J$79:J$82,MATCH($B153,About!$A$79:$A$82,0),1)</f>
        <v>0</v>
      </c>
      <c r="O153" s="29">
        <f t="shared" si="12"/>
        <v>190801634</v>
      </c>
      <c r="P153" s="27">
        <f>(SUMIFS(INDEX(Load,,MATCH('Summarized Source Data'!$C153,Hour,0)),Month,'Summarized Source Data'!$A153,Sector,'Summarized Source Data'!P$2,Subsector,"Total",TimeOfWeek,$E153)-SUM(L153:N153)*INDEX(About!L$79:L$82,MATCH($B153,About!$A$79:$A$82,0),1))</f>
        <v>190801634</v>
      </c>
      <c r="Q153" s="29">
        <f t="shared" si="13"/>
        <v>190801634</v>
      </c>
      <c r="R153" s="33">
        <f>SUMIFS(INDEX(Load,,MATCH('Summarized Source Data'!$C153,Hour,0)),Month,'Summarized Source Data'!$A153,Sector,'Summarized Source Data'!R$2,TimeOfWeek,$E153)*INDEX(About!N$79:N$82,MATCH($B153,About!$A$79:$A$82,0),1)</f>
        <v>4289243</v>
      </c>
      <c r="S153" s="33">
        <f>SUMIFS(INDEX(Load,,MATCH('Summarized Source Data'!$C153,Hour,0)),Month,'Summarized Source Data'!$A153,Sector,'Summarized Source Data'!S$2,TimeOfWeek,$E153)*INDEX(About!O$79:O$82,MATCH($B153,About!$A$79:$A$82,0),1)</f>
        <v>4289243</v>
      </c>
      <c r="T153" s="33">
        <f>SUMIFS(INDEX(Load,,MATCH('Summarized Source Data'!$C153,Hour,0)),Month,'Summarized Source Data'!$A153,Sector,'Summarized Source Data'!T$2,TimeOfWeek,$E153)*INDEX(About!P$79:P$82,MATCH($B153,About!$A$79:$A$82,0),1)</f>
        <v>4289243</v>
      </c>
      <c r="U153" s="33">
        <f>SUMIFS(INDEX(Load,,MATCH('Summarized Source Data'!$C153,Hour,0)),Month,'Summarized Source Data'!$A153,Sector,'Summarized Source Data'!U$2,TimeOfWeek,$E153)*INDEX(About!Q$79:Q$82,MATCH($B153,About!$A$79:$A$82,0),1)</f>
        <v>4289243</v>
      </c>
      <c r="V153" s="33">
        <f>SUMIFS(INDEX(Load,,MATCH('Summarized Source Data'!$C153,Hour,0)),Month,'Summarized Source Data'!$A153,Sector,'Summarized Source Data'!V$2,TimeOfWeek,$E153)*INDEX(About!R$79:R$82,MATCH($B153,About!$A$79:$A$82,0),1)</f>
        <v>4289243</v>
      </c>
      <c r="W153" s="33">
        <f>SUMIFS(INDEX(Load,,MATCH('Summarized Source Data'!$C153,Hour,0)),Month,'Summarized Source Data'!$A153,Sector,'Summarized Source Data'!W$2,TimeOfWeek,$E153)*INDEX(About!S$79:S$82,MATCH($B153,About!$A$79:$A$82,0),1)</f>
        <v>4289243</v>
      </c>
      <c r="X153" s="27">
        <f>SUMIFS(INDEX(Load,,MATCH('Summarized Source Data'!$C153,Hour,0)),Month,'Summarized Source Data'!$A153,Sector,'Summarized Source Data'!X$2,Subsector,'Summarized Source Data'!X$3,TimeOfWeek,$E153)*INDEX(About!T$79:T$82,MATCH($B153,About!$A$79:$A$82,0),1)</f>
        <v>623000000</v>
      </c>
      <c r="Y153" s="29">
        <f t="shared" si="14"/>
        <v>623000000</v>
      </c>
      <c r="Z153" s="29">
        <f t="shared" si="14"/>
        <v>623000000</v>
      </c>
    </row>
    <row r="154" spans="1:26" outlineLevel="1" x14ac:dyDescent="0.3">
      <c r="A154">
        <f t="shared" si="10"/>
        <v>7</v>
      </c>
      <c r="B154" t="str">
        <f>INDEX('Category Mapping'!$G$28:$G$39,MATCH(A154,'Category Mapping'!$A$28:$A$39,0),1)</f>
        <v>Summer</v>
      </c>
      <c r="C154" t="s">
        <v>69</v>
      </c>
      <c r="D154" s="6" t="s">
        <v>144</v>
      </c>
      <c r="E154" t="s">
        <v>49</v>
      </c>
      <c r="F154" s="27">
        <f>SUMIFS(INDEX(Load,,MATCH('Summarized Source Data'!$C154,Hour,0)),Month,'Summarized Source Data'!$A154,Sector,'Summarized Source Data'!F$2,Subsector,'Summarized Source Data'!F$3,TimeOfWeek,$E154)*INDEX(About!B$79:B$82,MATCH($B154,About!$A$79:$A$82,0),1)</f>
        <v>86260</v>
      </c>
      <c r="G154" s="27">
        <f>SUMIFS(INDEX(Load,,MATCH('Summarized Source Data'!$C154,Hour,0)),Month,'Summarized Source Data'!$A154,Sector,'Summarized Source Data'!G$2,Subsector,'Summarized Source Data'!G$3,TimeOfWeek,$E154)*INDEX(About!C$79:C$82,MATCH($B154,About!$A$79:$A$82,0),1)</f>
        <v>53100000</v>
      </c>
      <c r="H154" s="27">
        <f>SUMIFS(INDEX(Load,,MATCH('Summarized Source Data'!$C154,Hour,0)),Month,'Summarized Source Data'!$A154,Sector,'Summarized Source Data'!H$2,Subsector,'Summarized Source Data'!H$3,TimeOfWeek,$E154)*INDEX(About!D$79:D$82,MATCH($B154,About!$A$79:$A$82,0),1)</f>
        <v>0</v>
      </c>
      <c r="I154" s="27">
        <f>SUMIFS(INDEX(Load,,MATCH('Summarized Source Data'!$C154,Hour,0)),Month,'Summarized Source Data'!$A154,Sector,'Summarized Source Data'!I$2,Subsector,'Summarized Source Data'!I$3,TimeOfWeek,$E154)*INDEX(About!E$79:E$82,MATCH($B154,About!$A$79:$A$82,0),1)</f>
        <v>9753282</v>
      </c>
      <c r="J154" s="54">
        <f t="shared" si="11"/>
        <v>83060458</v>
      </c>
      <c r="K154" s="27">
        <f>(SUMIFS(INDEX(Load,,MATCH('Summarized Source Data'!$C154,Hour,0)),Month,'Summarized Source Data'!$A154,Sector,'Summarized Source Data'!K$2,Subsector,"Total",TimeOfWeek,$E154)-SUM(F154:I154))*INDEX(About!G$79:G$82,MATCH($B154,About!$A$79:$A$82,0),1)</f>
        <v>83060458</v>
      </c>
      <c r="L154" s="27">
        <f>SUMIFS(INDEX(Load,,MATCH('Summarized Source Data'!$C154,Hour,0)),Month,'Summarized Source Data'!$A154,Sector,'Summarized Source Data'!L$2,Subsector,'Summarized Source Data'!L$3,TimeOfWeek,$E154)*INDEX(About!H$79:H$82,MATCH($B154,About!$A$79:$A$82,0),1)</f>
        <v>198366</v>
      </c>
      <c r="M154" s="27">
        <f>SUMIFS(INDEX(Load,,MATCH('Summarized Source Data'!$C154,Hour,0)),Month,'Summarized Source Data'!$A154,Sector,'Summarized Source Data'!M$2,Subsector,'Summarized Source Data'!M$3,TimeOfWeek,$E154)*INDEX(About!I$79:I$82,MATCH($B154,About!$A$79:$A$82,0),1)</f>
        <v>242000000</v>
      </c>
      <c r="N154" s="27">
        <f>SUMIFS(INDEX(Load,,MATCH('Summarized Source Data'!$C154,Hour,0)),Month,'Summarized Source Data'!$A154,Sector,'Summarized Source Data'!N$2,Subsector,'Summarized Source Data'!N$3,TimeOfWeek,$E154)*INDEX(About!J$79:J$82,MATCH($B154,About!$A$79:$A$82,0),1)</f>
        <v>0</v>
      </c>
      <c r="O154" s="29">
        <f t="shared" si="12"/>
        <v>285801634</v>
      </c>
      <c r="P154" s="27">
        <f>(SUMIFS(INDEX(Load,,MATCH('Summarized Source Data'!$C154,Hour,0)),Month,'Summarized Source Data'!$A154,Sector,'Summarized Source Data'!P$2,Subsector,"Total",TimeOfWeek,$E154)-SUM(L154:N154)*INDEX(About!L$79:L$82,MATCH($B154,About!$A$79:$A$82,0),1))</f>
        <v>285801634</v>
      </c>
      <c r="Q154" s="29">
        <f t="shared" si="13"/>
        <v>285801634</v>
      </c>
      <c r="R154" s="33">
        <f>SUMIFS(INDEX(Load,,MATCH('Summarized Source Data'!$C154,Hour,0)),Month,'Summarized Source Data'!$A154,Sector,'Summarized Source Data'!R$2,TimeOfWeek,$E154)*INDEX(About!N$79:N$82,MATCH($B154,About!$A$79:$A$82,0),1)</f>
        <v>6473443</v>
      </c>
      <c r="S154" s="33">
        <f>SUMIFS(INDEX(Load,,MATCH('Summarized Source Data'!$C154,Hour,0)),Month,'Summarized Source Data'!$A154,Sector,'Summarized Source Data'!S$2,TimeOfWeek,$E154)*INDEX(About!O$79:O$82,MATCH($B154,About!$A$79:$A$82,0),1)</f>
        <v>6473443</v>
      </c>
      <c r="T154" s="33">
        <f>SUMIFS(INDEX(Load,,MATCH('Summarized Source Data'!$C154,Hour,0)),Month,'Summarized Source Data'!$A154,Sector,'Summarized Source Data'!T$2,TimeOfWeek,$E154)*INDEX(About!P$79:P$82,MATCH($B154,About!$A$79:$A$82,0),1)</f>
        <v>6473443</v>
      </c>
      <c r="U154" s="33">
        <f>SUMIFS(INDEX(Load,,MATCH('Summarized Source Data'!$C154,Hour,0)),Month,'Summarized Source Data'!$A154,Sector,'Summarized Source Data'!U$2,TimeOfWeek,$E154)*INDEX(About!Q$79:Q$82,MATCH($B154,About!$A$79:$A$82,0),1)</f>
        <v>6473443</v>
      </c>
      <c r="V154" s="33">
        <f>SUMIFS(INDEX(Load,,MATCH('Summarized Source Data'!$C154,Hour,0)),Month,'Summarized Source Data'!$A154,Sector,'Summarized Source Data'!V$2,TimeOfWeek,$E154)*INDEX(About!R$79:R$82,MATCH($B154,About!$A$79:$A$82,0),1)</f>
        <v>6473443</v>
      </c>
      <c r="W154" s="33">
        <f>SUMIFS(INDEX(Load,,MATCH('Summarized Source Data'!$C154,Hour,0)),Month,'Summarized Source Data'!$A154,Sector,'Summarized Source Data'!W$2,TimeOfWeek,$E154)*INDEX(About!S$79:S$82,MATCH($B154,About!$A$79:$A$82,0),1)</f>
        <v>6473443</v>
      </c>
      <c r="X154" s="27">
        <f>SUMIFS(INDEX(Load,,MATCH('Summarized Source Data'!$C154,Hour,0)),Month,'Summarized Source Data'!$A154,Sector,'Summarized Source Data'!X$2,Subsector,'Summarized Source Data'!X$3,TimeOfWeek,$E154)*INDEX(About!T$79:T$82,MATCH($B154,About!$A$79:$A$82,0),1)</f>
        <v>630000000</v>
      </c>
      <c r="Y154" s="29">
        <f t="shared" si="14"/>
        <v>630000000</v>
      </c>
      <c r="Z154" s="29">
        <f t="shared" si="14"/>
        <v>630000000</v>
      </c>
    </row>
    <row r="155" spans="1:26" outlineLevel="1" x14ac:dyDescent="0.3">
      <c r="A155">
        <f t="shared" si="10"/>
        <v>7</v>
      </c>
      <c r="B155" t="str">
        <f>INDEX('Category Mapping'!$G$28:$G$39,MATCH(A155,'Category Mapping'!$A$28:$A$39,0),1)</f>
        <v>Summer</v>
      </c>
      <c r="C155" t="s">
        <v>70</v>
      </c>
      <c r="D155" s="6" t="s">
        <v>145</v>
      </c>
      <c r="E155" t="s">
        <v>49</v>
      </c>
      <c r="F155" s="27">
        <f>SUMIFS(INDEX(Load,,MATCH('Summarized Source Data'!$C155,Hour,0)),Month,'Summarized Source Data'!$A155,Sector,'Summarized Source Data'!F$2,Subsector,'Summarized Source Data'!F$3,TimeOfWeek,$E155)*INDEX(About!B$79:B$82,MATCH($B155,About!$A$79:$A$82,0),1)</f>
        <v>87338</v>
      </c>
      <c r="G155" s="27">
        <f>SUMIFS(INDEX(Load,,MATCH('Summarized Source Data'!$C155,Hour,0)),Month,'Summarized Source Data'!$A155,Sector,'Summarized Source Data'!G$2,Subsector,'Summarized Source Data'!G$3,TimeOfWeek,$E155)*INDEX(About!C$79:C$82,MATCH($B155,About!$A$79:$A$82,0),1)</f>
        <v>46600000</v>
      </c>
      <c r="H155" s="27">
        <f>SUMIFS(INDEX(Load,,MATCH('Summarized Source Data'!$C155,Hour,0)),Month,'Summarized Source Data'!$A155,Sector,'Summarized Source Data'!H$2,Subsector,'Summarized Source Data'!H$3,TimeOfWeek,$E155)*INDEX(About!D$79:D$82,MATCH($B155,About!$A$79:$A$82,0),1)</f>
        <v>0</v>
      </c>
      <c r="I155" s="27">
        <f>SUMIFS(INDEX(Load,,MATCH('Summarized Source Data'!$C155,Hour,0)),Month,'Summarized Source Data'!$A155,Sector,'Summarized Source Data'!I$2,Subsector,'Summarized Source Data'!I$3,TimeOfWeek,$E155)*INDEX(About!E$79:E$82,MATCH($B155,About!$A$79:$A$82,0),1)</f>
        <v>9440196</v>
      </c>
      <c r="J155" s="54">
        <f t="shared" si="11"/>
        <v>105872466</v>
      </c>
      <c r="K155" s="27">
        <f>(SUMIFS(INDEX(Load,,MATCH('Summarized Source Data'!$C155,Hour,0)),Month,'Summarized Source Data'!$A155,Sector,'Summarized Source Data'!K$2,Subsector,"Total",TimeOfWeek,$E155)-SUM(F155:I155))*INDEX(About!G$79:G$82,MATCH($B155,About!$A$79:$A$82,0),1)</f>
        <v>105872466</v>
      </c>
      <c r="L155" s="27">
        <f>SUMIFS(INDEX(Load,,MATCH('Summarized Source Data'!$C155,Hour,0)),Month,'Summarized Source Data'!$A155,Sector,'Summarized Source Data'!L$2,Subsector,'Summarized Source Data'!L$3,TimeOfWeek,$E155)*INDEX(About!H$79:H$82,MATCH($B155,About!$A$79:$A$82,0),1)</f>
        <v>198366</v>
      </c>
      <c r="M155" s="27">
        <f>SUMIFS(INDEX(Load,,MATCH('Summarized Source Data'!$C155,Hour,0)),Month,'Summarized Source Data'!$A155,Sector,'Summarized Source Data'!M$2,Subsector,'Summarized Source Data'!M$3,TimeOfWeek,$E155)*INDEX(About!I$79:I$82,MATCH($B155,About!$A$79:$A$82,0),1)</f>
        <v>287000000</v>
      </c>
      <c r="N155" s="27">
        <f>SUMIFS(INDEX(Load,,MATCH('Summarized Source Data'!$C155,Hour,0)),Month,'Summarized Source Data'!$A155,Sector,'Summarized Source Data'!N$2,Subsector,'Summarized Source Data'!N$3,TimeOfWeek,$E155)*INDEX(About!J$79:J$82,MATCH($B155,About!$A$79:$A$82,0),1)</f>
        <v>0</v>
      </c>
      <c r="O155" s="29">
        <f t="shared" si="12"/>
        <v>390801634</v>
      </c>
      <c r="P155" s="27">
        <f>(SUMIFS(INDEX(Load,,MATCH('Summarized Source Data'!$C155,Hour,0)),Month,'Summarized Source Data'!$A155,Sector,'Summarized Source Data'!P$2,Subsector,"Total",TimeOfWeek,$E155)-SUM(L155:N155)*INDEX(About!L$79:L$82,MATCH($B155,About!$A$79:$A$82,0),1))</f>
        <v>390801634</v>
      </c>
      <c r="Q155" s="29">
        <f t="shared" si="13"/>
        <v>390801634</v>
      </c>
      <c r="R155" s="33">
        <f>SUMIFS(INDEX(Load,,MATCH('Summarized Source Data'!$C155,Hour,0)),Month,'Summarized Source Data'!$A155,Sector,'Summarized Source Data'!R$2,TimeOfWeek,$E155)*INDEX(About!N$79:N$82,MATCH($B155,About!$A$79:$A$82,0),1)</f>
        <v>13700000</v>
      </c>
      <c r="S155" s="33">
        <f>SUMIFS(INDEX(Load,,MATCH('Summarized Source Data'!$C155,Hour,0)),Month,'Summarized Source Data'!$A155,Sector,'Summarized Source Data'!S$2,TimeOfWeek,$E155)*INDEX(About!O$79:O$82,MATCH($B155,About!$A$79:$A$82,0),1)</f>
        <v>13700000</v>
      </c>
      <c r="T155" s="33">
        <f>SUMIFS(INDEX(Load,,MATCH('Summarized Source Data'!$C155,Hour,0)),Month,'Summarized Source Data'!$A155,Sector,'Summarized Source Data'!T$2,TimeOfWeek,$E155)*INDEX(About!P$79:P$82,MATCH($B155,About!$A$79:$A$82,0),1)</f>
        <v>13700000</v>
      </c>
      <c r="U155" s="33">
        <f>SUMIFS(INDEX(Load,,MATCH('Summarized Source Data'!$C155,Hour,0)),Month,'Summarized Source Data'!$A155,Sector,'Summarized Source Data'!U$2,TimeOfWeek,$E155)*INDEX(About!Q$79:Q$82,MATCH($B155,About!$A$79:$A$82,0),1)</f>
        <v>13700000</v>
      </c>
      <c r="V155" s="33">
        <f>SUMIFS(INDEX(Load,,MATCH('Summarized Source Data'!$C155,Hour,0)),Month,'Summarized Source Data'!$A155,Sector,'Summarized Source Data'!V$2,TimeOfWeek,$E155)*INDEX(About!R$79:R$82,MATCH($B155,About!$A$79:$A$82,0),1)</f>
        <v>13700000</v>
      </c>
      <c r="W155" s="33">
        <f>SUMIFS(INDEX(Load,,MATCH('Summarized Source Data'!$C155,Hour,0)),Month,'Summarized Source Data'!$A155,Sector,'Summarized Source Data'!W$2,TimeOfWeek,$E155)*INDEX(About!S$79:S$82,MATCH($B155,About!$A$79:$A$82,0),1)</f>
        <v>13700000</v>
      </c>
      <c r="X155" s="27">
        <f>SUMIFS(INDEX(Load,,MATCH('Summarized Source Data'!$C155,Hour,0)),Month,'Summarized Source Data'!$A155,Sector,'Summarized Source Data'!X$2,Subsector,'Summarized Source Data'!X$3,TimeOfWeek,$E155)*INDEX(About!T$79:T$82,MATCH($B155,About!$A$79:$A$82,0),1)</f>
        <v>637000000</v>
      </c>
      <c r="Y155" s="29">
        <f t="shared" si="14"/>
        <v>637000000</v>
      </c>
      <c r="Z155" s="29">
        <f t="shared" si="14"/>
        <v>637000000</v>
      </c>
    </row>
    <row r="156" spans="1:26" outlineLevel="1" x14ac:dyDescent="0.3">
      <c r="A156">
        <f t="shared" si="10"/>
        <v>7</v>
      </c>
      <c r="B156" t="str">
        <f>INDEX('Category Mapping'!$G$28:$G$39,MATCH(A156,'Category Mapping'!$A$28:$A$39,0),1)</f>
        <v>Summer</v>
      </c>
      <c r="C156" t="s">
        <v>71</v>
      </c>
      <c r="D156" s="6" t="s">
        <v>146</v>
      </c>
      <c r="E156" t="s">
        <v>49</v>
      </c>
      <c r="F156" s="27">
        <f>SUMIFS(INDEX(Load,,MATCH('Summarized Source Data'!$C156,Hour,0)),Month,'Summarized Source Data'!$A156,Sector,'Summarized Source Data'!F$2,Subsector,'Summarized Source Data'!F$3,TimeOfWeek,$E156)*INDEX(About!B$79:B$82,MATCH($B156,About!$A$79:$A$82,0),1)</f>
        <v>86657</v>
      </c>
      <c r="G156" s="27">
        <f>SUMIFS(INDEX(Load,,MATCH('Summarized Source Data'!$C156,Hour,0)),Month,'Summarized Source Data'!$A156,Sector,'Summarized Source Data'!G$2,Subsector,'Summarized Source Data'!G$3,TimeOfWeek,$E156)*INDEX(About!C$79:C$82,MATCH($B156,About!$A$79:$A$82,0),1)</f>
        <v>43700000</v>
      </c>
      <c r="H156" s="27">
        <f>SUMIFS(INDEX(Load,,MATCH('Summarized Source Data'!$C156,Hour,0)),Month,'Summarized Source Data'!$A156,Sector,'Summarized Source Data'!H$2,Subsector,'Summarized Source Data'!H$3,TimeOfWeek,$E156)*INDEX(About!D$79:D$82,MATCH($B156,About!$A$79:$A$82,0),1)</f>
        <v>0</v>
      </c>
      <c r="I156" s="27">
        <f>SUMIFS(INDEX(Load,,MATCH('Summarized Source Data'!$C156,Hour,0)),Month,'Summarized Source Data'!$A156,Sector,'Summarized Source Data'!I$2,Subsector,'Summarized Source Data'!I$3,TimeOfWeek,$E156)*INDEX(About!E$79:E$82,MATCH($B156,About!$A$79:$A$82,0),1)</f>
        <v>9245206</v>
      </c>
      <c r="J156" s="54">
        <f t="shared" si="11"/>
        <v>108968137</v>
      </c>
      <c r="K156" s="27">
        <f>(SUMIFS(INDEX(Load,,MATCH('Summarized Source Data'!$C156,Hour,0)),Month,'Summarized Source Data'!$A156,Sector,'Summarized Source Data'!K$2,Subsector,"Total",TimeOfWeek,$E156)-SUM(F156:I156))*INDEX(About!G$79:G$82,MATCH($B156,About!$A$79:$A$82,0),1)</f>
        <v>108968137</v>
      </c>
      <c r="L156" s="27">
        <f>SUMIFS(INDEX(Load,,MATCH('Summarized Source Data'!$C156,Hour,0)),Month,'Summarized Source Data'!$A156,Sector,'Summarized Source Data'!L$2,Subsector,'Summarized Source Data'!L$3,TimeOfWeek,$E156)*INDEX(About!H$79:H$82,MATCH($B156,About!$A$79:$A$82,0),1)</f>
        <v>198366</v>
      </c>
      <c r="M156" s="27">
        <f>SUMIFS(INDEX(Load,,MATCH('Summarized Source Data'!$C156,Hour,0)),Month,'Summarized Source Data'!$A156,Sector,'Summarized Source Data'!M$2,Subsector,'Summarized Source Data'!M$3,TimeOfWeek,$E156)*INDEX(About!I$79:I$82,MATCH($B156,About!$A$79:$A$82,0),1)</f>
        <v>347000000</v>
      </c>
      <c r="N156" s="27">
        <f>SUMIFS(INDEX(Load,,MATCH('Summarized Source Data'!$C156,Hour,0)),Month,'Summarized Source Data'!$A156,Sector,'Summarized Source Data'!N$2,Subsector,'Summarized Source Data'!N$3,TimeOfWeek,$E156)*INDEX(About!J$79:J$82,MATCH($B156,About!$A$79:$A$82,0),1)</f>
        <v>0</v>
      </c>
      <c r="O156" s="29">
        <f t="shared" si="12"/>
        <v>485801634</v>
      </c>
      <c r="P156" s="27">
        <f>(SUMIFS(INDEX(Load,,MATCH('Summarized Source Data'!$C156,Hour,0)),Month,'Summarized Source Data'!$A156,Sector,'Summarized Source Data'!P$2,Subsector,"Total",TimeOfWeek,$E156)-SUM(L156:N156)*INDEX(About!L$79:L$82,MATCH($B156,About!$A$79:$A$82,0),1))</f>
        <v>485801634</v>
      </c>
      <c r="Q156" s="29">
        <f t="shared" si="13"/>
        <v>485801634</v>
      </c>
      <c r="R156" s="33">
        <f>SUMIFS(INDEX(Load,,MATCH('Summarized Source Data'!$C156,Hour,0)),Month,'Summarized Source Data'!$A156,Sector,'Summarized Source Data'!R$2,TimeOfWeek,$E156)*INDEX(About!N$79:N$82,MATCH($B156,About!$A$79:$A$82,0),1)</f>
        <v>15100000</v>
      </c>
      <c r="S156" s="33">
        <f>SUMIFS(INDEX(Load,,MATCH('Summarized Source Data'!$C156,Hour,0)),Month,'Summarized Source Data'!$A156,Sector,'Summarized Source Data'!S$2,TimeOfWeek,$E156)*INDEX(About!O$79:O$82,MATCH($B156,About!$A$79:$A$82,0),1)</f>
        <v>15100000</v>
      </c>
      <c r="T156" s="33">
        <f>SUMIFS(INDEX(Load,,MATCH('Summarized Source Data'!$C156,Hour,0)),Month,'Summarized Source Data'!$A156,Sector,'Summarized Source Data'!T$2,TimeOfWeek,$E156)*INDEX(About!P$79:P$82,MATCH($B156,About!$A$79:$A$82,0),1)</f>
        <v>15100000</v>
      </c>
      <c r="U156" s="33">
        <f>SUMIFS(INDEX(Load,,MATCH('Summarized Source Data'!$C156,Hour,0)),Month,'Summarized Source Data'!$A156,Sector,'Summarized Source Data'!U$2,TimeOfWeek,$E156)*INDEX(About!Q$79:Q$82,MATCH($B156,About!$A$79:$A$82,0),1)</f>
        <v>15100000</v>
      </c>
      <c r="V156" s="33">
        <f>SUMIFS(INDEX(Load,,MATCH('Summarized Source Data'!$C156,Hour,0)),Month,'Summarized Source Data'!$A156,Sector,'Summarized Source Data'!V$2,TimeOfWeek,$E156)*INDEX(About!R$79:R$82,MATCH($B156,About!$A$79:$A$82,0),1)</f>
        <v>15100000</v>
      </c>
      <c r="W156" s="33">
        <f>SUMIFS(INDEX(Load,,MATCH('Summarized Source Data'!$C156,Hour,0)),Month,'Summarized Source Data'!$A156,Sector,'Summarized Source Data'!W$2,TimeOfWeek,$E156)*INDEX(About!S$79:S$82,MATCH($B156,About!$A$79:$A$82,0),1)</f>
        <v>15100000</v>
      </c>
      <c r="X156" s="27">
        <f>SUMIFS(INDEX(Load,,MATCH('Summarized Source Data'!$C156,Hour,0)),Month,'Summarized Source Data'!$A156,Sector,'Summarized Source Data'!X$2,Subsector,'Summarized Source Data'!X$3,TimeOfWeek,$E156)*INDEX(About!T$79:T$82,MATCH($B156,About!$A$79:$A$82,0),1)</f>
        <v>639000000</v>
      </c>
      <c r="Y156" s="29">
        <f t="shared" si="14"/>
        <v>639000000</v>
      </c>
      <c r="Z156" s="29">
        <f t="shared" si="14"/>
        <v>639000000</v>
      </c>
    </row>
    <row r="157" spans="1:26" outlineLevel="1" x14ac:dyDescent="0.3">
      <c r="A157">
        <f t="shared" si="10"/>
        <v>7</v>
      </c>
      <c r="B157" t="str">
        <f>INDEX('Category Mapping'!$G$28:$G$39,MATCH(A157,'Category Mapping'!$A$28:$A$39,0),1)</f>
        <v>Summer</v>
      </c>
      <c r="C157" t="s">
        <v>72</v>
      </c>
      <c r="D157" s="6" t="s">
        <v>147</v>
      </c>
      <c r="E157" t="s">
        <v>49</v>
      </c>
      <c r="F157" s="27">
        <f>SUMIFS(INDEX(Load,,MATCH('Summarized Source Data'!$C157,Hour,0)),Month,'Summarized Source Data'!$A157,Sector,'Summarized Source Data'!F$2,Subsector,'Summarized Source Data'!F$3,TimeOfWeek,$E157)*INDEX(About!B$79:B$82,MATCH($B157,About!$A$79:$A$82,0),1)</f>
        <v>59845</v>
      </c>
      <c r="G157" s="27">
        <f>SUMIFS(INDEX(Load,,MATCH('Summarized Source Data'!$C157,Hour,0)),Month,'Summarized Source Data'!$A157,Sector,'Summarized Source Data'!G$2,Subsector,'Summarized Source Data'!G$3,TimeOfWeek,$E157)*INDEX(About!C$79:C$82,MATCH($B157,About!$A$79:$A$82,0),1)</f>
        <v>43100000</v>
      </c>
      <c r="H157" s="27">
        <f>SUMIFS(INDEX(Load,,MATCH('Summarized Source Data'!$C157,Hour,0)),Month,'Summarized Source Data'!$A157,Sector,'Summarized Source Data'!H$2,Subsector,'Summarized Source Data'!H$3,TimeOfWeek,$E157)*INDEX(About!D$79:D$82,MATCH($B157,About!$A$79:$A$82,0),1)</f>
        <v>0</v>
      </c>
      <c r="I157" s="27">
        <f>SUMIFS(INDEX(Load,,MATCH('Summarized Source Data'!$C157,Hour,0)),Month,'Summarized Source Data'!$A157,Sector,'Summarized Source Data'!I$2,Subsector,'Summarized Source Data'!I$3,TimeOfWeek,$E157)*INDEX(About!E$79:E$82,MATCH($B157,About!$A$79:$A$82,0),1)</f>
        <v>8893428</v>
      </c>
      <c r="J157" s="54">
        <f t="shared" si="11"/>
        <v>108946727</v>
      </c>
      <c r="K157" s="27">
        <f>(SUMIFS(INDEX(Load,,MATCH('Summarized Source Data'!$C157,Hour,0)),Month,'Summarized Source Data'!$A157,Sector,'Summarized Source Data'!K$2,Subsector,"Total",TimeOfWeek,$E157)-SUM(F157:I157))*INDEX(About!G$79:G$82,MATCH($B157,About!$A$79:$A$82,0),1)</f>
        <v>108946727</v>
      </c>
      <c r="L157" s="27">
        <f>SUMIFS(INDEX(Load,,MATCH('Summarized Source Data'!$C157,Hour,0)),Month,'Summarized Source Data'!$A157,Sector,'Summarized Source Data'!L$2,Subsector,'Summarized Source Data'!L$3,TimeOfWeek,$E157)*INDEX(About!H$79:H$82,MATCH($B157,About!$A$79:$A$82,0),1)</f>
        <v>198366</v>
      </c>
      <c r="M157" s="27">
        <f>SUMIFS(INDEX(Load,,MATCH('Summarized Source Data'!$C157,Hour,0)),Month,'Summarized Source Data'!$A157,Sector,'Summarized Source Data'!M$2,Subsector,'Summarized Source Data'!M$3,TimeOfWeek,$E157)*INDEX(About!I$79:I$82,MATCH($B157,About!$A$79:$A$82,0),1)</f>
        <v>391000000</v>
      </c>
      <c r="N157" s="27">
        <f>SUMIFS(INDEX(Load,,MATCH('Summarized Source Data'!$C157,Hour,0)),Month,'Summarized Source Data'!$A157,Sector,'Summarized Source Data'!N$2,Subsector,'Summarized Source Data'!N$3,TimeOfWeek,$E157)*INDEX(About!J$79:J$82,MATCH($B157,About!$A$79:$A$82,0),1)</f>
        <v>0</v>
      </c>
      <c r="O157" s="29">
        <f t="shared" si="12"/>
        <v>512801634</v>
      </c>
      <c r="P157" s="27">
        <f>(SUMIFS(INDEX(Load,,MATCH('Summarized Source Data'!$C157,Hour,0)),Month,'Summarized Source Data'!$A157,Sector,'Summarized Source Data'!P$2,Subsector,"Total",TimeOfWeek,$E157)-SUM(L157:N157)*INDEX(About!L$79:L$82,MATCH($B157,About!$A$79:$A$82,0),1))</f>
        <v>512801634</v>
      </c>
      <c r="Q157" s="29">
        <f t="shared" si="13"/>
        <v>512801634</v>
      </c>
      <c r="R157" s="33">
        <f>SUMIFS(INDEX(Load,,MATCH('Summarized Source Data'!$C157,Hour,0)),Month,'Summarized Source Data'!$A157,Sector,'Summarized Source Data'!R$2,TimeOfWeek,$E157)*INDEX(About!N$79:N$82,MATCH($B157,About!$A$79:$A$82,0),1)</f>
        <v>13400000</v>
      </c>
      <c r="S157" s="33">
        <f>SUMIFS(INDEX(Load,,MATCH('Summarized Source Data'!$C157,Hour,0)),Month,'Summarized Source Data'!$A157,Sector,'Summarized Source Data'!S$2,TimeOfWeek,$E157)*INDEX(About!O$79:O$82,MATCH($B157,About!$A$79:$A$82,0),1)</f>
        <v>13400000</v>
      </c>
      <c r="T157" s="33">
        <f>SUMIFS(INDEX(Load,,MATCH('Summarized Source Data'!$C157,Hour,0)),Month,'Summarized Source Data'!$A157,Sector,'Summarized Source Data'!T$2,TimeOfWeek,$E157)*INDEX(About!P$79:P$82,MATCH($B157,About!$A$79:$A$82,0),1)</f>
        <v>13400000</v>
      </c>
      <c r="U157" s="33">
        <f>SUMIFS(INDEX(Load,,MATCH('Summarized Source Data'!$C157,Hour,0)),Month,'Summarized Source Data'!$A157,Sector,'Summarized Source Data'!U$2,TimeOfWeek,$E157)*INDEX(About!Q$79:Q$82,MATCH($B157,About!$A$79:$A$82,0),1)</f>
        <v>13400000</v>
      </c>
      <c r="V157" s="33">
        <f>SUMIFS(INDEX(Load,,MATCH('Summarized Source Data'!$C157,Hour,0)),Month,'Summarized Source Data'!$A157,Sector,'Summarized Source Data'!V$2,TimeOfWeek,$E157)*INDEX(About!R$79:R$82,MATCH($B157,About!$A$79:$A$82,0),1)</f>
        <v>13400000</v>
      </c>
      <c r="W157" s="33">
        <f>SUMIFS(INDEX(Load,,MATCH('Summarized Source Data'!$C157,Hour,0)),Month,'Summarized Source Data'!$A157,Sector,'Summarized Source Data'!W$2,TimeOfWeek,$E157)*INDEX(About!S$79:S$82,MATCH($B157,About!$A$79:$A$82,0),1)</f>
        <v>13400000</v>
      </c>
      <c r="X157" s="27">
        <f>SUMIFS(INDEX(Load,,MATCH('Summarized Source Data'!$C157,Hour,0)),Month,'Summarized Source Data'!$A157,Sector,'Summarized Source Data'!X$2,Subsector,'Summarized Source Data'!X$3,TimeOfWeek,$E157)*INDEX(About!T$79:T$82,MATCH($B157,About!$A$79:$A$82,0),1)</f>
        <v>638000000</v>
      </c>
      <c r="Y157" s="29">
        <f t="shared" si="14"/>
        <v>638000000</v>
      </c>
      <c r="Z157" s="29">
        <f t="shared" si="14"/>
        <v>638000000</v>
      </c>
    </row>
    <row r="158" spans="1:26" outlineLevel="1" x14ac:dyDescent="0.3">
      <c r="A158">
        <f t="shared" si="10"/>
        <v>7</v>
      </c>
      <c r="B158" t="str">
        <f>INDEX('Category Mapping'!$G$28:$G$39,MATCH(A158,'Category Mapping'!$A$28:$A$39,0),1)</f>
        <v>Summer</v>
      </c>
      <c r="C158" t="s">
        <v>73</v>
      </c>
      <c r="D158" s="6" t="s">
        <v>148</v>
      </c>
      <c r="E158" t="s">
        <v>49</v>
      </c>
      <c r="F158" s="27">
        <f>SUMIFS(INDEX(Load,,MATCH('Summarized Source Data'!$C158,Hour,0)),Month,'Summarized Source Data'!$A158,Sector,'Summarized Source Data'!F$2,Subsector,'Summarized Source Data'!F$3,TimeOfWeek,$E158)*INDEX(About!B$79:B$82,MATCH($B158,About!$A$79:$A$82,0),1)</f>
        <v>60353</v>
      </c>
      <c r="G158" s="27">
        <f>SUMIFS(INDEX(Load,,MATCH('Summarized Source Data'!$C158,Hour,0)),Month,'Summarized Source Data'!$A158,Sector,'Summarized Source Data'!G$2,Subsector,'Summarized Source Data'!G$3,TimeOfWeek,$E158)*INDEX(About!C$79:C$82,MATCH($B158,About!$A$79:$A$82,0),1)</f>
        <v>47500000</v>
      </c>
      <c r="H158" s="27">
        <f>SUMIFS(INDEX(Load,,MATCH('Summarized Source Data'!$C158,Hour,0)),Month,'Summarized Source Data'!$A158,Sector,'Summarized Source Data'!H$2,Subsector,'Summarized Source Data'!H$3,TimeOfWeek,$E158)*INDEX(About!D$79:D$82,MATCH($B158,About!$A$79:$A$82,0),1)</f>
        <v>0</v>
      </c>
      <c r="I158" s="27">
        <f>SUMIFS(INDEX(Load,,MATCH('Summarized Source Data'!$C158,Hour,0)),Month,'Summarized Source Data'!$A158,Sector,'Summarized Source Data'!I$2,Subsector,'Summarized Source Data'!I$3,TimeOfWeek,$E158)*INDEX(About!E$79:E$82,MATCH($B158,About!$A$79:$A$82,0),1)</f>
        <v>9038745</v>
      </c>
      <c r="J158" s="54">
        <f t="shared" si="11"/>
        <v>108400902</v>
      </c>
      <c r="K158" s="27">
        <f>(SUMIFS(INDEX(Load,,MATCH('Summarized Source Data'!$C158,Hour,0)),Month,'Summarized Source Data'!$A158,Sector,'Summarized Source Data'!K$2,Subsector,"Total",TimeOfWeek,$E158)-SUM(F158:I158))*INDEX(About!G$79:G$82,MATCH($B158,About!$A$79:$A$82,0),1)</f>
        <v>108400902</v>
      </c>
      <c r="L158" s="27">
        <f>SUMIFS(INDEX(Load,,MATCH('Summarized Source Data'!$C158,Hour,0)),Month,'Summarized Source Data'!$A158,Sector,'Summarized Source Data'!L$2,Subsector,'Summarized Source Data'!L$3,TimeOfWeek,$E158)*INDEX(About!H$79:H$82,MATCH($B158,About!$A$79:$A$82,0),1)</f>
        <v>198366</v>
      </c>
      <c r="M158" s="27">
        <f>SUMIFS(INDEX(Load,,MATCH('Summarized Source Data'!$C158,Hour,0)),Month,'Summarized Source Data'!$A158,Sector,'Summarized Source Data'!M$2,Subsector,'Summarized Source Data'!M$3,TimeOfWeek,$E158)*INDEX(About!I$79:I$82,MATCH($B158,About!$A$79:$A$82,0),1)</f>
        <v>422000000</v>
      </c>
      <c r="N158" s="27">
        <f>SUMIFS(INDEX(Load,,MATCH('Summarized Source Data'!$C158,Hour,0)),Month,'Summarized Source Data'!$A158,Sector,'Summarized Source Data'!N$2,Subsector,'Summarized Source Data'!N$3,TimeOfWeek,$E158)*INDEX(About!J$79:J$82,MATCH($B158,About!$A$79:$A$82,0),1)</f>
        <v>0</v>
      </c>
      <c r="O158" s="29">
        <f t="shared" si="12"/>
        <v>510801634</v>
      </c>
      <c r="P158" s="27">
        <f>(SUMIFS(INDEX(Load,,MATCH('Summarized Source Data'!$C158,Hour,0)),Month,'Summarized Source Data'!$A158,Sector,'Summarized Source Data'!P$2,Subsector,"Total",TimeOfWeek,$E158)-SUM(L158:N158)*INDEX(About!L$79:L$82,MATCH($B158,About!$A$79:$A$82,0),1))</f>
        <v>510801634</v>
      </c>
      <c r="Q158" s="29">
        <f t="shared" si="13"/>
        <v>510801634</v>
      </c>
      <c r="R158" s="33">
        <f>SUMIFS(INDEX(Load,,MATCH('Summarized Source Data'!$C158,Hour,0)),Month,'Summarized Source Data'!$A158,Sector,'Summarized Source Data'!R$2,TimeOfWeek,$E158)*INDEX(About!N$79:N$82,MATCH($B158,About!$A$79:$A$82,0),1)</f>
        <v>10700000</v>
      </c>
      <c r="S158" s="33">
        <f>SUMIFS(INDEX(Load,,MATCH('Summarized Source Data'!$C158,Hour,0)),Month,'Summarized Source Data'!$A158,Sector,'Summarized Source Data'!S$2,TimeOfWeek,$E158)*INDEX(About!O$79:O$82,MATCH($B158,About!$A$79:$A$82,0),1)</f>
        <v>10700000</v>
      </c>
      <c r="T158" s="33">
        <f>SUMIFS(INDEX(Load,,MATCH('Summarized Source Data'!$C158,Hour,0)),Month,'Summarized Source Data'!$A158,Sector,'Summarized Source Data'!T$2,TimeOfWeek,$E158)*INDEX(About!P$79:P$82,MATCH($B158,About!$A$79:$A$82,0),1)</f>
        <v>10700000</v>
      </c>
      <c r="U158" s="33">
        <f>SUMIFS(INDEX(Load,,MATCH('Summarized Source Data'!$C158,Hour,0)),Month,'Summarized Source Data'!$A158,Sector,'Summarized Source Data'!U$2,TimeOfWeek,$E158)*INDEX(About!Q$79:Q$82,MATCH($B158,About!$A$79:$A$82,0),1)</f>
        <v>10700000</v>
      </c>
      <c r="V158" s="33">
        <f>SUMIFS(INDEX(Load,,MATCH('Summarized Source Data'!$C158,Hour,0)),Month,'Summarized Source Data'!$A158,Sector,'Summarized Source Data'!V$2,TimeOfWeek,$E158)*INDEX(About!R$79:R$82,MATCH($B158,About!$A$79:$A$82,0),1)</f>
        <v>10700000</v>
      </c>
      <c r="W158" s="33">
        <f>SUMIFS(INDEX(Load,,MATCH('Summarized Source Data'!$C158,Hour,0)),Month,'Summarized Source Data'!$A158,Sector,'Summarized Source Data'!W$2,TimeOfWeek,$E158)*INDEX(About!S$79:S$82,MATCH($B158,About!$A$79:$A$82,0),1)</f>
        <v>10700000</v>
      </c>
      <c r="X158" s="27">
        <f>SUMIFS(INDEX(Load,,MATCH('Summarized Source Data'!$C158,Hour,0)),Month,'Summarized Source Data'!$A158,Sector,'Summarized Source Data'!X$2,Subsector,'Summarized Source Data'!X$3,TimeOfWeek,$E158)*INDEX(About!T$79:T$82,MATCH($B158,About!$A$79:$A$82,0),1)</f>
        <v>635000000</v>
      </c>
      <c r="Y158" s="29">
        <f t="shared" si="14"/>
        <v>635000000</v>
      </c>
      <c r="Z158" s="29">
        <f t="shared" si="14"/>
        <v>635000000</v>
      </c>
    </row>
    <row r="159" spans="1:26" outlineLevel="1" x14ac:dyDescent="0.3">
      <c r="A159">
        <f t="shared" si="10"/>
        <v>7</v>
      </c>
      <c r="B159" t="str">
        <f>INDEX('Category Mapping'!$G$28:$G$39,MATCH(A159,'Category Mapping'!$A$28:$A$39,0),1)</f>
        <v>Summer</v>
      </c>
      <c r="C159" t="s">
        <v>74</v>
      </c>
      <c r="D159" s="6" t="s">
        <v>149</v>
      </c>
      <c r="E159" t="s">
        <v>49</v>
      </c>
      <c r="F159" s="27">
        <f>SUMIFS(INDEX(Load,,MATCH('Summarized Source Data'!$C159,Hour,0)),Month,'Summarized Source Data'!$A159,Sector,'Summarized Source Data'!F$2,Subsector,'Summarized Source Data'!F$3,TimeOfWeek,$E159)*INDEX(About!B$79:B$82,MATCH($B159,About!$A$79:$A$82,0),1)</f>
        <v>63391</v>
      </c>
      <c r="G159" s="27">
        <f>SUMIFS(INDEX(Load,,MATCH('Summarized Source Data'!$C159,Hour,0)),Month,'Summarized Source Data'!$A159,Sector,'Summarized Source Data'!G$2,Subsector,'Summarized Source Data'!G$3,TimeOfWeek,$E159)*INDEX(About!C$79:C$82,MATCH($B159,About!$A$79:$A$82,0),1)</f>
        <v>57800000</v>
      </c>
      <c r="H159" s="27">
        <f>SUMIFS(INDEX(Load,,MATCH('Summarized Source Data'!$C159,Hour,0)),Month,'Summarized Source Data'!$A159,Sector,'Summarized Source Data'!H$2,Subsector,'Summarized Source Data'!H$3,TimeOfWeek,$E159)*INDEX(About!D$79:D$82,MATCH($B159,About!$A$79:$A$82,0),1)</f>
        <v>0</v>
      </c>
      <c r="I159" s="27">
        <f>SUMIFS(INDEX(Load,,MATCH('Summarized Source Data'!$C159,Hour,0)),Month,'Summarized Source Data'!$A159,Sector,'Summarized Source Data'!I$2,Subsector,'Summarized Source Data'!I$3,TimeOfWeek,$E159)*INDEX(About!E$79:E$82,MATCH($B159,About!$A$79:$A$82,0),1)</f>
        <v>9908524</v>
      </c>
      <c r="J159" s="54">
        <f t="shared" si="11"/>
        <v>109228085</v>
      </c>
      <c r="K159" s="27">
        <f>(SUMIFS(INDEX(Load,,MATCH('Summarized Source Data'!$C159,Hour,0)),Month,'Summarized Source Data'!$A159,Sector,'Summarized Source Data'!K$2,Subsector,"Total",TimeOfWeek,$E159)-SUM(F159:I159))*INDEX(About!G$79:G$82,MATCH($B159,About!$A$79:$A$82,0),1)</f>
        <v>109228085</v>
      </c>
      <c r="L159" s="27">
        <f>SUMIFS(INDEX(Load,,MATCH('Summarized Source Data'!$C159,Hour,0)),Month,'Summarized Source Data'!$A159,Sector,'Summarized Source Data'!L$2,Subsector,'Summarized Source Data'!L$3,TimeOfWeek,$E159)*INDEX(About!H$79:H$82,MATCH($B159,About!$A$79:$A$82,0),1)</f>
        <v>198366</v>
      </c>
      <c r="M159" s="27">
        <f>SUMIFS(INDEX(Load,,MATCH('Summarized Source Data'!$C159,Hour,0)),Month,'Summarized Source Data'!$A159,Sector,'Summarized Source Data'!M$2,Subsector,'Summarized Source Data'!M$3,TimeOfWeek,$E159)*INDEX(About!I$79:I$82,MATCH($B159,About!$A$79:$A$82,0),1)</f>
        <v>440000000</v>
      </c>
      <c r="N159" s="27">
        <f>SUMIFS(INDEX(Load,,MATCH('Summarized Source Data'!$C159,Hour,0)),Month,'Summarized Source Data'!$A159,Sector,'Summarized Source Data'!N$2,Subsector,'Summarized Source Data'!N$3,TimeOfWeek,$E159)*INDEX(About!J$79:J$82,MATCH($B159,About!$A$79:$A$82,0),1)</f>
        <v>0</v>
      </c>
      <c r="O159" s="29">
        <f t="shared" si="12"/>
        <v>508801634</v>
      </c>
      <c r="P159" s="27">
        <f>(SUMIFS(INDEX(Load,,MATCH('Summarized Source Data'!$C159,Hour,0)),Month,'Summarized Source Data'!$A159,Sector,'Summarized Source Data'!P$2,Subsector,"Total",TimeOfWeek,$E159)-SUM(L159:N159)*INDEX(About!L$79:L$82,MATCH($B159,About!$A$79:$A$82,0),1))</f>
        <v>508801634</v>
      </c>
      <c r="Q159" s="29">
        <f t="shared" si="13"/>
        <v>508801634</v>
      </c>
      <c r="R159" s="33">
        <f>SUMIFS(INDEX(Load,,MATCH('Summarized Source Data'!$C159,Hour,0)),Month,'Summarized Source Data'!$A159,Sector,'Summarized Source Data'!R$2,TimeOfWeek,$E159)*INDEX(About!N$79:N$82,MATCH($B159,About!$A$79:$A$82,0),1)</f>
        <v>10700000</v>
      </c>
      <c r="S159" s="33">
        <f>SUMIFS(INDEX(Load,,MATCH('Summarized Source Data'!$C159,Hour,0)),Month,'Summarized Source Data'!$A159,Sector,'Summarized Source Data'!S$2,TimeOfWeek,$E159)*INDEX(About!O$79:O$82,MATCH($B159,About!$A$79:$A$82,0),1)</f>
        <v>10700000</v>
      </c>
      <c r="T159" s="33">
        <f>SUMIFS(INDEX(Load,,MATCH('Summarized Source Data'!$C159,Hour,0)),Month,'Summarized Source Data'!$A159,Sector,'Summarized Source Data'!T$2,TimeOfWeek,$E159)*INDEX(About!P$79:P$82,MATCH($B159,About!$A$79:$A$82,0),1)</f>
        <v>10700000</v>
      </c>
      <c r="U159" s="33">
        <f>SUMIFS(INDEX(Load,,MATCH('Summarized Source Data'!$C159,Hour,0)),Month,'Summarized Source Data'!$A159,Sector,'Summarized Source Data'!U$2,TimeOfWeek,$E159)*INDEX(About!Q$79:Q$82,MATCH($B159,About!$A$79:$A$82,0),1)</f>
        <v>10700000</v>
      </c>
      <c r="V159" s="33">
        <f>SUMIFS(INDEX(Load,,MATCH('Summarized Source Data'!$C159,Hour,0)),Month,'Summarized Source Data'!$A159,Sector,'Summarized Source Data'!V$2,TimeOfWeek,$E159)*INDEX(About!R$79:R$82,MATCH($B159,About!$A$79:$A$82,0),1)</f>
        <v>10700000</v>
      </c>
      <c r="W159" s="33">
        <f>SUMIFS(INDEX(Load,,MATCH('Summarized Source Data'!$C159,Hour,0)),Month,'Summarized Source Data'!$A159,Sector,'Summarized Source Data'!W$2,TimeOfWeek,$E159)*INDEX(About!S$79:S$82,MATCH($B159,About!$A$79:$A$82,0),1)</f>
        <v>10700000</v>
      </c>
      <c r="X159" s="27">
        <f>SUMIFS(INDEX(Load,,MATCH('Summarized Source Data'!$C159,Hour,0)),Month,'Summarized Source Data'!$A159,Sector,'Summarized Source Data'!X$2,Subsector,'Summarized Source Data'!X$3,TimeOfWeek,$E159)*INDEX(About!T$79:T$82,MATCH($B159,About!$A$79:$A$82,0),1)</f>
        <v>633000000</v>
      </c>
      <c r="Y159" s="29">
        <f t="shared" si="14"/>
        <v>633000000</v>
      </c>
      <c r="Z159" s="29">
        <f t="shared" si="14"/>
        <v>633000000</v>
      </c>
    </row>
    <row r="160" spans="1:26" outlineLevel="1" x14ac:dyDescent="0.3">
      <c r="A160">
        <f t="shared" si="10"/>
        <v>7</v>
      </c>
      <c r="B160" t="str">
        <f>INDEX('Category Mapping'!$G$28:$G$39,MATCH(A160,'Category Mapping'!$A$28:$A$39,0),1)</f>
        <v>Summer</v>
      </c>
      <c r="C160" t="s">
        <v>75</v>
      </c>
      <c r="D160" s="6" t="s">
        <v>150</v>
      </c>
      <c r="E160" t="s">
        <v>49</v>
      </c>
      <c r="F160" s="27">
        <f>SUMIFS(INDEX(Load,,MATCH('Summarized Source Data'!$C160,Hour,0)),Month,'Summarized Source Data'!$A160,Sector,'Summarized Source Data'!F$2,Subsector,'Summarized Source Data'!F$3,TimeOfWeek,$E160)*INDEX(About!B$79:B$82,MATCH($B160,About!$A$79:$A$82,0),1)</f>
        <v>65252</v>
      </c>
      <c r="G160" s="27">
        <f>SUMIFS(INDEX(Load,,MATCH('Summarized Source Data'!$C160,Hour,0)),Month,'Summarized Source Data'!$A160,Sector,'Summarized Source Data'!G$2,Subsector,'Summarized Source Data'!G$3,TimeOfWeek,$E160)*INDEX(About!C$79:C$82,MATCH($B160,About!$A$79:$A$82,0),1)</f>
        <v>66700000</v>
      </c>
      <c r="H160" s="27">
        <f>SUMIFS(INDEX(Load,,MATCH('Summarized Source Data'!$C160,Hour,0)),Month,'Summarized Source Data'!$A160,Sector,'Summarized Source Data'!H$2,Subsector,'Summarized Source Data'!H$3,TimeOfWeek,$E160)*INDEX(About!D$79:D$82,MATCH($B160,About!$A$79:$A$82,0),1)</f>
        <v>0</v>
      </c>
      <c r="I160" s="27">
        <f>SUMIFS(INDEX(Load,,MATCH('Summarized Source Data'!$C160,Hour,0)),Month,'Summarized Source Data'!$A160,Sector,'Summarized Source Data'!I$2,Subsector,'Summarized Source Data'!I$3,TimeOfWeek,$E160)*INDEX(About!E$79:E$82,MATCH($B160,About!$A$79:$A$82,0),1)</f>
        <v>10400000</v>
      </c>
      <c r="J160" s="54">
        <f t="shared" si="11"/>
        <v>105834748</v>
      </c>
      <c r="K160" s="27">
        <f>(SUMIFS(INDEX(Load,,MATCH('Summarized Source Data'!$C160,Hour,0)),Month,'Summarized Source Data'!$A160,Sector,'Summarized Source Data'!K$2,Subsector,"Total",TimeOfWeek,$E160)-SUM(F160:I160))*INDEX(About!G$79:G$82,MATCH($B160,About!$A$79:$A$82,0),1)</f>
        <v>105834748</v>
      </c>
      <c r="L160" s="27">
        <f>SUMIFS(INDEX(Load,,MATCH('Summarized Source Data'!$C160,Hour,0)),Month,'Summarized Source Data'!$A160,Sector,'Summarized Source Data'!L$2,Subsector,'Summarized Source Data'!L$3,TimeOfWeek,$E160)*INDEX(About!H$79:H$82,MATCH($B160,About!$A$79:$A$82,0),1)</f>
        <v>198366</v>
      </c>
      <c r="M160" s="27">
        <f>SUMIFS(INDEX(Load,,MATCH('Summarized Source Data'!$C160,Hour,0)),Month,'Summarized Source Data'!$A160,Sector,'Summarized Source Data'!M$2,Subsector,'Summarized Source Data'!M$3,TimeOfWeek,$E160)*INDEX(About!I$79:I$82,MATCH($B160,About!$A$79:$A$82,0),1)</f>
        <v>441000000</v>
      </c>
      <c r="N160" s="27">
        <f>SUMIFS(INDEX(Load,,MATCH('Summarized Source Data'!$C160,Hour,0)),Month,'Summarized Source Data'!$A160,Sector,'Summarized Source Data'!N$2,Subsector,'Summarized Source Data'!N$3,TimeOfWeek,$E160)*INDEX(About!J$79:J$82,MATCH($B160,About!$A$79:$A$82,0),1)</f>
        <v>0</v>
      </c>
      <c r="O160" s="29">
        <f t="shared" si="12"/>
        <v>500801634</v>
      </c>
      <c r="P160" s="27">
        <f>(SUMIFS(INDEX(Load,,MATCH('Summarized Source Data'!$C160,Hour,0)),Month,'Summarized Source Data'!$A160,Sector,'Summarized Source Data'!P$2,Subsector,"Total",TimeOfWeek,$E160)-SUM(L160:N160)*INDEX(About!L$79:L$82,MATCH($B160,About!$A$79:$A$82,0),1))</f>
        <v>500801634</v>
      </c>
      <c r="Q160" s="29">
        <f t="shared" si="13"/>
        <v>500801634</v>
      </c>
      <c r="R160" s="33">
        <f>SUMIFS(INDEX(Load,,MATCH('Summarized Source Data'!$C160,Hour,0)),Month,'Summarized Source Data'!$A160,Sector,'Summarized Source Data'!R$2,TimeOfWeek,$E160)*INDEX(About!N$79:N$82,MATCH($B160,About!$A$79:$A$82,0),1)</f>
        <v>11000000</v>
      </c>
      <c r="S160" s="33">
        <f>SUMIFS(INDEX(Load,,MATCH('Summarized Source Data'!$C160,Hour,0)),Month,'Summarized Source Data'!$A160,Sector,'Summarized Source Data'!S$2,TimeOfWeek,$E160)*INDEX(About!O$79:O$82,MATCH($B160,About!$A$79:$A$82,0),1)</f>
        <v>11000000</v>
      </c>
      <c r="T160" s="33">
        <f>SUMIFS(INDEX(Load,,MATCH('Summarized Source Data'!$C160,Hour,0)),Month,'Summarized Source Data'!$A160,Sector,'Summarized Source Data'!T$2,TimeOfWeek,$E160)*INDEX(About!P$79:P$82,MATCH($B160,About!$A$79:$A$82,0),1)</f>
        <v>11000000</v>
      </c>
      <c r="U160" s="33">
        <f>SUMIFS(INDEX(Load,,MATCH('Summarized Source Data'!$C160,Hour,0)),Month,'Summarized Source Data'!$A160,Sector,'Summarized Source Data'!U$2,TimeOfWeek,$E160)*INDEX(About!Q$79:Q$82,MATCH($B160,About!$A$79:$A$82,0),1)</f>
        <v>11000000</v>
      </c>
      <c r="V160" s="33">
        <f>SUMIFS(INDEX(Load,,MATCH('Summarized Source Data'!$C160,Hour,0)),Month,'Summarized Source Data'!$A160,Sector,'Summarized Source Data'!V$2,TimeOfWeek,$E160)*INDEX(About!R$79:R$82,MATCH($B160,About!$A$79:$A$82,0),1)</f>
        <v>11000000</v>
      </c>
      <c r="W160" s="33">
        <f>SUMIFS(INDEX(Load,,MATCH('Summarized Source Data'!$C160,Hour,0)),Month,'Summarized Source Data'!$A160,Sector,'Summarized Source Data'!W$2,TimeOfWeek,$E160)*INDEX(About!S$79:S$82,MATCH($B160,About!$A$79:$A$82,0),1)</f>
        <v>11000000</v>
      </c>
      <c r="X160" s="27">
        <f>SUMIFS(INDEX(Load,,MATCH('Summarized Source Data'!$C160,Hour,0)),Month,'Summarized Source Data'!$A160,Sector,'Summarized Source Data'!X$2,Subsector,'Summarized Source Data'!X$3,TimeOfWeek,$E160)*INDEX(About!T$79:T$82,MATCH($B160,About!$A$79:$A$82,0),1)</f>
        <v>631000000</v>
      </c>
      <c r="Y160" s="29">
        <f t="shared" si="14"/>
        <v>631000000</v>
      </c>
      <c r="Z160" s="29">
        <f t="shared" si="14"/>
        <v>631000000</v>
      </c>
    </row>
    <row r="161" spans="1:26" outlineLevel="1" x14ac:dyDescent="0.3">
      <c r="A161">
        <f t="shared" si="10"/>
        <v>7</v>
      </c>
      <c r="B161" t="str">
        <f>INDEX('Category Mapping'!$G$28:$G$39,MATCH(A161,'Category Mapping'!$A$28:$A$39,0),1)</f>
        <v>Summer</v>
      </c>
      <c r="C161" t="s">
        <v>76</v>
      </c>
      <c r="D161" s="6" t="s">
        <v>151</v>
      </c>
      <c r="E161" t="s">
        <v>49</v>
      </c>
      <c r="F161" s="27">
        <f>SUMIFS(INDEX(Load,,MATCH('Summarized Source Data'!$C161,Hour,0)),Month,'Summarized Source Data'!$A161,Sector,'Summarized Source Data'!F$2,Subsector,'Summarized Source Data'!F$3,TimeOfWeek,$E161)*INDEX(About!B$79:B$82,MATCH($B161,About!$A$79:$A$82,0),1)</f>
        <v>65775</v>
      </c>
      <c r="G161" s="27">
        <f>SUMIFS(INDEX(Load,,MATCH('Summarized Source Data'!$C161,Hour,0)),Month,'Summarized Source Data'!$A161,Sector,'Summarized Source Data'!G$2,Subsector,'Summarized Source Data'!G$3,TimeOfWeek,$E161)*INDEX(About!C$79:C$82,MATCH($B161,About!$A$79:$A$82,0),1)</f>
        <v>71300000</v>
      </c>
      <c r="H161" s="27">
        <f>SUMIFS(INDEX(Load,,MATCH('Summarized Source Data'!$C161,Hour,0)),Month,'Summarized Source Data'!$A161,Sector,'Summarized Source Data'!H$2,Subsector,'Summarized Source Data'!H$3,TimeOfWeek,$E161)*INDEX(About!D$79:D$82,MATCH($B161,About!$A$79:$A$82,0),1)</f>
        <v>0</v>
      </c>
      <c r="I161" s="27">
        <f>SUMIFS(INDEX(Load,,MATCH('Summarized Source Data'!$C161,Hour,0)),Month,'Summarized Source Data'!$A161,Sector,'Summarized Source Data'!I$2,Subsector,'Summarized Source Data'!I$3,TimeOfWeek,$E161)*INDEX(About!E$79:E$82,MATCH($B161,About!$A$79:$A$82,0),1)</f>
        <v>10600000</v>
      </c>
      <c r="J161" s="54">
        <f t="shared" si="11"/>
        <v>105034225</v>
      </c>
      <c r="K161" s="27">
        <f>(SUMIFS(INDEX(Load,,MATCH('Summarized Source Data'!$C161,Hour,0)),Month,'Summarized Source Data'!$A161,Sector,'Summarized Source Data'!K$2,Subsector,"Total",TimeOfWeek,$E161)-SUM(F161:I161))*INDEX(About!G$79:G$82,MATCH($B161,About!$A$79:$A$82,0),1)</f>
        <v>105034225</v>
      </c>
      <c r="L161" s="27">
        <f>SUMIFS(INDEX(Load,,MATCH('Summarized Source Data'!$C161,Hour,0)),Month,'Summarized Source Data'!$A161,Sector,'Summarized Source Data'!L$2,Subsector,'Summarized Source Data'!L$3,TimeOfWeek,$E161)*INDEX(About!H$79:H$82,MATCH($B161,About!$A$79:$A$82,0),1)</f>
        <v>198366</v>
      </c>
      <c r="M161" s="27">
        <f>SUMIFS(INDEX(Load,,MATCH('Summarized Source Data'!$C161,Hour,0)),Month,'Summarized Source Data'!$A161,Sector,'Summarized Source Data'!M$2,Subsector,'Summarized Source Data'!M$3,TimeOfWeek,$E161)*INDEX(About!I$79:I$82,MATCH($B161,About!$A$79:$A$82,0),1)</f>
        <v>454000000</v>
      </c>
      <c r="N161" s="27">
        <f>SUMIFS(INDEX(Load,,MATCH('Summarized Source Data'!$C161,Hour,0)),Month,'Summarized Source Data'!$A161,Sector,'Summarized Source Data'!N$2,Subsector,'Summarized Source Data'!N$3,TimeOfWeek,$E161)*INDEX(About!J$79:J$82,MATCH($B161,About!$A$79:$A$82,0),1)</f>
        <v>0</v>
      </c>
      <c r="O161" s="29">
        <f t="shared" si="12"/>
        <v>500801634</v>
      </c>
      <c r="P161" s="27">
        <f>(SUMIFS(INDEX(Load,,MATCH('Summarized Source Data'!$C161,Hour,0)),Month,'Summarized Source Data'!$A161,Sector,'Summarized Source Data'!P$2,Subsector,"Total",TimeOfWeek,$E161)-SUM(L161:N161)*INDEX(About!L$79:L$82,MATCH($B161,About!$A$79:$A$82,0),1))</f>
        <v>500801634</v>
      </c>
      <c r="Q161" s="29">
        <f t="shared" si="13"/>
        <v>500801634</v>
      </c>
      <c r="R161" s="33">
        <f>SUMIFS(INDEX(Load,,MATCH('Summarized Source Data'!$C161,Hour,0)),Month,'Summarized Source Data'!$A161,Sector,'Summarized Source Data'!R$2,TimeOfWeek,$E161)*INDEX(About!N$79:N$82,MATCH($B161,About!$A$79:$A$82,0),1)</f>
        <v>10900000</v>
      </c>
      <c r="S161" s="33">
        <f>SUMIFS(INDEX(Load,,MATCH('Summarized Source Data'!$C161,Hour,0)),Month,'Summarized Source Data'!$A161,Sector,'Summarized Source Data'!S$2,TimeOfWeek,$E161)*INDEX(About!O$79:O$82,MATCH($B161,About!$A$79:$A$82,0),1)</f>
        <v>10900000</v>
      </c>
      <c r="T161" s="33">
        <f>SUMIFS(INDEX(Load,,MATCH('Summarized Source Data'!$C161,Hour,0)),Month,'Summarized Source Data'!$A161,Sector,'Summarized Source Data'!T$2,TimeOfWeek,$E161)*INDEX(About!P$79:P$82,MATCH($B161,About!$A$79:$A$82,0),1)</f>
        <v>10900000</v>
      </c>
      <c r="U161" s="33">
        <f>SUMIFS(INDEX(Load,,MATCH('Summarized Source Data'!$C161,Hour,0)),Month,'Summarized Source Data'!$A161,Sector,'Summarized Source Data'!U$2,TimeOfWeek,$E161)*INDEX(About!Q$79:Q$82,MATCH($B161,About!$A$79:$A$82,0),1)</f>
        <v>10900000</v>
      </c>
      <c r="V161" s="33">
        <f>SUMIFS(INDEX(Load,,MATCH('Summarized Source Data'!$C161,Hour,0)),Month,'Summarized Source Data'!$A161,Sector,'Summarized Source Data'!V$2,TimeOfWeek,$E161)*INDEX(About!R$79:R$82,MATCH($B161,About!$A$79:$A$82,0),1)</f>
        <v>10900000</v>
      </c>
      <c r="W161" s="33">
        <f>SUMIFS(INDEX(Load,,MATCH('Summarized Source Data'!$C161,Hour,0)),Month,'Summarized Source Data'!$A161,Sector,'Summarized Source Data'!W$2,TimeOfWeek,$E161)*INDEX(About!S$79:S$82,MATCH($B161,About!$A$79:$A$82,0),1)</f>
        <v>10900000</v>
      </c>
      <c r="X161" s="27">
        <f>SUMIFS(INDEX(Load,,MATCH('Summarized Source Data'!$C161,Hour,0)),Month,'Summarized Source Data'!$A161,Sector,'Summarized Source Data'!X$2,Subsector,'Summarized Source Data'!X$3,TimeOfWeek,$E161)*INDEX(About!T$79:T$82,MATCH($B161,About!$A$79:$A$82,0),1)</f>
        <v>630000000</v>
      </c>
      <c r="Y161" s="29">
        <f t="shared" si="14"/>
        <v>630000000</v>
      </c>
      <c r="Z161" s="29">
        <f t="shared" si="14"/>
        <v>630000000</v>
      </c>
    </row>
    <row r="162" spans="1:26" outlineLevel="1" x14ac:dyDescent="0.3">
      <c r="A162">
        <f t="shared" si="10"/>
        <v>7</v>
      </c>
      <c r="B162" t="str">
        <f>INDEX('Category Mapping'!$G$28:$G$39,MATCH(A162,'Category Mapping'!$A$28:$A$39,0),1)</f>
        <v>Summer</v>
      </c>
      <c r="C162" t="s">
        <v>77</v>
      </c>
      <c r="D162" s="6" t="s">
        <v>152</v>
      </c>
      <c r="E162" t="s">
        <v>49</v>
      </c>
      <c r="F162" s="27">
        <f>SUMIFS(INDEX(Load,,MATCH('Summarized Source Data'!$C162,Hour,0)),Month,'Summarized Source Data'!$A162,Sector,'Summarized Source Data'!F$2,Subsector,'Summarized Source Data'!F$3,TimeOfWeek,$E162)*INDEX(About!B$79:B$82,MATCH($B162,About!$A$79:$A$82,0),1)</f>
        <v>66727</v>
      </c>
      <c r="G162" s="27">
        <f>SUMIFS(INDEX(Load,,MATCH('Summarized Source Data'!$C162,Hour,0)),Month,'Summarized Source Data'!$A162,Sector,'Summarized Source Data'!G$2,Subsector,'Summarized Source Data'!G$3,TimeOfWeek,$E162)*INDEX(About!C$79:C$82,MATCH($B162,About!$A$79:$A$82,0),1)</f>
        <v>75400000</v>
      </c>
      <c r="H162" s="27">
        <f>SUMIFS(INDEX(Load,,MATCH('Summarized Source Data'!$C162,Hour,0)),Month,'Summarized Source Data'!$A162,Sector,'Summarized Source Data'!H$2,Subsector,'Summarized Source Data'!H$3,TimeOfWeek,$E162)*INDEX(About!D$79:D$82,MATCH($B162,About!$A$79:$A$82,0),1)</f>
        <v>0</v>
      </c>
      <c r="I162" s="27">
        <f>SUMIFS(INDEX(Load,,MATCH('Summarized Source Data'!$C162,Hour,0)),Month,'Summarized Source Data'!$A162,Sector,'Summarized Source Data'!I$2,Subsector,'Summarized Source Data'!I$3,TimeOfWeek,$E162)*INDEX(About!E$79:E$82,MATCH($B162,About!$A$79:$A$82,0),1)</f>
        <v>10900000</v>
      </c>
      <c r="J162" s="54">
        <f t="shared" si="11"/>
        <v>108633273</v>
      </c>
      <c r="K162" s="27">
        <f>(SUMIFS(INDEX(Load,,MATCH('Summarized Source Data'!$C162,Hour,0)),Month,'Summarized Source Data'!$A162,Sector,'Summarized Source Data'!K$2,Subsector,"Total",TimeOfWeek,$E162)-SUM(F162:I162))*INDEX(About!G$79:G$82,MATCH($B162,About!$A$79:$A$82,0),1)</f>
        <v>108633273</v>
      </c>
      <c r="L162" s="27">
        <f>SUMIFS(INDEX(Load,,MATCH('Summarized Source Data'!$C162,Hour,0)),Month,'Summarized Source Data'!$A162,Sector,'Summarized Source Data'!L$2,Subsector,'Summarized Source Data'!L$3,TimeOfWeek,$E162)*INDEX(About!H$79:H$82,MATCH($B162,About!$A$79:$A$82,0),1)</f>
        <v>198366</v>
      </c>
      <c r="M162" s="27">
        <f>SUMIFS(INDEX(Load,,MATCH('Summarized Source Data'!$C162,Hour,0)),Month,'Summarized Source Data'!$A162,Sector,'Summarized Source Data'!M$2,Subsector,'Summarized Source Data'!M$3,TimeOfWeek,$E162)*INDEX(About!I$79:I$82,MATCH($B162,About!$A$79:$A$82,0),1)</f>
        <v>463000000</v>
      </c>
      <c r="N162" s="27">
        <f>SUMIFS(INDEX(Load,,MATCH('Summarized Source Data'!$C162,Hour,0)),Month,'Summarized Source Data'!$A162,Sector,'Summarized Source Data'!N$2,Subsector,'Summarized Source Data'!N$3,TimeOfWeek,$E162)*INDEX(About!J$79:J$82,MATCH($B162,About!$A$79:$A$82,0),1)</f>
        <v>0</v>
      </c>
      <c r="O162" s="29">
        <f t="shared" si="12"/>
        <v>500801634</v>
      </c>
      <c r="P162" s="27">
        <f>(SUMIFS(INDEX(Load,,MATCH('Summarized Source Data'!$C162,Hour,0)),Month,'Summarized Source Data'!$A162,Sector,'Summarized Source Data'!P$2,Subsector,"Total",TimeOfWeek,$E162)-SUM(L162:N162)*INDEX(About!L$79:L$82,MATCH($B162,About!$A$79:$A$82,0),1))</f>
        <v>500801634</v>
      </c>
      <c r="Q162" s="29">
        <f t="shared" si="13"/>
        <v>500801634</v>
      </c>
      <c r="R162" s="33">
        <f>SUMIFS(INDEX(Load,,MATCH('Summarized Source Data'!$C162,Hour,0)),Month,'Summarized Source Data'!$A162,Sector,'Summarized Source Data'!R$2,TimeOfWeek,$E162)*INDEX(About!N$79:N$82,MATCH($B162,About!$A$79:$A$82,0),1)</f>
        <v>10700000</v>
      </c>
      <c r="S162" s="33">
        <f>SUMIFS(INDEX(Load,,MATCH('Summarized Source Data'!$C162,Hour,0)),Month,'Summarized Source Data'!$A162,Sector,'Summarized Source Data'!S$2,TimeOfWeek,$E162)*INDEX(About!O$79:O$82,MATCH($B162,About!$A$79:$A$82,0),1)</f>
        <v>10700000</v>
      </c>
      <c r="T162" s="33">
        <f>SUMIFS(INDEX(Load,,MATCH('Summarized Source Data'!$C162,Hour,0)),Month,'Summarized Source Data'!$A162,Sector,'Summarized Source Data'!T$2,TimeOfWeek,$E162)*INDEX(About!P$79:P$82,MATCH($B162,About!$A$79:$A$82,0),1)</f>
        <v>10700000</v>
      </c>
      <c r="U162" s="33">
        <f>SUMIFS(INDEX(Load,,MATCH('Summarized Source Data'!$C162,Hour,0)),Month,'Summarized Source Data'!$A162,Sector,'Summarized Source Data'!U$2,TimeOfWeek,$E162)*INDEX(About!Q$79:Q$82,MATCH($B162,About!$A$79:$A$82,0),1)</f>
        <v>10700000</v>
      </c>
      <c r="V162" s="33">
        <f>SUMIFS(INDEX(Load,,MATCH('Summarized Source Data'!$C162,Hour,0)),Month,'Summarized Source Data'!$A162,Sector,'Summarized Source Data'!V$2,TimeOfWeek,$E162)*INDEX(About!R$79:R$82,MATCH($B162,About!$A$79:$A$82,0),1)</f>
        <v>10700000</v>
      </c>
      <c r="W162" s="33">
        <f>SUMIFS(INDEX(Load,,MATCH('Summarized Source Data'!$C162,Hour,0)),Month,'Summarized Source Data'!$A162,Sector,'Summarized Source Data'!W$2,TimeOfWeek,$E162)*INDEX(About!S$79:S$82,MATCH($B162,About!$A$79:$A$82,0),1)</f>
        <v>10700000</v>
      </c>
      <c r="X162" s="27">
        <f>SUMIFS(INDEX(Load,,MATCH('Summarized Source Data'!$C162,Hour,0)),Month,'Summarized Source Data'!$A162,Sector,'Summarized Source Data'!X$2,Subsector,'Summarized Source Data'!X$3,TimeOfWeek,$E162)*INDEX(About!T$79:T$82,MATCH($B162,About!$A$79:$A$82,0),1)</f>
        <v>631000000</v>
      </c>
      <c r="Y162" s="29">
        <f t="shared" si="14"/>
        <v>631000000</v>
      </c>
      <c r="Z162" s="29">
        <f t="shared" si="14"/>
        <v>631000000</v>
      </c>
    </row>
    <row r="163" spans="1:26" outlineLevel="1" x14ac:dyDescent="0.3">
      <c r="A163">
        <f t="shared" si="10"/>
        <v>7</v>
      </c>
      <c r="B163" t="str">
        <f>INDEX('Category Mapping'!$G$28:$G$39,MATCH(A163,'Category Mapping'!$A$28:$A$39,0),1)</f>
        <v>Summer</v>
      </c>
      <c r="C163" t="s">
        <v>78</v>
      </c>
      <c r="D163" s="6" t="s">
        <v>153</v>
      </c>
      <c r="E163" t="s">
        <v>49</v>
      </c>
      <c r="F163" s="27">
        <f>SUMIFS(INDEX(Load,,MATCH('Summarized Source Data'!$C163,Hour,0)),Month,'Summarized Source Data'!$A163,Sector,'Summarized Source Data'!F$2,Subsector,'Summarized Source Data'!F$3,TimeOfWeek,$E163)*INDEX(About!B$79:B$82,MATCH($B163,About!$A$79:$A$82,0),1)</f>
        <v>69803</v>
      </c>
      <c r="G163" s="27">
        <f>SUMIFS(INDEX(Load,,MATCH('Summarized Source Data'!$C163,Hour,0)),Month,'Summarized Source Data'!$A163,Sector,'Summarized Source Data'!G$2,Subsector,'Summarized Source Data'!G$3,TimeOfWeek,$E163)*INDEX(About!C$79:C$82,MATCH($B163,About!$A$79:$A$82,0),1)</f>
        <v>81400000</v>
      </c>
      <c r="H163" s="27">
        <f>SUMIFS(INDEX(Load,,MATCH('Summarized Source Data'!$C163,Hour,0)),Month,'Summarized Source Data'!$A163,Sector,'Summarized Source Data'!H$2,Subsector,'Summarized Source Data'!H$3,TimeOfWeek,$E163)*INDEX(About!D$79:D$82,MATCH($B163,About!$A$79:$A$82,0),1)</f>
        <v>0</v>
      </c>
      <c r="I163" s="27">
        <f>SUMIFS(INDEX(Load,,MATCH('Summarized Source Data'!$C163,Hour,0)),Month,'Summarized Source Data'!$A163,Sector,'Summarized Source Data'!I$2,Subsector,'Summarized Source Data'!I$3,TimeOfWeek,$E163)*INDEX(About!E$79:E$82,MATCH($B163,About!$A$79:$A$82,0),1)</f>
        <v>11700000</v>
      </c>
      <c r="J163" s="54">
        <f t="shared" si="11"/>
        <v>122830197</v>
      </c>
      <c r="K163" s="27">
        <f>(SUMIFS(INDEX(Load,,MATCH('Summarized Source Data'!$C163,Hour,0)),Month,'Summarized Source Data'!$A163,Sector,'Summarized Source Data'!K$2,Subsector,"Total",TimeOfWeek,$E163)-SUM(F163:I163))*INDEX(About!G$79:G$82,MATCH($B163,About!$A$79:$A$82,0),1)</f>
        <v>122830197</v>
      </c>
      <c r="L163" s="27">
        <f>SUMIFS(INDEX(Load,,MATCH('Summarized Source Data'!$C163,Hour,0)),Month,'Summarized Source Data'!$A163,Sector,'Summarized Source Data'!L$2,Subsector,'Summarized Source Data'!L$3,TimeOfWeek,$E163)*INDEX(About!H$79:H$82,MATCH($B163,About!$A$79:$A$82,0),1)</f>
        <v>198366</v>
      </c>
      <c r="M163" s="27">
        <f>SUMIFS(INDEX(Load,,MATCH('Summarized Source Data'!$C163,Hour,0)),Month,'Summarized Source Data'!$A163,Sector,'Summarized Source Data'!M$2,Subsector,'Summarized Source Data'!M$3,TimeOfWeek,$E163)*INDEX(About!I$79:I$82,MATCH($B163,About!$A$79:$A$82,0),1)</f>
        <v>461000000</v>
      </c>
      <c r="N163" s="27">
        <f>SUMIFS(INDEX(Load,,MATCH('Summarized Source Data'!$C163,Hour,0)),Month,'Summarized Source Data'!$A163,Sector,'Summarized Source Data'!N$2,Subsector,'Summarized Source Data'!N$3,TimeOfWeek,$E163)*INDEX(About!J$79:J$82,MATCH($B163,About!$A$79:$A$82,0),1)</f>
        <v>0</v>
      </c>
      <c r="O163" s="29">
        <f t="shared" si="12"/>
        <v>500801634</v>
      </c>
      <c r="P163" s="27">
        <f>(SUMIFS(INDEX(Load,,MATCH('Summarized Source Data'!$C163,Hour,0)),Month,'Summarized Source Data'!$A163,Sector,'Summarized Source Data'!P$2,Subsector,"Total",TimeOfWeek,$E163)-SUM(L163:N163)*INDEX(About!L$79:L$82,MATCH($B163,About!$A$79:$A$82,0),1))</f>
        <v>500801634</v>
      </c>
      <c r="Q163" s="29">
        <f t="shared" si="13"/>
        <v>500801634</v>
      </c>
      <c r="R163" s="33">
        <f>SUMIFS(INDEX(Load,,MATCH('Summarized Source Data'!$C163,Hour,0)),Month,'Summarized Source Data'!$A163,Sector,'Summarized Source Data'!R$2,TimeOfWeek,$E163)*INDEX(About!N$79:N$82,MATCH($B163,About!$A$79:$A$82,0),1)</f>
        <v>12700000</v>
      </c>
      <c r="S163" s="33">
        <f>SUMIFS(INDEX(Load,,MATCH('Summarized Source Data'!$C163,Hour,0)),Month,'Summarized Source Data'!$A163,Sector,'Summarized Source Data'!S$2,TimeOfWeek,$E163)*INDEX(About!O$79:O$82,MATCH($B163,About!$A$79:$A$82,0),1)</f>
        <v>12700000</v>
      </c>
      <c r="T163" s="33">
        <f>SUMIFS(INDEX(Load,,MATCH('Summarized Source Data'!$C163,Hour,0)),Month,'Summarized Source Data'!$A163,Sector,'Summarized Source Data'!T$2,TimeOfWeek,$E163)*INDEX(About!P$79:P$82,MATCH($B163,About!$A$79:$A$82,0),1)</f>
        <v>12700000</v>
      </c>
      <c r="U163" s="33">
        <f>SUMIFS(INDEX(Load,,MATCH('Summarized Source Data'!$C163,Hour,0)),Month,'Summarized Source Data'!$A163,Sector,'Summarized Source Data'!U$2,TimeOfWeek,$E163)*INDEX(About!Q$79:Q$82,MATCH($B163,About!$A$79:$A$82,0),1)</f>
        <v>12700000</v>
      </c>
      <c r="V163" s="33">
        <f>SUMIFS(INDEX(Load,,MATCH('Summarized Source Data'!$C163,Hour,0)),Month,'Summarized Source Data'!$A163,Sector,'Summarized Source Data'!V$2,TimeOfWeek,$E163)*INDEX(About!R$79:R$82,MATCH($B163,About!$A$79:$A$82,0),1)</f>
        <v>12700000</v>
      </c>
      <c r="W163" s="33">
        <f>SUMIFS(INDEX(Load,,MATCH('Summarized Source Data'!$C163,Hour,0)),Month,'Summarized Source Data'!$A163,Sector,'Summarized Source Data'!W$2,TimeOfWeek,$E163)*INDEX(About!S$79:S$82,MATCH($B163,About!$A$79:$A$82,0),1)</f>
        <v>12700000</v>
      </c>
      <c r="X163" s="27">
        <f>SUMIFS(INDEX(Load,,MATCH('Summarized Source Data'!$C163,Hour,0)),Month,'Summarized Source Data'!$A163,Sector,'Summarized Source Data'!X$2,Subsector,'Summarized Source Data'!X$3,TimeOfWeek,$E163)*INDEX(About!T$79:T$82,MATCH($B163,About!$A$79:$A$82,0),1)</f>
        <v>637000000</v>
      </c>
      <c r="Y163" s="29">
        <f t="shared" si="14"/>
        <v>637000000</v>
      </c>
      <c r="Z163" s="29">
        <f t="shared" si="14"/>
        <v>637000000</v>
      </c>
    </row>
    <row r="164" spans="1:26" outlineLevel="1" x14ac:dyDescent="0.3">
      <c r="A164">
        <f t="shared" si="10"/>
        <v>7</v>
      </c>
      <c r="B164" t="str">
        <f>INDEX('Category Mapping'!$G$28:$G$39,MATCH(A164,'Category Mapping'!$A$28:$A$39,0),1)</f>
        <v>Summer</v>
      </c>
      <c r="C164" t="s">
        <v>79</v>
      </c>
      <c r="D164" s="6" t="s">
        <v>154</v>
      </c>
      <c r="E164" t="s">
        <v>49</v>
      </c>
      <c r="F164" s="27">
        <f>SUMIFS(INDEX(Load,,MATCH('Summarized Source Data'!$C164,Hour,0)),Month,'Summarized Source Data'!$A164,Sector,'Summarized Source Data'!F$2,Subsector,'Summarized Source Data'!F$3,TimeOfWeek,$E164)*INDEX(About!B$79:B$82,MATCH($B164,About!$A$79:$A$82,0),1)</f>
        <v>73510</v>
      </c>
      <c r="G164" s="27">
        <f>SUMIFS(INDEX(Load,,MATCH('Summarized Source Data'!$C164,Hour,0)),Month,'Summarized Source Data'!$A164,Sector,'Summarized Source Data'!G$2,Subsector,'Summarized Source Data'!G$3,TimeOfWeek,$E164)*INDEX(About!C$79:C$82,MATCH($B164,About!$A$79:$A$82,0),1)</f>
        <v>85700000</v>
      </c>
      <c r="H164" s="27">
        <f>SUMIFS(INDEX(Load,,MATCH('Summarized Source Data'!$C164,Hour,0)),Month,'Summarized Source Data'!$A164,Sector,'Summarized Source Data'!H$2,Subsector,'Summarized Source Data'!H$3,TimeOfWeek,$E164)*INDEX(About!D$79:D$82,MATCH($B164,About!$A$79:$A$82,0),1)</f>
        <v>0</v>
      </c>
      <c r="I164" s="27">
        <f>SUMIFS(INDEX(Load,,MATCH('Summarized Source Data'!$C164,Hour,0)),Month,'Summarized Source Data'!$A164,Sector,'Summarized Source Data'!I$2,Subsector,'Summarized Source Data'!I$3,TimeOfWeek,$E164)*INDEX(About!E$79:E$82,MATCH($B164,About!$A$79:$A$82,0),1)</f>
        <v>12800000</v>
      </c>
      <c r="J164" s="54">
        <f t="shared" si="11"/>
        <v>148426490</v>
      </c>
      <c r="K164" s="27">
        <f>(SUMIFS(INDEX(Load,,MATCH('Summarized Source Data'!$C164,Hour,0)),Month,'Summarized Source Data'!$A164,Sector,'Summarized Source Data'!K$2,Subsector,"Total",TimeOfWeek,$E164)-SUM(F164:I164))*INDEX(About!G$79:G$82,MATCH($B164,About!$A$79:$A$82,0),1)</f>
        <v>148426490</v>
      </c>
      <c r="L164" s="27">
        <f>SUMIFS(INDEX(Load,,MATCH('Summarized Source Data'!$C164,Hour,0)),Month,'Summarized Source Data'!$A164,Sector,'Summarized Source Data'!L$2,Subsector,'Summarized Source Data'!L$3,TimeOfWeek,$E164)*INDEX(About!H$79:H$82,MATCH($B164,About!$A$79:$A$82,0),1)</f>
        <v>198366</v>
      </c>
      <c r="M164" s="27">
        <f>SUMIFS(INDEX(Load,,MATCH('Summarized Source Data'!$C164,Hour,0)),Month,'Summarized Source Data'!$A164,Sector,'Summarized Source Data'!M$2,Subsector,'Summarized Source Data'!M$3,TimeOfWeek,$E164)*INDEX(About!I$79:I$82,MATCH($B164,About!$A$79:$A$82,0),1)</f>
        <v>448000000</v>
      </c>
      <c r="N164" s="27">
        <f>SUMIFS(INDEX(Load,,MATCH('Summarized Source Data'!$C164,Hour,0)),Month,'Summarized Source Data'!$A164,Sector,'Summarized Source Data'!N$2,Subsector,'Summarized Source Data'!N$3,TimeOfWeek,$E164)*INDEX(About!J$79:J$82,MATCH($B164,About!$A$79:$A$82,0),1)</f>
        <v>0</v>
      </c>
      <c r="O164" s="29">
        <f t="shared" si="12"/>
        <v>485801634</v>
      </c>
      <c r="P164" s="27">
        <f>(SUMIFS(INDEX(Load,,MATCH('Summarized Source Data'!$C164,Hour,0)),Month,'Summarized Source Data'!$A164,Sector,'Summarized Source Data'!P$2,Subsector,"Total",TimeOfWeek,$E164)-SUM(L164:N164)*INDEX(About!L$79:L$82,MATCH($B164,About!$A$79:$A$82,0),1))</f>
        <v>485801634</v>
      </c>
      <c r="Q164" s="29">
        <f t="shared" si="13"/>
        <v>485801634</v>
      </c>
      <c r="R164" s="33">
        <f>SUMIFS(INDEX(Load,,MATCH('Summarized Source Data'!$C164,Hour,0)),Month,'Summarized Source Data'!$A164,Sector,'Summarized Source Data'!R$2,TimeOfWeek,$E164)*INDEX(About!N$79:N$82,MATCH($B164,About!$A$79:$A$82,0),1)</f>
        <v>14800000</v>
      </c>
      <c r="S164" s="33">
        <f>SUMIFS(INDEX(Load,,MATCH('Summarized Source Data'!$C164,Hour,0)),Month,'Summarized Source Data'!$A164,Sector,'Summarized Source Data'!S$2,TimeOfWeek,$E164)*INDEX(About!O$79:O$82,MATCH($B164,About!$A$79:$A$82,0),1)</f>
        <v>14800000</v>
      </c>
      <c r="T164" s="33">
        <f>SUMIFS(INDEX(Load,,MATCH('Summarized Source Data'!$C164,Hour,0)),Month,'Summarized Source Data'!$A164,Sector,'Summarized Source Data'!T$2,TimeOfWeek,$E164)*INDEX(About!P$79:P$82,MATCH($B164,About!$A$79:$A$82,0),1)</f>
        <v>14800000</v>
      </c>
      <c r="U164" s="33">
        <f>SUMIFS(INDEX(Load,,MATCH('Summarized Source Data'!$C164,Hour,0)),Month,'Summarized Source Data'!$A164,Sector,'Summarized Source Data'!U$2,TimeOfWeek,$E164)*INDEX(About!Q$79:Q$82,MATCH($B164,About!$A$79:$A$82,0),1)</f>
        <v>14800000</v>
      </c>
      <c r="V164" s="33">
        <f>SUMIFS(INDEX(Load,,MATCH('Summarized Source Data'!$C164,Hour,0)),Month,'Summarized Source Data'!$A164,Sector,'Summarized Source Data'!V$2,TimeOfWeek,$E164)*INDEX(About!R$79:R$82,MATCH($B164,About!$A$79:$A$82,0),1)</f>
        <v>14800000</v>
      </c>
      <c r="W164" s="33">
        <f>SUMIFS(INDEX(Load,,MATCH('Summarized Source Data'!$C164,Hour,0)),Month,'Summarized Source Data'!$A164,Sector,'Summarized Source Data'!W$2,TimeOfWeek,$E164)*INDEX(About!S$79:S$82,MATCH($B164,About!$A$79:$A$82,0),1)</f>
        <v>14800000</v>
      </c>
      <c r="X164" s="27">
        <f>SUMIFS(INDEX(Load,,MATCH('Summarized Source Data'!$C164,Hour,0)),Month,'Summarized Source Data'!$A164,Sector,'Summarized Source Data'!X$2,Subsector,'Summarized Source Data'!X$3,TimeOfWeek,$E164)*INDEX(About!T$79:T$82,MATCH($B164,About!$A$79:$A$82,0),1)</f>
        <v>643000000</v>
      </c>
      <c r="Y164" s="29">
        <f t="shared" si="14"/>
        <v>643000000</v>
      </c>
      <c r="Z164" s="29">
        <f t="shared" si="14"/>
        <v>643000000</v>
      </c>
    </row>
    <row r="165" spans="1:26" outlineLevel="1" x14ac:dyDescent="0.3">
      <c r="A165">
        <f t="shared" si="10"/>
        <v>7</v>
      </c>
      <c r="B165" t="str">
        <f>INDEX('Category Mapping'!$G$28:$G$39,MATCH(A165,'Category Mapping'!$A$28:$A$39,0),1)</f>
        <v>Summer</v>
      </c>
      <c r="C165" t="s">
        <v>80</v>
      </c>
      <c r="D165" s="6" t="s">
        <v>155</v>
      </c>
      <c r="E165" t="s">
        <v>49</v>
      </c>
      <c r="F165" s="27">
        <f>SUMIFS(INDEX(Load,,MATCH('Summarized Source Data'!$C165,Hour,0)),Month,'Summarized Source Data'!$A165,Sector,'Summarized Source Data'!F$2,Subsector,'Summarized Source Data'!F$3,TimeOfWeek,$E165)*INDEX(About!B$79:B$82,MATCH($B165,About!$A$79:$A$82,0),1)</f>
        <v>77582</v>
      </c>
      <c r="G165" s="27">
        <f>SUMIFS(INDEX(Load,,MATCH('Summarized Source Data'!$C165,Hour,0)),Month,'Summarized Source Data'!$A165,Sector,'Summarized Source Data'!G$2,Subsector,'Summarized Source Data'!G$3,TimeOfWeek,$E165)*INDEX(About!C$79:C$82,MATCH($B165,About!$A$79:$A$82,0),1)</f>
        <v>88300000</v>
      </c>
      <c r="H165" s="27">
        <f>SUMIFS(INDEX(Load,,MATCH('Summarized Source Data'!$C165,Hour,0)),Month,'Summarized Source Data'!$A165,Sector,'Summarized Source Data'!H$2,Subsector,'Summarized Source Data'!H$3,TimeOfWeek,$E165)*INDEX(About!D$79:D$82,MATCH($B165,About!$A$79:$A$82,0),1)</f>
        <v>0</v>
      </c>
      <c r="I165" s="27">
        <f>SUMIFS(INDEX(Load,,MATCH('Summarized Source Data'!$C165,Hour,0)),Month,'Summarized Source Data'!$A165,Sector,'Summarized Source Data'!I$2,Subsector,'Summarized Source Data'!I$3,TimeOfWeek,$E165)*INDEX(About!E$79:E$82,MATCH($B165,About!$A$79:$A$82,0),1)</f>
        <v>14900000</v>
      </c>
      <c r="J165" s="54">
        <f t="shared" si="11"/>
        <v>162722418</v>
      </c>
      <c r="K165" s="27">
        <f>(SUMIFS(INDEX(Load,,MATCH('Summarized Source Data'!$C165,Hour,0)),Month,'Summarized Source Data'!$A165,Sector,'Summarized Source Data'!K$2,Subsector,"Total",TimeOfWeek,$E165)-SUM(F165:I165))*INDEX(About!G$79:G$82,MATCH($B165,About!$A$79:$A$82,0),1)</f>
        <v>162722418</v>
      </c>
      <c r="L165" s="27">
        <f>SUMIFS(INDEX(Load,,MATCH('Summarized Source Data'!$C165,Hour,0)),Month,'Summarized Source Data'!$A165,Sector,'Summarized Source Data'!L$2,Subsector,'Summarized Source Data'!L$3,TimeOfWeek,$E165)*INDEX(About!H$79:H$82,MATCH($B165,About!$A$79:$A$82,0),1)</f>
        <v>198366</v>
      </c>
      <c r="M165" s="27">
        <f>SUMIFS(INDEX(Load,,MATCH('Summarized Source Data'!$C165,Hour,0)),Month,'Summarized Source Data'!$A165,Sector,'Summarized Source Data'!M$2,Subsector,'Summarized Source Data'!M$3,TimeOfWeek,$E165)*INDEX(About!I$79:I$82,MATCH($B165,About!$A$79:$A$82,0),1)</f>
        <v>425000000</v>
      </c>
      <c r="N165" s="27">
        <f>SUMIFS(INDEX(Load,,MATCH('Summarized Source Data'!$C165,Hour,0)),Month,'Summarized Source Data'!$A165,Sector,'Summarized Source Data'!N$2,Subsector,'Summarized Source Data'!N$3,TimeOfWeek,$E165)*INDEX(About!J$79:J$82,MATCH($B165,About!$A$79:$A$82,0),1)</f>
        <v>0</v>
      </c>
      <c r="O165" s="29">
        <f t="shared" si="12"/>
        <v>455801634</v>
      </c>
      <c r="P165" s="27">
        <f>(SUMIFS(INDEX(Load,,MATCH('Summarized Source Data'!$C165,Hour,0)),Month,'Summarized Source Data'!$A165,Sector,'Summarized Source Data'!P$2,Subsector,"Total",TimeOfWeek,$E165)-SUM(L165:N165)*INDEX(About!L$79:L$82,MATCH($B165,About!$A$79:$A$82,0),1))</f>
        <v>455801634</v>
      </c>
      <c r="Q165" s="29">
        <f t="shared" si="13"/>
        <v>455801634</v>
      </c>
      <c r="R165" s="33">
        <f>SUMIFS(INDEX(Load,,MATCH('Summarized Source Data'!$C165,Hour,0)),Month,'Summarized Source Data'!$A165,Sector,'Summarized Source Data'!R$2,TimeOfWeek,$E165)*INDEX(About!N$79:N$82,MATCH($B165,About!$A$79:$A$82,0),1)</f>
        <v>15700000</v>
      </c>
      <c r="S165" s="33">
        <f>SUMIFS(INDEX(Load,,MATCH('Summarized Source Data'!$C165,Hour,0)),Month,'Summarized Source Data'!$A165,Sector,'Summarized Source Data'!S$2,TimeOfWeek,$E165)*INDEX(About!O$79:O$82,MATCH($B165,About!$A$79:$A$82,0),1)</f>
        <v>15700000</v>
      </c>
      <c r="T165" s="33">
        <f>SUMIFS(INDEX(Load,,MATCH('Summarized Source Data'!$C165,Hour,0)),Month,'Summarized Source Data'!$A165,Sector,'Summarized Source Data'!T$2,TimeOfWeek,$E165)*INDEX(About!P$79:P$82,MATCH($B165,About!$A$79:$A$82,0),1)</f>
        <v>15700000</v>
      </c>
      <c r="U165" s="33">
        <f>SUMIFS(INDEX(Load,,MATCH('Summarized Source Data'!$C165,Hour,0)),Month,'Summarized Source Data'!$A165,Sector,'Summarized Source Data'!U$2,TimeOfWeek,$E165)*INDEX(About!Q$79:Q$82,MATCH($B165,About!$A$79:$A$82,0),1)</f>
        <v>15700000</v>
      </c>
      <c r="V165" s="33">
        <f>SUMIFS(INDEX(Load,,MATCH('Summarized Source Data'!$C165,Hour,0)),Month,'Summarized Source Data'!$A165,Sector,'Summarized Source Data'!V$2,TimeOfWeek,$E165)*INDEX(About!R$79:R$82,MATCH($B165,About!$A$79:$A$82,0),1)</f>
        <v>15700000</v>
      </c>
      <c r="W165" s="33">
        <f>SUMIFS(INDEX(Load,,MATCH('Summarized Source Data'!$C165,Hour,0)),Month,'Summarized Source Data'!$A165,Sector,'Summarized Source Data'!W$2,TimeOfWeek,$E165)*INDEX(About!S$79:S$82,MATCH($B165,About!$A$79:$A$82,0),1)</f>
        <v>15700000</v>
      </c>
      <c r="X165" s="27">
        <f>SUMIFS(INDEX(Load,,MATCH('Summarized Source Data'!$C165,Hour,0)),Month,'Summarized Source Data'!$A165,Sector,'Summarized Source Data'!X$2,Subsector,'Summarized Source Data'!X$3,TimeOfWeek,$E165)*INDEX(About!T$79:T$82,MATCH($B165,About!$A$79:$A$82,0),1)</f>
        <v>644000000</v>
      </c>
      <c r="Y165" s="29">
        <f t="shared" si="14"/>
        <v>644000000</v>
      </c>
      <c r="Z165" s="29">
        <f t="shared" si="14"/>
        <v>644000000</v>
      </c>
    </row>
    <row r="166" spans="1:26" outlineLevel="1" x14ac:dyDescent="0.3">
      <c r="A166">
        <f t="shared" si="10"/>
        <v>7</v>
      </c>
      <c r="B166" t="str">
        <f>INDEX('Category Mapping'!$G$28:$G$39,MATCH(A166,'Category Mapping'!$A$28:$A$39,0),1)</f>
        <v>Summer</v>
      </c>
      <c r="C166" t="s">
        <v>81</v>
      </c>
      <c r="D166" s="6" t="s">
        <v>156</v>
      </c>
      <c r="E166" t="s">
        <v>49</v>
      </c>
      <c r="F166" s="27">
        <f>SUMIFS(INDEX(Load,,MATCH('Summarized Source Data'!$C166,Hour,0)),Month,'Summarized Source Data'!$A166,Sector,'Summarized Source Data'!F$2,Subsector,'Summarized Source Data'!F$3,TimeOfWeek,$E166)*INDEX(About!B$79:B$82,MATCH($B166,About!$A$79:$A$82,0),1)</f>
        <v>82213</v>
      </c>
      <c r="G166" s="27">
        <f>SUMIFS(INDEX(Load,,MATCH('Summarized Source Data'!$C166,Hour,0)),Month,'Summarized Source Data'!$A166,Sector,'Summarized Source Data'!G$2,Subsector,'Summarized Source Data'!G$3,TimeOfWeek,$E166)*INDEX(About!C$79:C$82,MATCH($B166,About!$A$79:$A$82,0),1)</f>
        <v>90000000</v>
      </c>
      <c r="H166" s="27">
        <f>SUMIFS(INDEX(Load,,MATCH('Summarized Source Data'!$C166,Hour,0)),Month,'Summarized Source Data'!$A166,Sector,'Summarized Source Data'!H$2,Subsector,'Summarized Source Data'!H$3,TimeOfWeek,$E166)*INDEX(About!D$79:D$82,MATCH($B166,About!$A$79:$A$82,0),1)</f>
        <v>0</v>
      </c>
      <c r="I166" s="27">
        <f>SUMIFS(INDEX(Load,,MATCH('Summarized Source Data'!$C166,Hour,0)),Month,'Summarized Source Data'!$A166,Sector,'Summarized Source Data'!I$2,Subsector,'Summarized Source Data'!I$3,TimeOfWeek,$E166)*INDEX(About!E$79:E$82,MATCH($B166,About!$A$79:$A$82,0),1)</f>
        <v>36600000</v>
      </c>
      <c r="J166" s="54">
        <f t="shared" si="11"/>
        <v>158317787</v>
      </c>
      <c r="K166" s="27">
        <f>(SUMIFS(INDEX(Load,,MATCH('Summarized Source Data'!$C166,Hour,0)),Month,'Summarized Source Data'!$A166,Sector,'Summarized Source Data'!K$2,Subsector,"Total",TimeOfWeek,$E166)-SUM(F166:I166))*INDEX(About!G$79:G$82,MATCH($B166,About!$A$79:$A$82,0),1)</f>
        <v>158317787</v>
      </c>
      <c r="L166" s="27">
        <f>SUMIFS(INDEX(Load,,MATCH('Summarized Source Data'!$C166,Hour,0)),Month,'Summarized Source Data'!$A166,Sector,'Summarized Source Data'!L$2,Subsector,'Summarized Source Data'!L$3,TimeOfWeek,$E166)*INDEX(About!H$79:H$82,MATCH($B166,About!$A$79:$A$82,0),1)</f>
        <v>198366</v>
      </c>
      <c r="M166" s="27">
        <f>SUMIFS(INDEX(Load,,MATCH('Summarized Source Data'!$C166,Hour,0)),Month,'Summarized Source Data'!$A166,Sector,'Summarized Source Data'!M$2,Subsector,'Summarized Source Data'!M$3,TimeOfWeek,$E166)*INDEX(About!I$79:I$82,MATCH($B166,About!$A$79:$A$82,0),1)</f>
        <v>400000000</v>
      </c>
      <c r="N166" s="27">
        <f>SUMIFS(INDEX(Load,,MATCH('Summarized Source Data'!$C166,Hour,0)),Month,'Summarized Source Data'!$A166,Sector,'Summarized Source Data'!N$2,Subsector,'Summarized Source Data'!N$3,TimeOfWeek,$E166)*INDEX(About!J$79:J$82,MATCH($B166,About!$A$79:$A$82,0),1)</f>
        <v>0</v>
      </c>
      <c r="O166" s="29">
        <f t="shared" si="12"/>
        <v>433801634</v>
      </c>
      <c r="P166" s="27">
        <f>(SUMIFS(INDEX(Load,,MATCH('Summarized Source Data'!$C166,Hour,0)),Month,'Summarized Source Data'!$A166,Sector,'Summarized Source Data'!P$2,Subsector,"Total",TimeOfWeek,$E166)-SUM(L166:N166)*INDEX(About!L$79:L$82,MATCH($B166,About!$A$79:$A$82,0),1))</f>
        <v>433801634</v>
      </c>
      <c r="Q166" s="29">
        <f t="shared" si="13"/>
        <v>433801634</v>
      </c>
      <c r="R166" s="33">
        <f>SUMIFS(INDEX(Load,,MATCH('Summarized Source Data'!$C166,Hour,0)),Month,'Summarized Source Data'!$A166,Sector,'Summarized Source Data'!R$2,TimeOfWeek,$E166)*INDEX(About!N$79:N$82,MATCH($B166,About!$A$79:$A$82,0),1)</f>
        <v>14500000</v>
      </c>
      <c r="S166" s="33">
        <f>SUMIFS(INDEX(Load,,MATCH('Summarized Source Data'!$C166,Hour,0)),Month,'Summarized Source Data'!$A166,Sector,'Summarized Source Data'!S$2,TimeOfWeek,$E166)*INDEX(About!O$79:O$82,MATCH($B166,About!$A$79:$A$82,0),1)</f>
        <v>14500000</v>
      </c>
      <c r="T166" s="33">
        <f>SUMIFS(INDEX(Load,,MATCH('Summarized Source Data'!$C166,Hour,0)),Month,'Summarized Source Data'!$A166,Sector,'Summarized Source Data'!T$2,TimeOfWeek,$E166)*INDEX(About!P$79:P$82,MATCH($B166,About!$A$79:$A$82,0),1)</f>
        <v>14500000</v>
      </c>
      <c r="U166" s="33">
        <f>SUMIFS(INDEX(Load,,MATCH('Summarized Source Data'!$C166,Hour,0)),Month,'Summarized Source Data'!$A166,Sector,'Summarized Source Data'!U$2,TimeOfWeek,$E166)*INDEX(About!Q$79:Q$82,MATCH($B166,About!$A$79:$A$82,0),1)</f>
        <v>14500000</v>
      </c>
      <c r="V166" s="33">
        <f>SUMIFS(INDEX(Load,,MATCH('Summarized Source Data'!$C166,Hour,0)),Month,'Summarized Source Data'!$A166,Sector,'Summarized Source Data'!V$2,TimeOfWeek,$E166)*INDEX(About!R$79:R$82,MATCH($B166,About!$A$79:$A$82,0),1)</f>
        <v>14500000</v>
      </c>
      <c r="W166" s="33">
        <f>SUMIFS(INDEX(Load,,MATCH('Summarized Source Data'!$C166,Hour,0)),Month,'Summarized Source Data'!$A166,Sector,'Summarized Source Data'!W$2,TimeOfWeek,$E166)*INDEX(About!S$79:S$82,MATCH($B166,About!$A$79:$A$82,0),1)</f>
        <v>14500000</v>
      </c>
      <c r="X166" s="27">
        <f>SUMIFS(INDEX(Load,,MATCH('Summarized Source Data'!$C166,Hour,0)),Month,'Summarized Source Data'!$A166,Sector,'Summarized Source Data'!X$2,Subsector,'Summarized Source Data'!X$3,TimeOfWeek,$E166)*INDEX(About!T$79:T$82,MATCH($B166,About!$A$79:$A$82,0),1)</f>
        <v>641000000</v>
      </c>
      <c r="Y166" s="29">
        <f t="shared" si="14"/>
        <v>641000000</v>
      </c>
      <c r="Z166" s="29">
        <f t="shared" si="14"/>
        <v>641000000</v>
      </c>
    </row>
    <row r="167" spans="1:26" outlineLevel="1" x14ac:dyDescent="0.3">
      <c r="A167">
        <f t="shared" si="10"/>
        <v>7</v>
      </c>
      <c r="B167" t="str">
        <f>INDEX('Category Mapping'!$G$28:$G$39,MATCH(A167,'Category Mapping'!$A$28:$A$39,0),1)</f>
        <v>Summer</v>
      </c>
      <c r="C167" t="s">
        <v>82</v>
      </c>
      <c r="D167" s="6" t="s">
        <v>157</v>
      </c>
      <c r="E167" t="s">
        <v>49</v>
      </c>
      <c r="F167" s="27">
        <f>SUMIFS(INDEX(Load,,MATCH('Summarized Source Data'!$C167,Hour,0)),Month,'Summarized Source Data'!$A167,Sector,'Summarized Source Data'!F$2,Subsector,'Summarized Source Data'!F$3,TimeOfWeek,$E167)*INDEX(About!B$79:B$82,MATCH($B167,About!$A$79:$A$82,0),1)</f>
        <v>86298</v>
      </c>
      <c r="G167" s="27">
        <f>SUMIFS(INDEX(Load,,MATCH('Summarized Source Data'!$C167,Hour,0)),Month,'Summarized Source Data'!$A167,Sector,'Summarized Source Data'!G$2,Subsector,'Summarized Source Data'!G$3,TimeOfWeek,$E167)*INDEX(About!C$79:C$82,MATCH($B167,About!$A$79:$A$82,0),1)</f>
        <v>89000000</v>
      </c>
      <c r="H167" s="27">
        <f>SUMIFS(INDEX(Load,,MATCH('Summarized Source Data'!$C167,Hour,0)),Month,'Summarized Source Data'!$A167,Sector,'Summarized Source Data'!H$2,Subsector,'Summarized Source Data'!H$3,TimeOfWeek,$E167)*INDEX(About!D$79:D$82,MATCH($B167,About!$A$79:$A$82,0),1)</f>
        <v>0</v>
      </c>
      <c r="I167" s="27">
        <f>SUMIFS(INDEX(Load,,MATCH('Summarized Source Data'!$C167,Hour,0)),Month,'Summarized Source Data'!$A167,Sector,'Summarized Source Data'!I$2,Subsector,'Summarized Source Data'!I$3,TimeOfWeek,$E167)*INDEX(About!E$79:E$82,MATCH($B167,About!$A$79:$A$82,0),1)</f>
        <v>54900000</v>
      </c>
      <c r="J167" s="54">
        <f t="shared" si="11"/>
        <v>151013702</v>
      </c>
      <c r="K167" s="27">
        <f>(SUMIFS(INDEX(Load,,MATCH('Summarized Source Data'!$C167,Hour,0)),Month,'Summarized Source Data'!$A167,Sector,'Summarized Source Data'!K$2,Subsector,"Total",TimeOfWeek,$E167)-SUM(F167:I167))*INDEX(About!G$79:G$82,MATCH($B167,About!$A$79:$A$82,0),1)</f>
        <v>151013702</v>
      </c>
      <c r="L167" s="27">
        <f>SUMIFS(INDEX(Load,,MATCH('Summarized Source Data'!$C167,Hour,0)),Month,'Summarized Source Data'!$A167,Sector,'Summarized Source Data'!L$2,Subsector,'Summarized Source Data'!L$3,TimeOfWeek,$E167)*INDEX(About!H$79:H$82,MATCH($B167,About!$A$79:$A$82,0),1)</f>
        <v>198366</v>
      </c>
      <c r="M167" s="27">
        <f>SUMIFS(INDEX(Load,,MATCH('Summarized Source Data'!$C167,Hour,0)),Month,'Summarized Source Data'!$A167,Sector,'Summarized Source Data'!M$2,Subsector,'Summarized Source Data'!M$3,TimeOfWeek,$E167)*INDEX(About!I$79:I$82,MATCH($B167,About!$A$79:$A$82,0),1)</f>
        <v>368000000</v>
      </c>
      <c r="N167" s="27">
        <f>SUMIFS(INDEX(Load,,MATCH('Summarized Source Data'!$C167,Hour,0)),Month,'Summarized Source Data'!$A167,Sector,'Summarized Source Data'!N$2,Subsector,'Summarized Source Data'!N$3,TimeOfWeek,$E167)*INDEX(About!J$79:J$82,MATCH($B167,About!$A$79:$A$82,0),1)</f>
        <v>0</v>
      </c>
      <c r="O167" s="29">
        <f t="shared" si="12"/>
        <v>362801634</v>
      </c>
      <c r="P167" s="27">
        <f>(SUMIFS(INDEX(Load,,MATCH('Summarized Source Data'!$C167,Hour,0)),Month,'Summarized Source Data'!$A167,Sector,'Summarized Source Data'!P$2,Subsector,"Total",TimeOfWeek,$E167)-SUM(L167:N167)*INDEX(About!L$79:L$82,MATCH($B167,About!$A$79:$A$82,0),1))</f>
        <v>362801634</v>
      </c>
      <c r="Q167" s="29">
        <f t="shared" si="13"/>
        <v>362801634</v>
      </c>
      <c r="R167" s="33">
        <f>SUMIFS(INDEX(Load,,MATCH('Summarized Source Data'!$C167,Hour,0)),Month,'Summarized Source Data'!$A167,Sector,'Summarized Source Data'!R$2,TimeOfWeek,$E167)*INDEX(About!N$79:N$82,MATCH($B167,About!$A$79:$A$82,0),1)</f>
        <v>11800000</v>
      </c>
      <c r="S167" s="33">
        <f>SUMIFS(INDEX(Load,,MATCH('Summarized Source Data'!$C167,Hour,0)),Month,'Summarized Source Data'!$A167,Sector,'Summarized Source Data'!S$2,TimeOfWeek,$E167)*INDEX(About!O$79:O$82,MATCH($B167,About!$A$79:$A$82,0),1)</f>
        <v>11800000</v>
      </c>
      <c r="T167" s="33">
        <f>SUMIFS(INDEX(Load,,MATCH('Summarized Source Data'!$C167,Hour,0)),Month,'Summarized Source Data'!$A167,Sector,'Summarized Source Data'!T$2,TimeOfWeek,$E167)*INDEX(About!P$79:P$82,MATCH($B167,About!$A$79:$A$82,0),1)</f>
        <v>11800000</v>
      </c>
      <c r="U167" s="33">
        <f>SUMIFS(INDEX(Load,,MATCH('Summarized Source Data'!$C167,Hour,0)),Month,'Summarized Source Data'!$A167,Sector,'Summarized Source Data'!U$2,TimeOfWeek,$E167)*INDEX(About!Q$79:Q$82,MATCH($B167,About!$A$79:$A$82,0),1)</f>
        <v>11800000</v>
      </c>
      <c r="V167" s="33">
        <f>SUMIFS(INDEX(Load,,MATCH('Summarized Source Data'!$C167,Hour,0)),Month,'Summarized Source Data'!$A167,Sector,'Summarized Source Data'!V$2,TimeOfWeek,$E167)*INDEX(About!R$79:R$82,MATCH($B167,About!$A$79:$A$82,0),1)</f>
        <v>11800000</v>
      </c>
      <c r="W167" s="33">
        <f>SUMIFS(INDEX(Load,,MATCH('Summarized Source Data'!$C167,Hour,0)),Month,'Summarized Source Data'!$A167,Sector,'Summarized Source Data'!W$2,TimeOfWeek,$E167)*INDEX(About!S$79:S$82,MATCH($B167,About!$A$79:$A$82,0),1)</f>
        <v>11800000</v>
      </c>
      <c r="X167" s="27">
        <f>SUMIFS(INDEX(Load,,MATCH('Summarized Source Data'!$C167,Hour,0)),Month,'Summarized Source Data'!$A167,Sector,'Summarized Source Data'!X$2,Subsector,'Summarized Source Data'!X$3,TimeOfWeek,$E167)*INDEX(About!T$79:T$82,MATCH($B167,About!$A$79:$A$82,0),1)</f>
        <v>637000000</v>
      </c>
      <c r="Y167" s="29">
        <f t="shared" si="14"/>
        <v>637000000</v>
      </c>
      <c r="Z167" s="29">
        <f t="shared" si="14"/>
        <v>637000000</v>
      </c>
    </row>
    <row r="168" spans="1:26" outlineLevel="1" x14ac:dyDescent="0.3">
      <c r="A168">
        <f t="shared" si="10"/>
        <v>7</v>
      </c>
      <c r="B168" t="str">
        <f>INDEX('Category Mapping'!$G$28:$G$39,MATCH(A168,'Category Mapping'!$A$28:$A$39,0),1)</f>
        <v>Summer</v>
      </c>
      <c r="C168" t="s">
        <v>83</v>
      </c>
      <c r="D168" s="6" t="s">
        <v>158</v>
      </c>
      <c r="E168" t="s">
        <v>49</v>
      </c>
      <c r="F168" s="27">
        <f>SUMIFS(INDEX(Load,,MATCH('Summarized Source Data'!$C168,Hour,0)),Month,'Summarized Source Data'!$A168,Sector,'Summarized Source Data'!F$2,Subsector,'Summarized Source Data'!F$3,TimeOfWeek,$E168)*INDEX(About!B$79:B$82,MATCH($B168,About!$A$79:$A$82,0),1)</f>
        <v>87203</v>
      </c>
      <c r="G168" s="27">
        <f>SUMIFS(INDEX(Load,,MATCH('Summarized Source Data'!$C168,Hour,0)),Month,'Summarized Source Data'!$A168,Sector,'Summarized Source Data'!G$2,Subsector,'Summarized Source Data'!G$3,TimeOfWeek,$E168)*INDEX(About!C$79:C$82,MATCH($B168,About!$A$79:$A$82,0),1)</f>
        <v>84500000</v>
      </c>
      <c r="H168" s="27">
        <f>SUMIFS(INDEX(Load,,MATCH('Summarized Source Data'!$C168,Hour,0)),Month,'Summarized Source Data'!$A168,Sector,'Summarized Source Data'!H$2,Subsector,'Summarized Source Data'!H$3,TimeOfWeek,$E168)*INDEX(About!D$79:D$82,MATCH($B168,About!$A$79:$A$82,0),1)</f>
        <v>0</v>
      </c>
      <c r="I168" s="27">
        <f>SUMIFS(INDEX(Load,,MATCH('Summarized Source Data'!$C168,Hour,0)),Month,'Summarized Source Data'!$A168,Sector,'Summarized Source Data'!I$2,Subsector,'Summarized Source Data'!I$3,TimeOfWeek,$E168)*INDEX(About!E$79:E$82,MATCH($B168,About!$A$79:$A$82,0),1)</f>
        <v>55800000</v>
      </c>
      <c r="J168" s="54">
        <f t="shared" si="11"/>
        <v>147612797</v>
      </c>
      <c r="K168" s="27">
        <f>(SUMIFS(INDEX(Load,,MATCH('Summarized Source Data'!$C168,Hour,0)),Month,'Summarized Source Data'!$A168,Sector,'Summarized Source Data'!K$2,Subsector,"Total",TimeOfWeek,$E168)-SUM(F168:I168))*INDEX(About!G$79:G$82,MATCH($B168,About!$A$79:$A$82,0),1)</f>
        <v>147612797</v>
      </c>
      <c r="L168" s="27">
        <f>SUMIFS(INDEX(Load,,MATCH('Summarized Source Data'!$C168,Hour,0)),Month,'Summarized Source Data'!$A168,Sector,'Summarized Source Data'!L$2,Subsector,'Summarized Source Data'!L$3,TimeOfWeek,$E168)*INDEX(About!H$79:H$82,MATCH($B168,About!$A$79:$A$82,0),1)</f>
        <v>198366</v>
      </c>
      <c r="M168" s="27">
        <f>SUMIFS(INDEX(Load,,MATCH('Summarized Source Data'!$C168,Hour,0)),Month,'Summarized Source Data'!$A168,Sector,'Summarized Source Data'!M$2,Subsector,'Summarized Source Data'!M$3,TimeOfWeek,$E168)*INDEX(About!I$79:I$82,MATCH($B168,About!$A$79:$A$82,0),1)</f>
        <v>338000000</v>
      </c>
      <c r="N168" s="27">
        <f>SUMIFS(INDEX(Load,,MATCH('Summarized Source Data'!$C168,Hour,0)),Month,'Summarized Source Data'!$A168,Sector,'Summarized Source Data'!N$2,Subsector,'Summarized Source Data'!N$3,TimeOfWeek,$E168)*INDEX(About!J$79:J$82,MATCH($B168,About!$A$79:$A$82,0),1)</f>
        <v>0</v>
      </c>
      <c r="O168" s="29">
        <f t="shared" si="12"/>
        <v>300801634</v>
      </c>
      <c r="P168" s="27">
        <f>(SUMIFS(INDEX(Load,,MATCH('Summarized Source Data'!$C168,Hour,0)),Month,'Summarized Source Data'!$A168,Sector,'Summarized Source Data'!P$2,Subsector,"Total",TimeOfWeek,$E168)-SUM(L168:N168)*INDEX(About!L$79:L$82,MATCH($B168,About!$A$79:$A$82,0),1))</f>
        <v>300801634</v>
      </c>
      <c r="Q168" s="29">
        <f t="shared" si="13"/>
        <v>300801634</v>
      </c>
      <c r="R168" s="33">
        <f>SUMIFS(INDEX(Load,,MATCH('Summarized Source Data'!$C168,Hour,0)),Month,'Summarized Source Data'!$A168,Sector,'Summarized Source Data'!R$2,TimeOfWeek,$E168)*INDEX(About!N$79:N$82,MATCH($B168,About!$A$79:$A$82,0),1)</f>
        <v>10700000</v>
      </c>
      <c r="S168" s="33">
        <f>SUMIFS(INDEX(Load,,MATCH('Summarized Source Data'!$C168,Hour,0)),Month,'Summarized Source Data'!$A168,Sector,'Summarized Source Data'!S$2,TimeOfWeek,$E168)*INDEX(About!O$79:O$82,MATCH($B168,About!$A$79:$A$82,0),1)</f>
        <v>10700000</v>
      </c>
      <c r="T168" s="33">
        <f>SUMIFS(INDEX(Load,,MATCH('Summarized Source Data'!$C168,Hour,0)),Month,'Summarized Source Data'!$A168,Sector,'Summarized Source Data'!T$2,TimeOfWeek,$E168)*INDEX(About!P$79:P$82,MATCH($B168,About!$A$79:$A$82,0),1)</f>
        <v>10700000</v>
      </c>
      <c r="U168" s="33">
        <f>SUMIFS(INDEX(Load,,MATCH('Summarized Source Data'!$C168,Hour,0)),Month,'Summarized Source Data'!$A168,Sector,'Summarized Source Data'!U$2,TimeOfWeek,$E168)*INDEX(About!Q$79:Q$82,MATCH($B168,About!$A$79:$A$82,0),1)</f>
        <v>10700000</v>
      </c>
      <c r="V168" s="33">
        <f>SUMIFS(INDEX(Load,,MATCH('Summarized Source Data'!$C168,Hour,0)),Month,'Summarized Source Data'!$A168,Sector,'Summarized Source Data'!V$2,TimeOfWeek,$E168)*INDEX(About!R$79:R$82,MATCH($B168,About!$A$79:$A$82,0),1)</f>
        <v>10700000</v>
      </c>
      <c r="W168" s="33">
        <f>SUMIFS(INDEX(Load,,MATCH('Summarized Source Data'!$C168,Hour,0)),Month,'Summarized Source Data'!$A168,Sector,'Summarized Source Data'!W$2,TimeOfWeek,$E168)*INDEX(About!S$79:S$82,MATCH($B168,About!$A$79:$A$82,0),1)</f>
        <v>10700000</v>
      </c>
      <c r="X168" s="27">
        <f>SUMIFS(INDEX(Load,,MATCH('Summarized Source Data'!$C168,Hour,0)),Month,'Summarized Source Data'!$A168,Sector,'Summarized Source Data'!X$2,Subsector,'Summarized Source Data'!X$3,TimeOfWeek,$E168)*INDEX(About!T$79:T$82,MATCH($B168,About!$A$79:$A$82,0),1)</f>
        <v>633000000</v>
      </c>
      <c r="Y168" s="29">
        <f t="shared" si="14"/>
        <v>633000000</v>
      </c>
      <c r="Z168" s="29">
        <f t="shared" si="14"/>
        <v>633000000</v>
      </c>
    </row>
    <row r="169" spans="1:26" outlineLevel="1" x14ac:dyDescent="0.3">
      <c r="A169">
        <f t="shared" si="10"/>
        <v>7</v>
      </c>
      <c r="B169" t="str">
        <f>INDEX('Category Mapping'!$G$28:$G$39,MATCH(A169,'Category Mapping'!$A$28:$A$39,0),1)</f>
        <v>Summer</v>
      </c>
      <c r="C169" t="s">
        <v>84</v>
      </c>
      <c r="D169" s="6" t="s">
        <v>159</v>
      </c>
      <c r="E169" t="s">
        <v>49</v>
      </c>
      <c r="F169" s="27">
        <f>SUMIFS(INDEX(Load,,MATCH('Summarized Source Data'!$C169,Hour,0)),Month,'Summarized Source Data'!$A169,Sector,'Summarized Source Data'!F$2,Subsector,'Summarized Source Data'!F$3,TimeOfWeek,$E169)*INDEX(About!B$79:B$82,MATCH($B169,About!$A$79:$A$82,0),1)</f>
        <v>76608</v>
      </c>
      <c r="G169" s="27">
        <f>SUMIFS(INDEX(Load,,MATCH('Summarized Source Data'!$C169,Hour,0)),Month,'Summarized Source Data'!$A169,Sector,'Summarized Source Data'!G$2,Subsector,'Summarized Source Data'!G$3,TimeOfWeek,$E169)*INDEX(About!C$79:C$82,MATCH($B169,About!$A$79:$A$82,0),1)</f>
        <v>77500000</v>
      </c>
      <c r="H169" s="27">
        <f>SUMIFS(INDEX(Load,,MATCH('Summarized Source Data'!$C169,Hour,0)),Month,'Summarized Source Data'!$A169,Sector,'Summarized Source Data'!H$2,Subsector,'Summarized Source Data'!H$3,TimeOfWeek,$E169)*INDEX(About!D$79:D$82,MATCH($B169,About!$A$79:$A$82,0),1)</f>
        <v>0</v>
      </c>
      <c r="I169" s="27">
        <f>SUMIFS(INDEX(Load,,MATCH('Summarized Source Data'!$C169,Hour,0)),Month,'Summarized Source Data'!$A169,Sector,'Summarized Source Data'!I$2,Subsector,'Summarized Source Data'!I$3,TimeOfWeek,$E169)*INDEX(About!E$79:E$82,MATCH($B169,About!$A$79:$A$82,0),1)</f>
        <v>45600000</v>
      </c>
      <c r="J169" s="54">
        <f t="shared" si="11"/>
        <v>145823392</v>
      </c>
      <c r="K169" s="27">
        <f>(SUMIFS(INDEX(Load,,MATCH('Summarized Source Data'!$C169,Hour,0)),Month,'Summarized Source Data'!$A169,Sector,'Summarized Source Data'!K$2,Subsector,"Total",TimeOfWeek,$E169)-SUM(F169:I169))*INDEX(About!G$79:G$82,MATCH($B169,About!$A$79:$A$82,0),1)</f>
        <v>145823392</v>
      </c>
      <c r="L169" s="27">
        <f>SUMIFS(INDEX(Load,,MATCH('Summarized Source Data'!$C169,Hour,0)),Month,'Summarized Source Data'!$A169,Sector,'Summarized Source Data'!L$2,Subsector,'Summarized Source Data'!L$3,TimeOfWeek,$E169)*INDEX(About!H$79:H$82,MATCH($B169,About!$A$79:$A$82,0),1)</f>
        <v>198366</v>
      </c>
      <c r="M169" s="27">
        <f>SUMIFS(INDEX(Load,,MATCH('Summarized Source Data'!$C169,Hour,0)),Month,'Summarized Source Data'!$A169,Sector,'Summarized Source Data'!M$2,Subsector,'Summarized Source Data'!M$3,TimeOfWeek,$E169)*INDEX(About!I$79:I$82,MATCH($B169,About!$A$79:$A$82,0),1)</f>
        <v>307000000</v>
      </c>
      <c r="N169" s="27">
        <f>SUMIFS(INDEX(Load,,MATCH('Summarized Source Data'!$C169,Hour,0)),Month,'Summarized Source Data'!$A169,Sector,'Summarized Source Data'!N$2,Subsector,'Summarized Source Data'!N$3,TimeOfWeek,$E169)*INDEX(About!J$79:J$82,MATCH($B169,About!$A$79:$A$82,0),1)</f>
        <v>0</v>
      </c>
      <c r="O169" s="29">
        <f t="shared" si="12"/>
        <v>243801634</v>
      </c>
      <c r="P169" s="27">
        <f>(SUMIFS(INDEX(Load,,MATCH('Summarized Source Data'!$C169,Hour,0)),Month,'Summarized Source Data'!$A169,Sector,'Summarized Source Data'!P$2,Subsector,"Total",TimeOfWeek,$E169)-SUM(L169:N169)*INDEX(About!L$79:L$82,MATCH($B169,About!$A$79:$A$82,0),1))</f>
        <v>243801634</v>
      </c>
      <c r="Q169" s="29">
        <f t="shared" si="13"/>
        <v>243801634</v>
      </c>
      <c r="R169" s="33">
        <f>SUMIFS(INDEX(Load,,MATCH('Summarized Source Data'!$C169,Hour,0)),Month,'Summarized Source Data'!$A169,Sector,'Summarized Source Data'!R$2,TimeOfWeek,$E169)*INDEX(About!N$79:N$82,MATCH($B169,About!$A$79:$A$82,0),1)</f>
        <v>9965456</v>
      </c>
      <c r="S169" s="33">
        <f>SUMIFS(INDEX(Load,,MATCH('Summarized Source Data'!$C169,Hour,0)),Month,'Summarized Source Data'!$A169,Sector,'Summarized Source Data'!S$2,TimeOfWeek,$E169)*INDEX(About!O$79:O$82,MATCH($B169,About!$A$79:$A$82,0),1)</f>
        <v>9965456</v>
      </c>
      <c r="T169" s="33">
        <f>SUMIFS(INDEX(Load,,MATCH('Summarized Source Data'!$C169,Hour,0)),Month,'Summarized Source Data'!$A169,Sector,'Summarized Source Data'!T$2,TimeOfWeek,$E169)*INDEX(About!P$79:P$82,MATCH($B169,About!$A$79:$A$82,0),1)</f>
        <v>9965456</v>
      </c>
      <c r="U169" s="33">
        <f>SUMIFS(INDEX(Load,,MATCH('Summarized Source Data'!$C169,Hour,0)),Month,'Summarized Source Data'!$A169,Sector,'Summarized Source Data'!U$2,TimeOfWeek,$E169)*INDEX(About!Q$79:Q$82,MATCH($B169,About!$A$79:$A$82,0),1)</f>
        <v>9965456</v>
      </c>
      <c r="V169" s="33">
        <f>SUMIFS(INDEX(Load,,MATCH('Summarized Source Data'!$C169,Hour,0)),Month,'Summarized Source Data'!$A169,Sector,'Summarized Source Data'!V$2,TimeOfWeek,$E169)*INDEX(About!R$79:R$82,MATCH($B169,About!$A$79:$A$82,0),1)</f>
        <v>9965456</v>
      </c>
      <c r="W169" s="33">
        <f>SUMIFS(INDEX(Load,,MATCH('Summarized Source Data'!$C169,Hour,0)),Month,'Summarized Source Data'!$A169,Sector,'Summarized Source Data'!W$2,TimeOfWeek,$E169)*INDEX(About!S$79:S$82,MATCH($B169,About!$A$79:$A$82,0),1)</f>
        <v>9965456</v>
      </c>
      <c r="X169" s="27">
        <f>SUMIFS(INDEX(Load,,MATCH('Summarized Source Data'!$C169,Hour,0)),Month,'Summarized Source Data'!$A169,Sector,'Summarized Source Data'!X$2,Subsector,'Summarized Source Data'!X$3,TimeOfWeek,$E169)*INDEX(About!T$79:T$82,MATCH($B169,About!$A$79:$A$82,0),1)</f>
        <v>627000000</v>
      </c>
      <c r="Y169" s="29">
        <f t="shared" si="14"/>
        <v>627000000</v>
      </c>
      <c r="Z169" s="29">
        <f t="shared" si="14"/>
        <v>627000000</v>
      </c>
    </row>
    <row r="170" spans="1:26" outlineLevel="1" x14ac:dyDescent="0.3">
      <c r="A170">
        <f t="shared" si="10"/>
        <v>7</v>
      </c>
      <c r="B170" t="str">
        <f>INDEX('Category Mapping'!$G$28:$G$39,MATCH(A170,'Category Mapping'!$A$28:$A$39,0),1)</f>
        <v>Summer</v>
      </c>
      <c r="C170" t="s">
        <v>85</v>
      </c>
      <c r="D170" s="6" t="s">
        <v>160</v>
      </c>
      <c r="E170" t="s">
        <v>49</v>
      </c>
      <c r="F170" s="27">
        <f>SUMIFS(INDEX(Load,,MATCH('Summarized Source Data'!$C170,Hour,0)),Month,'Summarized Source Data'!$A170,Sector,'Summarized Source Data'!F$2,Subsector,'Summarized Source Data'!F$3,TimeOfWeek,$E170)*INDEX(About!B$79:B$82,MATCH($B170,About!$A$79:$A$82,0),1)</f>
        <v>57202</v>
      </c>
      <c r="G170" s="27">
        <f>SUMIFS(INDEX(Load,,MATCH('Summarized Source Data'!$C170,Hour,0)),Month,'Summarized Source Data'!$A170,Sector,'Summarized Source Data'!G$2,Subsector,'Summarized Source Data'!G$3,TimeOfWeek,$E170)*INDEX(About!C$79:C$82,MATCH($B170,About!$A$79:$A$82,0),1)</f>
        <v>69000000</v>
      </c>
      <c r="H170" s="27">
        <f>SUMIFS(INDEX(Load,,MATCH('Summarized Source Data'!$C170,Hour,0)),Month,'Summarized Source Data'!$A170,Sector,'Summarized Source Data'!H$2,Subsector,'Summarized Source Data'!H$3,TimeOfWeek,$E170)*INDEX(About!D$79:D$82,MATCH($B170,About!$A$79:$A$82,0),1)</f>
        <v>0</v>
      </c>
      <c r="I170" s="27">
        <f>SUMIFS(INDEX(Load,,MATCH('Summarized Source Data'!$C170,Hour,0)),Month,'Summarized Source Data'!$A170,Sector,'Summarized Source Data'!I$2,Subsector,'Summarized Source Data'!I$3,TimeOfWeek,$E170)*INDEX(About!E$79:E$82,MATCH($B170,About!$A$79:$A$82,0),1)</f>
        <v>27100000</v>
      </c>
      <c r="J170" s="54">
        <f t="shared" si="11"/>
        <v>114842798</v>
      </c>
      <c r="K170" s="27">
        <f>(SUMIFS(INDEX(Load,,MATCH('Summarized Source Data'!$C170,Hour,0)),Month,'Summarized Source Data'!$A170,Sector,'Summarized Source Data'!K$2,Subsector,"Total",TimeOfWeek,$E170)-SUM(F170:I170))*INDEX(About!G$79:G$82,MATCH($B170,About!$A$79:$A$82,0),1)</f>
        <v>114842798</v>
      </c>
      <c r="L170" s="27">
        <f>SUMIFS(INDEX(Load,,MATCH('Summarized Source Data'!$C170,Hour,0)),Month,'Summarized Source Data'!$A170,Sector,'Summarized Source Data'!L$2,Subsector,'Summarized Source Data'!L$3,TimeOfWeek,$E170)*INDEX(About!H$79:H$82,MATCH($B170,About!$A$79:$A$82,0),1)</f>
        <v>198366</v>
      </c>
      <c r="M170" s="27">
        <f>SUMIFS(INDEX(Load,,MATCH('Summarized Source Data'!$C170,Hour,0)),Month,'Summarized Source Data'!$A170,Sector,'Summarized Source Data'!M$2,Subsector,'Summarized Source Data'!M$3,TimeOfWeek,$E170)*INDEX(About!I$79:I$82,MATCH($B170,About!$A$79:$A$82,0),1)</f>
        <v>276000000</v>
      </c>
      <c r="N170" s="27">
        <f>SUMIFS(INDEX(Load,,MATCH('Summarized Source Data'!$C170,Hour,0)),Month,'Summarized Source Data'!$A170,Sector,'Summarized Source Data'!N$2,Subsector,'Summarized Source Data'!N$3,TimeOfWeek,$E170)*INDEX(About!J$79:J$82,MATCH($B170,About!$A$79:$A$82,0),1)</f>
        <v>0</v>
      </c>
      <c r="O170" s="29">
        <f t="shared" si="12"/>
        <v>204801634</v>
      </c>
      <c r="P170" s="27">
        <f>(SUMIFS(INDEX(Load,,MATCH('Summarized Source Data'!$C170,Hour,0)),Month,'Summarized Source Data'!$A170,Sector,'Summarized Source Data'!P$2,Subsector,"Total",TimeOfWeek,$E170)-SUM(L170:N170)*INDEX(About!L$79:L$82,MATCH($B170,About!$A$79:$A$82,0),1))</f>
        <v>204801634</v>
      </c>
      <c r="Q170" s="29">
        <f t="shared" si="13"/>
        <v>204801634</v>
      </c>
      <c r="R170" s="33">
        <f>SUMIFS(INDEX(Load,,MATCH('Summarized Source Data'!$C170,Hour,0)),Month,'Summarized Source Data'!$A170,Sector,'Summarized Source Data'!R$2,TimeOfWeek,$E170)*INDEX(About!N$79:N$82,MATCH($B170,About!$A$79:$A$82,0),1)</f>
        <v>9344846</v>
      </c>
      <c r="S170" s="33">
        <f>SUMIFS(INDEX(Load,,MATCH('Summarized Source Data'!$C170,Hour,0)),Month,'Summarized Source Data'!$A170,Sector,'Summarized Source Data'!S$2,TimeOfWeek,$E170)*INDEX(About!O$79:O$82,MATCH($B170,About!$A$79:$A$82,0),1)</f>
        <v>9344846</v>
      </c>
      <c r="T170" s="33">
        <f>SUMIFS(INDEX(Load,,MATCH('Summarized Source Data'!$C170,Hour,0)),Month,'Summarized Source Data'!$A170,Sector,'Summarized Source Data'!T$2,TimeOfWeek,$E170)*INDEX(About!P$79:P$82,MATCH($B170,About!$A$79:$A$82,0),1)</f>
        <v>9344846</v>
      </c>
      <c r="U170" s="33">
        <f>SUMIFS(INDEX(Load,,MATCH('Summarized Source Data'!$C170,Hour,0)),Month,'Summarized Source Data'!$A170,Sector,'Summarized Source Data'!U$2,TimeOfWeek,$E170)*INDEX(About!Q$79:Q$82,MATCH($B170,About!$A$79:$A$82,0),1)</f>
        <v>9344846</v>
      </c>
      <c r="V170" s="33">
        <f>SUMIFS(INDEX(Load,,MATCH('Summarized Source Data'!$C170,Hour,0)),Month,'Summarized Source Data'!$A170,Sector,'Summarized Source Data'!V$2,TimeOfWeek,$E170)*INDEX(About!R$79:R$82,MATCH($B170,About!$A$79:$A$82,0),1)</f>
        <v>9344846</v>
      </c>
      <c r="W170" s="33">
        <f>SUMIFS(INDEX(Load,,MATCH('Summarized Source Data'!$C170,Hour,0)),Month,'Summarized Source Data'!$A170,Sector,'Summarized Source Data'!W$2,TimeOfWeek,$E170)*INDEX(About!S$79:S$82,MATCH($B170,About!$A$79:$A$82,0),1)</f>
        <v>9344846</v>
      </c>
      <c r="X170" s="27">
        <f>SUMIFS(INDEX(Load,,MATCH('Summarized Source Data'!$C170,Hour,0)),Month,'Summarized Source Data'!$A170,Sector,'Summarized Source Data'!X$2,Subsector,'Summarized Source Data'!X$3,TimeOfWeek,$E170)*INDEX(About!T$79:T$82,MATCH($B170,About!$A$79:$A$82,0),1)</f>
        <v>622000000</v>
      </c>
      <c r="Y170" s="29">
        <f t="shared" si="14"/>
        <v>622000000</v>
      </c>
      <c r="Z170" s="29">
        <f t="shared" si="14"/>
        <v>622000000</v>
      </c>
    </row>
    <row r="171" spans="1:26" outlineLevel="1" x14ac:dyDescent="0.3">
      <c r="A171">
        <f t="shared" si="10"/>
        <v>7</v>
      </c>
      <c r="B171" t="str">
        <f>INDEX('Category Mapping'!$G$28:$G$39,MATCH(A171,'Category Mapping'!$A$28:$A$39,0),1)</f>
        <v>Summer</v>
      </c>
      <c r="C171" t="s">
        <v>86</v>
      </c>
      <c r="D171" s="6" t="s">
        <v>161</v>
      </c>
      <c r="E171" t="s">
        <v>49</v>
      </c>
      <c r="F171" s="27">
        <f>SUMIFS(INDEX(Load,,MATCH('Summarized Source Data'!$C171,Hour,0)),Month,'Summarized Source Data'!$A171,Sector,'Summarized Source Data'!F$2,Subsector,'Summarized Source Data'!F$3,TimeOfWeek,$E171)*INDEX(About!B$79:B$82,MATCH($B171,About!$A$79:$A$82,0),1)</f>
        <v>51165</v>
      </c>
      <c r="G171" s="27">
        <f>SUMIFS(INDEX(Load,,MATCH('Summarized Source Data'!$C171,Hour,0)),Month,'Summarized Source Data'!$A171,Sector,'Summarized Source Data'!G$2,Subsector,'Summarized Source Data'!G$3,TimeOfWeek,$E171)*INDEX(About!C$79:C$82,MATCH($B171,About!$A$79:$A$82,0),1)</f>
        <v>60500000</v>
      </c>
      <c r="H171" s="27">
        <f>SUMIFS(INDEX(Load,,MATCH('Summarized Source Data'!$C171,Hour,0)),Month,'Summarized Source Data'!$A171,Sector,'Summarized Source Data'!H$2,Subsector,'Summarized Source Data'!H$3,TimeOfWeek,$E171)*INDEX(About!D$79:D$82,MATCH($B171,About!$A$79:$A$82,0),1)</f>
        <v>0</v>
      </c>
      <c r="I171" s="27">
        <f>SUMIFS(INDEX(Load,,MATCH('Summarized Source Data'!$C171,Hour,0)),Month,'Summarized Source Data'!$A171,Sector,'Summarized Source Data'!I$2,Subsector,'Summarized Source Data'!I$3,TimeOfWeek,$E171)*INDEX(About!E$79:E$82,MATCH($B171,About!$A$79:$A$82,0),1)</f>
        <v>14300000</v>
      </c>
      <c r="J171" s="54">
        <f t="shared" si="11"/>
        <v>92148835</v>
      </c>
      <c r="K171" s="27">
        <f>(SUMIFS(INDEX(Load,,MATCH('Summarized Source Data'!$C171,Hour,0)),Month,'Summarized Source Data'!$A171,Sector,'Summarized Source Data'!K$2,Subsector,"Total",TimeOfWeek,$E171)-SUM(F171:I171))*INDEX(About!G$79:G$82,MATCH($B171,About!$A$79:$A$82,0),1)</f>
        <v>92148835</v>
      </c>
      <c r="L171" s="27">
        <f>SUMIFS(INDEX(Load,,MATCH('Summarized Source Data'!$C171,Hour,0)),Month,'Summarized Source Data'!$A171,Sector,'Summarized Source Data'!L$2,Subsector,'Summarized Source Data'!L$3,TimeOfWeek,$E171)*INDEX(About!H$79:H$82,MATCH($B171,About!$A$79:$A$82,0),1)</f>
        <v>198366</v>
      </c>
      <c r="M171" s="27">
        <f>SUMIFS(INDEX(Load,,MATCH('Summarized Source Data'!$C171,Hour,0)),Month,'Summarized Source Data'!$A171,Sector,'Summarized Source Data'!M$2,Subsector,'Summarized Source Data'!M$3,TimeOfWeek,$E171)*INDEX(About!I$79:I$82,MATCH($B171,About!$A$79:$A$82,0),1)</f>
        <v>241000000</v>
      </c>
      <c r="N171" s="27">
        <f>SUMIFS(INDEX(Load,,MATCH('Summarized Source Data'!$C171,Hour,0)),Month,'Summarized Source Data'!$A171,Sector,'Summarized Source Data'!N$2,Subsector,'Summarized Source Data'!N$3,TimeOfWeek,$E171)*INDEX(About!J$79:J$82,MATCH($B171,About!$A$79:$A$82,0),1)</f>
        <v>0</v>
      </c>
      <c r="O171" s="29">
        <f t="shared" si="12"/>
        <v>179801634</v>
      </c>
      <c r="P171" s="27">
        <f>(SUMIFS(INDEX(Load,,MATCH('Summarized Source Data'!$C171,Hour,0)),Month,'Summarized Source Data'!$A171,Sector,'Summarized Source Data'!P$2,Subsector,"Total",TimeOfWeek,$E171)-SUM(L171:N171)*INDEX(About!L$79:L$82,MATCH($B171,About!$A$79:$A$82,0),1))</f>
        <v>179801634</v>
      </c>
      <c r="Q171" s="29">
        <f t="shared" si="13"/>
        <v>179801634</v>
      </c>
      <c r="R171" s="33">
        <f>SUMIFS(INDEX(Load,,MATCH('Summarized Source Data'!$C171,Hour,0)),Month,'Summarized Source Data'!$A171,Sector,'Summarized Source Data'!R$2,TimeOfWeek,$E171)*INDEX(About!N$79:N$82,MATCH($B171,About!$A$79:$A$82,0),1)</f>
        <v>6293539</v>
      </c>
      <c r="S171" s="33">
        <f>SUMIFS(INDEX(Load,,MATCH('Summarized Source Data'!$C171,Hour,0)),Month,'Summarized Source Data'!$A171,Sector,'Summarized Source Data'!S$2,TimeOfWeek,$E171)*INDEX(About!O$79:O$82,MATCH($B171,About!$A$79:$A$82,0),1)</f>
        <v>6293539</v>
      </c>
      <c r="T171" s="33">
        <f>SUMIFS(INDEX(Load,,MATCH('Summarized Source Data'!$C171,Hour,0)),Month,'Summarized Source Data'!$A171,Sector,'Summarized Source Data'!T$2,TimeOfWeek,$E171)*INDEX(About!P$79:P$82,MATCH($B171,About!$A$79:$A$82,0),1)</f>
        <v>6293539</v>
      </c>
      <c r="U171" s="33">
        <f>SUMIFS(INDEX(Load,,MATCH('Summarized Source Data'!$C171,Hour,0)),Month,'Summarized Source Data'!$A171,Sector,'Summarized Source Data'!U$2,TimeOfWeek,$E171)*INDEX(About!Q$79:Q$82,MATCH($B171,About!$A$79:$A$82,0),1)</f>
        <v>6293539</v>
      </c>
      <c r="V171" s="33">
        <f>SUMIFS(INDEX(Load,,MATCH('Summarized Source Data'!$C171,Hour,0)),Month,'Summarized Source Data'!$A171,Sector,'Summarized Source Data'!V$2,TimeOfWeek,$E171)*INDEX(About!R$79:R$82,MATCH($B171,About!$A$79:$A$82,0),1)</f>
        <v>6293539</v>
      </c>
      <c r="W171" s="33">
        <f>SUMIFS(INDEX(Load,,MATCH('Summarized Source Data'!$C171,Hour,0)),Month,'Summarized Source Data'!$A171,Sector,'Summarized Source Data'!W$2,TimeOfWeek,$E171)*INDEX(About!S$79:S$82,MATCH($B171,About!$A$79:$A$82,0),1)</f>
        <v>6293539</v>
      </c>
      <c r="X171" s="27">
        <f>SUMIFS(INDEX(Load,,MATCH('Summarized Source Data'!$C171,Hour,0)),Month,'Summarized Source Data'!$A171,Sector,'Summarized Source Data'!X$2,Subsector,'Summarized Source Data'!X$3,TimeOfWeek,$E171)*INDEX(About!T$79:T$82,MATCH($B171,About!$A$79:$A$82,0),1)</f>
        <v>619000000</v>
      </c>
      <c r="Y171" s="29">
        <f t="shared" si="14"/>
        <v>619000000</v>
      </c>
      <c r="Z171" s="29">
        <f t="shared" si="14"/>
        <v>619000000</v>
      </c>
    </row>
    <row r="172" spans="1:26" outlineLevel="1" x14ac:dyDescent="0.3">
      <c r="A172">
        <f t="shared" si="10"/>
        <v>8</v>
      </c>
      <c r="B172" t="str">
        <f>INDEX('Category Mapping'!$G$28:$G$39,MATCH(A172,'Category Mapping'!$A$28:$A$39,0),1)</f>
        <v>Summer</v>
      </c>
      <c r="C172" t="s">
        <v>63</v>
      </c>
      <c r="D172" s="6" t="s">
        <v>138</v>
      </c>
      <c r="E172" t="s">
        <v>49</v>
      </c>
      <c r="F172" s="27">
        <f>SUMIFS(INDEX(Load,,MATCH('Summarized Source Data'!$C172,Hour,0)),Month,'Summarized Source Data'!$A172,Sector,'Summarized Source Data'!F$2,Subsector,'Summarized Source Data'!F$3,TimeOfWeek,$E172)*INDEX(About!B$79:B$82,MATCH($B172,About!$A$79:$A$82,0),1)</f>
        <v>53554</v>
      </c>
      <c r="G172" s="27">
        <f>SUMIFS(INDEX(Load,,MATCH('Summarized Source Data'!$C172,Hour,0)),Month,'Summarized Source Data'!$A172,Sector,'Summarized Source Data'!G$2,Subsector,'Summarized Source Data'!G$3,TimeOfWeek,$E172)*INDEX(About!C$79:C$82,MATCH($B172,About!$A$79:$A$82,0),1)</f>
        <v>56500000</v>
      </c>
      <c r="H172" s="27">
        <f>SUMIFS(INDEX(Load,,MATCH('Summarized Source Data'!$C172,Hour,0)),Month,'Summarized Source Data'!$A172,Sector,'Summarized Source Data'!H$2,Subsector,'Summarized Source Data'!H$3,TimeOfWeek,$E172)*INDEX(About!D$79:D$82,MATCH($B172,About!$A$79:$A$82,0),1)</f>
        <v>0</v>
      </c>
      <c r="I172" s="27">
        <f>SUMIFS(INDEX(Load,,MATCH('Summarized Source Data'!$C172,Hour,0)),Month,'Summarized Source Data'!$A172,Sector,'Summarized Source Data'!I$2,Subsector,'Summarized Source Data'!I$3,TimeOfWeek,$E172)*INDEX(About!E$79:E$82,MATCH($B172,About!$A$79:$A$82,0),1)</f>
        <v>10100000</v>
      </c>
      <c r="J172" s="54">
        <f t="shared" si="11"/>
        <v>74346446</v>
      </c>
      <c r="K172" s="27">
        <f>(SUMIFS(INDEX(Load,,MATCH('Summarized Source Data'!$C172,Hour,0)),Month,'Summarized Source Data'!$A172,Sector,'Summarized Source Data'!K$2,Subsector,"Total",TimeOfWeek,$E172)-SUM(F172:I172))*INDEX(About!G$79:G$82,MATCH($B172,About!$A$79:$A$82,0),1)</f>
        <v>74346446</v>
      </c>
      <c r="L172" s="27">
        <f>SUMIFS(INDEX(Load,,MATCH('Summarized Source Data'!$C172,Hour,0)),Month,'Summarized Source Data'!$A172,Sector,'Summarized Source Data'!L$2,Subsector,'Summarized Source Data'!L$3,TimeOfWeek,$E172)*INDEX(About!H$79:H$82,MATCH($B172,About!$A$79:$A$82,0),1)</f>
        <v>207628</v>
      </c>
      <c r="M172" s="27">
        <f>SUMIFS(INDEX(Load,,MATCH('Summarized Source Data'!$C172,Hour,0)),Month,'Summarized Source Data'!$A172,Sector,'Summarized Source Data'!M$2,Subsector,'Summarized Source Data'!M$3,TimeOfWeek,$E172)*INDEX(About!I$79:I$82,MATCH($B172,About!$A$79:$A$82,0),1)</f>
        <v>237000000</v>
      </c>
      <c r="N172" s="27">
        <f>SUMIFS(INDEX(Load,,MATCH('Summarized Source Data'!$C172,Hour,0)),Month,'Summarized Source Data'!$A172,Sector,'Summarized Source Data'!N$2,Subsector,'Summarized Source Data'!N$3,TimeOfWeek,$E172)*INDEX(About!J$79:J$82,MATCH($B172,About!$A$79:$A$82,0),1)</f>
        <v>0</v>
      </c>
      <c r="O172" s="29">
        <f t="shared" si="12"/>
        <v>151792372</v>
      </c>
      <c r="P172" s="27">
        <f>(SUMIFS(INDEX(Load,,MATCH('Summarized Source Data'!$C172,Hour,0)),Month,'Summarized Source Data'!$A172,Sector,'Summarized Source Data'!P$2,Subsector,"Total",TimeOfWeek,$E172)-SUM(L172:N172)*INDEX(About!L$79:L$82,MATCH($B172,About!$A$79:$A$82,0),1))</f>
        <v>151792372</v>
      </c>
      <c r="Q172" s="29">
        <f t="shared" si="13"/>
        <v>151792372</v>
      </c>
      <c r="R172" s="33">
        <f>SUMIFS(INDEX(Load,,MATCH('Summarized Source Data'!$C172,Hour,0)),Month,'Summarized Source Data'!$A172,Sector,'Summarized Source Data'!R$2,TimeOfWeek,$E172)*INDEX(About!N$79:N$82,MATCH($B172,About!$A$79:$A$82,0),1)</f>
        <v>4393661</v>
      </c>
      <c r="S172" s="33">
        <f>SUMIFS(INDEX(Load,,MATCH('Summarized Source Data'!$C172,Hour,0)),Month,'Summarized Source Data'!$A172,Sector,'Summarized Source Data'!S$2,TimeOfWeek,$E172)*INDEX(About!O$79:O$82,MATCH($B172,About!$A$79:$A$82,0),1)</f>
        <v>4393661</v>
      </c>
      <c r="T172" s="33">
        <f>SUMIFS(INDEX(Load,,MATCH('Summarized Source Data'!$C172,Hour,0)),Month,'Summarized Source Data'!$A172,Sector,'Summarized Source Data'!T$2,TimeOfWeek,$E172)*INDEX(About!P$79:P$82,MATCH($B172,About!$A$79:$A$82,0),1)</f>
        <v>4393661</v>
      </c>
      <c r="U172" s="33">
        <f>SUMIFS(INDEX(Load,,MATCH('Summarized Source Data'!$C172,Hour,0)),Month,'Summarized Source Data'!$A172,Sector,'Summarized Source Data'!U$2,TimeOfWeek,$E172)*INDEX(About!Q$79:Q$82,MATCH($B172,About!$A$79:$A$82,0),1)</f>
        <v>4393661</v>
      </c>
      <c r="V172" s="33">
        <f>SUMIFS(INDEX(Load,,MATCH('Summarized Source Data'!$C172,Hour,0)),Month,'Summarized Source Data'!$A172,Sector,'Summarized Source Data'!V$2,TimeOfWeek,$E172)*INDEX(About!R$79:R$82,MATCH($B172,About!$A$79:$A$82,0),1)</f>
        <v>4393661</v>
      </c>
      <c r="W172" s="33">
        <f>SUMIFS(INDEX(Load,,MATCH('Summarized Source Data'!$C172,Hour,0)),Month,'Summarized Source Data'!$A172,Sector,'Summarized Source Data'!W$2,TimeOfWeek,$E172)*INDEX(About!S$79:S$82,MATCH($B172,About!$A$79:$A$82,0),1)</f>
        <v>4393661</v>
      </c>
      <c r="X172" s="27">
        <f>SUMIFS(INDEX(Load,,MATCH('Summarized Source Data'!$C172,Hour,0)),Month,'Summarized Source Data'!$A172,Sector,'Summarized Source Data'!X$2,Subsector,'Summarized Source Data'!X$3,TimeOfWeek,$E172)*INDEX(About!T$79:T$82,MATCH($B172,About!$A$79:$A$82,0),1)</f>
        <v>652000000</v>
      </c>
      <c r="Y172" s="29">
        <f t="shared" si="14"/>
        <v>652000000</v>
      </c>
      <c r="Z172" s="29">
        <f t="shared" si="14"/>
        <v>652000000</v>
      </c>
    </row>
    <row r="173" spans="1:26" outlineLevel="1" x14ac:dyDescent="0.3">
      <c r="A173">
        <f t="shared" si="10"/>
        <v>8</v>
      </c>
      <c r="B173" t="str">
        <f>INDEX('Category Mapping'!$G$28:$G$39,MATCH(A173,'Category Mapping'!$A$28:$A$39,0),1)</f>
        <v>Summer</v>
      </c>
      <c r="C173" t="s">
        <v>64</v>
      </c>
      <c r="D173" s="6" t="s">
        <v>139</v>
      </c>
      <c r="E173" t="s">
        <v>49</v>
      </c>
      <c r="F173" s="27">
        <f>SUMIFS(INDEX(Load,,MATCH('Summarized Source Data'!$C173,Hour,0)),Month,'Summarized Source Data'!$A173,Sector,'Summarized Source Data'!F$2,Subsector,'Summarized Source Data'!F$3,TimeOfWeek,$E173)*INDEX(About!B$79:B$82,MATCH($B173,About!$A$79:$A$82,0),1)</f>
        <v>53554</v>
      </c>
      <c r="G173" s="27">
        <f>SUMIFS(INDEX(Load,,MATCH('Summarized Source Data'!$C173,Hour,0)),Month,'Summarized Source Data'!$A173,Sector,'Summarized Source Data'!G$2,Subsector,'Summarized Source Data'!G$3,TimeOfWeek,$E173)*INDEX(About!C$79:C$82,MATCH($B173,About!$A$79:$A$82,0),1)</f>
        <v>50600000</v>
      </c>
      <c r="H173" s="27">
        <f>SUMIFS(INDEX(Load,,MATCH('Summarized Source Data'!$C173,Hour,0)),Month,'Summarized Source Data'!$A173,Sector,'Summarized Source Data'!H$2,Subsector,'Summarized Source Data'!H$3,TimeOfWeek,$E173)*INDEX(About!D$79:D$82,MATCH($B173,About!$A$79:$A$82,0),1)</f>
        <v>0</v>
      </c>
      <c r="I173" s="27">
        <f>SUMIFS(INDEX(Load,,MATCH('Summarized Source Data'!$C173,Hour,0)),Month,'Summarized Source Data'!$A173,Sector,'Summarized Source Data'!I$2,Subsector,'Summarized Source Data'!I$3,TimeOfWeek,$E173)*INDEX(About!E$79:E$82,MATCH($B173,About!$A$79:$A$82,0),1)</f>
        <v>9303677</v>
      </c>
      <c r="J173" s="54">
        <f t="shared" si="11"/>
        <v>54042769</v>
      </c>
      <c r="K173" s="27">
        <f>(SUMIFS(INDEX(Load,,MATCH('Summarized Source Data'!$C173,Hour,0)),Month,'Summarized Source Data'!$A173,Sector,'Summarized Source Data'!K$2,Subsector,"Total",TimeOfWeek,$E173)-SUM(F173:I173))*INDEX(About!G$79:G$82,MATCH($B173,About!$A$79:$A$82,0),1)</f>
        <v>54042769</v>
      </c>
      <c r="L173" s="27">
        <f>SUMIFS(INDEX(Load,,MATCH('Summarized Source Data'!$C173,Hour,0)),Month,'Summarized Source Data'!$A173,Sector,'Summarized Source Data'!L$2,Subsector,'Summarized Source Data'!L$3,TimeOfWeek,$E173)*INDEX(About!H$79:H$82,MATCH($B173,About!$A$79:$A$82,0),1)</f>
        <v>207628</v>
      </c>
      <c r="M173" s="27">
        <f>SUMIFS(INDEX(Load,,MATCH('Summarized Source Data'!$C173,Hour,0)),Month,'Summarized Source Data'!$A173,Sector,'Summarized Source Data'!M$2,Subsector,'Summarized Source Data'!M$3,TimeOfWeek,$E173)*INDEX(About!I$79:I$82,MATCH($B173,About!$A$79:$A$82,0),1)</f>
        <v>220000000</v>
      </c>
      <c r="N173" s="27">
        <f>SUMIFS(INDEX(Load,,MATCH('Summarized Source Data'!$C173,Hour,0)),Month,'Summarized Source Data'!$A173,Sector,'Summarized Source Data'!N$2,Subsector,'Summarized Source Data'!N$3,TimeOfWeek,$E173)*INDEX(About!J$79:J$82,MATCH($B173,About!$A$79:$A$82,0),1)</f>
        <v>0</v>
      </c>
      <c r="O173" s="29">
        <f t="shared" si="12"/>
        <v>148792372</v>
      </c>
      <c r="P173" s="27">
        <f>(SUMIFS(INDEX(Load,,MATCH('Summarized Source Data'!$C173,Hour,0)),Month,'Summarized Source Data'!$A173,Sector,'Summarized Source Data'!P$2,Subsector,"Total",TimeOfWeek,$E173)-SUM(L173:N173)*INDEX(About!L$79:L$82,MATCH($B173,About!$A$79:$A$82,0),1))</f>
        <v>148792372</v>
      </c>
      <c r="Q173" s="29">
        <f t="shared" si="13"/>
        <v>148792372</v>
      </c>
      <c r="R173" s="33">
        <f>SUMIFS(INDEX(Load,,MATCH('Summarized Source Data'!$C173,Hour,0)),Month,'Summarized Source Data'!$A173,Sector,'Summarized Source Data'!R$2,TimeOfWeek,$E173)*INDEX(About!N$79:N$82,MATCH($B173,About!$A$79:$A$82,0),1)</f>
        <v>4325841</v>
      </c>
      <c r="S173" s="33">
        <f>SUMIFS(INDEX(Load,,MATCH('Summarized Source Data'!$C173,Hour,0)),Month,'Summarized Source Data'!$A173,Sector,'Summarized Source Data'!S$2,TimeOfWeek,$E173)*INDEX(About!O$79:O$82,MATCH($B173,About!$A$79:$A$82,0),1)</f>
        <v>4325841</v>
      </c>
      <c r="T173" s="33">
        <f>SUMIFS(INDEX(Load,,MATCH('Summarized Source Data'!$C173,Hour,0)),Month,'Summarized Source Data'!$A173,Sector,'Summarized Source Data'!T$2,TimeOfWeek,$E173)*INDEX(About!P$79:P$82,MATCH($B173,About!$A$79:$A$82,0),1)</f>
        <v>4325841</v>
      </c>
      <c r="U173" s="33">
        <f>SUMIFS(INDEX(Load,,MATCH('Summarized Source Data'!$C173,Hour,0)),Month,'Summarized Source Data'!$A173,Sector,'Summarized Source Data'!U$2,TimeOfWeek,$E173)*INDEX(About!Q$79:Q$82,MATCH($B173,About!$A$79:$A$82,0),1)</f>
        <v>4325841</v>
      </c>
      <c r="V173" s="33">
        <f>SUMIFS(INDEX(Load,,MATCH('Summarized Source Data'!$C173,Hour,0)),Month,'Summarized Source Data'!$A173,Sector,'Summarized Source Data'!V$2,TimeOfWeek,$E173)*INDEX(About!R$79:R$82,MATCH($B173,About!$A$79:$A$82,0),1)</f>
        <v>4325841</v>
      </c>
      <c r="W173" s="33">
        <f>SUMIFS(INDEX(Load,,MATCH('Summarized Source Data'!$C173,Hour,0)),Month,'Summarized Source Data'!$A173,Sector,'Summarized Source Data'!W$2,TimeOfWeek,$E173)*INDEX(About!S$79:S$82,MATCH($B173,About!$A$79:$A$82,0),1)</f>
        <v>4325841</v>
      </c>
      <c r="X173" s="27">
        <f>SUMIFS(INDEX(Load,,MATCH('Summarized Source Data'!$C173,Hour,0)),Month,'Summarized Source Data'!$A173,Sector,'Summarized Source Data'!X$2,Subsector,'Summarized Source Data'!X$3,TimeOfWeek,$E173)*INDEX(About!T$79:T$82,MATCH($B173,About!$A$79:$A$82,0),1)</f>
        <v>651000000</v>
      </c>
      <c r="Y173" s="29">
        <f t="shared" si="14"/>
        <v>651000000</v>
      </c>
      <c r="Z173" s="29">
        <f t="shared" si="14"/>
        <v>651000000</v>
      </c>
    </row>
    <row r="174" spans="1:26" outlineLevel="1" x14ac:dyDescent="0.3">
      <c r="A174">
        <f t="shared" si="10"/>
        <v>8</v>
      </c>
      <c r="B174" t="str">
        <f>INDEX('Category Mapping'!$G$28:$G$39,MATCH(A174,'Category Mapping'!$A$28:$A$39,0),1)</f>
        <v>Summer</v>
      </c>
      <c r="C174" t="s">
        <v>65</v>
      </c>
      <c r="D174" s="6" t="s">
        <v>140</v>
      </c>
      <c r="E174" t="s">
        <v>49</v>
      </c>
      <c r="F174" s="27">
        <f>SUMIFS(INDEX(Load,,MATCH('Summarized Source Data'!$C174,Hour,0)),Month,'Summarized Source Data'!$A174,Sector,'Summarized Source Data'!F$2,Subsector,'Summarized Source Data'!F$3,TimeOfWeek,$E174)*INDEX(About!B$79:B$82,MATCH($B174,About!$A$79:$A$82,0),1)</f>
        <v>53554</v>
      </c>
      <c r="G174" s="27">
        <f>SUMIFS(INDEX(Load,,MATCH('Summarized Source Data'!$C174,Hour,0)),Month,'Summarized Source Data'!$A174,Sector,'Summarized Source Data'!G$2,Subsector,'Summarized Source Data'!G$3,TimeOfWeek,$E174)*INDEX(About!C$79:C$82,MATCH($B174,About!$A$79:$A$82,0),1)</f>
        <v>48600000</v>
      </c>
      <c r="H174" s="27">
        <f>SUMIFS(INDEX(Load,,MATCH('Summarized Source Data'!$C174,Hour,0)),Month,'Summarized Source Data'!$A174,Sector,'Summarized Source Data'!H$2,Subsector,'Summarized Source Data'!H$3,TimeOfWeek,$E174)*INDEX(About!D$79:D$82,MATCH($B174,About!$A$79:$A$82,0),1)</f>
        <v>0</v>
      </c>
      <c r="I174" s="27">
        <f>SUMIFS(INDEX(Load,,MATCH('Summarized Source Data'!$C174,Hour,0)),Month,'Summarized Source Data'!$A174,Sector,'Summarized Source Data'!I$2,Subsector,'Summarized Source Data'!I$3,TimeOfWeek,$E174)*INDEX(About!E$79:E$82,MATCH($B174,About!$A$79:$A$82,0),1)</f>
        <v>9212380</v>
      </c>
      <c r="J174" s="54">
        <f t="shared" si="11"/>
        <v>43134066</v>
      </c>
      <c r="K174" s="27">
        <f>(SUMIFS(INDEX(Load,,MATCH('Summarized Source Data'!$C174,Hour,0)),Month,'Summarized Source Data'!$A174,Sector,'Summarized Source Data'!K$2,Subsector,"Total",TimeOfWeek,$E174)-SUM(F174:I174))*INDEX(About!G$79:G$82,MATCH($B174,About!$A$79:$A$82,0),1)</f>
        <v>43134066</v>
      </c>
      <c r="L174" s="27">
        <f>SUMIFS(INDEX(Load,,MATCH('Summarized Source Data'!$C174,Hour,0)),Month,'Summarized Source Data'!$A174,Sector,'Summarized Source Data'!L$2,Subsector,'Summarized Source Data'!L$3,TimeOfWeek,$E174)*INDEX(About!H$79:H$82,MATCH($B174,About!$A$79:$A$82,0),1)</f>
        <v>207628</v>
      </c>
      <c r="M174" s="27">
        <f>SUMIFS(INDEX(Load,,MATCH('Summarized Source Data'!$C174,Hour,0)),Month,'Summarized Source Data'!$A174,Sector,'Summarized Source Data'!M$2,Subsector,'Summarized Source Data'!M$3,TimeOfWeek,$E174)*INDEX(About!I$79:I$82,MATCH($B174,About!$A$79:$A$82,0),1)</f>
        <v>213000000</v>
      </c>
      <c r="N174" s="27">
        <f>SUMIFS(INDEX(Load,,MATCH('Summarized Source Data'!$C174,Hour,0)),Month,'Summarized Source Data'!$A174,Sector,'Summarized Source Data'!N$2,Subsector,'Summarized Source Data'!N$3,TimeOfWeek,$E174)*INDEX(About!J$79:J$82,MATCH($B174,About!$A$79:$A$82,0),1)</f>
        <v>0</v>
      </c>
      <c r="O174" s="29">
        <f t="shared" si="12"/>
        <v>147792372</v>
      </c>
      <c r="P174" s="27">
        <f>(SUMIFS(INDEX(Load,,MATCH('Summarized Source Data'!$C174,Hour,0)),Month,'Summarized Source Data'!$A174,Sector,'Summarized Source Data'!P$2,Subsector,"Total",TimeOfWeek,$E174)-SUM(L174:N174)*INDEX(About!L$79:L$82,MATCH($B174,About!$A$79:$A$82,0),1))</f>
        <v>147792372</v>
      </c>
      <c r="Q174" s="29">
        <f t="shared" si="13"/>
        <v>147792372</v>
      </c>
      <c r="R174" s="33">
        <f>SUMIFS(INDEX(Load,,MATCH('Summarized Source Data'!$C174,Hour,0)),Month,'Summarized Source Data'!$A174,Sector,'Summarized Source Data'!R$2,TimeOfWeek,$E174)*INDEX(About!N$79:N$82,MATCH($B174,About!$A$79:$A$82,0),1)</f>
        <v>4308423</v>
      </c>
      <c r="S174" s="33">
        <f>SUMIFS(INDEX(Load,,MATCH('Summarized Source Data'!$C174,Hour,0)),Month,'Summarized Source Data'!$A174,Sector,'Summarized Source Data'!S$2,TimeOfWeek,$E174)*INDEX(About!O$79:O$82,MATCH($B174,About!$A$79:$A$82,0),1)</f>
        <v>4308423</v>
      </c>
      <c r="T174" s="33">
        <f>SUMIFS(INDEX(Load,,MATCH('Summarized Source Data'!$C174,Hour,0)),Month,'Summarized Source Data'!$A174,Sector,'Summarized Source Data'!T$2,TimeOfWeek,$E174)*INDEX(About!P$79:P$82,MATCH($B174,About!$A$79:$A$82,0),1)</f>
        <v>4308423</v>
      </c>
      <c r="U174" s="33">
        <f>SUMIFS(INDEX(Load,,MATCH('Summarized Source Data'!$C174,Hour,0)),Month,'Summarized Source Data'!$A174,Sector,'Summarized Source Data'!U$2,TimeOfWeek,$E174)*INDEX(About!Q$79:Q$82,MATCH($B174,About!$A$79:$A$82,0),1)</f>
        <v>4308423</v>
      </c>
      <c r="V174" s="33">
        <f>SUMIFS(INDEX(Load,,MATCH('Summarized Source Data'!$C174,Hour,0)),Month,'Summarized Source Data'!$A174,Sector,'Summarized Source Data'!V$2,TimeOfWeek,$E174)*INDEX(About!R$79:R$82,MATCH($B174,About!$A$79:$A$82,0),1)</f>
        <v>4308423</v>
      </c>
      <c r="W174" s="33">
        <f>SUMIFS(INDEX(Load,,MATCH('Summarized Source Data'!$C174,Hour,0)),Month,'Summarized Source Data'!$A174,Sector,'Summarized Source Data'!W$2,TimeOfWeek,$E174)*INDEX(About!S$79:S$82,MATCH($B174,About!$A$79:$A$82,0),1)</f>
        <v>4308423</v>
      </c>
      <c r="X174" s="27">
        <f>SUMIFS(INDEX(Load,,MATCH('Summarized Source Data'!$C174,Hour,0)),Month,'Summarized Source Data'!$A174,Sector,'Summarized Source Data'!X$2,Subsector,'Summarized Source Data'!X$3,TimeOfWeek,$E174)*INDEX(About!T$79:T$82,MATCH($B174,About!$A$79:$A$82,0),1)</f>
        <v>651000000</v>
      </c>
      <c r="Y174" s="29">
        <f t="shared" si="14"/>
        <v>651000000</v>
      </c>
      <c r="Z174" s="29">
        <f t="shared" si="14"/>
        <v>651000000</v>
      </c>
    </row>
    <row r="175" spans="1:26" outlineLevel="1" x14ac:dyDescent="0.3">
      <c r="A175">
        <f t="shared" si="10"/>
        <v>8</v>
      </c>
      <c r="B175" t="str">
        <f>INDEX('Category Mapping'!$G$28:$G$39,MATCH(A175,'Category Mapping'!$A$28:$A$39,0),1)</f>
        <v>Summer</v>
      </c>
      <c r="C175" t="s">
        <v>66</v>
      </c>
      <c r="D175" s="6" t="s">
        <v>141</v>
      </c>
      <c r="E175" t="s">
        <v>49</v>
      </c>
      <c r="F175" s="27">
        <f>SUMIFS(INDEX(Load,,MATCH('Summarized Source Data'!$C175,Hour,0)),Month,'Summarized Source Data'!$A175,Sector,'Summarized Source Data'!F$2,Subsector,'Summarized Source Data'!F$3,TimeOfWeek,$E175)*INDEX(About!B$79:B$82,MATCH($B175,About!$A$79:$A$82,0),1)</f>
        <v>53554</v>
      </c>
      <c r="G175" s="27">
        <f>SUMIFS(INDEX(Load,,MATCH('Summarized Source Data'!$C175,Hour,0)),Month,'Summarized Source Data'!$A175,Sector,'Summarized Source Data'!G$2,Subsector,'Summarized Source Data'!G$3,TimeOfWeek,$E175)*INDEX(About!C$79:C$82,MATCH($B175,About!$A$79:$A$82,0),1)</f>
        <v>50800000</v>
      </c>
      <c r="H175" s="27">
        <f>SUMIFS(INDEX(Load,,MATCH('Summarized Source Data'!$C175,Hour,0)),Month,'Summarized Source Data'!$A175,Sector,'Summarized Source Data'!H$2,Subsector,'Summarized Source Data'!H$3,TimeOfWeek,$E175)*INDEX(About!D$79:D$82,MATCH($B175,About!$A$79:$A$82,0),1)</f>
        <v>0</v>
      </c>
      <c r="I175" s="27">
        <f>SUMIFS(INDEX(Load,,MATCH('Summarized Source Data'!$C175,Hour,0)),Month,'Summarized Source Data'!$A175,Sector,'Summarized Source Data'!I$2,Subsector,'Summarized Source Data'!I$3,TimeOfWeek,$E175)*INDEX(About!E$79:E$82,MATCH($B175,About!$A$79:$A$82,0),1)</f>
        <v>9417748</v>
      </c>
      <c r="J175" s="54">
        <f t="shared" si="11"/>
        <v>37728698</v>
      </c>
      <c r="K175" s="27">
        <f>(SUMIFS(INDEX(Load,,MATCH('Summarized Source Data'!$C175,Hour,0)),Month,'Summarized Source Data'!$A175,Sector,'Summarized Source Data'!K$2,Subsector,"Total",TimeOfWeek,$E175)-SUM(F175:I175))*INDEX(About!G$79:G$82,MATCH($B175,About!$A$79:$A$82,0),1)</f>
        <v>37728698</v>
      </c>
      <c r="L175" s="27">
        <f>SUMIFS(INDEX(Load,,MATCH('Summarized Source Data'!$C175,Hour,0)),Month,'Summarized Source Data'!$A175,Sector,'Summarized Source Data'!L$2,Subsector,'Summarized Source Data'!L$3,TimeOfWeek,$E175)*INDEX(About!H$79:H$82,MATCH($B175,About!$A$79:$A$82,0),1)</f>
        <v>207628</v>
      </c>
      <c r="M175" s="27">
        <f>SUMIFS(INDEX(Load,,MATCH('Summarized Source Data'!$C175,Hour,0)),Month,'Summarized Source Data'!$A175,Sector,'Summarized Source Data'!M$2,Subsector,'Summarized Source Data'!M$3,TimeOfWeek,$E175)*INDEX(About!I$79:I$82,MATCH($B175,About!$A$79:$A$82,0),1)</f>
        <v>214000000</v>
      </c>
      <c r="N175" s="27">
        <f>SUMIFS(INDEX(Load,,MATCH('Summarized Source Data'!$C175,Hour,0)),Month,'Summarized Source Data'!$A175,Sector,'Summarized Source Data'!N$2,Subsector,'Summarized Source Data'!N$3,TimeOfWeek,$E175)*INDEX(About!J$79:J$82,MATCH($B175,About!$A$79:$A$82,0),1)</f>
        <v>0</v>
      </c>
      <c r="O175" s="29">
        <f t="shared" si="12"/>
        <v>154792372</v>
      </c>
      <c r="P175" s="27">
        <f>(SUMIFS(INDEX(Load,,MATCH('Summarized Source Data'!$C175,Hour,0)),Month,'Summarized Source Data'!$A175,Sector,'Summarized Source Data'!P$2,Subsector,"Total",TimeOfWeek,$E175)-SUM(L175:N175)*INDEX(About!L$79:L$82,MATCH($B175,About!$A$79:$A$82,0),1))</f>
        <v>154792372</v>
      </c>
      <c r="Q175" s="29">
        <f t="shared" si="13"/>
        <v>154792372</v>
      </c>
      <c r="R175" s="33">
        <f>SUMIFS(INDEX(Load,,MATCH('Summarized Source Data'!$C175,Hour,0)),Month,'Summarized Source Data'!$A175,Sector,'Summarized Source Data'!R$2,TimeOfWeek,$E175)*INDEX(About!N$79:N$82,MATCH($B175,About!$A$79:$A$82,0),1)</f>
        <v>4324459</v>
      </c>
      <c r="S175" s="33">
        <f>SUMIFS(INDEX(Load,,MATCH('Summarized Source Data'!$C175,Hour,0)),Month,'Summarized Source Data'!$A175,Sector,'Summarized Source Data'!S$2,TimeOfWeek,$E175)*INDEX(About!O$79:O$82,MATCH($B175,About!$A$79:$A$82,0),1)</f>
        <v>4324459</v>
      </c>
      <c r="T175" s="33">
        <f>SUMIFS(INDEX(Load,,MATCH('Summarized Source Data'!$C175,Hour,0)),Month,'Summarized Source Data'!$A175,Sector,'Summarized Source Data'!T$2,TimeOfWeek,$E175)*INDEX(About!P$79:P$82,MATCH($B175,About!$A$79:$A$82,0),1)</f>
        <v>4324459</v>
      </c>
      <c r="U175" s="33">
        <f>SUMIFS(INDEX(Load,,MATCH('Summarized Source Data'!$C175,Hour,0)),Month,'Summarized Source Data'!$A175,Sector,'Summarized Source Data'!U$2,TimeOfWeek,$E175)*INDEX(About!Q$79:Q$82,MATCH($B175,About!$A$79:$A$82,0),1)</f>
        <v>4324459</v>
      </c>
      <c r="V175" s="33">
        <f>SUMIFS(INDEX(Load,,MATCH('Summarized Source Data'!$C175,Hour,0)),Month,'Summarized Source Data'!$A175,Sector,'Summarized Source Data'!V$2,TimeOfWeek,$E175)*INDEX(About!R$79:R$82,MATCH($B175,About!$A$79:$A$82,0),1)</f>
        <v>4324459</v>
      </c>
      <c r="W175" s="33">
        <f>SUMIFS(INDEX(Load,,MATCH('Summarized Source Data'!$C175,Hour,0)),Month,'Summarized Source Data'!$A175,Sector,'Summarized Source Data'!W$2,TimeOfWeek,$E175)*INDEX(About!S$79:S$82,MATCH($B175,About!$A$79:$A$82,0),1)</f>
        <v>4324459</v>
      </c>
      <c r="X175" s="27">
        <f>SUMIFS(INDEX(Load,,MATCH('Summarized Source Data'!$C175,Hour,0)),Month,'Summarized Source Data'!$A175,Sector,'Summarized Source Data'!X$2,Subsector,'Summarized Source Data'!X$3,TimeOfWeek,$E175)*INDEX(About!T$79:T$82,MATCH($B175,About!$A$79:$A$82,0),1)</f>
        <v>651000000</v>
      </c>
      <c r="Y175" s="29">
        <f t="shared" si="14"/>
        <v>651000000</v>
      </c>
      <c r="Z175" s="29">
        <f t="shared" si="14"/>
        <v>651000000</v>
      </c>
    </row>
    <row r="176" spans="1:26" outlineLevel="1" x14ac:dyDescent="0.3">
      <c r="A176">
        <f t="shared" si="10"/>
        <v>8</v>
      </c>
      <c r="B176" t="str">
        <f>INDEX('Category Mapping'!$G$28:$G$39,MATCH(A176,'Category Mapping'!$A$28:$A$39,0),1)</f>
        <v>Summer</v>
      </c>
      <c r="C176" t="s">
        <v>67</v>
      </c>
      <c r="D176" s="6" t="s">
        <v>142</v>
      </c>
      <c r="E176" t="s">
        <v>49</v>
      </c>
      <c r="F176" s="27">
        <f>SUMIFS(INDEX(Load,,MATCH('Summarized Source Data'!$C176,Hour,0)),Month,'Summarized Source Data'!$A176,Sector,'Summarized Source Data'!F$2,Subsector,'Summarized Source Data'!F$3,TimeOfWeek,$E176)*INDEX(About!B$79:B$82,MATCH($B176,About!$A$79:$A$82,0),1)</f>
        <v>53554</v>
      </c>
      <c r="G176" s="27">
        <f>SUMIFS(INDEX(Load,,MATCH('Summarized Source Data'!$C176,Hour,0)),Month,'Summarized Source Data'!$A176,Sector,'Summarized Source Data'!G$2,Subsector,'Summarized Source Data'!G$3,TimeOfWeek,$E176)*INDEX(About!C$79:C$82,MATCH($B176,About!$A$79:$A$82,0),1)</f>
        <v>55600000</v>
      </c>
      <c r="H176" s="27">
        <f>SUMIFS(INDEX(Load,,MATCH('Summarized Source Data'!$C176,Hour,0)),Month,'Summarized Source Data'!$A176,Sector,'Summarized Source Data'!H$2,Subsector,'Summarized Source Data'!H$3,TimeOfWeek,$E176)*INDEX(About!D$79:D$82,MATCH($B176,About!$A$79:$A$82,0),1)</f>
        <v>0</v>
      </c>
      <c r="I176" s="27">
        <f>SUMIFS(INDEX(Load,,MATCH('Summarized Source Data'!$C176,Hour,0)),Month,'Summarized Source Data'!$A176,Sector,'Summarized Source Data'!I$2,Subsector,'Summarized Source Data'!I$3,TimeOfWeek,$E176)*INDEX(About!E$79:E$82,MATCH($B176,About!$A$79:$A$82,0),1)</f>
        <v>12100000</v>
      </c>
      <c r="J176" s="54">
        <f t="shared" si="11"/>
        <v>40246446</v>
      </c>
      <c r="K176" s="27">
        <f>(SUMIFS(INDEX(Load,,MATCH('Summarized Source Data'!$C176,Hour,0)),Month,'Summarized Source Data'!$A176,Sector,'Summarized Source Data'!K$2,Subsector,"Total",TimeOfWeek,$E176)-SUM(F176:I176))*INDEX(About!G$79:G$82,MATCH($B176,About!$A$79:$A$82,0),1)</f>
        <v>40246446</v>
      </c>
      <c r="L176" s="27">
        <f>SUMIFS(INDEX(Load,,MATCH('Summarized Source Data'!$C176,Hour,0)),Month,'Summarized Source Data'!$A176,Sector,'Summarized Source Data'!L$2,Subsector,'Summarized Source Data'!L$3,TimeOfWeek,$E176)*INDEX(About!H$79:H$82,MATCH($B176,About!$A$79:$A$82,0),1)</f>
        <v>207628</v>
      </c>
      <c r="M176" s="27">
        <f>SUMIFS(INDEX(Load,,MATCH('Summarized Source Data'!$C176,Hour,0)),Month,'Summarized Source Data'!$A176,Sector,'Summarized Source Data'!M$2,Subsector,'Summarized Source Data'!M$3,TimeOfWeek,$E176)*INDEX(About!I$79:I$82,MATCH($B176,About!$A$79:$A$82,0),1)</f>
        <v>222000000</v>
      </c>
      <c r="N176" s="27">
        <f>SUMIFS(INDEX(Load,,MATCH('Summarized Source Data'!$C176,Hour,0)),Month,'Summarized Source Data'!$A176,Sector,'Summarized Source Data'!N$2,Subsector,'Summarized Source Data'!N$3,TimeOfWeek,$E176)*INDEX(About!J$79:J$82,MATCH($B176,About!$A$79:$A$82,0),1)</f>
        <v>0</v>
      </c>
      <c r="O176" s="29">
        <f t="shared" si="12"/>
        <v>163792372</v>
      </c>
      <c r="P176" s="27">
        <f>(SUMIFS(INDEX(Load,,MATCH('Summarized Source Data'!$C176,Hour,0)),Month,'Summarized Source Data'!$A176,Sector,'Summarized Source Data'!P$2,Subsector,"Total",TimeOfWeek,$E176)-SUM(L176:N176)*INDEX(About!L$79:L$82,MATCH($B176,About!$A$79:$A$82,0),1))</f>
        <v>163792372</v>
      </c>
      <c r="Q176" s="29">
        <f t="shared" si="13"/>
        <v>163792372</v>
      </c>
      <c r="R176" s="33">
        <f>SUMIFS(INDEX(Load,,MATCH('Summarized Source Data'!$C176,Hour,0)),Month,'Summarized Source Data'!$A176,Sector,'Summarized Source Data'!R$2,TimeOfWeek,$E176)*INDEX(About!N$79:N$82,MATCH($B176,About!$A$79:$A$82,0),1)</f>
        <v>4306986</v>
      </c>
      <c r="S176" s="33">
        <f>SUMIFS(INDEX(Load,,MATCH('Summarized Source Data'!$C176,Hour,0)),Month,'Summarized Source Data'!$A176,Sector,'Summarized Source Data'!S$2,TimeOfWeek,$E176)*INDEX(About!O$79:O$82,MATCH($B176,About!$A$79:$A$82,0),1)</f>
        <v>4306986</v>
      </c>
      <c r="T176" s="33">
        <f>SUMIFS(INDEX(Load,,MATCH('Summarized Source Data'!$C176,Hour,0)),Month,'Summarized Source Data'!$A176,Sector,'Summarized Source Data'!T$2,TimeOfWeek,$E176)*INDEX(About!P$79:P$82,MATCH($B176,About!$A$79:$A$82,0),1)</f>
        <v>4306986</v>
      </c>
      <c r="U176" s="33">
        <f>SUMIFS(INDEX(Load,,MATCH('Summarized Source Data'!$C176,Hour,0)),Month,'Summarized Source Data'!$A176,Sector,'Summarized Source Data'!U$2,TimeOfWeek,$E176)*INDEX(About!Q$79:Q$82,MATCH($B176,About!$A$79:$A$82,0),1)</f>
        <v>4306986</v>
      </c>
      <c r="V176" s="33">
        <f>SUMIFS(INDEX(Load,,MATCH('Summarized Source Data'!$C176,Hour,0)),Month,'Summarized Source Data'!$A176,Sector,'Summarized Source Data'!V$2,TimeOfWeek,$E176)*INDEX(About!R$79:R$82,MATCH($B176,About!$A$79:$A$82,0),1)</f>
        <v>4306986</v>
      </c>
      <c r="W176" s="33">
        <f>SUMIFS(INDEX(Load,,MATCH('Summarized Source Data'!$C176,Hour,0)),Month,'Summarized Source Data'!$A176,Sector,'Summarized Source Data'!W$2,TimeOfWeek,$E176)*INDEX(About!S$79:S$82,MATCH($B176,About!$A$79:$A$82,0),1)</f>
        <v>4306986</v>
      </c>
      <c r="X176" s="27">
        <f>SUMIFS(INDEX(Load,,MATCH('Summarized Source Data'!$C176,Hour,0)),Month,'Summarized Source Data'!$A176,Sector,'Summarized Source Data'!X$2,Subsector,'Summarized Source Data'!X$3,TimeOfWeek,$E176)*INDEX(About!T$79:T$82,MATCH($B176,About!$A$79:$A$82,0),1)</f>
        <v>653000000</v>
      </c>
      <c r="Y176" s="29">
        <f t="shared" si="14"/>
        <v>653000000</v>
      </c>
      <c r="Z176" s="29">
        <f t="shared" si="14"/>
        <v>653000000</v>
      </c>
    </row>
    <row r="177" spans="1:26" outlineLevel="1" x14ac:dyDescent="0.3">
      <c r="A177">
        <f t="shared" si="10"/>
        <v>8</v>
      </c>
      <c r="B177" t="str">
        <f>INDEX('Category Mapping'!$G$28:$G$39,MATCH(A177,'Category Mapping'!$A$28:$A$39,0),1)</f>
        <v>Summer</v>
      </c>
      <c r="C177" t="s">
        <v>68</v>
      </c>
      <c r="D177" s="6" t="s">
        <v>143</v>
      </c>
      <c r="E177" t="s">
        <v>49</v>
      </c>
      <c r="F177" s="27">
        <f>SUMIFS(INDEX(Load,,MATCH('Summarized Source Data'!$C177,Hour,0)),Month,'Summarized Source Data'!$A177,Sector,'Summarized Source Data'!F$2,Subsector,'Summarized Source Data'!F$3,TimeOfWeek,$E177)*INDEX(About!B$79:B$82,MATCH($B177,About!$A$79:$A$82,0),1)</f>
        <v>79755</v>
      </c>
      <c r="G177" s="27">
        <f>SUMIFS(INDEX(Load,,MATCH('Summarized Source Data'!$C177,Hour,0)),Month,'Summarized Source Data'!$A177,Sector,'Summarized Source Data'!G$2,Subsector,'Summarized Source Data'!G$3,TimeOfWeek,$E177)*INDEX(About!C$79:C$82,MATCH($B177,About!$A$79:$A$82,0),1)</f>
        <v>60300000</v>
      </c>
      <c r="H177" s="27">
        <f>SUMIFS(INDEX(Load,,MATCH('Summarized Source Data'!$C177,Hour,0)),Month,'Summarized Source Data'!$A177,Sector,'Summarized Source Data'!H$2,Subsector,'Summarized Source Data'!H$3,TimeOfWeek,$E177)*INDEX(About!D$79:D$82,MATCH($B177,About!$A$79:$A$82,0),1)</f>
        <v>0</v>
      </c>
      <c r="I177" s="27">
        <f>SUMIFS(INDEX(Load,,MATCH('Summarized Source Data'!$C177,Hour,0)),Month,'Summarized Source Data'!$A177,Sector,'Summarized Source Data'!I$2,Subsector,'Summarized Source Data'!I$3,TimeOfWeek,$E177)*INDEX(About!E$79:E$82,MATCH($B177,About!$A$79:$A$82,0),1)</f>
        <v>20800000</v>
      </c>
      <c r="J177" s="54">
        <f t="shared" si="11"/>
        <v>53820245</v>
      </c>
      <c r="K177" s="27">
        <f>(SUMIFS(INDEX(Load,,MATCH('Summarized Source Data'!$C177,Hour,0)),Month,'Summarized Source Data'!$A177,Sector,'Summarized Source Data'!K$2,Subsector,"Total",TimeOfWeek,$E177)-SUM(F177:I177))*INDEX(About!G$79:G$82,MATCH($B177,About!$A$79:$A$82,0),1)</f>
        <v>53820245</v>
      </c>
      <c r="L177" s="27">
        <f>SUMIFS(INDEX(Load,,MATCH('Summarized Source Data'!$C177,Hour,0)),Month,'Summarized Source Data'!$A177,Sector,'Summarized Source Data'!L$2,Subsector,'Summarized Source Data'!L$3,TimeOfWeek,$E177)*INDEX(About!H$79:H$82,MATCH($B177,About!$A$79:$A$82,0),1)</f>
        <v>207628</v>
      </c>
      <c r="M177" s="27">
        <f>SUMIFS(INDEX(Load,,MATCH('Summarized Source Data'!$C177,Hour,0)),Month,'Summarized Source Data'!$A177,Sector,'Summarized Source Data'!M$2,Subsector,'Summarized Source Data'!M$3,TimeOfWeek,$E177)*INDEX(About!I$79:I$82,MATCH($B177,About!$A$79:$A$82,0),1)</f>
        <v>240000000</v>
      </c>
      <c r="N177" s="27">
        <f>SUMIFS(INDEX(Load,,MATCH('Summarized Source Data'!$C177,Hour,0)),Month,'Summarized Source Data'!$A177,Sector,'Summarized Source Data'!N$2,Subsector,'Summarized Source Data'!N$3,TimeOfWeek,$E177)*INDEX(About!J$79:J$82,MATCH($B177,About!$A$79:$A$82,0),1)</f>
        <v>0</v>
      </c>
      <c r="O177" s="29">
        <f t="shared" si="12"/>
        <v>190792372</v>
      </c>
      <c r="P177" s="27">
        <f>(SUMIFS(INDEX(Load,,MATCH('Summarized Source Data'!$C177,Hour,0)),Month,'Summarized Source Data'!$A177,Sector,'Summarized Source Data'!P$2,Subsector,"Total",TimeOfWeek,$E177)-SUM(L177:N177)*INDEX(About!L$79:L$82,MATCH($B177,About!$A$79:$A$82,0),1))</f>
        <v>190792372</v>
      </c>
      <c r="Q177" s="29">
        <f t="shared" si="13"/>
        <v>190792372</v>
      </c>
      <c r="R177" s="33">
        <f>SUMIFS(INDEX(Load,,MATCH('Summarized Source Data'!$C177,Hour,0)),Month,'Summarized Source Data'!$A177,Sector,'Summarized Source Data'!R$2,TimeOfWeek,$E177)*INDEX(About!N$79:N$82,MATCH($B177,About!$A$79:$A$82,0),1)</f>
        <v>4440193</v>
      </c>
      <c r="S177" s="33">
        <f>SUMIFS(INDEX(Load,,MATCH('Summarized Source Data'!$C177,Hour,0)),Month,'Summarized Source Data'!$A177,Sector,'Summarized Source Data'!S$2,TimeOfWeek,$E177)*INDEX(About!O$79:O$82,MATCH($B177,About!$A$79:$A$82,0),1)</f>
        <v>4440193</v>
      </c>
      <c r="T177" s="33">
        <f>SUMIFS(INDEX(Load,,MATCH('Summarized Source Data'!$C177,Hour,0)),Month,'Summarized Source Data'!$A177,Sector,'Summarized Source Data'!T$2,TimeOfWeek,$E177)*INDEX(About!P$79:P$82,MATCH($B177,About!$A$79:$A$82,0),1)</f>
        <v>4440193</v>
      </c>
      <c r="U177" s="33">
        <f>SUMIFS(INDEX(Load,,MATCH('Summarized Source Data'!$C177,Hour,0)),Month,'Summarized Source Data'!$A177,Sector,'Summarized Source Data'!U$2,TimeOfWeek,$E177)*INDEX(About!Q$79:Q$82,MATCH($B177,About!$A$79:$A$82,0),1)</f>
        <v>4440193</v>
      </c>
      <c r="V177" s="33">
        <f>SUMIFS(INDEX(Load,,MATCH('Summarized Source Data'!$C177,Hour,0)),Month,'Summarized Source Data'!$A177,Sector,'Summarized Source Data'!V$2,TimeOfWeek,$E177)*INDEX(About!R$79:R$82,MATCH($B177,About!$A$79:$A$82,0),1)</f>
        <v>4440193</v>
      </c>
      <c r="W177" s="33">
        <f>SUMIFS(INDEX(Load,,MATCH('Summarized Source Data'!$C177,Hour,0)),Month,'Summarized Source Data'!$A177,Sector,'Summarized Source Data'!W$2,TimeOfWeek,$E177)*INDEX(About!S$79:S$82,MATCH($B177,About!$A$79:$A$82,0),1)</f>
        <v>4440193</v>
      </c>
      <c r="X177" s="27">
        <f>SUMIFS(INDEX(Load,,MATCH('Summarized Source Data'!$C177,Hour,0)),Month,'Summarized Source Data'!$A177,Sector,'Summarized Source Data'!X$2,Subsector,'Summarized Source Data'!X$3,TimeOfWeek,$E177)*INDEX(About!T$79:T$82,MATCH($B177,About!$A$79:$A$82,0),1)</f>
        <v>658000000</v>
      </c>
      <c r="Y177" s="29">
        <f t="shared" si="14"/>
        <v>658000000</v>
      </c>
      <c r="Z177" s="29">
        <f t="shared" si="14"/>
        <v>658000000</v>
      </c>
    </row>
    <row r="178" spans="1:26" outlineLevel="1" x14ac:dyDescent="0.3">
      <c r="A178">
        <f t="shared" si="10"/>
        <v>8</v>
      </c>
      <c r="B178" t="str">
        <f>INDEX('Category Mapping'!$G$28:$G$39,MATCH(A178,'Category Mapping'!$A$28:$A$39,0),1)</f>
        <v>Summer</v>
      </c>
      <c r="C178" t="s">
        <v>69</v>
      </c>
      <c r="D178" s="6" t="s">
        <v>144</v>
      </c>
      <c r="E178" t="s">
        <v>49</v>
      </c>
      <c r="F178" s="27">
        <f>SUMIFS(INDEX(Load,,MATCH('Summarized Source Data'!$C178,Hour,0)),Month,'Summarized Source Data'!$A178,Sector,'Summarized Source Data'!F$2,Subsector,'Summarized Source Data'!F$3,TimeOfWeek,$E178)*INDEX(About!B$79:B$82,MATCH($B178,About!$A$79:$A$82,0),1)</f>
        <v>90288</v>
      </c>
      <c r="G178" s="27">
        <f>SUMIFS(INDEX(Load,,MATCH('Summarized Source Data'!$C178,Hour,0)),Month,'Summarized Source Data'!$A178,Sector,'Summarized Source Data'!G$2,Subsector,'Summarized Source Data'!G$3,TimeOfWeek,$E178)*INDEX(About!C$79:C$82,MATCH($B178,About!$A$79:$A$82,0),1)</f>
        <v>59300000</v>
      </c>
      <c r="H178" s="27">
        <f>SUMIFS(INDEX(Load,,MATCH('Summarized Source Data'!$C178,Hour,0)),Month,'Summarized Source Data'!$A178,Sector,'Summarized Source Data'!H$2,Subsector,'Summarized Source Data'!H$3,TimeOfWeek,$E178)*INDEX(About!D$79:D$82,MATCH($B178,About!$A$79:$A$82,0),1)</f>
        <v>0</v>
      </c>
      <c r="I178" s="27">
        <f>SUMIFS(INDEX(Load,,MATCH('Summarized Source Data'!$C178,Hour,0)),Month,'Summarized Source Data'!$A178,Sector,'Summarized Source Data'!I$2,Subsector,'Summarized Source Data'!I$3,TimeOfWeek,$E178)*INDEX(About!E$79:E$82,MATCH($B178,About!$A$79:$A$82,0),1)</f>
        <v>11900000</v>
      </c>
      <c r="J178" s="54">
        <f t="shared" si="11"/>
        <v>83709712</v>
      </c>
      <c r="K178" s="27">
        <f>(SUMIFS(INDEX(Load,,MATCH('Summarized Source Data'!$C178,Hour,0)),Month,'Summarized Source Data'!$A178,Sector,'Summarized Source Data'!K$2,Subsector,"Total",TimeOfWeek,$E178)-SUM(F178:I178))*INDEX(About!G$79:G$82,MATCH($B178,About!$A$79:$A$82,0),1)</f>
        <v>83709712</v>
      </c>
      <c r="L178" s="27">
        <f>SUMIFS(INDEX(Load,,MATCH('Summarized Source Data'!$C178,Hour,0)),Month,'Summarized Source Data'!$A178,Sector,'Summarized Source Data'!L$2,Subsector,'Summarized Source Data'!L$3,TimeOfWeek,$E178)*INDEX(About!H$79:H$82,MATCH($B178,About!$A$79:$A$82,0),1)</f>
        <v>207628</v>
      </c>
      <c r="M178" s="27">
        <f>SUMIFS(INDEX(Load,,MATCH('Summarized Source Data'!$C178,Hour,0)),Month,'Summarized Source Data'!$A178,Sector,'Summarized Source Data'!M$2,Subsector,'Summarized Source Data'!M$3,TimeOfWeek,$E178)*INDEX(About!I$79:I$82,MATCH($B178,About!$A$79:$A$82,0),1)</f>
        <v>274000000</v>
      </c>
      <c r="N178" s="27">
        <f>SUMIFS(INDEX(Load,,MATCH('Summarized Source Data'!$C178,Hour,0)),Month,'Summarized Source Data'!$A178,Sector,'Summarized Source Data'!N$2,Subsector,'Summarized Source Data'!N$3,TimeOfWeek,$E178)*INDEX(About!J$79:J$82,MATCH($B178,About!$A$79:$A$82,0),1)</f>
        <v>0</v>
      </c>
      <c r="O178" s="29">
        <f t="shared" si="12"/>
        <v>286792372</v>
      </c>
      <c r="P178" s="27">
        <f>(SUMIFS(INDEX(Load,,MATCH('Summarized Source Data'!$C178,Hour,0)),Month,'Summarized Source Data'!$A178,Sector,'Summarized Source Data'!P$2,Subsector,"Total",TimeOfWeek,$E178)-SUM(L178:N178)*INDEX(About!L$79:L$82,MATCH($B178,About!$A$79:$A$82,0),1))</f>
        <v>286792372</v>
      </c>
      <c r="Q178" s="29">
        <f t="shared" si="13"/>
        <v>286792372</v>
      </c>
      <c r="R178" s="33">
        <f>SUMIFS(INDEX(Load,,MATCH('Summarized Source Data'!$C178,Hour,0)),Month,'Summarized Source Data'!$A178,Sector,'Summarized Source Data'!R$2,TimeOfWeek,$E178)*INDEX(About!N$79:N$82,MATCH($B178,About!$A$79:$A$82,0),1)</f>
        <v>6690700</v>
      </c>
      <c r="S178" s="33">
        <f>SUMIFS(INDEX(Load,,MATCH('Summarized Source Data'!$C178,Hour,0)),Month,'Summarized Source Data'!$A178,Sector,'Summarized Source Data'!S$2,TimeOfWeek,$E178)*INDEX(About!O$79:O$82,MATCH($B178,About!$A$79:$A$82,0),1)</f>
        <v>6690700</v>
      </c>
      <c r="T178" s="33">
        <f>SUMIFS(INDEX(Load,,MATCH('Summarized Source Data'!$C178,Hour,0)),Month,'Summarized Source Data'!$A178,Sector,'Summarized Source Data'!T$2,TimeOfWeek,$E178)*INDEX(About!P$79:P$82,MATCH($B178,About!$A$79:$A$82,0),1)</f>
        <v>6690700</v>
      </c>
      <c r="U178" s="33">
        <f>SUMIFS(INDEX(Load,,MATCH('Summarized Source Data'!$C178,Hour,0)),Month,'Summarized Source Data'!$A178,Sector,'Summarized Source Data'!U$2,TimeOfWeek,$E178)*INDEX(About!Q$79:Q$82,MATCH($B178,About!$A$79:$A$82,0),1)</f>
        <v>6690700</v>
      </c>
      <c r="V178" s="33">
        <f>SUMIFS(INDEX(Load,,MATCH('Summarized Source Data'!$C178,Hour,0)),Month,'Summarized Source Data'!$A178,Sector,'Summarized Source Data'!V$2,TimeOfWeek,$E178)*INDEX(About!R$79:R$82,MATCH($B178,About!$A$79:$A$82,0),1)</f>
        <v>6690700</v>
      </c>
      <c r="W178" s="33">
        <f>SUMIFS(INDEX(Load,,MATCH('Summarized Source Data'!$C178,Hour,0)),Month,'Summarized Source Data'!$A178,Sector,'Summarized Source Data'!W$2,TimeOfWeek,$E178)*INDEX(About!S$79:S$82,MATCH($B178,About!$A$79:$A$82,0),1)</f>
        <v>6690700</v>
      </c>
      <c r="X178" s="27">
        <f>SUMIFS(INDEX(Load,,MATCH('Summarized Source Data'!$C178,Hour,0)),Month,'Summarized Source Data'!$A178,Sector,'Summarized Source Data'!X$2,Subsector,'Summarized Source Data'!X$3,TimeOfWeek,$E178)*INDEX(About!T$79:T$82,MATCH($B178,About!$A$79:$A$82,0),1)</f>
        <v>666000000</v>
      </c>
      <c r="Y178" s="29">
        <f t="shared" si="14"/>
        <v>666000000</v>
      </c>
      <c r="Z178" s="29">
        <f t="shared" si="14"/>
        <v>666000000</v>
      </c>
    </row>
    <row r="179" spans="1:26" outlineLevel="1" x14ac:dyDescent="0.3">
      <c r="A179">
        <f t="shared" si="10"/>
        <v>8</v>
      </c>
      <c r="B179" t="str">
        <f>INDEX('Category Mapping'!$G$28:$G$39,MATCH(A179,'Category Mapping'!$A$28:$A$39,0),1)</f>
        <v>Summer</v>
      </c>
      <c r="C179" t="s">
        <v>70</v>
      </c>
      <c r="D179" s="6" t="s">
        <v>145</v>
      </c>
      <c r="E179" t="s">
        <v>49</v>
      </c>
      <c r="F179" s="27">
        <f>SUMIFS(INDEX(Load,,MATCH('Summarized Source Data'!$C179,Hour,0)),Month,'Summarized Source Data'!$A179,Sector,'Summarized Source Data'!F$2,Subsector,'Summarized Source Data'!F$3,TimeOfWeek,$E179)*INDEX(About!B$79:B$82,MATCH($B179,About!$A$79:$A$82,0),1)</f>
        <v>91415</v>
      </c>
      <c r="G179" s="27">
        <f>SUMIFS(INDEX(Load,,MATCH('Summarized Source Data'!$C179,Hour,0)),Month,'Summarized Source Data'!$A179,Sector,'Summarized Source Data'!G$2,Subsector,'Summarized Source Data'!G$3,TimeOfWeek,$E179)*INDEX(About!C$79:C$82,MATCH($B179,About!$A$79:$A$82,0),1)</f>
        <v>53200000</v>
      </c>
      <c r="H179" s="27">
        <f>SUMIFS(INDEX(Load,,MATCH('Summarized Source Data'!$C179,Hour,0)),Month,'Summarized Source Data'!$A179,Sector,'Summarized Source Data'!H$2,Subsector,'Summarized Source Data'!H$3,TimeOfWeek,$E179)*INDEX(About!D$79:D$82,MATCH($B179,About!$A$79:$A$82,0),1)</f>
        <v>0</v>
      </c>
      <c r="I179" s="27">
        <f>SUMIFS(INDEX(Load,,MATCH('Summarized Source Data'!$C179,Hour,0)),Month,'Summarized Source Data'!$A179,Sector,'Summarized Source Data'!I$2,Subsector,'Summarized Source Data'!I$3,TimeOfWeek,$E179)*INDEX(About!E$79:E$82,MATCH($B179,About!$A$79:$A$82,0),1)</f>
        <v>9440389</v>
      </c>
      <c r="J179" s="54">
        <f t="shared" si="11"/>
        <v>106268196</v>
      </c>
      <c r="K179" s="27">
        <f>(SUMIFS(INDEX(Load,,MATCH('Summarized Source Data'!$C179,Hour,0)),Month,'Summarized Source Data'!$A179,Sector,'Summarized Source Data'!K$2,Subsector,"Total",TimeOfWeek,$E179)-SUM(F179:I179))*INDEX(About!G$79:G$82,MATCH($B179,About!$A$79:$A$82,0),1)</f>
        <v>106268196</v>
      </c>
      <c r="L179" s="27">
        <f>SUMIFS(INDEX(Load,,MATCH('Summarized Source Data'!$C179,Hour,0)),Month,'Summarized Source Data'!$A179,Sector,'Summarized Source Data'!L$2,Subsector,'Summarized Source Data'!L$3,TimeOfWeek,$E179)*INDEX(About!H$79:H$82,MATCH($B179,About!$A$79:$A$82,0),1)</f>
        <v>207628</v>
      </c>
      <c r="M179" s="27">
        <f>SUMIFS(INDEX(Load,,MATCH('Summarized Source Data'!$C179,Hour,0)),Month,'Summarized Source Data'!$A179,Sector,'Summarized Source Data'!M$2,Subsector,'Summarized Source Data'!M$3,TimeOfWeek,$E179)*INDEX(About!I$79:I$82,MATCH($B179,About!$A$79:$A$82,0),1)</f>
        <v>327000000</v>
      </c>
      <c r="N179" s="27">
        <f>SUMIFS(INDEX(Load,,MATCH('Summarized Source Data'!$C179,Hour,0)),Month,'Summarized Source Data'!$A179,Sector,'Summarized Source Data'!N$2,Subsector,'Summarized Source Data'!N$3,TimeOfWeek,$E179)*INDEX(About!J$79:J$82,MATCH($B179,About!$A$79:$A$82,0),1)</f>
        <v>0</v>
      </c>
      <c r="O179" s="29">
        <f t="shared" si="12"/>
        <v>392792372</v>
      </c>
      <c r="P179" s="27">
        <f>(SUMIFS(INDEX(Load,,MATCH('Summarized Source Data'!$C179,Hour,0)),Month,'Summarized Source Data'!$A179,Sector,'Summarized Source Data'!P$2,Subsector,"Total",TimeOfWeek,$E179)-SUM(L179:N179)*INDEX(About!L$79:L$82,MATCH($B179,About!$A$79:$A$82,0),1))</f>
        <v>392792372</v>
      </c>
      <c r="Q179" s="29">
        <f t="shared" si="13"/>
        <v>392792372</v>
      </c>
      <c r="R179" s="33">
        <f>SUMIFS(INDEX(Load,,MATCH('Summarized Source Data'!$C179,Hour,0)),Month,'Summarized Source Data'!$A179,Sector,'Summarized Source Data'!R$2,TimeOfWeek,$E179)*INDEX(About!N$79:N$82,MATCH($B179,About!$A$79:$A$82,0),1)</f>
        <v>14100000</v>
      </c>
      <c r="S179" s="33">
        <f>SUMIFS(INDEX(Load,,MATCH('Summarized Source Data'!$C179,Hour,0)),Month,'Summarized Source Data'!$A179,Sector,'Summarized Source Data'!S$2,TimeOfWeek,$E179)*INDEX(About!O$79:O$82,MATCH($B179,About!$A$79:$A$82,0),1)</f>
        <v>14100000</v>
      </c>
      <c r="T179" s="33">
        <f>SUMIFS(INDEX(Load,,MATCH('Summarized Source Data'!$C179,Hour,0)),Month,'Summarized Source Data'!$A179,Sector,'Summarized Source Data'!T$2,TimeOfWeek,$E179)*INDEX(About!P$79:P$82,MATCH($B179,About!$A$79:$A$82,0),1)</f>
        <v>14100000</v>
      </c>
      <c r="U179" s="33">
        <f>SUMIFS(INDEX(Load,,MATCH('Summarized Source Data'!$C179,Hour,0)),Month,'Summarized Source Data'!$A179,Sector,'Summarized Source Data'!U$2,TimeOfWeek,$E179)*INDEX(About!Q$79:Q$82,MATCH($B179,About!$A$79:$A$82,0),1)</f>
        <v>14100000</v>
      </c>
      <c r="V179" s="33">
        <f>SUMIFS(INDEX(Load,,MATCH('Summarized Source Data'!$C179,Hour,0)),Month,'Summarized Source Data'!$A179,Sector,'Summarized Source Data'!V$2,TimeOfWeek,$E179)*INDEX(About!R$79:R$82,MATCH($B179,About!$A$79:$A$82,0),1)</f>
        <v>14100000</v>
      </c>
      <c r="W179" s="33">
        <f>SUMIFS(INDEX(Load,,MATCH('Summarized Source Data'!$C179,Hour,0)),Month,'Summarized Source Data'!$A179,Sector,'Summarized Source Data'!W$2,TimeOfWeek,$E179)*INDEX(About!S$79:S$82,MATCH($B179,About!$A$79:$A$82,0),1)</f>
        <v>14100000</v>
      </c>
      <c r="X179" s="27">
        <f>SUMIFS(INDEX(Load,,MATCH('Summarized Source Data'!$C179,Hour,0)),Month,'Summarized Source Data'!$A179,Sector,'Summarized Source Data'!X$2,Subsector,'Summarized Source Data'!X$3,TimeOfWeek,$E179)*INDEX(About!T$79:T$82,MATCH($B179,About!$A$79:$A$82,0),1)</f>
        <v>673000000</v>
      </c>
      <c r="Y179" s="29">
        <f t="shared" si="14"/>
        <v>673000000</v>
      </c>
      <c r="Z179" s="29">
        <f t="shared" si="14"/>
        <v>673000000</v>
      </c>
    </row>
    <row r="180" spans="1:26" outlineLevel="1" x14ac:dyDescent="0.3">
      <c r="A180">
        <f t="shared" si="10"/>
        <v>8</v>
      </c>
      <c r="B180" t="str">
        <f>INDEX('Category Mapping'!$G$28:$G$39,MATCH(A180,'Category Mapping'!$A$28:$A$39,0),1)</f>
        <v>Summer</v>
      </c>
      <c r="C180" t="s">
        <v>71</v>
      </c>
      <c r="D180" s="6" t="s">
        <v>146</v>
      </c>
      <c r="E180" t="s">
        <v>49</v>
      </c>
      <c r="F180" s="27">
        <f>SUMIFS(INDEX(Load,,MATCH('Summarized Source Data'!$C180,Hour,0)),Month,'Summarized Source Data'!$A180,Sector,'Summarized Source Data'!F$2,Subsector,'Summarized Source Data'!F$3,TimeOfWeek,$E180)*INDEX(About!B$79:B$82,MATCH($B180,About!$A$79:$A$82,0),1)</f>
        <v>90702</v>
      </c>
      <c r="G180" s="27">
        <f>SUMIFS(INDEX(Load,,MATCH('Summarized Source Data'!$C180,Hour,0)),Month,'Summarized Source Data'!$A180,Sector,'Summarized Source Data'!G$2,Subsector,'Summarized Source Data'!G$3,TimeOfWeek,$E180)*INDEX(About!C$79:C$82,MATCH($B180,About!$A$79:$A$82,0),1)</f>
        <v>50700000</v>
      </c>
      <c r="H180" s="27">
        <f>SUMIFS(INDEX(Load,,MATCH('Summarized Source Data'!$C180,Hour,0)),Month,'Summarized Source Data'!$A180,Sector,'Summarized Source Data'!H$2,Subsector,'Summarized Source Data'!H$3,TimeOfWeek,$E180)*INDEX(About!D$79:D$82,MATCH($B180,About!$A$79:$A$82,0),1)</f>
        <v>0</v>
      </c>
      <c r="I180" s="27">
        <f>SUMIFS(INDEX(Load,,MATCH('Summarized Source Data'!$C180,Hour,0)),Month,'Summarized Source Data'!$A180,Sector,'Summarized Source Data'!I$2,Subsector,'Summarized Source Data'!I$3,TimeOfWeek,$E180)*INDEX(About!E$79:E$82,MATCH($B180,About!$A$79:$A$82,0),1)</f>
        <v>9245394</v>
      </c>
      <c r="J180" s="54">
        <f t="shared" si="11"/>
        <v>108963904</v>
      </c>
      <c r="K180" s="27">
        <f>(SUMIFS(INDEX(Load,,MATCH('Summarized Source Data'!$C180,Hour,0)),Month,'Summarized Source Data'!$A180,Sector,'Summarized Source Data'!K$2,Subsector,"Total",TimeOfWeek,$E180)-SUM(F180:I180))*INDEX(About!G$79:G$82,MATCH($B180,About!$A$79:$A$82,0),1)</f>
        <v>108963904</v>
      </c>
      <c r="L180" s="27">
        <f>SUMIFS(INDEX(Load,,MATCH('Summarized Source Data'!$C180,Hour,0)),Month,'Summarized Source Data'!$A180,Sector,'Summarized Source Data'!L$2,Subsector,'Summarized Source Data'!L$3,TimeOfWeek,$E180)*INDEX(About!H$79:H$82,MATCH($B180,About!$A$79:$A$82,0),1)</f>
        <v>207628</v>
      </c>
      <c r="M180" s="27">
        <f>SUMIFS(INDEX(Load,,MATCH('Summarized Source Data'!$C180,Hour,0)),Month,'Summarized Source Data'!$A180,Sector,'Summarized Source Data'!M$2,Subsector,'Summarized Source Data'!M$3,TimeOfWeek,$E180)*INDEX(About!I$79:I$82,MATCH($B180,About!$A$79:$A$82,0),1)</f>
        <v>397000000</v>
      </c>
      <c r="N180" s="27">
        <f>SUMIFS(INDEX(Load,,MATCH('Summarized Source Data'!$C180,Hour,0)),Month,'Summarized Source Data'!$A180,Sector,'Summarized Source Data'!N$2,Subsector,'Summarized Source Data'!N$3,TimeOfWeek,$E180)*INDEX(About!J$79:J$82,MATCH($B180,About!$A$79:$A$82,0),1)</f>
        <v>0</v>
      </c>
      <c r="O180" s="29">
        <f t="shared" si="12"/>
        <v>488792372</v>
      </c>
      <c r="P180" s="27">
        <f>(SUMIFS(INDEX(Load,,MATCH('Summarized Source Data'!$C180,Hour,0)),Month,'Summarized Source Data'!$A180,Sector,'Summarized Source Data'!P$2,Subsector,"Total",TimeOfWeek,$E180)-SUM(L180:N180)*INDEX(About!L$79:L$82,MATCH($B180,About!$A$79:$A$82,0),1))</f>
        <v>488792372</v>
      </c>
      <c r="Q180" s="29">
        <f t="shared" si="13"/>
        <v>488792372</v>
      </c>
      <c r="R180" s="33">
        <f>SUMIFS(INDEX(Load,,MATCH('Summarized Source Data'!$C180,Hour,0)),Month,'Summarized Source Data'!$A180,Sector,'Summarized Source Data'!R$2,TimeOfWeek,$E180)*INDEX(About!N$79:N$82,MATCH($B180,About!$A$79:$A$82,0),1)</f>
        <v>15500000</v>
      </c>
      <c r="S180" s="33">
        <f>SUMIFS(INDEX(Load,,MATCH('Summarized Source Data'!$C180,Hour,0)),Month,'Summarized Source Data'!$A180,Sector,'Summarized Source Data'!S$2,TimeOfWeek,$E180)*INDEX(About!O$79:O$82,MATCH($B180,About!$A$79:$A$82,0),1)</f>
        <v>15500000</v>
      </c>
      <c r="T180" s="33">
        <f>SUMIFS(INDEX(Load,,MATCH('Summarized Source Data'!$C180,Hour,0)),Month,'Summarized Source Data'!$A180,Sector,'Summarized Source Data'!T$2,TimeOfWeek,$E180)*INDEX(About!P$79:P$82,MATCH($B180,About!$A$79:$A$82,0),1)</f>
        <v>15500000</v>
      </c>
      <c r="U180" s="33">
        <f>SUMIFS(INDEX(Load,,MATCH('Summarized Source Data'!$C180,Hour,0)),Month,'Summarized Source Data'!$A180,Sector,'Summarized Source Data'!U$2,TimeOfWeek,$E180)*INDEX(About!Q$79:Q$82,MATCH($B180,About!$A$79:$A$82,0),1)</f>
        <v>15500000</v>
      </c>
      <c r="V180" s="33">
        <f>SUMIFS(INDEX(Load,,MATCH('Summarized Source Data'!$C180,Hour,0)),Month,'Summarized Source Data'!$A180,Sector,'Summarized Source Data'!V$2,TimeOfWeek,$E180)*INDEX(About!R$79:R$82,MATCH($B180,About!$A$79:$A$82,0),1)</f>
        <v>15500000</v>
      </c>
      <c r="W180" s="33">
        <f>SUMIFS(INDEX(Load,,MATCH('Summarized Source Data'!$C180,Hour,0)),Month,'Summarized Source Data'!$A180,Sector,'Summarized Source Data'!W$2,TimeOfWeek,$E180)*INDEX(About!S$79:S$82,MATCH($B180,About!$A$79:$A$82,0),1)</f>
        <v>15500000</v>
      </c>
      <c r="X180" s="27">
        <f>SUMIFS(INDEX(Load,,MATCH('Summarized Source Data'!$C180,Hour,0)),Month,'Summarized Source Data'!$A180,Sector,'Summarized Source Data'!X$2,Subsector,'Summarized Source Data'!X$3,TimeOfWeek,$E180)*INDEX(About!T$79:T$82,MATCH($B180,About!$A$79:$A$82,0),1)</f>
        <v>675000000</v>
      </c>
      <c r="Y180" s="29">
        <f t="shared" si="14"/>
        <v>675000000</v>
      </c>
      <c r="Z180" s="29">
        <f t="shared" si="14"/>
        <v>675000000</v>
      </c>
    </row>
    <row r="181" spans="1:26" outlineLevel="1" x14ac:dyDescent="0.3">
      <c r="A181">
        <f t="shared" si="10"/>
        <v>8</v>
      </c>
      <c r="B181" t="str">
        <f>INDEX('Category Mapping'!$G$28:$G$39,MATCH(A181,'Category Mapping'!$A$28:$A$39,0),1)</f>
        <v>Summer</v>
      </c>
      <c r="C181" t="s">
        <v>72</v>
      </c>
      <c r="D181" s="6" t="s">
        <v>147</v>
      </c>
      <c r="E181" t="s">
        <v>49</v>
      </c>
      <c r="F181" s="27">
        <f>SUMIFS(INDEX(Load,,MATCH('Summarized Source Data'!$C181,Hour,0)),Month,'Summarized Source Data'!$A181,Sector,'Summarized Source Data'!F$2,Subsector,'Summarized Source Data'!F$3,TimeOfWeek,$E181)*INDEX(About!B$79:B$82,MATCH($B181,About!$A$79:$A$82,0),1)</f>
        <v>62639</v>
      </c>
      <c r="G181" s="27">
        <f>SUMIFS(INDEX(Load,,MATCH('Summarized Source Data'!$C181,Hour,0)),Month,'Summarized Source Data'!$A181,Sector,'Summarized Source Data'!G$2,Subsector,'Summarized Source Data'!G$3,TimeOfWeek,$E181)*INDEX(About!C$79:C$82,MATCH($B181,About!$A$79:$A$82,0),1)</f>
        <v>50600000</v>
      </c>
      <c r="H181" s="27">
        <f>SUMIFS(INDEX(Load,,MATCH('Summarized Source Data'!$C181,Hour,0)),Month,'Summarized Source Data'!$A181,Sector,'Summarized Source Data'!H$2,Subsector,'Summarized Source Data'!H$3,TimeOfWeek,$E181)*INDEX(About!D$79:D$82,MATCH($B181,About!$A$79:$A$82,0),1)</f>
        <v>0</v>
      </c>
      <c r="I181" s="27">
        <f>SUMIFS(INDEX(Load,,MATCH('Summarized Source Data'!$C181,Hour,0)),Month,'Summarized Source Data'!$A181,Sector,'Summarized Source Data'!I$2,Subsector,'Summarized Source Data'!I$3,TimeOfWeek,$E181)*INDEX(About!E$79:E$82,MATCH($B181,About!$A$79:$A$82,0),1)</f>
        <v>8893610</v>
      </c>
      <c r="J181" s="54">
        <f t="shared" si="11"/>
        <v>109443751</v>
      </c>
      <c r="K181" s="27">
        <f>(SUMIFS(INDEX(Load,,MATCH('Summarized Source Data'!$C181,Hour,0)),Month,'Summarized Source Data'!$A181,Sector,'Summarized Source Data'!K$2,Subsector,"Total",TimeOfWeek,$E181)-SUM(F181:I181))*INDEX(About!G$79:G$82,MATCH($B181,About!$A$79:$A$82,0),1)</f>
        <v>109443751</v>
      </c>
      <c r="L181" s="27">
        <f>SUMIFS(INDEX(Load,,MATCH('Summarized Source Data'!$C181,Hour,0)),Month,'Summarized Source Data'!$A181,Sector,'Summarized Source Data'!L$2,Subsector,'Summarized Source Data'!L$3,TimeOfWeek,$E181)*INDEX(About!H$79:H$82,MATCH($B181,About!$A$79:$A$82,0),1)</f>
        <v>207628</v>
      </c>
      <c r="M181" s="27">
        <f>SUMIFS(INDEX(Load,,MATCH('Summarized Source Data'!$C181,Hour,0)),Month,'Summarized Source Data'!$A181,Sector,'Summarized Source Data'!M$2,Subsector,'Summarized Source Data'!M$3,TimeOfWeek,$E181)*INDEX(About!I$79:I$82,MATCH($B181,About!$A$79:$A$82,0),1)</f>
        <v>451000000</v>
      </c>
      <c r="N181" s="27">
        <f>SUMIFS(INDEX(Load,,MATCH('Summarized Source Data'!$C181,Hour,0)),Month,'Summarized Source Data'!$A181,Sector,'Summarized Source Data'!N$2,Subsector,'Summarized Source Data'!N$3,TimeOfWeek,$E181)*INDEX(About!J$79:J$82,MATCH($B181,About!$A$79:$A$82,0),1)</f>
        <v>0</v>
      </c>
      <c r="O181" s="29">
        <f t="shared" si="12"/>
        <v>513792372</v>
      </c>
      <c r="P181" s="27">
        <f>(SUMIFS(INDEX(Load,,MATCH('Summarized Source Data'!$C181,Hour,0)),Month,'Summarized Source Data'!$A181,Sector,'Summarized Source Data'!P$2,Subsector,"Total",TimeOfWeek,$E181)-SUM(L181:N181)*INDEX(About!L$79:L$82,MATCH($B181,About!$A$79:$A$82,0),1))</f>
        <v>513792372</v>
      </c>
      <c r="Q181" s="29">
        <f t="shared" si="13"/>
        <v>513792372</v>
      </c>
      <c r="R181" s="33">
        <f>SUMIFS(INDEX(Load,,MATCH('Summarized Source Data'!$C181,Hour,0)),Month,'Summarized Source Data'!$A181,Sector,'Summarized Source Data'!R$2,TimeOfWeek,$E181)*INDEX(About!N$79:N$82,MATCH($B181,About!$A$79:$A$82,0),1)</f>
        <v>13700000</v>
      </c>
      <c r="S181" s="33">
        <f>SUMIFS(INDEX(Load,,MATCH('Summarized Source Data'!$C181,Hour,0)),Month,'Summarized Source Data'!$A181,Sector,'Summarized Source Data'!S$2,TimeOfWeek,$E181)*INDEX(About!O$79:O$82,MATCH($B181,About!$A$79:$A$82,0),1)</f>
        <v>13700000</v>
      </c>
      <c r="T181" s="33">
        <f>SUMIFS(INDEX(Load,,MATCH('Summarized Source Data'!$C181,Hour,0)),Month,'Summarized Source Data'!$A181,Sector,'Summarized Source Data'!T$2,TimeOfWeek,$E181)*INDEX(About!P$79:P$82,MATCH($B181,About!$A$79:$A$82,0),1)</f>
        <v>13700000</v>
      </c>
      <c r="U181" s="33">
        <f>SUMIFS(INDEX(Load,,MATCH('Summarized Source Data'!$C181,Hour,0)),Month,'Summarized Source Data'!$A181,Sector,'Summarized Source Data'!U$2,TimeOfWeek,$E181)*INDEX(About!Q$79:Q$82,MATCH($B181,About!$A$79:$A$82,0),1)</f>
        <v>13700000</v>
      </c>
      <c r="V181" s="33">
        <f>SUMIFS(INDEX(Load,,MATCH('Summarized Source Data'!$C181,Hour,0)),Month,'Summarized Source Data'!$A181,Sector,'Summarized Source Data'!V$2,TimeOfWeek,$E181)*INDEX(About!R$79:R$82,MATCH($B181,About!$A$79:$A$82,0),1)</f>
        <v>13700000</v>
      </c>
      <c r="W181" s="33">
        <f>SUMIFS(INDEX(Load,,MATCH('Summarized Source Data'!$C181,Hour,0)),Month,'Summarized Source Data'!$A181,Sector,'Summarized Source Data'!W$2,TimeOfWeek,$E181)*INDEX(About!S$79:S$82,MATCH($B181,About!$A$79:$A$82,0),1)</f>
        <v>13700000</v>
      </c>
      <c r="X181" s="27">
        <f>SUMIFS(INDEX(Load,,MATCH('Summarized Source Data'!$C181,Hour,0)),Month,'Summarized Source Data'!$A181,Sector,'Summarized Source Data'!X$2,Subsector,'Summarized Source Data'!X$3,TimeOfWeek,$E181)*INDEX(About!T$79:T$82,MATCH($B181,About!$A$79:$A$82,0),1)</f>
        <v>674000000</v>
      </c>
      <c r="Y181" s="29">
        <f t="shared" si="14"/>
        <v>674000000</v>
      </c>
      <c r="Z181" s="29">
        <f t="shared" si="14"/>
        <v>674000000</v>
      </c>
    </row>
    <row r="182" spans="1:26" outlineLevel="1" x14ac:dyDescent="0.3">
      <c r="A182">
        <f t="shared" si="10"/>
        <v>8</v>
      </c>
      <c r="B182" t="str">
        <f>INDEX('Category Mapping'!$G$28:$G$39,MATCH(A182,'Category Mapping'!$A$28:$A$39,0),1)</f>
        <v>Summer</v>
      </c>
      <c r="C182" t="s">
        <v>73</v>
      </c>
      <c r="D182" s="6" t="s">
        <v>148</v>
      </c>
      <c r="E182" t="s">
        <v>49</v>
      </c>
      <c r="F182" s="27">
        <f>SUMIFS(INDEX(Load,,MATCH('Summarized Source Data'!$C182,Hour,0)),Month,'Summarized Source Data'!$A182,Sector,'Summarized Source Data'!F$2,Subsector,'Summarized Source Data'!F$3,TimeOfWeek,$E182)*INDEX(About!B$79:B$82,MATCH($B182,About!$A$79:$A$82,0),1)</f>
        <v>63171</v>
      </c>
      <c r="G182" s="27">
        <f>SUMIFS(INDEX(Load,,MATCH('Summarized Source Data'!$C182,Hour,0)),Month,'Summarized Source Data'!$A182,Sector,'Summarized Source Data'!G$2,Subsector,'Summarized Source Data'!G$3,TimeOfWeek,$E182)*INDEX(About!C$79:C$82,MATCH($B182,About!$A$79:$A$82,0),1)</f>
        <v>56300000</v>
      </c>
      <c r="H182" s="27">
        <f>SUMIFS(INDEX(Load,,MATCH('Summarized Source Data'!$C182,Hour,0)),Month,'Summarized Source Data'!$A182,Sector,'Summarized Source Data'!H$2,Subsector,'Summarized Source Data'!H$3,TimeOfWeek,$E182)*INDEX(About!D$79:D$82,MATCH($B182,About!$A$79:$A$82,0),1)</f>
        <v>0</v>
      </c>
      <c r="I182" s="27">
        <f>SUMIFS(INDEX(Load,,MATCH('Summarized Source Data'!$C182,Hour,0)),Month,'Summarized Source Data'!$A182,Sector,'Summarized Source Data'!I$2,Subsector,'Summarized Source Data'!I$3,TimeOfWeek,$E182)*INDEX(About!E$79:E$82,MATCH($B182,About!$A$79:$A$82,0),1)</f>
        <v>9038929</v>
      </c>
      <c r="J182" s="54">
        <f t="shared" si="11"/>
        <v>108597900</v>
      </c>
      <c r="K182" s="27">
        <f>(SUMIFS(INDEX(Load,,MATCH('Summarized Source Data'!$C182,Hour,0)),Month,'Summarized Source Data'!$A182,Sector,'Summarized Source Data'!K$2,Subsector,"Total",TimeOfWeek,$E182)-SUM(F182:I182))*INDEX(About!G$79:G$82,MATCH($B182,About!$A$79:$A$82,0),1)</f>
        <v>108597900</v>
      </c>
      <c r="L182" s="27">
        <f>SUMIFS(INDEX(Load,,MATCH('Summarized Source Data'!$C182,Hour,0)),Month,'Summarized Source Data'!$A182,Sector,'Summarized Source Data'!L$2,Subsector,'Summarized Source Data'!L$3,TimeOfWeek,$E182)*INDEX(About!H$79:H$82,MATCH($B182,About!$A$79:$A$82,0),1)</f>
        <v>207628</v>
      </c>
      <c r="M182" s="27">
        <f>SUMIFS(INDEX(Load,,MATCH('Summarized Source Data'!$C182,Hour,0)),Month,'Summarized Source Data'!$A182,Sector,'Summarized Source Data'!M$2,Subsector,'Summarized Source Data'!M$3,TimeOfWeek,$E182)*INDEX(About!I$79:I$82,MATCH($B182,About!$A$79:$A$82,0),1)</f>
        <v>489000000</v>
      </c>
      <c r="N182" s="27">
        <f>SUMIFS(INDEX(Load,,MATCH('Summarized Source Data'!$C182,Hour,0)),Month,'Summarized Source Data'!$A182,Sector,'Summarized Source Data'!N$2,Subsector,'Summarized Source Data'!N$3,TimeOfWeek,$E182)*INDEX(About!J$79:J$82,MATCH($B182,About!$A$79:$A$82,0),1)</f>
        <v>0</v>
      </c>
      <c r="O182" s="29">
        <f t="shared" si="12"/>
        <v>510792372</v>
      </c>
      <c r="P182" s="27">
        <f>(SUMIFS(INDEX(Load,,MATCH('Summarized Source Data'!$C182,Hour,0)),Month,'Summarized Source Data'!$A182,Sector,'Summarized Source Data'!P$2,Subsector,"Total",TimeOfWeek,$E182)-SUM(L182:N182)*INDEX(About!L$79:L$82,MATCH($B182,About!$A$79:$A$82,0),1))</f>
        <v>510792372</v>
      </c>
      <c r="Q182" s="29">
        <f t="shared" si="13"/>
        <v>510792372</v>
      </c>
      <c r="R182" s="33">
        <f>SUMIFS(INDEX(Load,,MATCH('Summarized Source Data'!$C182,Hour,0)),Month,'Summarized Source Data'!$A182,Sector,'Summarized Source Data'!R$2,TimeOfWeek,$E182)*INDEX(About!N$79:N$82,MATCH($B182,About!$A$79:$A$82,0),1)</f>
        <v>11000000</v>
      </c>
      <c r="S182" s="33">
        <f>SUMIFS(INDEX(Load,,MATCH('Summarized Source Data'!$C182,Hour,0)),Month,'Summarized Source Data'!$A182,Sector,'Summarized Source Data'!S$2,TimeOfWeek,$E182)*INDEX(About!O$79:O$82,MATCH($B182,About!$A$79:$A$82,0),1)</f>
        <v>11000000</v>
      </c>
      <c r="T182" s="33">
        <f>SUMIFS(INDEX(Load,,MATCH('Summarized Source Data'!$C182,Hour,0)),Month,'Summarized Source Data'!$A182,Sector,'Summarized Source Data'!T$2,TimeOfWeek,$E182)*INDEX(About!P$79:P$82,MATCH($B182,About!$A$79:$A$82,0),1)</f>
        <v>11000000</v>
      </c>
      <c r="U182" s="33">
        <f>SUMIFS(INDEX(Load,,MATCH('Summarized Source Data'!$C182,Hour,0)),Month,'Summarized Source Data'!$A182,Sector,'Summarized Source Data'!U$2,TimeOfWeek,$E182)*INDEX(About!Q$79:Q$82,MATCH($B182,About!$A$79:$A$82,0),1)</f>
        <v>11000000</v>
      </c>
      <c r="V182" s="33">
        <f>SUMIFS(INDEX(Load,,MATCH('Summarized Source Data'!$C182,Hour,0)),Month,'Summarized Source Data'!$A182,Sector,'Summarized Source Data'!V$2,TimeOfWeek,$E182)*INDEX(About!R$79:R$82,MATCH($B182,About!$A$79:$A$82,0),1)</f>
        <v>11000000</v>
      </c>
      <c r="W182" s="33">
        <f>SUMIFS(INDEX(Load,,MATCH('Summarized Source Data'!$C182,Hour,0)),Month,'Summarized Source Data'!$A182,Sector,'Summarized Source Data'!W$2,TimeOfWeek,$E182)*INDEX(About!S$79:S$82,MATCH($B182,About!$A$79:$A$82,0),1)</f>
        <v>11000000</v>
      </c>
      <c r="X182" s="27">
        <f>SUMIFS(INDEX(Load,,MATCH('Summarized Source Data'!$C182,Hour,0)),Month,'Summarized Source Data'!$A182,Sector,'Summarized Source Data'!X$2,Subsector,'Summarized Source Data'!X$3,TimeOfWeek,$E182)*INDEX(About!T$79:T$82,MATCH($B182,About!$A$79:$A$82,0),1)</f>
        <v>671000000</v>
      </c>
      <c r="Y182" s="29">
        <f t="shared" si="14"/>
        <v>671000000</v>
      </c>
      <c r="Z182" s="29">
        <f t="shared" si="14"/>
        <v>671000000</v>
      </c>
    </row>
    <row r="183" spans="1:26" outlineLevel="1" x14ac:dyDescent="0.3">
      <c r="A183">
        <f t="shared" si="10"/>
        <v>8</v>
      </c>
      <c r="B183" t="str">
        <f>INDEX('Category Mapping'!$G$28:$G$39,MATCH(A183,'Category Mapping'!$A$28:$A$39,0),1)</f>
        <v>Summer</v>
      </c>
      <c r="C183" t="s">
        <v>74</v>
      </c>
      <c r="D183" s="6" t="s">
        <v>149</v>
      </c>
      <c r="E183" t="s">
        <v>49</v>
      </c>
      <c r="F183" s="27">
        <f>SUMIFS(INDEX(Load,,MATCH('Summarized Source Data'!$C183,Hour,0)),Month,'Summarized Source Data'!$A183,Sector,'Summarized Source Data'!F$2,Subsector,'Summarized Source Data'!F$3,TimeOfWeek,$E183)*INDEX(About!B$79:B$82,MATCH($B183,About!$A$79:$A$82,0),1)</f>
        <v>66350</v>
      </c>
      <c r="G183" s="27">
        <f>SUMIFS(INDEX(Load,,MATCH('Summarized Source Data'!$C183,Hour,0)),Month,'Summarized Source Data'!$A183,Sector,'Summarized Source Data'!G$2,Subsector,'Summarized Source Data'!G$3,TimeOfWeek,$E183)*INDEX(About!C$79:C$82,MATCH($B183,About!$A$79:$A$82,0),1)</f>
        <v>69000000</v>
      </c>
      <c r="H183" s="27">
        <f>SUMIFS(INDEX(Load,,MATCH('Summarized Source Data'!$C183,Hour,0)),Month,'Summarized Source Data'!$A183,Sector,'Summarized Source Data'!H$2,Subsector,'Summarized Source Data'!H$3,TimeOfWeek,$E183)*INDEX(About!D$79:D$82,MATCH($B183,About!$A$79:$A$82,0),1)</f>
        <v>0</v>
      </c>
      <c r="I183" s="27">
        <f>SUMIFS(INDEX(Load,,MATCH('Summarized Source Data'!$C183,Hour,0)),Month,'Summarized Source Data'!$A183,Sector,'Summarized Source Data'!I$2,Subsector,'Summarized Source Data'!I$3,TimeOfWeek,$E183)*INDEX(About!E$79:E$82,MATCH($B183,About!$A$79:$A$82,0),1)</f>
        <v>9908726</v>
      </c>
      <c r="J183" s="54">
        <f t="shared" si="11"/>
        <v>109024924</v>
      </c>
      <c r="K183" s="27">
        <f>(SUMIFS(INDEX(Load,,MATCH('Summarized Source Data'!$C183,Hour,0)),Month,'Summarized Source Data'!$A183,Sector,'Summarized Source Data'!K$2,Subsector,"Total",TimeOfWeek,$E183)-SUM(F183:I183))*INDEX(About!G$79:G$82,MATCH($B183,About!$A$79:$A$82,0),1)</f>
        <v>109024924</v>
      </c>
      <c r="L183" s="27">
        <f>SUMIFS(INDEX(Load,,MATCH('Summarized Source Data'!$C183,Hour,0)),Month,'Summarized Source Data'!$A183,Sector,'Summarized Source Data'!L$2,Subsector,'Summarized Source Data'!L$3,TimeOfWeek,$E183)*INDEX(About!H$79:H$82,MATCH($B183,About!$A$79:$A$82,0),1)</f>
        <v>207628</v>
      </c>
      <c r="M183" s="27">
        <f>SUMIFS(INDEX(Load,,MATCH('Summarized Source Data'!$C183,Hour,0)),Month,'Summarized Source Data'!$A183,Sector,'Summarized Source Data'!M$2,Subsector,'Summarized Source Data'!M$3,TimeOfWeek,$E183)*INDEX(About!I$79:I$82,MATCH($B183,About!$A$79:$A$82,0),1)</f>
        <v>511000000</v>
      </c>
      <c r="N183" s="27">
        <f>SUMIFS(INDEX(Load,,MATCH('Summarized Source Data'!$C183,Hour,0)),Month,'Summarized Source Data'!$A183,Sector,'Summarized Source Data'!N$2,Subsector,'Summarized Source Data'!N$3,TimeOfWeek,$E183)*INDEX(About!J$79:J$82,MATCH($B183,About!$A$79:$A$82,0),1)</f>
        <v>0</v>
      </c>
      <c r="O183" s="29">
        <f t="shared" si="12"/>
        <v>508792372</v>
      </c>
      <c r="P183" s="27">
        <f>(SUMIFS(INDEX(Load,,MATCH('Summarized Source Data'!$C183,Hour,0)),Month,'Summarized Source Data'!$A183,Sector,'Summarized Source Data'!P$2,Subsector,"Total",TimeOfWeek,$E183)-SUM(L183:N183)*INDEX(About!L$79:L$82,MATCH($B183,About!$A$79:$A$82,0),1))</f>
        <v>508792372</v>
      </c>
      <c r="Q183" s="29">
        <f t="shared" si="13"/>
        <v>508792372</v>
      </c>
      <c r="R183" s="33">
        <f>SUMIFS(INDEX(Load,,MATCH('Summarized Source Data'!$C183,Hour,0)),Month,'Summarized Source Data'!$A183,Sector,'Summarized Source Data'!R$2,TimeOfWeek,$E183)*INDEX(About!N$79:N$82,MATCH($B183,About!$A$79:$A$82,0),1)</f>
        <v>11100000</v>
      </c>
      <c r="S183" s="33">
        <f>SUMIFS(INDEX(Load,,MATCH('Summarized Source Data'!$C183,Hour,0)),Month,'Summarized Source Data'!$A183,Sector,'Summarized Source Data'!S$2,TimeOfWeek,$E183)*INDEX(About!O$79:O$82,MATCH($B183,About!$A$79:$A$82,0),1)</f>
        <v>11100000</v>
      </c>
      <c r="T183" s="33">
        <f>SUMIFS(INDEX(Load,,MATCH('Summarized Source Data'!$C183,Hour,0)),Month,'Summarized Source Data'!$A183,Sector,'Summarized Source Data'!T$2,TimeOfWeek,$E183)*INDEX(About!P$79:P$82,MATCH($B183,About!$A$79:$A$82,0),1)</f>
        <v>11100000</v>
      </c>
      <c r="U183" s="33">
        <f>SUMIFS(INDEX(Load,,MATCH('Summarized Source Data'!$C183,Hour,0)),Month,'Summarized Source Data'!$A183,Sector,'Summarized Source Data'!U$2,TimeOfWeek,$E183)*INDEX(About!Q$79:Q$82,MATCH($B183,About!$A$79:$A$82,0),1)</f>
        <v>11100000</v>
      </c>
      <c r="V183" s="33">
        <f>SUMIFS(INDEX(Load,,MATCH('Summarized Source Data'!$C183,Hour,0)),Month,'Summarized Source Data'!$A183,Sector,'Summarized Source Data'!V$2,TimeOfWeek,$E183)*INDEX(About!R$79:R$82,MATCH($B183,About!$A$79:$A$82,0),1)</f>
        <v>11100000</v>
      </c>
      <c r="W183" s="33">
        <f>SUMIFS(INDEX(Load,,MATCH('Summarized Source Data'!$C183,Hour,0)),Month,'Summarized Source Data'!$A183,Sector,'Summarized Source Data'!W$2,TimeOfWeek,$E183)*INDEX(About!S$79:S$82,MATCH($B183,About!$A$79:$A$82,0),1)</f>
        <v>11100000</v>
      </c>
      <c r="X183" s="27">
        <f>SUMIFS(INDEX(Load,,MATCH('Summarized Source Data'!$C183,Hour,0)),Month,'Summarized Source Data'!$A183,Sector,'Summarized Source Data'!X$2,Subsector,'Summarized Source Data'!X$3,TimeOfWeek,$E183)*INDEX(About!T$79:T$82,MATCH($B183,About!$A$79:$A$82,0),1)</f>
        <v>669000000</v>
      </c>
      <c r="Y183" s="29">
        <f t="shared" si="14"/>
        <v>669000000</v>
      </c>
      <c r="Z183" s="29">
        <f t="shared" si="14"/>
        <v>669000000</v>
      </c>
    </row>
    <row r="184" spans="1:26" outlineLevel="1" x14ac:dyDescent="0.3">
      <c r="A184">
        <f t="shared" si="10"/>
        <v>8</v>
      </c>
      <c r="B184" t="str">
        <f>INDEX('Category Mapping'!$G$28:$G$39,MATCH(A184,'Category Mapping'!$A$28:$A$39,0),1)</f>
        <v>Summer</v>
      </c>
      <c r="C184" t="s">
        <v>75</v>
      </c>
      <c r="D184" s="6" t="s">
        <v>150</v>
      </c>
      <c r="E184" t="s">
        <v>49</v>
      </c>
      <c r="F184" s="27">
        <f>SUMIFS(INDEX(Load,,MATCH('Summarized Source Data'!$C184,Hour,0)),Month,'Summarized Source Data'!$A184,Sector,'Summarized Source Data'!F$2,Subsector,'Summarized Source Data'!F$3,TimeOfWeek,$E184)*INDEX(About!B$79:B$82,MATCH($B184,About!$A$79:$A$82,0),1)</f>
        <v>68298</v>
      </c>
      <c r="G184" s="27">
        <f>SUMIFS(INDEX(Load,,MATCH('Summarized Source Data'!$C184,Hour,0)),Month,'Summarized Source Data'!$A184,Sector,'Summarized Source Data'!G$2,Subsector,'Summarized Source Data'!G$3,TimeOfWeek,$E184)*INDEX(About!C$79:C$82,MATCH($B184,About!$A$79:$A$82,0),1)</f>
        <v>80000000</v>
      </c>
      <c r="H184" s="27">
        <f>SUMIFS(INDEX(Load,,MATCH('Summarized Source Data'!$C184,Hour,0)),Month,'Summarized Source Data'!$A184,Sector,'Summarized Source Data'!H$2,Subsector,'Summarized Source Data'!H$3,TimeOfWeek,$E184)*INDEX(About!D$79:D$82,MATCH($B184,About!$A$79:$A$82,0),1)</f>
        <v>0</v>
      </c>
      <c r="I184" s="27">
        <f>SUMIFS(INDEX(Load,,MATCH('Summarized Source Data'!$C184,Hour,0)),Month,'Summarized Source Data'!$A184,Sector,'Summarized Source Data'!I$2,Subsector,'Summarized Source Data'!I$3,TimeOfWeek,$E184)*INDEX(About!E$79:E$82,MATCH($B184,About!$A$79:$A$82,0),1)</f>
        <v>10400000</v>
      </c>
      <c r="J184" s="54">
        <f t="shared" si="11"/>
        <v>105531702</v>
      </c>
      <c r="K184" s="27">
        <f>(SUMIFS(INDEX(Load,,MATCH('Summarized Source Data'!$C184,Hour,0)),Month,'Summarized Source Data'!$A184,Sector,'Summarized Source Data'!K$2,Subsector,"Total",TimeOfWeek,$E184)-SUM(F184:I184))*INDEX(About!G$79:G$82,MATCH($B184,About!$A$79:$A$82,0),1)</f>
        <v>105531702</v>
      </c>
      <c r="L184" s="27">
        <f>SUMIFS(INDEX(Load,,MATCH('Summarized Source Data'!$C184,Hour,0)),Month,'Summarized Source Data'!$A184,Sector,'Summarized Source Data'!L$2,Subsector,'Summarized Source Data'!L$3,TimeOfWeek,$E184)*INDEX(About!H$79:H$82,MATCH($B184,About!$A$79:$A$82,0),1)</f>
        <v>207628</v>
      </c>
      <c r="M184" s="27">
        <f>SUMIFS(INDEX(Load,,MATCH('Summarized Source Data'!$C184,Hour,0)),Month,'Summarized Source Data'!$A184,Sector,'Summarized Source Data'!M$2,Subsector,'Summarized Source Data'!M$3,TimeOfWeek,$E184)*INDEX(About!I$79:I$82,MATCH($B184,About!$A$79:$A$82,0),1)</f>
        <v>515000000</v>
      </c>
      <c r="N184" s="27">
        <f>SUMIFS(INDEX(Load,,MATCH('Summarized Source Data'!$C184,Hour,0)),Month,'Summarized Source Data'!$A184,Sector,'Summarized Source Data'!N$2,Subsector,'Summarized Source Data'!N$3,TimeOfWeek,$E184)*INDEX(About!J$79:J$82,MATCH($B184,About!$A$79:$A$82,0),1)</f>
        <v>0</v>
      </c>
      <c r="O184" s="29">
        <f t="shared" si="12"/>
        <v>504792372</v>
      </c>
      <c r="P184" s="27">
        <f>(SUMIFS(INDEX(Load,,MATCH('Summarized Source Data'!$C184,Hour,0)),Month,'Summarized Source Data'!$A184,Sector,'Summarized Source Data'!P$2,Subsector,"Total",TimeOfWeek,$E184)-SUM(L184:N184)*INDEX(About!L$79:L$82,MATCH($B184,About!$A$79:$A$82,0),1))</f>
        <v>504792372</v>
      </c>
      <c r="Q184" s="29">
        <f t="shared" si="13"/>
        <v>504792372</v>
      </c>
      <c r="R184" s="33">
        <f>SUMIFS(INDEX(Load,,MATCH('Summarized Source Data'!$C184,Hour,0)),Month,'Summarized Source Data'!$A184,Sector,'Summarized Source Data'!R$2,TimeOfWeek,$E184)*INDEX(About!N$79:N$82,MATCH($B184,About!$A$79:$A$82,0),1)</f>
        <v>11300000</v>
      </c>
      <c r="S184" s="33">
        <f>SUMIFS(INDEX(Load,,MATCH('Summarized Source Data'!$C184,Hour,0)),Month,'Summarized Source Data'!$A184,Sector,'Summarized Source Data'!S$2,TimeOfWeek,$E184)*INDEX(About!O$79:O$82,MATCH($B184,About!$A$79:$A$82,0),1)</f>
        <v>11300000</v>
      </c>
      <c r="T184" s="33">
        <f>SUMIFS(INDEX(Load,,MATCH('Summarized Source Data'!$C184,Hour,0)),Month,'Summarized Source Data'!$A184,Sector,'Summarized Source Data'!T$2,TimeOfWeek,$E184)*INDEX(About!P$79:P$82,MATCH($B184,About!$A$79:$A$82,0),1)</f>
        <v>11300000</v>
      </c>
      <c r="U184" s="33">
        <f>SUMIFS(INDEX(Load,,MATCH('Summarized Source Data'!$C184,Hour,0)),Month,'Summarized Source Data'!$A184,Sector,'Summarized Source Data'!U$2,TimeOfWeek,$E184)*INDEX(About!Q$79:Q$82,MATCH($B184,About!$A$79:$A$82,0),1)</f>
        <v>11300000</v>
      </c>
      <c r="V184" s="33">
        <f>SUMIFS(INDEX(Load,,MATCH('Summarized Source Data'!$C184,Hour,0)),Month,'Summarized Source Data'!$A184,Sector,'Summarized Source Data'!V$2,TimeOfWeek,$E184)*INDEX(About!R$79:R$82,MATCH($B184,About!$A$79:$A$82,0),1)</f>
        <v>11300000</v>
      </c>
      <c r="W184" s="33">
        <f>SUMIFS(INDEX(Load,,MATCH('Summarized Source Data'!$C184,Hour,0)),Month,'Summarized Source Data'!$A184,Sector,'Summarized Source Data'!W$2,TimeOfWeek,$E184)*INDEX(About!S$79:S$82,MATCH($B184,About!$A$79:$A$82,0),1)</f>
        <v>11300000</v>
      </c>
      <c r="X184" s="27">
        <f>SUMIFS(INDEX(Load,,MATCH('Summarized Source Data'!$C184,Hour,0)),Month,'Summarized Source Data'!$A184,Sector,'Summarized Source Data'!X$2,Subsector,'Summarized Source Data'!X$3,TimeOfWeek,$E184)*INDEX(About!T$79:T$82,MATCH($B184,About!$A$79:$A$82,0),1)</f>
        <v>667000000</v>
      </c>
      <c r="Y184" s="29">
        <f t="shared" si="14"/>
        <v>667000000</v>
      </c>
      <c r="Z184" s="29">
        <f t="shared" si="14"/>
        <v>667000000</v>
      </c>
    </row>
    <row r="185" spans="1:26" outlineLevel="1" x14ac:dyDescent="0.3">
      <c r="A185">
        <f t="shared" si="10"/>
        <v>8</v>
      </c>
      <c r="B185" t="str">
        <f>INDEX('Category Mapping'!$G$28:$G$39,MATCH(A185,'Category Mapping'!$A$28:$A$39,0),1)</f>
        <v>Summer</v>
      </c>
      <c r="C185" t="s">
        <v>76</v>
      </c>
      <c r="D185" s="6" t="s">
        <v>151</v>
      </c>
      <c r="E185" t="s">
        <v>49</v>
      </c>
      <c r="F185" s="27">
        <f>SUMIFS(INDEX(Load,,MATCH('Summarized Source Data'!$C185,Hour,0)),Month,'Summarized Source Data'!$A185,Sector,'Summarized Source Data'!F$2,Subsector,'Summarized Source Data'!F$3,TimeOfWeek,$E185)*INDEX(About!B$79:B$82,MATCH($B185,About!$A$79:$A$82,0),1)</f>
        <v>68846</v>
      </c>
      <c r="G185" s="27">
        <f>SUMIFS(INDEX(Load,,MATCH('Summarized Source Data'!$C185,Hour,0)),Month,'Summarized Source Data'!$A185,Sector,'Summarized Source Data'!G$2,Subsector,'Summarized Source Data'!G$3,TimeOfWeek,$E185)*INDEX(About!C$79:C$82,MATCH($B185,About!$A$79:$A$82,0),1)</f>
        <v>85800000</v>
      </c>
      <c r="H185" s="27">
        <f>SUMIFS(INDEX(Load,,MATCH('Summarized Source Data'!$C185,Hour,0)),Month,'Summarized Source Data'!$A185,Sector,'Summarized Source Data'!H$2,Subsector,'Summarized Source Data'!H$3,TimeOfWeek,$E185)*INDEX(About!D$79:D$82,MATCH($B185,About!$A$79:$A$82,0),1)</f>
        <v>0</v>
      </c>
      <c r="I185" s="27">
        <f>SUMIFS(INDEX(Load,,MATCH('Summarized Source Data'!$C185,Hour,0)),Month,'Summarized Source Data'!$A185,Sector,'Summarized Source Data'!I$2,Subsector,'Summarized Source Data'!I$3,TimeOfWeek,$E185)*INDEX(About!E$79:E$82,MATCH($B185,About!$A$79:$A$82,0),1)</f>
        <v>10600000</v>
      </c>
      <c r="J185" s="54">
        <f t="shared" si="11"/>
        <v>105531154</v>
      </c>
      <c r="K185" s="27">
        <f>(SUMIFS(INDEX(Load,,MATCH('Summarized Source Data'!$C185,Hour,0)),Month,'Summarized Source Data'!$A185,Sector,'Summarized Source Data'!K$2,Subsector,"Total",TimeOfWeek,$E185)-SUM(F185:I185))*INDEX(About!G$79:G$82,MATCH($B185,About!$A$79:$A$82,0),1)</f>
        <v>105531154</v>
      </c>
      <c r="L185" s="27">
        <f>SUMIFS(INDEX(Load,,MATCH('Summarized Source Data'!$C185,Hour,0)),Month,'Summarized Source Data'!$A185,Sector,'Summarized Source Data'!L$2,Subsector,'Summarized Source Data'!L$3,TimeOfWeek,$E185)*INDEX(About!H$79:H$82,MATCH($B185,About!$A$79:$A$82,0),1)</f>
        <v>207628</v>
      </c>
      <c r="M185" s="27">
        <f>SUMIFS(INDEX(Load,,MATCH('Summarized Source Data'!$C185,Hour,0)),Month,'Summarized Source Data'!$A185,Sector,'Summarized Source Data'!M$2,Subsector,'Summarized Source Data'!M$3,TimeOfWeek,$E185)*INDEX(About!I$79:I$82,MATCH($B185,About!$A$79:$A$82,0),1)</f>
        <v>530000000</v>
      </c>
      <c r="N185" s="27">
        <f>SUMIFS(INDEX(Load,,MATCH('Summarized Source Data'!$C185,Hour,0)),Month,'Summarized Source Data'!$A185,Sector,'Summarized Source Data'!N$2,Subsector,'Summarized Source Data'!N$3,TimeOfWeek,$E185)*INDEX(About!J$79:J$82,MATCH($B185,About!$A$79:$A$82,0),1)</f>
        <v>0</v>
      </c>
      <c r="O185" s="29">
        <f t="shared" si="12"/>
        <v>499792372</v>
      </c>
      <c r="P185" s="27">
        <f>(SUMIFS(INDEX(Load,,MATCH('Summarized Source Data'!$C185,Hour,0)),Month,'Summarized Source Data'!$A185,Sector,'Summarized Source Data'!P$2,Subsector,"Total",TimeOfWeek,$E185)-SUM(L185:N185)*INDEX(About!L$79:L$82,MATCH($B185,About!$A$79:$A$82,0),1))</f>
        <v>499792372</v>
      </c>
      <c r="Q185" s="29">
        <f t="shared" si="13"/>
        <v>499792372</v>
      </c>
      <c r="R185" s="33">
        <f>SUMIFS(INDEX(Load,,MATCH('Summarized Source Data'!$C185,Hour,0)),Month,'Summarized Source Data'!$A185,Sector,'Summarized Source Data'!R$2,TimeOfWeek,$E185)*INDEX(About!N$79:N$82,MATCH($B185,About!$A$79:$A$82,0),1)</f>
        <v>11200000</v>
      </c>
      <c r="S185" s="33">
        <f>SUMIFS(INDEX(Load,,MATCH('Summarized Source Data'!$C185,Hour,0)),Month,'Summarized Source Data'!$A185,Sector,'Summarized Source Data'!S$2,TimeOfWeek,$E185)*INDEX(About!O$79:O$82,MATCH($B185,About!$A$79:$A$82,0),1)</f>
        <v>11200000</v>
      </c>
      <c r="T185" s="33">
        <f>SUMIFS(INDEX(Load,,MATCH('Summarized Source Data'!$C185,Hour,0)),Month,'Summarized Source Data'!$A185,Sector,'Summarized Source Data'!T$2,TimeOfWeek,$E185)*INDEX(About!P$79:P$82,MATCH($B185,About!$A$79:$A$82,0),1)</f>
        <v>11200000</v>
      </c>
      <c r="U185" s="33">
        <f>SUMIFS(INDEX(Load,,MATCH('Summarized Source Data'!$C185,Hour,0)),Month,'Summarized Source Data'!$A185,Sector,'Summarized Source Data'!U$2,TimeOfWeek,$E185)*INDEX(About!Q$79:Q$82,MATCH($B185,About!$A$79:$A$82,0),1)</f>
        <v>11200000</v>
      </c>
      <c r="V185" s="33">
        <f>SUMIFS(INDEX(Load,,MATCH('Summarized Source Data'!$C185,Hour,0)),Month,'Summarized Source Data'!$A185,Sector,'Summarized Source Data'!V$2,TimeOfWeek,$E185)*INDEX(About!R$79:R$82,MATCH($B185,About!$A$79:$A$82,0),1)</f>
        <v>11200000</v>
      </c>
      <c r="W185" s="33">
        <f>SUMIFS(INDEX(Load,,MATCH('Summarized Source Data'!$C185,Hour,0)),Month,'Summarized Source Data'!$A185,Sector,'Summarized Source Data'!W$2,TimeOfWeek,$E185)*INDEX(About!S$79:S$82,MATCH($B185,About!$A$79:$A$82,0),1)</f>
        <v>11200000</v>
      </c>
      <c r="X185" s="27">
        <f>SUMIFS(INDEX(Load,,MATCH('Summarized Source Data'!$C185,Hour,0)),Month,'Summarized Source Data'!$A185,Sector,'Summarized Source Data'!X$2,Subsector,'Summarized Source Data'!X$3,TimeOfWeek,$E185)*INDEX(About!T$79:T$82,MATCH($B185,About!$A$79:$A$82,0),1)</f>
        <v>666000000</v>
      </c>
      <c r="Y185" s="29">
        <f t="shared" si="14"/>
        <v>666000000</v>
      </c>
      <c r="Z185" s="29">
        <f t="shared" si="14"/>
        <v>666000000</v>
      </c>
    </row>
    <row r="186" spans="1:26" outlineLevel="1" x14ac:dyDescent="0.3">
      <c r="A186">
        <f t="shared" si="10"/>
        <v>8</v>
      </c>
      <c r="B186" t="str">
        <f>INDEX('Category Mapping'!$G$28:$G$39,MATCH(A186,'Category Mapping'!$A$28:$A$39,0),1)</f>
        <v>Summer</v>
      </c>
      <c r="C186" t="s">
        <v>77</v>
      </c>
      <c r="D186" s="6" t="s">
        <v>152</v>
      </c>
      <c r="E186" t="s">
        <v>49</v>
      </c>
      <c r="F186" s="27">
        <f>SUMIFS(INDEX(Load,,MATCH('Summarized Source Data'!$C186,Hour,0)),Month,'Summarized Source Data'!$A186,Sector,'Summarized Source Data'!F$2,Subsector,'Summarized Source Data'!F$3,TimeOfWeek,$E186)*INDEX(About!B$79:B$82,MATCH($B186,About!$A$79:$A$82,0),1)</f>
        <v>69843</v>
      </c>
      <c r="G186" s="27">
        <f>SUMIFS(INDEX(Load,,MATCH('Summarized Source Data'!$C186,Hour,0)),Month,'Summarized Source Data'!$A186,Sector,'Summarized Source Data'!G$2,Subsector,'Summarized Source Data'!G$3,TimeOfWeek,$E186)*INDEX(About!C$79:C$82,MATCH($B186,About!$A$79:$A$82,0),1)</f>
        <v>90800000</v>
      </c>
      <c r="H186" s="27">
        <f>SUMIFS(INDEX(Load,,MATCH('Summarized Source Data'!$C186,Hour,0)),Month,'Summarized Source Data'!$A186,Sector,'Summarized Source Data'!H$2,Subsector,'Summarized Source Data'!H$3,TimeOfWeek,$E186)*INDEX(About!D$79:D$82,MATCH($B186,About!$A$79:$A$82,0),1)</f>
        <v>0</v>
      </c>
      <c r="I186" s="27">
        <f>SUMIFS(INDEX(Load,,MATCH('Summarized Source Data'!$C186,Hour,0)),Month,'Summarized Source Data'!$A186,Sector,'Summarized Source Data'!I$2,Subsector,'Summarized Source Data'!I$3,TimeOfWeek,$E186)*INDEX(About!E$79:E$82,MATCH($B186,About!$A$79:$A$82,0),1)</f>
        <v>10900000</v>
      </c>
      <c r="J186" s="54">
        <f t="shared" si="11"/>
        <v>109230157</v>
      </c>
      <c r="K186" s="27">
        <f>(SUMIFS(INDEX(Load,,MATCH('Summarized Source Data'!$C186,Hour,0)),Month,'Summarized Source Data'!$A186,Sector,'Summarized Source Data'!K$2,Subsector,"Total",TimeOfWeek,$E186)-SUM(F186:I186))*INDEX(About!G$79:G$82,MATCH($B186,About!$A$79:$A$82,0),1)</f>
        <v>109230157</v>
      </c>
      <c r="L186" s="27">
        <f>SUMIFS(INDEX(Load,,MATCH('Summarized Source Data'!$C186,Hour,0)),Month,'Summarized Source Data'!$A186,Sector,'Summarized Source Data'!L$2,Subsector,'Summarized Source Data'!L$3,TimeOfWeek,$E186)*INDEX(About!H$79:H$82,MATCH($B186,About!$A$79:$A$82,0),1)</f>
        <v>207628</v>
      </c>
      <c r="M186" s="27">
        <f>SUMIFS(INDEX(Load,,MATCH('Summarized Source Data'!$C186,Hour,0)),Month,'Summarized Source Data'!$A186,Sector,'Summarized Source Data'!M$2,Subsector,'Summarized Source Data'!M$3,TimeOfWeek,$E186)*INDEX(About!I$79:I$82,MATCH($B186,About!$A$79:$A$82,0),1)</f>
        <v>541000000</v>
      </c>
      <c r="N186" s="27">
        <f>SUMIFS(INDEX(Load,,MATCH('Summarized Source Data'!$C186,Hour,0)),Month,'Summarized Source Data'!$A186,Sector,'Summarized Source Data'!N$2,Subsector,'Summarized Source Data'!N$3,TimeOfWeek,$E186)*INDEX(About!J$79:J$82,MATCH($B186,About!$A$79:$A$82,0),1)</f>
        <v>0</v>
      </c>
      <c r="O186" s="29">
        <f t="shared" si="12"/>
        <v>498792372</v>
      </c>
      <c r="P186" s="27">
        <f>(SUMIFS(INDEX(Load,,MATCH('Summarized Source Data'!$C186,Hour,0)),Month,'Summarized Source Data'!$A186,Sector,'Summarized Source Data'!P$2,Subsector,"Total",TimeOfWeek,$E186)-SUM(L186:N186)*INDEX(About!L$79:L$82,MATCH($B186,About!$A$79:$A$82,0),1))</f>
        <v>498792372</v>
      </c>
      <c r="Q186" s="29">
        <f t="shared" si="13"/>
        <v>498792372</v>
      </c>
      <c r="R186" s="33">
        <f>SUMIFS(INDEX(Load,,MATCH('Summarized Source Data'!$C186,Hour,0)),Month,'Summarized Source Data'!$A186,Sector,'Summarized Source Data'!R$2,TimeOfWeek,$E186)*INDEX(About!N$79:N$82,MATCH($B186,About!$A$79:$A$82,0),1)</f>
        <v>11100000</v>
      </c>
      <c r="S186" s="33">
        <f>SUMIFS(INDEX(Load,,MATCH('Summarized Source Data'!$C186,Hour,0)),Month,'Summarized Source Data'!$A186,Sector,'Summarized Source Data'!S$2,TimeOfWeek,$E186)*INDEX(About!O$79:O$82,MATCH($B186,About!$A$79:$A$82,0),1)</f>
        <v>11100000</v>
      </c>
      <c r="T186" s="33">
        <f>SUMIFS(INDEX(Load,,MATCH('Summarized Source Data'!$C186,Hour,0)),Month,'Summarized Source Data'!$A186,Sector,'Summarized Source Data'!T$2,TimeOfWeek,$E186)*INDEX(About!P$79:P$82,MATCH($B186,About!$A$79:$A$82,0),1)</f>
        <v>11100000</v>
      </c>
      <c r="U186" s="33">
        <f>SUMIFS(INDEX(Load,,MATCH('Summarized Source Data'!$C186,Hour,0)),Month,'Summarized Source Data'!$A186,Sector,'Summarized Source Data'!U$2,TimeOfWeek,$E186)*INDEX(About!Q$79:Q$82,MATCH($B186,About!$A$79:$A$82,0),1)</f>
        <v>11100000</v>
      </c>
      <c r="V186" s="33">
        <f>SUMIFS(INDEX(Load,,MATCH('Summarized Source Data'!$C186,Hour,0)),Month,'Summarized Source Data'!$A186,Sector,'Summarized Source Data'!V$2,TimeOfWeek,$E186)*INDEX(About!R$79:R$82,MATCH($B186,About!$A$79:$A$82,0),1)</f>
        <v>11100000</v>
      </c>
      <c r="W186" s="33">
        <f>SUMIFS(INDEX(Load,,MATCH('Summarized Source Data'!$C186,Hour,0)),Month,'Summarized Source Data'!$A186,Sector,'Summarized Source Data'!W$2,TimeOfWeek,$E186)*INDEX(About!S$79:S$82,MATCH($B186,About!$A$79:$A$82,0),1)</f>
        <v>11100000</v>
      </c>
      <c r="X186" s="27">
        <f>SUMIFS(INDEX(Load,,MATCH('Summarized Source Data'!$C186,Hour,0)),Month,'Summarized Source Data'!$A186,Sector,'Summarized Source Data'!X$2,Subsector,'Summarized Source Data'!X$3,TimeOfWeek,$E186)*INDEX(About!T$79:T$82,MATCH($B186,About!$A$79:$A$82,0),1)</f>
        <v>667000000</v>
      </c>
      <c r="Y186" s="29">
        <f t="shared" si="14"/>
        <v>667000000</v>
      </c>
      <c r="Z186" s="29">
        <f t="shared" si="14"/>
        <v>667000000</v>
      </c>
    </row>
    <row r="187" spans="1:26" outlineLevel="1" x14ac:dyDescent="0.3">
      <c r="A187">
        <f t="shared" si="10"/>
        <v>8</v>
      </c>
      <c r="B187" t="str">
        <f>INDEX('Category Mapping'!$G$28:$G$39,MATCH(A187,'Category Mapping'!$A$28:$A$39,0),1)</f>
        <v>Summer</v>
      </c>
      <c r="C187" t="s">
        <v>78</v>
      </c>
      <c r="D187" s="6" t="s">
        <v>153</v>
      </c>
      <c r="E187" t="s">
        <v>49</v>
      </c>
      <c r="F187" s="27">
        <f>SUMIFS(INDEX(Load,,MATCH('Summarized Source Data'!$C187,Hour,0)),Month,'Summarized Source Data'!$A187,Sector,'Summarized Source Data'!F$2,Subsector,'Summarized Source Data'!F$3,TimeOfWeek,$E187)*INDEX(About!B$79:B$82,MATCH($B187,About!$A$79:$A$82,0),1)</f>
        <v>73062</v>
      </c>
      <c r="G187" s="27">
        <f>SUMIFS(INDEX(Load,,MATCH('Summarized Source Data'!$C187,Hour,0)),Month,'Summarized Source Data'!$A187,Sector,'Summarized Source Data'!G$2,Subsector,'Summarized Source Data'!G$3,TimeOfWeek,$E187)*INDEX(About!C$79:C$82,MATCH($B187,About!$A$79:$A$82,0),1)</f>
        <v>97900000</v>
      </c>
      <c r="H187" s="27">
        <f>SUMIFS(INDEX(Load,,MATCH('Summarized Source Data'!$C187,Hour,0)),Month,'Summarized Source Data'!$A187,Sector,'Summarized Source Data'!H$2,Subsector,'Summarized Source Data'!H$3,TimeOfWeek,$E187)*INDEX(About!D$79:D$82,MATCH($B187,About!$A$79:$A$82,0),1)</f>
        <v>0</v>
      </c>
      <c r="I187" s="27">
        <f>SUMIFS(INDEX(Load,,MATCH('Summarized Source Data'!$C187,Hour,0)),Month,'Summarized Source Data'!$A187,Sector,'Summarized Source Data'!I$2,Subsector,'Summarized Source Data'!I$3,TimeOfWeek,$E187)*INDEX(About!E$79:E$82,MATCH($B187,About!$A$79:$A$82,0),1)</f>
        <v>11700000</v>
      </c>
      <c r="J187" s="54">
        <f t="shared" si="11"/>
        <v>123326938</v>
      </c>
      <c r="K187" s="27">
        <f>(SUMIFS(INDEX(Load,,MATCH('Summarized Source Data'!$C187,Hour,0)),Month,'Summarized Source Data'!$A187,Sector,'Summarized Source Data'!K$2,Subsector,"Total",TimeOfWeek,$E187)-SUM(F187:I187))*INDEX(About!G$79:G$82,MATCH($B187,About!$A$79:$A$82,0),1)</f>
        <v>123326938</v>
      </c>
      <c r="L187" s="27">
        <f>SUMIFS(INDEX(Load,,MATCH('Summarized Source Data'!$C187,Hour,0)),Month,'Summarized Source Data'!$A187,Sector,'Summarized Source Data'!L$2,Subsector,'Summarized Source Data'!L$3,TimeOfWeek,$E187)*INDEX(About!H$79:H$82,MATCH($B187,About!$A$79:$A$82,0),1)</f>
        <v>207628</v>
      </c>
      <c r="M187" s="27">
        <f>SUMIFS(INDEX(Load,,MATCH('Summarized Source Data'!$C187,Hour,0)),Month,'Summarized Source Data'!$A187,Sector,'Summarized Source Data'!M$2,Subsector,'Summarized Source Data'!M$3,TimeOfWeek,$E187)*INDEX(About!I$79:I$82,MATCH($B187,About!$A$79:$A$82,0),1)</f>
        <v>538000000</v>
      </c>
      <c r="N187" s="27">
        <f>SUMIFS(INDEX(Load,,MATCH('Summarized Source Data'!$C187,Hour,0)),Month,'Summarized Source Data'!$A187,Sector,'Summarized Source Data'!N$2,Subsector,'Summarized Source Data'!N$3,TimeOfWeek,$E187)*INDEX(About!J$79:J$82,MATCH($B187,About!$A$79:$A$82,0),1)</f>
        <v>0</v>
      </c>
      <c r="O187" s="29">
        <f t="shared" si="12"/>
        <v>501792372</v>
      </c>
      <c r="P187" s="27">
        <f>(SUMIFS(INDEX(Load,,MATCH('Summarized Source Data'!$C187,Hour,0)),Month,'Summarized Source Data'!$A187,Sector,'Summarized Source Data'!P$2,Subsector,"Total",TimeOfWeek,$E187)-SUM(L187:N187)*INDEX(About!L$79:L$82,MATCH($B187,About!$A$79:$A$82,0),1))</f>
        <v>501792372</v>
      </c>
      <c r="Q187" s="29">
        <f t="shared" si="13"/>
        <v>501792372</v>
      </c>
      <c r="R187" s="33">
        <f>SUMIFS(INDEX(Load,,MATCH('Summarized Source Data'!$C187,Hour,0)),Month,'Summarized Source Data'!$A187,Sector,'Summarized Source Data'!R$2,TimeOfWeek,$E187)*INDEX(About!N$79:N$82,MATCH($B187,About!$A$79:$A$82,0),1)</f>
        <v>13100000</v>
      </c>
      <c r="S187" s="33">
        <f>SUMIFS(INDEX(Load,,MATCH('Summarized Source Data'!$C187,Hour,0)),Month,'Summarized Source Data'!$A187,Sector,'Summarized Source Data'!S$2,TimeOfWeek,$E187)*INDEX(About!O$79:O$82,MATCH($B187,About!$A$79:$A$82,0),1)</f>
        <v>13100000</v>
      </c>
      <c r="T187" s="33">
        <f>SUMIFS(INDEX(Load,,MATCH('Summarized Source Data'!$C187,Hour,0)),Month,'Summarized Source Data'!$A187,Sector,'Summarized Source Data'!T$2,TimeOfWeek,$E187)*INDEX(About!P$79:P$82,MATCH($B187,About!$A$79:$A$82,0),1)</f>
        <v>13100000</v>
      </c>
      <c r="U187" s="33">
        <f>SUMIFS(INDEX(Load,,MATCH('Summarized Source Data'!$C187,Hour,0)),Month,'Summarized Source Data'!$A187,Sector,'Summarized Source Data'!U$2,TimeOfWeek,$E187)*INDEX(About!Q$79:Q$82,MATCH($B187,About!$A$79:$A$82,0),1)</f>
        <v>13100000</v>
      </c>
      <c r="V187" s="33">
        <f>SUMIFS(INDEX(Load,,MATCH('Summarized Source Data'!$C187,Hour,0)),Month,'Summarized Source Data'!$A187,Sector,'Summarized Source Data'!V$2,TimeOfWeek,$E187)*INDEX(About!R$79:R$82,MATCH($B187,About!$A$79:$A$82,0),1)</f>
        <v>13100000</v>
      </c>
      <c r="W187" s="33">
        <f>SUMIFS(INDEX(Load,,MATCH('Summarized Source Data'!$C187,Hour,0)),Month,'Summarized Source Data'!$A187,Sector,'Summarized Source Data'!W$2,TimeOfWeek,$E187)*INDEX(About!S$79:S$82,MATCH($B187,About!$A$79:$A$82,0),1)</f>
        <v>13100000</v>
      </c>
      <c r="X187" s="27">
        <f>SUMIFS(INDEX(Load,,MATCH('Summarized Source Data'!$C187,Hour,0)),Month,'Summarized Source Data'!$A187,Sector,'Summarized Source Data'!X$2,Subsector,'Summarized Source Data'!X$3,TimeOfWeek,$E187)*INDEX(About!T$79:T$82,MATCH($B187,About!$A$79:$A$82,0),1)</f>
        <v>673000000</v>
      </c>
      <c r="Y187" s="29">
        <f t="shared" si="14"/>
        <v>673000000</v>
      </c>
      <c r="Z187" s="29">
        <f t="shared" si="14"/>
        <v>673000000</v>
      </c>
    </row>
    <row r="188" spans="1:26" outlineLevel="1" x14ac:dyDescent="0.3">
      <c r="A188">
        <f t="shared" si="10"/>
        <v>8</v>
      </c>
      <c r="B188" t="str">
        <f>INDEX('Category Mapping'!$G$28:$G$39,MATCH(A188,'Category Mapping'!$A$28:$A$39,0),1)</f>
        <v>Summer</v>
      </c>
      <c r="C188" t="s">
        <v>79</v>
      </c>
      <c r="D188" s="6" t="s">
        <v>154</v>
      </c>
      <c r="E188" t="s">
        <v>49</v>
      </c>
      <c r="F188" s="27">
        <f>SUMIFS(INDEX(Load,,MATCH('Summarized Source Data'!$C188,Hour,0)),Month,'Summarized Source Data'!$A188,Sector,'Summarized Source Data'!F$2,Subsector,'Summarized Source Data'!F$3,TimeOfWeek,$E188)*INDEX(About!B$79:B$82,MATCH($B188,About!$A$79:$A$82,0),1)</f>
        <v>76942</v>
      </c>
      <c r="G188" s="27">
        <f>SUMIFS(INDEX(Load,,MATCH('Summarized Source Data'!$C188,Hour,0)),Month,'Summarized Source Data'!$A188,Sector,'Summarized Source Data'!G$2,Subsector,'Summarized Source Data'!G$3,TimeOfWeek,$E188)*INDEX(About!C$79:C$82,MATCH($B188,About!$A$79:$A$82,0),1)</f>
        <v>103000000</v>
      </c>
      <c r="H188" s="27">
        <f>SUMIFS(INDEX(Load,,MATCH('Summarized Source Data'!$C188,Hour,0)),Month,'Summarized Source Data'!$A188,Sector,'Summarized Source Data'!H$2,Subsector,'Summarized Source Data'!H$3,TimeOfWeek,$E188)*INDEX(About!D$79:D$82,MATCH($B188,About!$A$79:$A$82,0),1)</f>
        <v>0</v>
      </c>
      <c r="I188" s="27">
        <f>SUMIFS(INDEX(Load,,MATCH('Summarized Source Data'!$C188,Hour,0)),Month,'Summarized Source Data'!$A188,Sector,'Summarized Source Data'!I$2,Subsector,'Summarized Source Data'!I$3,TimeOfWeek,$E188)*INDEX(About!E$79:E$82,MATCH($B188,About!$A$79:$A$82,0),1)</f>
        <v>12800000</v>
      </c>
      <c r="J188" s="54">
        <f t="shared" si="11"/>
        <v>148123058</v>
      </c>
      <c r="K188" s="27">
        <f>(SUMIFS(INDEX(Load,,MATCH('Summarized Source Data'!$C188,Hour,0)),Month,'Summarized Source Data'!$A188,Sector,'Summarized Source Data'!K$2,Subsector,"Total",TimeOfWeek,$E188)-SUM(F188:I188))*INDEX(About!G$79:G$82,MATCH($B188,About!$A$79:$A$82,0),1)</f>
        <v>148123058</v>
      </c>
      <c r="L188" s="27">
        <f>SUMIFS(INDEX(Load,,MATCH('Summarized Source Data'!$C188,Hour,0)),Month,'Summarized Source Data'!$A188,Sector,'Summarized Source Data'!L$2,Subsector,'Summarized Source Data'!L$3,TimeOfWeek,$E188)*INDEX(About!H$79:H$82,MATCH($B188,About!$A$79:$A$82,0),1)</f>
        <v>207628</v>
      </c>
      <c r="M188" s="27">
        <f>SUMIFS(INDEX(Load,,MATCH('Summarized Source Data'!$C188,Hour,0)),Month,'Summarized Source Data'!$A188,Sector,'Summarized Source Data'!M$2,Subsector,'Summarized Source Data'!M$3,TimeOfWeek,$E188)*INDEX(About!I$79:I$82,MATCH($B188,About!$A$79:$A$82,0),1)</f>
        <v>523000000</v>
      </c>
      <c r="N188" s="27">
        <f>SUMIFS(INDEX(Load,,MATCH('Summarized Source Data'!$C188,Hour,0)),Month,'Summarized Source Data'!$A188,Sector,'Summarized Source Data'!N$2,Subsector,'Summarized Source Data'!N$3,TimeOfWeek,$E188)*INDEX(About!J$79:J$82,MATCH($B188,About!$A$79:$A$82,0),1)</f>
        <v>0</v>
      </c>
      <c r="O188" s="29">
        <f t="shared" si="12"/>
        <v>486792372</v>
      </c>
      <c r="P188" s="27">
        <f>(SUMIFS(INDEX(Load,,MATCH('Summarized Source Data'!$C188,Hour,0)),Month,'Summarized Source Data'!$A188,Sector,'Summarized Source Data'!P$2,Subsector,"Total",TimeOfWeek,$E188)-SUM(L188:N188)*INDEX(About!L$79:L$82,MATCH($B188,About!$A$79:$A$82,0),1))</f>
        <v>486792372</v>
      </c>
      <c r="Q188" s="29">
        <f t="shared" si="13"/>
        <v>486792372</v>
      </c>
      <c r="R188" s="33">
        <f>SUMIFS(INDEX(Load,,MATCH('Summarized Source Data'!$C188,Hour,0)),Month,'Summarized Source Data'!$A188,Sector,'Summarized Source Data'!R$2,TimeOfWeek,$E188)*INDEX(About!N$79:N$82,MATCH($B188,About!$A$79:$A$82,0),1)</f>
        <v>15200000</v>
      </c>
      <c r="S188" s="33">
        <f>SUMIFS(INDEX(Load,,MATCH('Summarized Source Data'!$C188,Hour,0)),Month,'Summarized Source Data'!$A188,Sector,'Summarized Source Data'!S$2,TimeOfWeek,$E188)*INDEX(About!O$79:O$82,MATCH($B188,About!$A$79:$A$82,0),1)</f>
        <v>15200000</v>
      </c>
      <c r="T188" s="33">
        <f>SUMIFS(INDEX(Load,,MATCH('Summarized Source Data'!$C188,Hour,0)),Month,'Summarized Source Data'!$A188,Sector,'Summarized Source Data'!T$2,TimeOfWeek,$E188)*INDEX(About!P$79:P$82,MATCH($B188,About!$A$79:$A$82,0),1)</f>
        <v>15200000</v>
      </c>
      <c r="U188" s="33">
        <f>SUMIFS(INDEX(Load,,MATCH('Summarized Source Data'!$C188,Hour,0)),Month,'Summarized Source Data'!$A188,Sector,'Summarized Source Data'!U$2,TimeOfWeek,$E188)*INDEX(About!Q$79:Q$82,MATCH($B188,About!$A$79:$A$82,0),1)</f>
        <v>15200000</v>
      </c>
      <c r="V188" s="33">
        <f>SUMIFS(INDEX(Load,,MATCH('Summarized Source Data'!$C188,Hour,0)),Month,'Summarized Source Data'!$A188,Sector,'Summarized Source Data'!V$2,TimeOfWeek,$E188)*INDEX(About!R$79:R$82,MATCH($B188,About!$A$79:$A$82,0),1)</f>
        <v>15200000</v>
      </c>
      <c r="W188" s="33">
        <f>SUMIFS(INDEX(Load,,MATCH('Summarized Source Data'!$C188,Hour,0)),Month,'Summarized Source Data'!$A188,Sector,'Summarized Source Data'!W$2,TimeOfWeek,$E188)*INDEX(About!S$79:S$82,MATCH($B188,About!$A$79:$A$82,0),1)</f>
        <v>15200000</v>
      </c>
      <c r="X188" s="27">
        <f>SUMIFS(INDEX(Load,,MATCH('Summarized Source Data'!$C188,Hour,0)),Month,'Summarized Source Data'!$A188,Sector,'Summarized Source Data'!X$2,Subsector,'Summarized Source Data'!X$3,TimeOfWeek,$E188)*INDEX(About!T$79:T$82,MATCH($B188,About!$A$79:$A$82,0),1)</f>
        <v>680000000</v>
      </c>
      <c r="Y188" s="29">
        <f t="shared" si="14"/>
        <v>680000000</v>
      </c>
      <c r="Z188" s="29">
        <f t="shared" si="14"/>
        <v>680000000</v>
      </c>
    </row>
    <row r="189" spans="1:26" outlineLevel="1" x14ac:dyDescent="0.3">
      <c r="A189">
        <f t="shared" si="10"/>
        <v>8</v>
      </c>
      <c r="B189" t="str">
        <f>INDEX('Category Mapping'!$G$28:$G$39,MATCH(A189,'Category Mapping'!$A$28:$A$39,0),1)</f>
        <v>Summer</v>
      </c>
      <c r="C189" t="s">
        <v>80</v>
      </c>
      <c r="D189" s="6" t="s">
        <v>155</v>
      </c>
      <c r="E189" t="s">
        <v>49</v>
      </c>
      <c r="F189" s="27">
        <f>SUMIFS(INDEX(Load,,MATCH('Summarized Source Data'!$C189,Hour,0)),Month,'Summarized Source Data'!$A189,Sector,'Summarized Source Data'!F$2,Subsector,'Summarized Source Data'!F$3,TimeOfWeek,$E189)*INDEX(About!B$79:B$82,MATCH($B189,About!$A$79:$A$82,0),1)</f>
        <v>81204</v>
      </c>
      <c r="G189" s="27">
        <f>SUMIFS(INDEX(Load,,MATCH('Summarized Source Data'!$C189,Hour,0)),Month,'Summarized Source Data'!$A189,Sector,'Summarized Source Data'!G$2,Subsector,'Summarized Source Data'!G$3,TimeOfWeek,$E189)*INDEX(About!C$79:C$82,MATCH($B189,About!$A$79:$A$82,0),1)</f>
        <v>106000000</v>
      </c>
      <c r="H189" s="27">
        <f>SUMIFS(INDEX(Load,,MATCH('Summarized Source Data'!$C189,Hour,0)),Month,'Summarized Source Data'!$A189,Sector,'Summarized Source Data'!H$2,Subsector,'Summarized Source Data'!H$3,TimeOfWeek,$E189)*INDEX(About!D$79:D$82,MATCH($B189,About!$A$79:$A$82,0),1)</f>
        <v>0</v>
      </c>
      <c r="I189" s="27">
        <f>SUMIFS(INDEX(Load,,MATCH('Summarized Source Data'!$C189,Hour,0)),Month,'Summarized Source Data'!$A189,Sector,'Summarized Source Data'!I$2,Subsector,'Summarized Source Data'!I$3,TimeOfWeek,$E189)*INDEX(About!E$79:E$82,MATCH($B189,About!$A$79:$A$82,0),1)</f>
        <v>18200000</v>
      </c>
      <c r="J189" s="54">
        <f t="shared" si="11"/>
        <v>162718796</v>
      </c>
      <c r="K189" s="27">
        <f>(SUMIFS(INDEX(Load,,MATCH('Summarized Source Data'!$C189,Hour,0)),Month,'Summarized Source Data'!$A189,Sector,'Summarized Source Data'!K$2,Subsector,"Total",TimeOfWeek,$E189)-SUM(F189:I189))*INDEX(About!G$79:G$82,MATCH($B189,About!$A$79:$A$82,0),1)</f>
        <v>162718796</v>
      </c>
      <c r="L189" s="27">
        <f>SUMIFS(INDEX(Load,,MATCH('Summarized Source Data'!$C189,Hour,0)),Month,'Summarized Source Data'!$A189,Sector,'Summarized Source Data'!L$2,Subsector,'Summarized Source Data'!L$3,TimeOfWeek,$E189)*INDEX(About!H$79:H$82,MATCH($B189,About!$A$79:$A$82,0),1)</f>
        <v>207628</v>
      </c>
      <c r="M189" s="27">
        <f>SUMIFS(INDEX(Load,,MATCH('Summarized Source Data'!$C189,Hour,0)),Month,'Summarized Source Data'!$A189,Sector,'Summarized Source Data'!M$2,Subsector,'Summarized Source Data'!M$3,TimeOfWeek,$E189)*INDEX(About!I$79:I$82,MATCH($B189,About!$A$79:$A$82,0),1)</f>
        <v>494000000</v>
      </c>
      <c r="N189" s="27">
        <f>SUMIFS(INDEX(Load,,MATCH('Summarized Source Data'!$C189,Hour,0)),Month,'Summarized Source Data'!$A189,Sector,'Summarized Source Data'!N$2,Subsector,'Summarized Source Data'!N$3,TimeOfWeek,$E189)*INDEX(About!J$79:J$82,MATCH($B189,About!$A$79:$A$82,0),1)</f>
        <v>0</v>
      </c>
      <c r="O189" s="29">
        <f t="shared" si="12"/>
        <v>457792372</v>
      </c>
      <c r="P189" s="27">
        <f>(SUMIFS(INDEX(Load,,MATCH('Summarized Source Data'!$C189,Hour,0)),Month,'Summarized Source Data'!$A189,Sector,'Summarized Source Data'!P$2,Subsector,"Total",TimeOfWeek,$E189)-SUM(L189:N189)*INDEX(About!L$79:L$82,MATCH($B189,About!$A$79:$A$82,0),1))</f>
        <v>457792372</v>
      </c>
      <c r="Q189" s="29">
        <f t="shared" si="13"/>
        <v>457792372</v>
      </c>
      <c r="R189" s="33">
        <f>SUMIFS(INDEX(Load,,MATCH('Summarized Source Data'!$C189,Hour,0)),Month,'Summarized Source Data'!$A189,Sector,'Summarized Source Data'!R$2,TimeOfWeek,$E189)*INDEX(About!N$79:N$82,MATCH($B189,About!$A$79:$A$82,0),1)</f>
        <v>16100000</v>
      </c>
      <c r="S189" s="33">
        <f>SUMIFS(INDEX(Load,,MATCH('Summarized Source Data'!$C189,Hour,0)),Month,'Summarized Source Data'!$A189,Sector,'Summarized Source Data'!S$2,TimeOfWeek,$E189)*INDEX(About!O$79:O$82,MATCH($B189,About!$A$79:$A$82,0),1)</f>
        <v>16100000</v>
      </c>
      <c r="T189" s="33">
        <f>SUMIFS(INDEX(Load,,MATCH('Summarized Source Data'!$C189,Hour,0)),Month,'Summarized Source Data'!$A189,Sector,'Summarized Source Data'!T$2,TimeOfWeek,$E189)*INDEX(About!P$79:P$82,MATCH($B189,About!$A$79:$A$82,0),1)</f>
        <v>16100000</v>
      </c>
      <c r="U189" s="33">
        <f>SUMIFS(INDEX(Load,,MATCH('Summarized Source Data'!$C189,Hour,0)),Month,'Summarized Source Data'!$A189,Sector,'Summarized Source Data'!U$2,TimeOfWeek,$E189)*INDEX(About!Q$79:Q$82,MATCH($B189,About!$A$79:$A$82,0),1)</f>
        <v>16100000</v>
      </c>
      <c r="V189" s="33">
        <f>SUMIFS(INDEX(Load,,MATCH('Summarized Source Data'!$C189,Hour,0)),Month,'Summarized Source Data'!$A189,Sector,'Summarized Source Data'!V$2,TimeOfWeek,$E189)*INDEX(About!R$79:R$82,MATCH($B189,About!$A$79:$A$82,0),1)</f>
        <v>16100000</v>
      </c>
      <c r="W189" s="33">
        <f>SUMIFS(INDEX(Load,,MATCH('Summarized Source Data'!$C189,Hour,0)),Month,'Summarized Source Data'!$A189,Sector,'Summarized Source Data'!W$2,TimeOfWeek,$E189)*INDEX(About!S$79:S$82,MATCH($B189,About!$A$79:$A$82,0),1)</f>
        <v>16100000</v>
      </c>
      <c r="X189" s="27">
        <f>SUMIFS(INDEX(Load,,MATCH('Summarized Source Data'!$C189,Hour,0)),Month,'Summarized Source Data'!$A189,Sector,'Summarized Source Data'!X$2,Subsector,'Summarized Source Data'!X$3,TimeOfWeek,$E189)*INDEX(About!T$79:T$82,MATCH($B189,About!$A$79:$A$82,0),1)</f>
        <v>682000000</v>
      </c>
      <c r="Y189" s="29">
        <f t="shared" si="14"/>
        <v>682000000</v>
      </c>
      <c r="Z189" s="29">
        <f t="shared" si="14"/>
        <v>682000000</v>
      </c>
    </row>
    <row r="190" spans="1:26" outlineLevel="1" x14ac:dyDescent="0.3">
      <c r="A190">
        <f t="shared" si="10"/>
        <v>8</v>
      </c>
      <c r="B190" t="str">
        <f>INDEX('Category Mapping'!$G$28:$G$39,MATCH(A190,'Category Mapping'!$A$28:$A$39,0),1)</f>
        <v>Summer</v>
      </c>
      <c r="C190" t="s">
        <v>81</v>
      </c>
      <c r="D190" s="6" t="s">
        <v>156</v>
      </c>
      <c r="E190" t="s">
        <v>49</v>
      </c>
      <c r="F190" s="27">
        <f>SUMIFS(INDEX(Load,,MATCH('Summarized Source Data'!$C190,Hour,0)),Month,'Summarized Source Data'!$A190,Sector,'Summarized Source Data'!F$2,Subsector,'Summarized Source Data'!F$3,TimeOfWeek,$E190)*INDEX(About!B$79:B$82,MATCH($B190,About!$A$79:$A$82,0),1)</f>
        <v>86052</v>
      </c>
      <c r="G190" s="27">
        <f>SUMIFS(INDEX(Load,,MATCH('Summarized Source Data'!$C190,Hour,0)),Month,'Summarized Source Data'!$A190,Sector,'Summarized Source Data'!G$2,Subsector,'Summarized Source Data'!G$3,TimeOfWeek,$E190)*INDEX(About!C$79:C$82,MATCH($B190,About!$A$79:$A$82,0),1)</f>
        <v>107000000</v>
      </c>
      <c r="H190" s="27">
        <f>SUMIFS(INDEX(Load,,MATCH('Summarized Source Data'!$C190,Hour,0)),Month,'Summarized Source Data'!$A190,Sector,'Summarized Source Data'!H$2,Subsector,'Summarized Source Data'!H$3,TimeOfWeek,$E190)*INDEX(About!D$79:D$82,MATCH($B190,About!$A$79:$A$82,0),1)</f>
        <v>0</v>
      </c>
      <c r="I190" s="27">
        <f>SUMIFS(INDEX(Load,,MATCH('Summarized Source Data'!$C190,Hour,0)),Month,'Summarized Source Data'!$A190,Sector,'Summarized Source Data'!I$2,Subsector,'Summarized Source Data'!I$3,TimeOfWeek,$E190)*INDEX(About!E$79:E$82,MATCH($B190,About!$A$79:$A$82,0),1)</f>
        <v>51000000</v>
      </c>
      <c r="J190" s="54">
        <f t="shared" si="11"/>
        <v>158913948</v>
      </c>
      <c r="K190" s="27">
        <f>(SUMIFS(INDEX(Load,,MATCH('Summarized Source Data'!$C190,Hour,0)),Month,'Summarized Source Data'!$A190,Sector,'Summarized Source Data'!K$2,Subsector,"Total",TimeOfWeek,$E190)-SUM(F190:I190))*INDEX(About!G$79:G$82,MATCH($B190,About!$A$79:$A$82,0),1)</f>
        <v>158913948</v>
      </c>
      <c r="L190" s="27">
        <f>SUMIFS(INDEX(Load,,MATCH('Summarized Source Data'!$C190,Hour,0)),Month,'Summarized Source Data'!$A190,Sector,'Summarized Source Data'!L$2,Subsector,'Summarized Source Data'!L$3,TimeOfWeek,$E190)*INDEX(About!H$79:H$82,MATCH($B190,About!$A$79:$A$82,0),1)</f>
        <v>207628</v>
      </c>
      <c r="M190" s="27">
        <f>SUMIFS(INDEX(Load,,MATCH('Summarized Source Data'!$C190,Hour,0)),Month,'Summarized Source Data'!$A190,Sector,'Summarized Source Data'!M$2,Subsector,'Summarized Source Data'!M$3,TimeOfWeek,$E190)*INDEX(About!I$79:I$82,MATCH($B190,About!$A$79:$A$82,0),1)</f>
        <v>464000000</v>
      </c>
      <c r="N190" s="27">
        <f>SUMIFS(INDEX(Load,,MATCH('Summarized Source Data'!$C190,Hour,0)),Month,'Summarized Source Data'!$A190,Sector,'Summarized Source Data'!N$2,Subsector,'Summarized Source Data'!N$3,TimeOfWeek,$E190)*INDEX(About!J$79:J$82,MATCH($B190,About!$A$79:$A$82,0),1)</f>
        <v>0</v>
      </c>
      <c r="O190" s="29">
        <f t="shared" si="12"/>
        <v>433792372</v>
      </c>
      <c r="P190" s="27">
        <f>(SUMIFS(INDEX(Load,,MATCH('Summarized Source Data'!$C190,Hour,0)),Month,'Summarized Source Data'!$A190,Sector,'Summarized Source Data'!P$2,Subsector,"Total",TimeOfWeek,$E190)-SUM(L190:N190)*INDEX(About!L$79:L$82,MATCH($B190,About!$A$79:$A$82,0),1))</f>
        <v>433792372</v>
      </c>
      <c r="Q190" s="29">
        <f t="shared" si="13"/>
        <v>433792372</v>
      </c>
      <c r="R190" s="33">
        <f>SUMIFS(INDEX(Load,,MATCH('Summarized Source Data'!$C190,Hour,0)),Month,'Summarized Source Data'!$A190,Sector,'Summarized Source Data'!R$2,TimeOfWeek,$E190)*INDEX(About!N$79:N$82,MATCH($B190,About!$A$79:$A$82,0),1)</f>
        <v>14900000</v>
      </c>
      <c r="S190" s="33">
        <f>SUMIFS(INDEX(Load,,MATCH('Summarized Source Data'!$C190,Hour,0)),Month,'Summarized Source Data'!$A190,Sector,'Summarized Source Data'!S$2,TimeOfWeek,$E190)*INDEX(About!O$79:O$82,MATCH($B190,About!$A$79:$A$82,0),1)</f>
        <v>14900000</v>
      </c>
      <c r="T190" s="33">
        <f>SUMIFS(INDEX(Load,,MATCH('Summarized Source Data'!$C190,Hour,0)),Month,'Summarized Source Data'!$A190,Sector,'Summarized Source Data'!T$2,TimeOfWeek,$E190)*INDEX(About!P$79:P$82,MATCH($B190,About!$A$79:$A$82,0),1)</f>
        <v>14900000</v>
      </c>
      <c r="U190" s="33">
        <f>SUMIFS(INDEX(Load,,MATCH('Summarized Source Data'!$C190,Hour,0)),Month,'Summarized Source Data'!$A190,Sector,'Summarized Source Data'!U$2,TimeOfWeek,$E190)*INDEX(About!Q$79:Q$82,MATCH($B190,About!$A$79:$A$82,0),1)</f>
        <v>14900000</v>
      </c>
      <c r="V190" s="33">
        <f>SUMIFS(INDEX(Load,,MATCH('Summarized Source Data'!$C190,Hour,0)),Month,'Summarized Source Data'!$A190,Sector,'Summarized Source Data'!V$2,TimeOfWeek,$E190)*INDEX(About!R$79:R$82,MATCH($B190,About!$A$79:$A$82,0),1)</f>
        <v>14900000</v>
      </c>
      <c r="W190" s="33">
        <f>SUMIFS(INDEX(Load,,MATCH('Summarized Source Data'!$C190,Hour,0)),Month,'Summarized Source Data'!$A190,Sector,'Summarized Source Data'!W$2,TimeOfWeek,$E190)*INDEX(About!S$79:S$82,MATCH($B190,About!$A$79:$A$82,0),1)</f>
        <v>14900000</v>
      </c>
      <c r="X190" s="27">
        <f>SUMIFS(INDEX(Load,,MATCH('Summarized Source Data'!$C190,Hour,0)),Month,'Summarized Source Data'!$A190,Sector,'Summarized Source Data'!X$2,Subsector,'Summarized Source Data'!X$3,TimeOfWeek,$E190)*INDEX(About!T$79:T$82,MATCH($B190,About!$A$79:$A$82,0),1)</f>
        <v>678000000</v>
      </c>
      <c r="Y190" s="29">
        <f t="shared" si="14"/>
        <v>678000000</v>
      </c>
      <c r="Z190" s="29">
        <f t="shared" si="14"/>
        <v>678000000</v>
      </c>
    </row>
    <row r="191" spans="1:26" outlineLevel="1" x14ac:dyDescent="0.3">
      <c r="A191">
        <f t="shared" si="10"/>
        <v>8</v>
      </c>
      <c r="B191" t="str">
        <f>INDEX('Category Mapping'!$G$28:$G$39,MATCH(A191,'Category Mapping'!$A$28:$A$39,0),1)</f>
        <v>Summer</v>
      </c>
      <c r="C191" t="s">
        <v>82</v>
      </c>
      <c r="D191" s="6" t="s">
        <v>157</v>
      </c>
      <c r="E191" t="s">
        <v>49</v>
      </c>
      <c r="F191" s="27">
        <f>SUMIFS(INDEX(Load,,MATCH('Summarized Source Data'!$C191,Hour,0)),Month,'Summarized Source Data'!$A191,Sector,'Summarized Source Data'!F$2,Subsector,'Summarized Source Data'!F$3,TimeOfWeek,$E191)*INDEX(About!B$79:B$82,MATCH($B191,About!$A$79:$A$82,0),1)</f>
        <v>90327</v>
      </c>
      <c r="G191" s="27">
        <f>SUMIFS(INDEX(Load,,MATCH('Summarized Source Data'!$C191,Hour,0)),Month,'Summarized Source Data'!$A191,Sector,'Summarized Source Data'!G$2,Subsector,'Summarized Source Data'!G$3,TimeOfWeek,$E191)*INDEX(About!C$79:C$82,MATCH($B191,About!$A$79:$A$82,0),1)</f>
        <v>105000000</v>
      </c>
      <c r="H191" s="27">
        <f>SUMIFS(INDEX(Load,,MATCH('Summarized Source Data'!$C191,Hour,0)),Month,'Summarized Source Data'!$A191,Sector,'Summarized Source Data'!H$2,Subsector,'Summarized Source Data'!H$3,TimeOfWeek,$E191)*INDEX(About!D$79:D$82,MATCH($B191,About!$A$79:$A$82,0),1)</f>
        <v>0</v>
      </c>
      <c r="I191" s="27">
        <f>SUMIFS(INDEX(Load,,MATCH('Summarized Source Data'!$C191,Hour,0)),Month,'Summarized Source Data'!$A191,Sector,'Summarized Source Data'!I$2,Subsector,'Summarized Source Data'!I$3,TimeOfWeek,$E191)*INDEX(About!E$79:E$82,MATCH($B191,About!$A$79:$A$82,0),1)</f>
        <v>54900000</v>
      </c>
      <c r="J191" s="54">
        <f t="shared" si="11"/>
        <v>151009673</v>
      </c>
      <c r="K191" s="27">
        <f>(SUMIFS(INDEX(Load,,MATCH('Summarized Source Data'!$C191,Hour,0)),Month,'Summarized Source Data'!$A191,Sector,'Summarized Source Data'!K$2,Subsector,"Total",TimeOfWeek,$E191)-SUM(F191:I191))*INDEX(About!G$79:G$82,MATCH($B191,About!$A$79:$A$82,0),1)</f>
        <v>151009673</v>
      </c>
      <c r="L191" s="27">
        <f>SUMIFS(INDEX(Load,,MATCH('Summarized Source Data'!$C191,Hour,0)),Month,'Summarized Source Data'!$A191,Sector,'Summarized Source Data'!L$2,Subsector,'Summarized Source Data'!L$3,TimeOfWeek,$E191)*INDEX(About!H$79:H$82,MATCH($B191,About!$A$79:$A$82,0),1)</f>
        <v>207628</v>
      </c>
      <c r="M191" s="27">
        <f>SUMIFS(INDEX(Load,,MATCH('Summarized Source Data'!$C191,Hour,0)),Month,'Summarized Source Data'!$A191,Sector,'Summarized Source Data'!M$2,Subsector,'Summarized Source Data'!M$3,TimeOfWeek,$E191)*INDEX(About!I$79:I$82,MATCH($B191,About!$A$79:$A$82,0),1)</f>
        <v>425000000</v>
      </c>
      <c r="N191" s="27">
        <f>SUMIFS(INDEX(Load,,MATCH('Summarized Source Data'!$C191,Hour,0)),Month,'Summarized Source Data'!$A191,Sector,'Summarized Source Data'!N$2,Subsector,'Summarized Source Data'!N$3,TimeOfWeek,$E191)*INDEX(About!J$79:J$82,MATCH($B191,About!$A$79:$A$82,0),1)</f>
        <v>0</v>
      </c>
      <c r="O191" s="29">
        <f t="shared" si="12"/>
        <v>362792372</v>
      </c>
      <c r="P191" s="27">
        <f>(SUMIFS(INDEX(Load,,MATCH('Summarized Source Data'!$C191,Hour,0)),Month,'Summarized Source Data'!$A191,Sector,'Summarized Source Data'!P$2,Subsector,"Total",TimeOfWeek,$E191)-SUM(L191:N191)*INDEX(About!L$79:L$82,MATCH($B191,About!$A$79:$A$82,0),1))</f>
        <v>362792372</v>
      </c>
      <c r="Q191" s="29">
        <f t="shared" si="13"/>
        <v>362792372</v>
      </c>
      <c r="R191" s="33">
        <f>SUMIFS(INDEX(Load,,MATCH('Summarized Source Data'!$C191,Hour,0)),Month,'Summarized Source Data'!$A191,Sector,'Summarized Source Data'!R$2,TimeOfWeek,$E191)*INDEX(About!N$79:N$82,MATCH($B191,About!$A$79:$A$82,0),1)</f>
        <v>12100000</v>
      </c>
      <c r="S191" s="33">
        <f>SUMIFS(INDEX(Load,,MATCH('Summarized Source Data'!$C191,Hour,0)),Month,'Summarized Source Data'!$A191,Sector,'Summarized Source Data'!S$2,TimeOfWeek,$E191)*INDEX(About!O$79:O$82,MATCH($B191,About!$A$79:$A$82,0),1)</f>
        <v>12100000</v>
      </c>
      <c r="T191" s="33">
        <f>SUMIFS(INDEX(Load,,MATCH('Summarized Source Data'!$C191,Hour,0)),Month,'Summarized Source Data'!$A191,Sector,'Summarized Source Data'!T$2,TimeOfWeek,$E191)*INDEX(About!P$79:P$82,MATCH($B191,About!$A$79:$A$82,0),1)</f>
        <v>12100000</v>
      </c>
      <c r="U191" s="33">
        <f>SUMIFS(INDEX(Load,,MATCH('Summarized Source Data'!$C191,Hour,0)),Month,'Summarized Source Data'!$A191,Sector,'Summarized Source Data'!U$2,TimeOfWeek,$E191)*INDEX(About!Q$79:Q$82,MATCH($B191,About!$A$79:$A$82,0),1)</f>
        <v>12100000</v>
      </c>
      <c r="V191" s="33">
        <f>SUMIFS(INDEX(Load,,MATCH('Summarized Source Data'!$C191,Hour,0)),Month,'Summarized Source Data'!$A191,Sector,'Summarized Source Data'!V$2,TimeOfWeek,$E191)*INDEX(About!R$79:R$82,MATCH($B191,About!$A$79:$A$82,0),1)</f>
        <v>12100000</v>
      </c>
      <c r="W191" s="33">
        <f>SUMIFS(INDEX(Load,,MATCH('Summarized Source Data'!$C191,Hour,0)),Month,'Summarized Source Data'!$A191,Sector,'Summarized Source Data'!W$2,TimeOfWeek,$E191)*INDEX(About!S$79:S$82,MATCH($B191,About!$A$79:$A$82,0),1)</f>
        <v>12100000</v>
      </c>
      <c r="X191" s="27">
        <f>SUMIFS(INDEX(Load,,MATCH('Summarized Source Data'!$C191,Hour,0)),Month,'Summarized Source Data'!$A191,Sector,'Summarized Source Data'!X$2,Subsector,'Summarized Source Data'!X$3,TimeOfWeek,$E191)*INDEX(About!T$79:T$82,MATCH($B191,About!$A$79:$A$82,0),1)</f>
        <v>673000000</v>
      </c>
      <c r="Y191" s="29">
        <f t="shared" si="14"/>
        <v>673000000</v>
      </c>
      <c r="Z191" s="29">
        <f t="shared" si="14"/>
        <v>673000000</v>
      </c>
    </row>
    <row r="192" spans="1:26" outlineLevel="1" x14ac:dyDescent="0.3">
      <c r="A192">
        <f t="shared" si="10"/>
        <v>8</v>
      </c>
      <c r="B192" t="str">
        <f>INDEX('Category Mapping'!$G$28:$G$39,MATCH(A192,'Category Mapping'!$A$28:$A$39,0),1)</f>
        <v>Summer</v>
      </c>
      <c r="C192" t="s">
        <v>83</v>
      </c>
      <c r="D192" s="6" t="s">
        <v>158</v>
      </c>
      <c r="E192" t="s">
        <v>49</v>
      </c>
      <c r="F192" s="27">
        <f>SUMIFS(INDEX(Load,,MATCH('Summarized Source Data'!$C192,Hour,0)),Month,'Summarized Source Data'!$A192,Sector,'Summarized Source Data'!F$2,Subsector,'Summarized Source Data'!F$3,TimeOfWeek,$E192)*INDEX(About!B$79:B$82,MATCH($B192,About!$A$79:$A$82,0),1)</f>
        <v>91274</v>
      </c>
      <c r="G192" s="27">
        <f>SUMIFS(INDEX(Load,,MATCH('Summarized Source Data'!$C192,Hour,0)),Month,'Summarized Source Data'!$A192,Sector,'Summarized Source Data'!G$2,Subsector,'Summarized Source Data'!G$3,TimeOfWeek,$E192)*INDEX(About!C$79:C$82,MATCH($B192,About!$A$79:$A$82,0),1)</f>
        <v>98000000</v>
      </c>
      <c r="H192" s="27">
        <f>SUMIFS(INDEX(Load,,MATCH('Summarized Source Data'!$C192,Hour,0)),Month,'Summarized Source Data'!$A192,Sector,'Summarized Source Data'!H$2,Subsector,'Summarized Source Data'!H$3,TimeOfWeek,$E192)*INDEX(About!D$79:D$82,MATCH($B192,About!$A$79:$A$82,0),1)</f>
        <v>0</v>
      </c>
      <c r="I192" s="27">
        <f>SUMIFS(INDEX(Load,,MATCH('Summarized Source Data'!$C192,Hour,0)),Month,'Summarized Source Data'!$A192,Sector,'Summarized Source Data'!I$2,Subsector,'Summarized Source Data'!I$3,TimeOfWeek,$E192)*INDEX(About!E$79:E$82,MATCH($B192,About!$A$79:$A$82,0),1)</f>
        <v>55800000</v>
      </c>
      <c r="J192" s="54">
        <f t="shared" si="11"/>
        <v>148108726</v>
      </c>
      <c r="K192" s="27">
        <f>(SUMIFS(INDEX(Load,,MATCH('Summarized Source Data'!$C192,Hour,0)),Month,'Summarized Source Data'!$A192,Sector,'Summarized Source Data'!K$2,Subsector,"Total",TimeOfWeek,$E192)-SUM(F192:I192))*INDEX(About!G$79:G$82,MATCH($B192,About!$A$79:$A$82,0),1)</f>
        <v>148108726</v>
      </c>
      <c r="L192" s="27">
        <f>SUMIFS(INDEX(Load,,MATCH('Summarized Source Data'!$C192,Hour,0)),Month,'Summarized Source Data'!$A192,Sector,'Summarized Source Data'!L$2,Subsector,'Summarized Source Data'!L$3,TimeOfWeek,$E192)*INDEX(About!H$79:H$82,MATCH($B192,About!$A$79:$A$82,0),1)</f>
        <v>207628</v>
      </c>
      <c r="M192" s="27">
        <f>SUMIFS(INDEX(Load,,MATCH('Summarized Source Data'!$C192,Hour,0)),Month,'Summarized Source Data'!$A192,Sector,'Summarized Source Data'!M$2,Subsector,'Summarized Source Data'!M$3,TimeOfWeek,$E192)*INDEX(About!I$79:I$82,MATCH($B192,About!$A$79:$A$82,0),1)</f>
        <v>388000000</v>
      </c>
      <c r="N192" s="27">
        <f>SUMIFS(INDEX(Load,,MATCH('Summarized Source Data'!$C192,Hour,0)),Month,'Summarized Source Data'!$A192,Sector,'Summarized Source Data'!N$2,Subsector,'Summarized Source Data'!N$3,TimeOfWeek,$E192)*INDEX(About!J$79:J$82,MATCH($B192,About!$A$79:$A$82,0),1)</f>
        <v>0</v>
      </c>
      <c r="O192" s="29">
        <f t="shared" si="12"/>
        <v>300792372</v>
      </c>
      <c r="P192" s="27">
        <f>(SUMIFS(INDEX(Load,,MATCH('Summarized Source Data'!$C192,Hour,0)),Month,'Summarized Source Data'!$A192,Sector,'Summarized Source Data'!P$2,Subsector,"Total",TimeOfWeek,$E192)-SUM(L192:N192)*INDEX(About!L$79:L$82,MATCH($B192,About!$A$79:$A$82,0),1))</f>
        <v>300792372</v>
      </c>
      <c r="Q192" s="29">
        <f t="shared" si="13"/>
        <v>300792372</v>
      </c>
      <c r="R192" s="33">
        <f>SUMIFS(INDEX(Load,,MATCH('Summarized Source Data'!$C192,Hour,0)),Month,'Summarized Source Data'!$A192,Sector,'Summarized Source Data'!R$2,TimeOfWeek,$E192)*INDEX(About!N$79:N$82,MATCH($B192,About!$A$79:$A$82,0),1)</f>
        <v>11000000</v>
      </c>
      <c r="S192" s="33">
        <f>SUMIFS(INDEX(Load,,MATCH('Summarized Source Data'!$C192,Hour,0)),Month,'Summarized Source Data'!$A192,Sector,'Summarized Source Data'!S$2,TimeOfWeek,$E192)*INDEX(About!O$79:O$82,MATCH($B192,About!$A$79:$A$82,0),1)</f>
        <v>11000000</v>
      </c>
      <c r="T192" s="33">
        <f>SUMIFS(INDEX(Load,,MATCH('Summarized Source Data'!$C192,Hour,0)),Month,'Summarized Source Data'!$A192,Sector,'Summarized Source Data'!T$2,TimeOfWeek,$E192)*INDEX(About!P$79:P$82,MATCH($B192,About!$A$79:$A$82,0),1)</f>
        <v>11000000</v>
      </c>
      <c r="U192" s="33">
        <f>SUMIFS(INDEX(Load,,MATCH('Summarized Source Data'!$C192,Hour,0)),Month,'Summarized Source Data'!$A192,Sector,'Summarized Source Data'!U$2,TimeOfWeek,$E192)*INDEX(About!Q$79:Q$82,MATCH($B192,About!$A$79:$A$82,0),1)</f>
        <v>11000000</v>
      </c>
      <c r="V192" s="33">
        <f>SUMIFS(INDEX(Load,,MATCH('Summarized Source Data'!$C192,Hour,0)),Month,'Summarized Source Data'!$A192,Sector,'Summarized Source Data'!V$2,TimeOfWeek,$E192)*INDEX(About!R$79:R$82,MATCH($B192,About!$A$79:$A$82,0),1)</f>
        <v>11000000</v>
      </c>
      <c r="W192" s="33">
        <f>SUMIFS(INDEX(Load,,MATCH('Summarized Source Data'!$C192,Hour,0)),Month,'Summarized Source Data'!$A192,Sector,'Summarized Source Data'!W$2,TimeOfWeek,$E192)*INDEX(About!S$79:S$82,MATCH($B192,About!$A$79:$A$82,0),1)</f>
        <v>11000000</v>
      </c>
      <c r="X192" s="27">
        <f>SUMIFS(INDEX(Load,,MATCH('Summarized Source Data'!$C192,Hour,0)),Month,'Summarized Source Data'!$A192,Sector,'Summarized Source Data'!X$2,Subsector,'Summarized Source Data'!X$3,TimeOfWeek,$E192)*INDEX(About!T$79:T$82,MATCH($B192,About!$A$79:$A$82,0),1)</f>
        <v>669000000</v>
      </c>
      <c r="Y192" s="29">
        <f t="shared" si="14"/>
        <v>669000000</v>
      </c>
      <c r="Z192" s="29">
        <f t="shared" si="14"/>
        <v>669000000</v>
      </c>
    </row>
    <row r="193" spans="1:26" outlineLevel="1" x14ac:dyDescent="0.3">
      <c r="A193">
        <f t="shared" si="10"/>
        <v>8</v>
      </c>
      <c r="B193" t="str">
        <f>INDEX('Category Mapping'!$G$28:$G$39,MATCH(A193,'Category Mapping'!$A$28:$A$39,0),1)</f>
        <v>Summer</v>
      </c>
      <c r="C193" t="s">
        <v>84</v>
      </c>
      <c r="D193" s="6" t="s">
        <v>159</v>
      </c>
      <c r="E193" t="s">
        <v>49</v>
      </c>
      <c r="F193" s="27">
        <f>SUMIFS(INDEX(Load,,MATCH('Summarized Source Data'!$C193,Hour,0)),Month,'Summarized Source Data'!$A193,Sector,'Summarized Source Data'!F$2,Subsector,'Summarized Source Data'!F$3,TimeOfWeek,$E193)*INDEX(About!B$79:B$82,MATCH($B193,About!$A$79:$A$82,0),1)</f>
        <v>80185</v>
      </c>
      <c r="G193" s="27">
        <f>SUMIFS(INDEX(Load,,MATCH('Summarized Source Data'!$C193,Hour,0)),Month,'Summarized Source Data'!$A193,Sector,'Summarized Source Data'!G$2,Subsector,'Summarized Source Data'!G$3,TimeOfWeek,$E193)*INDEX(About!C$79:C$82,MATCH($B193,About!$A$79:$A$82,0),1)</f>
        <v>88400000</v>
      </c>
      <c r="H193" s="27">
        <f>SUMIFS(INDEX(Load,,MATCH('Summarized Source Data'!$C193,Hour,0)),Month,'Summarized Source Data'!$A193,Sector,'Summarized Source Data'!H$2,Subsector,'Summarized Source Data'!H$3,TimeOfWeek,$E193)*INDEX(About!D$79:D$82,MATCH($B193,About!$A$79:$A$82,0),1)</f>
        <v>0</v>
      </c>
      <c r="I193" s="27">
        <f>SUMIFS(INDEX(Load,,MATCH('Summarized Source Data'!$C193,Hour,0)),Month,'Summarized Source Data'!$A193,Sector,'Summarized Source Data'!I$2,Subsector,'Summarized Source Data'!I$3,TimeOfWeek,$E193)*INDEX(About!E$79:E$82,MATCH($B193,About!$A$79:$A$82,0),1)</f>
        <v>45600000</v>
      </c>
      <c r="J193" s="54">
        <f t="shared" si="11"/>
        <v>145919815</v>
      </c>
      <c r="K193" s="27">
        <f>(SUMIFS(INDEX(Load,,MATCH('Summarized Source Data'!$C193,Hour,0)),Month,'Summarized Source Data'!$A193,Sector,'Summarized Source Data'!K$2,Subsector,"Total",TimeOfWeek,$E193)-SUM(F193:I193))*INDEX(About!G$79:G$82,MATCH($B193,About!$A$79:$A$82,0),1)</f>
        <v>145919815</v>
      </c>
      <c r="L193" s="27">
        <f>SUMIFS(INDEX(Load,,MATCH('Summarized Source Data'!$C193,Hour,0)),Month,'Summarized Source Data'!$A193,Sector,'Summarized Source Data'!L$2,Subsector,'Summarized Source Data'!L$3,TimeOfWeek,$E193)*INDEX(About!H$79:H$82,MATCH($B193,About!$A$79:$A$82,0),1)</f>
        <v>207628</v>
      </c>
      <c r="M193" s="27">
        <f>SUMIFS(INDEX(Load,,MATCH('Summarized Source Data'!$C193,Hour,0)),Month,'Summarized Source Data'!$A193,Sector,'Summarized Source Data'!M$2,Subsector,'Summarized Source Data'!M$3,TimeOfWeek,$E193)*INDEX(About!I$79:I$82,MATCH($B193,About!$A$79:$A$82,0),1)</f>
        <v>350000000</v>
      </c>
      <c r="N193" s="27">
        <f>SUMIFS(INDEX(Load,,MATCH('Summarized Source Data'!$C193,Hour,0)),Month,'Summarized Source Data'!$A193,Sector,'Summarized Source Data'!N$2,Subsector,'Summarized Source Data'!N$3,TimeOfWeek,$E193)*INDEX(About!J$79:J$82,MATCH($B193,About!$A$79:$A$82,0),1)</f>
        <v>0</v>
      </c>
      <c r="O193" s="29">
        <f t="shared" si="12"/>
        <v>244792372</v>
      </c>
      <c r="P193" s="27">
        <f>(SUMIFS(INDEX(Load,,MATCH('Summarized Source Data'!$C193,Hour,0)),Month,'Summarized Source Data'!$A193,Sector,'Summarized Source Data'!P$2,Subsector,"Total",TimeOfWeek,$E193)-SUM(L193:N193)*INDEX(About!L$79:L$82,MATCH($B193,About!$A$79:$A$82,0),1))</f>
        <v>244792372</v>
      </c>
      <c r="Q193" s="29">
        <f t="shared" si="13"/>
        <v>244792372</v>
      </c>
      <c r="R193" s="33">
        <f>SUMIFS(INDEX(Load,,MATCH('Summarized Source Data'!$C193,Hour,0)),Month,'Summarized Source Data'!$A193,Sector,'Summarized Source Data'!R$2,TimeOfWeek,$E193)*INDEX(About!N$79:N$82,MATCH($B193,About!$A$79:$A$82,0),1)</f>
        <v>10300000</v>
      </c>
      <c r="S193" s="33">
        <f>SUMIFS(INDEX(Load,,MATCH('Summarized Source Data'!$C193,Hour,0)),Month,'Summarized Source Data'!$A193,Sector,'Summarized Source Data'!S$2,TimeOfWeek,$E193)*INDEX(About!O$79:O$82,MATCH($B193,About!$A$79:$A$82,0),1)</f>
        <v>10300000</v>
      </c>
      <c r="T193" s="33">
        <f>SUMIFS(INDEX(Load,,MATCH('Summarized Source Data'!$C193,Hour,0)),Month,'Summarized Source Data'!$A193,Sector,'Summarized Source Data'!T$2,TimeOfWeek,$E193)*INDEX(About!P$79:P$82,MATCH($B193,About!$A$79:$A$82,0),1)</f>
        <v>10300000</v>
      </c>
      <c r="U193" s="33">
        <f>SUMIFS(INDEX(Load,,MATCH('Summarized Source Data'!$C193,Hour,0)),Month,'Summarized Source Data'!$A193,Sector,'Summarized Source Data'!U$2,TimeOfWeek,$E193)*INDEX(About!Q$79:Q$82,MATCH($B193,About!$A$79:$A$82,0),1)</f>
        <v>10300000</v>
      </c>
      <c r="V193" s="33">
        <f>SUMIFS(INDEX(Load,,MATCH('Summarized Source Data'!$C193,Hour,0)),Month,'Summarized Source Data'!$A193,Sector,'Summarized Source Data'!V$2,TimeOfWeek,$E193)*INDEX(About!R$79:R$82,MATCH($B193,About!$A$79:$A$82,0),1)</f>
        <v>10300000</v>
      </c>
      <c r="W193" s="33">
        <f>SUMIFS(INDEX(Load,,MATCH('Summarized Source Data'!$C193,Hour,0)),Month,'Summarized Source Data'!$A193,Sector,'Summarized Source Data'!W$2,TimeOfWeek,$E193)*INDEX(About!S$79:S$82,MATCH($B193,About!$A$79:$A$82,0),1)</f>
        <v>10300000</v>
      </c>
      <c r="X193" s="27">
        <f>SUMIFS(INDEX(Load,,MATCH('Summarized Source Data'!$C193,Hour,0)),Month,'Summarized Source Data'!$A193,Sector,'Summarized Source Data'!X$2,Subsector,'Summarized Source Data'!X$3,TimeOfWeek,$E193)*INDEX(About!T$79:T$82,MATCH($B193,About!$A$79:$A$82,0),1)</f>
        <v>663000000</v>
      </c>
      <c r="Y193" s="29">
        <f t="shared" si="14"/>
        <v>663000000</v>
      </c>
      <c r="Z193" s="29">
        <f t="shared" si="14"/>
        <v>663000000</v>
      </c>
    </row>
    <row r="194" spans="1:26" outlineLevel="1" x14ac:dyDescent="0.3">
      <c r="A194">
        <f t="shared" si="10"/>
        <v>8</v>
      </c>
      <c r="B194" t="str">
        <f>INDEX('Category Mapping'!$G$28:$G$39,MATCH(A194,'Category Mapping'!$A$28:$A$39,0),1)</f>
        <v>Summer</v>
      </c>
      <c r="C194" t="s">
        <v>85</v>
      </c>
      <c r="D194" s="6" t="s">
        <v>160</v>
      </c>
      <c r="E194" t="s">
        <v>49</v>
      </c>
      <c r="F194" s="27">
        <f>SUMIFS(INDEX(Load,,MATCH('Summarized Source Data'!$C194,Hour,0)),Month,'Summarized Source Data'!$A194,Sector,'Summarized Source Data'!F$2,Subsector,'Summarized Source Data'!F$3,TimeOfWeek,$E194)*INDEX(About!B$79:B$82,MATCH($B194,About!$A$79:$A$82,0),1)</f>
        <v>59872</v>
      </c>
      <c r="G194" s="27">
        <f>SUMIFS(INDEX(Load,,MATCH('Summarized Source Data'!$C194,Hour,0)),Month,'Summarized Source Data'!$A194,Sector,'Summarized Source Data'!G$2,Subsector,'Summarized Source Data'!G$3,TimeOfWeek,$E194)*INDEX(About!C$79:C$82,MATCH($B194,About!$A$79:$A$82,0),1)</f>
        <v>77000000</v>
      </c>
      <c r="H194" s="27">
        <f>SUMIFS(INDEX(Load,,MATCH('Summarized Source Data'!$C194,Hour,0)),Month,'Summarized Source Data'!$A194,Sector,'Summarized Source Data'!H$2,Subsector,'Summarized Source Data'!H$3,TimeOfWeek,$E194)*INDEX(About!D$79:D$82,MATCH($B194,About!$A$79:$A$82,0),1)</f>
        <v>0</v>
      </c>
      <c r="I194" s="27">
        <f>SUMIFS(INDEX(Load,,MATCH('Summarized Source Data'!$C194,Hour,0)),Month,'Summarized Source Data'!$A194,Sector,'Summarized Source Data'!I$2,Subsector,'Summarized Source Data'!I$3,TimeOfWeek,$E194)*INDEX(About!E$79:E$82,MATCH($B194,About!$A$79:$A$82,0),1)</f>
        <v>27100000</v>
      </c>
      <c r="J194" s="54">
        <f t="shared" si="11"/>
        <v>114840128</v>
      </c>
      <c r="K194" s="27">
        <f>(SUMIFS(INDEX(Load,,MATCH('Summarized Source Data'!$C194,Hour,0)),Month,'Summarized Source Data'!$A194,Sector,'Summarized Source Data'!K$2,Subsector,"Total",TimeOfWeek,$E194)-SUM(F194:I194))*INDEX(About!G$79:G$82,MATCH($B194,About!$A$79:$A$82,0),1)</f>
        <v>114840128</v>
      </c>
      <c r="L194" s="27">
        <f>SUMIFS(INDEX(Load,,MATCH('Summarized Source Data'!$C194,Hour,0)),Month,'Summarized Source Data'!$A194,Sector,'Summarized Source Data'!L$2,Subsector,'Summarized Source Data'!L$3,TimeOfWeek,$E194)*INDEX(About!H$79:H$82,MATCH($B194,About!$A$79:$A$82,0),1)</f>
        <v>207628</v>
      </c>
      <c r="M194" s="27">
        <f>SUMIFS(INDEX(Load,,MATCH('Summarized Source Data'!$C194,Hour,0)),Month,'Summarized Source Data'!$A194,Sector,'Summarized Source Data'!M$2,Subsector,'Summarized Source Data'!M$3,TimeOfWeek,$E194)*INDEX(About!I$79:I$82,MATCH($B194,About!$A$79:$A$82,0),1)</f>
        <v>312000000</v>
      </c>
      <c r="N194" s="27">
        <f>SUMIFS(INDEX(Load,,MATCH('Summarized Source Data'!$C194,Hour,0)),Month,'Summarized Source Data'!$A194,Sector,'Summarized Source Data'!N$2,Subsector,'Summarized Source Data'!N$3,TimeOfWeek,$E194)*INDEX(About!J$79:J$82,MATCH($B194,About!$A$79:$A$82,0),1)</f>
        <v>0</v>
      </c>
      <c r="O194" s="29">
        <f t="shared" si="12"/>
        <v>205792372</v>
      </c>
      <c r="P194" s="27">
        <f>(SUMIFS(INDEX(Load,,MATCH('Summarized Source Data'!$C194,Hour,0)),Month,'Summarized Source Data'!$A194,Sector,'Summarized Source Data'!P$2,Subsector,"Total",TimeOfWeek,$E194)-SUM(L194:N194)*INDEX(About!L$79:L$82,MATCH($B194,About!$A$79:$A$82,0),1))</f>
        <v>205792372</v>
      </c>
      <c r="Q194" s="29">
        <f t="shared" si="13"/>
        <v>205792372</v>
      </c>
      <c r="R194" s="33">
        <f>SUMIFS(INDEX(Load,,MATCH('Summarized Source Data'!$C194,Hour,0)),Month,'Summarized Source Data'!$A194,Sector,'Summarized Source Data'!R$2,TimeOfWeek,$E194)*INDEX(About!N$79:N$82,MATCH($B194,About!$A$79:$A$82,0),1)</f>
        <v>9668711</v>
      </c>
      <c r="S194" s="33">
        <f>SUMIFS(INDEX(Load,,MATCH('Summarized Source Data'!$C194,Hour,0)),Month,'Summarized Source Data'!$A194,Sector,'Summarized Source Data'!S$2,TimeOfWeek,$E194)*INDEX(About!O$79:O$82,MATCH($B194,About!$A$79:$A$82,0),1)</f>
        <v>9668711</v>
      </c>
      <c r="T194" s="33">
        <f>SUMIFS(INDEX(Load,,MATCH('Summarized Source Data'!$C194,Hour,0)),Month,'Summarized Source Data'!$A194,Sector,'Summarized Source Data'!T$2,TimeOfWeek,$E194)*INDEX(About!P$79:P$82,MATCH($B194,About!$A$79:$A$82,0),1)</f>
        <v>9668711</v>
      </c>
      <c r="U194" s="33">
        <f>SUMIFS(INDEX(Load,,MATCH('Summarized Source Data'!$C194,Hour,0)),Month,'Summarized Source Data'!$A194,Sector,'Summarized Source Data'!U$2,TimeOfWeek,$E194)*INDEX(About!Q$79:Q$82,MATCH($B194,About!$A$79:$A$82,0),1)</f>
        <v>9668711</v>
      </c>
      <c r="V194" s="33">
        <f>SUMIFS(INDEX(Load,,MATCH('Summarized Source Data'!$C194,Hour,0)),Month,'Summarized Source Data'!$A194,Sector,'Summarized Source Data'!V$2,TimeOfWeek,$E194)*INDEX(About!R$79:R$82,MATCH($B194,About!$A$79:$A$82,0),1)</f>
        <v>9668711</v>
      </c>
      <c r="W194" s="33">
        <f>SUMIFS(INDEX(Load,,MATCH('Summarized Source Data'!$C194,Hour,0)),Month,'Summarized Source Data'!$A194,Sector,'Summarized Source Data'!W$2,TimeOfWeek,$E194)*INDEX(About!S$79:S$82,MATCH($B194,About!$A$79:$A$82,0),1)</f>
        <v>9668711</v>
      </c>
      <c r="X194" s="27">
        <f>SUMIFS(INDEX(Load,,MATCH('Summarized Source Data'!$C194,Hour,0)),Month,'Summarized Source Data'!$A194,Sector,'Summarized Source Data'!X$2,Subsector,'Summarized Source Data'!X$3,TimeOfWeek,$E194)*INDEX(About!T$79:T$82,MATCH($B194,About!$A$79:$A$82,0),1)</f>
        <v>657000000</v>
      </c>
      <c r="Y194" s="29">
        <f t="shared" si="14"/>
        <v>657000000</v>
      </c>
      <c r="Z194" s="29">
        <f t="shared" si="14"/>
        <v>657000000</v>
      </c>
    </row>
    <row r="195" spans="1:26" outlineLevel="1" x14ac:dyDescent="0.3">
      <c r="A195">
        <f t="shared" si="10"/>
        <v>8</v>
      </c>
      <c r="B195" t="str">
        <f>INDEX('Category Mapping'!$G$28:$G$39,MATCH(A195,'Category Mapping'!$A$28:$A$39,0),1)</f>
        <v>Summer</v>
      </c>
      <c r="C195" t="s">
        <v>86</v>
      </c>
      <c r="D195" s="6" t="s">
        <v>161</v>
      </c>
      <c r="E195" t="s">
        <v>49</v>
      </c>
      <c r="F195" s="27">
        <f>SUMIFS(INDEX(Load,,MATCH('Summarized Source Data'!$C195,Hour,0)),Month,'Summarized Source Data'!$A195,Sector,'Summarized Source Data'!F$2,Subsector,'Summarized Source Data'!F$3,TimeOfWeek,$E195)*INDEX(About!B$79:B$82,MATCH($B195,About!$A$79:$A$82,0),1)</f>
        <v>53554</v>
      </c>
      <c r="G195" s="27">
        <f>SUMIFS(INDEX(Load,,MATCH('Summarized Source Data'!$C195,Hour,0)),Month,'Summarized Source Data'!$A195,Sector,'Summarized Source Data'!G$2,Subsector,'Summarized Source Data'!G$3,TimeOfWeek,$E195)*INDEX(About!C$79:C$82,MATCH($B195,About!$A$79:$A$82,0),1)</f>
        <v>65800000</v>
      </c>
      <c r="H195" s="27">
        <f>SUMIFS(INDEX(Load,,MATCH('Summarized Source Data'!$C195,Hour,0)),Month,'Summarized Source Data'!$A195,Sector,'Summarized Source Data'!H$2,Subsector,'Summarized Source Data'!H$3,TimeOfWeek,$E195)*INDEX(About!D$79:D$82,MATCH($B195,About!$A$79:$A$82,0),1)</f>
        <v>0</v>
      </c>
      <c r="I195" s="27">
        <f>SUMIFS(INDEX(Load,,MATCH('Summarized Source Data'!$C195,Hour,0)),Month,'Summarized Source Data'!$A195,Sector,'Summarized Source Data'!I$2,Subsector,'Summarized Source Data'!I$3,TimeOfWeek,$E195)*INDEX(About!E$79:E$82,MATCH($B195,About!$A$79:$A$82,0),1)</f>
        <v>14300000</v>
      </c>
      <c r="J195" s="54">
        <f t="shared" si="11"/>
        <v>91846446</v>
      </c>
      <c r="K195" s="27">
        <f>(SUMIFS(INDEX(Load,,MATCH('Summarized Source Data'!$C195,Hour,0)),Month,'Summarized Source Data'!$A195,Sector,'Summarized Source Data'!K$2,Subsector,"Total",TimeOfWeek,$E195)-SUM(F195:I195))*INDEX(About!G$79:G$82,MATCH($B195,About!$A$79:$A$82,0),1)</f>
        <v>91846446</v>
      </c>
      <c r="L195" s="27">
        <f>SUMIFS(INDEX(Load,,MATCH('Summarized Source Data'!$C195,Hour,0)),Month,'Summarized Source Data'!$A195,Sector,'Summarized Source Data'!L$2,Subsector,'Summarized Source Data'!L$3,TimeOfWeek,$E195)*INDEX(About!H$79:H$82,MATCH($B195,About!$A$79:$A$82,0),1)</f>
        <v>207628</v>
      </c>
      <c r="M195" s="27">
        <f>SUMIFS(INDEX(Load,,MATCH('Summarized Source Data'!$C195,Hour,0)),Month,'Summarized Source Data'!$A195,Sector,'Summarized Source Data'!M$2,Subsector,'Summarized Source Data'!M$3,TimeOfWeek,$E195)*INDEX(About!I$79:I$82,MATCH($B195,About!$A$79:$A$82,0),1)</f>
        <v>270000000</v>
      </c>
      <c r="N195" s="27">
        <f>SUMIFS(INDEX(Load,,MATCH('Summarized Source Data'!$C195,Hour,0)),Month,'Summarized Source Data'!$A195,Sector,'Summarized Source Data'!N$2,Subsector,'Summarized Source Data'!N$3,TimeOfWeek,$E195)*INDEX(About!J$79:J$82,MATCH($B195,About!$A$79:$A$82,0),1)</f>
        <v>0</v>
      </c>
      <c r="O195" s="29">
        <f t="shared" si="12"/>
        <v>179792372</v>
      </c>
      <c r="P195" s="27">
        <f>(SUMIFS(INDEX(Load,,MATCH('Summarized Source Data'!$C195,Hour,0)),Month,'Summarized Source Data'!$A195,Sector,'Summarized Source Data'!P$2,Subsector,"Total",TimeOfWeek,$E195)-SUM(L195:N195)*INDEX(About!L$79:L$82,MATCH($B195,About!$A$79:$A$82,0),1))</f>
        <v>179792372</v>
      </c>
      <c r="Q195" s="29">
        <f t="shared" si="13"/>
        <v>179792372</v>
      </c>
      <c r="R195" s="33">
        <f>SUMIFS(INDEX(Load,,MATCH('Summarized Source Data'!$C195,Hour,0)),Month,'Summarized Source Data'!$A195,Sector,'Summarized Source Data'!R$2,TimeOfWeek,$E195)*INDEX(About!N$79:N$82,MATCH($B195,About!$A$79:$A$82,0),1)</f>
        <v>6510796</v>
      </c>
      <c r="S195" s="33">
        <f>SUMIFS(INDEX(Load,,MATCH('Summarized Source Data'!$C195,Hour,0)),Month,'Summarized Source Data'!$A195,Sector,'Summarized Source Data'!S$2,TimeOfWeek,$E195)*INDEX(About!O$79:O$82,MATCH($B195,About!$A$79:$A$82,0),1)</f>
        <v>6510796</v>
      </c>
      <c r="T195" s="33">
        <f>SUMIFS(INDEX(Load,,MATCH('Summarized Source Data'!$C195,Hour,0)),Month,'Summarized Source Data'!$A195,Sector,'Summarized Source Data'!T$2,TimeOfWeek,$E195)*INDEX(About!P$79:P$82,MATCH($B195,About!$A$79:$A$82,0),1)</f>
        <v>6510796</v>
      </c>
      <c r="U195" s="33">
        <f>SUMIFS(INDEX(Load,,MATCH('Summarized Source Data'!$C195,Hour,0)),Month,'Summarized Source Data'!$A195,Sector,'Summarized Source Data'!U$2,TimeOfWeek,$E195)*INDEX(About!Q$79:Q$82,MATCH($B195,About!$A$79:$A$82,0),1)</f>
        <v>6510796</v>
      </c>
      <c r="V195" s="33">
        <f>SUMIFS(INDEX(Load,,MATCH('Summarized Source Data'!$C195,Hour,0)),Month,'Summarized Source Data'!$A195,Sector,'Summarized Source Data'!V$2,TimeOfWeek,$E195)*INDEX(About!R$79:R$82,MATCH($B195,About!$A$79:$A$82,0),1)</f>
        <v>6510796</v>
      </c>
      <c r="W195" s="33">
        <f>SUMIFS(INDEX(Load,,MATCH('Summarized Source Data'!$C195,Hour,0)),Month,'Summarized Source Data'!$A195,Sector,'Summarized Source Data'!W$2,TimeOfWeek,$E195)*INDEX(About!S$79:S$82,MATCH($B195,About!$A$79:$A$82,0),1)</f>
        <v>6510796</v>
      </c>
      <c r="X195" s="27">
        <f>SUMIFS(INDEX(Load,,MATCH('Summarized Source Data'!$C195,Hour,0)),Month,'Summarized Source Data'!$A195,Sector,'Summarized Source Data'!X$2,Subsector,'Summarized Source Data'!X$3,TimeOfWeek,$E195)*INDEX(About!T$79:T$82,MATCH($B195,About!$A$79:$A$82,0),1)</f>
        <v>653000000</v>
      </c>
      <c r="Y195" s="29">
        <f t="shared" si="14"/>
        <v>653000000</v>
      </c>
      <c r="Z195" s="29">
        <f t="shared" si="14"/>
        <v>653000000</v>
      </c>
    </row>
    <row r="196" spans="1:26" outlineLevel="1" x14ac:dyDescent="0.3">
      <c r="A196">
        <f t="shared" si="10"/>
        <v>9</v>
      </c>
      <c r="B196" t="str">
        <f>INDEX('Category Mapping'!$G$28:$G$39,MATCH(A196,'Category Mapping'!$A$28:$A$39,0),1)</f>
        <v>Fall</v>
      </c>
      <c r="C196" t="s">
        <v>63</v>
      </c>
      <c r="D196" s="6" t="s">
        <v>138</v>
      </c>
      <c r="E196" t="s">
        <v>49</v>
      </c>
      <c r="F196" s="27">
        <f>SUMIFS(INDEX(Load,,MATCH('Summarized Source Data'!$C196,Hour,0)),Month,'Summarized Source Data'!$A196,Sector,'Summarized Source Data'!F$2,Subsector,'Summarized Source Data'!F$3,TimeOfWeek,$E196)*INDEX(About!B$79:B$82,MATCH($B196,About!$A$79:$A$82,0),1)</f>
        <v>530600</v>
      </c>
      <c r="G196" s="27">
        <f>SUMIFS(INDEX(Load,,MATCH('Summarized Source Data'!$C196,Hour,0)),Month,'Summarized Source Data'!$A196,Sector,'Summarized Source Data'!G$2,Subsector,'Summarized Source Data'!G$3,TimeOfWeek,$E196)*INDEX(About!C$79:C$82,MATCH($B196,About!$A$79:$A$82,0),1)</f>
        <v>2827273</v>
      </c>
      <c r="H196" s="27">
        <f>SUMIFS(INDEX(Load,,MATCH('Summarized Source Data'!$C196,Hour,0)),Month,'Summarized Source Data'!$A196,Sector,'Summarized Source Data'!H$2,Subsector,'Summarized Source Data'!H$3,TimeOfWeek,$E196)*INDEX(About!D$79:D$82,MATCH($B196,About!$A$79:$A$82,0),1)</f>
        <v>0</v>
      </c>
      <c r="I196" s="27">
        <f>SUMIFS(INDEX(Load,,MATCH('Summarized Source Data'!$C196,Hour,0)),Month,'Summarized Source Data'!$A196,Sector,'Summarized Source Data'!I$2,Subsector,'Summarized Source Data'!I$3,TimeOfWeek,$E196)*INDEX(About!E$79:E$82,MATCH($B196,About!$A$79:$A$82,0),1)</f>
        <v>10600000</v>
      </c>
      <c r="J196" s="54">
        <f t="shared" si="11"/>
        <v>72442127</v>
      </c>
      <c r="K196" s="27">
        <f>(SUMIFS(INDEX(Load,,MATCH('Summarized Source Data'!$C196,Hour,0)),Month,'Summarized Source Data'!$A196,Sector,'Summarized Source Data'!K$2,Subsector,"Total",TimeOfWeek,$E196)-SUM(F196:I196))*INDEX(About!G$79:G$82,MATCH($B196,About!$A$79:$A$82,0),1)</f>
        <v>72442127</v>
      </c>
      <c r="L196" s="27">
        <f>SUMIFS(INDEX(Load,,MATCH('Summarized Source Data'!$C196,Hour,0)),Month,'Summarized Source Data'!$A196,Sector,'Summarized Source Data'!L$2,Subsector,'Summarized Source Data'!L$3,TimeOfWeek,$E196)*INDEX(About!H$79:H$82,MATCH($B196,About!$A$79:$A$82,0),1)</f>
        <v>2929728</v>
      </c>
      <c r="M196" s="27">
        <f>SUMIFS(INDEX(Load,,MATCH('Summarized Source Data'!$C196,Hour,0)),Month,'Summarized Source Data'!$A196,Sector,'Summarized Source Data'!M$2,Subsector,'Summarized Source Data'!M$3,TimeOfWeek,$E196)*INDEX(About!I$79:I$82,MATCH($B196,About!$A$79:$A$82,0),1)</f>
        <v>53900000</v>
      </c>
      <c r="N196" s="27">
        <f>SUMIFS(INDEX(Load,,MATCH('Summarized Source Data'!$C196,Hour,0)),Month,'Summarized Source Data'!$A196,Sector,'Summarized Source Data'!N$2,Subsector,'Summarized Source Data'!N$3,TimeOfWeek,$E196)*INDEX(About!J$79:J$82,MATCH($B196,About!$A$79:$A$82,0),1)</f>
        <v>0</v>
      </c>
      <c r="O196" s="29">
        <f t="shared" si="12"/>
        <v>151170272</v>
      </c>
      <c r="P196" s="27">
        <f>(SUMIFS(INDEX(Load,,MATCH('Summarized Source Data'!$C196,Hour,0)),Month,'Summarized Source Data'!$A196,Sector,'Summarized Source Data'!P$2,Subsector,"Total",TimeOfWeek,$E196)-SUM(L196:N196)*INDEX(About!L$79:L$82,MATCH($B196,About!$A$79:$A$82,0),1))</f>
        <v>151170272</v>
      </c>
      <c r="Q196" s="29">
        <f t="shared" si="13"/>
        <v>151170272</v>
      </c>
      <c r="R196" s="33">
        <f>SUMIFS(INDEX(Load,,MATCH('Summarized Source Data'!$C196,Hour,0)),Month,'Summarized Source Data'!$A196,Sector,'Summarized Source Data'!R$2,TimeOfWeek,$E196)*INDEX(About!N$79:N$82,MATCH($B196,About!$A$79:$A$82,0),1)</f>
        <v>4594915</v>
      </c>
      <c r="S196" s="33">
        <f>SUMIFS(INDEX(Load,,MATCH('Summarized Source Data'!$C196,Hour,0)),Month,'Summarized Source Data'!$A196,Sector,'Summarized Source Data'!S$2,TimeOfWeek,$E196)*INDEX(About!O$79:O$82,MATCH($B196,About!$A$79:$A$82,0),1)</f>
        <v>4594915</v>
      </c>
      <c r="T196" s="33">
        <f>SUMIFS(INDEX(Load,,MATCH('Summarized Source Data'!$C196,Hour,0)),Month,'Summarized Source Data'!$A196,Sector,'Summarized Source Data'!T$2,TimeOfWeek,$E196)*INDEX(About!P$79:P$82,MATCH($B196,About!$A$79:$A$82,0),1)</f>
        <v>4594915</v>
      </c>
      <c r="U196" s="33">
        <f>SUMIFS(INDEX(Load,,MATCH('Summarized Source Data'!$C196,Hour,0)),Month,'Summarized Source Data'!$A196,Sector,'Summarized Source Data'!U$2,TimeOfWeek,$E196)*INDEX(About!Q$79:Q$82,MATCH($B196,About!$A$79:$A$82,0),1)</f>
        <v>4594915</v>
      </c>
      <c r="V196" s="33">
        <f>SUMIFS(INDEX(Load,,MATCH('Summarized Source Data'!$C196,Hour,0)),Month,'Summarized Source Data'!$A196,Sector,'Summarized Source Data'!V$2,TimeOfWeek,$E196)*INDEX(About!R$79:R$82,MATCH($B196,About!$A$79:$A$82,0),1)</f>
        <v>4594915</v>
      </c>
      <c r="W196" s="33">
        <f>SUMIFS(INDEX(Load,,MATCH('Summarized Source Data'!$C196,Hour,0)),Month,'Summarized Source Data'!$A196,Sector,'Summarized Source Data'!W$2,TimeOfWeek,$E196)*INDEX(About!S$79:S$82,MATCH($B196,About!$A$79:$A$82,0),1)</f>
        <v>4594915</v>
      </c>
      <c r="X196" s="27">
        <f>SUMIFS(INDEX(Load,,MATCH('Summarized Source Data'!$C196,Hour,0)),Month,'Summarized Source Data'!$A196,Sector,'Summarized Source Data'!X$2,Subsector,'Summarized Source Data'!X$3,TimeOfWeek,$E196)*INDEX(About!T$79:T$82,MATCH($B196,About!$A$79:$A$82,0),1)</f>
        <v>657000000</v>
      </c>
      <c r="Y196" s="29">
        <f t="shared" si="14"/>
        <v>657000000</v>
      </c>
      <c r="Z196" s="29">
        <f t="shared" si="14"/>
        <v>657000000</v>
      </c>
    </row>
    <row r="197" spans="1:26" outlineLevel="1" x14ac:dyDescent="0.3">
      <c r="A197">
        <f t="shared" ref="A197:A260" si="15">ROUNDUP(ROW(A194)/24,0)</f>
        <v>9</v>
      </c>
      <c r="B197" t="str">
        <f>INDEX('Category Mapping'!$G$28:$G$39,MATCH(A197,'Category Mapping'!$A$28:$A$39,0),1)</f>
        <v>Fall</v>
      </c>
      <c r="C197" t="s">
        <v>64</v>
      </c>
      <c r="D197" s="6" t="s">
        <v>139</v>
      </c>
      <c r="E197" t="s">
        <v>49</v>
      </c>
      <c r="F197" s="27">
        <f>SUMIFS(INDEX(Load,,MATCH('Summarized Source Data'!$C197,Hour,0)),Month,'Summarized Source Data'!$A197,Sector,'Summarized Source Data'!F$2,Subsector,'Summarized Source Data'!F$3,TimeOfWeek,$E197)*INDEX(About!B$79:B$82,MATCH($B197,About!$A$79:$A$82,0),1)</f>
        <v>530600</v>
      </c>
      <c r="G197" s="27">
        <f>SUMIFS(INDEX(Load,,MATCH('Summarized Source Data'!$C197,Hour,0)),Month,'Summarized Source Data'!$A197,Sector,'Summarized Source Data'!G$2,Subsector,'Summarized Source Data'!G$3,TimeOfWeek,$E197)*INDEX(About!C$79:C$82,MATCH($B197,About!$A$79:$A$82,0),1)</f>
        <v>2549733</v>
      </c>
      <c r="H197" s="27">
        <f>SUMIFS(INDEX(Load,,MATCH('Summarized Source Data'!$C197,Hour,0)),Month,'Summarized Source Data'!$A197,Sector,'Summarized Source Data'!H$2,Subsector,'Summarized Source Data'!H$3,TimeOfWeek,$E197)*INDEX(About!D$79:D$82,MATCH($B197,About!$A$79:$A$82,0),1)</f>
        <v>0</v>
      </c>
      <c r="I197" s="27">
        <f>SUMIFS(INDEX(Load,,MATCH('Summarized Source Data'!$C197,Hour,0)),Month,'Summarized Source Data'!$A197,Sector,'Summarized Source Data'!I$2,Subsector,'Summarized Source Data'!I$3,TimeOfWeek,$E197)*INDEX(About!E$79:E$82,MATCH($B197,About!$A$79:$A$82,0),1)</f>
        <v>9779567</v>
      </c>
      <c r="J197" s="54">
        <f t="shared" ref="J197:J260" si="16">K197</f>
        <v>52440100</v>
      </c>
      <c r="K197" s="27">
        <f>(SUMIFS(INDEX(Load,,MATCH('Summarized Source Data'!$C197,Hour,0)),Month,'Summarized Source Data'!$A197,Sector,'Summarized Source Data'!K$2,Subsector,"Total",TimeOfWeek,$E197)-SUM(F197:I197))*INDEX(About!G$79:G$82,MATCH($B197,About!$A$79:$A$82,0),1)</f>
        <v>52440100</v>
      </c>
      <c r="L197" s="27">
        <f>SUMIFS(INDEX(Load,,MATCH('Summarized Source Data'!$C197,Hour,0)),Month,'Summarized Source Data'!$A197,Sector,'Summarized Source Data'!L$2,Subsector,'Summarized Source Data'!L$3,TimeOfWeek,$E197)*INDEX(About!H$79:H$82,MATCH($B197,About!$A$79:$A$82,0),1)</f>
        <v>2850955</v>
      </c>
      <c r="M197" s="27">
        <f>SUMIFS(INDEX(Load,,MATCH('Summarized Source Data'!$C197,Hour,0)),Month,'Summarized Source Data'!$A197,Sector,'Summarized Source Data'!M$2,Subsector,'Summarized Source Data'!M$3,TimeOfWeek,$E197)*INDEX(About!I$79:I$82,MATCH($B197,About!$A$79:$A$82,0),1)</f>
        <v>50700000</v>
      </c>
      <c r="N197" s="27">
        <f>SUMIFS(INDEX(Load,,MATCH('Summarized Source Data'!$C197,Hour,0)),Month,'Summarized Source Data'!$A197,Sector,'Summarized Source Data'!N$2,Subsector,'Summarized Source Data'!N$3,TimeOfWeek,$E197)*INDEX(About!J$79:J$82,MATCH($B197,About!$A$79:$A$82,0),1)</f>
        <v>0</v>
      </c>
      <c r="O197" s="29">
        <f t="shared" ref="O197:O260" si="17">P197</f>
        <v>149449045</v>
      </c>
      <c r="P197" s="27">
        <f>(SUMIFS(INDEX(Load,,MATCH('Summarized Source Data'!$C197,Hour,0)),Month,'Summarized Source Data'!$A197,Sector,'Summarized Source Data'!P$2,Subsector,"Total",TimeOfWeek,$E197)-SUM(L197:N197)*INDEX(About!L$79:L$82,MATCH($B197,About!$A$79:$A$82,0),1))</f>
        <v>149449045</v>
      </c>
      <c r="Q197" s="29">
        <f t="shared" ref="Q197:Q260" si="18">P197</f>
        <v>149449045</v>
      </c>
      <c r="R197" s="33">
        <f>SUMIFS(INDEX(Load,,MATCH('Summarized Source Data'!$C197,Hour,0)),Month,'Summarized Source Data'!$A197,Sector,'Summarized Source Data'!R$2,TimeOfWeek,$E197)*INDEX(About!N$79:N$82,MATCH($B197,About!$A$79:$A$82,0),1)</f>
        <v>4527095</v>
      </c>
      <c r="S197" s="33">
        <f>SUMIFS(INDEX(Load,,MATCH('Summarized Source Data'!$C197,Hour,0)),Month,'Summarized Source Data'!$A197,Sector,'Summarized Source Data'!S$2,TimeOfWeek,$E197)*INDEX(About!O$79:O$82,MATCH($B197,About!$A$79:$A$82,0),1)</f>
        <v>4527095</v>
      </c>
      <c r="T197" s="33">
        <f>SUMIFS(INDEX(Load,,MATCH('Summarized Source Data'!$C197,Hour,0)),Month,'Summarized Source Data'!$A197,Sector,'Summarized Source Data'!T$2,TimeOfWeek,$E197)*INDEX(About!P$79:P$82,MATCH($B197,About!$A$79:$A$82,0),1)</f>
        <v>4527095</v>
      </c>
      <c r="U197" s="33">
        <f>SUMIFS(INDEX(Load,,MATCH('Summarized Source Data'!$C197,Hour,0)),Month,'Summarized Source Data'!$A197,Sector,'Summarized Source Data'!U$2,TimeOfWeek,$E197)*INDEX(About!Q$79:Q$82,MATCH($B197,About!$A$79:$A$82,0),1)</f>
        <v>4527095</v>
      </c>
      <c r="V197" s="33">
        <f>SUMIFS(INDEX(Load,,MATCH('Summarized Source Data'!$C197,Hour,0)),Month,'Summarized Source Data'!$A197,Sector,'Summarized Source Data'!V$2,TimeOfWeek,$E197)*INDEX(About!R$79:R$82,MATCH($B197,About!$A$79:$A$82,0),1)</f>
        <v>4527095</v>
      </c>
      <c r="W197" s="33">
        <f>SUMIFS(INDEX(Load,,MATCH('Summarized Source Data'!$C197,Hour,0)),Month,'Summarized Source Data'!$A197,Sector,'Summarized Source Data'!W$2,TimeOfWeek,$E197)*INDEX(About!S$79:S$82,MATCH($B197,About!$A$79:$A$82,0),1)</f>
        <v>4527095</v>
      </c>
      <c r="X197" s="27">
        <f>SUMIFS(INDEX(Load,,MATCH('Summarized Source Data'!$C197,Hour,0)),Month,'Summarized Source Data'!$A197,Sector,'Summarized Source Data'!X$2,Subsector,'Summarized Source Data'!X$3,TimeOfWeek,$E197)*INDEX(About!T$79:T$82,MATCH($B197,About!$A$79:$A$82,0),1)</f>
        <v>656000000</v>
      </c>
      <c r="Y197" s="29">
        <f t="shared" ref="Y197:Z260" si="19">$X197</f>
        <v>656000000</v>
      </c>
      <c r="Z197" s="29">
        <f t="shared" si="19"/>
        <v>656000000</v>
      </c>
    </row>
    <row r="198" spans="1:26" outlineLevel="1" x14ac:dyDescent="0.3">
      <c r="A198">
        <f t="shared" si="15"/>
        <v>9</v>
      </c>
      <c r="B198" t="str">
        <f>INDEX('Category Mapping'!$G$28:$G$39,MATCH(A198,'Category Mapping'!$A$28:$A$39,0),1)</f>
        <v>Fall</v>
      </c>
      <c r="C198" t="s">
        <v>65</v>
      </c>
      <c r="D198" s="6" t="s">
        <v>140</v>
      </c>
      <c r="E198" t="s">
        <v>49</v>
      </c>
      <c r="F198" s="27">
        <f>SUMIFS(INDEX(Load,,MATCH('Summarized Source Data'!$C198,Hour,0)),Month,'Summarized Source Data'!$A198,Sector,'Summarized Source Data'!F$2,Subsector,'Summarized Source Data'!F$3,TimeOfWeek,$E198)*INDEX(About!B$79:B$82,MATCH($B198,About!$A$79:$A$82,0),1)</f>
        <v>530600</v>
      </c>
      <c r="G198" s="27">
        <f>SUMIFS(INDEX(Load,,MATCH('Summarized Source Data'!$C198,Hour,0)),Month,'Summarized Source Data'!$A198,Sector,'Summarized Source Data'!G$2,Subsector,'Summarized Source Data'!G$3,TimeOfWeek,$E198)*INDEX(About!C$79:C$82,MATCH($B198,About!$A$79:$A$82,0),1)</f>
        <v>2460053</v>
      </c>
      <c r="H198" s="27">
        <f>SUMIFS(INDEX(Load,,MATCH('Summarized Source Data'!$C198,Hour,0)),Month,'Summarized Source Data'!$A198,Sector,'Summarized Source Data'!H$2,Subsector,'Summarized Source Data'!H$3,TimeOfWeek,$E198)*INDEX(About!D$79:D$82,MATCH($B198,About!$A$79:$A$82,0),1)</f>
        <v>0</v>
      </c>
      <c r="I198" s="27">
        <f>SUMIFS(INDEX(Load,,MATCH('Summarized Source Data'!$C198,Hour,0)),Month,'Summarized Source Data'!$A198,Sector,'Summarized Source Data'!I$2,Subsector,'Summarized Source Data'!I$3,TimeOfWeek,$E198)*INDEX(About!E$79:E$82,MATCH($B198,About!$A$79:$A$82,0),1)</f>
        <v>9683599</v>
      </c>
      <c r="J198" s="54">
        <f t="shared" si="16"/>
        <v>41925748</v>
      </c>
      <c r="K198" s="27">
        <f>(SUMIFS(INDEX(Load,,MATCH('Summarized Source Data'!$C198,Hour,0)),Month,'Summarized Source Data'!$A198,Sector,'Summarized Source Data'!K$2,Subsector,"Total",TimeOfWeek,$E198)-SUM(F198:I198))*INDEX(About!G$79:G$82,MATCH($B198,About!$A$79:$A$82,0),1)</f>
        <v>41925748</v>
      </c>
      <c r="L198" s="27">
        <f>SUMIFS(INDEX(Load,,MATCH('Summarized Source Data'!$C198,Hour,0)),Month,'Summarized Source Data'!$A198,Sector,'Summarized Source Data'!L$2,Subsector,'Summarized Source Data'!L$3,TimeOfWeek,$E198)*INDEX(About!H$79:H$82,MATCH($B198,About!$A$79:$A$82,0),1)</f>
        <v>2910694</v>
      </c>
      <c r="M198" s="27">
        <f>SUMIFS(INDEX(Load,,MATCH('Summarized Source Data'!$C198,Hour,0)),Month,'Summarized Source Data'!$A198,Sector,'Summarized Source Data'!M$2,Subsector,'Summarized Source Data'!M$3,TimeOfWeek,$E198)*INDEX(About!I$79:I$82,MATCH($B198,About!$A$79:$A$82,0),1)</f>
        <v>49400000</v>
      </c>
      <c r="N198" s="27">
        <f>SUMIFS(INDEX(Load,,MATCH('Summarized Source Data'!$C198,Hour,0)),Month,'Summarized Source Data'!$A198,Sector,'Summarized Source Data'!N$2,Subsector,'Summarized Source Data'!N$3,TimeOfWeek,$E198)*INDEX(About!J$79:J$82,MATCH($B198,About!$A$79:$A$82,0),1)</f>
        <v>0</v>
      </c>
      <c r="O198" s="29">
        <f t="shared" si="17"/>
        <v>148689306</v>
      </c>
      <c r="P198" s="27">
        <f>(SUMIFS(INDEX(Load,,MATCH('Summarized Source Data'!$C198,Hour,0)),Month,'Summarized Source Data'!$A198,Sector,'Summarized Source Data'!P$2,Subsector,"Total",TimeOfWeek,$E198)-SUM(L198:N198)*INDEX(About!L$79:L$82,MATCH($B198,About!$A$79:$A$82,0),1))</f>
        <v>148689306</v>
      </c>
      <c r="Q198" s="29">
        <f t="shared" si="18"/>
        <v>148689306</v>
      </c>
      <c r="R198" s="33">
        <f>SUMIFS(INDEX(Load,,MATCH('Summarized Source Data'!$C198,Hour,0)),Month,'Summarized Source Data'!$A198,Sector,'Summarized Source Data'!R$2,TimeOfWeek,$E198)*INDEX(About!N$79:N$82,MATCH($B198,About!$A$79:$A$82,0),1)</f>
        <v>4509677</v>
      </c>
      <c r="S198" s="33">
        <f>SUMIFS(INDEX(Load,,MATCH('Summarized Source Data'!$C198,Hour,0)),Month,'Summarized Source Data'!$A198,Sector,'Summarized Source Data'!S$2,TimeOfWeek,$E198)*INDEX(About!O$79:O$82,MATCH($B198,About!$A$79:$A$82,0),1)</f>
        <v>4509677</v>
      </c>
      <c r="T198" s="33">
        <f>SUMIFS(INDEX(Load,,MATCH('Summarized Source Data'!$C198,Hour,0)),Month,'Summarized Source Data'!$A198,Sector,'Summarized Source Data'!T$2,TimeOfWeek,$E198)*INDEX(About!P$79:P$82,MATCH($B198,About!$A$79:$A$82,0),1)</f>
        <v>4509677</v>
      </c>
      <c r="U198" s="33">
        <f>SUMIFS(INDEX(Load,,MATCH('Summarized Source Data'!$C198,Hour,0)),Month,'Summarized Source Data'!$A198,Sector,'Summarized Source Data'!U$2,TimeOfWeek,$E198)*INDEX(About!Q$79:Q$82,MATCH($B198,About!$A$79:$A$82,0),1)</f>
        <v>4509677</v>
      </c>
      <c r="V198" s="33">
        <f>SUMIFS(INDEX(Load,,MATCH('Summarized Source Data'!$C198,Hour,0)),Month,'Summarized Source Data'!$A198,Sector,'Summarized Source Data'!V$2,TimeOfWeek,$E198)*INDEX(About!R$79:R$82,MATCH($B198,About!$A$79:$A$82,0),1)</f>
        <v>4509677</v>
      </c>
      <c r="W198" s="33">
        <f>SUMIFS(INDEX(Load,,MATCH('Summarized Source Data'!$C198,Hour,0)),Month,'Summarized Source Data'!$A198,Sector,'Summarized Source Data'!W$2,TimeOfWeek,$E198)*INDEX(About!S$79:S$82,MATCH($B198,About!$A$79:$A$82,0),1)</f>
        <v>4509677</v>
      </c>
      <c r="X198" s="27">
        <f>SUMIFS(INDEX(Load,,MATCH('Summarized Source Data'!$C198,Hour,0)),Month,'Summarized Source Data'!$A198,Sector,'Summarized Source Data'!X$2,Subsector,'Summarized Source Data'!X$3,TimeOfWeek,$E198)*INDEX(About!T$79:T$82,MATCH($B198,About!$A$79:$A$82,0),1)</f>
        <v>655000000</v>
      </c>
      <c r="Y198" s="29">
        <f t="shared" si="19"/>
        <v>655000000</v>
      </c>
      <c r="Z198" s="29">
        <f t="shared" si="19"/>
        <v>655000000</v>
      </c>
    </row>
    <row r="199" spans="1:26" outlineLevel="1" x14ac:dyDescent="0.3">
      <c r="A199">
        <f t="shared" si="15"/>
        <v>9</v>
      </c>
      <c r="B199" t="str">
        <f>INDEX('Category Mapping'!$G$28:$G$39,MATCH(A199,'Category Mapping'!$A$28:$A$39,0),1)</f>
        <v>Fall</v>
      </c>
      <c r="C199" t="s">
        <v>66</v>
      </c>
      <c r="D199" s="6" t="s">
        <v>141</v>
      </c>
      <c r="E199" t="s">
        <v>49</v>
      </c>
      <c r="F199" s="27">
        <f>SUMIFS(INDEX(Load,,MATCH('Summarized Source Data'!$C199,Hour,0)),Month,'Summarized Source Data'!$A199,Sector,'Summarized Source Data'!F$2,Subsector,'Summarized Source Data'!F$3,TimeOfWeek,$E199)*INDEX(About!B$79:B$82,MATCH($B199,About!$A$79:$A$82,0),1)</f>
        <v>530600</v>
      </c>
      <c r="G199" s="27">
        <f>SUMIFS(INDEX(Load,,MATCH('Summarized Source Data'!$C199,Hour,0)),Month,'Summarized Source Data'!$A199,Sector,'Summarized Source Data'!G$2,Subsector,'Summarized Source Data'!G$3,TimeOfWeek,$E199)*INDEX(About!C$79:C$82,MATCH($B199,About!$A$79:$A$82,0),1)</f>
        <v>2560917</v>
      </c>
      <c r="H199" s="27">
        <f>SUMIFS(INDEX(Load,,MATCH('Summarized Source Data'!$C199,Hour,0)),Month,'Summarized Source Data'!$A199,Sector,'Summarized Source Data'!H$2,Subsector,'Summarized Source Data'!H$3,TimeOfWeek,$E199)*INDEX(About!D$79:D$82,MATCH($B199,About!$A$79:$A$82,0),1)</f>
        <v>0</v>
      </c>
      <c r="I199" s="27">
        <f>SUMIFS(INDEX(Load,,MATCH('Summarized Source Data'!$C199,Hour,0)),Month,'Summarized Source Data'!$A199,Sector,'Summarized Source Data'!I$2,Subsector,'Summarized Source Data'!I$3,TimeOfWeek,$E199)*INDEX(About!E$79:E$82,MATCH($B199,About!$A$79:$A$82,0),1)</f>
        <v>9899472</v>
      </c>
      <c r="J199" s="54">
        <f t="shared" si="16"/>
        <v>36209011</v>
      </c>
      <c r="K199" s="27">
        <f>(SUMIFS(INDEX(Load,,MATCH('Summarized Source Data'!$C199,Hour,0)),Month,'Summarized Source Data'!$A199,Sector,'Summarized Source Data'!K$2,Subsector,"Total",TimeOfWeek,$E199)-SUM(F199:I199))*INDEX(About!G$79:G$82,MATCH($B199,About!$A$79:$A$82,0),1)</f>
        <v>36209011</v>
      </c>
      <c r="L199" s="27">
        <f>SUMIFS(INDEX(Load,,MATCH('Summarized Source Data'!$C199,Hour,0)),Month,'Summarized Source Data'!$A199,Sector,'Summarized Source Data'!L$2,Subsector,'Summarized Source Data'!L$3,TimeOfWeek,$E199)*INDEX(About!H$79:H$82,MATCH($B199,About!$A$79:$A$82,0),1)</f>
        <v>2966623</v>
      </c>
      <c r="M199" s="27">
        <f>SUMIFS(INDEX(Load,,MATCH('Summarized Source Data'!$C199,Hour,0)),Month,'Summarized Source Data'!$A199,Sector,'Summarized Source Data'!M$2,Subsector,'Summarized Source Data'!M$3,TimeOfWeek,$E199)*INDEX(About!I$79:I$82,MATCH($B199,About!$A$79:$A$82,0),1)</f>
        <v>48800000</v>
      </c>
      <c r="N199" s="27">
        <f>SUMIFS(INDEX(Load,,MATCH('Summarized Source Data'!$C199,Hour,0)),Month,'Summarized Source Data'!$A199,Sector,'Summarized Source Data'!N$2,Subsector,'Summarized Source Data'!N$3,TimeOfWeek,$E199)*INDEX(About!J$79:J$82,MATCH($B199,About!$A$79:$A$82,0),1)</f>
        <v>0</v>
      </c>
      <c r="O199" s="29">
        <f t="shared" si="17"/>
        <v>155233377</v>
      </c>
      <c r="P199" s="27">
        <f>(SUMIFS(INDEX(Load,,MATCH('Summarized Source Data'!$C199,Hour,0)),Month,'Summarized Source Data'!$A199,Sector,'Summarized Source Data'!P$2,Subsector,"Total",TimeOfWeek,$E199)-SUM(L199:N199)*INDEX(About!L$79:L$82,MATCH($B199,About!$A$79:$A$82,0),1))</f>
        <v>155233377</v>
      </c>
      <c r="Q199" s="29">
        <f t="shared" si="18"/>
        <v>155233377</v>
      </c>
      <c r="R199" s="33">
        <f>SUMIFS(INDEX(Load,,MATCH('Summarized Source Data'!$C199,Hour,0)),Month,'Summarized Source Data'!$A199,Sector,'Summarized Source Data'!R$2,TimeOfWeek,$E199)*INDEX(About!N$79:N$82,MATCH($B199,About!$A$79:$A$82,0),1)</f>
        <v>4525713</v>
      </c>
      <c r="S199" s="33">
        <f>SUMIFS(INDEX(Load,,MATCH('Summarized Source Data'!$C199,Hour,0)),Month,'Summarized Source Data'!$A199,Sector,'Summarized Source Data'!S$2,TimeOfWeek,$E199)*INDEX(About!O$79:O$82,MATCH($B199,About!$A$79:$A$82,0),1)</f>
        <v>4525713</v>
      </c>
      <c r="T199" s="33">
        <f>SUMIFS(INDEX(Load,,MATCH('Summarized Source Data'!$C199,Hour,0)),Month,'Summarized Source Data'!$A199,Sector,'Summarized Source Data'!T$2,TimeOfWeek,$E199)*INDEX(About!P$79:P$82,MATCH($B199,About!$A$79:$A$82,0),1)</f>
        <v>4525713</v>
      </c>
      <c r="U199" s="33">
        <f>SUMIFS(INDEX(Load,,MATCH('Summarized Source Data'!$C199,Hour,0)),Month,'Summarized Source Data'!$A199,Sector,'Summarized Source Data'!U$2,TimeOfWeek,$E199)*INDEX(About!Q$79:Q$82,MATCH($B199,About!$A$79:$A$82,0),1)</f>
        <v>4525713</v>
      </c>
      <c r="V199" s="33">
        <f>SUMIFS(INDEX(Load,,MATCH('Summarized Source Data'!$C199,Hour,0)),Month,'Summarized Source Data'!$A199,Sector,'Summarized Source Data'!V$2,TimeOfWeek,$E199)*INDEX(About!R$79:R$82,MATCH($B199,About!$A$79:$A$82,0),1)</f>
        <v>4525713</v>
      </c>
      <c r="W199" s="33">
        <f>SUMIFS(INDEX(Load,,MATCH('Summarized Source Data'!$C199,Hour,0)),Month,'Summarized Source Data'!$A199,Sector,'Summarized Source Data'!W$2,TimeOfWeek,$E199)*INDEX(About!S$79:S$82,MATCH($B199,About!$A$79:$A$82,0),1)</f>
        <v>4525713</v>
      </c>
      <c r="X199" s="27">
        <f>SUMIFS(INDEX(Load,,MATCH('Summarized Source Data'!$C199,Hour,0)),Month,'Summarized Source Data'!$A199,Sector,'Summarized Source Data'!X$2,Subsector,'Summarized Source Data'!X$3,TimeOfWeek,$E199)*INDEX(About!T$79:T$82,MATCH($B199,About!$A$79:$A$82,0),1)</f>
        <v>656000000</v>
      </c>
      <c r="Y199" s="29">
        <f t="shared" si="19"/>
        <v>656000000</v>
      </c>
      <c r="Z199" s="29">
        <f t="shared" si="19"/>
        <v>656000000</v>
      </c>
    </row>
    <row r="200" spans="1:26" outlineLevel="1" x14ac:dyDescent="0.3">
      <c r="A200">
        <f t="shared" si="15"/>
        <v>9</v>
      </c>
      <c r="B200" t="str">
        <f>INDEX('Category Mapping'!$G$28:$G$39,MATCH(A200,'Category Mapping'!$A$28:$A$39,0),1)</f>
        <v>Fall</v>
      </c>
      <c r="C200" t="s">
        <v>67</v>
      </c>
      <c r="D200" s="6" t="s">
        <v>142</v>
      </c>
      <c r="E200" t="s">
        <v>49</v>
      </c>
      <c r="F200" s="27">
        <f>SUMIFS(INDEX(Load,,MATCH('Summarized Source Data'!$C200,Hour,0)),Month,'Summarized Source Data'!$A200,Sector,'Summarized Source Data'!F$2,Subsector,'Summarized Source Data'!F$3,TimeOfWeek,$E200)*INDEX(About!B$79:B$82,MATCH($B200,About!$A$79:$A$82,0),1)</f>
        <v>530600</v>
      </c>
      <c r="G200" s="27">
        <f>SUMIFS(INDEX(Load,,MATCH('Summarized Source Data'!$C200,Hour,0)),Month,'Summarized Source Data'!$A200,Sector,'Summarized Source Data'!G$2,Subsector,'Summarized Source Data'!G$3,TimeOfWeek,$E200)*INDEX(About!C$79:C$82,MATCH($B200,About!$A$79:$A$82,0),1)</f>
        <v>2783391</v>
      </c>
      <c r="H200" s="27">
        <f>SUMIFS(INDEX(Load,,MATCH('Summarized Source Data'!$C200,Hour,0)),Month,'Summarized Source Data'!$A200,Sector,'Summarized Source Data'!H$2,Subsector,'Summarized Source Data'!H$3,TimeOfWeek,$E200)*INDEX(About!D$79:D$82,MATCH($B200,About!$A$79:$A$82,0),1)</f>
        <v>0</v>
      </c>
      <c r="I200" s="27">
        <f>SUMIFS(INDEX(Load,,MATCH('Summarized Source Data'!$C200,Hour,0)),Month,'Summarized Source Data'!$A200,Sector,'Summarized Source Data'!I$2,Subsector,'Summarized Source Data'!I$3,TimeOfWeek,$E200)*INDEX(About!E$79:E$82,MATCH($B200,About!$A$79:$A$82,0),1)</f>
        <v>12700000</v>
      </c>
      <c r="J200" s="54">
        <f t="shared" si="16"/>
        <v>38186009</v>
      </c>
      <c r="K200" s="27">
        <f>(SUMIFS(INDEX(Load,,MATCH('Summarized Source Data'!$C200,Hour,0)),Month,'Summarized Source Data'!$A200,Sector,'Summarized Source Data'!K$2,Subsector,"Total",TimeOfWeek,$E200)-SUM(F200:I200))*INDEX(About!G$79:G$82,MATCH($B200,About!$A$79:$A$82,0),1)</f>
        <v>38186009</v>
      </c>
      <c r="L200" s="27">
        <f>SUMIFS(INDEX(Load,,MATCH('Summarized Source Data'!$C200,Hour,0)),Month,'Summarized Source Data'!$A200,Sector,'Summarized Source Data'!L$2,Subsector,'Summarized Source Data'!L$3,TimeOfWeek,$E200)*INDEX(About!H$79:H$82,MATCH($B200,About!$A$79:$A$82,0),1)</f>
        <v>2866526</v>
      </c>
      <c r="M200" s="27">
        <f>SUMIFS(INDEX(Load,,MATCH('Summarized Source Data'!$C200,Hour,0)),Month,'Summarized Source Data'!$A200,Sector,'Summarized Source Data'!M$2,Subsector,'Summarized Source Data'!M$3,TimeOfWeek,$E200)*INDEX(About!I$79:I$82,MATCH($B200,About!$A$79:$A$82,0),1)</f>
        <v>48800000</v>
      </c>
      <c r="N200" s="27">
        <f>SUMIFS(INDEX(Load,,MATCH('Summarized Source Data'!$C200,Hour,0)),Month,'Summarized Source Data'!$A200,Sector,'Summarized Source Data'!N$2,Subsector,'Summarized Source Data'!N$3,TimeOfWeek,$E200)*INDEX(About!J$79:J$82,MATCH($B200,About!$A$79:$A$82,0),1)</f>
        <v>0</v>
      </c>
      <c r="O200" s="29">
        <f t="shared" si="17"/>
        <v>164333474</v>
      </c>
      <c r="P200" s="27">
        <f>(SUMIFS(INDEX(Load,,MATCH('Summarized Source Data'!$C200,Hour,0)),Month,'Summarized Source Data'!$A200,Sector,'Summarized Source Data'!P$2,Subsector,"Total",TimeOfWeek,$E200)-SUM(L200:N200)*INDEX(About!L$79:L$82,MATCH($B200,About!$A$79:$A$82,0),1))</f>
        <v>164333474</v>
      </c>
      <c r="Q200" s="29">
        <f t="shared" si="18"/>
        <v>164333474</v>
      </c>
      <c r="R200" s="33">
        <f>SUMIFS(INDEX(Load,,MATCH('Summarized Source Data'!$C200,Hour,0)),Month,'Summarized Source Data'!$A200,Sector,'Summarized Source Data'!R$2,TimeOfWeek,$E200)*INDEX(About!N$79:N$82,MATCH($B200,About!$A$79:$A$82,0),1)</f>
        <v>4508240</v>
      </c>
      <c r="S200" s="33">
        <f>SUMIFS(INDEX(Load,,MATCH('Summarized Source Data'!$C200,Hour,0)),Month,'Summarized Source Data'!$A200,Sector,'Summarized Source Data'!S$2,TimeOfWeek,$E200)*INDEX(About!O$79:O$82,MATCH($B200,About!$A$79:$A$82,0),1)</f>
        <v>4508240</v>
      </c>
      <c r="T200" s="33">
        <f>SUMIFS(INDEX(Load,,MATCH('Summarized Source Data'!$C200,Hour,0)),Month,'Summarized Source Data'!$A200,Sector,'Summarized Source Data'!T$2,TimeOfWeek,$E200)*INDEX(About!P$79:P$82,MATCH($B200,About!$A$79:$A$82,0),1)</f>
        <v>4508240</v>
      </c>
      <c r="U200" s="33">
        <f>SUMIFS(INDEX(Load,,MATCH('Summarized Source Data'!$C200,Hour,0)),Month,'Summarized Source Data'!$A200,Sector,'Summarized Source Data'!U$2,TimeOfWeek,$E200)*INDEX(About!Q$79:Q$82,MATCH($B200,About!$A$79:$A$82,0),1)</f>
        <v>4508240</v>
      </c>
      <c r="V200" s="33">
        <f>SUMIFS(INDEX(Load,,MATCH('Summarized Source Data'!$C200,Hour,0)),Month,'Summarized Source Data'!$A200,Sector,'Summarized Source Data'!V$2,TimeOfWeek,$E200)*INDEX(About!R$79:R$82,MATCH($B200,About!$A$79:$A$82,0),1)</f>
        <v>4508240</v>
      </c>
      <c r="W200" s="33">
        <f>SUMIFS(INDEX(Load,,MATCH('Summarized Source Data'!$C200,Hour,0)),Month,'Summarized Source Data'!$A200,Sector,'Summarized Source Data'!W$2,TimeOfWeek,$E200)*INDEX(About!S$79:S$82,MATCH($B200,About!$A$79:$A$82,0),1)</f>
        <v>4508240</v>
      </c>
      <c r="X200" s="27">
        <f>SUMIFS(INDEX(Load,,MATCH('Summarized Source Data'!$C200,Hour,0)),Month,'Summarized Source Data'!$A200,Sector,'Summarized Source Data'!X$2,Subsector,'Summarized Source Data'!X$3,TimeOfWeek,$E200)*INDEX(About!T$79:T$82,MATCH($B200,About!$A$79:$A$82,0),1)</f>
        <v>658000000</v>
      </c>
      <c r="Y200" s="29">
        <f t="shared" si="19"/>
        <v>658000000</v>
      </c>
      <c r="Z200" s="29">
        <f t="shared" si="19"/>
        <v>658000000</v>
      </c>
    </row>
    <row r="201" spans="1:26" outlineLevel="1" x14ac:dyDescent="0.3">
      <c r="A201">
        <f t="shared" si="15"/>
        <v>9</v>
      </c>
      <c r="B201" t="str">
        <f>INDEX('Category Mapping'!$G$28:$G$39,MATCH(A201,'Category Mapping'!$A$28:$A$39,0),1)</f>
        <v>Fall</v>
      </c>
      <c r="C201" t="s">
        <v>68</v>
      </c>
      <c r="D201" s="6" t="s">
        <v>143</v>
      </c>
      <c r="E201" t="s">
        <v>49</v>
      </c>
      <c r="F201" s="27">
        <f>SUMIFS(INDEX(Load,,MATCH('Summarized Source Data'!$C201,Hour,0)),Month,'Summarized Source Data'!$A201,Sector,'Summarized Source Data'!F$2,Subsector,'Summarized Source Data'!F$3,TimeOfWeek,$E201)*INDEX(About!B$79:B$82,MATCH($B201,About!$A$79:$A$82,0),1)</f>
        <v>790194</v>
      </c>
      <c r="G201" s="27">
        <f>SUMIFS(INDEX(Load,,MATCH('Summarized Source Data'!$C201,Hour,0)),Month,'Summarized Source Data'!$A201,Sector,'Summarized Source Data'!G$2,Subsector,'Summarized Source Data'!G$3,TimeOfWeek,$E201)*INDEX(About!C$79:C$82,MATCH($B201,About!$A$79:$A$82,0),1)</f>
        <v>3228720</v>
      </c>
      <c r="H201" s="27">
        <f>SUMIFS(INDEX(Load,,MATCH('Summarized Source Data'!$C201,Hour,0)),Month,'Summarized Source Data'!$A201,Sector,'Summarized Source Data'!H$2,Subsector,'Summarized Source Data'!H$3,TimeOfWeek,$E201)*INDEX(About!D$79:D$82,MATCH($B201,About!$A$79:$A$82,0),1)</f>
        <v>0</v>
      </c>
      <c r="I201" s="27">
        <f>SUMIFS(INDEX(Load,,MATCH('Summarized Source Data'!$C201,Hour,0)),Month,'Summarized Source Data'!$A201,Sector,'Summarized Source Data'!I$2,Subsector,'Summarized Source Data'!I$3,TimeOfWeek,$E201)*INDEX(About!E$79:E$82,MATCH($B201,About!$A$79:$A$82,0),1)</f>
        <v>21900000</v>
      </c>
      <c r="J201" s="54">
        <f t="shared" si="16"/>
        <v>52181086</v>
      </c>
      <c r="K201" s="27">
        <f>(SUMIFS(INDEX(Load,,MATCH('Summarized Source Data'!$C201,Hour,0)),Month,'Summarized Source Data'!$A201,Sector,'Summarized Source Data'!K$2,Subsector,"Total",TimeOfWeek,$E201)-SUM(F201:I201))*INDEX(About!G$79:G$82,MATCH($B201,About!$A$79:$A$82,0),1)</f>
        <v>52181086</v>
      </c>
      <c r="L201" s="27">
        <f>SUMIFS(INDEX(Load,,MATCH('Summarized Source Data'!$C201,Hour,0)),Month,'Summarized Source Data'!$A201,Sector,'Summarized Source Data'!L$2,Subsector,'Summarized Source Data'!L$3,TimeOfWeek,$E201)*INDEX(About!H$79:H$82,MATCH($B201,About!$A$79:$A$82,0),1)</f>
        <v>4346346</v>
      </c>
      <c r="M201" s="27">
        <f>SUMIFS(INDEX(Load,,MATCH('Summarized Source Data'!$C201,Hour,0)),Month,'Summarized Source Data'!$A201,Sector,'Summarized Source Data'!M$2,Subsector,'Summarized Source Data'!M$3,TimeOfWeek,$E201)*INDEX(About!I$79:I$82,MATCH($B201,About!$A$79:$A$82,0),1)</f>
        <v>50800000</v>
      </c>
      <c r="N201" s="27">
        <f>SUMIFS(INDEX(Load,,MATCH('Summarized Source Data'!$C201,Hour,0)),Month,'Summarized Source Data'!$A201,Sector,'Summarized Source Data'!N$2,Subsector,'Summarized Source Data'!N$3,TimeOfWeek,$E201)*INDEX(About!J$79:J$82,MATCH($B201,About!$A$79:$A$82,0),1)</f>
        <v>0</v>
      </c>
      <c r="O201" s="29">
        <f t="shared" si="17"/>
        <v>191853654</v>
      </c>
      <c r="P201" s="27">
        <f>(SUMIFS(INDEX(Load,,MATCH('Summarized Source Data'!$C201,Hour,0)),Month,'Summarized Source Data'!$A201,Sector,'Summarized Source Data'!P$2,Subsector,"Total",TimeOfWeek,$E201)-SUM(L201:N201)*INDEX(About!L$79:L$82,MATCH($B201,About!$A$79:$A$82,0),1))</f>
        <v>191853654</v>
      </c>
      <c r="Q201" s="29">
        <f t="shared" si="18"/>
        <v>191853654</v>
      </c>
      <c r="R201" s="33">
        <f>SUMIFS(INDEX(Load,,MATCH('Summarized Source Data'!$C201,Hour,0)),Month,'Summarized Source Data'!$A201,Sector,'Summarized Source Data'!R$2,TimeOfWeek,$E201)*INDEX(About!N$79:N$82,MATCH($B201,About!$A$79:$A$82,0),1)</f>
        <v>4641447</v>
      </c>
      <c r="S201" s="33">
        <f>SUMIFS(INDEX(Load,,MATCH('Summarized Source Data'!$C201,Hour,0)),Month,'Summarized Source Data'!$A201,Sector,'Summarized Source Data'!S$2,TimeOfWeek,$E201)*INDEX(About!O$79:O$82,MATCH($B201,About!$A$79:$A$82,0),1)</f>
        <v>4641447</v>
      </c>
      <c r="T201" s="33">
        <f>SUMIFS(INDEX(Load,,MATCH('Summarized Source Data'!$C201,Hour,0)),Month,'Summarized Source Data'!$A201,Sector,'Summarized Source Data'!T$2,TimeOfWeek,$E201)*INDEX(About!P$79:P$82,MATCH($B201,About!$A$79:$A$82,0),1)</f>
        <v>4641447</v>
      </c>
      <c r="U201" s="33">
        <f>SUMIFS(INDEX(Load,,MATCH('Summarized Source Data'!$C201,Hour,0)),Month,'Summarized Source Data'!$A201,Sector,'Summarized Source Data'!U$2,TimeOfWeek,$E201)*INDEX(About!Q$79:Q$82,MATCH($B201,About!$A$79:$A$82,0),1)</f>
        <v>4641447</v>
      </c>
      <c r="V201" s="33">
        <f>SUMIFS(INDEX(Load,,MATCH('Summarized Source Data'!$C201,Hour,0)),Month,'Summarized Source Data'!$A201,Sector,'Summarized Source Data'!V$2,TimeOfWeek,$E201)*INDEX(About!R$79:R$82,MATCH($B201,About!$A$79:$A$82,0),1)</f>
        <v>4641447</v>
      </c>
      <c r="W201" s="33">
        <f>SUMIFS(INDEX(Load,,MATCH('Summarized Source Data'!$C201,Hour,0)),Month,'Summarized Source Data'!$A201,Sector,'Summarized Source Data'!W$2,TimeOfWeek,$E201)*INDEX(About!S$79:S$82,MATCH($B201,About!$A$79:$A$82,0),1)</f>
        <v>4641447</v>
      </c>
      <c r="X201" s="27">
        <f>SUMIFS(INDEX(Load,,MATCH('Summarized Source Data'!$C201,Hour,0)),Month,'Summarized Source Data'!$A201,Sector,'Summarized Source Data'!X$2,Subsector,'Summarized Source Data'!X$3,TimeOfWeek,$E201)*INDEX(About!T$79:T$82,MATCH($B201,About!$A$79:$A$82,0),1)</f>
        <v>662000000</v>
      </c>
      <c r="Y201" s="29">
        <f t="shared" si="19"/>
        <v>662000000</v>
      </c>
      <c r="Z201" s="29">
        <f t="shared" si="19"/>
        <v>662000000</v>
      </c>
    </row>
    <row r="202" spans="1:26" outlineLevel="1" x14ac:dyDescent="0.3">
      <c r="A202">
        <f t="shared" si="15"/>
        <v>9</v>
      </c>
      <c r="B202" t="str">
        <f>INDEX('Category Mapping'!$G$28:$G$39,MATCH(A202,'Category Mapping'!$A$28:$A$39,0),1)</f>
        <v>Fall</v>
      </c>
      <c r="C202" t="s">
        <v>69</v>
      </c>
      <c r="D202" s="6" t="s">
        <v>144</v>
      </c>
      <c r="E202" t="s">
        <v>49</v>
      </c>
      <c r="F202" s="27">
        <f>SUMIFS(INDEX(Load,,MATCH('Summarized Source Data'!$C202,Hour,0)),Month,'Summarized Source Data'!$A202,Sector,'Summarized Source Data'!F$2,Subsector,'Summarized Source Data'!F$3,TimeOfWeek,$E202)*INDEX(About!B$79:B$82,MATCH($B202,About!$A$79:$A$82,0),1)</f>
        <v>894547</v>
      </c>
      <c r="G202" s="27">
        <f>SUMIFS(INDEX(Load,,MATCH('Summarized Source Data'!$C202,Hour,0)),Month,'Summarized Source Data'!$A202,Sector,'Summarized Source Data'!G$2,Subsector,'Summarized Source Data'!G$3,TimeOfWeek,$E202)*INDEX(About!C$79:C$82,MATCH($B202,About!$A$79:$A$82,0),1)</f>
        <v>4970225</v>
      </c>
      <c r="H202" s="27">
        <f>SUMIFS(INDEX(Load,,MATCH('Summarized Source Data'!$C202,Hour,0)),Month,'Summarized Source Data'!$A202,Sector,'Summarized Source Data'!H$2,Subsector,'Summarized Source Data'!H$3,TimeOfWeek,$E202)*INDEX(About!D$79:D$82,MATCH($B202,About!$A$79:$A$82,0),1)</f>
        <v>0</v>
      </c>
      <c r="I202" s="27">
        <f>SUMIFS(INDEX(Load,,MATCH('Summarized Source Data'!$C202,Hour,0)),Month,'Summarized Source Data'!$A202,Sector,'Summarized Source Data'!I$2,Subsector,'Summarized Source Data'!I$3,TimeOfWeek,$E202)*INDEX(About!E$79:E$82,MATCH($B202,About!$A$79:$A$82,0),1)</f>
        <v>19300000</v>
      </c>
      <c r="J202" s="54">
        <f t="shared" si="16"/>
        <v>81835228</v>
      </c>
      <c r="K202" s="27">
        <f>(SUMIFS(INDEX(Load,,MATCH('Summarized Source Data'!$C202,Hour,0)),Month,'Summarized Source Data'!$A202,Sector,'Summarized Source Data'!K$2,Subsector,"Total",TimeOfWeek,$E202)-SUM(F202:I202))*INDEX(About!G$79:G$82,MATCH($B202,About!$A$79:$A$82,0),1)</f>
        <v>81835228</v>
      </c>
      <c r="L202" s="27">
        <f>SUMIFS(INDEX(Load,,MATCH('Summarized Source Data'!$C202,Hour,0)),Month,'Summarized Source Data'!$A202,Sector,'Summarized Source Data'!L$2,Subsector,'Summarized Source Data'!L$3,TimeOfWeek,$E202)*INDEX(About!H$79:H$82,MATCH($B202,About!$A$79:$A$82,0),1)</f>
        <v>4376276</v>
      </c>
      <c r="M202" s="27">
        <f>SUMIFS(INDEX(Load,,MATCH('Summarized Source Data'!$C202,Hour,0)),Month,'Summarized Source Data'!$A202,Sector,'Summarized Source Data'!M$2,Subsector,'Summarized Source Data'!M$3,TimeOfWeek,$E202)*INDEX(About!I$79:I$82,MATCH($B202,About!$A$79:$A$82,0),1)</f>
        <v>58100000</v>
      </c>
      <c r="N202" s="27">
        <f>SUMIFS(INDEX(Load,,MATCH('Summarized Source Data'!$C202,Hour,0)),Month,'Summarized Source Data'!$A202,Sector,'Summarized Source Data'!N$2,Subsector,'Summarized Source Data'!N$3,TimeOfWeek,$E202)*INDEX(About!J$79:J$82,MATCH($B202,About!$A$79:$A$82,0),1)</f>
        <v>0</v>
      </c>
      <c r="O202" s="29">
        <f t="shared" si="17"/>
        <v>287523724</v>
      </c>
      <c r="P202" s="27">
        <f>(SUMIFS(INDEX(Load,,MATCH('Summarized Source Data'!$C202,Hour,0)),Month,'Summarized Source Data'!$A202,Sector,'Summarized Source Data'!P$2,Subsector,"Total",TimeOfWeek,$E202)-SUM(L202:N202)*INDEX(About!L$79:L$82,MATCH($B202,About!$A$79:$A$82,0),1))</f>
        <v>287523724</v>
      </c>
      <c r="Q202" s="29">
        <f t="shared" si="18"/>
        <v>287523724</v>
      </c>
      <c r="R202" s="33">
        <f>SUMIFS(INDEX(Load,,MATCH('Summarized Source Data'!$C202,Hour,0)),Month,'Summarized Source Data'!$A202,Sector,'Summarized Source Data'!R$2,TimeOfWeek,$E202)*INDEX(About!N$79:N$82,MATCH($B202,About!$A$79:$A$82,0),1)</f>
        <v>6980362</v>
      </c>
      <c r="S202" s="33">
        <f>SUMIFS(INDEX(Load,,MATCH('Summarized Source Data'!$C202,Hour,0)),Month,'Summarized Source Data'!$A202,Sector,'Summarized Source Data'!S$2,TimeOfWeek,$E202)*INDEX(About!O$79:O$82,MATCH($B202,About!$A$79:$A$82,0),1)</f>
        <v>6980362</v>
      </c>
      <c r="T202" s="33">
        <f>SUMIFS(INDEX(Load,,MATCH('Summarized Source Data'!$C202,Hour,0)),Month,'Summarized Source Data'!$A202,Sector,'Summarized Source Data'!T$2,TimeOfWeek,$E202)*INDEX(About!P$79:P$82,MATCH($B202,About!$A$79:$A$82,0),1)</f>
        <v>6980362</v>
      </c>
      <c r="U202" s="33">
        <f>SUMIFS(INDEX(Load,,MATCH('Summarized Source Data'!$C202,Hour,0)),Month,'Summarized Source Data'!$A202,Sector,'Summarized Source Data'!U$2,TimeOfWeek,$E202)*INDEX(About!Q$79:Q$82,MATCH($B202,About!$A$79:$A$82,0),1)</f>
        <v>6980362</v>
      </c>
      <c r="V202" s="33">
        <f>SUMIFS(INDEX(Load,,MATCH('Summarized Source Data'!$C202,Hour,0)),Month,'Summarized Source Data'!$A202,Sector,'Summarized Source Data'!V$2,TimeOfWeek,$E202)*INDEX(About!R$79:R$82,MATCH($B202,About!$A$79:$A$82,0),1)</f>
        <v>6980362</v>
      </c>
      <c r="W202" s="33">
        <f>SUMIFS(INDEX(Load,,MATCH('Summarized Source Data'!$C202,Hour,0)),Month,'Summarized Source Data'!$A202,Sector,'Summarized Source Data'!W$2,TimeOfWeek,$E202)*INDEX(About!S$79:S$82,MATCH($B202,About!$A$79:$A$82,0),1)</f>
        <v>6980362</v>
      </c>
      <c r="X202" s="27">
        <f>SUMIFS(INDEX(Load,,MATCH('Summarized Source Data'!$C202,Hour,0)),Month,'Summarized Source Data'!$A202,Sector,'Summarized Source Data'!X$2,Subsector,'Summarized Source Data'!X$3,TimeOfWeek,$E202)*INDEX(About!T$79:T$82,MATCH($B202,About!$A$79:$A$82,0),1)</f>
        <v>670000000</v>
      </c>
      <c r="Y202" s="29">
        <f t="shared" si="19"/>
        <v>670000000</v>
      </c>
      <c r="Z202" s="29">
        <f t="shared" si="19"/>
        <v>670000000</v>
      </c>
    </row>
    <row r="203" spans="1:26" outlineLevel="1" x14ac:dyDescent="0.3">
      <c r="A203">
        <f t="shared" si="15"/>
        <v>9</v>
      </c>
      <c r="B203" t="str">
        <f>INDEX('Category Mapping'!$G$28:$G$39,MATCH(A203,'Category Mapping'!$A$28:$A$39,0),1)</f>
        <v>Fall</v>
      </c>
      <c r="C203" t="s">
        <v>70</v>
      </c>
      <c r="D203" s="6" t="s">
        <v>145</v>
      </c>
      <c r="E203" t="s">
        <v>49</v>
      </c>
      <c r="F203" s="27">
        <f>SUMIFS(INDEX(Load,,MATCH('Summarized Source Data'!$C203,Hour,0)),Month,'Summarized Source Data'!$A203,Sector,'Summarized Source Data'!F$2,Subsector,'Summarized Source Data'!F$3,TimeOfWeek,$E203)*INDEX(About!B$79:B$82,MATCH($B203,About!$A$79:$A$82,0),1)</f>
        <v>905720</v>
      </c>
      <c r="G203" s="27">
        <f>SUMIFS(INDEX(Load,,MATCH('Summarized Source Data'!$C203,Hour,0)),Month,'Summarized Source Data'!$A203,Sector,'Summarized Source Data'!G$2,Subsector,'Summarized Source Data'!G$3,TimeOfWeek,$E203)*INDEX(About!C$79:C$82,MATCH($B203,About!$A$79:$A$82,0),1)</f>
        <v>7996402</v>
      </c>
      <c r="H203" s="27">
        <f>SUMIFS(INDEX(Load,,MATCH('Summarized Source Data'!$C203,Hour,0)),Month,'Summarized Source Data'!$A203,Sector,'Summarized Source Data'!H$2,Subsector,'Summarized Source Data'!H$3,TimeOfWeek,$E203)*INDEX(About!D$79:D$82,MATCH($B203,About!$A$79:$A$82,0),1)</f>
        <v>0</v>
      </c>
      <c r="I203" s="27">
        <f>SUMIFS(INDEX(Load,,MATCH('Summarized Source Data'!$C203,Hour,0)),Month,'Summarized Source Data'!$A203,Sector,'Summarized Source Data'!I$2,Subsector,'Summarized Source Data'!I$3,TimeOfWeek,$E203)*INDEX(About!E$79:E$82,MATCH($B203,About!$A$79:$A$82,0),1)</f>
        <v>9923271</v>
      </c>
      <c r="J203" s="54">
        <f t="shared" si="16"/>
        <v>105174607</v>
      </c>
      <c r="K203" s="27">
        <f>(SUMIFS(INDEX(Load,,MATCH('Summarized Source Data'!$C203,Hour,0)),Month,'Summarized Source Data'!$A203,Sector,'Summarized Source Data'!K$2,Subsector,"Total",TimeOfWeek,$E203)-SUM(F203:I203))*INDEX(About!G$79:G$82,MATCH($B203,About!$A$79:$A$82,0),1)</f>
        <v>105174607</v>
      </c>
      <c r="L203" s="27">
        <f>SUMIFS(INDEX(Load,,MATCH('Summarized Source Data'!$C203,Hour,0)),Month,'Summarized Source Data'!$A203,Sector,'Summarized Source Data'!L$2,Subsector,'Summarized Source Data'!L$3,TimeOfWeek,$E203)*INDEX(About!H$79:H$82,MATCH($B203,About!$A$79:$A$82,0),1)</f>
        <v>3866558</v>
      </c>
      <c r="M203" s="27">
        <f>SUMIFS(INDEX(Load,,MATCH('Summarized Source Data'!$C203,Hour,0)),Month,'Summarized Source Data'!$A203,Sector,'Summarized Source Data'!M$2,Subsector,'Summarized Source Data'!M$3,TimeOfWeek,$E203)*INDEX(About!I$79:I$82,MATCH($B203,About!$A$79:$A$82,0),1)</f>
        <v>73500000</v>
      </c>
      <c r="N203" s="27">
        <f>SUMIFS(INDEX(Load,,MATCH('Summarized Source Data'!$C203,Hour,0)),Month,'Summarized Source Data'!$A203,Sector,'Summarized Source Data'!N$2,Subsector,'Summarized Source Data'!N$3,TimeOfWeek,$E203)*INDEX(About!J$79:J$82,MATCH($B203,About!$A$79:$A$82,0),1)</f>
        <v>0</v>
      </c>
      <c r="O203" s="29">
        <f t="shared" si="17"/>
        <v>394633442</v>
      </c>
      <c r="P203" s="27">
        <f>(SUMIFS(INDEX(Load,,MATCH('Summarized Source Data'!$C203,Hour,0)),Month,'Summarized Source Data'!$A203,Sector,'Summarized Source Data'!P$2,Subsector,"Total",TimeOfWeek,$E203)-SUM(L203:N203)*INDEX(About!L$79:L$82,MATCH($B203,About!$A$79:$A$82,0),1))</f>
        <v>394633442</v>
      </c>
      <c r="Q203" s="29">
        <f t="shared" si="18"/>
        <v>394633442</v>
      </c>
      <c r="R203" s="33">
        <f>SUMIFS(INDEX(Load,,MATCH('Summarized Source Data'!$C203,Hour,0)),Month,'Summarized Source Data'!$A203,Sector,'Summarized Source Data'!R$2,TimeOfWeek,$E203)*INDEX(About!N$79:N$82,MATCH($B203,About!$A$79:$A$82,0),1)</f>
        <v>14700000</v>
      </c>
      <c r="S203" s="33">
        <f>SUMIFS(INDEX(Load,,MATCH('Summarized Source Data'!$C203,Hour,0)),Month,'Summarized Source Data'!$A203,Sector,'Summarized Source Data'!S$2,TimeOfWeek,$E203)*INDEX(About!O$79:O$82,MATCH($B203,About!$A$79:$A$82,0),1)</f>
        <v>14700000</v>
      </c>
      <c r="T203" s="33">
        <f>SUMIFS(INDEX(Load,,MATCH('Summarized Source Data'!$C203,Hour,0)),Month,'Summarized Source Data'!$A203,Sector,'Summarized Source Data'!T$2,TimeOfWeek,$E203)*INDEX(About!P$79:P$82,MATCH($B203,About!$A$79:$A$82,0),1)</f>
        <v>14700000</v>
      </c>
      <c r="U203" s="33">
        <f>SUMIFS(INDEX(Load,,MATCH('Summarized Source Data'!$C203,Hour,0)),Month,'Summarized Source Data'!$A203,Sector,'Summarized Source Data'!U$2,TimeOfWeek,$E203)*INDEX(About!Q$79:Q$82,MATCH($B203,About!$A$79:$A$82,0),1)</f>
        <v>14700000</v>
      </c>
      <c r="V203" s="33">
        <f>SUMIFS(INDEX(Load,,MATCH('Summarized Source Data'!$C203,Hour,0)),Month,'Summarized Source Data'!$A203,Sector,'Summarized Source Data'!V$2,TimeOfWeek,$E203)*INDEX(About!R$79:R$82,MATCH($B203,About!$A$79:$A$82,0),1)</f>
        <v>14700000</v>
      </c>
      <c r="W203" s="33">
        <f>SUMIFS(INDEX(Load,,MATCH('Summarized Source Data'!$C203,Hour,0)),Month,'Summarized Source Data'!$A203,Sector,'Summarized Source Data'!W$2,TimeOfWeek,$E203)*INDEX(About!S$79:S$82,MATCH($B203,About!$A$79:$A$82,0),1)</f>
        <v>14700000</v>
      </c>
      <c r="X203" s="27">
        <f>SUMIFS(INDEX(Load,,MATCH('Summarized Source Data'!$C203,Hour,0)),Month,'Summarized Source Data'!$A203,Sector,'Summarized Source Data'!X$2,Subsector,'Summarized Source Data'!X$3,TimeOfWeek,$E203)*INDEX(About!T$79:T$82,MATCH($B203,About!$A$79:$A$82,0),1)</f>
        <v>677000000</v>
      </c>
      <c r="Y203" s="29">
        <f t="shared" si="19"/>
        <v>677000000</v>
      </c>
      <c r="Z203" s="29">
        <f t="shared" si="19"/>
        <v>677000000</v>
      </c>
    </row>
    <row r="204" spans="1:26" outlineLevel="1" x14ac:dyDescent="0.3">
      <c r="A204">
        <f t="shared" si="15"/>
        <v>9</v>
      </c>
      <c r="B204" t="str">
        <f>INDEX('Category Mapping'!$G$28:$G$39,MATCH(A204,'Category Mapping'!$A$28:$A$39,0),1)</f>
        <v>Fall</v>
      </c>
      <c r="C204" t="s">
        <v>71</v>
      </c>
      <c r="D204" s="6" t="s">
        <v>146</v>
      </c>
      <c r="E204" t="s">
        <v>49</v>
      </c>
      <c r="F204" s="27">
        <f>SUMIFS(INDEX(Load,,MATCH('Summarized Source Data'!$C204,Hour,0)),Month,'Summarized Source Data'!$A204,Sector,'Summarized Source Data'!F$2,Subsector,'Summarized Source Data'!F$3,TimeOfWeek,$E204)*INDEX(About!B$79:B$82,MATCH($B204,About!$A$79:$A$82,0),1)</f>
        <v>898657</v>
      </c>
      <c r="G204" s="27">
        <f>SUMIFS(INDEX(Load,,MATCH('Summarized Source Data'!$C204,Hour,0)),Month,'Summarized Source Data'!$A204,Sector,'Summarized Source Data'!G$2,Subsector,'Summarized Source Data'!G$3,TimeOfWeek,$E204)*INDEX(About!C$79:C$82,MATCH($B204,About!$A$79:$A$82,0),1)</f>
        <v>11500000</v>
      </c>
      <c r="H204" s="27">
        <f>SUMIFS(INDEX(Load,,MATCH('Summarized Source Data'!$C204,Hour,0)),Month,'Summarized Source Data'!$A204,Sector,'Summarized Source Data'!H$2,Subsector,'Summarized Source Data'!H$3,TimeOfWeek,$E204)*INDEX(About!D$79:D$82,MATCH($B204,About!$A$79:$A$82,0),1)</f>
        <v>0</v>
      </c>
      <c r="I204" s="27">
        <f>SUMIFS(INDEX(Load,,MATCH('Summarized Source Data'!$C204,Hour,0)),Month,'Summarized Source Data'!$A204,Sector,'Summarized Source Data'!I$2,Subsector,'Summarized Source Data'!I$3,TimeOfWeek,$E204)*INDEX(About!E$79:E$82,MATCH($B204,About!$A$79:$A$82,0),1)</f>
        <v>9718303</v>
      </c>
      <c r="J204" s="54">
        <f t="shared" si="16"/>
        <v>107883040</v>
      </c>
      <c r="K204" s="27">
        <f>(SUMIFS(INDEX(Load,,MATCH('Summarized Source Data'!$C204,Hour,0)),Month,'Summarized Source Data'!$A204,Sector,'Summarized Source Data'!K$2,Subsector,"Total",TimeOfWeek,$E204)-SUM(F204:I204))*INDEX(About!G$79:G$82,MATCH($B204,About!$A$79:$A$82,0),1)</f>
        <v>107883040</v>
      </c>
      <c r="L204" s="27">
        <f>SUMIFS(INDEX(Load,,MATCH('Summarized Source Data'!$C204,Hour,0)),Month,'Summarized Source Data'!$A204,Sector,'Summarized Source Data'!L$2,Subsector,'Summarized Source Data'!L$3,TimeOfWeek,$E204)*INDEX(About!H$79:H$82,MATCH($B204,About!$A$79:$A$82,0),1)</f>
        <v>2472873</v>
      </c>
      <c r="M204" s="27">
        <f>SUMIFS(INDEX(Load,,MATCH('Summarized Source Data'!$C204,Hour,0)),Month,'Summarized Source Data'!$A204,Sector,'Summarized Source Data'!M$2,Subsector,'Summarized Source Data'!M$3,TimeOfWeek,$E204)*INDEX(About!I$79:I$82,MATCH($B204,About!$A$79:$A$82,0),1)</f>
        <v>96200000</v>
      </c>
      <c r="N204" s="27">
        <f>SUMIFS(INDEX(Load,,MATCH('Summarized Source Data'!$C204,Hour,0)),Month,'Summarized Source Data'!$A204,Sector,'Summarized Source Data'!N$2,Subsector,'Summarized Source Data'!N$3,TimeOfWeek,$E204)*INDEX(About!J$79:J$82,MATCH($B204,About!$A$79:$A$82,0),1)</f>
        <v>0</v>
      </c>
      <c r="O204" s="29">
        <f t="shared" si="17"/>
        <v>490327127</v>
      </c>
      <c r="P204" s="27">
        <f>(SUMIFS(INDEX(Load,,MATCH('Summarized Source Data'!$C204,Hour,0)),Month,'Summarized Source Data'!$A204,Sector,'Summarized Source Data'!P$2,Subsector,"Total",TimeOfWeek,$E204)-SUM(L204:N204)*INDEX(About!L$79:L$82,MATCH($B204,About!$A$79:$A$82,0),1))</f>
        <v>490327127</v>
      </c>
      <c r="Q204" s="29">
        <f t="shared" si="18"/>
        <v>490327127</v>
      </c>
      <c r="R204" s="33">
        <f>SUMIFS(INDEX(Load,,MATCH('Summarized Source Data'!$C204,Hour,0)),Month,'Summarized Source Data'!$A204,Sector,'Summarized Source Data'!R$2,TimeOfWeek,$E204)*INDEX(About!N$79:N$82,MATCH($B204,About!$A$79:$A$82,0),1)</f>
        <v>16100000</v>
      </c>
      <c r="S204" s="33">
        <f>SUMIFS(INDEX(Load,,MATCH('Summarized Source Data'!$C204,Hour,0)),Month,'Summarized Source Data'!$A204,Sector,'Summarized Source Data'!S$2,TimeOfWeek,$E204)*INDEX(About!O$79:O$82,MATCH($B204,About!$A$79:$A$82,0),1)</f>
        <v>16100000</v>
      </c>
      <c r="T204" s="33">
        <f>SUMIFS(INDEX(Load,,MATCH('Summarized Source Data'!$C204,Hour,0)),Month,'Summarized Source Data'!$A204,Sector,'Summarized Source Data'!T$2,TimeOfWeek,$E204)*INDEX(About!P$79:P$82,MATCH($B204,About!$A$79:$A$82,0),1)</f>
        <v>16100000</v>
      </c>
      <c r="U204" s="33">
        <f>SUMIFS(INDEX(Load,,MATCH('Summarized Source Data'!$C204,Hour,0)),Month,'Summarized Source Data'!$A204,Sector,'Summarized Source Data'!U$2,TimeOfWeek,$E204)*INDEX(About!Q$79:Q$82,MATCH($B204,About!$A$79:$A$82,0),1)</f>
        <v>16100000</v>
      </c>
      <c r="V204" s="33">
        <f>SUMIFS(INDEX(Load,,MATCH('Summarized Source Data'!$C204,Hour,0)),Month,'Summarized Source Data'!$A204,Sector,'Summarized Source Data'!V$2,TimeOfWeek,$E204)*INDEX(About!R$79:R$82,MATCH($B204,About!$A$79:$A$82,0),1)</f>
        <v>16100000</v>
      </c>
      <c r="W204" s="33">
        <f>SUMIFS(INDEX(Load,,MATCH('Summarized Source Data'!$C204,Hour,0)),Month,'Summarized Source Data'!$A204,Sector,'Summarized Source Data'!W$2,TimeOfWeek,$E204)*INDEX(About!S$79:S$82,MATCH($B204,About!$A$79:$A$82,0),1)</f>
        <v>16100000</v>
      </c>
      <c r="X204" s="27">
        <f>SUMIFS(INDEX(Load,,MATCH('Summarized Source Data'!$C204,Hour,0)),Month,'Summarized Source Data'!$A204,Sector,'Summarized Source Data'!X$2,Subsector,'Summarized Source Data'!X$3,TimeOfWeek,$E204)*INDEX(About!T$79:T$82,MATCH($B204,About!$A$79:$A$82,0),1)</f>
        <v>679000000</v>
      </c>
      <c r="Y204" s="29">
        <f t="shared" si="19"/>
        <v>679000000</v>
      </c>
      <c r="Z204" s="29">
        <f t="shared" si="19"/>
        <v>679000000</v>
      </c>
    </row>
    <row r="205" spans="1:26" outlineLevel="1" x14ac:dyDescent="0.3">
      <c r="A205">
        <f t="shared" si="15"/>
        <v>9</v>
      </c>
      <c r="B205" t="str">
        <f>INDEX('Category Mapping'!$G$28:$G$39,MATCH(A205,'Category Mapping'!$A$28:$A$39,0),1)</f>
        <v>Fall</v>
      </c>
      <c r="C205" t="s">
        <v>72</v>
      </c>
      <c r="D205" s="6" t="s">
        <v>147</v>
      </c>
      <c r="E205" t="s">
        <v>49</v>
      </c>
      <c r="F205" s="27">
        <f>SUMIFS(INDEX(Load,,MATCH('Summarized Source Data'!$C205,Hour,0)),Month,'Summarized Source Data'!$A205,Sector,'Summarized Source Data'!F$2,Subsector,'Summarized Source Data'!F$3,TimeOfWeek,$E205)*INDEX(About!B$79:B$82,MATCH($B205,About!$A$79:$A$82,0),1)</f>
        <v>620614</v>
      </c>
      <c r="G205" s="27">
        <f>SUMIFS(INDEX(Load,,MATCH('Summarized Source Data'!$C205,Hour,0)),Month,'Summarized Source Data'!$A205,Sector,'Summarized Source Data'!G$2,Subsector,'Summarized Source Data'!G$3,TimeOfWeek,$E205)*INDEX(About!C$79:C$82,MATCH($B205,About!$A$79:$A$82,0),1)</f>
        <v>14700000</v>
      </c>
      <c r="H205" s="27">
        <f>SUMIFS(INDEX(Load,,MATCH('Summarized Source Data'!$C205,Hour,0)),Month,'Summarized Source Data'!$A205,Sector,'Summarized Source Data'!H$2,Subsector,'Summarized Source Data'!H$3,TimeOfWeek,$E205)*INDEX(About!D$79:D$82,MATCH($B205,About!$A$79:$A$82,0),1)</f>
        <v>0</v>
      </c>
      <c r="I205" s="27">
        <f>SUMIFS(INDEX(Load,,MATCH('Summarized Source Data'!$C205,Hour,0)),Month,'Summarized Source Data'!$A205,Sector,'Summarized Source Data'!I$2,Subsector,'Summarized Source Data'!I$3,TimeOfWeek,$E205)*INDEX(About!E$79:E$82,MATCH($B205,About!$A$79:$A$82,0),1)</f>
        <v>9348525</v>
      </c>
      <c r="J205" s="54">
        <f t="shared" si="16"/>
        <v>108330861</v>
      </c>
      <c r="K205" s="27">
        <f>(SUMIFS(INDEX(Load,,MATCH('Summarized Source Data'!$C205,Hour,0)),Month,'Summarized Source Data'!$A205,Sector,'Summarized Source Data'!K$2,Subsector,"Total",TimeOfWeek,$E205)-SUM(F205:I205))*INDEX(About!G$79:G$82,MATCH($B205,About!$A$79:$A$82,0),1)</f>
        <v>108330861</v>
      </c>
      <c r="L205" s="27">
        <f>SUMIFS(INDEX(Load,,MATCH('Summarized Source Data'!$C205,Hour,0)),Month,'Summarized Source Data'!$A205,Sector,'Summarized Source Data'!L$2,Subsector,'Summarized Source Data'!L$3,TimeOfWeek,$E205)*INDEX(About!H$79:H$82,MATCH($B205,About!$A$79:$A$82,0),1)</f>
        <v>1832172</v>
      </c>
      <c r="M205" s="27">
        <f>SUMIFS(INDEX(Load,,MATCH('Summarized Source Data'!$C205,Hour,0)),Month,'Summarized Source Data'!$A205,Sector,'Summarized Source Data'!M$2,Subsector,'Summarized Source Data'!M$3,TimeOfWeek,$E205)*INDEX(About!I$79:I$82,MATCH($B205,About!$A$79:$A$82,0),1)</f>
        <v>114000000</v>
      </c>
      <c r="N205" s="27">
        <f>SUMIFS(INDEX(Load,,MATCH('Summarized Source Data'!$C205,Hour,0)),Month,'Summarized Source Data'!$A205,Sector,'Summarized Source Data'!N$2,Subsector,'Summarized Source Data'!N$3,TimeOfWeek,$E205)*INDEX(About!J$79:J$82,MATCH($B205,About!$A$79:$A$82,0),1)</f>
        <v>0</v>
      </c>
      <c r="O205" s="29">
        <f t="shared" si="17"/>
        <v>516167828</v>
      </c>
      <c r="P205" s="27">
        <f>(SUMIFS(INDEX(Load,,MATCH('Summarized Source Data'!$C205,Hour,0)),Month,'Summarized Source Data'!$A205,Sector,'Summarized Source Data'!P$2,Subsector,"Total",TimeOfWeek,$E205)-SUM(L205:N205)*INDEX(About!L$79:L$82,MATCH($B205,About!$A$79:$A$82,0),1))</f>
        <v>516167828</v>
      </c>
      <c r="Q205" s="29">
        <f t="shared" si="18"/>
        <v>516167828</v>
      </c>
      <c r="R205" s="33">
        <f>SUMIFS(INDEX(Load,,MATCH('Summarized Source Data'!$C205,Hour,0)),Month,'Summarized Source Data'!$A205,Sector,'Summarized Source Data'!R$2,TimeOfWeek,$E205)*INDEX(About!N$79:N$82,MATCH($B205,About!$A$79:$A$82,0),1)</f>
        <v>14300000</v>
      </c>
      <c r="S205" s="33">
        <f>SUMIFS(INDEX(Load,,MATCH('Summarized Source Data'!$C205,Hour,0)),Month,'Summarized Source Data'!$A205,Sector,'Summarized Source Data'!S$2,TimeOfWeek,$E205)*INDEX(About!O$79:O$82,MATCH($B205,About!$A$79:$A$82,0),1)</f>
        <v>14300000</v>
      </c>
      <c r="T205" s="33">
        <f>SUMIFS(INDEX(Load,,MATCH('Summarized Source Data'!$C205,Hour,0)),Month,'Summarized Source Data'!$A205,Sector,'Summarized Source Data'!T$2,TimeOfWeek,$E205)*INDEX(About!P$79:P$82,MATCH($B205,About!$A$79:$A$82,0),1)</f>
        <v>14300000</v>
      </c>
      <c r="U205" s="33">
        <f>SUMIFS(INDEX(Load,,MATCH('Summarized Source Data'!$C205,Hour,0)),Month,'Summarized Source Data'!$A205,Sector,'Summarized Source Data'!U$2,TimeOfWeek,$E205)*INDEX(About!Q$79:Q$82,MATCH($B205,About!$A$79:$A$82,0),1)</f>
        <v>14300000</v>
      </c>
      <c r="V205" s="33">
        <f>SUMIFS(INDEX(Load,,MATCH('Summarized Source Data'!$C205,Hour,0)),Month,'Summarized Source Data'!$A205,Sector,'Summarized Source Data'!V$2,TimeOfWeek,$E205)*INDEX(About!R$79:R$82,MATCH($B205,About!$A$79:$A$82,0),1)</f>
        <v>14300000</v>
      </c>
      <c r="W205" s="33">
        <f>SUMIFS(INDEX(Load,,MATCH('Summarized Source Data'!$C205,Hour,0)),Month,'Summarized Source Data'!$A205,Sector,'Summarized Source Data'!W$2,TimeOfWeek,$E205)*INDEX(About!S$79:S$82,MATCH($B205,About!$A$79:$A$82,0),1)</f>
        <v>14300000</v>
      </c>
      <c r="X205" s="27">
        <f>SUMIFS(INDEX(Load,,MATCH('Summarized Source Data'!$C205,Hour,0)),Month,'Summarized Source Data'!$A205,Sector,'Summarized Source Data'!X$2,Subsector,'Summarized Source Data'!X$3,TimeOfWeek,$E205)*INDEX(About!T$79:T$82,MATCH($B205,About!$A$79:$A$82,0),1)</f>
        <v>678000000</v>
      </c>
      <c r="Y205" s="29">
        <f t="shared" si="19"/>
        <v>678000000</v>
      </c>
      <c r="Z205" s="29">
        <f t="shared" si="19"/>
        <v>678000000</v>
      </c>
    </row>
    <row r="206" spans="1:26" outlineLevel="1" x14ac:dyDescent="0.3">
      <c r="A206">
        <f t="shared" si="15"/>
        <v>9</v>
      </c>
      <c r="B206" t="str">
        <f>INDEX('Category Mapping'!$G$28:$G$39,MATCH(A206,'Category Mapping'!$A$28:$A$39,0),1)</f>
        <v>Fall</v>
      </c>
      <c r="C206" t="s">
        <v>73</v>
      </c>
      <c r="D206" s="6" t="s">
        <v>148</v>
      </c>
      <c r="E206" t="s">
        <v>49</v>
      </c>
      <c r="F206" s="27">
        <f>SUMIFS(INDEX(Load,,MATCH('Summarized Source Data'!$C206,Hour,0)),Month,'Summarized Source Data'!$A206,Sector,'Summarized Source Data'!F$2,Subsector,'Summarized Source Data'!F$3,TimeOfWeek,$E206)*INDEX(About!B$79:B$82,MATCH($B206,About!$A$79:$A$82,0),1)</f>
        <v>625878</v>
      </c>
      <c r="G206" s="27">
        <f>SUMIFS(INDEX(Load,,MATCH('Summarized Source Data'!$C206,Hour,0)),Month,'Summarized Source Data'!$A206,Sector,'Summarized Source Data'!G$2,Subsector,'Summarized Source Data'!G$3,TimeOfWeek,$E206)*INDEX(About!C$79:C$82,MATCH($B206,About!$A$79:$A$82,0),1)</f>
        <v>19200000</v>
      </c>
      <c r="H206" s="27">
        <f>SUMIFS(INDEX(Load,,MATCH('Summarized Source Data'!$C206,Hour,0)),Month,'Summarized Source Data'!$A206,Sector,'Summarized Source Data'!H$2,Subsector,'Summarized Source Data'!H$3,TimeOfWeek,$E206)*INDEX(About!D$79:D$82,MATCH($B206,About!$A$79:$A$82,0),1)</f>
        <v>0</v>
      </c>
      <c r="I206" s="27">
        <f>SUMIFS(INDEX(Load,,MATCH('Summarized Source Data'!$C206,Hour,0)),Month,'Summarized Source Data'!$A206,Sector,'Summarized Source Data'!I$2,Subsector,'Summarized Source Data'!I$3,TimeOfWeek,$E206)*INDEX(About!E$79:E$82,MATCH($B206,About!$A$79:$A$82,0),1)</f>
        <v>9501277</v>
      </c>
      <c r="J206" s="54">
        <f t="shared" si="16"/>
        <v>107672845</v>
      </c>
      <c r="K206" s="27">
        <f>(SUMIFS(INDEX(Load,,MATCH('Summarized Source Data'!$C206,Hour,0)),Month,'Summarized Source Data'!$A206,Sector,'Summarized Source Data'!K$2,Subsector,"Total",TimeOfWeek,$E206)-SUM(F206:I206))*INDEX(About!G$79:G$82,MATCH($B206,About!$A$79:$A$82,0),1)</f>
        <v>107672845</v>
      </c>
      <c r="L206" s="27">
        <f>SUMIFS(INDEX(Load,,MATCH('Summarized Source Data'!$C206,Hour,0)),Month,'Summarized Source Data'!$A206,Sector,'Summarized Source Data'!L$2,Subsector,'Summarized Source Data'!L$3,TimeOfWeek,$E206)*INDEX(About!H$79:H$82,MATCH($B206,About!$A$79:$A$82,0),1)</f>
        <v>1461359</v>
      </c>
      <c r="M206" s="27">
        <f>SUMIFS(INDEX(Load,,MATCH('Summarized Source Data'!$C206,Hour,0)),Month,'Summarized Source Data'!$A206,Sector,'Summarized Source Data'!M$2,Subsector,'Summarized Source Data'!M$3,TimeOfWeek,$E206)*INDEX(About!I$79:I$82,MATCH($B206,About!$A$79:$A$82,0),1)</f>
        <v>127000000</v>
      </c>
      <c r="N206" s="27">
        <f>SUMIFS(INDEX(Load,,MATCH('Summarized Source Data'!$C206,Hour,0)),Month,'Summarized Source Data'!$A206,Sector,'Summarized Source Data'!N$2,Subsector,'Summarized Source Data'!N$3,TimeOfWeek,$E206)*INDEX(About!J$79:J$82,MATCH($B206,About!$A$79:$A$82,0),1)</f>
        <v>0</v>
      </c>
      <c r="O206" s="29">
        <f t="shared" si="17"/>
        <v>514538641</v>
      </c>
      <c r="P206" s="27">
        <f>(SUMIFS(INDEX(Load,,MATCH('Summarized Source Data'!$C206,Hour,0)),Month,'Summarized Source Data'!$A206,Sector,'Summarized Source Data'!P$2,Subsector,"Total",TimeOfWeek,$E206)-SUM(L206:N206)*INDEX(About!L$79:L$82,MATCH($B206,About!$A$79:$A$82,0),1))</f>
        <v>514538641</v>
      </c>
      <c r="Q206" s="29">
        <f t="shared" si="18"/>
        <v>514538641</v>
      </c>
      <c r="R206" s="33">
        <f>SUMIFS(INDEX(Load,,MATCH('Summarized Source Data'!$C206,Hour,0)),Month,'Summarized Source Data'!$A206,Sector,'Summarized Source Data'!R$2,TimeOfWeek,$E206)*INDEX(About!N$79:N$82,MATCH($B206,About!$A$79:$A$82,0),1)</f>
        <v>11500000</v>
      </c>
      <c r="S206" s="33">
        <f>SUMIFS(INDEX(Load,,MATCH('Summarized Source Data'!$C206,Hour,0)),Month,'Summarized Source Data'!$A206,Sector,'Summarized Source Data'!S$2,TimeOfWeek,$E206)*INDEX(About!O$79:O$82,MATCH($B206,About!$A$79:$A$82,0),1)</f>
        <v>11500000</v>
      </c>
      <c r="T206" s="33">
        <f>SUMIFS(INDEX(Load,,MATCH('Summarized Source Data'!$C206,Hour,0)),Month,'Summarized Source Data'!$A206,Sector,'Summarized Source Data'!T$2,TimeOfWeek,$E206)*INDEX(About!P$79:P$82,MATCH($B206,About!$A$79:$A$82,0),1)</f>
        <v>11500000</v>
      </c>
      <c r="U206" s="33">
        <f>SUMIFS(INDEX(Load,,MATCH('Summarized Source Data'!$C206,Hour,0)),Month,'Summarized Source Data'!$A206,Sector,'Summarized Source Data'!U$2,TimeOfWeek,$E206)*INDEX(About!Q$79:Q$82,MATCH($B206,About!$A$79:$A$82,0),1)</f>
        <v>11500000</v>
      </c>
      <c r="V206" s="33">
        <f>SUMIFS(INDEX(Load,,MATCH('Summarized Source Data'!$C206,Hour,0)),Month,'Summarized Source Data'!$A206,Sector,'Summarized Source Data'!V$2,TimeOfWeek,$E206)*INDEX(About!R$79:R$82,MATCH($B206,About!$A$79:$A$82,0),1)</f>
        <v>11500000</v>
      </c>
      <c r="W206" s="33">
        <f>SUMIFS(INDEX(Load,,MATCH('Summarized Source Data'!$C206,Hour,0)),Month,'Summarized Source Data'!$A206,Sector,'Summarized Source Data'!W$2,TimeOfWeek,$E206)*INDEX(About!S$79:S$82,MATCH($B206,About!$A$79:$A$82,0),1)</f>
        <v>11500000</v>
      </c>
      <c r="X206" s="27">
        <f>SUMIFS(INDEX(Load,,MATCH('Summarized Source Data'!$C206,Hour,0)),Month,'Summarized Source Data'!$A206,Sector,'Summarized Source Data'!X$2,Subsector,'Summarized Source Data'!X$3,TimeOfWeek,$E206)*INDEX(About!T$79:T$82,MATCH($B206,About!$A$79:$A$82,0),1)</f>
        <v>675000000</v>
      </c>
      <c r="Y206" s="29">
        <f t="shared" si="19"/>
        <v>675000000</v>
      </c>
      <c r="Z206" s="29">
        <f t="shared" si="19"/>
        <v>675000000</v>
      </c>
    </row>
    <row r="207" spans="1:26" outlineLevel="1" x14ac:dyDescent="0.3">
      <c r="A207">
        <f t="shared" si="15"/>
        <v>9</v>
      </c>
      <c r="B207" t="str">
        <f>INDEX('Category Mapping'!$G$28:$G$39,MATCH(A207,'Category Mapping'!$A$28:$A$39,0),1)</f>
        <v>Fall</v>
      </c>
      <c r="C207" t="s">
        <v>74</v>
      </c>
      <c r="D207" s="6" t="s">
        <v>149</v>
      </c>
      <c r="E207" t="s">
        <v>49</v>
      </c>
      <c r="F207" s="27">
        <f>SUMIFS(INDEX(Load,,MATCH('Summarized Source Data'!$C207,Hour,0)),Month,'Summarized Source Data'!$A207,Sector,'Summarized Source Data'!F$2,Subsector,'Summarized Source Data'!F$3,TimeOfWeek,$E207)*INDEX(About!B$79:B$82,MATCH($B207,About!$A$79:$A$82,0),1)</f>
        <v>657384</v>
      </c>
      <c r="G207" s="27">
        <f>SUMIFS(INDEX(Load,,MATCH('Summarized Source Data'!$C207,Hour,0)),Month,'Summarized Source Data'!$A207,Sector,'Summarized Source Data'!G$2,Subsector,'Summarized Source Data'!G$3,TimeOfWeek,$E207)*INDEX(About!C$79:C$82,MATCH($B207,About!$A$79:$A$82,0),1)</f>
        <v>25900000</v>
      </c>
      <c r="H207" s="27">
        <f>SUMIFS(INDEX(Load,,MATCH('Summarized Source Data'!$C207,Hour,0)),Month,'Summarized Source Data'!$A207,Sector,'Summarized Source Data'!H$2,Subsector,'Summarized Source Data'!H$3,TimeOfWeek,$E207)*INDEX(About!D$79:D$82,MATCH($B207,About!$A$79:$A$82,0),1)</f>
        <v>0</v>
      </c>
      <c r="I207" s="27">
        <f>SUMIFS(INDEX(Load,,MATCH('Summarized Source Data'!$C207,Hour,0)),Month,'Summarized Source Data'!$A207,Sector,'Summarized Source Data'!I$2,Subsector,'Summarized Source Data'!I$3,TimeOfWeek,$E207)*INDEX(About!E$79:E$82,MATCH($B207,About!$A$79:$A$82,0),1)</f>
        <v>10400000</v>
      </c>
      <c r="J207" s="54">
        <f t="shared" si="16"/>
        <v>108042616</v>
      </c>
      <c r="K207" s="27">
        <f>(SUMIFS(INDEX(Load,,MATCH('Summarized Source Data'!$C207,Hour,0)),Month,'Summarized Source Data'!$A207,Sector,'Summarized Source Data'!K$2,Subsector,"Total",TimeOfWeek,$E207)-SUM(F207:I207))*INDEX(About!G$79:G$82,MATCH($B207,About!$A$79:$A$82,0),1)</f>
        <v>108042616</v>
      </c>
      <c r="L207" s="27">
        <f>SUMIFS(INDEX(Load,,MATCH('Summarized Source Data'!$C207,Hour,0)),Month,'Summarized Source Data'!$A207,Sector,'Summarized Source Data'!L$2,Subsector,'Summarized Source Data'!L$3,TimeOfWeek,$E207)*INDEX(About!H$79:H$82,MATCH($B207,About!$A$79:$A$82,0),1)</f>
        <v>1200085</v>
      </c>
      <c r="M207" s="27">
        <f>SUMIFS(INDEX(Load,,MATCH('Summarized Source Data'!$C207,Hour,0)),Month,'Summarized Source Data'!$A207,Sector,'Summarized Source Data'!M$2,Subsector,'Summarized Source Data'!M$3,TimeOfWeek,$E207)*INDEX(About!I$79:I$82,MATCH($B207,About!$A$79:$A$82,0),1)</f>
        <v>135000000</v>
      </c>
      <c r="N207" s="27">
        <f>SUMIFS(INDEX(Load,,MATCH('Summarized Source Data'!$C207,Hour,0)),Month,'Summarized Source Data'!$A207,Sector,'Summarized Source Data'!N$2,Subsector,'Summarized Source Data'!N$3,TimeOfWeek,$E207)*INDEX(About!J$79:J$82,MATCH($B207,About!$A$79:$A$82,0),1)</f>
        <v>0</v>
      </c>
      <c r="O207" s="29">
        <f t="shared" si="17"/>
        <v>512799915</v>
      </c>
      <c r="P207" s="27">
        <f>(SUMIFS(INDEX(Load,,MATCH('Summarized Source Data'!$C207,Hour,0)),Month,'Summarized Source Data'!$A207,Sector,'Summarized Source Data'!P$2,Subsector,"Total",TimeOfWeek,$E207)-SUM(L207:N207)*INDEX(About!L$79:L$82,MATCH($B207,About!$A$79:$A$82,0),1))</f>
        <v>512799915</v>
      </c>
      <c r="Q207" s="29">
        <f t="shared" si="18"/>
        <v>512799915</v>
      </c>
      <c r="R207" s="33">
        <f>SUMIFS(INDEX(Load,,MATCH('Summarized Source Data'!$C207,Hour,0)),Month,'Summarized Source Data'!$A207,Sector,'Summarized Source Data'!R$2,TimeOfWeek,$E207)*INDEX(About!N$79:N$82,MATCH($B207,About!$A$79:$A$82,0),1)</f>
        <v>11500000</v>
      </c>
      <c r="S207" s="33">
        <f>SUMIFS(INDEX(Load,,MATCH('Summarized Source Data'!$C207,Hour,0)),Month,'Summarized Source Data'!$A207,Sector,'Summarized Source Data'!S$2,TimeOfWeek,$E207)*INDEX(About!O$79:O$82,MATCH($B207,About!$A$79:$A$82,0),1)</f>
        <v>11500000</v>
      </c>
      <c r="T207" s="33">
        <f>SUMIFS(INDEX(Load,,MATCH('Summarized Source Data'!$C207,Hour,0)),Month,'Summarized Source Data'!$A207,Sector,'Summarized Source Data'!T$2,TimeOfWeek,$E207)*INDEX(About!P$79:P$82,MATCH($B207,About!$A$79:$A$82,0),1)</f>
        <v>11500000</v>
      </c>
      <c r="U207" s="33">
        <f>SUMIFS(INDEX(Load,,MATCH('Summarized Source Data'!$C207,Hour,0)),Month,'Summarized Source Data'!$A207,Sector,'Summarized Source Data'!U$2,TimeOfWeek,$E207)*INDEX(About!Q$79:Q$82,MATCH($B207,About!$A$79:$A$82,0),1)</f>
        <v>11500000</v>
      </c>
      <c r="V207" s="33">
        <f>SUMIFS(INDEX(Load,,MATCH('Summarized Source Data'!$C207,Hour,0)),Month,'Summarized Source Data'!$A207,Sector,'Summarized Source Data'!V$2,TimeOfWeek,$E207)*INDEX(About!R$79:R$82,MATCH($B207,About!$A$79:$A$82,0),1)</f>
        <v>11500000</v>
      </c>
      <c r="W207" s="33">
        <f>SUMIFS(INDEX(Load,,MATCH('Summarized Source Data'!$C207,Hour,0)),Month,'Summarized Source Data'!$A207,Sector,'Summarized Source Data'!W$2,TimeOfWeek,$E207)*INDEX(About!S$79:S$82,MATCH($B207,About!$A$79:$A$82,0),1)</f>
        <v>11500000</v>
      </c>
      <c r="X207" s="27">
        <f>SUMIFS(INDEX(Load,,MATCH('Summarized Source Data'!$C207,Hour,0)),Month,'Summarized Source Data'!$A207,Sector,'Summarized Source Data'!X$2,Subsector,'Summarized Source Data'!X$3,TimeOfWeek,$E207)*INDEX(About!T$79:T$82,MATCH($B207,About!$A$79:$A$82,0),1)</f>
        <v>673000000</v>
      </c>
      <c r="Y207" s="29">
        <f t="shared" si="19"/>
        <v>673000000</v>
      </c>
      <c r="Z207" s="29">
        <f t="shared" si="19"/>
        <v>673000000</v>
      </c>
    </row>
    <row r="208" spans="1:26" outlineLevel="1" x14ac:dyDescent="0.3">
      <c r="A208">
        <f t="shared" si="15"/>
        <v>9</v>
      </c>
      <c r="B208" t="str">
        <f>INDEX('Category Mapping'!$G$28:$G$39,MATCH(A208,'Category Mapping'!$A$28:$A$39,0),1)</f>
        <v>Fall</v>
      </c>
      <c r="C208" t="s">
        <v>75</v>
      </c>
      <c r="D208" s="6" t="s">
        <v>150</v>
      </c>
      <c r="E208" t="s">
        <v>49</v>
      </c>
      <c r="F208" s="27">
        <f>SUMIFS(INDEX(Load,,MATCH('Summarized Source Data'!$C208,Hour,0)),Month,'Summarized Source Data'!$A208,Sector,'Summarized Source Data'!F$2,Subsector,'Summarized Source Data'!F$3,TimeOfWeek,$E208)*INDEX(About!B$79:B$82,MATCH($B208,About!$A$79:$A$82,0),1)</f>
        <v>676679</v>
      </c>
      <c r="G208" s="27">
        <f>SUMIFS(INDEX(Load,,MATCH('Summarized Source Data'!$C208,Hour,0)),Month,'Summarized Source Data'!$A208,Sector,'Summarized Source Data'!G$2,Subsector,'Summarized Source Data'!G$3,TimeOfWeek,$E208)*INDEX(About!C$79:C$82,MATCH($B208,About!$A$79:$A$82,0),1)</f>
        <v>32000000</v>
      </c>
      <c r="H208" s="27">
        <f>SUMIFS(INDEX(Load,,MATCH('Summarized Source Data'!$C208,Hour,0)),Month,'Summarized Source Data'!$A208,Sector,'Summarized Source Data'!H$2,Subsector,'Summarized Source Data'!H$3,TimeOfWeek,$E208)*INDEX(About!D$79:D$82,MATCH($B208,About!$A$79:$A$82,0),1)</f>
        <v>0</v>
      </c>
      <c r="I208" s="27">
        <f>SUMIFS(INDEX(Load,,MATCH('Summarized Source Data'!$C208,Hour,0)),Month,'Summarized Source Data'!$A208,Sector,'Summarized Source Data'!I$2,Subsector,'Summarized Source Data'!I$3,TimeOfWeek,$E208)*INDEX(About!E$79:E$82,MATCH($B208,About!$A$79:$A$82,0),1)</f>
        <v>11000000</v>
      </c>
      <c r="J208" s="54">
        <f t="shared" si="16"/>
        <v>104323321</v>
      </c>
      <c r="K208" s="27">
        <f>(SUMIFS(INDEX(Load,,MATCH('Summarized Source Data'!$C208,Hour,0)),Month,'Summarized Source Data'!$A208,Sector,'Summarized Source Data'!K$2,Subsector,"Total",TimeOfWeek,$E208)-SUM(F208:I208))*INDEX(About!G$79:G$82,MATCH($B208,About!$A$79:$A$82,0),1)</f>
        <v>104323321</v>
      </c>
      <c r="L208" s="27">
        <f>SUMIFS(INDEX(Load,,MATCH('Summarized Source Data'!$C208,Hour,0)),Month,'Summarized Source Data'!$A208,Sector,'Summarized Source Data'!L$2,Subsector,'Summarized Source Data'!L$3,TimeOfWeek,$E208)*INDEX(About!H$79:H$82,MATCH($B208,About!$A$79:$A$82,0),1)</f>
        <v>1078435</v>
      </c>
      <c r="M208" s="27">
        <f>SUMIFS(INDEX(Load,,MATCH('Summarized Source Data'!$C208,Hour,0)),Month,'Summarized Source Data'!$A208,Sector,'Summarized Source Data'!M$2,Subsector,'Summarized Source Data'!M$3,TimeOfWeek,$E208)*INDEX(About!I$79:I$82,MATCH($B208,About!$A$79:$A$82,0),1)</f>
        <v>137000000</v>
      </c>
      <c r="N208" s="27">
        <f>SUMIFS(INDEX(Load,,MATCH('Summarized Source Data'!$C208,Hour,0)),Month,'Summarized Source Data'!$A208,Sector,'Summarized Source Data'!N$2,Subsector,'Summarized Source Data'!N$3,TimeOfWeek,$E208)*INDEX(About!J$79:J$82,MATCH($B208,About!$A$79:$A$82,0),1)</f>
        <v>0</v>
      </c>
      <c r="O208" s="29">
        <f t="shared" si="17"/>
        <v>504921565</v>
      </c>
      <c r="P208" s="27">
        <f>(SUMIFS(INDEX(Load,,MATCH('Summarized Source Data'!$C208,Hour,0)),Month,'Summarized Source Data'!$A208,Sector,'Summarized Source Data'!P$2,Subsector,"Total",TimeOfWeek,$E208)-SUM(L208:N208)*INDEX(About!L$79:L$82,MATCH($B208,About!$A$79:$A$82,0),1))</f>
        <v>504921565</v>
      </c>
      <c r="Q208" s="29">
        <f t="shared" si="18"/>
        <v>504921565</v>
      </c>
      <c r="R208" s="33">
        <f>SUMIFS(INDEX(Load,,MATCH('Summarized Source Data'!$C208,Hour,0)),Month,'Summarized Source Data'!$A208,Sector,'Summarized Source Data'!R$2,TimeOfWeek,$E208)*INDEX(About!N$79:N$82,MATCH($B208,About!$A$79:$A$82,0),1)</f>
        <v>11700000</v>
      </c>
      <c r="S208" s="33">
        <f>SUMIFS(INDEX(Load,,MATCH('Summarized Source Data'!$C208,Hour,0)),Month,'Summarized Source Data'!$A208,Sector,'Summarized Source Data'!S$2,TimeOfWeek,$E208)*INDEX(About!O$79:O$82,MATCH($B208,About!$A$79:$A$82,0),1)</f>
        <v>11700000</v>
      </c>
      <c r="T208" s="33">
        <f>SUMIFS(INDEX(Load,,MATCH('Summarized Source Data'!$C208,Hour,0)),Month,'Summarized Source Data'!$A208,Sector,'Summarized Source Data'!T$2,TimeOfWeek,$E208)*INDEX(About!P$79:P$82,MATCH($B208,About!$A$79:$A$82,0),1)</f>
        <v>11700000</v>
      </c>
      <c r="U208" s="33">
        <f>SUMIFS(INDEX(Load,,MATCH('Summarized Source Data'!$C208,Hour,0)),Month,'Summarized Source Data'!$A208,Sector,'Summarized Source Data'!U$2,TimeOfWeek,$E208)*INDEX(About!Q$79:Q$82,MATCH($B208,About!$A$79:$A$82,0),1)</f>
        <v>11700000</v>
      </c>
      <c r="V208" s="33">
        <f>SUMIFS(INDEX(Load,,MATCH('Summarized Source Data'!$C208,Hour,0)),Month,'Summarized Source Data'!$A208,Sector,'Summarized Source Data'!V$2,TimeOfWeek,$E208)*INDEX(About!R$79:R$82,MATCH($B208,About!$A$79:$A$82,0),1)</f>
        <v>11700000</v>
      </c>
      <c r="W208" s="33">
        <f>SUMIFS(INDEX(Load,,MATCH('Summarized Source Data'!$C208,Hour,0)),Month,'Summarized Source Data'!$A208,Sector,'Summarized Source Data'!W$2,TimeOfWeek,$E208)*INDEX(About!S$79:S$82,MATCH($B208,About!$A$79:$A$82,0),1)</f>
        <v>11700000</v>
      </c>
      <c r="X208" s="27">
        <f>SUMIFS(INDEX(Load,,MATCH('Summarized Source Data'!$C208,Hour,0)),Month,'Summarized Source Data'!$A208,Sector,'Summarized Source Data'!X$2,Subsector,'Summarized Source Data'!X$3,TimeOfWeek,$E208)*INDEX(About!T$79:T$82,MATCH($B208,About!$A$79:$A$82,0),1)</f>
        <v>671000000</v>
      </c>
      <c r="Y208" s="29">
        <f t="shared" si="19"/>
        <v>671000000</v>
      </c>
      <c r="Z208" s="29">
        <f t="shared" si="19"/>
        <v>671000000</v>
      </c>
    </row>
    <row r="209" spans="1:26" outlineLevel="1" x14ac:dyDescent="0.3">
      <c r="A209">
        <f t="shared" si="15"/>
        <v>9</v>
      </c>
      <c r="B209" t="str">
        <f>INDEX('Category Mapping'!$G$28:$G$39,MATCH(A209,'Category Mapping'!$A$28:$A$39,0),1)</f>
        <v>Fall</v>
      </c>
      <c r="C209" t="s">
        <v>76</v>
      </c>
      <c r="D209" s="6" t="s">
        <v>151</v>
      </c>
      <c r="E209" t="s">
        <v>49</v>
      </c>
      <c r="F209" s="27">
        <f>SUMIFS(INDEX(Load,,MATCH('Summarized Source Data'!$C209,Hour,0)),Month,'Summarized Source Data'!$A209,Sector,'Summarized Source Data'!F$2,Subsector,'Summarized Source Data'!F$3,TimeOfWeek,$E209)*INDEX(About!B$79:B$82,MATCH($B209,About!$A$79:$A$82,0),1)</f>
        <v>682107</v>
      </c>
      <c r="G209" s="27">
        <f>SUMIFS(INDEX(Load,,MATCH('Summarized Source Data'!$C209,Hour,0)),Month,'Summarized Source Data'!$A209,Sector,'Summarized Source Data'!G$2,Subsector,'Summarized Source Data'!G$3,TimeOfWeek,$E209)*INDEX(About!C$79:C$82,MATCH($B209,About!$A$79:$A$82,0),1)</f>
        <v>35500000</v>
      </c>
      <c r="H209" s="27">
        <f>SUMIFS(INDEX(Load,,MATCH('Summarized Source Data'!$C209,Hour,0)),Month,'Summarized Source Data'!$A209,Sector,'Summarized Source Data'!H$2,Subsector,'Summarized Source Data'!H$3,TimeOfWeek,$E209)*INDEX(About!D$79:D$82,MATCH($B209,About!$A$79:$A$82,0),1)</f>
        <v>0</v>
      </c>
      <c r="I209" s="27">
        <f>SUMIFS(INDEX(Load,,MATCH('Summarized Source Data'!$C209,Hour,0)),Month,'Summarized Source Data'!$A209,Sector,'Summarized Source Data'!I$2,Subsector,'Summarized Source Data'!I$3,TimeOfWeek,$E209)*INDEX(About!E$79:E$82,MATCH($B209,About!$A$79:$A$82,0),1)</f>
        <v>11100000</v>
      </c>
      <c r="J209" s="54">
        <f t="shared" si="16"/>
        <v>103717893</v>
      </c>
      <c r="K209" s="27">
        <f>(SUMIFS(INDEX(Load,,MATCH('Summarized Source Data'!$C209,Hour,0)),Month,'Summarized Source Data'!$A209,Sector,'Summarized Source Data'!K$2,Subsector,"Total",TimeOfWeek,$E209)-SUM(F209:I209))*INDEX(About!G$79:G$82,MATCH($B209,About!$A$79:$A$82,0),1)</f>
        <v>103717893</v>
      </c>
      <c r="L209" s="27">
        <f>SUMIFS(INDEX(Load,,MATCH('Summarized Source Data'!$C209,Hour,0)),Month,'Summarized Source Data'!$A209,Sector,'Summarized Source Data'!L$2,Subsector,'Summarized Source Data'!L$3,TimeOfWeek,$E209)*INDEX(About!H$79:H$82,MATCH($B209,About!$A$79:$A$82,0),1)</f>
        <v>984863</v>
      </c>
      <c r="M209" s="27">
        <f>SUMIFS(INDEX(Load,,MATCH('Summarized Source Data'!$C209,Hour,0)),Month,'Summarized Source Data'!$A209,Sector,'Summarized Source Data'!M$2,Subsector,'Summarized Source Data'!M$3,TimeOfWeek,$E209)*INDEX(About!I$79:I$82,MATCH($B209,About!$A$79:$A$82,0),1)</f>
        <v>143000000</v>
      </c>
      <c r="N209" s="27">
        <f>SUMIFS(INDEX(Load,,MATCH('Summarized Source Data'!$C209,Hour,0)),Month,'Summarized Source Data'!$A209,Sector,'Summarized Source Data'!N$2,Subsector,'Summarized Source Data'!N$3,TimeOfWeek,$E209)*INDEX(About!J$79:J$82,MATCH($B209,About!$A$79:$A$82,0),1)</f>
        <v>0</v>
      </c>
      <c r="O209" s="29">
        <f t="shared" si="17"/>
        <v>504015137</v>
      </c>
      <c r="P209" s="27">
        <f>(SUMIFS(INDEX(Load,,MATCH('Summarized Source Data'!$C209,Hour,0)),Month,'Summarized Source Data'!$A209,Sector,'Summarized Source Data'!P$2,Subsector,"Total",TimeOfWeek,$E209)-SUM(L209:N209)*INDEX(About!L$79:L$82,MATCH($B209,About!$A$79:$A$82,0),1))</f>
        <v>504015137</v>
      </c>
      <c r="Q209" s="29">
        <f t="shared" si="18"/>
        <v>504015137</v>
      </c>
      <c r="R209" s="33">
        <f>SUMIFS(INDEX(Load,,MATCH('Summarized Source Data'!$C209,Hour,0)),Month,'Summarized Source Data'!$A209,Sector,'Summarized Source Data'!R$2,TimeOfWeek,$E209)*INDEX(About!N$79:N$82,MATCH($B209,About!$A$79:$A$82,0),1)</f>
        <v>11700000</v>
      </c>
      <c r="S209" s="33">
        <f>SUMIFS(INDEX(Load,,MATCH('Summarized Source Data'!$C209,Hour,0)),Month,'Summarized Source Data'!$A209,Sector,'Summarized Source Data'!S$2,TimeOfWeek,$E209)*INDEX(About!O$79:O$82,MATCH($B209,About!$A$79:$A$82,0),1)</f>
        <v>11700000</v>
      </c>
      <c r="T209" s="33">
        <f>SUMIFS(INDEX(Load,,MATCH('Summarized Source Data'!$C209,Hour,0)),Month,'Summarized Source Data'!$A209,Sector,'Summarized Source Data'!T$2,TimeOfWeek,$E209)*INDEX(About!P$79:P$82,MATCH($B209,About!$A$79:$A$82,0),1)</f>
        <v>11700000</v>
      </c>
      <c r="U209" s="33">
        <f>SUMIFS(INDEX(Load,,MATCH('Summarized Source Data'!$C209,Hour,0)),Month,'Summarized Source Data'!$A209,Sector,'Summarized Source Data'!U$2,TimeOfWeek,$E209)*INDEX(About!Q$79:Q$82,MATCH($B209,About!$A$79:$A$82,0),1)</f>
        <v>11700000</v>
      </c>
      <c r="V209" s="33">
        <f>SUMIFS(INDEX(Load,,MATCH('Summarized Source Data'!$C209,Hour,0)),Month,'Summarized Source Data'!$A209,Sector,'Summarized Source Data'!V$2,TimeOfWeek,$E209)*INDEX(About!R$79:R$82,MATCH($B209,About!$A$79:$A$82,0),1)</f>
        <v>11700000</v>
      </c>
      <c r="W209" s="33">
        <f>SUMIFS(INDEX(Load,,MATCH('Summarized Source Data'!$C209,Hour,0)),Month,'Summarized Source Data'!$A209,Sector,'Summarized Source Data'!W$2,TimeOfWeek,$E209)*INDEX(About!S$79:S$82,MATCH($B209,About!$A$79:$A$82,0),1)</f>
        <v>11700000</v>
      </c>
      <c r="X209" s="27">
        <f>SUMIFS(INDEX(Load,,MATCH('Summarized Source Data'!$C209,Hour,0)),Month,'Summarized Source Data'!$A209,Sector,'Summarized Source Data'!X$2,Subsector,'Summarized Source Data'!X$3,TimeOfWeek,$E209)*INDEX(About!T$79:T$82,MATCH($B209,About!$A$79:$A$82,0),1)</f>
        <v>670000000</v>
      </c>
      <c r="Y209" s="29">
        <f t="shared" si="19"/>
        <v>670000000</v>
      </c>
      <c r="Z209" s="29">
        <f t="shared" si="19"/>
        <v>670000000</v>
      </c>
    </row>
    <row r="210" spans="1:26" outlineLevel="1" x14ac:dyDescent="0.3">
      <c r="A210">
        <f t="shared" si="15"/>
        <v>9</v>
      </c>
      <c r="B210" t="str">
        <f>INDEX('Category Mapping'!$G$28:$G$39,MATCH(A210,'Category Mapping'!$A$28:$A$39,0),1)</f>
        <v>Fall</v>
      </c>
      <c r="C210" t="s">
        <v>77</v>
      </c>
      <c r="D210" s="6" t="s">
        <v>152</v>
      </c>
      <c r="E210" t="s">
        <v>49</v>
      </c>
      <c r="F210" s="27">
        <f>SUMIFS(INDEX(Load,,MATCH('Summarized Source Data'!$C210,Hour,0)),Month,'Summarized Source Data'!$A210,Sector,'Summarized Source Data'!F$2,Subsector,'Summarized Source Data'!F$3,TimeOfWeek,$E210)*INDEX(About!B$79:B$82,MATCH($B210,About!$A$79:$A$82,0),1)</f>
        <v>691982</v>
      </c>
      <c r="G210" s="27">
        <f>SUMIFS(INDEX(Load,,MATCH('Summarized Source Data'!$C210,Hour,0)),Month,'Summarized Source Data'!$A210,Sector,'Summarized Source Data'!G$2,Subsector,'Summarized Source Data'!G$3,TimeOfWeek,$E210)*INDEX(About!C$79:C$82,MATCH($B210,About!$A$79:$A$82,0),1)</f>
        <v>37900000</v>
      </c>
      <c r="H210" s="27">
        <f>SUMIFS(INDEX(Load,,MATCH('Summarized Source Data'!$C210,Hour,0)),Month,'Summarized Source Data'!$A210,Sector,'Summarized Source Data'!H$2,Subsector,'Summarized Source Data'!H$3,TimeOfWeek,$E210)*INDEX(About!D$79:D$82,MATCH($B210,About!$A$79:$A$82,0),1)</f>
        <v>0</v>
      </c>
      <c r="I210" s="27">
        <f>SUMIFS(INDEX(Load,,MATCH('Summarized Source Data'!$C210,Hour,0)),Month,'Summarized Source Data'!$A210,Sector,'Summarized Source Data'!I$2,Subsector,'Summarized Source Data'!I$3,TimeOfWeek,$E210)*INDEX(About!E$79:E$82,MATCH($B210,About!$A$79:$A$82,0),1)</f>
        <v>11400000</v>
      </c>
      <c r="J210" s="54">
        <f t="shared" si="16"/>
        <v>108008018</v>
      </c>
      <c r="K210" s="27">
        <f>(SUMIFS(INDEX(Load,,MATCH('Summarized Source Data'!$C210,Hour,0)),Month,'Summarized Source Data'!$A210,Sector,'Summarized Source Data'!K$2,Subsector,"Total",TimeOfWeek,$E210)-SUM(F210:I210))*INDEX(About!G$79:G$82,MATCH($B210,About!$A$79:$A$82,0),1)</f>
        <v>108008018</v>
      </c>
      <c r="L210" s="27">
        <f>SUMIFS(INDEX(Load,,MATCH('Summarized Source Data'!$C210,Hour,0)),Month,'Summarized Source Data'!$A210,Sector,'Summarized Source Data'!L$2,Subsector,'Summarized Source Data'!L$3,TimeOfWeek,$E210)*INDEX(About!H$79:H$82,MATCH($B210,About!$A$79:$A$82,0),1)</f>
        <v>914936</v>
      </c>
      <c r="M210" s="27">
        <f>SUMIFS(INDEX(Load,,MATCH('Summarized Source Data'!$C210,Hour,0)),Month,'Summarized Source Data'!$A210,Sector,'Summarized Source Data'!M$2,Subsector,'Summarized Source Data'!M$3,TimeOfWeek,$E210)*INDEX(About!I$79:I$82,MATCH($B210,About!$A$79:$A$82,0),1)</f>
        <v>146000000</v>
      </c>
      <c r="N210" s="27">
        <f>SUMIFS(INDEX(Load,,MATCH('Summarized Source Data'!$C210,Hour,0)),Month,'Summarized Source Data'!$A210,Sector,'Summarized Source Data'!N$2,Subsector,'Summarized Source Data'!N$3,TimeOfWeek,$E210)*INDEX(About!J$79:J$82,MATCH($B210,About!$A$79:$A$82,0),1)</f>
        <v>0</v>
      </c>
      <c r="O210" s="29">
        <f t="shared" si="17"/>
        <v>505085064</v>
      </c>
      <c r="P210" s="27">
        <f>(SUMIFS(INDEX(Load,,MATCH('Summarized Source Data'!$C210,Hour,0)),Month,'Summarized Source Data'!$A210,Sector,'Summarized Source Data'!P$2,Subsector,"Total",TimeOfWeek,$E210)-SUM(L210:N210)*INDEX(About!L$79:L$82,MATCH($B210,About!$A$79:$A$82,0),1))</f>
        <v>505085064</v>
      </c>
      <c r="Q210" s="29">
        <f t="shared" si="18"/>
        <v>505085064</v>
      </c>
      <c r="R210" s="33">
        <f>SUMIFS(INDEX(Load,,MATCH('Summarized Source Data'!$C210,Hour,0)),Month,'Summarized Source Data'!$A210,Sector,'Summarized Source Data'!R$2,TimeOfWeek,$E210)*INDEX(About!N$79:N$82,MATCH($B210,About!$A$79:$A$82,0),1)</f>
        <v>11500000</v>
      </c>
      <c r="S210" s="33">
        <f>SUMIFS(INDEX(Load,,MATCH('Summarized Source Data'!$C210,Hour,0)),Month,'Summarized Source Data'!$A210,Sector,'Summarized Source Data'!S$2,TimeOfWeek,$E210)*INDEX(About!O$79:O$82,MATCH($B210,About!$A$79:$A$82,0),1)</f>
        <v>11500000</v>
      </c>
      <c r="T210" s="33">
        <f>SUMIFS(INDEX(Load,,MATCH('Summarized Source Data'!$C210,Hour,0)),Month,'Summarized Source Data'!$A210,Sector,'Summarized Source Data'!T$2,TimeOfWeek,$E210)*INDEX(About!P$79:P$82,MATCH($B210,About!$A$79:$A$82,0),1)</f>
        <v>11500000</v>
      </c>
      <c r="U210" s="33">
        <f>SUMIFS(INDEX(Load,,MATCH('Summarized Source Data'!$C210,Hour,0)),Month,'Summarized Source Data'!$A210,Sector,'Summarized Source Data'!U$2,TimeOfWeek,$E210)*INDEX(About!Q$79:Q$82,MATCH($B210,About!$A$79:$A$82,0),1)</f>
        <v>11500000</v>
      </c>
      <c r="V210" s="33">
        <f>SUMIFS(INDEX(Load,,MATCH('Summarized Source Data'!$C210,Hour,0)),Month,'Summarized Source Data'!$A210,Sector,'Summarized Source Data'!V$2,TimeOfWeek,$E210)*INDEX(About!R$79:R$82,MATCH($B210,About!$A$79:$A$82,0),1)</f>
        <v>11500000</v>
      </c>
      <c r="W210" s="33">
        <f>SUMIFS(INDEX(Load,,MATCH('Summarized Source Data'!$C210,Hour,0)),Month,'Summarized Source Data'!$A210,Sector,'Summarized Source Data'!W$2,TimeOfWeek,$E210)*INDEX(About!S$79:S$82,MATCH($B210,About!$A$79:$A$82,0),1)</f>
        <v>11500000</v>
      </c>
      <c r="X210" s="27">
        <f>SUMIFS(INDEX(Load,,MATCH('Summarized Source Data'!$C210,Hour,0)),Month,'Summarized Source Data'!$A210,Sector,'Summarized Source Data'!X$2,Subsector,'Summarized Source Data'!X$3,TimeOfWeek,$E210)*INDEX(About!T$79:T$82,MATCH($B210,About!$A$79:$A$82,0),1)</f>
        <v>671000000</v>
      </c>
      <c r="Y210" s="29">
        <f t="shared" si="19"/>
        <v>671000000</v>
      </c>
      <c r="Z210" s="29">
        <f t="shared" si="19"/>
        <v>671000000</v>
      </c>
    </row>
    <row r="211" spans="1:26" outlineLevel="1" x14ac:dyDescent="0.3">
      <c r="A211">
        <f t="shared" si="15"/>
        <v>9</v>
      </c>
      <c r="B211" t="str">
        <f>INDEX('Category Mapping'!$G$28:$G$39,MATCH(A211,'Category Mapping'!$A$28:$A$39,0),1)</f>
        <v>Fall</v>
      </c>
      <c r="C211" t="s">
        <v>78</v>
      </c>
      <c r="D211" s="6" t="s">
        <v>153</v>
      </c>
      <c r="E211" t="s">
        <v>49</v>
      </c>
      <c r="F211" s="27">
        <f>SUMIFS(INDEX(Load,,MATCH('Summarized Source Data'!$C211,Hour,0)),Month,'Summarized Source Data'!$A211,Sector,'Summarized Source Data'!F$2,Subsector,'Summarized Source Data'!F$3,TimeOfWeek,$E211)*INDEX(About!B$79:B$82,MATCH($B211,About!$A$79:$A$82,0),1)</f>
        <v>723881</v>
      </c>
      <c r="G211" s="27">
        <f>SUMIFS(INDEX(Load,,MATCH('Summarized Source Data'!$C211,Hour,0)),Month,'Summarized Source Data'!$A211,Sector,'Summarized Source Data'!G$2,Subsector,'Summarized Source Data'!G$3,TimeOfWeek,$E211)*INDEX(About!C$79:C$82,MATCH($B211,About!$A$79:$A$82,0),1)</f>
        <v>40400000</v>
      </c>
      <c r="H211" s="27">
        <f>SUMIFS(INDEX(Load,,MATCH('Summarized Source Data'!$C211,Hour,0)),Month,'Summarized Source Data'!$A211,Sector,'Summarized Source Data'!H$2,Subsector,'Summarized Source Data'!H$3,TimeOfWeek,$E211)*INDEX(About!D$79:D$82,MATCH($B211,About!$A$79:$A$82,0),1)</f>
        <v>0</v>
      </c>
      <c r="I211" s="27">
        <f>SUMIFS(INDEX(Load,,MATCH('Summarized Source Data'!$C211,Hour,0)),Month,'Summarized Source Data'!$A211,Sector,'Summarized Source Data'!I$2,Subsector,'Summarized Source Data'!I$3,TimeOfWeek,$E211)*INDEX(About!E$79:E$82,MATCH($B211,About!$A$79:$A$82,0),1)</f>
        <v>12300000</v>
      </c>
      <c r="J211" s="54">
        <f t="shared" si="16"/>
        <v>121576119</v>
      </c>
      <c r="K211" s="27">
        <f>(SUMIFS(INDEX(Load,,MATCH('Summarized Source Data'!$C211,Hour,0)),Month,'Summarized Source Data'!$A211,Sector,'Summarized Source Data'!K$2,Subsector,"Total",TimeOfWeek,$E211)-SUM(F211:I211))*INDEX(About!G$79:G$82,MATCH($B211,About!$A$79:$A$82,0),1)</f>
        <v>121576119</v>
      </c>
      <c r="L211" s="27">
        <f>SUMIFS(INDEX(Load,,MATCH('Summarized Source Data'!$C211,Hour,0)),Month,'Summarized Source Data'!$A211,Sector,'Summarized Source Data'!L$2,Subsector,'Summarized Source Data'!L$3,TimeOfWeek,$E211)*INDEX(About!H$79:H$82,MATCH($B211,About!$A$79:$A$82,0),1)</f>
        <v>850022</v>
      </c>
      <c r="M211" s="27">
        <f>SUMIFS(INDEX(Load,,MATCH('Summarized Source Data'!$C211,Hour,0)),Month,'Summarized Source Data'!$A211,Sector,'Summarized Source Data'!M$2,Subsector,'Summarized Source Data'!M$3,TimeOfWeek,$E211)*INDEX(About!I$79:I$82,MATCH($B211,About!$A$79:$A$82,0),1)</f>
        <v>145000000</v>
      </c>
      <c r="N211" s="27">
        <f>SUMIFS(INDEX(Load,,MATCH('Summarized Source Data'!$C211,Hour,0)),Month,'Summarized Source Data'!$A211,Sector,'Summarized Source Data'!N$2,Subsector,'Summarized Source Data'!N$3,TimeOfWeek,$E211)*INDEX(About!J$79:J$82,MATCH($B211,About!$A$79:$A$82,0),1)</f>
        <v>0</v>
      </c>
      <c r="O211" s="29">
        <f t="shared" si="17"/>
        <v>505149978</v>
      </c>
      <c r="P211" s="27">
        <f>(SUMIFS(INDEX(Load,,MATCH('Summarized Source Data'!$C211,Hour,0)),Month,'Summarized Source Data'!$A211,Sector,'Summarized Source Data'!P$2,Subsector,"Total",TimeOfWeek,$E211)-SUM(L211:N211)*INDEX(About!L$79:L$82,MATCH($B211,About!$A$79:$A$82,0),1))</f>
        <v>505149978</v>
      </c>
      <c r="Q211" s="29">
        <f t="shared" si="18"/>
        <v>505149978</v>
      </c>
      <c r="R211" s="33">
        <f>SUMIFS(INDEX(Load,,MATCH('Summarized Source Data'!$C211,Hour,0)),Month,'Summarized Source Data'!$A211,Sector,'Summarized Source Data'!R$2,TimeOfWeek,$E211)*INDEX(About!N$79:N$82,MATCH($B211,About!$A$79:$A$82,0),1)</f>
        <v>13700000</v>
      </c>
      <c r="S211" s="33">
        <f>SUMIFS(INDEX(Load,,MATCH('Summarized Source Data'!$C211,Hour,0)),Month,'Summarized Source Data'!$A211,Sector,'Summarized Source Data'!S$2,TimeOfWeek,$E211)*INDEX(About!O$79:O$82,MATCH($B211,About!$A$79:$A$82,0),1)</f>
        <v>13700000</v>
      </c>
      <c r="T211" s="33">
        <f>SUMIFS(INDEX(Load,,MATCH('Summarized Source Data'!$C211,Hour,0)),Month,'Summarized Source Data'!$A211,Sector,'Summarized Source Data'!T$2,TimeOfWeek,$E211)*INDEX(About!P$79:P$82,MATCH($B211,About!$A$79:$A$82,0),1)</f>
        <v>13700000</v>
      </c>
      <c r="U211" s="33">
        <f>SUMIFS(INDEX(Load,,MATCH('Summarized Source Data'!$C211,Hour,0)),Month,'Summarized Source Data'!$A211,Sector,'Summarized Source Data'!U$2,TimeOfWeek,$E211)*INDEX(About!Q$79:Q$82,MATCH($B211,About!$A$79:$A$82,0),1)</f>
        <v>13700000</v>
      </c>
      <c r="V211" s="33">
        <f>SUMIFS(INDEX(Load,,MATCH('Summarized Source Data'!$C211,Hour,0)),Month,'Summarized Source Data'!$A211,Sector,'Summarized Source Data'!V$2,TimeOfWeek,$E211)*INDEX(About!R$79:R$82,MATCH($B211,About!$A$79:$A$82,0),1)</f>
        <v>13700000</v>
      </c>
      <c r="W211" s="33">
        <f>SUMIFS(INDEX(Load,,MATCH('Summarized Source Data'!$C211,Hour,0)),Month,'Summarized Source Data'!$A211,Sector,'Summarized Source Data'!W$2,TimeOfWeek,$E211)*INDEX(About!S$79:S$82,MATCH($B211,About!$A$79:$A$82,0),1)</f>
        <v>13700000</v>
      </c>
      <c r="X211" s="27">
        <f>SUMIFS(INDEX(Load,,MATCH('Summarized Source Data'!$C211,Hour,0)),Month,'Summarized Source Data'!$A211,Sector,'Summarized Source Data'!X$2,Subsector,'Summarized Source Data'!X$3,TimeOfWeek,$E211)*INDEX(About!T$79:T$82,MATCH($B211,About!$A$79:$A$82,0),1)</f>
        <v>677000000</v>
      </c>
      <c r="Y211" s="29">
        <f t="shared" si="19"/>
        <v>677000000</v>
      </c>
      <c r="Z211" s="29">
        <f t="shared" si="19"/>
        <v>677000000</v>
      </c>
    </row>
    <row r="212" spans="1:26" outlineLevel="1" x14ac:dyDescent="0.3">
      <c r="A212">
        <f t="shared" si="15"/>
        <v>9</v>
      </c>
      <c r="B212" t="str">
        <f>INDEX('Category Mapping'!$G$28:$G$39,MATCH(A212,'Category Mapping'!$A$28:$A$39,0),1)</f>
        <v>Fall</v>
      </c>
      <c r="C212" t="s">
        <v>79</v>
      </c>
      <c r="D212" s="6" t="s">
        <v>154</v>
      </c>
      <c r="E212" t="s">
        <v>49</v>
      </c>
      <c r="F212" s="27">
        <f>SUMIFS(INDEX(Load,,MATCH('Summarized Source Data'!$C212,Hour,0)),Month,'Summarized Source Data'!$A212,Sector,'Summarized Source Data'!F$2,Subsector,'Summarized Source Data'!F$3,TimeOfWeek,$E212)*INDEX(About!B$79:B$82,MATCH($B212,About!$A$79:$A$82,0),1)</f>
        <v>762319</v>
      </c>
      <c r="G212" s="27">
        <f>SUMIFS(INDEX(Load,,MATCH('Summarized Source Data'!$C212,Hour,0)),Month,'Summarized Source Data'!$A212,Sector,'Summarized Source Data'!G$2,Subsector,'Summarized Source Data'!G$3,TimeOfWeek,$E212)*INDEX(About!C$79:C$82,MATCH($B212,About!$A$79:$A$82,0),1)</f>
        <v>41100000</v>
      </c>
      <c r="H212" s="27">
        <f>SUMIFS(INDEX(Load,,MATCH('Summarized Source Data'!$C212,Hour,0)),Month,'Summarized Source Data'!$A212,Sector,'Summarized Source Data'!H$2,Subsector,'Summarized Source Data'!H$3,TimeOfWeek,$E212)*INDEX(About!D$79:D$82,MATCH($B212,About!$A$79:$A$82,0),1)</f>
        <v>0</v>
      </c>
      <c r="I212" s="27">
        <f>SUMIFS(INDEX(Load,,MATCH('Summarized Source Data'!$C212,Hour,0)),Month,'Summarized Source Data'!$A212,Sector,'Summarized Source Data'!I$2,Subsector,'Summarized Source Data'!I$3,TimeOfWeek,$E212)*INDEX(About!E$79:E$82,MATCH($B212,About!$A$79:$A$82,0),1)</f>
        <v>13500000</v>
      </c>
      <c r="J212" s="54">
        <f t="shared" si="16"/>
        <v>146637681</v>
      </c>
      <c r="K212" s="27">
        <f>(SUMIFS(INDEX(Load,,MATCH('Summarized Source Data'!$C212,Hour,0)),Month,'Summarized Source Data'!$A212,Sector,'Summarized Source Data'!K$2,Subsector,"Total",TimeOfWeek,$E212)-SUM(F212:I212))*INDEX(About!G$79:G$82,MATCH($B212,About!$A$79:$A$82,0),1)</f>
        <v>146637681</v>
      </c>
      <c r="L212" s="27">
        <f>SUMIFS(INDEX(Load,,MATCH('Summarized Source Data'!$C212,Hour,0)),Month,'Summarized Source Data'!$A212,Sector,'Summarized Source Data'!L$2,Subsector,'Summarized Source Data'!L$3,TimeOfWeek,$E212)*INDEX(About!H$79:H$82,MATCH($B212,About!$A$79:$A$82,0),1)</f>
        <v>800877</v>
      </c>
      <c r="M212" s="27">
        <f>SUMIFS(INDEX(Load,,MATCH('Summarized Source Data'!$C212,Hour,0)),Month,'Summarized Source Data'!$A212,Sector,'Summarized Source Data'!M$2,Subsector,'Summarized Source Data'!M$3,TimeOfWeek,$E212)*INDEX(About!I$79:I$82,MATCH($B212,About!$A$79:$A$82,0),1)</f>
        <v>140000000</v>
      </c>
      <c r="N212" s="27">
        <f>SUMIFS(INDEX(Load,,MATCH('Summarized Source Data'!$C212,Hour,0)),Month,'Summarized Source Data'!$A212,Sector,'Summarized Source Data'!N$2,Subsector,'Summarized Source Data'!N$3,TimeOfWeek,$E212)*INDEX(About!J$79:J$82,MATCH($B212,About!$A$79:$A$82,0),1)</f>
        <v>0</v>
      </c>
      <c r="O212" s="29">
        <f t="shared" si="17"/>
        <v>488199123</v>
      </c>
      <c r="P212" s="27">
        <f>(SUMIFS(INDEX(Load,,MATCH('Summarized Source Data'!$C212,Hour,0)),Month,'Summarized Source Data'!$A212,Sector,'Summarized Source Data'!P$2,Subsector,"Total",TimeOfWeek,$E212)-SUM(L212:N212)*INDEX(About!L$79:L$82,MATCH($B212,About!$A$79:$A$82,0),1))</f>
        <v>488199123</v>
      </c>
      <c r="Q212" s="29">
        <f t="shared" si="18"/>
        <v>488199123</v>
      </c>
      <c r="R212" s="33">
        <f>SUMIFS(INDEX(Load,,MATCH('Summarized Source Data'!$C212,Hour,0)),Month,'Summarized Source Data'!$A212,Sector,'Summarized Source Data'!R$2,TimeOfWeek,$E212)*INDEX(About!N$79:N$82,MATCH($B212,About!$A$79:$A$82,0),1)</f>
        <v>15800000</v>
      </c>
      <c r="S212" s="33">
        <f>SUMIFS(INDEX(Load,,MATCH('Summarized Source Data'!$C212,Hour,0)),Month,'Summarized Source Data'!$A212,Sector,'Summarized Source Data'!S$2,TimeOfWeek,$E212)*INDEX(About!O$79:O$82,MATCH($B212,About!$A$79:$A$82,0),1)</f>
        <v>15800000</v>
      </c>
      <c r="T212" s="33">
        <f>SUMIFS(INDEX(Load,,MATCH('Summarized Source Data'!$C212,Hour,0)),Month,'Summarized Source Data'!$A212,Sector,'Summarized Source Data'!T$2,TimeOfWeek,$E212)*INDEX(About!P$79:P$82,MATCH($B212,About!$A$79:$A$82,0),1)</f>
        <v>15800000</v>
      </c>
      <c r="U212" s="33">
        <f>SUMIFS(INDEX(Load,,MATCH('Summarized Source Data'!$C212,Hour,0)),Month,'Summarized Source Data'!$A212,Sector,'Summarized Source Data'!U$2,TimeOfWeek,$E212)*INDEX(About!Q$79:Q$82,MATCH($B212,About!$A$79:$A$82,0),1)</f>
        <v>15800000</v>
      </c>
      <c r="V212" s="33">
        <f>SUMIFS(INDEX(Load,,MATCH('Summarized Source Data'!$C212,Hour,0)),Month,'Summarized Source Data'!$A212,Sector,'Summarized Source Data'!V$2,TimeOfWeek,$E212)*INDEX(About!R$79:R$82,MATCH($B212,About!$A$79:$A$82,0),1)</f>
        <v>15800000</v>
      </c>
      <c r="W212" s="33">
        <f>SUMIFS(INDEX(Load,,MATCH('Summarized Source Data'!$C212,Hour,0)),Month,'Summarized Source Data'!$A212,Sector,'Summarized Source Data'!W$2,TimeOfWeek,$E212)*INDEX(About!S$79:S$82,MATCH($B212,About!$A$79:$A$82,0),1)</f>
        <v>15800000</v>
      </c>
      <c r="X212" s="27">
        <f>SUMIFS(INDEX(Load,,MATCH('Summarized Source Data'!$C212,Hour,0)),Month,'Summarized Source Data'!$A212,Sector,'Summarized Source Data'!X$2,Subsector,'Summarized Source Data'!X$3,TimeOfWeek,$E212)*INDEX(About!T$79:T$82,MATCH($B212,About!$A$79:$A$82,0),1)</f>
        <v>683000000</v>
      </c>
      <c r="Y212" s="29">
        <f t="shared" si="19"/>
        <v>683000000</v>
      </c>
      <c r="Z212" s="29">
        <f t="shared" si="19"/>
        <v>683000000</v>
      </c>
    </row>
    <row r="213" spans="1:26" outlineLevel="1" x14ac:dyDescent="0.3">
      <c r="A213">
        <f t="shared" si="15"/>
        <v>9</v>
      </c>
      <c r="B213" t="str">
        <f>INDEX('Category Mapping'!$G$28:$G$39,MATCH(A213,'Category Mapping'!$A$28:$A$39,0),1)</f>
        <v>Fall</v>
      </c>
      <c r="C213" t="s">
        <v>80</v>
      </c>
      <c r="D213" s="6" t="s">
        <v>155</v>
      </c>
      <c r="E213" t="s">
        <v>49</v>
      </c>
      <c r="F213" s="27">
        <f>SUMIFS(INDEX(Load,,MATCH('Summarized Source Data'!$C213,Hour,0)),Month,'Summarized Source Data'!$A213,Sector,'Summarized Source Data'!F$2,Subsector,'Summarized Source Data'!F$3,TimeOfWeek,$E213)*INDEX(About!B$79:B$82,MATCH($B213,About!$A$79:$A$82,0),1)</f>
        <v>804548</v>
      </c>
      <c r="G213" s="27">
        <f>SUMIFS(INDEX(Load,,MATCH('Summarized Source Data'!$C213,Hour,0)),Month,'Summarized Source Data'!$A213,Sector,'Summarized Source Data'!G$2,Subsector,'Summarized Source Data'!G$3,TimeOfWeek,$E213)*INDEX(About!C$79:C$82,MATCH($B213,About!$A$79:$A$82,0),1)</f>
        <v>39700000</v>
      </c>
      <c r="H213" s="27">
        <f>SUMIFS(INDEX(Load,,MATCH('Summarized Source Data'!$C213,Hour,0)),Month,'Summarized Source Data'!$A213,Sector,'Summarized Source Data'!H$2,Subsector,'Summarized Source Data'!H$3,TimeOfWeek,$E213)*INDEX(About!D$79:D$82,MATCH($B213,About!$A$79:$A$82,0),1)</f>
        <v>0</v>
      </c>
      <c r="I213" s="27">
        <f>SUMIFS(INDEX(Load,,MATCH('Summarized Source Data'!$C213,Hour,0)),Month,'Summarized Source Data'!$A213,Sector,'Summarized Source Data'!I$2,Subsector,'Summarized Source Data'!I$3,TimeOfWeek,$E213)*INDEX(About!E$79:E$82,MATCH($B213,About!$A$79:$A$82,0),1)</f>
        <v>29600000</v>
      </c>
      <c r="J213" s="54">
        <f t="shared" si="16"/>
        <v>161895452</v>
      </c>
      <c r="K213" s="27">
        <f>(SUMIFS(INDEX(Load,,MATCH('Summarized Source Data'!$C213,Hour,0)),Month,'Summarized Source Data'!$A213,Sector,'Summarized Source Data'!K$2,Subsector,"Total",TimeOfWeek,$E213)-SUM(F213:I213))*INDEX(About!G$79:G$82,MATCH($B213,About!$A$79:$A$82,0),1)</f>
        <v>161895452</v>
      </c>
      <c r="L213" s="27">
        <f>SUMIFS(INDEX(Load,,MATCH('Summarized Source Data'!$C213,Hour,0)),Month,'Summarized Source Data'!$A213,Sector,'Summarized Source Data'!L$2,Subsector,'Summarized Source Data'!L$3,TimeOfWeek,$E213)*INDEX(About!H$79:H$82,MATCH($B213,About!$A$79:$A$82,0),1)</f>
        <v>854753</v>
      </c>
      <c r="M213" s="27">
        <f>SUMIFS(INDEX(Load,,MATCH('Summarized Source Data'!$C213,Hour,0)),Month,'Summarized Source Data'!$A213,Sector,'Summarized Source Data'!M$2,Subsector,'Summarized Source Data'!M$3,TimeOfWeek,$E213)*INDEX(About!I$79:I$82,MATCH($B213,About!$A$79:$A$82,0),1)</f>
        <v>130000000</v>
      </c>
      <c r="N213" s="27">
        <f>SUMIFS(INDEX(Load,,MATCH('Summarized Source Data'!$C213,Hour,0)),Month,'Summarized Source Data'!$A213,Sector,'Summarized Source Data'!N$2,Subsector,'Summarized Source Data'!N$3,TimeOfWeek,$E213)*INDEX(About!J$79:J$82,MATCH($B213,About!$A$79:$A$82,0),1)</f>
        <v>0</v>
      </c>
      <c r="O213" s="29">
        <f t="shared" si="17"/>
        <v>459145247</v>
      </c>
      <c r="P213" s="27">
        <f>(SUMIFS(INDEX(Load,,MATCH('Summarized Source Data'!$C213,Hour,0)),Month,'Summarized Source Data'!$A213,Sector,'Summarized Source Data'!P$2,Subsector,"Total",TimeOfWeek,$E213)-SUM(L213:N213)*INDEX(About!L$79:L$82,MATCH($B213,About!$A$79:$A$82,0),1))</f>
        <v>459145247</v>
      </c>
      <c r="Q213" s="29">
        <f t="shared" si="18"/>
        <v>459145247</v>
      </c>
      <c r="R213" s="33">
        <f>SUMIFS(INDEX(Load,,MATCH('Summarized Source Data'!$C213,Hour,0)),Month,'Summarized Source Data'!$A213,Sector,'Summarized Source Data'!R$2,TimeOfWeek,$E213)*INDEX(About!N$79:N$82,MATCH($B213,About!$A$79:$A$82,0),1)</f>
        <v>16700000</v>
      </c>
      <c r="S213" s="33">
        <f>SUMIFS(INDEX(Load,,MATCH('Summarized Source Data'!$C213,Hour,0)),Month,'Summarized Source Data'!$A213,Sector,'Summarized Source Data'!S$2,TimeOfWeek,$E213)*INDEX(About!O$79:O$82,MATCH($B213,About!$A$79:$A$82,0),1)</f>
        <v>16700000</v>
      </c>
      <c r="T213" s="33">
        <f>SUMIFS(INDEX(Load,,MATCH('Summarized Source Data'!$C213,Hour,0)),Month,'Summarized Source Data'!$A213,Sector,'Summarized Source Data'!T$2,TimeOfWeek,$E213)*INDEX(About!P$79:P$82,MATCH($B213,About!$A$79:$A$82,0),1)</f>
        <v>16700000</v>
      </c>
      <c r="U213" s="33">
        <f>SUMIFS(INDEX(Load,,MATCH('Summarized Source Data'!$C213,Hour,0)),Month,'Summarized Source Data'!$A213,Sector,'Summarized Source Data'!U$2,TimeOfWeek,$E213)*INDEX(About!Q$79:Q$82,MATCH($B213,About!$A$79:$A$82,0),1)</f>
        <v>16700000</v>
      </c>
      <c r="V213" s="33">
        <f>SUMIFS(INDEX(Load,,MATCH('Summarized Source Data'!$C213,Hour,0)),Month,'Summarized Source Data'!$A213,Sector,'Summarized Source Data'!V$2,TimeOfWeek,$E213)*INDEX(About!R$79:R$82,MATCH($B213,About!$A$79:$A$82,0),1)</f>
        <v>16700000</v>
      </c>
      <c r="W213" s="33">
        <f>SUMIFS(INDEX(Load,,MATCH('Summarized Source Data'!$C213,Hour,0)),Month,'Summarized Source Data'!$A213,Sector,'Summarized Source Data'!W$2,TimeOfWeek,$E213)*INDEX(About!S$79:S$82,MATCH($B213,About!$A$79:$A$82,0),1)</f>
        <v>16700000</v>
      </c>
      <c r="X213" s="27">
        <f>SUMIFS(INDEX(Load,,MATCH('Summarized Source Data'!$C213,Hour,0)),Month,'Summarized Source Data'!$A213,Sector,'Summarized Source Data'!X$2,Subsector,'Summarized Source Data'!X$3,TimeOfWeek,$E213)*INDEX(About!T$79:T$82,MATCH($B213,About!$A$79:$A$82,0),1)</f>
        <v>685000000</v>
      </c>
      <c r="Y213" s="29">
        <f t="shared" si="19"/>
        <v>685000000</v>
      </c>
      <c r="Z213" s="29">
        <f t="shared" si="19"/>
        <v>685000000</v>
      </c>
    </row>
    <row r="214" spans="1:26" outlineLevel="1" x14ac:dyDescent="0.3">
      <c r="A214">
        <f t="shared" si="15"/>
        <v>9</v>
      </c>
      <c r="B214" t="str">
        <f>INDEX('Category Mapping'!$G$28:$G$39,MATCH(A214,'Category Mapping'!$A$28:$A$39,0),1)</f>
        <v>Fall</v>
      </c>
      <c r="C214" t="s">
        <v>81</v>
      </c>
      <c r="D214" s="6" t="s">
        <v>156</v>
      </c>
      <c r="E214" t="s">
        <v>49</v>
      </c>
      <c r="F214" s="27">
        <f>SUMIFS(INDEX(Load,,MATCH('Summarized Source Data'!$C214,Hour,0)),Month,'Summarized Source Data'!$A214,Sector,'Summarized Source Data'!F$2,Subsector,'Summarized Source Data'!F$3,TimeOfWeek,$E214)*INDEX(About!B$79:B$82,MATCH($B214,About!$A$79:$A$82,0),1)</f>
        <v>852579</v>
      </c>
      <c r="G214" s="27">
        <f>SUMIFS(INDEX(Load,,MATCH('Summarized Source Data'!$C214,Hour,0)),Month,'Summarized Source Data'!$A214,Sector,'Summarized Source Data'!G$2,Subsector,'Summarized Source Data'!G$3,TimeOfWeek,$E214)*INDEX(About!C$79:C$82,MATCH($B214,About!$A$79:$A$82,0),1)</f>
        <v>36300000</v>
      </c>
      <c r="H214" s="27">
        <f>SUMIFS(INDEX(Load,,MATCH('Summarized Source Data'!$C214,Hour,0)),Month,'Summarized Source Data'!$A214,Sector,'Summarized Source Data'!H$2,Subsector,'Summarized Source Data'!H$3,TimeOfWeek,$E214)*INDEX(About!D$79:D$82,MATCH($B214,About!$A$79:$A$82,0),1)</f>
        <v>0</v>
      </c>
      <c r="I214" s="27">
        <f>SUMIFS(INDEX(Load,,MATCH('Summarized Source Data'!$C214,Hour,0)),Month,'Summarized Source Data'!$A214,Sector,'Summarized Source Data'!I$2,Subsector,'Summarized Source Data'!I$3,TimeOfWeek,$E214)*INDEX(About!E$79:E$82,MATCH($B214,About!$A$79:$A$82,0),1)</f>
        <v>53600000</v>
      </c>
      <c r="J214" s="54">
        <f t="shared" si="16"/>
        <v>157247421</v>
      </c>
      <c r="K214" s="27">
        <f>(SUMIFS(INDEX(Load,,MATCH('Summarized Source Data'!$C214,Hour,0)),Month,'Summarized Source Data'!$A214,Sector,'Summarized Source Data'!K$2,Subsector,"Total",TimeOfWeek,$E214)-SUM(F214:I214))*INDEX(About!G$79:G$82,MATCH($B214,About!$A$79:$A$82,0),1)</f>
        <v>157247421</v>
      </c>
      <c r="L214" s="27">
        <f>SUMIFS(INDEX(Load,,MATCH('Summarized Source Data'!$C214,Hour,0)),Month,'Summarized Source Data'!$A214,Sector,'Summarized Source Data'!L$2,Subsector,'Summarized Source Data'!L$3,TimeOfWeek,$E214)*INDEX(About!H$79:H$82,MATCH($B214,About!$A$79:$A$82,0),1)</f>
        <v>1035695</v>
      </c>
      <c r="M214" s="27">
        <f>SUMIFS(INDEX(Load,,MATCH('Summarized Source Data'!$C214,Hour,0)),Month,'Summarized Source Data'!$A214,Sector,'Summarized Source Data'!M$2,Subsector,'Summarized Source Data'!M$3,TimeOfWeek,$E214)*INDEX(About!I$79:I$82,MATCH($B214,About!$A$79:$A$82,0),1)</f>
        <v>119000000</v>
      </c>
      <c r="N214" s="27">
        <f>SUMIFS(INDEX(Load,,MATCH('Summarized Source Data'!$C214,Hour,0)),Month,'Summarized Source Data'!$A214,Sector,'Summarized Source Data'!N$2,Subsector,'Summarized Source Data'!N$3,TimeOfWeek,$E214)*INDEX(About!J$79:J$82,MATCH($B214,About!$A$79:$A$82,0),1)</f>
        <v>0</v>
      </c>
      <c r="O214" s="29">
        <f t="shared" si="17"/>
        <v>435964305</v>
      </c>
      <c r="P214" s="27">
        <f>(SUMIFS(INDEX(Load,,MATCH('Summarized Source Data'!$C214,Hour,0)),Month,'Summarized Source Data'!$A214,Sector,'Summarized Source Data'!P$2,Subsector,"Total",TimeOfWeek,$E214)-SUM(L214:N214)*INDEX(About!L$79:L$82,MATCH($B214,About!$A$79:$A$82,0),1))</f>
        <v>435964305</v>
      </c>
      <c r="Q214" s="29">
        <f t="shared" si="18"/>
        <v>435964305</v>
      </c>
      <c r="R214" s="33">
        <f>SUMIFS(INDEX(Load,,MATCH('Summarized Source Data'!$C214,Hour,0)),Month,'Summarized Source Data'!$A214,Sector,'Summarized Source Data'!R$2,TimeOfWeek,$E214)*INDEX(About!N$79:N$82,MATCH($B214,About!$A$79:$A$82,0),1)</f>
        <v>15400000</v>
      </c>
      <c r="S214" s="33">
        <f>SUMIFS(INDEX(Load,,MATCH('Summarized Source Data'!$C214,Hour,0)),Month,'Summarized Source Data'!$A214,Sector,'Summarized Source Data'!S$2,TimeOfWeek,$E214)*INDEX(About!O$79:O$82,MATCH($B214,About!$A$79:$A$82,0),1)</f>
        <v>15400000</v>
      </c>
      <c r="T214" s="33">
        <f>SUMIFS(INDEX(Load,,MATCH('Summarized Source Data'!$C214,Hour,0)),Month,'Summarized Source Data'!$A214,Sector,'Summarized Source Data'!T$2,TimeOfWeek,$E214)*INDEX(About!P$79:P$82,MATCH($B214,About!$A$79:$A$82,0),1)</f>
        <v>15400000</v>
      </c>
      <c r="U214" s="33">
        <f>SUMIFS(INDEX(Load,,MATCH('Summarized Source Data'!$C214,Hour,0)),Month,'Summarized Source Data'!$A214,Sector,'Summarized Source Data'!U$2,TimeOfWeek,$E214)*INDEX(About!Q$79:Q$82,MATCH($B214,About!$A$79:$A$82,0),1)</f>
        <v>15400000</v>
      </c>
      <c r="V214" s="33">
        <f>SUMIFS(INDEX(Load,,MATCH('Summarized Source Data'!$C214,Hour,0)),Month,'Summarized Source Data'!$A214,Sector,'Summarized Source Data'!V$2,TimeOfWeek,$E214)*INDEX(About!R$79:R$82,MATCH($B214,About!$A$79:$A$82,0),1)</f>
        <v>15400000</v>
      </c>
      <c r="W214" s="33">
        <f>SUMIFS(INDEX(Load,,MATCH('Summarized Source Data'!$C214,Hour,0)),Month,'Summarized Source Data'!$A214,Sector,'Summarized Source Data'!W$2,TimeOfWeek,$E214)*INDEX(About!S$79:S$82,MATCH($B214,About!$A$79:$A$82,0),1)</f>
        <v>15400000</v>
      </c>
      <c r="X214" s="27">
        <f>SUMIFS(INDEX(Load,,MATCH('Summarized Source Data'!$C214,Hour,0)),Month,'Summarized Source Data'!$A214,Sector,'Summarized Source Data'!X$2,Subsector,'Summarized Source Data'!X$3,TimeOfWeek,$E214)*INDEX(About!T$79:T$82,MATCH($B214,About!$A$79:$A$82,0),1)</f>
        <v>681000000</v>
      </c>
      <c r="Y214" s="29">
        <f t="shared" si="19"/>
        <v>681000000</v>
      </c>
      <c r="Z214" s="29">
        <f t="shared" si="19"/>
        <v>681000000</v>
      </c>
    </row>
    <row r="215" spans="1:26" outlineLevel="1" x14ac:dyDescent="0.3">
      <c r="A215">
        <f t="shared" si="15"/>
        <v>9</v>
      </c>
      <c r="B215" t="str">
        <f>INDEX('Category Mapping'!$G$28:$G$39,MATCH(A215,'Category Mapping'!$A$28:$A$39,0),1)</f>
        <v>Fall</v>
      </c>
      <c r="C215" t="s">
        <v>82</v>
      </c>
      <c r="D215" s="6" t="s">
        <v>157</v>
      </c>
      <c r="E215" t="s">
        <v>49</v>
      </c>
      <c r="F215" s="27">
        <f>SUMIFS(INDEX(Load,,MATCH('Summarized Source Data'!$C215,Hour,0)),Month,'Summarized Source Data'!$A215,Sector,'Summarized Source Data'!F$2,Subsector,'Summarized Source Data'!F$3,TimeOfWeek,$E215)*INDEX(About!B$79:B$82,MATCH($B215,About!$A$79:$A$82,0),1)</f>
        <v>894935</v>
      </c>
      <c r="G215" s="27">
        <f>SUMIFS(INDEX(Load,,MATCH('Summarized Source Data'!$C215,Hour,0)),Month,'Summarized Source Data'!$A215,Sector,'Summarized Source Data'!G$2,Subsector,'Summarized Source Data'!G$3,TimeOfWeek,$E215)*INDEX(About!C$79:C$82,MATCH($B215,About!$A$79:$A$82,0),1)</f>
        <v>30400000</v>
      </c>
      <c r="H215" s="27">
        <f>SUMIFS(INDEX(Load,,MATCH('Summarized Source Data'!$C215,Hour,0)),Month,'Summarized Source Data'!$A215,Sector,'Summarized Source Data'!H$2,Subsector,'Summarized Source Data'!H$3,TimeOfWeek,$E215)*INDEX(About!D$79:D$82,MATCH($B215,About!$A$79:$A$82,0),1)</f>
        <v>0</v>
      </c>
      <c r="I215" s="27">
        <f>SUMIFS(INDEX(Load,,MATCH('Summarized Source Data'!$C215,Hour,0)),Month,'Summarized Source Data'!$A215,Sector,'Summarized Source Data'!I$2,Subsector,'Summarized Source Data'!I$3,TimeOfWeek,$E215)*INDEX(About!E$79:E$82,MATCH($B215,About!$A$79:$A$82,0),1)</f>
        <v>57700000</v>
      </c>
      <c r="J215" s="54">
        <f t="shared" si="16"/>
        <v>149005065</v>
      </c>
      <c r="K215" s="27">
        <f>(SUMIFS(INDEX(Load,,MATCH('Summarized Source Data'!$C215,Hour,0)),Month,'Summarized Source Data'!$A215,Sector,'Summarized Source Data'!K$2,Subsector,"Total",TimeOfWeek,$E215)-SUM(F215:I215))*INDEX(About!G$79:G$82,MATCH($B215,About!$A$79:$A$82,0),1)</f>
        <v>149005065</v>
      </c>
      <c r="L215" s="27">
        <f>SUMIFS(INDEX(Load,,MATCH('Summarized Source Data'!$C215,Hour,0)),Month,'Summarized Source Data'!$A215,Sector,'Summarized Source Data'!L$2,Subsector,'Summarized Source Data'!L$3,TimeOfWeek,$E215)*INDEX(About!H$79:H$82,MATCH($B215,About!$A$79:$A$82,0),1)</f>
        <v>1282673</v>
      </c>
      <c r="M215" s="27">
        <f>SUMIFS(INDEX(Load,,MATCH('Summarized Source Data'!$C215,Hour,0)),Month,'Summarized Source Data'!$A215,Sector,'Summarized Source Data'!M$2,Subsector,'Summarized Source Data'!M$3,TimeOfWeek,$E215)*INDEX(About!I$79:I$82,MATCH($B215,About!$A$79:$A$82,0),1)</f>
        <v>106000000</v>
      </c>
      <c r="N215" s="27">
        <f>SUMIFS(INDEX(Load,,MATCH('Summarized Source Data'!$C215,Hour,0)),Month,'Summarized Source Data'!$A215,Sector,'Summarized Source Data'!N$2,Subsector,'Summarized Source Data'!N$3,TimeOfWeek,$E215)*INDEX(About!J$79:J$82,MATCH($B215,About!$A$79:$A$82,0),1)</f>
        <v>0</v>
      </c>
      <c r="O215" s="29">
        <f t="shared" si="17"/>
        <v>364717327</v>
      </c>
      <c r="P215" s="27">
        <f>(SUMIFS(INDEX(Load,,MATCH('Summarized Source Data'!$C215,Hour,0)),Month,'Summarized Source Data'!$A215,Sector,'Summarized Source Data'!P$2,Subsector,"Total",TimeOfWeek,$E215)-SUM(L215:N215)*INDEX(About!L$79:L$82,MATCH($B215,About!$A$79:$A$82,0),1))</f>
        <v>364717327</v>
      </c>
      <c r="Q215" s="29">
        <f t="shared" si="18"/>
        <v>364717327</v>
      </c>
      <c r="R215" s="33">
        <f>SUMIFS(INDEX(Load,,MATCH('Summarized Source Data'!$C215,Hour,0)),Month,'Summarized Source Data'!$A215,Sector,'Summarized Source Data'!R$2,TimeOfWeek,$E215)*INDEX(About!N$79:N$82,MATCH($B215,About!$A$79:$A$82,0),1)</f>
        <v>12500000</v>
      </c>
      <c r="S215" s="33">
        <f>SUMIFS(INDEX(Load,,MATCH('Summarized Source Data'!$C215,Hour,0)),Month,'Summarized Source Data'!$A215,Sector,'Summarized Source Data'!S$2,TimeOfWeek,$E215)*INDEX(About!O$79:O$82,MATCH($B215,About!$A$79:$A$82,0),1)</f>
        <v>12500000</v>
      </c>
      <c r="T215" s="33">
        <f>SUMIFS(INDEX(Load,,MATCH('Summarized Source Data'!$C215,Hour,0)),Month,'Summarized Source Data'!$A215,Sector,'Summarized Source Data'!T$2,TimeOfWeek,$E215)*INDEX(About!P$79:P$82,MATCH($B215,About!$A$79:$A$82,0),1)</f>
        <v>12500000</v>
      </c>
      <c r="U215" s="33">
        <f>SUMIFS(INDEX(Load,,MATCH('Summarized Source Data'!$C215,Hour,0)),Month,'Summarized Source Data'!$A215,Sector,'Summarized Source Data'!U$2,TimeOfWeek,$E215)*INDEX(About!Q$79:Q$82,MATCH($B215,About!$A$79:$A$82,0),1)</f>
        <v>12500000</v>
      </c>
      <c r="V215" s="33">
        <f>SUMIFS(INDEX(Load,,MATCH('Summarized Source Data'!$C215,Hour,0)),Month,'Summarized Source Data'!$A215,Sector,'Summarized Source Data'!V$2,TimeOfWeek,$E215)*INDEX(About!R$79:R$82,MATCH($B215,About!$A$79:$A$82,0),1)</f>
        <v>12500000</v>
      </c>
      <c r="W215" s="33">
        <f>SUMIFS(INDEX(Load,,MATCH('Summarized Source Data'!$C215,Hour,0)),Month,'Summarized Source Data'!$A215,Sector,'Summarized Source Data'!W$2,TimeOfWeek,$E215)*INDEX(About!S$79:S$82,MATCH($B215,About!$A$79:$A$82,0),1)</f>
        <v>12500000</v>
      </c>
      <c r="X215" s="27">
        <f>SUMIFS(INDEX(Load,,MATCH('Summarized Source Data'!$C215,Hour,0)),Month,'Summarized Source Data'!$A215,Sector,'Summarized Source Data'!X$2,Subsector,'Summarized Source Data'!X$3,TimeOfWeek,$E215)*INDEX(About!T$79:T$82,MATCH($B215,About!$A$79:$A$82,0),1)</f>
        <v>677000000</v>
      </c>
      <c r="Y215" s="29">
        <f t="shared" si="19"/>
        <v>677000000</v>
      </c>
      <c r="Z215" s="29">
        <f t="shared" si="19"/>
        <v>677000000</v>
      </c>
    </row>
    <row r="216" spans="1:26" outlineLevel="1" x14ac:dyDescent="0.3">
      <c r="A216">
        <f t="shared" si="15"/>
        <v>9</v>
      </c>
      <c r="B216" t="str">
        <f>INDEX('Category Mapping'!$G$28:$G$39,MATCH(A216,'Category Mapping'!$A$28:$A$39,0),1)</f>
        <v>Fall</v>
      </c>
      <c r="C216" t="s">
        <v>83</v>
      </c>
      <c r="D216" s="6" t="s">
        <v>158</v>
      </c>
      <c r="E216" t="s">
        <v>49</v>
      </c>
      <c r="F216" s="27">
        <f>SUMIFS(INDEX(Load,,MATCH('Summarized Source Data'!$C216,Hour,0)),Month,'Summarized Source Data'!$A216,Sector,'Summarized Source Data'!F$2,Subsector,'Summarized Source Data'!F$3,TimeOfWeek,$E216)*INDEX(About!B$79:B$82,MATCH($B216,About!$A$79:$A$82,0),1)</f>
        <v>904323</v>
      </c>
      <c r="G216" s="27">
        <f>SUMIFS(INDEX(Load,,MATCH('Summarized Source Data'!$C216,Hour,0)),Month,'Summarized Source Data'!$A216,Sector,'Summarized Source Data'!G$2,Subsector,'Summarized Source Data'!G$3,TimeOfWeek,$E216)*INDEX(About!C$79:C$82,MATCH($B216,About!$A$79:$A$82,0),1)</f>
        <v>22200000</v>
      </c>
      <c r="H216" s="27">
        <f>SUMIFS(INDEX(Load,,MATCH('Summarized Source Data'!$C216,Hour,0)),Month,'Summarized Source Data'!$A216,Sector,'Summarized Source Data'!H$2,Subsector,'Summarized Source Data'!H$3,TimeOfWeek,$E216)*INDEX(About!D$79:D$82,MATCH($B216,About!$A$79:$A$82,0),1)</f>
        <v>0</v>
      </c>
      <c r="I216" s="27">
        <f>SUMIFS(INDEX(Load,,MATCH('Summarized Source Data'!$C216,Hour,0)),Month,'Summarized Source Data'!$A216,Sector,'Summarized Source Data'!I$2,Subsector,'Summarized Source Data'!I$3,TimeOfWeek,$E216)*INDEX(About!E$79:E$82,MATCH($B216,About!$A$79:$A$82,0),1)</f>
        <v>58600000</v>
      </c>
      <c r="J216" s="54">
        <f t="shared" si="16"/>
        <v>146295677</v>
      </c>
      <c r="K216" s="27">
        <f>(SUMIFS(INDEX(Load,,MATCH('Summarized Source Data'!$C216,Hour,0)),Month,'Summarized Source Data'!$A216,Sector,'Summarized Source Data'!K$2,Subsector,"Total",TimeOfWeek,$E216)-SUM(F216:I216))*INDEX(About!G$79:G$82,MATCH($B216,About!$A$79:$A$82,0),1)</f>
        <v>146295677</v>
      </c>
      <c r="L216" s="27">
        <f>SUMIFS(INDEX(Load,,MATCH('Summarized Source Data'!$C216,Hour,0)),Month,'Summarized Source Data'!$A216,Sector,'Summarized Source Data'!L$2,Subsector,'Summarized Source Data'!L$3,TimeOfWeek,$E216)*INDEX(About!H$79:H$82,MATCH($B216,About!$A$79:$A$82,0),1)</f>
        <v>1724551</v>
      </c>
      <c r="M216" s="27">
        <f>SUMIFS(INDEX(Load,,MATCH('Summarized Source Data'!$C216,Hour,0)),Month,'Summarized Source Data'!$A216,Sector,'Summarized Source Data'!M$2,Subsector,'Summarized Source Data'!M$3,TimeOfWeek,$E216)*INDEX(About!I$79:I$82,MATCH($B216,About!$A$79:$A$82,0),1)</f>
        <v>93000000</v>
      </c>
      <c r="N216" s="27">
        <f>SUMIFS(INDEX(Load,,MATCH('Summarized Source Data'!$C216,Hour,0)),Month,'Summarized Source Data'!$A216,Sector,'Summarized Source Data'!N$2,Subsector,'Summarized Source Data'!N$3,TimeOfWeek,$E216)*INDEX(About!J$79:J$82,MATCH($B216,About!$A$79:$A$82,0),1)</f>
        <v>0</v>
      </c>
      <c r="O216" s="29">
        <f t="shared" si="17"/>
        <v>302275449</v>
      </c>
      <c r="P216" s="27">
        <f>(SUMIFS(INDEX(Load,,MATCH('Summarized Source Data'!$C216,Hour,0)),Month,'Summarized Source Data'!$A216,Sector,'Summarized Source Data'!P$2,Subsector,"Total",TimeOfWeek,$E216)-SUM(L216:N216)*INDEX(About!L$79:L$82,MATCH($B216,About!$A$79:$A$82,0),1))</f>
        <v>302275449</v>
      </c>
      <c r="Q216" s="29">
        <f t="shared" si="18"/>
        <v>302275449</v>
      </c>
      <c r="R216" s="33">
        <f>SUMIFS(INDEX(Load,,MATCH('Summarized Source Data'!$C216,Hour,0)),Month,'Summarized Source Data'!$A216,Sector,'Summarized Source Data'!R$2,TimeOfWeek,$E216)*INDEX(About!N$79:N$82,MATCH($B216,About!$A$79:$A$82,0),1)</f>
        <v>11500000</v>
      </c>
      <c r="S216" s="33">
        <f>SUMIFS(INDEX(Load,,MATCH('Summarized Source Data'!$C216,Hour,0)),Month,'Summarized Source Data'!$A216,Sector,'Summarized Source Data'!S$2,TimeOfWeek,$E216)*INDEX(About!O$79:O$82,MATCH($B216,About!$A$79:$A$82,0),1)</f>
        <v>11500000</v>
      </c>
      <c r="T216" s="33">
        <f>SUMIFS(INDEX(Load,,MATCH('Summarized Source Data'!$C216,Hour,0)),Month,'Summarized Source Data'!$A216,Sector,'Summarized Source Data'!T$2,TimeOfWeek,$E216)*INDEX(About!P$79:P$82,MATCH($B216,About!$A$79:$A$82,0),1)</f>
        <v>11500000</v>
      </c>
      <c r="U216" s="33">
        <f>SUMIFS(INDEX(Load,,MATCH('Summarized Source Data'!$C216,Hour,0)),Month,'Summarized Source Data'!$A216,Sector,'Summarized Source Data'!U$2,TimeOfWeek,$E216)*INDEX(About!Q$79:Q$82,MATCH($B216,About!$A$79:$A$82,0),1)</f>
        <v>11500000</v>
      </c>
      <c r="V216" s="33">
        <f>SUMIFS(INDEX(Load,,MATCH('Summarized Source Data'!$C216,Hour,0)),Month,'Summarized Source Data'!$A216,Sector,'Summarized Source Data'!V$2,TimeOfWeek,$E216)*INDEX(About!R$79:R$82,MATCH($B216,About!$A$79:$A$82,0),1)</f>
        <v>11500000</v>
      </c>
      <c r="W216" s="33">
        <f>SUMIFS(INDEX(Load,,MATCH('Summarized Source Data'!$C216,Hour,0)),Month,'Summarized Source Data'!$A216,Sector,'Summarized Source Data'!W$2,TimeOfWeek,$E216)*INDEX(About!S$79:S$82,MATCH($B216,About!$A$79:$A$82,0),1)</f>
        <v>11500000</v>
      </c>
      <c r="X216" s="27">
        <f>SUMIFS(INDEX(Load,,MATCH('Summarized Source Data'!$C216,Hour,0)),Month,'Summarized Source Data'!$A216,Sector,'Summarized Source Data'!X$2,Subsector,'Summarized Source Data'!X$3,TimeOfWeek,$E216)*INDEX(About!T$79:T$82,MATCH($B216,About!$A$79:$A$82,0),1)</f>
        <v>672000000</v>
      </c>
      <c r="Y216" s="29">
        <f t="shared" si="19"/>
        <v>672000000</v>
      </c>
      <c r="Z216" s="29">
        <f t="shared" si="19"/>
        <v>672000000</v>
      </c>
    </row>
    <row r="217" spans="1:26" outlineLevel="1" x14ac:dyDescent="0.3">
      <c r="A217">
        <f t="shared" si="15"/>
        <v>9</v>
      </c>
      <c r="B217" t="str">
        <f>INDEX('Category Mapping'!$G$28:$G$39,MATCH(A217,'Category Mapping'!$A$28:$A$39,0),1)</f>
        <v>Fall</v>
      </c>
      <c r="C217" t="s">
        <v>84</v>
      </c>
      <c r="D217" s="6" t="s">
        <v>159</v>
      </c>
      <c r="E217" t="s">
        <v>49</v>
      </c>
      <c r="F217" s="27">
        <f>SUMIFS(INDEX(Load,,MATCH('Summarized Source Data'!$C217,Hour,0)),Month,'Summarized Source Data'!$A217,Sector,'Summarized Source Data'!F$2,Subsector,'Summarized Source Data'!F$3,TimeOfWeek,$E217)*INDEX(About!B$79:B$82,MATCH($B217,About!$A$79:$A$82,0),1)</f>
        <v>794450</v>
      </c>
      <c r="G217" s="27">
        <f>SUMIFS(INDEX(Load,,MATCH('Summarized Source Data'!$C217,Hour,0)),Month,'Summarized Source Data'!$A217,Sector,'Summarized Source Data'!G$2,Subsector,'Summarized Source Data'!G$3,TimeOfWeek,$E217)*INDEX(About!C$79:C$82,MATCH($B217,About!$A$79:$A$82,0),1)</f>
        <v>13300000</v>
      </c>
      <c r="H217" s="27">
        <f>SUMIFS(INDEX(Load,,MATCH('Summarized Source Data'!$C217,Hour,0)),Month,'Summarized Source Data'!$A217,Sector,'Summarized Source Data'!H$2,Subsector,'Summarized Source Data'!H$3,TimeOfWeek,$E217)*INDEX(About!D$79:D$82,MATCH($B217,About!$A$79:$A$82,0),1)</f>
        <v>0</v>
      </c>
      <c r="I217" s="27">
        <f>SUMIFS(INDEX(Load,,MATCH('Summarized Source Data'!$C217,Hour,0)),Month,'Summarized Source Data'!$A217,Sector,'Summarized Source Data'!I$2,Subsector,'Summarized Source Data'!I$3,TimeOfWeek,$E217)*INDEX(About!E$79:E$82,MATCH($B217,About!$A$79:$A$82,0),1)</f>
        <v>48000000</v>
      </c>
      <c r="J217" s="54">
        <f t="shared" si="16"/>
        <v>143905550</v>
      </c>
      <c r="K217" s="27">
        <f>(SUMIFS(INDEX(Load,,MATCH('Summarized Source Data'!$C217,Hour,0)),Month,'Summarized Source Data'!$A217,Sector,'Summarized Source Data'!K$2,Subsector,"Total",TimeOfWeek,$E217)-SUM(F217:I217))*INDEX(About!G$79:G$82,MATCH($B217,About!$A$79:$A$82,0),1)</f>
        <v>143905550</v>
      </c>
      <c r="L217" s="27">
        <f>SUMIFS(INDEX(Load,,MATCH('Summarized Source Data'!$C217,Hour,0)),Month,'Summarized Source Data'!$A217,Sector,'Summarized Source Data'!L$2,Subsector,'Summarized Source Data'!L$3,TimeOfWeek,$E217)*INDEX(About!H$79:H$82,MATCH($B217,About!$A$79:$A$82,0),1)</f>
        <v>1619485</v>
      </c>
      <c r="M217" s="27">
        <f>SUMIFS(INDEX(Load,,MATCH('Summarized Source Data'!$C217,Hour,0)),Month,'Summarized Source Data'!$A217,Sector,'Summarized Source Data'!M$2,Subsector,'Summarized Source Data'!M$3,TimeOfWeek,$E217)*INDEX(About!I$79:I$82,MATCH($B217,About!$A$79:$A$82,0),1)</f>
        <v>80900000</v>
      </c>
      <c r="N217" s="27">
        <f>SUMIFS(INDEX(Load,,MATCH('Summarized Source Data'!$C217,Hour,0)),Month,'Summarized Source Data'!$A217,Sector,'Summarized Source Data'!N$2,Subsector,'Summarized Source Data'!N$3,TimeOfWeek,$E217)*INDEX(About!J$79:J$82,MATCH($B217,About!$A$79:$A$82,0),1)</f>
        <v>0</v>
      </c>
      <c r="O217" s="29">
        <f t="shared" si="17"/>
        <v>245480515</v>
      </c>
      <c r="P217" s="27">
        <f>(SUMIFS(INDEX(Load,,MATCH('Summarized Source Data'!$C217,Hour,0)),Month,'Summarized Source Data'!$A217,Sector,'Summarized Source Data'!P$2,Subsector,"Total",TimeOfWeek,$E217)-SUM(L217:N217)*INDEX(About!L$79:L$82,MATCH($B217,About!$A$79:$A$82,0),1))</f>
        <v>245480515</v>
      </c>
      <c r="Q217" s="29">
        <f t="shared" si="18"/>
        <v>245480515</v>
      </c>
      <c r="R217" s="33">
        <f>SUMIFS(INDEX(Load,,MATCH('Summarized Source Data'!$C217,Hour,0)),Month,'Summarized Source Data'!$A217,Sector,'Summarized Source Data'!R$2,TimeOfWeek,$E217)*INDEX(About!N$79:N$82,MATCH($B217,About!$A$79:$A$82,0),1)</f>
        <v>10700000</v>
      </c>
      <c r="S217" s="33">
        <f>SUMIFS(INDEX(Load,,MATCH('Summarized Source Data'!$C217,Hour,0)),Month,'Summarized Source Data'!$A217,Sector,'Summarized Source Data'!S$2,TimeOfWeek,$E217)*INDEX(About!O$79:O$82,MATCH($B217,About!$A$79:$A$82,0),1)</f>
        <v>10700000</v>
      </c>
      <c r="T217" s="33">
        <f>SUMIFS(INDEX(Load,,MATCH('Summarized Source Data'!$C217,Hour,0)),Month,'Summarized Source Data'!$A217,Sector,'Summarized Source Data'!T$2,TimeOfWeek,$E217)*INDEX(About!P$79:P$82,MATCH($B217,About!$A$79:$A$82,0),1)</f>
        <v>10700000</v>
      </c>
      <c r="U217" s="33">
        <f>SUMIFS(INDEX(Load,,MATCH('Summarized Source Data'!$C217,Hour,0)),Month,'Summarized Source Data'!$A217,Sector,'Summarized Source Data'!U$2,TimeOfWeek,$E217)*INDEX(About!Q$79:Q$82,MATCH($B217,About!$A$79:$A$82,0),1)</f>
        <v>10700000</v>
      </c>
      <c r="V217" s="33">
        <f>SUMIFS(INDEX(Load,,MATCH('Summarized Source Data'!$C217,Hour,0)),Month,'Summarized Source Data'!$A217,Sector,'Summarized Source Data'!V$2,TimeOfWeek,$E217)*INDEX(About!R$79:R$82,MATCH($B217,About!$A$79:$A$82,0),1)</f>
        <v>10700000</v>
      </c>
      <c r="W217" s="33">
        <f>SUMIFS(INDEX(Load,,MATCH('Summarized Source Data'!$C217,Hour,0)),Month,'Summarized Source Data'!$A217,Sector,'Summarized Source Data'!W$2,TimeOfWeek,$E217)*INDEX(About!S$79:S$82,MATCH($B217,About!$A$79:$A$82,0),1)</f>
        <v>10700000</v>
      </c>
      <c r="X217" s="27">
        <f>SUMIFS(INDEX(Load,,MATCH('Summarized Source Data'!$C217,Hour,0)),Month,'Summarized Source Data'!$A217,Sector,'Summarized Source Data'!X$2,Subsector,'Summarized Source Data'!X$3,TimeOfWeek,$E217)*INDEX(About!T$79:T$82,MATCH($B217,About!$A$79:$A$82,0),1)</f>
        <v>667000000</v>
      </c>
      <c r="Y217" s="29">
        <f t="shared" si="19"/>
        <v>667000000</v>
      </c>
      <c r="Z217" s="29">
        <f t="shared" si="19"/>
        <v>667000000</v>
      </c>
    </row>
    <row r="218" spans="1:26" outlineLevel="1" x14ac:dyDescent="0.3">
      <c r="A218">
        <f t="shared" si="15"/>
        <v>9</v>
      </c>
      <c r="B218" t="str">
        <f>INDEX('Category Mapping'!$G$28:$G$39,MATCH(A218,'Category Mapping'!$A$28:$A$39,0),1)</f>
        <v>Fall</v>
      </c>
      <c r="C218" t="s">
        <v>85</v>
      </c>
      <c r="D218" s="6" t="s">
        <v>160</v>
      </c>
      <c r="E218" t="s">
        <v>49</v>
      </c>
      <c r="F218" s="27">
        <f>SUMIFS(INDEX(Load,,MATCH('Summarized Source Data'!$C218,Hour,0)),Month,'Summarized Source Data'!$A218,Sector,'Summarized Source Data'!F$2,Subsector,'Summarized Source Data'!F$3,TimeOfWeek,$E218)*INDEX(About!B$79:B$82,MATCH($B218,About!$A$79:$A$82,0),1)</f>
        <v>593201</v>
      </c>
      <c r="G218" s="27">
        <f>SUMIFS(INDEX(Load,,MATCH('Summarized Source Data'!$C218,Hour,0)),Month,'Summarized Source Data'!$A218,Sector,'Summarized Source Data'!G$2,Subsector,'Summarized Source Data'!G$3,TimeOfWeek,$E218)*INDEX(About!C$79:C$82,MATCH($B218,About!$A$79:$A$82,0),1)</f>
        <v>6458964</v>
      </c>
      <c r="H218" s="27">
        <f>SUMIFS(INDEX(Load,,MATCH('Summarized Source Data'!$C218,Hour,0)),Month,'Summarized Source Data'!$A218,Sector,'Summarized Source Data'!H$2,Subsector,'Summarized Source Data'!H$3,TimeOfWeek,$E218)*INDEX(About!D$79:D$82,MATCH($B218,About!$A$79:$A$82,0),1)</f>
        <v>0</v>
      </c>
      <c r="I218" s="27">
        <f>SUMIFS(INDEX(Load,,MATCH('Summarized Source Data'!$C218,Hour,0)),Month,'Summarized Source Data'!$A218,Sector,'Summarized Source Data'!I$2,Subsector,'Summarized Source Data'!I$3,TimeOfWeek,$E218)*INDEX(About!E$79:E$82,MATCH($B218,About!$A$79:$A$82,0),1)</f>
        <v>28500000</v>
      </c>
      <c r="J218" s="54">
        <f t="shared" si="16"/>
        <v>112447835</v>
      </c>
      <c r="K218" s="27">
        <f>(SUMIFS(INDEX(Load,,MATCH('Summarized Source Data'!$C218,Hour,0)),Month,'Summarized Source Data'!$A218,Sector,'Summarized Source Data'!K$2,Subsector,"Total",TimeOfWeek,$E218)-SUM(F218:I218))*INDEX(About!G$79:G$82,MATCH($B218,About!$A$79:$A$82,0),1)</f>
        <v>112447835</v>
      </c>
      <c r="L218" s="27">
        <f>SUMIFS(INDEX(Load,,MATCH('Summarized Source Data'!$C218,Hour,0)),Month,'Summarized Source Data'!$A218,Sector,'Summarized Source Data'!L$2,Subsector,'Summarized Source Data'!L$3,TimeOfWeek,$E218)*INDEX(About!H$79:H$82,MATCH($B218,About!$A$79:$A$82,0),1)</f>
        <v>2013487</v>
      </c>
      <c r="M218" s="27">
        <f>SUMIFS(INDEX(Load,,MATCH('Summarized Source Data'!$C218,Hour,0)),Month,'Summarized Source Data'!$A218,Sector,'Summarized Source Data'!M$2,Subsector,'Summarized Source Data'!M$3,TimeOfWeek,$E218)*INDEX(About!I$79:I$82,MATCH($B218,About!$A$79:$A$82,0),1)</f>
        <v>70300000</v>
      </c>
      <c r="N218" s="27">
        <f>SUMIFS(INDEX(Load,,MATCH('Summarized Source Data'!$C218,Hour,0)),Month,'Summarized Source Data'!$A218,Sector,'Summarized Source Data'!N$2,Subsector,'Summarized Source Data'!N$3,TimeOfWeek,$E218)*INDEX(About!J$79:J$82,MATCH($B218,About!$A$79:$A$82,0),1)</f>
        <v>0</v>
      </c>
      <c r="O218" s="29">
        <f t="shared" si="17"/>
        <v>205686513</v>
      </c>
      <c r="P218" s="27">
        <f>(SUMIFS(INDEX(Load,,MATCH('Summarized Source Data'!$C218,Hour,0)),Month,'Summarized Source Data'!$A218,Sector,'Summarized Source Data'!P$2,Subsector,"Total",TimeOfWeek,$E218)-SUM(L218:N218)*INDEX(About!L$79:L$82,MATCH($B218,About!$A$79:$A$82,0),1))</f>
        <v>205686513</v>
      </c>
      <c r="Q218" s="29">
        <f t="shared" si="18"/>
        <v>205686513</v>
      </c>
      <c r="R218" s="33">
        <f>SUMIFS(INDEX(Load,,MATCH('Summarized Source Data'!$C218,Hour,0)),Month,'Summarized Source Data'!$A218,Sector,'Summarized Source Data'!R$2,TimeOfWeek,$E218)*INDEX(About!N$79:N$82,MATCH($B218,About!$A$79:$A$82,0),1)</f>
        <v>10100000</v>
      </c>
      <c r="S218" s="33">
        <f>SUMIFS(INDEX(Load,,MATCH('Summarized Source Data'!$C218,Hour,0)),Month,'Summarized Source Data'!$A218,Sector,'Summarized Source Data'!S$2,TimeOfWeek,$E218)*INDEX(About!O$79:O$82,MATCH($B218,About!$A$79:$A$82,0),1)</f>
        <v>10100000</v>
      </c>
      <c r="T218" s="33">
        <f>SUMIFS(INDEX(Load,,MATCH('Summarized Source Data'!$C218,Hour,0)),Month,'Summarized Source Data'!$A218,Sector,'Summarized Source Data'!T$2,TimeOfWeek,$E218)*INDEX(About!P$79:P$82,MATCH($B218,About!$A$79:$A$82,0),1)</f>
        <v>10100000</v>
      </c>
      <c r="U218" s="33">
        <f>SUMIFS(INDEX(Load,,MATCH('Summarized Source Data'!$C218,Hour,0)),Month,'Summarized Source Data'!$A218,Sector,'Summarized Source Data'!U$2,TimeOfWeek,$E218)*INDEX(About!Q$79:Q$82,MATCH($B218,About!$A$79:$A$82,0),1)</f>
        <v>10100000</v>
      </c>
      <c r="V218" s="33">
        <f>SUMIFS(INDEX(Load,,MATCH('Summarized Source Data'!$C218,Hour,0)),Month,'Summarized Source Data'!$A218,Sector,'Summarized Source Data'!V$2,TimeOfWeek,$E218)*INDEX(About!R$79:R$82,MATCH($B218,About!$A$79:$A$82,0),1)</f>
        <v>10100000</v>
      </c>
      <c r="W218" s="33">
        <f>SUMIFS(INDEX(Load,,MATCH('Summarized Source Data'!$C218,Hour,0)),Month,'Summarized Source Data'!$A218,Sector,'Summarized Source Data'!W$2,TimeOfWeek,$E218)*INDEX(About!S$79:S$82,MATCH($B218,About!$A$79:$A$82,0),1)</f>
        <v>10100000</v>
      </c>
      <c r="X218" s="27">
        <f>SUMIFS(INDEX(Load,,MATCH('Summarized Source Data'!$C218,Hour,0)),Month,'Summarized Source Data'!$A218,Sector,'Summarized Source Data'!X$2,Subsector,'Summarized Source Data'!X$3,TimeOfWeek,$E218)*INDEX(About!T$79:T$82,MATCH($B218,About!$A$79:$A$82,0),1)</f>
        <v>661000000</v>
      </c>
      <c r="Y218" s="29">
        <f t="shared" si="19"/>
        <v>661000000</v>
      </c>
      <c r="Z218" s="29">
        <f t="shared" si="19"/>
        <v>661000000</v>
      </c>
    </row>
    <row r="219" spans="1:26" outlineLevel="1" x14ac:dyDescent="0.3">
      <c r="A219">
        <f t="shared" si="15"/>
        <v>9</v>
      </c>
      <c r="B219" t="str">
        <f>INDEX('Category Mapping'!$G$28:$G$39,MATCH(A219,'Category Mapping'!$A$28:$A$39,0),1)</f>
        <v>Fall</v>
      </c>
      <c r="C219" t="s">
        <v>86</v>
      </c>
      <c r="D219" s="6" t="s">
        <v>161</v>
      </c>
      <c r="E219" t="s">
        <v>49</v>
      </c>
      <c r="F219" s="27">
        <f>SUMIFS(INDEX(Load,,MATCH('Summarized Source Data'!$C219,Hour,0)),Month,'Summarized Source Data'!$A219,Sector,'Summarized Source Data'!F$2,Subsector,'Summarized Source Data'!F$3,TimeOfWeek,$E219)*INDEX(About!B$79:B$82,MATCH($B219,About!$A$79:$A$82,0),1)</f>
        <v>530600</v>
      </c>
      <c r="G219" s="27">
        <f>SUMIFS(INDEX(Load,,MATCH('Summarized Source Data'!$C219,Hour,0)),Month,'Summarized Source Data'!$A219,Sector,'Summarized Source Data'!G$2,Subsector,'Summarized Source Data'!G$3,TimeOfWeek,$E219)*INDEX(About!C$79:C$82,MATCH($B219,About!$A$79:$A$82,0),1)</f>
        <v>3521910</v>
      </c>
      <c r="H219" s="27">
        <f>SUMIFS(INDEX(Load,,MATCH('Summarized Source Data'!$C219,Hour,0)),Month,'Summarized Source Data'!$A219,Sector,'Summarized Source Data'!H$2,Subsector,'Summarized Source Data'!H$3,TimeOfWeek,$E219)*INDEX(About!D$79:D$82,MATCH($B219,About!$A$79:$A$82,0),1)</f>
        <v>0</v>
      </c>
      <c r="I219" s="27">
        <f>SUMIFS(INDEX(Load,,MATCH('Summarized Source Data'!$C219,Hour,0)),Month,'Summarized Source Data'!$A219,Sector,'Summarized Source Data'!I$2,Subsector,'Summarized Source Data'!I$3,TimeOfWeek,$E219)*INDEX(About!E$79:E$82,MATCH($B219,About!$A$79:$A$82,0),1)</f>
        <v>15000000</v>
      </c>
      <c r="J219" s="54">
        <f t="shared" si="16"/>
        <v>89947490</v>
      </c>
      <c r="K219" s="27">
        <f>(SUMIFS(INDEX(Load,,MATCH('Summarized Source Data'!$C219,Hour,0)),Month,'Summarized Source Data'!$A219,Sector,'Summarized Source Data'!K$2,Subsector,"Total",TimeOfWeek,$E219)-SUM(F219:I219))*INDEX(About!G$79:G$82,MATCH($B219,About!$A$79:$A$82,0),1)</f>
        <v>89947490</v>
      </c>
      <c r="L219" s="27">
        <f>SUMIFS(INDEX(Load,,MATCH('Summarized Source Data'!$C219,Hour,0)),Month,'Summarized Source Data'!$A219,Sector,'Summarized Source Data'!L$2,Subsector,'Summarized Source Data'!L$3,TimeOfWeek,$E219)*INDEX(About!H$79:H$82,MATCH($B219,About!$A$79:$A$82,0),1)</f>
        <v>2130997</v>
      </c>
      <c r="M219" s="27">
        <f>SUMIFS(INDEX(Load,,MATCH('Summarized Source Data'!$C219,Hour,0)),Month,'Summarized Source Data'!$A219,Sector,'Summarized Source Data'!M$2,Subsector,'Summarized Source Data'!M$3,TimeOfWeek,$E219)*INDEX(About!I$79:I$82,MATCH($B219,About!$A$79:$A$82,0),1)</f>
        <v>60500000</v>
      </c>
      <c r="N219" s="27">
        <f>SUMIFS(INDEX(Load,,MATCH('Summarized Source Data'!$C219,Hour,0)),Month,'Summarized Source Data'!$A219,Sector,'Summarized Source Data'!N$2,Subsector,'Summarized Source Data'!N$3,TimeOfWeek,$E219)*INDEX(About!J$79:J$82,MATCH($B219,About!$A$79:$A$82,0),1)</f>
        <v>0</v>
      </c>
      <c r="O219" s="29">
        <f t="shared" si="17"/>
        <v>180369003</v>
      </c>
      <c r="P219" s="27">
        <f>(SUMIFS(INDEX(Load,,MATCH('Summarized Source Data'!$C219,Hour,0)),Month,'Summarized Source Data'!$A219,Sector,'Summarized Source Data'!P$2,Subsector,"Total",TimeOfWeek,$E219)-SUM(L219:N219)*INDEX(About!L$79:L$82,MATCH($B219,About!$A$79:$A$82,0),1))</f>
        <v>180369003</v>
      </c>
      <c r="Q219" s="29">
        <f t="shared" si="18"/>
        <v>180369003</v>
      </c>
      <c r="R219" s="33">
        <f>SUMIFS(INDEX(Load,,MATCH('Summarized Source Data'!$C219,Hour,0)),Month,'Summarized Source Data'!$A219,Sector,'Summarized Source Data'!R$2,TimeOfWeek,$E219)*INDEX(About!N$79:N$82,MATCH($B219,About!$A$79:$A$82,0),1)</f>
        <v>6800458</v>
      </c>
      <c r="S219" s="33">
        <f>SUMIFS(INDEX(Load,,MATCH('Summarized Source Data'!$C219,Hour,0)),Month,'Summarized Source Data'!$A219,Sector,'Summarized Source Data'!S$2,TimeOfWeek,$E219)*INDEX(About!O$79:O$82,MATCH($B219,About!$A$79:$A$82,0),1)</f>
        <v>6800458</v>
      </c>
      <c r="T219" s="33">
        <f>SUMIFS(INDEX(Load,,MATCH('Summarized Source Data'!$C219,Hour,0)),Month,'Summarized Source Data'!$A219,Sector,'Summarized Source Data'!T$2,TimeOfWeek,$E219)*INDEX(About!P$79:P$82,MATCH($B219,About!$A$79:$A$82,0),1)</f>
        <v>6800458</v>
      </c>
      <c r="U219" s="33">
        <f>SUMIFS(INDEX(Load,,MATCH('Summarized Source Data'!$C219,Hour,0)),Month,'Summarized Source Data'!$A219,Sector,'Summarized Source Data'!U$2,TimeOfWeek,$E219)*INDEX(About!Q$79:Q$82,MATCH($B219,About!$A$79:$A$82,0),1)</f>
        <v>6800458</v>
      </c>
      <c r="V219" s="33">
        <f>SUMIFS(INDEX(Load,,MATCH('Summarized Source Data'!$C219,Hour,0)),Month,'Summarized Source Data'!$A219,Sector,'Summarized Source Data'!V$2,TimeOfWeek,$E219)*INDEX(About!R$79:R$82,MATCH($B219,About!$A$79:$A$82,0),1)</f>
        <v>6800458</v>
      </c>
      <c r="W219" s="33">
        <f>SUMIFS(INDEX(Load,,MATCH('Summarized Source Data'!$C219,Hour,0)),Month,'Summarized Source Data'!$A219,Sector,'Summarized Source Data'!W$2,TimeOfWeek,$E219)*INDEX(About!S$79:S$82,MATCH($B219,About!$A$79:$A$82,0),1)</f>
        <v>6800458</v>
      </c>
      <c r="X219" s="27">
        <f>SUMIFS(INDEX(Load,,MATCH('Summarized Source Data'!$C219,Hour,0)),Month,'Summarized Source Data'!$A219,Sector,'Summarized Source Data'!X$2,Subsector,'Summarized Source Data'!X$3,TimeOfWeek,$E219)*INDEX(About!T$79:T$82,MATCH($B219,About!$A$79:$A$82,0),1)</f>
        <v>657000000</v>
      </c>
      <c r="Y219" s="29">
        <f t="shared" si="19"/>
        <v>657000000</v>
      </c>
      <c r="Z219" s="29">
        <f t="shared" si="19"/>
        <v>657000000</v>
      </c>
    </row>
    <row r="220" spans="1:26" outlineLevel="1" x14ac:dyDescent="0.3">
      <c r="A220">
        <f t="shared" si="15"/>
        <v>10</v>
      </c>
      <c r="B220" t="str">
        <f>INDEX('Category Mapping'!$G$28:$G$39,MATCH(A220,'Category Mapping'!$A$28:$A$39,0),1)</f>
        <v>Fall</v>
      </c>
      <c r="C220" t="s">
        <v>63</v>
      </c>
      <c r="D220" s="6" t="s">
        <v>138</v>
      </c>
      <c r="E220" t="s">
        <v>49</v>
      </c>
      <c r="F220" s="27">
        <f>SUMIFS(INDEX(Load,,MATCH('Summarized Source Data'!$C220,Hour,0)),Month,'Summarized Source Data'!$A220,Sector,'Summarized Source Data'!F$2,Subsector,'Summarized Source Data'!F$3,TimeOfWeek,$E220)*INDEX(About!B$79:B$82,MATCH($B220,About!$A$79:$A$82,0),1)</f>
        <v>3718567</v>
      </c>
      <c r="G220" s="27">
        <f>SUMIFS(INDEX(Load,,MATCH('Summarized Source Data'!$C220,Hour,0)),Month,'Summarized Source Data'!$A220,Sector,'Summarized Source Data'!G$2,Subsector,'Summarized Source Data'!G$3,TimeOfWeek,$E220)*INDEX(About!C$79:C$82,MATCH($B220,About!$A$79:$A$82,0),1)</f>
        <v>2902</v>
      </c>
      <c r="H220" s="27">
        <f>SUMIFS(INDEX(Load,,MATCH('Summarized Source Data'!$C220,Hour,0)),Month,'Summarized Source Data'!$A220,Sector,'Summarized Source Data'!H$2,Subsector,'Summarized Source Data'!H$3,TimeOfWeek,$E220)*INDEX(About!D$79:D$82,MATCH($B220,About!$A$79:$A$82,0),1)</f>
        <v>0</v>
      </c>
      <c r="I220" s="27">
        <f>SUMIFS(INDEX(Load,,MATCH('Summarized Source Data'!$C220,Hour,0)),Month,'Summarized Source Data'!$A220,Sector,'Summarized Source Data'!I$2,Subsector,'Summarized Source Data'!I$3,TimeOfWeek,$E220)*INDEX(About!E$79:E$82,MATCH($B220,About!$A$79:$A$82,0),1)</f>
        <v>10900000</v>
      </c>
      <c r="J220" s="54">
        <f t="shared" si="16"/>
        <v>72878531</v>
      </c>
      <c r="K220" s="27">
        <f>(SUMIFS(INDEX(Load,,MATCH('Summarized Source Data'!$C220,Hour,0)),Month,'Summarized Source Data'!$A220,Sector,'Summarized Source Data'!K$2,Subsector,"Total",TimeOfWeek,$E220)-SUM(F220:I220))*INDEX(About!G$79:G$82,MATCH($B220,About!$A$79:$A$82,0),1)</f>
        <v>72878531</v>
      </c>
      <c r="L220" s="27">
        <f>SUMIFS(INDEX(Load,,MATCH('Summarized Source Data'!$C220,Hour,0)),Month,'Summarized Source Data'!$A220,Sector,'Summarized Source Data'!L$2,Subsector,'Summarized Source Data'!L$3,TimeOfWeek,$E220)*INDEX(About!H$79:H$82,MATCH($B220,About!$A$79:$A$82,0),1)</f>
        <v>14200000</v>
      </c>
      <c r="M220" s="27">
        <f>SUMIFS(INDEX(Load,,MATCH('Summarized Source Data'!$C220,Hour,0)),Month,'Summarized Source Data'!$A220,Sector,'Summarized Source Data'!M$2,Subsector,'Summarized Source Data'!M$3,TimeOfWeek,$E220)*INDEX(About!I$79:I$82,MATCH($B220,About!$A$79:$A$82,0),1)</f>
        <v>1255669</v>
      </c>
      <c r="N220" s="27">
        <f>SUMIFS(INDEX(Load,,MATCH('Summarized Source Data'!$C220,Hour,0)),Month,'Summarized Source Data'!$A220,Sector,'Summarized Source Data'!N$2,Subsector,'Summarized Source Data'!N$3,TimeOfWeek,$E220)*INDEX(About!J$79:J$82,MATCH($B220,About!$A$79:$A$82,0),1)</f>
        <v>0</v>
      </c>
      <c r="O220" s="29">
        <f t="shared" si="17"/>
        <v>152544331</v>
      </c>
      <c r="P220" s="27">
        <f>(SUMIFS(INDEX(Load,,MATCH('Summarized Source Data'!$C220,Hour,0)),Month,'Summarized Source Data'!$A220,Sector,'Summarized Source Data'!P$2,Subsector,"Total",TimeOfWeek,$E220)-SUM(L220:N220)*INDEX(About!L$79:L$82,MATCH($B220,About!$A$79:$A$82,0),1))</f>
        <v>152544331</v>
      </c>
      <c r="Q220" s="29">
        <f t="shared" si="18"/>
        <v>152544331</v>
      </c>
      <c r="R220" s="33">
        <f>SUMIFS(INDEX(Load,,MATCH('Summarized Source Data'!$C220,Hour,0)),Month,'Summarized Source Data'!$A220,Sector,'Summarized Source Data'!R$2,TimeOfWeek,$E220)*INDEX(About!N$79:N$82,MATCH($B220,About!$A$79:$A$82,0),1)</f>
        <v>4846474</v>
      </c>
      <c r="S220" s="33">
        <f>SUMIFS(INDEX(Load,,MATCH('Summarized Source Data'!$C220,Hour,0)),Month,'Summarized Source Data'!$A220,Sector,'Summarized Source Data'!S$2,TimeOfWeek,$E220)*INDEX(About!O$79:O$82,MATCH($B220,About!$A$79:$A$82,0),1)</f>
        <v>4846474</v>
      </c>
      <c r="T220" s="33">
        <f>SUMIFS(INDEX(Load,,MATCH('Summarized Source Data'!$C220,Hour,0)),Month,'Summarized Source Data'!$A220,Sector,'Summarized Source Data'!T$2,TimeOfWeek,$E220)*INDEX(About!P$79:P$82,MATCH($B220,About!$A$79:$A$82,0),1)</f>
        <v>4846474</v>
      </c>
      <c r="U220" s="33">
        <f>SUMIFS(INDEX(Load,,MATCH('Summarized Source Data'!$C220,Hour,0)),Month,'Summarized Source Data'!$A220,Sector,'Summarized Source Data'!U$2,TimeOfWeek,$E220)*INDEX(About!Q$79:Q$82,MATCH($B220,About!$A$79:$A$82,0),1)</f>
        <v>4846474</v>
      </c>
      <c r="V220" s="33">
        <f>SUMIFS(INDEX(Load,,MATCH('Summarized Source Data'!$C220,Hour,0)),Month,'Summarized Source Data'!$A220,Sector,'Summarized Source Data'!V$2,TimeOfWeek,$E220)*INDEX(About!R$79:R$82,MATCH($B220,About!$A$79:$A$82,0),1)</f>
        <v>4846474</v>
      </c>
      <c r="W220" s="33">
        <f>SUMIFS(INDEX(Load,,MATCH('Summarized Source Data'!$C220,Hour,0)),Month,'Summarized Source Data'!$A220,Sector,'Summarized Source Data'!W$2,TimeOfWeek,$E220)*INDEX(About!S$79:S$82,MATCH($B220,About!$A$79:$A$82,0),1)</f>
        <v>4846474</v>
      </c>
      <c r="X220" s="27">
        <f>SUMIFS(INDEX(Load,,MATCH('Summarized Source Data'!$C220,Hour,0)),Month,'Summarized Source Data'!$A220,Sector,'Summarized Source Data'!X$2,Subsector,'Summarized Source Data'!X$3,TimeOfWeek,$E220)*INDEX(About!T$79:T$82,MATCH($B220,About!$A$79:$A$82,0),1)</f>
        <v>653000000</v>
      </c>
      <c r="Y220" s="29">
        <f t="shared" si="19"/>
        <v>653000000</v>
      </c>
      <c r="Z220" s="29">
        <f t="shared" si="19"/>
        <v>653000000</v>
      </c>
    </row>
    <row r="221" spans="1:26" outlineLevel="1" x14ac:dyDescent="0.3">
      <c r="A221">
        <f t="shared" si="15"/>
        <v>10</v>
      </c>
      <c r="B221" t="str">
        <f>INDEX('Category Mapping'!$G$28:$G$39,MATCH(A221,'Category Mapping'!$A$28:$A$39,0),1)</f>
        <v>Fall</v>
      </c>
      <c r="C221" t="s">
        <v>64</v>
      </c>
      <c r="D221" s="6" t="s">
        <v>139</v>
      </c>
      <c r="E221" t="s">
        <v>49</v>
      </c>
      <c r="F221" s="27">
        <f>SUMIFS(INDEX(Load,,MATCH('Summarized Source Data'!$C221,Hour,0)),Month,'Summarized Source Data'!$A221,Sector,'Summarized Source Data'!F$2,Subsector,'Summarized Source Data'!F$3,TimeOfWeek,$E221)*INDEX(About!B$79:B$82,MATCH($B221,About!$A$79:$A$82,0),1)</f>
        <v>3718567</v>
      </c>
      <c r="G221" s="27">
        <f>SUMIFS(INDEX(Load,,MATCH('Summarized Source Data'!$C221,Hour,0)),Month,'Summarized Source Data'!$A221,Sector,'Summarized Source Data'!G$2,Subsector,'Summarized Source Data'!G$3,TimeOfWeek,$E221)*INDEX(About!C$79:C$82,MATCH($B221,About!$A$79:$A$82,0),1)</f>
        <v>2918</v>
      </c>
      <c r="H221" s="27">
        <f>SUMIFS(INDEX(Load,,MATCH('Summarized Source Data'!$C221,Hour,0)),Month,'Summarized Source Data'!$A221,Sector,'Summarized Source Data'!H$2,Subsector,'Summarized Source Data'!H$3,TimeOfWeek,$E221)*INDEX(About!D$79:D$82,MATCH($B221,About!$A$79:$A$82,0),1)</f>
        <v>0</v>
      </c>
      <c r="I221" s="27">
        <f>SUMIFS(INDEX(Load,,MATCH('Summarized Source Data'!$C221,Hour,0)),Month,'Summarized Source Data'!$A221,Sector,'Summarized Source Data'!I$2,Subsector,'Summarized Source Data'!I$3,TimeOfWeek,$E221)*INDEX(About!E$79:E$82,MATCH($B221,About!$A$79:$A$82,0),1)</f>
        <v>10000000</v>
      </c>
      <c r="J221" s="54">
        <f t="shared" si="16"/>
        <v>52778515</v>
      </c>
      <c r="K221" s="27">
        <f>(SUMIFS(INDEX(Load,,MATCH('Summarized Source Data'!$C221,Hour,0)),Month,'Summarized Source Data'!$A221,Sector,'Summarized Source Data'!K$2,Subsector,"Total",TimeOfWeek,$E221)-SUM(F221:I221))*INDEX(About!G$79:G$82,MATCH($B221,About!$A$79:$A$82,0),1)</f>
        <v>52778515</v>
      </c>
      <c r="L221" s="27">
        <f>SUMIFS(INDEX(Load,,MATCH('Summarized Source Data'!$C221,Hour,0)),Month,'Summarized Source Data'!$A221,Sector,'Summarized Source Data'!L$2,Subsector,'Summarized Source Data'!L$3,TimeOfWeek,$E221)*INDEX(About!H$79:H$82,MATCH($B221,About!$A$79:$A$82,0),1)</f>
        <v>12800000</v>
      </c>
      <c r="M221" s="27">
        <f>SUMIFS(INDEX(Load,,MATCH('Summarized Source Data'!$C221,Hour,0)),Month,'Summarized Source Data'!$A221,Sector,'Summarized Source Data'!M$2,Subsector,'Summarized Source Data'!M$3,TimeOfWeek,$E221)*INDEX(About!I$79:I$82,MATCH($B221,About!$A$79:$A$82,0),1)</f>
        <v>1184020</v>
      </c>
      <c r="N221" s="27">
        <f>SUMIFS(INDEX(Load,,MATCH('Summarized Source Data'!$C221,Hour,0)),Month,'Summarized Source Data'!$A221,Sector,'Summarized Source Data'!N$2,Subsector,'Summarized Source Data'!N$3,TimeOfWeek,$E221)*INDEX(About!J$79:J$82,MATCH($B221,About!$A$79:$A$82,0),1)</f>
        <v>0</v>
      </c>
      <c r="O221" s="29">
        <f t="shared" si="17"/>
        <v>150015980</v>
      </c>
      <c r="P221" s="27">
        <f>(SUMIFS(INDEX(Load,,MATCH('Summarized Source Data'!$C221,Hour,0)),Month,'Summarized Source Data'!$A221,Sector,'Summarized Source Data'!P$2,Subsector,"Total",TimeOfWeek,$E221)-SUM(L221:N221)*INDEX(About!L$79:L$82,MATCH($B221,About!$A$79:$A$82,0),1))</f>
        <v>150015980</v>
      </c>
      <c r="Q221" s="29">
        <f t="shared" si="18"/>
        <v>150015980</v>
      </c>
      <c r="R221" s="33">
        <f>SUMIFS(INDEX(Load,,MATCH('Summarized Source Data'!$C221,Hour,0)),Month,'Summarized Source Data'!$A221,Sector,'Summarized Source Data'!R$2,TimeOfWeek,$E221)*INDEX(About!N$79:N$82,MATCH($B221,About!$A$79:$A$82,0),1)</f>
        <v>4778654</v>
      </c>
      <c r="S221" s="33">
        <f>SUMIFS(INDEX(Load,,MATCH('Summarized Source Data'!$C221,Hour,0)),Month,'Summarized Source Data'!$A221,Sector,'Summarized Source Data'!S$2,TimeOfWeek,$E221)*INDEX(About!O$79:O$82,MATCH($B221,About!$A$79:$A$82,0),1)</f>
        <v>4778654</v>
      </c>
      <c r="T221" s="33">
        <f>SUMIFS(INDEX(Load,,MATCH('Summarized Source Data'!$C221,Hour,0)),Month,'Summarized Source Data'!$A221,Sector,'Summarized Source Data'!T$2,TimeOfWeek,$E221)*INDEX(About!P$79:P$82,MATCH($B221,About!$A$79:$A$82,0),1)</f>
        <v>4778654</v>
      </c>
      <c r="U221" s="33">
        <f>SUMIFS(INDEX(Load,,MATCH('Summarized Source Data'!$C221,Hour,0)),Month,'Summarized Source Data'!$A221,Sector,'Summarized Source Data'!U$2,TimeOfWeek,$E221)*INDEX(About!Q$79:Q$82,MATCH($B221,About!$A$79:$A$82,0),1)</f>
        <v>4778654</v>
      </c>
      <c r="V221" s="33">
        <f>SUMIFS(INDEX(Load,,MATCH('Summarized Source Data'!$C221,Hour,0)),Month,'Summarized Source Data'!$A221,Sector,'Summarized Source Data'!V$2,TimeOfWeek,$E221)*INDEX(About!R$79:R$82,MATCH($B221,About!$A$79:$A$82,0),1)</f>
        <v>4778654</v>
      </c>
      <c r="W221" s="33">
        <f>SUMIFS(INDEX(Load,,MATCH('Summarized Source Data'!$C221,Hour,0)),Month,'Summarized Source Data'!$A221,Sector,'Summarized Source Data'!W$2,TimeOfWeek,$E221)*INDEX(About!S$79:S$82,MATCH($B221,About!$A$79:$A$82,0),1)</f>
        <v>4778654</v>
      </c>
      <c r="X221" s="27">
        <f>SUMIFS(INDEX(Load,,MATCH('Summarized Source Data'!$C221,Hour,0)),Month,'Summarized Source Data'!$A221,Sector,'Summarized Source Data'!X$2,Subsector,'Summarized Source Data'!X$3,TimeOfWeek,$E221)*INDEX(About!T$79:T$82,MATCH($B221,About!$A$79:$A$82,0),1)</f>
        <v>652000000</v>
      </c>
      <c r="Y221" s="29">
        <f t="shared" si="19"/>
        <v>652000000</v>
      </c>
      <c r="Z221" s="29">
        <f t="shared" si="19"/>
        <v>652000000</v>
      </c>
    </row>
    <row r="222" spans="1:26" outlineLevel="1" x14ac:dyDescent="0.3">
      <c r="A222">
        <f t="shared" si="15"/>
        <v>10</v>
      </c>
      <c r="B222" t="str">
        <f>INDEX('Category Mapping'!$G$28:$G$39,MATCH(A222,'Category Mapping'!$A$28:$A$39,0),1)</f>
        <v>Fall</v>
      </c>
      <c r="C222" t="s">
        <v>65</v>
      </c>
      <c r="D222" s="6" t="s">
        <v>140</v>
      </c>
      <c r="E222" t="s">
        <v>49</v>
      </c>
      <c r="F222" s="27">
        <f>SUMIFS(INDEX(Load,,MATCH('Summarized Source Data'!$C222,Hour,0)),Month,'Summarized Source Data'!$A222,Sector,'Summarized Source Data'!F$2,Subsector,'Summarized Source Data'!F$3,TimeOfWeek,$E222)*INDEX(About!B$79:B$82,MATCH($B222,About!$A$79:$A$82,0),1)</f>
        <v>3718567</v>
      </c>
      <c r="G222" s="27">
        <f>SUMIFS(INDEX(Load,,MATCH('Summarized Source Data'!$C222,Hour,0)),Month,'Summarized Source Data'!$A222,Sector,'Summarized Source Data'!G$2,Subsector,'Summarized Source Data'!G$3,TimeOfWeek,$E222)*INDEX(About!C$79:C$82,MATCH($B222,About!$A$79:$A$82,0),1)</f>
        <v>2929</v>
      </c>
      <c r="H222" s="27">
        <f>SUMIFS(INDEX(Load,,MATCH('Summarized Source Data'!$C222,Hour,0)),Month,'Summarized Source Data'!$A222,Sector,'Summarized Source Data'!H$2,Subsector,'Summarized Source Data'!H$3,TimeOfWeek,$E222)*INDEX(About!D$79:D$82,MATCH($B222,About!$A$79:$A$82,0),1)</f>
        <v>0</v>
      </c>
      <c r="I222" s="27">
        <f>SUMIFS(INDEX(Load,,MATCH('Summarized Source Data'!$C222,Hour,0)),Month,'Summarized Source Data'!$A222,Sector,'Summarized Source Data'!I$2,Subsector,'Summarized Source Data'!I$3,TimeOfWeek,$E222)*INDEX(About!E$79:E$82,MATCH($B222,About!$A$79:$A$82,0),1)</f>
        <v>9944766</v>
      </c>
      <c r="J222" s="54">
        <f t="shared" si="16"/>
        <v>42233738</v>
      </c>
      <c r="K222" s="27">
        <f>(SUMIFS(INDEX(Load,,MATCH('Summarized Source Data'!$C222,Hour,0)),Month,'Summarized Source Data'!$A222,Sector,'Summarized Source Data'!K$2,Subsector,"Total",TimeOfWeek,$E222)-SUM(F222:I222))*INDEX(About!G$79:G$82,MATCH($B222,About!$A$79:$A$82,0),1)</f>
        <v>42233738</v>
      </c>
      <c r="L222" s="27">
        <f>SUMIFS(INDEX(Load,,MATCH('Summarized Source Data'!$C222,Hour,0)),Month,'Summarized Source Data'!$A222,Sector,'Summarized Source Data'!L$2,Subsector,'Summarized Source Data'!L$3,TimeOfWeek,$E222)*INDEX(About!H$79:H$82,MATCH($B222,About!$A$79:$A$82,0),1)</f>
        <v>12900000</v>
      </c>
      <c r="M222" s="27">
        <f>SUMIFS(INDEX(Load,,MATCH('Summarized Source Data'!$C222,Hour,0)),Month,'Summarized Source Data'!$A222,Sector,'Summarized Source Data'!M$2,Subsector,'Summarized Source Data'!M$3,TimeOfWeek,$E222)*INDEX(About!I$79:I$82,MATCH($B222,About!$A$79:$A$82,0),1)</f>
        <v>1154122</v>
      </c>
      <c r="N222" s="27">
        <f>SUMIFS(INDEX(Load,,MATCH('Summarized Source Data'!$C222,Hour,0)),Month,'Summarized Source Data'!$A222,Sector,'Summarized Source Data'!N$2,Subsector,'Summarized Source Data'!N$3,TimeOfWeek,$E222)*INDEX(About!J$79:J$82,MATCH($B222,About!$A$79:$A$82,0),1)</f>
        <v>0</v>
      </c>
      <c r="O222" s="29">
        <f t="shared" si="17"/>
        <v>148945878</v>
      </c>
      <c r="P222" s="27">
        <f>(SUMIFS(INDEX(Load,,MATCH('Summarized Source Data'!$C222,Hour,0)),Month,'Summarized Source Data'!$A222,Sector,'Summarized Source Data'!P$2,Subsector,"Total",TimeOfWeek,$E222)-SUM(L222:N222)*INDEX(About!L$79:L$82,MATCH($B222,About!$A$79:$A$82,0),1))</f>
        <v>148945878</v>
      </c>
      <c r="Q222" s="29">
        <f t="shared" si="18"/>
        <v>148945878</v>
      </c>
      <c r="R222" s="33">
        <f>SUMIFS(INDEX(Load,,MATCH('Summarized Source Data'!$C222,Hour,0)),Month,'Summarized Source Data'!$A222,Sector,'Summarized Source Data'!R$2,TimeOfWeek,$E222)*INDEX(About!N$79:N$82,MATCH($B222,About!$A$79:$A$82,0),1)</f>
        <v>4761236</v>
      </c>
      <c r="S222" s="33">
        <f>SUMIFS(INDEX(Load,,MATCH('Summarized Source Data'!$C222,Hour,0)),Month,'Summarized Source Data'!$A222,Sector,'Summarized Source Data'!S$2,TimeOfWeek,$E222)*INDEX(About!O$79:O$82,MATCH($B222,About!$A$79:$A$82,0),1)</f>
        <v>4761236</v>
      </c>
      <c r="T222" s="33">
        <f>SUMIFS(INDEX(Load,,MATCH('Summarized Source Data'!$C222,Hour,0)),Month,'Summarized Source Data'!$A222,Sector,'Summarized Source Data'!T$2,TimeOfWeek,$E222)*INDEX(About!P$79:P$82,MATCH($B222,About!$A$79:$A$82,0),1)</f>
        <v>4761236</v>
      </c>
      <c r="U222" s="33">
        <f>SUMIFS(INDEX(Load,,MATCH('Summarized Source Data'!$C222,Hour,0)),Month,'Summarized Source Data'!$A222,Sector,'Summarized Source Data'!U$2,TimeOfWeek,$E222)*INDEX(About!Q$79:Q$82,MATCH($B222,About!$A$79:$A$82,0),1)</f>
        <v>4761236</v>
      </c>
      <c r="V222" s="33">
        <f>SUMIFS(INDEX(Load,,MATCH('Summarized Source Data'!$C222,Hour,0)),Month,'Summarized Source Data'!$A222,Sector,'Summarized Source Data'!V$2,TimeOfWeek,$E222)*INDEX(About!R$79:R$82,MATCH($B222,About!$A$79:$A$82,0),1)</f>
        <v>4761236</v>
      </c>
      <c r="W222" s="33">
        <f>SUMIFS(INDEX(Load,,MATCH('Summarized Source Data'!$C222,Hour,0)),Month,'Summarized Source Data'!$A222,Sector,'Summarized Source Data'!W$2,TimeOfWeek,$E222)*INDEX(About!S$79:S$82,MATCH($B222,About!$A$79:$A$82,0),1)</f>
        <v>4761236</v>
      </c>
      <c r="X222" s="27">
        <f>SUMIFS(INDEX(Load,,MATCH('Summarized Source Data'!$C222,Hour,0)),Month,'Summarized Source Data'!$A222,Sector,'Summarized Source Data'!X$2,Subsector,'Summarized Source Data'!X$3,TimeOfWeek,$E222)*INDEX(About!T$79:T$82,MATCH($B222,About!$A$79:$A$82,0),1)</f>
        <v>652000000</v>
      </c>
      <c r="Y222" s="29">
        <f t="shared" si="19"/>
        <v>652000000</v>
      </c>
      <c r="Z222" s="29">
        <f t="shared" si="19"/>
        <v>652000000</v>
      </c>
    </row>
    <row r="223" spans="1:26" outlineLevel="1" x14ac:dyDescent="0.3">
      <c r="A223">
        <f t="shared" si="15"/>
        <v>10</v>
      </c>
      <c r="B223" t="str">
        <f>INDEX('Category Mapping'!$G$28:$G$39,MATCH(A223,'Category Mapping'!$A$28:$A$39,0),1)</f>
        <v>Fall</v>
      </c>
      <c r="C223" t="s">
        <v>66</v>
      </c>
      <c r="D223" s="6" t="s">
        <v>141</v>
      </c>
      <c r="E223" t="s">
        <v>49</v>
      </c>
      <c r="F223" s="27">
        <f>SUMIFS(INDEX(Load,,MATCH('Summarized Source Data'!$C223,Hour,0)),Month,'Summarized Source Data'!$A223,Sector,'Summarized Source Data'!F$2,Subsector,'Summarized Source Data'!F$3,TimeOfWeek,$E223)*INDEX(About!B$79:B$82,MATCH($B223,About!$A$79:$A$82,0),1)</f>
        <v>3718567</v>
      </c>
      <c r="G223" s="27">
        <f>SUMIFS(INDEX(Load,,MATCH('Summarized Source Data'!$C223,Hour,0)),Month,'Summarized Source Data'!$A223,Sector,'Summarized Source Data'!G$2,Subsector,'Summarized Source Data'!G$3,TimeOfWeek,$E223)*INDEX(About!C$79:C$82,MATCH($B223,About!$A$79:$A$82,0),1)</f>
        <v>2931</v>
      </c>
      <c r="H223" s="27">
        <f>SUMIFS(INDEX(Load,,MATCH('Summarized Source Data'!$C223,Hour,0)),Month,'Summarized Source Data'!$A223,Sector,'Summarized Source Data'!H$2,Subsector,'Summarized Source Data'!H$3,TimeOfWeek,$E223)*INDEX(About!D$79:D$82,MATCH($B223,About!$A$79:$A$82,0),1)</f>
        <v>0</v>
      </c>
      <c r="I223" s="27">
        <f>SUMIFS(INDEX(Load,,MATCH('Summarized Source Data'!$C223,Hour,0)),Month,'Summarized Source Data'!$A223,Sector,'Summarized Source Data'!I$2,Subsector,'Summarized Source Data'!I$3,TimeOfWeek,$E223)*INDEX(About!E$79:E$82,MATCH($B223,About!$A$79:$A$82,0),1)</f>
        <v>10200000</v>
      </c>
      <c r="J223" s="54">
        <f t="shared" si="16"/>
        <v>36478502</v>
      </c>
      <c r="K223" s="27">
        <f>(SUMIFS(INDEX(Load,,MATCH('Summarized Source Data'!$C223,Hour,0)),Month,'Summarized Source Data'!$A223,Sector,'Summarized Source Data'!K$2,Subsector,"Total",TimeOfWeek,$E223)-SUM(F223:I223))*INDEX(About!G$79:G$82,MATCH($B223,About!$A$79:$A$82,0),1)</f>
        <v>36478502</v>
      </c>
      <c r="L223" s="27">
        <f>SUMIFS(INDEX(Load,,MATCH('Summarized Source Data'!$C223,Hour,0)),Month,'Summarized Source Data'!$A223,Sector,'Summarized Source Data'!L$2,Subsector,'Summarized Source Data'!L$3,TimeOfWeek,$E223)*INDEX(About!H$79:H$82,MATCH($B223,About!$A$79:$A$82,0),1)</f>
        <v>13100000</v>
      </c>
      <c r="M223" s="27">
        <f>SUMIFS(INDEX(Load,,MATCH('Summarized Source Data'!$C223,Hour,0)),Month,'Summarized Source Data'!$A223,Sector,'Summarized Source Data'!M$2,Subsector,'Summarized Source Data'!M$3,TimeOfWeek,$E223)*INDEX(About!I$79:I$82,MATCH($B223,About!$A$79:$A$82,0),1)</f>
        <v>1137258</v>
      </c>
      <c r="N223" s="27">
        <f>SUMIFS(INDEX(Load,,MATCH('Summarized Source Data'!$C223,Hour,0)),Month,'Summarized Source Data'!$A223,Sector,'Summarized Source Data'!N$2,Subsector,'Summarized Source Data'!N$3,TimeOfWeek,$E223)*INDEX(About!J$79:J$82,MATCH($B223,About!$A$79:$A$82,0),1)</f>
        <v>0</v>
      </c>
      <c r="O223" s="29">
        <f t="shared" si="17"/>
        <v>155762742</v>
      </c>
      <c r="P223" s="27">
        <f>(SUMIFS(INDEX(Load,,MATCH('Summarized Source Data'!$C223,Hour,0)),Month,'Summarized Source Data'!$A223,Sector,'Summarized Source Data'!P$2,Subsector,"Total",TimeOfWeek,$E223)-SUM(L223:N223)*INDEX(About!L$79:L$82,MATCH($B223,About!$A$79:$A$82,0),1))</f>
        <v>155762742</v>
      </c>
      <c r="Q223" s="29">
        <f t="shared" si="18"/>
        <v>155762742</v>
      </c>
      <c r="R223" s="33">
        <f>SUMIFS(INDEX(Load,,MATCH('Summarized Source Data'!$C223,Hour,0)),Month,'Summarized Source Data'!$A223,Sector,'Summarized Source Data'!R$2,TimeOfWeek,$E223)*INDEX(About!N$79:N$82,MATCH($B223,About!$A$79:$A$82,0),1)</f>
        <v>4777272</v>
      </c>
      <c r="S223" s="33">
        <f>SUMIFS(INDEX(Load,,MATCH('Summarized Source Data'!$C223,Hour,0)),Month,'Summarized Source Data'!$A223,Sector,'Summarized Source Data'!S$2,TimeOfWeek,$E223)*INDEX(About!O$79:O$82,MATCH($B223,About!$A$79:$A$82,0),1)</f>
        <v>4777272</v>
      </c>
      <c r="T223" s="33">
        <f>SUMIFS(INDEX(Load,,MATCH('Summarized Source Data'!$C223,Hour,0)),Month,'Summarized Source Data'!$A223,Sector,'Summarized Source Data'!T$2,TimeOfWeek,$E223)*INDEX(About!P$79:P$82,MATCH($B223,About!$A$79:$A$82,0),1)</f>
        <v>4777272</v>
      </c>
      <c r="U223" s="33">
        <f>SUMIFS(INDEX(Load,,MATCH('Summarized Source Data'!$C223,Hour,0)),Month,'Summarized Source Data'!$A223,Sector,'Summarized Source Data'!U$2,TimeOfWeek,$E223)*INDEX(About!Q$79:Q$82,MATCH($B223,About!$A$79:$A$82,0),1)</f>
        <v>4777272</v>
      </c>
      <c r="V223" s="33">
        <f>SUMIFS(INDEX(Load,,MATCH('Summarized Source Data'!$C223,Hour,0)),Month,'Summarized Source Data'!$A223,Sector,'Summarized Source Data'!V$2,TimeOfWeek,$E223)*INDEX(About!R$79:R$82,MATCH($B223,About!$A$79:$A$82,0),1)</f>
        <v>4777272</v>
      </c>
      <c r="W223" s="33">
        <f>SUMIFS(INDEX(Load,,MATCH('Summarized Source Data'!$C223,Hour,0)),Month,'Summarized Source Data'!$A223,Sector,'Summarized Source Data'!W$2,TimeOfWeek,$E223)*INDEX(About!S$79:S$82,MATCH($B223,About!$A$79:$A$82,0),1)</f>
        <v>4777272</v>
      </c>
      <c r="X223" s="27">
        <f>SUMIFS(INDEX(Load,,MATCH('Summarized Source Data'!$C223,Hour,0)),Month,'Summarized Source Data'!$A223,Sector,'Summarized Source Data'!X$2,Subsector,'Summarized Source Data'!X$3,TimeOfWeek,$E223)*INDEX(About!T$79:T$82,MATCH($B223,About!$A$79:$A$82,0),1)</f>
        <v>652000000</v>
      </c>
      <c r="Y223" s="29">
        <f t="shared" si="19"/>
        <v>652000000</v>
      </c>
      <c r="Z223" s="29">
        <f t="shared" si="19"/>
        <v>652000000</v>
      </c>
    </row>
    <row r="224" spans="1:26" outlineLevel="1" x14ac:dyDescent="0.3">
      <c r="A224">
        <f t="shared" si="15"/>
        <v>10</v>
      </c>
      <c r="B224" t="str">
        <f>INDEX('Category Mapping'!$G$28:$G$39,MATCH(A224,'Category Mapping'!$A$28:$A$39,0),1)</f>
        <v>Fall</v>
      </c>
      <c r="C224" t="s">
        <v>67</v>
      </c>
      <c r="D224" s="6" t="s">
        <v>142</v>
      </c>
      <c r="E224" t="s">
        <v>49</v>
      </c>
      <c r="F224" s="27">
        <f>SUMIFS(INDEX(Load,,MATCH('Summarized Source Data'!$C224,Hour,0)),Month,'Summarized Source Data'!$A224,Sector,'Summarized Source Data'!F$2,Subsector,'Summarized Source Data'!F$3,TimeOfWeek,$E224)*INDEX(About!B$79:B$82,MATCH($B224,About!$A$79:$A$82,0),1)</f>
        <v>3718567</v>
      </c>
      <c r="G224" s="27">
        <f>SUMIFS(INDEX(Load,,MATCH('Summarized Source Data'!$C224,Hour,0)),Month,'Summarized Source Data'!$A224,Sector,'Summarized Source Data'!G$2,Subsector,'Summarized Source Data'!G$3,TimeOfWeek,$E224)*INDEX(About!C$79:C$82,MATCH($B224,About!$A$79:$A$82,0),1)</f>
        <v>2857</v>
      </c>
      <c r="H224" s="27">
        <f>SUMIFS(INDEX(Load,,MATCH('Summarized Source Data'!$C224,Hour,0)),Month,'Summarized Source Data'!$A224,Sector,'Summarized Source Data'!H$2,Subsector,'Summarized Source Data'!H$3,TimeOfWeek,$E224)*INDEX(About!D$79:D$82,MATCH($B224,About!$A$79:$A$82,0),1)</f>
        <v>0</v>
      </c>
      <c r="I224" s="27">
        <f>SUMIFS(INDEX(Load,,MATCH('Summarized Source Data'!$C224,Hour,0)),Month,'Summarized Source Data'!$A224,Sector,'Summarized Source Data'!I$2,Subsector,'Summarized Source Data'!I$3,TimeOfWeek,$E224)*INDEX(About!E$79:E$82,MATCH($B224,About!$A$79:$A$82,0),1)</f>
        <v>13100000</v>
      </c>
      <c r="J224" s="54">
        <f t="shared" si="16"/>
        <v>38478576</v>
      </c>
      <c r="K224" s="27">
        <f>(SUMIFS(INDEX(Load,,MATCH('Summarized Source Data'!$C224,Hour,0)),Month,'Summarized Source Data'!$A224,Sector,'Summarized Source Data'!K$2,Subsector,"Total",TimeOfWeek,$E224)-SUM(F224:I224))*INDEX(About!G$79:G$82,MATCH($B224,About!$A$79:$A$82,0),1)</f>
        <v>38478576</v>
      </c>
      <c r="L224" s="27">
        <f>SUMIFS(INDEX(Load,,MATCH('Summarized Source Data'!$C224,Hour,0)),Month,'Summarized Source Data'!$A224,Sector,'Summarized Source Data'!L$2,Subsector,'Summarized Source Data'!L$3,TimeOfWeek,$E224)*INDEX(About!H$79:H$82,MATCH($B224,About!$A$79:$A$82,0),1)</f>
        <v>12700000</v>
      </c>
      <c r="M224" s="27">
        <f>SUMIFS(INDEX(Load,,MATCH('Summarized Source Data'!$C224,Hour,0)),Month,'Summarized Source Data'!$A224,Sector,'Summarized Source Data'!M$2,Subsector,'Summarized Source Data'!M$3,TimeOfWeek,$E224)*INDEX(About!I$79:I$82,MATCH($B224,About!$A$79:$A$82,0),1)</f>
        <v>1133626</v>
      </c>
      <c r="N224" s="27">
        <f>SUMIFS(INDEX(Load,,MATCH('Summarized Source Data'!$C224,Hour,0)),Month,'Summarized Source Data'!$A224,Sector,'Summarized Source Data'!N$2,Subsector,'Summarized Source Data'!N$3,TimeOfWeek,$E224)*INDEX(About!J$79:J$82,MATCH($B224,About!$A$79:$A$82,0),1)</f>
        <v>0</v>
      </c>
      <c r="O224" s="29">
        <f t="shared" si="17"/>
        <v>165166374</v>
      </c>
      <c r="P224" s="27">
        <f>(SUMIFS(INDEX(Load,,MATCH('Summarized Source Data'!$C224,Hour,0)),Month,'Summarized Source Data'!$A224,Sector,'Summarized Source Data'!P$2,Subsector,"Total",TimeOfWeek,$E224)-SUM(L224:N224)*INDEX(About!L$79:L$82,MATCH($B224,About!$A$79:$A$82,0),1))</f>
        <v>165166374</v>
      </c>
      <c r="Q224" s="29">
        <f t="shared" si="18"/>
        <v>165166374</v>
      </c>
      <c r="R224" s="33">
        <f>SUMIFS(INDEX(Load,,MATCH('Summarized Source Data'!$C224,Hour,0)),Month,'Summarized Source Data'!$A224,Sector,'Summarized Source Data'!R$2,TimeOfWeek,$E224)*INDEX(About!N$79:N$82,MATCH($B224,About!$A$79:$A$82,0),1)</f>
        <v>4759799</v>
      </c>
      <c r="S224" s="33">
        <f>SUMIFS(INDEX(Load,,MATCH('Summarized Source Data'!$C224,Hour,0)),Month,'Summarized Source Data'!$A224,Sector,'Summarized Source Data'!S$2,TimeOfWeek,$E224)*INDEX(About!O$79:O$82,MATCH($B224,About!$A$79:$A$82,0),1)</f>
        <v>4759799</v>
      </c>
      <c r="T224" s="33">
        <f>SUMIFS(INDEX(Load,,MATCH('Summarized Source Data'!$C224,Hour,0)),Month,'Summarized Source Data'!$A224,Sector,'Summarized Source Data'!T$2,TimeOfWeek,$E224)*INDEX(About!P$79:P$82,MATCH($B224,About!$A$79:$A$82,0),1)</f>
        <v>4759799</v>
      </c>
      <c r="U224" s="33">
        <f>SUMIFS(INDEX(Load,,MATCH('Summarized Source Data'!$C224,Hour,0)),Month,'Summarized Source Data'!$A224,Sector,'Summarized Source Data'!U$2,TimeOfWeek,$E224)*INDEX(About!Q$79:Q$82,MATCH($B224,About!$A$79:$A$82,0),1)</f>
        <v>4759799</v>
      </c>
      <c r="V224" s="33">
        <f>SUMIFS(INDEX(Load,,MATCH('Summarized Source Data'!$C224,Hour,0)),Month,'Summarized Source Data'!$A224,Sector,'Summarized Source Data'!V$2,TimeOfWeek,$E224)*INDEX(About!R$79:R$82,MATCH($B224,About!$A$79:$A$82,0),1)</f>
        <v>4759799</v>
      </c>
      <c r="W224" s="33">
        <f>SUMIFS(INDEX(Load,,MATCH('Summarized Source Data'!$C224,Hour,0)),Month,'Summarized Source Data'!$A224,Sector,'Summarized Source Data'!W$2,TimeOfWeek,$E224)*INDEX(About!S$79:S$82,MATCH($B224,About!$A$79:$A$82,0),1)</f>
        <v>4759799</v>
      </c>
      <c r="X224" s="27">
        <f>SUMIFS(INDEX(Load,,MATCH('Summarized Source Data'!$C224,Hour,0)),Month,'Summarized Source Data'!$A224,Sector,'Summarized Source Data'!X$2,Subsector,'Summarized Source Data'!X$3,TimeOfWeek,$E224)*INDEX(About!T$79:T$82,MATCH($B224,About!$A$79:$A$82,0),1)</f>
        <v>654000000</v>
      </c>
      <c r="Y224" s="29">
        <f t="shared" si="19"/>
        <v>654000000</v>
      </c>
      <c r="Z224" s="29">
        <f t="shared" si="19"/>
        <v>654000000</v>
      </c>
    </row>
    <row r="225" spans="1:26" outlineLevel="1" x14ac:dyDescent="0.3">
      <c r="A225">
        <f t="shared" si="15"/>
        <v>10</v>
      </c>
      <c r="B225" t="str">
        <f>INDEX('Category Mapping'!$G$28:$G$39,MATCH(A225,'Category Mapping'!$A$28:$A$39,0),1)</f>
        <v>Fall</v>
      </c>
      <c r="C225" t="s">
        <v>68</v>
      </c>
      <c r="D225" s="6" t="s">
        <v>143</v>
      </c>
      <c r="E225" t="s">
        <v>49</v>
      </c>
      <c r="F225" s="27">
        <f>SUMIFS(INDEX(Load,,MATCH('Summarized Source Data'!$C225,Hour,0)),Month,'Summarized Source Data'!$A225,Sector,'Summarized Source Data'!F$2,Subsector,'Summarized Source Data'!F$3,TimeOfWeek,$E225)*INDEX(About!B$79:B$82,MATCH($B225,About!$A$79:$A$82,0),1)</f>
        <v>5537864</v>
      </c>
      <c r="G225" s="27">
        <f>SUMIFS(INDEX(Load,,MATCH('Summarized Source Data'!$C225,Hour,0)),Month,'Summarized Source Data'!$A225,Sector,'Summarized Source Data'!G$2,Subsector,'Summarized Source Data'!G$3,TimeOfWeek,$E225)*INDEX(About!C$79:C$82,MATCH($B225,About!$A$79:$A$82,0),1)</f>
        <v>2627</v>
      </c>
      <c r="H225" s="27">
        <f>SUMIFS(INDEX(Load,,MATCH('Summarized Source Data'!$C225,Hour,0)),Month,'Summarized Source Data'!$A225,Sector,'Summarized Source Data'!H$2,Subsector,'Summarized Source Data'!H$3,TimeOfWeek,$E225)*INDEX(About!D$79:D$82,MATCH($B225,About!$A$79:$A$82,0),1)</f>
        <v>0</v>
      </c>
      <c r="I225" s="27">
        <f>SUMIFS(INDEX(Load,,MATCH('Summarized Source Data'!$C225,Hour,0)),Month,'Summarized Source Data'!$A225,Sector,'Summarized Source Data'!I$2,Subsector,'Summarized Source Data'!I$3,TimeOfWeek,$E225)*INDEX(About!E$79:E$82,MATCH($B225,About!$A$79:$A$82,0),1)</f>
        <v>22500000</v>
      </c>
      <c r="J225" s="54">
        <f t="shared" si="16"/>
        <v>52959509</v>
      </c>
      <c r="K225" s="27">
        <f>(SUMIFS(INDEX(Load,,MATCH('Summarized Source Data'!$C225,Hour,0)),Month,'Summarized Source Data'!$A225,Sector,'Summarized Source Data'!K$2,Subsector,"Total",TimeOfWeek,$E225)-SUM(F225:I225))*INDEX(About!G$79:G$82,MATCH($B225,About!$A$79:$A$82,0),1)</f>
        <v>52959509</v>
      </c>
      <c r="L225" s="27">
        <f>SUMIFS(INDEX(Load,,MATCH('Summarized Source Data'!$C225,Hour,0)),Month,'Summarized Source Data'!$A225,Sector,'Summarized Source Data'!L$2,Subsector,'Summarized Source Data'!L$3,TimeOfWeek,$E225)*INDEX(About!H$79:H$82,MATCH($B225,About!$A$79:$A$82,0),1)</f>
        <v>21200000</v>
      </c>
      <c r="M225" s="27">
        <f>SUMIFS(INDEX(Load,,MATCH('Summarized Source Data'!$C225,Hour,0)),Month,'Summarized Source Data'!$A225,Sector,'Summarized Source Data'!M$2,Subsector,'Summarized Source Data'!M$3,TimeOfWeek,$E225)*INDEX(About!I$79:I$82,MATCH($B225,About!$A$79:$A$82,0),1)</f>
        <v>1169062</v>
      </c>
      <c r="N225" s="27">
        <f>SUMIFS(INDEX(Load,,MATCH('Summarized Source Data'!$C225,Hour,0)),Month,'Summarized Source Data'!$A225,Sector,'Summarized Source Data'!N$2,Subsector,'Summarized Source Data'!N$3,TimeOfWeek,$E225)*INDEX(About!J$79:J$82,MATCH($B225,About!$A$79:$A$82,0),1)</f>
        <v>0</v>
      </c>
      <c r="O225" s="29">
        <f t="shared" si="17"/>
        <v>192630938</v>
      </c>
      <c r="P225" s="27">
        <f>(SUMIFS(INDEX(Load,,MATCH('Summarized Source Data'!$C225,Hour,0)),Month,'Summarized Source Data'!$A225,Sector,'Summarized Source Data'!P$2,Subsector,"Total",TimeOfWeek,$E225)-SUM(L225:N225)*INDEX(About!L$79:L$82,MATCH($B225,About!$A$79:$A$82,0),1))</f>
        <v>192630938</v>
      </c>
      <c r="Q225" s="29">
        <f t="shared" si="18"/>
        <v>192630938</v>
      </c>
      <c r="R225" s="33">
        <f>SUMIFS(INDEX(Load,,MATCH('Summarized Source Data'!$C225,Hour,0)),Month,'Summarized Source Data'!$A225,Sector,'Summarized Source Data'!R$2,TimeOfWeek,$E225)*INDEX(About!N$79:N$82,MATCH($B225,About!$A$79:$A$82,0),1)</f>
        <v>4893006</v>
      </c>
      <c r="S225" s="33">
        <f>SUMIFS(INDEX(Load,,MATCH('Summarized Source Data'!$C225,Hour,0)),Month,'Summarized Source Data'!$A225,Sector,'Summarized Source Data'!S$2,TimeOfWeek,$E225)*INDEX(About!O$79:O$82,MATCH($B225,About!$A$79:$A$82,0),1)</f>
        <v>4893006</v>
      </c>
      <c r="T225" s="33">
        <f>SUMIFS(INDEX(Load,,MATCH('Summarized Source Data'!$C225,Hour,0)),Month,'Summarized Source Data'!$A225,Sector,'Summarized Source Data'!T$2,TimeOfWeek,$E225)*INDEX(About!P$79:P$82,MATCH($B225,About!$A$79:$A$82,0),1)</f>
        <v>4893006</v>
      </c>
      <c r="U225" s="33">
        <f>SUMIFS(INDEX(Load,,MATCH('Summarized Source Data'!$C225,Hour,0)),Month,'Summarized Source Data'!$A225,Sector,'Summarized Source Data'!U$2,TimeOfWeek,$E225)*INDEX(About!Q$79:Q$82,MATCH($B225,About!$A$79:$A$82,0),1)</f>
        <v>4893006</v>
      </c>
      <c r="V225" s="33">
        <f>SUMIFS(INDEX(Load,,MATCH('Summarized Source Data'!$C225,Hour,0)),Month,'Summarized Source Data'!$A225,Sector,'Summarized Source Data'!V$2,TimeOfWeek,$E225)*INDEX(About!R$79:R$82,MATCH($B225,About!$A$79:$A$82,0),1)</f>
        <v>4893006</v>
      </c>
      <c r="W225" s="33">
        <f>SUMIFS(INDEX(Load,,MATCH('Summarized Source Data'!$C225,Hour,0)),Month,'Summarized Source Data'!$A225,Sector,'Summarized Source Data'!W$2,TimeOfWeek,$E225)*INDEX(About!S$79:S$82,MATCH($B225,About!$A$79:$A$82,0),1)</f>
        <v>4893006</v>
      </c>
      <c r="X225" s="27">
        <f>SUMIFS(INDEX(Load,,MATCH('Summarized Source Data'!$C225,Hour,0)),Month,'Summarized Source Data'!$A225,Sector,'Summarized Source Data'!X$2,Subsector,'Summarized Source Data'!X$3,TimeOfWeek,$E225)*INDEX(About!T$79:T$82,MATCH($B225,About!$A$79:$A$82,0),1)</f>
        <v>659000000</v>
      </c>
      <c r="Y225" s="29">
        <f t="shared" si="19"/>
        <v>659000000</v>
      </c>
      <c r="Z225" s="29">
        <f t="shared" si="19"/>
        <v>659000000</v>
      </c>
    </row>
    <row r="226" spans="1:26" outlineLevel="1" x14ac:dyDescent="0.3">
      <c r="A226">
        <f t="shared" si="15"/>
        <v>10</v>
      </c>
      <c r="B226" t="str">
        <f>INDEX('Category Mapping'!$G$28:$G$39,MATCH(A226,'Category Mapping'!$A$28:$A$39,0),1)</f>
        <v>Fall</v>
      </c>
      <c r="C226" t="s">
        <v>69</v>
      </c>
      <c r="D226" s="6" t="s">
        <v>144</v>
      </c>
      <c r="E226" t="s">
        <v>49</v>
      </c>
      <c r="F226" s="27">
        <f>SUMIFS(INDEX(Load,,MATCH('Summarized Source Data'!$C226,Hour,0)),Month,'Summarized Source Data'!$A226,Sector,'Summarized Source Data'!F$2,Subsector,'Summarized Source Data'!F$3,TimeOfWeek,$E226)*INDEX(About!B$79:B$82,MATCH($B226,About!$A$79:$A$82,0),1)</f>
        <v>6269191</v>
      </c>
      <c r="G226" s="27">
        <f>SUMIFS(INDEX(Load,,MATCH('Summarized Source Data'!$C226,Hour,0)),Month,'Summarized Source Data'!$A226,Sector,'Summarized Source Data'!G$2,Subsector,'Summarized Source Data'!G$3,TimeOfWeek,$E226)*INDEX(About!C$79:C$82,MATCH($B226,About!$A$79:$A$82,0),1)</f>
        <v>2146</v>
      </c>
      <c r="H226" s="27">
        <f>SUMIFS(INDEX(Load,,MATCH('Summarized Source Data'!$C226,Hour,0)),Month,'Summarized Source Data'!$A226,Sector,'Summarized Source Data'!H$2,Subsector,'Summarized Source Data'!H$3,TimeOfWeek,$E226)*INDEX(About!D$79:D$82,MATCH($B226,About!$A$79:$A$82,0),1)</f>
        <v>0</v>
      </c>
      <c r="I226" s="27">
        <f>SUMIFS(INDEX(Load,,MATCH('Summarized Source Data'!$C226,Hour,0)),Month,'Summarized Source Data'!$A226,Sector,'Summarized Source Data'!I$2,Subsector,'Summarized Source Data'!I$3,TimeOfWeek,$E226)*INDEX(About!E$79:E$82,MATCH($B226,About!$A$79:$A$82,0),1)</f>
        <v>32900000</v>
      </c>
      <c r="J226" s="54">
        <f t="shared" si="16"/>
        <v>83828663</v>
      </c>
      <c r="K226" s="27">
        <f>(SUMIFS(INDEX(Load,,MATCH('Summarized Source Data'!$C226,Hour,0)),Month,'Summarized Source Data'!$A226,Sector,'Summarized Source Data'!K$2,Subsector,"Total",TimeOfWeek,$E226)-SUM(F226:I226))*INDEX(About!G$79:G$82,MATCH($B226,About!$A$79:$A$82,0),1)</f>
        <v>83828663</v>
      </c>
      <c r="L226" s="27">
        <f>SUMIFS(INDEX(Load,,MATCH('Summarized Source Data'!$C226,Hour,0)),Month,'Summarized Source Data'!$A226,Sector,'Summarized Source Data'!L$2,Subsector,'Summarized Source Data'!L$3,TimeOfWeek,$E226)*INDEX(About!H$79:H$82,MATCH($B226,About!$A$79:$A$82,0),1)</f>
        <v>36600000</v>
      </c>
      <c r="M226" s="27">
        <f>SUMIFS(INDEX(Load,,MATCH('Summarized Source Data'!$C226,Hour,0)),Month,'Summarized Source Data'!$A226,Sector,'Summarized Source Data'!M$2,Subsector,'Summarized Source Data'!M$3,TimeOfWeek,$E226)*INDEX(About!I$79:I$82,MATCH($B226,About!$A$79:$A$82,0),1)</f>
        <v>1295801</v>
      </c>
      <c r="N226" s="27">
        <f>SUMIFS(INDEX(Load,,MATCH('Summarized Source Data'!$C226,Hour,0)),Month,'Summarized Source Data'!$A226,Sector,'Summarized Source Data'!N$2,Subsector,'Summarized Source Data'!N$3,TimeOfWeek,$E226)*INDEX(About!J$79:J$82,MATCH($B226,About!$A$79:$A$82,0),1)</f>
        <v>0</v>
      </c>
      <c r="O226" s="29">
        <f t="shared" si="17"/>
        <v>290104199</v>
      </c>
      <c r="P226" s="27">
        <f>(SUMIFS(INDEX(Load,,MATCH('Summarized Source Data'!$C226,Hour,0)),Month,'Summarized Source Data'!$A226,Sector,'Summarized Source Data'!P$2,Subsector,"Total",TimeOfWeek,$E226)-SUM(L226:N226)*INDEX(About!L$79:L$82,MATCH($B226,About!$A$79:$A$82,0),1))</f>
        <v>290104199</v>
      </c>
      <c r="Q226" s="29">
        <f t="shared" si="18"/>
        <v>290104199</v>
      </c>
      <c r="R226" s="33">
        <f>SUMIFS(INDEX(Load,,MATCH('Summarized Source Data'!$C226,Hour,0)),Month,'Summarized Source Data'!$A226,Sector,'Summarized Source Data'!R$2,TimeOfWeek,$E226)*INDEX(About!N$79:N$82,MATCH($B226,About!$A$79:$A$82,0),1)</f>
        <v>7342425</v>
      </c>
      <c r="S226" s="33">
        <f>SUMIFS(INDEX(Load,,MATCH('Summarized Source Data'!$C226,Hour,0)),Month,'Summarized Source Data'!$A226,Sector,'Summarized Source Data'!S$2,TimeOfWeek,$E226)*INDEX(About!O$79:O$82,MATCH($B226,About!$A$79:$A$82,0),1)</f>
        <v>7342425</v>
      </c>
      <c r="T226" s="33">
        <f>SUMIFS(INDEX(Load,,MATCH('Summarized Source Data'!$C226,Hour,0)),Month,'Summarized Source Data'!$A226,Sector,'Summarized Source Data'!T$2,TimeOfWeek,$E226)*INDEX(About!P$79:P$82,MATCH($B226,About!$A$79:$A$82,0),1)</f>
        <v>7342425</v>
      </c>
      <c r="U226" s="33">
        <f>SUMIFS(INDEX(Load,,MATCH('Summarized Source Data'!$C226,Hour,0)),Month,'Summarized Source Data'!$A226,Sector,'Summarized Source Data'!U$2,TimeOfWeek,$E226)*INDEX(About!Q$79:Q$82,MATCH($B226,About!$A$79:$A$82,0),1)</f>
        <v>7342425</v>
      </c>
      <c r="V226" s="33">
        <f>SUMIFS(INDEX(Load,,MATCH('Summarized Source Data'!$C226,Hour,0)),Month,'Summarized Source Data'!$A226,Sector,'Summarized Source Data'!V$2,TimeOfWeek,$E226)*INDEX(About!R$79:R$82,MATCH($B226,About!$A$79:$A$82,0),1)</f>
        <v>7342425</v>
      </c>
      <c r="W226" s="33">
        <f>SUMIFS(INDEX(Load,,MATCH('Summarized Source Data'!$C226,Hour,0)),Month,'Summarized Source Data'!$A226,Sector,'Summarized Source Data'!W$2,TimeOfWeek,$E226)*INDEX(About!S$79:S$82,MATCH($B226,About!$A$79:$A$82,0),1)</f>
        <v>7342425</v>
      </c>
      <c r="X226" s="27">
        <f>SUMIFS(INDEX(Load,,MATCH('Summarized Source Data'!$C226,Hour,0)),Month,'Summarized Source Data'!$A226,Sector,'Summarized Source Data'!X$2,Subsector,'Summarized Source Data'!X$3,TimeOfWeek,$E226)*INDEX(About!T$79:T$82,MATCH($B226,About!$A$79:$A$82,0),1)</f>
        <v>666000000</v>
      </c>
      <c r="Y226" s="29">
        <f t="shared" si="19"/>
        <v>666000000</v>
      </c>
      <c r="Z226" s="29">
        <f t="shared" si="19"/>
        <v>666000000</v>
      </c>
    </row>
    <row r="227" spans="1:26" outlineLevel="1" x14ac:dyDescent="0.3">
      <c r="A227">
        <f t="shared" si="15"/>
        <v>10</v>
      </c>
      <c r="B227" t="str">
        <f>INDEX('Category Mapping'!$G$28:$G$39,MATCH(A227,'Category Mapping'!$A$28:$A$39,0),1)</f>
        <v>Fall</v>
      </c>
      <c r="C227" t="s">
        <v>70</v>
      </c>
      <c r="D227" s="6" t="s">
        <v>145</v>
      </c>
      <c r="E227" t="s">
        <v>49</v>
      </c>
      <c r="F227" s="27">
        <f>SUMIFS(INDEX(Load,,MATCH('Summarized Source Data'!$C227,Hour,0)),Month,'Summarized Source Data'!$A227,Sector,'Summarized Source Data'!F$2,Subsector,'Summarized Source Data'!F$3,TimeOfWeek,$E227)*INDEX(About!B$79:B$82,MATCH($B227,About!$A$79:$A$82,0),1)</f>
        <v>6347494</v>
      </c>
      <c r="G227" s="27">
        <f>SUMIFS(INDEX(Load,,MATCH('Summarized Source Data'!$C227,Hour,0)),Month,'Summarized Source Data'!$A227,Sector,'Summarized Source Data'!G$2,Subsector,'Summarized Source Data'!G$3,TimeOfWeek,$E227)*INDEX(About!C$79:C$82,MATCH($B227,About!$A$79:$A$82,0),1)</f>
        <v>1610</v>
      </c>
      <c r="H227" s="27">
        <f>SUMIFS(INDEX(Load,,MATCH('Summarized Source Data'!$C227,Hour,0)),Month,'Summarized Source Data'!$A227,Sector,'Summarized Source Data'!H$2,Subsector,'Summarized Source Data'!H$3,TimeOfWeek,$E227)*INDEX(About!D$79:D$82,MATCH($B227,About!$A$79:$A$82,0),1)</f>
        <v>0</v>
      </c>
      <c r="I227" s="27">
        <f>SUMIFS(INDEX(Load,,MATCH('Summarized Source Data'!$C227,Hour,0)),Month,'Summarized Source Data'!$A227,Sector,'Summarized Source Data'!I$2,Subsector,'Summarized Source Data'!I$3,TimeOfWeek,$E227)*INDEX(About!E$79:E$82,MATCH($B227,About!$A$79:$A$82,0),1)</f>
        <v>12500000</v>
      </c>
      <c r="J227" s="54">
        <f t="shared" si="16"/>
        <v>106150896</v>
      </c>
      <c r="K227" s="27">
        <f>(SUMIFS(INDEX(Load,,MATCH('Summarized Source Data'!$C227,Hour,0)),Month,'Summarized Source Data'!$A227,Sector,'Summarized Source Data'!K$2,Subsector,"Total",TimeOfWeek,$E227)-SUM(F227:I227))*INDEX(About!G$79:G$82,MATCH($B227,About!$A$79:$A$82,0),1)</f>
        <v>106150896</v>
      </c>
      <c r="L227" s="27">
        <f>SUMIFS(INDEX(Load,,MATCH('Summarized Source Data'!$C227,Hour,0)),Month,'Summarized Source Data'!$A227,Sector,'Summarized Source Data'!L$2,Subsector,'Summarized Source Data'!L$3,TimeOfWeek,$E227)*INDEX(About!H$79:H$82,MATCH($B227,About!$A$79:$A$82,0),1)</f>
        <v>33000000</v>
      </c>
      <c r="M227" s="27">
        <f>SUMIFS(INDEX(Load,,MATCH('Summarized Source Data'!$C227,Hour,0)),Month,'Summarized Source Data'!$A227,Sector,'Summarized Source Data'!M$2,Subsector,'Summarized Source Data'!M$3,TimeOfWeek,$E227)*INDEX(About!I$79:I$82,MATCH($B227,About!$A$79:$A$82,0),1)</f>
        <v>1545836</v>
      </c>
      <c r="N227" s="27">
        <f>SUMIFS(INDEX(Load,,MATCH('Summarized Source Data'!$C227,Hour,0)),Month,'Summarized Source Data'!$A227,Sector,'Summarized Source Data'!N$2,Subsector,'Summarized Source Data'!N$3,TimeOfWeek,$E227)*INDEX(About!J$79:J$82,MATCH($B227,About!$A$79:$A$82,0),1)</f>
        <v>0</v>
      </c>
      <c r="O227" s="29">
        <f t="shared" si="17"/>
        <v>398454164</v>
      </c>
      <c r="P227" s="27">
        <f>(SUMIFS(INDEX(Load,,MATCH('Summarized Source Data'!$C227,Hour,0)),Month,'Summarized Source Data'!$A227,Sector,'Summarized Source Data'!P$2,Subsector,"Total",TimeOfWeek,$E227)-SUM(L227:N227)*INDEX(About!L$79:L$82,MATCH($B227,About!$A$79:$A$82,0),1))</f>
        <v>398454164</v>
      </c>
      <c r="Q227" s="29">
        <f t="shared" si="18"/>
        <v>398454164</v>
      </c>
      <c r="R227" s="33">
        <f>SUMIFS(INDEX(Load,,MATCH('Summarized Source Data'!$C227,Hour,0)),Month,'Summarized Source Data'!$A227,Sector,'Summarized Source Data'!R$2,TimeOfWeek,$E227)*INDEX(About!N$79:N$82,MATCH($B227,About!$A$79:$A$82,0),1)</f>
        <v>15400000</v>
      </c>
      <c r="S227" s="33">
        <f>SUMIFS(INDEX(Load,,MATCH('Summarized Source Data'!$C227,Hour,0)),Month,'Summarized Source Data'!$A227,Sector,'Summarized Source Data'!S$2,TimeOfWeek,$E227)*INDEX(About!O$79:O$82,MATCH($B227,About!$A$79:$A$82,0),1)</f>
        <v>15400000</v>
      </c>
      <c r="T227" s="33">
        <f>SUMIFS(INDEX(Load,,MATCH('Summarized Source Data'!$C227,Hour,0)),Month,'Summarized Source Data'!$A227,Sector,'Summarized Source Data'!T$2,TimeOfWeek,$E227)*INDEX(About!P$79:P$82,MATCH($B227,About!$A$79:$A$82,0),1)</f>
        <v>15400000</v>
      </c>
      <c r="U227" s="33">
        <f>SUMIFS(INDEX(Load,,MATCH('Summarized Source Data'!$C227,Hour,0)),Month,'Summarized Source Data'!$A227,Sector,'Summarized Source Data'!U$2,TimeOfWeek,$E227)*INDEX(About!Q$79:Q$82,MATCH($B227,About!$A$79:$A$82,0),1)</f>
        <v>15400000</v>
      </c>
      <c r="V227" s="33">
        <f>SUMIFS(INDEX(Load,,MATCH('Summarized Source Data'!$C227,Hour,0)),Month,'Summarized Source Data'!$A227,Sector,'Summarized Source Data'!V$2,TimeOfWeek,$E227)*INDEX(About!R$79:R$82,MATCH($B227,About!$A$79:$A$82,0),1)</f>
        <v>15400000</v>
      </c>
      <c r="W227" s="33">
        <f>SUMIFS(INDEX(Load,,MATCH('Summarized Source Data'!$C227,Hour,0)),Month,'Summarized Source Data'!$A227,Sector,'Summarized Source Data'!W$2,TimeOfWeek,$E227)*INDEX(About!S$79:S$82,MATCH($B227,About!$A$79:$A$82,0),1)</f>
        <v>15400000</v>
      </c>
      <c r="X227" s="27">
        <f>SUMIFS(INDEX(Load,,MATCH('Summarized Source Data'!$C227,Hour,0)),Month,'Summarized Source Data'!$A227,Sector,'Summarized Source Data'!X$2,Subsector,'Summarized Source Data'!X$3,TimeOfWeek,$E227)*INDEX(About!T$79:T$82,MATCH($B227,About!$A$79:$A$82,0),1)</f>
        <v>673000000</v>
      </c>
      <c r="Y227" s="29">
        <f t="shared" si="19"/>
        <v>673000000</v>
      </c>
      <c r="Z227" s="29">
        <f t="shared" si="19"/>
        <v>673000000</v>
      </c>
    </row>
    <row r="228" spans="1:26" outlineLevel="1" x14ac:dyDescent="0.3">
      <c r="A228">
        <f t="shared" si="15"/>
        <v>10</v>
      </c>
      <c r="B228" t="str">
        <f>INDEX('Category Mapping'!$G$28:$G$39,MATCH(A228,'Category Mapping'!$A$28:$A$39,0),1)</f>
        <v>Fall</v>
      </c>
      <c r="C228" t="s">
        <v>71</v>
      </c>
      <c r="D228" s="6" t="s">
        <v>146</v>
      </c>
      <c r="E228" t="s">
        <v>49</v>
      </c>
      <c r="F228" s="27">
        <f>SUMIFS(INDEX(Load,,MATCH('Summarized Source Data'!$C228,Hour,0)),Month,'Summarized Source Data'!$A228,Sector,'Summarized Source Data'!F$2,Subsector,'Summarized Source Data'!F$3,TimeOfWeek,$E228)*INDEX(About!B$79:B$82,MATCH($B228,About!$A$79:$A$82,0),1)</f>
        <v>6297993</v>
      </c>
      <c r="G228" s="27">
        <f>SUMIFS(INDEX(Load,,MATCH('Summarized Source Data'!$C228,Hour,0)),Month,'Summarized Source Data'!$A228,Sector,'Summarized Source Data'!G$2,Subsector,'Summarized Source Data'!G$3,TimeOfWeek,$E228)*INDEX(About!C$79:C$82,MATCH($B228,About!$A$79:$A$82,0),1)</f>
        <v>1301</v>
      </c>
      <c r="H228" s="27">
        <f>SUMIFS(INDEX(Load,,MATCH('Summarized Source Data'!$C228,Hour,0)),Month,'Summarized Source Data'!$A228,Sector,'Summarized Source Data'!H$2,Subsector,'Summarized Source Data'!H$3,TimeOfWeek,$E228)*INDEX(About!D$79:D$82,MATCH($B228,About!$A$79:$A$82,0),1)</f>
        <v>0</v>
      </c>
      <c r="I228" s="27">
        <f>SUMIFS(INDEX(Load,,MATCH('Summarized Source Data'!$C228,Hour,0)),Month,'Summarized Source Data'!$A228,Sector,'Summarized Source Data'!I$2,Subsector,'Summarized Source Data'!I$3,TimeOfWeek,$E228)*INDEX(About!E$79:E$82,MATCH($B228,About!$A$79:$A$82,0),1)</f>
        <v>9980405</v>
      </c>
      <c r="J228" s="54">
        <f t="shared" si="16"/>
        <v>108720301</v>
      </c>
      <c r="K228" s="27">
        <f>(SUMIFS(INDEX(Load,,MATCH('Summarized Source Data'!$C228,Hour,0)),Month,'Summarized Source Data'!$A228,Sector,'Summarized Source Data'!K$2,Subsector,"Total",TimeOfWeek,$E228)-SUM(F228:I228))*INDEX(About!G$79:G$82,MATCH($B228,About!$A$79:$A$82,0),1)</f>
        <v>108720301</v>
      </c>
      <c r="L228" s="27">
        <f>SUMIFS(INDEX(Load,,MATCH('Summarized Source Data'!$C228,Hour,0)),Month,'Summarized Source Data'!$A228,Sector,'Summarized Source Data'!L$2,Subsector,'Summarized Source Data'!L$3,TimeOfWeek,$E228)*INDEX(About!H$79:H$82,MATCH($B228,About!$A$79:$A$82,0),1)</f>
        <v>22700000</v>
      </c>
      <c r="M228" s="27">
        <f>SUMIFS(INDEX(Load,,MATCH('Summarized Source Data'!$C228,Hour,0)),Month,'Summarized Source Data'!$A228,Sector,'Summarized Source Data'!M$2,Subsector,'Summarized Source Data'!M$3,TimeOfWeek,$E228)*INDEX(About!I$79:I$82,MATCH($B228,About!$A$79:$A$82,0),1)</f>
        <v>1913596</v>
      </c>
      <c r="N228" s="27">
        <f>SUMIFS(INDEX(Load,,MATCH('Summarized Source Data'!$C228,Hour,0)),Month,'Summarized Source Data'!$A228,Sector,'Summarized Source Data'!N$2,Subsector,'Summarized Source Data'!N$3,TimeOfWeek,$E228)*INDEX(About!J$79:J$82,MATCH($B228,About!$A$79:$A$82,0),1)</f>
        <v>0</v>
      </c>
      <c r="O228" s="29">
        <f t="shared" si="17"/>
        <v>494386404</v>
      </c>
      <c r="P228" s="27">
        <f>(SUMIFS(INDEX(Load,,MATCH('Summarized Source Data'!$C228,Hour,0)),Month,'Summarized Source Data'!$A228,Sector,'Summarized Source Data'!P$2,Subsector,"Total",TimeOfWeek,$E228)-SUM(L228:N228)*INDEX(About!L$79:L$82,MATCH($B228,About!$A$79:$A$82,0),1))</f>
        <v>494386404</v>
      </c>
      <c r="Q228" s="29">
        <f t="shared" si="18"/>
        <v>494386404</v>
      </c>
      <c r="R228" s="33">
        <f>SUMIFS(INDEX(Load,,MATCH('Summarized Source Data'!$C228,Hour,0)),Month,'Summarized Source Data'!$A228,Sector,'Summarized Source Data'!R$2,TimeOfWeek,$E228)*INDEX(About!N$79:N$82,MATCH($B228,About!$A$79:$A$82,0),1)</f>
        <v>16800000</v>
      </c>
      <c r="S228" s="33">
        <f>SUMIFS(INDEX(Load,,MATCH('Summarized Source Data'!$C228,Hour,0)),Month,'Summarized Source Data'!$A228,Sector,'Summarized Source Data'!S$2,TimeOfWeek,$E228)*INDEX(About!O$79:O$82,MATCH($B228,About!$A$79:$A$82,0),1)</f>
        <v>16800000</v>
      </c>
      <c r="T228" s="33">
        <f>SUMIFS(INDEX(Load,,MATCH('Summarized Source Data'!$C228,Hour,0)),Month,'Summarized Source Data'!$A228,Sector,'Summarized Source Data'!T$2,TimeOfWeek,$E228)*INDEX(About!P$79:P$82,MATCH($B228,About!$A$79:$A$82,0),1)</f>
        <v>16800000</v>
      </c>
      <c r="U228" s="33">
        <f>SUMIFS(INDEX(Load,,MATCH('Summarized Source Data'!$C228,Hour,0)),Month,'Summarized Source Data'!$A228,Sector,'Summarized Source Data'!U$2,TimeOfWeek,$E228)*INDEX(About!Q$79:Q$82,MATCH($B228,About!$A$79:$A$82,0),1)</f>
        <v>16800000</v>
      </c>
      <c r="V228" s="33">
        <f>SUMIFS(INDEX(Load,,MATCH('Summarized Source Data'!$C228,Hour,0)),Month,'Summarized Source Data'!$A228,Sector,'Summarized Source Data'!V$2,TimeOfWeek,$E228)*INDEX(About!R$79:R$82,MATCH($B228,About!$A$79:$A$82,0),1)</f>
        <v>16800000</v>
      </c>
      <c r="W228" s="33">
        <f>SUMIFS(INDEX(Load,,MATCH('Summarized Source Data'!$C228,Hour,0)),Month,'Summarized Source Data'!$A228,Sector,'Summarized Source Data'!W$2,TimeOfWeek,$E228)*INDEX(About!S$79:S$82,MATCH($B228,About!$A$79:$A$82,0),1)</f>
        <v>16800000</v>
      </c>
      <c r="X228" s="27">
        <f>SUMIFS(INDEX(Load,,MATCH('Summarized Source Data'!$C228,Hour,0)),Month,'Summarized Source Data'!$A228,Sector,'Summarized Source Data'!X$2,Subsector,'Summarized Source Data'!X$3,TimeOfWeek,$E228)*INDEX(About!T$79:T$82,MATCH($B228,About!$A$79:$A$82,0),1)</f>
        <v>675000000</v>
      </c>
      <c r="Y228" s="29">
        <f t="shared" si="19"/>
        <v>675000000</v>
      </c>
      <c r="Z228" s="29">
        <f t="shared" si="19"/>
        <v>675000000</v>
      </c>
    </row>
    <row r="229" spans="1:26" outlineLevel="1" x14ac:dyDescent="0.3">
      <c r="A229">
        <f t="shared" si="15"/>
        <v>10</v>
      </c>
      <c r="B229" t="str">
        <f>INDEX('Category Mapping'!$G$28:$G$39,MATCH(A229,'Category Mapping'!$A$28:$A$39,0),1)</f>
        <v>Fall</v>
      </c>
      <c r="C229" t="s">
        <v>72</v>
      </c>
      <c r="D229" s="6" t="s">
        <v>147</v>
      </c>
      <c r="E229" t="s">
        <v>49</v>
      </c>
      <c r="F229" s="27">
        <f>SUMIFS(INDEX(Load,,MATCH('Summarized Source Data'!$C229,Hour,0)),Month,'Summarized Source Data'!$A229,Sector,'Summarized Source Data'!F$2,Subsector,'Summarized Source Data'!F$3,TimeOfWeek,$E229)*INDEX(About!B$79:B$82,MATCH($B229,About!$A$79:$A$82,0),1)</f>
        <v>4349406</v>
      </c>
      <c r="G229" s="27">
        <f>SUMIFS(INDEX(Load,,MATCH('Summarized Source Data'!$C229,Hour,0)),Month,'Summarized Source Data'!$A229,Sector,'Summarized Source Data'!G$2,Subsector,'Summarized Source Data'!G$3,TimeOfWeek,$E229)*INDEX(About!C$79:C$82,MATCH($B229,About!$A$79:$A$82,0),1)</f>
        <v>10087</v>
      </c>
      <c r="H229" s="27">
        <f>SUMIFS(INDEX(Load,,MATCH('Summarized Source Data'!$C229,Hour,0)),Month,'Summarized Source Data'!$A229,Sector,'Summarized Source Data'!H$2,Subsector,'Summarized Source Data'!H$3,TimeOfWeek,$E229)*INDEX(About!D$79:D$82,MATCH($B229,About!$A$79:$A$82,0),1)</f>
        <v>0</v>
      </c>
      <c r="I229" s="27">
        <f>SUMIFS(INDEX(Load,,MATCH('Summarized Source Data'!$C229,Hour,0)),Month,'Summarized Source Data'!$A229,Sector,'Summarized Source Data'!I$2,Subsector,'Summarized Source Data'!I$3,TimeOfWeek,$E229)*INDEX(About!E$79:E$82,MATCH($B229,About!$A$79:$A$82,0),1)</f>
        <v>9600653</v>
      </c>
      <c r="J229" s="54">
        <f t="shared" si="16"/>
        <v>109039854</v>
      </c>
      <c r="K229" s="27">
        <f>(SUMIFS(INDEX(Load,,MATCH('Summarized Source Data'!$C229,Hour,0)),Month,'Summarized Source Data'!$A229,Sector,'Summarized Source Data'!K$2,Subsector,"Total",TimeOfWeek,$E229)-SUM(F229:I229))*INDEX(About!G$79:G$82,MATCH($B229,About!$A$79:$A$82,0),1)</f>
        <v>109039854</v>
      </c>
      <c r="L229" s="27">
        <f>SUMIFS(INDEX(Load,,MATCH('Summarized Source Data'!$C229,Hour,0)),Month,'Summarized Source Data'!$A229,Sector,'Summarized Source Data'!L$2,Subsector,'Summarized Source Data'!L$3,TimeOfWeek,$E229)*INDEX(About!H$79:H$82,MATCH($B229,About!$A$79:$A$82,0),1)</f>
        <v>17300000</v>
      </c>
      <c r="M229" s="27">
        <f>SUMIFS(INDEX(Load,,MATCH('Summarized Source Data'!$C229,Hour,0)),Month,'Summarized Source Data'!$A229,Sector,'Summarized Source Data'!M$2,Subsector,'Summarized Source Data'!M$3,TimeOfWeek,$E229)*INDEX(About!I$79:I$82,MATCH($B229,About!$A$79:$A$82,0),1)</f>
        <v>2150262</v>
      </c>
      <c r="N229" s="27">
        <f>SUMIFS(INDEX(Load,,MATCH('Summarized Source Data'!$C229,Hour,0)),Month,'Summarized Source Data'!$A229,Sector,'Summarized Source Data'!N$2,Subsector,'Summarized Source Data'!N$3,TimeOfWeek,$E229)*INDEX(About!J$79:J$82,MATCH($B229,About!$A$79:$A$82,0),1)</f>
        <v>0</v>
      </c>
      <c r="O229" s="29">
        <f t="shared" si="17"/>
        <v>520549738</v>
      </c>
      <c r="P229" s="27">
        <f>(SUMIFS(INDEX(Load,,MATCH('Summarized Source Data'!$C229,Hour,0)),Month,'Summarized Source Data'!$A229,Sector,'Summarized Source Data'!P$2,Subsector,"Total",TimeOfWeek,$E229)-SUM(L229:N229)*INDEX(About!L$79:L$82,MATCH($B229,About!$A$79:$A$82,0),1))</f>
        <v>520549738</v>
      </c>
      <c r="Q229" s="29">
        <f t="shared" si="18"/>
        <v>520549738</v>
      </c>
      <c r="R229" s="33">
        <f>SUMIFS(INDEX(Load,,MATCH('Summarized Source Data'!$C229,Hour,0)),Month,'Summarized Source Data'!$A229,Sector,'Summarized Source Data'!R$2,TimeOfWeek,$E229)*INDEX(About!N$79:N$82,MATCH($B229,About!$A$79:$A$82,0),1)</f>
        <v>14900000</v>
      </c>
      <c r="S229" s="33">
        <f>SUMIFS(INDEX(Load,,MATCH('Summarized Source Data'!$C229,Hour,0)),Month,'Summarized Source Data'!$A229,Sector,'Summarized Source Data'!S$2,TimeOfWeek,$E229)*INDEX(About!O$79:O$82,MATCH($B229,About!$A$79:$A$82,0),1)</f>
        <v>14900000</v>
      </c>
      <c r="T229" s="33">
        <f>SUMIFS(INDEX(Load,,MATCH('Summarized Source Data'!$C229,Hour,0)),Month,'Summarized Source Data'!$A229,Sector,'Summarized Source Data'!T$2,TimeOfWeek,$E229)*INDEX(About!P$79:P$82,MATCH($B229,About!$A$79:$A$82,0),1)</f>
        <v>14900000</v>
      </c>
      <c r="U229" s="33">
        <f>SUMIFS(INDEX(Load,,MATCH('Summarized Source Data'!$C229,Hour,0)),Month,'Summarized Source Data'!$A229,Sector,'Summarized Source Data'!U$2,TimeOfWeek,$E229)*INDEX(About!Q$79:Q$82,MATCH($B229,About!$A$79:$A$82,0),1)</f>
        <v>14900000</v>
      </c>
      <c r="V229" s="33">
        <f>SUMIFS(INDEX(Load,,MATCH('Summarized Source Data'!$C229,Hour,0)),Month,'Summarized Source Data'!$A229,Sector,'Summarized Source Data'!V$2,TimeOfWeek,$E229)*INDEX(About!R$79:R$82,MATCH($B229,About!$A$79:$A$82,0),1)</f>
        <v>14900000</v>
      </c>
      <c r="W229" s="33">
        <f>SUMIFS(INDEX(Load,,MATCH('Summarized Source Data'!$C229,Hour,0)),Month,'Summarized Source Data'!$A229,Sector,'Summarized Source Data'!W$2,TimeOfWeek,$E229)*INDEX(About!S$79:S$82,MATCH($B229,About!$A$79:$A$82,0),1)</f>
        <v>14900000</v>
      </c>
      <c r="X229" s="27">
        <f>SUMIFS(INDEX(Load,,MATCH('Summarized Source Data'!$C229,Hour,0)),Month,'Summarized Source Data'!$A229,Sector,'Summarized Source Data'!X$2,Subsector,'Summarized Source Data'!X$3,TimeOfWeek,$E229)*INDEX(About!T$79:T$82,MATCH($B229,About!$A$79:$A$82,0),1)</f>
        <v>674000000</v>
      </c>
      <c r="Y229" s="29">
        <f t="shared" si="19"/>
        <v>674000000</v>
      </c>
      <c r="Z229" s="29">
        <f t="shared" si="19"/>
        <v>674000000</v>
      </c>
    </row>
    <row r="230" spans="1:26" outlineLevel="1" x14ac:dyDescent="0.3">
      <c r="A230">
        <f t="shared" si="15"/>
        <v>10</v>
      </c>
      <c r="B230" t="str">
        <f>INDEX('Category Mapping'!$G$28:$G$39,MATCH(A230,'Category Mapping'!$A$28:$A$39,0),1)</f>
        <v>Fall</v>
      </c>
      <c r="C230" t="s">
        <v>73</v>
      </c>
      <c r="D230" s="6" t="s">
        <v>148</v>
      </c>
      <c r="E230" t="s">
        <v>49</v>
      </c>
      <c r="F230" s="27">
        <f>SUMIFS(INDEX(Load,,MATCH('Summarized Source Data'!$C230,Hour,0)),Month,'Summarized Source Data'!$A230,Sector,'Summarized Source Data'!F$2,Subsector,'Summarized Source Data'!F$3,TimeOfWeek,$E230)*INDEX(About!B$79:B$82,MATCH($B230,About!$A$79:$A$82,0),1)</f>
        <v>4386297</v>
      </c>
      <c r="G230" s="27">
        <f>SUMIFS(INDEX(Load,,MATCH('Summarized Source Data'!$C230,Hour,0)),Month,'Summarized Source Data'!$A230,Sector,'Summarized Source Data'!G$2,Subsector,'Summarized Source Data'!G$3,TimeOfWeek,$E230)*INDEX(About!C$79:C$82,MATCH($B230,About!$A$79:$A$82,0),1)</f>
        <v>65252</v>
      </c>
      <c r="H230" s="27">
        <f>SUMIFS(INDEX(Load,,MATCH('Summarized Source Data'!$C230,Hour,0)),Month,'Summarized Source Data'!$A230,Sector,'Summarized Source Data'!H$2,Subsector,'Summarized Source Data'!H$3,TimeOfWeek,$E230)*INDEX(About!D$79:D$82,MATCH($B230,About!$A$79:$A$82,0),1)</f>
        <v>0</v>
      </c>
      <c r="I230" s="27">
        <f>SUMIFS(INDEX(Load,,MATCH('Summarized Source Data'!$C230,Hour,0)),Month,'Summarized Source Data'!$A230,Sector,'Summarized Source Data'!I$2,Subsector,'Summarized Source Data'!I$3,TimeOfWeek,$E230)*INDEX(About!E$79:E$82,MATCH($B230,About!$A$79:$A$82,0),1)</f>
        <v>9757526</v>
      </c>
      <c r="J230" s="54">
        <f t="shared" si="16"/>
        <v>107790925</v>
      </c>
      <c r="K230" s="27">
        <f>(SUMIFS(INDEX(Load,,MATCH('Summarized Source Data'!$C230,Hour,0)),Month,'Summarized Source Data'!$A230,Sector,'Summarized Source Data'!K$2,Subsector,"Total",TimeOfWeek,$E230)-SUM(F230:I230))*INDEX(About!G$79:G$82,MATCH($B230,About!$A$79:$A$82,0),1)</f>
        <v>107790925</v>
      </c>
      <c r="L230" s="27">
        <f>SUMIFS(INDEX(Load,,MATCH('Summarized Source Data'!$C230,Hour,0)),Month,'Summarized Source Data'!$A230,Sector,'Summarized Source Data'!L$2,Subsector,'Summarized Source Data'!L$3,TimeOfWeek,$E230)*INDEX(About!H$79:H$82,MATCH($B230,About!$A$79:$A$82,0),1)</f>
        <v>13900000</v>
      </c>
      <c r="M230" s="27">
        <f>SUMIFS(INDEX(Load,,MATCH('Summarized Source Data'!$C230,Hour,0)),Month,'Summarized Source Data'!$A230,Sector,'Summarized Source Data'!M$2,Subsector,'Summarized Source Data'!M$3,TimeOfWeek,$E230)*INDEX(About!I$79:I$82,MATCH($B230,About!$A$79:$A$82,0),1)</f>
        <v>2284313</v>
      </c>
      <c r="N230" s="27">
        <f>SUMIFS(INDEX(Load,,MATCH('Summarized Source Data'!$C230,Hour,0)),Month,'Summarized Source Data'!$A230,Sector,'Summarized Source Data'!N$2,Subsector,'Summarized Source Data'!N$3,TimeOfWeek,$E230)*INDEX(About!J$79:J$82,MATCH($B230,About!$A$79:$A$82,0),1)</f>
        <v>0</v>
      </c>
      <c r="O230" s="29">
        <f t="shared" si="17"/>
        <v>517815687</v>
      </c>
      <c r="P230" s="27">
        <f>(SUMIFS(INDEX(Load,,MATCH('Summarized Source Data'!$C230,Hour,0)),Month,'Summarized Source Data'!$A230,Sector,'Summarized Source Data'!P$2,Subsector,"Total",TimeOfWeek,$E230)-SUM(L230:N230)*INDEX(About!L$79:L$82,MATCH($B230,About!$A$79:$A$82,0),1))</f>
        <v>517815687</v>
      </c>
      <c r="Q230" s="29">
        <f t="shared" si="18"/>
        <v>517815687</v>
      </c>
      <c r="R230" s="33">
        <f>SUMIFS(INDEX(Load,,MATCH('Summarized Source Data'!$C230,Hour,0)),Month,'Summarized Source Data'!$A230,Sector,'Summarized Source Data'!R$2,TimeOfWeek,$E230)*INDEX(About!N$79:N$82,MATCH($B230,About!$A$79:$A$82,0),1)</f>
        <v>12000000</v>
      </c>
      <c r="S230" s="33">
        <f>SUMIFS(INDEX(Load,,MATCH('Summarized Source Data'!$C230,Hour,0)),Month,'Summarized Source Data'!$A230,Sector,'Summarized Source Data'!S$2,TimeOfWeek,$E230)*INDEX(About!O$79:O$82,MATCH($B230,About!$A$79:$A$82,0),1)</f>
        <v>12000000</v>
      </c>
      <c r="T230" s="33">
        <f>SUMIFS(INDEX(Load,,MATCH('Summarized Source Data'!$C230,Hour,0)),Month,'Summarized Source Data'!$A230,Sector,'Summarized Source Data'!T$2,TimeOfWeek,$E230)*INDEX(About!P$79:P$82,MATCH($B230,About!$A$79:$A$82,0),1)</f>
        <v>12000000</v>
      </c>
      <c r="U230" s="33">
        <f>SUMIFS(INDEX(Load,,MATCH('Summarized Source Data'!$C230,Hour,0)),Month,'Summarized Source Data'!$A230,Sector,'Summarized Source Data'!U$2,TimeOfWeek,$E230)*INDEX(About!Q$79:Q$82,MATCH($B230,About!$A$79:$A$82,0),1)</f>
        <v>12000000</v>
      </c>
      <c r="V230" s="33">
        <f>SUMIFS(INDEX(Load,,MATCH('Summarized Source Data'!$C230,Hour,0)),Month,'Summarized Source Data'!$A230,Sector,'Summarized Source Data'!V$2,TimeOfWeek,$E230)*INDEX(About!R$79:R$82,MATCH($B230,About!$A$79:$A$82,0),1)</f>
        <v>12000000</v>
      </c>
      <c r="W230" s="33">
        <f>SUMIFS(INDEX(Load,,MATCH('Summarized Source Data'!$C230,Hour,0)),Month,'Summarized Source Data'!$A230,Sector,'Summarized Source Data'!W$2,TimeOfWeek,$E230)*INDEX(About!S$79:S$82,MATCH($B230,About!$A$79:$A$82,0),1)</f>
        <v>12000000</v>
      </c>
      <c r="X230" s="27">
        <f>SUMIFS(INDEX(Load,,MATCH('Summarized Source Data'!$C230,Hour,0)),Month,'Summarized Source Data'!$A230,Sector,'Summarized Source Data'!X$2,Subsector,'Summarized Source Data'!X$3,TimeOfWeek,$E230)*INDEX(About!T$79:T$82,MATCH($B230,About!$A$79:$A$82,0),1)</f>
        <v>671000000</v>
      </c>
      <c r="Y230" s="29">
        <f t="shared" si="19"/>
        <v>671000000</v>
      </c>
      <c r="Z230" s="29">
        <f t="shared" si="19"/>
        <v>671000000</v>
      </c>
    </row>
    <row r="231" spans="1:26" outlineLevel="1" x14ac:dyDescent="0.3">
      <c r="A231">
        <f t="shared" si="15"/>
        <v>10</v>
      </c>
      <c r="B231" t="str">
        <f>INDEX('Category Mapping'!$G$28:$G$39,MATCH(A231,'Category Mapping'!$A$28:$A$39,0),1)</f>
        <v>Fall</v>
      </c>
      <c r="C231" t="s">
        <v>74</v>
      </c>
      <c r="D231" s="6" t="s">
        <v>149</v>
      </c>
      <c r="E231" t="s">
        <v>49</v>
      </c>
      <c r="F231" s="27">
        <f>SUMIFS(INDEX(Load,,MATCH('Summarized Source Data'!$C231,Hour,0)),Month,'Summarized Source Data'!$A231,Sector,'Summarized Source Data'!F$2,Subsector,'Summarized Source Data'!F$3,TimeOfWeek,$E231)*INDEX(About!B$79:B$82,MATCH($B231,About!$A$79:$A$82,0),1)</f>
        <v>4607102</v>
      </c>
      <c r="G231" s="27">
        <f>SUMIFS(INDEX(Load,,MATCH('Summarized Source Data'!$C231,Hour,0)),Month,'Summarized Source Data'!$A231,Sector,'Summarized Source Data'!G$2,Subsector,'Summarized Source Data'!G$3,TimeOfWeek,$E231)*INDEX(About!C$79:C$82,MATCH($B231,About!$A$79:$A$82,0),1)</f>
        <v>413141</v>
      </c>
      <c r="H231" s="27">
        <f>SUMIFS(INDEX(Load,,MATCH('Summarized Source Data'!$C231,Hour,0)),Month,'Summarized Source Data'!$A231,Sector,'Summarized Source Data'!H$2,Subsector,'Summarized Source Data'!H$3,TimeOfWeek,$E231)*INDEX(About!D$79:D$82,MATCH($B231,About!$A$79:$A$82,0),1)</f>
        <v>0</v>
      </c>
      <c r="I231" s="27">
        <f>SUMIFS(INDEX(Load,,MATCH('Summarized Source Data'!$C231,Hour,0)),Month,'Summarized Source Data'!$A231,Sector,'Summarized Source Data'!I$2,Subsector,'Summarized Source Data'!I$3,TimeOfWeek,$E231)*INDEX(About!E$79:E$82,MATCH($B231,About!$A$79:$A$82,0),1)</f>
        <v>10700000</v>
      </c>
      <c r="J231" s="54">
        <f t="shared" si="16"/>
        <v>108279757</v>
      </c>
      <c r="K231" s="27">
        <f>(SUMIFS(INDEX(Load,,MATCH('Summarized Source Data'!$C231,Hour,0)),Month,'Summarized Source Data'!$A231,Sector,'Summarized Source Data'!K$2,Subsector,"Total",TimeOfWeek,$E231)-SUM(F231:I231))*INDEX(About!G$79:G$82,MATCH($B231,About!$A$79:$A$82,0),1)</f>
        <v>108279757</v>
      </c>
      <c r="L231" s="27">
        <f>SUMIFS(INDEX(Load,,MATCH('Summarized Source Data'!$C231,Hour,0)),Month,'Summarized Source Data'!$A231,Sector,'Summarized Source Data'!L$2,Subsector,'Summarized Source Data'!L$3,TimeOfWeek,$E231)*INDEX(About!H$79:H$82,MATCH($B231,About!$A$79:$A$82,0),1)</f>
        <v>11300000</v>
      </c>
      <c r="M231" s="27">
        <f>SUMIFS(INDEX(Load,,MATCH('Summarized Source Data'!$C231,Hour,0)),Month,'Summarized Source Data'!$A231,Sector,'Summarized Source Data'!M$2,Subsector,'Summarized Source Data'!M$3,TimeOfWeek,$E231)*INDEX(About!I$79:I$82,MATCH($B231,About!$A$79:$A$82,0),1)</f>
        <v>2379330</v>
      </c>
      <c r="N231" s="27">
        <f>SUMIFS(INDEX(Load,,MATCH('Summarized Source Data'!$C231,Hour,0)),Month,'Summarized Source Data'!$A231,Sector,'Summarized Source Data'!N$2,Subsector,'Summarized Source Data'!N$3,TimeOfWeek,$E231)*INDEX(About!J$79:J$82,MATCH($B231,About!$A$79:$A$82,0),1)</f>
        <v>0</v>
      </c>
      <c r="O231" s="29">
        <f t="shared" si="17"/>
        <v>516320670</v>
      </c>
      <c r="P231" s="27">
        <f>(SUMIFS(INDEX(Load,,MATCH('Summarized Source Data'!$C231,Hour,0)),Month,'Summarized Source Data'!$A231,Sector,'Summarized Source Data'!P$2,Subsector,"Total",TimeOfWeek,$E231)-SUM(L231:N231)*INDEX(About!L$79:L$82,MATCH($B231,About!$A$79:$A$82,0),1))</f>
        <v>516320670</v>
      </c>
      <c r="Q231" s="29">
        <f t="shared" si="18"/>
        <v>516320670</v>
      </c>
      <c r="R231" s="33">
        <f>SUMIFS(INDEX(Load,,MATCH('Summarized Source Data'!$C231,Hour,0)),Month,'Summarized Source Data'!$A231,Sector,'Summarized Source Data'!R$2,TimeOfWeek,$E231)*INDEX(About!N$79:N$82,MATCH($B231,About!$A$79:$A$82,0),1)</f>
        <v>12000000</v>
      </c>
      <c r="S231" s="33">
        <f>SUMIFS(INDEX(Load,,MATCH('Summarized Source Data'!$C231,Hour,0)),Month,'Summarized Source Data'!$A231,Sector,'Summarized Source Data'!S$2,TimeOfWeek,$E231)*INDEX(About!O$79:O$82,MATCH($B231,About!$A$79:$A$82,0),1)</f>
        <v>12000000</v>
      </c>
      <c r="T231" s="33">
        <f>SUMIFS(INDEX(Load,,MATCH('Summarized Source Data'!$C231,Hour,0)),Month,'Summarized Source Data'!$A231,Sector,'Summarized Source Data'!T$2,TimeOfWeek,$E231)*INDEX(About!P$79:P$82,MATCH($B231,About!$A$79:$A$82,0),1)</f>
        <v>12000000</v>
      </c>
      <c r="U231" s="33">
        <f>SUMIFS(INDEX(Load,,MATCH('Summarized Source Data'!$C231,Hour,0)),Month,'Summarized Source Data'!$A231,Sector,'Summarized Source Data'!U$2,TimeOfWeek,$E231)*INDEX(About!Q$79:Q$82,MATCH($B231,About!$A$79:$A$82,0),1)</f>
        <v>12000000</v>
      </c>
      <c r="V231" s="33">
        <f>SUMIFS(INDEX(Load,,MATCH('Summarized Source Data'!$C231,Hour,0)),Month,'Summarized Source Data'!$A231,Sector,'Summarized Source Data'!V$2,TimeOfWeek,$E231)*INDEX(About!R$79:R$82,MATCH($B231,About!$A$79:$A$82,0),1)</f>
        <v>12000000</v>
      </c>
      <c r="W231" s="33">
        <f>SUMIFS(INDEX(Load,,MATCH('Summarized Source Data'!$C231,Hour,0)),Month,'Summarized Source Data'!$A231,Sector,'Summarized Source Data'!W$2,TimeOfWeek,$E231)*INDEX(About!S$79:S$82,MATCH($B231,About!$A$79:$A$82,0),1)</f>
        <v>12000000</v>
      </c>
      <c r="X231" s="27">
        <f>SUMIFS(INDEX(Load,,MATCH('Summarized Source Data'!$C231,Hour,0)),Month,'Summarized Source Data'!$A231,Sector,'Summarized Source Data'!X$2,Subsector,'Summarized Source Data'!X$3,TimeOfWeek,$E231)*INDEX(About!T$79:T$82,MATCH($B231,About!$A$79:$A$82,0),1)</f>
        <v>669000000</v>
      </c>
      <c r="Y231" s="29">
        <f t="shared" si="19"/>
        <v>669000000</v>
      </c>
      <c r="Z231" s="29">
        <f t="shared" si="19"/>
        <v>669000000</v>
      </c>
    </row>
    <row r="232" spans="1:26" outlineLevel="1" x14ac:dyDescent="0.3">
      <c r="A232">
        <f t="shared" si="15"/>
        <v>10</v>
      </c>
      <c r="B232" t="str">
        <f>INDEX('Category Mapping'!$G$28:$G$39,MATCH(A232,'Category Mapping'!$A$28:$A$39,0),1)</f>
        <v>Fall</v>
      </c>
      <c r="C232" t="s">
        <v>75</v>
      </c>
      <c r="D232" s="6" t="s">
        <v>150</v>
      </c>
      <c r="E232" t="s">
        <v>49</v>
      </c>
      <c r="F232" s="27">
        <f>SUMIFS(INDEX(Load,,MATCH('Summarized Source Data'!$C232,Hour,0)),Month,'Summarized Source Data'!$A232,Sector,'Summarized Source Data'!F$2,Subsector,'Summarized Source Data'!F$3,TimeOfWeek,$E232)*INDEX(About!B$79:B$82,MATCH($B232,About!$A$79:$A$82,0),1)</f>
        <v>4742322</v>
      </c>
      <c r="G232" s="27">
        <f>SUMIFS(INDEX(Load,,MATCH('Summarized Source Data'!$C232,Hour,0)),Month,'Summarized Source Data'!$A232,Sector,'Summarized Source Data'!G$2,Subsector,'Summarized Source Data'!G$3,TimeOfWeek,$E232)*INDEX(About!C$79:C$82,MATCH($B232,About!$A$79:$A$82,0),1)</f>
        <v>1020552</v>
      </c>
      <c r="H232" s="27">
        <f>SUMIFS(INDEX(Load,,MATCH('Summarized Source Data'!$C232,Hour,0)),Month,'Summarized Source Data'!$A232,Sector,'Summarized Source Data'!H$2,Subsector,'Summarized Source Data'!H$3,TimeOfWeek,$E232)*INDEX(About!D$79:D$82,MATCH($B232,About!$A$79:$A$82,0),1)</f>
        <v>0</v>
      </c>
      <c r="I232" s="27">
        <f>SUMIFS(INDEX(Load,,MATCH('Summarized Source Data'!$C232,Hour,0)),Month,'Summarized Source Data'!$A232,Sector,'Summarized Source Data'!I$2,Subsector,'Summarized Source Data'!I$3,TimeOfWeek,$E232)*INDEX(About!E$79:E$82,MATCH($B232,About!$A$79:$A$82,0),1)</f>
        <v>11300000</v>
      </c>
      <c r="J232" s="54">
        <f t="shared" si="16"/>
        <v>103937126</v>
      </c>
      <c r="K232" s="27">
        <f>(SUMIFS(INDEX(Load,,MATCH('Summarized Source Data'!$C232,Hour,0)),Month,'Summarized Source Data'!$A232,Sector,'Summarized Source Data'!K$2,Subsector,"Total",TimeOfWeek,$E232)-SUM(F232:I232))*INDEX(About!G$79:G$82,MATCH($B232,About!$A$79:$A$82,0),1)</f>
        <v>103937126</v>
      </c>
      <c r="L232" s="27">
        <f>SUMIFS(INDEX(Load,,MATCH('Summarized Source Data'!$C232,Hour,0)),Month,'Summarized Source Data'!$A232,Sector,'Summarized Source Data'!L$2,Subsector,'Summarized Source Data'!L$3,TimeOfWeek,$E232)*INDEX(About!H$79:H$82,MATCH($B232,About!$A$79:$A$82,0),1)</f>
        <v>10100000</v>
      </c>
      <c r="M232" s="27">
        <f>SUMIFS(INDEX(Load,,MATCH('Summarized Source Data'!$C232,Hour,0)),Month,'Summarized Source Data'!$A232,Sector,'Summarized Source Data'!M$2,Subsector,'Summarized Source Data'!M$3,TimeOfWeek,$E232)*INDEX(About!I$79:I$82,MATCH($B232,About!$A$79:$A$82,0),1)</f>
        <v>2397655</v>
      </c>
      <c r="N232" s="27">
        <f>SUMIFS(INDEX(Load,,MATCH('Summarized Source Data'!$C232,Hour,0)),Month,'Summarized Source Data'!$A232,Sector,'Summarized Source Data'!N$2,Subsector,'Summarized Source Data'!N$3,TimeOfWeek,$E232)*INDEX(About!J$79:J$82,MATCH($B232,About!$A$79:$A$82,0),1)</f>
        <v>0</v>
      </c>
      <c r="O232" s="29">
        <f t="shared" si="17"/>
        <v>508502345</v>
      </c>
      <c r="P232" s="27">
        <f>(SUMIFS(INDEX(Load,,MATCH('Summarized Source Data'!$C232,Hour,0)),Month,'Summarized Source Data'!$A232,Sector,'Summarized Source Data'!P$2,Subsector,"Total",TimeOfWeek,$E232)-SUM(L232:N232)*INDEX(About!L$79:L$82,MATCH($B232,About!$A$79:$A$82,0),1))</f>
        <v>508502345</v>
      </c>
      <c r="Q232" s="29">
        <f t="shared" si="18"/>
        <v>508502345</v>
      </c>
      <c r="R232" s="33">
        <f>SUMIFS(INDEX(Load,,MATCH('Summarized Source Data'!$C232,Hour,0)),Month,'Summarized Source Data'!$A232,Sector,'Summarized Source Data'!R$2,TimeOfWeek,$E232)*INDEX(About!N$79:N$82,MATCH($B232,About!$A$79:$A$82,0),1)</f>
        <v>12300000</v>
      </c>
      <c r="S232" s="33">
        <f>SUMIFS(INDEX(Load,,MATCH('Summarized Source Data'!$C232,Hour,0)),Month,'Summarized Source Data'!$A232,Sector,'Summarized Source Data'!S$2,TimeOfWeek,$E232)*INDEX(About!O$79:O$82,MATCH($B232,About!$A$79:$A$82,0),1)</f>
        <v>12300000</v>
      </c>
      <c r="T232" s="33">
        <f>SUMIFS(INDEX(Load,,MATCH('Summarized Source Data'!$C232,Hour,0)),Month,'Summarized Source Data'!$A232,Sector,'Summarized Source Data'!T$2,TimeOfWeek,$E232)*INDEX(About!P$79:P$82,MATCH($B232,About!$A$79:$A$82,0),1)</f>
        <v>12300000</v>
      </c>
      <c r="U232" s="33">
        <f>SUMIFS(INDEX(Load,,MATCH('Summarized Source Data'!$C232,Hour,0)),Month,'Summarized Source Data'!$A232,Sector,'Summarized Source Data'!U$2,TimeOfWeek,$E232)*INDEX(About!Q$79:Q$82,MATCH($B232,About!$A$79:$A$82,0),1)</f>
        <v>12300000</v>
      </c>
      <c r="V232" s="33">
        <f>SUMIFS(INDEX(Load,,MATCH('Summarized Source Data'!$C232,Hour,0)),Month,'Summarized Source Data'!$A232,Sector,'Summarized Source Data'!V$2,TimeOfWeek,$E232)*INDEX(About!R$79:R$82,MATCH($B232,About!$A$79:$A$82,0),1)</f>
        <v>12300000</v>
      </c>
      <c r="W232" s="33">
        <f>SUMIFS(INDEX(Load,,MATCH('Summarized Source Data'!$C232,Hour,0)),Month,'Summarized Source Data'!$A232,Sector,'Summarized Source Data'!W$2,TimeOfWeek,$E232)*INDEX(About!S$79:S$82,MATCH($B232,About!$A$79:$A$82,0),1)</f>
        <v>12300000</v>
      </c>
      <c r="X232" s="27">
        <f>SUMIFS(INDEX(Load,,MATCH('Summarized Source Data'!$C232,Hour,0)),Month,'Summarized Source Data'!$A232,Sector,'Summarized Source Data'!X$2,Subsector,'Summarized Source Data'!X$3,TimeOfWeek,$E232)*INDEX(About!T$79:T$82,MATCH($B232,About!$A$79:$A$82,0),1)</f>
        <v>667000000</v>
      </c>
      <c r="Y232" s="29">
        <f t="shared" si="19"/>
        <v>667000000</v>
      </c>
      <c r="Z232" s="29">
        <f t="shared" si="19"/>
        <v>667000000</v>
      </c>
    </row>
    <row r="233" spans="1:26" outlineLevel="1" x14ac:dyDescent="0.3">
      <c r="A233">
        <f t="shared" si="15"/>
        <v>10</v>
      </c>
      <c r="B233" t="str">
        <f>INDEX('Category Mapping'!$G$28:$G$39,MATCH(A233,'Category Mapping'!$A$28:$A$39,0),1)</f>
        <v>Fall</v>
      </c>
      <c r="C233" t="s">
        <v>76</v>
      </c>
      <c r="D233" s="6" t="s">
        <v>151</v>
      </c>
      <c r="E233" t="s">
        <v>49</v>
      </c>
      <c r="F233" s="27">
        <f>SUMIFS(INDEX(Load,,MATCH('Summarized Source Data'!$C233,Hour,0)),Month,'Summarized Source Data'!$A233,Sector,'Summarized Source Data'!F$2,Subsector,'Summarized Source Data'!F$3,TimeOfWeek,$E233)*INDEX(About!B$79:B$82,MATCH($B233,About!$A$79:$A$82,0),1)</f>
        <v>4780364</v>
      </c>
      <c r="G233" s="27">
        <f>SUMIFS(INDEX(Load,,MATCH('Summarized Source Data'!$C233,Hour,0)),Month,'Summarized Source Data'!$A233,Sector,'Summarized Source Data'!G$2,Subsector,'Summarized Source Data'!G$3,TimeOfWeek,$E233)*INDEX(About!C$79:C$82,MATCH($B233,About!$A$79:$A$82,0),1)</f>
        <v>1479165</v>
      </c>
      <c r="H233" s="27">
        <f>SUMIFS(INDEX(Load,,MATCH('Summarized Source Data'!$C233,Hour,0)),Month,'Summarized Source Data'!$A233,Sector,'Summarized Source Data'!H$2,Subsector,'Summarized Source Data'!H$3,TimeOfWeek,$E233)*INDEX(About!D$79:D$82,MATCH($B233,About!$A$79:$A$82,0),1)</f>
        <v>0</v>
      </c>
      <c r="I233" s="27">
        <f>SUMIFS(INDEX(Load,,MATCH('Summarized Source Data'!$C233,Hour,0)),Month,'Summarized Source Data'!$A233,Sector,'Summarized Source Data'!I$2,Subsector,'Summarized Source Data'!I$3,TimeOfWeek,$E233)*INDEX(About!E$79:E$82,MATCH($B233,About!$A$79:$A$82,0),1)</f>
        <v>11400000</v>
      </c>
      <c r="J233" s="54">
        <f t="shared" si="16"/>
        <v>103340471</v>
      </c>
      <c r="K233" s="27">
        <f>(SUMIFS(INDEX(Load,,MATCH('Summarized Source Data'!$C233,Hour,0)),Month,'Summarized Source Data'!$A233,Sector,'Summarized Source Data'!K$2,Subsector,"Total",TimeOfWeek,$E233)-SUM(F233:I233))*INDEX(About!G$79:G$82,MATCH($B233,About!$A$79:$A$82,0),1)</f>
        <v>103340471</v>
      </c>
      <c r="L233" s="27">
        <f>SUMIFS(INDEX(Load,,MATCH('Summarized Source Data'!$C233,Hour,0)),Month,'Summarized Source Data'!$A233,Sector,'Summarized Source Data'!L$2,Subsector,'Summarized Source Data'!L$3,TimeOfWeek,$E233)*INDEX(About!H$79:H$82,MATCH($B233,About!$A$79:$A$82,0),1)</f>
        <v>9208803</v>
      </c>
      <c r="M233" s="27">
        <f>SUMIFS(INDEX(Load,,MATCH('Summarized Source Data'!$C233,Hour,0)),Month,'Summarized Source Data'!$A233,Sector,'Summarized Source Data'!M$2,Subsector,'Summarized Source Data'!M$3,TimeOfWeek,$E233)*INDEX(About!I$79:I$82,MATCH($B233,About!$A$79:$A$82,0),1)</f>
        <v>2524426</v>
      </c>
      <c r="N233" s="27">
        <f>SUMIFS(INDEX(Load,,MATCH('Summarized Source Data'!$C233,Hour,0)),Month,'Summarized Source Data'!$A233,Sector,'Summarized Source Data'!N$2,Subsector,'Summarized Source Data'!N$3,TimeOfWeek,$E233)*INDEX(About!J$79:J$82,MATCH($B233,About!$A$79:$A$82,0),1)</f>
        <v>0</v>
      </c>
      <c r="O233" s="29">
        <f t="shared" si="17"/>
        <v>508266771</v>
      </c>
      <c r="P233" s="27">
        <f>(SUMIFS(INDEX(Load,,MATCH('Summarized Source Data'!$C233,Hour,0)),Month,'Summarized Source Data'!$A233,Sector,'Summarized Source Data'!P$2,Subsector,"Total",TimeOfWeek,$E233)-SUM(L233:N233)*INDEX(About!L$79:L$82,MATCH($B233,About!$A$79:$A$82,0),1))</f>
        <v>508266771</v>
      </c>
      <c r="Q233" s="29">
        <f t="shared" si="18"/>
        <v>508266771</v>
      </c>
      <c r="R233" s="33">
        <f>SUMIFS(INDEX(Load,,MATCH('Summarized Source Data'!$C233,Hour,0)),Month,'Summarized Source Data'!$A233,Sector,'Summarized Source Data'!R$2,TimeOfWeek,$E233)*INDEX(About!N$79:N$82,MATCH($B233,About!$A$79:$A$82,0),1)</f>
        <v>12200000</v>
      </c>
      <c r="S233" s="33">
        <f>SUMIFS(INDEX(Load,,MATCH('Summarized Source Data'!$C233,Hour,0)),Month,'Summarized Source Data'!$A233,Sector,'Summarized Source Data'!S$2,TimeOfWeek,$E233)*INDEX(About!O$79:O$82,MATCH($B233,About!$A$79:$A$82,0),1)</f>
        <v>12200000</v>
      </c>
      <c r="T233" s="33">
        <f>SUMIFS(INDEX(Load,,MATCH('Summarized Source Data'!$C233,Hour,0)),Month,'Summarized Source Data'!$A233,Sector,'Summarized Source Data'!T$2,TimeOfWeek,$E233)*INDEX(About!P$79:P$82,MATCH($B233,About!$A$79:$A$82,0),1)</f>
        <v>12200000</v>
      </c>
      <c r="U233" s="33">
        <f>SUMIFS(INDEX(Load,,MATCH('Summarized Source Data'!$C233,Hour,0)),Month,'Summarized Source Data'!$A233,Sector,'Summarized Source Data'!U$2,TimeOfWeek,$E233)*INDEX(About!Q$79:Q$82,MATCH($B233,About!$A$79:$A$82,0),1)</f>
        <v>12200000</v>
      </c>
      <c r="V233" s="33">
        <f>SUMIFS(INDEX(Load,,MATCH('Summarized Source Data'!$C233,Hour,0)),Month,'Summarized Source Data'!$A233,Sector,'Summarized Source Data'!V$2,TimeOfWeek,$E233)*INDEX(About!R$79:R$82,MATCH($B233,About!$A$79:$A$82,0),1)</f>
        <v>12200000</v>
      </c>
      <c r="W233" s="33">
        <f>SUMIFS(INDEX(Load,,MATCH('Summarized Source Data'!$C233,Hour,0)),Month,'Summarized Source Data'!$A233,Sector,'Summarized Source Data'!W$2,TimeOfWeek,$E233)*INDEX(About!S$79:S$82,MATCH($B233,About!$A$79:$A$82,0),1)</f>
        <v>12200000</v>
      </c>
      <c r="X233" s="27">
        <f>SUMIFS(INDEX(Load,,MATCH('Summarized Source Data'!$C233,Hour,0)),Month,'Summarized Source Data'!$A233,Sector,'Summarized Source Data'!X$2,Subsector,'Summarized Source Data'!X$3,TimeOfWeek,$E233)*INDEX(About!T$79:T$82,MATCH($B233,About!$A$79:$A$82,0),1)</f>
        <v>666000000</v>
      </c>
      <c r="Y233" s="29">
        <f t="shared" si="19"/>
        <v>666000000</v>
      </c>
      <c r="Z233" s="29">
        <f t="shared" si="19"/>
        <v>666000000</v>
      </c>
    </row>
    <row r="234" spans="1:26" outlineLevel="1" x14ac:dyDescent="0.3">
      <c r="A234">
        <f t="shared" si="15"/>
        <v>10</v>
      </c>
      <c r="B234" t="str">
        <f>INDEX('Category Mapping'!$G$28:$G$39,MATCH(A234,'Category Mapping'!$A$28:$A$39,0),1)</f>
        <v>Fall</v>
      </c>
      <c r="C234" t="s">
        <v>77</v>
      </c>
      <c r="D234" s="6" t="s">
        <v>152</v>
      </c>
      <c r="E234" t="s">
        <v>49</v>
      </c>
      <c r="F234" s="27">
        <f>SUMIFS(INDEX(Load,,MATCH('Summarized Source Data'!$C234,Hour,0)),Month,'Summarized Source Data'!$A234,Sector,'Summarized Source Data'!F$2,Subsector,'Summarized Source Data'!F$3,TimeOfWeek,$E234)*INDEX(About!B$79:B$82,MATCH($B234,About!$A$79:$A$82,0),1)</f>
        <v>4849572</v>
      </c>
      <c r="G234" s="27">
        <f>SUMIFS(INDEX(Load,,MATCH('Summarized Source Data'!$C234,Hour,0)),Month,'Summarized Source Data'!$A234,Sector,'Summarized Source Data'!G$2,Subsector,'Summarized Source Data'!G$3,TimeOfWeek,$E234)*INDEX(About!C$79:C$82,MATCH($B234,About!$A$79:$A$82,0),1)</f>
        <v>1702028</v>
      </c>
      <c r="H234" s="27">
        <f>SUMIFS(INDEX(Load,,MATCH('Summarized Source Data'!$C234,Hour,0)),Month,'Summarized Source Data'!$A234,Sector,'Summarized Source Data'!H$2,Subsector,'Summarized Source Data'!H$3,TimeOfWeek,$E234)*INDEX(About!D$79:D$82,MATCH($B234,About!$A$79:$A$82,0),1)</f>
        <v>0</v>
      </c>
      <c r="I234" s="27">
        <f>SUMIFS(INDEX(Load,,MATCH('Summarized Source Data'!$C234,Hour,0)),Month,'Summarized Source Data'!$A234,Sector,'Summarized Source Data'!I$2,Subsector,'Summarized Source Data'!I$3,TimeOfWeek,$E234)*INDEX(About!E$79:E$82,MATCH($B234,About!$A$79:$A$82,0),1)</f>
        <v>11700000</v>
      </c>
      <c r="J234" s="54">
        <f t="shared" si="16"/>
        <v>106748400</v>
      </c>
      <c r="K234" s="27">
        <f>(SUMIFS(INDEX(Load,,MATCH('Summarized Source Data'!$C234,Hour,0)),Month,'Summarized Source Data'!$A234,Sector,'Summarized Source Data'!K$2,Subsector,"Total",TimeOfWeek,$E234)-SUM(F234:I234))*INDEX(About!G$79:G$82,MATCH($B234,About!$A$79:$A$82,0),1)</f>
        <v>106748400</v>
      </c>
      <c r="L234" s="27">
        <f>SUMIFS(INDEX(Load,,MATCH('Summarized Source Data'!$C234,Hour,0)),Month,'Summarized Source Data'!$A234,Sector,'Summarized Source Data'!L$2,Subsector,'Summarized Source Data'!L$3,TimeOfWeek,$E234)*INDEX(About!H$79:H$82,MATCH($B234,About!$A$79:$A$82,0),1)</f>
        <v>8571802</v>
      </c>
      <c r="M234" s="27">
        <f>SUMIFS(INDEX(Load,,MATCH('Summarized Source Data'!$C234,Hour,0)),Month,'Summarized Source Data'!$A234,Sector,'Summarized Source Data'!M$2,Subsector,'Summarized Source Data'!M$3,TimeOfWeek,$E234)*INDEX(About!I$79:I$82,MATCH($B234,About!$A$79:$A$82,0),1)</f>
        <v>2607128</v>
      </c>
      <c r="N234" s="27">
        <f>SUMIFS(INDEX(Load,,MATCH('Summarized Source Data'!$C234,Hour,0)),Month,'Summarized Source Data'!$A234,Sector,'Summarized Source Data'!N$2,Subsector,'Summarized Source Data'!N$3,TimeOfWeek,$E234)*INDEX(About!J$79:J$82,MATCH($B234,About!$A$79:$A$82,0),1)</f>
        <v>0</v>
      </c>
      <c r="O234" s="29">
        <f t="shared" si="17"/>
        <v>507821070</v>
      </c>
      <c r="P234" s="27">
        <f>(SUMIFS(INDEX(Load,,MATCH('Summarized Source Data'!$C234,Hour,0)),Month,'Summarized Source Data'!$A234,Sector,'Summarized Source Data'!P$2,Subsector,"Total",TimeOfWeek,$E234)-SUM(L234:N234)*INDEX(About!L$79:L$82,MATCH($B234,About!$A$79:$A$82,0),1))</f>
        <v>507821070</v>
      </c>
      <c r="Q234" s="29">
        <f t="shared" si="18"/>
        <v>507821070</v>
      </c>
      <c r="R234" s="33">
        <f>SUMIFS(INDEX(Load,,MATCH('Summarized Source Data'!$C234,Hour,0)),Month,'Summarized Source Data'!$A234,Sector,'Summarized Source Data'!R$2,TimeOfWeek,$E234)*INDEX(About!N$79:N$82,MATCH($B234,About!$A$79:$A$82,0),1)</f>
        <v>12000000</v>
      </c>
      <c r="S234" s="33">
        <f>SUMIFS(INDEX(Load,,MATCH('Summarized Source Data'!$C234,Hour,0)),Month,'Summarized Source Data'!$A234,Sector,'Summarized Source Data'!S$2,TimeOfWeek,$E234)*INDEX(About!O$79:O$82,MATCH($B234,About!$A$79:$A$82,0),1)</f>
        <v>12000000</v>
      </c>
      <c r="T234" s="33">
        <f>SUMIFS(INDEX(Load,,MATCH('Summarized Source Data'!$C234,Hour,0)),Month,'Summarized Source Data'!$A234,Sector,'Summarized Source Data'!T$2,TimeOfWeek,$E234)*INDEX(About!P$79:P$82,MATCH($B234,About!$A$79:$A$82,0),1)</f>
        <v>12000000</v>
      </c>
      <c r="U234" s="33">
        <f>SUMIFS(INDEX(Load,,MATCH('Summarized Source Data'!$C234,Hour,0)),Month,'Summarized Source Data'!$A234,Sector,'Summarized Source Data'!U$2,TimeOfWeek,$E234)*INDEX(About!Q$79:Q$82,MATCH($B234,About!$A$79:$A$82,0),1)</f>
        <v>12000000</v>
      </c>
      <c r="V234" s="33">
        <f>SUMIFS(INDEX(Load,,MATCH('Summarized Source Data'!$C234,Hour,0)),Month,'Summarized Source Data'!$A234,Sector,'Summarized Source Data'!V$2,TimeOfWeek,$E234)*INDEX(About!R$79:R$82,MATCH($B234,About!$A$79:$A$82,0),1)</f>
        <v>12000000</v>
      </c>
      <c r="W234" s="33">
        <f>SUMIFS(INDEX(Load,,MATCH('Summarized Source Data'!$C234,Hour,0)),Month,'Summarized Source Data'!$A234,Sector,'Summarized Source Data'!W$2,TimeOfWeek,$E234)*INDEX(About!S$79:S$82,MATCH($B234,About!$A$79:$A$82,0),1)</f>
        <v>12000000</v>
      </c>
      <c r="X234" s="27">
        <f>SUMIFS(INDEX(Load,,MATCH('Summarized Source Data'!$C234,Hour,0)),Month,'Summarized Source Data'!$A234,Sector,'Summarized Source Data'!X$2,Subsector,'Summarized Source Data'!X$3,TimeOfWeek,$E234)*INDEX(About!T$79:T$82,MATCH($B234,About!$A$79:$A$82,0),1)</f>
        <v>667000000</v>
      </c>
      <c r="Y234" s="29">
        <f t="shared" si="19"/>
        <v>667000000</v>
      </c>
      <c r="Z234" s="29">
        <f t="shared" si="19"/>
        <v>667000000</v>
      </c>
    </row>
    <row r="235" spans="1:26" outlineLevel="1" x14ac:dyDescent="0.3">
      <c r="A235">
        <f t="shared" si="15"/>
        <v>10</v>
      </c>
      <c r="B235" t="str">
        <f>INDEX('Category Mapping'!$G$28:$G$39,MATCH(A235,'Category Mapping'!$A$28:$A$39,0),1)</f>
        <v>Fall</v>
      </c>
      <c r="C235" t="s">
        <v>78</v>
      </c>
      <c r="D235" s="6" t="s">
        <v>153</v>
      </c>
      <c r="E235" t="s">
        <v>49</v>
      </c>
      <c r="F235" s="27">
        <f>SUMIFS(INDEX(Load,,MATCH('Summarized Source Data'!$C235,Hour,0)),Month,'Summarized Source Data'!$A235,Sector,'Summarized Source Data'!F$2,Subsector,'Summarized Source Data'!F$3,TimeOfWeek,$E235)*INDEX(About!B$79:B$82,MATCH($B235,About!$A$79:$A$82,0),1)</f>
        <v>5073126</v>
      </c>
      <c r="G235" s="27">
        <f>SUMIFS(INDEX(Load,,MATCH('Summarized Source Data'!$C235,Hour,0)),Month,'Summarized Source Data'!$A235,Sector,'Summarized Source Data'!G$2,Subsector,'Summarized Source Data'!G$3,TimeOfWeek,$E235)*INDEX(About!C$79:C$82,MATCH($B235,About!$A$79:$A$82,0),1)</f>
        <v>1687037</v>
      </c>
      <c r="H235" s="27">
        <f>SUMIFS(INDEX(Load,,MATCH('Summarized Source Data'!$C235,Hour,0)),Month,'Summarized Source Data'!$A235,Sector,'Summarized Source Data'!H$2,Subsector,'Summarized Source Data'!H$3,TimeOfWeek,$E235)*INDEX(About!D$79:D$82,MATCH($B235,About!$A$79:$A$82,0),1)</f>
        <v>0</v>
      </c>
      <c r="I235" s="27">
        <f>SUMIFS(INDEX(Load,,MATCH('Summarized Source Data'!$C235,Hour,0)),Month,'Summarized Source Data'!$A235,Sector,'Summarized Source Data'!I$2,Subsector,'Summarized Source Data'!I$3,TimeOfWeek,$E235)*INDEX(About!E$79:E$82,MATCH($B235,About!$A$79:$A$82,0),1)</f>
        <v>12700000</v>
      </c>
      <c r="J235" s="54">
        <f t="shared" si="16"/>
        <v>120539837</v>
      </c>
      <c r="K235" s="27">
        <f>(SUMIFS(INDEX(Load,,MATCH('Summarized Source Data'!$C235,Hour,0)),Month,'Summarized Source Data'!$A235,Sector,'Summarized Source Data'!K$2,Subsector,"Total",TimeOfWeek,$E235)-SUM(F235:I235))*INDEX(About!G$79:G$82,MATCH($B235,About!$A$79:$A$82,0),1)</f>
        <v>120539837</v>
      </c>
      <c r="L235" s="27">
        <f>SUMIFS(INDEX(Load,,MATCH('Summarized Source Data'!$C235,Hour,0)),Month,'Summarized Source Data'!$A235,Sector,'Summarized Source Data'!L$2,Subsector,'Summarized Source Data'!L$3,TimeOfWeek,$E235)*INDEX(About!H$79:H$82,MATCH($B235,About!$A$79:$A$82,0),1)</f>
        <v>8010053</v>
      </c>
      <c r="M235" s="27">
        <f>SUMIFS(INDEX(Load,,MATCH('Summarized Source Data'!$C235,Hour,0)),Month,'Summarized Source Data'!$A235,Sector,'Summarized Source Data'!M$2,Subsector,'Summarized Source Data'!M$3,TimeOfWeek,$E235)*INDEX(About!I$79:I$82,MATCH($B235,About!$A$79:$A$82,0),1)</f>
        <v>2581799</v>
      </c>
      <c r="N235" s="27">
        <f>SUMIFS(INDEX(Load,,MATCH('Summarized Source Data'!$C235,Hour,0)),Month,'Summarized Source Data'!$A235,Sector,'Summarized Source Data'!N$2,Subsector,'Summarized Source Data'!N$3,TimeOfWeek,$E235)*INDEX(About!J$79:J$82,MATCH($B235,About!$A$79:$A$82,0),1)</f>
        <v>0</v>
      </c>
      <c r="O235" s="29">
        <f t="shared" si="17"/>
        <v>508408148</v>
      </c>
      <c r="P235" s="27">
        <f>(SUMIFS(INDEX(Load,,MATCH('Summarized Source Data'!$C235,Hour,0)),Month,'Summarized Source Data'!$A235,Sector,'Summarized Source Data'!P$2,Subsector,"Total",TimeOfWeek,$E235)-SUM(L235:N235)*INDEX(About!L$79:L$82,MATCH($B235,About!$A$79:$A$82,0),1))</f>
        <v>508408148</v>
      </c>
      <c r="Q235" s="29">
        <f t="shared" si="18"/>
        <v>508408148</v>
      </c>
      <c r="R235" s="33">
        <f>SUMIFS(INDEX(Load,,MATCH('Summarized Source Data'!$C235,Hour,0)),Month,'Summarized Source Data'!$A235,Sector,'Summarized Source Data'!R$2,TimeOfWeek,$E235)*INDEX(About!N$79:N$82,MATCH($B235,About!$A$79:$A$82,0),1)</f>
        <v>14300000</v>
      </c>
      <c r="S235" s="33">
        <f>SUMIFS(INDEX(Load,,MATCH('Summarized Source Data'!$C235,Hour,0)),Month,'Summarized Source Data'!$A235,Sector,'Summarized Source Data'!S$2,TimeOfWeek,$E235)*INDEX(About!O$79:O$82,MATCH($B235,About!$A$79:$A$82,0),1)</f>
        <v>14300000</v>
      </c>
      <c r="T235" s="33">
        <f>SUMIFS(INDEX(Load,,MATCH('Summarized Source Data'!$C235,Hour,0)),Month,'Summarized Source Data'!$A235,Sector,'Summarized Source Data'!T$2,TimeOfWeek,$E235)*INDEX(About!P$79:P$82,MATCH($B235,About!$A$79:$A$82,0),1)</f>
        <v>14300000</v>
      </c>
      <c r="U235" s="33">
        <f>SUMIFS(INDEX(Load,,MATCH('Summarized Source Data'!$C235,Hour,0)),Month,'Summarized Source Data'!$A235,Sector,'Summarized Source Data'!U$2,TimeOfWeek,$E235)*INDEX(About!Q$79:Q$82,MATCH($B235,About!$A$79:$A$82,0),1)</f>
        <v>14300000</v>
      </c>
      <c r="V235" s="33">
        <f>SUMIFS(INDEX(Load,,MATCH('Summarized Source Data'!$C235,Hour,0)),Month,'Summarized Source Data'!$A235,Sector,'Summarized Source Data'!V$2,TimeOfWeek,$E235)*INDEX(About!R$79:R$82,MATCH($B235,About!$A$79:$A$82,0),1)</f>
        <v>14300000</v>
      </c>
      <c r="W235" s="33">
        <f>SUMIFS(INDEX(Load,,MATCH('Summarized Source Data'!$C235,Hour,0)),Month,'Summarized Source Data'!$A235,Sector,'Summarized Source Data'!W$2,TimeOfWeek,$E235)*INDEX(About!S$79:S$82,MATCH($B235,About!$A$79:$A$82,0),1)</f>
        <v>14300000</v>
      </c>
      <c r="X235" s="27">
        <f>SUMIFS(INDEX(Load,,MATCH('Summarized Source Data'!$C235,Hour,0)),Month,'Summarized Source Data'!$A235,Sector,'Summarized Source Data'!X$2,Subsector,'Summarized Source Data'!X$3,TimeOfWeek,$E235)*INDEX(About!T$79:T$82,MATCH($B235,About!$A$79:$A$82,0),1)</f>
        <v>673000000</v>
      </c>
      <c r="Y235" s="29">
        <f t="shared" si="19"/>
        <v>673000000</v>
      </c>
      <c r="Z235" s="29">
        <f t="shared" si="19"/>
        <v>673000000</v>
      </c>
    </row>
    <row r="236" spans="1:26" outlineLevel="1" x14ac:dyDescent="0.3">
      <c r="A236">
        <f t="shared" si="15"/>
        <v>10</v>
      </c>
      <c r="B236" t="str">
        <f>INDEX('Category Mapping'!$G$28:$G$39,MATCH(A236,'Category Mapping'!$A$28:$A$39,0),1)</f>
        <v>Fall</v>
      </c>
      <c r="C236" t="s">
        <v>79</v>
      </c>
      <c r="D236" s="6" t="s">
        <v>154</v>
      </c>
      <c r="E236" t="s">
        <v>49</v>
      </c>
      <c r="F236" s="27">
        <f>SUMIFS(INDEX(Load,,MATCH('Summarized Source Data'!$C236,Hour,0)),Month,'Summarized Source Data'!$A236,Sector,'Summarized Source Data'!F$2,Subsector,'Summarized Source Data'!F$3,TimeOfWeek,$E236)*INDEX(About!B$79:B$82,MATCH($B236,About!$A$79:$A$82,0),1)</f>
        <v>5342505</v>
      </c>
      <c r="G236" s="27">
        <f>SUMIFS(INDEX(Load,,MATCH('Summarized Source Data'!$C236,Hour,0)),Month,'Summarized Source Data'!$A236,Sector,'Summarized Source Data'!G$2,Subsector,'Summarized Source Data'!G$3,TimeOfWeek,$E236)*INDEX(About!C$79:C$82,MATCH($B236,About!$A$79:$A$82,0),1)</f>
        <v>1311023</v>
      </c>
      <c r="H236" s="27">
        <f>SUMIFS(INDEX(Load,,MATCH('Summarized Source Data'!$C236,Hour,0)),Month,'Summarized Source Data'!$A236,Sector,'Summarized Source Data'!H$2,Subsector,'Summarized Source Data'!H$3,TimeOfWeek,$E236)*INDEX(About!D$79:D$82,MATCH($B236,About!$A$79:$A$82,0),1)</f>
        <v>0</v>
      </c>
      <c r="I236" s="27">
        <f>SUMIFS(INDEX(Load,,MATCH('Summarized Source Data'!$C236,Hour,0)),Month,'Summarized Source Data'!$A236,Sector,'Summarized Source Data'!I$2,Subsector,'Summarized Source Data'!I$3,TimeOfWeek,$E236)*INDEX(About!E$79:E$82,MATCH($B236,About!$A$79:$A$82,0),1)</f>
        <v>17000000</v>
      </c>
      <c r="J236" s="54">
        <f t="shared" si="16"/>
        <v>146346472</v>
      </c>
      <c r="K236" s="27">
        <f>(SUMIFS(INDEX(Load,,MATCH('Summarized Source Data'!$C236,Hour,0)),Month,'Summarized Source Data'!$A236,Sector,'Summarized Source Data'!K$2,Subsector,"Total",TimeOfWeek,$E236)-SUM(F236:I236))*INDEX(About!G$79:G$82,MATCH($B236,About!$A$79:$A$82,0),1)</f>
        <v>146346472</v>
      </c>
      <c r="L236" s="27">
        <f>SUMIFS(INDEX(Load,,MATCH('Summarized Source Data'!$C236,Hour,0)),Month,'Summarized Source Data'!$A236,Sector,'Summarized Source Data'!L$2,Subsector,'Summarized Source Data'!L$3,TimeOfWeek,$E236)*INDEX(About!H$79:H$82,MATCH($B236,About!$A$79:$A$82,0),1)</f>
        <v>7488322</v>
      </c>
      <c r="M236" s="27">
        <f>SUMIFS(INDEX(Load,,MATCH('Summarized Source Data'!$C236,Hour,0)),Month,'Summarized Source Data'!$A236,Sector,'Summarized Source Data'!M$2,Subsector,'Summarized Source Data'!M$3,TimeOfWeek,$E236)*INDEX(About!I$79:I$82,MATCH($B236,About!$A$79:$A$82,0),1)</f>
        <v>2459724</v>
      </c>
      <c r="N236" s="27">
        <f>SUMIFS(INDEX(Load,,MATCH('Summarized Source Data'!$C236,Hour,0)),Month,'Summarized Source Data'!$A236,Sector,'Summarized Source Data'!N$2,Subsector,'Summarized Source Data'!N$3,TimeOfWeek,$E236)*INDEX(About!J$79:J$82,MATCH($B236,About!$A$79:$A$82,0),1)</f>
        <v>0</v>
      </c>
      <c r="O236" s="29">
        <f t="shared" si="17"/>
        <v>492051954</v>
      </c>
      <c r="P236" s="27">
        <f>(SUMIFS(INDEX(Load,,MATCH('Summarized Source Data'!$C236,Hour,0)),Month,'Summarized Source Data'!$A236,Sector,'Summarized Source Data'!P$2,Subsector,"Total",TimeOfWeek,$E236)-SUM(L236:N236)*INDEX(About!L$79:L$82,MATCH($B236,About!$A$79:$A$82,0),1))</f>
        <v>492051954</v>
      </c>
      <c r="Q236" s="29">
        <f t="shared" si="18"/>
        <v>492051954</v>
      </c>
      <c r="R236" s="33">
        <f>SUMIFS(INDEX(Load,,MATCH('Summarized Source Data'!$C236,Hour,0)),Month,'Summarized Source Data'!$A236,Sector,'Summarized Source Data'!R$2,TimeOfWeek,$E236)*INDEX(About!N$79:N$82,MATCH($B236,About!$A$79:$A$82,0),1)</f>
        <v>16500000</v>
      </c>
      <c r="S236" s="33">
        <f>SUMIFS(INDEX(Load,,MATCH('Summarized Source Data'!$C236,Hour,0)),Month,'Summarized Source Data'!$A236,Sector,'Summarized Source Data'!S$2,TimeOfWeek,$E236)*INDEX(About!O$79:O$82,MATCH($B236,About!$A$79:$A$82,0),1)</f>
        <v>16500000</v>
      </c>
      <c r="T236" s="33">
        <f>SUMIFS(INDEX(Load,,MATCH('Summarized Source Data'!$C236,Hour,0)),Month,'Summarized Source Data'!$A236,Sector,'Summarized Source Data'!T$2,TimeOfWeek,$E236)*INDEX(About!P$79:P$82,MATCH($B236,About!$A$79:$A$82,0),1)</f>
        <v>16500000</v>
      </c>
      <c r="U236" s="33">
        <f>SUMIFS(INDEX(Load,,MATCH('Summarized Source Data'!$C236,Hour,0)),Month,'Summarized Source Data'!$A236,Sector,'Summarized Source Data'!U$2,TimeOfWeek,$E236)*INDEX(About!Q$79:Q$82,MATCH($B236,About!$A$79:$A$82,0),1)</f>
        <v>16500000</v>
      </c>
      <c r="V236" s="33">
        <f>SUMIFS(INDEX(Load,,MATCH('Summarized Source Data'!$C236,Hour,0)),Month,'Summarized Source Data'!$A236,Sector,'Summarized Source Data'!V$2,TimeOfWeek,$E236)*INDEX(About!R$79:R$82,MATCH($B236,About!$A$79:$A$82,0),1)</f>
        <v>16500000</v>
      </c>
      <c r="W236" s="33">
        <f>SUMIFS(INDEX(Load,,MATCH('Summarized Source Data'!$C236,Hour,0)),Month,'Summarized Source Data'!$A236,Sector,'Summarized Source Data'!W$2,TimeOfWeek,$E236)*INDEX(About!S$79:S$82,MATCH($B236,About!$A$79:$A$82,0),1)</f>
        <v>16500000</v>
      </c>
      <c r="X236" s="27">
        <f>SUMIFS(INDEX(Load,,MATCH('Summarized Source Data'!$C236,Hour,0)),Month,'Summarized Source Data'!$A236,Sector,'Summarized Source Data'!X$2,Subsector,'Summarized Source Data'!X$3,TimeOfWeek,$E236)*INDEX(About!T$79:T$82,MATCH($B236,About!$A$79:$A$82,0),1)</f>
        <v>680000000</v>
      </c>
      <c r="Y236" s="29">
        <f t="shared" si="19"/>
        <v>680000000</v>
      </c>
      <c r="Z236" s="29">
        <f t="shared" si="19"/>
        <v>680000000</v>
      </c>
    </row>
    <row r="237" spans="1:26" outlineLevel="1" x14ac:dyDescent="0.3">
      <c r="A237">
        <f t="shared" si="15"/>
        <v>10</v>
      </c>
      <c r="B237" t="str">
        <f>INDEX('Category Mapping'!$G$28:$G$39,MATCH(A237,'Category Mapping'!$A$28:$A$39,0),1)</f>
        <v>Fall</v>
      </c>
      <c r="C237" t="s">
        <v>80</v>
      </c>
      <c r="D237" s="6" t="s">
        <v>155</v>
      </c>
      <c r="E237" t="s">
        <v>49</v>
      </c>
      <c r="F237" s="27">
        <f>SUMIFS(INDEX(Load,,MATCH('Summarized Source Data'!$C237,Hour,0)),Month,'Summarized Source Data'!$A237,Sector,'Summarized Source Data'!F$2,Subsector,'Summarized Source Data'!F$3,TimeOfWeek,$E237)*INDEX(About!B$79:B$82,MATCH($B237,About!$A$79:$A$82,0),1)</f>
        <v>5638460</v>
      </c>
      <c r="G237" s="27">
        <f>SUMIFS(INDEX(Load,,MATCH('Summarized Source Data'!$C237,Hour,0)),Month,'Summarized Source Data'!$A237,Sector,'Summarized Source Data'!G$2,Subsector,'Summarized Source Data'!G$3,TimeOfWeek,$E237)*INDEX(About!C$79:C$82,MATCH($B237,About!$A$79:$A$82,0),1)</f>
        <v>631468</v>
      </c>
      <c r="H237" s="27">
        <f>SUMIFS(INDEX(Load,,MATCH('Summarized Source Data'!$C237,Hour,0)),Month,'Summarized Source Data'!$A237,Sector,'Summarized Source Data'!H$2,Subsector,'Summarized Source Data'!H$3,TimeOfWeek,$E237)*INDEX(About!D$79:D$82,MATCH($B237,About!$A$79:$A$82,0),1)</f>
        <v>0</v>
      </c>
      <c r="I237" s="27">
        <f>SUMIFS(INDEX(Load,,MATCH('Summarized Source Data'!$C237,Hour,0)),Month,'Summarized Source Data'!$A237,Sector,'Summarized Source Data'!I$2,Subsector,'Summarized Source Data'!I$3,TimeOfWeek,$E237)*INDEX(About!E$79:E$82,MATCH($B237,About!$A$79:$A$82,0),1)</f>
        <v>50300000</v>
      </c>
      <c r="J237" s="54">
        <f t="shared" si="16"/>
        <v>161430072</v>
      </c>
      <c r="K237" s="27">
        <f>(SUMIFS(INDEX(Load,,MATCH('Summarized Source Data'!$C237,Hour,0)),Month,'Summarized Source Data'!$A237,Sector,'Summarized Source Data'!K$2,Subsector,"Total",TimeOfWeek,$E237)-SUM(F237:I237))*INDEX(About!G$79:G$82,MATCH($B237,About!$A$79:$A$82,0),1)</f>
        <v>161430072</v>
      </c>
      <c r="L237" s="27">
        <f>SUMIFS(INDEX(Load,,MATCH('Summarized Source Data'!$C237,Hour,0)),Month,'Summarized Source Data'!$A237,Sector,'Summarized Source Data'!L$2,Subsector,'Summarized Source Data'!L$3,TimeOfWeek,$E237)*INDEX(About!H$79:H$82,MATCH($B237,About!$A$79:$A$82,0),1)</f>
        <v>8693915</v>
      </c>
      <c r="M237" s="27">
        <f>SUMIFS(INDEX(Load,,MATCH('Summarized Source Data'!$C237,Hour,0)),Month,'Summarized Source Data'!$A237,Sector,'Summarized Source Data'!M$2,Subsector,'Summarized Source Data'!M$3,TimeOfWeek,$E237)*INDEX(About!I$79:I$82,MATCH($B237,About!$A$79:$A$82,0),1)</f>
        <v>2250802</v>
      </c>
      <c r="N237" s="27">
        <f>SUMIFS(INDEX(Load,,MATCH('Summarized Source Data'!$C237,Hour,0)),Month,'Summarized Source Data'!$A237,Sector,'Summarized Source Data'!N$2,Subsector,'Summarized Source Data'!N$3,TimeOfWeek,$E237)*INDEX(About!J$79:J$82,MATCH($B237,About!$A$79:$A$82,0),1)</f>
        <v>0</v>
      </c>
      <c r="O237" s="29">
        <f t="shared" si="17"/>
        <v>462055283</v>
      </c>
      <c r="P237" s="27">
        <f>(SUMIFS(INDEX(Load,,MATCH('Summarized Source Data'!$C237,Hour,0)),Month,'Summarized Source Data'!$A237,Sector,'Summarized Source Data'!P$2,Subsector,"Total",TimeOfWeek,$E237)-SUM(L237:N237)*INDEX(About!L$79:L$82,MATCH($B237,About!$A$79:$A$82,0),1))</f>
        <v>462055283</v>
      </c>
      <c r="Q237" s="29">
        <f t="shared" si="18"/>
        <v>462055283</v>
      </c>
      <c r="R237" s="33">
        <f>SUMIFS(INDEX(Load,,MATCH('Summarized Source Data'!$C237,Hour,0)),Month,'Summarized Source Data'!$A237,Sector,'Summarized Source Data'!R$2,TimeOfWeek,$E237)*INDEX(About!N$79:N$82,MATCH($B237,About!$A$79:$A$82,0),1)</f>
        <v>17400000</v>
      </c>
      <c r="S237" s="33">
        <f>SUMIFS(INDEX(Load,,MATCH('Summarized Source Data'!$C237,Hour,0)),Month,'Summarized Source Data'!$A237,Sector,'Summarized Source Data'!S$2,TimeOfWeek,$E237)*INDEX(About!O$79:O$82,MATCH($B237,About!$A$79:$A$82,0),1)</f>
        <v>17400000</v>
      </c>
      <c r="T237" s="33">
        <f>SUMIFS(INDEX(Load,,MATCH('Summarized Source Data'!$C237,Hour,0)),Month,'Summarized Source Data'!$A237,Sector,'Summarized Source Data'!T$2,TimeOfWeek,$E237)*INDEX(About!P$79:P$82,MATCH($B237,About!$A$79:$A$82,0),1)</f>
        <v>17400000</v>
      </c>
      <c r="U237" s="33">
        <f>SUMIFS(INDEX(Load,,MATCH('Summarized Source Data'!$C237,Hour,0)),Month,'Summarized Source Data'!$A237,Sector,'Summarized Source Data'!U$2,TimeOfWeek,$E237)*INDEX(About!Q$79:Q$82,MATCH($B237,About!$A$79:$A$82,0),1)</f>
        <v>17400000</v>
      </c>
      <c r="V237" s="33">
        <f>SUMIFS(INDEX(Load,,MATCH('Summarized Source Data'!$C237,Hour,0)),Month,'Summarized Source Data'!$A237,Sector,'Summarized Source Data'!V$2,TimeOfWeek,$E237)*INDEX(About!R$79:R$82,MATCH($B237,About!$A$79:$A$82,0),1)</f>
        <v>17400000</v>
      </c>
      <c r="W237" s="33">
        <f>SUMIFS(INDEX(Load,,MATCH('Summarized Source Data'!$C237,Hour,0)),Month,'Summarized Source Data'!$A237,Sector,'Summarized Source Data'!W$2,TimeOfWeek,$E237)*INDEX(About!S$79:S$82,MATCH($B237,About!$A$79:$A$82,0),1)</f>
        <v>17400000</v>
      </c>
      <c r="X237" s="27">
        <f>SUMIFS(INDEX(Load,,MATCH('Summarized Source Data'!$C237,Hour,0)),Month,'Summarized Source Data'!$A237,Sector,'Summarized Source Data'!X$2,Subsector,'Summarized Source Data'!X$3,TimeOfWeek,$E237)*INDEX(About!T$79:T$82,MATCH($B237,About!$A$79:$A$82,0),1)</f>
        <v>681000000</v>
      </c>
      <c r="Y237" s="29">
        <f t="shared" si="19"/>
        <v>681000000</v>
      </c>
      <c r="Z237" s="29">
        <f t="shared" si="19"/>
        <v>681000000</v>
      </c>
    </row>
    <row r="238" spans="1:26" outlineLevel="1" x14ac:dyDescent="0.3">
      <c r="A238">
        <f t="shared" si="15"/>
        <v>10</v>
      </c>
      <c r="B238" t="str">
        <f>INDEX('Category Mapping'!$G$28:$G$39,MATCH(A238,'Category Mapping'!$A$28:$A$39,0),1)</f>
        <v>Fall</v>
      </c>
      <c r="C238" t="s">
        <v>81</v>
      </c>
      <c r="D238" s="6" t="s">
        <v>156</v>
      </c>
      <c r="E238" t="s">
        <v>49</v>
      </c>
      <c r="F238" s="27">
        <f>SUMIFS(INDEX(Load,,MATCH('Summarized Source Data'!$C238,Hour,0)),Month,'Summarized Source Data'!$A238,Sector,'Summarized Source Data'!F$2,Subsector,'Summarized Source Data'!F$3,TimeOfWeek,$E238)*INDEX(About!B$79:B$82,MATCH($B238,About!$A$79:$A$82,0),1)</f>
        <v>5975069</v>
      </c>
      <c r="G238" s="27">
        <f>SUMIFS(INDEX(Load,,MATCH('Summarized Source Data'!$C238,Hour,0)),Month,'Summarized Source Data'!$A238,Sector,'Summarized Source Data'!G$2,Subsector,'Summarized Source Data'!G$3,TimeOfWeek,$E238)*INDEX(About!C$79:C$82,MATCH($B238,About!$A$79:$A$82,0),1)</f>
        <v>123827</v>
      </c>
      <c r="H238" s="27">
        <f>SUMIFS(INDEX(Load,,MATCH('Summarized Source Data'!$C238,Hour,0)),Month,'Summarized Source Data'!$A238,Sector,'Summarized Source Data'!H$2,Subsector,'Summarized Source Data'!H$3,TimeOfWeek,$E238)*INDEX(About!D$79:D$82,MATCH($B238,About!$A$79:$A$82,0),1)</f>
        <v>0</v>
      </c>
      <c r="I238" s="27">
        <f>SUMIFS(INDEX(Load,,MATCH('Summarized Source Data'!$C238,Hour,0)),Month,'Summarized Source Data'!$A238,Sector,'Summarized Source Data'!I$2,Subsector,'Summarized Source Data'!I$3,TimeOfWeek,$E238)*INDEX(About!E$79:E$82,MATCH($B238,About!$A$79:$A$82,0),1)</f>
        <v>55000000</v>
      </c>
      <c r="J238" s="54">
        <f t="shared" si="16"/>
        <v>156901104</v>
      </c>
      <c r="K238" s="27">
        <f>(SUMIFS(INDEX(Load,,MATCH('Summarized Source Data'!$C238,Hour,0)),Month,'Summarized Source Data'!$A238,Sector,'Summarized Source Data'!K$2,Subsector,"Total",TimeOfWeek,$E238)-SUM(F238:I238))*INDEX(About!G$79:G$82,MATCH($B238,About!$A$79:$A$82,0),1)</f>
        <v>156901104</v>
      </c>
      <c r="L238" s="27">
        <f>SUMIFS(INDEX(Load,,MATCH('Summarized Source Data'!$C238,Hour,0)),Month,'Summarized Source Data'!$A238,Sector,'Summarized Source Data'!L$2,Subsector,'Summarized Source Data'!L$3,TimeOfWeek,$E238)*INDEX(About!H$79:H$82,MATCH($B238,About!$A$79:$A$82,0),1)</f>
        <v>10800000</v>
      </c>
      <c r="M238" s="27">
        <f>SUMIFS(INDEX(Load,,MATCH('Summarized Source Data'!$C238,Hour,0)),Month,'Summarized Source Data'!$A238,Sector,'Summarized Source Data'!M$2,Subsector,'Summarized Source Data'!M$3,TimeOfWeek,$E238)*INDEX(About!I$79:I$82,MATCH($B238,About!$A$79:$A$82,0),1)</f>
        <v>2092511</v>
      </c>
      <c r="N238" s="27">
        <f>SUMIFS(INDEX(Load,,MATCH('Summarized Source Data'!$C238,Hour,0)),Month,'Summarized Source Data'!$A238,Sector,'Summarized Source Data'!N$2,Subsector,'Summarized Source Data'!N$3,TimeOfWeek,$E238)*INDEX(About!J$79:J$82,MATCH($B238,About!$A$79:$A$82,0),1)</f>
        <v>0</v>
      </c>
      <c r="O238" s="29">
        <f t="shared" si="17"/>
        <v>439107489</v>
      </c>
      <c r="P238" s="27">
        <f>(SUMIFS(INDEX(Load,,MATCH('Summarized Source Data'!$C238,Hour,0)),Month,'Summarized Source Data'!$A238,Sector,'Summarized Source Data'!P$2,Subsector,"Total",TimeOfWeek,$E238)-SUM(L238:N238)*INDEX(About!L$79:L$82,MATCH($B238,About!$A$79:$A$82,0),1))</f>
        <v>439107489</v>
      </c>
      <c r="Q238" s="29">
        <f t="shared" si="18"/>
        <v>439107489</v>
      </c>
      <c r="R238" s="33">
        <f>SUMIFS(INDEX(Load,,MATCH('Summarized Source Data'!$C238,Hour,0)),Month,'Summarized Source Data'!$A238,Sector,'Summarized Source Data'!R$2,TimeOfWeek,$E238)*INDEX(About!N$79:N$82,MATCH($B238,About!$A$79:$A$82,0),1)</f>
        <v>16000000</v>
      </c>
      <c r="S238" s="33">
        <f>SUMIFS(INDEX(Load,,MATCH('Summarized Source Data'!$C238,Hour,0)),Month,'Summarized Source Data'!$A238,Sector,'Summarized Source Data'!S$2,TimeOfWeek,$E238)*INDEX(About!O$79:O$82,MATCH($B238,About!$A$79:$A$82,0),1)</f>
        <v>16000000</v>
      </c>
      <c r="T238" s="33">
        <f>SUMIFS(INDEX(Load,,MATCH('Summarized Source Data'!$C238,Hour,0)),Month,'Summarized Source Data'!$A238,Sector,'Summarized Source Data'!T$2,TimeOfWeek,$E238)*INDEX(About!P$79:P$82,MATCH($B238,About!$A$79:$A$82,0),1)</f>
        <v>16000000</v>
      </c>
      <c r="U238" s="33">
        <f>SUMIFS(INDEX(Load,,MATCH('Summarized Source Data'!$C238,Hour,0)),Month,'Summarized Source Data'!$A238,Sector,'Summarized Source Data'!U$2,TimeOfWeek,$E238)*INDEX(About!Q$79:Q$82,MATCH($B238,About!$A$79:$A$82,0),1)</f>
        <v>16000000</v>
      </c>
      <c r="V238" s="33">
        <f>SUMIFS(INDEX(Load,,MATCH('Summarized Source Data'!$C238,Hour,0)),Month,'Summarized Source Data'!$A238,Sector,'Summarized Source Data'!V$2,TimeOfWeek,$E238)*INDEX(About!R$79:R$82,MATCH($B238,About!$A$79:$A$82,0),1)</f>
        <v>16000000</v>
      </c>
      <c r="W238" s="33">
        <f>SUMIFS(INDEX(Load,,MATCH('Summarized Source Data'!$C238,Hour,0)),Month,'Summarized Source Data'!$A238,Sector,'Summarized Source Data'!W$2,TimeOfWeek,$E238)*INDEX(About!S$79:S$82,MATCH($B238,About!$A$79:$A$82,0),1)</f>
        <v>16000000</v>
      </c>
      <c r="X238" s="27">
        <f>SUMIFS(INDEX(Load,,MATCH('Summarized Source Data'!$C238,Hour,0)),Month,'Summarized Source Data'!$A238,Sector,'Summarized Source Data'!X$2,Subsector,'Summarized Source Data'!X$3,TimeOfWeek,$E238)*INDEX(About!T$79:T$82,MATCH($B238,About!$A$79:$A$82,0),1)</f>
        <v>678000000</v>
      </c>
      <c r="Y238" s="29">
        <f t="shared" si="19"/>
        <v>678000000</v>
      </c>
      <c r="Z238" s="29">
        <f t="shared" si="19"/>
        <v>678000000</v>
      </c>
    </row>
    <row r="239" spans="1:26" outlineLevel="1" x14ac:dyDescent="0.3">
      <c r="A239">
        <f t="shared" si="15"/>
        <v>10</v>
      </c>
      <c r="B239" t="str">
        <f>INDEX('Category Mapping'!$G$28:$G$39,MATCH(A239,'Category Mapping'!$A$28:$A$39,0),1)</f>
        <v>Fall</v>
      </c>
      <c r="C239" t="s">
        <v>82</v>
      </c>
      <c r="D239" s="6" t="s">
        <v>157</v>
      </c>
      <c r="E239" t="s">
        <v>49</v>
      </c>
      <c r="F239" s="27">
        <f>SUMIFS(INDEX(Load,,MATCH('Summarized Source Data'!$C239,Hour,0)),Month,'Summarized Source Data'!$A239,Sector,'Summarized Source Data'!F$2,Subsector,'Summarized Source Data'!F$3,TimeOfWeek,$E239)*INDEX(About!B$79:B$82,MATCH($B239,About!$A$79:$A$82,0),1)</f>
        <v>6271913</v>
      </c>
      <c r="G239" s="27">
        <f>SUMIFS(INDEX(Load,,MATCH('Summarized Source Data'!$C239,Hour,0)),Month,'Summarized Source Data'!$A239,Sector,'Summarized Source Data'!G$2,Subsector,'Summarized Source Data'!G$3,TimeOfWeek,$E239)*INDEX(About!C$79:C$82,MATCH($B239,About!$A$79:$A$82,0),1)</f>
        <v>20837</v>
      </c>
      <c r="H239" s="27">
        <f>SUMIFS(INDEX(Load,,MATCH('Summarized Source Data'!$C239,Hour,0)),Month,'Summarized Source Data'!$A239,Sector,'Summarized Source Data'!H$2,Subsector,'Summarized Source Data'!H$3,TimeOfWeek,$E239)*INDEX(About!D$79:D$82,MATCH($B239,About!$A$79:$A$82,0),1)</f>
        <v>0</v>
      </c>
      <c r="I239" s="27">
        <f>SUMIFS(INDEX(Load,,MATCH('Summarized Source Data'!$C239,Hour,0)),Month,'Summarized Source Data'!$A239,Sector,'Summarized Source Data'!I$2,Subsector,'Summarized Source Data'!I$3,TimeOfWeek,$E239)*INDEX(About!E$79:E$82,MATCH($B239,About!$A$79:$A$82,0),1)</f>
        <v>59300000</v>
      </c>
      <c r="J239" s="54">
        <f t="shared" si="16"/>
        <v>149407250</v>
      </c>
      <c r="K239" s="27">
        <f>(SUMIFS(INDEX(Load,,MATCH('Summarized Source Data'!$C239,Hour,0)),Month,'Summarized Source Data'!$A239,Sector,'Summarized Source Data'!K$2,Subsector,"Total",TimeOfWeek,$E239)-SUM(F239:I239))*INDEX(About!G$79:G$82,MATCH($B239,About!$A$79:$A$82,0),1)</f>
        <v>149407250</v>
      </c>
      <c r="L239" s="27">
        <f>SUMIFS(INDEX(Load,,MATCH('Summarized Source Data'!$C239,Hour,0)),Month,'Summarized Source Data'!$A239,Sector,'Summarized Source Data'!L$2,Subsector,'Summarized Source Data'!L$3,TimeOfWeek,$E239)*INDEX(About!H$79:H$82,MATCH($B239,About!$A$79:$A$82,0),1)</f>
        <v>12900000</v>
      </c>
      <c r="M239" s="27">
        <f>SUMIFS(INDEX(Load,,MATCH('Summarized Source Data'!$C239,Hour,0)),Month,'Summarized Source Data'!$A239,Sector,'Summarized Source Data'!M$2,Subsector,'Summarized Source Data'!M$3,TimeOfWeek,$E239)*INDEX(About!I$79:I$82,MATCH($B239,About!$A$79:$A$82,0),1)</f>
        <v>1949339</v>
      </c>
      <c r="N239" s="27">
        <f>SUMIFS(INDEX(Load,,MATCH('Summarized Source Data'!$C239,Hour,0)),Month,'Summarized Source Data'!$A239,Sector,'Summarized Source Data'!N$2,Subsector,'Summarized Source Data'!N$3,TimeOfWeek,$E239)*INDEX(About!J$79:J$82,MATCH($B239,About!$A$79:$A$82,0),1)</f>
        <v>0</v>
      </c>
      <c r="O239" s="29">
        <f t="shared" si="17"/>
        <v>367150661</v>
      </c>
      <c r="P239" s="27">
        <f>(SUMIFS(INDEX(Load,,MATCH('Summarized Source Data'!$C239,Hour,0)),Month,'Summarized Source Data'!$A239,Sector,'Summarized Source Data'!P$2,Subsector,"Total",TimeOfWeek,$E239)-SUM(L239:N239)*INDEX(About!L$79:L$82,MATCH($B239,About!$A$79:$A$82,0),1))</f>
        <v>367150661</v>
      </c>
      <c r="Q239" s="29">
        <f t="shared" si="18"/>
        <v>367150661</v>
      </c>
      <c r="R239" s="33">
        <f>SUMIFS(INDEX(Load,,MATCH('Summarized Source Data'!$C239,Hour,0)),Month,'Summarized Source Data'!$A239,Sector,'Summarized Source Data'!R$2,TimeOfWeek,$E239)*INDEX(About!N$79:N$82,MATCH($B239,About!$A$79:$A$82,0),1)</f>
        <v>13100000</v>
      </c>
      <c r="S239" s="33">
        <f>SUMIFS(INDEX(Load,,MATCH('Summarized Source Data'!$C239,Hour,0)),Month,'Summarized Source Data'!$A239,Sector,'Summarized Source Data'!S$2,TimeOfWeek,$E239)*INDEX(About!O$79:O$82,MATCH($B239,About!$A$79:$A$82,0),1)</f>
        <v>13100000</v>
      </c>
      <c r="T239" s="33">
        <f>SUMIFS(INDEX(Load,,MATCH('Summarized Source Data'!$C239,Hour,0)),Month,'Summarized Source Data'!$A239,Sector,'Summarized Source Data'!T$2,TimeOfWeek,$E239)*INDEX(About!P$79:P$82,MATCH($B239,About!$A$79:$A$82,0),1)</f>
        <v>13100000</v>
      </c>
      <c r="U239" s="33">
        <f>SUMIFS(INDEX(Load,,MATCH('Summarized Source Data'!$C239,Hour,0)),Month,'Summarized Source Data'!$A239,Sector,'Summarized Source Data'!U$2,TimeOfWeek,$E239)*INDEX(About!Q$79:Q$82,MATCH($B239,About!$A$79:$A$82,0),1)</f>
        <v>13100000</v>
      </c>
      <c r="V239" s="33">
        <f>SUMIFS(INDEX(Load,,MATCH('Summarized Source Data'!$C239,Hour,0)),Month,'Summarized Source Data'!$A239,Sector,'Summarized Source Data'!V$2,TimeOfWeek,$E239)*INDEX(About!R$79:R$82,MATCH($B239,About!$A$79:$A$82,0),1)</f>
        <v>13100000</v>
      </c>
      <c r="W239" s="33">
        <f>SUMIFS(INDEX(Load,,MATCH('Summarized Source Data'!$C239,Hour,0)),Month,'Summarized Source Data'!$A239,Sector,'Summarized Source Data'!W$2,TimeOfWeek,$E239)*INDEX(About!S$79:S$82,MATCH($B239,About!$A$79:$A$82,0),1)</f>
        <v>13100000</v>
      </c>
      <c r="X239" s="27">
        <f>SUMIFS(INDEX(Load,,MATCH('Summarized Source Data'!$C239,Hour,0)),Month,'Summarized Source Data'!$A239,Sector,'Summarized Source Data'!X$2,Subsector,'Summarized Source Data'!X$3,TimeOfWeek,$E239)*INDEX(About!T$79:T$82,MATCH($B239,About!$A$79:$A$82,0),1)</f>
        <v>673000000</v>
      </c>
      <c r="Y239" s="29">
        <f t="shared" si="19"/>
        <v>673000000</v>
      </c>
      <c r="Z239" s="29">
        <f t="shared" si="19"/>
        <v>673000000</v>
      </c>
    </row>
    <row r="240" spans="1:26" outlineLevel="1" x14ac:dyDescent="0.3">
      <c r="A240">
        <f t="shared" si="15"/>
        <v>10</v>
      </c>
      <c r="B240" t="str">
        <f>INDEX('Category Mapping'!$G$28:$G$39,MATCH(A240,'Category Mapping'!$A$28:$A$39,0),1)</f>
        <v>Fall</v>
      </c>
      <c r="C240" t="s">
        <v>83</v>
      </c>
      <c r="D240" s="6" t="s">
        <v>158</v>
      </c>
      <c r="E240" t="s">
        <v>49</v>
      </c>
      <c r="F240" s="27">
        <f>SUMIFS(INDEX(Load,,MATCH('Summarized Source Data'!$C240,Hour,0)),Month,'Summarized Source Data'!$A240,Sector,'Summarized Source Data'!F$2,Subsector,'Summarized Source Data'!F$3,TimeOfWeek,$E240)*INDEX(About!B$79:B$82,MATCH($B240,About!$A$79:$A$82,0),1)</f>
        <v>6337702</v>
      </c>
      <c r="G240" s="27">
        <f>SUMIFS(INDEX(Load,,MATCH('Summarized Source Data'!$C240,Hour,0)),Month,'Summarized Source Data'!$A240,Sector,'Summarized Source Data'!G$2,Subsector,'Summarized Source Data'!G$3,TimeOfWeek,$E240)*INDEX(About!C$79:C$82,MATCH($B240,About!$A$79:$A$82,0),1)</f>
        <v>2515</v>
      </c>
      <c r="H240" s="27">
        <f>SUMIFS(INDEX(Load,,MATCH('Summarized Source Data'!$C240,Hour,0)),Month,'Summarized Source Data'!$A240,Sector,'Summarized Source Data'!H$2,Subsector,'Summarized Source Data'!H$3,TimeOfWeek,$E240)*INDEX(About!D$79:D$82,MATCH($B240,About!$A$79:$A$82,0),1)</f>
        <v>0</v>
      </c>
      <c r="I240" s="27">
        <f>SUMIFS(INDEX(Load,,MATCH('Summarized Source Data'!$C240,Hour,0)),Month,'Summarized Source Data'!$A240,Sector,'Summarized Source Data'!I$2,Subsector,'Summarized Source Data'!I$3,TimeOfWeek,$E240)*INDEX(About!E$79:E$82,MATCH($B240,About!$A$79:$A$82,0),1)</f>
        <v>60200000</v>
      </c>
      <c r="J240" s="54">
        <f t="shared" si="16"/>
        <v>146459783</v>
      </c>
      <c r="K240" s="27">
        <f>(SUMIFS(INDEX(Load,,MATCH('Summarized Source Data'!$C240,Hour,0)),Month,'Summarized Source Data'!$A240,Sector,'Summarized Source Data'!K$2,Subsector,"Total",TimeOfWeek,$E240)-SUM(F240:I240))*INDEX(About!G$79:G$82,MATCH($B240,About!$A$79:$A$82,0),1)</f>
        <v>146459783</v>
      </c>
      <c r="L240" s="27">
        <f>SUMIFS(INDEX(Load,,MATCH('Summarized Source Data'!$C240,Hour,0)),Month,'Summarized Source Data'!$A240,Sector,'Summarized Source Data'!L$2,Subsector,'Summarized Source Data'!L$3,TimeOfWeek,$E240)*INDEX(About!H$79:H$82,MATCH($B240,About!$A$79:$A$82,0),1)</f>
        <v>15900000</v>
      </c>
      <c r="M240" s="27">
        <f>SUMIFS(INDEX(Load,,MATCH('Summarized Source Data'!$C240,Hour,0)),Month,'Summarized Source Data'!$A240,Sector,'Summarized Source Data'!M$2,Subsector,'Summarized Source Data'!M$3,TimeOfWeek,$E240)*INDEX(About!I$79:I$82,MATCH($B240,About!$A$79:$A$82,0),1)</f>
        <v>1837128</v>
      </c>
      <c r="N240" s="27">
        <f>SUMIFS(INDEX(Load,,MATCH('Summarized Source Data'!$C240,Hour,0)),Month,'Summarized Source Data'!$A240,Sector,'Summarized Source Data'!N$2,Subsector,'Summarized Source Data'!N$3,TimeOfWeek,$E240)*INDEX(About!J$79:J$82,MATCH($B240,About!$A$79:$A$82,0),1)</f>
        <v>0</v>
      </c>
      <c r="O240" s="29">
        <f t="shared" si="17"/>
        <v>304262872</v>
      </c>
      <c r="P240" s="27">
        <f>(SUMIFS(INDEX(Load,,MATCH('Summarized Source Data'!$C240,Hour,0)),Month,'Summarized Source Data'!$A240,Sector,'Summarized Source Data'!P$2,Subsector,"Total",TimeOfWeek,$E240)-SUM(L240:N240)*INDEX(About!L$79:L$82,MATCH($B240,About!$A$79:$A$82,0),1))</f>
        <v>304262872</v>
      </c>
      <c r="Q240" s="29">
        <f t="shared" si="18"/>
        <v>304262872</v>
      </c>
      <c r="R240" s="33">
        <f>SUMIFS(INDEX(Load,,MATCH('Summarized Source Data'!$C240,Hour,0)),Month,'Summarized Source Data'!$A240,Sector,'Summarized Source Data'!R$2,TimeOfWeek,$E240)*INDEX(About!N$79:N$82,MATCH($B240,About!$A$79:$A$82,0),1)</f>
        <v>12000000</v>
      </c>
      <c r="S240" s="33">
        <f>SUMIFS(INDEX(Load,,MATCH('Summarized Source Data'!$C240,Hour,0)),Month,'Summarized Source Data'!$A240,Sector,'Summarized Source Data'!S$2,TimeOfWeek,$E240)*INDEX(About!O$79:O$82,MATCH($B240,About!$A$79:$A$82,0),1)</f>
        <v>12000000</v>
      </c>
      <c r="T240" s="33">
        <f>SUMIFS(INDEX(Load,,MATCH('Summarized Source Data'!$C240,Hour,0)),Month,'Summarized Source Data'!$A240,Sector,'Summarized Source Data'!T$2,TimeOfWeek,$E240)*INDEX(About!P$79:P$82,MATCH($B240,About!$A$79:$A$82,0),1)</f>
        <v>12000000</v>
      </c>
      <c r="U240" s="33">
        <f>SUMIFS(INDEX(Load,,MATCH('Summarized Source Data'!$C240,Hour,0)),Month,'Summarized Source Data'!$A240,Sector,'Summarized Source Data'!U$2,TimeOfWeek,$E240)*INDEX(About!Q$79:Q$82,MATCH($B240,About!$A$79:$A$82,0),1)</f>
        <v>12000000</v>
      </c>
      <c r="V240" s="33">
        <f>SUMIFS(INDEX(Load,,MATCH('Summarized Source Data'!$C240,Hour,0)),Month,'Summarized Source Data'!$A240,Sector,'Summarized Source Data'!V$2,TimeOfWeek,$E240)*INDEX(About!R$79:R$82,MATCH($B240,About!$A$79:$A$82,0),1)</f>
        <v>12000000</v>
      </c>
      <c r="W240" s="33">
        <f>SUMIFS(INDEX(Load,,MATCH('Summarized Source Data'!$C240,Hour,0)),Month,'Summarized Source Data'!$A240,Sector,'Summarized Source Data'!W$2,TimeOfWeek,$E240)*INDEX(About!S$79:S$82,MATCH($B240,About!$A$79:$A$82,0),1)</f>
        <v>12000000</v>
      </c>
      <c r="X240" s="27">
        <f>SUMIFS(INDEX(Load,,MATCH('Summarized Source Data'!$C240,Hour,0)),Month,'Summarized Source Data'!$A240,Sector,'Summarized Source Data'!X$2,Subsector,'Summarized Source Data'!X$3,TimeOfWeek,$E240)*INDEX(About!T$79:T$82,MATCH($B240,About!$A$79:$A$82,0),1)</f>
        <v>669000000</v>
      </c>
      <c r="Y240" s="29">
        <f t="shared" si="19"/>
        <v>669000000</v>
      </c>
      <c r="Z240" s="29">
        <f t="shared" si="19"/>
        <v>669000000</v>
      </c>
    </row>
    <row r="241" spans="1:26" outlineLevel="1" x14ac:dyDescent="0.3">
      <c r="A241">
        <f t="shared" si="15"/>
        <v>10</v>
      </c>
      <c r="B241" t="str">
        <f>INDEX('Category Mapping'!$G$28:$G$39,MATCH(A241,'Category Mapping'!$A$28:$A$39,0),1)</f>
        <v>Fall</v>
      </c>
      <c r="C241" t="s">
        <v>84</v>
      </c>
      <c r="D241" s="6" t="s">
        <v>159</v>
      </c>
      <c r="E241" t="s">
        <v>49</v>
      </c>
      <c r="F241" s="27">
        <f>SUMIFS(INDEX(Load,,MATCH('Summarized Source Data'!$C241,Hour,0)),Month,'Summarized Source Data'!$A241,Sector,'Summarized Source Data'!F$2,Subsector,'Summarized Source Data'!F$3,TimeOfWeek,$E241)*INDEX(About!B$79:B$82,MATCH($B241,About!$A$79:$A$82,0),1)</f>
        <v>5567689</v>
      </c>
      <c r="G241" s="27">
        <f>SUMIFS(INDEX(Load,,MATCH('Summarized Source Data'!$C241,Hour,0)),Month,'Summarized Source Data'!$A241,Sector,'Summarized Source Data'!G$2,Subsector,'Summarized Source Data'!G$3,TimeOfWeek,$E241)*INDEX(About!C$79:C$82,MATCH($B241,About!$A$79:$A$82,0),1)</f>
        <v>2675</v>
      </c>
      <c r="H241" s="27">
        <f>SUMIFS(INDEX(Load,,MATCH('Summarized Source Data'!$C241,Hour,0)),Month,'Summarized Source Data'!$A241,Sector,'Summarized Source Data'!H$2,Subsector,'Summarized Source Data'!H$3,TimeOfWeek,$E241)*INDEX(About!D$79:D$82,MATCH($B241,About!$A$79:$A$82,0),1)</f>
        <v>0</v>
      </c>
      <c r="I241" s="27">
        <f>SUMIFS(INDEX(Load,,MATCH('Summarized Source Data'!$C241,Hour,0)),Month,'Summarized Source Data'!$A241,Sector,'Summarized Source Data'!I$2,Subsector,'Summarized Source Data'!I$3,TimeOfWeek,$E241)*INDEX(About!E$79:E$82,MATCH($B241,About!$A$79:$A$82,0),1)</f>
        <v>49300000</v>
      </c>
      <c r="J241" s="54">
        <f t="shared" si="16"/>
        <v>145129636</v>
      </c>
      <c r="K241" s="27">
        <f>(SUMIFS(INDEX(Load,,MATCH('Summarized Source Data'!$C241,Hour,0)),Month,'Summarized Source Data'!$A241,Sector,'Summarized Source Data'!K$2,Subsector,"Total",TimeOfWeek,$E241)-SUM(F241:I241))*INDEX(About!G$79:G$82,MATCH($B241,About!$A$79:$A$82,0),1)</f>
        <v>145129636</v>
      </c>
      <c r="L241" s="27">
        <f>SUMIFS(INDEX(Load,,MATCH('Summarized Source Data'!$C241,Hour,0)),Month,'Summarized Source Data'!$A241,Sector,'Summarized Source Data'!L$2,Subsector,'Summarized Source Data'!L$3,TimeOfWeek,$E241)*INDEX(About!H$79:H$82,MATCH($B241,About!$A$79:$A$82,0),1)</f>
        <v>11700000</v>
      </c>
      <c r="M241" s="27">
        <f>SUMIFS(INDEX(Load,,MATCH('Summarized Source Data'!$C241,Hour,0)),Month,'Summarized Source Data'!$A241,Sector,'Summarized Source Data'!M$2,Subsector,'Summarized Source Data'!M$3,TimeOfWeek,$E241)*INDEX(About!I$79:I$82,MATCH($B241,About!$A$79:$A$82,0),1)</f>
        <v>1724445</v>
      </c>
      <c r="N241" s="27">
        <f>SUMIFS(INDEX(Load,,MATCH('Summarized Source Data'!$C241,Hour,0)),Month,'Summarized Source Data'!$A241,Sector,'Summarized Source Data'!N$2,Subsector,'Summarized Source Data'!N$3,TimeOfWeek,$E241)*INDEX(About!J$79:J$82,MATCH($B241,About!$A$79:$A$82,0),1)</f>
        <v>0</v>
      </c>
      <c r="O241" s="29">
        <f t="shared" si="17"/>
        <v>246575555</v>
      </c>
      <c r="P241" s="27">
        <f>(SUMIFS(INDEX(Load,,MATCH('Summarized Source Data'!$C241,Hour,0)),Month,'Summarized Source Data'!$A241,Sector,'Summarized Source Data'!P$2,Subsector,"Total",TimeOfWeek,$E241)-SUM(L241:N241)*INDEX(About!L$79:L$82,MATCH($B241,About!$A$79:$A$82,0),1))</f>
        <v>246575555</v>
      </c>
      <c r="Q241" s="29">
        <f t="shared" si="18"/>
        <v>246575555</v>
      </c>
      <c r="R241" s="33">
        <f>SUMIFS(INDEX(Load,,MATCH('Summarized Source Data'!$C241,Hour,0)),Month,'Summarized Source Data'!$A241,Sector,'Summarized Source Data'!R$2,TimeOfWeek,$E241)*INDEX(About!N$79:N$82,MATCH($B241,About!$A$79:$A$82,0),1)</f>
        <v>11300000</v>
      </c>
      <c r="S241" s="33">
        <f>SUMIFS(INDEX(Load,,MATCH('Summarized Source Data'!$C241,Hour,0)),Month,'Summarized Source Data'!$A241,Sector,'Summarized Source Data'!S$2,TimeOfWeek,$E241)*INDEX(About!O$79:O$82,MATCH($B241,About!$A$79:$A$82,0),1)</f>
        <v>11300000</v>
      </c>
      <c r="T241" s="33">
        <f>SUMIFS(INDEX(Load,,MATCH('Summarized Source Data'!$C241,Hour,0)),Month,'Summarized Source Data'!$A241,Sector,'Summarized Source Data'!T$2,TimeOfWeek,$E241)*INDEX(About!P$79:P$82,MATCH($B241,About!$A$79:$A$82,0),1)</f>
        <v>11300000</v>
      </c>
      <c r="U241" s="33">
        <f>SUMIFS(INDEX(Load,,MATCH('Summarized Source Data'!$C241,Hour,0)),Month,'Summarized Source Data'!$A241,Sector,'Summarized Source Data'!U$2,TimeOfWeek,$E241)*INDEX(About!Q$79:Q$82,MATCH($B241,About!$A$79:$A$82,0),1)</f>
        <v>11300000</v>
      </c>
      <c r="V241" s="33">
        <f>SUMIFS(INDEX(Load,,MATCH('Summarized Source Data'!$C241,Hour,0)),Month,'Summarized Source Data'!$A241,Sector,'Summarized Source Data'!V$2,TimeOfWeek,$E241)*INDEX(About!R$79:R$82,MATCH($B241,About!$A$79:$A$82,0),1)</f>
        <v>11300000</v>
      </c>
      <c r="W241" s="33">
        <f>SUMIFS(INDEX(Load,,MATCH('Summarized Source Data'!$C241,Hour,0)),Month,'Summarized Source Data'!$A241,Sector,'Summarized Source Data'!W$2,TimeOfWeek,$E241)*INDEX(About!S$79:S$82,MATCH($B241,About!$A$79:$A$82,0),1)</f>
        <v>11300000</v>
      </c>
      <c r="X241" s="27">
        <f>SUMIFS(INDEX(Load,,MATCH('Summarized Source Data'!$C241,Hour,0)),Month,'Summarized Source Data'!$A241,Sector,'Summarized Source Data'!X$2,Subsector,'Summarized Source Data'!X$3,TimeOfWeek,$E241)*INDEX(About!T$79:T$82,MATCH($B241,About!$A$79:$A$82,0),1)</f>
        <v>663000000</v>
      </c>
      <c r="Y241" s="29">
        <f t="shared" si="19"/>
        <v>663000000</v>
      </c>
      <c r="Z241" s="29">
        <f t="shared" si="19"/>
        <v>663000000</v>
      </c>
    </row>
    <row r="242" spans="1:26" outlineLevel="1" x14ac:dyDescent="0.3">
      <c r="A242">
        <f t="shared" si="15"/>
        <v>10</v>
      </c>
      <c r="B242" t="str">
        <f>INDEX('Category Mapping'!$G$28:$G$39,MATCH(A242,'Category Mapping'!$A$28:$A$39,0),1)</f>
        <v>Fall</v>
      </c>
      <c r="C242" t="s">
        <v>85</v>
      </c>
      <c r="D242" s="6" t="s">
        <v>160</v>
      </c>
      <c r="E242" t="s">
        <v>49</v>
      </c>
      <c r="F242" s="27">
        <f>SUMIFS(INDEX(Load,,MATCH('Summarized Source Data'!$C242,Hour,0)),Month,'Summarized Source Data'!$A242,Sector,'Summarized Source Data'!F$2,Subsector,'Summarized Source Data'!F$3,TimeOfWeek,$E242)*INDEX(About!B$79:B$82,MATCH($B242,About!$A$79:$A$82,0),1)</f>
        <v>4157291</v>
      </c>
      <c r="G242" s="27">
        <f>SUMIFS(INDEX(Load,,MATCH('Summarized Source Data'!$C242,Hour,0)),Month,'Summarized Source Data'!$A242,Sector,'Summarized Source Data'!G$2,Subsector,'Summarized Source Data'!G$3,TimeOfWeek,$E242)*INDEX(About!C$79:C$82,MATCH($B242,About!$A$79:$A$82,0),1)</f>
        <v>2788</v>
      </c>
      <c r="H242" s="27">
        <f>SUMIFS(INDEX(Load,,MATCH('Summarized Source Data'!$C242,Hour,0)),Month,'Summarized Source Data'!$A242,Sector,'Summarized Source Data'!H$2,Subsector,'Summarized Source Data'!H$3,TimeOfWeek,$E242)*INDEX(About!D$79:D$82,MATCH($B242,About!$A$79:$A$82,0),1)</f>
        <v>0</v>
      </c>
      <c r="I242" s="27">
        <f>SUMIFS(INDEX(Load,,MATCH('Summarized Source Data'!$C242,Hour,0)),Month,'Summarized Source Data'!$A242,Sector,'Summarized Source Data'!I$2,Subsector,'Summarized Source Data'!I$3,TimeOfWeek,$E242)*INDEX(About!E$79:E$82,MATCH($B242,About!$A$79:$A$82,0),1)</f>
        <v>29300000</v>
      </c>
      <c r="J242" s="54">
        <f t="shared" si="16"/>
        <v>113539921</v>
      </c>
      <c r="K242" s="27">
        <f>(SUMIFS(INDEX(Load,,MATCH('Summarized Source Data'!$C242,Hour,0)),Month,'Summarized Source Data'!$A242,Sector,'Summarized Source Data'!K$2,Subsector,"Total",TimeOfWeek,$E242)-SUM(F242:I242))*INDEX(About!G$79:G$82,MATCH($B242,About!$A$79:$A$82,0),1)</f>
        <v>113539921</v>
      </c>
      <c r="L242" s="27">
        <f>SUMIFS(INDEX(Load,,MATCH('Summarized Source Data'!$C242,Hour,0)),Month,'Summarized Source Data'!$A242,Sector,'Summarized Source Data'!L$2,Subsector,'Summarized Source Data'!L$3,TimeOfWeek,$E242)*INDEX(About!H$79:H$82,MATCH($B242,About!$A$79:$A$82,0),1)</f>
        <v>10200000</v>
      </c>
      <c r="M242" s="27">
        <f>SUMIFS(INDEX(Load,,MATCH('Summarized Source Data'!$C242,Hour,0)),Month,'Summarized Source Data'!$A242,Sector,'Summarized Source Data'!M$2,Subsector,'Summarized Source Data'!M$3,TimeOfWeek,$E242)*INDEX(About!I$79:I$82,MATCH($B242,About!$A$79:$A$82,0),1)</f>
        <v>1589203</v>
      </c>
      <c r="N242" s="27">
        <f>SUMIFS(INDEX(Load,,MATCH('Summarized Source Data'!$C242,Hour,0)),Month,'Summarized Source Data'!$A242,Sector,'Summarized Source Data'!N$2,Subsector,'Summarized Source Data'!N$3,TimeOfWeek,$E242)*INDEX(About!J$79:J$82,MATCH($B242,About!$A$79:$A$82,0),1)</f>
        <v>0</v>
      </c>
      <c r="O242" s="29">
        <f t="shared" si="17"/>
        <v>207210797</v>
      </c>
      <c r="P242" s="27">
        <f>(SUMIFS(INDEX(Load,,MATCH('Summarized Source Data'!$C242,Hour,0)),Month,'Summarized Source Data'!$A242,Sector,'Summarized Source Data'!P$2,Subsector,"Total",TimeOfWeek,$E242)-SUM(L242:N242)*INDEX(About!L$79:L$82,MATCH($B242,About!$A$79:$A$82,0),1))</f>
        <v>207210797</v>
      </c>
      <c r="Q242" s="29">
        <f t="shared" si="18"/>
        <v>207210797</v>
      </c>
      <c r="R242" s="33">
        <f>SUMIFS(INDEX(Load,,MATCH('Summarized Source Data'!$C242,Hour,0)),Month,'Summarized Source Data'!$A242,Sector,'Summarized Source Data'!R$2,TimeOfWeek,$E242)*INDEX(About!N$79:N$82,MATCH($B242,About!$A$79:$A$82,0),1)</f>
        <v>10600000</v>
      </c>
      <c r="S242" s="33">
        <f>SUMIFS(INDEX(Load,,MATCH('Summarized Source Data'!$C242,Hour,0)),Month,'Summarized Source Data'!$A242,Sector,'Summarized Source Data'!S$2,TimeOfWeek,$E242)*INDEX(About!O$79:O$82,MATCH($B242,About!$A$79:$A$82,0),1)</f>
        <v>10600000</v>
      </c>
      <c r="T242" s="33">
        <f>SUMIFS(INDEX(Load,,MATCH('Summarized Source Data'!$C242,Hour,0)),Month,'Summarized Source Data'!$A242,Sector,'Summarized Source Data'!T$2,TimeOfWeek,$E242)*INDEX(About!P$79:P$82,MATCH($B242,About!$A$79:$A$82,0),1)</f>
        <v>10600000</v>
      </c>
      <c r="U242" s="33">
        <f>SUMIFS(INDEX(Load,,MATCH('Summarized Source Data'!$C242,Hour,0)),Month,'Summarized Source Data'!$A242,Sector,'Summarized Source Data'!U$2,TimeOfWeek,$E242)*INDEX(About!Q$79:Q$82,MATCH($B242,About!$A$79:$A$82,0),1)</f>
        <v>10600000</v>
      </c>
      <c r="V242" s="33">
        <f>SUMIFS(INDEX(Load,,MATCH('Summarized Source Data'!$C242,Hour,0)),Month,'Summarized Source Data'!$A242,Sector,'Summarized Source Data'!V$2,TimeOfWeek,$E242)*INDEX(About!R$79:R$82,MATCH($B242,About!$A$79:$A$82,0),1)</f>
        <v>10600000</v>
      </c>
      <c r="W242" s="33">
        <f>SUMIFS(INDEX(Load,,MATCH('Summarized Source Data'!$C242,Hour,0)),Month,'Summarized Source Data'!$A242,Sector,'Summarized Source Data'!W$2,TimeOfWeek,$E242)*INDEX(About!S$79:S$82,MATCH($B242,About!$A$79:$A$82,0),1)</f>
        <v>10600000</v>
      </c>
      <c r="X242" s="27">
        <f>SUMIFS(INDEX(Load,,MATCH('Summarized Source Data'!$C242,Hour,0)),Month,'Summarized Source Data'!$A242,Sector,'Summarized Source Data'!X$2,Subsector,'Summarized Source Data'!X$3,TimeOfWeek,$E242)*INDEX(About!T$79:T$82,MATCH($B242,About!$A$79:$A$82,0),1)</f>
        <v>657000000</v>
      </c>
      <c r="Y242" s="29">
        <f t="shared" si="19"/>
        <v>657000000</v>
      </c>
      <c r="Z242" s="29">
        <f t="shared" si="19"/>
        <v>657000000</v>
      </c>
    </row>
    <row r="243" spans="1:26" outlineLevel="1" x14ac:dyDescent="0.3">
      <c r="A243">
        <f t="shared" si="15"/>
        <v>10</v>
      </c>
      <c r="B243" t="str">
        <f>INDEX('Category Mapping'!$G$28:$G$39,MATCH(A243,'Category Mapping'!$A$28:$A$39,0),1)</f>
        <v>Fall</v>
      </c>
      <c r="C243" t="s">
        <v>86</v>
      </c>
      <c r="D243" s="6" t="s">
        <v>161</v>
      </c>
      <c r="E243" t="s">
        <v>49</v>
      </c>
      <c r="F243" s="27">
        <f>SUMIFS(INDEX(Load,,MATCH('Summarized Source Data'!$C243,Hour,0)),Month,'Summarized Source Data'!$A243,Sector,'Summarized Source Data'!F$2,Subsector,'Summarized Source Data'!F$3,TimeOfWeek,$E243)*INDEX(About!B$79:B$82,MATCH($B243,About!$A$79:$A$82,0),1)</f>
        <v>3718567</v>
      </c>
      <c r="G243" s="27">
        <f>SUMIFS(INDEX(Load,,MATCH('Summarized Source Data'!$C243,Hour,0)),Month,'Summarized Source Data'!$A243,Sector,'Summarized Source Data'!G$2,Subsector,'Summarized Source Data'!G$3,TimeOfWeek,$E243)*INDEX(About!C$79:C$82,MATCH($B243,About!$A$79:$A$82,0),1)</f>
        <v>2865</v>
      </c>
      <c r="H243" s="27">
        <f>SUMIFS(INDEX(Load,,MATCH('Summarized Source Data'!$C243,Hour,0)),Month,'Summarized Source Data'!$A243,Sector,'Summarized Source Data'!H$2,Subsector,'Summarized Source Data'!H$3,TimeOfWeek,$E243)*INDEX(About!D$79:D$82,MATCH($B243,About!$A$79:$A$82,0),1)</f>
        <v>0</v>
      </c>
      <c r="I243" s="27">
        <f>SUMIFS(INDEX(Load,,MATCH('Summarized Source Data'!$C243,Hour,0)),Month,'Summarized Source Data'!$A243,Sector,'Summarized Source Data'!I$2,Subsector,'Summarized Source Data'!I$3,TimeOfWeek,$E243)*INDEX(About!E$79:E$82,MATCH($B243,About!$A$79:$A$82,0),1)</f>
        <v>15400000</v>
      </c>
      <c r="J243" s="54">
        <f t="shared" si="16"/>
        <v>90878568</v>
      </c>
      <c r="K243" s="27">
        <f>(SUMIFS(INDEX(Load,,MATCH('Summarized Source Data'!$C243,Hour,0)),Month,'Summarized Source Data'!$A243,Sector,'Summarized Source Data'!K$2,Subsector,"Total",TimeOfWeek,$E243)-SUM(F243:I243))*INDEX(About!G$79:G$82,MATCH($B243,About!$A$79:$A$82,0),1)</f>
        <v>90878568</v>
      </c>
      <c r="L243" s="27">
        <f>SUMIFS(INDEX(Load,,MATCH('Summarized Source Data'!$C243,Hour,0)),Month,'Summarized Source Data'!$A243,Sector,'Summarized Source Data'!L$2,Subsector,'Summarized Source Data'!L$3,TimeOfWeek,$E243)*INDEX(About!H$79:H$82,MATCH($B243,About!$A$79:$A$82,0),1)</f>
        <v>10700000</v>
      </c>
      <c r="M243" s="27">
        <f>SUMIFS(INDEX(Load,,MATCH('Summarized Source Data'!$C243,Hour,0)),Month,'Summarized Source Data'!$A243,Sector,'Summarized Source Data'!M$2,Subsector,'Summarized Source Data'!M$3,TimeOfWeek,$E243)*INDEX(About!I$79:I$82,MATCH($B243,About!$A$79:$A$82,0),1)</f>
        <v>1404467</v>
      </c>
      <c r="N243" s="27">
        <f>SUMIFS(INDEX(Load,,MATCH('Summarized Source Data'!$C243,Hour,0)),Month,'Summarized Source Data'!$A243,Sector,'Summarized Source Data'!N$2,Subsector,'Summarized Source Data'!N$3,TimeOfWeek,$E243)*INDEX(About!J$79:J$82,MATCH($B243,About!$A$79:$A$82,0),1)</f>
        <v>0</v>
      </c>
      <c r="O243" s="29">
        <f t="shared" si="17"/>
        <v>180895533</v>
      </c>
      <c r="P243" s="27">
        <f>(SUMIFS(INDEX(Load,,MATCH('Summarized Source Data'!$C243,Hour,0)),Month,'Summarized Source Data'!$A243,Sector,'Summarized Source Data'!P$2,Subsector,"Total",TimeOfWeek,$E243)-SUM(L243:N243)*INDEX(About!L$79:L$82,MATCH($B243,About!$A$79:$A$82,0),1))</f>
        <v>180895533</v>
      </c>
      <c r="Q243" s="29">
        <f t="shared" si="18"/>
        <v>180895533</v>
      </c>
      <c r="R243" s="33">
        <f>SUMIFS(INDEX(Load,,MATCH('Summarized Source Data'!$C243,Hour,0)),Month,'Summarized Source Data'!$A243,Sector,'Summarized Source Data'!R$2,TimeOfWeek,$E243)*INDEX(About!N$79:N$82,MATCH($B243,About!$A$79:$A$82,0),1)</f>
        <v>7162521</v>
      </c>
      <c r="S243" s="33">
        <f>SUMIFS(INDEX(Load,,MATCH('Summarized Source Data'!$C243,Hour,0)),Month,'Summarized Source Data'!$A243,Sector,'Summarized Source Data'!S$2,TimeOfWeek,$E243)*INDEX(About!O$79:O$82,MATCH($B243,About!$A$79:$A$82,0),1)</f>
        <v>7162521</v>
      </c>
      <c r="T243" s="33">
        <f>SUMIFS(INDEX(Load,,MATCH('Summarized Source Data'!$C243,Hour,0)),Month,'Summarized Source Data'!$A243,Sector,'Summarized Source Data'!T$2,TimeOfWeek,$E243)*INDEX(About!P$79:P$82,MATCH($B243,About!$A$79:$A$82,0),1)</f>
        <v>7162521</v>
      </c>
      <c r="U243" s="33">
        <f>SUMIFS(INDEX(Load,,MATCH('Summarized Source Data'!$C243,Hour,0)),Month,'Summarized Source Data'!$A243,Sector,'Summarized Source Data'!U$2,TimeOfWeek,$E243)*INDEX(About!Q$79:Q$82,MATCH($B243,About!$A$79:$A$82,0),1)</f>
        <v>7162521</v>
      </c>
      <c r="V243" s="33">
        <f>SUMIFS(INDEX(Load,,MATCH('Summarized Source Data'!$C243,Hour,0)),Month,'Summarized Source Data'!$A243,Sector,'Summarized Source Data'!V$2,TimeOfWeek,$E243)*INDEX(About!R$79:R$82,MATCH($B243,About!$A$79:$A$82,0),1)</f>
        <v>7162521</v>
      </c>
      <c r="W243" s="33">
        <f>SUMIFS(INDEX(Load,,MATCH('Summarized Source Data'!$C243,Hour,0)),Month,'Summarized Source Data'!$A243,Sector,'Summarized Source Data'!W$2,TimeOfWeek,$E243)*INDEX(About!S$79:S$82,MATCH($B243,About!$A$79:$A$82,0),1)</f>
        <v>7162521</v>
      </c>
      <c r="X243" s="27">
        <f>SUMIFS(INDEX(Load,,MATCH('Summarized Source Data'!$C243,Hour,0)),Month,'Summarized Source Data'!$A243,Sector,'Summarized Source Data'!X$2,Subsector,'Summarized Source Data'!X$3,TimeOfWeek,$E243)*INDEX(About!T$79:T$82,MATCH($B243,About!$A$79:$A$82,0),1)</f>
        <v>654000000</v>
      </c>
      <c r="Y243" s="29">
        <f t="shared" si="19"/>
        <v>654000000</v>
      </c>
      <c r="Z243" s="29">
        <f t="shared" si="19"/>
        <v>654000000</v>
      </c>
    </row>
    <row r="244" spans="1:26" outlineLevel="1" x14ac:dyDescent="0.3">
      <c r="A244">
        <f t="shared" si="15"/>
        <v>11</v>
      </c>
      <c r="B244" t="str">
        <f>INDEX('Category Mapping'!$G$28:$G$39,MATCH(A244,'Category Mapping'!$A$28:$A$39,0),1)</f>
        <v>Winter</v>
      </c>
      <c r="C244" t="s">
        <v>63</v>
      </c>
      <c r="D244" s="6" t="s">
        <v>138</v>
      </c>
      <c r="E244" t="s">
        <v>49</v>
      </c>
      <c r="F244" s="27">
        <f>SUMIFS(INDEX(Load,,MATCH('Summarized Source Data'!$C244,Hour,0)),Month,'Summarized Source Data'!$A244,Sector,'Summarized Source Data'!F$2,Subsector,'Summarized Source Data'!F$3,TimeOfWeek,$E244)*INDEX(About!B$79:B$82,MATCH($B244,About!$A$79:$A$82,0),1)</f>
        <v>10400000</v>
      </c>
      <c r="G244" s="27">
        <f>SUMIFS(INDEX(Load,,MATCH('Summarized Source Data'!$C244,Hour,0)),Month,'Summarized Source Data'!$A244,Sector,'Summarized Source Data'!G$2,Subsector,'Summarized Source Data'!G$3,TimeOfWeek,$E244)*INDEX(About!C$79:C$82,MATCH($B244,About!$A$79:$A$82,0),1)</f>
        <v>47696</v>
      </c>
      <c r="H244" s="27">
        <f>SUMIFS(INDEX(Load,,MATCH('Summarized Source Data'!$C244,Hour,0)),Month,'Summarized Source Data'!$A244,Sector,'Summarized Source Data'!H$2,Subsector,'Summarized Source Data'!H$3,TimeOfWeek,$E244)*INDEX(About!D$79:D$82,MATCH($B244,About!$A$79:$A$82,0),1)</f>
        <v>0</v>
      </c>
      <c r="I244" s="27">
        <f>SUMIFS(INDEX(Load,,MATCH('Summarized Source Data'!$C244,Hour,0)),Month,'Summarized Source Data'!$A244,Sector,'Summarized Source Data'!I$2,Subsector,'Summarized Source Data'!I$3,TimeOfWeek,$E244)*INDEX(About!E$79:E$82,MATCH($B244,About!$A$79:$A$82,0),1)</f>
        <v>11700000</v>
      </c>
      <c r="J244" s="54">
        <f t="shared" si="16"/>
        <v>73552304</v>
      </c>
      <c r="K244" s="27">
        <f>(SUMIFS(INDEX(Load,,MATCH('Summarized Source Data'!$C244,Hour,0)),Month,'Summarized Source Data'!$A244,Sector,'Summarized Source Data'!K$2,Subsector,"Total",TimeOfWeek,$E244)-SUM(F244:I244))*INDEX(About!G$79:G$82,MATCH($B244,About!$A$79:$A$82,0),1)</f>
        <v>73552304</v>
      </c>
      <c r="L244" s="27">
        <f>SUMIFS(INDEX(Load,,MATCH('Summarized Source Data'!$C244,Hour,0)),Month,'Summarized Source Data'!$A244,Sector,'Summarized Source Data'!L$2,Subsector,'Summarized Source Data'!L$3,TimeOfWeek,$E244)*INDEX(About!H$79:H$82,MATCH($B244,About!$A$79:$A$82,0),1)</f>
        <v>25300000</v>
      </c>
      <c r="M244" s="27">
        <f>SUMIFS(INDEX(Load,,MATCH('Summarized Source Data'!$C244,Hour,0)),Month,'Summarized Source Data'!$A244,Sector,'Summarized Source Data'!M$2,Subsector,'Summarized Source Data'!M$3,TimeOfWeek,$E244)*INDEX(About!I$79:I$82,MATCH($B244,About!$A$79:$A$82,0),1)</f>
        <v>126316</v>
      </c>
      <c r="N244" s="27">
        <f>SUMIFS(INDEX(Load,,MATCH('Summarized Source Data'!$C244,Hour,0)),Month,'Summarized Source Data'!$A244,Sector,'Summarized Source Data'!N$2,Subsector,'Summarized Source Data'!N$3,TimeOfWeek,$E244)*INDEX(About!J$79:J$82,MATCH($B244,About!$A$79:$A$82,0),1)</f>
        <v>0</v>
      </c>
      <c r="O244" s="29">
        <f t="shared" si="17"/>
        <v>153573684</v>
      </c>
      <c r="P244" s="27">
        <f>(SUMIFS(INDEX(Load,,MATCH('Summarized Source Data'!$C244,Hour,0)),Month,'Summarized Source Data'!$A244,Sector,'Summarized Source Data'!P$2,Subsector,"Total",TimeOfWeek,$E244)-SUM(L244:N244)*INDEX(About!L$79:L$82,MATCH($B244,About!$A$79:$A$82,0),1))</f>
        <v>153573684</v>
      </c>
      <c r="Q244" s="29">
        <f t="shared" si="18"/>
        <v>153573684</v>
      </c>
      <c r="R244" s="33">
        <f>SUMIFS(INDEX(Load,,MATCH('Summarized Source Data'!$C244,Hour,0)),Month,'Summarized Source Data'!$A244,Sector,'Summarized Source Data'!R$2,TimeOfWeek,$E244)*INDEX(About!N$79:N$82,MATCH($B244,About!$A$79:$A$82,0),1)</f>
        <v>4905163</v>
      </c>
      <c r="S244" s="33">
        <f>SUMIFS(INDEX(Load,,MATCH('Summarized Source Data'!$C244,Hour,0)),Month,'Summarized Source Data'!$A244,Sector,'Summarized Source Data'!S$2,TimeOfWeek,$E244)*INDEX(About!O$79:O$82,MATCH($B244,About!$A$79:$A$82,0),1)</f>
        <v>4905163</v>
      </c>
      <c r="T244" s="33">
        <f>SUMIFS(INDEX(Load,,MATCH('Summarized Source Data'!$C244,Hour,0)),Month,'Summarized Source Data'!$A244,Sector,'Summarized Source Data'!T$2,TimeOfWeek,$E244)*INDEX(About!P$79:P$82,MATCH($B244,About!$A$79:$A$82,0),1)</f>
        <v>4905163</v>
      </c>
      <c r="U244" s="33">
        <f>SUMIFS(INDEX(Load,,MATCH('Summarized Source Data'!$C244,Hour,0)),Month,'Summarized Source Data'!$A244,Sector,'Summarized Source Data'!U$2,TimeOfWeek,$E244)*INDEX(About!Q$79:Q$82,MATCH($B244,About!$A$79:$A$82,0),1)</f>
        <v>4905163</v>
      </c>
      <c r="V244" s="33">
        <f>SUMIFS(INDEX(Load,,MATCH('Summarized Source Data'!$C244,Hour,0)),Month,'Summarized Source Data'!$A244,Sector,'Summarized Source Data'!V$2,TimeOfWeek,$E244)*INDEX(About!R$79:R$82,MATCH($B244,About!$A$79:$A$82,0),1)</f>
        <v>4905163</v>
      </c>
      <c r="W244" s="33">
        <f>SUMIFS(INDEX(Load,,MATCH('Summarized Source Data'!$C244,Hour,0)),Month,'Summarized Source Data'!$A244,Sector,'Summarized Source Data'!W$2,TimeOfWeek,$E244)*INDEX(About!S$79:S$82,MATCH($B244,About!$A$79:$A$82,0),1)</f>
        <v>4905163</v>
      </c>
      <c r="X244" s="27">
        <f>SUMIFS(INDEX(Load,,MATCH('Summarized Source Data'!$C244,Hour,0)),Month,'Summarized Source Data'!$A244,Sector,'Summarized Source Data'!X$2,Subsector,'Summarized Source Data'!X$3,TimeOfWeek,$E244)*INDEX(About!T$79:T$82,MATCH($B244,About!$A$79:$A$82,0),1)</f>
        <v>661000000</v>
      </c>
      <c r="Y244" s="29">
        <f t="shared" si="19"/>
        <v>661000000</v>
      </c>
      <c r="Z244" s="29">
        <f t="shared" si="19"/>
        <v>661000000</v>
      </c>
    </row>
    <row r="245" spans="1:26" outlineLevel="1" x14ac:dyDescent="0.3">
      <c r="A245">
        <f t="shared" si="15"/>
        <v>11</v>
      </c>
      <c r="B245" t="str">
        <f>INDEX('Category Mapping'!$G$28:$G$39,MATCH(A245,'Category Mapping'!$A$28:$A$39,0),1)</f>
        <v>Winter</v>
      </c>
      <c r="C245" t="s">
        <v>64</v>
      </c>
      <c r="D245" s="6" t="s">
        <v>139</v>
      </c>
      <c r="E245" t="s">
        <v>49</v>
      </c>
      <c r="F245" s="27">
        <f>SUMIFS(INDEX(Load,,MATCH('Summarized Source Data'!$C245,Hour,0)),Month,'Summarized Source Data'!$A245,Sector,'Summarized Source Data'!F$2,Subsector,'Summarized Source Data'!F$3,TimeOfWeek,$E245)*INDEX(About!B$79:B$82,MATCH($B245,About!$A$79:$A$82,0),1)</f>
        <v>10700000</v>
      </c>
      <c r="G245" s="27">
        <f>SUMIFS(INDEX(Load,,MATCH('Summarized Source Data'!$C245,Hour,0)),Month,'Summarized Source Data'!$A245,Sector,'Summarized Source Data'!G$2,Subsector,'Summarized Source Data'!G$3,TimeOfWeek,$E245)*INDEX(About!C$79:C$82,MATCH($B245,About!$A$79:$A$82,0),1)</f>
        <v>47964</v>
      </c>
      <c r="H245" s="27">
        <f>SUMIFS(INDEX(Load,,MATCH('Summarized Source Data'!$C245,Hour,0)),Month,'Summarized Source Data'!$A245,Sector,'Summarized Source Data'!H$2,Subsector,'Summarized Source Data'!H$3,TimeOfWeek,$E245)*INDEX(About!D$79:D$82,MATCH($B245,About!$A$79:$A$82,0),1)</f>
        <v>0</v>
      </c>
      <c r="I245" s="27">
        <f>SUMIFS(INDEX(Load,,MATCH('Summarized Source Data'!$C245,Hour,0)),Month,'Summarized Source Data'!$A245,Sector,'Summarized Source Data'!I$2,Subsector,'Summarized Source Data'!I$3,TimeOfWeek,$E245)*INDEX(About!E$79:E$82,MATCH($B245,About!$A$79:$A$82,0),1)</f>
        <v>10700000</v>
      </c>
      <c r="J245" s="54">
        <f t="shared" si="16"/>
        <v>53352036</v>
      </c>
      <c r="K245" s="27">
        <f>(SUMIFS(INDEX(Load,,MATCH('Summarized Source Data'!$C245,Hour,0)),Month,'Summarized Source Data'!$A245,Sector,'Summarized Source Data'!K$2,Subsector,"Total",TimeOfWeek,$E245)-SUM(F245:I245))*INDEX(About!G$79:G$82,MATCH($B245,About!$A$79:$A$82,0),1)</f>
        <v>53352036</v>
      </c>
      <c r="L245" s="27">
        <f>SUMIFS(INDEX(Load,,MATCH('Summarized Source Data'!$C245,Hour,0)),Month,'Summarized Source Data'!$A245,Sector,'Summarized Source Data'!L$2,Subsector,'Summarized Source Data'!L$3,TimeOfWeek,$E245)*INDEX(About!H$79:H$82,MATCH($B245,About!$A$79:$A$82,0),1)</f>
        <v>23300000</v>
      </c>
      <c r="M245" s="27">
        <f>SUMIFS(INDEX(Load,,MATCH('Summarized Source Data'!$C245,Hour,0)),Month,'Summarized Source Data'!$A245,Sector,'Summarized Source Data'!M$2,Subsector,'Summarized Source Data'!M$3,TimeOfWeek,$E245)*INDEX(About!I$79:I$82,MATCH($B245,About!$A$79:$A$82,0),1)</f>
        <v>119108</v>
      </c>
      <c r="N245" s="27">
        <f>SUMIFS(INDEX(Load,,MATCH('Summarized Source Data'!$C245,Hour,0)),Month,'Summarized Source Data'!$A245,Sector,'Summarized Source Data'!N$2,Subsector,'Summarized Source Data'!N$3,TimeOfWeek,$E245)*INDEX(About!J$79:J$82,MATCH($B245,About!$A$79:$A$82,0),1)</f>
        <v>0</v>
      </c>
      <c r="O245" s="29">
        <f t="shared" si="17"/>
        <v>150580892</v>
      </c>
      <c r="P245" s="27">
        <f>(SUMIFS(INDEX(Load,,MATCH('Summarized Source Data'!$C245,Hour,0)),Month,'Summarized Source Data'!$A245,Sector,'Summarized Source Data'!P$2,Subsector,"Total",TimeOfWeek,$E245)-SUM(L245:N245)*INDEX(About!L$79:L$82,MATCH($B245,About!$A$79:$A$82,0),1))</f>
        <v>150580892</v>
      </c>
      <c r="Q245" s="29">
        <f t="shared" si="18"/>
        <v>150580892</v>
      </c>
      <c r="R245" s="33">
        <f>SUMIFS(INDEX(Load,,MATCH('Summarized Source Data'!$C245,Hour,0)),Month,'Summarized Source Data'!$A245,Sector,'Summarized Source Data'!R$2,TimeOfWeek,$E245)*INDEX(About!N$79:N$82,MATCH($B245,About!$A$79:$A$82,0),1)</f>
        <v>4837343</v>
      </c>
      <c r="S245" s="33">
        <f>SUMIFS(INDEX(Load,,MATCH('Summarized Source Data'!$C245,Hour,0)),Month,'Summarized Source Data'!$A245,Sector,'Summarized Source Data'!S$2,TimeOfWeek,$E245)*INDEX(About!O$79:O$82,MATCH($B245,About!$A$79:$A$82,0),1)</f>
        <v>4837343</v>
      </c>
      <c r="T245" s="33">
        <f>SUMIFS(INDEX(Load,,MATCH('Summarized Source Data'!$C245,Hour,0)),Month,'Summarized Source Data'!$A245,Sector,'Summarized Source Data'!T$2,TimeOfWeek,$E245)*INDEX(About!P$79:P$82,MATCH($B245,About!$A$79:$A$82,0),1)</f>
        <v>4837343</v>
      </c>
      <c r="U245" s="33">
        <f>SUMIFS(INDEX(Load,,MATCH('Summarized Source Data'!$C245,Hour,0)),Month,'Summarized Source Data'!$A245,Sector,'Summarized Source Data'!U$2,TimeOfWeek,$E245)*INDEX(About!Q$79:Q$82,MATCH($B245,About!$A$79:$A$82,0),1)</f>
        <v>4837343</v>
      </c>
      <c r="V245" s="33">
        <f>SUMIFS(INDEX(Load,,MATCH('Summarized Source Data'!$C245,Hour,0)),Month,'Summarized Source Data'!$A245,Sector,'Summarized Source Data'!V$2,TimeOfWeek,$E245)*INDEX(About!R$79:R$82,MATCH($B245,About!$A$79:$A$82,0),1)</f>
        <v>4837343</v>
      </c>
      <c r="W245" s="33">
        <f>SUMIFS(INDEX(Load,,MATCH('Summarized Source Data'!$C245,Hour,0)),Month,'Summarized Source Data'!$A245,Sector,'Summarized Source Data'!W$2,TimeOfWeek,$E245)*INDEX(About!S$79:S$82,MATCH($B245,About!$A$79:$A$82,0),1)</f>
        <v>4837343</v>
      </c>
      <c r="X245" s="27">
        <f>SUMIFS(INDEX(Load,,MATCH('Summarized Source Data'!$C245,Hour,0)),Month,'Summarized Source Data'!$A245,Sector,'Summarized Source Data'!X$2,Subsector,'Summarized Source Data'!X$3,TimeOfWeek,$E245)*INDEX(About!T$79:T$82,MATCH($B245,About!$A$79:$A$82,0),1)</f>
        <v>660000000</v>
      </c>
      <c r="Y245" s="29">
        <f t="shared" si="19"/>
        <v>660000000</v>
      </c>
      <c r="Z245" s="29">
        <f t="shared" si="19"/>
        <v>660000000</v>
      </c>
    </row>
    <row r="246" spans="1:26" outlineLevel="1" x14ac:dyDescent="0.3">
      <c r="A246">
        <f t="shared" si="15"/>
        <v>11</v>
      </c>
      <c r="B246" t="str">
        <f>INDEX('Category Mapping'!$G$28:$G$39,MATCH(A246,'Category Mapping'!$A$28:$A$39,0),1)</f>
        <v>Winter</v>
      </c>
      <c r="C246" t="s">
        <v>65</v>
      </c>
      <c r="D246" s="6" t="s">
        <v>140</v>
      </c>
      <c r="E246" t="s">
        <v>49</v>
      </c>
      <c r="F246" s="27">
        <f>SUMIFS(INDEX(Load,,MATCH('Summarized Source Data'!$C246,Hour,0)),Month,'Summarized Source Data'!$A246,Sector,'Summarized Source Data'!F$2,Subsector,'Summarized Source Data'!F$3,TimeOfWeek,$E246)*INDEX(About!B$79:B$82,MATCH($B246,About!$A$79:$A$82,0),1)</f>
        <v>10800000</v>
      </c>
      <c r="G246" s="27">
        <f>SUMIFS(INDEX(Load,,MATCH('Summarized Source Data'!$C246,Hour,0)),Month,'Summarized Source Data'!$A246,Sector,'Summarized Source Data'!G$2,Subsector,'Summarized Source Data'!G$3,TimeOfWeek,$E246)*INDEX(About!C$79:C$82,MATCH($B246,About!$A$79:$A$82,0),1)</f>
        <v>48148</v>
      </c>
      <c r="H246" s="27">
        <f>SUMIFS(INDEX(Load,,MATCH('Summarized Source Data'!$C246,Hour,0)),Month,'Summarized Source Data'!$A246,Sector,'Summarized Source Data'!H$2,Subsector,'Summarized Source Data'!H$3,TimeOfWeek,$E246)*INDEX(About!D$79:D$82,MATCH($B246,About!$A$79:$A$82,0),1)</f>
        <v>0</v>
      </c>
      <c r="I246" s="27">
        <f>SUMIFS(INDEX(Load,,MATCH('Summarized Source Data'!$C246,Hour,0)),Month,'Summarized Source Data'!$A246,Sector,'Summarized Source Data'!I$2,Subsector,'Summarized Source Data'!I$3,TimeOfWeek,$E246)*INDEX(About!E$79:E$82,MATCH($B246,About!$A$79:$A$82,0),1)</f>
        <v>10600000</v>
      </c>
      <c r="J246" s="54">
        <f t="shared" si="16"/>
        <v>42851852</v>
      </c>
      <c r="K246" s="27">
        <f>(SUMIFS(INDEX(Load,,MATCH('Summarized Source Data'!$C246,Hour,0)),Month,'Summarized Source Data'!$A246,Sector,'Summarized Source Data'!K$2,Subsector,"Total",TimeOfWeek,$E246)-SUM(F246:I246))*INDEX(About!G$79:G$82,MATCH($B246,About!$A$79:$A$82,0),1)</f>
        <v>42851852</v>
      </c>
      <c r="L246" s="27">
        <f>SUMIFS(INDEX(Load,,MATCH('Summarized Source Data'!$C246,Hour,0)),Month,'Summarized Source Data'!$A246,Sector,'Summarized Source Data'!L$2,Subsector,'Summarized Source Data'!L$3,TimeOfWeek,$E246)*INDEX(About!H$79:H$82,MATCH($B246,About!$A$79:$A$82,0),1)</f>
        <v>20700000</v>
      </c>
      <c r="M246" s="27">
        <f>SUMIFS(INDEX(Load,,MATCH('Summarized Source Data'!$C246,Hour,0)),Month,'Summarized Source Data'!$A246,Sector,'Summarized Source Data'!M$2,Subsector,'Summarized Source Data'!M$3,TimeOfWeek,$E246)*INDEX(About!I$79:I$82,MATCH($B246,About!$A$79:$A$82,0),1)</f>
        <v>116100</v>
      </c>
      <c r="N246" s="27">
        <f>SUMIFS(INDEX(Load,,MATCH('Summarized Source Data'!$C246,Hour,0)),Month,'Summarized Source Data'!$A246,Sector,'Summarized Source Data'!N$2,Subsector,'Summarized Source Data'!N$3,TimeOfWeek,$E246)*INDEX(About!J$79:J$82,MATCH($B246,About!$A$79:$A$82,0),1)</f>
        <v>0</v>
      </c>
      <c r="O246" s="29">
        <f t="shared" si="17"/>
        <v>150183900</v>
      </c>
      <c r="P246" s="27">
        <f>(SUMIFS(INDEX(Load,,MATCH('Summarized Source Data'!$C246,Hour,0)),Month,'Summarized Source Data'!$A246,Sector,'Summarized Source Data'!P$2,Subsector,"Total",TimeOfWeek,$E246)-SUM(L246:N246)*INDEX(About!L$79:L$82,MATCH($B246,About!$A$79:$A$82,0),1))</f>
        <v>150183900</v>
      </c>
      <c r="Q246" s="29">
        <f t="shared" si="18"/>
        <v>150183900</v>
      </c>
      <c r="R246" s="33">
        <f>SUMIFS(INDEX(Load,,MATCH('Summarized Source Data'!$C246,Hour,0)),Month,'Summarized Source Data'!$A246,Sector,'Summarized Source Data'!R$2,TimeOfWeek,$E246)*INDEX(About!N$79:N$82,MATCH($B246,About!$A$79:$A$82,0),1)</f>
        <v>4819925</v>
      </c>
      <c r="S246" s="33">
        <f>SUMIFS(INDEX(Load,,MATCH('Summarized Source Data'!$C246,Hour,0)),Month,'Summarized Source Data'!$A246,Sector,'Summarized Source Data'!S$2,TimeOfWeek,$E246)*INDEX(About!O$79:O$82,MATCH($B246,About!$A$79:$A$82,0),1)</f>
        <v>4819925</v>
      </c>
      <c r="T246" s="33">
        <f>SUMIFS(INDEX(Load,,MATCH('Summarized Source Data'!$C246,Hour,0)),Month,'Summarized Source Data'!$A246,Sector,'Summarized Source Data'!T$2,TimeOfWeek,$E246)*INDEX(About!P$79:P$82,MATCH($B246,About!$A$79:$A$82,0),1)</f>
        <v>4819925</v>
      </c>
      <c r="U246" s="33">
        <f>SUMIFS(INDEX(Load,,MATCH('Summarized Source Data'!$C246,Hour,0)),Month,'Summarized Source Data'!$A246,Sector,'Summarized Source Data'!U$2,TimeOfWeek,$E246)*INDEX(About!Q$79:Q$82,MATCH($B246,About!$A$79:$A$82,0),1)</f>
        <v>4819925</v>
      </c>
      <c r="V246" s="33">
        <f>SUMIFS(INDEX(Load,,MATCH('Summarized Source Data'!$C246,Hour,0)),Month,'Summarized Source Data'!$A246,Sector,'Summarized Source Data'!V$2,TimeOfWeek,$E246)*INDEX(About!R$79:R$82,MATCH($B246,About!$A$79:$A$82,0),1)</f>
        <v>4819925</v>
      </c>
      <c r="W246" s="33">
        <f>SUMIFS(INDEX(Load,,MATCH('Summarized Source Data'!$C246,Hour,0)),Month,'Summarized Source Data'!$A246,Sector,'Summarized Source Data'!W$2,TimeOfWeek,$E246)*INDEX(About!S$79:S$82,MATCH($B246,About!$A$79:$A$82,0),1)</f>
        <v>4819925</v>
      </c>
      <c r="X246" s="27">
        <f>SUMIFS(INDEX(Load,,MATCH('Summarized Source Data'!$C246,Hour,0)),Month,'Summarized Source Data'!$A246,Sector,'Summarized Source Data'!X$2,Subsector,'Summarized Source Data'!X$3,TimeOfWeek,$E246)*INDEX(About!T$79:T$82,MATCH($B246,About!$A$79:$A$82,0),1)</f>
        <v>660000000</v>
      </c>
      <c r="Y246" s="29">
        <f t="shared" si="19"/>
        <v>660000000</v>
      </c>
      <c r="Z246" s="29">
        <f t="shared" si="19"/>
        <v>660000000</v>
      </c>
    </row>
    <row r="247" spans="1:26" outlineLevel="1" x14ac:dyDescent="0.3">
      <c r="A247">
        <f t="shared" si="15"/>
        <v>11</v>
      </c>
      <c r="B247" t="str">
        <f>INDEX('Category Mapping'!$G$28:$G$39,MATCH(A247,'Category Mapping'!$A$28:$A$39,0),1)</f>
        <v>Winter</v>
      </c>
      <c r="C247" t="s">
        <v>66</v>
      </c>
      <c r="D247" s="6" t="s">
        <v>141</v>
      </c>
      <c r="E247" t="s">
        <v>49</v>
      </c>
      <c r="F247" s="27">
        <f>SUMIFS(INDEX(Load,,MATCH('Summarized Source Data'!$C247,Hour,0)),Month,'Summarized Source Data'!$A247,Sector,'Summarized Source Data'!F$2,Subsector,'Summarized Source Data'!F$3,TimeOfWeek,$E247)*INDEX(About!B$79:B$82,MATCH($B247,About!$A$79:$A$82,0),1)</f>
        <v>10700000</v>
      </c>
      <c r="G247" s="27">
        <f>SUMIFS(INDEX(Load,,MATCH('Summarized Source Data'!$C247,Hour,0)),Month,'Summarized Source Data'!$A247,Sector,'Summarized Source Data'!G$2,Subsector,'Summarized Source Data'!G$3,TimeOfWeek,$E247)*INDEX(About!C$79:C$82,MATCH($B247,About!$A$79:$A$82,0),1)</f>
        <v>48174</v>
      </c>
      <c r="H247" s="27">
        <f>SUMIFS(INDEX(Load,,MATCH('Summarized Source Data'!$C247,Hour,0)),Month,'Summarized Source Data'!$A247,Sector,'Summarized Source Data'!H$2,Subsector,'Summarized Source Data'!H$3,TimeOfWeek,$E247)*INDEX(About!D$79:D$82,MATCH($B247,About!$A$79:$A$82,0),1)</f>
        <v>0</v>
      </c>
      <c r="I247" s="27">
        <f>SUMIFS(INDEX(Load,,MATCH('Summarized Source Data'!$C247,Hour,0)),Month,'Summarized Source Data'!$A247,Sector,'Summarized Source Data'!I$2,Subsector,'Summarized Source Data'!I$3,TimeOfWeek,$E247)*INDEX(About!E$79:E$82,MATCH($B247,About!$A$79:$A$82,0),1)</f>
        <v>10900000</v>
      </c>
      <c r="J247" s="54">
        <f t="shared" si="16"/>
        <v>37051826</v>
      </c>
      <c r="K247" s="27">
        <f>(SUMIFS(INDEX(Load,,MATCH('Summarized Source Data'!$C247,Hour,0)),Month,'Summarized Source Data'!$A247,Sector,'Summarized Source Data'!K$2,Subsector,"Total",TimeOfWeek,$E247)-SUM(F247:I247))*INDEX(About!G$79:G$82,MATCH($B247,About!$A$79:$A$82,0),1)</f>
        <v>37051826</v>
      </c>
      <c r="L247" s="27">
        <f>SUMIFS(INDEX(Load,,MATCH('Summarized Source Data'!$C247,Hour,0)),Month,'Summarized Source Data'!$A247,Sector,'Summarized Source Data'!L$2,Subsector,'Summarized Source Data'!L$3,TimeOfWeek,$E247)*INDEX(About!H$79:H$82,MATCH($B247,About!$A$79:$A$82,0),1)</f>
        <v>21100000</v>
      </c>
      <c r="M247" s="27">
        <f>SUMIFS(INDEX(Load,,MATCH('Summarized Source Data'!$C247,Hour,0)),Month,'Summarized Source Data'!$A247,Sector,'Summarized Source Data'!M$2,Subsector,'Summarized Source Data'!M$3,TimeOfWeek,$E247)*INDEX(About!I$79:I$82,MATCH($B247,About!$A$79:$A$82,0),1)</f>
        <v>114404</v>
      </c>
      <c r="N247" s="27">
        <f>SUMIFS(INDEX(Load,,MATCH('Summarized Source Data'!$C247,Hour,0)),Month,'Summarized Source Data'!$A247,Sector,'Summarized Source Data'!N$2,Subsector,'Summarized Source Data'!N$3,TimeOfWeek,$E247)*INDEX(About!J$79:J$82,MATCH($B247,About!$A$79:$A$82,0),1)</f>
        <v>0</v>
      </c>
      <c r="O247" s="29">
        <f t="shared" si="17"/>
        <v>156785596</v>
      </c>
      <c r="P247" s="27">
        <f>(SUMIFS(INDEX(Load,,MATCH('Summarized Source Data'!$C247,Hour,0)),Month,'Summarized Source Data'!$A247,Sector,'Summarized Source Data'!P$2,Subsector,"Total",TimeOfWeek,$E247)-SUM(L247:N247)*INDEX(About!L$79:L$82,MATCH($B247,About!$A$79:$A$82,0),1))</f>
        <v>156785596</v>
      </c>
      <c r="Q247" s="29">
        <f t="shared" si="18"/>
        <v>156785596</v>
      </c>
      <c r="R247" s="33">
        <f>SUMIFS(INDEX(Load,,MATCH('Summarized Source Data'!$C247,Hour,0)),Month,'Summarized Source Data'!$A247,Sector,'Summarized Source Data'!R$2,TimeOfWeek,$E247)*INDEX(About!N$79:N$82,MATCH($B247,About!$A$79:$A$82,0),1)</f>
        <v>4835961</v>
      </c>
      <c r="S247" s="33">
        <f>SUMIFS(INDEX(Load,,MATCH('Summarized Source Data'!$C247,Hour,0)),Month,'Summarized Source Data'!$A247,Sector,'Summarized Source Data'!S$2,TimeOfWeek,$E247)*INDEX(About!O$79:O$82,MATCH($B247,About!$A$79:$A$82,0),1)</f>
        <v>4835961</v>
      </c>
      <c r="T247" s="33">
        <f>SUMIFS(INDEX(Load,,MATCH('Summarized Source Data'!$C247,Hour,0)),Month,'Summarized Source Data'!$A247,Sector,'Summarized Source Data'!T$2,TimeOfWeek,$E247)*INDEX(About!P$79:P$82,MATCH($B247,About!$A$79:$A$82,0),1)</f>
        <v>4835961</v>
      </c>
      <c r="U247" s="33">
        <f>SUMIFS(INDEX(Load,,MATCH('Summarized Source Data'!$C247,Hour,0)),Month,'Summarized Source Data'!$A247,Sector,'Summarized Source Data'!U$2,TimeOfWeek,$E247)*INDEX(About!Q$79:Q$82,MATCH($B247,About!$A$79:$A$82,0),1)</f>
        <v>4835961</v>
      </c>
      <c r="V247" s="33">
        <f>SUMIFS(INDEX(Load,,MATCH('Summarized Source Data'!$C247,Hour,0)),Month,'Summarized Source Data'!$A247,Sector,'Summarized Source Data'!V$2,TimeOfWeek,$E247)*INDEX(About!R$79:R$82,MATCH($B247,About!$A$79:$A$82,0),1)</f>
        <v>4835961</v>
      </c>
      <c r="W247" s="33">
        <f>SUMIFS(INDEX(Load,,MATCH('Summarized Source Data'!$C247,Hour,0)),Month,'Summarized Source Data'!$A247,Sector,'Summarized Source Data'!W$2,TimeOfWeek,$E247)*INDEX(About!S$79:S$82,MATCH($B247,About!$A$79:$A$82,0),1)</f>
        <v>4835961</v>
      </c>
      <c r="X247" s="27">
        <f>SUMIFS(INDEX(Load,,MATCH('Summarized Source Data'!$C247,Hour,0)),Month,'Summarized Source Data'!$A247,Sector,'Summarized Source Data'!X$2,Subsector,'Summarized Source Data'!X$3,TimeOfWeek,$E247)*INDEX(About!T$79:T$82,MATCH($B247,About!$A$79:$A$82,0),1)</f>
        <v>660000000</v>
      </c>
      <c r="Y247" s="29">
        <f t="shared" si="19"/>
        <v>660000000</v>
      </c>
      <c r="Z247" s="29">
        <f t="shared" si="19"/>
        <v>660000000</v>
      </c>
    </row>
    <row r="248" spans="1:26" outlineLevel="1" x14ac:dyDescent="0.3">
      <c r="A248">
        <f t="shared" si="15"/>
        <v>11</v>
      </c>
      <c r="B248" t="str">
        <f>INDEX('Category Mapping'!$G$28:$G$39,MATCH(A248,'Category Mapping'!$A$28:$A$39,0),1)</f>
        <v>Winter</v>
      </c>
      <c r="C248" t="s">
        <v>67</v>
      </c>
      <c r="D248" s="6" t="s">
        <v>142</v>
      </c>
      <c r="E248" t="s">
        <v>49</v>
      </c>
      <c r="F248" s="27">
        <f>SUMIFS(INDEX(Load,,MATCH('Summarized Source Data'!$C248,Hour,0)),Month,'Summarized Source Data'!$A248,Sector,'Summarized Source Data'!F$2,Subsector,'Summarized Source Data'!F$3,TimeOfWeek,$E248)*INDEX(About!B$79:B$82,MATCH($B248,About!$A$79:$A$82,0),1)</f>
        <v>10400000</v>
      </c>
      <c r="G248" s="27">
        <f>SUMIFS(INDEX(Load,,MATCH('Summarized Source Data'!$C248,Hour,0)),Month,'Summarized Source Data'!$A248,Sector,'Summarized Source Data'!G$2,Subsector,'Summarized Source Data'!G$3,TimeOfWeek,$E248)*INDEX(About!C$79:C$82,MATCH($B248,About!$A$79:$A$82,0),1)</f>
        <v>46956</v>
      </c>
      <c r="H248" s="27">
        <f>SUMIFS(INDEX(Load,,MATCH('Summarized Source Data'!$C248,Hour,0)),Month,'Summarized Source Data'!$A248,Sector,'Summarized Source Data'!H$2,Subsector,'Summarized Source Data'!H$3,TimeOfWeek,$E248)*INDEX(About!D$79:D$82,MATCH($B248,About!$A$79:$A$82,0),1)</f>
        <v>0</v>
      </c>
      <c r="I248" s="27">
        <f>SUMIFS(INDEX(Load,,MATCH('Summarized Source Data'!$C248,Hour,0)),Month,'Summarized Source Data'!$A248,Sector,'Summarized Source Data'!I$2,Subsector,'Summarized Source Data'!I$3,TimeOfWeek,$E248)*INDEX(About!E$79:E$82,MATCH($B248,About!$A$79:$A$82,0),1)</f>
        <v>14000000</v>
      </c>
      <c r="J248" s="54">
        <f t="shared" si="16"/>
        <v>39153044</v>
      </c>
      <c r="K248" s="27">
        <f>(SUMIFS(INDEX(Load,,MATCH('Summarized Source Data'!$C248,Hour,0)),Month,'Summarized Source Data'!$A248,Sector,'Summarized Source Data'!K$2,Subsector,"Total",TimeOfWeek,$E248)-SUM(F248:I248))*INDEX(About!G$79:G$82,MATCH($B248,About!$A$79:$A$82,0),1)</f>
        <v>39153044</v>
      </c>
      <c r="L248" s="27">
        <f>SUMIFS(INDEX(Load,,MATCH('Summarized Source Data'!$C248,Hour,0)),Month,'Summarized Source Data'!$A248,Sector,'Summarized Source Data'!L$2,Subsector,'Summarized Source Data'!L$3,TimeOfWeek,$E248)*INDEX(About!H$79:H$82,MATCH($B248,About!$A$79:$A$82,0),1)</f>
        <v>21600000</v>
      </c>
      <c r="M248" s="27">
        <f>SUMIFS(INDEX(Load,,MATCH('Summarized Source Data'!$C248,Hour,0)),Month,'Summarized Source Data'!$A248,Sector,'Summarized Source Data'!M$2,Subsector,'Summarized Source Data'!M$3,TimeOfWeek,$E248)*INDEX(About!I$79:I$82,MATCH($B248,About!$A$79:$A$82,0),1)</f>
        <v>114038</v>
      </c>
      <c r="N248" s="27">
        <f>SUMIFS(INDEX(Load,,MATCH('Summarized Source Data'!$C248,Hour,0)),Month,'Summarized Source Data'!$A248,Sector,'Summarized Source Data'!N$2,Subsector,'Summarized Source Data'!N$3,TimeOfWeek,$E248)*INDEX(About!J$79:J$82,MATCH($B248,About!$A$79:$A$82,0),1)</f>
        <v>0</v>
      </c>
      <c r="O248" s="29">
        <f t="shared" si="17"/>
        <v>166285962</v>
      </c>
      <c r="P248" s="27">
        <f>(SUMIFS(INDEX(Load,,MATCH('Summarized Source Data'!$C248,Hour,0)),Month,'Summarized Source Data'!$A248,Sector,'Summarized Source Data'!P$2,Subsector,"Total",TimeOfWeek,$E248)-SUM(L248:N248)*INDEX(About!L$79:L$82,MATCH($B248,About!$A$79:$A$82,0),1))</f>
        <v>166285962</v>
      </c>
      <c r="Q248" s="29">
        <f t="shared" si="18"/>
        <v>166285962</v>
      </c>
      <c r="R248" s="33">
        <f>SUMIFS(INDEX(Load,,MATCH('Summarized Source Data'!$C248,Hour,0)),Month,'Summarized Source Data'!$A248,Sector,'Summarized Source Data'!R$2,TimeOfWeek,$E248)*INDEX(About!N$79:N$82,MATCH($B248,About!$A$79:$A$82,0),1)</f>
        <v>4818488</v>
      </c>
      <c r="S248" s="33">
        <f>SUMIFS(INDEX(Load,,MATCH('Summarized Source Data'!$C248,Hour,0)),Month,'Summarized Source Data'!$A248,Sector,'Summarized Source Data'!S$2,TimeOfWeek,$E248)*INDEX(About!O$79:O$82,MATCH($B248,About!$A$79:$A$82,0),1)</f>
        <v>4818488</v>
      </c>
      <c r="T248" s="33">
        <f>SUMIFS(INDEX(Load,,MATCH('Summarized Source Data'!$C248,Hour,0)),Month,'Summarized Source Data'!$A248,Sector,'Summarized Source Data'!T$2,TimeOfWeek,$E248)*INDEX(About!P$79:P$82,MATCH($B248,About!$A$79:$A$82,0),1)</f>
        <v>4818488</v>
      </c>
      <c r="U248" s="33">
        <f>SUMIFS(INDEX(Load,,MATCH('Summarized Source Data'!$C248,Hour,0)),Month,'Summarized Source Data'!$A248,Sector,'Summarized Source Data'!U$2,TimeOfWeek,$E248)*INDEX(About!Q$79:Q$82,MATCH($B248,About!$A$79:$A$82,0),1)</f>
        <v>4818488</v>
      </c>
      <c r="V248" s="33">
        <f>SUMIFS(INDEX(Load,,MATCH('Summarized Source Data'!$C248,Hour,0)),Month,'Summarized Source Data'!$A248,Sector,'Summarized Source Data'!V$2,TimeOfWeek,$E248)*INDEX(About!R$79:R$82,MATCH($B248,About!$A$79:$A$82,0),1)</f>
        <v>4818488</v>
      </c>
      <c r="W248" s="33">
        <f>SUMIFS(INDEX(Load,,MATCH('Summarized Source Data'!$C248,Hour,0)),Month,'Summarized Source Data'!$A248,Sector,'Summarized Source Data'!W$2,TimeOfWeek,$E248)*INDEX(About!S$79:S$82,MATCH($B248,About!$A$79:$A$82,0),1)</f>
        <v>4818488</v>
      </c>
      <c r="X248" s="27">
        <f>SUMIFS(INDEX(Load,,MATCH('Summarized Source Data'!$C248,Hour,0)),Month,'Summarized Source Data'!$A248,Sector,'Summarized Source Data'!X$2,Subsector,'Summarized Source Data'!X$3,TimeOfWeek,$E248)*INDEX(About!T$79:T$82,MATCH($B248,About!$A$79:$A$82,0),1)</f>
        <v>662000000</v>
      </c>
      <c r="Y248" s="29">
        <f t="shared" si="19"/>
        <v>662000000</v>
      </c>
      <c r="Z248" s="29">
        <f t="shared" si="19"/>
        <v>662000000</v>
      </c>
    </row>
    <row r="249" spans="1:26" outlineLevel="1" x14ac:dyDescent="0.3">
      <c r="A249">
        <f t="shared" si="15"/>
        <v>11</v>
      </c>
      <c r="B249" t="str">
        <f>INDEX('Category Mapping'!$G$28:$G$39,MATCH(A249,'Category Mapping'!$A$28:$A$39,0),1)</f>
        <v>Winter</v>
      </c>
      <c r="C249" t="s">
        <v>68</v>
      </c>
      <c r="D249" s="6" t="s">
        <v>143</v>
      </c>
      <c r="E249" t="s">
        <v>49</v>
      </c>
      <c r="F249" s="27">
        <f>SUMIFS(INDEX(Load,,MATCH('Summarized Source Data'!$C249,Hour,0)),Month,'Summarized Source Data'!$A249,Sector,'Summarized Source Data'!F$2,Subsector,'Summarized Source Data'!F$3,TimeOfWeek,$E249)*INDEX(About!B$79:B$82,MATCH($B249,About!$A$79:$A$82,0),1)</f>
        <v>13600000</v>
      </c>
      <c r="G249" s="27">
        <f>SUMIFS(INDEX(Load,,MATCH('Summarized Source Data'!$C249,Hour,0)),Month,'Summarized Source Data'!$A249,Sector,'Summarized Source Data'!G$2,Subsector,'Summarized Source Data'!G$3,TimeOfWeek,$E249)*INDEX(About!C$79:C$82,MATCH($B249,About!$A$79:$A$82,0),1)</f>
        <v>43175</v>
      </c>
      <c r="H249" s="27">
        <f>SUMIFS(INDEX(Load,,MATCH('Summarized Source Data'!$C249,Hour,0)),Month,'Summarized Source Data'!$A249,Sector,'Summarized Source Data'!H$2,Subsector,'Summarized Source Data'!H$3,TimeOfWeek,$E249)*INDEX(About!D$79:D$82,MATCH($B249,About!$A$79:$A$82,0),1)</f>
        <v>0</v>
      </c>
      <c r="I249" s="27">
        <f>SUMIFS(INDEX(Load,,MATCH('Summarized Source Data'!$C249,Hour,0)),Month,'Summarized Source Data'!$A249,Sector,'Summarized Source Data'!I$2,Subsector,'Summarized Source Data'!I$3,TimeOfWeek,$E249)*INDEX(About!E$79:E$82,MATCH($B249,About!$A$79:$A$82,0),1)</f>
        <v>24100000</v>
      </c>
      <c r="J249" s="54">
        <f t="shared" si="16"/>
        <v>54156825</v>
      </c>
      <c r="K249" s="27">
        <f>(SUMIFS(INDEX(Load,,MATCH('Summarized Source Data'!$C249,Hour,0)),Month,'Summarized Source Data'!$A249,Sector,'Summarized Source Data'!K$2,Subsector,"Total",TimeOfWeek,$E249)-SUM(F249:I249))*INDEX(About!G$79:G$82,MATCH($B249,About!$A$79:$A$82,0),1)</f>
        <v>54156825</v>
      </c>
      <c r="L249" s="27">
        <f>SUMIFS(INDEX(Load,,MATCH('Summarized Source Data'!$C249,Hour,0)),Month,'Summarized Source Data'!$A249,Sector,'Summarized Source Data'!L$2,Subsector,'Summarized Source Data'!L$3,TimeOfWeek,$E249)*INDEX(About!H$79:H$82,MATCH($B249,About!$A$79:$A$82,0),1)</f>
        <v>22900000</v>
      </c>
      <c r="M249" s="27">
        <f>SUMIFS(INDEX(Load,,MATCH('Summarized Source Data'!$C249,Hour,0)),Month,'Summarized Source Data'!$A249,Sector,'Summarized Source Data'!M$2,Subsector,'Summarized Source Data'!M$3,TimeOfWeek,$E249)*INDEX(About!I$79:I$82,MATCH($B249,About!$A$79:$A$82,0),1)</f>
        <v>117603</v>
      </c>
      <c r="N249" s="27">
        <f>SUMIFS(INDEX(Load,,MATCH('Summarized Source Data'!$C249,Hour,0)),Month,'Summarized Source Data'!$A249,Sector,'Summarized Source Data'!N$2,Subsector,'Summarized Source Data'!N$3,TimeOfWeek,$E249)*INDEX(About!J$79:J$82,MATCH($B249,About!$A$79:$A$82,0),1)</f>
        <v>0</v>
      </c>
      <c r="O249" s="29">
        <f t="shared" si="17"/>
        <v>194982397</v>
      </c>
      <c r="P249" s="27">
        <f>(SUMIFS(INDEX(Load,,MATCH('Summarized Source Data'!$C249,Hour,0)),Month,'Summarized Source Data'!$A249,Sector,'Summarized Source Data'!P$2,Subsector,"Total",TimeOfWeek,$E249)-SUM(L249:N249)*INDEX(About!L$79:L$82,MATCH($B249,About!$A$79:$A$82,0),1))</f>
        <v>194982397</v>
      </c>
      <c r="Q249" s="29">
        <f t="shared" si="18"/>
        <v>194982397</v>
      </c>
      <c r="R249" s="33">
        <f>SUMIFS(INDEX(Load,,MATCH('Summarized Source Data'!$C249,Hour,0)),Month,'Summarized Source Data'!$A249,Sector,'Summarized Source Data'!R$2,TimeOfWeek,$E249)*INDEX(About!N$79:N$82,MATCH($B249,About!$A$79:$A$82,0),1)</f>
        <v>4951695</v>
      </c>
      <c r="S249" s="33">
        <f>SUMIFS(INDEX(Load,,MATCH('Summarized Source Data'!$C249,Hour,0)),Month,'Summarized Source Data'!$A249,Sector,'Summarized Source Data'!S$2,TimeOfWeek,$E249)*INDEX(About!O$79:O$82,MATCH($B249,About!$A$79:$A$82,0),1)</f>
        <v>4951695</v>
      </c>
      <c r="T249" s="33">
        <f>SUMIFS(INDEX(Load,,MATCH('Summarized Source Data'!$C249,Hour,0)),Month,'Summarized Source Data'!$A249,Sector,'Summarized Source Data'!T$2,TimeOfWeek,$E249)*INDEX(About!P$79:P$82,MATCH($B249,About!$A$79:$A$82,0),1)</f>
        <v>4951695</v>
      </c>
      <c r="U249" s="33">
        <f>SUMIFS(INDEX(Load,,MATCH('Summarized Source Data'!$C249,Hour,0)),Month,'Summarized Source Data'!$A249,Sector,'Summarized Source Data'!U$2,TimeOfWeek,$E249)*INDEX(About!Q$79:Q$82,MATCH($B249,About!$A$79:$A$82,0),1)</f>
        <v>4951695</v>
      </c>
      <c r="V249" s="33">
        <f>SUMIFS(INDEX(Load,,MATCH('Summarized Source Data'!$C249,Hour,0)),Month,'Summarized Source Data'!$A249,Sector,'Summarized Source Data'!V$2,TimeOfWeek,$E249)*INDEX(About!R$79:R$82,MATCH($B249,About!$A$79:$A$82,0),1)</f>
        <v>4951695</v>
      </c>
      <c r="W249" s="33">
        <f>SUMIFS(INDEX(Load,,MATCH('Summarized Source Data'!$C249,Hour,0)),Month,'Summarized Source Data'!$A249,Sector,'Summarized Source Data'!W$2,TimeOfWeek,$E249)*INDEX(About!S$79:S$82,MATCH($B249,About!$A$79:$A$82,0),1)</f>
        <v>4951695</v>
      </c>
      <c r="X249" s="27">
        <f>SUMIFS(INDEX(Load,,MATCH('Summarized Source Data'!$C249,Hour,0)),Month,'Summarized Source Data'!$A249,Sector,'Summarized Source Data'!X$2,Subsector,'Summarized Source Data'!X$3,TimeOfWeek,$E249)*INDEX(About!T$79:T$82,MATCH($B249,About!$A$79:$A$82,0),1)</f>
        <v>667000000</v>
      </c>
      <c r="Y249" s="29">
        <f t="shared" si="19"/>
        <v>667000000</v>
      </c>
      <c r="Z249" s="29">
        <f t="shared" si="19"/>
        <v>667000000</v>
      </c>
    </row>
    <row r="250" spans="1:26" outlineLevel="1" x14ac:dyDescent="0.3">
      <c r="A250">
        <f t="shared" si="15"/>
        <v>11</v>
      </c>
      <c r="B250" t="str">
        <f>INDEX('Category Mapping'!$G$28:$G$39,MATCH(A250,'Category Mapping'!$A$28:$A$39,0),1)</f>
        <v>Winter</v>
      </c>
      <c r="C250" t="s">
        <v>69</v>
      </c>
      <c r="D250" s="6" t="s">
        <v>144</v>
      </c>
      <c r="E250" t="s">
        <v>49</v>
      </c>
      <c r="F250" s="27">
        <f>SUMIFS(INDEX(Load,,MATCH('Summarized Source Data'!$C250,Hour,0)),Month,'Summarized Source Data'!$A250,Sector,'Summarized Source Data'!F$2,Subsector,'Summarized Source Data'!F$3,TimeOfWeek,$E250)*INDEX(About!B$79:B$82,MATCH($B250,About!$A$79:$A$82,0),1)</f>
        <v>14500000</v>
      </c>
      <c r="G250" s="27">
        <f>SUMIFS(INDEX(Load,,MATCH('Summarized Source Data'!$C250,Hour,0)),Month,'Summarized Source Data'!$A250,Sector,'Summarized Source Data'!G$2,Subsector,'Summarized Source Data'!G$3,TimeOfWeek,$E250)*INDEX(About!C$79:C$82,MATCH($B250,About!$A$79:$A$82,0),1)</f>
        <v>35271</v>
      </c>
      <c r="H250" s="27">
        <f>SUMIFS(INDEX(Load,,MATCH('Summarized Source Data'!$C250,Hour,0)),Month,'Summarized Source Data'!$A250,Sector,'Summarized Source Data'!H$2,Subsector,'Summarized Source Data'!H$3,TimeOfWeek,$E250)*INDEX(About!D$79:D$82,MATCH($B250,About!$A$79:$A$82,0),1)</f>
        <v>0</v>
      </c>
      <c r="I250" s="27">
        <f>SUMIFS(INDEX(Load,,MATCH('Summarized Source Data'!$C250,Hour,0)),Month,'Summarized Source Data'!$A250,Sector,'Summarized Source Data'!I$2,Subsector,'Summarized Source Data'!I$3,TimeOfWeek,$E250)*INDEX(About!E$79:E$82,MATCH($B250,About!$A$79:$A$82,0),1)</f>
        <v>35100000</v>
      </c>
      <c r="J250" s="54">
        <f t="shared" si="16"/>
        <v>86364729</v>
      </c>
      <c r="K250" s="27">
        <f>(SUMIFS(INDEX(Load,,MATCH('Summarized Source Data'!$C250,Hour,0)),Month,'Summarized Source Data'!$A250,Sector,'Summarized Source Data'!K$2,Subsector,"Total",TimeOfWeek,$E250)-SUM(F250:I250))*INDEX(About!G$79:G$82,MATCH($B250,About!$A$79:$A$82,0),1)</f>
        <v>86364729</v>
      </c>
      <c r="L250" s="27">
        <f>SUMIFS(INDEX(Load,,MATCH('Summarized Source Data'!$C250,Hour,0)),Month,'Summarized Source Data'!$A250,Sector,'Summarized Source Data'!L$2,Subsector,'Summarized Source Data'!L$3,TimeOfWeek,$E250)*INDEX(About!H$79:H$82,MATCH($B250,About!$A$79:$A$82,0),1)</f>
        <v>23800000</v>
      </c>
      <c r="M250" s="27">
        <f>SUMIFS(INDEX(Load,,MATCH('Summarized Source Data'!$C250,Hour,0)),Month,'Summarized Source Data'!$A250,Sector,'Summarized Source Data'!M$2,Subsector,'Summarized Source Data'!M$3,TimeOfWeek,$E250)*INDEX(About!I$79:I$82,MATCH($B250,About!$A$79:$A$82,0),1)</f>
        <v>130353</v>
      </c>
      <c r="N250" s="27">
        <f>SUMIFS(INDEX(Load,,MATCH('Summarized Source Data'!$C250,Hour,0)),Month,'Summarized Source Data'!$A250,Sector,'Summarized Source Data'!N$2,Subsector,'Summarized Source Data'!N$3,TimeOfWeek,$E250)*INDEX(About!J$79:J$82,MATCH($B250,About!$A$79:$A$82,0),1)</f>
        <v>0</v>
      </c>
      <c r="O250" s="29">
        <f t="shared" si="17"/>
        <v>293069647</v>
      </c>
      <c r="P250" s="27">
        <f>(SUMIFS(INDEX(Load,,MATCH('Summarized Source Data'!$C250,Hour,0)),Month,'Summarized Source Data'!$A250,Sector,'Summarized Source Data'!P$2,Subsector,"Total",TimeOfWeek,$E250)-SUM(L250:N250)*INDEX(About!L$79:L$82,MATCH($B250,About!$A$79:$A$82,0),1))</f>
        <v>293069647</v>
      </c>
      <c r="Q250" s="29">
        <f t="shared" si="18"/>
        <v>293069647</v>
      </c>
      <c r="R250" s="33">
        <f>SUMIFS(INDEX(Load,,MATCH('Summarized Source Data'!$C250,Hour,0)),Month,'Summarized Source Data'!$A250,Sector,'Summarized Source Data'!R$2,TimeOfWeek,$E250)*INDEX(About!N$79:N$82,MATCH($B250,About!$A$79:$A$82,0),1)</f>
        <v>7426895</v>
      </c>
      <c r="S250" s="33">
        <f>SUMIFS(INDEX(Load,,MATCH('Summarized Source Data'!$C250,Hour,0)),Month,'Summarized Source Data'!$A250,Sector,'Summarized Source Data'!S$2,TimeOfWeek,$E250)*INDEX(About!O$79:O$82,MATCH($B250,About!$A$79:$A$82,0),1)</f>
        <v>7426895</v>
      </c>
      <c r="T250" s="33">
        <f>SUMIFS(INDEX(Load,,MATCH('Summarized Source Data'!$C250,Hour,0)),Month,'Summarized Source Data'!$A250,Sector,'Summarized Source Data'!T$2,TimeOfWeek,$E250)*INDEX(About!P$79:P$82,MATCH($B250,About!$A$79:$A$82,0),1)</f>
        <v>7426895</v>
      </c>
      <c r="U250" s="33">
        <f>SUMIFS(INDEX(Load,,MATCH('Summarized Source Data'!$C250,Hour,0)),Month,'Summarized Source Data'!$A250,Sector,'Summarized Source Data'!U$2,TimeOfWeek,$E250)*INDEX(About!Q$79:Q$82,MATCH($B250,About!$A$79:$A$82,0),1)</f>
        <v>7426895</v>
      </c>
      <c r="V250" s="33">
        <f>SUMIFS(INDEX(Load,,MATCH('Summarized Source Data'!$C250,Hour,0)),Month,'Summarized Source Data'!$A250,Sector,'Summarized Source Data'!V$2,TimeOfWeek,$E250)*INDEX(About!R$79:R$82,MATCH($B250,About!$A$79:$A$82,0),1)</f>
        <v>7426895</v>
      </c>
      <c r="W250" s="33">
        <f>SUMIFS(INDEX(Load,,MATCH('Summarized Source Data'!$C250,Hour,0)),Month,'Summarized Source Data'!$A250,Sector,'Summarized Source Data'!W$2,TimeOfWeek,$E250)*INDEX(About!S$79:S$82,MATCH($B250,About!$A$79:$A$82,0),1)</f>
        <v>7426895</v>
      </c>
      <c r="X250" s="27">
        <f>SUMIFS(INDEX(Load,,MATCH('Summarized Source Data'!$C250,Hour,0)),Month,'Summarized Source Data'!$A250,Sector,'Summarized Source Data'!X$2,Subsector,'Summarized Source Data'!X$3,TimeOfWeek,$E250)*INDEX(About!T$79:T$82,MATCH($B250,About!$A$79:$A$82,0),1)</f>
        <v>675000000</v>
      </c>
      <c r="Y250" s="29">
        <f t="shared" si="19"/>
        <v>675000000</v>
      </c>
      <c r="Z250" s="29">
        <f t="shared" si="19"/>
        <v>675000000</v>
      </c>
    </row>
    <row r="251" spans="1:26" outlineLevel="1" x14ac:dyDescent="0.3">
      <c r="A251">
        <f t="shared" si="15"/>
        <v>11</v>
      </c>
      <c r="B251" t="str">
        <f>INDEX('Category Mapping'!$G$28:$G$39,MATCH(A251,'Category Mapping'!$A$28:$A$39,0),1)</f>
        <v>Winter</v>
      </c>
      <c r="C251" t="s">
        <v>70</v>
      </c>
      <c r="D251" s="6" t="s">
        <v>145</v>
      </c>
      <c r="E251" t="s">
        <v>49</v>
      </c>
      <c r="F251" s="27">
        <f>SUMIFS(INDEX(Load,,MATCH('Summarized Source Data'!$C251,Hour,0)),Month,'Summarized Source Data'!$A251,Sector,'Summarized Source Data'!F$2,Subsector,'Summarized Source Data'!F$3,TimeOfWeek,$E251)*INDEX(About!B$79:B$82,MATCH($B251,About!$A$79:$A$82,0),1)</f>
        <v>14000000</v>
      </c>
      <c r="G251" s="27">
        <f>SUMIFS(INDEX(Load,,MATCH('Summarized Source Data'!$C251,Hour,0)),Month,'Summarized Source Data'!$A251,Sector,'Summarized Source Data'!G$2,Subsector,'Summarized Source Data'!G$3,TimeOfWeek,$E251)*INDEX(About!C$79:C$82,MATCH($B251,About!$A$79:$A$82,0),1)</f>
        <v>26469</v>
      </c>
      <c r="H251" s="27">
        <f>SUMIFS(INDEX(Load,,MATCH('Summarized Source Data'!$C251,Hour,0)),Month,'Summarized Source Data'!$A251,Sector,'Summarized Source Data'!H$2,Subsector,'Summarized Source Data'!H$3,TimeOfWeek,$E251)*INDEX(About!D$79:D$82,MATCH($B251,About!$A$79:$A$82,0),1)</f>
        <v>0</v>
      </c>
      <c r="I251" s="27">
        <f>SUMIFS(INDEX(Load,,MATCH('Summarized Source Data'!$C251,Hour,0)),Month,'Summarized Source Data'!$A251,Sector,'Summarized Source Data'!I$2,Subsector,'Summarized Source Data'!I$3,TimeOfWeek,$E251)*INDEX(About!E$79:E$82,MATCH($B251,About!$A$79:$A$82,0),1)</f>
        <v>22000000</v>
      </c>
      <c r="J251" s="54">
        <f t="shared" si="16"/>
        <v>108973531</v>
      </c>
      <c r="K251" s="27">
        <f>(SUMIFS(INDEX(Load,,MATCH('Summarized Source Data'!$C251,Hour,0)),Month,'Summarized Source Data'!$A251,Sector,'Summarized Source Data'!K$2,Subsector,"Total",TimeOfWeek,$E251)-SUM(F251:I251))*INDEX(About!G$79:G$82,MATCH($B251,About!$A$79:$A$82,0),1)</f>
        <v>108973531</v>
      </c>
      <c r="L251" s="27">
        <f>SUMIFS(INDEX(Load,,MATCH('Summarized Source Data'!$C251,Hour,0)),Month,'Summarized Source Data'!$A251,Sector,'Summarized Source Data'!L$2,Subsector,'Summarized Source Data'!L$3,TimeOfWeek,$E251)*INDEX(About!H$79:H$82,MATCH($B251,About!$A$79:$A$82,0),1)</f>
        <v>75800000</v>
      </c>
      <c r="M251" s="27">
        <f>SUMIFS(INDEX(Load,,MATCH('Summarized Source Data'!$C251,Hour,0)),Month,'Summarized Source Data'!$A251,Sector,'Summarized Source Data'!M$2,Subsector,'Summarized Source Data'!M$3,TimeOfWeek,$E251)*INDEX(About!I$79:I$82,MATCH($B251,About!$A$79:$A$82,0),1)</f>
        <v>155505</v>
      </c>
      <c r="N251" s="27">
        <f>SUMIFS(INDEX(Load,,MATCH('Summarized Source Data'!$C251,Hour,0)),Month,'Summarized Source Data'!$A251,Sector,'Summarized Source Data'!N$2,Subsector,'Summarized Source Data'!N$3,TimeOfWeek,$E251)*INDEX(About!J$79:J$82,MATCH($B251,About!$A$79:$A$82,0),1)</f>
        <v>0</v>
      </c>
      <c r="O251" s="29">
        <f t="shared" si="17"/>
        <v>403044495</v>
      </c>
      <c r="P251" s="27">
        <f>(SUMIFS(INDEX(Load,,MATCH('Summarized Source Data'!$C251,Hour,0)),Month,'Summarized Source Data'!$A251,Sector,'Summarized Source Data'!P$2,Subsector,"Total",TimeOfWeek,$E251)-SUM(L251:N251)*INDEX(About!L$79:L$82,MATCH($B251,About!$A$79:$A$82,0),1))</f>
        <v>403044495</v>
      </c>
      <c r="Q251" s="29">
        <f t="shared" si="18"/>
        <v>403044495</v>
      </c>
      <c r="R251" s="33">
        <f>SUMIFS(INDEX(Load,,MATCH('Summarized Source Data'!$C251,Hour,0)),Month,'Summarized Source Data'!$A251,Sector,'Summarized Source Data'!R$2,TimeOfWeek,$E251)*INDEX(About!N$79:N$82,MATCH($B251,About!$A$79:$A$82,0),1)</f>
        <v>15600000</v>
      </c>
      <c r="S251" s="33">
        <f>SUMIFS(INDEX(Load,,MATCH('Summarized Source Data'!$C251,Hour,0)),Month,'Summarized Source Data'!$A251,Sector,'Summarized Source Data'!S$2,TimeOfWeek,$E251)*INDEX(About!O$79:O$82,MATCH($B251,About!$A$79:$A$82,0),1)</f>
        <v>15600000</v>
      </c>
      <c r="T251" s="33">
        <f>SUMIFS(INDEX(Load,,MATCH('Summarized Source Data'!$C251,Hour,0)),Month,'Summarized Source Data'!$A251,Sector,'Summarized Source Data'!T$2,TimeOfWeek,$E251)*INDEX(About!P$79:P$82,MATCH($B251,About!$A$79:$A$82,0),1)</f>
        <v>15600000</v>
      </c>
      <c r="U251" s="33">
        <f>SUMIFS(INDEX(Load,,MATCH('Summarized Source Data'!$C251,Hour,0)),Month,'Summarized Source Data'!$A251,Sector,'Summarized Source Data'!U$2,TimeOfWeek,$E251)*INDEX(About!Q$79:Q$82,MATCH($B251,About!$A$79:$A$82,0),1)</f>
        <v>15600000</v>
      </c>
      <c r="V251" s="33">
        <f>SUMIFS(INDEX(Load,,MATCH('Summarized Source Data'!$C251,Hour,0)),Month,'Summarized Source Data'!$A251,Sector,'Summarized Source Data'!V$2,TimeOfWeek,$E251)*INDEX(About!R$79:R$82,MATCH($B251,About!$A$79:$A$82,0),1)</f>
        <v>15600000</v>
      </c>
      <c r="W251" s="33">
        <f>SUMIFS(INDEX(Load,,MATCH('Summarized Source Data'!$C251,Hour,0)),Month,'Summarized Source Data'!$A251,Sector,'Summarized Source Data'!W$2,TimeOfWeek,$E251)*INDEX(About!S$79:S$82,MATCH($B251,About!$A$79:$A$82,0),1)</f>
        <v>15600000</v>
      </c>
      <c r="X251" s="27">
        <f>SUMIFS(INDEX(Load,,MATCH('Summarized Source Data'!$C251,Hour,0)),Month,'Summarized Source Data'!$A251,Sector,'Summarized Source Data'!X$2,Subsector,'Summarized Source Data'!X$3,TimeOfWeek,$E251)*INDEX(About!T$79:T$82,MATCH($B251,About!$A$79:$A$82,0),1)</f>
        <v>681000000</v>
      </c>
      <c r="Y251" s="29">
        <f t="shared" si="19"/>
        <v>681000000</v>
      </c>
      <c r="Z251" s="29">
        <f t="shared" si="19"/>
        <v>681000000</v>
      </c>
    </row>
    <row r="252" spans="1:26" outlineLevel="1" x14ac:dyDescent="0.3">
      <c r="A252">
        <f t="shared" si="15"/>
        <v>11</v>
      </c>
      <c r="B252" t="str">
        <f>INDEX('Category Mapping'!$G$28:$G$39,MATCH(A252,'Category Mapping'!$A$28:$A$39,0),1)</f>
        <v>Winter</v>
      </c>
      <c r="C252" t="s">
        <v>71</v>
      </c>
      <c r="D252" s="6" t="s">
        <v>146</v>
      </c>
      <c r="E252" t="s">
        <v>49</v>
      </c>
      <c r="F252" s="27">
        <f>SUMIFS(INDEX(Load,,MATCH('Summarized Source Data'!$C252,Hour,0)),Month,'Summarized Source Data'!$A252,Sector,'Summarized Source Data'!F$2,Subsector,'Summarized Source Data'!F$3,TimeOfWeek,$E252)*INDEX(About!B$79:B$82,MATCH($B252,About!$A$79:$A$82,0),1)</f>
        <v>13200000</v>
      </c>
      <c r="G252" s="27">
        <f>SUMIFS(INDEX(Load,,MATCH('Summarized Source Data'!$C252,Hour,0)),Month,'Summarized Source Data'!$A252,Sector,'Summarized Source Data'!G$2,Subsector,'Summarized Source Data'!G$3,TimeOfWeek,$E252)*INDEX(About!C$79:C$82,MATCH($B252,About!$A$79:$A$82,0),1)</f>
        <v>21391</v>
      </c>
      <c r="H252" s="27">
        <f>SUMIFS(INDEX(Load,,MATCH('Summarized Source Data'!$C252,Hour,0)),Month,'Summarized Source Data'!$A252,Sector,'Summarized Source Data'!H$2,Subsector,'Summarized Source Data'!H$3,TimeOfWeek,$E252)*INDEX(About!D$79:D$82,MATCH($B252,About!$A$79:$A$82,0),1)</f>
        <v>0</v>
      </c>
      <c r="I252" s="27">
        <f>SUMIFS(INDEX(Load,,MATCH('Summarized Source Data'!$C252,Hour,0)),Month,'Summarized Source Data'!$A252,Sector,'Summarized Source Data'!I$2,Subsector,'Summarized Source Data'!I$3,TimeOfWeek,$E252)*INDEX(About!E$79:E$82,MATCH($B252,About!$A$79:$A$82,0),1)</f>
        <v>10700000</v>
      </c>
      <c r="J252" s="54">
        <f t="shared" si="16"/>
        <v>111078609</v>
      </c>
      <c r="K252" s="27">
        <f>(SUMIFS(INDEX(Load,,MATCH('Summarized Source Data'!$C252,Hour,0)),Month,'Summarized Source Data'!$A252,Sector,'Summarized Source Data'!K$2,Subsector,"Total",TimeOfWeek,$E252)-SUM(F252:I252))*INDEX(About!G$79:G$82,MATCH($B252,About!$A$79:$A$82,0),1)</f>
        <v>111078609</v>
      </c>
      <c r="L252" s="27">
        <f>SUMIFS(INDEX(Load,,MATCH('Summarized Source Data'!$C252,Hour,0)),Month,'Summarized Source Data'!$A252,Sector,'Summarized Source Data'!L$2,Subsector,'Summarized Source Data'!L$3,TimeOfWeek,$E252)*INDEX(About!H$79:H$82,MATCH($B252,About!$A$79:$A$82,0),1)</f>
        <v>67200000</v>
      </c>
      <c r="M252" s="27">
        <f>SUMIFS(INDEX(Load,,MATCH('Summarized Source Data'!$C252,Hour,0)),Month,'Summarized Source Data'!$A252,Sector,'Summarized Source Data'!M$2,Subsector,'Summarized Source Data'!M$3,TimeOfWeek,$E252)*INDEX(About!I$79:I$82,MATCH($B252,About!$A$79:$A$82,0),1)</f>
        <v>192479</v>
      </c>
      <c r="N252" s="27">
        <f>SUMIFS(INDEX(Load,,MATCH('Summarized Source Data'!$C252,Hour,0)),Month,'Summarized Source Data'!$A252,Sector,'Summarized Source Data'!N$2,Subsector,'Summarized Source Data'!N$3,TimeOfWeek,$E252)*INDEX(About!J$79:J$82,MATCH($B252,About!$A$79:$A$82,0),1)</f>
        <v>0</v>
      </c>
      <c r="O252" s="29">
        <f t="shared" si="17"/>
        <v>499607521</v>
      </c>
      <c r="P252" s="27">
        <f>(SUMIFS(INDEX(Load,,MATCH('Summarized Source Data'!$C252,Hour,0)),Month,'Summarized Source Data'!$A252,Sector,'Summarized Source Data'!P$2,Subsector,"Total",TimeOfWeek,$E252)-SUM(L252:N252)*INDEX(About!L$79:L$82,MATCH($B252,About!$A$79:$A$82,0),1))</f>
        <v>499607521</v>
      </c>
      <c r="Q252" s="29">
        <f t="shared" si="18"/>
        <v>499607521</v>
      </c>
      <c r="R252" s="33">
        <f>SUMIFS(INDEX(Load,,MATCH('Summarized Source Data'!$C252,Hour,0)),Month,'Summarized Source Data'!$A252,Sector,'Summarized Source Data'!R$2,TimeOfWeek,$E252)*INDEX(About!N$79:N$82,MATCH($B252,About!$A$79:$A$82,0),1)</f>
        <v>17000000</v>
      </c>
      <c r="S252" s="33">
        <f>SUMIFS(INDEX(Load,,MATCH('Summarized Source Data'!$C252,Hour,0)),Month,'Summarized Source Data'!$A252,Sector,'Summarized Source Data'!S$2,TimeOfWeek,$E252)*INDEX(About!O$79:O$82,MATCH($B252,About!$A$79:$A$82,0),1)</f>
        <v>17000000</v>
      </c>
      <c r="T252" s="33">
        <f>SUMIFS(INDEX(Load,,MATCH('Summarized Source Data'!$C252,Hour,0)),Month,'Summarized Source Data'!$A252,Sector,'Summarized Source Data'!T$2,TimeOfWeek,$E252)*INDEX(About!P$79:P$82,MATCH($B252,About!$A$79:$A$82,0),1)</f>
        <v>17000000</v>
      </c>
      <c r="U252" s="33">
        <f>SUMIFS(INDEX(Load,,MATCH('Summarized Source Data'!$C252,Hour,0)),Month,'Summarized Source Data'!$A252,Sector,'Summarized Source Data'!U$2,TimeOfWeek,$E252)*INDEX(About!Q$79:Q$82,MATCH($B252,About!$A$79:$A$82,0),1)</f>
        <v>17000000</v>
      </c>
      <c r="V252" s="33">
        <f>SUMIFS(INDEX(Load,,MATCH('Summarized Source Data'!$C252,Hour,0)),Month,'Summarized Source Data'!$A252,Sector,'Summarized Source Data'!V$2,TimeOfWeek,$E252)*INDEX(About!R$79:R$82,MATCH($B252,About!$A$79:$A$82,0),1)</f>
        <v>17000000</v>
      </c>
      <c r="W252" s="33">
        <f>SUMIFS(INDEX(Load,,MATCH('Summarized Source Data'!$C252,Hour,0)),Month,'Summarized Source Data'!$A252,Sector,'Summarized Source Data'!W$2,TimeOfWeek,$E252)*INDEX(About!S$79:S$82,MATCH($B252,About!$A$79:$A$82,0),1)</f>
        <v>17000000</v>
      </c>
      <c r="X252" s="27">
        <f>SUMIFS(INDEX(Load,,MATCH('Summarized Source Data'!$C252,Hour,0)),Month,'Summarized Source Data'!$A252,Sector,'Summarized Source Data'!X$2,Subsector,'Summarized Source Data'!X$3,TimeOfWeek,$E252)*INDEX(About!T$79:T$82,MATCH($B252,About!$A$79:$A$82,0),1)</f>
        <v>683000000</v>
      </c>
      <c r="Y252" s="29">
        <f t="shared" si="19"/>
        <v>683000000</v>
      </c>
      <c r="Z252" s="29">
        <f t="shared" si="19"/>
        <v>683000000</v>
      </c>
    </row>
    <row r="253" spans="1:26" outlineLevel="1" x14ac:dyDescent="0.3">
      <c r="A253">
        <f t="shared" si="15"/>
        <v>11</v>
      </c>
      <c r="B253" t="str">
        <f>INDEX('Category Mapping'!$G$28:$G$39,MATCH(A253,'Category Mapping'!$A$28:$A$39,0),1)</f>
        <v>Winter</v>
      </c>
      <c r="C253" t="s">
        <v>72</v>
      </c>
      <c r="D253" s="6" t="s">
        <v>147</v>
      </c>
      <c r="E253" t="s">
        <v>49</v>
      </c>
      <c r="F253" s="27">
        <f>SUMIFS(INDEX(Load,,MATCH('Summarized Source Data'!$C253,Hour,0)),Month,'Summarized Source Data'!$A253,Sector,'Summarized Source Data'!F$2,Subsector,'Summarized Source Data'!F$3,TimeOfWeek,$E253)*INDEX(About!B$79:B$82,MATCH($B253,About!$A$79:$A$82,0),1)</f>
        <v>8654439</v>
      </c>
      <c r="G253" s="27">
        <f>SUMIFS(INDEX(Load,,MATCH('Summarized Source Data'!$C253,Hour,0)),Month,'Summarized Source Data'!$A253,Sector,'Summarized Source Data'!G$2,Subsector,'Summarized Source Data'!G$3,TimeOfWeek,$E253)*INDEX(About!C$79:C$82,MATCH($B253,About!$A$79:$A$82,0),1)</f>
        <v>18493</v>
      </c>
      <c r="H253" s="27">
        <f>SUMIFS(INDEX(Load,,MATCH('Summarized Source Data'!$C253,Hour,0)),Month,'Summarized Source Data'!$A253,Sector,'Summarized Source Data'!H$2,Subsector,'Summarized Source Data'!H$3,TimeOfWeek,$E253)*INDEX(About!D$79:D$82,MATCH($B253,About!$A$79:$A$82,0),1)</f>
        <v>0</v>
      </c>
      <c r="I253" s="27">
        <f>SUMIFS(INDEX(Load,,MATCH('Summarized Source Data'!$C253,Hour,0)),Month,'Summarized Source Data'!$A253,Sector,'Summarized Source Data'!I$2,Subsector,'Summarized Source Data'!I$3,TimeOfWeek,$E253)*INDEX(About!E$79:E$82,MATCH($B253,About!$A$79:$A$82,0),1)</f>
        <v>10300000</v>
      </c>
      <c r="J253" s="54">
        <f t="shared" si="16"/>
        <v>111027068</v>
      </c>
      <c r="K253" s="27">
        <f>(SUMIFS(INDEX(Load,,MATCH('Summarized Source Data'!$C253,Hour,0)),Month,'Summarized Source Data'!$A253,Sector,'Summarized Source Data'!K$2,Subsector,"Total",TimeOfWeek,$E253)-SUM(F253:I253))*INDEX(About!G$79:G$82,MATCH($B253,About!$A$79:$A$82,0),1)</f>
        <v>111027068</v>
      </c>
      <c r="L253" s="27">
        <f>SUMIFS(INDEX(Load,,MATCH('Summarized Source Data'!$C253,Hour,0)),Month,'Summarized Source Data'!$A253,Sector,'Summarized Source Data'!L$2,Subsector,'Summarized Source Data'!L$3,TimeOfWeek,$E253)*INDEX(About!H$79:H$82,MATCH($B253,About!$A$79:$A$82,0),1)</f>
        <v>46700000</v>
      </c>
      <c r="M253" s="27">
        <f>SUMIFS(INDEX(Load,,MATCH('Summarized Source Data'!$C253,Hour,0)),Month,'Summarized Source Data'!$A253,Sector,'Summarized Source Data'!M$2,Subsector,'Summarized Source Data'!M$3,TimeOfWeek,$E253)*INDEX(About!I$79:I$82,MATCH($B253,About!$A$79:$A$82,0),1)</f>
        <v>216089</v>
      </c>
      <c r="N253" s="27">
        <f>SUMIFS(INDEX(Load,,MATCH('Summarized Source Data'!$C253,Hour,0)),Month,'Summarized Source Data'!$A253,Sector,'Summarized Source Data'!N$2,Subsector,'Summarized Source Data'!N$3,TimeOfWeek,$E253)*INDEX(About!J$79:J$82,MATCH($B253,About!$A$79:$A$82,0),1)</f>
        <v>0</v>
      </c>
      <c r="O253" s="29">
        <f t="shared" si="17"/>
        <v>525083911</v>
      </c>
      <c r="P253" s="27">
        <f>(SUMIFS(INDEX(Load,,MATCH('Summarized Source Data'!$C253,Hour,0)),Month,'Summarized Source Data'!$A253,Sector,'Summarized Source Data'!P$2,Subsector,"Total",TimeOfWeek,$E253)-SUM(L253:N253)*INDEX(About!L$79:L$82,MATCH($B253,About!$A$79:$A$82,0),1))</f>
        <v>525083911</v>
      </c>
      <c r="Q253" s="29">
        <f t="shared" si="18"/>
        <v>525083911</v>
      </c>
      <c r="R253" s="33">
        <f>SUMIFS(INDEX(Load,,MATCH('Summarized Source Data'!$C253,Hour,0)),Month,'Summarized Source Data'!$A253,Sector,'Summarized Source Data'!R$2,TimeOfWeek,$E253)*INDEX(About!N$79:N$82,MATCH($B253,About!$A$79:$A$82,0),1)</f>
        <v>15100000</v>
      </c>
      <c r="S253" s="33">
        <f>SUMIFS(INDEX(Load,,MATCH('Summarized Source Data'!$C253,Hour,0)),Month,'Summarized Source Data'!$A253,Sector,'Summarized Source Data'!S$2,TimeOfWeek,$E253)*INDEX(About!O$79:O$82,MATCH($B253,About!$A$79:$A$82,0),1)</f>
        <v>15100000</v>
      </c>
      <c r="T253" s="33">
        <f>SUMIFS(INDEX(Load,,MATCH('Summarized Source Data'!$C253,Hour,0)),Month,'Summarized Source Data'!$A253,Sector,'Summarized Source Data'!T$2,TimeOfWeek,$E253)*INDEX(About!P$79:P$82,MATCH($B253,About!$A$79:$A$82,0),1)</f>
        <v>15100000</v>
      </c>
      <c r="U253" s="33">
        <f>SUMIFS(INDEX(Load,,MATCH('Summarized Source Data'!$C253,Hour,0)),Month,'Summarized Source Data'!$A253,Sector,'Summarized Source Data'!U$2,TimeOfWeek,$E253)*INDEX(About!Q$79:Q$82,MATCH($B253,About!$A$79:$A$82,0),1)</f>
        <v>15100000</v>
      </c>
      <c r="V253" s="33">
        <f>SUMIFS(INDEX(Load,,MATCH('Summarized Source Data'!$C253,Hour,0)),Month,'Summarized Source Data'!$A253,Sector,'Summarized Source Data'!V$2,TimeOfWeek,$E253)*INDEX(About!R$79:R$82,MATCH($B253,About!$A$79:$A$82,0),1)</f>
        <v>15100000</v>
      </c>
      <c r="W253" s="33">
        <f>SUMIFS(INDEX(Load,,MATCH('Summarized Source Data'!$C253,Hour,0)),Month,'Summarized Source Data'!$A253,Sector,'Summarized Source Data'!W$2,TimeOfWeek,$E253)*INDEX(About!S$79:S$82,MATCH($B253,About!$A$79:$A$82,0),1)</f>
        <v>15100000</v>
      </c>
      <c r="X253" s="27">
        <f>SUMIFS(INDEX(Load,,MATCH('Summarized Source Data'!$C253,Hour,0)),Month,'Summarized Source Data'!$A253,Sector,'Summarized Source Data'!X$2,Subsector,'Summarized Source Data'!X$3,TimeOfWeek,$E253)*INDEX(About!T$79:T$82,MATCH($B253,About!$A$79:$A$82,0),1)</f>
        <v>682000000</v>
      </c>
      <c r="Y253" s="29">
        <f t="shared" si="19"/>
        <v>682000000</v>
      </c>
      <c r="Z253" s="29">
        <f t="shared" si="19"/>
        <v>682000000</v>
      </c>
    </row>
    <row r="254" spans="1:26" outlineLevel="1" x14ac:dyDescent="0.3">
      <c r="A254">
        <f t="shared" si="15"/>
        <v>11</v>
      </c>
      <c r="B254" t="str">
        <f>INDEX('Category Mapping'!$G$28:$G$39,MATCH(A254,'Category Mapping'!$A$28:$A$39,0),1)</f>
        <v>Winter</v>
      </c>
      <c r="C254" t="s">
        <v>73</v>
      </c>
      <c r="D254" s="6" t="s">
        <v>148</v>
      </c>
      <c r="E254" t="s">
        <v>49</v>
      </c>
      <c r="F254" s="27">
        <f>SUMIFS(INDEX(Load,,MATCH('Summarized Source Data'!$C254,Hour,0)),Month,'Summarized Source Data'!$A254,Sector,'Summarized Source Data'!F$2,Subsector,'Summarized Source Data'!F$3,TimeOfWeek,$E254)*INDEX(About!B$79:B$82,MATCH($B254,About!$A$79:$A$82,0),1)</f>
        <v>8614184</v>
      </c>
      <c r="G254" s="27">
        <f>SUMIFS(INDEX(Load,,MATCH('Summarized Source Data'!$C254,Hour,0)),Month,'Summarized Source Data'!$A254,Sector,'Summarized Source Data'!G$2,Subsector,'Summarized Source Data'!G$3,TimeOfWeek,$E254)*INDEX(About!C$79:C$82,MATCH($B254,About!$A$79:$A$82,0),1)</f>
        <v>18273</v>
      </c>
      <c r="H254" s="27">
        <f>SUMIFS(INDEX(Load,,MATCH('Summarized Source Data'!$C254,Hour,0)),Month,'Summarized Source Data'!$A254,Sector,'Summarized Source Data'!H$2,Subsector,'Summarized Source Data'!H$3,TimeOfWeek,$E254)*INDEX(About!D$79:D$82,MATCH($B254,About!$A$79:$A$82,0),1)</f>
        <v>0</v>
      </c>
      <c r="I254" s="27">
        <f>SUMIFS(INDEX(Load,,MATCH('Summarized Source Data'!$C254,Hour,0)),Month,'Summarized Source Data'!$A254,Sector,'Summarized Source Data'!I$2,Subsector,'Summarized Source Data'!I$3,TimeOfWeek,$E254)*INDEX(About!E$79:E$82,MATCH($B254,About!$A$79:$A$82,0),1)</f>
        <v>10400000</v>
      </c>
      <c r="J254" s="54">
        <f t="shared" si="16"/>
        <v>109967543</v>
      </c>
      <c r="K254" s="27">
        <f>(SUMIFS(INDEX(Load,,MATCH('Summarized Source Data'!$C254,Hour,0)),Month,'Summarized Source Data'!$A254,Sector,'Summarized Source Data'!K$2,Subsector,"Total",TimeOfWeek,$E254)-SUM(F254:I254))*INDEX(About!G$79:G$82,MATCH($B254,About!$A$79:$A$82,0),1)</f>
        <v>109967543</v>
      </c>
      <c r="L254" s="27">
        <f>SUMIFS(INDEX(Load,,MATCH('Summarized Source Data'!$C254,Hour,0)),Month,'Summarized Source Data'!$A254,Sector,'Summarized Source Data'!L$2,Subsector,'Summarized Source Data'!L$3,TimeOfWeek,$E254)*INDEX(About!H$79:H$82,MATCH($B254,About!$A$79:$A$82,0),1)</f>
        <v>37600000</v>
      </c>
      <c r="M254" s="27">
        <f>SUMIFS(INDEX(Load,,MATCH('Summarized Source Data'!$C254,Hour,0)),Month,'Summarized Source Data'!$A254,Sector,'Summarized Source Data'!M$2,Subsector,'Summarized Source Data'!M$3,TimeOfWeek,$E254)*INDEX(About!I$79:I$82,MATCH($B254,About!$A$79:$A$82,0),1)</f>
        <v>228360</v>
      </c>
      <c r="N254" s="27">
        <f>SUMIFS(INDEX(Load,,MATCH('Summarized Source Data'!$C254,Hour,0)),Month,'Summarized Source Data'!$A254,Sector,'Summarized Source Data'!N$2,Subsector,'Summarized Source Data'!N$3,TimeOfWeek,$E254)*INDEX(About!J$79:J$82,MATCH($B254,About!$A$79:$A$82,0),1)</f>
        <v>0</v>
      </c>
      <c r="O254" s="29">
        <f t="shared" si="17"/>
        <v>522171640</v>
      </c>
      <c r="P254" s="27">
        <f>(SUMIFS(INDEX(Load,,MATCH('Summarized Source Data'!$C254,Hour,0)),Month,'Summarized Source Data'!$A254,Sector,'Summarized Source Data'!P$2,Subsector,"Total",TimeOfWeek,$E254)-SUM(L254:N254)*INDEX(About!L$79:L$82,MATCH($B254,About!$A$79:$A$82,0),1))</f>
        <v>522171640</v>
      </c>
      <c r="Q254" s="29">
        <f t="shared" si="18"/>
        <v>522171640</v>
      </c>
      <c r="R254" s="33">
        <f>SUMIFS(INDEX(Load,,MATCH('Summarized Source Data'!$C254,Hour,0)),Month,'Summarized Source Data'!$A254,Sector,'Summarized Source Data'!R$2,TimeOfWeek,$E254)*INDEX(About!N$79:N$82,MATCH($B254,About!$A$79:$A$82,0),1)</f>
        <v>12100000</v>
      </c>
      <c r="S254" s="33">
        <f>SUMIFS(INDEX(Load,,MATCH('Summarized Source Data'!$C254,Hour,0)),Month,'Summarized Source Data'!$A254,Sector,'Summarized Source Data'!S$2,TimeOfWeek,$E254)*INDEX(About!O$79:O$82,MATCH($B254,About!$A$79:$A$82,0),1)</f>
        <v>12100000</v>
      </c>
      <c r="T254" s="33">
        <f>SUMIFS(INDEX(Load,,MATCH('Summarized Source Data'!$C254,Hour,0)),Month,'Summarized Source Data'!$A254,Sector,'Summarized Source Data'!T$2,TimeOfWeek,$E254)*INDEX(About!P$79:P$82,MATCH($B254,About!$A$79:$A$82,0),1)</f>
        <v>12100000</v>
      </c>
      <c r="U254" s="33">
        <f>SUMIFS(INDEX(Load,,MATCH('Summarized Source Data'!$C254,Hour,0)),Month,'Summarized Source Data'!$A254,Sector,'Summarized Source Data'!U$2,TimeOfWeek,$E254)*INDEX(About!Q$79:Q$82,MATCH($B254,About!$A$79:$A$82,0),1)</f>
        <v>12100000</v>
      </c>
      <c r="V254" s="33">
        <f>SUMIFS(INDEX(Load,,MATCH('Summarized Source Data'!$C254,Hour,0)),Month,'Summarized Source Data'!$A254,Sector,'Summarized Source Data'!V$2,TimeOfWeek,$E254)*INDEX(About!R$79:R$82,MATCH($B254,About!$A$79:$A$82,0),1)</f>
        <v>12100000</v>
      </c>
      <c r="W254" s="33">
        <f>SUMIFS(INDEX(Load,,MATCH('Summarized Source Data'!$C254,Hour,0)),Month,'Summarized Source Data'!$A254,Sector,'Summarized Source Data'!W$2,TimeOfWeek,$E254)*INDEX(About!S$79:S$82,MATCH($B254,About!$A$79:$A$82,0),1)</f>
        <v>12100000</v>
      </c>
      <c r="X254" s="27">
        <f>SUMIFS(INDEX(Load,,MATCH('Summarized Source Data'!$C254,Hour,0)),Month,'Summarized Source Data'!$A254,Sector,'Summarized Source Data'!X$2,Subsector,'Summarized Source Data'!X$3,TimeOfWeek,$E254)*INDEX(About!T$79:T$82,MATCH($B254,About!$A$79:$A$82,0),1)</f>
        <v>680000000</v>
      </c>
      <c r="Y254" s="29">
        <f t="shared" si="19"/>
        <v>680000000</v>
      </c>
      <c r="Z254" s="29">
        <f t="shared" si="19"/>
        <v>680000000</v>
      </c>
    </row>
    <row r="255" spans="1:26" outlineLevel="1" x14ac:dyDescent="0.3">
      <c r="A255">
        <f t="shared" si="15"/>
        <v>11</v>
      </c>
      <c r="B255" t="str">
        <f>INDEX('Category Mapping'!$G$28:$G$39,MATCH(A255,'Category Mapping'!$A$28:$A$39,0),1)</f>
        <v>Winter</v>
      </c>
      <c r="C255" t="s">
        <v>74</v>
      </c>
      <c r="D255" s="6" t="s">
        <v>149</v>
      </c>
      <c r="E255" t="s">
        <v>49</v>
      </c>
      <c r="F255" s="27">
        <f>SUMIFS(INDEX(Load,,MATCH('Summarized Source Data'!$C255,Hour,0)),Month,'Summarized Source Data'!$A255,Sector,'Summarized Source Data'!F$2,Subsector,'Summarized Source Data'!F$3,TimeOfWeek,$E255)*INDEX(About!B$79:B$82,MATCH($B255,About!$A$79:$A$82,0),1)</f>
        <v>9047819</v>
      </c>
      <c r="G255" s="27">
        <f>SUMIFS(INDEX(Load,,MATCH('Summarized Source Data'!$C255,Hour,0)),Month,'Summarized Source Data'!$A255,Sector,'Summarized Source Data'!G$2,Subsector,'Summarized Source Data'!G$3,TimeOfWeek,$E255)*INDEX(About!C$79:C$82,MATCH($B255,About!$A$79:$A$82,0),1)</f>
        <v>20437</v>
      </c>
      <c r="H255" s="27">
        <f>SUMIFS(INDEX(Load,,MATCH('Summarized Source Data'!$C255,Hour,0)),Month,'Summarized Source Data'!$A255,Sector,'Summarized Source Data'!H$2,Subsector,'Summarized Source Data'!H$3,TimeOfWeek,$E255)*INDEX(About!D$79:D$82,MATCH($B255,About!$A$79:$A$82,0),1)</f>
        <v>0</v>
      </c>
      <c r="I255" s="27">
        <f>SUMIFS(INDEX(Load,,MATCH('Summarized Source Data'!$C255,Hour,0)),Month,'Summarized Source Data'!$A255,Sector,'Summarized Source Data'!I$2,Subsector,'Summarized Source Data'!I$3,TimeOfWeek,$E255)*INDEX(About!E$79:E$82,MATCH($B255,About!$A$79:$A$82,0),1)</f>
        <v>11400000</v>
      </c>
      <c r="J255" s="54">
        <f t="shared" si="16"/>
        <v>109531744</v>
      </c>
      <c r="K255" s="27">
        <f>(SUMIFS(INDEX(Load,,MATCH('Summarized Source Data'!$C255,Hour,0)),Month,'Summarized Source Data'!$A255,Sector,'Summarized Source Data'!K$2,Subsector,"Total",TimeOfWeek,$E255)-SUM(F255:I255))*INDEX(About!G$79:G$82,MATCH($B255,About!$A$79:$A$82,0),1)</f>
        <v>109531744</v>
      </c>
      <c r="L255" s="27">
        <f>SUMIFS(INDEX(Load,,MATCH('Summarized Source Data'!$C255,Hour,0)),Month,'Summarized Source Data'!$A255,Sector,'Summarized Source Data'!L$2,Subsector,'Summarized Source Data'!L$3,TimeOfWeek,$E255)*INDEX(About!H$79:H$82,MATCH($B255,About!$A$79:$A$82,0),1)</f>
        <v>32100000</v>
      </c>
      <c r="M255" s="27">
        <f>SUMIFS(INDEX(Load,,MATCH('Summarized Source Data'!$C255,Hour,0)),Month,'Summarized Source Data'!$A255,Sector,'Summarized Source Data'!M$2,Subsector,'Summarized Source Data'!M$3,TimeOfWeek,$E255)*INDEX(About!I$79:I$82,MATCH($B255,About!$A$79:$A$82,0),1)</f>
        <v>231236</v>
      </c>
      <c r="N255" s="27">
        <f>SUMIFS(INDEX(Load,,MATCH('Summarized Source Data'!$C255,Hour,0)),Month,'Summarized Source Data'!$A255,Sector,'Summarized Source Data'!N$2,Subsector,'Summarized Source Data'!N$3,TimeOfWeek,$E255)*INDEX(About!J$79:J$82,MATCH($B255,About!$A$79:$A$82,0),1)</f>
        <v>0</v>
      </c>
      <c r="O255" s="29">
        <f t="shared" si="17"/>
        <v>520668764</v>
      </c>
      <c r="P255" s="27">
        <f>(SUMIFS(INDEX(Load,,MATCH('Summarized Source Data'!$C255,Hour,0)),Month,'Summarized Source Data'!$A255,Sector,'Summarized Source Data'!P$2,Subsector,"Total",TimeOfWeek,$E255)-SUM(L255:N255)*INDEX(About!L$79:L$82,MATCH($B255,About!$A$79:$A$82,0),1))</f>
        <v>520668764</v>
      </c>
      <c r="Q255" s="29">
        <f t="shared" si="18"/>
        <v>520668764</v>
      </c>
      <c r="R255" s="33">
        <f>SUMIFS(INDEX(Load,,MATCH('Summarized Source Data'!$C255,Hour,0)),Month,'Summarized Source Data'!$A255,Sector,'Summarized Source Data'!R$2,TimeOfWeek,$E255)*INDEX(About!N$79:N$82,MATCH($B255,About!$A$79:$A$82,0),1)</f>
        <v>12200000</v>
      </c>
      <c r="S255" s="33">
        <f>SUMIFS(INDEX(Load,,MATCH('Summarized Source Data'!$C255,Hour,0)),Month,'Summarized Source Data'!$A255,Sector,'Summarized Source Data'!S$2,TimeOfWeek,$E255)*INDEX(About!O$79:O$82,MATCH($B255,About!$A$79:$A$82,0),1)</f>
        <v>12200000</v>
      </c>
      <c r="T255" s="33">
        <f>SUMIFS(INDEX(Load,,MATCH('Summarized Source Data'!$C255,Hour,0)),Month,'Summarized Source Data'!$A255,Sector,'Summarized Source Data'!T$2,TimeOfWeek,$E255)*INDEX(About!P$79:P$82,MATCH($B255,About!$A$79:$A$82,0),1)</f>
        <v>12200000</v>
      </c>
      <c r="U255" s="33">
        <f>SUMIFS(INDEX(Load,,MATCH('Summarized Source Data'!$C255,Hour,0)),Month,'Summarized Source Data'!$A255,Sector,'Summarized Source Data'!U$2,TimeOfWeek,$E255)*INDEX(About!Q$79:Q$82,MATCH($B255,About!$A$79:$A$82,0),1)</f>
        <v>12200000</v>
      </c>
      <c r="V255" s="33">
        <f>SUMIFS(INDEX(Load,,MATCH('Summarized Source Data'!$C255,Hour,0)),Month,'Summarized Source Data'!$A255,Sector,'Summarized Source Data'!V$2,TimeOfWeek,$E255)*INDEX(About!R$79:R$82,MATCH($B255,About!$A$79:$A$82,0),1)</f>
        <v>12200000</v>
      </c>
      <c r="W255" s="33">
        <f>SUMIFS(INDEX(Load,,MATCH('Summarized Source Data'!$C255,Hour,0)),Month,'Summarized Source Data'!$A255,Sector,'Summarized Source Data'!W$2,TimeOfWeek,$E255)*INDEX(About!S$79:S$82,MATCH($B255,About!$A$79:$A$82,0),1)</f>
        <v>12200000</v>
      </c>
      <c r="X255" s="27">
        <f>SUMIFS(INDEX(Load,,MATCH('Summarized Source Data'!$C255,Hour,0)),Month,'Summarized Source Data'!$A255,Sector,'Summarized Source Data'!X$2,Subsector,'Summarized Source Data'!X$3,TimeOfWeek,$E255)*INDEX(About!T$79:T$82,MATCH($B255,About!$A$79:$A$82,0),1)</f>
        <v>677000000</v>
      </c>
      <c r="Y255" s="29">
        <f t="shared" si="19"/>
        <v>677000000</v>
      </c>
      <c r="Z255" s="29">
        <f t="shared" si="19"/>
        <v>677000000</v>
      </c>
    </row>
    <row r="256" spans="1:26" outlineLevel="1" x14ac:dyDescent="0.3">
      <c r="A256">
        <f t="shared" si="15"/>
        <v>11</v>
      </c>
      <c r="B256" t="str">
        <f>INDEX('Category Mapping'!$G$28:$G$39,MATCH(A256,'Category Mapping'!$A$28:$A$39,0),1)</f>
        <v>Winter</v>
      </c>
      <c r="C256" t="s">
        <v>75</v>
      </c>
      <c r="D256" s="6" t="s">
        <v>150</v>
      </c>
      <c r="E256" t="s">
        <v>49</v>
      </c>
      <c r="F256" s="27">
        <f>SUMIFS(INDEX(Load,,MATCH('Summarized Source Data'!$C256,Hour,0)),Month,'Summarized Source Data'!$A256,Sector,'Summarized Source Data'!F$2,Subsector,'Summarized Source Data'!F$3,TimeOfWeek,$E256)*INDEX(About!B$79:B$82,MATCH($B256,About!$A$79:$A$82,0),1)</f>
        <v>9313377</v>
      </c>
      <c r="G256" s="27">
        <f>SUMIFS(INDEX(Load,,MATCH('Summarized Source Data'!$C256,Hour,0)),Month,'Summarized Source Data'!$A256,Sector,'Summarized Source Data'!G$2,Subsector,'Summarized Source Data'!G$3,TimeOfWeek,$E256)*INDEX(About!C$79:C$82,MATCH($B256,About!$A$79:$A$82,0),1)</f>
        <v>22185</v>
      </c>
      <c r="H256" s="27">
        <f>SUMIFS(INDEX(Load,,MATCH('Summarized Source Data'!$C256,Hour,0)),Month,'Summarized Source Data'!$A256,Sector,'Summarized Source Data'!H$2,Subsector,'Summarized Source Data'!H$3,TimeOfWeek,$E256)*INDEX(About!D$79:D$82,MATCH($B256,About!$A$79:$A$82,0),1)</f>
        <v>0</v>
      </c>
      <c r="I256" s="27">
        <f>SUMIFS(INDEX(Load,,MATCH('Summarized Source Data'!$C256,Hour,0)),Month,'Summarized Source Data'!$A256,Sector,'Summarized Source Data'!I$2,Subsector,'Summarized Source Data'!I$3,TimeOfWeek,$E256)*INDEX(About!E$79:E$82,MATCH($B256,About!$A$79:$A$82,0),1)</f>
        <v>12100000</v>
      </c>
      <c r="J256" s="54">
        <f t="shared" si="16"/>
        <v>105564438</v>
      </c>
      <c r="K256" s="27">
        <f>(SUMIFS(INDEX(Load,,MATCH('Summarized Source Data'!$C256,Hour,0)),Month,'Summarized Source Data'!$A256,Sector,'Summarized Source Data'!K$2,Subsector,"Total",TimeOfWeek,$E256)-SUM(F256:I256))*INDEX(About!G$79:G$82,MATCH($B256,About!$A$79:$A$82,0),1)</f>
        <v>105564438</v>
      </c>
      <c r="L256" s="27">
        <f>SUMIFS(INDEX(Load,,MATCH('Summarized Source Data'!$C256,Hour,0)),Month,'Summarized Source Data'!$A256,Sector,'Summarized Source Data'!L$2,Subsector,'Summarized Source Data'!L$3,TimeOfWeek,$E256)*INDEX(About!H$79:H$82,MATCH($B256,About!$A$79:$A$82,0),1)</f>
        <v>27700000</v>
      </c>
      <c r="M256" s="27">
        <f>SUMIFS(INDEX(Load,,MATCH('Summarized Source Data'!$C256,Hour,0)),Month,'Summarized Source Data'!$A256,Sector,'Summarized Source Data'!M$2,Subsector,'Summarized Source Data'!M$3,TimeOfWeek,$E256)*INDEX(About!I$79:I$82,MATCH($B256,About!$A$79:$A$82,0),1)</f>
        <v>222727</v>
      </c>
      <c r="N256" s="27">
        <f>SUMIFS(INDEX(Load,,MATCH('Summarized Source Data'!$C256,Hour,0)),Month,'Summarized Source Data'!$A256,Sector,'Summarized Source Data'!N$2,Subsector,'Summarized Source Data'!N$3,TimeOfWeek,$E256)*INDEX(About!J$79:J$82,MATCH($B256,About!$A$79:$A$82,0),1)</f>
        <v>0</v>
      </c>
      <c r="O256" s="29">
        <f t="shared" si="17"/>
        <v>512077273</v>
      </c>
      <c r="P256" s="27">
        <f>(SUMIFS(INDEX(Load,,MATCH('Summarized Source Data'!$C256,Hour,0)),Month,'Summarized Source Data'!$A256,Sector,'Summarized Source Data'!P$2,Subsector,"Total",TimeOfWeek,$E256)-SUM(L256:N256)*INDEX(About!L$79:L$82,MATCH($B256,About!$A$79:$A$82,0),1))</f>
        <v>512077273</v>
      </c>
      <c r="Q256" s="29">
        <f t="shared" si="18"/>
        <v>512077273</v>
      </c>
      <c r="R256" s="33">
        <f>SUMIFS(INDEX(Load,,MATCH('Summarized Source Data'!$C256,Hour,0)),Month,'Summarized Source Data'!$A256,Sector,'Summarized Source Data'!R$2,TimeOfWeek,$E256)*INDEX(About!N$79:N$82,MATCH($B256,About!$A$79:$A$82,0),1)</f>
        <v>12400000</v>
      </c>
      <c r="S256" s="33">
        <f>SUMIFS(INDEX(Load,,MATCH('Summarized Source Data'!$C256,Hour,0)),Month,'Summarized Source Data'!$A256,Sector,'Summarized Source Data'!S$2,TimeOfWeek,$E256)*INDEX(About!O$79:O$82,MATCH($B256,About!$A$79:$A$82,0),1)</f>
        <v>12400000</v>
      </c>
      <c r="T256" s="33">
        <f>SUMIFS(INDEX(Load,,MATCH('Summarized Source Data'!$C256,Hour,0)),Month,'Summarized Source Data'!$A256,Sector,'Summarized Source Data'!T$2,TimeOfWeek,$E256)*INDEX(About!P$79:P$82,MATCH($B256,About!$A$79:$A$82,0),1)</f>
        <v>12400000</v>
      </c>
      <c r="U256" s="33">
        <f>SUMIFS(INDEX(Load,,MATCH('Summarized Source Data'!$C256,Hour,0)),Month,'Summarized Source Data'!$A256,Sector,'Summarized Source Data'!U$2,TimeOfWeek,$E256)*INDEX(About!Q$79:Q$82,MATCH($B256,About!$A$79:$A$82,0),1)</f>
        <v>12400000</v>
      </c>
      <c r="V256" s="33">
        <f>SUMIFS(INDEX(Load,,MATCH('Summarized Source Data'!$C256,Hour,0)),Month,'Summarized Source Data'!$A256,Sector,'Summarized Source Data'!V$2,TimeOfWeek,$E256)*INDEX(About!R$79:R$82,MATCH($B256,About!$A$79:$A$82,0),1)</f>
        <v>12400000</v>
      </c>
      <c r="W256" s="33">
        <f>SUMIFS(INDEX(Load,,MATCH('Summarized Source Data'!$C256,Hour,0)),Month,'Summarized Source Data'!$A256,Sector,'Summarized Source Data'!W$2,TimeOfWeek,$E256)*INDEX(About!S$79:S$82,MATCH($B256,About!$A$79:$A$82,0),1)</f>
        <v>12400000</v>
      </c>
      <c r="X256" s="27">
        <f>SUMIFS(INDEX(Load,,MATCH('Summarized Source Data'!$C256,Hour,0)),Month,'Summarized Source Data'!$A256,Sector,'Summarized Source Data'!X$2,Subsector,'Summarized Source Data'!X$3,TimeOfWeek,$E256)*INDEX(About!T$79:T$82,MATCH($B256,About!$A$79:$A$82,0),1)</f>
        <v>675000000</v>
      </c>
      <c r="Y256" s="29">
        <f t="shared" si="19"/>
        <v>675000000</v>
      </c>
      <c r="Z256" s="29">
        <f t="shared" si="19"/>
        <v>675000000</v>
      </c>
    </row>
    <row r="257" spans="1:26" outlineLevel="1" x14ac:dyDescent="0.3">
      <c r="A257">
        <f t="shared" si="15"/>
        <v>11</v>
      </c>
      <c r="B257" t="str">
        <f>INDEX('Category Mapping'!$G$28:$G$39,MATCH(A257,'Category Mapping'!$A$28:$A$39,0),1)</f>
        <v>Winter</v>
      </c>
      <c r="C257" t="s">
        <v>76</v>
      </c>
      <c r="D257" s="6" t="s">
        <v>151</v>
      </c>
      <c r="E257" t="s">
        <v>49</v>
      </c>
      <c r="F257" s="27">
        <f>SUMIFS(INDEX(Load,,MATCH('Summarized Source Data'!$C257,Hour,0)),Month,'Summarized Source Data'!$A257,Sector,'Summarized Source Data'!F$2,Subsector,'Summarized Source Data'!F$3,TimeOfWeek,$E257)*INDEX(About!B$79:B$82,MATCH($B257,About!$A$79:$A$82,0),1)</f>
        <v>9388088</v>
      </c>
      <c r="G257" s="27">
        <f>SUMIFS(INDEX(Load,,MATCH('Summarized Source Data'!$C257,Hour,0)),Month,'Summarized Source Data'!$A257,Sector,'Summarized Source Data'!G$2,Subsector,'Summarized Source Data'!G$3,TimeOfWeek,$E257)*INDEX(About!C$79:C$82,MATCH($B257,About!$A$79:$A$82,0),1)</f>
        <v>22884</v>
      </c>
      <c r="H257" s="27">
        <f>SUMIFS(INDEX(Load,,MATCH('Summarized Source Data'!$C257,Hour,0)),Month,'Summarized Source Data'!$A257,Sector,'Summarized Source Data'!H$2,Subsector,'Summarized Source Data'!H$3,TimeOfWeek,$E257)*INDEX(About!D$79:D$82,MATCH($B257,About!$A$79:$A$82,0),1)</f>
        <v>0</v>
      </c>
      <c r="I257" s="27">
        <f>SUMIFS(INDEX(Load,,MATCH('Summarized Source Data'!$C257,Hour,0)),Month,'Summarized Source Data'!$A257,Sector,'Summarized Source Data'!I$2,Subsector,'Summarized Source Data'!I$3,TimeOfWeek,$E257)*INDEX(About!E$79:E$82,MATCH($B257,About!$A$79:$A$82,0),1)</f>
        <v>12200000</v>
      </c>
      <c r="J257" s="54">
        <f t="shared" si="16"/>
        <v>104389028</v>
      </c>
      <c r="K257" s="27">
        <f>(SUMIFS(INDEX(Load,,MATCH('Summarized Source Data'!$C257,Hour,0)),Month,'Summarized Source Data'!$A257,Sector,'Summarized Source Data'!K$2,Subsector,"Total",TimeOfWeek,$E257)-SUM(F257:I257))*INDEX(About!G$79:G$82,MATCH($B257,About!$A$79:$A$82,0),1)</f>
        <v>104389028</v>
      </c>
      <c r="L257" s="27">
        <f>SUMIFS(INDEX(Load,,MATCH('Summarized Source Data'!$C257,Hour,0)),Month,'Summarized Source Data'!$A257,Sector,'Summarized Source Data'!L$2,Subsector,'Summarized Source Data'!L$3,TimeOfWeek,$E257)*INDEX(About!H$79:H$82,MATCH($B257,About!$A$79:$A$82,0),1)</f>
        <v>25800000</v>
      </c>
      <c r="M257" s="27">
        <f>SUMIFS(INDEX(Load,,MATCH('Summarized Source Data'!$C257,Hour,0)),Month,'Summarized Source Data'!$A257,Sector,'Summarized Source Data'!M$2,Subsector,'Summarized Source Data'!M$3,TimeOfWeek,$E257)*INDEX(About!I$79:I$82,MATCH($B257,About!$A$79:$A$82,0),1)</f>
        <v>227998</v>
      </c>
      <c r="N257" s="27">
        <f>SUMIFS(INDEX(Load,,MATCH('Summarized Source Data'!$C257,Hour,0)),Month,'Summarized Source Data'!$A257,Sector,'Summarized Source Data'!N$2,Subsector,'Summarized Source Data'!N$3,TimeOfWeek,$E257)*INDEX(About!J$79:J$82,MATCH($B257,About!$A$79:$A$82,0),1)</f>
        <v>0</v>
      </c>
      <c r="O257" s="29">
        <f t="shared" si="17"/>
        <v>512972002</v>
      </c>
      <c r="P257" s="27">
        <f>(SUMIFS(INDEX(Load,,MATCH('Summarized Source Data'!$C257,Hour,0)),Month,'Summarized Source Data'!$A257,Sector,'Summarized Source Data'!P$2,Subsector,"Total",TimeOfWeek,$E257)-SUM(L257:N257)*INDEX(About!L$79:L$82,MATCH($B257,About!$A$79:$A$82,0),1))</f>
        <v>512972002</v>
      </c>
      <c r="Q257" s="29">
        <f t="shared" si="18"/>
        <v>512972002</v>
      </c>
      <c r="R257" s="33">
        <f>SUMIFS(INDEX(Load,,MATCH('Summarized Source Data'!$C257,Hour,0)),Month,'Summarized Source Data'!$A257,Sector,'Summarized Source Data'!R$2,TimeOfWeek,$E257)*INDEX(About!N$79:N$82,MATCH($B257,About!$A$79:$A$82,0),1)</f>
        <v>12300000</v>
      </c>
      <c r="S257" s="33">
        <f>SUMIFS(INDEX(Load,,MATCH('Summarized Source Data'!$C257,Hour,0)),Month,'Summarized Source Data'!$A257,Sector,'Summarized Source Data'!S$2,TimeOfWeek,$E257)*INDEX(About!O$79:O$82,MATCH($B257,About!$A$79:$A$82,0),1)</f>
        <v>12300000</v>
      </c>
      <c r="T257" s="33">
        <f>SUMIFS(INDEX(Load,,MATCH('Summarized Source Data'!$C257,Hour,0)),Month,'Summarized Source Data'!$A257,Sector,'Summarized Source Data'!T$2,TimeOfWeek,$E257)*INDEX(About!P$79:P$82,MATCH($B257,About!$A$79:$A$82,0),1)</f>
        <v>12300000</v>
      </c>
      <c r="U257" s="33">
        <f>SUMIFS(INDEX(Load,,MATCH('Summarized Source Data'!$C257,Hour,0)),Month,'Summarized Source Data'!$A257,Sector,'Summarized Source Data'!U$2,TimeOfWeek,$E257)*INDEX(About!Q$79:Q$82,MATCH($B257,About!$A$79:$A$82,0),1)</f>
        <v>12300000</v>
      </c>
      <c r="V257" s="33">
        <f>SUMIFS(INDEX(Load,,MATCH('Summarized Source Data'!$C257,Hour,0)),Month,'Summarized Source Data'!$A257,Sector,'Summarized Source Data'!V$2,TimeOfWeek,$E257)*INDEX(About!R$79:R$82,MATCH($B257,About!$A$79:$A$82,0),1)</f>
        <v>12300000</v>
      </c>
      <c r="W257" s="33">
        <f>SUMIFS(INDEX(Load,,MATCH('Summarized Source Data'!$C257,Hour,0)),Month,'Summarized Source Data'!$A257,Sector,'Summarized Source Data'!W$2,TimeOfWeek,$E257)*INDEX(About!S$79:S$82,MATCH($B257,About!$A$79:$A$82,0),1)</f>
        <v>12300000</v>
      </c>
      <c r="X257" s="27">
        <f>SUMIFS(INDEX(Load,,MATCH('Summarized Source Data'!$C257,Hour,0)),Month,'Summarized Source Data'!$A257,Sector,'Summarized Source Data'!X$2,Subsector,'Summarized Source Data'!X$3,TimeOfWeek,$E257)*INDEX(About!T$79:T$82,MATCH($B257,About!$A$79:$A$82,0),1)</f>
        <v>674000000</v>
      </c>
      <c r="Y257" s="29">
        <f t="shared" si="19"/>
        <v>674000000</v>
      </c>
      <c r="Z257" s="29">
        <f t="shared" si="19"/>
        <v>674000000</v>
      </c>
    </row>
    <row r="258" spans="1:26" outlineLevel="1" x14ac:dyDescent="0.3">
      <c r="A258">
        <f t="shared" si="15"/>
        <v>11</v>
      </c>
      <c r="B258" t="str">
        <f>INDEX('Category Mapping'!$G$28:$G$39,MATCH(A258,'Category Mapping'!$A$28:$A$39,0),1)</f>
        <v>Winter</v>
      </c>
      <c r="C258" t="s">
        <v>77</v>
      </c>
      <c r="D258" s="6" t="s">
        <v>152</v>
      </c>
      <c r="E258" t="s">
        <v>49</v>
      </c>
      <c r="F258" s="27">
        <f>SUMIFS(INDEX(Load,,MATCH('Summarized Source Data'!$C258,Hour,0)),Month,'Summarized Source Data'!$A258,Sector,'Summarized Source Data'!F$2,Subsector,'Summarized Source Data'!F$3,TimeOfWeek,$E258)*INDEX(About!B$79:B$82,MATCH($B258,About!$A$79:$A$82,0),1)</f>
        <v>9524004</v>
      </c>
      <c r="G258" s="27">
        <f>SUMIFS(INDEX(Load,,MATCH('Summarized Source Data'!$C258,Hour,0)),Month,'Summarized Source Data'!$A258,Sector,'Summarized Source Data'!G$2,Subsector,'Summarized Source Data'!G$3,TimeOfWeek,$E258)*INDEX(About!C$79:C$82,MATCH($B258,About!$A$79:$A$82,0),1)</f>
        <v>23895</v>
      </c>
      <c r="H258" s="27">
        <f>SUMIFS(INDEX(Load,,MATCH('Summarized Source Data'!$C258,Hour,0)),Month,'Summarized Source Data'!$A258,Sector,'Summarized Source Data'!H$2,Subsector,'Summarized Source Data'!H$3,TimeOfWeek,$E258)*INDEX(About!D$79:D$82,MATCH($B258,About!$A$79:$A$82,0),1)</f>
        <v>0</v>
      </c>
      <c r="I258" s="27">
        <f>SUMIFS(INDEX(Load,,MATCH('Summarized Source Data'!$C258,Hour,0)),Month,'Summarized Source Data'!$A258,Sector,'Summarized Source Data'!I$2,Subsector,'Summarized Source Data'!I$3,TimeOfWeek,$E258)*INDEX(About!E$79:E$82,MATCH($B258,About!$A$79:$A$82,0),1)</f>
        <v>12500000</v>
      </c>
      <c r="J258" s="54">
        <f t="shared" si="16"/>
        <v>107952101</v>
      </c>
      <c r="K258" s="27">
        <f>(SUMIFS(INDEX(Load,,MATCH('Summarized Source Data'!$C258,Hour,0)),Month,'Summarized Source Data'!$A258,Sector,'Summarized Source Data'!K$2,Subsector,"Total",TimeOfWeek,$E258)-SUM(F258:I258))*INDEX(About!G$79:G$82,MATCH($B258,About!$A$79:$A$82,0),1)</f>
        <v>107952101</v>
      </c>
      <c r="L258" s="27">
        <f>SUMIFS(INDEX(Load,,MATCH('Summarized Source Data'!$C258,Hour,0)),Month,'Summarized Source Data'!$A258,Sector,'Summarized Source Data'!L$2,Subsector,'Summarized Source Data'!L$3,TimeOfWeek,$E258)*INDEX(About!H$79:H$82,MATCH($B258,About!$A$79:$A$82,0),1)</f>
        <v>24100000</v>
      </c>
      <c r="M258" s="27">
        <f>SUMIFS(INDEX(Load,,MATCH('Summarized Source Data'!$C258,Hour,0)),Month,'Summarized Source Data'!$A258,Sector,'Summarized Source Data'!M$2,Subsector,'Summarized Source Data'!M$3,TimeOfWeek,$E258)*INDEX(About!I$79:I$82,MATCH($B258,About!$A$79:$A$82,0),1)</f>
        <v>233670</v>
      </c>
      <c r="N258" s="27">
        <f>SUMIFS(INDEX(Load,,MATCH('Summarized Source Data'!$C258,Hour,0)),Month,'Summarized Source Data'!$A258,Sector,'Summarized Source Data'!N$2,Subsector,'Summarized Source Data'!N$3,TimeOfWeek,$E258)*INDEX(About!J$79:J$82,MATCH($B258,About!$A$79:$A$82,0),1)</f>
        <v>0</v>
      </c>
      <c r="O258" s="29">
        <f t="shared" si="17"/>
        <v>512666330</v>
      </c>
      <c r="P258" s="27">
        <f>(SUMIFS(INDEX(Load,,MATCH('Summarized Source Data'!$C258,Hour,0)),Month,'Summarized Source Data'!$A258,Sector,'Summarized Source Data'!P$2,Subsector,"Total",TimeOfWeek,$E258)-SUM(L258:N258)*INDEX(About!L$79:L$82,MATCH($B258,About!$A$79:$A$82,0),1))</f>
        <v>512666330</v>
      </c>
      <c r="Q258" s="29">
        <f t="shared" si="18"/>
        <v>512666330</v>
      </c>
      <c r="R258" s="33">
        <f>SUMIFS(INDEX(Load,,MATCH('Summarized Source Data'!$C258,Hour,0)),Month,'Summarized Source Data'!$A258,Sector,'Summarized Source Data'!R$2,TimeOfWeek,$E258)*INDEX(About!N$79:N$82,MATCH($B258,About!$A$79:$A$82,0),1)</f>
        <v>12200000</v>
      </c>
      <c r="S258" s="33">
        <f>SUMIFS(INDEX(Load,,MATCH('Summarized Source Data'!$C258,Hour,0)),Month,'Summarized Source Data'!$A258,Sector,'Summarized Source Data'!S$2,TimeOfWeek,$E258)*INDEX(About!O$79:O$82,MATCH($B258,About!$A$79:$A$82,0),1)</f>
        <v>12200000</v>
      </c>
      <c r="T258" s="33">
        <f>SUMIFS(INDEX(Load,,MATCH('Summarized Source Data'!$C258,Hour,0)),Month,'Summarized Source Data'!$A258,Sector,'Summarized Source Data'!T$2,TimeOfWeek,$E258)*INDEX(About!P$79:P$82,MATCH($B258,About!$A$79:$A$82,0),1)</f>
        <v>12200000</v>
      </c>
      <c r="U258" s="33">
        <f>SUMIFS(INDEX(Load,,MATCH('Summarized Source Data'!$C258,Hour,0)),Month,'Summarized Source Data'!$A258,Sector,'Summarized Source Data'!U$2,TimeOfWeek,$E258)*INDEX(About!Q$79:Q$82,MATCH($B258,About!$A$79:$A$82,0),1)</f>
        <v>12200000</v>
      </c>
      <c r="V258" s="33">
        <f>SUMIFS(INDEX(Load,,MATCH('Summarized Source Data'!$C258,Hour,0)),Month,'Summarized Source Data'!$A258,Sector,'Summarized Source Data'!V$2,TimeOfWeek,$E258)*INDEX(About!R$79:R$82,MATCH($B258,About!$A$79:$A$82,0),1)</f>
        <v>12200000</v>
      </c>
      <c r="W258" s="33">
        <f>SUMIFS(INDEX(Load,,MATCH('Summarized Source Data'!$C258,Hour,0)),Month,'Summarized Source Data'!$A258,Sector,'Summarized Source Data'!W$2,TimeOfWeek,$E258)*INDEX(About!S$79:S$82,MATCH($B258,About!$A$79:$A$82,0),1)</f>
        <v>12200000</v>
      </c>
      <c r="X258" s="27">
        <f>SUMIFS(INDEX(Load,,MATCH('Summarized Source Data'!$C258,Hour,0)),Month,'Summarized Source Data'!$A258,Sector,'Summarized Source Data'!X$2,Subsector,'Summarized Source Data'!X$3,TimeOfWeek,$E258)*INDEX(About!T$79:T$82,MATCH($B258,About!$A$79:$A$82,0),1)</f>
        <v>675000000</v>
      </c>
      <c r="Y258" s="29">
        <f t="shared" si="19"/>
        <v>675000000</v>
      </c>
      <c r="Z258" s="29">
        <f t="shared" si="19"/>
        <v>675000000</v>
      </c>
    </row>
    <row r="259" spans="1:26" outlineLevel="1" x14ac:dyDescent="0.3">
      <c r="A259">
        <f t="shared" si="15"/>
        <v>11</v>
      </c>
      <c r="B259" t="str">
        <f>INDEX('Category Mapping'!$G$28:$G$39,MATCH(A259,'Category Mapping'!$A$28:$A$39,0),1)</f>
        <v>Winter</v>
      </c>
      <c r="C259" t="s">
        <v>78</v>
      </c>
      <c r="D259" s="6" t="s">
        <v>153</v>
      </c>
      <c r="E259" t="s">
        <v>49</v>
      </c>
      <c r="F259" s="27">
        <f>SUMIFS(INDEX(Load,,MATCH('Summarized Source Data'!$C259,Hour,0)),Month,'Summarized Source Data'!$A259,Sector,'Summarized Source Data'!F$2,Subsector,'Summarized Source Data'!F$3,TimeOfWeek,$E259)*INDEX(About!B$79:B$82,MATCH($B259,About!$A$79:$A$82,0),1)</f>
        <v>9963037</v>
      </c>
      <c r="G259" s="27">
        <f>SUMIFS(INDEX(Load,,MATCH('Summarized Source Data'!$C259,Hour,0)),Month,'Summarized Source Data'!$A259,Sector,'Summarized Source Data'!G$2,Subsector,'Summarized Source Data'!G$3,TimeOfWeek,$E259)*INDEX(About!C$79:C$82,MATCH($B259,About!$A$79:$A$82,0),1)</f>
        <v>26100</v>
      </c>
      <c r="H259" s="27">
        <f>SUMIFS(INDEX(Load,,MATCH('Summarized Source Data'!$C259,Hour,0)),Month,'Summarized Source Data'!$A259,Sector,'Summarized Source Data'!H$2,Subsector,'Summarized Source Data'!H$3,TimeOfWeek,$E259)*INDEX(About!D$79:D$82,MATCH($B259,About!$A$79:$A$82,0),1)</f>
        <v>0</v>
      </c>
      <c r="I259" s="27">
        <f>SUMIFS(INDEX(Load,,MATCH('Summarized Source Data'!$C259,Hour,0)),Month,'Summarized Source Data'!$A259,Sector,'Summarized Source Data'!I$2,Subsector,'Summarized Source Data'!I$3,TimeOfWeek,$E259)*INDEX(About!E$79:E$82,MATCH($B259,About!$A$79:$A$82,0),1)</f>
        <v>13600000</v>
      </c>
      <c r="J259" s="54">
        <f t="shared" si="16"/>
        <v>121410863</v>
      </c>
      <c r="K259" s="27">
        <f>(SUMIFS(INDEX(Load,,MATCH('Summarized Source Data'!$C259,Hour,0)),Month,'Summarized Source Data'!$A259,Sector,'Summarized Source Data'!K$2,Subsector,"Total",TimeOfWeek,$E259)-SUM(F259:I259))*INDEX(About!G$79:G$82,MATCH($B259,About!$A$79:$A$82,0),1)</f>
        <v>121410863</v>
      </c>
      <c r="L259" s="27">
        <f>SUMIFS(INDEX(Load,,MATCH('Summarized Source Data'!$C259,Hour,0)),Month,'Summarized Source Data'!$A259,Sector,'Summarized Source Data'!L$2,Subsector,'Summarized Source Data'!L$3,TimeOfWeek,$E259)*INDEX(About!H$79:H$82,MATCH($B259,About!$A$79:$A$82,0),1)</f>
        <v>23300000</v>
      </c>
      <c r="M259" s="27">
        <f>SUMIFS(INDEX(Load,,MATCH('Summarized Source Data'!$C259,Hour,0)),Month,'Summarized Source Data'!$A259,Sector,'Summarized Source Data'!M$2,Subsector,'Summarized Source Data'!M$3,TimeOfWeek,$E259)*INDEX(About!I$79:I$82,MATCH($B259,About!$A$79:$A$82,0),1)</f>
        <v>233769</v>
      </c>
      <c r="N259" s="27">
        <f>SUMIFS(INDEX(Load,,MATCH('Summarized Source Data'!$C259,Hour,0)),Month,'Summarized Source Data'!$A259,Sector,'Summarized Source Data'!N$2,Subsector,'Summarized Source Data'!N$3,TimeOfWeek,$E259)*INDEX(About!J$79:J$82,MATCH($B259,About!$A$79:$A$82,0),1)</f>
        <v>0</v>
      </c>
      <c r="O259" s="29">
        <f t="shared" si="17"/>
        <v>512466231</v>
      </c>
      <c r="P259" s="27">
        <f>(SUMIFS(INDEX(Load,,MATCH('Summarized Source Data'!$C259,Hour,0)),Month,'Summarized Source Data'!$A259,Sector,'Summarized Source Data'!P$2,Subsector,"Total",TimeOfWeek,$E259)-SUM(L259:N259)*INDEX(About!L$79:L$82,MATCH($B259,About!$A$79:$A$82,0),1))</f>
        <v>512466231</v>
      </c>
      <c r="Q259" s="29">
        <f t="shared" si="18"/>
        <v>512466231</v>
      </c>
      <c r="R259" s="33">
        <f>SUMIFS(INDEX(Load,,MATCH('Summarized Source Data'!$C259,Hour,0)),Month,'Summarized Source Data'!$A259,Sector,'Summarized Source Data'!R$2,TimeOfWeek,$E259)*INDEX(About!N$79:N$82,MATCH($B259,About!$A$79:$A$82,0),1)</f>
        <v>14500000</v>
      </c>
      <c r="S259" s="33">
        <f>SUMIFS(INDEX(Load,,MATCH('Summarized Source Data'!$C259,Hour,0)),Month,'Summarized Source Data'!$A259,Sector,'Summarized Source Data'!S$2,TimeOfWeek,$E259)*INDEX(About!O$79:O$82,MATCH($B259,About!$A$79:$A$82,0),1)</f>
        <v>14500000</v>
      </c>
      <c r="T259" s="33">
        <f>SUMIFS(INDEX(Load,,MATCH('Summarized Source Data'!$C259,Hour,0)),Month,'Summarized Source Data'!$A259,Sector,'Summarized Source Data'!T$2,TimeOfWeek,$E259)*INDEX(About!P$79:P$82,MATCH($B259,About!$A$79:$A$82,0),1)</f>
        <v>14500000</v>
      </c>
      <c r="U259" s="33">
        <f>SUMIFS(INDEX(Load,,MATCH('Summarized Source Data'!$C259,Hour,0)),Month,'Summarized Source Data'!$A259,Sector,'Summarized Source Data'!U$2,TimeOfWeek,$E259)*INDEX(About!Q$79:Q$82,MATCH($B259,About!$A$79:$A$82,0),1)</f>
        <v>14500000</v>
      </c>
      <c r="V259" s="33">
        <f>SUMIFS(INDEX(Load,,MATCH('Summarized Source Data'!$C259,Hour,0)),Month,'Summarized Source Data'!$A259,Sector,'Summarized Source Data'!V$2,TimeOfWeek,$E259)*INDEX(About!R$79:R$82,MATCH($B259,About!$A$79:$A$82,0),1)</f>
        <v>14500000</v>
      </c>
      <c r="W259" s="33">
        <f>SUMIFS(INDEX(Load,,MATCH('Summarized Source Data'!$C259,Hour,0)),Month,'Summarized Source Data'!$A259,Sector,'Summarized Source Data'!W$2,TimeOfWeek,$E259)*INDEX(About!S$79:S$82,MATCH($B259,About!$A$79:$A$82,0),1)</f>
        <v>14500000</v>
      </c>
      <c r="X259" s="27">
        <f>SUMIFS(INDEX(Load,,MATCH('Summarized Source Data'!$C259,Hour,0)),Month,'Summarized Source Data'!$A259,Sector,'Summarized Source Data'!X$2,Subsector,'Summarized Source Data'!X$3,TimeOfWeek,$E259)*INDEX(About!T$79:T$82,MATCH($B259,About!$A$79:$A$82,0),1)</f>
        <v>681000000</v>
      </c>
      <c r="Y259" s="29">
        <f t="shared" si="19"/>
        <v>681000000</v>
      </c>
      <c r="Z259" s="29">
        <f t="shared" si="19"/>
        <v>681000000</v>
      </c>
    </row>
    <row r="260" spans="1:26" outlineLevel="1" x14ac:dyDescent="0.3">
      <c r="A260">
        <f t="shared" si="15"/>
        <v>11</v>
      </c>
      <c r="B260" t="str">
        <f>INDEX('Category Mapping'!$G$28:$G$39,MATCH(A260,'Category Mapping'!$A$28:$A$39,0),1)</f>
        <v>Winter</v>
      </c>
      <c r="C260" t="s">
        <v>79</v>
      </c>
      <c r="D260" s="6" t="s">
        <v>154</v>
      </c>
      <c r="E260" t="s">
        <v>49</v>
      </c>
      <c r="F260" s="27">
        <f>SUMIFS(INDEX(Load,,MATCH('Summarized Source Data'!$C260,Hour,0)),Month,'Summarized Source Data'!$A260,Sector,'Summarized Source Data'!F$2,Subsector,'Summarized Source Data'!F$3,TimeOfWeek,$E260)*INDEX(About!B$79:B$82,MATCH($B260,About!$A$79:$A$82,0),1)</f>
        <v>10500000</v>
      </c>
      <c r="G260" s="27">
        <f>SUMIFS(INDEX(Load,,MATCH('Summarized Source Data'!$C260,Hour,0)),Month,'Summarized Source Data'!$A260,Sector,'Summarized Source Data'!G$2,Subsector,'Summarized Source Data'!G$3,TimeOfWeek,$E260)*INDEX(About!C$79:C$82,MATCH($B260,About!$A$79:$A$82,0),1)</f>
        <v>28500</v>
      </c>
      <c r="H260" s="27">
        <f>SUMIFS(INDEX(Load,,MATCH('Summarized Source Data'!$C260,Hour,0)),Month,'Summarized Source Data'!$A260,Sector,'Summarized Source Data'!H$2,Subsector,'Summarized Source Data'!H$3,TimeOfWeek,$E260)*INDEX(About!D$79:D$82,MATCH($B260,About!$A$79:$A$82,0),1)</f>
        <v>0</v>
      </c>
      <c r="I260" s="27">
        <f>SUMIFS(INDEX(Load,,MATCH('Summarized Source Data'!$C260,Hour,0)),Month,'Summarized Source Data'!$A260,Sector,'Summarized Source Data'!I$2,Subsector,'Summarized Source Data'!I$3,TimeOfWeek,$E260)*INDEX(About!E$79:E$82,MATCH($B260,About!$A$79:$A$82,0),1)</f>
        <v>29800000</v>
      </c>
      <c r="J260" s="54">
        <f t="shared" si="16"/>
        <v>147671500</v>
      </c>
      <c r="K260" s="27">
        <f>(SUMIFS(INDEX(Load,,MATCH('Summarized Source Data'!$C260,Hour,0)),Month,'Summarized Source Data'!$A260,Sector,'Summarized Source Data'!K$2,Subsector,"Total",TimeOfWeek,$E260)-SUM(F260:I260))*INDEX(About!G$79:G$82,MATCH($B260,About!$A$79:$A$82,0),1)</f>
        <v>147671500</v>
      </c>
      <c r="L260" s="27">
        <f>SUMIFS(INDEX(Load,,MATCH('Summarized Source Data'!$C260,Hour,0)),Month,'Summarized Source Data'!$A260,Sector,'Summarized Source Data'!L$2,Subsector,'Summarized Source Data'!L$3,TimeOfWeek,$E260)*INDEX(About!H$79:H$82,MATCH($B260,About!$A$79:$A$82,0),1)</f>
        <v>23100000</v>
      </c>
      <c r="M260" s="27">
        <f>SUMIFS(INDEX(Load,,MATCH('Summarized Source Data'!$C260,Hour,0)),Month,'Summarized Source Data'!$A260,Sector,'Summarized Source Data'!M$2,Subsector,'Summarized Source Data'!M$3,TimeOfWeek,$E260)*INDEX(About!I$79:I$82,MATCH($B260,About!$A$79:$A$82,0),1)</f>
        <v>228970</v>
      </c>
      <c r="N260" s="27">
        <f>SUMIFS(INDEX(Load,,MATCH('Summarized Source Data'!$C260,Hour,0)),Month,'Summarized Source Data'!$A260,Sector,'Summarized Source Data'!N$2,Subsector,'Summarized Source Data'!N$3,TimeOfWeek,$E260)*INDEX(About!J$79:J$82,MATCH($B260,About!$A$79:$A$82,0),1)</f>
        <v>0</v>
      </c>
      <c r="O260" s="29">
        <f t="shared" si="17"/>
        <v>495671030</v>
      </c>
      <c r="P260" s="27">
        <f>(SUMIFS(INDEX(Load,,MATCH('Summarized Source Data'!$C260,Hour,0)),Month,'Summarized Source Data'!$A260,Sector,'Summarized Source Data'!P$2,Subsector,"Total",TimeOfWeek,$E260)-SUM(L260:N260)*INDEX(About!L$79:L$82,MATCH($B260,About!$A$79:$A$82,0),1))</f>
        <v>495671030</v>
      </c>
      <c r="Q260" s="29">
        <f t="shared" si="18"/>
        <v>495671030</v>
      </c>
      <c r="R260" s="33">
        <f>SUMIFS(INDEX(Load,,MATCH('Summarized Source Data'!$C260,Hour,0)),Month,'Summarized Source Data'!$A260,Sector,'Summarized Source Data'!R$2,TimeOfWeek,$E260)*INDEX(About!N$79:N$82,MATCH($B260,About!$A$79:$A$82,0),1)</f>
        <v>16700000</v>
      </c>
      <c r="S260" s="33">
        <f>SUMIFS(INDEX(Load,,MATCH('Summarized Source Data'!$C260,Hour,0)),Month,'Summarized Source Data'!$A260,Sector,'Summarized Source Data'!S$2,TimeOfWeek,$E260)*INDEX(About!O$79:O$82,MATCH($B260,About!$A$79:$A$82,0),1)</f>
        <v>16700000</v>
      </c>
      <c r="T260" s="33">
        <f>SUMIFS(INDEX(Load,,MATCH('Summarized Source Data'!$C260,Hour,0)),Month,'Summarized Source Data'!$A260,Sector,'Summarized Source Data'!T$2,TimeOfWeek,$E260)*INDEX(About!P$79:P$82,MATCH($B260,About!$A$79:$A$82,0),1)</f>
        <v>16700000</v>
      </c>
      <c r="U260" s="33">
        <f>SUMIFS(INDEX(Load,,MATCH('Summarized Source Data'!$C260,Hour,0)),Month,'Summarized Source Data'!$A260,Sector,'Summarized Source Data'!U$2,TimeOfWeek,$E260)*INDEX(About!Q$79:Q$82,MATCH($B260,About!$A$79:$A$82,0),1)</f>
        <v>16700000</v>
      </c>
      <c r="V260" s="33">
        <f>SUMIFS(INDEX(Load,,MATCH('Summarized Source Data'!$C260,Hour,0)),Month,'Summarized Source Data'!$A260,Sector,'Summarized Source Data'!V$2,TimeOfWeek,$E260)*INDEX(About!R$79:R$82,MATCH($B260,About!$A$79:$A$82,0),1)</f>
        <v>16700000</v>
      </c>
      <c r="W260" s="33">
        <f>SUMIFS(INDEX(Load,,MATCH('Summarized Source Data'!$C260,Hour,0)),Month,'Summarized Source Data'!$A260,Sector,'Summarized Source Data'!W$2,TimeOfWeek,$E260)*INDEX(About!S$79:S$82,MATCH($B260,About!$A$79:$A$82,0),1)</f>
        <v>16700000</v>
      </c>
      <c r="X260" s="27">
        <f>SUMIFS(INDEX(Load,,MATCH('Summarized Source Data'!$C260,Hour,0)),Month,'Summarized Source Data'!$A260,Sector,'Summarized Source Data'!X$2,Subsector,'Summarized Source Data'!X$3,TimeOfWeek,$E260)*INDEX(About!T$79:T$82,MATCH($B260,About!$A$79:$A$82,0),1)</f>
        <v>688000000</v>
      </c>
      <c r="Y260" s="29">
        <f t="shared" si="19"/>
        <v>688000000</v>
      </c>
      <c r="Z260" s="29">
        <f t="shared" si="19"/>
        <v>688000000</v>
      </c>
    </row>
    <row r="261" spans="1:26" outlineLevel="1" x14ac:dyDescent="0.3">
      <c r="A261">
        <f t="shared" ref="A261:A291" si="20">ROUNDUP(ROW(A258)/24,0)</f>
        <v>11</v>
      </c>
      <c r="B261" t="str">
        <f>INDEX('Category Mapping'!$G$28:$G$39,MATCH(A261,'Category Mapping'!$A$28:$A$39,0),1)</f>
        <v>Winter</v>
      </c>
      <c r="C261" t="s">
        <v>80</v>
      </c>
      <c r="D261" s="6" t="s">
        <v>155</v>
      </c>
      <c r="E261" t="s">
        <v>49</v>
      </c>
      <c r="F261" s="27">
        <f>SUMIFS(INDEX(Load,,MATCH('Summarized Source Data'!$C261,Hour,0)),Month,'Summarized Source Data'!$A261,Sector,'Summarized Source Data'!F$2,Subsector,'Summarized Source Data'!F$3,TimeOfWeek,$E261)*INDEX(About!B$79:B$82,MATCH($B261,About!$A$79:$A$82,0),1)</f>
        <v>11100000</v>
      </c>
      <c r="G261" s="27">
        <f>SUMIFS(INDEX(Load,,MATCH('Summarized Source Data'!$C261,Hour,0)),Month,'Summarized Source Data'!$A261,Sector,'Summarized Source Data'!G$2,Subsector,'Summarized Source Data'!G$3,TimeOfWeek,$E261)*INDEX(About!C$79:C$82,MATCH($B261,About!$A$79:$A$82,0),1)</f>
        <v>31237</v>
      </c>
      <c r="H261" s="27">
        <f>SUMIFS(INDEX(Load,,MATCH('Summarized Source Data'!$C261,Hour,0)),Month,'Summarized Source Data'!$A261,Sector,'Summarized Source Data'!H$2,Subsector,'Summarized Source Data'!H$3,TimeOfWeek,$E261)*INDEX(About!D$79:D$82,MATCH($B261,About!$A$79:$A$82,0),1)</f>
        <v>0</v>
      </c>
      <c r="I261" s="27">
        <f>SUMIFS(INDEX(Load,,MATCH('Summarized Source Data'!$C261,Hour,0)),Month,'Summarized Source Data'!$A261,Sector,'Summarized Source Data'!I$2,Subsector,'Summarized Source Data'!I$3,TimeOfWeek,$E261)*INDEX(About!E$79:E$82,MATCH($B261,About!$A$79:$A$82,0),1)</f>
        <v>53800000</v>
      </c>
      <c r="J261" s="54">
        <f t="shared" ref="J261:J324" si="21">K261</f>
        <v>163068763</v>
      </c>
      <c r="K261" s="27">
        <f>(SUMIFS(INDEX(Load,,MATCH('Summarized Source Data'!$C261,Hour,0)),Month,'Summarized Source Data'!$A261,Sector,'Summarized Source Data'!K$2,Subsector,"Total",TimeOfWeek,$E261)-SUM(F261:I261))*INDEX(About!G$79:G$82,MATCH($B261,About!$A$79:$A$82,0),1)</f>
        <v>163068763</v>
      </c>
      <c r="L261" s="27">
        <f>SUMIFS(INDEX(Load,,MATCH('Summarized Source Data'!$C261,Hour,0)),Month,'Summarized Source Data'!$A261,Sector,'Summarized Source Data'!L$2,Subsector,'Summarized Source Data'!L$3,TimeOfWeek,$E261)*INDEX(About!H$79:H$82,MATCH($B261,About!$A$79:$A$82,0),1)</f>
        <v>24300000</v>
      </c>
      <c r="M261" s="27">
        <f>SUMIFS(INDEX(Load,,MATCH('Summarized Source Data'!$C261,Hour,0)),Month,'Summarized Source Data'!$A261,Sector,'Summarized Source Data'!M$2,Subsector,'Summarized Source Data'!M$3,TimeOfWeek,$E261)*INDEX(About!I$79:I$82,MATCH($B261,About!$A$79:$A$82,0),1)</f>
        <v>218306</v>
      </c>
      <c r="N261" s="27">
        <f>SUMIFS(INDEX(Load,,MATCH('Summarized Source Data'!$C261,Hour,0)),Month,'Summarized Source Data'!$A261,Sector,'Summarized Source Data'!N$2,Subsector,'Summarized Source Data'!N$3,TimeOfWeek,$E261)*INDEX(About!J$79:J$82,MATCH($B261,About!$A$79:$A$82,0),1)</f>
        <v>0</v>
      </c>
      <c r="O261" s="29">
        <f t="shared" ref="O261:O324" si="22">P261</f>
        <v>465481694</v>
      </c>
      <c r="P261" s="27">
        <f>(SUMIFS(INDEX(Load,,MATCH('Summarized Source Data'!$C261,Hour,0)),Month,'Summarized Source Data'!$A261,Sector,'Summarized Source Data'!P$2,Subsector,"Total",TimeOfWeek,$E261)-SUM(L261:N261)*INDEX(About!L$79:L$82,MATCH($B261,About!$A$79:$A$82,0),1))</f>
        <v>465481694</v>
      </c>
      <c r="Q261" s="29">
        <f t="shared" ref="Q261:Q324" si="23">P261</f>
        <v>465481694</v>
      </c>
      <c r="R261" s="33">
        <f>SUMIFS(INDEX(Load,,MATCH('Summarized Source Data'!$C261,Hour,0)),Month,'Summarized Source Data'!$A261,Sector,'Summarized Source Data'!R$2,TimeOfWeek,$E261)*INDEX(About!N$79:N$82,MATCH($B261,About!$A$79:$A$82,0),1)</f>
        <v>17600000</v>
      </c>
      <c r="S261" s="33">
        <f>SUMIFS(INDEX(Load,,MATCH('Summarized Source Data'!$C261,Hour,0)),Month,'Summarized Source Data'!$A261,Sector,'Summarized Source Data'!S$2,TimeOfWeek,$E261)*INDEX(About!O$79:O$82,MATCH($B261,About!$A$79:$A$82,0),1)</f>
        <v>17600000</v>
      </c>
      <c r="T261" s="33">
        <f>SUMIFS(INDEX(Load,,MATCH('Summarized Source Data'!$C261,Hour,0)),Month,'Summarized Source Data'!$A261,Sector,'Summarized Source Data'!T$2,TimeOfWeek,$E261)*INDEX(About!P$79:P$82,MATCH($B261,About!$A$79:$A$82,0),1)</f>
        <v>17600000</v>
      </c>
      <c r="U261" s="33">
        <f>SUMIFS(INDEX(Load,,MATCH('Summarized Source Data'!$C261,Hour,0)),Month,'Summarized Source Data'!$A261,Sector,'Summarized Source Data'!U$2,TimeOfWeek,$E261)*INDEX(About!Q$79:Q$82,MATCH($B261,About!$A$79:$A$82,0),1)</f>
        <v>17600000</v>
      </c>
      <c r="V261" s="33">
        <f>SUMIFS(INDEX(Load,,MATCH('Summarized Source Data'!$C261,Hour,0)),Month,'Summarized Source Data'!$A261,Sector,'Summarized Source Data'!V$2,TimeOfWeek,$E261)*INDEX(About!R$79:R$82,MATCH($B261,About!$A$79:$A$82,0),1)</f>
        <v>17600000</v>
      </c>
      <c r="W261" s="33">
        <f>SUMIFS(INDEX(Load,,MATCH('Summarized Source Data'!$C261,Hour,0)),Month,'Summarized Source Data'!$A261,Sector,'Summarized Source Data'!W$2,TimeOfWeek,$E261)*INDEX(About!S$79:S$82,MATCH($B261,About!$A$79:$A$82,0),1)</f>
        <v>17600000</v>
      </c>
      <c r="X261" s="27">
        <f>SUMIFS(INDEX(Load,,MATCH('Summarized Source Data'!$C261,Hour,0)),Month,'Summarized Source Data'!$A261,Sector,'Summarized Source Data'!X$2,Subsector,'Summarized Source Data'!X$3,TimeOfWeek,$E261)*INDEX(About!T$79:T$82,MATCH($B261,About!$A$79:$A$82,0),1)</f>
        <v>690000000</v>
      </c>
      <c r="Y261" s="29">
        <f t="shared" ref="Y261:Z324" si="24">$X261</f>
        <v>690000000</v>
      </c>
      <c r="Z261" s="29">
        <f t="shared" si="24"/>
        <v>690000000</v>
      </c>
    </row>
    <row r="262" spans="1:26" outlineLevel="1" x14ac:dyDescent="0.3">
      <c r="A262">
        <f t="shared" si="20"/>
        <v>11</v>
      </c>
      <c r="B262" t="str">
        <f>INDEX('Category Mapping'!$G$28:$G$39,MATCH(A262,'Category Mapping'!$A$28:$A$39,0),1)</f>
        <v>Winter</v>
      </c>
      <c r="C262" t="s">
        <v>81</v>
      </c>
      <c r="D262" s="6" t="s">
        <v>156</v>
      </c>
      <c r="E262" t="s">
        <v>49</v>
      </c>
      <c r="F262" s="27">
        <f>SUMIFS(INDEX(Load,,MATCH('Summarized Source Data'!$C262,Hour,0)),Month,'Summarized Source Data'!$A262,Sector,'Summarized Source Data'!F$2,Subsector,'Summarized Source Data'!F$3,TimeOfWeek,$E262)*INDEX(About!B$79:B$82,MATCH($B262,About!$A$79:$A$82,0),1)</f>
        <v>11700000</v>
      </c>
      <c r="G262" s="27">
        <f>SUMIFS(INDEX(Load,,MATCH('Summarized Source Data'!$C262,Hour,0)),Month,'Summarized Source Data'!$A262,Sector,'Summarized Source Data'!G$2,Subsector,'Summarized Source Data'!G$3,TimeOfWeek,$E262)*INDEX(About!C$79:C$82,MATCH($B262,About!$A$79:$A$82,0),1)</f>
        <v>34677</v>
      </c>
      <c r="H262" s="27">
        <f>SUMIFS(INDEX(Load,,MATCH('Summarized Source Data'!$C262,Hour,0)),Month,'Summarized Source Data'!$A262,Sector,'Summarized Source Data'!H$2,Subsector,'Summarized Source Data'!H$3,TimeOfWeek,$E262)*INDEX(About!D$79:D$82,MATCH($B262,About!$A$79:$A$82,0),1)</f>
        <v>0</v>
      </c>
      <c r="I262" s="27">
        <f>SUMIFS(INDEX(Load,,MATCH('Summarized Source Data'!$C262,Hour,0)),Month,'Summarized Source Data'!$A262,Sector,'Summarized Source Data'!I$2,Subsector,'Summarized Source Data'!I$3,TimeOfWeek,$E262)*INDEX(About!E$79:E$82,MATCH($B262,About!$A$79:$A$82,0),1)</f>
        <v>58900000</v>
      </c>
      <c r="J262" s="54">
        <f t="shared" si="21"/>
        <v>159365323</v>
      </c>
      <c r="K262" s="27">
        <f>(SUMIFS(INDEX(Load,,MATCH('Summarized Source Data'!$C262,Hour,0)),Month,'Summarized Source Data'!$A262,Sector,'Summarized Source Data'!K$2,Subsector,"Total",TimeOfWeek,$E262)-SUM(F262:I262))*INDEX(About!G$79:G$82,MATCH($B262,About!$A$79:$A$82,0),1)</f>
        <v>159365323</v>
      </c>
      <c r="L262" s="27">
        <f>SUMIFS(INDEX(Load,,MATCH('Summarized Source Data'!$C262,Hour,0)),Month,'Summarized Source Data'!$A262,Sector,'Summarized Source Data'!L$2,Subsector,'Summarized Source Data'!L$3,TimeOfWeek,$E262)*INDEX(About!H$79:H$82,MATCH($B262,About!$A$79:$A$82,0),1)</f>
        <v>29600000</v>
      </c>
      <c r="M262" s="27">
        <f>SUMIFS(INDEX(Load,,MATCH('Summarized Source Data'!$C262,Hour,0)),Month,'Summarized Source Data'!$A262,Sector,'Summarized Source Data'!M$2,Subsector,'Summarized Source Data'!M$3,TimeOfWeek,$E262)*INDEX(About!I$79:I$82,MATCH($B262,About!$A$79:$A$82,0),1)</f>
        <v>209065</v>
      </c>
      <c r="N262" s="27">
        <f>SUMIFS(INDEX(Load,,MATCH('Summarized Source Data'!$C262,Hour,0)),Month,'Summarized Source Data'!$A262,Sector,'Summarized Source Data'!N$2,Subsector,'Summarized Source Data'!N$3,TimeOfWeek,$E262)*INDEX(About!J$79:J$82,MATCH($B262,About!$A$79:$A$82,0),1)</f>
        <v>0</v>
      </c>
      <c r="O262" s="29">
        <f t="shared" si="22"/>
        <v>443190935</v>
      </c>
      <c r="P262" s="27">
        <f>(SUMIFS(INDEX(Load,,MATCH('Summarized Source Data'!$C262,Hour,0)),Month,'Summarized Source Data'!$A262,Sector,'Summarized Source Data'!P$2,Subsector,"Total",TimeOfWeek,$E262)-SUM(L262:N262)*INDEX(About!L$79:L$82,MATCH($B262,About!$A$79:$A$82,0),1))</f>
        <v>443190935</v>
      </c>
      <c r="Q262" s="29">
        <f t="shared" si="23"/>
        <v>443190935</v>
      </c>
      <c r="R262" s="33">
        <f>SUMIFS(INDEX(Load,,MATCH('Summarized Source Data'!$C262,Hour,0)),Month,'Summarized Source Data'!$A262,Sector,'Summarized Source Data'!R$2,TimeOfWeek,$E262)*INDEX(About!N$79:N$82,MATCH($B262,About!$A$79:$A$82,0),1)</f>
        <v>16200000</v>
      </c>
      <c r="S262" s="33">
        <f>SUMIFS(INDEX(Load,,MATCH('Summarized Source Data'!$C262,Hour,0)),Month,'Summarized Source Data'!$A262,Sector,'Summarized Source Data'!S$2,TimeOfWeek,$E262)*INDEX(About!O$79:O$82,MATCH($B262,About!$A$79:$A$82,0),1)</f>
        <v>16200000</v>
      </c>
      <c r="T262" s="33">
        <f>SUMIFS(INDEX(Load,,MATCH('Summarized Source Data'!$C262,Hour,0)),Month,'Summarized Source Data'!$A262,Sector,'Summarized Source Data'!T$2,TimeOfWeek,$E262)*INDEX(About!P$79:P$82,MATCH($B262,About!$A$79:$A$82,0),1)</f>
        <v>16200000</v>
      </c>
      <c r="U262" s="33">
        <f>SUMIFS(INDEX(Load,,MATCH('Summarized Source Data'!$C262,Hour,0)),Month,'Summarized Source Data'!$A262,Sector,'Summarized Source Data'!U$2,TimeOfWeek,$E262)*INDEX(About!Q$79:Q$82,MATCH($B262,About!$A$79:$A$82,0),1)</f>
        <v>16200000</v>
      </c>
      <c r="V262" s="33">
        <f>SUMIFS(INDEX(Load,,MATCH('Summarized Source Data'!$C262,Hour,0)),Month,'Summarized Source Data'!$A262,Sector,'Summarized Source Data'!V$2,TimeOfWeek,$E262)*INDEX(About!R$79:R$82,MATCH($B262,About!$A$79:$A$82,0),1)</f>
        <v>16200000</v>
      </c>
      <c r="W262" s="33">
        <f>SUMIFS(INDEX(Load,,MATCH('Summarized Source Data'!$C262,Hour,0)),Month,'Summarized Source Data'!$A262,Sector,'Summarized Source Data'!W$2,TimeOfWeek,$E262)*INDEX(About!S$79:S$82,MATCH($B262,About!$A$79:$A$82,0),1)</f>
        <v>16200000</v>
      </c>
      <c r="X262" s="27">
        <f>SUMIFS(INDEX(Load,,MATCH('Summarized Source Data'!$C262,Hour,0)),Month,'Summarized Source Data'!$A262,Sector,'Summarized Source Data'!X$2,Subsector,'Summarized Source Data'!X$3,TimeOfWeek,$E262)*INDEX(About!T$79:T$82,MATCH($B262,About!$A$79:$A$82,0),1)</f>
        <v>686000000</v>
      </c>
      <c r="Y262" s="29">
        <f t="shared" si="24"/>
        <v>686000000</v>
      </c>
      <c r="Z262" s="29">
        <f t="shared" si="24"/>
        <v>686000000</v>
      </c>
    </row>
    <row r="263" spans="1:26" outlineLevel="1" x14ac:dyDescent="0.3">
      <c r="A263">
        <f t="shared" si="20"/>
        <v>11</v>
      </c>
      <c r="B263" t="str">
        <f>INDEX('Category Mapping'!$G$28:$G$39,MATCH(A263,'Category Mapping'!$A$28:$A$39,0),1)</f>
        <v>Winter</v>
      </c>
      <c r="C263" t="s">
        <v>82</v>
      </c>
      <c r="D263" s="6" t="s">
        <v>157</v>
      </c>
      <c r="E263" t="s">
        <v>49</v>
      </c>
      <c r="F263" s="27">
        <f>SUMIFS(INDEX(Load,,MATCH('Summarized Source Data'!$C263,Hour,0)),Month,'Summarized Source Data'!$A263,Sector,'Summarized Source Data'!F$2,Subsector,'Summarized Source Data'!F$3,TimeOfWeek,$E263)*INDEX(About!B$79:B$82,MATCH($B263,About!$A$79:$A$82,0),1)</f>
        <v>12400000</v>
      </c>
      <c r="G263" s="27">
        <f>SUMIFS(INDEX(Load,,MATCH('Summarized Source Data'!$C263,Hour,0)),Month,'Summarized Source Data'!$A263,Sector,'Summarized Source Data'!G$2,Subsector,'Summarized Source Data'!G$3,TimeOfWeek,$E263)*INDEX(About!C$79:C$82,MATCH($B263,About!$A$79:$A$82,0),1)</f>
        <v>38198</v>
      </c>
      <c r="H263" s="27">
        <f>SUMIFS(INDEX(Load,,MATCH('Summarized Source Data'!$C263,Hour,0)),Month,'Summarized Source Data'!$A263,Sector,'Summarized Source Data'!H$2,Subsector,'Summarized Source Data'!H$3,TimeOfWeek,$E263)*INDEX(About!D$79:D$82,MATCH($B263,About!$A$79:$A$82,0),1)</f>
        <v>0</v>
      </c>
      <c r="I263" s="27">
        <f>SUMIFS(INDEX(Load,,MATCH('Summarized Source Data'!$C263,Hour,0)),Month,'Summarized Source Data'!$A263,Sector,'Summarized Source Data'!I$2,Subsector,'Summarized Source Data'!I$3,TimeOfWeek,$E263)*INDEX(About!E$79:E$82,MATCH($B263,About!$A$79:$A$82,0),1)</f>
        <v>63400000</v>
      </c>
      <c r="J263" s="54">
        <f t="shared" si="21"/>
        <v>152161802</v>
      </c>
      <c r="K263" s="27">
        <f>(SUMIFS(INDEX(Load,,MATCH('Summarized Source Data'!$C263,Hour,0)),Month,'Summarized Source Data'!$A263,Sector,'Summarized Source Data'!K$2,Subsector,"Total",TimeOfWeek,$E263)-SUM(F263:I263))*INDEX(About!G$79:G$82,MATCH($B263,About!$A$79:$A$82,0),1)</f>
        <v>152161802</v>
      </c>
      <c r="L263" s="27">
        <f>SUMIFS(INDEX(Load,,MATCH('Summarized Source Data'!$C263,Hour,0)),Month,'Summarized Source Data'!$A263,Sector,'Summarized Source Data'!L$2,Subsector,'Summarized Source Data'!L$3,TimeOfWeek,$E263)*INDEX(About!H$79:H$82,MATCH($B263,About!$A$79:$A$82,0),1)</f>
        <v>34100000</v>
      </c>
      <c r="M263" s="27">
        <f>SUMIFS(INDEX(Load,,MATCH('Summarized Source Data'!$C263,Hour,0)),Month,'Summarized Source Data'!$A263,Sector,'Summarized Source Data'!M$2,Subsector,'Summarized Source Data'!M$3,TimeOfWeek,$E263)*INDEX(About!I$79:I$82,MATCH($B263,About!$A$79:$A$82,0),1)</f>
        <v>195877</v>
      </c>
      <c r="N263" s="27">
        <f>SUMIFS(INDEX(Load,,MATCH('Summarized Source Data'!$C263,Hour,0)),Month,'Summarized Source Data'!$A263,Sector,'Summarized Source Data'!N$2,Subsector,'Summarized Source Data'!N$3,TimeOfWeek,$E263)*INDEX(About!J$79:J$82,MATCH($B263,About!$A$79:$A$82,0),1)</f>
        <v>0</v>
      </c>
      <c r="O263" s="29">
        <f t="shared" si="22"/>
        <v>370704123</v>
      </c>
      <c r="P263" s="27">
        <f>(SUMIFS(INDEX(Load,,MATCH('Summarized Source Data'!$C263,Hour,0)),Month,'Summarized Source Data'!$A263,Sector,'Summarized Source Data'!P$2,Subsector,"Total",TimeOfWeek,$E263)-SUM(L263:N263)*INDEX(About!L$79:L$82,MATCH($B263,About!$A$79:$A$82,0),1))</f>
        <v>370704123</v>
      </c>
      <c r="Q263" s="29">
        <f t="shared" si="23"/>
        <v>370704123</v>
      </c>
      <c r="R263" s="33">
        <f>SUMIFS(INDEX(Load,,MATCH('Summarized Source Data'!$C263,Hour,0)),Month,'Summarized Source Data'!$A263,Sector,'Summarized Source Data'!R$2,TimeOfWeek,$E263)*INDEX(About!N$79:N$82,MATCH($B263,About!$A$79:$A$82,0),1)</f>
        <v>13200000</v>
      </c>
      <c r="S263" s="33">
        <f>SUMIFS(INDEX(Load,,MATCH('Summarized Source Data'!$C263,Hour,0)),Month,'Summarized Source Data'!$A263,Sector,'Summarized Source Data'!S$2,TimeOfWeek,$E263)*INDEX(About!O$79:O$82,MATCH($B263,About!$A$79:$A$82,0),1)</f>
        <v>13200000</v>
      </c>
      <c r="T263" s="33">
        <f>SUMIFS(INDEX(Load,,MATCH('Summarized Source Data'!$C263,Hour,0)),Month,'Summarized Source Data'!$A263,Sector,'Summarized Source Data'!T$2,TimeOfWeek,$E263)*INDEX(About!P$79:P$82,MATCH($B263,About!$A$79:$A$82,0),1)</f>
        <v>13200000</v>
      </c>
      <c r="U263" s="33">
        <f>SUMIFS(INDEX(Load,,MATCH('Summarized Source Data'!$C263,Hour,0)),Month,'Summarized Source Data'!$A263,Sector,'Summarized Source Data'!U$2,TimeOfWeek,$E263)*INDEX(About!Q$79:Q$82,MATCH($B263,About!$A$79:$A$82,0),1)</f>
        <v>13200000</v>
      </c>
      <c r="V263" s="33">
        <f>SUMIFS(INDEX(Load,,MATCH('Summarized Source Data'!$C263,Hour,0)),Month,'Summarized Source Data'!$A263,Sector,'Summarized Source Data'!V$2,TimeOfWeek,$E263)*INDEX(About!R$79:R$82,MATCH($B263,About!$A$79:$A$82,0),1)</f>
        <v>13200000</v>
      </c>
      <c r="W263" s="33">
        <f>SUMIFS(INDEX(Load,,MATCH('Summarized Source Data'!$C263,Hour,0)),Month,'Summarized Source Data'!$A263,Sector,'Summarized Source Data'!W$2,TimeOfWeek,$E263)*INDEX(About!S$79:S$82,MATCH($B263,About!$A$79:$A$82,0),1)</f>
        <v>13200000</v>
      </c>
      <c r="X263" s="27">
        <f>SUMIFS(INDEX(Load,,MATCH('Summarized Source Data'!$C263,Hour,0)),Month,'Summarized Source Data'!$A263,Sector,'Summarized Source Data'!X$2,Subsector,'Summarized Source Data'!X$3,TimeOfWeek,$E263)*INDEX(About!T$79:T$82,MATCH($B263,About!$A$79:$A$82,0),1)</f>
        <v>682000000</v>
      </c>
      <c r="Y263" s="29">
        <f t="shared" si="24"/>
        <v>682000000</v>
      </c>
      <c r="Z263" s="29">
        <f t="shared" si="24"/>
        <v>682000000</v>
      </c>
    </row>
    <row r="264" spans="1:26" outlineLevel="1" x14ac:dyDescent="0.3">
      <c r="A264">
        <f t="shared" si="20"/>
        <v>11</v>
      </c>
      <c r="B264" t="str">
        <f>INDEX('Category Mapping'!$G$28:$G$39,MATCH(A264,'Category Mapping'!$A$28:$A$39,0),1)</f>
        <v>Winter</v>
      </c>
      <c r="C264" t="s">
        <v>83</v>
      </c>
      <c r="D264" s="6" t="s">
        <v>158</v>
      </c>
      <c r="E264" t="s">
        <v>49</v>
      </c>
      <c r="F264" s="27">
        <f>SUMIFS(INDEX(Load,,MATCH('Summarized Source Data'!$C264,Hour,0)),Month,'Summarized Source Data'!$A264,Sector,'Summarized Source Data'!F$2,Subsector,'Summarized Source Data'!F$3,TimeOfWeek,$E264)*INDEX(About!B$79:B$82,MATCH($B264,About!$A$79:$A$82,0),1)</f>
        <v>13300000</v>
      </c>
      <c r="G264" s="27">
        <f>SUMIFS(INDEX(Load,,MATCH('Summarized Source Data'!$C264,Hour,0)),Month,'Summarized Source Data'!$A264,Sector,'Summarized Source Data'!G$2,Subsector,'Summarized Source Data'!G$3,TimeOfWeek,$E264)*INDEX(About!C$79:C$82,MATCH($B264,About!$A$79:$A$82,0),1)</f>
        <v>41345</v>
      </c>
      <c r="H264" s="27">
        <f>SUMIFS(INDEX(Load,,MATCH('Summarized Source Data'!$C264,Hour,0)),Month,'Summarized Source Data'!$A264,Sector,'Summarized Source Data'!H$2,Subsector,'Summarized Source Data'!H$3,TimeOfWeek,$E264)*INDEX(About!D$79:D$82,MATCH($B264,About!$A$79:$A$82,0),1)</f>
        <v>0</v>
      </c>
      <c r="I264" s="27">
        <f>SUMIFS(INDEX(Load,,MATCH('Summarized Source Data'!$C264,Hour,0)),Month,'Summarized Source Data'!$A264,Sector,'Summarized Source Data'!I$2,Subsector,'Summarized Source Data'!I$3,TimeOfWeek,$E264)*INDEX(About!E$79:E$82,MATCH($B264,About!$A$79:$A$82,0),1)</f>
        <v>64400000</v>
      </c>
      <c r="J264" s="54">
        <f t="shared" si="21"/>
        <v>148258655</v>
      </c>
      <c r="K264" s="27">
        <f>(SUMIFS(INDEX(Load,,MATCH('Summarized Source Data'!$C264,Hour,0)),Month,'Summarized Source Data'!$A264,Sector,'Summarized Source Data'!K$2,Subsector,"Total",TimeOfWeek,$E264)-SUM(F264:I264))*INDEX(About!G$79:G$82,MATCH($B264,About!$A$79:$A$82,0),1)</f>
        <v>148258655</v>
      </c>
      <c r="L264" s="27">
        <f>SUMIFS(INDEX(Load,,MATCH('Summarized Source Data'!$C264,Hour,0)),Month,'Summarized Source Data'!$A264,Sector,'Summarized Source Data'!L$2,Subsector,'Summarized Source Data'!L$3,TimeOfWeek,$E264)*INDEX(About!H$79:H$82,MATCH($B264,About!$A$79:$A$82,0),1)</f>
        <v>37300000</v>
      </c>
      <c r="M264" s="27">
        <f>SUMIFS(INDEX(Load,,MATCH('Summarized Source Data'!$C264,Hour,0)),Month,'Summarized Source Data'!$A264,Sector,'Summarized Source Data'!M$2,Subsector,'Summarized Source Data'!M$3,TimeOfWeek,$E264)*INDEX(About!I$79:I$82,MATCH($B264,About!$A$79:$A$82,0),1)</f>
        <v>184786</v>
      </c>
      <c r="N264" s="27">
        <f>SUMIFS(INDEX(Load,,MATCH('Summarized Source Data'!$C264,Hour,0)),Month,'Summarized Source Data'!$A264,Sector,'Summarized Source Data'!N$2,Subsector,'Summarized Source Data'!N$3,TimeOfWeek,$E264)*INDEX(About!J$79:J$82,MATCH($B264,About!$A$79:$A$82,0),1)</f>
        <v>0</v>
      </c>
      <c r="O264" s="29">
        <f t="shared" si="22"/>
        <v>307515214</v>
      </c>
      <c r="P264" s="27">
        <f>(SUMIFS(INDEX(Load,,MATCH('Summarized Source Data'!$C264,Hour,0)),Month,'Summarized Source Data'!$A264,Sector,'Summarized Source Data'!P$2,Subsector,"Total",TimeOfWeek,$E264)-SUM(L264:N264)*INDEX(About!L$79:L$82,MATCH($B264,About!$A$79:$A$82,0),1))</f>
        <v>307515214</v>
      </c>
      <c r="Q264" s="29">
        <f t="shared" si="23"/>
        <v>307515214</v>
      </c>
      <c r="R264" s="33">
        <f>SUMIFS(INDEX(Load,,MATCH('Summarized Source Data'!$C264,Hour,0)),Month,'Summarized Source Data'!$A264,Sector,'Summarized Source Data'!R$2,TimeOfWeek,$E264)*INDEX(About!N$79:N$82,MATCH($B264,About!$A$79:$A$82,0),1)</f>
        <v>12100000</v>
      </c>
      <c r="S264" s="33">
        <f>SUMIFS(INDEX(Load,,MATCH('Summarized Source Data'!$C264,Hour,0)),Month,'Summarized Source Data'!$A264,Sector,'Summarized Source Data'!S$2,TimeOfWeek,$E264)*INDEX(About!O$79:O$82,MATCH($B264,About!$A$79:$A$82,0),1)</f>
        <v>12100000</v>
      </c>
      <c r="T264" s="33">
        <f>SUMIFS(INDEX(Load,,MATCH('Summarized Source Data'!$C264,Hour,0)),Month,'Summarized Source Data'!$A264,Sector,'Summarized Source Data'!T$2,TimeOfWeek,$E264)*INDEX(About!P$79:P$82,MATCH($B264,About!$A$79:$A$82,0),1)</f>
        <v>12100000</v>
      </c>
      <c r="U264" s="33">
        <f>SUMIFS(INDEX(Load,,MATCH('Summarized Source Data'!$C264,Hour,0)),Month,'Summarized Source Data'!$A264,Sector,'Summarized Source Data'!U$2,TimeOfWeek,$E264)*INDEX(About!Q$79:Q$82,MATCH($B264,About!$A$79:$A$82,0),1)</f>
        <v>12100000</v>
      </c>
      <c r="V264" s="33">
        <f>SUMIFS(INDEX(Load,,MATCH('Summarized Source Data'!$C264,Hour,0)),Month,'Summarized Source Data'!$A264,Sector,'Summarized Source Data'!V$2,TimeOfWeek,$E264)*INDEX(About!R$79:R$82,MATCH($B264,About!$A$79:$A$82,0),1)</f>
        <v>12100000</v>
      </c>
      <c r="W264" s="33">
        <f>SUMIFS(INDEX(Load,,MATCH('Summarized Source Data'!$C264,Hour,0)),Month,'Summarized Source Data'!$A264,Sector,'Summarized Source Data'!W$2,TimeOfWeek,$E264)*INDEX(About!S$79:S$82,MATCH($B264,About!$A$79:$A$82,0),1)</f>
        <v>12100000</v>
      </c>
      <c r="X264" s="27">
        <f>SUMIFS(INDEX(Load,,MATCH('Summarized Source Data'!$C264,Hour,0)),Month,'Summarized Source Data'!$A264,Sector,'Summarized Source Data'!X$2,Subsector,'Summarized Source Data'!X$3,TimeOfWeek,$E264)*INDEX(About!T$79:T$82,MATCH($B264,About!$A$79:$A$82,0),1)</f>
        <v>677000000</v>
      </c>
      <c r="Y264" s="29">
        <f t="shared" si="24"/>
        <v>677000000</v>
      </c>
      <c r="Z264" s="29">
        <f t="shared" si="24"/>
        <v>677000000</v>
      </c>
    </row>
    <row r="265" spans="1:26" outlineLevel="1" x14ac:dyDescent="0.3">
      <c r="A265">
        <f t="shared" si="20"/>
        <v>11</v>
      </c>
      <c r="B265" t="str">
        <f>INDEX('Category Mapping'!$G$28:$G$39,MATCH(A265,'Category Mapping'!$A$28:$A$39,0),1)</f>
        <v>Winter</v>
      </c>
      <c r="C265" t="s">
        <v>84</v>
      </c>
      <c r="D265" s="6" t="s">
        <v>159</v>
      </c>
      <c r="E265" t="s">
        <v>49</v>
      </c>
      <c r="F265" s="27">
        <f>SUMIFS(INDEX(Load,,MATCH('Summarized Source Data'!$C265,Hour,0)),Month,'Summarized Source Data'!$A265,Sector,'Summarized Source Data'!F$2,Subsector,'Summarized Source Data'!F$3,TimeOfWeek,$E265)*INDEX(About!B$79:B$82,MATCH($B265,About!$A$79:$A$82,0),1)</f>
        <v>12400000</v>
      </c>
      <c r="G265" s="27">
        <f>SUMIFS(INDEX(Load,,MATCH('Summarized Source Data'!$C265,Hour,0)),Month,'Summarized Source Data'!$A265,Sector,'Summarized Source Data'!G$2,Subsector,'Summarized Source Data'!G$3,TimeOfWeek,$E265)*INDEX(About!C$79:C$82,MATCH($B265,About!$A$79:$A$82,0),1)</f>
        <v>43968</v>
      </c>
      <c r="H265" s="27">
        <f>SUMIFS(INDEX(Load,,MATCH('Summarized Source Data'!$C265,Hour,0)),Month,'Summarized Source Data'!$A265,Sector,'Summarized Source Data'!H$2,Subsector,'Summarized Source Data'!H$3,TimeOfWeek,$E265)*INDEX(About!D$79:D$82,MATCH($B265,About!$A$79:$A$82,0),1)</f>
        <v>0</v>
      </c>
      <c r="I265" s="27">
        <f>SUMIFS(INDEX(Load,,MATCH('Summarized Source Data'!$C265,Hour,0)),Month,'Summarized Source Data'!$A265,Sector,'Summarized Source Data'!I$2,Subsector,'Summarized Source Data'!I$3,TimeOfWeek,$E265)*INDEX(About!E$79:E$82,MATCH($B265,About!$A$79:$A$82,0),1)</f>
        <v>52700000</v>
      </c>
      <c r="J265" s="54">
        <f t="shared" si="21"/>
        <v>146856032</v>
      </c>
      <c r="K265" s="27">
        <f>(SUMIFS(INDEX(Load,,MATCH('Summarized Source Data'!$C265,Hour,0)),Month,'Summarized Source Data'!$A265,Sector,'Summarized Source Data'!K$2,Subsector,"Total",TimeOfWeek,$E265)-SUM(F265:I265))*INDEX(About!G$79:G$82,MATCH($B265,About!$A$79:$A$82,0),1)</f>
        <v>146856032</v>
      </c>
      <c r="L265" s="27">
        <f>SUMIFS(INDEX(Load,,MATCH('Summarized Source Data'!$C265,Hour,0)),Month,'Summarized Source Data'!$A265,Sector,'Summarized Source Data'!L$2,Subsector,'Summarized Source Data'!L$3,TimeOfWeek,$E265)*INDEX(About!H$79:H$82,MATCH($B265,About!$A$79:$A$82,0),1)</f>
        <v>39800000</v>
      </c>
      <c r="M265" s="27">
        <f>SUMIFS(INDEX(Load,,MATCH('Summarized Source Data'!$C265,Hour,0)),Month,'Summarized Source Data'!$A265,Sector,'Summarized Source Data'!M$2,Subsector,'Summarized Source Data'!M$3,TimeOfWeek,$E265)*INDEX(About!I$79:I$82,MATCH($B265,About!$A$79:$A$82,0),1)</f>
        <v>173472</v>
      </c>
      <c r="N265" s="27">
        <f>SUMIFS(INDEX(Load,,MATCH('Summarized Source Data'!$C265,Hour,0)),Month,'Summarized Source Data'!$A265,Sector,'Summarized Source Data'!N$2,Subsector,'Summarized Source Data'!N$3,TimeOfWeek,$E265)*INDEX(About!J$79:J$82,MATCH($B265,About!$A$79:$A$82,0),1)</f>
        <v>0</v>
      </c>
      <c r="O265" s="29">
        <f t="shared" si="22"/>
        <v>249026528</v>
      </c>
      <c r="P265" s="27">
        <f>(SUMIFS(INDEX(Load,,MATCH('Summarized Source Data'!$C265,Hour,0)),Month,'Summarized Source Data'!$A265,Sector,'Summarized Source Data'!P$2,Subsector,"Total",TimeOfWeek,$E265)-SUM(L265:N265)*INDEX(About!L$79:L$82,MATCH($B265,About!$A$79:$A$82,0),1))</f>
        <v>249026528</v>
      </c>
      <c r="Q265" s="29">
        <f t="shared" si="23"/>
        <v>249026528</v>
      </c>
      <c r="R265" s="33">
        <f>SUMIFS(INDEX(Load,,MATCH('Summarized Source Data'!$C265,Hour,0)),Month,'Summarized Source Data'!$A265,Sector,'Summarized Source Data'!R$2,TimeOfWeek,$E265)*INDEX(About!N$79:N$82,MATCH($B265,About!$A$79:$A$82,0),1)</f>
        <v>11400000</v>
      </c>
      <c r="S265" s="33">
        <f>SUMIFS(INDEX(Load,,MATCH('Summarized Source Data'!$C265,Hour,0)),Month,'Summarized Source Data'!$A265,Sector,'Summarized Source Data'!S$2,TimeOfWeek,$E265)*INDEX(About!O$79:O$82,MATCH($B265,About!$A$79:$A$82,0),1)</f>
        <v>11400000</v>
      </c>
      <c r="T265" s="33">
        <f>SUMIFS(INDEX(Load,,MATCH('Summarized Source Data'!$C265,Hour,0)),Month,'Summarized Source Data'!$A265,Sector,'Summarized Source Data'!T$2,TimeOfWeek,$E265)*INDEX(About!P$79:P$82,MATCH($B265,About!$A$79:$A$82,0),1)</f>
        <v>11400000</v>
      </c>
      <c r="U265" s="33">
        <f>SUMIFS(INDEX(Load,,MATCH('Summarized Source Data'!$C265,Hour,0)),Month,'Summarized Source Data'!$A265,Sector,'Summarized Source Data'!U$2,TimeOfWeek,$E265)*INDEX(About!Q$79:Q$82,MATCH($B265,About!$A$79:$A$82,0),1)</f>
        <v>11400000</v>
      </c>
      <c r="V265" s="33">
        <f>SUMIFS(INDEX(Load,,MATCH('Summarized Source Data'!$C265,Hour,0)),Month,'Summarized Source Data'!$A265,Sector,'Summarized Source Data'!V$2,TimeOfWeek,$E265)*INDEX(About!R$79:R$82,MATCH($B265,About!$A$79:$A$82,0),1)</f>
        <v>11400000</v>
      </c>
      <c r="W265" s="33">
        <f>SUMIFS(INDEX(Load,,MATCH('Summarized Source Data'!$C265,Hour,0)),Month,'Summarized Source Data'!$A265,Sector,'Summarized Source Data'!W$2,TimeOfWeek,$E265)*INDEX(About!S$79:S$82,MATCH($B265,About!$A$79:$A$82,0),1)</f>
        <v>11400000</v>
      </c>
      <c r="X265" s="27">
        <f>SUMIFS(INDEX(Load,,MATCH('Summarized Source Data'!$C265,Hour,0)),Month,'Summarized Source Data'!$A265,Sector,'Summarized Source Data'!X$2,Subsector,'Summarized Source Data'!X$3,TimeOfWeek,$E265)*INDEX(About!T$79:T$82,MATCH($B265,About!$A$79:$A$82,0),1)</f>
        <v>671000000</v>
      </c>
      <c r="Y265" s="29">
        <f t="shared" si="24"/>
        <v>671000000</v>
      </c>
      <c r="Z265" s="29">
        <f t="shared" si="24"/>
        <v>671000000</v>
      </c>
    </row>
    <row r="266" spans="1:26" outlineLevel="1" x14ac:dyDescent="0.3">
      <c r="A266">
        <f t="shared" si="20"/>
        <v>11</v>
      </c>
      <c r="B266" t="str">
        <f>INDEX('Category Mapping'!$G$28:$G$39,MATCH(A266,'Category Mapping'!$A$28:$A$39,0),1)</f>
        <v>Winter</v>
      </c>
      <c r="C266" t="s">
        <v>85</v>
      </c>
      <c r="D266" s="6" t="s">
        <v>160</v>
      </c>
      <c r="E266" t="s">
        <v>49</v>
      </c>
      <c r="F266" s="27">
        <f>SUMIFS(INDEX(Load,,MATCH('Summarized Source Data'!$C266,Hour,0)),Month,'Summarized Source Data'!$A266,Sector,'Summarized Source Data'!F$2,Subsector,'Summarized Source Data'!F$3,TimeOfWeek,$E266)*INDEX(About!B$79:B$82,MATCH($B266,About!$A$79:$A$82,0),1)</f>
        <v>10300000</v>
      </c>
      <c r="G266" s="27">
        <f>SUMIFS(INDEX(Load,,MATCH('Summarized Source Data'!$C266,Hour,0)),Month,'Summarized Source Data'!$A266,Sector,'Summarized Source Data'!G$2,Subsector,'Summarized Source Data'!G$3,TimeOfWeek,$E266)*INDEX(About!C$79:C$82,MATCH($B266,About!$A$79:$A$82,0),1)</f>
        <v>45835</v>
      </c>
      <c r="H266" s="27">
        <f>SUMIFS(INDEX(Load,,MATCH('Summarized Source Data'!$C266,Hour,0)),Month,'Summarized Source Data'!$A266,Sector,'Summarized Source Data'!H$2,Subsector,'Summarized Source Data'!H$3,TimeOfWeek,$E266)*INDEX(About!D$79:D$82,MATCH($B266,About!$A$79:$A$82,0),1)</f>
        <v>0</v>
      </c>
      <c r="I266" s="27">
        <f>SUMIFS(INDEX(Load,,MATCH('Summarized Source Data'!$C266,Hour,0)),Month,'Summarized Source Data'!$A266,Sector,'Summarized Source Data'!I$2,Subsector,'Summarized Source Data'!I$3,TimeOfWeek,$E266)*INDEX(About!E$79:E$82,MATCH($B266,About!$A$79:$A$82,0),1)</f>
        <v>31300000</v>
      </c>
      <c r="J266" s="54">
        <f t="shared" si="21"/>
        <v>115354165</v>
      </c>
      <c r="K266" s="27">
        <f>(SUMIFS(INDEX(Load,,MATCH('Summarized Source Data'!$C266,Hour,0)),Month,'Summarized Source Data'!$A266,Sector,'Summarized Source Data'!K$2,Subsector,"Total",TimeOfWeek,$E266)-SUM(F266:I266))*INDEX(About!G$79:G$82,MATCH($B266,About!$A$79:$A$82,0),1)</f>
        <v>115354165</v>
      </c>
      <c r="L266" s="27">
        <f>SUMIFS(INDEX(Load,,MATCH('Summarized Source Data'!$C266,Hour,0)),Month,'Summarized Source Data'!$A266,Sector,'Summarized Source Data'!L$2,Subsector,'Summarized Source Data'!L$3,TimeOfWeek,$E266)*INDEX(About!H$79:H$82,MATCH($B266,About!$A$79:$A$82,0),1)</f>
        <v>39000000</v>
      </c>
      <c r="M266" s="27">
        <f>SUMIFS(INDEX(Load,,MATCH('Summarized Source Data'!$C266,Hour,0)),Month,'Summarized Source Data'!$A266,Sector,'Summarized Source Data'!M$2,Subsector,'Summarized Source Data'!M$3,TimeOfWeek,$E266)*INDEX(About!I$79:I$82,MATCH($B266,About!$A$79:$A$82,0),1)</f>
        <v>159868</v>
      </c>
      <c r="N266" s="27">
        <f>SUMIFS(INDEX(Load,,MATCH('Summarized Source Data'!$C266,Hour,0)),Month,'Summarized Source Data'!$A266,Sector,'Summarized Source Data'!N$2,Subsector,'Summarized Source Data'!N$3,TimeOfWeek,$E266)*INDEX(About!J$79:J$82,MATCH($B266,About!$A$79:$A$82,0),1)</f>
        <v>0</v>
      </c>
      <c r="O266" s="29">
        <f t="shared" si="22"/>
        <v>209840132</v>
      </c>
      <c r="P266" s="27">
        <f>(SUMIFS(INDEX(Load,,MATCH('Summarized Source Data'!$C266,Hour,0)),Month,'Summarized Source Data'!$A266,Sector,'Summarized Source Data'!P$2,Subsector,"Total",TimeOfWeek,$E266)-SUM(L266:N266)*INDEX(About!L$79:L$82,MATCH($B266,About!$A$79:$A$82,0),1))</f>
        <v>209840132</v>
      </c>
      <c r="Q266" s="29">
        <f t="shared" si="23"/>
        <v>209840132</v>
      </c>
      <c r="R266" s="33">
        <f>SUMIFS(INDEX(Load,,MATCH('Summarized Source Data'!$C266,Hour,0)),Month,'Summarized Source Data'!$A266,Sector,'Summarized Source Data'!R$2,TimeOfWeek,$E266)*INDEX(About!N$79:N$82,MATCH($B266,About!$A$79:$A$82,0),1)</f>
        <v>10800000</v>
      </c>
      <c r="S266" s="33">
        <f>SUMIFS(INDEX(Load,,MATCH('Summarized Source Data'!$C266,Hour,0)),Month,'Summarized Source Data'!$A266,Sector,'Summarized Source Data'!S$2,TimeOfWeek,$E266)*INDEX(About!O$79:O$82,MATCH($B266,About!$A$79:$A$82,0),1)</f>
        <v>10800000</v>
      </c>
      <c r="T266" s="33">
        <f>SUMIFS(INDEX(Load,,MATCH('Summarized Source Data'!$C266,Hour,0)),Month,'Summarized Source Data'!$A266,Sector,'Summarized Source Data'!T$2,TimeOfWeek,$E266)*INDEX(About!P$79:P$82,MATCH($B266,About!$A$79:$A$82,0),1)</f>
        <v>10800000</v>
      </c>
      <c r="U266" s="33">
        <f>SUMIFS(INDEX(Load,,MATCH('Summarized Source Data'!$C266,Hour,0)),Month,'Summarized Source Data'!$A266,Sector,'Summarized Source Data'!U$2,TimeOfWeek,$E266)*INDEX(About!Q$79:Q$82,MATCH($B266,About!$A$79:$A$82,0),1)</f>
        <v>10800000</v>
      </c>
      <c r="V266" s="33">
        <f>SUMIFS(INDEX(Load,,MATCH('Summarized Source Data'!$C266,Hour,0)),Month,'Summarized Source Data'!$A266,Sector,'Summarized Source Data'!V$2,TimeOfWeek,$E266)*INDEX(About!R$79:R$82,MATCH($B266,About!$A$79:$A$82,0),1)</f>
        <v>10800000</v>
      </c>
      <c r="W266" s="33">
        <f>SUMIFS(INDEX(Load,,MATCH('Summarized Source Data'!$C266,Hour,0)),Month,'Summarized Source Data'!$A266,Sector,'Summarized Source Data'!W$2,TimeOfWeek,$E266)*INDEX(About!S$79:S$82,MATCH($B266,About!$A$79:$A$82,0),1)</f>
        <v>10800000</v>
      </c>
      <c r="X266" s="27">
        <f>SUMIFS(INDEX(Load,,MATCH('Summarized Source Data'!$C266,Hour,0)),Month,'Summarized Source Data'!$A266,Sector,'Summarized Source Data'!X$2,Subsector,'Summarized Source Data'!X$3,TimeOfWeek,$E266)*INDEX(About!T$79:T$82,MATCH($B266,About!$A$79:$A$82,0),1)</f>
        <v>665000000</v>
      </c>
      <c r="Y266" s="29">
        <f t="shared" si="24"/>
        <v>665000000</v>
      </c>
      <c r="Z266" s="29">
        <f t="shared" si="24"/>
        <v>665000000</v>
      </c>
    </row>
    <row r="267" spans="1:26" outlineLevel="1" x14ac:dyDescent="0.3">
      <c r="A267">
        <f t="shared" si="20"/>
        <v>11</v>
      </c>
      <c r="B267" t="str">
        <f>INDEX('Category Mapping'!$G$28:$G$39,MATCH(A267,'Category Mapping'!$A$28:$A$39,0),1)</f>
        <v>Winter</v>
      </c>
      <c r="C267" t="s">
        <v>86</v>
      </c>
      <c r="D267" s="6" t="s">
        <v>161</v>
      </c>
      <c r="E267" t="s">
        <v>49</v>
      </c>
      <c r="F267" s="27">
        <f>SUMIFS(INDEX(Load,,MATCH('Summarized Source Data'!$C267,Hour,0)),Month,'Summarized Source Data'!$A267,Sector,'Summarized Source Data'!F$2,Subsector,'Summarized Source Data'!F$3,TimeOfWeek,$E267)*INDEX(About!B$79:B$82,MATCH($B267,About!$A$79:$A$82,0),1)</f>
        <v>10000000</v>
      </c>
      <c r="G267" s="27">
        <f>SUMIFS(INDEX(Load,,MATCH('Summarized Source Data'!$C267,Hour,0)),Month,'Summarized Source Data'!$A267,Sector,'Summarized Source Data'!G$2,Subsector,'Summarized Source Data'!G$3,TimeOfWeek,$E267)*INDEX(About!C$79:C$82,MATCH($B267,About!$A$79:$A$82,0),1)</f>
        <v>47095</v>
      </c>
      <c r="H267" s="27">
        <f>SUMIFS(INDEX(Load,,MATCH('Summarized Source Data'!$C267,Hour,0)),Month,'Summarized Source Data'!$A267,Sector,'Summarized Source Data'!H$2,Subsector,'Summarized Source Data'!H$3,TimeOfWeek,$E267)*INDEX(About!D$79:D$82,MATCH($B267,About!$A$79:$A$82,0),1)</f>
        <v>0</v>
      </c>
      <c r="I267" s="27">
        <f>SUMIFS(INDEX(Load,,MATCH('Summarized Source Data'!$C267,Hour,0)),Month,'Summarized Source Data'!$A267,Sector,'Summarized Source Data'!I$2,Subsector,'Summarized Source Data'!I$3,TimeOfWeek,$E267)*INDEX(About!E$79:E$82,MATCH($B267,About!$A$79:$A$82,0),1)</f>
        <v>16500000</v>
      </c>
      <c r="J267" s="54">
        <f t="shared" si="21"/>
        <v>91452905</v>
      </c>
      <c r="K267" s="27">
        <f>(SUMIFS(INDEX(Load,,MATCH('Summarized Source Data'!$C267,Hour,0)),Month,'Summarized Source Data'!$A267,Sector,'Summarized Source Data'!K$2,Subsector,"Total",TimeOfWeek,$E267)-SUM(F267:I267))*INDEX(About!G$79:G$82,MATCH($B267,About!$A$79:$A$82,0),1)</f>
        <v>91452905</v>
      </c>
      <c r="L267" s="27">
        <f>SUMIFS(INDEX(Load,,MATCH('Summarized Source Data'!$C267,Hour,0)),Month,'Summarized Source Data'!$A267,Sector,'Summarized Source Data'!L$2,Subsector,'Summarized Source Data'!L$3,TimeOfWeek,$E267)*INDEX(About!H$79:H$82,MATCH($B267,About!$A$79:$A$82,0),1)</f>
        <v>23700000</v>
      </c>
      <c r="M267" s="27">
        <f>SUMIFS(INDEX(Load,,MATCH('Summarized Source Data'!$C267,Hour,0)),Month,'Summarized Source Data'!$A267,Sector,'Summarized Source Data'!M$2,Subsector,'Summarized Source Data'!M$3,TimeOfWeek,$E267)*INDEX(About!I$79:I$82,MATCH($B267,About!$A$79:$A$82,0),1)</f>
        <v>141284</v>
      </c>
      <c r="N267" s="27">
        <f>SUMIFS(INDEX(Load,,MATCH('Summarized Source Data'!$C267,Hour,0)),Month,'Summarized Source Data'!$A267,Sector,'Summarized Source Data'!N$2,Subsector,'Summarized Source Data'!N$3,TimeOfWeek,$E267)*INDEX(About!J$79:J$82,MATCH($B267,About!$A$79:$A$82,0),1)</f>
        <v>0</v>
      </c>
      <c r="O267" s="29">
        <f t="shared" si="22"/>
        <v>183158716</v>
      </c>
      <c r="P267" s="27">
        <f>(SUMIFS(INDEX(Load,,MATCH('Summarized Source Data'!$C267,Hour,0)),Month,'Summarized Source Data'!$A267,Sector,'Summarized Source Data'!P$2,Subsector,"Total",TimeOfWeek,$E267)-SUM(L267:N267)*INDEX(About!L$79:L$82,MATCH($B267,About!$A$79:$A$82,0),1))</f>
        <v>183158716</v>
      </c>
      <c r="Q267" s="29">
        <f t="shared" si="23"/>
        <v>183158716</v>
      </c>
      <c r="R267" s="33">
        <f>SUMIFS(INDEX(Load,,MATCH('Summarized Source Data'!$C267,Hour,0)),Month,'Summarized Source Data'!$A267,Sector,'Summarized Source Data'!R$2,TimeOfWeek,$E267)*INDEX(About!N$79:N$82,MATCH($B267,About!$A$79:$A$82,0),1)</f>
        <v>7246991</v>
      </c>
      <c r="S267" s="33">
        <f>SUMIFS(INDEX(Load,,MATCH('Summarized Source Data'!$C267,Hour,0)),Month,'Summarized Source Data'!$A267,Sector,'Summarized Source Data'!S$2,TimeOfWeek,$E267)*INDEX(About!O$79:O$82,MATCH($B267,About!$A$79:$A$82,0),1)</f>
        <v>7246991</v>
      </c>
      <c r="T267" s="33">
        <f>SUMIFS(INDEX(Load,,MATCH('Summarized Source Data'!$C267,Hour,0)),Month,'Summarized Source Data'!$A267,Sector,'Summarized Source Data'!T$2,TimeOfWeek,$E267)*INDEX(About!P$79:P$82,MATCH($B267,About!$A$79:$A$82,0),1)</f>
        <v>7246991</v>
      </c>
      <c r="U267" s="33">
        <f>SUMIFS(INDEX(Load,,MATCH('Summarized Source Data'!$C267,Hour,0)),Month,'Summarized Source Data'!$A267,Sector,'Summarized Source Data'!U$2,TimeOfWeek,$E267)*INDEX(About!Q$79:Q$82,MATCH($B267,About!$A$79:$A$82,0),1)</f>
        <v>7246991</v>
      </c>
      <c r="V267" s="33">
        <f>SUMIFS(INDEX(Load,,MATCH('Summarized Source Data'!$C267,Hour,0)),Month,'Summarized Source Data'!$A267,Sector,'Summarized Source Data'!V$2,TimeOfWeek,$E267)*INDEX(About!R$79:R$82,MATCH($B267,About!$A$79:$A$82,0),1)</f>
        <v>7246991</v>
      </c>
      <c r="W267" s="33">
        <f>SUMIFS(INDEX(Load,,MATCH('Summarized Source Data'!$C267,Hour,0)),Month,'Summarized Source Data'!$A267,Sector,'Summarized Source Data'!W$2,TimeOfWeek,$E267)*INDEX(About!S$79:S$82,MATCH($B267,About!$A$79:$A$82,0),1)</f>
        <v>7246991</v>
      </c>
      <c r="X267" s="27">
        <f>SUMIFS(INDEX(Load,,MATCH('Summarized Source Data'!$C267,Hour,0)),Month,'Summarized Source Data'!$A267,Sector,'Summarized Source Data'!X$2,Subsector,'Summarized Source Data'!X$3,TimeOfWeek,$E267)*INDEX(About!T$79:T$82,MATCH($B267,About!$A$79:$A$82,0),1)</f>
        <v>662000000</v>
      </c>
      <c r="Y267" s="29">
        <f t="shared" si="24"/>
        <v>662000000</v>
      </c>
      <c r="Z267" s="29">
        <f t="shared" si="24"/>
        <v>662000000</v>
      </c>
    </row>
    <row r="268" spans="1:26" outlineLevel="1" x14ac:dyDescent="0.3">
      <c r="A268">
        <f t="shared" si="20"/>
        <v>12</v>
      </c>
      <c r="B268" t="str">
        <f>INDEX('Category Mapping'!$G$28:$G$39,MATCH(A268,'Category Mapping'!$A$28:$A$39,0),1)</f>
        <v>Winter</v>
      </c>
      <c r="C268" t="s">
        <v>63</v>
      </c>
      <c r="D268" s="6" t="s">
        <v>138</v>
      </c>
      <c r="E268" t="s">
        <v>49</v>
      </c>
      <c r="F268" s="27">
        <f>SUMIFS(INDEX(Load,,MATCH('Summarized Source Data'!$C268,Hour,0)),Month,'Summarized Source Data'!$A268,Sector,'Summarized Source Data'!F$2,Subsector,'Summarized Source Data'!F$3,TimeOfWeek,$E268)*INDEX(About!B$79:B$82,MATCH($B268,About!$A$79:$A$82,0),1)</f>
        <v>17500000</v>
      </c>
      <c r="G268" s="27">
        <f>SUMIFS(INDEX(Load,,MATCH('Summarized Source Data'!$C268,Hour,0)),Month,'Summarized Source Data'!$A268,Sector,'Summarized Source Data'!G$2,Subsector,'Summarized Source Data'!G$3,TimeOfWeek,$E268)*INDEX(About!C$79:C$82,MATCH($B268,About!$A$79:$A$82,0),1)</f>
        <v>18044</v>
      </c>
      <c r="H268" s="27">
        <f>SUMIFS(INDEX(Load,,MATCH('Summarized Source Data'!$C268,Hour,0)),Month,'Summarized Source Data'!$A268,Sector,'Summarized Source Data'!H$2,Subsector,'Summarized Source Data'!H$3,TimeOfWeek,$E268)*INDEX(About!D$79:D$82,MATCH($B268,About!$A$79:$A$82,0),1)</f>
        <v>0</v>
      </c>
      <c r="I268" s="27">
        <f>SUMIFS(INDEX(Load,,MATCH('Summarized Source Data'!$C268,Hour,0)),Month,'Summarized Source Data'!$A268,Sector,'Summarized Source Data'!I$2,Subsector,'Summarized Source Data'!I$3,TimeOfWeek,$E268)*INDEX(About!E$79:E$82,MATCH($B268,About!$A$79:$A$82,0),1)</f>
        <v>11800000</v>
      </c>
      <c r="J268" s="54">
        <f t="shared" si="21"/>
        <v>74681956</v>
      </c>
      <c r="K268" s="27">
        <f>(SUMIFS(INDEX(Load,,MATCH('Summarized Source Data'!$C268,Hour,0)),Month,'Summarized Source Data'!$A268,Sector,'Summarized Source Data'!K$2,Subsector,"Total",TimeOfWeek,$E268)-SUM(F268:I268))*INDEX(About!G$79:G$82,MATCH($B268,About!$A$79:$A$82,0),1)</f>
        <v>74681956</v>
      </c>
      <c r="L268" s="27">
        <f>SUMIFS(INDEX(Load,,MATCH('Summarized Source Data'!$C268,Hour,0)),Month,'Summarized Source Data'!$A268,Sector,'Summarized Source Data'!L$2,Subsector,'Summarized Source Data'!L$3,TimeOfWeek,$E268)*INDEX(About!H$79:H$82,MATCH($B268,About!$A$79:$A$82,0),1)</f>
        <v>36800000</v>
      </c>
      <c r="M268" s="27">
        <f>SUMIFS(INDEX(Load,,MATCH('Summarized Source Data'!$C268,Hour,0)),Month,'Summarized Source Data'!$A268,Sector,'Summarized Source Data'!M$2,Subsector,'Summarized Source Data'!M$3,TimeOfWeek,$E268)*INDEX(About!I$79:I$82,MATCH($B268,About!$A$79:$A$82,0),1)</f>
        <v>47787</v>
      </c>
      <c r="N268" s="27">
        <f>SUMIFS(INDEX(Load,,MATCH('Summarized Source Data'!$C268,Hour,0)),Month,'Summarized Source Data'!$A268,Sector,'Summarized Source Data'!N$2,Subsector,'Summarized Source Data'!N$3,TimeOfWeek,$E268)*INDEX(About!J$79:J$82,MATCH($B268,About!$A$79:$A$82,0),1)</f>
        <v>0</v>
      </c>
      <c r="O268" s="29">
        <f t="shared" si="22"/>
        <v>154152213</v>
      </c>
      <c r="P268" s="27">
        <f>(SUMIFS(INDEX(Load,,MATCH('Summarized Source Data'!$C268,Hour,0)),Month,'Summarized Source Data'!$A268,Sector,'Summarized Source Data'!P$2,Subsector,"Total",TimeOfWeek,$E268)-SUM(L268:N268)*INDEX(About!L$79:L$82,MATCH($B268,About!$A$79:$A$82,0),1))</f>
        <v>154152213</v>
      </c>
      <c r="Q268" s="29">
        <f t="shared" si="23"/>
        <v>154152213</v>
      </c>
      <c r="R268" s="33">
        <f>SUMIFS(INDEX(Load,,MATCH('Summarized Source Data'!$C268,Hour,0)),Month,'Summarized Source Data'!$A268,Sector,'Summarized Source Data'!R$2,TimeOfWeek,$E268)*INDEX(About!N$79:N$82,MATCH($B268,About!$A$79:$A$82,0),1)</f>
        <v>4983415</v>
      </c>
      <c r="S268" s="33">
        <f>SUMIFS(INDEX(Load,,MATCH('Summarized Source Data'!$C268,Hour,0)),Month,'Summarized Source Data'!$A268,Sector,'Summarized Source Data'!S$2,TimeOfWeek,$E268)*INDEX(About!O$79:O$82,MATCH($B268,About!$A$79:$A$82,0),1)</f>
        <v>4983415</v>
      </c>
      <c r="T268" s="33">
        <f>SUMIFS(INDEX(Load,,MATCH('Summarized Source Data'!$C268,Hour,0)),Month,'Summarized Source Data'!$A268,Sector,'Summarized Source Data'!T$2,TimeOfWeek,$E268)*INDEX(About!P$79:P$82,MATCH($B268,About!$A$79:$A$82,0),1)</f>
        <v>4983415</v>
      </c>
      <c r="U268" s="33">
        <f>SUMIFS(INDEX(Load,,MATCH('Summarized Source Data'!$C268,Hour,0)),Month,'Summarized Source Data'!$A268,Sector,'Summarized Source Data'!U$2,TimeOfWeek,$E268)*INDEX(About!Q$79:Q$82,MATCH($B268,About!$A$79:$A$82,0),1)</f>
        <v>4983415</v>
      </c>
      <c r="V268" s="33">
        <f>SUMIFS(INDEX(Load,,MATCH('Summarized Source Data'!$C268,Hour,0)),Month,'Summarized Source Data'!$A268,Sector,'Summarized Source Data'!V$2,TimeOfWeek,$E268)*INDEX(About!R$79:R$82,MATCH($B268,About!$A$79:$A$82,0),1)</f>
        <v>4983415</v>
      </c>
      <c r="W268" s="33">
        <f>SUMIFS(INDEX(Load,,MATCH('Summarized Source Data'!$C268,Hour,0)),Month,'Summarized Source Data'!$A268,Sector,'Summarized Source Data'!W$2,TimeOfWeek,$E268)*INDEX(About!S$79:S$82,MATCH($B268,About!$A$79:$A$82,0),1)</f>
        <v>4983415</v>
      </c>
      <c r="X268" s="27">
        <f>SUMIFS(INDEX(Load,,MATCH('Summarized Source Data'!$C268,Hour,0)),Month,'Summarized Source Data'!$A268,Sector,'Summarized Source Data'!X$2,Subsector,'Summarized Source Data'!X$3,TimeOfWeek,$E268)*INDEX(About!T$79:T$82,MATCH($B268,About!$A$79:$A$82,0),1)</f>
        <v>621000000</v>
      </c>
      <c r="Y268" s="29">
        <f t="shared" si="24"/>
        <v>621000000</v>
      </c>
      <c r="Z268" s="29">
        <f t="shared" si="24"/>
        <v>621000000</v>
      </c>
    </row>
    <row r="269" spans="1:26" outlineLevel="1" x14ac:dyDescent="0.3">
      <c r="A269">
        <f t="shared" si="20"/>
        <v>12</v>
      </c>
      <c r="B269" t="str">
        <f>INDEX('Category Mapping'!$G$28:$G$39,MATCH(A269,'Category Mapping'!$A$28:$A$39,0),1)</f>
        <v>Winter</v>
      </c>
      <c r="C269" t="s">
        <v>64</v>
      </c>
      <c r="D269" s="6" t="s">
        <v>139</v>
      </c>
      <c r="E269" t="s">
        <v>49</v>
      </c>
      <c r="F269" s="27">
        <f>SUMIFS(INDEX(Load,,MATCH('Summarized Source Data'!$C269,Hour,0)),Month,'Summarized Source Data'!$A269,Sector,'Summarized Source Data'!F$2,Subsector,'Summarized Source Data'!F$3,TimeOfWeek,$E269)*INDEX(About!B$79:B$82,MATCH($B269,About!$A$79:$A$82,0),1)</f>
        <v>17800000</v>
      </c>
      <c r="G269" s="27">
        <f>SUMIFS(INDEX(Load,,MATCH('Summarized Source Data'!$C269,Hour,0)),Month,'Summarized Source Data'!$A269,Sector,'Summarized Source Data'!G$2,Subsector,'Summarized Source Data'!G$3,TimeOfWeek,$E269)*INDEX(About!C$79:C$82,MATCH($B269,About!$A$79:$A$82,0),1)</f>
        <v>18146</v>
      </c>
      <c r="H269" s="27">
        <f>SUMIFS(INDEX(Load,,MATCH('Summarized Source Data'!$C269,Hour,0)),Month,'Summarized Source Data'!$A269,Sector,'Summarized Source Data'!H$2,Subsector,'Summarized Source Data'!H$3,TimeOfWeek,$E269)*INDEX(About!D$79:D$82,MATCH($B269,About!$A$79:$A$82,0),1)</f>
        <v>0</v>
      </c>
      <c r="I269" s="27">
        <f>SUMIFS(INDEX(Load,,MATCH('Summarized Source Data'!$C269,Hour,0)),Month,'Summarized Source Data'!$A269,Sector,'Summarized Source Data'!I$2,Subsector,'Summarized Source Data'!I$3,TimeOfWeek,$E269)*INDEX(About!E$79:E$82,MATCH($B269,About!$A$79:$A$82,0),1)</f>
        <v>10900000</v>
      </c>
      <c r="J269" s="54">
        <f t="shared" si="21"/>
        <v>53981854</v>
      </c>
      <c r="K269" s="27">
        <f>(SUMIFS(INDEX(Load,,MATCH('Summarized Source Data'!$C269,Hour,0)),Month,'Summarized Source Data'!$A269,Sector,'Summarized Source Data'!K$2,Subsector,"Total",TimeOfWeek,$E269)-SUM(F269:I269))*INDEX(About!G$79:G$82,MATCH($B269,About!$A$79:$A$82,0),1)</f>
        <v>53981854</v>
      </c>
      <c r="L269" s="27">
        <f>SUMIFS(INDEX(Load,,MATCH('Summarized Source Data'!$C269,Hour,0)),Month,'Summarized Source Data'!$A269,Sector,'Summarized Source Data'!L$2,Subsector,'Summarized Source Data'!L$3,TimeOfWeek,$E269)*INDEX(About!H$79:H$82,MATCH($B269,About!$A$79:$A$82,0),1)</f>
        <v>33400000</v>
      </c>
      <c r="M269" s="27">
        <f>SUMIFS(INDEX(Load,,MATCH('Summarized Source Data'!$C269,Hour,0)),Month,'Summarized Source Data'!$A269,Sector,'Summarized Source Data'!M$2,Subsector,'Summarized Source Data'!M$3,TimeOfWeek,$E269)*INDEX(About!I$79:I$82,MATCH($B269,About!$A$79:$A$82,0),1)</f>
        <v>45060</v>
      </c>
      <c r="N269" s="27">
        <f>SUMIFS(INDEX(Load,,MATCH('Summarized Source Data'!$C269,Hour,0)),Month,'Summarized Source Data'!$A269,Sector,'Summarized Source Data'!N$2,Subsector,'Summarized Source Data'!N$3,TimeOfWeek,$E269)*INDEX(About!J$79:J$82,MATCH($B269,About!$A$79:$A$82,0),1)</f>
        <v>0</v>
      </c>
      <c r="O269" s="29">
        <f t="shared" si="22"/>
        <v>151554940</v>
      </c>
      <c r="P269" s="27">
        <f>(SUMIFS(INDEX(Load,,MATCH('Summarized Source Data'!$C269,Hour,0)),Month,'Summarized Source Data'!$A269,Sector,'Summarized Source Data'!P$2,Subsector,"Total",TimeOfWeek,$E269)-SUM(L269:N269)*INDEX(About!L$79:L$82,MATCH($B269,About!$A$79:$A$82,0),1))</f>
        <v>151554940</v>
      </c>
      <c r="Q269" s="29">
        <f t="shared" si="23"/>
        <v>151554940</v>
      </c>
      <c r="R269" s="33">
        <f>SUMIFS(INDEX(Load,,MATCH('Summarized Source Data'!$C269,Hour,0)),Month,'Summarized Source Data'!$A269,Sector,'Summarized Source Data'!R$2,TimeOfWeek,$E269)*INDEX(About!N$79:N$82,MATCH($B269,About!$A$79:$A$82,0),1)</f>
        <v>4915595</v>
      </c>
      <c r="S269" s="33">
        <f>SUMIFS(INDEX(Load,,MATCH('Summarized Source Data'!$C269,Hour,0)),Month,'Summarized Source Data'!$A269,Sector,'Summarized Source Data'!S$2,TimeOfWeek,$E269)*INDEX(About!O$79:O$82,MATCH($B269,About!$A$79:$A$82,0),1)</f>
        <v>4915595</v>
      </c>
      <c r="T269" s="33">
        <f>SUMIFS(INDEX(Load,,MATCH('Summarized Source Data'!$C269,Hour,0)),Month,'Summarized Source Data'!$A269,Sector,'Summarized Source Data'!T$2,TimeOfWeek,$E269)*INDEX(About!P$79:P$82,MATCH($B269,About!$A$79:$A$82,0),1)</f>
        <v>4915595</v>
      </c>
      <c r="U269" s="33">
        <f>SUMIFS(INDEX(Load,,MATCH('Summarized Source Data'!$C269,Hour,0)),Month,'Summarized Source Data'!$A269,Sector,'Summarized Source Data'!U$2,TimeOfWeek,$E269)*INDEX(About!Q$79:Q$82,MATCH($B269,About!$A$79:$A$82,0),1)</f>
        <v>4915595</v>
      </c>
      <c r="V269" s="33">
        <f>SUMIFS(INDEX(Load,,MATCH('Summarized Source Data'!$C269,Hour,0)),Month,'Summarized Source Data'!$A269,Sector,'Summarized Source Data'!V$2,TimeOfWeek,$E269)*INDEX(About!R$79:R$82,MATCH($B269,About!$A$79:$A$82,0),1)</f>
        <v>4915595</v>
      </c>
      <c r="W269" s="33">
        <f>SUMIFS(INDEX(Load,,MATCH('Summarized Source Data'!$C269,Hour,0)),Month,'Summarized Source Data'!$A269,Sector,'Summarized Source Data'!W$2,TimeOfWeek,$E269)*INDEX(About!S$79:S$82,MATCH($B269,About!$A$79:$A$82,0),1)</f>
        <v>4915595</v>
      </c>
      <c r="X269" s="27">
        <f>SUMIFS(INDEX(Load,,MATCH('Summarized Source Data'!$C269,Hour,0)),Month,'Summarized Source Data'!$A269,Sector,'Summarized Source Data'!X$2,Subsector,'Summarized Source Data'!X$3,TimeOfWeek,$E269)*INDEX(About!T$79:T$82,MATCH($B269,About!$A$79:$A$82,0),1)</f>
        <v>621000000</v>
      </c>
      <c r="Y269" s="29">
        <f t="shared" si="24"/>
        <v>621000000</v>
      </c>
      <c r="Z269" s="29">
        <f t="shared" si="24"/>
        <v>621000000</v>
      </c>
    </row>
    <row r="270" spans="1:26" outlineLevel="1" x14ac:dyDescent="0.3">
      <c r="A270">
        <f t="shared" si="20"/>
        <v>12</v>
      </c>
      <c r="B270" t="str">
        <f>INDEX('Category Mapping'!$G$28:$G$39,MATCH(A270,'Category Mapping'!$A$28:$A$39,0),1)</f>
        <v>Winter</v>
      </c>
      <c r="C270" t="s">
        <v>65</v>
      </c>
      <c r="D270" s="6" t="s">
        <v>140</v>
      </c>
      <c r="E270" t="s">
        <v>49</v>
      </c>
      <c r="F270" s="27">
        <f>SUMIFS(INDEX(Load,,MATCH('Summarized Source Data'!$C270,Hour,0)),Month,'Summarized Source Data'!$A270,Sector,'Summarized Source Data'!F$2,Subsector,'Summarized Source Data'!F$3,TimeOfWeek,$E270)*INDEX(About!B$79:B$82,MATCH($B270,About!$A$79:$A$82,0),1)</f>
        <v>17900000</v>
      </c>
      <c r="G270" s="27">
        <f>SUMIFS(INDEX(Load,,MATCH('Summarized Source Data'!$C270,Hour,0)),Month,'Summarized Source Data'!$A270,Sector,'Summarized Source Data'!G$2,Subsector,'Summarized Source Data'!G$3,TimeOfWeek,$E270)*INDEX(About!C$79:C$82,MATCH($B270,About!$A$79:$A$82,0),1)</f>
        <v>18215</v>
      </c>
      <c r="H270" s="27">
        <f>SUMIFS(INDEX(Load,,MATCH('Summarized Source Data'!$C270,Hour,0)),Month,'Summarized Source Data'!$A270,Sector,'Summarized Source Data'!H$2,Subsector,'Summarized Source Data'!H$3,TimeOfWeek,$E270)*INDEX(About!D$79:D$82,MATCH($B270,About!$A$79:$A$82,0),1)</f>
        <v>0</v>
      </c>
      <c r="I270" s="27">
        <f>SUMIFS(INDEX(Load,,MATCH('Summarized Source Data'!$C270,Hour,0)),Month,'Summarized Source Data'!$A270,Sector,'Summarized Source Data'!I$2,Subsector,'Summarized Source Data'!I$3,TimeOfWeek,$E270)*INDEX(About!E$79:E$82,MATCH($B270,About!$A$79:$A$82,0),1)</f>
        <v>10800000</v>
      </c>
      <c r="J270" s="54">
        <f t="shared" si="21"/>
        <v>43381785</v>
      </c>
      <c r="K270" s="27">
        <f>(SUMIFS(INDEX(Load,,MATCH('Summarized Source Data'!$C270,Hour,0)),Month,'Summarized Source Data'!$A270,Sector,'Summarized Source Data'!K$2,Subsector,"Total",TimeOfWeek,$E270)-SUM(F270:I270))*INDEX(About!G$79:G$82,MATCH($B270,About!$A$79:$A$82,0),1)</f>
        <v>43381785</v>
      </c>
      <c r="L270" s="27">
        <f>SUMIFS(INDEX(Load,,MATCH('Summarized Source Data'!$C270,Hour,0)),Month,'Summarized Source Data'!$A270,Sector,'Summarized Source Data'!L$2,Subsector,'Summarized Source Data'!L$3,TimeOfWeek,$E270)*INDEX(About!H$79:H$82,MATCH($B270,About!$A$79:$A$82,0),1)</f>
        <v>29900000</v>
      </c>
      <c r="M270" s="27">
        <f>SUMIFS(INDEX(Load,,MATCH('Summarized Source Data'!$C270,Hour,0)),Month,'Summarized Source Data'!$A270,Sector,'Summarized Source Data'!M$2,Subsector,'Summarized Source Data'!M$3,TimeOfWeek,$E270)*INDEX(About!I$79:I$82,MATCH($B270,About!$A$79:$A$82,0),1)</f>
        <v>43923</v>
      </c>
      <c r="N270" s="27">
        <f>SUMIFS(INDEX(Load,,MATCH('Summarized Source Data'!$C270,Hour,0)),Month,'Summarized Source Data'!$A270,Sector,'Summarized Source Data'!N$2,Subsector,'Summarized Source Data'!N$3,TimeOfWeek,$E270)*INDEX(About!J$79:J$82,MATCH($B270,About!$A$79:$A$82,0),1)</f>
        <v>0</v>
      </c>
      <c r="O270" s="29">
        <f t="shared" si="22"/>
        <v>151056077</v>
      </c>
      <c r="P270" s="27">
        <f>(SUMIFS(INDEX(Load,,MATCH('Summarized Source Data'!$C270,Hour,0)),Month,'Summarized Source Data'!$A270,Sector,'Summarized Source Data'!P$2,Subsector,"Total",TimeOfWeek,$E270)-SUM(L270:N270)*INDEX(About!L$79:L$82,MATCH($B270,About!$A$79:$A$82,0),1))</f>
        <v>151056077</v>
      </c>
      <c r="Q270" s="29">
        <f t="shared" si="23"/>
        <v>151056077</v>
      </c>
      <c r="R270" s="33">
        <f>SUMIFS(INDEX(Load,,MATCH('Summarized Source Data'!$C270,Hour,0)),Month,'Summarized Source Data'!$A270,Sector,'Summarized Source Data'!R$2,TimeOfWeek,$E270)*INDEX(About!N$79:N$82,MATCH($B270,About!$A$79:$A$82,0),1)</f>
        <v>4898177</v>
      </c>
      <c r="S270" s="33">
        <f>SUMIFS(INDEX(Load,,MATCH('Summarized Source Data'!$C270,Hour,0)),Month,'Summarized Source Data'!$A270,Sector,'Summarized Source Data'!S$2,TimeOfWeek,$E270)*INDEX(About!O$79:O$82,MATCH($B270,About!$A$79:$A$82,0),1)</f>
        <v>4898177</v>
      </c>
      <c r="T270" s="33">
        <f>SUMIFS(INDEX(Load,,MATCH('Summarized Source Data'!$C270,Hour,0)),Month,'Summarized Source Data'!$A270,Sector,'Summarized Source Data'!T$2,TimeOfWeek,$E270)*INDEX(About!P$79:P$82,MATCH($B270,About!$A$79:$A$82,0),1)</f>
        <v>4898177</v>
      </c>
      <c r="U270" s="33">
        <f>SUMIFS(INDEX(Load,,MATCH('Summarized Source Data'!$C270,Hour,0)),Month,'Summarized Source Data'!$A270,Sector,'Summarized Source Data'!U$2,TimeOfWeek,$E270)*INDEX(About!Q$79:Q$82,MATCH($B270,About!$A$79:$A$82,0),1)</f>
        <v>4898177</v>
      </c>
      <c r="V270" s="33">
        <f>SUMIFS(INDEX(Load,,MATCH('Summarized Source Data'!$C270,Hour,0)),Month,'Summarized Source Data'!$A270,Sector,'Summarized Source Data'!V$2,TimeOfWeek,$E270)*INDEX(About!R$79:R$82,MATCH($B270,About!$A$79:$A$82,0),1)</f>
        <v>4898177</v>
      </c>
      <c r="W270" s="33">
        <f>SUMIFS(INDEX(Load,,MATCH('Summarized Source Data'!$C270,Hour,0)),Month,'Summarized Source Data'!$A270,Sector,'Summarized Source Data'!W$2,TimeOfWeek,$E270)*INDEX(About!S$79:S$82,MATCH($B270,About!$A$79:$A$82,0),1)</f>
        <v>4898177</v>
      </c>
      <c r="X270" s="27">
        <f>SUMIFS(INDEX(Load,,MATCH('Summarized Source Data'!$C270,Hour,0)),Month,'Summarized Source Data'!$A270,Sector,'Summarized Source Data'!X$2,Subsector,'Summarized Source Data'!X$3,TimeOfWeek,$E270)*INDEX(About!T$79:T$82,MATCH($B270,About!$A$79:$A$82,0),1)</f>
        <v>620000000</v>
      </c>
      <c r="Y270" s="29">
        <f t="shared" si="24"/>
        <v>620000000</v>
      </c>
      <c r="Z270" s="29">
        <f t="shared" si="24"/>
        <v>620000000</v>
      </c>
    </row>
    <row r="271" spans="1:26" outlineLevel="1" x14ac:dyDescent="0.3">
      <c r="A271">
        <f t="shared" si="20"/>
        <v>12</v>
      </c>
      <c r="B271" t="str">
        <f>INDEX('Category Mapping'!$G$28:$G$39,MATCH(A271,'Category Mapping'!$A$28:$A$39,0),1)</f>
        <v>Winter</v>
      </c>
      <c r="C271" t="s">
        <v>66</v>
      </c>
      <c r="D271" s="6" t="s">
        <v>141</v>
      </c>
      <c r="E271" t="s">
        <v>49</v>
      </c>
      <c r="F271" s="27">
        <f>SUMIFS(INDEX(Load,,MATCH('Summarized Source Data'!$C271,Hour,0)),Month,'Summarized Source Data'!$A271,Sector,'Summarized Source Data'!F$2,Subsector,'Summarized Source Data'!F$3,TimeOfWeek,$E271)*INDEX(About!B$79:B$82,MATCH($B271,About!$A$79:$A$82,0),1)</f>
        <v>17800000</v>
      </c>
      <c r="G271" s="27">
        <f>SUMIFS(INDEX(Load,,MATCH('Summarized Source Data'!$C271,Hour,0)),Month,'Summarized Source Data'!$A271,Sector,'Summarized Source Data'!G$2,Subsector,'Summarized Source Data'!G$3,TimeOfWeek,$E271)*INDEX(About!C$79:C$82,MATCH($B271,About!$A$79:$A$82,0),1)</f>
        <v>18225</v>
      </c>
      <c r="H271" s="27">
        <f>SUMIFS(INDEX(Load,,MATCH('Summarized Source Data'!$C271,Hour,0)),Month,'Summarized Source Data'!$A271,Sector,'Summarized Source Data'!H$2,Subsector,'Summarized Source Data'!H$3,TimeOfWeek,$E271)*INDEX(About!D$79:D$82,MATCH($B271,About!$A$79:$A$82,0),1)</f>
        <v>0</v>
      </c>
      <c r="I271" s="27">
        <f>SUMIFS(INDEX(Load,,MATCH('Summarized Source Data'!$C271,Hour,0)),Month,'Summarized Source Data'!$A271,Sector,'Summarized Source Data'!I$2,Subsector,'Summarized Source Data'!I$3,TimeOfWeek,$E271)*INDEX(About!E$79:E$82,MATCH($B271,About!$A$79:$A$82,0),1)</f>
        <v>11000000</v>
      </c>
      <c r="J271" s="54">
        <f t="shared" si="21"/>
        <v>37681775</v>
      </c>
      <c r="K271" s="27">
        <f>(SUMIFS(INDEX(Load,,MATCH('Summarized Source Data'!$C271,Hour,0)),Month,'Summarized Source Data'!$A271,Sector,'Summarized Source Data'!K$2,Subsector,"Total",TimeOfWeek,$E271)-SUM(F271:I271))*INDEX(About!G$79:G$82,MATCH($B271,About!$A$79:$A$82,0),1)</f>
        <v>37681775</v>
      </c>
      <c r="L271" s="27">
        <f>SUMIFS(INDEX(Load,,MATCH('Summarized Source Data'!$C271,Hour,0)),Month,'Summarized Source Data'!$A271,Sector,'Summarized Source Data'!L$2,Subsector,'Summarized Source Data'!L$3,TimeOfWeek,$E271)*INDEX(About!H$79:H$82,MATCH($B271,About!$A$79:$A$82,0),1)</f>
        <v>30700000</v>
      </c>
      <c r="M271" s="27">
        <f>SUMIFS(INDEX(Load,,MATCH('Summarized Source Data'!$C271,Hour,0)),Month,'Summarized Source Data'!$A271,Sector,'Summarized Source Data'!M$2,Subsector,'Summarized Source Data'!M$3,TimeOfWeek,$E271)*INDEX(About!I$79:I$82,MATCH($B271,About!$A$79:$A$82,0),1)</f>
        <v>43281</v>
      </c>
      <c r="N271" s="27">
        <f>SUMIFS(INDEX(Load,,MATCH('Summarized Source Data'!$C271,Hour,0)),Month,'Summarized Source Data'!$A271,Sector,'Summarized Source Data'!N$2,Subsector,'Summarized Source Data'!N$3,TimeOfWeek,$E271)*INDEX(About!J$79:J$82,MATCH($B271,About!$A$79:$A$82,0),1)</f>
        <v>0</v>
      </c>
      <c r="O271" s="29">
        <f t="shared" si="22"/>
        <v>157256719</v>
      </c>
      <c r="P271" s="27">
        <f>(SUMIFS(INDEX(Load,,MATCH('Summarized Source Data'!$C271,Hour,0)),Month,'Summarized Source Data'!$A271,Sector,'Summarized Source Data'!P$2,Subsector,"Total",TimeOfWeek,$E271)-SUM(L271:N271)*INDEX(About!L$79:L$82,MATCH($B271,About!$A$79:$A$82,0),1))</f>
        <v>157256719</v>
      </c>
      <c r="Q271" s="29">
        <f t="shared" si="23"/>
        <v>157256719</v>
      </c>
      <c r="R271" s="33">
        <f>SUMIFS(INDEX(Load,,MATCH('Summarized Source Data'!$C271,Hour,0)),Month,'Summarized Source Data'!$A271,Sector,'Summarized Source Data'!R$2,TimeOfWeek,$E271)*INDEX(About!N$79:N$82,MATCH($B271,About!$A$79:$A$82,0),1)</f>
        <v>4914213</v>
      </c>
      <c r="S271" s="33">
        <f>SUMIFS(INDEX(Load,,MATCH('Summarized Source Data'!$C271,Hour,0)),Month,'Summarized Source Data'!$A271,Sector,'Summarized Source Data'!S$2,TimeOfWeek,$E271)*INDEX(About!O$79:O$82,MATCH($B271,About!$A$79:$A$82,0),1)</f>
        <v>4914213</v>
      </c>
      <c r="T271" s="33">
        <f>SUMIFS(INDEX(Load,,MATCH('Summarized Source Data'!$C271,Hour,0)),Month,'Summarized Source Data'!$A271,Sector,'Summarized Source Data'!T$2,TimeOfWeek,$E271)*INDEX(About!P$79:P$82,MATCH($B271,About!$A$79:$A$82,0),1)</f>
        <v>4914213</v>
      </c>
      <c r="U271" s="33">
        <f>SUMIFS(INDEX(Load,,MATCH('Summarized Source Data'!$C271,Hour,0)),Month,'Summarized Source Data'!$A271,Sector,'Summarized Source Data'!U$2,TimeOfWeek,$E271)*INDEX(About!Q$79:Q$82,MATCH($B271,About!$A$79:$A$82,0),1)</f>
        <v>4914213</v>
      </c>
      <c r="V271" s="33">
        <f>SUMIFS(INDEX(Load,,MATCH('Summarized Source Data'!$C271,Hour,0)),Month,'Summarized Source Data'!$A271,Sector,'Summarized Source Data'!V$2,TimeOfWeek,$E271)*INDEX(About!R$79:R$82,MATCH($B271,About!$A$79:$A$82,0),1)</f>
        <v>4914213</v>
      </c>
      <c r="W271" s="33">
        <f>SUMIFS(INDEX(Load,,MATCH('Summarized Source Data'!$C271,Hour,0)),Month,'Summarized Source Data'!$A271,Sector,'Summarized Source Data'!W$2,TimeOfWeek,$E271)*INDEX(About!S$79:S$82,MATCH($B271,About!$A$79:$A$82,0),1)</f>
        <v>4914213</v>
      </c>
      <c r="X271" s="27">
        <f>SUMIFS(INDEX(Load,,MATCH('Summarized Source Data'!$C271,Hour,0)),Month,'Summarized Source Data'!$A271,Sector,'Summarized Source Data'!X$2,Subsector,'Summarized Source Data'!X$3,TimeOfWeek,$E271)*INDEX(About!T$79:T$82,MATCH($B271,About!$A$79:$A$82,0),1)</f>
        <v>620000000</v>
      </c>
      <c r="Y271" s="29">
        <f t="shared" si="24"/>
        <v>620000000</v>
      </c>
      <c r="Z271" s="29">
        <f t="shared" si="24"/>
        <v>620000000</v>
      </c>
    </row>
    <row r="272" spans="1:26" outlineLevel="1" x14ac:dyDescent="0.3">
      <c r="A272">
        <f t="shared" si="20"/>
        <v>12</v>
      </c>
      <c r="B272" t="str">
        <f>INDEX('Category Mapping'!$G$28:$G$39,MATCH(A272,'Category Mapping'!$A$28:$A$39,0),1)</f>
        <v>Winter</v>
      </c>
      <c r="C272" t="s">
        <v>67</v>
      </c>
      <c r="D272" s="6" t="s">
        <v>142</v>
      </c>
      <c r="E272" t="s">
        <v>49</v>
      </c>
      <c r="F272" s="27">
        <f>SUMIFS(INDEX(Load,,MATCH('Summarized Source Data'!$C272,Hour,0)),Month,'Summarized Source Data'!$A272,Sector,'Summarized Source Data'!F$2,Subsector,'Summarized Source Data'!F$3,TimeOfWeek,$E272)*INDEX(About!B$79:B$82,MATCH($B272,About!$A$79:$A$82,0),1)</f>
        <v>17500000</v>
      </c>
      <c r="G272" s="27">
        <f>SUMIFS(INDEX(Load,,MATCH('Summarized Source Data'!$C272,Hour,0)),Month,'Summarized Source Data'!$A272,Sector,'Summarized Source Data'!G$2,Subsector,'Summarized Source Data'!G$3,TimeOfWeek,$E272)*INDEX(About!C$79:C$82,MATCH($B272,About!$A$79:$A$82,0),1)</f>
        <v>17764</v>
      </c>
      <c r="H272" s="27">
        <f>SUMIFS(INDEX(Load,,MATCH('Summarized Source Data'!$C272,Hour,0)),Month,'Summarized Source Data'!$A272,Sector,'Summarized Source Data'!H$2,Subsector,'Summarized Source Data'!H$3,TimeOfWeek,$E272)*INDEX(About!D$79:D$82,MATCH($B272,About!$A$79:$A$82,0),1)</f>
        <v>0</v>
      </c>
      <c r="I272" s="27">
        <f>SUMIFS(INDEX(Load,,MATCH('Summarized Source Data'!$C272,Hour,0)),Month,'Summarized Source Data'!$A272,Sector,'Summarized Source Data'!I$2,Subsector,'Summarized Source Data'!I$3,TimeOfWeek,$E272)*INDEX(About!E$79:E$82,MATCH($B272,About!$A$79:$A$82,0),1)</f>
        <v>14200000</v>
      </c>
      <c r="J272" s="54">
        <f t="shared" si="21"/>
        <v>39882236</v>
      </c>
      <c r="K272" s="27">
        <f>(SUMIFS(INDEX(Load,,MATCH('Summarized Source Data'!$C272,Hour,0)),Month,'Summarized Source Data'!$A272,Sector,'Summarized Source Data'!K$2,Subsector,"Total",TimeOfWeek,$E272)-SUM(F272:I272))*INDEX(About!G$79:G$82,MATCH($B272,About!$A$79:$A$82,0),1)</f>
        <v>39882236</v>
      </c>
      <c r="L272" s="27">
        <f>SUMIFS(INDEX(Load,,MATCH('Summarized Source Data'!$C272,Hour,0)),Month,'Summarized Source Data'!$A272,Sector,'Summarized Source Data'!L$2,Subsector,'Summarized Source Data'!L$3,TimeOfWeek,$E272)*INDEX(About!H$79:H$82,MATCH($B272,About!$A$79:$A$82,0),1)</f>
        <v>32400000</v>
      </c>
      <c r="M272" s="27">
        <f>SUMIFS(INDEX(Load,,MATCH('Summarized Source Data'!$C272,Hour,0)),Month,'Summarized Source Data'!$A272,Sector,'Summarized Source Data'!M$2,Subsector,'Summarized Source Data'!M$3,TimeOfWeek,$E272)*INDEX(About!I$79:I$82,MATCH($B272,About!$A$79:$A$82,0),1)</f>
        <v>43142</v>
      </c>
      <c r="N272" s="27">
        <f>SUMIFS(INDEX(Load,,MATCH('Summarized Source Data'!$C272,Hour,0)),Month,'Summarized Source Data'!$A272,Sector,'Summarized Source Data'!N$2,Subsector,'Summarized Source Data'!N$3,TimeOfWeek,$E272)*INDEX(About!J$79:J$82,MATCH($B272,About!$A$79:$A$82,0),1)</f>
        <v>0</v>
      </c>
      <c r="O272" s="29">
        <f t="shared" si="22"/>
        <v>167556858</v>
      </c>
      <c r="P272" s="27">
        <f>(SUMIFS(INDEX(Load,,MATCH('Summarized Source Data'!$C272,Hour,0)),Month,'Summarized Source Data'!$A272,Sector,'Summarized Source Data'!P$2,Subsector,"Total",TimeOfWeek,$E272)-SUM(L272:N272)*INDEX(About!L$79:L$82,MATCH($B272,About!$A$79:$A$82,0),1))</f>
        <v>167556858</v>
      </c>
      <c r="Q272" s="29">
        <f t="shared" si="23"/>
        <v>167556858</v>
      </c>
      <c r="R272" s="33">
        <f>SUMIFS(INDEX(Load,,MATCH('Summarized Source Data'!$C272,Hour,0)),Month,'Summarized Source Data'!$A272,Sector,'Summarized Source Data'!R$2,TimeOfWeek,$E272)*INDEX(About!N$79:N$82,MATCH($B272,About!$A$79:$A$82,0),1)</f>
        <v>4896740</v>
      </c>
      <c r="S272" s="33">
        <f>SUMIFS(INDEX(Load,,MATCH('Summarized Source Data'!$C272,Hour,0)),Month,'Summarized Source Data'!$A272,Sector,'Summarized Source Data'!S$2,TimeOfWeek,$E272)*INDEX(About!O$79:O$82,MATCH($B272,About!$A$79:$A$82,0),1)</f>
        <v>4896740</v>
      </c>
      <c r="T272" s="33">
        <f>SUMIFS(INDEX(Load,,MATCH('Summarized Source Data'!$C272,Hour,0)),Month,'Summarized Source Data'!$A272,Sector,'Summarized Source Data'!T$2,TimeOfWeek,$E272)*INDEX(About!P$79:P$82,MATCH($B272,About!$A$79:$A$82,0),1)</f>
        <v>4896740</v>
      </c>
      <c r="U272" s="33">
        <f>SUMIFS(INDEX(Load,,MATCH('Summarized Source Data'!$C272,Hour,0)),Month,'Summarized Source Data'!$A272,Sector,'Summarized Source Data'!U$2,TimeOfWeek,$E272)*INDEX(About!Q$79:Q$82,MATCH($B272,About!$A$79:$A$82,0),1)</f>
        <v>4896740</v>
      </c>
      <c r="V272" s="33">
        <f>SUMIFS(INDEX(Load,,MATCH('Summarized Source Data'!$C272,Hour,0)),Month,'Summarized Source Data'!$A272,Sector,'Summarized Source Data'!V$2,TimeOfWeek,$E272)*INDEX(About!R$79:R$82,MATCH($B272,About!$A$79:$A$82,0),1)</f>
        <v>4896740</v>
      </c>
      <c r="W272" s="33">
        <f>SUMIFS(INDEX(Load,,MATCH('Summarized Source Data'!$C272,Hour,0)),Month,'Summarized Source Data'!$A272,Sector,'Summarized Source Data'!W$2,TimeOfWeek,$E272)*INDEX(About!S$79:S$82,MATCH($B272,About!$A$79:$A$82,0),1)</f>
        <v>4896740</v>
      </c>
      <c r="X272" s="27">
        <f>SUMIFS(INDEX(Load,,MATCH('Summarized Source Data'!$C272,Hour,0)),Month,'Summarized Source Data'!$A272,Sector,'Summarized Source Data'!X$2,Subsector,'Summarized Source Data'!X$3,TimeOfWeek,$E272)*INDEX(About!T$79:T$82,MATCH($B272,About!$A$79:$A$82,0),1)</f>
        <v>622000000</v>
      </c>
      <c r="Y272" s="29">
        <f t="shared" si="24"/>
        <v>622000000</v>
      </c>
      <c r="Z272" s="29">
        <f t="shared" si="24"/>
        <v>622000000</v>
      </c>
    </row>
    <row r="273" spans="1:26" outlineLevel="1" x14ac:dyDescent="0.3">
      <c r="A273">
        <f t="shared" si="20"/>
        <v>12</v>
      </c>
      <c r="B273" t="str">
        <f>INDEX('Category Mapping'!$G$28:$G$39,MATCH(A273,'Category Mapping'!$A$28:$A$39,0),1)</f>
        <v>Winter</v>
      </c>
      <c r="C273" t="s">
        <v>68</v>
      </c>
      <c r="D273" s="6" t="s">
        <v>143</v>
      </c>
      <c r="E273" t="s">
        <v>49</v>
      </c>
      <c r="F273" s="27">
        <f>SUMIFS(INDEX(Load,,MATCH('Summarized Source Data'!$C273,Hour,0)),Month,'Summarized Source Data'!$A273,Sector,'Summarized Source Data'!F$2,Subsector,'Summarized Source Data'!F$3,TimeOfWeek,$E273)*INDEX(About!B$79:B$82,MATCH($B273,About!$A$79:$A$82,0),1)</f>
        <v>21500000</v>
      </c>
      <c r="G273" s="27">
        <f>SUMIFS(INDEX(Load,,MATCH('Summarized Source Data'!$C273,Hour,0)),Month,'Summarized Source Data'!$A273,Sector,'Summarized Source Data'!G$2,Subsector,'Summarized Source Data'!G$3,TimeOfWeek,$E273)*INDEX(About!C$79:C$82,MATCH($B273,About!$A$79:$A$82,0),1)</f>
        <v>16334</v>
      </c>
      <c r="H273" s="27">
        <f>SUMIFS(INDEX(Load,,MATCH('Summarized Source Data'!$C273,Hour,0)),Month,'Summarized Source Data'!$A273,Sector,'Summarized Source Data'!H$2,Subsector,'Summarized Source Data'!H$3,TimeOfWeek,$E273)*INDEX(About!D$79:D$82,MATCH($B273,About!$A$79:$A$82,0),1)</f>
        <v>0</v>
      </c>
      <c r="I273" s="27">
        <f>SUMIFS(INDEX(Load,,MATCH('Summarized Source Data'!$C273,Hour,0)),Month,'Summarized Source Data'!$A273,Sector,'Summarized Source Data'!I$2,Subsector,'Summarized Source Data'!I$3,TimeOfWeek,$E273)*INDEX(About!E$79:E$82,MATCH($B273,About!$A$79:$A$82,0),1)</f>
        <v>24400000</v>
      </c>
      <c r="J273" s="54">
        <f t="shared" si="21"/>
        <v>55083666</v>
      </c>
      <c r="K273" s="27">
        <f>(SUMIFS(INDEX(Load,,MATCH('Summarized Source Data'!$C273,Hour,0)),Month,'Summarized Source Data'!$A273,Sector,'Summarized Source Data'!K$2,Subsector,"Total",TimeOfWeek,$E273)-SUM(F273:I273))*INDEX(About!G$79:G$82,MATCH($B273,About!$A$79:$A$82,0),1)</f>
        <v>55083666</v>
      </c>
      <c r="L273" s="27">
        <f>SUMIFS(INDEX(Load,,MATCH('Summarized Source Data'!$C273,Hour,0)),Month,'Summarized Source Data'!$A273,Sector,'Summarized Source Data'!L$2,Subsector,'Summarized Source Data'!L$3,TimeOfWeek,$E273)*INDEX(About!H$79:H$82,MATCH($B273,About!$A$79:$A$82,0),1)</f>
        <v>32500000</v>
      </c>
      <c r="M273" s="27">
        <f>SUMIFS(INDEX(Load,,MATCH('Summarized Source Data'!$C273,Hour,0)),Month,'Summarized Source Data'!$A273,Sector,'Summarized Source Data'!M$2,Subsector,'Summarized Source Data'!M$3,TimeOfWeek,$E273)*INDEX(About!I$79:I$82,MATCH($B273,About!$A$79:$A$82,0),1)</f>
        <v>44491</v>
      </c>
      <c r="N273" s="27">
        <f>SUMIFS(INDEX(Load,,MATCH('Summarized Source Data'!$C273,Hour,0)),Month,'Summarized Source Data'!$A273,Sector,'Summarized Source Data'!N$2,Subsector,'Summarized Source Data'!N$3,TimeOfWeek,$E273)*INDEX(About!J$79:J$82,MATCH($B273,About!$A$79:$A$82,0),1)</f>
        <v>0</v>
      </c>
      <c r="O273" s="29">
        <f t="shared" si="22"/>
        <v>196455509</v>
      </c>
      <c r="P273" s="27">
        <f>(SUMIFS(INDEX(Load,,MATCH('Summarized Source Data'!$C273,Hour,0)),Month,'Summarized Source Data'!$A273,Sector,'Summarized Source Data'!P$2,Subsector,"Total",TimeOfWeek,$E273)-SUM(L273:N273)*INDEX(About!L$79:L$82,MATCH($B273,About!$A$79:$A$82,0),1))</f>
        <v>196455509</v>
      </c>
      <c r="Q273" s="29">
        <f t="shared" si="23"/>
        <v>196455509</v>
      </c>
      <c r="R273" s="33">
        <f>SUMIFS(INDEX(Load,,MATCH('Summarized Source Data'!$C273,Hour,0)),Month,'Summarized Source Data'!$A273,Sector,'Summarized Source Data'!R$2,TimeOfWeek,$E273)*INDEX(About!N$79:N$82,MATCH($B273,About!$A$79:$A$82,0),1)</f>
        <v>5029947</v>
      </c>
      <c r="S273" s="33">
        <f>SUMIFS(INDEX(Load,,MATCH('Summarized Source Data'!$C273,Hour,0)),Month,'Summarized Source Data'!$A273,Sector,'Summarized Source Data'!S$2,TimeOfWeek,$E273)*INDEX(About!O$79:O$82,MATCH($B273,About!$A$79:$A$82,0),1)</f>
        <v>5029947</v>
      </c>
      <c r="T273" s="33">
        <f>SUMIFS(INDEX(Load,,MATCH('Summarized Source Data'!$C273,Hour,0)),Month,'Summarized Source Data'!$A273,Sector,'Summarized Source Data'!T$2,TimeOfWeek,$E273)*INDEX(About!P$79:P$82,MATCH($B273,About!$A$79:$A$82,0),1)</f>
        <v>5029947</v>
      </c>
      <c r="U273" s="33">
        <f>SUMIFS(INDEX(Load,,MATCH('Summarized Source Data'!$C273,Hour,0)),Month,'Summarized Source Data'!$A273,Sector,'Summarized Source Data'!U$2,TimeOfWeek,$E273)*INDEX(About!Q$79:Q$82,MATCH($B273,About!$A$79:$A$82,0),1)</f>
        <v>5029947</v>
      </c>
      <c r="V273" s="33">
        <f>SUMIFS(INDEX(Load,,MATCH('Summarized Source Data'!$C273,Hour,0)),Month,'Summarized Source Data'!$A273,Sector,'Summarized Source Data'!V$2,TimeOfWeek,$E273)*INDEX(About!R$79:R$82,MATCH($B273,About!$A$79:$A$82,0),1)</f>
        <v>5029947</v>
      </c>
      <c r="W273" s="33">
        <f>SUMIFS(INDEX(Load,,MATCH('Summarized Source Data'!$C273,Hour,0)),Month,'Summarized Source Data'!$A273,Sector,'Summarized Source Data'!W$2,TimeOfWeek,$E273)*INDEX(About!S$79:S$82,MATCH($B273,About!$A$79:$A$82,0),1)</f>
        <v>5029947</v>
      </c>
      <c r="X273" s="27">
        <f>SUMIFS(INDEX(Load,,MATCH('Summarized Source Data'!$C273,Hour,0)),Month,'Summarized Source Data'!$A273,Sector,'Summarized Source Data'!X$2,Subsector,'Summarized Source Data'!X$3,TimeOfWeek,$E273)*INDEX(About!T$79:T$82,MATCH($B273,About!$A$79:$A$82,0),1)</f>
        <v>626000000</v>
      </c>
      <c r="Y273" s="29">
        <f t="shared" si="24"/>
        <v>626000000</v>
      </c>
      <c r="Z273" s="29">
        <f t="shared" si="24"/>
        <v>626000000</v>
      </c>
    </row>
    <row r="274" spans="1:26" outlineLevel="1" x14ac:dyDescent="0.3">
      <c r="A274">
        <f t="shared" si="20"/>
        <v>12</v>
      </c>
      <c r="B274" t="str">
        <f>INDEX('Category Mapping'!$G$28:$G$39,MATCH(A274,'Category Mapping'!$A$28:$A$39,0),1)</f>
        <v>Winter</v>
      </c>
      <c r="C274" t="s">
        <v>69</v>
      </c>
      <c r="D274" s="6" t="s">
        <v>144</v>
      </c>
      <c r="E274" t="s">
        <v>49</v>
      </c>
      <c r="F274" s="27">
        <f>SUMIFS(INDEX(Load,,MATCH('Summarized Source Data'!$C274,Hour,0)),Month,'Summarized Source Data'!$A274,Sector,'Summarized Source Data'!F$2,Subsector,'Summarized Source Data'!F$3,TimeOfWeek,$E274)*INDEX(About!B$79:B$82,MATCH($B274,About!$A$79:$A$82,0),1)</f>
        <v>22700000</v>
      </c>
      <c r="G274" s="27">
        <f>SUMIFS(INDEX(Load,,MATCH('Summarized Source Data'!$C274,Hour,0)),Month,'Summarized Source Data'!$A274,Sector,'Summarized Source Data'!G$2,Subsector,'Summarized Source Data'!G$3,TimeOfWeek,$E274)*INDEX(About!C$79:C$82,MATCH($B274,About!$A$79:$A$82,0),1)</f>
        <v>13343</v>
      </c>
      <c r="H274" s="27">
        <f>SUMIFS(INDEX(Load,,MATCH('Summarized Source Data'!$C274,Hour,0)),Month,'Summarized Source Data'!$A274,Sector,'Summarized Source Data'!H$2,Subsector,'Summarized Source Data'!H$3,TimeOfWeek,$E274)*INDEX(About!D$79:D$82,MATCH($B274,About!$A$79:$A$82,0),1)</f>
        <v>0</v>
      </c>
      <c r="I274" s="27">
        <f>SUMIFS(INDEX(Load,,MATCH('Summarized Source Data'!$C274,Hour,0)),Month,'Summarized Source Data'!$A274,Sector,'Summarized Source Data'!I$2,Subsector,'Summarized Source Data'!I$3,TimeOfWeek,$E274)*INDEX(About!E$79:E$82,MATCH($B274,About!$A$79:$A$82,0),1)</f>
        <v>35700000</v>
      </c>
      <c r="J274" s="54">
        <f t="shared" si="21"/>
        <v>88586657</v>
      </c>
      <c r="K274" s="27">
        <f>(SUMIFS(INDEX(Load,,MATCH('Summarized Source Data'!$C274,Hour,0)),Month,'Summarized Source Data'!$A274,Sector,'Summarized Source Data'!K$2,Subsector,"Total",TimeOfWeek,$E274)-SUM(F274:I274))*INDEX(About!G$79:G$82,MATCH($B274,About!$A$79:$A$82,0),1)</f>
        <v>88586657</v>
      </c>
      <c r="L274" s="27">
        <f>SUMIFS(INDEX(Load,,MATCH('Summarized Source Data'!$C274,Hour,0)),Month,'Summarized Source Data'!$A274,Sector,'Summarized Source Data'!L$2,Subsector,'Summarized Source Data'!L$3,TimeOfWeek,$E274)*INDEX(About!H$79:H$82,MATCH($B274,About!$A$79:$A$82,0),1)</f>
        <v>36800000</v>
      </c>
      <c r="M274" s="27">
        <f>SUMIFS(INDEX(Load,,MATCH('Summarized Source Data'!$C274,Hour,0)),Month,'Summarized Source Data'!$A274,Sector,'Summarized Source Data'!M$2,Subsector,'Summarized Source Data'!M$3,TimeOfWeek,$E274)*INDEX(About!I$79:I$82,MATCH($B274,About!$A$79:$A$82,0),1)</f>
        <v>49314</v>
      </c>
      <c r="N274" s="27">
        <f>SUMIFS(INDEX(Load,,MATCH('Summarized Source Data'!$C274,Hour,0)),Month,'Summarized Source Data'!$A274,Sector,'Summarized Source Data'!N$2,Subsector,'Summarized Source Data'!N$3,TimeOfWeek,$E274)*INDEX(About!J$79:J$82,MATCH($B274,About!$A$79:$A$82,0),1)</f>
        <v>0</v>
      </c>
      <c r="O274" s="29">
        <f t="shared" si="22"/>
        <v>295150686</v>
      </c>
      <c r="P274" s="27">
        <f>(SUMIFS(INDEX(Load,,MATCH('Summarized Source Data'!$C274,Hour,0)),Month,'Summarized Source Data'!$A274,Sector,'Summarized Source Data'!P$2,Subsector,"Total",TimeOfWeek,$E274)-SUM(L274:N274)*INDEX(About!L$79:L$82,MATCH($B274,About!$A$79:$A$82,0),1))</f>
        <v>295150686</v>
      </c>
      <c r="Q274" s="29">
        <f t="shared" si="23"/>
        <v>295150686</v>
      </c>
      <c r="R274" s="33">
        <f>SUMIFS(INDEX(Load,,MATCH('Summarized Source Data'!$C274,Hour,0)),Month,'Summarized Source Data'!$A274,Sector,'Summarized Source Data'!R$2,TimeOfWeek,$E274)*INDEX(About!N$79:N$82,MATCH($B274,About!$A$79:$A$82,0),1)</f>
        <v>7539522</v>
      </c>
      <c r="S274" s="33">
        <f>SUMIFS(INDEX(Load,,MATCH('Summarized Source Data'!$C274,Hour,0)),Month,'Summarized Source Data'!$A274,Sector,'Summarized Source Data'!S$2,TimeOfWeek,$E274)*INDEX(About!O$79:O$82,MATCH($B274,About!$A$79:$A$82,0),1)</f>
        <v>7539522</v>
      </c>
      <c r="T274" s="33">
        <f>SUMIFS(INDEX(Load,,MATCH('Summarized Source Data'!$C274,Hour,0)),Month,'Summarized Source Data'!$A274,Sector,'Summarized Source Data'!T$2,TimeOfWeek,$E274)*INDEX(About!P$79:P$82,MATCH($B274,About!$A$79:$A$82,0),1)</f>
        <v>7539522</v>
      </c>
      <c r="U274" s="33">
        <f>SUMIFS(INDEX(Load,,MATCH('Summarized Source Data'!$C274,Hour,0)),Month,'Summarized Source Data'!$A274,Sector,'Summarized Source Data'!U$2,TimeOfWeek,$E274)*INDEX(About!Q$79:Q$82,MATCH($B274,About!$A$79:$A$82,0),1)</f>
        <v>7539522</v>
      </c>
      <c r="V274" s="33">
        <f>SUMIFS(INDEX(Load,,MATCH('Summarized Source Data'!$C274,Hour,0)),Month,'Summarized Source Data'!$A274,Sector,'Summarized Source Data'!V$2,TimeOfWeek,$E274)*INDEX(About!R$79:R$82,MATCH($B274,About!$A$79:$A$82,0),1)</f>
        <v>7539522</v>
      </c>
      <c r="W274" s="33">
        <f>SUMIFS(INDEX(Load,,MATCH('Summarized Source Data'!$C274,Hour,0)),Month,'Summarized Source Data'!$A274,Sector,'Summarized Source Data'!W$2,TimeOfWeek,$E274)*INDEX(About!S$79:S$82,MATCH($B274,About!$A$79:$A$82,0),1)</f>
        <v>7539522</v>
      </c>
      <c r="X274" s="27">
        <f>SUMIFS(INDEX(Load,,MATCH('Summarized Source Data'!$C274,Hour,0)),Month,'Summarized Source Data'!$A274,Sector,'Summarized Source Data'!X$2,Subsector,'Summarized Source Data'!X$3,TimeOfWeek,$E274)*INDEX(About!T$79:T$82,MATCH($B274,About!$A$79:$A$82,0),1)</f>
        <v>633000000</v>
      </c>
      <c r="Y274" s="29">
        <f t="shared" si="24"/>
        <v>633000000</v>
      </c>
      <c r="Z274" s="29">
        <f t="shared" si="24"/>
        <v>633000000</v>
      </c>
    </row>
    <row r="275" spans="1:26" outlineLevel="1" x14ac:dyDescent="0.3">
      <c r="A275">
        <f t="shared" si="20"/>
        <v>12</v>
      </c>
      <c r="B275" t="str">
        <f>INDEX('Category Mapping'!$G$28:$G$39,MATCH(A275,'Category Mapping'!$A$28:$A$39,0),1)</f>
        <v>Winter</v>
      </c>
      <c r="C275" t="s">
        <v>70</v>
      </c>
      <c r="D275" s="6" t="s">
        <v>145</v>
      </c>
      <c r="E275" t="s">
        <v>49</v>
      </c>
      <c r="F275" s="27">
        <f>SUMIFS(INDEX(Load,,MATCH('Summarized Source Data'!$C275,Hour,0)),Month,'Summarized Source Data'!$A275,Sector,'Summarized Source Data'!F$2,Subsector,'Summarized Source Data'!F$3,TimeOfWeek,$E275)*INDEX(About!B$79:B$82,MATCH($B275,About!$A$79:$A$82,0),1)</f>
        <v>22200000</v>
      </c>
      <c r="G275" s="27">
        <f>SUMIFS(INDEX(Load,,MATCH('Summarized Source Data'!$C275,Hour,0)),Month,'Summarized Source Data'!$A275,Sector,'Summarized Source Data'!G$2,Subsector,'Summarized Source Data'!G$3,TimeOfWeek,$E275)*INDEX(About!C$79:C$82,MATCH($B275,About!$A$79:$A$82,0),1)</f>
        <v>10014</v>
      </c>
      <c r="H275" s="27">
        <f>SUMIFS(INDEX(Load,,MATCH('Summarized Source Data'!$C275,Hour,0)),Month,'Summarized Source Data'!$A275,Sector,'Summarized Source Data'!H$2,Subsector,'Summarized Source Data'!H$3,TimeOfWeek,$E275)*INDEX(About!D$79:D$82,MATCH($B275,About!$A$79:$A$82,0),1)</f>
        <v>0</v>
      </c>
      <c r="I275" s="27">
        <f>SUMIFS(INDEX(Load,,MATCH('Summarized Source Data'!$C275,Hour,0)),Month,'Summarized Source Data'!$A275,Sector,'Summarized Source Data'!I$2,Subsector,'Summarized Source Data'!I$3,TimeOfWeek,$E275)*INDEX(About!E$79:E$82,MATCH($B275,About!$A$79:$A$82,0),1)</f>
        <v>36900000</v>
      </c>
      <c r="J275" s="54">
        <f t="shared" si="21"/>
        <v>112889986</v>
      </c>
      <c r="K275" s="27">
        <f>(SUMIFS(INDEX(Load,,MATCH('Summarized Source Data'!$C275,Hour,0)),Month,'Summarized Source Data'!$A275,Sector,'Summarized Source Data'!K$2,Subsector,"Total",TimeOfWeek,$E275)-SUM(F275:I275))*INDEX(About!G$79:G$82,MATCH($B275,About!$A$79:$A$82,0),1)</f>
        <v>112889986</v>
      </c>
      <c r="L275" s="27">
        <f>SUMIFS(INDEX(Load,,MATCH('Summarized Source Data'!$C275,Hour,0)),Month,'Summarized Source Data'!$A275,Sector,'Summarized Source Data'!L$2,Subsector,'Summarized Source Data'!L$3,TimeOfWeek,$E275)*INDEX(About!H$79:H$82,MATCH($B275,About!$A$79:$A$82,0),1)</f>
        <v>107000000</v>
      </c>
      <c r="M275" s="27">
        <f>SUMIFS(INDEX(Load,,MATCH('Summarized Source Data'!$C275,Hour,0)),Month,'Summarized Source Data'!$A275,Sector,'Summarized Source Data'!M$2,Subsector,'Summarized Source Data'!M$3,TimeOfWeek,$E275)*INDEX(About!I$79:I$82,MATCH($B275,About!$A$79:$A$82,0),1)</f>
        <v>58830</v>
      </c>
      <c r="N275" s="27">
        <f>SUMIFS(INDEX(Load,,MATCH('Summarized Source Data'!$C275,Hour,0)),Month,'Summarized Source Data'!$A275,Sector,'Summarized Source Data'!N$2,Subsector,'Summarized Source Data'!N$3,TimeOfWeek,$E275)*INDEX(About!J$79:J$82,MATCH($B275,About!$A$79:$A$82,0),1)</f>
        <v>0</v>
      </c>
      <c r="O275" s="29">
        <f t="shared" si="22"/>
        <v>405941170</v>
      </c>
      <c r="P275" s="27">
        <f>(SUMIFS(INDEX(Load,,MATCH('Summarized Source Data'!$C275,Hour,0)),Month,'Summarized Source Data'!$A275,Sector,'Summarized Source Data'!P$2,Subsector,"Total",TimeOfWeek,$E275)-SUM(L275:N275)*INDEX(About!L$79:L$82,MATCH($B275,About!$A$79:$A$82,0),1))</f>
        <v>405941170</v>
      </c>
      <c r="Q275" s="29">
        <f t="shared" si="23"/>
        <v>405941170</v>
      </c>
      <c r="R275" s="33">
        <f>SUMIFS(INDEX(Load,,MATCH('Summarized Source Data'!$C275,Hour,0)),Month,'Summarized Source Data'!$A275,Sector,'Summarized Source Data'!R$2,TimeOfWeek,$E275)*INDEX(About!N$79:N$82,MATCH($B275,About!$A$79:$A$82,0),1)</f>
        <v>15800000</v>
      </c>
      <c r="S275" s="33">
        <f>SUMIFS(INDEX(Load,,MATCH('Summarized Source Data'!$C275,Hour,0)),Month,'Summarized Source Data'!$A275,Sector,'Summarized Source Data'!S$2,TimeOfWeek,$E275)*INDEX(About!O$79:O$82,MATCH($B275,About!$A$79:$A$82,0),1)</f>
        <v>15800000</v>
      </c>
      <c r="T275" s="33">
        <f>SUMIFS(INDEX(Load,,MATCH('Summarized Source Data'!$C275,Hour,0)),Month,'Summarized Source Data'!$A275,Sector,'Summarized Source Data'!T$2,TimeOfWeek,$E275)*INDEX(About!P$79:P$82,MATCH($B275,About!$A$79:$A$82,0),1)</f>
        <v>15800000</v>
      </c>
      <c r="U275" s="33">
        <f>SUMIFS(INDEX(Load,,MATCH('Summarized Source Data'!$C275,Hour,0)),Month,'Summarized Source Data'!$A275,Sector,'Summarized Source Data'!U$2,TimeOfWeek,$E275)*INDEX(About!Q$79:Q$82,MATCH($B275,About!$A$79:$A$82,0),1)</f>
        <v>15800000</v>
      </c>
      <c r="V275" s="33">
        <f>SUMIFS(INDEX(Load,,MATCH('Summarized Source Data'!$C275,Hour,0)),Month,'Summarized Source Data'!$A275,Sector,'Summarized Source Data'!V$2,TimeOfWeek,$E275)*INDEX(About!R$79:R$82,MATCH($B275,About!$A$79:$A$82,0),1)</f>
        <v>15800000</v>
      </c>
      <c r="W275" s="33">
        <f>SUMIFS(INDEX(Load,,MATCH('Summarized Source Data'!$C275,Hour,0)),Month,'Summarized Source Data'!$A275,Sector,'Summarized Source Data'!W$2,TimeOfWeek,$E275)*INDEX(About!S$79:S$82,MATCH($B275,About!$A$79:$A$82,0),1)</f>
        <v>15800000</v>
      </c>
      <c r="X275" s="27">
        <f>SUMIFS(INDEX(Load,,MATCH('Summarized Source Data'!$C275,Hour,0)),Month,'Summarized Source Data'!$A275,Sector,'Summarized Source Data'!X$2,Subsector,'Summarized Source Data'!X$3,TimeOfWeek,$E275)*INDEX(About!T$79:T$82,MATCH($B275,About!$A$79:$A$82,0),1)</f>
        <v>639000000</v>
      </c>
      <c r="Y275" s="29">
        <f t="shared" si="24"/>
        <v>639000000</v>
      </c>
      <c r="Z275" s="29">
        <f t="shared" si="24"/>
        <v>639000000</v>
      </c>
    </row>
    <row r="276" spans="1:26" outlineLevel="1" x14ac:dyDescent="0.3">
      <c r="A276">
        <f t="shared" si="20"/>
        <v>12</v>
      </c>
      <c r="B276" t="str">
        <f>INDEX('Category Mapping'!$G$28:$G$39,MATCH(A276,'Category Mapping'!$A$28:$A$39,0),1)</f>
        <v>Winter</v>
      </c>
      <c r="C276" t="s">
        <v>71</v>
      </c>
      <c r="D276" s="6" t="s">
        <v>146</v>
      </c>
      <c r="E276" t="s">
        <v>49</v>
      </c>
      <c r="F276" s="27">
        <f>SUMIFS(INDEX(Load,,MATCH('Summarized Source Data'!$C276,Hour,0)),Month,'Summarized Source Data'!$A276,Sector,'Summarized Source Data'!F$2,Subsector,'Summarized Source Data'!F$3,TimeOfWeek,$E276)*INDEX(About!B$79:B$82,MATCH($B276,About!$A$79:$A$82,0),1)</f>
        <v>21200000</v>
      </c>
      <c r="G276" s="27">
        <f>SUMIFS(INDEX(Load,,MATCH('Summarized Source Data'!$C276,Hour,0)),Month,'Summarized Source Data'!$A276,Sector,'Summarized Source Data'!G$2,Subsector,'Summarized Source Data'!G$3,TimeOfWeek,$E276)*INDEX(About!C$79:C$82,MATCH($B276,About!$A$79:$A$82,0),1)</f>
        <v>8092</v>
      </c>
      <c r="H276" s="27">
        <f>SUMIFS(INDEX(Load,,MATCH('Summarized Source Data'!$C276,Hour,0)),Month,'Summarized Source Data'!$A276,Sector,'Summarized Source Data'!H$2,Subsector,'Summarized Source Data'!H$3,TimeOfWeek,$E276)*INDEX(About!D$79:D$82,MATCH($B276,About!$A$79:$A$82,0),1)</f>
        <v>0</v>
      </c>
      <c r="I276" s="27">
        <f>SUMIFS(INDEX(Load,,MATCH('Summarized Source Data'!$C276,Hour,0)),Month,'Summarized Source Data'!$A276,Sector,'Summarized Source Data'!I$2,Subsector,'Summarized Source Data'!I$3,TimeOfWeek,$E276)*INDEX(About!E$79:E$82,MATCH($B276,About!$A$79:$A$82,0),1)</f>
        <v>10800000</v>
      </c>
      <c r="J276" s="54">
        <f t="shared" si="21"/>
        <v>112991908</v>
      </c>
      <c r="K276" s="27">
        <f>(SUMIFS(INDEX(Load,,MATCH('Summarized Source Data'!$C276,Hour,0)),Month,'Summarized Source Data'!$A276,Sector,'Summarized Source Data'!K$2,Subsector,"Total",TimeOfWeek,$E276)-SUM(F276:I276))*INDEX(About!G$79:G$82,MATCH($B276,About!$A$79:$A$82,0),1)</f>
        <v>112991908</v>
      </c>
      <c r="L276" s="27">
        <f>SUMIFS(INDEX(Load,,MATCH('Summarized Source Data'!$C276,Hour,0)),Month,'Summarized Source Data'!$A276,Sector,'Summarized Source Data'!L$2,Subsector,'Summarized Source Data'!L$3,TimeOfWeek,$E276)*INDEX(About!H$79:H$82,MATCH($B276,About!$A$79:$A$82,0),1)</f>
        <v>110000000</v>
      </c>
      <c r="M276" s="27">
        <f>SUMIFS(INDEX(Load,,MATCH('Summarized Source Data'!$C276,Hour,0)),Month,'Summarized Source Data'!$A276,Sector,'Summarized Source Data'!M$2,Subsector,'Summarized Source Data'!M$3,TimeOfWeek,$E276)*INDEX(About!I$79:I$82,MATCH($B276,About!$A$79:$A$82,0),1)</f>
        <v>72818</v>
      </c>
      <c r="N276" s="27">
        <f>SUMIFS(INDEX(Load,,MATCH('Summarized Source Data'!$C276,Hour,0)),Month,'Summarized Source Data'!$A276,Sector,'Summarized Source Data'!N$2,Subsector,'Summarized Source Data'!N$3,TimeOfWeek,$E276)*INDEX(About!J$79:J$82,MATCH($B276,About!$A$79:$A$82,0),1)</f>
        <v>0</v>
      </c>
      <c r="O276" s="29">
        <f t="shared" si="22"/>
        <v>503927182</v>
      </c>
      <c r="P276" s="27">
        <f>(SUMIFS(INDEX(Load,,MATCH('Summarized Source Data'!$C276,Hour,0)),Month,'Summarized Source Data'!$A276,Sector,'Summarized Source Data'!P$2,Subsector,"Total",TimeOfWeek,$E276)-SUM(L276:N276)*INDEX(About!L$79:L$82,MATCH($B276,About!$A$79:$A$82,0),1))</f>
        <v>503927182</v>
      </c>
      <c r="Q276" s="29">
        <f t="shared" si="23"/>
        <v>503927182</v>
      </c>
      <c r="R276" s="33">
        <f>SUMIFS(INDEX(Load,,MATCH('Summarized Source Data'!$C276,Hour,0)),Month,'Summarized Source Data'!$A276,Sector,'Summarized Source Data'!R$2,TimeOfWeek,$E276)*INDEX(About!N$79:N$82,MATCH($B276,About!$A$79:$A$82,0),1)</f>
        <v>17200000</v>
      </c>
      <c r="S276" s="33">
        <f>SUMIFS(INDEX(Load,,MATCH('Summarized Source Data'!$C276,Hour,0)),Month,'Summarized Source Data'!$A276,Sector,'Summarized Source Data'!S$2,TimeOfWeek,$E276)*INDEX(About!O$79:O$82,MATCH($B276,About!$A$79:$A$82,0),1)</f>
        <v>17200000</v>
      </c>
      <c r="T276" s="33">
        <f>SUMIFS(INDEX(Load,,MATCH('Summarized Source Data'!$C276,Hour,0)),Month,'Summarized Source Data'!$A276,Sector,'Summarized Source Data'!T$2,TimeOfWeek,$E276)*INDEX(About!P$79:P$82,MATCH($B276,About!$A$79:$A$82,0),1)</f>
        <v>17200000</v>
      </c>
      <c r="U276" s="33">
        <f>SUMIFS(INDEX(Load,,MATCH('Summarized Source Data'!$C276,Hour,0)),Month,'Summarized Source Data'!$A276,Sector,'Summarized Source Data'!U$2,TimeOfWeek,$E276)*INDEX(About!Q$79:Q$82,MATCH($B276,About!$A$79:$A$82,0),1)</f>
        <v>17200000</v>
      </c>
      <c r="V276" s="33">
        <f>SUMIFS(INDEX(Load,,MATCH('Summarized Source Data'!$C276,Hour,0)),Month,'Summarized Source Data'!$A276,Sector,'Summarized Source Data'!V$2,TimeOfWeek,$E276)*INDEX(About!R$79:R$82,MATCH($B276,About!$A$79:$A$82,0),1)</f>
        <v>17200000</v>
      </c>
      <c r="W276" s="33">
        <f>SUMIFS(INDEX(Load,,MATCH('Summarized Source Data'!$C276,Hour,0)),Month,'Summarized Source Data'!$A276,Sector,'Summarized Source Data'!W$2,TimeOfWeek,$E276)*INDEX(About!S$79:S$82,MATCH($B276,About!$A$79:$A$82,0),1)</f>
        <v>17200000</v>
      </c>
      <c r="X276" s="27">
        <f>SUMIFS(INDEX(Load,,MATCH('Summarized Source Data'!$C276,Hour,0)),Month,'Summarized Source Data'!$A276,Sector,'Summarized Source Data'!X$2,Subsector,'Summarized Source Data'!X$3,TimeOfWeek,$E276)*INDEX(About!T$79:T$82,MATCH($B276,About!$A$79:$A$82,0),1)</f>
        <v>641000000</v>
      </c>
      <c r="Y276" s="29">
        <f t="shared" si="24"/>
        <v>641000000</v>
      </c>
      <c r="Z276" s="29">
        <f t="shared" si="24"/>
        <v>641000000</v>
      </c>
    </row>
    <row r="277" spans="1:26" outlineLevel="1" x14ac:dyDescent="0.3">
      <c r="A277">
        <f t="shared" si="20"/>
        <v>12</v>
      </c>
      <c r="B277" t="str">
        <f>INDEX('Category Mapping'!$G$28:$G$39,MATCH(A277,'Category Mapping'!$A$28:$A$39,0),1)</f>
        <v>Winter</v>
      </c>
      <c r="C277" t="s">
        <v>72</v>
      </c>
      <c r="D277" s="6" t="s">
        <v>147</v>
      </c>
      <c r="E277" t="s">
        <v>49</v>
      </c>
      <c r="F277" s="27">
        <f>SUMIFS(INDEX(Load,,MATCH('Summarized Source Data'!$C277,Hour,0)),Month,'Summarized Source Data'!$A277,Sector,'Summarized Source Data'!F$2,Subsector,'Summarized Source Data'!F$3,TimeOfWeek,$E277)*INDEX(About!B$79:B$82,MATCH($B277,About!$A$79:$A$82,0),1)</f>
        <v>15600000</v>
      </c>
      <c r="G277" s="27">
        <f>SUMIFS(INDEX(Load,,MATCH('Summarized Source Data'!$C277,Hour,0)),Month,'Summarized Source Data'!$A277,Sector,'Summarized Source Data'!G$2,Subsector,'Summarized Source Data'!G$3,TimeOfWeek,$E277)*INDEX(About!C$79:C$82,MATCH($B277,About!$A$79:$A$82,0),1)</f>
        <v>6996</v>
      </c>
      <c r="H277" s="27">
        <f>SUMIFS(INDEX(Load,,MATCH('Summarized Source Data'!$C277,Hour,0)),Month,'Summarized Source Data'!$A277,Sector,'Summarized Source Data'!H$2,Subsector,'Summarized Source Data'!H$3,TimeOfWeek,$E277)*INDEX(About!D$79:D$82,MATCH($B277,About!$A$79:$A$82,0),1)</f>
        <v>0</v>
      </c>
      <c r="I277" s="27">
        <f>SUMIFS(INDEX(Load,,MATCH('Summarized Source Data'!$C277,Hour,0)),Month,'Summarized Source Data'!$A277,Sector,'Summarized Source Data'!I$2,Subsector,'Summarized Source Data'!I$3,TimeOfWeek,$E277)*INDEX(About!E$79:E$82,MATCH($B277,About!$A$79:$A$82,0),1)</f>
        <v>10400000</v>
      </c>
      <c r="J277" s="54">
        <f t="shared" si="21"/>
        <v>112993004</v>
      </c>
      <c r="K277" s="27">
        <f>(SUMIFS(INDEX(Load,,MATCH('Summarized Source Data'!$C277,Hour,0)),Month,'Summarized Source Data'!$A277,Sector,'Summarized Source Data'!K$2,Subsector,"Total",TimeOfWeek,$E277)-SUM(F277:I277))*INDEX(About!G$79:G$82,MATCH($B277,About!$A$79:$A$82,0),1)</f>
        <v>112993004</v>
      </c>
      <c r="L277" s="27">
        <f>SUMIFS(INDEX(Load,,MATCH('Summarized Source Data'!$C277,Hour,0)),Month,'Summarized Source Data'!$A277,Sector,'Summarized Source Data'!L$2,Subsector,'Summarized Source Data'!L$3,TimeOfWeek,$E277)*INDEX(About!H$79:H$82,MATCH($B277,About!$A$79:$A$82,0),1)</f>
        <v>78500000</v>
      </c>
      <c r="M277" s="27">
        <f>SUMIFS(INDEX(Load,,MATCH('Summarized Source Data'!$C277,Hour,0)),Month,'Summarized Source Data'!$A277,Sector,'Summarized Source Data'!M$2,Subsector,'Summarized Source Data'!M$3,TimeOfWeek,$E277)*INDEX(About!I$79:I$82,MATCH($B277,About!$A$79:$A$82,0),1)</f>
        <v>81750</v>
      </c>
      <c r="N277" s="27">
        <f>SUMIFS(INDEX(Load,,MATCH('Summarized Source Data'!$C277,Hour,0)),Month,'Summarized Source Data'!$A277,Sector,'Summarized Source Data'!N$2,Subsector,'Summarized Source Data'!N$3,TimeOfWeek,$E277)*INDEX(About!J$79:J$82,MATCH($B277,About!$A$79:$A$82,0),1)</f>
        <v>0</v>
      </c>
      <c r="O277" s="29">
        <f t="shared" si="22"/>
        <v>529418250</v>
      </c>
      <c r="P277" s="27">
        <f>(SUMIFS(INDEX(Load,,MATCH('Summarized Source Data'!$C277,Hour,0)),Month,'Summarized Source Data'!$A277,Sector,'Summarized Source Data'!P$2,Subsector,"Total",TimeOfWeek,$E277)-SUM(L277:N277)*INDEX(About!L$79:L$82,MATCH($B277,About!$A$79:$A$82,0),1))</f>
        <v>529418250</v>
      </c>
      <c r="Q277" s="29">
        <f t="shared" si="23"/>
        <v>529418250</v>
      </c>
      <c r="R277" s="33">
        <f>SUMIFS(INDEX(Load,,MATCH('Summarized Source Data'!$C277,Hour,0)),Month,'Summarized Source Data'!$A277,Sector,'Summarized Source Data'!R$2,TimeOfWeek,$E277)*INDEX(About!N$79:N$82,MATCH($B277,About!$A$79:$A$82,0),1)</f>
        <v>15300000</v>
      </c>
      <c r="S277" s="33">
        <f>SUMIFS(INDEX(Load,,MATCH('Summarized Source Data'!$C277,Hour,0)),Month,'Summarized Source Data'!$A277,Sector,'Summarized Source Data'!S$2,TimeOfWeek,$E277)*INDEX(About!O$79:O$82,MATCH($B277,About!$A$79:$A$82,0),1)</f>
        <v>15300000</v>
      </c>
      <c r="T277" s="33">
        <f>SUMIFS(INDEX(Load,,MATCH('Summarized Source Data'!$C277,Hour,0)),Month,'Summarized Source Data'!$A277,Sector,'Summarized Source Data'!T$2,TimeOfWeek,$E277)*INDEX(About!P$79:P$82,MATCH($B277,About!$A$79:$A$82,0),1)</f>
        <v>15300000</v>
      </c>
      <c r="U277" s="33">
        <f>SUMIFS(INDEX(Load,,MATCH('Summarized Source Data'!$C277,Hour,0)),Month,'Summarized Source Data'!$A277,Sector,'Summarized Source Data'!U$2,TimeOfWeek,$E277)*INDEX(About!Q$79:Q$82,MATCH($B277,About!$A$79:$A$82,0),1)</f>
        <v>15300000</v>
      </c>
      <c r="V277" s="33">
        <f>SUMIFS(INDEX(Load,,MATCH('Summarized Source Data'!$C277,Hour,0)),Month,'Summarized Source Data'!$A277,Sector,'Summarized Source Data'!V$2,TimeOfWeek,$E277)*INDEX(About!R$79:R$82,MATCH($B277,About!$A$79:$A$82,0),1)</f>
        <v>15300000</v>
      </c>
      <c r="W277" s="33">
        <f>SUMIFS(INDEX(Load,,MATCH('Summarized Source Data'!$C277,Hour,0)),Month,'Summarized Source Data'!$A277,Sector,'Summarized Source Data'!W$2,TimeOfWeek,$E277)*INDEX(About!S$79:S$82,MATCH($B277,About!$A$79:$A$82,0),1)</f>
        <v>15300000</v>
      </c>
      <c r="X277" s="27">
        <f>SUMIFS(INDEX(Load,,MATCH('Summarized Source Data'!$C277,Hour,0)),Month,'Summarized Source Data'!$A277,Sector,'Summarized Source Data'!X$2,Subsector,'Summarized Source Data'!X$3,TimeOfWeek,$E277)*INDEX(About!T$79:T$82,MATCH($B277,About!$A$79:$A$82,0),1)</f>
        <v>640000000</v>
      </c>
      <c r="Y277" s="29">
        <f t="shared" si="24"/>
        <v>640000000</v>
      </c>
      <c r="Z277" s="29">
        <f t="shared" si="24"/>
        <v>640000000</v>
      </c>
    </row>
    <row r="278" spans="1:26" outlineLevel="1" x14ac:dyDescent="0.3">
      <c r="A278">
        <f t="shared" si="20"/>
        <v>12</v>
      </c>
      <c r="B278" t="str">
        <f>INDEX('Category Mapping'!$G$28:$G$39,MATCH(A278,'Category Mapping'!$A$28:$A$39,0),1)</f>
        <v>Winter</v>
      </c>
      <c r="C278" t="s">
        <v>73</v>
      </c>
      <c r="D278" s="6" t="s">
        <v>148</v>
      </c>
      <c r="E278" t="s">
        <v>49</v>
      </c>
      <c r="F278" s="27">
        <f>SUMIFS(INDEX(Load,,MATCH('Summarized Source Data'!$C278,Hour,0)),Month,'Summarized Source Data'!$A278,Sector,'Summarized Source Data'!F$2,Subsector,'Summarized Source Data'!F$3,TimeOfWeek,$E278)*INDEX(About!B$79:B$82,MATCH($B278,About!$A$79:$A$82,0),1)</f>
        <v>14900000</v>
      </c>
      <c r="G278" s="27">
        <f>SUMIFS(INDEX(Load,,MATCH('Summarized Source Data'!$C278,Hour,0)),Month,'Summarized Source Data'!$A278,Sector,'Summarized Source Data'!G$2,Subsector,'Summarized Source Data'!G$3,TimeOfWeek,$E278)*INDEX(About!C$79:C$82,MATCH($B278,About!$A$79:$A$82,0),1)</f>
        <v>6913</v>
      </c>
      <c r="H278" s="27">
        <f>SUMIFS(INDEX(Load,,MATCH('Summarized Source Data'!$C278,Hour,0)),Month,'Summarized Source Data'!$A278,Sector,'Summarized Source Data'!H$2,Subsector,'Summarized Source Data'!H$3,TimeOfWeek,$E278)*INDEX(About!D$79:D$82,MATCH($B278,About!$A$79:$A$82,0),1)</f>
        <v>0</v>
      </c>
      <c r="I278" s="27">
        <f>SUMIFS(INDEX(Load,,MATCH('Summarized Source Data'!$C278,Hour,0)),Month,'Summarized Source Data'!$A278,Sector,'Summarized Source Data'!I$2,Subsector,'Summarized Source Data'!I$3,TimeOfWeek,$E278)*INDEX(About!E$79:E$82,MATCH($B278,About!$A$79:$A$82,0),1)</f>
        <v>10600000</v>
      </c>
      <c r="J278" s="54">
        <f t="shared" si="21"/>
        <v>111493087</v>
      </c>
      <c r="K278" s="27">
        <f>(SUMIFS(INDEX(Load,,MATCH('Summarized Source Data'!$C278,Hour,0)),Month,'Summarized Source Data'!$A278,Sector,'Summarized Source Data'!K$2,Subsector,"Total",TimeOfWeek,$E278)-SUM(F278:I278))*INDEX(About!G$79:G$82,MATCH($B278,About!$A$79:$A$82,0),1)</f>
        <v>111493087</v>
      </c>
      <c r="L278" s="27">
        <f>SUMIFS(INDEX(Load,,MATCH('Summarized Source Data'!$C278,Hour,0)),Month,'Summarized Source Data'!$A278,Sector,'Summarized Source Data'!L$2,Subsector,'Summarized Source Data'!L$3,TimeOfWeek,$E278)*INDEX(About!H$79:H$82,MATCH($B278,About!$A$79:$A$82,0),1)</f>
        <v>64800000</v>
      </c>
      <c r="M278" s="27">
        <f>SUMIFS(INDEX(Load,,MATCH('Summarized Source Data'!$C278,Hour,0)),Month,'Summarized Source Data'!$A278,Sector,'Summarized Source Data'!M$2,Subsector,'Summarized Source Data'!M$3,TimeOfWeek,$E278)*INDEX(About!I$79:I$82,MATCH($B278,About!$A$79:$A$82,0),1)</f>
        <v>86392</v>
      </c>
      <c r="N278" s="27">
        <f>SUMIFS(INDEX(Load,,MATCH('Summarized Source Data'!$C278,Hour,0)),Month,'Summarized Source Data'!$A278,Sector,'Summarized Source Data'!N$2,Subsector,'Summarized Source Data'!N$3,TimeOfWeek,$E278)*INDEX(About!J$79:J$82,MATCH($B278,About!$A$79:$A$82,0),1)</f>
        <v>0</v>
      </c>
      <c r="O278" s="29">
        <f t="shared" si="22"/>
        <v>526113608</v>
      </c>
      <c r="P278" s="27">
        <f>(SUMIFS(INDEX(Load,,MATCH('Summarized Source Data'!$C278,Hour,0)),Month,'Summarized Source Data'!$A278,Sector,'Summarized Source Data'!P$2,Subsector,"Total",TimeOfWeek,$E278)-SUM(L278:N278)*INDEX(About!L$79:L$82,MATCH($B278,About!$A$79:$A$82,0),1))</f>
        <v>526113608</v>
      </c>
      <c r="Q278" s="29">
        <f t="shared" si="23"/>
        <v>526113608</v>
      </c>
      <c r="R278" s="33">
        <f>SUMIFS(INDEX(Load,,MATCH('Summarized Source Data'!$C278,Hour,0)),Month,'Summarized Source Data'!$A278,Sector,'Summarized Source Data'!R$2,TimeOfWeek,$E278)*INDEX(About!N$79:N$82,MATCH($B278,About!$A$79:$A$82,0),1)</f>
        <v>12300000</v>
      </c>
      <c r="S278" s="33">
        <f>SUMIFS(INDEX(Load,,MATCH('Summarized Source Data'!$C278,Hour,0)),Month,'Summarized Source Data'!$A278,Sector,'Summarized Source Data'!S$2,TimeOfWeek,$E278)*INDEX(About!O$79:O$82,MATCH($B278,About!$A$79:$A$82,0),1)</f>
        <v>12300000</v>
      </c>
      <c r="T278" s="33">
        <f>SUMIFS(INDEX(Load,,MATCH('Summarized Source Data'!$C278,Hour,0)),Month,'Summarized Source Data'!$A278,Sector,'Summarized Source Data'!T$2,TimeOfWeek,$E278)*INDEX(About!P$79:P$82,MATCH($B278,About!$A$79:$A$82,0),1)</f>
        <v>12300000</v>
      </c>
      <c r="U278" s="33">
        <f>SUMIFS(INDEX(Load,,MATCH('Summarized Source Data'!$C278,Hour,0)),Month,'Summarized Source Data'!$A278,Sector,'Summarized Source Data'!U$2,TimeOfWeek,$E278)*INDEX(About!Q$79:Q$82,MATCH($B278,About!$A$79:$A$82,0),1)</f>
        <v>12300000</v>
      </c>
      <c r="V278" s="33">
        <f>SUMIFS(INDEX(Load,,MATCH('Summarized Source Data'!$C278,Hour,0)),Month,'Summarized Source Data'!$A278,Sector,'Summarized Source Data'!V$2,TimeOfWeek,$E278)*INDEX(About!R$79:R$82,MATCH($B278,About!$A$79:$A$82,0),1)</f>
        <v>12300000</v>
      </c>
      <c r="W278" s="33">
        <f>SUMIFS(INDEX(Load,,MATCH('Summarized Source Data'!$C278,Hour,0)),Month,'Summarized Source Data'!$A278,Sector,'Summarized Source Data'!W$2,TimeOfWeek,$E278)*INDEX(About!S$79:S$82,MATCH($B278,About!$A$79:$A$82,0),1)</f>
        <v>12300000</v>
      </c>
      <c r="X278" s="27">
        <f>SUMIFS(INDEX(Load,,MATCH('Summarized Source Data'!$C278,Hour,0)),Month,'Summarized Source Data'!$A278,Sector,'Summarized Source Data'!X$2,Subsector,'Summarized Source Data'!X$3,TimeOfWeek,$E278)*INDEX(About!T$79:T$82,MATCH($B278,About!$A$79:$A$82,0),1)</f>
        <v>637000000</v>
      </c>
      <c r="Y278" s="29">
        <f t="shared" si="24"/>
        <v>637000000</v>
      </c>
      <c r="Z278" s="29">
        <f t="shared" si="24"/>
        <v>637000000</v>
      </c>
    </row>
    <row r="279" spans="1:26" outlineLevel="1" x14ac:dyDescent="0.3">
      <c r="A279">
        <f t="shared" si="20"/>
        <v>12</v>
      </c>
      <c r="B279" t="str">
        <f>INDEX('Category Mapping'!$G$28:$G$39,MATCH(A279,'Category Mapping'!$A$28:$A$39,0),1)</f>
        <v>Winter</v>
      </c>
      <c r="C279" t="s">
        <v>74</v>
      </c>
      <c r="D279" s="6" t="s">
        <v>149</v>
      </c>
      <c r="E279" t="s">
        <v>49</v>
      </c>
      <c r="F279" s="27">
        <f>SUMIFS(INDEX(Load,,MATCH('Summarized Source Data'!$C279,Hour,0)),Month,'Summarized Source Data'!$A279,Sector,'Summarized Source Data'!F$2,Subsector,'Summarized Source Data'!F$3,TimeOfWeek,$E279)*INDEX(About!B$79:B$82,MATCH($B279,About!$A$79:$A$82,0),1)</f>
        <v>14800000</v>
      </c>
      <c r="G279" s="27">
        <f>SUMIFS(INDEX(Load,,MATCH('Summarized Source Data'!$C279,Hour,0)),Month,'Summarized Source Data'!$A279,Sector,'Summarized Source Data'!G$2,Subsector,'Summarized Source Data'!G$3,TimeOfWeek,$E279)*INDEX(About!C$79:C$82,MATCH($B279,About!$A$79:$A$82,0),1)</f>
        <v>7732</v>
      </c>
      <c r="H279" s="27">
        <f>SUMIFS(INDEX(Load,,MATCH('Summarized Source Data'!$C279,Hour,0)),Month,'Summarized Source Data'!$A279,Sector,'Summarized Source Data'!H$2,Subsector,'Summarized Source Data'!H$3,TimeOfWeek,$E279)*INDEX(About!D$79:D$82,MATCH($B279,About!$A$79:$A$82,0),1)</f>
        <v>0</v>
      </c>
      <c r="I279" s="27">
        <f>SUMIFS(INDEX(Load,,MATCH('Summarized Source Data'!$C279,Hour,0)),Month,'Summarized Source Data'!$A279,Sector,'Summarized Source Data'!I$2,Subsector,'Summarized Source Data'!I$3,TimeOfWeek,$E279)*INDEX(About!E$79:E$82,MATCH($B279,About!$A$79:$A$82,0),1)</f>
        <v>11600000</v>
      </c>
      <c r="J279" s="54">
        <f t="shared" si="21"/>
        <v>110592268</v>
      </c>
      <c r="K279" s="27">
        <f>(SUMIFS(INDEX(Load,,MATCH('Summarized Source Data'!$C279,Hour,0)),Month,'Summarized Source Data'!$A279,Sector,'Summarized Source Data'!K$2,Subsector,"Total",TimeOfWeek,$E279)-SUM(F279:I279))*INDEX(About!G$79:G$82,MATCH($B279,About!$A$79:$A$82,0),1)</f>
        <v>110592268</v>
      </c>
      <c r="L279" s="27">
        <f>SUMIFS(INDEX(Load,,MATCH('Summarized Source Data'!$C279,Hour,0)),Month,'Summarized Source Data'!$A279,Sector,'Summarized Source Data'!L$2,Subsector,'Summarized Source Data'!L$3,TimeOfWeek,$E279)*INDEX(About!H$79:H$82,MATCH($B279,About!$A$79:$A$82,0),1)</f>
        <v>56500000</v>
      </c>
      <c r="M279" s="27">
        <f>SUMIFS(INDEX(Load,,MATCH('Summarized Source Data'!$C279,Hour,0)),Month,'Summarized Source Data'!$A279,Sector,'Summarized Source Data'!M$2,Subsector,'Summarized Source Data'!M$3,TimeOfWeek,$E279)*INDEX(About!I$79:I$82,MATCH($B279,About!$A$79:$A$82,0),1)</f>
        <v>87480</v>
      </c>
      <c r="N279" s="27">
        <f>SUMIFS(INDEX(Load,,MATCH('Summarized Source Data'!$C279,Hour,0)),Month,'Summarized Source Data'!$A279,Sector,'Summarized Source Data'!N$2,Subsector,'Summarized Source Data'!N$3,TimeOfWeek,$E279)*INDEX(About!J$79:J$82,MATCH($B279,About!$A$79:$A$82,0),1)</f>
        <v>0</v>
      </c>
      <c r="O279" s="29">
        <f t="shared" si="22"/>
        <v>524412520</v>
      </c>
      <c r="P279" s="27">
        <f>(SUMIFS(INDEX(Load,,MATCH('Summarized Source Data'!$C279,Hour,0)),Month,'Summarized Source Data'!$A279,Sector,'Summarized Source Data'!P$2,Subsector,"Total",TimeOfWeek,$E279)-SUM(L279:N279)*INDEX(About!L$79:L$82,MATCH($B279,About!$A$79:$A$82,0),1))</f>
        <v>524412520</v>
      </c>
      <c r="Q279" s="29">
        <f t="shared" si="23"/>
        <v>524412520</v>
      </c>
      <c r="R279" s="33">
        <f>SUMIFS(INDEX(Load,,MATCH('Summarized Source Data'!$C279,Hour,0)),Month,'Summarized Source Data'!$A279,Sector,'Summarized Source Data'!R$2,TimeOfWeek,$E279)*INDEX(About!N$79:N$82,MATCH($B279,About!$A$79:$A$82,0),1)</f>
        <v>12300000</v>
      </c>
      <c r="S279" s="33">
        <f>SUMIFS(INDEX(Load,,MATCH('Summarized Source Data'!$C279,Hour,0)),Month,'Summarized Source Data'!$A279,Sector,'Summarized Source Data'!S$2,TimeOfWeek,$E279)*INDEX(About!O$79:O$82,MATCH($B279,About!$A$79:$A$82,0),1)</f>
        <v>12300000</v>
      </c>
      <c r="T279" s="33">
        <f>SUMIFS(INDEX(Load,,MATCH('Summarized Source Data'!$C279,Hour,0)),Month,'Summarized Source Data'!$A279,Sector,'Summarized Source Data'!T$2,TimeOfWeek,$E279)*INDEX(About!P$79:P$82,MATCH($B279,About!$A$79:$A$82,0),1)</f>
        <v>12300000</v>
      </c>
      <c r="U279" s="33">
        <f>SUMIFS(INDEX(Load,,MATCH('Summarized Source Data'!$C279,Hour,0)),Month,'Summarized Source Data'!$A279,Sector,'Summarized Source Data'!U$2,TimeOfWeek,$E279)*INDEX(About!Q$79:Q$82,MATCH($B279,About!$A$79:$A$82,0),1)</f>
        <v>12300000</v>
      </c>
      <c r="V279" s="33">
        <f>SUMIFS(INDEX(Load,,MATCH('Summarized Source Data'!$C279,Hour,0)),Month,'Summarized Source Data'!$A279,Sector,'Summarized Source Data'!V$2,TimeOfWeek,$E279)*INDEX(About!R$79:R$82,MATCH($B279,About!$A$79:$A$82,0),1)</f>
        <v>12300000</v>
      </c>
      <c r="W279" s="33">
        <f>SUMIFS(INDEX(Load,,MATCH('Summarized Source Data'!$C279,Hour,0)),Month,'Summarized Source Data'!$A279,Sector,'Summarized Source Data'!W$2,TimeOfWeek,$E279)*INDEX(About!S$79:S$82,MATCH($B279,About!$A$79:$A$82,0),1)</f>
        <v>12300000</v>
      </c>
      <c r="X279" s="27">
        <f>SUMIFS(INDEX(Load,,MATCH('Summarized Source Data'!$C279,Hour,0)),Month,'Summarized Source Data'!$A279,Sector,'Summarized Source Data'!X$2,Subsector,'Summarized Source Data'!X$3,TimeOfWeek,$E279)*INDEX(About!T$79:T$82,MATCH($B279,About!$A$79:$A$82,0),1)</f>
        <v>635000000</v>
      </c>
      <c r="Y279" s="29">
        <f t="shared" si="24"/>
        <v>635000000</v>
      </c>
      <c r="Z279" s="29">
        <f t="shared" si="24"/>
        <v>635000000</v>
      </c>
    </row>
    <row r="280" spans="1:26" outlineLevel="1" x14ac:dyDescent="0.3">
      <c r="A280">
        <f t="shared" si="20"/>
        <v>12</v>
      </c>
      <c r="B280" t="str">
        <f>INDEX('Category Mapping'!$G$28:$G$39,MATCH(A280,'Category Mapping'!$A$28:$A$39,0),1)</f>
        <v>Winter</v>
      </c>
      <c r="C280" t="s">
        <v>75</v>
      </c>
      <c r="D280" s="6" t="s">
        <v>150</v>
      </c>
      <c r="E280" t="s">
        <v>49</v>
      </c>
      <c r="F280" s="27">
        <f>SUMIFS(INDEX(Load,,MATCH('Summarized Source Data'!$C280,Hour,0)),Month,'Summarized Source Data'!$A280,Sector,'Summarized Source Data'!F$2,Subsector,'Summarized Source Data'!F$3,TimeOfWeek,$E280)*INDEX(About!B$79:B$82,MATCH($B280,About!$A$79:$A$82,0),1)</f>
        <v>14700000</v>
      </c>
      <c r="G280" s="27">
        <f>SUMIFS(INDEX(Load,,MATCH('Summarized Source Data'!$C280,Hour,0)),Month,'Summarized Source Data'!$A280,Sector,'Summarized Source Data'!G$2,Subsector,'Summarized Source Data'!G$3,TimeOfWeek,$E280)*INDEX(About!C$79:C$82,MATCH($B280,About!$A$79:$A$82,0),1)</f>
        <v>8393</v>
      </c>
      <c r="H280" s="27">
        <f>SUMIFS(INDEX(Load,,MATCH('Summarized Source Data'!$C280,Hour,0)),Month,'Summarized Source Data'!$A280,Sector,'Summarized Source Data'!H$2,Subsector,'Summarized Source Data'!H$3,TimeOfWeek,$E280)*INDEX(About!D$79:D$82,MATCH($B280,About!$A$79:$A$82,0),1)</f>
        <v>0</v>
      </c>
      <c r="I280" s="27">
        <f>SUMIFS(INDEX(Load,,MATCH('Summarized Source Data'!$C280,Hour,0)),Month,'Summarized Source Data'!$A280,Sector,'Summarized Source Data'!I$2,Subsector,'Summarized Source Data'!I$3,TimeOfWeek,$E280)*INDEX(About!E$79:E$82,MATCH($B280,About!$A$79:$A$82,0),1)</f>
        <v>12200000</v>
      </c>
      <c r="J280" s="54">
        <f t="shared" si="21"/>
        <v>107091607</v>
      </c>
      <c r="K280" s="27">
        <f>(SUMIFS(INDEX(Load,,MATCH('Summarized Source Data'!$C280,Hour,0)),Month,'Summarized Source Data'!$A280,Sector,'Summarized Source Data'!K$2,Subsector,"Total",TimeOfWeek,$E280)-SUM(F280:I280))*INDEX(About!G$79:G$82,MATCH($B280,About!$A$79:$A$82,0),1)</f>
        <v>107091607</v>
      </c>
      <c r="L280" s="27">
        <f>SUMIFS(INDEX(Load,,MATCH('Summarized Source Data'!$C280,Hour,0)),Month,'Summarized Source Data'!$A280,Sector,'Summarized Source Data'!L$2,Subsector,'Summarized Source Data'!L$3,TimeOfWeek,$E280)*INDEX(About!H$79:H$82,MATCH($B280,About!$A$79:$A$82,0),1)</f>
        <v>49600000</v>
      </c>
      <c r="M280" s="27">
        <f>SUMIFS(INDEX(Load,,MATCH('Summarized Source Data'!$C280,Hour,0)),Month,'Summarized Source Data'!$A280,Sector,'Summarized Source Data'!M$2,Subsector,'Summarized Source Data'!M$3,TimeOfWeek,$E280)*INDEX(About!I$79:I$82,MATCH($B280,About!$A$79:$A$82,0),1)</f>
        <v>84261</v>
      </c>
      <c r="N280" s="27">
        <f>SUMIFS(INDEX(Load,,MATCH('Summarized Source Data'!$C280,Hour,0)),Month,'Summarized Source Data'!$A280,Sector,'Summarized Source Data'!N$2,Subsector,'Summarized Source Data'!N$3,TimeOfWeek,$E280)*INDEX(About!J$79:J$82,MATCH($B280,About!$A$79:$A$82,0),1)</f>
        <v>0</v>
      </c>
      <c r="O280" s="29">
        <f t="shared" si="22"/>
        <v>516315739</v>
      </c>
      <c r="P280" s="27">
        <f>(SUMIFS(INDEX(Load,,MATCH('Summarized Source Data'!$C280,Hour,0)),Month,'Summarized Source Data'!$A280,Sector,'Summarized Source Data'!P$2,Subsector,"Total",TimeOfWeek,$E280)-SUM(L280:N280)*INDEX(About!L$79:L$82,MATCH($B280,About!$A$79:$A$82,0),1))</f>
        <v>516315739</v>
      </c>
      <c r="Q280" s="29">
        <f t="shared" si="23"/>
        <v>516315739</v>
      </c>
      <c r="R280" s="33">
        <f>SUMIFS(INDEX(Load,,MATCH('Summarized Source Data'!$C280,Hour,0)),Month,'Summarized Source Data'!$A280,Sector,'Summarized Source Data'!R$2,TimeOfWeek,$E280)*INDEX(About!N$79:N$82,MATCH($B280,About!$A$79:$A$82,0),1)</f>
        <v>12500000</v>
      </c>
      <c r="S280" s="33">
        <f>SUMIFS(INDEX(Load,,MATCH('Summarized Source Data'!$C280,Hour,0)),Month,'Summarized Source Data'!$A280,Sector,'Summarized Source Data'!S$2,TimeOfWeek,$E280)*INDEX(About!O$79:O$82,MATCH($B280,About!$A$79:$A$82,0),1)</f>
        <v>12500000</v>
      </c>
      <c r="T280" s="33">
        <f>SUMIFS(INDEX(Load,,MATCH('Summarized Source Data'!$C280,Hour,0)),Month,'Summarized Source Data'!$A280,Sector,'Summarized Source Data'!T$2,TimeOfWeek,$E280)*INDEX(About!P$79:P$82,MATCH($B280,About!$A$79:$A$82,0),1)</f>
        <v>12500000</v>
      </c>
      <c r="U280" s="33">
        <f>SUMIFS(INDEX(Load,,MATCH('Summarized Source Data'!$C280,Hour,0)),Month,'Summarized Source Data'!$A280,Sector,'Summarized Source Data'!U$2,TimeOfWeek,$E280)*INDEX(About!Q$79:Q$82,MATCH($B280,About!$A$79:$A$82,0),1)</f>
        <v>12500000</v>
      </c>
      <c r="V280" s="33">
        <f>SUMIFS(INDEX(Load,,MATCH('Summarized Source Data'!$C280,Hour,0)),Month,'Summarized Source Data'!$A280,Sector,'Summarized Source Data'!V$2,TimeOfWeek,$E280)*INDEX(About!R$79:R$82,MATCH($B280,About!$A$79:$A$82,0),1)</f>
        <v>12500000</v>
      </c>
      <c r="W280" s="33">
        <f>SUMIFS(INDEX(Load,,MATCH('Summarized Source Data'!$C280,Hour,0)),Month,'Summarized Source Data'!$A280,Sector,'Summarized Source Data'!W$2,TimeOfWeek,$E280)*INDEX(About!S$79:S$82,MATCH($B280,About!$A$79:$A$82,0),1)</f>
        <v>12500000</v>
      </c>
      <c r="X280" s="27">
        <f>SUMIFS(INDEX(Load,,MATCH('Summarized Source Data'!$C280,Hour,0)),Month,'Summarized Source Data'!$A280,Sector,'Summarized Source Data'!X$2,Subsector,'Summarized Source Data'!X$3,TimeOfWeek,$E280)*INDEX(About!T$79:T$82,MATCH($B280,About!$A$79:$A$82,0),1)</f>
        <v>634000000</v>
      </c>
      <c r="Y280" s="29">
        <f t="shared" si="24"/>
        <v>634000000</v>
      </c>
      <c r="Z280" s="29">
        <f t="shared" si="24"/>
        <v>634000000</v>
      </c>
    </row>
    <row r="281" spans="1:26" outlineLevel="1" x14ac:dyDescent="0.3">
      <c r="A281">
        <f t="shared" si="20"/>
        <v>12</v>
      </c>
      <c r="B281" t="str">
        <f>INDEX('Category Mapping'!$G$28:$G$39,MATCH(A281,'Category Mapping'!$A$28:$A$39,0),1)</f>
        <v>Winter</v>
      </c>
      <c r="C281" t="s">
        <v>76</v>
      </c>
      <c r="D281" s="6" t="s">
        <v>151</v>
      </c>
      <c r="E281" t="s">
        <v>49</v>
      </c>
      <c r="F281" s="27">
        <f>SUMIFS(INDEX(Load,,MATCH('Summarized Source Data'!$C281,Hour,0)),Month,'Summarized Source Data'!$A281,Sector,'Summarized Source Data'!F$2,Subsector,'Summarized Source Data'!F$3,TimeOfWeek,$E281)*INDEX(About!B$79:B$82,MATCH($B281,About!$A$79:$A$82,0),1)</f>
        <v>14500000</v>
      </c>
      <c r="G281" s="27">
        <f>SUMIFS(INDEX(Load,,MATCH('Summarized Source Data'!$C281,Hour,0)),Month,'Summarized Source Data'!$A281,Sector,'Summarized Source Data'!G$2,Subsector,'Summarized Source Data'!G$3,TimeOfWeek,$E281)*INDEX(About!C$79:C$82,MATCH($B281,About!$A$79:$A$82,0),1)</f>
        <v>8657</v>
      </c>
      <c r="H281" s="27">
        <f>SUMIFS(INDEX(Load,,MATCH('Summarized Source Data'!$C281,Hour,0)),Month,'Summarized Source Data'!$A281,Sector,'Summarized Source Data'!H$2,Subsector,'Summarized Source Data'!H$3,TimeOfWeek,$E281)*INDEX(About!D$79:D$82,MATCH($B281,About!$A$79:$A$82,0),1)</f>
        <v>0</v>
      </c>
      <c r="I281" s="27">
        <f>SUMIFS(INDEX(Load,,MATCH('Summarized Source Data'!$C281,Hour,0)),Month,'Summarized Source Data'!$A281,Sector,'Summarized Source Data'!I$2,Subsector,'Summarized Source Data'!I$3,TimeOfWeek,$E281)*INDEX(About!E$79:E$82,MATCH($B281,About!$A$79:$A$82,0),1)</f>
        <v>12400000</v>
      </c>
      <c r="J281" s="54">
        <f t="shared" si="21"/>
        <v>106091343</v>
      </c>
      <c r="K281" s="27">
        <f>(SUMIFS(INDEX(Load,,MATCH('Summarized Source Data'!$C281,Hour,0)),Month,'Summarized Source Data'!$A281,Sector,'Summarized Source Data'!K$2,Subsector,"Total",TimeOfWeek,$E281)-SUM(F281:I281))*INDEX(About!G$79:G$82,MATCH($B281,About!$A$79:$A$82,0),1)</f>
        <v>106091343</v>
      </c>
      <c r="L281" s="27">
        <f>SUMIFS(INDEX(Load,,MATCH('Summarized Source Data'!$C281,Hour,0)),Month,'Summarized Source Data'!$A281,Sector,'Summarized Source Data'!L$2,Subsector,'Summarized Source Data'!L$3,TimeOfWeek,$E281)*INDEX(About!H$79:H$82,MATCH($B281,About!$A$79:$A$82,0),1)</f>
        <v>46600000</v>
      </c>
      <c r="M281" s="27">
        <f>SUMIFS(INDEX(Load,,MATCH('Summarized Source Data'!$C281,Hour,0)),Month,'Summarized Source Data'!$A281,Sector,'Summarized Source Data'!M$2,Subsector,'Summarized Source Data'!M$3,TimeOfWeek,$E281)*INDEX(About!I$79:I$82,MATCH($B281,About!$A$79:$A$82,0),1)</f>
        <v>86255</v>
      </c>
      <c r="N281" s="27">
        <f>SUMIFS(INDEX(Load,,MATCH('Summarized Source Data'!$C281,Hour,0)),Month,'Summarized Source Data'!$A281,Sector,'Summarized Source Data'!N$2,Subsector,'Summarized Source Data'!N$3,TimeOfWeek,$E281)*INDEX(About!J$79:J$82,MATCH($B281,About!$A$79:$A$82,0),1)</f>
        <v>0</v>
      </c>
      <c r="O281" s="29">
        <f t="shared" si="22"/>
        <v>516313745</v>
      </c>
      <c r="P281" s="27">
        <f>(SUMIFS(INDEX(Load,,MATCH('Summarized Source Data'!$C281,Hour,0)),Month,'Summarized Source Data'!$A281,Sector,'Summarized Source Data'!P$2,Subsector,"Total",TimeOfWeek,$E281)-SUM(L281:N281)*INDEX(About!L$79:L$82,MATCH($B281,About!$A$79:$A$82,0),1))</f>
        <v>516313745</v>
      </c>
      <c r="Q281" s="29">
        <f t="shared" si="23"/>
        <v>516313745</v>
      </c>
      <c r="R281" s="33">
        <f>SUMIFS(INDEX(Load,,MATCH('Summarized Source Data'!$C281,Hour,0)),Month,'Summarized Source Data'!$A281,Sector,'Summarized Source Data'!R$2,TimeOfWeek,$E281)*INDEX(About!N$79:N$82,MATCH($B281,About!$A$79:$A$82,0),1)</f>
        <v>12500000</v>
      </c>
      <c r="S281" s="33">
        <f>SUMIFS(INDEX(Load,,MATCH('Summarized Source Data'!$C281,Hour,0)),Month,'Summarized Source Data'!$A281,Sector,'Summarized Source Data'!S$2,TimeOfWeek,$E281)*INDEX(About!O$79:O$82,MATCH($B281,About!$A$79:$A$82,0),1)</f>
        <v>12500000</v>
      </c>
      <c r="T281" s="33">
        <f>SUMIFS(INDEX(Load,,MATCH('Summarized Source Data'!$C281,Hour,0)),Month,'Summarized Source Data'!$A281,Sector,'Summarized Source Data'!T$2,TimeOfWeek,$E281)*INDEX(About!P$79:P$82,MATCH($B281,About!$A$79:$A$82,0),1)</f>
        <v>12500000</v>
      </c>
      <c r="U281" s="33">
        <f>SUMIFS(INDEX(Load,,MATCH('Summarized Source Data'!$C281,Hour,0)),Month,'Summarized Source Data'!$A281,Sector,'Summarized Source Data'!U$2,TimeOfWeek,$E281)*INDEX(About!Q$79:Q$82,MATCH($B281,About!$A$79:$A$82,0),1)</f>
        <v>12500000</v>
      </c>
      <c r="V281" s="33">
        <f>SUMIFS(INDEX(Load,,MATCH('Summarized Source Data'!$C281,Hour,0)),Month,'Summarized Source Data'!$A281,Sector,'Summarized Source Data'!V$2,TimeOfWeek,$E281)*INDEX(About!R$79:R$82,MATCH($B281,About!$A$79:$A$82,0),1)</f>
        <v>12500000</v>
      </c>
      <c r="W281" s="33">
        <f>SUMIFS(INDEX(Load,,MATCH('Summarized Source Data'!$C281,Hour,0)),Month,'Summarized Source Data'!$A281,Sector,'Summarized Source Data'!W$2,TimeOfWeek,$E281)*INDEX(About!S$79:S$82,MATCH($B281,About!$A$79:$A$82,0),1)</f>
        <v>12500000</v>
      </c>
      <c r="X281" s="27">
        <f>SUMIFS(INDEX(Load,,MATCH('Summarized Source Data'!$C281,Hour,0)),Month,'Summarized Source Data'!$A281,Sector,'Summarized Source Data'!X$2,Subsector,'Summarized Source Data'!X$3,TimeOfWeek,$E281)*INDEX(About!T$79:T$82,MATCH($B281,About!$A$79:$A$82,0),1)</f>
        <v>633000000</v>
      </c>
      <c r="Y281" s="29">
        <f t="shared" si="24"/>
        <v>633000000</v>
      </c>
      <c r="Z281" s="29">
        <f t="shared" si="24"/>
        <v>633000000</v>
      </c>
    </row>
    <row r="282" spans="1:26" outlineLevel="1" x14ac:dyDescent="0.3">
      <c r="A282">
        <f t="shared" si="20"/>
        <v>12</v>
      </c>
      <c r="B282" t="str">
        <f>INDEX('Category Mapping'!$G$28:$G$39,MATCH(A282,'Category Mapping'!$A$28:$A$39,0),1)</f>
        <v>Winter</v>
      </c>
      <c r="C282" t="s">
        <v>77</v>
      </c>
      <c r="D282" s="6" t="s">
        <v>152</v>
      </c>
      <c r="E282" t="s">
        <v>49</v>
      </c>
      <c r="F282" s="27">
        <f>SUMIFS(INDEX(Load,,MATCH('Summarized Source Data'!$C282,Hour,0)),Month,'Summarized Source Data'!$A282,Sector,'Summarized Source Data'!F$2,Subsector,'Summarized Source Data'!F$3,TimeOfWeek,$E282)*INDEX(About!B$79:B$82,MATCH($B282,About!$A$79:$A$82,0),1)</f>
        <v>14500000</v>
      </c>
      <c r="G282" s="27">
        <f>SUMIFS(INDEX(Load,,MATCH('Summarized Source Data'!$C282,Hour,0)),Month,'Summarized Source Data'!$A282,Sector,'Summarized Source Data'!G$2,Subsector,'Summarized Source Data'!G$3,TimeOfWeek,$E282)*INDEX(About!C$79:C$82,MATCH($B282,About!$A$79:$A$82,0),1)</f>
        <v>9040</v>
      </c>
      <c r="H282" s="27">
        <f>SUMIFS(INDEX(Load,,MATCH('Summarized Source Data'!$C282,Hour,0)),Month,'Summarized Source Data'!$A282,Sector,'Summarized Source Data'!H$2,Subsector,'Summarized Source Data'!H$3,TimeOfWeek,$E282)*INDEX(About!D$79:D$82,MATCH($B282,About!$A$79:$A$82,0),1)</f>
        <v>0</v>
      </c>
      <c r="I282" s="27">
        <f>SUMIFS(INDEX(Load,,MATCH('Summarized Source Data'!$C282,Hour,0)),Month,'Summarized Source Data'!$A282,Sector,'Summarized Source Data'!I$2,Subsector,'Summarized Source Data'!I$3,TimeOfWeek,$E282)*INDEX(About!E$79:E$82,MATCH($B282,About!$A$79:$A$82,0),1)</f>
        <v>12700000</v>
      </c>
      <c r="J282" s="54">
        <f t="shared" si="21"/>
        <v>109790960</v>
      </c>
      <c r="K282" s="27">
        <f>(SUMIFS(INDEX(Load,,MATCH('Summarized Source Data'!$C282,Hour,0)),Month,'Summarized Source Data'!$A282,Sector,'Summarized Source Data'!K$2,Subsector,"Total",TimeOfWeek,$E282)-SUM(F282:I282))*INDEX(About!G$79:G$82,MATCH($B282,About!$A$79:$A$82,0),1)</f>
        <v>109790960</v>
      </c>
      <c r="L282" s="27">
        <f>SUMIFS(INDEX(Load,,MATCH('Summarized Source Data'!$C282,Hour,0)),Month,'Summarized Source Data'!$A282,Sector,'Summarized Source Data'!L$2,Subsector,'Summarized Source Data'!L$3,TimeOfWeek,$E282)*INDEX(About!H$79:H$82,MATCH($B282,About!$A$79:$A$82,0),1)</f>
        <v>43900000</v>
      </c>
      <c r="M282" s="27">
        <f>SUMIFS(INDEX(Load,,MATCH('Summarized Source Data'!$C282,Hour,0)),Month,'Summarized Source Data'!$A282,Sector,'Summarized Source Data'!M$2,Subsector,'Summarized Source Data'!M$3,TimeOfWeek,$E282)*INDEX(About!I$79:I$82,MATCH($B282,About!$A$79:$A$82,0),1)</f>
        <v>88401</v>
      </c>
      <c r="N282" s="27">
        <f>SUMIFS(INDEX(Load,,MATCH('Summarized Source Data'!$C282,Hour,0)),Month,'Summarized Source Data'!$A282,Sector,'Summarized Source Data'!N$2,Subsector,'Summarized Source Data'!N$3,TimeOfWeek,$E282)*INDEX(About!J$79:J$82,MATCH($B282,About!$A$79:$A$82,0),1)</f>
        <v>0</v>
      </c>
      <c r="O282" s="29">
        <f t="shared" si="22"/>
        <v>516011599</v>
      </c>
      <c r="P282" s="27">
        <f>(SUMIFS(INDEX(Load,,MATCH('Summarized Source Data'!$C282,Hour,0)),Month,'Summarized Source Data'!$A282,Sector,'Summarized Source Data'!P$2,Subsector,"Total",TimeOfWeek,$E282)-SUM(L282:N282)*INDEX(About!L$79:L$82,MATCH($B282,About!$A$79:$A$82,0),1))</f>
        <v>516011599</v>
      </c>
      <c r="Q282" s="29">
        <f t="shared" si="23"/>
        <v>516011599</v>
      </c>
      <c r="R282" s="33">
        <f>SUMIFS(INDEX(Load,,MATCH('Summarized Source Data'!$C282,Hour,0)),Month,'Summarized Source Data'!$A282,Sector,'Summarized Source Data'!R$2,TimeOfWeek,$E282)*INDEX(About!N$79:N$82,MATCH($B282,About!$A$79:$A$82,0),1)</f>
        <v>12300000</v>
      </c>
      <c r="S282" s="33">
        <f>SUMIFS(INDEX(Load,,MATCH('Summarized Source Data'!$C282,Hour,0)),Month,'Summarized Source Data'!$A282,Sector,'Summarized Source Data'!S$2,TimeOfWeek,$E282)*INDEX(About!O$79:O$82,MATCH($B282,About!$A$79:$A$82,0),1)</f>
        <v>12300000</v>
      </c>
      <c r="T282" s="33">
        <f>SUMIFS(INDEX(Load,,MATCH('Summarized Source Data'!$C282,Hour,0)),Month,'Summarized Source Data'!$A282,Sector,'Summarized Source Data'!T$2,TimeOfWeek,$E282)*INDEX(About!P$79:P$82,MATCH($B282,About!$A$79:$A$82,0),1)</f>
        <v>12300000</v>
      </c>
      <c r="U282" s="33">
        <f>SUMIFS(INDEX(Load,,MATCH('Summarized Source Data'!$C282,Hour,0)),Month,'Summarized Source Data'!$A282,Sector,'Summarized Source Data'!U$2,TimeOfWeek,$E282)*INDEX(About!Q$79:Q$82,MATCH($B282,About!$A$79:$A$82,0),1)</f>
        <v>12300000</v>
      </c>
      <c r="V282" s="33">
        <f>SUMIFS(INDEX(Load,,MATCH('Summarized Source Data'!$C282,Hour,0)),Month,'Summarized Source Data'!$A282,Sector,'Summarized Source Data'!V$2,TimeOfWeek,$E282)*INDEX(About!R$79:R$82,MATCH($B282,About!$A$79:$A$82,0),1)</f>
        <v>12300000</v>
      </c>
      <c r="W282" s="33">
        <f>SUMIFS(INDEX(Load,,MATCH('Summarized Source Data'!$C282,Hour,0)),Month,'Summarized Source Data'!$A282,Sector,'Summarized Source Data'!W$2,TimeOfWeek,$E282)*INDEX(About!S$79:S$82,MATCH($B282,About!$A$79:$A$82,0),1)</f>
        <v>12300000</v>
      </c>
      <c r="X282" s="27">
        <f>SUMIFS(INDEX(Load,,MATCH('Summarized Source Data'!$C282,Hour,0)),Month,'Summarized Source Data'!$A282,Sector,'Summarized Source Data'!X$2,Subsector,'Summarized Source Data'!X$3,TimeOfWeek,$E282)*INDEX(About!T$79:T$82,MATCH($B282,About!$A$79:$A$82,0),1)</f>
        <v>634000000</v>
      </c>
      <c r="Y282" s="29">
        <f t="shared" si="24"/>
        <v>634000000</v>
      </c>
      <c r="Z282" s="29">
        <f t="shared" si="24"/>
        <v>634000000</v>
      </c>
    </row>
    <row r="283" spans="1:26" outlineLevel="1" x14ac:dyDescent="0.3">
      <c r="A283">
        <f t="shared" si="20"/>
        <v>12</v>
      </c>
      <c r="B283" t="str">
        <f>INDEX('Category Mapping'!$G$28:$G$39,MATCH(A283,'Category Mapping'!$A$28:$A$39,0),1)</f>
        <v>Winter</v>
      </c>
      <c r="C283" t="s">
        <v>78</v>
      </c>
      <c r="D283" s="6" t="s">
        <v>153</v>
      </c>
      <c r="E283" t="s">
        <v>49</v>
      </c>
      <c r="F283" s="27">
        <f>SUMIFS(INDEX(Load,,MATCH('Summarized Source Data'!$C283,Hour,0)),Month,'Summarized Source Data'!$A283,Sector,'Summarized Source Data'!F$2,Subsector,'Summarized Source Data'!F$3,TimeOfWeek,$E283)*INDEX(About!B$79:B$82,MATCH($B283,About!$A$79:$A$82,0),1)</f>
        <v>15200000</v>
      </c>
      <c r="G283" s="27">
        <f>SUMIFS(INDEX(Load,,MATCH('Summarized Source Data'!$C283,Hour,0)),Month,'Summarized Source Data'!$A283,Sector,'Summarized Source Data'!G$2,Subsector,'Summarized Source Data'!G$3,TimeOfWeek,$E283)*INDEX(About!C$79:C$82,MATCH($B283,About!$A$79:$A$82,0),1)</f>
        <v>9874</v>
      </c>
      <c r="H283" s="27">
        <f>SUMIFS(INDEX(Load,,MATCH('Summarized Source Data'!$C283,Hour,0)),Month,'Summarized Source Data'!$A283,Sector,'Summarized Source Data'!H$2,Subsector,'Summarized Source Data'!H$3,TimeOfWeek,$E283)*INDEX(About!D$79:D$82,MATCH($B283,About!$A$79:$A$82,0),1)</f>
        <v>0</v>
      </c>
      <c r="I283" s="27">
        <f>SUMIFS(INDEX(Load,,MATCH('Summarized Source Data'!$C283,Hour,0)),Month,'Summarized Source Data'!$A283,Sector,'Summarized Source Data'!I$2,Subsector,'Summarized Source Data'!I$3,TimeOfWeek,$E283)*INDEX(About!E$79:E$82,MATCH($B283,About!$A$79:$A$82,0),1)</f>
        <v>13800000</v>
      </c>
      <c r="J283" s="54">
        <f t="shared" si="21"/>
        <v>122990126</v>
      </c>
      <c r="K283" s="27">
        <f>(SUMIFS(INDEX(Load,,MATCH('Summarized Source Data'!$C283,Hour,0)),Month,'Summarized Source Data'!$A283,Sector,'Summarized Source Data'!K$2,Subsector,"Total",TimeOfWeek,$E283)-SUM(F283:I283))*INDEX(About!G$79:G$82,MATCH($B283,About!$A$79:$A$82,0),1)</f>
        <v>122990126</v>
      </c>
      <c r="L283" s="27">
        <f>SUMIFS(INDEX(Load,,MATCH('Summarized Source Data'!$C283,Hour,0)),Month,'Summarized Source Data'!$A283,Sector,'Summarized Source Data'!L$2,Subsector,'Summarized Source Data'!L$3,TimeOfWeek,$E283)*INDEX(About!H$79:H$82,MATCH($B283,About!$A$79:$A$82,0),1)</f>
        <v>42500000</v>
      </c>
      <c r="M283" s="27">
        <f>SUMIFS(INDEX(Load,,MATCH('Summarized Source Data'!$C283,Hour,0)),Month,'Summarized Source Data'!$A283,Sector,'Summarized Source Data'!M$2,Subsector,'Summarized Source Data'!M$3,TimeOfWeek,$E283)*INDEX(About!I$79:I$82,MATCH($B283,About!$A$79:$A$82,0),1)</f>
        <v>88438</v>
      </c>
      <c r="N283" s="27">
        <f>SUMIFS(INDEX(Load,,MATCH('Summarized Source Data'!$C283,Hour,0)),Month,'Summarized Source Data'!$A283,Sector,'Summarized Source Data'!N$2,Subsector,'Summarized Source Data'!N$3,TimeOfWeek,$E283)*INDEX(About!J$79:J$82,MATCH($B283,About!$A$79:$A$82,0),1)</f>
        <v>0</v>
      </c>
      <c r="O283" s="29">
        <f t="shared" si="22"/>
        <v>516411562</v>
      </c>
      <c r="P283" s="27">
        <f>(SUMIFS(INDEX(Load,,MATCH('Summarized Source Data'!$C283,Hour,0)),Month,'Summarized Source Data'!$A283,Sector,'Summarized Source Data'!P$2,Subsector,"Total",TimeOfWeek,$E283)-SUM(L283:N283)*INDEX(About!L$79:L$82,MATCH($B283,About!$A$79:$A$82,0),1))</f>
        <v>516411562</v>
      </c>
      <c r="Q283" s="29">
        <f t="shared" si="23"/>
        <v>516411562</v>
      </c>
      <c r="R283" s="33">
        <f>SUMIFS(INDEX(Load,,MATCH('Summarized Source Data'!$C283,Hour,0)),Month,'Summarized Source Data'!$A283,Sector,'Summarized Source Data'!R$2,TimeOfWeek,$E283)*INDEX(About!N$79:N$82,MATCH($B283,About!$A$79:$A$82,0),1)</f>
        <v>14700000</v>
      </c>
      <c r="S283" s="33">
        <f>SUMIFS(INDEX(Load,,MATCH('Summarized Source Data'!$C283,Hour,0)),Month,'Summarized Source Data'!$A283,Sector,'Summarized Source Data'!S$2,TimeOfWeek,$E283)*INDEX(About!O$79:O$82,MATCH($B283,About!$A$79:$A$82,0),1)</f>
        <v>14700000</v>
      </c>
      <c r="T283" s="33">
        <f>SUMIFS(INDEX(Load,,MATCH('Summarized Source Data'!$C283,Hour,0)),Month,'Summarized Source Data'!$A283,Sector,'Summarized Source Data'!T$2,TimeOfWeek,$E283)*INDEX(About!P$79:P$82,MATCH($B283,About!$A$79:$A$82,0),1)</f>
        <v>14700000</v>
      </c>
      <c r="U283" s="33">
        <f>SUMIFS(INDEX(Load,,MATCH('Summarized Source Data'!$C283,Hour,0)),Month,'Summarized Source Data'!$A283,Sector,'Summarized Source Data'!U$2,TimeOfWeek,$E283)*INDEX(About!Q$79:Q$82,MATCH($B283,About!$A$79:$A$82,0),1)</f>
        <v>14700000</v>
      </c>
      <c r="V283" s="33">
        <f>SUMIFS(INDEX(Load,,MATCH('Summarized Source Data'!$C283,Hour,0)),Month,'Summarized Source Data'!$A283,Sector,'Summarized Source Data'!V$2,TimeOfWeek,$E283)*INDEX(About!R$79:R$82,MATCH($B283,About!$A$79:$A$82,0),1)</f>
        <v>14700000</v>
      </c>
      <c r="W283" s="33">
        <f>SUMIFS(INDEX(Load,,MATCH('Summarized Source Data'!$C283,Hour,0)),Month,'Summarized Source Data'!$A283,Sector,'Summarized Source Data'!W$2,TimeOfWeek,$E283)*INDEX(About!S$79:S$82,MATCH($B283,About!$A$79:$A$82,0),1)</f>
        <v>14700000</v>
      </c>
      <c r="X283" s="27">
        <f>SUMIFS(INDEX(Load,,MATCH('Summarized Source Data'!$C283,Hour,0)),Month,'Summarized Source Data'!$A283,Sector,'Summarized Source Data'!X$2,Subsector,'Summarized Source Data'!X$3,TimeOfWeek,$E283)*INDEX(About!T$79:T$82,MATCH($B283,About!$A$79:$A$82,0),1)</f>
        <v>639000000</v>
      </c>
      <c r="Y283" s="29">
        <f t="shared" si="24"/>
        <v>639000000</v>
      </c>
      <c r="Z283" s="29">
        <f t="shared" si="24"/>
        <v>639000000</v>
      </c>
    </row>
    <row r="284" spans="1:26" outlineLevel="1" x14ac:dyDescent="0.3">
      <c r="A284">
        <f t="shared" si="20"/>
        <v>12</v>
      </c>
      <c r="B284" t="str">
        <f>INDEX('Category Mapping'!$G$28:$G$39,MATCH(A284,'Category Mapping'!$A$28:$A$39,0),1)</f>
        <v>Winter</v>
      </c>
      <c r="C284" t="s">
        <v>79</v>
      </c>
      <c r="D284" s="6" t="s">
        <v>154</v>
      </c>
      <c r="E284" t="s">
        <v>49</v>
      </c>
      <c r="F284" s="27">
        <f>SUMIFS(INDEX(Load,,MATCH('Summarized Source Data'!$C284,Hour,0)),Month,'Summarized Source Data'!$A284,Sector,'Summarized Source Data'!F$2,Subsector,'Summarized Source Data'!F$3,TimeOfWeek,$E284)*INDEX(About!B$79:B$82,MATCH($B284,About!$A$79:$A$82,0),1)</f>
        <v>16200000</v>
      </c>
      <c r="G284" s="27">
        <f>SUMIFS(INDEX(Load,,MATCH('Summarized Source Data'!$C284,Hour,0)),Month,'Summarized Source Data'!$A284,Sector,'Summarized Source Data'!G$2,Subsector,'Summarized Source Data'!G$3,TimeOfWeek,$E284)*INDEX(About!C$79:C$82,MATCH($B284,About!$A$79:$A$82,0),1)</f>
        <v>10782</v>
      </c>
      <c r="H284" s="27">
        <f>SUMIFS(INDEX(Load,,MATCH('Summarized Source Data'!$C284,Hour,0)),Month,'Summarized Source Data'!$A284,Sector,'Summarized Source Data'!H$2,Subsector,'Summarized Source Data'!H$3,TimeOfWeek,$E284)*INDEX(About!D$79:D$82,MATCH($B284,About!$A$79:$A$82,0),1)</f>
        <v>0</v>
      </c>
      <c r="I284" s="27">
        <f>SUMIFS(INDEX(Load,,MATCH('Summarized Source Data'!$C284,Hour,0)),Month,'Summarized Source Data'!$A284,Sector,'Summarized Source Data'!I$2,Subsector,'Summarized Source Data'!I$3,TimeOfWeek,$E284)*INDEX(About!E$79:E$82,MATCH($B284,About!$A$79:$A$82,0),1)</f>
        <v>50000000</v>
      </c>
      <c r="J284" s="54">
        <f t="shared" si="21"/>
        <v>149789218</v>
      </c>
      <c r="K284" s="27">
        <f>(SUMIFS(INDEX(Load,,MATCH('Summarized Source Data'!$C284,Hour,0)),Month,'Summarized Source Data'!$A284,Sector,'Summarized Source Data'!K$2,Subsector,"Total",TimeOfWeek,$E284)-SUM(F284:I284))*INDEX(About!G$79:G$82,MATCH($B284,About!$A$79:$A$82,0),1)</f>
        <v>149789218</v>
      </c>
      <c r="L284" s="27">
        <f>SUMIFS(INDEX(Load,,MATCH('Summarized Source Data'!$C284,Hour,0)),Month,'Summarized Source Data'!$A284,Sector,'Summarized Source Data'!L$2,Subsector,'Summarized Source Data'!L$3,TimeOfWeek,$E284)*INDEX(About!H$79:H$82,MATCH($B284,About!$A$79:$A$82,0),1)</f>
        <v>42300000</v>
      </c>
      <c r="M284" s="27">
        <f>SUMIFS(INDEX(Load,,MATCH('Summarized Source Data'!$C284,Hour,0)),Month,'Summarized Source Data'!$A284,Sector,'Summarized Source Data'!M$2,Subsector,'Summarized Source Data'!M$3,TimeOfWeek,$E284)*INDEX(About!I$79:I$82,MATCH($B284,About!$A$79:$A$82,0),1)</f>
        <v>86623</v>
      </c>
      <c r="N284" s="27">
        <f>SUMIFS(INDEX(Load,,MATCH('Summarized Source Data'!$C284,Hour,0)),Month,'Summarized Source Data'!$A284,Sector,'Summarized Source Data'!N$2,Subsector,'Summarized Source Data'!N$3,TimeOfWeek,$E284)*INDEX(About!J$79:J$82,MATCH($B284,About!$A$79:$A$82,0),1)</f>
        <v>0</v>
      </c>
      <c r="O284" s="29">
        <f t="shared" si="22"/>
        <v>498613377</v>
      </c>
      <c r="P284" s="27">
        <f>(SUMIFS(INDEX(Load,,MATCH('Summarized Source Data'!$C284,Hour,0)),Month,'Summarized Source Data'!$A284,Sector,'Summarized Source Data'!P$2,Subsector,"Total",TimeOfWeek,$E284)-SUM(L284:N284)*INDEX(About!L$79:L$82,MATCH($B284,About!$A$79:$A$82,0),1))</f>
        <v>498613377</v>
      </c>
      <c r="Q284" s="29">
        <f t="shared" si="23"/>
        <v>498613377</v>
      </c>
      <c r="R284" s="33">
        <f>SUMIFS(INDEX(Load,,MATCH('Summarized Source Data'!$C284,Hour,0)),Month,'Summarized Source Data'!$A284,Sector,'Summarized Source Data'!R$2,TimeOfWeek,$E284)*INDEX(About!N$79:N$82,MATCH($B284,About!$A$79:$A$82,0),1)</f>
        <v>16900000</v>
      </c>
      <c r="S284" s="33">
        <f>SUMIFS(INDEX(Load,,MATCH('Summarized Source Data'!$C284,Hour,0)),Month,'Summarized Source Data'!$A284,Sector,'Summarized Source Data'!S$2,TimeOfWeek,$E284)*INDEX(About!O$79:O$82,MATCH($B284,About!$A$79:$A$82,0),1)</f>
        <v>16900000</v>
      </c>
      <c r="T284" s="33">
        <f>SUMIFS(INDEX(Load,,MATCH('Summarized Source Data'!$C284,Hour,0)),Month,'Summarized Source Data'!$A284,Sector,'Summarized Source Data'!T$2,TimeOfWeek,$E284)*INDEX(About!P$79:P$82,MATCH($B284,About!$A$79:$A$82,0),1)</f>
        <v>16900000</v>
      </c>
      <c r="U284" s="33">
        <f>SUMIFS(INDEX(Load,,MATCH('Summarized Source Data'!$C284,Hour,0)),Month,'Summarized Source Data'!$A284,Sector,'Summarized Source Data'!U$2,TimeOfWeek,$E284)*INDEX(About!Q$79:Q$82,MATCH($B284,About!$A$79:$A$82,0),1)</f>
        <v>16900000</v>
      </c>
      <c r="V284" s="33">
        <f>SUMIFS(INDEX(Load,,MATCH('Summarized Source Data'!$C284,Hour,0)),Month,'Summarized Source Data'!$A284,Sector,'Summarized Source Data'!V$2,TimeOfWeek,$E284)*INDEX(About!R$79:R$82,MATCH($B284,About!$A$79:$A$82,0),1)</f>
        <v>16900000</v>
      </c>
      <c r="W284" s="33">
        <f>SUMIFS(INDEX(Load,,MATCH('Summarized Source Data'!$C284,Hour,0)),Month,'Summarized Source Data'!$A284,Sector,'Summarized Source Data'!W$2,TimeOfWeek,$E284)*INDEX(About!S$79:S$82,MATCH($B284,About!$A$79:$A$82,0),1)</f>
        <v>16900000</v>
      </c>
      <c r="X284" s="27">
        <f>SUMIFS(INDEX(Load,,MATCH('Summarized Source Data'!$C284,Hour,0)),Month,'Summarized Source Data'!$A284,Sector,'Summarized Source Data'!X$2,Subsector,'Summarized Source Data'!X$3,TimeOfWeek,$E284)*INDEX(About!T$79:T$82,MATCH($B284,About!$A$79:$A$82,0),1)</f>
        <v>645000000</v>
      </c>
      <c r="Y284" s="29">
        <f t="shared" si="24"/>
        <v>645000000</v>
      </c>
      <c r="Z284" s="29">
        <f t="shared" si="24"/>
        <v>645000000</v>
      </c>
    </row>
    <row r="285" spans="1:26" outlineLevel="1" x14ac:dyDescent="0.3">
      <c r="A285">
        <f t="shared" si="20"/>
        <v>12</v>
      </c>
      <c r="B285" t="str">
        <f>INDEX('Category Mapping'!$G$28:$G$39,MATCH(A285,'Category Mapping'!$A$28:$A$39,0),1)</f>
        <v>Winter</v>
      </c>
      <c r="C285" t="s">
        <v>80</v>
      </c>
      <c r="D285" s="6" t="s">
        <v>155</v>
      </c>
      <c r="E285" t="s">
        <v>49</v>
      </c>
      <c r="F285" s="27">
        <f>SUMIFS(INDEX(Load,,MATCH('Summarized Source Data'!$C285,Hour,0)),Month,'Summarized Source Data'!$A285,Sector,'Summarized Source Data'!F$2,Subsector,'Summarized Source Data'!F$3,TimeOfWeek,$E285)*INDEX(About!B$79:B$82,MATCH($B285,About!$A$79:$A$82,0),1)</f>
        <v>17400000</v>
      </c>
      <c r="G285" s="27">
        <f>SUMIFS(INDEX(Load,,MATCH('Summarized Source Data'!$C285,Hour,0)),Month,'Summarized Source Data'!$A285,Sector,'Summarized Source Data'!G$2,Subsector,'Summarized Source Data'!G$3,TimeOfWeek,$E285)*INDEX(About!C$79:C$82,MATCH($B285,About!$A$79:$A$82,0),1)</f>
        <v>11818</v>
      </c>
      <c r="H285" s="27">
        <f>SUMIFS(INDEX(Load,,MATCH('Summarized Source Data'!$C285,Hour,0)),Month,'Summarized Source Data'!$A285,Sector,'Summarized Source Data'!H$2,Subsector,'Summarized Source Data'!H$3,TimeOfWeek,$E285)*INDEX(About!D$79:D$82,MATCH($B285,About!$A$79:$A$82,0),1)</f>
        <v>0</v>
      </c>
      <c r="I285" s="27">
        <f>SUMIFS(INDEX(Load,,MATCH('Summarized Source Data'!$C285,Hour,0)),Month,'Summarized Source Data'!$A285,Sector,'Summarized Source Data'!I$2,Subsector,'Summarized Source Data'!I$3,TimeOfWeek,$E285)*INDEX(About!E$79:E$82,MATCH($B285,About!$A$79:$A$82,0),1)</f>
        <v>54600000</v>
      </c>
      <c r="J285" s="54">
        <f t="shared" si="21"/>
        <v>164988182</v>
      </c>
      <c r="K285" s="27">
        <f>(SUMIFS(INDEX(Load,,MATCH('Summarized Source Data'!$C285,Hour,0)),Month,'Summarized Source Data'!$A285,Sector,'Summarized Source Data'!K$2,Subsector,"Total",TimeOfWeek,$E285)-SUM(F285:I285))*INDEX(About!G$79:G$82,MATCH($B285,About!$A$79:$A$82,0),1)</f>
        <v>164988182</v>
      </c>
      <c r="L285" s="27">
        <f>SUMIFS(INDEX(Load,,MATCH('Summarized Source Data'!$C285,Hour,0)),Month,'Summarized Source Data'!$A285,Sector,'Summarized Source Data'!L$2,Subsector,'Summarized Source Data'!L$3,TimeOfWeek,$E285)*INDEX(About!H$79:H$82,MATCH($B285,About!$A$79:$A$82,0),1)</f>
        <v>43800000</v>
      </c>
      <c r="M285" s="27">
        <f>SUMIFS(INDEX(Load,,MATCH('Summarized Source Data'!$C285,Hour,0)),Month,'Summarized Source Data'!$A285,Sector,'Summarized Source Data'!M$2,Subsector,'Summarized Source Data'!M$3,TimeOfWeek,$E285)*INDEX(About!I$79:I$82,MATCH($B285,About!$A$79:$A$82,0),1)</f>
        <v>82589</v>
      </c>
      <c r="N285" s="27">
        <f>SUMIFS(INDEX(Load,,MATCH('Summarized Source Data'!$C285,Hour,0)),Month,'Summarized Source Data'!$A285,Sector,'Summarized Source Data'!N$2,Subsector,'Summarized Source Data'!N$3,TimeOfWeek,$E285)*INDEX(About!J$79:J$82,MATCH($B285,About!$A$79:$A$82,0),1)</f>
        <v>0</v>
      </c>
      <c r="O285" s="29">
        <f t="shared" si="22"/>
        <v>468117411</v>
      </c>
      <c r="P285" s="27">
        <f>(SUMIFS(INDEX(Load,,MATCH('Summarized Source Data'!$C285,Hour,0)),Month,'Summarized Source Data'!$A285,Sector,'Summarized Source Data'!P$2,Subsector,"Total",TimeOfWeek,$E285)-SUM(L285:N285)*INDEX(About!L$79:L$82,MATCH($B285,About!$A$79:$A$82,0),1))</f>
        <v>468117411</v>
      </c>
      <c r="Q285" s="29">
        <f t="shared" si="23"/>
        <v>468117411</v>
      </c>
      <c r="R285" s="33">
        <f>SUMIFS(INDEX(Load,,MATCH('Summarized Source Data'!$C285,Hour,0)),Month,'Summarized Source Data'!$A285,Sector,'Summarized Source Data'!R$2,TimeOfWeek,$E285)*INDEX(About!N$79:N$82,MATCH($B285,About!$A$79:$A$82,0),1)</f>
        <v>17800000</v>
      </c>
      <c r="S285" s="33">
        <f>SUMIFS(INDEX(Load,,MATCH('Summarized Source Data'!$C285,Hour,0)),Month,'Summarized Source Data'!$A285,Sector,'Summarized Source Data'!S$2,TimeOfWeek,$E285)*INDEX(About!O$79:O$82,MATCH($B285,About!$A$79:$A$82,0),1)</f>
        <v>17800000</v>
      </c>
      <c r="T285" s="33">
        <f>SUMIFS(INDEX(Load,,MATCH('Summarized Source Data'!$C285,Hour,0)),Month,'Summarized Source Data'!$A285,Sector,'Summarized Source Data'!T$2,TimeOfWeek,$E285)*INDEX(About!P$79:P$82,MATCH($B285,About!$A$79:$A$82,0),1)</f>
        <v>17800000</v>
      </c>
      <c r="U285" s="33">
        <f>SUMIFS(INDEX(Load,,MATCH('Summarized Source Data'!$C285,Hour,0)),Month,'Summarized Source Data'!$A285,Sector,'Summarized Source Data'!U$2,TimeOfWeek,$E285)*INDEX(About!Q$79:Q$82,MATCH($B285,About!$A$79:$A$82,0),1)</f>
        <v>17800000</v>
      </c>
      <c r="V285" s="33">
        <f>SUMIFS(INDEX(Load,,MATCH('Summarized Source Data'!$C285,Hour,0)),Month,'Summarized Source Data'!$A285,Sector,'Summarized Source Data'!V$2,TimeOfWeek,$E285)*INDEX(About!R$79:R$82,MATCH($B285,About!$A$79:$A$82,0),1)</f>
        <v>17800000</v>
      </c>
      <c r="W285" s="33">
        <f>SUMIFS(INDEX(Load,,MATCH('Summarized Source Data'!$C285,Hour,0)),Month,'Summarized Source Data'!$A285,Sector,'Summarized Source Data'!W$2,TimeOfWeek,$E285)*INDEX(About!S$79:S$82,MATCH($B285,About!$A$79:$A$82,0),1)</f>
        <v>17800000</v>
      </c>
      <c r="X285" s="27">
        <f>SUMIFS(INDEX(Load,,MATCH('Summarized Source Data'!$C285,Hour,0)),Month,'Summarized Source Data'!$A285,Sector,'Summarized Source Data'!X$2,Subsector,'Summarized Source Data'!X$3,TimeOfWeek,$E285)*INDEX(About!T$79:T$82,MATCH($B285,About!$A$79:$A$82,0),1)</f>
        <v>646000000</v>
      </c>
      <c r="Y285" s="29">
        <f t="shared" si="24"/>
        <v>646000000</v>
      </c>
      <c r="Z285" s="29">
        <f t="shared" si="24"/>
        <v>646000000</v>
      </c>
    </row>
    <row r="286" spans="1:26" outlineLevel="1" x14ac:dyDescent="0.3">
      <c r="A286">
        <f t="shared" si="20"/>
        <v>12</v>
      </c>
      <c r="B286" t="str">
        <f>INDEX('Category Mapping'!$G$28:$G$39,MATCH(A286,'Category Mapping'!$A$28:$A$39,0),1)</f>
        <v>Winter</v>
      </c>
      <c r="C286" t="s">
        <v>81</v>
      </c>
      <c r="D286" s="6" t="s">
        <v>156</v>
      </c>
      <c r="E286" t="s">
        <v>49</v>
      </c>
      <c r="F286" s="27">
        <f>SUMIFS(INDEX(Load,,MATCH('Summarized Source Data'!$C286,Hour,0)),Month,'Summarized Source Data'!$A286,Sector,'Summarized Source Data'!F$2,Subsector,'Summarized Source Data'!F$3,TimeOfWeek,$E286)*INDEX(About!B$79:B$82,MATCH($B286,About!$A$79:$A$82,0),1)</f>
        <v>18900000</v>
      </c>
      <c r="G286" s="27">
        <f>SUMIFS(INDEX(Load,,MATCH('Summarized Source Data'!$C286,Hour,0)),Month,'Summarized Source Data'!$A286,Sector,'Summarized Source Data'!G$2,Subsector,'Summarized Source Data'!G$3,TimeOfWeek,$E286)*INDEX(About!C$79:C$82,MATCH($B286,About!$A$79:$A$82,0),1)</f>
        <v>13119</v>
      </c>
      <c r="H286" s="27">
        <f>SUMIFS(INDEX(Load,,MATCH('Summarized Source Data'!$C286,Hour,0)),Month,'Summarized Source Data'!$A286,Sector,'Summarized Source Data'!H$2,Subsector,'Summarized Source Data'!H$3,TimeOfWeek,$E286)*INDEX(About!D$79:D$82,MATCH($B286,About!$A$79:$A$82,0),1)</f>
        <v>0</v>
      </c>
      <c r="I286" s="27">
        <f>SUMIFS(INDEX(Load,,MATCH('Summarized Source Data'!$C286,Hour,0)),Month,'Summarized Source Data'!$A286,Sector,'Summarized Source Data'!I$2,Subsector,'Summarized Source Data'!I$3,TimeOfWeek,$E286)*INDEX(About!E$79:E$82,MATCH($B286,About!$A$79:$A$82,0),1)</f>
        <v>59700000</v>
      </c>
      <c r="J286" s="54">
        <f t="shared" si="21"/>
        <v>161386881</v>
      </c>
      <c r="K286" s="27">
        <f>(SUMIFS(INDEX(Load,,MATCH('Summarized Source Data'!$C286,Hour,0)),Month,'Summarized Source Data'!$A286,Sector,'Summarized Source Data'!K$2,Subsector,"Total",TimeOfWeek,$E286)-SUM(F286:I286))*INDEX(About!G$79:G$82,MATCH($B286,About!$A$79:$A$82,0),1)</f>
        <v>161386881</v>
      </c>
      <c r="L286" s="27">
        <f>SUMIFS(INDEX(Load,,MATCH('Summarized Source Data'!$C286,Hour,0)),Month,'Summarized Source Data'!$A286,Sector,'Summarized Source Data'!L$2,Subsector,'Summarized Source Data'!L$3,TimeOfWeek,$E286)*INDEX(About!H$79:H$82,MATCH($B286,About!$A$79:$A$82,0),1)</f>
        <v>51000000</v>
      </c>
      <c r="M286" s="27">
        <f>SUMIFS(INDEX(Load,,MATCH('Summarized Source Data'!$C286,Hour,0)),Month,'Summarized Source Data'!$A286,Sector,'Summarized Source Data'!M$2,Subsector,'Summarized Source Data'!M$3,TimeOfWeek,$E286)*INDEX(About!I$79:I$82,MATCH($B286,About!$A$79:$A$82,0),1)</f>
        <v>79092</v>
      </c>
      <c r="N286" s="27">
        <f>SUMIFS(INDEX(Load,,MATCH('Summarized Source Data'!$C286,Hour,0)),Month,'Summarized Source Data'!$A286,Sector,'Summarized Source Data'!N$2,Subsector,'Summarized Source Data'!N$3,TimeOfWeek,$E286)*INDEX(About!J$79:J$82,MATCH($B286,About!$A$79:$A$82,0),1)</f>
        <v>0</v>
      </c>
      <c r="O286" s="29">
        <f t="shared" si="22"/>
        <v>445920908</v>
      </c>
      <c r="P286" s="27">
        <f>(SUMIFS(INDEX(Load,,MATCH('Summarized Source Data'!$C286,Hour,0)),Month,'Summarized Source Data'!$A286,Sector,'Summarized Source Data'!P$2,Subsector,"Total",TimeOfWeek,$E286)-SUM(L286:N286)*INDEX(About!L$79:L$82,MATCH($B286,About!$A$79:$A$82,0),1))</f>
        <v>445920908</v>
      </c>
      <c r="Q286" s="29">
        <f t="shared" si="23"/>
        <v>445920908</v>
      </c>
      <c r="R286" s="33">
        <f>SUMIFS(INDEX(Load,,MATCH('Summarized Source Data'!$C286,Hour,0)),Month,'Summarized Source Data'!$A286,Sector,'Summarized Source Data'!R$2,TimeOfWeek,$E286)*INDEX(About!N$79:N$82,MATCH($B286,About!$A$79:$A$82,0),1)</f>
        <v>16400000</v>
      </c>
      <c r="S286" s="33">
        <f>SUMIFS(INDEX(Load,,MATCH('Summarized Source Data'!$C286,Hour,0)),Month,'Summarized Source Data'!$A286,Sector,'Summarized Source Data'!S$2,TimeOfWeek,$E286)*INDEX(About!O$79:O$82,MATCH($B286,About!$A$79:$A$82,0),1)</f>
        <v>16400000</v>
      </c>
      <c r="T286" s="33">
        <f>SUMIFS(INDEX(Load,,MATCH('Summarized Source Data'!$C286,Hour,0)),Month,'Summarized Source Data'!$A286,Sector,'Summarized Source Data'!T$2,TimeOfWeek,$E286)*INDEX(About!P$79:P$82,MATCH($B286,About!$A$79:$A$82,0),1)</f>
        <v>16400000</v>
      </c>
      <c r="U286" s="33">
        <f>SUMIFS(INDEX(Load,,MATCH('Summarized Source Data'!$C286,Hour,0)),Month,'Summarized Source Data'!$A286,Sector,'Summarized Source Data'!U$2,TimeOfWeek,$E286)*INDEX(About!Q$79:Q$82,MATCH($B286,About!$A$79:$A$82,0),1)</f>
        <v>16400000</v>
      </c>
      <c r="V286" s="33">
        <f>SUMIFS(INDEX(Load,,MATCH('Summarized Source Data'!$C286,Hour,0)),Month,'Summarized Source Data'!$A286,Sector,'Summarized Source Data'!V$2,TimeOfWeek,$E286)*INDEX(About!R$79:R$82,MATCH($B286,About!$A$79:$A$82,0),1)</f>
        <v>16400000</v>
      </c>
      <c r="W286" s="33">
        <f>SUMIFS(INDEX(Load,,MATCH('Summarized Source Data'!$C286,Hour,0)),Month,'Summarized Source Data'!$A286,Sector,'Summarized Source Data'!W$2,TimeOfWeek,$E286)*INDEX(About!S$79:S$82,MATCH($B286,About!$A$79:$A$82,0),1)</f>
        <v>16400000</v>
      </c>
      <c r="X286" s="27">
        <f>SUMIFS(INDEX(Load,,MATCH('Summarized Source Data'!$C286,Hour,0)),Month,'Summarized Source Data'!$A286,Sector,'Summarized Source Data'!X$2,Subsector,'Summarized Source Data'!X$3,TimeOfWeek,$E286)*INDEX(About!T$79:T$82,MATCH($B286,About!$A$79:$A$82,0),1)</f>
        <v>643000000</v>
      </c>
      <c r="Y286" s="29">
        <f t="shared" si="24"/>
        <v>643000000</v>
      </c>
      <c r="Z286" s="29">
        <f t="shared" si="24"/>
        <v>643000000</v>
      </c>
    </row>
    <row r="287" spans="1:26" outlineLevel="1" x14ac:dyDescent="0.3">
      <c r="A287">
        <f t="shared" si="20"/>
        <v>12</v>
      </c>
      <c r="B287" t="str">
        <f>INDEX('Category Mapping'!$G$28:$G$39,MATCH(A287,'Category Mapping'!$A$28:$A$39,0),1)</f>
        <v>Winter</v>
      </c>
      <c r="C287" t="s">
        <v>82</v>
      </c>
      <c r="D287" s="6" t="s">
        <v>157</v>
      </c>
      <c r="E287" t="s">
        <v>49</v>
      </c>
      <c r="F287" s="27">
        <f>SUMIFS(INDEX(Load,,MATCH('Summarized Source Data'!$C287,Hour,0)),Month,'Summarized Source Data'!$A287,Sector,'Summarized Source Data'!F$2,Subsector,'Summarized Source Data'!F$3,TimeOfWeek,$E287)*INDEX(About!B$79:B$82,MATCH($B287,About!$A$79:$A$82,0),1)</f>
        <v>20400000</v>
      </c>
      <c r="G287" s="27">
        <f>SUMIFS(INDEX(Load,,MATCH('Summarized Source Data'!$C287,Hour,0)),Month,'Summarized Source Data'!$A287,Sector,'Summarized Source Data'!G$2,Subsector,'Summarized Source Data'!G$3,TimeOfWeek,$E287)*INDEX(About!C$79:C$82,MATCH($B287,About!$A$79:$A$82,0),1)</f>
        <v>14451</v>
      </c>
      <c r="H287" s="27">
        <f>SUMIFS(INDEX(Load,,MATCH('Summarized Source Data'!$C287,Hour,0)),Month,'Summarized Source Data'!$A287,Sector,'Summarized Source Data'!H$2,Subsector,'Summarized Source Data'!H$3,TimeOfWeek,$E287)*INDEX(About!D$79:D$82,MATCH($B287,About!$A$79:$A$82,0),1)</f>
        <v>0</v>
      </c>
      <c r="I287" s="27">
        <f>SUMIFS(INDEX(Load,,MATCH('Summarized Source Data'!$C287,Hour,0)),Month,'Summarized Source Data'!$A287,Sector,'Summarized Source Data'!I$2,Subsector,'Summarized Source Data'!I$3,TimeOfWeek,$E287)*INDEX(About!E$79:E$82,MATCH($B287,About!$A$79:$A$82,0),1)</f>
        <v>64300000</v>
      </c>
      <c r="J287" s="54">
        <f t="shared" si="21"/>
        <v>154285549</v>
      </c>
      <c r="K287" s="27">
        <f>(SUMIFS(INDEX(Load,,MATCH('Summarized Source Data'!$C287,Hour,0)),Month,'Summarized Source Data'!$A287,Sector,'Summarized Source Data'!K$2,Subsector,"Total",TimeOfWeek,$E287)-SUM(F287:I287))*INDEX(About!G$79:G$82,MATCH($B287,About!$A$79:$A$82,0),1)</f>
        <v>154285549</v>
      </c>
      <c r="L287" s="27">
        <f>SUMIFS(INDEX(Load,,MATCH('Summarized Source Data'!$C287,Hour,0)),Month,'Summarized Source Data'!$A287,Sector,'Summarized Source Data'!L$2,Subsector,'Summarized Source Data'!L$3,TimeOfWeek,$E287)*INDEX(About!H$79:H$82,MATCH($B287,About!$A$79:$A$82,0),1)</f>
        <v>57200000</v>
      </c>
      <c r="M287" s="27">
        <f>SUMIFS(INDEX(Load,,MATCH('Summarized Source Data'!$C287,Hour,0)),Month,'Summarized Source Data'!$A287,Sector,'Summarized Source Data'!M$2,Subsector,'Summarized Source Data'!M$3,TimeOfWeek,$E287)*INDEX(About!I$79:I$82,MATCH($B287,About!$A$79:$A$82,0),1)</f>
        <v>74103</v>
      </c>
      <c r="N287" s="27">
        <f>SUMIFS(INDEX(Load,,MATCH('Summarized Source Data'!$C287,Hour,0)),Month,'Summarized Source Data'!$A287,Sector,'Summarized Source Data'!N$2,Subsector,'Summarized Source Data'!N$3,TimeOfWeek,$E287)*INDEX(About!J$79:J$82,MATCH($B287,About!$A$79:$A$82,0),1)</f>
        <v>0</v>
      </c>
      <c r="O287" s="29">
        <f t="shared" si="22"/>
        <v>373725897</v>
      </c>
      <c r="P287" s="27">
        <f>(SUMIFS(INDEX(Load,,MATCH('Summarized Source Data'!$C287,Hour,0)),Month,'Summarized Source Data'!$A287,Sector,'Summarized Source Data'!P$2,Subsector,"Total",TimeOfWeek,$E287)-SUM(L287:N287)*INDEX(About!L$79:L$82,MATCH($B287,About!$A$79:$A$82,0),1))</f>
        <v>373725897</v>
      </c>
      <c r="Q287" s="29">
        <f t="shared" si="23"/>
        <v>373725897</v>
      </c>
      <c r="R287" s="33">
        <f>SUMIFS(INDEX(Load,,MATCH('Summarized Source Data'!$C287,Hour,0)),Month,'Summarized Source Data'!$A287,Sector,'Summarized Source Data'!R$2,TimeOfWeek,$E287)*INDEX(About!N$79:N$82,MATCH($B287,About!$A$79:$A$82,0),1)</f>
        <v>13400000</v>
      </c>
      <c r="S287" s="33">
        <f>SUMIFS(INDEX(Load,,MATCH('Summarized Source Data'!$C287,Hour,0)),Month,'Summarized Source Data'!$A287,Sector,'Summarized Source Data'!S$2,TimeOfWeek,$E287)*INDEX(About!O$79:O$82,MATCH($B287,About!$A$79:$A$82,0),1)</f>
        <v>13400000</v>
      </c>
      <c r="T287" s="33">
        <f>SUMIFS(INDEX(Load,,MATCH('Summarized Source Data'!$C287,Hour,0)),Month,'Summarized Source Data'!$A287,Sector,'Summarized Source Data'!T$2,TimeOfWeek,$E287)*INDEX(About!P$79:P$82,MATCH($B287,About!$A$79:$A$82,0),1)</f>
        <v>13400000</v>
      </c>
      <c r="U287" s="33">
        <f>SUMIFS(INDEX(Load,,MATCH('Summarized Source Data'!$C287,Hour,0)),Month,'Summarized Source Data'!$A287,Sector,'Summarized Source Data'!U$2,TimeOfWeek,$E287)*INDEX(About!Q$79:Q$82,MATCH($B287,About!$A$79:$A$82,0),1)</f>
        <v>13400000</v>
      </c>
      <c r="V287" s="33">
        <f>SUMIFS(INDEX(Load,,MATCH('Summarized Source Data'!$C287,Hour,0)),Month,'Summarized Source Data'!$A287,Sector,'Summarized Source Data'!V$2,TimeOfWeek,$E287)*INDEX(About!R$79:R$82,MATCH($B287,About!$A$79:$A$82,0),1)</f>
        <v>13400000</v>
      </c>
      <c r="W287" s="33">
        <f>SUMIFS(INDEX(Load,,MATCH('Summarized Source Data'!$C287,Hour,0)),Month,'Summarized Source Data'!$A287,Sector,'Summarized Source Data'!W$2,TimeOfWeek,$E287)*INDEX(About!S$79:S$82,MATCH($B287,About!$A$79:$A$82,0),1)</f>
        <v>13400000</v>
      </c>
      <c r="X287" s="27">
        <f>SUMIFS(INDEX(Load,,MATCH('Summarized Source Data'!$C287,Hour,0)),Month,'Summarized Source Data'!$A287,Sector,'Summarized Source Data'!X$2,Subsector,'Summarized Source Data'!X$3,TimeOfWeek,$E287)*INDEX(About!T$79:T$82,MATCH($B287,About!$A$79:$A$82,0),1)</f>
        <v>639000000</v>
      </c>
      <c r="Y287" s="29">
        <f t="shared" si="24"/>
        <v>639000000</v>
      </c>
      <c r="Z287" s="29">
        <f t="shared" si="24"/>
        <v>639000000</v>
      </c>
    </row>
    <row r="288" spans="1:26" outlineLevel="1" x14ac:dyDescent="0.3">
      <c r="A288">
        <f t="shared" si="20"/>
        <v>12</v>
      </c>
      <c r="B288" t="str">
        <f>INDEX('Category Mapping'!$G$28:$G$39,MATCH(A288,'Category Mapping'!$A$28:$A$39,0),1)</f>
        <v>Winter</v>
      </c>
      <c r="C288" t="s">
        <v>83</v>
      </c>
      <c r="D288" s="6" t="s">
        <v>158</v>
      </c>
      <c r="E288" t="s">
        <v>49</v>
      </c>
      <c r="F288" s="27">
        <f>SUMIFS(INDEX(Load,,MATCH('Summarized Source Data'!$C288,Hour,0)),Month,'Summarized Source Data'!$A288,Sector,'Summarized Source Data'!F$2,Subsector,'Summarized Source Data'!F$3,TimeOfWeek,$E288)*INDEX(About!B$79:B$82,MATCH($B288,About!$A$79:$A$82,0),1)</f>
        <v>21300000</v>
      </c>
      <c r="G288" s="27">
        <f>SUMIFS(INDEX(Load,,MATCH('Summarized Source Data'!$C288,Hour,0)),Month,'Summarized Source Data'!$A288,Sector,'Summarized Source Data'!G$2,Subsector,'Summarized Source Data'!G$3,TimeOfWeek,$E288)*INDEX(About!C$79:C$82,MATCH($B288,About!$A$79:$A$82,0),1)</f>
        <v>15641</v>
      </c>
      <c r="H288" s="27">
        <f>SUMIFS(INDEX(Load,,MATCH('Summarized Source Data'!$C288,Hour,0)),Month,'Summarized Source Data'!$A288,Sector,'Summarized Source Data'!H$2,Subsector,'Summarized Source Data'!H$3,TimeOfWeek,$E288)*INDEX(About!D$79:D$82,MATCH($B288,About!$A$79:$A$82,0),1)</f>
        <v>0</v>
      </c>
      <c r="I288" s="27">
        <f>SUMIFS(INDEX(Load,,MATCH('Summarized Source Data'!$C288,Hour,0)),Month,'Summarized Source Data'!$A288,Sector,'Summarized Source Data'!I$2,Subsector,'Summarized Source Data'!I$3,TimeOfWeek,$E288)*INDEX(About!E$79:E$82,MATCH($B288,About!$A$79:$A$82,0),1)</f>
        <v>65300000</v>
      </c>
      <c r="J288" s="54">
        <f t="shared" si="21"/>
        <v>150384359</v>
      </c>
      <c r="K288" s="27">
        <f>(SUMIFS(INDEX(Load,,MATCH('Summarized Source Data'!$C288,Hour,0)),Month,'Summarized Source Data'!$A288,Sector,'Summarized Source Data'!K$2,Subsector,"Total",TimeOfWeek,$E288)-SUM(F288:I288))*INDEX(About!G$79:G$82,MATCH($B288,About!$A$79:$A$82,0),1)</f>
        <v>150384359</v>
      </c>
      <c r="L288" s="27">
        <f>SUMIFS(INDEX(Load,,MATCH('Summarized Source Data'!$C288,Hour,0)),Month,'Summarized Source Data'!$A288,Sector,'Summarized Source Data'!L$2,Subsector,'Summarized Source Data'!L$3,TimeOfWeek,$E288)*INDEX(About!H$79:H$82,MATCH($B288,About!$A$79:$A$82,0),1)</f>
        <v>60800000</v>
      </c>
      <c r="M288" s="27">
        <f>SUMIFS(INDEX(Load,,MATCH('Summarized Source Data'!$C288,Hour,0)),Month,'Summarized Source Data'!$A288,Sector,'Summarized Source Data'!M$2,Subsector,'Summarized Source Data'!M$3,TimeOfWeek,$E288)*INDEX(About!I$79:I$82,MATCH($B288,About!$A$79:$A$82,0),1)</f>
        <v>69908</v>
      </c>
      <c r="N288" s="27">
        <f>SUMIFS(INDEX(Load,,MATCH('Summarized Source Data'!$C288,Hour,0)),Month,'Summarized Source Data'!$A288,Sector,'Summarized Source Data'!N$2,Subsector,'Summarized Source Data'!N$3,TimeOfWeek,$E288)*INDEX(About!J$79:J$82,MATCH($B288,About!$A$79:$A$82,0),1)</f>
        <v>0</v>
      </c>
      <c r="O288" s="29">
        <f t="shared" si="22"/>
        <v>310130092</v>
      </c>
      <c r="P288" s="27">
        <f>(SUMIFS(INDEX(Load,,MATCH('Summarized Source Data'!$C288,Hour,0)),Month,'Summarized Source Data'!$A288,Sector,'Summarized Source Data'!P$2,Subsector,"Total",TimeOfWeek,$E288)-SUM(L288:N288)*INDEX(About!L$79:L$82,MATCH($B288,About!$A$79:$A$82,0),1))</f>
        <v>310130092</v>
      </c>
      <c r="Q288" s="29">
        <f t="shared" si="23"/>
        <v>310130092</v>
      </c>
      <c r="R288" s="33">
        <f>SUMIFS(INDEX(Load,,MATCH('Summarized Source Data'!$C288,Hour,0)),Month,'Summarized Source Data'!$A288,Sector,'Summarized Source Data'!R$2,TimeOfWeek,$E288)*INDEX(About!N$79:N$82,MATCH($B288,About!$A$79:$A$82,0),1)</f>
        <v>12300000</v>
      </c>
      <c r="S288" s="33">
        <f>SUMIFS(INDEX(Load,,MATCH('Summarized Source Data'!$C288,Hour,0)),Month,'Summarized Source Data'!$A288,Sector,'Summarized Source Data'!S$2,TimeOfWeek,$E288)*INDEX(About!O$79:O$82,MATCH($B288,About!$A$79:$A$82,0),1)</f>
        <v>12300000</v>
      </c>
      <c r="T288" s="33">
        <f>SUMIFS(INDEX(Load,,MATCH('Summarized Source Data'!$C288,Hour,0)),Month,'Summarized Source Data'!$A288,Sector,'Summarized Source Data'!T$2,TimeOfWeek,$E288)*INDEX(About!P$79:P$82,MATCH($B288,About!$A$79:$A$82,0),1)</f>
        <v>12300000</v>
      </c>
      <c r="U288" s="33">
        <f>SUMIFS(INDEX(Load,,MATCH('Summarized Source Data'!$C288,Hour,0)),Month,'Summarized Source Data'!$A288,Sector,'Summarized Source Data'!U$2,TimeOfWeek,$E288)*INDEX(About!Q$79:Q$82,MATCH($B288,About!$A$79:$A$82,0),1)</f>
        <v>12300000</v>
      </c>
      <c r="V288" s="33">
        <f>SUMIFS(INDEX(Load,,MATCH('Summarized Source Data'!$C288,Hour,0)),Month,'Summarized Source Data'!$A288,Sector,'Summarized Source Data'!V$2,TimeOfWeek,$E288)*INDEX(About!R$79:R$82,MATCH($B288,About!$A$79:$A$82,0),1)</f>
        <v>12300000</v>
      </c>
      <c r="W288" s="33">
        <f>SUMIFS(INDEX(Load,,MATCH('Summarized Source Data'!$C288,Hour,0)),Month,'Summarized Source Data'!$A288,Sector,'Summarized Source Data'!W$2,TimeOfWeek,$E288)*INDEX(About!S$79:S$82,MATCH($B288,About!$A$79:$A$82,0),1)</f>
        <v>12300000</v>
      </c>
      <c r="X288" s="27">
        <f>SUMIFS(INDEX(Load,,MATCH('Summarized Source Data'!$C288,Hour,0)),Month,'Summarized Source Data'!$A288,Sector,'Summarized Source Data'!X$2,Subsector,'Summarized Source Data'!X$3,TimeOfWeek,$E288)*INDEX(About!T$79:T$82,MATCH($B288,About!$A$79:$A$82,0),1)</f>
        <v>635000000</v>
      </c>
      <c r="Y288" s="29">
        <f t="shared" si="24"/>
        <v>635000000</v>
      </c>
      <c r="Z288" s="29">
        <f t="shared" si="24"/>
        <v>635000000</v>
      </c>
    </row>
    <row r="289" spans="1:26" outlineLevel="1" x14ac:dyDescent="0.3">
      <c r="A289">
        <f t="shared" si="20"/>
        <v>12</v>
      </c>
      <c r="B289" t="str">
        <f>INDEX('Category Mapping'!$G$28:$G$39,MATCH(A289,'Category Mapping'!$A$28:$A$39,0),1)</f>
        <v>Winter</v>
      </c>
      <c r="C289" t="s">
        <v>84</v>
      </c>
      <c r="D289" s="6" t="s">
        <v>159</v>
      </c>
      <c r="E289" t="s">
        <v>49</v>
      </c>
      <c r="F289" s="27">
        <f>SUMIFS(INDEX(Load,,MATCH('Summarized Source Data'!$C289,Hour,0)),Month,'Summarized Source Data'!$A289,Sector,'Summarized Source Data'!F$2,Subsector,'Summarized Source Data'!F$3,TimeOfWeek,$E289)*INDEX(About!B$79:B$82,MATCH($B289,About!$A$79:$A$82,0),1)</f>
        <v>20200000</v>
      </c>
      <c r="G289" s="27">
        <f>SUMIFS(INDEX(Load,,MATCH('Summarized Source Data'!$C289,Hour,0)),Month,'Summarized Source Data'!$A289,Sector,'Summarized Source Data'!G$2,Subsector,'Summarized Source Data'!G$3,TimeOfWeek,$E289)*INDEX(About!C$79:C$82,MATCH($B289,About!$A$79:$A$82,0),1)</f>
        <v>16634</v>
      </c>
      <c r="H289" s="27">
        <f>SUMIFS(INDEX(Load,,MATCH('Summarized Source Data'!$C289,Hour,0)),Month,'Summarized Source Data'!$A289,Sector,'Summarized Source Data'!H$2,Subsector,'Summarized Source Data'!H$3,TimeOfWeek,$E289)*INDEX(About!D$79:D$82,MATCH($B289,About!$A$79:$A$82,0),1)</f>
        <v>0</v>
      </c>
      <c r="I289" s="27">
        <f>SUMIFS(INDEX(Load,,MATCH('Summarized Source Data'!$C289,Hour,0)),Month,'Summarized Source Data'!$A289,Sector,'Summarized Source Data'!I$2,Subsector,'Summarized Source Data'!I$3,TimeOfWeek,$E289)*INDEX(About!E$79:E$82,MATCH($B289,About!$A$79:$A$82,0),1)</f>
        <v>53500000</v>
      </c>
      <c r="J289" s="54">
        <f t="shared" si="21"/>
        <v>148283366</v>
      </c>
      <c r="K289" s="27">
        <f>(SUMIFS(INDEX(Load,,MATCH('Summarized Source Data'!$C289,Hour,0)),Month,'Summarized Source Data'!$A289,Sector,'Summarized Source Data'!K$2,Subsector,"Total",TimeOfWeek,$E289)-SUM(F289:I289))*INDEX(About!G$79:G$82,MATCH($B289,About!$A$79:$A$82,0),1)</f>
        <v>148283366</v>
      </c>
      <c r="L289" s="27">
        <f>SUMIFS(INDEX(Load,,MATCH('Summarized Source Data'!$C289,Hour,0)),Month,'Summarized Source Data'!$A289,Sector,'Summarized Source Data'!L$2,Subsector,'Summarized Source Data'!L$3,TimeOfWeek,$E289)*INDEX(About!H$79:H$82,MATCH($B289,About!$A$79:$A$82,0),1)</f>
        <v>65900000</v>
      </c>
      <c r="M289" s="27">
        <f>SUMIFS(INDEX(Load,,MATCH('Summarized Source Data'!$C289,Hour,0)),Month,'Summarized Source Data'!$A289,Sector,'Summarized Source Data'!M$2,Subsector,'Summarized Source Data'!M$3,TimeOfWeek,$E289)*INDEX(About!I$79:I$82,MATCH($B289,About!$A$79:$A$82,0),1)</f>
        <v>65627</v>
      </c>
      <c r="N289" s="27">
        <f>SUMIFS(INDEX(Load,,MATCH('Summarized Source Data'!$C289,Hour,0)),Month,'Summarized Source Data'!$A289,Sector,'Summarized Source Data'!N$2,Subsector,'Summarized Source Data'!N$3,TimeOfWeek,$E289)*INDEX(About!J$79:J$82,MATCH($B289,About!$A$79:$A$82,0),1)</f>
        <v>0</v>
      </c>
      <c r="O289" s="29">
        <f t="shared" si="22"/>
        <v>251034373</v>
      </c>
      <c r="P289" s="27">
        <f>(SUMIFS(INDEX(Load,,MATCH('Summarized Source Data'!$C289,Hour,0)),Month,'Summarized Source Data'!$A289,Sector,'Summarized Source Data'!P$2,Subsector,"Total",TimeOfWeek,$E289)-SUM(L289:N289)*INDEX(About!L$79:L$82,MATCH($B289,About!$A$79:$A$82,0),1))</f>
        <v>251034373</v>
      </c>
      <c r="Q289" s="29">
        <f t="shared" si="23"/>
        <v>251034373</v>
      </c>
      <c r="R289" s="33">
        <f>SUMIFS(INDEX(Load,,MATCH('Summarized Source Data'!$C289,Hour,0)),Month,'Summarized Source Data'!$A289,Sector,'Summarized Source Data'!R$2,TimeOfWeek,$E289)*INDEX(About!N$79:N$82,MATCH($B289,About!$A$79:$A$82,0),1)</f>
        <v>11600000</v>
      </c>
      <c r="S289" s="33">
        <f>SUMIFS(INDEX(Load,,MATCH('Summarized Source Data'!$C289,Hour,0)),Month,'Summarized Source Data'!$A289,Sector,'Summarized Source Data'!S$2,TimeOfWeek,$E289)*INDEX(About!O$79:O$82,MATCH($B289,About!$A$79:$A$82,0),1)</f>
        <v>11600000</v>
      </c>
      <c r="T289" s="33">
        <f>SUMIFS(INDEX(Load,,MATCH('Summarized Source Data'!$C289,Hour,0)),Month,'Summarized Source Data'!$A289,Sector,'Summarized Source Data'!T$2,TimeOfWeek,$E289)*INDEX(About!P$79:P$82,MATCH($B289,About!$A$79:$A$82,0),1)</f>
        <v>11600000</v>
      </c>
      <c r="U289" s="33">
        <f>SUMIFS(INDEX(Load,,MATCH('Summarized Source Data'!$C289,Hour,0)),Month,'Summarized Source Data'!$A289,Sector,'Summarized Source Data'!U$2,TimeOfWeek,$E289)*INDEX(About!Q$79:Q$82,MATCH($B289,About!$A$79:$A$82,0),1)</f>
        <v>11600000</v>
      </c>
      <c r="V289" s="33">
        <f>SUMIFS(INDEX(Load,,MATCH('Summarized Source Data'!$C289,Hour,0)),Month,'Summarized Source Data'!$A289,Sector,'Summarized Source Data'!V$2,TimeOfWeek,$E289)*INDEX(About!R$79:R$82,MATCH($B289,About!$A$79:$A$82,0),1)</f>
        <v>11600000</v>
      </c>
      <c r="W289" s="33">
        <f>SUMIFS(INDEX(Load,,MATCH('Summarized Source Data'!$C289,Hour,0)),Month,'Summarized Source Data'!$A289,Sector,'Summarized Source Data'!W$2,TimeOfWeek,$E289)*INDEX(About!S$79:S$82,MATCH($B289,About!$A$79:$A$82,0),1)</f>
        <v>11600000</v>
      </c>
      <c r="X289" s="27">
        <f>SUMIFS(INDEX(Load,,MATCH('Summarized Source Data'!$C289,Hour,0)),Month,'Summarized Source Data'!$A289,Sector,'Summarized Source Data'!X$2,Subsector,'Summarized Source Data'!X$3,TimeOfWeek,$E289)*INDEX(About!T$79:T$82,MATCH($B289,About!$A$79:$A$82,0),1)</f>
        <v>630000000</v>
      </c>
      <c r="Y289" s="29">
        <f t="shared" si="24"/>
        <v>630000000</v>
      </c>
      <c r="Z289" s="29">
        <f t="shared" si="24"/>
        <v>630000000</v>
      </c>
    </row>
    <row r="290" spans="1:26" outlineLevel="1" x14ac:dyDescent="0.3">
      <c r="A290">
        <f t="shared" si="20"/>
        <v>12</v>
      </c>
      <c r="B290" t="str">
        <f>INDEX('Category Mapping'!$G$28:$G$39,MATCH(A290,'Category Mapping'!$A$28:$A$39,0),1)</f>
        <v>Winter</v>
      </c>
      <c r="C290" t="s">
        <v>85</v>
      </c>
      <c r="D290" s="6" t="s">
        <v>160</v>
      </c>
      <c r="E290" t="s">
        <v>49</v>
      </c>
      <c r="F290" s="27">
        <f>SUMIFS(INDEX(Load,,MATCH('Summarized Source Data'!$C290,Hour,0)),Month,'Summarized Source Data'!$A290,Sector,'Summarized Source Data'!F$2,Subsector,'Summarized Source Data'!F$3,TimeOfWeek,$E290)*INDEX(About!B$79:B$82,MATCH($B290,About!$A$79:$A$82,0),1)</f>
        <v>17400000</v>
      </c>
      <c r="G290" s="27">
        <f>SUMIFS(INDEX(Load,,MATCH('Summarized Source Data'!$C290,Hour,0)),Month,'Summarized Source Data'!$A290,Sector,'Summarized Source Data'!G$2,Subsector,'Summarized Source Data'!G$3,TimeOfWeek,$E290)*INDEX(About!C$79:C$82,MATCH($B290,About!$A$79:$A$82,0),1)</f>
        <v>17340</v>
      </c>
      <c r="H290" s="27">
        <f>SUMIFS(INDEX(Load,,MATCH('Summarized Source Data'!$C290,Hour,0)),Month,'Summarized Source Data'!$A290,Sector,'Summarized Source Data'!H$2,Subsector,'Summarized Source Data'!H$3,TimeOfWeek,$E290)*INDEX(About!D$79:D$82,MATCH($B290,About!$A$79:$A$82,0),1)</f>
        <v>0</v>
      </c>
      <c r="I290" s="27">
        <f>SUMIFS(INDEX(Load,,MATCH('Summarized Source Data'!$C290,Hour,0)),Month,'Summarized Source Data'!$A290,Sector,'Summarized Source Data'!I$2,Subsector,'Summarized Source Data'!I$3,TimeOfWeek,$E290)*INDEX(About!E$79:E$82,MATCH($B290,About!$A$79:$A$82,0),1)</f>
        <v>31800000</v>
      </c>
      <c r="J290" s="54">
        <f t="shared" si="21"/>
        <v>116782660</v>
      </c>
      <c r="K290" s="27">
        <f>(SUMIFS(INDEX(Load,,MATCH('Summarized Source Data'!$C290,Hour,0)),Month,'Summarized Source Data'!$A290,Sector,'Summarized Source Data'!K$2,Subsector,"Total",TimeOfWeek,$E290)-SUM(F290:I290))*INDEX(About!G$79:G$82,MATCH($B290,About!$A$79:$A$82,0),1)</f>
        <v>116782660</v>
      </c>
      <c r="L290" s="27">
        <f>SUMIFS(INDEX(Load,,MATCH('Summarized Source Data'!$C290,Hour,0)),Month,'Summarized Source Data'!$A290,Sector,'Summarized Source Data'!L$2,Subsector,'Summarized Source Data'!L$3,TimeOfWeek,$E290)*INDEX(About!H$79:H$82,MATCH($B290,About!$A$79:$A$82,0),1)</f>
        <v>65500000</v>
      </c>
      <c r="M290" s="27">
        <f>SUMIFS(INDEX(Load,,MATCH('Summarized Source Data'!$C290,Hour,0)),Month,'Summarized Source Data'!$A290,Sector,'Summarized Source Data'!M$2,Subsector,'Summarized Source Data'!M$3,TimeOfWeek,$E290)*INDEX(About!I$79:I$82,MATCH($B290,About!$A$79:$A$82,0),1)</f>
        <v>60480</v>
      </c>
      <c r="N290" s="27">
        <f>SUMIFS(INDEX(Load,,MATCH('Summarized Source Data'!$C290,Hour,0)),Month,'Summarized Source Data'!$A290,Sector,'Summarized Source Data'!N$2,Subsector,'Summarized Source Data'!N$3,TimeOfWeek,$E290)*INDEX(About!J$79:J$82,MATCH($B290,About!$A$79:$A$82,0),1)</f>
        <v>0</v>
      </c>
      <c r="O290" s="29">
        <f t="shared" si="22"/>
        <v>211439520</v>
      </c>
      <c r="P290" s="27">
        <f>(SUMIFS(INDEX(Load,,MATCH('Summarized Source Data'!$C290,Hour,0)),Month,'Summarized Source Data'!$A290,Sector,'Summarized Source Data'!P$2,Subsector,"Total",TimeOfWeek,$E290)-SUM(L290:N290)*INDEX(About!L$79:L$82,MATCH($B290,About!$A$79:$A$82,0),1))</f>
        <v>211439520</v>
      </c>
      <c r="Q290" s="29">
        <f t="shared" si="23"/>
        <v>211439520</v>
      </c>
      <c r="R290" s="33">
        <f>SUMIFS(INDEX(Load,,MATCH('Summarized Source Data'!$C290,Hour,0)),Month,'Summarized Source Data'!$A290,Sector,'Summarized Source Data'!R$2,TimeOfWeek,$E290)*INDEX(About!N$79:N$82,MATCH($B290,About!$A$79:$A$82,0),1)</f>
        <v>10900000</v>
      </c>
      <c r="S290" s="33">
        <f>SUMIFS(INDEX(Load,,MATCH('Summarized Source Data'!$C290,Hour,0)),Month,'Summarized Source Data'!$A290,Sector,'Summarized Source Data'!S$2,TimeOfWeek,$E290)*INDEX(About!O$79:O$82,MATCH($B290,About!$A$79:$A$82,0),1)</f>
        <v>10900000</v>
      </c>
      <c r="T290" s="33">
        <f>SUMIFS(INDEX(Load,,MATCH('Summarized Source Data'!$C290,Hour,0)),Month,'Summarized Source Data'!$A290,Sector,'Summarized Source Data'!T$2,TimeOfWeek,$E290)*INDEX(About!P$79:P$82,MATCH($B290,About!$A$79:$A$82,0),1)</f>
        <v>10900000</v>
      </c>
      <c r="U290" s="33">
        <f>SUMIFS(INDEX(Load,,MATCH('Summarized Source Data'!$C290,Hour,0)),Month,'Summarized Source Data'!$A290,Sector,'Summarized Source Data'!U$2,TimeOfWeek,$E290)*INDEX(About!Q$79:Q$82,MATCH($B290,About!$A$79:$A$82,0),1)</f>
        <v>10900000</v>
      </c>
      <c r="V290" s="33">
        <f>SUMIFS(INDEX(Load,,MATCH('Summarized Source Data'!$C290,Hour,0)),Month,'Summarized Source Data'!$A290,Sector,'Summarized Source Data'!V$2,TimeOfWeek,$E290)*INDEX(About!R$79:R$82,MATCH($B290,About!$A$79:$A$82,0),1)</f>
        <v>10900000</v>
      </c>
      <c r="W290" s="33">
        <f>SUMIFS(INDEX(Load,,MATCH('Summarized Source Data'!$C290,Hour,0)),Month,'Summarized Source Data'!$A290,Sector,'Summarized Source Data'!W$2,TimeOfWeek,$E290)*INDEX(About!S$79:S$82,MATCH($B290,About!$A$79:$A$82,0),1)</f>
        <v>10900000</v>
      </c>
      <c r="X290" s="27">
        <f>SUMIFS(INDEX(Load,,MATCH('Summarized Source Data'!$C290,Hour,0)),Month,'Summarized Source Data'!$A290,Sector,'Summarized Source Data'!X$2,Subsector,'Summarized Source Data'!X$3,TimeOfWeek,$E290)*INDEX(About!T$79:T$82,MATCH($B290,About!$A$79:$A$82,0),1)</f>
        <v>625000000</v>
      </c>
      <c r="Y290" s="29">
        <f t="shared" si="24"/>
        <v>625000000</v>
      </c>
      <c r="Z290" s="29">
        <f t="shared" si="24"/>
        <v>625000000</v>
      </c>
    </row>
    <row r="291" spans="1:26" outlineLevel="1" x14ac:dyDescent="0.3">
      <c r="A291">
        <f t="shared" si="20"/>
        <v>12</v>
      </c>
      <c r="B291" t="str">
        <f>INDEX('Category Mapping'!$G$28:$G$39,MATCH(A291,'Category Mapping'!$A$28:$A$39,0),1)</f>
        <v>Winter</v>
      </c>
      <c r="C291" t="s">
        <v>86</v>
      </c>
      <c r="D291" s="6" t="s">
        <v>161</v>
      </c>
      <c r="E291" t="s">
        <v>49</v>
      </c>
      <c r="F291" s="27">
        <f>SUMIFS(INDEX(Load,,MATCH('Summarized Source Data'!$C291,Hour,0)),Month,'Summarized Source Data'!$A291,Sector,'Summarized Source Data'!F$2,Subsector,'Summarized Source Data'!F$3,TimeOfWeek,$E291)*INDEX(About!B$79:B$82,MATCH($B291,About!$A$79:$A$82,0),1)</f>
        <v>17000000</v>
      </c>
      <c r="G291" s="27">
        <f>SUMIFS(INDEX(Load,,MATCH('Summarized Source Data'!$C291,Hour,0)),Month,'Summarized Source Data'!$A291,Sector,'Summarized Source Data'!G$2,Subsector,'Summarized Source Data'!G$3,TimeOfWeek,$E291)*INDEX(About!C$79:C$82,MATCH($B291,About!$A$79:$A$82,0),1)</f>
        <v>17817</v>
      </c>
      <c r="H291" s="27">
        <f>SUMIFS(INDEX(Load,,MATCH('Summarized Source Data'!$C291,Hour,0)),Month,'Summarized Source Data'!$A291,Sector,'Summarized Source Data'!H$2,Subsector,'Summarized Source Data'!H$3,TimeOfWeek,$E291)*INDEX(About!D$79:D$82,MATCH($B291,About!$A$79:$A$82,0),1)</f>
        <v>0</v>
      </c>
      <c r="I291" s="27">
        <f>SUMIFS(INDEX(Load,,MATCH('Summarized Source Data'!$C291,Hour,0)),Month,'Summarized Source Data'!$A291,Sector,'Summarized Source Data'!I$2,Subsector,'Summarized Source Data'!I$3,TimeOfWeek,$E291)*INDEX(About!E$79:E$82,MATCH($B291,About!$A$79:$A$82,0),1)</f>
        <v>16700000</v>
      </c>
      <c r="J291" s="54">
        <f t="shared" si="21"/>
        <v>93282183</v>
      </c>
      <c r="K291" s="27">
        <f>(SUMIFS(INDEX(Load,,MATCH('Summarized Source Data'!$C291,Hour,0)),Month,'Summarized Source Data'!$A291,Sector,'Summarized Source Data'!K$2,Subsector,"Total",TimeOfWeek,$E291)-SUM(F291:I291))*INDEX(About!G$79:G$82,MATCH($B291,About!$A$79:$A$82,0),1)</f>
        <v>93282183</v>
      </c>
      <c r="L291" s="27">
        <f>SUMIFS(INDEX(Load,,MATCH('Summarized Source Data'!$C291,Hour,0)),Month,'Summarized Source Data'!$A291,Sector,'Summarized Source Data'!L$2,Subsector,'Summarized Source Data'!L$3,TimeOfWeek,$E291)*INDEX(About!H$79:H$82,MATCH($B291,About!$A$79:$A$82,0),1)</f>
        <v>31700000</v>
      </c>
      <c r="M291" s="27">
        <f>SUMIFS(INDEX(Load,,MATCH('Summarized Source Data'!$C291,Hour,0)),Month,'Summarized Source Data'!$A291,Sector,'Summarized Source Data'!M$2,Subsector,'Summarized Source Data'!M$3,TimeOfWeek,$E291)*INDEX(About!I$79:I$82,MATCH($B291,About!$A$79:$A$82,0),1)</f>
        <v>53450</v>
      </c>
      <c r="N291" s="27">
        <f>SUMIFS(INDEX(Load,,MATCH('Summarized Source Data'!$C291,Hour,0)),Month,'Summarized Source Data'!$A291,Sector,'Summarized Source Data'!N$2,Subsector,'Summarized Source Data'!N$3,TimeOfWeek,$E291)*INDEX(About!J$79:J$82,MATCH($B291,About!$A$79:$A$82,0),1)</f>
        <v>0</v>
      </c>
      <c r="O291" s="29">
        <f t="shared" si="22"/>
        <v>184246550</v>
      </c>
      <c r="P291" s="27">
        <f>(SUMIFS(INDEX(Load,,MATCH('Summarized Source Data'!$C291,Hour,0)),Month,'Summarized Source Data'!$A291,Sector,'Summarized Source Data'!P$2,Subsector,"Total",TimeOfWeek,$E291)-SUM(L291:N291)*INDEX(About!L$79:L$82,MATCH($B291,About!$A$79:$A$82,0),1))</f>
        <v>184246550</v>
      </c>
      <c r="Q291" s="29">
        <f t="shared" si="23"/>
        <v>184246550</v>
      </c>
      <c r="R291" s="33">
        <f>SUMIFS(INDEX(Load,,MATCH('Summarized Source Data'!$C291,Hour,0)),Month,'Summarized Source Data'!$A291,Sector,'Summarized Source Data'!R$2,TimeOfWeek,$E291)*INDEX(About!N$79:N$82,MATCH($B291,About!$A$79:$A$82,0),1)</f>
        <v>7359618</v>
      </c>
      <c r="S291" s="33">
        <f>SUMIFS(INDEX(Load,,MATCH('Summarized Source Data'!$C291,Hour,0)),Month,'Summarized Source Data'!$A291,Sector,'Summarized Source Data'!S$2,TimeOfWeek,$E291)*INDEX(About!O$79:O$82,MATCH($B291,About!$A$79:$A$82,0),1)</f>
        <v>7359618</v>
      </c>
      <c r="T291" s="33">
        <f>SUMIFS(INDEX(Load,,MATCH('Summarized Source Data'!$C291,Hour,0)),Month,'Summarized Source Data'!$A291,Sector,'Summarized Source Data'!T$2,TimeOfWeek,$E291)*INDEX(About!P$79:P$82,MATCH($B291,About!$A$79:$A$82,0),1)</f>
        <v>7359618</v>
      </c>
      <c r="U291" s="33">
        <f>SUMIFS(INDEX(Load,,MATCH('Summarized Source Data'!$C291,Hour,0)),Month,'Summarized Source Data'!$A291,Sector,'Summarized Source Data'!U$2,TimeOfWeek,$E291)*INDEX(About!Q$79:Q$82,MATCH($B291,About!$A$79:$A$82,0),1)</f>
        <v>7359618</v>
      </c>
      <c r="V291" s="33">
        <f>SUMIFS(INDEX(Load,,MATCH('Summarized Source Data'!$C291,Hour,0)),Month,'Summarized Source Data'!$A291,Sector,'Summarized Source Data'!V$2,TimeOfWeek,$E291)*INDEX(About!R$79:R$82,MATCH($B291,About!$A$79:$A$82,0),1)</f>
        <v>7359618</v>
      </c>
      <c r="W291" s="33">
        <f>SUMIFS(INDEX(Load,,MATCH('Summarized Source Data'!$C291,Hour,0)),Month,'Summarized Source Data'!$A291,Sector,'Summarized Source Data'!W$2,TimeOfWeek,$E291)*INDEX(About!S$79:S$82,MATCH($B291,About!$A$79:$A$82,0),1)</f>
        <v>7359618</v>
      </c>
      <c r="X291" s="27">
        <f>SUMIFS(INDEX(Load,,MATCH('Summarized Source Data'!$C291,Hour,0)),Month,'Summarized Source Data'!$A291,Sector,'Summarized Source Data'!X$2,Subsector,'Summarized Source Data'!X$3,TimeOfWeek,$E291)*INDEX(About!T$79:T$82,MATCH($B291,About!$A$79:$A$82,0),1)</f>
        <v>622000000</v>
      </c>
      <c r="Y291" s="29">
        <f t="shared" si="24"/>
        <v>622000000</v>
      </c>
      <c r="Z291" s="29">
        <f t="shared" si="24"/>
        <v>622000000</v>
      </c>
    </row>
    <row r="292" spans="1:26" x14ac:dyDescent="0.3">
      <c r="A292">
        <f>A4</f>
        <v>1</v>
      </c>
      <c r="B292" t="str">
        <f>INDEX('Category Mapping'!$G$28:$G$39,MATCH(A292,'Category Mapping'!$A$28:$A$39,0),1)</f>
        <v>Winter</v>
      </c>
      <c r="C292" t="s">
        <v>63</v>
      </c>
      <c r="D292" s="6" t="s">
        <v>138</v>
      </c>
      <c r="E292" s="46" t="s">
        <v>48</v>
      </c>
      <c r="F292" s="27">
        <f>SUMIFS(INDEX(Load,,MATCH('Summarized Source Data'!$C292,Hour,0)),Month,'Summarized Source Data'!$A292,Sector,'Summarized Source Data'!F$2,Subsector,'Summarized Source Data'!F$3,TimeOfWeek,$E292)*INDEX(About!B$79:B$82,MATCH($B292,About!$A$79:$A$82,0),1)</f>
        <v>11500000</v>
      </c>
      <c r="G292" s="27">
        <f>SUMIFS(INDEX(Load,,MATCH('Summarized Source Data'!$C292,Hour,0)),Month,'Summarized Source Data'!$A292,Sector,'Summarized Source Data'!G$2,Subsector,'Summarized Source Data'!G$3,TimeOfWeek,$E292)*INDEX(About!C$79:C$82,MATCH($B292,About!$A$79:$A$82,0),1)</f>
        <v>6404</v>
      </c>
      <c r="H292" s="27">
        <f>SUMIFS(INDEX(Load,,MATCH('Summarized Source Data'!$C292,Hour,0)),Month,'Summarized Source Data'!$A292,Sector,'Summarized Source Data'!H$2,Subsector,'Summarized Source Data'!H$3,TimeOfWeek,$E292)*INDEX(About!D$79:D$82,MATCH($B292,About!$A$79:$A$82,0),1)</f>
        <v>0</v>
      </c>
      <c r="I292" s="27">
        <f>SUMIFS(INDEX(Load,,MATCH('Summarized Source Data'!$C292,Hour,0)),Month,'Summarized Source Data'!$A292,Sector,'Summarized Source Data'!I$2,Subsector,'Summarized Source Data'!I$3,TimeOfWeek,$E292)*INDEX(About!E$79:E$82,MATCH($B292,About!$A$79:$A$82,0),1)</f>
        <v>6948352</v>
      </c>
      <c r="J292" s="54">
        <f t="shared" si="21"/>
        <v>38545244</v>
      </c>
      <c r="K292" s="27">
        <f>(SUMIFS(INDEX(Load,,MATCH('Summarized Source Data'!$C292,Hour,0)),Month,'Summarized Source Data'!$A292,Sector,'Summarized Source Data'!K$2,Subsector,"Total",TimeOfWeek,$E292)-SUM(F292:I292))*INDEX(About!G$79:G$82,MATCH($B292,About!$A$79:$A$82,0),1)</f>
        <v>38545244</v>
      </c>
      <c r="L292" s="27">
        <f>SUMIFS(INDEX(Load,,MATCH('Summarized Source Data'!$C292,Hour,0)),Month,'Summarized Source Data'!$A292,Sector,'Summarized Source Data'!L$2,Subsector,'Summarized Source Data'!L$3,TimeOfWeek,$E292)*INDEX(About!H$79:H$82,MATCH($B292,About!$A$79:$A$82,0),1)</f>
        <v>12800000</v>
      </c>
      <c r="M292" s="27">
        <f>SUMIFS(INDEX(Load,,MATCH('Summarized Source Data'!$C292,Hour,0)),Month,'Summarized Source Data'!$A292,Sector,'Summarized Source Data'!M$2,Subsector,'Summarized Source Data'!M$3,TimeOfWeek,$E292)*INDEX(About!I$79:I$82,MATCH($B292,About!$A$79:$A$82,0),1)</f>
        <v>19231</v>
      </c>
      <c r="N292" s="27">
        <f>SUMIFS(INDEX(Load,,MATCH('Summarized Source Data'!$C292,Hour,0)),Month,'Summarized Source Data'!$A292,Sector,'Summarized Source Data'!N$2,Subsector,'Summarized Source Data'!N$3,TimeOfWeek,$E292)*INDEX(About!J$79:J$82,MATCH($B292,About!$A$79:$A$82,0),1)</f>
        <v>0</v>
      </c>
      <c r="O292" s="29">
        <f t="shared" si="22"/>
        <v>78880769</v>
      </c>
      <c r="P292" s="27">
        <f>(SUMIFS(INDEX(Load,,MATCH('Summarized Source Data'!$C292,Hour,0)),Month,'Summarized Source Data'!$A292,Sector,'Summarized Source Data'!P$2,Subsector,"Total",TimeOfWeek,$E292)-SUM(L292:N292)*INDEX(About!L$79:L$82,MATCH($B292,About!$A$79:$A$82,0),1))</f>
        <v>78880769</v>
      </c>
      <c r="Q292" s="29">
        <f t="shared" si="23"/>
        <v>78880769</v>
      </c>
      <c r="R292" s="33">
        <f>SUMIFS(INDEX(Load,,MATCH('Summarized Source Data'!$C292,Hour,0)),Month,'Summarized Source Data'!$A292,Sector,'Summarized Source Data'!R$2,TimeOfWeek,$E292)*INDEX(About!N$79:N$82,MATCH($B292,About!$A$79:$A$82,0),1)</f>
        <v>2776198</v>
      </c>
      <c r="S292" s="33">
        <f>SUMIFS(INDEX(Load,,MATCH('Summarized Source Data'!$C292,Hour,0)),Month,'Summarized Source Data'!$A292,Sector,'Summarized Source Data'!S$2,TimeOfWeek,$E292)*INDEX(About!O$79:O$82,MATCH($B292,About!$A$79:$A$82,0),1)</f>
        <v>2776198</v>
      </c>
      <c r="T292" s="33">
        <f>SUMIFS(INDEX(Load,,MATCH('Summarized Source Data'!$C292,Hour,0)),Month,'Summarized Source Data'!$A292,Sector,'Summarized Source Data'!T$2,TimeOfWeek,$E292)*INDEX(About!P$79:P$82,MATCH($B292,About!$A$79:$A$82,0),1)</f>
        <v>2776198</v>
      </c>
      <c r="U292" s="33">
        <f>SUMIFS(INDEX(Load,,MATCH('Summarized Source Data'!$C292,Hour,0)),Month,'Summarized Source Data'!$A292,Sector,'Summarized Source Data'!U$2,TimeOfWeek,$E292)*INDEX(About!Q$79:Q$82,MATCH($B292,About!$A$79:$A$82,0),1)</f>
        <v>2776198</v>
      </c>
      <c r="V292" s="33">
        <f>SUMIFS(INDEX(Load,,MATCH('Summarized Source Data'!$C292,Hour,0)),Month,'Summarized Source Data'!$A292,Sector,'Summarized Source Data'!V$2,TimeOfWeek,$E292)*INDEX(About!R$79:R$82,MATCH($B292,About!$A$79:$A$82,0),1)</f>
        <v>2776198</v>
      </c>
      <c r="W292" s="33">
        <f>SUMIFS(INDEX(Load,,MATCH('Summarized Source Data'!$C292,Hour,0)),Month,'Summarized Source Data'!$A292,Sector,'Summarized Source Data'!W$2,TimeOfWeek,$E292)*INDEX(About!S$79:S$82,MATCH($B292,About!$A$79:$A$82,0),1)</f>
        <v>2776198</v>
      </c>
      <c r="X292" s="27">
        <f>SUMIFS(INDEX(Load,,MATCH('Summarized Source Data'!$C292,Hour,0)),Month,'Summarized Source Data'!$A292,Sector,'Summarized Source Data'!X$2,Subsector,'Summarized Source Data'!X$3,TimeOfWeek,$E292)*INDEX(About!T$79:T$82,MATCH($B292,About!$A$79:$A$82,0),1)</f>
        <v>343000000</v>
      </c>
      <c r="Y292" s="29">
        <f t="shared" si="24"/>
        <v>343000000</v>
      </c>
      <c r="Z292" s="29">
        <f t="shared" si="24"/>
        <v>343000000</v>
      </c>
    </row>
    <row r="293" spans="1:26" x14ac:dyDescent="0.3">
      <c r="A293">
        <f t="shared" ref="A293:A356" si="25">A5</f>
        <v>1</v>
      </c>
      <c r="B293" t="str">
        <f>INDEX('Category Mapping'!$G$28:$G$39,MATCH(A293,'Category Mapping'!$A$28:$A$39,0),1)</f>
        <v>Winter</v>
      </c>
      <c r="C293" t="s">
        <v>64</v>
      </c>
      <c r="D293" s="6" t="s">
        <v>139</v>
      </c>
      <c r="E293" s="46" t="s">
        <v>48</v>
      </c>
      <c r="F293" s="27">
        <f>SUMIFS(INDEX(Load,,MATCH('Summarized Source Data'!$C293,Hour,0)),Month,'Summarized Source Data'!$A293,Sector,'Summarized Source Data'!F$2,Subsector,'Summarized Source Data'!F$3,TimeOfWeek,$E293)*INDEX(About!B$79:B$82,MATCH($B293,About!$A$79:$A$82,0),1)</f>
        <v>11700000</v>
      </c>
      <c r="G293" s="27">
        <f>SUMIFS(INDEX(Load,,MATCH('Summarized Source Data'!$C293,Hour,0)),Month,'Summarized Source Data'!$A293,Sector,'Summarized Source Data'!G$2,Subsector,'Summarized Source Data'!G$3,TimeOfWeek,$E293)*INDEX(About!C$79:C$82,MATCH($B293,About!$A$79:$A$82,0),1)</f>
        <v>6502</v>
      </c>
      <c r="H293" s="27">
        <f>SUMIFS(INDEX(Load,,MATCH('Summarized Source Data'!$C293,Hour,0)),Month,'Summarized Source Data'!$A293,Sector,'Summarized Source Data'!H$2,Subsector,'Summarized Source Data'!H$3,TimeOfWeek,$E293)*INDEX(About!D$79:D$82,MATCH($B293,About!$A$79:$A$82,0),1)</f>
        <v>0</v>
      </c>
      <c r="I293" s="27">
        <f>SUMIFS(INDEX(Load,,MATCH('Summarized Source Data'!$C293,Hour,0)),Month,'Summarized Source Data'!$A293,Sector,'Summarized Source Data'!I$2,Subsector,'Summarized Source Data'!I$3,TimeOfWeek,$E293)*INDEX(About!E$79:E$82,MATCH($B293,About!$A$79:$A$82,0),1)</f>
        <v>6003332</v>
      </c>
      <c r="J293" s="54">
        <f t="shared" si="21"/>
        <v>29890166</v>
      </c>
      <c r="K293" s="27">
        <f>(SUMIFS(INDEX(Load,,MATCH('Summarized Source Data'!$C293,Hour,0)),Month,'Summarized Source Data'!$A293,Sector,'Summarized Source Data'!K$2,Subsector,"Total",TimeOfWeek,$E293)-SUM(F293:I293))*INDEX(About!G$79:G$82,MATCH($B293,About!$A$79:$A$82,0),1)</f>
        <v>29890166</v>
      </c>
      <c r="L293" s="27">
        <f>SUMIFS(INDEX(Load,,MATCH('Summarized Source Data'!$C293,Hour,0)),Month,'Summarized Source Data'!$A293,Sector,'Summarized Source Data'!L$2,Subsector,'Summarized Source Data'!L$3,TimeOfWeek,$E293)*INDEX(About!H$79:H$82,MATCH($B293,About!$A$79:$A$82,0),1)</f>
        <v>12600000</v>
      </c>
      <c r="M293" s="27">
        <f>SUMIFS(INDEX(Load,,MATCH('Summarized Source Data'!$C293,Hour,0)),Month,'Summarized Source Data'!$A293,Sector,'Summarized Source Data'!M$2,Subsector,'Summarized Source Data'!M$3,TimeOfWeek,$E293)*INDEX(About!I$79:I$82,MATCH($B293,About!$A$79:$A$82,0),1)</f>
        <v>18822</v>
      </c>
      <c r="N293" s="27">
        <f>SUMIFS(INDEX(Load,,MATCH('Summarized Source Data'!$C293,Hour,0)),Month,'Summarized Source Data'!$A293,Sector,'Summarized Source Data'!N$2,Subsector,'Summarized Source Data'!N$3,TimeOfWeek,$E293)*INDEX(About!J$79:J$82,MATCH($B293,About!$A$79:$A$82,0),1)</f>
        <v>0</v>
      </c>
      <c r="O293" s="29">
        <f t="shared" si="22"/>
        <v>68881178</v>
      </c>
      <c r="P293" s="27">
        <f>(SUMIFS(INDEX(Load,,MATCH('Summarized Source Data'!$C293,Hour,0)),Month,'Summarized Source Data'!$A293,Sector,'Summarized Source Data'!P$2,Subsector,"Total",TimeOfWeek,$E293)-SUM(L293:N293)*INDEX(About!L$79:L$82,MATCH($B293,About!$A$79:$A$82,0),1))</f>
        <v>68881178</v>
      </c>
      <c r="Q293" s="29">
        <f t="shared" si="23"/>
        <v>68881178</v>
      </c>
      <c r="R293" s="33">
        <f>SUMIFS(INDEX(Load,,MATCH('Summarized Source Data'!$C293,Hour,0)),Month,'Summarized Source Data'!$A293,Sector,'Summarized Source Data'!R$2,TimeOfWeek,$E293)*INDEX(About!N$79:N$82,MATCH($B293,About!$A$79:$A$82,0),1)</f>
        <v>2647378</v>
      </c>
      <c r="S293" s="33">
        <f>SUMIFS(INDEX(Load,,MATCH('Summarized Source Data'!$C293,Hour,0)),Month,'Summarized Source Data'!$A293,Sector,'Summarized Source Data'!S$2,TimeOfWeek,$E293)*INDEX(About!O$79:O$82,MATCH($B293,About!$A$79:$A$82,0),1)</f>
        <v>2647378</v>
      </c>
      <c r="T293" s="33">
        <f>SUMIFS(INDEX(Load,,MATCH('Summarized Source Data'!$C293,Hour,0)),Month,'Summarized Source Data'!$A293,Sector,'Summarized Source Data'!T$2,TimeOfWeek,$E293)*INDEX(About!P$79:P$82,MATCH($B293,About!$A$79:$A$82,0),1)</f>
        <v>2647378</v>
      </c>
      <c r="U293" s="33">
        <f>SUMIFS(INDEX(Load,,MATCH('Summarized Source Data'!$C293,Hour,0)),Month,'Summarized Source Data'!$A293,Sector,'Summarized Source Data'!U$2,TimeOfWeek,$E293)*INDEX(About!Q$79:Q$82,MATCH($B293,About!$A$79:$A$82,0),1)</f>
        <v>2647378</v>
      </c>
      <c r="V293" s="33">
        <f>SUMIFS(INDEX(Load,,MATCH('Summarized Source Data'!$C293,Hour,0)),Month,'Summarized Source Data'!$A293,Sector,'Summarized Source Data'!V$2,TimeOfWeek,$E293)*INDEX(About!R$79:R$82,MATCH($B293,About!$A$79:$A$82,0),1)</f>
        <v>2647378</v>
      </c>
      <c r="W293" s="33">
        <f>SUMIFS(INDEX(Load,,MATCH('Summarized Source Data'!$C293,Hour,0)),Month,'Summarized Source Data'!$A293,Sector,'Summarized Source Data'!W$2,TimeOfWeek,$E293)*INDEX(About!S$79:S$82,MATCH($B293,About!$A$79:$A$82,0),1)</f>
        <v>2647378</v>
      </c>
      <c r="X293" s="27">
        <f>SUMIFS(INDEX(Load,,MATCH('Summarized Source Data'!$C293,Hour,0)),Month,'Summarized Source Data'!$A293,Sector,'Summarized Source Data'!X$2,Subsector,'Summarized Source Data'!X$3,TimeOfWeek,$E293)*INDEX(About!T$79:T$82,MATCH($B293,About!$A$79:$A$82,0),1)</f>
        <v>342000000</v>
      </c>
      <c r="Y293" s="29">
        <f t="shared" si="24"/>
        <v>342000000</v>
      </c>
      <c r="Z293" s="29">
        <f t="shared" si="24"/>
        <v>342000000</v>
      </c>
    </row>
    <row r="294" spans="1:26" x14ac:dyDescent="0.3">
      <c r="A294">
        <f t="shared" si="25"/>
        <v>1</v>
      </c>
      <c r="B294" t="str">
        <f>INDEX('Category Mapping'!$G$28:$G$39,MATCH(A294,'Category Mapping'!$A$28:$A$39,0),1)</f>
        <v>Winter</v>
      </c>
      <c r="C294" t="s">
        <v>65</v>
      </c>
      <c r="D294" s="6" t="s">
        <v>140</v>
      </c>
      <c r="E294" s="46" t="s">
        <v>48</v>
      </c>
      <c r="F294" s="27">
        <f>SUMIFS(INDEX(Load,,MATCH('Summarized Source Data'!$C294,Hour,0)),Month,'Summarized Source Data'!$A294,Sector,'Summarized Source Data'!F$2,Subsector,'Summarized Source Data'!F$3,TimeOfWeek,$E294)*INDEX(About!B$79:B$82,MATCH($B294,About!$A$79:$A$82,0),1)</f>
        <v>11700000</v>
      </c>
      <c r="G294" s="27">
        <f>SUMIFS(INDEX(Load,,MATCH('Summarized Source Data'!$C294,Hour,0)),Month,'Summarized Source Data'!$A294,Sector,'Summarized Source Data'!G$2,Subsector,'Summarized Source Data'!G$3,TimeOfWeek,$E294)*INDEX(About!C$79:C$82,MATCH($B294,About!$A$79:$A$82,0),1)</f>
        <v>6588</v>
      </c>
      <c r="H294" s="27">
        <f>SUMIFS(INDEX(Load,,MATCH('Summarized Source Data'!$C294,Hour,0)),Month,'Summarized Source Data'!$A294,Sector,'Summarized Source Data'!H$2,Subsector,'Summarized Source Data'!H$3,TimeOfWeek,$E294)*INDEX(About!D$79:D$82,MATCH($B294,About!$A$79:$A$82,0),1)</f>
        <v>0</v>
      </c>
      <c r="I294" s="27">
        <f>SUMIFS(INDEX(Load,,MATCH('Summarized Source Data'!$C294,Hour,0)),Month,'Summarized Source Data'!$A294,Sector,'Summarized Source Data'!I$2,Subsector,'Summarized Source Data'!I$3,TimeOfWeek,$E294)*INDEX(About!E$79:E$82,MATCH($B294,About!$A$79:$A$82,0),1)</f>
        <v>5798140</v>
      </c>
      <c r="J294" s="54">
        <f t="shared" si="21"/>
        <v>23495272</v>
      </c>
      <c r="K294" s="27">
        <f>(SUMIFS(INDEX(Load,,MATCH('Summarized Source Data'!$C294,Hour,0)),Month,'Summarized Source Data'!$A294,Sector,'Summarized Source Data'!K$2,Subsector,"Total",TimeOfWeek,$E294)-SUM(F294:I294))*INDEX(About!G$79:G$82,MATCH($B294,About!$A$79:$A$82,0),1)</f>
        <v>23495272</v>
      </c>
      <c r="L294" s="27">
        <f>SUMIFS(INDEX(Load,,MATCH('Summarized Source Data'!$C294,Hour,0)),Month,'Summarized Source Data'!$A294,Sector,'Summarized Source Data'!L$2,Subsector,'Summarized Source Data'!L$3,TimeOfWeek,$E294)*INDEX(About!H$79:H$82,MATCH($B294,About!$A$79:$A$82,0),1)</f>
        <v>11400000</v>
      </c>
      <c r="M294" s="27">
        <f>SUMIFS(INDEX(Load,,MATCH('Summarized Source Data'!$C294,Hour,0)),Month,'Summarized Source Data'!$A294,Sector,'Summarized Source Data'!M$2,Subsector,'Summarized Source Data'!M$3,TimeOfWeek,$E294)*INDEX(About!I$79:I$82,MATCH($B294,About!$A$79:$A$82,0),1)</f>
        <v>18651</v>
      </c>
      <c r="N294" s="27">
        <f>SUMIFS(INDEX(Load,,MATCH('Summarized Source Data'!$C294,Hour,0)),Month,'Summarized Source Data'!$A294,Sector,'Summarized Source Data'!N$2,Subsector,'Summarized Source Data'!N$3,TimeOfWeek,$E294)*INDEX(About!J$79:J$82,MATCH($B294,About!$A$79:$A$82,0),1)</f>
        <v>0</v>
      </c>
      <c r="O294" s="29">
        <f t="shared" si="22"/>
        <v>67881349</v>
      </c>
      <c r="P294" s="27">
        <f>(SUMIFS(INDEX(Load,,MATCH('Summarized Source Data'!$C294,Hour,0)),Month,'Summarized Source Data'!$A294,Sector,'Summarized Source Data'!P$2,Subsector,"Total",TimeOfWeek,$E294)-SUM(L294:N294)*INDEX(About!L$79:L$82,MATCH($B294,About!$A$79:$A$82,0),1))</f>
        <v>67881349</v>
      </c>
      <c r="Q294" s="29">
        <f t="shared" si="23"/>
        <v>67881349</v>
      </c>
      <c r="R294" s="33">
        <f>SUMIFS(INDEX(Load,,MATCH('Summarized Source Data'!$C294,Hour,0)),Month,'Summarized Source Data'!$A294,Sector,'Summarized Source Data'!R$2,TimeOfWeek,$E294)*INDEX(About!N$79:N$82,MATCH($B294,About!$A$79:$A$82,0),1)</f>
        <v>2612246</v>
      </c>
      <c r="S294" s="33">
        <f>SUMIFS(INDEX(Load,,MATCH('Summarized Source Data'!$C294,Hour,0)),Month,'Summarized Source Data'!$A294,Sector,'Summarized Source Data'!S$2,TimeOfWeek,$E294)*INDEX(About!O$79:O$82,MATCH($B294,About!$A$79:$A$82,0),1)</f>
        <v>2612246</v>
      </c>
      <c r="T294" s="33">
        <f>SUMIFS(INDEX(Load,,MATCH('Summarized Source Data'!$C294,Hour,0)),Month,'Summarized Source Data'!$A294,Sector,'Summarized Source Data'!T$2,TimeOfWeek,$E294)*INDEX(About!P$79:P$82,MATCH($B294,About!$A$79:$A$82,0),1)</f>
        <v>2612246</v>
      </c>
      <c r="U294" s="33">
        <f>SUMIFS(INDEX(Load,,MATCH('Summarized Source Data'!$C294,Hour,0)),Month,'Summarized Source Data'!$A294,Sector,'Summarized Source Data'!U$2,TimeOfWeek,$E294)*INDEX(About!Q$79:Q$82,MATCH($B294,About!$A$79:$A$82,0),1)</f>
        <v>2612246</v>
      </c>
      <c r="V294" s="33">
        <f>SUMIFS(INDEX(Load,,MATCH('Summarized Source Data'!$C294,Hour,0)),Month,'Summarized Source Data'!$A294,Sector,'Summarized Source Data'!V$2,TimeOfWeek,$E294)*INDEX(About!R$79:R$82,MATCH($B294,About!$A$79:$A$82,0),1)</f>
        <v>2612246</v>
      </c>
      <c r="W294" s="33">
        <f>SUMIFS(INDEX(Load,,MATCH('Summarized Source Data'!$C294,Hour,0)),Month,'Summarized Source Data'!$A294,Sector,'Summarized Source Data'!W$2,TimeOfWeek,$E294)*INDEX(About!S$79:S$82,MATCH($B294,About!$A$79:$A$82,0),1)</f>
        <v>2612246</v>
      </c>
      <c r="X294" s="27">
        <f>SUMIFS(INDEX(Load,,MATCH('Summarized Source Data'!$C294,Hour,0)),Month,'Summarized Source Data'!$A294,Sector,'Summarized Source Data'!X$2,Subsector,'Summarized Source Data'!X$3,TimeOfWeek,$E294)*INDEX(About!T$79:T$82,MATCH($B294,About!$A$79:$A$82,0),1)</f>
        <v>342000000</v>
      </c>
      <c r="Y294" s="29">
        <f t="shared" si="24"/>
        <v>342000000</v>
      </c>
      <c r="Z294" s="29">
        <f t="shared" si="24"/>
        <v>342000000</v>
      </c>
    </row>
    <row r="295" spans="1:26" x14ac:dyDescent="0.3">
      <c r="A295">
        <f t="shared" si="25"/>
        <v>1</v>
      </c>
      <c r="B295" t="str">
        <f>INDEX('Category Mapping'!$G$28:$G$39,MATCH(A295,'Category Mapping'!$A$28:$A$39,0),1)</f>
        <v>Winter</v>
      </c>
      <c r="C295" t="s">
        <v>66</v>
      </c>
      <c r="D295" s="6" t="s">
        <v>141</v>
      </c>
      <c r="E295" s="46" t="s">
        <v>48</v>
      </c>
      <c r="F295" s="27">
        <f>SUMIFS(INDEX(Load,,MATCH('Summarized Source Data'!$C295,Hour,0)),Month,'Summarized Source Data'!$A295,Sector,'Summarized Source Data'!F$2,Subsector,'Summarized Source Data'!F$3,TimeOfWeek,$E295)*INDEX(About!B$79:B$82,MATCH($B295,About!$A$79:$A$82,0),1)</f>
        <v>11700000</v>
      </c>
      <c r="G295" s="27">
        <f>SUMIFS(INDEX(Load,,MATCH('Summarized Source Data'!$C295,Hour,0)),Month,'Summarized Source Data'!$A295,Sector,'Summarized Source Data'!G$2,Subsector,'Summarized Source Data'!G$3,TimeOfWeek,$E295)*INDEX(About!C$79:C$82,MATCH($B295,About!$A$79:$A$82,0),1)</f>
        <v>6601</v>
      </c>
      <c r="H295" s="27">
        <f>SUMIFS(INDEX(Load,,MATCH('Summarized Source Data'!$C295,Hour,0)),Month,'Summarized Source Data'!$A295,Sector,'Summarized Source Data'!H$2,Subsector,'Summarized Source Data'!H$3,TimeOfWeek,$E295)*INDEX(About!D$79:D$82,MATCH($B295,About!$A$79:$A$82,0),1)</f>
        <v>0</v>
      </c>
      <c r="I295" s="27">
        <f>SUMIFS(INDEX(Load,,MATCH('Summarized Source Data'!$C295,Hour,0)),Month,'Summarized Source Data'!$A295,Sector,'Summarized Source Data'!I$2,Subsector,'Summarized Source Data'!I$3,TimeOfWeek,$E295)*INDEX(About!E$79:E$82,MATCH($B295,About!$A$79:$A$82,0),1)</f>
        <v>5793246</v>
      </c>
      <c r="J295" s="54">
        <f t="shared" si="21"/>
        <v>19400153</v>
      </c>
      <c r="K295" s="27">
        <f>(SUMIFS(INDEX(Load,,MATCH('Summarized Source Data'!$C295,Hour,0)),Month,'Summarized Source Data'!$A295,Sector,'Summarized Source Data'!K$2,Subsector,"Total",TimeOfWeek,$E295)-SUM(F295:I295))*INDEX(About!G$79:G$82,MATCH($B295,About!$A$79:$A$82,0),1)</f>
        <v>19400153</v>
      </c>
      <c r="L295" s="27">
        <f>SUMIFS(INDEX(Load,,MATCH('Summarized Source Data'!$C295,Hour,0)),Month,'Summarized Source Data'!$A295,Sector,'Summarized Source Data'!L$2,Subsector,'Summarized Source Data'!L$3,TimeOfWeek,$E295)*INDEX(About!H$79:H$82,MATCH($B295,About!$A$79:$A$82,0),1)</f>
        <v>12100000</v>
      </c>
      <c r="M295" s="27">
        <f>SUMIFS(INDEX(Load,,MATCH('Summarized Source Data'!$C295,Hour,0)),Month,'Summarized Source Data'!$A295,Sector,'Summarized Source Data'!M$2,Subsector,'Summarized Source Data'!M$3,TimeOfWeek,$E295)*INDEX(About!I$79:I$82,MATCH($B295,About!$A$79:$A$82,0),1)</f>
        <v>18555</v>
      </c>
      <c r="N295" s="27">
        <f>SUMIFS(INDEX(Load,,MATCH('Summarized Source Data'!$C295,Hour,0)),Month,'Summarized Source Data'!$A295,Sector,'Summarized Source Data'!N$2,Subsector,'Summarized Source Data'!N$3,TimeOfWeek,$E295)*INDEX(About!J$79:J$82,MATCH($B295,About!$A$79:$A$82,0),1)</f>
        <v>0</v>
      </c>
      <c r="O295" s="29">
        <f t="shared" si="22"/>
        <v>68581445</v>
      </c>
      <c r="P295" s="27">
        <f>(SUMIFS(INDEX(Load,,MATCH('Summarized Source Data'!$C295,Hour,0)),Month,'Summarized Source Data'!$A295,Sector,'Summarized Source Data'!P$2,Subsector,"Total",TimeOfWeek,$E295)-SUM(L295:N295)*INDEX(About!L$79:L$82,MATCH($B295,About!$A$79:$A$82,0),1))</f>
        <v>68581445</v>
      </c>
      <c r="Q295" s="29">
        <f t="shared" si="23"/>
        <v>68581445</v>
      </c>
      <c r="R295" s="33">
        <f>SUMIFS(INDEX(Load,,MATCH('Summarized Source Data'!$C295,Hour,0)),Month,'Summarized Source Data'!$A295,Sector,'Summarized Source Data'!R$2,TimeOfWeek,$E295)*INDEX(About!N$79:N$82,MATCH($B295,About!$A$79:$A$82,0),1)</f>
        <v>2612246</v>
      </c>
      <c r="S295" s="33">
        <f>SUMIFS(INDEX(Load,,MATCH('Summarized Source Data'!$C295,Hour,0)),Month,'Summarized Source Data'!$A295,Sector,'Summarized Source Data'!S$2,TimeOfWeek,$E295)*INDEX(About!O$79:O$82,MATCH($B295,About!$A$79:$A$82,0),1)</f>
        <v>2612246</v>
      </c>
      <c r="T295" s="33">
        <f>SUMIFS(INDEX(Load,,MATCH('Summarized Source Data'!$C295,Hour,0)),Month,'Summarized Source Data'!$A295,Sector,'Summarized Source Data'!T$2,TimeOfWeek,$E295)*INDEX(About!P$79:P$82,MATCH($B295,About!$A$79:$A$82,0),1)</f>
        <v>2612246</v>
      </c>
      <c r="U295" s="33">
        <f>SUMIFS(INDEX(Load,,MATCH('Summarized Source Data'!$C295,Hour,0)),Month,'Summarized Source Data'!$A295,Sector,'Summarized Source Data'!U$2,TimeOfWeek,$E295)*INDEX(About!Q$79:Q$82,MATCH($B295,About!$A$79:$A$82,0),1)</f>
        <v>2612246</v>
      </c>
      <c r="V295" s="33">
        <f>SUMIFS(INDEX(Load,,MATCH('Summarized Source Data'!$C295,Hour,0)),Month,'Summarized Source Data'!$A295,Sector,'Summarized Source Data'!V$2,TimeOfWeek,$E295)*INDEX(About!R$79:R$82,MATCH($B295,About!$A$79:$A$82,0),1)</f>
        <v>2612246</v>
      </c>
      <c r="W295" s="33">
        <f>SUMIFS(INDEX(Load,,MATCH('Summarized Source Data'!$C295,Hour,0)),Month,'Summarized Source Data'!$A295,Sector,'Summarized Source Data'!W$2,TimeOfWeek,$E295)*INDEX(About!S$79:S$82,MATCH($B295,About!$A$79:$A$82,0),1)</f>
        <v>2612246</v>
      </c>
      <c r="X295" s="27">
        <f>SUMIFS(INDEX(Load,,MATCH('Summarized Source Data'!$C295,Hour,0)),Month,'Summarized Source Data'!$A295,Sector,'Summarized Source Data'!X$2,Subsector,'Summarized Source Data'!X$3,TimeOfWeek,$E295)*INDEX(About!T$79:T$82,MATCH($B295,About!$A$79:$A$82,0),1)</f>
        <v>343000000</v>
      </c>
      <c r="Y295" s="29">
        <f t="shared" si="24"/>
        <v>343000000</v>
      </c>
      <c r="Z295" s="29">
        <f t="shared" si="24"/>
        <v>343000000</v>
      </c>
    </row>
    <row r="296" spans="1:26" x14ac:dyDescent="0.3">
      <c r="A296">
        <f t="shared" si="25"/>
        <v>1</v>
      </c>
      <c r="B296" t="str">
        <f>INDEX('Category Mapping'!$G$28:$G$39,MATCH(A296,'Category Mapping'!$A$28:$A$39,0),1)</f>
        <v>Winter</v>
      </c>
      <c r="C296" t="s">
        <v>67</v>
      </c>
      <c r="D296" s="6" t="s">
        <v>142</v>
      </c>
      <c r="E296" s="46" t="s">
        <v>48</v>
      </c>
      <c r="F296" s="27">
        <f>SUMIFS(INDEX(Load,,MATCH('Summarized Source Data'!$C296,Hour,0)),Month,'Summarized Source Data'!$A296,Sector,'Summarized Source Data'!F$2,Subsector,'Summarized Source Data'!F$3,TimeOfWeek,$E296)*INDEX(About!B$79:B$82,MATCH($B296,About!$A$79:$A$82,0),1)</f>
        <v>11500000</v>
      </c>
      <c r="G296" s="27">
        <f>SUMIFS(INDEX(Load,,MATCH('Summarized Source Data'!$C296,Hour,0)),Month,'Summarized Source Data'!$A296,Sector,'Summarized Source Data'!G$2,Subsector,'Summarized Source Data'!G$3,TimeOfWeek,$E296)*INDEX(About!C$79:C$82,MATCH($B296,About!$A$79:$A$82,0),1)</f>
        <v>6579</v>
      </c>
      <c r="H296" s="27">
        <f>SUMIFS(INDEX(Load,,MATCH('Summarized Source Data'!$C296,Hour,0)),Month,'Summarized Source Data'!$A296,Sector,'Summarized Source Data'!H$2,Subsector,'Summarized Source Data'!H$3,TimeOfWeek,$E296)*INDEX(About!D$79:D$82,MATCH($B296,About!$A$79:$A$82,0),1)</f>
        <v>0</v>
      </c>
      <c r="I296" s="27">
        <f>SUMIFS(INDEX(Load,,MATCH('Summarized Source Data'!$C296,Hour,0)),Month,'Summarized Source Data'!$A296,Sector,'Summarized Source Data'!I$2,Subsector,'Summarized Source Data'!I$3,TimeOfWeek,$E296)*INDEX(About!E$79:E$82,MATCH($B296,About!$A$79:$A$82,0),1)</f>
        <v>6097947</v>
      </c>
      <c r="J296" s="54">
        <f t="shared" si="21"/>
        <v>19895474</v>
      </c>
      <c r="K296" s="27">
        <f>(SUMIFS(INDEX(Load,,MATCH('Summarized Source Data'!$C296,Hour,0)),Month,'Summarized Source Data'!$A296,Sector,'Summarized Source Data'!K$2,Subsector,"Total",TimeOfWeek,$E296)-SUM(F296:I296))*INDEX(About!G$79:G$82,MATCH($B296,About!$A$79:$A$82,0),1)</f>
        <v>19895474</v>
      </c>
      <c r="L296" s="27">
        <f>SUMIFS(INDEX(Load,,MATCH('Summarized Source Data'!$C296,Hour,0)),Month,'Summarized Source Data'!$A296,Sector,'Summarized Source Data'!L$2,Subsector,'Summarized Source Data'!L$3,TimeOfWeek,$E296)*INDEX(About!H$79:H$82,MATCH($B296,About!$A$79:$A$82,0),1)</f>
        <v>12500000</v>
      </c>
      <c r="M296" s="27">
        <f>SUMIFS(INDEX(Load,,MATCH('Summarized Source Data'!$C296,Hour,0)),Month,'Summarized Source Data'!$A296,Sector,'Summarized Source Data'!M$2,Subsector,'Summarized Source Data'!M$3,TimeOfWeek,$E296)*INDEX(About!I$79:I$82,MATCH($B296,About!$A$79:$A$82,0),1)</f>
        <v>18534</v>
      </c>
      <c r="N296" s="27">
        <f>SUMIFS(INDEX(Load,,MATCH('Summarized Source Data'!$C296,Hour,0)),Month,'Summarized Source Data'!$A296,Sector,'Summarized Source Data'!N$2,Subsector,'Summarized Source Data'!N$3,TimeOfWeek,$E296)*INDEX(About!J$79:J$82,MATCH($B296,About!$A$79:$A$82,0),1)</f>
        <v>0</v>
      </c>
      <c r="O296" s="29">
        <f t="shared" si="22"/>
        <v>69681466</v>
      </c>
      <c r="P296" s="27">
        <f>(SUMIFS(INDEX(Load,,MATCH('Summarized Source Data'!$C296,Hour,0)),Month,'Summarized Source Data'!$A296,Sector,'Summarized Source Data'!P$2,Subsector,"Total",TimeOfWeek,$E296)-SUM(L296:N296)*INDEX(About!L$79:L$82,MATCH($B296,About!$A$79:$A$82,0),1))</f>
        <v>69681466</v>
      </c>
      <c r="Q296" s="29">
        <f t="shared" si="23"/>
        <v>69681466</v>
      </c>
      <c r="R296" s="33">
        <f>SUMIFS(INDEX(Load,,MATCH('Summarized Source Data'!$C296,Hour,0)),Month,'Summarized Source Data'!$A296,Sector,'Summarized Source Data'!R$2,TimeOfWeek,$E296)*INDEX(About!N$79:N$82,MATCH($B296,About!$A$79:$A$82,0),1)</f>
        <v>2600535</v>
      </c>
      <c r="S296" s="33">
        <f>SUMIFS(INDEX(Load,,MATCH('Summarized Source Data'!$C296,Hour,0)),Month,'Summarized Source Data'!$A296,Sector,'Summarized Source Data'!S$2,TimeOfWeek,$E296)*INDEX(About!O$79:O$82,MATCH($B296,About!$A$79:$A$82,0),1)</f>
        <v>2600535</v>
      </c>
      <c r="T296" s="33">
        <f>SUMIFS(INDEX(Load,,MATCH('Summarized Source Data'!$C296,Hour,0)),Month,'Summarized Source Data'!$A296,Sector,'Summarized Source Data'!T$2,TimeOfWeek,$E296)*INDEX(About!P$79:P$82,MATCH($B296,About!$A$79:$A$82,0),1)</f>
        <v>2600535</v>
      </c>
      <c r="U296" s="33">
        <f>SUMIFS(INDEX(Load,,MATCH('Summarized Source Data'!$C296,Hour,0)),Month,'Summarized Source Data'!$A296,Sector,'Summarized Source Data'!U$2,TimeOfWeek,$E296)*INDEX(About!Q$79:Q$82,MATCH($B296,About!$A$79:$A$82,0),1)</f>
        <v>2600535</v>
      </c>
      <c r="V296" s="33">
        <f>SUMIFS(INDEX(Load,,MATCH('Summarized Source Data'!$C296,Hour,0)),Month,'Summarized Source Data'!$A296,Sector,'Summarized Source Data'!V$2,TimeOfWeek,$E296)*INDEX(About!R$79:R$82,MATCH($B296,About!$A$79:$A$82,0),1)</f>
        <v>2600535</v>
      </c>
      <c r="W296" s="33">
        <f>SUMIFS(INDEX(Load,,MATCH('Summarized Source Data'!$C296,Hour,0)),Month,'Summarized Source Data'!$A296,Sector,'Summarized Source Data'!W$2,TimeOfWeek,$E296)*INDEX(About!S$79:S$82,MATCH($B296,About!$A$79:$A$82,0),1)</f>
        <v>2600535</v>
      </c>
      <c r="X296" s="27">
        <f>SUMIFS(INDEX(Load,,MATCH('Summarized Source Data'!$C296,Hour,0)),Month,'Summarized Source Data'!$A296,Sector,'Summarized Source Data'!X$2,Subsector,'Summarized Source Data'!X$3,TimeOfWeek,$E296)*INDEX(About!T$79:T$82,MATCH($B296,About!$A$79:$A$82,0),1)</f>
        <v>346000000</v>
      </c>
      <c r="Y296" s="29">
        <f t="shared" si="24"/>
        <v>346000000</v>
      </c>
      <c r="Z296" s="29">
        <f t="shared" si="24"/>
        <v>346000000</v>
      </c>
    </row>
    <row r="297" spans="1:26" x14ac:dyDescent="0.3">
      <c r="A297">
        <f t="shared" si="25"/>
        <v>1</v>
      </c>
      <c r="B297" t="str">
        <f>INDEX('Category Mapping'!$G$28:$G$39,MATCH(A297,'Category Mapping'!$A$28:$A$39,0),1)</f>
        <v>Winter</v>
      </c>
      <c r="C297" t="s">
        <v>68</v>
      </c>
      <c r="D297" s="6" t="s">
        <v>143</v>
      </c>
      <c r="E297" s="46" t="s">
        <v>48</v>
      </c>
      <c r="F297" s="27">
        <f>SUMIFS(INDEX(Load,,MATCH('Summarized Source Data'!$C297,Hour,0)),Month,'Summarized Source Data'!$A297,Sector,'Summarized Source Data'!F$2,Subsector,'Summarized Source Data'!F$3,TimeOfWeek,$E297)*INDEX(About!B$79:B$82,MATCH($B297,About!$A$79:$A$82,0),1)</f>
        <v>11900000</v>
      </c>
      <c r="G297" s="27">
        <f>SUMIFS(INDEX(Load,,MATCH('Summarized Source Data'!$C297,Hour,0)),Month,'Summarized Source Data'!$A297,Sector,'Summarized Source Data'!G$2,Subsector,'Summarized Source Data'!G$3,TimeOfWeek,$E297)*INDEX(About!C$79:C$82,MATCH($B297,About!$A$79:$A$82,0),1)</f>
        <v>6462</v>
      </c>
      <c r="H297" s="27">
        <f>SUMIFS(INDEX(Load,,MATCH('Summarized Source Data'!$C297,Hour,0)),Month,'Summarized Source Data'!$A297,Sector,'Summarized Source Data'!H$2,Subsector,'Summarized Source Data'!H$3,TimeOfWeek,$E297)*INDEX(About!D$79:D$82,MATCH($B297,About!$A$79:$A$82,0),1)</f>
        <v>0</v>
      </c>
      <c r="I297" s="27">
        <f>SUMIFS(INDEX(Load,,MATCH('Summarized Source Data'!$C297,Hour,0)),Month,'Summarized Source Data'!$A297,Sector,'Summarized Source Data'!I$2,Subsector,'Summarized Source Data'!I$3,TimeOfWeek,$E297)*INDEX(About!E$79:E$82,MATCH($B297,About!$A$79:$A$82,0),1)</f>
        <v>7902722</v>
      </c>
      <c r="J297" s="54">
        <f t="shared" si="21"/>
        <v>22990816</v>
      </c>
      <c r="K297" s="27">
        <f>(SUMIFS(INDEX(Load,,MATCH('Summarized Source Data'!$C297,Hour,0)),Month,'Summarized Source Data'!$A297,Sector,'Summarized Source Data'!K$2,Subsector,"Total",TimeOfWeek,$E297)-SUM(F297:I297))*INDEX(About!G$79:G$82,MATCH($B297,About!$A$79:$A$82,0),1)</f>
        <v>22990816</v>
      </c>
      <c r="L297" s="27">
        <f>SUMIFS(INDEX(Load,,MATCH('Summarized Source Data'!$C297,Hour,0)),Month,'Summarized Source Data'!$A297,Sector,'Summarized Source Data'!L$2,Subsector,'Summarized Source Data'!L$3,TimeOfWeek,$E297)*INDEX(About!H$79:H$82,MATCH($B297,About!$A$79:$A$82,0),1)</f>
        <v>13200000</v>
      </c>
      <c r="M297" s="27">
        <f>SUMIFS(INDEX(Load,,MATCH('Summarized Source Data'!$C297,Hour,0)),Month,'Summarized Source Data'!$A297,Sector,'Summarized Source Data'!M$2,Subsector,'Summarized Source Data'!M$3,TimeOfWeek,$E297)*INDEX(About!I$79:I$82,MATCH($B297,About!$A$79:$A$82,0),1)</f>
        <v>18737</v>
      </c>
      <c r="N297" s="27">
        <f>SUMIFS(INDEX(Load,,MATCH('Summarized Source Data'!$C297,Hour,0)),Month,'Summarized Source Data'!$A297,Sector,'Summarized Source Data'!N$2,Subsector,'Summarized Source Data'!N$3,TimeOfWeek,$E297)*INDEX(About!J$79:J$82,MATCH($B297,About!$A$79:$A$82,0),1)</f>
        <v>0</v>
      </c>
      <c r="O297" s="29">
        <f t="shared" si="22"/>
        <v>74581263</v>
      </c>
      <c r="P297" s="27">
        <f>(SUMIFS(INDEX(Load,,MATCH('Summarized Source Data'!$C297,Hour,0)),Month,'Summarized Source Data'!$A297,Sector,'Summarized Source Data'!P$2,Subsector,"Total",TimeOfWeek,$E297)-SUM(L297:N297)*INDEX(About!L$79:L$82,MATCH($B297,About!$A$79:$A$82,0),1))</f>
        <v>74581263</v>
      </c>
      <c r="Q297" s="29">
        <f t="shared" si="23"/>
        <v>74581263</v>
      </c>
      <c r="R297" s="33">
        <f>SUMIFS(INDEX(Load,,MATCH('Summarized Source Data'!$C297,Hour,0)),Month,'Summarized Source Data'!$A297,Sector,'Summarized Source Data'!R$2,TimeOfWeek,$E297)*INDEX(About!N$79:N$82,MATCH($B297,About!$A$79:$A$82,0),1)</f>
        <v>2618101</v>
      </c>
      <c r="S297" s="33">
        <f>SUMIFS(INDEX(Load,,MATCH('Summarized Source Data'!$C297,Hour,0)),Month,'Summarized Source Data'!$A297,Sector,'Summarized Source Data'!S$2,TimeOfWeek,$E297)*INDEX(About!O$79:O$82,MATCH($B297,About!$A$79:$A$82,0),1)</f>
        <v>2618101</v>
      </c>
      <c r="T297" s="33">
        <f>SUMIFS(INDEX(Load,,MATCH('Summarized Source Data'!$C297,Hour,0)),Month,'Summarized Source Data'!$A297,Sector,'Summarized Source Data'!T$2,TimeOfWeek,$E297)*INDEX(About!P$79:P$82,MATCH($B297,About!$A$79:$A$82,0),1)</f>
        <v>2618101</v>
      </c>
      <c r="U297" s="33">
        <f>SUMIFS(INDEX(Load,,MATCH('Summarized Source Data'!$C297,Hour,0)),Month,'Summarized Source Data'!$A297,Sector,'Summarized Source Data'!U$2,TimeOfWeek,$E297)*INDEX(About!Q$79:Q$82,MATCH($B297,About!$A$79:$A$82,0),1)</f>
        <v>2618101</v>
      </c>
      <c r="V297" s="33">
        <f>SUMIFS(INDEX(Load,,MATCH('Summarized Source Data'!$C297,Hour,0)),Month,'Summarized Source Data'!$A297,Sector,'Summarized Source Data'!V$2,TimeOfWeek,$E297)*INDEX(About!R$79:R$82,MATCH($B297,About!$A$79:$A$82,0),1)</f>
        <v>2618101</v>
      </c>
      <c r="W297" s="33">
        <f>SUMIFS(INDEX(Load,,MATCH('Summarized Source Data'!$C297,Hour,0)),Month,'Summarized Source Data'!$A297,Sector,'Summarized Source Data'!W$2,TimeOfWeek,$E297)*INDEX(About!S$79:S$82,MATCH($B297,About!$A$79:$A$82,0),1)</f>
        <v>2618101</v>
      </c>
      <c r="X297" s="27">
        <f>SUMIFS(INDEX(Load,,MATCH('Summarized Source Data'!$C297,Hour,0)),Month,'Summarized Source Data'!$A297,Sector,'Summarized Source Data'!X$2,Subsector,'Summarized Source Data'!X$3,TimeOfWeek,$E297)*INDEX(About!T$79:T$82,MATCH($B297,About!$A$79:$A$82,0),1)</f>
        <v>349000000</v>
      </c>
      <c r="Y297" s="29">
        <f t="shared" si="24"/>
        <v>349000000</v>
      </c>
      <c r="Z297" s="29">
        <f t="shared" si="24"/>
        <v>349000000</v>
      </c>
    </row>
    <row r="298" spans="1:26" x14ac:dyDescent="0.3">
      <c r="A298">
        <f t="shared" si="25"/>
        <v>1</v>
      </c>
      <c r="B298" t="str">
        <f>INDEX('Category Mapping'!$G$28:$G$39,MATCH(A298,'Category Mapping'!$A$28:$A$39,0),1)</f>
        <v>Winter</v>
      </c>
      <c r="C298" t="s">
        <v>69</v>
      </c>
      <c r="D298" s="6" t="s">
        <v>144</v>
      </c>
      <c r="E298" s="46" t="s">
        <v>48</v>
      </c>
      <c r="F298" s="27">
        <f>SUMIFS(INDEX(Load,,MATCH('Summarized Source Data'!$C298,Hour,0)),Month,'Summarized Source Data'!$A298,Sector,'Summarized Source Data'!F$2,Subsector,'Summarized Source Data'!F$3,TimeOfWeek,$E298)*INDEX(About!B$79:B$82,MATCH($B298,About!$A$79:$A$82,0),1)</f>
        <v>12500000</v>
      </c>
      <c r="G298" s="27">
        <f>SUMIFS(INDEX(Load,,MATCH('Summarized Source Data'!$C298,Hour,0)),Month,'Summarized Source Data'!$A298,Sector,'Summarized Source Data'!G$2,Subsector,'Summarized Source Data'!G$3,TimeOfWeek,$E298)*INDEX(About!C$79:C$82,MATCH($B298,About!$A$79:$A$82,0),1)</f>
        <v>6203</v>
      </c>
      <c r="H298" s="27">
        <f>SUMIFS(INDEX(Load,,MATCH('Summarized Source Data'!$C298,Hour,0)),Month,'Summarized Source Data'!$A298,Sector,'Summarized Source Data'!H$2,Subsector,'Summarized Source Data'!H$3,TimeOfWeek,$E298)*INDEX(About!D$79:D$82,MATCH($B298,About!$A$79:$A$82,0),1)</f>
        <v>0</v>
      </c>
      <c r="I298" s="27">
        <f>SUMIFS(INDEX(Load,,MATCH('Summarized Source Data'!$C298,Hour,0)),Month,'Summarized Source Data'!$A298,Sector,'Summarized Source Data'!I$2,Subsector,'Summarized Source Data'!I$3,TimeOfWeek,$E298)*INDEX(About!E$79:E$82,MATCH($B298,About!$A$79:$A$82,0),1)</f>
        <v>13600000</v>
      </c>
      <c r="J298" s="54">
        <f t="shared" si="21"/>
        <v>33893797</v>
      </c>
      <c r="K298" s="27">
        <f>(SUMIFS(INDEX(Load,,MATCH('Summarized Source Data'!$C298,Hour,0)),Month,'Summarized Source Data'!$A298,Sector,'Summarized Source Data'!K$2,Subsector,"Total",TimeOfWeek,$E298)-SUM(F298:I298))*INDEX(About!G$79:G$82,MATCH($B298,About!$A$79:$A$82,0),1)</f>
        <v>33893797</v>
      </c>
      <c r="L298" s="27">
        <f>SUMIFS(INDEX(Load,,MATCH('Summarized Source Data'!$C298,Hour,0)),Month,'Summarized Source Data'!$A298,Sector,'Summarized Source Data'!L$2,Subsector,'Summarized Source Data'!L$3,TimeOfWeek,$E298)*INDEX(About!H$79:H$82,MATCH($B298,About!$A$79:$A$82,0),1)</f>
        <v>15400000</v>
      </c>
      <c r="M298" s="27">
        <f>SUMIFS(INDEX(Load,,MATCH('Summarized Source Data'!$C298,Hour,0)),Month,'Summarized Source Data'!$A298,Sector,'Summarized Source Data'!M$2,Subsector,'Summarized Source Data'!M$3,TimeOfWeek,$E298)*INDEX(About!I$79:I$82,MATCH($B298,About!$A$79:$A$82,0),1)</f>
        <v>19460</v>
      </c>
      <c r="N298" s="27">
        <f>SUMIFS(INDEX(Load,,MATCH('Summarized Source Data'!$C298,Hour,0)),Month,'Summarized Source Data'!$A298,Sector,'Summarized Source Data'!N$2,Subsector,'Summarized Source Data'!N$3,TimeOfWeek,$E298)*INDEX(About!J$79:J$82,MATCH($B298,About!$A$79:$A$82,0),1)</f>
        <v>0</v>
      </c>
      <c r="O298" s="29">
        <f t="shared" si="22"/>
        <v>83580540</v>
      </c>
      <c r="P298" s="27">
        <f>(SUMIFS(INDEX(Load,,MATCH('Summarized Source Data'!$C298,Hour,0)),Month,'Summarized Source Data'!$A298,Sector,'Summarized Source Data'!P$2,Subsector,"Total",TimeOfWeek,$E298)-SUM(L298:N298)*INDEX(About!L$79:L$82,MATCH($B298,About!$A$79:$A$82,0),1))</f>
        <v>83580540</v>
      </c>
      <c r="Q298" s="29">
        <f t="shared" si="23"/>
        <v>83580540</v>
      </c>
      <c r="R298" s="33">
        <f>SUMIFS(INDEX(Load,,MATCH('Summarized Source Data'!$C298,Hour,0)),Month,'Summarized Source Data'!$A298,Sector,'Summarized Source Data'!R$2,TimeOfWeek,$E298)*INDEX(About!N$79:N$82,MATCH($B298,About!$A$79:$A$82,0),1)</f>
        <v>3244568</v>
      </c>
      <c r="S298" s="33">
        <f>SUMIFS(INDEX(Load,,MATCH('Summarized Source Data'!$C298,Hour,0)),Month,'Summarized Source Data'!$A298,Sector,'Summarized Source Data'!S$2,TimeOfWeek,$E298)*INDEX(About!O$79:O$82,MATCH($B298,About!$A$79:$A$82,0),1)</f>
        <v>3244568</v>
      </c>
      <c r="T298" s="33">
        <f>SUMIFS(INDEX(Load,,MATCH('Summarized Source Data'!$C298,Hour,0)),Month,'Summarized Source Data'!$A298,Sector,'Summarized Source Data'!T$2,TimeOfWeek,$E298)*INDEX(About!P$79:P$82,MATCH($B298,About!$A$79:$A$82,0),1)</f>
        <v>3244568</v>
      </c>
      <c r="U298" s="33">
        <f>SUMIFS(INDEX(Load,,MATCH('Summarized Source Data'!$C298,Hour,0)),Month,'Summarized Source Data'!$A298,Sector,'Summarized Source Data'!U$2,TimeOfWeek,$E298)*INDEX(About!Q$79:Q$82,MATCH($B298,About!$A$79:$A$82,0),1)</f>
        <v>3244568</v>
      </c>
      <c r="V298" s="33">
        <f>SUMIFS(INDEX(Load,,MATCH('Summarized Source Data'!$C298,Hour,0)),Month,'Summarized Source Data'!$A298,Sector,'Summarized Source Data'!V$2,TimeOfWeek,$E298)*INDEX(About!R$79:R$82,MATCH($B298,About!$A$79:$A$82,0),1)</f>
        <v>3244568</v>
      </c>
      <c r="W298" s="33">
        <f>SUMIFS(INDEX(Load,,MATCH('Summarized Source Data'!$C298,Hour,0)),Month,'Summarized Source Data'!$A298,Sector,'Summarized Source Data'!W$2,TimeOfWeek,$E298)*INDEX(About!S$79:S$82,MATCH($B298,About!$A$79:$A$82,0),1)</f>
        <v>3244568</v>
      </c>
      <c r="X298" s="27">
        <f>SUMIFS(INDEX(Load,,MATCH('Summarized Source Data'!$C298,Hour,0)),Month,'Summarized Source Data'!$A298,Sector,'Summarized Source Data'!X$2,Subsector,'Summarized Source Data'!X$3,TimeOfWeek,$E298)*INDEX(About!T$79:T$82,MATCH($B298,About!$A$79:$A$82,0),1)</f>
        <v>351000000</v>
      </c>
      <c r="Y298" s="29">
        <f t="shared" si="24"/>
        <v>351000000</v>
      </c>
      <c r="Z298" s="29">
        <f t="shared" si="24"/>
        <v>351000000</v>
      </c>
    </row>
    <row r="299" spans="1:26" x14ac:dyDescent="0.3">
      <c r="A299">
        <f t="shared" si="25"/>
        <v>1</v>
      </c>
      <c r="B299" t="str">
        <f>INDEX('Category Mapping'!$G$28:$G$39,MATCH(A299,'Category Mapping'!$A$28:$A$39,0),1)</f>
        <v>Winter</v>
      </c>
      <c r="C299" t="s">
        <v>70</v>
      </c>
      <c r="D299" s="6" t="s">
        <v>145</v>
      </c>
      <c r="E299" s="46" t="s">
        <v>48</v>
      </c>
      <c r="F299" s="27">
        <f>SUMIFS(INDEX(Load,,MATCH('Summarized Source Data'!$C299,Hour,0)),Month,'Summarized Source Data'!$A299,Sector,'Summarized Source Data'!F$2,Subsector,'Summarized Source Data'!F$3,TimeOfWeek,$E299)*INDEX(About!B$79:B$82,MATCH($B299,About!$A$79:$A$82,0),1)</f>
        <v>13300000</v>
      </c>
      <c r="G299" s="27">
        <f>SUMIFS(INDEX(Load,,MATCH('Summarized Source Data'!$C299,Hour,0)),Month,'Summarized Source Data'!$A299,Sector,'Summarized Source Data'!G$2,Subsector,'Summarized Source Data'!G$3,TimeOfWeek,$E299)*INDEX(About!C$79:C$82,MATCH($B299,About!$A$79:$A$82,0),1)</f>
        <v>5766</v>
      </c>
      <c r="H299" s="27">
        <f>SUMIFS(INDEX(Load,,MATCH('Summarized Source Data'!$C299,Hour,0)),Month,'Summarized Source Data'!$A299,Sector,'Summarized Source Data'!H$2,Subsector,'Summarized Source Data'!H$3,TimeOfWeek,$E299)*INDEX(About!D$79:D$82,MATCH($B299,About!$A$79:$A$82,0),1)</f>
        <v>0</v>
      </c>
      <c r="I299" s="27">
        <f>SUMIFS(INDEX(Load,,MATCH('Summarized Source Data'!$C299,Hour,0)),Month,'Summarized Source Data'!$A299,Sector,'Summarized Source Data'!I$2,Subsector,'Summarized Source Data'!I$3,TimeOfWeek,$E299)*INDEX(About!E$79:E$82,MATCH($B299,About!$A$79:$A$82,0),1)</f>
        <v>19200000</v>
      </c>
      <c r="J299" s="54">
        <f t="shared" si="21"/>
        <v>48194234</v>
      </c>
      <c r="K299" s="27">
        <f>(SUMIFS(INDEX(Load,,MATCH('Summarized Source Data'!$C299,Hour,0)),Month,'Summarized Source Data'!$A299,Sector,'Summarized Source Data'!K$2,Subsector,"Total",TimeOfWeek,$E299)-SUM(F299:I299))*INDEX(About!G$79:G$82,MATCH($B299,About!$A$79:$A$82,0),1)</f>
        <v>48194234</v>
      </c>
      <c r="L299" s="27">
        <f>SUMIFS(INDEX(Load,,MATCH('Summarized Source Data'!$C299,Hour,0)),Month,'Summarized Source Data'!$A299,Sector,'Summarized Source Data'!L$2,Subsector,'Summarized Source Data'!L$3,TimeOfWeek,$E299)*INDEX(About!H$79:H$82,MATCH($B299,About!$A$79:$A$82,0),1)</f>
        <v>29700000</v>
      </c>
      <c r="M299" s="27">
        <f>SUMIFS(INDEX(Load,,MATCH('Summarized Source Data'!$C299,Hour,0)),Month,'Summarized Source Data'!$A299,Sector,'Summarized Source Data'!M$2,Subsector,'Summarized Source Data'!M$3,TimeOfWeek,$E299)*INDEX(About!I$79:I$82,MATCH($B299,About!$A$79:$A$82,0),1)</f>
        <v>20888</v>
      </c>
      <c r="N299" s="27">
        <f>SUMIFS(INDEX(Load,,MATCH('Summarized Source Data'!$C299,Hour,0)),Month,'Summarized Source Data'!$A299,Sector,'Summarized Source Data'!N$2,Subsector,'Summarized Source Data'!N$3,TimeOfWeek,$E299)*INDEX(About!J$79:J$82,MATCH($B299,About!$A$79:$A$82,0),1)</f>
        <v>0</v>
      </c>
      <c r="O299" s="29">
        <f t="shared" si="22"/>
        <v>106279112</v>
      </c>
      <c r="P299" s="27">
        <f>(SUMIFS(INDEX(Load,,MATCH('Summarized Source Data'!$C299,Hour,0)),Month,'Summarized Source Data'!$A299,Sector,'Summarized Source Data'!P$2,Subsector,"Total",TimeOfWeek,$E299)-SUM(L299:N299)*INDEX(About!L$79:L$82,MATCH($B299,About!$A$79:$A$82,0),1))</f>
        <v>106279112</v>
      </c>
      <c r="Q299" s="29">
        <f t="shared" si="23"/>
        <v>106279112</v>
      </c>
      <c r="R299" s="33">
        <f>SUMIFS(INDEX(Load,,MATCH('Summarized Source Data'!$C299,Hour,0)),Month,'Summarized Source Data'!$A299,Sector,'Summarized Source Data'!R$2,TimeOfWeek,$E299)*INDEX(About!N$79:N$82,MATCH($B299,About!$A$79:$A$82,0),1)</f>
        <v>4220775</v>
      </c>
      <c r="S299" s="33">
        <f>SUMIFS(INDEX(Load,,MATCH('Summarized Source Data'!$C299,Hour,0)),Month,'Summarized Source Data'!$A299,Sector,'Summarized Source Data'!S$2,TimeOfWeek,$E299)*INDEX(About!O$79:O$82,MATCH($B299,About!$A$79:$A$82,0),1)</f>
        <v>4220775</v>
      </c>
      <c r="T299" s="33">
        <f>SUMIFS(INDEX(Load,,MATCH('Summarized Source Data'!$C299,Hour,0)),Month,'Summarized Source Data'!$A299,Sector,'Summarized Source Data'!T$2,TimeOfWeek,$E299)*INDEX(About!P$79:P$82,MATCH($B299,About!$A$79:$A$82,0),1)</f>
        <v>4220775</v>
      </c>
      <c r="U299" s="33">
        <f>SUMIFS(INDEX(Load,,MATCH('Summarized Source Data'!$C299,Hour,0)),Month,'Summarized Source Data'!$A299,Sector,'Summarized Source Data'!U$2,TimeOfWeek,$E299)*INDEX(About!Q$79:Q$82,MATCH($B299,About!$A$79:$A$82,0),1)</f>
        <v>4220775</v>
      </c>
      <c r="V299" s="33">
        <f>SUMIFS(INDEX(Load,,MATCH('Summarized Source Data'!$C299,Hour,0)),Month,'Summarized Source Data'!$A299,Sector,'Summarized Source Data'!V$2,TimeOfWeek,$E299)*INDEX(About!R$79:R$82,MATCH($B299,About!$A$79:$A$82,0),1)</f>
        <v>4220775</v>
      </c>
      <c r="W299" s="33">
        <f>SUMIFS(INDEX(Load,,MATCH('Summarized Source Data'!$C299,Hour,0)),Month,'Summarized Source Data'!$A299,Sector,'Summarized Source Data'!W$2,TimeOfWeek,$E299)*INDEX(About!S$79:S$82,MATCH($B299,About!$A$79:$A$82,0),1)</f>
        <v>4220775</v>
      </c>
      <c r="X299" s="27">
        <f>SUMIFS(INDEX(Load,,MATCH('Summarized Source Data'!$C299,Hour,0)),Month,'Summarized Source Data'!$A299,Sector,'Summarized Source Data'!X$2,Subsector,'Summarized Source Data'!X$3,TimeOfWeek,$E299)*INDEX(About!T$79:T$82,MATCH($B299,About!$A$79:$A$82,0),1)</f>
        <v>351000000</v>
      </c>
      <c r="Y299" s="29">
        <f t="shared" si="24"/>
        <v>351000000</v>
      </c>
      <c r="Z299" s="29">
        <f t="shared" si="24"/>
        <v>351000000</v>
      </c>
    </row>
    <row r="300" spans="1:26" x14ac:dyDescent="0.3">
      <c r="A300">
        <f t="shared" si="25"/>
        <v>1</v>
      </c>
      <c r="B300" t="str">
        <f>INDEX('Category Mapping'!$G$28:$G$39,MATCH(A300,'Category Mapping'!$A$28:$A$39,0),1)</f>
        <v>Winter</v>
      </c>
      <c r="C300" t="s">
        <v>71</v>
      </c>
      <c r="D300" s="6" t="s">
        <v>146</v>
      </c>
      <c r="E300" s="46" t="s">
        <v>48</v>
      </c>
      <c r="F300" s="27">
        <f>SUMIFS(INDEX(Load,,MATCH('Summarized Source Data'!$C300,Hour,0)),Month,'Summarized Source Data'!$A300,Sector,'Summarized Source Data'!F$2,Subsector,'Summarized Source Data'!F$3,TimeOfWeek,$E300)*INDEX(About!B$79:B$82,MATCH($B300,About!$A$79:$A$82,0),1)</f>
        <v>13600000</v>
      </c>
      <c r="G300" s="27">
        <f>SUMIFS(INDEX(Load,,MATCH('Summarized Source Data'!$C300,Hour,0)),Month,'Summarized Source Data'!$A300,Sector,'Summarized Source Data'!G$2,Subsector,'Summarized Source Data'!G$3,TimeOfWeek,$E300)*INDEX(About!C$79:C$82,MATCH($B300,About!$A$79:$A$82,0),1)</f>
        <v>5158</v>
      </c>
      <c r="H300" s="27">
        <f>SUMIFS(INDEX(Load,,MATCH('Summarized Source Data'!$C300,Hour,0)),Month,'Summarized Source Data'!$A300,Sector,'Summarized Source Data'!H$2,Subsector,'Summarized Source Data'!H$3,TimeOfWeek,$E300)*INDEX(About!D$79:D$82,MATCH($B300,About!$A$79:$A$82,0),1)</f>
        <v>0</v>
      </c>
      <c r="I300" s="27">
        <f>SUMIFS(INDEX(Load,,MATCH('Summarized Source Data'!$C300,Hour,0)),Month,'Summarized Source Data'!$A300,Sector,'Summarized Source Data'!I$2,Subsector,'Summarized Source Data'!I$3,TimeOfWeek,$E300)*INDEX(About!E$79:E$82,MATCH($B300,About!$A$79:$A$82,0),1)</f>
        <v>7701263</v>
      </c>
      <c r="J300" s="54">
        <f t="shared" si="21"/>
        <v>60593579</v>
      </c>
      <c r="K300" s="27">
        <f>(SUMIFS(INDEX(Load,,MATCH('Summarized Source Data'!$C300,Hour,0)),Month,'Summarized Source Data'!$A300,Sector,'Summarized Source Data'!K$2,Subsector,"Total",TimeOfWeek,$E300)-SUM(F300:I300))*INDEX(About!G$79:G$82,MATCH($B300,About!$A$79:$A$82,0),1)</f>
        <v>60593579</v>
      </c>
      <c r="L300" s="27">
        <f>SUMIFS(INDEX(Load,,MATCH('Summarized Source Data'!$C300,Hour,0)),Month,'Summarized Source Data'!$A300,Sector,'Summarized Source Data'!L$2,Subsector,'Summarized Source Data'!L$3,TimeOfWeek,$E300)*INDEX(About!H$79:H$82,MATCH($B300,About!$A$79:$A$82,0),1)</f>
        <v>37900000</v>
      </c>
      <c r="M300" s="27">
        <f>SUMIFS(INDEX(Load,,MATCH('Summarized Source Data'!$C300,Hour,0)),Month,'Summarized Source Data'!$A300,Sector,'Summarized Source Data'!M$2,Subsector,'Summarized Source Data'!M$3,TimeOfWeek,$E300)*INDEX(About!I$79:I$82,MATCH($B300,About!$A$79:$A$82,0),1)</f>
        <v>22986</v>
      </c>
      <c r="N300" s="27">
        <f>SUMIFS(INDEX(Load,,MATCH('Summarized Source Data'!$C300,Hour,0)),Month,'Summarized Source Data'!$A300,Sector,'Summarized Source Data'!N$2,Subsector,'Summarized Source Data'!N$3,TimeOfWeek,$E300)*INDEX(About!J$79:J$82,MATCH($B300,About!$A$79:$A$82,0),1)</f>
        <v>0</v>
      </c>
      <c r="O300" s="29">
        <f t="shared" si="22"/>
        <v>121077014</v>
      </c>
      <c r="P300" s="27">
        <f>(SUMIFS(INDEX(Load,,MATCH('Summarized Source Data'!$C300,Hour,0)),Month,'Summarized Source Data'!$A300,Sector,'Summarized Source Data'!P$2,Subsector,"Total",TimeOfWeek,$E300)-SUM(L300:N300)*INDEX(About!L$79:L$82,MATCH($B300,About!$A$79:$A$82,0),1))</f>
        <v>121077014</v>
      </c>
      <c r="Q300" s="29">
        <f t="shared" si="23"/>
        <v>121077014</v>
      </c>
      <c r="R300" s="33">
        <f>SUMIFS(INDEX(Load,,MATCH('Summarized Source Data'!$C300,Hour,0)),Month,'Summarized Source Data'!$A300,Sector,'Summarized Source Data'!R$2,TimeOfWeek,$E300)*INDEX(About!N$79:N$82,MATCH($B300,About!$A$79:$A$82,0),1)</f>
        <v>5032557</v>
      </c>
      <c r="S300" s="33">
        <f>SUMIFS(INDEX(Load,,MATCH('Summarized Source Data'!$C300,Hour,0)),Month,'Summarized Source Data'!$A300,Sector,'Summarized Source Data'!S$2,TimeOfWeek,$E300)*INDEX(About!O$79:O$82,MATCH($B300,About!$A$79:$A$82,0),1)</f>
        <v>5032557</v>
      </c>
      <c r="T300" s="33">
        <f>SUMIFS(INDEX(Load,,MATCH('Summarized Source Data'!$C300,Hour,0)),Month,'Summarized Source Data'!$A300,Sector,'Summarized Source Data'!T$2,TimeOfWeek,$E300)*INDEX(About!P$79:P$82,MATCH($B300,About!$A$79:$A$82,0),1)</f>
        <v>5032557</v>
      </c>
      <c r="U300" s="33">
        <f>SUMIFS(INDEX(Load,,MATCH('Summarized Source Data'!$C300,Hour,0)),Month,'Summarized Source Data'!$A300,Sector,'Summarized Source Data'!U$2,TimeOfWeek,$E300)*INDEX(About!Q$79:Q$82,MATCH($B300,About!$A$79:$A$82,0),1)</f>
        <v>5032557</v>
      </c>
      <c r="V300" s="33">
        <f>SUMIFS(INDEX(Load,,MATCH('Summarized Source Data'!$C300,Hour,0)),Month,'Summarized Source Data'!$A300,Sector,'Summarized Source Data'!V$2,TimeOfWeek,$E300)*INDEX(About!R$79:R$82,MATCH($B300,About!$A$79:$A$82,0),1)</f>
        <v>5032557</v>
      </c>
      <c r="W300" s="33">
        <f>SUMIFS(INDEX(Load,,MATCH('Summarized Source Data'!$C300,Hour,0)),Month,'Summarized Source Data'!$A300,Sector,'Summarized Source Data'!W$2,TimeOfWeek,$E300)*INDEX(About!S$79:S$82,MATCH($B300,About!$A$79:$A$82,0),1)</f>
        <v>5032557</v>
      </c>
      <c r="X300" s="27">
        <f>SUMIFS(INDEX(Load,,MATCH('Summarized Source Data'!$C300,Hour,0)),Month,'Summarized Source Data'!$A300,Sector,'Summarized Source Data'!X$2,Subsector,'Summarized Source Data'!X$3,TimeOfWeek,$E300)*INDEX(About!T$79:T$82,MATCH($B300,About!$A$79:$A$82,0),1)</f>
        <v>350000000</v>
      </c>
      <c r="Y300" s="29">
        <f t="shared" si="24"/>
        <v>350000000</v>
      </c>
      <c r="Z300" s="29">
        <f t="shared" si="24"/>
        <v>350000000</v>
      </c>
    </row>
    <row r="301" spans="1:26" x14ac:dyDescent="0.3">
      <c r="A301">
        <f t="shared" si="25"/>
        <v>1</v>
      </c>
      <c r="B301" t="str">
        <f>INDEX('Category Mapping'!$G$28:$G$39,MATCH(A301,'Category Mapping'!$A$28:$A$39,0),1)</f>
        <v>Winter</v>
      </c>
      <c r="C301" t="s">
        <v>72</v>
      </c>
      <c r="D301" s="6" t="s">
        <v>147</v>
      </c>
      <c r="E301" s="46" t="s">
        <v>48</v>
      </c>
      <c r="F301" s="27">
        <f>SUMIFS(INDEX(Load,,MATCH('Summarized Source Data'!$C301,Hour,0)),Month,'Summarized Source Data'!$A301,Sector,'Summarized Source Data'!F$2,Subsector,'Summarized Source Data'!F$3,TimeOfWeek,$E301)*INDEX(About!B$79:B$82,MATCH($B301,About!$A$79:$A$82,0),1)</f>
        <v>13300000</v>
      </c>
      <c r="G301" s="27">
        <f>SUMIFS(INDEX(Load,,MATCH('Summarized Source Data'!$C301,Hour,0)),Month,'Summarized Source Data'!$A301,Sector,'Summarized Source Data'!G$2,Subsector,'Summarized Source Data'!G$3,TimeOfWeek,$E301)*INDEX(About!C$79:C$82,MATCH($B301,About!$A$79:$A$82,0),1)</f>
        <v>4495</v>
      </c>
      <c r="H301" s="27">
        <f>SUMIFS(INDEX(Load,,MATCH('Summarized Source Data'!$C301,Hour,0)),Month,'Summarized Source Data'!$A301,Sector,'Summarized Source Data'!H$2,Subsector,'Summarized Source Data'!H$3,TimeOfWeek,$E301)*INDEX(About!D$79:D$82,MATCH($B301,About!$A$79:$A$82,0),1)</f>
        <v>0</v>
      </c>
      <c r="I301" s="27">
        <f>SUMIFS(INDEX(Load,,MATCH('Summarized Source Data'!$C301,Hour,0)),Month,'Summarized Source Data'!$A301,Sector,'Summarized Source Data'!I$2,Subsector,'Summarized Source Data'!I$3,TimeOfWeek,$E301)*INDEX(About!E$79:E$82,MATCH($B301,About!$A$79:$A$82,0),1)</f>
        <v>7979897</v>
      </c>
      <c r="J301" s="54">
        <f t="shared" si="21"/>
        <v>76715608</v>
      </c>
      <c r="K301" s="27">
        <f>(SUMIFS(INDEX(Load,,MATCH('Summarized Source Data'!$C301,Hour,0)),Month,'Summarized Source Data'!$A301,Sector,'Summarized Source Data'!K$2,Subsector,"Total",TimeOfWeek,$E301)-SUM(F301:I301))*INDEX(About!G$79:G$82,MATCH($B301,About!$A$79:$A$82,0),1)</f>
        <v>76715608</v>
      </c>
      <c r="L301" s="27">
        <f>SUMIFS(INDEX(Load,,MATCH('Summarized Source Data'!$C301,Hour,0)),Month,'Summarized Source Data'!$A301,Sector,'Summarized Source Data'!L$2,Subsector,'Summarized Source Data'!L$3,TimeOfWeek,$E301)*INDEX(About!H$79:H$82,MATCH($B301,About!$A$79:$A$82,0),1)</f>
        <v>31200000</v>
      </c>
      <c r="M301" s="27">
        <f>SUMIFS(INDEX(Load,,MATCH('Summarized Source Data'!$C301,Hour,0)),Month,'Summarized Source Data'!$A301,Sector,'Summarized Source Data'!M$2,Subsector,'Summarized Source Data'!M$3,TimeOfWeek,$E301)*INDEX(About!I$79:I$82,MATCH($B301,About!$A$79:$A$82,0),1)</f>
        <v>24327</v>
      </c>
      <c r="N301" s="27">
        <f>SUMIFS(INDEX(Load,,MATCH('Summarized Source Data'!$C301,Hour,0)),Month,'Summarized Source Data'!$A301,Sector,'Summarized Source Data'!N$2,Subsector,'Summarized Source Data'!N$3,TimeOfWeek,$E301)*INDEX(About!J$79:J$82,MATCH($B301,About!$A$79:$A$82,0),1)</f>
        <v>0</v>
      </c>
      <c r="O301" s="29">
        <f t="shared" si="22"/>
        <v>131775673</v>
      </c>
      <c r="P301" s="27">
        <f>(SUMIFS(INDEX(Load,,MATCH('Summarized Source Data'!$C301,Hour,0)),Month,'Summarized Source Data'!$A301,Sector,'Summarized Source Data'!P$2,Subsector,"Total",TimeOfWeek,$E301)-SUM(L301:N301)*INDEX(About!L$79:L$82,MATCH($B301,About!$A$79:$A$82,0),1))</f>
        <v>131775673</v>
      </c>
      <c r="Q301" s="29">
        <f t="shared" si="23"/>
        <v>131775673</v>
      </c>
      <c r="R301" s="33">
        <f>SUMIFS(INDEX(Load,,MATCH('Summarized Source Data'!$C301,Hour,0)),Month,'Summarized Source Data'!$A301,Sector,'Summarized Source Data'!R$2,TimeOfWeek,$E301)*INDEX(About!N$79:N$82,MATCH($B301,About!$A$79:$A$82,0),1)</f>
        <v>5697415</v>
      </c>
      <c r="S301" s="33">
        <f>SUMIFS(INDEX(Load,,MATCH('Summarized Source Data'!$C301,Hour,0)),Month,'Summarized Source Data'!$A301,Sector,'Summarized Source Data'!S$2,TimeOfWeek,$E301)*INDEX(About!O$79:O$82,MATCH($B301,About!$A$79:$A$82,0),1)</f>
        <v>5697415</v>
      </c>
      <c r="T301" s="33">
        <f>SUMIFS(INDEX(Load,,MATCH('Summarized Source Data'!$C301,Hour,0)),Month,'Summarized Source Data'!$A301,Sector,'Summarized Source Data'!T$2,TimeOfWeek,$E301)*INDEX(About!P$79:P$82,MATCH($B301,About!$A$79:$A$82,0),1)</f>
        <v>5697415</v>
      </c>
      <c r="U301" s="33">
        <f>SUMIFS(INDEX(Load,,MATCH('Summarized Source Data'!$C301,Hour,0)),Month,'Summarized Source Data'!$A301,Sector,'Summarized Source Data'!U$2,TimeOfWeek,$E301)*INDEX(About!Q$79:Q$82,MATCH($B301,About!$A$79:$A$82,0),1)</f>
        <v>5697415</v>
      </c>
      <c r="V301" s="33">
        <f>SUMIFS(INDEX(Load,,MATCH('Summarized Source Data'!$C301,Hour,0)),Month,'Summarized Source Data'!$A301,Sector,'Summarized Source Data'!V$2,TimeOfWeek,$E301)*INDEX(About!R$79:R$82,MATCH($B301,About!$A$79:$A$82,0),1)</f>
        <v>5697415</v>
      </c>
      <c r="W301" s="33">
        <f>SUMIFS(INDEX(Load,,MATCH('Summarized Source Data'!$C301,Hour,0)),Month,'Summarized Source Data'!$A301,Sector,'Summarized Source Data'!W$2,TimeOfWeek,$E301)*INDEX(About!S$79:S$82,MATCH($B301,About!$A$79:$A$82,0),1)</f>
        <v>5697415</v>
      </c>
      <c r="X301" s="27">
        <f>SUMIFS(INDEX(Load,,MATCH('Summarized Source Data'!$C301,Hour,0)),Month,'Summarized Source Data'!$A301,Sector,'Summarized Source Data'!X$2,Subsector,'Summarized Source Data'!X$3,TimeOfWeek,$E301)*INDEX(About!T$79:T$82,MATCH($B301,About!$A$79:$A$82,0),1)</f>
        <v>349000000</v>
      </c>
      <c r="Y301" s="29">
        <f t="shared" si="24"/>
        <v>349000000</v>
      </c>
      <c r="Z301" s="29">
        <f t="shared" si="24"/>
        <v>349000000</v>
      </c>
    </row>
    <row r="302" spans="1:26" x14ac:dyDescent="0.3">
      <c r="A302">
        <f t="shared" si="25"/>
        <v>1</v>
      </c>
      <c r="B302" t="str">
        <f>INDEX('Category Mapping'!$G$28:$G$39,MATCH(A302,'Category Mapping'!$A$28:$A$39,0),1)</f>
        <v>Winter</v>
      </c>
      <c r="C302" t="s">
        <v>73</v>
      </c>
      <c r="D302" s="6" t="s">
        <v>148</v>
      </c>
      <c r="E302" s="46" t="s">
        <v>48</v>
      </c>
      <c r="F302" s="27">
        <f>SUMIFS(INDEX(Load,,MATCH('Summarized Source Data'!$C302,Hour,0)),Month,'Summarized Source Data'!$A302,Sector,'Summarized Source Data'!F$2,Subsector,'Summarized Source Data'!F$3,TimeOfWeek,$E302)*INDEX(About!B$79:B$82,MATCH($B302,About!$A$79:$A$82,0),1)</f>
        <v>12800000</v>
      </c>
      <c r="G302" s="27">
        <f>SUMIFS(INDEX(Load,,MATCH('Summarized Source Data'!$C302,Hour,0)),Month,'Summarized Source Data'!$A302,Sector,'Summarized Source Data'!G$2,Subsector,'Summarized Source Data'!G$3,TimeOfWeek,$E302)*INDEX(About!C$79:C$82,MATCH($B302,About!$A$79:$A$82,0),1)</f>
        <v>4195</v>
      </c>
      <c r="H302" s="27">
        <f>SUMIFS(INDEX(Load,,MATCH('Summarized Source Data'!$C302,Hour,0)),Month,'Summarized Source Data'!$A302,Sector,'Summarized Source Data'!H$2,Subsector,'Summarized Source Data'!H$3,TimeOfWeek,$E302)*INDEX(About!D$79:D$82,MATCH($B302,About!$A$79:$A$82,0),1)</f>
        <v>0</v>
      </c>
      <c r="I302" s="27">
        <f>SUMIFS(INDEX(Load,,MATCH('Summarized Source Data'!$C302,Hour,0)),Month,'Summarized Source Data'!$A302,Sector,'Summarized Source Data'!I$2,Subsector,'Summarized Source Data'!I$3,TimeOfWeek,$E302)*INDEX(About!E$79:E$82,MATCH($B302,About!$A$79:$A$82,0),1)</f>
        <v>8027498</v>
      </c>
      <c r="J302" s="54">
        <f t="shared" si="21"/>
        <v>94168307</v>
      </c>
      <c r="K302" s="27">
        <f>(SUMIFS(INDEX(Load,,MATCH('Summarized Source Data'!$C302,Hour,0)),Month,'Summarized Source Data'!$A302,Sector,'Summarized Source Data'!K$2,Subsector,"Total",TimeOfWeek,$E302)-SUM(F302:I302))*INDEX(About!G$79:G$82,MATCH($B302,About!$A$79:$A$82,0),1)</f>
        <v>94168307</v>
      </c>
      <c r="L302" s="27">
        <f>SUMIFS(INDEX(Load,,MATCH('Summarized Source Data'!$C302,Hour,0)),Month,'Summarized Source Data'!$A302,Sector,'Summarized Source Data'!L$2,Subsector,'Summarized Source Data'!L$3,TimeOfWeek,$E302)*INDEX(About!H$79:H$82,MATCH($B302,About!$A$79:$A$82,0),1)</f>
        <v>26600000</v>
      </c>
      <c r="M302" s="27">
        <f>SUMIFS(INDEX(Load,,MATCH('Summarized Source Data'!$C302,Hour,0)),Month,'Summarized Source Data'!$A302,Sector,'Summarized Source Data'!M$2,Subsector,'Summarized Source Data'!M$3,TimeOfWeek,$E302)*INDEX(About!I$79:I$82,MATCH($B302,About!$A$79:$A$82,0),1)</f>
        <v>25023</v>
      </c>
      <c r="N302" s="27">
        <f>SUMIFS(INDEX(Load,,MATCH('Summarized Source Data'!$C302,Hour,0)),Month,'Summarized Source Data'!$A302,Sector,'Summarized Source Data'!N$2,Subsector,'Summarized Source Data'!N$3,TimeOfWeek,$E302)*INDEX(About!J$79:J$82,MATCH($B302,About!$A$79:$A$82,0),1)</f>
        <v>0</v>
      </c>
      <c r="O302" s="29">
        <f t="shared" si="22"/>
        <v>129374977</v>
      </c>
      <c r="P302" s="27">
        <f>(SUMIFS(INDEX(Load,,MATCH('Summarized Source Data'!$C302,Hour,0)),Month,'Summarized Source Data'!$A302,Sector,'Summarized Source Data'!P$2,Subsector,"Total",TimeOfWeek,$E302)-SUM(L302:N302)*INDEX(About!L$79:L$82,MATCH($B302,About!$A$79:$A$82,0),1))</f>
        <v>129374977</v>
      </c>
      <c r="Q302" s="29">
        <f t="shared" si="23"/>
        <v>129374977</v>
      </c>
      <c r="R302" s="33">
        <f>SUMIFS(INDEX(Load,,MATCH('Summarized Source Data'!$C302,Hour,0)),Month,'Summarized Source Data'!$A302,Sector,'Summarized Source Data'!R$2,TimeOfWeek,$E302)*INDEX(About!N$79:N$82,MATCH($B302,About!$A$79:$A$82,0),1)</f>
        <v>6029056</v>
      </c>
      <c r="S302" s="33">
        <f>SUMIFS(INDEX(Load,,MATCH('Summarized Source Data'!$C302,Hour,0)),Month,'Summarized Source Data'!$A302,Sector,'Summarized Source Data'!S$2,TimeOfWeek,$E302)*INDEX(About!O$79:O$82,MATCH($B302,About!$A$79:$A$82,0),1)</f>
        <v>6029056</v>
      </c>
      <c r="T302" s="33">
        <f>SUMIFS(INDEX(Load,,MATCH('Summarized Source Data'!$C302,Hour,0)),Month,'Summarized Source Data'!$A302,Sector,'Summarized Source Data'!T$2,TimeOfWeek,$E302)*INDEX(About!P$79:P$82,MATCH($B302,About!$A$79:$A$82,0),1)</f>
        <v>6029056</v>
      </c>
      <c r="U302" s="33">
        <f>SUMIFS(INDEX(Load,,MATCH('Summarized Source Data'!$C302,Hour,0)),Month,'Summarized Source Data'!$A302,Sector,'Summarized Source Data'!U$2,TimeOfWeek,$E302)*INDEX(About!Q$79:Q$82,MATCH($B302,About!$A$79:$A$82,0),1)</f>
        <v>6029056</v>
      </c>
      <c r="V302" s="33">
        <f>SUMIFS(INDEX(Load,,MATCH('Summarized Source Data'!$C302,Hour,0)),Month,'Summarized Source Data'!$A302,Sector,'Summarized Source Data'!V$2,TimeOfWeek,$E302)*INDEX(About!R$79:R$82,MATCH($B302,About!$A$79:$A$82,0),1)</f>
        <v>6029056</v>
      </c>
      <c r="W302" s="33">
        <f>SUMIFS(INDEX(Load,,MATCH('Summarized Source Data'!$C302,Hour,0)),Month,'Summarized Source Data'!$A302,Sector,'Summarized Source Data'!W$2,TimeOfWeek,$E302)*INDEX(About!S$79:S$82,MATCH($B302,About!$A$79:$A$82,0),1)</f>
        <v>6029056</v>
      </c>
      <c r="X302" s="27">
        <f>SUMIFS(INDEX(Load,,MATCH('Summarized Source Data'!$C302,Hour,0)),Month,'Summarized Source Data'!$A302,Sector,'Summarized Source Data'!X$2,Subsector,'Summarized Source Data'!X$3,TimeOfWeek,$E302)*INDEX(About!T$79:T$82,MATCH($B302,About!$A$79:$A$82,0),1)</f>
        <v>348000000</v>
      </c>
      <c r="Y302" s="29">
        <f t="shared" si="24"/>
        <v>348000000</v>
      </c>
      <c r="Z302" s="29">
        <f t="shared" si="24"/>
        <v>348000000</v>
      </c>
    </row>
    <row r="303" spans="1:26" x14ac:dyDescent="0.3">
      <c r="A303">
        <f t="shared" si="25"/>
        <v>1</v>
      </c>
      <c r="B303" t="str">
        <f>INDEX('Category Mapping'!$G$28:$G$39,MATCH(A303,'Category Mapping'!$A$28:$A$39,0),1)</f>
        <v>Winter</v>
      </c>
      <c r="C303" t="s">
        <v>74</v>
      </c>
      <c r="D303" s="6" t="s">
        <v>149</v>
      </c>
      <c r="E303" s="46" t="s">
        <v>48</v>
      </c>
      <c r="F303" s="27">
        <f>SUMIFS(INDEX(Load,,MATCH('Summarized Source Data'!$C303,Hour,0)),Month,'Summarized Source Data'!$A303,Sector,'Summarized Source Data'!F$2,Subsector,'Summarized Source Data'!F$3,TimeOfWeek,$E303)*INDEX(About!B$79:B$82,MATCH($B303,About!$A$79:$A$82,0),1)</f>
        <v>10900000</v>
      </c>
      <c r="G303" s="27">
        <f>SUMIFS(INDEX(Load,,MATCH('Summarized Source Data'!$C303,Hour,0)),Month,'Summarized Source Data'!$A303,Sector,'Summarized Source Data'!G$2,Subsector,'Summarized Source Data'!G$3,TimeOfWeek,$E303)*INDEX(About!C$79:C$82,MATCH($B303,About!$A$79:$A$82,0),1)</f>
        <v>4340</v>
      </c>
      <c r="H303" s="27">
        <f>SUMIFS(INDEX(Load,,MATCH('Summarized Source Data'!$C303,Hour,0)),Month,'Summarized Source Data'!$A303,Sector,'Summarized Source Data'!H$2,Subsector,'Summarized Source Data'!H$3,TimeOfWeek,$E303)*INDEX(About!D$79:D$82,MATCH($B303,About!$A$79:$A$82,0),1)</f>
        <v>0</v>
      </c>
      <c r="I303" s="27">
        <f>SUMIFS(INDEX(Load,,MATCH('Summarized Source Data'!$C303,Hour,0)),Month,'Summarized Source Data'!$A303,Sector,'Summarized Source Data'!I$2,Subsector,'Summarized Source Data'!I$3,TimeOfWeek,$E303)*INDEX(About!E$79:E$82,MATCH($B303,About!$A$79:$A$82,0),1)</f>
        <v>8517362</v>
      </c>
      <c r="J303" s="54">
        <f t="shared" si="21"/>
        <v>103578298</v>
      </c>
      <c r="K303" s="27">
        <f>(SUMIFS(INDEX(Load,,MATCH('Summarized Source Data'!$C303,Hour,0)),Month,'Summarized Source Data'!$A303,Sector,'Summarized Source Data'!K$2,Subsector,"Total",TimeOfWeek,$E303)-SUM(F303:I303))*INDEX(About!G$79:G$82,MATCH($B303,About!$A$79:$A$82,0),1)</f>
        <v>103578298</v>
      </c>
      <c r="L303" s="27">
        <f>SUMIFS(INDEX(Load,,MATCH('Summarized Source Data'!$C303,Hour,0)),Month,'Summarized Source Data'!$A303,Sector,'Summarized Source Data'!L$2,Subsector,'Summarized Source Data'!L$3,TimeOfWeek,$E303)*INDEX(About!H$79:H$82,MATCH($B303,About!$A$79:$A$82,0),1)</f>
        <v>23700000</v>
      </c>
      <c r="M303" s="27">
        <f>SUMIFS(INDEX(Load,,MATCH('Summarized Source Data'!$C303,Hour,0)),Month,'Summarized Source Data'!$A303,Sector,'Summarized Source Data'!M$2,Subsector,'Summarized Source Data'!M$3,TimeOfWeek,$E303)*INDEX(About!I$79:I$82,MATCH($B303,About!$A$79:$A$82,0),1)</f>
        <v>25186</v>
      </c>
      <c r="N303" s="27">
        <f>SUMIFS(INDEX(Load,,MATCH('Summarized Source Data'!$C303,Hour,0)),Month,'Summarized Source Data'!$A303,Sector,'Summarized Source Data'!N$2,Subsector,'Summarized Source Data'!N$3,TimeOfWeek,$E303)*INDEX(About!J$79:J$82,MATCH($B303,About!$A$79:$A$82,0),1)</f>
        <v>0</v>
      </c>
      <c r="O303" s="29">
        <f t="shared" si="22"/>
        <v>129274814</v>
      </c>
      <c r="P303" s="27">
        <f>(SUMIFS(INDEX(Load,,MATCH('Summarized Source Data'!$C303,Hour,0)),Month,'Summarized Source Data'!$A303,Sector,'Summarized Source Data'!P$2,Subsector,"Total",TimeOfWeek,$E303)-SUM(L303:N303)*INDEX(About!L$79:L$82,MATCH($B303,About!$A$79:$A$82,0),1))</f>
        <v>129274814</v>
      </c>
      <c r="Q303" s="29">
        <f t="shared" si="23"/>
        <v>129274814</v>
      </c>
      <c r="R303" s="33">
        <f>SUMIFS(INDEX(Load,,MATCH('Summarized Source Data'!$C303,Hour,0)),Month,'Summarized Source Data'!$A303,Sector,'Summarized Source Data'!R$2,TimeOfWeek,$E303)*INDEX(About!N$79:N$82,MATCH($B303,About!$A$79:$A$82,0),1)</f>
        <v>6210575</v>
      </c>
      <c r="S303" s="33">
        <f>SUMIFS(INDEX(Load,,MATCH('Summarized Source Data'!$C303,Hour,0)),Month,'Summarized Source Data'!$A303,Sector,'Summarized Source Data'!S$2,TimeOfWeek,$E303)*INDEX(About!O$79:O$82,MATCH($B303,About!$A$79:$A$82,0),1)</f>
        <v>6210575</v>
      </c>
      <c r="T303" s="33">
        <f>SUMIFS(INDEX(Load,,MATCH('Summarized Source Data'!$C303,Hour,0)),Month,'Summarized Source Data'!$A303,Sector,'Summarized Source Data'!T$2,TimeOfWeek,$E303)*INDEX(About!P$79:P$82,MATCH($B303,About!$A$79:$A$82,0),1)</f>
        <v>6210575</v>
      </c>
      <c r="U303" s="33">
        <f>SUMIFS(INDEX(Load,,MATCH('Summarized Source Data'!$C303,Hour,0)),Month,'Summarized Source Data'!$A303,Sector,'Summarized Source Data'!U$2,TimeOfWeek,$E303)*INDEX(About!Q$79:Q$82,MATCH($B303,About!$A$79:$A$82,0),1)</f>
        <v>6210575</v>
      </c>
      <c r="V303" s="33">
        <f>SUMIFS(INDEX(Load,,MATCH('Summarized Source Data'!$C303,Hour,0)),Month,'Summarized Source Data'!$A303,Sector,'Summarized Source Data'!V$2,TimeOfWeek,$E303)*INDEX(About!R$79:R$82,MATCH($B303,About!$A$79:$A$82,0),1)</f>
        <v>6210575</v>
      </c>
      <c r="W303" s="33">
        <f>SUMIFS(INDEX(Load,,MATCH('Summarized Source Data'!$C303,Hour,0)),Month,'Summarized Source Data'!$A303,Sector,'Summarized Source Data'!W$2,TimeOfWeek,$E303)*INDEX(About!S$79:S$82,MATCH($B303,About!$A$79:$A$82,0),1)</f>
        <v>6210575</v>
      </c>
      <c r="X303" s="27">
        <f>SUMIFS(INDEX(Load,,MATCH('Summarized Source Data'!$C303,Hour,0)),Month,'Summarized Source Data'!$A303,Sector,'Summarized Source Data'!X$2,Subsector,'Summarized Source Data'!X$3,TimeOfWeek,$E303)*INDEX(About!T$79:T$82,MATCH($B303,About!$A$79:$A$82,0),1)</f>
        <v>347000000</v>
      </c>
      <c r="Y303" s="29">
        <f t="shared" si="24"/>
        <v>347000000</v>
      </c>
      <c r="Z303" s="29">
        <f t="shared" si="24"/>
        <v>347000000</v>
      </c>
    </row>
    <row r="304" spans="1:26" x14ac:dyDescent="0.3">
      <c r="A304">
        <f t="shared" si="25"/>
        <v>1</v>
      </c>
      <c r="B304" t="str">
        <f>INDEX('Category Mapping'!$G$28:$G$39,MATCH(A304,'Category Mapping'!$A$28:$A$39,0),1)</f>
        <v>Winter</v>
      </c>
      <c r="C304" t="s">
        <v>75</v>
      </c>
      <c r="D304" s="6" t="s">
        <v>150</v>
      </c>
      <c r="E304" s="46" t="s">
        <v>48</v>
      </c>
      <c r="F304" s="27">
        <f>SUMIFS(INDEX(Load,,MATCH('Summarized Source Data'!$C304,Hour,0)),Month,'Summarized Source Data'!$A304,Sector,'Summarized Source Data'!F$2,Subsector,'Summarized Source Data'!F$3,TimeOfWeek,$E304)*INDEX(About!B$79:B$82,MATCH($B304,About!$A$79:$A$82,0),1)</f>
        <v>10700000</v>
      </c>
      <c r="G304" s="27">
        <f>SUMIFS(INDEX(Load,,MATCH('Summarized Source Data'!$C304,Hour,0)),Month,'Summarized Source Data'!$A304,Sector,'Summarized Source Data'!G$2,Subsector,'Summarized Source Data'!G$3,TimeOfWeek,$E304)*INDEX(About!C$79:C$82,MATCH($B304,About!$A$79:$A$82,0),1)</f>
        <v>4525</v>
      </c>
      <c r="H304" s="27">
        <f>SUMIFS(INDEX(Load,,MATCH('Summarized Source Data'!$C304,Hour,0)),Month,'Summarized Source Data'!$A304,Sector,'Summarized Source Data'!H$2,Subsector,'Summarized Source Data'!H$3,TimeOfWeek,$E304)*INDEX(About!D$79:D$82,MATCH($B304,About!$A$79:$A$82,0),1)</f>
        <v>0</v>
      </c>
      <c r="I304" s="27">
        <f>SUMIFS(INDEX(Load,,MATCH('Summarized Source Data'!$C304,Hour,0)),Month,'Summarized Source Data'!$A304,Sector,'Summarized Source Data'!I$2,Subsector,'Summarized Source Data'!I$3,TimeOfWeek,$E304)*INDEX(About!E$79:E$82,MATCH($B304,About!$A$79:$A$82,0),1)</f>
        <v>8813374</v>
      </c>
      <c r="J304" s="54">
        <f t="shared" si="21"/>
        <v>94482101</v>
      </c>
      <c r="K304" s="27">
        <f>(SUMIFS(INDEX(Load,,MATCH('Summarized Source Data'!$C304,Hour,0)),Month,'Summarized Source Data'!$A304,Sector,'Summarized Source Data'!K$2,Subsector,"Total",TimeOfWeek,$E304)-SUM(F304:I304))*INDEX(About!G$79:G$82,MATCH($B304,About!$A$79:$A$82,0),1)</f>
        <v>94482101</v>
      </c>
      <c r="L304" s="27">
        <f>SUMIFS(INDEX(Load,,MATCH('Summarized Source Data'!$C304,Hour,0)),Month,'Summarized Source Data'!$A304,Sector,'Summarized Source Data'!L$2,Subsector,'Summarized Source Data'!L$3,TimeOfWeek,$E304)*INDEX(About!H$79:H$82,MATCH($B304,About!$A$79:$A$82,0),1)</f>
        <v>21500000</v>
      </c>
      <c r="M304" s="27">
        <f>SUMIFS(INDEX(Load,,MATCH('Summarized Source Data'!$C304,Hour,0)),Month,'Summarized Source Data'!$A304,Sector,'Summarized Source Data'!M$2,Subsector,'Summarized Source Data'!M$3,TimeOfWeek,$E304)*INDEX(About!I$79:I$82,MATCH($B304,About!$A$79:$A$82,0),1)</f>
        <v>25324</v>
      </c>
      <c r="N304" s="27">
        <f>SUMIFS(INDEX(Load,,MATCH('Summarized Source Data'!$C304,Hour,0)),Month,'Summarized Source Data'!$A304,Sector,'Summarized Source Data'!N$2,Subsector,'Summarized Source Data'!N$3,TimeOfWeek,$E304)*INDEX(About!J$79:J$82,MATCH($B304,About!$A$79:$A$82,0),1)</f>
        <v>0</v>
      </c>
      <c r="O304" s="29">
        <f t="shared" si="22"/>
        <v>128474676</v>
      </c>
      <c r="P304" s="27">
        <f>(SUMIFS(INDEX(Load,,MATCH('Summarized Source Data'!$C304,Hour,0)),Month,'Summarized Source Data'!$A304,Sector,'Summarized Source Data'!P$2,Subsector,"Total",TimeOfWeek,$E304)-SUM(L304:N304)*INDEX(About!L$79:L$82,MATCH($B304,About!$A$79:$A$82,0),1))</f>
        <v>128474676</v>
      </c>
      <c r="Q304" s="29">
        <f t="shared" si="23"/>
        <v>128474676</v>
      </c>
      <c r="R304" s="33">
        <f>SUMIFS(INDEX(Load,,MATCH('Summarized Source Data'!$C304,Hour,0)),Month,'Summarized Source Data'!$A304,Sector,'Summarized Source Data'!R$2,TimeOfWeek,$E304)*INDEX(About!N$79:N$82,MATCH($B304,About!$A$79:$A$82,0),1)</f>
        <v>6072164</v>
      </c>
      <c r="S304" s="33">
        <f>SUMIFS(INDEX(Load,,MATCH('Summarized Source Data'!$C304,Hour,0)),Month,'Summarized Source Data'!$A304,Sector,'Summarized Source Data'!S$2,TimeOfWeek,$E304)*INDEX(About!O$79:O$82,MATCH($B304,About!$A$79:$A$82,0),1)</f>
        <v>6072164</v>
      </c>
      <c r="T304" s="33">
        <f>SUMIFS(INDEX(Load,,MATCH('Summarized Source Data'!$C304,Hour,0)),Month,'Summarized Source Data'!$A304,Sector,'Summarized Source Data'!T$2,TimeOfWeek,$E304)*INDEX(About!P$79:P$82,MATCH($B304,About!$A$79:$A$82,0),1)</f>
        <v>6072164</v>
      </c>
      <c r="U304" s="33">
        <f>SUMIFS(INDEX(Load,,MATCH('Summarized Source Data'!$C304,Hour,0)),Month,'Summarized Source Data'!$A304,Sector,'Summarized Source Data'!U$2,TimeOfWeek,$E304)*INDEX(About!Q$79:Q$82,MATCH($B304,About!$A$79:$A$82,0),1)</f>
        <v>6072164</v>
      </c>
      <c r="V304" s="33">
        <f>SUMIFS(INDEX(Load,,MATCH('Summarized Source Data'!$C304,Hour,0)),Month,'Summarized Source Data'!$A304,Sector,'Summarized Source Data'!V$2,TimeOfWeek,$E304)*INDEX(About!R$79:R$82,MATCH($B304,About!$A$79:$A$82,0),1)</f>
        <v>6072164</v>
      </c>
      <c r="W304" s="33">
        <f>SUMIFS(INDEX(Load,,MATCH('Summarized Source Data'!$C304,Hour,0)),Month,'Summarized Source Data'!$A304,Sector,'Summarized Source Data'!W$2,TimeOfWeek,$E304)*INDEX(About!S$79:S$82,MATCH($B304,About!$A$79:$A$82,0),1)</f>
        <v>6072164</v>
      </c>
      <c r="X304" s="27">
        <f>SUMIFS(INDEX(Load,,MATCH('Summarized Source Data'!$C304,Hour,0)),Month,'Summarized Source Data'!$A304,Sector,'Summarized Source Data'!X$2,Subsector,'Summarized Source Data'!X$3,TimeOfWeek,$E304)*INDEX(About!T$79:T$82,MATCH($B304,About!$A$79:$A$82,0),1)</f>
        <v>347000000</v>
      </c>
      <c r="Y304" s="29">
        <f t="shared" si="24"/>
        <v>347000000</v>
      </c>
      <c r="Z304" s="29">
        <f t="shared" si="24"/>
        <v>347000000</v>
      </c>
    </row>
    <row r="305" spans="1:26" x14ac:dyDescent="0.3">
      <c r="A305">
        <f t="shared" si="25"/>
        <v>1</v>
      </c>
      <c r="B305" t="str">
        <f>INDEX('Category Mapping'!$G$28:$G$39,MATCH(A305,'Category Mapping'!$A$28:$A$39,0),1)</f>
        <v>Winter</v>
      </c>
      <c r="C305" t="s">
        <v>76</v>
      </c>
      <c r="D305" s="6" t="s">
        <v>151</v>
      </c>
      <c r="E305" s="46" t="s">
        <v>48</v>
      </c>
      <c r="F305" s="27">
        <f>SUMIFS(INDEX(Load,,MATCH('Summarized Source Data'!$C305,Hour,0)),Month,'Summarized Source Data'!$A305,Sector,'Summarized Source Data'!F$2,Subsector,'Summarized Source Data'!F$3,TimeOfWeek,$E305)*INDEX(About!B$79:B$82,MATCH($B305,About!$A$79:$A$82,0),1)</f>
        <v>10500000</v>
      </c>
      <c r="G305" s="27">
        <f>SUMIFS(INDEX(Load,,MATCH('Summarized Source Data'!$C305,Hour,0)),Month,'Summarized Source Data'!$A305,Sector,'Summarized Source Data'!G$2,Subsector,'Summarized Source Data'!G$3,TimeOfWeek,$E305)*INDEX(About!C$79:C$82,MATCH($B305,About!$A$79:$A$82,0),1)</f>
        <v>4567</v>
      </c>
      <c r="H305" s="27">
        <f>SUMIFS(INDEX(Load,,MATCH('Summarized Source Data'!$C305,Hour,0)),Month,'Summarized Source Data'!$A305,Sector,'Summarized Source Data'!H$2,Subsector,'Summarized Source Data'!H$3,TimeOfWeek,$E305)*INDEX(About!D$79:D$82,MATCH($B305,About!$A$79:$A$82,0),1)</f>
        <v>0</v>
      </c>
      <c r="I305" s="27">
        <f>SUMIFS(INDEX(Load,,MATCH('Summarized Source Data'!$C305,Hour,0)),Month,'Summarized Source Data'!$A305,Sector,'Summarized Source Data'!I$2,Subsector,'Summarized Source Data'!I$3,TimeOfWeek,$E305)*INDEX(About!E$79:E$82,MATCH($B305,About!$A$79:$A$82,0),1)</f>
        <v>8802082</v>
      </c>
      <c r="J305" s="54">
        <f t="shared" si="21"/>
        <v>83693351</v>
      </c>
      <c r="K305" s="27">
        <f>(SUMIFS(INDEX(Load,,MATCH('Summarized Source Data'!$C305,Hour,0)),Month,'Summarized Source Data'!$A305,Sector,'Summarized Source Data'!K$2,Subsector,"Total",TimeOfWeek,$E305)-SUM(F305:I305))*INDEX(About!G$79:G$82,MATCH($B305,About!$A$79:$A$82,0),1)</f>
        <v>83693351</v>
      </c>
      <c r="L305" s="27">
        <f>SUMIFS(INDEX(Load,,MATCH('Summarized Source Data'!$C305,Hour,0)),Month,'Summarized Source Data'!$A305,Sector,'Summarized Source Data'!L$2,Subsector,'Summarized Source Data'!L$3,TimeOfWeek,$E305)*INDEX(About!H$79:H$82,MATCH($B305,About!$A$79:$A$82,0),1)</f>
        <v>19900000</v>
      </c>
      <c r="M305" s="27">
        <f>SUMIFS(INDEX(Load,,MATCH('Summarized Source Data'!$C305,Hour,0)),Month,'Summarized Source Data'!$A305,Sector,'Summarized Source Data'!M$2,Subsector,'Summarized Source Data'!M$3,TimeOfWeek,$E305)*INDEX(About!I$79:I$82,MATCH($B305,About!$A$79:$A$82,0),1)</f>
        <v>25324</v>
      </c>
      <c r="N305" s="27">
        <f>SUMIFS(INDEX(Load,,MATCH('Summarized Source Data'!$C305,Hour,0)),Month,'Summarized Source Data'!$A305,Sector,'Summarized Source Data'!N$2,Subsector,'Summarized Source Data'!N$3,TimeOfWeek,$E305)*INDEX(About!J$79:J$82,MATCH($B305,About!$A$79:$A$82,0),1)</f>
        <v>0</v>
      </c>
      <c r="O305" s="29">
        <f t="shared" si="22"/>
        <v>124074676</v>
      </c>
      <c r="P305" s="27">
        <f>(SUMIFS(INDEX(Load,,MATCH('Summarized Source Data'!$C305,Hour,0)),Month,'Summarized Source Data'!$A305,Sector,'Summarized Source Data'!P$2,Subsector,"Total",TimeOfWeek,$E305)-SUM(L305:N305)*INDEX(About!L$79:L$82,MATCH($B305,About!$A$79:$A$82,0),1))</f>
        <v>124074676</v>
      </c>
      <c r="Q305" s="29">
        <f t="shared" si="23"/>
        <v>124074676</v>
      </c>
      <c r="R305" s="33">
        <f>SUMIFS(INDEX(Load,,MATCH('Summarized Source Data'!$C305,Hour,0)),Month,'Summarized Source Data'!$A305,Sector,'Summarized Source Data'!R$2,TimeOfWeek,$E305)*INDEX(About!N$79:N$82,MATCH($B305,About!$A$79:$A$82,0),1)</f>
        <v>5776200</v>
      </c>
      <c r="S305" s="33">
        <f>SUMIFS(INDEX(Load,,MATCH('Summarized Source Data'!$C305,Hour,0)),Month,'Summarized Source Data'!$A305,Sector,'Summarized Source Data'!S$2,TimeOfWeek,$E305)*INDEX(About!O$79:O$82,MATCH($B305,About!$A$79:$A$82,0),1)</f>
        <v>5776200</v>
      </c>
      <c r="T305" s="33">
        <f>SUMIFS(INDEX(Load,,MATCH('Summarized Source Data'!$C305,Hour,0)),Month,'Summarized Source Data'!$A305,Sector,'Summarized Source Data'!T$2,TimeOfWeek,$E305)*INDEX(About!P$79:P$82,MATCH($B305,About!$A$79:$A$82,0),1)</f>
        <v>5776200</v>
      </c>
      <c r="U305" s="33">
        <f>SUMIFS(INDEX(Load,,MATCH('Summarized Source Data'!$C305,Hour,0)),Month,'Summarized Source Data'!$A305,Sector,'Summarized Source Data'!U$2,TimeOfWeek,$E305)*INDEX(About!Q$79:Q$82,MATCH($B305,About!$A$79:$A$82,0),1)</f>
        <v>5776200</v>
      </c>
      <c r="V305" s="33">
        <f>SUMIFS(INDEX(Load,,MATCH('Summarized Source Data'!$C305,Hour,0)),Month,'Summarized Source Data'!$A305,Sector,'Summarized Source Data'!V$2,TimeOfWeek,$E305)*INDEX(About!R$79:R$82,MATCH($B305,About!$A$79:$A$82,0),1)</f>
        <v>5776200</v>
      </c>
      <c r="W305" s="33">
        <f>SUMIFS(INDEX(Load,,MATCH('Summarized Source Data'!$C305,Hour,0)),Month,'Summarized Source Data'!$A305,Sector,'Summarized Source Data'!W$2,TimeOfWeek,$E305)*INDEX(About!S$79:S$82,MATCH($B305,About!$A$79:$A$82,0),1)</f>
        <v>5776200</v>
      </c>
      <c r="X305" s="27">
        <f>SUMIFS(INDEX(Load,,MATCH('Summarized Source Data'!$C305,Hour,0)),Month,'Summarized Source Data'!$A305,Sector,'Summarized Source Data'!X$2,Subsector,'Summarized Source Data'!X$3,TimeOfWeek,$E305)*INDEX(About!T$79:T$82,MATCH($B305,About!$A$79:$A$82,0),1)</f>
        <v>347000000</v>
      </c>
      <c r="Y305" s="29">
        <f t="shared" si="24"/>
        <v>347000000</v>
      </c>
      <c r="Z305" s="29">
        <f t="shared" si="24"/>
        <v>347000000</v>
      </c>
    </row>
    <row r="306" spans="1:26" x14ac:dyDescent="0.3">
      <c r="A306">
        <f t="shared" si="25"/>
        <v>1</v>
      </c>
      <c r="B306" t="str">
        <f>INDEX('Category Mapping'!$G$28:$G$39,MATCH(A306,'Category Mapping'!$A$28:$A$39,0),1)</f>
        <v>Winter</v>
      </c>
      <c r="C306" t="s">
        <v>77</v>
      </c>
      <c r="D306" s="6" t="s">
        <v>152</v>
      </c>
      <c r="E306" s="46" t="s">
        <v>48</v>
      </c>
      <c r="F306" s="27">
        <f>SUMIFS(INDEX(Load,,MATCH('Summarized Source Data'!$C306,Hour,0)),Month,'Summarized Source Data'!$A306,Sector,'Summarized Source Data'!F$2,Subsector,'Summarized Source Data'!F$3,TimeOfWeek,$E306)*INDEX(About!B$79:B$82,MATCH($B306,About!$A$79:$A$82,0),1)</f>
        <v>10400000</v>
      </c>
      <c r="G306" s="27">
        <f>SUMIFS(INDEX(Load,,MATCH('Summarized Source Data'!$C306,Hour,0)),Month,'Summarized Source Data'!$A306,Sector,'Summarized Source Data'!G$2,Subsector,'Summarized Source Data'!G$3,TimeOfWeek,$E306)*INDEX(About!C$79:C$82,MATCH($B306,About!$A$79:$A$82,0),1)</f>
        <v>4558</v>
      </c>
      <c r="H306" s="27">
        <f>SUMIFS(INDEX(Load,,MATCH('Summarized Source Data'!$C306,Hour,0)),Month,'Summarized Source Data'!$A306,Sector,'Summarized Source Data'!H$2,Subsector,'Summarized Source Data'!H$3,TimeOfWeek,$E306)*INDEX(About!D$79:D$82,MATCH($B306,About!$A$79:$A$82,0),1)</f>
        <v>0</v>
      </c>
      <c r="I306" s="27">
        <f>SUMIFS(INDEX(Load,,MATCH('Summarized Source Data'!$C306,Hour,0)),Month,'Summarized Source Data'!$A306,Sector,'Summarized Source Data'!I$2,Subsector,'Summarized Source Data'!I$3,TimeOfWeek,$E306)*INDEX(About!E$79:E$82,MATCH($B306,About!$A$79:$A$82,0),1)</f>
        <v>8709466</v>
      </c>
      <c r="J306" s="54">
        <f t="shared" si="21"/>
        <v>86885976</v>
      </c>
      <c r="K306" s="27">
        <f>(SUMIFS(INDEX(Load,,MATCH('Summarized Source Data'!$C306,Hour,0)),Month,'Summarized Source Data'!$A306,Sector,'Summarized Source Data'!K$2,Subsector,"Total",TimeOfWeek,$E306)-SUM(F306:I306))*INDEX(About!G$79:G$82,MATCH($B306,About!$A$79:$A$82,0),1)</f>
        <v>86885976</v>
      </c>
      <c r="L306" s="27">
        <f>SUMIFS(INDEX(Load,,MATCH('Summarized Source Data'!$C306,Hour,0)),Month,'Summarized Source Data'!$A306,Sector,'Summarized Source Data'!L$2,Subsector,'Summarized Source Data'!L$3,TimeOfWeek,$E306)*INDEX(About!H$79:H$82,MATCH($B306,About!$A$79:$A$82,0),1)</f>
        <v>18800000</v>
      </c>
      <c r="M306" s="27">
        <f>SUMIFS(INDEX(Load,,MATCH('Summarized Source Data'!$C306,Hour,0)),Month,'Summarized Source Data'!$A306,Sector,'Summarized Source Data'!M$2,Subsector,'Summarized Source Data'!M$3,TimeOfWeek,$E306)*INDEX(About!I$79:I$82,MATCH($B306,About!$A$79:$A$82,0),1)</f>
        <v>25324</v>
      </c>
      <c r="N306" s="27">
        <f>SUMIFS(INDEX(Load,,MATCH('Summarized Source Data'!$C306,Hour,0)),Month,'Summarized Source Data'!$A306,Sector,'Summarized Source Data'!N$2,Subsector,'Summarized Source Data'!N$3,TimeOfWeek,$E306)*INDEX(About!J$79:J$82,MATCH($B306,About!$A$79:$A$82,0),1)</f>
        <v>0</v>
      </c>
      <c r="O306" s="29">
        <f t="shared" si="22"/>
        <v>118174676</v>
      </c>
      <c r="P306" s="27">
        <f>(SUMIFS(INDEX(Load,,MATCH('Summarized Source Data'!$C306,Hour,0)),Month,'Summarized Source Data'!$A306,Sector,'Summarized Source Data'!P$2,Subsector,"Total",TimeOfWeek,$E306)-SUM(L306:N306)*INDEX(About!L$79:L$82,MATCH($B306,About!$A$79:$A$82,0),1))</f>
        <v>118174676</v>
      </c>
      <c r="Q306" s="29">
        <f t="shared" si="23"/>
        <v>118174676</v>
      </c>
      <c r="R306" s="33">
        <f>SUMIFS(INDEX(Load,,MATCH('Summarized Source Data'!$C306,Hour,0)),Month,'Summarized Source Data'!$A306,Sector,'Summarized Source Data'!R$2,TimeOfWeek,$E306)*INDEX(About!N$79:N$82,MATCH($B306,About!$A$79:$A$82,0),1)</f>
        <v>5705935</v>
      </c>
      <c r="S306" s="33">
        <f>SUMIFS(INDEX(Load,,MATCH('Summarized Source Data'!$C306,Hour,0)),Month,'Summarized Source Data'!$A306,Sector,'Summarized Source Data'!S$2,TimeOfWeek,$E306)*INDEX(About!O$79:O$82,MATCH($B306,About!$A$79:$A$82,0),1)</f>
        <v>5705935</v>
      </c>
      <c r="T306" s="33">
        <f>SUMIFS(INDEX(Load,,MATCH('Summarized Source Data'!$C306,Hour,0)),Month,'Summarized Source Data'!$A306,Sector,'Summarized Source Data'!T$2,TimeOfWeek,$E306)*INDEX(About!P$79:P$82,MATCH($B306,About!$A$79:$A$82,0),1)</f>
        <v>5705935</v>
      </c>
      <c r="U306" s="33">
        <f>SUMIFS(INDEX(Load,,MATCH('Summarized Source Data'!$C306,Hour,0)),Month,'Summarized Source Data'!$A306,Sector,'Summarized Source Data'!U$2,TimeOfWeek,$E306)*INDEX(About!Q$79:Q$82,MATCH($B306,About!$A$79:$A$82,0),1)</f>
        <v>5705935</v>
      </c>
      <c r="V306" s="33">
        <f>SUMIFS(INDEX(Load,,MATCH('Summarized Source Data'!$C306,Hour,0)),Month,'Summarized Source Data'!$A306,Sector,'Summarized Source Data'!V$2,TimeOfWeek,$E306)*INDEX(About!R$79:R$82,MATCH($B306,About!$A$79:$A$82,0),1)</f>
        <v>5705935</v>
      </c>
      <c r="W306" s="33">
        <f>SUMIFS(INDEX(Load,,MATCH('Summarized Source Data'!$C306,Hour,0)),Month,'Summarized Source Data'!$A306,Sector,'Summarized Source Data'!W$2,TimeOfWeek,$E306)*INDEX(About!S$79:S$82,MATCH($B306,About!$A$79:$A$82,0),1)</f>
        <v>5705935</v>
      </c>
      <c r="X306" s="27">
        <f>SUMIFS(INDEX(Load,,MATCH('Summarized Source Data'!$C306,Hour,0)),Month,'Summarized Source Data'!$A306,Sector,'Summarized Source Data'!X$2,Subsector,'Summarized Source Data'!X$3,TimeOfWeek,$E306)*INDEX(About!T$79:T$82,MATCH($B306,About!$A$79:$A$82,0),1)</f>
        <v>349000000</v>
      </c>
      <c r="Y306" s="29">
        <f t="shared" si="24"/>
        <v>349000000</v>
      </c>
      <c r="Z306" s="29">
        <f t="shared" si="24"/>
        <v>349000000</v>
      </c>
    </row>
    <row r="307" spans="1:26" x14ac:dyDescent="0.3">
      <c r="A307">
        <f t="shared" si="25"/>
        <v>1</v>
      </c>
      <c r="B307" t="str">
        <f>INDEX('Category Mapping'!$G$28:$G$39,MATCH(A307,'Category Mapping'!$A$28:$A$39,0),1)</f>
        <v>Winter</v>
      </c>
      <c r="C307" t="s">
        <v>78</v>
      </c>
      <c r="D307" s="6" t="s">
        <v>153</v>
      </c>
      <c r="E307" s="46" t="s">
        <v>48</v>
      </c>
      <c r="F307" s="27">
        <f>SUMIFS(INDEX(Load,,MATCH('Summarized Source Data'!$C307,Hour,0)),Month,'Summarized Source Data'!$A307,Sector,'Summarized Source Data'!F$2,Subsector,'Summarized Source Data'!F$3,TimeOfWeek,$E307)*INDEX(About!B$79:B$82,MATCH($B307,About!$A$79:$A$82,0),1)</f>
        <v>10500000</v>
      </c>
      <c r="G307" s="27">
        <f>SUMIFS(INDEX(Load,,MATCH('Summarized Source Data'!$C307,Hour,0)),Month,'Summarized Source Data'!$A307,Sector,'Summarized Source Data'!G$2,Subsector,'Summarized Source Data'!G$3,TimeOfWeek,$E307)*INDEX(About!C$79:C$82,MATCH($B307,About!$A$79:$A$82,0),1)</f>
        <v>4543</v>
      </c>
      <c r="H307" s="27">
        <f>SUMIFS(INDEX(Load,,MATCH('Summarized Source Data'!$C307,Hour,0)),Month,'Summarized Source Data'!$A307,Sector,'Summarized Source Data'!H$2,Subsector,'Summarized Source Data'!H$3,TimeOfWeek,$E307)*INDEX(About!D$79:D$82,MATCH($B307,About!$A$79:$A$82,0),1)</f>
        <v>0</v>
      </c>
      <c r="I307" s="27">
        <f>SUMIFS(INDEX(Load,,MATCH('Summarized Source Data'!$C307,Hour,0)),Month,'Summarized Source Data'!$A307,Sector,'Summarized Source Data'!I$2,Subsector,'Summarized Source Data'!I$3,TimeOfWeek,$E307)*INDEX(About!E$79:E$82,MATCH($B307,About!$A$79:$A$82,0),1)</f>
        <v>8731323</v>
      </c>
      <c r="J307" s="54">
        <f t="shared" si="21"/>
        <v>89764134</v>
      </c>
      <c r="K307" s="27">
        <f>(SUMIFS(INDEX(Load,,MATCH('Summarized Source Data'!$C307,Hour,0)),Month,'Summarized Source Data'!$A307,Sector,'Summarized Source Data'!K$2,Subsector,"Total",TimeOfWeek,$E307)-SUM(F307:I307))*INDEX(About!G$79:G$82,MATCH($B307,About!$A$79:$A$82,0),1)</f>
        <v>89764134</v>
      </c>
      <c r="L307" s="27">
        <f>SUMIFS(INDEX(Load,,MATCH('Summarized Source Data'!$C307,Hour,0)),Month,'Summarized Source Data'!$A307,Sector,'Summarized Source Data'!L$2,Subsector,'Summarized Source Data'!L$3,TimeOfWeek,$E307)*INDEX(About!H$79:H$82,MATCH($B307,About!$A$79:$A$82,0),1)</f>
        <v>19400000</v>
      </c>
      <c r="M307" s="27">
        <f>SUMIFS(INDEX(Load,,MATCH('Summarized Source Data'!$C307,Hour,0)),Month,'Summarized Source Data'!$A307,Sector,'Summarized Source Data'!M$2,Subsector,'Summarized Source Data'!M$3,TimeOfWeek,$E307)*INDEX(About!I$79:I$82,MATCH($B307,About!$A$79:$A$82,0),1)</f>
        <v>25330</v>
      </c>
      <c r="N307" s="27">
        <f>SUMIFS(INDEX(Load,,MATCH('Summarized Source Data'!$C307,Hour,0)),Month,'Summarized Source Data'!$A307,Sector,'Summarized Source Data'!N$2,Subsector,'Summarized Source Data'!N$3,TimeOfWeek,$E307)*INDEX(About!J$79:J$82,MATCH($B307,About!$A$79:$A$82,0),1)</f>
        <v>0</v>
      </c>
      <c r="O307" s="29">
        <f t="shared" si="22"/>
        <v>109574670</v>
      </c>
      <c r="P307" s="27">
        <f>(SUMIFS(INDEX(Load,,MATCH('Summarized Source Data'!$C307,Hour,0)),Month,'Summarized Source Data'!$A307,Sector,'Summarized Source Data'!P$2,Subsector,"Total",TimeOfWeek,$E307)-SUM(L307:N307)*INDEX(About!L$79:L$82,MATCH($B307,About!$A$79:$A$82,0),1))</f>
        <v>109574670</v>
      </c>
      <c r="Q307" s="29">
        <f t="shared" si="23"/>
        <v>109574670</v>
      </c>
      <c r="R307" s="33">
        <f>SUMIFS(INDEX(Load,,MATCH('Summarized Source Data'!$C307,Hour,0)),Month,'Summarized Source Data'!$A307,Sector,'Summarized Source Data'!R$2,TimeOfWeek,$E307)*INDEX(About!N$79:N$82,MATCH($B307,About!$A$79:$A$82,0),1)</f>
        <v>5600536</v>
      </c>
      <c r="S307" s="33">
        <f>SUMIFS(INDEX(Load,,MATCH('Summarized Source Data'!$C307,Hour,0)),Month,'Summarized Source Data'!$A307,Sector,'Summarized Source Data'!S$2,TimeOfWeek,$E307)*INDEX(About!O$79:O$82,MATCH($B307,About!$A$79:$A$82,0),1)</f>
        <v>5600536</v>
      </c>
      <c r="T307" s="33">
        <f>SUMIFS(INDEX(Load,,MATCH('Summarized Source Data'!$C307,Hour,0)),Month,'Summarized Source Data'!$A307,Sector,'Summarized Source Data'!T$2,TimeOfWeek,$E307)*INDEX(About!P$79:P$82,MATCH($B307,About!$A$79:$A$82,0),1)</f>
        <v>5600536</v>
      </c>
      <c r="U307" s="33">
        <f>SUMIFS(INDEX(Load,,MATCH('Summarized Source Data'!$C307,Hour,0)),Month,'Summarized Source Data'!$A307,Sector,'Summarized Source Data'!U$2,TimeOfWeek,$E307)*INDEX(About!Q$79:Q$82,MATCH($B307,About!$A$79:$A$82,0),1)</f>
        <v>5600536</v>
      </c>
      <c r="V307" s="33">
        <f>SUMIFS(INDEX(Load,,MATCH('Summarized Source Data'!$C307,Hour,0)),Month,'Summarized Source Data'!$A307,Sector,'Summarized Source Data'!V$2,TimeOfWeek,$E307)*INDEX(About!R$79:R$82,MATCH($B307,About!$A$79:$A$82,0),1)</f>
        <v>5600536</v>
      </c>
      <c r="W307" s="33">
        <f>SUMIFS(INDEX(Load,,MATCH('Summarized Source Data'!$C307,Hour,0)),Month,'Summarized Source Data'!$A307,Sector,'Summarized Source Data'!W$2,TimeOfWeek,$E307)*INDEX(About!S$79:S$82,MATCH($B307,About!$A$79:$A$82,0),1)</f>
        <v>5600536</v>
      </c>
      <c r="X307" s="27">
        <f>SUMIFS(INDEX(Load,,MATCH('Summarized Source Data'!$C307,Hour,0)),Month,'Summarized Source Data'!$A307,Sector,'Summarized Source Data'!X$2,Subsector,'Summarized Source Data'!X$3,TimeOfWeek,$E307)*INDEX(About!T$79:T$82,MATCH($B307,About!$A$79:$A$82,0),1)</f>
        <v>352000000</v>
      </c>
      <c r="Y307" s="29">
        <f t="shared" si="24"/>
        <v>352000000</v>
      </c>
      <c r="Z307" s="29">
        <f t="shared" si="24"/>
        <v>352000000</v>
      </c>
    </row>
    <row r="308" spans="1:26" x14ac:dyDescent="0.3">
      <c r="A308">
        <f t="shared" si="25"/>
        <v>1</v>
      </c>
      <c r="B308" t="str">
        <f>INDEX('Category Mapping'!$G$28:$G$39,MATCH(A308,'Category Mapping'!$A$28:$A$39,0),1)</f>
        <v>Winter</v>
      </c>
      <c r="C308" t="s">
        <v>79</v>
      </c>
      <c r="D308" s="6" t="s">
        <v>154</v>
      </c>
      <c r="E308" s="46" t="s">
        <v>48</v>
      </c>
      <c r="F308" s="27">
        <f>SUMIFS(INDEX(Load,,MATCH('Summarized Source Data'!$C308,Hour,0)),Month,'Summarized Source Data'!$A308,Sector,'Summarized Source Data'!F$2,Subsector,'Summarized Source Data'!F$3,TimeOfWeek,$E308)*INDEX(About!B$79:B$82,MATCH($B308,About!$A$79:$A$82,0),1)</f>
        <v>10800000</v>
      </c>
      <c r="G308" s="27">
        <f>SUMIFS(INDEX(Load,,MATCH('Summarized Source Data'!$C308,Hour,0)),Month,'Summarized Source Data'!$A308,Sector,'Summarized Source Data'!G$2,Subsector,'Summarized Source Data'!G$3,TimeOfWeek,$E308)*INDEX(About!C$79:C$82,MATCH($B308,About!$A$79:$A$82,0),1)</f>
        <v>4579</v>
      </c>
      <c r="H308" s="27">
        <f>SUMIFS(INDEX(Load,,MATCH('Summarized Source Data'!$C308,Hour,0)),Month,'Summarized Source Data'!$A308,Sector,'Summarized Source Data'!H$2,Subsector,'Summarized Source Data'!H$3,TimeOfWeek,$E308)*INDEX(About!D$79:D$82,MATCH($B308,About!$A$79:$A$82,0),1)</f>
        <v>0</v>
      </c>
      <c r="I308" s="27">
        <f>SUMIFS(INDEX(Load,,MATCH('Summarized Source Data'!$C308,Hour,0)),Month,'Summarized Source Data'!$A308,Sector,'Summarized Source Data'!I$2,Subsector,'Summarized Source Data'!I$3,TimeOfWeek,$E308)*INDEX(About!E$79:E$82,MATCH($B308,About!$A$79:$A$82,0),1)</f>
        <v>27200000</v>
      </c>
      <c r="J308" s="54">
        <f t="shared" si="21"/>
        <v>95995421</v>
      </c>
      <c r="K308" s="27">
        <f>(SUMIFS(INDEX(Load,,MATCH('Summarized Source Data'!$C308,Hour,0)),Month,'Summarized Source Data'!$A308,Sector,'Summarized Source Data'!K$2,Subsector,"Total",TimeOfWeek,$E308)-SUM(F308:I308))*INDEX(About!G$79:G$82,MATCH($B308,About!$A$79:$A$82,0),1)</f>
        <v>95995421</v>
      </c>
      <c r="L308" s="27">
        <f>SUMIFS(INDEX(Load,,MATCH('Summarized Source Data'!$C308,Hour,0)),Month,'Summarized Source Data'!$A308,Sector,'Summarized Source Data'!L$2,Subsector,'Summarized Source Data'!L$3,TimeOfWeek,$E308)*INDEX(About!H$79:H$82,MATCH($B308,About!$A$79:$A$82,0),1)</f>
        <v>19200000</v>
      </c>
      <c r="M308" s="27">
        <f>SUMIFS(INDEX(Load,,MATCH('Summarized Source Data'!$C308,Hour,0)),Month,'Summarized Source Data'!$A308,Sector,'Summarized Source Data'!M$2,Subsector,'Summarized Source Data'!M$3,TimeOfWeek,$E308)*INDEX(About!I$79:I$82,MATCH($B308,About!$A$79:$A$82,0),1)</f>
        <v>25058</v>
      </c>
      <c r="N308" s="27">
        <f>SUMIFS(INDEX(Load,,MATCH('Summarized Source Data'!$C308,Hour,0)),Month,'Summarized Source Data'!$A308,Sector,'Summarized Source Data'!N$2,Subsector,'Summarized Source Data'!N$3,TimeOfWeek,$E308)*INDEX(About!J$79:J$82,MATCH($B308,About!$A$79:$A$82,0),1)</f>
        <v>0</v>
      </c>
      <c r="O308" s="29">
        <f t="shared" si="22"/>
        <v>104774942</v>
      </c>
      <c r="P308" s="27">
        <f>(SUMIFS(INDEX(Load,,MATCH('Summarized Source Data'!$C308,Hour,0)),Month,'Summarized Source Data'!$A308,Sector,'Summarized Source Data'!P$2,Subsector,"Total",TimeOfWeek,$E308)-SUM(L308:N308)*INDEX(About!L$79:L$82,MATCH($B308,About!$A$79:$A$82,0),1))</f>
        <v>104774942</v>
      </c>
      <c r="Q308" s="29">
        <f t="shared" si="23"/>
        <v>104774942</v>
      </c>
      <c r="R308" s="33">
        <f>SUMIFS(INDEX(Load,,MATCH('Summarized Source Data'!$C308,Hour,0)),Month,'Summarized Source Data'!$A308,Sector,'Summarized Source Data'!R$2,TimeOfWeek,$E308)*INDEX(About!N$79:N$82,MATCH($B308,About!$A$79:$A$82,0),1)</f>
        <v>6427805</v>
      </c>
      <c r="S308" s="33">
        <f>SUMIFS(INDEX(Load,,MATCH('Summarized Source Data'!$C308,Hour,0)),Month,'Summarized Source Data'!$A308,Sector,'Summarized Source Data'!S$2,TimeOfWeek,$E308)*INDEX(About!O$79:O$82,MATCH($B308,About!$A$79:$A$82,0),1)</f>
        <v>6427805</v>
      </c>
      <c r="T308" s="33">
        <f>SUMIFS(INDEX(Load,,MATCH('Summarized Source Data'!$C308,Hour,0)),Month,'Summarized Source Data'!$A308,Sector,'Summarized Source Data'!T$2,TimeOfWeek,$E308)*INDEX(About!P$79:P$82,MATCH($B308,About!$A$79:$A$82,0),1)</f>
        <v>6427805</v>
      </c>
      <c r="U308" s="33">
        <f>SUMIFS(INDEX(Load,,MATCH('Summarized Source Data'!$C308,Hour,0)),Month,'Summarized Source Data'!$A308,Sector,'Summarized Source Data'!U$2,TimeOfWeek,$E308)*INDEX(About!Q$79:Q$82,MATCH($B308,About!$A$79:$A$82,0),1)</f>
        <v>6427805</v>
      </c>
      <c r="V308" s="33">
        <f>SUMIFS(INDEX(Load,,MATCH('Summarized Source Data'!$C308,Hour,0)),Month,'Summarized Source Data'!$A308,Sector,'Summarized Source Data'!V$2,TimeOfWeek,$E308)*INDEX(About!R$79:R$82,MATCH($B308,About!$A$79:$A$82,0),1)</f>
        <v>6427805</v>
      </c>
      <c r="W308" s="33">
        <f>SUMIFS(INDEX(Load,,MATCH('Summarized Source Data'!$C308,Hour,0)),Month,'Summarized Source Data'!$A308,Sector,'Summarized Source Data'!W$2,TimeOfWeek,$E308)*INDEX(About!S$79:S$82,MATCH($B308,About!$A$79:$A$82,0),1)</f>
        <v>6427805</v>
      </c>
      <c r="X308" s="27">
        <f>SUMIFS(INDEX(Load,,MATCH('Summarized Source Data'!$C308,Hour,0)),Month,'Summarized Source Data'!$A308,Sector,'Summarized Source Data'!X$2,Subsector,'Summarized Source Data'!X$3,TimeOfWeek,$E308)*INDEX(About!T$79:T$82,MATCH($B308,About!$A$79:$A$82,0),1)</f>
        <v>357000000</v>
      </c>
      <c r="Y308" s="29">
        <f t="shared" si="24"/>
        <v>357000000</v>
      </c>
      <c r="Z308" s="29">
        <f t="shared" si="24"/>
        <v>357000000</v>
      </c>
    </row>
    <row r="309" spans="1:26" x14ac:dyDescent="0.3">
      <c r="A309">
        <f t="shared" si="25"/>
        <v>1</v>
      </c>
      <c r="B309" t="str">
        <f>INDEX('Category Mapping'!$G$28:$G$39,MATCH(A309,'Category Mapping'!$A$28:$A$39,0),1)</f>
        <v>Winter</v>
      </c>
      <c r="C309" t="s">
        <v>80</v>
      </c>
      <c r="D309" s="6" t="s">
        <v>155</v>
      </c>
      <c r="E309" s="46" t="s">
        <v>48</v>
      </c>
      <c r="F309" s="27">
        <f>SUMIFS(INDEX(Load,,MATCH('Summarized Source Data'!$C309,Hour,0)),Month,'Summarized Source Data'!$A309,Sector,'Summarized Source Data'!F$2,Subsector,'Summarized Source Data'!F$3,TimeOfWeek,$E309)*INDEX(About!B$79:B$82,MATCH($B309,About!$A$79:$A$82,0),1)</f>
        <v>11400000</v>
      </c>
      <c r="G309" s="27">
        <f>SUMIFS(INDEX(Load,,MATCH('Summarized Source Data'!$C309,Hour,0)),Month,'Summarized Source Data'!$A309,Sector,'Summarized Source Data'!G$2,Subsector,'Summarized Source Data'!G$3,TimeOfWeek,$E309)*INDEX(About!C$79:C$82,MATCH($B309,About!$A$79:$A$82,0),1)</f>
        <v>4760</v>
      </c>
      <c r="H309" s="27">
        <f>SUMIFS(INDEX(Load,,MATCH('Summarized Source Data'!$C309,Hour,0)),Month,'Summarized Source Data'!$A309,Sector,'Summarized Source Data'!H$2,Subsector,'Summarized Source Data'!H$3,TimeOfWeek,$E309)*INDEX(About!D$79:D$82,MATCH($B309,About!$A$79:$A$82,0),1)</f>
        <v>0</v>
      </c>
      <c r="I309" s="27">
        <f>SUMIFS(INDEX(Load,,MATCH('Summarized Source Data'!$C309,Hour,0)),Month,'Summarized Source Data'!$A309,Sector,'Summarized Source Data'!I$2,Subsector,'Summarized Source Data'!I$3,TimeOfWeek,$E309)*INDEX(About!E$79:E$82,MATCH($B309,About!$A$79:$A$82,0),1)</f>
        <v>31400000</v>
      </c>
      <c r="J309" s="54">
        <f t="shared" si="21"/>
        <v>96195240</v>
      </c>
      <c r="K309" s="27">
        <f>(SUMIFS(INDEX(Load,,MATCH('Summarized Source Data'!$C309,Hour,0)),Month,'Summarized Source Data'!$A309,Sector,'Summarized Source Data'!K$2,Subsector,"Total",TimeOfWeek,$E309)-SUM(F309:I309))*INDEX(About!G$79:G$82,MATCH($B309,About!$A$79:$A$82,0),1)</f>
        <v>96195240</v>
      </c>
      <c r="L309" s="27">
        <f>SUMIFS(INDEX(Load,,MATCH('Summarized Source Data'!$C309,Hour,0)),Month,'Summarized Source Data'!$A309,Sector,'Summarized Source Data'!L$2,Subsector,'Summarized Source Data'!L$3,TimeOfWeek,$E309)*INDEX(About!H$79:H$82,MATCH($B309,About!$A$79:$A$82,0),1)</f>
        <v>20700000</v>
      </c>
      <c r="M309" s="27">
        <f>SUMIFS(INDEX(Load,,MATCH('Summarized Source Data'!$C309,Hour,0)),Month,'Summarized Source Data'!$A309,Sector,'Summarized Source Data'!M$2,Subsector,'Summarized Source Data'!M$3,TimeOfWeek,$E309)*INDEX(About!I$79:I$82,MATCH($B309,About!$A$79:$A$82,0),1)</f>
        <v>24452</v>
      </c>
      <c r="N309" s="27">
        <f>SUMIFS(INDEX(Load,,MATCH('Summarized Source Data'!$C309,Hour,0)),Month,'Summarized Source Data'!$A309,Sector,'Summarized Source Data'!N$2,Subsector,'Summarized Source Data'!N$3,TimeOfWeek,$E309)*INDEX(About!J$79:J$82,MATCH($B309,About!$A$79:$A$82,0),1)</f>
        <v>0</v>
      </c>
      <c r="O309" s="29">
        <f t="shared" si="22"/>
        <v>105275548</v>
      </c>
      <c r="P309" s="27">
        <f>(SUMIFS(INDEX(Load,,MATCH('Summarized Source Data'!$C309,Hour,0)),Month,'Summarized Source Data'!$A309,Sector,'Summarized Source Data'!P$2,Subsector,"Total",TimeOfWeek,$E309)-SUM(L309:N309)*INDEX(About!L$79:L$82,MATCH($B309,About!$A$79:$A$82,0),1))</f>
        <v>105275548</v>
      </c>
      <c r="Q309" s="29">
        <f t="shared" si="23"/>
        <v>105275548</v>
      </c>
      <c r="R309" s="33">
        <f>SUMIFS(INDEX(Load,,MATCH('Summarized Source Data'!$C309,Hour,0)),Month,'Summarized Source Data'!$A309,Sector,'Summarized Source Data'!R$2,TimeOfWeek,$E309)*INDEX(About!N$79:N$82,MATCH($B309,About!$A$79:$A$82,0),1)</f>
        <v>6433660</v>
      </c>
      <c r="S309" s="33">
        <f>SUMIFS(INDEX(Load,,MATCH('Summarized Source Data'!$C309,Hour,0)),Month,'Summarized Source Data'!$A309,Sector,'Summarized Source Data'!S$2,TimeOfWeek,$E309)*INDEX(About!O$79:O$82,MATCH($B309,About!$A$79:$A$82,0),1)</f>
        <v>6433660</v>
      </c>
      <c r="T309" s="33">
        <f>SUMIFS(INDEX(Load,,MATCH('Summarized Source Data'!$C309,Hour,0)),Month,'Summarized Source Data'!$A309,Sector,'Summarized Source Data'!T$2,TimeOfWeek,$E309)*INDEX(About!P$79:P$82,MATCH($B309,About!$A$79:$A$82,0),1)</f>
        <v>6433660</v>
      </c>
      <c r="U309" s="33">
        <f>SUMIFS(INDEX(Load,,MATCH('Summarized Source Data'!$C309,Hour,0)),Month,'Summarized Source Data'!$A309,Sector,'Summarized Source Data'!U$2,TimeOfWeek,$E309)*INDEX(About!Q$79:Q$82,MATCH($B309,About!$A$79:$A$82,0),1)</f>
        <v>6433660</v>
      </c>
      <c r="V309" s="33">
        <f>SUMIFS(INDEX(Load,,MATCH('Summarized Source Data'!$C309,Hour,0)),Month,'Summarized Source Data'!$A309,Sector,'Summarized Source Data'!V$2,TimeOfWeek,$E309)*INDEX(About!R$79:R$82,MATCH($B309,About!$A$79:$A$82,0),1)</f>
        <v>6433660</v>
      </c>
      <c r="W309" s="33">
        <f>SUMIFS(INDEX(Load,,MATCH('Summarized Source Data'!$C309,Hour,0)),Month,'Summarized Source Data'!$A309,Sector,'Summarized Source Data'!W$2,TimeOfWeek,$E309)*INDEX(About!S$79:S$82,MATCH($B309,About!$A$79:$A$82,0),1)</f>
        <v>6433660</v>
      </c>
      <c r="X309" s="27">
        <f>SUMIFS(INDEX(Load,,MATCH('Summarized Source Data'!$C309,Hour,0)),Month,'Summarized Source Data'!$A309,Sector,'Summarized Source Data'!X$2,Subsector,'Summarized Source Data'!X$3,TimeOfWeek,$E309)*INDEX(About!T$79:T$82,MATCH($B309,About!$A$79:$A$82,0),1)</f>
        <v>357000000</v>
      </c>
      <c r="Y309" s="29">
        <f t="shared" si="24"/>
        <v>357000000</v>
      </c>
      <c r="Z309" s="29">
        <f t="shared" si="24"/>
        <v>357000000</v>
      </c>
    </row>
    <row r="310" spans="1:26" x14ac:dyDescent="0.3">
      <c r="A310">
        <f t="shared" si="25"/>
        <v>1</v>
      </c>
      <c r="B310" t="str">
        <f>INDEX('Category Mapping'!$G$28:$G$39,MATCH(A310,'Category Mapping'!$A$28:$A$39,0),1)</f>
        <v>Winter</v>
      </c>
      <c r="C310" t="s">
        <v>81</v>
      </c>
      <c r="D310" s="6" t="s">
        <v>156</v>
      </c>
      <c r="E310" s="46" t="s">
        <v>48</v>
      </c>
      <c r="F310" s="27">
        <f>SUMIFS(INDEX(Load,,MATCH('Summarized Source Data'!$C310,Hour,0)),Month,'Summarized Source Data'!$A310,Sector,'Summarized Source Data'!F$2,Subsector,'Summarized Source Data'!F$3,TimeOfWeek,$E310)*INDEX(About!B$79:B$82,MATCH($B310,About!$A$79:$A$82,0),1)</f>
        <v>12100000</v>
      </c>
      <c r="G310" s="27">
        <f>SUMIFS(INDEX(Load,,MATCH('Summarized Source Data'!$C310,Hour,0)),Month,'Summarized Source Data'!$A310,Sector,'Summarized Source Data'!G$2,Subsector,'Summarized Source Data'!G$3,TimeOfWeek,$E310)*INDEX(About!C$79:C$82,MATCH($B310,About!$A$79:$A$82,0),1)</f>
        <v>5053</v>
      </c>
      <c r="H310" s="27">
        <f>SUMIFS(INDEX(Load,,MATCH('Summarized Source Data'!$C310,Hour,0)),Month,'Summarized Source Data'!$A310,Sector,'Summarized Source Data'!H$2,Subsector,'Summarized Source Data'!H$3,TimeOfWeek,$E310)*INDEX(About!D$79:D$82,MATCH($B310,About!$A$79:$A$82,0),1)</f>
        <v>0</v>
      </c>
      <c r="I310" s="27">
        <f>SUMIFS(INDEX(Load,,MATCH('Summarized Source Data'!$C310,Hour,0)),Month,'Summarized Source Data'!$A310,Sector,'Summarized Source Data'!I$2,Subsector,'Summarized Source Data'!I$3,TimeOfWeek,$E310)*INDEX(About!E$79:E$82,MATCH($B310,About!$A$79:$A$82,0),1)</f>
        <v>33200000</v>
      </c>
      <c r="J310" s="54">
        <f t="shared" si="21"/>
        <v>94694947</v>
      </c>
      <c r="K310" s="27">
        <f>(SUMIFS(INDEX(Load,,MATCH('Summarized Source Data'!$C310,Hour,0)),Month,'Summarized Source Data'!$A310,Sector,'Summarized Source Data'!K$2,Subsector,"Total",TimeOfWeek,$E310)-SUM(F310:I310))*INDEX(About!G$79:G$82,MATCH($B310,About!$A$79:$A$82,0),1)</f>
        <v>94694947</v>
      </c>
      <c r="L310" s="27">
        <f>SUMIFS(INDEX(Load,,MATCH('Summarized Source Data'!$C310,Hour,0)),Month,'Summarized Source Data'!$A310,Sector,'Summarized Source Data'!L$2,Subsector,'Summarized Source Data'!L$3,TimeOfWeek,$E310)*INDEX(About!H$79:H$82,MATCH($B310,About!$A$79:$A$82,0),1)</f>
        <v>23800000</v>
      </c>
      <c r="M310" s="27">
        <f>SUMIFS(INDEX(Load,,MATCH('Summarized Source Data'!$C310,Hour,0)),Month,'Summarized Source Data'!$A310,Sector,'Summarized Source Data'!M$2,Subsector,'Summarized Source Data'!M$3,TimeOfWeek,$E310)*INDEX(About!I$79:I$82,MATCH($B310,About!$A$79:$A$82,0),1)</f>
        <v>23928</v>
      </c>
      <c r="N310" s="27">
        <f>SUMIFS(INDEX(Load,,MATCH('Summarized Source Data'!$C310,Hour,0)),Month,'Summarized Source Data'!$A310,Sector,'Summarized Source Data'!N$2,Subsector,'Summarized Source Data'!N$3,TimeOfWeek,$E310)*INDEX(About!J$79:J$82,MATCH($B310,About!$A$79:$A$82,0),1)</f>
        <v>0</v>
      </c>
      <c r="O310" s="29">
        <f t="shared" si="22"/>
        <v>104176072</v>
      </c>
      <c r="P310" s="27">
        <f>(SUMIFS(INDEX(Load,,MATCH('Summarized Source Data'!$C310,Hour,0)),Month,'Summarized Source Data'!$A310,Sector,'Summarized Source Data'!P$2,Subsector,"Total",TimeOfWeek,$E310)-SUM(L310:N310)*INDEX(About!L$79:L$82,MATCH($B310,About!$A$79:$A$82,0),1))</f>
        <v>104176072</v>
      </c>
      <c r="Q310" s="29">
        <f t="shared" si="23"/>
        <v>104176072</v>
      </c>
      <c r="R310" s="33">
        <f>SUMIFS(INDEX(Load,,MATCH('Summarized Source Data'!$C310,Hour,0)),Month,'Summarized Source Data'!$A310,Sector,'Summarized Source Data'!R$2,TimeOfWeek,$E310)*INDEX(About!N$79:N$82,MATCH($B310,About!$A$79:$A$82,0),1)</f>
        <v>6392672</v>
      </c>
      <c r="S310" s="33">
        <f>SUMIFS(INDEX(Load,,MATCH('Summarized Source Data'!$C310,Hour,0)),Month,'Summarized Source Data'!$A310,Sector,'Summarized Source Data'!S$2,TimeOfWeek,$E310)*INDEX(About!O$79:O$82,MATCH($B310,About!$A$79:$A$82,0),1)</f>
        <v>6392672</v>
      </c>
      <c r="T310" s="33">
        <f>SUMIFS(INDEX(Load,,MATCH('Summarized Source Data'!$C310,Hour,0)),Month,'Summarized Source Data'!$A310,Sector,'Summarized Source Data'!T$2,TimeOfWeek,$E310)*INDEX(About!P$79:P$82,MATCH($B310,About!$A$79:$A$82,0),1)</f>
        <v>6392672</v>
      </c>
      <c r="U310" s="33">
        <f>SUMIFS(INDEX(Load,,MATCH('Summarized Source Data'!$C310,Hour,0)),Month,'Summarized Source Data'!$A310,Sector,'Summarized Source Data'!U$2,TimeOfWeek,$E310)*INDEX(About!Q$79:Q$82,MATCH($B310,About!$A$79:$A$82,0),1)</f>
        <v>6392672</v>
      </c>
      <c r="V310" s="33">
        <f>SUMIFS(INDEX(Load,,MATCH('Summarized Source Data'!$C310,Hour,0)),Month,'Summarized Source Data'!$A310,Sector,'Summarized Source Data'!V$2,TimeOfWeek,$E310)*INDEX(About!R$79:R$82,MATCH($B310,About!$A$79:$A$82,0),1)</f>
        <v>6392672</v>
      </c>
      <c r="W310" s="33">
        <f>SUMIFS(INDEX(Load,,MATCH('Summarized Source Data'!$C310,Hour,0)),Month,'Summarized Source Data'!$A310,Sector,'Summarized Source Data'!W$2,TimeOfWeek,$E310)*INDEX(About!S$79:S$82,MATCH($B310,About!$A$79:$A$82,0),1)</f>
        <v>6392672</v>
      </c>
      <c r="X310" s="27">
        <f>SUMIFS(INDEX(Load,,MATCH('Summarized Source Data'!$C310,Hour,0)),Month,'Summarized Source Data'!$A310,Sector,'Summarized Source Data'!X$2,Subsector,'Summarized Source Data'!X$3,TimeOfWeek,$E310)*INDEX(About!T$79:T$82,MATCH($B310,About!$A$79:$A$82,0),1)</f>
        <v>356000000</v>
      </c>
      <c r="Y310" s="29">
        <f t="shared" si="24"/>
        <v>356000000</v>
      </c>
      <c r="Z310" s="29">
        <f t="shared" si="24"/>
        <v>356000000</v>
      </c>
    </row>
    <row r="311" spans="1:26" x14ac:dyDescent="0.3">
      <c r="A311">
        <f t="shared" si="25"/>
        <v>1</v>
      </c>
      <c r="B311" t="str">
        <f>INDEX('Category Mapping'!$G$28:$G$39,MATCH(A311,'Category Mapping'!$A$28:$A$39,0),1)</f>
        <v>Winter</v>
      </c>
      <c r="C311" t="s">
        <v>82</v>
      </c>
      <c r="D311" s="6" t="s">
        <v>157</v>
      </c>
      <c r="E311" s="46" t="s">
        <v>48</v>
      </c>
      <c r="F311" s="27">
        <f>SUMIFS(INDEX(Load,,MATCH('Summarized Source Data'!$C311,Hour,0)),Month,'Summarized Source Data'!$A311,Sector,'Summarized Source Data'!F$2,Subsector,'Summarized Source Data'!F$3,TimeOfWeek,$E311)*INDEX(About!B$79:B$82,MATCH($B311,About!$A$79:$A$82,0),1)</f>
        <v>12800000</v>
      </c>
      <c r="G311" s="27">
        <f>SUMIFS(INDEX(Load,,MATCH('Summarized Source Data'!$C311,Hour,0)),Month,'Summarized Source Data'!$A311,Sector,'Summarized Source Data'!G$2,Subsector,'Summarized Source Data'!G$3,TimeOfWeek,$E311)*INDEX(About!C$79:C$82,MATCH($B311,About!$A$79:$A$82,0),1)</f>
        <v>5370</v>
      </c>
      <c r="H311" s="27">
        <f>SUMIFS(INDEX(Load,,MATCH('Summarized Source Data'!$C311,Hour,0)),Month,'Summarized Source Data'!$A311,Sector,'Summarized Source Data'!H$2,Subsector,'Summarized Source Data'!H$3,TimeOfWeek,$E311)*INDEX(About!D$79:D$82,MATCH($B311,About!$A$79:$A$82,0),1)</f>
        <v>0</v>
      </c>
      <c r="I311" s="27">
        <f>SUMIFS(INDEX(Load,,MATCH('Summarized Source Data'!$C311,Hour,0)),Month,'Summarized Source Data'!$A311,Sector,'Summarized Source Data'!I$2,Subsector,'Summarized Source Data'!I$3,TimeOfWeek,$E311)*INDEX(About!E$79:E$82,MATCH($B311,About!$A$79:$A$82,0),1)</f>
        <v>34700000</v>
      </c>
      <c r="J311" s="54">
        <f t="shared" si="21"/>
        <v>87494630</v>
      </c>
      <c r="K311" s="27">
        <f>(SUMIFS(INDEX(Load,,MATCH('Summarized Source Data'!$C311,Hour,0)),Month,'Summarized Source Data'!$A311,Sector,'Summarized Source Data'!K$2,Subsector,"Total",TimeOfWeek,$E311)-SUM(F311:I311))*INDEX(About!G$79:G$82,MATCH($B311,About!$A$79:$A$82,0),1)</f>
        <v>87494630</v>
      </c>
      <c r="L311" s="27">
        <f>SUMIFS(INDEX(Load,,MATCH('Summarized Source Data'!$C311,Hour,0)),Month,'Summarized Source Data'!$A311,Sector,'Summarized Source Data'!L$2,Subsector,'Summarized Source Data'!L$3,TimeOfWeek,$E311)*INDEX(About!H$79:H$82,MATCH($B311,About!$A$79:$A$82,0),1)</f>
        <v>16600000</v>
      </c>
      <c r="M311" s="27">
        <f>SUMIFS(INDEX(Load,,MATCH('Summarized Source Data'!$C311,Hour,0)),Month,'Summarized Source Data'!$A311,Sector,'Summarized Source Data'!M$2,Subsector,'Summarized Source Data'!M$3,TimeOfWeek,$E311)*INDEX(About!I$79:I$82,MATCH($B311,About!$A$79:$A$82,0),1)</f>
        <v>23179</v>
      </c>
      <c r="N311" s="27">
        <f>SUMIFS(INDEX(Load,,MATCH('Summarized Source Data'!$C311,Hour,0)),Month,'Summarized Source Data'!$A311,Sector,'Summarized Source Data'!N$2,Subsector,'Summarized Source Data'!N$3,TimeOfWeek,$E311)*INDEX(About!J$79:J$82,MATCH($B311,About!$A$79:$A$82,0),1)</f>
        <v>0</v>
      </c>
      <c r="O311" s="29">
        <f t="shared" si="22"/>
        <v>101376821</v>
      </c>
      <c r="P311" s="27">
        <f>(SUMIFS(INDEX(Load,,MATCH('Summarized Source Data'!$C311,Hour,0)),Month,'Summarized Source Data'!$A311,Sector,'Summarized Source Data'!P$2,Subsector,"Total",TimeOfWeek,$E311)-SUM(L311:N311)*INDEX(About!L$79:L$82,MATCH($B311,About!$A$79:$A$82,0),1))</f>
        <v>101376821</v>
      </c>
      <c r="Q311" s="29">
        <f t="shared" si="23"/>
        <v>101376821</v>
      </c>
      <c r="R311" s="33">
        <f>SUMIFS(INDEX(Load,,MATCH('Summarized Source Data'!$C311,Hour,0)),Month,'Summarized Source Data'!$A311,Sector,'Summarized Source Data'!R$2,TimeOfWeek,$E311)*INDEX(About!N$79:N$82,MATCH($B311,About!$A$79:$A$82,0),1)</f>
        <v>6257996</v>
      </c>
      <c r="S311" s="33">
        <f>SUMIFS(INDEX(Load,,MATCH('Summarized Source Data'!$C311,Hour,0)),Month,'Summarized Source Data'!$A311,Sector,'Summarized Source Data'!S$2,TimeOfWeek,$E311)*INDEX(About!O$79:O$82,MATCH($B311,About!$A$79:$A$82,0),1)</f>
        <v>6257996</v>
      </c>
      <c r="T311" s="33">
        <f>SUMIFS(INDEX(Load,,MATCH('Summarized Source Data'!$C311,Hour,0)),Month,'Summarized Source Data'!$A311,Sector,'Summarized Source Data'!T$2,TimeOfWeek,$E311)*INDEX(About!P$79:P$82,MATCH($B311,About!$A$79:$A$82,0),1)</f>
        <v>6257996</v>
      </c>
      <c r="U311" s="33">
        <f>SUMIFS(INDEX(Load,,MATCH('Summarized Source Data'!$C311,Hour,0)),Month,'Summarized Source Data'!$A311,Sector,'Summarized Source Data'!U$2,TimeOfWeek,$E311)*INDEX(About!Q$79:Q$82,MATCH($B311,About!$A$79:$A$82,0),1)</f>
        <v>6257996</v>
      </c>
      <c r="V311" s="33">
        <f>SUMIFS(INDEX(Load,,MATCH('Summarized Source Data'!$C311,Hour,0)),Month,'Summarized Source Data'!$A311,Sector,'Summarized Source Data'!V$2,TimeOfWeek,$E311)*INDEX(About!R$79:R$82,MATCH($B311,About!$A$79:$A$82,0),1)</f>
        <v>6257996</v>
      </c>
      <c r="W311" s="33">
        <f>SUMIFS(INDEX(Load,,MATCH('Summarized Source Data'!$C311,Hour,0)),Month,'Summarized Source Data'!$A311,Sector,'Summarized Source Data'!W$2,TimeOfWeek,$E311)*INDEX(About!S$79:S$82,MATCH($B311,About!$A$79:$A$82,0),1)</f>
        <v>6257996</v>
      </c>
      <c r="X311" s="27">
        <f>SUMIFS(INDEX(Load,,MATCH('Summarized Source Data'!$C311,Hour,0)),Month,'Summarized Source Data'!$A311,Sector,'Summarized Source Data'!X$2,Subsector,'Summarized Source Data'!X$3,TimeOfWeek,$E311)*INDEX(About!T$79:T$82,MATCH($B311,About!$A$79:$A$82,0),1)</f>
        <v>354000000</v>
      </c>
      <c r="Y311" s="29">
        <f t="shared" si="24"/>
        <v>354000000</v>
      </c>
      <c r="Z311" s="29">
        <f t="shared" si="24"/>
        <v>354000000</v>
      </c>
    </row>
    <row r="312" spans="1:26" x14ac:dyDescent="0.3">
      <c r="A312">
        <f t="shared" si="25"/>
        <v>1</v>
      </c>
      <c r="B312" t="str">
        <f>INDEX('Category Mapping'!$G$28:$G$39,MATCH(A312,'Category Mapping'!$A$28:$A$39,0),1)</f>
        <v>Winter</v>
      </c>
      <c r="C312" t="s">
        <v>83</v>
      </c>
      <c r="D312" s="6" t="s">
        <v>158</v>
      </c>
      <c r="E312" s="46" t="s">
        <v>48</v>
      </c>
      <c r="F312" s="27">
        <f>SUMIFS(INDEX(Load,,MATCH('Summarized Source Data'!$C312,Hour,0)),Month,'Summarized Source Data'!$A312,Sector,'Summarized Source Data'!F$2,Subsector,'Summarized Source Data'!F$3,TimeOfWeek,$E312)*INDEX(About!B$79:B$82,MATCH($B312,About!$A$79:$A$82,0),1)</f>
        <v>13300000</v>
      </c>
      <c r="G312" s="27">
        <f>SUMIFS(INDEX(Load,,MATCH('Summarized Source Data'!$C312,Hour,0)),Month,'Summarized Source Data'!$A312,Sector,'Summarized Source Data'!G$2,Subsector,'Summarized Source Data'!G$3,TimeOfWeek,$E312)*INDEX(About!C$79:C$82,MATCH($B312,About!$A$79:$A$82,0),1)</f>
        <v>5622</v>
      </c>
      <c r="H312" s="27">
        <f>SUMIFS(INDEX(Load,,MATCH('Summarized Source Data'!$C312,Hour,0)),Month,'Summarized Source Data'!$A312,Sector,'Summarized Source Data'!H$2,Subsector,'Summarized Source Data'!H$3,TimeOfWeek,$E312)*INDEX(About!D$79:D$82,MATCH($B312,About!$A$79:$A$82,0),1)</f>
        <v>0</v>
      </c>
      <c r="I312" s="27">
        <f>SUMIFS(INDEX(Load,,MATCH('Summarized Source Data'!$C312,Hour,0)),Month,'Summarized Source Data'!$A312,Sector,'Summarized Source Data'!I$2,Subsector,'Summarized Source Data'!I$3,TimeOfWeek,$E312)*INDEX(About!E$79:E$82,MATCH($B312,About!$A$79:$A$82,0),1)</f>
        <v>34500000</v>
      </c>
      <c r="J312" s="54">
        <f t="shared" si="21"/>
        <v>82194378</v>
      </c>
      <c r="K312" s="27">
        <f>(SUMIFS(INDEX(Load,,MATCH('Summarized Source Data'!$C312,Hour,0)),Month,'Summarized Source Data'!$A312,Sector,'Summarized Source Data'!K$2,Subsector,"Total",TimeOfWeek,$E312)-SUM(F312:I312))*INDEX(About!G$79:G$82,MATCH($B312,About!$A$79:$A$82,0),1)</f>
        <v>82194378</v>
      </c>
      <c r="L312" s="27">
        <f>SUMIFS(INDEX(Load,,MATCH('Summarized Source Data'!$C312,Hour,0)),Month,'Summarized Source Data'!$A312,Sector,'Summarized Source Data'!L$2,Subsector,'Summarized Source Data'!L$3,TimeOfWeek,$E312)*INDEX(About!H$79:H$82,MATCH($B312,About!$A$79:$A$82,0),1)</f>
        <v>16700000</v>
      </c>
      <c r="M312" s="27">
        <f>SUMIFS(INDEX(Load,,MATCH('Summarized Source Data'!$C312,Hour,0)),Month,'Summarized Source Data'!$A312,Sector,'Summarized Source Data'!M$2,Subsector,'Summarized Source Data'!M$3,TimeOfWeek,$E312)*INDEX(About!I$79:I$82,MATCH($B312,About!$A$79:$A$82,0),1)</f>
        <v>22550</v>
      </c>
      <c r="N312" s="27">
        <f>SUMIFS(INDEX(Load,,MATCH('Summarized Source Data'!$C312,Hour,0)),Month,'Summarized Source Data'!$A312,Sector,'Summarized Source Data'!N$2,Subsector,'Summarized Source Data'!N$3,TimeOfWeek,$E312)*INDEX(About!J$79:J$82,MATCH($B312,About!$A$79:$A$82,0),1)</f>
        <v>0</v>
      </c>
      <c r="O312" s="29">
        <f t="shared" si="22"/>
        <v>97277450</v>
      </c>
      <c r="P312" s="27">
        <f>(SUMIFS(INDEX(Load,,MATCH('Summarized Source Data'!$C312,Hour,0)),Month,'Summarized Source Data'!$A312,Sector,'Summarized Source Data'!P$2,Subsector,"Total",TimeOfWeek,$E312)-SUM(L312:N312)*INDEX(About!L$79:L$82,MATCH($B312,About!$A$79:$A$82,0),1))</f>
        <v>97277450</v>
      </c>
      <c r="Q312" s="29">
        <f t="shared" si="23"/>
        <v>97277450</v>
      </c>
      <c r="R312" s="33">
        <f>SUMIFS(INDEX(Load,,MATCH('Summarized Source Data'!$C312,Hour,0)),Month,'Summarized Source Data'!$A312,Sector,'Summarized Source Data'!R$2,TimeOfWeek,$E312)*INDEX(About!N$79:N$82,MATCH($B312,About!$A$79:$A$82,0),1)</f>
        <v>6076477</v>
      </c>
      <c r="S312" s="33">
        <f>SUMIFS(INDEX(Load,,MATCH('Summarized Source Data'!$C312,Hour,0)),Month,'Summarized Source Data'!$A312,Sector,'Summarized Source Data'!S$2,TimeOfWeek,$E312)*INDEX(About!O$79:O$82,MATCH($B312,About!$A$79:$A$82,0),1)</f>
        <v>6076477</v>
      </c>
      <c r="T312" s="33">
        <f>SUMIFS(INDEX(Load,,MATCH('Summarized Source Data'!$C312,Hour,0)),Month,'Summarized Source Data'!$A312,Sector,'Summarized Source Data'!T$2,TimeOfWeek,$E312)*INDEX(About!P$79:P$82,MATCH($B312,About!$A$79:$A$82,0),1)</f>
        <v>6076477</v>
      </c>
      <c r="U312" s="33">
        <f>SUMIFS(INDEX(Load,,MATCH('Summarized Source Data'!$C312,Hour,0)),Month,'Summarized Source Data'!$A312,Sector,'Summarized Source Data'!U$2,TimeOfWeek,$E312)*INDEX(About!Q$79:Q$82,MATCH($B312,About!$A$79:$A$82,0),1)</f>
        <v>6076477</v>
      </c>
      <c r="V312" s="33">
        <f>SUMIFS(INDEX(Load,,MATCH('Summarized Source Data'!$C312,Hour,0)),Month,'Summarized Source Data'!$A312,Sector,'Summarized Source Data'!V$2,TimeOfWeek,$E312)*INDEX(About!R$79:R$82,MATCH($B312,About!$A$79:$A$82,0),1)</f>
        <v>6076477</v>
      </c>
      <c r="W312" s="33">
        <f>SUMIFS(INDEX(Load,,MATCH('Summarized Source Data'!$C312,Hour,0)),Month,'Summarized Source Data'!$A312,Sector,'Summarized Source Data'!W$2,TimeOfWeek,$E312)*INDEX(About!S$79:S$82,MATCH($B312,About!$A$79:$A$82,0),1)</f>
        <v>6076477</v>
      </c>
      <c r="X312" s="27">
        <f>SUMIFS(INDEX(Load,,MATCH('Summarized Source Data'!$C312,Hour,0)),Month,'Summarized Source Data'!$A312,Sector,'Summarized Source Data'!X$2,Subsector,'Summarized Source Data'!X$3,TimeOfWeek,$E312)*INDEX(About!T$79:T$82,MATCH($B312,About!$A$79:$A$82,0),1)</f>
        <v>352000000</v>
      </c>
      <c r="Y312" s="29">
        <f t="shared" si="24"/>
        <v>352000000</v>
      </c>
      <c r="Z312" s="29">
        <f t="shared" si="24"/>
        <v>352000000</v>
      </c>
    </row>
    <row r="313" spans="1:26" x14ac:dyDescent="0.3">
      <c r="A313">
        <f t="shared" si="25"/>
        <v>1</v>
      </c>
      <c r="B313" t="str">
        <f>INDEX('Category Mapping'!$G$28:$G$39,MATCH(A313,'Category Mapping'!$A$28:$A$39,0),1)</f>
        <v>Winter</v>
      </c>
      <c r="C313" t="s">
        <v>84</v>
      </c>
      <c r="D313" s="6" t="s">
        <v>159</v>
      </c>
      <c r="E313" s="46" t="s">
        <v>48</v>
      </c>
      <c r="F313" s="27">
        <f>SUMIFS(INDEX(Load,,MATCH('Summarized Source Data'!$C313,Hour,0)),Month,'Summarized Source Data'!$A313,Sector,'Summarized Source Data'!F$2,Subsector,'Summarized Source Data'!F$3,TimeOfWeek,$E313)*INDEX(About!B$79:B$82,MATCH($B313,About!$A$79:$A$82,0),1)</f>
        <v>12800000</v>
      </c>
      <c r="G313" s="27">
        <f>SUMIFS(INDEX(Load,,MATCH('Summarized Source Data'!$C313,Hour,0)),Month,'Summarized Source Data'!$A313,Sector,'Summarized Source Data'!G$2,Subsector,'Summarized Source Data'!G$3,TimeOfWeek,$E313)*INDEX(About!C$79:C$82,MATCH($B313,About!$A$79:$A$82,0),1)</f>
        <v>5861</v>
      </c>
      <c r="H313" s="27">
        <f>SUMIFS(INDEX(Load,,MATCH('Summarized Source Data'!$C313,Hour,0)),Month,'Summarized Source Data'!$A313,Sector,'Summarized Source Data'!H$2,Subsector,'Summarized Source Data'!H$3,TimeOfWeek,$E313)*INDEX(About!D$79:D$82,MATCH($B313,About!$A$79:$A$82,0),1)</f>
        <v>0</v>
      </c>
      <c r="I313" s="27">
        <f>SUMIFS(INDEX(Load,,MATCH('Summarized Source Data'!$C313,Hour,0)),Month,'Summarized Source Data'!$A313,Sector,'Summarized Source Data'!I$2,Subsector,'Summarized Source Data'!I$3,TimeOfWeek,$E313)*INDEX(About!E$79:E$82,MATCH($B313,About!$A$79:$A$82,0),1)</f>
        <v>28600000</v>
      </c>
      <c r="J313" s="54">
        <f t="shared" si="21"/>
        <v>75594139</v>
      </c>
      <c r="K313" s="27">
        <f>(SUMIFS(INDEX(Load,,MATCH('Summarized Source Data'!$C313,Hour,0)),Month,'Summarized Source Data'!$A313,Sector,'Summarized Source Data'!K$2,Subsector,"Total",TimeOfWeek,$E313)-SUM(F313:I313))*INDEX(About!G$79:G$82,MATCH($B313,About!$A$79:$A$82,0),1)</f>
        <v>75594139</v>
      </c>
      <c r="L313" s="27">
        <f>SUMIFS(INDEX(Load,,MATCH('Summarized Source Data'!$C313,Hour,0)),Month,'Summarized Source Data'!$A313,Sector,'Summarized Source Data'!L$2,Subsector,'Summarized Source Data'!L$3,TimeOfWeek,$E313)*INDEX(About!H$79:H$82,MATCH($B313,About!$A$79:$A$82,0),1)</f>
        <v>18100000</v>
      </c>
      <c r="M313" s="27">
        <f>SUMIFS(INDEX(Load,,MATCH('Summarized Source Data'!$C313,Hour,0)),Month,'Summarized Source Data'!$A313,Sector,'Summarized Source Data'!M$2,Subsector,'Summarized Source Data'!M$3,TimeOfWeek,$E313)*INDEX(About!I$79:I$82,MATCH($B313,About!$A$79:$A$82,0),1)</f>
        <v>21908</v>
      </c>
      <c r="N313" s="27">
        <f>SUMIFS(INDEX(Load,,MATCH('Summarized Source Data'!$C313,Hour,0)),Month,'Summarized Source Data'!$A313,Sector,'Summarized Source Data'!N$2,Subsector,'Summarized Source Data'!N$3,TimeOfWeek,$E313)*INDEX(About!J$79:J$82,MATCH($B313,About!$A$79:$A$82,0),1)</f>
        <v>0</v>
      </c>
      <c r="O313" s="29">
        <f t="shared" si="22"/>
        <v>90878092</v>
      </c>
      <c r="P313" s="27">
        <f>(SUMIFS(INDEX(Load,,MATCH('Summarized Source Data'!$C313,Hour,0)),Month,'Summarized Source Data'!$A313,Sector,'Summarized Source Data'!P$2,Subsector,"Total",TimeOfWeek,$E313)-SUM(L313:N313)*INDEX(About!L$79:L$82,MATCH($B313,About!$A$79:$A$82,0),1))</f>
        <v>90878092</v>
      </c>
      <c r="Q313" s="29">
        <f t="shared" si="23"/>
        <v>90878092</v>
      </c>
      <c r="R313" s="33">
        <f>SUMIFS(INDEX(Load,,MATCH('Summarized Source Data'!$C313,Hour,0)),Month,'Summarized Source Data'!$A313,Sector,'Summarized Source Data'!R$2,TimeOfWeek,$E313)*INDEX(About!N$79:N$82,MATCH($B313,About!$A$79:$A$82,0),1)</f>
        <v>5871536</v>
      </c>
      <c r="S313" s="33">
        <f>SUMIFS(INDEX(Load,,MATCH('Summarized Source Data'!$C313,Hour,0)),Month,'Summarized Source Data'!$A313,Sector,'Summarized Source Data'!S$2,TimeOfWeek,$E313)*INDEX(About!O$79:O$82,MATCH($B313,About!$A$79:$A$82,0),1)</f>
        <v>5871536</v>
      </c>
      <c r="T313" s="33">
        <f>SUMIFS(INDEX(Load,,MATCH('Summarized Source Data'!$C313,Hour,0)),Month,'Summarized Source Data'!$A313,Sector,'Summarized Source Data'!T$2,TimeOfWeek,$E313)*INDEX(About!P$79:P$82,MATCH($B313,About!$A$79:$A$82,0),1)</f>
        <v>5871536</v>
      </c>
      <c r="U313" s="33">
        <f>SUMIFS(INDEX(Load,,MATCH('Summarized Source Data'!$C313,Hour,0)),Month,'Summarized Source Data'!$A313,Sector,'Summarized Source Data'!U$2,TimeOfWeek,$E313)*INDEX(About!Q$79:Q$82,MATCH($B313,About!$A$79:$A$82,0),1)</f>
        <v>5871536</v>
      </c>
      <c r="V313" s="33">
        <f>SUMIFS(INDEX(Load,,MATCH('Summarized Source Data'!$C313,Hour,0)),Month,'Summarized Source Data'!$A313,Sector,'Summarized Source Data'!V$2,TimeOfWeek,$E313)*INDEX(About!R$79:R$82,MATCH($B313,About!$A$79:$A$82,0),1)</f>
        <v>5871536</v>
      </c>
      <c r="W313" s="33">
        <f>SUMIFS(INDEX(Load,,MATCH('Summarized Source Data'!$C313,Hour,0)),Month,'Summarized Source Data'!$A313,Sector,'Summarized Source Data'!W$2,TimeOfWeek,$E313)*INDEX(About!S$79:S$82,MATCH($B313,About!$A$79:$A$82,0),1)</f>
        <v>5871536</v>
      </c>
      <c r="X313" s="27">
        <f>SUMIFS(INDEX(Load,,MATCH('Summarized Source Data'!$C313,Hour,0)),Month,'Summarized Source Data'!$A313,Sector,'Summarized Source Data'!X$2,Subsector,'Summarized Source Data'!X$3,TimeOfWeek,$E313)*INDEX(About!T$79:T$82,MATCH($B313,About!$A$79:$A$82,0),1)</f>
        <v>349000000</v>
      </c>
      <c r="Y313" s="29">
        <f t="shared" si="24"/>
        <v>349000000</v>
      </c>
      <c r="Z313" s="29">
        <f t="shared" si="24"/>
        <v>349000000</v>
      </c>
    </row>
    <row r="314" spans="1:26" x14ac:dyDescent="0.3">
      <c r="A314">
        <f t="shared" si="25"/>
        <v>1</v>
      </c>
      <c r="B314" t="str">
        <f>INDEX('Category Mapping'!$G$28:$G$39,MATCH(A314,'Category Mapping'!$A$28:$A$39,0),1)</f>
        <v>Winter</v>
      </c>
      <c r="C314" t="s">
        <v>85</v>
      </c>
      <c r="D314" s="6" t="s">
        <v>160</v>
      </c>
      <c r="E314" s="46" t="s">
        <v>48</v>
      </c>
      <c r="F314" s="27">
        <f>SUMIFS(INDEX(Load,,MATCH('Summarized Source Data'!$C314,Hour,0)),Month,'Summarized Source Data'!$A314,Sector,'Summarized Source Data'!F$2,Subsector,'Summarized Source Data'!F$3,TimeOfWeek,$E314)*INDEX(About!B$79:B$82,MATCH($B314,About!$A$79:$A$82,0),1)</f>
        <v>11600000</v>
      </c>
      <c r="G314" s="27">
        <f>SUMIFS(INDEX(Load,,MATCH('Summarized Source Data'!$C314,Hour,0)),Month,'Summarized Source Data'!$A314,Sector,'Summarized Source Data'!G$2,Subsector,'Summarized Source Data'!G$3,TimeOfWeek,$E314)*INDEX(About!C$79:C$82,MATCH($B314,About!$A$79:$A$82,0),1)</f>
        <v>6083</v>
      </c>
      <c r="H314" s="27">
        <f>SUMIFS(INDEX(Load,,MATCH('Summarized Source Data'!$C314,Hour,0)),Month,'Summarized Source Data'!$A314,Sector,'Summarized Source Data'!H$2,Subsector,'Summarized Source Data'!H$3,TimeOfWeek,$E314)*INDEX(About!D$79:D$82,MATCH($B314,About!$A$79:$A$82,0),1)</f>
        <v>0</v>
      </c>
      <c r="I314" s="27">
        <f>SUMIFS(INDEX(Load,,MATCH('Summarized Source Data'!$C314,Hour,0)),Month,'Summarized Source Data'!$A314,Sector,'Summarized Source Data'!I$2,Subsector,'Summarized Source Data'!I$3,TimeOfWeek,$E314)*INDEX(About!E$79:E$82,MATCH($B314,About!$A$79:$A$82,0),1)</f>
        <v>18400000</v>
      </c>
      <c r="J314" s="54">
        <f t="shared" si="21"/>
        <v>63093917</v>
      </c>
      <c r="K314" s="27">
        <f>(SUMIFS(INDEX(Load,,MATCH('Summarized Source Data'!$C314,Hour,0)),Month,'Summarized Source Data'!$A314,Sector,'Summarized Source Data'!K$2,Subsector,"Total",TimeOfWeek,$E314)-SUM(F314:I314))*INDEX(About!G$79:G$82,MATCH($B314,About!$A$79:$A$82,0),1)</f>
        <v>63093917</v>
      </c>
      <c r="L314" s="27">
        <f>SUMIFS(INDEX(Load,,MATCH('Summarized Source Data'!$C314,Hour,0)),Month,'Summarized Source Data'!$A314,Sector,'Summarized Source Data'!L$2,Subsector,'Summarized Source Data'!L$3,TimeOfWeek,$E314)*INDEX(About!H$79:H$82,MATCH($B314,About!$A$79:$A$82,0),1)</f>
        <v>18500000</v>
      </c>
      <c r="M314" s="27">
        <f>SUMIFS(INDEX(Load,,MATCH('Summarized Source Data'!$C314,Hour,0)),Month,'Summarized Source Data'!$A314,Sector,'Summarized Source Data'!M$2,Subsector,'Summarized Source Data'!M$3,TimeOfWeek,$E314)*INDEX(About!I$79:I$82,MATCH($B314,About!$A$79:$A$82,0),1)</f>
        <v>21136</v>
      </c>
      <c r="N314" s="27">
        <f>SUMIFS(INDEX(Load,,MATCH('Summarized Source Data'!$C314,Hour,0)),Month,'Summarized Source Data'!$A314,Sector,'Summarized Source Data'!N$2,Subsector,'Summarized Source Data'!N$3,TimeOfWeek,$E314)*INDEX(About!J$79:J$82,MATCH($B314,About!$A$79:$A$82,0),1)</f>
        <v>0</v>
      </c>
      <c r="O314" s="29">
        <f t="shared" si="22"/>
        <v>86478864</v>
      </c>
      <c r="P314" s="27">
        <f>(SUMIFS(INDEX(Load,,MATCH('Summarized Source Data'!$C314,Hour,0)),Month,'Summarized Source Data'!$A314,Sector,'Summarized Source Data'!P$2,Subsector,"Total",TimeOfWeek,$E314)-SUM(L314:N314)*INDEX(About!L$79:L$82,MATCH($B314,About!$A$79:$A$82,0),1))</f>
        <v>86478864</v>
      </c>
      <c r="Q314" s="29">
        <f t="shared" si="23"/>
        <v>86478864</v>
      </c>
      <c r="R314" s="33">
        <f>SUMIFS(INDEX(Load,,MATCH('Summarized Source Data'!$C314,Hour,0)),Month,'Summarized Source Data'!$A314,Sector,'Summarized Source Data'!R$2,TimeOfWeek,$E314)*INDEX(About!N$79:N$82,MATCH($B314,About!$A$79:$A$82,0),1)</f>
        <v>5801271</v>
      </c>
      <c r="S314" s="33">
        <f>SUMIFS(INDEX(Load,,MATCH('Summarized Source Data'!$C314,Hour,0)),Month,'Summarized Source Data'!$A314,Sector,'Summarized Source Data'!S$2,TimeOfWeek,$E314)*INDEX(About!O$79:O$82,MATCH($B314,About!$A$79:$A$82,0),1)</f>
        <v>5801271</v>
      </c>
      <c r="T314" s="33">
        <f>SUMIFS(INDEX(Load,,MATCH('Summarized Source Data'!$C314,Hour,0)),Month,'Summarized Source Data'!$A314,Sector,'Summarized Source Data'!T$2,TimeOfWeek,$E314)*INDEX(About!P$79:P$82,MATCH($B314,About!$A$79:$A$82,0),1)</f>
        <v>5801271</v>
      </c>
      <c r="U314" s="33">
        <f>SUMIFS(INDEX(Load,,MATCH('Summarized Source Data'!$C314,Hour,0)),Month,'Summarized Source Data'!$A314,Sector,'Summarized Source Data'!U$2,TimeOfWeek,$E314)*INDEX(About!Q$79:Q$82,MATCH($B314,About!$A$79:$A$82,0),1)</f>
        <v>5801271</v>
      </c>
      <c r="V314" s="33">
        <f>SUMIFS(INDEX(Load,,MATCH('Summarized Source Data'!$C314,Hour,0)),Month,'Summarized Source Data'!$A314,Sector,'Summarized Source Data'!V$2,TimeOfWeek,$E314)*INDEX(About!R$79:R$82,MATCH($B314,About!$A$79:$A$82,0),1)</f>
        <v>5801271</v>
      </c>
      <c r="W314" s="33">
        <f>SUMIFS(INDEX(Load,,MATCH('Summarized Source Data'!$C314,Hour,0)),Month,'Summarized Source Data'!$A314,Sector,'Summarized Source Data'!W$2,TimeOfWeek,$E314)*INDEX(About!S$79:S$82,MATCH($B314,About!$A$79:$A$82,0),1)</f>
        <v>5801271</v>
      </c>
      <c r="X314" s="27">
        <f>SUMIFS(INDEX(Load,,MATCH('Summarized Source Data'!$C314,Hour,0)),Month,'Summarized Source Data'!$A314,Sector,'Summarized Source Data'!X$2,Subsector,'Summarized Source Data'!X$3,TimeOfWeek,$E314)*INDEX(About!T$79:T$82,MATCH($B314,About!$A$79:$A$82,0),1)</f>
        <v>346000000</v>
      </c>
      <c r="Y314" s="29">
        <f t="shared" si="24"/>
        <v>346000000</v>
      </c>
      <c r="Z314" s="29">
        <f t="shared" si="24"/>
        <v>346000000</v>
      </c>
    </row>
    <row r="315" spans="1:26" x14ac:dyDescent="0.3">
      <c r="A315">
        <f t="shared" si="25"/>
        <v>1</v>
      </c>
      <c r="B315" t="str">
        <f>INDEX('Category Mapping'!$G$28:$G$39,MATCH(A315,'Category Mapping'!$A$28:$A$39,0),1)</f>
        <v>Winter</v>
      </c>
      <c r="C315" t="s">
        <v>86</v>
      </c>
      <c r="D315" s="6" t="s">
        <v>161</v>
      </c>
      <c r="E315" s="46" t="s">
        <v>48</v>
      </c>
      <c r="F315" s="27">
        <f>SUMIFS(INDEX(Load,,MATCH('Summarized Source Data'!$C315,Hour,0)),Month,'Summarized Source Data'!$A315,Sector,'Summarized Source Data'!F$2,Subsector,'Summarized Source Data'!F$3,TimeOfWeek,$E315)*INDEX(About!B$79:B$82,MATCH($B315,About!$A$79:$A$82,0),1)</f>
        <v>11100000</v>
      </c>
      <c r="G315" s="27">
        <f>SUMIFS(INDEX(Load,,MATCH('Summarized Source Data'!$C315,Hour,0)),Month,'Summarized Source Data'!$A315,Sector,'Summarized Source Data'!G$2,Subsector,'Summarized Source Data'!G$3,TimeOfWeek,$E315)*INDEX(About!C$79:C$82,MATCH($B315,About!$A$79:$A$82,0),1)</f>
        <v>6273</v>
      </c>
      <c r="H315" s="27">
        <f>SUMIFS(INDEX(Load,,MATCH('Summarized Source Data'!$C315,Hour,0)),Month,'Summarized Source Data'!$A315,Sector,'Summarized Source Data'!H$2,Subsector,'Summarized Source Data'!H$3,TimeOfWeek,$E315)*INDEX(About!D$79:D$82,MATCH($B315,About!$A$79:$A$82,0),1)</f>
        <v>0</v>
      </c>
      <c r="I315" s="27">
        <f>SUMIFS(INDEX(Load,,MATCH('Summarized Source Data'!$C315,Hour,0)),Month,'Summarized Source Data'!$A315,Sector,'Summarized Source Data'!I$2,Subsector,'Summarized Source Data'!I$3,TimeOfWeek,$E315)*INDEX(About!E$79:E$82,MATCH($B315,About!$A$79:$A$82,0),1)</f>
        <v>10300000</v>
      </c>
      <c r="J315" s="54">
        <f t="shared" si="21"/>
        <v>50293727</v>
      </c>
      <c r="K315" s="27">
        <f>(SUMIFS(INDEX(Load,,MATCH('Summarized Source Data'!$C315,Hour,0)),Month,'Summarized Source Data'!$A315,Sector,'Summarized Source Data'!K$2,Subsector,"Total",TimeOfWeek,$E315)-SUM(F315:I315))*INDEX(About!G$79:G$82,MATCH($B315,About!$A$79:$A$82,0),1)</f>
        <v>50293727</v>
      </c>
      <c r="L315" s="27">
        <f>SUMIFS(INDEX(Load,,MATCH('Summarized Source Data'!$C315,Hour,0)),Month,'Summarized Source Data'!$A315,Sector,'Summarized Source Data'!L$2,Subsector,'Summarized Source Data'!L$3,TimeOfWeek,$E315)*INDEX(About!H$79:H$82,MATCH($B315,About!$A$79:$A$82,0),1)</f>
        <v>15500000</v>
      </c>
      <c r="M315" s="27">
        <f>SUMIFS(INDEX(Load,,MATCH('Summarized Source Data'!$C315,Hour,0)),Month,'Summarized Source Data'!$A315,Sector,'Summarized Source Data'!M$2,Subsector,'Summarized Source Data'!M$3,TimeOfWeek,$E315)*INDEX(About!I$79:I$82,MATCH($B315,About!$A$79:$A$82,0),1)</f>
        <v>20081</v>
      </c>
      <c r="N315" s="27">
        <f>SUMIFS(INDEX(Load,,MATCH('Summarized Source Data'!$C315,Hour,0)),Month,'Summarized Source Data'!$A315,Sector,'Summarized Source Data'!N$2,Subsector,'Summarized Source Data'!N$3,TimeOfWeek,$E315)*INDEX(About!J$79:J$82,MATCH($B315,About!$A$79:$A$82,0),1)</f>
        <v>0</v>
      </c>
      <c r="O315" s="29">
        <f t="shared" si="22"/>
        <v>79079919</v>
      </c>
      <c r="P315" s="27">
        <f>(SUMIFS(INDEX(Load,,MATCH('Summarized Source Data'!$C315,Hour,0)),Month,'Summarized Source Data'!$A315,Sector,'Summarized Source Data'!P$2,Subsector,"Total",TimeOfWeek,$E315)-SUM(L315:N315)*INDEX(About!L$79:L$82,MATCH($B315,About!$A$79:$A$82,0),1))</f>
        <v>79079919</v>
      </c>
      <c r="Q315" s="29">
        <f t="shared" si="23"/>
        <v>79079919</v>
      </c>
      <c r="R315" s="33">
        <f>SUMIFS(INDEX(Load,,MATCH('Summarized Source Data'!$C315,Hour,0)),Month,'Summarized Source Data'!$A315,Sector,'Summarized Source Data'!R$2,TimeOfWeek,$E315)*INDEX(About!N$79:N$82,MATCH($B315,About!$A$79:$A$82,0),1)</f>
        <v>3898252</v>
      </c>
      <c r="S315" s="33">
        <f>SUMIFS(INDEX(Load,,MATCH('Summarized Source Data'!$C315,Hour,0)),Month,'Summarized Source Data'!$A315,Sector,'Summarized Source Data'!S$2,TimeOfWeek,$E315)*INDEX(About!O$79:O$82,MATCH($B315,About!$A$79:$A$82,0),1)</f>
        <v>3898252</v>
      </c>
      <c r="T315" s="33">
        <f>SUMIFS(INDEX(Load,,MATCH('Summarized Source Data'!$C315,Hour,0)),Month,'Summarized Source Data'!$A315,Sector,'Summarized Source Data'!T$2,TimeOfWeek,$E315)*INDEX(About!P$79:P$82,MATCH($B315,About!$A$79:$A$82,0),1)</f>
        <v>3898252</v>
      </c>
      <c r="U315" s="33">
        <f>SUMIFS(INDEX(Load,,MATCH('Summarized Source Data'!$C315,Hour,0)),Month,'Summarized Source Data'!$A315,Sector,'Summarized Source Data'!U$2,TimeOfWeek,$E315)*INDEX(About!Q$79:Q$82,MATCH($B315,About!$A$79:$A$82,0),1)</f>
        <v>3898252</v>
      </c>
      <c r="V315" s="33">
        <f>SUMIFS(INDEX(Load,,MATCH('Summarized Source Data'!$C315,Hour,0)),Month,'Summarized Source Data'!$A315,Sector,'Summarized Source Data'!V$2,TimeOfWeek,$E315)*INDEX(About!R$79:R$82,MATCH($B315,About!$A$79:$A$82,0),1)</f>
        <v>3898252</v>
      </c>
      <c r="W315" s="33">
        <f>SUMIFS(INDEX(Load,,MATCH('Summarized Source Data'!$C315,Hour,0)),Month,'Summarized Source Data'!$A315,Sector,'Summarized Source Data'!W$2,TimeOfWeek,$E315)*INDEX(About!S$79:S$82,MATCH($B315,About!$A$79:$A$82,0),1)</f>
        <v>3898252</v>
      </c>
      <c r="X315" s="27">
        <f>SUMIFS(INDEX(Load,,MATCH('Summarized Source Data'!$C315,Hour,0)),Month,'Summarized Source Data'!$A315,Sector,'Summarized Source Data'!X$2,Subsector,'Summarized Source Data'!X$3,TimeOfWeek,$E315)*INDEX(About!T$79:T$82,MATCH($B315,About!$A$79:$A$82,0),1)</f>
        <v>344000000</v>
      </c>
      <c r="Y315" s="29">
        <f t="shared" si="24"/>
        <v>344000000</v>
      </c>
      <c r="Z315" s="29">
        <f t="shared" si="24"/>
        <v>344000000</v>
      </c>
    </row>
    <row r="316" spans="1:26" x14ac:dyDescent="0.3">
      <c r="A316">
        <f t="shared" si="25"/>
        <v>2</v>
      </c>
      <c r="B316" t="str">
        <f>INDEX('Category Mapping'!$G$28:$G$39,MATCH(A316,'Category Mapping'!$A$28:$A$39,0),1)</f>
        <v>Winter</v>
      </c>
      <c r="C316" t="s">
        <v>63</v>
      </c>
      <c r="D316" s="6" t="s">
        <v>138</v>
      </c>
      <c r="E316" s="46" t="s">
        <v>48</v>
      </c>
      <c r="F316" s="27">
        <f>SUMIFS(INDEX(Load,,MATCH('Summarized Source Data'!$C316,Hour,0)),Month,'Summarized Source Data'!$A316,Sector,'Summarized Source Data'!F$2,Subsector,'Summarized Source Data'!F$3,TimeOfWeek,$E316)*INDEX(About!B$79:B$82,MATCH($B316,About!$A$79:$A$82,0),1)</f>
        <v>9218859</v>
      </c>
      <c r="G316" s="27">
        <f>SUMIFS(INDEX(Load,,MATCH('Summarized Source Data'!$C316,Hour,0)),Month,'Summarized Source Data'!$A316,Sector,'Summarized Source Data'!G$2,Subsector,'Summarized Source Data'!G$3,TimeOfWeek,$E316)*INDEX(About!C$79:C$82,MATCH($B316,About!$A$79:$A$82,0),1)</f>
        <v>7225</v>
      </c>
      <c r="H316" s="27">
        <f>SUMIFS(INDEX(Load,,MATCH('Summarized Source Data'!$C316,Hour,0)),Month,'Summarized Source Data'!$A316,Sector,'Summarized Source Data'!H$2,Subsector,'Summarized Source Data'!H$3,TimeOfWeek,$E316)*INDEX(About!D$79:D$82,MATCH($B316,About!$A$79:$A$82,0),1)</f>
        <v>0</v>
      </c>
      <c r="I316" s="27">
        <f>SUMIFS(INDEX(Load,,MATCH('Summarized Source Data'!$C316,Hour,0)),Month,'Summarized Source Data'!$A316,Sector,'Summarized Source Data'!I$2,Subsector,'Summarized Source Data'!I$3,TimeOfWeek,$E316)*INDEX(About!E$79:E$82,MATCH($B316,About!$A$79:$A$82,0),1)</f>
        <v>6774368</v>
      </c>
      <c r="J316" s="54">
        <f t="shared" si="21"/>
        <v>38199548</v>
      </c>
      <c r="K316" s="27">
        <f>(SUMIFS(INDEX(Load,,MATCH('Summarized Source Data'!$C316,Hour,0)),Month,'Summarized Source Data'!$A316,Sector,'Summarized Source Data'!K$2,Subsector,"Total",TimeOfWeek,$E316)-SUM(F316:I316))*INDEX(About!G$79:G$82,MATCH($B316,About!$A$79:$A$82,0),1)</f>
        <v>38199548</v>
      </c>
      <c r="L316" s="27">
        <f>SUMIFS(INDEX(Load,,MATCH('Summarized Source Data'!$C316,Hour,0)),Month,'Summarized Source Data'!$A316,Sector,'Summarized Source Data'!L$2,Subsector,'Summarized Source Data'!L$3,TimeOfWeek,$E316)*INDEX(About!H$79:H$82,MATCH($B316,About!$A$79:$A$82,0),1)</f>
        <v>10900000</v>
      </c>
      <c r="M316" s="27">
        <f>SUMIFS(INDEX(Load,,MATCH('Summarized Source Data'!$C316,Hour,0)),Month,'Summarized Source Data'!$A316,Sector,'Summarized Source Data'!M$2,Subsector,'Summarized Source Data'!M$3,TimeOfWeek,$E316)*INDEX(About!I$79:I$82,MATCH($B316,About!$A$79:$A$82,0),1)</f>
        <v>21698</v>
      </c>
      <c r="N316" s="27">
        <f>SUMIFS(INDEX(Load,,MATCH('Summarized Source Data'!$C316,Hour,0)),Month,'Summarized Source Data'!$A316,Sector,'Summarized Source Data'!N$2,Subsector,'Summarized Source Data'!N$3,TimeOfWeek,$E316)*INDEX(About!J$79:J$82,MATCH($B316,About!$A$79:$A$82,0),1)</f>
        <v>0</v>
      </c>
      <c r="O316" s="29">
        <f t="shared" si="22"/>
        <v>78478302</v>
      </c>
      <c r="P316" s="27">
        <f>(SUMIFS(INDEX(Load,,MATCH('Summarized Source Data'!$C316,Hour,0)),Month,'Summarized Source Data'!$A316,Sector,'Summarized Source Data'!P$2,Subsector,"Total",TimeOfWeek,$E316)-SUM(L316:N316)*INDEX(About!L$79:L$82,MATCH($B316,About!$A$79:$A$82,0),1))</f>
        <v>78478302</v>
      </c>
      <c r="Q316" s="29">
        <f t="shared" si="23"/>
        <v>78478302</v>
      </c>
      <c r="R316" s="33">
        <f>SUMIFS(INDEX(Load,,MATCH('Summarized Source Data'!$C316,Hour,0)),Month,'Summarized Source Data'!$A316,Sector,'Summarized Source Data'!R$2,TimeOfWeek,$E316)*INDEX(About!N$79:N$82,MATCH($B316,About!$A$79:$A$82,0),1)</f>
        <v>2706245</v>
      </c>
      <c r="S316" s="33">
        <f>SUMIFS(INDEX(Load,,MATCH('Summarized Source Data'!$C316,Hour,0)),Month,'Summarized Source Data'!$A316,Sector,'Summarized Source Data'!S$2,TimeOfWeek,$E316)*INDEX(About!O$79:O$82,MATCH($B316,About!$A$79:$A$82,0),1)</f>
        <v>2706245</v>
      </c>
      <c r="T316" s="33">
        <f>SUMIFS(INDEX(Load,,MATCH('Summarized Source Data'!$C316,Hour,0)),Month,'Summarized Source Data'!$A316,Sector,'Summarized Source Data'!T$2,TimeOfWeek,$E316)*INDEX(About!P$79:P$82,MATCH($B316,About!$A$79:$A$82,0),1)</f>
        <v>2706245</v>
      </c>
      <c r="U316" s="33">
        <f>SUMIFS(INDEX(Load,,MATCH('Summarized Source Data'!$C316,Hour,0)),Month,'Summarized Source Data'!$A316,Sector,'Summarized Source Data'!U$2,TimeOfWeek,$E316)*INDEX(About!Q$79:Q$82,MATCH($B316,About!$A$79:$A$82,0),1)</f>
        <v>2706245</v>
      </c>
      <c r="V316" s="33">
        <f>SUMIFS(INDEX(Load,,MATCH('Summarized Source Data'!$C316,Hour,0)),Month,'Summarized Source Data'!$A316,Sector,'Summarized Source Data'!V$2,TimeOfWeek,$E316)*INDEX(About!R$79:R$82,MATCH($B316,About!$A$79:$A$82,0),1)</f>
        <v>2706245</v>
      </c>
      <c r="W316" s="33">
        <f>SUMIFS(INDEX(Load,,MATCH('Summarized Source Data'!$C316,Hour,0)),Month,'Summarized Source Data'!$A316,Sector,'Summarized Source Data'!W$2,TimeOfWeek,$E316)*INDEX(About!S$79:S$82,MATCH($B316,About!$A$79:$A$82,0),1)</f>
        <v>2706245</v>
      </c>
      <c r="X316" s="27">
        <f>SUMIFS(INDEX(Load,,MATCH('Summarized Source Data'!$C316,Hour,0)),Month,'Summarized Source Data'!$A316,Sector,'Summarized Source Data'!X$2,Subsector,'Summarized Source Data'!X$3,TimeOfWeek,$E316)*INDEX(About!T$79:T$82,MATCH($B316,About!$A$79:$A$82,0),1)</f>
        <v>344000000</v>
      </c>
      <c r="Y316" s="29">
        <f t="shared" si="24"/>
        <v>344000000</v>
      </c>
      <c r="Z316" s="29">
        <f t="shared" si="24"/>
        <v>344000000</v>
      </c>
    </row>
    <row r="317" spans="1:26" x14ac:dyDescent="0.3">
      <c r="A317">
        <f t="shared" si="25"/>
        <v>2</v>
      </c>
      <c r="B317" t="str">
        <f>INDEX('Category Mapping'!$G$28:$G$39,MATCH(A317,'Category Mapping'!$A$28:$A$39,0),1)</f>
        <v>Winter</v>
      </c>
      <c r="C317" t="s">
        <v>64</v>
      </c>
      <c r="D317" s="6" t="s">
        <v>139</v>
      </c>
      <c r="E317" s="46" t="s">
        <v>48</v>
      </c>
      <c r="F317" s="27">
        <f>SUMIFS(INDEX(Load,,MATCH('Summarized Source Data'!$C317,Hour,0)),Month,'Summarized Source Data'!$A317,Sector,'Summarized Source Data'!F$2,Subsector,'Summarized Source Data'!F$3,TimeOfWeek,$E317)*INDEX(About!B$79:B$82,MATCH($B317,About!$A$79:$A$82,0),1)</f>
        <v>9403205</v>
      </c>
      <c r="G317" s="27">
        <f>SUMIFS(INDEX(Load,,MATCH('Summarized Source Data'!$C317,Hour,0)),Month,'Summarized Source Data'!$A317,Sector,'Summarized Source Data'!G$2,Subsector,'Summarized Source Data'!G$3,TimeOfWeek,$E317)*INDEX(About!C$79:C$82,MATCH($B317,About!$A$79:$A$82,0),1)</f>
        <v>7336</v>
      </c>
      <c r="H317" s="27">
        <f>SUMIFS(INDEX(Load,,MATCH('Summarized Source Data'!$C317,Hour,0)),Month,'Summarized Source Data'!$A317,Sector,'Summarized Source Data'!H$2,Subsector,'Summarized Source Data'!H$3,TimeOfWeek,$E317)*INDEX(About!D$79:D$82,MATCH($B317,About!$A$79:$A$82,0),1)</f>
        <v>0</v>
      </c>
      <c r="I317" s="27">
        <f>SUMIFS(INDEX(Load,,MATCH('Summarized Source Data'!$C317,Hour,0)),Month,'Summarized Source Data'!$A317,Sector,'Summarized Source Data'!I$2,Subsector,'Summarized Source Data'!I$3,TimeOfWeek,$E317)*INDEX(About!E$79:E$82,MATCH($B317,About!$A$79:$A$82,0),1)</f>
        <v>5853012</v>
      </c>
      <c r="J317" s="54">
        <f t="shared" si="21"/>
        <v>29636447</v>
      </c>
      <c r="K317" s="27">
        <f>(SUMIFS(INDEX(Load,,MATCH('Summarized Source Data'!$C317,Hour,0)),Month,'Summarized Source Data'!$A317,Sector,'Summarized Source Data'!K$2,Subsector,"Total",TimeOfWeek,$E317)-SUM(F317:I317))*INDEX(About!G$79:G$82,MATCH($B317,About!$A$79:$A$82,0),1)</f>
        <v>29636447</v>
      </c>
      <c r="L317" s="27">
        <f>SUMIFS(INDEX(Load,,MATCH('Summarized Source Data'!$C317,Hour,0)),Month,'Summarized Source Data'!$A317,Sector,'Summarized Source Data'!L$2,Subsector,'Summarized Source Data'!L$3,TimeOfWeek,$E317)*INDEX(About!H$79:H$82,MATCH($B317,About!$A$79:$A$82,0),1)</f>
        <v>10100000</v>
      </c>
      <c r="M317" s="27">
        <f>SUMIFS(INDEX(Load,,MATCH('Summarized Source Data'!$C317,Hour,0)),Month,'Summarized Source Data'!$A317,Sector,'Summarized Source Data'!M$2,Subsector,'Summarized Source Data'!M$3,TimeOfWeek,$E317)*INDEX(About!I$79:I$82,MATCH($B317,About!$A$79:$A$82,0),1)</f>
        <v>21236</v>
      </c>
      <c r="N317" s="27">
        <f>SUMIFS(INDEX(Load,,MATCH('Summarized Source Data'!$C317,Hour,0)),Month,'Summarized Source Data'!$A317,Sector,'Summarized Source Data'!N$2,Subsector,'Summarized Source Data'!N$3,TimeOfWeek,$E317)*INDEX(About!J$79:J$82,MATCH($B317,About!$A$79:$A$82,0),1)</f>
        <v>0</v>
      </c>
      <c r="O317" s="29">
        <f t="shared" si="22"/>
        <v>68478764</v>
      </c>
      <c r="P317" s="27">
        <f>(SUMIFS(INDEX(Load,,MATCH('Summarized Source Data'!$C317,Hour,0)),Month,'Summarized Source Data'!$A317,Sector,'Summarized Source Data'!P$2,Subsector,"Total",TimeOfWeek,$E317)-SUM(L317:N317)*INDEX(About!L$79:L$82,MATCH($B317,About!$A$79:$A$82,0),1))</f>
        <v>68478764</v>
      </c>
      <c r="Q317" s="29">
        <f t="shared" si="23"/>
        <v>68478764</v>
      </c>
      <c r="R317" s="33">
        <f>SUMIFS(INDEX(Load,,MATCH('Summarized Source Data'!$C317,Hour,0)),Month,'Summarized Source Data'!$A317,Sector,'Summarized Source Data'!R$2,TimeOfWeek,$E317)*INDEX(About!N$79:N$82,MATCH($B317,About!$A$79:$A$82,0),1)</f>
        <v>2577425</v>
      </c>
      <c r="S317" s="33">
        <f>SUMIFS(INDEX(Load,,MATCH('Summarized Source Data'!$C317,Hour,0)),Month,'Summarized Source Data'!$A317,Sector,'Summarized Source Data'!S$2,TimeOfWeek,$E317)*INDEX(About!O$79:O$82,MATCH($B317,About!$A$79:$A$82,0),1)</f>
        <v>2577425</v>
      </c>
      <c r="T317" s="33">
        <f>SUMIFS(INDEX(Load,,MATCH('Summarized Source Data'!$C317,Hour,0)),Month,'Summarized Source Data'!$A317,Sector,'Summarized Source Data'!T$2,TimeOfWeek,$E317)*INDEX(About!P$79:P$82,MATCH($B317,About!$A$79:$A$82,0),1)</f>
        <v>2577425</v>
      </c>
      <c r="U317" s="33">
        <f>SUMIFS(INDEX(Load,,MATCH('Summarized Source Data'!$C317,Hour,0)),Month,'Summarized Source Data'!$A317,Sector,'Summarized Source Data'!U$2,TimeOfWeek,$E317)*INDEX(About!Q$79:Q$82,MATCH($B317,About!$A$79:$A$82,0),1)</f>
        <v>2577425</v>
      </c>
      <c r="V317" s="33">
        <f>SUMIFS(INDEX(Load,,MATCH('Summarized Source Data'!$C317,Hour,0)),Month,'Summarized Source Data'!$A317,Sector,'Summarized Source Data'!V$2,TimeOfWeek,$E317)*INDEX(About!R$79:R$82,MATCH($B317,About!$A$79:$A$82,0),1)</f>
        <v>2577425</v>
      </c>
      <c r="W317" s="33">
        <f>SUMIFS(INDEX(Load,,MATCH('Summarized Source Data'!$C317,Hour,0)),Month,'Summarized Source Data'!$A317,Sector,'Summarized Source Data'!W$2,TimeOfWeek,$E317)*INDEX(About!S$79:S$82,MATCH($B317,About!$A$79:$A$82,0),1)</f>
        <v>2577425</v>
      </c>
      <c r="X317" s="27">
        <f>SUMIFS(INDEX(Load,,MATCH('Summarized Source Data'!$C317,Hour,0)),Month,'Summarized Source Data'!$A317,Sector,'Summarized Source Data'!X$2,Subsector,'Summarized Source Data'!X$3,TimeOfWeek,$E317)*INDEX(About!T$79:T$82,MATCH($B317,About!$A$79:$A$82,0),1)</f>
        <v>343000000</v>
      </c>
      <c r="Y317" s="29">
        <f t="shared" si="24"/>
        <v>343000000</v>
      </c>
      <c r="Z317" s="29">
        <f t="shared" si="24"/>
        <v>343000000</v>
      </c>
    </row>
    <row r="318" spans="1:26" x14ac:dyDescent="0.3">
      <c r="A318">
        <f t="shared" si="25"/>
        <v>2</v>
      </c>
      <c r="B318" t="str">
        <f>INDEX('Category Mapping'!$G$28:$G$39,MATCH(A318,'Category Mapping'!$A$28:$A$39,0),1)</f>
        <v>Winter</v>
      </c>
      <c r="C318" t="s">
        <v>65</v>
      </c>
      <c r="D318" s="6" t="s">
        <v>140</v>
      </c>
      <c r="E318" s="46" t="s">
        <v>48</v>
      </c>
      <c r="F318" s="27">
        <f>SUMIFS(INDEX(Load,,MATCH('Summarized Source Data'!$C318,Hour,0)),Month,'Summarized Source Data'!$A318,Sector,'Summarized Source Data'!F$2,Subsector,'Summarized Source Data'!F$3,TimeOfWeek,$E318)*INDEX(About!B$79:B$82,MATCH($B318,About!$A$79:$A$82,0),1)</f>
        <v>9465939</v>
      </c>
      <c r="G318" s="27">
        <f>SUMIFS(INDEX(Load,,MATCH('Summarized Source Data'!$C318,Hour,0)),Month,'Summarized Source Data'!$A318,Sector,'Summarized Source Data'!G$2,Subsector,'Summarized Source Data'!G$3,TimeOfWeek,$E318)*INDEX(About!C$79:C$82,MATCH($B318,About!$A$79:$A$82,0),1)</f>
        <v>7433</v>
      </c>
      <c r="H318" s="27">
        <f>SUMIFS(INDEX(Load,,MATCH('Summarized Source Data'!$C318,Hour,0)),Month,'Summarized Source Data'!$A318,Sector,'Summarized Source Data'!H$2,Subsector,'Summarized Source Data'!H$3,TimeOfWeek,$E318)*INDEX(About!D$79:D$82,MATCH($B318,About!$A$79:$A$82,0),1)</f>
        <v>0</v>
      </c>
      <c r="I318" s="27">
        <f>SUMIFS(INDEX(Load,,MATCH('Summarized Source Data'!$C318,Hour,0)),Month,'Summarized Source Data'!$A318,Sector,'Summarized Source Data'!I$2,Subsector,'Summarized Source Data'!I$3,TimeOfWeek,$E318)*INDEX(About!E$79:E$82,MATCH($B318,About!$A$79:$A$82,0),1)</f>
        <v>5652957</v>
      </c>
      <c r="J318" s="54">
        <f t="shared" si="21"/>
        <v>23173671</v>
      </c>
      <c r="K318" s="27">
        <f>(SUMIFS(INDEX(Load,,MATCH('Summarized Source Data'!$C318,Hour,0)),Month,'Summarized Source Data'!$A318,Sector,'Summarized Source Data'!K$2,Subsector,"Total",TimeOfWeek,$E318)-SUM(F318:I318))*INDEX(About!G$79:G$82,MATCH($B318,About!$A$79:$A$82,0),1)</f>
        <v>23173671</v>
      </c>
      <c r="L318" s="27">
        <f>SUMIFS(INDEX(Load,,MATCH('Summarized Source Data'!$C318,Hour,0)),Month,'Summarized Source Data'!$A318,Sector,'Summarized Source Data'!L$2,Subsector,'Summarized Source Data'!L$3,TimeOfWeek,$E318)*INDEX(About!H$79:H$82,MATCH($B318,About!$A$79:$A$82,0),1)</f>
        <v>9070712</v>
      </c>
      <c r="M318" s="27">
        <f>SUMIFS(INDEX(Load,,MATCH('Summarized Source Data'!$C318,Hour,0)),Month,'Summarized Source Data'!$A318,Sector,'Summarized Source Data'!M$2,Subsector,'Summarized Source Data'!M$3,TimeOfWeek,$E318)*INDEX(About!I$79:I$82,MATCH($B318,About!$A$79:$A$82,0),1)</f>
        <v>21043</v>
      </c>
      <c r="N318" s="27">
        <f>SUMIFS(INDEX(Load,,MATCH('Summarized Source Data'!$C318,Hour,0)),Month,'Summarized Source Data'!$A318,Sector,'Summarized Source Data'!N$2,Subsector,'Summarized Source Data'!N$3,TimeOfWeek,$E318)*INDEX(About!J$79:J$82,MATCH($B318,About!$A$79:$A$82,0),1)</f>
        <v>0</v>
      </c>
      <c r="O318" s="29">
        <f t="shared" si="22"/>
        <v>67608245</v>
      </c>
      <c r="P318" s="27">
        <f>(SUMIFS(INDEX(Load,,MATCH('Summarized Source Data'!$C318,Hour,0)),Month,'Summarized Source Data'!$A318,Sector,'Summarized Source Data'!P$2,Subsector,"Total",TimeOfWeek,$E318)-SUM(L318:N318)*INDEX(About!L$79:L$82,MATCH($B318,About!$A$79:$A$82,0),1))</f>
        <v>67608245</v>
      </c>
      <c r="Q318" s="29">
        <f t="shared" si="23"/>
        <v>67608245</v>
      </c>
      <c r="R318" s="33">
        <f>SUMIFS(INDEX(Load,,MATCH('Summarized Source Data'!$C318,Hour,0)),Month,'Summarized Source Data'!$A318,Sector,'Summarized Source Data'!R$2,TimeOfWeek,$E318)*INDEX(About!N$79:N$82,MATCH($B318,About!$A$79:$A$82,0),1)</f>
        <v>2542292</v>
      </c>
      <c r="S318" s="33">
        <f>SUMIFS(INDEX(Load,,MATCH('Summarized Source Data'!$C318,Hour,0)),Month,'Summarized Source Data'!$A318,Sector,'Summarized Source Data'!S$2,TimeOfWeek,$E318)*INDEX(About!O$79:O$82,MATCH($B318,About!$A$79:$A$82,0),1)</f>
        <v>2542292</v>
      </c>
      <c r="T318" s="33">
        <f>SUMIFS(INDEX(Load,,MATCH('Summarized Source Data'!$C318,Hour,0)),Month,'Summarized Source Data'!$A318,Sector,'Summarized Source Data'!T$2,TimeOfWeek,$E318)*INDEX(About!P$79:P$82,MATCH($B318,About!$A$79:$A$82,0),1)</f>
        <v>2542292</v>
      </c>
      <c r="U318" s="33">
        <f>SUMIFS(INDEX(Load,,MATCH('Summarized Source Data'!$C318,Hour,0)),Month,'Summarized Source Data'!$A318,Sector,'Summarized Source Data'!U$2,TimeOfWeek,$E318)*INDEX(About!Q$79:Q$82,MATCH($B318,About!$A$79:$A$82,0),1)</f>
        <v>2542292</v>
      </c>
      <c r="V318" s="33">
        <f>SUMIFS(INDEX(Load,,MATCH('Summarized Source Data'!$C318,Hour,0)),Month,'Summarized Source Data'!$A318,Sector,'Summarized Source Data'!V$2,TimeOfWeek,$E318)*INDEX(About!R$79:R$82,MATCH($B318,About!$A$79:$A$82,0),1)</f>
        <v>2542292</v>
      </c>
      <c r="W318" s="33">
        <f>SUMIFS(INDEX(Load,,MATCH('Summarized Source Data'!$C318,Hour,0)),Month,'Summarized Source Data'!$A318,Sector,'Summarized Source Data'!W$2,TimeOfWeek,$E318)*INDEX(About!S$79:S$82,MATCH($B318,About!$A$79:$A$82,0),1)</f>
        <v>2542292</v>
      </c>
      <c r="X318" s="27">
        <f>SUMIFS(INDEX(Load,,MATCH('Summarized Source Data'!$C318,Hour,0)),Month,'Summarized Source Data'!$A318,Sector,'Summarized Source Data'!X$2,Subsector,'Summarized Source Data'!X$3,TimeOfWeek,$E318)*INDEX(About!T$79:T$82,MATCH($B318,About!$A$79:$A$82,0),1)</f>
        <v>343000000</v>
      </c>
      <c r="Y318" s="29">
        <f t="shared" si="24"/>
        <v>343000000</v>
      </c>
      <c r="Z318" s="29">
        <f t="shared" si="24"/>
        <v>343000000</v>
      </c>
    </row>
    <row r="319" spans="1:26" x14ac:dyDescent="0.3">
      <c r="A319">
        <f t="shared" si="25"/>
        <v>2</v>
      </c>
      <c r="B319" t="str">
        <f>INDEX('Category Mapping'!$G$28:$G$39,MATCH(A319,'Category Mapping'!$A$28:$A$39,0),1)</f>
        <v>Winter</v>
      </c>
      <c r="C319" t="s">
        <v>66</v>
      </c>
      <c r="D319" s="6" t="s">
        <v>141</v>
      </c>
      <c r="E319" s="46" t="s">
        <v>48</v>
      </c>
      <c r="F319" s="27">
        <f>SUMIFS(INDEX(Load,,MATCH('Summarized Source Data'!$C319,Hour,0)),Month,'Summarized Source Data'!$A319,Sector,'Summarized Source Data'!F$2,Subsector,'Summarized Source Data'!F$3,TimeOfWeek,$E319)*INDEX(About!B$79:B$82,MATCH($B319,About!$A$79:$A$82,0),1)</f>
        <v>9403205</v>
      </c>
      <c r="G319" s="27">
        <f>SUMIFS(INDEX(Load,,MATCH('Summarized Source Data'!$C319,Hour,0)),Month,'Summarized Source Data'!$A319,Sector,'Summarized Source Data'!G$2,Subsector,'Summarized Source Data'!G$3,TimeOfWeek,$E319)*INDEX(About!C$79:C$82,MATCH($B319,About!$A$79:$A$82,0),1)</f>
        <v>7447</v>
      </c>
      <c r="H319" s="27">
        <f>SUMIFS(INDEX(Load,,MATCH('Summarized Source Data'!$C319,Hour,0)),Month,'Summarized Source Data'!$A319,Sector,'Summarized Source Data'!H$2,Subsector,'Summarized Source Data'!H$3,TimeOfWeek,$E319)*INDEX(About!D$79:D$82,MATCH($B319,About!$A$79:$A$82,0),1)</f>
        <v>0</v>
      </c>
      <c r="I319" s="27">
        <f>SUMIFS(INDEX(Load,,MATCH('Summarized Source Data'!$C319,Hour,0)),Month,'Summarized Source Data'!$A319,Sector,'Summarized Source Data'!I$2,Subsector,'Summarized Source Data'!I$3,TimeOfWeek,$E319)*INDEX(About!E$79:E$82,MATCH($B319,About!$A$79:$A$82,0),1)</f>
        <v>5648185</v>
      </c>
      <c r="J319" s="54">
        <f t="shared" si="21"/>
        <v>19241163</v>
      </c>
      <c r="K319" s="27">
        <f>(SUMIFS(INDEX(Load,,MATCH('Summarized Source Data'!$C319,Hour,0)),Month,'Summarized Source Data'!$A319,Sector,'Summarized Source Data'!K$2,Subsector,"Total",TimeOfWeek,$E319)-SUM(F319:I319))*INDEX(About!G$79:G$82,MATCH($B319,About!$A$79:$A$82,0),1)</f>
        <v>19241163</v>
      </c>
      <c r="L319" s="27">
        <f>SUMIFS(INDEX(Load,,MATCH('Summarized Source Data'!$C319,Hour,0)),Month,'Summarized Source Data'!$A319,Sector,'Summarized Source Data'!L$2,Subsector,'Summarized Source Data'!L$3,TimeOfWeek,$E319)*INDEX(About!H$79:H$82,MATCH($B319,About!$A$79:$A$82,0),1)</f>
        <v>9474688</v>
      </c>
      <c r="M319" s="27">
        <f>SUMIFS(INDEX(Load,,MATCH('Summarized Source Data'!$C319,Hour,0)),Month,'Summarized Source Data'!$A319,Sector,'Summarized Source Data'!M$2,Subsector,'Summarized Source Data'!M$3,TimeOfWeek,$E319)*INDEX(About!I$79:I$82,MATCH($B319,About!$A$79:$A$82,0),1)</f>
        <v>20935</v>
      </c>
      <c r="N319" s="27">
        <f>SUMIFS(INDEX(Load,,MATCH('Summarized Source Data'!$C319,Hour,0)),Month,'Summarized Source Data'!$A319,Sector,'Summarized Source Data'!N$2,Subsector,'Summarized Source Data'!N$3,TimeOfWeek,$E319)*INDEX(About!J$79:J$82,MATCH($B319,About!$A$79:$A$82,0),1)</f>
        <v>0</v>
      </c>
      <c r="O319" s="29">
        <f t="shared" si="22"/>
        <v>68204377</v>
      </c>
      <c r="P319" s="27">
        <f>(SUMIFS(INDEX(Load,,MATCH('Summarized Source Data'!$C319,Hour,0)),Month,'Summarized Source Data'!$A319,Sector,'Summarized Source Data'!P$2,Subsector,"Total",TimeOfWeek,$E319)-SUM(L319:N319)*INDEX(About!L$79:L$82,MATCH($B319,About!$A$79:$A$82,0),1))</f>
        <v>68204377</v>
      </c>
      <c r="Q319" s="29">
        <f t="shared" si="23"/>
        <v>68204377</v>
      </c>
      <c r="R319" s="33">
        <f>SUMIFS(INDEX(Load,,MATCH('Summarized Source Data'!$C319,Hour,0)),Month,'Summarized Source Data'!$A319,Sector,'Summarized Source Data'!R$2,TimeOfWeek,$E319)*INDEX(About!N$79:N$82,MATCH($B319,About!$A$79:$A$82,0),1)</f>
        <v>2542292</v>
      </c>
      <c r="S319" s="33">
        <f>SUMIFS(INDEX(Load,,MATCH('Summarized Source Data'!$C319,Hour,0)),Month,'Summarized Source Data'!$A319,Sector,'Summarized Source Data'!S$2,TimeOfWeek,$E319)*INDEX(About!O$79:O$82,MATCH($B319,About!$A$79:$A$82,0),1)</f>
        <v>2542292</v>
      </c>
      <c r="T319" s="33">
        <f>SUMIFS(INDEX(Load,,MATCH('Summarized Source Data'!$C319,Hour,0)),Month,'Summarized Source Data'!$A319,Sector,'Summarized Source Data'!T$2,TimeOfWeek,$E319)*INDEX(About!P$79:P$82,MATCH($B319,About!$A$79:$A$82,0),1)</f>
        <v>2542292</v>
      </c>
      <c r="U319" s="33">
        <f>SUMIFS(INDEX(Load,,MATCH('Summarized Source Data'!$C319,Hour,0)),Month,'Summarized Source Data'!$A319,Sector,'Summarized Source Data'!U$2,TimeOfWeek,$E319)*INDEX(About!Q$79:Q$82,MATCH($B319,About!$A$79:$A$82,0),1)</f>
        <v>2542292</v>
      </c>
      <c r="V319" s="33">
        <f>SUMIFS(INDEX(Load,,MATCH('Summarized Source Data'!$C319,Hour,0)),Month,'Summarized Source Data'!$A319,Sector,'Summarized Source Data'!V$2,TimeOfWeek,$E319)*INDEX(About!R$79:R$82,MATCH($B319,About!$A$79:$A$82,0),1)</f>
        <v>2542292</v>
      </c>
      <c r="W319" s="33">
        <f>SUMIFS(INDEX(Load,,MATCH('Summarized Source Data'!$C319,Hour,0)),Month,'Summarized Source Data'!$A319,Sector,'Summarized Source Data'!W$2,TimeOfWeek,$E319)*INDEX(About!S$79:S$82,MATCH($B319,About!$A$79:$A$82,0),1)</f>
        <v>2542292</v>
      </c>
      <c r="X319" s="27">
        <f>SUMIFS(INDEX(Load,,MATCH('Summarized Source Data'!$C319,Hour,0)),Month,'Summarized Source Data'!$A319,Sector,'Summarized Source Data'!X$2,Subsector,'Summarized Source Data'!X$3,TimeOfWeek,$E319)*INDEX(About!T$79:T$82,MATCH($B319,About!$A$79:$A$82,0),1)</f>
        <v>344000000</v>
      </c>
      <c r="Y319" s="29">
        <f t="shared" si="24"/>
        <v>344000000</v>
      </c>
      <c r="Z319" s="29">
        <f t="shared" si="24"/>
        <v>344000000</v>
      </c>
    </row>
    <row r="320" spans="1:26" x14ac:dyDescent="0.3">
      <c r="A320">
        <f t="shared" si="25"/>
        <v>2</v>
      </c>
      <c r="B320" t="str">
        <f>INDEX('Category Mapping'!$G$28:$G$39,MATCH(A320,'Category Mapping'!$A$28:$A$39,0),1)</f>
        <v>Winter</v>
      </c>
      <c r="C320" t="s">
        <v>67</v>
      </c>
      <c r="D320" s="6" t="s">
        <v>142</v>
      </c>
      <c r="E320" s="46" t="s">
        <v>48</v>
      </c>
      <c r="F320" s="27">
        <f>SUMIFS(INDEX(Load,,MATCH('Summarized Source Data'!$C320,Hour,0)),Month,'Summarized Source Data'!$A320,Sector,'Summarized Source Data'!F$2,Subsector,'Summarized Source Data'!F$3,TimeOfWeek,$E320)*INDEX(About!B$79:B$82,MATCH($B320,About!$A$79:$A$82,0),1)</f>
        <v>9218859</v>
      </c>
      <c r="G320" s="27">
        <f>SUMIFS(INDEX(Load,,MATCH('Summarized Source Data'!$C320,Hour,0)),Month,'Summarized Source Data'!$A320,Sector,'Summarized Source Data'!G$2,Subsector,'Summarized Source Data'!G$3,TimeOfWeek,$E320)*INDEX(About!C$79:C$82,MATCH($B320,About!$A$79:$A$82,0),1)</f>
        <v>7423</v>
      </c>
      <c r="H320" s="27">
        <f>SUMIFS(INDEX(Load,,MATCH('Summarized Source Data'!$C320,Hour,0)),Month,'Summarized Source Data'!$A320,Sector,'Summarized Source Data'!H$2,Subsector,'Summarized Source Data'!H$3,TimeOfWeek,$E320)*INDEX(About!D$79:D$82,MATCH($B320,About!$A$79:$A$82,0),1)</f>
        <v>0</v>
      </c>
      <c r="I320" s="27">
        <f>SUMIFS(INDEX(Load,,MATCH('Summarized Source Data'!$C320,Hour,0)),Month,'Summarized Source Data'!$A320,Sector,'Summarized Source Data'!I$2,Subsector,'Summarized Source Data'!I$3,TimeOfWeek,$E320)*INDEX(About!E$79:E$82,MATCH($B320,About!$A$79:$A$82,0),1)</f>
        <v>5945257</v>
      </c>
      <c r="J320" s="54">
        <f t="shared" si="21"/>
        <v>19628461</v>
      </c>
      <c r="K320" s="27">
        <f>(SUMIFS(INDEX(Load,,MATCH('Summarized Source Data'!$C320,Hour,0)),Month,'Summarized Source Data'!$A320,Sector,'Summarized Source Data'!K$2,Subsector,"Total",TimeOfWeek,$E320)-SUM(F320:I320))*INDEX(About!G$79:G$82,MATCH($B320,About!$A$79:$A$82,0),1)</f>
        <v>19628461</v>
      </c>
      <c r="L320" s="27">
        <f>SUMIFS(INDEX(Load,,MATCH('Summarized Source Data'!$C320,Hour,0)),Month,'Summarized Source Data'!$A320,Sector,'Summarized Source Data'!L$2,Subsector,'Summarized Source Data'!L$3,TimeOfWeek,$E320)*INDEX(About!H$79:H$82,MATCH($B320,About!$A$79:$A$82,0),1)</f>
        <v>10000000</v>
      </c>
      <c r="M320" s="27">
        <f>SUMIFS(INDEX(Load,,MATCH('Summarized Source Data'!$C320,Hour,0)),Month,'Summarized Source Data'!$A320,Sector,'Summarized Source Data'!M$2,Subsector,'Summarized Source Data'!M$3,TimeOfWeek,$E320)*INDEX(About!I$79:I$82,MATCH($B320,About!$A$79:$A$82,0),1)</f>
        <v>20911</v>
      </c>
      <c r="N320" s="27">
        <f>SUMIFS(INDEX(Load,,MATCH('Summarized Source Data'!$C320,Hour,0)),Month,'Summarized Source Data'!$A320,Sector,'Summarized Source Data'!N$2,Subsector,'Summarized Source Data'!N$3,TimeOfWeek,$E320)*INDEX(About!J$79:J$82,MATCH($B320,About!$A$79:$A$82,0),1)</f>
        <v>0</v>
      </c>
      <c r="O320" s="29">
        <f t="shared" si="22"/>
        <v>69379089</v>
      </c>
      <c r="P320" s="27">
        <f>(SUMIFS(INDEX(Load,,MATCH('Summarized Source Data'!$C320,Hour,0)),Month,'Summarized Source Data'!$A320,Sector,'Summarized Source Data'!P$2,Subsector,"Total",TimeOfWeek,$E320)-SUM(L320:N320)*INDEX(About!L$79:L$82,MATCH($B320,About!$A$79:$A$82,0),1))</f>
        <v>69379089</v>
      </c>
      <c r="Q320" s="29">
        <f t="shared" si="23"/>
        <v>69379089</v>
      </c>
      <c r="R320" s="33">
        <f>SUMIFS(INDEX(Load,,MATCH('Summarized Source Data'!$C320,Hour,0)),Month,'Summarized Source Data'!$A320,Sector,'Summarized Source Data'!R$2,TimeOfWeek,$E320)*INDEX(About!N$79:N$82,MATCH($B320,About!$A$79:$A$82,0),1)</f>
        <v>2530581</v>
      </c>
      <c r="S320" s="33">
        <f>SUMIFS(INDEX(Load,,MATCH('Summarized Source Data'!$C320,Hour,0)),Month,'Summarized Source Data'!$A320,Sector,'Summarized Source Data'!S$2,TimeOfWeek,$E320)*INDEX(About!O$79:O$82,MATCH($B320,About!$A$79:$A$82,0),1)</f>
        <v>2530581</v>
      </c>
      <c r="T320" s="33">
        <f>SUMIFS(INDEX(Load,,MATCH('Summarized Source Data'!$C320,Hour,0)),Month,'Summarized Source Data'!$A320,Sector,'Summarized Source Data'!T$2,TimeOfWeek,$E320)*INDEX(About!P$79:P$82,MATCH($B320,About!$A$79:$A$82,0),1)</f>
        <v>2530581</v>
      </c>
      <c r="U320" s="33">
        <f>SUMIFS(INDEX(Load,,MATCH('Summarized Source Data'!$C320,Hour,0)),Month,'Summarized Source Data'!$A320,Sector,'Summarized Source Data'!U$2,TimeOfWeek,$E320)*INDEX(About!Q$79:Q$82,MATCH($B320,About!$A$79:$A$82,0),1)</f>
        <v>2530581</v>
      </c>
      <c r="V320" s="33">
        <f>SUMIFS(INDEX(Load,,MATCH('Summarized Source Data'!$C320,Hour,0)),Month,'Summarized Source Data'!$A320,Sector,'Summarized Source Data'!V$2,TimeOfWeek,$E320)*INDEX(About!R$79:R$82,MATCH($B320,About!$A$79:$A$82,0),1)</f>
        <v>2530581</v>
      </c>
      <c r="W320" s="33">
        <f>SUMIFS(INDEX(Load,,MATCH('Summarized Source Data'!$C320,Hour,0)),Month,'Summarized Source Data'!$A320,Sector,'Summarized Source Data'!W$2,TimeOfWeek,$E320)*INDEX(About!S$79:S$82,MATCH($B320,About!$A$79:$A$82,0),1)</f>
        <v>2530581</v>
      </c>
      <c r="X320" s="27">
        <f>SUMIFS(INDEX(Load,,MATCH('Summarized Source Data'!$C320,Hour,0)),Month,'Summarized Source Data'!$A320,Sector,'Summarized Source Data'!X$2,Subsector,'Summarized Source Data'!X$3,TimeOfWeek,$E320)*INDEX(About!T$79:T$82,MATCH($B320,About!$A$79:$A$82,0),1)</f>
        <v>347000000</v>
      </c>
      <c r="Y320" s="29">
        <f t="shared" si="24"/>
        <v>347000000</v>
      </c>
      <c r="Z320" s="29">
        <f t="shared" si="24"/>
        <v>347000000</v>
      </c>
    </row>
    <row r="321" spans="1:26" x14ac:dyDescent="0.3">
      <c r="A321">
        <f t="shared" si="25"/>
        <v>2</v>
      </c>
      <c r="B321" t="str">
        <f>INDEX('Category Mapping'!$G$28:$G$39,MATCH(A321,'Category Mapping'!$A$28:$A$39,0),1)</f>
        <v>Winter</v>
      </c>
      <c r="C321" t="s">
        <v>68</v>
      </c>
      <c r="D321" s="6" t="s">
        <v>143</v>
      </c>
      <c r="E321" s="46" t="s">
        <v>48</v>
      </c>
      <c r="F321" s="27">
        <f>SUMIFS(INDEX(Load,,MATCH('Summarized Source Data'!$C321,Hour,0)),Month,'Summarized Source Data'!$A321,Sector,'Summarized Source Data'!F$2,Subsector,'Summarized Source Data'!F$3,TimeOfWeek,$E321)*INDEX(About!B$79:B$82,MATCH($B321,About!$A$79:$A$82,0),1)</f>
        <v>9685058</v>
      </c>
      <c r="G321" s="27">
        <f>SUMIFS(INDEX(Load,,MATCH('Summarized Source Data'!$C321,Hour,0)),Month,'Summarized Source Data'!$A321,Sector,'Summarized Source Data'!G$2,Subsector,'Summarized Source Data'!G$3,TimeOfWeek,$E321)*INDEX(About!C$79:C$82,MATCH($B321,About!$A$79:$A$82,0),1)</f>
        <v>7290</v>
      </c>
      <c r="H321" s="27">
        <f>SUMIFS(INDEX(Load,,MATCH('Summarized Source Data'!$C321,Hour,0)),Month,'Summarized Source Data'!$A321,Sector,'Summarized Source Data'!H$2,Subsector,'Summarized Source Data'!H$3,TimeOfWeek,$E321)*INDEX(About!D$79:D$82,MATCH($B321,About!$A$79:$A$82,0),1)</f>
        <v>0</v>
      </c>
      <c r="I321" s="27">
        <f>SUMIFS(INDEX(Load,,MATCH('Summarized Source Data'!$C321,Hour,0)),Month,'Summarized Source Data'!$A321,Sector,'Summarized Source Data'!I$2,Subsector,'Summarized Source Data'!I$3,TimeOfWeek,$E321)*INDEX(About!E$79:E$82,MATCH($B321,About!$A$79:$A$82,0),1)</f>
        <v>7704840</v>
      </c>
      <c r="J321" s="54">
        <f t="shared" si="21"/>
        <v>22702812</v>
      </c>
      <c r="K321" s="27">
        <f>(SUMIFS(INDEX(Load,,MATCH('Summarized Source Data'!$C321,Hour,0)),Month,'Summarized Source Data'!$A321,Sector,'Summarized Source Data'!K$2,Subsector,"Total",TimeOfWeek,$E321)-SUM(F321:I321))*INDEX(About!G$79:G$82,MATCH($B321,About!$A$79:$A$82,0),1)</f>
        <v>22702812</v>
      </c>
      <c r="L321" s="27">
        <f>SUMIFS(INDEX(Load,,MATCH('Summarized Source Data'!$C321,Hour,0)),Month,'Summarized Source Data'!$A321,Sector,'Summarized Source Data'!L$2,Subsector,'Summarized Source Data'!L$3,TimeOfWeek,$E321)*INDEX(About!H$79:H$82,MATCH($B321,About!$A$79:$A$82,0),1)</f>
        <v>10400000</v>
      </c>
      <c r="M321" s="27">
        <f>SUMIFS(INDEX(Load,,MATCH('Summarized Source Data'!$C321,Hour,0)),Month,'Summarized Source Data'!$A321,Sector,'Summarized Source Data'!M$2,Subsector,'Summarized Source Data'!M$3,TimeOfWeek,$E321)*INDEX(About!I$79:I$82,MATCH($B321,About!$A$79:$A$82,0),1)</f>
        <v>21140</v>
      </c>
      <c r="N321" s="27">
        <f>SUMIFS(INDEX(Load,,MATCH('Summarized Source Data'!$C321,Hour,0)),Month,'Summarized Source Data'!$A321,Sector,'Summarized Source Data'!N$2,Subsector,'Summarized Source Data'!N$3,TimeOfWeek,$E321)*INDEX(About!J$79:J$82,MATCH($B321,About!$A$79:$A$82,0),1)</f>
        <v>0</v>
      </c>
      <c r="O321" s="29">
        <f t="shared" si="22"/>
        <v>74078860</v>
      </c>
      <c r="P321" s="27">
        <f>(SUMIFS(INDEX(Load,,MATCH('Summarized Source Data'!$C321,Hour,0)),Month,'Summarized Source Data'!$A321,Sector,'Summarized Source Data'!P$2,Subsector,"Total",TimeOfWeek,$E321)-SUM(L321:N321)*INDEX(About!L$79:L$82,MATCH($B321,About!$A$79:$A$82,0),1))</f>
        <v>74078860</v>
      </c>
      <c r="Q321" s="29">
        <f t="shared" si="23"/>
        <v>74078860</v>
      </c>
      <c r="R321" s="33">
        <f>SUMIFS(INDEX(Load,,MATCH('Summarized Source Data'!$C321,Hour,0)),Month,'Summarized Source Data'!$A321,Sector,'Summarized Source Data'!R$2,TimeOfWeek,$E321)*INDEX(About!N$79:N$82,MATCH($B321,About!$A$79:$A$82,0),1)</f>
        <v>2548147</v>
      </c>
      <c r="S321" s="33">
        <f>SUMIFS(INDEX(Load,,MATCH('Summarized Source Data'!$C321,Hour,0)),Month,'Summarized Source Data'!$A321,Sector,'Summarized Source Data'!S$2,TimeOfWeek,$E321)*INDEX(About!O$79:O$82,MATCH($B321,About!$A$79:$A$82,0),1)</f>
        <v>2548147</v>
      </c>
      <c r="T321" s="33">
        <f>SUMIFS(INDEX(Load,,MATCH('Summarized Source Data'!$C321,Hour,0)),Month,'Summarized Source Data'!$A321,Sector,'Summarized Source Data'!T$2,TimeOfWeek,$E321)*INDEX(About!P$79:P$82,MATCH($B321,About!$A$79:$A$82,0),1)</f>
        <v>2548147</v>
      </c>
      <c r="U321" s="33">
        <f>SUMIFS(INDEX(Load,,MATCH('Summarized Source Data'!$C321,Hour,0)),Month,'Summarized Source Data'!$A321,Sector,'Summarized Source Data'!U$2,TimeOfWeek,$E321)*INDEX(About!Q$79:Q$82,MATCH($B321,About!$A$79:$A$82,0),1)</f>
        <v>2548147</v>
      </c>
      <c r="V321" s="33">
        <f>SUMIFS(INDEX(Load,,MATCH('Summarized Source Data'!$C321,Hour,0)),Month,'Summarized Source Data'!$A321,Sector,'Summarized Source Data'!V$2,TimeOfWeek,$E321)*INDEX(About!R$79:R$82,MATCH($B321,About!$A$79:$A$82,0),1)</f>
        <v>2548147</v>
      </c>
      <c r="W321" s="33">
        <f>SUMIFS(INDEX(Load,,MATCH('Summarized Source Data'!$C321,Hour,0)),Month,'Summarized Source Data'!$A321,Sector,'Summarized Source Data'!W$2,TimeOfWeek,$E321)*INDEX(About!S$79:S$82,MATCH($B321,About!$A$79:$A$82,0),1)</f>
        <v>2548147</v>
      </c>
      <c r="X321" s="27">
        <f>SUMIFS(INDEX(Load,,MATCH('Summarized Source Data'!$C321,Hour,0)),Month,'Summarized Source Data'!$A321,Sector,'Summarized Source Data'!X$2,Subsector,'Summarized Source Data'!X$3,TimeOfWeek,$E321)*INDEX(About!T$79:T$82,MATCH($B321,About!$A$79:$A$82,0),1)</f>
        <v>350000000</v>
      </c>
      <c r="Y321" s="29">
        <f t="shared" si="24"/>
        <v>350000000</v>
      </c>
      <c r="Z321" s="29">
        <f t="shared" si="24"/>
        <v>350000000</v>
      </c>
    </row>
    <row r="322" spans="1:26" x14ac:dyDescent="0.3">
      <c r="A322">
        <f t="shared" si="25"/>
        <v>2</v>
      </c>
      <c r="B322" t="str">
        <f>INDEX('Category Mapping'!$G$28:$G$39,MATCH(A322,'Category Mapping'!$A$28:$A$39,0),1)</f>
        <v>Winter</v>
      </c>
      <c r="C322" t="s">
        <v>69</v>
      </c>
      <c r="D322" s="6" t="s">
        <v>144</v>
      </c>
      <c r="E322" s="46" t="s">
        <v>48</v>
      </c>
      <c r="F322" s="27">
        <f>SUMIFS(INDEX(Load,,MATCH('Summarized Source Data'!$C322,Hour,0)),Month,'Summarized Source Data'!$A322,Sector,'Summarized Source Data'!F$2,Subsector,'Summarized Source Data'!F$3,TimeOfWeek,$E322)*INDEX(About!B$79:B$82,MATCH($B322,About!$A$79:$A$82,0),1)</f>
        <v>10200000</v>
      </c>
      <c r="G322" s="27">
        <f>SUMIFS(INDEX(Load,,MATCH('Summarized Source Data'!$C322,Hour,0)),Month,'Summarized Source Data'!$A322,Sector,'Summarized Source Data'!G$2,Subsector,'Summarized Source Data'!G$3,TimeOfWeek,$E322)*INDEX(About!C$79:C$82,MATCH($B322,About!$A$79:$A$82,0),1)</f>
        <v>6999</v>
      </c>
      <c r="H322" s="27">
        <f>SUMIFS(INDEX(Load,,MATCH('Summarized Source Data'!$C322,Hour,0)),Month,'Summarized Source Data'!$A322,Sector,'Summarized Source Data'!H$2,Subsector,'Summarized Source Data'!H$3,TimeOfWeek,$E322)*INDEX(About!D$79:D$82,MATCH($B322,About!$A$79:$A$82,0),1)</f>
        <v>0</v>
      </c>
      <c r="I322" s="27">
        <f>SUMIFS(INDEX(Load,,MATCH('Summarized Source Data'!$C322,Hour,0)),Month,'Summarized Source Data'!$A322,Sector,'Summarized Source Data'!I$2,Subsector,'Summarized Source Data'!I$3,TimeOfWeek,$E322)*INDEX(About!E$79:E$82,MATCH($B322,About!$A$79:$A$82,0),1)</f>
        <v>13300000</v>
      </c>
      <c r="J322" s="54">
        <f t="shared" si="21"/>
        <v>33493001</v>
      </c>
      <c r="K322" s="27">
        <f>(SUMIFS(INDEX(Load,,MATCH('Summarized Source Data'!$C322,Hour,0)),Month,'Summarized Source Data'!$A322,Sector,'Summarized Source Data'!K$2,Subsector,"Total",TimeOfWeek,$E322)-SUM(F322:I322))*INDEX(About!G$79:G$82,MATCH($B322,About!$A$79:$A$82,0),1)</f>
        <v>33493001</v>
      </c>
      <c r="L322" s="27">
        <f>SUMIFS(INDEX(Load,,MATCH('Summarized Source Data'!$C322,Hour,0)),Month,'Summarized Source Data'!$A322,Sector,'Summarized Source Data'!L$2,Subsector,'Summarized Source Data'!L$3,TimeOfWeek,$E322)*INDEX(About!H$79:H$82,MATCH($B322,About!$A$79:$A$82,0),1)</f>
        <v>12600000</v>
      </c>
      <c r="M322" s="27">
        <f>SUMIFS(INDEX(Load,,MATCH('Summarized Source Data'!$C322,Hour,0)),Month,'Summarized Source Data'!$A322,Sector,'Summarized Source Data'!M$2,Subsector,'Summarized Source Data'!M$3,TimeOfWeek,$E322)*INDEX(About!I$79:I$82,MATCH($B322,About!$A$79:$A$82,0),1)</f>
        <v>21956</v>
      </c>
      <c r="N322" s="27">
        <f>SUMIFS(INDEX(Load,,MATCH('Summarized Source Data'!$C322,Hour,0)),Month,'Summarized Source Data'!$A322,Sector,'Summarized Source Data'!N$2,Subsector,'Summarized Source Data'!N$3,TimeOfWeek,$E322)*INDEX(About!J$79:J$82,MATCH($B322,About!$A$79:$A$82,0),1)</f>
        <v>0</v>
      </c>
      <c r="O322" s="29">
        <f t="shared" si="22"/>
        <v>83078044</v>
      </c>
      <c r="P322" s="27">
        <f>(SUMIFS(INDEX(Load,,MATCH('Summarized Source Data'!$C322,Hour,0)),Month,'Summarized Source Data'!$A322,Sector,'Summarized Source Data'!P$2,Subsector,"Total",TimeOfWeek,$E322)-SUM(L322:N322)*INDEX(About!L$79:L$82,MATCH($B322,About!$A$79:$A$82,0),1))</f>
        <v>83078044</v>
      </c>
      <c r="Q322" s="29">
        <f t="shared" si="23"/>
        <v>83078044</v>
      </c>
      <c r="R322" s="33">
        <f>SUMIFS(INDEX(Load,,MATCH('Summarized Source Data'!$C322,Hour,0)),Month,'Summarized Source Data'!$A322,Sector,'Summarized Source Data'!R$2,TimeOfWeek,$E322)*INDEX(About!N$79:N$82,MATCH($B322,About!$A$79:$A$82,0),1)</f>
        <v>3159272</v>
      </c>
      <c r="S322" s="33">
        <f>SUMIFS(INDEX(Load,,MATCH('Summarized Source Data'!$C322,Hour,0)),Month,'Summarized Source Data'!$A322,Sector,'Summarized Source Data'!S$2,TimeOfWeek,$E322)*INDEX(About!O$79:O$82,MATCH($B322,About!$A$79:$A$82,0),1)</f>
        <v>3159272</v>
      </c>
      <c r="T322" s="33">
        <f>SUMIFS(INDEX(Load,,MATCH('Summarized Source Data'!$C322,Hour,0)),Month,'Summarized Source Data'!$A322,Sector,'Summarized Source Data'!T$2,TimeOfWeek,$E322)*INDEX(About!P$79:P$82,MATCH($B322,About!$A$79:$A$82,0),1)</f>
        <v>3159272</v>
      </c>
      <c r="U322" s="33">
        <f>SUMIFS(INDEX(Load,,MATCH('Summarized Source Data'!$C322,Hour,0)),Month,'Summarized Source Data'!$A322,Sector,'Summarized Source Data'!U$2,TimeOfWeek,$E322)*INDEX(About!Q$79:Q$82,MATCH($B322,About!$A$79:$A$82,0),1)</f>
        <v>3159272</v>
      </c>
      <c r="V322" s="33">
        <f>SUMIFS(INDEX(Load,,MATCH('Summarized Source Data'!$C322,Hour,0)),Month,'Summarized Source Data'!$A322,Sector,'Summarized Source Data'!V$2,TimeOfWeek,$E322)*INDEX(About!R$79:R$82,MATCH($B322,About!$A$79:$A$82,0),1)</f>
        <v>3159272</v>
      </c>
      <c r="W322" s="33">
        <f>SUMIFS(INDEX(Load,,MATCH('Summarized Source Data'!$C322,Hour,0)),Month,'Summarized Source Data'!$A322,Sector,'Summarized Source Data'!W$2,TimeOfWeek,$E322)*INDEX(About!S$79:S$82,MATCH($B322,About!$A$79:$A$82,0),1)</f>
        <v>3159272</v>
      </c>
      <c r="X322" s="27">
        <f>SUMIFS(INDEX(Load,,MATCH('Summarized Source Data'!$C322,Hour,0)),Month,'Summarized Source Data'!$A322,Sector,'Summarized Source Data'!X$2,Subsector,'Summarized Source Data'!X$3,TimeOfWeek,$E322)*INDEX(About!T$79:T$82,MATCH($B322,About!$A$79:$A$82,0),1)</f>
        <v>352000000</v>
      </c>
      <c r="Y322" s="29">
        <f t="shared" si="24"/>
        <v>352000000</v>
      </c>
      <c r="Z322" s="29">
        <f t="shared" si="24"/>
        <v>352000000</v>
      </c>
    </row>
    <row r="323" spans="1:26" x14ac:dyDescent="0.3">
      <c r="A323">
        <f t="shared" si="25"/>
        <v>2</v>
      </c>
      <c r="B323" t="str">
        <f>INDEX('Category Mapping'!$G$28:$G$39,MATCH(A323,'Category Mapping'!$A$28:$A$39,0),1)</f>
        <v>Winter</v>
      </c>
      <c r="C323" t="s">
        <v>70</v>
      </c>
      <c r="D323" s="6" t="s">
        <v>145</v>
      </c>
      <c r="E323" s="46" t="s">
        <v>48</v>
      </c>
      <c r="F323" s="27">
        <f>SUMIFS(INDEX(Load,,MATCH('Summarized Source Data'!$C323,Hour,0)),Month,'Summarized Source Data'!$A323,Sector,'Summarized Source Data'!F$2,Subsector,'Summarized Source Data'!F$3,TimeOfWeek,$E323)*INDEX(About!B$79:B$82,MATCH($B323,About!$A$79:$A$82,0),1)</f>
        <v>10900000</v>
      </c>
      <c r="G323" s="27">
        <f>SUMIFS(INDEX(Load,,MATCH('Summarized Source Data'!$C323,Hour,0)),Month,'Summarized Source Data'!$A323,Sector,'Summarized Source Data'!G$2,Subsector,'Summarized Source Data'!G$3,TimeOfWeek,$E323)*INDEX(About!C$79:C$82,MATCH($B323,About!$A$79:$A$82,0),1)</f>
        <v>6505</v>
      </c>
      <c r="H323" s="27">
        <f>SUMIFS(INDEX(Load,,MATCH('Summarized Source Data'!$C323,Hour,0)),Month,'Summarized Source Data'!$A323,Sector,'Summarized Source Data'!H$2,Subsector,'Summarized Source Data'!H$3,TimeOfWeek,$E323)*INDEX(About!D$79:D$82,MATCH($B323,About!$A$79:$A$82,0),1)</f>
        <v>0</v>
      </c>
      <c r="I323" s="27">
        <f>SUMIFS(INDEX(Load,,MATCH('Summarized Source Data'!$C323,Hour,0)),Month,'Summarized Source Data'!$A323,Sector,'Summarized Source Data'!I$2,Subsector,'Summarized Source Data'!I$3,TimeOfWeek,$E323)*INDEX(About!E$79:E$82,MATCH($B323,About!$A$79:$A$82,0),1)</f>
        <v>9747728</v>
      </c>
      <c r="J323" s="54">
        <f t="shared" si="21"/>
        <v>47445767</v>
      </c>
      <c r="K323" s="27">
        <f>(SUMIFS(INDEX(Load,,MATCH('Summarized Source Data'!$C323,Hour,0)),Month,'Summarized Source Data'!$A323,Sector,'Summarized Source Data'!K$2,Subsector,"Total",TimeOfWeek,$E323)-SUM(F323:I323))*INDEX(About!G$79:G$82,MATCH($B323,About!$A$79:$A$82,0),1)</f>
        <v>47445767</v>
      </c>
      <c r="L323" s="27">
        <f>SUMIFS(INDEX(Load,,MATCH('Summarized Source Data'!$C323,Hour,0)),Month,'Summarized Source Data'!$A323,Sector,'Summarized Source Data'!L$2,Subsector,'Summarized Source Data'!L$3,TimeOfWeek,$E323)*INDEX(About!H$79:H$82,MATCH($B323,About!$A$79:$A$82,0),1)</f>
        <v>25900000</v>
      </c>
      <c r="M323" s="27">
        <f>SUMIFS(INDEX(Load,,MATCH('Summarized Source Data'!$C323,Hour,0)),Month,'Summarized Source Data'!$A323,Sector,'Summarized Source Data'!M$2,Subsector,'Summarized Source Data'!M$3,TimeOfWeek,$E323)*INDEX(About!I$79:I$82,MATCH($B323,About!$A$79:$A$82,0),1)</f>
        <v>23567</v>
      </c>
      <c r="N323" s="27">
        <f>SUMIFS(INDEX(Load,,MATCH('Summarized Source Data'!$C323,Hour,0)),Month,'Summarized Source Data'!$A323,Sector,'Summarized Source Data'!N$2,Subsector,'Summarized Source Data'!N$3,TimeOfWeek,$E323)*INDEX(About!J$79:J$82,MATCH($B323,About!$A$79:$A$82,0),1)</f>
        <v>0</v>
      </c>
      <c r="O323" s="29">
        <f t="shared" si="22"/>
        <v>105076433</v>
      </c>
      <c r="P323" s="27">
        <f>(SUMIFS(INDEX(Load,,MATCH('Summarized Source Data'!$C323,Hour,0)),Month,'Summarized Source Data'!$A323,Sector,'Summarized Source Data'!P$2,Subsector,"Total",TimeOfWeek,$E323)-SUM(L323:N323)*INDEX(About!L$79:L$82,MATCH($B323,About!$A$79:$A$82,0),1))</f>
        <v>105076433</v>
      </c>
      <c r="Q323" s="29">
        <f t="shared" si="23"/>
        <v>105076433</v>
      </c>
      <c r="R323" s="33">
        <f>SUMIFS(INDEX(Load,,MATCH('Summarized Source Data'!$C323,Hour,0)),Month,'Summarized Source Data'!$A323,Sector,'Summarized Source Data'!R$2,TimeOfWeek,$E323)*INDEX(About!N$79:N$82,MATCH($B323,About!$A$79:$A$82,0),1)</f>
        <v>4110814</v>
      </c>
      <c r="S323" s="33">
        <f>SUMIFS(INDEX(Load,,MATCH('Summarized Source Data'!$C323,Hour,0)),Month,'Summarized Source Data'!$A323,Sector,'Summarized Source Data'!S$2,TimeOfWeek,$E323)*INDEX(About!O$79:O$82,MATCH($B323,About!$A$79:$A$82,0),1)</f>
        <v>4110814</v>
      </c>
      <c r="T323" s="33">
        <f>SUMIFS(INDEX(Load,,MATCH('Summarized Source Data'!$C323,Hour,0)),Month,'Summarized Source Data'!$A323,Sector,'Summarized Source Data'!T$2,TimeOfWeek,$E323)*INDEX(About!P$79:P$82,MATCH($B323,About!$A$79:$A$82,0),1)</f>
        <v>4110814</v>
      </c>
      <c r="U323" s="33">
        <f>SUMIFS(INDEX(Load,,MATCH('Summarized Source Data'!$C323,Hour,0)),Month,'Summarized Source Data'!$A323,Sector,'Summarized Source Data'!U$2,TimeOfWeek,$E323)*INDEX(About!Q$79:Q$82,MATCH($B323,About!$A$79:$A$82,0),1)</f>
        <v>4110814</v>
      </c>
      <c r="V323" s="33">
        <f>SUMIFS(INDEX(Load,,MATCH('Summarized Source Data'!$C323,Hour,0)),Month,'Summarized Source Data'!$A323,Sector,'Summarized Source Data'!V$2,TimeOfWeek,$E323)*INDEX(About!R$79:R$82,MATCH($B323,About!$A$79:$A$82,0),1)</f>
        <v>4110814</v>
      </c>
      <c r="W323" s="33">
        <f>SUMIFS(INDEX(Load,,MATCH('Summarized Source Data'!$C323,Hour,0)),Month,'Summarized Source Data'!$A323,Sector,'Summarized Source Data'!W$2,TimeOfWeek,$E323)*INDEX(About!S$79:S$82,MATCH($B323,About!$A$79:$A$82,0),1)</f>
        <v>4110814</v>
      </c>
      <c r="X323" s="27">
        <f>SUMIFS(INDEX(Load,,MATCH('Summarized Source Data'!$C323,Hour,0)),Month,'Summarized Source Data'!$A323,Sector,'Summarized Source Data'!X$2,Subsector,'Summarized Source Data'!X$3,TimeOfWeek,$E323)*INDEX(About!T$79:T$82,MATCH($B323,About!$A$79:$A$82,0),1)</f>
        <v>352000000</v>
      </c>
      <c r="Y323" s="29">
        <f t="shared" si="24"/>
        <v>352000000</v>
      </c>
      <c r="Z323" s="29">
        <f t="shared" si="24"/>
        <v>352000000</v>
      </c>
    </row>
    <row r="324" spans="1:26" x14ac:dyDescent="0.3">
      <c r="A324">
        <f t="shared" si="25"/>
        <v>2</v>
      </c>
      <c r="B324" t="str">
        <f>INDEX('Category Mapping'!$G$28:$G$39,MATCH(A324,'Category Mapping'!$A$28:$A$39,0),1)</f>
        <v>Winter</v>
      </c>
      <c r="C324" t="s">
        <v>71</v>
      </c>
      <c r="D324" s="6" t="s">
        <v>146</v>
      </c>
      <c r="E324" s="46" t="s">
        <v>48</v>
      </c>
      <c r="F324" s="27">
        <f>SUMIFS(INDEX(Load,,MATCH('Summarized Source Data'!$C324,Hour,0)),Month,'Summarized Source Data'!$A324,Sector,'Summarized Source Data'!F$2,Subsector,'Summarized Source Data'!F$3,TimeOfWeek,$E324)*INDEX(About!B$79:B$82,MATCH($B324,About!$A$79:$A$82,0),1)</f>
        <v>11200000</v>
      </c>
      <c r="G324" s="27">
        <f>SUMIFS(INDEX(Load,,MATCH('Summarized Source Data'!$C324,Hour,0)),Month,'Summarized Source Data'!$A324,Sector,'Summarized Source Data'!G$2,Subsector,'Summarized Source Data'!G$3,TimeOfWeek,$E324)*INDEX(About!C$79:C$82,MATCH($B324,About!$A$79:$A$82,0),1)</f>
        <v>5819</v>
      </c>
      <c r="H324" s="27">
        <f>SUMIFS(INDEX(Load,,MATCH('Summarized Source Data'!$C324,Hour,0)),Month,'Summarized Source Data'!$A324,Sector,'Summarized Source Data'!H$2,Subsector,'Summarized Source Data'!H$3,TimeOfWeek,$E324)*INDEX(About!D$79:D$82,MATCH($B324,About!$A$79:$A$82,0),1)</f>
        <v>0</v>
      </c>
      <c r="I324" s="27">
        <f>SUMIFS(INDEX(Load,,MATCH('Summarized Source Data'!$C324,Hour,0)),Month,'Summarized Source Data'!$A324,Sector,'Summarized Source Data'!I$2,Subsector,'Summarized Source Data'!I$3,TimeOfWeek,$E324)*INDEX(About!E$79:E$82,MATCH($B324,About!$A$79:$A$82,0),1)</f>
        <v>7508427</v>
      </c>
      <c r="J324" s="54">
        <f t="shared" si="21"/>
        <v>59685754</v>
      </c>
      <c r="K324" s="27">
        <f>(SUMIFS(INDEX(Load,,MATCH('Summarized Source Data'!$C324,Hour,0)),Month,'Summarized Source Data'!$A324,Sector,'Summarized Source Data'!K$2,Subsector,"Total",TimeOfWeek,$E324)-SUM(F324:I324))*INDEX(About!G$79:G$82,MATCH($B324,About!$A$79:$A$82,0),1)</f>
        <v>59685754</v>
      </c>
      <c r="L324" s="27">
        <f>SUMIFS(INDEX(Load,,MATCH('Summarized Source Data'!$C324,Hour,0)),Month,'Summarized Source Data'!$A324,Sector,'Summarized Source Data'!L$2,Subsector,'Summarized Source Data'!L$3,TimeOfWeek,$E324)*INDEX(About!H$79:H$82,MATCH($B324,About!$A$79:$A$82,0),1)</f>
        <v>32700000</v>
      </c>
      <c r="M324" s="27">
        <f>SUMIFS(INDEX(Load,,MATCH('Summarized Source Data'!$C324,Hour,0)),Month,'Summarized Source Data'!$A324,Sector,'Summarized Source Data'!M$2,Subsector,'Summarized Source Data'!M$3,TimeOfWeek,$E324)*INDEX(About!I$79:I$82,MATCH($B324,About!$A$79:$A$82,0),1)</f>
        <v>25934</v>
      </c>
      <c r="N324" s="27">
        <f>SUMIFS(INDEX(Load,,MATCH('Summarized Source Data'!$C324,Hour,0)),Month,'Summarized Source Data'!$A324,Sector,'Summarized Source Data'!N$2,Subsector,'Summarized Source Data'!N$3,TimeOfWeek,$E324)*INDEX(About!J$79:J$82,MATCH($B324,About!$A$79:$A$82,0),1)</f>
        <v>0</v>
      </c>
      <c r="O324" s="29">
        <f t="shared" si="22"/>
        <v>120274066</v>
      </c>
      <c r="P324" s="27">
        <f>(SUMIFS(INDEX(Load,,MATCH('Summarized Source Data'!$C324,Hour,0)),Month,'Summarized Source Data'!$A324,Sector,'Summarized Source Data'!P$2,Subsector,"Total",TimeOfWeek,$E324)-SUM(L324:N324)*INDEX(About!L$79:L$82,MATCH($B324,About!$A$79:$A$82,0),1))</f>
        <v>120274066</v>
      </c>
      <c r="Q324" s="29">
        <f t="shared" si="23"/>
        <v>120274066</v>
      </c>
      <c r="R324" s="33">
        <f>SUMIFS(INDEX(Load,,MATCH('Summarized Source Data'!$C324,Hour,0)),Month,'Summarized Source Data'!$A324,Sector,'Summarized Source Data'!R$2,TimeOfWeek,$E324)*INDEX(About!N$79:N$82,MATCH($B324,About!$A$79:$A$82,0),1)</f>
        <v>4907150</v>
      </c>
      <c r="S324" s="33">
        <f>SUMIFS(INDEX(Load,,MATCH('Summarized Source Data'!$C324,Hour,0)),Month,'Summarized Source Data'!$A324,Sector,'Summarized Source Data'!S$2,TimeOfWeek,$E324)*INDEX(About!O$79:O$82,MATCH($B324,About!$A$79:$A$82,0),1)</f>
        <v>4907150</v>
      </c>
      <c r="T324" s="33">
        <f>SUMIFS(INDEX(Load,,MATCH('Summarized Source Data'!$C324,Hour,0)),Month,'Summarized Source Data'!$A324,Sector,'Summarized Source Data'!T$2,TimeOfWeek,$E324)*INDEX(About!P$79:P$82,MATCH($B324,About!$A$79:$A$82,0),1)</f>
        <v>4907150</v>
      </c>
      <c r="U324" s="33">
        <f>SUMIFS(INDEX(Load,,MATCH('Summarized Source Data'!$C324,Hour,0)),Month,'Summarized Source Data'!$A324,Sector,'Summarized Source Data'!U$2,TimeOfWeek,$E324)*INDEX(About!Q$79:Q$82,MATCH($B324,About!$A$79:$A$82,0),1)</f>
        <v>4907150</v>
      </c>
      <c r="V324" s="33">
        <f>SUMIFS(INDEX(Load,,MATCH('Summarized Source Data'!$C324,Hour,0)),Month,'Summarized Source Data'!$A324,Sector,'Summarized Source Data'!V$2,TimeOfWeek,$E324)*INDEX(About!R$79:R$82,MATCH($B324,About!$A$79:$A$82,0),1)</f>
        <v>4907150</v>
      </c>
      <c r="W324" s="33">
        <f>SUMIFS(INDEX(Load,,MATCH('Summarized Source Data'!$C324,Hour,0)),Month,'Summarized Source Data'!$A324,Sector,'Summarized Source Data'!W$2,TimeOfWeek,$E324)*INDEX(About!S$79:S$82,MATCH($B324,About!$A$79:$A$82,0),1)</f>
        <v>4907150</v>
      </c>
      <c r="X324" s="27">
        <f>SUMIFS(INDEX(Load,,MATCH('Summarized Source Data'!$C324,Hour,0)),Month,'Summarized Source Data'!$A324,Sector,'Summarized Source Data'!X$2,Subsector,'Summarized Source Data'!X$3,TimeOfWeek,$E324)*INDEX(About!T$79:T$82,MATCH($B324,About!$A$79:$A$82,0),1)</f>
        <v>352000000</v>
      </c>
      <c r="Y324" s="29">
        <f t="shared" si="24"/>
        <v>352000000</v>
      </c>
      <c r="Z324" s="29">
        <f t="shared" si="24"/>
        <v>352000000</v>
      </c>
    </row>
    <row r="325" spans="1:26" x14ac:dyDescent="0.3">
      <c r="A325">
        <f t="shared" si="25"/>
        <v>2</v>
      </c>
      <c r="B325" t="str">
        <f>INDEX('Category Mapping'!$G$28:$G$39,MATCH(A325,'Category Mapping'!$A$28:$A$39,0),1)</f>
        <v>Winter</v>
      </c>
      <c r="C325" t="s">
        <v>72</v>
      </c>
      <c r="D325" s="6" t="s">
        <v>147</v>
      </c>
      <c r="E325" s="46" t="s">
        <v>48</v>
      </c>
      <c r="F325" s="27">
        <f>SUMIFS(INDEX(Load,,MATCH('Summarized Source Data'!$C325,Hour,0)),Month,'Summarized Source Data'!$A325,Sector,'Summarized Source Data'!F$2,Subsector,'Summarized Source Data'!F$3,TimeOfWeek,$E325)*INDEX(About!B$79:B$82,MATCH($B325,About!$A$79:$A$82,0),1)</f>
        <v>10900000</v>
      </c>
      <c r="G325" s="27">
        <f>SUMIFS(INDEX(Load,,MATCH('Summarized Source Data'!$C325,Hour,0)),Month,'Summarized Source Data'!$A325,Sector,'Summarized Source Data'!G$2,Subsector,'Summarized Source Data'!G$3,TimeOfWeek,$E325)*INDEX(About!C$79:C$82,MATCH($B325,About!$A$79:$A$82,0),1)</f>
        <v>5072</v>
      </c>
      <c r="H325" s="27">
        <f>SUMIFS(INDEX(Load,,MATCH('Summarized Source Data'!$C325,Hour,0)),Month,'Summarized Source Data'!$A325,Sector,'Summarized Source Data'!H$2,Subsector,'Summarized Source Data'!H$3,TimeOfWeek,$E325)*INDEX(About!D$79:D$82,MATCH($B325,About!$A$79:$A$82,0),1)</f>
        <v>0</v>
      </c>
      <c r="I325" s="27">
        <f>SUMIFS(INDEX(Load,,MATCH('Summarized Source Data'!$C325,Hour,0)),Month,'Summarized Source Data'!$A325,Sector,'Summarized Source Data'!I$2,Subsector,'Summarized Source Data'!I$3,TimeOfWeek,$E325)*INDEX(About!E$79:E$82,MATCH($B325,About!$A$79:$A$82,0),1)</f>
        <v>7780084</v>
      </c>
      <c r="J325" s="54">
        <f t="shared" ref="J325:J388" si="26">K325</f>
        <v>75514844</v>
      </c>
      <c r="K325" s="27">
        <f>(SUMIFS(INDEX(Load,,MATCH('Summarized Source Data'!$C325,Hour,0)),Month,'Summarized Source Data'!$A325,Sector,'Summarized Source Data'!K$2,Subsector,"Total",TimeOfWeek,$E325)-SUM(F325:I325))*INDEX(About!G$79:G$82,MATCH($B325,About!$A$79:$A$82,0),1)</f>
        <v>75514844</v>
      </c>
      <c r="L325" s="27">
        <f>SUMIFS(INDEX(Load,,MATCH('Summarized Source Data'!$C325,Hour,0)),Month,'Summarized Source Data'!$A325,Sector,'Summarized Source Data'!L$2,Subsector,'Summarized Source Data'!L$3,TimeOfWeek,$E325)*INDEX(About!H$79:H$82,MATCH($B325,About!$A$79:$A$82,0),1)</f>
        <v>25800000</v>
      </c>
      <c r="M325" s="27">
        <f>SUMIFS(INDEX(Load,,MATCH('Summarized Source Data'!$C325,Hour,0)),Month,'Summarized Source Data'!$A325,Sector,'Summarized Source Data'!M$2,Subsector,'Summarized Source Data'!M$3,TimeOfWeek,$E325)*INDEX(About!I$79:I$82,MATCH($B325,About!$A$79:$A$82,0),1)</f>
        <v>27446</v>
      </c>
      <c r="N325" s="27">
        <f>SUMIFS(INDEX(Load,,MATCH('Summarized Source Data'!$C325,Hour,0)),Month,'Summarized Source Data'!$A325,Sector,'Summarized Source Data'!N$2,Subsector,'Summarized Source Data'!N$3,TimeOfWeek,$E325)*INDEX(About!J$79:J$82,MATCH($B325,About!$A$79:$A$82,0),1)</f>
        <v>0</v>
      </c>
      <c r="O325" s="29">
        <f t="shared" ref="O325:O388" si="27">P325</f>
        <v>131172554</v>
      </c>
      <c r="P325" s="27">
        <f>(SUMIFS(INDEX(Load,,MATCH('Summarized Source Data'!$C325,Hour,0)),Month,'Summarized Source Data'!$A325,Sector,'Summarized Source Data'!P$2,Subsector,"Total",TimeOfWeek,$E325)-SUM(L325:N325)*INDEX(About!L$79:L$82,MATCH($B325,About!$A$79:$A$82,0),1))</f>
        <v>131172554</v>
      </c>
      <c r="Q325" s="29">
        <f t="shared" ref="Q325:Q388" si="28">P325</f>
        <v>131172554</v>
      </c>
      <c r="R325" s="33">
        <f>SUMIFS(INDEX(Load,,MATCH('Summarized Source Data'!$C325,Hour,0)),Month,'Summarized Source Data'!$A325,Sector,'Summarized Source Data'!R$2,TimeOfWeek,$E325)*INDEX(About!N$79:N$82,MATCH($B325,About!$A$79:$A$82,0),1)</f>
        <v>5561745</v>
      </c>
      <c r="S325" s="33">
        <f>SUMIFS(INDEX(Load,,MATCH('Summarized Source Data'!$C325,Hour,0)),Month,'Summarized Source Data'!$A325,Sector,'Summarized Source Data'!S$2,TimeOfWeek,$E325)*INDEX(About!O$79:O$82,MATCH($B325,About!$A$79:$A$82,0),1)</f>
        <v>5561745</v>
      </c>
      <c r="T325" s="33">
        <f>SUMIFS(INDEX(Load,,MATCH('Summarized Source Data'!$C325,Hour,0)),Month,'Summarized Source Data'!$A325,Sector,'Summarized Source Data'!T$2,TimeOfWeek,$E325)*INDEX(About!P$79:P$82,MATCH($B325,About!$A$79:$A$82,0),1)</f>
        <v>5561745</v>
      </c>
      <c r="U325" s="33">
        <f>SUMIFS(INDEX(Load,,MATCH('Summarized Source Data'!$C325,Hour,0)),Month,'Summarized Source Data'!$A325,Sector,'Summarized Source Data'!U$2,TimeOfWeek,$E325)*INDEX(About!Q$79:Q$82,MATCH($B325,About!$A$79:$A$82,0),1)</f>
        <v>5561745</v>
      </c>
      <c r="V325" s="33">
        <f>SUMIFS(INDEX(Load,,MATCH('Summarized Source Data'!$C325,Hour,0)),Month,'Summarized Source Data'!$A325,Sector,'Summarized Source Data'!V$2,TimeOfWeek,$E325)*INDEX(About!R$79:R$82,MATCH($B325,About!$A$79:$A$82,0),1)</f>
        <v>5561745</v>
      </c>
      <c r="W325" s="33">
        <f>SUMIFS(INDEX(Load,,MATCH('Summarized Source Data'!$C325,Hour,0)),Month,'Summarized Source Data'!$A325,Sector,'Summarized Source Data'!W$2,TimeOfWeek,$E325)*INDEX(About!S$79:S$82,MATCH($B325,About!$A$79:$A$82,0),1)</f>
        <v>5561745</v>
      </c>
      <c r="X325" s="27">
        <f>SUMIFS(INDEX(Load,,MATCH('Summarized Source Data'!$C325,Hour,0)),Month,'Summarized Source Data'!$A325,Sector,'Summarized Source Data'!X$2,Subsector,'Summarized Source Data'!X$3,TimeOfWeek,$E325)*INDEX(About!T$79:T$82,MATCH($B325,About!$A$79:$A$82,0),1)</f>
        <v>350000000</v>
      </c>
      <c r="Y325" s="29">
        <f t="shared" ref="Y325:Z388" si="29">$X325</f>
        <v>350000000</v>
      </c>
      <c r="Z325" s="29">
        <f t="shared" si="29"/>
        <v>350000000</v>
      </c>
    </row>
    <row r="326" spans="1:26" x14ac:dyDescent="0.3">
      <c r="A326">
        <f t="shared" si="25"/>
        <v>2</v>
      </c>
      <c r="B326" t="str">
        <f>INDEX('Category Mapping'!$G$28:$G$39,MATCH(A326,'Category Mapping'!$A$28:$A$39,0),1)</f>
        <v>Winter</v>
      </c>
      <c r="C326" t="s">
        <v>73</v>
      </c>
      <c r="D326" s="6" t="s">
        <v>148</v>
      </c>
      <c r="E326" s="46" t="s">
        <v>48</v>
      </c>
      <c r="F326" s="27">
        <f>SUMIFS(INDEX(Load,,MATCH('Summarized Source Data'!$C326,Hour,0)),Month,'Summarized Source Data'!$A326,Sector,'Summarized Source Data'!F$2,Subsector,'Summarized Source Data'!F$3,TimeOfWeek,$E326)*INDEX(About!B$79:B$82,MATCH($B326,About!$A$79:$A$82,0),1)</f>
        <v>10500000</v>
      </c>
      <c r="G326" s="27">
        <f>SUMIFS(INDEX(Load,,MATCH('Summarized Source Data'!$C326,Hour,0)),Month,'Summarized Source Data'!$A326,Sector,'Summarized Source Data'!G$2,Subsector,'Summarized Source Data'!G$3,TimeOfWeek,$E326)*INDEX(About!C$79:C$82,MATCH($B326,About!$A$79:$A$82,0),1)</f>
        <v>4733</v>
      </c>
      <c r="H326" s="27">
        <f>SUMIFS(INDEX(Load,,MATCH('Summarized Source Data'!$C326,Hour,0)),Month,'Summarized Source Data'!$A326,Sector,'Summarized Source Data'!H$2,Subsector,'Summarized Source Data'!H$3,TimeOfWeek,$E326)*INDEX(About!D$79:D$82,MATCH($B326,About!$A$79:$A$82,0),1)</f>
        <v>0</v>
      </c>
      <c r="I326" s="27">
        <f>SUMIFS(INDEX(Load,,MATCH('Summarized Source Data'!$C326,Hour,0)),Month,'Summarized Source Data'!$A326,Sector,'Summarized Source Data'!I$2,Subsector,'Summarized Source Data'!I$3,TimeOfWeek,$E326)*INDEX(About!E$79:E$82,MATCH($B326,About!$A$79:$A$82,0),1)</f>
        <v>7826492</v>
      </c>
      <c r="J326" s="54">
        <f t="shared" si="26"/>
        <v>92668775</v>
      </c>
      <c r="K326" s="27">
        <f>(SUMIFS(INDEX(Load,,MATCH('Summarized Source Data'!$C326,Hour,0)),Month,'Summarized Source Data'!$A326,Sector,'Summarized Source Data'!K$2,Subsector,"Total",TimeOfWeek,$E326)-SUM(F326:I326))*INDEX(About!G$79:G$82,MATCH($B326,About!$A$79:$A$82,0),1)</f>
        <v>92668775</v>
      </c>
      <c r="L326" s="27">
        <f>SUMIFS(INDEX(Load,,MATCH('Summarized Source Data'!$C326,Hour,0)),Month,'Summarized Source Data'!$A326,Sector,'Summarized Source Data'!L$2,Subsector,'Summarized Source Data'!L$3,TimeOfWeek,$E326)*INDEX(About!H$79:H$82,MATCH($B326,About!$A$79:$A$82,0),1)</f>
        <v>21700000</v>
      </c>
      <c r="M326" s="27">
        <f>SUMIFS(INDEX(Load,,MATCH('Summarized Source Data'!$C326,Hour,0)),Month,'Summarized Source Data'!$A326,Sector,'Summarized Source Data'!M$2,Subsector,'Summarized Source Data'!M$3,TimeOfWeek,$E326)*INDEX(About!I$79:I$82,MATCH($B326,About!$A$79:$A$82,0),1)</f>
        <v>28232</v>
      </c>
      <c r="N326" s="27">
        <f>SUMIFS(INDEX(Load,,MATCH('Summarized Source Data'!$C326,Hour,0)),Month,'Summarized Source Data'!$A326,Sector,'Summarized Source Data'!N$2,Subsector,'Summarized Source Data'!N$3,TimeOfWeek,$E326)*INDEX(About!J$79:J$82,MATCH($B326,About!$A$79:$A$82,0),1)</f>
        <v>0</v>
      </c>
      <c r="O326" s="29">
        <f t="shared" si="27"/>
        <v>128271768</v>
      </c>
      <c r="P326" s="27">
        <f>(SUMIFS(INDEX(Load,,MATCH('Summarized Source Data'!$C326,Hour,0)),Month,'Summarized Source Data'!$A326,Sector,'Summarized Source Data'!P$2,Subsector,"Total",TimeOfWeek,$E326)-SUM(L326:N326)*INDEX(About!L$79:L$82,MATCH($B326,About!$A$79:$A$82,0),1))</f>
        <v>128271768</v>
      </c>
      <c r="Q326" s="29">
        <f t="shared" si="28"/>
        <v>128271768</v>
      </c>
      <c r="R326" s="33">
        <f>SUMIFS(INDEX(Load,,MATCH('Summarized Source Data'!$C326,Hour,0)),Month,'Summarized Source Data'!$A326,Sector,'Summarized Source Data'!R$2,TimeOfWeek,$E326)*INDEX(About!N$79:N$82,MATCH($B326,About!$A$79:$A$82,0),1)</f>
        <v>5888276</v>
      </c>
      <c r="S326" s="33">
        <f>SUMIFS(INDEX(Load,,MATCH('Summarized Source Data'!$C326,Hour,0)),Month,'Summarized Source Data'!$A326,Sector,'Summarized Source Data'!S$2,TimeOfWeek,$E326)*INDEX(About!O$79:O$82,MATCH($B326,About!$A$79:$A$82,0),1)</f>
        <v>5888276</v>
      </c>
      <c r="T326" s="33">
        <f>SUMIFS(INDEX(Load,,MATCH('Summarized Source Data'!$C326,Hour,0)),Month,'Summarized Source Data'!$A326,Sector,'Summarized Source Data'!T$2,TimeOfWeek,$E326)*INDEX(About!P$79:P$82,MATCH($B326,About!$A$79:$A$82,0),1)</f>
        <v>5888276</v>
      </c>
      <c r="U326" s="33">
        <f>SUMIFS(INDEX(Load,,MATCH('Summarized Source Data'!$C326,Hour,0)),Month,'Summarized Source Data'!$A326,Sector,'Summarized Source Data'!U$2,TimeOfWeek,$E326)*INDEX(About!Q$79:Q$82,MATCH($B326,About!$A$79:$A$82,0),1)</f>
        <v>5888276</v>
      </c>
      <c r="V326" s="33">
        <f>SUMIFS(INDEX(Load,,MATCH('Summarized Source Data'!$C326,Hour,0)),Month,'Summarized Source Data'!$A326,Sector,'Summarized Source Data'!V$2,TimeOfWeek,$E326)*INDEX(About!R$79:R$82,MATCH($B326,About!$A$79:$A$82,0),1)</f>
        <v>5888276</v>
      </c>
      <c r="W326" s="33">
        <f>SUMIFS(INDEX(Load,,MATCH('Summarized Source Data'!$C326,Hour,0)),Month,'Summarized Source Data'!$A326,Sector,'Summarized Source Data'!W$2,TimeOfWeek,$E326)*INDEX(About!S$79:S$82,MATCH($B326,About!$A$79:$A$82,0),1)</f>
        <v>5888276</v>
      </c>
      <c r="X326" s="27">
        <f>SUMIFS(INDEX(Load,,MATCH('Summarized Source Data'!$C326,Hour,0)),Month,'Summarized Source Data'!$A326,Sector,'Summarized Source Data'!X$2,Subsector,'Summarized Source Data'!X$3,TimeOfWeek,$E326)*INDEX(About!T$79:T$82,MATCH($B326,About!$A$79:$A$82,0),1)</f>
        <v>349000000</v>
      </c>
      <c r="Y326" s="29">
        <f t="shared" si="29"/>
        <v>349000000</v>
      </c>
      <c r="Z326" s="29">
        <f t="shared" si="29"/>
        <v>349000000</v>
      </c>
    </row>
    <row r="327" spans="1:26" x14ac:dyDescent="0.3">
      <c r="A327">
        <f t="shared" si="25"/>
        <v>2</v>
      </c>
      <c r="B327" t="str">
        <f>INDEX('Category Mapping'!$G$28:$G$39,MATCH(A327,'Category Mapping'!$A$28:$A$39,0),1)</f>
        <v>Winter</v>
      </c>
      <c r="C327" t="s">
        <v>74</v>
      </c>
      <c r="D327" s="6" t="s">
        <v>149</v>
      </c>
      <c r="E327" s="46" t="s">
        <v>48</v>
      </c>
      <c r="F327" s="27">
        <f>SUMIFS(INDEX(Load,,MATCH('Summarized Source Data'!$C327,Hour,0)),Month,'Summarized Source Data'!$A327,Sector,'Summarized Source Data'!F$2,Subsector,'Summarized Source Data'!F$3,TimeOfWeek,$E327)*INDEX(About!B$79:B$82,MATCH($B327,About!$A$79:$A$82,0),1)</f>
        <v>8566602</v>
      </c>
      <c r="G327" s="27">
        <f>SUMIFS(INDEX(Load,,MATCH('Summarized Source Data'!$C327,Hour,0)),Month,'Summarized Source Data'!$A327,Sector,'Summarized Source Data'!G$2,Subsector,'Summarized Source Data'!G$3,TimeOfWeek,$E327)*INDEX(About!C$79:C$82,MATCH($B327,About!$A$79:$A$82,0),1)</f>
        <v>4896</v>
      </c>
      <c r="H327" s="27">
        <f>SUMIFS(INDEX(Load,,MATCH('Summarized Source Data'!$C327,Hour,0)),Month,'Summarized Source Data'!$A327,Sector,'Summarized Source Data'!H$2,Subsector,'Summarized Source Data'!H$3,TimeOfWeek,$E327)*INDEX(About!D$79:D$82,MATCH($B327,About!$A$79:$A$82,0),1)</f>
        <v>0</v>
      </c>
      <c r="I327" s="27">
        <f>SUMIFS(INDEX(Load,,MATCH('Summarized Source Data'!$C327,Hour,0)),Month,'Summarized Source Data'!$A327,Sector,'Summarized Source Data'!I$2,Subsector,'Summarized Source Data'!I$3,TimeOfWeek,$E327)*INDEX(About!E$79:E$82,MATCH($B327,About!$A$79:$A$82,0),1)</f>
        <v>8304091</v>
      </c>
      <c r="J327" s="54">
        <f t="shared" si="26"/>
        <v>103124411</v>
      </c>
      <c r="K327" s="27">
        <f>(SUMIFS(INDEX(Load,,MATCH('Summarized Source Data'!$C327,Hour,0)),Month,'Summarized Source Data'!$A327,Sector,'Summarized Source Data'!K$2,Subsector,"Total",TimeOfWeek,$E327)-SUM(F327:I327))*INDEX(About!G$79:G$82,MATCH($B327,About!$A$79:$A$82,0),1)</f>
        <v>103124411</v>
      </c>
      <c r="L327" s="27">
        <f>SUMIFS(INDEX(Load,,MATCH('Summarized Source Data'!$C327,Hour,0)),Month,'Summarized Source Data'!$A327,Sector,'Summarized Source Data'!L$2,Subsector,'Summarized Source Data'!L$3,TimeOfWeek,$E327)*INDEX(About!H$79:H$82,MATCH($B327,About!$A$79:$A$82,0),1)</f>
        <v>19000000</v>
      </c>
      <c r="M327" s="27">
        <f>SUMIFS(INDEX(Load,,MATCH('Summarized Source Data'!$C327,Hour,0)),Month,'Summarized Source Data'!$A327,Sector,'Summarized Source Data'!M$2,Subsector,'Summarized Source Data'!M$3,TimeOfWeek,$E327)*INDEX(About!I$79:I$82,MATCH($B327,About!$A$79:$A$82,0),1)</f>
        <v>28416</v>
      </c>
      <c r="N327" s="27">
        <f>SUMIFS(INDEX(Load,,MATCH('Summarized Source Data'!$C327,Hour,0)),Month,'Summarized Source Data'!$A327,Sector,'Summarized Source Data'!N$2,Subsector,'Summarized Source Data'!N$3,TimeOfWeek,$E327)*INDEX(About!J$79:J$82,MATCH($B327,About!$A$79:$A$82,0),1)</f>
        <v>0</v>
      </c>
      <c r="O327" s="29">
        <f t="shared" si="27"/>
        <v>128971584</v>
      </c>
      <c r="P327" s="27">
        <f>(SUMIFS(INDEX(Load,,MATCH('Summarized Source Data'!$C327,Hour,0)),Month,'Summarized Source Data'!$A327,Sector,'Summarized Source Data'!P$2,Subsector,"Total",TimeOfWeek,$E327)-SUM(L327:N327)*INDEX(About!L$79:L$82,MATCH($B327,About!$A$79:$A$82,0),1))</f>
        <v>128971584</v>
      </c>
      <c r="Q327" s="29">
        <f t="shared" si="28"/>
        <v>128971584</v>
      </c>
      <c r="R327" s="33">
        <f>SUMIFS(INDEX(Load,,MATCH('Summarized Source Data'!$C327,Hour,0)),Month,'Summarized Source Data'!$A327,Sector,'Summarized Source Data'!R$2,TimeOfWeek,$E327)*INDEX(About!N$79:N$82,MATCH($B327,About!$A$79:$A$82,0),1)</f>
        <v>6069795</v>
      </c>
      <c r="S327" s="33">
        <f>SUMIFS(INDEX(Load,,MATCH('Summarized Source Data'!$C327,Hour,0)),Month,'Summarized Source Data'!$A327,Sector,'Summarized Source Data'!S$2,TimeOfWeek,$E327)*INDEX(About!O$79:O$82,MATCH($B327,About!$A$79:$A$82,0),1)</f>
        <v>6069795</v>
      </c>
      <c r="T327" s="33">
        <f>SUMIFS(INDEX(Load,,MATCH('Summarized Source Data'!$C327,Hour,0)),Month,'Summarized Source Data'!$A327,Sector,'Summarized Source Data'!T$2,TimeOfWeek,$E327)*INDEX(About!P$79:P$82,MATCH($B327,About!$A$79:$A$82,0),1)</f>
        <v>6069795</v>
      </c>
      <c r="U327" s="33">
        <f>SUMIFS(INDEX(Load,,MATCH('Summarized Source Data'!$C327,Hour,0)),Month,'Summarized Source Data'!$A327,Sector,'Summarized Source Data'!U$2,TimeOfWeek,$E327)*INDEX(About!Q$79:Q$82,MATCH($B327,About!$A$79:$A$82,0),1)</f>
        <v>6069795</v>
      </c>
      <c r="V327" s="33">
        <f>SUMIFS(INDEX(Load,,MATCH('Summarized Source Data'!$C327,Hour,0)),Month,'Summarized Source Data'!$A327,Sector,'Summarized Source Data'!V$2,TimeOfWeek,$E327)*INDEX(About!R$79:R$82,MATCH($B327,About!$A$79:$A$82,0),1)</f>
        <v>6069795</v>
      </c>
      <c r="W327" s="33">
        <f>SUMIFS(INDEX(Load,,MATCH('Summarized Source Data'!$C327,Hour,0)),Month,'Summarized Source Data'!$A327,Sector,'Summarized Source Data'!W$2,TimeOfWeek,$E327)*INDEX(About!S$79:S$82,MATCH($B327,About!$A$79:$A$82,0),1)</f>
        <v>6069795</v>
      </c>
      <c r="X327" s="27">
        <f>SUMIFS(INDEX(Load,,MATCH('Summarized Source Data'!$C327,Hour,0)),Month,'Summarized Source Data'!$A327,Sector,'Summarized Source Data'!X$2,Subsector,'Summarized Source Data'!X$3,TimeOfWeek,$E327)*INDEX(About!T$79:T$82,MATCH($B327,About!$A$79:$A$82,0),1)</f>
        <v>349000000</v>
      </c>
      <c r="Y327" s="29">
        <f t="shared" si="29"/>
        <v>349000000</v>
      </c>
      <c r="Z327" s="29">
        <f t="shared" si="29"/>
        <v>349000000</v>
      </c>
    </row>
    <row r="328" spans="1:26" x14ac:dyDescent="0.3">
      <c r="A328">
        <f t="shared" si="25"/>
        <v>2</v>
      </c>
      <c r="B328" t="str">
        <f>INDEX('Category Mapping'!$G$28:$G$39,MATCH(A328,'Category Mapping'!$A$28:$A$39,0),1)</f>
        <v>Winter</v>
      </c>
      <c r="C328" t="s">
        <v>75</v>
      </c>
      <c r="D328" s="6" t="s">
        <v>150</v>
      </c>
      <c r="E328" s="46" t="s">
        <v>48</v>
      </c>
      <c r="F328" s="27">
        <f>SUMIFS(INDEX(Load,,MATCH('Summarized Source Data'!$C328,Hour,0)),Month,'Summarized Source Data'!$A328,Sector,'Summarized Source Data'!F$2,Subsector,'Summarized Source Data'!F$3,TimeOfWeek,$E328)*INDEX(About!B$79:B$82,MATCH($B328,About!$A$79:$A$82,0),1)</f>
        <v>8420815</v>
      </c>
      <c r="G328" s="27">
        <f>SUMIFS(INDEX(Load,,MATCH('Summarized Source Data'!$C328,Hour,0)),Month,'Summarized Source Data'!$A328,Sector,'Summarized Source Data'!G$2,Subsector,'Summarized Source Data'!G$3,TimeOfWeek,$E328)*INDEX(About!C$79:C$82,MATCH($B328,About!$A$79:$A$82,0),1)</f>
        <v>5105</v>
      </c>
      <c r="H328" s="27">
        <f>SUMIFS(INDEX(Load,,MATCH('Summarized Source Data'!$C328,Hour,0)),Month,'Summarized Source Data'!$A328,Sector,'Summarized Source Data'!H$2,Subsector,'Summarized Source Data'!H$3,TimeOfWeek,$E328)*INDEX(About!D$79:D$82,MATCH($B328,About!$A$79:$A$82,0),1)</f>
        <v>0</v>
      </c>
      <c r="I328" s="27">
        <f>SUMIFS(INDEX(Load,,MATCH('Summarized Source Data'!$C328,Hour,0)),Month,'Summarized Source Data'!$A328,Sector,'Summarized Source Data'!I$2,Subsector,'Summarized Source Data'!I$3,TimeOfWeek,$E328)*INDEX(About!E$79:E$82,MATCH($B328,About!$A$79:$A$82,0),1)</f>
        <v>8592692</v>
      </c>
      <c r="J328" s="54">
        <f t="shared" si="26"/>
        <v>93981388</v>
      </c>
      <c r="K328" s="27">
        <f>(SUMIFS(INDEX(Load,,MATCH('Summarized Source Data'!$C328,Hour,0)),Month,'Summarized Source Data'!$A328,Sector,'Summarized Source Data'!K$2,Subsector,"Total",TimeOfWeek,$E328)-SUM(F328:I328))*INDEX(About!G$79:G$82,MATCH($B328,About!$A$79:$A$82,0),1)</f>
        <v>93981388</v>
      </c>
      <c r="L328" s="27">
        <f>SUMIFS(INDEX(Load,,MATCH('Summarized Source Data'!$C328,Hour,0)),Month,'Summarized Source Data'!$A328,Sector,'Summarized Source Data'!L$2,Subsector,'Summarized Source Data'!L$3,TimeOfWeek,$E328)*INDEX(About!H$79:H$82,MATCH($B328,About!$A$79:$A$82,0),1)</f>
        <v>17200000</v>
      </c>
      <c r="M328" s="27">
        <f>SUMIFS(INDEX(Load,,MATCH('Summarized Source Data'!$C328,Hour,0)),Month,'Summarized Source Data'!$A328,Sector,'Summarized Source Data'!M$2,Subsector,'Summarized Source Data'!M$3,TimeOfWeek,$E328)*INDEX(About!I$79:I$82,MATCH($B328,About!$A$79:$A$82,0),1)</f>
        <v>28572</v>
      </c>
      <c r="N328" s="27">
        <f>SUMIFS(INDEX(Load,,MATCH('Summarized Source Data'!$C328,Hour,0)),Month,'Summarized Source Data'!$A328,Sector,'Summarized Source Data'!N$2,Subsector,'Summarized Source Data'!N$3,TimeOfWeek,$E328)*INDEX(About!J$79:J$82,MATCH($B328,About!$A$79:$A$82,0),1)</f>
        <v>0</v>
      </c>
      <c r="O328" s="29">
        <f t="shared" si="27"/>
        <v>127771428</v>
      </c>
      <c r="P328" s="27">
        <f>(SUMIFS(INDEX(Load,,MATCH('Summarized Source Data'!$C328,Hour,0)),Month,'Summarized Source Data'!$A328,Sector,'Summarized Source Data'!P$2,Subsector,"Total",TimeOfWeek,$E328)-SUM(L328:N328)*INDEX(About!L$79:L$82,MATCH($B328,About!$A$79:$A$82,0),1))</f>
        <v>127771428</v>
      </c>
      <c r="Q328" s="29">
        <f t="shared" si="28"/>
        <v>127771428</v>
      </c>
      <c r="R328" s="33">
        <f>SUMIFS(INDEX(Load,,MATCH('Summarized Source Data'!$C328,Hour,0)),Month,'Summarized Source Data'!$A328,Sector,'Summarized Source Data'!R$2,TimeOfWeek,$E328)*INDEX(About!N$79:N$82,MATCH($B328,About!$A$79:$A$82,0),1)</f>
        <v>5936494</v>
      </c>
      <c r="S328" s="33">
        <f>SUMIFS(INDEX(Load,,MATCH('Summarized Source Data'!$C328,Hour,0)),Month,'Summarized Source Data'!$A328,Sector,'Summarized Source Data'!S$2,TimeOfWeek,$E328)*INDEX(About!O$79:O$82,MATCH($B328,About!$A$79:$A$82,0),1)</f>
        <v>5936494</v>
      </c>
      <c r="T328" s="33">
        <f>SUMIFS(INDEX(Load,,MATCH('Summarized Source Data'!$C328,Hour,0)),Month,'Summarized Source Data'!$A328,Sector,'Summarized Source Data'!T$2,TimeOfWeek,$E328)*INDEX(About!P$79:P$82,MATCH($B328,About!$A$79:$A$82,0),1)</f>
        <v>5936494</v>
      </c>
      <c r="U328" s="33">
        <f>SUMIFS(INDEX(Load,,MATCH('Summarized Source Data'!$C328,Hour,0)),Month,'Summarized Source Data'!$A328,Sector,'Summarized Source Data'!U$2,TimeOfWeek,$E328)*INDEX(About!Q$79:Q$82,MATCH($B328,About!$A$79:$A$82,0),1)</f>
        <v>5936494</v>
      </c>
      <c r="V328" s="33">
        <f>SUMIFS(INDEX(Load,,MATCH('Summarized Source Data'!$C328,Hour,0)),Month,'Summarized Source Data'!$A328,Sector,'Summarized Source Data'!V$2,TimeOfWeek,$E328)*INDEX(About!R$79:R$82,MATCH($B328,About!$A$79:$A$82,0),1)</f>
        <v>5936494</v>
      </c>
      <c r="W328" s="33">
        <f>SUMIFS(INDEX(Load,,MATCH('Summarized Source Data'!$C328,Hour,0)),Month,'Summarized Source Data'!$A328,Sector,'Summarized Source Data'!W$2,TimeOfWeek,$E328)*INDEX(About!S$79:S$82,MATCH($B328,About!$A$79:$A$82,0),1)</f>
        <v>5936494</v>
      </c>
      <c r="X328" s="27">
        <f>SUMIFS(INDEX(Load,,MATCH('Summarized Source Data'!$C328,Hour,0)),Month,'Summarized Source Data'!$A328,Sector,'Summarized Source Data'!X$2,Subsector,'Summarized Source Data'!X$3,TimeOfWeek,$E328)*INDEX(About!T$79:T$82,MATCH($B328,About!$A$79:$A$82,0),1)</f>
        <v>348000000</v>
      </c>
      <c r="Y328" s="29">
        <f t="shared" si="29"/>
        <v>348000000</v>
      </c>
      <c r="Z328" s="29">
        <f t="shared" si="29"/>
        <v>348000000</v>
      </c>
    </row>
    <row r="329" spans="1:26" x14ac:dyDescent="0.3">
      <c r="A329">
        <f t="shared" si="25"/>
        <v>2</v>
      </c>
      <c r="B329" t="str">
        <f>INDEX('Category Mapping'!$G$28:$G$39,MATCH(A329,'Category Mapping'!$A$28:$A$39,0),1)</f>
        <v>Winter</v>
      </c>
      <c r="C329" t="s">
        <v>76</v>
      </c>
      <c r="D329" s="6" t="s">
        <v>151</v>
      </c>
      <c r="E329" s="46" t="s">
        <v>48</v>
      </c>
      <c r="F329" s="27">
        <f>SUMIFS(INDEX(Load,,MATCH('Summarized Source Data'!$C329,Hour,0)),Month,'Summarized Source Data'!$A329,Sector,'Summarized Source Data'!F$2,Subsector,'Summarized Source Data'!F$3,TimeOfWeek,$E329)*INDEX(About!B$79:B$82,MATCH($B329,About!$A$79:$A$82,0),1)</f>
        <v>8230841</v>
      </c>
      <c r="G329" s="27">
        <f>SUMIFS(INDEX(Load,,MATCH('Summarized Source Data'!$C329,Hour,0)),Month,'Summarized Source Data'!$A329,Sector,'Summarized Source Data'!G$2,Subsector,'Summarized Source Data'!G$3,TimeOfWeek,$E329)*INDEX(About!C$79:C$82,MATCH($B329,About!$A$79:$A$82,0),1)</f>
        <v>5153</v>
      </c>
      <c r="H329" s="27">
        <f>SUMIFS(INDEX(Load,,MATCH('Summarized Source Data'!$C329,Hour,0)),Month,'Summarized Source Data'!$A329,Sector,'Summarized Source Data'!H$2,Subsector,'Summarized Source Data'!H$3,TimeOfWeek,$E329)*INDEX(About!D$79:D$82,MATCH($B329,About!$A$79:$A$82,0),1)</f>
        <v>0</v>
      </c>
      <c r="I329" s="27">
        <f>SUMIFS(INDEX(Load,,MATCH('Summarized Source Data'!$C329,Hour,0)),Month,'Summarized Source Data'!$A329,Sector,'Summarized Source Data'!I$2,Subsector,'Summarized Source Data'!I$3,TimeOfWeek,$E329)*INDEX(About!E$79:E$82,MATCH($B329,About!$A$79:$A$82,0),1)</f>
        <v>8581681</v>
      </c>
      <c r="J329" s="54">
        <f t="shared" si="26"/>
        <v>82282325</v>
      </c>
      <c r="K329" s="27">
        <f>(SUMIFS(INDEX(Load,,MATCH('Summarized Source Data'!$C329,Hour,0)),Month,'Summarized Source Data'!$A329,Sector,'Summarized Source Data'!K$2,Subsector,"Total",TimeOfWeek,$E329)-SUM(F329:I329))*INDEX(About!G$79:G$82,MATCH($B329,About!$A$79:$A$82,0),1)</f>
        <v>82282325</v>
      </c>
      <c r="L329" s="27">
        <f>SUMIFS(INDEX(Load,,MATCH('Summarized Source Data'!$C329,Hour,0)),Month,'Summarized Source Data'!$A329,Sector,'Summarized Source Data'!L$2,Subsector,'Summarized Source Data'!L$3,TimeOfWeek,$E329)*INDEX(About!H$79:H$82,MATCH($B329,About!$A$79:$A$82,0),1)</f>
        <v>15700000</v>
      </c>
      <c r="M329" s="27">
        <f>SUMIFS(INDEX(Load,,MATCH('Summarized Source Data'!$C329,Hour,0)),Month,'Summarized Source Data'!$A329,Sector,'Summarized Source Data'!M$2,Subsector,'Summarized Source Data'!M$3,TimeOfWeek,$E329)*INDEX(About!I$79:I$82,MATCH($B329,About!$A$79:$A$82,0),1)</f>
        <v>28572</v>
      </c>
      <c r="N329" s="27">
        <f>SUMIFS(INDEX(Load,,MATCH('Summarized Source Data'!$C329,Hour,0)),Month,'Summarized Source Data'!$A329,Sector,'Summarized Source Data'!N$2,Subsector,'Summarized Source Data'!N$3,TimeOfWeek,$E329)*INDEX(About!J$79:J$82,MATCH($B329,About!$A$79:$A$82,0),1)</f>
        <v>0</v>
      </c>
      <c r="O329" s="29">
        <f t="shared" si="27"/>
        <v>123271428</v>
      </c>
      <c r="P329" s="27">
        <f>(SUMIFS(INDEX(Load,,MATCH('Summarized Source Data'!$C329,Hour,0)),Month,'Summarized Source Data'!$A329,Sector,'Summarized Source Data'!P$2,Subsector,"Total",TimeOfWeek,$E329)-SUM(L329:N329)*INDEX(About!L$79:L$82,MATCH($B329,About!$A$79:$A$82,0),1))</f>
        <v>123271428</v>
      </c>
      <c r="Q329" s="29">
        <f t="shared" si="28"/>
        <v>123271428</v>
      </c>
      <c r="R329" s="33">
        <f>SUMIFS(INDEX(Load,,MATCH('Summarized Source Data'!$C329,Hour,0)),Month,'Summarized Source Data'!$A329,Sector,'Summarized Source Data'!R$2,TimeOfWeek,$E329)*INDEX(About!N$79:N$82,MATCH($B329,About!$A$79:$A$82,0),1)</f>
        <v>5650793</v>
      </c>
      <c r="S329" s="33">
        <f>SUMIFS(INDEX(Load,,MATCH('Summarized Source Data'!$C329,Hour,0)),Month,'Summarized Source Data'!$A329,Sector,'Summarized Source Data'!S$2,TimeOfWeek,$E329)*INDEX(About!O$79:O$82,MATCH($B329,About!$A$79:$A$82,0),1)</f>
        <v>5650793</v>
      </c>
      <c r="T329" s="33">
        <f>SUMIFS(INDEX(Load,,MATCH('Summarized Source Data'!$C329,Hour,0)),Month,'Summarized Source Data'!$A329,Sector,'Summarized Source Data'!T$2,TimeOfWeek,$E329)*INDEX(About!P$79:P$82,MATCH($B329,About!$A$79:$A$82,0),1)</f>
        <v>5650793</v>
      </c>
      <c r="U329" s="33">
        <f>SUMIFS(INDEX(Load,,MATCH('Summarized Source Data'!$C329,Hour,0)),Month,'Summarized Source Data'!$A329,Sector,'Summarized Source Data'!U$2,TimeOfWeek,$E329)*INDEX(About!Q$79:Q$82,MATCH($B329,About!$A$79:$A$82,0),1)</f>
        <v>5650793</v>
      </c>
      <c r="V329" s="33">
        <f>SUMIFS(INDEX(Load,,MATCH('Summarized Source Data'!$C329,Hour,0)),Month,'Summarized Source Data'!$A329,Sector,'Summarized Source Data'!V$2,TimeOfWeek,$E329)*INDEX(About!R$79:R$82,MATCH($B329,About!$A$79:$A$82,0),1)</f>
        <v>5650793</v>
      </c>
      <c r="W329" s="33">
        <f>SUMIFS(INDEX(Load,,MATCH('Summarized Source Data'!$C329,Hour,0)),Month,'Summarized Source Data'!$A329,Sector,'Summarized Source Data'!W$2,TimeOfWeek,$E329)*INDEX(About!S$79:S$82,MATCH($B329,About!$A$79:$A$82,0),1)</f>
        <v>5650793</v>
      </c>
      <c r="X329" s="27">
        <f>SUMIFS(INDEX(Load,,MATCH('Summarized Source Data'!$C329,Hour,0)),Month,'Summarized Source Data'!$A329,Sector,'Summarized Source Data'!X$2,Subsector,'Summarized Source Data'!X$3,TimeOfWeek,$E329)*INDEX(About!T$79:T$82,MATCH($B329,About!$A$79:$A$82,0),1)</f>
        <v>349000000</v>
      </c>
      <c r="Y329" s="29">
        <f t="shared" si="29"/>
        <v>349000000</v>
      </c>
      <c r="Z329" s="29">
        <f t="shared" si="29"/>
        <v>349000000</v>
      </c>
    </row>
    <row r="330" spans="1:26" x14ac:dyDescent="0.3">
      <c r="A330">
        <f t="shared" si="25"/>
        <v>2</v>
      </c>
      <c r="B330" t="str">
        <f>INDEX('Category Mapping'!$G$28:$G$39,MATCH(A330,'Category Mapping'!$A$28:$A$39,0),1)</f>
        <v>Winter</v>
      </c>
      <c r="C330" t="s">
        <v>77</v>
      </c>
      <c r="D330" s="6" t="s">
        <v>152</v>
      </c>
      <c r="E330" s="46" t="s">
        <v>48</v>
      </c>
      <c r="F330" s="27">
        <f>SUMIFS(INDEX(Load,,MATCH('Summarized Source Data'!$C330,Hour,0)),Month,'Summarized Source Data'!$A330,Sector,'Summarized Source Data'!F$2,Subsector,'Summarized Source Data'!F$3,TimeOfWeek,$E330)*INDEX(About!B$79:B$82,MATCH($B330,About!$A$79:$A$82,0),1)</f>
        <v>8121941</v>
      </c>
      <c r="G330" s="27">
        <f>SUMIFS(INDEX(Load,,MATCH('Summarized Source Data'!$C330,Hour,0)),Month,'Summarized Source Data'!$A330,Sector,'Summarized Source Data'!G$2,Subsector,'Summarized Source Data'!G$3,TimeOfWeek,$E330)*INDEX(About!C$79:C$82,MATCH($B330,About!$A$79:$A$82,0),1)</f>
        <v>5142</v>
      </c>
      <c r="H330" s="27">
        <f>SUMIFS(INDEX(Load,,MATCH('Summarized Source Data'!$C330,Hour,0)),Month,'Summarized Source Data'!$A330,Sector,'Summarized Source Data'!H$2,Subsector,'Summarized Source Data'!H$3,TimeOfWeek,$E330)*INDEX(About!D$79:D$82,MATCH($B330,About!$A$79:$A$82,0),1)</f>
        <v>0</v>
      </c>
      <c r="I330" s="27">
        <f>SUMIFS(INDEX(Load,,MATCH('Summarized Source Data'!$C330,Hour,0)),Month,'Summarized Source Data'!$A330,Sector,'Summarized Source Data'!I$2,Subsector,'Summarized Source Data'!I$3,TimeOfWeek,$E330)*INDEX(About!E$79:E$82,MATCH($B330,About!$A$79:$A$82,0),1)</f>
        <v>8491385</v>
      </c>
      <c r="J330" s="54">
        <f t="shared" si="26"/>
        <v>85381532</v>
      </c>
      <c r="K330" s="27">
        <f>(SUMIFS(INDEX(Load,,MATCH('Summarized Source Data'!$C330,Hour,0)),Month,'Summarized Source Data'!$A330,Sector,'Summarized Source Data'!K$2,Subsector,"Total",TimeOfWeek,$E330)-SUM(F330:I330))*INDEX(About!G$79:G$82,MATCH($B330,About!$A$79:$A$82,0),1)</f>
        <v>85381532</v>
      </c>
      <c r="L330" s="27">
        <f>SUMIFS(INDEX(Load,,MATCH('Summarized Source Data'!$C330,Hour,0)),Month,'Summarized Source Data'!$A330,Sector,'Summarized Source Data'!L$2,Subsector,'Summarized Source Data'!L$3,TimeOfWeek,$E330)*INDEX(About!H$79:H$82,MATCH($B330,About!$A$79:$A$82,0),1)</f>
        <v>14800000</v>
      </c>
      <c r="M330" s="27">
        <f>SUMIFS(INDEX(Load,,MATCH('Summarized Source Data'!$C330,Hour,0)),Month,'Summarized Source Data'!$A330,Sector,'Summarized Source Data'!M$2,Subsector,'Summarized Source Data'!M$3,TimeOfWeek,$E330)*INDEX(About!I$79:I$82,MATCH($B330,About!$A$79:$A$82,0),1)</f>
        <v>28572</v>
      </c>
      <c r="N330" s="27">
        <f>SUMIFS(INDEX(Load,,MATCH('Summarized Source Data'!$C330,Hour,0)),Month,'Summarized Source Data'!$A330,Sector,'Summarized Source Data'!N$2,Subsector,'Summarized Source Data'!N$3,TimeOfWeek,$E330)*INDEX(About!J$79:J$82,MATCH($B330,About!$A$79:$A$82,0),1)</f>
        <v>0</v>
      </c>
      <c r="O330" s="29">
        <f t="shared" si="27"/>
        <v>117171428</v>
      </c>
      <c r="P330" s="27">
        <f>(SUMIFS(INDEX(Load,,MATCH('Summarized Source Data'!$C330,Hour,0)),Month,'Summarized Source Data'!$A330,Sector,'Summarized Source Data'!P$2,Subsector,"Total",TimeOfWeek,$E330)-SUM(L330:N330)*INDEX(About!L$79:L$82,MATCH($B330,About!$A$79:$A$82,0),1))</f>
        <v>117171428</v>
      </c>
      <c r="Q330" s="29">
        <f t="shared" si="28"/>
        <v>117171428</v>
      </c>
      <c r="R330" s="33">
        <f>SUMIFS(INDEX(Load,,MATCH('Summarized Source Data'!$C330,Hour,0)),Month,'Summarized Source Data'!$A330,Sector,'Summarized Source Data'!R$2,TimeOfWeek,$E330)*INDEX(About!N$79:N$82,MATCH($B330,About!$A$79:$A$82,0),1)</f>
        <v>5580528</v>
      </c>
      <c r="S330" s="33">
        <f>SUMIFS(INDEX(Load,,MATCH('Summarized Source Data'!$C330,Hour,0)),Month,'Summarized Source Data'!$A330,Sector,'Summarized Source Data'!S$2,TimeOfWeek,$E330)*INDEX(About!O$79:O$82,MATCH($B330,About!$A$79:$A$82,0),1)</f>
        <v>5580528</v>
      </c>
      <c r="T330" s="33">
        <f>SUMIFS(INDEX(Load,,MATCH('Summarized Source Data'!$C330,Hour,0)),Month,'Summarized Source Data'!$A330,Sector,'Summarized Source Data'!T$2,TimeOfWeek,$E330)*INDEX(About!P$79:P$82,MATCH($B330,About!$A$79:$A$82,0),1)</f>
        <v>5580528</v>
      </c>
      <c r="U330" s="33">
        <f>SUMIFS(INDEX(Load,,MATCH('Summarized Source Data'!$C330,Hour,0)),Month,'Summarized Source Data'!$A330,Sector,'Summarized Source Data'!U$2,TimeOfWeek,$E330)*INDEX(About!Q$79:Q$82,MATCH($B330,About!$A$79:$A$82,0),1)</f>
        <v>5580528</v>
      </c>
      <c r="V330" s="33">
        <f>SUMIFS(INDEX(Load,,MATCH('Summarized Source Data'!$C330,Hour,0)),Month,'Summarized Source Data'!$A330,Sector,'Summarized Source Data'!V$2,TimeOfWeek,$E330)*INDEX(About!R$79:R$82,MATCH($B330,About!$A$79:$A$82,0),1)</f>
        <v>5580528</v>
      </c>
      <c r="W330" s="33">
        <f>SUMIFS(INDEX(Load,,MATCH('Summarized Source Data'!$C330,Hour,0)),Month,'Summarized Source Data'!$A330,Sector,'Summarized Source Data'!W$2,TimeOfWeek,$E330)*INDEX(About!S$79:S$82,MATCH($B330,About!$A$79:$A$82,0),1)</f>
        <v>5580528</v>
      </c>
      <c r="X330" s="27">
        <f>SUMIFS(INDEX(Load,,MATCH('Summarized Source Data'!$C330,Hour,0)),Month,'Summarized Source Data'!$A330,Sector,'Summarized Source Data'!X$2,Subsector,'Summarized Source Data'!X$3,TimeOfWeek,$E330)*INDEX(About!T$79:T$82,MATCH($B330,About!$A$79:$A$82,0),1)</f>
        <v>350000000</v>
      </c>
      <c r="Y330" s="29">
        <f t="shared" si="29"/>
        <v>350000000</v>
      </c>
      <c r="Z330" s="29">
        <f t="shared" si="29"/>
        <v>350000000</v>
      </c>
    </row>
    <row r="331" spans="1:26" x14ac:dyDescent="0.3">
      <c r="A331">
        <f t="shared" si="25"/>
        <v>2</v>
      </c>
      <c r="B331" t="str">
        <f>INDEX('Category Mapping'!$G$28:$G$39,MATCH(A331,'Category Mapping'!$A$28:$A$39,0),1)</f>
        <v>Winter</v>
      </c>
      <c r="C331" t="s">
        <v>78</v>
      </c>
      <c r="D331" s="6" t="s">
        <v>153</v>
      </c>
      <c r="E331" s="46" t="s">
        <v>48</v>
      </c>
      <c r="F331" s="27">
        <f>SUMIFS(INDEX(Load,,MATCH('Summarized Source Data'!$C331,Hour,0)),Month,'Summarized Source Data'!$A331,Sector,'Summarized Source Data'!F$2,Subsector,'Summarized Source Data'!F$3,TimeOfWeek,$E331)*INDEX(About!B$79:B$82,MATCH($B331,About!$A$79:$A$82,0),1)</f>
        <v>8195570</v>
      </c>
      <c r="G331" s="27">
        <f>SUMIFS(INDEX(Load,,MATCH('Summarized Source Data'!$C331,Hour,0)),Month,'Summarized Source Data'!$A331,Sector,'Summarized Source Data'!G$2,Subsector,'Summarized Source Data'!G$3,TimeOfWeek,$E331)*INDEX(About!C$79:C$82,MATCH($B331,About!$A$79:$A$82,0),1)</f>
        <v>5126</v>
      </c>
      <c r="H331" s="27">
        <f>SUMIFS(INDEX(Load,,MATCH('Summarized Source Data'!$C331,Hour,0)),Month,'Summarized Source Data'!$A331,Sector,'Summarized Source Data'!H$2,Subsector,'Summarized Source Data'!H$3,TimeOfWeek,$E331)*INDEX(About!D$79:D$82,MATCH($B331,About!$A$79:$A$82,0),1)</f>
        <v>0</v>
      </c>
      <c r="I331" s="27">
        <f>SUMIFS(INDEX(Load,,MATCH('Summarized Source Data'!$C331,Hour,0)),Month,'Summarized Source Data'!$A331,Sector,'Summarized Source Data'!I$2,Subsector,'Summarized Source Data'!I$3,TimeOfWeek,$E331)*INDEX(About!E$79:E$82,MATCH($B331,About!$A$79:$A$82,0),1)</f>
        <v>8512694</v>
      </c>
      <c r="J331" s="54">
        <f t="shared" si="26"/>
        <v>89286610</v>
      </c>
      <c r="K331" s="27">
        <f>(SUMIFS(INDEX(Load,,MATCH('Summarized Source Data'!$C331,Hour,0)),Month,'Summarized Source Data'!$A331,Sector,'Summarized Source Data'!K$2,Subsector,"Total",TimeOfWeek,$E331)-SUM(F331:I331))*INDEX(About!G$79:G$82,MATCH($B331,About!$A$79:$A$82,0),1)</f>
        <v>89286610</v>
      </c>
      <c r="L331" s="27">
        <f>SUMIFS(INDEX(Load,,MATCH('Summarized Source Data'!$C331,Hour,0)),Month,'Summarized Source Data'!$A331,Sector,'Summarized Source Data'!L$2,Subsector,'Summarized Source Data'!L$3,TimeOfWeek,$E331)*INDEX(About!H$79:H$82,MATCH($B331,About!$A$79:$A$82,0),1)</f>
        <v>15100000</v>
      </c>
      <c r="M331" s="27">
        <f>SUMIFS(INDEX(Load,,MATCH('Summarized Source Data'!$C331,Hour,0)),Month,'Summarized Source Data'!$A331,Sector,'Summarized Source Data'!M$2,Subsector,'Summarized Source Data'!M$3,TimeOfWeek,$E331)*INDEX(About!I$79:I$82,MATCH($B331,About!$A$79:$A$82,0),1)</f>
        <v>28578</v>
      </c>
      <c r="N331" s="27">
        <f>SUMIFS(INDEX(Load,,MATCH('Summarized Source Data'!$C331,Hour,0)),Month,'Summarized Source Data'!$A331,Sector,'Summarized Source Data'!N$2,Subsector,'Summarized Source Data'!N$3,TimeOfWeek,$E331)*INDEX(About!J$79:J$82,MATCH($B331,About!$A$79:$A$82,0),1)</f>
        <v>0</v>
      </c>
      <c r="O331" s="29">
        <f t="shared" si="27"/>
        <v>108871422</v>
      </c>
      <c r="P331" s="27">
        <f>(SUMIFS(INDEX(Load,,MATCH('Summarized Source Data'!$C331,Hour,0)),Month,'Summarized Source Data'!$A331,Sector,'Summarized Source Data'!P$2,Subsector,"Total",TimeOfWeek,$E331)-SUM(L331:N331)*INDEX(About!L$79:L$82,MATCH($B331,About!$A$79:$A$82,0),1))</f>
        <v>108871422</v>
      </c>
      <c r="Q331" s="29">
        <f t="shared" si="28"/>
        <v>108871422</v>
      </c>
      <c r="R331" s="33">
        <f>SUMIFS(INDEX(Load,,MATCH('Summarized Source Data'!$C331,Hour,0)),Month,'Summarized Source Data'!$A331,Sector,'Summarized Source Data'!R$2,TimeOfWeek,$E331)*INDEX(About!N$79:N$82,MATCH($B331,About!$A$79:$A$82,0),1)</f>
        <v>5475129</v>
      </c>
      <c r="S331" s="33">
        <f>SUMIFS(INDEX(Load,,MATCH('Summarized Source Data'!$C331,Hour,0)),Month,'Summarized Source Data'!$A331,Sector,'Summarized Source Data'!S$2,TimeOfWeek,$E331)*INDEX(About!O$79:O$82,MATCH($B331,About!$A$79:$A$82,0),1)</f>
        <v>5475129</v>
      </c>
      <c r="T331" s="33">
        <f>SUMIFS(INDEX(Load,,MATCH('Summarized Source Data'!$C331,Hour,0)),Month,'Summarized Source Data'!$A331,Sector,'Summarized Source Data'!T$2,TimeOfWeek,$E331)*INDEX(About!P$79:P$82,MATCH($B331,About!$A$79:$A$82,0),1)</f>
        <v>5475129</v>
      </c>
      <c r="U331" s="33">
        <f>SUMIFS(INDEX(Load,,MATCH('Summarized Source Data'!$C331,Hour,0)),Month,'Summarized Source Data'!$A331,Sector,'Summarized Source Data'!U$2,TimeOfWeek,$E331)*INDEX(About!Q$79:Q$82,MATCH($B331,About!$A$79:$A$82,0),1)</f>
        <v>5475129</v>
      </c>
      <c r="V331" s="33">
        <f>SUMIFS(INDEX(Load,,MATCH('Summarized Source Data'!$C331,Hour,0)),Month,'Summarized Source Data'!$A331,Sector,'Summarized Source Data'!V$2,TimeOfWeek,$E331)*INDEX(About!R$79:R$82,MATCH($B331,About!$A$79:$A$82,0),1)</f>
        <v>5475129</v>
      </c>
      <c r="W331" s="33">
        <f>SUMIFS(INDEX(Load,,MATCH('Summarized Source Data'!$C331,Hour,0)),Month,'Summarized Source Data'!$A331,Sector,'Summarized Source Data'!W$2,TimeOfWeek,$E331)*INDEX(About!S$79:S$82,MATCH($B331,About!$A$79:$A$82,0),1)</f>
        <v>5475129</v>
      </c>
      <c r="X331" s="27">
        <f>SUMIFS(INDEX(Load,,MATCH('Summarized Source Data'!$C331,Hour,0)),Month,'Summarized Source Data'!$A331,Sector,'Summarized Source Data'!X$2,Subsector,'Summarized Source Data'!X$3,TimeOfWeek,$E331)*INDEX(About!T$79:T$82,MATCH($B331,About!$A$79:$A$82,0),1)</f>
        <v>354000000</v>
      </c>
      <c r="Y331" s="29">
        <f t="shared" si="29"/>
        <v>354000000</v>
      </c>
      <c r="Z331" s="29">
        <f t="shared" si="29"/>
        <v>354000000</v>
      </c>
    </row>
    <row r="332" spans="1:26" x14ac:dyDescent="0.3">
      <c r="A332">
        <f t="shared" si="25"/>
        <v>2</v>
      </c>
      <c r="B332" t="str">
        <f>INDEX('Category Mapping'!$G$28:$G$39,MATCH(A332,'Category Mapping'!$A$28:$A$39,0),1)</f>
        <v>Winter</v>
      </c>
      <c r="C332" t="s">
        <v>79</v>
      </c>
      <c r="D332" s="6" t="s">
        <v>154</v>
      </c>
      <c r="E332" s="46" t="s">
        <v>48</v>
      </c>
      <c r="F332" s="27">
        <f>SUMIFS(INDEX(Load,,MATCH('Summarized Source Data'!$C332,Hour,0)),Month,'Summarized Source Data'!$A332,Sector,'Summarized Source Data'!F$2,Subsector,'Summarized Source Data'!F$3,TimeOfWeek,$E332)*INDEX(About!B$79:B$82,MATCH($B332,About!$A$79:$A$82,0),1)</f>
        <v>8498767</v>
      </c>
      <c r="G332" s="27">
        <f>SUMIFS(INDEX(Load,,MATCH('Summarized Source Data'!$C332,Hour,0)),Month,'Summarized Source Data'!$A332,Sector,'Summarized Source Data'!G$2,Subsector,'Summarized Source Data'!G$3,TimeOfWeek,$E332)*INDEX(About!C$79:C$82,MATCH($B332,About!$A$79:$A$82,0),1)</f>
        <v>5167</v>
      </c>
      <c r="H332" s="27">
        <f>SUMIFS(INDEX(Load,,MATCH('Summarized Source Data'!$C332,Hour,0)),Month,'Summarized Source Data'!$A332,Sector,'Summarized Source Data'!H$2,Subsector,'Summarized Source Data'!H$3,TimeOfWeek,$E332)*INDEX(About!D$79:D$82,MATCH($B332,About!$A$79:$A$82,0),1)</f>
        <v>0</v>
      </c>
      <c r="I332" s="27">
        <f>SUMIFS(INDEX(Load,,MATCH('Summarized Source Data'!$C332,Hour,0)),Month,'Summarized Source Data'!$A332,Sector,'Summarized Source Data'!I$2,Subsector,'Summarized Source Data'!I$3,TimeOfWeek,$E332)*INDEX(About!E$79:E$82,MATCH($B332,About!$A$79:$A$82,0),1)</f>
        <v>13900000</v>
      </c>
      <c r="J332" s="54">
        <f t="shared" si="26"/>
        <v>95596066</v>
      </c>
      <c r="K332" s="27">
        <f>(SUMIFS(INDEX(Load,,MATCH('Summarized Source Data'!$C332,Hour,0)),Month,'Summarized Source Data'!$A332,Sector,'Summarized Source Data'!K$2,Subsector,"Total",TimeOfWeek,$E332)-SUM(F332:I332))*INDEX(About!G$79:G$82,MATCH($B332,About!$A$79:$A$82,0),1)</f>
        <v>95596066</v>
      </c>
      <c r="L332" s="27">
        <f>SUMIFS(INDEX(Load,,MATCH('Summarized Source Data'!$C332,Hour,0)),Month,'Summarized Source Data'!$A332,Sector,'Summarized Source Data'!L$2,Subsector,'Summarized Source Data'!L$3,TimeOfWeek,$E332)*INDEX(About!H$79:H$82,MATCH($B332,About!$A$79:$A$82,0),1)</f>
        <v>14800000</v>
      </c>
      <c r="M332" s="27">
        <f>SUMIFS(INDEX(Load,,MATCH('Summarized Source Data'!$C332,Hour,0)),Month,'Summarized Source Data'!$A332,Sector,'Summarized Source Data'!M$2,Subsector,'Summarized Source Data'!M$3,TimeOfWeek,$E332)*INDEX(About!I$79:I$82,MATCH($B332,About!$A$79:$A$82,0),1)</f>
        <v>28271</v>
      </c>
      <c r="N332" s="27">
        <f>SUMIFS(INDEX(Load,,MATCH('Summarized Source Data'!$C332,Hour,0)),Month,'Summarized Source Data'!$A332,Sector,'Summarized Source Data'!N$2,Subsector,'Summarized Source Data'!N$3,TimeOfWeek,$E332)*INDEX(About!J$79:J$82,MATCH($B332,About!$A$79:$A$82,0),1)</f>
        <v>0</v>
      </c>
      <c r="O332" s="29">
        <f t="shared" si="27"/>
        <v>104171729</v>
      </c>
      <c r="P332" s="27">
        <f>(SUMIFS(INDEX(Load,,MATCH('Summarized Source Data'!$C332,Hour,0)),Month,'Summarized Source Data'!$A332,Sector,'Summarized Source Data'!P$2,Subsector,"Total",TimeOfWeek,$E332)-SUM(L332:N332)*INDEX(About!L$79:L$82,MATCH($B332,About!$A$79:$A$82,0),1))</f>
        <v>104171729</v>
      </c>
      <c r="Q332" s="29">
        <f t="shared" si="28"/>
        <v>104171729</v>
      </c>
      <c r="R332" s="33">
        <f>SUMIFS(INDEX(Load,,MATCH('Summarized Source Data'!$C332,Hour,0)),Month,'Summarized Source Data'!$A332,Sector,'Summarized Source Data'!R$2,TimeOfWeek,$E332)*INDEX(About!N$79:N$82,MATCH($B332,About!$A$79:$A$82,0),1)</f>
        <v>6277641</v>
      </c>
      <c r="S332" s="33">
        <f>SUMIFS(INDEX(Load,,MATCH('Summarized Source Data'!$C332,Hour,0)),Month,'Summarized Source Data'!$A332,Sector,'Summarized Source Data'!S$2,TimeOfWeek,$E332)*INDEX(About!O$79:O$82,MATCH($B332,About!$A$79:$A$82,0),1)</f>
        <v>6277641</v>
      </c>
      <c r="T332" s="33">
        <f>SUMIFS(INDEX(Load,,MATCH('Summarized Source Data'!$C332,Hour,0)),Month,'Summarized Source Data'!$A332,Sector,'Summarized Source Data'!T$2,TimeOfWeek,$E332)*INDEX(About!P$79:P$82,MATCH($B332,About!$A$79:$A$82,0),1)</f>
        <v>6277641</v>
      </c>
      <c r="U332" s="33">
        <f>SUMIFS(INDEX(Load,,MATCH('Summarized Source Data'!$C332,Hour,0)),Month,'Summarized Source Data'!$A332,Sector,'Summarized Source Data'!U$2,TimeOfWeek,$E332)*INDEX(About!Q$79:Q$82,MATCH($B332,About!$A$79:$A$82,0),1)</f>
        <v>6277641</v>
      </c>
      <c r="V332" s="33">
        <f>SUMIFS(INDEX(Load,,MATCH('Summarized Source Data'!$C332,Hour,0)),Month,'Summarized Source Data'!$A332,Sector,'Summarized Source Data'!V$2,TimeOfWeek,$E332)*INDEX(About!R$79:R$82,MATCH($B332,About!$A$79:$A$82,0),1)</f>
        <v>6277641</v>
      </c>
      <c r="W332" s="33">
        <f>SUMIFS(INDEX(Load,,MATCH('Summarized Source Data'!$C332,Hour,0)),Month,'Summarized Source Data'!$A332,Sector,'Summarized Source Data'!W$2,TimeOfWeek,$E332)*INDEX(About!S$79:S$82,MATCH($B332,About!$A$79:$A$82,0),1)</f>
        <v>6277641</v>
      </c>
      <c r="X332" s="27">
        <f>SUMIFS(INDEX(Load,,MATCH('Summarized Source Data'!$C332,Hour,0)),Month,'Summarized Source Data'!$A332,Sector,'Summarized Source Data'!X$2,Subsector,'Summarized Source Data'!X$3,TimeOfWeek,$E332)*INDEX(About!T$79:T$82,MATCH($B332,About!$A$79:$A$82,0),1)</f>
        <v>358000000</v>
      </c>
      <c r="Y332" s="29">
        <f t="shared" si="29"/>
        <v>358000000</v>
      </c>
      <c r="Z332" s="29">
        <f t="shared" si="29"/>
        <v>358000000</v>
      </c>
    </row>
    <row r="333" spans="1:26" x14ac:dyDescent="0.3">
      <c r="A333">
        <f t="shared" si="25"/>
        <v>2</v>
      </c>
      <c r="B333" t="str">
        <f>INDEX('Category Mapping'!$G$28:$G$39,MATCH(A333,'Category Mapping'!$A$28:$A$39,0),1)</f>
        <v>Winter</v>
      </c>
      <c r="C333" t="s">
        <v>80</v>
      </c>
      <c r="D333" s="6" t="s">
        <v>155</v>
      </c>
      <c r="E333" s="46" t="s">
        <v>48</v>
      </c>
      <c r="F333" s="27">
        <f>SUMIFS(INDEX(Load,,MATCH('Summarized Source Data'!$C333,Hour,0)),Month,'Summarized Source Data'!$A333,Sector,'Summarized Source Data'!F$2,Subsector,'Summarized Source Data'!F$3,TimeOfWeek,$E333)*INDEX(About!B$79:B$82,MATCH($B333,About!$A$79:$A$82,0),1)</f>
        <v>9013986</v>
      </c>
      <c r="G333" s="27">
        <f>SUMIFS(INDEX(Load,,MATCH('Summarized Source Data'!$C333,Hour,0)),Month,'Summarized Source Data'!$A333,Sector,'Summarized Source Data'!G$2,Subsector,'Summarized Source Data'!G$3,TimeOfWeek,$E333)*INDEX(About!C$79:C$82,MATCH($B333,About!$A$79:$A$82,0),1)</f>
        <v>5371</v>
      </c>
      <c r="H333" s="27">
        <f>SUMIFS(INDEX(Load,,MATCH('Summarized Source Data'!$C333,Hour,0)),Month,'Summarized Source Data'!$A333,Sector,'Summarized Source Data'!H$2,Subsector,'Summarized Source Data'!H$3,TimeOfWeek,$E333)*INDEX(About!D$79:D$82,MATCH($B333,About!$A$79:$A$82,0),1)</f>
        <v>0</v>
      </c>
      <c r="I333" s="27">
        <f>SUMIFS(INDEX(Load,,MATCH('Summarized Source Data'!$C333,Hour,0)),Month,'Summarized Source Data'!$A333,Sector,'Summarized Source Data'!I$2,Subsector,'Summarized Source Data'!I$3,TimeOfWeek,$E333)*INDEX(About!E$79:E$82,MATCH($B333,About!$A$79:$A$82,0),1)</f>
        <v>30600000</v>
      </c>
      <c r="J333" s="54">
        <f t="shared" si="26"/>
        <v>96380643</v>
      </c>
      <c r="K333" s="27">
        <f>(SUMIFS(INDEX(Load,,MATCH('Summarized Source Data'!$C333,Hour,0)),Month,'Summarized Source Data'!$A333,Sector,'Summarized Source Data'!K$2,Subsector,"Total",TimeOfWeek,$E333)-SUM(F333:I333))*INDEX(About!G$79:G$82,MATCH($B333,About!$A$79:$A$82,0),1)</f>
        <v>96380643</v>
      </c>
      <c r="L333" s="27">
        <f>SUMIFS(INDEX(Load,,MATCH('Summarized Source Data'!$C333,Hour,0)),Month,'Summarized Source Data'!$A333,Sector,'Summarized Source Data'!L$2,Subsector,'Summarized Source Data'!L$3,TimeOfWeek,$E333)*INDEX(About!H$79:H$82,MATCH($B333,About!$A$79:$A$82,0),1)</f>
        <v>15600000</v>
      </c>
      <c r="M333" s="27">
        <f>SUMIFS(INDEX(Load,,MATCH('Summarized Source Data'!$C333,Hour,0)),Month,'Summarized Source Data'!$A333,Sector,'Summarized Source Data'!M$2,Subsector,'Summarized Source Data'!M$3,TimeOfWeek,$E333)*INDEX(About!I$79:I$82,MATCH($B333,About!$A$79:$A$82,0),1)</f>
        <v>27588</v>
      </c>
      <c r="N333" s="27">
        <f>SUMIFS(INDEX(Load,,MATCH('Summarized Source Data'!$C333,Hour,0)),Month,'Summarized Source Data'!$A333,Sector,'Summarized Source Data'!N$2,Subsector,'Summarized Source Data'!N$3,TimeOfWeek,$E333)*INDEX(About!J$79:J$82,MATCH($B333,About!$A$79:$A$82,0),1)</f>
        <v>0</v>
      </c>
      <c r="O333" s="29">
        <f t="shared" si="27"/>
        <v>105372412</v>
      </c>
      <c r="P333" s="27">
        <f>(SUMIFS(INDEX(Load,,MATCH('Summarized Source Data'!$C333,Hour,0)),Month,'Summarized Source Data'!$A333,Sector,'Summarized Source Data'!P$2,Subsector,"Total",TimeOfWeek,$E333)-SUM(L333:N333)*INDEX(About!L$79:L$82,MATCH($B333,About!$A$79:$A$82,0),1))</f>
        <v>105372412</v>
      </c>
      <c r="Q333" s="29">
        <f t="shared" si="28"/>
        <v>105372412</v>
      </c>
      <c r="R333" s="33">
        <f>SUMIFS(INDEX(Load,,MATCH('Summarized Source Data'!$C333,Hour,0)),Month,'Summarized Source Data'!$A333,Sector,'Summarized Source Data'!R$2,TimeOfWeek,$E333)*INDEX(About!N$79:N$82,MATCH($B333,About!$A$79:$A$82,0),1)</f>
        <v>6283497</v>
      </c>
      <c r="S333" s="33">
        <f>SUMIFS(INDEX(Load,,MATCH('Summarized Source Data'!$C333,Hour,0)),Month,'Summarized Source Data'!$A333,Sector,'Summarized Source Data'!S$2,TimeOfWeek,$E333)*INDEX(About!O$79:O$82,MATCH($B333,About!$A$79:$A$82,0),1)</f>
        <v>6283497</v>
      </c>
      <c r="T333" s="33">
        <f>SUMIFS(INDEX(Load,,MATCH('Summarized Source Data'!$C333,Hour,0)),Month,'Summarized Source Data'!$A333,Sector,'Summarized Source Data'!T$2,TimeOfWeek,$E333)*INDEX(About!P$79:P$82,MATCH($B333,About!$A$79:$A$82,0),1)</f>
        <v>6283497</v>
      </c>
      <c r="U333" s="33">
        <f>SUMIFS(INDEX(Load,,MATCH('Summarized Source Data'!$C333,Hour,0)),Month,'Summarized Source Data'!$A333,Sector,'Summarized Source Data'!U$2,TimeOfWeek,$E333)*INDEX(About!Q$79:Q$82,MATCH($B333,About!$A$79:$A$82,0),1)</f>
        <v>6283497</v>
      </c>
      <c r="V333" s="33">
        <f>SUMIFS(INDEX(Load,,MATCH('Summarized Source Data'!$C333,Hour,0)),Month,'Summarized Source Data'!$A333,Sector,'Summarized Source Data'!V$2,TimeOfWeek,$E333)*INDEX(About!R$79:R$82,MATCH($B333,About!$A$79:$A$82,0),1)</f>
        <v>6283497</v>
      </c>
      <c r="W333" s="33">
        <f>SUMIFS(INDEX(Load,,MATCH('Summarized Source Data'!$C333,Hour,0)),Month,'Summarized Source Data'!$A333,Sector,'Summarized Source Data'!W$2,TimeOfWeek,$E333)*INDEX(About!S$79:S$82,MATCH($B333,About!$A$79:$A$82,0),1)</f>
        <v>6283497</v>
      </c>
      <c r="X333" s="27">
        <f>SUMIFS(INDEX(Load,,MATCH('Summarized Source Data'!$C333,Hour,0)),Month,'Summarized Source Data'!$A333,Sector,'Summarized Source Data'!X$2,Subsector,'Summarized Source Data'!X$3,TimeOfWeek,$E333)*INDEX(About!T$79:T$82,MATCH($B333,About!$A$79:$A$82,0),1)</f>
        <v>359000000</v>
      </c>
      <c r="Y333" s="29">
        <f t="shared" si="29"/>
        <v>359000000</v>
      </c>
      <c r="Z333" s="29">
        <f t="shared" si="29"/>
        <v>359000000</v>
      </c>
    </row>
    <row r="334" spans="1:26" x14ac:dyDescent="0.3">
      <c r="A334">
        <f t="shared" si="25"/>
        <v>2</v>
      </c>
      <c r="B334" t="str">
        <f>INDEX('Category Mapping'!$G$28:$G$39,MATCH(A334,'Category Mapping'!$A$28:$A$39,0),1)</f>
        <v>Winter</v>
      </c>
      <c r="C334" t="s">
        <v>81</v>
      </c>
      <c r="D334" s="6" t="s">
        <v>156</v>
      </c>
      <c r="E334" s="46" t="s">
        <v>48</v>
      </c>
      <c r="F334" s="27">
        <f>SUMIFS(INDEX(Load,,MATCH('Summarized Source Data'!$C334,Hour,0)),Month,'Summarized Source Data'!$A334,Sector,'Summarized Source Data'!F$2,Subsector,'Summarized Source Data'!F$3,TimeOfWeek,$E334)*INDEX(About!B$79:B$82,MATCH($B334,About!$A$79:$A$82,0),1)</f>
        <v>9660495</v>
      </c>
      <c r="G334" s="27">
        <f>SUMIFS(INDEX(Load,,MATCH('Summarized Source Data'!$C334,Hour,0)),Month,'Summarized Source Data'!$A334,Sector,'Summarized Source Data'!G$2,Subsector,'Summarized Source Data'!G$3,TimeOfWeek,$E334)*INDEX(About!C$79:C$82,MATCH($B334,About!$A$79:$A$82,0),1)</f>
        <v>5701</v>
      </c>
      <c r="H334" s="27">
        <f>SUMIFS(INDEX(Load,,MATCH('Summarized Source Data'!$C334,Hour,0)),Month,'Summarized Source Data'!$A334,Sector,'Summarized Source Data'!H$2,Subsector,'Summarized Source Data'!H$3,TimeOfWeek,$E334)*INDEX(About!D$79:D$82,MATCH($B334,About!$A$79:$A$82,0),1)</f>
        <v>0</v>
      </c>
      <c r="I334" s="27">
        <f>SUMIFS(INDEX(Load,,MATCH('Summarized Source Data'!$C334,Hour,0)),Month,'Summarized Source Data'!$A334,Sector,'Summarized Source Data'!I$2,Subsector,'Summarized Source Data'!I$3,TimeOfWeek,$E334)*INDEX(About!E$79:E$82,MATCH($B334,About!$A$79:$A$82,0),1)</f>
        <v>32300000</v>
      </c>
      <c r="J334" s="54">
        <f t="shared" si="26"/>
        <v>93033804</v>
      </c>
      <c r="K334" s="27">
        <f>(SUMIFS(INDEX(Load,,MATCH('Summarized Source Data'!$C334,Hour,0)),Month,'Summarized Source Data'!$A334,Sector,'Summarized Source Data'!K$2,Subsector,"Total",TimeOfWeek,$E334)-SUM(F334:I334))*INDEX(About!G$79:G$82,MATCH($B334,About!$A$79:$A$82,0),1)</f>
        <v>93033804</v>
      </c>
      <c r="L334" s="27">
        <f>SUMIFS(INDEX(Load,,MATCH('Summarized Source Data'!$C334,Hour,0)),Month,'Summarized Source Data'!$A334,Sector,'Summarized Source Data'!L$2,Subsector,'Summarized Source Data'!L$3,TimeOfWeek,$E334)*INDEX(About!H$79:H$82,MATCH($B334,About!$A$79:$A$82,0),1)</f>
        <v>18400000</v>
      </c>
      <c r="M334" s="27">
        <f>SUMIFS(INDEX(Load,,MATCH('Summarized Source Data'!$C334,Hour,0)),Month,'Summarized Source Data'!$A334,Sector,'Summarized Source Data'!M$2,Subsector,'Summarized Source Data'!M$3,TimeOfWeek,$E334)*INDEX(About!I$79:I$82,MATCH($B334,About!$A$79:$A$82,0),1)</f>
        <v>26996</v>
      </c>
      <c r="N334" s="27">
        <f>SUMIFS(INDEX(Load,,MATCH('Summarized Source Data'!$C334,Hour,0)),Month,'Summarized Source Data'!$A334,Sector,'Summarized Source Data'!N$2,Subsector,'Summarized Source Data'!N$3,TimeOfWeek,$E334)*INDEX(About!J$79:J$82,MATCH($B334,About!$A$79:$A$82,0),1)</f>
        <v>0</v>
      </c>
      <c r="O334" s="29">
        <f t="shared" si="27"/>
        <v>103573004</v>
      </c>
      <c r="P334" s="27">
        <f>(SUMIFS(INDEX(Load,,MATCH('Summarized Source Data'!$C334,Hour,0)),Month,'Summarized Source Data'!$A334,Sector,'Summarized Source Data'!P$2,Subsector,"Total",TimeOfWeek,$E334)-SUM(L334:N334)*INDEX(About!L$79:L$82,MATCH($B334,About!$A$79:$A$82,0),1))</f>
        <v>103573004</v>
      </c>
      <c r="Q334" s="29">
        <f t="shared" si="28"/>
        <v>103573004</v>
      </c>
      <c r="R334" s="33">
        <f>SUMIFS(INDEX(Load,,MATCH('Summarized Source Data'!$C334,Hour,0)),Month,'Summarized Source Data'!$A334,Sector,'Summarized Source Data'!R$2,TimeOfWeek,$E334)*INDEX(About!N$79:N$82,MATCH($B334,About!$A$79:$A$82,0),1)</f>
        <v>6242508</v>
      </c>
      <c r="S334" s="33">
        <f>SUMIFS(INDEX(Load,,MATCH('Summarized Source Data'!$C334,Hour,0)),Month,'Summarized Source Data'!$A334,Sector,'Summarized Source Data'!S$2,TimeOfWeek,$E334)*INDEX(About!O$79:O$82,MATCH($B334,About!$A$79:$A$82,0),1)</f>
        <v>6242508</v>
      </c>
      <c r="T334" s="33">
        <f>SUMIFS(INDEX(Load,,MATCH('Summarized Source Data'!$C334,Hour,0)),Month,'Summarized Source Data'!$A334,Sector,'Summarized Source Data'!T$2,TimeOfWeek,$E334)*INDEX(About!P$79:P$82,MATCH($B334,About!$A$79:$A$82,0),1)</f>
        <v>6242508</v>
      </c>
      <c r="U334" s="33">
        <f>SUMIFS(INDEX(Load,,MATCH('Summarized Source Data'!$C334,Hour,0)),Month,'Summarized Source Data'!$A334,Sector,'Summarized Source Data'!U$2,TimeOfWeek,$E334)*INDEX(About!Q$79:Q$82,MATCH($B334,About!$A$79:$A$82,0),1)</f>
        <v>6242508</v>
      </c>
      <c r="V334" s="33">
        <f>SUMIFS(INDEX(Load,,MATCH('Summarized Source Data'!$C334,Hour,0)),Month,'Summarized Source Data'!$A334,Sector,'Summarized Source Data'!V$2,TimeOfWeek,$E334)*INDEX(About!R$79:R$82,MATCH($B334,About!$A$79:$A$82,0),1)</f>
        <v>6242508</v>
      </c>
      <c r="W334" s="33">
        <f>SUMIFS(INDEX(Load,,MATCH('Summarized Source Data'!$C334,Hour,0)),Month,'Summarized Source Data'!$A334,Sector,'Summarized Source Data'!W$2,TimeOfWeek,$E334)*INDEX(About!S$79:S$82,MATCH($B334,About!$A$79:$A$82,0),1)</f>
        <v>6242508</v>
      </c>
      <c r="X334" s="27">
        <f>SUMIFS(INDEX(Load,,MATCH('Summarized Source Data'!$C334,Hour,0)),Month,'Summarized Source Data'!$A334,Sector,'Summarized Source Data'!X$2,Subsector,'Summarized Source Data'!X$3,TimeOfWeek,$E334)*INDEX(About!T$79:T$82,MATCH($B334,About!$A$79:$A$82,0),1)</f>
        <v>357000000</v>
      </c>
      <c r="Y334" s="29">
        <f t="shared" si="29"/>
        <v>357000000</v>
      </c>
      <c r="Z334" s="29">
        <f t="shared" si="29"/>
        <v>357000000</v>
      </c>
    </row>
    <row r="335" spans="1:26" x14ac:dyDescent="0.3">
      <c r="A335">
        <f t="shared" si="25"/>
        <v>2</v>
      </c>
      <c r="B335" t="str">
        <f>INDEX('Category Mapping'!$G$28:$G$39,MATCH(A335,'Category Mapping'!$A$28:$A$39,0),1)</f>
        <v>Winter</v>
      </c>
      <c r="C335" t="s">
        <v>82</v>
      </c>
      <c r="D335" s="6" t="s">
        <v>157</v>
      </c>
      <c r="E335" s="46" t="s">
        <v>48</v>
      </c>
      <c r="F335" s="27">
        <f>SUMIFS(INDEX(Load,,MATCH('Summarized Source Data'!$C335,Hour,0)),Month,'Summarized Source Data'!$A335,Sector,'Summarized Source Data'!F$2,Subsector,'Summarized Source Data'!F$3,TimeOfWeek,$E335)*INDEX(About!B$79:B$82,MATCH($B335,About!$A$79:$A$82,0),1)</f>
        <v>10300000</v>
      </c>
      <c r="G335" s="27">
        <f>SUMIFS(INDEX(Load,,MATCH('Summarized Source Data'!$C335,Hour,0)),Month,'Summarized Source Data'!$A335,Sector,'Summarized Source Data'!G$2,Subsector,'Summarized Source Data'!G$3,TimeOfWeek,$E335)*INDEX(About!C$79:C$82,MATCH($B335,About!$A$79:$A$82,0),1)</f>
        <v>6059</v>
      </c>
      <c r="H335" s="27">
        <f>SUMIFS(INDEX(Load,,MATCH('Summarized Source Data'!$C335,Hour,0)),Month,'Summarized Source Data'!$A335,Sector,'Summarized Source Data'!H$2,Subsector,'Summarized Source Data'!H$3,TimeOfWeek,$E335)*INDEX(About!D$79:D$82,MATCH($B335,About!$A$79:$A$82,0),1)</f>
        <v>0</v>
      </c>
      <c r="I335" s="27">
        <f>SUMIFS(INDEX(Load,,MATCH('Summarized Source Data'!$C335,Hour,0)),Month,'Summarized Source Data'!$A335,Sector,'Summarized Source Data'!I$2,Subsector,'Summarized Source Data'!I$3,TimeOfWeek,$E335)*INDEX(About!E$79:E$82,MATCH($B335,About!$A$79:$A$82,0),1)</f>
        <v>33900000</v>
      </c>
      <c r="J335" s="54">
        <f t="shared" si="26"/>
        <v>85793941</v>
      </c>
      <c r="K335" s="27">
        <f>(SUMIFS(INDEX(Load,,MATCH('Summarized Source Data'!$C335,Hour,0)),Month,'Summarized Source Data'!$A335,Sector,'Summarized Source Data'!K$2,Subsector,"Total",TimeOfWeek,$E335)-SUM(F335:I335))*INDEX(About!G$79:G$82,MATCH($B335,About!$A$79:$A$82,0),1)</f>
        <v>85793941</v>
      </c>
      <c r="L335" s="27">
        <f>SUMIFS(INDEX(Load,,MATCH('Summarized Source Data'!$C335,Hour,0)),Month,'Summarized Source Data'!$A335,Sector,'Summarized Source Data'!L$2,Subsector,'Summarized Source Data'!L$3,TimeOfWeek,$E335)*INDEX(About!H$79:H$82,MATCH($B335,About!$A$79:$A$82,0),1)</f>
        <v>12600000</v>
      </c>
      <c r="M335" s="27">
        <f>SUMIFS(INDEX(Load,,MATCH('Summarized Source Data'!$C335,Hour,0)),Month,'Summarized Source Data'!$A335,Sector,'Summarized Source Data'!M$2,Subsector,'Summarized Source Data'!M$3,TimeOfWeek,$E335)*INDEX(About!I$79:I$82,MATCH($B335,About!$A$79:$A$82,0),1)</f>
        <v>26152</v>
      </c>
      <c r="N335" s="27">
        <f>SUMIFS(INDEX(Load,,MATCH('Summarized Source Data'!$C335,Hour,0)),Month,'Summarized Source Data'!$A335,Sector,'Summarized Source Data'!N$2,Subsector,'Summarized Source Data'!N$3,TimeOfWeek,$E335)*INDEX(About!J$79:J$82,MATCH($B335,About!$A$79:$A$82,0),1)</f>
        <v>0</v>
      </c>
      <c r="O335" s="29">
        <f t="shared" si="27"/>
        <v>101373848</v>
      </c>
      <c r="P335" s="27">
        <f>(SUMIFS(INDEX(Load,,MATCH('Summarized Source Data'!$C335,Hour,0)),Month,'Summarized Source Data'!$A335,Sector,'Summarized Source Data'!P$2,Subsector,"Total",TimeOfWeek,$E335)-SUM(L335:N335)*INDEX(About!L$79:L$82,MATCH($B335,About!$A$79:$A$82,0),1))</f>
        <v>101373848</v>
      </c>
      <c r="Q335" s="29">
        <f t="shared" si="28"/>
        <v>101373848</v>
      </c>
      <c r="R335" s="33">
        <f>SUMIFS(INDEX(Load,,MATCH('Summarized Source Data'!$C335,Hour,0)),Month,'Summarized Source Data'!$A335,Sector,'Summarized Source Data'!R$2,TimeOfWeek,$E335)*INDEX(About!N$79:N$82,MATCH($B335,About!$A$79:$A$82,0),1)</f>
        <v>6107833</v>
      </c>
      <c r="S335" s="33">
        <f>SUMIFS(INDEX(Load,,MATCH('Summarized Source Data'!$C335,Hour,0)),Month,'Summarized Source Data'!$A335,Sector,'Summarized Source Data'!S$2,TimeOfWeek,$E335)*INDEX(About!O$79:O$82,MATCH($B335,About!$A$79:$A$82,0),1)</f>
        <v>6107833</v>
      </c>
      <c r="T335" s="33">
        <f>SUMIFS(INDEX(Load,,MATCH('Summarized Source Data'!$C335,Hour,0)),Month,'Summarized Source Data'!$A335,Sector,'Summarized Source Data'!T$2,TimeOfWeek,$E335)*INDEX(About!P$79:P$82,MATCH($B335,About!$A$79:$A$82,0),1)</f>
        <v>6107833</v>
      </c>
      <c r="U335" s="33">
        <f>SUMIFS(INDEX(Load,,MATCH('Summarized Source Data'!$C335,Hour,0)),Month,'Summarized Source Data'!$A335,Sector,'Summarized Source Data'!U$2,TimeOfWeek,$E335)*INDEX(About!Q$79:Q$82,MATCH($B335,About!$A$79:$A$82,0),1)</f>
        <v>6107833</v>
      </c>
      <c r="V335" s="33">
        <f>SUMIFS(INDEX(Load,,MATCH('Summarized Source Data'!$C335,Hour,0)),Month,'Summarized Source Data'!$A335,Sector,'Summarized Source Data'!V$2,TimeOfWeek,$E335)*INDEX(About!R$79:R$82,MATCH($B335,About!$A$79:$A$82,0),1)</f>
        <v>6107833</v>
      </c>
      <c r="W335" s="33">
        <f>SUMIFS(INDEX(Load,,MATCH('Summarized Source Data'!$C335,Hour,0)),Month,'Summarized Source Data'!$A335,Sector,'Summarized Source Data'!W$2,TimeOfWeek,$E335)*INDEX(About!S$79:S$82,MATCH($B335,About!$A$79:$A$82,0),1)</f>
        <v>6107833</v>
      </c>
      <c r="X335" s="27">
        <f>SUMIFS(INDEX(Load,,MATCH('Summarized Source Data'!$C335,Hour,0)),Month,'Summarized Source Data'!$A335,Sector,'Summarized Source Data'!X$2,Subsector,'Summarized Source Data'!X$3,TimeOfWeek,$E335)*INDEX(About!T$79:T$82,MATCH($B335,About!$A$79:$A$82,0),1)</f>
        <v>355000000</v>
      </c>
      <c r="Y335" s="29">
        <f t="shared" si="29"/>
        <v>355000000</v>
      </c>
      <c r="Z335" s="29">
        <f t="shared" si="29"/>
        <v>355000000</v>
      </c>
    </row>
    <row r="336" spans="1:26" x14ac:dyDescent="0.3">
      <c r="A336">
        <f t="shared" si="25"/>
        <v>2</v>
      </c>
      <c r="B336" t="str">
        <f>INDEX('Category Mapping'!$G$28:$G$39,MATCH(A336,'Category Mapping'!$A$28:$A$39,0),1)</f>
        <v>Winter</v>
      </c>
      <c r="C336" t="s">
        <v>83</v>
      </c>
      <c r="D336" s="6" t="s">
        <v>158</v>
      </c>
      <c r="E336" s="46" t="s">
        <v>48</v>
      </c>
      <c r="F336" s="27">
        <f>SUMIFS(INDEX(Load,,MATCH('Summarized Source Data'!$C336,Hour,0)),Month,'Summarized Source Data'!$A336,Sector,'Summarized Source Data'!F$2,Subsector,'Summarized Source Data'!F$3,TimeOfWeek,$E336)*INDEX(About!B$79:B$82,MATCH($B336,About!$A$79:$A$82,0),1)</f>
        <v>10800000</v>
      </c>
      <c r="G336" s="27">
        <f>SUMIFS(INDEX(Load,,MATCH('Summarized Source Data'!$C336,Hour,0)),Month,'Summarized Source Data'!$A336,Sector,'Summarized Source Data'!G$2,Subsector,'Summarized Source Data'!G$3,TimeOfWeek,$E336)*INDEX(About!C$79:C$82,MATCH($B336,About!$A$79:$A$82,0),1)</f>
        <v>6343</v>
      </c>
      <c r="H336" s="27">
        <f>SUMIFS(INDEX(Load,,MATCH('Summarized Source Data'!$C336,Hour,0)),Month,'Summarized Source Data'!$A336,Sector,'Summarized Source Data'!H$2,Subsector,'Summarized Source Data'!H$3,TimeOfWeek,$E336)*INDEX(About!D$79:D$82,MATCH($B336,About!$A$79:$A$82,0),1)</f>
        <v>0</v>
      </c>
      <c r="I336" s="27">
        <f>SUMIFS(INDEX(Load,,MATCH('Summarized Source Data'!$C336,Hour,0)),Month,'Summarized Source Data'!$A336,Sector,'Summarized Source Data'!I$2,Subsector,'Summarized Source Data'!I$3,TimeOfWeek,$E336)*INDEX(About!E$79:E$82,MATCH($B336,About!$A$79:$A$82,0),1)</f>
        <v>33700000</v>
      </c>
      <c r="J336" s="54">
        <f t="shared" si="26"/>
        <v>80493657</v>
      </c>
      <c r="K336" s="27">
        <f>(SUMIFS(INDEX(Load,,MATCH('Summarized Source Data'!$C336,Hour,0)),Month,'Summarized Source Data'!$A336,Sector,'Summarized Source Data'!K$2,Subsector,"Total",TimeOfWeek,$E336)-SUM(F336:I336))*INDEX(About!G$79:G$82,MATCH($B336,About!$A$79:$A$82,0),1)</f>
        <v>80493657</v>
      </c>
      <c r="L336" s="27">
        <f>SUMIFS(INDEX(Load,,MATCH('Summarized Source Data'!$C336,Hour,0)),Month,'Summarized Source Data'!$A336,Sector,'Summarized Source Data'!L$2,Subsector,'Summarized Source Data'!L$3,TimeOfWeek,$E336)*INDEX(About!H$79:H$82,MATCH($B336,About!$A$79:$A$82,0),1)</f>
        <v>13100000</v>
      </c>
      <c r="M336" s="27">
        <f>SUMIFS(INDEX(Load,,MATCH('Summarized Source Data'!$C336,Hour,0)),Month,'Summarized Source Data'!$A336,Sector,'Summarized Source Data'!M$2,Subsector,'Summarized Source Data'!M$3,TimeOfWeek,$E336)*INDEX(About!I$79:I$82,MATCH($B336,About!$A$79:$A$82,0),1)</f>
        <v>25442</v>
      </c>
      <c r="N336" s="27">
        <f>SUMIFS(INDEX(Load,,MATCH('Summarized Source Data'!$C336,Hour,0)),Month,'Summarized Source Data'!$A336,Sector,'Summarized Source Data'!N$2,Subsector,'Summarized Source Data'!N$3,TimeOfWeek,$E336)*INDEX(About!J$79:J$82,MATCH($B336,About!$A$79:$A$82,0),1)</f>
        <v>0</v>
      </c>
      <c r="O336" s="29">
        <f t="shared" si="27"/>
        <v>95874558</v>
      </c>
      <c r="P336" s="27">
        <f>(SUMIFS(INDEX(Load,,MATCH('Summarized Source Data'!$C336,Hour,0)),Month,'Summarized Source Data'!$A336,Sector,'Summarized Source Data'!P$2,Subsector,"Total",TimeOfWeek,$E336)-SUM(L336:N336)*INDEX(About!L$79:L$82,MATCH($B336,About!$A$79:$A$82,0),1))</f>
        <v>95874558</v>
      </c>
      <c r="Q336" s="29">
        <f t="shared" si="28"/>
        <v>95874558</v>
      </c>
      <c r="R336" s="33">
        <f>SUMIFS(INDEX(Load,,MATCH('Summarized Source Data'!$C336,Hour,0)),Month,'Summarized Source Data'!$A336,Sector,'Summarized Source Data'!R$2,TimeOfWeek,$E336)*INDEX(About!N$79:N$82,MATCH($B336,About!$A$79:$A$82,0),1)</f>
        <v>5926314</v>
      </c>
      <c r="S336" s="33">
        <f>SUMIFS(INDEX(Load,,MATCH('Summarized Source Data'!$C336,Hour,0)),Month,'Summarized Source Data'!$A336,Sector,'Summarized Source Data'!S$2,TimeOfWeek,$E336)*INDEX(About!O$79:O$82,MATCH($B336,About!$A$79:$A$82,0),1)</f>
        <v>5926314</v>
      </c>
      <c r="T336" s="33">
        <f>SUMIFS(INDEX(Load,,MATCH('Summarized Source Data'!$C336,Hour,0)),Month,'Summarized Source Data'!$A336,Sector,'Summarized Source Data'!T$2,TimeOfWeek,$E336)*INDEX(About!P$79:P$82,MATCH($B336,About!$A$79:$A$82,0),1)</f>
        <v>5926314</v>
      </c>
      <c r="U336" s="33">
        <f>SUMIFS(INDEX(Load,,MATCH('Summarized Source Data'!$C336,Hour,0)),Month,'Summarized Source Data'!$A336,Sector,'Summarized Source Data'!U$2,TimeOfWeek,$E336)*INDEX(About!Q$79:Q$82,MATCH($B336,About!$A$79:$A$82,0),1)</f>
        <v>5926314</v>
      </c>
      <c r="V336" s="33">
        <f>SUMIFS(INDEX(Load,,MATCH('Summarized Source Data'!$C336,Hour,0)),Month,'Summarized Source Data'!$A336,Sector,'Summarized Source Data'!V$2,TimeOfWeek,$E336)*INDEX(About!R$79:R$82,MATCH($B336,About!$A$79:$A$82,0),1)</f>
        <v>5926314</v>
      </c>
      <c r="W336" s="33">
        <f>SUMIFS(INDEX(Load,,MATCH('Summarized Source Data'!$C336,Hour,0)),Month,'Summarized Source Data'!$A336,Sector,'Summarized Source Data'!W$2,TimeOfWeek,$E336)*INDEX(About!S$79:S$82,MATCH($B336,About!$A$79:$A$82,0),1)</f>
        <v>5926314</v>
      </c>
      <c r="X336" s="27">
        <f>SUMIFS(INDEX(Load,,MATCH('Summarized Source Data'!$C336,Hour,0)),Month,'Summarized Source Data'!$A336,Sector,'Summarized Source Data'!X$2,Subsector,'Summarized Source Data'!X$3,TimeOfWeek,$E336)*INDEX(About!T$79:T$82,MATCH($B336,About!$A$79:$A$82,0),1)</f>
        <v>353000000</v>
      </c>
      <c r="Y336" s="29">
        <f t="shared" si="29"/>
        <v>353000000</v>
      </c>
      <c r="Z336" s="29">
        <f t="shared" si="29"/>
        <v>353000000</v>
      </c>
    </row>
    <row r="337" spans="1:26" x14ac:dyDescent="0.3">
      <c r="A337">
        <f t="shared" si="25"/>
        <v>2</v>
      </c>
      <c r="B337" t="str">
        <f>INDEX('Category Mapping'!$G$28:$G$39,MATCH(A337,'Category Mapping'!$A$28:$A$39,0),1)</f>
        <v>Winter</v>
      </c>
      <c r="C337" t="s">
        <v>84</v>
      </c>
      <c r="D337" s="6" t="s">
        <v>159</v>
      </c>
      <c r="E337" s="46" t="s">
        <v>48</v>
      </c>
      <c r="F337" s="27">
        <f>SUMIFS(INDEX(Load,,MATCH('Summarized Source Data'!$C337,Hour,0)),Month,'Summarized Source Data'!$A337,Sector,'Summarized Source Data'!F$2,Subsector,'Summarized Source Data'!F$3,TimeOfWeek,$E337)*INDEX(About!B$79:B$82,MATCH($B337,About!$A$79:$A$82,0),1)</f>
        <v>10400000</v>
      </c>
      <c r="G337" s="27">
        <f>SUMIFS(INDEX(Load,,MATCH('Summarized Source Data'!$C337,Hour,0)),Month,'Summarized Source Data'!$A337,Sector,'Summarized Source Data'!G$2,Subsector,'Summarized Source Data'!G$3,TimeOfWeek,$E337)*INDEX(About!C$79:C$82,MATCH($B337,About!$A$79:$A$82,0),1)</f>
        <v>6613</v>
      </c>
      <c r="H337" s="27">
        <f>SUMIFS(INDEX(Load,,MATCH('Summarized Source Data'!$C337,Hour,0)),Month,'Summarized Source Data'!$A337,Sector,'Summarized Source Data'!H$2,Subsector,'Summarized Source Data'!H$3,TimeOfWeek,$E337)*INDEX(About!D$79:D$82,MATCH($B337,About!$A$79:$A$82,0),1)</f>
        <v>0</v>
      </c>
      <c r="I337" s="27">
        <f>SUMIFS(INDEX(Load,,MATCH('Summarized Source Data'!$C337,Hour,0)),Month,'Summarized Source Data'!$A337,Sector,'Summarized Source Data'!I$2,Subsector,'Summarized Source Data'!I$3,TimeOfWeek,$E337)*INDEX(About!E$79:E$82,MATCH($B337,About!$A$79:$A$82,0),1)</f>
        <v>27800000</v>
      </c>
      <c r="J337" s="54">
        <f t="shared" si="26"/>
        <v>74793387</v>
      </c>
      <c r="K337" s="27">
        <f>(SUMIFS(INDEX(Load,,MATCH('Summarized Source Data'!$C337,Hour,0)),Month,'Summarized Source Data'!$A337,Sector,'Summarized Source Data'!K$2,Subsector,"Total",TimeOfWeek,$E337)-SUM(F337:I337))*INDEX(About!G$79:G$82,MATCH($B337,About!$A$79:$A$82,0),1)</f>
        <v>74793387</v>
      </c>
      <c r="L337" s="27">
        <f>SUMIFS(INDEX(Load,,MATCH('Summarized Source Data'!$C337,Hour,0)),Month,'Summarized Source Data'!$A337,Sector,'Summarized Source Data'!L$2,Subsector,'Summarized Source Data'!L$3,TimeOfWeek,$E337)*INDEX(About!H$79:H$82,MATCH($B337,About!$A$79:$A$82,0),1)</f>
        <v>14200000</v>
      </c>
      <c r="M337" s="27">
        <f>SUMIFS(INDEX(Load,,MATCH('Summarized Source Data'!$C337,Hour,0)),Month,'Summarized Source Data'!$A337,Sector,'Summarized Source Data'!M$2,Subsector,'Summarized Source Data'!M$3,TimeOfWeek,$E337)*INDEX(About!I$79:I$82,MATCH($B337,About!$A$79:$A$82,0),1)</f>
        <v>24717</v>
      </c>
      <c r="N337" s="27">
        <f>SUMIFS(INDEX(Load,,MATCH('Summarized Source Data'!$C337,Hour,0)),Month,'Summarized Source Data'!$A337,Sector,'Summarized Source Data'!N$2,Subsector,'Summarized Source Data'!N$3,TimeOfWeek,$E337)*INDEX(About!J$79:J$82,MATCH($B337,About!$A$79:$A$82,0),1)</f>
        <v>0</v>
      </c>
      <c r="O337" s="29">
        <f t="shared" si="27"/>
        <v>89775283</v>
      </c>
      <c r="P337" s="27">
        <f>(SUMIFS(INDEX(Load,,MATCH('Summarized Source Data'!$C337,Hour,0)),Month,'Summarized Source Data'!$A337,Sector,'Summarized Source Data'!P$2,Subsector,"Total",TimeOfWeek,$E337)-SUM(L337:N337)*INDEX(About!L$79:L$82,MATCH($B337,About!$A$79:$A$82,0),1))</f>
        <v>89775283</v>
      </c>
      <c r="Q337" s="29">
        <f t="shared" si="28"/>
        <v>89775283</v>
      </c>
      <c r="R337" s="33">
        <f>SUMIFS(INDEX(Load,,MATCH('Summarized Source Data'!$C337,Hour,0)),Month,'Summarized Source Data'!$A337,Sector,'Summarized Source Data'!R$2,TimeOfWeek,$E337)*INDEX(About!N$79:N$82,MATCH($B337,About!$A$79:$A$82,0),1)</f>
        <v>5721373</v>
      </c>
      <c r="S337" s="33">
        <f>SUMIFS(INDEX(Load,,MATCH('Summarized Source Data'!$C337,Hour,0)),Month,'Summarized Source Data'!$A337,Sector,'Summarized Source Data'!S$2,TimeOfWeek,$E337)*INDEX(About!O$79:O$82,MATCH($B337,About!$A$79:$A$82,0),1)</f>
        <v>5721373</v>
      </c>
      <c r="T337" s="33">
        <f>SUMIFS(INDEX(Load,,MATCH('Summarized Source Data'!$C337,Hour,0)),Month,'Summarized Source Data'!$A337,Sector,'Summarized Source Data'!T$2,TimeOfWeek,$E337)*INDEX(About!P$79:P$82,MATCH($B337,About!$A$79:$A$82,0),1)</f>
        <v>5721373</v>
      </c>
      <c r="U337" s="33">
        <f>SUMIFS(INDEX(Load,,MATCH('Summarized Source Data'!$C337,Hour,0)),Month,'Summarized Source Data'!$A337,Sector,'Summarized Source Data'!U$2,TimeOfWeek,$E337)*INDEX(About!Q$79:Q$82,MATCH($B337,About!$A$79:$A$82,0),1)</f>
        <v>5721373</v>
      </c>
      <c r="V337" s="33">
        <f>SUMIFS(INDEX(Load,,MATCH('Summarized Source Data'!$C337,Hour,0)),Month,'Summarized Source Data'!$A337,Sector,'Summarized Source Data'!V$2,TimeOfWeek,$E337)*INDEX(About!R$79:R$82,MATCH($B337,About!$A$79:$A$82,0),1)</f>
        <v>5721373</v>
      </c>
      <c r="W337" s="33">
        <f>SUMIFS(INDEX(Load,,MATCH('Summarized Source Data'!$C337,Hour,0)),Month,'Summarized Source Data'!$A337,Sector,'Summarized Source Data'!W$2,TimeOfWeek,$E337)*INDEX(About!S$79:S$82,MATCH($B337,About!$A$79:$A$82,0),1)</f>
        <v>5721373</v>
      </c>
      <c r="X337" s="27">
        <f>SUMIFS(INDEX(Load,,MATCH('Summarized Source Data'!$C337,Hour,0)),Month,'Summarized Source Data'!$A337,Sector,'Summarized Source Data'!X$2,Subsector,'Summarized Source Data'!X$3,TimeOfWeek,$E337)*INDEX(About!T$79:T$82,MATCH($B337,About!$A$79:$A$82,0),1)</f>
        <v>350000000</v>
      </c>
      <c r="Y337" s="29">
        <f t="shared" si="29"/>
        <v>350000000</v>
      </c>
      <c r="Z337" s="29">
        <f t="shared" si="29"/>
        <v>350000000</v>
      </c>
    </row>
    <row r="338" spans="1:26" x14ac:dyDescent="0.3">
      <c r="A338">
        <f t="shared" si="25"/>
        <v>2</v>
      </c>
      <c r="B338" t="str">
        <f>INDEX('Category Mapping'!$G$28:$G$39,MATCH(A338,'Category Mapping'!$A$28:$A$39,0),1)</f>
        <v>Winter</v>
      </c>
      <c r="C338" t="s">
        <v>85</v>
      </c>
      <c r="D338" s="6" t="s">
        <v>160</v>
      </c>
      <c r="E338" s="46" t="s">
        <v>48</v>
      </c>
      <c r="F338" s="27">
        <f>SUMIFS(INDEX(Load,,MATCH('Summarized Source Data'!$C338,Hour,0)),Month,'Summarized Source Data'!$A338,Sector,'Summarized Source Data'!F$2,Subsector,'Summarized Source Data'!F$3,TimeOfWeek,$E338)*INDEX(About!B$79:B$82,MATCH($B338,About!$A$79:$A$82,0),1)</f>
        <v>9301245</v>
      </c>
      <c r="G338" s="27">
        <f>SUMIFS(INDEX(Load,,MATCH('Summarized Source Data'!$C338,Hour,0)),Month,'Summarized Source Data'!$A338,Sector,'Summarized Source Data'!G$2,Subsector,'Summarized Source Data'!G$3,TimeOfWeek,$E338)*INDEX(About!C$79:C$82,MATCH($B338,About!$A$79:$A$82,0),1)</f>
        <v>6863</v>
      </c>
      <c r="H338" s="27">
        <f>SUMIFS(INDEX(Load,,MATCH('Summarized Source Data'!$C338,Hour,0)),Month,'Summarized Source Data'!$A338,Sector,'Summarized Source Data'!H$2,Subsector,'Summarized Source Data'!H$3,TimeOfWeek,$E338)*INDEX(About!D$79:D$82,MATCH($B338,About!$A$79:$A$82,0),1)</f>
        <v>0</v>
      </c>
      <c r="I338" s="27">
        <f>SUMIFS(INDEX(Load,,MATCH('Summarized Source Data'!$C338,Hour,0)),Month,'Summarized Source Data'!$A338,Sector,'Summarized Source Data'!I$2,Subsector,'Summarized Source Data'!I$3,TimeOfWeek,$E338)*INDEX(About!E$79:E$82,MATCH($B338,About!$A$79:$A$82,0),1)</f>
        <v>18000000</v>
      </c>
      <c r="J338" s="54">
        <f t="shared" si="26"/>
        <v>62391892</v>
      </c>
      <c r="K338" s="27">
        <f>(SUMIFS(INDEX(Load,,MATCH('Summarized Source Data'!$C338,Hour,0)),Month,'Summarized Source Data'!$A338,Sector,'Summarized Source Data'!K$2,Subsector,"Total",TimeOfWeek,$E338)-SUM(F338:I338))*INDEX(About!G$79:G$82,MATCH($B338,About!$A$79:$A$82,0),1)</f>
        <v>62391892</v>
      </c>
      <c r="L338" s="27">
        <f>SUMIFS(INDEX(Load,,MATCH('Summarized Source Data'!$C338,Hour,0)),Month,'Summarized Source Data'!$A338,Sector,'Summarized Source Data'!L$2,Subsector,'Summarized Source Data'!L$3,TimeOfWeek,$E338)*INDEX(About!H$79:H$82,MATCH($B338,About!$A$79:$A$82,0),1)</f>
        <v>14700000</v>
      </c>
      <c r="M338" s="27">
        <f>SUMIFS(INDEX(Load,,MATCH('Summarized Source Data'!$C338,Hour,0)),Month,'Summarized Source Data'!$A338,Sector,'Summarized Source Data'!M$2,Subsector,'Summarized Source Data'!M$3,TimeOfWeek,$E338)*INDEX(About!I$79:I$82,MATCH($B338,About!$A$79:$A$82,0),1)</f>
        <v>23846</v>
      </c>
      <c r="N338" s="27">
        <f>SUMIFS(INDEX(Load,,MATCH('Summarized Source Data'!$C338,Hour,0)),Month,'Summarized Source Data'!$A338,Sector,'Summarized Source Data'!N$2,Subsector,'Summarized Source Data'!N$3,TimeOfWeek,$E338)*INDEX(About!J$79:J$82,MATCH($B338,About!$A$79:$A$82,0),1)</f>
        <v>0</v>
      </c>
      <c r="O338" s="29">
        <f t="shared" si="27"/>
        <v>86276154</v>
      </c>
      <c r="P338" s="27">
        <f>(SUMIFS(INDEX(Load,,MATCH('Summarized Source Data'!$C338,Hour,0)),Month,'Summarized Source Data'!$A338,Sector,'Summarized Source Data'!P$2,Subsector,"Total",TimeOfWeek,$E338)-SUM(L338:N338)*INDEX(About!L$79:L$82,MATCH($B338,About!$A$79:$A$82,0),1))</f>
        <v>86276154</v>
      </c>
      <c r="Q338" s="29">
        <f t="shared" si="28"/>
        <v>86276154</v>
      </c>
      <c r="R338" s="33">
        <f>SUMIFS(INDEX(Load,,MATCH('Summarized Source Data'!$C338,Hour,0)),Month,'Summarized Source Data'!$A338,Sector,'Summarized Source Data'!R$2,TimeOfWeek,$E338)*INDEX(About!N$79:N$82,MATCH($B338,About!$A$79:$A$82,0),1)</f>
        <v>5651107</v>
      </c>
      <c r="S338" s="33">
        <f>SUMIFS(INDEX(Load,,MATCH('Summarized Source Data'!$C338,Hour,0)),Month,'Summarized Source Data'!$A338,Sector,'Summarized Source Data'!S$2,TimeOfWeek,$E338)*INDEX(About!O$79:O$82,MATCH($B338,About!$A$79:$A$82,0),1)</f>
        <v>5651107</v>
      </c>
      <c r="T338" s="33">
        <f>SUMIFS(INDEX(Load,,MATCH('Summarized Source Data'!$C338,Hour,0)),Month,'Summarized Source Data'!$A338,Sector,'Summarized Source Data'!T$2,TimeOfWeek,$E338)*INDEX(About!P$79:P$82,MATCH($B338,About!$A$79:$A$82,0),1)</f>
        <v>5651107</v>
      </c>
      <c r="U338" s="33">
        <f>SUMIFS(INDEX(Load,,MATCH('Summarized Source Data'!$C338,Hour,0)),Month,'Summarized Source Data'!$A338,Sector,'Summarized Source Data'!U$2,TimeOfWeek,$E338)*INDEX(About!Q$79:Q$82,MATCH($B338,About!$A$79:$A$82,0),1)</f>
        <v>5651107</v>
      </c>
      <c r="V338" s="33">
        <f>SUMIFS(INDEX(Load,,MATCH('Summarized Source Data'!$C338,Hour,0)),Month,'Summarized Source Data'!$A338,Sector,'Summarized Source Data'!V$2,TimeOfWeek,$E338)*INDEX(About!R$79:R$82,MATCH($B338,About!$A$79:$A$82,0),1)</f>
        <v>5651107</v>
      </c>
      <c r="W338" s="33">
        <f>SUMIFS(INDEX(Load,,MATCH('Summarized Source Data'!$C338,Hour,0)),Month,'Summarized Source Data'!$A338,Sector,'Summarized Source Data'!W$2,TimeOfWeek,$E338)*INDEX(About!S$79:S$82,MATCH($B338,About!$A$79:$A$82,0),1)</f>
        <v>5651107</v>
      </c>
      <c r="X338" s="27">
        <f>SUMIFS(INDEX(Load,,MATCH('Summarized Source Data'!$C338,Hour,0)),Month,'Summarized Source Data'!$A338,Sector,'Summarized Source Data'!X$2,Subsector,'Summarized Source Data'!X$3,TimeOfWeek,$E338)*INDEX(About!T$79:T$82,MATCH($B338,About!$A$79:$A$82,0),1)</f>
        <v>347000000</v>
      </c>
      <c r="Y338" s="29">
        <f t="shared" si="29"/>
        <v>347000000</v>
      </c>
      <c r="Z338" s="29">
        <f t="shared" si="29"/>
        <v>347000000</v>
      </c>
    </row>
    <row r="339" spans="1:26" x14ac:dyDescent="0.3">
      <c r="A339">
        <f t="shared" si="25"/>
        <v>2</v>
      </c>
      <c r="B339" t="str">
        <f>INDEX('Category Mapping'!$G$28:$G$39,MATCH(A339,'Category Mapping'!$A$28:$A$39,0),1)</f>
        <v>Winter</v>
      </c>
      <c r="C339" t="s">
        <v>86</v>
      </c>
      <c r="D339" s="6" t="s">
        <v>161</v>
      </c>
      <c r="E339" s="46" t="s">
        <v>48</v>
      </c>
      <c r="F339" s="27">
        <f>SUMIFS(INDEX(Load,,MATCH('Summarized Source Data'!$C339,Hour,0)),Month,'Summarized Source Data'!$A339,Sector,'Summarized Source Data'!F$2,Subsector,'Summarized Source Data'!F$3,TimeOfWeek,$E339)*INDEX(About!B$79:B$82,MATCH($B339,About!$A$79:$A$82,0),1)</f>
        <v>8925870</v>
      </c>
      <c r="G339" s="27">
        <f>SUMIFS(INDEX(Load,,MATCH('Summarized Source Data'!$C339,Hour,0)),Month,'Summarized Source Data'!$A339,Sector,'Summarized Source Data'!G$2,Subsector,'Summarized Source Data'!G$3,TimeOfWeek,$E339)*INDEX(About!C$79:C$82,MATCH($B339,About!$A$79:$A$82,0),1)</f>
        <v>7078</v>
      </c>
      <c r="H339" s="27">
        <f>SUMIFS(INDEX(Load,,MATCH('Summarized Source Data'!$C339,Hour,0)),Month,'Summarized Source Data'!$A339,Sector,'Summarized Source Data'!H$2,Subsector,'Summarized Source Data'!H$3,TimeOfWeek,$E339)*INDEX(About!D$79:D$82,MATCH($B339,About!$A$79:$A$82,0),1)</f>
        <v>0</v>
      </c>
      <c r="I339" s="27">
        <f>SUMIFS(INDEX(Load,,MATCH('Summarized Source Data'!$C339,Hour,0)),Month,'Summarized Source Data'!$A339,Sector,'Summarized Source Data'!I$2,Subsector,'Summarized Source Data'!I$3,TimeOfWeek,$E339)*INDEX(About!E$79:E$82,MATCH($B339,About!$A$79:$A$82,0),1)</f>
        <v>10000000</v>
      </c>
      <c r="J339" s="54">
        <f t="shared" si="26"/>
        <v>49767052</v>
      </c>
      <c r="K339" s="27">
        <f>(SUMIFS(INDEX(Load,,MATCH('Summarized Source Data'!$C339,Hour,0)),Month,'Summarized Source Data'!$A339,Sector,'Summarized Source Data'!K$2,Subsector,"Total",TimeOfWeek,$E339)-SUM(F339:I339))*INDEX(About!G$79:G$82,MATCH($B339,About!$A$79:$A$82,0),1)</f>
        <v>49767052</v>
      </c>
      <c r="L339" s="27">
        <f>SUMIFS(INDEX(Load,,MATCH('Summarized Source Data'!$C339,Hour,0)),Month,'Summarized Source Data'!$A339,Sector,'Summarized Source Data'!L$2,Subsector,'Summarized Source Data'!L$3,TimeOfWeek,$E339)*INDEX(About!H$79:H$82,MATCH($B339,About!$A$79:$A$82,0),1)</f>
        <v>12000000</v>
      </c>
      <c r="M339" s="27">
        <f>SUMIFS(INDEX(Load,,MATCH('Summarized Source Data'!$C339,Hour,0)),Month,'Summarized Source Data'!$A339,Sector,'Summarized Source Data'!M$2,Subsector,'Summarized Source Data'!M$3,TimeOfWeek,$E339)*INDEX(About!I$79:I$82,MATCH($B339,About!$A$79:$A$82,0),1)</f>
        <v>22656</v>
      </c>
      <c r="N339" s="27">
        <f>SUMIFS(INDEX(Load,,MATCH('Summarized Source Data'!$C339,Hour,0)),Month,'Summarized Source Data'!$A339,Sector,'Summarized Source Data'!N$2,Subsector,'Summarized Source Data'!N$3,TimeOfWeek,$E339)*INDEX(About!J$79:J$82,MATCH($B339,About!$A$79:$A$82,0),1)</f>
        <v>0</v>
      </c>
      <c r="O339" s="29">
        <f t="shared" si="27"/>
        <v>78477344</v>
      </c>
      <c r="P339" s="27">
        <f>(SUMIFS(INDEX(Load,,MATCH('Summarized Source Data'!$C339,Hour,0)),Month,'Summarized Source Data'!$A339,Sector,'Summarized Source Data'!P$2,Subsector,"Total",TimeOfWeek,$E339)-SUM(L339:N339)*INDEX(About!L$79:L$82,MATCH($B339,About!$A$79:$A$82,0),1))</f>
        <v>78477344</v>
      </c>
      <c r="Q339" s="29">
        <f t="shared" si="28"/>
        <v>78477344</v>
      </c>
      <c r="R339" s="33">
        <f>SUMIFS(INDEX(Load,,MATCH('Summarized Source Data'!$C339,Hour,0)),Month,'Summarized Source Data'!$A339,Sector,'Summarized Source Data'!R$2,TimeOfWeek,$E339)*INDEX(About!N$79:N$82,MATCH($B339,About!$A$79:$A$82,0),1)</f>
        <v>3797510</v>
      </c>
      <c r="S339" s="33">
        <f>SUMIFS(INDEX(Load,,MATCH('Summarized Source Data'!$C339,Hour,0)),Month,'Summarized Source Data'!$A339,Sector,'Summarized Source Data'!S$2,TimeOfWeek,$E339)*INDEX(About!O$79:O$82,MATCH($B339,About!$A$79:$A$82,0),1)</f>
        <v>3797510</v>
      </c>
      <c r="T339" s="33">
        <f>SUMIFS(INDEX(Load,,MATCH('Summarized Source Data'!$C339,Hour,0)),Month,'Summarized Source Data'!$A339,Sector,'Summarized Source Data'!T$2,TimeOfWeek,$E339)*INDEX(About!P$79:P$82,MATCH($B339,About!$A$79:$A$82,0),1)</f>
        <v>3797510</v>
      </c>
      <c r="U339" s="33">
        <f>SUMIFS(INDEX(Load,,MATCH('Summarized Source Data'!$C339,Hour,0)),Month,'Summarized Source Data'!$A339,Sector,'Summarized Source Data'!U$2,TimeOfWeek,$E339)*INDEX(About!Q$79:Q$82,MATCH($B339,About!$A$79:$A$82,0),1)</f>
        <v>3797510</v>
      </c>
      <c r="V339" s="33">
        <f>SUMIFS(INDEX(Load,,MATCH('Summarized Source Data'!$C339,Hour,0)),Month,'Summarized Source Data'!$A339,Sector,'Summarized Source Data'!V$2,TimeOfWeek,$E339)*INDEX(About!R$79:R$82,MATCH($B339,About!$A$79:$A$82,0),1)</f>
        <v>3797510</v>
      </c>
      <c r="W339" s="33">
        <f>SUMIFS(INDEX(Load,,MATCH('Summarized Source Data'!$C339,Hour,0)),Month,'Summarized Source Data'!$A339,Sector,'Summarized Source Data'!W$2,TimeOfWeek,$E339)*INDEX(About!S$79:S$82,MATCH($B339,About!$A$79:$A$82,0),1)</f>
        <v>3797510</v>
      </c>
      <c r="X339" s="27">
        <f>SUMIFS(INDEX(Load,,MATCH('Summarized Source Data'!$C339,Hour,0)),Month,'Summarized Source Data'!$A339,Sector,'Summarized Source Data'!X$2,Subsector,'Summarized Source Data'!X$3,TimeOfWeek,$E339)*INDEX(About!T$79:T$82,MATCH($B339,About!$A$79:$A$82,0),1)</f>
        <v>345000000</v>
      </c>
      <c r="Y339" s="29">
        <f t="shared" si="29"/>
        <v>345000000</v>
      </c>
      <c r="Z339" s="29">
        <f t="shared" si="29"/>
        <v>345000000</v>
      </c>
    </row>
    <row r="340" spans="1:26" x14ac:dyDescent="0.3">
      <c r="A340">
        <f t="shared" si="25"/>
        <v>3</v>
      </c>
      <c r="B340" t="str">
        <f>INDEX('Category Mapping'!$G$28:$G$39,MATCH(A340,'Category Mapping'!$A$28:$A$39,0),1)</f>
        <v>Spring</v>
      </c>
      <c r="C340" t="s">
        <v>63</v>
      </c>
      <c r="D340" s="6" t="s">
        <v>138</v>
      </c>
      <c r="E340" s="46" t="s">
        <v>48</v>
      </c>
      <c r="F340" s="27">
        <f>SUMIFS(INDEX(Load,,MATCH('Summarized Source Data'!$C340,Hour,0)),Month,'Summarized Source Data'!$A340,Sector,'Summarized Source Data'!F$2,Subsector,'Summarized Source Data'!F$3,TimeOfWeek,$E340)*INDEX(About!B$79:B$82,MATCH($B340,About!$A$79:$A$82,0),1)</f>
        <v>7165946</v>
      </c>
      <c r="G340" s="27">
        <f>SUMIFS(INDEX(Load,,MATCH('Summarized Source Data'!$C340,Hour,0)),Month,'Summarized Source Data'!$A340,Sector,'Summarized Source Data'!G$2,Subsector,'Summarized Source Data'!G$3,TimeOfWeek,$E340)*INDEX(About!C$79:C$82,MATCH($B340,About!$A$79:$A$82,0),1)</f>
        <v>16265</v>
      </c>
      <c r="H340" s="27">
        <f>SUMIFS(INDEX(Load,,MATCH('Summarized Source Data'!$C340,Hour,0)),Month,'Summarized Source Data'!$A340,Sector,'Summarized Source Data'!H$2,Subsector,'Summarized Source Data'!H$3,TimeOfWeek,$E340)*INDEX(About!D$79:D$82,MATCH($B340,About!$A$79:$A$82,0),1)</f>
        <v>0</v>
      </c>
      <c r="I340" s="27">
        <f>SUMIFS(INDEX(Load,,MATCH('Summarized Source Data'!$C340,Hour,0)),Month,'Summarized Source Data'!$A340,Sector,'Summarized Source Data'!I$2,Subsector,'Summarized Source Data'!I$3,TimeOfWeek,$E340)*INDEX(About!E$79:E$82,MATCH($B340,About!$A$79:$A$82,0),1)</f>
        <v>6265754</v>
      </c>
      <c r="J340" s="54">
        <f t="shared" si="26"/>
        <v>37852035</v>
      </c>
      <c r="K340" s="27">
        <f>(SUMIFS(INDEX(Load,,MATCH('Summarized Source Data'!$C340,Hour,0)),Month,'Summarized Source Data'!$A340,Sector,'Summarized Source Data'!K$2,Subsector,"Total",TimeOfWeek,$E340)-SUM(F340:I340))*INDEX(About!G$79:G$82,MATCH($B340,About!$A$79:$A$82,0),1)</f>
        <v>37852035</v>
      </c>
      <c r="L340" s="27">
        <f>SUMIFS(INDEX(Load,,MATCH('Summarized Source Data'!$C340,Hour,0)),Month,'Summarized Source Data'!$A340,Sector,'Summarized Source Data'!L$2,Subsector,'Summarized Source Data'!L$3,TimeOfWeek,$E340)*INDEX(About!H$79:H$82,MATCH($B340,About!$A$79:$A$82,0),1)</f>
        <v>9077037</v>
      </c>
      <c r="M340" s="27">
        <f>SUMIFS(INDEX(Load,,MATCH('Summarized Source Data'!$C340,Hour,0)),Month,'Summarized Source Data'!$A340,Sector,'Summarized Source Data'!M$2,Subsector,'Summarized Source Data'!M$3,TimeOfWeek,$E340)*INDEX(About!I$79:I$82,MATCH($B340,About!$A$79:$A$82,0),1)</f>
        <v>48845</v>
      </c>
      <c r="N340" s="27">
        <f>SUMIFS(INDEX(Load,,MATCH('Summarized Source Data'!$C340,Hour,0)),Month,'Summarized Source Data'!$A340,Sector,'Summarized Source Data'!N$2,Subsector,'Summarized Source Data'!N$3,TimeOfWeek,$E340)*INDEX(About!J$79:J$82,MATCH($B340,About!$A$79:$A$82,0),1)</f>
        <v>0</v>
      </c>
      <c r="O340" s="29">
        <f t="shared" si="27"/>
        <v>78074118</v>
      </c>
      <c r="P340" s="27">
        <f>(SUMIFS(INDEX(Load,,MATCH('Summarized Source Data'!$C340,Hour,0)),Month,'Summarized Source Data'!$A340,Sector,'Summarized Source Data'!P$2,Subsector,"Total",TimeOfWeek,$E340)-SUM(L340:N340)*INDEX(About!L$79:L$82,MATCH($B340,About!$A$79:$A$82,0),1))</f>
        <v>78074118</v>
      </c>
      <c r="Q340" s="29">
        <f t="shared" si="28"/>
        <v>78074118</v>
      </c>
      <c r="R340" s="33">
        <f>SUMIFS(INDEX(Load,,MATCH('Summarized Source Data'!$C340,Hour,0)),Month,'Summarized Source Data'!$A340,Sector,'Summarized Source Data'!R$2,TimeOfWeek,$E340)*INDEX(About!N$79:N$82,MATCH($B340,About!$A$79:$A$82,0),1)</f>
        <v>2636273</v>
      </c>
      <c r="S340" s="33">
        <f>SUMIFS(INDEX(Load,,MATCH('Summarized Source Data'!$C340,Hour,0)),Month,'Summarized Source Data'!$A340,Sector,'Summarized Source Data'!S$2,TimeOfWeek,$E340)*INDEX(About!O$79:O$82,MATCH($B340,About!$A$79:$A$82,0),1)</f>
        <v>2636273</v>
      </c>
      <c r="T340" s="33">
        <f>SUMIFS(INDEX(Load,,MATCH('Summarized Source Data'!$C340,Hour,0)),Month,'Summarized Source Data'!$A340,Sector,'Summarized Source Data'!T$2,TimeOfWeek,$E340)*INDEX(About!P$79:P$82,MATCH($B340,About!$A$79:$A$82,0),1)</f>
        <v>2636273</v>
      </c>
      <c r="U340" s="33">
        <f>SUMIFS(INDEX(Load,,MATCH('Summarized Source Data'!$C340,Hour,0)),Month,'Summarized Source Data'!$A340,Sector,'Summarized Source Data'!U$2,TimeOfWeek,$E340)*INDEX(About!Q$79:Q$82,MATCH($B340,About!$A$79:$A$82,0),1)</f>
        <v>2636273</v>
      </c>
      <c r="V340" s="33">
        <f>SUMIFS(INDEX(Load,,MATCH('Summarized Source Data'!$C340,Hour,0)),Month,'Summarized Source Data'!$A340,Sector,'Summarized Source Data'!V$2,TimeOfWeek,$E340)*INDEX(About!R$79:R$82,MATCH($B340,About!$A$79:$A$82,0),1)</f>
        <v>2636273</v>
      </c>
      <c r="W340" s="33">
        <f>SUMIFS(INDEX(Load,,MATCH('Summarized Source Data'!$C340,Hour,0)),Month,'Summarized Source Data'!$A340,Sector,'Summarized Source Data'!W$2,TimeOfWeek,$E340)*INDEX(About!S$79:S$82,MATCH($B340,About!$A$79:$A$82,0),1)</f>
        <v>2636273</v>
      </c>
      <c r="X340" s="27">
        <f>SUMIFS(INDEX(Load,,MATCH('Summarized Source Data'!$C340,Hour,0)),Month,'Summarized Source Data'!$A340,Sector,'Summarized Source Data'!X$2,Subsector,'Summarized Source Data'!X$3,TimeOfWeek,$E340)*INDEX(About!T$79:T$82,MATCH($B340,About!$A$79:$A$82,0),1)</f>
        <v>344000000</v>
      </c>
      <c r="Y340" s="29">
        <f t="shared" si="29"/>
        <v>344000000</v>
      </c>
      <c r="Z340" s="29">
        <f t="shared" si="29"/>
        <v>344000000</v>
      </c>
    </row>
    <row r="341" spans="1:26" x14ac:dyDescent="0.3">
      <c r="A341">
        <f t="shared" si="25"/>
        <v>3</v>
      </c>
      <c r="B341" t="str">
        <f>INDEX('Category Mapping'!$G$28:$G$39,MATCH(A341,'Category Mapping'!$A$28:$A$39,0),1)</f>
        <v>Spring</v>
      </c>
      <c r="C341" t="s">
        <v>64</v>
      </c>
      <c r="D341" s="6" t="s">
        <v>139</v>
      </c>
      <c r="E341" s="46" t="s">
        <v>48</v>
      </c>
      <c r="F341" s="27">
        <f>SUMIFS(INDEX(Load,,MATCH('Summarized Source Data'!$C341,Hour,0)),Month,'Summarized Source Data'!$A341,Sector,'Summarized Source Data'!F$2,Subsector,'Summarized Source Data'!F$3,TimeOfWeek,$E341)*INDEX(About!B$79:B$82,MATCH($B341,About!$A$79:$A$82,0),1)</f>
        <v>7341709</v>
      </c>
      <c r="G341" s="27">
        <f>SUMIFS(INDEX(Load,,MATCH('Summarized Source Data'!$C341,Hour,0)),Month,'Summarized Source Data'!$A341,Sector,'Summarized Source Data'!G$2,Subsector,'Summarized Source Data'!G$3,TimeOfWeek,$E341)*INDEX(About!C$79:C$82,MATCH($B341,About!$A$79:$A$82,0),1)</f>
        <v>16514</v>
      </c>
      <c r="H341" s="27">
        <f>SUMIFS(INDEX(Load,,MATCH('Summarized Source Data'!$C341,Hour,0)),Month,'Summarized Source Data'!$A341,Sector,'Summarized Source Data'!H$2,Subsector,'Summarized Source Data'!H$3,TimeOfWeek,$E341)*INDEX(About!D$79:D$82,MATCH($B341,About!$A$79:$A$82,0),1)</f>
        <v>0</v>
      </c>
      <c r="I341" s="27">
        <f>SUMIFS(INDEX(Load,,MATCH('Summarized Source Data'!$C341,Hour,0)),Month,'Summarized Source Data'!$A341,Sector,'Summarized Source Data'!I$2,Subsector,'Summarized Source Data'!I$3,TimeOfWeek,$E341)*INDEX(About!E$79:E$82,MATCH($B341,About!$A$79:$A$82,0),1)</f>
        <v>5413572</v>
      </c>
      <c r="J341" s="54">
        <f t="shared" si="26"/>
        <v>29428205</v>
      </c>
      <c r="K341" s="27">
        <f>(SUMIFS(INDEX(Load,,MATCH('Summarized Source Data'!$C341,Hour,0)),Month,'Summarized Source Data'!$A341,Sector,'Summarized Source Data'!K$2,Subsector,"Total",TimeOfWeek,$E341)-SUM(F341:I341))*INDEX(About!G$79:G$82,MATCH($B341,About!$A$79:$A$82,0),1)</f>
        <v>29428205</v>
      </c>
      <c r="L341" s="27">
        <f>SUMIFS(INDEX(Load,,MATCH('Summarized Source Data'!$C341,Hour,0)),Month,'Summarized Source Data'!$A341,Sector,'Summarized Source Data'!L$2,Subsector,'Summarized Source Data'!L$3,TimeOfWeek,$E341)*INDEX(About!H$79:H$82,MATCH($B341,About!$A$79:$A$82,0),1)</f>
        <v>8020362</v>
      </c>
      <c r="M341" s="27">
        <f>SUMIFS(INDEX(Load,,MATCH('Summarized Source Data'!$C341,Hour,0)),Month,'Summarized Source Data'!$A341,Sector,'Summarized Source Data'!M$2,Subsector,'Summarized Source Data'!M$3,TimeOfWeek,$E341)*INDEX(About!I$79:I$82,MATCH($B341,About!$A$79:$A$82,0),1)</f>
        <v>47806</v>
      </c>
      <c r="N341" s="27">
        <f>SUMIFS(INDEX(Load,,MATCH('Summarized Source Data'!$C341,Hour,0)),Month,'Summarized Source Data'!$A341,Sector,'Summarized Source Data'!N$2,Subsector,'Summarized Source Data'!N$3,TimeOfWeek,$E341)*INDEX(About!J$79:J$82,MATCH($B341,About!$A$79:$A$82,0),1)</f>
        <v>0</v>
      </c>
      <c r="O341" s="29">
        <f t="shared" si="27"/>
        <v>68131832</v>
      </c>
      <c r="P341" s="27">
        <f>(SUMIFS(INDEX(Load,,MATCH('Summarized Source Data'!$C341,Hour,0)),Month,'Summarized Source Data'!$A341,Sector,'Summarized Source Data'!P$2,Subsector,"Total",TimeOfWeek,$E341)-SUM(L341:N341)*INDEX(About!L$79:L$82,MATCH($B341,About!$A$79:$A$82,0),1))</f>
        <v>68131832</v>
      </c>
      <c r="Q341" s="29">
        <f t="shared" si="28"/>
        <v>68131832</v>
      </c>
      <c r="R341" s="33">
        <f>SUMIFS(INDEX(Load,,MATCH('Summarized Source Data'!$C341,Hour,0)),Month,'Summarized Source Data'!$A341,Sector,'Summarized Source Data'!R$2,TimeOfWeek,$E341)*INDEX(About!N$79:N$82,MATCH($B341,About!$A$79:$A$82,0),1)</f>
        <v>2507453</v>
      </c>
      <c r="S341" s="33">
        <f>SUMIFS(INDEX(Load,,MATCH('Summarized Source Data'!$C341,Hour,0)),Month,'Summarized Source Data'!$A341,Sector,'Summarized Source Data'!S$2,TimeOfWeek,$E341)*INDEX(About!O$79:O$82,MATCH($B341,About!$A$79:$A$82,0),1)</f>
        <v>2507453</v>
      </c>
      <c r="T341" s="33">
        <f>SUMIFS(INDEX(Load,,MATCH('Summarized Source Data'!$C341,Hour,0)),Month,'Summarized Source Data'!$A341,Sector,'Summarized Source Data'!T$2,TimeOfWeek,$E341)*INDEX(About!P$79:P$82,MATCH($B341,About!$A$79:$A$82,0),1)</f>
        <v>2507453</v>
      </c>
      <c r="U341" s="33">
        <f>SUMIFS(INDEX(Load,,MATCH('Summarized Source Data'!$C341,Hour,0)),Month,'Summarized Source Data'!$A341,Sector,'Summarized Source Data'!U$2,TimeOfWeek,$E341)*INDEX(About!Q$79:Q$82,MATCH($B341,About!$A$79:$A$82,0),1)</f>
        <v>2507453</v>
      </c>
      <c r="V341" s="33">
        <f>SUMIFS(INDEX(Load,,MATCH('Summarized Source Data'!$C341,Hour,0)),Month,'Summarized Source Data'!$A341,Sector,'Summarized Source Data'!V$2,TimeOfWeek,$E341)*INDEX(About!R$79:R$82,MATCH($B341,About!$A$79:$A$82,0),1)</f>
        <v>2507453</v>
      </c>
      <c r="W341" s="33">
        <f>SUMIFS(INDEX(Load,,MATCH('Summarized Source Data'!$C341,Hour,0)),Month,'Summarized Source Data'!$A341,Sector,'Summarized Source Data'!W$2,TimeOfWeek,$E341)*INDEX(About!S$79:S$82,MATCH($B341,About!$A$79:$A$82,0),1)</f>
        <v>2507453</v>
      </c>
      <c r="X341" s="27">
        <f>SUMIFS(INDEX(Load,,MATCH('Summarized Source Data'!$C341,Hour,0)),Month,'Summarized Source Data'!$A341,Sector,'Summarized Source Data'!X$2,Subsector,'Summarized Source Data'!X$3,TimeOfWeek,$E341)*INDEX(About!T$79:T$82,MATCH($B341,About!$A$79:$A$82,0),1)</f>
        <v>344000000</v>
      </c>
      <c r="Y341" s="29">
        <f t="shared" si="29"/>
        <v>344000000</v>
      </c>
      <c r="Z341" s="29">
        <f t="shared" si="29"/>
        <v>344000000</v>
      </c>
    </row>
    <row r="342" spans="1:26" x14ac:dyDescent="0.3">
      <c r="A342">
        <f t="shared" si="25"/>
        <v>3</v>
      </c>
      <c r="B342" t="str">
        <f>INDEX('Category Mapping'!$G$28:$G$39,MATCH(A342,'Category Mapping'!$A$28:$A$39,0),1)</f>
        <v>Spring</v>
      </c>
      <c r="C342" t="s">
        <v>65</v>
      </c>
      <c r="D342" s="6" t="s">
        <v>140</v>
      </c>
      <c r="E342" s="46" t="s">
        <v>48</v>
      </c>
      <c r="F342" s="27">
        <f>SUMIFS(INDEX(Load,,MATCH('Summarized Source Data'!$C342,Hour,0)),Month,'Summarized Source Data'!$A342,Sector,'Summarized Source Data'!F$2,Subsector,'Summarized Source Data'!F$3,TimeOfWeek,$E342)*INDEX(About!B$79:B$82,MATCH($B342,About!$A$79:$A$82,0),1)</f>
        <v>7401971</v>
      </c>
      <c r="G342" s="27">
        <f>SUMIFS(INDEX(Load,,MATCH('Summarized Source Data'!$C342,Hour,0)),Month,'Summarized Source Data'!$A342,Sector,'Summarized Source Data'!G$2,Subsector,'Summarized Source Data'!G$3,TimeOfWeek,$E342)*INDEX(About!C$79:C$82,MATCH($B342,About!$A$79:$A$82,0),1)</f>
        <v>16733</v>
      </c>
      <c r="H342" s="27">
        <f>SUMIFS(INDEX(Load,,MATCH('Summarized Source Data'!$C342,Hour,0)),Month,'Summarized Source Data'!$A342,Sector,'Summarized Source Data'!H$2,Subsector,'Summarized Source Data'!H$3,TimeOfWeek,$E342)*INDEX(About!D$79:D$82,MATCH($B342,About!$A$79:$A$82,0),1)</f>
        <v>0</v>
      </c>
      <c r="I342" s="27">
        <f>SUMIFS(INDEX(Load,,MATCH('Summarized Source Data'!$C342,Hour,0)),Month,'Summarized Source Data'!$A342,Sector,'Summarized Source Data'!I$2,Subsector,'Summarized Source Data'!I$3,TimeOfWeek,$E342)*INDEX(About!E$79:E$82,MATCH($B342,About!$A$79:$A$82,0),1)</f>
        <v>5228537</v>
      </c>
      <c r="J342" s="54">
        <f t="shared" si="26"/>
        <v>22952759</v>
      </c>
      <c r="K342" s="27">
        <f>(SUMIFS(INDEX(Load,,MATCH('Summarized Source Data'!$C342,Hour,0)),Month,'Summarized Source Data'!$A342,Sector,'Summarized Source Data'!K$2,Subsector,"Total",TimeOfWeek,$E342)-SUM(F342:I342))*INDEX(About!G$79:G$82,MATCH($B342,About!$A$79:$A$82,0),1)</f>
        <v>22952759</v>
      </c>
      <c r="L342" s="27">
        <f>SUMIFS(INDEX(Load,,MATCH('Summarized Source Data'!$C342,Hour,0)),Month,'Summarized Source Data'!$A342,Sector,'Summarized Source Data'!L$2,Subsector,'Summarized Source Data'!L$3,TimeOfWeek,$E342)*INDEX(About!H$79:H$82,MATCH($B342,About!$A$79:$A$82,0),1)</f>
        <v>7708773</v>
      </c>
      <c r="M342" s="27">
        <f>SUMIFS(INDEX(Load,,MATCH('Summarized Source Data'!$C342,Hour,0)),Month,'Summarized Source Data'!$A342,Sector,'Summarized Source Data'!M$2,Subsector,'Summarized Source Data'!M$3,TimeOfWeek,$E342)*INDEX(About!I$79:I$82,MATCH($B342,About!$A$79:$A$82,0),1)</f>
        <v>47372</v>
      </c>
      <c r="N342" s="27">
        <f>SUMIFS(INDEX(Load,,MATCH('Summarized Source Data'!$C342,Hour,0)),Month,'Summarized Source Data'!$A342,Sector,'Summarized Source Data'!N$2,Subsector,'Summarized Source Data'!N$3,TimeOfWeek,$E342)*INDEX(About!J$79:J$82,MATCH($B342,About!$A$79:$A$82,0),1)</f>
        <v>0</v>
      </c>
      <c r="O342" s="29">
        <f t="shared" si="27"/>
        <v>67243855</v>
      </c>
      <c r="P342" s="27">
        <f>(SUMIFS(INDEX(Load,,MATCH('Summarized Source Data'!$C342,Hour,0)),Month,'Summarized Source Data'!$A342,Sector,'Summarized Source Data'!P$2,Subsector,"Total",TimeOfWeek,$E342)-SUM(L342:N342)*INDEX(About!L$79:L$82,MATCH($B342,About!$A$79:$A$82,0),1))</f>
        <v>67243855</v>
      </c>
      <c r="Q342" s="29">
        <f t="shared" si="28"/>
        <v>67243855</v>
      </c>
      <c r="R342" s="33">
        <f>SUMIFS(INDEX(Load,,MATCH('Summarized Source Data'!$C342,Hour,0)),Month,'Summarized Source Data'!$A342,Sector,'Summarized Source Data'!R$2,TimeOfWeek,$E342)*INDEX(About!N$79:N$82,MATCH($B342,About!$A$79:$A$82,0),1)</f>
        <v>2472320</v>
      </c>
      <c r="S342" s="33">
        <f>SUMIFS(INDEX(Load,,MATCH('Summarized Source Data'!$C342,Hour,0)),Month,'Summarized Source Data'!$A342,Sector,'Summarized Source Data'!S$2,TimeOfWeek,$E342)*INDEX(About!O$79:O$82,MATCH($B342,About!$A$79:$A$82,0),1)</f>
        <v>2472320</v>
      </c>
      <c r="T342" s="33">
        <f>SUMIFS(INDEX(Load,,MATCH('Summarized Source Data'!$C342,Hour,0)),Month,'Summarized Source Data'!$A342,Sector,'Summarized Source Data'!T$2,TimeOfWeek,$E342)*INDEX(About!P$79:P$82,MATCH($B342,About!$A$79:$A$82,0),1)</f>
        <v>2472320</v>
      </c>
      <c r="U342" s="33">
        <f>SUMIFS(INDEX(Load,,MATCH('Summarized Source Data'!$C342,Hour,0)),Month,'Summarized Source Data'!$A342,Sector,'Summarized Source Data'!U$2,TimeOfWeek,$E342)*INDEX(About!Q$79:Q$82,MATCH($B342,About!$A$79:$A$82,0),1)</f>
        <v>2472320</v>
      </c>
      <c r="V342" s="33">
        <f>SUMIFS(INDEX(Load,,MATCH('Summarized Source Data'!$C342,Hour,0)),Month,'Summarized Source Data'!$A342,Sector,'Summarized Source Data'!V$2,TimeOfWeek,$E342)*INDEX(About!R$79:R$82,MATCH($B342,About!$A$79:$A$82,0),1)</f>
        <v>2472320</v>
      </c>
      <c r="W342" s="33">
        <f>SUMIFS(INDEX(Load,,MATCH('Summarized Source Data'!$C342,Hour,0)),Month,'Summarized Source Data'!$A342,Sector,'Summarized Source Data'!W$2,TimeOfWeek,$E342)*INDEX(About!S$79:S$82,MATCH($B342,About!$A$79:$A$82,0),1)</f>
        <v>2472320</v>
      </c>
      <c r="X342" s="27">
        <f>SUMIFS(INDEX(Load,,MATCH('Summarized Source Data'!$C342,Hour,0)),Month,'Summarized Source Data'!$A342,Sector,'Summarized Source Data'!X$2,Subsector,'Summarized Source Data'!X$3,TimeOfWeek,$E342)*INDEX(About!T$79:T$82,MATCH($B342,About!$A$79:$A$82,0),1)</f>
        <v>344000000</v>
      </c>
      <c r="Y342" s="29">
        <f t="shared" si="29"/>
        <v>344000000</v>
      </c>
      <c r="Z342" s="29">
        <f t="shared" si="29"/>
        <v>344000000</v>
      </c>
    </row>
    <row r="343" spans="1:26" x14ac:dyDescent="0.3">
      <c r="A343">
        <f t="shared" si="25"/>
        <v>3</v>
      </c>
      <c r="B343" t="str">
        <f>INDEX('Category Mapping'!$G$28:$G$39,MATCH(A343,'Category Mapping'!$A$28:$A$39,0),1)</f>
        <v>Spring</v>
      </c>
      <c r="C343" t="s">
        <v>66</v>
      </c>
      <c r="D343" s="6" t="s">
        <v>141</v>
      </c>
      <c r="E343" s="46" t="s">
        <v>48</v>
      </c>
      <c r="F343" s="27">
        <f>SUMIFS(INDEX(Load,,MATCH('Summarized Source Data'!$C343,Hour,0)),Month,'Summarized Source Data'!$A343,Sector,'Summarized Source Data'!F$2,Subsector,'Summarized Source Data'!F$3,TimeOfWeek,$E343)*INDEX(About!B$79:B$82,MATCH($B343,About!$A$79:$A$82,0),1)</f>
        <v>7341709</v>
      </c>
      <c r="G343" s="27">
        <f>SUMIFS(INDEX(Load,,MATCH('Summarized Source Data'!$C343,Hour,0)),Month,'Summarized Source Data'!$A343,Sector,'Summarized Source Data'!G$2,Subsector,'Summarized Source Data'!G$3,TimeOfWeek,$E343)*INDEX(About!C$79:C$82,MATCH($B343,About!$A$79:$A$82,0),1)</f>
        <v>16765</v>
      </c>
      <c r="H343" s="27">
        <f>SUMIFS(INDEX(Load,,MATCH('Summarized Source Data'!$C343,Hour,0)),Month,'Summarized Source Data'!$A343,Sector,'Summarized Source Data'!H$2,Subsector,'Summarized Source Data'!H$3,TimeOfWeek,$E343)*INDEX(About!D$79:D$82,MATCH($B343,About!$A$79:$A$82,0),1)</f>
        <v>0</v>
      </c>
      <c r="I343" s="27">
        <f>SUMIFS(INDEX(Load,,MATCH('Summarized Source Data'!$C343,Hour,0)),Month,'Summarized Source Data'!$A343,Sector,'Summarized Source Data'!I$2,Subsector,'Summarized Source Data'!I$3,TimeOfWeek,$E343)*INDEX(About!E$79:E$82,MATCH($B343,About!$A$79:$A$82,0),1)</f>
        <v>5224123</v>
      </c>
      <c r="J343" s="54">
        <f t="shared" si="26"/>
        <v>19017403</v>
      </c>
      <c r="K343" s="27">
        <f>(SUMIFS(INDEX(Load,,MATCH('Summarized Source Data'!$C343,Hour,0)),Month,'Summarized Source Data'!$A343,Sector,'Summarized Source Data'!K$2,Subsector,"Total",TimeOfWeek,$E343)-SUM(F343:I343))*INDEX(About!G$79:G$82,MATCH($B343,About!$A$79:$A$82,0),1)</f>
        <v>19017403</v>
      </c>
      <c r="L343" s="27">
        <f>SUMIFS(INDEX(Load,,MATCH('Summarized Source Data'!$C343,Hour,0)),Month,'Summarized Source Data'!$A343,Sector,'Summarized Source Data'!L$2,Subsector,'Summarized Source Data'!L$3,TimeOfWeek,$E343)*INDEX(About!H$79:H$82,MATCH($B343,About!$A$79:$A$82,0),1)</f>
        <v>7958585</v>
      </c>
      <c r="M343" s="27">
        <f>SUMIFS(INDEX(Load,,MATCH('Summarized Source Data'!$C343,Hour,0)),Month,'Summarized Source Data'!$A343,Sector,'Summarized Source Data'!M$2,Subsector,'Summarized Source Data'!M$3,TimeOfWeek,$E343)*INDEX(About!I$79:I$82,MATCH($B343,About!$A$79:$A$82,0),1)</f>
        <v>47128</v>
      </c>
      <c r="N343" s="27">
        <f>SUMIFS(INDEX(Load,,MATCH('Summarized Source Data'!$C343,Hour,0)),Month,'Summarized Source Data'!$A343,Sector,'Summarized Source Data'!N$2,Subsector,'Summarized Source Data'!N$3,TimeOfWeek,$E343)*INDEX(About!J$79:J$82,MATCH($B343,About!$A$79:$A$82,0),1)</f>
        <v>0</v>
      </c>
      <c r="O343" s="29">
        <f t="shared" si="27"/>
        <v>67894287</v>
      </c>
      <c r="P343" s="27">
        <f>(SUMIFS(INDEX(Load,,MATCH('Summarized Source Data'!$C343,Hour,0)),Month,'Summarized Source Data'!$A343,Sector,'Summarized Source Data'!P$2,Subsector,"Total",TimeOfWeek,$E343)-SUM(L343:N343)*INDEX(About!L$79:L$82,MATCH($B343,About!$A$79:$A$82,0),1))</f>
        <v>67894287</v>
      </c>
      <c r="Q343" s="29">
        <f t="shared" si="28"/>
        <v>67894287</v>
      </c>
      <c r="R343" s="33">
        <f>SUMIFS(INDEX(Load,,MATCH('Summarized Source Data'!$C343,Hour,0)),Month,'Summarized Source Data'!$A343,Sector,'Summarized Source Data'!R$2,TimeOfWeek,$E343)*INDEX(About!N$79:N$82,MATCH($B343,About!$A$79:$A$82,0),1)</f>
        <v>2472320</v>
      </c>
      <c r="S343" s="33">
        <f>SUMIFS(INDEX(Load,,MATCH('Summarized Source Data'!$C343,Hour,0)),Month,'Summarized Source Data'!$A343,Sector,'Summarized Source Data'!S$2,TimeOfWeek,$E343)*INDEX(About!O$79:O$82,MATCH($B343,About!$A$79:$A$82,0),1)</f>
        <v>2472320</v>
      </c>
      <c r="T343" s="33">
        <f>SUMIFS(INDEX(Load,,MATCH('Summarized Source Data'!$C343,Hour,0)),Month,'Summarized Source Data'!$A343,Sector,'Summarized Source Data'!T$2,TimeOfWeek,$E343)*INDEX(About!P$79:P$82,MATCH($B343,About!$A$79:$A$82,0),1)</f>
        <v>2472320</v>
      </c>
      <c r="U343" s="33">
        <f>SUMIFS(INDEX(Load,,MATCH('Summarized Source Data'!$C343,Hour,0)),Month,'Summarized Source Data'!$A343,Sector,'Summarized Source Data'!U$2,TimeOfWeek,$E343)*INDEX(About!Q$79:Q$82,MATCH($B343,About!$A$79:$A$82,0),1)</f>
        <v>2472320</v>
      </c>
      <c r="V343" s="33">
        <f>SUMIFS(INDEX(Load,,MATCH('Summarized Source Data'!$C343,Hour,0)),Month,'Summarized Source Data'!$A343,Sector,'Summarized Source Data'!V$2,TimeOfWeek,$E343)*INDEX(About!R$79:R$82,MATCH($B343,About!$A$79:$A$82,0),1)</f>
        <v>2472320</v>
      </c>
      <c r="W343" s="33">
        <f>SUMIFS(INDEX(Load,,MATCH('Summarized Source Data'!$C343,Hour,0)),Month,'Summarized Source Data'!$A343,Sector,'Summarized Source Data'!W$2,TimeOfWeek,$E343)*INDEX(About!S$79:S$82,MATCH($B343,About!$A$79:$A$82,0),1)</f>
        <v>2472320</v>
      </c>
      <c r="X343" s="27">
        <f>SUMIFS(INDEX(Load,,MATCH('Summarized Source Data'!$C343,Hour,0)),Month,'Summarized Source Data'!$A343,Sector,'Summarized Source Data'!X$2,Subsector,'Summarized Source Data'!X$3,TimeOfWeek,$E343)*INDEX(About!T$79:T$82,MATCH($B343,About!$A$79:$A$82,0),1)</f>
        <v>345000000</v>
      </c>
      <c r="Y343" s="29">
        <f t="shared" si="29"/>
        <v>345000000</v>
      </c>
      <c r="Z343" s="29">
        <f t="shared" si="29"/>
        <v>345000000</v>
      </c>
    </row>
    <row r="344" spans="1:26" x14ac:dyDescent="0.3">
      <c r="A344">
        <f t="shared" si="25"/>
        <v>3</v>
      </c>
      <c r="B344" t="str">
        <f>INDEX('Category Mapping'!$G$28:$G$39,MATCH(A344,'Category Mapping'!$A$28:$A$39,0),1)</f>
        <v>Spring</v>
      </c>
      <c r="C344" t="s">
        <v>67</v>
      </c>
      <c r="D344" s="6" t="s">
        <v>142</v>
      </c>
      <c r="E344" s="46" t="s">
        <v>48</v>
      </c>
      <c r="F344" s="27">
        <f>SUMIFS(INDEX(Load,,MATCH('Summarized Source Data'!$C344,Hour,0)),Month,'Summarized Source Data'!$A344,Sector,'Summarized Source Data'!F$2,Subsector,'Summarized Source Data'!F$3,TimeOfWeek,$E344)*INDEX(About!B$79:B$82,MATCH($B344,About!$A$79:$A$82,0),1)</f>
        <v>7165946</v>
      </c>
      <c r="G344" s="27">
        <f>SUMIFS(INDEX(Load,,MATCH('Summarized Source Data'!$C344,Hour,0)),Month,'Summarized Source Data'!$A344,Sector,'Summarized Source Data'!G$2,Subsector,'Summarized Source Data'!G$3,TimeOfWeek,$E344)*INDEX(About!C$79:C$82,MATCH($B344,About!$A$79:$A$82,0),1)</f>
        <v>16711</v>
      </c>
      <c r="H344" s="27">
        <f>SUMIFS(INDEX(Load,,MATCH('Summarized Source Data'!$C344,Hour,0)),Month,'Summarized Source Data'!$A344,Sector,'Summarized Source Data'!H$2,Subsector,'Summarized Source Data'!H$3,TimeOfWeek,$E344)*INDEX(About!D$79:D$82,MATCH($B344,About!$A$79:$A$82,0),1)</f>
        <v>0</v>
      </c>
      <c r="I344" s="27">
        <f>SUMIFS(INDEX(Load,,MATCH('Summarized Source Data'!$C344,Hour,0)),Month,'Summarized Source Data'!$A344,Sector,'Summarized Source Data'!I$2,Subsector,'Summarized Source Data'!I$3,TimeOfWeek,$E344)*INDEX(About!E$79:E$82,MATCH($B344,About!$A$79:$A$82,0),1)</f>
        <v>5498891</v>
      </c>
      <c r="J344" s="54">
        <f t="shared" si="26"/>
        <v>19418452</v>
      </c>
      <c r="K344" s="27">
        <f>(SUMIFS(INDEX(Load,,MATCH('Summarized Source Data'!$C344,Hour,0)),Month,'Summarized Source Data'!$A344,Sector,'Summarized Source Data'!K$2,Subsector,"Total",TimeOfWeek,$E344)-SUM(F344:I344))*INDEX(About!G$79:G$82,MATCH($B344,About!$A$79:$A$82,0),1)</f>
        <v>19418452</v>
      </c>
      <c r="L344" s="27">
        <f>SUMIFS(INDEX(Load,,MATCH('Summarized Source Data'!$C344,Hour,0)),Month,'Summarized Source Data'!$A344,Sector,'Summarized Source Data'!L$2,Subsector,'Summarized Source Data'!L$3,TimeOfWeek,$E344)*INDEX(About!H$79:H$82,MATCH($B344,About!$A$79:$A$82,0),1)</f>
        <v>8207315</v>
      </c>
      <c r="M344" s="27">
        <f>SUMIFS(INDEX(Load,,MATCH('Summarized Source Data'!$C344,Hour,0)),Month,'Summarized Source Data'!$A344,Sector,'Summarized Source Data'!M$2,Subsector,'Summarized Source Data'!M$3,TimeOfWeek,$E344)*INDEX(About!I$79:I$82,MATCH($B344,About!$A$79:$A$82,0),1)</f>
        <v>47075</v>
      </c>
      <c r="N344" s="27">
        <f>SUMIFS(INDEX(Load,,MATCH('Summarized Source Data'!$C344,Hour,0)),Month,'Summarized Source Data'!$A344,Sector,'Summarized Source Data'!N$2,Subsector,'Summarized Source Data'!N$3,TimeOfWeek,$E344)*INDEX(About!J$79:J$82,MATCH($B344,About!$A$79:$A$82,0),1)</f>
        <v>0</v>
      </c>
      <c r="O344" s="29">
        <f t="shared" si="27"/>
        <v>68945610</v>
      </c>
      <c r="P344" s="27">
        <f>(SUMIFS(INDEX(Load,,MATCH('Summarized Source Data'!$C344,Hour,0)),Month,'Summarized Source Data'!$A344,Sector,'Summarized Source Data'!P$2,Subsector,"Total",TimeOfWeek,$E344)-SUM(L344:N344)*INDEX(About!L$79:L$82,MATCH($B344,About!$A$79:$A$82,0),1))</f>
        <v>68945610</v>
      </c>
      <c r="Q344" s="29">
        <f t="shared" si="28"/>
        <v>68945610</v>
      </c>
      <c r="R344" s="33">
        <f>SUMIFS(INDEX(Load,,MATCH('Summarized Source Data'!$C344,Hour,0)),Month,'Summarized Source Data'!$A344,Sector,'Summarized Source Data'!R$2,TimeOfWeek,$E344)*INDEX(About!N$79:N$82,MATCH($B344,About!$A$79:$A$82,0),1)</f>
        <v>2460609</v>
      </c>
      <c r="S344" s="33">
        <f>SUMIFS(INDEX(Load,,MATCH('Summarized Source Data'!$C344,Hour,0)),Month,'Summarized Source Data'!$A344,Sector,'Summarized Source Data'!S$2,TimeOfWeek,$E344)*INDEX(About!O$79:O$82,MATCH($B344,About!$A$79:$A$82,0),1)</f>
        <v>2460609</v>
      </c>
      <c r="T344" s="33">
        <f>SUMIFS(INDEX(Load,,MATCH('Summarized Source Data'!$C344,Hour,0)),Month,'Summarized Source Data'!$A344,Sector,'Summarized Source Data'!T$2,TimeOfWeek,$E344)*INDEX(About!P$79:P$82,MATCH($B344,About!$A$79:$A$82,0),1)</f>
        <v>2460609</v>
      </c>
      <c r="U344" s="33">
        <f>SUMIFS(INDEX(Load,,MATCH('Summarized Source Data'!$C344,Hour,0)),Month,'Summarized Source Data'!$A344,Sector,'Summarized Source Data'!U$2,TimeOfWeek,$E344)*INDEX(About!Q$79:Q$82,MATCH($B344,About!$A$79:$A$82,0),1)</f>
        <v>2460609</v>
      </c>
      <c r="V344" s="33">
        <f>SUMIFS(INDEX(Load,,MATCH('Summarized Source Data'!$C344,Hour,0)),Month,'Summarized Source Data'!$A344,Sector,'Summarized Source Data'!V$2,TimeOfWeek,$E344)*INDEX(About!R$79:R$82,MATCH($B344,About!$A$79:$A$82,0),1)</f>
        <v>2460609</v>
      </c>
      <c r="W344" s="33">
        <f>SUMIFS(INDEX(Load,,MATCH('Summarized Source Data'!$C344,Hour,0)),Month,'Summarized Source Data'!$A344,Sector,'Summarized Source Data'!W$2,TimeOfWeek,$E344)*INDEX(About!S$79:S$82,MATCH($B344,About!$A$79:$A$82,0),1)</f>
        <v>2460609</v>
      </c>
      <c r="X344" s="27">
        <f>SUMIFS(INDEX(Load,,MATCH('Summarized Source Data'!$C344,Hour,0)),Month,'Summarized Source Data'!$A344,Sector,'Summarized Source Data'!X$2,Subsector,'Summarized Source Data'!X$3,TimeOfWeek,$E344)*INDEX(About!T$79:T$82,MATCH($B344,About!$A$79:$A$82,0),1)</f>
        <v>347000000</v>
      </c>
      <c r="Y344" s="29">
        <f t="shared" si="29"/>
        <v>347000000</v>
      </c>
      <c r="Z344" s="29">
        <f t="shared" si="29"/>
        <v>347000000</v>
      </c>
    </row>
    <row r="345" spans="1:26" x14ac:dyDescent="0.3">
      <c r="A345">
        <f t="shared" si="25"/>
        <v>3</v>
      </c>
      <c r="B345" t="str">
        <f>INDEX('Category Mapping'!$G$28:$G$39,MATCH(A345,'Category Mapping'!$A$28:$A$39,0),1)</f>
        <v>Spring</v>
      </c>
      <c r="C345" t="s">
        <v>68</v>
      </c>
      <c r="D345" s="6" t="s">
        <v>143</v>
      </c>
      <c r="E345" s="46" t="s">
        <v>48</v>
      </c>
      <c r="F345" s="27">
        <f>SUMIFS(INDEX(Load,,MATCH('Summarized Source Data'!$C345,Hour,0)),Month,'Summarized Source Data'!$A345,Sector,'Summarized Source Data'!F$2,Subsector,'Summarized Source Data'!F$3,TimeOfWeek,$E345)*INDEX(About!B$79:B$82,MATCH($B345,About!$A$79:$A$82,0),1)</f>
        <v>7760723</v>
      </c>
      <c r="G345" s="27">
        <f>SUMIFS(INDEX(Load,,MATCH('Summarized Source Data'!$C345,Hour,0)),Month,'Summarized Source Data'!$A345,Sector,'Summarized Source Data'!G$2,Subsector,'Summarized Source Data'!G$3,TimeOfWeek,$E345)*INDEX(About!C$79:C$82,MATCH($B345,About!$A$79:$A$82,0),1)</f>
        <v>16412</v>
      </c>
      <c r="H345" s="27">
        <f>SUMIFS(INDEX(Load,,MATCH('Summarized Source Data'!$C345,Hour,0)),Month,'Summarized Source Data'!$A345,Sector,'Summarized Source Data'!H$2,Subsector,'Summarized Source Data'!H$3,TimeOfWeek,$E345)*INDEX(About!D$79:D$82,MATCH($B345,About!$A$79:$A$82,0),1)</f>
        <v>0</v>
      </c>
      <c r="I345" s="27">
        <f>SUMIFS(INDEX(Load,,MATCH('Summarized Source Data'!$C345,Hour,0)),Month,'Summarized Source Data'!$A345,Sector,'Summarized Source Data'!I$2,Subsector,'Summarized Source Data'!I$3,TimeOfWeek,$E345)*INDEX(About!E$79:E$82,MATCH($B345,About!$A$79:$A$82,0),1)</f>
        <v>7126367</v>
      </c>
      <c r="J345" s="54">
        <f t="shared" si="26"/>
        <v>22496498</v>
      </c>
      <c r="K345" s="27">
        <f>(SUMIFS(INDEX(Load,,MATCH('Summarized Source Data'!$C345,Hour,0)),Month,'Summarized Source Data'!$A345,Sector,'Summarized Source Data'!K$2,Subsector,"Total",TimeOfWeek,$E345)-SUM(F345:I345))*INDEX(About!G$79:G$82,MATCH($B345,About!$A$79:$A$82,0),1)</f>
        <v>22496498</v>
      </c>
      <c r="L345" s="27">
        <f>SUMIFS(INDEX(Load,,MATCH('Summarized Source Data'!$C345,Hour,0)),Month,'Summarized Source Data'!$A345,Sector,'Summarized Source Data'!L$2,Subsector,'Summarized Source Data'!L$3,TimeOfWeek,$E345)*INDEX(About!H$79:H$82,MATCH($B345,About!$A$79:$A$82,0),1)</f>
        <v>9328540</v>
      </c>
      <c r="M345" s="27">
        <f>SUMIFS(INDEX(Load,,MATCH('Summarized Source Data'!$C345,Hour,0)),Month,'Summarized Source Data'!$A345,Sector,'Summarized Source Data'!M$2,Subsector,'Summarized Source Data'!M$3,TimeOfWeek,$E345)*INDEX(About!I$79:I$82,MATCH($B345,About!$A$79:$A$82,0),1)</f>
        <v>47589</v>
      </c>
      <c r="N345" s="27">
        <f>SUMIFS(INDEX(Load,,MATCH('Summarized Source Data'!$C345,Hour,0)),Month,'Summarized Source Data'!$A345,Sector,'Summarized Source Data'!N$2,Subsector,'Summarized Source Data'!N$3,TimeOfWeek,$E345)*INDEX(About!J$79:J$82,MATCH($B345,About!$A$79:$A$82,0),1)</f>
        <v>0</v>
      </c>
      <c r="O345" s="29">
        <f t="shared" si="27"/>
        <v>73723871</v>
      </c>
      <c r="P345" s="27">
        <f>(SUMIFS(INDEX(Load,,MATCH('Summarized Source Data'!$C345,Hour,0)),Month,'Summarized Source Data'!$A345,Sector,'Summarized Source Data'!P$2,Subsector,"Total",TimeOfWeek,$E345)-SUM(L345:N345)*INDEX(About!L$79:L$82,MATCH($B345,About!$A$79:$A$82,0),1))</f>
        <v>73723871</v>
      </c>
      <c r="Q345" s="29">
        <f t="shared" si="28"/>
        <v>73723871</v>
      </c>
      <c r="R345" s="33">
        <f>SUMIFS(INDEX(Load,,MATCH('Summarized Source Data'!$C345,Hour,0)),Month,'Summarized Source Data'!$A345,Sector,'Summarized Source Data'!R$2,TimeOfWeek,$E345)*INDEX(About!N$79:N$82,MATCH($B345,About!$A$79:$A$82,0),1)</f>
        <v>2478176</v>
      </c>
      <c r="S345" s="33">
        <f>SUMIFS(INDEX(Load,,MATCH('Summarized Source Data'!$C345,Hour,0)),Month,'Summarized Source Data'!$A345,Sector,'Summarized Source Data'!S$2,TimeOfWeek,$E345)*INDEX(About!O$79:O$82,MATCH($B345,About!$A$79:$A$82,0),1)</f>
        <v>2478176</v>
      </c>
      <c r="T345" s="33">
        <f>SUMIFS(INDEX(Load,,MATCH('Summarized Source Data'!$C345,Hour,0)),Month,'Summarized Source Data'!$A345,Sector,'Summarized Source Data'!T$2,TimeOfWeek,$E345)*INDEX(About!P$79:P$82,MATCH($B345,About!$A$79:$A$82,0),1)</f>
        <v>2478176</v>
      </c>
      <c r="U345" s="33">
        <f>SUMIFS(INDEX(Load,,MATCH('Summarized Source Data'!$C345,Hour,0)),Month,'Summarized Source Data'!$A345,Sector,'Summarized Source Data'!U$2,TimeOfWeek,$E345)*INDEX(About!Q$79:Q$82,MATCH($B345,About!$A$79:$A$82,0),1)</f>
        <v>2478176</v>
      </c>
      <c r="V345" s="33">
        <f>SUMIFS(INDEX(Load,,MATCH('Summarized Source Data'!$C345,Hour,0)),Month,'Summarized Source Data'!$A345,Sector,'Summarized Source Data'!V$2,TimeOfWeek,$E345)*INDEX(About!R$79:R$82,MATCH($B345,About!$A$79:$A$82,0),1)</f>
        <v>2478176</v>
      </c>
      <c r="W345" s="33">
        <f>SUMIFS(INDEX(Load,,MATCH('Summarized Source Data'!$C345,Hour,0)),Month,'Summarized Source Data'!$A345,Sector,'Summarized Source Data'!W$2,TimeOfWeek,$E345)*INDEX(About!S$79:S$82,MATCH($B345,About!$A$79:$A$82,0),1)</f>
        <v>2478176</v>
      </c>
      <c r="X345" s="27">
        <f>SUMIFS(INDEX(Load,,MATCH('Summarized Source Data'!$C345,Hour,0)),Month,'Summarized Source Data'!$A345,Sector,'Summarized Source Data'!X$2,Subsector,'Summarized Source Data'!X$3,TimeOfWeek,$E345)*INDEX(About!T$79:T$82,MATCH($B345,About!$A$79:$A$82,0),1)</f>
        <v>351000000</v>
      </c>
      <c r="Y345" s="29">
        <f t="shared" si="29"/>
        <v>351000000</v>
      </c>
      <c r="Z345" s="29">
        <f t="shared" si="29"/>
        <v>351000000</v>
      </c>
    </row>
    <row r="346" spans="1:26" x14ac:dyDescent="0.3">
      <c r="A346">
        <f t="shared" si="25"/>
        <v>3</v>
      </c>
      <c r="B346" t="str">
        <f>INDEX('Category Mapping'!$G$28:$G$39,MATCH(A346,'Category Mapping'!$A$28:$A$39,0),1)</f>
        <v>Spring</v>
      </c>
      <c r="C346" t="s">
        <v>69</v>
      </c>
      <c r="D346" s="6" t="s">
        <v>144</v>
      </c>
      <c r="E346" s="46" t="s">
        <v>48</v>
      </c>
      <c r="F346" s="27">
        <f>SUMIFS(INDEX(Load,,MATCH('Summarized Source Data'!$C346,Hour,0)),Month,'Summarized Source Data'!$A346,Sector,'Summarized Source Data'!F$2,Subsector,'Summarized Source Data'!F$3,TimeOfWeek,$E346)*INDEX(About!B$79:B$82,MATCH($B346,About!$A$79:$A$82,0),1)</f>
        <v>8249120</v>
      </c>
      <c r="G346" s="27">
        <f>SUMIFS(INDEX(Load,,MATCH('Summarized Source Data'!$C346,Hour,0)),Month,'Summarized Source Data'!$A346,Sector,'Summarized Source Data'!G$2,Subsector,'Summarized Source Data'!G$3,TimeOfWeek,$E346)*INDEX(About!C$79:C$82,MATCH($B346,About!$A$79:$A$82,0),1)</f>
        <v>15755</v>
      </c>
      <c r="H346" s="27">
        <f>SUMIFS(INDEX(Load,,MATCH('Summarized Source Data'!$C346,Hour,0)),Month,'Summarized Source Data'!$A346,Sector,'Summarized Source Data'!H$2,Subsector,'Summarized Source Data'!H$3,TimeOfWeek,$E346)*INDEX(About!D$79:D$82,MATCH($B346,About!$A$79:$A$82,0),1)</f>
        <v>0</v>
      </c>
      <c r="I346" s="27">
        <f>SUMIFS(INDEX(Load,,MATCH('Summarized Source Data'!$C346,Hour,0)),Month,'Summarized Source Data'!$A346,Sector,'Summarized Source Data'!I$2,Subsector,'Summarized Source Data'!I$3,TimeOfWeek,$E346)*INDEX(About!E$79:E$82,MATCH($B346,About!$A$79:$A$82,0),1)</f>
        <v>12100000</v>
      </c>
      <c r="J346" s="54">
        <f t="shared" si="26"/>
        <v>33135125</v>
      </c>
      <c r="K346" s="27">
        <f>(SUMIFS(INDEX(Load,,MATCH('Summarized Source Data'!$C346,Hour,0)),Month,'Summarized Source Data'!$A346,Sector,'Summarized Source Data'!K$2,Subsector,"Total",TimeOfWeek,$E346)-SUM(F346:I346))*INDEX(About!G$79:G$82,MATCH($B346,About!$A$79:$A$82,0),1)</f>
        <v>33135125</v>
      </c>
      <c r="L346" s="27">
        <f>SUMIFS(INDEX(Load,,MATCH('Summarized Source Data'!$C346,Hour,0)),Month,'Summarized Source Data'!$A346,Sector,'Summarized Source Data'!L$2,Subsector,'Summarized Source Data'!L$3,TimeOfWeek,$E346)*INDEX(About!H$79:H$82,MATCH($B346,About!$A$79:$A$82,0),1)</f>
        <v>15900000</v>
      </c>
      <c r="M346" s="27">
        <f>SUMIFS(INDEX(Load,,MATCH('Summarized Source Data'!$C346,Hour,0)),Month,'Summarized Source Data'!$A346,Sector,'Summarized Source Data'!M$2,Subsector,'Summarized Source Data'!M$3,TimeOfWeek,$E346)*INDEX(About!I$79:I$82,MATCH($B346,About!$A$79:$A$82,0),1)</f>
        <v>49427</v>
      </c>
      <c r="N346" s="27">
        <f>SUMIFS(INDEX(Load,,MATCH('Summarized Source Data'!$C346,Hour,0)),Month,'Summarized Source Data'!$A346,Sector,'Summarized Source Data'!N$2,Subsector,'Summarized Source Data'!N$3,TimeOfWeek,$E346)*INDEX(About!J$79:J$82,MATCH($B346,About!$A$79:$A$82,0),1)</f>
        <v>0</v>
      </c>
      <c r="O346" s="29">
        <f t="shared" si="27"/>
        <v>82450573</v>
      </c>
      <c r="P346" s="27">
        <f>(SUMIFS(INDEX(Load,,MATCH('Summarized Source Data'!$C346,Hour,0)),Month,'Summarized Source Data'!$A346,Sector,'Summarized Source Data'!P$2,Subsector,"Total",TimeOfWeek,$E346)-SUM(L346:N346)*INDEX(About!L$79:L$82,MATCH($B346,About!$A$79:$A$82,0),1))</f>
        <v>82450573</v>
      </c>
      <c r="Q346" s="29">
        <f t="shared" si="28"/>
        <v>82450573</v>
      </c>
      <c r="R346" s="33">
        <f>SUMIFS(INDEX(Load,,MATCH('Summarized Source Data'!$C346,Hour,0)),Month,'Summarized Source Data'!$A346,Sector,'Summarized Source Data'!R$2,TimeOfWeek,$E346)*INDEX(About!N$79:N$82,MATCH($B346,About!$A$79:$A$82,0),1)</f>
        <v>3073955</v>
      </c>
      <c r="S346" s="33">
        <f>SUMIFS(INDEX(Load,,MATCH('Summarized Source Data'!$C346,Hour,0)),Month,'Summarized Source Data'!$A346,Sector,'Summarized Source Data'!S$2,TimeOfWeek,$E346)*INDEX(About!O$79:O$82,MATCH($B346,About!$A$79:$A$82,0),1)</f>
        <v>3073955</v>
      </c>
      <c r="T346" s="33">
        <f>SUMIFS(INDEX(Load,,MATCH('Summarized Source Data'!$C346,Hour,0)),Month,'Summarized Source Data'!$A346,Sector,'Summarized Source Data'!T$2,TimeOfWeek,$E346)*INDEX(About!P$79:P$82,MATCH($B346,About!$A$79:$A$82,0),1)</f>
        <v>3073955</v>
      </c>
      <c r="U346" s="33">
        <f>SUMIFS(INDEX(Load,,MATCH('Summarized Source Data'!$C346,Hour,0)),Month,'Summarized Source Data'!$A346,Sector,'Summarized Source Data'!U$2,TimeOfWeek,$E346)*INDEX(About!Q$79:Q$82,MATCH($B346,About!$A$79:$A$82,0),1)</f>
        <v>3073955</v>
      </c>
      <c r="V346" s="33">
        <f>SUMIFS(INDEX(Load,,MATCH('Summarized Source Data'!$C346,Hour,0)),Month,'Summarized Source Data'!$A346,Sector,'Summarized Source Data'!V$2,TimeOfWeek,$E346)*INDEX(About!R$79:R$82,MATCH($B346,About!$A$79:$A$82,0),1)</f>
        <v>3073955</v>
      </c>
      <c r="W346" s="33">
        <f>SUMIFS(INDEX(Load,,MATCH('Summarized Source Data'!$C346,Hour,0)),Month,'Summarized Source Data'!$A346,Sector,'Summarized Source Data'!W$2,TimeOfWeek,$E346)*INDEX(About!S$79:S$82,MATCH($B346,About!$A$79:$A$82,0),1)</f>
        <v>3073955</v>
      </c>
      <c r="X346" s="27">
        <f>SUMIFS(INDEX(Load,,MATCH('Summarized Source Data'!$C346,Hour,0)),Month,'Summarized Source Data'!$A346,Sector,'Summarized Source Data'!X$2,Subsector,'Summarized Source Data'!X$3,TimeOfWeek,$E346)*INDEX(About!T$79:T$82,MATCH($B346,About!$A$79:$A$82,0),1)</f>
        <v>352000000</v>
      </c>
      <c r="Y346" s="29">
        <f t="shared" si="29"/>
        <v>352000000</v>
      </c>
      <c r="Z346" s="29">
        <f t="shared" si="29"/>
        <v>352000000</v>
      </c>
    </row>
    <row r="347" spans="1:26" x14ac:dyDescent="0.3">
      <c r="A347">
        <f t="shared" si="25"/>
        <v>3</v>
      </c>
      <c r="B347" t="str">
        <f>INDEX('Category Mapping'!$G$28:$G$39,MATCH(A347,'Category Mapping'!$A$28:$A$39,0),1)</f>
        <v>Spring</v>
      </c>
      <c r="C347" t="s">
        <v>70</v>
      </c>
      <c r="D347" s="6" t="s">
        <v>145</v>
      </c>
      <c r="E347" s="46" t="s">
        <v>48</v>
      </c>
      <c r="F347" s="27">
        <f>SUMIFS(INDEX(Load,,MATCH('Summarized Source Data'!$C347,Hour,0)),Month,'Summarized Source Data'!$A347,Sector,'Summarized Source Data'!F$2,Subsector,'Summarized Source Data'!F$3,TimeOfWeek,$E347)*INDEX(About!B$79:B$82,MATCH($B347,About!$A$79:$A$82,0),1)</f>
        <v>8920415</v>
      </c>
      <c r="G347" s="27">
        <f>SUMIFS(INDEX(Load,,MATCH('Summarized Source Data'!$C347,Hour,0)),Month,'Summarized Source Data'!$A347,Sector,'Summarized Source Data'!G$2,Subsector,'Summarized Source Data'!G$3,TimeOfWeek,$E347)*INDEX(About!C$79:C$82,MATCH($B347,About!$A$79:$A$82,0),1)</f>
        <v>14645</v>
      </c>
      <c r="H347" s="27">
        <f>SUMIFS(INDEX(Load,,MATCH('Summarized Source Data'!$C347,Hour,0)),Month,'Summarized Source Data'!$A347,Sector,'Summarized Source Data'!H$2,Subsector,'Summarized Source Data'!H$3,TimeOfWeek,$E347)*INDEX(About!D$79:D$82,MATCH($B347,About!$A$79:$A$82,0),1)</f>
        <v>0</v>
      </c>
      <c r="I347" s="27">
        <f>SUMIFS(INDEX(Load,,MATCH('Summarized Source Data'!$C347,Hour,0)),Month,'Summarized Source Data'!$A347,Sector,'Summarized Source Data'!I$2,Subsector,'Summarized Source Data'!I$3,TimeOfWeek,$E347)*INDEX(About!E$79:E$82,MATCH($B347,About!$A$79:$A$82,0),1)</f>
        <v>6053407</v>
      </c>
      <c r="J347" s="54">
        <f t="shared" si="26"/>
        <v>46911533</v>
      </c>
      <c r="K347" s="27">
        <f>(SUMIFS(INDEX(Load,,MATCH('Summarized Source Data'!$C347,Hour,0)),Month,'Summarized Source Data'!$A347,Sector,'Summarized Source Data'!K$2,Subsector,"Total",TimeOfWeek,$E347)-SUM(F347:I347))*INDEX(About!G$79:G$82,MATCH($B347,About!$A$79:$A$82,0),1)</f>
        <v>46911533</v>
      </c>
      <c r="L347" s="27">
        <f>SUMIFS(INDEX(Load,,MATCH('Summarized Source Data'!$C347,Hour,0)),Month,'Summarized Source Data'!$A347,Sector,'Summarized Source Data'!L$2,Subsector,'Summarized Source Data'!L$3,TimeOfWeek,$E347)*INDEX(About!H$79:H$82,MATCH($B347,About!$A$79:$A$82,0),1)</f>
        <v>23900000</v>
      </c>
      <c r="M347" s="27">
        <f>SUMIFS(INDEX(Load,,MATCH('Summarized Source Data'!$C347,Hour,0)),Month,'Summarized Source Data'!$A347,Sector,'Summarized Source Data'!M$2,Subsector,'Summarized Source Data'!M$3,TimeOfWeek,$E347)*INDEX(About!I$79:I$82,MATCH($B347,About!$A$79:$A$82,0),1)</f>
        <v>53053</v>
      </c>
      <c r="N347" s="27">
        <f>SUMIFS(INDEX(Load,,MATCH('Summarized Source Data'!$C347,Hour,0)),Month,'Summarized Source Data'!$A347,Sector,'Summarized Source Data'!N$2,Subsector,'Summarized Source Data'!N$3,TimeOfWeek,$E347)*INDEX(About!J$79:J$82,MATCH($B347,About!$A$79:$A$82,0),1)</f>
        <v>0</v>
      </c>
      <c r="O347" s="29">
        <f t="shared" si="27"/>
        <v>104046947</v>
      </c>
      <c r="P347" s="27">
        <f>(SUMIFS(INDEX(Load,,MATCH('Summarized Source Data'!$C347,Hour,0)),Month,'Summarized Source Data'!$A347,Sector,'Summarized Source Data'!P$2,Subsector,"Total",TimeOfWeek,$E347)-SUM(L347:N347)*INDEX(About!L$79:L$82,MATCH($B347,About!$A$79:$A$82,0),1))</f>
        <v>104046947</v>
      </c>
      <c r="Q347" s="29">
        <f t="shared" si="28"/>
        <v>104046947</v>
      </c>
      <c r="R347" s="33">
        <f>SUMIFS(INDEX(Load,,MATCH('Summarized Source Data'!$C347,Hour,0)),Month,'Summarized Source Data'!$A347,Sector,'Summarized Source Data'!R$2,TimeOfWeek,$E347)*INDEX(About!N$79:N$82,MATCH($B347,About!$A$79:$A$82,0),1)</f>
        <v>4000825</v>
      </c>
      <c r="S347" s="33">
        <f>SUMIFS(INDEX(Load,,MATCH('Summarized Source Data'!$C347,Hour,0)),Month,'Summarized Source Data'!$A347,Sector,'Summarized Source Data'!S$2,TimeOfWeek,$E347)*INDEX(About!O$79:O$82,MATCH($B347,About!$A$79:$A$82,0),1)</f>
        <v>4000825</v>
      </c>
      <c r="T347" s="33">
        <f>SUMIFS(INDEX(Load,,MATCH('Summarized Source Data'!$C347,Hour,0)),Month,'Summarized Source Data'!$A347,Sector,'Summarized Source Data'!T$2,TimeOfWeek,$E347)*INDEX(About!P$79:P$82,MATCH($B347,About!$A$79:$A$82,0),1)</f>
        <v>4000825</v>
      </c>
      <c r="U347" s="33">
        <f>SUMIFS(INDEX(Load,,MATCH('Summarized Source Data'!$C347,Hour,0)),Month,'Summarized Source Data'!$A347,Sector,'Summarized Source Data'!U$2,TimeOfWeek,$E347)*INDEX(About!Q$79:Q$82,MATCH($B347,About!$A$79:$A$82,0),1)</f>
        <v>4000825</v>
      </c>
      <c r="V347" s="33">
        <f>SUMIFS(INDEX(Load,,MATCH('Summarized Source Data'!$C347,Hour,0)),Month,'Summarized Source Data'!$A347,Sector,'Summarized Source Data'!V$2,TimeOfWeek,$E347)*INDEX(About!R$79:R$82,MATCH($B347,About!$A$79:$A$82,0),1)</f>
        <v>4000825</v>
      </c>
      <c r="W347" s="33">
        <f>SUMIFS(INDEX(Load,,MATCH('Summarized Source Data'!$C347,Hour,0)),Month,'Summarized Source Data'!$A347,Sector,'Summarized Source Data'!W$2,TimeOfWeek,$E347)*INDEX(About!S$79:S$82,MATCH($B347,About!$A$79:$A$82,0),1)</f>
        <v>4000825</v>
      </c>
      <c r="X347" s="27">
        <f>SUMIFS(INDEX(Load,,MATCH('Summarized Source Data'!$C347,Hour,0)),Month,'Summarized Source Data'!$A347,Sector,'Summarized Source Data'!X$2,Subsector,'Summarized Source Data'!X$3,TimeOfWeek,$E347)*INDEX(About!T$79:T$82,MATCH($B347,About!$A$79:$A$82,0),1)</f>
        <v>353000000</v>
      </c>
      <c r="Y347" s="29">
        <f t="shared" si="29"/>
        <v>353000000</v>
      </c>
      <c r="Z347" s="29">
        <f t="shared" si="29"/>
        <v>353000000</v>
      </c>
    </row>
    <row r="348" spans="1:26" x14ac:dyDescent="0.3">
      <c r="A348">
        <f t="shared" si="25"/>
        <v>3</v>
      </c>
      <c r="B348" t="str">
        <f>INDEX('Category Mapping'!$G$28:$G$39,MATCH(A348,'Category Mapping'!$A$28:$A$39,0),1)</f>
        <v>Spring</v>
      </c>
      <c r="C348" t="s">
        <v>71</v>
      </c>
      <c r="D348" s="6" t="s">
        <v>146</v>
      </c>
      <c r="E348" s="46" t="s">
        <v>48</v>
      </c>
      <c r="F348" s="27">
        <f>SUMIFS(INDEX(Load,,MATCH('Summarized Source Data'!$C348,Hour,0)),Month,'Summarized Source Data'!$A348,Sector,'Summarized Source Data'!F$2,Subsector,'Summarized Source Data'!F$3,TimeOfWeek,$E348)*INDEX(About!B$79:B$82,MATCH($B348,About!$A$79:$A$82,0),1)</f>
        <v>9167345</v>
      </c>
      <c r="G348" s="27">
        <f>SUMIFS(INDEX(Load,,MATCH('Summarized Source Data'!$C348,Hour,0)),Month,'Summarized Source Data'!$A348,Sector,'Summarized Source Data'!G$2,Subsector,'Summarized Source Data'!G$3,TimeOfWeek,$E348)*INDEX(About!C$79:C$82,MATCH($B348,About!$A$79:$A$82,0),1)</f>
        <v>13100</v>
      </c>
      <c r="H348" s="27">
        <f>SUMIFS(INDEX(Load,,MATCH('Summarized Source Data'!$C348,Hour,0)),Month,'Summarized Source Data'!$A348,Sector,'Summarized Source Data'!H$2,Subsector,'Summarized Source Data'!H$3,TimeOfWeek,$E348)*INDEX(About!D$79:D$82,MATCH($B348,About!$A$79:$A$82,0),1)</f>
        <v>0</v>
      </c>
      <c r="I348" s="27">
        <f>SUMIFS(INDEX(Load,,MATCH('Summarized Source Data'!$C348,Hour,0)),Month,'Summarized Source Data'!$A348,Sector,'Summarized Source Data'!I$2,Subsector,'Summarized Source Data'!I$3,TimeOfWeek,$E348)*INDEX(About!E$79:E$82,MATCH($B348,About!$A$79:$A$82,0),1)</f>
        <v>6944700</v>
      </c>
      <c r="J348" s="54">
        <f t="shared" si="26"/>
        <v>58974855</v>
      </c>
      <c r="K348" s="27">
        <f>(SUMIFS(INDEX(Load,,MATCH('Summarized Source Data'!$C348,Hour,0)),Month,'Summarized Source Data'!$A348,Sector,'Summarized Source Data'!K$2,Subsector,"Total",TimeOfWeek,$E348)-SUM(F348:I348))*INDEX(About!G$79:G$82,MATCH($B348,About!$A$79:$A$82,0),1)</f>
        <v>58974855</v>
      </c>
      <c r="L348" s="27">
        <f>SUMIFS(INDEX(Load,,MATCH('Summarized Source Data'!$C348,Hour,0)),Month,'Summarized Source Data'!$A348,Sector,'Summarized Source Data'!L$2,Subsector,'Summarized Source Data'!L$3,TimeOfWeek,$E348)*INDEX(About!H$79:H$82,MATCH($B348,About!$A$79:$A$82,0),1)</f>
        <v>24100000</v>
      </c>
      <c r="M348" s="27">
        <f>SUMIFS(INDEX(Load,,MATCH('Summarized Source Data'!$C348,Hour,0)),Month,'Summarized Source Data'!$A348,Sector,'Summarized Source Data'!M$2,Subsector,'Summarized Source Data'!M$3,TimeOfWeek,$E348)*INDEX(About!I$79:I$82,MATCH($B348,About!$A$79:$A$82,0),1)</f>
        <v>58383</v>
      </c>
      <c r="N348" s="27">
        <f>SUMIFS(INDEX(Load,,MATCH('Summarized Source Data'!$C348,Hour,0)),Month,'Summarized Source Data'!$A348,Sector,'Summarized Source Data'!N$2,Subsector,'Summarized Source Data'!N$3,TimeOfWeek,$E348)*INDEX(About!J$79:J$82,MATCH($B348,About!$A$79:$A$82,0),1)</f>
        <v>0</v>
      </c>
      <c r="O348" s="29">
        <f t="shared" si="27"/>
        <v>118841617</v>
      </c>
      <c r="P348" s="27">
        <f>(SUMIFS(INDEX(Load,,MATCH('Summarized Source Data'!$C348,Hour,0)),Month,'Summarized Source Data'!$A348,Sector,'Summarized Source Data'!P$2,Subsector,"Total",TimeOfWeek,$E348)-SUM(L348:N348)*INDEX(About!L$79:L$82,MATCH($B348,About!$A$79:$A$82,0),1))</f>
        <v>118841617</v>
      </c>
      <c r="Q348" s="29">
        <f t="shared" si="28"/>
        <v>118841617</v>
      </c>
      <c r="R348" s="33">
        <f>SUMIFS(INDEX(Load,,MATCH('Summarized Source Data'!$C348,Hour,0)),Month,'Summarized Source Data'!$A348,Sector,'Summarized Source Data'!R$2,TimeOfWeek,$E348)*INDEX(About!N$79:N$82,MATCH($B348,About!$A$79:$A$82,0),1)</f>
        <v>4781711</v>
      </c>
      <c r="S348" s="33">
        <f>SUMIFS(INDEX(Load,,MATCH('Summarized Source Data'!$C348,Hour,0)),Month,'Summarized Source Data'!$A348,Sector,'Summarized Source Data'!S$2,TimeOfWeek,$E348)*INDEX(About!O$79:O$82,MATCH($B348,About!$A$79:$A$82,0),1)</f>
        <v>4781711</v>
      </c>
      <c r="T348" s="33">
        <f>SUMIFS(INDEX(Load,,MATCH('Summarized Source Data'!$C348,Hour,0)),Month,'Summarized Source Data'!$A348,Sector,'Summarized Source Data'!T$2,TimeOfWeek,$E348)*INDEX(About!P$79:P$82,MATCH($B348,About!$A$79:$A$82,0),1)</f>
        <v>4781711</v>
      </c>
      <c r="U348" s="33">
        <f>SUMIFS(INDEX(Load,,MATCH('Summarized Source Data'!$C348,Hour,0)),Month,'Summarized Source Data'!$A348,Sector,'Summarized Source Data'!U$2,TimeOfWeek,$E348)*INDEX(About!Q$79:Q$82,MATCH($B348,About!$A$79:$A$82,0),1)</f>
        <v>4781711</v>
      </c>
      <c r="V348" s="33">
        <f>SUMIFS(INDEX(Load,,MATCH('Summarized Source Data'!$C348,Hour,0)),Month,'Summarized Source Data'!$A348,Sector,'Summarized Source Data'!V$2,TimeOfWeek,$E348)*INDEX(About!R$79:R$82,MATCH($B348,About!$A$79:$A$82,0),1)</f>
        <v>4781711</v>
      </c>
      <c r="W348" s="33">
        <f>SUMIFS(INDEX(Load,,MATCH('Summarized Source Data'!$C348,Hour,0)),Month,'Summarized Source Data'!$A348,Sector,'Summarized Source Data'!W$2,TimeOfWeek,$E348)*INDEX(About!S$79:S$82,MATCH($B348,About!$A$79:$A$82,0),1)</f>
        <v>4781711</v>
      </c>
      <c r="X348" s="27">
        <f>SUMIFS(INDEX(Load,,MATCH('Summarized Source Data'!$C348,Hour,0)),Month,'Summarized Source Data'!$A348,Sector,'Summarized Source Data'!X$2,Subsector,'Summarized Source Data'!X$3,TimeOfWeek,$E348)*INDEX(About!T$79:T$82,MATCH($B348,About!$A$79:$A$82,0),1)</f>
        <v>352000000</v>
      </c>
      <c r="Y348" s="29">
        <f t="shared" si="29"/>
        <v>352000000</v>
      </c>
      <c r="Z348" s="29">
        <f t="shared" si="29"/>
        <v>352000000</v>
      </c>
    </row>
    <row r="349" spans="1:26" x14ac:dyDescent="0.3">
      <c r="A349">
        <f t="shared" si="25"/>
        <v>3</v>
      </c>
      <c r="B349" t="str">
        <f>INDEX('Category Mapping'!$G$28:$G$39,MATCH(A349,'Category Mapping'!$A$28:$A$39,0),1)</f>
        <v>Spring</v>
      </c>
      <c r="C349" t="s">
        <v>72</v>
      </c>
      <c r="D349" s="6" t="s">
        <v>147</v>
      </c>
      <c r="E349" s="46" t="s">
        <v>48</v>
      </c>
      <c r="F349" s="27">
        <f>SUMIFS(INDEX(Load,,MATCH('Summarized Source Data'!$C349,Hour,0)),Month,'Summarized Source Data'!$A349,Sector,'Summarized Source Data'!F$2,Subsector,'Summarized Source Data'!F$3,TimeOfWeek,$E349)*INDEX(About!B$79:B$82,MATCH($B349,About!$A$79:$A$82,0),1)</f>
        <v>8886105</v>
      </c>
      <c r="G349" s="27">
        <f>SUMIFS(INDEX(Load,,MATCH('Summarized Source Data'!$C349,Hour,0)),Month,'Summarized Source Data'!$A349,Sector,'Summarized Source Data'!G$2,Subsector,'Summarized Source Data'!G$3,TimeOfWeek,$E349)*INDEX(About!C$79:C$82,MATCH($B349,About!$A$79:$A$82,0),1)</f>
        <v>11418</v>
      </c>
      <c r="H349" s="27">
        <f>SUMIFS(INDEX(Load,,MATCH('Summarized Source Data'!$C349,Hour,0)),Month,'Summarized Source Data'!$A349,Sector,'Summarized Source Data'!H$2,Subsector,'Summarized Source Data'!H$3,TimeOfWeek,$E349)*INDEX(About!D$79:D$82,MATCH($B349,About!$A$79:$A$82,0),1)</f>
        <v>0</v>
      </c>
      <c r="I349" s="27">
        <f>SUMIFS(INDEX(Load,,MATCH('Summarized Source Data'!$C349,Hour,0)),Month,'Summarized Source Data'!$A349,Sector,'Summarized Source Data'!I$2,Subsector,'Summarized Source Data'!I$3,TimeOfWeek,$E349)*INDEX(About!E$79:E$82,MATCH($B349,About!$A$79:$A$82,0),1)</f>
        <v>7195960</v>
      </c>
      <c r="J349" s="54">
        <f t="shared" si="26"/>
        <v>74606517</v>
      </c>
      <c r="K349" s="27">
        <f>(SUMIFS(INDEX(Load,,MATCH('Summarized Source Data'!$C349,Hour,0)),Month,'Summarized Source Data'!$A349,Sector,'Summarized Source Data'!K$2,Subsector,"Total",TimeOfWeek,$E349)-SUM(F349:I349))*INDEX(About!G$79:G$82,MATCH($B349,About!$A$79:$A$82,0),1)</f>
        <v>74606517</v>
      </c>
      <c r="L349" s="27">
        <f>SUMIFS(INDEX(Load,,MATCH('Summarized Source Data'!$C349,Hour,0)),Month,'Summarized Source Data'!$A349,Sector,'Summarized Source Data'!L$2,Subsector,'Summarized Source Data'!L$3,TimeOfWeek,$E349)*INDEX(About!H$79:H$82,MATCH($B349,About!$A$79:$A$82,0),1)</f>
        <v>19200000</v>
      </c>
      <c r="M349" s="27">
        <f>SUMIFS(INDEX(Load,,MATCH('Summarized Source Data'!$C349,Hour,0)),Month,'Summarized Source Data'!$A349,Sector,'Summarized Source Data'!M$2,Subsector,'Summarized Source Data'!M$3,TimeOfWeek,$E349)*INDEX(About!I$79:I$82,MATCH($B349,About!$A$79:$A$82,0),1)</f>
        <v>61786</v>
      </c>
      <c r="N349" s="27">
        <f>SUMIFS(INDEX(Load,,MATCH('Summarized Source Data'!$C349,Hour,0)),Month,'Summarized Source Data'!$A349,Sector,'Summarized Source Data'!N$2,Subsector,'Summarized Source Data'!N$3,TimeOfWeek,$E349)*INDEX(About!J$79:J$82,MATCH($B349,About!$A$79:$A$82,0),1)</f>
        <v>0</v>
      </c>
      <c r="O349" s="29">
        <f t="shared" si="27"/>
        <v>129738214</v>
      </c>
      <c r="P349" s="27">
        <f>(SUMIFS(INDEX(Load,,MATCH('Summarized Source Data'!$C349,Hour,0)),Month,'Summarized Source Data'!$A349,Sector,'Summarized Source Data'!P$2,Subsector,"Total",TimeOfWeek,$E349)-SUM(L349:N349)*INDEX(About!L$79:L$82,MATCH($B349,About!$A$79:$A$82,0),1))</f>
        <v>129738214</v>
      </c>
      <c r="Q349" s="29">
        <f t="shared" si="28"/>
        <v>129738214</v>
      </c>
      <c r="R349" s="33">
        <f>SUMIFS(INDEX(Load,,MATCH('Summarized Source Data'!$C349,Hour,0)),Month,'Summarized Source Data'!$A349,Sector,'Summarized Source Data'!R$2,TimeOfWeek,$E349)*INDEX(About!N$79:N$82,MATCH($B349,About!$A$79:$A$82,0),1)</f>
        <v>5426040</v>
      </c>
      <c r="S349" s="33">
        <f>SUMIFS(INDEX(Load,,MATCH('Summarized Source Data'!$C349,Hour,0)),Month,'Summarized Source Data'!$A349,Sector,'Summarized Source Data'!S$2,TimeOfWeek,$E349)*INDEX(About!O$79:O$82,MATCH($B349,About!$A$79:$A$82,0),1)</f>
        <v>5426040</v>
      </c>
      <c r="T349" s="33">
        <f>SUMIFS(INDEX(Load,,MATCH('Summarized Source Data'!$C349,Hour,0)),Month,'Summarized Source Data'!$A349,Sector,'Summarized Source Data'!T$2,TimeOfWeek,$E349)*INDEX(About!P$79:P$82,MATCH($B349,About!$A$79:$A$82,0),1)</f>
        <v>5426040</v>
      </c>
      <c r="U349" s="33">
        <f>SUMIFS(INDEX(Load,,MATCH('Summarized Source Data'!$C349,Hour,0)),Month,'Summarized Source Data'!$A349,Sector,'Summarized Source Data'!U$2,TimeOfWeek,$E349)*INDEX(About!Q$79:Q$82,MATCH($B349,About!$A$79:$A$82,0),1)</f>
        <v>5426040</v>
      </c>
      <c r="V349" s="33">
        <f>SUMIFS(INDEX(Load,,MATCH('Summarized Source Data'!$C349,Hour,0)),Month,'Summarized Source Data'!$A349,Sector,'Summarized Source Data'!V$2,TimeOfWeek,$E349)*INDEX(About!R$79:R$82,MATCH($B349,About!$A$79:$A$82,0),1)</f>
        <v>5426040</v>
      </c>
      <c r="W349" s="33">
        <f>SUMIFS(INDEX(Load,,MATCH('Summarized Source Data'!$C349,Hour,0)),Month,'Summarized Source Data'!$A349,Sector,'Summarized Source Data'!W$2,TimeOfWeek,$E349)*INDEX(About!S$79:S$82,MATCH($B349,About!$A$79:$A$82,0),1)</f>
        <v>5426040</v>
      </c>
      <c r="X349" s="27">
        <f>SUMIFS(INDEX(Load,,MATCH('Summarized Source Data'!$C349,Hour,0)),Month,'Summarized Source Data'!$A349,Sector,'Summarized Source Data'!X$2,Subsector,'Summarized Source Data'!X$3,TimeOfWeek,$E349)*INDEX(About!T$79:T$82,MATCH($B349,About!$A$79:$A$82,0),1)</f>
        <v>351000000</v>
      </c>
      <c r="Y349" s="29">
        <f t="shared" si="29"/>
        <v>351000000</v>
      </c>
      <c r="Z349" s="29">
        <f t="shared" si="29"/>
        <v>351000000</v>
      </c>
    </row>
    <row r="350" spans="1:26" x14ac:dyDescent="0.3">
      <c r="A350">
        <f t="shared" si="25"/>
        <v>3</v>
      </c>
      <c r="B350" t="str">
        <f>INDEX('Category Mapping'!$G$28:$G$39,MATCH(A350,'Category Mapping'!$A$28:$A$39,0),1)</f>
        <v>Spring</v>
      </c>
      <c r="C350" t="s">
        <v>73</v>
      </c>
      <c r="D350" s="6" t="s">
        <v>148</v>
      </c>
      <c r="E350" s="46" t="s">
        <v>48</v>
      </c>
      <c r="F350" s="27">
        <f>SUMIFS(INDEX(Load,,MATCH('Summarized Source Data'!$C350,Hour,0)),Month,'Summarized Source Data'!$A350,Sector,'Summarized Source Data'!F$2,Subsector,'Summarized Source Data'!F$3,TimeOfWeek,$E350)*INDEX(About!B$79:B$82,MATCH($B350,About!$A$79:$A$82,0),1)</f>
        <v>8522854</v>
      </c>
      <c r="G350" s="27">
        <f>SUMIFS(INDEX(Load,,MATCH('Summarized Source Data'!$C350,Hour,0)),Month,'Summarized Source Data'!$A350,Sector,'Summarized Source Data'!G$2,Subsector,'Summarized Source Data'!G$3,TimeOfWeek,$E350)*INDEX(About!C$79:C$82,MATCH($B350,About!$A$79:$A$82,0),1)</f>
        <v>10654</v>
      </c>
      <c r="H350" s="27">
        <f>SUMIFS(INDEX(Load,,MATCH('Summarized Source Data'!$C350,Hour,0)),Month,'Summarized Source Data'!$A350,Sector,'Summarized Source Data'!H$2,Subsector,'Summarized Source Data'!H$3,TimeOfWeek,$E350)*INDEX(About!D$79:D$82,MATCH($B350,About!$A$79:$A$82,0),1)</f>
        <v>0</v>
      </c>
      <c r="I350" s="27">
        <f>SUMIFS(INDEX(Load,,MATCH('Summarized Source Data'!$C350,Hour,0)),Month,'Summarized Source Data'!$A350,Sector,'Summarized Source Data'!I$2,Subsector,'Summarized Source Data'!I$3,TimeOfWeek,$E350)*INDEX(About!E$79:E$82,MATCH($B350,About!$A$79:$A$82,0),1)</f>
        <v>7238886</v>
      </c>
      <c r="J350" s="54">
        <f t="shared" si="26"/>
        <v>92227606</v>
      </c>
      <c r="K350" s="27">
        <f>(SUMIFS(INDEX(Load,,MATCH('Summarized Source Data'!$C350,Hour,0)),Month,'Summarized Source Data'!$A350,Sector,'Summarized Source Data'!K$2,Subsector,"Total",TimeOfWeek,$E350)-SUM(F350:I350))*INDEX(About!G$79:G$82,MATCH($B350,About!$A$79:$A$82,0),1)</f>
        <v>92227606</v>
      </c>
      <c r="L350" s="27">
        <f>SUMIFS(INDEX(Load,,MATCH('Summarized Source Data'!$C350,Hour,0)),Month,'Summarized Source Data'!$A350,Sector,'Summarized Source Data'!L$2,Subsector,'Summarized Source Data'!L$3,TimeOfWeek,$E350)*INDEX(About!H$79:H$82,MATCH($B350,About!$A$79:$A$82,0),1)</f>
        <v>16100000</v>
      </c>
      <c r="M350" s="27">
        <f>SUMIFS(INDEX(Load,,MATCH('Summarized Source Data'!$C350,Hour,0)),Month,'Summarized Source Data'!$A350,Sector,'Summarized Source Data'!M$2,Subsector,'Summarized Source Data'!M$3,TimeOfWeek,$E350)*INDEX(About!I$79:I$82,MATCH($B350,About!$A$79:$A$82,0),1)</f>
        <v>63555</v>
      </c>
      <c r="N350" s="27">
        <f>SUMIFS(INDEX(Load,,MATCH('Summarized Source Data'!$C350,Hour,0)),Month,'Summarized Source Data'!$A350,Sector,'Summarized Source Data'!N$2,Subsector,'Summarized Source Data'!N$3,TimeOfWeek,$E350)*INDEX(About!J$79:J$82,MATCH($B350,About!$A$79:$A$82,0),1)</f>
        <v>0</v>
      </c>
      <c r="O350" s="29">
        <f t="shared" si="27"/>
        <v>127836445</v>
      </c>
      <c r="P350" s="27">
        <f>(SUMIFS(INDEX(Load,,MATCH('Summarized Source Data'!$C350,Hour,0)),Month,'Summarized Source Data'!$A350,Sector,'Summarized Source Data'!P$2,Subsector,"Total",TimeOfWeek,$E350)-SUM(L350:N350)*INDEX(About!L$79:L$82,MATCH($B350,About!$A$79:$A$82,0),1))</f>
        <v>127836445</v>
      </c>
      <c r="Q350" s="29">
        <f t="shared" si="28"/>
        <v>127836445</v>
      </c>
      <c r="R350" s="33">
        <f>SUMIFS(INDEX(Load,,MATCH('Summarized Source Data'!$C350,Hour,0)),Month,'Summarized Source Data'!$A350,Sector,'Summarized Source Data'!R$2,TimeOfWeek,$E350)*INDEX(About!N$79:N$82,MATCH($B350,About!$A$79:$A$82,0),1)</f>
        <v>5747460</v>
      </c>
      <c r="S350" s="33">
        <f>SUMIFS(INDEX(Load,,MATCH('Summarized Source Data'!$C350,Hour,0)),Month,'Summarized Source Data'!$A350,Sector,'Summarized Source Data'!S$2,TimeOfWeek,$E350)*INDEX(About!O$79:O$82,MATCH($B350,About!$A$79:$A$82,0),1)</f>
        <v>5747460</v>
      </c>
      <c r="T350" s="33">
        <f>SUMIFS(INDEX(Load,,MATCH('Summarized Source Data'!$C350,Hour,0)),Month,'Summarized Source Data'!$A350,Sector,'Summarized Source Data'!T$2,TimeOfWeek,$E350)*INDEX(About!P$79:P$82,MATCH($B350,About!$A$79:$A$82,0),1)</f>
        <v>5747460</v>
      </c>
      <c r="U350" s="33">
        <f>SUMIFS(INDEX(Load,,MATCH('Summarized Source Data'!$C350,Hour,0)),Month,'Summarized Source Data'!$A350,Sector,'Summarized Source Data'!U$2,TimeOfWeek,$E350)*INDEX(About!Q$79:Q$82,MATCH($B350,About!$A$79:$A$82,0),1)</f>
        <v>5747460</v>
      </c>
      <c r="V350" s="33">
        <f>SUMIFS(INDEX(Load,,MATCH('Summarized Source Data'!$C350,Hour,0)),Month,'Summarized Source Data'!$A350,Sector,'Summarized Source Data'!V$2,TimeOfWeek,$E350)*INDEX(About!R$79:R$82,MATCH($B350,About!$A$79:$A$82,0),1)</f>
        <v>5747460</v>
      </c>
      <c r="W350" s="33">
        <f>SUMIFS(INDEX(Load,,MATCH('Summarized Source Data'!$C350,Hour,0)),Month,'Summarized Source Data'!$A350,Sector,'Summarized Source Data'!W$2,TimeOfWeek,$E350)*INDEX(About!S$79:S$82,MATCH($B350,About!$A$79:$A$82,0),1)</f>
        <v>5747460</v>
      </c>
      <c r="X350" s="27">
        <f>SUMIFS(INDEX(Load,,MATCH('Summarized Source Data'!$C350,Hour,0)),Month,'Summarized Source Data'!$A350,Sector,'Summarized Source Data'!X$2,Subsector,'Summarized Source Data'!X$3,TimeOfWeek,$E350)*INDEX(About!T$79:T$82,MATCH($B350,About!$A$79:$A$82,0),1)</f>
        <v>350000000</v>
      </c>
      <c r="Y350" s="29">
        <f t="shared" si="29"/>
        <v>350000000</v>
      </c>
      <c r="Z350" s="29">
        <f t="shared" si="29"/>
        <v>350000000</v>
      </c>
    </row>
    <row r="351" spans="1:26" x14ac:dyDescent="0.3">
      <c r="A351">
        <f t="shared" si="25"/>
        <v>3</v>
      </c>
      <c r="B351" t="str">
        <f>INDEX('Category Mapping'!$G$28:$G$39,MATCH(A351,'Category Mapping'!$A$28:$A$39,0),1)</f>
        <v>Spring</v>
      </c>
      <c r="C351" t="s">
        <v>74</v>
      </c>
      <c r="D351" s="6" t="s">
        <v>149</v>
      </c>
      <c r="E351" s="46" t="s">
        <v>48</v>
      </c>
      <c r="F351" s="27">
        <f>SUMIFS(INDEX(Load,,MATCH('Summarized Source Data'!$C351,Hour,0)),Month,'Summarized Source Data'!$A351,Sector,'Summarized Source Data'!F$2,Subsector,'Summarized Source Data'!F$3,TimeOfWeek,$E351)*INDEX(About!B$79:B$82,MATCH($B351,About!$A$79:$A$82,0),1)</f>
        <v>6546186</v>
      </c>
      <c r="G351" s="27">
        <f>SUMIFS(INDEX(Load,,MATCH('Summarized Source Data'!$C351,Hour,0)),Month,'Summarized Source Data'!$A351,Sector,'Summarized Source Data'!G$2,Subsector,'Summarized Source Data'!G$3,TimeOfWeek,$E351)*INDEX(About!C$79:C$82,MATCH($B351,About!$A$79:$A$82,0),1)</f>
        <v>11022</v>
      </c>
      <c r="H351" s="27">
        <f>SUMIFS(INDEX(Load,,MATCH('Summarized Source Data'!$C351,Hour,0)),Month,'Summarized Source Data'!$A351,Sector,'Summarized Source Data'!H$2,Subsector,'Summarized Source Data'!H$3,TimeOfWeek,$E351)*INDEX(About!D$79:D$82,MATCH($B351,About!$A$79:$A$82,0),1)</f>
        <v>0</v>
      </c>
      <c r="I351" s="27">
        <f>SUMIFS(INDEX(Load,,MATCH('Summarized Source Data'!$C351,Hour,0)),Month,'Summarized Source Data'!$A351,Sector,'Summarized Source Data'!I$2,Subsector,'Summarized Source Data'!I$3,TimeOfWeek,$E351)*INDEX(About!E$79:E$82,MATCH($B351,About!$A$79:$A$82,0),1)</f>
        <v>7680626</v>
      </c>
      <c r="J351" s="54">
        <f t="shared" si="26"/>
        <v>101762166</v>
      </c>
      <c r="K351" s="27">
        <f>(SUMIFS(INDEX(Load,,MATCH('Summarized Source Data'!$C351,Hour,0)),Month,'Summarized Source Data'!$A351,Sector,'Summarized Source Data'!K$2,Subsector,"Total",TimeOfWeek,$E351)-SUM(F351:I351))*INDEX(About!G$79:G$82,MATCH($B351,About!$A$79:$A$82,0),1)</f>
        <v>101762166</v>
      </c>
      <c r="L351" s="27">
        <f>SUMIFS(INDEX(Load,,MATCH('Summarized Source Data'!$C351,Hour,0)),Month,'Summarized Source Data'!$A351,Sector,'Summarized Source Data'!L$2,Subsector,'Summarized Source Data'!L$3,TimeOfWeek,$E351)*INDEX(About!H$79:H$82,MATCH($B351,About!$A$79:$A$82,0),1)</f>
        <v>14200000</v>
      </c>
      <c r="M351" s="27">
        <f>SUMIFS(INDEX(Load,,MATCH('Summarized Source Data'!$C351,Hour,0)),Month,'Summarized Source Data'!$A351,Sector,'Summarized Source Data'!M$2,Subsector,'Summarized Source Data'!M$3,TimeOfWeek,$E351)*INDEX(About!I$79:I$82,MATCH($B351,About!$A$79:$A$82,0),1)</f>
        <v>63970</v>
      </c>
      <c r="N351" s="27">
        <f>SUMIFS(INDEX(Load,,MATCH('Summarized Source Data'!$C351,Hour,0)),Month,'Summarized Source Data'!$A351,Sector,'Summarized Source Data'!N$2,Subsector,'Summarized Source Data'!N$3,TimeOfWeek,$E351)*INDEX(About!J$79:J$82,MATCH($B351,About!$A$79:$A$82,0),1)</f>
        <v>0</v>
      </c>
      <c r="O351" s="29">
        <f t="shared" si="27"/>
        <v>127736030</v>
      </c>
      <c r="P351" s="27">
        <f>(SUMIFS(INDEX(Load,,MATCH('Summarized Source Data'!$C351,Hour,0)),Month,'Summarized Source Data'!$A351,Sector,'Summarized Source Data'!P$2,Subsector,"Total",TimeOfWeek,$E351)-SUM(L351:N351)*INDEX(About!L$79:L$82,MATCH($B351,About!$A$79:$A$82,0),1))</f>
        <v>127736030</v>
      </c>
      <c r="Q351" s="29">
        <f t="shared" si="28"/>
        <v>127736030</v>
      </c>
      <c r="R351" s="33">
        <f>SUMIFS(INDEX(Load,,MATCH('Summarized Source Data'!$C351,Hour,0)),Month,'Summarized Source Data'!$A351,Sector,'Summarized Source Data'!R$2,TimeOfWeek,$E351)*INDEX(About!N$79:N$82,MATCH($B351,About!$A$79:$A$82,0),1)</f>
        <v>5928979</v>
      </c>
      <c r="S351" s="33">
        <f>SUMIFS(INDEX(Load,,MATCH('Summarized Source Data'!$C351,Hour,0)),Month,'Summarized Source Data'!$A351,Sector,'Summarized Source Data'!S$2,TimeOfWeek,$E351)*INDEX(About!O$79:O$82,MATCH($B351,About!$A$79:$A$82,0),1)</f>
        <v>5928979</v>
      </c>
      <c r="T351" s="33">
        <f>SUMIFS(INDEX(Load,,MATCH('Summarized Source Data'!$C351,Hour,0)),Month,'Summarized Source Data'!$A351,Sector,'Summarized Source Data'!T$2,TimeOfWeek,$E351)*INDEX(About!P$79:P$82,MATCH($B351,About!$A$79:$A$82,0),1)</f>
        <v>5928979</v>
      </c>
      <c r="U351" s="33">
        <f>SUMIFS(INDEX(Load,,MATCH('Summarized Source Data'!$C351,Hour,0)),Month,'Summarized Source Data'!$A351,Sector,'Summarized Source Data'!U$2,TimeOfWeek,$E351)*INDEX(About!Q$79:Q$82,MATCH($B351,About!$A$79:$A$82,0),1)</f>
        <v>5928979</v>
      </c>
      <c r="V351" s="33">
        <f>SUMIFS(INDEX(Load,,MATCH('Summarized Source Data'!$C351,Hour,0)),Month,'Summarized Source Data'!$A351,Sector,'Summarized Source Data'!V$2,TimeOfWeek,$E351)*INDEX(About!R$79:R$82,MATCH($B351,About!$A$79:$A$82,0),1)</f>
        <v>5928979</v>
      </c>
      <c r="W351" s="33">
        <f>SUMIFS(INDEX(Load,,MATCH('Summarized Source Data'!$C351,Hour,0)),Month,'Summarized Source Data'!$A351,Sector,'Summarized Source Data'!W$2,TimeOfWeek,$E351)*INDEX(About!S$79:S$82,MATCH($B351,About!$A$79:$A$82,0),1)</f>
        <v>5928979</v>
      </c>
      <c r="X351" s="27">
        <f>SUMIFS(INDEX(Load,,MATCH('Summarized Source Data'!$C351,Hour,0)),Month,'Summarized Source Data'!$A351,Sector,'Summarized Source Data'!X$2,Subsector,'Summarized Source Data'!X$3,TimeOfWeek,$E351)*INDEX(About!T$79:T$82,MATCH($B351,About!$A$79:$A$82,0),1)</f>
        <v>349000000</v>
      </c>
      <c r="Y351" s="29">
        <f t="shared" si="29"/>
        <v>349000000</v>
      </c>
      <c r="Z351" s="29">
        <f t="shared" si="29"/>
        <v>349000000</v>
      </c>
    </row>
    <row r="352" spans="1:26" x14ac:dyDescent="0.3">
      <c r="A352">
        <f t="shared" si="25"/>
        <v>3</v>
      </c>
      <c r="B352" t="str">
        <f>INDEX('Category Mapping'!$G$28:$G$39,MATCH(A352,'Category Mapping'!$A$28:$A$39,0),1)</f>
        <v>Spring</v>
      </c>
      <c r="C352" t="s">
        <v>75</v>
      </c>
      <c r="D352" s="6" t="s">
        <v>150</v>
      </c>
      <c r="E352" s="46" t="s">
        <v>48</v>
      </c>
      <c r="F352" s="27">
        <f>SUMIFS(INDEX(Load,,MATCH('Summarized Source Data'!$C352,Hour,0)),Month,'Summarized Source Data'!$A352,Sector,'Summarized Source Data'!F$2,Subsector,'Summarized Source Data'!F$3,TimeOfWeek,$E352)*INDEX(About!B$79:B$82,MATCH($B352,About!$A$79:$A$82,0),1)</f>
        <v>6648215</v>
      </c>
      <c r="G352" s="27">
        <f>SUMIFS(INDEX(Load,,MATCH('Summarized Source Data'!$C352,Hour,0)),Month,'Summarized Source Data'!$A352,Sector,'Summarized Source Data'!G$2,Subsector,'Summarized Source Data'!G$3,TimeOfWeek,$E352)*INDEX(About!C$79:C$82,MATCH($B352,About!$A$79:$A$82,0),1)</f>
        <v>11492</v>
      </c>
      <c r="H352" s="27">
        <f>SUMIFS(INDEX(Load,,MATCH('Summarized Source Data'!$C352,Hour,0)),Month,'Summarized Source Data'!$A352,Sector,'Summarized Source Data'!H$2,Subsector,'Summarized Source Data'!H$3,TimeOfWeek,$E352)*INDEX(About!D$79:D$82,MATCH($B352,About!$A$79:$A$82,0),1)</f>
        <v>0</v>
      </c>
      <c r="I352" s="27">
        <f>SUMIFS(INDEX(Load,,MATCH('Summarized Source Data'!$C352,Hour,0)),Month,'Summarized Source Data'!$A352,Sector,'Summarized Source Data'!I$2,Subsector,'Summarized Source Data'!I$3,TimeOfWeek,$E352)*INDEX(About!E$79:E$82,MATCH($B352,About!$A$79:$A$82,0),1)</f>
        <v>7947560</v>
      </c>
      <c r="J352" s="54">
        <f t="shared" si="26"/>
        <v>92392733</v>
      </c>
      <c r="K352" s="27">
        <f>(SUMIFS(INDEX(Load,,MATCH('Summarized Source Data'!$C352,Hour,0)),Month,'Summarized Source Data'!$A352,Sector,'Summarized Source Data'!K$2,Subsector,"Total",TimeOfWeek,$E352)-SUM(F352:I352))*INDEX(About!G$79:G$82,MATCH($B352,About!$A$79:$A$82,0),1)</f>
        <v>92392733</v>
      </c>
      <c r="L352" s="27">
        <f>SUMIFS(INDEX(Load,,MATCH('Summarized Source Data'!$C352,Hour,0)),Month,'Summarized Source Data'!$A352,Sector,'Summarized Source Data'!L$2,Subsector,'Summarized Source Data'!L$3,TimeOfWeek,$E352)*INDEX(About!H$79:H$82,MATCH($B352,About!$A$79:$A$82,0),1)</f>
        <v>12800000</v>
      </c>
      <c r="M352" s="27">
        <f>SUMIFS(INDEX(Load,,MATCH('Summarized Source Data'!$C352,Hour,0)),Month,'Summarized Source Data'!$A352,Sector,'Summarized Source Data'!M$2,Subsector,'Summarized Source Data'!M$3,TimeOfWeek,$E352)*INDEX(About!I$79:I$82,MATCH($B352,About!$A$79:$A$82,0),1)</f>
        <v>64321</v>
      </c>
      <c r="N352" s="27">
        <f>SUMIFS(INDEX(Load,,MATCH('Summarized Source Data'!$C352,Hour,0)),Month,'Summarized Source Data'!$A352,Sector,'Summarized Source Data'!N$2,Subsector,'Summarized Source Data'!N$3,TimeOfWeek,$E352)*INDEX(About!J$79:J$82,MATCH($B352,About!$A$79:$A$82,0),1)</f>
        <v>0</v>
      </c>
      <c r="O352" s="29">
        <f t="shared" si="27"/>
        <v>127135679</v>
      </c>
      <c r="P352" s="27">
        <f>(SUMIFS(INDEX(Load,,MATCH('Summarized Source Data'!$C352,Hour,0)),Month,'Summarized Source Data'!$A352,Sector,'Summarized Source Data'!P$2,Subsector,"Total",TimeOfWeek,$E352)-SUM(L352:N352)*INDEX(About!L$79:L$82,MATCH($B352,About!$A$79:$A$82,0),1))</f>
        <v>127135679</v>
      </c>
      <c r="Q352" s="29">
        <f t="shared" si="28"/>
        <v>127135679</v>
      </c>
      <c r="R352" s="33">
        <f>SUMIFS(INDEX(Load,,MATCH('Summarized Source Data'!$C352,Hour,0)),Month,'Summarized Source Data'!$A352,Sector,'Summarized Source Data'!R$2,TimeOfWeek,$E352)*INDEX(About!N$79:N$82,MATCH($B352,About!$A$79:$A$82,0),1)</f>
        <v>5800789</v>
      </c>
      <c r="S352" s="33">
        <f>SUMIFS(INDEX(Load,,MATCH('Summarized Source Data'!$C352,Hour,0)),Month,'Summarized Source Data'!$A352,Sector,'Summarized Source Data'!S$2,TimeOfWeek,$E352)*INDEX(About!O$79:O$82,MATCH($B352,About!$A$79:$A$82,0),1)</f>
        <v>5800789</v>
      </c>
      <c r="T352" s="33">
        <f>SUMIFS(INDEX(Load,,MATCH('Summarized Source Data'!$C352,Hour,0)),Month,'Summarized Source Data'!$A352,Sector,'Summarized Source Data'!T$2,TimeOfWeek,$E352)*INDEX(About!P$79:P$82,MATCH($B352,About!$A$79:$A$82,0),1)</f>
        <v>5800789</v>
      </c>
      <c r="U352" s="33">
        <f>SUMIFS(INDEX(Load,,MATCH('Summarized Source Data'!$C352,Hour,0)),Month,'Summarized Source Data'!$A352,Sector,'Summarized Source Data'!U$2,TimeOfWeek,$E352)*INDEX(About!Q$79:Q$82,MATCH($B352,About!$A$79:$A$82,0),1)</f>
        <v>5800789</v>
      </c>
      <c r="V352" s="33">
        <f>SUMIFS(INDEX(Load,,MATCH('Summarized Source Data'!$C352,Hour,0)),Month,'Summarized Source Data'!$A352,Sector,'Summarized Source Data'!V$2,TimeOfWeek,$E352)*INDEX(About!R$79:R$82,MATCH($B352,About!$A$79:$A$82,0),1)</f>
        <v>5800789</v>
      </c>
      <c r="W352" s="33">
        <f>SUMIFS(INDEX(Load,,MATCH('Summarized Source Data'!$C352,Hour,0)),Month,'Summarized Source Data'!$A352,Sector,'Summarized Source Data'!W$2,TimeOfWeek,$E352)*INDEX(About!S$79:S$82,MATCH($B352,About!$A$79:$A$82,0),1)</f>
        <v>5800789</v>
      </c>
      <c r="X352" s="27">
        <f>SUMIFS(INDEX(Load,,MATCH('Summarized Source Data'!$C352,Hour,0)),Month,'Summarized Source Data'!$A352,Sector,'Summarized Source Data'!X$2,Subsector,'Summarized Source Data'!X$3,TimeOfWeek,$E352)*INDEX(About!T$79:T$82,MATCH($B352,About!$A$79:$A$82,0),1)</f>
        <v>349000000</v>
      </c>
      <c r="Y352" s="29">
        <f t="shared" si="29"/>
        <v>349000000</v>
      </c>
      <c r="Z352" s="29">
        <f t="shared" si="29"/>
        <v>349000000</v>
      </c>
    </row>
    <row r="353" spans="1:26" x14ac:dyDescent="0.3">
      <c r="A353">
        <f t="shared" si="25"/>
        <v>3</v>
      </c>
      <c r="B353" t="str">
        <f>INDEX('Category Mapping'!$G$28:$G$39,MATCH(A353,'Category Mapping'!$A$28:$A$39,0),1)</f>
        <v>Spring</v>
      </c>
      <c r="C353" t="s">
        <v>76</v>
      </c>
      <c r="D353" s="6" t="s">
        <v>151</v>
      </c>
      <c r="E353" s="46" t="s">
        <v>48</v>
      </c>
      <c r="F353" s="27">
        <f>SUMIFS(INDEX(Load,,MATCH('Summarized Source Data'!$C353,Hour,0)),Month,'Summarized Source Data'!$A353,Sector,'Summarized Source Data'!F$2,Subsector,'Summarized Source Data'!F$3,TimeOfWeek,$E353)*INDEX(About!B$79:B$82,MATCH($B353,About!$A$79:$A$82,0),1)</f>
        <v>6642837</v>
      </c>
      <c r="G353" s="27">
        <f>SUMIFS(INDEX(Load,,MATCH('Summarized Source Data'!$C353,Hour,0)),Month,'Summarized Source Data'!$A353,Sector,'Summarized Source Data'!G$2,Subsector,'Summarized Source Data'!G$3,TimeOfWeek,$E353)*INDEX(About!C$79:C$82,MATCH($B353,About!$A$79:$A$82,0),1)</f>
        <v>11600</v>
      </c>
      <c r="H353" s="27">
        <f>SUMIFS(INDEX(Load,,MATCH('Summarized Source Data'!$C353,Hour,0)),Month,'Summarized Source Data'!$A353,Sector,'Summarized Source Data'!H$2,Subsector,'Summarized Source Data'!H$3,TimeOfWeek,$E353)*INDEX(About!D$79:D$82,MATCH($B353,About!$A$79:$A$82,0),1)</f>
        <v>0</v>
      </c>
      <c r="I353" s="27">
        <f>SUMIFS(INDEX(Load,,MATCH('Summarized Source Data'!$C353,Hour,0)),Month,'Summarized Source Data'!$A353,Sector,'Summarized Source Data'!I$2,Subsector,'Summarized Source Data'!I$3,TimeOfWeek,$E353)*INDEX(About!E$79:E$82,MATCH($B353,About!$A$79:$A$82,0),1)</f>
        <v>7937376</v>
      </c>
      <c r="J353" s="54">
        <f t="shared" si="26"/>
        <v>81608187</v>
      </c>
      <c r="K353" s="27">
        <f>(SUMIFS(INDEX(Load,,MATCH('Summarized Source Data'!$C353,Hour,0)),Month,'Summarized Source Data'!$A353,Sector,'Summarized Source Data'!K$2,Subsector,"Total",TimeOfWeek,$E353)-SUM(F353:I353))*INDEX(About!G$79:G$82,MATCH($B353,About!$A$79:$A$82,0),1)</f>
        <v>81608187</v>
      </c>
      <c r="L353" s="27">
        <f>SUMIFS(INDEX(Load,,MATCH('Summarized Source Data'!$C353,Hour,0)),Month,'Summarized Source Data'!$A353,Sector,'Summarized Source Data'!L$2,Subsector,'Summarized Source Data'!L$3,TimeOfWeek,$E353)*INDEX(About!H$79:H$82,MATCH($B353,About!$A$79:$A$82,0),1)</f>
        <v>11800000</v>
      </c>
      <c r="M353" s="27">
        <f>SUMIFS(INDEX(Load,,MATCH('Summarized Source Data'!$C353,Hour,0)),Month,'Summarized Source Data'!$A353,Sector,'Summarized Source Data'!M$2,Subsector,'Summarized Source Data'!M$3,TimeOfWeek,$E353)*INDEX(About!I$79:I$82,MATCH($B353,About!$A$79:$A$82,0),1)</f>
        <v>64321</v>
      </c>
      <c r="N353" s="27">
        <f>SUMIFS(INDEX(Load,,MATCH('Summarized Source Data'!$C353,Hour,0)),Month,'Summarized Source Data'!$A353,Sector,'Summarized Source Data'!N$2,Subsector,'Summarized Source Data'!N$3,TimeOfWeek,$E353)*INDEX(About!J$79:J$82,MATCH($B353,About!$A$79:$A$82,0),1)</f>
        <v>0</v>
      </c>
      <c r="O353" s="29">
        <f t="shared" si="27"/>
        <v>122135679</v>
      </c>
      <c r="P353" s="27">
        <f>(SUMIFS(INDEX(Load,,MATCH('Summarized Source Data'!$C353,Hour,0)),Month,'Summarized Source Data'!$A353,Sector,'Summarized Source Data'!P$2,Subsector,"Total",TimeOfWeek,$E353)-SUM(L353:N353)*INDEX(About!L$79:L$82,MATCH($B353,About!$A$79:$A$82,0),1))</f>
        <v>122135679</v>
      </c>
      <c r="Q353" s="29">
        <f t="shared" si="28"/>
        <v>122135679</v>
      </c>
      <c r="R353" s="33">
        <f>SUMIFS(INDEX(Load,,MATCH('Summarized Source Data'!$C353,Hour,0)),Month,'Summarized Source Data'!$A353,Sector,'Summarized Source Data'!R$2,TimeOfWeek,$E353)*INDEX(About!N$79:N$82,MATCH($B353,About!$A$79:$A$82,0),1)</f>
        <v>5525354</v>
      </c>
      <c r="S353" s="33">
        <f>SUMIFS(INDEX(Load,,MATCH('Summarized Source Data'!$C353,Hour,0)),Month,'Summarized Source Data'!$A353,Sector,'Summarized Source Data'!S$2,TimeOfWeek,$E353)*INDEX(About!O$79:O$82,MATCH($B353,About!$A$79:$A$82,0),1)</f>
        <v>5525354</v>
      </c>
      <c r="T353" s="33">
        <f>SUMIFS(INDEX(Load,,MATCH('Summarized Source Data'!$C353,Hour,0)),Month,'Summarized Source Data'!$A353,Sector,'Summarized Source Data'!T$2,TimeOfWeek,$E353)*INDEX(About!P$79:P$82,MATCH($B353,About!$A$79:$A$82,0),1)</f>
        <v>5525354</v>
      </c>
      <c r="U353" s="33">
        <f>SUMIFS(INDEX(Load,,MATCH('Summarized Source Data'!$C353,Hour,0)),Month,'Summarized Source Data'!$A353,Sector,'Summarized Source Data'!U$2,TimeOfWeek,$E353)*INDEX(About!Q$79:Q$82,MATCH($B353,About!$A$79:$A$82,0),1)</f>
        <v>5525354</v>
      </c>
      <c r="V353" s="33">
        <f>SUMIFS(INDEX(Load,,MATCH('Summarized Source Data'!$C353,Hour,0)),Month,'Summarized Source Data'!$A353,Sector,'Summarized Source Data'!V$2,TimeOfWeek,$E353)*INDEX(About!R$79:R$82,MATCH($B353,About!$A$79:$A$82,0),1)</f>
        <v>5525354</v>
      </c>
      <c r="W353" s="33">
        <f>SUMIFS(INDEX(Load,,MATCH('Summarized Source Data'!$C353,Hour,0)),Month,'Summarized Source Data'!$A353,Sector,'Summarized Source Data'!W$2,TimeOfWeek,$E353)*INDEX(About!S$79:S$82,MATCH($B353,About!$A$79:$A$82,0),1)</f>
        <v>5525354</v>
      </c>
      <c r="X353" s="27">
        <f>SUMIFS(INDEX(Load,,MATCH('Summarized Source Data'!$C353,Hour,0)),Month,'Summarized Source Data'!$A353,Sector,'Summarized Source Data'!X$2,Subsector,'Summarized Source Data'!X$3,TimeOfWeek,$E353)*INDEX(About!T$79:T$82,MATCH($B353,About!$A$79:$A$82,0),1)</f>
        <v>349000000</v>
      </c>
      <c r="Y353" s="29">
        <f t="shared" si="29"/>
        <v>349000000</v>
      </c>
      <c r="Z353" s="29">
        <f t="shared" si="29"/>
        <v>349000000</v>
      </c>
    </row>
    <row r="354" spans="1:26" x14ac:dyDescent="0.3">
      <c r="A354">
        <f t="shared" si="25"/>
        <v>3</v>
      </c>
      <c r="B354" t="str">
        <f>INDEX('Category Mapping'!$G$28:$G$39,MATCH(A354,'Category Mapping'!$A$28:$A$39,0),1)</f>
        <v>Spring</v>
      </c>
      <c r="C354" t="s">
        <v>77</v>
      </c>
      <c r="D354" s="6" t="s">
        <v>152</v>
      </c>
      <c r="E354" s="46" t="s">
        <v>48</v>
      </c>
      <c r="F354" s="27">
        <f>SUMIFS(INDEX(Load,,MATCH('Summarized Source Data'!$C354,Hour,0)),Month,'Summarized Source Data'!$A354,Sector,'Summarized Source Data'!F$2,Subsector,'Summarized Source Data'!F$3,TimeOfWeek,$E354)*INDEX(About!B$79:B$82,MATCH($B354,About!$A$79:$A$82,0),1)</f>
        <v>6598737</v>
      </c>
      <c r="G354" s="27">
        <f>SUMIFS(INDEX(Load,,MATCH('Summarized Source Data'!$C354,Hour,0)),Month,'Summarized Source Data'!$A354,Sector,'Summarized Source Data'!G$2,Subsector,'Summarized Source Data'!G$3,TimeOfWeek,$E354)*INDEX(About!C$79:C$82,MATCH($B354,About!$A$79:$A$82,0),1)</f>
        <v>11576</v>
      </c>
      <c r="H354" s="27">
        <f>SUMIFS(INDEX(Load,,MATCH('Summarized Source Data'!$C354,Hour,0)),Month,'Summarized Source Data'!$A354,Sector,'Summarized Source Data'!H$2,Subsector,'Summarized Source Data'!H$3,TimeOfWeek,$E354)*INDEX(About!D$79:D$82,MATCH($B354,About!$A$79:$A$82,0),1)</f>
        <v>0</v>
      </c>
      <c r="I354" s="27">
        <f>SUMIFS(INDEX(Load,,MATCH('Summarized Source Data'!$C354,Hour,0)),Month,'Summarized Source Data'!$A354,Sector,'Summarized Source Data'!I$2,Subsector,'Summarized Source Data'!I$3,TimeOfWeek,$E354)*INDEX(About!E$79:E$82,MATCH($B354,About!$A$79:$A$82,0),1)</f>
        <v>7853858</v>
      </c>
      <c r="J354" s="54">
        <f t="shared" si="26"/>
        <v>85135829</v>
      </c>
      <c r="K354" s="27">
        <f>(SUMIFS(INDEX(Load,,MATCH('Summarized Source Data'!$C354,Hour,0)),Month,'Summarized Source Data'!$A354,Sector,'Summarized Source Data'!K$2,Subsector,"Total",TimeOfWeek,$E354)-SUM(F354:I354))*INDEX(About!G$79:G$82,MATCH($B354,About!$A$79:$A$82,0),1)</f>
        <v>85135829</v>
      </c>
      <c r="L354" s="27">
        <f>SUMIFS(INDEX(Load,,MATCH('Summarized Source Data'!$C354,Hour,0)),Month,'Summarized Source Data'!$A354,Sector,'Summarized Source Data'!L$2,Subsector,'Summarized Source Data'!L$3,TimeOfWeek,$E354)*INDEX(About!H$79:H$82,MATCH($B354,About!$A$79:$A$82,0),1)</f>
        <v>11500000</v>
      </c>
      <c r="M354" s="27">
        <f>SUMIFS(INDEX(Load,,MATCH('Summarized Source Data'!$C354,Hour,0)),Month,'Summarized Source Data'!$A354,Sector,'Summarized Source Data'!M$2,Subsector,'Summarized Source Data'!M$3,TimeOfWeek,$E354)*INDEX(About!I$79:I$82,MATCH($B354,About!$A$79:$A$82,0),1)</f>
        <v>64321</v>
      </c>
      <c r="N354" s="27">
        <f>SUMIFS(INDEX(Load,,MATCH('Summarized Source Data'!$C354,Hour,0)),Month,'Summarized Source Data'!$A354,Sector,'Summarized Source Data'!N$2,Subsector,'Summarized Source Data'!N$3,TimeOfWeek,$E354)*INDEX(About!J$79:J$82,MATCH($B354,About!$A$79:$A$82,0),1)</f>
        <v>0</v>
      </c>
      <c r="O354" s="29">
        <f t="shared" si="27"/>
        <v>116435679</v>
      </c>
      <c r="P354" s="27">
        <f>(SUMIFS(INDEX(Load,,MATCH('Summarized Source Data'!$C354,Hour,0)),Month,'Summarized Source Data'!$A354,Sector,'Summarized Source Data'!P$2,Subsector,"Total",TimeOfWeek,$E354)-SUM(L354:N354)*INDEX(About!L$79:L$82,MATCH($B354,About!$A$79:$A$82,0),1))</f>
        <v>116435679</v>
      </c>
      <c r="Q354" s="29">
        <f t="shared" si="28"/>
        <v>116435679</v>
      </c>
      <c r="R354" s="33">
        <f>SUMIFS(INDEX(Load,,MATCH('Summarized Source Data'!$C354,Hour,0)),Month,'Summarized Source Data'!$A354,Sector,'Summarized Source Data'!R$2,TimeOfWeek,$E354)*INDEX(About!N$79:N$82,MATCH($B354,About!$A$79:$A$82,0),1)</f>
        <v>5455089</v>
      </c>
      <c r="S354" s="33">
        <f>SUMIFS(INDEX(Load,,MATCH('Summarized Source Data'!$C354,Hour,0)),Month,'Summarized Source Data'!$A354,Sector,'Summarized Source Data'!S$2,TimeOfWeek,$E354)*INDEX(About!O$79:O$82,MATCH($B354,About!$A$79:$A$82,0),1)</f>
        <v>5455089</v>
      </c>
      <c r="T354" s="33">
        <f>SUMIFS(INDEX(Load,,MATCH('Summarized Source Data'!$C354,Hour,0)),Month,'Summarized Source Data'!$A354,Sector,'Summarized Source Data'!T$2,TimeOfWeek,$E354)*INDEX(About!P$79:P$82,MATCH($B354,About!$A$79:$A$82,0),1)</f>
        <v>5455089</v>
      </c>
      <c r="U354" s="33">
        <f>SUMIFS(INDEX(Load,,MATCH('Summarized Source Data'!$C354,Hour,0)),Month,'Summarized Source Data'!$A354,Sector,'Summarized Source Data'!U$2,TimeOfWeek,$E354)*INDEX(About!Q$79:Q$82,MATCH($B354,About!$A$79:$A$82,0),1)</f>
        <v>5455089</v>
      </c>
      <c r="V354" s="33">
        <f>SUMIFS(INDEX(Load,,MATCH('Summarized Source Data'!$C354,Hour,0)),Month,'Summarized Source Data'!$A354,Sector,'Summarized Source Data'!V$2,TimeOfWeek,$E354)*INDEX(About!R$79:R$82,MATCH($B354,About!$A$79:$A$82,0),1)</f>
        <v>5455089</v>
      </c>
      <c r="W354" s="33">
        <f>SUMIFS(INDEX(Load,,MATCH('Summarized Source Data'!$C354,Hour,0)),Month,'Summarized Source Data'!$A354,Sector,'Summarized Source Data'!W$2,TimeOfWeek,$E354)*INDEX(About!S$79:S$82,MATCH($B354,About!$A$79:$A$82,0),1)</f>
        <v>5455089</v>
      </c>
      <c r="X354" s="27">
        <f>SUMIFS(INDEX(Load,,MATCH('Summarized Source Data'!$C354,Hour,0)),Month,'Summarized Source Data'!$A354,Sector,'Summarized Source Data'!X$2,Subsector,'Summarized Source Data'!X$3,TimeOfWeek,$E354)*INDEX(About!T$79:T$82,MATCH($B354,About!$A$79:$A$82,0),1)</f>
        <v>350000000</v>
      </c>
      <c r="Y354" s="29">
        <f t="shared" si="29"/>
        <v>350000000</v>
      </c>
      <c r="Z354" s="29">
        <f t="shared" si="29"/>
        <v>350000000</v>
      </c>
    </row>
    <row r="355" spans="1:26" x14ac:dyDescent="0.3">
      <c r="A355">
        <f t="shared" si="25"/>
        <v>3</v>
      </c>
      <c r="B355" t="str">
        <f>INDEX('Category Mapping'!$G$28:$G$39,MATCH(A355,'Category Mapping'!$A$28:$A$39,0),1)</f>
        <v>Spring</v>
      </c>
      <c r="C355" t="s">
        <v>78</v>
      </c>
      <c r="D355" s="6" t="s">
        <v>153</v>
      </c>
      <c r="E355" s="46" t="s">
        <v>48</v>
      </c>
      <c r="F355" s="27">
        <f>SUMIFS(INDEX(Load,,MATCH('Summarized Source Data'!$C355,Hour,0)),Month,'Summarized Source Data'!$A355,Sector,'Summarized Source Data'!F$2,Subsector,'Summarized Source Data'!F$3,TimeOfWeek,$E355)*INDEX(About!B$79:B$82,MATCH($B355,About!$A$79:$A$82,0),1)</f>
        <v>6609144</v>
      </c>
      <c r="G355" s="27">
        <f>SUMIFS(INDEX(Load,,MATCH('Summarized Source Data'!$C355,Hour,0)),Month,'Summarized Source Data'!$A355,Sector,'Summarized Source Data'!G$2,Subsector,'Summarized Source Data'!G$3,TimeOfWeek,$E355)*INDEX(About!C$79:C$82,MATCH($B355,About!$A$79:$A$82,0),1)</f>
        <v>11539</v>
      </c>
      <c r="H355" s="27">
        <f>SUMIFS(INDEX(Load,,MATCH('Summarized Source Data'!$C355,Hour,0)),Month,'Summarized Source Data'!$A355,Sector,'Summarized Source Data'!H$2,Subsector,'Summarized Source Data'!H$3,TimeOfWeek,$E355)*INDEX(About!D$79:D$82,MATCH($B355,About!$A$79:$A$82,0),1)</f>
        <v>0</v>
      </c>
      <c r="I355" s="27">
        <f>SUMIFS(INDEX(Load,,MATCH('Summarized Source Data'!$C355,Hour,0)),Month,'Summarized Source Data'!$A355,Sector,'Summarized Source Data'!I$2,Subsector,'Summarized Source Data'!I$3,TimeOfWeek,$E355)*INDEX(About!E$79:E$82,MATCH($B355,About!$A$79:$A$82,0),1)</f>
        <v>7873568</v>
      </c>
      <c r="J355" s="54">
        <f t="shared" si="26"/>
        <v>88505749</v>
      </c>
      <c r="K355" s="27">
        <f>(SUMIFS(INDEX(Load,,MATCH('Summarized Source Data'!$C355,Hour,0)),Month,'Summarized Source Data'!$A355,Sector,'Summarized Source Data'!K$2,Subsector,"Total",TimeOfWeek,$E355)-SUM(F355:I355))*INDEX(About!G$79:G$82,MATCH($B355,About!$A$79:$A$82,0),1)</f>
        <v>88505749</v>
      </c>
      <c r="L355" s="27">
        <f>SUMIFS(INDEX(Load,,MATCH('Summarized Source Data'!$C355,Hour,0)),Month,'Summarized Source Data'!$A355,Sector,'Summarized Source Data'!L$2,Subsector,'Summarized Source Data'!L$3,TimeOfWeek,$E355)*INDEX(About!H$79:H$82,MATCH($B355,About!$A$79:$A$82,0),1)</f>
        <v>11200000</v>
      </c>
      <c r="M355" s="27">
        <f>SUMIFS(INDEX(Load,,MATCH('Summarized Source Data'!$C355,Hour,0)),Month,'Summarized Source Data'!$A355,Sector,'Summarized Source Data'!M$2,Subsector,'Summarized Source Data'!M$3,TimeOfWeek,$E355)*INDEX(About!I$79:I$82,MATCH($B355,About!$A$79:$A$82,0),1)</f>
        <v>64335</v>
      </c>
      <c r="N355" s="27">
        <f>SUMIFS(INDEX(Load,,MATCH('Summarized Source Data'!$C355,Hour,0)),Month,'Summarized Source Data'!$A355,Sector,'Summarized Source Data'!N$2,Subsector,'Summarized Source Data'!N$3,TimeOfWeek,$E355)*INDEX(About!J$79:J$82,MATCH($B355,About!$A$79:$A$82,0),1)</f>
        <v>0</v>
      </c>
      <c r="O355" s="29">
        <f t="shared" si="27"/>
        <v>108735665</v>
      </c>
      <c r="P355" s="27">
        <f>(SUMIFS(INDEX(Load,,MATCH('Summarized Source Data'!$C355,Hour,0)),Month,'Summarized Source Data'!$A355,Sector,'Summarized Source Data'!P$2,Subsector,"Total",TimeOfWeek,$E355)-SUM(L355:N355)*INDEX(About!L$79:L$82,MATCH($B355,About!$A$79:$A$82,0),1))</f>
        <v>108735665</v>
      </c>
      <c r="Q355" s="29">
        <f t="shared" si="28"/>
        <v>108735665</v>
      </c>
      <c r="R355" s="33">
        <f>SUMIFS(INDEX(Load,,MATCH('Summarized Source Data'!$C355,Hour,0)),Month,'Summarized Source Data'!$A355,Sector,'Summarized Source Data'!R$2,TimeOfWeek,$E355)*INDEX(About!N$79:N$82,MATCH($B355,About!$A$79:$A$82,0),1)</f>
        <v>5349690</v>
      </c>
      <c r="S355" s="33">
        <f>SUMIFS(INDEX(Load,,MATCH('Summarized Source Data'!$C355,Hour,0)),Month,'Summarized Source Data'!$A355,Sector,'Summarized Source Data'!S$2,TimeOfWeek,$E355)*INDEX(About!O$79:O$82,MATCH($B355,About!$A$79:$A$82,0),1)</f>
        <v>5349690</v>
      </c>
      <c r="T355" s="33">
        <f>SUMIFS(INDEX(Load,,MATCH('Summarized Source Data'!$C355,Hour,0)),Month,'Summarized Source Data'!$A355,Sector,'Summarized Source Data'!T$2,TimeOfWeek,$E355)*INDEX(About!P$79:P$82,MATCH($B355,About!$A$79:$A$82,0),1)</f>
        <v>5349690</v>
      </c>
      <c r="U355" s="33">
        <f>SUMIFS(INDEX(Load,,MATCH('Summarized Source Data'!$C355,Hour,0)),Month,'Summarized Source Data'!$A355,Sector,'Summarized Source Data'!U$2,TimeOfWeek,$E355)*INDEX(About!Q$79:Q$82,MATCH($B355,About!$A$79:$A$82,0),1)</f>
        <v>5349690</v>
      </c>
      <c r="V355" s="33">
        <f>SUMIFS(INDEX(Load,,MATCH('Summarized Source Data'!$C355,Hour,0)),Month,'Summarized Source Data'!$A355,Sector,'Summarized Source Data'!V$2,TimeOfWeek,$E355)*INDEX(About!R$79:R$82,MATCH($B355,About!$A$79:$A$82,0),1)</f>
        <v>5349690</v>
      </c>
      <c r="W355" s="33">
        <f>SUMIFS(INDEX(Load,,MATCH('Summarized Source Data'!$C355,Hour,0)),Month,'Summarized Source Data'!$A355,Sector,'Summarized Source Data'!W$2,TimeOfWeek,$E355)*INDEX(About!S$79:S$82,MATCH($B355,About!$A$79:$A$82,0),1)</f>
        <v>5349690</v>
      </c>
      <c r="X355" s="27">
        <f>SUMIFS(INDEX(Load,,MATCH('Summarized Source Data'!$C355,Hour,0)),Month,'Summarized Source Data'!$A355,Sector,'Summarized Source Data'!X$2,Subsector,'Summarized Source Data'!X$3,TimeOfWeek,$E355)*INDEX(About!T$79:T$82,MATCH($B355,About!$A$79:$A$82,0),1)</f>
        <v>354000000</v>
      </c>
      <c r="Y355" s="29">
        <f t="shared" si="29"/>
        <v>354000000</v>
      </c>
      <c r="Z355" s="29">
        <f t="shared" si="29"/>
        <v>354000000</v>
      </c>
    </row>
    <row r="356" spans="1:26" x14ac:dyDescent="0.3">
      <c r="A356">
        <f t="shared" si="25"/>
        <v>3</v>
      </c>
      <c r="B356" t="str">
        <f>INDEX('Category Mapping'!$G$28:$G$39,MATCH(A356,'Category Mapping'!$A$28:$A$39,0),1)</f>
        <v>Spring</v>
      </c>
      <c r="C356" t="s">
        <v>79</v>
      </c>
      <c r="D356" s="6" t="s">
        <v>154</v>
      </c>
      <c r="E356" s="46" t="s">
        <v>48</v>
      </c>
      <c r="F356" s="27">
        <f>SUMIFS(INDEX(Load,,MATCH('Summarized Source Data'!$C356,Hour,0)),Month,'Summarized Source Data'!$A356,Sector,'Summarized Source Data'!F$2,Subsector,'Summarized Source Data'!F$3,TimeOfWeek,$E356)*INDEX(About!B$79:B$82,MATCH($B356,About!$A$79:$A$82,0),1)</f>
        <v>6722679</v>
      </c>
      <c r="G356" s="27">
        <f>SUMIFS(INDEX(Load,,MATCH('Summarized Source Data'!$C356,Hour,0)),Month,'Summarized Source Data'!$A356,Sector,'Summarized Source Data'!G$2,Subsector,'Summarized Source Data'!G$3,TimeOfWeek,$E356)*INDEX(About!C$79:C$82,MATCH($B356,About!$A$79:$A$82,0),1)</f>
        <v>11631</v>
      </c>
      <c r="H356" s="27">
        <f>SUMIFS(INDEX(Load,,MATCH('Summarized Source Data'!$C356,Hour,0)),Month,'Summarized Source Data'!$A356,Sector,'Summarized Source Data'!H$2,Subsector,'Summarized Source Data'!H$3,TimeOfWeek,$E356)*INDEX(About!D$79:D$82,MATCH($B356,About!$A$79:$A$82,0),1)</f>
        <v>0</v>
      </c>
      <c r="I356" s="27">
        <f>SUMIFS(INDEX(Load,,MATCH('Summarized Source Data'!$C356,Hour,0)),Month,'Summarized Source Data'!$A356,Sector,'Summarized Source Data'!I$2,Subsector,'Summarized Source Data'!I$3,TimeOfWeek,$E356)*INDEX(About!E$79:E$82,MATCH($B356,About!$A$79:$A$82,0),1)</f>
        <v>8601209</v>
      </c>
      <c r="J356" s="54">
        <f t="shared" si="26"/>
        <v>94664481</v>
      </c>
      <c r="K356" s="27">
        <f>(SUMIFS(INDEX(Load,,MATCH('Summarized Source Data'!$C356,Hour,0)),Month,'Summarized Source Data'!$A356,Sector,'Summarized Source Data'!K$2,Subsector,"Total",TimeOfWeek,$E356)-SUM(F356:I356))*INDEX(About!G$79:G$82,MATCH($B356,About!$A$79:$A$82,0),1)</f>
        <v>94664481</v>
      </c>
      <c r="L356" s="27">
        <f>SUMIFS(INDEX(Load,,MATCH('Summarized Source Data'!$C356,Hour,0)),Month,'Summarized Source Data'!$A356,Sector,'Summarized Source Data'!L$2,Subsector,'Summarized Source Data'!L$3,TimeOfWeek,$E356)*INDEX(About!H$79:H$82,MATCH($B356,About!$A$79:$A$82,0),1)</f>
        <v>11000000</v>
      </c>
      <c r="M356" s="27">
        <f>SUMIFS(INDEX(Load,,MATCH('Summarized Source Data'!$C356,Hour,0)),Month,'Summarized Source Data'!$A356,Sector,'Summarized Source Data'!M$2,Subsector,'Summarized Source Data'!M$3,TimeOfWeek,$E356)*INDEX(About!I$79:I$82,MATCH($B356,About!$A$79:$A$82,0),1)</f>
        <v>63643</v>
      </c>
      <c r="N356" s="27">
        <f>SUMIFS(INDEX(Load,,MATCH('Summarized Source Data'!$C356,Hour,0)),Month,'Summarized Source Data'!$A356,Sector,'Summarized Source Data'!N$2,Subsector,'Summarized Source Data'!N$3,TimeOfWeek,$E356)*INDEX(About!J$79:J$82,MATCH($B356,About!$A$79:$A$82,0),1)</f>
        <v>0</v>
      </c>
      <c r="O356" s="29">
        <f t="shared" si="27"/>
        <v>102936357</v>
      </c>
      <c r="P356" s="27">
        <f>(SUMIFS(INDEX(Load,,MATCH('Summarized Source Data'!$C356,Hour,0)),Month,'Summarized Source Data'!$A356,Sector,'Summarized Source Data'!P$2,Subsector,"Total",TimeOfWeek,$E356)-SUM(L356:N356)*INDEX(About!L$79:L$82,MATCH($B356,About!$A$79:$A$82,0),1))</f>
        <v>102936357</v>
      </c>
      <c r="Q356" s="29">
        <f t="shared" si="28"/>
        <v>102936357</v>
      </c>
      <c r="R356" s="33">
        <f>SUMIFS(INDEX(Load,,MATCH('Summarized Source Data'!$C356,Hour,0)),Month,'Summarized Source Data'!$A356,Sector,'Summarized Source Data'!R$2,TimeOfWeek,$E356)*INDEX(About!N$79:N$82,MATCH($B356,About!$A$79:$A$82,0),1)</f>
        <v>6127439</v>
      </c>
      <c r="S356" s="33">
        <f>SUMIFS(INDEX(Load,,MATCH('Summarized Source Data'!$C356,Hour,0)),Month,'Summarized Source Data'!$A356,Sector,'Summarized Source Data'!S$2,TimeOfWeek,$E356)*INDEX(About!O$79:O$82,MATCH($B356,About!$A$79:$A$82,0),1)</f>
        <v>6127439</v>
      </c>
      <c r="T356" s="33">
        <f>SUMIFS(INDEX(Load,,MATCH('Summarized Source Data'!$C356,Hour,0)),Month,'Summarized Source Data'!$A356,Sector,'Summarized Source Data'!T$2,TimeOfWeek,$E356)*INDEX(About!P$79:P$82,MATCH($B356,About!$A$79:$A$82,0),1)</f>
        <v>6127439</v>
      </c>
      <c r="U356" s="33">
        <f>SUMIFS(INDEX(Load,,MATCH('Summarized Source Data'!$C356,Hour,0)),Month,'Summarized Source Data'!$A356,Sector,'Summarized Source Data'!U$2,TimeOfWeek,$E356)*INDEX(About!Q$79:Q$82,MATCH($B356,About!$A$79:$A$82,0),1)</f>
        <v>6127439</v>
      </c>
      <c r="V356" s="33">
        <f>SUMIFS(INDEX(Load,,MATCH('Summarized Source Data'!$C356,Hour,0)),Month,'Summarized Source Data'!$A356,Sector,'Summarized Source Data'!V$2,TimeOfWeek,$E356)*INDEX(About!R$79:R$82,MATCH($B356,About!$A$79:$A$82,0),1)</f>
        <v>6127439</v>
      </c>
      <c r="W356" s="33">
        <f>SUMIFS(INDEX(Load,,MATCH('Summarized Source Data'!$C356,Hour,0)),Month,'Summarized Source Data'!$A356,Sector,'Summarized Source Data'!W$2,TimeOfWeek,$E356)*INDEX(About!S$79:S$82,MATCH($B356,About!$A$79:$A$82,0),1)</f>
        <v>6127439</v>
      </c>
      <c r="X356" s="27">
        <f>SUMIFS(INDEX(Load,,MATCH('Summarized Source Data'!$C356,Hour,0)),Month,'Summarized Source Data'!$A356,Sector,'Summarized Source Data'!X$2,Subsector,'Summarized Source Data'!X$3,TimeOfWeek,$E356)*INDEX(About!T$79:T$82,MATCH($B356,About!$A$79:$A$82,0),1)</f>
        <v>358000000</v>
      </c>
      <c r="Y356" s="29">
        <f t="shared" si="29"/>
        <v>358000000</v>
      </c>
      <c r="Z356" s="29">
        <f t="shared" si="29"/>
        <v>358000000</v>
      </c>
    </row>
    <row r="357" spans="1:26" x14ac:dyDescent="0.3">
      <c r="A357">
        <f t="shared" ref="A357:A420" si="30">A69</f>
        <v>3</v>
      </c>
      <c r="B357" t="str">
        <f>INDEX('Category Mapping'!$G$28:$G$39,MATCH(A357,'Category Mapping'!$A$28:$A$39,0),1)</f>
        <v>Spring</v>
      </c>
      <c r="C357" t="s">
        <v>80</v>
      </c>
      <c r="D357" s="6" t="s">
        <v>155</v>
      </c>
      <c r="E357" s="46" t="s">
        <v>48</v>
      </c>
      <c r="F357" s="27">
        <f>SUMIFS(INDEX(Load,,MATCH('Summarized Source Data'!$C357,Hour,0)),Month,'Summarized Source Data'!$A357,Sector,'Summarized Source Data'!F$2,Subsector,'Summarized Source Data'!F$3,TimeOfWeek,$E357)*INDEX(About!B$79:B$82,MATCH($B357,About!$A$79:$A$82,0),1)</f>
        <v>6973553</v>
      </c>
      <c r="G357" s="27">
        <f>SUMIFS(INDEX(Load,,MATCH('Summarized Source Data'!$C357,Hour,0)),Month,'Summarized Source Data'!$A357,Sector,'Summarized Source Data'!G$2,Subsector,'Summarized Source Data'!G$3,TimeOfWeek,$E357)*INDEX(About!C$79:C$82,MATCH($B357,About!$A$79:$A$82,0),1)</f>
        <v>12091</v>
      </c>
      <c r="H357" s="27">
        <f>SUMIFS(INDEX(Load,,MATCH('Summarized Source Data'!$C357,Hour,0)),Month,'Summarized Source Data'!$A357,Sector,'Summarized Source Data'!H$2,Subsector,'Summarized Source Data'!H$3,TimeOfWeek,$E357)*INDEX(About!D$79:D$82,MATCH($B357,About!$A$79:$A$82,0),1)</f>
        <v>0</v>
      </c>
      <c r="I357" s="27">
        <f>SUMIFS(INDEX(Load,,MATCH('Summarized Source Data'!$C357,Hour,0)),Month,'Summarized Source Data'!$A357,Sector,'Summarized Source Data'!I$2,Subsector,'Summarized Source Data'!I$3,TimeOfWeek,$E357)*INDEX(About!E$79:E$82,MATCH($B357,About!$A$79:$A$82,0),1)</f>
        <v>27800000</v>
      </c>
      <c r="J357" s="54">
        <f t="shared" si="26"/>
        <v>95214356</v>
      </c>
      <c r="K357" s="27">
        <f>(SUMIFS(INDEX(Load,,MATCH('Summarized Source Data'!$C357,Hour,0)),Month,'Summarized Source Data'!$A357,Sector,'Summarized Source Data'!K$2,Subsector,"Total",TimeOfWeek,$E357)-SUM(F357:I357))*INDEX(About!G$79:G$82,MATCH($B357,About!$A$79:$A$82,0),1)</f>
        <v>95214356</v>
      </c>
      <c r="L357" s="27">
        <f>SUMIFS(INDEX(Load,,MATCH('Summarized Source Data'!$C357,Hour,0)),Month,'Summarized Source Data'!$A357,Sector,'Summarized Source Data'!L$2,Subsector,'Summarized Source Data'!L$3,TimeOfWeek,$E357)*INDEX(About!H$79:H$82,MATCH($B357,About!$A$79:$A$82,0),1)</f>
        <v>11900000</v>
      </c>
      <c r="M357" s="27">
        <f>SUMIFS(INDEX(Load,,MATCH('Summarized Source Data'!$C357,Hour,0)),Month,'Summarized Source Data'!$A357,Sector,'Summarized Source Data'!M$2,Subsector,'Summarized Source Data'!M$3,TimeOfWeek,$E357)*INDEX(About!I$79:I$82,MATCH($B357,About!$A$79:$A$82,0),1)</f>
        <v>62106</v>
      </c>
      <c r="N357" s="27">
        <f>SUMIFS(INDEX(Load,,MATCH('Summarized Source Data'!$C357,Hour,0)),Month,'Summarized Source Data'!$A357,Sector,'Summarized Source Data'!N$2,Subsector,'Summarized Source Data'!N$3,TimeOfWeek,$E357)*INDEX(About!J$79:J$82,MATCH($B357,About!$A$79:$A$82,0),1)</f>
        <v>0</v>
      </c>
      <c r="O357" s="29">
        <f t="shared" si="27"/>
        <v>104037894</v>
      </c>
      <c r="P357" s="27">
        <f>(SUMIFS(INDEX(Load,,MATCH('Summarized Source Data'!$C357,Hour,0)),Month,'Summarized Source Data'!$A357,Sector,'Summarized Source Data'!P$2,Subsector,"Total",TimeOfWeek,$E357)-SUM(L357:N357)*INDEX(About!L$79:L$82,MATCH($B357,About!$A$79:$A$82,0),1))</f>
        <v>104037894</v>
      </c>
      <c r="Q357" s="29">
        <f t="shared" si="28"/>
        <v>104037894</v>
      </c>
      <c r="R357" s="33">
        <f>SUMIFS(INDEX(Load,,MATCH('Summarized Source Data'!$C357,Hour,0)),Month,'Summarized Source Data'!$A357,Sector,'Summarized Source Data'!R$2,TimeOfWeek,$E357)*INDEX(About!N$79:N$82,MATCH($B357,About!$A$79:$A$82,0),1)</f>
        <v>6133295</v>
      </c>
      <c r="S357" s="33">
        <f>SUMIFS(INDEX(Load,,MATCH('Summarized Source Data'!$C357,Hour,0)),Month,'Summarized Source Data'!$A357,Sector,'Summarized Source Data'!S$2,TimeOfWeek,$E357)*INDEX(About!O$79:O$82,MATCH($B357,About!$A$79:$A$82,0),1)</f>
        <v>6133295</v>
      </c>
      <c r="T357" s="33">
        <f>SUMIFS(INDEX(Load,,MATCH('Summarized Source Data'!$C357,Hour,0)),Month,'Summarized Source Data'!$A357,Sector,'Summarized Source Data'!T$2,TimeOfWeek,$E357)*INDEX(About!P$79:P$82,MATCH($B357,About!$A$79:$A$82,0),1)</f>
        <v>6133295</v>
      </c>
      <c r="U357" s="33">
        <f>SUMIFS(INDEX(Load,,MATCH('Summarized Source Data'!$C357,Hour,0)),Month,'Summarized Source Data'!$A357,Sector,'Summarized Source Data'!U$2,TimeOfWeek,$E357)*INDEX(About!Q$79:Q$82,MATCH($B357,About!$A$79:$A$82,0),1)</f>
        <v>6133295</v>
      </c>
      <c r="V357" s="33">
        <f>SUMIFS(INDEX(Load,,MATCH('Summarized Source Data'!$C357,Hour,0)),Month,'Summarized Source Data'!$A357,Sector,'Summarized Source Data'!V$2,TimeOfWeek,$E357)*INDEX(About!R$79:R$82,MATCH($B357,About!$A$79:$A$82,0),1)</f>
        <v>6133295</v>
      </c>
      <c r="W357" s="33">
        <f>SUMIFS(INDEX(Load,,MATCH('Summarized Source Data'!$C357,Hour,0)),Month,'Summarized Source Data'!$A357,Sector,'Summarized Source Data'!W$2,TimeOfWeek,$E357)*INDEX(About!S$79:S$82,MATCH($B357,About!$A$79:$A$82,0),1)</f>
        <v>6133295</v>
      </c>
      <c r="X357" s="27">
        <f>SUMIFS(INDEX(Load,,MATCH('Summarized Source Data'!$C357,Hour,0)),Month,'Summarized Source Data'!$A357,Sector,'Summarized Source Data'!X$2,Subsector,'Summarized Source Data'!X$3,TimeOfWeek,$E357)*INDEX(About!T$79:T$82,MATCH($B357,About!$A$79:$A$82,0),1)</f>
        <v>359000000</v>
      </c>
      <c r="Y357" s="29">
        <f t="shared" si="29"/>
        <v>359000000</v>
      </c>
      <c r="Z357" s="29">
        <f t="shared" si="29"/>
        <v>359000000</v>
      </c>
    </row>
    <row r="358" spans="1:26" x14ac:dyDescent="0.3">
      <c r="A358">
        <f t="shared" si="30"/>
        <v>3</v>
      </c>
      <c r="B358" t="str">
        <f>INDEX('Category Mapping'!$G$28:$G$39,MATCH(A358,'Category Mapping'!$A$28:$A$39,0),1)</f>
        <v>Spring</v>
      </c>
      <c r="C358" t="s">
        <v>81</v>
      </c>
      <c r="D358" s="6" t="s">
        <v>156</v>
      </c>
      <c r="E358" s="46" t="s">
        <v>48</v>
      </c>
      <c r="F358" s="27">
        <f>SUMIFS(INDEX(Load,,MATCH('Summarized Source Data'!$C358,Hour,0)),Month,'Summarized Source Data'!$A358,Sector,'Summarized Source Data'!F$2,Subsector,'Summarized Source Data'!F$3,TimeOfWeek,$E358)*INDEX(About!B$79:B$82,MATCH($B358,About!$A$79:$A$82,0),1)</f>
        <v>7590836</v>
      </c>
      <c r="G358" s="27">
        <f>SUMIFS(INDEX(Load,,MATCH('Summarized Source Data'!$C358,Hour,0)),Month,'Summarized Source Data'!$A358,Sector,'Summarized Source Data'!G$2,Subsector,'Summarized Source Data'!G$3,TimeOfWeek,$E358)*INDEX(About!C$79:C$82,MATCH($B358,About!$A$79:$A$82,0),1)</f>
        <v>12834</v>
      </c>
      <c r="H358" s="27">
        <f>SUMIFS(INDEX(Load,,MATCH('Summarized Source Data'!$C358,Hour,0)),Month,'Summarized Source Data'!$A358,Sector,'Summarized Source Data'!H$2,Subsector,'Summarized Source Data'!H$3,TimeOfWeek,$E358)*INDEX(About!D$79:D$82,MATCH($B358,About!$A$79:$A$82,0),1)</f>
        <v>0</v>
      </c>
      <c r="I358" s="27">
        <f>SUMIFS(INDEX(Load,,MATCH('Summarized Source Data'!$C358,Hour,0)),Month,'Summarized Source Data'!$A358,Sector,'Summarized Source Data'!I$2,Subsector,'Summarized Source Data'!I$3,TimeOfWeek,$E358)*INDEX(About!E$79:E$82,MATCH($B358,About!$A$79:$A$82,0),1)</f>
        <v>29900000</v>
      </c>
      <c r="J358" s="54">
        <f t="shared" si="26"/>
        <v>92496330</v>
      </c>
      <c r="K358" s="27">
        <f>(SUMIFS(INDEX(Load,,MATCH('Summarized Source Data'!$C358,Hour,0)),Month,'Summarized Source Data'!$A358,Sector,'Summarized Source Data'!K$2,Subsector,"Total",TimeOfWeek,$E358)-SUM(F358:I358))*INDEX(About!G$79:G$82,MATCH($B358,About!$A$79:$A$82,0),1)</f>
        <v>92496330</v>
      </c>
      <c r="L358" s="27">
        <f>SUMIFS(INDEX(Load,,MATCH('Summarized Source Data'!$C358,Hour,0)),Month,'Summarized Source Data'!$A358,Sector,'Summarized Source Data'!L$2,Subsector,'Summarized Source Data'!L$3,TimeOfWeek,$E358)*INDEX(About!H$79:H$82,MATCH($B358,About!$A$79:$A$82,0),1)</f>
        <v>12000000</v>
      </c>
      <c r="M358" s="27">
        <f>SUMIFS(INDEX(Load,,MATCH('Summarized Source Data'!$C358,Hour,0)),Month,'Summarized Source Data'!$A358,Sector,'Summarized Source Data'!M$2,Subsector,'Summarized Source Data'!M$3,TimeOfWeek,$E358)*INDEX(About!I$79:I$82,MATCH($B358,About!$A$79:$A$82,0),1)</f>
        <v>60774</v>
      </c>
      <c r="N358" s="27">
        <f>SUMIFS(INDEX(Load,,MATCH('Summarized Source Data'!$C358,Hour,0)),Month,'Summarized Source Data'!$A358,Sector,'Summarized Source Data'!N$2,Subsector,'Summarized Source Data'!N$3,TimeOfWeek,$E358)*INDEX(About!J$79:J$82,MATCH($B358,About!$A$79:$A$82,0),1)</f>
        <v>0</v>
      </c>
      <c r="O358" s="29">
        <f t="shared" si="27"/>
        <v>102939226</v>
      </c>
      <c r="P358" s="27">
        <f>(SUMIFS(INDEX(Load,,MATCH('Summarized Source Data'!$C358,Hour,0)),Month,'Summarized Source Data'!$A358,Sector,'Summarized Source Data'!P$2,Subsector,"Total",TimeOfWeek,$E358)-SUM(L358:N358)*INDEX(About!L$79:L$82,MATCH($B358,About!$A$79:$A$82,0),1))</f>
        <v>102939226</v>
      </c>
      <c r="Q358" s="29">
        <f t="shared" si="28"/>
        <v>102939226</v>
      </c>
      <c r="R358" s="33">
        <f>SUMIFS(INDEX(Load,,MATCH('Summarized Source Data'!$C358,Hour,0)),Month,'Summarized Source Data'!$A358,Sector,'Summarized Source Data'!R$2,TimeOfWeek,$E358)*INDEX(About!N$79:N$82,MATCH($B358,About!$A$79:$A$82,0),1)</f>
        <v>6092306</v>
      </c>
      <c r="S358" s="33">
        <f>SUMIFS(INDEX(Load,,MATCH('Summarized Source Data'!$C358,Hour,0)),Month,'Summarized Source Data'!$A358,Sector,'Summarized Source Data'!S$2,TimeOfWeek,$E358)*INDEX(About!O$79:O$82,MATCH($B358,About!$A$79:$A$82,0),1)</f>
        <v>6092306</v>
      </c>
      <c r="T358" s="33">
        <f>SUMIFS(INDEX(Load,,MATCH('Summarized Source Data'!$C358,Hour,0)),Month,'Summarized Source Data'!$A358,Sector,'Summarized Source Data'!T$2,TimeOfWeek,$E358)*INDEX(About!P$79:P$82,MATCH($B358,About!$A$79:$A$82,0),1)</f>
        <v>6092306</v>
      </c>
      <c r="U358" s="33">
        <f>SUMIFS(INDEX(Load,,MATCH('Summarized Source Data'!$C358,Hour,0)),Month,'Summarized Source Data'!$A358,Sector,'Summarized Source Data'!U$2,TimeOfWeek,$E358)*INDEX(About!Q$79:Q$82,MATCH($B358,About!$A$79:$A$82,0),1)</f>
        <v>6092306</v>
      </c>
      <c r="V358" s="33">
        <f>SUMIFS(INDEX(Load,,MATCH('Summarized Source Data'!$C358,Hour,0)),Month,'Summarized Source Data'!$A358,Sector,'Summarized Source Data'!V$2,TimeOfWeek,$E358)*INDEX(About!R$79:R$82,MATCH($B358,About!$A$79:$A$82,0),1)</f>
        <v>6092306</v>
      </c>
      <c r="W358" s="33">
        <f>SUMIFS(INDEX(Load,,MATCH('Summarized Source Data'!$C358,Hour,0)),Month,'Summarized Source Data'!$A358,Sector,'Summarized Source Data'!W$2,TimeOfWeek,$E358)*INDEX(About!S$79:S$82,MATCH($B358,About!$A$79:$A$82,0),1)</f>
        <v>6092306</v>
      </c>
      <c r="X358" s="27">
        <f>SUMIFS(INDEX(Load,,MATCH('Summarized Source Data'!$C358,Hour,0)),Month,'Summarized Source Data'!$A358,Sector,'Summarized Source Data'!X$2,Subsector,'Summarized Source Data'!X$3,TimeOfWeek,$E358)*INDEX(About!T$79:T$82,MATCH($B358,About!$A$79:$A$82,0),1)</f>
        <v>358000000</v>
      </c>
      <c r="Y358" s="29">
        <f t="shared" si="29"/>
        <v>358000000</v>
      </c>
      <c r="Z358" s="29">
        <f t="shared" si="29"/>
        <v>358000000</v>
      </c>
    </row>
    <row r="359" spans="1:26" x14ac:dyDescent="0.3">
      <c r="A359">
        <f t="shared" si="30"/>
        <v>3</v>
      </c>
      <c r="B359" t="str">
        <f>INDEX('Category Mapping'!$G$28:$G$39,MATCH(A359,'Category Mapping'!$A$28:$A$39,0),1)</f>
        <v>Spring</v>
      </c>
      <c r="C359" t="s">
        <v>82</v>
      </c>
      <c r="D359" s="6" t="s">
        <v>157</v>
      </c>
      <c r="E359" s="46" t="s">
        <v>48</v>
      </c>
      <c r="F359" s="27">
        <f>SUMIFS(INDEX(Load,,MATCH('Summarized Source Data'!$C359,Hour,0)),Month,'Summarized Source Data'!$A359,Sector,'Summarized Source Data'!F$2,Subsector,'Summarized Source Data'!F$3,TimeOfWeek,$E359)*INDEX(About!B$79:B$82,MATCH($B359,About!$A$79:$A$82,0),1)</f>
        <v>8239843</v>
      </c>
      <c r="G359" s="27">
        <f>SUMIFS(INDEX(Load,,MATCH('Summarized Source Data'!$C359,Hour,0)),Month,'Summarized Source Data'!$A359,Sector,'Summarized Source Data'!G$2,Subsector,'Summarized Source Data'!G$3,TimeOfWeek,$E359)*INDEX(About!C$79:C$82,MATCH($B359,About!$A$79:$A$82,0),1)</f>
        <v>13639</v>
      </c>
      <c r="H359" s="27">
        <f>SUMIFS(INDEX(Load,,MATCH('Summarized Source Data'!$C359,Hour,0)),Month,'Summarized Source Data'!$A359,Sector,'Summarized Source Data'!H$2,Subsector,'Summarized Source Data'!H$3,TimeOfWeek,$E359)*INDEX(About!D$79:D$82,MATCH($B359,About!$A$79:$A$82,0),1)</f>
        <v>0</v>
      </c>
      <c r="I359" s="27">
        <f>SUMIFS(INDEX(Load,,MATCH('Summarized Source Data'!$C359,Hour,0)),Month,'Summarized Source Data'!$A359,Sector,'Summarized Source Data'!I$2,Subsector,'Summarized Source Data'!I$3,TimeOfWeek,$E359)*INDEX(About!E$79:E$82,MATCH($B359,About!$A$79:$A$82,0),1)</f>
        <v>31300000</v>
      </c>
      <c r="J359" s="54">
        <f t="shared" si="26"/>
        <v>85446518</v>
      </c>
      <c r="K359" s="27">
        <f>(SUMIFS(INDEX(Load,,MATCH('Summarized Source Data'!$C359,Hour,0)),Month,'Summarized Source Data'!$A359,Sector,'Summarized Source Data'!K$2,Subsector,"Total",TimeOfWeek,$E359)-SUM(F359:I359))*INDEX(About!G$79:G$82,MATCH($B359,About!$A$79:$A$82,0),1)</f>
        <v>85446518</v>
      </c>
      <c r="L359" s="27">
        <f>SUMIFS(INDEX(Load,,MATCH('Summarized Source Data'!$C359,Hour,0)),Month,'Summarized Source Data'!$A359,Sector,'Summarized Source Data'!L$2,Subsector,'Summarized Source Data'!L$3,TimeOfWeek,$E359)*INDEX(About!H$79:H$82,MATCH($B359,About!$A$79:$A$82,0),1)</f>
        <v>10100000</v>
      </c>
      <c r="M359" s="27">
        <f>SUMIFS(INDEX(Load,,MATCH('Summarized Source Data'!$C359,Hour,0)),Month,'Summarized Source Data'!$A359,Sector,'Summarized Source Data'!M$2,Subsector,'Summarized Source Data'!M$3,TimeOfWeek,$E359)*INDEX(About!I$79:I$82,MATCH($B359,About!$A$79:$A$82,0),1)</f>
        <v>58872</v>
      </c>
      <c r="N359" s="27">
        <f>SUMIFS(INDEX(Load,,MATCH('Summarized Source Data'!$C359,Hour,0)),Month,'Summarized Source Data'!$A359,Sector,'Summarized Source Data'!N$2,Subsector,'Summarized Source Data'!N$3,TimeOfWeek,$E359)*INDEX(About!J$79:J$82,MATCH($B359,About!$A$79:$A$82,0),1)</f>
        <v>0</v>
      </c>
      <c r="O359" s="29">
        <f t="shared" si="27"/>
        <v>99841128</v>
      </c>
      <c r="P359" s="27">
        <f>(SUMIFS(INDEX(Load,,MATCH('Summarized Source Data'!$C359,Hour,0)),Month,'Summarized Source Data'!$A359,Sector,'Summarized Source Data'!P$2,Subsector,"Total",TimeOfWeek,$E359)-SUM(L359:N359)*INDEX(About!L$79:L$82,MATCH($B359,About!$A$79:$A$82,0),1))</f>
        <v>99841128</v>
      </c>
      <c r="Q359" s="29">
        <f t="shared" si="28"/>
        <v>99841128</v>
      </c>
      <c r="R359" s="33">
        <f>SUMIFS(INDEX(Load,,MATCH('Summarized Source Data'!$C359,Hour,0)),Month,'Summarized Source Data'!$A359,Sector,'Summarized Source Data'!R$2,TimeOfWeek,$E359)*INDEX(About!N$79:N$82,MATCH($B359,About!$A$79:$A$82,0),1)</f>
        <v>5957631</v>
      </c>
      <c r="S359" s="33">
        <f>SUMIFS(INDEX(Load,,MATCH('Summarized Source Data'!$C359,Hour,0)),Month,'Summarized Source Data'!$A359,Sector,'Summarized Source Data'!S$2,TimeOfWeek,$E359)*INDEX(About!O$79:O$82,MATCH($B359,About!$A$79:$A$82,0),1)</f>
        <v>5957631</v>
      </c>
      <c r="T359" s="33">
        <f>SUMIFS(INDEX(Load,,MATCH('Summarized Source Data'!$C359,Hour,0)),Month,'Summarized Source Data'!$A359,Sector,'Summarized Source Data'!T$2,TimeOfWeek,$E359)*INDEX(About!P$79:P$82,MATCH($B359,About!$A$79:$A$82,0),1)</f>
        <v>5957631</v>
      </c>
      <c r="U359" s="33">
        <f>SUMIFS(INDEX(Load,,MATCH('Summarized Source Data'!$C359,Hour,0)),Month,'Summarized Source Data'!$A359,Sector,'Summarized Source Data'!U$2,TimeOfWeek,$E359)*INDEX(About!Q$79:Q$82,MATCH($B359,About!$A$79:$A$82,0),1)</f>
        <v>5957631</v>
      </c>
      <c r="V359" s="33">
        <f>SUMIFS(INDEX(Load,,MATCH('Summarized Source Data'!$C359,Hour,0)),Month,'Summarized Source Data'!$A359,Sector,'Summarized Source Data'!V$2,TimeOfWeek,$E359)*INDEX(About!R$79:R$82,MATCH($B359,About!$A$79:$A$82,0),1)</f>
        <v>5957631</v>
      </c>
      <c r="W359" s="33">
        <f>SUMIFS(INDEX(Load,,MATCH('Summarized Source Data'!$C359,Hour,0)),Month,'Summarized Source Data'!$A359,Sector,'Summarized Source Data'!W$2,TimeOfWeek,$E359)*INDEX(About!S$79:S$82,MATCH($B359,About!$A$79:$A$82,0),1)</f>
        <v>5957631</v>
      </c>
      <c r="X359" s="27">
        <f>SUMIFS(INDEX(Load,,MATCH('Summarized Source Data'!$C359,Hour,0)),Month,'Summarized Source Data'!$A359,Sector,'Summarized Source Data'!X$2,Subsector,'Summarized Source Data'!X$3,TimeOfWeek,$E359)*INDEX(About!T$79:T$82,MATCH($B359,About!$A$79:$A$82,0),1)</f>
        <v>356000000</v>
      </c>
      <c r="Y359" s="29">
        <f t="shared" si="29"/>
        <v>356000000</v>
      </c>
      <c r="Z359" s="29">
        <f t="shared" si="29"/>
        <v>356000000</v>
      </c>
    </row>
    <row r="360" spans="1:26" x14ac:dyDescent="0.3">
      <c r="A360">
        <f t="shared" si="30"/>
        <v>3</v>
      </c>
      <c r="B360" t="str">
        <f>INDEX('Category Mapping'!$G$28:$G$39,MATCH(A360,'Category Mapping'!$A$28:$A$39,0),1)</f>
        <v>Spring</v>
      </c>
      <c r="C360" t="s">
        <v>83</v>
      </c>
      <c r="D360" s="6" t="s">
        <v>158</v>
      </c>
      <c r="E360" s="46" t="s">
        <v>48</v>
      </c>
      <c r="F360" s="27">
        <f>SUMIFS(INDEX(Load,,MATCH('Summarized Source Data'!$C360,Hour,0)),Month,'Summarized Source Data'!$A360,Sector,'Summarized Source Data'!F$2,Subsector,'Summarized Source Data'!F$3,TimeOfWeek,$E360)*INDEX(About!B$79:B$82,MATCH($B360,About!$A$79:$A$82,0),1)</f>
        <v>8668349</v>
      </c>
      <c r="G360" s="27">
        <f>SUMIFS(INDEX(Load,,MATCH('Summarized Source Data'!$C360,Hour,0)),Month,'Summarized Source Data'!$A360,Sector,'Summarized Source Data'!G$2,Subsector,'Summarized Source Data'!G$3,TimeOfWeek,$E360)*INDEX(About!C$79:C$82,MATCH($B360,About!$A$79:$A$82,0),1)</f>
        <v>14280</v>
      </c>
      <c r="H360" s="27">
        <f>SUMIFS(INDEX(Load,,MATCH('Summarized Source Data'!$C360,Hour,0)),Month,'Summarized Source Data'!$A360,Sector,'Summarized Source Data'!H$2,Subsector,'Summarized Source Data'!H$3,TimeOfWeek,$E360)*INDEX(About!D$79:D$82,MATCH($B360,About!$A$79:$A$82,0),1)</f>
        <v>0</v>
      </c>
      <c r="I360" s="27">
        <f>SUMIFS(INDEX(Load,,MATCH('Summarized Source Data'!$C360,Hour,0)),Month,'Summarized Source Data'!$A360,Sector,'Summarized Source Data'!I$2,Subsector,'Summarized Source Data'!I$3,TimeOfWeek,$E360)*INDEX(About!E$79:E$82,MATCH($B360,About!$A$79:$A$82,0),1)</f>
        <v>31100000</v>
      </c>
      <c r="J360" s="54">
        <f t="shared" si="26"/>
        <v>80217371</v>
      </c>
      <c r="K360" s="27">
        <f>(SUMIFS(INDEX(Load,,MATCH('Summarized Source Data'!$C360,Hour,0)),Month,'Summarized Source Data'!$A360,Sector,'Summarized Source Data'!K$2,Subsector,"Total",TimeOfWeek,$E360)-SUM(F360:I360))*INDEX(About!G$79:G$82,MATCH($B360,About!$A$79:$A$82,0),1)</f>
        <v>80217371</v>
      </c>
      <c r="L360" s="27">
        <f>SUMIFS(INDEX(Load,,MATCH('Summarized Source Data'!$C360,Hour,0)),Month,'Summarized Source Data'!$A360,Sector,'Summarized Source Data'!L$2,Subsector,'Summarized Source Data'!L$3,TimeOfWeek,$E360)*INDEX(About!H$79:H$82,MATCH($B360,About!$A$79:$A$82,0),1)</f>
        <v>11100000</v>
      </c>
      <c r="M360" s="27">
        <f>SUMIFS(INDEX(Load,,MATCH('Summarized Source Data'!$C360,Hour,0)),Month,'Summarized Source Data'!$A360,Sector,'Summarized Source Data'!M$2,Subsector,'Summarized Source Data'!M$3,TimeOfWeek,$E360)*INDEX(About!I$79:I$82,MATCH($B360,About!$A$79:$A$82,0),1)</f>
        <v>57274</v>
      </c>
      <c r="N360" s="27">
        <f>SUMIFS(INDEX(Load,,MATCH('Summarized Source Data'!$C360,Hour,0)),Month,'Summarized Source Data'!$A360,Sector,'Summarized Source Data'!N$2,Subsector,'Summarized Source Data'!N$3,TimeOfWeek,$E360)*INDEX(About!J$79:J$82,MATCH($B360,About!$A$79:$A$82,0),1)</f>
        <v>0</v>
      </c>
      <c r="O360" s="29">
        <f t="shared" si="27"/>
        <v>95842726</v>
      </c>
      <c r="P360" s="27">
        <f>(SUMIFS(INDEX(Load,,MATCH('Summarized Source Data'!$C360,Hour,0)),Month,'Summarized Source Data'!$A360,Sector,'Summarized Source Data'!P$2,Subsector,"Total",TimeOfWeek,$E360)-SUM(L360:N360)*INDEX(About!L$79:L$82,MATCH($B360,About!$A$79:$A$82,0),1))</f>
        <v>95842726</v>
      </c>
      <c r="Q360" s="29">
        <f t="shared" si="28"/>
        <v>95842726</v>
      </c>
      <c r="R360" s="33">
        <f>SUMIFS(INDEX(Load,,MATCH('Summarized Source Data'!$C360,Hour,0)),Month,'Summarized Source Data'!$A360,Sector,'Summarized Source Data'!R$2,TimeOfWeek,$E360)*INDEX(About!N$79:N$82,MATCH($B360,About!$A$79:$A$82,0),1)</f>
        <v>5776112</v>
      </c>
      <c r="S360" s="33">
        <f>SUMIFS(INDEX(Load,,MATCH('Summarized Source Data'!$C360,Hour,0)),Month,'Summarized Source Data'!$A360,Sector,'Summarized Source Data'!S$2,TimeOfWeek,$E360)*INDEX(About!O$79:O$82,MATCH($B360,About!$A$79:$A$82,0),1)</f>
        <v>5776112</v>
      </c>
      <c r="T360" s="33">
        <f>SUMIFS(INDEX(Load,,MATCH('Summarized Source Data'!$C360,Hour,0)),Month,'Summarized Source Data'!$A360,Sector,'Summarized Source Data'!T$2,TimeOfWeek,$E360)*INDEX(About!P$79:P$82,MATCH($B360,About!$A$79:$A$82,0),1)</f>
        <v>5776112</v>
      </c>
      <c r="U360" s="33">
        <f>SUMIFS(INDEX(Load,,MATCH('Summarized Source Data'!$C360,Hour,0)),Month,'Summarized Source Data'!$A360,Sector,'Summarized Source Data'!U$2,TimeOfWeek,$E360)*INDEX(About!Q$79:Q$82,MATCH($B360,About!$A$79:$A$82,0),1)</f>
        <v>5776112</v>
      </c>
      <c r="V360" s="33">
        <f>SUMIFS(INDEX(Load,,MATCH('Summarized Source Data'!$C360,Hour,0)),Month,'Summarized Source Data'!$A360,Sector,'Summarized Source Data'!V$2,TimeOfWeek,$E360)*INDEX(About!R$79:R$82,MATCH($B360,About!$A$79:$A$82,0),1)</f>
        <v>5776112</v>
      </c>
      <c r="W360" s="33">
        <f>SUMIFS(INDEX(Load,,MATCH('Summarized Source Data'!$C360,Hour,0)),Month,'Summarized Source Data'!$A360,Sector,'Summarized Source Data'!W$2,TimeOfWeek,$E360)*INDEX(About!S$79:S$82,MATCH($B360,About!$A$79:$A$82,0),1)</f>
        <v>5776112</v>
      </c>
      <c r="X360" s="27">
        <f>SUMIFS(INDEX(Load,,MATCH('Summarized Source Data'!$C360,Hour,0)),Month,'Summarized Source Data'!$A360,Sector,'Summarized Source Data'!X$2,Subsector,'Summarized Source Data'!X$3,TimeOfWeek,$E360)*INDEX(About!T$79:T$82,MATCH($B360,About!$A$79:$A$82,0),1)</f>
        <v>353000000</v>
      </c>
      <c r="Y360" s="29">
        <f t="shared" si="29"/>
        <v>353000000</v>
      </c>
      <c r="Z360" s="29">
        <f t="shared" si="29"/>
        <v>353000000</v>
      </c>
    </row>
    <row r="361" spans="1:26" x14ac:dyDescent="0.3">
      <c r="A361">
        <f t="shared" si="30"/>
        <v>3</v>
      </c>
      <c r="B361" t="str">
        <f>INDEX('Category Mapping'!$G$28:$G$39,MATCH(A361,'Category Mapping'!$A$28:$A$39,0),1)</f>
        <v>Spring</v>
      </c>
      <c r="C361" t="s">
        <v>84</v>
      </c>
      <c r="D361" s="6" t="s">
        <v>159</v>
      </c>
      <c r="E361" s="46" t="s">
        <v>48</v>
      </c>
      <c r="F361" s="27">
        <f>SUMIFS(INDEX(Load,,MATCH('Summarized Source Data'!$C361,Hour,0)),Month,'Summarized Source Data'!$A361,Sector,'Summarized Source Data'!F$2,Subsector,'Summarized Source Data'!F$3,TimeOfWeek,$E361)*INDEX(About!B$79:B$82,MATCH($B361,About!$A$79:$A$82,0),1)</f>
        <v>8269849</v>
      </c>
      <c r="G361" s="27">
        <f>SUMIFS(INDEX(Load,,MATCH('Summarized Source Data'!$C361,Hour,0)),Month,'Summarized Source Data'!$A361,Sector,'Summarized Source Data'!G$2,Subsector,'Summarized Source Data'!G$3,TimeOfWeek,$E361)*INDEX(About!C$79:C$82,MATCH($B361,About!$A$79:$A$82,0),1)</f>
        <v>14887</v>
      </c>
      <c r="H361" s="27">
        <f>SUMIFS(INDEX(Load,,MATCH('Summarized Source Data'!$C361,Hour,0)),Month,'Summarized Source Data'!$A361,Sector,'Summarized Source Data'!H$2,Subsector,'Summarized Source Data'!H$3,TimeOfWeek,$E361)*INDEX(About!D$79:D$82,MATCH($B361,About!$A$79:$A$82,0),1)</f>
        <v>0</v>
      </c>
      <c r="I361" s="27">
        <f>SUMIFS(INDEX(Load,,MATCH('Summarized Source Data'!$C361,Hour,0)),Month,'Summarized Source Data'!$A361,Sector,'Summarized Source Data'!I$2,Subsector,'Summarized Source Data'!I$3,TimeOfWeek,$E361)*INDEX(About!E$79:E$82,MATCH($B361,About!$A$79:$A$82,0),1)</f>
        <v>25800000</v>
      </c>
      <c r="J361" s="54">
        <f t="shared" si="26"/>
        <v>73915264</v>
      </c>
      <c r="K361" s="27">
        <f>(SUMIFS(INDEX(Load,,MATCH('Summarized Source Data'!$C361,Hour,0)),Month,'Summarized Source Data'!$A361,Sector,'Summarized Source Data'!K$2,Subsector,"Total",TimeOfWeek,$E361)-SUM(F361:I361))*INDEX(About!G$79:G$82,MATCH($B361,About!$A$79:$A$82,0),1)</f>
        <v>73915264</v>
      </c>
      <c r="L361" s="27">
        <f>SUMIFS(INDEX(Load,,MATCH('Summarized Source Data'!$C361,Hour,0)),Month,'Summarized Source Data'!$A361,Sector,'Summarized Source Data'!L$2,Subsector,'Summarized Source Data'!L$3,TimeOfWeek,$E361)*INDEX(About!H$79:H$82,MATCH($B361,About!$A$79:$A$82,0),1)</f>
        <v>11600000</v>
      </c>
      <c r="M361" s="27">
        <f>SUMIFS(INDEX(Load,,MATCH('Summarized Source Data'!$C361,Hour,0)),Month,'Summarized Source Data'!$A361,Sector,'Summarized Source Data'!M$2,Subsector,'Summarized Source Data'!M$3,TimeOfWeek,$E361)*INDEX(About!I$79:I$82,MATCH($B361,About!$A$79:$A$82,0),1)</f>
        <v>55643</v>
      </c>
      <c r="N361" s="27">
        <f>SUMIFS(INDEX(Load,,MATCH('Summarized Source Data'!$C361,Hour,0)),Month,'Summarized Source Data'!$A361,Sector,'Summarized Source Data'!N$2,Subsector,'Summarized Source Data'!N$3,TimeOfWeek,$E361)*INDEX(About!J$79:J$82,MATCH($B361,About!$A$79:$A$82,0),1)</f>
        <v>0</v>
      </c>
      <c r="O361" s="29">
        <f t="shared" si="27"/>
        <v>89344357</v>
      </c>
      <c r="P361" s="27">
        <f>(SUMIFS(INDEX(Load,,MATCH('Summarized Source Data'!$C361,Hour,0)),Month,'Summarized Source Data'!$A361,Sector,'Summarized Source Data'!P$2,Subsector,"Total",TimeOfWeek,$E361)-SUM(L361:N361)*INDEX(About!L$79:L$82,MATCH($B361,About!$A$79:$A$82,0),1))</f>
        <v>89344357</v>
      </c>
      <c r="Q361" s="29">
        <f t="shared" si="28"/>
        <v>89344357</v>
      </c>
      <c r="R361" s="33">
        <f>SUMIFS(INDEX(Load,,MATCH('Summarized Source Data'!$C361,Hour,0)),Month,'Summarized Source Data'!$A361,Sector,'Summarized Source Data'!R$2,TimeOfWeek,$E361)*INDEX(About!N$79:N$82,MATCH($B361,About!$A$79:$A$82,0),1)</f>
        <v>5571171</v>
      </c>
      <c r="S361" s="33">
        <f>SUMIFS(INDEX(Load,,MATCH('Summarized Source Data'!$C361,Hour,0)),Month,'Summarized Source Data'!$A361,Sector,'Summarized Source Data'!S$2,TimeOfWeek,$E361)*INDEX(About!O$79:O$82,MATCH($B361,About!$A$79:$A$82,0),1)</f>
        <v>5571171</v>
      </c>
      <c r="T361" s="33">
        <f>SUMIFS(INDEX(Load,,MATCH('Summarized Source Data'!$C361,Hour,0)),Month,'Summarized Source Data'!$A361,Sector,'Summarized Source Data'!T$2,TimeOfWeek,$E361)*INDEX(About!P$79:P$82,MATCH($B361,About!$A$79:$A$82,0),1)</f>
        <v>5571171</v>
      </c>
      <c r="U361" s="33">
        <f>SUMIFS(INDEX(Load,,MATCH('Summarized Source Data'!$C361,Hour,0)),Month,'Summarized Source Data'!$A361,Sector,'Summarized Source Data'!U$2,TimeOfWeek,$E361)*INDEX(About!Q$79:Q$82,MATCH($B361,About!$A$79:$A$82,0),1)</f>
        <v>5571171</v>
      </c>
      <c r="V361" s="33">
        <f>SUMIFS(INDEX(Load,,MATCH('Summarized Source Data'!$C361,Hour,0)),Month,'Summarized Source Data'!$A361,Sector,'Summarized Source Data'!V$2,TimeOfWeek,$E361)*INDEX(About!R$79:R$82,MATCH($B361,About!$A$79:$A$82,0),1)</f>
        <v>5571171</v>
      </c>
      <c r="W361" s="33">
        <f>SUMIFS(INDEX(Load,,MATCH('Summarized Source Data'!$C361,Hour,0)),Month,'Summarized Source Data'!$A361,Sector,'Summarized Source Data'!W$2,TimeOfWeek,$E361)*INDEX(About!S$79:S$82,MATCH($B361,About!$A$79:$A$82,0),1)</f>
        <v>5571171</v>
      </c>
      <c r="X361" s="27">
        <f>SUMIFS(INDEX(Load,,MATCH('Summarized Source Data'!$C361,Hour,0)),Month,'Summarized Source Data'!$A361,Sector,'Summarized Source Data'!X$2,Subsector,'Summarized Source Data'!X$3,TimeOfWeek,$E361)*INDEX(About!T$79:T$82,MATCH($B361,About!$A$79:$A$82,0),1)</f>
        <v>350000000</v>
      </c>
      <c r="Y361" s="29">
        <f t="shared" si="29"/>
        <v>350000000</v>
      </c>
      <c r="Z361" s="29">
        <f t="shared" si="29"/>
        <v>350000000</v>
      </c>
    </row>
    <row r="362" spans="1:26" x14ac:dyDescent="0.3">
      <c r="A362">
        <f t="shared" si="30"/>
        <v>3</v>
      </c>
      <c r="B362" t="str">
        <f>INDEX('Category Mapping'!$G$28:$G$39,MATCH(A362,'Category Mapping'!$A$28:$A$39,0),1)</f>
        <v>Spring</v>
      </c>
      <c r="C362" t="s">
        <v>85</v>
      </c>
      <c r="D362" s="6" t="s">
        <v>160</v>
      </c>
      <c r="E362" s="46" t="s">
        <v>48</v>
      </c>
      <c r="F362" s="27">
        <f>SUMIFS(INDEX(Load,,MATCH('Summarized Source Data'!$C362,Hour,0)),Month,'Summarized Source Data'!$A362,Sector,'Summarized Source Data'!F$2,Subsector,'Summarized Source Data'!F$3,TimeOfWeek,$E362)*INDEX(About!B$79:B$82,MATCH($B362,About!$A$79:$A$82,0),1)</f>
        <v>7245316</v>
      </c>
      <c r="G362" s="27">
        <f>SUMIFS(INDEX(Load,,MATCH('Summarized Source Data'!$C362,Hour,0)),Month,'Summarized Source Data'!$A362,Sector,'Summarized Source Data'!G$2,Subsector,'Summarized Source Data'!G$3,TimeOfWeek,$E362)*INDEX(About!C$79:C$82,MATCH($B362,About!$A$79:$A$82,0),1)</f>
        <v>15450</v>
      </c>
      <c r="H362" s="27">
        <f>SUMIFS(INDEX(Load,,MATCH('Summarized Source Data'!$C362,Hour,0)),Month,'Summarized Source Data'!$A362,Sector,'Summarized Source Data'!H$2,Subsector,'Summarized Source Data'!H$3,TimeOfWeek,$E362)*INDEX(About!D$79:D$82,MATCH($B362,About!$A$79:$A$82,0),1)</f>
        <v>0</v>
      </c>
      <c r="I362" s="27">
        <f>SUMIFS(INDEX(Load,,MATCH('Summarized Source Data'!$C362,Hour,0)),Month,'Summarized Source Data'!$A362,Sector,'Summarized Source Data'!I$2,Subsector,'Summarized Source Data'!I$3,TimeOfWeek,$E362)*INDEX(About!E$79:E$82,MATCH($B362,About!$A$79:$A$82,0),1)</f>
        <v>16600000</v>
      </c>
      <c r="J362" s="54">
        <f t="shared" si="26"/>
        <v>61939234</v>
      </c>
      <c r="K362" s="27">
        <f>(SUMIFS(INDEX(Load,,MATCH('Summarized Source Data'!$C362,Hour,0)),Month,'Summarized Source Data'!$A362,Sector,'Summarized Source Data'!K$2,Subsector,"Total",TimeOfWeek,$E362)-SUM(F362:I362))*INDEX(About!G$79:G$82,MATCH($B362,About!$A$79:$A$82,0),1)</f>
        <v>61939234</v>
      </c>
      <c r="L362" s="27">
        <f>SUMIFS(INDEX(Load,,MATCH('Summarized Source Data'!$C362,Hour,0)),Month,'Summarized Source Data'!$A362,Sector,'Summarized Source Data'!L$2,Subsector,'Summarized Source Data'!L$3,TimeOfWeek,$E362)*INDEX(About!H$79:H$82,MATCH($B362,About!$A$79:$A$82,0),1)</f>
        <v>10500000</v>
      </c>
      <c r="M362" s="27">
        <f>SUMIFS(INDEX(Load,,MATCH('Summarized Source Data'!$C362,Hour,0)),Month,'Summarized Source Data'!$A362,Sector,'Summarized Source Data'!M$2,Subsector,'Summarized Source Data'!M$3,TimeOfWeek,$E362)*INDEX(About!I$79:I$82,MATCH($B362,About!$A$79:$A$82,0),1)</f>
        <v>53682</v>
      </c>
      <c r="N362" s="27">
        <f>SUMIFS(INDEX(Load,,MATCH('Summarized Source Data'!$C362,Hour,0)),Month,'Summarized Source Data'!$A362,Sector,'Summarized Source Data'!N$2,Subsector,'Summarized Source Data'!N$3,TimeOfWeek,$E362)*INDEX(About!J$79:J$82,MATCH($B362,About!$A$79:$A$82,0),1)</f>
        <v>0</v>
      </c>
      <c r="O362" s="29">
        <f t="shared" si="27"/>
        <v>85246318</v>
      </c>
      <c r="P362" s="27">
        <f>(SUMIFS(INDEX(Load,,MATCH('Summarized Source Data'!$C362,Hour,0)),Month,'Summarized Source Data'!$A362,Sector,'Summarized Source Data'!P$2,Subsector,"Total",TimeOfWeek,$E362)-SUM(L362:N362)*INDEX(About!L$79:L$82,MATCH($B362,About!$A$79:$A$82,0),1))</f>
        <v>85246318</v>
      </c>
      <c r="Q362" s="29">
        <f t="shared" si="28"/>
        <v>85246318</v>
      </c>
      <c r="R362" s="33">
        <f>SUMIFS(INDEX(Load,,MATCH('Summarized Source Data'!$C362,Hour,0)),Month,'Summarized Source Data'!$A362,Sector,'Summarized Source Data'!R$2,TimeOfWeek,$E362)*INDEX(About!N$79:N$82,MATCH($B362,About!$A$79:$A$82,0),1)</f>
        <v>5500905</v>
      </c>
      <c r="S362" s="33">
        <f>SUMIFS(INDEX(Load,,MATCH('Summarized Source Data'!$C362,Hour,0)),Month,'Summarized Source Data'!$A362,Sector,'Summarized Source Data'!S$2,TimeOfWeek,$E362)*INDEX(About!O$79:O$82,MATCH($B362,About!$A$79:$A$82,0),1)</f>
        <v>5500905</v>
      </c>
      <c r="T362" s="33">
        <f>SUMIFS(INDEX(Load,,MATCH('Summarized Source Data'!$C362,Hour,0)),Month,'Summarized Source Data'!$A362,Sector,'Summarized Source Data'!T$2,TimeOfWeek,$E362)*INDEX(About!P$79:P$82,MATCH($B362,About!$A$79:$A$82,0),1)</f>
        <v>5500905</v>
      </c>
      <c r="U362" s="33">
        <f>SUMIFS(INDEX(Load,,MATCH('Summarized Source Data'!$C362,Hour,0)),Month,'Summarized Source Data'!$A362,Sector,'Summarized Source Data'!U$2,TimeOfWeek,$E362)*INDEX(About!Q$79:Q$82,MATCH($B362,About!$A$79:$A$82,0),1)</f>
        <v>5500905</v>
      </c>
      <c r="V362" s="33">
        <f>SUMIFS(INDEX(Load,,MATCH('Summarized Source Data'!$C362,Hour,0)),Month,'Summarized Source Data'!$A362,Sector,'Summarized Source Data'!V$2,TimeOfWeek,$E362)*INDEX(About!R$79:R$82,MATCH($B362,About!$A$79:$A$82,0),1)</f>
        <v>5500905</v>
      </c>
      <c r="W362" s="33">
        <f>SUMIFS(INDEX(Load,,MATCH('Summarized Source Data'!$C362,Hour,0)),Month,'Summarized Source Data'!$A362,Sector,'Summarized Source Data'!W$2,TimeOfWeek,$E362)*INDEX(About!S$79:S$82,MATCH($B362,About!$A$79:$A$82,0),1)</f>
        <v>5500905</v>
      </c>
      <c r="X362" s="27">
        <f>SUMIFS(INDEX(Load,,MATCH('Summarized Source Data'!$C362,Hour,0)),Month,'Summarized Source Data'!$A362,Sector,'Summarized Source Data'!X$2,Subsector,'Summarized Source Data'!X$3,TimeOfWeek,$E362)*INDEX(About!T$79:T$82,MATCH($B362,About!$A$79:$A$82,0),1)</f>
        <v>347000000</v>
      </c>
      <c r="Y362" s="29">
        <f t="shared" si="29"/>
        <v>347000000</v>
      </c>
      <c r="Z362" s="29">
        <f t="shared" si="29"/>
        <v>347000000</v>
      </c>
    </row>
    <row r="363" spans="1:26" x14ac:dyDescent="0.3">
      <c r="A363">
        <f t="shared" si="30"/>
        <v>3</v>
      </c>
      <c r="B363" t="str">
        <f>INDEX('Category Mapping'!$G$28:$G$39,MATCH(A363,'Category Mapping'!$A$28:$A$39,0),1)</f>
        <v>Spring</v>
      </c>
      <c r="C363" t="s">
        <v>86</v>
      </c>
      <c r="D363" s="6" t="s">
        <v>161</v>
      </c>
      <c r="E363" s="46" t="s">
        <v>48</v>
      </c>
      <c r="F363" s="27">
        <f>SUMIFS(INDEX(Load,,MATCH('Summarized Source Data'!$C363,Hour,0)),Month,'Summarized Source Data'!$A363,Sector,'Summarized Source Data'!F$2,Subsector,'Summarized Source Data'!F$3,TimeOfWeek,$E363)*INDEX(About!B$79:B$82,MATCH($B363,About!$A$79:$A$82,0),1)</f>
        <v>6886401</v>
      </c>
      <c r="G363" s="27">
        <f>SUMIFS(INDEX(Load,,MATCH('Summarized Source Data'!$C363,Hour,0)),Month,'Summarized Source Data'!$A363,Sector,'Summarized Source Data'!G$2,Subsector,'Summarized Source Data'!G$3,TimeOfWeek,$E363)*INDEX(About!C$79:C$82,MATCH($B363,About!$A$79:$A$82,0),1)</f>
        <v>15933</v>
      </c>
      <c r="H363" s="27">
        <f>SUMIFS(INDEX(Load,,MATCH('Summarized Source Data'!$C363,Hour,0)),Month,'Summarized Source Data'!$A363,Sector,'Summarized Source Data'!H$2,Subsector,'Summarized Source Data'!H$3,TimeOfWeek,$E363)*INDEX(About!D$79:D$82,MATCH($B363,About!$A$79:$A$82,0),1)</f>
        <v>0</v>
      </c>
      <c r="I363" s="27">
        <f>SUMIFS(INDEX(Load,,MATCH('Summarized Source Data'!$C363,Hour,0)),Month,'Summarized Source Data'!$A363,Sector,'Summarized Source Data'!I$2,Subsector,'Summarized Source Data'!I$3,TimeOfWeek,$E363)*INDEX(About!E$79:E$82,MATCH($B363,About!$A$79:$A$82,0),1)</f>
        <v>9284207</v>
      </c>
      <c r="J363" s="54">
        <f t="shared" si="26"/>
        <v>49313459</v>
      </c>
      <c r="K363" s="27">
        <f>(SUMIFS(INDEX(Load,,MATCH('Summarized Source Data'!$C363,Hour,0)),Month,'Summarized Source Data'!$A363,Sector,'Summarized Source Data'!K$2,Subsector,"Total",TimeOfWeek,$E363)-SUM(F363:I363))*INDEX(About!G$79:G$82,MATCH($B363,About!$A$79:$A$82,0),1)</f>
        <v>49313459</v>
      </c>
      <c r="L363" s="27">
        <f>SUMIFS(INDEX(Load,,MATCH('Summarized Source Data'!$C363,Hour,0)),Month,'Summarized Source Data'!$A363,Sector,'Summarized Source Data'!L$2,Subsector,'Summarized Source Data'!L$3,TimeOfWeek,$E363)*INDEX(About!H$79:H$82,MATCH($B363,About!$A$79:$A$82,0),1)</f>
        <v>9864752</v>
      </c>
      <c r="M363" s="27">
        <f>SUMIFS(INDEX(Load,,MATCH('Summarized Source Data'!$C363,Hour,0)),Month,'Summarized Source Data'!$A363,Sector,'Summarized Source Data'!M$2,Subsector,'Summarized Source Data'!M$3,TimeOfWeek,$E363)*INDEX(About!I$79:I$82,MATCH($B363,About!$A$79:$A$82,0),1)</f>
        <v>51003</v>
      </c>
      <c r="N363" s="27">
        <f>SUMIFS(INDEX(Load,,MATCH('Summarized Source Data'!$C363,Hour,0)),Month,'Summarized Source Data'!$A363,Sector,'Summarized Source Data'!N$2,Subsector,'Summarized Source Data'!N$3,TimeOfWeek,$E363)*INDEX(About!J$79:J$82,MATCH($B363,About!$A$79:$A$82,0),1)</f>
        <v>0</v>
      </c>
      <c r="O363" s="29">
        <f t="shared" si="27"/>
        <v>77884245</v>
      </c>
      <c r="P363" s="27">
        <f>(SUMIFS(INDEX(Load,,MATCH('Summarized Source Data'!$C363,Hour,0)),Month,'Summarized Source Data'!$A363,Sector,'Summarized Source Data'!P$2,Subsector,"Total",TimeOfWeek,$E363)-SUM(L363:N363)*INDEX(About!L$79:L$82,MATCH($B363,About!$A$79:$A$82,0),1))</f>
        <v>77884245</v>
      </c>
      <c r="Q363" s="29">
        <f t="shared" si="28"/>
        <v>77884245</v>
      </c>
      <c r="R363" s="33">
        <f>SUMIFS(INDEX(Load,,MATCH('Summarized Source Data'!$C363,Hour,0)),Month,'Summarized Source Data'!$A363,Sector,'Summarized Source Data'!R$2,TimeOfWeek,$E363)*INDEX(About!N$79:N$82,MATCH($B363,About!$A$79:$A$82,0),1)</f>
        <v>3696743</v>
      </c>
      <c r="S363" s="33">
        <f>SUMIFS(INDEX(Load,,MATCH('Summarized Source Data'!$C363,Hour,0)),Month,'Summarized Source Data'!$A363,Sector,'Summarized Source Data'!S$2,TimeOfWeek,$E363)*INDEX(About!O$79:O$82,MATCH($B363,About!$A$79:$A$82,0),1)</f>
        <v>3696743</v>
      </c>
      <c r="T363" s="33">
        <f>SUMIFS(INDEX(Load,,MATCH('Summarized Source Data'!$C363,Hour,0)),Month,'Summarized Source Data'!$A363,Sector,'Summarized Source Data'!T$2,TimeOfWeek,$E363)*INDEX(About!P$79:P$82,MATCH($B363,About!$A$79:$A$82,0),1)</f>
        <v>3696743</v>
      </c>
      <c r="U363" s="33">
        <f>SUMIFS(INDEX(Load,,MATCH('Summarized Source Data'!$C363,Hour,0)),Month,'Summarized Source Data'!$A363,Sector,'Summarized Source Data'!U$2,TimeOfWeek,$E363)*INDEX(About!Q$79:Q$82,MATCH($B363,About!$A$79:$A$82,0),1)</f>
        <v>3696743</v>
      </c>
      <c r="V363" s="33">
        <f>SUMIFS(INDEX(Load,,MATCH('Summarized Source Data'!$C363,Hour,0)),Month,'Summarized Source Data'!$A363,Sector,'Summarized Source Data'!V$2,TimeOfWeek,$E363)*INDEX(About!R$79:R$82,MATCH($B363,About!$A$79:$A$82,0),1)</f>
        <v>3696743</v>
      </c>
      <c r="W363" s="33">
        <f>SUMIFS(INDEX(Load,,MATCH('Summarized Source Data'!$C363,Hour,0)),Month,'Summarized Source Data'!$A363,Sector,'Summarized Source Data'!W$2,TimeOfWeek,$E363)*INDEX(About!S$79:S$82,MATCH($B363,About!$A$79:$A$82,0),1)</f>
        <v>3696743</v>
      </c>
      <c r="X363" s="27">
        <f>SUMIFS(INDEX(Load,,MATCH('Summarized Source Data'!$C363,Hour,0)),Month,'Summarized Source Data'!$A363,Sector,'Summarized Source Data'!X$2,Subsector,'Summarized Source Data'!X$3,TimeOfWeek,$E363)*INDEX(About!T$79:T$82,MATCH($B363,About!$A$79:$A$82,0),1)</f>
        <v>345000000</v>
      </c>
      <c r="Y363" s="29">
        <f t="shared" si="29"/>
        <v>345000000</v>
      </c>
      <c r="Z363" s="29">
        <f t="shared" si="29"/>
        <v>345000000</v>
      </c>
    </row>
    <row r="364" spans="1:26" x14ac:dyDescent="0.3">
      <c r="A364">
        <f t="shared" si="30"/>
        <v>4</v>
      </c>
      <c r="B364" t="str">
        <f>INDEX('Category Mapping'!$G$28:$G$39,MATCH(A364,'Category Mapping'!$A$28:$A$39,0),1)</f>
        <v>Spring</v>
      </c>
      <c r="C364" t="s">
        <v>63</v>
      </c>
      <c r="D364" s="6" t="s">
        <v>138</v>
      </c>
      <c r="E364" s="46" t="s">
        <v>48</v>
      </c>
      <c r="F364" s="27">
        <f>SUMIFS(INDEX(Load,,MATCH('Summarized Source Data'!$C364,Hour,0)),Month,'Summarized Source Data'!$A364,Sector,'Summarized Source Data'!F$2,Subsector,'Summarized Source Data'!F$3,TimeOfWeek,$E364)*INDEX(About!B$79:B$82,MATCH($B364,About!$A$79:$A$82,0),1)</f>
        <v>2996652</v>
      </c>
      <c r="G364" s="27">
        <f>SUMIFS(INDEX(Load,,MATCH('Summarized Source Data'!$C364,Hour,0)),Month,'Summarized Source Data'!$A364,Sector,'Summarized Source Data'!G$2,Subsector,'Summarized Source Data'!G$3,TimeOfWeek,$E364)*INDEX(About!C$79:C$82,MATCH($B364,About!$A$79:$A$82,0),1)</f>
        <v>15861</v>
      </c>
      <c r="H364" s="27">
        <f>SUMIFS(INDEX(Load,,MATCH('Summarized Source Data'!$C364,Hour,0)),Month,'Summarized Source Data'!$A364,Sector,'Summarized Source Data'!H$2,Subsector,'Summarized Source Data'!H$3,TimeOfWeek,$E364)*INDEX(About!D$79:D$82,MATCH($B364,About!$A$79:$A$82,0),1)</f>
        <v>0</v>
      </c>
      <c r="I364" s="27">
        <f>SUMIFS(INDEX(Load,,MATCH('Summarized Source Data'!$C364,Hour,0)),Month,'Summarized Source Data'!$A364,Sector,'Summarized Source Data'!I$2,Subsector,'Summarized Source Data'!I$3,TimeOfWeek,$E364)*INDEX(About!E$79:E$82,MATCH($B364,About!$A$79:$A$82,0),1)</f>
        <v>6141192</v>
      </c>
      <c r="J364" s="54">
        <f t="shared" si="26"/>
        <v>37246295</v>
      </c>
      <c r="K364" s="27">
        <f>(SUMIFS(INDEX(Load,,MATCH('Summarized Source Data'!$C364,Hour,0)),Month,'Summarized Source Data'!$A364,Sector,'Summarized Source Data'!K$2,Subsector,"Total",TimeOfWeek,$E364)-SUM(F364:I364))*INDEX(About!G$79:G$82,MATCH($B364,About!$A$79:$A$82,0),1)</f>
        <v>37246295</v>
      </c>
      <c r="L364" s="27">
        <f>SUMIFS(INDEX(Load,,MATCH('Summarized Source Data'!$C364,Hour,0)),Month,'Summarized Source Data'!$A364,Sector,'Summarized Source Data'!L$2,Subsector,'Summarized Source Data'!L$3,TimeOfWeek,$E364)*INDEX(About!H$79:H$82,MATCH($B364,About!$A$79:$A$82,0),1)</f>
        <v>5218639</v>
      </c>
      <c r="M364" s="27">
        <f>SUMIFS(INDEX(Load,,MATCH('Summarized Source Data'!$C364,Hour,0)),Month,'Summarized Source Data'!$A364,Sector,'Summarized Source Data'!M$2,Subsector,'Summarized Source Data'!M$3,TimeOfWeek,$E364)*INDEX(About!I$79:I$82,MATCH($B364,About!$A$79:$A$82,0),1)</f>
        <v>230756</v>
      </c>
      <c r="N364" s="27">
        <f>SUMIFS(INDEX(Load,,MATCH('Summarized Source Data'!$C364,Hour,0)),Month,'Summarized Source Data'!$A364,Sector,'Summarized Source Data'!N$2,Subsector,'Summarized Source Data'!N$3,TimeOfWeek,$E364)*INDEX(About!J$79:J$82,MATCH($B364,About!$A$79:$A$82,0),1)</f>
        <v>0</v>
      </c>
      <c r="O364" s="29">
        <f t="shared" si="27"/>
        <v>77550605</v>
      </c>
      <c r="P364" s="27">
        <f>(SUMIFS(INDEX(Load,,MATCH('Summarized Source Data'!$C364,Hour,0)),Month,'Summarized Source Data'!$A364,Sector,'Summarized Source Data'!P$2,Subsector,"Total",TimeOfWeek,$E364)-SUM(L364:N364)*INDEX(About!L$79:L$82,MATCH($B364,About!$A$79:$A$82,0),1))</f>
        <v>77550605</v>
      </c>
      <c r="Q364" s="29">
        <f t="shared" si="28"/>
        <v>77550605</v>
      </c>
      <c r="R364" s="33">
        <f>SUMIFS(INDEX(Load,,MATCH('Summarized Source Data'!$C364,Hour,0)),Month,'Summarized Source Data'!$A364,Sector,'Summarized Source Data'!R$2,TimeOfWeek,$E364)*INDEX(About!N$79:N$82,MATCH($B364,About!$A$79:$A$82,0),1)</f>
        <v>2564862</v>
      </c>
      <c r="S364" s="33">
        <f>SUMIFS(INDEX(Load,,MATCH('Summarized Source Data'!$C364,Hour,0)),Month,'Summarized Source Data'!$A364,Sector,'Summarized Source Data'!S$2,TimeOfWeek,$E364)*INDEX(About!O$79:O$82,MATCH($B364,About!$A$79:$A$82,0),1)</f>
        <v>2564862</v>
      </c>
      <c r="T364" s="33">
        <f>SUMIFS(INDEX(Load,,MATCH('Summarized Source Data'!$C364,Hour,0)),Month,'Summarized Source Data'!$A364,Sector,'Summarized Source Data'!T$2,TimeOfWeek,$E364)*INDEX(About!P$79:P$82,MATCH($B364,About!$A$79:$A$82,0),1)</f>
        <v>2564862</v>
      </c>
      <c r="U364" s="33">
        <f>SUMIFS(INDEX(Load,,MATCH('Summarized Source Data'!$C364,Hour,0)),Month,'Summarized Source Data'!$A364,Sector,'Summarized Source Data'!U$2,TimeOfWeek,$E364)*INDEX(About!Q$79:Q$82,MATCH($B364,About!$A$79:$A$82,0),1)</f>
        <v>2564862</v>
      </c>
      <c r="V364" s="33">
        <f>SUMIFS(INDEX(Load,,MATCH('Summarized Source Data'!$C364,Hour,0)),Month,'Summarized Source Data'!$A364,Sector,'Summarized Source Data'!V$2,TimeOfWeek,$E364)*INDEX(About!R$79:R$82,MATCH($B364,About!$A$79:$A$82,0),1)</f>
        <v>2564862</v>
      </c>
      <c r="W364" s="33">
        <f>SUMIFS(INDEX(Load,,MATCH('Summarized Source Data'!$C364,Hour,0)),Month,'Summarized Source Data'!$A364,Sector,'Summarized Source Data'!W$2,TimeOfWeek,$E364)*INDEX(About!S$79:S$82,MATCH($B364,About!$A$79:$A$82,0),1)</f>
        <v>2564862</v>
      </c>
      <c r="X364" s="27">
        <f>SUMIFS(INDEX(Load,,MATCH('Summarized Source Data'!$C364,Hour,0)),Month,'Summarized Source Data'!$A364,Sector,'Summarized Source Data'!X$2,Subsector,'Summarized Source Data'!X$3,TimeOfWeek,$E364)*INDEX(About!T$79:T$82,MATCH($B364,About!$A$79:$A$82,0),1)</f>
        <v>331000000</v>
      </c>
      <c r="Y364" s="29">
        <f t="shared" si="29"/>
        <v>331000000</v>
      </c>
      <c r="Z364" s="29">
        <f t="shared" si="29"/>
        <v>331000000</v>
      </c>
    </row>
    <row r="365" spans="1:26" x14ac:dyDescent="0.3">
      <c r="A365">
        <f t="shared" si="30"/>
        <v>4</v>
      </c>
      <c r="B365" t="str">
        <f>INDEX('Category Mapping'!$G$28:$G$39,MATCH(A365,'Category Mapping'!$A$28:$A$39,0),1)</f>
        <v>Spring</v>
      </c>
      <c r="C365" t="s">
        <v>64</v>
      </c>
      <c r="D365" s="6" t="s">
        <v>139</v>
      </c>
      <c r="E365" s="46" t="s">
        <v>48</v>
      </c>
      <c r="F365" s="27">
        <f>SUMIFS(INDEX(Load,,MATCH('Summarized Source Data'!$C365,Hour,0)),Month,'Summarized Source Data'!$A365,Sector,'Summarized Source Data'!F$2,Subsector,'Summarized Source Data'!F$3,TimeOfWeek,$E365)*INDEX(About!B$79:B$82,MATCH($B365,About!$A$79:$A$82,0),1)</f>
        <v>3105374</v>
      </c>
      <c r="G365" s="27">
        <f>SUMIFS(INDEX(Load,,MATCH('Summarized Source Data'!$C365,Hour,0)),Month,'Summarized Source Data'!$A365,Sector,'Summarized Source Data'!G$2,Subsector,'Summarized Source Data'!G$3,TimeOfWeek,$E365)*INDEX(About!C$79:C$82,MATCH($B365,About!$A$79:$A$82,0),1)</f>
        <v>16104</v>
      </c>
      <c r="H365" s="27">
        <f>SUMIFS(INDEX(Load,,MATCH('Summarized Source Data'!$C365,Hour,0)),Month,'Summarized Source Data'!$A365,Sector,'Summarized Source Data'!H$2,Subsector,'Summarized Source Data'!H$3,TimeOfWeek,$E365)*INDEX(About!D$79:D$82,MATCH($B365,About!$A$79:$A$82,0),1)</f>
        <v>0</v>
      </c>
      <c r="I365" s="27">
        <f>SUMIFS(INDEX(Load,,MATCH('Summarized Source Data'!$C365,Hour,0)),Month,'Summarized Source Data'!$A365,Sector,'Summarized Source Data'!I$2,Subsector,'Summarized Source Data'!I$3,TimeOfWeek,$E365)*INDEX(About!E$79:E$82,MATCH($B365,About!$A$79:$A$82,0),1)</f>
        <v>5305951</v>
      </c>
      <c r="J365" s="54">
        <f t="shared" si="26"/>
        <v>28972571</v>
      </c>
      <c r="K365" s="27">
        <f>(SUMIFS(INDEX(Load,,MATCH('Summarized Source Data'!$C365,Hour,0)),Month,'Summarized Source Data'!$A365,Sector,'Summarized Source Data'!K$2,Subsector,"Total",TimeOfWeek,$E365)-SUM(F365:I365))*INDEX(About!G$79:G$82,MATCH($B365,About!$A$79:$A$82,0),1)</f>
        <v>28972571</v>
      </c>
      <c r="L365" s="27">
        <f>SUMIFS(INDEX(Load,,MATCH('Summarized Source Data'!$C365,Hour,0)),Month,'Summarized Source Data'!$A365,Sector,'Summarized Source Data'!L$2,Subsector,'Summarized Source Data'!L$3,TimeOfWeek,$E365)*INDEX(About!H$79:H$82,MATCH($B365,About!$A$79:$A$82,0),1)</f>
        <v>4671067</v>
      </c>
      <c r="M365" s="27">
        <f>SUMIFS(INDEX(Load,,MATCH('Summarized Source Data'!$C365,Hour,0)),Month,'Summarized Source Data'!$A365,Sector,'Summarized Source Data'!M$2,Subsector,'Summarized Source Data'!M$3,TimeOfWeek,$E365)*INDEX(About!I$79:I$82,MATCH($B365,About!$A$79:$A$82,0),1)</f>
        <v>225847</v>
      </c>
      <c r="N365" s="27">
        <f>SUMIFS(INDEX(Load,,MATCH('Summarized Source Data'!$C365,Hour,0)),Month,'Summarized Source Data'!$A365,Sector,'Summarized Source Data'!N$2,Subsector,'Summarized Source Data'!N$3,TimeOfWeek,$E365)*INDEX(About!J$79:J$82,MATCH($B365,About!$A$79:$A$82,0),1)</f>
        <v>0</v>
      </c>
      <c r="O365" s="29">
        <f t="shared" si="27"/>
        <v>67703086</v>
      </c>
      <c r="P365" s="27">
        <f>(SUMIFS(INDEX(Load,,MATCH('Summarized Source Data'!$C365,Hour,0)),Month,'Summarized Source Data'!$A365,Sector,'Summarized Source Data'!P$2,Subsector,"Total",TimeOfWeek,$E365)-SUM(L365:N365)*INDEX(About!L$79:L$82,MATCH($B365,About!$A$79:$A$82,0),1))</f>
        <v>67703086</v>
      </c>
      <c r="Q365" s="29">
        <f t="shared" si="28"/>
        <v>67703086</v>
      </c>
      <c r="R365" s="33">
        <f>SUMIFS(INDEX(Load,,MATCH('Summarized Source Data'!$C365,Hour,0)),Month,'Summarized Source Data'!$A365,Sector,'Summarized Source Data'!R$2,TimeOfWeek,$E365)*INDEX(About!N$79:N$82,MATCH($B365,About!$A$79:$A$82,0),1)</f>
        <v>2436042</v>
      </c>
      <c r="S365" s="33">
        <f>SUMIFS(INDEX(Load,,MATCH('Summarized Source Data'!$C365,Hour,0)),Month,'Summarized Source Data'!$A365,Sector,'Summarized Source Data'!S$2,TimeOfWeek,$E365)*INDEX(About!O$79:O$82,MATCH($B365,About!$A$79:$A$82,0),1)</f>
        <v>2436042</v>
      </c>
      <c r="T365" s="33">
        <f>SUMIFS(INDEX(Load,,MATCH('Summarized Source Data'!$C365,Hour,0)),Month,'Summarized Source Data'!$A365,Sector,'Summarized Source Data'!T$2,TimeOfWeek,$E365)*INDEX(About!P$79:P$82,MATCH($B365,About!$A$79:$A$82,0),1)</f>
        <v>2436042</v>
      </c>
      <c r="U365" s="33">
        <f>SUMIFS(INDEX(Load,,MATCH('Summarized Source Data'!$C365,Hour,0)),Month,'Summarized Source Data'!$A365,Sector,'Summarized Source Data'!U$2,TimeOfWeek,$E365)*INDEX(About!Q$79:Q$82,MATCH($B365,About!$A$79:$A$82,0),1)</f>
        <v>2436042</v>
      </c>
      <c r="V365" s="33">
        <f>SUMIFS(INDEX(Load,,MATCH('Summarized Source Data'!$C365,Hour,0)),Month,'Summarized Source Data'!$A365,Sector,'Summarized Source Data'!V$2,TimeOfWeek,$E365)*INDEX(About!R$79:R$82,MATCH($B365,About!$A$79:$A$82,0),1)</f>
        <v>2436042</v>
      </c>
      <c r="W365" s="33">
        <f>SUMIFS(INDEX(Load,,MATCH('Summarized Source Data'!$C365,Hour,0)),Month,'Summarized Source Data'!$A365,Sector,'Summarized Source Data'!W$2,TimeOfWeek,$E365)*INDEX(About!S$79:S$82,MATCH($B365,About!$A$79:$A$82,0),1)</f>
        <v>2436042</v>
      </c>
      <c r="X365" s="27">
        <f>SUMIFS(INDEX(Load,,MATCH('Summarized Source Data'!$C365,Hour,0)),Month,'Summarized Source Data'!$A365,Sector,'Summarized Source Data'!X$2,Subsector,'Summarized Source Data'!X$3,TimeOfWeek,$E365)*INDEX(About!T$79:T$82,MATCH($B365,About!$A$79:$A$82,0),1)</f>
        <v>330000000</v>
      </c>
      <c r="Y365" s="29">
        <f t="shared" si="29"/>
        <v>330000000</v>
      </c>
      <c r="Z365" s="29">
        <f t="shared" si="29"/>
        <v>330000000</v>
      </c>
    </row>
    <row r="366" spans="1:26" x14ac:dyDescent="0.3">
      <c r="A366">
        <f t="shared" si="30"/>
        <v>4</v>
      </c>
      <c r="B366" t="str">
        <f>INDEX('Category Mapping'!$G$28:$G$39,MATCH(A366,'Category Mapping'!$A$28:$A$39,0),1)</f>
        <v>Spring</v>
      </c>
      <c r="C366" t="s">
        <v>65</v>
      </c>
      <c r="D366" s="6" t="s">
        <v>140</v>
      </c>
      <c r="E366" s="46" t="s">
        <v>48</v>
      </c>
      <c r="F366" s="27">
        <f>SUMIFS(INDEX(Load,,MATCH('Summarized Source Data'!$C366,Hour,0)),Month,'Summarized Source Data'!$A366,Sector,'Summarized Source Data'!F$2,Subsector,'Summarized Source Data'!F$3,TimeOfWeek,$E366)*INDEX(About!B$79:B$82,MATCH($B366,About!$A$79:$A$82,0),1)</f>
        <v>3142402</v>
      </c>
      <c r="G366" s="27">
        <f>SUMIFS(INDEX(Load,,MATCH('Summarized Source Data'!$C366,Hour,0)),Month,'Summarized Source Data'!$A366,Sector,'Summarized Source Data'!G$2,Subsector,'Summarized Source Data'!G$3,TimeOfWeek,$E366)*INDEX(About!C$79:C$82,MATCH($B366,About!$A$79:$A$82,0),1)</f>
        <v>16317</v>
      </c>
      <c r="H366" s="27">
        <f>SUMIFS(INDEX(Load,,MATCH('Summarized Source Data'!$C366,Hour,0)),Month,'Summarized Source Data'!$A366,Sector,'Summarized Source Data'!H$2,Subsector,'Summarized Source Data'!H$3,TimeOfWeek,$E366)*INDEX(About!D$79:D$82,MATCH($B366,About!$A$79:$A$82,0),1)</f>
        <v>0</v>
      </c>
      <c r="I366" s="27">
        <f>SUMIFS(INDEX(Load,,MATCH('Summarized Source Data'!$C366,Hour,0)),Month,'Summarized Source Data'!$A366,Sector,'Summarized Source Data'!I$2,Subsector,'Summarized Source Data'!I$3,TimeOfWeek,$E366)*INDEX(About!E$79:E$82,MATCH($B366,About!$A$79:$A$82,0),1)</f>
        <v>5124595</v>
      </c>
      <c r="J366" s="54">
        <f t="shared" si="26"/>
        <v>22616686</v>
      </c>
      <c r="K366" s="27">
        <f>(SUMIFS(INDEX(Load,,MATCH('Summarized Source Data'!$C366,Hour,0)),Month,'Summarized Source Data'!$A366,Sector,'Summarized Source Data'!K$2,Subsector,"Total",TimeOfWeek,$E366)-SUM(F366:I366))*INDEX(About!G$79:G$82,MATCH($B366,About!$A$79:$A$82,0),1)</f>
        <v>22616686</v>
      </c>
      <c r="L366" s="27">
        <f>SUMIFS(INDEX(Load,,MATCH('Summarized Source Data'!$C366,Hour,0)),Month,'Summarized Source Data'!$A366,Sector,'Summarized Source Data'!L$2,Subsector,'Summarized Source Data'!L$3,TimeOfWeek,$E366)*INDEX(About!H$79:H$82,MATCH($B366,About!$A$79:$A$82,0),1)</f>
        <v>4745185</v>
      </c>
      <c r="M366" s="27">
        <f>SUMIFS(INDEX(Load,,MATCH('Summarized Source Data'!$C366,Hour,0)),Month,'Summarized Source Data'!$A366,Sector,'Summarized Source Data'!M$2,Subsector,'Summarized Source Data'!M$3,TimeOfWeek,$E366)*INDEX(About!I$79:I$82,MATCH($B366,About!$A$79:$A$82,0),1)</f>
        <v>223799</v>
      </c>
      <c r="N366" s="27">
        <f>SUMIFS(INDEX(Load,,MATCH('Summarized Source Data'!$C366,Hour,0)),Month,'Summarized Source Data'!$A366,Sector,'Summarized Source Data'!N$2,Subsector,'Summarized Source Data'!N$3,TimeOfWeek,$E366)*INDEX(About!J$79:J$82,MATCH($B366,About!$A$79:$A$82,0),1)</f>
        <v>0</v>
      </c>
      <c r="O366" s="29">
        <f t="shared" si="27"/>
        <v>66831016</v>
      </c>
      <c r="P366" s="27">
        <f>(SUMIFS(INDEX(Load,,MATCH('Summarized Source Data'!$C366,Hour,0)),Month,'Summarized Source Data'!$A366,Sector,'Summarized Source Data'!P$2,Subsector,"Total",TimeOfWeek,$E366)-SUM(L366:N366)*INDEX(About!L$79:L$82,MATCH($B366,About!$A$79:$A$82,0),1))</f>
        <v>66831016</v>
      </c>
      <c r="Q366" s="29">
        <f t="shared" si="28"/>
        <v>66831016</v>
      </c>
      <c r="R366" s="33">
        <f>SUMIFS(INDEX(Load,,MATCH('Summarized Source Data'!$C366,Hour,0)),Month,'Summarized Source Data'!$A366,Sector,'Summarized Source Data'!R$2,TimeOfWeek,$E366)*INDEX(About!N$79:N$82,MATCH($B366,About!$A$79:$A$82,0),1)</f>
        <v>2400909</v>
      </c>
      <c r="S366" s="33">
        <f>SUMIFS(INDEX(Load,,MATCH('Summarized Source Data'!$C366,Hour,0)),Month,'Summarized Source Data'!$A366,Sector,'Summarized Source Data'!S$2,TimeOfWeek,$E366)*INDEX(About!O$79:O$82,MATCH($B366,About!$A$79:$A$82,0),1)</f>
        <v>2400909</v>
      </c>
      <c r="T366" s="33">
        <f>SUMIFS(INDEX(Load,,MATCH('Summarized Source Data'!$C366,Hour,0)),Month,'Summarized Source Data'!$A366,Sector,'Summarized Source Data'!T$2,TimeOfWeek,$E366)*INDEX(About!P$79:P$82,MATCH($B366,About!$A$79:$A$82,0),1)</f>
        <v>2400909</v>
      </c>
      <c r="U366" s="33">
        <f>SUMIFS(INDEX(Load,,MATCH('Summarized Source Data'!$C366,Hour,0)),Month,'Summarized Source Data'!$A366,Sector,'Summarized Source Data'!U$2,TimeOfWeek,$E366)*INDEX(About!Q$79:Q$82,MATCH($B366,About!$A$79:$A$82,0),1)</f>
        <v>2400909</v>
      </c>
      <c r="V366" s="33">
        <f>SUMIFS(INDEX(Load,,MATCH('Summarized Source Data'!$C366,Hour,0)),Month,'Summarized Source Data'!$A366,Sector,'Summarized Source Data'!V$2,TimeOfWeek,$E366)*INDEX(About!R$79:R$82,MATCH($B366,About!$A$79:$A$82,0),1)</f>
        <v>2400909</v>
      </c>
      <c r="W366" s="33">
        <f>SUMIFS(INDEX(Load,,MATCH('Summarized Source Data'!$C366,Hour,0)),Month,'Summarized Source Data'!$A366,Sector,'Summarized Source Data'!W$2,TimeOfWeek,$E366)*INDEX(About!S$79:S$82,MATCH($B366,About!$A$79:$A$82,0),1)</f>
        <v>2400909</v>
      </c>
      <c r="X366" s="27">
        <f>SUMIFS(INDEX(Load,,MATCH('Summarized Source Data'!$C366,Hour,0)),Month,'Summarized Source Data'!$A366,Sector,'Summarized Source Data'!X$2,Subsector,'Summarized Source Data'!X$3,TimeOfWeek,$E366)*INDEX(About!T$79:T$82,MATCH($B366,About!$A$79:$A$82,0),1)</f>
        <v>331000000</v>
      </c>
      <c r="Y366" s="29">
        <f t="shared" si="29"/>
        <v>331000000</v>
      </c>
      <c r="Z366" s="29">
        <f t="shared" si="29"/>
        <v>331000000</v>
      </c>
    </row>
    <row r="367" spans="1:26" x14ac:dyDescent="0.3">
      <c r="A367">
        <f t="shared" si="30"/>
        <v>4</v>
      </c>
      <c r="B367" t="str">
        <f>INDEX('Category Mapping'!$G$28:$G$39,MATCH(A367,'Category Mapping'!$A$28:$A$39,0),1)</f>
        <v>Spring</v>
      </c>
      <c r="C367" t="s">
        <v>66</v>
      </c>
      <c r="D367" s="6" t="s">
        <v>141</v>
      </c>
      <c r="E367" s="46" t="s">
        <v>48</v>
      </c>
      <c r="F367" s="27">
        <f>SUMIFS(INDEX(Load,,MATCH('Summarized Source Data'!$C367,Hour,0)),Month,'Summarized Source Data'!$A367,Sector,'Summarized Source Data'!F$2,Subsector,'Summarized Source Data'!F$3,TimeOfWeek,$E367)*INDEX(About!B$79:B$82,MATCH($B367,About!$A$79:$A$82,0),1)</f>
        <v>3105374</v>
      </c>
      <c r="G367" s="27">
        <f>SUMIFS(INDEX(Load,,MATCH('Summarized Source Data'!$C367,Hour,0)),Month,'Summarized Source Data'!$A367,Sector,'Summarized Source Data'!G$2,Subsector,'Summarized Source Data'!G$3,TimeOfWeek,$E367)*INDEX(About!C$79:C$82,MATCH($B367,About!$A$79:$A$82,0),1)</f>
        <v>16349</v>
      </c>
      <c r="H367" s="27">
        <f>SUMIFS(INDEX(Load,,MATCH('Summarized Source Data'!$C367,Hour,0)),Month,'Summarized Source Data'!$A367,Sector,'Summarized Source Data'!H$2,Subsector,'Summarized Source Data'!H$3,TimeOfWeek,$E367)*INDEX(About!D$79:D$82,MATCH($B367,About!$A$79:$A$82,0),1)</f>
        <v>0</v>
      </c>
      <c r="I367" s="27">
        <f>SUMIFS(INDEX(Load,,MATCH('Summarized Source Data'!$C367,Hour,0)),Month,'Summarized Source Data'!$A367,Sector,'Summarized Source Data'!I$2,Subsector,'Summarized Source Data'!I$3,TimeOfWeek,$E367)*INDEX(About!E$79:E$82,MATCH($B367,About!$A$79:$A$82,0),1)</f>
        <v>5120269</v>
      </c>
      <c r="J367" s="54">
        <f t="shared" si="26"/>
        <v>18658008</v>
      </c>
      <c r="K367" s="27">
        <f>(SUMIFS(INDEX(Load,,MATCH('Summarized Source Data'!$C367,Hour,0)),Month,'Summarized Source Data'!$A367,Sector,'Summarized Source Data'!K$2,Subsector,"Total",TimeOfWeek,$E367)-SUM(F367:I367))*INDEX(About!G$79:G$82,MATCH($B367,About!$A$79:$A$82,0),1)</f>
        <v>18658008</v>
      </c>
      <c r="L367" s="27">
        <f>SUMIFS(INDEX(Load,,MATCH('Summarized Source Data'!$C367,Hour,0)),Month,'Summarized Source Data'!$A367,Sector,'Summarized Source Data'!L$2,Subsector,'Summarized Source Data'!L$3,TimeOfWeek,$E367)*INDEX(About!H$79:H$82,MATCH($B367,About!$A$79:$A$82,0),1)</f>
        <v>4827337</v>
      </c>
      <c r="M367" s="27">
        <f>SUMIFS(INDEX(Load,,MATCH('Summarized Source Data'!$C367,Hour,0)),Month,'Summarized Source Data'!$A367,Sector,'Summarized Source Data'!M$2,Subsector,'Summarized Source Data'!M$3,TimeOfWeek,$E367)*INDEX(About!I$79:I$82,MATCH($B367,About!$A$79:$A$82,0),1)</f>
        <v>222643</v>
      </c>
      <c r="N367" s="27">
        <f>SUMIFS(INDEX(Load,,MATCH('Summarized Source Data'!$C367,Hour,0)),Month,'Summarized Source Data'!$A367,Sector,'Summarized Source Data'!N$2,Subsector,'Summarized Source Data'!N$3,TimeOfWeek,$E367)*INDEX(About!J$79:J$82,MATCH($B367,About!$A$79:$A$82,0),1)</f>
        <v>0</v>
      </c>
      <c r="O367" s="29">
        <f t="shared" si="27"/>
        <v>67550020</v>
      </c>
      <c r="P367" s="27">
        <f>(SUMIFS(INDEX(Load,,MATCH('Summarized Source Data'!$C367,Hour,0)),Month,'Summarized Source Data'!$A367,Sector,'Summarized Source Data'!P$2,Subsector,"Total",TimeOfWeek,$E367)-SUM(L367:N367)*INDEX(About!L$79:L$82,MATCH($B367,About!$A$79:$A$82,0),1))</f>
        <v>67550020</v>
      </c>
      <c r="Q367" s="29">
        <f t="shared" si="28"/>
        <v>67550020</v>
      </c>
      <c r="R367" s="33">
        <f>SUMIFS(INDEX(Load,,MATCH('Summarized Source Data'!$C367,Hour,0)),Month,'Summarized Source Data'!$A367,Sector,'Summarized Source Data'!R$2,TimeOfWeek,$E367)*INDEX(About!N$79:N$82,MATCH($B367,About!$A$79:$A$82,0),1)</f>
        <v>2400909</v>
      </c>
      <c r="S367" s="33">
        <f>SUMIFS(INDEX(Load,,MATCH('Summarized Source Data'!$C367,Hour,0)),Month,'Summarized Source Data'!$A367,Sector,'Summarized Source Data'!S$2,TimeOfWeek,$E367)*INDEX(About!O$79:O$82,MATCH($B367,About!$A$79:$A$82,0),1)</f>
        <v>2400909</v>
      </c>
      <c r="T367" s="33">
        <f>SUMIFS(INDEX(Load,,MATCH('Summarized Source Data'!$C367,Hour,0)),Month,'Summarized Source Data'!$A367,Sector,'Summarized Source Data'!T$2,TimeOfWeek,$E367)*INDEX(About!P$79:P$82,MATCH($B367,About!$A$79:$A$82,0),1)</f>
        <v>2400909</v>
      </c>
      <c r="U367" s="33">
        <f>SUMIFS(INDEX(Load,,MATCH('Summarized Source Data'!$C367,Hour,0)),Month,'Summarized Source Data'!$A367,Sector,'Summarized Source Data'!U$2,TimeOfWeek,$E367)*INDEX(About!Q$79:Q$82,MATCH($B367,About!$A$79:$A$82,0),1)</f>
        <v>2400909</v>
      </c>
      <c r="V367" s="33">
        <f>SUMIFS(INDEX(Load,,MATCH('Summarized Source Data'!$C367,Hour,0)),Month,'Summarized Source Data'!$A367,Sector,'Summarized Source Data'!V$2,TimeOfWeek,$E367)*INDEX(About!R$79:R$82,MATCH($B367,About!$A$79:$A$82,0),1)</f>
        <v>2400909</v>
      </c>
      <c r="W367" s="33">
        <f>SUMIFS(INDEX(Load,,MATCH('Summarized Source Data'!$C367,Hour,0)),Month,'Summarized Source Data'!$A367,Sector,'Summarized Source Data'!W$2,TimeOfWeek,$E367)*INDEX(About!S$79:S$82,MATCH($B367,About!$A$79:$A$82,0),1)</f>
        <v>2400909</v>
      </c>
      <c r="X367" s="27">
        <f>SUMIFS(INDEX(Load,,MATCH('Summarized Source Data'!$C367,Hour,0)),Month,'Summarized Source Data'!$A367,Sector,'Summarized Source Data'!X$2,Subsector,'Summarized Source Data'!X$3,TimeOfWeek,$E367)*INDEX(About!T$79:T$82,MATCH($B367,About!$A$79:$A$82,0),1)</f>
        <v>331000000</v>
      </c>
      <c r="Y367" s="29">
        <f t="shared" si="29"/>
        <v>331000000</v>
      </c>
      <c r="Z367" s="29">
        <f t="shared" si="29"/>
        <v>331000000</v>
      </c>
    </row>
    <row r="368" spans="1:26" x14ac:dyDescent="0.3">
      <c r="A368">
        <f t="shared" si="30"/>
        <v>4</v>
      </c>
      <c r="B368" t="str">
        <f>INDEX('Category Mapping'!$G$28:$G$39,MATCH(A368,'Category Mapping'!$A$28:$A$39,0),1)</f>
        <v>Spring</v>
      </c>
      <c r="C368" t="s">
        <v>67</v>
      </c>
      <c r="D368" s="6" t="s">
        <v>142</v>
      </c>
      <c r="E368" s="46" t="s">
        <v>48</v>
      </c>
      <c r="F368" s="27">
        <f>SUMIFS(INDEX(Load,,MATCH('Summarized Source Data'!$C368,Hour,0)),Month,'Summarized Source Data'!$A368,Sector,'Summarized Source Data'!F$2,Subsector,'Summarized Source Data'!F$3,TimeOfWeek,$E368)*INDEX(About!B$79:B$82,MATCH($B368,About!$A$79:$A$82,0),1)</f>
        <v>2996652</v>
      </c>
      <c r="G368" s="27">
        <f>SUMIFS(INDEX(Load,,MATCH('Summarized Source Data'!$C368,Hour,0)),Month,'Summarized Source Data'!$A368,Sector,'Summarized Source Data'!G$2,Subsector,'Summarized Source Data'!G$3,TimeOfWeek,$E368)*INDEX(About!C$79:C$82,MATCH($B368,About!$A$79:$A$82,0),1)</f>
        <v>16296</v>
      </c>
      <c r="H368" s="27">
        <f>SUMIFS(INDEX(Load,,MATCH('Summarized Source Data'!$C368,Hour,0)),Month,'Summarized Source Data'!$A368,Sector,'Summarized Source Data'!H$2,Subsector,'Summarized Source Data'!H$3,TimeOfWeek,$E368)*INDEX(About!D$79:D$82,MATCH($B368,About!$A$79:$A$82,0),1)</f>
        <v>0</v>
      </c>
      <c r="I368" s="27">
        <f>SUMIFS(INDEX(Load,,MATCH('Summarized Source Data'!$C368,Hour,0)),Month,'Summarized Source Data'!$A368,Sector,'Summarized Source Data'!I$2,Subsector,'Summarized Source Data'!I$3,TimeOfWeek,$E368)*INDEX(About!E$79:E$82,MATCH($B368,About!$A$79:$A$82,0),1)</f>
        <v>5389575</v>
      </c>
      <c r="J368" s="54">
        <f t="shared" si="26"/>
        <v>19097477</v>
      </c>
      <c r="K368" s="27">
        <f>(SUMIFS(INDEX(Load,,MATCH('Summarized Source Data'!$C368,Hour,0)),Month,'Summarized Source Data'!$A368,Sector,'Summarized Source Data'!K$2,Subsector,"Total",TimeOfWeek,$E368)-SUM(F368:I368))*INDEX(About!G$79:G$82,MATCH($B368,About!$A$79:$A$82,0),1)</f>
        <v>19097477</v>
      </c>
      <c r="L368" s="27">
        <f>SUMIFS(INDEX(Load,,MATCH('Summarized Source Data'!$C368,Hour,0)),Month,'Summarized Source Data'!$A368,Sector,'Summarized Source Data'!L$2,Subsector,'Summarized Source Data'!L$3,TimeOfWeek,$E368)*INDEX(About!H$79:H$82,MATCH($B368,About!$A$79:$A$82,0),1)</f>
        <v>4816634</v>
      </c>
      <c r="M368" s="27">
        <f>SUMIFS(INDEX(Load,,MATCH('Summarized Source Data'!$C368,Hour,0)),Month,'Summarized Source Data'!$A368,Sector,'Summarized Source Data'!M$2,Subsector,'Summarized Source Data'!M$3,TimeOfWeek,$E368)*INDEX(About!I$79:I$82,MATCH($B368,About!$A$79:$A$82,0),1)</f>
        <v>222395</v>
      </c>
      <c r="N368" s="27">
        <f>SUMIFS(INDEX(Load,,MATCH('Summarized Source Data'!$C368,Hour,0)),Month,'Summarized Source Data'!$A368,Sector,'Summarized Source Data'!N$2,Subsector,'Summarized Source Data'!N$3,TimeOfWeek,$E368)*INDEX(About!J$79:J$82,MATCH($B368,About!$A$79:$A$82,0),1)</f>
        <v>0</v>
      </c>
      <c r="O368" s="29">
        <f t="shared" si="27"/>
        <v>68460971</v>
      </c>
      <c r="P368" s="27">
        <f>(SUMIFS(INDEX(Load,,MATCH('Summarized Source Data'!$C368,Hour,0)),Month,'Summarized Source Data'!$A368,Sector,'Summarized Source Data'!P$2,Subsector,"Total",TimeOfWeek,$E368)-SUM(L368:N368)*INDEX(About!L$79:L$82,MATCH($B368,About!$A$79:$A$82,0),1))</f>
        <v>68460971</v>
      </c>
      <c r="Q368" s="29">
        <f t="shared" si="28"/>
        <v>68460971</v>
      </c>
      <c r="R368" s="33">
        <f>SUMIFS(INDEX(Load,,MATCH('Summarized Source Data'!$C368,Hour,0)),Month,'Summarized Source Data'!$A368,Sector,'Summarized Source Data'!R$2,TimeOfWeek,$E368)*INDEX(About!N$79:N$82,MATCH($B368,About!$A$79:$A$82,0),1)</f>
        <v>2389198</v>
      </c>
      <c r="S368" s="33">
        <f>SUMIFS(INDEX(Load,,MATCH('Summarized Source Data'!$C368,Hour,0)),Month,'Summarized Source Data'!$A368,Sector,'Summarized Source Data'!S$2,TimeOfWeek,$E368)*INDEX(About!O$79:O$82,MATCH($B368,About!$A$79:$A$82,0),1)</f>
        <v>2389198</v>
      </c>
      <c r="T368" s="33">
        <f>SUMIFS(INDEX(Load,,MATCH('Summarized Source Data'!$C368,Hour,0)),Month,'Summarized Source Data'!$A368,Sector,'Summarized Source Data'!T$2,TimeOfWeek,$E368)*INDEX(About!P$79:P$82,MATCH($B368,About!$A$79:$A$82,0),1)</f>
        <v>2389198</v>
      </c>
      <c r="U368" s="33">
        <f>SUMIFS(INDEX(Load,,MATCH('Summarized Source Data'!$C368,Hour,0)),Month,'Summarized Source Data'!$A368,Sector,'Summarized Source Data'!U$2,TimeOfWeek,$E368)*INDEX(About!Q$79:Q$82,MATCH($B368,About!$A$79:$A$82,0),1)</f>
        <v>2389198</v>
      </c>
      <c r="V368" s="33">
        <f>SUMIFS(INDEX(Load,,MATCH('Summarized Source Data'!$C368,Hour,0)),Month,'Summarized Source Data'!$A368,Sector,'Summarized Source Data'!V$2,TimeOfWeek,$E368)*INDEX(About!R$79:R$82,MATCH($B368,About!$A$79:$A$82,0),1)</f>
        <v>2389198</v>
      </c>
      <c r="W368" s="33">
        <f>SUMIFS(INDEX(Load,,MATCH('Summarized Source Data'!$C368,Hour,0)),Month,'Summarized Source Data'!$A368,Sector,'Summarized Source Data'!W$2,TimeOfWeek,$E368)*INDEX(About!S$79:S$82,MATCH($B368,About!$A$79:$A$82,0),1)</f>
        <v>2389198</v>
      </c>
      <c r="X368" s="27">
        <f>SUMIFS(INDEX(Load,,MATCH('Summarized Source Data'!$C368,Hour,0)),Month,'Summarized Source Data'!$A368,Sector,'Summarized Source Data'!X$2,Subsector,'Summarized Source Data'!X$3,TimeOfWeek,$E368)*INDEX(About!T$79:T$82,MATCH($B368,About!$A$79:$A$82,0),1)</f>
        <v>333000000</v>
      </c>
      <c r="Y368" s="29">
        <f t="shared" si="29"/>
        <v>333000000</v>
      </c>
      <c r="Z368" s="29">
        <f t="shared" si="29"/>
        <v>333000000</v>
      </c>
    </row>
    <row r="369" spans="1:26" x14ac:dyDescent="0.3">
      <c r="A369">
        <f t="shared" si="30"/>
        <v>4</v>
      </c>
      <c r="B369" t="str">
        <f>INDEX('Category Mapping'!$G$28:$G$39,MATCH(A369,'Category Mapping'!$A$28:$A$39,0),1)</f>
        <v>Spring</v>
      </c>
      <c r="C369" t="s">
        <v>68</v>
      </c>
      <c r="D369" s="6" t="s">
        <v>143</v>
      </c>
      <c r="E369" s="46" t="s">
        <v>48</v>
      </c>
      <c r="F369" s="27">
        <f>SUMIFS(INDEX(Load,,MATCH('Summarized Source Data'!$C369,Hour,0)),Month,'Summarized Source Data'!$A369,Sector,'Summarized Source Data'!F$2,Subsector,'Summarized Source Data'!F$3,TimeOfWeek,$E369)*INDEX(About!B$79:B$82,MATCH($B369,About!$A$79:$A$82,0),1)</f>
        <v>3449882</v>
      </c>
      <c r="G369" s="27">
        <f>SUMIFS(INDEX(Load,,MATCH('Summarized Source Data'!$C369,Hour,0)),Month,'Summarized Source Data'!$A369,Sector,'Summarized Source Data'!G$2,Subsector,'Summarized Source Data'!G$3,TimeOfWeek,$E369)*INDEX(About!C$79:C$82,MATCH($B369,About!$A$79:$A$82,0),1)</f>
        <v>16004</v>
      </c>
      <c r="H369" s="27">
        <f>SUMIFS(INDEX(Load,,MATCH('Summarized Source Data'!$C369,Hour,0)),Month,'Summarized Source Data'!$A369,Sector,'Summarized Source Data'!H$2,Subsector,'Summarized Source Data'!H$3,TimeOfWeek,$E369)*INDEX(About!D$79:D$82,MATCH($B369,About!$A$79:$A$82,0),1)</f>
        <v>0</v>
      </c>
      <c r="I369" s="27">
        <f>SUMIFS(INDEX(Load,,MATCH('Summarized Source Data'!$C369,Hour,0)),Month,'Summarized Source Data'!$A369,Sector,'Summarized Source Data'!I$2,Subsector,'Summarized Source Data'!I$3,TimeOfWeek,$E369)*INDEX(About!E$79:E$82,MATCH($B369,About!$A$79:$A$82,0),1)</f>
        <v>6984697</v>
      </c>
      <c r="J369" s="54">
        <f t="shared" si="26"/>
        <v>22049417</v>
      </c>
      <c r="K369" s="27">
        <f>(SUMIFS(INDEX(Load,,MATCH('Summarized Source Data'!$C369,Hour,0)),Month,'Summarized Source Data'!$A369,Sector,'Summarized Source Data'!K$2,Subsector,"Total",TimeOfWeek,$E369)-SUM(F369:I369))*INDEX(About!G$79:G$82,MATCH($B369,About!$A$79:$A$82,0),1)</f>
        <v>22049417</v>
      </c>
      <c r="L369" s="27">
        <f>SUMIFS(INDEX(Load,,MATCH('Summarized Source Data'!$C369,Hour,0)),Month,'Summarized Source Data'!$A369,Sector,'Summarized Source Data'!L$2,Subsector,'Summarized Source Data'!L$3,TimeOfWeek,$E369)*INDEX(About!H$79:H$82,MATCH($B369,About!$A$79:$A$82,0),1)</f>
        <v>5718600</v>
      </c>
      <c r="M369" s="27">
        <f>SUMIFS(INDEX(Load,,MATCH('Summarized Source Data'!$C369,Hour,0)),Month,'Summarized Source Data'!$A369,Sector,'Summarized Source Data'!M$2,Subsector,'Summarized Source Data'!M$3,TimeOfWeek,$E369)*INDEX(About!I$79:I$82,MATCH($B369,About!$A$79:$A$82,0),1)</f>
        <v>224822</v>
      </c>
      <c r="N369" s="27">
        <f>SUMIFS(INDEX(Load,,MATCH('Summarized Source Data'!$C369,Hour,0)),Month,'Summarized Source Data'!$A369,Sector,'Summarized Source Data'!N$2,Subsector,'Summarized Source Data'!N$3,TimeOfWeek,$E369)*INDEX(About!J$79:J$82,MATCH($B369,About!$A$79:$A$82,0),1)</f>
        <v>0</v>
      </c>
      <c r="O369" s="29">
        <f t="shared" si="27"/>
        <v>73156578</v>
      </c>
      <c r="P369" s="27">
        <f>(SUMIFS(INDEX(Load,,MATCH('Summarized Source Data'!$C369,Hour,0)),Month,'Summarized Source Data'!$A369,Sector,'Summarized Source Data'!P$2,Subsector,"Total",TimeOfWeek,$E369)-SUM(L369:N369)*INDEX(About!L$79:L$82,MATCH($B369,About!$A$79:$A$82,0),1))</f>
        <v>73156578</v>
      </c>
      <c r="Q369" s="29">
        <f t="shared" si="28"/>
        <v>73156578</v>
      </c>
      <c r="R369" s="33">
        <f>SUMIFS(INDEX(Load,,MATCH('Summarized Source Data'!$C369,Hour,0)),Month,'Summarized Source Data'!$A369,Sector,'Summarized Source Data'!R$2,TimeOfWeek,$E369)*INDEX(About!N$79:N$82,MATCH($B369,About!$A$79:$A$82,0),1)</f>
        <v>2406765</v>
      </c>
      <c r="S369" s="33">
        <f>SUMIFS(INDEX(Load,,MATCH('Summarized Source Data'!$C369,Hour,0)),Month,'Summarized Source Data'!$A369,Sector,'Summarized Source Data'!S$2,TimeOfWeek,$E369)*INDEX(About!O$79:O$82,MATCH($B369,About!$A$79:$A$82,0),1)</f>
        <v>2406765</v>
      </c>
      <c r="T369" s="33">
        <f>SUMIFS(INDEX(Load,,MATCH('Summarized Source Data'!$C369,Hour,0)),Month,'Summarized Source Data'!$A369,Sector,'Summarized Source Data'!T$2,TimeOfWeek,$E369)*INDEX(About!P$79:P$82,MATCH($B369,About!$A$79:$A$82,0),1)</f>
        <v>2406765</v>
      </c>
      <c r="U369" s="33">
        <f>SUMIFS(INDEX(Load,,MATCH('Summarized Source Data'!$C369,Hour,0)),Month,'Summarized Source Data'!$A369,Sector,'Summarized Source Data'!U$2,TimeOfWeek,$E369)*INDEX(About!Q$79:Q$82,MATCH($B369,About!$A$79:$A$82,0),1)</f>
        <v>2406765</v>
      </c>
      <c r="V369" s="33">
        <f>SUMIFS(INDEX(Load,,MATCH('Summarized Source Data'!$C369,Hour,0)),Month,'Summarized Source Data'!$A369,Sector,'Summarized Source Data'!V$2,TimeOfWeek,$E369)*INDEX(About!R$79:R$82,MATCH($B369,About!$A$79:$A$82,0),1)</f>
        <v>2406765</v>
      </c>
      <c r="W369" s="33">
        <f>SUMIFS(INDEX(Load,,MATCH('Summarized Source Data'!$C369,Hour,0)),Month,'Summarized Source Data'!$A369,Sector,'Summarized Source Data'!W$2,TimeOfWeek,$E369)*INDEX(About!S$79:S$82,MATCH($B369,About!$A$79:$A$82,0),1)</f>
        <v>2406765</v>
      </c>
      <c r="X369" s="27">
        <f>SUMIFS(INDEX(Load,,MATCH('Summarized Source Data'!$C369,Hour,0)),Month,'Summarized Source Data'!$A369,Sector,'Summarized Source Data'!X$2,Subsector,'Summarized Source Data'!X$3,TimeOfWeek,$E369)*INDEX(About!T$79:T$82,MATCH($B369,About!$A$79:$A$82,0),1)</f>
        <v>337000000</v>
      </c>
      <c r="Y369" s="29">
        <f t="shared" si="29"/>
        <v>337000000</v>
      </c>
      <c r="Z369" s="29">
        <f t="shared" si="29"/>
        <v>337000000</v>
      </c>
    </row>
    <row r="370" spans="1:26" x14ac:dyDescent="0.3">
      <c r="A370">
        <f t="shared" si="30"/>
        <v>4</v>
      </c>
      <c r="B370" t="str">
        <f>INDEX('Category Mapping'!$G$28:$G$39,MATCH(A370,'Category Mapping'!$A$28:$A$39,0),1)</f>
        <v>Spring</v>
      </c>
      <c r="C370" t="s">
        <v>69</v>
      </c>
      <c r="D370" s="6" t="s">
        <v>144</v>
      </c>
      <c r="E370" s="46" t="s">
        <v>48</v>
      </c>
      <c r="F370" s="27">
        <f>SUMIFS(INDEX(Load,,MATCH('Summarized Source Data'!$C370,Hour,0)),Month,'Summarized Source Data'!$A370,Sector,'Summarized Source Data'!F$2,Subsector,'Summarized Source Data'!F$3,TimeOfWeek,$E370)*INDEX(About!B$79:B$82,MATCH($B370,About!$A$79:$A$82,0),1)</f>
        <v>3870788</v>
      </c>
      <c r="G370" s="27">
        <f>SUMIFS(INDEX(Load,,MATCH('Summarized Source Data'!$C370,Hour,0)),Month,'Summarized Source Data'!$A370,Sector,'Summarized Source Data'!G$2,Subsector,'Summarized Source Data'!G$3,TimeOfWeek,$E370)*INDEX(About!C$79:C$82,MATCH($B370,About!$A$79:$A$82,0),1)</f>
        <v>15364</v>
      </c>
      <c r="H370" s="27">
        <f>SUMIFS(INDEX(Load,,MATCH('Summarized Source Data'!$C370,Hour,0)),Month,'Summarized Source Data'!$A370,Sector,'Summarized Source Data'!H$2,Subsector,'Summarized Source Data'!H$3,TimeOfWeek,$E370)*INDEX(About!D$79:D$82,MATCH($B370,About!$A$79:$A$82,0),1)</f>
        <v>0</v>
      </c>
      <c r="I370" s="27">
        <f>SUMIFS(INDEX(Load,,MATCH('Summarized Source Data'!$C370,Hour,0)),Month,'Summarized Source Data'!$A370,Sector,'Summarized Source Data'!I$2,Subsector,'Summarized Source Data'!I$3,TimeOfWeek,$E370)*INDEX(About!E$79:E$82,MATCH($B370,About!$A$79:$A$82,0),1)</f>
        <v>5739201</v>
      </c>
      <c r="J370" s="54">
        <f t="shared" si="26"/>
        <v>32274647</v>
      </c>
      <c r="K370" s="27">
        <f>(SUMIFS(INDEX(Load,,MATCH('Summarized Source Data'!$C370,Hour,0)),Month,'Summarized Source Data'!$A370,Sector,'Summarized Source Data'!K$2,Subsector,"Total",TimeOfWeek,$E370)-SUM(F370:I370))*INDEX(About!G$79:G$82,MATCH($B370,About!$A$79:$A$82,0),1)</f>
        <v>32274647</v>
      </c>
      <c r="L370" s="27">
        <f>SUMIFS(INDEX(Load,,MATCH('Summarized Source Data'!$C370,Hour,0)),Month,'Summarized Source Data'!$A370,Sector,'Summarized Source Data'!L$2,Subsector,'Summarized Source Data'!L$3,TimeOfWeek,$E370)*INDEX(About!H$79:H$82,MATCH($B370,About!$A$79:$A$82,0),1)</f>
        <v>11500000</v>
      </c>
      <c r="M370" s="27">
        <f>SUMIFS(INDEX(Load,,MATCH('Summarized Source Data'!$C370,Hour,0)),Month,'Summarized Source Data'!$A370,Sector,'Summarized Source Data'!M$2,Subsector,'Summarized Source Data'!M$3,TimeOfWeek,$E370)*INDEX(About!I$79:I$82,MATCH($B370,About!$A$79:$A$82,0),1)</f>
        <v>233505</v>
      </c>
      <c r="N370" s="27">
        <f>SUMIFS(INDEX(Load,,MATCH('Summarized Source Data'!$C370,Hour,0)),Month,'Summarized Source Data'!$A370,Sector,'Summarized Source Data'!N$2,Subsector,'Summarized Source Data'!N$3,TimeOfWeek,$E370)*INDEX(About!J$79:J$82,MATCH($B370,About!$A$79:$A$82,0),1)</f>
        <v>0</v>
      </c>
      <c r="O370" s="29">
        <f t="shared" si="27"/>
        <v>81766495</v>
      </c>
      <c r="P370" s="27">
        <f>(SUMIFS(INDEX(Load,,MATCH('Summarized Source Data'!$C370,Hour,0)),Month,'Summarized Source Data'!$A370,Sector,'Summarized Source Data'!P$2,Subsector,"Total",TimeOfWeek,$E370)-SUM(L370:N370)*INDEX(About!L$79:L$82,MATCH($B370,About!$A$79:$A$82,0),1))</f>
        <v>81766495</v>
      </c>
      <c r="Q370" s="29">
        <f t="shared" si="28"/>
        <v>81766495</v>
      </c>
      <c r="R370" s="33">
        <f>SUMIFS(INDEX(Load,,MATCH('Summarized Source Data'!$C370,Hour,0)),Month,'Summarized Source Data'!$A370,Sector,'Summarized Source Data'!R$2,TimeOfWeek,$E370)*INDEX(About!N$79:N$82,MATCH($B370,About!$A$79:$A$82,0),1)</f>
        <v>2986883</v>
      </c>
      <c r="S370" s="33">
        <f>SUMIFS(INDEX(Load,,MATCH('Summarized Source Data'!$C370,Hour,0)),Month,'Summarized Source Data'!$A370,Sector,'Summarized Source Data'!S$2,TimeOfWeek,$E370)*INDEX(About!O$79:O$82,MATCH($B370,About!$A$79:$A$82,0),1)</f>
        <v>2986883</v>
      </c>
      <c r="T370" s="33">
        <f>SUMIFS(INDEX(Load,,MATCH('Summarized Source Data'!$C370,Hour,0)),Month,'Summarized Source Data'!$A370,Sector,'Summarized Source Data'!T$2,TimeOfWeek,$E370)*INDEX(About!P$79:P$82,MATCH($B370,About!$A$79:$A$82,0),1)</f>
        <v>2986883</v>
      </c>
      <c r="U370" s="33">
        <f>SUMIFS(INDEX(Load,,MATCH('Summarized Source Data'!$C370,Hour,0)),Month,'Summarized Source Data'!$A370,Sector,'Summarized Source Data'!U$2,TimeOfWeek,$E370)*INDEX(About!Q$79:Q$82,MATCH($B370,About!$A$79:$A$82,0),1)</f>
        <v>2986883</v>
      </c>
      <c r="V370" s="33">
        <f>SUMIFS(INDEX(Load,,MATCH('Summarized Source Data'!$C370,Hour,0)),Month,'Summarized Source Data'!$A370,Sector,'Summarized Source Data'!V$2,TimeOfWeek,$E370)*INDEX(About!R$79:R$82,MATCH($B370,About!$A$79:$A$82,0),1)</f>
        <v>2986883</v>
      </c>
      <c r="W370" s="33">
        <f>SUMIFS(INDEX(Load,,MATCH('Summarized Source Data'!$C370,Hour,0)),Month,'Summarized Source Data'!$A370,Sector,'Summarized Source Data'!W$2,TimeOfWeek,$E370)*INDEX(About!S$79:S$82,MATCH($B370,About!$A$79:$A$82,0),1)</f>
        <v>2986883</v>
      </c>
      <c r="X370" s="27">
        <f>SUMIFS(INDEX(Load,,MATCH('Summarized Source Data'!$C370,Hour,0)),Month,'Summarized Source Data'!$A370,Sector,'Summarized Source Data'!X$2,Subsector,'Summarized Source Data'!X$3,TimeOfWeek,$E370)*INDEX(About!T$79:T$82,MATCH($B370,About!$A$79:$A$82,0),1)</f>
        <v>338000000</v>
      </c>
      <c r="Y370" s="29">
        <f t="shared" si="29"/>
        <v>338000000</v>
      </c>
      <c r="Z370" s="29">
        <f t="shared" si="29"/>
        <v>338000000</v>
      </c>
    </row>
    <row r="371" spans="1:26" x14ac:dyDescent="0.3">
      <c r="A371">
        <f t="shared" si="30"/>
        <v>4</v>
      </c>
      <c r="B371" t="str">
        <f>INDEX('Category Mapping'!$G$28:$G$39,MATCH(A371,'Category Mapping'!$A$28:$A$39,0),1)</f>
        <v>Spring</v>
      </c>
      <c r="C371" t="s">
        <v>70</v>
      </c>
      <c r="D371" s="6" t="s">
        <v>145</v>
      </c>
      <c r="E371" s="46" t="s">
        <v>48</v>
      </c>
      <c r="F371" s="27">
        <f>SUMIFS(INDEX(Load,,MATCH('Summarized Source Data'!$C371,Hour,0)),Month,'Summarized Source Data'!$A371,Sector,'Summarized Source Data'!F$2,Subsector,'Summarized Source Data'!F$3,TimeOfWeek,$E371)*INDEX(About!B$79:B$82,MATCH($B371,About!$A$79:$A$82,0),1)</f>
        <v>4492762</v>
      </c>
      <c r="G371" s="27">
        <f>SUMIFS(INDEX(Load,,MATCH('Summarized Source Data'!$C371,Hour,0)),Month,'Summarized Source Data'!$A371,Sector,'Summarized Source Data'!G$2,Subsector,'Summarized Source Data'!G$3,TimeOfWeek,$E371)*INDEX(About!C$79:C$82,MATCH($B371,About!$A$79:$A$82,0),1)</f>
        <v>14281</v>
      </c>
      <c r="H371" s="27">
        <f>SUMIFS(INDEX(Load,,MATCH('Summarized Source Data'!$C371,Hour,0)),Month,'Summarized Source Data'!$A371,Sector,'Summarized Source Data'!H$2,Subsector,'Summarized Source Data'!H$3,TimeOfWeek,$E371)*INDEX(About!D$79:D$82,MATCH($B371,About!$A$79:$A$82,0),1)</f>
        <v>0</v>
      </c>
      <c r="I371" s="27">
        <f>SUMIFS(INDEX(Load,,MATCH('Summarized Source Data'!$C371,Hour,0)),Month,'Summarized Source Data'!$A371,Sector,'Summarized Source Data'!I$2,Subsector,'Summarized Source Data'!I$3,TimeOfWeek,$E371)*INDEX(About!E$79:E$82,MATCH($B371,About!$A$79:$A$82,0),1)</f>
        <v>5579456</v>
      </c>
      <c r="J371" s="54">
        <f t="shared" si="26"/>
        <v>45913501</v>
      </c>
      <c r="K371" s="27">
        <f>(SUMIFS(INDEX(Load,,MATCH('Summarized Source Data'!$C371,Hour,0)),Month,'Summarized Source Data'!$A371,Sector,'Summarized Source Data'!K$2,Subsector,"Total",TimeOfWeek,$E371)-SUM(F371:I371))*INDEX(About!G$79:G$82,MATCH($B371,About!$A$79:$A$82,0),1)</f>
        <v>45913501</v>
      </c>
      <c r="L371" s="27">
        <f>SUMIFS(INDEX(Load,,MATCH('Summarized Source Data'!$C371,Hour,0)),Month,'Summarized Source Data'!$A371,Sector,'Summarized Source Data'!L$2,Subsector,'Summarized Source Data'!L$3,TimeOfWeek,$E371)*INDEX(About!H$79:H$82,MATCH($B371,About!$A$79:$A$82,0),1)</f>
        <v>12200000</v>
      </c>
      <c r="M371" s="27">
        <f>SUMIFS(INDEX(Load,,MATCH('Summarized Source Data'!$C371,Hour,0)),Month,'Summarized Source Data'!$A371,Sector,'Summarized Source Data'!M$2,Subsector,'Summarized Source Data'!M$3,TimeOfWeek,$E371)*INDEX(About!I$79:I$82,MATCH($B371,About!$A$79:$A$82,0),1)</f>
        <v>250635</v>
      </c>
      <c r="N371" s="27">
        <f>SUMIFS(INDEX(Load,,MATCH('Summarized Source Data'!$C371,Hour,0)),Month,'Summarized Source Data'!$A371,Sector,'Summarized Source Data'!N$2,Subsector,'Summarized Source Data'!N$3,TimeOfWeek,$E371)*INDEX(About!J$79:J$82,MATCH($B371,About!$A$79:$A$82,0),1)</f>
        <v>0</v>
      </c>
      <c r="O371" s="29">
        <f t="shared" si="27"/>
        <v>103549365</v>
      </c>
      <c r="P371" s="27">
        <f>(SUMIFS(INDEX(Load,,MATCH('Summarized Source Data'!$C371,Hour,0)),Month,'Summarized Source Data'!$A371,Sector,'Summarized Source Data'!P$2,Subsector,"Total",TimeOfWeek,$E371)-SUM(L371:N371)*INDEX(About!L$79:L$82,MATCH($B371,About!$A$79:$A$82,0),1))</f>
        <v>103549365</v>
      </c>
      <c r="Q371" s="29">
        <f t="shared" si="28"/>
        <v>103549365</v>
      </c>
      <c r="R371" s="33">
        <f>SUMIFS(INDEX(Load,,MATCH('Summarized Source Data'!$C371,Hour,0)),Month,'Summarized Source Data'!$A371,Sector,'Summarized Source Data'!R$2,TimeOfWeek,$E371)*INDEX(About!N$79:N$82,MATCH($B371,About!$A$79:$A$82,0),1)</f>
        <v>3888573</v>
      </c>
      <c r="S371" s="33">
        <f>SUMIFS(INDEX(Load,,MATCH('Summarized Source Data'!$C371,Hour,0)),Month,'Summarized Source Data'!$A371,Sector,'Summarized Source Data'!S$2,TimeOfWeek,$E371)*INDEX(About!O$79:O$82,MATCH($B371,About!$A$79:$A$82,0),1)</f>
        <v>3888573</v>
      </c>
      <c r="T371" s="33">
        <f>SUMIFS(INDEX(Load,,MATCH('Summarized Source Data'!$C371,Hour,0)),Month,'Summarized Source Data'!$A371,Sector,'Summarized Source Data'!T$2,TimeOfWeek,$E371)*INDEX(About!P$79:P$82,MATCH($B371,About!$A$79:$A$82,0),1)</f>
        <v>3888573</v>
      </c>
      <c r="U371" s="33">
        <f>SUMIFS(INDEX(Load,,MATCH('Summarized Source Data'!$C371,Hour,0)),Month,'Summarized Source Data'!$A371,Sector,'Summarized Source Data'!U$2,TimeOfWeek,$E371)*INDEX(About!Q$79:Q$82,MATCH($B371,About!$A$79:$A$82,0),1)</f>
        <v>3888573</v>
      </c>
      <c r="V371" s="33">
        <f>SUMIFS(INDEX(Load,,MATCH('Summarized Source Data'!$C371,Hour,0)),Month,'Summarized Source Data'!$A371,Sector,'Summarized Source Data'!V$2,TimeOfWeek,$E371)*INDEX(About!R$79:R$82,MATCH($B371,About!$A$79:$A$82,0),1)</f>
        <v>3888573</v>
      </c>
      <c r="W371" s="33">
        <f>SUMIFS(INDEX(Load,,MATCH('Summarized Source Data'!$C371,Hour,0)),Month,'Summarized Source Data'!$A371,Sector,'Summarized Source Data'!W$2,TimeOfWeek,$E371)*INDEX(About!S$79:S$82,MATCH($B371,About!$A$79:$A$82,0),1)</f>
        <v>3888573</v>
      </c>
      <c r="X371" s="27">
        <f>SUMIFS(INDEX(Load,,MATCH('Summarized Source Data'!$C371,Hour,0)),Month,'Summarized Source Data'!$A371,Sector,'Summarized Source Data'!X$2,Subsector,'Summarized Source Data'!X$3,TimeOfWeek,$E371)*INDEX(About!T$79:T$82,MATCH($B371,About!$A$79:$A$82,0),1)</f>
        <v>338000000</v>
      </c>
      <c r="Y371" s="29">
        <f t="shared" si="29"/>
        <v>338000000</v>
      </c>
      <c r="Z371" s="29">
        <f t="shared" si="29"/>
        <v>338000000</v>
      </c>
    </row>
    <row r="372" spans="1:26" x14ac:dyDescent="0.3">
      <c r="A372">
        <f t="shared" si="30"/>
        <v>4</v>
      </c>
      <c r="B372" t="str">
        <f>INDEX('Category Mapping'!$G$28:$G$39,MATCH(A372,'Category Mapping'!$A$28:$A$39,0),1)</f>
        <v>Spring</v>
      </c>
      <c r="C372" t="s">
        <v>71</v>
      </c>
      <c r="D372" s="6" t="s">
        <v>146</v>
      </c>
      <c r="E372" s="46" t="s">
        <v>48</v>
      </c>
      <c r="F372" s="27">
        <f>SUMIFS(INDEX(Load,,MATCH('Summarized Source Data'!$C372,Hour,0)),Month,'Summarized Source Data'!$A372,Sector,'Summarized Source Data'!F$2,Subsector,'Summarized Source Data'!F$3,TimeOfWeek,$E372)*INDEX(About!B$79:B$82,MATCH($B372,About!$A$79:$A$82,0),1)</f>
        <v>4881727</v>
      </c>
      <c r="G372" s="27">
        <f>SUMIFS(INDEX(Load,,MATCH('Summarized Source Data'!$C372,Hour,0)),Month,'Summarized Source Data'!$A372,Sector,'Summarized Source Data'!G$2,Subsector,'Summarized Source Data'!G$3,TimeOfWeek,$E372)*INDEX(About!C$79:C$82,MATCH($B372,About!$A$79:$A$82,0),1)</f>
        <v>12775</v>
      </c>
      <c r="H372" s="27">
        <f>SUMIFS(INDEX(Load,,MATCH('Summarized Source Data'!$C372,Hour,0)),Month,'Summarized Source Data'!$A372,Sector,'Summarized Source Data'!H$2,Subsector,'Summarized Source Data'!H$3,TimeOfWeek,$E372)*INDEX(About!D$79:D$82,MATCH($B372,About!$A$79:$A$82,0),1)</f>
        <v>0</v>
      </c>
      <c r="I372" s="27">
        <f>SUMIFS(INDEX(Load,,MATCH('Summarized Source Data'!$C372,Hour,0)),Month,'Summarized Source Data'!$A372,Sector,'Summarized Source Data'!I$2,Subsector,'Summarized Source Data'!I$3,TimeOfWeek,$E372)*INDEX(About!E$79:E$82,MATCH($B372,About!$A$79:$A$82,0),1)</f>
        <v>6806641</v>
      </c>
      <c r="J372" s="54">
        <f t="shared" si="26"/>
        <v>57498857</v>
      </c>
      <c r="K372" s="27">
        <f>(SUMIFS(INDEX(Load,,MATCH('Summarized Source Data'!$C372,Hour,0)),Month,'Summarized Source Data'!$A372,Sector,'Summarized Source Data'!K$2,Subsector,"Total",TimeOfWeek,$E372)-SUM(F372:I372))*INDEX(About!G$79:G$82,MATCH($B372,About!$A$79:$A$82,0),1)</f>
        <v>57498857</v>
      </c>
      <c r="L372" s="27">
        <f>SUMIFS(INDEX(Load,,MATCH('Summarized Source Data'!$C372,Hour,0)),Month,'Summarized Source Data'!$A372,Sector,'Summarized Source Data'!L$2,Subsector,'Summarized Source Data'!L$3,TimeOfWeek,$E372)*INDEX(About!H$79:H$82,MATCH($B372,About!$A$79:$A$82,0),1)</f>
        <v>9939302</v>
      </c>
      <c r="M372" s="27">
        <f>SUMIFS(INDEX(Load,,MATCH('Summarized Source Data'!$C372,Hour,0)),Month,'Summarized Source Data'!$A372,Sector,'Summarized Source Data'!M$2,Subsector,'Summarized Source Data'!M$3,TimeOfWeek,$E372)*INDEX(About!I$79:I$82,MATCH($B372,About!$A$79:$A$82,0),1)</f>
        <v>275815</v>
      </c>
      <c r="N372" s="27">
        <f>SUMIFS(INDEX(Load,,MATCH('Summarized Source Data'!$C372,Hour,0)),Month,'Summarized Source Data'!$A372,Sector,'Summarized Source Data'!N$2,Subsector,'Summarized Source Data'!N$3,TimeOfWeek,$E372)*INDEX(About!J$79:J$82,MATCH($B372,About!$A$79:$A$82,0),1)</f>
        <v>0</v>
      </c>
      <c r="O372" s="29">
        <f t="shared" si="27"/>
        <v>116784883</v>
      </c>
      <c r="P372" s="27">
        <f>(SUMIFS(INDEX(Load,,MATCH('Summarized Source Data'!$C372,Hour,0)),Month,'Summarized Source Data'!$A372,Sector,'Summarized Source Data'!P$2,Subsector,"Total",TimeOfWeek,$E372)-SUM(L372:N372)*INDEX(About!L$79:L$82,MATCH($B372,About!$A$79:$A$82,0),1))</f>
        <v>116784883</v>
      </c>
      <c r="Q372" s="29">
        <f t="shared" si="28"/>
        <v>116784883</v>
      </c>
      <c r="R372" s="33">
        <f>SUMIFS(INDEX(Load,,MATCH('Summarized Source Data'!$C372,Hour,0)),Month,'Summarized Source Data'!$A372,Sector,'Summarized Source Data'!R$2,TimeOfWeek,$E372)*INDEX(About!N$79:N$82,MATCH($B372,About!$A$79:$A$82,0),1)</f>
        <v>4653691</v>
      </c>
      <c r="S372" s="33">
        <f>SUMIFS(INDEX(Load,,MATCH('Summarized Source Data'!$C372,Hour,0)),Month,'Summarized Source Data'!$A372,Sector,'Summarized Source Data'!S$2,TimeOfWeek,$E372)*INDEX(About!O$79:O$82,MATCH($B372,About!$A$79:$A$82,0),1)</f>
        <v>4653691</v>
      </c>
      <c r="T372" s="33">
        <f>SUMIFS(INDEX(Load,,MATCH('Summarized Source Data'!$C372,Hour,0)),Month,'Summarized Source Data'!$A372,Sector,'Summarized Source Data'!T$2,TimeOfWeek,$E372)*INDEX(About!P$79:P$82,MATCH($B372,About!$A$79:$A$82,0),1)</f>
        <v>4653691</v>
      </c>
      <c r="U372" s="33">
        <f>SUMIFS(INDEX(Load,,MATCH('Summarized Source Data'!$C372,Hour,0)),Month,'Summarized Source Data'!$A372,Sector,'Summarized Source Data'!U$2,TimeOfWeek,$E372)*INDEX(About!Q$79:Q$82,MATCH($B372,About!$A$79:$A$82,0),1)</f>
        <v>4653691</v>
      </c>
      <c r="V372" s="33">
        <f>SUMIFS(INDEX(Load,,MATCH('Summarized Source Data'!$C372,Hour,0)),Month,'Summarized Source Data'!$A372,Sector,'Summarized Source Data'!V$2,TimeOfWeek,$E372)*INDEX(About!R$79:R$82,MATCH($B372,About!$A$79:$A$82,0),1)</f>
        <v>4653691</v>
      </c>
      <c r="W372" s="33">
        <f>SUMIFS(INDEX(Load,,MATCH('Summarized Source Data'!$C372,Hour,0)),Month,'Summarized Source Data'!$A372,Sector,'Summarized Source Data'!W$2,TimeOfWeek,$E372)*INDEX(About!S$79:S$82,MATCH($B372,About!$A$79:$A$82,0),1)</f>
        <v>4653691</v>
      </c>
      <c r="X372" s="27">
        <f>SUMIFS(INDEX(Load,,MATCH('Summarized Source Data'!$C372,Hour,0)),Month,'Summarized Source Data'!$A372,Sector,'Summarized Source Data'!X$2,Subsector,'Summarized Source Data'!X$3,TimeOfWeek,$E372)*INDEX(About!T$79:T$82,MATCH($B372,About!$A$79:$A$82,0),1)</f>
        <v>338000000</v>
      </c>
      <c r="Y372" s="29">
        <f t="shared" si="29"/>
        <v>338000000</v>
      </c>
      <c r="Z372" s="29">
        <f t="shared" si="29"/>
        <v>338000000</v>
      </c>
    </row>
    <row r="373" spans="1:26" x14ac:dyDescent="0.3">
      <c r="A373">
        <f t="shared" si="30"/>
        <v>4</v>
      </c>
      <c r="B373" t="str">
        <f>INDEX('Category Mapping'!$G$28:$G$39,MATCH(A373,'Category Mapping'!$A$28:$A$39,0),1)</f>
        <v>Spring</v>
      </c>
      <c r="C373" t="s">
        <v>72</v>
      </c>
      <c r="D373" s="6" t="s">
        <v>147</v>
      </c>
      <c r="E373" s="46" t="s">
        <v>48</v>
      </c>
      <c r="F373" s="27">
        <f>SUMIFS(INDEX(Load,,MATCH('Summarized Source Data'!$C373,Hour,0)),Month,'Summarized Source Data'!$A373,Sector,'Summarized Source Data'!F$2,Subsector,'Summarized Source Data'!F$3,TimeOfWeek,$E373)*INDEX(About!B$79:B$82,MATCH($B373,About!$A$79:$A$82,0),1)</f>
        <v>4959783</v>
      </c>
      <c r="G373" s="27">
        <f>SUMIFS(INDEX(Load,,MATCH('Summarized Source Data'!$C373,Hour,0)),Month,'Summarized Source Data'!$A373,Sector,'Summarized Source Data'!G$2,Subsector,'Summarized Source Data'!G$3,TimeOfWeek,$E373)*INDEX(About!C$79:C$82,MATCH($B373,About!$A$79:$A$82,0),1)</f>
        <v>11134</v>
      </c>
      <c r="H373" s="27">
        <f>SUMIFS(INDEX(Load,,MATCH('Summarized Source Data'!$C373,Hour,0)),Month,'Summarized Source Data'!$A373,Sector,'Summarized Source Data'!H$2,Subsector,'Summarized Source Data'!H$3,TimeOfWeek,$E373)*INDEX(About!D$79:D$82,MATCH($B373,About!$A$79:$A$82,0),1)</f>
        <v>0</v>
      </c>
      <c r="I373" s="27">
        <f>SUMIFS(INDEX(Load,,MATCH('Summarized Source Data'!$C373,Hour,0)),Month,'Summarized Source Data'!$A373,Sector,'Summarized Source Data'!I$2,Subsector,'Summarized Source Data'!I$3,TimeOfWeek,$E373)*INDEX(About!E$79:E$82,MATCH($B373,About!$A$79:$A$82,0),1)</f>
        <v>7052907</v>
      </c>
      <c r="J373" s="54">
        <f t="shared" si="26"/>
        <v>72776176</v>
      </c>
      <c r="K373" s="27">
        <f>(SUMIFS(INDEX(Load,,MATCH('Summarized Source Data'!$C373,Hour,0)),Month,'Summarized Source Data'!$A373,Sector,'Summarized Source Data'!K$2,Subsector,"Total",TimeOfWeek,$E373)-SUM(F373:I373))*INDEX(About!G$79:G$82,MATCH($B373,About!$A$79:$A$82,0),1)</f>
        <v>72776176</v>
      </c>
      <c r="L373" s="27">
        <f>SUMIFS(INDEX(Load,,MATCH('Summarized Source Data'!$C373,Hour,0)),Month,'Summarized Source Data'!$A373,Sector,'Summarized Source Data'!L$2,Subsector,'Summarized Source Data'!L$3,TimeOfWeek,$E373)*INDEX(About!H$79:H$82,MATCH($B373,About!$A$79:$A$82,0),1)</f>
        <v>8389465</v>
      </c>
      <c r="M373" s="27">
        <f>SUMIFS(INDEX(Load,,MATCH('Summarized Source Data'!$C373,Hour,0)),Month,'Summarized Source Data'!$A373,Sector,'Summarized Source Data'!M$2,Subsector,'Summarized Source Data'!M$3,TimeOfWeek,$E373)*INDEX(About!I$79:I$82,MATCH($B373,About!$A$79:$A$82,0),1)</f>
        <v>291894</v>
      </c>
      <c r="N373" s="27">
        <f>SUMIFS(INDEX(Load,,MATCH('Summarized Source Data'!$C373,Hour,0)),Month,'Summarized Source Data'!$A373,Sector,'Summarized Source Data'!N$2,Subsector,'Summarized Source Data'!N$3,TimeOfWeek,$E373)*INDEX(About!J$79:J$82,MATCH($B373,About!$A$79:$A$82,0),1)</f>
        <v>0</v>
      </c>
      <c r="O373" s="29">
        <f t="shared" si="27"/>
        <v>128318641</v>
      </c>
      <c r="P373" s="27">
        <f>(SUMIFS(INDEX(Load,,MATCH('Summarized Source Data'!$C373,Hour,0)),Month,'Summarized Source Data'!$A373,Sector,'Summarized Source Data'!P$2,Subsector,"Total",TimeOfWeek,$E373)-SUM(L373:N373)*INDEX(About!L$79:L$82,MATCH($B373,About!$A$79:$A$82,0),1))</f>
        <v>128318641</v>
      </c>
      <c r="Q373" s="29">
        <f t="shared" si="28"/>
        <v>128318641</v>
      </c>
      <c r="R373" s="33">
        <f>SUMIFS(INDEX(Load,,MATCH('Summarized Source Data'!$C373,Hour,0)),Month,'Summarized Source Data'!$A373,Sector,'Summarized Source Data'!R$2,TimeOfWeek,$E373)*INDEX(About!N$79:N$82,MATCH($B373,About!$A$79:$A$82,0),1)</f>
        <v>5287543</v>
      </c>
      <c r="S373" s="33">
        <f>SUMIFS(INDEX(Load,,MATCH('Summarized Source Data'!$C373,Hour,0)),Month,'Summarized Source Data'!$A373,Sector,'Summarized Source Data'!S$2,TimeOfWeek,$E373)*INDEX(About!O$79:O$82,MATCH($B373,About!$A$79:$A$82,0),1)</f>
        <v>5287543</v>
      </c>
      <c r="T373" s="33">
        <f>SUMIFS(INDEX(Load,,MATCH('Summarized Source Data'!$C373,Hour,0)),Month,'Summarized Source Data'!$A373,Sector,'Summarized Source Data'!T$2,TimeOfWeek,$E373)*INDEX(About!P$79:P$82,MATCH($B373,About!$A$79:$A$82,0),1)</f>
        <v>5287543</v>
      </c>
      <c r="U373" s="33">
        <f>SUMIFS(INDEX(Load,,MATCH('Summarized Source Data'!$C373,Hour,0)),Month,'Summarized Source Data'!$A373,Sector,'Summarized Source Data'!U$2,TimeOfWeek,$E373)*INDEX(About!Q$79:Q$82,MATCH($B373,About!$A$79:$A$82,0),1)</f>
        <v>5287543</v>
      </c>
      <c r="V373" s="33">
        <f>SUMIFS(INDEX(Load,,MATCH('Summarized Source Data'!$C373,Hour,0)),Month,'Summarized Source Data'!$A373,Sector,'Summarized Source Data'!V$2,TimeOfWeek,$E373)*INDEX(About!R$79:R$82,MATCH($B373,About!$A$79:$A$82,0),1)</f>
        <v>5287543</v>
      </c>
      <c r="W373" s="33">
        <f>SUMIFS(INDEX(Load,,MATCH('Summarized Source Data'!$C373,Hour,0)),Month,'Summarized Source Data'!$A373,Sector,'Summarized Source Data'!W$2,TimeOfWeek,$E373)*INDEX(About!S$79:S$82,MATCH($B373,About!$A$79:$A$82,0),1)</f>
        <v>5287543</v>
      </c>
      <c r="X373" s="27">
        <f>SUMIFS(INDEX(Load,,MATCH('Summarized Source Data'!$C373,Hour,0)),Month,'Summarized Source Data'!$A373,Sector,'Summarized Source Data'!X$2,Subsector,'Summarized Source Data'!X$3,TimeOfWeek,$E373)*INDEX(About!T$79:T$82,MATCH($B373,About!$A$79:$A$82,0),1)</f>
        <v>337000000</v>
      </c>
      <c r="Y373" s="29">
        <f t="shared" si="29"/>
        <v>337000000</v>
      </c>
      <c r="Z373" s="29">
        <f t="shared" si="29"/>
        <v>337000000</v>
      </c>
    </row>
    <row r="374" spans="1:26" x14ac:dyDescent="0.3">
      <c r="A374">
        <f t="shared" si="30"/>
        <v>4</v>
      </c>
      <c r="B374" t="str">
        <f>INDEX('Category Mapping'!$G$28:$G$39,MATCH(A374,'Category Mapping'!$A$28:$A$39,0),1)</f>
        <v>Spring</v>
      </c>
      <c r="C374" t="s">
        <v>73</v>
      </c>
      <c r="D374" s="6" t="s">
        <v>148</v>
      </c>
      <c r="E374" s="46" t="s">
        <v>48</v>
      </c>
      <c r="F374" s="27">
        <f>SUMIFS(INDEX(Load,,MATCH('Summarized Source Data'!$C374,Hour,0)),Month,'Summarized Source Data'!$A374,Sector,'Summarized Source Data'!F$2,Subsector,'Summarized Source Data'!F$3,TimeOfWeek,$E374)*INDEX(About!B$79:B$82,MATCH($B374,About!$A$79:$A$82,0),1)</f>
        <v>4973118</v>
      </c>
      <c r="G374" s="27">
        <f>SUMIFS(INDEX(Load,,MATCH('Summarized Source Data'!$C374,Hour,0)),Month,'Summarized Source Data'!$A374,Sector,'Summarized Source Data'!G$2,Subsector,'Summarized Source Data'!G$3,TimeOfWeek,$E374)*INDEX(About!C$79:C$82,MATCH($B374,About!$A$79:$A$82,0),1)</f>
        <v>10390</v>
      </c>
      <c r="H374" s="27">
        <f>SUMIFS(INDEX(Load,,MATCH('Summarized Source Data'!$C374,Hour,0)),Month,'Summarized Source Data'!$A374,Sector,'Summarized Source Data'!H$2,Subsector,'Summarized Source Data'!H$3,TimeOfWeek,$E374)*INDEX(About!D$79:D$82,MATCH($B374,About!$A$79:$A$82,0),1)</f>
        <v>0</v>
      </c>
      <c r="I374" s="27">
        <f>SUMIFS(INDEX(Load,,MATCH('Summarized Source Data'!$C374,Hour,0)),Month,'Summarized Source Data'!$A374,Sector,'Summarized Source Data'!I$2,Subsector,'Summarized Source Data'!I$3,TimeOfWeek,$E374)*INDEX(About!E$79:E$82,MATCH($B374,About!$A$79:$A$82,0),1)</f>
        <v>7094978</v>
      </c>
      <c r="J374" s="54">
        <f t="shared" si="26"/>
        <v>89921514</v>
      </c>
      <c r="K374" s="27">
        <f>(SUMIFS(INDEX(Load,,MATCH('Summarized Source Data'!$C374,Hour,0)),Month,'Summarized Source Data'!$A374,Sector,'Summarized Source Data'!K$2,Subsector,"Total",TimeOfWeek,$E374)-SUM(F374:I374))*INDEX(About!G$79:G$82,MATCH($B374,About!$A$79:$A$82,0),1)</f>
        <v>89921514</v>
      </c>
      <c r="L374" s="27">
        <f>SUMIFS(INDEX(Load,,MATCH('Summarized Source Data'!$C374,Hour,0)),Month,'Summarized Source Data'!$A374,Sector,'Summarized Source Data'!L$2,Subsector,'Summarized Source Data'!L$3,TimeOfWeek,$E374)*INDEX(About!H$79:H$82,MATCH($B374,About!$A$79:$A$82,0),1)</f>
        <v>7215264</v>
      </c>
      <c r="M374" s="27">
        <f>SUMIFS(INDEX(Load,,MATCH('Summarized Source Data'!$C374,Hour,0)),Month,'Summarized Source Data'!$A374,Sector,'Summarized Source Data'!M$2,Subsector,'Summarized Source Data'!M$3,TimeOfWeek,$E374)*INDEX(About!I$79:I$82,MATCH($B374,About!$A$79:$A$82,0),1)</f>
        <v>300251</v>
      </c>
      <c r="N374" s="27">
        <f>SUMIFS(INDEX(Load,,MATCH('Summarized Source Data'!$C374,Hour,0)),Month,'Summarized Source Data'!$A374,Sector,'Summarized Source Data'!N$2,Subsector,'Summarized Source Data'!N$3,TimeOfWeek,$E374)*INDEX(About!J$79:J$82,MATCH($B374,About!$A$79:$A$82,0),1)</f>
        <v>0</v>
      </c>
      <c r="O374" s="29">
        <f t="shared" si="27"/>
        <v>126484485</v>
      </c>
      <c r="P374" s="27">
        <f>(SUMIFS(INDEX(Load,,MATCH('Summarized Source Data'!$C374,Hour,0)),Month,'Summarized Source Data'!$A374,Sector,'Summarized Source Data'!P$2,Subsector,"Total",TimeOfWeek,$E374)-SUM(L374:N374)*INDEX(About!L$79:L$82,MATCH($B374,About!$A$79:$A$82,0),1))</f>
        <v>126484485</v>
      </c>
      <c r="Q374" s="29">
        <f t="shared" si="28"/>
        <v>126484485</v>
      </c>
      <c r="R374" s="33">
        <f>SUMIFS(INDEX(Load,,MATCH('Summarized Source Data'!$C374,Hour,0)),Month,'Summarized Source Data'!$A374,Sector,'Summarized Source Data'!R$2,TimeOfWeek,$E374)*INDEX(About!N$79:N$82,MATCH($B374,About!$A$79:$A$82,0),1)</f>
        <v>5603747</v>
      </c>
      <c r="S374" s="33">
        <f>SUMIFS(INDEX(Load,,MATCH('Summarized Source Data'!$C374,Hour,0)),Month,'Summarized Source Data'!$A374,Sector,'Summarized Source Data'!S$2,TimeOfWeek,$E374)*INDEX(About!O$79:O$82,MATCH($B374,About!$A$79:$A$82,0),1)</f>
        <v>5603747</v>
      </c>
      <c r="T374" s="33">
        <f>SUMIFS(INDEX(Load,,MATCH('Summarized Source Data'!$C374,Hour,0)),Month,'Summarized Source Data'!$A374,Sector,'Summarized Source Data'!T$2,TimeOfWeek,$E374)*INDEX(About!P$79:P$82,MATCH($B374,About!$A$79:$A$82,0),1)</f>
        <v>5603747</v>
      </c>
      <c r="U374" s="33">
        <f>SUMIFS(INDEX(Load,,MATCH('Summarized Source Data'!$C374,Hour,0)),Month,'Summarized Source Data'!$A374,Sector,'Summarized Source Data'!U$2,TimeOfWeek,$E374)*INDEX(About!Q$79:Q$82,MATCH($B374,About!$A$79:$A$82,0),1)</f>
        <v>5603747</v>
      </c>
      <c r="V374" s="33">
        <f>SUMIFS(INDEX(Load,,MATCH('Summarized Source Data'!$C374,Hour,0)),Month,'Summarized Source Data'!$A374,Sector,'Summarized Source Data'!V$2,TimeOfWeek,$E374)*INDEX(About!R$79:R$82,MATCH($B374,About!$A$79:$A$82,0),1)</f>
        <v>5603747</v>
      </c>
      <c r="W374" s="33">
        <f>SUMIFS(INDEX(Load,,MATCH('Summarized Source Data'!$C374,Hour,0)),Month,'Summarized Source Data'!$A374,Sector,'Summarized Source Data'!W$2,TimeOfWeek,$E374)*INDEX(About!S$79:S$82,MATCH($B374,About!$A$79:$A$82,0),1)</f>
        <v>5603747</v>
      </c>
      <c r="X374" s="27">
        <f>SUMIFS(INDEX(Load,,MATCH('Summarized Source Data'!$C374,Hour,0)),Month,'Summarized Source Data'!$A374,Sector,'Summarized Source Data'!X$2,Subsector,'Summarized Source Data'!X$3,TimeOfWeek,$E374)*INDEX(About!T$79:T$82,MATCH($B374,About!$A$79:$A$82,0),1)</f>
        <v>336000000</v>
      </c>
      <c r="Y374" s="29">
        <f t="shared" si="29"/>
        <v>336000000</v>
      </c>
      <c r="Z374" s="29">
        <f t="shared" si="29"/>
        <v>336000000</v>
      </c>
    </row>
    <row r="375" spans="1:26" x14ac:dyDescent="0.3">
      <c r="A375">
        <f t="shared" si="30"/>
        <v>4</v>
      </c>
      <c r="B375" t="str">
        <f>INDEX('Category Mapping'!$G$28:$G$39,MATCH(A375,'Category Mapping'!$A$28:$A$39,0),1)</f>
        <v>Spring</v>
      </c>
      <c r="C375" t="s">
        <v>74</v>
      </c>
      <c r="D375" s="6" t="s">
        <v>149</v>
      </c>
      <c r="E375" s="46" t="s">
        <v>48</v>
      </c>
      <c r="F375" s="27">
        <f>SUMIFS(INDEX(Load,,MATCH('Summarized Source Data'!$C375,Hour,0)),Month,'Summarized Source Data'!$A375,Sector,'Summarized Source Data'!F$2,Subsector,'Summarized Source Data'!F$3,TimeOfWeek,$E375)*INDEX(About!B$79:B$82,MATCH($B375,About!$A$79:$A$82,0),1)</f>
        <v>3828319</v>
      </c>
      <c r="G375" s="27">
        <f>SUMIFS(INDEX(Load,,MATCH('Summarized Source Data'!$C375,Hour,0)),Month,'Summarized Source Data'!$A375,Sector,'Summarized Source Data'!G$2,Subsector,'Summarized Source Data'!G$3,TimeOfWeek,$E375)*INDEX(About!C$79:C$82,MATCH($B375,About!$A$79:$A$82,0),1)</f>
        <v>10749</v>
      </c>
      <c r="H375" s="27">
        <f>SUMIFS(INDEX(Load,,MATCH('Summarized Source Data'!$C375,Hour,0)),Month,'Summarized Source Data'!$A375,Sector,'Summarized Source Data'!H$2,Subsector,'Summarized Source Data'!H$3,TimeOfWeek,$E375)*INDEX(About!D$79:D$82,MATCH($B375,About!$A$79:$A$82,0),1)</f>
        <v>0</v>
      </c>
      <c r="I375" s="27">
        <f>SUMIFS(INDEX(Load,,MATCH('Summarized Source Data'!$C375,Hour,0)),Month,'Summarized Source Data'!$A375,Sector,'Summarized Source Data'!I$2,Subsector,'Summarized Source Data'!I$3,TimeOfWeek,$E375)*INDEX(About!E$79:E$82,MATCH($B375,About!$A$79:$A$82,0),1)</f>
        <v>7527937</v>
      </c>
      <c r="J375" s="54">
        <f t="shared" si="26"/>
        <v>100632995</v>
      </c>
      <c r="K375" s="27">
        <f>(SUMIFS(INDEX(Load,,MATCH('Summarized Source Data'!$C375,Hour,0)),Month,'Summarized Source Data'!$A375,Sector,'Summarized Source Data'!K$2,Subsector,"Total",TimeOfWeek,$E375)-SUM(F375:I375))*INDEX(About!G$79:G$82,MATCH($B375,About!$A$79:$A$82,0),1)</f>
        <v>100632995</v>
      </c>
      <c r="L375" s="27">
        <f>SUMIFS(INDEX(Load,,MATCH('Summarized Source Data'!$C375,Hour,0)),Month,'Summarized Source Data'!$A375,Sector,'Summarized Source Data'!L$2,Subsector,'Summarized Source Data'!L$3,TimeOfWeek,$E375)*INDEX(About!H$79:H$82,MATCH($B375,About!$A$79:$A$82,0),1)</f>
        <v>6421846</v>
      </c>
      <c r="M375" s="27">
        <f>SUMIFS(INDEX(Load,,MATCH('Summarized Source Data'!$C375,Hour,0)),Month,'Summarized Source Data'!$A375,Sector,'Summarized Source Data'!M$2,Subsector,'Summarized Source Data'!M$3,TimeOfWeek,$E375)*INDEX(About!I$79:I$82,MATCH($B375,About!$A$79:$A$82,0),1)</f>
        <v>302210</v>
      </c>
      <c r="N375" s="27">
        <f>SUMIFS(INDEX(Load,,MATCH('Summarized Source Data'!$C375,Hour,0)),Month,'Summarized Source Data'!$A375,Sector,'Summarized Source Data'!N$2,Subsector,'Summarized Source Data'!N$3,TimeOfWeek,$E375)*INDEX(About!J$79:J$82,MATCH($B375,About!$A$79:$A$82,0),1)</f>
        <v>0</v>
      </c>
      <c r="O375" s="29">
        <f t="shared" si="27"/>
        <v>126275944</v>
      </c>
      <c r="P375" s="27">
        <f>(SUMIFS(INDEX(Load,,MATCH('Summarized Source Data'!$C375,Hour,0)),Month,'Summarized Source Data'!$A375,Sector,'Summarized Source Data'!P$2,Subsector,"Total",TimeOfWeek,$E375)-SUM(L375:N375)*INDEX(About!L$79:L$82,MATCH($B375,About!$A$79:$A$82,0),1))</f>
        <v>126275944</v>
      </c>
      <c r="Q375" s="29">
        <f t="shared" si="28"/>
        <v>126275944</v>
      </c>
      <c r="R375" s="33">
        <f>SUMIFS(INDEX(Load,,MATCH('Summarized Source Data'!$C375,Hour,0)),Month,'Summarized Source Data'!$A375,Sector,'Summarized Source Data'!R$2,TimeOfWeek,$E375)*INDEX(About!N$79:N$82,MATCH($B375,About!$A$79:$A$82,0),1)</f>
        <v>5785266</v>
      </c>
      <c r="S375" s="33">
        <f>SUMIFS(INDEX(Load,,MATCH('Summarized Source Data'!$C375,Hour,0)),Month,'Summarized Source Data'!$A375,Sector,'Summarized Source Data'!S$2,TimeOfWeek,$E375)*INDEX(About!O$79:O$82,MATCH($B375,About!$A$79:$A$82,0),1)</f>
        <v>5785266</v>
      </c>
      <c r="T375" s="33">
        <f>SUMIFS(INDEX(Load,,MATCH('Summarized Source Data'!$C375,Hour,0)),Month,'Summarized Source Data'!$A375,Sector,'Summarized Source Data'!T$2,TimeOfWeek,$E375)*INDEX(About!P$79:P$82,MATCH($B375,About!$A$79:$A$82,0),1)</f>
        <v>5785266</v>
      </c>
      <c r="U375" s="33">
        <f>SUMIFS(INDEX(Load,,MATCH('Summarized Source Data'!$C375,Hour,0)),Month,'Summarized Source Data'!$A375,Sector,'Summarized Source Data'!U$2,TimeOfWeek,$E375)*INDEX(About!Q$79:Q$82,MATCH($B375,About!$A$79:$A$82,0),1)</f>
        <v>5785266</v>
      </c>
      <c r="V375" s="33">
        <f>SUMIFS(INDEX(Load,,MATCH('Summarized Source Data'!$C375,Hour,0)),Month,'Summarized Source Data'!$A375,Sector,'Summarized Source Data'!V$2,TimeOfWeek,$E375)*INDEX(About!R$79:R$82,MATCH($B375,About!$A$79:$A$82,0),1)</f>
        <v>5785266</v>
      </c>
      <c r="W375" s="33">
        <f>SUMIFS(INDEX(Load,,MATCH('Summarized Source Data'!$C375,Hour,0)),Month,'Summarized Source Data'!$A375,Sector,'Summarized Source Data'!W$2,TimeOfWeek,$E375)*INDEX(About!S$79:S$82,MATCH($B375,About!$A$79:$A$82,0),1)</f>
        <v>5785266</v>
      </c>
      <c r="X375" s="27">
        <f>SUMIFS(INDEX(Load,,MATCH('Summarized Source Data'!$C375,Hour,0)),Month,'Summarized Source Data'!$A375,Sector,'Summarized Source Data'!X$2,Subsector,'Summarized Source Data'!X$3,TimeOfWeek,$E375)*INDEX(About!T$79:T$82,MATCH($B375,About!$A$79:$A$82,0),1)</f>
        <v>335000000</v>
      </c>
      <c r="Y375" s="29">
        <f t="shared" si="29"/>
        <v>335000000</v>
      </c>
      <c r="Z375" s="29">
        <f t="shared" si="29"/>
        <v>335000000</v>
      </c>
    </row>
    <row r="376" spans="1:26" x14ac:dyDescent="0.3">
      <c r="A376">
        <f t="shared" si="30"/>
        <v>4</v>
      </c>
      <c r="B376" t="str">
        <f>INDEX('Category Mapping'!$G$28:$G$39,MATCH(A376,'Category Mapping'!$A$28:$A$39,0),1)</f>
        <v>Spring</v>
      </c>
      <c r="C376" t="s">
        <v>75</v>
      </c>
      <c r="D376" s="6" t="s">
        <v>150</v>
      </c>
      <c r="E376" s="46" t="s">
        <v>48</v>
      </c>
      <c r="F376" s="27">
        <f>SUMIFS(INDEX(Load,,MATCH('Summarized Source Data'!$C376,Hour,0)),Month,'Summarized Source Data'!$A376,Sector,'Summarized Source Data'!F$2,Subsector,'Summarized Source Data'!F$3,TimeOfWeek,$E376)*INDEX(About!B$79:B$82,MATCH($B376,About!$A$79:$A$82,0),1)</f>
        <v>3911243</v>
      </c>
      <c r="G376" s="27">
        <f>SUMIFS(INDEX(Load,,MATCH('Summarized Source Data'!$C376,Hour,0)),Month,'Summarized Source Data'!$A376,Sector,'Summarized Source Data'!G$2,Subsector,'Summarized Source Data'!G$3,TimeOfWeek,$E376)*INDEX(About!C$79:C$82,MATCH($B376,About!$A$79:$A$82,0),1)</f>
        <v>11207</v>
      </c>
      <c r="H376" s="27">
        <f>SUMIFS(INDEX(Load,,MATCH('Summarized Source Data'!$C376,Hour,0)),Month,'Summarized Source Data'!$A376,Sector,'Summarized Source Data'!H$2,Subsector,'Summarized Source Data'!H$3,TimeOfWeek,$E376)*INDEX(About!D$79:D$82,MATCH($B376,About!$A$79:$A$82,0),1)</f>
        <v>0</v>
      </c>
      <c r="I376" s="27">
        <f>SUMIFS(INDEX(Load,,MATCH('Summarized Source Data'!$C376,Hour,0)),Month,'Summarized Source Data'!$A376,Sector,'Summarized Source Data'!I$2,Subsector,'Summarized Source Data'!I$3,TimeOfWeek,$E376)*INDEX(About!E$79:E$82,MATCH($B376,About!$A$79:$A$82,0),1)</f>
        <v>7789564</v>
      </c>
      <c r="J376" s="54">
        <f t="shared" si="26"/>
        <v>91287986</v>
      </c>
      <c r="K376" s="27">
        <f>(SUMIFS(INDEX(Load,,MATCH('Summarized Source Data'!$C376,Hour,0)),Month,'Summarized Source Data'!$A376,Sector,'Summarized Source Data'!K$2,Subsector,"Total",TimeOfWeek,$E376)-SUM(F376:I376))*INDEX(About!G$79:G$82,MATCH($B376,About!$A$79:$A$82,0),1)</f>
        <v>91287986</v>
      </c>
      <c r="L376" s="27">
        <f>SUMIFS(INDEX(Load,,MATCH('Summarized Source Data'!$C376,Hour,0)),Month,'Summarized Source Data'!$A376,Sector,'Summarized Source Data'!L$2,Subsector,'Summarized Source Data'!L$3,TimeOfWeek,$E376)*INDEX(About!H$79:H$82,MATCH($B376,About!$A$79:$A$82,0),1)</f>
        <v>5855516</v>
      </c>
      <c r="M376" s="27">
        <f>SUMIFS(INDEX(Load,,MATCH('Summarized Source Data'!$C376,Hour,0)),Month,'Summarized Source Data'!$A376,Sector,'Summarized Source Data'!M$2,Subsector,'Summarized Source Data'!M$3,TimeOfWeek,$E376)*INDEX(About!I$79:I$82,MATCH($B376,About!$A$79:$A$82,0),1)</f>
        <v>303911</v>
      </c>
      <c r="N376" s="27">
        <f>SUMIFS(INDEX(Load,,MATCH('Summarized Source Data'!$C376,Hour,0)),Month,'Summarized Source Data'!$A376,Sector,'Summarized Source Data'!N$2,Subsector,'Summarized Source Data'!N$3,TimeOfWeek,$E376)*INDEX(About!J$79:J$82,MATCH($B376,About!$A$79:$A$82,0),1)</f>
        <v>0</v>
      </c>
      <c r="O376" s="29">
        <f t="shared" si="27"/>
        <v>125840573</v>
      </c>
      <c r="P376" s="27">
        <f>(SUMIFS(INDEX(Load,,MATCH('Summarized Source Data'!$C376,Hour,0)),Month,'Summarized Source Data'!$A376,Sector,'Summarized Source Data'!P$2,Subsector,"Total",TimeOfWeek,$E376)-SUM(L376:N376)*INDEX(About!L$79:L$82,MATCH($B376,About!$A$79:$A$82,0),1))</f>
        <v>125840573</v>
      </c>
      <c r="Q376" s="29">
        <f t="shared" si="28"/>
        <v>125840573</v>
      </c>
      <c r="R376" s="33">
        <f>SUMIFS(INDEX(Load,,MATCH('Summarized Source Data'!$C376,Hour,0)),Month,'Summarized Source Data'!$A376,Sector,'Summarized Source Data'!R$2,TimeOfWeek,$E376)*INDEX(About!N$79:N$82,MATCH($B376,About!$A$79:$A$82,0),1)</f>
        <v>5662293</v>
      </c>
      <c r="S376" s="33">
        <f>SUMIFS(INDEX(Load,,MATCH('Summarized Source Data'!$C376,Hour,0)),Month,'Summarized Source Data'!$A376,Sector,'Summarized Source Data'!S$2,TimeOfWeek,$E376)*INDEX(About!O$79:O$82,MATCH($B376,About!$A$79:$A$82,0),1)</f>
        <v>5662293</v>
      </c>
      <c r="T376" s="33">
        <f>SUMIFS(INDEX(Load,,MATCH('Summarized Source Data'!$C376,Hour,0)),Month,'Summarized Source Data'!$A376,Sector,'Summarized Source Data'!T$2,TimeOfWeek,$E376)*INDEX(About!P$79:P$82,MATCH($B376,About!$A$79:$A$82,0),1)</f>
        <v>5662293</v>
      </c>
      <c r="U376" s="33">
        <f>SUMIFS(INDEX(Load,,MATCH('Summarized Source Data'!$C376,Hour,0)),Month,'Summarized Source Data'!$A376,Sector,'Summarized Source Data'!U$2,TimeOfWeek,$E376)*INDEX(About!Q$79:Q$82,MATCH($B376,About!$A$79:$A$82,0),1)</f>
        <v>5662293</v>
      </c>
      <c r="V376" s="33">
        <f>SUMIFS(INDEX(Load,,MATCH('Summarized Source Data'!$C376,Hour,0)),Month,'Summarized Source Data'!$A376,Sector,'Summarized Source Data'!V$2,TimeOfWeek,$E376)*INDEX(About!R$79:R$82,MATCH($B376,About!$A$79:$A$82,0),1)</f>
        <v>5662293</v>
      </c>
      <c r="W376" s="33">
        <f>SUMIFS(INDEX(Load,,MATCH('Summarized Source Data'!$C376,Hour,0)),Month,'Summarized Source Data'!$A376,Sector,'Summarized Source Data'!W$2,TimeOfWeek,$E376)*INDEX(About!S$79:S$82,MATCH($B376,About!$A$79:$A$82,0),1)</f>
        <v>5662293</v>
      </c>
      <c r="X376" s="27">
        <f>SUMIFS(INDEX(Load,,MATCH('Summarized Source Data'!$C376,Hour,0)),Month,'Summarized Source Data'!$A376,Sector,'Summarized Source Data'!X$2,Subsector,'Summarized Source Data'!X$3,TimeOfWeek,$E376)*INDEX(About!T$79:T$82,MATCH($B376,About!$A$79:$A$82,0),1)</f>
        <v>335000000</v>
      </c>
      <c r="Y376" s="29">
        <f t="shared" si="29"/>
        <v>335000000</v>
      </c>
      <c r="Z376" s="29">
        <f t="shared" si="29"/>
        <v>335000000</v>
      </c>
    </row>
    <row r="377" spans="1:26" x14ac:dyDescent="0.3">
      <c r="A377">
        <f t="shared" si="30"/>
        <v>4</v>
      </c>
      <c r="B377" t="str">
        <f>INDEX('Category Mapping'!$G$28:$G$39,MATCH(A377,'Category Mapping'!$A$28:$A$39,0),1)</f>
        <v>Spring</v>
      </c>
      <c r="C377" t="s">
        <v>76</v>
      </c>
      <c r="D377" s="6" t="s">
        <v>151</v>
      </c>
      <c r="E377" s="46" t="s">
        <v>48</v>
      </c>
      <c r="F377" s="27">
        <f>SUMIFS(INDEX(Load,,MATCH('Summarized Source Data'!$C377,Hour,0)),Month,'Summarized Source Data'!$A377,Sector,'Summarized Source Data'!F$2,Subsector,'Summarized Source Data'!F$3,TimeOfWeek,$E377)*INDEX(About!B$79:B$82,MATCH($B377,About!$A$79:$A$82,0),1)</f>
        <v>3908079</v>
      </c>
      <c r="G377" s="27">
        <f>SUMIFS(INDEX(Load,,MATCH('Summarized Source Data'!$C377,Hour,0)),Month,'Summarized Source Data'!$A377,Sector,'Summarized Source Data'!G$2,Subsector,'Summarized Source Data'!G$3,TimeOfWeek,$E377)*INDEX(About!C$79:C$82,MATCH($B377,About!$A$79:$A$82,0),1)</f>
        <v>333634</v>
      </c>
      <c r="H377" s="27">
        <f>SUMIFS(INDEX(Load,,MATCH('Summarized Source Data'!$C377,Hour,0)),Month,'Summarized Source Data'!$A377,Sector,'Summarized Source Data'!H$2,Subsector,'Summarized Source Data'!H$3,TimeOfWeek,$E377)*INDEX(About!D$79:D$82,MATCH($B377,About!$A$79:$A$82,0),1)</f>
        <v>0</v>
      </c>
      <c r="I377" s="27">
        <f>SUMIFS(INDEX(Load,,MATCH('Summarized Source Data'!$C377,Hour,0)),Month,'Summarized Source Data'!$A377,Sector,'Summarized Source Data'!I$2,Subsector,'Summarized Source Data'!I$3,TimeOfWeek,$E377)*INDEX(About!E$79:E$82,MATCH($B377,About!$A$79:$A$82,0),1)</f>
        <v>7779583</v>
      </c>
      <c r="J377" s="54">
        <f t="shared" si="26"/>
        <v>80278704</v>
      </c>
      <c r="K377" s="27">
        <f>(SUMIFS(INDEX(Load,,MATCH('Summarized Source Data'!$C377,Hour,0)),Month,'Summarized Source Data'!$A377,Sector,'Summarized Source Data'!K$2,Subsector,"Total",TimeOfWeek,$E377)-SUM(F377:I377))*INDEX(About!G$79:G$82,MATCH($B377,About!$A$79:$A$82,0),1)</f>
        <v>80278704</v>
      </c>
      <c r="L377" s="27">
        <f>SUMIFS(INDEX(Load,,MATCH('Summarized Source Data'!$C377,Hour,0)),Month,'Summarized Source Data'!$A377,Sector,'Summarized Source Data'!L$2,Subsector,'Summarized Source Data'!L$3,TimeOfWeek,$E377)*INDEX(About!H$79:H$82,MATCH($B377,About!$A$79:$A$82,0),1)</f>
        <v>5505845</v>
      </c>
      <c r="M377" s="27">
        <f>SUMIFS(INDEX(Load,,MATCH('Summarized Source Data'!$C377,Hour,0)),Month,'Summarized Source Data'!$A377,Sector,'Summarized Source Data'!M$2,Subsector,'Summarized Source Data'!M$3,TimeOfWeek,$E377)*INDEX(About!I$79:I$82,MATCH($B377,About!$A$79:$A$82,0),1)</f>
        <v>305340</v>
      </c>
      <c r="N377" s="27">
        <f>SUMIFS(INDEX(Load,,MATCH('Summarized Source Data'!$C377,Hour,0)),Month,'Summarized Source Data'!$A377,Sector,'Summarized Source Data'!N$2,Subsector,'Summarized Source Data'!N$3,TimeOfWeek,$E377)*INDEX(About!J$79:J$82,MATCH($B377,About!$A$79:$A$82,0),1)</f>
        <v>0</v>
      </c>
      <c r="O377" s="29">
        <f t="shared" si="27"/>
        <v>121188815</v>
      </c>
      <c r="P377" s="27">
        <f>(SUMIFS(INDEX(Load,,MATCH('Summarized Source Data'!$C377,Hour,0)),Month,'Summarized Source Data'!$A377,Sector,'Summarized Source Data'!P$2,Subsector,"Total",TimeOfWeek,$E377)-SUM(L377:N377)*INDEX(About!L$79:L$82,MATCH($B377,About!$A$79:$A$82,0),1))</f>
        <v>121188815</v>
      </c>
      <c r="Q377" s="29">
        <f t="shared" si="28"/>
        <v>121188815</v>
      </c>
      <c r="R377" s="33">
        <f>SUMIFS(INDEX(Load,,MATCH('Summarized Source Data'!$C377,Hour,0)),Month,'Summarized Source Data'!$A377,Sector,'Summarized Source Data'!R$2,TimeOfWeek,$E377)*INDEX(About!N$79:N$82,MATCH($B377,About!$A$79:$A$82,0),1)</f>
        <v>5397334</v>
      </c>
      <c r="S377" s="33">
        <f>SUMIFS(INDEX(Load,,MATCH('Summarized Source Data'!$C377,Hour,0)),Month,'Summarized Source Data'!$A377,Sector,'Summarized Source Data'!S$2,TimeOfWeek,$E377)*INDEX(About!O$79:O$82,MATCH($B377,About!$A$79:$A$82,0),1)</f>
        <v>5397334</v>
      </c>
      <c r="T377" s="33">
        <f>SUMIFS(INDEX(Load,,MATCH('Summarized Source Data'!$C377,Hour,0)),Month,'Summarized Source Data'!$A377,Sector,'Summarized Source Data'!T$2,TimeOfWeek,$E377)*INDEX(About!P$79:P$82,MATCH($B377,About!$A$79:$A$82,0),1)</f>
        <v>5397334</v>
      </c>
      <c r="U377" s="33">
        <f>SUMIFS(INDEX(Load,,MATCH('Summarized Source Data'!$C377,Hour,0)),Month,'Summarized Source Data'!$A377,Sector,'Summarized Source Data'!U$2,TimeOfWeek,$E377)*INDEX(About!Q$79:Q$82,MATCH($B377,About!$A$79:$A$82,0),1)</f>
        <v>5397334</v>
      </c>
      <c r="V377" s="33">
        <f>SUMIFS(INDEX(Load,,MATCH('Summarized Source Data'!$C377,Hour,0)),Month,'Summarized Source Data'!$A377,Sector,'Summarized Source Data'!V$2,TimeOfWeek,$E377)*INDEX(About!R$79:R$82,MATCH($B377,About!$A$79:$A$82,0),1)</f>
        <v>5397334</v>
      </c>
      <c r="W377" s="33">
        <f>SUMIFS(INDEX(Load,,MATCH('Summarized Source Data'!$C377,Hour,0)),Month,'Summarized Source Data'!$A377,Sector,'Summarized Source Data'!W$2,TimeOfWeek,$E377)*INDEX(About!S$79:S$82,MATCH($B377,About!$A$79:$A$82,0),1)</f>
        <v>5397334</v>
      </c>
      <c r="X377" s="27">
        <f>SUMIFS(INDEX(Load,,MATCH('Summarized Source Data'!$C377,Hour,0)),Month,'Summarized Source Data'!$A377,Sector,'Summarized Source Data'!X$2,Subsector,'Summarized Source Data'!X$3,TimeOfWeek,$E377)*INDEX(About!T$79:T$82,MATCH($B377,About!$A$79:$A$82,0),1)</f>
        <v>335000000</v>
      </c>
      <c r="Y377" s="29">
        <f t="shared" si="29"/>
        <v>335000000</v>
      </c>
      <c r="Z377" s="29">
        <f t="shared" si="29"/>
        <v>335000000</v>
      </c>
    </row>
    <row r="378" spans="1:26" x14ac:dyDescent="0.3">
      <c r="A378">
        <f t="shared" si="30"/>
        <v>4</v>
      </c>
      <c r="B378" t="str">
        <f>INDEX('Category Mapping'!$G$28:$G$39,MATCH(A378,'Category Mapping'!$A$28:$A$39,0),1)</f>
        <v>Spring</v>
      </c>
      <c r="C378" t="s">
        <v>77</v>
      </c>
      <c r="D378" s="6" t="s">
        <v>152</v>
      </c>
      <c r="E378" s="46" t="s">
        <v>48</v>
      </c>
      <c r="F378" s="27">
        <f>SUMIFS(INDEX(Load,,MATCH('Summarized Source Data'!$C378,Hour,0)),Month,'Summarized Source Data'!$A378,Sector,'Summarized Source Data'!F$2,Subsector,'Summarized Source Data'!F$3,TimeOfWeek,$E378)*INDEX(About!B$79:B$82,MATCH($B378,About!$A$79:$A$82,0),1)</f>
        <v>3882134</v>
      </c>
      <c r="G378" s="27">
        <f>SUMIFS(INDEX(Load,,MATCH('Summarized Source Data'!$C378,Hour,0)),Month,'Summarized Source Data'!$A378,Sector,'Summarized Source Data'!G$2,Subsector,'Summarized Source Data'!G$3,TimeOfWeek,$E378)*INDEX(About!C$79:C$82,MATCH($B378,About!$A$79:$A$82,0),1)</f>
        <v>617997</v>
      </c>
      <c r="H378" s="27">
        <f>SUMIFS(INDEX(Load,,MATCH('Summarized Source Data'!$C378,Hour,0)),Month,'Summarized Source Data'!$A378,Sector,'Summarized Source Data'!H$2,Subsector,'Summarized Source Data'!H$3,TimeOfWeek,$E378)*INDEX(About!D$79:D$82,MATCH($B378,About!$A$79:$A$82,0),1)</f>
        <v>0</v>
      </c>
      <c r="I378" s="27">
        <f>SUMIFS(INDEX(Load,,MATCH('Summarized Source Data'!$C378,Hour,0)),Month,'Summarized Source Data'!$A378,Sector,'Summarized Source Data'!I$2,Subsector,'Summarized Source Data'!I$3,TimeOfWeek,$E378)*INDEX(About!E$79:E$82,MATCH($B378,About!$A$79:$A$82,0),1)</f>
        <v>7697725</v>
      </c>
      <c r="J378" s="54">
        <f t="shared" si="26"/>
        <v>83902144</v>
      </c>
      <c r="K378" s="27">
        <f>(SUMIFS(INDEX(Load,,MATCH('Summarized Source Data'!$C378,Hour,0)),Month,'Summarized Source Data'!$A378,Sector,'Summarized Source Data'!K$2,Subsector,"Total",TimeOfWeek,$E378)-SUM(F378:I378))*INDEX(About!G$79:G$82,MATCH($B378,About!$A$79:$A$82,0),1)</f>
        <v>83902144</v>
      </c>
      <c r="L378" s="27">
        <f>SUMIFS(INDEX(Load,,MATCH('Summarized Source Data'!$C378,Hour,0)),Month,'Summarized Source Data'!$A378,Sector,'Summarized Source Data'!L$2,Subsector,'Summarized Source Data'!L$3,TimeOfWeek,$E378)*INDEX(About!H$79:H$82,MATCH($B378,About!$A$79:$A$82,0),1)</f>
        <v>5511896</v>
      </c>
      <c r="M378" s="27">
        <f>SUMIFS(INDEX(Load,,MATCH('Summarized Source Data'!$C378,Hour,0)),Month,'Summarized Source Data'!$A378,Sector,'Summarized Source Data'!M$2,Subsector,'Summarized Source Data'!M$3,TimeOfWeek,$E378)*INDEX(About!I$79:I$82,MATCH($B378,About!$A$79:$A$82,0),1)</f>
        <v>306600</v>
      </c>
      <c r="N378" s="27">
        <f>SUMIFS(INDEX(Load,,MATCH('Summarized Source Data'!$C378,Hour,0)),Month,'Summarized Source Data'!$A378,Sector,'Summarized Source Data'!N$2,Subsector,'Summarized Source Data'!N$3,TimeOfWeek,$E378)*INDEX(About!J$79:J$82,MATCH($B378,About!$A$79:$A$82,0),1)</f>
        <v>0</v>
      </c>
      <c r="O378" s="29">
        <f t="shared" si="27"/>
        <v>116181504</v>
      </c>
      <c r="P378" s="27">
        <f>(SUMIFS(INDEX(Load,,MATCH('Summarized Source Data'!$C378,Hour,0)),Month,'Summarized Source Data'!$A378,Sector,'Summarized Source Data'!P$2,Subsector,"Total",TimeOfWeek,$E378)-SUM(L378:N378)*INDEX(About!L$79:L$82,MATCH($B378,About!$A$79:$A$82,0),1))</f>
        <v>116181504</v>
      </c>
      <c r="Q378" s="29">
        <f t="shared" si="28"/>
        <v>116181504</v>
      </c>
      <c r="R378" s="33">
        <f>SUMIFS(INDEX(Load,,MATCH('Summarized Source Data'!$C378,Hour,0)),Month,'Summarized Source Data'!$A378,Sector,'Summarized Source Data'!R$2,TimeOfWeek,$E378)*INDEX(About!N$79:N$82,MATCH($B378,About!$A$79:$A$82,0),1)</f>
        <v>5327069</v>
      </c>
      <c r="S378" s="33">
        <f>SUMIFS(INDEX(Load,,MATCH('Summarized Source Data'!$C378,Hour,0)),Month,'Summarized Source Data'!$A378,Sector,'Summarized Source Data'!S$2,TimeOfWeek,$E378)*INDEX(About!O$79:O$82,MATCH($B378,About!$A$79:$A$82,0),1)</f>
        <v>5327069</v>
      </c>
      <c r="T378" s="33">
        <f>SUMIFS(INDEX(Load,,MATCH('Summarized Source Data'!$C378,Hour,0)),Month,'Summarized Source Data'!$A378,Sector,'Summarized Source Data'!T$2,TimeOfWeek,$E378)*INDEX(About!P$79:P$82,MATCH($B378,About!$A$79:$A$82,0),1)</f>
        <v>5327069</v>
      </c>
      <c r="U378" s="33">
        <f>SUMIFS(INDEX(Load,,MATCH('Summarized Source Data'!$C378,Hour,0)),Month,'Summarized Source Data'!$A378,Sector,'Summarized Source Data'!U$2,TimeOfWeek,$E378)*INDEX(About!Q$79:Q$82,MATCH($B378,About!$A$79:$A$82,0),1)</f>
        <v>5327069</v>
      </c>
      <c r="V378" s="33">
        <f>SUMIFS(INDEX(Load,,MATCH('Summarized Source Data'!$C378,Hour,0)),Month,'Summarized Source Data'!$A378,Sector,'Summarized Source Data'!V$2,TimeOfWeek,$E378)*INDEX(About!R$79:R$82,MATCH($B378,About!$A$79:$A$82,0),1)</f>
        <v>5327069</v>
      </c>
      <c r="W378" s="33">
        <f>SUMIFS(INDEX(Load,,MATCH('Summarized Source Data'!$C378,Hour,0)),Month,'Summarized Source Data'!$A378,Sector,'Summarized Source Data'!W$2,TimeOfWeek,$E378)*INDEX(About!S$79:S$82,MATCH($B378,About!$A$79:$A$82,0),1)</f>
        <v>5327069</v>
      </c>
      <c r="X378" s="27">
        <f>SUMIFS(INDEX(Load,,MATCH('Summarized Source Data'!$C378,Hour,0)),Month,'Summarized Source Data'!$A378,Sector,'Summarized Source Data'!X$2,Subsector,'Summarized Source Data'!X$3,TimeOfWeek,$E378)*INDEX(About!T$79:T$82,MATCH($B378,About!$A$79:$A$82,0),1)</f>
        <v>336000000</v>
      </c>
      <c r="Y378" s="29">
        <f t="shared" si="29"/>
        <v>336000000</v>
      </c>
      <c r="Z378" s="29">
        <f t="shared" si="29"/>
        <v>336000000</v>
      </c>
    </row>
    <row r="379" spans="1:26" x14ac:dyDescent="0.3">
      <c r="A379">
        <f t="shared" si="30"/>
        <v>4</v>
      </c>
      <c r="B379" t="str">
        <f>INDEX('Category Mapping'!$G$28:$G$39,MATCH(A379,'Category Mapping'!$A$28:$A$39,0),1)</f>
        <v>Spring</v>
      </c>
      <c r="C379" t="s">
        <v>78</v>
      </c>
      <c r="D379" s="6" t="s">
        <v>153</v>
      </c>
      <c r="E379" s="46" t="s">
        <v>48</v>
      </c>
      <c r="F379" s="27">
        <f>SUMIFS(INDEX(Load,,MATCH('Summarized Source Data'!$C379,Hour,0)),Month,'Summarized Source Data'!$A379,Sector,'Summarized Source Data'!F$2,Subsector,'Summarized Source Data'!F$3,TimeOfWeek,$E379)*INDEX(About!B$79:B$82,MATCH($B379,About!$A$79:$A$82,0),1)</f>
        <v>3888257</v>
      </c>
      <c r="G379" s="27">
        <f>SUMIFS(INDEX(Load,,MATCH('Summarized Source Data'!$C379,Hour,0)),Month,'Summarized Source Data'!$A379,Sector,'Summarized Source Data'!G$2,Subsector,'Summarized Source Data'!G$3,TimeOfWeek,$E379)*INDEX(About!C$79:C$82,MATCH($B379,About!$A$79:$A$82,0),1)</f>
        <v>331874</v>
      </c>
      <c r="H379" s="27">
        <f>SUMIFS(INDEX(Load,,MATCH('Summarized Source Data'!$C379,Hour,0)),Month,'Summarized Source Data'!$A379,Sector,'Summarized Source Data'!H$2,Subsector,'Summarized Source Data'!H$3,TimeOfWeek,$E379)*INDEX(About!D$79:D$82,MATCH($B379,About!$A$79:$A$82,0),1)</f>
        <v>0</v>
      </c>
      <c r="I379" s="27">
        <f>SUMIFS(INDEX(Load,,MATCH('Summarized Source Data'!$C379,Hour,0)),Month,'Summarized Source Data'!$A379,Sector,'Summarized Source Data'!I$2,Subsector,'Summarized Source Data'!I$3,TimeOfWeek,$E379)*INDEX(About!E$79:E$82,MATCH($B379,About!$A$79:$A$82,0),1)</f>
        <v>7717043</v>
      </c>
      <c r="J379" s="54">
        <f t="shared" si="26"/>
        <v>87462826</v>
      </c>
      <c r="K379" s="27">
        <f>(SUMIFS(INDEX(Load,,MATCH('Summarized Source Data'!$C379,Hour,0)),Month,'Summarized Source Data'!$A379,Sector,'Summarized Source Data'!K$2,Subsector,"Total",TimeOfWeek,$E379)-SUM(F379:I379))*INDEX(About!G$79:G$82,MATCH($B379,About!$A$79:$A$82,0),1)</f>
        <v>87462826</v>
      </c>
      <c r="L379" s="27">
        <f>SUMIFS(INDEX(Load,,MATCH('Summarized Source Data'!$C379,Hour,0)),Month,'Summarized Source Data'!$A379,Sector,'Summarized Source Data'!L$2,Subsector,'Summarized Source Data'!L$3,TimeOfWeek,$E379)*INDEX(About!H$79:H$82,MATCH($B379,About!$A$79:$A$82,0),1)</f>
        <v>4972132</v>
      </c>
      <c r="M379" s="27">
        <f>SUMIFS(INDEX(Load,,MATCH('Summarized Source Data'!$C379,Hour,0)),Month,'Summarized Source Data'!$A379,Sector,'Summarized Source Data'!M$2,Subsector,'Summarized Source Data'!M$3,TimeOfWeek,$E379)*INDEX(About!I$79:I$82,MATCH($B379,About!$A$79:$A$82,0),1)</f>
        <v>305407</v>
      </c>
      <c r="N379" s="27">
        <f>SUMIFS(INDEX(Load,,MATCH('Summarized Source Data'!$C379,Hour,0)),Month,'Summarized Source Data'!$A379,Sector,'Summarized Source Data'!N$2,Subsector,'Summarized Source Data'!N$3,TimeOfWeek,$E379)*INDEX(About!J$79:J$82,MATCH($B379,About!$A$79:$A$82,0),1)</f>
        <v>0</v>
      </c>
      <c r="O379" s="29">
        <f t="shared" si="27"/>
        <v>107722461</v>
      </c>
      <c r="P379" s="27">
        <f>(SUMIFS(INDEX(Load,,MATCH('Summarized Source Data'!$C379,Hour,0)),Month,'Summarized Source Data'!$A379,Sector,'Summarized Source Data'!P$2,Subsector,"Total",TimeOfWeek,$E379)-SUM(L379:N379)*INDEX(About!L$79:L$82,MATCH($B379,About!$A$79:$A$82,0),1))</f>
        <v>107722461</v>
      </c>
      <c r="Q379" s="29">
        <f t="shared" si="28"/>
        <v>107722461</v>
      </c>
      <c r="R379" s="33">
        <f>SUMIFS(INDEX(Load,,MATCH('Summarized Source Data'!$C379,Hour,0)),Month,'Summarized Source Data'!$A379,Sector,'Summarized Source Data'!R$2,TimeOfWeek,$E379)*INDEX(About!N$79:N$82,MATCH($B379,About!$A$79:$A$82,0),1)</f>
        <v>5221671</v>
      </c>
      <c r="S379" s="33">
        <f>SUMIFS(INDEX(Load,,MATCH('Summarized Source Data'!$C379,Hour,0)),Month,'Summarized Source Data'!$A379,Sector,'Summarized Source Data'!S$2,TimeOfWeek,$E379)*INDEX(About!O$79:O$82,MATCH($B379,About!$A$79:$A$82,0),1)</f>
        <v>5221671</v>
      </c>
      <c r="T379" s="33">
        <f>SUMIFS(INDEX(Load,,MATCH('Summarized Source Data'!$C379,Hour,0)),Month,'Summarized Source Data'!$A379,Sector,'Summarized Source Data'!T$2,TimeOfWeek,$E379)*INDEX(About!P$79:P$82,MATCH($B379,About!$A$79:$A$82,0),1)</f>
        <v>5221671</v>
      </c>
      <c r="U379" s="33">
        <f>SUMIFS(INDEX(Load,,MATCH('Summarized Source Data'!$C379,Hour,0)),Month,'Summarized Source Data'!$A379,Sector,'Summarized Source Data'!U$2,TimeOfWeek,$E379)*INDEX(About!Q$79:Q$82,MATCH($B379,About!$A$79:$A$82,0),1)</f>
        <v>5221671</v>
      </c>
      <c r="V379" s="33">
        <f>SUMIFS(INDEX(Load,,MATCH('Summarized Source Data'!$C379,Hour,0)),Month,'Summarized Source Data'!$A379,Sector,'Summarized Source Data'!V$2,TimeOfWeek,$E379)*INDEX(About!R$79:R$82,MATCH($B379,About!$A$79:$A$82,0),1)</f>
        <v>5221671</v>
      </c>
      <c r="W379" s="33">
        <f>SUMIFS(INDEX(Load,,MATCH('Summarized Source Data'!$C379,Hour,0)),Month,'Summarized Source Data'!$A379,Sector,'Summarized Source Data'!W$2,TimeOfWeek,$E379)*INDEX(About!S$79:S$82,MATCH($B379,About!$A$79:$A$82,0),1)</f>
        <v>5221671</v>
      </c>
      <c r="X379" s="27">
        <f>SUMIFS(INDEX(Load,,MATCH('Summarized Source Data'!$C379,Hour,0)),Month,'Summarized Source Data'!$A379,Sector,'Summarized Source Data'!X$2,Subsector,'Summarized Source Data'!X$3,TimeOfWeek,$E379)*INDEX(About!T$79:T$82,MATCH($B379,About!$A$79:$A$82,0),1)</f>
        <v>340000000</v>
      </c>
      <c r="Y379" s="29">
        <f t="shared" si="29"/>
        <v>340000000</v>
      </c>
      <c r="Z379" s="29">
        <f t="shared" si="29"/>
        <v>340000000</v>
      </c>
    </row>
    <row r="380" spans="1:26" x14ac:dyDescent="0.3">
      <c r="A380">
        <f t="shared" si="30"/>
        <v>4</v>
      </c>
      <c r="B380" t="str">
        <f>INDEX('Category Mapping'!$G$28:$G$39,MATCH(A380,'Category Mapping'!$A$28:$A$39,0),1)</f>
        <v>Spring</v>
      </c>
      <c r="C380" t="s">
        <v>79</v>
      </c>
      <c r="D380" s="6" t="s">
        <v>154</v>
      </c>
      <c r="E380" s="46" t="s">
        <v>48</v>
      </c>
      <c r="F380" s="27">
        <f>SUMIFS(INDEX(Load,,MATCH('Summarized Source Data'!$C380,Hour,0)),Month,'Summarized Source Data'!$A380,Sector,'Summarized Source Data'!F$2,Subsector,'Summarized Source Data'!F$3,TimeOfWeek,$E380)*INDEX(About!B$79:B$82,MATCH($B380,About!$A$79:$A$82,0),1)</f>
        <v>3955051</v>
      </c>
      <c r="G380" s="27">
        <f>SUMIFS(INDEX(Load,,MATCH('Summarized Source Data'!$C380,Hour,0)),Month,'Summarized Source Data'!$A380,Sector,'Summarized Source Data'!G$2,Subsector,'Summarized Source Data'!G$3,TimeOfWeek,$E380)*INDEX(About!C$79:C$82,MATCH($B380,About!$A$79:$A$82,0),1)</f>
        <v>11342</v>
      </c>
      <c r="H380" s="27">
        <f>SUMIFS(INDEX(Load,,MATCH('Summarized Source Data'!$C380,Hour,0)),Month,'Summarized Source Data'!$A380,Sector,'Summarized Source Data'!H$2,Subsector,'Summarized Source Data'!H$3,TimeOfWeek,$E380)*INDEX(About!D$79:D$82,MATCH($B380,About!$A$79:$A$82,0),1)</f>
        <v>0</v>
      </c>
      <c r="I380" s="27">
        <f>SUMIFS(INDEX(Load,,MATCH('Summarized Source Data'!$C380,Hour,0)),Month,'Summarized Source Data'!$A380,Sector,'Summarized Source Data'!I$2,Subsector,'Summarized Source Data'!I$3,TimeOfWeek,$E380)*INDEX(About!E$79:E$82,MATCH($B380,About!$A$79:$A$82,0),1)</f>
        <v>7927779</v>
      </c>
      <c r="J380" s="54">
        <f t="shared" si="26"/>
        <v>93105828</v>
      </c>
      <c r="K380" s="27">
        <f>(SUMIFS(INDEX(Load,,MATCH('Summarized Source Data'!$C380,Hour,0)),Month,'Summarized Source Data'!$A380,Sector,'Summarized Source Data'!K$2,Subsector,"Total",TimeOfWeek,$E380)-SUM(F380:I380))*INDEX(About!G$79:G$82,MATCH($B380,About!$A$79:$A$82,0),1)</f>
        <v>93105828</v>
      </c>
      <c r="L380" s="27">
        <f>SUMIFS(INDEX(Load,,MATCH('Summarized Source Data'!$C380,Hour,0)),Month,'Summarized Source Data'!$A380,Sector,'Summarized Source Data'!L$2,Subsector,'Summarized Source Data'!L$3,TimeOfWeek,$E380)*INDEX(About!H$79:H$82,MATCH($B380,About!$A$79:$A$82,0),1)</f>
        <v>4959262</v>
      </c>
      <c r="M380" s="27">
        <f>SUMIFS(INDEX(Load,,MATCH('Summarized Source Data'!$C380,Hour,0)),Month,'Summarized Source Data'!$A380,Sector,'Summarized Source Data'!M$2,Subsector,'Summarized Source Data'!M$3,TimeOfWeek,$E380)*INDEX(About!I$79:I$82,MATCH($B380,About!$A$79:$A$82,0),1)</f>
        <v>300710</v>
      </c>
      <c r="N380" s="27">
        <f>SUMIFS(INDEX(Load,,MATCH('Summarized Source Data'!$C380,Hour,0)),Month,'Summarized Source Data'!$A380,Sector,'Summarized Source Data'!N$2,Subsector,'Summarized Source Data'!N$3,TimeOfWeek,$E380)*INDEX(About!J$79:J$82,MATCH($B380,About!$A$79:$A$82,0),1)</f>
        <v>0</v>
      </c>
      <c r="O380" s="29">
        <f t="shared" si="27"/>
        <v>102740028</v>
      </c>
      <c r="P380" s="27">
        <f>(SUMIFS(INDEX(Load,,MATCH('Summarized Source Data'!$C380,Hour,0)),Month,'Summarized Source Data'!$A380,Sector,'Summarized Source Data'!P$2,Subsector,"Total",TimeOfWeek,$E380)-SUM(L380:N380)*INDEX(About!L$79:L$82,MATCH($B380,About!$A$79:$A$82,0),1))</f>
        <v>102740028</v>
      </c>
      <c r="Q380" s="29">
        <f t="shared" si="28"/>
        <v>102740028</v>
      </c>
      <c r="R380" s="33">
        <f>SUMIFS(INDEX(Load,,MATCH('Summarized Source Data'!$C380,Hour,0)),Month,'Summarized Source Data'!$A380,Sector,'Summarized Source Data'!R$2,TimeOfWeek,$E380)*INDEX(About!N$79:N$82,MATCH($B380,About!$A$79:$A$82,0),1)</f>
        <v>5974147</v>
      </c>
      <c r="S380" s="33">
        <f>SUMIFS(INDEX(Load,,MATCH('Summarized Source Data'!$C380,Hour,0)),Month,'Summarized Source Data'!$A380,Sector,'Summarized Source Data'!S$2,TimeOfWeek,$E380)*INDEX(About!O$79:O$82,MATCH($B380,About!$A$79:$A$82,0),1)</f>
        <v>5974147</v>
      </c>
      <c r="T380" s="33">
        <f>SUMIFS(INDEX(Load,,MATCH('Summarized Source Data'!$C380,Hour,0)),Month,'Summarized Source Data'!$A380,Sector,'Summarized Source Data'!T$2,TimeOfWeek,$E380)*INDEX(About!P$79:P$82,MATCH($B380,About!$A$79:$A$82,0),1)</f>
        <v>5974147</v>
      </c>
      <c r="U380" s="33">
        <f>SUMIFS(INDEX(Load,,MATCH('Summarized Source Data'!$C380,Hour,0)),Month,'Summarized Source Data'!$A380,Sector,'Summarized Source Data'!U$2,TimeOfWeek,$E380)*INDEX(About!Q$79:Q$82,MATCH($B380,About!$A$79:$A$82,0),1)</f>
        <v>5974147</v>
      </c>
      <c r="V380" s="33">
        <f>SUMIFS(INDEX(Load,,MATCH('Summarized Source Data'!$C380,Hour,0)),Month,'Summarized Source Data'!$A380,Sector,'Summarized Source Data'!V$2,TimeOfWeek,$E380)*INDEX(About!R$79:R$82,MATCH($B380,About!$A$79:$A$82,0),1)</f>
        <v>5974147</v>
      </c>
      <c r="W380" s="33">
        <f>SUMIFS(INDEX(Load,,MATCH('Summarized Source Data'!$C380,Hour,0)),Month,'Summarized Source Data'!$A380,Sector,'Summarized Source Data'!W$2,TimeOfWeek,$E380)*INDEX(About!S$79:S$82,MATCH($B380,About!$A$79:$A$82,0),1)</f>
        <v>5974147</v>
      </c>
      <c r="X380" s="27">
        <f>SUMIFS(INDEX(Load,,MATCH('Summarized Source Data'!$C380,Hour,0)),Month,'Summarized Source Data'!$A380,Sector,'Summarized Source Data'!X$2,Subsector,'Summarized Source Data'!X$3,TimeOfWeek,$E380)*INDEX(About!T$79:T$82,MATCH($B380,About!$A$79:$A$82,0),1)</f>
        <v>343000000</v>
      </c>
      <c r="Y380" s="29">
        <f t="shared" si="29"/>
        <v>343000000</v>
      </c>
      <c r="Z380" s="29">
        <f t="shared" si="29"/>
        <v>343000000</v>
      </c>
    </row>
    <row r="381" spans="1:26" x14ac:dyDescent="0.3">
      <c r="A381">
        <f t="shared" si="30"/>
        <v>4</v>
      </c>
      <c r="B381" t="str">
        <f>INDEX('Category Mapping'!$G$28:$G$39,MATCH(A381,'Category Mapping'!$A$28:$A$39,0),1)</f>
        <v>Spring</v>
      </c>
      <c r="C381" t="s">
        <v>80</v>
      </c>
      <c r="D381" s="6" t="s">
        <v>155</v>
      </c>
      <c r="E381" s="46" t="s">
        <v>48</v>
      </c>
      <c r="F381" s="27">
        <f>SUMIFS(INDEX(Load,,MATCH('Summarized Source Data'!$C381,Hour,0)),Month,'Summarized Source Data'!$A381,Sector,'Summarized Source Data'!F$2,Subsector,'Summarized Source Data'!F$3,TimeOfWeek,$E381)*INDEX(About!B$79:B$82,MATCH($B381,About!$A$79:$A$82,0),1)</f>
        <v>4079746</v>
      </c>
      <c r="G381" s="27">
        <f>SUMIFS(INDEX(Load,,MATCH('Summarized Source Data'!$C381,Hour,0)),Month,'Summarized Source Data'!$A381,Sector,'Summarized Source Data'!G$2,Subsector,'Summarized Source Data'!G$3,TimeOfWeek,$E381)*INDEX(About!C$79:C$82,MATCH($B381,About!$A$79:$A$82,0),1)</f>
        <v>11791</v>
      </c>
      <c r="H381" s="27">
        <f>SUMIFS(INDEX(Load,,MATCH('Summarized Source Data'!$C381,Hour,0)),Month,'Summarized Source Data'!$A381,Sector,'Summarized Source Data'!H$2,Subsector,'Summarized Source Data'!H$3,TimeOfWeek,$E381)*INDEX(About!D$79:D$82,MATCH($B381,About!$A$79:$A$82,0),1)</f>
        <v>0</v>
      </c>
      <c r="I381" s="27">
        <f>SUMIFS(INDEX(Load,,MATCH('Summarized Source Data'!$C381,Hour,0)),Month,'Summarized Source Data'!$A381,Sector,'Summarized Source Data'!I$2,Subsector,'Summarized Source Data'!I$3,TimeOfWeek,$E381)*INDEX(About!E$79:E$82,MATCH($B381,About!$A$79:$A$82,0),1)</f>
        <v>13200000</v>
      </c>
      <c r="J381" s="54">
        <f t="shared" si="26"/>
        <v>93708463</v>
      </c>
      <c r="K381" s="27">
        <f>(SUMIFS(INDEX(Load,,MATCH('Summarized Source Data'!$C381,Hour,0)),Month,'Summarized Source Data'!$A381,Sector,'Summarized Source Data'!K$2,Subsector,"Total",TimeOfWeek,$E381)-SUM(F381:I381))*INDEX(About!G$79:G$82,MATCH($B381,About!$A$79:$A$82,0),1)</f>
        <v>93708463</v>
      </c>
      <c r="L381" s="27">
        <f>SUMIFS(INDEX(Load,,MATCH('Summarized Source Data'!$C381,Hour,0)),Month,'Summarized Source Data'!$A381,Sector,'Summarized Source Data'!L$2,Subsector,'Summarized Source Data'!L$3,TimeOfWeek,$E381)*INDEX(About!H$79:H$82,MATCH($B381,About!$A$79:$A$82,0),1)</f>
        <v>5502430</v>
      </c>
      <c r="M381" s="27">
        <f>SUMIFS(INDEX(Load,,MATCH('Summarized Source Data'!$C381,Hour,0)),Month,'Summarized Source Data'!$A381,Sector,'Summarized Source Data'!M$2,Subsector,'Summarized Source Data'!M$3,TimeOfWeek,$E381)*INDEX(About!I$79:I$82,MATCH($B381,About!$A$79:$A$82,0),1)</f>
        <v>293404</v>
      </c>
      <c r="N381" s="27">
        <f>SUMIFS(INDEX(Load,,MATCH('Summarized Source Data'!$C381,Hour,0)),Month,'Summarized Source Data'!$A381,Sector,'Summarized Source Data'!N$2,Subsector,'Summarized Source Data'!N$3,TimeOfWeek,$E381)*INDEX(About!J$79:J$82,MATCH($B381,About!$A$79:$A$82,0),1)</f>
        <v>0</v>
      </c>
      <c r="O381" s="29">
        <f t="shared" si="27"/>
        <v>103204166</v>
      </c>
      <c r="P381" s="27">
        <f>(SUMIFS(INDEX(Load,,MATCH('Summarized Source Data'!$C381,Hour,0)),Month,'Summarized Source Data'!$A381,Sector,'Summarized Source Data'!P$2,Subsector,"Total",TimeOfWeek,$E381)-SUM(L381:N381)*INDEX(About!L$79:L$82,MATCH($B381,About!$A$79:$A$82,0),1))</f>
        <v>103204166</v>
      </c>
      <c r="Q381" s="29">
        <f t="shared" si="28"/>
        <v>103204166</v>
      </c>
      <c r="R381" s="33">
        <f>SUMIFS(INDEX(Load,,MATCH('Summarized Source Data'!$C381,Hour,0)),Month,'Summarized Source Data'!$A381,Sector,'Summarized Source Data'!R$2,TimeOfWeek,$E381)*INDEX(About!N$79:N$82,MATCH($B381,About!$A$79:$A$82,0),1)</f>
        <v>5980002</v>
      </c>
      <c r="S381" s="33">
        <f>SUMIFS(INDEX(Load,,MATCH('Summarized Source Data'!$C381,Hour,0)),Month,'Summarized Source Data'!$A381,Sector,'Summarized Source Data'!S$2,TimeOfWeek,$E381)*INDEX(About!O$79:O$82,MATCH($B381,About!$A$79:$A$82,0),1)</f>
        <v>5980002</v>
      </c>
      <c r="T381" s="33">
        <f>SUMIFS(INDEX(Load,,MATCH('Summarized Source Data'!$C381,Hour,0)),Month,'Summarized Source Data'!$A381,Sector,'Summarized Source Data'!T$2,TimeOfWeek,$E381)*INDEX(About!P$79:P$82,MATCH($B381,About!$A$79:$A$82,0),1)</f>
        <v>5980002</v>
      </c>
      <c r="U381" s="33">
        <f>SUMIFS(INDEX(Load,,MATCH('Summarized Source Data'!$C381,Hour,0)),Month,'Summarized Source Data'!$A381,Sector,'Summarized Source Data'!U$2,TimeOfWeek,$E381)*INDEX(About!Q$79:Q$82,MATCH($B381,About!$A$79:$A$82,0),1)</f>
        <v>5980002</v>
      </c>
      <c r="V381" s="33">
        <f>SUMIFS(INDEX(Load,,MATCH('Summarized Source Data'!$C381,Hour,0)),Month,'Summarized Source Data'!$A381,Sector,'Summarized Source Data'!V$2,TimeOfWeek,$E381)*INDEX(About!R$79:R$82,MATCH($B381,About!$A$79:$A$82,0),1)</f>
        <v>5980002</v>
      </c>
      <c r="W381" s="33">
        <f>SUMIFS(INDEX(Load,,MATCH('Summarized Source Data'!$C381,Hour,0)),Month,'Summarized Source Data'!$A381,Sector,'Summarized Source Data'!W$2,TimeOfWeek,$E381)*INDEX(About!S$79:S$82,MATCH($B381,About!$A$79:$A$82,0),1)</f>
        <v>5980002</v>
      </c>
      <c r="X381" s="27">
        <f>SUMIFS(INDEX(Load,,MATCH('Summarized Source Data'!$C381,Hour,0)),Month,'Summarized Source Data'!$A381,Sector,'Summarized Source Data'!X$2,Subsector,'Summarized Source Data'!X$3,TimeOfWeek,$E381)*INDEX(About!T$79:T$82,MATCH($B381,About!$A$79:$A$82,0),1)</f>
        <v>344000000</v>
      </c>
      <c r="Y381" s="29">
        <f t="shared" si="29"/>
        <v>344000000</v>
      </c>
      <c r="Z381" s="29">
        <f t="shared" si="29"/>
        <v>344000000</v>
      </c>
    </row>
    <row r="382" spans="1:26" x14ac:dyDescent="0.3">
      <c r="A382">
        <f t="shared" si="30"/>
        <v>4</v>
      </c>
      <c r="B382" t="str">
        <f>INDEX('Category Mapping'!$G$28:$G$39,MATCH(A382,'Category Mapping'!$A$28:$A$39,0),1)</f>
        <v>Spring</v>
      </c>
      <c r="C382" t="s">
        <v>81</v>
      </c>
      <c r="D382" s="6" t="s">
        <v>156</v>
      </c>
      <c r="E382" s="46" t="s">
        <v>48</v>
      </c>
      <c r="F382" s="27">
        <f>SUMIFS(INDEX(Load,,MATCH('Summarized Source Data'!$C382,Hour,0)),Month,'Summarized Source Data'!$A382,Sector,'Summarized Source Data'!F$2,Subsector,'Summarized Source Data'!F$3,TimeOfWeek,$E382)*INDEX(About!B$79:B$82,MATCH($B382,About!$A$79:$A$82,0),1)</f>
        <v>4228393</v>
      </c>
      <c r="G382" s="27">
        <f>SUMIFS(INDEX(Load,,MATCH('Summarized Source Data'!$C382,Hour,0)),Month,'Summarized Source Data'!$A382,Sector,'Summarized Source Data'!G$2,Subsector,'Summarized Source Data'!G$3,TimeOfWeek,$E382)*INDEX(About!C$79:C$82,MATCH($B382,About!$A$79:$A$82,0),1)</f>
        <v>12516</v>
      </c>
      <c r="H382" s="27">
        <f>SUMIFS(INDEX(Load,,MATCH('Summarized Source Data'!$C382,Hour,0)),Month,'Summarized Source Data'!$A382,Sector,'Summarized Source Data'!H$2,Subsector,'Summarized Source Data'!H$3,TimeOfWeek,$E382)*INDEX(About!D$79:D$82,MATCH($B382,About!$A$79:$A$82,0),1)</f>
        <v>0</v>
      </c>
      <c r="I382" s="27">
        <f>SUMIFS(INDEX(Load,,MATCH('Summarized Source Data'!$C382,Hour,0)),Month,'Summarized Source Data'!$A382,Sector,'Summarized Source Data'!I$2,Subsector,'Summarized Source Data'!I$3,TimeOfWeek,$E382)*INDEX(About!E$79:E$82,MATCH($B382,About!$A$79:$A$82,0),1)</f>
        <v>29300000</v>
      </c>
      <c r="J382" s="54">
        <f t="shared" si="26"/>
        <v>91459091</v>
      </c>
      <c r="K382" s="27">
        <f>(SUMIFS(INDEX(Load,,MATCH('Summarized Source Data'!$C382,Hour,0)),Month,'Summarized Source Data'!$A382,Sector,'Summarized Source Data'!K$2,Subsector,"Total",TimeOfWeek,$E382)-SUM(F382:I382))*INDEX(About!G$79:G$82,MATCH($B382,About!$A$79:$A$82,0),1)</f>
        <v>91459091</v>
      </c>
      <c r="L382" s="27">
        <f>SUMIFS(INDEX(Load,,MATCH('Summarized Source Data'!$C382,Hour,0)),Month,'Summarized Source Data'!$A382,Sector,'Summarized Source Data'!L$2,Subsector,'Summarized Source Data'!L$3,TimeOfWeek,$E382)*INDEX(About!H$79:H$82,MATCH($B382,About!$A$79:$A$82,0),1)</f>
        <v>4900848</v>
      </c>
      <c r="M382" s="27">
        <f>SUMIFS(INDEX(Load,,MATCH('Summarized Source Data'!$C382,Hour,0)),Month,'Summarized Source Data'!$A382,Sector,'Summarized Source Data'!M$2,Subsector,'Summarized Source Data'!M$3,TimeOfWeek,$E382)*INDEX(About!I$79:I$82,MATCH($B382,About!$A$79:$A$82,0),1)</f>
        <v>287111</v>
      </c>
      <c r="N382" s="27">
        <f>SUMIFS(INDEX(Load,,MATCH('Summarized Source Data'!$C382,Hour,0)),Month,'Summarized Source Data'!$A382,Sector,'Summarized Source Data'!N$2,Subsector,'Summarized Source Data'!N$3,TimeOfWeek,$E382)*INDEX(About!J$79:J$82,MATCH($B382,About!$A$79:$A$82,0),1)</f>
        <v>0</v>
      </c>
      <c r="O382" s="29">
        <f t="shared" si="27"/>
        <v>101812041</v>
      </c>
      <c r="P382" s="27">
        <f>(SUMIFS(INDEX(Load,,MATCH('Summarized Source Data'!$C382,Hour,0)),Month,'Summarized Source Data'!$A382,Sector,'Summarized Source Data'!P$2,Subsector,"Total",TimeOfWeek,$E382)-SUM(L382:N382)*INDEX(About!L$79:L$82,MATCH($B382,About!$A$79:$A$82,0),1))</f>
        <v>101812041</v>
      </c>
      <c r="Q382" s="29">
        <f t="shared" si="28"/>
        <v>101812041</v>
      </c>
      <c r="R382" s="33">
        <f>SUMIFS(INDEX(Load,,MATCH('Summarized Source Data'!$C382,Hour,0)),Month,'Summarized Source Data'!$A382,Sector,'Summarized Source Data'!R$2,TimeOfWeek,$E382)*INDEX(About!N$79:N$82,MATCH($B382,About!$A$79:$A$82,0),1)</f>
        <v>5939014</v>
      </c>
      <c r="S382" s="33">
        <f>SUMIFS(INDEX(Load,,MATCH('Summarized Source Data'!$C382,Hour,0)),Month,'Summarized Source Data'!$A382,Sector,'Summarized Source Data'!S$2,TimeOfWeek,$E382)*INDEX(About!O$79:O$82,MATCH($B382,About!$A$79:$A$82,0),1)</f>
        <v>5939014</v>
      </c>
      <c r="T382" s="33">
        <f>SUMIFS(INDEX(Load,,MATCH('Summarized Source Data'!$C382,Hour,0)),Month,'Summarized Source Data'!$A382,Sector,'Summarized Source Data'!T$2,TimeOfWeek,$E382)*INDEX(About!P$79:P$82,MATCH($B382,About!$A$79:$A$82,0),1)</f>
        <v>5939014</v>
      </c>
      <c r="U382" s="33">
        <f>SUMIFS(INDEX(Load,,MATCH('Summarized Source Data'!$C382,Hour,0)),Month,'Summarized Source Data'!$A382,Sector,'Summarized Source Data'!U$2,TimeOfWeek,$E382)*INDEX(About!Q$79:Q$82,MATCH($B382,About!$A$79:$A$82,0),1)</f>
        <v>5939014</v>
      </c>
      <c r="V382" s="33">
        <f>SUMIFS(INDEX(Load,,MATCH('Summarized Source Data'!$C382,Hour,0)),Month,'Summarized Source Data'!$A382,Sector,'Summarized Source Data'!V$2,TimeOfWeek,$E382)*INDEX(About!R$79:R$82,MATCH($B382,About!$A$79:$A$82,0),1)</f>
        <v>5939014</v>
      </c>
      <c r="W382" s="33">
        <f>SUMIFS(INDEX(Load,,MATCH('Summarized Source Data'!$C382,Hour,0)),Month,'Summarized Source Data'!$A382,Sector,'Summarized Source Data'!W$2,TimeOfWeek,$E382)*INDEX(About!S$79:S$82,MATCH($B382,About!$A$79:$A$82,0),1)</f>
        <v>5939014</v>
      </c>
      <c r="X382" s="27">
        <f>SUMIFS(INDEX(Load,,MATCH('Summarized Source Data'!$C382,Hour,0)),Month,'Summarized Source Data'!$A382,Sector,'Summarized Source Data'!X$2,Subsector,'Summarized Source Data'!X$3,TimeOfWeek,$E382)*INDEX(About!T$79:T$82,MATCH($B382,About!$A$79:$A$82,0),1)</f>
        <v>343000000</v>
      </c>
      <c r="Y382" s="29">
        <f t="shared" si="29"/>
        <v>343000000</v>
      </c>
      <c r="Z382" s="29">
        <f t="shared" si="29"/>
        <v>343000000</v>
      </c>
    </row>
    <row r="383" spans="1:26" x14ac:dyDescent="0.3">
      <c r="A383">
        <f t="shared" si="30"/>
        <v>4</v>
      </c>
      <c r="B383" t="str">
        <f>INDEX('Category Mapping'!$G$28:$G$39,MATCH(A383,'Category Mapping'!$A$28:$A$39,0),1)</f>
        <v>Spring</v>
      </c>
      <c r="C383" t="s">
        <v>82</v>
      </c>
      <c r="D383" s="6" t="s">
        <v>157</v>
      </c>
      <c r="E383" s="46" t="s">
        <v>48</v>
      </c>
      <c r="F383" s="27">
        <f>SUMIFS(INDEX(Load,,MATCH('Summarized Source Data'!$C383,Hour,0)),Month,'Summarized Source Data'!$A383,Sector,'Summarized Source Data'!F$2,Subsector,'Summarized Source Data'!F$3,TimeOfWeek,$E383)*INDEX(About!B$79:B$82,MATCH($B383,About!$A$79:$A$82,0),1)</f>
        <v>4360468</v>
      </c>
      <c r="G383" s="27">
        <f>SUMIFS(INDEX(Load,,MATCH('Summarized Source Data'!$C383,Hour,0)),Month,'Summarized Source Data'!$A383,Sector,'Summarized Source Data'!G$2,Subsector,'Summarized Source Data'!G$3,TimeOfWeek,$E383)*INDEX(About!C$79:C$82,MATCH($B383,About!$A$79:$A$82,0),1)</f>
        <v>13300</v>
      </c>
      <c r="H383" s="27">
        <f>SUMIFS(INDEX(Load,,MATCH('Summarized Source Data'!$C383,Hour,0)),Month,'Summarized Source Data'!$A383,Sector,'Summarized Source Data'!H$2,Subsector,'Summarized Source Data'!H$3,TimeOfWeek,$E383)*INDEX(About!D$79:D$82,MATCH($B383,About!$A$79:$A$82,0),1)</f>
        <v>0</v>
      </c>
      <c r="I383" s="27">
        <f>SUMIFS(INDEX(Load,,MATCH('Summarized Source Data'!$C383,Hour,0)),Month,'Summarized Source Data'!$A383,Sector,'Summarized Source Data'!I$2,Subsector,'Summarized Source Data'!I$3,TimeOfWeek,$E383)*INDEX(About!E$79:E$82,MATCH($B383,About!$A$79:$A$82,0),1)</f>
        <v>30700000</v>
      </c>
      <c r="J383" s="54">
        <f t="shared" si="26"/>
        <v>83926232</v>
      </c>
      <c r="K383" s="27">
        <f>(SUMIFS(INDEX(Load,,MATCH('Summarized Source Data'!$C383,Hour,0)),Month,'Summarized Source Data'!$A383,Sector,'Summarized Source Data'!K$2,Subsector,"Total",TimeOfWeek,$E383)-SUM(F383:I383))*INDEX(About!G$79:G$82,MATCH($B383,About!$A$79:$A$82,0),1)</f>
        <v>83926232</v>
      </c>
      <c r="L383" s="27">
        <f>SUMIFS(INDEX(Load,,MATCH('Summarized Source Data'!$C383,Hour,0)),Month,'Summarized Source Data'!$A383,Sector,'Summarized Source Data'!L$2,Subsector,'Summarized Source Data'!L$3,TimeOfWeek,$E383)*INDEX(About!H$79:H$82,MATCH($B383,About!$A$79:$A$82,0),1)</f>
        <v>5310237</v>
      </c>
      <c r="M383" s="27">
        <f>SUMIFS(INDEX(Load,,MATCH('Summarized Source Data'!$C383,Hour,0)),Month,'Summarized Source Data'!$A383,Sector,'Summarized Source Data'!M$2,Subsector,'Summarized Source Data'!M$3,TimeOfWeek,$E383)*INDEX(About!I$79:I$82,MATCH($B383,About!$A$79:$A$82,0),1)</f>
        <v>278129</v>
      </c>
      <c r="N383" s="27">
        <f>SUMIFS(INDEX(Load,,MATCH('Summarized Source Data'!$C383,Hour,0)),Month,'Summarized Source Data'!$A383,Sector,'Summarized Source Data'!N$2,Subsector,'Summarized Source Data'!N$3,TimeOfWeek,$E383)*INDEX(About!J$79:J$82,MATCH($B383,About!$A$79:$A$82,0),1)</f>
        <v>0</v>
      </c>
      <c r="O383" s="29">
        <f t="shared" si="27"/>
        <v>99411634</v>
      </c>
      <c r="P383" s="27">
        <f>(SUMIFS(INDEX(Load,,MATCH('Summarized Source Data'!$C383,Hour,0)),Month,'Summarized Source Data'!$A383,Sector,'Summarized Source Data'!P$2,Subsector,"Total",TimeOfWeek,$E383)-SUM(L383:N383)*INDEX(About!L$79:L$82,MATCH($B383,About!$A$79:$A$82,0),1))</f>
        <v>99411634</v>
      </c>
      <c r="Q383" s="29">
        <f t="shared" si="28"/>
        <v>99411634</v>
      </c>
      <c r="R383" s="33">
        <f>SUMIFS(INDEX(Load,,MATCH('Summarized Source Data'!$C383,Hour,0)),Month,'Summarized Source Data'!$A383,Sector,'Summarized Source Data'!R$2,TimeOfWeek,$E383)*INDEX(About!N$79:N$82,MATCH($B383,About!$A$79:$A$82,0),1)</f>
        <v>5804338</v>
      </c>
      <c r="S383" s="33">
        <f>SUMIFS(INDEX(Load,,MATCH('Summarized Source Data'!$C383,Hour,0)),Month,'Summarized Source Data'!$A383,Sector,'Summarized Source Data'!S$2,TimeOfWeek,$E383)*INDEX(About!O$79:O$82,MATCH($B383,About!$A$79:$A$82,0),1)</f>
        <v>5804338</v>
      </c>
      <c r="T383" s="33">
        <f>SUMIFS(INDEX(Load,,MATCH('Summarized Source Data'!$C383,Hour,0)),Month,'Summarized Source Data'!$A383,Sector,'Summarized Source Data'!T$2,TimeOfWeek,$E383)*INDEX(About!P$79:P$82,MATCH($B383,About!$A$79:$A$82,0),1)</f>
        <v>5804338</v>
      </c>
      <c r="U383" s="33">
        <f>SUMIFS(INDEX(Load,,MATCH('Summarized Source Data'!$C383,Hour,0)),Month,'Summarized Source Data'!$A383,Sector,'Summarized Source Data'!U$2,TimeOfWeek,$E383)*INDEX(About!Q$79:Q$82,MATCH($B383,About!$A$79:$A$82,0),1)</f>
        <v>5804338</v>
      </c>
      <c r="V383" s="33">
        <f>SUMIFS(INDEX(Load,,MATCH('Summarized Source Data'!$C383,Hour,0)),Month,'Summarized Source Data'!$A383,Sector,'Summarized Source Data'!V$2,TimeOfWeek,$E383)*INDEX(About!R$79:R$82,MATCH($B383,About!$A$79:$A$82,0),1)</f>
        <v>5804338</v>
      </c>
      <c r="W383" s="33">
        <f>SUMIFS(INDEX(Load,,MATCH('Summarized Source Data'!$C383,Hour,0)),Month,'Summarized Source Data'!$A383,Sector,'Summarized Source Data'!W$2,TimeOfWeek,$E383)*INDEX(About!S$79:S$82,MATCH($B383,About!$A$79:$A$82,0),1)</f>
        <v>5804338</v>
      </c>
      <c r="X383" s="27">
        <f>SUMIFS(INDEX(Load,,MATCH('Summarized Source Data'!$C383,Hour,0)),Month,'Summarized Source Data'!$A383,Sector,'Summarized Source Data'!X$2,Subsector,'Summarized Source Data'!X$3,TimeOfWeek,$E383)*INDEX(About!T$79:T$82,MATCH($B383,About!$A$79:$A$82,0),1)</f>
        <v>341000000</v>
      </c>
      <c r="Y383" s="29">
        <f t="shared" si="29"/>
        <v>341000000</v>
      </c>
      <c r="Z383" s="29">
        <f t="shared" si="29"/>
        <v>341000000</v>
      </c>
    </row>
    <row r="384" spans="1:26" x14ac:dyDescent="0.3">
      <c r="A384">
        <f t="shared" si="30"/>
        <v>4</v>
      </c>
      <c r="B384" t="str">
        <f>INDEX('Category Mapping'!$G$28:$G$39,MATCH(A384,'Category Mapping'!$A$28:$A$39,0),1)</f>
        <v>Spring</v>
      </c>
      <c r="C384" t="s">
        <v>83</v>
      </c>
      <c r="D384" s="6" t="s">
        <v>158</v>
      </c>
      <c r="E384" s="46" t="s">
        <v>48</v>
      </c>
      <c r="F384" s="27">
        <f>SUMIFS(INDEX(Load,,MATCH('Summarized Source Data'!$C384,Hour,0)),Month,'Summarized Source Data'!$A384,Sector,'Summarized Source Data'!F$2,Subsector,'Summarized Source Data'!F$3,TimeOfWeek,$E384)*INDEX(About!B$79:B$82,MATCH($B384,About!$A$79:$A$82,0),1)</f>
        <v>4344700</v>
      </c>
      <c r="G384" s="27">
        <f>SUMIFS(INDEX(Load,,MATCH('Summarized Source Data'!$C384,Hour,0)),Month,'Summarized Source Data'!$A384,Sector,'Summarized Source Data'!G$2,Subsector,'Summarized Source Data'!G$3,TimeOfWeek,$E384)*INDEX(About!C$79:C$82,MATCH($B384,About!$A$79:$A$82,0),1)</f>
        <v>13925</v>
      </c>
      <c r="H384" s="27">
        <f>SUMIFS(INDEX(Load,,MATCH('Summarized Source Data'!$C384,Hour,0)),Month,'Summarized Source Data'!$A384,Sector,'Summarized Source Data'!H$2,Subsector,'Summarized Source Data'!H$3,TimeOfWeek,$E384)*INDEX(About!D$79:D$82,MATCH($B384,About!$A$79:$A$82,0),1)</f>
        <v>0</v>
      </c>
      <c r="I384" s="27">
        <f>SUMIFS(INDEX(Load,,MATCH('Summarized Source Data'!$C384,Hour,0)),Month,'Summarized Source Data'!$A384,Sector,'Summarized Source Data'!I$2,Subsector,'Summarized Source Data'!I$3,TimeOfWeek,$E384)*INDEX(About!E$79:E$82,MATCH($B384,About!$A$79:$A$82,0),1)</f>
        <v>30500000</v>
      </c>
      <c r="J384" s="54">
        <f t="shared" si="26"/>
        <v>79141375</v>
      </c>
      <c r="K384" s="27">
        <f>(SUMIFS(INDEX(Load,,MATCH('Summarized Source Data'!$C384,Hour,0)),Month,'Summarized Source Data'!$A384,Sector,'Summarized Source Data'!K$2,Subsector,"Total",TimeOfWeek,$E384)-SUM(F384:I384))*INDEX(About!G$79:G$82,MATCH($B384,About!$A$79:$A$82,0),1)</f>
        <v>79141375</v>
      </c>
      <c r="L384" s="27">
        <f>SUMIFS(INDEX(Load,,MATCH('Summarized Source Data'!$C384,Hour,0)),Month,'Summarized Source Data'!$A384,Sector,'Summarized Source Data'!L$2,Subsector,'Summarized Source Data'!L$3,TimeOfWeek,$E384)*INDEX(About!H$79:H$82,MATCH($B384,About!$A$79:$A$82,0),1)</f>
        <v>6180292</v>
      </c>
      <c r="M384" s="27">
        <f>SUMIFS(INDEX(Load,,MATCH('Summarized Source Data'!$C384,Hour,0)),Month,'Summarized Source Data'!$A384,Sector,'Summarized Source Data'!M$2,Subsector,'Summarized Source Data'!M$3,TimeOfWeek,$E384)*INDEX(About!I$79:I$82,MATCH($B384,About!$A$79:$A$82,0),1)</f>
        <v>270576</v>
      </c>
      <c r="N384" s="27">
        <f>SUMIFS(INDEX(Load,,MATCH('Summarized Source Data'!$C384,Hour,0)),Month,'Summarized Source Data'!$A384,Sector,'Summarized Source Data'!N$2,Subsector,'Summarized Source Data'!N$3,TimeOfWeek,$E384)*INDEX(About!J$79:J$82,MATCH($B384,About!$A$79:$A$82,0),1)</f>
        <v>0</v>
      </c>
      <c r="O384" s="29">
        <f t="shared" si="27"/>
        <v>94549132</v>
      </c>
      <c r="P384" s="27">
        <f>(SUMIFS(INDEX(Load,,MATCH('Summarized Source Data'!$C384,Hour,0)),Month,'Summarized Source Data'!$A384,Sector,'Summarized Source Data'!P$2,Subsector,"Total",TimeOfWeek,$E384)-SUM(L384:N384)*INDEX(About!L$79:L$82,MATCH($B384,About!$A$79:$A$82,0),1))</f>
        <v>94549132</v>
      </c>
      <c r="Q384" s="29">
        <f t="shared" si="28"/>
        <v>94549132</v>
      </c>
      <c r="R384" s="33">
        <f>SUMIFS(INDEX(Load,,MATCH('Summarized Source Data'!$C384,Hour,0)),Month,'Summarized Source Data'!$A384,Sector,'Summarized Source Data'!R$2,TimeOfWeek,$E384)*INDEX(About!N$79:N$82,MATCH($B384,About!$A$79:$A$82,0),1)</f>
        <v>5622819</v>
      </c>
      <c r="S384" s="33">
        <f>SUMIFS(INDEX(Load,,MATCH('Summarized Source Data'!$C384,Hour,0)),Month,'Summarized Source Data'!$A384,Sector,'Summarized Source Data'!S$2,TimeOfWeek,$E384)*INDEX(About!O$79:O$82,MATCH($B384,About!$A$79:$A$82,0),1)</f>
        <v>5622819</v>
      </c>
      <c r="T384" s="33">
        <f>SUMIFS(INDEX(Load,,MATCH('Summarized Source Data'!$C384,Hour,0)),Month,'Summarized Source Data'!$A384,Sector,'Summarized Source Data'!T$2,TimeOfWeek,$E384)*INDEX(About!P$79:P$82,MATCH($B384,About!$A$79:$A$82,0),1)</f>
        <v>5622819</v>
      </c>
      <c r="U384" s="33">
        <f>SUMIFS(INDEX(Load,,MATCH('Summarized Source Data'!$C384,Hour,0)),Month,'Summarized Source Data'!$A384,Sector,'Summarized Source Data'!U$2,TimeOfWeek,$E384)*INDEX(About!Q$79:Q$82,MATCH($B384,About!$A$79:$A$82,0),1)</f>
        <v>5622819</v>
      </c>
      <c r="V384" s="33">
        <f>SUMIFS(INDEX(Load,,MATCH('Summarized Source Data'!$C384,Hour,0)),Month,'Summarized Source Data'!$A384,Sector,'Summarized Source Data'!V$2,TimeOfWeek,$E384)*INDEX(About!R$79:R$82,MATCH($B384,About!$A$79:$A$82,0),1)</f>
        <v>5622819</v>
      </c>
      <c r="W384" s="33">
        <f>SUMIFS(INDEX(Load,,MATCH('Summarized Source Data'!$C384,Hour,0)),Month,'Summarized Source Data'!$A384,Sector,'Summarized Source Data'!W$2,TimeOfWeek,$E384)*INDEX(About!S$79:S$82,MATCH($B384,About!$A$79:$A$82,0),1)</f>
        <v>5622819</v>
      </c>
      <c r="X384" s="27">
        <f>SUMIFS(INDEX(Load,,MATCH('Summarized Source Data'!$C384,Hour,0)),Month,'Summarized Source Data'!$A384,Sector,'Summarized Source Data'!X$2,Subsector,'Summarized Source Data'!X$3,TimeOfWeek,$E384)*INDEX(About!T$79:T$82,MATCH($B384,About!$A$79:$A$82,0),1)</f>
        <v>339000000</v>
      </c>
      <c r="Y384" s="29">
        <f t="shared" si="29"/>
        <v>339000000</v>
      </c>
      <c r="Z384" s="29">
        <f t="shared" si="29"/>
        <v>339000000</v>
      </c>
    </row>
    <row r="385" spans="1:26" x14ac:dyDescent="0.3">
      <c r="A385">
        <f t="shared" si="30"/>
        <v>4</v>
      </c>
      <c r="B385" t="str">
        <f>INDEX('Category Mapping'!$G$28:$G$39,MATCH(A385,'Category Mapping'!$A$28:$A$39,0),1)</f>
        <v>Spring</v>
      </c>
      <c r="C385" t="s">
        <v>84</v>
      </c>
      <c r="D385" s="6" t="s">
        <v>159</v>
      </c>
      <c r="E385" s="46" t="s">
        <v>48</v>
      </c>
      <c r="F385" s="27">
        <f>SUMIFS(INDEX(Load,,MATCH('Summarized Source Data'!$C385,Hour,0)),Month,'Summarized Source Data'!$A385,Sector,'Summarized Source Data'!F$2,Subsector,'Summarized Source Data'!F$3,TimeOfWeek,$E385)*INDEX(About!B$79:B$82,MATCH($B385,About!$A$79:$A$82,0),1)</f>
        <v>3842194</v>
      </c>
      <c r="G385" s="27">
        <f>SUMIFS(INDEX(Load,,MATCH('Summarized Source Data'!$C385,Hour,0)),Month,'Summarized Source Data'!$A385,Sector,'Summarized Source Data'!G$2,Subsector,'Summarized Source Data'!G$3,TimeOfWeek,$E385)*INDEX(About!C$79:C$82,MATCH($B385,About!$A$79:$A$82,0),1)</f>
        <v>14518</v>
      </c>
      <c r="H385" s="27">
        <f>SUMIFS(INDEX(Load,,MATCH('Summarized Source Data'!$C385,Hour,0)),Month,'Summarized Source Data'!$A385,Sector,'Summarized Source Data'!H$2,Subsector,'Summarized Source Data'!H$3,TimeOfWeek,$E385)*INDEX(About!D$79:D$82,MATCH($B385,About!$A$79:$A$82,0),1)</f>
        <v>0</v>
      </c>
      <c r="I385" s="27">
        <f>SUMIFS(INDEX(Load,,MATCH('Summarized Source Data'!$C385,Hour,0)),Month,'Summarized Source Data'!$A385,Sector,'Summarized Source Data'!I$2,Subsector,'Summarized Source Data'!I$3,TimeOfWeek,$E385)*INDEX(About!E$79:E$82,MATCH($B385,About!$A$79:$A$82,0),1)</f>
        <v>25200000</v>
      </c>
      <c r="J385" s="54">
        <f t="shared" si="26"/>
        <v>72943288</v>
      </c>
      <c r="K385" s="27">
        <f>(SUMIFS(INDEX(Load,,MATCH('Summarized Source Data'!$C385,Hour,0)),Month,'Summarized Source Data'!$A385,Sector,'Summarized Source Data'!K$2,Subsector,"Total",TimeOfWeek,$E385)-SUM(F385:I385))*INDEX(About!G$79:G$82,MATCH($B385,About!$A$79:$A$82,0),1)</f>
        <v>72943288</v>
      </c>
      <c r="L385" s="27">
        <f>SUMIFS(INDEX(Load,,MATCH('Summarized Source Data'!$C385,Hour,0)),Month,'Summarized Source Data'!$A385,Sector,'Summarized Source Data'!L$2,Subsector,'Summarized Source Data'!L$3,TimeOfWeek,$E385)*INDEX(About!H$79:H$82,MATCH($B385,About!$A$79:$A$82,0),1)</f>
        <v>6276157</v>
      </c>
      <c r="M385" s="27">
        <f>SUMIFS(INDEX(Load,,MATCH('Summarized Source Data'!$C385,Hour,0)),Month,'Summarized Source Data'!$A385,Sector,'Summarized Source Data'!M$2,Subsector,'Summarized Source Data'!M$3,TimeOfWeek,$E385)*INDEX(About!I$79:I$82,MATCH($B385,About!$A$79:$A$82,0),1)</f>
        <v>262871</v>
      </c>
      <c r="N385" s="27">
        <f>SUMIFS(INDEX(Load,,MATCH('Summarized Source Data'!$C385,Hour,0)),Month,'Summarized Source Data'!$A385,Sector,'Summarized Source Data'!N$2,Subsector,'Summarized Source Data'!N$3,TimeOfWeek,$E385)*INDEX(About!J$79:J$82,MATCH($B385,About!$A$79:$A$82,0),1)</f>
        <v>0</v>
      </c>
      <c r="O385" s="29">
        <f t="shared" si="27"/>
        <v>88560972</v>
      </c>
      <c r="P385" s="27">
        <f>(SUMIFS(INDEX(Load,,MATCH('Summarized Source Data'!$C385,Hour,0)),Month,'Summarized Source Data'!$A385,Sector,'Summarized Source Data'!P$2,Subsector,"Total",TimeOfWeek,$E385)-SUM(L385:N385)*INDEX(About!L$79:L$82,MATCH($B385,About!$A$79:$A$82,0),1))</f>
        <v>88560972</v>
      </c>
      <c r="Q385" s="29">
        <f t="shared" si="28"/>
        <v>88560972</v>
      </c>
      <c r="R385" s="33">
        <f>SUMIFS(INDEX(Load,,MATCH('Summarized Source Data'!$C385,Hour,0)),Month,'Summarized Source Data'!$A385,Sector,'Summarized Source Data'!R$2,TimeOfWeek,$E385)*INDEX(About!N$79:N$82,MATCH($B385,About!$A$79:$A$82,0),1)</f>
        <v>5417878</v>
      </c>
      <c r="S385" s="33">
        <f>SUMIFS(INDEX(Load,,MATCH('Summarized Source Data'!$C385,Hour,0)),Month,'Summarized Source Data'!$A385,Sector,'Summarized Source Data'!S$2,TimeOfWeek,$E385)*INDEX(About!O$79:O$82,MATCH($B385,About!$A$79:$A$82,0),1)</f>
        <v>5417878</v>
      </c>
      <c r="T385" s="33">
        <f>SUMIFS(INDEX(Load,,MATCH('Summarized Source Data'!$C385,Hour,0)),Month,'Summarized Source Data'!$A385,Sector,'Summarized Source Data'!T$2,TimeOfWeek,$E385)*INDEX(About!P$79:P$82,MATCH($B385,About!$A$79:$A$82,0),1)</f>
        <v>5417878</v>
      </c>
      <c r="U385" s="33">
        <f>SUMIFS(INDEX(Load,,MATCH('Summarized Source Data'!$C385,Hour,0)),Month,'Summarized Source Data'!$A385,Sector,'Summarized Source Data'!U$2,TimeOfWeek,$E385)*INDEX(About!Q$79:Q$82,MATCH($B385,About!$A$79:$A$82,0),1)</f>
        <v>5417878</v>
      </c>
      <c r="V385" s="33">
        <f>SUMIFS(INDEX(Load,,MATCH('Summarized Source Data'!$C385,Hour,0)),Month,'Summarized Source Data'!$A385,Sector,'Summarized Source Data'!V$2,TimeOfWeek,$E385)*INDEX(About!R$79:R$82,MATCH($B385,About!$A$79:$A$82,0),1)</f>
        <v>5417878</v>
      </c>
      <c r="W385" s="33">
        <f>SUMIFS(INDEX(Load,,MATCH('Summarized Source Data'!$C385,Hour,0)),Month,'Summarized Source Data'!$A385,Sector,'Summarized Source Data'!W$2,TimeOfWeek,$E385)*INDEX(About!S$79:S$82,MATCH($B385,About!$A$79:$A$82,0),1)</f>
        <v>5417878</v>
      </c>
      <c r="X385" s="27">
        <f>SUMIFS(INDEX(Load,,MATCH('Summarized Source Data'!$C385,Hour,0)),Month,'Summarized Source Data'!$A385,Sector,'Summarized Source Data'!X$2,Subsector,'Summarized Source Data'!X$3,TimeOfWeek,$E385)*INDEX(About!T$79:T$82,MATCH($B385,About!$A$79:$A$82,0),1)</f>
        <v>336000000</v>
      </c>
      <c r="Y385" s="29">
        <f t="shared" si="29"/>
        <v>336000000</v>
      </c>
      <c r="Z385" s="29">
        <f t="shared" si="29"/>
        <v>336000000</v>
      </c>
    </row>
    <row r="386" spans="1:26" x14ac:dyDescent="0.3">
      <c r="A386">
        <f t="shared" si="30"/>
        <v>4</v>
      </c>
      <c r="B386" t="str">
        <f>INDEX('Category Mapping'!$G$28:$G$39,MATCH(A386,'Category Mapping'!$A$28:$A$39,0),1)</f>
        <v>Spring</v>
      </c>
      <c r="C386" t="s">
        <v>85</v>
      </c>
      <c r="D386" s="6" t="s">
        <v>160</v>
      </c>
      <c r="E386" s="46" t="s">
        <v>48</v>
      </c>
      <c r="F386" s="27">
        <f>SUMIFS(INDEX(Load,,MATCH('Summarized Source Data'!$C386,Hour,0)),Month,'Summarized Source Data'!$A386,Sector,'Summarized Source Data'!F$2,Subsector,'Summarized Source Data'!F$3,TimeOfWeek,$E386)*INDEX(About!B$79:B$82,MATCH($B386,About!$A$79:$A$82,0),1)</f>
        <v>3024241</v>
      </c>
      <c r="G386" s="27">
        <f>SUMIFS(INDEX(Load,,MATCH('Summarized Source Data'!$C386,Hour,0)),Month,'Summarized Source Data'!$A386,Sector,'Summarized Source Data'!G$2,Subsector,'Summarized Source Data'!G$3,TimeOfWeek,$E386)*INDEX(About!C$79:C$82,MATCH($B386,About!$A$79:$A$82,0),1)</f>
        <v>15067</v>
      </c>
      <c r="H386" s="27">
        <f>SUMIFS(INDEX(Load,,MATCH('Summarized Source Data'!$C386,Hour,0)),Month,'Summarized Source Data'!$A386,Sector,'Summarized Source Data'!H$2,Subsector,'Summarized Source Data'!H$3,TimeOfWeek,$E386)*INDEX(About!D$79:D$82,MATCH($B386,About!$A$79:$A$82,0),1)</f>
        <v>0</v>
      </c>
      <c r="I386" s="27">
        <f>SUMIFS(INDEX(Load,,MATCH('Summarized Source Data'!$C386,Hour,0)),Month,'Summarized Source Data'!$A386,Sector,'Summarized Source Data'!I$2,Subsector,'Summarized Source Data'!I$3,TimeOfWeek,$E386)*INDEX(About!E$79:E$82,MATCH($B386,About!$A$79:$A$82,0),1)</f>
        <v>16300000</v>
      </c>
      <c r="J386" s="54">
        <f t="shared" si="26"/>
        <v>60860692</v>
      </c>
      <c r="K386" s="27">
        <f>(SUMIFS(INDEX(Load,,MATCH('Summarized Source Data'!$C386,Hour,0)),Month,'Summarized Source Data'!$A386,Sector,'Summarized Source Data'!K$2,Subsector,"Total",TimeOfWeek,$E386)-SUM(F386:I386))*INDEX(About!G$79:G$82,MATCH($B386,About!$A$79:$A$82,0),1)</f>
        <v>60860692</v>
      </c>
      <c r="L386" s="27">
        <f>SUMIFS(INDEX(Load,,MATCH('Summarized Source Data'!$C386,Hour,0)),Month,'Summarized Source Data'!$A386,Sector,'Summarized Source Data'!L$2,Subsector,'Summarized Source Data'!L$3,TimeOfWeek,$E386)*INDEX(About!H$79:H$82,MATCH($B386,About!$A$79:$A$82,0),1)</f>
        <v>5366521</v>
      </c>
      <c r="M386" s="27">
        <f>SUMIFS(INDEX(Load,,MATCH('Summarized Source Data'!$C386,Hour,0)),Month,'Summarized Source Data'!$A386,Sector,'Summarized Source Data'!M$2,Subsector,'Summarized Source Data'!M$3,TimeOfWeek,$E386)*INDEX(About!I$79:I$82,MATCH($B386,About!$A$79:$A$82,0),1)</f>
        <v>253606</v>
      </c>
      <c r="N386" s="27">
        <f>SUMIFS(INDEX(Load,,MATCH('Summarized Source Data'!$C386,Hour,0)),Month,'Summarized Source Data'!$A386,Sector,'Summarized Source Data'!N$2,Subsector,'Summarized Source Data'!N$3,TimeOfWeek,$E386)*INDEX(About!J$79:J$82,MATCH($B386,About!$A$79:$A$82,0),1)</f>
        <v>0</v>
      </c>
      <c r="O386" s="29">
        <f t="shared" si="27"/>
        <v>84279873</v>
      </c>
      <c r="P386" s="27">
        <f>(SUMIFS(INDEX(Load,,MATCH('Summarized Source Data'!$C386,Hour,0)),Month,'Summarized Source Data'!$A386,Sector,'Summarized Source Data'!P$2,Subsector,"Total",TimeOfWeek,$E386)-SUM(L386:N386)*INDEX(About!L$79:L$82,MATCH($B386,About!$A$79:$A$82,0),1))</f>
        <v>84279873</v>
      </c>
      <c r="Q386" s="29">
        <f t="shared" si="28"/>
        <v>84279873</v>
      </c>
      <c r="R386" s="33">
        <f>SUMIFS(INDEX(Load,,MATCH('Summarized Source Data'!$C386,Hour,0)),Month,'Summarized Source Data'!$A386,Sector,'Summarized Source Data'!R$2,TimeOfWeek,$E386)*INDEX(About!N$79:N$82,MATCH($B386,About!$A$79:$A$82,0),1)</f>
        <v>5347613</v>
      </c>
      <c r="S386" s="33">
        <f>SUMIFS(INDEX(Load,,MATCH('Summarized Source Data'!$C386,Hour,0)),Month,'Summarized Source Data'!$A386,Sector,'Summarized Source Data'!S$2,TimeOfWeek,$E386)*INDEX(About!O$79:O$82,MATCH($B386,About!$A$79:$A$82,0),1)</f>
        <v>5347613</v>
      </c>
      <c r="T386" s="33">
        <f>SUMIFS(INDEX(Load,,MATCH('Summarized Source Data'!$C386,Hour,0)),Month,'Summarized Source Data'!$A386,Sector,'Summarized Source Data'!T$2,TimeOfWeek,$E386)*INDEX(About!P$79:P$82,MATCH($B386,About!$A$79:$A$82,0),1)</f>
        <v>5347613</v>
      </c>
      <c r="U386" s="33">
        <f>SUMIFS(INDEX(Load,,MATCH('Summarized Source Data'!$C386,Hour,0)),Month,'Summarized Source Data'!$A386,Sector,'Summarized Source Data'!U$2,TimeOfWeek,$E386)*INDEX(About!Q$79:Q$82,MATCH($B386,About!$A$79:$A$82,0),1)</f>
        <v>5347613</v>
      </c>
      <c r="V386" s="33">
        <f>SUMIFS(INDEX(Load,,MATCH('Summarized Source Data'!$C386,Hour,0)),Month,'Summarized Source Data'!$A386,Sector,'Summarized Source Data'!V$2,TimeOfWeek,$E386)*INDEX(About!R$79:R$82,MATCH($B386,About!$A$79:$A$82,0),1)</f>
        <v>5347613</v>
      </c>
      <c r="W386" s="33">
        <f>SUMIFS(INDEX(Load,,MATCH('Summarized Source Data'!$C386,Hour,0)),Month,'Summarized Source Data'!$A386,Sector,'Summarized Source Data'!W$2,TimeOfWeek,$E386)*INDEX(About!S$79:S$82,MATCH($B386,About!$A$79:$A$82,0),1)</f>
        <v>5347613</v>
      </c>
      <c r="X386" s="27">
        <f>SUMIFS(INDEX(Load,,MATCH('Summarized Source Data'!$C386,Hour,0)),Month,'Summarized Source Data'!$A386,Sector,'Summarized Source Data'!X$2,Subsector,'Summarized Source Data'!X$3,TimeOfWeek,$E386)*INDEX(About!T$79:T$82,MATCH($B386,About!$A$79:$A$82,0),1)</f>
        <v>333000000</v>
      </c>
      <c r="Y386" s="29">
        <f t="shared" si="29"/>
        <v>333000000</v>
      </c>
      <c r="Z386" s="29">
        <f t="shared" si="29"/>
        <v>333000000</v>
      </c>
    </row>
    <row r="387" spans="1:26" x14ac:dyDescent="0.3">
      <c r="A387">
        <f t="shared" si="30"/>
        <v>4</v>
      </c>
      <c r="B387" t="str">
        <f>INDEX('Category Mapping'!$G$28:$G$39,MATCH(A387,'Category Mapping'!$A$28:$A$39,0),1)</f>
        <v>Spring</v>
      </c>
      <c r="C387" t="s">
        <v>86</v>
      </c>
      <c r="D387" s="6" t="s">
        <v>161</v>
      </c>
      <c r="E387" s="46" t="s">
        <v>48</v>
      </c>
      <c r="F387" s="27">
        <f>SUMIFS(INDEX(Load,,MATCH('Summarized Source Data'!$C387,Hour,0)),Month,'Summarized Source Data'!$A387,Sector,'Summarized Source Data'!F$2,Subsector,'Summarized Source Data'!F$3,TimeOfWeek,$E387)*INDEX(About!B$79:B$82,MATCH($B387,About!$A$79:$A$82,0),1)</f>
        <v>2823919</v>
      </c>
      <c r="G387" s="27">
        <f>SUMIFS(INDEX(Load,,MATCH('Summarized Source Data'!$C387,Hour,0)),Month,'Summarized Source Data'!$A387,Sector,'Summarized Source Data'!G$2,Subsector,'Summarized Source Data'!G$3,TimeOfWeek,$E387)*INDEX(About!C$79:C$82,MATCH($B387,About!$A$79:$A$82,0),1)</f>
        <v>15538</v>
      </c>
      <c r="H387" s="27">
        <f>SUMIFS(INDEX(Load,,MATCH('Summarized Source Data'!$C387,Hour,0)),Month,'Summarized Source Data'!$A387,Sector,'Summarized Source Data'!H$2,Subsector,'Summarized Source Data'!H$3,TimeOfWeek,$E387)*INDEX(About!D$79:D$82,MATCH($B387,About!$A$79:$A$82,0),1)</f>
        <v>0</v>
      </c>
      <c r="I387" s="27">
        <f>SUMIFS(INDEX(Load,,MATCH('Summarized Source Data'!$C387,Hour,0)),Month,'Summarized Source Data'!$A387,Sector,'Summarized Source Data'!I$2,Subsector,'Summarized Source Data'!I$3,TimeOfWeek,$E387)*INDEX(About!E$79:E$82,MATCH($B387,About!$A$79:$A$82,0),1)</f>
        <v>9099641</v>
      </c>
      <c r="J387" s="54">
        <f t="shared" si="26"/>
        <v>48460902</v>
      </c>
      <c r="K387" s="27">
        <f>(SUMIFS(INDEX(Load,,MATCH('Summarized Source Data'!$C387,Hour,0)),Month,'Summarized Source Data'!$A387,Sector,'Summarized Source Data'!K$2,Subsector,"Total",TimeOfWeek,$E387)-SUM(F387:I387))*INDEX(About!G$79:G$82,MATCH($B387,About!$A$79:$A$82,0),1)</f>
        <v>48460902</v>
      </c>
      <c r="L387" s="27">
        <f>SUMIFS(INDEX(Load,,MATCH('Summarized Source Data'!$C387,Hour,0)),Month,'Summarized Source Data'!$A387,Sector,'Summarized Source Data'!L$2,Subsector,'Summarized Source Data'!L$3,TimeOfWeek,$E387)*INDEX(About!H$79:H$82,MATCH($B387,About!$A$79:$A$82,0),1)</f>
        <v>5647324</v>
      </c>
      <c r="M387" s="27">
        <f>SUMIFS(INDEX(Load,,MATCH('Summarized Source Data'!$C387,Hour,0)),Month,'Summarized Source Data'!$A387,Sector,'Summarized Source Data'!M$2,Subsector,'Summarized Source Data'!M$3,TimeOfWeek,$E387)*INDEX(About!I$79:I$82,MATCH($B387,About!$A$79:$A$82,0),1)</f>
        <v>240950</v>
      </c>
      <c r="N387" s="27">
        <f>SUMIFS(INDEX(Load,,MATCH('Summarized Source Data'!$C387,Hour,0)),Month,'Summarized Source Data'!$A387,Sector,'Summarized Source Data'!N$2,Subsector,'Summarized Source Data'!N$3,TimeOfWeek,$E387)*INDEX(About!J$79:J$82,MATCH($B387,About!$A$79:$A$82,0),1)</f>
        <v>0</v>
      </c>
      <c r="O387" s="29">
        <f t="shared" si="27"/>
        <v>77111726</v>
      </c>
      <c r="P387" s="27">
        <f>(SUMIFS(INDEX(Load,,MATCH('Summarized Source Data'!$C387,Hour,0)),Month,'Summarized Source Data'!$A387,Sector,'Summarized Source Data'!P$2,Subsector,"Total",TimeOfWeek,$E387)-SUM(L387:N387)*INDEX(About!L$79:L$82,MATCH($B387,About!$A$79:$A$82,0),1))</f>
        <v>77111726</v>
      </c>
      <c r="Q387" s="29">
        <f t="shared" si="28"/>
        <v>77111726</v>
      </c>
      <c r="R387" s="33">
        <f>SUMIFS(INDEX(Load,,MATCH('Summarized Source Data'!$C387,Hour,0)),Month,'Summarized Source Data'!$A387,Sector,'Summarized Source Data'!R$2,TimeOfWeek,$E387)*INDEX(About!N$79:N$82,MATCH($B387,About!$A$79:$A$82,0),1)</f>
        <v>3593903</v>
      </c>
      <c r="S387" s="33">
        <f>SUMIFS(INDEX(Load,,MATCH('Summarized Source Data'!$C387,Hour,0)),Month,'Summarized Source Data'!$A387,Sector,'Summarized Source Data'!S$2,TimeOfWeek,$E387)*INDEX(About!O$79:O$82,MATCH($B387,About!$A$79:$A$82,0),1)</f>
        <v>3593903</v>
      </c>
      <c r="T387" s="33">
        <f>SUMIFS(INDEX(Load,,MATCH('Summarized Source Data'!$C387,Hour,0)),Month,'Summarized Source Data'!$A387,Sector,'Summarized Source Data'!T$2,TimeOfWeek,$E387)*INDEX(About!P$79:P$82,MATCH($B387,About!$A$79:$A$82,0),1)</f>
        <v>3593903</v>
      </c>
      <c r="U387" s="33">
        <f>SUMIFS(INDEX(Load,,MATCH('Summarized Source Data'!$C387,Hour,0)),Month,'Summarized Source Data'!$A387,Sector,'Summarized Source Data'!U$2,TimeOfWeek,$E387)*INDEX(About!Q$79:Q$82,MATCH($B387,About!$A$79:$A$82,0),1)</f>
        <v>3593903</v>
      </c>
      <c r="V387" s="33">
        <f>SUMIFS(INDEX(Load,,MATCH('Summarized Source Data'!$C387,Hour,0)),Month,'Summarized Source Data'!$A387,Sector,'Summarized Source Data'!V$2,TimeOfWeek,$E387)*INDEX(About!R$79:R$82,MATCH($B387,About!$A$79:$A$82,0),1)</f>
        <v>3593903</v>
      </c>
      <c r="W387" s="33">
        <f>SUMIFS(INDEX(Load,,MATCH('Summarized Source Data'!$C387,Hour,0)),Month,'Summarized Source Data'!$A387,Sector,'Summarized Source Data'!W$2,TimeOfWeek,$E387)*INDEX(About!S$79:S$82,MATCH($B387,About!$A$79:$A$82,0),1)</f>
        <v>3593903</v>
      </c>
      <c r="X387" s="27">
        <f>SUMIFS(INDEX(Load,,MATCH('Summarized Source Data'!$C387,Hour,0)),Month,'Summarized Source Data'!$A387,Sector,'Summarized Source Data'!X$2,Subsector,'Summarized Source Data'!X$3,TimeOfWeek,$E387)*INDEX(About!T$79:T$82,MATCH($B387,About!$A$79:$A$82,0),1)</f>
        <v>332000000</v>
      </c>
      <c r="Y387" s="29">
        <f t="shared" si="29"/>
        <v>332000000</v>
      </c>
      <c r="Z387" s="29">
        <f t="shared" si="29"/>
        <v>332000000</v>
      </c>
    </row>
    <row r="388" spans="1:26" x14ac:dyDescent="0.3">
      <c r="A388">
        <f t="shared" si="30"/>
        <v>5</v>
      </c>
      <c r="B388" t="str">
        <f>INDEX('Category Mapping'!$G$28:$G$39,MATCH(A388,'Category Mapping'!$A$28:$A$39,0),1)</f>
        <v>Spring</v>
      </c>
      <c r="C388" t="s">
        <v>63</v>
      </c>
      <c r="D388" s="6" t="s">
        <v>138</v>
      </c>
      <c r="E388" s="46" t="s">
        <v>48</v>
      </c>
      <c r="F388" s="27">
        <f>SUMIFS(INDEX(Load,,MATCH('Summarized Source Data'!$C388,Hour,0)),Month,'Summarized Source Data'!$A388,Sector,'Summarized Source Data'!F$2,Subsector,'Summarized Source Data'!F$3,TimeOfWeek,$E388)*INDEX(About!B$79:B$82,MATCH($B388,About!$A$79:$A$82,0),1)</f>
        <v>783376</v>
      </c>
      <c r="G388" s="27">
        <f>SUMIFS(INDEX(Load,,MATCH('Summarized Source Data'!$C388,Hour,0)),Month,'Summarized Source Data'!$A388,Sector,'Summarized Source Data'!G$2,Subsector,'Summarized Source Data'!G$3,TimeOfWeek,$E388)*INDEX(About!C$79:C$82,MATCH($B388,About!$A$79:$A$82,0),1)</f>
        <v>1839</v>
      </c>
      <c r="H388" s="27">
        <f>SUMIFS(INDEX(Load,,MATCH('Summarized Source Data'!$C388,Hour,0)),Month,'Summarized Source Data'!$A388,Sector,'Summarized Source Data'!H$2,Subsector,'Summarized Source Data'!H$3,TimeOfWeek,$E388)*INDEX(About!D$79:D$82,MATCH($B388,About!$A$79:$A$82,0),1)</f>
        <v>0</v>
      </c>
      <c r="I388" s="27">
        <f>SUMIFS(INDEX(Load,,MATCH('Summarized Source Data'!$C388,Hour,0)),Month,'Summarized Source Data'!$A388,Sector,'Summarized Source Data'!I$2,Subsector,'Summarized Source Data'!I$3,TimeOfWeek,$E388)*INDEX(About!E$79:E$82,MATCH($B388,About!$A$79:$A$82,0),1)</f>
        <v>5859047</v>
      </c>
      <c r="J388" s="54">
        <f t="shared" si="26"/>
        <v>36855738</v>
      </c>
      <c r="K388" s="27">
        <f>(SUMIFS(INDEX(Load,,MATCH('Summarized Source Data'!$C388,Hour,0)),Month,'Summarized Source Data'!$A388,Sector,'Summarized Source Data'!K$2,Subsector,"Total",TimeOfWeek,$E388)-SUM(F388:I388))*INDEX(About!G$79:G$82,MATCH($B388,About!$A$79:$A$82,0),1)</f>
        <v>36855738</v>
      </c>
      <c r="L388" s="27">
        <f>SUMIFS(INDEX(Load,,MATCH('Summarized Source Data'!$C388,Hour,0)),Month,'Summarized Source Data'!$A388,Sector,'Summarized Source Data'!L$2,Subsector,'Summarized Source Data'!L$3,TimeOfWeek,$E388)*INDEX(About!H$79:H$82,MATCH($B388,About!$A$79:$A$82,0),1)</f>
        <v>1846643</v>
      </c>
      <c r="M388" s="27">
        <f>SUMIFS(INDEX(Load,,MATCH('Summarized Source Data'!$C388,Hour,0)),Month,'Summarized Source Data'!$A388,Sector,'Summarized Source Data'!M$2,Subsector,'Summarized Source Data'!M$3,TimeOfWeek,$E388)*INDEX(About!I$79:I$82,MATCH($B388,About!$A$79:$A$82,0),1)</f>
        <v>3838547</v>
      </c>
      <c r="N388" s="27">
        <f>SUMIFS(INDEX(Load,,MATCH('Summarized Source Data'!$C388,Hour,0)),Month,'Summarized Source Data'!$A388,Sector,'Summarized Source Data'!N$2,Subsector,'Summarized Source Data'!N$3,TimeOfWeek,$E388)*INDEX(About!J$79:J$82,MATCH($B388,About!$A$79:$A$82,0),1)</f>
        <v>0</v>
      </c>
      <c r="O388" s="29">
        <f t="shared" si="27"/>
        <v>77114810</v>
      </c>
      <c r="P388" s="27">
        <f>(SUMIFS(INDEX(Load,,MATCH('Summarized Source Data'!$C388,Hour,0)),Month,'Summarized Source Data'!$A388,Sector,'Summarized Source Data'!P$2,Subsector,"Total",TimeOfWeek,$E388)-SUM(L388:N388)*INDEX(About!L$79:L$82,MATCH($B388,About!$A$79:$A$82,0),1))</f>
        <v>77114810</v>
      </c>
      <c r="Q388" s="29">
        <f t="shared" si="28"/>
        <v>77114810</v>
      </c>
      <c r="R388" s="33">
        <f>SUMIFS(INDEX(Load,,MATCH('Summarized Source Data'!$C388,Hour,0)),Month,'Summarized Source Data'!$A388,Sector,'Summarized Source Data'!R$2,TimeOfWeek,$E388)*INDEX(About!N$79:N$82,MATCH($B388,About!$A$79:$A$82,0),1)</f>
        <v>2489061</v>
      </c>
      <c r="S388" s="33">
        <f>SUMIFS(INDEX(Load,,MATCH('Summarized Source Data'!$C388,Hour,0)),Month,'Summarized Source Data'!$A388,Sector,'Summarized Source Data'!S$2,TimeOfWeek,$E388)*INDEX(About!O$79:O$82,MATCH($B388,About!$A$79:$A$82,0),1)</f>
        <v>2489061</v>
      </c>
      <c r="T388" s="33">
        <f>SUMIFS(INDEX(Load,,MATCH('Summarized Source Data'!$C388,Hour,0)),Month,'Summarized Source Data'!$A388,Sector,'Summarized Source Data'!T$2,TimeOfWeek,$E388)*INDEX(About!P$79:P$82,MATCH($B388,About!$A$79:$A$82,0),1)</f>
        <v>2489061</v>
      </c>
      <c r="U388" s="33">
        <f>SUMIFS(INDEX(Load,,MATCH('Summarized Source Data'!$C388,Hour,0)),Month,'Summarized Source Data'!$A388,Sector,'Summarized Source Data'!U$2,TimeOfWeek,$E388)*INDEX(About!Q$79:Q$82,MATCH($B388,About!$A$79:$A$82,0),1)</f>
        <v>2489061</v>
      </c>
      <c r="V388" s="33">
        <f>SUMIFS(INDEX(Load,,MATCH('Summarized Source Data'!$C388,Hour,0)),Month,'Summarized Source Data'!$A388,Sector,'Summarized Source Data'!V$2,TimeOfWeek,$E388)*INDEX(About!R$79:R$82,MATCH($B388,About!$A$79:$A$82,0),1)</f>
        <v>2489061</v>
      </c>
      <c r="W388" s="33">
        <f>SUMIFS(INDEX(Load,,MATCH('Summarized Source Data'!$C388,Hour,0)),Month,'Summarized Source Data'!$A388,Sector,'Summarized Source Data'!W$2,TimeOfWeek,$E388)*INDEX(About!S$79:S$82,MATCH($B388,About!$A$79:$A$82,0),1)</f>
        <v>2489061</v>
      </c>
      <c r="X388" s="27">
        <f>SUMIFS(INDEX(Load,,MATCH('Summarized Source Data'!$C388,Hour,0)),Month,'Summarized Source Data'!$A388,Sector,'Summarized Source Data'!X$2,Subsector,'Summarized Source Data'!X$3,TimeOfWeek,$E388)*INDEX(About!T$79:T$82,MATCH($B388,About!$A$79:$A$82,0),1)</f>
        <v>335000000</v>
      </c>
      <c r="Y388" s="29">
        <f t="shared" si="29"/>
        <v>335000000</v>
      </c>
      <c r="Z388" s="29">
        <f t="shared" si="29"/>
        <v>335000000</v>
      </c>
    </row>
    <row r="389" spans="1:26" x14ac:dyDescent="0.3">
      <c r="A389">
        <f t="shared" si="30"/>
        <v>5</v>
      </c>
      <c r="B389" t="str">
        <f>INDEX('Category Mapping'!$G$28:$G$39,MATCH(A389,'Category Mapping'!$A$28:$A$39,0),1)</f>
        <v>Spring</v>
      </c>
      <c r="C389" t="s">
        <v>64</v>
      </c>
      <c r="D389" s="6" t="s">
        <v>139</v>
      </c>
      <c r="E389" s="46" t="s">
        <v>48</v>
      </c>
      <c r="F389" s="27">
        <f>SUMIFS(INDEX(Load,,MATCH('Summarized Source Data'!$C389,Hour,0)),Month,'Summarized Source Data'!$A389,Sector,'Summarized Source Data'!F$2,Subsector,'Summarized Source Data'!F$3,TimeOfWeek,$E389)*INDEX(About!B$79:B$82,MATCH($B389,About!$A$79:$A$82,0),1)</f>
        <v>783376</v>
      </c>
      <c r="G389" s="27">
        <f>SUMIFS(INDEX(Load,,MATCH('Summarized Source Data'!$C389,Hour,0)),Month,'Summarized Source Data'!$A389,Sector,'Summarized Source Data'!G$2,Subsector,'Summarized Source Data'!G$3,TimeOfWeek,$E389)*INDEX(About!C$79:C$82,MATCH($B389,About!$A$79:$A$82,0),1)</f>
        <v>1867</v>
      </c>
      <c r="H389" s="27">
        <f>SUMIFS(INDEX(Load,,MATCH('Summarized Source Data'!$C389,Hour,0)),Month,'Summarized Source Data'!$A389,Sector,'Summarized Source Data'!H$2,Subsector,'Summarized Source Data'!H$3,TimeOfWeek,$E389)*INDEX(About!D$79:D$82,MATCH($B389,About!$A$79:$A$82,0),1)</f>
        <v>0</v>
      </c>
      <c r="I389" s="27">
        <f>SUMIFS(INDEX(Load,,MATCH('Summarized Source Data'!$C389,Hour,0)),Month,'Summarized Source Data'!$A389,Sector,'Summarized Source Data'!I$2,Subsector,'Summarized Source Data'!I$3,TimeOfWeek,$E389)*INDEX(About!E$79:E$82,MATCH($B389,About!$A$79:$A$82,0),1)</f>
        <v>5062180</v>
      </c>
      <c r="J389" s="54">
        <f t="shared" ref="J389:J452" si="31">K389</f>
        <v>28652577</v>
      </c>
      <c r="K389" s="27">
        <f>(SUMIFS(INDEX(Load,,MATCH('Summarized Source Data'!$C389,Hour,0)),Month,'Summarized Source Data'!$A389,Sector,'Summarized Source Data'!K$2,Subsector,"Total",TimeOfWeek,$E389)-SUM(F389:I389))*INDEX(About!G$79:G$82,MATCH($B389,About!$A$79:$A$82,0),1)</f>
        <v>28652577</v>
      </c>
      <c r="L389" s="27">
        <f>SUMIFS(INDEX(Load,,MATCH('Summarized Source Data'!$C389,Hour,0)),Month,'Summarized Source Data'!$A389,Sector,'Summarized Source Data'!L$2,Subsector,'Summarized Source Data'!L$3,TimeOfWeek,$E389)*INDEX(About!H$79:H$82,MATCH($B389,About!$A$79:$A$82,0),1)</f>
        <v>1740361</v>
      </c>
      <c r="M389" s="27">
        <f>SUMIFS(INDEX(Load,,MATCH('Summarized Source Data'!$C389,Hour,0)),Month,'Summarized Source Data'!$A389,Sector,'Summarized Source Data'!M$2,Subsector,'Summarized Source Data'!M$3,TimeOfWeek,$E389)*INDEX(About!I$79:I$82,MATCH($B389,About!$A$79:$A$82,0),1)</f>
        <v>3756893</v>
      </c>
      <c r="N389" s="27">
        <f>SUMIFS(INDEX(Load,,MATCH('Summarized Source Data'!$C389,Hour,0)),Month,'Summarized Source Data'!$A389,Sector,'Summarized Source Data'!N$2,Subsector,'Summarized Source Data'!N$3,TimeOfWeek,$E389)*INDEX(About!J$79:J$82,MATCH($B389,About!$A$79:$A$82,0),1)</f>
        <v>0</v>
      </c>
      <c r="O389" s="29">
        <f t="shared" ref="O389:O452" si="32">P389</f>
        <v>67402746</v>
      </c>
      <c r="P389" s="27">
        <f>(SUMIFS(INDEX(Load,,MATCH('Summarized Source Data'!$C389,Hour,0)),Month,'Summarized Source Data'!$A389,Sector,'Summarized Source Data'!P$2,Subsector,"Total",TimeOfWeek,$E389)-SUM(L389:N389)*INDEX(About!L$79:L$82,MATCH($B389,About!$A$79:$A$82,0),1))</f>
        <v>67402746</v>
      </c>
      <c r="Q389" s="29">
        <f t="shared" ref="Q389:Q452" si="33">P389</f>
        <v>67402746</v>
      </c>
      <c r="R389" s="33">
        <f>SUMIFS(INDEX(Load,,MATCH('Summarized Source Data'!$C389,Hour,0)),Month,'Summarized Source Data'!$A389,Sector,'Summarized Source Data'!R$2,TimeOfWeek,$E389)*INDEX(About!N$79:N$82,MATCH($B389,About!$A$79:$A$82,0),1)</f>
        <v>2360241</v>
      </c>
      <c r="S389" s="33">
        <f>SUMIFS(INDEX(Load,,MATCH('Summarized Source Data'!$C389,Hour,0)),Month,'Summarized Source Data'!$A389,Sector,'Summarized Source Data'!S$2,TimeOfWeek,$E389)*INDEX(About!O$79:O$82,MATCH($B389,About!$A$79:$A$82,0),1)</f>
        <v>2360241</v>
      </c>
      <c r="T389" s="33">
        <f>SUMIFS(INDEX(Load,,MATCH('Summarized Source Data'!$C389,Hour,0)),Month,'Summarized Source Data'!$A389,Sector,'Summarized Source Data'!T$2,TimeOfWeek,$E389)*INDEX(About!P$79:P$82,MATCH($B389,About!$A$79:$A$82,0),1)</f>
        <v>2360241</v>
      </c>
      <c r="U389" s="33">
        <f>SUMIFS(INDEX(Load,,MATCH('Summarized Source Data'!$C389,Hour,0)),Month,'Summarized Source Data'!$A389,Sector,'Summarized Source Data'!U$2,TimeOfWeek,$E389)*INDEX(About!Q$79:Q$82,MATCH($B389,About!$A$79:$A$82,0),1)</f>
        <v>2360241</v>
      </c>
      <c r="V389" s="33">
        <f>SUMIFS(INDEX(Load,,MATCH('Summarized Source Data'!$C389,Hour,0)),Month,'Summarized Source Data'!$A389,Sector,'Summarized Source Data'!V$2,TimeOfWeek,$E389)*INDEX(About!R$79:R$82,MATCH($B389,About!$A$79:$A$82,0),1)</f>
        <v>2360241</v>
      </c>
      <c r="W389" s="33">
        <f>SUMIFS(INDEX(Load,,MATCH('Summarized Source Data'!$C389,Hour,0)),Month,'Summarized Source Data'!$A389,Sector,'Summarized Source Data'!W$2,TimeOfWeek,$E389)*INDEX(About!S$79:S$82,MATCH($B389,About!$A$79:$A$82,0),1)</f>
        <v>2360241</v>
      </c>
      <c r="X389" s="27">
        <f>SUMIFS(INDEX(Load,,MATCH('Summarized Source Data'!$C389,Hour,0)),Month,'Summarized Source Data'!$A389,Sector,'Summarized Source Data'!X$2,Subsector,'Summarized Source Data'!X$3,TimeOfWeek,$E389)*INDEX(About!T$79:T$82,MATCH($B389,About!$A$79:$A$82,0),1)</f>
        <v>335000000</v>
      </c>
      <c r="Y389" s="29">
        <f t="shared" ref="Y389:Z420" si="34">$X389</f>
        <v>335000000</v>
      </c>
      <c r="Z389" s="29">
        <f t="shared" si="34"/>
        <v>335000000</v>
      </c>
    </row>
    <row r="390" spans="1:26" x14ac:dyDescent="0.3">
      <c r="A390">
        <f t="shared" si="30"/>
        <v>5</v>
      </c>
      <c r="B390" t="str">
        <f>INDEX('Category Mapping'!$G$28:$G$39,MATCH(A390,'Category Mapping'!$A$28:$A$39,0),1)</f>
        <v>Spring</v>
      </c>
      <c r="C390" t="s">
        <v>65</v>
      </c>
      <c r="D390" s="6" t="s">
        <v>140</v>
      </c>
      <c r="E390" s="46" t="s">
        <v>48</v>
      </c>
      <c r="F390" s="27">
        <f>SUMIFS(INDEX(Load,,MATCH('Summarized Source Data'!$C390,Hour,0)),Month,'Summarized Source Data'!$A390,Sector,'Summarized Source Data'!F$2,Subsector,'Summarized Source Data'!F$3,TimeOfWeek,$E390)*INDEX(About!B$79:B$82,MATCH($B390,About!$A$79:$A$82,0),1)</f>
        <v>783376</v>
      </c>
      <c r="G390" s="27">
        <f>SUMIFS(INDEX(Load,,MATCH('Summarized Source Data'!$C390,Hour,0)),Month,'Summarized Source Data'!$A390,Sector,'Summarized Source Data'!G$2,Subsector,'Summarized Source Data'!G$3,TimeOfWeek,$E390)*INDEX(About!C$79:C$82,MATCH($B390,About!$A$79:$A$82,0),1)</f>
        <v>1892</v>
      </c>
      <c r="H390" s="27">
        <f>SUMIFS(INDEX(Load,,MATCH('Summarized Source Data'!$C390,Hour,0)),Month,'Summarized Source Data'!$A390,Sector,'Summarized Source Data'!H$2,Subsector,'Summarized Source Data'!H$3,TimeOfWeek,$E390)*INDEX(About!D$79:D$82,MATCH($B390,About!$A$79:$A$82,0),1)</f>
        <v>0</v>
      </c>
      <c r="I390" s="27">
        <f>SUMIFS(INDEX(Load,,MATCH('Summarized Source Data'!$C390,Hour,0)),Month,'Summarized Source Data'!$A390,Sector,'Summarized Source Data'!I$2,Subsector,'Summarized Source Data'!I$3,TimeOfWeek,$E390)*INDEX(About!E$79:E$82,MATCH($B390,About!$A$79:$A$82,0),1)</f>
        <v>4889156</v>
      </c>
      <c r="J390" s="54">
        <f t="shared" si="31"/>
        <v>22325576</v>
      </c>
      <c r="K390" s="27">
        <f>(SUMIFS(INDEX(Load,,MATCH('Summarized Source Data'!$C390,Hour,0)),Month,'Summarized Source Data'!$A390,Sector,'Summarized Source Data'!K$2,Subsector,"Total",TimeOfWeek,$E390)-SUM(F390:I390))*INDEX(About!G$79:G$82,MATCH($B390,About!$A$79:$A$82,0),1)</f>
        <v>22325576</v>
      </c>
      <c r="L390" s="27">
        <f>SUMIFS(INDEX(Load,,MATCH('Summarized Source Data'!$C390,Hour,0)),Month,'Summarized Source Data'!$A390,Sector,'Summarized Source Data'!L$2,Subsector,'Summarized Source Data'!L$3,TimeOfWeek,$E390)*INDEX(About!H$79:H$82,MATCH($B390,About!$A$79:$A$82,0),1)</f>
        <v>1771415</v>
      </c>
      <c r="M390" s="27">
        <f>SUMIFS(INDEX(Load,,MATCH('Summarized Source Data'!$C390,Hour,0)),Month,'Summarized Source Data'!$A390,Sector,'Summarized Source Data'!M$2,Subsector,'Summarized Source Data'!M$3,TimeOfWeek,$E390)*INDEX(About!I$79:I$82,MATCH($B390,About!$A$79:$A$82,0),1)</f>
        <v>3722821</v>
      </c>
      <c r="N390" s="27">
        <f>SUMIFS(INDEX(Load,,MATCH('Summarized Source Data'!$C390,Hour,0)),Month,'Summarized Source Data'!$A390,Sector,'Summarized Source Data'!N$2,Subsector,'Summarized Source Data'!N$3,TimeOfWeek,$E390)*INDEX(About!J$79:J$82,MATCH($B390,About!$A$79:$A$82,0),1)</f>
        <v>0</v>
      </c>
      <c r="O390" s="29">
        <f t="shared" si="32"/>
        <v>66605764</v>
      </c>
      <c r="P390" s="27">
        <f>(SUMIFS(INDEX(Load,,MATCH('Summarized Source Data'!$C390,Hour,0)),Month,'Summarized Source Data'!$A390,Sector,'Summarized Source Data'!P$2,Subsector,"Total",TimeOfWeek,$E390)-SUM(L390:N390)*INDEX(About!L$79:L$82,MATCH($B390,About!$A$79:$A$82,0),1))</f>
        <v>66605764</v>
      </c>
      <c r="Q390" s="29">
        <f t="shared" si="33"/>
        <v>66605764</v>
      </c>
      <c r="R390" s="33">
        <f>SUMIFS(INDEX(Load,,MATCH('Summarized Source Data'!$C390,Hour,0)),Month,'Summarized Source Data'!$A390,Sector,'Summarized Source Data'!R$2,TimeOfWeek,$E390)*INDEX(About!N$79:N$82,MATCH($B390,About!$A$79:$A$82,0),1)</f>
        <v>2325109</v>
      </c>
      <c r="S390" s="33">
        <f>SUMIFS(INDEX(Load,,MATCH('Summarized Source Data'!$C390,Hour,0)),Month,'Summarized Source Data'!$A390,Sector,'Summarized Source Data'!S$2,TimeOfWeek,$E390)*INDEX(About!O$79:O$82,MATCH($B390,About!$A$79:$A$82,0),1)</f>
        <v>2325109</v>
      </c>
      <c r="T390" s="33">
        <f>SUMIFS(INDEX(Load,,MATCH('Summarized Source Data'!$C390,Hour,0)),Month,'Summarized Source Data'!$A390,Sector,'Summarized Source Data'!T$2,TimeOfWeek,$E390)*INDEX(About!P$79:P$82,MATCH($B390,About!$A$79:$A$82,0),1)</f>
        <v>2325109</v>
      </c>
      <c r="U390" s="33">
        <f>SUMIFS(INDEX(Load,,MATCH('Summarized Source Data'!$C390,Hour,0)),Month,'Summarized Source Data'!$A390,Sector,'Summarized Source Data'!U$2,TimeOfWeek,$E390)*INDEX(About!Q$79:Q$82,MATCH($B390,About!$A$79:$A$82,0),1)</f>
        <v>2325109</v>
      </c>
      <c r="V390" s="33">
        <f>SUMIFS(INDEX(Load,,MATCH('Summarized Source Data'!$C390,Hour,0)),Month,'Summarized Source Data'!$A390,Sector,'Summarized Source Data'!V$2,TimeOfWeek,$E390)*INDEX(About!R$79:R$82,MATCH($B390,About!$A$79:$A$82,0),1)</f>
        <v>2325109</v>
      </c>
      <c r="W390" s="33">
        <f>SUMIFS(INDEX(Load,,MATCH('Summarized Source Data'!$C390,Hour,0)),Month,'Summarized Source Data'!$A390,Sector,'Summarized Source Data'!W$2,TimeOfWeek,$E390)*INDEX(About!S$79:S$82,MATCH($B390,About!$A$79:$A$82,0),1)</f>
        <v>2325109</v>
      </c>
      <c r="X390" s="27">
        <f>SUMIFS(INDEX(Load,,MATCH('Summarized Source Data'!$C390,Hour,0)),Month,'Summarized Source Data'!$A390,Sector,'Summarized Source Data'!X$2,Subsector,'Summarized Source Data'!X$3,TimeOfWeek,$E390)*INDEX(About!T$79:T$82,MATCH($B390,About!$A$79:$A$82,0),1)</f>
        <v>335000000</v>
      </c>
      <c r="Y390" s="29">
        <f t="shared" si="34"/>
        <v>335000000</v>
      </c>
      <c r="Z390" s="29">
        <f t="shared" si="34"/>
        <v>335000000</v>
      </c>
    </row>
    <row r="391" spans="1:26" x14ac:dyDescent="0.3">
      <c r="A391">
        <f t="shared" si="30"/>
        <v>5</v>
      </c>
      <c r="B391" t="str">
        <f>INDEX('Category Mapping'!$G$28:$G$39,MATCH(A391,'Category Mapping'!$A$28:$A$39,0),1)</f>
        <v>Spring</v>
      </c>
      <c r="C391" t="s">
        <v>66</v>
      </c>
      <c r="D391" s="6" t="s">
        <v>141</v>
      </c>
      <c r="E391" s="46" t="s">
        <v>48</v>
      </c>
      <c r="F391" s="27">
        <f>SUMIFS(INDEX(Load,,MATCH('Summarized Source Data'!$C391,Hour,0)),Month,'Summarized Source Data'!$A391,Sector,'Summarized Source Data'!F$2,Subsector,'Summarized Source Data'!F$3,TimeOfWeek,$E391)*INDEX(About!B$79:B$82,MATCH($B391,About!$A$79:$A$82,0),1)</f>
        <v>783376</v>
      </c>
      <c r="G391" s="27">
        <f>SUMIFS(INDEX(Load,,MATCH('Summarized Source Data'!$C391,Hour,0)),Month,'Summarized Source Data'!$A391,Sector,'Summarized Source Data'!G$2,Subsector,'Summarized Source Data'!G$3,TimeOfWeek,$E391)*INDEX(About!C$79:C$82,MATCH($B391,About!$A$79:$A$82,0),1)</f>
        <v>1896</v>
      </c>
      <c r="H391" s="27">
        <f>SUMIFS(INDEX(Load,,MATCH('Summarized Source Data'!$C391,Hour,0)),Month,'Summarized Source Data'!$A391,Sector,'Summarized Source Data'!H$2,Subsector,'Summarized Source Data'!H$3,TimeOfWeek,$E391)*INDEX(About!D$79:D$82,MATCH($B391,About!$A$79:$A$82,0),1)</f>
        <v>0</v>
      </c>
      <c r="I391" s="27">
        <f>SUMIFS(INDEX(Load,,MATCH('Summarized Source Data'!$C391,Hour,0)),Month,'Summarized Source Data'!$A391,Sector,'Summarized Source Data'!I$2,Subsector,'Summarized Source Data'!I$3,TimeOfWeek,$E391)*INDEX(About!E$79:E$82,MATCH($B391,About!$A$79:$A$82,0),1)</f>
        <v>4885029</v>
      </c>
      <c r="J391" s="54">
        <f t="shared" si="31"/>
        <v>18429699</v>
      </c>
      <c r="K391" s="27">
        <f>(SUMIFS(INDEX(Load,,MATCH('Summarized Source Data'!$C391,Hour,0)),Month,'Summarized Source Data'!$A391,Sector,'Summarized Source Data'!K$2,Subsector,"Total",TimeOfWeek,$E391)-SUM(F391:I391))*INDEX(About!G$79:G$82,MATCH($B391,About!$A$79:$A$82,0),1)</f>
        <v>18429699</v>
      </c>
      <c r="L391" s="27">
        <f>SUMIFS(INDEX(Load,,MATCH('Summarized Source Data'!$C391,Hour,0)),Month,'Summarized Source Data'!$A391,Sector,'Summarized Source Data'!L$2,Subsector,'Summarized Source Data'!L$3,TimeOfWeek,$E391)*INDEX(About!H$79:H$82,MATCH($B391,About!$A$79:$A$82,0),1)</f>
        <v>1801019</v>
      </c>
      <c r="M391" s="27">
        <f>SUMIFS(INDEX(Load,,MATCH('Summarized Source Data'!$C391,Hour,0)),Month,'Summarized Source Data'!$A391,Sector,'Summarized Source Data'!M$2,Subsector,'Summarized Source Data'!M$3,TimeOfWeek,$E391)*INDEX(About!I$79:I$82,MATCH($B391,About!$A$79:$A$82,0),1)</f>
        <v>3703601</v>
      </c>
      <c r="N391" s="27">
        <f>SUMIFS(INDEX(Load,,MATCH('Summarized Source Data'!$C391,Hour,0)),Month,'Summarized Source Data'!$A391,Sector,'Summarized Source Data'!N$2,Subsector,'Summarized Source Data'!N$3,TimeOfWeek,$E391)*INDEX(About!J$79:J$82,MATCH($B391,About!$A$79:$A$82,0),1)</f>
        <v>0</v>
      </c>
      <c r="O391" s="29">
        <f t="shared" si="32"/>
        <v>67195380</v>
      </c>
      <c r="P391" s="27">
        <f>(SUMIFS(INDEX(Load,,MATCH('Summarized Source Data'!$C391,Hour,0)),Month,'Summarized Source Data'!$A391,Sector,'Summarized Source Data'!P$2,Subsector,"Total",TimeOfWeek,$E391)-SUM(L391:N391)*INDEX(About!L$79:L$82,MATCH($B391,About!$A$79:$A$82,0),1))</f>
        <v>67195380</v>
      </c>
      <c r="Q391" s="29">
        <f t="shared" si="33"/>
        <v>67195380</v>
      </c>
      <c r="R391" s="33">
        <f>SUMIFS(INDEX(Load,,MATCH('Summarized Source Data'!$C391,Hour,0)),Month,'Summarized Source Data'!$A391,Sector,'Summarized Source Data'!R$2,TimeOfWeek,$E391)*INDEX(About!N$79:N$82,MATCH($B391,About!$A$79:$A$82,0),1)</f>
        <v>2325109</v>
      </c>
      <c r="S391" s="33">
        <f>SUMIFS(INDEX(Load,,MATCH('Summarized Source Data'!$C391,Hour,0)),Month,'Summarized Source Data'!$A391,Sector,'Summarized Source Data'!S$2,TimeOfWeek,$E391)*INDEX(About!O$79:O$82,MATCH($B391,About!$A$79:$A$82,0),1)</f>
        <v>2325109</v>
      </c>
      <c r="T391" s="33">
        <f>SUMIFS(INDEX(Load,,MATCH('Summarized Source Data'!$C391,Hour,0)),Month,'Summarized Source Data'!$A391,Sector,'Summarized Source Data'!T$2,TimeOfWeek,$E391)*INDEX(About!P$79:P$82,MATCH($B391,About!$A$79:$A$82,0),1)</f>
        <v>2325109</v>
      </c>
      <c r="U391" s="33">
        <f>SUMIFS(INDEX(Load,,MATCH('Summarized Source Data'!$C391,Hour,0)),Month,'Summarized Source Data'!$A391,Sector,'Summarized Source Data'!U$2,TimeOfWeek,$E391)*INDEX(About!Q$79:Q$82,MATCH($B391,About!$A$79:$A$82,0),1)</f>
        <v>2325109</v>
      </c>
      <c r="V391" s="33">
        <f>SUMIFS(INDEX(Load,,MATCH('Summarized Source Data'!$C391,Hour,0)),Month,'Summarized Source Data'!$A391,Sector,'Summarized Source Data'!V$2,TimeOfWeek,$E391)*INDEX(About!R$79:R$82,MATCH($B391,About!$A$79:$A$82,0),1)</f>
        <v>2325109</v>
      </c>
      <c r="W391" s="33">
        <f>SUMIFS(INDEX(Load,,MATCH('Summarized Source Data'!$C391,Hour,0)),Month,'Summarized Source Data'!$A391,Sector,'Summarized Source Data'!W$2,TimeOfWeek,$E391)*INDEX(About!S$79:S$82,MATCH($B391,About!$A$79:$A$82,0),1)</f>
        <v>2325109</v>
      </c>
      <c r="X391" s="27">
        <f>SUMIFS(INDEX(Load,,MATCH('Summarized Source Data'!$C391,Hour,0)),Month,'Summarized Source Data'!$A391,Sector,'Summarized Source Data'!X$2,Subsector,'Summarized Source Data'!X$3,TimeOfWeek,$E391)*INDEX(About!T$79:T$82,MATCH($B391,About!$A$79:$A$82,0),1)</f>
        <v>335000000</v>
      </c>
      <c r="Y391" s="29">
        <f t="shared" si="34"/>
        <v>335000000</v>
      </c>
      <c r="Z391" s="29">
        <f t="shared" si="34"/>
        <v>335000000</v>
      </c>
    </row>
    <row r="392" spans="1:26" x14ac:dyDescent="0.3">
      <c r="A392">
        <f t="shared" si="30"/>
        <v>5</v>
      </c>
      <c r="B392" t="str">
        <f>INDEX('Category Mapping'!$G$28:$G$39,MATCH(A392,'Category Mapping'!$A$28:$A$39,0),1)</f>
        <v>Spring</v>
      </c>
      <c r="C392" t="s">
        <v>67</v>
      </c>
      <c r="D392" s="6" t="s">
        <v>142</v>
      </c>
      <c r="E392" s="46" t="s">
        <v>48</v>
      </c>
      <c r="F392" s="27">
        <f>SUMIFS(INDEX(Load,,MATCH('Summarized Source Data'!$C392,Hour,0)),Month,'Summarized Source Data'!$A392,Sector,'Summarized Source Data'!F$2,Subsector,'Summarized Source Data'!F$3,TimeOfWeek,$E392)*INDEX(About!B$79:B$82,MATCH($B392,About!$A$79:$A$82,0),1)</f>
        <v>783376</v>
      </c>
      <c r="G392" s="27">
        <f>SUMIFS(INDEX(Load,,MATCH('Summarized Source Data'!$C392,Hour,0)),Month,'Summarized Source Data'!$A392,Sector,'Summarized Source Data'!G$2,Subsector,'Summarized Source Data'!G$3,TimeOfWeek,$E392)*INDEX(About!C$79:C$82,MATCH($B392,About!$A$79:$A$82,0),1)</f>
        <v>1890</v>
      </c>
      <c r="H392" s="27">
        <f>SUMIFS(INDEX(Load,,MATCH('Summarized Source Data'!$C392,Hour,0)),Month,'Summarized Source Data'!$A392,Sector,'Summarized Source Data'!H$2,Subsector,'Summarized Source Data'!H$3,TimeOfWeek,$E392)*INDEX(About!D$79:D$82,MATCH($B392,About!$A$79:$A$82,0),1)</f>
        <v>0</v>
      </c>
      <c r="I392" s="27">
        <f>SUMIFS(INDEX(Load,,MATCH('Summarized Source Data'!$C392,Hour,0)),Month,'Summarized Source Data'!$A392,Sector,'Summarized Source Data'!I$2,Subsector,'Summarized Source Data'!I$3,TimeOfWeek,$E392)*INDEX(About!E$79:E$82,MATCH($B392,About!$A$79:$A$82,0),1)</f>
        <v>5141962</v>
      </c>
      <c r="J392" s="54">
        <f t="shared" si="31"/>
        <v>18772772</v>
      </c>
      <c r="K392" s="27">
        <f>(SUMIFS(INDEX(Load,,MATCH('Summarized Source Data'!$C392,Hour,0)),Month,'Summarized Source Data'!$A392,Sector,'Summarized Source Data'!K$2,Subsector,"Total",TimeOfWeek,$E392)-SUM(F392:I392))*INDEX(About!G$79:G$82,MATCH($B392,About!$A$79:$A$82,0),1)</f>
        <v>18772772</v>
      </c>
      <c r="L392" s="27">
        <f>SUMIFS(INDEX(Load,,MATCH('Summarized Source Data'!$C392,Hour,0)),Month,'Summarized Source Data'!$A392,Sector,'Summarized Source Data'!L$2,Subsector,'Summarized Source Data'!L$3,TimeOfWeek,$E392)*INDEX(About!H$79:H$82,MATCH($B392,About!$A$79:$A$82,0),1)</f>
        <v>1783184</v>
      </c>
      <c r="M392" s="27">
        <f>SUMIFS(INDEX(Load,,MATCH('Summarized Source Data'!$C392,Hour,0)),Month,'Summarized Source Data'!$A392,Sector,'Summarized Source Data'!M$2,Subsector,'Summarized Source Data'!M$3,TimeOfWeek,$E392)*INDEX(About!I$79:I$82,MATCH($B392,About!$A$79:$A$82,0),1)</f>
        <v>3699463</v>
      </c>
      <c r="N392" s="27">
        <f>SUMIFS(INDEX(Load,,MATCH('Summarized Source Data'!$C392,Hour,0)),Month,'Summarized Source Data'!$A392,Sector,'Summarized Source Data'!N$2,Subsector,'Summarized Source Data'!N$3,TimeOfWeek,$E392)*INDEX(About!J$79:J$82,MATCH($B392,About!$A$79:$A$82,0),1)</f>
        <v>0</v>
      </c>
      <c r="O392" s="29">
        <f t="shared" si="32"/>
        <v>68117353</v>
      </c>
      <c r="P392" s="27">
        <f>(SUMIFS(INDEX(Load,,MATCH('Summarized Source Data'!$C392,Hour,0)),Month,'Summarized Source Data'!$A392,Sector,'Summarized Source Data'!P$2,Subsector,"Total",TimeOfWeek,$E392)-SUM(L392:N392)*INDEX(About!L$79:L$82,MATCH($B392,About!$A$79:$A$82,0),1))</f>
        <v>68117353</v>
      </c>
      <c r="Q392" s="29">
        <f t="shared" si="33"/>
        <v>68117353</v>
      </c>
      <c r="R392" s="33">
        <f>SUMIFS(INDEX(Load,,MATCH('Summarized Source Data'!$C392,Hour,0)),Month,'Summarized Source Data'!$A392,Sector,'Summarized Source Data'!R$2,TimeOfWeek,$E392)*INDEX(About!N$79:N$82,MATCH($B392,About!$A$79:$A$82,0),1)</f>
        <v>2313398</v>
      </c>
      <c r="S392" s="33">
        <f>SUMIFS(INDEX(Load,,MATCH('Summarized Source Data'!$C392,Hour,0)),Month,'Summarized Source Data'!$A392,Sector,'Summarized Source Data'!S$2,TimeOfWeek,$E392)*INDEX(About!O$79:O$82,MATCH($B392,About!$A$79:$A$82,0),1)</f>
        <v>2313398</v>
      </c>
      <c r="T392" s="33">
        <f>SUMIFS(INDEX(Load,,MATCH('Summarized Source Data'!$C392,Hour,0)),Month,'Summarized Source Data'!$A392,Sector,'Summarized Source Data'!T$2,TimeOfWeek,$E392)*INDEX(About!P$79:P$82,MATCH($B392,About!$A$79:$A$82,0),1)</f>
        <v>2313398</v>
      </c>
      <c r="U392" s="33">
        <f>SUMIFS(INDEX(Load,,MATCH('Summarized Source Data'!$C392,Hour,0)),Month,'Summarized Source Data'!$A392,Sector,'Summarized Source Data'!U$2,TimeOfWeek,$E392)*INDEX(About!Q$79:Q$82,MATCH($B392,About!$A$79:$A$82,0),1)</f>
        <v>2313398</v>
      </c>
      <c r="V392" s="33">
        <f>SUMIFS(INDEX(Load,,MATCH('Summarized Source Data'!$C392,Hour,0)),Month,'Summarized Source Data'!$A392,Sector,'Summarized Source Data'!V$2,TimeOfWeek,$E392)*INDEX(About!R$79:R$82,MATCH($B392,About!$A$79:$A$82,0),1)</f>
        <v>2313398</v>
      </c>
      <c r="W392" s="33">
        <f>SUMIFS(INDEX(Load,,MATCH('Summarized Source Data'!$C392,Hour,0)),Month,'Summarized Source Data'!$A392,Sector,'Summarized Source Data'!W$2,TimeOfWeek,$E392)*INDEX(About!S$79:S$82,MATCH($B392,About!$A$79:$A$82,0),1)</f>
        <v>2313398</v>
      </c>
      <c r="X392" s="27">
        <f>SUMIFS(INDEX(Load,,MATCH('Summarized Source Data'!$C392,Hour,0)),Month,'Summarized Source Data'!$A392,Sector,'Summarized Source Data'!X$2,Subsector,'Summarized Source Data'!X$3,TimeOfWeek,$E392)*INDEX(About!T$79:T$82,MATCH($B392,About!$A$79:$A$82,0),1)</f>
        <v>338000000</v>
      </c>
      <c r="Y392" s="29">
        <f t="shared" si="34"/>
        <v>338000000</v>
      </c>
      <c r="Z392" s="29">
        <f t="shared" si="34"/>
        <v>338000000</v>
      </c>
    </row>
    <row r="393" spans="1:26" x14ac:dyDescent="0.3">
      <c r="A393">
        <f t="shared" si="30"/>
        <v>5</v>
      </c>
      <c r="B393" t="str">
        <f>INDEX('Category Mapping'!$G$28:$G$39,MATCH(A393,'Category Mapping'!$A$28:$A$39,0),1)</f>
        <v>Spring</v>
      </c>
      <c r="C393" t="s">
        <v>68</v>
      </c>
      <c r="D393" s="6" t="s">
        <v>143</v>
      </c>
      <c r="E393" s="46" t="s">
        <v>48</v>
      </c>
      <c r="F393" s="27">
        <f>SUMIFS(INDEX(Load,,MATCH('Summarized Source Data'!$C393,Hour,0)),Month,'Summarized Source Data'!$A393,Sector,'Summarized Source Data'!F$2,Subsector,'Summarized Source Data'!F$3,TimeOfWeek,$E393)*INDEX(About!B$79:B$82,MATCH($B393,About!$A$79:$A$82,0),1)</f>
        <v>1035251</v>
      </c>
      <c r="G393" s="27">
        <f>SUMIFS(INDEX(Load,,MATCH('Summarized Source Data'!$C393,Hour,0)),Month,'Summarized Source Data'!$A393,Sector,'Summarized Source Data'!G$2,Subsector,'Summarized Source Data'!G$3,TimeOfWeek,$E393)*INDEX(About!C$79:C$82,MATCH($B393,About!$A$79:$A$82,0),1)</f>
        <v>1856</v>
      </c>
      <c r="H393" s="27">
        <f>SUMIFS(INDEX(Load,,MATCH('Summarized Source Data'!$C393,Hour,0)),Month,'Summarized Source Data'!$A393,Sector,'Summarized Source Data'!H$2,Subsector,'Summarized Source Data'!H$3,TimeOfWeek,$E393)*INDEX(About!D$79:D$82,MATCH($B393,About!$A$79:$A$82,0),1)</f>
        <v>0</v>
      </c>
      <c r="I393" s="27">
        <f>SUMIFS(INDEX(Load,,MATCH('Summarized Source Data'!$C393,Hour,0)),Month,'Summarized Source Data'!$A393,Sector,'Summarized Source Data'!I$2,Subsector,'Summarized Source Data'!I$3,TimeOfWeek,$E393)*INDEX(About!E$79:E$82,MATCH($B393,About!$A$79:$A$82,0),1)</f>
        <v>6185456</v>
      </c>
      <c r="J393" s="54">
        <f t="shared" si="31"/>
        <v>21677437</v>
      </c>
      <c r="K393" s="27">
        <f>(SUMIFS(INDEX(Load,,MATCH('Summarized Source Data'!$C393,Hour,0)),Month,'Summarized Source Data'!$A393,Sector,'Summarized Source Data'!K$2,Subsector,"Total",TimeOfWeek,$E393)-SUM(F393:I393))*INDEX(About!G$79:G$82,MATCH($B393,About!$A$79:$A$82,0),1)</f>
        <v>21677437</v>
      </c>
      <c r="L393" s="27">
        <f>SUMIFS(INDEX(Load,,MATCH('Summarized Source Data'!$C393,Hour,0)),Month,'Summarized Source Data'!$A393,Sector,'Summarized Source Data'!L$2,Subsector,'Summarized Source Data'!L$3,TimeOfWeek,$E393)*INDEX(About!H$79:H$82,MATCH($B393,About!$A$79:$A$82,0),1)</f>
        <v>2014466</v>
      </c>
      <c r="M393" s="27">
        <f>SUMIFS(INDEX(Load,,MATCH('Summarized Source Data'!$C393,Hour,0)),Month,'Summarized Source Data'!$A393,Sector,'Summarized Source Data'!M$2,Subsector,'Summarized Source Data'!M$3,TimeOfWeek,$E393)*INDEX(About!I$79:I$82,MATCH($B393,About!$A$79:$A$82,0),1)</f>
        <v>3739846</v>
      </c>
      <c r="N393" s="27">
        <f>SUMIFS(INDEX(Load,,MATCH('Summarized Source Data'!$C393,Hour,0)),Month,'Summarized Source Data'!$A393,Sector,'Summarized Source Data'!N$2,Subsector,'Summarized Source Data'!N$3,TimeOfWeek,$E393)*INDEX(About!J$79:J$82,MATCH($B393,About!$A$79:$A$82,0),1)</f>
        <v>0</v>
      </c>
      <c r="O393" s="29">
        <f t="shared" si="32"/>
        <v>72745688</v>
      </c>
      <c r="P393" s="27">
        <f>(SUMIFS(INDEX(Load,,MATCH('Summarized Source Data'!$C393,Hour,0)),Month,'Summarized Source Data'!$A393,Sector,'Summarized Source Data'!P$2,Subsector,"Total",TimeOfWeek,$E393)-SUM(L393:N393)*INDEX(About!L$79:L$82,MATCH($B393,About!$A$79:$A$82,0),1))</f>
        <v>72745688</v>
      </c>
      <c r="Q393" s="29">
        <f t="shared" si="33"/>
        <v>72745688</v>
      </c>
      <c r="R393" s="33">
        <f>SUMIFS(INDEX(Load,,MATCH('Summarized Source Data'!$C393,Hour,0)),Month,'Summarized Source Data'!$A393,Sector,'Summarized Source Data'!R$2,TimeOfWeek,$E393)*INDEX(About!N$79:N$82,MATCH($B393,About!$A$79:$A$82,0),1)</f>
        <v>2330964</v>
      </c>
      <c r="S393" s="33">
        <f>SUMIFS(INDEX(Load,,MATCH('Summarized Source Data'!$C393,Hour,0)),Month,'Summarized Source Data'!$A393,Sector,'Summarized Source Data'!S$2,TimeOfWeek,$E393)*INDEX(About!O$79:O$82,MATCH($B393,About!$A$79:$A$82,0),1)</f>
        <v>2330964</v>
      </c>
      <c r="T393" s="33">
        <f>SUMIFS(INDEX(Load,,MATCH('Summarized Source Data'!$C393,Hour,0)),Month,'Summarized Source Data'!$A393,Sector,'Summarized Source Data'!T$2,TimeOfWeek,$E393)*INDEX(About!P$79:P$82,MATCH($B393,About!$A$79:$A$82,0),1)</f>
        <v>2330964</v>
      </c>
      <c r="U393" s="33">
        <f>SUMIFS(INDEX(Load,,MATCH('Summarized Source Data'!$C393,Hour,0)),Month,'Summarized Source Data'!$A393,Sector,'Summarized Source Data'!U$2,TimeOfWeek,$E393)*INDEX(About!Q$79:Q$82,MATCH($B393,About!$A$79:$A$82,0),1)</f>
        <v>2330964</v>
      </c>
      <c r="V393" s="33">
        <f>SUMIFS(INDEX(Load,,MATCH('Summarized Source Data'!$C393,Hour,0)),Month,'Summarized Source Data'!$A393,Sector,'Summarized Source Data'!V$2,TimeOfWeek,$E393)*INDEX(About!R$79:R$82,MATCH($B393,About!$A$79:$A$82,0),1)</f>
        <v>2330964</v>
      </c>
      <c r="W393" s="33">
        <f>SUMIFS(INDEX(Load,,MATCH('Summarized Source Data'!$C393,Hour,0)),Month,'Summarized Source Data'!$A393,Sector,'Summarized Source Data'!W$2,TimeOfWeek,$E393)*INDEX(About!S$79:S$82,MATCH($B393,About!$A$79:$A$82,0),1)</f>
        <v>2330964</v>
      </c>
      <c r="X393" s="27">
        <f>SUMIFS(INDEX(Load,,MATCH('Summarized Source Data'!$C393,Hour,0)),Month,'Summarized Source Data'!$A393,Sector,'Summarized Source Data'!X$2,Subsector,'Summarized Source Data'!X$3,TimeOfWeek,$E393)*INDEX(About!T$79:T$82,MATCH($B393,About!$A$79:$A$82,0),1)</f>
        <v>341000000</v>
      </c>
      <c r="Y393" s="29">
        <f t="shared" si="34"/>
        <v>341000000</v>
      </c>
      <c r="Z393" s="29">
        <f t="shared" si="34"/>
        <v>341000000</v>
      </c>
    </row>
    <row r="394" spans="1:26" x14ac:dyDescent="0.3">
      <c r="A394">
        <f t="shared" si="30"/>
        <v>5</v>
      </c>
      <c r="B394" t="str">
        <f>INDEX('Category Mapping'!$G$28:$G$39,MATCH(A394,'Category Mapping'!$A$28:$A$39,0),1)</f>
        <v>Spring</v>
      </c>
      <c r="C394" t="s">
        <v>69</v>
      </c>
      <c r="D394" s="6" t="s">
        <v>144</v>
      </c>
      <c r="E394" s="46" t="s">
        <v>48</v>
      </c>
      <c r="F394" s="27">
        <f>SUMIFS(INDEX(Load,,MATCH('Summarized Source Data'!$C394,Hour,0)),Month,'Summarized Source Data'!$A394,Sector,'Summarized Source Data'!F$2,Subsector,'Summarized Source Data'!F$3,TimeOfWeek,$E394)*INDEX(About!B$79:B$82,MATCH($B394,About!$A$79:$A$82,0),1)</f>
        <v>1182611</v>
      </c>
      <c r="G394" s="27">
        <f>SUMIFS(INDEX(Load,,MATCH('Summarized Source Data'!$C394,Hour,0)),Month,'Summarized Source Data'!$A394,Sector,'Summarized Source Data'!G$2,Subsector,'Summarized Source Data'!G$3,TimeOfWeek,$E394)*INDEX(About!C$79:C$82,MATCH($B394,About!$A$79:$A$82,0),1)</f>
        <v>1781</v>
      </c>
      <c r="H394" s="27">
        <f>SUMIFS(INDEX(Load,,MATCH('Summarized Source Data'!$C394,Hour,0)),Month,'Summarized Source Data'!$A394,Sector,'Summarized Source Data'!H$2,Subsector,'Summarized Source Data'!H$3,TimeOfWeek,$E394)*INDEX(About!D$79:D$82,MATCH($B394,About!$A$79:$A$82,0),1)</f>
        <v>0</v>
      </c>
      <c r="I394" s="27">
        <f>SUMIFS(INDEX(Load,,MATCH('Summarized Source Data'!$C394,Hour,0)),Month,'Summarized Source Data'!$A394,Sector,'Summarized Source Data'!I$2,Subsector,'Summarized Source Data'!I$3,TimeOfWeek,$E394)*INDEX(About!E$79:E$82,MATCH($B394,About!$A$79:$A$82,0),1)</f>
        <v>4010750</v>
      </c>
      <c r="J394" s="54">
        <f t="shared" si="31"/>
        <v>31704858</v>
      </c>
      <c r="K394" s="27">
        <f>(SUMIFS(INDEX(Load,,MATCH('Summarized Source Data'!$C394,Hour,0)),Month,'Summarized Source Data'!$A394,Sector,'Summarized Source Data'!K$2,Subsector,"Total",TimeOfWeek,$E394)-SUM(F394:I394))*INDEX(About!G$79:G$82,MATCH($B394,About!$A$79:$A$82,0),1)</f>
        <v>31704858</v>
      </c>
      <c r="L394" s="27">
        <f>SUMIFS(INDEX(Load,,MATCH('Summarized Source Data'!$C394,Hour,0)),Month,'Summarized Source Data'!$A394,Sector,'Summarized Source Data'!L$2,Subsector,'Summarized Source Data'!L$3,TimeOfWeek,$E394)*INDEX(About!H$79:H$82,MATCH($B394,About!$A$79:$A$82,0),1)</f>
        <v>3118879</v>
      </c>
      <c r="M394" s="27">
        <f>SUMIFS(INDEX(Load,,MATCH('Summarized Source Data'!$C394,Hour,0)),Month,'Summarized Source Data'!$A394,Sector,'Summarized Source Data'!M$2,Subsector,'Summarized Source Data'!M$3,TimeOfWeek,$E394)*INDEX(About!I$79:I$82,MATCH($B394,About!$A$79:$A$82,0),1)</f>
        <v>3884282</v>
      </c>
      <c r="N394" s="27">
        <f>SUMIFS(INDEX(Load,,MATCH('Summarized Source Data'!$C394,Hour,0)),Month,'Summarized Source Data'!$A394,Sector,'Summarized Source Data'!N$2,Subsector,'Summarized Source Data'!N$3,TimeOfWeek,$E394)*INDEX(About!J$79:J$82,MATCH($B394,About!$A$79:$A$82,0),1)</f>
        <v>0</v>
      </c>
      <c r="O394" s="29">
        <f t="shared" si="32"/>
        <v>81196839</v>
      </c>
      <c r="P394" s="27">
        <f>(SUMIFS(INDEX(Load,,MATCH('Summarized Source Data'!$C394,Hour,0)),Month,'Summarized Source Data'!$A394,Sector,'Summarized Source Data'!P$2,Subsector,"Total",TimeOfWeek,$E394)-SUM(L394:N394)*INDEX(About!L$79:L$82,MATCH($B394,About!$A$79:$A$82,0),1))</f>
        <v>81196839</v>
      </c>
      <c r="Q394" s="29">
        <f t="shared" si="33"/>
        <v>81196839</v>
      </c>
      <c r="R394" s="33">
        <f>SUMIFS(INDEX(Load,,MATCH('Summarized Source Data'!$C394,Hour,0)),Month,'Summarized Source Data'!$A394,Sector,'Summarized Source Data'!R$2,TimeOfWeek,$E394)*INDEX(About!N$79:N$82,MATCH($B394,About!$A$79:$A$82,0),1)</f>
        <v>2894458</v>
      </c>
      <c r="S394" s="33">
        <f>SUMIFS(INDEX(Load,,MATCH('Summarized Source Data'!$C394,Hour,0)),Month,'Summarized Source Data'!$A394,Sector,'Summarized Source Data'!S$2,TimeOfWeek,$E394)*INDEX(About!O$79:O$82,MATCH($B394,About!$A$79:$A$82,0),1)</f>
        <v>2894458</v>
      </c>
      <c r="T394" s="33">
        <f>SUMIFS(INDEX(Load,,MATCH('Summarized Source Data'!$C394,Hour,0)),Month,'Summarized Source Data'!$A394,Sector,'Summarized Source Data'!T$2,TimeOfWeek,$E394)*INDEX(About!P$79:P$82,MATCH($B394,About!$A$79:$A$82,0),1)</f>
        <v>2894458</v>
      </c>
      <c r="U394" s="33">
        <f>SUMIFS(INDEX(Load,,MATCH('Summarized Source Data'!$C394,Hour,0)),Month,'Summarized Source Data'!$A394,Sector,'Summarized Source Data'!U$2,TimeOfWeek,$E394)*INDEX(About!Q$79:Q$82,MATCH($B394,About!$A$79:$A$82,0),1)</f>
        <v>2894458</v>
      </c>
      <c r="V394" s="33">
        <f>SUMIFS(INDEX(Load,,MATCH('Summarized Source Data'!$C394,Hour,0)),Month,'Summarized Source Data'!$A394,Sector,'Summarized Source Data'!V$2,TimeOfWeek,$E394)*INDEX(About!R$79:R$82,MATCH($B394,About!$A$79:$A$82,0),1)</f>
        <v>2894458</v>
      </c>
      <c r="W394" s="33">
        <f>SUMIFS(INDEX(Load,,MATCH('Summarized Source Data'!$C394,Hour,0)),Month,'Summarized Source Data'!$A394,Sector,'Summarized Source Data'!W$2,TimeOfWeek,$E394)*INDEX(About!S$79:S$82,MATCH($B394,About!$A$79:$A$82,0),1)</f>
        <v>2894458</v>
      </c>
      <c r="X394" s="27">
        <f>SUMIFS(INDEX(Load,,MATCH('Summarized Source Data'!$C394,Hour,0)),Month,'Summarized Source Data'!$A394,Sector,'Summarized Source Data'!X$2,Subsector,'Summarized Source Data'!X$3,TimeOfWeek,$E394)*INDEX(About!T$79:T$82,MATCH($B394,About!$A$79:$A$82,0),1)</f>
        <v>343000000</v>
      </c>
      <c r="Y394" s="29">
        <f t="shared" si="34"/>
        <v>343000000</v>
      </c>
      <c r="Z394" s="29">
        <f t="shared" si="34"/>
        <v>343000000</v>
      </c>
    </row>
    <row r="395" spans="1:26" x14ac:dyDescent="0.3">
      <c r="A395">
        <f t="shared" si="30"/>
        <v>5</v>
      </c>
      <c r="B395" t="str">
        <f>INDEX('Category Mapping'!$G$28:$G$39,MATCH(A395,'Category Mapping'!$A$28:$A$39,0),1)</f>
        <v>Spring</v>
      </c>
      <c r="C395" t="s">
        <v>70</v>
      </c>
      <c r="D395" s="6" t="s">
        <v>145</v>
      </c>
      <c r="E395" s="46" t="s">
        <v>48</v>
      </c>
      <c r="F395" s="27">
        <f>SUMIFS(INDEX(Load,,MATCH('Summarized Source Data'!$C395,Hour,0)),Month,'Summarized Source Data'!$A395,Sector,'Summarized Source Data'!F$2,Subsector,'Summarized Source Data'!F$3,TimeOfWeek,$E395)*INDEX(About!B$79:B$82,MATCH($B395,About!$A$79:$A$82,0),1)</f>
        <v>1372637</v>
      </c>
      <c r="G395" s="27">
        <f>SUMIFS(INDEX(Load,,MATCH('Summarized Source Data'!$C395,Hour,0)),Month,'Summarized Source Data'!$A395,Sector,'Summarized Source Data'!G$2,Subsector,'Summarized Source Data'!G$3,TimeOfWeek,$E395)*INDEX(About!C$79:C$82,MATCH($B395,About!$A$79:$A$82,0),1)</f>
        <v>1656</v>
      </c>
      <c r="H395" s="27">
        <f>SUMIFS(INDEX(Load,,MATCH('Summarized Source Data'!$C395,Hour,0)),Month,'Summarized Source Data'!$A395,Sector,'Summarized Source Data'!H$2,Subsector,'Summarized Source Data'!H$3,TimeOfWeek,$E395)*INDEX(About!D$79:D$82,MATCH($B395,About!$A$79:$A$82,0),1)</f>
        <v>0</v>
      </c>
      <c r="I395" s="27">
        <f>SUMIFS(INDEX(Load,,MATCH('Summarized Source Data'!$C395,Hour,0)),Month,'Summarized Source Data'!$A395,Sector,'Summarized Source Data'!I$2,Subsector,'Summarized Source Data'!I$3,TimeOfWeek,$E395)*INDEX(About!E$79:E$82,MATCH($B395,About!$A$79:$A$82,0),1)</f>
        <v>5323119</v>
      </c>
      <c r="J395" s="54">
        <f t="shared" si="31"/>
        <v>45202588</v>
      </c>
      <c r="K395" s="27">
        <f>(SUMIFS(INDEX(Load,,MATCH('Summarized Source Data'!$C395,Hour,0)),Month,'Summarized Source Data'!$A395,Sector,'Summarized Source Data'!K$2,Subsector,"Total",TimeOfWeek,$E395)-SUM(F395:I395))*INDEX(About!G$79:G$82,MATCH($B395,About!$A$79:$A$82,0),1)</f>
        <v>45202588</v>
      </c>
      <c r="L395" s="27">
        <f>SUMIFS(INDEX(Load,,MATCH('Summarized Source Data'!$C395,Hour,0)),Month,'Summarized Source Data'!$A395,Sector,'Summarized Source Data'!L$2,Subsector,'Summarized Source Data'!L$3,TimeOfWeek,$E395)*INDEX(About!H$79:H$82,MATCH($B395,About!$A$79:$A$82,0),1)</f>
        <v>3194588</v>
      </c>
      <c r="M395" s="27">
        <f>SUMIFS(INDEX(Load,,MATCH('Summarized Source Data'!$C395,Hour,0)),Month,'Summarized Source Data'!$A395,Sector,'Summarized Source Data'!M$2,Subsector,'Summarized Source Data'!M$3,TimeOfWeek,$E395)*INDEX(About!I$79:I$82,MATCH($B395,About!$A$79:$A$82,0),1)</f>
        <v>4169228</v>
      </c>
      <c r="N395" s="27">
        <f>SUMIFS(INDEX(Load,,MATCH('Summarized Source Data'!$C395,Hour,0)),Month,'Summarized Source Data'!$A395,Sector,'Summarized Source Data'!N$2,Subsector,'Summarized Source Data'!N$3,TimeOfWeek,$E395)*INDEX(About!J$79:J$82,MATCH($B395,About!$A$79:$A$82,0),1)</f>
        <v>0</v>
      </c>
      <c r="O395" s="29">
        <f t="shared" si="32"/>
        <v>102636184</v>
      </c>
      <c r="P395" s="27">
        <f>(SUMIFS(INDEX(Load,,MATCH('Summarized Source Data'!$C395,Hour,0)),Month,'Summarized Source Data'!$A395,Sector,'Summarized Source Data'!P$2,Subsector,"Total",TimeOfWeek,$E395)-SUM(L395:N395)*INDEX(About!L$79:L$82,MATCH($B395,About!$A$79:$A$82,0),1))</f>
        <v>102636184</v>
      </c>
      <c r="Q395" s="29">
        <f t="shared" si="33"/>
        <v>102636184</v>
      </c>
      <c r="R395" s="33">
        <f>SUMIFS(INDEX(Load,,MATCH('Summarized Source Data'!$C395,Hour,0)),Month,'Summarized Source Data'!$A395,Sector,'Summarized Source Data'!R$2,TimeOfWeek,$E395)*INDEX(About!N$79:N$82,MATCH($B395,About!$A$79:$A$82,0),1)</f>
        <v>3769421</v>
      </c>
      <c r="S395" s="33">
        <f>SUMIFS(INDEX(Load,,MATCH('Summarized Source Data'!$C395,Hour,0)),Month,'Summarized Source Data'!$A395,Sector,'Summarized Source Data'!S$2,TimeOfWeek,$E395)*INDEX(About!O$79:O$82,MATCH($B395,About!$A$79:$A$82,0),1)</f>
        <v>3769421</v>
      </c>
      <c r="T395" s="33">
        <f>SUMIFS(INDEX(Load,,MATCH('Summarized Source Data'!$C395,Hour,0)),Month,'Summarized Source Data'!$A395,Sector,'Summarized Source Data'!T$2,TimeOfWeek,$E395)*INDEX(About!P$79:P$82,MATCH($B395,About!$A$79:$A$82,0),1)</f>
        <v>3769421</v>
      </c>
      <c r="U395" s="33">
        <f>SUMIFS(INDEX(Load,,MATCH('Summarized Source Data'!$C395,Hour,0)),Month,'Summarized Source Data'!$A395,Sector,'Summarized Source Data'!U$2,TimeOfWeek,$E395)*INDEX(About!Q$79:Q$82,MATCH($B395,About!$A$79:$A$82,0),1)</f>
        <v>3769421</v>
      </c>
      <c r="V395" s="33">
        <f>SUMIFS(INDEX(Load,,MATCH('Summarized Source Data'!$C395,Hour,0)),Month,'Summarized Source Data'!$A395,Sector,'Summarized Source Data'!V$2,TimeOfWeek,$E395)*INDEX(About!R$79:R$82,MATCH($B395,About!$A$79:$A$82,0),1)</f>
        <v>3769421</v>
      </c>
      <c r="W395" s="33">
        <f>SUMIFS(INDEX(Load,,MATCH('Summarized Source Data'!$C395,Hour,0)),Month,'Summarized Source Data'!$A395,Sector,'Summarized Source Data'!W$2,TimeOfWeek,$E395)*INDEX(About!S$79:S$82,MATCH($B395,About!$A$79:$A$82,0),1)</f>
        <v>3769421</v>
      </c>
      <c r="X395" s="27">
        <f>SUMIFS(INDEX(Load,,MATCH('Summarized Source Data'!$C395,Hour,0)),Month,'Summarized Source Data'!$A395,Sector,'Summarized Source Data'!X$2,Subsector,'Summarized Source Data'!X$3,TimeOfWeek,$E395)*INDEX(About!T$79:T$82,MATCH($B395,About!$A$79:$A$82,0),1)</f>
        <v>343000000</v>
      </c>
      <c r="Y395" s="29">
        <f t="shared" si="34"/>
        <v>343000000</v>
      </c>
      <c r="Z395" s="29">
        <f t="shared" si="34"/>
        <v>343000000</v>
      </c>
    </row>
    <row r="396" spans="1:26" x14ac:dyDescent="0.3">
      <c r="A396">
        <f t="shared" si="30"/>
        <v>5</v>
      </c>
      <c r="B396" t="str">
        <f>INDEX('Category Mapping'!$G$28:$G$39,MATCH(A396,'Category Mapping'!$A$28:$A$39,0),1)</f>
        <v>Spring</v>
      </c>
      <c r="C396" t="s">
        <v>71</v>
      </c>
      <c r="D396" s="6" t="s">
        <v>146</v>
      </c>
      <c r="E396" s="46" t="s">
        <v>48</v>
      </c>
      <c r="F396" s="27">
        <f>SUMIFS(INDEX(Load,,MATCH('Summarized Source Data'!$C396,Hour,0)),Month,'Summarized Source Data'!$A396,Sector,'Summarized Source Data'!F$2,Subsector,'Summarized Source Data'!F$3,TimeOfWeek,$E396)*INDEX(About!B$79:B$82,MATCH($B396,About!$A$79:$A$82,0),1)</f>
        <v>1491475</v>
      </c>
      <c r="G396" s="27">
        <f>SUMIFS(INDEX(Load,,MATCH('Summarized Source Data'!$C396,Hour,0)),Month,'Summarized Source Data'!$A396,Sector,'Summarized Source Data'!G$2,Subsector,'Summarized Source Data'!G$3,TimeOfWeek,$E396)*INDEX(About!C$79:C$82,MATCH($B396,About!$A$79:$A$82,0),1)</f>
        <v>44183</v>
      </c>
      <c r="H396" s="27">
        <f>SUMIFS(INDEX(Load,,MATCH('Summarized Source Data'!$C396,Hour,0)),Month,'Summarized Source Data'!$A396,Sector,'Summarized Source Data'!H$2,Subsector,'Summarized Source Data'!H$3,TimeOfWeek,$E396)*INDEX(About!D$79:D$82,MATCH($B396,About!$A$79:$A$82,0),1)</f>
        <v>0</v>
      </c>
      <c r="I396" s="27">
        <f>SUMIFS(INDEX(Load,,MATCH('Summarized Source Data'!$C396,Hour,0)),Month,'Summarized Source Data'!$A396,Sector,'Summarized Source Data'!I$2,Subsector,'Summarized Source Data'!I$3,TimeOfWeek,$E396)*INDEX(About!E$79:E$82,MATCH($B396,About!$A$79:$A$82,0),1)</f>
        <v>6493924</v>
      </c>
      <c r="J396" s="54">
        <f t="shared" si="31"/>
        <v>56470418</v>
      </c>
      <c r="K396" s="27">
        <f>(SUMIFS(INDEX(Load,,MATCH('Summarized Source Data'!$C396,Hour,0)),Month,'Summarized Source Data'!$A396,Sector,'Summarized Source Data'!K$2,Subsector,"Total",TimeOfWeek,$E396)-SUM(F396:I396))*INDEX(About!G$79:G$82,MATCH($B396,About!$A$79:$A$82,0),1)</f>
        <v>56470418</v>
      </c>
      <c r="L396" s="27">
        <f>SUMIFS(INDEX(Load,,MATCH('Summarized Source Data'!$C396,Hour,0)),Month,'Summarized Source Data'!$A396,Sector,'Summarized Source Data'!L$2,Subsector,'Summarized Source Data'!L$3,TimeOfWeek,$E396)*INDEX(About!H$79:H$82,MATCH($B396,About!$A$79:$A$82,0),1)</f>
        <v>2603892</v>
      </c>
      <c r="M396" s="27">
        <f>SUMIFS(INDEX(Load,,MATCH('Summarized Source Data'!$C396,Hour,0)),Month,'Summarized Source Data'!$A396,Sector,'Summarized Source Data'!M$2,Subsector,'Summarized Source Data'!M$3,TimeOfWeek,$E396)*INDEX(About!I$79:I$82,MATCH($B396,About!$A$79:$A$82,0),1)</f>
        <v>4612852</v>
      </c>
      <c r="N396" s="27">
        <f>SUMIFS(INDEX(Load,,MATCH('Summarized Source Data'!$C396,Hour,0)),Month,'Summarized Source Data'!$A396,Sector,'Summarized Source Data'!N$2,Subsector,'Summarized Source Data'!N$3,TimeOfWeek,$E396)*INDEX(About!J$79:J$82,MATCH($B396,About!$A$79:$A$82,0),1)</f>
        <v>0</v>
      </c>
      <c r="O396" s="29">
        <f t="shared" si="32"/>
        <v>115783256</v>
      </c>
      <c r="P396" s="27">
        <f>(SUMIFS(INDEX(Load,,MATCH('Summarized Source Data'!$C396,Hour,0)),Month,'Summarized Source Data'!$A396,Sector,'Summarized Source Data'!P$2,Subsector,"Total",TimeOfWeek,$E396)-SUM(L396:N396)*INDEX(About!L$79:L$82,MATCH($B396,About!$A$79:$A$82,0),1))</f>
        <v>115783256</v>
      </c>
      <c r="Q396" s="29">
        <f t="shared" si="33"/>
        <v>115783256</v>
      </c>
      <c r="R396" s="33">
        <f>SUMIFS(INDEX(Load,,MATCH('Summarized Source Data'!$C396,Hour,0)),Month,'Summarized Source Data'!$A396,Sector,'Summarized Source Data'!R$2,TimeOfWeek,$E396)*INDEX(About!N$79:N$82,MATCH($B396,About!$A$79:$A$82,0),1)</f>
        <v>4517801</v>
      </c>
      <c r="S396" s="33">
        <f>SUMIFS(INDEX(Load,,MATCH('Summarized Source Data'!$C396,Hour,0)),Month,'Summarized Source Data'!$A396,Sector,'Summarized Source Data'!S$2,TimeOfWeek,$E396)*INDEX(About!O$79:O$82,MATCH($B396,About!$A$79:$A$82,0),1)</f>
        <v>4517801</v>
      </c>
      <c r="T396" s="33">
        <f>SUMIFS(INDEX(Load,,MATCH('Summarized Source Data'!$C396,Hour,0)),Month,'Summarized Source Data'!$A396,Sector,'Summarized Source Data'!T$2,TimeOfWeek,$E396)*INDEX(About!P$79:P$82,MATCH($B396,About!$A$79:$A$82,0),1)</f>
        <v>4517801</v>
      </c>
      <c r="U396" s="33">
        <f>SUMIFS(INDEX(Load,,MATCH('Summarized Source Data'!$C396,Hour,0)),Month,'Summarized Source Data'!$A396,Sector,'Summarized Source Data'!U$2,TimeOfWeek,$E396)*INDEX(About!Q$79:Q$82,MATCH($B396,About!$A$79:$A$82,0),1)</f>
        <v>4517801</v>
      </c>
      <c r="V396" s="33">
        <f>SUMIFS(INDEX(Load,,MATCH('Summarized Source Data'!$C396,Hour,0)),Month,'Summarized Source Data'!$A396,Sector,'Summarized Source Data'!V$2,TimeOfWeek,$E396)*INDEX(About!R$79:R$82,MATCH($B396,About!$A$79:$A$82,0),1)</f>
        <v>4517801</v>
      </c>
      <c r="W396" s="33">
        <f>SUMIFS(INDEX(Load,,MATCH('Summarized Source Data'!$C396,Hour,0)),Month,'Summarized Source Data'!$A396,Sector,'Summarized Source Data'!W$2,TimeOfWeek,$E396)*INDEX(About!S$79:S$82,MATCH($B396,About!$A$79:$A$82,0),1)</f>
        <v>4517801</v>
      </c>
      <c r="X396" s="27">
        <f>SUMIFS(INDEX(Load,,MATCH('Summarized Source Data'!$C396,Hour,0)),Month,'Summarized Source Data'!$A396,Sector,'Summarized Source Data'!X$2,Subsector,'Summarized Source Data'!X$3,TimeOfWeek,$E396)*INDEX(About!T$79:T$82,MATCH($B396,About!$A$79:$A$82,0),1)</f>
        <v>342000000</v>
      </c>
      <c r="Y396" s="29">
        <f t="shared" si="34"/>
        <v>342000000</v>
      </c>
      <c r="Z396" s="29">
        <f t="shared" si="34"/>
        <v>342000000</v>
      </c>
    </row>
    <row r="397" spans="1:26" x14ac:dyDescent="0.3">
      <c r="A397">
        <f t="shared" si="30"/>
        <v>5</v>
      </c>
      <c r="B397" t="str">
        <f>INDEX('Category Mapping'!$G$28:$G$39,MATCH(A397,'Category Mapping'!$A$28:$A$39,0),1)</f>
        <v>Spring</v>
      </c>
      <c r="C397" t="s">
        <v>72</v>
      </c>
      <c r="D397" s="6" t="s">
        <v>147</v>
      </c>
      <c r="E397" s="46" t="s">
        <v>48</v>
      </c>
      <c r="F397" s="27">
        <f>SUMIFS(INDEX(Load,,MATCH('Summarized Source Data'!$C397,Hour,0)),Month,'Summarized Source Data'!$A397,Sector,'Summarized Source Data'!F$2,Subsector,'Summarized Source Data'!F$3,TimeOfWeek,$E397)*INDEX(About!B$79:B$82,MATCH($B397,About!$A$79:$A$82,0),1)</f>
        <v>1515322</v>
      </c>
      <c r="G397" s="27">
        <f>SUMIFS(INDEX(Load,,MATCH('Summarized Source Data'!$C397,Hour,0)),Month,'Summarized Source Data'!$A397,Sector,'Summarized Source Data'!G$2,Subsector,'Summarized Source Data'!G$3,TimeOfWeek,$E397)*INDEX(About!C$79:C$82,MATCH($B397,About!$A$79:$A$82,0),1)</f>
        <v>754204</v>
      </c>
      <c r="H397" s="27">
        <f>SUMIFS(INDEX(Load,,MATCH('Summarized Source Data'!$C397,Hour,0)),Month,'Summarized Source Data'!$A397,Sector,'Summarized Source Data'!H$2,Subsector,'Summarized Source Data'!H$3,TimeOfWeek,$E397)*INDEX(About!D$79:D$82,MATCH($B397,About!$A$79:$A$82,0),1)</f>
        <v>0</v>
      </c>
      <c r="I397" s="27">
        <f>SUMIFS(INDEX(Load,,MATCH('Summarized Source Data'!$C397,Hour,0)),Month,'Summarized Source Data'!$A397,Sector,'Summarized Source Data'!I$2,Subsector,'Summarized Source Data'!I$3,TimeOfWeek,$E397)*INDEX(About!E$79:E$82,MATCH($B397,About!$A$79:$A$82,0),1)</f>
        <v>6728875</v>
      </c>
      <c r="J397" s="54">
        <f t="shared" si="31"/>
        <v>71401599</v>
      </c>
      <c r="K397" s="27">
        <f>(SUMIFS(INDEX(Load,,MATCH('Summarized Source Data'!$C397,Hour,0)),Month,'Summarized Source Data'!$A397,Sector,'Summarized Source Data'!K$2,Subsector,"Total",TimeOfWeek,$E397)-SUM(F397:I397))*INDEX(About!G$79:G$82,MATCH($B397,About!$A$79:$A$82,0),1)</f>
        <v>71401599</v>
      </c>
      <c r="L397" s="27">
        <f>SUMIFS(INDEX(Load,,MATCH('Summarized Source Data'!$C397,Hour,0)),Month,'Summarized Source Data'!$A397,Sector,'Summarized Source Data'!L$2,Subsector,'Summarized Source Data'!L$3,TimeOfWeek,$E397)*INDEX(About!H$79:H$82,MATCH($B397,About!$A$79:$A$82,0),1)</f>
        <v>2213333</v>
      </c>
      <c r="M397" s="27">
        <f>SUMIFS(INDEX(Load,,MATCH('Summarized Source Data'!$C397,Hour,0)),Month,'Summarized Source Data'!$A397,Sector,'Summarized Source Data'!M$2,Subsector,'Summarized Source Data'!M$3,TimeOfWeek,$E397)*INDEX(About!I$79:I$82,MATCH($B397,About!$A$79:$A$82,0),1)</f>
        <v>5340502</v>
      </c>
      <c r="N397" s="27">
        <f>SUMIFS(INDEX(Load,,MATCH('Summarized Source Data'!$C397,Hour,0)),Month,'Summarized Source Data'!$A397,Sector,'Summarized Source Data'!N$2,Subsector,'Summarized Source Data'!N$3,TimeOfWeek,$E397)*INDEX(About!J$79:J$82,MATCH($B397,About!$A$79:$A$82,0),1)</f>
        <v>0</v>
      </c>
      <c r="O397" s="29">
        <f t="shared" si="32"/>
        <v>127446165</v>
      </c>
      <c r="P397" s="27">
        <f>(SUMIFS(INDEX(Load,,MATCH('Summarized Source Data'!$C397,Hour,0)),Month,'Summarized Source Data'!$A397,Sector,'Summarized Source Data'!P$2,Subsector,"Total",TimeOfWeek,$E397)-SUM(L397:N397)*INDEX(About!L$79:L$82,MATCH($B397,About!$A$79:$A$82,0),1))</f>
        <v>127446165</v>
      </c>
      <c r="Q397" s="29">
        <f t="shared" si="33"/>
        <v>127446165</v>
      </c>
      <c r="R397" s="33">
        <f>SUMIFS(INDEX(Load,,MATCH('Summarized Source Data'!$C397,Hour,0)),Month,'Summarized Source Data'!$A397,Sector,'Summarized Source Data'!R$2,TimeOfWeek,$E397)*INDEX(About!N$79:N$82,MATCH($B397,About!$A$79:$A$82,0),1)</f>
        <v>5140532</v>
      </c>
      <c r="S397" s="33">
        <f>SUMIFS(INDEX(Load,,MATCH('Summarized Source Data'!$C397,Hour,0)),Month,'Summarized Source Data'!$A397,Sector,'Summarized Source Data'!S$2,TimeOfWeek,$E397)*INDEX(About!O$79:O$82,MATCH($B397,About!$A$79:$A$82,0),1)</f>
        <v>5140532</v>
      </c>
      <c r="T397" s="33">
        <f>SUMIFS(INDEX(Load,,MATCH('Summarized Source Data'!$C397,Hour,0)),Month,'Summarized Source Data'!$A397,Sector,'Summarized Source Data'!T$2,TimeOfWeek,$E397)*INDEX(About!P$79:P$82,MATCH($B397,About!$A$79:$A$82,0),1)</f>
        <v>5140532</v>
      </c>
      <c r="U397" s="33">
        <f>SUMIFS(INDEX(Load,,MATCH('Summarized Source Data'!$C397,Hour,0)),Month,'Summarized Source Data'!$A397,Sector,'Summarized Source Data'!U$2,TimeOfWeek,$E397)*INDEX(About!Q$79:Q$82,MATCH($B397,About!$A$79:$A$82,0),1)</f>
        <v>5140532</v>
      </c>
      <c r="V397" s="33">
        <f>SUMIFS(INDEX(Load,,MATCH('Summarized Source Data'!$C397,Hour,0)),Month,'Summarized Source Data'!$A397,Sector,'Summarized Source Data'!V$2,TimeOfWeek,$E397)*INDEX(About!R$79:R$82,MATCH($B397,About!$A$79:$A$82,0),1)</f>
        <v>5140532</v>
      </c>
      <c r="W397" s="33">
        <f>SUMIFS(INDEX(Load,,MATCH('Summarized Source Data'!$C397,Hour,0)),Month,'Summarized Source Data'!$A397,Sector,'Summarized Source Data'!W$2,TimeOfWeek,$E397)*INDEX(About!S$79:S$82,MATCH($B397,About!$A$79:$A$82,0),1)</f>
        <v>5140532</v>
      </c>
      <c r="X397" s="27">
        <f>SUMIFS(INDEX(Load,,MATCH('Summarized Source Data'!$C397,Hour,0)),Month,'Summarized Source Data'!$A397,Sector,'Summarized Source Data'!X$2,Subsector,'Summarized Source Data'!X$3,TimeOfWeek,$E397)*INDEX(About!T$79:T$82,MATCH($B397,About!$A$79:$A$82,0),1)</f>
        <v>341000000</v>
      </c>
      <c r="Y397" s="29">
        <f t="shared" si="34"/>
        <v>341000000</v>
      </c>
      <c r="Z397" s="29">
        <f t="shared" si="34"/>
        <v>341000000</v>
      </c>
    </row>
    <row r="398" spans="1:26" x14ac:dyDescent="0.3">
      <c r="A398">
        <f t="shared" si="30"/>
        <v>5</v>
      </c>
      <c r="B398" t="str">
        <f>INDEX('Category Mapping'!$G$28:$G$39,MATCH(A398,'Category Mapping'!$A$28:$A$39,0),1)</f>
        <v>Spring</v>
      </c>
      <c r="C398" t="s">
        <v>73</v>
      </c>
      <c r="D398" s="6" t="s">
        <v>148</v>
      </c>
      <c r="E398" s="46" t="s">
        <v>48</v>
      </c>
      <c r="F398" s="27">
        <f>SUMIFS(INDEX(Load,,MATCH('Summarized Source Data'!$C398,Hour,0)),Month,'Summarized Source Data'!$A398,Sector,'Summarized Source Data'!F$2,Subsector,'Summarized Source Data'!F$3,TimeOfWeek,$E398)*INDEX(About!B$79:B$82,MATCH($B398,About!$A$79:$A$82,0),1)</f>
        <v>1519397</v>
      </c>
      <c r="G398" s="27">
        <f>SUMIFS(INDEX(Load,,MATCH('Summarized Source Data'!$C398,Hour,0)),Month,'Summarized Source Data'!$A398,Sector,'Summarized Source Data'!G$2,Subsector,'Summarized Source Data'!G$3,TimeOfWeek,$E398)*INDEX(About!C$79:C$82,MATCH($B398,About!$A$79:$A$82,0),1)</f>
        <v>1675395</v>
      </c>
      <c r="H398" s="27">
        <f>SUMIFS(INDEX(Load,,MATCH('Summarized Source Data'!$C398,Hour,0)),Month,'Summarized Source Data'!$A398,Sector,'Summarized Source Data'!H$2,Subsector,'Summarized Source Data'!H$3,TimeOfWeek,$E398)*INDEX(About!D$79:D$82,MATCH($B398,About!$A$79:$A$82,0),1)</f>
        <v>0</v>
      </c>
      <c r="I398" s="27">
        <f>SUMIFS(INDEX(Load,,MATCH('Summarized Source Data'!$C398,Hour,0)),Month,'Summarized Source Data'!$A398,Sector,'Summarized Source Data'!I$2,Subsector,'Summarized Source Data'!I$3,TimeOfWeek,$E398)*INDEX(About!E$79:E$82,MATCH($B398,About!$A$79:$A$82,0),1)</f>
        <v>6769014</v>
      </c>
      <c r="J398" s="54">
        <f t="shared" si="31"/>
        <v>88636194</v>
      </c>
      <c r="K398" s="27">
        <f>(SUMIFS(INDEX(Load,,MATCH('Summarized Source Data'!$C398,Hour,0)),Month,'Summarized Source Data'!$A398,Sector,'Summarized Source Data'!K$2,Subsector,"Total",TimeOfWeek,$E398)-SUM(F398:I398))*INDEX(About!G$79:G$82,MATCH($B398,About!$A$79:$A$82,0),1)</f>
        <v>88636194</v>
      </c>
      <c r="L398" s="27">
        <f>SUMIFS(INDEX(Load,,MATCH('Summarized Source Data'!$C398,Hour,0)),Month,'Summarized Source Data'!$A398,Sector,'Summarized Source Data'!L$2,Subsector,'Summarized Source Data'!L$3,TimeOfWeek,$E398)*INDEX(About!H$79:H$82,MATCH($B398,About!$A$79:$A$82,0),1)</f>
        <v>1929909</v>
      </c>
      <c r="M398" s="27">
        <f>SUMIFS(INDEX(Load,,MATCH('Summarized Source Data'!$C398,Hour,0)),Month,'Summarized Source Data'!$A398,Sector,'Summarized Source Data'!M$2,Subsector,'Summarized Source Data'!M$3,TimeOfWeek,$E398)*INDEX(About!I$79:I$82,MATCH($B398,About!$A$79:$A$82,0),1)</f>
        <v>6149038</v>
      </c>
      <c r="N398" s="27">
        <f>SUMIFS(INDEX(Load,,MATCH('Summarized Source Data'!$C398,Hour,0)),Month,'Summarized Source Data'!$A398,Sector,'Summarized Source Data'!N$2,Subsector,'Summarized Source Data'!N$3,TimeOfWeek,$E398)*INDEX(About!J$79:J$82,MATCH($B398,About!$A$79:$A$82,0),1)</f>
        <v>0</v>
      </c>
      <c r="O398" s="29">
        <f t="shared" si="32"/>
        <v>124921053</v>
      </c>
      <c r="P398" s="27">
        <f>(SUMIFS(INDEX(Load,,MATCH('Summarized Source Data'!$C398,Hour,0)),Month,'Summarized Source Data'!$A398,Sector,'Summarized Source Data'!P$2,Subsector,"Total",TimeOfWeek,$E398)-SUM(L398:N398)*INDEX(About!L$79:L$82,MATCH($B398,About!$A$79:$A$82,0),1))</f>
        <v>124921053</v>
      </c>
      <c r="Q398" s="29">
        <f t="shared" si="33"/>
        <v>124921053</v>
      </c>
      <c r="R398" s="33">
        <f>SUMIFS(INDEX(Load,,MATCH('Summarized Source Data'!$C398,Hour,0)),Month,'Summarized Source Data'!$A398,Sector,'Summarized Source Data'!R$2,TimeOfWeek,$E398)*INDEX(About!N$79:N$82,MATCH($B398,About!$A$79:$A$82,0),1)</f>
        <v>5451199</v>
      </c>
      <c r="S398" s="33">
        <f>SUMIFS(INDEX(Load,,MATCH('Summarized Source Data'!$C398,Hour,0)),Month,'Summarized Source Data'!$A398,Sector,'Summarized Source Data'!S$2,TimeOfWeek,$E398)*INDEX(About!O$79:O$82,MATCH($B398,About!$A$79:$A$82,0),1)</f>
        <v>5451199</v>
      </c>
      <c r="T398" s="33">
        <f>SUMIFS(INDEX(Load,,MATCH('Summarized Source Data'!$C398,Hour,0)),Month,'Summarized Source Data'!$A398,Sector,'Summarized Source Data'!T$2,TimeOfWeek,$E398)*INDEX(About!P$79:P$82,MATCH($B398,About!$A$79:$A$82,0),1)</f>
        <v>5451199</v>
      </c>
      <c r="U398" s="33">
        <f>SUMIFS(INDEX(Load,,MATCH('Summarized Source Data'!$C398,Hour,0)),Month,'Summarized Source Data'!$A398,Sector,'Summarized Source Data'!U$2,TimeOfWeek,$E398)*INDEX(About!Q$79:Q$82,MATCH($B398,About!$A$79:$A$82,0),1)</f>
        <v>5451199</v>
      </c>
      <c r="V398" s="33">
        <f>SUMIFS(INDEX(Load,,MATCH('Summarized Source Data'!$C398,Hour,0)),Month,'Summarized Source Data'!$A398,Sector,'Summarized Source Data'!V$2,TimeOfWeek,$E398)*INDEX(About!R$79:R$82,MATCH($B398,About!$A$79:$A$82,0),1)</f>
        <v>5451199</v>
      </c>
      <c r="W398" s="33">
        <f>SUMIFS(INDEX(Load,,MATCH('Summarized Source Data'!$C398,Hour,0)),Month,'Summarized Source Data'!$A398,Sector,'Summarized Source Data'!W$2,TimeOfWeek,$E398)*INDEX(About!S$79:S$82,MATCH($B398,About!$A$79:$A$82,0),1)</f>
        <v>5451199</v>
      </c>
      <c r="X398" s="27">
        <f>SUMIFS(INDEX(Load,,MATCH('Summarized Source Data'!$C398,Hour,0)),Month,'Summarized Source Data'!$A398,Sector,'Summarized Source Data'!X$2,Subsector,'Summarized Source Data'!X$3,TimeOfWeek,$E398)*INDEX(About!T$79:T$82,MATCH($B398,About!$A$79:$A$82,0),1)</f>
        <v>340000000</v>
      </c>
      <c r="Y398" s="29">
        <f t="shared" si="34"/>
        <v>340000000</v>
      </c>
      <c r="Z398" s="29">
        <f t="shared" si="34"/>
        <v>340000000</v>
      </c>
    </row>
    <row r="399" spans="1:26" x14ac:dyDescent="0.3">
      <c r="A399">
        <f t="shared" si="30"/>
        <v>5</v>
      </c>
      <c r="B399" t="str">
        <f>INDEX('Category Mapping'!$G$28:$G$39,MATCH(A399,'Category Mapping'!$A$28:$A$39,0),1)</f>
        <v>Spring</v>
      </c>
      <c r="C399" t="s">
        <v>74</v>
      </c>
      <c r="D399" s="6" t="s">
        <v>149</v>
      </c>
      <c r="E399" s="46" t="s">
        <v>48</v>
      </c>
      <c r="F399" s="27">
        <f>SUMIFS(INDEX(Load,,MATCH('Summarized Source Data'!$C399,Hour,0)),Month,'Summarized Source Data'!$A399,Sector,'Summarized Source Data'!F$2,Subsector,'Summarized Source Data'!F$3,TimeOfWeek,$E399)*INDEX(About!B$79:B$82,MATCH($B399,About!$A$79:$A$82,0),1)</f>
        <v>1169635</v>
      </c>
      <c r="G399" s="27">
        <f>SUMIFS(INDEX(Load,,MATCH('Summarized Source Data'!$C399,Hour,0)),Month,'Summarized Source Data'!$A399,Sector,'Summarized Source Data'!G$2,Subsector,'Summarized Source Data'!G$3,TimeOfWeek,$E399)*INDEX(About!C$79:C$82,MATCH($B399,About!$A$79:$A$82,0),1)</f>
        <v>2692787</v>
      </c>
      <c r="H399" s="27">
        <f>SUMIFS(INDEX(Load,,MATCH('Summarized Source Data'!$C399,Hour,0)),Month,'Summarized Source Data'!$A399,Sector,'Summarized Source Data'!H$2,Subsector,'Summarized Source Data'!H$3,TimeOfWeek,$E399)*INDEX(About!D$79:D$82,MATCH($B399,About!$A$79:$A$82,0),1)</f>
        <v>0</v>
      </c>
      <c r="I399" s="27">
        <f>SUMIFS(INDEX(Load,,MATCH('Summarized Source Data'!$C399,Hour,0)),Month,'Summarized Source Data'!$A399,Sector,'Summarized Source Data'!I$2,Subsector,'Summarized Source Data'!I$3,TimeOfWeek,$E399)*INDEX(About!E$79:E$82,MATCH($B399,About!$A$79:$A$82,0),1)</f>
        <v>7182082</v>
      </c>
      <c r="J399" s="54">
        <f t="shared" si="31"/>
        <v>98955496</v>
      </c>
      <c r="K399" s="27">
        <f>(SUMIFS(INDEX(Load,,MATCH('Summarized Source Data'!$C399,Hour,0)),Month,'Summarized Source Data'!$A399,Sector,'Summarized Source Data'!K$2,Subsector,"Total",TimeOfWeek,$E399)-SUM(F399:I399))*INDEX(About!G$79:G$82,MATCH($B399,About!$A$79:$A$82,0),1)</f>
        <v>98955496</v>
      </c>
      <c r="L399" s="27">
        <f>SUMIFS(INDEX(Load,,MATCH('Summarized Source Data'!$C399,Hour,0)),Month,'Summarized Source Data'!$A399,Sector,'Summarized Source Data'!L$2,Subsector,'Summarized Source Data'!L$3,TimeOfWeek,$E399)*INDEX(About!H$79:H$82,MATCH($B399,About!$A$79:$A$82,0),1)</f>
        <v>1746941</v>
      </c>
      <c r="M399" s="27">
        <f>SUMIFS(INDEX(Load,,MATCH('Summarized Source Data'!$C399,Hour,0)),Month,'Summarized Source Data'!$A399,Sector,'Summarized Source Data'!M$2,Subsector,'Summarized Source Data'!M$3,TimeOfWeek,$E399)*INDEX(About!I$79:I$82,MATCH($B399,About!$A$79:$A$82,0),1)</f>
        <v>6820678</v>
      </c>
      <c r="N399" s="27">
        <f>SUMIFS(INDEX(Load,,MATCH('Summarized Source Data'!$C399,Hour,0)),Month,'Summarized Source Data'!$A399,Sector,'Summarized Source Data'!N$2,Subsector,'Summarized Source Data'!N$3,TimeOfWeek,$E399)*INDEX(About!J$79:J$82,MATCH($B399,About!$A$79:$A$82,0),1)</f>
        <v>0</v>
      </c>
      <c r="O399" s="29">
        <f t="shared" si="32"/>
        <v>125432381</v>
      </c>
      <c r="P399" s="27">
        <f>(SUMIFS(INDEX(Load,,MATCH('Summarized Source Data'!$C399,Hour,0)),Month,'Summarized Source Data'!$A399,Sector,'Summarized Source Data'!P$2,Subsector,"Total",TimeOfWeek,$E399)-SUM(L399:N399)*INDEX(About!L$79:L$82,MATCH($B399,About!$A$79:$A$82,0),1))</f>
        <v>125432381</v>
      </c>
      <c r="Q399" s="29">
        <f t="shared" si="33"/>
        <v>125432381</v>
      </c>
      <c r="R399" s="33">
        <f>SUMIFS(INDEX(Load,,MATCH('Summarized Source Data'!$C399,Hour,0)),Month,'Summarized Source Data'!$A399,Sector,'Summarized Source Data'!R$2,TimeOfWeek,$E399)*INDEX(About!N$79:N$82,MATCH($B399,About!$A$79:$A$82,0),1)</f>
        <v>5632718</v>
      </c>
      <c r="S399" s="33">
        <f>SUMIFS(INDEX(Load,,MATCH('Summarized Source Data'!$C399,Hour,0)),Month,'Summarized Source Data'!$A399,Sector,'Summarized Source Data'!S$2,TimeOfWeek,$E399)*INDEX(About!O$79:O$82,MATCH($B399,About!$A$79:$A$82,0),1)</f>
        <v>5632718</v>
      </c>
      <c r="T399" s="33">
        <f>SUMIFS(INDEX(Load,,MATCH('Summarized Source Data'!$C399,Hour,0)),Month,'Summarized Source Data'!$A399,Sector,'Summarized Source Data'!T$2,TimeOfWeek,$E399)*INDEX(About!P$79:P$82,MATCH($B399,About!$A$79:$A$82,0),1)</f>
        <v>5632718</v>
      </c>
      <c r="U399" s="33">
        <f>SUMIFS(INDEX(Load,,MATCH('Summarized Source Data'!$C399,Hour,0)),Month,'Summarized Source Data'!$A399,Sector,'Summarized Source Data'!U$2,TimeOfWeek,$E399)*INDEX(About!Q$79:Q$82,MATCH($B399,About!$A$79:$A$82,0),1)</f>
        <v>5632718</v>
      </c>
      <c r="V399" s="33">
        <f>SUMIFS(INDEX(Load,,MATCH('Summarized Source Data'!$C399,Hour,0)),Month,'Summarized Source Data'!$A399,Sector,'Summarized Source Data'!V$2,TimeOfWeek,$E399)*INDEX(About!R$79:R$82,MATCH($B399,About!$A$79:$A$82,0),1)</f>
        <v>5632718</v>
      </c>
      <c r="W399" s="33">
        <f>SUMIFS(INDEX(Load,,MATCH('Summarized Source Data'!$C399,Hour,0)),Month,'Summarized Source Data'!$A399,Sector,'Summarized Source Data'!W$2,TimeOfWeek,$E399)*INDEX(About!S$79:S$82,MATCH($B399,About!$A$79:$A$82,0),1)</f>
        <v>5632718</v>
      </c>
      <c r="X399" s="27">
        <f>SUMIFS(INDEX(Load,,MATCH('Summarized Source Data'!$C399,Hour,0)),Month,'Summarized Source Data'!$A399,Sector,'Summarized Source Data'!X$2,Subsector,'Summarized Source Data'!X$3,TimeOfWeek,$E399)*INDEX(About!T$79:T$82,MATCH($B399,About!$A$79:$A$82,0),1)</f>
        <v>340000000</v>
      </c>
      <c r="Y399" s="29">
        <f t="shared" si="34"/>
        <v>340000000</v>
      </c>
      <c r="Z399" s="29">
        <f t="shared" si="34"/>
        <v>340000000</v>
      </c>
    </row>
    <row r="400" spans="1:26" x14ac:dyDescent="0.3">
      <c r="A400">
        <f t="shared" si="30"/>
        <v>5</v>
      </c>
      <c r="B400" t="str">
        <f>INDEX('Category Mapping'!$G$28:$G$39,MATCH(A400,'Category Mapping'!$A$28:$A$39,0),1)</f>
        <v>Spring</v>
      </c>
      <c r="C400" t="s">
        <v>75</v>
      </c>
      <c r="D400" s="6" t="s">
        <v>150</v>
      </c>
      <c r="E400" s="46" t="s">
        <v>48</v>
      </c>
      <c r="F400" s="27">
        <f>SUMIFS(INDEX(Load,,MATCH('Summarized Source Data'!$C400,Hour,0)),Month,'Summarized Source Data'!$A400,Sector,'Summarized Source Data'!F$2,Subsector,'Summarized Source Data'!F$3,TimeOfWeek,$E400)*INDEX(About!B$79:B$82,MATCH($B400,About!$A$79:$A$82,0),1)</f>
        <v>1194971</v>
      </c>
      <c r="G400" s="27">
        <f>SUMIFS(INDEX(Load,,MATCH('Summarized Source Data'!$C400,Hour,0)),Month,'Summarized Source Data'!$A400,Sector,'Summarized Source Data'!G$2,Subsector,'Summarized Source Data'!G$3,TimeOfWeek,$E400)*INDEX(About!C$79:C$82,MATCH($B400,About!$A$79:$A$82,0),1)</f>
        <v>3605591</v>
      </c>
      <c r="H400" s="27">
        <f>SUMIFS(INDEX(Load,,MATCH('Summarized Source Data'!$C400,Hour,0)),Month,'Summarized Source Data'!$A400,Sector,'Summarized Source Data'!H$2,Subsector,'Summarized Source Data'!H$3,TimeOfWeek,$E400)*INDEX(About!D$79:D$82,MATCH($B400,About!$A$79:$A$82,0),1)</f>
        <v>0</v>
      </c>
      <c r="I400" s="27">
        <f>SUMIFS(INDEX(Load,,MATCH('Summarized Source Data'!$C400,Hour,0)),Month,'Summarized Source Data'!$A400,Sector,'Summarized Source Data'!I$2,Subsector,'Summarized Source Data'!I$3,TimeOfWeek,$E400)*INDEX(About!E$79:E$82,MATCH($B400,About!$A$79:$A$82,0),1)</f>
        <v>7431687</v>
      </c>
      <c r="J400" s="54">
        <f t="shared" si="31"/>
        <v>89767751</v>
      </c>
      <c r="K400" s="27">
        <f>(SUMIFS(INDEX(Load,,MATCH('Summarized Source Data'!$C400,Hour,0)),Month,'Summarized Source Data'!$A400,Sector,'Summarized Source Data'!K$2,Subsector,"Total",TimeOfWeek,$E400)-SUM(F400:I400))*INDEX(About!G$79:G$82,MATCH($B400,About!$A$79:$A$82,0),1)</f>
        <v>89767751</v>
      </c>
      <c r="L400" s="27">
        <f>SUMIFS(INDEX(Load,,MATCH('Summarized Source Data'!$C400,Hour,0)),Month,'Summarized Source Data'!$A400,Sector,'Summarized Source Data'!L$2,Subsector,'Summarized Source Data'!L$3,TimeOfWeek,$E400)*INDEX(About!H$79:H$82,MATCH($B400,About!$A$79:$A$82,0),1)</f>
        <v>1605981</v>
      </c>
      <c r="M400" s="27">
        <f>SUMIFS(INDEX(Load,,MATCH('Summarized Source Data'!$C400,Hour,0)),Month,'Summarized Source Data'!$A400,Sector,'Summarized Source Data'!M$2,Subsector,'Summarized Source Data'!M$3,TimeOfWeek,$E400)*INDEX(About!I$79:I$82,MATCH($B400,About!$A$79:$A$82,0),1)</f>
        <v>7357973</v>
      </c>
      <c r="N400" s="27">
        <f>SUMIFS(INDEX(Load,,MATCH('Summarized Source Data'!$C400,Hour,0)),Month,'Summarized Source Data'!$A400,Sector,'Summarized Source Data'!N$2,Subsector,'Summarized Source Data'!N$3,TimeOfWeek,$E400)*INDEX(About!J$79:J$82,MATCH($B400,About!$A$79:$A$82,0),1)</f>
        <v>0</v>
      </c>
      <c r="O400" s="29">
        <f t="shared" si="32"/>
        <v>125036046</v>
      </c>
      <c r="P400" s="27">
        <f>(SUMIFS(INDEX(Load,,MATCH('Summarized Source Data'!$C400,Hour,0)),Month,'Summarized Source Data'!$A400,Sector,'Summarized Source Data'!P$2,Subsector,"Total",TimeOfWeek,$E400)-SUM(L400:N400)*INDEX(About!L$79:L$82,MATCH($B400,About!$A$79:$A$82,0),1))</f>
        <v>125036046</v>
      </c>
      <c r="Q400" s="29">
        <f t="shared" si="33"/>
        <v>125036046</v>
      </c>
      <c r="R400" s="33">
        <f>SUMIFS(INDEX(Load,,MATCH('Summarized Source Data'!$C400,Hour,0)),Month,'Summarized Source Data'!$A400,Sector,'Summarized Source Data'!R$2,TimeOfWeek,$E400)*INDEX(About!N$79:N$82,MATCH($B400,About!$A$79:$A$82,0),1)</f>
        <v>5515282</v>
      </c>
      <c r="S400" s="33">
        <f>SUMIFS(INDEX(Load,,MATCH('Summarized Source Data'!$C400,Hour,0)),Month,'Summarized Source Data'!$A400,Sector,'Summarized Source Data'!S$2,TimeOfWeek,$E400)*INDEX(About!O$79:O$82,MATCH($B400,About!$A$79:$A$82,0),1)</f>
        <v>5515282</v>
      </c>
      <c r="T400" s="33">
        <f>SUMIFS(INDEX(Load,,MATCH('Summarized Source Data'!$C400,Hour,0)),Month,'Summarized Source Data'!$A400,Sector,'Summarized Source Data'!T$2,TimeOfWeek,$E400)*INDEX(About!P$79:P$82,MATCH($B400,About!$A$79:$A$82,0),1)</f>
        <v>5515282</v>
      </c>
      <c r="U400" s="33">
        <f>SUMIFS(INDEX(Load,,MATCH('Summarized Source Data'!$C400,Hour,0)),Month,'Summarized Source Data'!$A400,Sector,'Summarized Source Data'!U$2,TimeOfWeek,$E400)*INDEX(About!Q$79:Q$82,MATCH($B400,About!$A$79:$A$82,0),1)</f>
        <v>5515282</v>
      </c>
      <c r="V400" s="33">
        <f>SUMIFS(INDEX(Load,,MATCH('Summarized Source Data'!$C400,Hour,0)),Month,'Summarized Source Data'!$A400,Sector,'Summarized Source Data'!V$2,TimeOfWeek,$E400)*INDEX(About!R$79:R$82,MATCH($B400,About!$A$79:$A$82,0),1)</f>
        <v>5515282</v>
      </c>
      <c r="W400" s="33">
        <f>SUMIFS(INDEX(Load,,MATCH('Summarized Source Data'!$C400,Hour,0)),Month,'Summarized Source Data'!$A400,Sector,'Summarized Source Data'!W$2,TimeOfWeek,$E400)*INDEX(About!S$79:S$82,MATCH($B400,About!$A$79:$A$82,0),1)</f>
        <v>5515282</v>
      </c>
      <c r="X400" s="27">
        <f>SUMIFS(INDEX(Load,,MATCH('Summarized Source Data'!$C400,Hour,0)),Month,'Summarized Source Data'!$A400,Sector,'Summarized Source Data'!X$2,Subsector,'Summarized Source Data'!X$3,TimeOfWeek,$E400)*INDEX(About!T$79:T$82,MATCH($B400,About!$A$79:$A$82,0),1)</f>
        <v>339000000</v>
      </c>
      <c r="Y400" s="29">
        <f t="shared" si="34"/>
        <v>339000000</v>
      </c>
      <c r="Z400" s="29">
        <f t="shared" si="34"/>
        <v>339000000</v>
      </c>
    </row>
    <row r="401" spans="1:26" x14ac:dyDescent="0.3">
      <c r="A401">
        <f t="shared" si="30"/>
        <v>5</v>
      </c>
      <c r="B401" t="str">
        <f>INDEX('Category Mapping'!$G$28:$G$39,MATCH(A401,'Category Mapping'!$A$28:$A$39,0),1)</f>
        <v>Spring</v>
      </c>
      <c r="C401" t="s">
        <v>76</v>
      </c>
      <c r="D401" s="6" t="s">
        <v>151</v>
      </c>
      <c r="E401" s="46" t="s">
        <v>48</v>
      </c>
      <c r="F401" s="27">
        <f>SUMIFS(INDEX(Load,,MATCH('Summarized Source Data'!$C401,Hour,0)),Month,'Summarized Source Data'!$A401,Sector,'Summarized Source Data'!F$2,Subsector,'Summarized Source Data'!F$3,TimeOfWeek,$E401)*INDEX(About!B$79:B$82,MATCH($B401,About!$A$79:$A$82,0),1)</f>
        <v>1194004</v>
      </c>
      <c r="G401" s="27">
        <f>SUMIFS(INDEX(Load,,MATCH('Summarized Source Data'!$C401,Hour,0)),Month,'Summarized Source Data'!$A401,Sector,'Summarized Source Data'!G$2,Subsector,'Summarized Source Data'!G$3,TimeOfWeek,$E401)*INDEX(About!C$79:C$82,MATCH($B401,About!$A$79:$A$82,0),1)</f>
        <v>4149450</v>
      </c>
      <c r="H401" s="27">
        <f>SUMIFS(INDEX(Load,,MATCH('Summarized Source Data'!$C401,Hour,0)),Month,'Summarized Source Data'!$A401,Sector,'Summarized Source Data'!H$2,Subsector,'Summarized Source Data'!H$3,TimeOfWeek,$E401)*INDEX(About!D$79:D$82,MATCH($B401,About!$A$79:$A$82,0),1)</f>
        <v>0</v>
      </c>
      <c r="I401" s="27">
        <f>SUMIFS(INDEX(Load,,MATCH('Summarized Source Data'!$C401,Hour,0)),Month,'Summarized Source Data'!$A401,Sector,'Summarized Source Data'!I$2,Subsector,'Summarized Source Data'!I$3,TimeOfWeek,$E401)*INDEX(About!E$79:E$82,MATCH($B401,About!$A$79:$A$82,0),1)</f>
        <v>7422165</v>
      </c>
      <c r="J401" s="54">
        <f t="shared" si="31"/>
        <v>79334381</v>
      </c>
      <c r="K401" s="27">
        <f>(SUMIFS(INDEX(Load,,MATCH('Summarized Source Data'!$C401,Hour,0)),Month,'Summarized Source Data'!$A401,Sector,'Summarized Source Data'!K$2,Subsector,"Total",TimeOfWeek,$E401)-SUM(F401:I401))*INDEX(About!G$79:G$82,MATCH($B401,About!$A$79:$A$82,0),1)</f>
        <v>79334381</v>
      </c>
      <c r="L401" s="27">
        <f>SUMIFS(INDEX(Load,,MATCH('Summarized Source Data'!$C401,Hour,0)),Month,'Summarized Source Data'!$A401,Sector,'Summarized Source Data'!L$2,Subsector,'Summarized Source Data'!L$3,TimeOfWeek,$E401)*INDEX(About!H$79:H$82,MATCH($B401,About!$A$79:$A$82,0),1)</f>
        <v>1515643</v>
      </c>
      <c r="M401" s="27">
        <f>SUMIFS(INDEX(Load,,MATCH('Summarized Source Data'!$C401,Hour,0)),Month,'Summarized Source Data'!$A401,Sector,'Summarized Source Data'!M$2,Subsector,'Summarized Source Data'!M$3,TimeOfWeek,$E401)*INDEX(About!I$79:I$82,MATCH($B401,About!$A$79:$A$82,0),1)</f>
        <v>7680697</v>
      </c>
      <c r="N401" s="27">
        <f>SUMIFS(INDEX(Load,,MATCH('Summarized Source Data'!$C401,Hour,0)),Month,'Summarized Source Data'!$A401,Sector,'Summarized Source Data'!N$2,Subsector,'Summarized Source Data'!N$3,TimeOfWeek,$E401)*INDEX(About!J$79:J$82,MATCH($B401,About!$A$79:$A$82,0),1)</f>
        <v>0</v>
      </c>
      <c r="O401" s="29">
        <f t="shared" si="32"/>
        <v>120803660</v>
      </c>
      <c r="P401" s="27">
        <f>(SUMIFS(INDEX(Load,,MATCH('Summarized Source Data'!$C401,Hour,0)),Month,'Summarized Source Data'!$A401,Sector,'Summarized Source Data'!P$2,Subsector,"Total",TimeOfWeek,$E401)-SUM(L401:N401)*INDEX(About!L$79:L$82,MATCH($B401,About!$A$79:$A$82,0),1))</f>
        <v>120803660</v>
      </c>
      <c r="Q401" s="29">
        <f t="shared" si="33"/>
        <v>120803660</v>
      </c>
      <c r="R401" s="33">
        <f>SUMIFS(INDEX(Load,,MATCH('Summarized Source Data'!$C401,Hour,0)),Month,'Summarized Source Data'!$A401,Sector,'Summarized Source Data'!R$2,TimeOfWeek,$E401)*INDEX(About!N$79:N$82,MATCH($B401,About!$A$79:$A$82,0),1)</f>
        <v>5261444</v>
      </c>
      <c r="S401" s="33">
        <f>SUMIFS(INDEX(Load,,MATCH('Summarized Source Data'!$C401,Hour,0)),Month,'Summarized Source Data'!$A401,Sector,'Summarized Source Data'!S$2,TimeOfWeek,$E401)*INDEX(About!O$79:O$82,MATCH($B401,About!$A$79:$A$82,0),1)</f>
        <v>5261444</v>
      </c>
      <c r="T401" s="33">
        <f>SUMIFS(INDEX(Load,,MATCH('Summarized Source Data'!$C401,Hour,0)),Month,'Summarized Source Data'!$A401,Sector,'Summarized Source Data'!T$2,TimeOfWeek,$E401)*INDEX(About!P$79:P$82,MATCH($B401,About!$A$79:$A$82,0),1)</f>
        <v>5261444</v>
      </c>
      <c r="U401" s="33">
        <f>SUMIFS(INDEX(Load,,MATCH('Summarized Source Data'!$C401,Hour,0)),Month,'Summarized Source Data'!$A401,Sector,'Summarized Source Data'!U$2,TimeOfWeek,$E401)*INDEX(About!Q$79:Q$82,MATCH($B401,About!$A$79:$A$82,0),1)</f>
        <v>5261444</v>
      </c>
      <c r="V401" s="33">
        <f>SUMIFS(INDEX(Load,,MATCH('Summarized Source Data'!$C401,Hour,0)),Month,'Summarized Source Data'!$A401,Sector,'Summarized Source Data'!V$2,TimeOfWeek,$E401)*INDEX(About!R$79:R$82,MATCH($B401,About!$A$79:$A$82,0),1)</f>
        <v>5261444</v>
      </c>
      <c r="W401" s="33">
        <f>SUMIFS(INDEX(Load,,MATCH('Summarized Source Data'!$C401,Hour,0)),Month,'Summarized Source Data'!$A401,Sector,'Summarized Source Data'!W$2,TimeOfWeek,$E401)*INDEX(About!S$79:S$82,MATCH($B401,About!$A$79:$A$82,0),1)</f>
        <v>5261444</v>
      </c>
      <c r="X401" s="27">
        <f>SUMIFS(INDEX(Load,,MATCH('Summarized Source Data'!$C401,Hour,0)),Month,'Summarized Source Data'!$A401,Sector,'Summarized Source Data'!X$2,Subsector,'Summarized Source Data'!X$3,TimeOfWeek,$E401)*INDEX(About!T$79:T$82,MATCH($B401,About!$A$79:$A$82,0),1)</f>
        <v>340000000</v>
      </c>
      <c r="Y401" s="29">
        <f t="shared" si="34"/>
        <v>340000000</v>
      </c>
      <c r="Z401" s="29">
        <f t="shared" si="34"/>
        <v>340000000</v>
      </c>
    </row>
    <row r="402" spans="1:26" x14ac:dyDescent="0.3">
      <c r="A402">
        <f t="shared" si="30"/>
        <v>5</v>
      </c>
      <c r="B402" t="str">
        <f>INDEX('Category Mapping'!$G$28:$G$39,MATCH(A402,'Category Mapping'!$A$28:$A$39,0),1)</f>
        <v>Spring</v>
      </c>
      <c r="C402" t="s">
        <v>77</v>
      </c>
      <c r="D402" s="6" t="s">
        <v>152</v>
      </c>
      <c r="E402" s="46" t="s">
        <v>48</v>
      </c>
      <c r="F402" s="27">
        <f>SUMIFS(INDEX(Load,,MATCH('Summarized Source Data'!$C402,Hour,0)),Month,'Summarized Source Data'!$A402,Sector,'Summarized Source Data'!F$2,Subsector,'Summarized Source Data'!F$3,TimeOfWeek,$E402)*INDEX(About!B$79:B$82,MATCH($B402,About!$A$79:$A$82,0),1)</f>
        <v>1186077</v>
      </c>
      <c r="G402" s="27">
        <f>SUMIFS(INDEX(Load,,MATCH('Summarized Source Data'!$C402,Hour,0)),Month,'Summarized Source Data'!$A402,Sector,'Summarized Source Data'!G$2,Subsector,'Summarized Source Data'!G$3,TimeOfWeek,$E402)*INDEX(About!C$79:C$82,MATCH($B402,About!$A$79:$A$82,0),1)</f>
        <v>4315027</v>
      </c>
      <c r="H402" s="27">
        <f>SUMIFS(INDEX(Load,,MATCH('Summarized Source Data'!$C402,Hour,0)),Month,'Summarized Source Data'!$A402,Sector,'Summarized Source Data'!H$2,Subsector,'Summarized Source Data'!H$3,TimeOfWeek,$E402)*INDEX(About!D$79:D$82,MATCH($B402,About!$A$79:$A$82,0),1)</f>
        <v>0</v>
      </c>
      <c r="I402" s="27">
        <f>SUMIFS(INDEX(Load,,MATCH('Summarized Source Data'!$C402,Hour,0)),Month,'Summarized Source Data'!$A402,Sector,'Summarized Source Data'!I$2,Subsector,'Summarized Source Data'!I$3,TimeOfWeek,$E402)*INDEX(About!E$79:E$82,MATCH($B402,About!$A$79:$A$82,0),1)</f>
        <v>7344069</v>
      </c>
      <c r="J402" s="54">
        <f t="shared" si="31"/>
        <v>83054827</v>
      </c>
      <c r="K402" s="27">
        <f>(SUMIFS(INDEX(Load,,MATCH('Summarized Source Data'!$C402,Hour,0)),Month,'Summarized Source Data'!$A402,Sector,'Summarized Source Data'!K$2,Subsector,"Total",TimeOfWeek,$E402)-SUM(F402:I402))*INDEX(About!G$79:G$82,MATCH($B402,About!$A$79:$A$82,0),1)</f>
        <v>83054827</v>
      </c>
      <c r="L402" s="27">
        <f>SUMIFS(INDEX(Load,,MATCH('Summarized Source Data'!$C402,Hour,0)),Month,'Summarized Source Data'!$A402,Sector,'Summarized Source Data'!L$2,Subsector,'Summarized Source Data'!L$3,TimeOfWeek,$E402)*INDEX(About!H$79:H$82,MATCH($B402,About!$A$79:$A$82,0),1)</f>
        <v>1491386</v>
      </c>
      <c r="M402" s="27">
        <f>SUMIFS(INDEX(Load,,MATCH('Summarized Source Data'!$C402,Hour,0)),Month,'Summarized Source Data'!$A402,Sector,'Summarized Source Data'!M$2,Subsector,'Summarized Source Data'!M$3,TimeOfWeek,$E402)*INDEX(About!I$79:I$82,MATCH($B402,About!$A$79:$A$82,0),1)</f>
        <v>7791332</v>
      </c>
      <c r="N402" s="27">
        <f>SUMIFS(INDEX(Load,,MATCH('Summarized Source Data'!$C402,Hour,0)),Month,'Summarized Source Data'!$A402,Sector,'Summarized Source Data'!N$2,Subsector,'Summarized Source Data'!N$3,TimeOfWeek,$E402)*INDEX(About!J$79:J$82,MATCH($B402,About!$A$79:$A$82,0),1)</f>
        <v>0</v>
      </c>
      <c r="O402" s="29">
        <f t="shared" si="32"/>
        <v>114717282</v>
      </c>
      <c r="P402" s="27">
        <f>(SUMIFS(INDEX(Load,,MATCH('Summarized Source Data'!$C402,Hour,0)),Month,'Summarized Source Data'!$A402,Sector,'Summarized Source Data'!P$2,Subsector,"Total",TimeOfWeek,$E402)-SUM(L402:N402)*INDEX(About!L$79:L$82,MATCH($B402,About!$A$79:$A$82,0),1))</f>
        <v>114717282</v>
      </c>
      <c r="Q402" s="29">
        <f t="shared" si="33"/>
        <v>114717282</v>
      </c>
      <c r="R402" s="33">
        <f>SUMIFS(INDEX(Load,,MATCH('Summarized Source Data'!$C402,Hour,0)),Month,'Summarized Source Data'!$A402,Sector,'Summarized Source Data'!R$2,TimeOfWeek,$E402)*INDEX(About!N$79:N$82,MATCH($B402,About!$A$79:$A$82,0),1)</f>
        <v>5191179</v>
      </c>
      <c r="S402" s="33">
        <f>SUMIFS(INDEX(Load,,MATCH('Summarized Source Data'!$C402,Hour,0)),Month,'Summarized Source Data'!$A402,Sector,'Summarized Source Data'!S$2,TimeOfWeek,$E402)*INDEX(About!O$79:O$82,MATCH($B402,About!$A$79:$A$82,0),1)</f>
        <v>5191179</v>
      </c>
      <c r="T402" s="33">
        <f>SUMIFS(INDEX(Load,,MATCH('Summarized Source Data'!$C402,Hour,0)),Month,'Summarized Source Data'!$A402,Sector,'Summarized Source Data'!T$2,TimeOfWeek,$E402)*INDEX(About!P$79:P$82,MATCH($B402,About!$A$79:$A$82,0),1)</f>
        <v>5191179</v>
      </c>
      <c r="U402" s="33">
        <f>SUMIFS(INDEX(Load,,MATCH('Summarized Source Data'!$C402,Hour,0)),Month,'Summarized Source Data'!$A402,Sector,'Summarized Source Data'!U$2,TimeOfWeek,$E402)*INDEX(About!Q$79:Q$82,MATCH($B402,About!$A$79:$A$82,0),1)</f>
        <v>5191179</v>
      </c>
      <c r="V402" s="33">
        <f>SUMIFS(INDEX(Load,,MATCH('Summarized Source Data'!$C402,Hour,0)),Month,'Summarized Source Data'!$A402,Sector,'Summarized Source Data'!V$2,TimeOfWeek,$E402)*INDEX(About!R$79:R$82,MATCH($B402,About!$A$79:$A$82,0),1)</f>
        <v>5191179</v>
      </c>
      <c r="W402" s="33">
        <f>SUMIFS(INDEX(Load,,MATCH('Summarized Source Data'!$C402,Hour,0)),Month,'Summarized Source Data'!$A402,Sector,'Summarized Source Data'!W$2,TimeOfWeek,$E402)*INDEX(About!S$79:S$82,MATCH($B402,About!$A$79:$A$82,0),1)</f>
        <v>5191179</v>
      </c>
      <c r="X402" s="27">
        <f>SUMIFS(INDEX(Load,,MATCH('Summarized Source Data'!$C402,Hour,0)),Month,'Summarized Source Data'!$A402,Sector,'Summarized Source Data'!X$2,Subsector,'Summarized Source Data'!X$3,TimeOfWeek,$E402)*INDEX(About!T$79:T$82,MATCH($B402,About!$A$79:$A$82,0),1)</f>
        <v>341000000</v>
      </c>
      <c r="Y402" s="29">
        <f t="shared" si="34"/>
        <v>341000000</v>
      </c>
      <c r="Z402" s="29">
        <f t="shared" si="34"/>
        <v>341000000</v>
      </c>
    </row>
    <row r="403" spans="1:26" x14ac:dyDescent="0.3">
      <c r="A403">
        <f t="shared" si="30"/>
        <v>5</v>
      </c>
      <c r="B403" t="str">
        <f>INDEX('Category Mapping'!$G$28:$G$39,MATCH(A403,'Category Mapping'!$A$28:$A$39,0),1)</f>
        <v>Spring</v>
      </c>
      <c r="C403" t="s">
        <v>78</v>
      </c>
      <c r="D403" s="6" t="s">
        <v>153</v>
      </c>
      <c r="E403" s="46" t="s">
        <v>48</v>
      </c>
      <c r="F403" s="27">
        <f>SUMIFS(INDEX(Load,,MATCH('Summarized Source Data'!$C403,Hour,0)),Month,'Summarized Source Data'!$A403,Sector,'Summarized Source Data'!F$2,Subsector,'Summarized Source Data'!F$3,TimeOfWeek,$E403)*INDEX(About!B$79:B$82,MATCH($B403,About!$A$79:$A$82,0),1)</f>
        <v>1187948</v>
      </c>
      <c r="G403" s="27">
        <f>SUMIFS(INDEX(Load,,MATCH('Summarized Source Data'!$C403,Hour,0)),Month,'Summarized Source Data'!$A403,Sector,'Summarized Source Data'!G$2,Subsector,'Summarized Source Data'!G$3,TimeOfWeek,$E403)*INDEX(About!C$79:C$82,MATCH($B403,About!$A$79:$A$82,0),1)</f>
        <v>4127557</v>
      </c>
      <c r="H403" s="27">
        <f>SUMIFS(INDEX(Load,,MATCH('Summarized Source Data'!$C403,Hour,0)),Month,'Summarized Source Data'!$A403,Sector,'Summarized Source Data'!H$2,Subsector,'Summarized Source Data'!H$3,TimeOfWeek,$E403)*INDEX(About!D$79:D$82,MATCH($B403,About!$A$79:$A$82,0),1)</f>
        <v>0</v>
      </c>
      <c r="I403" s="27">
        <f>SUMIFS(INDEX(Load,,MATCH('Summarized Source Data'!$C403,Hour,0)),Month,'Summarized Source Data'!$A403,Sector,'Summarized Source Data'!I$2,Subsector,'Summarized Source Data'!I$3,TimeOfWeek,$E403)*INDEX(About!E$79:E$82,MATCH($B403,About!$A$79:$A$82,0),1)</f>
        <v>7362499</v>
      </c>
      <c r="J403" s="54">
        <f t="shared" si="31"/>
        <v>86721996</v>
      </c>
      <c r="K403" s="27">
        <f>(SUMIFS(INDEX(Load,,MATCH('Summarized Source Data'!$C403,Hour,0)),Month,'Summarized Source Data'!$A403,Sector,'Summarized Source Data'!K$2,Subsector,"Total",TimeOfWeek,$E403)-SUM(F403:I403))*INDEX(About!G$79:G$82,MATCH($B403,About!$A$79:$A$82,0),1)</f>
        <v>86721996</v>
      </c>
      <c r="L403" s="27">
        <f>SUMIFS(INDEX(Load,,MATCH('Summarized Source Data'!$C403,Hour,0)),Month,'Summarized Source Data'!$A403,Sector,'Summarized Source Data'!L$2,Subsector,'Summarized Source Data'!L$3,TimeOfWeek,$E403)*INDEX(About!H$79:H$82,MATCH($B403,About!$A$79:$A$82,0),1)</f>
        <v>1315623</v>
      </c>
      <c r="M403" s="27">
        <f>SUMIFS(INDEX(Load,,MATCH('Summarized Source Data'!$C403,Hour,0)),Month,'Summarized Source Data'!$A403,Sector,'Summarized Source Data'!M$2,Subsector,'Summarized Source Data'!M$3,TimeOfWeek,$E403)*INDEX(About!I$79:I$82,MATCH($B403,About!$A$79:$A$82,0),1)</f>
        <v>7681814</v>
      </c>
      <c r="N403" s="27">
        <f>SUMIFS(INDEX(Load,,MATCH('Summarized Source Data'!$C403,Hour,0)),Month,'Summarized Source Data'!$A403,Sector,'Summarized Source Data'!N$2,Subsector,'Summarized Source Data'!N$3,TimeOfWeek,$E403)*INDEX(About!J$79:J$82,MATCH($B403,About!$A$79:$A$82,0),1)</f>
        <v>0</v>
      </c>
      <c r="O403" s="29">
        <f t="shared" si="32"/>
        <v>107002563</v>
      </c>
      <c r="P403" s="27">
        <f>(SUMIFS(INDEX(Load,,MATCH('Summarized Source Data'!$C403,Hour,0)),Month,'Summarized Source Data'!$A403,Sector,'Summarized Source Data'!P$2,Subsector,"Total",TimeOfWeek,$E403)-SUM(L403:N403)*INDEX(About!L$79:L$82,MATCH($B403,About!$A$79:$A$82,0),1))</f>
        <v>107002563</v>
      </c>
      <c r="Q403" s="29">
        <f t="shared" si="33"/>
        <v>107002563</v>
      </c>
      <c r="R403" s="33">
        <f>SUMIFS(INDEX(Load,,MATCH('Summarized Source Data'!$C403,Hour,0)),Month,'Summarized Source Data'!$A403,Sector,'Summarized Source Data'!R$2,TimeOfWeek,$E403)*INDEX(About!N$79:N$82,MATCH($B403,About!$A$79:$A$82,0),1)</f>
        <v>5085781</v>
      </c>
      <c r="S403" s="33">
        <f>SUMIFS(INDEX(Load,,MATCH('Summarized Source Data'!$C403,Hour,0)),Month,'Summarized Source Data'!$A403,Sector,'Summarized Source Data'!S$2,TimeOfWeek,$E403)*INDEX(About!O$79:O$82,MATCH($B403,About!$A$79:$A$82,0),1)</f>
        <v>5085781</v>
      </c>
      <c r="T403" s="33">
        <f>SUMIFS(INDEX(Load,,MATCH('Summarized Source Data'!$C403,Hour,0)),Month,'Summarized Source Data'!$A403,Sector,'Summarized Source Data'!T$2,TimeOfWeek,$E403)*INDEX(About!P$79:P$82,MATCH($B403,About!$A$79:$A$82,0),1)</f>
        <v>5085781</v>
      </c>
      <c r="U403" s="33">
        <f>SUMIFS(INDEX(Load,,MATCH('Summarized Source Data'!$C403,Hour,0)),Month,'Summarized Source Data'!$A403,Sector,'Summarized Source Data'!U$2,TimeOfWeek,$E403)*INDEX(About!Q$79:Q$82,MATCH($B403,About!$A$79:$A$82,0),1)</f>
        <v>5085781</v>
      </c>
      <c r="V403" s="33">
        <f>SUMIFS(INDEX(Load,,MATCH('Summarized Source Data'!$C403,Hour,0)),Month,'Summarized Source Data'!$A403,Sector,'Summarized Source Data'!V$2,TimeOfWeek,$E403)*INDEX(About!R$79:R$82,MATCH($B403,About!$A$79:$A$82,0),1)</f>
        <v>5085781</v>
      </c>
      <c r="W403" s="33">
        <f>SUMIFS(INDEX(Load,,MATCH('Summarized Source Data'!$C403,Hour,0)),Month,'Summarized Source Data'!$A403,Sector,'Summarized Source Data'!W$2,TimeOfWeek,$E403)*INDEX(About!S$79:S$82,MATCH($B403,About!$A$79:$A$82,0),1)</f>
        <v>5085781</v>
      </c>
      <c r="X403" s="27">
        <f>SUMIFS(INDEX(Load,,MATCH('Summarized Source Data'!$C403,Hour,0)),Month,'Summarized Source Data'!$A403,Sector,'Summarized Source Data'!X$2,Subsector,'Summarized Source Data'!X$3,TimeOfWeek,$E403)*INDEX(About!T$79:T$82,MATCH($B403,About!$A$79:$A$82,0),1)</f>
        <v>344000000</v>
      </c>
      <c r="Y403" s="29">
        <f t="shared" si="34"/>
        <v>344000000</v>
      </c>
      <c r="Z403" s="29">
        <f t="shared" si="34"/>
        <v>344000000</v>
      </c>
    </row>
    <row r="404" spans="1:26" x14ac:dyDescent="0.3">
      <c r="A404">
        <f t="shared" si="30"/>
        <v>5</v>
      </c>
      <c r="B404" t="str">
        <f>INDEX('Category Mapping'!$G$28:$G$39,MATCH(A404,'Category Mapping'!$A$28:$A$39,0),1)</f>
        <v>Spring</v>
      </c>
      <c r="C404" t="s">
        <v>79</v>
      </c>
      <c r="D404" s="6" t="s">
        <v>154</v>
      </c>
      <c r="E404" s="46" t="s">
        <v>48</v>
      </c>
      <c r="F404" s="27">
        <f>SUMIFS(INDEX(Load,,MATCH('Summarized Source Data'!$C404,Hour,0)),Month,'Summarized Source Data'!$A404,Sector,'Summarized Source Data'!F$2,Subsector,'Summarized Source Data'!F$3,TimeOfWeek,$E404)*INDEX(About!B$79:B$82,MATCH($B404,About!$A$79:$A$82,0),1)</f>
        <v>1208355</v>
      </c>
      <c r="G404" s="27">
        <f>SUMIFS(INDEX(Load,,MATCH('Summarized Source Data'!$C404,Hour,0)),Month,'Summarized Source Data'!$A404,Sector,'Summarized Source Data'!G$2,Subsector,'Summarized Source Data'!G$3,TimeOfWeek,$E404)*INDEX(About!C$79:C$82,MATCH($B404,About!$A$79:$A$82,0),1)</f>
        <v>3649092</v>
      </c>
      <c r="H404" s="27">
        <f>SUMIFS(INDEX(Load,,MATCH('Summarized Source Data'!$C404,Hour,0)),Month,'Summarized Source Data'!$A404,Sector,'Summarized Source Data'!H$2,Subsector,'Summarized Source Data'!H$3,TimeOfWeek,$E404)*INDEX(About!D$79:D$82,MATCH($B404,About!$A$79:$A$82,0),1)</f>
        <v>0</v>
      </c>
      <c r="I404" s="27">
        <f>SUMIFS(INDEX(Load,,MATCH('Summarized Source Data'!$C404,Hour,0)),Month,'Summarized Source Data'!$A404,Sector,'Summarized Source Data'!I$2,Subsector,'Summarized Source Data'!I$3,TimeOfWeek,$E404)*INDEX(About!E$79:E$82,MATCH($B404,About!$A$79:$A$82,0),1)</f>
        <v>7563552</v>
      </c>
      <c r="J404" s="54">
        <f t="shared" si="31"/>
        <v>92579001</v>
      </c>
      <c r="K404" s="27">
        <f>(SUMIFS(INDEX(Load,,MATCH('Summarized Source Data'!$C404,Hour,0)),Month,'Summarized Source Data'!$A404,Sector,'Summarized Source Data'!K$2,Subsector,"Total",TimeOfWeek,$E404)-SUM(F404:I404))*INDEX(About!G$79:G$82,MATCH($B404,About!$A$79:$A$82,0),1)</f>
        <v>92579001</v>
      </c>
      <c r="L404" s="27">
        <f>SUMIFS(INDEX(Load,,MATCH('Summarized Source Data'!$C404,Hour,0)),Month,'Summarized Source Data'!$A404,Sector,'Summarized Source Data'!L$2,Subsector,'Summarized Source Data'!L$3,TimeOfWeek,$E404)*INDEX(About!H$79:H$82,MATCH($B404,About!$A$79:$A$82,0),1)</f>
        <v>1305995</v>
      </c>
      <c r="M404" s="27">
        <f>SUMIFS(INDEX(Load,,MATCH('Summarized Source Data'!$C404,Hour,0)),Month,'Summarized Source Data'!$A404,Sector,'Summarized Source Data'!M$2,Subsector,'Summarized Source Data'!M$3,TimeOfWeek,$E404)*INDEX(About!I$79:I$82,MATCH($B404,About!$A$79:$A$82,0),1)</f>
        <v>7304727</v>
      </c>
      <c r="N404" s="27">
        <f>SUMIFS(INDEX(Load,,MATCH('Summarized Source Data'!$C404,Hour,0)),Month,'Summarized Source Data'!$A404,Sector,'Summarized Source Data'!N$2,Subsector,'Summarized Source Data'!N$3,TimeOfWeek,$E404)*INDEX(About!J$79:J$82,MATCH($B404,About!$A$79:$A$82,0),1)</f>
        <v>0</v>
      </c>
      <c r="O404" s="29">
        <f t="shared" si="32"/>
        <v>101389278</v>
      </c>
      <c r="P404" s="27">
        <f>(SUMIFS(INDEX(Load,,MATCH('Summarized Source Data'!$C404,Hour,0)),Month,'Summarized Source Data'!$A404,Sector,'Summarized Source Data'!P$2,Subsector,"Total",TimeOfWeek,$E404)-SUM(L404:N404)*INDEX(About!L$79:L$82,MATCH($B404,About!$A$79:$A$82,0),1))</f>
        <v>101389278</v>
      </c>
      <c r="Q404" s="29">
        <f t="shared" si="33"/>
        <v>101389278</v>
      </c>
      <c r="R404" s="33">
        <f>SUMIFS(INDEX(Load,,MATCH('Summarized Source Data'!$C404,Hour,0)),Month,'Summarized Source Data'!$A404,Sector,'Summarized Source Data'!R$2,TimeOfWeek,$E404)*INDEX(About!N$79:N$82,MATCH($B404,About!$A$79:$A$82,0),1)</f>
        <v>5811431</v>
      </c>
      <c r="S404" s="33">
        <f>SUMIFS(INDEX(Load,,MATCH('Summarized Source Data'!$C404,Hour,0)),Month,'Summarized Source Data'!$A404,Sector,'Summarized Source Data'!S$2,TimeOfWeek,$E404)*INDEX(About!O$79:O$82,MATCH($B404,About!$A$79:$A$82,0),1)</f>
        <v>5811431</v>
      </c>
      <c r="T404" s="33">
        <f>SUMIFS(INDEX(Load,,MATCH('Summarized Source Data'!$C404,Hour,0)),Month,'Summarized Source Data'!$A404,Sector,'Summarized Source Data'!T$2,TimeOfWeek,$E404)*INDEX(About!P$79:P$82,MATCH($B404,About!$A$79:$A$82,0),1)</f>
        <v>5811431</v>
      </c>
      <c r="U404" s="33">
        <f>SUMIFS(INDEX(Load,,MATCH('Summarized Source Data'!$C404,Hour,0)),Month,'Summarized Source Data'!$A404,Sector,'Summarized Source Data'!U$2,TimeOfWeek,$E404)*INDEX(About!Q$79:Q$82,MATCH($B404,About!$A$79:$A$82,0),1)</f>
        <v>5811431</v>
      </c>
      <c r="V404" s="33">
        <f>SUMIFS(INDEX(Load,,MATCH('Summarized Source Data'!$C404,Hour,0)),Month,'Summarized Source Data'!$A404,Sector,'Summarized Source Data'!V$2,TimeOfWeek,$E404)*INDEX(About!R$79:R$82,MATCH($B404,About!$A$79:$A$82,0),1)</f>
        <v>5811431</v>
      </c>
      <c r="W404" s="33">
        <f>SUMIFS(INDEX(Load,,MATCH('Summarized Source Data'!$C404,Hour,0)),Month,'Summarized Source Data'!$A404,Sector,'Summarized Source Data'!W$2,TimeOfWeek,$E404)*INDEX(About!S$79:S$82,MATCH($B404,About!$A$79:$A$82,0),1)</f>
        <v>5811431</v>
      </c>
      <c r="X404" s="27">
        <f>SUMIFS(INDEX(Load,,MATCH('Summarized Source Data'!$C404,Hour,0)),Month,'Summarized Source Data'!$A404,Sector,'Summarized Source Data'!X$2,Subsector,'Summarized Source Data'!X$3,TimeOfWeek,$E404)*INDEX(About!T$79:T$82,MATCH($B404,About!$A$79:$A$82,0),1)</f>
        <v>349000000</v>
      </c>
      <c r="Y404" s="29">
        <f t="shared" si="34"/>
        <v>349000000</v>
      </c>
      <c r="Z404" s="29">
        <f t="shared" si="34"/>
        <v>349000000</v>
      </c>
    </row>
    <row r="405" spans="1:26" x14ac:dyDescent="0.3">
      <c r="A405">
        <f t="shared" si="30"/>
        <v>5</v>
      </c>
      <c r="B405" t="str">
        <f>INDEX('Category Mapping'!$G$28:$G$39,MATCH(A405,'Category Mapping'!$A$28:$A$39,0),1)</f>
        <v>Spring</v>
      </c>
      <c r="C405" t="s">
        <v>80</v>
      </c>
      <c r="D405" s="6" t="s">
        <v>155</v>
      </c>
      <c r="E405" s="46" t="s">
        <v>48</v>
      </c>
      <c r="F405" s="27">
        <f>SUMIFS(INDEX(Load,,MATCH('Summarized Source Data'!$C405,Hour,0)),Month,'Summarized Source Data'!$A405,Sector,'Summarized Source Data'!F$2,Subsector,'Summarized Source Data'!F$3,TimeOfWeek,$E405)*INDEX(About!B$79:B$82,MATCH($B405,About!$A$79:$A$82,0),1)</f>
        <v>1246452</v>
      </c>
      <c r="G405" s="27">
        <f>SUMIFS(INDEX(Load,,MATCH('Summarized Source Data'!$C405,Hour,0)),Month,'Summarized Source Data'!$A405,Sector,'Summarized Source Data'!G$2,Subsector,'Summarized Source Data'!G$3,TimeOfWeek,$E405)*INDEX(About!C$79:C$82,MATCH($B405,About!$A$79:$A$82,0),1)</f>
        <v>2953910</v>
      </c>
      <c r="H405" s="27">
        <f>SUMIFS(INDEX(Load,,MATCH('Summarized Source Data'!$C405,Hour,0)),Month,'Summarized Source Data'!$A405,Sector,'Summarized Source Data'!H$2,Subsector,'Summarized Source Data'!H$3,TimeOfWeek,$E405)*INDEX(About!D$79:D$82,MATCH($B405,About!$A$79:$A$82,0),1)</f>
        <v>0</v>
      </c>
      <c r="I405" s="27">
        <f>SUMIFS(INDEX(Load,,MATCH('Summarized Source Data'!$C405,Hour,0)),Month,'Summarized Source Data'!$A405,Sector,'Summarized Source Data'!I$2,Subsector,'Summarized Source Data'!I$3,TimeOfWeek,$E405)*INDEX(About!E$79:E$82,MATCH($B405,About!$A$79:$A$82,0),1)</f>
        <v>9226705</v>
      </c>
      <c r="J405" s="54">
        <f t="shared" si="31"/>
        <v>92572933</v>
      </c>
      <c r="K405" s="27">
        <f>(SUMIFS(INDEX(Load,,MATCH('Summarized Source Data'!$C405,Hour,0)),Month,'Summarized Source Data'!$A405,Sector,'Summarized Source Data'!K$2,Subsector,"Total",TimeOfWeek,$E405)-SUM(F405:I405))*INDEX(About!G$79:G$82,MATCH($B405,About!$A$79:$A$82,0),1)</f>
        <v>92572933</v>
      </c>
      <c r="L405" s="27">
        <f>SUMIFS(INDEX(Load,,MATCH('Summarized Source Data'!$C405,Hour,0)),Month,'Summarized Source Data'!$A405,Sector,'Summarized Source Data'!L$2,Subsector,'Summarized Source Data'!L$3,TimeOfWeek,$E405)*INDEX(About!H$79:H$82,MATCH($B405,About!$A$79:$A$82,0),1)</f>
        <v>1421624</v>
      </c>
      <c r="M405" s="27">
        <f>SUMIFS(INDEX(Load,,MATCH('Summarized Source Data'!$C405,Hour,0)),Month,'Summarized Source Data'!$A405,Sector,'Summarized Source Data'!M$2,Subsector,'Summarized Source Data'!M$3,TimeOfWeek,$E405)*INDEX(About!I$79:I$82,MATCH($B405,About!$A$79:$A$82,0),1)</f>
        <v>6674204</v>
      </c>
      <c r="N405" s="27">
        <f>SUMIFS(INDEX(Load,,MATCH('Summarized Source Data'!$C405,Hour,0)),Month,'Summarized Source Data'!$A405,Sector,'Summarized Source Data'!N$2,Subsector,'Summarized Source Data'!N$3,TimeOfWeek,$E405)*INDEX(About!J$79:J$82,MATCH($B405,About!$A$79:$A$82,0),1)</f>
        <v>0</v>
      </c>
      <c r="O405" s="29">
        <f t="shared" si="32"/>
        <v>102904172</v>
      </c>
      <c r="P405" s="27">
        <f>(SUMIFS(INDEX(Load,,MATCH('Summarized Source Data'!$C405,Hour,0)),Month,'Summarized Source Data'!$A405,Sector,'Summarized Source Data'!P$2,Subsector,"Total",TimeOfWeek,$E405)-SUM(L405:N405)*INDEX(About!L$79:L$82,MATCH($B405,About!$A$79:$A$82,0),1))</f>
        <v>102904172</v>
      </c>
      <c r="Q405" s="29">
        <f t="shared" si="33"/>
        <v>102904172</v>
      </c>
      <c r="R405" s="33">
        <f>SUMIFS(INDEX(Load,,MATCH('Summarized Source Data'!$C405,Hour,0)),Month,'Summarized Source Data'!$A405,Sector,'Summarized Source Data'!R$2,TimeOfWeek,$E405)*INDEX(About!N$79:N$82,MATCH($B405,About!$A$79:$A$82,0),1)</f>
        <v>5817287</v>
      </c>
      <c r="S405" s="33">
        <f>SUMIFS(INDEX(Load,,MATCH('Summarized Source Data'!$C405,Hour,0)),Month,'Summarized Source Data'!$A405,Sector,'Summarized Source Data'!S$2,TimeOfWeek,$E405)*INDEX(About!O$79:O$82,MATCH($B405,About!$A$79:$A$82,0),1)</f>
        <v>5817287</v>
      </c>
      <c r="T405" s="33">
        <f>SUMIFS(INDEX(Load,,MATCH('Summarized Source Data'!$C405,Hour,0)),Month,'Summarized Source Data'!$A405,Sector,'Summarized Source Data'!T$2,TimeOfWeek,$E405)*INDEX(About!P$79:P$82,MATCH($B405,About!$A$79:$A$82,0),1)</f>
        <v>5817287</v>
      </c>
      <c r="U405" s="33">
        <f>SUMIFS(INDEX(Load,,MATCH('Summarized Source Data'!$C405,Hour,0)),Month,'Summarized Source Data'!$A405,Sector,'Summarized Source Data'!U$2,TimeOfWeek,$E405)*INDEX(About!Q$79:Q$82,MATCH($B405,About!$A$79:$A$82,0),1)</f>
        <v>5817287</v>
      </c>
      <c r="V405" s="33">
        <f>SUMIFS(INDEX(Load,,MATCH('Summarized Source Data'!$C405,Hour,0)),Month,'Summarized Source Data'!$A405,Sector,'Summarized Source Data'!V$2,TimeOfWeek,$E405)*INDEX(About!R$79:R$82,MATCH($B405,About!$A$79:$A$82,0),1)</f>
        <v>5817287</v>
      </c>
      <c r="W405" s="33">
        <f>SUMIFS(INDEX(Load,,MATCH('Summarized Source Data'!$C405,Hour,0)),Month,'Summarized Source Data'!$A405,Sector,'Summarized Source Data'!W$2,TimeOfWeek,$E405)*INDEX(About!S$79:S$82,MATCH($B405,About!$A$79:$A$82,0),1)</f>
        <v>5817287</v>
      </c>
      <c r="X405" s="27">
        <f>SUMIFS(INDEX(Load,,MATCH('Summarized Source Data'!$C405,Hour,0)),Month,'Summarized Source Data'!$A405,Sector,'Summarized Source Data'!X$2,Subsector,'Summarized Source Data'!X$3,TimeOfWeek,$E405)*INDEX(About!T$79:T$82,MATCH($B405,About!$A$79:$A$82,0),1)</f>
        <v>349000000</v>
      </c>
      <c r="Y405" s="29">
        <f t="shared" si="34"/>
        <v>349000000</v>
      </c>
      <c r="Z405" s="29">
        <f t="shared" si="34"/>
        <v>349000000</v>
      </c>
    </row>
    <row r="406" spans="1:26" x14ac:dyDescent="0.3">
      <c r="A406">
        <f t="shared" si="30"/>
        <v>5</v>
      </c>
      <c r="B406" t="str">
        <f>INDEX('Category Mapping'!$G$28:$G$39,MATCH(A406,'Category Mapping'!$A$28:$A$39,0),1)</f>
        <v>Spring</v>
      </c>
      <c r="C406" t="s">
        <v>81</v>
      </c>
      <c r="D406" s="6" t="s">
        <v>156</v>
      </c>
      <c r="E406" s="46" t="s">
        <v>48</v>
      </c>
      <c r="F406" s="27">
        <f>SUMIFS(INDEX(Load,,MATCH('Summarized Source Data'!$C406,Hour,0)),Month,'Summarized Source Data'!$A406,Sector,'Summarized Source Data'!F$2,Subsector,'Summarized Source Data'!F$3,TimeOfWeek,$E406)*INDEX(About!B$79:B$82,MATCH($B406,About!$A$79:$A$82,0),1)</f>
        <v>1291867</v>
      </c>
      <c r="G406" s="27">
        <f>SUMIFS(INDEX(Load,,MATCH('Summarized Source Data'!$C406,Hour,0)),Month,'Summarized Source Data'!$A406,Sector,'Summarized Source Data'!G$2,Subsector,'Summarized Source Data'!G$3,TimeOfWeek,$E406)*INDEX(About!C$79:C$82,MATCH($B406,About!$A$79:$A$82,0),1)</f>
        <v>2018282</v>
      </c>
      <c r="H406" s="27">
        <f>SUMIFS(INDEX(Load,,MATCH('Summarized Source Data'!$C406,Hour,0)),Month,'Summarized Source Data'!$A406,Sector,'Summarized Source Data'!H$2,Subsector,'Summarized Source Data'!H$3,TimeOfWeek,$E406)*INDEX(About!D$79:D$82,MATCH($B406,About!$A$79:$A$82,0),1)</f>
        <v>0</v>
      </c>
      <c r="I406" s="27">
        <f>SUMIFS(INDEX(Load,,MATCH('Summarized Source Data'!$C406,Hour,0)),Month,'Summarized Source Data'!$A406,Sector,'Summarized Source Data'!I$2,Subsector,'Summarized Source Data'!I$3,TimeOfWeek,$E406)*INDEX(About!E$79:E$82,MATCH($B406,About!$A$79:$A$82,0),1)</f>
        <v>25900000</v>
      </c>
      <c r="J406" s="54">
        <f t="shared" si="31"/>
        <v>89789851</v>
      </c>
      <c r="K406" s="27">
        <f>(SUMIFS(INDEX(Load,,MATCH('Summarized Source Data'!$C406,Hour,0)),Month,'Summarized Source Data'!$A406,Sector,'Summarized Source Data'!K$2,Subsector,"Total",TimeOfWeek,$E406)-SUM(F406:I406))*INDEX(About!G$79:G$82,MATCH($B406,About!$A$79:$A$82,0),1)</f>
        <v>89789851</v>
      </c>
      <c r="L406" s="27">
        <f>SUMIFS(INDEX(Load,,MATCH('Summarized Source Data'!$C406,Hour,0)),Month,'Summarized Source Data'!$A406,Sector,'Summarized Source Data'!L$2,Subsector,'Summarized Source Data'!L$3,TimeOfWeek,$E406)*INDEX(About!H$79:H$82,MATCH($B406,About!$A$79:$A$82,0),1)</f>
        <v>1439540</v>
      </c>
      <c r="M406" s="27">
        <f>SUMIFS(INDEX(Load,,MATCH('Summarized Source Data'!$C406,Hour,0)),Month,'Summarized Source Data'!$A406,Sector,'Summarized Source Data'!M$2,Subsector,'Summarized Source Data'!M$3,TimeOfWeek,$E406)*INDEX(About!I$79:I$82,MATCH($B406,About!$A$79:$A$82,0),1)</f>
        <v>5930455</v>
      </c>
      <c r="N406" s="27">
        <f>SUMIFS(INDEX(Load,,MATCH('Summarized Source Data'!$C406,Hour,0)),Month,'Summarized Source Data'!$A406,Sector,'Summarized Source Data'!N$2,Subsector,'Summarized Source Data'!N$3,TimeOfWeek,$E406)*INDEX(About!J$79:J$82,MATCH($B406,About!$A$79:$A$82,0),1)</f>
        <v>0</v>
      </c>
      <c r="O406" s="29">
        <f t="shared" si="32"/>
        <v>101630005</v>
      </c>
      <c r="P406" s="27">
        <f>(SUMIFS(INDEX(Load,,MATCH('Summarized Source Data'!$C406,Hour,0)),Month,'Summarized Source Data'!$A406,Sector,'Summarized Source Data'!P$2,Subsector,"Total",TimeOfWeek,$E406)-SUM(L406:N406)*INDEX(About!L$79:L$82,MATCH($B406,About!$A$79:$A$82,0),1))</f>
        <v>101630005</v>
      </c>
      <c r="Q406" s="29">
        <f t="shared" si="33"/>
        <v>101630005</v>
      </c>
      <c r="R406" s="33">
        <f>SUMIFS(INDEX(Load,,MATCH('Summarized Source Data'!$C406,Hour,0)),Month,'Summarized Source Data'!$A406,Sector,'Summarized Source Data'!R$2,TimeOfWeek,$E406)*INDEX(About!N$79:N$82,MATCH($B406,About!$A$79:$A$82,0),1)</f>
        <v>5776298</v>
      </c>
      <c r="S406" s="33">
        <f>SUMIFS(INDEX(Load,,MATCH('Summarized Source Data'!$C406,Hour,0)),Month,'Summarized Source Data'!$A406,Sector,'Summarized Source Data'!S$2,TimeOfWeek,$E406)*INDEX(About!O$79:O$82,MATCH($B406,About!$A$79:$A$82,0),1)</f>
        <v>5776298</v>
      </c>
      <c r="T406" s="33">
        <f>SUMIFS(INDEX(Load,,MATCH('Summarized Source Data'!$C406,Hour,0)),Month,'Summarized Source Data'!$A406,Sector,'Summarized Source Data'!T$2,TimeOfWeek,$E406)*INDEX(About!P$79:P$82,MATCH($B406,About!$A$79:$A$82,0),1)</f>
        <v>5776298</v>
      </c>
      <c r="U406" s="33">
        <f>SUMIFS(INDEX(Load,,MATCH('Summarized Source Data'!$C406,Hour,0)),Month,'Summarized Source Data'!$A406,Sector,'Summarized Source Data'!U$2,TimeOfWeek,$E406)*INDEX(About!Q$79:Q$82,MATCH($B406,About!$A$79:$A$82,0),1)</f>
        <v>5776298</v>
      </c>
      <c r="V406" s="33">
        <f>SUMIFS(INDEX(Load,,MATCH('Summarized Source Data'!$C406,Hour,0)),Month,'Summarized Source Data'!$A406,Sector,'Summarized Source Data'!V$2,TimeOfWeek,$E406)*INDEX(About!R$79:R$82,MATCH($B406,About!$A$79:$A$82,0),1)</f>
        <v>5776298</v>
      </c>
      <c r="W406" s="33">
        <f>SUMIFS(INDEX(Load,,MATCH('Summarized Source Data'!$C406,Hour,0)),Month,'Summarized Source Data'!$A406,Sector,'Summarized Source Data'!W$2,TimeOfWeek,$E406)*INDEX(About!S$79:S$82,MATCH($B406,About!$A$79:$A$82,0),1)</f>
        <v>5776298</v>
      </c>
      <c r="X406" s="27">
        <f>SUMIFS(INDEX(Load,,MATCH('Summarized Source Data'!$C406,Hour,0)),Month,'Summarized Source Data'!$A406,Sector,'Summarized Source Data'!X$2,Subsector,'Summarized Source Data'!X$3,TimeOfWeek,$E406)*INDEX(About!T$79:T$82,MATCH($B406,About!$A$79:$A$82,0),1)</f>
        <v>348000000</v>
      </c>
      <c r="Y406" s="29">
        <f t="shared" si="34"/>
        <v>348000000</v>
      </c>
      <c r="Z406" s="29">
        <f t="shared" si="34"/>
        <v>348000000</v>
      </c>
    </row>
    <row r="407" spans="1:26" x14ac:dyDescent="0.3">
      <c r="A407">
        <f t="shared" si="30"/>
        <v>5</v>
      </c>
      <c r="B407" t="str">
        <f>INDEX('Category Mapping'!$G$28:$G$39,MATCH(A407,'Category Mapping'!$A$28:$A$39,0),1)</f>
        <v>Spring</v>
      </c>
      <c r="C407" t="s">
        <v>82</v>
      </c>
      <c r="D407" s="6" t="s">
        <v>157</v>
      </c>
      <c r="E407" s="46" t="s">
        <v>48</v>
      </c>
      <c r="F407" s="27">
        <f>SUMIFS(INDEX(Load,,MATCH('Summarized Source Data'!$C407,Hour,0)),Month,'Summarized Source Data'!$A407,Sector,'Summarized Source Data'!F$2,Subsector,'Summarized Source Data'!F$3,TimeOfWeek,$E407)*INDEX(About!B$79:B$82,MATCH($B407,About!$A$79:$A$82,0),1)</f>
        <v>1332219</v>
      </c>
      <c r="G407" s="27">
        <f>SUMIFS(INDEX(Load,,MATCH('Summarized Source Data'!$C407,Hour,0)),Month,'Summarized Source Data'!$A407,Sector,'Summarized Source Data'!G$2,Subsector,'Summarized Source Data'!G$3,TimeOfWeek,$E407)*INDEX(About!C$79:C$82,MATCH($B407,About!$A$79:$A$82,0),1)</f>
        <v>900935</v>
      </c>
      <c r="H407" s="27">
        <f>SUMIFS(INDEX(Load,,MATCH('Summarized Source Data'!$C407,Hour,0)),Month,'Summarized Source Data'!$A407,Sector,'Summarized Source Data'!H$2,Subsector,'Summarized Source Data'!H$3,TimeOfWeek,$E407)*INDEX(About!D$79:D$82,MATCH($B407,About!$A$79:$A$82,0),1)</f>
        <v>0</v>
      </c>
      <c r="I407" s="27">
        <f>SUMIFS(INDEX(Load,,MATCH('Summarized Source Data'!$C407,Hour,0)),Month,'Summarized Source Data'!$A407,Sector,'Summarized Source Data'!I$2,Subsector,'Summarized Source Data'!I$3,TimeOfWeek,$E407)*INDEX(About!E$79:E$82,MATCH($B407,About!$A$79:$A$82,0),1)</f>
        <v>29300000</v>
      </c>
      <c r="J407" s="54">
        <f t="shared" si="31"/>
        <v>83466846</v>
      </c>
      <c r="K407" s="27">
        <f>(SUMIFS(INDEX(Load,,MATCH('Summarized Source Data'!$C407,Hour,0)),Month,'Summarized Source Data'!$A407,Sector,'Summarized Source Data'!K$2,Subsector,"Total",TimeOfWeek,$E407)-SUM(F407:I407))*INDEX(About!G$79:G$82,MATCH($B407,About!$A$79:$A$82,0),1)</f>
        <v>83466846</v>
      </c>
      <c r="L407" s="27">
        <f>SUMIFS(INDEX(Load,,MATCH('Summarized Source Data'!$C407,Hour,0)),Month,'Summarized Source Data'!$A407,Sector,'Summarized Source Data'!L$2,Subsector,'Summarized Source Data'!L$3,TimeOfWeek,$E407)*INDEX(About!H$79:H$82,MATCH($B407,About!$A$79:$A$82,0),1)</f>
        <v>1564760</v>
      </c>
      <c r="M407" s="27">
        <f>SUMIFS(INDEX(Load,,MATCH('Summarized Source Data'!$C407,Hour,0)),Month,'Summarized Source Data'!$A407,Sector,'Summarized Source Data'!M$2,Subsector,'Summarized Source Data'!M$3,TimeOfWeek,$E407)*INDEX(About!I$79:I$82,MATCH($B407,About!$A$79:$A$82,0),1)</f>
        <v>5111525</v>
      </c>
      <c r="N407" s="27">
        <f>SUMIFS(INDEX(Load,,MATCH('Summarized Source Data'!$C407,Hour,0)),Month,'Summarized Source Data'!$A407,Sector,'Summarized Source Data'!N$2,Subsector,'Summarized Source Data'!N$3,TimeOfWeek,$E407)*INDEX(About!J$79:J$82,MATCH($B407,About!$A$79:$A$82,0),1)</f>
        <v>0</v>
      </c>
      <c r="O407" s="29">
        <f t="shared" si="32"/>
        <v>98323715</v>
      </c>
      <c r="P407" s="27">
        <f>(SUMIFS(INDEX(Load,,MATCH('Summarized Source Data'!$C407,Hour,0)),Month,'Summarized Source Data'!$A407,Sector,'Summarized Source Data'!P$2,Subsector,"Total",TimeOfWeek,$E407)-SUM(L407:N407)*INDEX(About!L$79:L$82,MATCH($B407,About!$A$79:$A$82,0),1))</f>
        <v>98323715</v>
      </c>
      <c r="Q407" s="29">
        <f t="shared" si="33"/>
        <v>98323715</v>
      </c>
      <c r="R407" s="33">
        <f>SUMIFS(INDEX(Load,,MATCH('Summarized Source Data'!$C407,Hour,0)),Month,'Summarized Source Data'!$A407,Sector,'Summarized Source Data'!R$2,TimeOfWeek,$E407)*INDEX(About!N$79:N$82,MATCH($B407,About!$A$79:$A$82,0),1)</f>
        <v>5641623</v>
      </c>
      <c r="S407" s="33">
        <f>SUMIFS(INDEX(Load,,MATCH('Summarized Source Data'!$C407,Hour,0)),Month,'Summarized Source Data'!$A407,Sector,'Summarized Source Data'!S$2,TimeOfWeek,$E407)*INDEX(About!O$79:O$82,MATCH($B407,About!$A$79:$A$82,0),1)</f>
        <v>5641623</v>
      </c>
      <c r="T407" s="33">
        <f>SUMIFS(INDEX(Load,,MATCH('Summarized Source Data'!$C407,Hour,0)),Month,'Summarized Source Data'!$A407,Sector,'Summarized Source Data'!T$2,TimeOfWeek,$E407)*INDEX(About!P$79:P$82,MATCH($B407,About!$A$79:$A$82,0),1)</f>
        <v>5641623</v>
      </c>
      <c r="U407" s="33">
        <f>SUMIFS(INDEX(Load,,MATCH('Summarized Source Data'!$C407,Hour,0)),Month,'Summarized Source Data'!$A407,Sector,'Summarized Source Data'!U$2,TimeOfWeek,$E407)*INDEX(About!Q$79:Q$82,MATCH($B407,About!$A$79:$A$82,0),1)</f>
        <v>5641623</v>
      </c>
      <c r="V407" s="33">
        <f>SUMIFS(INDEX(Load,,MATCH('Summarized Source Data'!$C407,Hour,0)),Month,'Summarized Source Data'!$A407,Sector,'Summarized Source Data'!V$2,TimeOfWeek,$E407)*INDEX(About!R$79:R$82,MATCH($B407,About!$A$79:$A$82,0),1)</f>
        <v>5641623</v>
      </c>
      <c r="W407" s="33">
        <f>SUMIFS(INDEX(Load,,MATCH('Summarized Source Data'!$C407,Hour,0)),Month,'Summarized Source Data'!$A407,Sector,'Summarized Source Data'!W$2,TimeOfWeek,$E407)*INDEX(About!S$79:S$82,MATCH($B407,About!$A$79:$A$82,0),1)</f>
        <v>5641623</v>
      </c>
      <c r="X407" s="27">
        <f>SUMIFS(INDEX(Load,,MATCH('Summarized Source Data'!$C407,Hour,0)),Month,'Summarized Source Data'!$A407,Sector,'Summarized Source Data'!X$2,Subsector,'Summarized Source Data'!X$3,TimeOfWeek,$E407)*INDEX(About!T$79:T$82,MATCH($B407,About!$A$79:$A$82,0),1)</f>
        <v>346000000</v>
      </c>
      <c r="Y407" s="29">
        <f t="shared" si="34"/>
        <v>346000000</v>
      </c>
      <c r="Z407" s="29">
        <f t="shared" si="34"/>
        <v>346000000</v>
      </c>
    </row>
    <row r="408" spans="1:26" x14ac:dyDescent="0.3">
      <c r="A408">
        <f t="shared" si="30"/>
        <v>5</v>
      </c>
      <c r="B408" t="str">
        <f>INDEX('Category Mapping'!$G$28:$G$39,MATCH(A408,'Category Mapping'!$A$28:$A$39,0),1)</f>
        <v>Spring</v>
      </c>
      <c r="C408" t="s">
        <v>83</v>
      </c>
      <c r="D408" s="6" t="s">
        <v>158</v>
      </c>
      <c r="E408" s="46" t="s">
        <v>48</v>
      </c>
      <c r="F408" s="27">
        <f>SUMIFS(INDEX(Load,,MATCH('Summarized Source Data'!$C408,Hour,0)),Month,'Summarized Source Data'!$A408,Sector,'Summarized Source Data'!F$2,Subsector,'Summarized Source Data'!F$3,TimeOfWeek,$E408)*INDEX(About!B$79:B$82,MATCH($B408,About!$A$79:$A$82,0),1)</f>
        <v>1327401</v>
      </c>
      <c r="G408" s="27">
        <f>SUMIFS(INDEX(Load,,MATCH('Summarized Source Data'!$C408,Hour,0)),Month,'Summarized Source Data'!$A408,Sector,'Summarized Source Data'!G$2,Subsector,'Summarized Source Data'!G$3,TimeOfWeek,$E408)*INDEX(About!C$79:C$82,MATCH($B408,About!$A$79:$A$82,0),1)</f>
        <v>48162</v>
      </c>
      <c r="H408" s="27">
        <f>SUMIFS(INDEX(Load,,MATCH('Summarized Source Data'!$C408,Hour,0)),Month,'Summarized Source Data'!$A408,Sector,'Summarized Source Data'!H$2,Subsector,'Summarized Source Data'!H$3,TimeOfWeek,$E408)*INDEX(About!D$79:D$82,MATCH($B408,About!$A$79:$A$82,0),1)</f>
        <v>0</v>
      </c>
      <c r="I408" s="27">
        <f>SUMIFS(INDEX(Load,,MATCH('Summarized Source Data'!$C408,Hour,0)),Month,'Summarized Source Data'!$A408,Sector,'Summarized Source Data'!I$2,Subsector,'Summarized Source Data'!I$3,TimeOfWeek,$E408)*INDEX(About!E$79:E$82,MATCH($B408,About!$A$79:$A$82,0),1)</f>
        <v>29100000</v>
      </c>
      <c r="J408" s="54">
        <f t="shared" si="31"/>
        <v>77524437</v>
      </c>
      <c r="K408" s="27">
        <f>(SUMIFS(INDEX(Load,,MATCH('Summarized Source Data'!$C408,Hour,0)),Month,'Summarized Source Data'!$A408,Sector,'Summarized Source Data'!K$2,Subsector,"Total",TimeOfWeek,$E408)-SUM(F408:I408))*INDEX(About!G$79:G$82,MATCH($B408,About!$A$79:$A$82,0),1)</f>
        <v>77524437</v>
      </c>
      <c r="L408" s="27">
        <f>SUMIFS(INDEX(Load,,MATCH('Summarized Source Data'!$C408,Hour,0)),Month,'Summarized Source Data'!$A408,Sector,'Summarized Source Data'!L$2,Subsector,'Summarized Source Data'!L$3,TimeOfWeek,$E408)*INDEX(About!H$79:H$82,MATCH($B408,About!$A$79:$A$82,0),1)</f>
        <v>1870970</v>
      </c>
      <c r="M408" s="27">
        <f>SUMIFS(INDEX(Load,,MATCH('Summarized Source Data'!$C408,Hour,0)),Month,'Summarized Source Data'!$A408,Sector,'Summarized Source Data'!M$2,Subsector,'Summarized Source Data'!M$3,TimeOfWeek,$E408)*INDEX(About!I$79:I$82,MATCH($B408,About!$A$79:$A$82,0),1)</f>
        <v>4525707</v>
      </c>
      <c r="N408" s="27">
        <f>SUMIFS(INDEX(Load,,MATCH('Summarized Source Data'!$C408,Hour,0)),Month,'Summarized Source Data'!$A408,Sector,'Summarized Source Data'!N$2,Subsector,'Summarized Source Data'!N$3,TimeOfWeek,$E408)*INDEX(About!J$79:J$82,MATCH($B408,About!$A$79:$A$82,0),1)</f>
        <v>0</v>
      </c>
      <c r="O408" s="29">
        <f t="shared" si="32"/>
        <v>94603323</v>
      </c>
      <c r="P408" s="27">
        <f>(SUMIFS(INDEX(Load,,MATCH('Summarized Source Data'!$C408,Hour,0)),Month,'Summarized Source Data'!$A408,Sector,'Summarized Source Data'!P$2,Subsector,"Total",TimeOfWeek,$E408)-SUM(L408:N408)*INDEX(About!L$79:L$82,MATCH($B408,About!$A$79:$A$82,0),1))</f>
        <v>94603323</v>
      </c>
      <c r="Q408" s="29">
        <f t="shared" si="33"/>
        <v>94603323</v>
      </c>
      <c r="R408" s="33">
        <f>SUMIFS(INDEX(Load,,MATCH('Summarized Source Data'!$C408,Hour,0)),Month,'Summarized Source Data'!$A408,Sector,'Summarized Source Data'!R$2,TimeOfWeek,$E408)*INDEX(About!N$79:N$82,MATCH($B408,About!$A$79:$A$82,0),1)</f>
        <v>5460104</v>
      </c>
      <c r="S408" s="33">
        <f>SUMIFS(INDEX(Load,,MATCH('Summarized Source Data'!$C408,Hour,0)),Month,'Summarized Source Data'!$A408,Sector,'Summarized Source Data'!S$2,TimeOfWeek,$E408)*INDEX(About!O$79:O$82,MATCH($B408,About!$A$79:$A$82,0),1)</f>
        <v>5460104</v>
      </c>
      <c r="T408" s="33">
        <f>SUMIFS(INDEX(Load,,MATCH('Summarized Source Data'!$C408,Hour,0)),Month,'Summarized Source Data'!$A408,Sector,'Summarized Source Data'!T$2,TimeOfWeek,$E408)*INDEX(About!P$79:P$82,MATCH($B408,About!$A$79:$A$82,0),1)</f>
        <v>5460104</v>
      </c>
      <c r="U408" s="33">
        <f>SUMIFS(INDEX(Load,,MATCH('Summarized Source Data'!$C408,Hour,0)),Month,'Summarized Source Data'!$A408,Sector,'Summarized Source Data'!U$2,TimeOfWeek,$E408)*INDEX(About!Q$79:Q$82,MATCH($B408,About!$A$79:$A$82,0),1)</f>
        <v>5460104</v>
      </c>
      <c r="V408" s="33">
        <f>SUMIFS(INDEX(Load,,MATCH('Summarized Source Data'!$C408,Hour,0)),Month,'Summarized Source Data'!$A408,Sector,'Summarized Source Data'!V$2,TimeOfWeek,$E408)*INDEX(About!R$79:R$82,MATCH($B408,About!$A$79:$A$82,0),1)</f>
        <v>5460104</v>
      </c>
      <c r="W408" s="33">
        <f>SUMIFS(INDEX(Load,,MATCH('Summarized Source Data'!$C408,Hour,0)),Month,'Summarized Source Data'!$A408,Sector,'Summarized Source Data'!W$2,TimeOfWeek,$E408)*INDEX(About!S$79:S$82,MATCH($B408,About!$A$79:$A$82,0),1)</f>
        <v>5460104</v>
      </c>
      <c r="X408" s="27">
        <f>SUMIFS(INDEX(Load,,MATCH('Summarized Source Data'!$C408,Hour,0)),Month,'Summarized Source Data'!$A408,Sector,'Summarized Source Data'!X$2,Subsector,'Summarized Source Data'!X$3,TimeOfWeek,$E408)*INDEX(About!T$79:T$82,MATCH($B408,About!$A$79:$A$82,0),1)</f>
        <v>344000000</v>
      </c>
      <c r="Y408" s="29">
        <f t="shared" si="34"/>
        <v>344000000</v>
      </c>
      <c r="Z408" s="29">
        <f t="shared" si="34"/>
        <v>344000000</v>
      </c>
    </row>
    <row r="409" spans="1:26" x14ac:dyDescent="0.3">
      <c r="A409">
        <f t="shared" si="30"/>
        <v>5</v>
      </c>
      <c r="B409" t="str">
        <f>INDEX('Category Mapping'!$G$28:$G$39,MATCH(A409,'Category Mapping'!$A$28:$A$39,0),1)</f>
        <v>Spring</v>
      </c>
      <c r="C409" t="s">
        <v>84</v>
      </c>
      <c r="D409" s="6" t="s">
        <v>159</v>
      </c>
      <c r="E409" s="46" t="s">
        <v>48</v>
      </c>
      <c r="F409" s="27">
        <f>SUMIFS(INDEX(Load,,MATCH('Summarized Source Data'!$C409,Hour,0)),Month,'Summarized Source Data'!$A409,Sector,'Summarized Source Data'!F$2,Subsector,'Summarized Source Data'!F$3,TimeOfWeek,$E409)*INDEX(About!B$79:B$82,MATCH($B409,About!$A$79:$A$82,0),1)</f>
        <v>1173875</v>
      </c>
      <c r="G409" s="27">
        <f>SUMIFS(INDEX(Load,,MATCH('Summarized Source Data'!$C409,Hour,0)),Month,'Summarized Source Data'!$A409,Sector,'Summarized Source Data'!G$2,Subsector,'Summarized Source Data'!G$3,TimeOfWeek,$E409)*INDEX(About!C$79:C$82,MATCH($B409,About!$A$79:$A$82,0),1)</f>
        <v>1683</v>
      </c>
      <c r="H409" s="27">
        <f>SUMIFS(INDEX(Load,,MATCH('Summarized Source Data'!$C409,Hour,0)),Month,'Summarized Source Data'!$A409,Sector,'Summarized Source Data'!H$2,Subsector,'Summarized Source Data'!H$3,TimeOfWeek,$E409)*INDEX(About!D$79:D$82,MATCH($B409,About!$A$79:$A$82,0),1)</f>
        <v>0</v>
      </c>
      <c r="I409" s="27">
        <f>SUMIFS(INDEX(Load,,MATCH('Summarized Source Data'!$C409,Hour,0)),Month,'Summarized Source Data'!$A409,Sector,'Summarized Source Data'!I$2,Subsector,'Summarized Source Data'!I$3,TimeOfWeek,$E409)*INDEX(About!E$79:E$82,MATCH($B409,About!$A$79:$A$82,0),1)</f>
        <v>24100000</v>
      </c>
      <c r="J409" s="54">
        <f t="shared" si="31"/>
        <v>71824442</v>
      </c>
      <c r="K409" s="27">
        <f>(SUMIFS(INDEX(Load,,MATCH('Summarized Source Data'!$C409,Hour,0)),Month,'Summarized Source Data'!$A409,Sector,'Summarized Source Data'!K$2,Subsector,"Total",TimeOfWeek,$E409)-SUM(F409:I409))*INDEX(About!G$79:G$82,MATCH($B409,About!$A$79:$A$82,0),1)</f>
        <v>71824442</v>
      </c>
      <c r="L409" s="27">
        <f>SUMIFS(INDEX(Load,,MATCH('Summarized Source Data'!$C409,Hour,0)),Month,'Summarized Source Data'!$A409,Sector,'Summarized Source Data'!L$2,Subsector,'Summarized Source Data'!L$3,TimeOfWeek,$E409)*INDEX(About!H$79:H$82,MATCH($B409,About!$A$79:$A$82,0),1)</f>
        <v>1905023</v>
      </c>
      <c r="M409" s="27">
        <f>SUMIFS(INDEX(Load,,MATCH('Summarized Source Data'!$C409,Hour,0)),Month,'Summarized Source Data'!$A409,Sector,'Summarized Source Data'!M$2,Subsector,'Summarized Source Data'!M$3,TimeOfWeek,$E409)*INDEX(About!I$79:I$82,MATCH($B409,About!$A$79:$A$82,0),1)</f>
        <v>4372776</v>
      </c>
      <c r="N409" s="27">
        <f>SUMIFS(INDEX(Load,,MATCH('Summarized Source Data'!$C409,Hour,0)),Month,'Summarized Source Data'!$A409,Sector,'Summarized Source Data'!N$2,Subsector,'Summarized Source Data'!N$3,TimeOfWeek,$E409)*INDEX(About!J$79:J$82,MATCH($B409,About!$A$79:$A$82,0),1)</f>
        <v>0</v>
      </c>
      <c r="O409" s="29">
        <f t="shared" si="32"/>
        <v>87922201</v>
      </c>
      <c r="P409" s="27">
        <f>(SUMIFS(INDEX(Load,,MATCH('Summarized Source Data'!$C409,Hour,0)),Month,'Summarized Source Data'!$A409,Sector,'Summarized Source Data'!P$2,Subsector,"Total",TimeOfWeek,$E409)-SUM(L409:N409)*INDEX(About!L$79:L$82,MATCH($B409,About!$A$79:$A$82,0),1))</f>
        <v>87922201</v>
      </c>
      <c r="Q409" s="29">
        <f t="shared" si="33"/>
        <v>87922201</v>
      </c>
      <c r="R409" s="33">
        <f>SUMIFS(INDEX(Load,,MATCH('Summarized Source Data'!$C409,Hour,0)),Month,'Summarized Source Data'!$A409,Sector,'Summarized Source Data'!R$2,TimeOfWeek,$E409)*INDEX(About!N$79:N$82,MATCH($B409,About!$A$79:$A$82,0),1)</f>
        <v>5255163</v>
      </c>
      <c r="S409" s="33">
        <f>SUMIFS(INDEX(Load,,MATCH('Summarized Source Data'!$C409,Hour,0)),Month,'Summarized Source Data'!$A409,Sector,'Summarized Source Data'!S$2,TimeOfWeek,$E409)*INDEX(About!O$79:O$82,MATCH($B409,About!$A$79:$A$82,0),1)</f>
        <v>5255163</v>
      </c>
      <c r="T409" s="33">
        <f>SUMIFS(INDEX(Load,,MATCH('Summarized Source Data'!$C409,Hour,0)),Month,'Summarized Source Data'!$A409,Sector,'Summarized Source Data'!T$2,TimeOfWeek,$E409)*INDEX(About!P$79:P$82,MATCH($B409,About!$A$79:$A$82,0),1)</f>
        <v>5255163</v>
      </c>
      <c r="U409" s="33">
        <f>SUMIFS(INDEX(Load,,MATCH('Summarized Source Data'!$C409,Hour,0)),Month,'Summarized Source Data'!$A409,Sector,'Summarized Source Data'!U$2,TimeOfWeek,$E409)*INDEX(About!Q$79:Q$82,MATCH($B409,About!$A$79:$A$82,0),1)</f>
        <v>5255163</v>
      </c>
      <c r="V409" s="33">
        <f>SUMIFS(INDEX(Load,,MATCH('Summarized Source Data'!$C409,Hour,0)),Month,'Summarized Source Data'!$A409,Sector,'Summarized Source Data'!V$2,TimeOfWeek,$E409)*INDEX(About!R$79:R$82,MATCH($B409,About!$A$79:$A$82,0),1)</f>
        <v>5255163</v>
      </c>
      <c r="W409" s="33">
        <f>SUMIFS(INDEX(Load,,MATCH('Summarized Source Data'!$C409,Hour,0)),Month,'Summarized Source Data'!$A409,Sector,'Summarized Source Data'!W$2,TimeOfWeek,$E409)*INDEX(About!S$79:S$82,MATCH($B409,About!$A$79:$A$82,0),1)</f>
        <v>5255163</v>
      </c>
      <c r="X409" s="27">
        <f>SUMIFS(INDEX(Load,,MATCH('Summarized Source Data'!$C409,Hour,0)),Month,'Summarized Source Data'!$A409,Sector,'Summarized Source Data'!X$2,Subsector,'Summarized Source Data'!X$3,TimeOfWeek,$E409)*INDEX(About!T$79:T$82,MATCH($B409,About!$A$79:$A$82,0),1)</f>
        <v>341000000</v>
      </c>
      <c r="Y409" s="29">
        <f t="shared" si="34"/>
        <v>341000000</v>
      </c>
      <c r="Z409" s="29">
        <f t="shared" si="34"/>
        <v>341000000</v>
      </c>
    </row>
    <row r="410" spans="1:26" x14ac:dyDescent="0.3">
      <c r="A410">
        <f t="shared" si="30"/>
        <v>5</v>
      </c>
      <c r="B410" t="str">
        <f>INDEX('Category Mapping'!$G$28:$G$39,MATCH(A410,'Category Mapping'!$A$28:$A$39,0),1)</f>
        <v>Spring</v>
      </c>
      <c r="C410" t="s">
        <v>85</v>
      </c>
      <c r="D410" s="6" t="s">
        <v>160</v>
      </c>
      <c r="E410" s="46" t="s">
        <v>48</v>
      </c>
      <c r="F410" s="27">
        <f>SUMIFS(INDEX(Load,,MATCH('Summarized Source Data'!$C410,Hour,0)),Month,'Summarized Source Data'!$A410,Sector,'Summarized Source Data'!F$2,Subsector,'Summarized Source Data'!F$3,TimeOfWeek,$E410)*INDEX(About!B$79:B$82,MATCH($B410,About!$A$79:$A$82,0),1)</f>
        <v>913419</v>
      </c>
      <c r="G410" s="27">
        <f>SUMIFS(INDEX(Load,,MATCH('Summarized Source Data'!$C410,Hour,0)),Month,'Summarized Source Data'!$A410,Sector,'Summarized Source Data'!G$2,Subsector,'Summarized Source Data'!G$3,TimeOfWeek,$E410)*INDEX(About!C$79:C$82,MATCH($B410,About!$A$79:$A$82,0),1)</f>
        <v>1747</v>
      </c>
      <c r="H410" s="27">
        <f>SUMIFS(INDEX(Load,,MATCH('Summarized Source Data'!$C410,Hour,0)),Month,'Summarized Source Data'!$A410,Sector,'Summarized Source Data'!H$2,Subsector,'Summarized Source Data'!H$3,TimeOfWeek,$E410)*INDEX(About!D$79:D$82,MATCH($B410,About!$A$79:$A$82,0),1)</f>
        <v>0</v>
      </c>
      <c r="I410" s="27">
        <f>SUMIFS(INDEX(Load,,MATCH('Summarized Source Data'!$C410,Hour,0)),Month,'Summarized Source Data'!$A410,Sector,'Summarized Source Data'!I$2,Subsector,'Summarized Source Data'!I$3,TimeOfWeek,$E410)*INDEX(About!E$79:E$82,MATCH($B410,About!$A$79:$A$82,0),1)</f>
        <v>15500000</v>
      </c>
      <c r="J410" s="54">
        <f t="shared" si="31"/>
        <v>60184834</v>
      </c>
      <c r="K410" s="27">
        <f>(SUMIFS(INDEX(Load,,MATCH('Summarized Source Data'!$C410,Hour,0)),Month,'Summarized Source Data'!$A410,Sector,'Summarized Source Data'!K$2,Subsector,"Total",TimeOfWeek,$E410)-SUM(F410:I410))*INDEX(About!G$79:G$82,MATCH($B410,About!$A$79:$A$82,0),1)</f>
        <v>60184834</v>
      </c>
      <c r="L410" s="27">
        <f>SUMIFS(INDEX(Load,,MATCH('Summarized Source Data'!$C410,Hour,0)),Month,'Summarized Source Data'!$A410,Sector,'Summarized Source Data'!L$2,Subsector,'Summarized Source Data'!L$3,TimeOfWeek,$E410)*INDEX(About!H$79:H$82,MATCH($B410,About!$A$79:$A$82,0),1)</f>
        <v>1788147</v>
      </c>
      <c r="M410" s="27">
        <f>SUMIFS(INDEX(Load,,MATCH('Summarized Source Data'!$C410,Hour,0)),Month,'Summarized Source Data'!$A410,Sector,'Summarized Source Data'!M$2,Subsector,'Summarized Source Data'!M$3,TimeOfWeek,$E410)*INDEX(About!I$79:I$82,MATCH($B410,About!$A$79:$A$82,0),1)</f>
        <v>4218651</v>
      </c>
      <c r="N410" s="27">
        <f>SUMIFS(INDEX(Load,,MATCH('Summarized Source Data'!$C410,Hour,0)),Month,'Summarized Source Data'!$A410,Sector,'Summarized Source Data'!N$2,Subsector,'Summarized Source Data'!N$3,TimeOfWeek,$E410)*INDEX(About!J$79:J$82,MATCH($B410,About!$A$79:$A$82,0),1)</f>
        <v>0</v>
      </c>
      <c r="O410" s="29">
        <f t="shared" si="32"/>
        <v>83593202</v>
      </c>
      <c r="P410" s="27">
        <f>(SUMIFS(INDEX(Load,,MATCH('Summarized Source Data'!$C410,Hour,0)),Month,'Summarized Source Data'!$A410,Sector,'Summarized Source Data'!P$2,Subsector,"Total",TimeOfWeek,$E410)-SUM(L410:N410)*INDEX(About!L$79:L$82,MATCH($B410,About!$A$79:$A$82,0),1))</f>
        <v>83593202</v>
      </c>
      <c r="Q410" s="29">
        <f t="shared" si="33"/>
        <v>83593202</v>
      </c>
      <c r="R410" s="33">
        <f>SUMIFS(INDEX(Load,,MATCH('Summarized Source Data'!$C410,Hour,0)),Month,'Summarized Source Data'!$A410,Sector,'Summarized Source Data'!R$2,TimeOfWeek,$E410)*INDEX(About!N$79:N$82,MATCH($B410,About!$A$79:$A$82,0),1)</f>
        <v>5184897</v>
      </c>
      <c r="S410" s="33">
        <f>SUMIFS(INDEX(Load,,MATCH('Summarized Source Data'!$C410,Hour,0)),Month,'Summarized Source Data'!$A410,Sector,'Summarized Source Data'!S$2,TimeOfWeek,$E410)*INDEX(About!O$79:O$82,MATCH($B410,About!$A$79:$A$82,0),1)</f>
        <v>5184897</v>
      </c>
      <c r="T410" s="33">
        <f>SUMIFS(INDEX(Load,,MATCH('Summarized Source Data'!$C410,Hour,0)),Month,'Summarized Source Data'!$A410,Sector,'Summarized Source Data'!T$2,TimeOfWeek,$E410)*INDEX(About!P$79:P$82,MATCH($B410,About!$A$79:$A$82,0),1)</f>
        <v>5184897</v>
      </c>
      <c r="U410" s="33">
        <f>SUMIFS(INDEX(Load,,MATCH('Summarized Source Data'!$C410,Hour,0)),Month,'Summarized Source Data'!$A410,Sector,'Summarized Source Data'!U$2,TimeOfWeek,$E410)*INDEX(About!Q$79:Q$82,MATCH($B410,About!$A$79:$A$82,0),1)</f>
        <v>5184897</v>
      </c>
      <c r="V410" s="33">
        <f>SUMIFS(INDEX(Load,,MATCH('Summarized Source Data'!$C410,Hour,0)),Month,'Summarized Source Data'!$A410,Sector,'Summarized Source Data'!V$2,TimeOfWeek,$E410)*INDEX(About!R$79:R$82,MATCH($B410,About!$A$79:$A$82,0),1)</f>
        <v>5184897</v>
      </c>
      <c r="W410" s="33">
        <f>SUMIFS(INDEX(Load,,MATCH('Summarized Source Data'!$C410,Hour,0)),Month,'Summarized Source Data'!$A410,Sector,'Summarized Source Data'!W$2,TimeOfWeek,$E410)*INDEX(About!S$79:S$82,MATCH($B410,About!$A$79:$A$82,0),1)</f>
        <v>5184897</v>
      </c>
      <c r="X410" s="27">
        <f>SUMIFS(INDEX(Load,,MATCH('Summarized Source Data'!$C410,Hour,0)),Month,'Summarized Source Data'!$A410,Sector,'Summarized Source Data'!X$2,Subsector,'Summarized Source Data'!X$3,TimeOfWeek,$E410)*INDEX(About!T$79:T$82,MATCH($B410,About!$A$79:$A$82,0),1)</f>
        <v>338000000</v>
      </c>
      <c r="Y410" s="29">
        <f t="shared" si="34"/>
        <v>338000000</v>
      </c>
      <c r="Z410" s="29">
        <f t="shared" si="34"/>
        <v>338000000</v>
      </c>
    </row>
    <row r="411" spans="1:26" x14ac:dyDescent="0.3">
      <c r="A411">
        <f t="shared" si="30"/>
        <v>5</v>
      </c>
      <c r="B411" t="str">
        <f>INDEX('Category Mapping'!$G$28:$G$39,MATCH(A411,'Category Mapping'!$A$28:$A$39,0),1)</f>
        <v>Spring</v>
      </c>
      <c r="C411" t="s">
        <v>86</v>
      </c>
      <c r="D411" s="6" t="s">
        <v>161</v>
      </c>
      <c r="E411" s="46" t="s">
        <v>48</v>
      </c>
      <c r="F411" s="27">
        <f>SUMIFS(INDEX(Load,,MATCH('Summarized Source Data'!$C411,Hour,0)),Month,'Summarized Source Data'!$A411,Sector,'Summarized Source Data'!F$2,Subsector,'Summarized Source Data'!F$3,TimeOfWeek,$E411)*INDEX(About!B$79:B$82,MATCH($B411,About!$A$79:$A$82,0),1)</f>
        <v>783376</v>
      </c>
      <c r="G411" s="27">
        <f>SUMIFS(INDEX(Load,,MATCH('Summarized Source Data'!$C411,Hour,0)),Month,'Summarized Source Data'!$A411,Sector,'Summarized Source Data'!G$2,Subsector,'Summarized Source Data'!G$3,TimeOfWeek,$E411)*INDEX(About!C$79:C$82,MATCH($B411,About!$A$79:$A$82,0),1)</f>
        <v>1802</v>
      </c>
      <c r="H411" s="27">
        <f>SUMIFS(INDEX(Load,,MATCH('Summarized Source Data'!$C411,Hour,0)),Month,'Summarized Source Data'!$A411,Sector,'Summarized Source Data'!H$2,Subsector,'Summarized Source Data'!H$3,TimeOfWeek,$E411)*INDEX(About!D$79:D$82,MATCH($B411,About!$A$79:$A$82,0),1)</f>
        <v>0</v>
      </c>
      <c r="I411" s="27">
        <f>SUMIFS(INDEX(Load,,MATCH('Summarized Source Data'!$C411,Hour,0)),Month,'Summarized Source Data'!$A411,Sector,'Summarized Source Data'!I$2,Subsector,'Summarized Source Data'!I$3,TimeOfWeek,$E411)*INDEX(About!E$79:E$82,MATCH($B411,About!$A$79:$A$82,0),1)</f>
        <v>8681575</v>
      </c>
      <c r="J411" s="54">
        <f t="shared" si="31"/>
        <v>47933247</v>
      </c>
      <c r="K411" s="27">
        <f>(SUMIFS(INDEX(Load,,MATCH('Summarized Source Data'!$C411,Hour,0)),Month,'Summarized Source Data'!$A411,Sector,'Summarized Source Data'!K$2,Subsector,"Total",TimeOfWeek,$E411)-SUM(F411:I411))*INDEX(About!G$79:G$82,MATCH($B411,About!$A$79:$A$82,0),1)</f>
        <v>47933247</v>
      </c>
      <c r="L411" s="27">
        <f>SUMIFS(INDEX(Load,,MATCH('Summarized Source Data'!$C411,Hour,0)),Month,'Summarized Source Data'!$A411,Sector,'Summarized Source Data'!L$2,Subsector,'Summarized Source Data'!L$3,TimeOfWeek,$E411)*INDEX(About!H$79:H$82,MATCH($B411,About!$A$79:$A$82,0),1)</f>
        <v>1884670</v>
      </c>
      <c r="M411" s="27">
        <f>SUMIFS(INDEX(Load,,MATCH('Summarized Source Data'!$C411,Hour,0)),Month,'Summarized Source Data'!$A411,Sector,'Summarized Source Data'!M$2,Subsector,'Summarized Source Data'!M$3,TimeOfWeek,$E411)*INDEX(About!I$79:I$82,MATCH($B411,About!$A$79:$A$82,0),1)</f>
        <v>4008120</v>
      </c>
      <c r="N411" s="27">
        <f>SUMIFS(INDEX(Load,,MATCH('Summarized Source Data'!$C411,Hour,0)),Month,'Summarized Source Data'!$A411,Sector,'Summarized Source Data'!N$2,Subsector,'Summarized Source Data'!N$3,TimeOfWeek,$E411)*INDEX(About!J$79:J$82,MATCH($B411,About!$A$79:$A$82,0),1)</f>
        <v>0</v>
      </c>
      <c r="O411" s="29">
        <f t="shared" si="32"/>
        <v>76507210</v>
      </c>
      <c r="P411" s="27">
        <f>(SUMIFS(INDEX(Load,,MATCH('Summarized Source Data'!$C411,Hour,0)),Month,'Summarized Source Data'!$A411,Sector,'Summarized Source Data'!P$2,Subsector,"Total",TimeOfWeek,$E411)-SUM(L411:N411)*INDEX(About!L$79:L$82,MATCH($B411,About!$A$79:$A$82,0),1))</f>
        <v>76507210</v>
      </c>
      <c r="Q411" s="29">
        <f t="shared" si="33"/>
        <v>76507210</v>
      </c>
      <c r="R411" s="33">
        <f>SUMIFS(INDEX(Load,,MATCH('Summarized Source Data'!$C411,Hour,0)),Month,'Summarized Source Data'!$A411,Sector,'Summarized Source Data'!R$2,TimeOfWeek,$E411)*INDEX(About!N$79:N$82,MATCH($B411,About!$A$79:$A$82,0),1)</f>
        <v>3484740</v>
      </c>
      <c r="S411" s="33">
        <f>SUMIFS(INDEX(Load,,MATCH('Summarized Source Data'!$C411,Hour,0)),Month,'Summarized Source Data'!$A411,Sector,'Summarized Source Data'!S$2,TimeOfWeek,$E411)*INDEX(About!O$79:O$82,MATCH($B411,About!$A$79:$A$82,0),1)</f>
        <v>3484740</v>
      </c>
      <c r="T411" s="33">
        <f>SUMIFS(INDEX(Load,,MATCH('Summarized Source Data'!$C411,Hour,0)),Month,'Summarized Source Data'!$A411,Sector,'Summarized Source Data'!T$2,TimeOfWeek,$E411)*INDEX(About!P$79:P$82,MATCH($B411,About!$A$79:$A$82,0),1)</f>
        <v>3484740</v>
      </c>
      <c r="U411" s="33">
        <f>SUMIFS(INDEX(Load,,MATCH('Summarized Source Data'!$C411,Hour,0)),Month,'Summarized Source Data'!$A411,Sector,'Summarized Source Data'!U$2,TimeOfWeek,$E411)*INDEX(About!Q$79:Q$82,MATCH($B411,About!$A$79:$A$82,0),1)</f>
        <v>3484740</v>
      </c>
      <c r="V411" s="33">
        <f>SUMIFS(INDEX(Load,,MATCH('Summarized Source Data'!$C411,Hour,0)),Month,'Summarized Source Data'!$A411,Sector,'Summarized Source Data'!V$2,TimeOfWeek,$E411)*INDEX(About!R$79:R$82,MATCH($B411,About!$A$79:$A$82,0),1)</f>
        <v>3484740</v>
      </c>
      <c r="W411" s="33">
        <f>SUMIFS(INDEX(Load,,MATCH('Summarized Source Data'!$C411,Hour,0)),Month,'Summarized Source Data'!$A411,Sector,'Summarized Source Data'!W$2,TimeOfWeek,$E411)*INDEX(About!S$79:S$82,MATCH($B411,About!$A$79:$A$82,0),1)</f>
        <v>3484740</v>
      </c>
      <c r="X411" s="27">
        <f>SUMIFS(INDEX(Load,,MATCH('Summarized Source Data'!$C411,Hour,0)),Month,'Summarized Source Data'!$A411,Sector,'Summarized Source Data'!X$2,Subsector,'Summarized Source Data'!X$3,TimeOfWeek,$E411)*INDEX(About!T$79:T$82,MATCH($B411,About!$A$79:$A$82,0),1)</f>
        <v>336000000</v>
      </c>
      <c r="Y411" s="29">
        <f t="shared" si="34"/>
        <v>336000000</v>
      </c>
      <c r="Z411" s="29">
        <f t="shared" si="34"/>
        <v>336000000</v>
      </c>
    </row>
    <row r="412" spans="1:26" x14ac:dyDescent="0.3">
      <c r="A412">
        <f t="shared" si="30"/>
        <v>6</v>
      </c>
      <c r="B412" t="str">
        <f>INDEX('Category Mapping'!$G$28:$G$39,MATCH(A412,'Category Mapping'!$A$28:$A$39,0),1)</f>
        <v>Summer</v>
      </c>
      <c r="C412" t="s">
        <v>63</v>
      </c>
      <c r="D412" s="6" t="s">
        <v>138</v>
      </c>
      <c r="E412" s="46" t="s">
        <v>48</v>
      </c>
      <c r="F412" s="27">
        <f>SUMIFS(INDEX(Load,,MATCH('Summarized Source Data'!$C412,Hour,0)),Month,'Summarized Source Data'!$A412,Sector,'Summarized Source Data'!F$2,Subsector,'Summarized Source Data'!F$3,TimeOfWeek,$E412)*INDEX(About!B$79:B$82,MATCH($B412,About!$A$79:$A$82,0),1)</f>
        <v>134838</v>
      </c>
      <c r="G412" s="27">
        <f>SUMIFS(INDEX(Load,,MATCH('Summarized Source Data'!$C412,Hour,0)),Month,'Summarized Source Data'!$A412,Sector,'Summarized Source Data'!G$2,Subsector,'Summarized Source Data'!G$3,TimeOfWeek,$E412)*INDEX(About!C$79:C$82,MATCH($B412,About!$A$79:$A$82,0),1)</f>
        <v>1646896</v>
      </c>
      <c r="H412" s="27">
        <f>SUMIFS(INDEX(Load,,MATCH('Summarized Source Data'!$C412,Hour,0)),Month,'Summarized Source Data'!$A412,Sector,'Summarized Source Data'!H$2,Subsector,'Summarized Source Data'!H$3,TimeOfWeek,$E412)*INDEX(About!D$79:D$82,MATCH($B412,About!$A$79:$A$82,0),1)</f>
        <v>0</v>
      </c>
      <c r="I412" s="27">
        <f>SUMIFS(INDEX(Load,,MATCH('Summarized Source Data'!$C412,Hour,0)),Month,'Summarized Source Data'!$A412,Sector,'Summarized Source Data'!I$2,Subsector,'Summarized Source Data'!I$3,TimeOfWeek,$E412)*INDEX(About!E$79:E$82,MATCH($B412,About!$A$79:$A$82,0),1)</f>
        <v>5896661</v>
      </c>
      <c r="J412" s="54">
        <f t="shared" si="31"/>
        <v>36821605</v>
      </c>
      <c r="K412" s="27">
        <f>(SUMIFS(INDEX(Load,,MATCH('Summarized Source Data'!$C412,Hour,0)),Month,'Summarized Source Data'!$A412,Sector,'Summarized Source Data'!K$2,Subsector,"Total",TimeOfWeek,$E412)-SUM(F412:I412))*INDEX(About!G$79:G$82,MATCH($B412,About!$A$79:$A$82,0),1)</f>
        <v>36821605</v>
      </c>
      <c r="L412" s="27">
        <f>SUMIFS(INDEX(Load,,MATCH('Summarized Source Data'!$C412,Hour,0)),Month,'Summarized Source Data'!$A412,Sector,'Summarized Source Data'!L$2,Subsector,'Summarized Source Data'!L$3,TimeOfWeek,$E412)*INDEX(About!H$79:H$82,MATCH($B412,About!$A$79:$A$82,0),1)</f>
        <v>361235</v>
      </c>
      <c r="M412" s="27">
        <f>SUMIFS(INDEX(Load,,MATCH('Summarized Source Data'!$C412,Hour,0)),Month,'Summarized Source Data'!$A412,Sector,'Summarized Source Data'!M$2,Subsector,'Summarized Source Data'!M$3,TimeOfWeek,$E412)*INDEX(About!I$79:I$82,MATCH($B412,About!$A$79:$A$82,0),1)</f>
        <v>33500000</v>
      </c>
      <c r="N412" s="27">
        <f>SUMIFS(INDEX(Load,,MATCH('Summarized Source Data'!$C412,Hour,0)),Month,'Summarized Source Data'!$A412,Sector,'Summarized Source Data'!N$2,Subsector,'Summarized Source Data'!N$3,TimeOfWeek,$E412)*INDEX(About!J$79:J$82,MATCH($B412,About!$A$79:$A$82,0),1)</f>
        <v>0</v>
      </c>
      <c r="O412" s="29">
        <f t="shared" si="32"/>
        <v>77138765</v>
      </c>
      <c r="P412" s="27">
        <f>(SUMIFS(INDEX(Load,,MATCH('Summarized Source Data'!$C412,Hour,0)),Month,'Summarized Source Data'!$A412,Sector,'Summarized Source Data'!P$2,Subsector,"Total",TimeOfWeek,$E412)-SUM(L412:N412)*INDEX(About!L$79:L$82,MATCH($B412,About!$A$79:$A$82,0),1))</f>
        <v>77138765</v>
      </c>
      <c r="Q412" s="29">
        <f t="shared" si="33"/>
        <v>77138765</v>
      </c>
      <c r="R412" s="33">
        <f>SUMIFS(INDEX(Load,,MATCH('Summarized Source Data'!$C412,Hour,0)),Month,'Summarized Source Data'!$A412,Sector,'Summarized Source Data'!R$2,TimeOfWeek,$E412)*INDEX(About!N$79:N$82,MATCH($B412,About!$A$79:$A$82,0),1)</f>
        <v>2413278</v>
      </c>
      <c r="S412" s="33">
        <f>SUMIFS(INDEX(Load,,MATCH('Summarized Source Data'!$C412,Hour,0)),Month,'Summarized Source Data'!$A412,Sector,'Summarized Source Data'!S$2,TimeOfWeek,$E412)*INDEX(About!O$79:O$82,MATCH($B412,About!$A$79:$A$82,0),1)</f>
        <v>2413278</v>
      </c>
      <c r="T412" s="33">
        <f>SUMIFS(INDEX(Load,,MATCH('Summarized Source Data'!$C412,Hour,0)),Month,'Summarized Source Data'!$A412,Sector,'Summarized Source Data'!T$2,TimeOfWeek,$E412)*INDEX(About!P$79:P$82,MATCH($B412,About!$A$79:$A$82,0),1)</f>
        <v>2413278</v>
      </c>
      <c r="U412" s="33">
        <f>SUMIFS(INDEX(Load,,MATCH('Summarized Source Data'!$C412,Hour,0)),Month,'Summarized Source Data'!$A412,Sector,'Summarized Source Data'!U$2,TimeOfWeek,$E412)*INDEX(About!Q$79:Q$82,MATCH($B412,About!$A$79:$A$82,0),1)</f>
        <v>2413278</v>
      </c>
      <c r="V412" s="33">
        <f>SUMIFS(INDEX(Load,,MATCH('Summarized Source Data'!$C412,Hour,0)),Month,'Summarized Source Data'!$A412,Sector,'Summarized Source Data'!V$2,TimeOfWeek,$E412)*INDEX(About!R$79:R$82,MATCH($B412,About!$A$79:$A$82,0),1)</f>
        <v>2413278</v>
      </c>
      <c r="W412" s="33">
        <f>SUMIFS(INDEX(Load,,MATCH('Summarized Source Data'!$C412,Hour,0)),Month,'Summarized Source Data'!$A412,Sector,'Summarized Source Data'!W$2,TimeOfWeek,$E412)*INDEX(About!S$79:S$82,MATCH($B412,About!$A$79:$A$82,0),1)</f>
        <v>2413278</v>
      </c>
      <c r="X412" s="27">
        <f>SUMIFS(INDEX(Load,,MATCH('Summarized Source Data'!$C412,Hour,0)),Month,'Summarized Source Data'!$A412,Sector,'Summarized Source Data'!X$2,Subsector,'Summarized Source Data'!X$3,TimeOfWeek,$E412)*INDEX(About!T$79:T$82,MATCH($B412,About!$A$79:$A$82,0),1)</f>
        <v>342000000</v>
      </c>
      <c r="Y412" s="29">
        <f t="shared" si="34"/>
        <v>342000000</v>
      </c>
      <c r="Z412" s="29">
        <f t="shared" si="34"/>
        <v>342000000</v>
      </c>
    </row>
    <row r="413" spans="1:26" x14ac:dyDescent="0.3">
      <c r="A413">
        <f t="shared" si="30"/>
        <v>6</v>
      </c>
      <c r="B413" t="str">
        <f>INDEX('Category Mapping'!$G$28:$G$39,MATCH(A413,'Category Mapping'!$A$28:$A$39,0),1)</f>
        <v>Summer</v>
      </c>
      <c r="C413" t="s">
        <v>64</v>
      </c>
      <c r="D413" s="6" t="s">
        <v>139</v>
      </c>
      <c r="E413" s="46" t="s">
        <v>48</v>
      </c>
      <c r="F413" s="27">
        <f>SUMIFS(INDEX(Load,,MATCH('Summarized Source Data'!$C413,Hour,0)),Month,'Summarized Source Data'!$A413,Sector,'Summarized Source Data'!F$2,Subsector,'Summarized Source Data'!F$3,TimeOfWeek,$E413)*INDEX(About!B$79:B$82,MATCH($B413,About!$A$79:$A$82,0),1)</f>
        <v>134838</v>
      </c>
      <c r="G413" s="27">
        <f>SUMIFS(INDEX(Load,,MATCH('Summarized Source Data'!$C413,Hour,0)),Month,'Summarized Source Data'!$A413,Sector,'Summarized Source Data'!G$2,Subsector,'Summarized Source Data'!G$3,TimeOfWeek,$E413)*INDEX(About!C$79:C$82,MATCH($B413,About!$A$79:$A$82,0),1)</f>
        <v>1095371</v>
      </c>
      <c r="H413" s="27">
        <f>SUMIFS(INDEX(Load,,MATCH('Summarized Source Data'!$C413,Hour,0)),Month,'Summarized Source Data'!$A413,Sector,'Summarized Source Data'!H$2,Subsector,'Summarized Source Data'!H$3,TimeOfWeek,$E413)*INDEX(About!D$79:D$82,MATCH($B413,About!$A$79:$A$82,0),1)</f>
        <v>0</v>
      </c>
      <c r="I413" s="27">
        <f>SUMIFS(INDEX(Load,,MATCH('Summarized Source Data'!$C413,Hour,0)),Month,'Summarized Source Data'!$A413,Sector,'Summarized Source Data'!I$2,Subsector,'Summarized Source Data'!I$3,TimeOfWeek,$E413)*INDEX(About!E$79:E$82,MATCH($B413,About!$A$79:$A$82,0),1)</f>
        <v>5094679</v>
      </c>
      <c r="J413" s="54">
        <f t="shared" si="31"/>
        <v>28575112</v>
      </c>
      <c r="K413" s="27">
        <f>(SUMIFS(INDEX(Load,,MATCH('Summarized Source Data'!$C413,Hour,0)),Month,'Summarized Source Data'!$A413,Sector,'Summarized Source Data'!K$2,Subsector,"Total",TimeOfWeek,$E413)-SUM(F413:I413))*INDEX(About!G$79:G$82,MATCH($B413,About!$A$79:$A$82,0),1)</f>
        <v>28575112</v>
      </c>
      <c r="L413" s="27">
        <f>SUMIFS(INDEX(Load,,MATCH('Summarized Source Data'!$C413,Hour,0)),Month,'Summarized Source Data'!$A413,Sector,'Summarized Source Data'!L$2,Subsector,'Summarized Source Data'!L$3,TimeOfWeek,$E413)*INDEX(About!H$79:H$82,MATCH($B413,About!$A$79:$A$82,0),1)</f>
        <v>359435</v>
      </c>
      <c r="M413" s="27">
        <f>SUMIFS(INDEX(Load,,MATCH('Summarized Source Data'!$C413,Hour,0)),Month,'Summarized Source Data'!$A413,Sector,'Summarized Source Data'!M$2,Subsector,'Summarized Source Data'!M$3,TimeOfWeek,$E413)*INDEX(About!I$79:I$82,MATCH($B413,About!$A$79:$A$82,0),1)</f>
        <v>32200000</v>
      </c>
      <c r="N413" s="27">
        <f>SUMIFS(INDEX(Load,,MATCH('Summarized Source Data'!$C413,Hour,0)),Month,'Summarized Source Data'!$A413,Sector,'Summarized Source Data'!N$2,Subsector,'Summarized Source Data'!N$3,TimeOfWeek,$E413)*INDEX(About!J$79:J$82,MATCH($B413,About!$A$79:$A$82,0),1)</f>
        <v>0</v>
      </c>
      <c r="O413" s="29">
        <f t="shared" si="32"/>
        <v>67240565</v>
      </c>
      <c r="P413" s="27">
        <f>(SUMIFS(INDEX(Load,,MATCH('Summarized Source Data'!$C413,Hour,0)),Month,'Summarized Source Data'!$A413,Sector,'Summarized Source Data'!P$2,Subsector,"Total",TimeOfWeek,$E413)-SUM(L413:N413)*INDEX(About!L$79:L$82,MATCH($B413,About!$A$79:$A$82,0),1))</f>
        <v>67240565</v>
      </c>
      <c r="Q413" s="29">
        <f t="shared" si="33"/>
        <v>67240565</v>
      </c>
      <c r="R413" s="33">
        <f>SUMIFS(INDEX(Load,,MATCH('Summarized Source Data'!$C413,Hour,0)),Month,'Summarized Source Data'!$A413,Sector,'Summarized Source Data'!R$2,TimeOfWeek,$E413)*INDEX(About!N$79:N$82,MATCH($B413,About!$A$79:$A$82,0),1)</f>
        <v>2284458</v>
      </c>
      <c r="S413" s="33">
        <f>SUMIFS(INDEX(Load,,MATCH('Summarized Source Data'!$C413,Hour,0)),Month,'Summarized Source Data'!$A413,Sector,'Summarized Source Data'!S$2,TimeOfWeek,$E413)*INDEX(About!O$79:O$82,MATCH($B413,About!$A$79:$A$82,0),1)</f>
        <v>2284458</v>
      </c>
      <c r="T413" s="33">
        <f>SUMIFS(INDEX(Load,,MATCH('Summarized Source Data'!$C413,Hour,0)),Month,'Summarized Source Data'!$A413,Sector,'Summarized Source Data'!T$2,TimeOfWeek,$E413)*INDEX(About!P$79:P$82,MATCH($B413,About!$A$79:$A$82,0),1)</f>
        <v>2284458</v>
      </c>
      <c r="U413" s="33">
        <f>SUMIFS(INDEX(Load,,MATCH('Summarized Source Data'!$C413,Hour,0)),Month,'Summarized Source Data'!$A413,Sector,'Summarized Source Data'!U$2,TimeOfWeek,$E413)*INDEX(About!Q$79:Q$82,MATCH($B413,About!$A$79:$A$82,0),1)</f>
        <v>2284458</v>
      </c>
      <c r="V413" s="33">
        <f>SUMIFS(INDEX(Load,,MATCH('Summarized Source Data'!$C413,Hour,0)),Month,'Summarized Source Data'!$A413,Sector,'Summarized Source Data'!V$2,TimeOfWeek,$E413)*INDEX(About!R$79:R$82,MATCH($B413,About!$A$79:$A$82,0),1)</f>
        <v>2284458</v>
      </c>
      <c r="W413" s="33">
        <f>SUMIFS(INDEX(Load,,MATCH('Summarized Source Data'!$C413,Hour,0)),Month,'Summarized Source Data'!$A413,Sector,'Summarized Source Data'!W$2,TimeOfWeek,$E413)*INDEX(About!S$79:S$82,MATCH($B413,About!$A$79:$A$82,0),1)</f>
        <v>2284458</v>
      </c>
      <c r="X413" s="27">
        <f>SUMIFS(INDEX(Load,,MATCH('Summarized Source Data'!$C413,Hour,0)),Month,'Summarized Source Data'!$A413,Sector,'Summarized Source Data'!X$2,Subsector,'Summarized Source Data'!X$3,TimeOfWeek,$E413)*INDEX(About!T$79:T$82,MATCH($B413,About!$A$79:$A$82,0),1)</f>
        <v>341000000</v>
      </c>
      <c r="Y413" s="29">
        <f t="shared" si="34"/>
        <v>341000000</v>
      </c>
      <c r="Z413" s="29">
        <f t="shared" si="34"/>
        <v>341000000</v>
      </c>
    </row>
    <row r="414" spans="1:26" x14ac:dyDescent="0.3">
      <c r="A414">
        <f t="shared" si="30"/>
        <v>6</v>
      </c>
      <c r="B414" t="str">
        <f>INDEX('Category Mapping'!$G$28:$G$39,MATCH(A414,'Category Mapping'!$A$28:$A$39,0),1)</f>
        <v>Summer</v>
      </c>
      <c r="C414" t="s">
        <v>65</v>
      </c>
      <c r="D414" s="6" t="s">
        <v>140</v>
      </c>
      <c r="E414" s="46" t="s">
        <v>48</v>
      </c>
      <c r="F414" s="27">
        <f>SUMIFS(INDEX(Load,,MATCH('Summarized Source Data'!$C414,Hour,0)),Month,'Summarized Source Data'!$A414,Sector,'Summarized Source Data'!F$2,Subsector,'Summarized Source Data'!F$3,TimeOfWeek,$E414)*INDEX(About!B$79:B$82,MATCH($B414,About!$A$79:$A$82,0),1)</f>
        <v>134838</v>
      </c>
      <c r="G414" s="27">
        <f>SUMIFS(INDEX(Load,,MATCH('Summarized Source Data'!$C414,Hour,0)),Month,'Summarized Source Data'!$A414,Sector,'Summarized Source Data'!G$2,Subsector,'Summarized Source Data'!G$3,TimeOfWeek,$E414)*INDEX(About!C$79:C$82,MATCH($B414,About!$A$79:$A$82,0),1)</f>
        <v>978431</v>
      </c>
      <c r="H414" s="27">
        <f>SUMIFS(INDEX(Load,,MATCH('Summarized Source Data'!$C414,Hour,0)),Month,'Summarized Source Data'!$A414,Sector,'Summarized Source Data'!H$2,Subsector,'Summarized Source Data'!H$3,TimeOfWeek,$E414)*INDEX(About!D$79:D$82,MATCH($B414,About!$A$79:$A$82,0),1)</f>
        <v>0</v>
      </c>
      <c r="I414" s="27">
        <f>SUMIFS(INDEX(Load,,MATCH('Summarized Source Data'!$C414,Hour,0)),Month,'Summarized Source Data'!$A414,Sector,'Summarized Source Data'!I$2,Subsector,'Summarized Source Data'!I$3,TimeOfWeek,$E414)*INDEX(About!E$79:E$82,MATCH($B414,About!$A$79:$A$82,0),1)</f>
        <v>4920543</v>
      </c>
      <c r="J414" s="54">
        <f t="shared" si="31"/>
        <v>22266188</v>
      </c>
      <c r="K414" s="27">
        <f>(SUMIFS(INDEX(Load,,MATCH('Summarized Source Data'!$C414,Hour,0)),Month,'Summarized Source Data'!$A414,Sector,'Summarized Source Data'!K$2,Subsector,"Total",TimeOfWeek,$E414)-SUM(F414:I414))*INDEX(About!G$79:G$82,MATCH($B414,About!$A$79:$A$82,0),1)</f>
        <v>22266188</v>
      </c>
      <c r="L414" s="27">
        <f>SUMIFS(INDEX(Load,,MATCH('Summarized Source Data'!$C414,Hour,0)),Month,'Summarized Source Data'!$A414,Sector,'Summarized Source Data'!L$2,Subsector,'Summarized Source Data'!L$3,TimeOfWeek,$E414)*INDEX(About!H$79:H$82,MATCH($B414,About!$A$79:$A$82,0),1)</f>
        <v>369213</v>
      </c>
      <c r="M414" s="27">
        <f>SUMIFS(INDEX(Load,,MATCH('Summarized Source Data'!$C414,Hour,0)),Month,'Summarized Source Data'!$A414,Sector,'Summarized Source Data'!M$2,Subsector,'Summarized Source Data'!M$3,TimeOfWeek,$E414)*INDEX(About!I$79:I$82,MATCH($B414,About!$A$79:$A$82,0),1)</f>
        <v>31800000</v>
      </c>
      <c r="N414" s="27">
        <f>SUMIFS(INDEX(Load,,MATCH('Summarized Source Data'!$C414,Hour,0)),Month,'Summarized Source Data'!$A414,Sector,'Summarized Source Data'!N$2,Subsector,'Summarized Source Data'!N$3,TimeOfWeek,$E414)*INDEX(About!J$79:J$82,MATCH($B414,About!$A$79:$A$82,0),1)</f>
        <v>0</v>
      </c>
      <c r="O414" s="29">
        <f t="shared" si="32"/>
        <v>66430787</v>
      </c>
      <c r="P414" s="27">
        <f>(SUMIFS(INDEX(Load,,MATCH('Summarized Source Data'!$C414,Hour,0)),Month,'Summarized Source Data'!$A414,Sector,'Summarized Source Data'!P$2,Subsector,"Total",TimeOfWeek,$E414)-SUM(L414:N414)*INDEX(About!L$79:L$82,MATCH($B414,About!$A$79:$A$82,0),1))</f>
        <v>66430787</v>
      </c>
      <c r="Q414" s="29">
        <f t="shared" si="33"/>
        <v>66430787</v>
      </c>
      <c r="R414" s="33">
        <f>SUMIFS(INDEX(Load,,MATCH('Summarized Source Data'!$C414,Hour,0)),Month,'Summarized Source Data'!$A414,Sector,'Summarized Source Data'!R$2,TimeOfWeek,$E414)*INDEX(About!N$79:N$82,MATCH($B414,About!$A$79:$A$82,0),1)</f>
        <v>2249325</v>
      </c>
      <c r="S414" s="33">
        <f>SUMIFS(INDEX(Load,,MATCH('Summarized Source Data'!$C414,Hour,0)),Month,'Summarized Source Data'!$A414,Sector,'Summarized Source Data'!S$2,TimeOfWeek,$E414)*INDEX(About!O$79:O$82,MATCH($B414,About!$A$79:$A$82,0),1)</f>
        <v>2249325</v>
      </c>
      <c r="T414" s="33">
        <f>SUMIFS(INDEX(Load,,MATCH('Summarized Source Data'!$C414,Hour,0)),Month,'Summarized Source Data'!$A414,Sector,'Summarized Source Data'!T$2,TimeOfWeek,$E414)*INDEX(About!P$79:P$82,MATCH($B414,About!$A$79:$A$82,0),1)</f>
        <v>2249325</v>
      </c>
      <c r="U414" s="33">
        <f>SUMIFS(INDEX(Load,,MATCH('Summarized Source Data'!$C414,Hour,0)),Month,'Summarized Source Data'!$A414,Sector,'Summarized Source Data'!U$2,TimeOfWeek,$E414)*INDEX(About!Q$79:Q$82,MATCH($B414,About!$A$79:$A$82,0),1)</f>
        <v>2249325</v>
      </c>
      <c r="V414" s="33">
        <f>SUMIFS(INDEX(Load,,MATCH('Summarized Source Data'!$C414,Hour,0)),Month,'Summarized Source Data'!$A414,Sector,'Summarized Source Data'!V$2,TimeOfWeek,$E414)*INDEX(About!R$79:R$82,MATCH($B414,About!$A$79:$A$82,0),1)</f>
        <v>2249325</v>
      </c>
      <c r="W414" s="33">
        <f>SUMIFS(INDEX(Load,,MATCH('Summarized Source Data'!$C414,Hour,0)),Month,'Summarized Source Data'!$A414,Sector,'Summarized Source Data'!W$2,TimeOfWeek,$E414)*INDEX(About!S$79:S$82,MATCH($B414,About!$A$79:$A$82,0),1)</f>
        <v>2249325</v>
      </c>
      <c r="X414" s="27">
        <f>SUMIFS(INDEX(Load,,MATCH('Summarized Source Data'!$C414,Hour,0)),Month,'Summarized Source Data'!$A414,Sector,'Summarized Source Data'!X$2,Subsector,'Summarized Source Data'!X$3,TimeOfWeek,$E414)*INDEX(About!T$79:T$82,MATCH($B414,About!$A$79:$A$82,0),1)</f>
        <v>342000000</v>
      </c>
      <c r="Y414" s="29">
        <f t="shared" si="34"/>
        <v>342000000</v>
      </c>
      <c r="Z414" s="29">
        <f t="shared" si="34"/>
        <v>342000000</v>
      </c>
    </row>
    <row r="415" spans="1:26" x14ac:dyDescent="0.3">
      <c r="A415">
        <f t="shared" si="30"/>
        <v>6</v>
      </c>
      <c r="B415" t="str">
        <f>INDEX('Category Mapping'!$G$28:$G$39,MATCH(A415,'Category Mapping'!$A$28:$A$39,0),1)</f>
        <v>Summer</v>
      </c>
      <c r="C415" t="s">
        <v>66</v>
      </c>
      <c r="D415" s="6" t="s">
        <v>141</v>
      </c>
      <c r="E415" s="46" t="s">
        <v>48</v>
      </c>
      <c r="F415" s="27">
        <f>SUMIFS(INDEX(Load,,MATCH('Summarized Source Data'!$C415,Hour,0)),Month,'Summarized Source Data'!$A415,Sector,'Summarized Source Data'!F$2,Subsector,'Summarized Source Data'!F$3,TimeOfWeek,$E415)*INDEX(About!B$79:B$82,MATCH($B415,About!$A$79:$A$82,0),1)</f>
        <v>134838</v>
      </c>
      <c r="G415" s="27">
        <f>SUMIFS(INDEX(Load,,MATCH('Summarized Source Data'!$C415,Hour,0)),Month,'Summarized Source Data'!$A415,Sector,'Summarized Source Data'!G$2,Subsector,'Summarized Source Data'!G$3,TimeOfWeek,$E415)*INDEX(About!C$79:C$82,MATCH($B415,About!$A$79:$A$82,0),1)</f>
        <v>1112024</v>
      </c>
      <c r="H415" s="27">
        <f>SUMIFS(INDEX(Load,,MATCH('Summarized Source Data'!$C415,Hour,0)),Month,'Summarized Source Data'!$A415,Sector,'Summarized Source Data'!H$2,Subsector,'Summarized Source Data'!H$3,TimeOfWeek,$E415)*INDEX(About!D$79:D$82,MATCH($B415,About!$A$79:$A$82,0),1)</f>
        <v>0</v>
      </c>
      <c r="I415" s="27">
        <f>SUMIFS(INDEX(Load,,MATCH('Summarized Source Data'!$C415,Hour,0)),Month,'Summarized Source Data'!$A415,Sector,'Summarized Source Data'!I$2,Subsector,'Summarized Source Data'!I$3,TimeOfWeek,$E415)*INDEX(About!E$79:E$82,MATCH($B415,About!$A$79:$A$82,0),1)</f>
        <v>4916390</v>
      </c>
      <c r="J415" s="54">
        <f t="shared" si="31"/>
        <v>18336748</v>
      </c>
      <c r="K415" s="27">
        <f>(SUMIFS(INDEX(Load,,MATCH('Summarized Source Data'!$C415,Hour,0)),Month,'Summarized Source Data'!$A415,Sector,'Summarized Source Data'!K$2,Subsector,"Total",TimeOfWeek,$E415)-SUM(F415:I415))*INDEX(About!G$79:G$82,MATCH($B415,About!$A$79:$A$82,0),1)</f>
        <v>18336748</v>
      </c>
      <c r="L415" s="27">
        <f>SUMIFS(INDEX(Load,,MATCH('Summarized Source Data'!$C415,Hour,0)),Month,'Summarized Source Data'!$A415,Sector,'Summarized Source Data'!L$2,Subsector,'Summarized Source Data'!L$3,TimeOfWeek,$E415)*INDEX(About!H$79:H$82,MATCH($B415,About!$A$79:$A$82,0),1)</f>
        <v>378101</v>
      </c>
      <c r="M415" s="27">
        <f>SUMIFS(INDEX(Load,,MATCH('Summarized Source Data'!$C415,Hour,0)),Month,'Summarized Source Data'!$A415,Sector,'Summarized Source Data'!M$2,Subsector,'Summarized Source Data'!M$3,TimeOfWeek,$E415)*INDEX(About!I$79:I$82,MATCH($B415,About!$A$79:$A$82,0),1)</f>
        <v>31700000</v>
      </c>
      <c r="N415" s="27">
        <f>SUMIFS(INDEX(Load,,MATCH('Summarized Source Data'!$C415,Hour,0)),Month,'Summarized Source Data'!$A415,Sector,'Summarized Source Data'!N$2,Subsector,'Summarized Source Data'!N$3,TimeOfWeek,$E415)*INDEX(About!J$79:J$82,MATCH($B415,About!$A$79:$A$82,0),1)</f>
        <v>0</v>
      </c>
      <c r="O415" s="29">
        <f t="shared" si="32"/>
        <v>67121899</v>
      </c>
      <c r="P415" s="27">
        <f>(SUMIFS(INDEX(Load,,MATCH('Summarized Source Data'!$C415,Hour,0)),Month,'Summarized Source Data'!$A415,Sector,'Summarized Source Data'!P$2,Subsector,"Total",TimeOfWeek,$E415)-SUM(L415:N415)*INDEX(About!L$79:L$82,MATCH($B415,About!$A$79:$A$82,0),1))</f>
        <v>67121899</v>
      </c>
      <c r="Q415" s="29">
        <f t="shared" si="33"/>
        <v>67121899</v>
      </c>
      <c r="R415" s="33">
        <f>SUMIFS(INDEX(Load,,MATCH('Summarized Source Data'!$C415,Hour,0)),Month,'Summarized Source Data'!$A415,Sector,'Summarized Source Data'!R$2,TimeOfWeek,$E415)*INDEX(About!N$79:N$82,MATCH($B415,About!$A$79:$A$82,0),1)</f>
        <v>2249325</v>
      </c>
      <c r="S415" s="33">
        <f>SUMIFS(INDEX(Load,,MATCH('Summarized Source Data'!$C415,Hour,0)),Month,'Summarized Source Data'!$A415,Sector,'Summarized Source Data'!S$2,TimeOfWeek,$E415)*INDEX(About!O$79:O$82,MATCH($B415,About!$A$79:$A$82,0),1)</f>
        <v>2249325</v>
      </c>
      <c r="T415" s="33">
        <f>SUMIFS(INDEX(Load,,MATCH('Summarized Source Data'!$C415,Hour,0)),Month,'Summarized Source Data'!$A415,Sector,'Summarized Source Data'!T$2,TimeOfWeek,$E415)*INDEX(About!P$79:P$82,MATCH($B415,About!$A$79:$A$82,0),1)</f>
        <v>2249325</v>
      </c>
      <c r="U415" s="33">
        <f>SUMIFS(INDEX(Load,,MATCH('Summarized Source Data'!$C415,Hour,0)),Month,'Summarized Source Data'!$A415,Sector,'Summarized Source Data'!U$2,TimeOfWeek,$E415)*INDEX(About!Q$79:Q$82,MATCH($B415,About!$A$79:$A$82,0),1)</f>
        <v>2249325</v>
      </c>
      <c r="V415" s="33">
        <f>SUMIFS(INDEX(Load,,MATCH('Summarized Source Data'!$C415,Hour,0)),Month,'Summarized Source Data'!$A415,Sector,'Summarized Source Data'!V$2,TimeOfWeek,$E415)*INDEX(About!R$79:R$82,MATCH($B415,About!$A$79:$A$82,0),1)</f>
        <v>2249325</v>
      </c>
      <c r="W415" s="33">
        <f>SUMIFS(INDEX(Load,,MATCH('Summarized Source Data'!$C415,Hour,0)),Month,'Summarized Source Data'!$A415,Sector,'Summarized Source Data'!W$2,TimeOfWeek,$E415)*INDEX(About!S$79:S$82,MATCH($B415,About!$A$79:$A$82,0),1)</f>
        <v>2249325</v>
      </c>
      <c r="X415" s="27">
        <f>SUMIFS(INDEX(Load,,MATCH('Summarized Source Data'!$C415,Hour,0)),Month,'Summarized Source Data'!$A415,Sector,'Summarized Source Data'!X$2,Subsector,'Summarized Source Data'!X$3,TimeOfWeek,$E415)*INDEX(About!T$79:T$82,MATCH($B415,About!$A$79:$A$82,0),1)</f>
        <v>342000000</v>
      </c>
      <c r="Y415" s="29">
        <f t="shared" si="34"/>
        <v>342000000</v>
      </c>
      <c r="Z415" s="29">
        <f t="shared" si="34"/>
        <v>342000000</v>
      </c>
    </row>
    <row r="416" spans="1:26" x14ac:dyDescent="0.3">
      <c r="A416">
        <f t="shared" si="30"/>
        <v>6</v>
      </c>
      <c r="B416" t="str">
        <f>INDEX('Category Mapping'!$G$28:$G$39,MATCH(A416,'Category Mapping'!$A$28:$A$39,0),1)</f>
        <v>Summer</v>
      </c>
      <c r="C416" t="s">
        <v>67</v>
      </c>
      <c r="D416" s="6" t="s">
        <v>142</v>
      </c>
      <c r="E416" s="46" t="s">
        <v>48</v>
      </c>
      <c r="F416" s="27">
        <f>SUMIFS(INDEX(Load,,MATCH('Summarized Source Data'!$C416,Hour,0)),Month,'Summarized Source Data'!$A416,Sector,'Summarized Source Data'!F$2,Subsector,'Summarized Source Data'!F$3,TimeOfWeek,$E416)*INDEX(About!B$79:B$82,MATCH($B416,About!$A$79:$A$82,0),1)</f>
        <v>134838</v>
      </c>
      <c r="G416" s="27">
        <f>SUMIFS(INDEX(Load,,MATCH('Summarized Source Data'!$C416,Hour,0)),Month,'Summarized Source Data'!$A416,Sector,'Summarized Source Data'!G$2,Subsector,'Summarized Source Data'!G$3,TimeOfWeek,$E416)*INDEX(About!C$79:C$82,MATCH($B416,About!$A$79:$A$82,0),1)</f>
        <v>1692079</v>
      </c>
      <c r="H416" s="27">
        <f>SUMIFS(INDEX(Load,,MATCH('Summarized Source Data'!$C416,Hour,0)),Month,'Summarized Source Data'!$A416,Sector,'Summarized Source Data'!H$2,Subsector,'Summarized Source Data'!H$3,TimeOfWeek,$E416)*INDEX(About!D$79:D$82,MATCH($B416,About!$A$79:$A$82,0),1)</f>
        <v>0</v>
      </c>
      <c r="I416" s="27">
        <f>SUMIFS(INDEX(Load,,MATCH('Summarized Source Data'!$C416,Hour,0)),Month,'Summarized Source Data'!$A416,Sector,'Summarized Source Data'!I$2,Subsector,'Summarized Source Data'!I$3,TimeOfWeek,$E416)*INDEX(About!E$79:E$82,MATCH($B416,About!$A$79:$A$82,0),1)</f>
        <v>5174972</v>
      </c>
      <c r="J416" s="54">
        <f t="shared" si="31"/>
        <v>18798111</v>
      </c>
      <c r="K416" s="27">
        <f>(SUMIFS(INDEX(Load,,MATCH('Summarized Source Data'!$C416,Hour,0)),Month,'Summarized Source Data'!$A416,Sector,'Summarized Source Data'!K$2,Subsector,"Total",TimeOfWeek,$E416)-SUM(F416:I416))*INDEX(About!G$79:G$82,MATCH($B416,About!$A$79:$A$82,0),1)</f>
        <v>18798111</v>
      </c>
      <c r="L416" s="27">
        <f>SUMIFS(INDEX(Load,,MATCH('Summarized Source Data'!$C416,Hour,0)),Month,'Summarized Source Data'!$A416,Sector,'Summarized Source Data'!L$2,Subsector,'Summarized Source Data'!L$3,TimeOfWeek,$E416)*INDEX(About!H$79:H$82,MATCH($B416,About!$A$79:$A$82,0),1)</f>
        <v>374486</v>
      </c>
      <c r="M416" s="27">
        <f>SUMIFS(INDEX(Load,,MATCH('Summarized Source Data'!$C416,Hour,0)),Month,'Summarized Source Data'!$A416,Sector,'Summarized Source Data'!M$2,Subsector,'Summarized Source Data'!M$3,TimeOfWeek,$E416)*INDEX(About!I$79:I$82,MATCH($B416,About!$A$79:$A$82,0),1)</f>
        <v>32300000</v>
      </c>
      <c r="N416" s="27">
        <f>SUMIFS(INDEX(Load,,MATCH('Summarized Source Data'!$C416,Hour,0)),Month,'Summarized Source Data'!$A416,Sector,'Summarized Source Data'!N$2,Subsector,'Summarized Source Data'!N$3,TimeOfWeek,$E416)*INDEX(About!J$79:J$82,MATCH($B416,About!$A$79:$A$82,0),1)</f>
        <v>0</v>
      </c>
      <c r="O416" s="29">
        <f t="shared" si="32"/>
        <v>68325514</v>
      </c>
      <c r="P416" s="27">
        <f>(SUMIFS(INDEX(Load,,MATCH('Summarized Source Data'!$C416,Hour,0)),Month,'Summarized Source Data'!$A416,Sector,'Summarized Source Data'!P$2,Subsector,"Total",TimeOfWeek,$E416)-SUM(L416:N416)*INDEX(About!L$79:L$82,MATCH($B416,About!$A$79:$A$82,0),1))</f>
        <v>68325514</v>
      </c>
      <c r="Q416" s="29">
        <f t="shared" si="33"/>
        <v>68325514</v>
      </c>
      <c r="R416" s="33">
        <f>SUMIFS(INDEX(Load,,MATCH('Summarized Source Data'!$C416,Hour,0)),Month,'Summarized Source Data'!$A416,Sector,'Summarized Source Data'!R$2,TimeOfWeek,$E416)*INDEX(About!N$79:N$82,MATCH($B416,About!$A$79:$A$82,0),1)</f>
        <v>2237614</v>
      </c>
      <c r="S416" s="33">
        <f>SUMIFS(INDEX(Load,,MATCH('Summarized Source Data'!$C416,Hour,0)),Month,'Summarized Source Data'!$A416,Sector,'Summarized Source Data'!S$2,TimeOfWeek,$E416)*INDEX(About!O$79:O$82,MATCH($B416,About!$A$79:$A$82,0),1)</f>
        <v>2237614</v>
      </c>
      <c r="T416" s="33">
        <f>SUMIFS(INDEX(Load,,MATCH('Summarized Source Data'!$C416,Hour,0)),Month,'Summarized Source Data'!$A416,Sector,'Summarized Source Data'!T$2,TimeOfWeek,$E416)*INDEX(About!P$79:P$82,MATCH($B416,About!$A$79:$A$82,0),1)</f>
        <v>2237614</v>
      </c>
      <c r="U416" s="33">
        <f>SUMIFS(INDEX(Load,,MATCH('Summarized Source Data'!$C416,Hour,0)),Month,'Summarized Source Data'!$A416,Sector,'Summarized Source Data'!U$2,TimeOfWeek,$E416)*INDEX(About!Q$79:Q$82,MATCH($B416,About!$A$79:$A$82,0),1)</f>
        <v>2237614</v>
      </c>
      <c r="V416" s="33">
        <f>SUMIFS(INDEX(Load,,MATCH('Summarized Source Data'!$C416,Hour,0)),Month,'Summarized Source Data'!$A416,Sector,'Summarized Source Data'!V$2,TimeOfWeek,$E416)*INDEX(About!R$79:R$82,MATCH($B416,About!$A$79:$A$82,0),1)</f>
        <v>2237614</v>
      </c>
      <c r="W416" s="33">
        <f>SUMIFS(INDEX(Load,,MATCH('Summarized Source Data'!$C416,Hour,0)),Month,'Summarized Source Data'!$A416,Sector,'Summarized Source Data'!W$2,TimeOfWeek,$E416)*INDEX(About!S$79:S$82,MATCH($B416,About!$A$79:$A$82,0),1)</f>
        <v>2237614</v>
      </c>
      <c r="X416" s="27">
        <f>SUMIFS(INDEX(Load,,MATCH('Summarized Source Data'!$C416,Hour,0)),Month,'Summarized Source Data'!$A416,Sector,'Summarized Source Data'!X$2,Subsector,'Summarized Source Data'!X$3,TimeOfWeek,$E416)*INDEX(About!T$79:T$82,MATCH($B416,About!$A$79:$A$82,0),1)</f>
        <v>345000000</v>
      </c>
      <c r="Y416" s="29">
        <f t="shared" si="34"/>
        <v>345000000</v>
      </c>
      <c r="Z416" s="29">
        <f t="shared" si="34"/>
        <v>345000000</v>
      </c>
    </row>
    <row r="417" spans="1:26" x14ac:dyDescent="0.3">
      <c r="A417">
        <f t="shared" si="30"/>
        <v>6</v>
      </c>
      <c r="B417" t="str">
        <f>INDEX('Category Mapping'!$G$28:$G$39,MATCH(A417,'Category Mapping'!$A$28:$A$39,0),1)</f>
        <v>Summer</v>
      </c>
      <c r="C417" t="s">
        <v>68</v>
      </c>
      <c r="D417" s="6" t="s">
        <v>143</v>
      </c>
      <c r="E417" s="46" t="s">
        <v>48</v>
      </c>
      <c r="F417" s="27">
        <f>SUMIFS(INDEX(Load,,MATCH('Summarized Source Data'!$C417,Hour,0)),Month,'Summarized Source Data'!$A417,Sector,'Summarized Source Data'!F$2,Subsector,'Summarized Source Data'!F$3,TimeOfWeek,$E417)*INDEX(About!B$79:B$82,MATCH($B417,About!$A$79:$A$82,0),1)</f>
        <v>178191</v>
      </c>
      <c r="G417" s="27">
        <f>SUMIFS(INDEX(Load,,MATCH('Summarized Source Data'!$C417,Hour,0)),Month,'Summarized Source Data'!$A417,Sector,'Summarized Source Data'!G$2,Subsector,'Summarized Source Data'!G$3,TimeOfWeek,$E417)*INDEX(About!C$79:C$82,MATCH($B417,About!$A$79:$A$82,0),1)</f>
        <v>3355660</v>
      </c>
      <c r="H417" s="27">
        <f>SUMIFS(INDEX(Load,,MATCH('Summarized Source Data'!$C417,Hour,0)),Month,'Summarized Source Data'!$A417,Sector,'Summarized Source Data'!H$2,Subsector,'Summarized Source Data'!H$3,TimeOfWeek,$E417)*INDEX(About!D$79:D$82,MATCH($B417,About!$A$79:$A$82,0),1)</f>
        <v>0</v>
      </c>
      <c r="I417" s="27">
        <f>SUMIFS(INDEX(Load,,MATCH('Summarized Source Data'!$C417,Hour,0)),Month,'Summarized Source Data'!$A417,Sector,'Summarized Source Data'!I$2,Subsector,'Summarized Source Data'!I$3,TimeOfWeek,$E417)*INDEX(About!E$79:E$82,MATCH($B417,About!$A$79:$A$82,0),1)</f>
        <v>4363421</v>
      </c>
      <c r="J417" s="54">
        <f t="shared" si="31"/>
        <v>21602728</v>
      </c>
      <c r="K417" s="27">
        <f>(SUMIFS(INDEX(Load,,MATCH('Summarized Source Data'!$C417,Hour,0)),Month,'Summarized Source Data'!$A417,Sector,'Summarized Source Data'!K$2,Subsector,"Total",TimeOfWeek,$E417)-SUM(F417:I417))*INDEX(About!G$79:G$82,MATCH($B417,About!$A$79:$A$82,0),1)</f>
        <v>21602728</v>
      </c>
      <c r="L417" s="27">
        <f>SUMIFS(INDEX(Load,,MATCH('Summarized Source Data'!$C417,Hour,0)),Month,'Summarized Source Data'!$A417,Sector,'Summarized Source Data'!L$2,Subsector,'Summarized Source Data'!L$3,TimeOfWeek,$E417)*INDEX(About!H$79:H$82,MATCH($B417,About!$A$79:$A$82,0),1)</f>
        <v>401454</v>
      </c>
      <c r="M417" s="27">
        <f>SUMIFS(INDEX(Load,,MATCH('Summarized Source Data'!$C417,Hour,0)),Month,'Summarized Source Data'!$A417,Sector,'Summarized Source Data'!M$2,Subsector,'Summarized Source Data'!M$3,TimeOfWeek,$E417)*INDEX(About!I$79:I$82,MATCH($B417,About!$A$79:$A$82,0),1)</f>
        <v>34400000</v>
      </c>
      <c r="N417" s="27">
        <f>SUMIFS(INDEX(Load,,MATCH('Summarized Source Data'!$C417,Hour,0)),Month,'Summarized Source Data'!$A417,Sector,'Summarized Source Data'!N$2,Subsector,'Summarized Source Data'!N$3,TimeOfWeek,$E417)*INDEX(About!J$79:J$82,MATCH($B417,About!$A$79:$A$82,0),1)</f>
        <v>0</v>
      </c>
      <c r="O417" s="29">
        <f t="shared" si="32"/>
        <v>72198546</v>
      </c>
      <c r="P417" s="27">
        <f>(SUMIFS(INDEX(Load,,MATCH('Summarized Source Data'!$C417,Hour,0)),Month,'Summarized Source Data'!$A417,Sector,'Summarized Source Data'!P$2,Subsector,"Total",TimeOfWeek,$E417)-SUM(L417:N417)*INDEX(About!L$79:L$82,MATCH($B417,About!$A$79:$A$82,0),1))</f>
        <v>72198546</v>
      </c>
      <c r="Q417" s="29">
        <f t="shared" si="33"/>
        <v>72198546</v>
      </c>
      <c r="R417" s="33">
        <f>SUMIFS(INDEX(Load,,MATCH('Summarized Source Data'!$C417,Hour,0)),Month,'Summarized Source Data'!$A417,Sector,'Summarized Source Data'!R$2,TimeOfWeek,$E417)*INDEX(About!N$79:N$82,MATCH($B417,About!$A$79:$A$82,0),1)</f>
        <v>2255181</v>
      </c>
      <c r="S417" s="33">
        <f>SUMIFS(INDEX(Load,,MATCH('Summarized Source Data'!$C417,Hour,0)),Month,'Summarized Source Data'!$A417,Sector,'Summarized Source Data'!S$2,TimeOfWeek,$E417)*INDEX(About!O$79:O$82,MATCH($B417,About!$A$79:$A$82,0),1)</f>
        <v>2255181</v>
      </c>
      <c r="T417" s="33">
        <f>SUMIFS(INDEX(Load,,MATCH('Summarized Source Data'!$C417,Hour,0)),Month,'Summarized Source Data'!$A417,Sector,'Summarized Source Data'!T$2,TimeOfWeek,$E417)*INDEX(About!P$79:P$82,MATCH($B417,About!$A$79:$A$82,0),1)</f>
        <v>2255181</v>
      </c>
      <c r="U417" s="33">
        <f>SUMIFS(INDEX(Load,,MATCH('Summarized Source Data'!$C417,Hour,0)),Month,'Summarized Source Data'!$A417,Sector,'Summarized Source Data'!U$2,TimeOfWeek,$E417)*INDEX(About!Q$79:Q$82,MATCH($B417,About!$A$79:$A$82,0),1)</f>
        <v>2255181</v>
      </c>
      <c r="V417" s="33">
        <f>SUMIFS(INDEX(Load,,MATCH('Summarized Source Data'!$C417,Hour,0)),Month,'Summarized Source Data'!$A417,Sector,'Summarized Source Data'!V$2,TimeOfWeek,$E417)*INDEX(About!R$79:R$82,MATCH($B417,About!$A$79:$A$82,0),1)</f>
        <v>2255181</v>
      </c>
      <c r="W417" s="33">
        <f>SUMIFS(INDEX(Load,,MATCH('Summarized Source Data'!$C417,Hour,0)),Month,'Summarized Source Data'!$A417,Sector,'Summarized Source Data'!W$2,TimeOfWeek,$E417)*INDEX(About!S$79:S$82,MATCH($B417,About!$A$79:$A$82,0),1)</f>
        <v>2255181</v>
      </c>
      <c r="X417" s="27">
        <f>SUMIFS(INDEX(Load,,MATCH('Summarized Source Data'!$C417,Hour,0)),Month,'Summarized Source Data'!$A417,Sector,'Summarized Source Data'!X$2,Subsector,'Summarized Source Data'!X$3,TimeOfWeek,$E417)*INDEX(About!T$79:T$82,MATCH($B417,About!$A$79:$A$82,0),1)</f>
        <v>348000000</v>
      </c>
      <c r="Y417" s="29">
        <f t="shared" si="34"/>
        <v>348000000</v>
      </c>
      <c r="Z417" s="29">
        <f t="shared" si="34"/>
        <v>348000000</v>
      </c>
    </row>
    <row r="418" spans="1:26" x14ac:dyDescent="0.3">
      <c r="A418">
        <f t="shared" si="30"/>
        <v>6</v>
      </c>
      <c r="B418" t="str">
        <f>INDEX('Category Mapping'!$G$28:$G$39,MATCH(A418,'Category Mapping'!$A$28:$A$39,0),1)</f>
        <v>Summer</v>
      </c>
      <c r="C418" t="s">
        <v>69</v>
      </c>
      <c r="D418" s="6" t="s">
        <v>144</v>
      </c>
      <c r="E418" s="46" t="s">
        <v>48</v>
      </c>
      <c r="F418" s="27">
        <f>SUMIFS(INDEX(Load,,MATCH('Summarized Source Data'!$C418,Hour,0)),Month,'Summarized Source Data'!$A418,Sector,'Summarized Source Data'!F$2,Subsector,'Summarized Source Data'!F$3,TimeOfWeek,$E418)*INDEX(About!B$79:B$82,MATCH($B418,About!$A$79:$A$82,0),1)</f>
        <v>203556</v>
      </c>
      <c r="G418" s="27">
        <f>SUMIFS(INDEX(Load,,MATCH('Summarized Source Data'!$C418,Hour,0)),Month,'Summarized Source Data'!$A418,Sector,'Summarized Source Data'!G$2,Subsector,'Summarized Source Data'!G$3,TimeOfWeek,$E418)*INDEX(About!C$79:C$82,MATCH($B418,About!$A$79:$A$82,0),1)</f>
        <v>6681058</v>
      </c>
      <c r="H418" s="27">
        <f>SUMIFS(INDEX(Load,,MATCH('Summarized Source Data'!$C418,Hour,0)),Month,'Summarized Source Data'!$A418,Sector,'Summarized Source Data'!H$2,Subsector,'Summarized Source Data'!H$3,TimeOfWeek,$E418)*INDEX(About!D$79:D$82,MATCH($B418,About!$A$79:$A$82,0),1)</f>
        <v>0</v>
      </c>
      <c r="I418" s="27">
        <f>SUMIFS(INDEX(Load,,MATCH('Summarized Source Data'!$C418,Hour,0)),Month,'Summarized Source Data'!$A418,Sector,'Summarized Source Data'!I$2,Subsector,'Summarized Source Data'!I$3,TimeOfWeek,$E418)*INDEX(About!E$79:E$82,MATCH($B418,About!$A$79:$A$82,0),1)</f>
        <v>3579136</v>
      </c>
      <c r="J418" s="54">
        <f t="shared" si="31"/>
        <v>31836250</v>
      </c>
      <c r="K418" s="27">
        <f>(SUMIFS(INDEX(Load,,MATCH('Summarized Source Data'!$C418,Hour,0)),Month,'Summarized Source Data'!$A418,Sector,'Summarized Source Data'!K$2,Subsector,"Total",TimeOfWeek,$E418)-SUM(F418:I418))*INDEX(About!G$79:G$82,MATCH($B418,About!$A$79:$A$82,0),1)</f>
        <v>31836250</v>
      </c>
      <c r="L418" s="27">
        <f>SUMIFS(INDEX(Load,,MATCH('Summarized Source Data'!$C418,Hour,0)),Month,'Summarized Source Data'!$A418,Sector,'Summarized Source Data'!L$2,Subsector,'Summarized Source Data'!L$3,TimeOfWeek,$E418)*INDEX(About!H$79:H$82,MATCH($B418,About!$A$79:$A$82,0),1)</f>
        <v>460355</v>
      </c>
      <c r="M418" s="27">
        <f>SUMIFS(INDEX(Load,,MATCH('Summarized Source Data'!$C418,Hour,0)),Month,'Summarized Source Data'!$A418,Sector,'Summarized Source Data'!M$2,Subsector,'Summarized Source Data'!M$3,TimeOfWeek,$E418)*INDEX(About!I$79:I$82,MATCH($B418,About!$A$79:$A$82,0),1)</f>
        <v>39400000</v>
      </c>
      <c r="N418" s="27">
        <f>SUMIFS(INDEX(Load,,MATCH('Summarized Source Data'!$C418,Hour,0)),Month,'Summarized Source Data'!$A418,Sector,'Summarized Source Data'!N$2,Subsector,'Summarized Source Data'!N$3,TimeOfWeek,$E418)*INDEX(About!J$79:J$82,MATCH($B418,About!$A$79:$A$82,0),1)</f>
        <v>0</v>
      </c>
      <c r="O418" s="29">
        <f t="shared" si="32"/>
        <v>81139645</v>
      </c>
      <c r="P418" s="27">
        <f>(SUMIFS(INDEX(Load,,MATCH('Summarized Source Data'!$C418,Hour,0)),Month,'Summarized Source Data'!$A418,Sector,'Summarized Source Data'!P$2,Subsector,"Total",TimeOfWeek,$E418)-SUM(L418:N418)*INDEX(About!L$79:L$82,MATCH($B418,About!$A$79:$A$82,0),1))</f>
        <v>81139645</v>
      </c>
      <c r="Q418" s="29">
        <f t="shared" si="33"/>
        <v>81139645</v>
      </c>
      <c r="R418" s="33">
        <f>SUMIFS(INDEX(Load,,MATCH('Summarized Source Data'!$C418,Hour,0)),Month,'Summarized Source Data'!$A418,Sector,'Summarized Source Data'!R$2,TimeOfWeek,$E418)*INDEX(About!N$79:N$82,MATCH($B418,About!$A$79:$A$82,0),1)</f>
        <v>2802054</v>
      </c>
      <c r="S418" s="33">
        <f>SUMIFS(INDEX(Load,,MATCH('Summarized Source Data'!$C418,Hour,0)),Month,'Summarized Source Data'!$A418,Sector,'Summarized Source Data'!S$2,TimeOfWeek,$E418)*INDEX(About!O$79:O$82,MATCH($B418,About!$A$79:$A$82,0),1)</f>
        <v>2802054</v>
      </c>
      <c r="T418" s="33">
        <f>SUMIFS(INDEX(Load,,MATCH('Summarized Source Data'!$C418,Hour,0)),Month,'Summarized Source Data'!$A418,Sector,'Summarized Source Data'!T$2,TimeOfWeek,$E418)*INDEX(About!P$79:P$82,MATCH($B418,About!$A$79:$A$82,0),1)</f>
        <v>2802054</v>
      </c>
      <c r="U418" s="33">
        <f>SUMIFS(INDEX(Load,,MATCH('Summarized Source Data'!$C418,Hour,0)),Month,'Summarized Source Data'!$A418,Sector,'Summarized Source Data'!U$2,TimeOfWeek,$E418)*INDEX(About!Q$79:Q$82,MATCH($B418,About!$A$79:$A$82,0),1)</f>
        <v>2802054</v>
      </c>
      <c r="V418" s="33">
        <f>SUMIFS(INDEX(Load,,MATCH('Summarized Source Data'!$C418,Hour,0)),Month,'Summarized Source Data'!$A418,Sector,'Summarized Source Data'!V$2,TimeOfWeek,$E418)*INDEX(About!R$79:R$82,MATCH($B418,About!$A$79:$A$82,0),1)</f>
        <v>2802054</v>
      </c>
      <c r="W418" s="33">
        <f>SUMIFS(INDEX(Load,,MATCH('Summarized Source Data'!$C418,Hour,0)),Month,'Summarized Source Data'!$A418,Sector,'Summarized Source Data'!W$2,TimeOfWeek,$E418)*INDEX(About!S$79:S$82,MATCH($B418,About!$A$79:$A$82,0),1)</f>
        <v>2802054</v>
      </c>
      <c r="X418" s="27">
        <f>SUMIFS(INDEX(Load,,MATCH('Summarized Source Data'!$C418,Hour,0)),Month,'Summarized Source Data'!$A418,Sector,'Summarized Source Data'!X$2,Subsector,'Summarized Source Data'!X$3,TimeOfWeek,$E418)*INDEX(About!T$79:T$82,MATCH($B418,About!$A$79:$A$82,0),1)</f>
        <v>350000000</v>
      </c>
      <c r="Y418" s="29">
        <f t="shared" si="34"/>
        <v>350000000</v>
      </c>
      <c r="Z418" s="29">
        <f t="shared" si="34"/>
        <v>350000000</v>
      </c>
    </row>
    <row r="419" spans="1:26" x14ac:dyDescent="0.3">
      <c r="A419">
        <f t="shared" si="30"/>
        <v>6</v>
      </c>
      <c r="B419" t="str">
        <f>INDEX('Category Mapping'!$G$28:$G$39,MATCH(A419,'Category Mapping'!$A$28:$A$39,0),1)</f>
        <v>Summer</v>
      </c>
      <c r="C419" t="s">
        <v>70</v>
      </c>
      <c r="D419" s="6" t="s">
        <v>145</v>
      </c>
      <c r="E419" s="46" t="s">
        <v>48</v>
      </c>
      <c r="F419" s="27">
        <f>SUMIFS(INDEX(Load,,MATCH('Summarized Source Data'!$C419,Hour,0)),Month,'Summarized Source Data'!$A419,Sector,'Summarized Source Data'!F$2,Subsector,'Summarized Source Data'!F$3,TimeOfWeek,$E419)*INDEX(About!B$79:B$82,MATCH($B419,About!$A$79:$A$82,0),1)</f>
        <v>236264</v>
      </c>
      <c r="G419" s="27">
        <f>SUMIFS(INDEX(Load,,MATCH('Summarized Source Data'!$C419,Hour,0)),Month,'Summarized Source Data'!$A419,Sector,'Summarized Source Data'!G$2,Subsector,'Summarized Source Data'!G$3,TimeOfWeek,$E419)*INDEX(About!C$79:C$82,MATCH($B419,About!$A$79:$A$82,0),1)</f>
        <v>10400000</v>
      </c>
      <c r="H419" s="27">
        <f>SUMIFS(INDEX(Load,,MATCH('Summarized Source Data'!$C419,Hour,0)),Month,'Summarized Source Data'!$A419,Sector,'Summarized Source Data'!H$2,Subsector,'Summarized Source Data'!H$3,TimeOfWeek,$E419)*INDEX(About!D$79:D$82,MATCH($B419,About!$A$79:$A$82,0),1)</f>
        <v>0</v>
      </c>
      <c r="I419" s="27">
        <f>SUMIFS(INDEX(Load,,MATCH('Summarized Source Data'!$C419,Hour,0)),Month,'Summarized Source Data'!$A419,Sector,'Summarized Source Data'!I$2,Subsector,'Summarized Source Data'!I$3,TimeOfWeek,$E419)*INDEX(About!E$79:E$82,MATCH($B419,About!$A$79:$A$82,0),1)</f>
        <v>5357293</v>
      </c>
      <c r="J419" s="54">
        <f t="shared" si="31"/>
        <v>45306443</v>
      </c>
      <c r="K419" s="27">
        <f>(SUMIFS(INDEX(Load,,MATCH('Summarized Source Data'!$C419,Hour,0)),Month,'Summarized Source Data'!$A419,Sector,'Summarized Source Data'!K$2,Subsector,"Total",TimeOfWeek,$E419)-SUM(F419:I419))*INDEX(About!G$79:G$82,MATCH($B419,About!$A$79:$A$82,0),1)</f>
        <v>45306443</v>
      </c>
      <c r="L419" s="27">
        <f>SUMIFS(INDEX(Load,,MATCH('Summarized Source Data'!$C419,Hour,0)),Month,'Summarized Source Data'!$A419,Sector,'Summarized Source Data'!L$2,Subsector,'Summarized Source Data'!L$3,TimeOfWeek,$E419)*INDEX(About!H$79:H$82,MATCH($B419,About!$A$79:$A$82,0),1)</f>
        <v>497764</v>
      </c>
      <c r="M419" s="27">
        <f>SUMIFS(INDEX(Load,,MATCH('Summarized Source Data'!$C419,Hour,0)),Month,'Summarized Source Data'!$A419,Sector,'Summarized Source Data'!M$2,Subsector,'Summarized Source Data'!M$3,TimeOfWeek,$E419)*INDEX(About!I$79:I$82,MATCH($B419,About!$A$79:$A$82,0),1)</f>
        <v>46700000</v>
      </c>
      <c r="N419" s="27">
        <f>SUMIFS(INDEX(Load,,MATCH('Summarized Source Data'!$C419,Hour,0)),Month,'Summarized Source Data'!$A419,Sector,'Summarized Source Data'!N$2,Subsector,'Summarized Source Data'!N$3,TimeOfWeek,$E419)*INDEX(About!J$79:J$82,MATCH($B419,About!$A$79:$A$82,0),1)</f>
        <v>0</v>
      </c>
      <c r="O419" s="29">
        <f t="shared" si="32"/>
        <v>101802236</v>
      </c>
      <c r="P419" s="27">
        <f>(SUMIFS(INDEX(Load,,MATCH('Summarized Source Data'!$C419,Hour,0)),Month,'Summarized Source Data'!$A419,Sector,'Summarized Source Data'!P$2,Subsector,"Total",TimeOfWeek,$E419)-SUM(L419:N419)*INDEX(About!L$79:L$82,MATCH($B419,About!$A$79:$A$82,0),1))</f>
        <v>101802236</v>
      </c>
      <c r="Q419" s="29">
        <f t="shared" si="33"/>
        <v>101802236</v>
      </c>
      <c r="R419" s="33">
        <f>SUMIFS(INDEX(Load,,MATCH('Summarized Source Data'!$C419,Hour,0)),Month,'Summarized Source Data'!$A419,Sector,'Summarized Source Data'!R$2,TimeOfWeek,$E419)*INDEX(About!N$79:N$82,MATCH($B419,About!$A$79:$A$82,0),1)</f>
        <v>3650297</v>
      </c>
      <c r="S419" s="33">
        <f>SUMIFS(INDEX(Load,,MATCH('Summarized Source Data'!$C419,Hour,0)),Month,'Summarized Source Data'!$A419,Sector,'Summarized Source Data'!S$2,TimeOfWeek,$E419)*INDEX(About!O$79:O$82,MATCH($B419,About!$A$79:$A$82,0),1)</f>
        <v>3650297</v>
      </c>
      <c r="T419" s="33">
        <f>SUMIFS(INDEX(Load,,MATCH('Summarized Source Data'!$C419,Hour,0)),Month,'Summarized Source Data'!$A419,Sector,'Summarized Source Data'!T$2,TimeOfWeek,$E419)*INDEX(About!P$79:P$82,MATCH($B419,About!$A$79:$A$82,0),1)</f>
        <v>3650297</v>
      </c>
      <c r="U419" s="33">
        <f>SUMIFS(INDEX(Load,,MATCH('Summarized Source Data'!$C419,Hour,0)),Month,'Summarized Source Data'!$A419,Sector,'Summarized Source Data'!U$2,TimeOfWeek,$E419)*INDEX(About!Q$79:Q$82,MATCH($B419,About!$A$79:$A$82,0),1)</f>
        <v>3650297</v>
      </c>
      <c r="V419" s="33">
        <f>SUMIFS(INDEX(Load,,MATCH('Summarized Source Data'!$C419,Hour,0)),Month,'Summarized Source Data'!$A419,Sector,'Summarized Source Data'!V$2,TimeOfWeek,$E419)*INDEX(About!R$79:R$82,MATCH($B419,About!$A$79:$A$82,0),1)</f>
        <v>3650297</v>
      </c>
      <c r="W419" s="33">
        <f>SUMIFS(INDEX(Load,,MATCH('Summarized Source Data'!$C419,Hour,0)),Month,'Summarized Source Data'!$A419,Sector,'Summarized Source Data'!W$2,TimeOfWeek,$E419)*INDEX(About!S$79:S$82,MATCH($B419,About!$A$79:$A$82,0),1)</f>
        <v>3650297</v>
      </c>
      <c r="X419" s="27">
        <f>SUMIFS(INDEX(Load,,MATCH('Summarized Source Data'!$C419,Hour,0)),Month,'Summarized Source Data'!$A419,Sector,'Summarized Source Data'!X$2,Subsector,'Summarized Source Data'!X$3,TimeOfWeek,$E419)*INDEX(About!T$79:T$82,MATCH($B419,About!$A$79:$A$82,0),1)</f>
        <v>350000000</v>
      </c>
      <c r="Y419" s="29">
        <f t="shared" si="34"/>
        <v>350000000</v>
      </c>
      <c r="Z419" s="29">
        <f t="shared" si="34"/>
        <v>350000000</v>
      </c>
    </row>
    <row r="420" spans="1:26" x14ac:dyDescent="0.3">
      <c r="A420">
        <f t="shared" si="30"/>
        <v>6</v>
      </c>
      <c r="B420" t="str">
        <f>INDEX('Category Mapping'!$G$28:$G$39,MATCH(A420,'Category Mapping'!$A$28:$A$39,0),1)</f>
        <v>Summer</v>
      </c>
      <c r="C420" t="s">
        <v>71</v>
      </c>
      <c r="D420" s="6" t="s">
        <v>146</v>
      </c>
      <c r="E420" s="46" t="s">
        <v>48</v>
      </c>
      <c r="F420" s="27">
        <f>SUMIFS(INDEX(Load,,MATCH('Summarized Source Data'!$C420,Hour,0)),Month,'Summarized Source Data'!$A420,Sector,'Summarized Source Data'!F$2,Subsector,'Summarized Source Data'!F$3,TimeOfWeek,$E420)*INDEX(About!B$79:B$82,MATCH($B420,About!$A$79:$A$82,0),1)</f>
        <v>256718</v>
      </c>
      <c r="G420" s="27">
        <f>SUMIFS(INDEX(Load,,MATCH('Summarized Source Data'!$C420,Hour,0)),Month,'Summarized Source Data'!$A420,Sector,'Summarized Source Data'!G$2,Subsector,'Summarized Source Data'!G$3,TimeOfWeek,$E420)*INDEX(About!C$79:C$82,MATCH($B420,About!$A$79:$A$82,0),1)</f>
        <v>13700000</v>
      </c>
      <c r="H420" s="27">
        <f>SUMIFS(INDEX(Load,,MATCH('Summarized Source Data'!$C420,Hour,0)),Month,'Summarized Source Data'!$A420,Sector,'Summarized Source Data'!H$2,Subsector,'Summarized Source Data'!H$3,TimeOfWeek,$E420)*INDEX(About!D$79:D$82,MATCH($B420,About!$A$79:$A$82,0),1)</f>
        <v>0</v>
      </c>
      <c r="I420" s="27">
        <f>SUMIFS(INDEX(Load,,MATCH('Summarized Source Data'!$C420,Hour,0)),Month,'Summarized Source Data'!$A420,Sector,'Summarized Source Data'!I$2,Subsector,'Summarized Source Data'!I$3,TimeOfWeek,$E420)*INDEX(About!E$79:E$82,MATCH($B420,About!$A$79:$A$82,0),1)</f>
        <v>6535613</v>
      </c>
      <c r="J420" s="54">
        <f t="shared" si="31"/>
        <v>56507669</v>
      </c>
      <c r="K420" s="27">
        <f>(SUMIFS(INDEX(Load,,MATCH('Summarized Source Data'!$C420,Hour,0)),Month,'Summarized Source Data'!$A420,Sector,'Summarized Source Data'!K$2,Subsector,"Total",TimeOfWeek,$E420)-SUM(F420:I420))*INDEX(About!G$79:G$82,MATCH($B420,About!$A$79:$A$82,0),1)</f>
        <v>56507669</v>
      </c>
      <c r="L420" s="27">
        <f>SUMIFS(INDEX(Load,,MATCH('Summarized Source Data'!$C420,Hour,0)),Month,'Summarized Source Data'!$A420,Sector,'Summarized Source Data'!L$2,Subsector,'Summarized Source Data'!L$3,TimeOfWeek,$E420)*INDEX(About!H$79:H$82,MATCH($B420,About!$A$79:$A$82,0),1)</f>
        <v>406445</v>
      </c>
      <c r="M420" s="27">
        <f>SUMIFS(INDEX(Load,,MATCH('Summarized Source Data'!$C420,Hour,0)),Month,'Summarized Source Data'!$A420,Sector,'Summarized Source Data'!M$2,Subsector,'Summarized Source Data'!M$3,TimeOfWeek,$E420)*INDEX(About!I$79:I$82,MATCH($B420,About!$A$79:$A$82,0),1)</f>
        <v>55900000</v>
      </c>
      <c r="N420" s="27">
        <f>SUMIFS(INDEX(Load,,MATCH('Summarized Source Data'!$C420,Hour,0)),Month,'Summarized Source Data'!$A420,Sector,'Summarized Source Data'!N$2,Subsector,'Summarized Source Data'!N$3,TimeOfWeek,$E420)*INDEX(About!J$79:J$82,MATCH($B420,About!$A$79:$A$82,0),1)</f>
        <v>0</v>
      </c>
      <c r="O420" s="29">
        <f t="shared" si="32"/>
        <v>115693555</v>
      </c>
      <c r="P420" s="27">
        <f>(SUMIFS(INDEX(Load,,MATCH('Summarized Source Data'!$C420,Hour,0)),Month,'Summarized Source Data'!$A420,Sector,'Summarized Source Data'!P$2,Subsector,"Total",TimeOfWeek,$E420)-SUM(L420:N420)*INDEX(About!L$79:L$82,MATCH($B420,About!$A$79:$A$82,0),1))</f>
        <v>115693555</v>
      </c>
      <c r="Q420" s="29">
        <f t="shared" si="33"/>
        <v>115693555</v>
      </c>
      <c r="R420" s="33">
        <f>SUMIFS(INDEX(Load,,MATCH('Summarized Source Data'!$C420,Hour,0)),Month,'Summarized Source Data'!$A420,Sector,'Summarized Source Data'!R$2,TimeOfWeek,$E420)*INDEX(About!N$79:N$82,MATCH($B420,About!$A$79:$A$82,0),1)</f>
        <v>4381943</v>
      </c>
      <c r="S420" s="33">
        <f>SUMIFS(INDEX(Load,,MATCH('Summarized Source Data'!$C420,Hour,0)),Month,'Summarized Source Data'!$A420,Sector,'Summarized Source Data'!S$2,TimeOfWeek,$E420)*INDEX(About!O$79:O$82,MATCH($B420,About!$A$79:$A$82,0),1)</f>
        <v>4381943</v>
      </c>
      <c r="T420" s="33">
        <f>SUMIFS(INDEX(Load,,MATCH('Summarized Source Data'!$C420,Hour,0)),Month,'Summarized Source Data'!$A420,Sector,'Summarized Source Data'!T$2,TimeOfWeek,$E420)*INDEX(About!P$79:P$82,MATCH($B420,About!$A$79:$A$82,0),1)</f>
        <v>4381943</v>
      </c>
      <c r="U420" s="33">
        <f>SUMIFS(INDEX(Load,,MATCH('Summarized Source Data'!$C420,Hour,0)),Month,'Summarized Source Data'!$A420,Sector,'Summarized Source Data'!U$2,TimeOfWeek,$E420)*INDEX(About!Q$79:Q$82,MATCH($B420,About!$A$79:$A$82,0),1)</f>
        <v>4381943</v>
      </c>
      <c r="V420" s="33">
        <f>SUMIFS(INDEX(Load,,MATCH('Summarized Source Data'!$C420,Hour,0)),Month,'Summarized Source Data'!$A420,Sector,'Summarized Source Data'!V$2,TimeOfWeek,$E420)*INDEX(About!R$79:R$82,MATCH($B420,About!$A$79:$A$82,0),1)</f>
        <v>4381943</v>
      </c>
      <c r="W420" s="33">
        <f>SUMIFS(INDEX(Load,,MATCH('Summarized Source Data'!$C420,Hour,0)),Month,'Summarized Source Data'!$A420,Sector,'Summarized Source Data'!W$2,TimeOfWeek,$E420)*INDEX(About!S$79:S$82,MATCH($B420,About!$A$79:$A$82,0),1)</f>
        <v>4381943</v>
      </c>
      <c r="X420" s="27">
        <f>SUMIFS(INDEX(Load,,MATCH('Summarized Source Data'!$C420,Hour,0)),Month,'Summarized Source Data'!$A420,Sector,'Summarized Source Data'!X$2,Subsector,'Summarized Source Data'!X$3,TimeOfWeek,$E420)*INDEX(About!T$79:T$82,MATCH($B420,About!$A$79:$A$82,0),1)</f>
        <v>350000000</v>
      </c>
      <c r="Y420" s="29">
        <f t="shared" si="34"/>
        <v>350000000</v>
      </c>
      <c r="Z420" s="29">
        <f t="shared" si="34"/>
        <v>350000000</v>
      </c>
    </row>
    <row r="421" spans="1:26" x14ac:dyDescent="0.3">
      <c r="A421">
        <f t="shared" ref="A421:A484" si="35">A133</f>
        <v>6</v>
      </c>
      <c r="B421" t="str">
        <f>INDEX('Category Mapping'!$G$28:$G$39,MATCH(A421,'Category Mapping'!$A$28:$A$39,0),1)</f>
        <v>Summer</v>
      </c>
      <c r="C421" t="s">
        <v>72</v>
      </c>
      <c r="D421" s="6" t="s">
        <v>147</v>
      </c>
      <c r="E421" s="46" t="s">
        <v>48</v>
      </c>
      <c r="F421" s="27">
        <f>SUMIFS(INDEX(Load,,MATCH('Summarized Source Data'!$C421,Hour,0)),Month,'Summarized Source Data'!$A421,Sector,'Summarized Source Data'!F$2,Subsector,'Summarized Source Data'!F$3,TimeOfWeek,$E421)*INDEX(About!B$79:B$82,MATCH($B421,About!$A$79:$A$82,0),1)</f>
        <v>260823</v>
      </c>
      <c r="G421" s="27">
        <f>SUMIFS(INDEX(Load,,MATCH('Summarized Source Data'!$C421,Hour,0)),Month,'Summarized Source Data'!$A421,Sector,'Summarized Source Data'!G$2,Subsector,'Summarized Source Data'!G$3,TimeOfWeek,$E421)*INDEX(About!C$79:C$82,MATCH($B421,About!$A$79:$A$82,0),1)</f>
        <v>15800000</v>
      </c>
      <c r="H421" s="27">
        <f>SUMIFS(INDEX(Load,,MATCH('Summarized Source Data'!$C421,Hour,0)),Month,'Summarized Source Data'!$A421,Sector,'Summarized Source Data'!H$2,Subsector,'Summarized Source Data'!H$3,TimeOfWeek,$E421)*INDEX(About!D$79:D$82,MATCH($B421,About!$A$79:$A$82,0),1)</f>
        <v>0</v>
      </c>
      <c r="I421" s="27">
        <f>SUMIFS(INDEX(Load,,MATCH('Summarized Source Data'!$C421,Hour,0)),Month,'Summarized Source Data'!$A421,Sector,'Summarized Source Data'!I$2,Subsector,'Summarized Source Data'!I$3,TimeOfWeek,$E421)*INDEX(About!E$79:E$82,MATCH($B421,About!$A$79:$A$82,0),1)</f>
        <v>6772073</v>
      </c>
      <c r="J421" s="54">
        <f t="shared" si="31"/>
        <v>71367104</v>
      </c>
      <c r="K421" s="27">
        <f>(SUMIFS(INDEX(Load,,MATCH('Summarized Source Data'!$C421,Hour,0)),Month,'Summarized Source Data'!$A421,Sector,'Summarized Source Data'!K$2,Subsector,"Total",TimeOfWeek,$E421)-SUM(F421:I421))*INDEX(About!G$79:G$82,MATCH($B421,About!$A$79:$A$82,0),1)</f>
        <v>71367104</v>
      </c>
      <c r="L421" s="27">
        <f>SUMIFS(INDEX(Load,,MATCH('Summarized Source Data'!$C421,Hour,0)),Month,'Summarized Source Data'!$A421,Sector,'Summarized Source Data'!L$2,Subsector,'Summarized Source Data'!L$3,TimeOfWeek,$E421)*INDEX(About!H$79:H$82,MATCH($B421,About!$A$79:$A$82,0),1)</f>
        <v>344482</v>
      </c>
      <c r="M421" s="27">
        <f>SUMIFS(INDEX(Load,,MATCH('Summarized Source Data'!$C421,Hour,0)),Month,'Summarized Source Data'!$A421,Sector,'Summarized Source Data'!M$2,Subsector,'Summarized Source Data'!M$3,TimeOfWeek,$E421)*INDEX(About!I$79:I$82,MATCH($B421,About!$A$79:$A$82,0),1)</f>
        <v>64000000</v>
      </c>
      <c r="N421" s="27">
        <f>SUMIFS(INDEX(Load,,MATCH('Summarized Source Data'!$C421,Hour,0)),Month,'Summarized Source Data'!$A421,Sector,'Summarized Source Data'!N$2,Subsector,'Summarized Source Data'!N$3,TimeOfWeek,$E421)*INDEX(About!J$79:J$82,MATCH($B421,About!$A$79:$A$82,0),1)</f>
        <v>0</v>
      </c>
      <c r="O421" s="29">
        <f t="shared" si="32"/>
        <v>126655518</v>
      </c>
      <c r="P421" s="27">
        <f>(SUMIFS(INDEX(Load,,MATCH('Summarized Source Data'!$C421,Hour,0)),Month,'Summarized Source Data'!$A421,Sector,'Summarized Source Data'!P$2,Subsector,"Total",TimeOfWeek,$E421)-SUM(L421:N421)*INDEX(About!L$79:L$82,MATCH($B421,About!$A$79:$A$82,0),1))</f>
        <v>126655518</v>
      </c>
      <c r="Q421" s="29">
        <f t="shared" si="33"/>
        <v>126655518</v>
      </c>
      <c r="R421" s="33">
        <f>SUMIFS(INDEX(Load,,MATCH('Summarized Source Data'!$C421,Hour,0)),Month,'Summarized Source Data'!$A421,Sector,'Summarized Source Data'!R$2,TimeOfWeek,$E421)*INDEX(About!N$79:N$82,MATCH($B421,About!$A$79:$A$82,0),1)</f>
        <v>4993556</v>
      </c>
      <c r="S421" s="33">
        <f>SUMIFS(INDEX(Load,,MATCH('Summarized Source Data'!$C421,Hour,0)),Month,'Summarized Source Data'!$A421,Sector,'Summarized Source Data'!S$2,TimeOfWeek,$E421)*INDEX(About!O$79:O$82,MATCH($B421,About!$A$79:$A$82,0),1)</f>
        <v>4993556</v>
      </c>
      <c r="T421" s="33">
        <f>SUMIFS(INDEX(Load,,MATCH('Summarized Source Data'!$C421,Hour,0)),Month,'Summarized Source Data'!$A421,Sector,'Summarized Source Data'!T$2,TimeOfWeek,$E421)*INDEX(About!P$79:P$82,MATCH($B421,About!$A$79:$A$82,0),1)</f>
        <v>4993556</v>
      </c>
      <c r="U421" s="33">
        <f>SUMIFS(INDEX(Load,,MATCH('Summarized Source Data'!$C421,Hour,0)),Month,'Summarized Source Data'!$A421,Sector,'Summarized Source Data'!U$2,TimeOfWeek,$E421)*INDEX(About!Q$79:Q$82,MATCH($B421,About!$A$79:$A$82,0),1)</f>
        <v>4993556</v>
      </c>
      <c r="V421" s="33">
        <f>SUMIFS(INDEX(Load,,MATCH('Summarized Source Data'!$C421,Hour,0)),Month,'Summarized Source Data'!$A421,Sector,'Summarized Source Data'!V$2,TimeOfWeek,$E421)*INDEX(About!R$79:R$82,MATCH($B421,About!$A$79:$A$82,0),1)</f>
        <v>4993556</v>
      </c>
      <c r="W421" s="33">
        <f>SUMIFS(INDEX(Load,,MATCH('Summarized Source Data'!$C421,Hour,0)),Month,'Summarized Source Data'!$A421,Sector,'Summarized Source Data'!W$2,TimeOfWeek,$E421)*INDEX(About!S$79:S$82,MATCH($B421,About!$A$79:$A$82,0),1)</f>
        <v>4993556</v>
      </c>
      <c r="X421" s="27">
        <f>SUMIFS(INDEX(Load,,MATCH('Summarized Source Data'!$C421,Hour,0)),Month,'Summarized Source Data'!$A421,Sector,'Summarized Source Data'!X$2,Subsector,'Summarized Source Data'!X$3,TimeOfWeek,$E421)*INDEX(About!T$79:T$82,MATCH($B421,About!$A$79:$A$82,0),1)</f>
        <v>348000000</v>
      </c>
      <c r="Y421" s="29">
        <f t="shared" ref="Y421:Z452" si="36">$X421</f>
        <v>348000000</v>
      </c>
      <c r="Z421" s="29">
        <f t="shared" si="36"/>
        <v>348000000</v>
      </c>
    </row>
    <row r="422" spans="1:26" x14ac:dyDescent="0.3">
      <c r="A422">
        <f t="shared" si="35"/>
        <v>6</v>
      </c>
      <c r="B422" t="str">
        <f>INDEX('Category Mapping'!$G$28:$G$39,MATCH(A422,'Category Mapping'!$A$28:$A$39,0),1)</f>
        <v>Summer</v>
      </c>
      <c r="C422" t="s">
        <v>73</v>
      </c>
      <c r="D422" s="6" t="s">
        <v>148</v>
      </c>
      <c r="E422" s="46" t="s">
        <v>48</v>
      </c>
      <c r="F422" s="27">
        <f>SUMIFS(INDEX(Load,,MATCH('Summarized Source Data'!$C422,Hour,0)),Month,'Summarized Source Data'!$A422,Sector,'Summarized Source Data'!F$2,Subsector,'Summarized Source Data'!F$3,TimeOfWeek,$E422)*INDEX(About!B$79:B$82,MATCH($B422,About!$A$79:$A$82,0),1)</f>
        <v>261524</v>
      </c>
      <c r="G422" s="27">
        <f>SUMIFS(INDEX(Load,,MATCH('Summarized Source Data'!$C422,Hour,0)),Month,'Summarized Source Data'!$A422,Sector,'Summarized Source Data'!G$2,Subsector,'Summarized Source Data'!G$3,TimeOfWeek,$E422)*INDEX(About!C$79:C$82,MATCH($B422,About!$A$79:$A$82,0),1)</f>
        <v>18200000</v>
      </c>
      <c r="H422" s="27">
        <f>SUMIFS(INDEX(Load,,MATCH('Summarized Source Data'!$C422,Hour,0)),Month,'Summarized Source Data'!$A422,Sector,'Summarized Source Data'!H$2,Subsector,'Summarized Source Data'!H$3,TimeOfWeek,$E422)*INDEX(About!D$79:D$82,MATCH($B422,About!$A$79:$A$82,0),1)</f>
        <v>0</v>
      </c>
      <c r="I422" s="27">
        <f>SUMIFS(INDEX(Load,,MATCH('Summarized Source Data'!$C422,Hour,0)),Month,'Summarized Source Data'!$A422,Sector,'Summarized Source Data'!I$2,Subsector,'Summarized Source Data'!I$3,TimeOfWeek,$E422)*INDEX(About!E$79:E$82,MATCH($B422,About!$A$79:$A$82,0),1)</f>
        <v>6812470</v>
      </c>
      <c r="J422" s="54">
        <f t="shared" si="31"/>
        <v>88726006</v>
      </c>
      <c r="K422" s="27">
        <f>(SUMIFS(INDEX(Load,,MATCH('Summarized Source Data'!$C422,Hour,0)),Month,'Summarized Source Data'!$A422,Sector,'Summarized Source Data'!K$2,Subsector,"Total",TimeOfWeek,$E422)-SUM(F422:I422))*INDEX(About!G$79:G$82,MATCH($B422,About!$A$79:$A$82,0),1)</f>
        <v>88726006</v>
      </c>
      <c r="L422" s="27">
        <f>SUMIFS(INDEX(Load,,MATCH('Summarized Source Data'!$C422,Hour,0)),Month,'Summarized Source Data'!$A422,Sector,'Summarized Source Data'!L$2,Subsector,'Summarized Source Data'!L$3,TimeOfWeek,$E422)*INDEX(About!H$79:H$82,MATCH($B422,About!$A$79:$A$82,0),1)</f>
        <v>302390</v>
      </c>
      <c r="M422" s="27">
        <f>SUMIFS(INDEX(Load,,MATCH('Summarized Source Data'!$C422,Hour,0)),Month,'Summarized Source Data'!$A422,Sector,'Summarized Source Data'!M$2,Subsector,'Summarized Source Data'!M$3,TimeOfWeek,$E422)*INDEX(About!I$79:I$82,MATCH($B422,About!$A$79:$A$82,0),1)</f>
        <v>70800000</v>
      </c>
      <c r="N422" s="27">
        <f>SUMIFS(INDEX(Load,,MATCH('Summarized Source Data'!$C422,Hour,0)),Month,'Summarized Source Data'!$A422,Sector,'Summarized Source Data'!N$2,Subsector,'Summarized Source Data'!N$3,TimeOfWeek,$E422)*INDEX(About!J$79:J$82,MATCH($B422,About!$A$79:$A$82,0),1)</f>
        <v>0</v>
      </c>
      <c r="O422" s="29">
        <f t="shared" si="32"/>
        <v>124897610</v>
      </c>
      <c r="P422" s="27">
        <f>(SUMIFS(INDEX(Load,,MATCH('Summarized Source Data'!$C422,Hour,0)),Month,'Summarized Source Data'!$A422,Sector,'Summarized Source Data'!P$2,Subsector,"Total",TimeOfWeek,$E422)-SUM(L422:N422)*INDEX(About!L$79:L$82,MATCH($B422,About!$A$79:$A$82,0),1))</f>
        <v>124897610</v>
      </c>
      <c r="Q422" s="29">
        <f t="shared" si="33"/>
        <v>124897610</v>
      </c>
      <c r="R422" s="33">
        <f>SUMIFS(INDEX(Load,,MATCH('Summarized Source Data'!$C422,Hour,0)),Month,'Summarized Source Data'!$A422,Sector,'Summarized Source Data'!R$2,TimeOfWeek,$E422)*INDEX(About!N$79:N$82,MATCH($B422,About!$A$79:$A$82,0),1)</f>
        <v>5298687</v>
      </c>
      <c r="S422" s="33">
        <f>SUMIFS(INDEX(Load,,MATCH('Summarized Source Data'!$C422,Hour,0)),Month,'Summarized Source Data'!$A422,Sector,'Summarized Source Data'!S$2,TimeOfWeek,$E422)*INDEX(About!O$79:O$82,MATCH($B422,About!$A$79:$A$82,0),1)</f>
        <v>5298687</v>
      </c>
      <c r="T422" s="33">
        <f>SUMIFS(INDEX(Load,,MATCH('Summarized Source Data'!$C422,Hour,0)),Month,'Summarized Source Data'!$A422,Sector,'Summarized Source Data'!T$2,TimeOfWeek,$E422)*INDEX(About!P$79:P$82,MATCH($B422,About!$A$79:$A$82,0),1)</f>
        <v>5298687</v>
      </c>
      <c r="U422" s="33">
        <f>SUMIFS(INDEX(Load,,MATCH('Summarized Source Data'!$C422,Hour,0)),Month,'Summarized Source Data'!$A422,Sector,'Summarized Source Data'!U$2,TimeOfWeek,$E422)*INDEX(About!Q$79:Q$82,MATCH($B422,About!$A$79:$A$82,0),1)</f>
        <v>5298687</v>
      </c>
      <c r="V422" s="33">
        <f>SUMIFS(INDEX(Load,,MATCH('Summarized Source Data'!$C422,Hour,0)),Month,'Summarized Source Data'!$A422,Sector,'Summarized Source Data'!V$2,TimeOfWeek,$E422)*INDEX(About!R$79:R$82,MATCH($B422,About!$A$79:$A$82,0),1)</f>
        <v>5298687</v>
      </c>
      <c r="W422" s="33">
        <f>SUMIFS(INDEX(Load,,MATCH('Summarized Source Data'!$C422,Hour,0)),Month,'Summarized Source Data'!$A422,Sector,'Summarized Source Data'!W$2,TimeOfWeek,$E422)*INDEX(About!S$79:S$82,MATCH($B422,About!$A$79:$A$82,0),1)</f>
        <v>5298687</v>
      </c>
      <c r="X422" s="27">
        <f>SUMIFS(INDEX(Load,,MATCH('Summarized Source Data'!$C422,Hour,0)),Month,'Summarized Source Data'!$A422,Sector,'Summarized Source Data'!X$2,Subsector,'Summarized Source Data'!X$3,TimeOfWeek,$E422)*INDEX(About!T$79:T$82,MATCH($B422,About!$A$79:$A$82,0),1)</f>
        <v>347000000</v>
      </c>
      <c r="Y422" s="29">
        <f t="shared" si="36"/>
        <v>347000000</v>
      </c>
      <c r="Z422" s="29">
        <f t="shared" si="36"/>
        <v>347000000</v>
      </c>
    </row>
    <row r="423" spans="1:26" x14ac:dyDescent="0.3">
      <c r="A423">
        <f t="shared" si="35"/>
        <v>6</v>
      </c>
      <c r="B423" t="str">
        <f>INDEX('Category Mapping'!$G$28:$G$39,MATCH(A423,'Category Mapping'!$A$28:$A$39,0),1)</f>
        <v>Summer</v>
      </c>
      <c r="C423" t="s">
        <v>74</v>
      </c>
      <c r="D423" s="6" t="s">
        <v>149</v>
      </c>
      <c r="E423" s="46" t="s">
        <v>48</v>
      </c>
      <c r="F423" s="27">
        <f>SUMIFS(INDEX(Load,,MATCH('Summarized Source Data'!$C423,Hour,0)),Month,'Summarized Source Data'!$A423,Sector,'Summarized Source Data'!F$2,Subsector,'Summarized Source Data'!F$3,TimeOfWeek,$E423)*INDEX(About!B$79:B$82,MATCH($B423,About!$A$79:$A$82,0),1)</f>
        <v>201322</v>
      </c>
      <c r="G423" s="27">
        <f>SUMIFS(INDEX(Load,,MATCH('Summarized Source Data'!$C423,Hour,0)),Month,'Summarized Source Data'!$A423,Sector,'Summarized Source Data'!G$2,Subsector,'Summarized Source Data'!G$3,TimeOfWeek,$E423)*INDEX(About!C$79:C$82,MATCH($B423,About!$A$79:$A$82,0),1)</f>
        <v>22000000</v>
      </c>
      <c r="H423" s="27">
        <f>SUMIFS(INDEX(Load,,MATCH('Summarized Source Data'!$C423,Hour,0)),Month,'Summarized Source Data'!$A423,Sector,'Summarized Source Data'!H$2,Subsector,'Summarized Source Data'!H$3,TimeOfWeek,$E423)*INDEX(About!D$79:D$82,MATCH($B423,About!$A$79:$A$82,0),1)</f>
        <v>0</v>
      </c>
      <c r="I423" s="27">
        <f>SUMIFS(INDEX(Load,,MATCH('Summarized Source Data'!$C423,Hour,0)),Month,'Summarized Source Data'!$A423,Sector,'Summarized Source Data'!I$2,Subsector,'Summarized Source Data'!I$3,TimeOfWeek,$E423)*INDEX(About!E$79:E$82,MATCH($B423,About!$A$79:$A$82,0),1)</f>
        <v>7228189</v>
      </c>
      <c r="J423" s="54">
        <f t="shared" si="31"/>
        <v>99570489</v>
      </c>
      <c r="K423" s="27">
        <f>(SUMIFS(INDEX(Load,,MATCH('Summarized Source Data'!$C423,Hour,0)),Month,'Summarized Source Data'!$A423,Sector,'Summarized Source Data'!K$2,Subsector,"Total",TimeOfWeek,$E423)-SUM(F423:I423))*INDEX(About!G$79:G$82,MATCH($B423,About!$A$79:$A$82,0),1)</f>
        <v>99570489</v>
      </c>
      <c r="L423" s="27">
        <f>SUMIFS(INDEX(Load,,MATCH('Summarized Source Data'!$C423,Hour,0)),Month,'Summarized Source Data'!$A423,Sector,'Summarized Source Data'!L$2,Subsector,'Summarized Source Data'!L$3,TimeOfWeek,$E423)*INDEX(About!H$79:H$82,MATCH($B423,About!$A$79:$A$82,0),1)</f>
        <v>276374</v>
      </c>
      <c r="M423" s="27">
        <f>SUMIFS(INDEX(Load,,MATCH('Summarized Source Data'!$C423,Hour,0)),Month,'Summarized Source Data'!$A423,Sector,'Summarized Source Data'!M$2,Subsector,'Summarized Source Data'!M$3,TimeOfWeek,$E423)*INDEX(About!I$79:I$82,MATCH($B423,About!$A$79:$A$82,0),1)</f>
        <v>75900000</v>
      </c>
      <c r="N423" s="27">
        <f>SUMIFS(INDEX(Load,,MATCH('Summarized Source Data'!$C423,Hour,0)),Month,'Summarized Source Data'!$A423,Sector,'Summarized Source Data'!N$2,Subsector,'Summarized Source Data'!N$3,TimeOfWeek,$E423)*INDEX(About!J$79:J$82,MATCH($B423,About!$A$79:$A$82,0),1)</f>
        <v>0</v>
      </c>
      <c r="O423" s="29">
        <f t="shared" si="32"/>
        <v>125823626</v>
      </c>
      <c r="P423" s="27">
        <f>(SUMIFS(INDEX(Load,,MATCH('Summarized Source Data'!$C423,Hour,0)),Month,'Summarized Source Data'!$A423,Sector,'Summarized Source Data'!P$2,Subsector,"Total",TimeOfWeek,$E423)-SUM(L423:N423)*INDEX(About!L$79:L$82,MATCH($B423,About!$A$79:$A$82,0),1))</f>
        <v>125823626</v>
      </c>
      <c r="Q423" s="29">
        <f t="shared" si="33"/>
        <v>125823626</v>
      </c>
      <c r="R423" s="33">
        <f>SUMIFS(INDEX(Load,,MATCH('Summarized Source Data'!$C423,Hour,0)),Month,'Summarized Source Data'!$A423,Sector,'Summarized Source Data'!R$2,TimeOfWeek,$E423)*INDEX(About!N$79:N$82,MATCH($B423,About!$A$79:$A$82,0),1)</f>
        <v>5480206</v>
      </c>
      <c r="S423" s="33">
        <f>SUMIFS(INDEX(Load,,MATCH('Summarized Source Data'!$C423,Hour,0)),Month,'Summarized Source Data'!$A423,Sector,'Summarized Source Data'!S$2,TimeOfWeek,$E423)*INDEX(About!O$79:O$82,MATCH($B423,About!$A$79:$A$82,0),1)</f>
        <v>5480206</v>
      </c>
      <c r="T423" s="33">
        <f>SUMIFS(INDEX(Load,,MATCH('Summarized Source Data'!$C423,Hour,0)),Month,'Summarized Source Data'!$A423,Sector,'Summarized Source Data'!T$2,TimeOfWeek,$E423)*INDEX(About!P$79:P$82,MATCH($B423,About!$A$79:$A$82,0),1)</f>
        <v>5480206</v>
      </c>
      <c r="U423" s="33">
        <f>SUMIFS(INDEX(Load,,MATCH('Summarized Source Data'!$C423,Hour,0)),Month,'Summarized Source Data'!$A423,Sector,'Summarized Source Data'!U$2,TimeOfWeek,$E423)*INDEX(About!Q$79:Q$82,MATCH($B423,About!$A$79:$A$82,0),1)</f>
        <v>5480206</v>
      </c>
      <c r="V423" s="33">
        <f>SUMIFS(INDEX(Load,,MATCH('Summarized Source Data'!$C423,Hour,0)),Month,'Summarized Source Data'!$A423,Sector,'Summarized Source Data'!V$2,TimeOfWeek,$E423)*INDEX(About!R$79:R$82,MATCH($B423,About!$A$79:$A$82,0),1)</f>
        <v>5480206</v>
      </c>
      <c r="W423" s="33">
        <f>SUMIFS(INDEX(Load,,MATCH('Summarized Source Data'!$C423,Hour,0)),Month,'Summarized Source Data'!$A423,Sector,'Summarized Source Data'!W$2,TimeOfWeek,$E423)*INDEX(About!S$79:S$82,MATCH($B423,About!$A$79:$A$82,0),1)</f>
        <v>5480206</v>
      </c>
      <c r="X423" s="27">
        <f>SUMIFS(INDEX(Load,,MATCH('Summarized Source Data'!$C423,Hour,0)),Month,'Summarized Source Data'!$A423,Sector,'Summarized Source Data'!X$2,Subsector,'Summarized Source Data'!X$3,TimeOfWeek,$E423)*INDEX(About!T$79:T$82,MATCH($B423,About!$A$79:$A$82,0),1)</f>
        <v>347000000</v>
      </c>
      <c r="Y423" s="29">
        <f t="shared" si="36"/>
        <v>347000000</v>
      </c>
      <c r="Z423" s="29">
        <f t="shared" si="36"/>
        <v>347000000</v>
      </c>
    </row>
    <row r="424" spans="1:26" x14ac:dyDescent="0.3">
      <c r="A424">
        <f t="shared" si="35"/>
        <v>6</v>
      </c>
      <c r="B424" t="str">
        <f>INDEX('Category Mapping'!$G$28:$G$39,MATCH(A424,'Category Mapping'!$A$28:$A$39,0),1)</f>
        <v>Summer</v>
      </c>
      <c r="C424" t="s">
        <v>75</v>
      </c>
      <c r="D424" s="6" t="s">
        <v>150</v>
      </c>
      <c r="E424" s="46" t="s">
        <v>48</v>
      </c>
      <c r="F424" s="27">
        <f>SUMIFS(INDEX(Load,,MATCH('Summarized Source Data'!$C424,Hour,0)),Month,'Summarized Source Data'!$A424,Sector,'Summarized Source Data'!F$2,Subsector,'Summarized Source Data'!F$3,TimeOfWeek,$E424)*INDEX(About!B$79:B$82,MATCH($B424,About!$A$79:$A$82,0),1)</f>
        <v>205683</v>
      </c>
      <c r="G424" s="27">
        <f>SUMIFS(INDEX(Load,,MATCH('Summarized Source Data'!$C424,Hour,0)),Month,'Summarized Source Data'!$A424,Sector,'Summarized Source Data'!G$2,Subsector,'Summarized Source Data'!G$3,TimeOfWeek,$E424)*INDEX(About!C$79:C$82,MATCH($B424,About!$A$79:$A$82,0),1)</f>
        <v>25400000</v>
      </c>
      <c r="H424" s="27">
        <f>SUMIFS(INDEX(Load,,MATCH('Summarized Source Data'!$C424,Hour,0)),Month,'Summarized Source Data'!$A424,Sector,'Summarized Source Data'!H$2,Subsector,'Summarized Source Data'!H$3,TimeOfWeek,$E424)*INDEX(About!D$79:D$82,MATCH($B424,About!$A$79:$A$82,0),1)</f>
        <v>0</v>
      </c>
      <c r="I424" s="27">
        <f>SUMIFS(INDEX(Load,,MATCH('Summarized Source Data'!$C424,Hour,0)),Month,'Summarized Source Data'!$A424,Sector,'Summarized Source Data'!I$2,Subsector,'Summarized Source Data'!I$3,TimeOfWeek,$E424)*INDEX(About!E$79:E$82,MATCH($B424,About!$A$79:$A$82,0),1)</f>
        <v>7479398</v>
      </c>
      <c r="J424" s="54">
        <f t="shared" si="31"/>
        <v>89914919</v>
      </c>
      <c r="K424" s="27">
        <f>(SUMIFS(INDEX(Load,,MATCH('Summarized Source Data'!$C424,Hour,0)),Month,'Summarized Source Data'!$A424,Sector,'Summarized Source Data'!K$2,Subsector,"Total",TimeOfWeek,$E424)-SUM(F424:I424))*INDEX(About!G$79:G$82,MATCH($B424,About!$A$79:$A$82,0),1)</f>
        <v>89914919</v>
      </c>
      <c r="L424" s="27">
        <f>SUMIFS(INDEX(Load,,MATCH('Summarized Source Data'!$C424,Hour,0)),Month,'Summarized Source Data'!$A424,Sector,'Summarized Source Data'!L$2,Subsector,'Summarized Source Data'!L$3,TimeOfWeek,$E424)*INDEX(About!H$79:H$82,MATCH($B424,About!$A$79:$A$82,0),1)</f>
        <v>256294</v>
      </c>
      <c r="M424" s="27">
        <f>SUMIFS(INDEX(Load,,MATCH('Summarized Source Data'!$C424,Hour,0)),Month,'Summarized Source Data'!$A424,Sector,'Summarized Source Data'!M$2,Subsector,'Summarized Source Data'!M$3,TimeOfWeek,$E424)*INDEX(About!I$79:I$82,MATCH($B424,About!$A$79:$A$82,0),1)</f>
        <v>80000000</v>
      </c>
      <c r="N424" s="27">
        <f>SUMIFS(INDEX(Load,,MATCH('Summarized Source Data'!$C424,Hour,0)),Month,'Summarized Source Data'!$A424,Sector,'Summarized Source Data'!N$2,Subsector,'Summarized Source Data'!N$3,TimeOfWeek,$E424)*INDEX(About!J$79:J$82,MATCH($B424,About!$A$79:$A$82,0),1)</f>
        <v>0</v>
      </c>
      <c r="O424" s="29">
        <f t="shared" si="32"/>
        <v>124743706</v>
      </c>
      <c r="P424" s="27">
        <f>(SUMIFS(INDEX(Load,,MATCH('Summarized Source Data'!$C424,Hour,0)),Month,'Summarized Source Data'!$A424,Sector,'Summarized Source Data'!P$2,Subsector,"Total",TimeOfWeek,$E424)-SUM(L424:N424)*INDEX(About!L$79:L$82,MATCH($B424,About!$A$79:$A$82,0),1))</f>
        <v>124743706</v>
      </c>
      <c r="Q424" s="29">
        <f t="shared" si="33"/>
        <v>124743706</v>
      </c>
      <c r="R424" s="33">
        <f>SUMIFS(INDEX(Load,,MATCH('Summarized Source Data'!$C424,Hour,0)),Month,'Summarized Source Data'!$A424,Sector,'Summarized Source Data'!R$2,TimeOfWeek,$E424)*INDEX(About!N$79:N$82,MATCH($B424,About!$A$79:$A$82,0),1)</f>
        <v>5368305</v>
      </c>
      <c r="S424" s="33">
        <f>SUMIFS(INDEX(Load,,MATCH('Summarized Source Data'!$C424,Hour,0)),Month,'Summarized Source Data'!$A424,Sector,'Summarized Source Data'!S$2,TimeOfWeek,$E424)*INDEX(About!O$79:O$82,MATCH($B424,About!$A$79:$A$82,0),1)</f>
        <v>5368305</v>
      </c>
      <c r="T424" s="33">
        <f>SUMIFS(INDEX(Load,,MATCH('Summarized Source Data'!$C424,Hour,0)),Month,'Summarized Source Data'!$A424,Sector,'Summarized Source Data'!T$2,TimeOfWeek,$E424)*INDEX(About!P$79:P$82,MATCH($B424,About!$A$79:$A$82,0),1)</f>
        <v>5368305</v>
      </c>
      <c r="U424" s="33">
        <f>SUMIFS(INDEX(Load,,MATCH('Summarized Source Data'!$C424,Hour,0)),Month,'Summarized Source Data'!$A424,Sector,'Summarized Source Data'!U$2,TimeOfWeek,$E424)*INDEX(About!Q$79:Q$82,MATCH($B424,About!$A$79:$A$82,0),1)</f>
        <v>5368305</v>
      </c>
      <c r="V424" s="33">
        <f>SUMIFS(INDEX(Load,,MATCH('Summarized Source Data'!$C424,Hour,0)),Month,'Summarized Source Data'!$A424,Sector,'Summarized Source Data'!V$2,TimeOfWeek,$E424)*INDEX(About!R$79:R$82,MATCH($B424,About!$A$79:$A$82,0),1)</f>
        <v>5368305</v>
      </c>
      <c r="W424" s="33">
        <f>SUMIFS(INDEX(Load,,MATCH('Summarized Source Data'!$C424,Hour,0)),Month,'Summarized Source Data'!$A424,Sector,'Summarized Source Data'!W$2,TimeOfWeek,$E424)*INDEX(About!S$79:S$82,MATCH($B424,About!$A$79:$A$82,0),1)</f>
        <v>5368305</v>
      </c>
      <c r="X424" s="27">
        <f>SUMIFS(INDEX(Load,,MATCH('Summarized Source Data'!$C424,Hour,0)),Month,'Summarized Source Data'!$A424,Sector,'Summarized Source Data'!X$2,Subsector,'Summarized Source Data'!X$3,TimeOfWeek,$E424)*INDEX(About!T$79:T$82,MATCH($B424,About!$A$79:$A$82,0),1)</f>
        <v>346000000</v>
      </c>
      <c r="Y424" s="29">
        <f t="shared" si="36"/>
        <v>346000000</v>
      </c>
      <c r="Z424" s="29">
        <f t="shared" si="36"/>
        <v>346000000</v>
      </c>
    </row>
    <row r="425" spans="1:26" x14ac:dyDescent="0.3">
      <c r="A425">
        <f t="shared" si="35"/>
        <v>6</v>
      </c>
      <c r="B425" t="str">
        <f>INDEX('Category Mapping'!$G$28:$G$39,MATCH(A425,'Category Mapping'!$A$28:$A$39,0),1)</f>
        <v>Summer</v>
      </c>
      <c r="C425" t="s">
        <v>76</v>
      </c>
      <c r="D425" s="6" t="s">
        <v>151</v>
      </c>
      <c r="E425" s="46" t="s">
        <v>48</v>
      </c>
      <c r="F425" s="27">
        <f>SUMIFS(INDEX(Load,,MATCH('Summarized Source Data'!$C425,Hour,0)),Month,'Summarized Source Data'!$A425,Sector,'Summarized Source Data'!F$2,Subsector,'Summarized Source Data'!F$3,TimeOfWeek,$E425)*INDEX(About!B$79:B$82,MATCH($B425,About!$A$79:$A$82,0),1)</f>
        <v>205517</v>
      </c>
      <c r="G425" s="27">
        <f>SUMIFS(INDEX(Load,,MATCH('Summarized Source Data'!$C425,Hour,0)),Month,'Summarized Source Data'!$A425,Sector,'Summarized Source Data'!G$2,Subsector,'Summarized Source Data'!G$3,TimeOfWeek,$E425)*INDEX(About!C$79:C$82,MATCH($B425,About!$A$79:$A$82,0),1)</f>
        <v>27200000</v>
      </c>
      <c r="H425" s="27">
        <f>SUMIFS(INDEX(Load,,MATCH('Summarized Source Data'!$C425,Hour,0)),Month,'Summarized Source Data'!$A425,Sector,'Summarized Source Data'!H$2,Subsector,'Summarized Source Data'!H$3,TimeOfWeek,$E425)*INDEX(About!D$79:D$82,MATCH($B425,About!$A$79:$A$82,0),1)</f>
        <v>0</v>
      </c>
      <c r="I425" s="27">
        <f>SUMIFS(INDEX(Load,,MATCH('Summarized Source Data'!$C425,Hour,0)),Month,'Summarized Source Data'!$A425,Sector,'Summarized Source Data'!I$2,Subsector,'Summarized Source Data'!I$3,TimeOfWeek,$E425)*INDEX(About!E$79:E$82,MATCH($B425,About!$A$79:$A$82,0),1)</f>
        <v>7469815</v>
      </c>
      <c r="J425" s="54">
        <f t="shared" si="31"/>
        <v>80124668</v>
      </c>
      <c r="K425" s="27">
        <f>(SUMIFS(INDEX(Load,,MATCH('Summarized Source Data'!$C425,Hour,0)),Month,'Summarized Source Data'!$A425,Sector,'Summarized Source Data'!K$2,Subsector,"Total",TimeOfWeek,$E425)-SUM(F425:I425))*INDEX(About!G$79:G$82,MATCH($B425,About!$A$79:$A$82,0),1)</f>
        <v>80124668</v>
      </c>
      <c r="L425" s="27">
        <f>SUMIFS(INDEX(Load,,MATCH('Summarized Source Data'!$C425,Hour,0)),Month,'Summarized Source Data'!$A425,Sector,'Summarized Source Data'!L$2,Subsector,'Summarized Source Data'!L$3,TimeOfWeek,$E425)*INDEX(About!H$79:H$82,MATCH($B425,About!$A$79:$A$82,0),1)</f>
        <v>242234</v>
      </c>
      <c r="M425" s="27">
        <f>SUMIFS(INDEX(Load,,MATCH('Summarized Source Data'!$C425,Hour,0)),Month,'Summarized Source Data'!$A425,Sector,'Summarized Source Data'!M$2,Subsector,'Summarized Source Data'!M$3,TimeOfWeek,$E425)*INDEX(About!I$79:I$82,MATCH($B425,About!$A$79:$A$82,0),1)</f>
        <v>82300000</v>
      </c>
      <c r="N425" s="27">
        <f>SUMIFS(INDEX(Load,,MATCH('Summarized Source Data'!$C425,Hour,0)),Month,'Summarized Source Data'!$A425,Sector,'Summarized Source Data'!N$2,Subsector,'Summarized Source Data'!N$3,TimeOfWeek,$E425)*INDEX(About!J$79:J$82,MATCH($B425,About!$A$79:$A$82,0),1)</f>
        <v>0</v>
      </c>
      <c r="O425" s="29">
        <f t="shared" si="32"/>
        <v>120457766</v>
      </c>
      <c r="P425" s="27">
        <f>(SUMIFS(INDEX(Load,,MATCH('Summarized Source Data'!$C425,Hour,0)),Month,'Summarized Source Data'!$A425,Sector,'Summarized Source Data'!P$2,Subsector,"Total",TimeOfWeek,$E425)-SUM(L425:N425)*INDEX(About!L$79:L$82,MATCH($B425,About!$A$79:$A$82,0),1))</f>
        <v>120457766</v>
      </c>
      <c r="Q425" s="29">
        <f t="shared" si="33"/>
        <v>120457766</v>
      </c>
      <c r="R425" s="33">
        <f>SUMIFS(INDEX(Load,,MATCH('Summarized Source Data'!$C425,Hour,0)),Month,'Summarized Source Data'!$A425,Sector,'Summarized Source Data'!R$2,TimeOfWeek,$E425)*INDEX(About!N$79:N$82,MATCH($B425,About!$A$79:$A$82,0),1)</f>
        <v>5125587</v>
      </c>
      <c r="S425" s="33">
        <f>SUMIFS(INDEX(Load,,MATCH('Summarized Source Data'!$C425,Hour,0)),Month,'Summarized Source Data'!$A425,Sector,'Summarized Source Data'!S$2,TimeOfWeek,$E425)*INDEX(About!O$79:O$82,MATCH($B425,About!$A$79:$A$82,0),1)</f>
        <v>5125587</v>
      </c>
      <c r="T425" s="33">
        <f>SUMIFS(INDEX(Load,,MATCH('Summarized Source Data'!$C425,Hour,0)),Month,'Summarized Source Data'!$A425,Sector,'Summarized Source Data'!T$2,TimeOfWeek,$E425)*INDEX(About!P$79:P$82,MATCH($B425,About!$A$79:$A$82,0),1)</f>
        <v>5125587</v>
      </c>
      <c r="U425" s="33">
        <f>SUMIFS(INDEX(Load,,MATCH('Summarized Source Data'!$C425,Hour,0)),Month,'Summarized Source Data'!$A425,Sector,'Summarized Source Data'!U$2,TimeOfWeek,$E425)*INDEX(About!Q$79:Q$82,MATCH($B425,About!$A$79:$A$82,0),1)</f>
        <v>5125587</v>
      </c>
      <c r="V425" s="33">
        <f>SUMIFS(INDEX(Load,,MATCH('Summarized Source Data'!$C425,Hour,0)),Month,'Summarized Source Data'!$A425,Sector,'Summarized Source Data'!V$2,TimeOfWeek,$E425)*INDEX(About!R$79:R$82,MATCH($B425,About!$A$79:$A$82,0),1)</f>
        <v>5125587</v>
      </c>
      <c r="W425" s="33">
        <f>SUMIFS(INDEX(Load,,MATCH('Summarized Source Data'!$C425,Hour,0)),Month,'Summarized Source Data'!$A425,Sector,'Summarized Source Data'!W$2,TimeOfWeek,$E425)*INDEX(About!S$79:S$82,MATCH($B425,About!$A$79:$A$82,0),1)</f>
        <v>5125587</v>
      </c>
      <c r="X425" s="27">
        <f>SUMIFS(INDEX(Load,,MATCH('Summarized Source Data'!$C425,Hour,0)),Month,'Summarized Source Data'!$A425,Sector,'Summarized Source Data'!X$2,Subsector,'Summarized Source Data'!X$3,TimeOfWeek,$E425)*INDEX(About!T$79:T$82,MATCH($B425,About!$A$79:$A$82,0),1)</f>
        <v>347000000</v>
      </c>
      <c r="Y425" s="29">
        <f t="shared" si="36"/>
        <v>347000000</v>
      </c>
      <c r="Z425" s="29">
        <f t="shared" si="36"/>
        <v>347000000</v>
      </c>
    </row>
    <row r="426" spans="1:26" x14ac:dyDescent="0.3">
      <c r="A426">
        <f t="shared" si="35"/>
        <v>6</v>
      </c>
      <c r="B426" t="str">
        <f>INDEX('Category Mapping'!$G$28:$G$39,MATCH(A426,'Category Mapping'!$A$28:$A$39,0),1)</f>
        <v>Summer</v>
      </c>
      <c r="C426" t="s">
        <v>77</v>
      </c>
      <c r="D426" s="6" t="s">
        <v>152</v>
      </c>
      <c r="E426" s="46" t="s">
        <v>48</v>
      </c>
      <c r="F426" s="27">
        <f>SUMIFS(INDEX(Load,,MATCH('Summarized Source Data'!$C426,Hour,0)),Month,'Summarized Source Data'!$A426,Sector,'Summarized Source Data'!F$2,Subsector,'Summarized Source Data'!F$3,TimeOfWeek,$E426)*INDEX(About!B$79:B$82,MATCH($B426,About!$A$79:$A$82,0),1)</f>
        <v>204152</v>
      </c>
      <c r="G426" s="27">
        <f>SUMIFS(INDEX(Load,,MATCH('Summarized Source Data'!$C426,Hour,0)),Month,'Summarized Source Data'!$A426,Sector,'Summarized Source Data'!G$2,Subsector,'Summarized Source Data'!G$3,TimeOfWeek,$E426)*INDEX(About!C$79:C$82,MATCH($B426,About!$A$79:$A$82,0),1)</f>
        <v>27700000</v>
      </c>
      <c r="H426" s="27">
        <f>SUMIFS(INDEX(Load,,MATCH('Summarized Source Data'!$C426,Hour,0)),Month,'Summarized Source Data'!$A426,Sector,'Summarized Source Data'!H$2,Subsector,'Summarized Source Data'!H$3,TimeOfWeek,$E426)*INDEX(About!D$79:D$82,MATCH($B426,About!$A$79:$A$82,0),1)</f>
        <v>0</v>
      </c>
      <c r="I426" s="27">
        <f>SUMIFS(INDEX(Load,,MATCH('Summarized Source Data'!$C426,Hour,0)),Month,'Summarized Source Data'!$A426,Sector,'Summarized Source Data'!I$2,Subsector,'Summarized Source Data'!I$3,TimeOfWeek,$E426)*INDEX(About!E$79:E$82,MATCH($B426,About!$A$79:$A$82,0),1)</f>
        <v>7391217</v>
      </c>
      <c r="J426" s="54">
        <f t="shared" si="31"/>
        <v>83704631</v>
      </c>
      <c r="K426" s="27">
        <f>(SUMIFS(INDEX(Load,,MATCH('Summarized Source Data'!$C426,Hour,0)),Month,'Summarized Source Data'!$A426,Sector,'Summarized Source Data'!K$2,Subsector,"Total",TimeOfWeek,$E426)-SUM(F426:I426))*INDEX(About!G$79:G$82,MATCH($B426,About!$A$79:$A$82,0),1)</f>
        <v>83704631</v>
      </c>
      <c r="L426" s="27">
        <f>SUMIFS(INDEX(Load,,MATCH('Summarized Source Data'!$C426,Hour,0)),Month,'Summarized Source Data'!$A426,Sector,'Summarized Source Data'!L$2,Subsector,'Summarized Source Data'!L$3,TimeOfWeek,$E426)*INDEX(About!H$79:H$82,MATCH($B426,About!$A$79:$A$82,0),1)</f>
        <v>233718</v>
      </c>
      <c r="M426" s="27">
        <f>SUMIFS(INDEX(Load,,MATCH('Summarized Source Data'!$C426,Hour,0)),Month,'Summarized Source Data'!$A426,Sector,'Summarized Source Data'!M$2,Subsector,'Summarized Source Data'!M$3,TimeOfWeek,$E426)*INDEX(About!I$79:I$82,MATCH($B426,About!$A$79:$A$82,0),1)</f>
        <v>83100000</v>
      </c>
      <c r="N426" s="27">
        <f>SUMIFS(INDEX(Load,,MATCH('Summarized Source Data'!$C426,Hour,0)),Month,'Summarized Source Data'!$A426,Sector,'Summarized Source Data'!N$2,Subsector,'Summarized Source Data'!N$3,TimeOfWeek,$E426)*INDEX(About!J$79:J$82,MATCH($B426,About!$A$79:$A$82,0),1)</f>
        <v>0</v>
      </c>
      <c r="O426" s="29">
        <f t="shared" si="32"/>
        <v>114666282</v>
      </c>
      <c r="P426" s="27">
        <f>(SUMIFS(INDEX(Load,,MATCH('Summarized Source Data'!$C426,Hour,0)),Month,'Summarized Source Data'!$A426,Sector,'Summarized Source Data'!P$2,Subsector,"Total",TimeOfWeek,$E426)-SUM(L426:N426)*INDEX(About!L$79:L$82,MATCH($B426,About!$A$79:$A$82,0),1))</f>
        <v>114666282</v>
      </c>
      <c r="Q426" s="29">
        <f t="shared" si="33"/>
        <v>114666282</v>
      </c>
      <c r="R426" s="33">
        <f>SUMIFS(INDEX(Load,,MATCH('Summarized Source Data'!$C426,Hour,0)),Month,'Summarized Source Data'!$A426,Sector,'Summarized Source Data'!R$2,TimeOfWeek,$E426)*INDEX(About!N$79:N$82,MATCH($B426,About!$A$79:$A$82,0),1)</f>
        <v>5055321</v>
      </c>
      <c r="S426" s="33">
        <f>SUMIFS(INDEX(Load,,MATCH('Summarized Source Data'!$C426,Hour,0)),Month,'Summarized Source Data'!$A426,Sector,'Summarized Source Data'!S$2,TimeOfWeek,$E426)*INDEX(About!O$79:O$82,MATCH($B426,About!$A$79:$A$82,0),1)</f>
        <v>5055321</v>
      </c>
      <c r="T426" s="33">
        <f>SUMIFS(INDEX(Load,,MATCH('Summarized Source Data'!$C426,Hour,0)),Month,'Summarized Source Data'!$A426,Sector,'Summarized Source Data'!T$2,TimeOfWeek,$E426)*INDEX(About!P$79:P$82,MATCH($B426,About!$A$79:$A$82,0),1)</f>
        <v>5055321</v>
      </c>
      <c r="U426" s="33">
        <f>SUMIFS(INDEX(Load,,MATCH('Summarized Source Data'!$C426,Hour,0)),Month,'Summarized Source Data'!$A426,Sector,'Summarized Source Data'!U$2,TimeOfWeek,$E426)*INDEX(About!Q$79:Q$82,MATCH($B426,About!$A$79:$A$82,0),1)</f>
        <v>5055321</v>
      </c>
      <c r="V426" s="33">
        <f>SUMIFS(INDEX(Load,,MATCH('Summarized Source Data'!$C426,Hour,0)),Month,'Summarized Source Data'!$A426,Sector,'Summarized Source Data'!V$2,TimeOfWeek,$E426)*INDEX(About!R$79:R$82,MATCH($B426,About!$A$79:$A$82,0),1)</f>
        <v>5055321</v>
      </c>
      <c r="W426" s="33">
        <f>SUMIFS(INDEX(Load,,MATCH('Summarized Source Data'!$C426,Hour,0)),Month,'Summarized Source Data'!$A426,Sector,'Summarized Source Data'!W$2,TimeOfWeek,$E426)*INDEX(About!S$79:S$82,MATCH($B426,About!$A$79:$A$82,0),1)</f>
        <v>5055321</v>
      </c>
      <c r="X426" s="27">
        <f>SUMIFS(INDEX(Load,,MATCH('Summarized Source Data'!$C426,Hour,0)),Month,'Summarized Source Data'!$A426,Sector,'Summarized Source Data'!X$2,Subsector,'Summarized Source Data'!X$3,TimeOfWeek,$E426)*INDEX(About!T$79:T$82,MATCH($B426,About!$A$79:$A$82,0),1)</f>
        <v>348000000</v>
      </c>
      <c r="Y426" s="29">
        <f t="shared" si="36"/>
        <v>348000000</v>
      </c>
      <c r="Z426" s="29">
        <f t="shared" si="36"/>
        <v>348000000</v>
      </c>
    </row>
    <row r="427" spans="1:26" x14ac:dyDescent="0.3">
      <c r="A427">
        <f t="shared" si="35"/>
        <v>6</v>
      </c>
      <c r="B427" t="str">
        <f>INDEX('Category Mapping'!$G$28:$G$39,MATCH(A427,'Category Mapping'!$A$28:$A$39,0),1)</f>
        <v>Summer</v>
      </c>
      <c r="C427" t="s">
        <v>78</v>
      </c>
      <c r="D427" s="6" t="s">
        <v>153</v>
      </c>
      <c r="E427" s="46" t="s">
        <v>48</v>
      </c>
      <c r="F427" s="27">
        <f>SUMIFS(INDEX(Load,,MATCH('Summarized Source Data'!$C427,Hour,0)),Month,'Summarized Source Data'!$A427,Sector,'Summarized Source Data'!F$2,Subsector,'Summarized Source Data'!F$3,TimeOfWeek,$E427)*INDEX(About!B$79:B$82,MATCH($B427,About!$A$79:$A$82,0),1)</f>
        <v>204474</v>
      </c>
      <c r="G427" s="27">
        <f>SUMIFS(INDEX(Load,,MATCH('Summarized Source Data'!$C427,Hour,0)),Month,'Summarized Source Data'!$A427,Sector,'Summarized Source Data'!G$2,Subsector,'Summarized Source Data'!G$3,TimeOfWeek,$E427)*INDEX(About!C$79:C$82,MATCH($B427,About!$A$79:$A$82,0),1)</f>
        <v>27100000</v>
      </c>
      <c r="H427" s="27">
        <f>SUMIFS(INDEX(Load,,MATCH('Summarized Source Data'!$C427,Hour,0)),Month,'Summarized Source Data'!$A427,Sector,'Summarized Source Data'!H$2,Subsector,'Summarized Source Data'!H$3,TimeOfWeek,$E427)*INDEX(About!D$79:D$82,MATCH($B427,About!$A$79:$A$82,0),1)</f>
        <v>0</v>
      </c>
      <c r="I427" s="27">
        <f>SUMIFS(INDEX(Load,,MATCH('Summarized Source Data'!$C427,Hour,0)),Month,'Summarized Source Data'!$A427,Sector,'Summarized Source Data'!I$2,Subsector,'Summarized Source Data'!I$3,TimeOfWeek,$E427)*INDEX(About!E$79:E$82,MATCH($B427,About!$A$79:$A$82,0),1)</f>
        <v>7409765</v>
      </c>
      <c r="J427" s="54">
        <f t="shared" si="31"/>
        <v>87285761</v>
      </c>
      <c r="K427" s="27">
        <f>(SUMIFS(INDEX(Load,,MATCH('Summarized Source Data'!$C427,Hour,0)),Month,'Summarized Source Data'!$A427,Sector,'Summarized Source Data'!K$2,Subsector,"Total",TimeOfWeek,$E427)-SUM(F427:I427))*INDEX(About!G$79:G$82,MATCH($B427,About!$A$79:$A$82,0),1)</f>
        <v>87285761</v>
      </c>
      <c r="L427" s="27">
        <f>SUMIFS(INDEX(Load,,MATCH('Summarized Source Data'!$C427,Hour,0)),Month,'Summarized Source Data'!$A427,Sector,'Summarized Source Data'!L$2,Subsector,'Summarized Source Data'!L$3,TimeOfWeek,$E427)*INDEX(About!H$79:H$82,MATCH($B427,About!$A$79:$A$82,0),1)</f>
        <v>200366</v>
      </c>
      <c r="M427" s="27">
        <f>SUMIFS(INDEX(Load,,MATCH('Summarized Source Data'!$C427,Hour,0)),Month,'Summarized Source Data'!$A427,Sector,'Summarized Source Data'!M$2,Subsector,'Summarized Source Data'!M$3,TimeOfWeek,$E427)*INDEX(About!I$79:I$82,MATCH($B427,About!$A$79:$A$82,0),1)</f>
        <v>82300000</v>
      </c>
      <c r="N427" s="27">
        <f>SUMIFS(INDEX(Load,,MATCH('Summarized Source Data'!$C427,Hour,0)),Month,'Summarized Source Data'!$A427,Sector,'Summarized Source Data'!N$2,Subsector,'Summarized Source Data'!N$3,TimeOfWeek,$E427)*INDEX(About!J$79:J$82,MATCH($B427,About!$A$79:$A$82,0),1)</f>
        <v>0</v>
      </c>
      <c r="O427" s="29">
        <f t="shared" si="32"/>
        <v>106499634</v>
      </c>
      <c r="P427" s="27">
        <f>(SUMIFS(INDEX(Load,,MATCH('Summarized Source Data'!$C427,Hour,0)),Month,'Summarized Source Data'!$A427,Sector,'Summarized Source Data'!P$2,Subsector,"Total",TimeOfWeek,$E427)-SUM(L427:N427)*INDEX(About!L$79:L$82,MATCH($B427,About!$A$79:$A$82,0),1))</f>
        <v>106499634</v>
      </c>
      <c r="Q427" s="29">
        <f t="shared" si="33"/>
        <v>106499634</v>
      </c>
      <c r="R427" s="33">
        <f>SUMIFS(INDEX(Load,,MATCH('Summarized Source Data'!$C427,Hour,0)),Month,'Summarized Source Data'!$A427,Sector,'Summarized Source Data'!R$2,TimeOfWeek,$E427)*INDEX(About!N$79:N$82,MATCH($B427,About!$A$79:$A$82,0),1)</f>
        <v>4949923</v>
      </c>
      <c r="S427" s="33">
        <f>SUMIFS(INDEX(Load,,MATCH('Summarized Source Data'!$C427,Hour,0)),Month,'Summarized Source Data'!$A427,Sector,'Summarized Source Data'!S$2,TimeOfWeek,$E427)*INDEX(About!O$79:O$82,MATCH($B427,About!$A$79:$A$82,0),1)</f>
        <v>4949923</v>
      </c>
      <c r="T427" s="33">
        <f>SUMIFS(INDEX(Load,,MATCH('Summarized Source Data'!$C427,Hour,0)),Month,'Summarized Source Data'!$A427,Sector,'Summarized Source Data'!T$2,TimeOfWeek,$E427)*INDEX(About!P$79:P$82,MATCH($B427,About!$A$79:$A$82,0),1)</f>
        <v>4949923</v>
      </c>
      <c r="U427" s="33">
        <f>SUMIFS(INDEX(Load,,MATCH('Summarized Source Data'!$C427,Hour,0)),Month,'Summarized Source Data'!$A427,Sector,'Summarized Source Data'!U$2,TimeOfWeek,$E427)*INDEX(About!Q$79:Q$82,MATCH($B427,About!$A$79:$A$82,0),1)</f>
        <v>4949923</v>
      </c>
      <c r="V427" s="33">
        <f>SUMIFS(INDEX(Load,,MATCH('Summarized Source Data'!$C427,Hour,0)),Month,'Summarized Source Data'!$A427,Sector,'Summarized Source Data'!V$2,TimeOfWeek,$E427)*INDEX(About!R$79:R$82,MATCH($B427,About!$A$79:$A$82,0),1)</f>
        <v>4949923</v>
      </c>
      <c r="W427" s="33">
        <f>SUMIFS(INDEX(Load,,MATCH('Summarized Source Data'!$C427,Hour,0)),Month,'Summarized Source Data'!$A427,Sector,'Summarized Source Data'!W$2,TimeOfWeek,$E427)*INDEX(About!S$79:S$82,MATCH($B427,About!$A$79:$A$82,0),1)</f>
        <v>4949923</v>
      </c>
      <c r="X427" s="27">
        <f>SUMIFS(INDEX(Load,,MATCH('Summarized Source Data'!$C427,Hour,0)),Month,'Summarized Source Data'!$A427,Sector,'Summarized Source Data'!X$2,Subsector,'Summarized Source Data'!X$3,TimeOfWeek,$E427)*INDEX(About!T$79:T$82,MATCH($B427,About!$A$79:$A$82,0),1)</f>
        <v>352000000</v>
      </c>
      <c r="Y427" s="29">
        <f t="shared" si="36"/>
        <v>352000000</v>
      </c>
      <c r="Z427" s="29">
        <f t="shared" si="36"/>
        <v>352000000</v>
      </c>
    </row>
    <row r="428" spans="1:26" x14ac:dyDescent="0.3">
      <c r="A428">
        <f t="shared" si="35"/>
        <v>6</v>
      </c>
      <c r="B428" t="str">
        <f>INDEX('Category Mapping'!$G$28:$G$39,MATCH(A428,'Category Mapping'!$A$28:$A$39,0),1)</f>
        <v>Summer</v>
      </c>
      <c r="C428" t="s">
        <v>79</v>
      </c>
      <c r="D428" s="6" t="s">
        <v>154</v>
      </c>
      <c r="E428" s="46" t="s">
        <v>48</v>
      </c>
      <c r="F428" s="27">
        <f>SUMIFS(INDEX(Load,,MATCH('Summarized Source Data'!$C428,Hour,0)),Month,'Summarized Source Data'!$A428,Sector,'Summarized Source Data'!F$2,Subsector,'Summarized Source Data'!F$3,TimeOfWeek,$E428)*INDEX(About!B$79:B$82,MATCH($B428,About!$A$79:$A$82,0),1)</f>
        <v>207987</v>
      </c>
      <c r="G428" s="27">
        <f>SUMIFS(INDEX(Load,,MATCH('Summarized Source Data'!$C428,Hour,0)),Month,'Summarized Source Data'!$A428,Sector,'Summarized Source Data'!G$2,Subsector,'Summarized Source Data'!G$3,TimeOfWeek,$E428)*INDEX(About!C$79:C$82,MATCH($B428,About!$A$79:$A$82,0),1)</f>
        <v>25700000</v>
      </c>
      <c r="H428" s="27">
        <f>SUMIFS(INDEX(Load,,MATCH('Summarized Source Data'!$C428,Hour,0)),Month,'Summarized Source Data'!$A428,Sector,'Summarized Source Data'!H$2,Subsector,'Summarized Source Data'!H$3,TimeOfWeek,$E428)*INDEX(About!D$79:D$82,MATCH($B428,About!$A$79:$A$82,0),1)</f>
        <v>0</v>
      </c>
      <c r="I428" s="27">
        <f>SUMIFS(INDEX(Load,,MATCH('Summarized Source Data'!$C428,Hour,0)),Month,'Summarized Source Data'!$A428,Sector,'Summarized Source Data'!I$2,Subsector,'Summarized Source Data'!I$3,TimeOfWeek,$E428)*INDEX(About!E$79:E$82,MATCH($B428,About!$A$79:$A$82,0),1)</f>
        <v>7612110</v>
      </c>
      <c r="J428" s="54">
        <f t="shared" si="31"/>
        <v>93479903</v>
      </c>
      <c r="K428" s="27">
        <f>(SUMIFS(INDEX(Load,,MATCH('Summarized Source Data'!$C428,Hour,0)),Month,'Summarized Source Data'!$A428,Sector,'Summarized Source Data'!K$2,Subsector,"Total",TimeOfWeek,$E428)-SUM(F428:I428))*INDEX(About!G$79:G$82,MATCH($B428,About!$A$79:$A$82,0),1)</f>
        <v>93479903</v>
      </c>
      <c r="L428" s="27">
        <f>SUMIFS(INDEX(Load,,MATCH('Summarized Source Data'!$C428,Hour,0)),Month,'Summarized Source Data'!$A428,Sector,'Summarized Source Data'!L$2,Subsector,'Summarized Source Data'!L$3,TimeOfWeek,$E428)*INDEX(About!H$79:H$82,MATCH($B428,About!$A$79:$A$82,0),1)</f>
        <v>197911</v>
      </c>
      <c r="M428" s="27">
        <f>SUMIFS(INDEX(Load,,MATCH('Summarized Source Data'!$C428,Hour,0)),Month,'Summarized Source Data'!$A428,Sector,'Summarized Source Data'!M$2,Subsector,'Summarized Source Data'!M$3,TimeOfWeek,$E428)*INDEX(About!I$79:I$82,MATCH($B428,About!$A$79:$A$82,0),1)</f>
        <v>79500000</v>
      </c>
      <c r="N428" s="27">
        <f>SUMIFS(INDEX(Load,,MATCH('Summarized Source Data'!$C428,Hour,0)),Month,'Summarized Source Data'!$A428,Sector,'Summarized Source Data'!N$2,Subsector,'Summarized Source Data'!N$3,TimeOfWeek,$E428)*INDEX(About!J$79:J$82,MATCH($B428,About!$A$79:$A$82,0),1)</f>
        <v>0</v>
      </c>
      <c r="O428" s="29">
        <f t="shared" si="32"/>
        <v>101302089</v>
      </c>
      <c r="P428" s="27">
        <f>(SUMIFS(INDEX(Load,,MATCH('Summarized Source Data'!$C428,Hour,0)),Month,'Summarized Source Data'!$A428,Sector,'Summarized Source Data'!P$2,Subsector,"Total",TimeOfWeek,$E428)-SUM(L428:N428)*INDEX(About!L$79:L$82,MATCH($B428,About!$A$79:$A$82,0),1))</f>
        <v>101302089</v>
      </c>
      <c r="Q428" s="29">
        <f t="shared" si="33"/>
        <v>101302089</v>
      </c>
      <c r="R428" s="33">
        <f>SUMIFS(INDEX(Load,,MATCH('Summarized Source Data'!$C428,Hour,0)),Month,'Summarized Source Data'!$A428,Sector,'Summarized Source Data'!R$2,TimeOfWeek,$E428)*INDEX(About!N$79:N$82,MATCH($B428,About!$A$79:$A$82,0),1)</f>
        <v>5648754</v>
      </c>
      <c r="S428" s="33">
        <f>SUMIFS(INDEX(Load,,MATCH('Summarized Source Data'!$C428,Hour,0)),Month,'Summarized Source Data'!$A428,Sector,'Summarized Source Data'!S$2,TimeOfWeek,$E428)*INDEX(About!O$79:O$82,MATCH($B428,About!$A$79:$A$82,0),1)</f>
        <v>5648754</v>
      </c>
      <c r="T428" s="33">
        <f>SUMIFS(INDEX(Load,,MATCH('Summarized Source Data'!$C428,Hour,0)),Month,'Summarized Source Data'!$A428,Sector,'Summarized Source Data'!T$2,TimeOfWeek,$E428)*INDEX(About!P$79:P$82,MATCH($B428,About!$A$79:$A$82,0),1)</f>
        <v>5648754</v>
      </c>
      <c r="U428" s="33">
        <f>SUMIFS(INDEX(Load,,MATCH('Summarized Source Data'!$C428,Hour,0)),Month,'Summarized Source Data'!$A428,Sector,'Summarized Source Data'!U$2,TimeOfWeek,$E428)*INDEX(About!Q$79:Q$82,MATCH($B428,About!$A$79:$A$82,0),1)</f>
        <v>5648754</v>
      </c>
      <c r="V428" s="33">
        <f>SUMIFS(INDEX(Load,,MATCH('Summarized Source Data'!$C428,Hour,0)),Month,'Summarized Source Data'!$A428,Sector,'Summarized Source Data'!V$2,TimeOfWeek,$E428)*INDEX(About!R$79:R$82,MATCH($B428,About!$A$79:$A$82,0),1)</f>
        <v>5648754</v>
      </c>
      <c r="W428" s="33">
        <f>SUMIFS(INDEX(Load,,MATCH('Summarized Source Data'!$C428,Hour,0)),Month,'Summarized Source Data'!$A428,Sector,'Summarized Source Data'!W$2,TimeOfWeek,$E428)*INDEX(About!S$79:S$82,MATCH($B428,About!$A$79:$A$82,0),1)</f>
        <v>5648754</v>
      </c>
      <c r="X428" s="27">
        <f>SUMIFS(INDEX(Load,,MATCH('Summarized Source Data'!$C428,Hour,0)),Month,'Summarized Source Data'!$A428,Sector,'Summarized Source Data'!X$2,Subsector,'Summarized Source Data'!X$3,TimeOfWeek,$E428)*INDEX(About!T$79:T$82,MATCH($B428,About!$A$79:$A$82,0),1)</f>
        <v>356000000</v>
      </c>
      <c r="Y428" s="29">
        <f t="shared" si="36"/>
        <v>356000000</v>
      </c>
      <c r="Z428" s="29">
        <f t="shared" si="36"/>
        <v>356000000</v>
      </c>
    </row>
    <row r="429" spans="1:26" x14ac:dyDescent="0.3">
      <c r="A429">
        <f t="shared" si="35"/>
        <v>6</v>
      </c>
      <c r="B429" t="str">
        <f>INDEX('Category Mapping'!$G$28:$G$39,MATCH(A429,'Category Mapping'!$A$28:$A$39,0),1)</f>
        <v>Summer</v>
      </c>
      <c r="C429" t="s">
        <v>80</v>
      </c>
      <c r="D429" s="6" t="s">
        <v>155</v>
      </c>
      <c r="E429" s="46" t="s">
        <v>48</v>
      </c>
      <c r="F429" s="27">
        <f>SUMIFS(INDEX(Load,,MATCH('Summarized Source Data'!$C429,Hour,0)),Month,'Summarized Source Data'!$A429,Sector,'Summarized Source Data'!F$2,Subsector,'Summarized Source Data'!F$3,TimeOfWeek,$E429)*INDEX(About!B$79:B$82,MATCH($B429,About!$A$79:$A$82,0),1)</f>
        <v>214544</v>
      </c>
      <c r="G429" s="27">
        <f>SUMIFS(INDEX(Load,,MATCH('Summarized Source Data'!$C429,Hour,0)),Month,'Summarized Source Data'!$A429,Sector,'Summarized Source Data'!G$2,Subsector,'Summarized Source Data'!G$3,TimeOfWeek,$E429)*INDEX(About!C$79:C$82,MATCH($B429,About!$A$79:$A$82,0),1)</f>
        <v>24100000</v>
      </c>
      <c r="H429" s="27">
        <f>SUMIFS(INDEX(Load,,MATCH('Summarized Source Data'!$C429,Hour,0)),Month,'Summarized Source Data'!$A429,Sector,'Summarized Source Data'!H$2,Subsector,'Summarized Source Data'!H$3,TimeOfWeek,$E429)*INDEX(About!D$79:D$82,MATCH($B429,About!$A$79:$A$82,0),1)</f>
        <v>0</v>
      </c>
      <c r="I429" s="27">
        <f>SUMIFS(INDEX(Load,,MATCH('Summarized Source Data'!$C429,Hour,0)),Month,'Summarized Source Data'!$A429,Sector,'Summarized Source Data'!I$2,Subsector,'Summarized Source Data'!I$3,TimeOfWeek,$E429)*INDEX(About!E$79:E$82,MATCH($B429,About!$A$79:$A$82,0),1)</f>
        <v>8233780</v>
      </c>
      <c r="J429" s="54">
        <f t="shared" si="31"/>
        <v>93451676</v>
      </c>
      <c r="K429" s="27">
        <f>(SUMIFS(INDEX(Load,,MATCH('Summarized Source Data'!$C429,Hour,0)),Month,'Summarized Source Data'!$A429,Sector,'Summarized Source Data'!K$2,Subsector,"Total",TimeOfWeek,$E429)-SUM(F429:I429))*INDEX(About!G$79:G$82,MATCH($B429,About!$A$79:$A$82,0),1)</f>
        <v>93451676</v>
      </c>
      <c r="L429" s="27">
        <f>SUMIFS(INDEX(Load,,MATCH('Summarized Source Data'!$C429,Hour,0)),Month,'Summarized Source Data'!$A429,Sector,'Summarized Source Data'!L$2,Subsector,'Summarized Source Data'!L$3,TimeOfWeek,$E429)*INDEX(About!H$79:H$82,MATCH($B429,About!$A$79:$A$82,0),1)</f>
        <v>212470</v>
      </c>
      <c r="M429" s="27">
        <f>SUMIFS(INDEX(Load,,MATCH('Summarized Source Data'!$C429,Hour,0)),Month,'Summarized Source Data'!$A429,Sector,'Summarized Source Data'!M$2,Subsector,'Summarized Source Data'!M$3,TimeOfWeek,$E429)*INDEX(About!I$79:I$82,MATCH($B429,About!$A$79:$A$82,0),1)</f>
        <v>74700000</v>
      </c>
      <c r="N429" s="27">
        <f>SUMIFS(INDEX(Load,,MATCH('Summarized Source Data'!$C429,Hour,0)),Month,'Summarized Source Data'!$A429,Sector,'Summarized Source Data'!N$2,Subsector,'Summarized Source Data'!N$3,TimeOfWeek,$E429)*INDEX(About!J$79:J$82,MATCH($B429,About!$A$79:$A$82,0),1)</f>
        <v>0</v>
      </c>
      <c r="O429" s="29">
        <f t="shared" si="32"/>
        <v>103087530</v>
      </c>
      <c r="P429" s="27">
        <f>(SUMIFS(INDEX(Load,,MATCH('Summarized Source Data'!$C429,Hour,0)),Month,'Summarized Source Data'!$A429,Sector,'Summarized Source Data'!P$2,Subsector,"Total",TimeOfWeek,$E429)-SUM(L429:N429)*INDEX(About!L$79:L$82,MATCH($B429,About!$A$79:$A$82,0),1))</f>
        <v>103087530</v>
      </c>
      <c r="Q429" s="29">
        <f t="shared" si="33"/>
        <v>103087530</v>
      </c>
      <c r="R429" s="33">
        <f>SUMIFS(INDEX(Load,,MATCH('Summarized Source Data'!$C429,Hour,0)),Month,'Summarized Source Data'!$A429,Sector,'Summarized Source Data'!R$2,TimeOfWeek,$E429)*INDEX(About!N$79:N$82,MATCH($B429,About!$A$79:$A$82,0),1)</f>
        <v>5654609</v>
      </c>
      <c r="S429" s="33">
        <f>SUMIFS(INDEX(Load,,MATCH('Summarized Source Data'!$C429,Hour,0)),Month,'Summarized Source Data'!$A429,Sector,'Summarized Source Data'!S$2,TimeOfWeek,$E429)*INDEX(About!O$79:O$82,MATCH($B429,About!$A$79:$A$82,0),1)</f>
        <v>5654609</v>
      </c>
      <c r="T429" s="33">
        <f>SUMIFS(INDEX(Load,,MATCH('Summarized Source Data'!$C429,Hour,0)),Month,'Summarized Source Data'!$A429,Sector,'Summarized Source Data'!T$2,TimeOfWeek,$E429)*INDEX(About!P$79:P$82,MATCH($B429,About!$A$79:$A$82,0),1)</f>
        <v>5654609</v>
      </c>
      <c r="U429" s="33">
        <f>SUMIFS(INDEX(Load,,MATCH('Summarized Source Data'!$C429,Hour,0)),Month,'Summarized Source Data'!$A429,Sector,'Summarized Source Data'!U$2,TimeOfWeek,$E429)*INDEX(About!Q$79:Q$82,MATCH($B429,About!$A$79:$A$82,0),1)</f>
        <v>5654609</v>
      </c>
      <c r="V429" s="33">
        <f>SUMIFS(INDEX(Load,,MATCH('Summarized Source Data'!$C429,Hour,0)),Month,'Summarized Source Data'!$A429,Sector,'Summarized Source Data'!V$2,TimeOfWeek,$E429)*INDEX(About!R$79:R$82,MATCH($B429,About!$A$79:$A$82,0),1)</f>
        <v>5654609</v>
      </c>
      <c r="W429" s="33">
        <f>SUMIFS(INDEX(Load,,MATCH('Summarized Source Data'!$C429,Hour,0)),Month,'Summarized Source Data'!$A429,Sector,'Summarized Source Data'!W$2,TimeOfWeek,$E429)*INDEX(About!S$79:S$82,MATCH($B429,About!$A$79:$A$82,0),1)</f>
        <v>5654609</v>
      </c>
      <c r="X429" s="27">
        <f>SUMIFS(INDEX(Load,,MATCH('Summarized Source Data'!$C429,Hour,0)),Month,'Summarized Source Data'!$A429,Sector,'Summarized Source Data'!X$2,Subsector,'Summarized Source Data'!X$3,TimeOfWeek,$E429)*INDEX(About!T$79:T$82,MATCH($B429,About!$A$79:$A$82,0),1)</f>
        <v>357000000</v>
      </c>
      <c r="Y429" s="29">
        <f t="shared" si="36"/>
        <v>357000000</v>
      </c>
      <c r="Z429" s="29">
        <f t="shared" si="36"/>
        <v>357000000</v>
      </c>
    </row>
    <row r="430" spans="1:26" x14ac:dyDescent="0.3">
      <c r="A430">
        <f t="shared" si="35"/>
        <v>6</v>
      </c>
      <c r="B430" t="str">
        <f>INDEX('Category Mapping'!$G$28:$G$39,MATCH(A430,'Category Mapping'!$A$28:$A$39,0),1)</f>
        <v>Summer</v>
      </c>
      <c r="C430" t="s">
        <v>81</v>
      </c>
      <c r="D430" s="6" t="s">
        <v>156</v>
      </c>
      <c r="E430" s="46" t="s">
        <v>48</v>
      </c>
      <c r="F430" s="27">
        <f>SUMIFS(INDEX(Load,,MATCH('Summarized Source Data'!$C430,Hour,0)),Month,'Summarized Source Data'!$A430,Sector,'Summarized Source Data'!F$2,Subsector,'Summarized Source Data'!F$3,TimeOfWeek,$E430)*INDEX(About!B$79:B$82,MATCH($B430,About!$A$79:$A$82,0),1)</f>
        <v>222361</v>
      </c>
      <c r="G430" s="27">
        <f>SUMIFS(INDEX(Load,,MATCH('Summarized Source Data'!$C430,Hour,0)),Month,'Summarized Source Data'!$A430,Sector,'Summarized Source Data'!G$2,Subsector,'Summarized Source Data'!G$3,TimeOfWeek,$E430)*INDEX(About!C$79:C$82,MATCH($B430,About!$A$79:$A$82,0),1)</f>
        <v>21900000</v>
      </c>
      <c r="H430" s="27">
        <f>SUMIFS(INDEX(Load,,MATCH('Summarized Source Data'!$C430,Hour,0)),Month,'Summarized Source Data'!$A430,Sector,'Summarized Source Data'!H$2,Subsector,'Summarized Source Data'!H$3,TimeOfWeek,$E430)*INDEX(About!D$79:D$82,MATCH($B430,About!$A$79:$A$82,0),1)</f>
        <v>0</v>
      </c>
      <c r="I430" s="27">
        <f>SUMIFS(INDEX(Load,,MATCH('Summarized Source Data'!$C430,Hour,0)),Month,'Summarized Source Data'!$A430,Sector,'Summarized Source Data'!I$2,Subsector,'Summarized Source Data'!I$3,TimeOfWeek,$E430)*INDEX(About!E$79:E$82,MATCH($B430,About!$A$79:$A$82,0),1)</f>
        <v>18300000</v>
      </c>
      <c r="J430" s="54">
        <f t="shared" si="31"/>
        <v>90577639</v>
      </c>
      <c r="K430" s="27">
        <f>(SUMIFS(INDEX(Load,,MATCH('Summarized Source Data'!$C430,Hour,0)),Month,'Summarized Source Data'!$A430,Sector,'Summarized Source Data'!K$2,Subsector,"Total",TimeOfWeek,$E430)-SUM(F430:I430))*INDEX(About!G$79:G$82,MATCH($B430,About!$A$79:$A$82,0),1)</f>
        <v>90577639</v>
      </c>
      <c r="L430" s="27">
        <f>SUMIFS(INDEX(Load,,MATCH('Summarized Source Data'!$C430,Hour,0)),Month,'Summarized Source Data'!$A430,Sector,'Summarized Source Data'!L$2,Subsector,'Summarized Source Data'!L$3,TimeOfWeek,$E430)*INDEX(About!H$79:H$82,MATCH($B430,About!$A$79:$A$82,0),1)</f>
        <v>236067</v>
      </c>
      <c r="M430" s="27">
        <f>SUMIFS(INDEX(Load,,MATCH('Summarized Source Data'!$C430,Hour,0)),Month,'Summarized Source Data'!$A430,Sector,'Summarized Source Data'!M$2,Subsector,'Summarized Source Data'!M$3,TimeOfWeek,$E430)*INDEX(About!I$79:I$82,MATCH($B430,About!$A$79:$A$82,0),1)</f>
        <v>69000000</v>
      </c>
      <c r="N430" s="27">
        <f>SUMIFS(INDEX(Load,,MATCH('Summarized Source Data'!$C430,Hour,0)),Month,'Summarized Source Data'!$A430,Sector,'Summarized Source Data'!N$2,Subsector,'Summarized Source Data'!N$3,TimeOfWeek,$E430)*INDEX(About!J$79:J$82,MATCH($B430,About!$A$79:$A$82,0),1)</f>
        <v>0</v>
      </c>
      <c r="O430" s="29">
        <f t="shared" si="32"/>
        <v>101763933</v>
      </c>
      <c r="P430" s="27">
        <f>(SUMIFS(INDEX(Load,,MATCH('Summarized Source Data'!$C430,Hour,0)),Month,'Summarized Source Data'!$A430,Sector,'Summarized Source Data'!P$2,Subsector,"Total",TimeOfWeek,$E430)-SUM(L430:N430)*INDEX(About!L$79:L$82,MATCH($B430,About!$A$79:$A$82,0),1))</f>
        <v>101763933</v>
      </c>
      <c r="Q430" s="29">
        <f t="shared" si="33"/>
        <v>101763933</v>
      </c>
      <c r="R430" s="33">
        <f>SUMIFS(INDEX(Load,,MATCH('Summarized Source Data'!$C430,Hour,0)),Month,'Summarized Source Data'!$A430,Sector,'Summarized Source Data'!R$2,TimeOfWeek,$E430)*INDEX(About!N$79:N$82,MATCH($B430,About!$A$79:$A$82,0),1)</f>
        <v>5613621</v>
      </c>
      <c r="S430" s="33">
        <f>SUMIFS(INDEX(Load,,MATCH('Summarized Source Data'!$C430,Hour,0)),Month,'Summarized Source Data'!$A430,Sector,'Summarized Source Data'!S$2,TimeOfWeek,$E430)*INDEX(About!O$79:O$82,MATCH($B430,About!$A$79:$A$82,0),1)</f>
        <v>5613621</v>
      </c>
      <c r="T430" s="33">
        <f>SUMIFS(INDEX(Load,,MATCH('Summarized Source Data'!$C430,Hour,0)),Month,'Summarized Source Data'!$A430,Sector,'Summarized Source Data'!T$2,TimeOfWeek,$E430)*INDEX(About!P$79:P$82,MATCH($B430,About!$A$79:$A$82,0),1)</f>
        <v>5613621</v>
      </c>
      <c r="U430" s="33">
        <f>SUMIFS(INDEX(Load,,MATCH('Summarized Source Data'!$C430,Hour,0)),Month,'Summarized Source Data'!$A430,Sector,'Summarized Source Data'!U$2,TimeOfWeek,$E430)*INDEX(About!Q$79:Q$82,MATCH($B430,About!$A$79:$A$82,0),1)</f>
        <v>5613621</v>
      </c>
      <c r="V430" s="33">
        <f>SUMIFS(INDEX(Load,,MATCH('Summarized Source Data'!$C430,Hour,0)),Month,'Summarized Source Data'!$A430,Sector,'Summarized Source Data'!V$2,TimeOfWeek,$E430)*INDEX(About!R$79:R$82,MATCH($B430,About!$A$79:$A$82,0),1)</f>
        <v>5613621</v>
      </c>
      <c r="W430" s="33">
        <f>SUMIFS(INDEX(Load,,MATCH('Summarized Source Data'!$C430,Hour,0)),Month,'Summarized Source Data'!$A430,Sector,'Summarized Source Data'!W$2,TimeOfWeek,$E430)*INDEX(About!S$79:S$82,MATCH($B430,About!$A$79:$A$82,0),1)</f>
        <v>5613621</v>
      </c>
      <c r="X430" s="27">
        <f>SUMIFS(INDEX(Load,,MATCH('Summarized Source Data'!$C430,Hour,0)),Month,'Summarized Source Data'!$A430,Sector,'Summarized Source Data'!X$2,Subsector,'Summarized Source Data'!X$3,TimeOfWeek,$E430)*INDEX(About!T$79:T$82,MATCH($B430,About!$A$79:$A$82,0),1)</f>
        <v>355000000</v>
      </c>
      <c r="Y430" s="29">
        <f t="shared" si="36"/>
        <v>355000000</v>
      </c>
      <c r="Z430" s="29">
        <f t="shared" si="36"/>
        <v>355000000</v>
      </c>
    </row>
    <row r="431" spans="1:26" x14ac:dyDescent="0.3">
      <c r="A431">
        <f t="shared" si="35"/>
        <v>6</v>
      </c>
      <c r="B431" t="str">
        <f>INDEX('Category Mapping'!$G$28:$G$39,MATCH(A431,'Category Mapping'!$A$28:$A$39,0),1)</f>
        <v>Summer</v>
      </c>
      <c r="C431" t="s">
        <v>82</v>
      </c>
      <c r="D431" s="6" t="s">
        <v>157</v>
      </c>
      <c r="E431" s="46" t="s">
        <v>48</v>
      </c>
      <c r="F431" s="27">
        <f>SUMIFS(INDEX(Load,,MATCH('Summarized Source Data'!$C431,Hour,0)),Month,'Summarized Source Data'!$A431,Sector,'Summarized Source Data'!F$2,Subsector,'Summarized Source Data'!F$3,TimeOfWeek,$E431)*INDEX(About!B$79:B$82,MATCH($B431,About!$A$79:$A$82,0),1)</f>
        <v>229307</v>
      </c>
      <c r="G431" s="27">
        <f>SUMIFS(INDEX(Load,,MATCH('Summarized Source Data'!$C431,Hour,0)),Month,'Summarized Source Data'!$A431,Sector,'Summarized Source Data'!G$2,Subsector,'Summarized Source Data'!G$3,TimeOfWeek,$E431)*INDEX(About!C$79:C$82,MATCH($B431,About!$A$79:$A$82,0),1)</f>
        <v>18900000</v>
      </c>
      <c r="H431" s="27">
        <f>SUMIFS(INDEX(Load,,MATCH('Summarized Source Data'!$C431,Hour,0)),Month,'Summarized Source Data'!$A431,Sector,'Summarized Source Data'!H$2,Subsector,'Summarized Source Data'!H$3,TimeOfWeek,$E431)*INDEX(About!D$79:D$82,MATCH($B431,About!$A$79:$A$82,0),1)</f>
        <v>0</v>
      </c>
      <c r="I431" s="27">
        <f>SUMIFS(INDEX(Load,,MATCH('Summarized Source Data'!$C431,Hour,0)),Month,'Summarized Source Data'!$A431,Sector,'Summarized Source Data'!I$2,Subsector,'Summarized Source Data'!I$3,TimeOfWeek,$E431)*INDEX(About!E$79:E$82,MATCH($B431,About!$A$79:$A$82,0),1)</f>
        <v>29500000</v>
      </c>
      <c r="J431" s="54">
        <f t="shared" si="31"/>
        <v>83370693</v>
      </c>
      <c r="K431" s="27">
        <f>(SUMIFS(INDEX(Load,,MATCH('Summarized Source Data'!$C431,Hour,0)),Month,'Summarized Source Data'!$A431,Sector,'Summarized Source Data'!K$2,Subsector,"Total",TimeOfWeek,$E431)-SUM(F431:I431))*INDEX(About!G$79:G$82,MATCH($B431,About!$A$79:$A$82,0),1)</f>
        <v>83370693</v>
      </c>
      <c r="L431" s="27">
        <f>SUMIFS(INDEX(Load,,MATCH('Summarized Source Data'!$C431,Hour,0)),Month,'Summarized Source Data'!$A431,Sector,'Summarized Source Data'!L$2,Subsector,'Summarized Source Data'!L$3,TimeOfWeek,$E431)*INDEX(About!H$79:H$82,MATCH($B431,About!$A$79:$A$82,0),1)</f>
        <v>256749</v>
      </c>
      <c r="M431" s="27">
        <f>SUMIFS(INDEX(Load,,MATCH('Summarized Source Data'!$C431,Hour,0)),Month,'Summarized Source Data'!$A431,Sector,'Summarized Source Data'!M$2,Subsector,'Summarized Source Data'!M$3,TimeOfWeek,$E431)*INDEX(About!I$79:I$82,MATCH($B431,About!$A$79:$A$82,0),1)</f>
        <v>62100000</v>
      </c>
      <c r="N431" s="27">
        <f>SUMIFS(INDEX(Load,,MATCH('Summarized Source Data'!$C431,Hour,0)),Month,'Summarized Source Data'!$A431,Sector,'Summarized Source Data'!N$2,Subsector,'Summarized Source Data'!N$3,TimeOfWeek,$E431)*INDEX(About!J$79:J$82,MATCH($B431,About!$A$79:$A$82,0),1)</f>
        <v>0</v>
      </c>
      <c r="O431" s="29">
        <f t="shared" si="32"/>
        <v>98643251</v>
      </c>
      <c r="P431" s="27">
        <f>(SUMIFS(INDEX(Load,,MATCH('Summarized Source Data'!$C431,Hour,0)),Month,'Summarized Source Data'!$A431,Sector,'Summarized Source Data'!P$2,Subsector,"Total",TimeOfWeek,$E431)-SUM(L431:N431)*INDEX(About!L$79:L$82,MATCH($B431,About!$A$79:$A$82,0),1))</f>
        <v>98643251</v>
      </c>
      <c r="Q431" s="29">
        <f t="shared" si="33"/>
        <v>98643251</v>
      </c>
      <c r="R431" s="33">
        <f>SUMIFS(INDEX(Load,,MATCH('Summarized Source Data'!$C431,Hour,0)),Month,'Summarized Source Data'!$A431,Sector,'Summarized Source Data'!R$2,TimeOfWeek,$E431)*INDEX(About!N$79:N$82,MATCH($B431,About!$A$79:$A$82,0),1)</f>
        <v>5478945</v>
      </c>
      <c r="S431" s="33">
        <f>SUMIFS(INDEX(Load,,MATCH('Summarized Source Data'!$C431,Hour,0)),Month,'Summarized Source Data'!$A431,Sector,'Summarized Source Data'!S$2,TimeOfWeek,$E431)*INDEX(About!O$79:O$82,MATCH($B431,About!$A$79:$A$82,0),1)</f>
        <v>5478945</v>
      </c>
      <c r="T431" s="33">
        <f>SUMIFS(INDEX(Load,,MATCH('Summarized Source Data'!$C431,Hour,0)),Month,'Summarized Source Data'!$A431,Sector,'Summarized Source Data'!T$2,TimeOfWeek,$E431)*INDEX(About!P$79:P$82,MATCH($B431,About!$A$79:$A$82,0),1)</f>
        <v>5478945</v>
      </c>
      <c r="U431" s="33">
        <f>SUMIFS(INDEX(Load,,MATCH('Summarized Source Data'!$C431,Hour,0)),Month,'Summarized Source Data'!$A431,Sector,'Summarized Source Data'!U$2,TimeOfWeek,$E431)*INDEX(About!Q$79:Q$82,MATCH($B431,About!$A$79:$A$82,0),1)</f>
        <v>5478945</v>
      </c>
      <c r="V431" s="33">
        <f>SUMIFS(INDEX(Load,,MATCH('Summarized Source Data'!$C431,Hour,0)),Month,'Summarized Source Data'!$A431,Sector,'Summarized Source Data'!V$2,TimeOfWeek,$E431)*INDEX(About!R$79:R$82,MATCH($B431,About!$A$79:$A$82,0),1)</f>
        <v>5478945</v>
      </c>
      <c r="W431" s="33">
        <f>SUMIFS(INDEX(Load,,MATCH('Summarized Source Data'!$C431,Hour,0)),Month,'Summarized Source Data'!$A431,Sector,'Summarized Source Data'!W$2,TimeOfWeek,$E431)*INDEX(About!S$79:S$82,MATCH($B431,About!$A$79:$A$82,0),1)</f>
        <v>5478945</v>
      </c>
      <c r="X431" s="27">
        <f>SUMIFS(INDEX(Load,,MATCH('Summarized Source Data'!$C431,Hour,0)),Month,'Summarized Source Data'!$A431,Sector,'Summarized Source Data'!X$2,Subsector,'Summarized Source Data'!X$3,TimeOfWeek,$E431)*INDEX(About!T$79:T$82,MATCH($B431,About!$A$79:$A$82,0),1)</f>
        <v>353000000</v>
      </c>
      <c r="Y431" s="29">
        <f t="shared" si="36"/>
        <v>353000000</v>
      </c>
      <c r="Z431" s="29">
        <f t="shared" si="36"/>
        <v>353000000</v>
      </c>
    </row>
    <row r="432" spans="1:26" x14ac:dyDescent="0.3">
      <c r="A432">
        <f t="shared" si="35"/>
        <v>6</v>
      </c>
      <c r="B432" t="str">
        <f>INDEX('Category Mapping'!$G$28:$G$39,MATCH(A432,'Category Mapping'!$A$28:$A$39,0),1)</f>
        <v>Summer</v>
      </c>
      <c r="C432" t="s">
        <v>83</v>
      </c>
      <c r="D432" s="6" t="s">
        <v>158</v>
      </c>
      <c r="E432" s="46" t="s">
        <v>48</v>
      </c>
      <c r="F432" s="27">
        <f>SUMIFS(INDEX(Load,,MATCH('Summarized Source Data'!$C432,Hour,0)),Month,'Summarized Source Data'!$A432,Sector,'Summarized Source Data'!F$2,Subsector,'Summarized Source Data'!F$3,TimeOfWeek,$E432)*INDEX(About!B$79:B$82,MATCH($B432,About!$A$79:$A$82,0),1)</f>
        <v>228478</v>
      </c>
      <c r="G432" s="27">
        <f>SUMIFS(INDEX(Load,,MATCH('Summarized Source Data'!$C432,Hour,0)),Month,'Summarized Source Data'!$A432,Sector,'Summarized Source Data'!G$2,Subsector,'Summarized Source Data'!G$3,TimeOfWeek,$E432)*INDEX(About!C$79:C$82,MATCH($B432,About!$A$79:$A$82,0),1)</f>
        <v>14900000</v>
      </c>
      <c r="H432" s="27">
        <f>SUMIFS(INDEX(Load,,MATCH('Summarized Source Data'!$C432,Hour,0)),Month,'Summarized Source Data'!$A432,Sector,'Summarized Source Data'!H$2,Subsector,'Summarized Source Data'!H$3,TimeOfWeek,$E432)*INDEX(About!D$79:D$82,MATCH($B432,About!$A$79:$A$82,0),1)</f>
        <v>0</v>
      </c>
      <c r="I432" s="27">
        <f>SUMIFS(INDEX(Load,,MATCH('Summarized Source Data'!$C432,Hour,0)),Month,'Summarized Source Data'!$A432,Sector,'Summarized Source Data'!I$2,Subsector,'Summarized Source Data'!I$3,TimeOfWeek,$E432)*INDEX(About!E$79:E$82,MATCH($B432,About!$A$79:$A$82,0),1)</f>
        <v>29300000</v>
      </c>
      <c r="J432" s="54">
        <f t="shared" si="31"/>
        <v>77571522</v>
      </c>
      <c r="K432" s="27">
        <f>(SUMIFS(INDEX(Load,,MATCH('Summarized Source Data'!$C432,Hour,0)),Month,'Summarized Source Data'!$A432,Sector,'Summarized Source Data'!K$2,Subsector,"Total",TimeOfWeek,$E432)-SUM(F432:I432))*INDEX(About!G$79:G$82,MATCH($B432,About!$A$79:$A$82,0),1)</f>
        <v>77571522</v>
      </c>
      <c r="L432" s="27">
        <f>SUMIFS(INDEX(Load,,MATCH('Summarized Source Data'!$C432,Hour,0)),Month,'Summarized Source Data'!$A432,Sector,'Summarized Source Data'!L$2,Subsector,'Summarized Source Data'!L$3,TimeOfWeek,$E432)*INDEX(About!H$79:H$82,MATCH($B432,About!$A$79:$A$82,0),1)</f>
        <v>316912</v>
      </c>
      <c r="M432" s="27">
        <f>SUMIFS(INDEX(Load,,MATCH('Summarized Source Data'!$C432,Hour,0)),Month,'Summarized Source Data'!$A432,Sector,'Summarized Source Data'!M$2,Subsector,'Summarized Source Data'!M$3,TimeOfWeek,$E432)*INDEX(About!I$79:I$82,MATCH($B432,About!$A$79:$A$82,0),1)</f>
        <v>55200000</v>
      </c>
      <c r="N432" s="27">
        <f>SUMIFS(INDEX(Load,,MATCH('Summarized Source Data'!$C432,Hour,0)),Month,'Summarized Source Data'!$A432,Sector,'Summarized Source Data'!N$2,Subsector,'Summarized Source Data'!N$3,TimeOfWeek,$E432)*INDEX(About!J$79:J$82,MATCH($B432,About!$A$79:$A$82,0),1)</f>
        <v>0</v>
      </c>
      <c r="O432" s="29">
        <f t="shared" si="32"/>
        <v>93483088</v>
      </c>
      <c r="P432" s="27">
        <f>(SUMIFS(INDEX(Load,,MATCH('Summarized Source Data'!$C432,Hour,0)),Month,'Summarized Source Data'!$A432,Sector,'Summarized Source Data'!P$2,Subsector,"Total",TimeOfWeek,$E432)-SUM(L432:N432)*INDEX(About!L$79:L$82,MATCH($B432,About!$A$79:$A$82,0),1))</f>
        <v>93483088</v>
      </c>
      <c r="Q432" s="29">
        <f t="shared" si="33"/>
        <v>93483088</v>
      </c>
      <c r="R432" s="33">
        <f>SUMIFS(INDEX(Load,,MATCH('Summarized Source Data'!$C432,Hour,0)),Month,'Summarized Source Data'!$A432,Sector,'Summarized Source Data'!R$2,TimeOfWeek,$E432)*INDEX(About!N$79:N$82,MATCH($B432,About!$A$79:$A$82,0),1)</f>
        <v>5297426</v>
      </c>
      <c r="S432" s="33">
        <f>SUMIFS(INDEX(Load,,MATCH('Summarized Source Data'!$C432,Hour,0)),Month,'Summarized Source Data'!$A432,Sector,'Summarized Source Data'!S$2,TimeOfWeek,$E432)*INDEX(About!O$79:O$82,MATCH($B432,About!$A$79:$A$82,0),1)</f>
        <v>5297426</v>
      </c>
      <c r="T432" s="33">
        <f>SUMIFS(INDEX(Load,,MATCH('Summarized Source Data'!$C432,Hour,0)),Month,'Summarized Source Data'!$A432,Sector,'Summarized Source Data'!T$2,TimeOfWeek,$E432)*INDEX(About!P$79:P$82,MATCH($B432,About!$A$79:$A$82,0),1)</f>
        <v>5297426</v>
      </c>
      <c r="U432" s="33">
        <f>SUMIFS(INDEX(Load,,MATCH('Summarized Source Data'!$C432,Hour,0)),Month,'Summarized Source Data'!$A432,Sector,'Summarized Source Data'!U$2,TimeOfWeek,$E432)*INDEX(About!Q$79:Q$82,MATCH($B432,About!$A$79:$A$82,0),1)</f>
        <v>5297426</v>
      </c>
      <c r="V432" s="33">
        <f>SUMIFS(INDEX(Load,,MATCH('Summarized Source Data'!$C432,Hour,0)),Month,'Summarized Source Data'!$A432,Sector,'Summarized Source Data'!V$2,TimeOfWeek,$E432)*INDEX(About!R$79:R$82,MATCH($B432,About!$A$79:$A$82,0),1)</f>
        <v>5297426</v>
      </c>
      <c r="W432" s="33">
        <f>SUMIFS(INDEX(Load,,MATCH('Summarized Source Data'!$C432,Hour,0)),Month,'Summarized Source Data'!$A432,Sector,'Summarized Source Data'!W$2,TimeOfWeek,$E432)*INDEX(About!S$79:S$82,MATCH($B432,About!$A$79:$A$82,0),1)</f>
        <v>5297426</v>
      </c>
      <c r="X432" s="27">
        <f>SUMIFS(INDEX(Load,,MATCH('Summarized Source Data'!$C432,Hour,0)),Month,'Summarized Source Data'!$A432,Sector,'Summarized Source Data'!X$2,Subsector,'Summarized Source Data'!X$3,TimeOfWeek,$E432)*INDEX(About!T$79:T$82,MATCH($B432,About!$A$79:$A$82,0),1)</f>
        <v>351000000</v>
      </c>
      <c r="Y432" s="29">
        <f t="shared" si="36"/>
        <v>351000000</v>
      </c>
      <c r="Z432" s="29">
        <f t="shared" si="36"/>
        <v>351000000</v>
      </c>
    </row>
    <row r="433" spans="1:26" x14ac:dyDescent="0.3">
      <c r="A433">
        <f t="shared" si="35"/>
        <v>6</v>
      </c>
      <c r="B433" t="str">
        <f>INDEX('Category Mapping'!$G$28:$G$39,MATCH(A433,'Category Mapping'!$A$28:$A$39,0),1)</f>
        <v>Summer</v>
      </c>
      <c r="C433" t="s">
        <v>84</v>
      </c>
      <c r="D433" s="6" t="s">
        <v>159</v>
      </c>
      <c r="E433" s="46" t="s">
        <v>48</v>
      </c>
      <c r="F433" s="27">
        <f>SUMIFS(INDEX(Load,,MATCH('Summarized Source Data'!$C433,Hour,0)),Month,'Summarized Source Data'!$A433,Sector,'Summarized Source Data'!F$2,Subsector,'Summarized Source Data'!F$3,TimeOfWeek,$E433)*INDEX(About!B$79:B$82,MATCH($B433,About!$A$79:$A$82,0),1)</f>
        <v>202052</v>
      </c>
      <c r="G433" s="27">
        <f>SUMIFS(INDEX(Load,,MATCH('Summarized Source Data'!$C433,Hour,0)),Month,'Summarized Source Data'!$A433,Sector,'Summarized Source Data'!G$2,Subsector,'Summarized Source Data'!G$3,TimeOfWeek,$E433)*INDEX(About!C$79:C$82,MATCH($B433,About!$A$79:$A$82,0),1)</f>
        <v>10600000</v>
      </c>
      <c r="H433" s="27">
        <f>SUMIFS(INDEX(Load,,MATCH('Summarized Source Data'!$C433,Hour,0)),Month,'Summarized Source Data'!$A433,Sector,'Summarized Source Data'!H$2,Subsector,'Summarized Source Data'!H$3,TimeOfWeek,$E433)*INDEX(About!D$79:D$82,MATCH($B433,About!$A$79:$A$82,0),1)</f>
        <v>0</v>
      </c>
      <c r="I433" s="27">
        <f>SUMIFS(INDEX(Load,,MATCH('Summarized Source Data'!$C433,Hour,0)),Month,'Summarized Source Data'!$A433,Sector,'Summarized Source Data'!I$2,Subsector,'Summarized Source Data'!I$3,TimeOfWeek,$E433)*INDEX(About!E$79:E$82,MATCH($B433,About!$A$79:$A$82,0),1)</f>
        <v>24200000</v>
      </c>
      <c r="J433" s="54">
        <f t="shared" si="31"/>
        <v>71997948</v>
      </c>
      <c r="K433" s="27">
        <f>(SUMIFS(INDEX(Load,,MATCH('Summarized Source Data'!$C433,Hour,0)),Month,'Summarized Source Data'!$A433,Sector,'Summarized Source Data'!K$2,Subsector,"Total",TimeOfWeek,$E433)-SUM(F433:I433))*INDEX(About!G$79:G$82,MATCH($B433,About!$A$79:$A$82,0),1)</f>
        <v>71997948</v>
      </c>
      <c r="L433" s="27">
        <f>SUMIFS(INDEX(Load,,MATCH('Summarized Source Data'!$C433,Hour,0)),Month,'Summarized Source Data'!$A433,Sector,'Summarized Source Data'!L$2,Subsector,'Summarized Source Data'!L$3,TimeOfWeek,$E433)*INDEX(About!H$79:H$82,MATCH($B433,About!$A$79:$A$82,0),1)</f>
        <v>330915</v>
      </c>
      <c r="M433" s="27">
        <f>SUMIFS(INDEX(Load,,MATCH('Summarized Source Data'!$C433,Hour,0)),Month,'Summarized Source Data'!$A433,Sector,'Summarized Source Data'!M$2,Subsector,'Summarized Source Data'!M$3,TimeOfWeek,$E433)*INDEX(About!I$79:I$82,MATCH($B433,About!$A$79:$A$82,0),1)</f>
        <v>48400000</v>
      </c>
      <c r="N433" s="27">
        <f>SUMIFS(INDEX(Load,,MATCH('Summarized Source Data'!$C433,Hour,0)),Month,'Summarized Source Data'!$A433,Sector,'Summarized Source Data'!N$2,Subsector,'Summarized Source Data'!N$3,TimeOfWeek,$E433)*INDEX(About!J$79:J$82,MATCH($B433,About!$A$79:$A$82,0),1)</f>
        <v>0</v>
      </c>
      <c r="O433" s="29">
        <f t="shared" si="32"/>
        <v>87269085</v>
      </c>
      <c r="P433" s="27">
        <f>(SUMIFS(INDEX(Load,,MATCH('Summarized Source Data'!$C433,Hour,0)),Month,'Summarized Source Data'!$A433,Sector,'Summarized Source Data'!P$2,Subsector,"Total",TimeOfWeek,$E433)-SUM(L433:N433)*INDEX(About!L$79:L$82,MATCH($B433,About!$A$79:$A$82,0),1))</f>
        <v>87269085</v>
      </c>
      <c r="Q433" s="29">
        <f t="shared" si="33"/>
        <v>87269085</v>
      </c>
      <c r="R433" s="33">
        <f>SUMIFS(INDEX(Load,,MATCH('Summarized Source Data'!$C433,Hour,0)),Month,'Summarized Source Data'!$A433,Sector,'Summarized Source Data'!R$2,TimeOfWeek,$E433)*INDEX(About!N$79:N$82,MATCH($B433,About!$A$79:$A$82,0),1)</f>
        <v>5092485</v>
      </c>
      <c r="S433" s="33">
        <f>SUMIFS(INDEX(Load,,MATCH('Summarized Source Data'!$C433,Hour,0)),Month,'Summarized Source Data'!$A433,Sector,'Summarized Source Data'!S$2,TimeOfWeek,$E433)*INDEX(About!O$79:O$82,MATCH($B433,About!$A$79:$A$82,0),1)</f>
        <v>5092485</v>
      </c>
      <c r="T433" s="33">
        <f>SUMIFS(INDEX(Load,,MATCH('Summarized Source Data'!$C433,Hour,0)),Month,'Summarized Source Data'!$A433,Sector,'Summarized Source Data'!T$2,TimeOfWeek,$E433)*INDEX(About!P$79:P$82,MATCH($B433,About!$A$79:$A$82,0),1)</f>
        <v>5092485</v>
      </c>
      <c r="U433" s="33">
        <f>SUMIFS(INDEX(Load,,MATCH('Summarized Source Data'!$C433,Hour,0)),Month,'Summarized Source Data'!$A433,Sector,'Summarized Source Data'!U$2,TimeOfWeek,$E433)*INDEX(About!Q$79:Q$82,MATCH($B433,About!$A$79:$A$82,0),1)</f>
        <v>5092485</v>
      </c>
      <c r="V433" s="33">
        <f>SUMIFS(INDEX(Load,,MATCH('Summarized Source Data'!$C433,Hour,0)),Month,'Summarized Source Data'!$A433,Sector,'Summarized Source Data'!V$2,TimeOfWeek,$E433)*INDEX(About!R$79:R$82,MATCH($B433,About!$A$79:$A$82,0),1)</f>
        <v>5092485</v>
      </c>
      <c r="W433" s="33">
        <f>SUMIFS(INDEX(Load,,MATCH('Summarized Source Data'!$C433,Hour,0)),Month,'Summarized Source Data'!$A433,Sector,'Summarized Source Data'!W$2,TimeOfWeek,$E433)*INDEX(About!S$79:S$82,MATCH($B433,About!$A$79:$A$82,0),1)</f>
        <v>5092485</v>
      </c>
      <c r="X433" s="27">
        <f>SUMIFS(INDEX(Load,,MATCH('Summarized Source Data'!$C433,Hour,0)),Month,'Summarized Source Data'!$A433,Sector,'Summarized Source Data'!X$2,Subsector,'Summarized Source Data'!X$3,TimeOfWeek,$E433)*INDEX(About!T$79:T$82,MATCH($B433,About!$A$79:$A$82,0),1)</f>
        <v>348000000</v>
      </c>
      <c r="Y433" s="29">
        <f t="shared" si="36"/>
        <v>348000000</v>
      </c>
      <c r="Z433" s="29">
        <f t="shared" si="36"/>
        <v>348000000</v>
      </c>
    </row>
    <row r="434" spans="1:26" x14ac:dyDescent="0.3">
      <c r="A434">
        <f t="shared" si="35"/>
        <v>6</v>
      </c>
      <c r="B434" t="str">
        <f>INDEX('Category Mapping'!$G$28:$G$39,MATCH(A434,'Category Mapping'!$A$28:$A$39,0),1)</f>
        <v>Summer</v>
      </c>
      <c r="C434" t="s">
        <v>85</v>
      </c>
      <c r="D434" s="6" t="s">
        <v>160</v>
      </c>
      <c r="E434" s="46" t="s">
        <v>48</v>
      </c>
      <c r="F434" s="27">
        <f>SUMIFS(INDEX(Load,,MATCH('Summarized Source Data'!$C434,Hour,0)),Month,'Summarized Source Data'!$A434,Sector,'Summarized Source Data'!F$2,Subsector,'Summarized Source Data'!F$3,TimeOfWeek,$E434)*INDEX(About!B$79:B$82,MATCH($B434,About!$A$79:$A$82,0),1)</f>
        <v>157221</v>
      </c>
      <c r="G434" s="27">
        <f>SUMIFS(INDEX(Load,,MATCH('Summarized Source Data'!$C434,Hour,0)),Month,'Summarized Source Data'!$A434,Sector,'Summarized Source Data'!G$2,Subsector,'Summarized Source Data'!G$3,TimeOfWeek,$E434)*INDEX(About!C$79:C$82,MATCH($B434,About!$A$79:$A$82,0),1)</f>
        <v>6551808</v>
      </c>
      <c r="H434" s="27">
        <f>SUMIFS(INDEX(Load,,MATCH('Summarized Source Data'!$C434,Hour,0)),Month,'Summarized Source Data'!$A434,Sector,'Summarized Source Data'!H$2,Subsector,'Summarized Source Data'!H$3,TimeOfWeek,$E434)*INDEX(About!D$79:D$82,MATCH($B434,About!$A$79:$A$82,0),1)</f>
        <v>0</v>
      </c>
      <c r="I434" s="27">
        <f>SUMIFS(INDEX(Load,,MATCH('Summarized Source Data'!$C434,Hour,0)),Month,'Summarized Source Data'!$A434,Sector,'Summarized Source Data'!I$2,Subsector,'Summarized Source Data'!I$3,TimeOfWeek,$E434)*INDEX(About!E$79:E$82,MATCH($B434,About!$A$79:$A$82,0),1)</f>
        <v>15600000</v>
      </c>
      <c r="J434" s="54">
        <f t="shared" si="31"/>
        <v>60190971</v>
      </c>
      <c r="K434" s="27">
        <f>(SUMIFS(INDEX(Load,,MATCH('Summarized Source Data'!$C434,Hour,0)),Month,'Summarized Source Data'!$A434,Sector,'Summarized Source Data'!K$2,Subsector,"Total",TimeOfWeek,$E434)-SUM(F434:I434))*INDEX(About!G$79:G$82,MATCH($B434,About!$A$79:$A$82,0),1)</f>
        <v>60190971</v>
      </c>
      <c r="L434" s="27">
        <f>SUMIFS(INDEX(Load,,MATCH('Summarized Source Data'!$C434,Hour,0)),Month,'Summarized Source Data'!$A434,Sector,'Summarized Source Data'!L$2,Subsector,'Summarized Source Data'!L$3,TimeOfWeek,$E434)*INDEX(About!H$79:H$82,MATCH($B434,About!$A$79:$A$82,0),1)</f>
        <v>344602</v>
      </c>
      <c r="M434" s="27">
        <f>SUMIFS(INDEX(Load,,MATCH('Summarized Source Data'!$C434,Hour,0)),Month,'Summarized Source Data'!$A434,Sector,'Summarized Source Data'!M$2,Subsector,'Summarized Source Data'!M$3,TimeOfWeek,$E434)*INDEX(About!I$79:I$82,MATCH($B434,About!$A$79:$A$82,0),1)</f>
        <v>42200000</v>
      </c>
      <c r="N434" s="27">
        <f>SUMIFS(INDEX(Load,,MATCH('Summarized Source Data'!$C434,Hour,0)),Month,'Summarized Source Data'!$A434,Sector,'Summarized Source Data'!N$2,Subsector,'Summarized Source Data'!N$3,TimeOfWeek,$E434)*INDEX(About!J$79:J$82,MATCH($B434,About!$A$79:$A$82,0),1)</f>
        <v>0</v>
      </c>
      <c r="O434" s="29">
        <f t="shared" si="32"/>
        <v>83455398</v>
      </c>
      <c r="P434" s="27">
        <f>(SUMIFS(INDEX(Load,,MATCH('Summarized Source Data'!$C434,Hour,0)),Month,'Summarized Source Data'!$A434,Sector,'Summarized Source Data'!P$2,Subsector,"Total",TimeOfWeek,$E434)-SUM(L434:N434)*INDEX(About!L$79:L$82,MATCH($B434,About!$A$79:$A$82,0),1))</f>
        <v>83455398</v>
      </c>
      <c r="Q434" s="29">
        <f t="shared" si="33"/>
        <v>83455398</v>
      </c>
      <c r="R434" s="33">
        <f>SUMIFS(INDEX(Load,,MATCH('Summarized Source Data'!$C434,Hour,0)),Month,'Summarized Source Data'!$A434,Sector,'Summarized Source Data'!R$2,TimeOfWeek,$E434)*INDEX(About!N$79:N$82,MATCH($B434,About!$A$79:$A$82,0),1)</f>
        <v>5022220</v>
      </c>
      <c r="S434" s="33">
        <f>SUMIFS(INDEX(Load,,MATCH('Summarized Source Data'!$C434,Hour,0)),Month,'Summarized Source Data'!$A434,Sector,'Summarized Source Data'!S$2,TimeOfWeek,$E434)*INDEX(About!O$79:O$82,MATCH($B434,About!$A$79:$A$82,0),1)</f>
        <v>5022220</v>
      </c>
      <c r="T434" s="33">
        <f>SUMIFS(INDEX(Load,,MATCH('Summarized Source Data'!$C434,Hour,0)),Month,'Summarized Source Data'!$A434,Sector,'Summarized Source Data'!T$2,TimeOfWeek,$E434)*INDEX(About!P$79:P$82,MATCH($B434,About!$A$79:$A$82,0),1)</f>
        <v>5022220</v>
      </c>
      <c r="U434" s="33">
        <f>SUMIFS(INDEX(Load,,MATCH('Summarized Source Data'!$C434,Hour,0)),Month,'Summarized Source Data'!$A434,Sector,'Summarized Source Data'!U$2,TimeOfWeek,$E434)*INDEX(About!Q$79:Q$82,MATCH($B434,About!$A$79:$A$82,0),1)</f>
        <v>5022220</v>
      </c>
      <c r="V434" s="33">
        <f>SUMIFS(INDEX(Load,,MATCH('Summarized Source Data'!$C434,Hour,0)),Month,'Summarized Source Data'!$A434,Sector,'Summarized Source Data'!V$2,TimeOfWeek,$E434)*INDEX(About!R$79:R$82,MATCH($B434,About!$A$79:$A$82,0),1)</f>
        <v>5022220</v>
      </c>
      <c r="W434" s="33">
        <f>SUMIFS(INDEX(Load,,MATCH('Summarized Source Data'!$C434,Hour,0)),Month,'Summarized Source Data'!$A434,Sector,'Summarized Source Data'!W$2,TimeOfWeek,$E434)*INDEX(About!S$79:S$82,MATCH($B434,About!$A$79:$A$82,0),1)</f>
        <v>5022220</v>
      </c>
      <c r="X434" s="27">
        <f>SUMIFS(INDEX(Load,,MATCH('Summarized Source Data'!$C434,Hour,0)),Month,'Summarized Source Data'!$A434,Sector,'Summarized Source Data'!X$2,Subsector,'Summarized Source Data'!X$3,TimeOfWeek,$E434)*INDEX(About!T$79:T$82,MATCH($B434,About!$A$79:$A$82,0),1)</f>
        <v>345000000</v>
      </c>
      <c r="Y434" s="29">
        <f t="shared" si="36"/>
        <v>345000000</v>
      </c>
      <c r="Z434" s="29">
        <f t="shared" si="36"/>
        <v>345000000</v>
      </c>
    </row>
    <row r="435" spans="1:26" x14ac:dyDescent="0.3">
      <c r="A435">
        <f t="shared" si="35"/>
        <v>6</v>
      </c>
      <c r="B435" t="str">
        <f>INDEX('Category Mapping'!$G$28:$G$39,MATCH(A435,'Category Mapping'!$A$28:$A$39,0),1)</f>
        <v>Summer</v>
      </c>
      <c r="C435" t="s">
        <v>86</v>
      </c>
      <c r="D435" s="6" t="s">
        <v>161</v>
      </c>
      <c r="E435" s="46" t="s">
        <v>48</v>
      </c>
      <c r="F435" s="27">
        <f>SUMIFS(INDEX(Load,,MATCH('Summarized Source Data'!$C435,Hour,0)),Month,'Summarized Source Data'!$A435,Sector,'Summarized Source Data'!F$2,Subsector,'Summarized Source Data'!F$3,TimeOfWeek,$E435)*INDEX(About!B$79:B$82,MATCH($B435,About!$A$79:$A$82,0),1)</f>
        <v>134838</v>
      </c>
      <c r="G435" s="27">
        <f>SUMIFS(INDEX(Load,,MATCH('Summarized Source Data'!$C435,Hour,0)),Month,'Summarized Source Data'!$A435,Sector,'Summarized Source Data'!G$2,Subsector,'Summarized Source Data'!G$3,TimeOfWeek,$E435)*INDEX(About!C$79:C$82,MATCH($B435,About!$A$79:$A$82,0),1)</f>
        <v>3257820</v>
      </c>
      <c r="H435" s="27">
        <f>SUMIFS(INDEX(Load,,MATCH('Summarized Source Data'!$C435,Hour,0)),Month,'Summarized Source Data'!$A435,Sector,'Summarized Source Data'!H$2,Subsector,'Summarized Source Data'!H$3,TimeOfWeek,$E435)*INDEX(About!D$79:D$82,MATCH($B435,About!$A$79:$A$82,0),1)</f>
        <v>0</v>
      </c>
      <c r="I435" s="27">
        <f>SUMIFS(INDEX(Load,,MATCH('Summarized Source Data'!$C435,Hour,0)),Month,'Summarized Source Data'!$A435,Sector,'Summarized Source Data'!I$2,Subsector,'Summarized Source Data'!I$3,TimeOfWeek,$E435)*INDEX(About!E$79:E$82,MATCH($B435,About!$A$79:$A$82,0),1)</f>
        <v>8737309</v>
      </c>
      <c r="J435" s="54">
        <f t="shared" si="31"/>
        <v>47870033</v>
      </c>
      <c r="K435" s="27">
        <f>(SUMIFS(INDEX(Load,,MATCH('Summarized Source Data'!$C435,Hour,0)),Month,'Summarized Source Data'!$A435,Sector,'Summarized Source Data'!K$2,Subsector,"Total",TimeOfWeek,$E435)-SUM(F435:I435))*INDEX(About!G$79:G$82,MATCH($B435,About!$A$79:$A$82,0),1)</f>
        <v>47870033</v>
      </c>
      <c r="L435" s="27">
        <f>SUMIFS(INDEX(Load,,MATCH('Summarized Source Data'!$C435,Hour,0)),Month,'Summarized Source Data'!$A435,Sector,'Summarized Source Data'!L$2,Subsector,'Summarized Source Data'!L$3,TimeOfWeek,$E435)*INDEX(About!H$79:H$82,MATCH($B435,About!$A$79:$A$82,0),1)</f>
        <v>363914</v>
      </c>
      <c r="M435" s="27">
        <f>SUMIFS(INDEX(Load,,MATCH('Summarized Source Data'!$C435,Hour,0)),Month,'Summarized Source Data'!$A435,Sector,'Summarized Source Data'!M$2,Subsector,'Summarized Source Data'!M$3,TimeOfWeek,$E435)*INDEX(About!I$79:I$82,MATCH($B435,About!$A$79:$A$82,0),1)</f>
        <v>36600000</v>
      </c>
      <c r="N435" s="27">
        <f>SUMIFS(INDEX(Load,,MATCH('Summarized Source Data'!$C435,Hour,0)),Month,'Summarized Source Data'!$A435,Sector,'Summarized Source Data'!N$2,Subsector,'Summarized Source Data'!N$3,TimeOfWeek,$E435)*INDEX(About!J$79:J$82,MATCH($B435,About!$A$79:$A$82,0),1)</f>
        <v>0</v>
      </c>
      <c r="O435" s="29">
        <f t="shared" si="32"/>
        <v>76036086</v>
      </c>
      <c r="P435" s="27">
        <f>(SUMIFS(INDEX(Load,,MATCH('Summarized Source Data'!$C435,Hour,0)),Month,'Summarized Source Data'!$A435,Sector,'Summarized Source Data'!P$2,Subsector,"Total",TimeOfWeek,$E435)-SUM(L435:N435)*INDEX(About!L$79:L$82,MATCH($B435,About!$A$79:$A$82,0),1))</f>
        <v>76036086</v>
      </c>
      <c r="Q435" s="29">
        <f t="shared" si="33"/>
        <v>76036086</v>
      </c>
      <c r="R435" s="33">
        <f>SUMIFS(INDEX(Load,,MATCH('Summarized Source Data'!$C435,Hour,0)),Month,'Summarized Source Data'!$A435,Sector,'Summarized Source Data'!R$2,TimeOfWeek,$E435)*INDEX(About!N$79:N$82,MATCH($B435,About!$A$79:$A$82,0),1)</f>
        <v>3375603</v>
      </c>
      <c r="S435" s="33">
        <f>SUMIFS(INDEX(Load,,MATCH('Summarized Source Data'!$C435,Hour,0)),Month,'Summarized Source Data'!$A435,Sector,'Summarized Source Data'!S$2,TimeOfWeek,$E435)*INDEX(About!O$79:O$82,MATCH($B435,About!$A$79:$A$82,0),1)</f>
        <v>3375603</v>
      </c>
      <c r="T435" s="33">
        <f>SUMIFS(INDEX(Load,,MATCH('Summarized Source Data'!$C435,Hour,0)),Month,'Summarized Source Data'!$A435,Sector,'Summarized Source Data'!T$2,TimeOfWeek,$E435)*INDEX(About!P$79:P$82,MATCH($B435,About!$A$79:$A$82,0),1)</f>
        <v>3375603</v>
      </c>
      <c r="U435" s="33">
        <f>SUMIFS(INDEX(Load,,MATCH('Summarized Source Data'!$C435,Hour,0)),Month,'Summarized Source Data'!$A435,Sector,'Summarized Source Data'!U$2,TimeOfWeek,$E435)*INDEX(About!Q$79:Q$82,MATCH($B435,About!$A$79:$A$82,0),1)</f>
        <v>3375603</v>
      </c>
      <c r="V435" s="33">
        <f>SUMIFS(INDEX(Load,,MATCH('Summarized Source Data'!$C435,Hour,0)),Month,'Summarized Source Data'!$A435,Sector,'Summarized Source Data'!V$2,TimeOfWeek,$E435)*INDEX(About!R$79:R$82,MATCH($B435,About!$A$79:$A$82,0),1)</f>
        <v>3375603</v>
      </c>
      <c r="W435" s="33">
        <f>SUMIFS(INDEX(Load,,MATCH('Summarized Source Data'!$C435,Hour,0)),Month,'Summarized Source Data'!$A435,Sector,'Summarized Source Data'!W$2,TimeOfWeek,$E435)*INDEX(About!S$79:S$82,MATCH($B435,About!$A$79:$A$82,0),1)</f>
        <v>3375603</v>
      </c>
      <c r="X435" s="27">
        <f>SUMIFS(INDEX(Load,,MATCH('Summarized Source Data'!$C435,Hour,0)),Month,'Summarized Source Data'!$A435,Sector,'Summarized Source Data'!X$2,Subsector,'Summarized Source Data'!X$3,TimeOfWeek,$E435)*INDEX(About!T$79:T$82,MATCH($B435,About!$A$79:$A$82,0),1)</f>
        <v>343000000</v>
      </c>
      <c r="Y435" s="29">
        <f t="shared" si="36"/>
        <v>343000000</v>
      </c>
      <c r="Z435" s="29">
        <f t="shared" si="36"/>
        <v>343000000</v>
      </c>
    </row>
    <row r="436" spans="1:26" x14ac:dyDescent="0.3">
      <c r="A436">
        <f t="shared" si="35"/>
        <v>7</v>
      </c>
      <c r="B436" t="str">
        <f>INDEX('Category Mapping'!$G$28:$G$39,MATCH(A436,'Category Mapping'!$A$28:$A$39,0),1)</f>
        <v>Summer</v>
      </c>
      <c r="C436" t="s">
        <v>63</v>
      </c>
      <c r="D436" s="6" t="s">
        <v>138</v>
      </c>
      <c r="E436" s="46" t="s">
        <v>48</v>
      </c>
      <c r="F436" s="27">
        <f>SUMIFS(INDEX(Load,,MATCH('Summarized Source Data'!$C436,Hour,0)),Month,'Summarized Source Data'!$A436,Sector,'Summarized Source Data'!F$2,Subsector,'Summarized Source Data'!F$3,TimeOfWeek,$E436)*INDEX(About!B$79:B$82,MATCH($B436,About!$A$79:$A$82,0),1)</f>
        <v>26531</v>
      </c>
      <c r="G436" s="27">
        <f>SUMIFS(INDEX(Load,,MATCH('Summarized Source Data'!$C436,Hour,0)),Month,'Summarized Source Data'!$A436,Sector,'Summarized Source Data'!G$2,Subsector,'Summarized Source Data'!G$3,TimeOfWeek,$E436)*INDEX(About!C$79:C$82,MATCH($B436,About!$A$79:$A$82,0),1)</f>
        <v>24400000</v>
      </c>
      <c r="H436" s="27">
        <f>SUMIFS(INDEX(Load,,MATCH('Summarized Source Data'!$C436,Hour,0)),Month,'Summarized Source Data'!$A436,Sector,'Summarized Source Data'!H$2,Subsector,'Summarized Source Data'!H$3,TimeOfWeek,$E436)*INDEX(About!D$79:D$82,MATCH($B436,About!$A$79:$A$82,0),1)</f>
        <v>0</v>
      </c>
      <c r="I436" s="27">
        <f>SUMIFS(INDEX(Load,,MATCH('Summarized Source Data'!$C436,Hour,0)),Month,'Summarized Source Data'!$A436,Sector,'Summarized Source Data'!I$2,Subsector,'Summarized Source Data'!I$3,TimeOfWeek,$E436)*INDEX(About!E$79:E$82,MATCH($B436,About!$A$79:$A$82,0),1)</f>
        <v>5902495</v>
      </c>
      <c r="J436" s="54">
        <f t="shared" si="31"/>
        <v>37570974</v>
      </c>
      <c r="K436" s="27">
        <f>(SUMIFS(INDEX(Load,,MATCH('Summarized Source Data'!$C436,Hour,0)),Month,'Summarized Source Data'!$A436,Sector,'Summarized Source Data'!K$2,Subsector,"Total",TimeOfWeek,$E436)-SUM(F436:I436))*INDEX(About!G$79:G$82,MATCH($B436,About!$A$79:$A$82,0),1)</f>
        <v>37570974</v>
      </c>
      <c r="L436" s="27">
        <f>SUMIFS(INDEX(Load,,MATCH('Summarized Source Data'!$C436,Hour,0)),Month,'Summarized Source Data'!$A436,Sector,'Summarized Source Data'!L$2,Subsector,'Summarized Source Data'!L$3,TimeOfWeek,$E436)*INDEX(About!H$79:H$82,MATCH($B436,About!$A$79:$A$82,0),1)</f>
        <v>63323</v>
      </c>
      <c r="M436" s="27">
        <f>SUMIFS(INDEX(Load,,MATCH('Summarized Source Data'!$C436,Hour,0)),Month,'Summarized Source Data'!$A436,Sector,'Summarized Source Data'!M$2,Subsector,'Summarized Source Data'!M$3,TimeOfWeek,$E436)*INDEX(About!I$79:I$82,MATCH($B436,About!$A$79:$A$82,0),1)</f>
        <v>105000000</v>
      </c>
      <c r="N436" s="27">
        <f>SUMIFS(INDEX(Load,,MATCH('Summarized Source Data'!$C436,Hour,0)),Month,'Summarized Source Data'!$A436,Sector,'Summarized Source Data'!N$2,Subsector,'Summarized Source Data'!N$3,TimeOfWeek,$E436)*INDEX(About!J$79:J$82,MATCH($B436,About!$A$79:$A$82,0),1)</f>
        <v>0</v>
      </c>
      <c r="O436" s="29">
        <f t="shared" si="32"/>
        <v>76936677</v>
      </c>
      <c r="P436" s="27">
        <f>(SUMIFS(INDEX(Load,,MATCH('Summarized Source Data'!$C436,Hour,0)),Month,'Summarized Source Data'!$A436,Sector,'Summarized Source Data'!P$2,Subsector,"Total",TimeOfWeek,$E436)-SUM(L436:N436)*INDEX(About!L$79:L$82,MATCH($B436,About!$A$79:$A$82,0),1))</f>
        <v>76936677</v>
      </c>
      <c r="Q436" s="29">
        <f t="shared" si="33"/>
        <v>76936677</v>
      </c>
      <c r="R436" s="33">
        <f>SUMIFS(INDEX(Load,,MATCH('Summarized Source Data'!$C436,Hour,0)),Month,'Summarized Source Data'!$A436,Sector,'Summarized Source Data'!R$2,TimeOfWeek,$E436)*INDEX(About!N$79:N$82,MATCH($B436,About!$A$79:$A$82,0),1)</f>
        <v>2356423</v>
      </c>
      <c r="S436" s="33">
        <f>SUMIFS(INDEX(Load,,MATCH('Summarized Source Data'!$C436,Hour,0)),Month,'Summarized Source Data'!$A436,Sector,'Summarized Source Data'!S$2,TimeOfWeek,$E436)*INDEX(About!O$79:O$82,MATCH($B436,About!$A$79:$A$82,0),1)</f>
        <v>2356423</v>
      </c>
      <c r="T436" s="33">
        <f>SUMIFS(INDEX(Load,,MATCH('Summarized Source Data'!$C436,Hour,0)),Month,'Summarized Source Data'!$A436,Sector,'Summarized Source Data'!T$2,TimeOfWeek,$E436)*INDEX(About!P$79:P$82,MATCH($B436,About!$A$79:$A$82,0),1)</f>
        <v>2356423</v>
      </c>
      <c r="U436" s="33">
        <f>SUMIFS(INDEX(Load,,MATCH('Summarized Source Data'!$C436,Hour,0)),Month,'Summarized Source Data'!$A436,Sector,'Summarized Source Data'!U$2,TimeOfWeek,$E436)*INDEX(About!Q$79:Q$82,MATCH($B436,About!$A$79:$A$82,0),1)</f>
        <v>2356423</v>
      </c>
      <c r="V436" s="33">
        <f>SUMIFS(INDEX(Load,,MATCH('Summarized Source Data'!$C436,Hour,0)),Month,'Summarized Source Data'!$A436,Sector,'Summarized Source Data'!V$2,TimeOfWeek,$E436)*INDEX(About!R$79:R$82,MATCH($B436,About!$A$79:$A$82,0),1)</f>
        <v>2356423</v>
      </c>
      <c r="W436" s="33">
        <f>SUMIFS(INDEX(Load,,MATCH('Summarized Source Data'!$C436,Hour,0)),Month,'Summarized Source Data'!$A436,Sector,'Summarized Source Data'!W$2,TimeOfWeek,$E436)*INDEX(About!S$79:S$82,MATCH($B436,About!$A$79:$A$82,0),1)</f>
        <v>2356423</v>
      </c>
      <c r="X436" s="27">
        <f>SUMIFS(INDEX(Load,,MATCH('Summarized Source Data'!$C436,Hour,0)),Month,'Summarized Source Data'!$A436,Sector,'Summarized Source Data'!X$2,Subsector,'Summarized Source Data'!X$3,TimeOfWeek,$E436)*INDEX(About!T$79:T$82,MATCH($B436,About!$A$79:$A$82,0),1)</f>
        <v>320000000</v>
      </c>
      <c r="Y436" s="29">
        <f t="shared" si="36"/>
        <v>320000000</v>
      </c>
      <c r="Z436" s="29">
        <f t="shared" si="36"/>
        <v>320000000</v>
      </c>
    </row>
    <row r="437" spans="1:26" x14ac:dyDescent="0.3">
      <c r="A437">
        <f t="shared" si="35"/>
        <v>7</v>
      </c>
      <c r="B437" t="str">
        <f>INDEX('Category Mapping'!$G$28:$G$39,MATCH(A437,'Category Mapping'!$A$28:$A$39,0),1)</f>
        <v>Summer</v>
      </c>
      <c r="C437" t="s">
        <v>64</v>
      </c>
      <c r="D437" s="6" t="s">
        <v>139</v>
      </c>
      <c r="E437" s="46" t="s">
        <v>48</v>
      </c>
      <c r="F437" s="27">
        <f>SUMIFS(INDEX(Load,,MATCH('Summarized Source Data'!$C437,Hour,0)),Month,'Summarized Source Data'!$A437,Sector,'Summarized Source Data'!F$2,Subsector,'Summarized Source Data'!F$3,TimeOfWeek,$E437)*INDEX(About!B$79:B$82,MATCH($B437,About!$A$79:$A$82,0),1)</f>
        <v>26531</v>
      </c>
      <c r="G437" s="27">
        <f>SUMIFS(INDEX(Load,,MATCH('Summarized Source Data'!$C437,Hour,0)),Month,'Summarized Source Data'!$A437,Sector,'Summarized Source Data'!G$2,Subsector,'Summarized Source Data'!G$3,TimeOfWeek,$E437)*INDEX(About!C$79:C$82,MATCH($B437,About!$A$79:$A$82,0),1)</f>
        <v>22600000</v>
      </c>
      <c r="H437" s="27">
        <f>SUMIFS(INDEX(Load,,MATCH('Summarized Source Data'!$C437,Hour,0)),Month,'Summarized Source Data'!$A437,Sector,'Summarized Source Data'!H$2,Subsector,'Summarized Source Data'!H$3,TimeOfWeek,$E437)*INDEX(About!D$79:D$82,MATCH($B437,About!$A$79:$A$82,0),1)</f>
        <v>0</v>
      </c>
      <c r="I437" s="27">
        <f>SUMIFS(INDEX(Load,,MATCH('Summarized Source Data'!$C437,Hour,0)),Month,'Summarized Source Data'!$A437,Sector,'Summarized Source Data'!I$2,Subsector,'Summarized Source Data'!I$3,TimeOfWeek,$E437)*INDEX(About!E$79:E$82,MATCH($B437,About!$A$79:$A$82,0),1)</f>
        <v>5099719</v>
      </c>
      <c r="J437" s="54">
        <f t="shared" si="31"/>
        <v>29173750</v>
      </c>
      <c r="K437" s="27">
        <f>(SUMIFS(INDEX(Load,,MATCH('Summarized Source Data'!$C437,Hour,0)),Month,'Summarized Source Data'!$A437,Sector,'Summarized Source Data'!K$2,Subsector,"Total",TimeOfWeek,$E437)-SUM(F437:I437))*INDEX(About!G$79:G$82,MATCH($B437,About!$A$79:$A$82,0),1)</f>
        <v>29173750</v>
      </c>
      <c r="L437" s="27">
        <f>SUMIFS(INDEX(Load,,MATCH('Summarized Source Data'!$C437,Hour,0)),Month,'Summarized Source Data'!$A437,Sector,'Summarized Source Data'!L$2,Subsector,'Summarized Source Data'!L$3,TimeOfWeek,$E437)*INDEX(About!H$79:H$82,MATCH($B437,About!$A$79:$A$82,0),1)</f>
        <v>63323</v>
      </c>
      <c r="M437" s="27">
        <f>SUMIFS(INDEX(Load,,MATCH('Summarized Source Data'!$C437,Hour,0)),Month,'Summarized Source Data'!$A437,Sector,'Summarized Source Data'!M$2,Subsector,'Summarized Source Data'!M$3,TimeOfWeek,$E437)*INDEX(About!I$79:I$82,MATCH($B437,About!$A$79:$A$82,0),1)</f>
        <v>100000000</v>
      </c>
      <c r="N437" s="27">
        <f>SUMIFS(INDEX(Load,,MATCH('Summarized Source Data'!$C437,Hour,0)),Month,'Summarized Source Data'!$A437,Sector,'Summarized Source Data'!N$2,Subsector,'Summarized Source Data'!N$3,TimeOfWeek,$E437)*INDEX(About!J$79:J$82,MATCH($B437,About!$A$79:$A$82,0),1)</f>
        <v>0</v>
      </c>
      <c r="O437" s="29">
        <f t="shared" si="32"/>
        <v>67936677</v>
      </c>
      <c r="P437" s="27">
        <f>(SUMIFS(INDEX(Load,,MATCH('Summarized Source Data'!$C437,Hour,0)),Month,'Summarized Source Data'!$A437,Sector,'Summarized Source Data'!P$2,Subsector,"Total",TimeOfWeek,$E437)-SUM(L437:N437)*INDEX(About!L$79:L$82,MATCH($B437,About!$A$79:$A$82,0),1))</f>
        <v>67936677</v>
      </c>
      <c r="Q437" s="29">
        <f t="shared" si="33"/>
        <v>67936677</v>
      </c>
      <c r="R437" s="33">
        <f>SUMIFS(INDEX(Load,,MATCH('Summarized Source Data'!$C437,Hour,0)),Month,'Summarized Source Data'!$A437,Sector,'Summarized Source Data'!R$2,TimeOfWeek,$E437)*INDEX(About!N$79:N$82,MATCH($B437,About!$A$79:$A$82,0),1)</f>
        <v>2227603</v>
      </c>
      <c r="S437" s="33">
        <f>SUMIFS(INDEX(Load,,MATCH('Summarized Source Data'!$C437,Hour,0)),Month,'Summarized Source Data'!$A437,Sector,'Summarized Source Data'!S$2,TimeOfWeek,$E437)*INDEX(About!O$79:O$82,MATCH($B437,About!$A$79:$A$82,0),1)</f>
        <v>2227603</v>
      </c>
      <c r="T437" s="33">
        <f>SUMIFS(INDEX(Load,,MATCH('Summarized Source Data'!$C437,Hour,0)),Month,'Summarized Source Data'!$A437,Sector,'Summarized Source Data'!T$2,TimeOfWeek,$E437)*INDEX(About!P$79:P$82,MATCH($B437,About!$A$79:$A$82,0),1)</f>
        <v>2227603</v>
      </c>
      <c r="U437" s="33">
        <f>SUMIFS(INDEX(Load,,MATCH('Summarized Source Data'!$C437,Hour,0)),Month,'Summarized Source Data'!$A437,Sector,'Summarized Source Data'!U$2,TimeOfWeek,$E437)*INDEX(About!Q$79:Q$82,MATCH($B437,About!$A$79:$A$82,0),1)</f>
        <v>2227603</v>
      </c>
      <c r="V437" s="33">
        <f>SUMIFS(INDEX(Load,,MATCH('Summarized Source Data'!$C437,Hour,0)),Month,'Summarized Source Data'!$A437,Sector,'Summarized Source Data'!V$2,TimeOfWeek,$E437)*INDEX(About!R$79:R$82,MATCH($B437,About!$A$79:$A$82,0),1)</f>
        <v>2227603</v>
      </c>
      <c r="W437" s="33">
        <f>SUMIFS(INDEX(Load,,MATCH('Summarized Source Data'!$C437,Hour,0)),Month,'Summarized Source Data'!$A437,Sector,'Summarized Source Data'!W$2,TimeOfWeek,$E437)*INDEX(About!S$79:S$82,MATCH($B437,About!$A$79:$A$82,0),1)</f>
        <v>2227603</v>
      </c>
      <c r="X437" s="27">
        <f>SUMIFS(INDEX(Load,,MATCH('Summarized Source Data'!$C437,Hour,0)),Month,'Summarized Source Data'!$A437,Sector,'Summarized Source Data'!X$2,Subsector,'Summarized Source Data'!X$3,TimeOfWeek,$E437)*INDEX(About!T$79:T$82,MATCH($B437,About!$A$79:$A$82,0),1)</f>
        <v>320000000</v>
      </c>
      <c r="Y437" s="29">
        <f t="shared" si="36"/>
        <v>320000000</v>
      </c>
      <c r="Z437" s="29">
        <f t="shared" si="36"/>
        <v>320000000</v>
      </c>
    </row>
    <row r="438" spans="1:26" x14ac:dyDescent="0.3">
      <c r="A438">
        <f t="shared" si="35"/>
        <v>7</v>
      </c>
      <c r="B438" t="str">
        <f>INDEX('Category Mapping'!$G$28:$G$39,MATCH(A438,'Category Mapping'!$A$28:$A$39,0),1)</f>
        <v>Summer</v>
      </c>
      <c r="C438" t="s">
        <v>65</v>
      </c>
      <c r="D438" s="6" t="s">
        <v>140</v>
      </c>
      <c r="E438" s="46" t="s">
        <v>48</v>
      </c>
      <c r="F438" s="27">
        <f>SUMIFS(INDEX(Load,,MATCH('Summarized Source Data'!$C438,Hour,0)),Month,'Summarized Source Data'!$A438,Sector,'Summarized Source Data'!F$2,Subsector,'Summarized Source Data'!F$3,TimeOfWeek,$E438)*INDEX(About!B$79:B$82,MATCH($B438,About!$A$79:$A$82,0),1)</f>
        <v>26531</v>
      </c>
      <c r="G438" s="27">
        <f>SUMIFS(INDEX(Load,,MATCH('Summarized Source Data'!$C438,Hour,0)),Month,'Summarized Source Data'!$A438,Sector,'Summarized Source Data'!G$2,Subsector,'Summarized Source Data'!G$3,TimeOfWeek,$E438)*INDEX(About!C$79:C$82,MATCH($B438,About!$A$79:$A$82,0),1)</f>
        <v>22100000</v>
      </c>
      <c r="H438" s="27">
        <f>SUMIFS(INDEX(Load,,MATCH('Summarized Source Data'!$C438,Hour,0)),Month,'Summarized Source Data'!$A438,Sector,'Summarized Source Data'!H$2,Subsector,'Summarized Source Data'!H$3,TimeOfWeek,$E438)*INDEX(About!D$79:D$82,MATCH($B438,About!$A$79:$A$82,0),1)</f>
        <v>0</v>
      </c>
      <c r="I438" s="27">
        <f>SUMIFS(INDEX(Load,,MATCH('Summarized Source Data'!$C438,Hour,0)),Month,'Summarized Source Data'!$A438,Sector,'Summarized Source Data'!I$2,Subsector,'Summarized Source Data'!I$3,TimeOfWeek,$E438)*INDEX(About!E$79:E$82,MATCH($B438,About!$A$79:$A$82,0),1)</f>
        <v>4925411</v>
      </c>
      <c r="J438" s="54">
        <f t="shared" si="31"/>
        <v>22948058</v>
      </c>
      <c r="K438" s="27">
        <f>(SUMIFS(INDEX(Load,,MATCH('Summarized Source Data'!$C438,Hour,0)),Month,'Summarized Source Data'!$A438,Sector,'Summarized Source Data'!K$2,Subsector,"Total",TimeOfWeek,$E438)-SUM(F438:I438))*INDEX(About!G$79:G$82,MATCH($B438,About!$A$79:$A$82,0),1)</f>
        <v>22948058</v>
      </c>
      <c r="L438" s="27">
        <f>SUMIFS(INDEX(Load,,MATCH('Summarized Source Data'!$C438,Hour,0)),Month,'Summarized Source Data'!$A438,Sector,'Summarized Source Data'!L$2,Subsector,'Summarized Source Data'!L$3,TimeOfWeek,$E438)*INDEX(About!H$79:H$82,MATCH($B438,About!$A$79:$A$82,0),1)</f>
        <v>63323</v>
      </c>
      <c r="M438" s="27">
        <f>SUMIFS(INDEX(Load,,MATCH('Summarized Source Data'!$C438,Hour,0)),Month,'Summarized Source Data'!$A438,Sector,'Summarized Source Data'!M$2,Subsector,'Summarized Source Data'!M$3,TimeOfWeek,$E438)*INDEX(About!I$79:I$82,MATCH($B438,About!$A$79:$A$82,0),1)</f>
        <v>98700000</v>
      </c>
      <c r="N438" s="27">
        <f>SUMIFS(INDEX(Load,,MATCH('Summarized Source Data'!$C438,Hour,0)),Month,'Summarized Source Data'!$A438,Sector,'Summarized Source Data'!N$2,Subsector,'Summarized Source Data'!N$3,TimeOfWeek,$E438)*INDEX(About!J$79:J$82,MATCH($B438,About!$A$79:$A$82,0),1)</f>
        <v>0</v>
      </c>
      <c r="O438" s="29">
        <f t="shared" si="32"/>
        <v>66236677</v>
      </c>
      <c r="P438" s="27">
        <f>(SUMIFS(INDEX(Load,,MATCH('Summarized Source Data'!$C438,Hour,0)),Month,'Summarized Source Data'!$A438,Sector,'Summarized Source Data'!P$2,Subsector,"Total",TimeOfWeek,$E438)-SUM(L438:N438)*INDEX(About!L$79:L$82,MATCH($B438,About!$A$79:$A$82,0),1))</f>
        <v>66236677</v>
      </c>
      <c r="Q438" s="29">
        <f t="shared" si="33"/>
        <v>66236677</v>
      </c>
      <c r="R438" s="33">
        <f>SUMIFS(INDEX(Load,,MATCH('Summarized Source Data'!$C438,Hour,0)),Month,'Summarized Source Data'!$A438,Sector,'Summarized Source Data'!R$2,TimeOfWeek,$E438)*INDEX(About!N$79:N$82,MATCH($B438,About!$A$79:$A$82,0),1)</f>
        <v>2192470</v>
      </c>
      <c r="S438" s="33">
        <f>SUMIFS(INDEX(Load,,MATCH('Summarized Source Data'!$C438,Hour,0)),Month,'Summarized Source Data'!$A438,Sector,'Summarized Source Data'!S$2,TimeOfWeek,$E438)*INDEX(About!O$79:O$82,MATCH($B438,About!$A$79:$A$82,0),1)</f>
        <v>2192470</v>
      </c>
      <c r="T438" s="33">
        <f>SUMIFS(INDEX(Load,,MATCH('Summarized Source Data'!$C438,Hour,0)),Month,'Summarized Source Data'!$A438,Sector,'Summarized Source Data'!T$2,TimeOfWeek,$E438)*INDEX(About!P$79:P$82,MATCH($B438,About!$A$79:$A$82,0),1)</f>
        <v>2192470</v>
      </c>
      <c r="U438" s="33">
        <f>SUMIFS(INDEX(Load,,MATCH('Summarized Source Data'!$C438,Hour,0)),Month,'Summarized Source Data'!$A438,Sector,'Summarized Source Data'!U$2,TimeOfWeek,$E438)*INDEX(About!Q$79:Q$82,MATCH($B438,About!$A$79:$A$82,0),1)</f>
        <v>2192470</v>
      </c>
      <c r="V438" s="33">
        <f>SUMIFS(INDEX(Load,,MATCH('Summarized Source Data'!$C438,Hour,0)),Month,'Summarized Source Data'!$A438,Sector,'Summarized Source Data'!V$2,TimeOfWeek,$E438)*INDEX(About!R$79:R$82,MATCH($B438,About!$A$79:$A$82,0),1)</f>
        <v>2192470</v>
      </c>
      <c r="W438" s="33">
        <f>SUMIFS(INDEX(Load,,MATCH('Summarized Source Data'!$C438,Hour,0)),Month,'Summarized Source Data'!$A438,Sector,'Summarized Source Data'!W$2,TimeOfWeek,$E438)*INDEX(About!S$79:S$82,MATCH($B438,About!$A$79:$A$82,0),1)</f>
        <v>2192470</v>
      </c>
      <c r="X438" s="27">
        <f>SUMIFS(INDEX(Load,,MATCH('Summarized Source Data'!$C438,Hour,0)),Month,'Summarized Source Data'!$A438,Sector,'Summarized Source Data'!X$2,Subsector,'Summarized Source Data'!X$3,TimeOfWeek,$E438)*INDEX(About!T$79:T$82,MATCH($B438,About!$A$79:$A$82,0),1)</f>
        <v>320000000</v>
      </c>
      <c r="Y438" s="29">
        <f t="shared" si="36"/>
        <v>320000000</v>
      </c>
      <c r="Z438" s="29">
        <f t="shared" si="36"/>
        <v>320000000</v>
      </c>
    </row>
    <row r="439" spans="1:26" x14ac:dyDescent="0.3">
      <c r="A439">
        <f t="shared" si="35"/>
        <v>7</v>
      </c>
      <c r="B439" t="str">
        <f>INDEX('Category Mapping'!$G$28:$G$39,MATCH(A439,'Category Mapping'!$A$28:$A$39,0),1)</f>
        <v>Summer</v>
      </c>
      <c r="C439" t="s">
        <v>66</v>
      </c>
      <c r="D439" s="6" t="s">
        <v>141</v>
      </c>
      <c r="E439" s="46" t="s">
        <v>48</v>
      </c>
      <c r="F439" s="27">
        <f>SUMIFS(INDEX(Load,,MATCH('Summarized Source Data'!$C439,Hour,0)),Month,'Summarized Source Data'!$A439,Sector,'Summarized Source Data'!F$2,Subsector,'Summarized Source Data'!F$3,TimeOfWeek,$E439)*INDEX(About!B$79:B$82,MATCH($B439,About!$A$79:$A$82,0),1)</f>
        <v>26531</v>
      </c>
      <c r="G439" s="27">
        <f>SUMIFS(INDEX(Load,,MATCH('Summarized Source Data'!$C439,Hour,0)),Month,'Summarized Source Data'!$A439,Sector,'Summarized Source Data'!G$2,Subsector,'Summarized Source Data'!G$3,TimeOfWeek,$E439)*INDEX(About!C$79:C$82,MATCH($B439,About!$A$79:$A$82,0),1)</f>
        <v>22900000</v>
      </c>
      <c r="H439" s="27">
        <f>SUMIFS(INDEX(Load,,MATCH('Summarized Source Data'!$C439,Hour,0)),Month,'Summarized Source Data'!$A439,Sector,'Summarized Source Data'!H$2,Subsector,'Summarized Source Data'!H$3,TimeOfWeek,$E439)*INDEX(About!D$79:D$82,MATCH($B439,About!$A$79:$A$82,0),1)</f>
        <v>0</v>
      </c>
      <c r="I439" s="27">
        <f>SUMIFS(INDEX(Load,,MATCH('Summarized Source Data'!$C439,Hour,0)),Month,'Summarized Source Data'!$A439,Sector,'Summarized Source Data'!I$2,Subsector,'Summarized Source Data'!I$3,TimeOfWeek,$E439)*INDEX(About!E$79:E$82,MATCH($B439,About!$A$79:$A$82,0),1)</f>
        <v>4921254</v>
      </c>
      <c r="J439" s="54">
        <f t="shared" si="31"/>
        <v>19052215</v>
      </c>
      <c r="K439" s="27">
        <f>(SUMIFS(INDEX(Load,,MATCH('Summarized Source Data'!$C439,Hour,0)),Month,'Summarized Source Data'!$A439,Sector,'Summarized Source Data'!K$2,Subsector,"Total",TimeOfWeek,$E439)-SUM(F439:I439))*INDEX(About!G$79:G$82,MATCH($B439,About!$A$79:$A$82,0),1)</f>
        <v>19052215</v>
      </c>
      <c r="L439" s="27">
        <f>SUMIFS(INDEX(Load,,MATCH('Summarized Source Data'!$C439,Hour,0)),Month,'Summarized Source Data'!$A439,Sector,'Summarized Source Data'!L$2,Subsector,'Summarized Source Data'!L$3,TimeOfWeek,$E439)*INDEX(About!H$79:H$82,MATCH($B439,About!$A$79:$A$82,0),1)</f>
        <v>63323</v>
      </c>
      <c r="M439" s="27">
        <f>SUMIFS(INDEX(Load,,MATCH('Summarized Source Data'!$C439,Hour,0)),Month,'Summarized Source Data'!$A439,Sector,'Summarized Source Data'!M$2,Subsector,'Summarized Source Data'!M$3,TimeOfWeek,$E439)*INDEX(About!I$79:I$82,MATCH($B439,About!$A$79:$A$82,0),1)</f>
        <v>99600000</v>
      </c>
      <c r="N439" s="27">
        <f>SUMIFS(INDEX(Load,,MATCH('Summarized Source Data'!$C439,Hour,0)),Month,'Summarized Source Data'!$A439,Sector,'Summarized Source Data'!N$2,Subsector,'Summarized Source Data'!N$3,TimeOfWeek,$E439)*INDEX(About!J$79:J$82,MATCH($B439,About!$A$79:$A$82,0),1)</f>
        <v>0</v>
      </c>
      <c r="O439" s="29">
        <f t="shared" si="32"/>
        <v>67336677</v>
      </c>
      <c r="P439" s="27">
        <f>(SUMIFS(INDEX(Load,,MATCH('Summarized Source Data'!$C439,Hour,0)),Month,'Summarized Source Data'!$A439,Sector,'Summarized Source Data'!P$2,Subsector,"Total",TimeOfWeek,$E439)-SUM(L439:N439)*INDEX(About!L$79:L$82,MATCH($B439,About!$A$79:$A$82,0),1))</f>
        <v>67336677</v>
      </c>
      <c r="Q439" s="29">
        <f t="shared" si="33"/>
        <v>67336677</v>
      </c>
      <c r="R439" s="33">
        <f>SUMIFS(INDEX(Load,,MATCH('Summarized Source Data'!$C439,Hour,0)),Month,'Summarized Source Data'!$A439,Sector,'Summarized Source Data'!R$2,TimeOfWeek,$E439)*INDEX(About!N$79:N$82,MATCH($B439,About!$A$79:$A$82,0),1)</f>
        <v>2192470</v>
      </c>
      <c r="S439" s="33">
        <f>SUMIFS(INDEX(Load,,MATCH('Summarized Source Data'!$C439,Hour,0)),Month,'Summarized Source Data'!$A439,Sector,'Summarized Source Data'!S$2,TimeOfWeek,$E439)*INDEX(About!O$79:O$82,MATCH($B439,About!$A$79:$A$82,0),1)</f>
        <v>2192470</v>
      </c>
      <c r="T439" s="33">
        <f>SUMIFS(INDEX(Load,,MATCH('Summarized Source Data'!$C439,Hour,0)),Month,'Summarized Source Data'!$A439,Sector,'Summarized Source Data'!T$2,TimeOfWeek,$E439)*INDEX(About!P$79:P$82,MATCH($B439,About!$A$79:$A$82,0),1)</f>
        <v>2192470</v>
      </c>
      <c r="U439" s="33">
        <f>SUMIFS(INDEX(Load,,MATCH('Summarized Source Data'!$C439,Hour,0)),Month,'Summarized Source Data'!$A439,Sector,'Summarized Source Data'!U$2,TimeOfWeek,$E439)*INDEX(About!Q$79:Q$82,MATCH($B439,About!$A$79:$A$82,0),1)</f>
        <v>2192470</v>
      </c>
      <c r="V439" s="33">
        <f>SUMIFS(INDEX(Load,,MATCH('Summarized Source Data'!$C439,Hour,0)),Month,'Summarized Source Data'!$A439,Sector,'Summarized Source Data'!V$2,TimeOfWeek,$E439)*INDEX(About!R$79:R$82,MATCH($B439,About!$A$79:$A$82,0),1)</f>
        <v>2192470</v>
      </c>
      <c r="W439" s="33">
        <f>SUMIFS(INDEX(Load,,MATCH('Summarized Source Data'!$C439,Hour,0)),Month,'Summarized Source Data'!$A439,Sector,'Summarized Source Data'!W$2,TimeOfWeek,$E439)*INDEX(About!S$79:S$82,MATCH($B439,About!$A$79:$A$82,0),1)</f>
        <v>2192470</v>
      </c>
      <c r="X439" s="27">
        <f>SUMIFS(INDEX(Load,,MATCH('Summarized Source Data'!$C439,Hour,0)),Month,'Summarized Source Data'!$A439,Sector,'Summarized Source Data'!X$2,Subsector,'Summarized Source Data'!X$3,TimeOfWeek,$E439)*INDEX(About!T$79:T$82,MATCH($B439,About!$A$79:$A$82,0),1)</f>
        <v>321000000</v>
      </c>
      <c r="Y439" s="29">
        <f t="shared" si="36"/>
        <v>321000000</v>
      </c>
      <c r="Z439" s="29">
        <f t="shared" si="36"/>
        <v>321000000</v>
      </c>
    </row>
    <row r="440" spans="1:26" x14ac:dyDescent="0.3">
      <c r="A440">
        <f t="shared" si="35"/>
        <v>7</v>
      </c>
      <c r="B440" t="str">
        <f>INDEX('Category Mapping'!$G$28:$G$39,MATCH(A440,'Category Mapping'!$A$28:$A$39,0),1)</f>
        <v>Summer</v>
      </c>
      <c r="C440" t="s">
        <v>67</v>
      </c>
      <c r="D440" s="6" t="s">
        <v>142</v>
      </c>
      <c r="E440" s="46" t="s">
        <v>48</v>
      </c>
      <c r="F440" s="27">
        <f>SUMIFS(INDEX(Load,,MATCH('Summarized Source Data'!$C440,Hour,0)),Month,'Summarized Source Data'!$A440,Sector,'Summarized Source Data'!F$2,Subsector,'Summarized Source Data'!F$3,TimeOfWeek,$E440)*INDEX(About!B$79:B$82,MATCH($B440,About!$A$79:$A$82,0),1)</f>
        <v>26531</v>
      </c>
      <c r="G440" s="27">
        <f>SUMIFS(INDEX(Load,,MATCH('Summarized Source Data'!$C440,Hour,0)),Month,'Summarized Source Data'!$A440,Sector,'Summarized Source Data'!G$2,Subsector,'Summarized Source Data'!G$3,TimeOfWeek,$E440)*INDEX(About!C$79:C$82,MATCH($B440,About!$A$79:$A$82,0),1)</f>
        <v>25100000</v>
      </c>
      <c r="H440" s="27">
        <f>SUMIFS(INDEX(Load,,MATCH('Summarized Source Data'!$C440,Hour,0)),Month,'Summarized Source Data'!$A440,Sector,'Summarized Source Data'!H$2,Subsector,'Summarized Source Data'!H$3,TimeOfWeek,$E440)*INDEX(About!D$79:D$82,MATCH($B440,About!$A$79:$A$82,0),1)</f>
        <v>0</v>
      </c>
      <c r="I440" s="27">
        <f>SUMIFS(INDEX(Load,,MATCH('Summarized Source Data'!$C440,Hour,0)),Month,'Summarized Source Data'!$A440,Sector,'Summarized Source Data'!I$2,Subsector,'Summarized Source Data'!I$3,TimeOfWeek,$E440)*INDEX(About!E$79:E$82,MATCH($B440,About!$A$79:$A$82,0),1)</f>
        <v>5180092</v>
      </c>
      <c r="J440" s="54">
        <f t="shared" si="31"/>
        <v>19593377</v>
      </c>
      <c r="K440" s="27">
        <f>(SUMIFS(INDEX(Load,,MATCH('Summarized Source Data'!$C440,Hour,0)),Month,'Summarized Source Data'!$A440,Sector,'Summarized Source Data'!K$2,Subsector,"Total",TimeOfWeek,$E440)-SUM(F440:I440))*INDEX(About!G$79:G$82,MATCH($B440,About!$A$79:$A$82,0),1)</f>
        <v>19593377</v>
      </c>
      <c r="L440" s="27">
        <f>SUMIFS(INDEX(Load,,MATCH('Summarized Source Data'!$C440,Hour,0)),Month,'Summarized Source Data'!$A440,Sector,'Summarized Source Data'!L$2,Subsector,'Summarized Source Data'!L$3,TimeOfWeek,$E440)*INDEX(About!H$79:H$82,MATCH($B440,About!$A$79:$A$82,0),1)</f>
        <v>63323</v>
      </c>
      <c r="M440" s="27">
        <f>SUMIFS(INDEX(Load,,MATCH('Summarized Source Data'!$C440,Hour,0)),Month,'Summarized Source Data'!$A440,Sector,'Summarized Source Data'!M$2,Subsector,'Summarized Source Data'!M$3,TimeOfWeek,$E440)*INDEX(About!I$79:I$82,MATCH($B440,About!$A$79:$A$82,0),1)</f>
        <v>103000000</v>
      </c>
      <c r="N440" s="27">
        <f>SUMIFS(INDEX(Load,,MATCH('Summarized Source Data'!$C440,Hour,0)),Month,'Summarized Source Data'!$A440,Sector,'Summarized Source Data'!N$2,Subsector,'Summarized Source Data'!N$3,TimeOfWeek,$E440)*INDEX(About!J$79:J$82,MATCH($B440,About!$A$79:$A$82,0),1)</f>
        <v>0</v>
      </c>
      <c r="O440" s="29">
        <f t="shared" si="32"/>
        <v>67936677</v>
      </c>
      <c r="P440" s="27">
        <f>(SUMIFS(INDEX(Load,,MATCH('Summarized Source Data'!$C440,Hour,0)),Month,'Summarized Source Data'!$A440,Sector,'Summarized Source Data'!P$2,Subsector,"Total",TimeOfWeek,$E440)-SUM(L440:N440)*INDEX(About!L$79:L$82,MATCH($B440,About!$A$79:$A$82,0),1))</f>
        <v>67936677</v>
      </c>
      <c r="Q440" s="29">
        <f t="shared" si="33"/>
        <v>67936677</v>
      </c>
      <c r="R440" s="33">
        <f>SUMIFS(INDEX(Load,,MATCH('Summarized Source Data'!$C440,Hour,0)),Month,'Summarized Source Data'!$A440,Sector,'Summarized Source Data'!R$2,TimeOfWeek,$E440)*INDEX(About!N$79:N$82,MATCH($B440,About!$A$79:$A$82,0),1)</f>
        <v>2180759</v>
      </c>
      <c r="S440" s="33">
        <f>SUMIFS(INDEX(Load,,MATCH('Summarized Source Data'!$C440,Hour,0)),Month,'Summarized Source Data'!$A440,Sector,'Summarized Source Data'!S$2,TimeOfWeek,$E440)*INDEX(About!O$79:O$82,MATCH($B440,About!$A$79:$A$82,0),1)</f>
        <v>2180759</v>
      </c>
      <c r="T440" s="33">
        <f>SUMIFS(INDEX(Load,,MATCH('Summarized Source Data'!$C440,Hour,0)),Month,'Summarized Source Data'!$A440,Sector,'Summarized Source Data'!T$2,TimeOfWeek,$E440)*INDEX(About!P$79:P$82,MATCH($B440,About!$A$79:$A$82,0),1)</f>
        <v>2180759</v>
      </c>
      <c r="U440" s="33">
        <f>SUMIFS(INDEX(Load,,MATCH('Summarized Source Data'!$C440,Hour,0)),Month,'Summarized Source Data'!$A440,Sector,'Summarized Source Data'!U$2,TimeOfWeek,$E440)*INDEX(About!Q$79:Q$82,MATCH($B440,About!$A$79:$A$82,0),1)</f>
        <v>2180759</v>
      </c>
      <c r="V440" s="33">
        <f>SUMIFS(INDEX(Load,,MATCH('Summarized Source Data'!$C440,Hour,0)),Month,'Summarized Source Data'!$A440,Sector,'Summarized Source Data'!V$2,TimeOfWeek,$E440)*INDEX(About!R$79:R$82,MATCH($B440,About!$A$79:$A$82,0),1)</f>
        <v>2180759</v>
      </c>
      <c r="W440" s="33">
        <f>SUMIFS(INDEX(Load,,MATCH('Summarized Source Data'!$C440,Hour,0)),Month,'Summarized Source Data'!$A440,Sector,'Summarized Source Data'!W$2,TimeOfWeek,$E440)*INDEX(About!S$79:S$82,MATCH($B440,About!$A$79:$A$82,0),1)</f>
        <v>2180759</v>
      </c>
      <c r="X440" s="27">
        <f>SUMIFS(INDEX(Load,,MATCH('Summarized Source Data'!$C440,Hour,0)),Month,'Summarized Source Data'!$A440,Sector,'Summarized Source Data'!X$2,Subsector,'Summarized Source Data'!X$3,TimeOfWeek,$E440)*INDEX(About!T$79:T$82,MATCH($B440,About!$A$79:$A$82,0),1)</f>
        <v>323000000</v>
      </c>
      <c r="Y440" s="29">
        <f t="shared" si="36"/>
        <v>323000000</v>
      </c>
      <c r="Z440" s="29">
        <f t="shared" si="36"/>
        <v>323000000</v>
      </c>
    </row>
    <row r="441" spans="1:26" x14ac:dyDescent="0.3">
      <c r="A441">
        <f t="shared" si="35"/>
        <v>7</v>
      </c>
      <c r="B441" t="str">
        <f>INDEX('Category Mapping'!$G$28:$G$39,MATCH(A441,'Category Mapping'!$A$28:$A$39,0),1)</f>
        <v>Summer</v>
      </c>
      <c r="C441" t="s">
        <v>68</v>
      </c>
      <c r="D441" s="6" t="s">
        <v>143</v>
      </c>
      <c r="E441" s="46" t="s">
        <v>48</v>
      </c>
      <c r="F441" s="27">
        <f>SUMIFS(INDEX(Load,,MATCH('Summarized Source Data'!$C441,Hour,0)),Month,'Summarized Source Data'!$A441,Sector,'Summarized Source Data'!F$2,Subsector,'Summarized Source Data'!F$3,TimeOfWeek,$E441)*INDEX(About!B$79:B$82,MATCH($B441,About!$A$79:$A$82,0),1)</f>
        <v>35061</v>
      </c>
      <c r="G441" s="27">
        <f>SUMIFS(INDEX(Load,,MATCH('Summarized Source Data'!$C441,Hour,0)),Month,'Summarized Source Data'!$A441,Sector,'Summarized Source Data'!G$2,Subsector,'Summarized Source Data'!G$3,TimeOfWeek,$E441)*INDEX(About!C$79:C$82,MATCH($B441,About!$A$79:$A$82,0),1)</f>
        <v>28300000</v>
      </c>
      <c r="H441" s="27">
        <f>SUMIFS(INDEX(Load,,MATCH('Summarized Source Data'!$C441,Hour,0)),Month,'Summarized Source Data'!$A441,Sector,'Summarized Source Data'!H$2,Subsector,'Summarized Source Data'!H$3,TimeOfWeek,$E441)*INDEX(About!D$79:D$82,MATCH($B441,About!$A$79:$A$82,0),1)</f>
        <v>0</v>
      </c>
      <c r="I441" s="27">
        <f>SUMIFS(INDEX(Load,,MATCH('Summarized Source Data'!$C441,Hour,0)),Month,'Summarized Source Data'!$A441,Sector,'Summarized Source Data'!I$2,Subsector,'Summarized Source Data'!I$3,TimeOfWeek,$E441)*INDEX(About!E$79:E$82,MATCH($B441,About!$A$79:$A$82,0),1)</f>
        <v>4816079</v>
      </c>
      <c r="J441" s="54">
        <f t="shared" si="31"/>
        <v>22448860</v>
      </c>
      <c r="K441" s="27">
        <f>(SUMIFS(INDEX(Load,,MATCH('Summarized Source Data'!$C441,Hour,0)),Month,'Summarized Source Data'!$A441,Sector,'Summarized Source Data'!K$2,Subsector,"Total",TimeOfWeek,$E441)-SUM(F441:I441))*INDEX(About!G$79:G$82,MATCH($B441,About!$A$79:$A$82,0),1)</f>
        <v>22448860</v>
      </c>
      <c r="L441" s="27">
        <f>SUMIFS(INDEX(Load,,MATCH('Summarized Source Data'!$C441,Hour,0)),Month,'Summarized Source Data'!$A441,Sector,'Summarized Source Data'!L$2,Subsector,'Summarized Source Data'!L$3,TimeOfWeek,$E441)*INDEX(About!H$79:H$82,MATCH($B441,About!$A$79:$A$82,0),1)</f>
        <v>63323</v>
      </c>
      <c r="M441" s="27">
        <f>SUMIFS(INDEX(Load,,MATCH('Summarized Source Data'!$C441,Hour,0)),Month,'Summarized Source Data'!$A441,Sector,'Summarized Source Data'!M$2,Subsector,'Summarized Source Data'!M$3,TimeOfWeek,$E441)*INDEX(About!I$79:I$82,MATCH($B441,About!$A$79:$A$82,0),1)</f>
        <v>109000000</v>
      </c>
      <c r="N441" s="27">
        <f>SUMIFS(INDEX(Load,,MATCH('Summarized Source Data'!$C441,Hour,0)),Month,'Summarized Source Data'!$A441,Sector,'Summarized Source Data'!N$2,Subsector,'Summarized Source Data'!N$3,TimeOfWeek,$E441)*INDEX(About!J$79:J$82,MATCH($B441,About!$A$79:$A$82,0),1)</f>
        <v>0</v>
      </c>
      <c r="O441" s="29">
        <f t="shared" si="32"/>
        <v>72936677</v>
      </c>
      <c r="P441" s="27">
        <f>(SUMIFS(INDEX(Load,,MATCH('Summarized Source Data'!$C441,Hour,0)),Month,'Summarized Source Data'!$A441,Sector,'Summarized Source Data'!P$2,Subsector,"Total",TimeOfWeek,$E441)-SUM(L441:N441)*INDEX(About!L$79:L$82,MATCH($B441,About!$A$79:$A$82,0),1))</f>
        <v>72936677</v>
      </c>
      <c r="Q441" s="29">
        <f t="shared" si="33"/>
        <v>72936677</v>
      </c>
      <c r="R441" s="33">
        <f>SUMIFS(INDEX(Load,,MATCH('Summarized Source Data'!$C441,Hour,0)),Month,'Summarized Source Data'!$A441,Sector,'Summarized Source Data'!R$2,TimeOfWeek,$E441)*INDEX(About!N$79:N$82,MATCH($B441,About!$A$79:$A$82,0),1)</f>
        <v>2198326</v>
      </c>
      <c r="S441" s="33">
        <f>SUMIFS(INDEX(Load,,MATCH('Summarized Source Data'!$C441,Hour,0)),Month,'Summarized Source Data'!$A441,Sector,'Summarized Source Data'!S$2,TimeOfWeek,$E441)*INDEX(About!O$79:O$82,MATCH($B441,About!$A$79:$A$82,0),1)</f>
        <v>2198326</v>
      </c>
      <c r="T441" s="33">
        <f>SUMIFS(INDEX(Load,,MATCH('Summarized Source Data'!$C441,Hour,0)),Month,'Summarized Source Data'!$A441,Sector,'Summarized Source Data'!T$2,TimeOfWeek,$E441)*INDEX(About!P$79:P$82,MATCH($B441,About!$A$79:$A$82,0),1)</f>
        <v>2198326</v>
      </c>
      <c r="U441" s="33">
        <f>SUMIFS(INDEX(Load,,MATCH('Summarized Source Data'!$C441,Hour,0)),Month,'Summarized Source Data'!$A441,Sector,'Summarized Source Data'!U$2,TimeOfWeek,$E441)*INDEX(About!Q$79:Q$82,MATCH($B441,About!$A$79:$A$82,0),1)</f>
        <v>2198326</v>
      </c>
      <c r="V441" s="33">
        <f>SUMIFS(INDEX(Load,,MATCH('Summarized Source Data'!$C441,Hour,0)),Month,'Summarized Source Data'!$A441,Sector,'Summarized Source Data'!V$2,TimeOfWeek,$E441)*INDEX(About!R$79:R$82,MATCH($B441,About!$A$79:$A$82,0),1)</f>
        <v>2198326</v>
      </c>
      <c r="W441" s="33">
        <f>SUMIFS(INDEX(Load,,MATCH('Summarized Source Data'!$C441,Hour,0)),Month,'Summarized Source Data'!$A441,Sector,'Summarized Source Data'!W$2,TimeOfWeek,$E441)*INDEX(About!S$79:S$82,MATCH($B441,About!$A$79:$A$82,0),1)</f>
        <v>2198326</v>
      </c>
      <c r="X441" s="27">
        <f>SUMIFS(INDEX(Load,,MATCH('Summarized Source Data'!$C441,Hour,0)),Month,'Summarized Source Data'!$A441,Sector,'Summarized Source Data'!X$2,Subsector,'Summarized Source Data'!X$3,TimeOfWeek,$E441)*INDEX(About!T$79:T$82,MATCH($B441,About!$A$79:$A$82,0),1)</f>
        <v>327000000</v>
      </c>
      <c r="Y441" s="29">
        <f t="shared" si="36"/>
        <v>327000000</v>
      </c>
      <c r="Z441" s="29">
        <f t="shared" si="36"/>
        <v>327000000</v>
      </c>
    </row>
    <row r="442" spans="1:26" x14ac:dyDescent="0.3">
      <c r="A442">
        <f t="shared" si="35"/>
        <v>7</v>
      </c>
      <c r="B442" t="str">
        <f>INDEX('Category Mapping'!$G$28:$G$39,MATCH(A442,'Category Mapping'!$A$28:$A$39,0),1)</f>
        <v>Summer</v>
      </c>
      <c r="C442" t="s">
        <v>69</v>
      </c>
      <c r="D442" s="6" t="s">
        <v>144</v>
      </c>
      <c r="E442" s="46" t="s">
        <v>48</v>
      </c>
      <c r="F442" s="27">
        <f>SUMIFS(INDEX(Load,,MATCH('Summarized Source Data'!$C442,Hour,0)),Month,'Summarized Source Data'!$A442,Sector,'Summarized Source Data'!F$2,Subsector,'Summarized Source Data'!F$3,TimeOfWeek,$E442)*INDEX(About!B$79:B$82,MATCH($B442,About!$A$79:$A$82,0),1)</f>
        <v>40051</v>
      </c>
      <c r="G442" s="27">
        <f>SUMIFS(INDEX(Load,,MATCH('Summarized Source Data'!$C442,Hour,0)),Month,'Summarized Source Data'!$A442,Sector,'Summarized Source Data'!G$2,Subsector,'Summarized Source Data'!G$3,TimeOfWeek,$E442)*INDEX(About!C$79:C$82,MATCH($B442,About!$A$79:$A$82,0),1)</f>
        <v>31800000</v>
      </c>
      <c r="H442" s="27">
        <f>SUMIFS(INDEX(Load,,MATCH('Summarized Source Data'!$C442,Hour,0)),Month,'Summarized Source Data'!$A442,Sector,'Summarized Source Data'!H$2,Subsector,'Summarized Source Data'!H$3,TimeOfWeek,$E442)*INDEX(About!D$79:D$82,MATCH($B442,About!$A$79:$A$82,0),1)</f>
        <v>0</v>
      </c>
      <c r="I442" s="27">
        <f>SUMIFS(INDEX(Load,,MATCH('Summarized Source Data'!$C442,Hour,0)),Month,'Summarized Source Data'!$A442,Sector,'Summarized Source Data'!I$2,Subsector,'Summarized Source Data'!I$3,TimeOfWeek,$E442)*INDEX(About!E$79:E$82,MATCH($B442,About!$A$79:$A$82,0),1)</f>
        <v>3713161</v>
      </c>
      <c r="J442" s="54">
        <f t="shared" si="31"/>
        <v>32546788</v>
      </c>
      <c r="K442" s="27">
        <f>(SUMIFS(INDEX(Load,,MATCH('Summarized Source Data'!$C442,Hour,0)),Month,'Summarized Source Data'!$A442,Sector,'Summarized Source Data'!K$2,Subsector,"Total",TimeOfWeek,$E442)-SUM(F442:I442))*INDEX(About!G$79:G$82,MATCH($B442,About!$A$79:$A$82,0),1)</f>
        <v>32546788</v>
      </c>
      <c r="L442" s="27">
        <f>SUMIFS(INDEX(Load,,MATCH('Summarized Source Data'!$C442,Hour,0)),Month,'Summarized Source Data'!$A442,Sector,'Summarized Source Data'!L$2,Subsector,'Summarized Source Data'!L$3,TimeOfWeek,$E442)*INDEX(About!H$79:H$82,MATCH($B442,About!$A$79:$A$82,0),1)</f>
        <v>63323</v>
      </c>
      <c r="M442" s="27">
        <f>SUMIFS(INDEX(Load,,MATCH('Summarized Source Data'!$C442,Hour,0)),Month,'Summarized Source Data'!$A442,Sector,'Summarized Source Data'!M$2,Subsector,'Summarized Source Data'!M$3,TimeOfWeek,$E442)*INDEX(About!I$79:I$82,MATCH($B442,About!$A$79:$A$82,0),1)</f>
        <v>119000000</v>
      </c>
      <c r="N442" s="27">
        <f>SUMIFS(INDEX(Load,,MATCH('Summarized Source Data'!$C442,Hour,0)),Month,'Summarized Source Data'!$A442,Sector,'Summarized Source Data'!N$2,Subsector,'Summarized Source Data'!N$3,TimeOfWeek,$E442)*INDEX(About!J$79:J$82,MATCH($B442,About!$A$79:$A$82,0),1)</f>
        <v>0</v>
      </c>
      <c r="O442" s="29">
        <f t="shared" si="32"/>
        <v>80936677</v>
      </c>
      <c r="P442" s="27">
        <f>(SUMIFS(INDEX(Load,,MATCH('Summarized Source Data'!$C442,Hour,0)),Month,'Summarized Source Data'!$A442,Sector,'Summarized Source Data'!P$2,Subsector,"Total",TimeOfWeek,$E442)-SUM(L442:N442)*INDEX(About!L$79:L$82,MATCH($B442,About!$A$79:$A$82,0),1))</f>
        <v>80936677</v>
      </c>
      <c r="Q442" s="29">
        <f t="shared" si="33"/>
        <v>80936677</v>
      </c>
      <c r="R442" s="33">
        <f>SUMIFS(INDEX(Load,,MATCH('Summarized Source Data'!$C442,Hour,0)),Month,'Summarized Source Data'!$A442,Sector,'Summarized Source Data'!R$2,TimeOfWeek,$E442)*INDEX(About!N$79:N$82,MATCH($B442,About!$A$79:$A$82,0),1)</f>
        <v>2732731</v>
      </c>
      <c r="S442" s="33">
        <f>SUMIFS(INDEX(Load,,MATCH('Summarized Source Data'!$C442,Hour,0)),Month,'Summarized Source Data'!$A442,Sector,'Summarized Source Data'!S$2,TimeOfWeek,$E442)*INDEX(About!O$79:O$82,MATCH($B442,About!$A$79:$A$82,0),1)</f>
        <v>2732731</v>
      </c>
      <c r="T442" s="33">
        <f>SUMIFS(INDEX(Load,,MATCH('Summarized Source Data'!$C442,Hour,0)),Month,'Summarized Source Data'!$A442,Sector,'Summarized Source Data'!T$2,TimeOfWeek,$E442)*INDEX(About!P$79:P$82,MATCH($B442,About!$A$79:$A$82,0),1)</f>
        <v>2732731</v>
      </c>
      <c r="U442" s="33">
        <f>SUMIFS(INDEX(Load,,MATCH('Summarized Source Data'!$C442,Hour,0)),Month,'Summarized Source Data'!$A442,Sector,'Summarized Source Data'!U$2,TimeOfWeek,$E442)*INDEX(About!Q$79:Q$82,MATCH($B442,About!$A$79:$A$82,0),1)</f>
        <v>2732731</v>
      </c>
      <c r="V442" s="33">
        <f>SUMIFS(INDEX(Load,,MATCH('Summarized Source Data'!$C442,Hour,0)),Month,'Summarized Source Data'!$A442,Sector,'Summarized Source Data'!V$2,TimeOfWeek,$E442)*INDEX(About!R$79:R$82,MATCH($B442,About!$A$79:$A$82,0),1)</f>
        <v>2732731</v>
      </c>
      <c r="W442" s="33">
        <f>SUMIFS(INDEX(Load,,MATCH('Summarized Source Data'!$C442,Hour,0)),Month,'Summarized Source Data'!$A442,Sector,'Summarized Source Data'!W$2,TimeOfWeek,$E442)*INDEX(About!S$79:S$82,MATCH($B442,About!$A$79:$A$82,0),1)</f>
        <v>2732731</v>
      </c>
      <c r="X442" s="27">
        <f>SUMIFS(INDEX(Load,,MATCH('Summarized Source Data'!$C442,Hour,0)),Month,'Summarized Source Data'!$A442,Sector,'Summarized Source Data'!X$2,Subsector,'Summarized Source Data'!X$3,TimeOfWeek,$E442)*INDEX(About!T$79:T$82,MATCH($B442,About!$A$79:$A$82,0),1)</f>
        <v>328000000</v>
      </c>
      <c r="Y442" s="29">
        <f t="shared" si="36"/>
        <v>328000000</v>
      </c>
      <c r="Z442" s="29">
        <f t="shared" si="36"/>
        <v>328000000</v>
      </c>
    </row>
    <row r="443" spans="1:26" x14ac:dyDescent="0.3">
      <c r="A443">
        <f t="shared" si="35"/>
        <v>7</v>
      </c>
      <c r="B443" t="str">
        <f>INDEX('Category Mapping'!$G$28:$G$39,MATCH(A443,'Category Mapping'!$A$28:$A$39,0),1)</f>
        <v>Summer</v>
      </c>
      <c r="C443" t="s">
        <v>70</v>
      </c>
      <c r="D443" s="6" t="s">
        <v>145</v>
      </c>
      <c r="E443" s="46" t="s">
        <v>48</v>
      </c>
      <c r="F443" s="27">
        <f>SUMIFS(INDEX(Load,,MATCH('Summarized Source Data'!$C443,Hour,0)),Month,'Summarized Source Data'!$A443,Sector,'Summarized Source Data'!F$2,Subsector,'Summarized Source Data'!F$3,TimeOfWeek,$E443)*INDEX(About!B$79:B$82,MATCH($B443,About!$A$79:$A$82,0),1)</f>
        <v>46487</v>
      </c>
      <c r="G443" s="27">
        <f>SUMIFS(INDEX(Load,,MATCH('Summarized Source Data'!$C443,Hour,0)),Month,'Summarized Source Data'!$A443,Sector,'Summarized Source Data'!G$2,Subsector,'Summarized Source Data'!G$3,TimeOfWeek,$E443)*INDEX(About!C$79:C$82,MATCH($B443,About!$A$79:$A$82,0),1)</f>
        <v>34600000</v>
      </c>
      <c r="H443" s="27">
        <f>SUMIFS(INDEX(Load,,MATCH('Summarized Source Data'!$C443,Hour,0)),Month,'Summarized Source Data'!$A443,Sector,'Summarized Source Data'!H$2,Subsector,'Summarized Source Data'!H$3,TimeOfWeek,$E443)*INDEX(About!D$79:D$82,MATCH($B443,About!$A$79:$A$82,0),1)</f>
        <v>0</v>
      </c>
      <c r="I443" s="27">
        <f>SUMIFS(INDEX(Load,,MATCH('Summarized Source Data'!$C443,Hour,0)),Month,'Summarized Source Data'!$A443,Sector,'Summarized Source Data'!I$2,Subsector,'Summarized Source Data'!I$3,TimeOfWeek,$E443)*INDEX(About!E$79:E$82,MATCH($B443,About!$A$79:$A$82,0),1)</f>
        <v>5362592</v>
      </c>
      <c r="J443" s="54">
        <f t="shared" si="31"/>
        <v>45990921</v>
      </c>
      <c r="K443" s="27">
        <f>(SUMIFS(INDEX(Load,,MATCH('Summarized Source Data'!$C443,Hour,0)),Month,'Summarized Source Data'!$A443,Sector,'Summarized Source Data'!K$2,Subsector,"Total",TimeOfWeek,$E443)-SUM(F443:I443))*INDEX(About!G$79:G$82,MATCH($B443,About!$A$79:$A$82,0),1)</f>
        <v>45990921</v>
      </c>
      <c r="L443" s="27">
        <f>SUMIFS(INDEX(Load,,MATCH('Summarized Source Data'!$C443,Hour,0)),Month,'Summarized Source Data'!$A443,Sector,'Summarized Source Data'!L$2,Subsector,'Summarized Source Data'!L$3,TimeOfWeek,$E443)*INDEX(About!H$79:H$82,MATCH($B443,About!$A$79:$A$82,0),1)</f>
        <v>63323</v>
      </c>
      <c r="M443" s="27">
        <f>SUMIFS(INDEX(Load,,MATCH('Summarized Source Data'!$C443,Hour,0)),Month,'Summarized Source Data'!$A443,Sector,'Summarized Source Data'!M$2,Subsector,'Summarized Source Data'!M$3,TimeOfWeek,$E443)*INDEX(About!I$79:I$82,MATCH($B443,About!$A$79:$A$82,0),1)</f>
        <v>133000000</v>
      </c>
      <c r="N443" s="27">
        <f>SUMIFS(INDEX(Load,,MATCH('Summarized Source Data'!$C443,Hour,0)),Month,'Summarized Source Data'!$A443,Sector,'Summarized Source Data'!N$2,Subsector,'Summarized Source Data'!N$3,TimeOfWeek,$E443)*INDEX(About!J$79:J$82,MATCH($B443,About!$A$79:$A$82,0),1)</f>
        <v>0</v>
      </c>
      <c r="O443" s="29">
        <f t="shared" si="32"/>
        <v>101936677</v>
      </c>
      <c r="P443" s="27">
        <f>(SUMIFS(INDEX(Load,,MATCH('Summarized Source Data'!$C443,Hour,0)),Month,'Summarized Source Data'!$A443,Sector,'Summarized Source Data'!P$2,Subsector,"Total",TimeOfWeek,$E443)-SUM(L443:N443)*INDEX(About!L$79:L$82,MATCH($B443,About!$A$79:$A$82,0),1))</f>
        <v>101936677</v>
      </c>
      <c r="Q443" s="29">
        <f t="shared" si="33"/>
        <v>101936677</v>
      </c>
      <c r="R443" s="33">
        <f>SUMIFS(INDEX(Load,,MATCH('Summarized Source Data'!$C443,Hour,0)),Month,'Summarized Source Data'!$A443,Sector,'Summarized Source Data'!R$2,TimeOfWeek,$E443)*INDEX(About!N$79:N$82,MATCH($B443,About!$A$79:$A$82,0),1)</f>
        <v>3560926</v>
      </c>
      <c r="S443" s="33">
        <f>SUMIFS(INDEX(Load,,MATCH('Summarized Source Data'!$C443,Hour,0)),Month,'Summarized Source Data'!$A443,Sector,'Summarized Source Data'!S$2,TimeOfWeek,$E443)*INDEX(About!O$79:O$82,MATCH($B443,About!$A$79:$A$82,0),1)</f>
        <v>3560926</v>
      </c>
      <c r="T443" s="33">
        <f>SUMIFS(INDEX(Load,,MATCH('Summarized Source Data'!$C443,Hour,0)),Month,'Summarized Source Data'!$A443,Sector,'Summarized Source Data'!T$2,TimeOfWeek,$E443)*INDEX(About!P$79:P$82,MATCH($B443,About!$A$79:$A$82,0),1)</f>
        <v>3560926</v>
      </c>
      <c r="U443" s="33">
        <f>SUMIFS(INDEX(Load,,MATCH('Summarized Source Data'!$C443,Hour,0)),Month,'Summarized Source Data'!$A443,Sector,'Summarized Source Data'!U$2,TimeOfWeek,$E443)*INDEX(About!Q$79:Q$82,MATCH($B443,About!$A$79:$A$82,0),1)</f>
        <v>3560926</v>
      </c>
      <c r="V443" s="33">
        <f>SUMIFS(INDEX(Load,,MATCH('Summarized Source Data'!$C443,Hour,0)),Month,'Summarized Source Data'!$A443,Sector,'Summarized Source Data'!V$2,TimeOfWeek,$E443)*INDEX(About!R$79:R$82,MATCH($B443,About!$A$79:$A$82,0),1)</f>
        <v>3560926</v>
      </c>
      <c r="W443" s="33">
        <f>SUMIFS(INDEX(Load,,MATCH('Summarized Source Data'!$C443,Hour,0)),Month,'Summarized Source Data'!$A443,Sector,'Summarized Source Data'!W$2,TimeOfWeek,$E443)*INDEX(About!S$79:S$82,MATCH($B443,About!$A$79:$A$82,0),1)</f>
        <v>3560926</v>
      </c>
      <c r="X443" s="27">
        <f>SUMIFS(INDEX(Load,,MATCH('Summarized Source Data'!$C443,Hour,0)),Month,'Summarized Source Data'!$A443,Sector,'Summarized Source Data'!X$2,Subsector,'Summarized Source Data'!X$3,TimeOfWeek,$E443)*INDEX(About!T$79:T$82,MATCH($B443,About!$A$79:$A$82,0),1)</f>
        <v>328000000</v>
      </c>
      <c r="Y443" s="29">
        <f t="shared" si="36"/>
        <v>328000000</v>
      </c>
      <c r="Z443" s="29">
        <f t="shared" si="36"/>
        <v>328000000</v>
      </c>
    </row>
    <row r="444" spans="1:26" x14ac:dyDescent="0.3">
      <c r="A444">
        <f t="shared" si="35"/>
        <v>7</v>
      </c>
      <c r="B444" t="str">
        <f>INDEX('Category Mapping'!$G$28:$G$39,MATCH(A444,'Category Mapping'!$A$28:$A$39,0),1)</f>
        <v>Summer</v>
      </c>
      <c r="C444" t="s">
        <v>71</v>
      </c>
      <c r="D444" s="6" t="s">
        <v>146</v>
      </c>
      <c r="E444" s="46" t="s">
        <v>48</v>
      </c>
      <c r="F444" s="27">
        <f>SUMIFS(INDEX(Load,,MATCH('Summarized Source Data'!$C444,Hour,0)),Month,'Summarized Source Data'!$A444,Sector,'Summarized Source Data'!F$2,Subsector,'Summarized Source Data'!F$3,TimeOfWeek,$E444)*INDEX(About!B$79:B$82,MATCH($B444,About!$A$79:$A$82,0),1)</f>
        <v>50512</v>
      </c>
      <c r="G444" s="27">
        <f>SUMIFS(INDEX(Load,,MATCH('Summarized Source Data'!$C444,Hour,0)),Month,'Summarized Source Data'!$A444,Sector,'Summarized Source Data'!G$2,Subsector,'Summarized Source Data'!G$3,TimeOfWeek,$E444)*INDEX(About!C$79:C$82,MATCH($B444,About!$A$79:$A$82,0),1)</f>
        <v>35900000</v>
      </c>
      <c r="H444" s="27">
        <f>SUMIFS(INDEX(Load,,MATCH('Summarized Source Data'!$C444,Hour,0)),Month,'Summarized Source Data'!$A444,Sector,'Summarized Source Data'!H$2,Subsector,'Summarized Source Data'!H$3,TimeOfWeek,$E444)*INDEX(About!D$79:D$82,MATCH($B444,About!$A$79:$A$82,0),1)</f>
        <v>0</v>
      </c>
      <c r="I444" s="27">
        <f>SUMIFS(INDEX(Load,,MATCH('Summarized Source Data'!$C444,Hour,0)),Month,'Summarized Source Data'!$A444,Sector,'Summarized Source Data'!I$2,Subsector,'Summarized Source Data'!I$3,TimeOfWeek,$E444)*INDEX(About!E$79:E$82,MATCH($B444,About!$A$79:$A$82,0),1)</f>
        <v>6542079</v>
      </c>
      <c r="J444" s="54">
        <f t="shared" si="31"/>
        <v>57207409</v>
      </c>
      <c r="K444" s="27">
        <f>(SUMIFS(INDEX(Load,,MATCH('Summarized Source Data'!$C444,Hour,0)),Month,'Summarized Source Data'!$A444,Sector,'Summarized Source Data'!K$2,Subsector,"Total",TimeOfWeek,$E444)-SUM(F444:I444))*INDEX(About!G$79:G$82,MATCH($B444,About!$A$79:$A$82,0),1)</f>
        <v>57207409</v>
      </c>
      <c r="L444" s="27">
        <f>SUMIFS(INDEX(Load,,MATCH('Summarized Source Data'!$C444,Hour,0)),Month,'Summarized Source Data'!$A444,Sector,'Summarized Source Data'!L$2,Subsector,'Summarized Source Data'!L$3,TimeOfWeek,$E444)*INDEX(About!H$79:H$82,MATCH($B444,About!$A$79:$A$82,0),1)</f>
        <v>63323</v>
      </c>
      <c r="M444" s="27">
        <f>SUMIFS(INDEX(Load,,MATCH('Summarized Source Data'!$C444,Hour,0)),Month,'Summarized Source Data'!$A444,Sector,'Summarized Source Data'!M$2,Subsector,'Summarized Source Data'!M$3,TimeOfWeek,$E444)*INDEX(About!I$79:I$82,MATCH($B444,About!$A$79:$A$82,0),1)</f>
        <v>149000000</v>
      </c>
      <c r="N444" s="27">
        <f>SUMIFS(INDEX(Load,,MATCH('Summarized Source Data'!$C444,Hour,0)),Month,'Summarized Source Data'!$A444,Sector,'Summarized Source Data'!N$2,Subsector,'Summarized Source Data'!N$3,TimeOfWeek,$E444)*INDEX(About!J$79:J$82,MATCH($B444,About!$A$79:$A$82,0),1)</f>
        <v>0</v>
      </c>
      <c r="O444" s="29">
        <f t="shared" si="32"/>
        <v>115936677</v>
      </c>
      <c r="P444" s="27">
        <f>(SUMIFS(INDEX(Load,,MATCH('Summarized Source Data'!$C444,Hour,0)),Month,'Summarized Source Data'!$A444,Sector,'Summarized Source Data'!P$2,Subsector,"Total",TimeOfWeek,$E444)-SUM(L444:N444)*INDEX(About!L$79:L$82,MATCH($B444,About!$A$79:$A$82,0),1))</f>
        <v>115936677</v>
      </c>
      <c r="Q444" s="29">
        <f t="shared" si="33"/>
        <v>115936677</v>
      </c>
      <c r="R444" s="33">
        <f>SUMIFS(INDEX(Load,,MATCH('Summarized Source Data'!$C444,Hour,0)),Month,'Summarized Source Data'!$A444,Sector,'Summarized Source Data'!R$2,TimeOfWeek,$E444)*INDEX(About!N$79:N$82,MATCH($B444,About!$A$79:$A$82,0),1)</f>
        <v>4280018</v>
      </c>
      <c r="S444" s="33">
        <f>SUMIFS(INDEX(Load,,MATCH('Summarized Source Data'!$C444,Hour,0)),Month,'Summarized Source Data'!$A444,Sector,'Summarized Source Data'!S$2,TimeOfWeek,$E444)*INDEX(About!O$79:O$82,MATCH($B444,About!$A$79:$A$82,0),1)</f>
        <v>4280018</v>
      </c>
      <c r="T444" s="33">
        <f>SUMIFS(INDEX(Load,,MATCH('Summarized Source Data'!$C444,Hour,0)),Month,'Summarized Source Data'!$A444,Sector,'Summarized Source Data'!T$2,TimeOfWeek,$E444)*INDEX(About!P$79:P$82,MATCH($B444,About!$A$79:$A$82,0),1)</f>
        <v>4280018</v>
      </c>
      <c r="U444" s="33">
        <f>SUMIFS(INDEX(Load,,MATCH('Summarized Source Data'!$C444,Hour,0)),Month,'Summarized Source Data'!$A444,Sector,'Summarized Source Data'!U$2,TimeOfWeek,$E444)*INDEX(About!Q$79:Q$82,MATCH($B444,About!$A$79:$A$82,0),1)</f>
        <v>4280018</v>
      </c>
      <c r="V444" s="33">
        <f>SUMIFS(INDEX(Load,,MATCH('Summarized Source Data'!$C444,Hour,0)),Month,'Summarized Source Data'!$A444,Sector,'Summarized Source Data'!V$2,TimeOfWeek,$E444)*INDEX(About!R$79:R$82,MATCH($B444,About!$A$79:$A$82,0),1)</f>
        <v>4280018</v>
      </c>
      <c r="W444" s="33">
        <f>SUMIFS(INDEX(Load,,MATCH('Summarized Source Data'!$C444,Hour,0)),Month,'Summarized Source Data'!$A444,Sector,'Summarized Source Data'!W$2,TimeOfWeek,$E444)*INDEX(About!S$79:S$82,MATCH($B444,About!$A$79:$A$82,0),1)</f>
        <v>4280018</v>
      </c>
      <c r="X444" s="27">
        <f>SUMIFS(INDEX(Load,,MATCH('Summarized Source Data'!$C444,Hour,0)),Month,'Summarized Source Data'!$A444,Sector,'Summarized Source Data'!X$2,Subsector,'Summarized Source Data'!X$3,TimeOfWeek,$E444)*INDEX(About!T$79:T$82,MATCH($B444,About!$A$79:$A$82,0),1)</f>
        <v>328000000</v>
      </c>
      <c r="Y444" s="29">
        <f t="shared" si="36"/>
        <v>328000000</v>
      </c>
      <c r="Z444" s="29">
        <f t="shared" si="36"/>
        <v>328000000</v>
      </c>
    </row>
    <row r="445" spans="1:26" x14ac:dyDescent="0.3">
      <c r="A445">
        <f t="shared" si="35"/>
        <v>7</v>
      </c>
      <c r="B445" t="str">
        <f>INDEX('Category Mapping'!$G$28:$G$39,MATCH(A445,'Category Mapping'!$A$28:$A$39,0),1)</f>
        <v>Summer</v>
      </c>
      <c r="C445" t="s">
        <v>72</v>
      </c>
      <c r="D445" s="6" t="s">
        <v>147</v>
      </c>
      <c r="E445" s="46" t="s">
        <v>48</v>
      </c>
      <c r="F445" s="27">
        <f>SUMIFS(INDEX(Load,,MATCH('Summarized Source Data'!$C445,Hour,0)),Month,'Summarized Source Data'!$A445,Sector,'Summarized Source Data'!F$2,Subsector,'Summarized Source Data'!F$3,TimeOfWeek,$E445)*INDEX(About!B$79:B$82,MATCH($B445,About!$A$79:$A$82,0),1)</f>
        <v>51319</v>
      </c>
      <c r="G445" s="27">
        <f>SUMIFS(INDEX(Load,,MATCH('Summarized Source Data'!$C445,Hour,0)),Month,'Summarized Source Data'!$A445,Sector,'Summarized Source Data'!G$2,Subsector,'Summarized Source Data'!G$3,TimeOfWeek,$E445)*INDEX(About!C$79:C$82,MATCH($B445,About!$A$79:$A$82,0),1)</f>
        <v>35700000</v>
      </c>
      <c r="H445" s="27">
        <f>SUMIFS(INDEX(Load,,MATCH('Summarized Source Data'!$C445,Hour,0)),Month,'Summarized Source Data'!$A445,Sector,'Summarized Source Data'!H$2,Subsector,'Summarized Source Data'!H$3,TimeOfWeek,$E445)*INDEX(About!D$79:D$82,MATCH($B445,About!$A$79:$A$82,0),1)</f>
        <v>0</v>
      </c>
      <c r="I445" s="27">
        <f>SUMIFS(INDEX(Load,,MATCH('Summarized Source Data'!$C445,Hour,0)),Month,'Summarized Source Data'!$A445,Sector,'Summarized Source Data'!I$2,Subsector,'Summarized Source Data'!I$3,TimeOfWeek,$E445)*INDEX(About!E$79:E$82,MATCH($B445,About!$A$79:$A$82,0),1)</f>
        <v>6778772</v>
      </c>
      <c r="J445" s="54">
        <f t="shared" si="31"/>
        <v>71469909</v>
      </c>
      <c r="K445" s="27">
        <f>(SUMIFS(INDEX(Load,,MATCH('Summarized Source Data'!$C445,Hour,0)),Month,'Summarized Source Data'!$A445,Sector,'Summarized Source Data'!K$2,Subsector,"Total",TimeOfWeek,$E445)-SUM(F445:I445))*INDEX(About!G$79:G$82,MATCH($B445,About!$A$79:$A$82,0),1)</f>
        <v>71469909</v>
      </c>
      <c r="L445" s="27">
        <f>SUMIFS(INDEX(Load,,MATCH('Summarized Source Data'!$C445,Hour,0)),Month,'Summarized Source Data'!$A445,Sector,'Summarized Source Data'!L$2,Subsector,'Summarized Source Data'!L$3,TimeOfWeek,$E445)*INDEX(About!H$79:H$82,MATCH($B445,About!$A$79:$A$82,0),1)</f>
        <v>63323</v>
      </c>
      <c r="M445" s="27">
        <f>SUMIFS(INDEX(Load,,MATCH('Summarized Source Data'!$C445,Hour,0)),Month,'Summarized Source Data'!$A445,Sector,'Summarized Source Data'!M$2,Subsector,'Summarized Source Data'!M$3,TimeOfWeek,$E445)*INDEX(About!I$79:I$82,MATCH($B445,About!$A$79:$A$82,0),1)</f>
        <v>164000000</v>
      </c>
      <c r="N445" s="27">
        <f>SUMIFS(INDEX(Load,,MATCH('Summarized Source Data'!$C445,Hour,0)),Month,'Summarized Source Data'!$A445,Sector,'Summarized Source Data'!N$2,Subsector,'Summarized Source Data'!N$3,TimeOfWeek,$E445)*INDEX(About!J$79:J$82,MATCH($B445,About!$A$79:$A$82,0),1)</f>
        <v>0</v>
      </c>
      <c r="O445" s="29">
        <f t="shared" si="32"/>
        <v>125936677</v>
      </c>
      <c r="P445" s="27">
        <f>(SUMIFS(INDEX(Load,,MATCH('Summarized Source Data'!$C445,Hour,0)),Month,'Summarized Source Data'!$A445,Sector,'Summarized Source Data'!P$2,Subsector,"Total",TimeOfWeek,$E445)-SUM(L445:N445)*INDEX(About!L$79:L$82,MATCH($B445,About!$A$79:$A$82,0),1))</f>
        <v>125936677</v>
      </c>
      <c r="Q445" s="29">
        <f t="shared" si="33"/>
        <v>125936677</v>
      </c>
      <c r="R445" s="33">
        <f>SUMIFS(INDEX(Load,,MATCH('Summarized Source Data'!$C445,Hour,0)),Month,'Summarized Source Data'!$A445,Sector,'Summarized Source Data'!R$2,TimeOfWeek,$E445)*INDEX(About!N$79:N$82,MATCH($B445,About!$A$79:$A$82,0),1)</f>
        <v>4883289</v>
      </c>
      <c r="S445" s="33">
        <f>SUMIFS(INDEX(Load,,MATCH('Summarized Source Data'!$C445,Hour,0)),Month,'Summarized Source Data'!$A445,Sector,'Summarized Source Data'!S$2,TimeOfWeek,$E445)*INDEX(About!O$79:O$82,MATCH($B445,About!$A$79:$A$82,0),1)</f>
        <v>4883289</v>
      </c>
      <c r="T445" s="33">
        <f>SUMIFS(INDEX(Load,,MATCH('Summarized Source Data'!$C445,Hour,0)),Month,'Summarized Source Data'!$A445,Sector,'Summarized Source Data'!T$2,TimeOfWeek,$E445)*INDEX(About!P$79:P$82,MATCH($B445,About!$A$79:$A$82,0),1)</f>
        <v>4883289</v>
      </c>
      <c r="U445" s="33">
        <f>SUMIFS(INDEX(Load,,MATCH('Summarized Source Data'!$C445,Hour,0)),Month,'Summarized Source Data'!$A445,Sector,'Summarized Source Data'!U$2,TimeOfWeek,$E445)*INDEX(About!Q$79:Q$82,MATCH($B445,About!$A$79:$A$82,0),1)</f>
        <v>4883289</v>
      </c>
      <c r="V445" s="33">
        <f>SUMIFS(INDEX(Load,,MATCH('Summarized Source Data'!$C445,Hour,0)),Month,'Summarized Source Data'!$A445,Sector,'Summarized Source Data'!V$2,TimeOfWeek,$E445)*INDEX(About!R$79:R$82,MATCH($B445,About!$A$79:$A$82,0),1)</f>
        <v>4883289</v>
      </c>
      <c r="W445" s="33">
        <f>SUMIFS(INDEX(Load,,MATCH('Summarized Source Data'!$C445,Hour,0)),Month,'Summarized Source Data'!$A445,Sector,'Summarized Source Data'!W$2,TimeOfWeek,$E445)*INDEX(About!S$79:S$82,MATCH($B445,About!$A$79:$A$82,0),1)</f>
        <v>4883289</v>
      </c>
      <c r="X445" s="27">
        <f>SUMIFS(INDEX(Load,,MATCH('Summarized Source Data'!$C445,Hour,0)),Month,'Summarized Source Data'!$A445,Sector,'Summarized Source Data'!X$2,Subsector,'Summarized Source Data'!X$3,TimeOfWeek,$E445)*INDEX(About!T$79:T$82,MATCH($B445,About!$A$79:$A$82,0),1)</f>
        <v>326000000</v>
      </c>
      <c r="Y445" s="29">
        <f t="shared" si="36"/>
        <v>326000000</v>
      </c>
      <c r="Z445" s="29">
        <f t="shared" si="36"/>
        <v>326000000</v>
      </c>
    </row>
    <row r="446" spans="1:26" x14ac:dyDescent="0.3">
      <c r="A446">
        <f t="shared" si="35"/>
        <v>7</v>
      </c>
      <c r="B446" t="str">
        <f>INDEX('Category Mapping'!$G$28:$G$39,MATCH(A446,'Category Mapping'!$A$28:$A$39,0),1)</f>
        <v>Summer</v>
      </c>
      <c r="C446" t="s">
        <v>73</v>
      </c>
      <c r="D446" s="6" t="s">
        <v>148</v>
      </c>
      <c r="E446" s="46" t="s">
        <v>48</v>
      </c>
      <c r="F446" s="27">
        <f>SUMIFS(INDEX(Load,,MATCH('Summarized Source Data'!$C446,Hour,0)),Month,'Summarized Source Data'!$A446,Sector,'Summarized Source Data'!F$2,Subsector,'Summarized Source Data'!F$3,TimeOfWeek,$E446)*INDEX(About!B$79:B$82,MATCH($B446,About!$A$79:$A$82,0),1)</f>
        <v>51457</v>
      </c>
      <c r="G446" s="27">
        <f>SUMIFS(INDEX(Load,,MATCH('Summarized Source Data'!$C446,Hour,0)),Month,'Summarized Source Data'!$A446,Sector,'Summarized Source Data'!G$2,Subsector,'Summarized Source Data'!G$3,TimeOfWeek,$E446)*INDEX(About!C$79:C$82,MATCH($B446,About!$A$79:$A$82,0),1)</f>
        <v>37100000</v>
      </c>
      <c r="H446" s="27">
        <f>SUMIFS(INDEX(Load,,MATCH('Summarized Source Data'!$C446,Hour,0)),Month,'Summarized Source Data'!$A446,Sector,'Summarized Source Data'!H$2,Subsector,'Summarized Source Data'!H$3,TimeOfWeek,$E446)*INDEX(About!D$79:D$82,MATCH($B446,About!$A$79:$A$82,0),1)</f>
        <v>0</v>
      </c>
      <c r="I446" s="27">
        <f>SUMIFS(INDEX(Load,,MATCH('Summarized Source Data'!$C446,Hour,0)),Month,'Summarized Source Data'!$A446,Sector,'Summarized Source Data'!I$2,Subsector,'Summarized Source Data'!I$3,TimeOfWeek,$E446)*INDEX(About!E$79:E$82,MATCH($B446,About!$A$79:$A$82,0),1)</f>
        <v>6819209</v>
      </c>
      <c r="J446" s="54">
        <f t="shared" si="31"/>
        <v>89029334</v>
      </c>
      <c r="K446" s="27">
        <f>(SUMIFS(INDEX(Load,,MATCH('Summarized Source Data'!$C446,Hour,0)),Month,'Summarized Source Data'!$A446,Sector,'Summarized Source Data'!K$2,Subsector,"Total",TimeOfWeek,$E446)-SUM(F446:I446))*INDEX(About!G$79:G$82,MATCH($B446,About!$A$79:$A$82,0),1)</f>
        <v>89029334</v>
      </c>
      <c r="L446" s="27">
        <f>SUMIFS(INDEX(Load,,MATCH('Summarized Source Data'!$C446,Hour,0)),Month,'Summarized Source Data'!$A446,Sector,'Summarized Source Data'!L$2,Subsector,'Summarized Source Data'!L$3,TimeOfWeek,$E446)*INDEX(About!H$79:H$82,MATCH($B446,About!$A$79:$A$82,0),1)</f>
        <v>63323</v>
      </c>
      <c r="M446" s="27">
        <f>SUMIFS(INDEX(Load,,MATCH('Summarized Source Data'!$C446,Hour,0)),Month,'Summarized Source Data'!$A446,Sector,'Summarized Source Data'!M$2,Subsector,'Summarized Source Data'!M$3,TimeOfWeek,$E446)*INDEX(About!I$79:I$82,MATCH($B446,About!$A$79:$A$82,0),1)</f>
        <v>175000000</v>
      </c>
      <c r="N446" s="27">
        <f>SUMIFS(INDEX(Load,,MATCH('Summarized Source Data'!$C446,Hour,0)),Month,'Summarized Source Data'!$A446,Sector,'Summarized Source Data'!N$2,Subsector,'Summarized Source Data'!N$3,TimeOfWeek,$E446)*INDEX(About!J$79:J$82,MATCH($B446,About!$A$79:$A$82,0),1)</f>
        <v>0</v>
      </c>
      <c r="O446" s="29">
        <f t="shared" si="32"/>
        <v>124936677</v>
      </c>
      <c r="P446" s="27">
        <f>(SUMIFS(INDEX(Load,,MATCH('Summarized Source Data'!$C446,Hour,0)),Month,'Summarized Source Data'!$A446,Sector,'Summarized Source Data'!P$2,Subsector,"Total",TimeOfWeek,$E446)-SUM(L446:N446)*INDEX(About!L$79:L$82,MATCH($B446,About!$A$79:$A$82,0),1))</f>
        <v>124936677</v>
      </c>
      <c r="Q446" s="29">
        <f t="shared" si="33"/>
        <v>124936677</v>
      </c>
      <c r="R446" s="33">
        <f>SUMIFS(INDEX(Load,,MATCH('Summarized Source Data'!$C446,Hour,0)),Month,'Summarized Source Data'!$A446,Sector,'Summarized Source Data'!R$2,TimeOfWeek,$E446)*INDEX(About!N$79:N$82,MATCH($B446,About!$A$79:$A$82,0),1)</f>
        <v>5184267</v>
      </c>
      <c r="S446" s="33">
        <f>SUMIFS(INDEX(Load,,MATCH('Summarized Source Data'!$C446,Hour,0)),Month,'Summarized Source Data'!$A446,Sector,'Summarized Source Data'!S$2,TimeOfWeek,$E446)*INDEX(About!O$79:O$82,MATCH($B446,About!$A$79:$A$82,0),1)</f>
        <v>5184267</v>
      </c>
      <c r="T446" s="33">
        <f>SUMIFS(INDEX(Load,,MATCH('Summarized Source Data'!$C446,Hour,0)),Month,'Summarized Source Data'!$A446,Sector,'Summarized Source Data'!T$2,TimeOfWeek,$E446)*INDEX(About!P$79:P$82,MATCH($B446,About!$A$79:$A$82,0),1)</f>
        <v>5184267</v>
      </c>
      <c r="U446" s="33">
        <f>SUMIFS(INDEX(Load,,MATCH('Summarized Source Data'!$C446,Hour,0)),Month,'Summarized Source Data'!$A446,Sector,'Summarized Source Data'!U$2,TimeOfWeek,$E446)*INDEX(About!Q$79:Q$82,MATCH($B446,About!$A$79:$A$82,0),1)</f>
        <v>5184267</v>
      </c>
      <c r="V446" s="33">
        <f>SUMIFS(INDEX(Load,,MATCH('Summarized Source Data'!$C446,Hour,0)),Month,'Summarized Source Data'!$A446,Sector,'Summarized Source Data'!V$2,TimeOfWeek,$E446)*INDEX(About!R$79:R$82,MATCH($B446,About!$A$79:$A$82,0),1)</f>
        <v>5184267</v>
      </c>
      <c r="W446" s="33">
        <f>SUMIFS(INDEX(Load,,MATCH('Summarized Source Data'!$C446,Hour,0)),Month,'Summarized Source Data'!$A446,Sector,'Summarized Source Data'!W$2,TimeOfWeek,$E446)*INDEX(About!S$79:S$82,MATCH($B446,About!$A$79:$A$82,0),1)</f>
        <v>5184267</v>
      </c>
      <c r="X446" s="27">
        <f>SUMIFS(INDEX(Load,,MATCH('Summarized Source Data'!$C446,Hour,0)),Month,'Summarized Source Data'!$A446,Sector,'Summarized Source Data'!X$2,Subsector,'Summarized Source Data'!X$3,TimeOfWeek,$E446)*INDEX(About!T$79:T$82,MATCH($B446,About!$A$79:$A$82,0),1)</f>
        <v>326000000</v>
      </c>
      <c r="Y446" s="29">
        <f t="shared" si="36"/>
        <v>326000000</v>
      </c>
      <c r="Z446" s="29">
        <f t="shared" si="36"/>
        <v>326000000</v>
      </c>
    </row>
    <row r="447" spans="1:26" x14ac:dyDescent="0.3">
      <c r="A447">
        <f t="shared" si="35"/>
        <v>7</v>
      </c>
      <c r="B447" t="str">
        <f>INDEX('Category Mapping'!$G$28:$G$39,MATCH(A447,'Category Mapping'!$A$28:$A$39,0),1)</f>
        <v>Summer</v>
      </c>
      <c r="C447" t="s">
        <v>74</v>
      </c>
      <c r="D447" s="6" t="s">
        <v>149</v>
      </c>
      <c r="E447" s="46" t="s">
        <v>48</v>
      </c>
      <c r="F447" s="27">
        <f>SUMIFS(INDEX(Load,,MATCH('Summarized Source Data'!$C447,Hour,0)),Month,'Summarized Source Data'!$A447,Sector,'Summarized Source Data'!F$2,Subsector,'Summarized Source Data'!F$3,TimeOfWeek,$E447)*INDEX(About!B$79:B$82,MATCH($B447,About!$A$79:$A$82,0),1)</f>
        <v>39612</v>
      </c>
      <c r="G447" s="27">
        <f>SUMIFS(INDEX(Load,,MATCH('Summarized Source Data'!$C447,Hour,0)),Month,'Summarized Source Data'!$A447,Sector,'Summarized Source Data'!G$2,Subsector,'Summarized Source Data'!G$3,TimeOfWeek,$E447)*INDEX(About!C$79:C$82,MATCH($B447,About!$A$79:$A$82,0),1)</f>
        <v>41800000</v>
      </c>
      <c r="H447" s="27">
        <f>SUMIFS(INDEX(Load,,MATCH('Summarized Source Data'!$C447,Hour,0)),Month,'Summarized Source Data'!$A447,Sector,'Summarized Source Data'!H$2,Subsector,'Summarized Source Data'!H$3,TimeOfWeek,$E447)*INDEX(About!D$79:D$82,MATCH($B447,About!$A$79:$A$82,0),1)</f>
        <v>0</v>
      </c>
      <c r="I447" s="27">
        <f>SUMIFS(INDEX(Load,,MATCH('Summarized Source Data'!$C447,Hour,0)),Month,'Summarized Source Data'!$A447,Sector,'Summarized Source Data'!I$2,Subsector,'Summarized Source Data'!I$3,TimeOfWeek,$E447)*INDEX(About!E$79:E$82,MATCH($B447,About!$A$79:$A$82,0),1)</f>
        <v>7235339</v>
      </c>
      <c r="J447" s="54">
        <f t="shared" si="31"/>
        <v>99925049</v>
      </c>
      <c r="K447" s="27">
        <f>(SUMIFS(INDEX(Load,,MATCH('Summarized Source Data'!$C447,Hour,0)),Month,'Summarized Source Data'!$A447,Sector,'Summarized Source Data'!K$2,Subsector,"Total",TimeOfWeek,$E447)-SUM(F447:I447))*INDEX(About!G$79:G$82,MATCH($B447,About!$A$79:$A$82,0),1)</f>
        <v>99925049</v>
      </c>
      <c r="L447" s="27">
        <f>SUMIFS(INDEX(Load,,MATCH('Summarized Source Data'!$C447,Hour,0)),Month,'Summarized Source Data'!$A447,Sector,'Summarized Source Data'!L$2,Subsector,'Summarized Source Data'!L$3,TimeOfWeek,$E447)*INDEX(About!H$79:H$82,MATCH($B447,About!$A$79:$A$82,0),1)</f>
        <v>63323</v>
      </c>
      <c r="M447" s="27">
        <f>SUMIFS(INDEX(Load,,MATCH('Summarized Source Data'!$C447,Hour,0)),Month,'Summarized Source Data'!$A447,Sector,'Summarized Source Data'!M$2,Subsector,'Summarized Source Data'!M$3,TimeOfWeek,$E447)*INDEX(About!I$79:I$82,MATCH($B447,About!$A$79:$A$82,0),1)</f>
        <v>183000000</v>
      </c>
      <c r="N447" s="27">
        <f>SUMIFS(INDEX(Load,,MATCH('Summarized Source Data'!$C447,Hour,0)),Month,'Summarized Source Data'!$A447,Sector,'Summarized Source Data'!N$2,Subsector,'Summarized Source Data'!N$3,TimeOfWeek,$E447)*INDEX(About!J$79:J$82,MATCH($B447,About!$A$79:$A$82,0),1)</f>
        <v>0</v>
      </c>
      <c r="O447" s="29">
        <f t="shared" si="32"/>
        <v>125936677</v>
      </c>
      <c r="P447" s="27">
        <f>(SUMIFS(INDEX(Load,,MATCH('Summarized Source Data'!$C447,Hour,0)),Month,'Summarized Source Data'!$A447,Sector,'Summarized Source Data'!P$2,Subsector,"Total",TimeOfWeek,$E447)-SUM(L447:N447)*INDEX(About!L$79:L$82,MATCH($B447,About!$A$79:$A$82,0),1))</f>
        <v>125936677</v>
      </c>
      <c r="Q447" s="29">
        <f t="shared" si="33"/>
        <v>125936677</v>
      </c>
      <c r="R447" s="33">
        <f>SUMIFS(INDEX(Load,,MATCH('Summarized Source Data'!$C447,Hour,0)),Month,'Summarized Source Data'!$A447,Sector,'Summarized Source Data'!R$2,TimeOfWeek,$E447)*INDEX(About!N$79:N$82,MATCH($B447,About!$A$79:$A$82,0),1)</f>
        <v>5365786</v>
      </c>
      <c r="S447" s="33">
        <f>SUMIFS(INDEX(Load,,MATCH('Summarized Source Data'!$C447,Hour,0)),Month,'Summarized Source Data'!$A447,Sector,'Summarized Source Data'!S$2,TimeOfWeek,$E447)*INDEX(About!O$79:O$82,MATCH($B447,About!$A$79:$A$82,0),1)</f>
        <v>5365786</v>
      </c>
      <c r="T447" s="33">
        <f>SUMIFS(INDEX(Load,,MATCH('Summarized Source Data'!$C447,Hour,0)),Month,'Summarized Source Data'!$A447,Sector,'Summarized Source Data'!T$2,TimeOfWeek,$E447)*INDEX(About!P$79:P$82,MATCH($B447,About!$A$79:$A$82,0),1)</f>
        <v>5365786</v>
      </c>
      <c r="U447" s="33">
        <f>SUMIFS(INDEX(Load,,MATCH('Summarized Source Data'!$C447,Hour,0)),Month,'Summarized Source Data'!$A447,Sector,'Summarized Source Data'!U$2,TimeOfWeek,$E447)*INDEX(About!Q$79:Q$82,MATCH($B447,About!$A$79:$A$82,0),1)</f>
        <v>5365786</v>
      </c>
      <c r="V447" s="33">
        <f>SUMIFS(INDEX(Load,,MATCH('Summarized Source Data'!$C447,Hour,0)),Month,'Summarized Source Data'!$A447,Sector,'Summarized Source Data'!V$2,TimeOfWeek,$E447)*INDEX(About!R$79:R$82,MATCH($B447,About!$A$79:$A$82,0),1)</f>
        <v>5365786</v>
      </c>
      <c r="W447" s="33">
        <f>SUMIFS(INDEX(Load,,MATCH('Summarized Source Data'!$C447,Hour,0)),Month,'Summarized Source Data'!$A447,Sector,'Summarized Source Data'!W$2,TimeOfWeek,$E447)*INDEX(About!S$79:S$82,MATCH($B447,About!$A$79:$A$82,0),1)</f>
        <v>5365786</v>
      </c>
      <c r="X447" s="27">
        <f>SUMIFS(INDEX(Load,,MATCH('Summarized Source Data'!$C447,Hour,0)),Month,'Summarized Source Data'!$A447,Sector,'Summarized Source Data'!X$2,Subsector,'Summarized Source Data'!X$3,TimeOfWeek,$E447)*INDEX(About!T$79:T$82,MATCH($B447,About!$A$79:$A$82,0),1)</f>
        <v>325000000</v>
      </c>
      <c r="Y447" s="29">
        <f t="shared" si="36"/>
        <v>325000000</v>
      </c>
      <c r="Z447" s="29">
        <f t="shared" si="36"/>
        <v>325000000</v>
      </c>
    </row>
    <row r="448" spans="1:26" x14ac:dyDescent="0.3">
      <c r="A448">
        <f t="shared" si="35"/>
        <v>7</v>
      </c>
      <c r="B448" t="str">
        <f>INDEX('Category Mapping'!$G$28:$G$39,MATCH(A448,'Category Mapping'!$A$28:$A$39,0),1)</f>
        <v>Summer</v>
      </c>
      <c r="C448" t="s">
        <v>75</v>
      </c>
      <c r="D448" s="6" t="s">
        <v>150</v>
      </c>
      <c r="E448" s="46" t="s">
        <v>48</v>
      </c>
      <c r="F448" s="27">
        <f>SUMIFS(INDEX(Load,,MATCH('Summarized Source Data'!$C448,Hour,0)),Month,'Summarized Source Data'!$A448,Sector,'Summarized Source Data'!F$2,Subsector,'Summarized Source Data'!F$3,TimeOfWeek,$E448)*INDEX(About!B$79:B$82,MATCH($B448,About!$A$79:$A$82,0),1)</f>
        <v>40470</v>
      </c>
      <c r="G448" s="27">
        <f>SUMIFS(INDEX(Load,,MATCH('Summarized Source Data'!$C448,Hour,0)),Month,'Summarized Source Data'!$A448,Sector,'Summarized Source Data'!G$2,Subsector,'Summarized Source Data'!G$3,TimeOfWeek,$E448)*INDEX(About!C$79:C$82,MATCH($B448,About!$A$79:$A$82,0),1)</f>
        <v>46300000</v>
      </c>
      <c r="H448" s="27">
        <f>SUMIFS(INDEX(Load,,MATCH('Summarized Source Data'!$C448,Hour,0)),Month,'Summarized Source Data'!$A448,Sector,'Summarized Source Data'!H$2,Subsector,'Summarized Source Data'!H$3,TimeOfWeek,$E448)*INDEX(About!D$79:D$82,MATCH($B448,About!$A$79:$A$82,0),1)</f>
        <v>0</v>
      </c>
      <c r="I448" s="27">
        <f>SUMIFS(INDEX(Load,,MATCH('Summarized Source Data'!$C448,Hour,0)),Month,'Summarized Source Data'!$A448,Sector,'Summarized Source Data'!I$2,Subsector,'Summarized Source Data'!I$3,TimeOfWeek,$E448)*INDEX(About!E$79:E$82,MATCH($B448,About!$A$79:$A$82,0),1)</f>
        <v>7486797</v>
      </c>
      <c r="J448" s="54">
        <f t="shared" si="31"/>
        <v>91172733</v>
      </c>
      <c r="K448" s="27">
        <f>(SUMIFS(INDEX(Load,,MATCH('Summarized Source Data'!$C448,Hour,0)),Month,'Summarized Source Data'!$A448,Sector,'Summarized Source Data'!K$2,Subsector,"Total",TimeOfWeek,$E448)-SUM(F448:I448))*INDEX(About!G$79:G$82,MATCH($B448,About!$A$79:$A$82,0),1)</f>
        <v>91172733</v>
      </c>
      <c r="L448" s="27">
        <f>SUMIFS(INDEX(Load,,MATCH('Summarized Source Data'!$C448,Hour,0)),Month,'Summarized Source Data'!$A448,Sector,'Summarized Source Data'!L$2,Subsector,'Summarized Source Data'!L$3,TimeOfWeek,$E448)*INDEX(About!H$79:H$82,MATCH($B448,About!$A$79:$A$82,0),1)</f>
        <v>63323</v>
      </c>
      <c r="M448" s="27">
        <f>SUMIFS(INDEX(Load,,MATCH('Summarized Source Data'!$C448,Hour,0)),Month,'Summarized Source Data'!$A448,Sector,'Summarized Source Data'!M$2,Subsector,'Summarized Source Data'!M$3,TimeOfWeek,$E448)*INDEX(About!I$79:I$82,MATCH($B448,About!$A$79:$A$82,0),1)</f>
        <v>190000000</v>
      </c>
      <c r="N448" s="27">
        <f>SUMIFS(INDEX(Load,,MATCH('Summarized Source Data'!$C448,Hour,0)),Month,'Summarized Source Data'!$A448,Sector,'Summarized Source Data'!N$2,Subsector,'Summarized Source Data'!N$3,TimeOfWeek,$E448)*INDEX(About!J$79:J$82,MATCH($B448,About!$A$79:$A$82,0),1)</f>
        <v>0</v>
      </c>
      <c r="O448" s="29">
        <f t="shared" si="32"/>
        <v>124936677</v>
      </c>
      <c r="P448" s="27">
        <f>(SUMIFS(INDEX(Load,,MATCH('Summarized Source Data'!$C448,Hour,0)),Month,'Summarized Source Data'!$A448,Sector,'Summarized Source Data'!P$2,Subsector,"Total",TimeOfWeek,$E448)-SUM(L448:N448)*INDEX(About!L$79:L$82,MATCH($B448,About!$A$79:$A$82,0),1))</f>
        <v>124936677</v>
      </c>
      <c r="Q448" s="29">
        <f t="shared" si="33"/>
        <v>124936677</v>
      </c>
      <c r="R448" s="33">
        <f>SUMIFS(INDEX(Load,,MATCH('Summarized Source Data'!$C448,Hour,0)),Month,'Summarized Source Data'!$A448,Sector,'Summarized Source Data'!R$2,TimeOfWeek,$E448)*INDEX(About!N$79:N$82,MATCH($B448,About!$A$79:$A$82,0),1)</f>
        <v>5258039</v>
      </c>
      <c r="S448" s="33">
        <f>SUMIFS(INDEX(Load,,MATCH('Summarized Source Data'!$C448,Hour,0)),Month,'Summarized Source Data'!$A448,Sector,'Summarized Source Data'!S$2,TimeOfWeek,$E448)*INDEX(About!O$79:O$82,MATCH($B448,About!$A$79:$A$82,0),1)</f>
        <v>5258039</v>
      </c>
      <c r="T448" s="33">
        <f>SUMIFS(INDEX(Load,,MATCH('Summarized Source Data'!$C448,Hour,0)),Month,'Summarized Source Data'!$A448,Sector,'Summarized Source Data'!T$2,TimeOfWeek,$E448)*INDEX(About!P$79:P$82,MATCH($B448,About!$A$79:$A$82,0),1)</f>
        <v>5258039</v>
      </c>
      <c r="U448" s="33">
        <f>SUMIFS(INDEX(Load,,MATCH('Summarized Source Data'!$C448,Hour,0)),Month,'Summarized Source Data'!$A448,Sector,'Summarized Source Data'!U$2,TimeOfWeek,$E448)*INDEX(About!Q$79:Q$82,MATCH($B448,About!$A$79:$A$82,0),1)</f>
        <v>5258039</v>
      </c>
      <c r="V448" s="33">
        <f>SUMIFS(INDEX(Load,,MATCH('Summarized Source Data'!$C448,Hour,0)),Month,'Summarized Source Data'!$A448,Sector,'Summarized Source Data'!V$2,TimeOfWeek,$E448)*INDEX(About!R$79:R$82,MATCH($B448,About!$A$79:$A$82,0),1)</f>
        <v>5258039</v>
      </c>
      <c r="W448" s="33">
        <f>SUMIFS(INDEX(Load,,MATCH('Summarized Source Data'!$C448,Hour,0)),Month,'Summarized Source Data'!$A448,Sector,'Summarized Source Data'!W$2,TimeOfWeek,$E448)*INDEX(About!S$79:S$82,MATCH($B448,About!$A$79:$A$82,0),1)</f>
        <v>5258039</v>
      </c>
      <c r="X448" s="27">
        <f>SUMIFS(INDEX(Load,,MATCH('Summarized Source Data'!$C448,Hour,0)),Month,'Summarized Source Data'!$A448,Sector,'Summarized Source Data'!X$2,Subsector,'Summarized Source Data'!X$3,TimeOfWeek,$E448)*INDEX(About!T$79:T$82,MATCH($B448,About!$A$79:$A$82,0),1)</f>
        <v>325000000</v>
      </c>
      <c r="Y448" s="29">
        <f t="shared" si="36"/>
        <v>325000000</v>
      </c>
      <c r="Z448" s="29">
        <f t="shared" si="36"/>
        <v>325000000</v>
      </c>
    </row>
    <row r="449" spans="1:26" x14ac:dyDescent="0.3">
      <c r="A449">
        <f t="shared" si="35"/>
        <v>7</v>
      </c>
      <c r="B449" t="str">
        <f>INDEX('Category Mapping'!$G$28:$G$39,MATCH(A449,'Category Mapping'!$A$28:$A$39,0),1)</f>
        <v>Summer</v>
      </c>
      <c r="C449" t="s">
        <v>76</v>
      </c>
      <c r="D449" s="6" t="s">
        <v>151</v>
      </c>
      <c r="E449" s="46" t="s">
        <v>48</v>
      </c>
      <c r="F449" s="27">
        <f>SUMIFS(INDEX(Load,,MATCH('Summarized Source Data'!$C449,Hour,0)),Month,'Summarized Source Data'!$A449,Sector,'Summarized Source Data'!F$2,Subsector,'Summarized Source Data'!F$3,TimeOfWeek,$E449)*INDEX(About!B$79:B$82,MATCH($B449,About!$A$79:$A$82,0),1)</f>
        <v>40437</v>
      </c>
      <c r="G449" s="27">
        <f>SUMIFS(INDEX(Load,,MATCH('Summarized Source Data'!$C449,Hour,0)),Month,'Summarized Source Data'!$A449,Sector,'Summarized Source Data'!G$2,Subsector,'Summarized Source Data'!G$3,TimeOfWeek,$E449)*INDEX(About!C$79:C$82,MATCH($B449,About!$A$79:$A$82,0),1)</f>
        <v>48500000</v>
      </c>
      <c r="H449" s="27">
        <f>SUMIFS(INDEX(Load,,MATCH('Summarized Source Data'!$C449,Hour,0)),Month,'Summarized Source Data'!$A449,Sector,'Summarized Source Data'!H$2,Subsector,'Summarized Source Data'!H$3,TimeOfWeek,$E449)*INDEX(About!D$79:D$82,MATCH($B449,About!$A$79:$A$82,0),1)</f>
        <v>0</v>
      </c>
      <c r="I449" s="27">
        <f>SUMIFS(INDEX(Load,,MATCH('Summarized Source Data'!$C449,Hour,0)),Month,'Summarized Source Data'!$A449,Sector,'Summarized Source Data'!I$2,Subsector,'Summarized Source Data'!I$3,TimeOfWeek,$E449)*INDEX(About!E$79:E$82,MATCH($B449,About!$A$79:$A$82,0),1)</f>
        <v>7477204</v>
      </c>
      <c r="J449" s="54">
        <f t="shared" si="31"/>
        <v>79982359</v>
      </c>
      <c r="K449" s="27">
        <f>(SUMIFS(INDEX(Load,,MATCH('Summarized Source Data'!$C449,Hour,0)),Month,'Summarized Source Data'!$A449,Sector,'Summarized Source Data'!K$2,Subsector,"Total",TimeOfWeek,$E449)-SUM(F449:I449))*INDEX(About!G$79:G$82,MATCH($B449,About!$A$79:$A$82,0),1)</f>
        <v>79982359</v>
      </c>
      <c r="L449" s="27">
        <f>SUMIFS(INDEX(Load,,MATCH('Summarized Source Data'!$C449,Hour,0)),Month,'Summarized Source Data'!$A449,Sector,'Summarized Source Data'!L$2,Subsector,'Summarized Source Data'!L$3,TimeOfWeek,$E449)*INDEX(About!H$79:H$82,MATCH($B449,About!$A$79:$A$82,0),1)</f>
        <v>63323</v>
      </c>
      <c r="M449" s="27">
        <f>SUMIFS(INDEX(Load,,MATCH('Summarized Source Data'!$C449,Hour,0)),Month,'Summarized Source Data'!$A449,Sector,'Summarized Source Data'!M$2,Subsector,'Summarized Source Data'!M$3,TimeOfWeek,$E449)*INDEX(About!I$79:I$82,MATCH($B449,About!$A$79:$A$82,0),1)</f>
        <v>194000000</v>
      </c>
      <c r="N449" s="27">
        <f>SUMIFS(INDEX(Load,,MATCH('Summarized Source Data'!$C449,Hour,0)),Month,'Summarized Source Data'!$A449,Sector,'Summarized Source Data'!N$2,Subsector,'Summarized Source Data'!N$3,TimeOfWeek,$E449)*INDEX(About!J$79:J$82,MATCH($B449,About!$A$79:$A$82,0),1)</f>
        <v>0</v>
      </c>
      <c r="O449" s="29">
        <f t="shared" si="32"/>
        <v>119936677</v>
      </c>
      <c r="P449" s="27">
        <f>(SUMIFS(INDEX(Load,,MATCH('Summarized Source Data'!$C449,Hour,0)),Month,'Summarized Source Data'!$A449,Sector,'Summarized Source Data'!P$2,Subsector,"Total",TimeOfWeek,$E449)-SUM(L449:N449)*INDEX(About!L$79:L$82,MATCH($B449,About!$A$79:$A$82,0),1))</f>
        <v>119936677</v>
      </c>
      <c r="Q449" s="29">
        <f t="shared" si="33"/>
        <v>119936677</v>
      </c>
      <c r="R449" s="33">
        <f>SUMIFS(INDEX(Load,,MATCH('Summarized Source Data'!$C449,Hour,0)),Month,'Summarized Source Data'!$A449,Sector,'Summarized Source Data'!R$2,TimeOfWeek,$E449)*INDEX(About!N$79:N$82,MATCH($B449,About!$A$79:$A$82,0),1)</f>
        <v>5023661</v>
      </c>
      <c r="S449" s="33">
        <f>SUMIFS(INDEX(Load,,MATCH('Summarized Source Data'!$C449,Hour,0)),Month,'Summarized Source Data'!$A449,Sector,'Summarized Source Data'!S$2,TimeOfWeek,$E449)*INDEX(About!O$79:O$82,MATCH($B449,About!$A$79:$A$82,0),1)</f>
        <v>5023661</v>
      </c>
      <c r="T449" s="33">
        <f>SUMIFS(INDEX(Load,,MATCH('Summarized Source Data'!$C449,Hour,0)),Month,'Summarized Source Data'!$A449,Sector,'Summarized Source Data'!T$2,TimeOfWeek,$E449)*INDEX(About!P$79:P$82,MATCH($B449,About!$A$79:$A$82,0),1)</f>
        <v>5023661</v>
      </c>
      <c r="U449" s="33">
        <f>SUMIFS(INDEX(Load,,MATCH('Summarized Source Data'!$C449,Hour,0)),Month,'Summarized Source Data'!$A449,Sector,'Summarized Source Data'!U$2,TimeOfWeek,$E449)*INDEX(About!Q$79:Q$82,MATCH($B449,About!$A$79:$A$82,0),1)</f>
        <v>5023661</v>
      </c>
      <c r="V449" s="33">
        <f>SUMIFS(INDEX(Load,,MATCH('Summarized Source Data'!$C449,Hour,0)),Month,'Summarized Source Data'!$A449,Sector,'Summarized Source Data'!V$2,TimeOfWeek,$E449)*INDEX(About!R$79:R$82,MATCH($B449,About!$A$79:$A$82,0),1)</f>
        <v>5023661</v>
      </c>
      <c r="W449" s="33">
        <f>SUMIFS(INDEX(Load,,MATCH('Summarized Source Data'!$C449,Hour,0)),Month,'Summarized Source Data'!$A449,Sector,'Summarized Source Data'!W$2,TimeOfWeek,$E449)*INDEX(About!S$79:S$82,MATCH($B449,About!$A$79:$A$82,0),1)</f>
        <v>5023661</v>
      </c>
      <c r="X449" s="27">
        <f>SUMIFS(INDEX(Load,,MATCH('Summarized Source Data'!$C449,Hour,0)),Month,'Summarized Source Data'!$A449,Sector,'Summarized Source Data'!X$2,Subsector,'Summarized Source Data'!X$3,TimeOfWeek,$E449)*INDEX(About!T$79:T$82,MATCH($B449,About!$A$79:$A$82,0),1)</f>
        <v>325000000</v>
      </c>
      <c r="Y449" s="29">
        <f t="shared" si="36"/>
        <v>325000000</v>
      </c>
      <c r="Z449" s="29">
        <f t="shared" si="36"/>
        <v>325000000</v>
      </c>
    </row>
    <row r="450" spans="1:26" x14ac:dyDescent="0.3">
      <c r="A450">
        <f t="shared" si="35"/>
        <v>7</v>
      </c>
      <c r="B450" t="str">
        <f>INDEX('Category Mapping'!$G$28:$G$39,MATCH(A450,'Category Mapping'!$A$28:$A$39,0),1)</f>
        <v>Summer</v>
      </c>
      <c r="C450" t="s">
        <v>77</v>
      </c>
      <c r="D450" s="6" t="s">
        <v>152</v>
      </c>
      <c r="E450" s="46" t="s">
        <v>48</v>
      </c>
      <c r="F450" s="27">
        <f>SUMIFS(INDEX(Load,,MATCH('Summarized Source Data'!$C450,Hour,0)),Month,'Summarized Source Data'!$A450,Sector,'Summarized Source Data'!F$2,Subsector,'Summarized Source Data'!F$3,TimeOfWeek,$E450)*INDEX(About!B$79:B$82,MATCH($B450,About!$A$79:$A$82,0),1)</f>
        <v>40169</v>
      </c>
      <c r="G450" s="27">
        <f>SUMIFS(INDEX(Load,,MATCH('Summarized Source Data'!$C450,Hour,0)),Month,'Summarized Source Data'!$A450,Sector,'Summarized Source Data'!G$2,Subsector,'Summarized Source Data'!G$3,TimeOfWeek,$E450)*INDEX(About!C$79:C$82,MATCH($B450,About!$A$79:$A$82,0),1)</f>
        <v>49000000</v>
      </c>
      <c r="H450" s="27">
        <f>SUMIFS(INDEX(Load,,MATCH('Summarized Source Data'!$C450,Hour,0)),Month,'Summarized Source Data'!$A450,Sector,'Summarized Source Data'!H$2,Subsector,'Summarized Source Data'!H$3,TimeOfWeek,$E450)*INDEX(About!D$79:D$82,MATCH($B450,About!$A$79:$A$82,0),1)</f>
        <v>0</v>
      </c>
      <c r="I450" s="27">
        <f>SUMIFS(INDEX(Load,,MATCH('Summarized Source Data'!$C450,Hour,0)),Month,'Summarized Source Data'!$A450,Sector,'Summarized Source Data'!I$2,Subsector,'Summarized Source Data'!I$3,TimeOfWeek,$E450)*INDEX(About!E$79:E$82,MATCH($B450,About!$A$79:$A$82,0),1)</f>
        <v>7398528</v>
      </c>
      <c r="J450" s="54">
        <f t="shared" si="31"/>
        <v>84561303</v>
      </c>
      <c r="K450" s="27">
        <f>(SUMIFS(INDEX(Load,,MATCH('Summarized Source Data'!$C450,Hour,0)),Month,'Summarized Source Data'!$A450,Sector,'Summarized Source Data'!K$2,Subsector,"Total",TimeOfWeek,$E450)-SUM(F450:I450))*INDEX(About!G$79:G$82,MATCH($B450,About!$A$79:$A$82,0),1)</f>
        <v>84561303</v>
      </c>
      <c r="L450" s="27">
        <f>SUMIFS(INDEX(Load,,MATCH('Summarized Source Data'!$C450,Hour,0)),Month,'Summarized Source Data'!$A450,Sector,'Summarized Source Data'!L$2,Subsector,'Summarized Source Data'!L$3,TimeOfWeek,$E450)*INDEX(About!H$79:H$82,MATCH($B450,About!$A$79:$A$82,0),1)</f>
        <v>63323</v>
      </c>
      <c r="M450" s="27">
        <f>SUMIFS(INDEX(Load,,MATCH('Summarized Source Data'!$C450,Hour,0)),Month,'Summarized Source Data'!$A450,Sector,'Summarized Source Data'!M$2,Subsector,'Summarized Source Data'!M$3,TimeOfWeek,$E450)*INDEX(About!I$79:I$82,MATCH($B450,About!$A$79:$A$82,0),1)</f>
        <v>195000000</v>
      </c>
      <c r="N450" s="27">
        <f>SUMIFS(INDEX(Load,,MATCH('Summarized Source Data'!$C450,Hour,0)),Month,'Summarized Source Data'!$A450,Sector,'Summarized Source Data'!N$2,Subsector,'Summarized Source Data'!N$3,TimeOfWeek,$E450)*INDEX(About!J$79:J$82,MATCH($B450,About!$A$79:$A$82,0),1)</f>
        <v>0</v>
      </c>
      <c r="O450" s="29">
        <f t="shared" si="32"/>
        <v>114936677</v>
      </c>
      <c r="P450" s="27">
        <f>(SUMIFS(INDEX(Load,,MATCH('Summarized Source Data'!$C450,Hour,0)),Month,'Summarized Source Data'!$A450,Sector,'Summarized Source Data'!P$2,Subsector,"Total",TimeOfWeek,$E450)-SUM(L450:N450)*INDEX(About!L$79:L$82,MATCH($B450,About!$A$79:$A$82,0),1))</f>
        <v>114936677</v>
      </c>
      <c r="Q450" s="29">
        <f t="shared" si="33"/>
        <v>114936677</v>
      </c>
      <c r="R450" s="33">
        <f>SUMIFS(INDEX(Load,,MATCH('Summarized Source Data'!$C450,Hour,0)),Month,'Summarized Source Data'!$A450,Sector,'Summarized Source Data'!R$2,TimeOfWeek,$E450)*INDEX(About!N$79:N$82,MATCH($B450,About!$A$79:$A$82,0),1)</f>
        <v>4953396</v>
      </c>
      <c r="S450" s="33">
        <f>SUMIFS(INDEX(Load,,MATCH('Summarized Source Data'!$C450,Hour,0)),Month,'Summarized Source Data'!$A450,Sector,'Summarized Source Data'!S$2,TimeOfWeek,$E450)*INDEX(About!O$79:O$82,MATCH($B450,About!$A$79:$A$82,0),1)</f>
        <v>4953396</v>
      </c>
      <c r="T450" s="33">
        <f>SUMIFS(INDEX(Load,,MATCH('Summarized Source Data'!$C450,Hour,0)),Month,'Summarized Source Data'!$A450,Sector,'Summarized Source Data'!T$2,TimeOfWeek,$E450)*INDEX(About!P$79:P$82,MATCH($B450,About!$A$79:$A$82,0),1)</f>
        <v>4953396</v>
      </c>
      <c r="U450" s="33">
        <f>SUMIFS(INDEX(Load,,MATCH('Summarized Source Data'!$C450,Hour,0)),Month,'Summarized Source Data'!$A450,Sector,'Summarized Source Data'!U$2,TimeOfWeek,$E450)*INDEX(About!Q$79:Q$82,MATCH($B450,About!$A$79:$A$82,0),1)</f>
        <v>4953396</v>
      </c>
      <c r="V450" s="33">
        <f>SUMIFS(INDEX(Load,,MATCH('Summarized Source Data'!$C450,Hour,0)),Month,'Summarized Source Data'!$A450,Sector,'Summarized Source Data'!V$2,TimeOfWeek,$E450)*INDEX(About!R$79:R$82,MATCH($B450,About!$A$79:$A$82,0),1)</f>
        <v>4953396</v>
      </c>
      <c r="W450" s="33">
        <f>SUMIFS(INDEX(Load,,MATCH('Summarized Source Data'!$C450,Hour,0)),Month,'Summarized Source Data'!$A450,Sector,'Summarized Source Data'!W$2,TimeOfWeek,$E450)*INDEX(About!S$79:S$82,MATCH($B450,About!$A$79:$A$82,0),1)</f>
        <v>4953396</v>
      </c>
      <c r="X450" s="27">
        <f>SUMIFS(INDEX(Load,,MATCH('Summarized Source Data'!$C450,Hour,0)),Month,'Summarized Source Data'!$A450,Sector,'Summarized Source Data'!X$2,Subsector,'Summarized Source Data'!X$3,TimeOfWeek,$E450)*INDEX(About!T$79:T$82,MATCH($B450,About!$A$79:$A$82,0),1)</f>
        <v>326000000</v>
      </c>
      <c r="Y450" s="29">
        <f t="shared" si="36"/>
        <v>326000000</v>
      </c>
      <c r="Z450" s="29">
        <f t="shared" si="36"/>
        <v>326000000</v>
      </c>
    </row>
    <row r="451" spans="1:26" x14ac:dyDescent="0.3">
      <c r="A451">
        <f t="shared" si="35"/>
        <v>7</v>
      </c>
      <c r="B451" t="str">
        <f>INDEX('Category Mapping'!$G$28:$G$39,MATCH(A451,'Category Mapping'!$A$28:$A$39,0),1)</f>
        <v>Summer</v>
      </c>
      <c r="C451" t="s">
        <v>78</v>
      </c>
      <c r="D451" s="6" t="s">
        <v>153</v>
      </c>
      <c r="E451" s="46" t="s">
        <v>48</v>
      </c>
      <c r="F451" s="27">
        <f>SUMIFS(INDEX(Load,,MATCH('Summarized Source Data'!$C451,Hour,0)),Month,'Summarized Source Data'!$A451,Sector,'Summarized Source Data'!F$2,Subsector,'Summarized Source Data'!F$3,TimeOfWeek,$E451)*INDEX(About!B$79:B$82,MATCH($B451,About!$A$79:$A$82,0),1)</f>
        <v>40232</v>
      </c>
      <c r="G451" s="27">
        <f>SUMIFS(INDEX(Load,,MATCH('Summarized Source Data'!$C451,Hour,0)),Month,'Summarized Source Data'!$A451,Sector,'Summarized Source Data'!G$2,Subsector,'Summarized Source Data'!G$3,TimeOfWeek,$E451)*INDEX(About!C$79:C$82,MATCH($B451,About!$A$79:$A$82,0),1)</f>
        <v>48300000</v>
      </c>
      <c r="H451" s="27">
        <f>SUMIFS(INDEX(Load,,MATCH('Summarized Source Data'!$C451,Hour,0)),Month,'Summarized Source Data'!$A451,Sector,'Summarized Source Data'!H$2,Subsector,'Summarized Source Data'!H$3,TimeOfWeek,$E451)*INDEX(About!D$79:D$82,MATCH($B451,About!$A$79:$A$82,0),1)</f>
        <v>0</v>
      </c>
      <c r="I451" s="27">
        <f>SUMIFS(INDEX(Load,,MATCH('Summarized Source Data'!$C451,Hour,0)),Month,'Summarized Source Data'!$A451,Sector,'Summarized Source Data'!I$2,Subsector,'Summarized Source Data'!I$3,TimeOfWeek,$E451)*INDEX(About!E$79:E$82,MATCH($B451,About!$A$79:$A$82,0),1)</f>
        <v>7417095</v>
      </c>
      <c r="J451" s="54">
        <f t="shared" si="31"/>
        <v>88242673</v>
      </c>
      <c r="K451" s="27">
        <f>(SUMIFS(INDEX(Load,,MATCH('Summarized Source Data'!$C451,Hour,0)),Month,'Summarized Source Data'!$A451,Sector,'Summarized Source Data'!K$2,Subsector,"Total",TimeOfWeek,$E451)-SUM(F451:I451))*INDEX(About!G$79:G$82,MATCH($B451,About!$A$79:$A$82,0),1)</f>
        <v>88242673</v>
      </c>
      <c r="L451" s="27">
        <f>SUMIFS(INDEX(Load,,MATCH('Summarized Source Data'!$C451,Hour,0)),Month,'Summarized Source Data'!$A451,Sector,'Summarized Source Data'!L$2,Subsector,'Summarized Source Data'!L$3,TimeOfWeek,$E451)*INDEX(About!H$79:H$82,MATCH($B451,About!$A$79:$A$82,0),1)</f>
        <v>63323</v>
      </c>
      <c r="M451" s="27">
        <f>SUMIFS(INDEX(Load,,MATCH('Summarized Source Data'!$C451,Hour,0)),Month,'Summarized Source Data'!$A451,Sector,'Summarized Source Data'!M$2,Subsector,'Summarized Source Data'!M$3,TimeOfWeek,$E451)*INDEX(About!I$79:I$82,MATCH($B451,About!$A$79:$A$82,0),1)</f>
        <v>194000000</v>
      </c>
      <c r="N451" s="27">
        <f>SUMIFS(INDEX(Load,,MATCH('Summarized Source Data'!$C451,Hour,0)),Month,'Summarized Source Data'!$A451,Sector,'Summarized Source Data'!N$2,Subsector,'Summarized Source Data'!N$3,TimeOfWeek,$E451)*INDEX(About!J$79:J$82,MATCH($B451,About!$A$79:$A$82,0),1)</f>
        <v>0</v>
      </c>
      <c r="O451" s="29">
        <f t="shared" si="32"/>
        <v>105936677</v>
      </c>
      <c r="P451" s="27">
        <f>(SUMIFS(INDEX(Load,,MATCH('Summarized Source Data'!$C451,Hour,0)),Month,'Summarized Source Data'!$A451,Sector,'Summarized Source Data'!P$2,Subsector,"Total",TimeOfWeek,$E451)-SUM(L451:N451)*INDEX(About!L$79:L$82,MATCH($B451,About!$A$79:$A$82,0),1))</f>
        <v>105936677</v>
      </c>
      <c r="Q451" s="29">
        <f t="shared" si="33"/>
        <v>105936677</v>
      </c>
      <c r="R451" s="33">
        <f>SUMIFS(INDEX(Load,,MATCH('Summarized Source Data'!$C451,Hour,0)),Month,'Summarized Source Data'!$A451,Sector,'Summarized Source Data'!R$2,TimeOfWeek,$E451)*INDEX(About!N$79:N$82,MATCH($B451,About!$A$79:$A$82,0),1)</f>
        <v>4847998</v>
      </c>
      <c r="S451" s="33">
        <f>SUMIFS(INDEX(Load,,MATCH('Summarized Source Data'!$C451,Hour,0)),Month,'Summarized Source Data'!$A451,Sector,'Summarized Source Data'!S$2,TimeOfWeek,$E451)*INDEX(About!O$79:O$82,MATCH($B451,About!$A$79:$A$82,0),1)</f>
        <v>4847998</v>
      </c>
      <c r="T451" s="33">
        <f>SUMIFS(INDEX(Load,,MATCH('Summarized Source Data'!$C451,Hour,0)),Month,'Summarized Source Data'!$A451,Sector,'Summarized Source Data'!T$2,TimeOfWeek,$E451)*INDEX(About!P$79:P$82,MATCH($B451,About!$A$79:$A$82,0),1)</f>
        <v>4847998</v>
      </c>
      <c r="U451" s="33">
        <f>SUMIFS(INDEX(Load,,MATCH('Summarized Source Data'!$C451,Hour,0)),Month,'Summarized Source Data'!$A451,Sector,'Summarized Source Data'!U$2,TimeOfWeek,$E451)*INDEX(About!Q$79:Q$82,MATCH($B451,About!$A$79:$A$82,0),1)</f>
        <v>4847998</v>
      </c>
      <c r="V451" s="33">
        <f>SUMIFS(INDEX(Load,,MATCH('Summarized Source Data'!$C451,Hour,0)),Month,'Summarized Source Data'!$A451,Sector,'Summarized Source Data'!V$2,TimeOfWeek,$E451)*INDEX(About!R$79:R$82,MATCH($B451,About!$A$79:$A$82,0),1)</f>
        <v>4847998</v>
      </c>
      <c r="W451" s="33">
        <f>SUMIFS(INDEX(Load,,MATCH('Summarized Source Data'!$C451,Hour,0)),Month,'Summarized Source Data'!$A451,Sector,'Summarized Source Data'!W$2,TimeOfWeek,$E451)*INDEX(About!S$79:S$82,MATCH($B451,About!$A$79:$A$82,0),1)</f>
        <v>4847998</v>
      </c>
      <c r="X451" s="27">
        <f>SUMIFS(INDEX(Load,,MATCH('Summarized Source Data'!$C451,Hour,0)),Month,'Summarized Source Data'!$A451,Sector,'Summarized Source Data'!X$2,Subsector,'Summarized Source Data'!X$3,TimeOfWeek,$E451)*INDEX(About!T$79:T$82,MATCH($B451,About!$A$79:$A$82,0),1)</f>
        <v>330000000</v>
      </c>
      <c r="Y451" s="29">
        <f t="shared" si="36"/>
        <v>330000000</v>
      </c>
      <c r="Z451" s="29">
        <f t="shared" si="36"/>
        <v>330000000</v>
      </c>
    </row>
    <row r="452" spans="1:26" x14ac:dyDescent="0.3">
      <c r="A452">
        <f t="shared" si="35"/>
        <v>7</v>
      </c>
      <c r="B452" t="str">
        <f>INDEX('Category Mapping'!$G$28:$G$39,MATCH(A452,'Category Mapping'!$A$28:$A$39,0),1)</f>
        <v>Summer</v>
      </c>
      <c r="C452" t="s">
        <v>79</v>
      </c>
      <c r="D452" s="6" t="s">
        <v>154</v>
      </c>
      <c r="E452" s="46" t="s">
        <v>48</v>
      </c>
      <c r="F452" s="27">
        <f>SUMIFS(INDEX(Load,,MATCH('Summarized Source Data'!$C452,Hour,0)),Month,'Summarized Source Data'!$A452,Sector,'Summarized Source Data'!F$2,Subsector,'Summarized Source Data'!F$3,TimeOfWeek,$E452)*INDEX(About!B$79:B$82,MATCH($B452,About!$A$79:$A$82,0),1)</f>
        <v>40923</v>
      </c>
      <c r="G452" s="27">
        <f>SUMIFS(INDEX(Load,,MATCH('Summarized Source Data'!$C452,Hour,0)),Month,'Summarized Source Data'!$A452,Sector,'Summarized Source Data'!G$2,Subsector,'Summarized Source Data'!G$3,TimeOfWeek,$E452)*INDEX(About!C$79:C$82,MATCH($B452,About!$A$79:$A$82,0),1)</f>
        <v>46900000</v>
      </c>
      <c r="H452" s="27">
        <f>SUMIFS(INDEX(Load,,MATCH('Summarized Source Data'!$C452,Hour,0)),Month,'Summarized Source Data'!$A452,Sector,'Summarized Source Data'!H$2,Subsector,'Summarized Source Data'!H$3,TimeOfWeek,$E452)*INDEX(About!D$79:D$82,MATCH($B452,About!$A$79:$A$82,0),1)</f>
        <v>0</v>
      </c>
      <c r="I452" s="27">
        <f>SUMIFS(INDEX(Load,,MATCH('Summarized Source Data'!$C452,Hour,0)),Month,'Summarized Source Data'!$A452,Sector,'Summarized Source Data'!I$2,Subsector,'Summarized Source Data'!I$3,TimeOfWeek,$E452)*INDEX(About!E$79:E$82,MATCH($B452,About!$A$79:$A$82,0),1)</f>
        <v>7619641</v>
      </c>
      <c r="J452" s="54">
        <f t="shared" si="31"/>
        <v>93439436</v>
      </c>
      <c r="K452" s="27">
        <f>(SUMIFS(INDEX(Load,,MATCH('Summarized Source Data'!$C452,Hour,0)),Month,'Summarized Source Data'!$A452,Sector,'Summarized Source Data'!K$2,Subsector,"Total",TimeOfWeek,$E452)-SUM(F452:I452))*INDEX(About!G$79:G$82,MATCH($B452,About!$A$79:$A$82,0),1)</f>
        <v>93439436</v>
      </c>
      <c r="L452" s="27">
        <f>SUMIFS(INDEX(Load,,MATCH('Summarized Source Data'!$C452,Hour,0)),Month,'Summarized Source Data'!$A452,Sector,'Summarized Source Data'!L$2,Subsector,'Summarized Source Data'!L$3,TimeOfWeek,$E452)*INDEX(About!H$79:H$82,MATCH($B452,About!$A$79:$A$82,0),1)</f>
        <v>63323</v>
      </c>
      <c r="M452" s="27">
        <f>SUMIFS(INDEX(Load,,MATCH('Summarized Source Data'!$C452,Hour,0)),Month,'Summarized Source Data'!$A452,Sector,'Summarized Source Data'!M$2,Subsector,'Summarized Source Data'!M$3,TimeOfWeek,$E452)*INDEX(About!I$79:I$82,MATCH($B452,About!$A$79:$A$82,0),1)</f>
        <v>189000000</v>
      </c>
      <c r="N452" s="27">
        <f>SUMIFS(INDEX(Load,,MATCH('Summarized Source Data'!$C452,Hour,0)),Month,'Summarized Source Data'!$A452,Sector,'Summarized Source Data'!N$2,Subsector,'Summarized Source Data'!N$3,TimeOfWeek,$E452)*INDEX(About!J$79:J$82,MATCH($B452,About!$A$79:$A$82,0),1)</f>
        <v>0</v>
      </c>
      <c r="O452" s="29">
        <f t="shared" si="32"/>
        <v>101936677</v>
      </c>
      <c r="P452" s="27">
        <f>(SUMIFS(INDEX(Load,,MATCH('Summarized Source Data'!$C452,Hour,0)),Month,'Summarized Source Data'!$A452,Sector,'Summarized Source Data'!P$2,Subsector,"Total",TimeOfWeek,$E452)-SUM(L452:N452)*INDEX(About!L$79:L$82,MATCH($B452,About!$A$79:$A$82,0),1))</f>
        <v>101936677</v>
      </c>
      <c r="Q452" s="29">
        <f t="shared" si="33"/>
        <v>101936677</v>
      </c>
      <c r="R452" s="33">
        <f>SUMIFS(INDEX(Load,,MATCH('Summarized Source Data'!$C452,Hour,0)),Month,'Summarized Source Data'!$A452,Sector,'Summarized Source Data'!R$2,TimeOfWeek,$E452)*INDEX(About!N$79:N$82,MATCH($B452,About!$A$79:$A$82,0),1)</f>
        <v>5526708</v>
      </c>
      <c r="S452" s="33">
        <f>SUMIFS(INDEX(Load,,MATCH('Summarized Source Data'!$C452,Hour,0)),Month,'Summarized Source Data'!$A452,Sector,'Summarized Source Data'!S$2,TimeOfWeek,$E452)*INDEX(About!O$79:O$82,MATCH($B452,About!$A$79:$A$82,0),1)</f>
        <v>5526708</v>
      </c>
      <c r="T452" s="33">
        <f>SUMIFS(INDEX(Load,,MATCH('Summarized Source Data'!$C452,Hour,0)),Month,'Summarized Source Data'!$A452,Sector,'Summarized Source Data'!T$2,TimeOfWeek,$E452)*INDEX(About!P$79:P$82,MATCH($B452,About!$A$79:$A$82,0),1)</f>
        <v>5526708</v>
      </c>
      <c r="U452" s="33">
        <f>SUMIFS(INDEX(Load,,MATCH('Summarized Source Data'!$C452,Hour,0)),Month,'Summarized Source Data'!$A452,Sector,'Summarized Source Data'!U$2,TimeOfWeek,$E452)*INDEX(About!Q$79:Q$82,MATCH($B452,About!$A$79:$A$82,0),1)</f>
        <v>5526708</v>
      </c>
      <c r="V452" s="33">
        <f>SUMIFS(INDEX(Load,,MATCH('Summarized Source Data'!$C452,Hour,0)),Month,'Summarized Source Data'!$A452,Sector,'Summarized Source Data'!V$2,TimeOfWeek,$E452)*INDEX(About!R$79:R$82,MATCH($B452,About!$A$79:$A$82,0),1)</f>
        <v>5526708</v>
      </c>
      <c r="W452" s="33">
        <f>SUMIFS(INDEX(Load,,MATCH('Summarized Source Data'!$C452,Hour,0)),Month,'Summarized Source Data'!$A452,Sector,'Summarized Source Data'!W$2,TimeOfWeek,$E452)*INDEX(About!S$79:S$82,MATCH($B452,About!$A$79:$A$82,0),1)</f>
        <v>5526708</v>
      </c>
      <c r="X452" s="27">
        <f>SUMIFS(INDEX(Load,,MATCH('Summarized Source Data'!$C452,Hour,0)),Month,'Summarized Source Data'!$A452,Sector,'Summarized Source Data'!X$2,Subsector,'Summarized Source Data'!X$3,TimeOfWeek,$E452)*INDEX(About!T$79:T$82,MATCH($B452,About!$A$79:$A$82,0),1)</f>
        <v>334000000</v>
      </c>
      <c r="Y452" s="29">
        <f t="shared" si="36"/>
        <v>334000000</v>
      </c>
      <c r="Z452" s="29">
        <f t="shared" si="36"/>
        <v>334000000</v>
      </c>
    </row>
    <row r="453" spans="1:26" x14ac:dyDescent="0.3">
      <c r="A453">
        <f t="shared" si="35"/>
        <v>7</v>
      </c>
      <c r="B453" t="str">
        <f>INDEX('Category Mapping'!$G$28:$G$39,MATCH(A453,'Category Mapping'!$A$28:$A$39,0),1)</f>
        <v>Summer</v>
      </c>
      <c r="C453" t="s">
        <v>80</v>
      </c>
      <c r="D453" s="6" t="s">
        <v>155</v>
      </c>
      <c r="E453" s="46" t="s">
        <v>48</v>
      </c>
      <c r="F453" s="27">
        <f>SUMIFS(INDEX(Load,,MATCH('Summarized Source Data'!$C453,Hour,0)),Month,'Summarized Source Data'!$A453,Sector,'Summarized Source Data'!F$2,Subsector,'Summarized Source Data'!F$3,TimeOfWeek,$E453)*INDEX(About!B$79:B$82,MATCH($B453,About!$A$79:$A$82,0),1)</f>
        <v>42213</v>
      </c>
      <c r="G453" s="27">
        <f>SUMIFS(INDEX(Load,,MATCH('Summarized Source Data'!$C453,Hour,0)),Month,'Summarized Source Data'!$A453,Sector,'Summarized Source Data'!G$2,Subsector,'Summarized Source Data'!G$3,TimeOfWeek,$E453)*INDEX(About!C$79:C$82,MATCH($B453,About!$A$79:$A$82,0),1)</f>
        <v>45900000</v>
      </c>
      <c r="H453" s="27">
        <f>SUMIFS(INDEX(Load,,MATCH('Summarized Source Data'!$C453,Hour,0)),Month,'Summarized Source Data'!$A453,Sector,'Summarized Source Data'!H$2,Subsector,'Summarized Source Data'!H$3,TimeOfWeek,$E453)*INDEX(About!D$79:D$82,MATCH($B453,About!$A$79:$A$82,0),1)</f>
        <v>0</v>
      </c>
      <c r="I453" s="27">
        <f>SUMIFS(INDEX(Load,,MATCH('Summarized Source Data'!$C453,Hour,0)),Month,'Summarized Source Data'!$A453,Sector,'Summarized Source Data'!I$2,Subsector,'Summarized Source Data'!I$3,TimeOfWeek,$E453)*INDEX(About!E$79:E$82,MATCH($B453,About!$A$79:$A$82,0),1)</f>
        <v>8542103</v>
      </c>
      <c r="J453" s="54">
        <f t="shared" ref="J453:J516" si="37">K453</f>
        <v>93515684</v>
      </c>
      <c r="K453" s="27">
        <f>(SUMIFS(INDEX(Load,,MATCH('Summarized Source Data'!$C453,Hour,0)),Month,'Summarized Source Data'!$A453,Sector,'Summarized Source Data'!K$2,Subsector,"Total",TimeOfWeek,$E453)-SUM(F453:I453))*INDEX(About!G$79:G$82,MATCH($B453,About!$A$79:$A$82,0),1)</f>
        <v>93515684</v>
      </c>
      <c r="L453" s="27">
        <f>SUMIFS(INDEX(Load,,MATCH('Summarized Source Data'!$C453,Hour,0)),Month,'Summarized Source Data'!$A453,Sector,'Summarized Source Data'!L$2,Subsector,'Summarized Source Data'!L$3,TimeOfWeek,$E453)*INDEX(About!H$79:H$82,MATCH($B453,About!$A$79:$A$82,0),1)</f>
        <v>63323</v>
      </c>
      <c r="M453" s="27">
        <f>SUMIFS(INDEX(Load,,MATCH('Summarized Source Data'!$C453,Hour,0)),Month,'Summarized Source Data'!$A453,Sector,'Summarized Source Data'!M$2,Subsector,'Summarized Source Data'!M$3,TimeOfWeek,$E453)*INDEX(About!I$79:I$82,MATCH($B453,About!$A$79:$A$82,0),1)</f>
        <v>181000000</v>
      </c>
      <c r="N453" s="27">
        <f>SUMIFS(INDEX(Load,,MATCH('Summarized Source Data'!$C453,Hour,0)),Month,'Summarized Source Data'!$A453,Sector,'Summarized Source Data'!N$2,Subsector,'Summarized Source Data'!N$3,TimeOfWeek,$E453)*INDEX(About!J$79:J$82,MATCH($B453,About!$A$79:$A$82,0),1)</f>
        <v>0</v>
      </c>
      <c r="O453" s="29">
        <f t="shared" ref="O453:O516" si="38">P453</f>
        <v>102936677</v>
      </c>
      <c r="P453" s="27">
        <f>(SUMIFS(INDEX(Load,,MATCH('Summarized Source Data'!$C453,Hour,0)),Month,'Summarized Source Data'!$A453,Sector,'Summarized Source Data'!P$2,Subsector,"Total",TimeOfWeek,$E453)-SUM(L453:N453)*INDEX(About!L$79:L$82,MATCH($B453,About!$A$79:$A$82,0),1))</f>
        <v>102936677</v>
      </c>
      <c r="Q453" s="29">
        <f t="shared" ref="Q453:Q516" si="39">P453</f>
        <v>102936677</v>
      </c>
      <c r="R453" s="33">
        <f>SUMIFS(INDEX(Load,,MATCH('Summarized Source Data'!$C453,Hour,0)),Month,'Summarized Source Data'!$A453,Sector,'Summarized Source Data'!R$2,TimeOfWeek,$E453)*INDEX(About!N$79:N$82,MATCH($B453,About!$A$79:$A$82,0),1)</f>
        <v>5532563</v>
      </c>
      <c r="S453" s="33">
        <f>SUMIFS(INDEX(Load,,MATCH('Summarized Source Data'!$C453,Hour,0)),Month,'Summarized Source Data'!$A453,Sector,'Summarized Source Data'!S$2,TimeOfWeek,$E453)*INDEX(About!O$79:O$82,MATCH($B453,About!$A$79:$A$82,0),1)</f>
        <v>5532563</v>
      </c>
      <c r="T453" s="33">
        <f>SUMIFS(INDEX(Load,,MATCH('Summarized Source Data'!$C453,Hour,0)),Month,'Summarized Source Data'!$A453,Sector,'Summarized Source Data'!T$2,TimeOfWeek,$E453)*INDEX(About!P$79:P$82,MATCH($B453,About!$A$79:$A$82,0),1)</f>
        <v>5532563</v>
      </c>
      <c r="U453" s="33">
        <f>SUMIFS(INDEX(Load,,MATCH('Summarized Source Data'!$C453,Hour,0)),Month,'Summarized Source Data'!$A453,Sector,'Summarized Source Data'!U$2,TimeOfWeek,$E453)*INDEX(About!Q$79:Q$82,MATCH($B453,About!$A$79:$A$82,0),1)</f>
        <v>5532563</v>
      </c>
      <c r="V453" s="33">
        <f>SUMIFS(INDEX(Load,,MATCH('Summarized Source Data'!$C453,Hour,0)),Month,'Summarized Source Data'!$A453,Sector,'Summarized Source Data'!V$2,TimeOfWeek,$E453)*INDEX(About!R$79:R$82,MATCH($B453,About!$A$79:$A$82,0),1)</f>
        <v>5532563</v>
      </c>
      <c r="W453" s="33">
        <f>SUMIFS(INDEX(Load,,MATCH('Summarized Source Data'!$C453,Hour,0)),Month,'Summarized Source Data'!$A453,Sector,'Summarized Source Data'!W$2,TimeOfWeek,$E453)*INDEX(About!S$79:S$82,MATCH($B453,About!$A$79:$A$82,0),1)</f>
        <v>5532563</v>
      </c>
      <c r="X453" s="27">
        <f>SUMIFS(INDEX(Load,,MATCH('Summarized Source Data'!$C453,Hour,0)),Month,'Summarized Source Data'!$A453,Sector,'Summarized Source Data'!X$2,Subsector,'Summarized Source Data'!X$3,TimeOfWeek,$E453)*INDEX(About!T$79:T$82,MATCH($B453,About!$A$79:$A$82,0),1)</f>
        <v>334000000</v>
      </c>
      <c r="Y453" s="29">
        <f t="shared" ref="Y453:Z484" si="40">$X453</f>
        <v>334000000</v>
      </c>
      <c r="Z453" s="29">
        <f t="shared" si="40"/>
        <v>334000000</v>
      </c>
    </row>
    <row r="454" spans="1:26" x14ac:dyDescent="0.3">
      <c r="A454">
        <f t="shared" si="35"/>
        <v>7</v>
      </c>
      <c r="B454" t="str">
        <f>INDEX('Category Mapping'!$G$28:$G$39,MATCH(A454,'Category Mapping'!$A$28:$A$39,0),1)</f>
        <v>Summer</v>
      </c>
      <c r="C454" t="s">
        <v>81</v>
      </c>
      <c r="D454" s="6" t="s">
        <v>156</v>
      </c>
      <c r="E454" s="46" t="s">
        <v>48</v>
      </c>
      <c r="F454" s="27">
        <f>SUMIFS(INDEX(Load,,MATCH('Summarized Source Data'!$C454,Hour,0)),Month,'Summarized Source Data'!$A454,Sector,'Summarized Source Data'!F$2,Subsector,'Summarized Source Data'!F$3,TimeOfWeek,$E454)*INDEX(About!B$79:B$82,MATCH($B454,About!$A$79:$A$82,0),1)</f>
        <v>43752</v>
      </c>
      <c r="G454" s="27">
        <f>SUMIFS(INDEX(Load,,MATCH('Summarized Source Data'!$C454,Hour,0)),Month,'Summarized Source Data'!$A454,Sector,'Summarized Source Data'!G$2,Subsector,'Summarized Source Data'!G$3,TimeOfWeek,$E454)*INDEX(About!C$79:C$82,MATCH($B454,About!$A$79:$A$82,0),1)</f>
        <v>44700000</v>
      </c>
      <c r="H454" s="27">
        <f>SUMIFS(INDEX(Load,,MATCH('Summarized Source Data'!$C454,Hour,0)),Month,'Summarized Source Data'!$A454,Sector,'Summarized Source Data'!H$2,Subsector,'Summarized Source Data'!H$3,TimeOfWeek,$E454)*INDEX(About!D$79:D$82,MATCH($B454,About!$A$79:$A$82,0),1)</f>
        <v>0</v>
      </c>
      <c r="I454" s="27">
        <f>SUMIFS(INDEX(Load,,MATCH('Summarized Source Data'!$C454,Hour,0)),Month,'Summarized Source Data'!$A454,Sector,'Summarized Source Data'!I$2,Subsector,'Summarized Source Data'!I$3,TimeOfWeek,$E454)*INDEX(About!E$79:E$82,MATCH($B454,About!$A$79:$A$82,0),1)</f>
        <v>20200000</v>
      </c>
      <c r="J454" s="54">
        <f t="shared" si="37"/>
        <v>91056248</v>
      </c>
      <c r="K454" s="27">
        <f>(SUMIFS(INDEX(Load,,MATCH('Summarized Source Data'!$C454,Hour,0)),Month,'Summarized Source Data'!$A454,Sector,'Summarized Source Data'!K$2,Subsector,"Total",TimeOfWeek,$E454)-SUM(F454:I454))*INDEX(About!G$79:G$82,MATCH($B454,About!$A$79:$A$82,0),1)</f>
        <v>91056248</v>
      </c>
      <c r="L454" s="27">
        <f>SUMIFS(INDEX(Load,,MATCH('Summarized Source Data'!$C454,Hour,0)),Month,'Summarized Source Data'!$A454,Sector,'Summarized Source Data'!L$2,Subsector,'Summarized Source Data'!L$3,TimeOfWeek,$E454)*INDEX(About!H$79:H$82,MATCH($B454,About!$A$79:$A$82,0),1)</f>
        <v>63323</v>
      </c>
      <c r="M454" s="27">
        <f>SUMIFS(INDEX(Load,,MATCH('Summarized Source Data'!$C454,Hour,0)),Month,'Summarized Source Data'!$A454,Sector,'Summarized Source Data'!M$2,Subsector,'Summarized Source Data'!M$3,TimeOfWeek,$E454)*INDEX(About!I$79:I$82,MATCH($B454,About!$A$79:$A$82,0),1)</f>
        <v>171000000</v>
      </c>
      <c r="N454" s="27">
        <f>SUMIFS(INDEX(Load,,MATCH('Summarized Source Data'!$C454,Hour,0)),Month,'Summarized Source Data'!$A454,Sector,'Summarized Source Data'!N$2,Subsector,'Summarized Source Data'!N$3,TimeOfWeek,$E454)*INDEX(About!J$79:J$82,MATCH($B454,About!$A$79:$A$82,0),1)</f>
        <v>0</v>
      </c>
      <c r="O454" s="29">
        <f t="shared" si="38"/>
        <v>101936677</v>
      </c>
      <c r="P454" s="27">
        <f>(SUMIFS(INDEX(Load,,MATCH('Summarized Source Data'!$C454,Hour,0)),Month,'Summarized Source Data'!$A454,Sector,'Summarized Source Data'!P$2,Subsector,"Total",TimeOfWeek,$E454)-SUM(L454:N454)*INDEX(About!L$79:L$82,MATCH($B454,About!$A$79:$A$82,0),1))</f>
        <v>101936677</v>
      </c>
      <c r="Q454" s="29">
        <f t="shared" si="39"/>
        <v>101936677</v>
      </c>
      <c r="R454" s="33">
        <f>SUMIFS(INDEX(Load,,MATCH('Summarized Source Data'!$C454,Hour,0)),Month,'Summarized Source Data'!$A454,Sector,'Summarized Source Data'!R$2,TimeOfWeek,$E454)*INDEX(About!N$79:N$82,MATCH($B454,About!$A$79:$A$82,0),1)</f>
        <v>5491575</v>
      </c>
      <c r="S454" s="33">
        <f>SUMIFS(INDEX(Load,,MATCH('Summarized Source Data'!$C454,Hour,0)),Month,'Summarized Source Data'!$A454,Sector,'Summarized Source Data'!S$2,TimeOfWeek,$E454)*INDEX(About!O$79:O$82,MATCH($B454,About!$A$79:$A$82,0),1)</f>
        <v>5491575</v>
      </c>
      <c r="T454" s="33">
        <f>SUMIFS(INDEX(Load,,MATCH('Summarized Source Data'!$C454,Hour,0)),Month,'Summarized Source Data'!$A454,Sector,'Summarized Source Data'!T$2,TimeOfWeek,$E454)*INDEX(About!P$79:P$82,MATCH($B454,About!$A$79:$A$82,0),1)</f>
        <v>5491575</v>
      </c>
      <c r="U454" s="33">
        <f>SUMIFS(INDEX(Load,,MATCH('Summarized Source Data'!$C454,Hour,0)),Month,'Summarized Source Data'!$A454,Sector,'Summarized Source Data'!U$2,TimeOfWeek,$E454)*INDEX(About!Q$79:Q$82,MATCH($B454,About!$A$79:$A$82,0),1)</f>
        <v>5491575</v>
      </c>
      <c r="V454" s="33">
        <f>SUMIFS(INDEX(Load,,MATCH('Summarized Source Data'!$C454,Hour,0)),Month,'Summarized Source Data'!$A454,Sector,'Summarized Source Data'!V$2,TimeOfWeek,$E454)*INDEX(About!R$79:R$82,MATCH($B454,About!$A$79:$A$82,0),1)</f>
        <v>5491575</v>
      </c>
      <c r="W454" s="33">
        <f>SUMIFS(INDEX(Load,,MATCH('Summarized Source Data'!$C454,Hour,0)),Month,'Summarized Source Data'!$A454,Sector,'Summarized Source Data'!W$2,TimeOfWeek,$E454)*INDEX(About!S$79:S$82,MATCH($B454,About!$A$79:$A$82,0),1)</f>
        <v>5491575</v>
      </c>
      <c r="X454" s="27">
        <f>SUMIFS(INDEX(Load,,MATCH('Summarized Source Data'!$C454,Hour,0)),Month,'Summarized Source Data'!$A454,Sector,'Summarized Source Data'!X$2,Subsector,'Summarized Source Data'!X$3,TimeOfWeek,$E454)*INDEX(About!T$79:T$82,MATCH($B454,About!$A$79:$A$82,0),1)</f>
        <v>333000000</v>
      </c>
      <c r="Y454" s="29">
        <f t="shared" si="40"/>
        <v>333000000</v>
      </c>
      <c r="Z454" s="29">
        <f t="shared" si="40"/>
        <v>333000000</v>
      </c>
    </row>
    <row r="455" spans="1:26" x14ac:dyDescent="0.3">
      <c r="A455">
        <f t="shared" si="35"/>
        <v>7</v>
      </c>
      <c r="B455" t="str">
        <f>INDEX('Category Mapping'!$G$28:$G$39,MATCH(A455,'Category Mapping'!$A$28:$A$39,0),1)</f>
        <v>Summer</v>
      </c>
      <c r="C455" t="s">
        <v>82</v>
      </c>
      <c r="D455" s="6" t="s">
        <v>157</v>
      </c>
      <c r="E455" s="46" t="s">
        <v>48</v>
      </c>
      <c r="F455" s="27">
        <f>SUMIFS(INDEX(Load,,MATCH('Summarized Source Data'!$C455,Hour,0)),Month,'Summarized Source Data'!$A455,Sector,'Summarized Source Data'!F$2,Subsector,'Summarized Source Data'!F$3,TimeOfWeek,$E455)*INDEX(About!B$79:B$82,MATCH($B455,About!$A$79:$A$82,0),1)</f>
        <v>45118</v>
      </c>
      <c r="G455" s="27">
        <f>SUMIFS(INDEX(Load,,MATCH('Summarized Source Data'!$C455,Hour,0)),Month,'Summarized Source Data'!$A455,Sector,'Summarized Source Data'!G$2,Subsector,'Summarized Source Data'!G$3,TimeOfWeek,$E455)*INDEX(About!C$79:C$82,MATCH($B455,About!$A$79:$A$82,0),1)</f>
        <v>42600000</v>
      </c>
      <c r="H455" s="27">
        <f>SUMIFS(INDEX(Load,,MATCH('Summarized Source Data'!$C455,Hour,0)),Month,'Summarized Source Data'!$A455,Sector,'Summarized Source Data'!H$2,Subsector,'Summarized Source Data'!H$3,TimeOfWeek,$E455)*INDEX(About!D$79:D$82,MATCH($B455,About!$A$79:$A$82,0),1)</f>
        <v>0</v>
      </c>
      <c r="I455" s="27">
        <f>SUMIFS(INDEX(Load,,MATCH('Summarized Source Data'!$C455,Hour,0)),Month,'Summarized Source Data'!$A455,Sector,'Summarized Source Data'!I$2,Subsector,'Summarized Source Data'!I$3,TimeOfWeek,$E455)*INDEX(About!E$79:E$82,MATCH($B455,About!$A$79:$A$82,0),1)</f>
        <v>29500000</v>
      </c>
      <c r="J455" s="54">
        <f t="shared" si="37"/>
        <v>83854882</v>
      </c>
      <c r="K455" s="27">
        <f>(SUMIFS(INDEX(Load,,MATCH('Summarized Source Data'!$C455,Hour,0)),Month,'Summarized Source Data'!$A455,Sector,'Summarized Source Data'!K$2,Subsector,"Total",TimeOfWeek,$E455)-SUM(F455:I455))*INDEX(About!G$79:G$82,MATCH($B455,About!$A$79:$A$82,0),1)</f>
        <v>83854882</v>
      </c>
      <c r="L455" s="27">
        <f>SUMIFS(INDEX(Load,,MATCH('Summarized Source Data'!$C455,Hour,0)),Month,'Summarized Source Data'!$A455,Sector,'Summarized Source Data'!L$2,Subsector,'Summarized Source Data'!L$3,TimeOfWeek,$E455)*INDEX(About!H$79:H$82,MATCH($B455,About!$A$79:$A$82,0),1)</f>
        <v>63323</v>
      </c>
      <c r="M455" s="27">
        <f>SUMIFS(INDEX(Load,,MATCH('Summarized Source Data'!$C455,Hour,0)),Month,'Summarized Source Data'!$A455,Sector,'Summarized Source Data'!M$2,Subsector,'Summarized Source Data'!M$3,TimeOfWeek,$E455)*INDEX(About!I$79:I$82,MATCH($B455,About!$A$79:$A$82,0),1)</f>
        <v>160000000</v>
      </c>
      <c r="N455" s="27">
        <f>SUMIFS(INDEX(Load,,MATCH('Summarized Source Data'!$C455,Hour,0)),Month,'Summarized Source Data'!$A455,Sector,'Summarized Source Data'!N$2,Subsector,'Summarized Source Data'!N$3,TimeOfWeek,$E455)*INDEX(About!J$79:J$82,MATCH($B455,About!$A$79:$A$82,0),1)</f>
        <v>0</v>
      </c>
      <c r="O455" s="29">
        <f t="shared" si="38"/>
        <v>97936677</v>
      </c>
      <c r="P455" s="27">
        <f>(SUMIFS(INDEX(Load,,MATCH('Summarized Source Data'!$C455,Hour,0)),Month,'Summarized Source Data'!$A455,Sector,'Summarized Source Data'!P$2,Subsector,"Total",TimeOfWeek,$E455)-SUM(L455:N455)*INDEX(About!L$79:L$82,MATCH($B455,About!$A$79:$A$82,0),1))</f>
        <v>97936677</v>
      </c>
      <c r="Q455" s="29">
        <f t="shared" si="39"/>
        <v>97936677</v>
      </c>
      <c r="R455" s="33">
        <f>SUMIFS(INDEX(Load,,MATCH('Summarized Source Data'!$C455,Hour,0)),Month,'Summarized Source Data'!$A455,Sector,'Summarized Source Data'!R$2,TimeOfWeek,$E455)*INDEX(About!N$79:N$82,MATCH($B455,About!$A$79:$A$82,0),1)</f>
        <v>5356899</v>
      </c>
      <c r="S455" s="33">
        <f>SUMIFS(INDEX(Load,,MATCH('Summarized Source Data'!$C455,Hour,0)),Month,'Summarized Source Data'!$A455,Sector,'Summarized Source Data'!S$2,TimeOfWeek,$E455)*INDEX(About!O$79:O$82,MATCH($B455,About!$A$79:$A$82,0),1)</f>
        <v>5356899</v>
      </c>
      <c r="T455" s="33">
        <f>SUMIFS(INDEX(Load,,MATCH('Summarized Source Data'!$C455,Hour,0)),Month,'Summarized Source Data'!$A455,Sector,'Summarized Source Data'!T$2,TimeOfWeek,$E455)*INDEX(About!P$79:P$82,MATCH($B455,About!$A$79:$A$82,0),1)</f>
        <v>5356899</v>
      </c>
      <c r="U455" s="33">
        <f>SUMIFS(INDEX(Load,,MATCH('Summarized Source Data'!$C455,Hour,0)),Month,'Summarized Source Data'!$A455,Sector,'Summarized Source Data'!U$2,TimeOfWeek,$E455)*INDEX(About!Q$79:Q$82,MATCH($B455,About!$A$79:$A$82,0),1)</f>
        <v>5356899</v>
      </c>
      <c r="V455" s="33">
        <f>SUMIFS(INDEX(Load,,MATCH('Summarized Source Data'!$C455,Hour,0)),Month,'Summarized Source Data'!$A455,Sector,'Summarized Source Data'!V$2,TimeOfWeek,$E455)*INDEX(About!R$79:R$82,MATCH($B455,About!$A$79:$A$82,0),1)</f>
        <v>5356899</v>
      </c>
      <c r="W455" s="33">
        <f>SUMIFS(INDEX(Load,,MATCH('Summarized Source Data'!$C455,Hour,0)),Month,'Summarized Source Data'!$A455,Sector,'Summarized Source Data'!W$2,TimeOfWeek,$E455)*INDEX(About!S$79:S$82,MATCH($B455,About!$A$79:$A$82,0),1)</f>
        <v>5356899</v>
      </c>
      <c r="X455" s="27">
        <f>SUMIFS(INDEX(Load,,MATCH('Summarized Source Data'!$C455,Hour,0)),Month,'Summarized Source Data'!$A455,Sector,'Summarized Source Data'!X$2,Subsector,'Summarized Source Data'!X$3,TimeOfWeek,$E455)*INDEX(About!T$79:T$82,MATCH($B455,About!$A$79:$A$82,0),1)</f>
        <v>331000000</v>
      </c>
      <c r="Y455" s="29">
        <f t="shared" si="40"/>
        <v>331000000</v>
      </c>
      <c r="Z455" s="29">
        <f t="shared" si="40"/>
        <v>331000000</v>
      </c>
    </row>
    <row r="456" spans="1:26" x14ac:dyDescent="0.3">
      <c r="A456">
        <f t="shared" si="35"/>
        <v>7</v>
      </c>
      <c r="B456" t="str">
        <f>INDEX('Category Mapping'!$G$28:$G$39,MATCH(A456,'Category Mapping'!$A$28:$A$39,0),1)</f>
        <v>Summer</v>
      </c>
      <c r="C456" t="s">
        <v>83</v>
      </c>
      <c r="D456" s="6" t="s">
        <v>158</v>
      </c>
      <c r="E456" s="46" t="s">
        <v>48</v>
      </c>
      <c r="F456" s="27">
        <f>SUMIFS(INDEX(Load,,MATCH('Summarized Source Data'!$C456,Hour,0)),Month,'Summarized Source Data'!$A456,Sector,'Summarized Source Data'!F$2,Subsector,'Summarized Source Data'!F$3,TimeOfWeek,$E456)*INDEX(About!B$79:B$82,MATCH($B456,About!$A$79:$A$82,0),1)</f>
        <v>44955</v>
      </c>
      <c r="G456" s="27">
        <f>SUMIFS(INDEX(Load,,MATCH('Summarized Source Data'!$C456,Hour,0)),Month,'Summarized Source Data'!$A456,Sector,'Summarized Source Data'!G$2,Subsector,'Summarized Source Data'!G$3,TimeOfWeek,$E456)*INDEX(About!C$79:C$82,MATCH($B456,About!$A$79:$A$82,0),1)</f>
        <v>39100000</v>
      </c>
      <c r="H456" s="27">
        <f>SUMIFS(INDEX(Load,,MATCH('Summarized Source Data'!$C456,Hour,0)),Month,'Summarized Source Data'!$A456,Sector,'Summarized Source Data'!H$2,Subsector,'Summarized Source Data'!H$3,TimeOfWeek,$E456)*INDEX(About!D$79:D$82,MATCH($B456,About!$A$79:$A$82,0),1)</f>
        <v>0</v>
      </c>
      <c r="I456" s="27">
        <f>SUMIFS(INDEX(Load,,MATCH('Summarized Source Data'!$C456,Hour,0)),Month,'Summarized Source Data'!$A456,Sector,'Summarized Source Data'!I$2,Subsector,'Summarized Source Data'!I$3,TimeOfWeek,$E456)*INDEX(About!E$79:E$82,MATCH($B456,About!$A$79:$A$82,0),1)</f>
        <v>29300000</v>
      </c>
      <c r="J456" s="54">
        <f t="shared" si="37"/>
        <v>78555045</v>
      </c>
      <c r="K456" s="27">
        <f>(SUMIFS(INDEX(Load,,MATCH('Summarized Source Data'!$C456,Hour,0)),Month,'Summarized Source Data'!$A456,Sector,'Summarized Source Data'!K$2,Subsector,"Total",TimeOfWeek,$E456)-SUM(F456:I456))*INDEX(About!G$79:G$82,MATCH($B456,About!$A$79:$A$82,0),1)</f>
        <v>78555045</v>
      </c>
      <c r="L456" s="27">
        <f>SUMIFS(INDEX(Load,,MATCH('Summarized Source Data'!$C456,Hour,0)),Month,'Summarized Source Data'!$A456,Sector,'Summarized Source Data'!L$2,Subsector,'Summarized Source Data'!L$3,TimeOfWeek,$E456)*INDEX(About!H$79:H$82,MATCH($B456,About!$A$79:$A$82,0),1)</f>
        <v>63323</v>
      </c>
      <c r="M456" s="27">
        <f>SUMIFS(INDEX(Load,,MATCH('Summarized Source Data'!$C456,Hour,0)),Month,'Summarized Source Data'!$A456,Sector,'Summarized Source Data'!M$2,Subsector,'Summarized Source Data'!M$3,TimeOfWeek,$E456)*INDEX(About!I$79:I$82,MATCH($B456,About!$A$79:$A$82,0),1)</f>
        <v>148000000</v>
      </c>
      <c r="N456" s="27">
        <f>SUMIFS(INDEX(Load,,MATCH('Summarized Source Data'!$C456,Hour,0)),Month,'Summarized Source Data'!$A456,Sector,'Summarized Source Data'!N$2,Subsector,'Summarized Source Data'!N$3,TimeOfWeek,$E456)*INDEX(About!J$79:J$82,MATCH($B456,About!$A$79:$A$82,0),1)</f>
        <v>0</v>
      </c>
      <c r="O456" s="29">
        <f t="shared" si="38"/>
        <v>93936677</v>
      </c>
      <c r="P456" s="27">
        <f>(SUMIFS(INDEX(Load,,MATCH('Summarized Source Data'!$C456,Hour,0)),Month,'Summarized Source Data'!$A456,Sector,'Summarized Source Data'!P$2,Subsector,"Total",TimeOfWeek,$E456)-SUM(L456:N456)*INDEX(About!L$79:L$82,MATCH($B456,About!$A$79:$A$82,0),1))</f>
        <v>93936677</v>
      </c>
      <c r="Q456" s="29">
        <f t="shared" si="39"/>
        <v>93936677</v>
      </c>
      <c r="R456" s="33">
        <f>SUMIFS(INDEX(Load,,MATCH('Summarized Source Data'!$C456,Hour,0)),Month,'Summarized Source Data'!$A456,Sector,'Summarized Source Data'!R$2,TimeOfWeek,$E456)*INDEX(About!N$79:N$82,MATCH($B456,About!$A$79:$A$82,0),1)</f>
        <v>5175380</v>
      </c>
      <c r="S456" s="33">
        <f>SUMIFS(INDEX(Load,,MATCH('Summarized Source Data'!$C456,Hour,0)),Month,'Summarized Source Data'!$A456,Sector,'Summarized Source Data'!S$2,TimeOfWeek,$E456)*INDEX(About!O$79:O$82,MATCH($B456,About!$A$79:$A$82,0),1)</f>
        <v>5175380</v>
      </c>
      <c r="T456" s="33">
        <f>SUMIFS(INDEX(Load,,MATCH('Summarized Source Data'!$C456,Hour,0)),Month,'Summarized Source Data'!$A456,Sector,'Summarized Source Data'!T$2,TimeOfWeek,$E456)*INDEX(About!P$79:P$82,MATCH($B456,About!$A$79:$A$82,0),1)</f>
        <v>5175380</v>
      </c>
      <c r="U456" s="33">
        <f>SUMIFS(INDEX(Load,,MATCH('Summarized Source Data'!$C456,Hour,0)),Month,'Summarized Source Data'!$A456,Sector,'Summarized Source Data'!U$2,TimeOfWeek,$E456)*INDEX(About!Q$79:Q$82,MATCH($B456,About!$A$79:$A$82,0),1)</f>
        <v>5175380</v>
      </c>
      <c r="V456" s="33">
        <f>SUMIFS(INDEX(Load,,MATCH('Summarized Source Data'!$C456,Hour,0)),Month,'Summarized Source Data'!$A456,Sector,'Summarized Source Data'!V$2,TimeOfWeek,$E456)*INDEX(About!R$79:R$82,MATCH($B456,About!$A$79:$A$82,0),1)</f>
        <v>5175380</v>
      </c>
      <c r="W456" s="33">
        <f>SUMIFS(INDEX(Load,,MATCH('Summarized Source Data'!$C456,Hour,0)),Month,'Summarized Source Data'!$A456,Sector,'Summarized Source Data'!W$2,TimeOfWeek,$E456)*INDEX(About!S$79:S$82,MATCH($B456,About!$A$79:$A$82,0),1)</f>
        <v>5175380</v>
      </c>
      <c r="X456" s="27">
        <f>SUMIFS(INDEX(Load,,MATCH('Summarized Source Data'!$C456,Hour,0)),Month,'Summarized Source Data'!$A456,Sector,'Summarized Source Data'!X$2,Subsector,'Summarized Source Data'!X$3,TimeOfWeek,$E456)*INDEX(About!T$79:T$82,MATCH($B456,About!$A$79:$A$82,0),1)</f>
        <v>329000000</v>
      </c>
      <c r="Y456" s="29">
        <f t="shared" si="40"/>
        <v>329000000</v>
      </c>
      <c r="Z456" s="29">
        <f t="shared" si="40"/>
        <v>329000000</v>
      </c>
    </row>
    <row r="457" spans="1:26" x14ac:dyDescent="0.3">
      <c r="A457">
        <f t="shared" si="35"/>
        <v>7</v>
      </c>
      <c r="B457" t="str">
        <f>INDEX('Category Mapping'!$G$28:$G$39,MATCH(A457,'Category Mapping'!$A$28:$A$39,0),1)</f>
        <v>Summer</v>
      </c>
      <c r="C457" t="s">
        <v>84</v>
      </c>
      <c r="D457" s="6" t="s">
        <v>159</v>
      </c>
      <c r="E457" s="46" t="s">
        <v>48</v>
      </c>
      <c r="F457" s="27">
        <f>SUMIFS(INDEX(Load,,MATCH('Summarized Source Data'!$C457,Hour,0)),Month,'Summarized Source Data'!$A457,Sector,'Summarized Source Data'!F$2,Subsector,'Summarized Source Data'!F$3,TimeOfWeek,$E457)*INDEX(About!B$79:B$82,MATCH($B457,About!$A$79:$A$82,0),1)</f>
        <v>39756</v>
      </c>
      <c r="G457" s="27">
        <f>SUMIFS(INDEX(Load,,MATCH('Summarized Source Data'!$C457,Hour,0)),Month,'Summarized Source Data'!$A457,Sector,'Summarized Source Data'!G$2,Subsector,'Summarized Source Data'!G$3,TimeOfWeek,$E457)*INDEX(About!C$79:C$82,MATCH($B457,About!$A$79:$A$82,0),1)</f>
        <v>35200000</v>
      </c>
      <c r="H457" s="27">
        <f>SUMIFS(INDEX(Load,,MATCH('Summarized Source Data'!$C457,Hour,0)),Month,'Summarized Source Data'!$A457,Sector,'Summarized Source Data'!H$2,Subsector,'Summarized Source Data'!H$3,TimeOfWeek,$E457)*INDEX(About!D$79:D$82,MATCH($B457,About!$A$79:$A$82,0),1)</f>
        <v>0</v>
      </c>
      <c r="I457" s="27">
        <f>SUMIFS(INDEX(Load,,MATCH('Summarized Source Data'!$C457,Hour,0)),Month,'Summarized Source Data'!$A457,Sector,'Summarized Source Data'!I$2,Subsector,'Summarized Source Data'!I$3,TimeOfWeek,$E457)*INDEX(About!E$79:E$82,MATCH($B457,About!$A$79:$A$82,0),1)</f>
        <v>24300000</v>
      </c>
      <c r="J457" s="54">
        <f t="shared" si="37"/>
        <v>72460244</v>
      </c>
      <c r="K457" s="27">
        <f>(SUMIFS(INDEX(Load,,MATCH('Summarized Source Data'!$C457,Hour,0)),Month,'Summarized Source Data'!$A457,Sector,'Summarized Source Data'!K$2,Subsector,"Total",TimeOfWeek,$E457)-SUM(F457:I457))*INDEX(About!G$79:G$82,MATCH($B457,About!$A$79:$A$82,0),1)</f>
        <v>72460244</v>
      </c>
      <c r="L457" s="27">
        <f>SUMIFS(INDEX(Load,,MATCH('Summarized Source Data'!$C457,Hour,0)),Month,'Summarized Source Data'!$A457,Sector,'Summarized Source Data'!L$2,Subsector,'Summarized Source Data'!L$3,TimeOfWeek,$E457)*INDEX(About!H$79:H$82,MATCH($B457,About!$A$79:$A$82,0),1)</f>
        <v>63323</v>
      </c>
      <c r="M457" s="27">
        <f>SUMIFS(INDEX(Load,,MATCH('Summarized Source Data'!$C457,Hour,0)),Month,'Summarized Source Data'!$A457,Sector,'Summarized Source Data'!M$2,Subsector,'Summarized Source Data'!M$3,TimeOfWeek,$E457)*INDEX(About!I$79:I$82,MATCH($B457,About!$A$79:$A$82,0),1)</f>
        <v>136000000</v>
      </c>
      <c r="N457" s="27">
        <f>SUMIFS(INDEX(Load,,MATCH('Summarized Source Data'!$C457,Hour,0)),Month,'Summarized Source Data'!$A457,Sector,'Summarized Source Data'!N$2,Subsector,'Summarized Source Data'!N$3,TimeOfWeek,$E457)*INDEX(About!J$79:J$82,MATCH($B457,About!$A$79:$A$82,0),1)</f>
        <v>0</v>
      </c>
      <c r="O457" s="29">
        <f t="shared" si="38"/>
        <v>87936677</v>
      </c>
      <c r="P457" s="27">
        <f>(SUMIFS(INDEX(Load,,MATCH('Summarized Source Data'!$C457,Hour,0)),Month,'Summarized Source Data'!$A457,Sector,'Summarized Source Data'!P$2,Subsector,"Total",TimeOfWeek,$E457)-SUM(L457:N457)*INDEX(About!L$79:L$82,MATCH($B457,About!$A$79:$A$82,0),1))</f>
        <v>87936677</v>
      </c>
      <c r="Q457" s="29">
        <f t="shared" si="39"/>
        <v>87936677</v>
      </c>
      <c r="R457" s="33">
        <f>SUMIFS(INDEX(Load,,MATCH('Summarized Source Data'!$C457,Hour,0)),Month,'Summarized Source Data'!$A457,Sector,'Summarized Source Data'!R$2,TimeOfWeek,$E457)*INDEX(About!N$79:N$82,MATCH($B457,About!$A$79:$A$82,0),1)</f>
        <v>4970439</v>
      </c>
      <c r="S457" s="33">
        <f>SUMIFS(INDEX(Load,,MATCH('Summarized Source Data'!$C457,Hour,0)),Month,'Summarized Source Data'!$A457,Sector,'Summarized Source Data'!S$2,TimeOfWeek,$E457)*INDEX(About!O$79:O$82,MATCH($B457,About!$A$79:$A$82,0),1)</f>
        <v>4970439</v>
      </c>
      <c r="T457" s="33">
        <f>SUMIFS(INDEX(Load,,MATCH('Summarized Source Data'!$C457,Hour,0)),Month,'Summarized Source Data'!$A457,Sector,'Summarized Source Data'!T$2,TimeOfWeek,$E457)*INDEX(About!P$79:P$82,MATCH($B457,About!$A$79:$A$82,0),1)</f>
        <v>4970439</v>
      </c>
      <c r="U457" s="33">
        <f>SUMIFS(INDEX(Load,,MATCH('Summarized Source Data'!$C457,Hour,0)),Month,'Summarized Source Data'!$A457,Sector,'Summarized Source Data'!U$2,TimeOfWeek,$E457)*INDEX(About!Q$79:Q$82,MATCH($B457,About!$A$79:$A$82,0),1)</f>
        <v>4970439</v>
      </c>
      <c r="V457" s="33">
        <f>SUMIFS(INDEX(Load,,MATCH('Summarized Source Data'!$C457,Hour,0)),Month,'Summarized Source Data'!$A457,Sector,'Summarized Source Data'!V$2,TimeOfWeek,$E457)*INDEX(About!R$79:R$82,MATCH($B457,About!$A$79:$A$82,0),1)</f>
        <v>4970439</v>
      </c>
      <c r="W457" s="33">
        <f>SUMIFS(INDEX(Load,,MATCH('Summarized Source Data'!$C457,Hour,0)),Month,'Summarized Source Data'!$A457,Sector,'Summarized Source Data'!W$2,TimeOfWeek,$E457)*INDEX(About!S$79:S$82,MATCH($B457,About!$A$79:$A$82,0),1)</f>
        <v>4970439</v>
      </c>
      <c r="X457" s="27">
        <f>SUMIFS(INDEX(Load,,MATCH('Summarized Source Data'!$C457,Hour,0)),Month,'Summarized Source Data'!$A457,Sector,'Summarized Source Data'!X$2,Subsector,'Summarized Source Data'!X$3,TimeOfWeek,$E457)*INDEX(About!T$79:T$82,MATCH($B457,About!$A$79:$A$82,0),1)</f>
        <v>326000000</v>
      </c>
      <c r="Y457" s="29">
        <f t="shared" si="40"/>
        <v>326000000</v>
      </c>
      <c r="Z457" s="29">
        <f t="shared" si="40"/>
        <v>326000000</v>
      </c>
    </row>
    <row r="458" spans="1:26" x14ac:dyDescent="0.3">
      <c r="A458">
        <f t="shared" si="35"/>
        <v>7</v>
      </c>
      <c r="B458" t="str">
        <f>INDEX('Category Mapping'!$G$28:$G$39,MATCH(A458,'Category Mapping'!$A$28:$A$39,0),1)</f>
        <v>Summer</v>
      </c>
      <c r="C458" t="s">
        <v>85</v>
      </c>
      <c r="D458" s="6" t="s">
        <v>160</v>
      </c>
      <c r="E458" s="46" t="s">
        <v>48</v>
      </c>
      <c r="F458" s="27">
        <f>SUMIFS(INDEX(Load,,MATCH('Summarized Source Data'!$C458,Hour,0)),Month,'Summarized Source Data'!$A458,Sector,'Summarized Source Data'!F$2,Subsector,'Summarized Source Data'!F$3,TimeOfWeek,$E458)*INDEX(About!B$79:B$82,MATCH($B458,About!$A$79:$A$82,0),1)</f>
        <v>30935</v>
      </c>
      <c r="G458" s="27">
        <f>SUMIFS(INDEX(Load,,MATCH('Summarized Source Data'!$C458,Hour,0)),Month,'Summarized Source Data'!$A458,Sector,'Summarized Source Data'!G$2,Subsector,'Summarized Source Data'!G$3,TimeOfWeek,$E458)*INDEX(About!C$79:C$82,MATCH($B458,About!$A$79:$A$82,0),1)</f>
        <v>31200000</v>
      </c>
      <c r="H458" s="27">
        <f>SUMIFS(INDEX(Load,,MATCH('Summarized Source Data'!$C458,Hour,0)),Month,'Summarized Source Data'!$A458,Sector,'Summarized Source Data'!H$2,Subsector,'Summarized Source Data'!H$3,TimeOfWeek,$E458)*INDEX(About!D$79:D$82,MATCH($B458,About!$A$79:$A$82,0),1)</f>
        <v>0</v>
      </c>
      <c r="I458" s="27">
        <f>SUMIFS(INDEX(Load,,MATCH('Summarized Source Data'!$C458,Hour,0)),Month,'Summarized Source Data'!$A458,Sector,'Summarized Source Data'!I$2,Subsector,'Summarized Source Data'!I$3,TimeOfWeek,$E458)*INDEX(About!E$79:E$82,MATCH($B458,About!$A$79:$A$82,0),1)</f>
        <v>15600000</v>
      </c>
      <c r="J458" s="54">
        <f t="shared" si="37"/>
        <v>61169065</v>
      </c>
      <c r="K458" s="27">
        <f>(SUMIFS(INDEX(Load,,MATCH('Summarized Source Data'!$C458,Hour,0)),Month,'Summarized Source Data'!$A458,Sector,'Summarized Source Data'!K$2,Subsector,"Total",TimeOfWeek,$E458)-SUM(F458:I458))*INDEX(About!G$79:G$82,MATCH($B458,About!$A$79:$A$82,0),1)</f>
        <v>61169065</v>
      </c>
      <c r="L458" s="27">
        <f>SUMIFS(INDEX(Load,,MATCH('Summarized Source Data'!$C458,Hour,0)),Month,'Summarized Source Data'!$A458,Sector,'Summarized Source Data'!L$2,Subsector,'Summarized Source Data'!L$3,TimeOfWeek,$E458)*INDEX(About!H$79:H$82,MATCH($B458,About!$A$79:$A$82,0),1)</f>
        <v>63323</v>
      </c>
      <c r="M458" s="27">
        <f>SUMIFS(INDEX(Load,,MATCH('Summarized Source Data'!$C458,Hour,0)),Month,'Summarized Source Data'!$A458,Sector,'Summarized Source Data'!M$2,Subsector,'Summarized Source Data'!M$3,TimeOfWeek,$E458)*INDEX(About!I$79:I$82,MATCH($B458,About!$A$79:$A$82,0),1)</f>
        <v>125000000</v>
      </c>
      <c r="N458" s="27">
        <f>SUMIFS(INDEX(Load,,MATCH('Summarized Source Data'!$C458,Hour,0)),Month,'Summarized Source Data'!$A458,Sector,'Summarized Source Data'!N$2,Subsector,'Summarized Source Data'!N$3,TimeOfWeek,$E458)*INDEX(About!J$79:J$82,MATCH($B458,About!$A$79:$A$82,0),1)</f>
        <v>0</v>
      </c>
      <c r="O458" s="29">
        <f t="shared" si="38"/>
        <v>82936677</v>
      </c>
      <c r="P458" s="27">
        <f>(SUMIFS(INDEX(Load,,MATCH('Summarized Source Data'!$C458,Hour,0)),Month,'Summarized Source Data'!$A458,Sector,'Summarized Source Data'!P$2,Subsector,"Total",TimeOfWeek,$E458)-SUM(L458:N458)*INDEX(About!L$79:L$82,MATCH($B458,About!$A$79:$A$82,0),1))</f>
        <v>82936677</v>
      </c>
      <c r="Q458" s="29">
        <f t="shared" si="39"/>
        <v>82936677</v>
      </c>
      <c r="R458" s="33">
        <f>SUMIFS(INDEX(Load,,MATCH('Summarized Source Data'!$C458,Hour,0)),Month,'Summarized Source Data'!$A458,Sector,'Summarized Source Data'!R$2,TimeOfWeek,$E458)*INDEX(About!N$79:N$82,MATCH($B458,About!$A$79:$A$82,0),1)</f>
        <v>4900174</v>
      </c>
      <c r="S458" s="33">
        <f>SUMIFS(INDEX(Load,,MATCH('Summarized Source Data'!$C458,Hour,0)),Month,'Summarized Source Data'!$A458,Sector,'Summarized Source Data'!S$2,TimeOfWeek,$E458)*INDEX(About!O$79:O$82,MATCH($B458,About!$A$79:$A$82,0),1)</f>
        <v>4900174</v>
      </c>
      <c r="T458" s="33">
        <f>SUMIFS(INDEX(Load,,MATCH('Summarized Source Data'!$C458,Hour,0)),Month,'Summarized Source Data'!$A458,Sector,'Summarized Source Data'!T$2,TimeOfWeek,$E458)*INDEX(About!P$79:P$82,MATCH($B458,About!$A$79:$A$82,0),1)</f>
        <v>4900174</v>
      </c>
      <c r="U458" s="33">
        <f>SUMIFS(INDEX(Load,,MATCH('Summarized Source Data'!$C458,Hour,0)),Month,'Summarized Source Data'!$A458,Sector,'Summarized Source Data'!U$2,TimeOfWeek,$E458)*INDEX(About!Q$79:Q$82,MATCH($B458,About!$A$79:$A$82,0),1)</f>
        <v>4900174</v>
      </c>
      <c r="V458" s="33">
        <f>SUMIFS(INDEX(Load,,MATCH('Summarized Source Data'!$C458,Hour,0)),Month,'Summarized Source Data'!$A458,Sector,'Summarized Source Data'!V$2,TimeOfWeek,$E458)*INDEX(About!R$79:R$82,MATCH($B458,About!$A$79:$A$82,0),1)</f>
        <v>4900174</v>
      </c>
      <c r="W458" s="33">
        <f>SUMIFS(INDEX(Load,,MATCH('Summarized Source Data'!$C458,Hour,0)),Month,'Summarized Source Data'!$A458,Sector,'Summarized Source Data'!W$2,TimeOfWeek,$E458)*INDEX(About!S$79:S$82,MATCH($B458,About!$A$79:$A$82,0),1)</f>
        <v>4900174</v>
      </c>
      <c r="X458" s="27">
        <f>SUMIFS(INDEX(Load,,MATCH('Summarized Source Data'!$C458,Hour,0)),Month,'Summarized Source Data'!$A458,Sector,'Summarized Source Data'!X$2,Subsector,'Summarized Source Data'!X$3,TimeOfWeek,$E458)*INDEX(About!T$79:T$82,MATCH($B458,About!$A$79:$A$82,0),1)</f>
        <v>323000000</v>
      </c>
      <c r="Y458" s="29">
        <f t="shared" si="40"/>
        <v>323000000</v>
      </c>
      <c r="Z458" s="29">
        <f t="shared" si="40"/>
        <v>323000000</v>
      </c>
    </row>
    <row r="459" spans="1:26" x14ac:dyDescent="0.3">
      <c r="A459">
        <f t="shared" si="35"/>
        <v>7</v>
      </c>
      <c r="B459" t="str">
        <f>INDEX('Category Mapping'!$G$28:$G$39,MATCH(A459,'Category Mapping'!$A$28:$A$39,0),1)</f>
        <v>Summer</v>
      </c>
      <c r="C459" t="s">
        <v>86</v>
      </c>
      <c r="D459" s="6" t="s">
        <v>161</v>
      </c>
      <c r="E459" s="46" t="s">
        <v>48</v>
      </c>
      <c r="F459" s="27">
        <f>SUMIFS(INDEX(Load,,MATCH('Summarized Source Data'!$C459,Hour,0)),Month,'Summarized Source Data'!$A459,Sector,'Summarized Source Data'!F$2,Subsector,'Summarized Source Data'!F$3,TimeOfWeek,$E459)*INDEX(About!B$79:B$82,MATCH($B459,About!$A$79:$A$82,0),1)</f>
        <v>26531</v>
      </c>
      <c r="G459" s="27">
        <f>SUMIFS(INDEX(Load,,MATCH('Summarized Source Data'!$C459,Hour,0)),Month,'Summarized Source Data'!$A459,Sector,'Summarized Source Data'!G$2,Subsector,'Summarized Source Data'!G$3,TimeOfWeek,$E459)*INDEX(About!C$79:C$82,MATCH($B459,About!$A$79:$A$82,0),1)</f>
        <v>27500000</v>
      </c>
      <c r="H459" s="27">
        <f>SUMIFS(INDEX(Load,,MATCH('Summarized Source Data'!$C459,Hour,0)),Month,'Summarized Source Data'!$A459,Sector,'Summarized Source Data'!H$2,Subsector,'Summarized Source Data'!H$3,TimeOfWeek,$E459)*INDEX(About!D$79:D$82,MATCH($B459,About!$A$79:$A$82,0),1)</f>
        <v>0</v>
      </c>
      <c r="I459" s="27">
        <f>SUMIFS(INDEX(Load,,MATCH('Summarized Source Data'!$C459,Hour,0)),Month,'Summarized Source Data'!$A459,Sector,'Summarized Source Data'!I$2,Subsector,'Summarized Source Data'!I$3,TimeOfWeek,$E459)*INDEX(About!E$79:E$82,MATCH($B459,About!$A$79:$A$82,0),1)</f>
        <v>8745953</v>
      </c>
      <c r="J459" s="54">
        <f t="shared" si="37"/>
        <v>48627516</v>
      </c>
      <c r="K459" s="27">
        <f>(SUMIFS(INDEX(Load,,MATCH('Summarized Source Data'!$C459,Hour,0)),Month,'Summarized Source Data'!$A459,Sector,'Summarized Source Data'!K$2,Subsector,"Total",TimeOfWeek,$E459)-SUM(F459:I459))*INDEX(About!G$79:G$82,MATCH($B459,About!$A$79:$A$82,0),1)</f>
        <v>48627516</v>
      </c>
      <c r="L459" s="27">
        <f>SUMIFS(INDEX(Load,,MATCH('Summarized Source Data'!$C459,Hour,0)),Month,'Summarized Source Data'!$A459,Sector,'Summarized Source Data'!L$2,Subsector,'Summarized Source Data'!L$3,TimeOfWeek,$E459)*INDEX(About!H$79:H$82,MATCH($B459,About!$A$79:$A$82,0),1)</f>
        <v>63323</v>
      </c>
      <c r="M459" s="27">
        <f>SUMIFS(INDEX(Load,,MATCH('Summarized Source Data'!$C459,Hour,0)),Month,'Summarized Source Data'!$A459,Sector,'Summarized Source Data'!M$2,Subsector,'Summarized Source Data'!M$3,TimeOfWeek,$E459)*INDEX(About!I$79:I$82,MATCH($B459,About!$A$79:$A$82,0),1)</f>
        <v>114000000</v>
      </c>
      <c r="N459" s="27">
        <f>SUMIFS(INDEX(Load,,MATCH('Summarized Source Data'!$C459,Hour,0)),Month,'Summarized Source Data'!$A459,Sector,'Summarized Source Data'!N$2,Subsector,'Summarized Source Data'!N$3,TimeOfWeek,$E459)*INDEX(About!J$79:J$82,MATCH($B459,About!$A$79:$A$82,0),1)</f>
        <v>0</v>
      </c>
      <c r="O459" s="29">
        <f t="shared" si="38"/>
        <v>75936677</v>
      </c>
      <c r="P459" s="27">
        <f>(SUMIFS(INDEX(Load,,MATCH('Summarized Source Data'!$C459,Hour,0)),Month,'Summarized Source Data'!$A459,Sector,'Summarized Source Data'!P$2,Subsector,"Total",TimeOfWeek,$E459)-SUM(L459:N459)*INDEX(About!L$79:L$82,MATCH($B459,About!$A$79:$A$82,0),1))</f>
        <v>75936677</v>
      </c>
      <c r="Q459" s="29">
        <f t="shared" si="39"/>
        <v>75936677</v>
      </c>
      <c r="R459" s="33">
        <f>SUMIFS(INDEX(Load,,MATCH('Summarized Source Data'!$C459,Hour,0)),Month,'Summarized Source Data'!$A459,Sector,'Summarized Source Data'!R$2,TimeOfWeek,$E459)*INDEX(About!N$79:N$82,MATCH($B459,About!$A$79:$A$82,0),1)</f>
        <v>3293725</v>
      </c>
      <c r="S459" s="33">
        <f>SUMIFS(INDEX(Load,,MATCH('Summarized Source Data'!$C459,Hour,0)),Month,'Summarized Source Data'!$A459,Sector,'Summarized Source Data'!S$2,TimeOfWeek,$E459)*INDEX(About!O$79:O$82,MATCH($B459,About!$A$79:$A$82,0),1)</f>
        <v>3293725</v>
      </c>
      <c r="T459" s="33">
        <f>SUMIFS(INDEX(Load,,MATCH('Summarized Source Data'!$C459,Hour,0)),Month,'Summarized Source Data'!$A459,Sector,'Summarized Source Data'!T$2,TimeOfWeek,$E459)*INDEX(About!P$79:P$82,MATCH($B459,About!$A$79:$A$82,0),1)</f>
        <v>3293725</v>
      </c>
      <c r="U459" s="33">
        <f>SUMIFS(INDEX(Load,,MATCH('Summarized Source Data'!$C459,Hour,0)),Month,'Summarized Source Data'!$A459,Sector,'Summarized Source Data'!U$2,TimeOfWeek,$E459)*INDEX(About!Q$79:Q$82,MATCH($B459,About!$A$79:$A$82,0),1)</f>
        <v>3293725</v>
      </c>
      <c r="V459" s="33">
        <f>SUMIFS(INDEX(Load,,MATCH('Summarized Source Data'!$C459,Hour,0)),Month,'Summarized Source Data'!$A459,Sector,'Summarized Source Data'!V$2,TimeOfWeek,$E459)*INDEX(About!R$79:R$82,MATCH($B459,About!$A$79:$A$82,0),1)</f>
        <v>3293725</v>
      </c>
      <c r="W459" s="33">
        <f>SUMIFS(INDEX(Load,,MATCH('Summarized Source Data'!$C459,Hour,0)),Month,'Summarized Source Data'!$A459,Sector,'Summarized Source Data'!W$2,TimeOfWeek,$E459)*INDEX(About!S$79:S$82,MATCH($B459,About!$A$79:$A$82,0),1)</f>
        <v>3293725</v>
      </c>
      <c r="X459" s="27">
        <f>SUMIFS(INDEX(Load,,MATCH('Summarized Source Data'!$C459,Hour,0)),Month,'Summarized Source Data'!$A459,Sector,'Summarized Source Data'!X$2,Subsector,'Summarized Source Data'!X$3,TimeOfWeek,$E459)*INDEX(About!T$79:T$82,MATCH($B459,About!$A$79:$A$82,0),1)</f>
        <v>321000000</v>
      </c>
      <c r="Y459" s="29">
        <f t="shared" si="40"/>
        <v>321000000</v>
      </c>
      <c r="Z459" s="29">
        <f t="shared" si="40"/>
        <v>321000000</v>
      </c>
    </row>
    <row r="460" spans="1:26" x14ac:dyDescent="0.3">
      <c r="A460">
        <f t="shared" si="35"/>
        <v>8</v>
      </c>
      <c r="B460" t="str">
        <f>INDEX('Category Mapping'!$G$28:$G$39,MATCH(A460,'Category Mapping'!$A$28:$A$39,0),1)</f>
        <v>Summer</v>
      </c>
      <c r="C460" t="s">
        <v>63</v>
      </c>
      <c r="D460" s="6" t="s">
        <v>138</v>
      </c>
      <c r="E460" s="46" t="s">
        <v>48</v>
      </c>
      <c r="F460" s="27">
        <f>SUMIFS(INDEX(Load,,MATCH('Summarized Source Data'!$C460,Hour,0)),Month,'Summarized Source Data'!$A460,Sector,'Summarized Source Data'!F$2,Subsector,'Summarized Source Data'!F$3,TimeOfWeek,$E460)*INDEX(About!B$79:B$82,MATCH($B460,About!$A$79:$A$82,0),1)</f>
        <v>27769</v>
      </c>
      <c r="G460" s="27">
        <f>SUMIFS(INDEX(Load,,MATCH('Summarized Source Data'!$C460,Hour,0)),Month,'Summarized Source Data'!$A460,Sector,'Summarized Source Data'!G$2,Subsector,'Summarized Source Data'!G$3,TimeOfWeek,$E460)*INDEX(About!C$79:C$82,MATCH($B460,About!$A$79:$A$82,0),1)</f>
        <v>25700000</v>
      </c>
      <c r="H460" s="27">
        <f>SUMIFS(INDEX(Load,,MATCH('Summarized Source Data'!$C460,Hour,0)),Month,'Summarized Source Data'!$A460,Sector,'Summarized Source Data'!H$2,Subsector,'Summarized Source Data'!H$3,TimeOfWeek,$E460)*INDEX(About!D$79:D$82,MATCH($B460,About!$A$79:$A$82,0),1)</f>
        <v>0</v>
      </c>
      <c r="I460" s="27">
        <f>SUMIFS(INDEX(Load,,MATCH('Summarized Source Data'!$C460,Hour,0)),Month,'Summarized Source Data'!$A460,Sector,'Summarized Source Data'!I$2,Subsector,'Summarized Source Data'!I$3,TimeOfWeek,$E460)*INDEX(About!E$79:E$82,MATCH($B460,About!$A$79:$A$82,0),1)</f>
        <v>5948297</v>
      </c>
      <c r="J460" s="54">
        <f t="shared" si="37"/>
        <v>37523934</v>
      </c>
      <c r="K460" s="27">
        <f>(SUMIFS(INDEX(Load,,MATCH('Summarized Source Data'!$C460,Hour,0)),Month,'Summarized Source Data'!$A460,Sector,'Summarized Source Data'!K$2,Subsector,"Total",TimeOfWeek,$E460)-SUM(F460:I460))*INDEX(About!G$79:G$82,MATCH($B460,About!$A$79:$A$82,0),1)</f>
        <v>37523934</v>
      </c>
      <c r="L460" s="27">
        <f>SUMIFS(INDEX(Load,,MATCH('Summarized Source Data'!$C460,Hour,0)),Month,'Summarized Source Data'!$A460,Sector,'Summarized Source Data'!L$2,Subsector,'Summarized Source Data'!L$3,TimeOfWeek,$E460)*INDEX(About!H$79:H$82,MATCH($B460,About!$A$79:$A$82,0),1)</f>
        <v>66279</v>
      </c>
      <c r="M460" s="27">
        <f>SUMIFS(INDEX(Load,,MATCH('Summarized Source Data'!$C460,Hour,0)),Month,'Summarized Source Data'!$A460,Sector,'Summarized Source Data'!M$2,Subsector,'Summarized Source Data'!M$3,TimeOfWeek,$E460)*INDEX(About!I$79:I$82,MATCH($B460,About!$A$79:$A$82,0),1)</f>
        <v>117000000</v>
      </c>
      <c r="N460" s="27">
        <f>SUMIFS(INDEX(Load,,MATCH('Summarized Source Data'!$C460,Hour,0)),Month,'Summarized Source Data'!$A460,Sector,'Summarized Source Data'!N$2,Subsector,'Summarized Source Data'!N$3,TimeOfWeek,$E460)*INDEX(About!J$79:J$82,MATCH($B460,About!$A$79:$A$82,0),1)</f>
        <v>0</v>
      </c>
      <c r="O460" s="29">
        <f t="shared" si="38"/>
        <v>76933721</v>
      </c>
      <c r="P460" s="27">
        <f>(SUMIFS(INDEX(Load,,MATCH('Summarized Source Data'!$C460,Hour,0)),Month,'Summarized Source Data'!$A460,Sector,'Summarized Source Data'!P$2,Subsector,"Total",TimeOfWeek,$E460)-SUM(L460:N460)*INDEX(About!L$79:L$82,MATCH($B460,About!$A$79:$A$82,0),1))</f>
        <v>76933721</v>
      </c>
      <c r="Q460" s="29">
        <f t="shared" si="39"/>
        <v>76933721</v>
      </c>
      <c r="R460" s="33">
        <f>SUMIFS(INDEX(Load,,MATCH('Summarized Source Data'!$C460,Hour,0)),Month,'Summarized Source Data'!$A460,Sector,'Summarized Source Data'!R$2,TimeOfWeek,$E460)*INDEX(About!N$79:N$82,MATCH($B460,About!$A$79:$A$82,0),1)</f>
        <v>2435138</v>
      </c>
      <c r="S460" s="33">
        <f>SUMIFS(INDEX(Load,,MATCH('Summarized Source Data'!$C460,Hour,0)),Month,'Summarized Source Data'!$A460,Sector,'Summarized Source Data'!S$2,TimeOfWeek,$E460)*INDEX(About!O$79:O$82,MATCH($B460,About!$A$79:$A$82,0),1)</f>
        <v>2435138</v>
      </c>
      <c r="T460" s="33">
        <f>SUMIFS(INDEX(Load,,MATCH('Summarized Source Data'!$C460,Hour,0)),Month,'Summarized Source Data'!$A460,Sector,'Summarized Source Data'!T$2,TimeOfWeek,$E460)*INDEX(About!P$79:P$82,MATCH($B460,About!$A$79:$A$82,0),1)</f>
        <v>2435138</v>
      </c>
      <c r="U460" s="33">
        <f>SUMIFS(INDEX(Load,,MATCH('Summarized Source Data'!$C460,Hour,0)),Month,'Summarized Source Data'!$A460,Sector,'Summarized Source Data'!U$2,TimeOfWeek,$E460)*INDEX(About!Q$79:Q$82,MATCH($B460,About!$A$79:$A$82,0),1)</f>
        <v>2435138</v>
      </c>
      <c r="V460" s="33">
        <f>SUMIFS(INDEX(Load,,MATCH('Summarized Source Data'!$C460,Hour,0)),Month,'Summarized Source Data'!$A460,Sector,'Summarized Source Data'!V$2,TimeOfWeek,$E460)*INDEX(About!R$79:R$82,MATCH($B460,About!$A$79:$A$82,0),1)</f>
        <v>2435138</v>
      </c>
      <c r="W460" s="33">
        <f>SUMIFS(INDEX(Load,,MATCH('Summarized Source Data'!$C460,Hour,0)),Month,'Summarized Source Data'!$A460,Sector,'Summarized Source Data'!W$2,TimeOfWeek,$E460)*INDEX(About!S$79:S$82,MATCH($B460,About!$A$79:$A$82,0),1)</f>
        <v>2435138</v>
      </c>
      <c r="X460" s="27">
        <f>SUMIFS(INDEX(Load,,MATCH('Summarized Source Data'!$C460,Hour,0)),Month,'Summarized Source Data'!$A460,Sector,'Summarized Source Data'!X$2,Subsector,'Summarized Source Data'!X$3,TimeOfWeek,$E460)*INDEX(About!T$79:T$82,MATCH($B460,About!$A$79:$A$82,0),1)</f>
        <v>338000000</v>
      </c>
      <c r="Y460" s="29">
        <f t="shared" si="40"/>
        <v>338000000</v>
      </c>
      <c r="Z460" s="29">
        <f t="shared" si="40"/>
        <v>338000000</v>
      </c>
    </row>
    <row r="461" spans="1:26" x14ac:dyDescent="0.3">
      <c r="A461">
        <f t="shared" si="35"/>
        <v>8</v>
      </c>
      <c r="B461" t="str">
        <f>INDEX('Category Mapping'!$G$28:$G$39,MATCH(A461,'Category Mapping'!$A$28:$A$39,0),1)</f>
        <v>Summer</v>
      </c>
      <c r="C461" t="s">
        <v>64</v>
      </c>
      <c r="D461" s="6" t="s">
        <v>139</v>
      </c>
      <c r="E461" s="46" t="s">
        <v>48</v>
      </c>
      <c r="F461" s="27">
        <f>SUMIFS(INDEX(Load,,MATCH('Summarized Source Data'!$C461,Hour,0)),Month,'Summarized Source Data'!$A461,Sector,'Summarized Source Data'!F$2,Subsector,'Summarized Source Data'!F$3,TimeOfWeek,$E461)*INDEX(About!B$79:B$82,MATCH($B461,About!$A$79:$A$82,0),1)</f>
        <v>27769</v>
      </c>
      <c r="G461" s="27">
        <f>SUMIFS(INDEX(Load,,MATCH('Summarized Source Data'!$C461,Hour,0)),Month,'Summarized Source Data'!$A461,Sector,'Summarized Source Data'!G$2,Subsector,'Summarized Source Data'!G$3,TimeOfWeek,$E461)*INDEX(About!C$79:C$82,MATCH($B461,About!$A$79:$A$82,0),1)</f>
        <v>23200000</v>
      </c>
      <c r="H461" s="27">
        <f>SUMIFS(INDEX(Load,,MATCH('Summarized Source Data'!$C461,Hour,0)),Month,'Summarized Source Data'!$A461,Sector,'Summarized Source Data'!H$2,Subsector,'Summarized Source Data'!H$3,TimeOfWeek,$E461)*INDEX(About!D$79:D$82,MATCH($B461,About!$A$79:$A$82,0),1)</f>
        <v>0</v>
      </c>
      <c r="I461" s="27">
        <f>SUMIFS(INDEX(Load,,MATCH('Summarized Source Data'!$C461,Hour,0)),Month,'Summarized Source Data'!$A461,Sector,'Summarized Source Data'!I$2,Subsector,'Summarized Source Data'!I$3,TimeOfWeek,$E461)*INDEX(About!E$79:E$82,MATCH($B461,About!$A$79:$A$82,0),1)</f>
        <v>5139291</v>
      </c>
      <c r="J461" s="54">
        <f t="shared" si="37"/>
        <v>29332940</v>
      </c>
      <c r="K461" s="27">
        <f>(SUMIFS(INDEX(Load,,MATCH('Summarized Source Data'!$C461,Hour,0)),Month,'Summarized Source Data'!$A461,Sector,'Summarized Source Data'!K$2,Subsector,"Total",TimeOfWeek,$E461)-SUM(F461:I461))*INDEX(About!G$79:G$82,MATCH($B461,About!$A$79:$A$82,0),1)</f>
        <v>29332940</v>
      </c>
      <c r="L461" s="27">
        <f>SUMIFS(INDEX(Load,,MATCH('Summarized Source Data'!$C461,Hour,0)),Month,'Summarized Source Data'!$A461,Sector,'Summarized Source Data'!L$2,Subsector,'Summarized Source Data'!L$3,TimeOfWeek,$E461)*INDEX(About!H$79:H$82,MATCH($B461,About!$A$79:$A$82,0),1)</f>
        <v>66279</v>
      </c>
      <c r="M461" s="27">
        <f>SUMIFS(INDEX(Load,,MATCH('Summarized Source Data'!$C461,Hour,0)),Month,'Summarized Source Data'!$A461,Sector,'Summarized Source Data'!M$2,Subsector,'Summarized Source Data'!M$3,TimeOfWeek,$E461)*INDEX(About!I$79:I$82,MATCH($B461,About!$A$79:$A$82,0),1)</f>
        <v>111000000</v>
      </c>
      <c r="N461" s="27">
        <f>SUMIFS(INDEX(Load,,MATCH('Summarized Source Data'!$C461,Hour,0)),Month,'Summarized Source Data'!$A461,Sector,'Summarized Source Data'!N$2,Subsector,'Summarized Source Data'!N$3,TimeOfWeek,$E461)*INDEX(About!J$79:J$82,MATCH($B461,About!$A$79:$A$82,0),1)</f>
        <v>0</v>
      </c>
      <c r="O461" s="29">
        <f t="shared" si="38"/>
        <v>66933721</v>
      </c>
      <c r="P461" s="27">
        <f>(SUMIFS(INDEX(Load,,MATCH('Summarized Source Data'!$C461,Hour,0)),Month,'Summarized Source Data'!$A461,Sector,'Summarized Source Data'!P$2,Subsector,"Total",TimeOfWeek,$E461)-SUM(L461:N461)*INDEX(About!L$79:L$82,MATCH($B461,About!$A$79:$A$82,0),1))</f>
        <v>66933721</v>
      </c>
      <c r="Q461" s="29">
        <f t="shared" si="39"/>
        <v>66933721</v>
      </c>
      <c r="R461" s="33">
        <f>SUMIFS(INDEX(Load,,MATCH('Summarized Source Data'!$C461,Hour,0)),Month,'Summarized Source Data'!$A461,Sector,'Summarized Source Data'!R$2,TimeOfWeek,$E461)*INDEX(About!N$79:N$82,MATCH($B461,About!$A$79:$A$82,0),1)</f>
        <v>2306318</v>
      </c>
      <c r="S461" s="33">
        <f>SUMIFS(INDEX(Load,,MATCH('Summarized Source Data'!$C461,Hour,0)),Month,'Summarized Source Data'!$A461,Sector,'Summarized Source Data'!S$2,TimeOfWeek,$E461)*INDEX(About!O$79:O$82,MATCH($B461,About!$A$79:$A$82,0),1)</f>
        <v>2306318</v>
      </c>
      <c r="T461" s="33">
        <f>SUMIFS(INDEX(Load,,MATCH('Summarized Source Data'!$C461,Hour,0)),Month,'Summarized Source Data'!$A461,Sector,'Summarized Source Data'!T$2,TimeOfWeek,$E461)*INDEX(About!P$79:P$82,MATCH($B461,About!$A$79:$A$82,0),1)</f>
        <v>2306318</v>
      </c>
      <c r="U461" s="33">
        <f>SUMIFS(INDEX(Load,,MATCH('Summarized Source Data'!$C461,Hour,0)),Month,'Summarized Source Data'!$A461,Sector,'Summarized Source Data'!U$2,TimeOfWeek,$E461)*INDEX(About!Q$79:Q$82,MATCH($B461,About!$A$79:$A$82,0),1)</f>
        <v>2306318</v>
      </c>
      <c r="V461" s="33">
        <f>SUMIFS(INDEX(Load,,MATCH('Summarized Source Data'!$C461,Hour,0)),Month,'Summarized Source Data'!$A461,Sector,'Summarized Source Data'!V$2,TimeOfWeek,$E461)*INDEX(About!R$79:R$82,MATCH($B461,About!$A$79:$A$82,0),1)</f>
        <v>2306318</v>
      </c>
      <c r="W461" s="33">
        <f>SUMIFS(INDEX(Load,,MATCH('Summarized Source Data'!$C461,Hour,0)),Month,'Summarized Source Data'!$A461,Sector,'Summarized Source Data'!W$2,TimeOfWeek,$E461)*INDEX(About!S$79:S$82,MATCH($B461,About!$A$79:$A$82,0),1)</f>
        <v>2306318</v>
      </c>
      <c r="X461" s="27">
        <f>SUMIFS(INDEX(Load,,MATCH('Summarized Source Data'!$C461,Hour,0)),Month,'Summarized Source Data'!$A461,Sector,'Summarized Source Data'!X$2,Subsector,'Summarized Source Data'!X$3,TimeOfWeek,$E461)*INDEX(About!T$79:T$82,MATCH($B461,About!$A$79:$A$82,0),1)</f>
        <v>338000000</v>
      </c>
      <c r="Y461" s="29">
        <f t="shared" si="40"/>
        <v>338000000</v>
      </c>
      <c r="Z461" s="29">
        <f t="shared" si="40"/>
        <v>338000000</v>
      </c>
    </row>
    <row r="462" spans="1:26" x14ac:dyDescent="0.3">
      <c r="A462">
        <f t="shared" si="35"/>
        <v>8</v>
      </c>
      <c r="B462" t="str">
        <f>INDEX('Category Mapping'!$G$28:$G$39,MATCH(A462,'Category Mapping'!$A$28:$A$39,0),1)</f>
        <v>Summer</v>
      </c>
      <c r="C462" t="s">
        <v>65</v>
      </c>
      <c r="D462" s="6" t="s">
        <v>140</v>
      </c>
      <c r="E462" s="46" t="s">
        <v>48</v>
      </c>
      <c r="F462" s="27">
        <f>SUMIFS(INDEX(Load,,MATCH('Summarized Source Data'!$C462,Hour,0)),Month,'Summarized Source Data'!$A462,Sector,'Summarized Source Data'!F$2,Subsector,'Summarized Source Data'!F$3,TimeOfWeek,$E462)*INDEX(About!B$79:B$82,MATCH($B462,About!$A$79:$A$82,0),1)</f>
        <v>27769</v>
      </c>
      <c r="G462" s="27">
        <f>SUMIFS(INDEX(Load,,MATCH('Summarized Source Data'!$C462,Hour,0)),Month,'Summarized Source Data'!$A462,Sector,'Summarized Source Data'!G$2,Subsector,'Summarized Source Data'!G$3,TimeOfWeek,$E462)*INDEX(About!C$79:C$82,MATCH($B462,About!$A$79:$A$82,0),1)</f>
        <v>22600000</v>
      </c>
      <c r="H462" s="27">
        <f>SUMIFS(INDEX(Load,,MATCH('Summarized Source Data'!$C462,Hour,0)),Month,'Summarized Source Data'!$A462,Sector,'Summarized Source Data'!H$2,Subsector,'Summarized Source Data'!H$3,TimeOfWeek,$E462)*INDEX(About!D$79:D$82,MATCH($B462,About!$A$79:$A$82,0),1)</f>
        <v>0</v>
      </c>
      <c r="I462" s="27">
        <f>SUMIFS(INDEX(Load,,MATCH('Summarized Source Data'!$C462,Hour,0)),Month,'Summarized Source Data'!$A462,Sector,'Summarized Source Data'!I$2,Subsector,'Summarized Source Data'!I$3,TimeOfWeek,$E462)*INDEX(About!E$79:E$82,MATCH($B462,About!$A$79:$A$82,0),1)</f>
        <v>4963631</v>
      </c>
      <c r="J462" s="54">
        <f t="shared" si="37"/>
        <v>22908600</v>
      </c>
      <c r="K462" s="27">
        <f>(SUMIFS(INDEX(Load,,MATCH('Summarized Source Data'!$C462,Hour,0)),Month,'Summarized Source Data'!$A462,Sector,'Summarized Source Data'!K$2,Subsector,"Total",TimeOfWeek,$E462)-SUM(F462:I462))*INDEX(About!G$79:G$82,MATCH($B462,About!$A$79:$A$82,0),1)</f>
        <v>22908600</v>
      </c>
      <c r="L462" s="27">
        <f>SUMIFS(INDEX(Load,,MATCH('Summarized Source Data'!$C462,Hour,0)),Month,'Summarized Source Data'!$A462,Sector,'Summarized Source Data'!L$2,Subsector,'Summarized Source Data'!L$3,TimeOfWeek,$E462)*INDEX(About!H$79:H$82,MATCH($B462,About!$A$79:$A$82,0),1)</f>
        <v>66279</v>
      </c>
      <c r="M462" s="27">
        <f>SUMIFS(INDEX(Load,,MATCH('Summarized Source Data'!$C462,Hour,0)),Month,'Summarized Source Data'!$A462,Sector,'Summarized Source Data'!M$2,Subsector,'Summarized Source Data'!M$3,TimeOfWeek,$E462)*INDEX(About!I$79:I$82,MATCH($B462,About!$A$79:$A$82,0),1)</f>
        <v>108000000</v>
      </c>
      <c r="N462" s="27">
        <f>SUMIFS(INDEX(Load,,MATCH('Summarized Source Data'!$C462,Hour,0)),Month,'Summarized Source Data'!$A462,Sector,'Summarized Source Data'!N$2,Subsector,'Summarized Source Data'!N$3,TimeOfWeek,$E462)*INDEX(About!J$79:J$82,MATCH($B462,About!$A$79:$A$82,0),1)</f>
        <v>0</v>
      </c>
      <c r="O462" s="29">
        <f t="shared" si="38"/>
        <v>66933721</v>
      </c>
      <c r="P462" s="27">
        <f>(SUMIFS(INDEX(Load,,MATCH('Summarized Source Data'!$C462,Hour,0)),Month,'Summarized Source Data'!$A462,Sector,'Summarized Source Data'!P$2,Subsector,"Total",TimeOfWeek,$E462)-SUM(L462:N462)*INDEX(About!L$79:L$82,MATCH($B462,About!$A$79:$A$82,0),1))</f>
        <v>66933721</v>
      </c>
      <c r="Q462" s="29">
        <f t="shared" si="39"/>
        <v>66933721</v>
      </c>
      <c r="R462" s="33">
        <f>SUMIFS(INDEX(Load,,MATCH('Summarized Source Data'!$C462,Hour,0)),Month,'Summarized Source Data'!$A462,Sector,'Summarized Source Data'!R$2,TimeOfWeek,$E462)*INDEX(About!N$79:N$82,MATCH($B462,About!$A$79:$A$82,0),1)</f>
        <v>2271186</v>
      </c>
      <c r="S462" s="33">
        <f>SUMIFS(INDEX(Load,,MATCH('Summarized Source Data'!$C462,Hour,0)),Month,'Summarized Source Data'!$A462,Sector,'Summarized Source Data'!S$2,TimeOfWeek,$E462)*INDEX(About!O$79:O$82,MATCH($B462,About!$A$79:$A$82,0),1)</f>
        <v>2271186</v>
      </c>
      <c r="T462" s="33">
        <f>SUMIFS(INDEX(Load,,MATCH('Summarized Source Data'!$C462,Hour,0)),Month,'Summarized Source Data'!$A462,Sector,'Summarized Source Data'!T$2,TimeOfWeek,$E462)*INDEX(About!P$79:P$82,MATCH($B462,About!$A$79:$A$82,0),1)</f>
        <v>2271186</v>
      </c>
      <c r="U462" s="33">
        <f>SUMIFS(INDEX(Load,,MATCH('Summarized Source Data'!$C462,Hour,0)),Month,'Summarized Source Data'!$A462,Sector,'Summarized Source Data'!U$2,TimeOfWeek,$E462)*INDEX(About!Q$79:Q$82,MATCH($B462,About!$A$79:$A$82,0),1)</f>
        <v>2271186</v>
      </c>
      <c r="V462" s="33">
        <f>SUMIFS(INDEX(Load,,MATCH('Summarized Source Data'!$C462,Hour,0)),Month,'Summarized Source Data'!$A462,Sector,'Summarized Source Data'!V$2,TimeOfWeek,$E462)*INDEX(About!R$79:R$82,MATCH($B462,About!$A$79:$A$82,0),1)</f>
        <v>2271186</v>
      </c>
      <c r="W462" s="33">
        <f>SUMIFS(INDEX(Load,,MATCH('Summarized Source Data'!$C462,Hour,0)),Month,'Summarized Source Data'!$A462,Sector,'Summarized Source Data'!W$2,TimeOfWeek,$E462)*INDEX(About!S$79:S$82,MATCH($B462,About!$A$79:$A$82,0),1)</f>
        <v>2271186</v>
      </c>
      <c r="X462" s="27">
        <f>SUMIFS(INDEX(Load,,MATCH('Summarized Source Data'!$C462,Hour,0)),Month,'Summarized Source Data'!$A462,Sector,'Summarized Source Data'!X$2,Subsector,'Summarized Source Data'!X$3,TimeOfWeek,$E462)*INDEX(About!T$79:T$82,MATCH($B462,About!$A$79:$A$82,0),1)</f>
        <v>338000000</v>
      </c>
      <c r="Y462" s="29">
        <f t="shared" si="40"/>
        <v>338000000</v>
      </c>
      <c r="Z462" s="29">
        <f t="shared" si="40"/>
        <v>338000000</v>
      </c>
    </row>
    <row r="463" spans="1:26" x14ac:dyDescent="0.3">
      <c r="A463">
        <f t="shared" si="35"/>
        <v>8</v>
      </c>
      <c r="B463" t="str">
        <f>INDEX('Category Mapping'!$G$28:$G$39,MATCH(A463,'Category Mapping'!$A$28:$A$39,0),1)</f>
        <v>Summer</v>
      </c>
      <c r="C463" t="s">
        <v>66</v>
      </c>
      <c r="D463" s="6" t="s">
        <v>141</v>
      </c>
      <c r="E463" s="46" t="s">
        <v>48</v>
      </c>
      <c r="F463" s="27">
        <f>SUMIFS(INDEX(Load,,MATCH('Summarized Source Data'!$C463,Hour,0)),Month,'Summarized Source Data'!$A463,Sector,'Summarized Source Data'!F$2,Subsector,'Summarized Source Data'!F$3,TimeOfWeek,$E463)*INDEX(About!B$79:B$82,MATCH($B463,About!$A$79:$A$82,0),1)</f>
        <v>27769</v>
      </c>
      <c r="G463" s="27">
        <f>SUMIFS(INDEX(Load,,MATCH('Summarized Source Data'!$C463,Hour,0)),Month,'Summarized Source Data'!$A463,Sector,'Summarized Source Data'!G$2,Subsector,'Summarized Source Data'!G$3,TimeOfWeek,$E463)*INDEX(About!C$79:C$82,MATCH($B463,About!$A$79:$A$82,0),1)</f>
        <v>23600000</v>
      </c>
      <c r="H463" s="27">
        <f>SUMIFS(INDEX(Load,,MATCH('Summarized Source Data'!$C463,Hour,0)),Month,'Summarized Source Data'!$A463,Sector,'Summarized Source Data'!H$2,Subsector,'Summarized Source Data'!H$3,TimeOfWeek,$E463)*INDEX(About!D$79:D$82,MATCH($B463,About!$A$79:$A$82,0),1)</f>
        <v>0</v>
      </c>
      <c r="I463" s="27">
        <f>SUMIFS(INDEX(Load,,MATCH('Summarized Source Data'!$C463,Hour,0)),Month,'Summarized Source Data'!$A463,Sector,'Summarized Source Data'!I$2,Subsector,'Summarized Source Data'!I$3,TimeOfWeek,$E463)*INDEX(About!E$79:E$82,MATCH($B463,About!$A$79:$A$82,0),1)</f>
        <v>4959441</v>
      </c>
      <c r="J463" s="54">
        <f t="shared" si="37"/>
        <v>19012790</v>
      </c>
      <c r="K463" s="27">
        <f>(SUMIFS(INDEX(Load,,MATCH('Summarized Source Data'!$C463,Hour,0)),Month,'Summarized Source Data'!$A463,Sector,'Summarized Source Data'!K$2,Subsector,"Total",TimeOfWeek,$E463)-SUM(F463:I463))*INDEX(About!G$79:G$82,MATCH($B463,About!$A$79:$A$82,0),1)</f>
        <v>19012790</v>
      </c>
      <c r="L463" s="27">
        <f>SUMIFS(INDEX(Load,,MATCH('Summarized Source Data'!$C463,Hour,0)),Month,'Summarized Source Data'!$A463,Sector,'Summarized Source Data'!L$2,Subsector,'Summarized Source Data'!L$3,TimeOfWeek,$E463)*INDEX(About!H$79:H$82,MATCH($B463,About!$A$79:$A$82,0),1)</f>
        <v>66279</v>
      </c>
      <c r="M463" s="27">
        <f>SUMIFS(INDEX(Load,,MATCH('Summarized Source Data'!$C463,Hour,0)),Month,'Summarized Source Data'!$A463,Sector,'Summarized Source Data'!M$2,Subsector,'Summarized Source Data'!M$3,TimeOfWeek,$E463)*INDEX(About!I$79:I$82,MATCH($B463,About!$A$79:$A$82,0),1)</f>
        <v>110000000</v>
      </c>
      <c r="N463" s="27">
        <f>SUMIFS(INDEX(Load,,MATCH('Summarized Source Data'!$C463,Hour,0)),Month,'Summarized Source Data'!$A463,Sector,'Summarized Source Data'!N$2,Subsector,'Summarized Source Data'!N$3,TimeOfWeek,$E463)*INDEX(About!J$79:J$82,MATCH($B463,About!$A$79:$A$82,0),1)</f>
        <v>0</v>
      </c>
      <c r="O463" s="29">
        <f t="shared" si="38"/>
        <v>66933721</v>
      </c>
      <c r="P463" s="27">
        <f>(SUMIFS(INDEX(Load,,MATCH('Summarized Source Data'!$C463,Hour,0)),Month,'Summarized Source Data'!$A463,Sector,'Summarized Source Data'!P$2,Subsector,"Total",TimeOfWeek,$E463)-SUM(L463:N463)*INDEX(About!L$79:L$82,MATCH($B463,About!$A$79:$A$82,0),1))</f>
        <v>66933721</v>
      </c>
      <c r="Q463" s="29">
        <f t="shared" si="39"/>
        <v>66933721</v>
      </c>
      <c r="R463" s="33">
        <f>SUMIFS(INDEX(Load,,MATCH('Summarized Source Data'!$C463,Hour,0)),Month,'Summarized Source Data'!$A463,Sector,'Summarized Source Data'!R$2,TimeOfWeek,$E463)*INDEX(About!N$79:N$82,MATCH($B463,About!$A$79:$A$82,0),1)</f>
        <v>2271186</v>
      </c>
      <c r="S463" s="33">
        <f>SUMIFS(INDEX(Load,,MATCH('Summarized Source Data'!$C463,Hour,0)),Month,'Summarized Source Data'!$A463,Sector,'Summarized Source Data'!S$2,TimeOfWeek,$E463)*INDEX(About!O$79:O$82,MATCH($B463,About!$A$79:$A$82,0),1)</f>
        <v>2271186</v>
      </c>
      <c r="T463" s="33">
        <f>SUMIFS(INDEX(Load,,MATCH('Summarized Source Data'!$C463,Hour,0)),Month,'Summarized Source Data'!$A463,Sector,'Summarized Source Data'!T$2,TimeOfWeek,$E463)*INDEX(About!P$79:P$82,MATCH($B463,About!$A$79:$A$82,0),1)</f>
        <v>2271186</v>
      </c>
      <c r="U463" s="33">
        <f>SUMIFS(INDEX(Load,,MATCH('Summarized Source Data'!$C463,Hour,0)),Month,'Summarized Source Data'!$A463,Sector,'Summarized Source Data'!U$2,TimeOfWeek,$E463)*INDEX(About!Q$79:Q$82,MATCH($B463,About!$A$79:$A$82,0),1)</f>
        <v>2271186</v>
      </c>
      <c r="V463" s="33">
        <f>SUMIFS(INDEX(Load,,MATCH('Summarized Source Data'!$C463,Hour,0)),Month,'Summarized Source Data'!$A463,Sector,'Summarized Source Data'!V$2,TimeOfWeek,$E463)*INDEX(About!R$79:R$82,MATCH($B463,About!$A$79:$A$82,0),1)</f>
        <v>2271186</v>
      </c>
      <c r="W463" s="33">
        <f>SUMIFS(INDEX(Load,,MATCH('Summarized Source Data'!$C463,Hour,0)),Month,'Summarized Source Data'!$A463,Sector,'Summarized Source Data'!W$2,TimeOfWeek,$E463)*INDEX(About!S$79:S$82,MATCH($B463,About!$A$79:$A$82,0),1)</f>
        <v>2271186</v>
      </c>
      <c r="X463" s="27">
        <f>SUMIFS(INDEX(Load,,MATCH('Summarized Source Data'!$C463,Hour,0)),Month,'Summarized Source Data'!$A463,Sector,'Summarized Source Data'!X$2,Subsector,'Summarized Source Data'!X$3,TimeOfWeek,$E463)*INDEX(About!T$79:T$82,MATCH($B463,About!$A$79:$A$82,0),1)</f>
        <v>339000000</v>
      </c>
      <c r="Y463" s="29">
        <f t="shared" si="40"/>
        <v>339000000</v>
      </c>
      <c r="Z463" s="29">
        <f t="shared" si="40"/>
        <v>339000000</v>
      </c>
    </row>
    <row r="464" spans="1:26" x14ac:dyDescent="0.3">
      <c r="A464">
        <f t="shared" si="35"/>
        <v>8</v>
      </c>
      <c r="B464" t="str">
        <f>INDEX('Category Mapping'!$G$28:$G$39,MATCH(A464,'Category Mapping'!$A$28:$A$39,0),1)</f>
        <v>Summer</v>
      </c>
      <c r="C464" t="s">
        <v>67</v>
      </c>
      <c r="D464" s="6" t="s">
        <v>142</v>
      </c>
      <c r="E464" s="46" t="s">
        <v>48</v>
      </c>
      <c r="F464" s="27">
        <f>SUMIFS(INDEX(Load,,MATCH('Summarized Source Data'!$C464,Hour,0)),Month,'Summarized Source Data'!$A464,Sector,'Summarized Source Data'!F$2,Subsector,'Summarized Source Data'!F$3,TimeOfWeek,$E464)*INDEX(About!B$79:B$82,MATCH($B464,About!$A$79:$A$82,0),1)</f>
        <v>27769</v>
      </c>
      <c r="G464" s="27">
        <f>SUMIFS(INDEX(Load,,MATCH('Summarized Source Data'!$C464,Hour,0)),Month,'Summarized Source Data'!$A464,Sector,'Summarized Source Data'!G$2,Subsector,'Summarized Source Data'!G$3,TimeOfWeek,$E464)*INDEX(About!C$79:C$82,MATCH($B464,About!$A$79:$A$82,0),1)</f>
        <v>26400000</v>
      </c>
      <c r="H464" s="27">
        <f>SUMIFS(INDEX(Load,,MATCH('Summarized Source Data'!$C464,Hour,0)),Month,'Summarized Source Data'!$A464,Sector,'Summarized Source Data'!H$2,Subsector,'Summarized Source Data'!H$3,TimeOfWeek,$E464)*INDEX(About!D$79:D$82,MATCH($B464,About!$A$79:$A$82,0),1)</f>
        <v>0</v>
      </c>
      <c r="I464" s="27">
        <f>SUMIFS(INDEX(Load,,MATCH('Summarized Source Data'!$C464,Hour,0)),Month,'Summarized Source Data'!$A464,Sector,'Summarized Source Data'!I$2,Subsector,'Summarized Source Data'!I$3,TimeOfWeek,$E464)*INDEX(About!E$79:E$82,MATCH($B464,About!$A$79:$A$82,0),1)</f>
        <v>5220288</v>
      </c>
      <c r="J464" s="54">
        <f t="shared" si="37"/>
        <v>19551943</v>
      </c>
      <c r="K464" s="27">
        <f>(SUMIFS(INDEX(Load,,MATCH('Summarized Source Data'!$C464,Hour,0)),Month,'Summarized Source Data'!$A464,Sector,'Summarized Source Data'!K$2,Subsector,"Total",TimeOfWeek,$E464)-SUM(F464:I464))*INDEX(About!G$79:G$82,MATCH($B464,About!$A$79:$A$82,0),1)</f>
        <v>19551943</v>
      </c>
      <c r="L464" s="27">
        <f>SUMIFS(INDEX(Load,,MATCH('Summarized Source Data'!$C464,Hour,0)),Month,'Summarized Source Data'!$A464,Sector,'Summarized Source Data'!L$2,Subsector,'Summarized Source Data'!L$3,TimeOfWeek,$E464)*INDEX(About!H$79:H$82,MATCH($B464,About!$A$79:$A$82,0),1)</f>
        <v>66279</v>
      </c>
      <c r="M464" s="27">
        <f>SUMIFS(INDEX(Load,,MATCH('Summarized Source Data'!$C464,Hour,0)),Month,'Summarized Source Data'!$A464,Sector,'Summarized Source Data'!M$2,Subsector,'Summarized Source Data'!M$3,TimeOfWeek,$E464)*INDEX(About!I$79:I$82,MATCH($B464,About!$A$79:$A$82,0),1)</f>
        <v>114000000</v>
      </c>
      <c r="N464" s="27">
        <f>SUMIFS(INDEX(Load,,MATCH('Summarized Source Data'!$C464,Hour,0)),Month,'Summarized Source Data'!$A464,Sector,'Summarized Source Data'!N$2,Subsector,'Summarized Source Data'!N$3,TimeOfWeek,$E464)*INDEX(About!J$79:J$82,MATCH($B464,About!$A$79:$A$82,0),1)</f>
        <v>0</v>
      </c>
      <c r="O464" s="29">
        <f t="shared" si="38"/>
        <v>67933721</v>
      </c>
      <c r="P464" s="27">
        <f>(SUMIFS(INDEX(Load,,MATCH('Summarized Source Data'!$C464,Hour,0)),Month,'Summarized Source Data'!$A464,Sector,'Summarized Source Data'!P$2,Subsector,"Total",TimeOfWeek,$E464)-SUM(L464:N464)*INDEX(About!L$79:L$82,MATCH($B464,About!$A$79:$A$82,0),1))</f>
        <v>67933721</v>
      </c>
      <c r="Q464" s="29">
        <f t="shared" si="39"/>
        <v>67933721</v>
      </c>
      <c r="R464" s="33">
        <f>SUMIFS(INDEX(Load,,MATCH('Summarized Source Data'!$C464,Hour,0)),Month,'Summarized Source Data'!$A464,Sector,'Summarized Source Data'!R$2,TimeOfWeek,$E464)*INDEX(About!N$79:N$82,MATCH($B464,About!$A$79:$A$82,0),1)</f>
        <v>2259475</v>
      </c>
      <c r="S464" s="33">
        <f>SUMIFS(INDEX(Load,,MATCH('Summarized Source Data'!$C464,Hour,0)),Month,'Summarized Source Data'!$A464,Sector,'Summarized Source Data'!S$2,TimeOfWeek,$E464)*INDEX(About!O$79:O$82,MATCH($B464,About!$A$79:$A$82,0),1)</f>
        <v>2259475</v>
      </c>
      <c r="T464" s="33">
        <f>SUMIFS(INDEX(Load,,MATCH('Summarized Source Data'!$C464,Hour,0)),Month,'Summarized Source Data'!$A464,Sector,'Summarized Source Data'!T$2,TimeOfWeek,$E464)*INDEX(About!P$79:P$82,MATCH($B464,About!$A$79:$A$82,0),1)</f>
        <v>2259475</v>
      </c>
      <c r="U464" s="33">
        <f>SUMIFS(INDEX(Load,,MATCH('Summarized Source Data'!$C464,Hour,0)),Month,'Summarized Source Data'!$A464,Sector,'Summarized Source Data'!U$2,TimeOfWeek,$E464)*INDEX(About!Q$79:Q$82,MATCH($B464,About!$A$79:$A$82,0),1)</f>
        <v>2259475</v>
      </c>
      <c r="V464" s="33">
        <f>SUMIFS(INDEX(Load,,MATCH('Summarized Source Data'!$C464,Hour,0)),Month,'Summarized Source Data'!$A464,Sector,'Summarized Source Data'!V$2,TimeOfWeek,$E464)*INDEX(About!R$79:R$82,MATCH($B464,About!$A$79:$A$82,0),1)</f>
        <v>2259475</v>
      </c>
      <c r="W464" s="33">
        <f>SUMIFS(INDEX(Load,,MATCH('Summarized Source Data'!$C464,Hour,0)),Month,'Summarized Source Data'!$A464,Sector,'Summarized Source Data'!W$2,TimeOfWeek,$E464)*INDEX(About!S$79:S$82,MATCH($B464,About!$A$79:$A$82,0),1)</f>
        <v>2259475</v>
      </c>
      <c r="X464" s="27">
        <f>SUMIFS(INDEX(Load,,MATCH('Summarized Source Data'!$C464,Hour,0)),Month,'Summarized Source Data'!$A464,Sector,'Summarized Source Data'!X$2,Subsector,'Summarized Source Data'!X$3,TimeOfWeek,$E464)*INDEX(About!T$79:T$82,MATCH($B464,About!$A$79:$A$82,0),1)</f>
        <v>341000000</v>
      </c>
      <c r="Y464" s="29">
        <f t="shared" si="40"/>
        <v>341000000</v>
      </c>
      <c r="Z464" s="29">
        <f t="shared" si="40"/>
        <v>341000000</v>
      </c>
    </row>
    <row r="465" spans="1:26" x14ac:dyDescent="0.3">
      <c r="A465">
        <f t="shared" si="35"/>
        <v>8</v>
      </c>
      <c r="B465" t="str">
        <f>INDEX('Category Mapping'!$G$28:$G$39,MATCH(A465,'Category Mapping'!$A$28:$A$39,0),1)</f>
        <v>Summer</v>
      </c>
      <c r="C465" t="s">
        <v>68</v>
      </c>
      <c r="D465" s="6" t="s">
        <v>143</v>
      </c>
      <c r="E465" s="46" t="s">
        <v>48</v>
      </c>
      <c r="F465" s="27">
        <f>SUMIFS(INDEX(Load,,MATCH('Summarized Source Data'!$C465,Hour,0)),Month,'Summarized Source Data'!$A465,Sector,'Summarized Source Data'!F$2,Subsector,'Summarized Source Data'!F$3,TimeOfWeek,$E465)*INDEX(About!B$79:B$82,MATCH($B465,About!$A$79:$A$82,0),1)</f>
        <v>36698</v>
      </c>
      <c r="G465" s="27">
        <f>SUMIFS(INDEX(Load,,MATCH('Summarized Source Data'!$C465,Hour,0)),Month,'Summarized Source Data'!$A465,Sector,'Summarized Source Data'!G$2,Subsector,'Summarized Source Data'!G$3,TimeOfWeek,$E465)*INDEX(About!C$79:C$82,MATCH($B465,About!$A$79:$A$82,0),1)</f>
        <v>30600000</v>
      </c>
      <c r="H465" s="27">
        <f>SUMIFS(INDEX(Load,,MATCH('Summarized Source Data'!$C465,Hour,0)),Month,'Summarized Source Data'!$A465,Sector,'Summarized Source Data'!H$2,Subsector,'Summarized Source Data'!H$3,TimeOfWeek,$E465)*INDEX(About!D$79:D$82,MATCH($B465,About!$A$79:$A$82,0),1)</f>
        <v>0</v>
      </c>
      <c r="I465" s="27">
        <f>SUMIFS(INDEX(Load,,MATCH('Summarized Source Data'!$C465,Hour,0)),Month,'Summarized Source Data'!$A465,Sector,'Summarized Source Data'!I$2,Subsector,'Summarized Source Data'!I$3,TimeOfWeek,$E465)*INDEX(About!E$79:E$82,MATCH($B465,About!$A$79:$A$82,0),1)</f>
        <v>6765307</v>
      </c>
      <c r="J465" s="54">
        <f t="shared" si="37"/>
        <v>22597995</v>
      </c>
      <c r="K465" s="27">
        <f>(SUMIFS(INDEX(Load,,MATCH('Summarized Source Data'!$C465,Hour,0)),Month,'Summarized Source Data'!$A465,Sector,'Summarized Source Data'!K$2,Subsector,"Total",TimeOfWeek,$E465)-SUM(F465:I465))*INDEX(About!G$79:G$82,MATCH($B465,About!$A$79:$A$82,0),1)</f>
        <v>22597995</v>
      </c>
      <c r="L465" s="27">
        <f>SUMIFS(INDEX(Load,,MATCH('Summarized Source Data'!$C465,Hour,0)),Month,'Summarized Source Data'!$A465,Sector,'Summarized Source Data'!L$2,Subsector,'Summarized Source Data'!L$3,TimeOfWeek,$E465)*INDEX(About!H$79:H$82,MATCH($B465,About!$A$79:$A$82,0),1)</f>
        <v>66279</v>
      </c>
      <c r="M465" s="27">
        <f>SUMIFS(INDEX(Load,,MATCH('Summarized Source Data'!$C465,Hour,0)),Month,'Summarized Source Data'!$A465,Sector,'Summarized Source Data'!M$2,Subsector,'Summarized Source Data'!M$3,TimeOfWeek,$E465)*INDEX(About!I$79:I$82,MATCH($B465,About!$A$79:$A$82,0),1)</f>
        <v>122000000</v>
      </c>
      <c r="N465" s="27">
        <f>SUMIFS(INDEX(Load,,MATCH('Summarized Source Data'!$C465,Hour,0)),Month,'Summarized Source Data'!$A465,Sector,'Summarized Source Data'!N$2,Subsector,'Summarized Source Data'!N$3,TimeOfWeek,$E465)*INDEX(About!J$79:J$82,MATCH($B465,About!$A$79:$A$82,0),1)</f>
        <v>0</v>
      </c>
      <c r="O465" s="29">
        <f t="shared" si="38"/>
        <v>72933721</v>
      </c>
      <c r="P465" s="27">
        <f>(SUMIFS(INDEX(Load,,MATCH('Summarized Source Data'!$C465,Hour,0)),Month,'Summarized Source Data'!$A465,Sector,'Summarized Source Data'!P$2,Subsector,"Total",TimeOfWeek,$E465)-SUM(L465:N465)*INDEX(About!L$79:L$82,MATCH($B465,About!$A$79:$A$82,0),1))</f>
        <v>72933721</v>
      </c>
      <c r="Q465" s="29">
        <f t="shared" si="39"/>
        <v>72933721</v>
      </c>
      <c r="R465" s="33">
        <f>SUMIFS(INDEX(Load,,MATCH('Summarized Source Data'!$C465,Hour,0)),Month,'Summarized Source Data'!$A465,Sector,'Summarized Source Data'!R$2,TimeOfWeek,$E465)*INDEX(About!N$79:N$82,MATCH($B465,About!$A$79:$A$82,0),1)</f>
        <v>2277041</v>
      </c>
      <c r="S465" s="33">
        <f>SUMIFS(INDEX(Load,,MATCH('Summarized Source Data'!$C465,Hour,0)),Month,'Summarized Source Data'!$A465,Sector,'Summarized Source Data'!S$2,TimeOfWeek,$E465)*INDEX(About!O$79:O$82,MATCH($B465,About!$A$79:$A$82,0),1)</f>
        <v>2277041</v>
      </c>
      <c r="T465" s="33">
        <f>SUMIFS(INDEX(Load,,MATCH('Summarized Source Data'!$C465,Hour,0)),Month,'Summarized Source Data'!$A465,Sector,'Summarized Source Data'!T$2,TimeOfWeek,$E465)*INDEX(About!P$79:P$82,MATCH($B465,About!$A$79:$A$82,0),1)</f>
        <v>2277041</v>
      </c>
      <c r="U465" s="33">
        <f>SUMIFS(INDEX(Load,,MATCH('Summarized Source Data'!$C465,Hour,0)),Month,'Summarized Source Data'!$A465,Sector,'Summarized Source Data'!U$2,TimeOfWeek,$E465)*INDEX(About!Q$79:Q$82,MATCH($B465,About!$A$79:$A$82,0),1)</f>
        <v>2277041</v>
      </c>
      <c r="V465" s="33">
        <f>SUMIFS(INDEX(Load,,MATCH('Summarized Source Data'!$C465,Hour,0)),Month,'Summarized Source Data'!$A465,Sector,'Summarized Source Data'!V$2,TimeOfWeek,$E465)*INDEX(About!R$79:R$82,MATCH($B465,About!$A$79:$A$82,0),1)</f>
        <v>2277041</v>
      </c>
      <c r="W465" s="33">
        <f>SUMIFS(INDEX(Load,,MATCH('Summarized Source Data'!$C465,Hour,0)),Month,'Summarized Source Data'!$A465,Sector,'Summarized Source Data'!W$2,TimeOfWeek,$E465)*INDEX(About!S$79:S$82,MATCH($B465,About!$A$79:$A$82,0),1)</f>
        <v>2277041</v>
      </c>
      <c r="X465" s="27">
        <f>SUMIFS(INDEX(Load,,MATCH('Summarized Source Data'!$C465,Hour,0)),Month,'Summarized Source Data'!$A465,Sector,'Summarized Source Data'!X$2,Subsector,'Summarized Source Data'!X$3,TimeOfWeek,$E465)*INDEX(About!T$79:T$82,MATCH($B465,About!$A$79:$A$82,0),1)</f>
        <v>345000000</v>
      </c>
      <c r="Y465" s="29">
        <f t="shared" si="40"/>
        <v>345000000</v>
      </c>
      <c r="Z465" s="29">
        <f t="shared" si="40"/>
        <v>345000000</v>
      </c>
    </row>
    <row r="466" spans="1:26" x14ac:dyDescent="0.3">
      <c r="A466">
        <f t="shared" si="35"/>
        <v>8</v>
      </c>
      <c r="B466" t="str">
        <f>INDEX('Category Mapping'!$G$28:$G$39,MATCH(A466,'Category Mapping'!$A$28:$A$39,0),1)</f>
        <v>Summer</v>
      </c>
      <c r="C466" t="s">
        <v>69</v>
      </c>
      <c r="D466" s="6" t="s">
        <v>144</v>
      </c>
      <c r="E466" s="46" t="s">
        <v>48</v>
      </c>
      <c r="F466" s="27">
        <f>SUMIFS(INDEX(Load,,MATCH('Summarized Source Data'!$C466,Hour,0)),Month,'Summarized Source Data'!$A466,Sector,'Summarized Source Data'!F$2,Subsector,'Summarized Source Data'!F$3,TimeOfWeek,$E466)*INDEX(About!B$79:B$82,MATCH($B466,About!$A$79:$A$82,0),1)</f>
        <v>41921</v>
      </c>
      <c r="G466" s="27">
        <f>SUMIFS(INDEX(Load,,MATCH('Summarized Source Data'!$C466,Hour,0)),Month,'Summarized Source Data'!$A466,Sector,'Summarized Source Data'!G$2,Subsector,'Summarized Source Data'!G$3,TimeOfWeek,$E466)*INDEX(About!C$79:C$82,MATCH($B466,About!$A$79:$A$82,0),1)</f>
        <v>35300000</v>
      </c>
      <c r="H466" s="27">
        <f>SUMIFS(INDEX(Load,,MATCH('Summarized Source Data'!$C466,Hour,0)),Month,'Summarized Source Data'!$A466,Sector,'Summarized Source Data'!H$2,Subsector,'Summarized Source Data'!H$3,TimeOfWeek,$E466)*INDEX(About!D$79:D$82,MATCH($B466,About!$A$79:$A$82,0),1)</f>
        <v>0</v>
      </c>
      <c r="I466" s="27">
        <f>SUMIFS(INDEX(Load,,MATCH('Summarized Source Data'!$C466,Hour,0)),Month,'Summarized Source Data'!$A466,Sector,'Summarized Source Data'!I$2,Subsector,'Summarized Source Data'!I$3,TimeOfWeek,$E466)*INDEX(About!E$79:E$82,MATCH($B466,About!$A$79:$A$82,0),1)</f>
        <v>4559200</v>
      </c>
      <c r="J466" s="54">
        <f t="shared" si="37"/>
        <v>32698879</v>
      </c>
      <c r="K466" s="27">
        <f>(SUMIFS(INDEX(Load,,MATCH('Summarized Source Data'!$C466,Hour,0)),Month,'Summarized Source Data'!$A466,Sector,'Summarized Source Data'!K$2,Subsector,"Total",TimeOfWeek,$E466)-SUM(F466:I466))*INDEX(About!G$79:G$82,MATCH($B466,About!$A$79:$A$82,0),1)</f>
        <v>32698879</v>
      </c>
      <c r="L466" s="27">
        <f>SUMIFS(INDEX(Load,,MATCH('Summarized Source Data'!$C466,Hour,0)),Month,'Summarized Source Data'!$A466,Sector,'Summarized Source Data'!L$2,Subsector,'Summarized Source Data'!L$3,TimeOfWeek,$E466)*INDEX(About!H$79:H$82,MATCH($B466,About!$A$79:$A$82,0),1)</f>
        <v>66279</v>
      </c>
      <c r="M466" s="27">
        <f>SUMIFS(INDEX(Load,,MATCH('Summarized Source Data'!$C466,Hour,0)),Month,'Summarized Source Data'!$A466,Sector,'Summarized Source Data'!M$2,Subsector,'Summarized Source Data'!M$3,TimeOfWeek,$E466)*INDEX(About!I$79:I$82,MATCH($B466,About!$A$79:$A$82,0),1)</f>
        <v>134000000</v>
      </c>
      <c r="N466" s="27">
        <f>SUMIFS(INDEX(Load,,MATCH('Summarized Source Data'!$C466,Hour,0)),Month,'Summarized Source Data'!$A466,Sector,'Summarized Source Data'!N$2,Subsector,'Summarized Source Data'!N$3,TimeOfWeek,$E466)*INDEX(About!J$79:J$82,MATCH($B466,About!$A$79:$A$82,0),1)</f>
        <v>0</v>
      </c>
      <c r="O466" s="29">
        <f t="shared" si="38"/>
        <v>80933721</v>
      </c>
      <c r="P466" s="27">
        <f>(SUMIFS(INDEX(Load,,MATCH('Summarized Source Data'!$C466,Hour,0)),Month,'Summarized Source Data'!$A466,Sector,'Summarized Source Data'!P$2,Subsector,"Total",TimeOfWeek,$E466)-SUM(L466:N466)*INDEX(About!L$79:L$82,MATCH($B466,About!$A$79:$A$82,0),1))</f>
        <v>80933721</v>
      </c>
      <c r="Q466" s="29">
        <f t="shared" si="39"/>
        <v>80933721</v>
      </c>
      <c r="R466" s="33">
        <f>SUMIFS(INDEX(Load,,MATCH('Summarized Source Data'!$C466,Hour,0)),Month,'Summarized Source Data'!$A466,Sector,'Summarized Source Data'!R$2,TimeOfWeek,$E466)*INDEX(About!N$79:N$82,MATCH($B466,About!$A$79:$A$82,0),1)</f>
        <v>2828709</v>
      </c>
      <c r="S466" s="33">
        <f>SUMIFS(INDEX(Load,,MATCH('Summarized Source Data'!$C466,Hour,0)),Month,'Summarized Source Data'!$A466,Sector,'Summarized Source Data'!S$2,TimeOfWeek,$E466)*INDEX(About!O$79:O$82,MATCH($B466,About!$A$79:$A$82,0),1)</f>
        <v>2828709</v>
      </c>
      <c r="T466" s="33">
        <f>SUMIFS(INDEX(Load,,MATCH('Summarized Source Data'!$C466,Hour,0)),Month,'Summarized Source Data'!$A466,Sector,'Summarized Source Data'!T$2,TimeOfWeek,$E466)*INDEX(About!P$79:P$82,MATCH($B466,About!$A$79:$A$82,0),1)</f>
        <v>2828709</v>
      </c>
      <c r="U466" s="33">
        <f>SUMIFS(INDEX(Load,,MATCH('Summarized Source Data'!$C466,Hour,0)),Month,'Summarized Source Data'!$A466,Sector,'Summarized Source Data'!U$2,TimeOfWeek,$E466)*INDEX(About!Q$79:Q$82,MATCH($B466,About!$A$79:$A$82,0),1)</f>
        <v>2828709</v>
      </c>
      <c r="V466" s="33">
        <f>SUMIFS(INDEX(Load,,MATCH('Summarized Source Data'!$C466,Hour,0)),Month,'Summarized Source Data'!$A466,Sector,'Summarized Source Data'!V$2,TimeOfWeek,$E466)*INDEX(About!R$79:R$82,MATCH($B466,About!$A$79:$A$82,0),1)</f>
        <v>2828709</v>
      </c>
      <c r="W466" s="33">
        <f>SUMIFS(INDEX(Load,,MATCH('Summarized Source Data'!$C466,Hour,0)),Month,'Summarized Source Data'!$A466,Sector,'Summarized Source Data'!W$2,TimeOfWeek,$E466)*INDEX(About!S$79:S$82,MATCH($B466,About!$A$79:$A$82,0),1)</f>
        <v>2828709</v>
      </c>
      <c r="X466" s="27">
        <f>SUMIFS(INDEX(Load,,MATCH('Summarized Source Data'!$C466,Hour,0)),Month,'Summarized Source Data'!$A466,Sector,'Summarized Source Data'!X$2,Subsector,'Summarized Source Data'!X$3,TimeOfWeek,$E466)*INDEX(About!T$79:T$82,MATCH($B466,About!$A$79:$A$82,0),1)</f>
        <v>347000000</v>
      </c>
      <c r="Y466" s="29">
        <f t="shared" si="40"/>
        <v>347000000</v>
      </c>
      <c r="Z466" s="29">
        <f t="shared" si="40"/>
        <v>347000000</v>
      </c>
    </row>
    <row r="467" spans="1:26" x14ac:dyDescent="0.3">
      <c r="A467">
        <f t="shared" si="35"/>
        <v>8</v>
      </c>
      <c r="B467" t="str">
        <f>INDEX('Category Mapping'!$G$28:$G$39,MATCH(A467,'Category Mapping'!$A$28:$A$39,0),1)</f>
        <v>Summer</v>
      </c>
      <c r="C467" t="s">
        <v>70</v>
      </c>
      <c r="D467" s="6" t="s">
        <v>145</v>
      </c>
      <c r="E467" s="46" t="s">
        <v>48</v>
      </c>
      <c r="F467" s="27">
        <f>SUMIFS(INDEX(Load,,MATCH('Summarized Source Data'!$C467,Hour,0)),Month,'Summarized Source Data'!$A467,Sector,'Summarized Source Data'!F$2,Subsector,'Summarized Source Data'!F$3,TimeOfWeek,$E467)*INDEX(About!B$79:B$82,MATCH($B467,About!$A$79:$A$82,0),1)</f>
        <v>48657</v>
      </c>
      <c r="G467" s="27">
        <f>SUMIFS(INDEX(Load,,MATCH('Summarized Source Data'!$C467,Hour,0)),Month,'Summarized Source Data'!$A467,Sector,'Summarized Source Data'!G$2,Subsector,'Summarized Source Data'!G$3,TimeOfWeek,$E467)*INDEX(About!C$79:C$82,MATCH($B467,About!$A$79:$A$82,0),1)</f>
        <v>39300000</v>
      </c>
      <c r="H467" s="27">
        <f>SUMIFS(INDEX(Load,,MATCH('Summarized Source Data'!$C467,Hour,0)),Month,'Summarized Source Data'!$A467,Sector,'Summarized Source Data'!H$2,Subsector,'Summarized Source Data'!H$3,TimeOfWeek,$E467)*INDEX(About!D$79:D$82,MATCH($B467,About!$A$79:$A$82,0),1)</f>
        <v>0</v>
      </c>
      <c r="I467" s="27">
        <f>SUMIFS(INDEX(Load,,MATCH('Summarized Source Data'!$C467,Hour,0)),Month,'Summarized Source Data'!$A467,Sector,'Summarized Source Data'!I$2,Subsector,'Summarized Source Data'!I$3,TimeOfWeek,$E467)*INDEX(About!E$79:E$82,MATCH($B467,About!$A$79:$A$82,0),1)</f>
        <v>5404205</v>
      </c>
      <c r="J467" s="54">
        <f t="shared" si="37"/>
        <v>46147138</v>
      </c>
      <c r="K467" s="27">
        <f>(SUMIFS(INDEX(Load,,MATCH('Summarized Source Data'!$C467,Hour,0)),Month,'Summarized Source Data'!$A467,Sector,'Summarized Source Data'!K$2,Subsector,"Total",TimeOfWeek,$E467)-SUM(F467:I467))*INDEX(About!G$79:G$82,MATCH($B467,About!$A$79:$A$82,0),1)</f>
        <v>46147138</v>
      </c>
      <c r="L467" s="27">
        <f>SUMIFS(INDEX(Load,,MATCH('Summarized Source Data'!$C467,Hour,0)),Month,'Summarized Source Data'!$A467,Sector,'Summarized Source Data'!L$2,Subsector,'Summarized Source Data'!L$3,TimeOfWeek,$E467)*INDEX(About!H$79:H$82,MATCH($B467,About!$A$79:$A$82,0),1)</f>
        <v>66279</v>
      </c>
      <c r="M467" s="27">
        <f>SUMIFS(INDEX(Load,,MATCH('Summarized Source Data'!$C467,Hour,0)),Month,'Summarized Source Data'!$A467,Sector,'Summarized Source Data'!M$2,Subsector,'Summarized Source Data'!M$3,TimeOfWeek,$E467)*INDEX(About!I$79:I$82,MATCH($B467,About!$A$79:$A$82,0),1)</f>
        <v>151000000</v>
      </c>
      <c r="N467" s="27">
        <f>SUMIFS(INDEX(Load,,MATCH('Summarized Source Data'!$C467,Hour,0)),Month,'Summarized Source Data'!$A467,Sector,'Summarized Source Data'!N$2,Subsector,'Summarized Source Data'!N$3,TimeOfWeek,$E467)*INDEX(About!J$79:J$82,MATCH($B467,About!$A$79:$A$82,0),1)</f>
        <v>0</v>
      </c>
      <c r="O467" s="29">
        <f t="shared" si="38"/>
        <v>102933721</v>
      </c>
      <c r="P467" s="27">
        <f>(SUMIFS(INDEX(Load,,MATCH('Summarized Source Data'!$C467,Hour,0)),Month,'Summarized Source Data'!$A467,Sector,'Summarized Source Data'!P$2,Subsector,"Total",TimeOfWeek,$E467)-SUM(L467:N467)*INDEX(About!L$79:L$82,MATCH($B467,About!$A$79:$A$82,0),1))</f>
        <v>102933721</v>
      </c>
      <c r="Q467" s="29">
        <f t="shared" si="39"/>
        <v>102933721</v>
      </c>
      <c r="R467" s="33">
        <f>SUMIFS(INDEX(Load,,MATCH('Summarized Source Data'!$C467,Hour,0)),Month,'Summarized Source Data'!$A467,Sector,'Summarized Source Data'!R$2,TimeOfWeek,$E467)*INDEX(About!N$79:N$82,MATCH($B467,About!$A$79:$A$82,0),1)</f>
        <v>3684659</v>
      </c>
      <c r="S467" s="33">
        <f>SUMIFS(INDEX(Load,,MATCH('Summarized Source Data'!$C467,Hour,0)),Month,'Summarized Source Data'!$A467,Sector,'Summarized Source Data'!S$2,TimeOfWeek,$E467)*INDEX(About!O$79:O$82,MATCH($B467,About!$A$79:$A$82,0),1)</f>
        <v>3684659</v>
      </c>
      <c r="T467" s="33">
        <f>SUMIFS(INDEX(Load,,MATCH('Summarized Source Data'!$C467,Hour,0)),Month,'Summarized Source Data'!$A467,Sector,'Summarized Source Data'!T$2,TimeOfWeek,$E467)*INDEX(About!P$79:P$82,MATCH($B467,About!$A$79:$A$82,0),1)</f>
        <v>3684659</v>
      </c>
      <c r="U467" s="33">
        <f>SUMIFS(INDEX(Load,,MATCH('Summarized Source Data'!$C467,Hour,0)),Month,'Summarized Source Data'!$A467,Sector,'Summarized Source Data'!U$2,TimeOfWeek,$E467)*INDEX(About!Q$79:Q$82,MATCH($B467,About!$A$79:$A$82,0),1)</f>
        <v>3684659</v>
      </c>
      <c r="V467" s="33">
        <f>SUMIFS(INDEX(Load,,MATCH('Summarized Source Data'!$C467,Hour,0)),Month,'Summarized Source Data'!$A467,Sector,'Summarized Source Data'!V$2,TimeOfWeek,$E467)*INDEX(About!R$79:R$82,MATCH($B467,About!$A$79:$A$82,0),1)</f>
        <v>3684659</v>
      </c>
      <c r="W467" s="33">
        <f>SUMIFS(INDEX(Load,,MATCH('Summarized Source Data'!$C467,Hour,0)),Month,'Summarized Source Data'!$A467,Sector,'Summarized Source Data'!W$2,TimeOfWeek,$E467)*INDEX(About!S$79:S$82,MATCH($B467,About!$A$79:$A$82,0),1)</f>
        <v>3684659</v>
      </c>
      <c r="X467" s="27">
        <f>SUMIFS(INDEX(Load,,MATCH('Summarized Source Data'!$C467,Hour,0)),Month,'Summarized Source Data'!$A467,Sector,'Summarized Source Data'!X$2,Subsector,'Summarized Source Data'!X$3,TimeOfWeek,$E467)*INDEX(About!T$79:T$82,MATCH($B467,About!$A$79:$A$82,0),1)</f>
        <v>347000000</v>
      </c>
      <c r="Y467" s="29">
        <f t="shared" si="40"/>
        <v>347000000</v>
      </c>
      <c r="Z467" s="29">
        <f t="shared" si="40"/>
        <v>347000000</v>
      </c>
    </row>
    <row r="468" spans="1:26" x14ac:dyDescent="0.3">
      <c r="A468">
        <f t="shared" si="35"/>
        <v>8</v>
      </c>
      <c r="B468" t="str">
        <f>INDEX('Category Mapping'!$G$28:$G$39,MATCH(A468,'Category Mapping'!$A$28:$A$39,0),1)</f>
        <v>Summer</v>
      </c>
      <c r="C468" t="s">
        <v>71</v>
      </c>
      <c r="D468" s="6" t="s">
        <v>146</v>
      </c>
      <c r="E468" s="46" t="s">
        <v>48</v>
      </c>
      <c r="F468" s="27">
        <f>SUMIFS(INDEX(Load,,MATCH('Summarized Source Data'!$C468,Hour,0)),Month,'Summarized Source Data'!$A468,Sector,'Summarized Source Data'!F$2,Subsector,'Summarized Source Data'!F$3,TimeOfWeek,$E468)*INDEX(About!B$79:B$82,MATCH($B468,About!$A$79:$A$82,0),1)</f>
        <v>52870</v>
      </c>
      <c r="G468" s="27">
        <f>SUMIFS(INDEX(Load,,MATCH('Summarized Source Data'!$C468,Hour,0)),Month,'Summarized Source Data'!$A468,Sector,'Summarized Source Data'!G$2,Subsector,'Summarized Source Data'!G$3,TimeOfWeek,$E468)*INDEX(About!C$79:C$82,MATCH($B468,About!$A$79:$A$82,0),1)</f>
        <v>41400000</v>
      </c>
      <c r="H468" s="27">
        <f>SUMIFS(INDEX(Load,,MATCH('Summarized Source Data'!$C468,Hour,0)),Month,'Summarized Source Data'!$A468,Sector,'Summarized Source Data'!H$2,Subsector,'Summarized Source Data'!H$3,TimeOfWeek,$E468)*INDEX(About!D$79:D$82,MATCH($B468,About!$A$79:$A$82,0),1)</f>
        <v>0</v>
      </c>
      <c r="I468" s="27">
        <f>SUMIFS(INDEX(Load,,MATCH('Summarized Source Data'!$C468,Hour,0)),Month,'Summarized Source Data'!$A468,Sector,'Summarized Source Data'!I$2,Subsector,'Summarized Source Data'!I$3,TimeOfWeek,$E468)*INDEX(About!E$79:E$82,MATCH($B468,About!$A$79:$A$82,0),1)</f>
        <v>6592844</v>
      </c>
      <c r="J468" s="54">
        <f t="shared" si="37"/>
        <v>57954286</v>
      </c>
      <c r="K468" s="27">
        <f>(SUMIFS(INDEX(Load,,MATCH('Summarized Source Data'!$C468,Hour,0)),Month,'Summarized Source Data'!$A468,Sector,'Summarized Source Data'!K$2,Subsector,"Total",TimeOfWeek,$E468)-SUM(F468:I468))*INDEX(About!G$79:G$82,MATCH($B468,About!$A$79:$A$82,0),1)</f>
        <v>57954286</v>
      </c>
      <c r="L468" s="27">
        <f>SUMIFS(INDEX(Load,,MATCH('Summarized Source Data'!$C468,Hour,0)),Month,'Summarized Source Data'!$A468,Sector,'Summarized Source Data'!L$2,Subsector,'Summarized Source Data'!L$3,TimeOfWeek,$E468)*INDEX(About!H$79:H$82,MATCH($B468,About!$A$79:$A$82,0),1)</f>
        <v>66279</v>
      </c>
      <c r="M468" s="27">
        <f>SUMIFS(INDEX(Load,,MATCH('Summarized Source Data'!$C468,Hour,0)),Month,'Summarized Source Data'!$A468,Sector,'Summarized Source Data'!M$2,Subsector,'Summarized Source Data'!M$3,TimeOfWeek,$E468)*INDEX(About!I$79:I$82,MATCH($B468,About!$A$79:$A$82,0),1)</f>
        <v>171000000</v>
      </c>
      <c r="N468" s="27">
        <f>SUMIFS(INDEX(Load,,MATCH('Summarized Source Data'!$C468,Hour,0)),Month,'Summarized Source Data'!$A468,Sector,'Summarized Source Data'!N$2,Subsector,'Summarized Source Data'!N$3,TimeOfWeek,$E468)*INDEX(About!J$79:J$82,MATCH($B468,About!$A$79:$A$82,0),1)</f>
        <v>0</v>
      </c>
      <c r="O468" s="29">
        <f t="shared" si="38"/>
        <v>116933721</v>
      </c>
      <c r="P468" s="27">
        <f>(SUMIFS(INDEX(Load,,MATCH('Summarized Source Data'!$C468,Hour,0)),Month,'Summarized Source Data'!$A468,Sector,'Summarized Source Data'!P$2,Subsector,"Total",TimeOfWeek,$E468)-SUM(L468:N468)*INDEX(About!L$79:L$82,MATCH($B468,About!$A$79:$A$82,0),1))</f>
        <v>116933721</v>
      </c>
      <c r="Q468" s="29">
        <f t="shared" si="39"/>
        <v>116933721</v>
      </c>
      <c r="R468" s="33">
        <f>SUMIFS(INDEX(Load,,MATCH('Summarized Source Data'!$C468,Hour,0)),Month,'Summarized Source Data'!$A468,Sector,'Summarized Source Data'!R$2,TimeOfWeek,$E468)*INDEX(About!N$79:N$82,MATCH($B468,About!$A$79:$A$82,0),1)</f>
        <v>4421133</v>
      </c>
      <c r="S468" s="33">
        <f>SUMIFS(INDEX(Load,,MATCH('Summarized Source Data'!$C468,Hour,0)),Month,'Summarized Source Data'!$A468,Sector,'Summarized Source Data'!S$2,TimeOfWeek,$E468)*INDEX(About!O$79:O$82,MATCH($B468,About!$A$79:$A$82,0),1)</f>
        <v>4421133</v>
      </c>
      <c r="T468" s="33">
        <f>SUMIFS(INDEX(Load,,MATCH('Summarized Source Data'!$C468,Hour,0)),Month,'Summarized Source Data'!$A468,Sector,'Summarized Source Data'!T$2,TimeOfWeek,$E468)*INDEX(About!P$79:P$82,MATCH($B468,About!$A$79:$A$82,0),1)</f>
        <v>4421133</v>
      </c>
      <c r="U468" s="33">
        <f>SUMIFS(INDEX(Load,,MATCH('Summarized Source Data'!$C468,Hour,0)),Month,'Summarized Source Data'!$A468,Sector,'Summarized Source Data'!U$2,TimeOfWeek,$E468)*INDEX(About!Q$79:Q$82,MATCH($B468,About!$A$79:$A$82,0),1)</f>
        <v>4421133</v>
      </c>
      <c r="V468" s="33">
        <f>SUMIFS(INDEX(Load,,MATCH('Summarized Source Data'!$C468,Hour,0)),Month,'Summarized Source Data'!$A468,Sector,'Summarized Source Data'!V$2,TimeOfWeek,$E468)*INDEX(About!R$79:R$82,MATCH($B468,About!$A$79:$A$82,0),1)</f>
        <v>4421133</v>
      </c>
      <c r="W468" s="33">
        <f>SUMIFS(INDEX(Load,,MATCH('Summarized Source Data'!$C468,Hour,0)),Month,'Summarized Source Data'!$A468,Sector,'Summarized Source Data'!W$2,TimeOfWeek,$E468)*INDEX(About!S$79:S$82,MATCH($B468,About!$A$79:$A$82,0),1)</f>
        <v>4421133</v>
      </c>
      <c r="X468" s="27">
        <f>SUMIFS(INDEX(Load,,MATCH('Summarized Source Data'!$C468,Hour,0)),Month,'Summarized Source Data'!$A468,Sector,'Summarized Source Data'!X$2,Subsector,'Summarized Source Data'!X$3,TimeOfWeek,$E468)*INDEX(About!T$79:T$82,MATCH($B468,About!$A$79:$A$82,0),1)</f>
        <v>346000000</v>
      </c>
      <c r="Y468" s="29">
        <f t="shared" si="40"/>
        <v>346000000</v>
      </c>
      <c r="Z468" s="29">
        <f t="shared" si="40"/>
        <v>346000000</v>
      </c>
    </row>
    <row r="469" spans="1:26" x14ac:dyDescent="0.3">
      <c r="A469">
        <f t="shared" si="35"/>
        <v>8</v>
      </c>
      <c r="B469" t="str">
        <f>INDEX('Category Mapping'!$G$28:$G$39,MATCH(A469,'Category Mapping'!$A$28:$A$39,0),1)</f>
        <v>Summer</v>
      </c>
      <c r="C469" t="s">
        <v>72</v>
      </c>
      <c r="D469" s="6" t="s">
        <v>147</v>
      </c>
      <c r="E469" s="46" t="s">
        <v>48</v>
      </c>
      <c r="F469" s="27">
        <f>SUMIFS(INDEX(Load,,MATCH('Summarized Source Data'!$C469,Hour,0)),Month,'Summarized Source Data'!$A469,Sector,'Summarized Source Data'!F$2,Subsector,'Summarized Source Data'!F$3,TimeOfWeek,$E469)*INDEX(About!B$79:B$82,MATCH($B469,About!$A$79:$A$82,0),1)</f>
        <v>53715</v>
      </c>
      <c r="G469" s="27">
        <f>SUMIFS(INDEX(Load,,MATCH('Summarized Source Data'!$C469,Hour,0)),Month,'Summarized Source Data'!$A469,Sector,'Summarized Source Data'!G$2,Subsector,'Summarized Source Data'!G$3,TimeOfWeek,$E469)*INDEX(About!C$79:C$82,MATCH($B469,About!$A$79:$A$82,0),1)</f>
        <v>41700000</v>
      </c>
      <c r="H469" s="27">
        <f>SUMIFS(INDEX(Load,,MATCH('Summarized Source Data'!$C469,Hour,0)),Month,'Summarized Source Data'!$A469,Sector,'Summarized Source Data'!H$2,Subsector,'Summarized Source Data'!H$3,TimeOfWeek,$E469)*INDEX(About!D$79:D$82,MATCH($B469,About!$A$79:$A$82,0),1)</f>
        <v>0</v>
      </c>
      <c r="I469" s="27">
        <f>SUMIFS(INDEX(Load,,MATCH('Summarized Source Data'!$C469,Hour,0)),Month,'Summarized Source Data'!$A469,Sector,'Summarized Source Data'!I$2,Subsector,'Summarized Source Data'!I$3,TimeOfWeek,$E469)*INDEX(About!E$79:E$82,MATCH($B469,About!$A$79:$A$82,0),1)</f>
        <v>6831374</v>
      </c>
      <c r="J469" s="54">
        <f t="shared" si="37"/>
        <v>72414911</v>
      </c>
      <c r="K469" s="27">
        <f>(SUMIFS(INDEX(Load,,MATCH('Summarized Source Data'!$C469,Hour,0)),Month,'Summarized Source Data'!$A469,Sector,'Summarized Source Data'!K$2,Subsector,"Total",TimeOfWeek,$E469)-SUM(F469:I469))*INDEX(About!G$79:G$82,MATCH($B469,About!$A$79:$A$82,0),1)</f>
        <v>72414911</v>
      </c>
      <c r="L469" s="27">
        <f>SUMIFS(INDEX(Load,,MATCH('Summarized Source Data'!$C469,Hour,0)),Month,'Summarized Source Data'!$A469,Sector,'Summarized Source Data'!L$2,Subsector,'Summarized Source Data'!L$3,TimeOfWeek,$E469)*INDEX(About!H$79:H$82,MATCH($B469,About!$A$79:$A$82,0),1)</f>
        <v>66279</v>
      </c>
      <c r="M469" s="27">
        <f>SUMIFS(INDEX(Load,,MATCH('Summarized Source Data'!$C469,Hour,0)),Month,'Summarized Source Data'!$A469,Sector,'Summarized Source Data'!M$2,Subsector,'Summarized Source Data'!M$3,TimeOfWeek,$E469)*INDEX(About!I$79:I$82,MATCH($B469,About!$A$79:$A$82,0),1)</f>
        <v>189000000</v>
      </c>
      <c r="N469" s="27">
        <f>SUMIFS(INDEX(Load,,MATCH('Summarized Source Data'!$C469,Hour,0)),Month,'Summarized Source Data'!$A469,Sector,'Summarized Source Data'!N$2,Subsector,'Summarized Source Data'!N$3,TimeOfWeek,$E469)*INDEX(About!J$79:J$82,MATCH($B469,About!$A$79:$A$82,0),1)</f>
        <v>0</v>
      </c>
      <c r="O469" s="29">
        <f t="shared" si="38"/>
        <v>126933721</v>
      </c>
      <c r="P469" s="27">
        <f>(SUMIFS(INDEX(Load,,MATCH('Summarized Source Data'!$C469,Hour,0)),Month,'Summarized Source Data'!$A469,Sector,'Summarized Source Data'!P$2,Subsector,"Total",TimeOfWeek,$E469)-SUM(L469:N469)*INDEX(About!L$79:L$82,MATCH($B469,About!$A$79:$A$82,0),1))</f>
        <v>126933721</v>
      </c>
      <c r="Q469" s="29">
        <f t="shared" si="39"/>
        <v>126933721</v>
      </c>
      <c r="R469" s="33">
        <f>SUMIFS(INDEX(Load,,MATCH('Summarized Source Data'!$C469,Hour,0)),Month,'Summarized Source Data'!$A469,Sector,'Summarized Source Data'!R$2,TimeOfWeek,$E469)*INDEX(About!N$79:N$82,MATCH($B469,About!$A$79:$A$82,0),1)</f>
        <v>5035953</v>
      </c>
      <c r="S469" s="33">
        <f>SUMIFS(INDEX(Load,,MATCH('Summarized Source Data'!$C469,Hour,0)),Month,'Summarized Source Data'!$A469,Sector,'Summarized Source Data'!S$2,TimeOfWeek,$E469)*INDEX(About!O$79:O$82,MATCH($B469,About!$A$79:$A$82,0),1)</f>
        <v>5035953</v>
      </c>
      <c r="T469" s="33">
        <f>SUMIFS(INDEX(Load,,MATCH('Summarized Source Data'!$C469,Hour,0)),Month,'Summarized Source Data'!$A469,Sector,'Summarized Source Data'!T$2,TimeOfWeek,$E469)*INDEX(About!P$79:P$82,MATCH($B469,About!$A$79:$A$82,0),1)</f>
        <v>5035953</v>
      </c>
      <c r="U469" s="33">
        <f>SUMIFS(INDEX(Load,,MATCH('Summarized Source Data'!$C469,Hour,0)),Month,'Summarized Source Data'!$A469,Sector,'Summarized Source Data'!U$2,TimeOfWeek,$E469)*INDEX(About!Q$79:Q$82,MATCH($B469,About!$A$79:$A$82,0),1)</f>
        <v>5035953</v>
      </c>
      <c r="V469" s="33">
        <f>SUMIFS(INDEX(Load,,MATCH('Summarized Source Data'!$C469,Hour,0)),Month,'Summarized Source Data'!$A469,Sector,'Summarized Source Data'!V$2,TimeOfWeek,$E469)*INDEX(About!R$79:R$82,MATCH($B469,About!$A$79:$A$82,0),1)</f>
        <v>5035953</v>
      </c>
      <c r="W469" s="33">
        <f>SUMIFS(INDEX(Load,,MATCH('Summarized Source Data'!$C469,Hour,0)),Month,'Summarized Source Data'!$A469,Sector,'Summarized Source Data'!W$2,TimeOfWeek,$E469)*INDEX(About!S$79:S$82,MATCH($B469,About!$A$79:$A$82,0),1)</f>
        <v>5035953</v>
      </c>
      <c r="X469" s="27">
        <f>SUMIFS(INDEX(Load,,MATCH('Summarized Source Data'!$C469,Hour,0)),Month,'Summarized Source Data'!$A469,Sector,'Summarized Source Data'!X$2,Subsector,'Summarized Source Data'!X$3,TimeOfWeek,$E469)*INDEX(About!T$79:T$82,MATCH($B469,About!$A$79:$A$82,0),1)</f>
        <v>345000000</v>
      </c>
      <c r="Y469" s="29">
        <f t="shared" si="40"/>
        <v>345000000</v>
      </c>
      <c r="Z469" s="29">
        <f t="shared" si="40"/>
        <v>345000000</v>
      </c>
    </row>
    <row r="470" spans="1:26" x14ac:dyDescent="0.3">
      <c r="A470">
        <f t="shared" si="35"/>
        <v>8</v>
      </c>
      <c r="B470" t="str">
        <f>INDEX('Category Mapping'!$G$28:$G$39,MATCH(A470,'Category Mapping'!$A$28:$A$39,0),1)</f>
        <v>Summer</v>
      </c>
      <c r="C470" t="s">
        <v>73</v>
      </c>
      <c r="D470" s="6" t="s">
        <v>148</v>
      </c>
      <c r="E470" s="46" t="s">
        <v>48</v>
      </c>
      <c r="F470" s="27">
        <f>SUMIFS(INDEX(Load,,MATCH('Summarized Source Data'!$C470,Hour,0)),Month,'Summarized Source Data'!$A470,Sector,'Summarized Source Data'!F$2,Subsector,'Summarized Source Data'!F$3,TimeOfWeek,$E470)*INDEX(About!B$79:B$82,MATCH($B470,About!$A$79:$A$82,0),1)</f>
        <v>53860</v>
      </c>
      <c r="G470" s="27">
        <f>SUMIFS(INDEX(Load,,MATCH('Summarized Source Data'!$C470,Hour,0)),Month,'Summarized Source Data'!$A470,Sector,'Summarized Source Data'!G$2,Subsector,'Summarized Source Data'!G$3,TimeOfWeek,$E470)*INDEX(About!C$79:C$82,MATCH($B470,About!$A$79:$A$82,0),1)</f>
        <v>43800000</v>
      </c>
      <c r="H470" s="27">
        <f>SUMIFS(INDEX(Load,,MATCH('Summarized Source Data'!$C470,Hour,0)),Month,'Summarized Source Data'!$A470,Sector,'Summarized Source Data'!H$2,Subsector,'Summarized Source Data'!H$3,TimeOfWeek,$E470)*INDEX(About!D$79:D$82,MATCH($B470,About!$A$79:$A$82,0),1)</f>
        <v>0</v>
      </c>
      <c r="I470" s="27">
        <f>SUMIFS(INDEX(Load,,MATCH('Summarized Source Data'!$C470,Hour,0)),Month,'Summarized Source Data'!$A470,Sector,'Summarized Source Data'!I$2,Subsector,'Summarized Source Data'!I$3,TimeOfWeek,$E470)*INDEX(About!E$79:E$82,MATCH($B470,About!$A$79:$A$82,0),1)</f>
        <v>6872124</v>
      </c>
      <c r="J470" s="54">
        <f t="shared" si="37"/>
        <v>89274016</v>
      </c>
      <c r="K470" s="27">
        <f>(SUMIFS(INDEX(Load,,MATCH('Summarized Source Data'!$C470,Hour,0)),Month,'Summarized Source Data'!$A470,Sector,'Summarized Source Data'!K$2,Subsector,"Total",TimeOfWeek,$E470)-SUM(F470:I470))*INDEX(About!G$79:G$82,MATCH($B470,About!$A$79:$A$82,0),1)</f>
        <v>89274016</v>
      </c>
      <c r="L470" s="27">
        <f>SUMIFS(INDEX(Load,,MATCH('Summarized Source Data'!$C470,Hour,0)),Month,'Summarized Source Data'!$A470,Sector,'Summarized Source Data'!L$2,Subsector,'Summarized Source Data'!L$3,TimeOfWeek,$E470)*INDEX(About!H$79:H$82,MATCH($B470,About!$A$79:$A$82,0),1)</f>
        <v>66279</v>
      </c>
      <c r="M470" s="27">
        <f>SUMIFS(INDEX(Load,,MATCH('Summarized Source Data'!$C470,Hour,0)),Month,'Summarized Source Data'!$A470,Sector,'Summarized Source Data'!M$2,Subsector,'Summarized Source Data'!M$3,TimeOfWeek,$E470)*INDEX(About!I$79:I$82,MATCH($B470,About!$A$79:$A$82,0),1)</f>
        <v>203000000</v>
      </c>
      <c r="N470" s="27">
        <f>SUMIFS(INDEX(Load,,MATCH('Summarized Source Data'!$C470,Hour,0)),Month,'Summarized Source Data'!$A470,Sector,'Summarized Source Data'!N$2,Subsector,'Summarized Source Data'!N$3,TimeOfWeek,$E470)*INDEX(About!J$79:J$82,MATCH($B470,About!$A$79:$A$82,0),1)</f>
        <v>0</v>
      </c>
      <c r="O470" s="29">
        <f t="shared" si="38"/>
        <v>125933721</v>
      </c>
      <c r="P470" s="27">
        <f>(SUMIFS(INDEX(Load,,MATCH('Summarized Source Data'!$C470,Hour,0)),Month,'Summarized Source Data'!$A470,Sector,'Summarized Source Data'!P$2,Subsector,"Total",TimeOfWeek,$E470)-SUM(L470:N470)*INDEX(About!L$79:L$82,MATCH($B470,About!$A$79:$A$82,0),1))</f>
        <v>125933721</v>
      </c>
      <c r="Q470" s="29">
        <f t="shared" si="39"/>
        <v>125933721</v>
      </c>
      <c r="R470" s="33">
        <f>SUMIFS(INDEX(Load,,MATCH('Summarized Source Data'!$C470,Hour,0)),Month,'Summarized Source Data'!$A470,Sector,'Summarized Source Data'!R$2,TimeOfWeek,$E470)*INDEX(About!N$79:N$82,MATCH($B470,About!$A$79:$A$82,0),1)</f>
        <v>5342681</v>
      </c>
      <c r="S470" s="33">
        <f>SUMIFS(INDEX(Load,,MATCH('Summarized Source Data'!$C470,Hour,0)),Month,'Summarized Source Data'!$A470,Sector,'Summarized Source Data'!S$2,TimeOfWeek,$E470)*INDEX(About!O$79:O$82,MATCH($B470,About!$A$79:$A$82,0),1)</f>
        <v>5342681</v>
      </c>
      <c r="T470" s="33">
        <f>SUMIFS(INDEX(Load,,MATCH('Summarized Source Data'!$C470,Hour,0)),Month,'Summarized Source Data'!$A470,Sector,'Summarized Source Data'!T$2,TimeOfWeek,$E470)*INDEX(About!P$79:P$82,MATCH($B470,About!$A$79:$A$82,0),1)</f>
        <v>5342681</v>
      </c>
      <c r="U470" s="33">
        <f>SUMIFS(INDEX(Load,,MATCH('Summarized Source Data'!$C470,Hour,0)),Month,'Summarized Source Data'!$A470,Sector,'Summarized Source Data'!U$2,TimeOfWeek,$E470)*INDEX(About!Q$79:Q$82,MATCH($B470,About!$A$79:$A$82,0),1)</f>
        <v>5342681</v>
      </c>
      <c r="V470" s="33">
        <f>SUMIFS(INDEX(Load,,MATCH('Summarized Source Data'!$C470,Hour,0)),Month,'Summarized Source Data'!$A470,Sector,'Summarized Source Data'!V$2,TimeOfWeek,$E470)*INDEX(About!R$79:R$82,MATCH($B470,About!$A$79:$A$82,0),1)</f>
        <v>5342681</v>
      </c>
      <c r="W470" s="33">
        <f>SUMIFS(INDEX(Load,,MATCH('Summarized Source Data'!$C470,Hour,0)),Month,'Summarized Source Data'!$A470,Sector,'Summarized Source Data'!W$2,TimeOfWeek,$E470)*INDEX(About!S$79:S$82,MATCH($B470,About!$A$79:$A$82,0),1)</f>
        <v>5342681</v>
      </c>
      <c r="X470" s="27">
        <f>SUMIFS(INDEX(Load,,MATCH('Summarized Source Data'!$C470,Hour,0)),Month,'Summarized Source Data'!$A470,Sector,'Summarized Source Data'!X$2,Subsector,'Summarized Source Data'!X$3,TimeOfWeek,$E470)*INDEX(About!T$79:T$82,MATCH($B470,About!$A$79:$A$82,0),1)</f>
        <v>344000000</v>
      </c>
      <c r="Y470" s="29">
        <f t="shared" si="40"/>
        <v>344000000</v>
      </c>
      <c r="Z470" s="29">
        <f t="shared" si="40"/>
        <v>344000000</v>
      </c>
    </row>
    <row r="471" spans="1:26" x14ac:dyDescent="0.3">
      <c r="A471">
        <f t="shared" si="35"/>
        <v>8</v>
      </c>
      <c r="B471" t="str">
        <f>INDEX('Category Mapping'!$G$28:$G$39,MATCH(A471,'Category Mapping'!$A$28:$A$39,0),1)</f>
        <v>Summer</v>
      </c>
      <c r="C471" t="s">
        <v>74</v>
      </c>
      <c r="D471" s="6" t="s">
        <v>149</v>
      </c>
      <c r="E471" s="46" t="s">
        <v>48</v>
      </c>
      <c r="F471" s="27">
        <f>SUMIFS(INDEX(Load,,MATCH('Summarized Source Data'!$C471,Hour,0)),Month,'Summarized Source Data'!$A471,Sector,'Summarized Source Data'!F$2,Subsector,'Summarized Source Data'!F$3,TimeOfWeek,$E471)*INDEX(About!B$79:B$82,MATCH($B471,About!$A$79:$A$82,0),1)</f>
        <v>41461</v>
      </c>
      <c r="G471" s="27">
        <f>SUMIFS(INDEX(Load,,MATCH('Summarized Source Data'!$C471,Hour,0)),Month,'Summarized Source Data'!$A471,Sector,'Summarized Source Data'!G$2,Subsector,'Summarized Source Data'!G$3,TimeOfWeek,$E471)*INDEX(About!C$79:C$82,MATCH($B471,About!$A$79:$A$82,0),1)</f>
        <v>49700000</v>
      </c>
      <c r="H471" s="27">
        <f>SUMIFS(INDEX(Load,,MATCH('Summarized Source Data'!$C471,Hour,0)),Month,'Summarized Source Data'!$A471,Sector,'Summarized Source Data'!H$2,Subsector,'Summarized Source Data'!H$3,TimeOfWeek,$E471)*INDEX(About!D$79:D$82,MATCH($B471,About!$A$79:$A$82,0),1)</f>
        <v>0</v>
      </c>
      <c r="I471" s="27">
        <f>SUMIFS(INDEX(Load,,MATCH('Summarized Source Data'!$C471,Hour,0)),Month,'Summarized Source Data'!$A471,Sector,'Summarized Source Data'!I$2,Subsector,'Summarized Source Data'!I$3,TimeOfWeek,$E471)*INDEX(About!E$79:E$82,MATCH($B471,About!$A$79:$A$82,0),1)</f>
        <v>7291484</v>
      </c>
      <c r="J471" s="54">
        <f t="shared" si="37"/>
        <v>99967055</v>
      </c>
      <c r="K471" s="27">
        <f>(SUMIFS(INDEX(Load,,MATCH('Summarized Source Data'!$C471,Hour,0)),Month,'Summarized Source Data'!$A471,Sector,'Summarized Source Data'!K$2,Subsector,"Total",TimeOfWeek,$E471)-SUM(F471:I471))*INDEX(About!G$79:G$82,MATCH($B471,About!$A$79:$A$82,0),1)</f>
        <v>99967055</v>
      </c>
      <c r="L471" s="27">
        <f>SUMIFS(INDEX(Load,,MATCH('Summarized Source Data'!$C471,Hour,0)),Month,'Summarized Source Data'!$A471,Sector,'Summarized Source Data'!L$2,Subsector,'Summarized Source Data'!L$3,TimeOfWeek,$E471)*INDEX(About!H$79:H$82,MATCH($B471,About!$A$79:$A$82,0),1)</f>
        <v>66279</v>
      </c>
      <c r="M471" s="27">
        <f>SUMIFS(INDEX(Load,,MATCH('Summarized Source Data'!$C471,Hour,0)),Month,'Summarized Source Data'!$A471,Sector,'Summarized Source Data'!M$2,Subsector,'Summarized Source Data'!M$3,TimeOfWeek,$E471)*INDEX(About!I$79:I$82,MATCH($B471,About!$A$79:$A$82,0),1)</f>
        <v>214000000</v>
      </c>
      <c r="N471" s="27">
        <f>SUMIFS(INDEX(Load,,MATCH('Summarized Source Data'!$C471,Hour,0)),Month,'Summarized Source Data'!$A471,Sector,'Summarized Source Data'!N$2,Subsector,'Summarized Source Data'!N$3,TimeOfWeek,$E471)*INDEX(About!J$79:J$82,MATCH($B471,About!$A$79:$A$82,0),1)</f>
        <v>0</v>
      </c>
      <c r="O471" s="29">
        <f t="shared" si="38"/>
        <v>125933721</v>
      </c>
      <c r="P471" s="27">
        <f>(SUMIFS(INDEX(Load,,MATCH('Summarized Source Data'!$C471,Hour,0)),Month,'Summarized Source Data'!$A471,Sector,'Summarized Source Data'!P$2,Subsector,"Total",TimeOfWeek,$E471)-SUM(L471:N471)*INDEX(About!L$79:L$82,MATCH($B471,About!$A$79:$A$82,0),1))</f>
        <v>125933721</v>
      </c>
      <c r="Q471" s="29">
        <f t="shared" si="39"/>
        <v>125933721</v>
      </c>
      <c r="R471" s="33">
        <f>SUMIFS(INDEX(Load,,MATCH('Summarized Source Data'!$C471,Hour,0)),Month,'Summarized Source Data'!$A471,Sector,'Summarized Source Data'!R$2,TimeOfWeek,$E471)*INDEX(About!N$79:N$82,MATCH($B471,About!$A$79:$A$82,0),1)</f>
        <v>5524200</v>
      </c>
      <c r="S471" s="33">
        <f>SUMIFS(INDEX(Load,,MATCH('Summarized Source Data'!$C471,Hour,0)),Month,'Summarized Source Data'!$A471,Sector,'Summarized Source Data'!S$2,TimeOfWeek,$E471)*INDEX(About!O$79:O$82,MATCH($B471,About!$A$79:$A$82,0),1)</f>
        <v>5524200</v>
      </c>
      <c r="T471" s="33">
        <f>SUMIFS(INDEX(Load,,MATCH('Summarized Source Data'!$C471,Hour,0)),Month,'Summarized Source Data'!$A471,Sector,'Summarized Source Data'!T$2,TimeOfWeek,$E471)*INDEX(About!P$79:P$82,MATCH($B471,About!$A$79:$A$82,0),1)</f>
        <v>5524200</v>
      </c>
      <c r="U471" s="33">
        <f>SUMIFS(INDEX(Load,,MATCH('Summarized Source Data'!$C471,Hour,0)),Month,'Summarized Source Data'!$A471,Sector,'Summarized Source Data'!U$2,TimeOfWeek,$E471)*INDEX(About!Q$79:Q$82,MATCH($B471,About!$A$79:$A$82,0),1)</f>
        <v>5524200</v>
      </c>
      <c r="V471" s="33">
        <f>SUMIFS(INDEX(Load,,MATCH('Summarized Source Data'!$C471,Hour,0)),Month,'Summarized Source Data'!$A471,Sector,'Summarized Source Data'!V$2,TimeOfWeek,$E471)*INDEX(About!R$79:R$82,MATCH($B471,About!$A$79:$A$82,0),1)</f>
        <v>5524200</v>
      </c>
      <c r="W471" s="33">
        <f>SUMIFS(INDEX(Load,,MATCH('Summarized Source Data'!$C471,Hour,0)),Month,'Summarized Source Data'!$A471,Sector,'Summarized Source Data'!W$2,TimeOfWeek,$E471)*INDEX(About!S$79:S$82,MATCH($B471,About!$A$79:$A$82,0),1)</f>
        <v>5524200</v>
      </c>
      <c r="X471" s="27">
        <f>SUMIFS(INDEX(Load,,MATCH('Summarized Source Data'!$C471,Hour,0)),Month,'Summarized Source Data'!$A471,Sector,'Summarized Source Data'!X$2,Subsector,'Summarized Source Data'!X$3,TimeOfWeek,$E471)*INDEX(About!T$79:T$82,MATCH($B471,About!$A$79:$A$82,0),1)</f>
        <v>343000000</v>
      </c>
      <c r="Y471" s="29">
        <f t="shared" si="40"/>
        <v>343000000</v>
      </c>
      <c r="Z471" s="29">
        <f t="shared" si="40"/>
        <v>343000000</v>
      </c>
    </row>
    <row r="472" spans="1:26" x14ac:dyDescent="0.3">
      <c r="A472">
        <f t="shared" si="35"/>
        <v>8</v>
      </c>
      <c r="B472" t="str">
        <f>INDEX('Category Mapping'!$G$28:$G$39,MATCH(A472,'Category Mapping'!$A$28:$A$39,0),1)</f>
        <v>Summer</v>
      </c>
      <c r="C472" t="s">
        <v>75</v>
      </c>
      <c r="D472" s="6" t="s">
        <v>150</v>
      </c>
      <c r="E472" s="46" t="s">
        <v>48</v>
      </c>
      <c r="F472" s="27">
        <f>SUMIFS(INDEX(Load,,MATCH('Summarized Source Data'!$C472,Hour,0)),Month,'Summarized Source Data'!$A472,Sector,'Summarized Source Data'!F$2,Subsector,'Summarized Source Data'!F$3,TimeOfWeek,$E472)*INDEX(About!B$79:B$82,MATCH($B472,About!$A$79:$A$82,0),1)</f>
        <v>42359</v>
      </c>
      <c r="G472" s="27">
        <f>SUMIFS(INDEX(Load,,MATCH('Summarized Source Data'!$C472,Hour,0)),Month,'Summarized Source Data'!$A472,Sector,'Summarized Source Data'!G$2,Subsector,'Summarized Source Data'!G$3,TimeOfWeek,$E472)*INDEX(About!C$79:C$82,MATCH($B472,About!$A$79:$A$82,0),1)</f>
        <v>55300000</v>
      </c>
      <c r="H472" s="27">
        <f>SUMIFS(INDEX(Load,,MATCH('Summarized Source Data'!$C472,Hour,0)),Month,'Summarized Source Data'!$A472,Sector,'Summarized Source Data'!H$2,Subsector,'Summarized Source Data'!H$3,TimeOfWeek,$E472)*INDEX(About!D$79:D$82,MATCH($B472,About!$A$79:$A$82,0),1)</f>
        <v>0</v>
      </c>
      <c r="I472" s="27">
        <f>SUMIFS(INDEX(Load,,MATCH('Summarized Source Data'!$C472,Hour,0)),Month,'Summarized Source Data'!$A472,Sector,'Summarized Source Data'!I$2,Subsector,'Summarized Source Data'!I$3,TimeOfWeek,$E472)*INDEX(About!E$79:E$82,MATCH($B472,About!$A$79:$A$82,0),1)</f>
        <v>7544893</v>
      </c>
      <c r="J472" s="54">
        <f t="shared" si="37"/>
        <v>91112748</v>
      </c>
      <c r="K472" s="27">
        <f>(SUMIFS(INDEX(Load,,MATCH('Summarized Source Data'!$C472,Hour,0)),Month,'Summarized Source Data'!$A472,Sector,'Summarized Source Data'!K$2,Subsector,"Total",TimeOfWeek,$E472)-SUM(F472:I472))*INDEX(About!G$79:G$82,MATCH($B472,About!$A$79:$A$82,0),1)</f>
        <v>91112748</v>
      </c>
      <c r="L472" s="27">
        <f>SUMIFS(INDEX(Load,,MATCH('Summarized Source Data'!$C472,Hour,0)),Month,'Summarized Source Data'!$A472,Sector,'Summarized Source Data'!L$2,Subsector,'Summarized Source Data'!L$3,TimeOfWeek,$E472)*INDEX(About!H$79:H$82,MATCH($B472,About!$A$79:$A$82,0),1)</f>
        <v>66279</v>
      </c>
      <c r="M472" s="27">
        <f>SUMIFS(INDEX(Load,,MATCH('Summarized Source Data'!$C472,Hour,0)),Month,'Summarized Source Data'!$A472,Sector,'Summarized Source Data'!M$2,Subsector,'Summarized Source Data'!M$3,TimeOfWeek,$E472)*INDEX(About!I$79:I$82,MATCH($B472,About!$A$79:$A$82,0),1)</f>
        <v>222000000</v>
      </c>
      <c r="N472" s="27">
        <f>SUMIFS(INDEX(Load,,MATCH('Summarized Source Data'!$C472,Hour,0)),Month,'Summarized Source Data'!$A472,Sector,'Summarized Source Data'!N$2,Subsector,'Summarized Source Data'!N$3,TimeOfWeek,$E472)*INDEX(About!J$79:J$82,MATCH($B472,About!$A$79:$A$82,0),1)</f>
        <v>0</v>
      </c>
      <c r="O472" s="29">
        <f t="shared" si="38"/>
        <v>125933721</v>
      </c>
      <c r="P472" s="27">
        <f>(SUMIFS(INDEX(Load,,MATCH('Summarized Source Data'!$C472,Hour,0)),Month,'Summarized Source Data'!$A472,Sector,'Summarized Source Data'!P$2,Subsector,"Total",TimeOfWeek,$E472)-SUM(L472:N472)*INDEX(About!L$79:L$82,MATCH($B472,About!$A$79:$A$82,0),1))</f>
        <v>125933721</v>
      </c>
      <c r="Q472" s="29">
        <f t="shared" si="39"/>
        <v>125933721</v>
      </c>
      <c r="R472" s="33">
        <f>SUMIFS(INDEX(Load,,MATCH('Summarized Source Data'!$C472,Hour,0)),Month,'Summarized Source Data'!$A472,Sector,'Summarized Source Data'!R$2,TimeOfWeek,$E472)*INDEX(About!N$79:N$82,MATCH($B472,About!$A$79:$A$82,0),1)</f>
        <v>5410702</v>
      </c>
      <c r="S472" s="33">
        <f>SUMIFS(INDEX(Load,,MATCH('Summarized Source Data'!$C472,Hour,0)),Month,'Summarized Source Data'!$A472,Sector,'Summarized Source Data'!S$2,TimeOfWeek,$E472)*INDEX(About!O$79:O$82,MATCH($B472,About!$A$79:$A$82,0),1)</f>
        <v>5410702</v>
      </c>
      <c r="T472" s="33">
        <f>SUMIFS(INDEX(Load,,MATCH('Summarized Source Data'!$C472,Hour,0)),Month,'Summarized Source Data'!$A472,Sector,'Summarized Source Data'!T$2,TimeOfWeek,$E472)*INDEX(About!P$79:P$82,MATCH($B472,About!$A$79:$A$82,0),1)</f>
        <v>5410702</v>
      </c>
      <c r="U472" s="33">
        <f>SUMIFS(INDEX(Load,,MATCH('Summarized Source Data'!$C472,Hour,0)),Month,'Summarized Source Data'!$A472,Sector,'Summarized Source Data'!U$2,TimeOfWeek,$E472)*INDEX(About!Q$79:Q$82,MATCH($B472,About!$A$79:$A$82,0),1)</f>
        <v>5410702</v>
      </c>
      <c r="V472" s="33">
        <f>SUMIFS(INDEX(Load,,MATCH('Summarized Source Data'!$C472,Hour,0)),Month,'Summarized Source Data'!$A472,Sector,'Summarized Source Data'!V$2,TimeOfWeek,$E472)*INDEX(About!R$79:R$82,MATCH($B472,About!$A$79:$A$82,0),1)</f>
        <v>5410702</v>
      </c>
      <c r="W472" s="33">
        <f>SUMIFS(INDEX(Load,,MATCH('Summarized Source Data'!$C472,Hour,0)),Month,'Summarized Source Data'!$A472,Sector,'Summarized Source Data'!W$2,TimeOfWeek,$E472)*INDEX(About!S$79:S$82,MATCH($B472,About!$A$79:$A$82,0),1)</f>
        <v>5410702</v>
      </c>
      <c r="X472" s="27">
        <f>SUMIFS(INDEX(Load,,MATCH('Summarized Source Data'!$C472,Hour,0)),Month,'Summarized Source Data'!$A472,Sector,'Summarized Source Data'!X$2,Subsector,'Summarized Source Data'!X$3,TimeOfWeek,$E472)*INDEX(About!T$79:T$82,MATCH($B472,About!$A$79:$A$82,0),1)</f>
        <v>343000000</v>
      </c>
      <c r="Y472" s="29">
        <f t="shared" si="40"/>
        <v>343000000</v>
      </c>
      <c r="Z472" s="29">
        <f t="shared" si="40"/>
        <v>343000000</v>
      </c>
    </row>
    <row r="473" spans="1:26" x14ac:dyDescent="0.3">
      <c r="A473">
        <f t="shared" si="35"/>
        <v>8</v>
      </c>
      <c r="B473" t="str">
        <f>INDEX('Category Mapping'!$G$28:$G$39,MATCH(A473,'Category Mapping'!$A$28:$A$39,0),1)</f>
        <v>Summer</v>
      </c>
      <c r="C473" t="s">
        <v>76</v>
      </c>
      <c r="D473" s="6" t="s">
        <v>151</v>
      </c>
      <c r="E473" s="46" t="s">
        <v>48</v>
      </c>
      <c r="F473" s="27">
        <f>SUMIFS(INDEX(Load,,MATCH('Summarized Source Data'!$C473,Hour,0)),Month,'Summarized Source Data'!$A473,Sector,'Summarized Source Data'!F$2,Subsector,'Summarized Source Data'!F$3,TimeOfWeek,$E473)*INDEX(About!B$79:B$82,MATCH($B473,About!$A$79:$A$82,0),1)</f>
        <v>42325</v>
      </c>
      <c r="G473" s="27">
        <f>SUMIFS(INDEX(Load,,MATCH('Summarized Source Data'!$C473,Hour,0)),Month,'Summarized Source Data'!$A473,Sector,'Summarized Source Data'!G$2,Subsector,'Summarized Source Data'!G$3,TimeOfWeek,$E473)*INDEX(About!C$79:C$82,MATCH($B473,About!$A$79:$A$82,0),1)</f>
        <v>58100000</v>
      </c>
      <c r="H473" s="27">
        <f>SUMIFS(INDEX(Load,,MATCH('Summarized Source Data'!$C473,Hour,0)),Month,'Summarized Source Data'!$A473,Sector,'Summarized Source Data'!H$2,Subsector,'Summarized Source Data'!H$3,TimeOfWeek,$E473)*INDEX(About!D$79:D$82,MATCH($B473,About!$A$79:$A$82,0),1)</f>
        <v>0</v>
      </c>
      <c r="I473" s="27">
        <f>SUMIFS(INDEX(Load,,MATCH('Summarized Source Data'!$C473,Hour,0)),Month,'Summarized Source Data'!$A473,Sector,'Summarized Source Data'!I$2,Subsector,'Summarized Source Data'!I$3,TimeOfWeek,$E473)*INDEX(About!E$79:E$82,MATCH($B473,About!$A$79:$A$82,0),1)</f>
        <v>7535226</v>
      </c>
      <c r="J473" s="54">
        <f t="shared" si="37"/>
        <v>80322449</v>
      </c>
      <c r="K473" s="27">
        <f>(SUMIFS(INDEX(Load,,MATCH('Summarized Source Data'!$C473,Hour,0)),Month,'Summarized Source Data'!$A473,Sector,'Summarized Source Data'!K$2,Subsector,"Total",TimeOfWeek,$E473)-SUM(F473:I473))*INDEX(About!G$79:G$82,MATCH($B473,About!$A$79:$A$82,0),1)</f>
        <v>80322449</v>
      </c>
      <c r="L473" s="27">
        <f>SUMIFS(INDEX(Load,,MATCH('Summarized Source Data'!$C473,Hour,0)),Month,'Summarized Source Data'!$A473,Sector,'Summarized Source Data'!L$2,Subsector,'Summarized Source Data'!L$3,TimeOfWeek,$E473)*INDEX(About!H$79:H$82,MATCH($B473,About!$A$79:$A$82,0),1)</f>
        <v>66279</v>
      </c>
      <c r="M473" s="27">
        <f>SUMIFS(INDEX(Load,,MATCH('Summarized Source Data'!$C473,Hour,0)),Month,'Summarized Source Data'!$A473,Sector,'Summarized Source Data'!M$2,Subsector,'Summarized Source Data'!M$3,TimeOfWeek,$E473)*INDEX(About!I$79:I$82,MATCH($B473,About!$A$79:$A$82,0),1)</f>
        <v>227000000</v>
      </c>
      <c r="N473" s="27">
        <f>SUMIFS(INDEX(Load,,MATCH('Summarized Source Data'!$C473,Hour,0)),Month,'Summarized Source Data'!$A473,Sector,'Summarized Source Data'!N$2,Subsector,'Summarized Source Data'!N$3,TimeOfWeek,$E473)*INDEX(About!J$79:J$82,MATCH($B473,About!$A$79:$A$82,0),1)</f>
        <v>0</v>
      </c>
      <c r="O473" s="29">
        <f t="shared" si="38"/>
        <v>120933721</v>
      </c>
      <c r="P473" s="27">
        <f>(SUMIFS(INDEX(Load,,MATCH('Summarized Source Data'!$C473,Hour,0)),Month,'Summarized Source Data'!$A473,Sector,'Summarized Source Data'!P$2,Subsector,"Total",TimeOfWeek,$E473)-SUM(L473:N473)*INDEX(About!L$79:L$82,MATCH($B473,About!$A$79:$A$82,0),1))</f>
        <v>120933721</v>
      </c>
      <c r="Q473" s="29">
        <f t="shared" si="39"/>
        <v>120933721</v>
      </c>
      <c r="R473" s="33">
        <f>SUMIFS(INDEX(Load,,MATCH('Summarized Source Data'!$C473,Hour,0)),Month,'Summarized Source Data'!$A473,Sector,'Summarized Source Data'!R$2,TimeOfWeek,$E473)*INDEX(About!N$79:N$82,MATCH($B473,About!$A$79:$A$82,0),1)</f>
        <v>5164776</v>
      </c>
      <c r="S473" s="33">
        <f>SUMIFS(INDEX(Load,,MATCH('Summarized Source Data'!$C473,Hour,0)),Month,'Summarized Source Data'!$A473,Sector,'Summarized Source Data'!S$2,TimeOfWeek,$E473)*INDEX(About!O$79:O$82,MATCH($B473,About!$A$79:$A$82,0),1)</f>
        <v>5164776</v>
      </c>
      <c r="T473" s="33">
        <f>SUMIFS(INDEX(Load,,MATCH('Summarized Source Data'!$C473,Hour,0)),Month,'Summarized Source Data'!$A473,Sector,'Summarized Source Data'!T$2,TimeOfWeek,$E473)*INDEX(About!P$79:P$82,MATCH($B473,About!$A$79:$A$82,0),1)</f>
        <v>5164776</v>
      </c>
      <c r="U473" s="33">
        <f>SUMIFS(INDEX(Load,,MATCH('Summarized Source Data'!$C473,Hour,0)),Month,'Summarized Source Data'!$A473,Sector,'Summarized Source Data'!U$2,TimeOfWeek,$E473)*INDEX(About!Q$79:Q$82,MATCH($B473,About!$A$79:$A$82,0),1)</f>
        <v>5164776</v>
      </c>
      <c r="V473" s="33">
        <f>SUMIFS(INDEX(Load,,MATCH('Summarized Source Data'!$C473,Hour,0)),Month,'Summarized Source Data'!$A473,Sector,'Summarized Source Data'!V$2,TimeOfWeek,$E473)*INDEX(About!R$79:R$82,MATCH($B473,About!$A$79:$A$82,0),1)</f>
        <v>5164776</v>
      </c>
      <c r="W473" s="33">
        <f>SUMIFS(INDEX(Load,,MATCH('Summarized Source Data'!$C473,Hour,0)),Month,'Summarized Source Data'!$A473,Sector,'Summarized Source Data'!W$2,TimeOfWeek,$E473)*INDEX(About!S$79:S$82,MATCH($B473,About!$A$79:$A$82,0),1)</f>
        <v>5164776</v>
      </c>
      <c r="X473" s="27">
        <f>SUMIFS(INDEX(Load,,MATCH('Summarized Source Data'!$C473,Hour,0)),Month,'Summarized Source Data'!$A473,Sector,'Summarized Source Data'!X$2,Subsector,'Summarized Source Data'!X$3,TimeOfWeek,$E473)*INDEX(About!T$79:T$82,MATCH($B473,About!$A$79:$A$82,0),1)</f>
        <v>343000000</v>
      </c>
      <c r="Y473" s="29">
        <f t="shared" si="40"/>
        <v>343000000</v>
      </c>
      <c r="Z473" s="29">
        <f t="shared" si="40"/>
        <v>343000000</v>
      </c>
    </row>
    <row r="474" spans="1:26" x14ac:dyDescent="0.3">
      <c r="A474">
        <f t="shared" si="35"/>
        <v>8</v>
      </c>
      <c r="B474" t="str">
        <f>INDEX('Category Mapping'!$G$28:$G$39,MATCH(A474,'Category Mapping'!$A$28:$A$39,0),1)</f>
        <v>Summer</v>
      </c>
      <c r="C474" t="s">
        <v>77</v>
      </c>
      <c r="D474" s="6" t="s">
        <v>152</v>
      </c>
      <c r="E474" s="46" t="s">
        <v>48</v>
      </c>
      <c r="F474" s="27">
        <f>SUMIFS(INDEX(Load,,MATCH('Summarized Source Data'!$C474,Hour,0)),Month,'Summarized Source Data'!$A474,Sector,'Summarized Source Data'!F$2,Subsector,'Summarized Source Data'!F$3,TimeOfWeek,$E474)*INDEX(About!B$79:B$82,MATCH($B474,About!$A$79:$A$82,0),1)</f>
        <v>42044</v>
      </c>
      <c r="G474" s="27">
        <f>SUMIFS(INDEX(Load,,MATCH('Summarized Source Data'!$C474,Hour,0)),Month,'Summarized Source Data'!$A474,Sector,'Summarized Source Data'!G$2,Subsector,'Summarized Source Data'!G$3,TimeOfWeek,$E474)*INDEX(About!C$79:C$82,MATCH($B474,About!$A$79:$A$82,0),1)</f>
        <v>58700000</v>
      </c>
      <c r="H474" s="27">
        <f>SUMIFS(INDEX(Load,,MATCH('Summarized Source Data'!$C474,Hour,0)),Month,'Summarized Source Data'!$A474,Sector,'Summarized Source Data'!H$2,Subsector,'Summarized Source Data'!H$3,TimeOfWeek,$E474)*INDEX(About!D$79:D$82,MATCH($B474,About!$A$79:$A$82,0),1)</f>
        <v>0</v>
      </c>
      <c r="I474" s="27">
        <f>SUMIFS(INDEX(Load,,MATCH('Summarized Source Data'!$C474,Hour,0)),Month,'Summarized Source Data'!$A474,Sector,'Summarized Source Data'!I$2,Subsector,'Summarized Source Data'!I$3,TimeOfWeek,$E474)*INDEX(About!E$79:E$82,MATCH($B474,About!$A$79:$A$82,0),1)</f>
        <v>7455939</v>
      </c>
      <c r="J474" s="54">
        <f t="shared" si="37"/>
        <v>84802017</v>
      </c>
      <c r="K474" s="27">
        <f>(SUMIFS(INDEX(Load,,MATCH('Summarized Source Data'!$C474,Hour,0)),Month,'Summarized Source Data'!$A474,Sector,'Summarized Source Data'!K$2,Subsector,"Total",TimeOfWeek,$E474)-SUM(F474:I474))*INDEX(About!G$79:G$82,MATCH($B474,About!$A$79:$A$82,0),1)</f>
        <v>84802017</v>
      </c>
      <c r="L474" s="27">
        <f>SUMIFS(INDEX(Load,,MATCH('Summarized Source Data'!$C474,Hour,0)),Month,'Summarized Source Data'!$A474,Sector,'Summarized Source Data'!L$2,Subsector,'Summarized Source Data'!L$3,TimeOfWeek,$E474)*INDEX(About!H$79:H$82,MATCH($B474,About!$A$79:$A$82,0),1)</f>
        <v>66279</v>
      </c>
      <c r="M474" s="27">
        <f>SUMIFS(INDEX(Load,,MATCH('Summarized Source Data'!$C474,Hour,0)),Month,'Summarized Source Data'!$A474,Sector,'Summarized Source Data'!M$2,Subsector,'Summarized Source Data'!M$3,TimeOfWeek,$E474)*INDEX(About!I$79:I$82,MATCH($B474,About!$A$79:$A$82,0),1)</f>
        <v>229000000</v>
      </c>
      <c r="N474" s="27">
        <f>SUMIFS(INDEX(Load,,MATCH('Summarized Source Data'!$C474,Hour,0)),Month,'Summarized Source Data'!$A474,Sector,'Summarized Source Data'!N$2,Subsector,'Summarized Source Data'!N$3,TimeOfWeek,$E474)*INDEX(About!J$79:J$82,MATCH($B474,About!$A$79:$A$82,0),1)</f>
        <v>0</v>
      </c>
      <c r="O474" s="29">
        <f t="shared" si="38"/>
        <v>114933721</v>
      </c>
      <c r="P474" s="27">
        <f>(SUMIFS(INDEX(Load,,MATCH('Summarized Source Data'!$C474,Hour,0)),Month,'Summarized Source Data'!$A474,Sector,'Summarized Source Data'!P$2,Subsector,"Total",TimeOfWeek,$E474)-SUM(L474:N474)*INDEX(About!L$79:L$82,MATCH($B474,About!$A$79:$A$82,0),1))</f>
        <v>114933721</v>
      </c>
      <c r="Q474" s="29">
        <f t="shared" si="39"/>
        <v>114933721</v>
      </c>
      <c r="R474" s="33">
        <f>SUMIFS(INDEX(Load,,MATCH('Summarized Source Data'!$C474,Hour,0)),Month,'Summarized Source Data'!$A474,Sector,'Summarized Source Data'!R$2,TimeOfWeek,$E474)*INDEX(About!N$79:N$82,MATCH($B474,About!$A$79:$A$82,0),1)</f>
        <v>5094511</v>
      </c>
      <c r="S474" s="33">
        <f>SUMIFS(INDEX(Load,,MATCH('Summarized Source Data'!$C474,Hour,0)),Month,'Summarized Source Data'!$A474,Sector,'Summarized Source Data'!S$2,TimeOfWeek,$E474)*INDEX(About!O$79:O$82,MATCH($B474,About!$A$79:$A$82,0),1)</f>
        <v>5094511</v>
      </c>
      <c r="T474" s="33">
        <f>SUMIFS(INDEX(Load,,MATCH('Summarized Source Data'!$C474,Hour,0)),Month,'Summarized Source Data'!$A474,Sector,'Summarized Source Data'!T$2,TimeOfWeek,$E474)*INDEX(About!P$79:P$82,MATCH($B474,About!$A$79:$A$82,0),1)</f>
        <v>5094511</v>
      </c>
      <c r="U474" s="33">
        <f>SUMIFS(INDEX(Load,,MATCH('Summarized Source Data'!$C474,Hour,0)),Month,'Summarized Source Data'!$A474,Sector,'Summarized Source Data'!U$2,TimeOfWeek,$E474)*INDEX(About!Q$79:Q$82,MATCH($B474,About!$A$79:$A$82,0),1)</f>
        <v>5094511</v>
      </c>
      <c r="V474" s="33">
        <f>SUMIFS(INDEX(Load,,MATCH('Summarized Source Data'!$C474,Hour,0)),Month,'Summarized Source Data'!$A474,Sector,'Summarized Source Data'!V$2,TimeOfWeek,$E474)*INDEX(About!R$79:R$82,MATCH($B474,About!$A$79:$A$82,0),1)</f>
        <v>5094511</v>
      </c>
      <c r="W474" s="33">
        <f>SUMIFS(INDEX(Load,,MATCH('Summarized Source Data'!$C474,Hour,0)),Month,'Summarized Source Data'!$A474,Sector,'Summarized Source Data'!W$2,TimeOfWeek,$E474)*INDEX(About!S$79:S$82,MATCH($B474,About!$A$79:$A$82,0),1)</f>
        <v>5094511</v>
      </c>
      <c r="X474" s="27">
        <f>SUMIFS(INDEX(Load,,MATCH('Summarized Source Data'!$C474,Hour,0)),Month,'Summarized Source Data'!$A474,Sector,'Summarized Source Data'!X$2,Subsector,'Summarized Source Data'!X$3,TimeOfWeek,$E474)*INDEX(About!T$79:T$82,MATCH($B474,About!$A$79:$A$82,0),1)</f>
        <v>344000000</v>
      </c>
      <c r="Y474" s="29">
        <f t="shared" si="40"/>
        <v>344000000</v>
      </c>
      <c r="Z474" s="29">
        <f t="shared" si="40"/>
        <v>344000000</v>
      </c>
    </row>
    <row r="475" spans="1:26" x14ac:dyDescent="0.3">
      <c r="A475">
        <f t="shared" si="35"/>
        <v>8</v>
      </c>
      <c r="B475" t="str">
        <f>INDEX('Category Mapping'!$G$28:$G$39,MATCH(A475,'Category Mapping'!$A$28:$A$39,0),1)</f>
        <v>Summer</v>
      </c>
      <c r="C475" t="s">
        <v>78</v>
      </c>
      <c r="D475" s="6" t="s">
        <v>153</v>
      </c>
      <c r="E475" s="46" t="s">
        <v>48</v>
      </c>
      <c r="F475" s="27">
        <f>SUMIFS(INDEX(Load,,MATCH('Summarized Source Data'!$C475,Hour,0)),Month,'Summarized Source Data'!$A475,Sector,'Summarized Source Data'!F$2,Subsector,'Summarized Source Data'!F$3,TimeOfWeek,$E475)*INDEX(About!B$79:B$82,MATCH($B475,About!$A$79:$A$82,0),1)</f>
        <v>42110</v>
      </c>
      <c r="G475" s="27">
        <f>SUMIFS(INDEX(Load,,MATCH('Summarized Source Data'!$C475,Hour,0)),Month,'Summarized Source Data'!$A475,Sector,'Summarized Source Data'!G$2,Subsector,'Summarized Source Data'!G$3,TimeOfWeek,$E475)*INDEX(About!C$79:C$82,MATCH($B475,About!$A$79:$A$82,0),1)</f>
        <v>57700000</v>
      </c>
      <c r="H475" s="27">
        <f>SUMIFS(INDEX(Load,,MATCH('Summarized Source Data'!$C475,Hour,0)),Month,'Summarized Source Data'!$A475,Sector,'Summarized Source Data'!H$2,Subsector,'Summarized Source Data'!H$3,TimeOfWeek,$E475)*INDEX(About!D$79:D$82,MATCH($B475,About!$A$79:$A$82,0),1)</f>
        <v>0</v>
      </c>
      <c r="I475" s="27">
        <f>SUMIFS(INDEX(Load,,MATCH('Summarized Source Data'!$C475,Hour,0)),Month,'Summarized Source Data'!$A475,Sector,'Summarized Source Data'!I$2,Subsector,'Summarized Source Data'!I$3,TimeOfWeek,$E475)*INDEX(About!E$79:E$82,MATCH($B475,About!$A$79:$A$82,0),1)</f>
        <v>7474650</v>
      </c>
      <c r="J475" s="54">
        <f t="shared" si="37"/>
        <v>87783240</v>
      </c>
      <c r="K475" s="27">
        <f>(SUMIFS(INDEX(Load,,MATCH('Summarized Source Data'!$C475,Hour,0)),Month,'Summarized Source Data'!$A475,Sector,'Summarized Source Data'!K$2,Subsector,"Total",TimeOfWeek,$E475)-SUM(F475:I475))*INDEX(About!G$79:G$82,MATCH($B475,About!$A$79:$A$82,0),1)</f>
        <v>87783240</v>
      </c>
      <c r="L475" s="27">
        <f>SUMIFS(INDEX(Load,,MATCH('Summarized Source Data'!$C475,Hour,0)),Month,'Summarized Source Data'!$A475,Sector,'Summarized Source Data'!L$2,Subsector,'Summarized Source Data'!L$3,TimeOfWeek,$E475)*INDEX(About!H$79:H$82,MATCH($B475,About!$A$79:$A$82,0),1)</f>
        <v>66279</v>
      </c>
      <c r="M475" s="27">
        <f>SUMIFS(INDEX(Load,,MATCH('Summarized Source Data'!$C475,Hour,0)),Month,'Summarized Source Data'!$A475,Sector,'Summarized Source Data'!M$2,Subsector,'Summarized Source Data'!M$3,TimeOfWeek,$E475)*INDEX(About!I$79:I$82,MATCH($B475,About!$A$79:$A$82,0),1)</f>
        <v>227000000</v>
      </c>
      <c r="N475" s="27">
        <f>SUMIFS(INDEX(Load,,MATCH('Summarized Source Data'!$C475,Hour,0)),Month,'Summarized Source Data'!$A475,Sector,'Summarized Source Data'!N$2,Subsector,'Summarized Source Data'!N$3,TimeOfWeek,$E475)*INDEX(About!J$79:J$82,MATCH($B475,About!$A$79:$A$82,0),1)</f>
        <v>0</v>
      </c>
      <c r="O475" s="29">
        <f t="shared" si="38"/>
        <v>106933721</v>
      </c>
      <c r="P475" s="27">
        <f>(SUMIFS(INDEX(Load,,MATCH('Summarized Source Data'!$C475,Hour,0)),Month,'Summarized Source Data'!$A475,Sector,'Summarized Source Data'!P$2,Subsector,"Total",TimeOfWeek,$E475)-SUM(L475:N475)*INDEX(About!L$79:L$82,MATCH($B475,About!$A$79:$A$82,0),1))</f>
        <v>106933721</v>
      </c>
      <c r="Q475" s="29">
        <f t="shared" si="39"/>
        <v>106933721</v>
      </c>
      <c r="R475" s="33">
        <f>SUMIFS(INDEX(Load,,MATCH('Summarized Source Data'!$C475,Hour,0)),Month,'Summarized Source Data'!$A475,Sector,'Summarized Source Data'!R$2,TimeOfWeek,$E475)*INDEX(About!N$79:N$82,MATCH($B475,About!$A$79:$A$82,0),1)</f>
        <v>4989113</v>
      </c>
      <c r="S475" s="33">
        <f>SUMIFS(INDEX(Load,,MATCH('Summarized Source Data'!$C475,Hour,0)),Month,'Summarized Source Data'!$A475,Sector,'Summarized Source Data'!S$2,TimeOfWeek,$E475)*INDEX(About!O$79:O$82,MATCH($B475,About!$A$79:$A$82,0),1)</f>
        <v>4989113</v>
      </c>
      <c r="T475" s="33">
        <f>SUMIFS(INDEX(Load,,MATCH('Summarized Source Data'!$C475,Hour,0)),Month,'Summarized Source Data'!$A475,Sector,'Summarized Source Data'!T$2,TimeOfWeek,$E475)*INDEX(About!P$79:P$82,MATCH($B475,About!$A$79:$A$82,0),1)</f>
        <v>4989113</v>
      </c>
      <c r="U475" s="33">
        <f>SUMIFS(INDEX(Load,,MATCH('Summarized Source Data'!$C475,Hour,0)),Month,'Summarized Source Data'!$A475,Sector,'Summarized Source Data'!U$2,TimeOfWeek,$E475)*INDEX(About!Q$79:Q$82,MATCH($B475,About!$A$79:$A$82,0),1)</f>
        <v>4989113</v>
      </c>
      <c r="V475" s="33">
        <f>SUMIFS(INDEX(Load,,MATCH('Summarized Source Data'!$C475,Hour,0)),Month,'Summarized Source Data'!$A475,Sector,'Summarized Source Data'!V$2,TimeOfWeek,$E475)*INDEX(About!R$79:R$82,MATCH($B475,About!$A$79:$A$82,0),1)</f>
        <v>4989113</v>
      </c>
      <c r="W475" s="33">
        <f>SUMIFS(INDEX(Load,,MATCH('Summarized Source Data'!$C475,Hour,0)),Month,'Summarized Source Data'!$A475,Sector,'Summarized Source Data'!W$2,TimeOfWeek,$E475)*INDEX(About!S$79:S$82,MATCH($B475,About!$A$79:$A$82,0),1)</f>
        <v>4989113</v>
      </c>
      <c r="X475" s="27">
        <f>SUMIFS(INDEX(Load,,MATCH('Summarized Source Data'!$C475,Hour,0)),Month,'Summarized Source Data'!$A475,Sector,'Summarized Source Data'!X$2,Subsector,'Summarized Source Data'!X$3,TimeOfWeek,$E475)*INDEX(About!T$79:T$82,MATCH($B475,About!$A$79:$A$82,0),1)</f>
        <v>348000000</v>
      </c>
      <c r="Y475" s="29">
        <f t="shared" si="40"/>
        <v>348000000</v>
      </c>
      <c r="Z475" s="29">
        <f t="shared" si="40"/>
        <v>348000000</v>
      </c>
    </row>
    <row r="476" spans="1:26" x14ac:dyDescent="0.3">
      <c r="A476">
        <f t="shared" si="35"/>
        <v>8</v>
      </c>
      <c r="B476" t="str">
        <f>INDEX('Category Mapping'!$G$28:$G$39,MATCH(A476,'Category Mapping'!$A$28:$A$39,0),1)</f>
        <v>Summer</v>
      </c>
      <c r="C476" t="s">
        <v>79</v>
      </c>
      <c r="D476" s="6" t="s">
        <v>154</v>
      </c>
      <c r="E476" s="46" t="s">
        <v>48</v>
      </c>
      <c r="F476" s="27">
        <f>SUMIFS(INDEX(Load,,MATCH('Summarized Source Data'!$C476,Hour,0)),Month,'Summarized Source Data'!$A476,Sector,'Summarized Source Data'!F$2,Subsector,'Summarized Source Data'!F$3,TimeOfWeek,$E476)*INDEX(About!B$79:B$82,MATCH($B476,About!$A$79:$A$82,0),1)</f>
        <v>42834</v>
      </c>
      <c r="G476" s="27">
        <f>SUMIFS(INDEX(Load,,MATCH('Summarized Source Data'!$C476,Hour,0)),Month,'Summarized Source Data'!$A476,Sector,'Summarized Source Data'!G$2,Subsector,'Summarized Source Data'!G$3,TimeOfWeek,$E476)*INDEX(About!C$79:C$82,MATCH($B476,About!$A$79:$A$82,0),1)</f>
        <v>56000000</v>
      </c>
      <c r="H476" s="27">
        <f>SUMIFS(INDEX(Load,,MATCH('Summarized Source Data'!$C476,Hour,0)),Month,'Summarized Source Data'!$A476,Sector,'Summarized Source Data'!H$2,Subsector,'Summarized Source Data'!H$3,TimeOfWeek,$E476)*INDEX(About!D$79:D$82,MATCH($B476,About!$A$79:$A$82,0),1)</f>
        <v>0</v>
      </c>
      <c r="I476" s="27">
        <f>SUMIFS(INDEX(Load,,MATCH('Summarized Source Data'!$C476,Hour,0)),Month,'Summarized Source Data'!$A476,Sector,'Summarized Source Data'!I$2,Subsector,'Summarized Source Data'!I$3,TimeOfWeek,$E476)*INDEX(About!E$79:E$82,MATCH($B476,About!$A$79:$A$82,0),1)</f>
        <v>7678766</v>
      </c>
      <c r="J476" s="54">
        <f t="shared" si="37"/>
        <v>94278400</v>
      </c>
      <c r="K476" s="27">
        <f>(SUMIFS(INDEX(Load,,MATCH('Summarized Source Data'!$C476,Hour,0)),Month,'Summarized Source Data'!$A476,Sector,'Summarized Source Data'!K$2,Subsector,"Total",TimeOfWeek,$E476)-SUM(F476:I476))*INDEX(About!G$79:G$82,MATCH($B476,About!$A$79:$A$82,0),1)</f>
        <v>94278400</v>
      </c>
      <c r="L476" s="27">
        <f>SUMIFS(INDEX(Load,,MATCH('Summarized Source Data'!$C476,Hour,0)),Month,'Summarized Source Data'!$A476,Sector,'Summarized Source Data'!L$2,Subsector,'Summarized Source Data'!L$3,TimeOfWeek,$E476)*INDEX(About!H$79:H$82,MATCH($B476,About!$A$79:$A$82,0),1)</f>
        <v>66279</v>
      </c>
      <c r="M476" s="27">
        <f>SUMIFS(INDEX(Load,,MATCH('Summarized Source Data'!$C476,Hour,0)),Month,'Summarized Source Data'!$A476,Sector,'Summarized Source Data'!M$2,Subsector,'Summarized Source Data'!M$3,TimeOfWeek,$E476)*INDEX(About!I$79:I$82,MATCH($B476,About!$A$79:$A$82,0),1)</f>
        <v>221000000</v>
      </c>
      <c r="N476" s="27">
        <f>SUMIFS(INDEX(Load,,MATCH('Summarized Source Data'!$C476,Hour,0)),Month,'Summarized Source Data'!$A476,Sector,'Summarized Source Data'!N$2,Subsector,'Summarized Source Data'!N$3,TimeOfWeek,$E476)*INDEX(About!J$79:J$82,MATCH($B476,About!$A$79:$A$82,0),1)</f>
        <v>0</v>
      </c>
      <c r="O476" s="29">
        <f t="shared" si="38"/>
        <v>101933721</v>
      </c>
      <c r="P476" s="27">
        <f>(SUMIFS(INDEX(Load,,MATCH('Summarized Source Data'!$C476,Hour,0)),Month,'Summarized Source Data'!$A476,Sector,'Summarized Source Data'!P$2,Subsector,"Total",TimeOfWeek,$E476)-SUM(L476:N476)*INDEX(About!L$79:L$82,MATCH($B476,About!$A$79:$A$82,0),1))</f>
        <v>101933721</v>
      </c>
      <c r="Q476" s="29">
        <f t="shared" si="39"/>
        <v>101933721</v>
      </c>
      <c r="R476" s="33">
        <f>SUMIFS(INDEX(Load,,MATCH('Summarized Source Data'!$C476,Hour,0)),Month,'Summarized Source Data'!$A476,Sector,'Summarized Source Data'!R$2,TimeOfWeek,$E476)*INDEX(About!N$79:N$82,MATCH($B476,About!$A$79:$A$82,0),1)</f>
        <v>5695680</v>
      </c>
      <c r="S476" s="33">
        <f>SUMIFS(INDEX(Load,,MATCH('Summarized Source Data'!$C476,Hour,0)),Month,'Summarized Source Data'!$A476,Sector,'Summarized Source Data'!S$2,TimeOfWeek,$E476)*INDEX(About!O$79:O$82,MATCH($B476,About!$A$79:$A$82,0),1)</f>
        <v>5695680</v>
      </c>
      <c r="T476" s="33">
        <f>SUMIFS(INDEX(Load,,MATCH('Summarized Source Data'!$C476,Hour,0)),Month,'Summarized Source Data'!$A476,Sector,'Summarized Source Data'!T$2,TimeOfWeek,$E476)*INDEX(About!P$79:P$82,MATCH($B476,About!$A$79:$A$82,0),1)</f>
        <v>5695680</v>
      </c>
      <c r="U476" s="33">
        <f>SUMIFS(INDEX(Load,,MATCH('Summarized Source Data'!$C476,Hour,0)),Month,'Summarized Source Data'!$A476,Sector,'Summarized Source Data'!U$2,TimeOfWeek,$E476)*INDEX(About!Q$79:Q$82,MATCH($B476,About!$A$79:$A$82,0),1)</f>
        <v>5695680</v>
      </c>
      <c r="V476" s="33">
        <f>SUMIFS(INDEX(Load,,MATCH('Summarized Source Data'!$C476,Hour,0)),Month,'Summarized Source Data'!$A476,Sector,'Summarized Source Data'!V$2,TimeOfWeek,$E476)*INDEX(About!R$79:R$82,MATCH($B476,About!$A$79:$A$82,0),1)</f>
        <v>5695680</v>
      </c>
      <c r="W476" s="33">
        <f>SUMIFS(INDEX(Load,,MATCH('Summarized Source Data'!$C476,Hour,0)),Month,'Summarized Source Data'!$A476,Sector,'Summarized Source Data'!W$2,TimeOfWeek,$E476)*INDEX(About!S$79:S$82,MATCH($B476,About!$A$79:$A$82,0),1)</f>
        <v>5695680</v>
      </c>
      <c r="X476" s="27">
        <f>SUMIFS(INDEX(Load,,MATCH('Summarized Source Data'!$C476,Hour,0)),Month,'Summarized Source Data'!$A476,Sector,'Summarized Source Data'!X$2,Subsector,'Summarized Source Data'!X$3,TimeOfWeek,$E476)*INDEX(About!T$79:T$82,MATCH($B476,About!$A$79:$A$82,0),1)</f>
        <v>353000000</v>
      </c>
      <c r="Y476" s="29">
        <f t="shared" si="40"/>
        <v>353000000</v>
      </c>
      <c r="Z476" s="29">
        <f t="shared" si="40"/>
        <v>353000000</v>
      </c>
    </row>
    <row r="477" spans="1:26" x14ac:dyDescent="0.3">
      <c r="A477">
        <f t="shared" si="35"/>
        <v>8</v>
      </c>
      <c r="B477" t="str">
        <f>INDEX('Category Mapping'!$G$28:$G$39,MATCH(A477,'Category Mapping'!$A$28:$A$39,0),1)</f>
        <v>Summer</v>
      </c>
      <c r="C477" t="s">
        <v>80</v>
      </c>
      <c r="D477" s="6" t="s">
        <v>155</v>
      </c>
      <c r="E477" s="46" t="s">
        <v>48</v>
      </c>
      <c r="F477" s="27">
        <f>SUMIFS(INDEX(Load,,MATCH('Summarized Source Data'!$C477,Hour,0)),Month,'Summarized Source Data'!$A477,Sector,'Summarized Source Data'!F$2,Subsector,'Summarized Source Data'!F$3,TimeOfWeek,$E477)*INDEX(About!B$79:B$82,MATCH($B477,About!$A$79:$A$82,0),1)</f>
        <v>44184</v>
      </c>
      <c r="G477" s="27">
        <f>SUMIFS(INDEX(Load,,MATCH('Summarized Source Data'!$C477,Hour,0)),Month,'Summarized Source Data'!$A477,Sector,'Summarized Source Data'!G$2,Subsector,'Summarized Source Data'!G$3,TimeOfWeek,$E477)*INDEX(About!C$79:C$82,MATCH($B477,About!$A$79:$A$82,0),1)</f>
        <v>54500000</v>
      </c>
      <c r="H477" s="27">
        <f>SUMIFS(INDEX(Load,,MATCH('Summarized Source Data'!$C477,Hour,0)),Month,'Summarized Source Data'!$A477,Sector,'Summarized Source Data'!H$2,Subsector,'Summarized Source Data'!H$3,TimeOfWeek,$E477)*INDEX(About!D$79:D$82,MATCH($B477,About!$A$79:$A$82,0),1)</f>
        <v>0</v>
      </c>
      <c r="I477" s="27">
        <f>SUMIFS(INDEX(Load,,MATCH('Summarized Source Data'!$C477,Hour,0)),Month,'Summarized Source Data'!$A477,Sector,'Summarized Source Data'!I$2,Subsector,'Summarized Source Data'!I$3,TimeOfWeek,$E477)*INDEX(About!E$79:E$82,MATCH($B477,About!$A$79:$A$82,0),1)</f>
        <v>10500000</v>
      </c>
      <c r="J477" s="54">
        <f t="shared" si="37"/>
        <v>93955816</v>
      </c>
      <c r="K477" s="27">
        <f>(SUMIFS(INDEX(Load,,MATCH('Summarized Source Data'!$C477,Hour,0)),Month,'Summarized Source Data'!$A477,Sector,'Summarized Source Data'!K$2,Subsector,"Total",TimeOfWeek,$E477)-SUM(F477:I477))*INDEX(About!G$79:G$82,MATCH($B477,About!$A$79:$A$82,0),1)</f>
        <v>93955816</v>
      </c>
      <c r="L477" s="27">
        <f>SUMIFS(INDEX(Load,,MATCH('Summarized Source Data'!$C477,Hour,0)),Month,'Summarized Source Data'!$A477,Sector,'Summarized Source Data'!L$2,Subsector,'Summarized Source Data'!L$3,TimeOfWeek,$E477)*INDEX(About!H$79:H$82,MATCH($B477,About!$A$79:$A$82,0),1)</f>
        <v>66279</v>
      </c>
      <c r="M477" s="27">
        <f>SUMIFS(INDEX(Load,,MATCH('Summarized Source Data'!$C477,Hour,0)),Month,'Summarized Source Data'!$A477,Sector,'Summarized Source Data'!M$2,Subsector,'Summarized Source Data'!M$3,TimeOfWeek,$E477)*INDEX(About!I$79:I$82,MATCH($B477,About!$A$79:$A$82,0),1)</f>
        <v>211000000</v>
      </c>
      <c r="N477" s="27">
        <f>SUMIFS(INDEX(Load,,MATCH('Summarized Source Data'!$C477,Hour,0)),Month,'Summarized Source Data'!$A477,Sector,'Summarized Source Data'!N$2,Subsector,'Summarized Source Data'!N$3,TimeOfWeek,$E477)*INDEX(About!J$79:J$82,MATCH($B477,About!$A$79:$A$82,0),1)</f>
        <v>0</v>
      </c>
      <c r="O477" s="29">
        <f t="shared" si="38"/>
        <v>102933721</v>
      </c>
      <c r="P477" s="27">
        <f>(SUMIFS(INDEX(Load,,MATCH('Summarized Source Data'!$C477,Hour,0)),Month,'Summarized Source Data'!$A477,Sector,'Summarized Source Data'!P$2,Subsector,"Total",TimeOfWeek,$E477)-SUM(L477:N477)*INDEX(About!L$79:L$82,MATCH($B477,About!$A$79:$A$82,0),1))</f>
        <v>102933721</v>
      </c>
      <c r="Q477" s="29">
        <f t="shared" si="39"/>
        <v>102933721</v>
      </c>
      <c r="R477" s="33">
        <f>SUMIFS(INDEX(Load,,MATCH('Summarized Source Data'!$C477,Hour,0)),Month,'Summarized Source Data'!$A477,Sector,'Summarized Source Data'!R$2,TimeOfWeek,$E477)*INDEX(About!N$79:N$82,MATCH($B477,About!$A$79:$A$82,0),1)</f>
        <v>5701535</v>
      </c>
      <c r="S477" s="33">
        <f>SUMIFS(INDEX(Load,,MATCH('Summarized Source Data'!$C477,Hour,0)),Month,'Summarized Source Data'!$A477,Sector,'Summarized Source Data'!S$2,TimeOfWeek,$E477)*INDEX(About!O$79:O$82,MATCH($B477,About!$A$79:$A$82,0),1)</f>
        <v>5701535</v>
      </c>
      <c r="T477" s="33">
        <f>SUMIFS(INDEX(Load,,MATCH('Summarized Source Data'!$C477,Hour,0)),Month,'Summarized Source Data'!$A477,Sector,'Summarized Source Data'!T$2,TimeOfWeek,$E477)*INDEX(About!P$79:P$82,MATCH($B477,About!$A$79:$A$82,0),1)</f>
        <v>5701535</v>
      </c>
      <c r="U477" s="33">
        <f>SUMIFS(INDEX(Load,,MATCH('Summarized Source Data'!$C477,Hour,0)),Month,'Summarized Source Data'!$A477,Sector,'Summarized Source Data'!U$2,TimeOfWeek,$E477)*INDEX(About!Q$79:Q$82,MATCH($B477,About!$A$79:$A$82,0),1)</f>
        <v>5701535</v>
      </c>
      <c r="V477" s="33">
        <f>SUMIFS(INDEX(Load,,MATCH('Summarized Source Data'!$C477,Hour,0)),Month,'Summarized Source Data'!$A477,Sector,'Summarized Source Data'!V$2,TimeOfWeek,$E477)*INDEX(About!R$79:R$82,MATCH($B477,About!$A$79:$A$82,0),1)</f>
        <v>5701535</v>
      </c>
      <c r="W477" s="33">
        <f>SUMIFS(INDEX(Load,,MATCH('Summarized Source Data'!$C477,Hour,0)),Month,'Summarized Source Data'!$A477,Sector,'Summarized Source Data'!W$2,TimeOfWeek,$E477)*INDEX(About!S$79:S$82,MATCH($B477,About!$A$79:$A$82,0),1)</f>
        <v>5701535</v>
      </c>
      <c r="X477" s="27">
        <f>SUMIFS(INDEX(Load,,MATCH('Summarized Source Data'!$C477,Hour,0)),Month,'Summarized Source Data'!$A477,Sector,'Summarized Source Data'!X$2,Subsector,'Summarized Source Data'!X$3,TimeOfWeek,$E477)*INDEX(About!T$79:T$82,MATCH($B477,About!$A$79:$A$82,0),1)</f>
        <v>354000000</v>
      </c>
      <c r="Y477" s="29">
        <f t="shared" si="40"/>
        <v>354000000</v>
      </c>
      <c r="Z477" s="29">
        <f t="shared" si="40"/>
        <v>354000000</v>
      </c>
    </row>
    <row r="478" spans="1:26" x14ac:dyDescent="0.3">
      <c r="A478">
        <f t="shared" si="35"/>
        <v>8</v>
      </c>
      <c r="B478" t="str">
        <f>INDEX('Category Mapping'!$G$28:$G$39,MATCH(A478,'Category Mapping'!$A$28:$A$39,0),1)</f>
        <v>Summer</v>
      </c>
      <c r="C478" t="s">
        <v>81</v>
      </c>
      <c r="D478" s="6" t="s">
        <v>156</v>
      </c>
      <c r="E478" s="46" t="s">
        <v>48</v>
      </c>
      <c r="F478" s="27">
        <f>SUMIFS(INDEX(Load,,MATCH('Summarized Source Data'!$C478,Hour,0)),Month,'Summarized Source Data'!$A478,Sector,'Summarized Source Data'!F$2,Subsector,'Summarized Source Data'!F$3,TimeOfWeek,$E478)*INDEX(About!B$79:B$82,MATCH($B478,About!$A$79:$A$82,0),1)</f>
        <v>45794</v>
      </c>
      <c r="G478" s="27">
        <f>SUMIFS(INDEX(Load,,MATCH('Summarized Source Data'!$C478,Hour,0)),Month,'Summarized Source Data'!$A478,Sector,'Summarized Source Data'!G$2,Subsector,'Summarized Source Data'!G$3,TimeOfWeek,$E478)*INDEX(About!C$79:C$82,MATCH($B478,About!$A$79:$A$82,0),1)</f>
        <v>52800000</v>
      </c>
      <c r="H478" s="27">
        <f>SUMIFS(INDEX(Load,,MATCH('Summarized Source Data'!$C478,Hour,0)),Month,'Summarized Source Data'!$A478,Sector,'Summarized Source Data'!H$2,Subsector,'Summarized Source Data'!H$3,TimeOfWeek,$E478)*INDEX(About!D$79:D$82,MATCH($B478,About!$A$79:$A$82,0),1)</f>
        <v>0</v>
      </c>
      <c r="I478" s="27">
        <f>SUMIFS(INDEX(Load,,MATCH('Summarized Source Data'!$C478,Hour,0)),Month,'Summarized Source Data'!$A478,Sector,'Summarized Source Data'!I$2,Subsector,'Summarized Source Data'!I$3,TimeOfWeek,$E478)*INDEX(About!E$79:E$82,MATCH($B478,About!$A$79:$A$82,0),1)</f>
        <v>28400000</v>
      </c>
      <c r="J478" s="54">
        <f t="shared" si="37"/>
        <v>90754206</v>
      </c>
      <c r="K478" s="27">
        <f>(SUMIFS(INDEX(Load,,MATCH('Summarized Source Data'!$C478,Hour,0)),Month,'Summarized Source Data'!$A478,Sector,'Summarized Source Data'!K$2,Subsector,"Total",TimeOfWeek,$E478)-SUM(F478:I478))*INDEX(About!G$79:G$82,MATCH($B478,About!$A$79:$A$82,0),1)</f>
        <v>90754206</v>
      </c>
      <c r="L478" s="27">
        <f>SUMIFS(INDEX(Load,,MATCH('Summarized Source Data'!$C478,Hour,0)),Month,'Summarized Source Data'!$A478,Sector,'Summarized Source Data'!L$2,Subsector,'Summarized Source Data'!L$3,TimeOfWeek,$E478)*INDEX(About!H$79:H$82,MATCH($B478,About!$A$79:$A$82,0),1)</f>
        <v>66279</v>
      </c>
      <c r="M478" s="27">
        <f>SUMIFS(INDEX(Load,,MATCH('Summarized Source Data'!$C478,Hour,0)),Month,'Summarized Source Data'!$A478,Sector,'Summarized Source Data'!M$2,Subsector,'Summarized Source Data'!M$3,TimeOfWeek,$E478)*INDEX(About!I$79:I$82,MATCH($B478,About!$A$79:$A$82,0),1)</f>
        <v>199000000</v>
      </c>
      <c r="N478" s="27">
        <f>SUMIFS(INDEX(Load,,MATCH('Summarized Source Data'!$C478,Hour,0)),Month,'Summarized Source Data'!$A478,Sector,'Summarized Source Data'!N$2,Subsector,'Summarized Source Data'!N$3,TimeOfWeek,$E478)*INDEX(About!J$79:J$82,MATCH($B478,About!$A$79:$A$82,0),1)</f>
        <v>0</v>
      </c>
      <c r="O478" s="29">
        <f t="shared" si="38"/>
        <v>101933721</v>
      </c>
      <c r="P478" s="27">
        <f>(SUMIFS(INDEX(Load,,MATCH('Summarized Source Data'!$C478,Hour,0)),Month,'Summarized Source Data'!$A478,Sector,'Summarized Source Data'!P$2,Subsector,"Total",TimeOfWeek,$E478)-SUM(L478:N478)*INDEX(About!L$79:L$82,MATCH($B478,About!$A$79:$A$82,0),1))</f>
        <v>101933721</v>
      </c>
      <c r="Q478" s="29">
        <f t="shared" si="39"/>
        <v>101933721</v>
      </c>
      <c r="R478" s="33">
        <f>SUMIFS(INDEX(Load,,MATCH('Summarized Source Data'!$C478,Hour,0)),Month,'Summarized Source Data'!$A478,Sector,'Summarized Source Data'!R$2,TimeOfWeek,$E478)*INDEX(About!N$79:N$82,MATCH($B478,About!$A$79:$A$82,0),1)</f>
        <v>5660547</v>
      </c>
      <c r="S478" s="33">
        <f>SUMIFS(INDEX(Load,,MATCH('Summarized Source Data'!$C478,Hour,0)),Month,'Summarized Source Data'!$A478,Sector,'Summarized Source Data'!S$2,TimeOfWeek,$E478)*INDEX(About!O$79:O$82,MATCH($B478,About!$A$79:$A$82,0),1)</f>
        <v>5660547</v>
      </c>
      <c r="T478" s="33">
        <f>SUMIFS(INDEX(Load,,MATCH('Summarized Source Data'!$C478,Hour,0)),Month,'Summarized Source Data'!$A478,Sector,'Summarized Source Data'!T$2,TimeOfWeek,$E478)*INDEX(About!P$79:P$82,MATCH($B478,About!$A$79:$A$82,0),1)</f>
        <v>5660547</v>
      </c>
      <c r="U478" s="33">
        <f>SUMIFS(INDEX(Load,,MATCH('Summarized Source Data'!$C478,Hour,0)),Month,'Summarized Source Data'!$A478,Sector,'Summarized Source Data'!U$2,TimeOfWeek,$E478)*INDEX(About!Q$79:Q$82,MATCH($B478,About!$A$79:$A$82,0),1)</f>
        <v>5660547</v>
      </c>
      <c r="V478" s="33">
        <f>SUMIFS(INDEX(Load,,MATCH('Summarized Source Data'!$C478,Hour,0)),Month,'Summarized Source Data'!$A478,Sector,'Summarized Source Data'!V$2,TimeOfWeek,$E478)*INDEX(About!R$79:R$82,MATCH($B478,About!$A$79:$A$82,0),1)</f>
        <v>5660547</v>
      </c>
      <c r="W478" s="33">
        <f>SUMIFS(INDEX(Load,,MATCH('Summarized Source Data'!$C478,Hour,0)),Month,'Summarized Source Data'!$A478,Sector,'Summarized Source Data'!W$2,TimeOfWeek,$E478)*INDEX(About!S$79:S$82,MATCH($B478,About!$A$79:$A$82,0),1)</f>
        <v>5660547</v>
      </c>
      <c r="X478" s="27">
        <f>SUMIFS(INDEX(Load,,MATCH('Summarized Source Data'!$C478,Hour,0)),Month,'Summarized Source Data'!$A478,Sector,'Summarized Source Data'!X$2,Subsector,'Summarized Source Data'!X$3,TimeOfWeek,$E478)*INDEX(About!T$79:T$82,MATCH($B478,About!$A$79:$A$82,0),1)</f>
        <v>352000000</v>
      </c>
      <c r="Y478" s="29">
        <f t="shared" si="40"/>
        <v>352000000</v>
      </c>
      <c r="Z478" s="29">
        <f t="shared" si="40"/>
        <v>352000000</v>
      </c>
    </row>
    <row r="479" spans="1:26" x14ac:dyDescent="0.3">
      <c r="A479">
        <f t="shared" si="35"/>
        <v>8</v>
      </c>
      <c r="B479" t="str">
        <f>INDEX('Category Mapping'!$G$28:$G$39,MATCH(A479,'Category Mapping'!$A$28:$A$39,0),1)</f>
        <v>Summer</v>
      </c>
      <c r="C479" t="s">
        <v>82</v>
      </c>
      <c r="D479" s="6" t="s">
        <v>157</v>
      </c>
      <c r="E479" s="46" t="s">
        <v>48</v>
      </c>
      <c r="F479" s="27">
        <f>SUMIFS(INDEX(Load,,MATCH('Summarized Source Data'!$C479,Hour,0)),Month,'Summarized Source Data'!$A479,Sector,'Summarized Source Data'!F$2,Subsector,'Summarized Source Data'!F$3,TimeOfWeek,$E479)*INDEX(About!B$79:B$82,MATCH($B479,About!$A$79:$A$82,0),1)</f>
        <v>47225</v>
      </c>
      <c r="G479" s="27">
        <f>SUMIFS(INDEX(Load,,MATCH('Summarized Source Data'!$C479,Hour,0)),Month,'Summarized Source Data'!$A479,Sector,'Summarized Source Data'!G$2,Subsector,'Summarized Source Data'!G$3,TimeOfWeek,$E479)*INDEX(About!C$79:C$82,MATCH($B479,About!$A$79:$A$82,0),1)</f>
        <v>49800000</v>
      </c>
      <c r="H479" s="27">
        <f>SUMIFS(INDEX(Load,,MATCH('Summarized Source Data'!$C479,Hour,0)),Month,'Summarized Source Data'!$A479,Sector,'Summarized Source Data'!H$2,Subsector,'Summarized Source Data'!H$3,TimeOfWeek,$E479)*INDEX(About!D$79:D$82,MATCH($B479,About!$A$79:$A$82,0),1)</f>
        <v>0</v>
      </c>
      <c r="I479" s="27">
        <f>SUMIFS(INDEX(Load,,MATCH('Summarized Source Data'!$C479,Hour,0)),Month,'Summarized Source Data'!$A479,Sector,'Summarized Source Data'!I$2,Subsector,'Summarized Source Data'!I$3,TimeOfWeek,$E479)*INDEX(About!E$79:E$82,MATCH($B479,About!$A$79:$A$82,0),1)</f>
        <v>29700000</v>
      </c>
      <c r="J479" s="54">
        <f t="shared" si="37"/>
        <v>84452775</v>
      </c>
      <c r="K479" s="27">
        <f>(SUMIFS(INDEX(Load,,MATCH('Summarized Source Data'!$C479,Hour,0)),Month,'Summarized Source Data'!$A479,Sector,'Summarized Source Data'!K$2,Subsector,"Total",TimeOfWeek,$E479)-SUM(F479:I479))*INDEX(About!G$79:G$82,MATCH($B479,About!$A$79:$A$82,0),1)</f>
        <v>84452775</v>
      </c>
      <c r="L479" s="27">
        <f>SUMIFS(INDEX(Load,,MATCH('Summarized Source Data'!$C479,Hour,0)),Month,'Summarized Source Data'!$A479,Sector,'Summarized Source Data'!L$2,Subsector,'Summarized Source Data'!L$3,TimeOfWeek,$E479)*INDEX(About!H$79:H$82,MATCH($B479,About!$A$79:$A$82,0),1)</f>
        <v>66279</v>
      </c>
      <c r="M479" s="27">
        <f>SUMIFS(INDEX(Load,,MATCH('Summarized Source Data'!$C479,Hour,0)),Month,'Summarized Source Data'!$A479,Sector,'Summarized Source Data'!M$2,Subsector,'Summarized Source Data'!M$3,TimeOfWeek,$E479)*INDEX(About!I$79:I$82,MATCH($B479,About!$A$79:$A$82,0),1)</f>
        <v>184000000</v>
      </c>
      <c r="N479" s="27">
        <f>SUMIFS(INDEX(Load,,MATCH('Summarized Source Data'!$C479,Hour,0)),Month,'Summarized Source Data'!$A479,Sector,'Summarized Source Data'!N$2,Subsector,'Summarized Source Data'!N$3,TimeOfWeek,$E479)*INDEX(About!J$79:J$82,MATCH($B479,About!$A$79:$A$82,0),1)</f>
        <v>0</v>
      </c>
      <c r="O479" s="29">
        <f t="shared" si="38"/>
        <v>98933721</v>
      </c>
      <c r="P479" s="27">
        <f>(SUMIFS(INDEX(Load,,MATCH('Summarized Source Data'!$C479,Hour,0)),Month,'Summarized Source Data'!$A479,Sector,'Summarized Source Data'!P$2,Subsector,"Total",TimeOfWeek,$E479)-SUM(L479:N479)*INDEX(About!L$79:L$82,MATCH($B479,About!$A$79:$A$82,0),1))</f>
        <v>98933721</v>
      </c>
      <c r="Q479" s="29">
        <f t="shared" si="39"/>
        <v>98933721</v>
      </c>
      <c r="R479" s="33">
        <f>SUMIFS(INDEX(Load,,MATCH('Summarized Source Data'!$C479,Hour,0)),Month,'Summarized Source Data'!$A479,Sector,'Summarized Source Data'!R$2,TimeOfWeek,$E479)*INDEX(About!N$79:N$82,MATCH($B479,About!$A$79:$A$82,0),1)</f>
        <v>5525871</v>
      </c>
      <c r="S479" s="33">
        <f>SUMIFS(INDEX(Load,,MATCH('Summarized Source Data'!$C479,Hour,0)),Month,'Summarized Source Data'!$A479,Sector,'Summarized Source Data'!S$2,TimeOfWeek,$E479)*INDEX(About!O$79:O$82,MATCH($B479,About!$A$79:$A$82,0),1)</f>
        <v>5525871</v>
      </c>
      <c r="T479" s="33">
        <f>SUMIFS(INDEX(Load,,MATCH('Summarized Source Data'!$C479,Hour,0)),Month,'Summarized Source Data'!$A479,Sector,'Summarized Source Data'!T$2,TimeOfWeek,$E479)*INDEX(About!P$79:P$82,MATCH($B479,About!$A$79:$A$82,0),1)</f>
        <v>5525871</v>
      </c>
      <c r="U479" s="33">
        <f>SUMIFS(INDEX(Load,,MATCH('Summarized Source Data'!$C479,Hour,0)),Month,'Summarized Source Data'!$A479,Sector,'Summarized Source Data'!U$2,TimeOfWeek,$E479)*INDEX(About!Q$79:Q$82,MATCH($B479,About!$A$79:$A$82,0),1)</f>
        <v>5525871</v>
      </c>
      <c r="V479" s="33">
        <f>SUMIFS(INDEX(Load,,MATCH('Summarized Source Data'!$C479,Hour,0)),Month,'Summarized Source Data'!$A479,Sector,'Summarized Source Data'!V$2,TimeOfWeek,$E479)*INDEX(About!R$79:R$82,MATCH($B479,About!$A$79:$A$82,0),1)</f>
        <v>5525871</v>
      </c>
      <c r="W479" s="33">
        <f>SUMIFS(INDEX(Load,,MATCH('Summarized Source Data'!$C479,Hour,0)),Month,'Summarized Source Data'!$A479,Sector,'Summarized Source Data'!W$2,TimeOfWeek,$E479)*INDEX(About!S$79:S$82,MATCH($B479,About!$A$79:$A$82,0),1)</f>
        <v>5525871</v>
      </c>
      <c r="X479" s="27">
        <f>SUMIFS(INDEX(Load,,MATCH('Summarized Source Data'!$C479,Hour,0)),Month,'Summarized Source Data'!$A479,Sector,'Summarized Source Data'!X$2,Subsector,'Summarized Source Data'!X$3,TimeOfWeek,$E479)*INDEX(About!T$79:T$82,MATCH($B479,About!$A$79:$A$82,0),1)</f>
        <v>350000000</v>
      </c>
      <c r="Y479" s="29">
        <f t="shared" si="40"/>
        <v>350000000</v>
      </c>
      <c r="Z479" s="29">
        <f t="shared" si="40"/>
        <v>350000000</v>
      </c>
    </row>
    <row r="480" spans="1:26" x14ac:dyDescent="0.3">
      <c r="A480">
        <f t="shared" si="35"/>
        <v>8</v>
      </c>
      <c r="B480" t="str">
        <f>INDEX('Category Mapping'!$G$28:$G$39,MATCH(A480,'Category Mapping'!$A$28:$A$39,0),1)</f>
        <v>Summer</v>
      </c>
      <c r="C480" t="s">
        <v>83</v>
      </c>
      <c r="D480" s="6" t="s">
        <v>158</v>
      </c>
      <c r="E480" s="46" t="s">
        <v>48</v>
      </c>
      <c r="F480" s="27">
        <f>SUMIFS(INDEX(Load,,MATCH('Summarized Source Data'!$C480,Hour,0)),Month,'Summarized Source Data'!$A480,Sector,'Summarized Source Data'!F$2,Subsector,'Summarized Source Data'!F$3,TimeOfWeek,$E480)*INDEX(About!B$79:B$82,MATCH($B480,About!$A$79:$A$82,0),1)</f>
        <v>47054</v>
      </c>
      <c r="G480" s="27">
        <f>SUMIFS(INDEX(Load,,MATCH('Summarized Source Data'!$C480,Hour,0)),Month,'Summarized Source Data'!$A480,Sector,'Summarized Source Data'!G$2,Subsector,'Summarized Source Data'!G$3,TimeOfWeek,$E480)*INDEX(About!C$79:C$82,MATCH($B480,About!$A$79:$A$82,0),1)</f>
        <v>45200000</v>
      </c>
      <c r="H480" s="27">
        <f>SUMIFS(INDEX(Load,,MATCH('Summarized Source Data'!$C480,Hour,0)),Month,'Summarized Source Data'!$A480,Sector,'Summarized Source Data'!H$2,Subsector,'Summarized Source Data'!H$3,TimeOfWeek,$E480)*INDEX(About!D$79:D$82,MATCH($B480,About!$A$79:$A$82,0),1)</f>
        <v>0</v>
      </c>
      <c r="I480" s="27">
        <f>SUMIFS(INDEX(Load,,MATCH('Summarized Source Data'!$C480,Hour,0)),Month,'Summarized Source Data'!$A480,Sector,'Summarized Source Data'!I$2,Subsector,'Summarized Source Data'!I$3,TimeOfWeek,$E480)*INDEX(About!E$79:E$82,MATCH($B480,About!$A$79:$A$82,0),1)</f>
        <v>29600000</v>
      </c>
      <c r="J480" s="54">
        <f t="shared" si="37"/>
        <v>79152946</v>
      </c>
      <c r="K480" s="27">
        <f>(SUMIFS(INDEX(Load,,MATCH('Summarized Source Data'!$C480,Hour,0)),Month,'Summarized Source Data'!$A480,Sector,'Summarized Source Data'!K$2,Subsector,"Total",TimeOfWeek,$E480)-SUM(F480:I480))*INDEX(About!G$79:G$82,MATCH($B480,About!$A$79:$A$82,0),1)</f>
        <v>79152946</v>
      </c>
      <c r="L480" s="27">
        <f>SUMIFS(INDEX(Load,,MATCH('Summarized Source Data'!$C480,Hour,0)),Month,'Summarized Source Data'!$A480,Sector,'Summarized Source Data'!L$2,Subsector,'Summarized Source Data'!L$3,TimeOfWeek,$E480)*INDEX(About!H$79:H$82,MATCH($B480,About!$A$79:$A$82,0),1)</f>
        <v>66279</v>
      </c>
      <c r="M480" s="27">
        <f>SUMIFS(INDEX(Load,,MATCH('Summarized Source Data'!$C480,Hour,0)),Month,'Summarized Source Data'!$A480,Sector,'Summarized Source Data'!M$2,Subsector,'Summarized Source Data'!M$3,TimeOfWeek,$E480)*INDEX(About!I$79:I$82,MATCH($B480,About!$A$79:$A$82,0),1)</f>
        <v>170000000</v>
      </c>
      <c r="N480" s="27">
        <f>SUMIFS(INDEX(Load,,MATCH('Summarized Source Data'!$C480,Hour,0)),Month,'Summarized Source Data'!$A480,Sector,'Summarized Source Data'!N$2,Subsector,'Summarized Source Data'!N$3,TimeOfWeek,$E480)*INDEX(About!J$79:J$82,MATCH($B480,About!$A$79:$A$82,0),1)</f>
        <v>0</v>
      </c>
      <c r="O480" s="29">
        <f t="shared" si="38"/>
        <v>93933721</v>
      </c>
      <c r="P480" s="27">
        <f>(SUMIFS(INDEX(Load,,MATCH('Summarized Source Data'!$C480,Hour,0)),Month,'Summarized Source Data'!$A480,Sector,'Summarized Source Data'!P$2,Subsector,"Total",TimeOfWeek,$E480)-SUM(L480:N480)*INDEX(About!L$79:L$82,MATCH($B480,About!$A$79:$A$82,0),1))</f>
        <v>93933721</v>
      </c>
      <c r="Q480" s="29">
        <f t="shared" si="39"/>
        <v>93933721</v>
      </c>
      <c r="R480" s="33">
        <f>SUMIFS(INDEX(Load,,MATCH('Summarized Source Data'!$C480,Hour,0)),Month,'Summarized Source Data'!$A480,Sector,'Summarized Source Data'!R$2,TimeOfWeek,$E480)*INDEX(About!N$79:N$82,MATCH($B480,About!$A$79:$A$82,0),1)</f>
        <v>5344352</v>
      </c>
      <c r="S480" s="33">
        <f>SUMIFS(INDEX(Load,,MATCH('Summarized Source Data'!$C480,Hour,0)),Month,'Summarized Source Data'!$A480,Sector,'Summarized Source Data'!S$2,TimeOfWeek,$E480)*INDEX(About!O$79:O$82,MATCH($B480,About!$A$79:$A$82,0),1)</f>
        <v>5344352</v>
      </c>
      <c r="T480" s="33">
        <f>SUMIFS(INDEX(Load,,MATCH('Summarized Source Data'!$C480,Hour,0)),Month,'Summarized Source Data'!$A480,Sector,'Summarized Source Data'!T$2,TimeOfWeek,$E480)*INDEX(About!P$79:P$82,MATCH($B480,About!$A$79:$A$82,0),1)</f>
        <v>5344352</v>
      </c>
      <c r="U480" s="33">
        <f>SUMIFS(INDEX(Load,,MATCH('Summarized Source Data'!$C480,Hour,0)),Month,'Summarized Source Data'!$A480,Sector,'Summarized Source Data'!U$2,TimeOfWeek,$E480)*INDEX(About!Q$79:Q$82,MATCH($B480,About!$A$79:$A$82,0),1)</f>
        <v>5344352</v>
      </c>
      <c r="V480" s="33">
        <f>SUMIFS(INDEX(Load,,MATCH('Summarized Source Data'!$C480,Hour,0)),Month,'Summarized Source Data'!$A480,Sector,'Summarized Source Data'!V$2,TimeOfWeek,$E480)*INDEX(About!R$79:R$82,MATCH($B480,About!$A$79:$A$82,0),1)</f>
        <v>5344352</v>
      </c>
      <c r="W480" s="33">
        <f>SUMIFS(INDEX(Load,,MATCH('Summarized Source Data'!$C480,Hour,0)),Month,'Summarized Source Data'!$A480,Sector,'Summarized Source Data'!W$2,TimeOfWeek,$E480)*INDEX(About!S$79:S$82,MATCH($B480,About!$A$79:$A$82,0),1)</f>
        <v>5344352</v>
      </c>
      <c r="X480" s="27">
        <f>SUMIFS(INDEX(Load,,MATCH('Summarized Source Data'!$C480,Hour,0)),Month,'Summarized Source Data'!$A480,Sector,'Summarized Source Data'!X$2,Subsector,'Summarized Source Data'!X$3,TimeOfWeek,$E480)*INDEX(About!T$79:T$82,MATCH($B480,About!$A$79:$A$82,0),1)</f>
        <v>348000000</v>
      </c>
      <c r="Y480" s="29">
        <f t="shared" si="40"/>
        <v>348000000</v>
      </c>
      <c r="Z480" s="29">
        <f t="shared" si="40"/>
        <v>348000000</v>
      </c>
    </row>
    <row r="481" spans="1:26" x14ac:dyDescent="0.3">
      <c r="A481">
        <f t="shared" si="35"/>
        <v>8</v>
      </c>
      <c r="B481" t="str">
        <f>INDEX('Category Mapping'!$G$28:$G$39,MATCH(A481,'Category Mapping'!$A$28:$A$39,0),1)</f>
        <v>Summer</v>
      </c>
      <c r="C481" t="s">
        <v>84</v>
      </c>
      <c r="D481" s="6" t="s">
        <v>159</v>
      </c>
      <c r="E481" s="46" t="s">
        <v>48</v>
      </c>
      <c r="F481" s="27">
        <f>SUMIFS(INDEX(Load,,MATCH('Summarized Source Data'!$C481,Hour,0)),Month,'Summarized Source Data'!$A481,Sector,'Summarized Source Data'!F$2,Subsector,'Summarized Source Data'!F$3,TimeOfWeek,$E481)*INDEX(About!B$79:B$82,MATCH($B481,About!$A$79:$A$82,0),1)</f>
        <v>41612</v>
      </c>
      <c r="G481" s="27">
        <f>SUMIFS(INDEX(Load,,MATCH('Summarized Source Data'!$C481,Hour,0)),Month,'Summarized Source Data'!$A481,Sector,'Summarized Source Data'!G$2,Subsector,'Summarized Source Data'!G$3,TimeOfWeek,$E481)*INDEX(About!C$79:C$82,MATCH($B481,About!$A$79:$A$82,0),1)</f>
        <v>40000000</v>
      </c>
      <c r="H481" s="27">
        <f>SUMIFS(INDEX(Load,,MATCH('Summarized Source Data'!$C481,Hour,0)),Month,'Summarized Source Data'!$A481,Sector,'Summarized Source Data'!H$2,Subsector,'Summarized Source Data'!H$3,TimeOfWeek,$E481)*INDEX(About!D$79:D$82,MATCH($B481,About!$A$79:$A$82,0),1)</f>
        <v>0</v>
      </c>
      <c r="I481" s="27">
        <f>SUMIFS(INDEX(Load,,MATCH('Summarized Source Data'!$C481,Hour,0)),Month,'Summarized Source Data'!$A481,Sector,'Summarized Source Data'!I$2,Subsector,'Summarized Source Data'!I$3,TimeOfWeek,$E481)*INDEX(About!E$79:E$82,MATCH($B481,About!$A$79:$A$82,0),1)</f>
        <v>24400000</v>
      </c>
      <c r="J481" s="54">
        <f t="shared" si="37"/>
        <v>72558388</v>
      </c>
      <c r="K481" s="27">
        <f>(SUMIFS(INDEX(Load,,MATCH('Summarized Source Data'!$C481,Hour,0)),Month,'Summarized Source Data'!$A481,Sector,'Summarized Source Data'!K$2,Subsector,"Total",TimeOfWeek,$E481)-SUM(F481:I481))*INDEX(About!G$79:G$82,MATCH($B481,About!$A$79:$A$82,0),1)</f>
        <v>72558388</v>
      </c>
      <c r="L481" s="27">
        <f>SUMIFS(INDEX(Load,,MATCH('Summarized Source Data'!$C481,Hour,0)),Month,'Summarized Source Data'!$A481,Sector,'Summarized Source Data'!L$2,Subsector,'Summarized Source Data'!L$3,TimeOfWeek,$E481)*INDEX(About!H$79:H$82,MATCH($B481,About!$A$79:$A$82,0),1)</f>
        <v>66279</v>
      </c>
      <c r="M481" s="27">
        <f>SUMIFS(INDEX(Load,,MATCH('Summarized Source Data'!$C481,Hour,0)),Month,'Summarized Source Data'!$A481,Sector,'Summarized Source Data'!M$2,Subsector,'Summarized Source Data'!M$3,TimeOfWeek,$E481)*INDEX(About!I$79:I$82,MATCH($B481,About!$A$79:$A$82,0),1)</f>
        <v>155000000</v>
      </c>
      <c r="N481" s="27">
        <f>SUMIFS(INDEX(Load,,MATCH('Summarized Source Data'!$C481,Hour,0)),Month,'Summarized Source Data'!$A481,Sector,'Summarized Source Data'!N$2,Subsector,'Summarized Source Data'!N$3,TimeOfWeek,$E481)*INDEX(About!J$79:J$82,MATCH($B481,About!$A$79:$A$82,0),1)</f>
        <v>0</v>
      </c>
      <c r="O481" s="29">
        <f t="shared" si="38"/>
        <v>87933721</v>
      </c>
      <c r="P481" s="27">
        <f>(SUMIFS(INDEX(Load,,MATCH('Summarized Source Data'!$C481,Hour,0)),Month,'Summarized Source Data'!$A481,Sector,'Summarized Source Data'!P$2,Subsector,"Total",TimeOfWeek,$E481)-SUM(L481:N481)*INDEX(About!L$79:L$82,MATCH($B481,About!$A$79:$A$82,0),1))</f>
        <v>87933721</v>
      </c>
      <c r="Q481" s="29">
        <f t="shared" si="39"/>
        <v>87933721</v>
      </c>
      <c r="R481" s="33">
        <f>SUMIFS(INDEX(Load,,MATCH('Summarized Source Data'!$C481,Hour,0)),Month,'Summarized Source Data'!$A481,Sector,'Summarized Source Data'!R$2,TimeOfWeek,$E481)*INDEX(About!N$79:N$82,MATCH($B481,About!$A$79:$A$82,0),1)</f>
        <v>5139411</v>
      </c>
      <c r="S481" s="33">
        <f>SUMIFS(INDEX(Load,,MATCH('Summarized Source Data'!$C481,Hour,0)),Month,'Summarized Source Data'!$A481,Sector,'Summarized Source Data'!S$2,TimeOfWeek,$E481)*INDEX(About!O$79:O$82,MATCH($B481,About!$A$79:$A$82,0),1)</f>
        <v>5139411</v>
      </c>
      <c r="T481" s="33">
        <f>SUMIFS(INDEX(Load,,MATCH('Summarized Source Data'!$C481,Hour,0)),Month,'Summarized Source Data'!$A481,Sector,'Summarized Source Data'!T$2,TimeOfWeek,$E481)*INDEX(About!P$79:P$82,MATCH($B481,About!$A$79:$A$82,0),1)</f>
        <v>5139411</v>
      </c>
      <c r="U481" s="33">
        <f>SUMIFS(INDEX(Load,,MATCH('Summarized Source Data'!$C481,Hour,0)),Month,'Summarized Source Data'!$A481,Sector,'Summarized Source Data'!U$2,TimeOfWeek,$E481)*INDEX(About!Q$79:Q$82,MATCH($B481,About!$A$79:$A$82,0),1)</f>
        <v>5139411</v>
      </c>
      <c r="V481" s="33">
        <f>SUMIFS(INDEX(Load,,MATCH('Summarized Source Data'!$C481,Hour,0)),Month,'Summarized Source Data'!$A481,Sector,'Summarized Source Data'!V$2,TimeOfWeek,$E481)*INDEX(About!R$79:R$82,MATCH($B481,About!$A$79:$A$82,0),1)</f>
        <v>5139411</v>
      </c>
      <c r="W481" s="33">
        <f>SUMIFS(INDEX(Load,,MATCH('Summarized Source Data'!$C481,Hour,0)),Month,'Summarized Source Data'!$A481,Sector,'Summarized Source Data'!W$2,TimeOfWeek,$E481)*INDEX(About!S$79:S$82,MATCH($B481,About!$A$79:$A$82,0),1)</f>
        <v>5139411</v>
      </c>
      <c r="X481" s="27">
        <f>SUMIFS(INDEX(Load,,MATCH('Summarized Source Data'!$C481,Hour,0)),Month,'Summarized Source Data'!$A481,Sector,'Summarized Source Data'!X$2,Subsector,'Summarized Source Data'!X$3,TimeOfWeek,$E481)*INDEX(About!T$79:T$82,MATCH($B481,About!$A$79:$A$82,0),1)</f>
        <v>344000000</v>
      </c>
      <c r="Y481" s="29">
        <f t="shared" si="40"/>
        <v>344000000</v>
      </c>
      <c r="Z481" s="29">
        <f t="shared" si="40"/>
        <v>344000000</v>
      </c>
    </row>
    <row r="482" spans="1:26" x14ac:dyDescent="0.3">
      <c r="A482">
        <f t="shared" si="35"/>
        <v>8</v>
      </c>
      <c r="B482" t="str">
        <f>INDEX('Category Mapping'!$G$28:$G$39,MATCH(A482,'Category Mapping'!$A$28:$A$39,0),1)</f>
        <v>Summer</v>
      </c>
      <c r="C482" t="s">
        <v>85</v>
      </c>
      <c r="D482" s="6" t="s">
        <v>160</v>
      </c>
      <c r="E482" s="46" t="s">
        <v>48</v>
      </c>
      <c r="F482" s="27">
        <f>SUMIFS(INDEX(Load,,MATCH('Summarized Source Data'!$C482,Hour,0)),Month,'Summarized Source Data'!$A482,Sector,'Summarized Source Data'!F$2,Subsector,'Summarized Source Data'!F$3,TimeOfWeek,$E482)*INDEX(About!B$79:B$82,MATCH($B482,About!$A$79:$A$82,0),1)</f>
        <v>32379</v>
      </c>
      <c r="G482" s="27">
        <f>SUMIFS(INDEX(Load,,MATCH('Summarized Source Data'!$C482,Hour,0)),Month,'Summarized Source Data'!$A482,Sector,'Summarized Source Data'!G$2,Subsector,'Summarized Source Data'!G$3,TimeOfWeek,$E482)*INDEX(About!C$79:C$82,MATCH($B482,About!$A$79:$A$82,0),1)</f>
        <v>34600000</v>
      </c>
      <c r="H482" s="27">
        <f>SUMIFS(INDEX(Load,,MATCH('Summarized Source Data'!$C482,Hour,0)),Month,'Summarized Source Data'!$A482,Sector,'Summarized Source Data'!H$2,Subsector,'Summarized Source Data'!H$3,TimeOfWeek,$E482)*INDEX(About!D$79:D$82,MATCH($B482,About!$A$79:$A$82,0),1)</f>
        <v>0</v>
      </c>
      <c r="I482" s="27">
        <f>SUMIFS(INDEX(Load,,MATCH('Summarized Source Data'!$C482,Hour,0)),Month,'Summarized Source Data'!$A482,Sector,'Summarized Source Data'!I$2,Subsector,'Summarized Source Data'!I$3,TimeOfWeek,$E482)*INDEX(About!E$79:E$82,MATCH($B482,About!$A$79:$A$82,0),1)</f>
        <v>15800000</v>
      </c>
      <c r="J482" s="54">
        <f t="shared" si="37"/>
        <v>60567621</v>
      </c>
      <c r="K482" s="27">
        <f>(SUMIFS(INDEX(Load,,MATCH('Summarized Source Data'!$C482,Hour,0)),Month,'Summarized Source Data'!$A482,Sector,'Summarized Source Data'!K$2,Subsector,"Total",TimeOfWeek,$E482)-SUM(F482:I482))*INDEX(About!G$79:G$82,MATCH($B482,About!$A$79:$A$82,0),1)</f>
        <v>60567621</v>
      </c>
      <c r="L482" s="27">
        <f>SUMIFS(INDEX(Load,,MATCH('Summarized Source Data'!$C482,Hour,0)),Month,'Summarized Source Data'!$A482,Sector,'Summarized Source Data'!L$2,Subsector,'Summarized Source Data'!L$3,TimeOfWeek,$E482)*INDEX(About!H$79:H$82,MATCH($B482,About!$A$79:$A$82,0),1)</f>
        <v>66279</v>
      </c>
      <c r="M482" s="27">
        <f>SUMIFS(INDEX(Load,,MATCH('Summarized Source Data'!$C482,Hour,0)),Month,'Summarized Source Data'!$A482,Sector,'Summarized Source Data'!M$2,Subsector,'Summarized Source Data'!M$3,TimeOfWeek,$E482)*INDEX(About!I$79:I$82,MATCH($B482,About!$A$79:$A$82,0),1)</f>
        <v>141000000</v>
      </c>
      <c r="N482" s="27">
        <f>SUMIFS(INDEX(Load,,MATCH('Summarized Source Data'!$C482,Hour,0)),Month,'Summarized Source Data'!$A482,Sector,'Summarized Source Data'!N$2,Subsector,'Summarized Source Data'!N$3,TimeOfWeek,$E482)*INDEX(About!J$79:J$82,MATCH($B482,About!$A$79:$A$82,0),1)</f>
        <v>0</v>
      </c>
      <c r="O482" s="29">
        <f t="shared" si="38"/>
        <v>82933721</v>
      </c>
      <c r="P482" s="27">
        <f>(SUMIFS(INDEX(Load,,MATCH('Summarized Source Data'!$C482,Hour,0)),Month,'Summarized Source Data'!$A482,Sector,'Summarized Source Data'!P$2,Subsector,"Total",TimeOfWeek,$E482)-SUM(L482:N482)*INDEX(About!L$79:L$82,MATCH($B482,About!$A$79:$A$82,0),1))</f>
        <v>82933721</v>
      </c>
      <c r="Q482" s="29">
        <f t="shared" si="39"/>
        <v>82933721</v>
      </c>
      <c r="R482" s="33">
        <f>SUMIFS(INDEX(Load,,MATCH('Summarized Source Data'!$C482,Hour,0)),Month,'Summarized Source Data'!$A482,Sector,'Summarized Source Data'!R$2,TimeOfWeek,$E482)*INDEX(About!N$79:N$82,MATCH($B482,About!$A$79:$A$82,0),1)</f>
        <v>5069146</v>
      </c>
      <c r="S482" s="33">
        <f>SUMIFS(INDEX(Load,,MATCH('Summarized Source Data'!$C482,Hour,0)),Month,'Summarized Source Data'!$A482,Sector,'Summarized Source Data'!S$2,TimeOfWeek,$E482)*INDEX(About!O$79:O$82,MATCH($B482,About!$A$79:$A$82,0),1)</f>
        <v>5069146</v>
      </c>
      <c r="T482" s="33">
        <f>SUMIFS(INDEX(Load,,MATCH('Summarized Source Data'!$C482,Hour,0)),Month,'Summarized Source Data'!$A482,Sector,'Summarized Source Data'!T$2,TimeOfWeek,$E482)*INDEX(About!P$79:P$82,MATCH($B482,About!$A$79:$A$82,0),1)</f>
        <v>5069146</v>
      </c>
      <c r="U482" s="33">
        <f>SUMIFS(INDEX(Load,,MATCH('Summarized Source Data'!$C482,Hour,0)),Month,'Summarized Source Data'!$A482,Sector,'Summarized Source Data'!U$2,TimeOfWeek,$E482)*INDEX(About!Q$79:Q$82,MATCH($B482,About!$A$79:$A$82,0),1)</f>
        <v>5069146</v>
      </c>
      <c r="V482" s="33">
        <f>SUMIFS(INDEX(Load,,MATCH('Summarized Source Data'!$C482,Hour,0)),Month,'Summarized Source Data'!$A482,Sector,'Summarized Source Data'!V$2,TimeOfWeek,$E482)*INDEX(About!R$79:R$82,MATCH($B482,About!$A$79:$A$82,0),1)</f>
        <v>5069146</v>
      </c>
      <c r="W482" s="33">
        <f>SUMIFS(INDEX(Load,,MATCH('Summarized Source Data'!$C482,Hour,0)),Month,'Summarized Source Data'!$A482,Sector,'Summarized Source Data'!W$2,TimeOfWeek,$E482)*INDEX(About!S$79:S$82,MATCH($B482,About!$A$79:$A$82,0),1)</f>
        <v>5069146</v>
      </c>
      <c r="X482" s="27">
        <f>SUMIFS(INDEX(Load,,MATCH('Summarized Source Data'!$C482,Hour,0)),Month,'Summarized Source Data'!$A482,Sector,'Summarized Source Data'!X$2,Subsector,'Summarized Source Data'!X$3,TimeOfWeek,$E482)*INDEX(About!T$79:T$82,MATCH($B482,About!$A$79:$A$82,0),1)</f>
        <v>341000000</v>
      </c>
      <c r="Y482" s="29">
        <f t="shared" si="40"/>
        <v>341000000</v>
      </c>
      <c r="Z482" s="29">
        <f t="shared" si="40"/>
        <v>341000000</v>
      </c>
    </row>
    <row r="483" spans="1:26" x14ac:dyDescent="0.3">
      <c r="A483">
        <f t="shared" si="35"/>
        <v>8</v>
      </c>
      <c r="B483" t="str">
        <f>INDEX('Category Mapping'!$G$28:$G$39,MATCH(A483,'Category Mapping'!$A$28:$A$39,0),1)</f>
        <v>Summer</v>
      </c>
      <c r="C483" t="s">
        <v>86</v>
      </c>
      <c r="D483" s="6" t="s">
        <v>161</v>
      </c>
      <c r="E483" s="46" t="s">
        <v>48</v>
      </c>
      <c r="F483" s="27">
        <f>SUMIFS(INDEX(Load,,MATCH('Summarized Source Data'!$C483,Hour,0)),Month,'Summarized Source Data'!$A483,Sector,'Summarized Source Data'!F$2,Subsector,'Summarized Source Data'!F$3,TimeOfWeek,$E483)*INDEX(About!B$79:B$82,MATCH($B483,About!$A$79:$A$82,0),1)</f>
        <v>27769</v>
      </c>
      <c r="G483" s="27">
        <f>SUMIFS(INDEX(Load,,MATCH('Summarized Source Data'!$C483,Hour,0)),Month,'Summarized Source Data'!$A483,Sector,'Summarized Source Data'!G$2,Subsector,'Summarized Source Data'!G$3,TimeOfWeek,$E483)*INDEX(About!C$79:C$82,MATCH($B483,About!$A$79:$A$82,0),1)</f>
        <v>29700000</v>
      </c>
      <c r="H483" s="27">
        <f>SUMIFS(INDEX(Load,,MATCH('Summarized Source Data'!$C483,Hour,0)),Month,'Summarized Source Data'!$A483,Sector,'Summarized Source Data'!H$2,Subsector,'Summarized Source Data'!H$3,TimeOfWeek,$E483)*INDEX(About!D$79:D$82,MATCH($B483,About!$A$79:$A$82,0),1)</f>
        <v>0</v>
      </c>
      <c r="I483" s="27">
        <f>SUMIFS(INDEX(Load,,MATCH('Summarized Source Data'!$C483,Hour,0)),Month,'Summarized Source Data'!$A483,Sector,'Summarized Source Data'!I$2,Subsector,'Summarized Source Data'!I$3,TimeOfWeek,$E483)*INDEX(About!E$79:E$82,MATCH($B483,About!$A$79:$A$82,0),1)</f>
        <v>8813820</v>
      </c>
      <c r="J483" s="54">
        <f t="shared" si="37"/>
        <v>48658411</v>
      </c>
      <c r="K483" s="27">
        <f>(SUMIFS(INDEX(Load,,MATCH('Summarized Source Data'!$C483,Hour,0)),Month,'Summarized Source Data'!$A483,Sector,'Summarized Source Data'!K$2,Subsector,"Total",TimeOfWeek,$E483)-SUM(F483:I483))*INDEX(About!G$79:G$82,MATCH($B483,About!$A$79:$A$82,0),1)</f>
        <v>48658411</v>
      </c>
      <c r="L483" s="27">
        <f>SUMIFS(INDEX(Load,,MATCH('Summarized Source Data'!$C483,Hour,0)),Month,'Summarized Source Data'!$A483,Sector,'Summarized Source Data'!L$2,Subsector,'Summarized Source Data'!L$3,TimeOfWeek,$E483)*INDEX(About!H$79:H$82,MATCH($B483,About!$A$79:$A$82,0),1)</f>
        <v>66279</v>
      </c>
      <c r="M483" s="27">
        <f>SUMIFS(INDEX(Load,,MATCH('Summarized Source Data'!$C483,Hour,0)),Month,'Summarized Source Data'!$A483,Sector,'Summarized Source Data'!M$2,Subsector,'Summarized Source Data'!M$3,TimeOfWeek,$E483)*INDEX(About!I$79:I$82,MATCH($B483,About!$A$79:$A$82,0),1)</f>
        <v>127000000</v>
      </c>
      <c r="N483" s="27">
        <f>SUMIFS(INDEX(Load,,MATCH('Summarized Source Data'!$C483,Hour,0)),Month,'Summarized Source Data'!$A483,Sector,'Summarized Source Data'!N$2,Subsector,'Summarized Source Data'!N$3,TimeOfWeek,$E483)*INDEX(About!J$79:J$82,MATCH($B483,About!$A$79:$A$82,0),1)</f>
        <v>0</v>
      </c>
      <c r="O483" s="29">
        <f t="shared" si="38"/>
        <v>76933721</v>
      </c>
      <c r="P483" s="27">
        <f>(SUMIFS(INDEX(Load,,MATCH('Summarized Source Data'!$C483,Hour,0)),Month,'Summarized Source Data'!$A483,Sector,'Summarized Source Data'!P$2,Subsector,"Total",TimeOfWeek,$E483)-SUM(L483:N483)*INDEX(About!L$79:L$82,MATCH($B483,About!$A$79:$A$82,0),1))</f>
        <v>76933721</v>
      </c>
      <c r="Q483" s="29">
        <f t="shared" si="39"/>
        <v>76933721</v>
      </c>
      <c r="R483" s="33">
        <f>SUMIFS(INDEX(Load,,MATCH('Summarized Source Data'!$C483,Hour,0)),Month,'Summarized Source Data'!$A483,Sector,'Summarized Source Data'!R$2,TimeOfWeek,$E483)*INDEX(About!N$79:N$82,MATCH($B483,About!$A$79:$A$82,0),1)</f>
        <v>3407085</v>
      </c>
      <c r="S483" s="33">
        <f>SUMIFS(INDEX(Load,,MATCH('Summarized Source Data'!$C483,Hour,0)),Month,'Summarized Source Data'!$A483,Sector,'Summarized Source Data'!S$2,TimeOfWeek,$E483)*INDEX(About!O$79:O$82,MATCH($B483,About!$A$79:$A$82,0),1)</f>
        <v>3407085</v>
      </c>
      <c r="T483" s="33">
        <f>SUMIFS(INDEX(Load,,MATCH('Summarized Source Data'!$C483,Hour,0)),Month,'Summarized Source Data'!$A483,Sector,'Summarized Source Data'!T$2,TimeOfWeek,$E483)*INDEX(About!P$79:P$82,MATCH($B483,About!$A$79:$A$82,0),1)</f>
        <v>3407085</v>
      </c>
      <c r="U483" s="33">
        <f>SUMIFS(INDEX(Load,,MATCH('Summarized Source Data'!$C483,Hour,0)),Month,'Summarized Source Data'!$A483,Sector,'Summarized Source Data'!U$2,TimeOfWeek,$E483)*INDEX(About!Q$79:Q$82,MATCH($B483,About!$A$79:$A$82,0),1)</f>
        <v>3407085</v>
      </c>
      <c r="V483" s="33">
        <f>SUMIFS(INDEX(Load,,MATCH('Summarized Source Data'!$C483,Hour,0)),Month,'Summarized Source Data'!$A483,Sector,'Summarized Source Data'!V$2,TimeOfWeek,$E483)*INDEX(About!R$79:R$82,MATCH($B483,About!$A$79:$A$82,0),1)</f>
        <v>3407085</v>
      </c>
      <c r="W483" s="33">
        <f>SUMIFS(INDEX(Load,,MATCH('Summarized Source Data'!$C483,Hour,0)),Month,'Summarized Source Data'!$A483,Sector,'Summarized Source Data'!W$2,TimeOfWeek,$E483)*INDEX(About!S$79:S$82,MATCH($B483,About!$A$79:$A$82,0),1)</f>
        <v>3407085</v>
      </c>
      <c r="X483" s="27">
        <f>SUMIFS(INDEX(Load,,MATCH('Summarized Source Data'!$C483,Hour,0)),Month,'Summarized Source Data'!$A483,Sector,'Summarized Source Data'!X$2,Subsector,'Summarized Source Data'!X$3,TimeOfWeek,$E483)*INDEX(About!T$79:T$82,MATCH($B483,About!$A$79:$A$82,0),1)</f>
        <v>339000000</v>
      </c>
      <c r="Y483" s="29">
        <f t="shared" si="40"/>
        <v>339000000</v>
      </c>
      <c r="Z483" s="29">
        <f t="shared" si="40"/>
        <v>339000000</v>
      </c>
    </row>
    <row r="484" spans="1:26" x14ac:dyDescent="0.3">
      <c r="A484">
        <f t="shared" si="35"/>
        <v>9</v>
      </c>
      <c r="B484" t="str">
        <f>INDEX('Category Mapping'!$G$28:$G$39,MATCH(A484,'Category Mapping'!$A$28:$A$39,0),1)</f>
        <v>Fall</v>
      </c>
      <c r="C484" t="s">
        <v>63</v>
      </c>
      <c r="D484" s="6" t="s">
        <v>138</v>
      </c>
      <c r="E484" s="46" t="s">
        <v>48</v>
      </c>
      <c r="F484" s="27">
        <f>SUMIFS(INDEX(Load,,MATCH('Summarized Source Data'!$C484,Hour,0)),Month,'Summarized Source Data'!$A484,Sector,'Summarized Source Data'!F$2,Subsector,'Summarized Source Data'!F$3,TimeOfWeek,$E484)*INDEX(About!B$79:B$82,MATCH($B484,About!$A$79:$A$82,0),1)</f>
        <v>275130</v>
      </c>
      <c r="G484" s="27">
        <f>SUMIFS(INDEX(Load,,MATCH('Summarized Source Data'!$C484,Hour,0)),Month,'Summarized Source Data'!$A484,Sector,'Summarized Source Data'!G$2,Subsector,'Summarized Source Data'!G$3,TimeOfWeek,$E484)*INDEX(About!C$79:C$82,MATCH($B484,About!$A$79:$A$82,0),1)</f>
        <v>1216668</v>
      </c>
      <c r="H484" s="27">
        <f>SUMIFS(INDEX(Load,,MATCH('Summarized Source Data'!$C484,Hour,0)),Month,'Summarized Source Data'!$A484,Sector,'Summarized Source Data'!H$2,Subsector,'Summarized Source Data'!H$3,TimeOfWeek,$E484)*INDEX(About!D$79:D$82,MATCH($B484,About!$A$79:$A$82,0),1)</f>
        <v>0</v>
      </c>
      <c r="I484" s="27">
        <f>SUMIFS(INDEX(Load,,MATCH('Summarized Source Data'!$C484,Hour,0)),Month,'Summarized Source Data'!$A484,Sector,'Summarized Source Data'!I$2,Subsector,'Summarized Source Data'!I$3,TimeOfWeek,$E484)*INDEX(About!E$79:E$82,MATCH($B484,About!$A$79:$A$82,0),1)</f>
        <v>6277411</v>
      </c>
      <c r="J484" s="54">
        <f t="shared" si="37"/>
        <v>36830791</v>
      </c>
      <c r="K484" s="27">
        <f>(SUMIFS(INDEX(Load,,MATCH('Summarized Source Data'!$C484,Hour,0)),Month,'Summarized Source Data'!$A484,Sector,'Summarized Source Data'!K$2,Subsector,"Total",TimeOfWeek,$E484)-SUM(F484:I484))*INDEX(About!G$79:G$82,MATCH($B484,About!$A$79:$A$82,0),1)</f>
        <v>36830791</v>
      </c>
      <c r="L484" s="27">
        <f>SUMIFS(INDEX(Load,,MATCH('Summarized Source Data'!$C484,Hour,0)),Month,'Summarized Source Data'!$A484,Sector,'Summarized Source Data'!L$2,Subsector,'Summarized Source Data'!L$3,TimeOfWeek,$E484)*INDEX(About!H$79:H$82,MATCH($B484,About!$A$79:$A$82,0),1)</f>
        <v>672124</v>
      </c>
      <c r="M484" s="27">
        <f>SUMIFS(INDEX(Load,,MATCH('Summarized Source Data'!$C484,Hour,0)),Month,'Summarized Source Data'!$A484,Sector,'Summarized Source Data'!M$2,Subsector,'Summarized Source Data'!M$3,TimeOfWeek,$E484)*INDEX(About!I$79:I$82,MATCH($B484,About!$A$79:$A$82,0),1)</f>
        <v>27100000</v>
      </c>
      <c r="N484" s="27">
        <f>SUMIFS(INDEX(Load,,MATCH('Summarized Source Data'!$C484,Hour,0)),Month,'Summarized Source Data'!$A484,Sector,'Summarized Source Data'!N$2,Subsector,'Summarized Source Data'!N$3,TimeOfWeek,$E484)*INDEX(About!J$79:J$82,MATCH($B484,About!$A$79:$A$82,0),1)</f>
        <v>0</v>
      </c>
      <c r="O484" s="29">
        <f t="shared" si="38"/>
        <v>77227876</v>
      </c>
      <c r="P484" s="27">
        <f>(SUMIFS(INDEX(Load,,MATCH('Summarized Source Data'!$C484,Hour,0)),Month,'Summarized Source Data'!$A484,Sector,'Summarized Source Data'!P$2,Subsector,"Total",TimeOfWeek,$E484)-SUM(L484:N484)*INDEX(About!L$79:L$82,MATCH($B484,About!$A$79:$A$82,0),1))</f>
        <v>77227876</v>
      </c>
      <c r="Q484" s="29">
        <f t="shared" si="39"/>
        <v>77227876</v>
      </c>
      <c r="R484" s="33">
        <f>SUMIFS(INDEX(Load,,MATCH('Summarized Source Data'!$C484,Hour,0)),Month,'Summarized Source Data'!$A484,Sector,'Summarized Source Data'!R$2,TimeOfWeek,$E484)*INDEX(About!N$79:N$82,MATCH($B484,About!$A$79:$A$82,0),1)</f>
        <v>2540087</v>
      </c>
      <c r="S484" s="33">
        <f>SUMIFS(INDEX(Load,,MATCH('Summarized Source Data'!$C484,Hour,0)),Month,'Summarized Source Data'!$A484,Sector,'Summarized Source Data'!S$2,TimeOfWeek,$E484)*INDEX(About!O$79:O$82,MATCH($B484,About!$A$79:$A$82,0),1)</f>
        <v>2540087</v>
      </c>
      <c r="T484" s="33">
        <f>SUMIFS(INDEX(Load,,MATCH('Summarized Source Data'!$C484,Hour,0)),Month,'Summarized Source Data'!$A484,Sector,'Summarized Source Data'!T$2,TimeOfWeek,$E484)*INDEX(About!P$79:P$82,MATCH($B484,About!$A$79:$A$82,0),1)</f>
        <v>2540087</v>
      </c>
      <c r="U484" s="33">
        <f>SUMIFS(INDEX(Load,,MATCH('Summarized Source Data'!$C484,Hour,0)),Month,'Summarized Source Data'!$A484,Sector,'Summarized Source Data'!U$2,TimeOfWeek,$E484)*INDEX(About!Q$79:Q$82,MATCH($B484,About!$A$79:$A$82,0),1)</f>
        <v>2540087</v>
      </c>
      <c r="V484" s="33">
        <f>SUMIFS(INDEX(Load,,MATCH('Summarized Source Data'!$C484,Hour,0)),Month,'Summarized Source Data'!$A484,Sector,'Summarized Source Data'!V$2,TimeOfWeek,$E484)*INDEX(About!R$79:R$82,MATCH($B484,About!$A$79:$A$82,0),1)</f>
        <v>2540087</v>
      </c>
      <c r="W484" s="33">
        <f>SUMIFS(INDEX(Load,,MATCH('Summarized Source Data'!$C484,Hour,0)),Month,'Summarized Source Data'!$A484,Sector,'Summarized Source Data'!W$2,TimeOfWeek,$E484)*INDEX(About!S$79:S$82,MATCH($B484,About!$A$79:$A$82,0),1)</f>
        <v>2540087</v>
      </c>
      <c r="X484" s="27">
        <f>SUMIFS(INDEX(Load,,MATCH('Summarized Source Data'!$C484,Hour,0)),Month,'Summarized Source Data'!$A484,Sector,'Summarized Source Data'!X$2,Subsector,'Summarized Source Data'!X$3,TimeOfWeek,$E484)*INDEX(About!T$79:T$82,MATCH($B484,About!$A$79:$A$82,0),1)</f>
        <v>340000000</v>
      </c>
      <c r="Y484" s="29">
        <f t="shared" si="40"/>
        <v>340000000</v>
      </c>
      <c r="Z484" s="29">
        <f t="shared" si="40"/>
        <v>340000000</v>
      </c>
    </row>
    <row r="485" spans="1:26" x14ac:dyDescent="0.3">
      <c r="A485">
        <f t="shared" ref="A485:A548" si="41">A197</f>
        <v>9</v>
      </c>
      <c r="B485" t="str">
        <f>INDEX('Category Mapping'!$G$28:$G$39,MATCH(A485,'Category Mapping'!$A$28:$A$39,0),1)</f>
        <v>Fall</v>
      </c>
      <c r="C485" t="s">
        <v>64</v>
      </c>
      <c r="D485" s="6" t="s">
        <v>139</v>
      </c>
      <c r="E485" s="46" t="s">
        <v>48</v>
      </c>
      <c r="F485" s="27">
        <f>SUMIFS(INDEX(Load,,MATCH('Summarized Source Data'!$C485,Hour,0)),Month,'Summarized Source Data'!$A485,Sector,'Summarized Source Data'!F$2,Subsector,'Summarized Source Data'!F$3,TimeOfWeek,$E485)*INDEX(About!B$79:B$82,MATCH($B485,About!$A$79:$A$82,0),1)</f>
        <v>275130</v>
      </c>
      <c r="G485" s="27">
        <f>SUMIFS(INDEX(Load,,MATCH('Summarized Source Data'!$C485,Hour,0)),Month,'Summarized Source Data'!$A485,Sector,'Summarized Source Data'!G$2,Subsector,'Summarized Source Data'!G$3,TimeOfWeek,$E485)*INDEX(About!C$79:C$82,MATCH($B485,About!$A$79:$A$82,0),1)</f>
        <v>1107806</v>
      </c>
      <c r="H485" s="27">
        <f>SUMIFS(INDEX(Load,,MATCH('Summarized Source Data'!$C485,Hour,0)),Month,'Summarized Source Data'!$A485,Sector,'Summarized Source Data'!H$2,Subsector,'Summarized Source Data'!H$3,TimeOfWeek,$E485)*INDEX(About!D$79:D$82,MATCH($B485,About!$A$79:$A$82,0),1)</f>
        <v>0</v>
      </c>
      <c r="I485" s="27">
        <f>SUMIFS(INDEX(Load,,MATCH('Summarized Source Data'!$C485,Hour,0)),Month,'Summarized Source Data'!$A485,Sector,'Summarized Source Data'!I$2,Subsector,'Summarized Source Data'!I$3,TimeOfWeek,$E485)*INDEX(About!E$79:E$82,MATCH($B485,About!$A$79:$A$82,0),1)</f>
        <v>5423644</v>
      </c>
      <c r="J485" s="54">
        <f t="shared" si="37"/>
        <v>28593420</v>
      </c>
      <c r="K485" s="27">
        <f>(SUMIFS(INDEX(Load,,MATCH('Summarized Source Data'!$C485,Hour,0)),Month,'Summarized Source Data'!$A485,Sector,'Summarized Source Data'!K$2,Subsector,"Total",TimeOfWeek,$E485)-SUM(F485:I485))*INDEX(About!G$79:G$82,MATCH($B485,About!$A$79:$A$82,0),1)</f>
        <v>28593420</v>
      </c>
      <c r="L485" s="27">
        <f>SUMIFS(INDEX(Load,,MATCH('Summarized Source Data'!$C485,Hour,0)),Month,'Summarized Source Data'!$A485,Sector,'Summarized Source Data'!L$2,Subsector,'Summarized Source Data'!L$3,TimeOfWeek,$E485)*INDEX(About!H$79:H$82,MATCH($B485,About!$A$79:$A$82,0),1)</f>
        <v>654407</v>
      </c>
      <c r="M485" s="27">
        <f>SUMIFS(INDEX(Load,,MATCH('Summarized Source Data'!$C485,Hour,0)),Month,'Summarized Source Data'!$A485,Sector,'Summarized Source Data'!M$2,Subsector,'Summarized Source Data'!M$3,TimeOfWeek,$E485)*INDEX(About!I$79:I$82,MATCH($B485,About!$A$79:$A$82,0),1)</f>
        <v>26500000</v>
      </c>
      <c r="N485" s="27">
        <f>SUMIFS(INDEX(Load,,MATCH('Summarized Source Data'!$C485,Hour,0)),Month,'Summarized Source Data'!$A485,Sector,'Summarized Source Data'!N$2,Subsector,'Summarized Source Data'!N$3,TimeOfWeek,$E485)*INDEX(About!J$79:J$82,MATCH($B485,About!$A$79:$A$82,0),1)</f>
        <v>0</v>
      </c>
      <c r="O485" s="29">
        <f t="shared" si="38"/>
        <v>67545593</v>
      </c>
      <c r="P485" s="27">
        <f>(SUMIFS(INDEX(Load,,MATCH('Summarized Source Data'!$C485,Hour,0)),Month,'Summarized Source Data'!$A485,Sector,'Summarized Source Data'!P$2,Subsector,"Total",TimeOfWeek,$E485)-SUM(L485:N485)*INDEX(About!L$79:L$82,MATCH($B485,About!$A$79:$A$82,0),1))</f>
        <v>67545593</v>
      </c>
      <c r="Q485" s="29">
        <f t="shared" si="39"/>
        <v>67545593</v>
      </c>
      <c r="R485" s="33">
        <f>SUMIFS(INDEX(Load,,MATCH('Summarized Source Data'!$C485,Hour,0)),Month,'Summarized Source Data'!$A485,Sector,'Summarized Source Data'!R$2,TimeOfWeek,$E485)*INDEX(About!N$79:N$82,MATCH($B485,About!$A$79:$A$82,0),1)</f>
        <v>2411267</v>
      </c>
      <c r="S485" s="33">
        <f>SUMIFS(INDEX(Load,,MATCH('Summarized Source Data'!$C485,Hour,0)),Month,'Summarized Source Data'!$A485,Sector,'Summarized Source Data'!S$2,TimeOfWeek,$E485)*INDEX(About!O$79:O$82,MATCH($B485,About!$A$79:$A$82,0),1)</f>
        <v>2411267</v>
      </c>
      <c r="T485" s="33">
        <f>SUMIFS(INDEX(Load,,MATCH('Summarized Source Data'!$C485,Hour,0)),Month,'Summarized Source Data'!$A485,Sector,'Summarized Source Data'!T$2,TimeOfWeek,$E485)*INDEX(About!P$79:P$82,MATCH($B485,About!$A$79:$A$82,0),1)</f>
        <v>2411267</v>
      </c>
      <c r="U485" s="33">
        <f>SUMIFS(INDEX(Load,,MATCH('Summarized Source Data'!$C485,Hour,0)),Month,'Summarized Source Data'!$A485,Sector,'Summarized Source Data'!U$2,TimeOfWeek,$E485)*INDEX(About!Q$79:Q$82,MATCH($B485,About!$A$79:$A$82,0),1)</f>
        <v>2411267</v>
      </c>
      <c r="V485" s="33">
        <f>SUMIFS(INDEX(Load,,MATCH('Summarized Source Data'!$C485,Hour,0)),Month,'Summarized Source Data'!$A485,Sector,'Summarized Source Data'!V$2,TimeOfWeek,$E485)*INDEX(About!R$79:R$82,MATCH($B485,About!$A$79:$A$82,0),1)</f>
        <v>2411267</v>
      </c>
      <c r="W485" s="33">
        <f>SUMIFS(INDEX(Load,,MATCH('Summarized Source Data'!$C485,Hour,0)),Month,'Summarized Source Data'!$A485,Sector,'Summarized Source Data'!W$2,TimeOfWeek,$E485)*INDEX(About!S$79:S$82,MATCH($B485,About!$A$79:$A$82,0),1)</f>
        <v>2411267</v>
      </c>
      <c r="X485" s="27">
        <f>SUMIFS(INDEX(Load,,MATCH('Summarized Source Data'!$C485,Hour,0)),Month,'Summarized Source Data'!$A485,Sector,'Summarized Source Data'!X$2,Subsector,'Summarized Source Data'!X$3,TimeOfWeek,$E485)*INDEX(About!T$79:T$82,MATCH($B485,About!$A$79:$A$82,0),1)</f>
        <v>340000000</v>
      </c>
      <c r="Y485" s="29">
        <f t="shared" ref="Y485:Z516" si="42">$X485</f>
        <v>340000000</v>
      </c>
      <c r="Z485" s="29">
        <f t="shared" si="42"/>
        <v>340000000</v>
      </c>
    </row>
    <row r="486" spans="1:26" x14ac:dyDescent="0.3">
      <c r="A486">
        <f t="shared" si="41"/>
        <v>9</v>
      </c>
      <c r="B486" t="str">
        <f>INDEX('Category Mapping'!$G$28:$G$39,MATCH(A486,'Category Mapping'!$A$28:$A$39,0),1)</f>
        <v>Fall</v>
      </c>
      <c r="C486" t="s">
        <v>65</v>
      </c>
      <c r="D486" s="6" t="s">
        <v>140</v>
      </c>
      <c r="E486" s="46" t="s">
        <v>48</v>
      </c>
      <c r="F486" s="27">
        <f>SUMIFS(INDEX(Load,,MATCH('Summarized Source Data'!$C486,Hour,0)),Month,'Summarized Source Data'!$A486,Sector,'Summarized Source Data'!F$2,Subsector,'Summarized Source Data'!F$3,TimeOfWeek,$E486)*INDEX(About!B$79:B$82,MATCH($B486,About!$A$79:$A$82,0),1)</f>
        <v>275130</v>
      </c>
      <c r="G486" s="27">
        <f>SUMIFS(INDEX(Load,,MATCH('Summarized Source Data'!$C486,Hour,0)),Month,'Summarized Source Data'!$A486,Sector,'Summarized Source Data'!G$2,Subsector,'Summarized Source Data'!G$3,TimeOfWeek,$E486)*INDEX(About!C$79:C$82,MATCH($B486,About!$A$79:$A$82,0),1)</f>
        <v>1078879</v>
      </c>
      <c r="H486" s="27">
        <f>SUMIFS(INDEX(Load,,MATCH('Summarized Source Data'!$C486,Hour,0)),Month,'Summarized Source Data'!$A486,Sector,'Summarized Source Data'!H$2,Subsector,'Summarized Source Data'!H$3,TimeOfWeek,$E486)*INDEX(About!D$79:D$82,MATCH($B486,About!$A$79:$A$82,0),1)</f>
        <v>0</v>
      </c>
      <c r="I486" s="27">
        <f>SUMIFS(INDEX(Load,,MATCH('Summarized Source Data'!$C486,Hour,0)),Month,'Summarized Source Data'!$A486,Sector,'Summarized Source Data'!I$2,Subsector,'Summarized Source Data'!I$3,TimeOfWeek,$E486)*INDEX(About!E$79:E$82,MATCH($B486,About!$A$79:$A$82,0),1)</f>
        <v>5238265</v>
      </c>
      <c r="J486" s="54">
        <f t="shared" si="37"/>
        <v>22307726</v>
      </c>
      <c r="K486" s="27">
        <f>(SUMIFS(INDEX(Load,,MATCH('Summarized Source Data'!$C486,Hour,0)),Month,'Summarized Source Data'!$A486,Sector,'Summarized Source Data'!K$2,Subsector,"Total",TimeOfWeek,$E486)-SUM(F486:I486))*INDEX(About!G$79:G$82,MATCH($B486,About!$A$79:$A$82,0),1)</f>
        <v>22307726</v>
      </c>
      <c r="L486" s="27">
        <f>SUMIFS(INDEX(Load,,MATCH('Summarized Source Data'!$C486,Hour,0)),Month,'Summarized Source Data'!$A486,Sector,'Summarized Source Data'!L$2,Subsector,'Summarized Source Data'!L$3,TimeOfWeek,$E486)*INDEX(About!H$79:H$82,MATCH($B486,About!$A$79:$A$82,0),1)</f>
        <v>668802</v>
      </c>
      <c r="M486" s="27">
        <f>SUMIFS(INDEX(Load,,MATCH('Summarized Source Data'!$C486,Hour,0)),Month,'Summarized Source Data'!$A486,Sector,'Summarized Source Data'!M$2,Subsector,'Summarized Source Data'!M$3,TimeOfWeek,$E486)*INDEX(About!I$79:I$82,MATCH($B486,About!$A$79:$A$82,0),1)</f>
        <v>26200000</v>
      </c>
      <c r="N486" s="27">
        <f>SUMIFS(INDEX(Load,,MATCH('Summarized Source Data'!$C486,Hour,0)),Month,'Summarized Source Data'!$A486,Sector,'Summarized Source Data'!N$2,Subsector,'Summarized Source Data'!N$3,TimeOfWeek,$E486)*INDEX(About!J$79:J$82,MATCH($B486,About!$A$79:$A$82,0),1)</f>
        <v>0</v>
      </c>
      <c r="O486" s="29">
        <f t="shared" si="38"/>
        <v>66731198</v>
      </c>
      <c r="P486" s="27">
        <f>(SUMIFS(INDEX(Load,,MATCH('Summarized Source Data'!$C486,Hour,0)),Month,'Summarized Source Data'!$A486,Sector,'Summarized Source Data'!P$2,Subsector,"Total",TimeOfWeek,$E486)-SUM(L486:N486)*INDEX(About!L$79:L$82,MATCH($B486,About!$A$79:$A$82,0),1))</f>
        <v>66731198</v>
      </c>
      <c r="Q486" s="29">
        <f t="shared" si="39"/>
        <v>66731198</v>
      </c>
      <c r="R486" s="33">
        <f>SUMIFS(INDEX(Load,,MATCH('Summarized Source Data'!$C486,Hour,0)),Month,'Summarized Source Data'!$A486,Sector,'Summarized Source Data'!R$2,TimeOfWeek,$E486)*INDEX(About!N$79:N$82,MATCH($B486,About!$A$79:$A$82,0),1)</f>
        <v>2376134</v>
      </c>
      <c r="S486" s="33">
        <f>SUMIFS(INDEX(Load,,MATCH('Summarized Source Data'!$C486,Hour,0)),Month,'Summarized Source Data'!$A486,Sector,'Summarized Source Data'!S$2,TimeOfWeek,$E486)*INDEX(About!O$79:O$82,MATCH($B486,About!$A$79:$A$82,0),1)</f>
        <v>2376134</v>
      </c>
      <c r="T486" s="33">
        <f>SUMIFS(INDEX(Load,,MATCH('Summarized Source Data'!$C486,Hour,0)),Month,'Summarized Source Data'!$A486,Sector,'Summarized Source Data'!T$2,TimeOfWeek,$E486)*INDEX(About!P$79:P$82,MATCH($B486,About!$A$79:$A$82,0),1)</f>
        <v>2376134</v>
      </c>
      <c r="U486" s="33">
        <f>SUMIFS(INDEX(Load,,MATCH('Summarized Source Data'!$C486,Hour,0)),Month,'Summarized Source Data'!$A486,Sector,'Summarized Source Data'!U$2,TimeOfWeek,$E486)*INDEX(About!Q$79:Q$82,MATCH($B486,About!$A$79:$A$82,0),1)</f>
        <v>2376134</v>
      </c>
      <c r="V486" s="33">
        <f>SUMIFS(INDEX(Load,,MATCH('Summarized Source Data'!$C486,Hour,0)),Month,'Summarized Source Data'!$A486,Sector,'Summarized Source Data'!V$2,TimeOfWeek,$E486)*INDEX(About!R$79:R$82,MATCH($B486,About!$A$79:$A$82,0),1)</f>
        <v>2376134</v>
      </c>
      <c r="W486" s="33">
        <f>SUMIFS(INDEX(Load,,MATCH('Summarized Source Data'!$C486,Hour,0)),Month,'Summarized Source Data'!$A486,Sector,'Summarized Source Data'!W$2,TimeOfWeek,$E486)*INDEX(About!S$79:S$82,MATCH($B486,About!$A$79:$A$82,0),1)</f>
        <v>2376134</v>
      </c>
      <c r="X486" s="27">
        <f>SUMIFS(INDEX(Load,,MATCH('Summarized Source Data'!$C486,Hour,0)),Month,'Summarized Source Data'!$A486,Sector,'Summarized Source Data'!X$2,Subsector,'Summarized Source Data'!X$3,TimeOfWeek,$E486)*INDEX(About!T$79:T$82,MATCH($B486,About!$A$79:$A$82,0),1)</f>
        <v>340000000</v>
      </c>
      <c r="Y486" s="29">
        <f t="shared" si="42"/>
        <v>340000000</v>
      </c>
      <c r="Z486" s="29">
        <f t="shared" si="42"/>
        <v>340000000</v>
      </c>
    </row>
    <row r="487" spans="1:26" x14ac:dyDescent="0.3">
      <c r="A487">
        <f t="shared" si="41"/>
        <v>9</v>
      </c>
      <c r="B487" t="str">
        <f>INDEX('Category Mapping'!$G$28:$G$39,MATCH(A487,'Category Mapping'!$A$28:$A$39,0),1)</f>
        <v>Fall</v>
      </c>
      <c r="C487" t="s">
        <v>66</v>
      </c>
      <c r="D487" s="6" t="s">
        <v>141</v>
      </c>
      <c r="E487" s="46" t="s">
        <v>48</v>
      </c>
      <c r="F487" s="27">
        <f>SUMIFS(INDEX(Load,,MATCH('Summarized Source Data'!$C487,Hour,0)),Month,'Summarized Source Data'!$A487,Sector,'Summarized Source Data'!F$2,Subsector,'Summarized Source Data'!F$3,TimeOfWeek,$E487)*INDEX(About!B$79:B$82,MATCH($B487,About!$A$79:$A$82,0),1)</f>
        <v>275130</v>
      </c>
      <c r="G487" s="27">
        <f>SUMIFS(INDEX(Load,,MATCH('Summarized Source Data'!$C487,Hour,0)),Month,'Summarized Source Data'!$A487,Sector,'Summarized Source Data'!G$2,Subsector,'Summarized Source Data'!G$3,TimeOfWeek,$E487)*INDEX(About!C$79:C$82,MATCH($B487,About!$A$79:$A$82,0),1)</f>
        <v>1124648</v>
      </c>
      <c r="H487" s="27">
        <f>SUMIFS(INDEX(Load,,MATCH('Summarized Source Data'!$C487,Hour,0)),Month,'Summarized Source Data'!$A487,Sector,'Summarized Source Data'!H$2,Subsector,'Summarized Source Data'!H$3,TimeOfWeek,$E487)*INDEX(About!D$79:D$82,MATCH($B487,About!$A$79:$A$82,0),1)</f>
        <v>0</v>
      </c>
      <c r="I487" s="27">
        <f>SUMIFS(INDEX(Load,,MATCH('Summarized Source Data'!$C487,Hour,0)),Month,'Summarized Source Data'!$A487,Sector,'Summarized Source Data'!I$2,Subsector,'Summarized Source Data'!I$3,TimeOfWeek,$E487)*INDEX(About!E$79:E$82,MATCH($B487,About!$A$79:$A$82,0),1)</f>
        <v>5233843</v>
      </c>
      <c r="J487" s="54">
        <f t="shared" si="37"/>
        <v>18366379</v>
      </c>
      <c r="K487" s="27">
        <f>(SUMIFS(INDEX(Load,,MATCH('Summarized Source Data'!$C487,Hour,0)),Month,'Summarized Source Data'!$A487,Sector,'Summarized Source Data'!K$2,Subsector,"Total",TimeOfWeek,$E487)-SUM(F487:I487))*INDEX(About!G$79:G$82,MATCH($B487,About!$A$79:$A$82,0),1)</f>
        <v>18366379</v>
      </c>
      <c r="L487" s="27">
        <f>SUMIFS(INDEX(Load,,MATCH('Summarized Source Data'!$C487,Hour,0)),Month,'Summarized Source Data'!$A487,Sector,'Summarized Source Data'!L$2,Subsector,'Summarized Source Data'!L$3,TimeOfWeek,$E487)*INDEX(About!H$79:H$82,MATCH($B487,About!$A$79:$A$82,0),1)</f>
        <v>682439</v>
      </c>
      <c r="M487" s="27">
        <f>SUMIFS(INDEX(Load,,MATCH('Summarized Source Data'!$C487,Hour,0)),Month,'Summarized Source Data'!$A487,Sector,'Summarized Source Data'!M$2,Subsector,'Summarized Source Data'!M$3,TimeOfWeek,$E487)*INDEX(About!I$79:I$82,MATCH($B487,About!$A$79:$A$82,0),1)</f>
        <v>26100000</v>
      </c>
      <c r="N487" s="27">
        <f>SUMIFS(INDEX(Load,,MATCH('Summarized Source Data'!$C487,Hour,0)),Month,'Summarized Source Data'!$A487,Sector,'Summarized Source Data'!N$2,Subsector,'Summarized Source Data'!N$3,TimeOfWeek,$E487)*INDEX(About!J$79:J$82,MATCH($B487,About!$A$79:$A$82,0),1)</f>
        <v>0</v>
      </c>
      <c r="O487" s="29">
        <f t="shared" si="38"/>
        <v>67417561</v>
      </c>
      <c r="P487" s="27">
        <f>(SUMIFS(INDEX(Load,,MATCH('Summarized Source Data'!$C487,Hour,0)),Month,'Summarized Source Data'!$A487,Sector,'Summarized Source Data'!P$2,Subsector,"Total",TimeOfWeek,$E487)-SUM(L487:N487)*INDEX(About!L$79:L$82,MATCH($B487,About!$A$79:$A$82,0),1))</f>
        <v>67417561</v>
      </c>
      <c r="Q487" s="29">
        <f t="shared" si="39"/>
        <v>67417561</v>
      </c>
      <c r="R487" s="33">
        <f>SUMIFS(INDEX(Load,,MATCH('Summarized Source Data'!$C487,Hour,0)),Month,'Summarized Source Data'!$A487,Sector,'Summarized Source Data'!R$2,TimeOfWeek,$E487)*INDEX(About!N$79:N$82,MATCH($B487,About!$A$79:$A$82,0),1)</f>
        <v>2376134</v>
      </c>
      <c r="S487" s="33">
        <f>SUMIFS(INDEX(Load,,MATCH('Summarized Source Data'!$C487,Hour,0)),Month,'Summarized Source Data'!$A487,Sector,'Summarized Source Data'!S$2,TimeOfWeek,$E487)*INDEX(About!O$79:O$82,MATCH($B487,About!$A$79:$A$82,0),1)</f>
        <v>2376134</v>
      </c>
      <c r="T487" s="33">
        <f>SUMIFS(INDEX(Load,,MATCH('Summarized Source Data'!$C487,Hour,0)),Month,'Summarized Source Data'!$A487,Sector,'Summarized Source Data'!T$2,TimeOfWeek,$E487)*INDEX(About!P$79:P$82,MATCH($B487,About!$A$79:$A$82,0),1)</f>
        <v>2376134</v>
      </c>
      <c r="U487" s="33">
        <f>SUMIFS(INDEX(Load,,MATCH('Summarized Source Data'!$C487,Hour,0)),Month,'Summarized Source Data'!$A487,Sector,'Summarized Source Data'!U$2,TimeOfWeek,$E487)*INDEX(About!Q$79:Q$82,MATCH($B487,About!$A$79:$A$82,0),1)</f>
        <v>2376134</v>
      </c>
      <c r="V487" s="33">
        <f>SUMIFS(INDEX(Load,,MATCH('Summarized Source Data'!$C487,Hour,0)),Month,'Summarized Source Data'!$A487,Sector,'Summarized Source Data'!V$2,TimeOfWeek,$E487)*INDEX(About!R$79:R$82,MATCH($B487,About!$A$79:$A$82,0),1)</f>
        <v>2376134</v>
      </c>
      <c r="W487" s="33">
        <f>SUMIFS(INDEX(Load,,MATCH('Summarized Source Data'!$C487,Hour,0)),Month,'Summarized Source Data'!$A487,Sector,'Summarized Source Data'!W$2,TimeOfWeek,$E487)*INDEX(About!S$79:S$82,MATCH($B487,About!$A$79:$A$82,0),1)</f>
        <v>2376134</v>
      </c>
      <c r="X487" s="27">
        <f>SUMIFS(INDEX(Load,,MATCH('Summarized Source Data'!$C487,Hour,0)),Month,'Summarized Source Data'!$A487,Sector,'Summarized Source Data'!X$2,Subsector,'Summarized Source Data'!X$3,TimeOfWeek,$E487)*INDEX(About!T$79:T$82,MATCH($B487,About!$A$79:$A$82,0),1)</f>
        <v>341000000</v>
      </c>
      <c r="Y487" s="29">
        <f t="shared" si="42"/>
        <v>341000000</v>
      </c>
      <c r="Z487" s="29">
        <f t="shared" si="42"/>
        <v>341000000</v>
      </c>
    </row>
    <row r="488" spans="1:26" x14ac:dyDescent="0.3">
      <c r="A488">
        <f t="shared" si="41"/>
        <v>9</v>
      </c>
      <c r="B488" t="str">
        <f>INDEX('Category Mapping'!$G$28:$G$39,MATCH(A488,'Category Mapping'!$A$28:$A$39,0),1)</f>
        <v>Fall</v>
      </c>
      <c r="C488" t="s">
        <v>67</v>
      </c>
      <c r="D488" s="6" t="s">
        <v>142</v>
      </c>
      <c r="E488" s="46" t="s">
        <v>48</v>
      </c>
      <c r="F488" s="27">
        <f>SUMIFS(INDEX(Load,,MATCH('Summarized Source Data'!$C488,Hour,0)),Month,'Summarized Source Data'!$A488,Sector,'Summarized Source Data'!F$2,Subsector,'Summarized Source Data'!F$3,TimeOfWeek,$E488)*INDEX(About!B$79:B$82,MATCH($B488,About!$A$79:$A$82,0),1)</f>
        <v>275130</v>
      </c>
      <c r="G488" s="27">
        <f>SUMIFS(INDEX(Load,,MATCH('Summarized Source Data'!$C488,Hour,0)),Month,'Summarized Source Data'!$A488,Sector,'Summarized Source Data'!G$2,Subsector,'Summarized Source Data'!G$3,TimeOfWeek,$E488)*INDEX(About!C$79:C$82,MATCH($B488,About!$A$79:$A$82,0),1)</f>
        <v>1250048</v>
      </c>
      <c r="H488" s="27">
        <f>SUMIFS(INDEX(Load,,MATCH('Summarized Source Data'!$C488,Hour,0)),Month,'Summarized Source Data'!$A488,Sector,'Summarized Source Data'!H$2,Subsector,'Summarized Source Data'!H$3,TimeOfWeek,$E488)*INDEX(About!D$79:D$82,MATCH($B488,About!$A$79:$A$82,0),1)</f>
        <v>0</v>
      </c>
      <c r="I488" s="27">
        <f>SUMIFS(INDEX(Load,,MATCH('Summarized Source Data'!$C488,Hour,0)),Month,'Summarized Source Data'!$A488,Sector,'Summarized Source Data'!I$2,Subsector,'Summarized Source Data'!I$3,TimeOfWeek,$E488)*INDEX(About!E$79:E$82,MATCH($B488,About!$A$79:$A$82,0),1)</f>
        <v>5509122</v>
      </c>
      <c r="J488" s="54">
        <f t="shared" si="37"/>
        <v>18765700</v>
      </c>
      <c r="K488" s="27">
        <f>(SUMIFS(INDEX(Load,,MATCH('Summarized Source Data'!$C488,Hour,0)),Month,'Summarized Source Data'!$A488,Sector,'Summarized Source Data'!K$2,Subsector,"Total",TimeOfWeek,$E488)-SUM(F488:I488))*INDEX(About!G$79:G$82,MATCH($B488,About!$A$79:$A$82,0),1)</f>
        <v>18765700</v>
      </c>
      <c r="L488" s="27">
        <f>SUMIFS(INDEX(Load,,MATCH('Summarized Source Data'!$C488,Hour,0)),Month,'Summarized Source Data'!$A488,Sector,'Summarized Source Data'!L$2,Subsector,'Summarized Source Data'!L$3,TimeOfWeek,$E488)*INDEX(About!H$79:H$82,MATCH($B488,About!$A$79:$A$82,0),1)</f>
        <v>675184</v>
      </c>
      <c r="M488" s="27">
        <f>SUMIFS(INDEX(Load,,MATCH('Summarized Source Data'!$C488,Hour,0)),Month,'Summarized Source Data'!$A488,Sector,'Summarized Source Data'!M$2,Subsector,'Summarized Source Data'!M$3,TimeOfWeek,$E488)*INDEX(About!I$79:I$82,MATCH($B488,About!$A$79:$A$82,0),1)</f>
        <v>26200000</v>
      </c>
      <c r="N488" s="27">
        <f>SUMIFS(INDEX(Load,,MATCH('Summarized Source Data'!$C488,Hour,0)),Month,'Summarized Source Data'!$A488,Sector,'Summarized Source Data'!N$2,Subsector,'Summarized Source Data'!N$3,TimeOfWeek,$E488)*INDEX(About!J$79:J$82,MATCH($B488,About!$A$79:$A$82,0),1)</f>
        <v>0</v>
      </c>
      <c r="O488" s="29">
        <f t="shared" si="38"/>
        <v>68324816</v>
      </c>
      <c r="P488" s="27">
        <f>(SUMIFS(INDEX(Load,,MATCH('Summarized Source Data'!$C488,Hour,0)),Month,'Summarized Source Data'!$A488,Sector,'Summarized Source Data'!P$2,Subsector,"Total",TimeOfWeek,$E488)-SUM(L488:N488)*INDEX(About!L$79:L$82,MATCH($B488,About!$A$79:$A$82,0),1))</f>
        <v>68324816</v>
      </c>
      <c r="Q488" s="29">
        <f t="shared" si="39"/>
        <v>68324816</v>
      </c>
      <c r="R488" s="33">
        <f>SUMIFS(INDEX(Load,,MATCH('Summarized Source Data'!$C488,Hour,0)),Month,'Summarized Source Data'!$A488,Sector,'Summarized Source Data'!R$2,TimeOfWeek,$E488)*INDEX(About!N$79:N$82,MATCH($B488,About!$A$79:$A$82,0),1)</f>
        <v>2364423</v>
      </c>
      <c r="S488" s="33">
        <f>SUMIFS(INDEX(Load,,MATCH('Summarized Source Data'!$C488,Hour,0)),Month,'Summarized Source Data'!$A488,Sector,'Summarized Source Data'!S$2,TimeOfWeek,$E488)*INDEX(About!O$79:O$82,MATCH($B488,About!$A$79:$A$82,0),1)</f>
        <v>2364423</v>
      </c>
      <c r="T488" s="33">
        <f>SUMIFS(INDEX(Load,,MATCH('Summarized Source Data'!$C488,Hour,0)),Month,'Summarized Source Data'!$A488,Sector,'Summarized Source Data'!T$2,TimeOfWeek,$E488)*INDEX(About!P$79:P$82,MATCH($B488,About!$A$79:$A$82,0),1)</f>
        <v>2364423</v>
      </c>
      <c r="U488" s="33">
        <f>SUMIFS(INDEX(Load,,MATCH('Summarized Source Data'!$C488,Hour,0)),Month,'Summarized Source Data'!$A488,Sector,'Summarized Source Data'!U$2,TimeOfWeek,$E488)*INDEX(About!Q$79:Q$82,MATCH($B488,About!$A$79:$A$82,0),1)</f>
        <v>2364423</v>
      </c>
      <c r="V488" s="33">
        <f>SUMIFS(INDEX(Load,,MATCH('Summarized Source Data'!$C488,Hour,0)),Month,'Summarized Source Data'!$A488,Sector,'Summarized Source Data'!V$2,TimeOfWeek,$E488)*INDEX(About!R$79:R$82,MATCH($B488,About!$A$79:$A$82,0),1)</f>
        <v>2364423</v>
      </c>
      <c r="W488" s="33">
        <f>SUMIFS(INDEX(Load,,MATCH('Summarized Source Data'!$C488,Hour,0)),Month,'Summarized Source Data'!$A488,Sector,'Summarized Source Data'!W$2,TimeOfWeek,$E488)*INDEX(About!S$79:S$82,MATCH($B488,About!$A$79:$A$82,0),1)</f>
        <v>2364423</v>
      </c>
      <c r="X488" s="27">
        <f>SUMIFS(INDEX(Load,,MATCH('Summarized Source Data'!$C488,Hour,0)),Month,'Summarized Source Data'!$A488,Sector,'Summarized Source Data'!X$2,Subsector,'Summarized Source Data'!X$3,TimeOfWeek,$E488)*INDEX(About!T$79:T$82,MATCH($B488,About!$A$79:$A$82,0),1)</f>
        <v>343000000</v>
      </c>
      <c r="Y488" s="29">
        <f t="shared" si="42"/>
        <v>343000000</v>
      </c>
      <c r="Z488" s="29">
        <f t="shared" si="42"/>
        <v>343000000</v>
      </c>
    </row>
    <row r="489" spans="1:26" x14ac:dyDescent="0.3">
      <c r="A489">
        <f t="shared" si="41"/>
        <v>9</v>
      </c>
      <c r="B489" t="str">
        <f>INDEX('Category Mapping'!$G$28:$G$39,MATCH(A489,'Category Mapping'!$A$28:$A$39,0),1)</f>
        <v>Fall</v>
      </c>
      <c r="C489" t="s">
        <v>68</v>
      </c>
      <c r="D489" s="6" t="s">
        <v>143</v>
      </c>
      <c r="E489" s="46" t="s">
        <v>48</v>
      </c>
      <c r="F489" s="27">
        <f>SUMIFS(INDEX(Load,,MATCH('Summarized Source Data'!$C489,Hour,0)),Month,'Summarized Source Data'!$A489,Sector,'Summarized Source Data'!F$2,Subsector,'Summarized Source Data'!F$3,TimeOfWeek,$E489)*INDEX(About!B$79:B$82,MATCH($B489,About!$A$79:$A$82,0),1)</f>
        <v>363591</v>
      </c>
      <c r="G489" s="27">
        <f>SUMIFS(INDEX(Load,,MATCH('Summarized Source Data'!$C489,Hour,0)),Month,'Summarized Source Data'!$A489,Sector,'Summarized Source Data'!G$2,Subsector,'Summarized Source Data'!G$3,TimeOfWeek,$E489)*INDEX(About!C$79:C$82,MATCH($B489,About!$A$79:$A$82,0),1)</f>
        <v>1548777</v>
      </c>
      <c r="H489" s="27">
        <f>SUMIFS(INDEX(Load,,MATCH('Summarized Source Data'!$C489,Hour,0)),Month,'Summarized Source Data'!$A489,Sector,'Summarized Source Data'!H$2,Subsector,'Summarized Source Data'!H$3,TimeOfWeek,$E489)*INDEX(About!D$79:D$82,MATCH($B489,About!$A$79:$A$82,0),1)</f>
        <v>0</v>
      </c>
      <c r="I489" s="27">
        <f>SUMIFS(INDEX(Load,,MATCH('Summarized Source Data'!$C489,Hour,0)),Month,'Summarized Source Data'!$A489,Sector,'Summarized Source Data'!I$2,Subsector,'Summarized Source Data'!I$3,TimeOfWeek,$E489)*INDEX(About!E$79:E$82,MATCH($B489,About!$A$79:$A$82,0),1)</f>
        <v>7139626</v>
      </c>
      <c r="J489" s="54">
        <f t="shared" si="37"/>
        <v>21648006</v>
      </c>
      <c r="K489" s="27">
        <f>(SUMIFS(INDEX(Load,,MATCH('Summarized Source Data'!$C489,Hour,0)),Month,'Summarized Source Data'!$A489,Sector,'Summarized Source Data'!K$2,Subsector,"Total",TimeOfWeek,$E489)-SUM(F489:I489))*INDEX(About!G$79:G$82,MATCH($B489,About!$A$79:$A$82,0),1)</f>
        <v>21648006</v>
      </c>
      <c r="L489" s="27">
        <f>SUMIFS(INDEX(Load,,MATCH('Summarized Source Data'!$C489,Hour,0)),Month,'Summarized Source Data'!$A489,Sector,'Summarized Source Data'!L$2,Subsector,'Summarized Source Data'!L$3,TimeOfWeek,$E489)*INDEX(About!H$79:H$82,MATCH($B489,About!$A$79:$A$82,0),1)</f>
        <v>739429</v>
      </c>
      <c r="M489" s="27">
        <f>SUMIFS(INDEX(Load,,MATCH('Summarized Source Data'!$C489,Hour,0)),Month,'Summarized Source Data'!$A489,Sector,'Summarized Source Data'!M$2,Subsector,'Summarized Source Data'!M$3,TimeOfWeek,$E489)*INDEX(About!I$79:I$82,MATCH($B489,About!$A$79:$A$82,0),1)</f>
        <v>26700000</v>
      </c>
      <c r="N489" s="27">
        <f>SUMIFS(INDEX(Load,,MATCH('Summarized Source Data'!$C489,Hour,0)),Month,'Summarized Source Data'!$A489,Sector,'Summarized Source Data'!N$2,Subsector,'Summarized Source Data'!N$3,TimeOfWeek,$E489)*INDEX(About!J$79:J$82,MATCH($B489,About!$A$79:$A$82,0),1)</f>
        <v>0</v>
      </c>
      <c r="O489" s="29">
        <f t="shared" si="38"/>
        <v>72560571</v>
      </c>
      <c r="P489" s="27">
        <f>(SUMIFS(INDEX(Load,,MATCH('Summarized Source Data'!$C489,Hour,0)),Month,'Summarized Source Data'!$A489,Sector,'Summarized Source Data'!P$2,Subsector,"Total",TimeOfWeek,$E489)-SUM(L489:N489)*INDEX(About!L$79:L$82,MATCH($B489,About!$A$79:$A$82,0),1))</f>
        <v>72560571</v>
      </c>
      <c r="Q489" s="29">
        <f t="shared" si="39"/>
        <v>72560571</v>
      </c>
      <c r="R489" s="33">
        <f>SUMIFS(INDEX(Load,,MATCH('Summarized Source Data'!$C489,Hour,0)),Month,'Summarized Source Data'!$A489,Sector,'Summarized Source Data'!R$2,TimeOfWeek,$E489)*INDEX(About!N$79:N$82,MATCH($B489,About!$A$79:$A$82,0),1)</f>
        <v>2381990</v>
      </c>
      <c r="S489" s="33">
        <f>SUMIFS(INDEX(Load,,MATCH('Summarized Source Data'!$C489,Hour,0)),Month,'Summarized Source Data'!$A489,Sector,'Summarized Source Data'!S$2,TimeOfWeek,$E489)*INDEX(About!O$79:O$82,MATCH($B489,About!$A$79:$A$82,0),1)</f>
        <v>2381990</v>
      </c>
      <c r="T489" s="33">
        <f>SUMIFS(INDEX(Load,,MATCH('Summarized Source Data'!$C489,Hour,0)),Month,'Summarized Source Data'!$A489,Sector,'Summarized Source Data'!T$2,TimeOfWeek,$E489)*INDEX(About!P$79:P$82,MATCH($B489,About!$A$79:$A$82,0),1)</f>
        <v>2381990</v>
      </c>
      <c r="U489" s="33">
        <f>SUMIFS(INDEX(Load,,MATCH('Summarized Source Data'!$C489,Hour,0)),Month,'Summarized Source Data'!$A489,Sector,'Summarized Source Data'!U$2,TimeOfWeek,$E489)*INDEX(About!Q$79:Q$82,MATCH($B489,About!$A$79:$A$82,0),1)</f>
        <v>2381990</v>
      </c>
      <c r="V489" s="33">
        <f>SUMIFS(INDEX(Load,,MATCH('Summarized Source Data'!$C489,Hour,0)),Month,'Summarized Source Data'!$A489,Sector,'Summarized Source Data'!V$2,TimeOfWeek,$E489)*INDEX(About!R$79:R$82,MATCH($B489,About!$A$79:$A$82,0),1)</f>
        <v>2381990</v>
      </c>
      <c r="W489" s="33">
        <f>SUMIFS(INDEX(Load,,MATCH('Summarized Source Data'!$C489,Hour,0)),Month,'Summarized Source Data'!$A489,Sector,'Summarized Source Data'!W$2,TimeOfWeek,$E489)*INDEX(About!S$79:S$82,MATCH($B489,About!$A$79:$A$82,0),1)</f>
        <v>2381990</v>
      </c>
      <c r="X489" s="27">
        <f>SUMIFS(INDEX(Load,,MATCH('Summarized Source Data'!$C489,Hour,0)),Month,'Summarized Source Data'!$A489,Sector,'Summarized Source Data'!X$2,Subsector,'Summarized Source Data'!X$3,TimeOfWeek,$E489)*INDEX(About!T$79:T$82,MATCH($B489,About!$A$79:$A$82,0),1)</f>
        <v>347000000</v>
      </c>
      <c r="Y489" s="29">
        <f t="shared" si="42"/>
        <v>347000000</v>
      </c>
      <c r="Z489" s="29">
        <f t="shared" si="42"/>
        <v>347000000</v>
      </c>
    </row>
    <row r="490" spans="1:26" x14ac:dyDescent="0.3">
      <c r="A490">
        <f t="shared" si="41"/>
        <v>9</v>
      </c>
      <c r="B490" t="str">
        <f>INDEX('Category Mapping'!$G$28:$G$39,MATCH(A490,'Category Mapping'!$A$28:$A$39,0),1)</f>
        <v>Fall</v>
      </c>
      <c r="C490" t="s">
        <v>69</v>
      </c>
      <c r="D490" s="6" t="s">
        <v>144</v>
      </c>
      <c r="E490" s="46" t="s">
        <v>48</v>
      </c>
      <c r="F490" s="27">
        <f>SUMIFS(INDEX(Load,,MATCH('Summarized Source Data'!$C490,Hour,0)),Month,'Summarized Source Data'!$A490,Sector,'Summarized Source Data'!F$2,Subsector,'Summarized Source Data'!F$3,TimeOfWeek,$E490)*INDEX(About!B$79:B$82,MATCH($B490,About!$A$79:$A$82,0),1)</f>
        <v>415345</v>
      </c>
      <c r="G490" s="27">
        <f>SUMIFS(INDEX(Load,,MATCH('Summarized Source Data'!$C490,Hour,0)),Month,'Summarized Source Data'!$A490,Sector,'Summarized Source Data'!G$2,Subsector,'Summarized Source Data'!G$3,TimeOfWeek,$E490)*INDEX(About!C$79:C$82,MATCH($B490,About!$A$79:$A$82,0),1)</f>
        <v>2801677</v>
      </c>
      <c r="H490" s="27">
        <f>SUMIFS(INDEX(Load,,MATCH('Summarized Source Data'!$C490,Hour,0)),Month,'Summarized Source Data'!$A490,Sector,'Summarized Source Data'!H$2,Subsector,'Summarized Source Data'!H$3,TimeOfWeek,$E490)*INDEX(About!D$79:D$82,MATCH($B490,About!$A$79:$A$82,0),1)</f>
        <v>0</v>
      </c>
      <c r="I490" s="27">
        <f>SUMIFS(INDEX(Load,,MATCH('Summarized Source Data'!$C490,Hour,0)),Month,'Summarized Source Data'!$A490,Sector,'Summarized Source Data'!I$2,Subsector,'Summarized Source Data'!I$3,TimeOfWeek,$E490)*INDEX(About!E$79:E$82,MATCH($B490,About!$A$79:$A$82,0),1)</f>
        <v>7443108</v>
      </c>
      <c r="J490" s="54">
        <f t="shared" si="37"/>
        <v>31739870</v>
      </c>
      <c r="K490" s="27">
        <f>(SUMIFS(INDEX(Load,,MATCH('Summarized Source Data'!$C490,Hour,0)),Month,'Summarized Source Data'!$A490,Sector,'Summarized Source Data'!K$2,Subsector,"Total",TimeOfWeek,$E490)-SUM(F490:I490))*INDEX(About!G$79:G$82,MATCH($B490,About!$A$79:$A$82,0),1)</f>
        <v>31739870</v>
      </c>
      <c r="L490" s="27">
        <f>SUMIFS(INDEX(Load,,MATCH('Summarized Source Data'!$C490,Hour,0)),Month,'Summarized Source Data'!$A490,Sector,'Summarized Source Data'!L$2,Subsector,'Summarized Source Data'!L$3,TimeOfWeek,$E490)*INDEX(About!H$79:H$82,MATCH($B490,About!$A$79:$A$82,0),1)</f>
        <v>1060230</v>
      </c>
      <c r="M490" s="27">
        <f>SUMIFS(INDEX(Load,,MATCH('Summarized Source Data'!$C490,Hour,0)),Month,'Summarized Source Data'!$A490,Sector,'Summarized Source Data'!M$2,Subsector,'Summarized Source Data'!M$3,TimeOfWeek,$E490)*INDEX(About!I$79:I$82,MATCH($B490,About!$A$79:$A$82,0),1)</f>
        <v>28900000</v>
      </c>
      <c r="N490" s="27">
        <f>SUMIFS(INDEX(Load,,MATCH('Summarized Source Data'!$C490,Hour,0)),Month,'Summarized Source Data'!$A490,Sector,'Summarized Source Data'!N$2,Subsector,'Summarized Source Data'!N$3,TimeOfWeek,$E490)*INDEX(About!J$79:J$82,MATCH($B490,About!$A$79:$A$82,0),1)</f>
        <v>0</v>
      </c>
      <c r="O490" s="29">
        <f t="shared" si="38"/>
        <v>81039770</v>
      </c>
      <c r="P490" s="27">
        <f>(SUMIFS(INDEX(Load,,MATCH('Summarized Source Data'!$C490,Hour,0)),Month,'Summarized Source Data'!$A490,Sector,'Summarized Source Data'!P$2,Subsector,"Total",TimeOfWeek,$E490)-SUM(L490:N490)*INDEX(About!L$79:L$82,MATCH($B490,About!$A$79:$A$82,0),1))</f>
        <v>81039770</v>
      </c>
      <c r="Q490" s="29">
        <f t="shared" si="39"/>
        <v>81039770</v>
      </c>
      <c r="R490" s="33">
        <f>SUMIFS(INDEX(Load,,MATCH('Summarized Source Data'!$C490,Hour,0)),Month,'Summarized Source Data'!$A490,Sector,'Summarized Source Data'!R$2,TimeOfWeek,$E490)*INDEX(About!N$79:N$82,MATCH($B490,About!$A$79:$A$82,0),1)</f>
        <v>2956674</v>
      </c>
      <c r="S490" s="33">
        <f>SUMIFS(INDEX(Load,,MATCH('Summarized Source Data'!$C490,Hour,0)),Month,'Summarized Source Data'!$A490,Sector,'Summarized Source Data'!S$2,TimeOfWeek,$E490)*INDEX(About!O$79:O$82,MATCH($B490,About!$A$79:$A$82,0),1)</f>
        <v>2956674</v>
      </c>
      <c r="T490" s="33">
        <f>SUMIFS(INDEX(Load,,MATCH('Summarized Source Data'!$C490,Hour,0)),Month,'Summarized Source Data'!$A490,Sector,'Summarized Source Data'!T$2,TimeOfWeek,$E490)*INDEX(About!P$79:P$82,MATCH($B490,About!$A$79:$A$82,0),1)</f>
        <v>2956674</v>
      </c>
      <c r="U490" s="33">
        <f>SUMIFS(INDEX(Load,,MATCH('Summarized Source Data'!$C490,Hour,0)),Month,'Summarized Source Data'!$A490,Sector,'Summarized Source Data'!U$2,TimeOfWeek,$E490)*INDEX(About!Q$79:Q$82,MATCH($B490,About!$A$79:$A$82,0),1)</f>
        <v>2956674</v>
      </c>
      <c r="V490" s="33">
        <f>SUMIFS(INDEX(Load,,MATCH('Summarized Source Data'!$C490,Hour,0)),Month,'Summarized Source Data'!$A490,Sector,'Summarized Source Data'!V$2,TimeOfWeek,$E490)*INDEX(About!R$79:R$82,MATCH($B490,About!$A$79:$A$82,0),1)</f>
        <v>2956674</v>
      </c>
      <c r="W490" s="33">
        <f>SUMIFS(INDEX(Load,,MATCH('Summarized Source Data'!$C490,Hour,0)),Month,'Summarized Source Data'!$A490,Sector,'Summarized Source Data'!W$2,TimeOfWeek,$E490)*INDEX(About!S$79:S$82,MATCH($B490,About!$A$79:$A$82,0),1)</f>
        <v>2956674</v>
      </c>
      <c r="X490" s="27">
        <f>SUMIFS(INDEX(Load,,MATCH('Summarized Source Data'!$C490,Hour,0)),Month,'Summarized Source Data'!$A490,Sector,'Summarized Source Data'!X$2,Subsector,'Summarized Source Data'!X$3,TimeOfWeek,$E490)*INDEX(About!T$79:T$82,MATCH($B490,About!$A$79:$A$82,0),1)</f>
        <v>349000000</v>
      </c>
      <c r="Y490" s="29">
        <f t="shared" si="42"/>
        <v>349000000</v>
      </c>
      <c r="Z490" s="29">
        <f t="shared" si="42"/>
        <v>349000000</v>
      </c>
    </row>
    <row r="491" spans="1:26" x14ac:dyDescent="0.3">
      <c r="A491">
        <f t="shared" si="41"/>
        <v>9</v>
      </c>
      <c r="B491" t="str">
        <f>INDEX('Category Mapping'!$G$28:$G$39,MATCH(A491,'Category Mapping'!$A$28:$A$39,0),1)</f>
        <v>Fall</v>
      </c>
      <c r="C491" t="s">
        <v>70</v>
      </c>
      <c r="D491" s="6" t="s">
        <v>145</v>
      </c>
      <c r="E491" s="46" t="s">
        <v>48</v>
      </c>
      <c r="F491" s="27">
        <f>SUMIFS(INDEX(Load,,MATCH('Summarized Source Data'!$C491,Hour,0)),Month,'Summarized Source Data'!$A491,Sector,'Summarized Source Data'!F$2,Subsector,'Summarized Source Data'!F$3,TimeOfWeek,$E491)*INDEX(About!B$79:B$82,MATCH($B491,About!$A$79:$A$82,0),1)</f>
        <v>482085</v>
      </c>
      <c r="G491" s="27">
        <f>SUMIFS(INDEX(Load,,MATCH('Summarized Source Data'!$C491,Hour,0)),Month,'Summarized Source Data'!$A491,Sector,'Summarized Source Data'!G$2,Subsector,'Summarized Source Data'!G$3,TimeOfWeek,$E491)*INDEX(About!C$79:C$82,MATCH($B491,About!$A$79:$A$82,0),1)</f>
        <v>5583211</v>
      </c>
      <c r="H491" s="27">
        <f>SUMIFS(INDEX(Load,,MATCH('Summarized Source Data'!$C491,Hour,0)),Month,'Summarized Source Data'!$A491,Sector,'Summarized Source Data'!H$2,Subsector,'Summarized Source Data'!H$3,TimeOfWeek,$E491)*INDEX(About!D$79:D$82,MATCH($B491,About!$A$79:$A$82,0),1)</f>
        <v>0</v>
      </c>
      <c r="I491" s="27">
        <f>SUMIFS(INDEX(Load,,MATCH('Summarized Source Data'!$C491,Hour,0)),Month,'Summarized Source Data'!$A491,Sector,'Summarized Source Data'!I$2,Subsector,'Summarized Source Data'!I$3,TimeOfWeek,$E491)*INDEX(About!E$79:E$82,MATCH($B491,About!$A$79:$A$82,0),1)</f>
        <v>5703215</v>
      </c>
      <c r="J491" s="54">
        <f t="shared" si="37"/>
        <v>45131489</v>
      </c>
      <c r="K491" s="27">
        <f>(SUMIFS(INDEX(Load,,MATCH('Summarized Source Data'!$C491,Hour,0)),Month,'Summarized Source Data'!$A491,Sector,'Summarized Source Data'!K$2,Subsector,"Total",TimeOfWeek,$E491)-SUM(F491:I491))*INDEX(About!G$79:G$82,MATCH($B491,About!$A$79:$A$82,0),1)</f>
        <v>45131489</v>
      </c>
      <c r="L491" s="27">
        <f>SUMIFS(INDEX(Load,,MATCH('Summarized Source Data'!$C491,Hour,0)),Month,'Summarized Source Data'!$A491,Sector,'Summarized Source Data'!L$2,Subsector,'Summarized Source Data'!L$3,TimeOfWeek,$E491)*INDEX(About!H$79:H$82,MATCH($B491,About!$A$79:$A$82,0),1)</f>
        <v>1191046</v>
      </c>
      <c r="M491" s="27">
        <f>SUMIFS(INDEX(Load,,MATCH('Summarized Source Data'!$C491,Hour,0)),Month,'Summarized Source Data'!$A491,Sector,'Summarized Source Data'!M$2,Subsector,'Summarized Source Data'!M$3,TimeOfWeek,$E491)*INDEX(About!I$79:I$82,MATCH($B491,About!$A$79:$A$82,0),1)</f>
        <v>33700000</v>
      </c>
      <c r="N491" s="27">
        <f>SUMIFS(INDEX(Load,,MATCH('Summarized Source Data'!$C491,Hour,0)),Month,'Summarized Source Data'!$A491,Sector,'Summarized Source Data'!N$2,Subsector,'Summarized Source Data'!N$3,TimeOfWeek,$E491)*INDEX(About!J$79:J$82,MATCH($B491,About!$A$79:$A$82,0),1)</f>
        <v>0</v>
      </c>
      <c r="O491" s="29">
        <f t="shared" si="38"/>
        <v>103108954</v>
      </c>
      <c r="P491" s="27">
        <f>(SUMIFS(INDEX(Load,,MATCH('Summarized Source Data'!$C491,Hour,0)),Month,'Summarized Source Data'!$A491,Sector,'Summarized Source Data'!P$2,Subsector,"Total",TimeOfWeek,$E491)-SUM(L491:N491)*INDEX(About!L$79:L$82,MATCH($B491,About!$A$79:$A$82,0),1))</f>
        <v>103108954</v>
      </c>
      <c r="Q491" s="29">
        <f t="shared" si="39"/>
        <v>103108954</v>
      </c>
      <c r="R491" s="33">
        <f>SUMIFS(INDEX(Load,,MATCH('Summarized Source Data'!$C491,Hour,0)),Month,'Summarized Source Data'!$A491,Sector,'Summarized Source Data'!R$2,TimeOfWeek,$E491)*INDEX(About!N$79:N$82,MATCH($B491,About!$A$79:$A$82,0),1)</f>
        <v>3849629</v>
      </c>
      <c r="S491" s="33">
        <f>SUMIFS(INDEX(Load,,MATCH('Summarized Source Data'!$C491,Hour,0)),Month,'Summarized Source Data'!$A491,Sector,'Summarized Source Data'!S$2,TimeOfWeek,$E491)*INDEX(About!O$79:O$82,MATCH($B491,About!$A$79:$A$82,0),1)</f>
        <v>3849629</v>
      </c>
      <c r="T491" s="33">
        <f>SUMIFS(INDEX(Load,,MATCH('Summarized Source Data'!$C491,Hour,0)),Month,'Summarized Source Data'!$A491,Sector,'Summarized Source Data'!T$2,TimeOfWeek,$E491)*INDEX(About!P$79:P$82,MATCH($B491,About!$A$79:$A$82,0),1)</f>
        <v>3849629</v>
      </c>
      <c r="U491" s="33">
        <f>SUMIFS(INDEX(Load,,MATCH('Summarized Source Data'!$C491,Hour,0)),Month,'Summarized Source Data'!$A491,Sector,'Summarized Source Data'!U$2,TimeOfWeek,$E491)*INDEX(About!Q$79:Q$82,MATCH($B491,About!$A$79:$A$82,0),1)</f>
        <v>3849629</v>
      </c>
      <c r="V491" s="33">
        <f>SUMIFS(INDEX(Load,,MATCH('Summarized Source Data'!$C491,Hour,0)),Month,'Summarized Source Data'!$A491,Sector,'Summarized Source Data'!V$2,TimeOfWeek,$E491)*INDEX(About!R$79:R$82,MATCH($B491,About!$A$79:$A$82,0),1)</f>
        <v>3849629</v>
      </c>
      <c r="W491" s="33">
        <f>SUMIFS(INDEX(Load,,MATCH('Summarized Source Data'!$C491,Hour,0)),Month,'Summarized Source Data'!$A491,Sector,'Summarized Source Data'!W$2,TimeOfWeek,$E491)*INDEX(About!S$79:S$82,MATCH($B491,About!$A$79:$A$82,0),1)</f>
        <v>3849629</v>
      </c>
      <c r="X491" s="27">
        <f>SUMIFS(INDEX(Load,,MATCH('Summarized Source Data'!$C491,Hour,0)),Month,'Summarized Source Data'!$A491,Sector,'Summarized Source Data'!X$2,Subsector,'Summarized Source Data'!X$3,TimeOfWeek,$E491)*INDEX(About!T$79:T$82,MATCH($B491,About!$A$79:$A$82,0),1)</f>
        <v>349000000</v>
      </c>
      <c r="Y491" s="29">
        <f t="shared" si="42"/>
        <v>349000000</v>
      </c>
      <c r="Z491" s="29">
        <f t="shared" si="42"/>
        <v>349000000</v>
      </c>
    </row>
    <row r="492" spans="1:26" x14ac:dyDescent="0.3">
      <c r="A492">
        <f t="shared" si="41"/>
        <v>9</v>
      </c>
      <c r="B492" t="str">
        <f>INDEX('Category Mapping'!$G$28:$G$39,MATCH(A492,'Category Mapping'!$A$28:$A$39,0),1)</f>
        <v>Fall</v>
      </c>
      <c r="C492" t="s">
        <v>71</v>
      </c>
      <c r="D492" s="6" t="s">
        <v>146</v>
      </c>
      <c r="E492" s="46" t="s">
        <v>48</v>
      </c>
      <c r="F492" s="27">
        <f>SUMIFS(INDEX(Load,,MATCH('Summarized Source Data'!$C492,Hour,0)),Month,'Summarized Source Data'!$A492,Sector,'Summarized Source Data'!F$2,Subsector,'Summarized Source Data'!F$3,TimeOfWeek,$E492)*INDEX(About!B$79:B$82,MATCH($B492,About!$A$79:$A$82,0),1)</f>
        <v>523822</v>
      </c>
      <c r="G492" s="27">
        <f>SUMIFS(INDEX(Load,,MATCH('Summarized Source Data'!$C492,Hour,0)),Month,'Summarized Source Data'!$A492,Sector,'Summarized Source Data'!G$2,Subsector,'Summarized Source Data'!G$3,TimeOfWeek,$E492)*INDEX(About!C$79:C$82,MATCH($B492,About!$A$79:$A$82,0),1)</f>
        <v>8880556</v>
      </c>
      <c r="H492" s="27">
        <f>SUMIFS(INDEX(Load,,MATCH('Summarized Source Data'!$C492,Hour,0)),Month,'Summarized Source Data'!$A492,Sector,'Summarized Source Data'!H$2,Subsector,'Summarized Source Data'!H$3,TimeOfWeek,$E492)*INDEX(About!D$79:D$82,MATCH($B492,About!$A$79:$A$82,0),1)</f>
        <v>0</v>
      </c>
      <c r="I492" s="27">
        <f>SUMIFS(INDEX(Load,,MATCH('Summarized Source Data'!$C492,Hour,0)),Month,'Summarized Source Data'!$A492,Sector,'Summarized Source Data'!I$2,Subsector,'Summarized Source Data'!I$3,TimeOfWeek,$E492)*INDEX(About!E$79:E$82,MATCH($B492,About!$A$79:$A$82,0),1)</f>
        <v>6957621</v>
      </c>
      <c r="J492" s="54">
        <f t="shared" si="37"/>
        <v>56538001</v>
      </c>
      <c r="K492" s="27">
        <f>(SUMIFS(INDEX(Load,,MATCH('Summarized Source Data'!$C492,Hour,0)),Month,'Summarized Source Data'!$A492,Sector,'Summarized Source Data'!K$2,Subsector,"Total",TimeOfWeek,$E492)-SUM(F492:I492))*INDEX(About!G$79:G$82,MATCH($B492,About!$A$79:$A$82,0),1)</f>
        <v>56538001</v>
      </c>
      <c r="L492" s="27">
        <f>SUMIFS(INDEX(Load,,MATCH('Summarized Source Data'!$C492,Hour,0)),Month,'Summarized Source Data'!$A492,Sector,'Summarized Source Data'!L$2,Subsector,'Summarized Source Data'!L$3,TimeOfWeek,$E492)*INDEX(About!H$79:H$82,MATCH($B492,About!$A$79:$A$82,0),1)</f>
        <v>938552</v>
      </c>
      <c r="M492" s="27">
        <f>SUMIFS(INDEX(Load,,MATCH('Summarized Source Data'!$C492,Hour,0)),Month,'Summarized Source Data'!$A492,Sector,'Summarized Source Data'!M$2,Subsector,'Summarized Source Data'!M$3,TimeOfWeek,$E492)*INDEX(About!I$79:I$82,MATCH($B492,About!$A$79:$A$82,0),1)</f>
        <v>40700000</v>
      </c>
      <c r="N492" s="27">
        <f>SUMIFS(INDEX(Load,,MATCH('Summarized Source Data'!$C492,Hour,0)),Month,'Summarized Source Data'!$A492,Sector,'Summarized Source Data'!N$2,Subsector,'Summarized Source Data'!N$3,TimeOfWeek,$E492)*INDEX(About!J$79:J$82,MATCH($B492,About!$A$79:$A$82,0),1)</f>
        <v>0</v>
      </c>
      <c r="O492" s="29">
        <f t="shared" si="38"/>
        <v>116361448</v>
      </c>
      <c r="P492" s="27">
        <f>(SUMIFS(INDEX(Load,,MATCH('Summarized Source Data'!$C492,Hour,0)),Month,'Summarized Source Data'!$A492,Sector,'Summarized Source Data'!P$2,Subsector,"Total",TimeOfWeek,$E492)-SUM(L492:N492)*INDEX(About!L$79:L$82,MATCH($B492,About!$A$79:$A$82,0),1))</f>
        <v>116361448</v>
      </c>
      <c r="Q492" s="29">
        <f t="shared" si="39"/>
        <v>116361448</v>
      </c>
      <c r="R492" s="33">
        <f>SUMIFS(INDEX(Load,,MATCH('Summarized Source Data'!$C492,Hour,0)),Month,'Summarized Source Data'!$A492,Sector,'Summarized Source Data'!R$2,TimeOfWeek,$E492)*INDEX(About!N$79:N$82,MATCH($B492,About!$A$79:$A$82,0),1)</f>
        <v>4609276</v>
      </c>
      <c r="S492" s="33">
        <f>SUMIFS(INDEX(Load,,MATCH('Summarized Source Data'!$C492,Hour,0)),Month,'Summarized Source Data'!$A492,Sector,'Summarized Source Data'!S$2,TimeOfWeek,$E492)*INDEX(About!O$79:O$82,MATCH($B492,About!$A$79:$A$82,0),1)</f>
        <v>4609276</v>
      </c>
      <c r="T492" s="33">
        <f>SUMIFS(INDEX(Load,,MATCH('Summarized Source Data'!$C492,Hour,0)),Month,'Summarized Source Data'!$A492,Sector,'Summarized Source Data'!T$2,TimeOfWeek,$E492)*INDEX(About!P$79:P$82,MATCH($B492,About!$A$79:$A$82,0),1)</f>
        <v>4609276</v>
      </c>
      <c r="U492" s="33">
        <f>SUMIFS(INDEX(Load,,MATCH('Summarized Source Data'!$C492,Hour,0)),Month,'Summarized Source Data'!$A492,Sector,'Summarized Source Data'!U$2,TimeOfWeek,$E492)*INDEX(About!Q$79:Q$82,MATCH($B492,About!$A$79:$A$82,0),1)</f>
        <v>4609276</v>
      </c>
      <c r="V492" s="33">
        <f>SUMIFS(INDEX(Load,,MATCH('Summarized Source Data'!$C492,Hour,0)),Month,'Summarized Source Data'!$A492,Sector,'Summarized Source Data'!V$2,TimeOfWeek,$E492)*INDEX(About!R$79:R$82,MATCH($B492,About!$A$79:$A$82,0),1)</f>
        <v>4609276</v>
      </c>
      <c r="W492" s="33">
        <f>SUMIFS(INDEX(Load,,MATCH('Summarized Source Data'!$C492,Hour,0)),Month,'Summarized Source Data'!$A492,Sector,'Summarized Source Data'!W$2,TimeOfWeek,$E492)*INDEX(About!S$79:S$82,MATCH($B492,About!$A$79:$A$82,0),1)</f>
        <v>4609276</v>
      </c>
      <c r="X492" s="27">
        <f>SUMIFS(INDEX(Load,,MATCH('Summarized Source Data'!$C492,Hour,0)),Month,'Summarized Source Data'!$A492,Sector,'Summarized Source Data'!X$2,Subsector,'Summarized Source Data'!X$3,TimeOfWeek,$E492)*INDEX(About!T$79:T$82,MATCH($B492,About!$A$79:$A$82,0),1)</f>
        <v>348000000</v>
      </c>
      <c r="Y492" s="29">
        <f t="shared" si="42"/>
        <v>348000000</v>
      </c>
      <c r="Z492" s="29">
        <f t="shared" si="42"/>
        <v>348000000</v>
      </c>
    </row>
    <row r="493" spans="1:26" x14ac:dyDescent="0.3">
      <c r="A493">
        <f t="shared" si="41"/>
        <v>9</v>
      </c>
      <c r="B493" t="str">
        <f>INDEX('Category Mapping'!$G$28:$G$39,MATCH(A493,'Category Mapping'!$A$28:$A$39,0),1)</f>
        <v>Fall</v>
      </c>
      <c r="C493" t="s">
        <v>72</v>
      </c>
      <c r="D493" s="6" t="s">
        <v>147</v>
      </c>
      <c r="E493" s="46" t="s">
        <v>48</v>
      </c>
      <c r="F493" s="27">
        <f>SUMIFS(INDEX(Load,,MATCH('Summarized Source Data'!$C493,Hour,0)),Month,'Summarized Source Data'!$A493,Sector,'Summarized Source Data'!F$2,Subsector,'Summarized Source Data'!F$3,TimeOfWeek,$E493)*INDEX(About!B$79:B$82,MATCH($B493,About!$A$79:$A$82,0),1)</f>
        <v>532197</v>
      </c>
      <c r="G493" s="27">
        <f>SUMIFS(INDEX(Load,,MATCH('Summarized Source Data'!$C493,Hour,0)),Month,'Summarized Source Data'!$A493,Sector,'Summarized Source Data'!G$2,Subsector,'Summarized Source Data'!G$3,TimeOfWeek,$E493)*INDEX(About!C$79:C$82,MATCH($B493,About!$A$79:$A$82,0),1)</f>
        <v>11500000</v>
      </c>
      <c r="H493" s="27">
        <f>SUMIFS(INDEX(Load,,MATCH('Summarized Source Data'!$C493,Hour,0)),Month,'Summarized Source Data'!$A493,Sector,'Summarized Source Data'!H$2,Subsector,'Summarized Source Data'!H$3,TimeOfWeek,$E493)*INDEX(About!D$79:D$82,MATCH($B493,About!$A$79:$A$82,0),1)</f>
        <v>0</v>
      </c>
      <c r="I493" s="27">
        <f>SUMIFS(INDEX(Load,,MATCH('Summarized Source Data'!$C493,Hour,0)),Month,'Summarized Source Data'!$A493,Sector,'Summarized Source Data'!I$2,Subsector,'Summarized Source Data'!I$3,TimeOfWeek,$E493)*INDEX(About!E$79:E$82,MATCH($B493,About!$A$79:$A$82,0),1)</f>
        <v>7209349</v>
      </c>
      <c r="J493" s="54">
        <f t="shared" si="37"/>
        <v>71258454</v>
      </c>
      <c r="K493" s="27">
        <f>(SUMIFS(INDEX(Load,,MATCH('Summarized Source Data'!$C493,Hour,0)),Month,'Summarized Source Data'!$A493,Sector,'Summarized Source Data'!K$2,Subsector,"Total",TimeOfWeek,$E493)-SUM(F493:I493))*INDEX(About!G$79:G$82,MATCH($B493,About!$A$79:$A$82,0),1)</f>
        <v>71258454</v>
      </c>
      <c r="L493" s="27">
        <f>SUMIFS(INDEX(Load,,MATCH('Summarized Source Data'!$C493,Hour,0)),Month,'Summarized Source Data'!$A493,Sector,'Summarized Source Data'!L$2,Subsector,'Summarized Source Data'!L$3,TimeOfWeek,$E493)*INDEX(About!H$79:H$82,MATCH($B493,About!$A$79:$A$82,0),1)</f>
        <v>765618</v>
      </c>
      <c r="M493" s="27">
        <f>SUMIFS(INDEX(Load,,MATCH('Summarized Source Data'!$C493,Hour,0)),Month,'Summarized Source Data'!$A493,Sector,'Summarized Source Data'!M$2,Subsector,'Summarized Source Data'!M$3,TimeOfWeek,$E493)*INDEX(About!I$79:I$82,MATCH($B493,About!$A$79:$A$82,0),1)</f>
        <v>47000000</v>
      </c>
      <c r="N493" s="27">
        <f>SUMIFS(INDEX(Load,,MATCH('Summarized Source Data'!$C493,Hour,0)),Month,'Summarized Source Data'!$A493,Sector,'Summarized Source Data'!N$2,Subsector,'Summarized Source Data'!N$3,TimeOfWeek,$E493)*INDEX(About!J$79:J$82,MATCH($B493,About!$A$79:$A$82,0),1)</f>
        <v>0</v>
      </c>
      <c r="O493" s="29">
        <f t="shared" si="38"/>
        <v>127234382</v>
      </c>
      <c r="P493" s="27">
        <f>(SUMIFS(INDEX(Load,,MATCH('Summarized Source Data'!$C493,Hour,0)),Month,'Summarized Source Data'!$A493,Sector,'Summarized Source Data'!P$2,Subsector,"Total",TimeOfWeek,$E493)-SUM(L493:N493)*INDEX(About!L$79:L$82,MATCH($B493,About!$A$79:$A$82,0),1))</f>
        <v>127234382</v>
      </c>
      <c r="Q493" s="29">
        <f t="shared" si="39"/>
        <v>127234382</v>
      </c>
      <c r="R493" s="33">
        <f>SUMIFS(INDEX(Load,,MATCH('Summarized Source Data'!$C493,Hour,0)),Month,'Summarized Source Data'!$A493,Sector,'Summarized Source Data'!R$2,TimeOfWeek,$E493)*INDEX(About!N$79:N$82,MATCH($B493,About!$A$79:$A$82,0),1)</f>
        <v>5239493</v>
      </c>
      <c r="S493" s="33">
        <f>SUMIFS(INDEX(Load,,MATCH('Summarized Source Data'!$C493,Hour,0)),Month,'Summarized Source Data'!$A493,Sector,'Summarized Source Data'!S$2,TimeOfWeek,$E493)*INDEX(About!O$79:O$82,MATCH($B493,About!$A$79:$A$82,0),1)</f>
        <v>5239493</v>
      </c>
      <c r="T493" s="33">
        <f>SUMIFS(INDEX(Load,,MATCH('Summarized Source Data'!$C493,Hour,0)),Month,'Summarized Source Data'!$A493,Sector,'Summarized Source Data'!T$2,TimeOfWeek,$E493)*INDEX(About!P$79:P$82,MATCH($B493,About!$A$79:$A$82,0),1)</f>
        <v>5239493</v>
      </c>
      <c r="U493" s="33">
        <f>SUMIFS(INDEX(Load,,MATCH('Summarized Source Data'!$C493,Hour,0)),Month,'Summarized Source Data'!$A493,Sector,'Summarized Source Data'!U$2,TimeOfWeek,$E493)*INDEX(About!Q$79:Q$82,MATCH($B493,About!$A$79:$A$82,0),1)</f>
        <v>5239493</v>
      </c>
      <c r="V493" s="33">
        <f>SUMIFS(INDEX(Load,,MATCH('Summarized Source Data'!$C493,Hour,0)),Month,'Summarized Source Data'!$A493,Sector,'Summarized Source Data'!V$2,TimeOfWeek,$E493)*INDEX(About!R$79:R$82,MATCH($B493,About!$A$79:$A$82,0),1)</f>
        <v>5239493</v>
      </c>
      <c r="W493" s="33">
        <f>SUMIFS(INDEX(Load,,MATCH('Summarized Source Data'!$C493,Hour,0)),Month,'Summarized Source Data'!$A493,Sector,'Summarized Source Data'!W$2,TimeOfWeek,$E493)*INDEX(About!S$79:S$82,MATCH($B493,About!$A$79:$A$82,0),1)</f>
        <v>5239493</v>
      </c>
      <c r="X493" s="27">
        <f>SUMIFS(INDEX(Load,,MATCH('Summarized Source Data'!$C493,Hour,0)),Month,'Summarized Source Data'!$A493,Sector,'Summarized Source Data'!X$2,Subsector,'Summarized Source Data'!X$3,TimeOfWeek,$E493)*INDEX(About!T$79:T$82,MATCH($B493,About!$A$79:$A$82,0),1)</f>
        <v>347000000</v>
      </c>
      <c r="Y493" s="29">
        <f t="shared" si="42"/>
        <v>347000000</v>
      </c>
      <c r="Z493" s="29">
        <f t="shared" si="42"/>
        <v>347000000</v>
      </c>
    </row>
    <row r="494" spans="1:26" x14ac:dyDescent="0.3">
      <c r="A494">
        <f t="shared" si="41"/>
        <v>9</v>
      </c>
      <c r="B494" t="str">
        <f>INDEX('Category Mapping'!$G$28:$G$39,MATCH(A494,'Category Mapping'!$A$28:$A$39,0),1)</f>
        <v>Fall</v>
      </c>
      <c r="C494" t="s">
        <v>73</v>
      </c>
      <c r="D494" s="6" t="s">
        <v>148</v>
      </c>
      <c r="E494" s="46" t="s">
        <v>48</v>
      </c>
      <c r="F494" s="27">
        <f>SUMIFS(INDEX(Load,,MATCH('Summarized Source Data'!$C494,Hour,0)),Month,'Summarized Source Data'!$A494,Sector,'Summarized Source Data'!F$2,Subsector,'Summarized Source Data'!F$3,TimeOfWeek,$E494)*INDEX(About!B$79:B$82,MATCH($B494,About!$A$79:$A$82,0),1)</f>
        <v>533628</v>
      </c>
      <c r="G494" s="27">
        <f>SUMIFS(INDEX(Load,,MATCH('Summarized Source Data'!$C494,Hour,0)),Month,'Summarized Source Data'!$A494,Sector,'Summarized Source Data'!G$2,Subsector,'Summarized Source Data'!G$3,TimeOfWeek,$E494)*INDEX(About!C$79:C$82,MATCH($B494,About!$A$79:$A$82,0),1)</f>
        <v>14100000</v>
      </c>
      <c r="H494" s="27">
        <f>SUMIFS(INDEX(Load,,MATCH('Summarized Source Data'!$C494,Hour,0)),Month,'Summarized Source Data'!$A494,Sector,'Summarized Source Data'!H$2,Subsector,'Summarized Source Data'!H$3,TimeOfWeek,$E494)*INDEX(About!D$79:D$82,MATCH($B494,About!$A$79:$A$82,0),1)</f>
        <v>0</v>
      </c>
      <c r="I494" s="27">
        <f>SUMIFS(INDEX(Load,,MATCH('Summarized Source Data'!$C494,Hour,0)),Month,'Summarized Source Data'!$A494,Sector,'Summarized Source Data'!I$2,Subsector,'Summarized Source Data'!I$3,TimeOfWeek,$E494)*INDEX(About!E$79:E$82,MATCH($B494,About!$A$79:$A$82,0),1)</f>
        <v>7252354</v>
      </c>
      <c r="J494" s="54">
        <f t="shared" si="37"/>
        <v>89114018</v>
      </c>
      <c r="K494" s="27">
        <f>(SUMIFS(INDEX(Load,,MATCH('Summarized Source Data'!$C494,Hour,0)),Month,'Summarized Source Data'!$A494,Sector,'Summarized Source Data'!K$2,Subsector,"Total",TimeOfWeek,$E494)-SUM(F494:I494))*INDEX(About!G$79:G$82,MATCH($B494,About!$A$79:$A$82,0),1)</f>
        <v>89114018</v>
      </c>
      <c r="L494" s="27">
        <f>SUMIFS(INDEX(Load,,MATCH('Summarized Source Data'!$C494,Hour,0)),Month,'Summarized Source Data'!$A494,Sector,'Summarized Source Data'!L$2,Subsector,'Summarized Source Data'!L$3,TimeOfWeek,$E494)*INDEX(About!H$79:H$82,MATCH($B494,About!$A$79:$A$82,0),1)</f>
        <v>645849</v>
      </c>
      <c r="M494" s="27">
        <f>SUMIFS(INDEX(Load,,MATCH('Summarized Source Data'!$C494,Hour,0)),Month,'Summarized Source Data'!$A494,Sector,'Summarized Source Data'!M$2,Subsector,'Summarized Source Data'!M$3,TimeOfWeek,$E494)*INDEX(About!I$79:I$82,MATCH($B494,About!$A$79:$A$82,0),1)</f>
        <v>52400000</v>
      </c>
      <c r="N494" s="27">
        <f>SUMIFS(INDEX(Load,,MATCH('Summarized Source Data'!$C494,Hour,0)),Month,'Summarized Source Data'!$A494,Sector,'Summarized Source Data'!N$2,Subsector,'Summarized Source Data'!N$3,TimeOfWeek,$E494)*INDEX(About!J$79:J$82,MATCH($B494,About!$A$79:$A$82,0),1)</f>
        <v>0</v>
      </c>
      <c r="O494" s="29">
        <f t="shared" si="38"/>
        <v>125954151</v>
      </c>
      <c r="P494" s="27">
        <f>(SUMIFS(INDEX(Load,,MATCH('Summarized Source Data'!$C494,Hour,0)),Month,'Summarized Source Data'!$A494,Sector,'Summarized Source Data'!P$2,Subsector,"Total",TimeOfWeek,$E494)-SUM(L494:N494)*INDEX(About!L$79:L$82,MATCH($B494,About!$A$79:$A$82,0),1))</f>
        <v>125954151</v>
      </c>
      <c r="Q494" s="29">
        <f t="shared" si="39"/>
        <v>125954151</v>
      </c>
      <c r="R494" s="33">
        <f>SUMIFS(INDEX(Load,,MATCH('Summarized Source Data'!$C494,Hour,0)),Month,'Summarized Source Data'!$A494,Sector,'Summarized Source Data'!R$2,TimeOfWeek,$E494)*INDEX(About!N$79:N$82,MATCH($B494,About!$A$79:$A$82,0),1)</f>
        <v>5553888</v>
      </c>
      <c r="S494" s="33">
        <f>SUMIFS(INDEX(Load,,MATCH('Summarized Source Data'!$C494,Hour,0)),Month,'Summarized Source Data'!$A494,Sector,'Summarized Source Data'!S$2,TimeOfWeek,$E494)*INDEX(About!O$79:O$82,MATCH($B494,About!$A$79:$A$82,0),1)</f>
        <v>5553888</v>
      </c>
      <c r="T494" s="33">
        <f>SUMIFS(INDEX(Load,,MATCH('Summarized Source Data'!$C494,Hour,0)),Month,'Summarized Source Data'!$A494,Sector,'Summarized Source Data'!T$2,TimeOfWeek,$E494)*INDEX(About!P$79:P$82,MATCH($B494,About!$A$79:$A$82,0),1)</f>
        <v>5553888</v>
      </c>
      <c r="U494" s="33">
        <f>SUMIFS(INDEX(Load,,MATCH('Summarized Source Data'!$C494,Hour,0)),Month,'Summarized Source Data'!$A494,Sector,'Summarized Source Data'!U$2,TimeOfWeek,$E494)*INDEX(About!Q$79:Q$82,MATCH($B494,About!$A$79:$A$82,0),1)</f>
        <v>5553888</v>
      </c>
      <c r="V494" s="33">
        <f>SUMIFS(INDEX(Load,,MATCH('Summarized Source Data'!$C494,Hour,0)),Month,'Summarized Source Data'!$A494,Sector,'Summarized Source Data'!V$2,TimeOfWeek,$E494)*INDEX(About!R$79:R$82,MATCH($B494,About!$A$79:$A$82,0),1)</f>
        <v>5553888</v>
      </c>
      <c r="W494" s="33">
        <f>SUMIFS(INDEX(Load,,MATCH('Summarized Source Data'!$C494,Hour,0)),Month,'Summarized Source Data'!$A494,Sector,'Summarized Source Data'!W$2,TimeOfWeek,$E494)*INDEX(About!S$79:S$82,MATCH($B494,About!$A$79:$A$82,0),1)</f>
        <v>5553888</v>
      </c>
      <c r="X494" s="27">
        <f>SUMIFS(INDEX(Load,,MATCH('Summarized Source Data'!$C494,Hour,0)),Month,'Summarized Source Data'!$A494,Sector,'Summarized Source Data'!X$2,Subsector,'Summarized Source Data'!X$3,TimeOfWeek,$E494)*INDEX(About!T$79:T$82,MATCH($B494,About!$A$79:$A$82,0),1)</f>
        <v>346000000</v>
      </c>
      <c r="Y494" s="29">
        <f t="shared" si="42"/>
        <v>346000000</v>
      </c>
      <c r="Z494" s="29">
        <f t="shared" si="42"/>
        <v>346000000</v>
      </c>
    </row>
    <row r="495" spans="1:26" x14ac:dyDescent="0.3">
      <c r="A495">
        <f t="shared" si="41"/>
        <v>9</v>
      </c>
      <c r="B495" t="str">
        <f>INDEX('Category Mapping'!$G$28:$G$39,MATCH(A495,'Category Mapping'!$A$28:$A$39,0),1)</f>
        <v>Fall</v>
      </c>
      <c r="C495" t="s">
        <v>74</v>
      </c>
      <c r="D495" s="6" t="s">
        <v>149</v>
      </c>
      <c r="E495" s="46" t="s">
        <v>48</v>
      </c>
      <c r="F495" s="27">
        <f>SUMIFS(INDEX(Load,,MATCH('Summarized Source Data'!$C495,Hour,0)),Month,'Summarized Source Data'!$A495,Sector,'Summarized Source Data'!F$2,Subsector,'Summarized Source Data'!F$3,TimeOfWeek,$E495)*INDEX(About!B$79:B$82,MATCH($B495,About!$A$79:$A$82,0),1)</f>
        <v>410788</v>
      </c>
      <c r="G495" s="27">
        <f>SUMIFS(INDEX(Load,,MATCH('Summarized Source Data'!$C495,Hour,0)),Month,'Summarized Source Data'!$A495,Sector,'Summarized Source Data'!G$2,Subsector,'Summarized Source Data'!G$3,TimeOfWeek,$E495)*INDEX(About!C$79:C$82,MATCH($B495,About!$A$79:$A$82,0),1)</f>
        <v>17700000</v>
      </c>
      <c r="H495" s="27">
        <f>SUMIFS(INDEX(Load,,MATCH('Summarized Source Data'!$C495,Hour,0)),Month,'Summarized Source Data'!$A495,Sector,'Summarized Source Data'!H$2,Subsector,'Summarized Source Data'!H$3,TimeOfWeek,$E495)*INDEX(About!D$79:D$82,MATCH($B495,About!$A$79:$A$82,0),1)</f>
        <v>0</v>
      </c>
      <c r="I495" s="27">
        <f>SUMIFS(INDEX(Load,,MATCH('Summarized Source Data'!$C495,Hour,0)),Month,'Summarized Source Data'!$A495,Sector,'Summarized Source Data'!I$2,Subsector,'Summarized Source Data'!I$3,TimeOfWeek,$E495)*INDEX(About!E$79:E$82,MATCH($B495,About!$A$79:$A$82,0),1)</f>
        <v>7694915</v>
      </c>
      <c r="J495" s="54">
        <f t="shared" si="37"/>
        <v>99194297</v>
      </c>
      <c r="K495" s="27">
        <f>(SUMIFS(INDEX(Load,,MATCH('Summarized Source Data'!$C495,Hour,0)),Month,'Summarized Source Data'!$A495,Sector,'Summarized Source Data'!K$2,Subsector,"Total",TimeOfWeek,$E495)-SUM(F495:I495))*INDEX(About!G$79:G$82,MATCH($B495,About!$A$79:$A$82,0),1)</f>
        <v>99194297</v>
      </c>
      <c r="L495" s="27">
        <f>SUMIFS(INDEX(Load,,MATCH('Summarized Source Data'!$C495,Hour,0)),Month,'Summarized Source Data'!$A495,Sector,'Summarized Source Data'!L$2,Subsector,'Summarized Source Data'!L$3,TimeOfWeek,$E495)*INDEX(About!H$79:H$82,MATCH($B495,About!$A$79:$A$82,0),1)</f>
        <v>572880</v>
      </c>
      <c r="M495" s="27">
        <f>SUMIFS(INDEX(Load,,MATCH('Summarized Source Data'!$C495,Hour,0)),Month,'Summarized Source Data'!$A495,Sector,'Summarized Source Data'!M$2,Subsector,'Summarized Source Data'!M$3,TimeOfWeek,$E495)*INDEX(About!I$79:I$82,MATCH($B495,About!$A$79:$A$82,0),1)</f>
        <v>56600000</v>
      </c>
      <c r="N495" s="27">
        <f>SUMIFS(INDEX(Load,,MATCH('Summarized Source Data'!$C495,Hour,0)),Month,'Summarized Source Data'!$A495,Sector,'Summarized Source Data'!N$2,Subsector,'Summarized Source Data'!N$3,TimeOfWeek,$E495)*INDEX(About!J$79:J$82,MATCH($B495,About!$A$79:$A$82,0),1)</f>
        <v>0</v>
      </c>
      <c r="O495" s="29">
        <f t="shared" si="38"/>
        <v>125827120</v>
      </c>
      <c r="P495" s="27">
        <f>(SUMIFS(INDEX(Load,,MATCH('Summarized Source Data'!$C495,Hour,0)),Month,'Summarized Source Data'!$A495,Sector,'Summarized Source Data'!P$2,Subsector,"Total",TimeOfWeek,$E495)-SUM(L495:N495)*INDEX(About!L$79:L$82,MATCH($B495,About!$A$79:$A$82,0),1))</f>
        <v>125827120</v>
      </c>
      <c r="Q495" s="29">
        <f t="shared" si="39"/>
        <v>125827120</v>
      </c>
      <c r="R495" s="33">
        <f>SUMIFS(INDEX(Load,,MATCH('Summarized Source Data'!$C495,Hour,0)),Month,'Summarized Source Data'!$A495,Sector,'Summarized Source Data'!R$2,TimeOfWeek,$E495)*INDEX(About!N$79:N$82,MATCH($B495,About!$A$79:$A$82,0),1)</f>
        <v>5735407</v>
      </c>
      <c r="S495" s="33">
        <f>SUMIFS(INDEX(Load,,MATCH('Summarized Source Data'!$C495,Hour,0)),Month,'Summarized Source Data'!$A495,Sector,'Summarized Source Data'!S$2,TimeOfWeek,$E495)*INDEX(About!O$79:O$82,MATCH($B495,About!$A$79:$A$82,0),1)</f>
        <v>5735407</v>
      </c>
      <c r="T495" s="33">
        <f>SUMIFS(INDEX(Load,,MATCH('Summarized Source Data'!$C495,Hour,0)),Month,'Summarized Source Data'!$A495,Sector,'Summarized Source Data'!T$2,TimeOfWeek,$E495)*INDEX(About!P$79:P$82,MATCH($B495,About!$A$79:$A$82,0),1)</f>
        <v>5735407</v>
      </c>
      <c r="U495" s="33">
        <f>SUMIFS(INDEX(Load,,MATCH('Summarized Source Data'!$C495,Hour,0)),Month,'Summarized Source Data'!$A495,Sector,'Summarized Source Data'!U$2,TimeOfWeek,$E495)*INDEX(About!Q$79:Q$82,MATCH($B495,About!$A$79:$A$82,0),1)</f>
        <v>5735407</v>
      </c>
      <c r="V495" s="33">
        <f>SUMIFS(INDEX(Load,,MATCH('Summarized Source Data'!$C495,Hour,0)),Month,'Summarized Source Data'!$A495,Sector,'Summarized Source Data'!V$2,TimeOfWeek,$E495)*INDEX(About!R$79:R$82,MATCH($B495,About!$A$79:$A$82,0),1)</f>
        <v>5735407</v>
      </c>
      <c r="W495" s="33">
        <f>SUMIFS(INDEX(Load,,MATCH('Summarized Source Data'!$C495,Hour,0)),Month,'Summarized Source Data'!$A495,Sector,'Summarized Source Data'!W$2,TimeOfWeek,$E495)*INDEX(About!S$79:S$82,MATCH($B495,About!$A$79:$A$82,0),1)</f>
        <v>5735407</v>
      </c>
      <c r="X495" s="27">
        <f>SUMIFS(INDEX(Load,,MATCH('Summarized Source Data'!$C495,Hour,0)),Month,'Summarized Source Data'!$A495,Sector,'Summarized Source Data'!X$2,Subsector,'Summarized Source Data'!X$3,TimeOfWeek,$E495)*INDEX(About!T$79:T$82,MATCH($B495,About!$A$79:$A$82,0),1)</f>
        <v>345000000</v>
      </c>
      <c r="Y495" s="29">
        <f t="shared" si="42"/>
        <v>345000000</v>
      </c>
      <c r="Z495" s="29">
        <f t="shared" si="42"/>
        <v>345000000</v>
      </c>
    </row>
    <row r="496" spans="1:26" x14ac:dyDescent="0.3">
      <c r="A496">
        <f t="shared" si="41"/>
        <v>9</v>
      </c>
      <c r="B496" t="str">
        <f>INDEX('Category Mapping'!$G$28:$G$39,MATCH(A496,'Category Mapping'!$A$28:$A$39,0),1)</f>
        <v>Fall</v>
      </c>
      <c r="C496" t="s">
        <v>75</v>
      </c>
      <c r="D496" s="6" t="s">
        <v>150</v>
      </c>
      <c r="E496" s="46" t="s">
        <v>48</v>
      </c>
      <c r="F496" s="27">
        <f>SUMIFS(INDEX(Load,,MATCH('Summarized Source Data'!$C496,Hour,0)),Month,'Summarized Source Data'!$A496,Sector,'Summarized Source Data'!F$2,Subsector,'Summarized Source Data'!F$3,TimeOfWeek,$E496)*INDEX(About!B$79:B$82,MATCH($B496,About!$A$79:$A$82,0),1)</f>
        <v>419686</v>
      </c>
      <c r="G496" s="27">
        <f>SUMIFS(INDEX(Load,,MATCH('Summarized Source Data'!$C496,Hour,0)),Month,'Summarized Source Data'!$A496,Sector,'Summarized Source Data'!G$2,Subsector,'Summarized Source Data'!G$3,TimeOfWeek,$E496)*INDEX(About!C$79:C$82,MATCH($B496,About!$A$79:$A$82,0),1)</f>
        <v>20900000</v>
      </c>
      <c r="H496" s="27">
        <f>SUMIFS(INDEX(Load,,MATCH('Summarized Source Data'!$C496,Hour,0)),Month,'Summarized Source Data'!$A496,Sector,'Summarized Source Data'!H$2,Subsector,'Summarized Source Data'!H$3,TimeOfWeek,$E496)*INDEX(About!D$79:D$82,MATCH($B496,About!$A$79:$A$82,0),1)</f>
        <v>0</v>
      </c>
      <c r="I496" s="27">
        <f>SUMIFS(INDEX(Load,,MATCH('Summarized Source Data'!$C496,Hour,0)),Month,'Summarized Source Data'!$A496,Sector,'Summarized Source Data'!I$2,Subsector,'Summarized Source Data'!I$3,TimeOfWeek,$E496)*INDEX(About!E$79:E$82,MATCH($B496,About!$A$79:$A$82,0),1)</f>
        <v>7962345</v>
      </c>
      <c r="J496" s="54">
        <f t="shared" si="37"/>
        <v>90717969</v>
      </c>
      <c r="K496" s="27">
        <f>(SUMIFS(INDEX(Load,,MATCH('Summarized Source Data'!$C496,Hour,0)),Month,'Summarized Source Data'!$A496,Sector,'Summarized Source Data'!K$2,Subsector,"Total",TimeOfWeek,$E496)-SUM(F496:I496))*INDEX(About!G$79:G$82,MATCH($B496,About!$A$79:$A$82,0),1)</f>
        <v>90717969</v>
      </c>
      <c r="L496" s="27">
        <f>SUMIFS(INDEX(Load,,MATCH('Summarized Source Data'!$C496,Hour,0)),Month,'Summarized Source Data'!$A496,Sector,'Summarized Source Data'!L$2,Subsector,'Summarized Source Data'!L$3,TimeOfWeek,$E496)*INDEX(About!H$79:H$82,MATCH($B496,About!$A$79:$A$82,0),1)</f>
        <v>521996</v>
      </c>
      <c r="M496" s="27">
        <f>SUMIFS(INDEX(Load,,MATCH('Summarized Source Data'!$C496,Hour,0)),Month,'Summarized Source Data'!$A496,Sector,'Summarized Source Data'!M$2,Subsector,'Summarized Source Data'!M$3,TimeOfWeek,$E496)*INDEX(About!I$79:I$82,MATCH($B496,About!$A$79:$A$82,0),1)</f>
        <v>59800000</v>
      </c>
      <c r="N496" s="27">
        <f>SUMIFS(INDEX(Load,,MATCH('Summarized Source Data'!$C496,Hour,0)),Month,'Summarized Source Data'!$A496,Sector,'Summarized Source Data'!N$2,Subsector,'Summarized Source Data'!N$3,TimeOfWeek,$E496)*INDEX(About!J$79:J$82,MATCH($B496,About!$A$79:$A$82,0),1)</f>
        <v>0</v>
      </c>
      <c r="O496" s="29">
        <f t="shared" si="38"/>
        <v>125678004</v>
      </c>
      <c r="P496" s="27">
        <f>(SUMIFS(INDEX(Load,,MATCH('Summarized Source Data'!$C496,Hour,0)),Month,'Summarized Source Data'!$A496,Sector,'Summarized Source Data'!P$2,Subsector,"Total",TimeOfWeek,$E496)-SUM(L496:N496)*INDEX(About!L$79:L$82,MATCH($B496,About!$A$79:$A$82,0),1))</f>
        <v>125678004</v>
      </c>
      <c r="Q496" s="29">
        <f t="shared" si="39"/>
        <v>125678004</v>
      </c>
      <c r="R496" s="33">
        <f>SUMIFS(INDEX(Load,,MATCH('Summarized Source Data'!$C496,Hour,0)),Month,'Summarized Source Data'!$A496,Sector,'Summarized Source Data'!R$2,TimeOfWeek,$E496)*INDEX(About!N$79:N$82,MATCH($B496,About!$A$79:$A$82,0),1)</f>
        <v>5614242</v>
      </c>
      <c r="S496" s="33">
        <f>SUMIFS(INDEX(Load,,MATCH('Summarized Source Data'!$C496,Hour,0)),Month,'Summarized Source Data'!$A496,Sector,'Summarized Source Data'!S$2,TimeOfWeek,$E496)*INDEX(About!O$79:O$82,MATCH($B496,About!$A$79:$A$82,0),1)</f>
        <v>5614242</v>
      </c>
      <c r="T496" s="33">
        <f>SUMIFS(INDEX(Load,,MATCH('Summarized Source Data'!$C496,Hour,0)),Month,'Summarized Source Data'!$A496,Sector,'Summarized Source Data'!T$2,TimeOfWeek,$E496)*INDEX(About!P$79:P$82,MATCH($B496,About!$A$79:$A$82,0),1)</f>
        <v>5614242</v>
      </c>
      <c r="U496" s="33">
        <f>SUMIFS(INDEX(Load,,MATCH('Summarized Source Data'!$C496,Hour,0)),Month,'Summarized Source Data'!$A496,Sector,'Summarized Source Data'!U$2,TimeOfWeek,$E496)*INDEX(About!Q$79:Q$82,MATCH($B496,About!$A$79:$A$82,0),1)</f>
        <v>5614242</v>
      </c>
      <c r="V496" s="33">
        <f>SUMIFS(INDEX(Load,,MATCH('Summarized Source Data'!$C496,Hour,0)),Month,'Summarized Source Data'!$A496,Sector,'Summarized Source Data'!V$2,TimeOfWeek,$E496)*INDEX(About!R$79:R$82,MATCH($B496,About!$A$79:$A$82,0),1)</f>
        <v>5614242</v>
      </c>
      <c r="W496" s="33">
        <f>SUMIFS(INDEX(Load,,MATCH('Summarized Source Data'!$C496,Hour,0)),Month,'Summarized Source Data'!$A496,Sector,'Summarized Source Data'!W$2,TimeOfWeek,$E496)*INDEX(About!S$79:S$82,MATCH($B496,About!$A$79:$A$82,0),1)</f>
        <v>5614242</v>
      </c>
      <c r="X496" s="27">
        <f>SUMIFS(INDEX(Load,,MATCH('Summarized Source Data'!$C496,Hour,0)),Month,'Summarized Source Data'!$A496,Sector,'Summarized Source Data'!X$2,Subsector,'Summarized Source Data'!X$3,TimeOfWeek,$E496)*INDEX(About!T$79:T$82,MATCH($B496,About!$A$79:$A$82,0),1)</f>
        <v>345000000</v>
      </c>
      <c r="Y496" s="29">
        <f t="shared" si="42"/>
        <v>345000000</v>
      </c>
      <c r="Z496" s="29">
        <f t="shared" si="42"/>
        <v>345000000</v>
      </c>
    </row>
    <row r="497" spans="1:26" x14ac:dyDescent="0.3">
      <c r="A497">
        <f t="shared" si="41"/>
        <v>9</v>
      </c>
      <c r="B497" t="str">
        <f>INDEX('Category Mapping'!$G$28:$G$39,MATCH(A497,'Category Mapping'!$A$28:$A$39,0),1)</f>
        <v>Fall</v>
      </c>
      <c r="C497" t="s">
        <v>76</v>
      </c>
      <c r="D497" s="6" t="s">
        <v>151</v>
      </c>
      <c r="E497" s="46" t="s">
        <v>48</v>
      </c>
      <c r="F497" s="27">
        <f>SUMIFS(INDEX(Load,,MATCH('Summarized Source Data'!$C497,Hour,0)),Month,'Summarized Source Data'!$A497,Sector,'Summarized Source Data'!F$2,Subsector,'Summarized Source Data'!F$3,TimeOfWeek,$E497)*INDEX(About!B$79:B$82,MATCH($B497,About!$A$79:$A$82,0),1)</f>
        <v>419347</v>
      </c>
      <c r="G497" s="27">
        <f>SUMIFS(INDEX(Load,,MATCH('Summarized Source Data'!$C497,Hour,0)),Month,'Summarized Source Data'!$A497,Sector,'Summarized Source Data'!G$2,Subsector,'Summarized Source Data'!G$3,TimeOfWeek,$E497)*INDEX(About!C$79:C$82,MATCH($B497,About!$A$79:$A$82,0),1)</f>
        <v>22700000</v>
      </c>
      <c r="H497" s="27">
        <f>SUMIFS(INDEX(Load,,MATCH('Summarized Source Data'!$C497,Hour,0)),Month,'Summarized Source Data'!$A497,Sector,'Summarized Source Data'!H$2,Subsector,'Summarized Source Data'!H$3,TimeOfWeek,$E497)*INDEX(About!D$79:D$82,MATCH($B497,About!$A$79:$A$82,0),1)</f>
        <v>0</v>
      </c>
      <c r="I497" s="27">
        <f>SUMIFS(INDEX(Load,,MATCH('Summarized Source Data'!$C497,Hour,0)),Month,'Summarized Source Data'!$A497,Sector,'Summarized Source Data'!I$2,Subsector,'Summarized Source Data'!I$3,TimeOfWeek,$E497)*INDEX(About!E$79:E$82,MATCH($B497,About!$A$79:$A$82,0),1)</f>
        <v>7952143</v>
      </c>
      <c r="J497" s="54">
        <f t="shared" si="37"/>
        <v>79928510</v>
      </c>
      <c r="K497" s="27">
        <f>(SUMIFS(INDEX(Load,,MATCH('Summarized Source Data'!$C497,Hour,0)),Month,'Summarized Source Data'!$A497,Sector,'Summarized Source Data'!K$2,Subsector,"Total",TimeOfWeek,$E497)-SUM(F497:I497))*INDEX(About!G$79:G$82,MATCH($B497,About!$A$79:$A$82,0),1)</f>
        <v>79928510</v>
      </c>
      <c r="L497" s="27">
        <f>SUMIFS(INDEX(Load,,MATCH('Summarized Source Data'!$C497,Hour,0)),Month,'Summarized Source Data'!$A497,Sector,'Summarized Source Data'!L$2,Subsector,'Summarized Source Data'!L$3,TimeOfWeek,$E497)*INDEX(About!H$79:H$82,MATCH($B497,About!$A$79:$A$82,0),1)</f>
        <v>489966</v>
      </c>
      <c r="M497" s="27">
        <f>SUMIFS(INDEX(Load,,MATCH('Summarized Source Data'!$C497,Hour,0)),Month,'Summarized Source Data'!$A497,Sector,'Summarized Source Data'!M$2,Subsector,'Summarized Source Data'!M$3,TimeOfWeek,$E497)*INDEX(About!I$79:I$82,MATCH($B497,About!$A$79:$A$82,0),1)</f>
        <v>61700000</v>
      </c>
      <c r="N497" s="27">
        <f>SUMIFS(INDEX(Load,,MATCH('Summarized Source Data'!$C497,Hour,0)),Month,'Summarized Source Data'!$A497,Sector,'Summarized Source Data'!N$2,Subsector,'Summarized Source Data'!N$3,TimeOfWeek,$E497)*INDEX(About!J$79:J$82,MATCH($B497,About!$A$79:$A$82,0),1)</f>
        <v>0</v>
      </c>
      <c r="O497" s="29">
        <f t="shared" si="38"/>
        <v>120810034</v>
      </c>
      <c r="P497" s="27">
        <f>(SUMIFS(INDEX(Load,,MATCH('Summarized Source Data'!$C497,Hour,0)),Month,'Summarized Source Data'!$A497,Sector,'Summarized Source Data'!P$2,Subsector,"Total",TimeOfWeek,$E497)-SUM(L497:N497)*INDEX(About!L$79:L$82,MATCH($B497,About!$A$79:$A$82,0),1))</f>
        <v>120810034</v>
      </c>
      <c r="Q497" s="29">
        <f t="shared" si="39"/>
        <v>120810034</v>
      </c>
      <c r="R497" s="33">
        <f>SUMIFS(INDEX(Load,,MATCH('Summarized Source Data'!$C497,Hour,0)),Month,'Summarized Source Data'!$A497,Sector,'Summarized Source Data'!R$2,TimeOfWeek,$E497)*INDEX(About!N$79:N$82,MATCH($B497,About!$A$79:$A$82,0),1)</f>
        <v>5352919</v>
      </c>
      <c r="S497" s="33">
        <f>SUMIFS(INDEX(Load,,MATCH('Summarized Source Data'!$C497,Hour,0)),Month,'Summarized Source Data'!$A497,Sector,'Summarized Source Data'!S$2,TimeOfWeek,$E497)*INDEX(About!O$79:O$82,MATCH($B497,About!$A$79:$A$82,0),1)</f>
        <v>5352919</v>
      </c>
      <c r="T497" s="33">
        <f>SUMIFS(INDEX(Load,,MATCH('Summarized Source Data'!$C497,Hour,0)),Month,'Summarized Source Data'!$A497,Sector,'Summarized Source Data'!T$2,TimeOfWeek,$E497)*INDEX(About!P$79:P$82,MATCH($B497,About!$A$79:$A$82,0),1)</f>
        <v>5352919</v>
      </c>
      <c r="U497" s="33">
        <f>SUMIFS(INDEX(Load,,MATCH('Summarized Source Data'!$C497,Hour,0)),Month,'Summarized Source Data'!$A497,Sector,'Summarized Source Data'!U$2,TimeOfWeek,$E497)*INDEX(About!Q$79:Q$82,MATCH($B497,About!$A$79:$A$82,0),1)</f>
        <v>5352919</v>
      </c>
      <c r="V497" s="33">
        <f>SUMIFS(INDEX(Load,,MATCH('Summarized Source Data'!$C497,Hour,0)),Month,'Summarized Source Data'!$A497,Sector,'Summarized Source Data'!V$2,TimeOfWeek,$E497)*INDEX(About!R$79:R$82,MATCH($B497,About!$A$79:$A$82,0),1)</f>
        <v>5352919</v>
      </c>
      <c r="W497" s="33">
        <f>SUMIFS(INDEX(Load,,MATCH('Summarized Source Data'!$C497,Hour,0)),Month,'Summarized Source Data'!$A497,Sector,'Summarized Source Data'!W$2,TimeOfWeek,$E497)*INDEX(About!S$79:S$82,MATCH($B497,About!$A$79:$A$82,0),1)</f>
        <v>5352919</v>
      </c>
      <c r="X497" s="27">
        <f>SUMIFS(INDEX(Load,,MATCH('Summarized Source Data'!$C497,Hour,0)),Month,'Summarized Source Data'!$A497,Sector,'Summarized Source Data'!X$2,Subsector,'Summarized Source Data'!X$3,TimeOfWeek,$E497)*INDEX(About!T$79:T$82,MATCH($B497,About!$A$79:$A$82,0),1)</f>
        <v>345000000</v>
      </c>
      <c r="Y497" s="29">
        <f t="shared" si="42"/>
        <v>345000000</v>
      </c>
      <c r="Z497" s="29">
        <f t="shared" si="42"/>
        <v>345000000</v>
      </c>
    </row>
    <row r="498" spans="1:26" x14ac:dyDescent="0.3">
      <c r="A498">
        <f t="shared" si="41"/>
        <v>9</v>
      </c>
      <c r="B498" t="str">
        <f>INDEX('Category Mapping'!$G$28:$G$39,MATCH(A498,'Category Mapping'!$A$28:$A$39,0),1)</f>
        <v>Fall</v>
      </c>
      <c r="C498" t="s">
        <v>77</v>
      </c>
      <c r="D498" s="6" t="s">
        <v>152</v>
      </c>
      <c r="E498" s="46" t="s">
        <v>48</v>
      </c>
      <c r="F498" s="27">
        <f>SUMIFS(INDEX(Load,,MATCH('Summarized Source Data'!$C498,Hour,0)),Month,'Summarized Source Data'!$A498,Sector,'Summarized Source Data'!F$2,Subsector,'Summarized Source Data'!F$3,TimeOfWeek,$E498)*INDEX(About!B$79:B$82,MATCH($B498,About!$A$79:$A$82,0),1)</f>
        <v>416563</v>
      </c>
      <c r="G498" s="27">
        <f>SUMIFS(INDEX(Load,,MATCH('Summarized Source Data'!$C498,Hour,0)),Month,'Summarized Source Data'!$A498,Sector,'Summarized Source Data'!G$2,Subsector,'Summarized Source Data'!G$3,TimeOfWeek,$E498)*INDEX(About!C$79:C$82,MATCH($B498,About!$A$79:$A$82,0),1)</f>
        <v>23200000</v>
      </c>
      <c r="H498" s="27">
        <f>SUMIFS(INDEX(Load,,MATCH('Summarized Source Data'!$C498,Hour,0)),Month,'Summarized Source Data'!$A498,Sector,'Summarized Source Data'!H$2,Subsector,'Summarized Source Data'!H$3,TimeOfWeek,$E498)*INDEX(About!D$79:D$82,MATCH($B498,About!$A$79:$A$82,0),1)</f>
        <v>0</v>
      </c>
      <c r="I498" s="27">
        <f>SUMIFS(INDEX(Load,,MATCH('Summarized Source Data'!$C498,Hour,0)),Month,'Summarized Source Data'!$A498,Sector,'Summarized Source Data'!I$2,Subsector,'Summarized Source Data'!I$3,TimeOfWeek,$E498)*INDEX(About!E$79:E$82,MATCH($B498,About!$A$79:$A$82,0),1)</f>
        <v>7868470</v>
      </c>
      <c r="J498" s="54">
        <f t="shared" si="37"/>
        <v>83514967</v>
      </c>
      <c r="K498" s="27">
        <f>(SUMIFS(INDEX(Load,,MATCH('Summarized Source Data'!$C498,Hour,0)),Month,'Summarized Source Data'!$A498,Sector,'Summarized Source Data'!K$2,Subsector,"Total",TimeOfWeek,$E498)-SUM(F498:I498))*INDEX(About!G$79:G$82,MATCH($B498,About!$A$79:$A$82,0),1)</f>
        <v>83514967</v>
      </c>
      <c r="L498" s="27">
        <f>SUMIFS(INDEX(Load,,MATCH('Summarized Source Data'!$C498,Hour,0)),Month,'Summarized Source Data'!$A498,Sector,'Summarized Source Data'!L$2,Subsector,'Summarized Source Data'!L$3,TimeOfWeek,$E498)*INDEX(About!H$79:H$82,MATCH($B498,About!$A$79:$A$82,0),1)</f>
        <v>479456</v>
      </c>
      <c r="M498" s="27">
        <f>SUMIFS(INDEX(Load,,MATCH('Summarized Source Data'!$C498,Hour,0)),Month,'Summarized Source Data'!$A498,Sector,'Summarized Source Data'!M$2,Subsector,'Summarized Source Data'!M$3,TimeOfWeek,$E498)*INDEX(About!I$79:I$82,MATCH($B498,About!$A$79:$A$82,0),1)</f>
        <v>62400000</v>
      </c>
      <c r="N498" s="27">
        <f>SUMIFS(INDEX(Load,,MATCH('Summarized Source Data'!$C498,Hour,0)),Month,'Summarized Source Data'!$A498,Sector,'Summarized Source Data'!N$2,Subsector,'Summarized Source Data'!N$3,TimeOfWeek,$E498)*INDEX(About!J$79:J$82,MATCH($B498,About!$A$79:$A$82,0),1)</f>
        <v>0</v>
      </c>
      <c r="O498" s="29">
        <f t="shared" si="38"/>
        <v>115120544</v>
      </c>
      <c r="P498" s="27">
        <f>(SUMIFS(INDEX(Load,,MATCH('Summarized Source Data'!$C498,Hour,0)),Month,'Summarized Source Data'!$A498,Sector,'Summarized Source Data'!P$2,Subsector,"Total",TimeOfWeek,$E498)-SUM(L498:N498)*INDEX(About!L$79:L$82,MATCH($B498,About!$A$79:$A$82,0),1))</f>
        <v>115120544</v>
      </c>
      <c r="Q498" s="29">
        <f t="shared" si="39"/>
        <v>115120544</v>
      </c>
      <c r="R498" s="33">
        <f>SUMIFS(INDEX(Load,,MATCH('Summarized Source Data'!$C498,Hour,0)),Month,'Summarized Source Data'!$A498,Sector,'Summarized Source Data'!R$2,TimeOfWeek,$E498)*INDEX(About!N$79:N$82,MATCH($B498,About!$A$79:$A$82,0),1)</f>
        <v>5282654</v>
      </c>
      <c r="S498" s="33">
        <f>SUMIFS(INDEX(Load,,MATCH('Summarized Source Data'!$C498,Hour,0)),Month,'Summarized Source Data'!$A498,Sector,'Summarized Source Data'!S$2,TimeOfWeek,$E498)*INDEX(About!O$79:O$82,MATCH($B498,About!$A$79:$A$82,0),1)</f>
        <v>5282654</v>
      </c>
      <c r="T498" s="33">
        <f>SUMIFS(INDEX(Load,,MATCH('Summarized Source Data'!$C498,Hour,0)),Month,'Summarized Source Data'!$A498,Sector,'Summarized Source Data'!T$2,TimeOfWeek,$E498)*INDEX(About!P$79:P$82,MATCH($B498,About!$A$79:$A$82,0),1)</f>
        <v>5282654</v>
      </c>
      <c r="U498" s="33">
        <f>SUMIFS(INDEX(Load,,MATCH('Summarized Source Data'!$C498,Hour,0)),Month,'Summarized Source Data'!$A498,Sector,'Summarized Source Data'!U$2,TimeOfWeek,$E498)*INDEX(About!Q$79:Q$82,MATCH($B498,About!$A$79:$A$82,0),1)</f>
        <v>5282654</v>
      </c>
      <c r="V498" s="33">
        <f>SUMIFS(INDEX(Load,,MATCH('Summarized Source Data'!$C498,Hour,0)),Month,'Summarized Source Data'!$A498,Sector,'Summarized Source Data'!V$2,TimeOfWeek,$E498)*INDEX(About!R$79:R$82,MATCH($B498,About!$A$79:$A$82,0),1)</f>
        <v>5282654</v>
      </c>
      <c r="W498" s="33">
        <f>SUMIFS(INDEX(Load,,MATCH('Summarized Source Data'!$C498,Hour,0)),Month,'Summarized Source Data'!$A498,Sector,'Summarized Source Data'!W$2,TimeOfWeek,$E498)*INDEX(About!S$79:S$82,MATCH($B498,About!$A$79:$A$82,0),1)</f>
        <v>5282654</v>
      </c>
      <c r="X498" s="27">
        <f>SUMIFS(INDEX(Load,,MATCH('Summarized Source Data'!$C498,Hour,0)),Month,'Summarized Source Data'!$A498,Sector,'Summarized Source Data'!X$2,Subsector,'Summarized Source Data'!X$3,TimeOfWeek,$E498)*INDEX(About!T$79:T$82,MATCH($B498,About!$A$79:$A$82,0),1)</f>
        <v>346000000</v>
      </c>
      <c r="Y498" s="29">
        <f t="shared" si="42"/>
        <v>346000000</v>
      </c>
      <c r="Z498" s="29">
        <f t="shared" si="42"/>
        <v>346000000</v>
      </c>
    </row>
    <row r="499" spans="1:26" x14ac:dyDescent="0.3">
      <c r="A499">
        <f t="shared" si="41"/>
        <v>9</v>
      </c>
      <c r="B499" t="str">
        <f>INDEX('Category Mapping'!$G$28:$G$39,MATCH(A499,'Category Mapping'!$A$28:$A$39,0),1)</f>
        <v>Fall</v>
      </c>
      <c r="C499" t="s">
        <v>78</v>
      </c>
      <c r="D499" s="6" t="s">
        <v>153</v>
      </c>
      <c r="E499" s="46" t="s">
        <v>48</v>
      </c>
      <c r="F499" s="27">
        <f>SUMIFS(INDEX(Load,,MATCH('Summarized Source Data'!$C499,Hour,0)),Month,'Summarized Source Data'!$A499,Sector,'Summarized Source Data'!F$2,Subsector,'Summarized Source Data'!F$3,TimeOfWeek,$E499)*INDEX(About!B$79:B$82,MATCH($B499,About!$A$79:$A$82,0),1)</f>
        <v>417220</v>
      </c>
      <c r="G499" s="27">
        <f>SUMIFS(INDEX(Load,,MATCH('Summarized Source Data'!$C499,Hour,0)),Month,'Summarized Source Data'!$A499,Sector,'Summarized Source Data'!G$2,Subsector,'Summarized Source Data'!G$3,TimeOfWeek,$E499)*INDEX(About!C$79:C$82,MATCH($B499,About!$A$79:$A$82,0),1)</f>
        <v>22600000</v>
      </c>
      <c r="H499" s="27">
        <f>SUMIFS(INDEX(Load,,MATCH('Summarized Source Data'!$C499,Hour,0)),Month,'Summarized Source Data'!$A499,Sector,'Summarized Source Data'!H$2,Subsector,'Summarized Source Data'!H$3,TimeOfWeek,$E499)*INDEX(About!D$79:D$82,MATCH($B499,About!$A$79:$A$82,0),1)</f>
        <v>0</v>
      </c>
      <c r="I499" s="27">
        <f>SUMIFS(INDEX(Load,,MATCH('Summarized Source Data'!$C499,Hour,0)),Month,'Summarized Source Data'!$A499,Sector,'Summarized Source Data'!I$2,Subsector,'Summarized Source Data'!I$3,TimeOfWeek,$E499)*INDEX(About!E$79:E$82,MATCH($B499,About!$A$79:$A$82,0),1)</f>
        <v>7888216</v>
      </c>
      <c r="J499" s="54">
        <f t="shared" si="37"/>
        <v>87094564</v>
      </c>
      <c r="K499" s="27">
        <f>(SUMIFS(INDEX(Load,,MATCH('Summarized Source Data'!$C499,Hour,0)),Month,'Summarized Source Data'!$A499,Sector,'Summarized Source Data'!K$2,Subsector,"Total",TimeOfWeek,$E499)-SUM(F499:I499))*INDEX(About!G$79:G$82,MATCH($B499,About!$A$79:$A$82,0),1)</f>
        <v>87094564</v>
      </c>
      <c r="L499" s="27">
        <f>SUMIFS(INDEX(Load,,MATCH('Summarized Source Data'!$C499,Hour,0)),Month,'Summarized Source Data'!$A499,Sector,'Summarized Source Data'!L$2,Subsector,'Summarized Source Data'!L$3,TimeOfWeek,$E499)*INDEX(About!H$79:H$82,MATCH($B499,About!$A$79:$A$82,0),1)</f>
        <v>410344</v>
      </c>
      <c r="M499" s="27">
        <f>SUMIFS(INDEX(Load,,MATCH('Summarized Source Data'!$C499,Hour,0)),Month,'Summarized Source Data'!$A499,Sector,'Summarized Source Data'!M$2,Subsector,'Summarized Source Data'!M$3,TimeOfWeek,$E499)*INDEX(About!I$79:I$82,MATCH($B499,About!$A$79:$A$82,0),1)</f>
        <v>61700000</v>
      </c>
      <c r="N499" s="27">
        <f>SUMIFS(INDEX(Load,,MATCH('Summarized Source Data'!$C499,Hour,0)),Month,'Summarized Source Data'!$A499,Sector,'Summarized Source Data'!N$2,Subsector,'Summarized Source Data'!N$3,TimeOfWeek,$E499)*INDEX(About!J$79:J$82,MATCH($B499,About!$A$79:$A$82,0),1)</f>
        <v>0</v>
      </c>
      <c r="O499" s="29">
        <f t="shared" si="38"/>
        <v>106889656</v>
      </c>
      <c r="P499" s="27">
        <f>(SUMIFS(INDEX(Load,,MATCH('Summarized Source Data'!$C499,Hour,0)),Month,'Summarized Source Data'!$A499,Sector,'Summarized Source Data'!P$2,Subsector,"Total",TimeOfWeek,$E499)-SUM(L499:N499)*INDEX(About!L$79:L$82,MATCH($B499,About!$A$79:$A$82,0),1))</f>
        <v>106889656</v>
      </c>
      <c r="Q499" s="29">
        <f t="shared" si="39"/>
        <v>106889656</v>
      </c>
      <c r="R499" s="33">
        <f>SUMIFS(INDEX(Load,,MATCH('Summarized Source Data'!$C499,Hour,0)),Month,'Summarized Source Data'!$A499,Sector,'Summarized Source Data'!R$2,TimeOfWeek,$E499)*INDEX(About!N$79:N$82,MATCH($B499,About!$A$79:$A$82,0),1)</f>
        <v>5177256</v>
      </c>
      <c r="S499" s="33">
        <f>SUMIFS(INDEX(Load,,MATCH('Summarized Source Data'!$C499,Hour,0)),Month,'Summarized Source Data'!$A499,Sector,'Summarized Source Data'!S$2,TimeOfWeek,$E499)*INDEX(About!O$79:O$82,MATCH($B499,About!$A$79:$A$82,0),1)</f>
        <v>5177256</v>
      </c>
      <c r="T499" s="33">
        <f>SUMIFS(INDEX(Load,,MATCH('Summarized Source Data'!$C499,Hour,0)),Month,'Summarized Source Data'!$A499,Sector,'Summarized Source Data'!T$2,TimeOfWeek,$E499)*INDEX(About!P$79:P$82,MATCH($B499,About!$A$79:$A$82,0),1)</f>
        <v>5177256</v>
      </c>
      <c r="U499" s="33">
        <f>SUMIFS(INDEX(Load,,MATCH('Summarized Source Data'!$C499,Hour,0)),Month,'Summarized Source Data'!$A499,Sector,'Summarized Source Data'!U$2,TimeOfWeek,$E499)*INDEX(About!Q$79:Q$82,MATCH($B499,About!$A$79:$A$82,0),1)</f>
        <v>5177256</v>
      </c>
      <c r="V499" s="33">
        <f>SUMIFS(INDEX(Load,,MATCH('Summarized Source Data'!$C499,Hour,0)),Month,'Summarized Source Data'!$A499,Sector,'Summarized Source Data'!V$2,TimeOfWeek,$E499)*INDEX(About!R$79:R$82,MATCH($B499,About!$A$79:$A$82,0),1)</f>
        <v>5177256</v>
      </c>
      <c r="W499" s="33">
        <f>SUMIFS(INDEX(Load,,MATCH('Summarized Source Data'!$C499,Hour,0)),Month,'Summarized Source Data'!$A499,Sector,'Summarized Source Data'!W$2,TimeOfWeek,$E499)*INDEX(About!S$79:S$82,MATCH($B499,About!$A$79:$A$82,0),1)</f>
        <v>5177256</v>
      </c>
      <c r="X499" s="27">
        <f>SUMIFS(INDEX(Load,,MATCH('Summarized Source Data'!$C499,Hour,0)),Month,'Summarized Source Data'!$A499,Sector,'Summarized Source Data'!X$2,Subsector,'Summarized Source Data'!X$3,TimeOfWeek,$E499)*INDEX(About!T$79:T$82,MATCH($B499,About!$A$79:$A$82,0),1)</f>
        <v>350000000</v>
      </c>
      <c r="Y499" s="29">
        <f t="shared" si="42"/>
        <v>350000000</v>
      </c>
      <c r="Z499" s="29">
        <f t="shared" si="42"/>
        <v>350000000</v>
      </c>
    </row>
    <row r="500" spans="1:26" x14ac:dyDescent="0.3">
      <c r="A500">
        <f t="shared" si="41"/>
        <v>9</v>
      </c>
      <c r="B500" t="str">
        <f>INDEX('Category Mapping'!$G$28:$G$39,MATCH(A500,'Category Mapping'!$A$28:$A$39,0),1)</f>
        <v>Fall</v>
      </c>
      <c r="C500" t="s">
        <v>79</v>
      </c>
      <c r="D500" s="6" t="s">
        <v>154</v>
      </c>
      <c r="E500" s="46" t="s">
        <v>48</v>
      </c>
      <c r="F500" s="27">
        <f>SUMIFS(INDEX(Load,,MATCH('Summarized Source Data'!$C500,Hour,0)),Month,'Summarized Source Data'!$A500,Sector,'Summarized Source Data'!F$2,Subsector,'Summarized Source Data'!F$3,TimeOfWeek,$E500)*INDEX(About!B$79:B$82,MATCH($B500,About!$A$79:$A$82,0),1)</f>
        <v>424387</v>
      </c>
      <c r="G500" s="27">
        <f>SUMIFS(INDEX(Load,,MATCH('Summarized Source Data'!$C500,Hour,0)),Month,'Summarized Source Data'!$A500,Sector,'Summarized Source Data'!G$2,Subsector,'Summarized Source Data'!G$3,TimeOfWeek,$E500)*INDEX(About!C$79:C$82,MATCH($B500,About!$A$79:$A$82,0),1)</f>
        <v>21100000</v>
      </c>
      <c r="H500" s="27">
        <f>SUMIFS(INDEX(Load,,MATCH('Summarized Source Data'!$C500,Hour,0)),Month,'Summarized Source Data'!$A500,Sector,'Summarized Source Data'!H$2,Subsector,'Summarized Source Data'!H$3,TimeOfWeek,$E500)*INDEX(About!D$79:D$82,MATCH($B500,About!$A$79:$A$82,0),1)</f>
        <v>0</v>
      </c>
      <c r="I500" s="27">
        <f>SUMIFS(INDEX(Load,,MATCH('Summarized Source Data'!$C500,Hour,0)),Month,'Summarized Source Data'!$A500,Sector,'Summarized Source Data'!I$2,Subsector,'Summarized Source Data'!I$3,TimeOfWeek,$E500)*INDEX(About!E$79:E$82,MATCH($B500,About!$A$79:$A$82,0),1)</f>
        <v>8103626</v>
      </c>
      <c r="J500" s="54">
        <f t="shared" si="37"/>
        <v>93371987</v>
      </c>
      <c r="K500" s="27">
        <f>(SUMIFS(INDEX(Load,,MATCH('Summarized Source Data'!$C500,Hour,0)),Month,'Summarized Source Data'!$A500,Sector,'Summarized Source Data'!K$2,Subsector,"Total",TimeOfWeek,$E500)-SUM(F500:I500))*INDEX(About!G$79:G$82,MATCH($B500,About!$A$79:$A$82,0),1)</f>
        <v>93371987</v>
      </c>
      <c r="L500" s="27">
        <f>SUMIFS(INDEX(Load,,MATCH('Summarized Source Data'!$C500,Hour,0)),Month,'Summarized Source Data'!$A500,Sector,'Summarized Source Data'!L$2,Subsector,'Summarized Source Data'!L$3,TimeOfWeek,$E500)*INDEX(About!H$79:H$82,MATCH($B500,About!$A$79:$A$82,0),1)</f>
        <v>414469</v>
      </c>
      <c r="M500" s="27">
        <f>SUMIFS(INDEX(Load,,MATCH('Summarized Source Data'!$C500,Hour,0)),Month,'Summarized Source Data'!$A500,Sector,'Summarized Source Data'!M$2,Subsector,'Summarized Source Data'!M$3,TimeOfWeek,$E500)*INDEX(About!I$79:I$82,MATCH($B500,About!$A$79:$A$82,0),1)</f>
        <v>59400000</v>
      </c>
      <c r="N500" s="27">
        <f>SUMIFS(INDEX(Load,,MATCH('Summarized Source Data'!$C500,Hour,0)),Month,'Summarized Source Data'!$A500,Sector,'Summarized Source Data'!N$2,Subsector,'Summarized Source Data'!N$3,TimeOfWeek,$E500)*INDEX(About!J$79:J$82,MATCH($B500,About!$A$79:$A$82,0),1)</f>
        <v>0</v>
      </c>
      <c r="O500" s="29">
        <f t="shared" si="38"/>
        <v>102185531</v>
      </c>
      <c r="P500" s="27">
        <f>(SUMIFS(INDEX(Load,,MATCH('Summarized Source Data'!$C500,Hour,0)),Month,'Summarized Source Data'!$A500,Sector,'Summarized Source Data'!P$2,Subsector,"Total",TimeOfWeek,$E500)-SUM(L500:N500)*INDEX(About!L$79:L$82,MATCH($B500,About!$A$79:$A$82,0),1))</f>
        <v>102185531</v>
      </c>
      <c r="Q500" s="29">
        <f t="shared" si="39"/>
        <v>102185531</v>
      </c>
      <c r="R500" s="33">
        <f>SUMIFS(INDEX(Load,,MATCH('Summarized Source Data'!$C500,Hour,0)),Month,'Summarized Source Data'!$A500,Sector,'Summarized Source Data'!R$2,TimeOfWeek,$E500)*INDEX(About!N$79:N$82,MATCH($B500,About!$A$79:$A$82,0),1)</f>
        <v>5920964</v>
      </c>
      <c r="S500" s="33">
        <f>SUMIFS(INDEX(Load,,MATCH('Summarized Source Data'!$C500,Hour,0)),Month,'Summarized Source Data'!$A500,Sector,'Summarized Source Data'!S$2,TimeOfWeek,$E500)*INDEX(About!O$79:O$82,MATCH($B500,About!$A$79:$A$82,0),1)</f>
        <v>5920964</v>
      </c>
      <c r="T500" s="33">
        <f>SUMIFS(INDEX(Load,,MATCH('Summarized Source Data'!$C500,Hour,0)),Month,'Summarized Source Data'!$A500,Sector,'Summarized Source Data'!T$2,TimeOfWeek,$E500)*INDEX(About!P$79:P$82,MATCH($B500,About!$A$79:$A$82,0),1)</f>
        <v>5920964</v>
      </c>
      <c r="U500" s="33">
        <f>SUMIFS(INDEX(Load,,MATCH('Summarized Source Data'!$C500,Hour,0)),Month,'Summarized Source Data'!$A500,Sector,'Summarized Source Data'!U$2,TimeOfWeek,$E500)*INDEX(About!Q$79:Q$82,MATCH($B500,About!$A$79:$A$82,0),1)</f>
        <v>5920964</v>
      </c>
      <c r="V500" s="33">
        <f>SUMIFS(INDEX(Load,,MATCH('Summarized Source Data'!$C500,Hour,0)),Month,'Summarized Source Data'!$A500,Sector,'Summarized Source Data'!V$2,TimeOfWeek,$E500)*INDEX(About!R$79:R$82,MATCH($B500,About!$A$79:$A$82,0),1)</f>
        <v>5920964</v>
      </c>
      <c r="W500" s="33">
        <f>SUMIFS(INDEX(Load,,MATCH('Summarized Source Data'!$C500,Hour,0)),Month,'Summarized Source Data'!$A500,Sector,'Summarized Source Data'!W$2,TimeOfWeek,$E500)*INDEX(About!S$79:S$82,MATCH($B500,About!$A$79:$A$82,0),1)</f>
        <v>5920964</v>
      </c>
      <c r="X500" s="27">
        <f>SUMIFS(INDEX(Load,,MATCH('Summarized Source Data'!$C500,Hour,0)),Month,'Summarized Source Data'!$A500,Sector,'Summarized Source Data'!X$2,Subsector,'Summarized Source Data'!X$3,TimeOfWeek,$E500)*INDEX(About!T$79:T$82,MATCH($B500,About!$A$79:$A$82,0),1)</f>
        <v>354000000</v>
      </c>
      <c r="Y500" s="29">
        <f t="shared" si="42"/>
        <v>354000000</v>
      </c>
      <c r="Z500" s="29">
        <f t="shared" si="42"/>
        <v>354000000</v>
      </c>
    </row>
    <row r="501" spans="1:26" x14ac:dyDescent="0.3">
      <c r="A501">
        <f t="shared" si="41"/>
        <v>9</v>
      </c>
      <c r="B501" t="str">
        <f>INDEX('Category Mapping'!$G$28:$G$39,MATCH(A501,'Category Mapping'!$A$28:$A$39,0),1)</f>
        <v>Fall</v>
      </c>
      <c r="C501" t="s">
        <v>80</v>
      </c>
      <c r="D501" s="6" t="s">
        <v>155</v>
      </c>
      <c r="E501" s="46" t="s">
        <v>48</v>
      </c>
      <c r="F501" s="27">
        <f>SUMIFS(INDEX(Load,,MATCH('Summarized Source Data'!$C501,Hour,0)),Month,'Summarized Source Data'!$A501,Sector,'Summarized Source Data'!F$2,Subsector,'Summarized Source Data'!F$3,TimeOfWeek,$E501)*INDEX(About!B$79:B$82,MATCH($B501,About!$A$79:$A$82,0),1)</f>
        <v>437767</v>
      </c>
      <c r="G501" s="27">
        <f>SUMIFS(INDEX(Load,,MATCH('Summarized Source Data'!$C501,Hour,0)),Month,'Summarized Source Data'!$A501,Sector,'Summarized Source Data'!G$2,Subsector,'Summarized Source Data'!G$3,TimeOfWeek,$E501)*INDEX(About!C$79:C$82,MATCH($B501,About!$A$79:$A$82,0),1)</f>
        <v>19400000</v>
      </c>
      <c r="H501" s="27">
        <f>SUMIFS(INDEX(Load,,MATCH('Summarized Source Data'!$C501,Hour,0)),Month,'Summarized Source Data'!$A501,Sector,'Summarized Source Data'!H$2,Subsector,'Summarized Source Data'!H$3,TimeOfWeek,$E501)*INDEX(About!D$79:D$82,MATCH($B501,About!$A$79:$A$82,0),1)</f>
        <v>0</v>
      </c>
      <c r="I501" s="27">
        <f>SUMIFS(INDEX(Load,,MATCH('Summarized Source Data'!$C501,Hour,0)),Month,'Summarized Source Data'!$A501,Sector,'Summarized Source Data'!I$2,Subsector,'Summarized Source Data'!I$3,TimeOfWeek,$E501)*INDEX(About!E$79:E$82,MATCH($B501,About!$A$79:$A$82,0),1)</f>
        <v>17100000</v>
      </c>
      <c r="J501" s="54">
        <f t="shared" si="37"/>
        <v>93062233</v>
      </c>
      <c r="K501" s="27">
        <f>(SUMIFS(INDEX(Load,,MATCH('Summarized Source Data'!$C501,Hour,0)),Month,'Summarized Source Data'!$A501,Sector,'Summarized Source Data'!K$2,Subsector,"Total",TimeOfWeek,$E501)-SUM(F501:I501))*INDEX(About!G$79:G$82,MATCH($B501,About!$A$79:$A$82,0),1)</f>
        <v>93062233</v>
      </c>
      <c r="L501" s="27">
        <f>SUMIFS(INDEX(Load,,MATCH('Summarized Source Data'!$C501,Hour,0)),Month,'Summarized Source Data'!$A501,Sector,'Summarized Source Data'!L$2,Subsector,'Summarized Source Data'!L$3,TimeOfWeek,$E501)*INDEX(About!H$79:H$82,MATCH($B501,About!$A$79:$A$82,0),1)</f>
        <v>461274</v>
      </c>
      <c r="M501" s="27">
        <f>SUMIFS(INDEX(Load,,MATCH('Summarized Source Data'!$C501,Hour,0)),Month,'Summarized Source Data'!$A501,Sector,'Summarized Source Data'!M$2,Subsector,'Summarized Source Data'!M$3,TimeOfWeek,$E501)*INDEX(About!I$79:I$82,MATCH($B501,About!$A$79:$A$82,0),1)</f>
        <v>55600000</v>
      </c>
      <c r="N501" s="27">
        <f>SUMIFS(INDEX(Load,,MATCH('Summarized Source Data'!$C501,Hour,0)),Month,'Summarized Source Data'!$A501,Sector,'Summarized Source Data'!N$2,Subsector,'Summarized Source Data'!N$3,TimeOfWeek,$E501)*INDEX(About!J$79:J$82,MATCH($B501,About!$A$79:$A$82,0),1)</f>
        <v>0</v>
      </c>
      <c r="O501" s="29">
        <f t="shared" si="38"/>
        <v>102938726</v>
      </c>
      <c r="P501" s="27">
        <f>(SUMIFS(INDEX(Load,,MATCH('Summarized Source Data'!$C501,Hour,0)),Month,'Summarized Source Data'!$A501,Sector,'Summarized Source Data'!P$2,Subsector,"Total",TimeOfWeek,$E501)-SUM(L501:N501)*INDEX(About!L$79:L$82,MATCH($B501,About!$A$79:$A$82,0),1))</f>
        <v>102938726</v>
      </c>
      <c r="Q501" s="29">
        <f t="shared" si="39"/>
        <v>102938726</v>
      </c>
      <c r="R501" s="33">
        <f>SUMIFS(INDEX(Load,,MATCH('Summarized Source Data'!$C501,Hour,0)),Month,'Summarized Source Data'!$A501,Sector,'Summarized Source Data'!R$2,TimeOfWeek,$E501)*INDEX(About!N$79:N$82,MATCH($B501,About!$A$79:$A$82,0),1)</f>
        <v>5926819</v>
      </c>
      <c r="S501" s="33">
        <f>SUMIFS(INDEX(Load,,MATCH('Summarized Source Data'!$C501,Hour,0)),Month,'Summarized Source Data'!$A501,Sector,'Summarized Source Data'!S$2,TimeOfWeek,$E501)*INDEX(About!O$79:O$82,MATCH($B501,About!$A$79:$A$82,0),1)</f>
        <v>5926819</v>
      </c>
      <c r="T501" s="33">
        <f>SUMIFS(INDEX(Load,,MATCH('Summarized Source Data'!$C501,Hour,0)),Month,'Summarized Source Data'!$A501,Sector,'Summarized Source Data'!T$2,TimeOfWeek,$E501)*INDEX(About!P$79:P$82,MATCH($B501,About!$A$79:$A$82,0),1)</f>
        <v>5926819</v>
      </c>
      <c r="U501" s="33">
        <f>SUMIFS(INDEX(Load,,MATCH('Summarized Source Data'!$C501,Hour,0)),Month,'Summarized Source Data'!$A501,Sector,'Summarized Source Data'!U$2,TimeOfWeek,$E501)*INDEX(About!Q$79:Q$82,MATCH($B501,About!$A$79:$A$82,0),1)</f>
        <v>5926819</v>
      </c>
      <c r="V501" s="33">
        <f>SUMIFS(INDEX(Load,,MATCH('Summarized Source Data'!$C501,Hour,0)),Month,'Summarized Source Data'!$A501,Sector,'Summarized Source Data'!V$2,TimeOfWeek,$E501)*INDEX(About!R$79:R$82,MATCH($B501,About!$A$79:$A$82,0),1)</f>
        <v>5926819</v>
      </c>
      <c r="W501" s="33">
        <f>SUMIFS(INDEX(Load,,MATCH('Summarized Source Data'!$C501,Hour,0)),Month,'Summarized Source Data'!$A501,Sector,'Summarized Source Data'!W$2,TimeOfWeek,$E501)*INDEX(About!S$79:S$82,MATCH($B501,About!$A$79:$A$82,0),1)</f>
        <v>5926819</v>
      </c>
      <c r="X501" s="27">
        <f>SUMIFS(INDEX(Load,,MATCH('Summarized Source Data'!$C501,Hour,0)),Month,'Summarized Source Data'!$A501,Sector,'Summarized Source Data'!X$2,Subsector,'Summarized Source Data'!X$3,TimeOfWeek,$E501)*INDEX(About!T$79:T$82,MATCH($B501,About!$A$79:$A$82,0),1)</f>
        <v>355000000</v>
      </c>
      <c r="Y501" s="29">
        <f t="shared" si="42"/>
        <v>355000000</v>
      </c>
      <c r="Z501" s="29">
        <f t="shared" si="42"/>
        <v>355000000</v>
      </c>
    </row>
    <row r="502" spans="1:26" x14ac:dyDescent="0.3">
      <c r="A502">
        <f t="shared" si="41"/>
        <v>9</v>
      </c>
      <c r="B502" t="str">
        <f>INDEX('Category Mapping'!$G$28:$G$39,MATCH(A502,'Category Mapping'!$A$28:$A$39,0),1)</f>
        <v>Fall</v>
      </c>
      <c r="C502" t="s">
        <v>81</v>
      </c>
      <c r="D502" s="6" t="s">
        <v>156</v>
      </c>
      <c r="E502" s="46" t="s">
        <v>48</v>
      </c>
      <c r="F502" s="27">
        <f>SUMIFS(INDEX(Load,,MATCH('Summarized Source Data'!$C502,Hour,0)),Month,'Summarized Source Data'!$A502,Sector,'Summarized Source Data'!F$2,Subsector,'Summarized Source Data'!F$3,TimeOfWeek,$E502)*INDEX(About!B$79:B$82,MATCH($B502,About!$A$79:$A$82,0),1)</f>
        <v>453717</v>
      </c>
      <c r="G502" s="27">
        <f>SUMIFS(INDEX(Load,,MATCH('Summarized Source Data'!$C502,Hour,0)),Month,'Summarized Source Data'!$A502,Sector,'Summarized Source Data'!G$2,Subsector,'Summarized Source Data'!G$3,TimeOfWeek,$E502)*INDEX(About!C$79:C$82,MATCH($B502,About!$A$79:$A$82,0),1)</f>
        <v>17000000</v>
      </c>
      <c r="H502" s="27">
        <f>SUMIFS(INDEX(Load,,MATCH('Summarized Source Data'!$C502,Hour,0)),Month,'Summarized Source Data'!$A502,Sector,'Summarized Source Data'!H$2,Subsector,'Summarized Source Data'!H$3,TimeOfWeek,$E502)*INDEX(About!D$79:D$82,MATCH($B502,About!$A$79:$A$82,0),1)</f>
        <v>0</v>
      </c>
      <c r="I502" s="27">
        <f>SUMIFS(INDEX(Load,,MATCH('Summarized Source Data'!$C502,Hour,0)),Month,'Summarized Source Data'!$A502,Sector,'Summarized Source Data'!I$2,Subsector,'Summarized Source Data'!I$3,TimeOfWeek,$E502)*INDEX(About!E$79:E$82,MATCH($B502,About!$A$79:$A$82,0),1)</f>
        <v>30000000</v>
      </c>
      <c r="J502" s="54">
        <f t="shared" si="37"/>
        <v>90546283</v>
      </c>
      <c r="K502" s="27">
        <f>(SUMIFS(INDEX(Load,,MATCH('Summarized Source Data'!$C502,Hour,0)),Month,'Summarized Source Data'!$A502,Sector,'Summarized Source Data'!K$2,Subsector,"Total",TimeOfWeek,$E502)-SUM(F502:I502))*INDEX(About!G$79:G$82,MATCH($B502,About!$A$79:$A$82,0),1)</f>
        <v>90546283</v>
      </c>
      <c r="L502" s="27">
        <f>SUMIFS(INDEX(Load,,MATCH('Summarized Source Data'!$C502,Hour,0)),Month,'Summarized Source Data'!$A502,Sector,'Summarized Source Data'!L$2,Subsector,'Summarized Source Data'!L$3,TimeOfWeek,$E502)*INDEX(About!H$79:H$82,MATCH($B502,About!$A$79:$A$82,0),1)</f>
        <v>486975</v>
      </c>
      <c r="M502" s="27">
        <f>SUMIFS(INDEX(Load,,MATCH('Summarized Source Data'!$C502,Hour,0)),Month,'Summarized Source Data'!$A502,Sector,'Summarized Source Data'!M$2,Subsector,'Summarized Source Data'!M$3,TimeOfWeek,$E502)*INDEX(About!I$79:I$82,MATCH($B502,About!$A$79:$A$82,0),1)</f>
        <v>51000000</v>
      </c>
      <c r="N502" s="27">
        <f>SUMIFS(INDEX(Load,,MATCH('Summarized Source Data'!$C502,Hour,0)),Month,'Summarized Source Data'!$A502,Sector,'Summarized Source Data'!N$2,Subsector,'Summarized Source Data'!N$3,TimeOfWeek,$E502)*INDEX(About!J$79:J$82,MATCH($B502,About!$A$79:$A$82,0),1)</f>
        <v>0</v>
      </c>
      <c r="O502" s="29">
        <f t="shared" si="38"/>
        <v>101513025</v>
      </c>
      <c r="P502" s="27">
        <f>(SUMIFS(INDEX(Load,,MATCH('Summarized Source Data'!$C502,Hour,0)),Month,'Summarized Source Data'!$A502,Sector,'Summarized Source Data'!P$2,Subsector,"Total",TimeOfWeek,$E502)-SUM(L502:N502)*INDEX(About!L$79:L$82,MATCH($B502,About!$A$79:$A$82,0),1))</f>
        <v>101513025</v>
      </c>
      <c r="Q502" s="29">
        <f t="shared" si="39"/>
        <v>101513025</v>
      </c>
      <c r="R502" s="33">
        <f>SUMIFS(INDEX(Load,,MATCH('Summarized Source Data'!$C502,Hour,0)),Month,'Summarized Source Data'!$A502,Sector,'Summarized Source Data'!R$2,TimeOfWeek,$E502)*INDEX(About!N$79:N$82,MATCH($B502,About!$A$79:$A$82,0),1)</f>
        <v>5885831</v>
      </c>
      <c r="S502" s="33">
        <f>SUMIFS(INDEX(Load,,MATCH('Summarized Source Data'!$C502,Hour,0)),Month,'Summarized Source Data'!$A502,Sector,'Summarized Source Data'!S$2,TimeOfWeek,$E502)*INDEX(About!O$79:O$82,MATCH($B502,About!$A$79:$A$82,0),1)</f>
        <v>5885831</v>
      </c>
      <c r="T502" s="33">
        <f>SUMIFS(INDEX(Load,,MATCH('Summarized Source Data'!$C502,Hour,0)),Month,'Summarized Source Data'!$A502,Sector,'Summarized Source Data'!T$2,TimeOfWeek,$E502)*INDEX(About!P$79:P$82,MATCH($B502,About!$A$79:$A$82,0),1)</f>
        <v>5885831</v>
      </c>
      <c r="U502" s="33">
        <f>SUMIFS(INDEX(Load,,MATCH('Summarized Source Data'!$C502,Hour,0)),Month,'Summarized Source Data'!$A502,Sector,'Summarized Source Data'!U$2,TimeOfWeek,$E502)*INDEX(About!Q$79:Q$82,MATCH($B502,About!$A$79:$A$82,0),1)</f>
        <v>5885831</v>
      </c>
      <c r="V502" s="33">
        <f>SUMIFS(INDEX(Load,,MATCH('Summarized Source Data'!$C502,Hour,0)),Month,'Summarized Source Data'!$A502,Sector,'Summarized Source Data'!V$2,TimeOfWeek,$E502)*INDEX(About!R$79:R$82,MATCH($B502,About!$A$79:$A$82,0),1)</f>
        <v>5885831</v>
      </c>
      <c r="W502" s="33">
        <f>SUMIFS(INDEX(Load,,MATCH('Summarized Source Data'!$C502,Hour,0)),Month,'Summarized Source Data'!$A502,Sector,'Summarized Source Data'!W$2,TimeOfWeek,$E502)*INDEX(About!S$79:S$82,MATCH($B502,About!$A$79:$A$82,0),1)</f>
        <v>5885831</v>
      </c>
      <c r="X502" s="27">
        <f>SUMIFS(INDEX(Load,,MATCH('Summarized Source Data'!$C502,Hour,0)),Month,'Summarized Source Data'!$A502,Sector,'Summarized Source Data'!X$2,Subsector,'Summarized Source Data'!X$3,TimeOfWeek,$E502)*INDEX(About!T$79:T$82,MATCH($B502,About!$A$79:$A$82,0),1)</f>
        <v>354000000</v>
      </c>
      <c r="Y502" s="29">
        <f t="shared" si="42"/>
        <v>354000000</v>
      </c>
      <c r="Z502" s="29">
        <f t="shared" si="42"/>
        <v>354000000</v>
      </c>
    </row>
    <row r="503" spans="1:26" x14ac:dyDescent="0.3">
      <c r="A503">
        <f t="shared" si="41"/>
        <v>9</v>
      </c>
      <c r="B503" t="str">
        <f>INDEX('Category Mapping'!$G$28:$G$39,MATCH(A503,'Category Mapping'!$A$28:$A$39,0),1)</f>
        <v>Fall</v>
      </c>
      <c r="C503" t="s">
        <v>82</v>
      </c>
      <c r="D503" s="6" t="s">
        <v>157</v>
      </c>
      <c r="E503" s="46" t="s">
        <v>48</v>
      </c>
      <c r="F503" s="27">
        <f>SUMIFS(INDEX(Load,,MATCH('Summarized Source Data'!$C503,Hour,0)),Month,'Summarized Source Data'!$A503,Sector,'Summarized Source Data'!F$2,Subsector,'Summarized Source Data'!F$3,TimeOfWeek,$E503)*INDEX(About!B$79:B$82,MATCH($B503,About!$A$79:$A$82,0),1)</f>
        <v>467889</v>
      </c>
      <c r="G503" s="27">
        <f>SUMIFS(INDEX(Load,,MATCH('Summarized Source Data'!$C503,Hour,0)),Month,'Summarized Source Data'!$A503,Sector,'Summarized Source Data'!G$2,Subsector,'Summarized Source Data'!G$3,TimeOfWeek,$E503)*INDEX(About!C$79:C$82,MATCH($B503,About!$A$79:$A$82,0),1)</f>
        <v>13700000</v>
      </c>
      <c r="H503" s="27">
        <f>SUMIFS(INDEX(Load,,MATCH('Summarized Source Data'!$C503,Hour,0)),Month,'Summarized Source Data'!$A503,Sector,'Summarized Source Data'!H$2,Subsector,'Summarized Source Data'!H$3,TimeOfWeek,$E503)*INDEX(About!D$79:D$82,MATCH($B503,About!$A$79:$A$82,0),1)</f>
        <v>0</v>
      </c>
      <c r="I503" s="27">
        <f>SUMIFS(INDEX(Load,,MATCH('Summarized Source Data'!$C503,Hour,0)),Month,'Summarized Source Data'!$A503,Sector,'Summarized Source Data'!I$2,Subsector,'Summarized Source Data'!I$3,TimeOfWeek,$E503)*INDEX(About!E$79:E$82,MATCH($B503,About!$A$79:$A$82,0),1)</f>
        <v>31400000</v>
      </c>
      <c r="J503" s="54">
        <f t="shared" si="37"/>
        <v>83432111</v>
      </c>
      <c r="K503" s="27">
        <f>(SUMIFS(INDEX(Load,,MATCH('Summarized Source Data'!$C503,Hour,0)),Month,'Summarized Source Data'!$A503,Sector,'Summarized Source Data'!K$2,Subsector,"Total",TimeOfWeek,$E503)-SUM(F503:I503))*INDEX(About!G$79:G$82,MATCH($B503,About!$A$79:$A$82,0),1)</f>
        <v>83432111</v>
      </c>
      <c r="L503" s="27">
        <f>SUMIFS(INDEX(Load,,MATCH('Summarized Source Data'!$C503,Hour,0)),Month,'Summarized Source Data'!$A503,Sector,'Summarized Source Data'!L$2,Subsector,'Summarized Source Data'!L$3,TimeOfWeek,$E503)*INDEX(About!H$79:H$82,MATCH($B503,About!$A$79:$A$82,0),1)</f>
        <v>548997</v>
      </c>
      <c r="M503" s="27">
        <f>SUMIFS(INDEX(Load,,MATCH('Summarized Source Data'!$C503,Hour,0)),Month,'Summarized Source Data'!$A503,Sector,'Summarized Source Data'!M$2,Subsector,'Summarized Source Data'!M$3,TimeOfWeek,$E503)*INDEX(About!I$79:I$82,MATCH($B503,About!$A$79:$A$82,0),1)</f>
        <v>45500000</v>
      </c>
      <c r="N503" s="27">
        <f>SUMIFS(INDEX(Load,,MATCH('Summarized Source Data'!$C503,Hour,0)),Month,'Summarized Source Data'!$A503,Sector,'Summarized Source Data'!N$2,Subsector,'Summarized Source Data'!N$3,TimeOfWeek,$E503)*INDEX(About!J$79:J$82,MATCH($B503,About!$A$79:$A$82,0),1)</f>
        <v>0</v>
      </c>
      <c r="O503" s="29">
        <f t="shared" si="38"/>
        <v>98951003</v>
      </c>
      <c r="P503" s="27">
        <f>(SUMIFS(INDEX(Load,,MATCH('Summarized Source Data'!$C503,Hour,0)),Month,'Summarized Source Data'!$A503,Sector,'Summarized Source Data'!P$2,Subsector,"Total",TimeOfWeek,$E503)-SUM(L503:N503)*INDEX(About!L$79:L$82,MATCH($B503,About!$A$79:$A$82,0),1))</f>
        <v>98951003</v>
      </c>
      <c r="Q503" s="29">
        <f t="shared" si="39"/>
        <v>98951003</v>
      </c>
      <c r="R503" s="33">
        <f>SUMIFS(INDEX(Load,,MATCH('Summarized Source Data'!$C503,Hour,0)),Month,'Summarized Source Data'!$A503,Sector,'Summarized Source Data'!R$2,TimeOfWeek,$E503)*INDEX(About!N$79:N$82,MATCH($B503,About!$A$79:$A$82,0),1)</f>
        <v>5751155</v>
      </c>
      <c r="S503" s="33">
        <f>SUMIFS(INDEX(Load,,MATCH('Summarized Source Data'!$C503,Hour,0)),Month,'Summarized Source Data'!$A503,Sector,'Summarized Source Data'!S$2,TimeOfWeek,$E503)*INDEX(About!O$79:O$82,MATCH($B503,About!$A$79:$A$82,0),1)</f>
        <v>5751155</v>
      </c>
      <c r="T503" s="33">
        <f>SUMIFS(INDEX(Load,,MATCH('Summarized Source Data'!$C503,Hour,0)),Month,'Summarized Source Data'!$A503,Sector,'Summarized Source Data'!T$2,TimeOfWeek,$E503)*INDEX(About!P$79:P$82,MATCH($B503,About!$A$79:$A$82,0),1)</f>
        <v>5751155</v>
      </c>
      <c r="U503" s="33">
        <f>SUMIFS(INDEX(Load,,MATCH('Summarized Source Data'!$C503,Hour,0)),Month,'Summarized Source Data'!$A503,Sector,'Summarized Source Data'!U$2,TimeOfWeek,$E503)*INDEX(About!Q$79:Q$82,MATCH($B503,About!$A$79:$A$82,0),1)</f>
        <v>5751155</v>
      </c>
      <c r="V503" s="33">
        <f>SUMIFS(INDEX(Load,,MATCH('Summarized Source Data'!$C503,Hour,0)),Month,'Summarized Source Data'!$A503,Sector,'Summarized Source Data'!V$2,TimeOfWeek,$E503)*INDEX(About!R$79:R$82,MATCH($B503,About!$A$79:$A$82,0),1)</f>
        <v>5751155</v>
      </c>
      <c r="W503" s="33">
        <f>SUMIFS(INDEX(Load,,MATCH('Summarized Source Data'!$C503,Hour,0)),Month,'Summarized Source Data'!$A503,Sector,'Summarized Source Data'!W$2,TimeOfWeek,$E503)*INDEX(About!S$79:S$82,MATCH($B503,About!$A$79:$A$82,0),1)</f>
        <v>5751155</v>
      </c>
      <c r="X503" s="27">
        <f>SUMIFS(INDEX(Load,,MATCH('Summarized Source Data'!$C503,Hour,0)),Month,'Summarized Source Data'!$A503,Sector,'Summarized Source Data'!X$2,Subsector,'Summarized Source Data'!X$3,TimeOfWeek,$E503)*INDEX(About!T$79:T$82,MATCH($B503,About!$A$79:$A$82,0),1)</f>
        <v>352000000</v>
      </c>
      <c r="Y503" s="29">
        <f t="shared" si="42"/>
        <v>352000000</v>
      </c>
      <c r="Z503" s="29">
        <f t="shared" si="42"/>
        <v>352000000</v>
      </c>
    </row>
    <row r="504" spans="1:26" x14ac:dyDescent="0.3">
      <c r="A504">
        <f t="shared" si="41"/>
        <v>9</v>
      </c>
      <c r="B504" t="str">
        <f>INDEX('Category Mapping'!$G$28:$G$39,MATCH(A504,'Category Mapping'!$A$28:$A$39,0),1)</f>
        <v>Fall</v>
      </c>
      <c r="C504" t="s">
        <v>83</v>
      </c>
      <c r="D504" s="6" t="s">
        <v>158</v>
      </c>
      <c r="E504" s="46" t="s">
        <v>48</v>
      </c>
      <c r="F504" s="27">
        <f>SUMIFS(INDEX(Load,,MATCH('Summarized Source Data'!$C504,Hour,0)),Month,'Summarized Source Data'!$A504,Sector,'Summarized Source Data'!F$2,Subsector,'Summarized Source Data'!F$3,TimeOfWeek,$E504)*INDEX(About!B$79:B$82,MATCH($B504,About!$A$79:$A$82,0),1)</f>
        <v>466197</v>
      </c>
      <c r="G504" s="27">
        <f>SUMIFS(INDEX(Load,,MATCH('Summarized Source Data'!$C504,Hour,0)),Month,'Summarized Source Data'!$A504,Sector,'Summarized Source Data'!G$2,Subsector,'Summarized Source Data'!G$3,TimeOfWeek,$E504)*INDEX(About!C$79:C$82,MATCH($B504,About!$A$79:$A$82,0),1)</f>
        <v>9680490</v>
      </c>
      <c r="H504" s="27">
        <f>SUMIFS(INDEX(Load,,MATCH('Summarized Source Data'!$C504,Hour,0)),Month,'Summarized Source Data'!$A504,Sector,'Summarized Source Data'!H$2,Subsector,'Summarized Source Data'!H$3,TimeOfWeek,$E504)*INDEX(About!D$79:D$82,MATCH($B504,About!$A$79:$A$82,0),1)</f>
        <v>0</v>
      </c>
      <c r="I504" s="27">
        <f>SUMIFS(INDEX(Load,,MATCH('Summarized Source Data'!$C504,Hour,0)),Month,'Summarized Source Data'!$A504,Sector,'Summarized Source Data'!I$2,Subsector,'Summarized Source Data'!I$3,TimeOfWeek,$E504)*INDEX(About!E$79:E$82,MATCH($B504,About!$A$79:$A$82,0),1)</f>
        <v>31200000</v>
      </c>
      <c r="J504" s="54">
        <f t="shared" si="37"/>
        <v>77653313</v>
      </c>
      <c r="K504" s="27">
        <f>(SUMIFS(INDEX(Load,,MATCH('Summarized Source Data'!$C504,Hour,0)),Month,'Summarized Source Data'!$A504,Sector,'Summarized Source Data'!K$2,Subsector,"Total",TimeOfWeek,$E504)-SUM(F504:I504))*INDEX(About!G$79:G$82,MATCH($B504,About!$A$79:$A$82,0),1)</f>
        <v>77653313</v>
      </c>
      <c r="L504" s="27">
        <f>SUMIFS(INDEX(Load,,MATCH('Summarized Source Data'!$C504,Hour,0)),Month,'Summarized Source Data'!$A504,Sector,'Summarized Source Data'!L$2,Subsector,'Summarized Source Data'!L$3,TimeOfWeek,$E504)*INDEX(About!H$79:H$82,MATCH($B504,About!$A$79:$A$82,0),1)</f>
        <v>660891</v>
      </c>
      <c r="M504" s="27">
        <f>SUMIFS(INDEX(Load,,MATCH('Summarized Source Data'!$C504,Hour,0)),Month,'Summarized Source Data'!$A504,Sector,'Summarized Source Data'!M$2,Subsector,'Summarized Source Data'!M$3,TimeOfWeek,$E504)*INDEX(About!I$79:I$82,MATCH($B504,About!$A$79:$A$82,0),1)</f>
        <v>40100000</v>
      </c>
      <c r="N504" s="27">
        <f>SUMIFS(INDEX(Load,,MATCH('Summarized Source Data'!$C504,Hour,0)),Month,'Summarized Source Data'!$A504,Sector,'Summarized Source Data'!N$2,Subsector,'Summarized Source Data'!N$3,TimeOfWeek,$E504)*INDEX(About!J$79:J$82,MATCH($B504,About!$A$79:$A$82,0),1)</f>
        <v>0</v>
      </c>
      <c r="O504" s="29">
        <f t="shared" si="38"/>
        <v>94239109</v>
      </c>
      <c r="P504" s="27">
        <f>(SUMIFS(INDEX(Load,,MATCH('Summarized Source Data'!$C504,Hour,0)),Month,'Summarized Source Data'!$A504,Sector,'Summarized Source Data'!P$2,Subsector,"Total",TimeOfWeek,$E504)-SUM(L504:N504)*INDEX(About!L$79:L$82,MATCH($B504,About!$A$79:$A$82,0),1))</f>
        <v>94239109</v>
      </c>
      <c r="Q504" s="29">
        <f t="shared" si="39"/>
        <v>94239109</v>
      </c>
      <c r="R504" s="33">
        <f>SUMIFS(INDEX(Load,,MATCH('Summarized Source Data'!$C504,Hour,0)),Month,'Summarized Source Data'!$A504,Sector,'Summarized Source Data'!R$2,TimeOfWeek,$E504)*INDEX(About!N$79:N$82,MATCH($B504,About!$A$79:$A$82,0),1)</f>
        <v>5569636</v>
      </c>
      <c r="S504" s="33">
        <f>SUMIFS(INDEX(Load,,MATCH('Summarized Source Data'!$C504,Hour,0)),Month,'Summarized Source Data'!$A504,Sector,'Summarized Source Data'!S$2,TimeOfWeek,$E504)*INDEX(About!O$79:O$82,MATCH($B504,About!$A$79:$A$82,0),1)</f>
        <v>5569636</v>
      </c>
      <c r="T504" s="33">
        <f>SUMIFS(INDEX(Load,,MATCH('Summarized Source Data'!$C504,Hour,0)),Month,'Summarized Source Data'!$A504,Sector,'Summarized Source Data'!T$2,TimeOfWeek,$E504)*INDEX(About!P$79:P$82,MATCH($B504,About!$A$79:$A$82,0),1)</f>
        <v>5569636</v>
      </c>
      <c r="U504" s="33">
        <f>SUMIFS(INDEX(Load,,MATCH('Summarized Source Data'!$C504,Hour,0)),Month,'Summarized Source Data'!$A504,Sector,'Summarized Source Data'!U$2,TimeOfWeek,$E504)*INDEX(About!Q$79:Q$82,MATCH($B504,About!$A$79:$A$82,0),1)</f>
        <v>5569636</v>
      </c>
      <c r="V504" s="33">
        <f>SUMIFS(INDEX(Load,,MATCH('Summarized Source Data'!$C504,Hour,0)),Month,'Summarized Source Data'!$A504,Sector,'Summarized Source Data'!V$2,TimeOfWeek,$E504)*INDEX(About!R$79:R$82,MATCH($B504,About!$A$79:$A$82,0),1)</f>
        <v>5569636</v>
      </c>
      <c r="W504" s="33">
        <f>SUMIFS(INDEX(Load,,MATCH('Summarized Source Data'!$C504,Hour,0)),Month,'Summarized Source Data'!$A504,Sector,'Summarized Source Data'!W$2,TimeOfWeek,$E504)*INDEX(About!S$79:S$82,MATCH($B504,About!$A$79:$A$82,0),1)</f>
        <v>5569636</v>
      </c>
      <c r="X504" s="27">
        <f>SUMIFS(INDEX(Load,,MATCH('Summarized Source Data'!$C504,Hour,0)),Month,'Summarized Source Data'!$A504,Sector,'Summarized Source Data'!X$2,Subsector,'Summarized Source Data'!X$3,TimeOfWeek,$E504)*INDEX(About!T$79:T$82,MATCH($B504,About!$A$79:$A$82,0),1)</f>
        <v>350000000</v>
      </c>
      <c r="Y504" s="29">
        <f t="shared" si="42"/>
        <v>350000000</v>
      </c>
      <c r="Z504" s="29">
        <f t="shared" si="42"/>
        <v>350000000</v>
      </c>
    </row>
    <row r="505" spans="1:26" x14ac:dyDescent="0.3">
      <c r="A505">
        <f t="shared" si="41"/>
        <v>9</v>
      </c>
      <c r="B505" t="str">
        <f>INDEX('Category Mapping'!$G$28:$G$39,MATCH(A505,'Category Mapping'!$A$28:$A$39,0),1)</f>
        <v>Fall</v>
      </c>
      <c r="C505" t="s">
        <v>84</v>
      </c>
      <c r="D505" s="6" t="s">
        <v>159</v>
      </c>
      <c r="E505" s="46" t="s">
        <v>48</v>
      </c>
      <c r="F505" s="27">
        <f>SUMIFS(INDEX(Load,,MATCH('Summarized Source Data'!$C505,Hour,0)),Month,'Summarized Source Data'!$A505,Sector,'Summarized Source Data'!F$2,Subsector,'Summarized Source Data'!F$3,TimeOfWeek,$E505)*INDEX(About!B$79:B$82,MATCH($B505,About!$A$79:$A$82,0),1)</f>
        <v>412277</v>
      </c>
      <c r="G505" s="27">
        <f>SUMIFS(INDEX(Load,,MATCH('Summarized Source Data'!$C505,Hour,0)),Month,'Summarized Source Data'!$A505,Sector,'Summarized Source Data'!G$2,Subsector,'Summarized Source Data'!G$3,TimeOfWeek,$E505)*INDEX(About!C$79:C$82,MATCH($B505,About!$A$79:$A$82,0),1)</f>
        <v>5675497</v>
      </c>
      <c r="H505" s="27">
        <f>SUMIFS(INDEX(Load,,MATCH('Summarized Source Data'!$C505,Hour,0)),Month,'Summarized Source Data'!$A505,Sector,'Summarized Source Data'!H$2,Subsector,'Summarized Source Data'!H$3,TimeOfWeek,$E505)*INDEX(About!D$79:D$82,MATCH($B505,About!$A$79:$A$82,0),1)</f>
        <v>0</v>
      </c>
      <c r="I505" s="27">
        <f>SUMIFS(INDEX(Load,,MATCH('Summarized Source Data'!$C505,Hour,0)),Month,'Summarized Source Data'!$A505,Sector,'Summarized Source Data'!I$2,Subsector,'Summarized Source Data'!I$3,TimeOfWeek,$E505)*INDEX(About!E$79:E$82,MATCH($B505,About!$A$79:$A$82,0),1)</f>
        <v>25800000</v>
      </c>
      <c r="J505" s="54">
        <f t="shared" si="37"/>
        <v>72112226</v>
      </c>
      <c r="K505" s="27">
        <f>(SUMIFS(INDEX(Load,,MATCH('Summarized Source Data'!$C505,Hour,0)),Month,'Summarized Source Data'!$A505,Sector,'Summarized Source Data'!K$2,Subsector,"Total",TimeOfWeek,$E505)-SUM(F505:I505))*INDEX(About!G$79:G$82,MATCH($B505,About!$A$79:$A$82,0),1)</f>
        <v>72112226</v>
      </c>
      <c r="L505" s="27">
        <f>SUMIFS(INDEX(Load,,MATCH('Summarized Source Data'!$C505,Hour,0)),Month,'Summarized Source Data'!$A505,Sector,'Summarized Source Data'!L$2,Subsector,'Summarized Source Data'!L$3,TimeOfWeek,$E505)*INDEX(About!H$79:H$82,MATCH($B505,About!$A$79:$A$82,0),1)</f>
        <v>668574</v>
      </c>
      <c r="M505" s="27">
        <f>SUMIFS(INDEX(Load,,MATCH('Summarized Source Data'!$C505,Hour,0)),Month,'Summarized Source Data'!$A505,Sector,'Summarized Source Data'!M$2,Subsector,'Summarized Source Data'!M$3,TimeOfWeek,$E505)*INDEX(About!I$79:I$82,MATCH($B505,About!$A$79:$A$82,0),1)</f>
        <v>35000000</v>
      </c>
      <c r="N505" s="27">
        <f>SUMIFS(INDEX(Load,,MATCH('Summarized Source Data'!$C505,Hour,0)),Month,'Summarized Source Data'!$A505,Sector,'Summarized Source Data'!N$2,Subsector,'Summarized Source Data'!N$3,TimeOfWeek,$E505)*INDEX(About!J$79:J$82,MATCH($B505,About!$A$79:$A$82,0),1)</f>
        <v>0</v>
      </c>
      <c r="O505" s="29">
        <f t="shared" si="38"/>
        <v>88331426</v>
      </c>
      <c r="P505" s="27">
        <f>(SUMIFS(INDEX(Load,,MATCH('Summarized Source Data'!$C505,Hour,0)),Month,'Summarized Source Data'!$A505,Sector,'Summarized Source Data'!P$2,Subsector,"Total",TimeOfWeek,$E505)-SUM(L505:N505)*INDEX(About!L$79:L$82,MATCH($B505,About!$A$79:$A$82,0),1))</f>
        <v>88331426</v>
      </c>
      <c r="Q505" s="29">
        <f t="shared" si="39"/>
        <v>88331426</v>
      </c>
      <c r="R505" s="33">
        <f>SUMIFS(INDEX(Load,,MATCH('Summarized Source Data'!$C505,Hour,0)),Month,'Summarized Source Data'!$A505,Sector,'Summarized Source Data'!R$2,TimeOfWeek,$E505)*INDEX(About!N$79:N$82,MATCH($B505,About!$A$79:$A$82,0),1)</f>
        <v>5364695</v>
      </c>
      <c r="S505" s="33">
        <f>SUMIFS(INDEX(Load,,MATCH('Summarized Source Data'!$C505,Hour,0)),Month,'Summarized Source Data'!$A505,Sector,'Summarized Source Data'!S$2,TimeOfWeek,$E505)*INDEX(About!O$79:O$82,MATCH($B505,About!$A$79:$A$82,0),1)</f>
        <v>5364695</v>
      </c>
      <c r="T505" s="33">
        <f>SUMIFS(INDEX(Load,,MATCH('Summarized Source Data'!$C505,Hour,0)),Month,'Summarized Source Data'!$A505,Sector,'Summarized Source Data'!T$2,TimeOfWeek,$E505)*INDEX(About!P$79:P$82,MATCH($B505,About!$A$79:$A$82,0),1)</f>
        <v>5364695</v>
      </c>
      <c r="U505" s="33">
        <f>SUMIFS(INDEX(Load,,MATCH('Summarized Source Data'!$C505,Hour,0)),Month,'Summarized Source Data'!$A505,Sector,'Summarized Source Data'!U$2,TimeOfWeek,$E505)*INDEX(About!Q$79:Q$82,MATCH($B505,About!$A$79:$A$82,0),1)</f>
        <v>5364695</v>
      </c>
      <c r="V505" s="33">
        <f>SUMIFS(INDEX(Load,,MATCH('Summarized Source Data'!$C505,Hour,0)),Month,'Summarized Source Data'!$A505,Sector,'Summarized Source Data'!V$2,TimeOfWeek,$E505)*INDEX(About!R$79:R$82,MATCH($B505,About!$A$79:$A$82,0),1)</f>
        <v>5364695</v>
      </c>
      <c r="W505" s="33">
        <f>SUMIFS(INDEX(Load,,MATCH('Summarized Source Data'!$C505,Hour,0)),Month,'Summarized Source Data'!$A505,Sector,'Summarized Source Data'!W$2,TimeOfWeek,$E505)*INDEX(About!S$79:S$82,MATCH($B505,About!$A$79:$A$82,0),1)</f>
        <v>5364695</v>
      </c>
      <c r="X505" s="27">
        <f>SUMIFS(INDEX(Load,,MATCH('Summarized Source Data'!$C505,Hour,0)),Month,'Summarized Source Data'!$A505,Sector,'Summarized Source Data'!X$2,Subsector,'Summarized Source Data'!X$3,TimeOfWeek,$E505)*INDEX(About!T$79:T$82,MATCH($B505,About!$A$79:$A$82,0),1)</f>
        <v>346000000</v>
      </c>
      <c r="Y505" s="29">
        <f t="shared" si="42"/>
        <v>346000000</v>
      </c>
      <c r="Z505" s="29">
        <f t="shared" si="42"/>
        <v>346000000</v>
      </c>
    </row>
    <row r="506" spans="1:26" x14ac:dyDescent="0.3">
      <c r="A506">
        <f t="shared" si="41"/>
        <v>9</v>
      </c>
      <c r="B506" t="str">
        <f>INDEX('Category Mapping'!$G$28:$G$39,MATCH(A506,'Category Mapping'!$A$28:$A$39,0),1)</f>
        <v>Fall</v>
      </c>
      <c r="C506" t="s">
        <v>85</v>
      </c>
      <c r="D506" s="6" t="s">
        <v>160</v>
      </c>
      <c r="E506" s="46" t="s">
        <v>48</v>
      </c>
      <c r="F506" s="27">
        <f>SUMIFS(INDEX(Load,,MATCH('Summarized Source Data'!$C506,Hour,0)),Month,'Summarized Source Data'!$A506,Sector,'Summarized Source Data'!F$2,Subsector,'Summarized Source Data'!F$3,TimeOfWeek,$E506)*INDEX(About!B$79:B$82,MATCH($B506,About!$A$79:$A$82,0),1)</f>
        <v>320802</v>
      </c>
      <c r="G506" s="27">
        <f>SUMIFS(INDEX(Load,,MATCH('Summarized Source Data'!$C506,Hour,0)),Month,'Summarized Source Data'!$A506,Sector,'Summarized Source Data'!G$2,Subsector,'Summarized Source Data'!G$3,TimeOfWeek,$E506)*INDEX(About!C$79:C$82,MATCH($B506,About!$A$79:$A$82,0),1)</f>
        <v>2747476</v>
      </c>
      <c r="H506" s="27">
        <f>SUMIFS(INDEX(Load,,MATCH('Summarized Source Data'!$C506,Hour,0)),Month,'Summarized Source Data'!$A506,Sector,'Summarized Source Data'!H$2,Subsector,'Summarized Source Data'!H$3,TimeOfWeek,$E506)*INDEX(About!D$79:D$82,MATCH($B506,About!$A$79:$A$82,0),1)</f>
        <v>0</v>
      </c>
      <c r="I506" s="27">
        <f>SUMIFS(INDEX(Load,,MATCH('Summarized Source Data'!$C506,Hour,0)),Month,'Summarized Source Data'!$A506,Sector,'Summarized Source Data'!I$2,Subsector,'Summarized Source Data'!I$3,TimeOfWeek,$E506)*INDEX(About!E$79:E$82,MATCH($B506,About!$A$79:$A$82,0),1)</f>
        <v>16600000</v>
      </c>
      <c r="J506" s="54">
        <f t="shared" si="37"/>
        <v>60131722</v>
      </c>
      <c r="K506" s="27">
        <f>(SUMIFS(INDEX(Load,,MATCH('Summarized Source Data'!$C506,Hour,0)),Month,'Summarized Source Data'!$A506,Sector,'Summarized Source Data'!K$2,Subsector,"Total",TimeOfWeek,$E506)-SUM(F506:I506))*INDEX(About!G$79:G$82,MATCH($B506,About!$A$79:$A$82,0),1)</f>
        <v>60131722</v>
      </c>
      <c r="L506" s="27">
        <f>SUMIFS(INDEX(Load,,MATCH('Summarized Source Data'!$C506,Hour,0)),Month,'Summarized Source Data'!$A506,Sector,'Summarized Source Data'!L$2,Subsector,'Summarized Source Data'!L$3,TimeOfWeek,$E506)*INDEX(About!H$79:H$82,MATCH($B506,About!$A$79:$A$82,0),1)</f>
        <v>659688</v>
      </c>
      <c r="M506" s="27">
        <f>SUMIFS(INDEX(Load,,MATCH('Summarized Source Data'!$C506,Hour,0)),Month,'Summarized Source Data'!$A506,Sector,'Summarized Source Data'!M$2,Subsector,'Summarized Source Data'!M$3,TimeOfWeek,$E506)*INDEX(About!I$79:I$82,MATCH($B506,About!$A$79:$A$82,0),1)</f>
        <v>31200000</v>
      </c>
      <c r="N506" s="27">
        <f>SUMIFS(INDEX(Load,,MATCH('Summarized Source Data'!$C506,Hour,0)),Month,'Summarized Source Data'!$A506,Sector,'Summarized Source Data'!N$2,Subsector,'Summarized Source Data'!N$3,TimeOfWeek,$E506)*INDEX(About!J$79:J$82,MATCH($B506,About!$A$79:$A$82,0),1)</f>
        <v>0</v>
      </c>
      <c r="O506" s="29">
        <f t="shared" si="38"/>
        <v>84140312</v>
      </c>
      <c r="P506" s="27">
        <f>(SUMIFS(INDEX(Load,,MATCH('Summarized Source Data'!$C506,Hour,0)),Month,'Summarized Source Data'!$A506,Sector,'Summarized Source Data'!P$2,Subsector,"Total",TimeOfWeek,$E506)-SUM(L506:N506)*INDEX(About!L$79:L$82,MATCH($B506,About!$A$79:$A$82,0),1))</f>
        <v>84140312</v>
      </c>
      <c r="Q506" s="29">
        <f t="shared" si="39"/>
        <v>84140312</v>
      </c>
      <c r="R506" s="33">
        <f>SUMIFS(INDEX(Load,,MATCH('Summarized Source Data'!$C506,Hour,0)),Month,'Summarized Source Data'!$A506,Sector,'Summarized Source Data'!R$2,TimeOfWeek,$E506)*INDEX(About!N$79:N$82,MATCH($B506,About!$A$79:$A$82,0),1)</f>
        <v>5294430</v>
      </c>
      <c r="S506" s="33">
        <f>SUMIFS(INDEX(Load,,MATCH('Summarized Source Data'!$C506,Hour,0)),Month,'Summarized Source Data'!$A506,Sector,'Summarized Source Data'!S$2,TimeOfWeek,$E506)*INDEX(About!O$79:O$82,MATCH($B506,About!$A$79:$A$82,0),1)</f>
        <v>5294430</v>
      </c>
      <c r="T506" s="33">
        <f>SUMIFS(INDEX(Load,,MATCH('Summarized Source Data'!$C506,Hour,0)),Month,'Summarized Source Data'!$A506,Sector,'Summarized Source Data'!T$2,TimeOfWeek,$E506)*INDEX(About!P$79:P$82,MATCH($B506,About!$A$79:$A$82,0),1)</f>
        <v>5294430</v>
      </c>
      <c r="U506" s="33">
        <f>SUMIFS(INDEX(Load,,MATCH('Summarized Source Data'!$C506,Hour,0)),Month,'Summarized Source Data'!$A506,Sector,'Summarized Source Data'!U$2,TimeOfWeek,$E506)*INDEX(About!Q$79:Q$82,MATCH($B506,About!$A$79:$A$82,0),1)</f>
        <v>5294430</v>
      </c>
      <c r="V506" s="33">
        <f>SUMIFS(INDEX(Load,,MATCH('Summarized Source Data'!$C506,Hour,0)),Month,'Summarized Source Data'!$A506,Sector,'Summarized Source Data'!V$2,TimeOfWeek,$E506)*INDEX(About!R$79:R$82,MATCH($B506,About!$A$79:$A$82,0),1)</f>
        <v>5294430</v>
      </c>
      <c r="W506" s="33">
        <f>SUMIFS(INDEX(Load,,MATCH('Summarized Source Data'!$C506,Hour,0)),Month,'Summarized Source Data'!$A506,Sector,'Summarized Source Data'!W$2,TimeOfWeek,$E506)*INDEX(About!S$79:S$82,MATCH($B506,About!$A$79:$A$82,0),1)</f>
        <v>5294430</v>
      </c>
      <c r="X506" s="27">
        <f>SUMIFS(INDEX(Load,,MATCH('Summarized Source Data'!$C506,Hour,0)),Month,'Summarized Source Data'!$A506,Sector,'Summarized Source Data'!X$2,Subsector,'Summarized Source Data'!X$3,TimeOfWeek,$E506)*INDEX(About!T$79:T$82,MATCH($B506,About!$A$79:$A$82,0),1)</f>
        <v>343000000</v>
      </c>
      <c r="Y506" s="29">
        <f t="shared" si="42"/>
        <v>343000000</v>
      </c>
      <c r="Z506" s="29">
        <f t="shared" si="42"/>
        <v>343000000</v>
      </c>
    </row>
    <row r="507" spans="1:26" x14ac:dyDescent="0.3">
      <c r="A507">
        <f t="shared" si="41"/>
        <v>9</v>
      </c>
      <c r="B507" t="str">
        <f>INDEX('Category Mapping'!$G$28:$G$39,MATCH(A507,'Category Mapping'!$A$28:$A$39,0),1)</f>
        <v>Fall</v>
      </c>
      <c r="C507" t="s">
        <v>86</v>
      </c>
      <c r="D507" s="6" t="s">
        <v>161</v>
      </c>
      <c r="E507" s="46" t="s">
        <v>48</v>
      </c>
      <c r="F507" s="27">
        <f>SUMIFS(INDEX(Load,,MATCH('Summarized Source Data'!$C507,Hour,0)),Month,'Summarized Source Data'!$A507,Sector,'Summarized Source Data'!F$2,Subsector,'Summarized Source Data'!F$3,TimeOfWeek,$E507)*INDEX(About!B$79:B$82,MATCH($B507,About!$A$79:$A$82,0),1)</f>
        <v>275130</v>
      </c>
      <c r="G507" s="27">
        <f>SUMIFS(INDEX(Load,,MATCH('Summarized Source Data'!$C507,Hour,0)),Month,'Summarized Source Data'!$A507,Sector,'Summarized Source Data'!G$2,Subsector,'Summarized Source Data'!G$3,TimeOfWeek,$E507)*INDEX(About!C$79:C$82,MATCH($B507,About!$A$79:$A$82,0),1)</f>
        <v>1503620</v>
      </c>
      <c r="H507" s="27">
        <f>SUMIFS(INDEX(Load,,MATCH('Summarized Source Data'!$C507,Hour,0)),Month,'Summarized Source Data'!$A507,Sector,'Summarized Source Data'!H$2,Subsector,'Summarized Source Data'!H$3,TimeOfWeek,$E507)*INDEX(About!D$79:D$82,MATCH($B507,About!$A$79:$A$82,0),1)</f>
        <v>0</v>
      </c>
      <c r="I507" s="27">
        <f>SUMIFS(INDEX(Load,,MATCH('Summarized Source Data'!$C507,Hour,0)),Month,'Summarized Source Data'!$A507,Sector,'Summarized Source Data'!I$2,Subsector,'Summarized Source Data'!I$3,TimeOfWeek,$E507)*INDEX(About!E$79:E$82,MATCH($B507,About!$A$79:$A$82,0),1)</f>
        <v>9301481</v>
      </c>
      <c r="J507" s="54">
        <f t="shared" si="37"/>
        <v>47819769</v>
      </c>
      <c r="K507" s="27">
        <f>(SUMIFS(INDEX(Load,,MATCH('Summarized Source Data'!$C507,Hour,0)),Month,'Summarized Source Data'!$A507,Sector,'Summarized Source Data'!K$2,Subsector,"Total",TimeOfWeek,$E507)-SUM(F507:I507))*INDEX(About!G$79:G$82,MATCH($B507,About!$A$79:$A$82,0),1)</f>
        <v>47819769</v>
      </c>
      <c r="L507" s="27">
        <f>SUMIFS(INDEX(Load,,MATCH('Summarized Source Data'!$C507,Hour,0)),Month,'Summarized Source Data'!$A507,Sector,'Summarized Source Data'!L$2,Subsector,'Summarized Source Data'!L$3,TimeOfWeek,$E507)*INDEX(About!H$79:H$82,MATCH($B507,About!$A$79:$A$82,0),1)</f>
        <v>691034</v>
      </c>
      <c r="M507" s="27">
        <f>SUMIFS(INDEX(Load,,MATCH('Summarized Source Data'!$C507,Hour,0)),Month,'Summarized Source Data'!$A507,Sector,'Summarized Source Data'!M$2,Subsector,'Summarized Source Data'!M$3,TimeOfWeek,$E507)*INDEX(About!I$79:I$82,MATCH($B507,About!$A$79:$A$82,0),1)</f>
        <v>28600000</v>
      </c>
      <c r="N507" s="27">
        <f>SUMIFS(INDEX(Load,,MATCH('Summarized Source Data'!$C507,Hour,0)),Month,'Summarized Source Data'!$A507,Sector,'Summarized Source Data'!N$2,Subsector,'Summarized Source Data'!N$3,TimeOfWeek,$E507)*INDEX(About!J$79:J$82,MATCH($B507,About!$A$79:$A$82,0),1)</f>
        <v>0</v>
      </c>
      <c r="O507" s="29">
        <f t="shared" si="38"/>
        <v>76708966</v>
      </c>
      <c r="P507" s="27">
        <f>(SUMIFS(INDEX(Load,,MATCH('Summarized Source Data'!$C507,Hour,0)),Month,'Summarized Source Data'!$A507,Sector,'Summarized Source Data'!P$2,Subsector,"Total",TimeOfWeek,$E507)-SUM(L507:N507)*INDEX(About!L$79:L$82,MATCH($B507,About!$A$79:$A$82,0),1))</f>
        <v>76708966</v>
      </c>
      <c r="Q507" s="29">
        <f t="shared" si="39"/>
        <v>76708966</v>
      </c>
      <c r="R507" s="33">
        <f>SUMIFS(INDEX(Load,,MATCH('Summarized Source Data'!$C507,Hour,0)),Month,'Summarized Source Data'!$A507,Sector,'Summarized Source Data'!R$2,TimeOfWeek,$E507)*INDEX(About!N$79:N$82,MATCH($B507,About!$A$79:$A$82,0),1)</f>
        <v>3558223</v>
      </c>
      <c r="S507" s="33">
        <f>SUMIFS(INDEX(Load,,MATCH('Summarized Source Data'!$C507,Hour,0)),Month,'Summarized Source Data'!$A507,Sector,'Summarized Source Data'!S$2,TimeOfWeek,$E507)*INDEX(About!O$79:O$82,MATCH($B507,About!$A$79:$A$82,0),1)</f>
        <v>3558223</v>
      </c>
      <c r="T507" s="33">
        <f>SUMIFS(INDEX(Load,,MATCH('Summarized Source Data'!$C507,Hour,0)),Month,'Summarized Source Data'!$A507,Sector,'Summarized Source Data'!T$2,TimeOfWeek,$E507)*INDEX(About!P$79:P$82,MATCH($B507,About!$A$79:$A$82,0),1)</f>
        <v>3558223</v>
      </c>
      <c r="U507" s="33">
        <f>SUMIFS(INDEX(Load,,MATCH('Summarized Source Data'!$C507,Hour,0)),Month,'Summarized Source Data'!$A507,Sector,'Summarized Source Data'!U$2,TimeOfWeek,$E507)*INDEX(About!Q$79:Q$82,MATCH($B507,About!$A$79:$A$82,0),1)</f>
        <v>3558223</v>
      </c>
      <c r="V507" s="33">
        <f>SUMIFS(INDEX(Load,,MATCH('Summarized Source Data'!$C507,Hour,0)),Month,'Summarized Source Data'!$A507,Sector,'Summarized Source Data'!V$2,TimeOfWeek,$E507)*INDEX(About!R$79:R$82,MATCH($B507,About!$A$79:$A$82,0),1)</f>
        <v>3558223</v>
      </c>
      <c r="W507" s="33">
        <f>SUMIFS(INDEX(Load,,MATCH('Summarized Source Data'!$C507,Hour,0)),Month,'Summarized Source Data'!$A507,Sector,'Summarized Source Data'!W$2,TimeOfWeek,$E507)*INDEX(About!S$79:S$82,MATCH($B507,About!$A$79:$A$82,0),1)</f>
        <v>3558223</v>
      </c>
      <c r="X507" s="27">
        <f>SUMIFS(INDEX(Load,,MATCH('Summarized Source Data'!$C507,Hour,0)),Month,'Summarized Source Data'!$A507,Sector,'Summarized Source Data'!X$2,Subsector,'Summarized Source Data'!X$3,TimeOfWeek,$E507)*INDEX(About!T$79:T$82,MATCH($B507,About!$A$79:$A$82,0),1)</f>
        <v>342000000</v>
      </c>
      <c r="Y507" s="29">
        <f t="shared" si="42"/>
        <v>342000000</v>
      </c>
      <c r="Z507" s="29">
        <f t="shared" si="42"/>
        <v>342000000</v>
      </c>
    </row>
    <row r="508" spans="1:26" x14ac:dyDescent="0.3">
      <c r="A508">
        <f t="shared" si="41"/>
        <v>10</v>
      </c>
      <c r="B508" t="str">
        <f>INDEX('Category Mapping'!$G$28:$G$39,MATCH(A508,'Category Mapping'!$A$28:$A$39,0),1)</f>
        <v>Fall</v>
      </c>
      <c r="C508" t="s">
        <v>63</v>
      </c>
      <c r="D508" s="6" t="s">
        <v>138</v>
      </c>
      <c r="E508" s="46" t="s">
        <v>48</v>
      </c>
      <c r="F508" s="27">
        <f>SUMIFS(INDEX(Load,,MATCH('Summarized Source Data'!$C508,Hour,0)),Month,'Summarized Source Data'!$A508,Sector,'Summarized Source Data'!F$2,Subsector,'Summarized Source Data'!F$3,TimeOfWeek,$E508)*INDEX(About!B$79:B$82,MATCH($B508,About!$A$79:$A$82,0),1)</f>
        <v>1927719</v>
      </c>
      <c r="G508" s="27">
        <f>SUMIFS(INDEX(Load,,MATCH('Summarized Source Data'!$C508,Hour,0)),Month,'Summarized Source Data'!$A508,Sector,'Summarized Source Data'!G$2,Subsector,'Summarized Source Data'!G$3,TimeOfWeek,$E508)*INDEX(About!C$79:C$82,MATCH($B508,About!$A$79:$A$82,0),1)</f>
        <v>1198</v>
      </c>
      <c r="H508" s="27">
        <f>SUMIFS(INDEX(Load,,MATCH('Summarized Source Data'!$C508,Hour,0)),Month,'Summarized Source Data'!$A508,Sector,'Summarized Source Data'!H$2,Subsector,'Summarized Source Data'!H$3,TimeOfWeek,$E508)*INDEX(About!D$79:D$82,MATCH($B508,About!$A$79:$A$82,0),1)</f>
        <v>0</v>
      </c>
      <c r="I508" s="27">
        <f>SUMIFS(INDEX(Load,,MATCH('Summarized Source Data'!$C508,Hour,0)),Month,'Summarized Source Data'!$A508,Sector,'Summarized Source Data'!I$2,Subsector,'Summarized Source Data'!I$3,TimeOfWeek,$E508)*INDEX(About!E$79:E$82,MATCH($B508,About!$A$79:$A$82,0),1)</f>
        <v>6486574</v>
      </c>
      <c r="J508" s="54">
        <f t="shared" si="37"/>
        <v>37084509</v>
      </c>
      <c r="K508" s="27">
        <f>(SUMIFS(INDEX(Load,,MATCH('Summarized Source Data'!$C508,Hour,0)),Month,'Summarized Source Data'!$A508,Sector,'Summarized Source Data'!K$2,Subsector,"Total",TimeOfWeek,$E508)-SUM(F508:I508))*INDEX(About!G$79:G$82,MATCH($B508,About!$A$79:$A$82,0),1)</f>
        <v>37084509</v>
      </c>
      <c r="L508" s="27">
        <f>SUMIFS(INDEX(Load,,MATCH('Summarized Source Data'!$C508,Hour,0)),Month,'Summarized Source Data'!$A508,Sector,'Summarized Source Data'!L$2,Subsector,'Summarized Source Data'!L$3,TimeOfWeek,$E508)*INDEX(About!H$79:H$82,MATCH($B508,About!$A$79:$A$82,0),1)</f>
        <v>3815407</v>
      </c>
      <c r="M508" s="27">
        <f>SUMIFS(INDEX(Load,,MATCH('Summarized Source Data'!$C508,Hour,0)),Month,'Summarized Source Data'!$A508,Sector,'Summarized Source Data'!M$2,Subsector,'Summarized Source Data'!M$3,TimeOfWeek,$E508)*INDEX(About!I$79:I$82,MATCH($B508,About!$A$79:$A$82,0),1)</f>
        <v>673947</v>
      </c>
      <c r="N508" s="27">
        <f>SUMIFS(INDEX(Load,,MATCH('Summarized Source Data'!$C508,Hour,0)),Month,'Summarized Source Data'!$A508,Sector,'Summarized Source Data'!N$2,Subsector,'Summarized Source Data'!N$3,TimeOfWeek,$E508)*INDEX(About!J$79:J$82,MATCH($B508,About!$A$79:$A$82,0),1)</f>
        <v>0</v>
      </c>
      <c r="O508" s="29">
        <f t="shared" si="38"/>
        <v>77710646</v>
      </c>
      <c r="P508" s="27">
        <f>(SUMIFS(INDEX(Load,,MATCH('Summarized Source Data'!$C508,Hour,0)),Month,'Summarized Source Data'!$A508,Sector,'Summarized Source Data'!P$2,Subsector,"Total",TimeOfWeek,$E508)-SUM(L508:N508)*INDEX(About!L$79:L$82,MATCH($B508,About!$A$79:$A$82,0),1))</f>
        <v>77710646</v>
      </c>
      <c r="Q508" s="29">
        <f t="shared" si="39"/>
        <v>77710646</v>
      </c>
      <c r="R508" s="33">
        <f>SUMIFS(INDEX(Load,,MATCH('Summarized Source Data'!$C508,Hour,0)),Month,'Summarized Source Data'!$A508,Sector,'Summarized Source Data'!R$2,TimeOfWeek,$E508)*INDEX(About!N$79:N$82,MATCH($B508,About!$A$79:$A$82,0),1)</f>
        <v>2671268</v>
      </c>
      <c r="S508" s="33">
        <f>SUMIFS(INDEX(Load,,MATCH('Summarized Source Data'!$C508,Hour,0)),Month,'Summarized Source Data'!$A508,Sector,'Summarized Source Data'!S$2,TimeOfWeek,$E508)*INDEX(About!O$79:O$82,MATCH($B508,About!$A$79:$A$82,0),1)</f>
        <v>2671268</v>
      </c>
      <c r="T508" s="33">
        <f>SUMIFS(INDEX(Load,,MATCH('Summarized Source Data'!$C508,Hour,0)),Month,'Summarized Source Data'!$A508,Sector,'Summarized Source Data'!T$2,TimeOfWeek,$E508)*INDEX(About!P$79:P$82,MATCH($B508,About!$A$79:$A$82,0),1)</f>
        <v>2671268</v>
      </c>
      <c r="U508" s="33">
        <f>SUMIFS(INDEX(Load,,MATCH('Summarized Source Data'!$C508,Hour,0)),Month,'Summarized Source Data'!$A508,Sector,'Summarized Source Data'!U$2,TimeOfWeek,$E508)*INDEX(About!Q$79:Q$82,MATCH($B508,About!$A$79:$A$82,0),1)</f>
        <v>2671268</v>
      </c>
      <c r="V508" s="33">
        <f>SUMIFS(INDEX(Load,,MATCH('Summarized Source Data'!$C508,Hour,0)),Month,'Summarized Source Data'!$A508,Sector,'Summarized Source Data'!V$2,TimeOfWeek,$E508)*INDEX(About!R$79:R$82,MATCH($B508,About!$A$79:$A$82,0),1)</f>
        <v>2671268</v>
      </c>
      <c r="W508" s="33">
        <f>SUMIFS(INDEX(Load,,MATCH('Summarized Source Data'!$C508,Hour,0)),Month,'Summarized Source Data'!$A508,Sector,'Summarized Source Data'!W$2,TimeOfWeek,$E508)*INDEX(About!S$79:S$82,MATCH($B508,About!$A$79:$A$82,0),1)</f>
        <v>2671268</v>
      </c>
      <c r="X508" s="27">
        <f>SUMIFS(INDEX(Load,,MATCH('Summarized Source Data'!$C508,Hour,0)),Month,'Summarized Source Data'!$A508,Sector,'Summarized Source Data'!X$2,Subsector,'Summarized Source Data'!X$3,TimeOfWeek,$E508)*INDEX(About!T$79:T$82,MATCH($B508,About!$A$79:$A$82,0),1)</f>
        <v>339000000</v>
      </c>
      <c r="Y508" s="29">
        <f t="shared" si="42"/>
        <v>339000000</v>
      </c>
      <c r="Z508" s="29">
        <f t="shared" si="42"/>
        <v>339000000</v>
      </c>
    </row>
    <row r="509" spans="1:26" x14ac:dyDescent="0.3">
      <c r="A509">
        <f t="shared" si="41"/>
        <v>10</v>
      </c>
      <c r="B509" t="str">
        <f>INDEX('Category Mapping'!$G$28:$G$39,MATCH(A509,'Category Mapping'!$A$28:$A$39,0),1)</f>
        <v>Fall</v>
      </c>
      <c r="C509" t="s">
        <v>64</v>
      </c>
      <c r="D509" s="6" t="s">
        <v>139</v>
      </c>
      <c r="E509" s="46" t="s">
        <v>48</v>
      </c>
      <c r="F509" s="27">
        <f>SUMIFS(INDEX(Load,,MATCH('Summarized Source Data'!$C509,Hour,0)),Month,'Summarized Source Data'!$A509,Sector,'Summarized Source Data'!F$2,Subsector,'Summarized Source Data'!F$3,TimeOfWeek,$E509)*INDEX(About!B$79:B$82,MATCH($B509,About!$A$79:$A$82,0),1)</f>
        <v>1927719</v>
      </c>
      <c r="G509" s="27">
        <f>SUMIFS(INDEX(Load,,MATCH('Summarized Source Data'!$C509,Hour,0)),Month,'Summarized Source Data'!$A509,Sector,'Summarized Source Data'!G$2,Subsector,'Summarized Source Data'!G$3,TimeOfWeek,$E509)*INDEX(About!C$79:C$82,MATCH($B509,About!$A$79:$A$82,0),1)</f>
        <v>1216</v>
      </c>
      <c r="H509" s="27">
        <f>SUMIFS(INDEX(Load,,MATCH('Summarized Source Data'!$C509,Hour,0)),Month,'Summarized Source Data'!$A509,Sector,'Summarized Source Data'!H$2,Subsector,'Summarized Source Data'!H$3,TimeOfWeek,$E509)*INDEX(About!D$79:D$82,MATCH($B509,About!$A$79:$A$82,0),1)</f>
        <v>0</v>
      </c>
      <c r="I509" s="27">
        <f>SUMIFS(INDEX(Load,,MATCH('Summarized Source Data'!$C509,Hour,0)),Month,'Summarized Source Data'!$A509,Sector,'Summarized Source Data'!I$2,Subsector,'Summarized Source Data'!I$3,TimeOfWeek,$E509)*INDEX(About!E$79:E$82,MATCH($B509,About!$A$79:$A$82,0),1)</f>
        <v>5604359</v>
      </c>
      <c r="J509" s="54">
        <f t="shared" si="37"/>
        <v>28866706</v>
      </c>
      <c r="K509" s="27">
        <f>(SUMIFS(INDEX(Load,,MATCH('Summarized Source Data'!$C509,Hour,0)),Month,'Summarized Source Data'!$A509,Sector,'Summarized Source Data'!K$2,Subsector,"Total",TimeOfWeek,$E509)-SUM(F509:I509))*INDEX(About!G$79:G$82,MATCH($B509,About!$A$79:$A$82,0),1)</f>
        <v>28866706</v>
      </c>
      <c r="L509" s="27">
        <f>SUMIFS(INDEX(Load,,MATCH('Summarized Source Data'!$C509,Hour,0)),Month,'Summarized Source Data'!$A509,Sector,'Summarized Source Data'!L$2,Subsector,'Summarized Source Data'!L$3,TimeOfWeek,$E509)*INDEX(About!H$79:H$82,MATCH($B509,About!$A$79:$A$82,0),1)</f>
        <v>3429233</v>
      </c>
      <c r="M509" s="27">
        <f>SUMIFS(INDEX(Load,,MATCH('Summarized Source Data'!$C509,Hour,0)),Month,'Summarized Source Data'!$A509,Sector,'Summarized Source Data'!M$2,Subsector,'Summarized Source Data'!M$3,TimeOfWeek,$E509)*INDEX(About!I$79:I$82,MATCH($B509,About!$A$79:$A$82,0),1)</f>
        <v>659611</v>
      </c>
      <c r="N509" s="27">
        <f>SUMIFS(INDEX(Load,,MATCH('Summarized Source Data'!$C509,Hour,0)),Month,'Summarized Source Data'!$A509,Sector,'Summarized Source Data'!N$2,Subsector,'Summarized Source Data'!N$3,TimeOfWeek,$E509)*INDEX(About!J$79:J$82,MATCH($B509,About!$A$79:$A$82,0),1)</f>
        <v>0</v>
      </c>
      <c r="O509" s="29">
        <f t="shared" si="38"/>
        <v>67911156</v>
      </c>
      <c r="P509" s="27">
        <f>(SUMIFS(INDEX(Load,,MATCH('Summarized Source Data'!$C509,Hour,0)),Month,'Summarized Source Data'!$A509,Sector,'Summarized Source Data'!P$2,Subsector,"Total",TimeOfWeek,$E509)-SUM(L509:N509)*INDEX(About!L$79:L$82,MATCH($B509,About!$A$79:$A$82,0),1))</f>
        <v>67911156</v>
      </c>
      <c r="Q509" s="29">
        <f t="shared" si="39"/>
        <v>67911156</v>
      </c>
      <c r="R509" s="33">
        <f>SUMIFS(INDEX(Load,,MATCH('Summarized Source Data'!$C509,Hour,0)),Month,'Summarized Source Data'!$A509,Sector,'Summarized Source Data'!R$2,TimeOfWeek,$E509)*INDEX(About!N$79:N$82,MATCH($B509,About!$A$79:$A$82,0),1)</f>
        <v>2542448</v>
      </c>
      <c r="S509" s="33">
        <f>SUMIFS(INDEX(Load,,MATCH('Summarized Source Data'!$C509,Hour,0)),Month,'Summarized Source Data'!$A509,Sector,'Summarized Source Data'!S$2,TimeOfWeek,$E509)*INDEX(About!O$79:O$82,MATCH($B509,About!$A$79:$A$82,0),1)</f>
        <v>2542448</v>
      </c>
      <c r="T509" s="33">
        <f>SUMIFS(INDEX(Load,,MATCH('Summarized Source Data'!$C509,Hour,0)),Month,'Summarized Source Data'!$A509,Sector,'Summarized Source Data'!T$2,TimeOfWeek,$E509)*INDEX(About!P$79:P$82,MATCH($B509,About!$A$79:$A$82,0),1)</f>
        <v>2542448</v>
      </c>
      <c r="U509" s="33">
        <f>SUMIFS(INDEX(Load,,MATCH('Summarized Source Data'!$C509,Hour,0)),Month,'Summarized Source Data'!$A509,Sector,'Summarized Source Data'!U$2,TimeOfWeek,$E509)*INDEX(About!Q$79:Q$82,MATCH($B509,About!$A$79:$A$82,0),1)</f>
        <v>2542448</v>
      </c>
      <c r="V509" s="33">
        <f>SUMIFS(INDEX(Load,,MATCH('Summarized Source Data'!$C509,Hour,0)),Month,'Summarized Source Data'!$A509,Sector,'Summarized Source Data'!V$2,TimeOfWeek,$E509)*INDEX(About!R$79:R$82,MATCH($B509,About!$A$79:$A$82,0),1)</f>
        <v>2542448</v>
      </c>
      <c r="W509" s="33">
        <f>SUMIFS(INDEX(Load,,MATCH('Summarized Source Data'!$C509,Hour,0)),Month,'Summarized Source Data'!$A509,Sector,'Summarized Source Data'!W$2,TimeOfWeek,$E509)*INDEX(About!S$79:S$82,MATCH($B509,About!$A$79:$A$82,0),1)</f>
        <v>2542448</v>
      </c>
      <c r="X509" s="27">
        <f>SUMIFS(INDEX(Load,,MATCH('Summarized Source Data'!$C509,Hour,0)),Month,'Summarized Source Data'!$A509,Sector,'Summarized Source Data'!X$2,Subsector,'Summarized Source Data'!X$3,TimeOfWeek,$E509)*INDEX(About!T$79:T$82,MATCH($B509,About!$A$79:$A$82,0),1)</f>
        <v>338000000</v>
      </c>
      <c r="Y509" s="29">
        <f t="shared" si="42"/>
        <v>338000000</v>
      </c>
      <c r="Z509" s="29">
        <f t="shared" si="42"/>
        <v>338000000</v>
      </c>
    </row>
    <row r="510" spans="1:26" x14ac:dyDescent="0.3">
      <c r="A510">
        <f t="shared" si="41"/>
        <v>10</v>
      </c>
      <c r="B510" t="str">
        <f>INDEX('Category Mapping'!$G$28:$G$39,MATCH(A510,'Category Mapping'!$A$28:$A$39,0),1)</f>
        <v>Fall</v>
      </c>
      <c r="C510" t="s">
        <v>65</v>
      </c>
      <c r="D510" s="6" t="s">
        <v>140</v>
      </c>
      <c r="E510" s="46" t="s">
        <v>48</v>
      </c>
      <c r="F510" s="27">
        <f>SUMIFS(INDEX(Load,,MATCH('Summarized Source Data'!$C510,Hour,0)),Month,'Summarized Source Data'!$A510,Sector,'Summarized Source Data'!F$2,Subsector,'Summarized Source Data'!F$3,TimeOfWeek,$E510)*INDEX(About!B$79:B$82,MATCH($B510,About!$A$79:$A$82,0),1)</f>
        <v>1943514</v>
      </c>
      <c r="G510" s="27">
        <f>SUMIFS(INDEX(Load,,MATCH('Summarized Source Data'!$C510,Hour,0)),Month,'Summarized Source Data'!$A510,Sector,'Summarized Source Data'!G$2,Subsector,'Summarized Source Data'!G$3,TimeOfWeek,$E510)*INDEX(About!C$79:C$82,MATCH($B510,About!$A$79:$A$82,0),1)</f>
        <v>1232</v>
      </c>
      <c r="H510" s="27">
        <f>SUMIFS(INDEX(Load,,MATCH('Summarized Source Data'!$C510,Hour,0)),Month,'Summarized Source Data'!$A510,Sector,'Summarized Source Data'!H$2,Subsector,'Summarized Source Data'!H$3,TimeOfWeek,$E510)*INDEX(About!D$79:D$82,MATCH($B510,About!$A$79:$A$82,0),1)</f>
        <v>0</v>
      </c>
      <c r="I510" s="27">
        <f>SUMIFS(INDEX(Load,,MATCH('Summarized Source Data'!$C510,Hour,0)),Month,'Summarized Source Data'!$A510,Sector,'Summarized Source Data'!I$2,Subsector,'Summarized Source Data'!I$3,TimeOfWeek,$E510)*INDEX(About!E$79:E$82,MATCH($B510,About!$A$79:$A$82,0),1)</f>
        <v>5412804</v>
      </c>
      <c r="J510" s="54">
        <f t="shared" si="37"/>
        <v>22442450</v>
      </c>
      <c r="K510" s="27">
        <f>(SUMIFS(INDEX(Load,,MATCH('Summarized Source Data'!$C510,Hour,0)),Month,'Summarized Source Data'!$A510,Sector,'Summarized Source Data'!K$2,Subsector,"Total",TimeOfWeek,$E510)-SUM(F510:I510))*INDEX(About!G$79:G$82,MATCH($B510,About!$A$79:$A$82,0),1)</f>
        <v>22442450</v>
      </c>
      <c r="L510" s="27">
        <f>SUMIFS(INDEX(Load,,MATCH('Summarized Source Data'!$C510,Hour,0)),Month,'Summarized Source Data'!$A510,Sector,'Summarized Source Data'!L$2,Subsector,'Summarized Source Data'!L$3,TimeOfWeek,$E510)*INDEX(About!H$79:H$82,MATCH($B510,About!$A$79:$A$82,0),1)</f>
        <v>3474470</v>
      </c>
      <c r="M510" s="27">
        <f>SUMIFS(INDEX(Load,,MATCH('Summarized Source Data'!$C510,Hour,0)),Month,'Summarized Source Data'!$A510,Sector,'Summarized Source Data'!M$2,Subsector,'Summarized Source Data'!M$3,TimeOfWeek,$E510)*INDEX(About!I$79:I$82,MATCH($B510,About!$A$79:$A$82,0),1)</f>
        <v>653629</v>
      </c>
      <c r="N510" s="27">
        <f>SUMIFS(INDEX(Load,,MATCH('Summarized Source Data'!$C510,Hour,0)),Month,'Summarized Source Data'!$A510,Sector,'Summarized Source Data'!N$2,Subsector,'Summarized Source Data'!N$3,TimeOfWeek,$E510)*INDEX(About!J$79:J$82,MATCH($B510,About!$A$79:$A$82,0),1)</f>
        <v>0</v>
      </c>
      <c r="O510" s="29">
        <f t="shared" si="38"/>
        <v>67071901</v>
      </c>
      <c r="P510" s="27">
        <f>(SUMIFS(INDEX(Load,,MATCH('Summarized Source Data'!$C510,Hour,0)),Month,'Summarized Source Data'!$A510,Sector,'Summarized Source Data'!P$2,Subsector,"Total",TimeOfWeek,$E510)-SUM(L510:N510)*INDEX(About!L$79:L$82,MATCH($B510,About!$A$79:$A$82,0),1))</f>
        <v>67071901</v>
      </c>
      <c r="Q510" s="29">
        <f t="shared" si="39"/>
        <v>67071901</v>
      </c>
      <c r="R510" s="33">
        <f>SUMIFS(INDEX(Load,,MATCH('Summarized Source Data'!$C510,Hour,0)),Month,'Summarized Source Data'!$A510,Sector,'Summarized Source Data'!R$2,TimeOfWeek,$E510)*INDEX(About!N$79:N$82,MATCH($B510,About!$A$79:$A$82,0),1)</f>
        <v>2507315</v>
      </c>
      <c r="S510" s="33">
        <f>SUMIFS(INDEX(Load,,MATCH('Summarized Source Data'!$C510,Hour,0)),Month,'Summarized Source Data'!$A510,Sector,'Summarized Source Data'!S$2,TimeOfWeek,$E510)*INDEX(About!O$79:O$82,MATCH($B510,About!$A$79:$A$82,0),1)</f>
        <v>2507315</v>
      </c>
      <c r="T510" s="33">
        <f>SUMIFS(INDEX(Load,,MATCH('Summarized Source Data'!$C510,Hour,0)),Month,'Summarized Source Data'!$A510,Sector,'Summarized Source Data'!T$2,TimeOfWeek,$E510)*INDEX(About!P$79:P$82,MATCH($B510,About!$A$79:$A$82,0),1)</f>
        <v>2507315</v>
      </c>
      <c r="U510" s="33">
        <f>SUMIFS(INDEX(Load,,MATCH('Summarized Source Data'!$C510,Hour,0)),Month,'Summarized Source Data'!$A510,Sector,'Summarized Source Data'!U$2,TimeOfWeek,$E510)*INDEX(About!Q$79:Q$82,MATCH($B510,About!$A$79:$A$82,0),1)</f>
        <v>2507315</v>
      </c>
      <c r="V510" s="33">
        <f>SUMIFS(INDEX(Load,,MATCH('Summarized Source Data'!$C510,Hour,0)),Month,'Summarized Source Data'!$A510,Sector,'Summarized Source Data'!V$2,TimeOfWeek,$E510)*INDEX(About!R$79:R$82,MATCH($B510,About!$A$79:$A$82,0),1)</f>
        <v>2507315</v>
      </c>
      <c r="W510" s="33">
        <f>SUMIFS(INDEX(Load,,MATCH('Summarized Source Data'!$C510,Hour,0)),Month,'Summarized Source Data'!$A510,Sector,'Summarized Source Data'!W$2,TimeOfWeek,$E510)*INDEX(About!S$79:S$82,MATCH($B510,About!$A$79:$A$82,0),1)</f>
        <v>2507315</v>
      </c>
      <c r="X510" s="27">
        <f>SUMIFS(INDEX(Load,,MATCH('Summarized Source Data'!$C510,Hour,0)),Month,'Summarized Source Data'!$A510,Sector,'Summarized Source Data'!X$2,Subsector,'Summarized Source Data'!X$3,TimeOfWeek,$E510)*INDEX(About!T$79:T$82,MATCH($B510,About!$A$79:$A$82,0),1)</f>
        <v>338000000</v>
      </c>
      <c r="Y510" s="29">
        <f t="shared" si="42"/>
        <v>338000000</v>
      </c>
      <c r="Z510" s="29">
        <f t="shared" si="42"/>
        <v>338000000</v>
      </c>
    </row>
    <row r="511" spans="1:26" x14ac:dyDescent="0.3">
      <c r="A511">
        <f t="shared" si="41"/>
        <v>10</v>
      </c>
      <c r="B511" t="str">
        <f>INDEX('Category Mapping'!$G$28:$G$39,MATCH(A511,'Category Mapping'!$A$28:$A$39,0),1)</f>
        <v>Fall</v>
      </c>
      <c r="C511" t="s">
        <v>66</v>
      </c>
      <c r="D511" s="6" t="s">
        <v>141</v>
      </c>
      <c r="E511" s="46" t="s">
        <v>48</v>
      </c>
      <c r="F511" s="27">
        <f>SUMIFS(INDEX(Load,,MATCH('Summarized Source Data'!$C511,Hour,0)),Month,'Summarized Source Data'!$A511,Sector,'Summarized Source Data'!F$2,Subsector,'Summarized Source Data'!F$3,TimeOfWeek,$E511)*INDEX(About!B$79:B$82,MATCH($B511,About!$A$79:$A$82,0),1)</f>
        <v>1927719</v>
      </c>
      <c r="G511" s="27">
        <f>SUMIFS(INDEX(Load,,MATCH('Summarized Source Data'!$C511,Hour,0)),Month,'Summarized Source Data'!$A511,Sector,'Summarized Source Data'!G$2,Subsector,'Summarized Source Data'!G$3,TimeOfWeek,$E511)*INDEX(About!C$79:C$82,MATCH($B511,About!$A$79:$A$82,0),1)</f>
        <v>1235</v>
      </c>
      <c r="H511" s="27">
        <f>SUMIFS(INDEX(Load,,MATCH('Summarized Source Data'!$C511,Hour,0)),Month,'Summarized Source Data'!$A511,Sector,'Summarized Source Data'!H$2,Subsector,'Summarized Source Data'!H$3,TimeOfWeek,$E511)*INDEX(About!D$79:D$82,MATCH($B511,About!$A$79:$A$82,0),1)</f>
        <v>0</v>
      </c>
      <c r="I511" s="27">
        <f>SUMIFS(INDEX(Load,,MATCH('Summarized Source Data'!$C511,Hour,0)),Month,'Summarized Source Data'!$A511,Sector,'Summarized Source Data'!I$2,Subsector,'Summarized Source Data'!I$3,TimeOfWeek,$E511)*INDEX(About!E$79:E$82,MATCH($B511,About!$A$79:$A$82,0),1)</f>
        <v>5408235</v>
      </c>
      <c r="J511" s="54">
        <f t="shared" si="37"/>
        <v>18562811</v>
      </c>
      <c r="K511" s="27">
        <f>(SUMIFS(INDEX(Load,,MATCH('Summarized Source Data'!$C511,Hour,0)),Month,'Summarized Source Data'!$A511,Sector,'Summarized Source Data'!K$2,Subsector,"Total",TimeOfWeek,$E511)-SUM(F511:I511))*INDEX(About!G$79:G$82,MATCH($B511,About!$A$79:$A$82,0),1)</f>
        <v>18562811</v>
      </c>
      <c r="L511" s="27">
        <f>SUMIFS(INDEX(Load,,MATCH('Summarized Source Data'!$C511,Hour,0)),Month,'Summarized Source Data'!$A511,Sector,'Summarized Source Data'!L$2,Subsector,'Summarized Source Data'!L$3,TimeOfWeek,$E511)*INDEX(About!H$79:H$82,MATCH($B511,About!$A$79:$A$82,0),1)</f>
        <v>3526275</v>
      </c>
      <c r="M511" s="27">
        <f>SUMIFS(INDEX(Load,,MATCH('Summarized Source Data'!$C511,Hour,0)),Month,'Summarized Source Data'!$A511,Sector,'Summarized Source Data'!M$2,Subsector,'Summarized Source Data'!M$3,TimeOfWeek,$E511)*INDEX(About!I$79:I$82,MATCH($B511,About!$A$79:$A$82,0),1)</f>
        <v>650254</v>
      </c>
      <c r="N511" s="27">
        <f>SUMIFS(INDEX(Load,,MATCH('Summarized Source Data'!$C511,Hour,0)),Month,'Summarized Source Data'!$A511,Sector,'Summarized Source Data'!N$2,Subsector,'Summarized Source Data'!N$3,TimeOfWeek,$E511)*INDEX(About!J$79:J$82,MATCH($B511,About!$A$79:$A$82,0),1)</f>
        <v>0</v>
      </c>
      <c r="O511" s="29">
        <f t="shared" si="38"/>
        <v>67723471</v>
      </c>
      <c r="P511" s="27">
        <f>(SUMIFS(INDEX(Load,,MATCH('Summarized Source Data'!$C511,Hour,0)),Month,'Summarized Source Data'!$A511,Sector,'Summarized Source Data'!P$2,Subsector,"Total",TimeOfWeek,$E511)-SUM(L511:N511)*INDEX(About!L$79:L$82,MATCH($B511,About!$A$79:$A$82,0),1))</f>
        <v>67723471</v>
      </c>
      <c r="Q511" s="29">
        <f t="shared" si="39"/>
        <v>67723471</v>
      </c>
      <c r="R511" s="33">
        <f>SUMIFS(INDEX(Load,,MATCH('Summarized Source Data'!$C511,Hour,0)),Month,'Summarized Source Data'!$A511,Sector,'Summarized Source Data'!R$2,TimeOfWeek,$E511)*INDEX(About!N$79:N$82,MATCH($B511,About!$A$79:$A$82,0),1)</f>
        <v>2507315</v>
      </c>
      <c r="S511" s="33">
        <f>SUMIFS(INDEX(Load,,MATCH('Summarized Source Data'!$C511,Hour,0)),Month,'Summarized Source Data'!$A511,Sector,'Summarized Source Data'!S$2,TimeOfWeek,$E511)*INDEX(About!O$79:O$82,MATCH($B511,About!$A$79:$A$82,0),1)</f>
        <v>2507315</v>
      </c>
      <c r="T511" s="33">
        <f>SUMIFS(INDEX(Load,,MATCH('Summarized Source Data'!$C511,Hour,0)),Month,'Summarized Source Data'!$A511,Sector,'Summarized Source Data'!T$2,TimeOfWeek,$E511)*INDEX(About!P$79:P$82,MATCH($B511,About!$A$79:$A$82,0),1)</f>
        <v>2507315</v>
      </c>
      <c r="U511" s="33">
        <f>SUMIFS(INDEX(Load,,MATCH('Summarized Source Data'!$C511,Hour,0)),Month,'Summarized Source Data'!$A511,Sector,'Summarized Source Data'!U$2,TimeOfWeek,$E511)*INDEX(About!Q$79:Q$82,MATCH($B511,About!$A$79:$A$82,0),1)</f>
        <v>2507315</v>
      </c>
      <c r="V511" s="33">
        <f>SUMIFS(INDEX(Load,,MATCH('Summarized Source Data'!$C511,Hour,0)),Month,'Summarized Source Data'!$A511,Sector,'Summarized Source Data'!V$2,TimeOfWeek,$E511)*INDEX(About!R$79:R$82,MATCH($B511,About!$A$79:$A$82,0),1)</f>
        <v>2507315</v>
      </c>
      <c r="W511" s="33">
        <f>SUMIFS(INDEX(Load,,MATCH('Summarized Source Data'!$C511,Hour,0)),Month,'Summarized Source Data'!$A511,Sector,'Summarized Source Data'!W$2,TimeOfWeek,$E511)*INDEX(About!S$79:S$82,MATCH($B511,About!$A$79:$A$82,0),1)</f>
        <v>2507315</v>
      </c>
      <c r="X511" s="27">
        <f>SUMIFS(INDEX(Load,,MATCH('Summarized Source Data'!$C511,Hour,0)),Month,'Summarized Source Data'!$A511,Sector,'Summarized Source Data'!X$2,Subsector,'Summarized Source Data'!X$3,TimeOfWeek,$E511)*INDEX(About!T$79:T$82,MATCH($B511,About!$A$79:$A$82,0),1)</f>
        <v>339000000</v>
      </c>
      <c r="Y511" s="29">
        <f t="shared" si="42"/>
        <v>339000000</v>
      </c>
      <c r="Z511" s="29">
        <f t="shared" si="42"/>
        <v>339000000</v>
      </c>
    </row>
    <row r="512" spans="1:26" x14ac:dyDescent="0.3">
      <c r="A512">
        <f t="shared" si="41"/>
        <v>10</v>
      </c>
      <c r="B512" t="str">
        <f>INDEX('Category Mapping'!$G$28:$G$39,MATCH(A512,'Category Mapping'!$A$28:$A$39,0),1)</f>
        <v>Fall</v>
      </c>
      <c r="C512" t="s">
        <v>67</v>
      </c>
      <c r="D512" s="6" t="s">
        <v>142</v>
      </c>
      <c r="E512" s="46" t="s">
        <v>48</v>
      </c>
      <c r="F512" s="27">
        <f>SUMIFS(INDEX(Load,,MATCH('Summarized Source Data'!$C512,Hour,0)),Month,'Summarized Source Data'!$A512,Sector,'Summarized Source Data'!F$2,Subsector,'Summarized Source Data'!F$3,TimeOfWeek,$E512)*INDEX(About!B$79:B$82,MATCH($B512,About!$A$79:$A$82,0),1)</f>
        <v>1927719</v>
      </c>
      <c r="G512" s="27">
        <f>SUMIFS(INDEX(Load,,MATCH('Summarized Source Data'!$C512,Hour,0)),Month,'Summarized Source Data'!$A512,Sector,'Summarized Source Data'!G$2,Subsector,'Summarized Source Data'!G$3,TimeOfWeek,$E512)*INDEX(About!C$79:C$82,MATCH($B512,About!$A$79:$A$82,0),1)</f>
        <v>1231</v>
      </c>
      <c r="H512" s="27">
        <f>SUMIFS(INDEX(Load,,MATCH('Summarized Source Data'!$C512,Hour,0)),Month,'Summarized Source Data'!$A512,Sector,'Summarized Source Data'!H$2,Subsector,'Summarized Source Data'!H$3,TimeOfWeek,$E512)*INDEX(About!D$79:D$82,MATCH($B512,About!$A$79:$A$82,0),1)</f>
        <v>0</v>
      </c>
      <c r="I512" s="27">
        <f>SUMIFS(INDEX(Load,,MATCH('Summarized Source Data'!$C512,Hour,0)),Month,'Summarized Source Data'!$A512,Sector,'Summarized Source Data'!I$2,Subsector,'Summarized Source Data'!I$3,TimeOfWeek,$E512)*INDEX(About!E$79:E$82,MATCH($B512,About!$A$79:$A$82,0),1)</f>
        <v>5692686</v>
      </c>
      <c r="J512" s="54">
        <f t="shared" si="37"/>
        <v>18978364</v>
      </c>
      <c r="K512" s="27">
        <f>(SUMIFS(INDEX(Load,,MATCH('Summarized Source Data'!$C512,Hour,0)),Month,'Summarized Source Data'!$A512,Sector,'Summarized Source Data'!K$2,Subsector,"Total",TimeOfWeek,$E512)-SUM(F512:I512))*INDEX(About!G$79:G$82,MATCH($B512,About!$A$79:$A$82,0),1)</f>
        <v>18978364</v>
      </c>
      <c r="L512" s="27">
        <f>SUMIFS(INDEX(Load,,MATCH('Summarized Source Data'!$C512,Hour,0)),Month,'Summarized Source Data'!$A512,Sector,'Summarized Source Data'!L$2,Subsector,'Summarized Source Data'!L$3,TimeOfWeek,$E512)*INDEX(About!H$79:H$82,MATCH($B512,About!$A$79:$A$82,0),1)</f>
        <v>3503241</v>
      </c>
      <c r="M512" s="27">
        <f>SUMIFS(INDEX(Load,,MATCH('Summarized Source Data'!$C512,Hour,0)),Month,'Summarized Source Data'!$A512,Sector,'Summarized Source Data'!M$2,Subsector,'Summarized Source Data'!M$3,TimeOfWeek,$E512)*INDEX(About!I$79:I$82,MATCH($B512,About!$A$79:$A$82,0),1)</f>
        <v>649528</v>
      </c>
      <c r="N512" s="27">
        <f>SUMIFS(INDEX(Load,,MATCH('Summarized Source Data'!$C512,Hour,0)),Month,'Summarized Source Data'!$A512,Sector,'Summarized Source Data'!N$2,Subsector,'Summarized Source Data'!N$3,TimeOfWeek,$E512)*INDEX(About!J$79:J$82,MATCH($B512,About!$A$79:$A$82,0),1)</f>
        <v>0</v>
      </c>
      <c r="O512" s="29">
        <f t="shared" si="38"/>
        <v>68647231</v>
      </c>
      <c r="P512" s="27">
        <f>(SUMIFS(INDEX(Load,,MATCH('Summarized Source Data'!$C512,Hour,0)),Month,'Summarized Source Data'!$A512,Sector,'Summarized Source Data'!P$2,Subsector,"Total",TimeOfWeek,$E512)-SUM(L512:N512)*INDEX(About!L$79:L$82,MATCH($B512,About!$A$79:$A$82,0),1))</f>
        <v>68647231</v>
      </c>
      <c r="Q512" s="29">
        <f t="shared" si="39"/>
        <v>68647231</v>
      </c>
      <c r="R512" s="33">
        <f>SUMIFS(INDEX(Load,,MATCH('Summarized Source Data'!$C512,Hour,0)),Month,'Summarized Source Data'!$A512,Sector,'Summarized Source Data'!R$2,TimeOfWeek,$E512)*INDEX(About!N$79:N$82,MATCH($B512,About!$A$79:$A$82,0),1)</f>
        <v>2495604</v>
      </c>
      <c r="S512" s="33">
        <f>SUMIFS(INDEX(Load,,MATCH('Summarized Source Data'!$C512,Hour,0)),Month,'Summarized Source Data'!$A512,Sector,'Summarized Source Data'!S$2,TimeOfWeek,$E512)*INDEX(About!O$79:O$82,MATCH($B512,About!$A$79:$A$82,0),1)</f>
        <v>2495604</v>
      </c>
      <c r="T512" s="33">
        <f>SUMIFS(INDEX(Load,,MATCH('Summarized Source Data'!$C512,Hour,0)),Month,'Summarized Source Data'!$A512,Sector,'Summarized Source Data'!T$2,TimeOfWeek,$E512)*INDEX(About!P$79:P$82,MATCH($B512,About!$A$79:$A$82,0),1)</f>
        <v>2495604</v>
      </c>
      <c r="U512" s="33">
        <f>SUMIFS(INDEX(Load,,MATCH('Summarized Source Data'!$C512,Hour,0)),Month,'Summarized Source Data'!$A512,Sector,'Summarized Source Data'!U$2,TimeOfWeek,$E512)*INDEX(About!Q$79:Q$82,MATCH($B512,About!$A$79:$A$82,0),1)</f>
        <v>2495604</v>
      </c>
      <c r="V512" s="33">
        <f>SUMIFS(INDEX(Load,,MATCH('Summarized Source Data'!$C512,Hour,0)),Month,'Summarized Source Data'!$A512,Sector,'Summarized Source Data'!V$2,TimeOfWeek,$E512)*INDEX(About!R$79:R$82,MATCH($B512,About!$A$79:$A$82,0),1)</f>
        <v>2495604</v>
      </c>
      <c r="W512" s="33">
        <f>SUMIFS(INDEX(Load,,MATCH('Summarized Source Data'!$C512,Hour,0)),Month,'Summarized Source Data'!$A512,Sector,'Summarized Source Data'!W$2,TimeOfWeek,$E512)*INDEX(About!S$79:S$82,MATCH($B512,About!$A$79:$A$82,0),1)</f>
        <v>2495604</v>
      </c>
      <c r="X512" s="27">
        <f>SUMIFS(INDEX(Load,,MATCH('Summarized Source Data'!$C512,Hour,0)),Month,'Summarized Source Data'!$A512,Sector,'Summarized Source Data'!X$2,Subsector,'Summarized Source Data'!X$3,TimeOfWeek,$E512)*INDEX(About!T$79:T$82,MATCH($B512,About!$A$79:$A$82,0),1)</f>
        <v>342000000</v>
      </c>
      <c r="Y512" s="29">
        <f t="shared" si="42"/>
        <v>342000000</v>
      </c>
      <c r="Z512" s="29">
        <f t="shared" si="42"/>
        <v>342000000</v>
      </c>
    </row>
    <row r="513" spans="1:26" x14ac:dyDescent="0.3">
      <c r="A513">
        <f t="shared" si="41"/>
        <v>10</v>
      </c>
      <c r="B513" t="str">
        <f>INDEX('Category Mapping'!$G$28:$G$39,MATCH(A513,'Category Mapping'!$A$28:$A$39,0),1)</f>
        <v>Fall</v>
      </c>
      <c r="C513" t="s">
        <v>68</v>
      </c>
      <c r="D513" s="6" t="s">
        <v>143</v>
      </c>
      <c r="E513" s="46" t="s">
        <v>48</v>
      </c>
      <c r="F513" s="27">
        <f>SUMIFS(INDEX(Load,,MATCH('Summarized Source Data'!$C513,Hour,0)),Month,'Summarized Source Data'!$A513,Sector,'Summarized Source Data'!F$2,Subsector,'Summarized Source Data'!F$3,TimeOfWeek,$E513)*INDEX(About!B$79:B$82,MATCH($B513,About!$A$79:$A$82,0),1)</f>
        <v>2547530</v>
      </c>
      <c r="G513" s="27">
        <f>SUMIFS(INDEX(Load,,MATCH('Summarized Source Data'!$C513,Hour,0)),Month,'Summarized Source Data'!$A513,Sector,'Summarized Source Data'!G$2,Subsector,'Summarized Source Data'!G$3,TimeOfWeek,$E513)*INDEX(About!C$79:C$82,MATCH($B513,About!$A$79:$A$82,0),1)</f>
        <v>1209</v>
      </c>
      <c r="H513" s="27">
        <f>SUMIFS(INDEX(Load,,MATCH('Summarized Source Data'!$C513,Hour,0)),Month,'Summarized Source Data'!$A513,Sector,'Summarized Source Data'!H$2,Subsector,'Summarized Source Data'!H$3,TimeOfWeek,$E513)*INDEX(About!D$79:D$82,MATCH($B513,About!$A$79:$A$82,0),1)</f>
        <v>0</v>
      </c>
      <c r="I513" s="27">
        <f>SUMIFS(INDEX(Load,,MATCH('Summarized Source Data'!$C513,Hour,0)),Month,'Summarized Source Data'!$A513,Sector,'Summarized Source Data'!I$2,Subsector,'Summarized Source Data'!I$3,TimeOfWeek,$E513)*INDEX(About!E$79:E$82,MATCH($B513,About!$A$79:$A$82,0),1)</f>
        <v>7377518</v>
      </c>
      <c r="J513" s="54">
        <f t="shared" si="37"/>
        <v>21873743</v>
      </c>
      <c r="K513" s="27">
        <f>(SUMIFS(INDEX(Load,,MATCH('Summarized Source Data'!$C513,Hour,0)),Month,'Summarized Source Data'!$A513,Sector,'Summarized Source Data'!K$2,Subsector,"Total",TimeOfWeek,$E513)-SUM(F513:I513))*INDEX(About!G$79:G$82,MATCH($B513,About!$A$79:$A$82,0),1)</f>
        <v>21873743</v>
      </c>
      <c r="L513" s="27">
        <f>SUMIFS(INDEX(Load,,MATCH('Summarized Source Data'!$C513,Hour,0)),Month,'Summarized Source Data'!$A513,Sector,'Summarized Source Data'!L$2,Subsector,'Summarized Source Data'!L$3,TimeOfWeek,$E513)*INDEX(About!H$79:H$82,MATCH($B513,About!$A$79:$A$82,0),1)</f>
        <v>4112008</v>
      </c>
      <c r="M513" s="27">
        <f>SUMIFS(INDEX(Load,,MATCH('Summarized Source Data'!$C513,Hour,0)),Month,'Summarized Source Data'!$A513,Sector,'Summarized Source Data'!M$2,Subsector,'Summarized Source Data'!M$3,TimeOfWeek,$E513)*INDEX(About!I$79:I$82,MATCH($B513,About!$A$79:$A$82,0),1)</f>
        <v>656618</v>
      </c>
      <c r="N513" s="27">
        <f>SUMIFS(INDEX(Load,,MATCH('Summarized Source Data'!$C513,Hour,0)),Month,'Summarized Source Data'!$A513,Sector,'Summarized Source Data'!N$2,Subsector,'Summarized Source Data'!N$3,TimeOfWeek,$E513)*INDEX(About!J$79:J$82,MATCH($B513,About!$A$79:$A$82,0),1)</f>
        <v>0</v>
      </c>
      <c r="O513" s="29">
        <f t="shared" si="38"/>
        <v>73331374</v>
      </c>
      <c r="P513" s="27">
        <f>(SUMIFS(INDEX(Load,,MATCH('Summarized Source Data'!$C513,Hour,0)),Month,'Summarized Source Data'!$A513,Sector,'Summarized Source Data'!P$2,Subsector,"Total",TimeOfWeek,$E513)-SUM(L513:N513)*INDEX(About!L$79:L$82,MATCH($B513,About!$A$79:$A$82,0),1))</f>
        <v>73331374</v>
      </c>
      <c r="Q513" s="29">
        <f t="shared" si="39"/>
        <v>73331374</v>
      </c>
      <c r="R513" s="33">
        <f>SUMIFS(INDEX(Load,,MATCH('Summarized Source Data'!$C513,Hour,0)),Month,'Summarized Source Data'!$A513,Sector,'Summarized Source Data'!R$2,TimeOfWeek,$E513)*INDEX(About!N$79:N$82,MATCH($B513,About!$A$79:$A$82,0),1)</f>
        <v>2513171</v>
      </c>
      <c r="S513" s="33">
        <f>SUMIFS(INDEX(Load,,MATCH('Summarized Source Data'!$C513,Hour,0)),Month,'Summarized Source Data'!$A513,Sector,'Summarized Source Data'!S$2,TimeOfWeek,$E513)*INDEX(About!O$79:O$82,MATCH($B513,About!$A$79:$A$82,0),1)</f>
        <v>2513171</v>
      </c>
      <c r="T513" s="33">
        <f>SUMIFS(INDEX(Load,,MATCH('Summarized Source Data'!$C513,Hour,0)),Month,'Summarized Source Data'!$A513,Sector,'Summarized Source Data'!T$2,TimeOfWeek,$E513)*INDEX(About!P$79:P$82,MATCH($B513,About!$A$79:$A$82,0),1)</f>
        <v>2513171</v>
      </c>
      <c r="U513" s="33">
        <f>SUMIFS(INDEX(Load,,MATCH('Summarized Source Data'!$C513,Hour,0)),Month,'Summarized Source Data'!$A513,Sector,'Summarized Source Data'!U$2,TimeOfWeek,$E513)*INDEX(About!Q$79:Q$82,MATCH($B513,About!$A$79:$A$82,0),1)</f>
        <v>2513171</v>
      </c>
      <c r="V513" s="33">
        <f>SUMIFS(INDEX(Load,,MATCH('Summarized Source Data'!$C513,Hour,0)),Month,'Summarized Source Data'!$A513,Sector,'Summarized Source Data'!V$2,TimeOfWeek,$E513)*INDEX(About!R$79:R$82,MATCH($B513,About!$A$79:$A$82,0),1)</f>
        <v>2513171</v>
      </c>
      <c r="W513" s="33">
        <f>SUMIFS(INDEX(Load,,MATCH('Summarized Source Data'!$C513,Hour,0)),Month,'Summarized Source Data'!$A513,Sector,'Summarized Source Data'!W$2,TimeOfWeek,$E513)*INDEX(About!S$79:S$82,MATCH($B513,About!$A$79:$A$82,0),1)</f>
        <v>2513171</v>
      </c>
      <c r="X513" s="27">
        <f>SUMIFS(INDEX(Load,,MATCH('Summarized Source Data'!$C513,Hour,0)),Month,'Summarized Source Data'!$A513,Sector,'Summarized Source Data'!X$2,Subsector,'Summarized Source Data'!X$3,TimeOfWeek,$E513)*INDEX(About!T$79:T$82,MATCH($B513,About!$A$79:$A$82,0),1)</f>
        <v>345000000</v>
      </c>
      <c r="Y513" s="29">
        <f t="shared" si="42"/>
        <v>345000000</v>
      </c>
      <c r="Z513" s="29">
        <f t="shared" si="42"/>
        <v>345000000</v>
      </c>
    </row>
    <row r="514" spans="1:26" x14ac:dyDescent="0.3">
      <c r="A514">
        <f t="shared" si="41"/>
        <v>10</v>
      </c>
      <c r="B514" t="str">
        <f>INDEX('Category Mapping'!$G$28:$G$39,MATCH(A514,'Category Mapping'!$A$28:$A$39,0),1)</f>
        <v>Fall</v>
      </c>
      <c r="C514" t="s">
        <v>69</v>
      </c>
      <c r="D514" s="6" t="s">
        <v>144</v>
      </c>
      <c r="E514" s="46" t="s">
        <v>48</v>
      </c>
      <c r="F514" s="27">
        <f>SUMIFS(INDEX(Load,,MATCH('Summarized Source Data'!$C514,Hour,0)),Month,'Summarized Source Data'!$A514,Sector,'Summarized Source Data'!F$2,Subsector,'Summarized Source Data'!F$3,TimeOfWeek,$E514)*INDEX(About!B$79:B$82,MATCH($B514,About!$A$79:$A$82,0),1)</f>
        <v>2910151</v>
      </c>
      <c r="G514" s="27">
        <f>SUMIFS(INDEX(Load,,MATCH('Summarized Source Data'!$C514,Hour,0)),Month,'Summarized Source Data'!$A514,Sector,'Summarized Source Data'!G$2,Subsector,'Summarized Source Data'!G$3,TimeOfWeek,$E514)*INDEX(About!C$79:C$82,MATCH($B514,About!$A$79:$A$82,0),1)</f>
        <v>1160</v>
      </c>
      <c r="H514" s="27">
        <f>SUMIFS(INDEX(Load,,MATCH('Summarized Source Data'!$C514,Hour,0)),Month,'Summarized Source Data'!$A514,Sector,'Summarized Source Data'!H$2,Subsector,'Summarized Source Data'!H$3,TimeOfWeek,$E514)*INDEX(About!D$79:D$82,MATCH($B514,About!$A$79:$A$82,0),1)</f>
        <v>0</v>
      </c>
      <c r="I514" s="27">
        <f>SUMIFS(INDEX(Load,,MATCH('Summarized Source Data'!$C514,Hour,0)),Month,'Summarized Source Data'!$A514,Sector,'Summarized Source Data'!I$2,Subsector,'Summarized Source Data'!I$3,TimeOfWeek,$E514)*INDEX(About!E$79:E$82,MATCH($B514,About!$A$79:$A$82,0),1)</f>
        <v>12700000</v>
      </c>
      <c r="J514" s="54">
        <f t="shared" si="37"/>
        <v>32288689</v>
      </c>
      <c r="K514" s="27">
        <f>(SUMIFS(INDEX(Load,,MATCH('Summarized Source Data'!$C514,Hour,0)),Month,'Summarized Source Data'!$A514,Sector,'Summarized Source Data'!K$2,Subsector,"Total",TimeOfWeek,$E514)-SUM(F514:I514))*INDEX(About!G$79:G$82,MATCH($B514,About!$A$79:$A$82,0),1)</f>
        <v>32288689</v>
      </c>
      <c r="L514" s="27">
        <f>SUMIFS(INDEX(Load,,MATCH('Summarized Source Data'!$C514,Hour,0)),Month,'Summarized Source Data'!$A514,Sector,'Summarized Source Data'!L$2,Subsector,'Summarized Source Data'!L$3,TimeOfWeek,$E514)*INDEX(About!H$79:H$82,MATCH($B514,About!$A$79:$A$82,0),1)</f>
        <v>8072043</v>
      </c>
      <c r="M514" s="27">
        <f>SUMIFS(INDEX(Load,,MATCH('Summarized Source Data'!$C514,Hour,0)),Month,'Summarized Source Data'!$A514,Sector,'Summarized Source Data'!M$2,Subsector,'Summarized Source Data'!M$3,TimeOfWeek,$E514)*INDEX(About!I$79:I$82,MATCH($B514,About!$A$79:$A$82,0),1)</f>
        <v>681977</v>
      </c>
      <c r="N514" s="27">
        <f>SUMIFS(INDEX(Load,,MATCH('Summarized Source Data'!$C514,Hour,0)),Month,'Summarized Source Data'!$A514,Sector,'Summarized Source Data'!N$2,Subsector,'Summarized Source Data'!N$3,TimeOfWeek,$E514)*INDEX(About!J$79:J$82,MATCH($B514,About!$A$79:$A$82,0),1)</f>
        <v>0</v>
      </c>
      <c r="O514" s="29">
        <f t="shared" si="38"/>
        <v>82045980</v>
      </c>
      <c r="P514" s="27">
        <f>(SUMIFS(INDEX(Load,,MATCH('Summarized Source Data'!$C514,Hour,0)),Month,'Summarized Source Data'!$A514,Sector,'Summarized Source Data'!P$2,Subsector,"Total",TimeOfWeek,$E514)-SUM(L514:N514)*INDEX(About!L$79:L$82,MATCH($B514,About!$A$79:$A$82,0),1))</f>
        <v>82045980</v>
      </c>
      <c r="Q514" s="29">
        <f t="shared" si="39"/>
        <v>82045980</v>
      </c>
      <c r="R514" s="33">
        <f>SUMIFS(INDEX(Load,,MATCH('Summarized Source Data'!$C514,Hour,0)),Month,'Summarized Source Data'!$A514,Sector,'Summarized Source Data'!R$2,TimeOfWeek,$E514)*INDEX(About!N$79:N$82,MATCH($B514,About!$A$79:$A$82,0),1)</f>
        <v>3116625</v>
      </c>
      <c r="S514" s="33">
        <f>SUMIFS(INDEX(Load,,MATCH('Summarized Source Data'!$C514,Hour,0)),Month,'Summarized Source Data'!$A514,Sector,'Summarized Source Data'!S$2,TimeOfWeek,$E514)*INDEX(About!O$79:O$82,MATCH($B514,About!$A$79:$A$82,0),1)</f>
        <v>3116625</v>
      </c>
      <c r="T514" s="33">
        <f>SUMIFS(INDEX(Load,,MATCH('Summarized Source Data'!$C514,Hour,0)),Month,'Summarized Source Data'!$A514,Sector,'Summarized Source Data'!T$2,TimeOfWeek,$E514)*INDEX(About!P$79:P$82,MATCH($B514,About!$A$79:$A$82,0),1)</f>
        <v>3116625</v>
      </c>
      <c r="U514" s="33">
        <f>SUMIFS(INDEX(Load,,MATCH('Summarized Source Data'!$C514,Hour,0)),Month,'Summarized Source Data'!$A514,Sector,'Summarized Source Data'!U$2,TimeOfWeek,$E514)*INDEX(About!Q$79:Q$82,MATCH($B514,About!$A$79:$A$82,0),1)</f>
        <v>3116625</v>
      </c>
      <c r="V514" s="33">
        <f>SUMIFS(INDEX(Load,,MATCH('Summarized Source Data'!$C514,Hour,0)),Month,'Summarized Source Data'!$A514,Sector,'Summarized Source Data'!V$2,TimeOfWeek,$E514)*INDEX(About!R$79:R$82,MATCH($B514,About!$A$79:$A$82,0),1)</f>
        <v>3116625</v>
      </c>
      <c r="W514" s="33">
        <f>SUMIFS(INDEX(Load,,MATCH('Summarized Source Data'!$C514,Hour,0)),Month,'Summarized Source Data'!$A514,Sector,'Summarized Source Data'!W$2,TimeOfWeek,$E514)*INDEX(About!S$79:S$82,MATCH($B514,About!$A$79:$A$82,0),1)</f>
        <v>3116625</v>
      </c>
      <c r="X514" s="27">
        <f>SUMIFS(INDEX(Load,,MATCH('Summarized Source Data'!$C514,Hour,0)),Month,'Summarized Source Data'!$A514,Sector,'Summarized Source Data'!X$2,Subsector,'Summarized Source Data'!X$3,TimeOfWeek,$E514)*INDEX(About!T$79:T$82,MATCH($B514,About!$A$79:$A$82,0),1)</f>
        <v>347000000</v>
      </c>
      <c r="Y514" s="29">
        <f t="shared" si="42"/>
        <v>347000000</v>
      </c>
      <c r="Z514" s="29">
        <f t="shared" si="42"/>
        <v>347000000</v>
      </c>
    </row>
    <row r="515" spans="1:26" x14ac:dyDescent="0.3">
      <c r="A515">
        <f t="shared" si="41"/>
        <v>10</v>
      </c>
      <c r="B515" t="str">
        <f>INDEX('Category Mapping'!$G$28:$G$39,MATCH(A515,'Category Mapping'!$A$28:$A$39,0),1)</f>
        <v>Fall</v>
      </c>
      <c r="C515" t="s">
        <v>70</v>
      </c>
      <c r="D515" s="6" t="s">
        <v>145</v>
      </c>
      <c r="E515" s="46" t="s">
        <v>48</v>
      </c>
      <c r="F515" s="27">
        <f>SUMIFS(INDEX(Load,,MATCH('Summarized Source Data'!$C515,Hour,0)),Month,'Summarized Source Data'!$A515,Sector,'Summarized Source Data'!F$2,Subsector,'Summarized Source Data'!F$3,TimeOfWeek,$E515)*INDEX(About!B$79:B$82,MATCH($B515,About!$A$79:$A$82,0),1)</f>
        <v>3377765</v>
      </c>
      <c r="G515" s="27">
        <f>SUMIFS(INDEX(Load,,MATCH('Summarized Source Data'!$C515,Hour,0)),Month,'Summarized Source Data'!$A515,Sector,'Summarized Source Data'!G$2,Subsector,'Summarized Source Data'!G$3,TimeOfWeek,$E515)*INDEX(About!C$79:C$82,MATCH($B515,About!$A$79:$A$82,0),1)</f>
        <v>1078</v>
      </c>
      <c r="H515" s="27">
        <f>SUMIFS(INDEX(Load,,MATCH('Summarized Source Data'!$C515,Hour,0)),Month,'Summarized Source Data'!$A515,Sector,'Summarized Source Data'!H$2,Subsector,'Summarized Source Data'!H$3,TimeOfWeek,$E515)*INDEX(About!D$79:D$82,MATCH($B515,About!$A$79:$A$82,0),1)</f>
        <v>0</v>
      </c>
      <c r="I515" s="27">
        <f>SUMIFS(INDEX(Load,,MATCH('Summarized Source Data'!$C515,Hour,0)),Month,'Summarized Source Data'!$A515,Sector,'Summarized Source Data'!I$2,Subsector,'Summarized Source Data'!I$3,TimeOfWeek,$E515)*INDEX(About!E$79:E$82,MATCH($B515,About!$A$79:$A$82,0),1)</f>
        <v>7240305</v>
      </c>
      <c r="J515" s="54">
        <f t="shared" si="37"/>
        <v>45680852</v>
      </c>
      <c r="K515" s="27">
        <f>(SUMIFS(INDEX(Load,,MATCH('Summarized Source Data'!$C515,Hour,0)),Month,'Summarized Source Data'!$A515,Sector,'Summarized Source Data'!K$2,Subsector,"Total",TimeOfWeek,$E515)-SUM(F515:I515))*INDEX(About!G$79:G$82,MATCH($B515,About!$A$79:$A$82,0),1)</f>
        <v>45680852</v>
      </c>
      <c r="L515" s="27">
        <f>SUMIFS(INDEX(Load,,MATCH('Summarized Source Data'!$C515,Hour,0)),Month,'Summarized Source Data'!$A515,Sector,'Summarized Source Data'!L$2,Subsector,'Summarized Source Data'!L$3,TimeOfWeek,$E515)*INDEX(About!H$79:H$82,MATCH($B515,About!$A$79:$A$82,0),1)</f>
        <v>8953361</v>
      </c>
      <c r="M515" s="27">
        <f>SUMIFS(INDEX(Load,,MATCH('Summarized Source Data'!$C515,Hour,0)),Month,'Summarized Source Data'!$A515,Sector,'Summarized Source Data'!M$2,Subsector,'Summarized Source Data'!M$3,TimeOfWeek,$E515)*INDEX(About!I$79:I$82,MATCH($B515,About!$A$79:$A$82,0),1)</f>
        <v>732006</v>
      </c>
      <c r="N515" s="27">
        <f>SUMIFS(INDEX(Load,,MATCH('Summarized Source Data'!$C515,Hour,0)),Month,'Summarized Source Data'!$A515,Sector,'Summarized Source Data'!N$2,Subsector,'Summarized Source Data'!N$3,TimeOfWeek,$E515)*INDEX(About!J$79:J$82,MATCH($B515,About!$A$79:$A$82,0),1)</f>
        <v>0</v>
      </c>
      <c r="O515" s="29">
        <f t="shared" si="38"/>
        <v>103314633</v>
      </c>
      <c r="P515" s="27">
        <f>(SUMIFS(INDEX(Load,,MATCH('Summarized Source Data'!$C515,Hour,0)),Month,'Summarized Source Data'!$A515,Sector,'Summarized Source Data'!P$2,Subsector,"Total",TimeOfWeek,$E515)-SUM(L515:N515)*INDEX(About!L$79:L$82,MATCH($B515,About!$A$79:$A$82,0),1))</f>
        <v>103314633</v>
      </c>
      <c r="Q515" s="29">
        <f t="shared" si="39"/>
        <v>103314633</v>
      </c>
      <c r="R515" s="33">
        <f>SUMIFS(INDEX(Load,,MATCH('Summarized Source Data'!$C515,Hour,0)),Month,'Summarized Source Data'!$A515,Sector,'Summarized Source Data'!R$2,TimeOfWeek,$E515)*INDEX(About!N$79:N$82,MATCH($B515,About!$A$79:$A$82,0),1)</f>
        <v>4055833</v>
      </c>
      <c r="S515" s="33">
        <f>SUMIFS(INDEX(Load,,MATCH('Summarized Source Data'!$C515,Hour,0)),Month,'Summarized Source Data'!$A515,Sector,'Summarized Source Data'!S$2,TimeOfWeek,$E515)*INDEX(About!O$79:O$82,MATCH($B515,About!$A$79:$A$82,0),1)</f>
        <v>4055833</v>
      </c>
      <c r="T515" s="33">
        <f>SUMIFS(INDEX(Load,,MATCH('Summarized Source Data'!$C515,Hour,0)),Month,'Summarized Source Data'!$A515,Sector,'Summarized Source Data'!T$2,TimeOfWeek,$E515)*INDEX(About!P$79:P$82,MATCH($B515,About!$A$79:$A$82,0),1)</f>
        <v>4055833</v>
      </c>
      <c r="U515" s="33">
        <f>SUMIFS(INDEX(Load,,MATCH('Summarized Source Data'!$C515,Hour,0)),Month,'Summarized Source Data'!$A515,Sector,'Summarized Source Data'!U$2,TimeOfWeek,$E515)*INDEX(About!Q$79:Q$82,MATCH($B515,About!$A$79:$A$82,0),1)</f>
        <v>4055833</v>
      </c>
      <c r="V515" s="33">
        <f>SUMIFS(INDEX(Load,,MATCH('Summarized Source Data'!$C515,Hour,0)),Month,'Summarized Source Data'!$A515,Sector,'Summarized Source Data'!V$2,TimeOfWeek,$E515)*INDEX(About!R$79:R$82,MATCH($B515,About!$A$79:$A$82,0),1)</f>
        <v>4055833</v>
      </c>
      <c r="W515" s="33">
        <f>SUMIFS(INDEX(Load,,MATCH('Summarized Source Data'!$C515,Hour,0)),Month,'Summarized Source Data'!$A515,Sector,'Summarized Source Data'!W$2,TimeOfWeek,$E515)*INDEX(About!S$79:S$82,MATCH($B515,About!$A$79:$A$82,0),1)</f>
        <v>4055833</v>
      </c>
      <c r="X515" s="27">
        <f>SUMIFS(INDEX(Load,,MATCH('Summarized Source Data'!$C515,Hour,0)),Month,'Summarized Source Data'!$A515,Sector,'Summarized Source Data'!X$2,Subsector,'Summarized Source Data'!X$3,TimeOfWeek,$E515)*INDEX(About!T$79:T$82,MATCH($B515,About!$A$79:$A$82,0),1)</f>
        <v>347000000</v>
      </c>
      <c r="Y515" s="29">
        <f t="shared" si="42"/>
        <v>347000000</v>
      </c>
      <c r="Z515" s="29">
        <f t="shared" si="42"/>
        <v>347000000</v>
      </c>
    </row>
    <row r="516" spans="1:26" x14ac:dyDescent="0.3">
      <c r="A516">
        <f t="shared" si="41"/>
        <v>10</v>
      </c>
      <c r="B516" t="str">
        <f>INDEX('Category Mapping'!$G$28:$G$39,MATCH(A516,'Category Mapping'!$A$28:$A$39,0),1)</f>
        <v>Fall</v>
      </c>
      <c r="C516" t="s">
        <v>71</v>
      </c>
      <c r="D516" s="6" t="s">
        <v>146</v>
      </c>
      <c r="E516" s="46" t="s">
        <v>48</v>
      </c>
      <c r="F516" s="27">
        <f>SUMIFS(INDEX(Load,,MATCH('Summarized Source Data'!$C516,Hour,0)),Month,'Summarized Source Data'!$A516,Sector,'Summarized Source Data'!F$2,Subsector,'Summarized Source Data'!F$3,TimeOfWeek,$E516)*INDEX(About!B$79:B$82,MATCH($B516,About!$A$79:$A$82,0),1)</f>
        <v>3670199</v>
      </c>
      <c r="G516" s="27">
        <f>SUMIFS(INDEX(Load,,MATCH('Summarized Source Data'!$C516,Hour,0)),Month,'Summarized Source Data'!$A516,Sector,'Summarized Source Data'!G$2,Subsector,'Summarized Source Data'!G$3,TimeOfWeek,$E516)*INDEX(About!C$79:C$82,MATCH($B516,About!$A$79:$A$82,0),1)</f>
        <v>965</v>
      </c>
      <c r="H516" s="27">
        <f>SUMIFS(INDEX(Load,,MATCH('Summarized Source Data'!$C516,Hour,0)),Month,'Summarized Source Data'!$A516,Sector,'Summarized Source Data'!H$2,Subsector,'Summarized Source Data'!H$3,TimeOfWeek,$E516)*INDEX(About!D$79:D$82,MATCH($B516,About!$A$79:$A$82,0),1)</f>
        <v>0</v>
      </c>
      <c r="I516" s="27">
        <f>SUMIFS(INDEX(Load,,MATCH('Summarized Source Data'!$C516,Hour,0)),Month,'Summarized Source Data'!$A516,Sector,'Summarized Source Data'!I$2,Subsector,'Summarized Source Data'!I$3,TimeOfWeek,$E516)*INDEX(About!E$79:E$82,MATCH($B516,About!$A$79:$A$82,0),1)</f>
        <v>7189449</v>
      </c>
      <c r="J516" s="54">
        <f t="shared" si="37"/>
        <v>57139387</v>
      </c>
      <c r="K516" s="27">
        <f>(SUMIFS(INDEX(Load,,MATCH('Summarized Source Data'!$C516,Hour,0)),Month,'Summarized Source Data'!$A516,Sector,'Summarized Source Data'!K$2,Subsector,"Total",TimeOfWeek,$E516)-SUM(F516:I516))*INDEX(About!G$79:G$82,MATCH($B516,About!$A$79:$A$82,0),1)</f>
        <v>57139387</v>
      </c>
      <c r="L516" s="27">
        <f>SUMIFS(INDEX(Load,,MATCH('Summarized Source Data'!$C516,Hour,0)),Month,'Summarized Source Data'!$A516,Sector,'Summarized Source Data'!L$2,Subsector,'Summarized Source Data'!L$3,TimeOfWeek,$E516)*INDEX(About!H$79:H$82,MATCH($B516,About!$A$79:$A$82,0),1)</f>
        <v>7366065</v>
      </c>
      <c r="M516" s="27">
        <f>SUMIFS(INDEX(Load,,MATCH('Summarized Source Data'!$C516,Hour,0)),Month,'Summarized Source Data'!$A516,Sector,'Summarized Source Data'!M$2,Subsector,'Summarized Source Data'!M$3,TimeOfWeek,$E516)*INDEX(About!I$79:I$82,MATCH($B516,About!$A$79:$A$82,0),1)</f>
        <v>805677</v>
      </c>
      <c r="N516" s="27">
        <f>SUMIFS(INDEX(Load,,MATCH('Summarized Source Data'!$C516,Hour,0)),Month,'Summarized Source Data'!$A516,Sector,'Summarized Source Data'!N$2,Subsector,'Summarized Source Data'!N$3,TimeOfWeek,$E516)*INDEX(About!J$79:J$82,MATCH($B516,About!$A$79:$A$82,0),1)</f>
        <v>0</v>
      </c>
      <c r="O516" s="29">
        <f t="shared" si="38"/>
        <v>117828258</v>
      </c>
      <c r="P516" s="27">
        <f>(SUMIFS(INDEX(Load,,MATCH('Summarized Source Data'!$C516,Hour,0)),Month,'Summarized Source Data'!$A516,Sector,'Summarized Source Data'!P$2,Subsector,"Total",TimeOfWeek,$E516)-SUM(L516:N516)*INDEX(About!L$79:L$82,MATCH($B516,About!$A$79:$A$82,0),1))</f>
        <v>117828258</v>
      </c>
      <c r="Q516" s="29">
        <f t="shared" si="39"/>
        <v>117828258</v>
      </c>
      <c r="R516" s="33">
        <f>SUMIFS(INDEX(Load,,MATCH('Summarized Source Data'!$C516,Hour,0)),Month,'Summarized Source Data'!$A516,Sector,'Summarized Source Data'!R$2,TimeOfWeek,$E516)*INDEX(About!N$79:N$82,MATCH($B516,About!$A$79:$A$82,0),1)</f>
        <v>4844446</v>
      </c>
      <c r="S516" s="33">
        <f>SUMIFS(INDEX(Load,,MATCH('Summarized Source Data'!$C516,Hour,0)),Month,'Summarized Source Data'!$A516,Sector,'Summarized Source Data'!S$2,TimeOfWeek,$E516)*INDEX(About!O$79:O$82,MATCH($B516,About!$A$79:$A$82,0),1)</f>
        <v>4844446</v>
      </c>
      <c r="T516" s="33">
        <f>SUMIFS(INDEX(Load,,MATCH('Summarized Source Data'!$C516,Hour,0)),Month,'Summarized Source Data'!$A516,Sector,'Summarized Source Data'!T$2,TimeOfWeek,$E516)*INDEX(About!P$79:P$82,MATCH($B516,About!$A$79:$A$82,0),1)</f>
        <v>4844446</v>
      </c>
      <c r="U516" s="33">
        <f>SUMIFS(INDEX(Load,,MATCH('Summarized Source Data'!$C516,Hour,0)),Month,'Summarized Source Data'!$A516,Sector,'Summarized Source Data'!U$2,TimeOfWeek,$E516)*INDEX(About!Q$79:Q$82,MATCH($B516,About!$A$79:$A$82,0),1)</f>
        <v>4844446</v>
      </c>
      <c r="V516" s="33">
        <f>SUMIFS(INDEX(Load,,MATCH('Summarized Source Data'!$C516,Hour,0)),Month,'Summarized Source Data'!$A516,Sector,'Summarized Source Data'!V$2,TimeOfWeek,$E516)*INDEX(About!R$79:R$82,MATCH($B516,About!$A$79:$A$82,0),1)</f>
        <v>4844446</v>
      </c>
      <c r="W516" s="33">
        <f>SUMIFS(INDEX(Load,,MATCH('Summarized Source Data'!$C516,Hour,0)),Month,'Summarized Source Data'!$A516,Sector,'Summarized Source Data'!W$2,TimeOfWeek,$E516)*INDEX(About!S$79:S$82,MATCH($B516,About!$A$79:$A$82,0),1)</f>
        <v>4844446</v>
      </c>
      <c r="X516" s="27">
        <f>SUMIFS(INDEX(Load,,MATCH('Summarized Source Data'!$C516,Hour,0)),Month,'Summarized Source Data'!$A516,Sector,'Summarized Source Data'!X$2,Subsector,'Summarized Source Data'!X$3,TimeOfWeek,$E516)*INDEX(About!T$79:T$82,MATCH($B516,About!$A$79:$A$82,0),1)</f>
        <v>346000000</v>
      </c>
      <c r="Y516" s="29">
        <f t="shared" si="42"/>
        <v>346000000</v>
      </c>
      <c r="Z516" s="29">
        <f t="shared" si="42"/>
        <v>346000000</v>
      </c>
    </row>
    <row r="517" spans="1:26" x14ac:dyDescent="0.3">
      <c r="A517">
        <f t="shared" si="41"/>
        <v>10</v>
      </c>
      <c r="B517" t="str">
        <f>INDEX('Category Mapping'!$G$28:$G$39,MATCH(A517,'Category Mapping'!$A$28:$A$39,0),1)</f>
        <v>Fall</v>
      </c>
      <c r="C517" t="s">
        <v>72</v>
      </c>
      <c r="D517" s="6" t="s">
        <v>147</v>
      </c>
      <c r="E517" s="46" t="s">
        <v>48</v>
      </c>
      <c r="F517" s="27">
        <f>SUMIFS(INDEX(Load,,MATCH('Summarized Source Data'!$C517,Hour,0)),Month,'Summarized Source Data'!$A517,Sector,'Summarized Source Data'!F$2,Subsector,'Summarized Source Data'!F$3,TimeOfWeek,$E517)*INDEX(About!B$79:B$82,MATCH($B517,About!$A$79:$A$82,0),1)</f>
        <v>3728883</v>
      </c>
      <c r="G517" s="27">
        <f>SUMIFS(INDEX(Load,,MATCH('Summarized Source Data'!$C517,Hour,0)),Month,'Summarized Source Data'!$A517,Sector,'Summarized Source Data'!G$2,Subsector,'Summarized Source Data'!G$3,TimeOfWeek,$E517)*INDEX(About!C$79:C$82,MATCH($B517,About!$A$79:$A$82,0),1)</f>
        <v>7539</v>
      </c>
      <c r="H517" s="27">
        <f>SUMIFS(INDEX(Load,,MATCH('Summarized Source Data'!$C517,Hour,0)),Month,'Summarized Source Data'!$A517,Sector,'Summarized Source Data'!H$2,Subsector,'Summarized Source Data'!H$3,TimeOfWeek,$E517)*INDEX(About!D$79:D$82,MATCH($B517,About!$A$79:$A$82,0),1)</f>
        <v>0</v>
      </c>
      <c r="I517" s="27">
        <f>SUMIFS(INDEX(Load,,MATCH('Summarized Source Data'!$C517,Hour,0)),Month,'Summarized Source Data'!$A517,Sector,'Summarized Source Data'!I$2,Subsector,'Summarized Source Data'!I$3,TimeOfWeek,$E517)*INDEX(About!E$79:E$82,MATCH($B517,About!$A$79:$A$82,0),1)</f>
        <v>7449564</v>
      </c>
      <c r="J517" s="54">
        <f t="shared" ref="J517:J579" si="43">K517</f>
        <v>72214014</v>
      </c>
      <c r="K517" s="27">
        <f>(SUMIFS(INDEX(Load,,MATCH('Summarized Source Data'!$C517,Hour,0)),Month,'Summarized Source Data'!$A517,Sector,'Summarized Source Data'!K$2,Subsector,"Total",TimeOfWeek,$E517)-SUM(F517:I517))*INDEX(About!G$79:G$82,MATCH($B517,About!$A$79:$A$82,0),1)</f>
        <v>72214014</v>
      </c>
      <c r="L517" s="27">
        <f>SUMIFS(INDEX(Load,,MATCH('Summarized Source Data'!$C517,Hour,0)),Month,'Summarized Source Data'!$A517,Sector,'Summarized Source Data'!L$2,Subsector,'Summarized Source Data'!L$3,TimeOfWeek,$E517)*INDEX(About!H$79:H$82,MATCH($B517,About!$A$79:$A$82,0),1)</f>
        <v>6025122</v>
      </c>
      <c r="M517" s="27">
        <f>SUMIFS(INDEX(Load,,MATCH('Summarized Source Data'!$C517,Hour,0)),Month,'Summarized Source Data'!$A517,Sector,'Summarized Source Data'!M$2,Subsector,'Summarized Source Data'!M$3,TimeOfWeek,$E517)*INDEX(About!I$79:I$82,MATCH($B517,About!$A$79:$A$82,0),1)</f>
        <v>853816</v>
      </c>
      <c r="N517" s="27">
        <f>SUMIFS(INDEX(Load,,MATCH('Summarized Source Data'!$C517,Hour,0)),Month,'Summarized Source Data'!$A517,Sector,'Summarized Source Data'!N$2,Subsector,'Summarized Source Data'!N$3,TimeOfWeek,$E517)*INDEX(About!J$79:J$82,MATCH($B517,About!$A$79:$A$82,0),1)</f>
        <v>0</v>
      </c>
      <c r="O517" s="29">
        <f t="shared" ref="O517:O579" si="44">P517</f>
        <v>128121062</v>
      </c>
      <c r="P517" s="27">
        <f>(SUMIFS(INDEX(Load,,MATCH('Summarized Source Data'!$C517,Hour,0)),Month,'Summarized Source Data'!$A517,Sector,'Summarized Source Data'!P$2,Subsector,"Total",TimeOfWeek,$E517)-SUM(L517:N517)*INDEX(About!L$79:L$82,MATCH($B517,About!$A$79:$A$82,0),1))</f>
        <v>128121062</v>
      </c>
      <c r="Q517" s="29">
        <f t="shared" ref="Q517:Q579" si="45">P517</f>
        <v>128121062</v>
      </c>
      <c r="R517" s="33">
        <f>SUMIFS(INDEX(Load,,MATCH('Summarized Source Data'!$C517,Hour,0)),Month,'Summarized Source Data'!$A517,Sector,'Summarized Source Data'!R$2,TimeOfWeek,$E517)*INDEX(About!N$79:N$82,MATCH($B517,About!$A$79:$A$82,0),1)</f>
        <v>5493910</v>
      </c>
      <c r="S517" s="33">
        <f>SUMIFS(INDEX(Load,,MATCH('Summarized Source Data'!$C517,Hour,0)),Month,'Summarized Source Data'!$A517,Sector,'Summarized Source Data'!S$2,TimeOfWeek,$E517)*INDEX(About!O$79:O$82,MATCH($B517,About!$A$79:$A$82,0),1)</f>
        <v>5493910</v>
      </c>
      <c r="T517" s="33">
        <f>SUMIFS(INDEX(Load,,MATCH('Summarized Source Data'!$C517,Hour,0)),Month,'Summarized Source Data'!$A517,Sector,'Summarized Source Data'!T$2,TimeOfWeek,$E517)*INDEX(About!P$79:P$82,MATCH($B517,About!$A$79:$A$82,0),1)</f>
        <v>5493910</v>
      </c>
      <c r="U517" s="33">
        <f>SUMIFS(INDEX(Load,,MATCH('Summarized Source Data'!$C517,Hour,0)),Month,'Summarized Source Data'!$A517,Sector,'Summarized Source Data'!U$2,TimeOfWeek,$E517)*INDEX(About!Q$79:Q$82,MATCH($B517,About!$A$79:$A$82,0),1)</f>
        <v>5493910</v>
      </c>
      <c r="V517" s="33">
        <f>SUMIFS(INDEX(Load,,MATCH('Summarized Source Data'!$C517,Hour,0)),Month,'Summarized Source Data'!$A517,Sector,'Summarized Source Data'!V$2,TimeOfWeek,$E517)*INDEX(About!R$79:R$82,MATCH($B517,About!$A$79:$A$82,0),1)</f>
        <v>5493910</v>
      </c>
      <c r="W517" s="33">
        <f>SUMIFS(INDEX(Load,,MATCH('Summarized Source Data'!$C517,Hour,0)),Month,'Summarized Source Data'!$A517,Sector,'Summarized Source Data'!W$2,TimeOfWeek,$E517)*INDEX(About!S$79:S$82,MATCH($B517,About!$A$79:$A$82,0),1)</f>
        <v>5493910</v>
      </c>
      <c r="X517" s="27">
        <f>SUMIFS(INDEX(Load,,MATCH('Summarized Source Data'!$C517,Hour,0)),Month,'Summarized Source Data'!$A517,Sector,'Summarized Source Data'!X$2,Subsector,'Summarized Source Data'!X$3,TimeOfWeek,$E517)*INDEX(About!T$79:T$82,MATCH($B517,About!$A$79:$A$82,0),1)</f>
        <v>345000000</v>
      </c>
      <c r="Y517" s="29">
        <f t="shared" ref="Y517:Z548" si="46">$X517</f>
        <v>345000000</v>
      </c>
      <c r="Z517" s="29">
        <f t="shared" si="46"/>
        <v>345000000</v>
      </c>
    </row>
    <row r="518" spans="1:26" x14ac:dyDescent="0.3">
      <c r="A518">
        <f t="shared" si="41"/>
        <v>10</v>
      </c>
      <c r="B518" t="str">
        <f>INDEX('Category Mapping'!$G$28:$G$39,MATCH(A518,'Category Mapping'!$A$28:$A$39,0),1)</f>
        <v>Fall</v>
      </c>
      <c r="C518" t="s">
        <v>73</v>
      </c>
      <c r="D518" s="6" t="s">
        <v>148</v>
      </c>
      <c r="E518" s="46" t="s">
        <v>48</v>
      </c>
      <c r="F518" s="27">
        <f>SUMIFS(INDEX(Load,,MATCH('Summarized Source Data'!$C518,Hour,0)),Month,'Summarized Source Data'!$A518,Sector,'Summarized Source Data'!F$2,Subsector,'Summarized Source Data'!F$3,TimeOfWeek,$E518)*INDEX(About!B$79:B$82,MATCH($B518,About!$A$79:$A$82,0),1)</f>
        <v>3738908</v>
      </c>
      <c r="G518" s="27">
        <f>SUMIFS(INDEX(Load,,MATCH('Summarized Source Data'!$C518,Hour,0)),Month,'Summarized Source Data'!$A518,Sector,'Summarized Source Data'!G$2,Subsector,'Summarized Source Data'!G$3,TimeOfWeek,$E518)*INDEX(About!C$79:C$82,MATCH($B518,About!$A$79:$A$82,0),1)</f>
        <v>46050</v>
      </c>
      <c r="H518" s="27">
        <f>SUMIFS(INDEX(Load,,MATCH('Summarized Source Data'!$C518,Hour,0)),Month,'Summarized Source Data'!$A518,Sector,'Summarized Source Data'!H$2,Subsector,'Summarized Source Data'!H$3,TimeOfWeek,$E518)*INDEX(About!D$79:D$82,MATCH($B518,About!$A$79:$A$82,0),1)</f>
        <v>0</v>
      </c>
      <c r="I518" s="27">
        <f>SUMIFS(INDEX(Load,,MATCH('Summarized Source Data'!$C518,Hour,0)),Month,'Summarized Source Data'!$A518,Sector,'Summarized Source Data'!I$2,Subsector,'Summarized Source Data'!I$3,TimeOfWeek,$E518)*INDEX(About!E$79:E$82,MATCH($B518,About!$A$79:$A$82,0),1)</f>
        <v>7494002</v>
      </c>
      <c r="J518" s="54">
        <f t="shared" si="43"/>
        <v>89721040</v>
      </c>
      <c r="K518" s="27">
        <f>(SUMIFS(INDEX(Load,,MATCH('Summarized Source Data'!$C518,Hour,0)),Month,'Summarized Source Data'!$A518,Sector,'Summarized Source Data'!K$2,Subsector,"Total",TimeOfWeek,$E518)-SUM(F518:I518))*INDEX(About!G$79:G$82,MATCH($B518,About!$A$79:$A$82,0),1)</f>
        <v>89721040</v>
      </c>
      <c r="L518" s="27">
        <f>SUMIFS(INDEX(Load,,MATCH('Summarized Source Data'!$C518,Hour,0)),Month,'Summarized Source Data'!$A518,Sector,'Summarized Source Data'!L$2,Subsector,'Summarized Source Data'!L$3,TimeOfWeek,$E518)*INDEX(About!H$79:H$82,MATCH($B518,About!$A$79:$A$82,0),1)</f>
        <v>5080371</v>
      </c>
      <c r="M518" s="27">
        <f>SUMIFS(INDEX(Load,,MATCH('Summarized Source Data'!$C518,Hour,0)),Month,'Summarized Source Data'!$A518,Sector,'Summarized Source Data'!M$2,Subsector,'Summarized Source Data'!M$3,TimeOfWeek,$E518)*INDEX(About!I$79:I$82,MATCH($B518,About!$A$79:$A$82,0),1)</f>
        <v>885470</v>
      </c>
      <c r="N518" s="27">
        <f>SUMIFS(INDEX(Load,,MATCH('Summarized Source Data'!$C518,Hour,0)),Month,'Summarized Source Data'!$A518,Sector,'Summarized Source Data'!N$2,Subsector,'Summarized Source Data'!N$3,TimeOfWeek,$E518)*INDEX(About!J$79:J$82,MATCH($B518,About!$A$79:$A$82,0),1)</f>
        <v>0</v>
      </c>
      <c r="O518" s="29">
        <f t="shared" si="44"/>
        <v>127034159</v>
      </c>
      <c r="P518" s="27">
        <f>(SUMIFS(INDEX(Load,,MATCH('Summarized Source Data'!$C518,Hour,0)),Month,'Summarized Source Data'!$A518,Sector,'Summarized Source Data'!P$2,Subsector,"Total",TimeOfWeek,$E518)-SUM(L518:N518)*INDEX(About!L$79:L$82,MATCH($B518,About!$A$79:$A$82,0),1))</f>
        <v>127034159</v>
      </c>
      <c r="Q518" s="29">
        <f t="shared" si="45"/>
        <v>127034159</v>
      </c>
      <c r="R518" s="33">
        <f>SUMIFS(INDEX(Load,,MATCH('Summarized Source Data'!$C518,Hour,0)),Month,'Summarized Source Data'!$A518,Sector,'Summarized Source Data'!R$2,TimeOfWeek,$E518)*INDEX(About!N$79:N$82,MATCH($B518,About!$A$79:$A$82,0),1)</f>
        <v>5817886</v>
      </c>
      <c r="S518" s="33">
        <f>SUMIFS(INDEX(Load,,MATCH('Summarized Source Data'!$C518,Hour,0)),Month,'Summarized Source Data'!$A518,Sector,'Summarized Source Data'!S$2,TimeOfWeek,$E518)*INDEX(About!O$79:O$82,MATCH($B518,About!$A$79:$A$82,0),1)</f>
        <v>5817886</v>
      </c>
      <c r="T518" s="33">
        <f>SUMIFS(INDEX(Load,,MATCH('Summarized Source Data'!$C518,Hour,0)),Month,'Summarized Source Data'!$A518,Sector,'Summarized Source Data'!T$2,TimeOfWeek,$E518)*INDEX(About!P$79:P$82,MATCH($B518,About!$A$79:$A$82,0),1)</f>
        <v>5817886</v>
      </c>
      <c r="U518" s="33">
        <f>SUMIFS(INDEX(Load,,MATCH('Summarized Source Data'!$C518,Hour,0)),Month,'Summarized Source Data'!$A518,Sector,'Summarized Source Data'!U$2,TimeOfWeek,$E518)*INDEX(About!Q$79:Q$82,MATCH($B518,About!$A$79:$A$82,0),1)</f>
        <v>5817886</v>
      </c>
      <c r="V518" s="33">
        <f>SUMIFS(INDEX(Load,,MATCH('Summarized Source Data'!$C518,Hour,0)),Month,'Summarized Source Data'!$A518,Sector,'Summarized Source Data'!V$2,TimeOfWeek,$E518)*INDEX(About!R$79:R$82,MATCH($B518,About!$A$79:$A$82,0),1)</f>
        <v>5817886</v>
      </c>
      <c r="W518" s="33">
        <f>SUMIFS(INDEX(Load,,MATCH('Summarized Source Data'!$C518,Hour,0)),Month,'Summarized Source Data'!$A518,Sector,'Summarized Source Data'!W$2,TimeOfWeek,$E518)*INDEX(About!S$79:S$82,MATCH($B518,About!$A$79:$A$82,0),1)</f>
        <v>5817886</v>
      </c>
      <c r="X518" s="27">
        <f>SUMIFS(INDEX(Load,,MATCH('Summarized Source Data'!$C518,Hour,0)),Month,'Summarized Source Data'!$A518,Sector,'Summarized Source Data'!X$2,Subsector,'Summarized Source Data'!X$3,TimeOfWeek,$E518)*INDEX(About!T$79:T$82,MATCH($B518,About!$A$79:$A$82,0),1)</f>
        <v>344000000</v>
      </c>
      <c r="Y518" s="29">
        <f t="shared" si="46"/>
        <v>344000000</v>
      </c>
      <c r="Z518" s="29">
        <f t="shared" si="46"/>
        <v>344000000</v>
      </c>
    </row>
    <row r="519" spans="1:26" x14ac:dyDescent="0.3">
      <c r="A519">
        <f t="shared" si="41"/>
        <v>10</v>
      </c>
      <c r="B519" t="str">
        <f>INDEX('Category Mapping'!$G$28:$G$39,MATCH(A519,'Category Mapping'!$A$28:$A$39,0),1)</f>
        <v>Fall</v>
      </c>
      <c r="C519" t="s">
        <v>74</v>
      </c>
      <c r="D519" s="6" t="s">
        <v>149</v>
      </c>
      <c r="E519" s="46" t="s">
        <v>48</v>
      </c>
      <c r="F519" s="27">
        <f>SUMIFS(INDEX(Load,,MATCH('Summarized Source Data'!$C519,Hour,0)),Month,'Summarized Source Data'!$A519,Sector,'Summarized Source Data'!F$2,Subsector,'Summarized Source Data'!F$3,TimeOfWeek,$E519)*INDEX(About!B$79:B$82,MATCH($B519,About!$A$79:$A$82,0),1)</f>
        <v>2878221</v>
      </c>
      <c r="G519" s="27">
        <f>SUMIFS(INDEX(Load,,MATCH('Summarized Source Data'!$C519,Hour,0)),Month,'Summarized Source Data'!$A519,Sector,'Summarized Source Data'!G$2,Subsector,'Summarized Source Data'!G$3,TimeOfWeek,$E519)*INDEX(About!C$79:C$82,MATCH($B519,About!$A$79:$A$82,0),1)</f>
        <v>269701</v>
      </c>
      <c r="H519" s="27">
        <f>SUMIFS(INDEX(Load,,MATCH('Summarized Source Data'!$C519,Hour,0)),Month,'Summarized Source Data'!$A519,Sector,'Summarized Source Data'!H$2,Subsector,'Summarized Source Data'!H$3,TimeOfWeek,$E519)*INDEX(About!D$79:D$82,MATCH($B519,About!$A$79:$A$82,0),1)</f>
        <v>0</v>
      </c>
      <c r="I519" s="27">
        <f>SUMIFS(INDEX(Load,,MATCH('Summarized Source Data'!$C519,Hour,0)),Month,'Summarized Source Data'!$A519,Sector,'Summarized Source Data'!I$2,Subsector,'Summarized Source Data'!I$3,TimeOfWeek,$E519)*INDEX(About!E$79:E$82,MATCH($B519,About!$A$79:$A$82,0),1)</f>
        <v>7951310</v>
      </c>
      <c r="J519" s="54">
        <f t="shared" si="43"/>
        <v>99900768</v>
      </c>
      <c r="K519" s="27">
        <f>(SUMIFS(INDEX(Load,,MATCH('Summarized Source Data'!$C519,Hour,0)),Month,'Summarized Source Data'!$A519,Sector,'Summarized Source Data'!K$2,Subsector,"Total",TimeOfWeek,$E519)-SUM(F519:I519))*INDEX(About!G$79:G$82,MATCH($B519,About!$A$79:$A$82,0),1)</f>
        <v>99900768</v>
      </c>
      <c r="L519" s="27">
        <f>SUMIFS(INDEX(Load,,MATCH('Summarized Source Data'!$C519,Hour,0)),Month,'Summarized Source Data'!$A519,Sector,'Summarized Source Data'!L$2,Subsector,'Summarized Source Data'!L$3,TimeOfWeek,$E519)*INDEX(About!H$79:H$82,MATCH($B519,About!$A$79:$A$82,0),1)</f>
        <v>4508250</v>
      </c>
      <c r="M519" s="27">
        <f>SUMIFS(INDEX(Load,,MATCH('Summarized Source Data'!$C519,Hour,0)),Month,'Summarized Source Data'!$A519,Sector,'Summarized Source Data'!M$2,Subsector,'Summarized Source Data'!M$3,TimeOfWeek,$E519)*INDEX(About!I$79:I$82,MATCH($B519,About!$A$79:$A$82,0),1)</f>
        <v>931064</v>
      </c>
      <c r="N519" s="27">
        <f>SUMIFS(INDEX(Load,,MATCH('Summarized Source Data'!$C519,Hour,0)),Month,'Summarized Source Data'!$A519,Sector,'Summarized Source Data'!N$2,Subsector,'Summarized Source Data'!N$3,TimeOfWeek,$E519)*INDEX(About!J$79:J$82,MATCH($B519,About!$A$79:$A$82,0),1)</f>
        <v>0</v>
      </c>
      <c r="O519" s="29">
        <f t="shared" si="44"/>
        <v>127560686</v>
      </c>
      <c r="P519" s="27">
        <f>(SUMIFS(INDEX(Load,,MATCH('Summarized Source Data'!$C519,Hour,0)),Month,'Summarized Source Data'!$A519,Sector,'Summarized Source Data'!P$2,Subsector,"Total",TimeOfWeek,$E519)-SUM(L519:N519)*INDEX(About!L$79:L$82,MATCH($B519,About!$A$79:$A$82,0),1))</f>
        <v>127560686</v>
      </c>
      <c r="Q519" s="29">
        <f t="shared" si="45"/>
        <v>127560686</v>
      </c>
      <c r="R519" s="33">
        <f>SUMIFS(INDEX(Load,,MATCH('Summarized Source Data'!$C519,Hour,0)),Month,'Summarized Source Data'!$A519,Sector,'Summarized Source Data'!R$2,TimeOfWeek,$E519)*INDEX(About!N$79:N$82,MATCH($B519,About!$A$79:$A$82,0),1)</f>
        <v>5999405</v>
      </c>
      <c r="S519" s="33">
        <f>SUMIFS(INDEX(Load,,MATCH('Summarized Source Data'!$C519,Hour,0)),Month,'Summarized Source Data'!$A519,Sector,'Summarized Source Data'!S$2,TimeOfWeek,$E519)*INDEX(About!O$79:O$82,MATCH($B519,About!$A$79:$A$82,0),1)</f>
        <v>5999405</v>
      </c>
      <c r="T519" s="33">
        <f>SUMIFS(INDEX(Load,,MATCH('Summarized Source Data'!$C519,Hour,0)),Month,'Summarized Source Data'!$A519,Sector,'Summarized Source Data'!T$2,TimeOfWeek,$E519)*INDEX(About!P$79:P$82,MATCH($B519,About!$A$79:$A$82,0),1)</f>
        <v>5999405</v>
      </c>
      <c r="U519" s="33">
        <f>SUMIFS(INDEX(Load,,MATCH('Summarized Source Data'!$C519,Hour,0)),Month,'Summarized Source Data'!$A519,Sector,'Summarized Source Data'!U$2,TimeOfWeek,$E519)*INDEX(About!Q$79:Q$82,MATCH($B519,About!$A$79:$A$82,0),1)</f>
        <v>5999405</v>
      </c>
      <c r="V519" s="33">
        <f>SUMIFS(INDEX(Load,,MATCH('Summarized Source Data'!$C519,Hour,0)),Month,'Summarized Source Data'!$A519,Sector,'Summarized Source Data'!V$2,TimeOfWeek,$E519)*INDEX(About!R$79:R$82,MATCH($B519,About!$A$79:$A$82,0),1)</f>
        <v>5999405</v>
      </c>
      <c r="W519" s="33">
        <f>SUMIFS(INDEX(Load,,MATCH('Summarized Source Data'!$C519,Hour,0)),Month,'Summarized Source Data'!$A519,Sector,'Summarized Source Data'!W$2,TimeOfWeek,$E519)*INDEX(About!S$79:S$82,MATCH($B519,About!$A$79:$A$82,0),1)</f>
        <v>5999405</v>
      </c>
      <c r="X519" s="27">
        <f>SUMIFS(INDEX(Load,,MATCH('Summarized Source Data'!$C519,Hour,0)),Month,'Summarized Source Data'!$A519,Sector,'Summarized Source Data'!X$2,Subsector,'Summarized Source Data'!X$3,TimeOfWeek,$E519)*INDEX(About!T$79:T$82,MATCH($B519,About!$A$79:$A$82,0),1)</f>
        <v>343000000</v>
      </c>
      <c r="Y519" s="29">
        <f t="shared" si="46"/>
        <v>343000000</v>
      </c>
      <c r="Z519" s="29">
        <f t="shared" si="46"/>
        <v>343000000</v>
      </c>
    </row>
    <row r="520" spans="1:26" x14ac:dyDescent="0.3">
      <c r="A520">
        <f t="shared" si="41"/>
        <v>10</v>
      </c>
      <c r="B520" t="str">
        <f>INDEX('Category Mapping'!$G$28:$G$39,MATCH(A520,'Category Mapping'!$A$28:$A$39,0),1)</f>
        <v>Fall</v>
      </c>
      <c r="C520" t="s">
        <v>75</v>
      </c>
      <c r="D520" s="6" t="s">
        <v>150</v>
      </c>
      <c r="E520" s="46" t="s">
        <v>48</v>
      </c>
      <c r="F520" s="27">
        <f>SUMIFS(INDEX(Load,,MATCH('Summarized Source Data'!$C520,Hour,0)),Month,'Summarized Source Data'!$A520,Sector,'Summarized Source Data'!F$2,Subsector,'Summarized Source Data'!F$3,TimeOfWeek,$E520)*INDEX(About!B$79:B$82,MATCH($B520,About!$A$79:$A$82,0),1)</f>
        <v>2940566</v>
      </c>
      <c r="G520" s="27">
        <f>SUMIFS(INDEX(Load,,MATCH('Summarized Source Data'!$C520,Hour,0)),Month,'Summarized Source Data'!$A520,Sector,'Summarized Source Data'!G$2,Subsector,'Summarized Source Data'!G$3,TimeOfWeek,$E520)*INDEX(About!C$79:C$82,MATCH($B520,About!$A$79:$A$82,0),1)</f>
        <v>639911</v>
      </c>
      <c r="H520" s="27">
        <f>SUMIFS(INDEX(Load,,MATCH('Summarized Source Data'!$C520,Hour,0)),Month,'Summarized Source Data'!$A520,Sector,'Summarized Source Data'!H$2,Subsector,'Summarized Source Data'!H$3,TimeOfWeek,$E520)*INDEX(About!D$79:D$82,MATCH($B520,About!$A$79:$A$82,0),1)</f>
        <v>0</v>
      </c>
      <c r="I520" s="27">
        <f>SUMIFS(INDEX(Load,,MATCH('Summarized Source Data'!$C520,Hour,0)),Month,'Summarized Source Data'!$A520,Sector,'Summarized Source Data'!I$2,Subsector,'Summarized Source Data'!I$3,TimeOfWeek,$E520)*INDEX(About!E$79:E$82,MATCH($B520,About!$A$79:$A$82,0),1)</f>
        <v>8227652</v>
      </c>
      <c r="J520" s="54">
        <f t="shared" si="43"/>
        <v>91191871</v>
      </c>
      <c r="K520" s="27">
        <f>(SUMIFS(INDEX(Load,,MATCH('Summarized Source Data'!$C520,Hour,0)),Month,'Summarized Source Data'!$A520,Sector,'Summarized Source Data'!K$2,Subsector,"Total",TimeOfWeek,$E520)-SUM(F520:I520))*INDEX(About!G$79:G$82,MATCH($B520,About!$A$79:$A$82,0),1)</f>
        <v>91191871</v>
      </c>
      <c r="L520" s="27">
        <f>SUMIFS(INDEX(Load,,MATCH('Summarized Source Data'!$C520,Hour,0)),Month,'Summarized Source Data'!$A520,Sector,'Summarized Source Data'!L$2,Subsector,'Summarized Source Data'!L$3,TimeOfWeek,$E520)*INDEX(About!H$79:H$82,MATCH($B520,About!$A$79:$A$82,0),1)</f>
        <v>4089644</v>
      </c>
      <c r="M520" s="27">
        <f>SUMIFS(INDEX(Load,,MATCH('Summarized Source Data'!$C520,Hour,0)),Month,'Summarized Source Data'!$A520,Sector,'Summarized Source Data'!M$2,Subsector,'Summarized Source Data'!M$3,TimeOfWeek,$E520)*INDEX(About!I$79:I$82,MATCH($B520,About!$A$79:$A$82,0),1)</f>
        <v>997681</v>
      </c>
      <c r="N520" s="27">
        <f>SUMIFS(INDEX(Load,,MATCH('Summarized Source Data'!$C520,Hour,0)),Month,'Summarized Source Data'!$A520,Sector,'Summarized Source Data'!N$2,Subsector,'Summarized Source Data'!N$3,TimeOfWeek,$E520)*INDEX(About!J$79:J$82,MATCH($B520,About!$A$79:$A$82,0),1)</f>
        <v>0</v>
      </c>
      <c r="O520" s="29">
        <f t="shared" si="44"/>
        <v>126912675</v>
      </c>
      <c r="P520" s="27">
        <f>(SUMIFS(INDEX(Load,,MATCH('Summarized Source Data'!$C520,Hour,0)),Month,'Summarized Source Data'!$A520,Sector,'Summarized Source Data'!P$2,Subsector,"Total",TimeOfWeek,$E520)-SUM(L520:N520)*INDEX(About!L$79:L$82,MATCH($B520,About!$A$79:$A$82,0),1))</f>
        <v>126912675</v>
      </c>
      <c r="Q520" s="29">
        <f t="shared" si="45"/>
        <v>126912675</v>
      </c>
      <c r="R520" s="33">
        <f>SUMIFS(INDEX(Load,,MATCH('Summarized Source Data'!$C520,Hour,0)),Month,'Summarized Source Data'!$A520,Sector,'Summarized Source Data'!R$2,TimeOfWeek,$E520)*INDEX(About!N$79:N$82,MATCH($B520,About!$A$79:$A$82,0),1)</f>
        <v>5868659</v>
      </c>
      <c r="S520" s="33">
        <f>SUMIFS(INDEX(Load,,MATCH('Summarized Source Data'!$C520,Hour,0)),Month,'Summarized Source Data'!$A520,Sector,'Summarized Source Data'!S$2,TimeOfWeek,$E520)*INDEX(About!O$79:O$82,MATCH($B520,About!$A$79:$A$82,0),1)</f>
        <v>5868659</v>
      </c>
      <c r="T520" s="33">
        <f>SUMIFS(INDEX(Load,,MATCH('Summarized Source Data'!$C520,Hour,0)),Month,'Summarized Source Data'!$A520,Sector,'Summarized Source Data'!T$2,TimeOfWeek,$E520)*INDEX(About!P$79:P$82,MATCH($B520,About!$A$79:$A$82,0),1)</f>
        <v>5868659</v>
      </c>
      <c r="U520" s="33">
        <f>SUMIFS(INDEX(Load,,MATCH('Summarized Source Data'!$C520,Hour,0)),Month,'Summarized Source Data'!$A520,Sector,'Summarized Source Data'!U$2,TimeOfWeek,$E520)*INDEX(About!Q$79:Q$82,MATCH($B520,About!$A$79:$A$82,0),1)</f>
        <v>5868659</v>
      </c>
      <c r="V520" s="33">
        <f>SUMIFS(INDEX(Load,,MATCH('Summarized Source Data'!$C520,Hour,0)),Month,'Summarized Source Data'!$A520,Sector,'Summarized Source Data'!V$2,TimeOfWeek,$E520)*INDEX(About!R$79:R$82,MATCH($B520,About!$A$79:$A$82,0),1)</f>
        <v>5868659</v>
      </c>
      <c r="W520" s="33">
        <f>SUMIFS(INDEX(Load,,MATCH('Summarized Source Data'!$C520,Hour,0)),Month,'Summarized Source Data'!$A520,Sector,'Summarized Source Data'!W$2,TimeOfWeek,$E520)*INDEX(About!S$79:S$82,MATCH($B520,About!$A$79:$A$82,0),1)</f>
        <v>5868659</v>
      </c>
      <c r="X520" s="27">
        <f>SUMIFS(INDEX(Load,,MATCH('Summarized Source Data'!$C520,Hour,0)),Month,'Summarized Source Data'!$A520,Sector,'Summarized Source Data'!X$2,Subsector,'Summarized Source Data'!X$3,TimeOfWeek,$E520)*INDEX(About!T$79:T$82,MATCH($B520,About!$A$79:$A$82,0),1)</f>
        <v>343000000</v>
      </c>
      <c r="Y520" s="29">
        <f t="shared" si="46"/>
        <v>343000000</v>
      </c>
      <c r="Z520" s="29">
        <f t="shared" si="46"/>
        <v>343000000</v>
      </c>
    </row>
    <row r="521" spans="1:26" x14ac:dyDescent="0.3">
      <c r="A521">
        <f t="shared" si="41"/>
        <v>10</v>
      </c>
      <c r="B521" t="str">
        <f>INDEX('Category Mapping'!$G$28:$G$39,MATCH(A521,'Category Mapping'!$A$28:$A$39,0),1)</f>
        <v>Fall</v>
      </c>
      <c r="C521" t="s">
        <v>76</v>
      </c>
      <c r="D521" s="6" t="s">
        <v>151</v>
      </c>
      <c r="E521" s="46" t="s">
        <v>48</v>
      </c>
      <c r="F521" s="27">
        <f>SUMIFS(INDEX(Load,,MATCH('Summarized Source Data'!$C521,Hour,0)),Month,'Summarized Source Data'!$A521,Sector,'Summarized Source Data'!F$2,Subsector,'Summarized Source Data'!F$3,TimeOfWeek,$E521)*INDEX(About!B$79:B$82,MATCH($B521,About!$A$79:$A$82,0),1)</f>
        <v>2938187</v>
      </c>
      <c r="G521" s="27">
        <f>SUMIFS(INDEX(Load,,MATCH('Summarized Source Data'!$C521,Hour,0)),Month,'Summarized Source Data'!$A521,Sector,'Summarized Source Data'!G$2,Subsector,'Summarized Source Data'!G$3,TimeOfWeek,$E521)*INDEX(About!C$79:C$82,MATCH($B521,About!$A$79:$A$82,0),1)</f>
        <v>907600</v>
      </c>
      <c r="H521" s="27">
        <f>SUMIFS(INDEX(Load,,MATCH('Summarized Source Data'!$C521,Hour,0)),Month,'Summarized Source Data'!$A521,Sector,'Summarized Source Data'!H$2,Subsector,'Summarized Source Data'!H$3,TimeOfWeek,$E521)*INDEX(About!D$79:D$82,MATCH($B521,About!$A$79:$A$82,0),1)</f>
        <v>0</v>
      </c>
      <c r="I521" s="27">
        <f>SUMIFS(INDEX(Load,,MATCH('Summarized Source Data'!$C521,Hour,0)),Month,'Summarized Source Data'!$A521,Sector,'Summarized Source Data'!I$2,Subsector,'Summarized Source Data'!I$3,TimeOfWeek,$E521)*INDEX(About!E$79:E$82,MATCH($B521,About!$A$79:$A$82,0),1)</f>
        <v>8217109</v>
      </c>
      <c r="J521" s="54">
        <f t="shared" si="43"/>
        <v>79837104</v>
      </c>
      <c r="K521" s="27">
        <f>(SUMIFS(INDEX(Load,,MATCH('Summarized Source Data'!$C521,Hour,0)),Month,'Summarized Source Data'!$A521,Sector,'Summarized Source Data'!K$2,Subsector,"Total",TimeOfWeek,$E521)-SUM(F521:I521))*INDEX(About!G$79:G$82,MATCH($B521,About!$A$79:$A$82,0),1)</f>
        <v>79837104</v>
      </c>
      <c r="L521" s="27">
        <f>SUMIFS(INDEX(Load,,MATCH('Summarized Source Data'!$C521,Hour,0)),Month,'Summarized Source Data'!$A521,Sector,'Summarized Source Data'!L$2,Subsector,'Summarized Source Data'!L$3,TimeOfWeek,$E521)*INDEX(About!H$79:H$82,MATCH($B521,About!$A$79:$A$82,0),1)</f>
        <v>3841211</v>
      </c>
      <c r="M521" s="27">
        <f>SUMIFS(INDEX(Load,,MATCH('Summarized Source Data'!$C521,Hour,0)),Month,'Summarized Source Data'!$A521,Sector,'Summarized Source Data'!M$2,Subsector,'Summarized Source Data'!M$3,TimeOfWeek,$E521)*INDEX(About!I$79:I$82,MATCH($B521,About!$A$79:$A$82,0),1)</f>
        <v>1042325</v>
      </c>
      <c r="N521" s="27">
        <f>SUMIFS(INDEX(Load,,MATCH('Summarized Source Data'!$C521,Hour,0)),Month,'Summarized Source Data'!$A521,Sector,'Summarized Source Data'!N$2,Subsector,'Summarized Source Data'!N$3,TimeOfWeek,$E521)*INDEX(About!J$79:J$82,MATCH($B521,About!$A$79:$A$82,0),1)</f>
        <v>0</v>
      </c>
      <c r="O521" s="29">
        <f t="shared" si="44"/>
        <v>122116464</v>
      </c>
      <c r="P521" s="27">
        <f>(SUMIFS(INDEX(Load,,MATCH('Summarized Source Data'!$C521,Hour,0)),Month,'Summarized Source Data'!$A521,Sector,'Summarized Source Data'!P$2,Subsector,"Total",TimeOfWeek,$E521)-SUM(L521:N521)*INDEX(About!L$79:L$82,MATCH($B521,About!$A$79:$A$82,0),1))</f>
        <v>122116464</v>
      </c>
      <c r="Q521" s="29">
        <f t="shared" si="45"/>
        <v>122116464</v>
      </c>
      <c r="R521" s="33">
        <f>SUMIFS(INDEX(Load,,MATCH('Summarized Source Data'!$C521,Hour,0)),Month,'Summarized Source Data'!$A521,Sector,'Summarized Source Data'!R$2,TimeOfWeek,$E521)*INDEX(About!N$79:N$82,MATCH($B521,About!$A$79:$A$82,0),1)</f>
        <v>5588090</v>
      </c>
      <c r="S521" s="33">
        <f>SUMIFS(INDEX(Load,,MATCH('Summarized Source Data'!$C521,Hour,0)),Month,'Summarized Source Data'!$A521,Sector,'Summarized Source Data'!S$2,TimeOfWeek,$E521)*INDEX(About!O$79:O$82,MATCH($B521,About!$A$79:$A$82,0),1)</f>
        <v>5588090</v>
      </c>
      <c r="T521" s="33">
        <f>SUMIFS(INDEX(Load,,MATCH('Summarized Source Data'!$C521,Hour,0)),Month,'Summarized Source Data'!$A521,Sector,'Summarized Source Data'!T$2,TimeOfWeek,$E521)*INDEX(About!P$79:P$82,MATCH($B521,About!$A$79:$A$82,0),1)</f>
        <v>5588090</v>
      </c>
      <c r="U521" s="33">
        <f>SUMIFS(INDEX(Load,,MATCH('Summarized Source Data'!$C521,Hour,0)),Month,'Summarized Source Data'!$A521,Sector,'Summarized Source Data'!U$2,TimeOfWeek,$E521)*INDEX(About!Q$79:Q$82,MATCH($B521,About!$A$79:$A$82,0),1)</f>
        <v>5588090</v>
      </c>
      <c r="V521" s="33">
        <f>SUMIFS(INDEX(Load,,MATCH('Summarized Source Data'!$C521,Hour,0)),Month,'Summarized Source Data'!$A521,Sector,'Summarized Source Data'!V$2,TimeOfWeek,$E521)*INDEX(About!R$79:R$82,MATCH($B521,About!$A$79:$A$82,0),1)</f>
        <v>5588090</v>
      </c>
      <c r="W521" s="33">
        <f>SUMIFS(INDEX(Load,,MATCH('Summarized Source Data'!$C521,Hour,0)),Month,'Summarized Source Data'!$A521,Sector,'Summarized Source Data'!W$2,TimeOfWeek,$E521)*INDEX(About!S$79:S$82,MATCH($B521,About!$A$79:$A$82,0),1)</f>
        <v>5588090</v>
      </c>
      <c r="X521" s="27">
        <f>SUMIFS(INDEX(Load,,MATCH('Summarized Source Data'!$C521,Hour,0)),Month,'Summarized Source Data'!$A521,Sector,'Summarized Source Data'!X$2,Subsector,'Summarized Source Data'!X$3,TimeOfWeek,$E521)*INDEX(About!T$79:T$82,MATCH($B521,About!$A$79:$A$82,0),1)</f>
        <v>343000000</v>
      </c>
      <c r="Y521" s="29">
        <f t="shared" si="46"/>
        <v>343000000</v>
      </c>
      <c r="Z521" s="29">
        <f t="shared" si="46"/>
        <v>343000000</v>
      </c>
    </row>
    <row r="522" spans="1:26" x14ac:dyDescent="0.3">
      <c r="A522">
        <f t="shared" si="41"/>
        <v>10</v>
      </c>
      <c r="B522" t="str">
        <f>INDEX('Category Mapping'!$G$28:$G$39,MATCH(A522,'Category Mapping'!$A$28:$A$39,0),1)</f>
        <v>Fall</v>
      </c>
      <c r="C522" t="s">
        <v>77</v>
      </c>
      <c r="D522" s="6" t="s">
        <v>152</v>
      </c>
      <c r="E522" s="46" t="s">
        <v>48</v>
      </c>
      <c r="F522" s="27">
        <f>SUMIFS(INDEX(Load,,MATCH('Summarized Source Data'!$C522,Hour,0)),Month,'Summarized Source Data'!$A522,Sector,'Summarized Source Data'!F$2,Subsector,'Summarized Source Data'!F$3,TimeOfWeek,$E522)*INDEX(About!B$79:B$82,MATCH($B522,About!$A$79:$A$82,0),1)</f>
        <v>2918681</v>
      </c>
      <c r="G522" s="27">
        <f>SUMIFS(INDEX(Load,,MATCH('Summarized Source Data'!$C522,Hour,0)),Month,'Summarized Source Data'!$A522,Sector,'Summarized Source Data'!G$2,Subsector,'Summarized Source Data'!G$3,TimeOfWeek,$E522)*INDEX(About!C$79:C$82,MATCH($B522,About!$A$79:$A$82,0),1)</f>
        <v>998027</v>
      </c>
      <c r="H522" s="27">
        <f>SUMIFS(INDEX(Load,,MATCH('Summarized Source Data'!$C522,Hour,0)),Month,'Summarized Source Data'!$A522,Sector,'Summarized Source Data'!H$2,Subsector,'Summarized Source Data'!H$3,TimeOfWeek,$E522)*INDEX(About!D$79:D$82,MATCH($B522,About!$A$79:$A$82,0),1)</f>
        <v>0</v>
      </c>
      <c r="I522" s="27">
        <f>SUMIFS(INDEX(Load,,MATCH('Summarized Source Data'!$C522,Hour,0)),Month,'Summarized Source Data'!$A522,Sector,'Summarized Source Data'!I$2,Subsector,'Summarized Source Data'!I$3,TimeOfWeek,$E522)*INDEX(About!E$79:E$82,MATCH($B522,About!$A$79:$A$82,0),1)</f>
        <v>8130648</v>
      </c>
      <c r="J522" s="54">
        <f t="shared" si="43"/>
        <v>83552644</v>
      </c>
      <c r="K522" s="27">
        <f>(SUMIFS(INDEX(Load,,MATCH('Summarized Source Data'!$C522,Hour,0)),Month,'Summarized Source Data'!$A522,Sector,'Summarized Source Data'!K$2,Subsector,"Total",TimeOfWeek,$E522)-SUM(F522:I522))*INDEX(About!G$79:G$82,MATCH($B522,About!$A$79:$A$82,0),1)</f>
        <v>83552644</v>
      </c>
      <c r="L522" s="27">
        <f>SUMIFS(INDEX(Load,,MATCH('Summarized Source Data'!$C522,Hour,0)),Month,'Summarized Source Data'!$A522,Sector,'Summarized Source Data'!L$2,Subsector,'Summarized Source Data'!L$3,TimeOfWeek,$E522)*INDEX(About!H$79:H$82,MATCH($B522,About!$A$79:$A$82,0),1)</f>
        <v>3863725</v>
      </c>
      <c r="M522" s="27">
        <f>SUMIFS(INDEX(Load,,MATCH('Summarized Source Data'!$C522,Hour,0)),Month,'Summarized Source Data'!$A522,Sector,'Summarized Source Data'!M$2,Subsector,'Summarized Source Data'!M$3,TimeOfWeek,$E522)*INDEX(About!I$79:I$82,MATCH($B522,About!$A$79:$A$82,0),1)</f>
        <v>1058118</v>
      </c>
      <c r="N522" s="27">
        <f>SUMIFS(INDEX(Load,,MATCH('Summarized Source Data'!$C522,Hour,0)),Month,'Summarized Source Data'!$A522,Sector,'Summarized Source Data'!N$2,Subsector,'Summarized Source Data'!N$3,TimeOfWeek,$E522)*INDEX(About!J$79:J$82,MATCH($B522,About!$A$79:$A$82,0),1)</f>
        <v>0</v>
      </c>
      <c r="O522" s="29">
        <f t="shared" si="44"/>
        <v>116078157</v>
      </c>
      <c r="P522" s="27">
        <f>(SUMIFS(INDEX(Load,,MATCH('Summarized Source Data'!$C522,Hour,0)),Month,'Summarized Source Data'!$A522,Sector,'Summarized Source Data'!P$2,Subsector,"Total",TimeOfWeek,$E522)-SUM(L522:N522)*INDEX(About!L$79:L$82,MATCH($B522,About!$A$79:$A$82,0),1))</f>
        <v>116078157</v>
      </c>
      <c r="Q522" s="29">
        <f t="shared" si="45"/>
        <v>116078157</v>
      </c>
      <c r="R522" s="33">
        <f>SUMIFS(INDEX(Load,,MATCH('Summarized Source Data'!$C522,Hour,0)),Month,'Summarized Source Data'!$A522,Sector,'Summarized Source Data'!R$2,TimeOfWeek,$E522)*INDEX(About!N$79:N$82,MATCH($B522,About!$A$79:$A$82,0),1)</f>
        <v>5517824</v>
      </c>
      <c r="S522" s="33">
        <f>SUMIFS(INDEX(Load,,MATCH('Summarized Source Data'!$C522,Hour,0)),Month,'Summarized Source Data'!$A522,Sector,'Summarized Source Data'!S$2,TimeOfWeek,$E522)*INDEX(About!O$79:O$82,MATCH($B522,About!$A$79:$A$82,0),1)</f>
        <v>5517824</v>
      </c>
      <c r="T522" s="33">
        <f>SUMIFS(INDEX(Load,,MATCH('Summarized Source Data'!$C522,Hour,0)),Month,'Summarized Source Data'!$A522,Sector,'Summarized Source Data'!T$2,TimeOfWeek,$E522)*INDEX(About!P$79:P$82,MATCH($B522,About!$A$79:$A$82,0),1)</f>
        <v>5517824</v>
      </c>
      <c r="U522" s="33">
        <f>SUMIFS(INDEX(Load,,MATCH('Summarized Source Data'!$C522,Hour,0)),Month,'Summarized Source Data'!$A522,Sector,'Summarized Source Data'!U$2,TimeOfWeek,$E522)*INDEX(About!Q$79:Q$82,MATCH($B522,About!$A$79:$A$82,0),1)</f>
        <v>5517824</v>
      </c>
      <c r="V522" s="33">
        <f>SUMIFS(INDEX(Load,,MATCH('Summarized Source Data'!$C522,Hour,0)),Month,'Summarized Source Data'!$A522,Sector,'Summarized Source Data'!V$2,TimeOfWeek,$E522)*INDEX(About!R$79:R$82,MATCH($B522,About!$A$79:$A$82,0),1)</f>
        <v>5517824</v>
      </c>
      <c r="W522" s="33">
        <f>SUMIFS(INDEX(Load,,MATCH('Summarized Source Data'!$C522,Hour,0)),Month,'Summarized Source Data'!$A522,Sector,'Summarized Source Data'!W$2,TimeOfWeek,$E522)*INDEX(About!S$79:S$82,MATCH($B522,About!$A$79:$A$82,0),1)</f>
        <v>5517824</v>
      </c>
      <c r="X522" s="27">
        <f>SUMIFS(INDEX(Load,,MATCH('Summarized Source Data'!$C522,Hour,0)),Month,'Summarized Source Data'!$A522,Sector,'Summarized Source Data'!X$2,Subsector,'Summarized Source Data'!X$3,TimeOfWeek,$E522)*INDEX(About!T$79:T$82,MATCH($B522,About!$A$79:$A$82,0),1)</f>
        <v>345000000</v>
      </c>
      <c r="Y522" s="29">
        <f t="shared" si="46"/>
        <v>345000000</v>
      </c>
      <c r="Z522" s="29">
        <f t="shared" si="46"/>
        <v>345000000</v>
      </c>
    </row>
    <row r="523" spans="1:26" x14ac:dyDescent="0.3">
      <c r="A523">
        <f t="shared" si="41"/>
        <v>10</v>
      </c>
      <c r="B523" t="str">
        <f>INDEX('Category Mapping'!$G$28:$G$39,MATCH(A523,'Category Mapping'!$A$28:$A$39,0),1)</f>
        <v>Fall</v>
      </c>
      <c r="C523" t="s">
        <v>78</v>
      </c>
      <c r="D523" s="6" t="s">
        <v>153</v>
      </c>
      <c r="E523" s="46" t="s">
        <v>48</v>
      </c>
      <c r="F523" s="27">
        <f>SUMIFS(INDEX(Load,,MATCH('Summarized Source Data'!$C523,Hour,0)),Month,'Summarized Source Data'!$A523,Sector,'Summarized Source Data'!F$2,Subsector,'Summarized Source Data'!F$3,TimeOfWeek,$E523)*INDEX(About!B$79:B$82,MATCH($B523,About!$A$79:$A$82,0),1)</f>
        <v>2923284</v>
      </c>
      <c r="G523" s="27">
        <f>SUMIFS(INDEX(Load,,MATCH('Summarized Source Data'!$C523,Hour,0)),Month,'Summarized Source Data'!$A523,Sector,'Summarized Source Data'!G$2,Subsector,'Summarized Source Data'!G$3,TimeOfWeek,$E523)*INDEX(About!C$79:C$82,MATCH($B523,About!$A$79:$A$82,0),1)</f>
        <v>902811</v>
      </c>
      <c r="H523" s="27">
        <f>SUMIFS(INDEX(Load,,MATCH('Summarized Source Data'!$C523,Hour,0)),Month,'Summarized Source Data'!$A523,Sector,'Summarized Source Data'!H$2,Subsector,'Summarized Source Data'!H$3,TimeOfWeek,$E523)*INDEX(About!D$79:D$82,MATCH($B523,About!$A$79:$A$82,0),1)</f>
        <v>0</v>
      </c>
      <c r="I523" s="27">
        <f>SUMIFS(INDEX(Load,,MATCH('Summarized Source Data'!$C523,Hour,0)),Month,'Summarized Source Data'!$A523,Sector,'Summarized Source Data'!I$2,Subsector,'Summarized Source Data'!I$3,TimeOfWeek,$E523)*INDEX(About!E$79:E$82,MATCH($B523,About!$A$79:$A$82,0),1)</f>
        <v>8151052</v>
      </c>
      <c r="J523" s="54">
        <f t="shared" si="43"/>
        <v>87122853</v>
      </c>
      <c r="K523" s="27">
        <f>(SUMIFS(INDEX(Load,,MATCH('Summarized Source Data'!$C523,Hour,0)),Month,'Summarized Source Data'!$A523,Sector,'Summarized Source Data'!K$2,Subsector,"Total",TimeOfWeek,$E523)-SUM(F523:I523))*INDEX(About!G$79:G$82,MATCH($B523,About!$A$79:$A$82,0),1)</f>
        <v>87122853</v>
      </c>
      <c r="L523" s="27">
        <f>SUMIFS(INDEX(Load,,MATCH('Summarized Source Data'!$C523,Hour,0)),Month,'Summarized Source Data'!$A523,Sector,'Summarized Source Data'!L$2,Subsector,'Summarized Source Data'!L$3,TimeOfWeek,$E523)*INDEX(About!H$79:H$82,MATCH($B523,About!$A$79:$A$82,0),1)</f>
        <v>3514485</v>
      </c>
      <c r="M523" s="27">
        <f>SUMIFS(INDEX(Load,,MATCH('Summarized Source Data'!$C523,Hour,0)),Month,'Summarized Source Data'!$A523,Sector,'Summarized Source Data'!M$2,Subsector,'Summarized Source Data'!M$3,TimeOfWeek,$E523)*INDEX(About!I$79:I$82,MATCH($B523,About!$A$79:$A$82,0),1)</f>
        <v>1042521</v>
      </c>
      <c r="N523" s="27">
        <f>SUMIFS(INDEX(Load,,MATCH('Summarized Source Data'!$C523,Hour,0)),Month,'Summarized Source Data'!$A523,Sector,'Summarized Source Data'!N$2,Subsector,'Summarized Source Data'!N$3,TimeOfWeek,$E523)*INDEX(About!J$79:J$82,MATCH($B523,About!$A$79:$A$82,0),1)</f>
        <v>0</v>
      </c>
      <c r="O523" s="29">
        <f t="shared" si="44"/>
        <v>107442994</v>
      </c>
      <c r="P523" s="27">
        <f>(SUMIFS(INDEX(Load,,MATCH('Summarized Source Data'!$C523,Hour,0)),Month,'Summarized Source Data'!$A523,Sector,'Summarized Source Data'!P$2,Subsector,"Total",TimeOfWeek,$E523)-SUM(L523:N523)*INDEX(About!L$79:L$82,MATCH($B523,About!$A$79:$A$82,0),1))</f>
        <v>107442994</v>
      </c>
      <c r="Q523" s="29">
        <f t="shared" si="45"/>
        <v>107442994</v>
      </c>
      <c r="R523" s="33">
        <f>SUMIFS(INDEX(Load,,MATCH('Summarized Source Data'!$C523,Hour,0)),Month,'Summarized Source Data'!$A523,Sector,'Summarized Source Data'!R$2,TimeOfWeek,$E523)*INDEX(About!N$79:N$82,MATCH($B523,About!$A$79:$A$82,0),1)</f>
        <v>5412426</v>
      </c>
      <c r="S523" s="33">
        <f>SUMIFS(INDEX(Load,,MATCH('Summarized Source Data'!$C523,Hour,0)),Month,'Summarized Source Data'!$A523,Sector,'Summarized Source Data'!S$2,TimeOfWeek,$E523)*INDEX(About!O$79:O$82,MATCH($B523,About!$A$79:$A$82,0),1)</f>
        <v>5412426</v>
      </c>
      <c r="T523" s="33">
        <f>SUMIFS(INDEX(Load,,MATCH('Summarized Source Data'!$C523,Hour,0)),Month,'Summarized Source Data'!$A523,Sector,'Summarized Source Data'!T$2,TimeOfWeek,$E523)*INDEX(About!P$79:P$82,MATCH($B523,About!$A$79:$A$82,0),1)</f>
        <v>5412426</v>
      </c>
      <c r="U523" s="33">
        <f>SUMIFS(INDEX(Load,,MATCH('Summarized Source Data'!$C523,Hour,0)),Month,'Summarized Source Data'!$A523,Sector,'Summarized Source Data'!U$2,TimeOfWeek,$E523)*INDEX(About!Q$79:Q$82,MATCH($B523,About!$A$79:$A$82,0),1)</f>
        <v>5412426</v>
      </c>
      <c r="V523" s="33">
        <f>SUMIFS(INDEX(Load,,MATCH('Summarized Source Data'!$C523,Hour,0)),Month,'Summarized Source Data'!$A523,Sector,'Summarized Source Data'!V$2,TimeOfWeek,$E523)*INDEX(About!R$79:R$82,MATCH($B523,About!$A$79:$A$82,0),1)</f>
        <v>5412426</v>
      </c>
      <c r="W523" s="33">
        <f>SUMIFS(INDEX(Load,,MATCH('Summarized Source Data'!$C523,Hour,0)),Month,'Summarized Source Data'!$A523,Sector,'Summarized Source Data'!W$2,TimeOfWeek,$E523)*INDEX(About!S$79:S$82,MATCH($B523,About!$A$79:$A$82,0),1)</f>
        <v>5412426</v>
      </c>
      <c r="X523" s="27">
        <f>SUMIFS(INDEX(Load,,MATCH('Summarized Source Data'!$C523,Hour,0)),Month,'Summarized Source Data'!$A523,Sector,'Summarized Source Data'!X$2,Subsector,'Summarized Source Data'!X$3,TimeOfWeek,$E523)*INDEX(About!T$79:T$82,MATCH($B523,About!$A$79:$A$82,0),1)</f>
        <v>348000000</v>
      </c>
      <c r="Y523" s="29">
        <f t="shared" si="46"/>
        <v>348000000</v>
      </c>
      <c r="Z523" s="29">
        <f t="shared" si="46"/>
        <v>348000000</v>
      </c>
    </row>
    <row r="524" spans="1:26" x14ac:dyDescent="0.3">
      <c r="A524">
        <f t="shared" si="41"/>
        <v>10</v>
      </c>
      <c r="B524" t="str">
        <f>INDEX('Category Mapping'!$G$28:$G$39,MATCH(A524,'Category Mapping'!$A$28:$A$39,0),1)</f>
        <v>Fall</v>
      </c>
      <c r="C524" t="s">
        <v>79</v>
      </c>
      <c r="D524" s="6" t="s">
        <v>154</v>
      </c>
      <c r="E524" s="46" t="s">
        <v>48</v>
      </c>
      <c r="F524" s="27">
        <f>SUMIFS(INDEX(Load,,MATCH('Summarized Source Data'!$C524,Hour,0)),Month,'Summarized Source Data'!$A524,Sector,'Summarized Source Data'!F$2,Subsector,'Summarized Source Data'!F$3,TimeOfWeek,$E524)*INDEX(About!B$79:B$82,MATCH($B524,About!$A$79:$A$82,0),1)</f>
        <v>2973502</v>
      </c>
      <c r="G524" s="27">
        <f>SUMIFS(INDEX(Load,,MATCH('Summarized Source Data'!$C524,Hour,0)),Month,'Summarized Source Data'!$A524,Sector,'Summarized Source Data'!G$2,Subsector,'Summarized Source Data'!G$3,TimeOfWeek,$E524)*INDEX(About!C$79:C$82,MATCH($B524,About!$A$79:$A$82,0),1)</f>
        <v>647631</v>
      </c>
      <c r="H524" s="27">
        <f>SUMIFS(INDEX(Load,,MATCH('Summarized Source Data'!$C524,Hour,0)),Month,'Summarized Source Data'!$A524,Sector,'Summarized Source Data'!H$2,Subsector,'Summarized Source Data'!H$3,TimeOfWeek,$E524)*INDEX(About!D$79:D$82,MATCH($B524,About!$A$79:$A$82,0),1)</f>
        <v>0</v>
      </c>
      <c r="I524" s="27">
        <f>SUMIFS(INDEX(Load,,MATCH('Summarized Source Data'!$C524,Hour,0)),Month,'Summarized Source Data'!$A524,Sector,'Summarized Source Data'!I$2,Subsector,'Summarized Source Data'!I$3,TimeOfWeek,$E524)*INDEX(About!E$79:E$82,MATCH($B524,About!$A$79:$A$82,0),1)</f>
        <v>10300000</v>
      </c>
      <c r="J524" s="54">
        <f t="shared" si="43"/>
        <v>93078867</v>
      </c>
      <c r="K524" s="27">
        <f>(SUMIFS(INDEX(Load,,MATCH('Summarized Source Data'!$C524,Hour,0)),Month,'Summarized Source Data'!$A524,Sector,'Summarized Source Data'!K$2,Subsector,"Total",TimeOfWeek,$E524)-SUM(F524:I524))*INDEX(About!G$79:G$82,MATCH($B524,About!$A$79:$A$82,0),1)</f>
        <v>93078867</v>
      </c>
      <c r="L524" s="27">
        <f>SUMIFS(INDEX(Load,,MATCH('Summarized Source Data'!$C524,Hour,0)),Month,'Summarized Source Data'!$A524,Sector,'Summarized Source Data'!L$2,Subsector,'Summarized Source Data'!L$3,TimeOfWeek,$E524)*INDEX(About!H$79:H$82,MATCH($B524,About!$A$79:$A$82,0),1)</f>
        <v>3584994</v>
      </c>
      <c r="M524" s="27">
        <f>SUMIFS(INDEX(Load,,MATCH('Summarized Source Data'!$C524,Hour,0)),Month,'Summarized Source Data'!$A524,Sector,'Summarized Source Data'!M$2,Subsector,'Summarized Source Data'!M$3,TimeOfWeek,$E524)*INDEX(About!I$79:I$82,MATCH($B524,About!$A$79:$A$82,0),1)</f>
        <v>988332</v>
      </c>
      <c r="N524" s="27">
        <f>SUMIFS(INDEX(Load,,MATCH('Summarized Source Data'!$C524,Hour,0)),Month,'Summarized Source Data'!$A524,Sector,'Summarized Source Data'!N$2,Subsector,'Summarized Source Data'!N$3,TimeOfWeek,$E524)*INDEX(About!J$79:J$82,MATCH($B524,About!$A$79:$A$82,0),1)</f>
        <v>0</v>
      </c>
      <c r="O524" s="29">
        <f t="shared" si="44"/>
        <v>102426674</v>
      </c>
      <c r="P524" s="27">
        <f>(SUMIFS(INDEX(Load,,MATCH('Summarized Source Data'!$C524,Hour,0)),Month,'Summarized Source Data'!$A524,Sector,'Summarized Source Data'!P$2,Subsector,"Total",TimeOfWeek,$E524)-SUM(L524:N524)*INDEX(About!L$79:L$82,MATCH($B524,About!$A$79:$A$82,0),1))</f>
        <v>102426674</v>
      </c>
      <c r="Q524" s="29">
        <f t="shared" si="45"/>
        <v>102426674</v>
      </c>
      <c r="R524" s="33">
        <f>SUMIFS(INDEX(Load,,MATCH('Summarized Source Data'!$C524,Hour,0)),Month,'Summarized Source Data'!$A524,Sector,'Summarized Source Data'!R$2,TimeOfWeek,$E524)*INDEX(About!N$79:N$82,MATCH($B524,About!$A$79:$A$82,0),1)</f>
        <v>6202559</v>
      </c>
      <c r="S524" s="33">
        <f>SUMIFS(INDEX(Load,,MATCH('Summarized Source Data'!$C524,Hour,0)),Month,'Summarized Source Data'!$A524,Sector,'Summarized Source Data'!S$2,TimeOfWeek,$E524)*INDEX(About!O$79:O$82,MATCH($B524,About!$A$79:$A$82,0),1)</f>
        <v>6202559</v>
      </c>
      <c r="T524" s="33">
        <f>SUMIFS(INDEX(Load,,MATCH('Summarized Source Data'!$C524,Hour,0)),Month,'Summarized Source Data'!$A524,Sector,'Summarized Source Data'!T$2,TimeOfWeek,$E524)*INDEX(About!P$79:P$82,MATCH($B524,About!$A$79:$A$82,0),1)</f>
        <v>6202559</v>
      </c>
      <c r="U524" s="33">
        <f>SUMIFS(INDEX(Load,,MATCH('Summarized Source Data'!$C524,Hour,0)),Month,'Summarized Source Data'!$A524,Sector,'Summarized Source Data'!U$2,TimeOfWeek,$E524)*INDEX(About!Q$79:Q$82,MATCH($B524,About!$A$79:$A$82,0),1)</f>
        <v>6202559</v>
      </c>
      <c r="V524" s="33">
        <f>SUMIFS(INDEX(Load,,MATCH('Summarized Source Data'!$C524,Hour,0)),Month,'Summarized Source Data'!$A524,Sector,'Summarized Source Data'!V$2,TimeOfWeek,$E524)*INDEX(About!R$79:R$82,MATCH($B524,About!$A$79:$A$82,0),1)</f>
        <v>6202559</v>
      </c>
      <c r="W524" s="33">
        <f>SUMIFS(INDEX(Load,,MATCH('Summarized Source Data'!$C524,Hour,0)),Month,'Summarized Source Data'!$A524,Sector,'Summarized Source Data'!W$2,TimeOfWeek,$E524)*INDEX(About!S$79:S$82,MATCH($B524,About!$A$79:$A$82,0),1)</f>
        <v>6202559</v>
      </c>
      <c r="X524" s="27">
        <f>SUMIFS(INDEX(Load,,MATCH('Summarized Source Data'!$C524,Hour,0)),Month,'Summarized Source Data'!$A524,Sector,'Summarized Source Data'!X$2,Subsector,'Summarized Source Data'!X$3,TimeOfWeek,$E524)*INDEX(About!T$79:T$82,MATCH($B524,About!$A$79:$A$82,0),1)</f>
        <v>352000000</v>
      </c>
      <c r="Y524" s="29">
        <f t="shared" si="46"/>
        <v>352000000</v>
      </c>
      <c r="Z524" s="29">
        <f t="shared" si="46"/>
        <v>352000000</v>
      </c>
    </row>
    <row r="525" spans="1:26" x14ac:dyDescent="0.3">
      <c r="A525">
        <f t="shared" si="41"/>
        <v>10</v>
      </c>
      <c r="B525" t="str">
        <f>INDEX('Category Mapping'!$G$28:$G$39,MATCH(A525,'Category Mapping'!$A$28:$A$39,0),1)</f>
        <v>Fall</v>
      </c>
      <c r="C525" t="s">
        <v>80</v>
      </c>
      <c r="D525" s="6" t="s">
        <v>155</v>
      </c>
      <c r="E525" s="46" t="s">
        <v>48</v>
      </c>
      <c r="F525" s="27">
        <f>SUMIFS(INDEX(Load,,MATCH('Summarized Source Data'!$C525,Hour,0)),Month,'Summarized Source Data'!$A525,Sector,'Summarized Source Data'!F$2,Subsector,'Summarized Source Data'!F$3,TimeOfWeek,$E525)*INDEX(About!B$79:B$82,MATCH($B525,About!$A$79:$A$82,0),1)</f>
        <v>3067250</v>
      </c>
      <c r="G525" s="27">
        <f>SUMIFS(INDEX(Load,,MATCH('Summarized Source Data'!$C525,Hour,0)),Month,'Summarized Source Data'!$A525,Sector,'Summarized Source Data'!G$2,Subsector,'Summarized Source Data'!G$3,TimeOfWeek,$E525)*INDEX(About!C$79:C$82,MATCH($B525,About!$A$79:$A$82,0),1)</f>
        <v>295854</v>
      </c>
      <c r="H525" s="27">
        <f>SUMIFS(INDEX(Load,,MATCH('Summarized Source Data'!$C525,Hour,0)),Month,'Summarized Source Data'!$A525,Sector,'Summarized Source Data'!H$2,Subsector,'Summarized Source Data'!H$3,TimeOfWeek,$E525)*INDEX(About!D$79:D$82,MATCH($B525,About!$A$79:$A$82,0),1)</f>
        <v>0</v>
      </c>
      <c r="I525" s="27">
        <f>SUMIFS(INDEX(Load,,MATCH('Summarized Source Data'!$C525,Hour,0)),Month,'Summarized Source Data'!$A525,Sector,'Summarized Source Data'!I$2,Subsector,'Summarized Source Data'!I$3,TimeOfWeek,$E525)*INDEX(About!E$79:E$82,MATCH($B525,About!$A$79:$A$82,0),1)</f>
        <v>29300000</v>
      </c>
      <c r="J525" s="54">
        <f t="shared" si="43"/>
        <v>93336896</v>
      </c>
      <c r="K525" s="27">
        <f>(SUMIFS(INDEX(Load,,MATCH('Summarized Source Data'!$C525,Hour,0)),Month,'Summarized Source Data'!$A525,Sector,'Summarized Source Data'!K$2,Subsector,"Total",TimeOfWeek,$E525)-SUM(F525:I525))*INDEX(About!G$79:G$82,MATCH($B525,About!$A$79:$A$82,0),1)</f>
        <v>93336896</v>
      </c>
      <c r="L525" s="27">
        <f>SUMIFS(INDEX(Load,,MATCH('Summarized Source Data'!$C525,Hour,0)),Month,'Summarized Source Data'!$A525,Sector,'Summarized Source Data'!L$2,Subsector,'Summarized Source Data'!L$3,TimeOfWeek,$E525)*INDEX(About!H$79:H$82,MATCH($B525,About!$A$79:$A$82,0),1)</f>
        <v>4156366</v>
      </c>
      <c r="M525" s="27">
        <f>SUMIFS(INDEX(Load,,MATCH('Summarized Source Data'!$C525,Hour,0)),Month,'Summarized Source Data'!$A525,Sector,'Summarized Source Data'!M$2,Subsector,'Summarized Source Data'!M$3,TimeOfWeek,$E525)*INDEX(About!I$79:I$82,MATCH($B525,About!$A$79:$A$82,0),1)</f>
        <v>905347</v>
      </c>
      <c r="N525" s="27">
        <f>SUMIFS(INDEX(Load,,MATCH('Summarized Source Data'!$C525,Hour,0)),Month,'Summarized Source Data'!$A525,Sector,'Summarized Source Data'!N$2,Subsector,'Summarized Source Data'!N$3,TimeOfWeek,$E525)*INDEX(About!J$79:J$82,MATCH($B525,About!$A$79:$A$82,0),1)</f>
        <v>0</v>
      </c>
      <c r="O525" s="29">
        <f t="shared" si="44"/>
        <v>103938287</v>
      </c>
      <c r="P525" s="27">
        <f>(SUMIFS(INDEX(Load,,MATCH('Summarized Source Data'!$C525,Hour,0)),Month,'Summarized Source Data'!$A525,Sector,'Summarized Source Data'!P$2,Subsector,"Total",TimeOfWeek,$E525)-SUM(L525:N525)*INDEX(About!L$79:L$82,MATCH($B525,About!$A$79:$A$82,0),1))</f>
        <v>103938287</v>
      </c>
      <c r="Q525" s="29">
        <f t="shared" si="45"/>
        <v>103938287</v>
      </c>
      <c r="R525" s="33">
        <f>SUMIFS(INDEX(Load,,MATCH('Summarized Source Data'!$C525,Hour,0)),Month,'Summarized Source Data'!$A525,Sector,'Summarized Source Data'!R$2,TimeOfWeek,$E525)*INDEX(About!N$79:N$82,MATCH($B525,About!$A$79:$A$82,0),1)</f>
        <v>6208415</v>
      </c>
      <c r="S525" s="33">
        <f>SUMIFS(INDEX(Load,,MATCH('Summarized Source Data'!$C525,Hour,0)),Month,'Summarized Source Data'!$A525,Sector,'Summarized Source Data'!S$2,TimeOfWeek,$E525)*INDEX(About!O$79:O$82,MATCH($B525,About!$A$79:$A$82,0),1)</f>
        <v>6208415</v>
      </c>
      <c r="T525" s="33">
        <f>SUMIFS(INDEX(Load,,MATCH('Summarized Source Data'!$C525,Hour,0)),Month,'Summarized Source Data'!$A525,Sector,'Summarized Source Data'!T$2,TimeOfWeek,$E525)*INDEX(About!P$79:P$82,MATCH($B525,About!$A$79:$A$82,0),1)</f>
        <v>6208415</v>
      </c>
      <c r="U525" s="33">
        <f>SUMIFS(INDEX(Load,,MATCH('Summarized Source Data'!$C525,Hour,0)),Month,'Summarized Source Data'!$A525,Sector,'Summarized Source Data'!U$2,TimeOfWeek,$E525)*INDEX(About!Q$79:Q$82,MATCH($B525,About!$A$79:$A$82,0),1)</f>
        <v>6208415</v>
      </c>
      <c r="V525" s="33">
        <f>SUMIFS(INDEX(Load,,MATCH('Summarized Source Data'!$C525,Hour,0)),Month,'Summarized Source Data'!$A525,Sector,'Summarized Source Data'!V$2,TimeOfWeek,$E525)*INDEX(About!R$79:R$82,MATCH($B525,About!$A$79:$A$82,0),1)</f>
        <v>6208415</v>
      </c>
      <c r="W525" s="33">
        <f>SUMIFS(INDEX(Load,,MATCH('Summarized Source Data'!$C525,Hour,0)),Month,'Summarized Source Data'!$A525,Sector,'Summarized Source Data'!W$2,TimeOfWeek,$E525)*INDEX(About!S$79:S$82,MATCH($B525,About!$A$79:$A$82,0),1)</f>
        <v>6208415</v>
      </c>
      <c r="X525" s="27">
        <f>SUMIFS(INDEX(Load,,MATCH('Summarized Source Data'!$C525,Hour,0)),Month,'Summarized Source Data'!$A525,Sector,'Summarized Source Data'!X$2,Subsector,'Summarized Source Data'!X$3,TimeOfWeek,$E525)*INDEX(About!T$79:T$82,MATCH($B525,About!$A$79:$A$82,0),1)</f>
        <v>353000000</v>
      </c>
      <c r="Y525" s="29">
        <f t="shared" si="46"/>
        <v>353000000</v>
      </c>
      <c r="Z525" s="29">
        <f t="shared" si="46"/>
        <v>353000000</v>
      </c>
    </row>
    <row r="526" spans="1:26" x14ac:dyDescent="0.3">
      <c r="A526">
        <f t="shared" si="41"/>
        <v>10</v>
      </c>
      <c r="B526" t="str">
        <f>INDEX('Category Mapping'!$G$28:$G$39,MATCH(A526,'Category Mapping'!$A$28:$A$39,0),1)</f>
        <v>Fall</v>
      </c>
      <c r="C526" t="s">
        <v>81</v>
      </c>
      <c r="D526" s="6" t="s">
        <v>156</v>
      </c>
      <c r="E526" s="46" t="s">
        <v>48</v>
      </c>
      <c r="F526" s="27">
        <f>SUMIFS(INDEX(Load,,MATCH('Summarized Source Data'!$C526,Hour,0)),Month,'Summarized Source Data'!$A526,Sector,'Summarized Source Data'!F$2,Subsector,'Summarized Source Data'!F$3,TimeOfWeek,$E526)*INDEX(About!B$79:B$82,MATCH($B526,About!$A$79:$A$82,0),1)</f>
        <v>3179007</v>
      </c>
      <c r="G526" s="27">
        <f>SUMIFS(INDEX(Load,,MATCH('Summarized Source Data'!$C526,Hour,0)),Month,'Summarized Source Data'!$A526,Sector,'Summarized Source Data'!G$2,Subsector,'Summarized Source Data'!G$3,TimeOfWeek,$E526)*INDEX(About!C$79:C$82,MATCH($B526,About!$A$79:$A$82,0),1)</f>
        <v>55474</v>
      </c>
      <c r="H526" s="27">
        <f>SUMIFS(INDEX(Load,,MATCH('Summarized Source Data'!$C526,Hour,0)),Month,'Summarized Source Data'!$A526,Sector,'Summarized Source Data'!H$2,Subsector,'Summarized Source Data'!H$3,TimeOfWeek,$E526)*INDEX(About!D$79:D$82,MATCH($B526,About!$A$79:$A$82,0),1)</f>
        <v>0</v>
      </c>
      <c r="I526" s="27">
        <f>SUMIFS(INDEX(Load,,MATCH('Summarized Source Data'!$C526,Hour,0)),Month,'Summarized Source Data'!$A526,Sector,'Summarized Source Data'!I$2,Subsector,'Summarized Source Data'!I$3,TimeOfWeek,$E526)*INDEX(About!E$79:E$82,MATCH($B526,About!$A$79:$A$82,0),1)</f>
        <v>30900000</v>
      </c>
      <c r="J526" s="54">
        <f t="shared" si="43"/>
        <v>90865519</v>
      </c>
      <c r="K526" s="27">
        <f>(SUMIFS(INDEX(Load,,MATCH('Summarized Source Data'!$C526,Hour,0)),Month,'Summarized Source Data'!$A526,Sector,'Summarized Source Data'!K$2,Subsector,"Total",TimeOfWeek,$E526)-SUM(F526:I526))*INDEX(About!G$79:G$82,MATCH($B526,About!$A$79:$A$82,0),1)</f>
        <v>90865519</v>
      </c>
      <c r="L526" s="27">
        <f>SUMIFS(INDEX(Load,,MATCH('Summarized Source Data'!$C526,Hour,0)),Month,'Summarized Source Data'!$A526,Sector,'Summarized Source Data'!L$2,Subsector,'Summarized Source Data'!L$3,TimeOfWeek,$E526)*INDEX(About!H$79:H$82,MATCH($B526,About!$A$79:$A$82,0),1)</f>
        <v>3808006</v>
      </c>
      <c r="M526" s="27">
        <f>SUMIFS(INDEX(Load,,MATCH('Summarized Source Data'!$C526,Hour,0)),Month,'Summarized Source Data'!$A526,Sector,'Summarized Source Data'!M$2,Subsector,'Summarized Source Data'!M$3,TimeOfWeek,$E526)*INDEX(About!I$79:I$82,MATCH($B526,About!$A$79:$A$82,0),1)</f>
        <v>847092</v>
      </c>
      <c r="N526" s="27">
        <f>SUMIFS(INDEX(Load,,MATCH('Summarized Source Data'!$C526,Hour,0)),Month,'Summarized Source Data'!$A526,Sector,'Summarized Source Data'!N$2,Subsector,'Summarized Source Data'!N$3,TimeOfWeek,$E526)*INDEX(About!J$79:J$82,MATCH($B526,About!$A$79:$A$82,0),1)</f>
        <v>0</v>
      </c>
      <c r="O526" s="29">
        <f t="shared" si="44"/>
        <v>102344902</v>
      </c>
      <c r="P526" s="27">
        <f>(SUMIFS(INDEX(Load,,MATCH('Summarized Source Data'!$C526,Hour,0)),Month,'Summarized Source Data'!$A526,Sector,'Summarized Source Data'!P$2,Subsector,"Total",TimeOfWeek,$E526)-SUM(L526:N526)*INDEX(About!L$79:L$82,MATCH($B526,About!$A$79:$A$82,0),1))</f>
        <v>102344902</v>
      </c>
      <c r="Q526" s="29">
        <f t="shared" si="45"/>
        <v>102344902</v>
      </c>
      <c r="R526" s="33">
        <f>SUMIFS(INDEX(Load,,MATCH('Summarized Source Data'!$C526,Hour,0)),Month,'Summarized Source Data'!$A526,Sector,'Summarized Source Data'!R$2,TimeOfWeek,$E526)*INDEX(About!N$79:N$82,MATCH($B526,About!$A$79:$A$82,0),1)</f>
        <v>6167426</v>
      </c>
      <c r="S526" s="33">
        <f>SUMIFS(INDEX(Load,,MATCH('Summarized Source Data'!$C526,Hour,0)),Month,'Summarized Source Data'!$A526,Sector,'Summarized Source Data'!S$2,TimeOfWeek,$E526)*INDEX(About!O$79:O$82,MATCH($B526,About!$A$79:$A$82,0),1)</f>
        <v>6167426</v>
      </c>
      <c r="T526" s="33">
        <f>SUMIFS(INDEX(Load,,MATCH('Summarized Source Data'!$C526,Hour,0)),Month,'Summarized Source Data'!$A526,Sector,'Summarized Source Data'!T$2,TimeOfWeek,$E526)*INDEX(About!P$79:P$82,MATCH($B526,About!$A$79:$A$82,0),1)</f>
        <v>6167426</v>
      </c>
      <c r="U526" s="33">
        <f>SUMIFS(INDEX(Load,,MATCH('Summarized Source Data'!$C526,Hour,0)),Month,'Summarized Source Data'!$A526,Sector,'Summarized Source Data'!U$2,TimeOfWeek,$E526)*INDEX(About!Q$79:Q$82,MATCH($B526,About!$A$79:$A$82,0),1)</f>
        <v>6167426</v>
      </c>
      <c r="V526" s="33">
        <f>SUMIFS(INDEX(Load,,MATCH('Summarized Source Data'!$C526,Hour,0)),Month,'Summarized Source Data'!$A526,Sector,'Summarized Source Data'!V$2,TimeOfWeek,$E526)*INDEX(About!R$79:R$82,MATCH($B526,About!$A$79:$A$82,0),1)</f>
        <v>6167426</v>
      </c>
      <c r="W526" s="33">
        <f>SUMIFS(INDEX(Load,,MATCH('Summarized Source Data'!$C526,Hour,0)),Month,'Summarized Source Data'!$A526,Sector,'Summarized Source Data'!W$2,TimeOfWeek,$E526)*INDEX(About!S$79:S$82,MATCH($B526,About!$A$79:$A$82,0),1)</f>
        <v>6167426</v>
      </c>
      <c r="X526" s="27">
        <f>SUMIFS(INDEX(Load,,MATCH('Summarized Source Data'!$C526,Hour,0)),Month,'Summarized Source Data'!$A526,Sector,'Summarized Source Data'!X$2,Subsector,'Summarized Source Data'!X$3,TimeOfWeek,$E526)*INDEX(About!T$79:T$82,MATCH($B526,About!$A$79:$A$82,0),1)</f>
        <v>352000000</v>
      </c>
      <c r="Y526" s="29">
        <f t="shared" si="46"/>
        <v>352000000</v>
      </c>
      <c r="Z526" s="29">
        <f t="shared" si="46"/>
        <v>352000000</v>
      </c>
    </row>
    <row r="527" spans="1:26" x14ac:dyDescent="0.3">
      <c r="A527">
        <f t="shared" si="41"/>
        <v>10</v>
      </c>
      <c r="B527" t="str">
        <f>INDEX('Category Mapping'!$G$28:$G$39,MATCH(A527,'Category Mapping'!$A$28:$A$39,0),1)</f>
        <v>Fall</v>
      </c>
      <c r="C527" t="s">
        <v>82</v>
      </c>
      <c r="D527" s="6" t="s">
        <v>157</v>
      </c>
      <c r="E527" s="46" t="s">
        <v>48</v>
      </c>
      <c r="F527" s="27">
        <f>SUMIFS(INDEX(Load,,MATCH('Summarized Source Data'!$C527,Hour,0)),Month,'Summarized Source Data'!$A527,Sector,'Summarized Source Data'!F$2,Subsector,'Summarized Source Data'!F$3,TimeOfWeek,$E527)*INDEX(About!B$79:B$82,MATCH($B527,About!$A$79:$A$82,0),1)</f>
        <v>3278304</v>
      </c>
      <c r="G527" s="27">
        <f>SUMIFS(INDEX(Load,,MATCH('Summarized Source Data'!$C527,Hour,0)),Month,'Summarized Source Data'!$A527,Sector,'Summarized Source Data'!G$2,Subsector,'Summarized Source Data'!G$3,TimeOfWeek,$E527)*INDEX(About!C$79:C$82,MATCH($B527,About!$A$79:$A$82,0),1)</f>
        <v>9005</v>
      </c>
      <c r="H527" s="27">
        <f>SUMIFS(INDEX(Load,,MATCH('Summarized Source Data'!$C527,Hour,0)),Month,'Summarized Source Data'!$A527,Sector,'Summarized Source Data'!H$2,Subsector,'Summarized Source Data'!H$3,TimeOfWeek,$E527)*INDEX(About!D$79:D$82,MATCH($B527,About!$A$79:$A$82,0),1)</f>
        <v>0</v>
      </c>
      <c r="I527" s="27">
        <f>SUMIFS(INDEX(Load,,MATCH('Summarized Source Data'!$C527,Hour,0)),Month,'Summarized Source Data'!$A527,Sector,'Summarized Source Data'!I$2,Subsector,'Summarized Source Data'!I$3,TimeOfWeek,$E527)*INDEX(About!E$79:E$82,MATCH($B527,About!$A$79:$A$82,0),1)</f>
        <v>32400000</v>
      </c>
      <c r="J527" s="54">
        <f t="shared" si="43"/>
        <v>83312691</v>
      </c>
      <c r="K527" s="27">
        <f>(SUMIFS(INDEX(Load,,MATCH('Summarized Source Data'!$C527,Hour,0)),Month,'Summarized Source Data'!$A527,Sector,'Summarized Source Data'!K$2,Subsector,"Total",TimeOfWeek,$E527)-SUM(F527:I527))*INDEX(About!G$79:G$82,MATCH($B527,About!$A$79:$A$82,0),1)</f>
        <v>83312691</v>
      </c>
      <c r="L527" s="27">
        <f>SUMIFS(INDEX(Load,,MATCH('Summarized Source Data'!$C527,Hour,0)),Month,'Summarized Source Data'!$A527,Sector,'Summarized Source Data'!L$2,Subsector,'Summarized Source Data'!L$3,TimeOfWeek,$E527)*INDEX(About!H$79:H$82,MATCH($B527,About!$A$79:$A$82,0),1)</f>
        <v>4143169</v>
      </c>
      <c r="M527" s="27">
        <f>SUMIFS(INDEX(Load,,MATCH('Summarized Source Data'!$C527,Hour,0)),Month,'Summarized Source Data'!$A527,Sector,'Summarized Source Data'!M$2,Subsector,'Summarized Source Data'!M$3,TimeOfWeek,$E527)*INDEX(About!I$79:I$82,MATCH($B527,About!$A$79:$A$82,0),1)</f>
        <v>813614</v>
      </c>
      <c r="N527" s="27">
        <f>SUMIFS(INDEX(Load,,MATCH('Summarized Source Data'!$C527,Hour,0)),Month,'Summarized Source Data'!$A527,Sector,'Summarized Source Data'!N$2,Subsector,'Summarized Source Data'!N$3,TimeOfWeek,$E527)*INDEX(About!J$79:J$82,MATCH($B527,About!$A$79:$A$82,0),1)</f>
        <v>0</v>
      </c>
      <c r="O527" s="29">
        <f t="shared" si="44"/>
        <v>100043217</v>
      </c>
      <c r="P527" s="27">
        <f>(SUMIFS(INDEX(Load,,MATCH('Summarized Source Data'!$C527,Hour,0)),Month,'Summarized Source Data'!$A527,Sector,'Summarized Source Data'!P$2,Subsector,"Total",TimeOfWeek,$E527)-SUM(L527:N527)*INDEX(About!L$79:L$82,MATCH($B527,About!$A$79:$A$82,0),1))</f>
        <v>100043217</v>
      </c>
      <c r="Q527" s="29">
        <f t="shared" si="45"/>
        <v>100043217</v>
      </c>
      <c r="R527" s="33">
        <f>SUMIFS(INDEX(Load,,MATCH('Summarized Source Data'!$C527,Hour,0)),Month,'Summarized Source Data'!$A527,Sector,'Summarized Source Data'!R$2,TimeOfWeek,$E527)*INDEX(About!N$79:N$82,MATCH($B527,About!$A$79:$A$82,0),1)</f>
        <v>6032751</v>
      </c>
      <c r="S527" s="33">
        <f>SUMIFS(INDEX(Load,,MATCH('Summarized Source Data'!$C527,Hour,0)),Month,'Summarized Source Data'!$A527,Sector,'Summarized Source Data'!S$2,TimeOfWeek,$E527)*INDEX(About!O$79:O$82,MATCH($B527,About!$A$79:$A$82,0),1)</f>
        <v>6032751</v>
      </c>
      <c r="T527" s="33">
        <f>SUMIFS(INDEX(Load,,MATCH('Summarized Source Data'!$C527,Hour,0)),Month,'Summarized Source Data'!$A527,Sector,'Summarized Source Data'!T$2,TimeOfWeek,$E527)*INDEX(About!P$79:P$82,MATCH($B527,About!$A$79:$A$82,0),1)</f>
        <v>6032751</v>
      </c>
      <c r="U527" s="33">
        <f>SUMIFS(INDEX(Load,,MATCH('Summarized Source Data'!$C527,Hour,0)),Month,'Summarized Source Data'!$A527,Sector,'Summarized Source Data'!U$2,TimeOfWeek,$E527)*INDEX(About!Q$79:Q$82,MATCH($B527,About!$A$79:$A$82,0),1)</f>
        <v>6032751</v>
      </c>
      <c r="V527" s="33">
        <f>SUMIFS(INDEX(Load,,MATCH('Summarized Source Data'!$C527,Hour,0)),Month,'Summarized Source Data'!$A527,Sector,'Summarized Source Data'!V$2,TimeOfWeek,$E527)*INDEX(About!R$79:R$82,MATCH($B527,About!$A$79:$A$82,0),1)</f>
        <v>6032751</v>
      </c>
      <c r="W527" s="33">
        <f>SUMIFS(INDEX(Load,,MATCH('Summarized Source Data'!$C527,Hour,0)),Month,'Summarized Source Data'!$A527,Sector,'Summarized Source Data'!W$2,TimeOfWeek,$E527)*INDEX(About!S$79:S$82,MATCH($B527,About!$A$79:$A$82,0),1)</f>
        <v>6032751</v>
      </c>
      <c r="X527" s="27">
        <f>SUMIFS(INDEX(Load,,MATCH('Summarized Source Data'!$C527,Hour,0)),Month,'Summarized Source Data'!$A527,Sector,'Summarized Source Data'!X$2,Subsector,'Summarized Source Data'!X$3,TimeOfWeek,$E527)*INDEX(About!T$79:T$82,MATCH($B527,About!$A$79:$A$82,0),1)</f>
        <v>350000000</v>
      </c>
      <c r="Y527" s="29">
        <f t="shared" si="46"/>
        <v>350000000</v>
      </c>
      <c r="Z527" s="29">
        <f t="shared" si="46"/>
        <v>350000000</v>
      </c>
    </row>
    <row r="528" spans="1:26" x14ac:dyDescent="0.3">
      <c r="A528">
        <f t="shared" si="41"/>
        <v>10</v>
      </c>
      <c r="B528" t="str">
        <f>INDEX('Category Mapping'!$G$28:$G$39,MATCH(A528,'Category Mapping'!$A$28:$A$39,0),1)</f>
        <v>Fall</v>
      </c>
      <c r="C528" t="s">
        <v>83</v>
      </c>
      <c r="D528" s="6" t="s">
        <v>158</v>
      </c>
      <c r="E528" s="46" t="s">
        <v>48</v>
      </c>
      <c r="F528" s="27">
        <f>SUMIFS(INDEX(Load,,MATCH('Summarized Source Data'!$C528,Hour,0)),Month,'Summarized Source Data'!$A528,Sector,'Summarized Source Data'!F$2,Subsector,'Summarized Source Data'!F$3,TimeOfWeek,$E528)*INDEX(About!B$79:B$82,MATCH($B528,About!$A$79:$A$82,0),1)</f>
        <v>3266449</v>
      </c>
      <c r="G528" s="27">
        <f>SUMIFS(INDEX(Load,,MATCH('Summarized Source Data'!$C528,Hour,0)),Month,'Summarized Source Data'!$A528,Sector,'Summarized Source Data'!G$2,Subsector,'Summarized Source Data'!G$3,TimeOfWeek,$E528)*INDEX(About!C$79:C$82,MATCH($B528,About!$A$79:$A$82,0),1)</f>
        <v>1052</v>
      </c>
      <c r="H528" s="27">
        <f>SUMIFS(INDEX(Load,,MATCH('Summarized Source Data'!$C528,Hour,0)),Month,'Summarized Source Data'!$A528,Sector,'Summarized Source Data'!H$2,Subsector,'Summarized Source Data'!H$3,TimeOfWeek,$E528)*INDEX(About!D$79:D$82,MATCH($B528,About!$A$79:$A$82,0),1)</f>
        <v>0</v>
      </c>
      <c r="I528" s="27">
        <f>SUMIFS(INDEX(Load,,MATCH('Summarized Source Data'!$C528,Hour,0)),Month,'Summarized Source Data'!$A528,Sector,'Summarized Source Data'!I$2,Subsector,'Summarized Source Data'!I$3,TimeOfWeek,$E528)*INDEX(About!E$79:E$82,MATCH($B528,About!$A$79:$A$82,0),1)</f>
        <v>32200000</v>
      </c>
      <c r="J528" s="54">
        <f t="shared" si="43"/>
        <v>78532499</v>
      </c>
      <c r="K528" s="27">
        <f>(SUMIFS(INDEX(Load,,MATCH('Summarized Source Data'!$C528,Hour,0)),Month,'Summarized Source Data'!$A528,Sector,'Summarized Source Data'!K$2,Subsector,"Total",TimeOfWeek,$E528)-SUM(F528:I528))*INDEX(About!G$79:G$82,MATCH($B528,About!$A$79:$A$82,0),1)</f>
        <v>78532499</v>
      </c>
      <c r="L528" s="27">
        <f>SUMIFS(INDEX(Load,,MATCH('Summarized Source Data'!$C528,Hour,0)),Month,'Summarized Source Data'!$A528,Sector,'Summarized Source Data'!L$2,Subsector,'Summarized Source Data'!L$3,TimeOfWeek,$E528)*INDEX(About!H$79:H$82,MATCH($B528,About!$A$79:$A$82,0),1)</f>
        <v>4698174</v>
      </c>
      <c r="M528" s="27">
        <f>SUMIFS(INDEX(Load,,MATCH('Summarized Source Data'!$C528,Hour,0)),Month,'Summarized Source Data'!$A528,Sector,'Summarized Source Data'!M$2,Subsector,'Summarized Source Data'!M$3,TimeOfWeek,$E528)*INDEX(About!I$79:I$82,MATCH($B528,About!$A$79:$A$82,0),1)</f>
        <v>790377</v>
      </c>
      <c r="N528" s="27">
        <f>SUMIFS(INDEX(Load,,MATCH('Summarized Source Data'!$C528,Hour,0)),Month,'Summarized Source Data'!$A528,Sector,'Summarized Source Data'!N$2,Subsector,'Summarized Source Data'!N$3,TimeOfWeek,$E528)*INDEX(About!J$79:J$82,MATCH($B528,About!$A$79:$A$82,0),1)</f>
        <v>0</v>
      </c>
      <c r="O528" s="29">
        <f t="shared" si="44"/>
        <v>95511449</v>
      </c>
      <c r="P528" s="27">
        <f>(SUMIFS(INDEX(Load,,MATCH('Summarized Source Data'!$C528,Hour,0)),Month,'Summarized Source Data'!$A528,Sector,'Summarized Source Data'!P$2,Subsector,"Total",TimeOfWeek,$E528)-SUM(L528:N528)*INDEX(About!L$79:L$82,MATCH($B528,About!$A$79:$A$82,0),1))</f>
        <v>95511449</v>
      </c>
      <c r="Q528" s="29">
        <f t="shared" si="45"/>
        <v>95511449</v>
      </c>
      <c r="R528" s="33">
        <f>SUMIFS(INDEX(Load,,MATCH('Summarized Source Data'!$C528,Hour,0)),Month,'Summarized Source Data'!$A528,Sector,'Summarized Source Data'!R$2,TimeOfWeek,$E528)*INDEX(About!N$79:N$82,MATCH($B528,About!$A$79:$A$82,0),1)</f>
        <v>5851232</v>
      </c>
      <c r="S528" s="33">
        <f>SUMIFS(INDEX(Load,,MATCH('Summarized Source Data'!$C528,Hour,0)),Month,'Summarized Source Data'!$A528,Sector,'Summarized Source Data'!S$2,TimeOfWeek,$E528)*INDEX(About!O$79:O$82,MATCH($B528,About!$A$79:$A$82,0),1)</f>
        <v>5851232</v>
      </c>
      <c r="T528" s="33">
        <f>SUMIFS(INDEX(Load,,MATCH('Summarized Source Data'!$C528,Hour,0)),Month,'Summarized Source Data'!$A528,Sector,'Summarized Source Data'!T$2,TimeOfWeek,$E528)*INDEX(About!P$79:P$82,MATCH($B528,About!$A$79:$A$82,0),1)</f>
        <v>5851232</v>
      </c>
      <c r="U528" s="33">
        <f>SUMIFS(INDEX(Load,,MATCH('Summarized Source Data'!$C528,Hour,0)),Month,'Summarized Source Data'!$A528,Sector,'Summarized Source Data'!U$2,TimeOfWeek,$E528)*INDEX(About!Q$79:Q$82,MATCH($B528,About!$A$79:$A$82,0),1)</f>
        <v>5851232</v>
      </c>
      <c r="V528" s="33">
        <f>SUMIFS(INDEX(Load,,MATCH('Summarized Source Data'!$C528,Hour,0)),Month,'Summarized Source Data'!$A528,Sector,'Summarized Source Data'!V$2,TimeOfWeek,$E528)*INDEX(About!R$79:R$82,MATCH($B528,About!$A$79:$A$82,0),1)</f>
        <v>5851232</v>
      </c>
      <c r="W528" s="33">
        <f>SUMIFS(INDEX(Load,,MATCH('Summarized Source Data'!$C528,Hour,0)),Month,'Summarized Source Data'!$A528,Sector,'Summarized Source Data'!W$2,TimeOfWeek,$E528)*INDEX(About!S$79:S$82,MATCH($B528,About!$A$79:$A$82,0),1)</f>
        <v>5851232</v>
      </c>
      <c r="X528" s="27">
        <f>SUMIFS(INDEX(Load,,MATCH('Summarized Source Data'!$C528,Hour,0)),Month,'Summarized Source Data'!$A528,Sector,'Summarized Source Data'!X$2,Subsector,'Summarized Source Data'!X$3,TimeOfWeek,$E528)*INDEX(About!T$79:T$82,MATCH($B528,About!$A$79:$A$82,0),1)</f>
        <v>348000000</v>
      </c>
      <c r="Y528" s="29">
        <f t="shared" si="46"/>
        <v>348000000</v>
      </c>
      <c r="Z528" s="29">
        <f t="shared" si="46"/>
        <v>348000000</v>
      </c>
    </row>
    <row r="529" spans="1:26" x14ac:dyDescent="0.3">
      <c r="A529">
        <f t="shared" si="41"/>
        <v>10</v>
      </c>
      <c r="B529" t="str">
        <f>INDEX('Category Mapping'!$G$28:$G$39,MATCH(A529,'Category Mapping'!$A$28:$A$39,0),1)</f>
        <v>Fall</v>
      </c>
      <c r="C529" t="s">
        <v>84</v>
      </c>
      <c r="D529" s="6" t="s">
        <v>159</v>
      </c>
      <c r="E529" s="46" t="s">
        <v>48</v>
      </c>
      <c r="F529" s="27">
        <f>SUMIFS(INDEX(Load,,MATCH('Summarized Source Data'!$C529,Hour,0)),Month,'Summarized Source Data'!$A529,Sector,'Summarized Source Data'!F$2,Subsector,'Summarized Source Data'!F$3,TimeOfWeek,$E529)*INDEX(About!B$79:B$82,MATCH($B529,About!$A$79:$A$82,0),1)</f>
        <v>2888653</v>
      </c>
      <c r="G529" s="27">
        <f>SUMIFS(INDEX(Load,,MATCH('Summarized Source Data'!$C529,Hour,0)),Month,'Summarized Source Data'!$A529,Sector,'Summarized Source Data'!G$2,Subsector,'Summarized Source Data'!G$3,TimeOfWeek,$E529)*INDEX(About!C$79:C$82,MATCH($B529,About!$A$79:$A$82,0),1)</f>
        <v>1096</v>
      </c>
      <c r="H529" s="27">
        <f>SUMIFS(INDEX(Load,,MATCH('Summarized Source Data'!$C529,Hour,0)),Month,'Summarized Source Data'!$A529,Sector,'Summarized Source Data'!H$2,Subsector,'Summarized Source Data'!H$3,TimeOfWeek,$E529)*INDEX(About!D$79:D$82,MATCH($B529,About!$A$79:$A$82,0),1)</f>
        <v>0</v>
      </c>
      <c r="I529" s="27">
        <f>SUMIFS(INDEX(Load,,MATCH('Summarized Source Data'!$C529,Hour,0)),Month,'Summarized Source Data'!$A529,Sector,'Summarized Source Data'!I$2,Subsector,'Summarized Source Data'!I$3,TimeOfWeek,$E529)*INDEX(About!E$79:E$82,MATCH($B529,About!$A$79:$A$82,0),1)</f>
        <v>26700000</v>
      </c>
      <c r="J529" s="54">
        <f t="shared" si="43"/>
        <v>72410251</v>
      </c>
      <c r="K529" s="27">
        <f>(SUMIFS(INDEX(Load,,MATCH('Summarized Source Data'!$C529,Hour,0)),Month,'Summarized Source Data'!$A529,Sector,'Summarized Source Data'!K$2,Subsector,"Total",TimeOfWeek,$E529)-SUM(F529:I529))*INDEX(About!G$79:G$82,MATCH($B529,About!$A$79:$A$82,0),1)</f>
        <v>72410251</v>
      </c>
      <c r="L529" s="27">
        <f>SUMIFS(INDEX(Load,,MATCH('Summarized Source Data'!$C529,Hour,0)),Month,'Summarized Source Data'!$A529,Sector,'Summarized Source Data'!L$2,Subsector,'Summarized Source Data'!L$3,TimeOfWeek,$E529)*INDEX(About!H$79:H$82,MATCH($B529,About!$A$79:$A$82,0),1)</f>
        <v>4691097</v>
      </c>
      <c r="M529" s="27">
        <f>SUMIFS(INDEX(Load,,MATCH('Summarized Source Data'!$C529,Hour,0)),Month,'Summarized Source Data'!$A529,Sector,'Summarized Source Data'!M$2,Subsector,'Summarized Source Data'!M$3,TimeOfWeek,$E529)*INDEX(About!I$79:I$82,MATCH($B529,About!$A$79:$A$82,0),1)</f>
        <v>767744</v>
      </c>
      <c r="N529" s="27">
        <f>SUMIFS(INDEX(Load,,MATCH('Summarized Source Data'!$C529,Hour,0)),Month,'Summarized Source Data'!$A529,Sector,'Summarized Source Data'!N$2,Subsector,'Summarized Source Data'!N$3,TimeOfWeek,$E529)*INDEX(About!J$79:J$82,MATCH($B529,About!$A$79:$A$82,0),1)</f>
        <v>0</v>
      </c>
      <c r="O529" s="29">
        <f t="shared" si="44"/>
        <v>88741159</v>
      </c>
      <c r="P529" s="27">
        <f>(SUMIFS(INDEX(Load,,MATCH('Summarized Source Data'!$C529,Hour,0)),Month,'Summarized Source Data'!$A529,Sector,'Summarized Source Data'!P$2,Subsector,"Total",TimeOfWeek,$E529)-SUM(L529:N529)*INDEX(About!L$79:L$82,MATCH($B529,About!$A$79:$A$82,0),1))</f>
        <v>88741159</v>
      </c>
      <c r="Q529" s="29">
        <f t="shared" si="45"/>
        <v>88741159</v>
      </c>
      <c r="R529" s="33">
        <f>SUMIFS(INDEX(Load,,MATCH('Summarized Source Data'!$C529,Hour,0)),Month,'Summarized Source Data'!$A529,Sector,'Summarized Source Data'!R$2,TimeOfWeek,$E529)*INDEX(About!N$79:N$82,MATCH($B529,About!$A$79:$A$82,0),1)</f>
        <v>5646291</v>
      </c>
      <c r="S529" s="33">
        <f>SUMIFS(INDEX(Load,,MATCH('Summarized Source Data'!$C529,Hour,0)),Month,'Summarized Source Data'!$A529,Sector,'Summarized Source Data'!S$2,TimeOfWeek,$E529)*INDEX(About!O$79:O$82,MATCH($B529,About!$A$79:$A$82,0),1)</f>
        <v>5646291</v>
      </c>
      <c r="T529" s="33">
        <f>SUMIFS(INDEX(Load,,MATCH('Summarized Source Data'!$C529,Hour,0)),Month,'Summarized Source Data'!$A529,Sector,'Summarized Source Data'!T$2,TimeOfWeek,$E529)*INDEX(About!P$79:P$82,MATCH($B529,About!$A$79:$A$82,0),1)</f>
        <v>5646291</v>
      </c>
      <c r="U529" s="33">
        <f>SUMIFS(INDEX(Load,,MATCH('Summarized Source Data'!$C529,Hour,0)),Month,'Summarized Source Data'!$A529,Sector,'Summarized Source Data'!U$2,TimeOfWeek,$E529)*INDEX(About!Q$79:Q$82,MATCH($B529,About!$A$79:$A$82,0),1)</f>
        <v>5646291</v>
      </c>
      <c r="V529" s="33">
        <f>SUMIFS(INDEX(Load,,MATCH('Summarized Source Data'!$C529,Hour,0)),Month,'Summarized Source Data'!$A529,Sector,'Summarized Source Data'!V$2,TimeOfWeek,$E529)*INDEX(About!R$79:R$82,MATCH($B529,About!$A$79:$A$82,0),1)</f>
        <v>5646291</v>
      </c>
      <c r="W529" s="33">
        <f>SUMIFS(INDEX(Load,,MATCH('Summarized Source Data'!$C529,Hour,0)),Month,'Summarized Source Data'!$A529,Sector,'Summarized Source Data'!W$2,TimeOfWeek,$E529)*INDEX(About!S$79:S$82,MATCH($B529,About!$A$79:$A$82,0),1)</f>
        <v>5646291</v>
      </c>
      <c r="X529" s="27">
        <f>SUMIFS(INDEX(Load,,MATCH('Summarized Source Data'!$C529,Hour,0)),Month,'Summarized Source Data'!$A529,Sector,'Summarized Source Data'!X$2,Subsector,'Summarized Source Data'!X$3,TimeOfWeek,$E529)*INDEX(About!T$79:T$82,MATCH($B529,About!$A$79:$A$82,0),1)</f>
        <v>344000000</v>
      </c>
      <c r="Y529" s="29">
        <f t="shared" si="46"/>
        <v>344000000</v>
      </c>
      <c r="Z529" s="29">
        <f t="shared" si="46"/>
        <v>344000000</v>
      </c>
    </row>
    <row r="530" spans="1:26" x14ac:dyDescent="0.3">
      <c r="A530">
        <f t="shared" si="41"/>
        <v>10</v>
      </c>
      <c r="B530" t="str">
        <f>INDEX('Category Mapping'!$G$28:$G$39,MATCH(A530,'Category Mapping'!$A$28:$A$39,0),1)</f>
        <v>Fall</v>
      </c>
      <c r="C530" t="s">
        <v>85</v>
      </c>
      <c r="D530" s="6" t="s">
        <v>160</v>
      </c>
      <c r="E530" s="46" t="s">
        <v>48</v>
      </c>
      <c r="F530" s="27">
        <f>SUMIFS(INDEX(Load,,MATCH('Summarized Source Data'!$C530,Hour,0)),Month,'Summarized Source Data'!$A530,Sector,'Summarized Source Data'!F$2,Subsector,'Summarized Source Data'!F$3,TimeOfWeek,$E530)*INDEX(About!B$79:B$82,MATCH($B530,About!$A$79:$A$82,0),1)</f>
        <v>2247729</v>
      </c>
      <c r="G530" s="27">
        <f>SUMIFS(INDEX(Load,,MATCH('Summarized Source Data'!$C530,Hour,0)),Month,'Summarized Source Data'!$A530,Sector,'Summarized Source Data'!G$2,Subsector,'Summarized Source Data'!G$3,TimeOfWeek,$E530)*INDEX(About!C$79:C$82,MATCH($B530,About!$A$79:$A$82,0),1)</f>
        <v>1138</v>
      </c>
      <c r="H530" s="27">
        <f>SUMIFS(INDEX(Load,,MATCH('Summarized Source Data'!$C530,Hour,0)),Month,'Summarized Source Data'!$A530,Sector,'Summarized Source Data'!H$2,Subsector,'Summarized Source Data'!H$3,TimeOfWeek,$E530)*INDEX(About!D$79:D$82,MATCH($B530,About!$A$79:$A$82,0),1)</f>
        <v>0</v>
      </c>
      <c r="I530" s="27">
        <f>SUMIFS(INDEX(Load,,MATCH('Summarized Source Data'!$C530,Hour,0)),Month,'Summarized Source Data'!$A530,Sector,'Summarized Source Data'!I$2,Subsector,'Summarized Source Data'!I$3,TimeOfWeek,$E530)*INDEX(About!E$79:E$82,MATCH($B530,About!$A$79:$A$82,0),1)</f>
        <v>17200000</v>
      </c>
      <c r="J530" s="54">
        <f t="shared" si="43"/>
        <v>60651133</v>
      </c>
      <c r="K530" s="27">
        <f>(SUMIFS(INDEX(Load,,MATCH('Summarized Source Data'!$C530,Hour,0)),Month,'Summarized Source Data'!$A530,Sector,'Summarized Source Data'!K$2,Subsector,"Total",TimeOfWeek,$E530)-SUM(F530:I530))*INDEX(About!G$79:G$82,MATCH($B530,About!$A$79:$A$82,0),1)</f>
        <v>60651133</v>
      </c>
      <c r="L530" s="27">
        <f>SUMIFS(INDEX(Load,,MATCH('Summarized Source Data'!$C530,Hour,0)),Month,'Summarized Source Data'!$A530,Sector,'Summarized Source Data'!L$2,Subsector,'Summarized Source Data'!L$3,TimeOfWeek,$E530)*INDEX(About!H$79:H$82,MATCH($B530,About!$A$79:$A$82,0),1)</f>
        <v>4001268</v>
      </c>
      <c r="M530" s="27">
        <f>SUMIFS(INDEX(Load,,MATCH('Summarized Source Data'!$C530,Hour,0)),Month,'Summarized Source Data'!$A530,Sector,'Summarized Source Data'!M$2,Subsector,'Summarized Source Data'!M$3,TimeOfWeek,$E530)*INDEX(About!I$79:I$82,MATCH($B530,About!$A$79:$A$82,0),1)</f>
        <v>740684</v>
      </c>
      <c r="N530" s="27">
        <f>SUMIFS(INDEX(Load,,MATCH('Summarized Source Data'!$C530,Hour,0)),Month,'Summarized Source Data'!$A530,Sector,'Summarized Source Data'!N$2,Subsector,'Summarized Source Data'!N$3,TimeOfWeek,$E530)*INDEX(About!J$79:J$82,MATCH($B530,About!$A$79:$A$82,0),1)</f>
        <v>0</v>
      </c>
      <c r="O530" s="29">
        <f t="shared" si="44"/>
        <v>84358048</v>
      </c>
      <c r="P530" s="27">
        <f>(SUMIFS(INDEX(Load,,MATCH('Summarized Source Data'!$C530,Hour,0)),Month,'Summarized Source Data'!$A530,Sector,'Summarized Source Data'!P$2,Subsector,"Total",TimeOfWeek,$E530)-SUM(L530:N530)*INDEX(About!L$79:L$82,MATCH($B530,About!$A$79:$A$82,0),1))</f>
        <v>84358048</v>
      </c>
      <c r="Q530" s="29">
        <f t="shared" si="45"/>
        <v>84358048</v>
      </c>
      <c r="R530" s="33">
        <f>SUMIFS(INDEX(Load,,MATCH('Summarized Source Data'!$C530,Hour,0)),Month,'Summarized Source Data'!$A530,Sector,'Summarized Source Data'!R$2,TimeOfWeek,$E530)*INDEX(About!N$79:N$82,MATCH($B530,About!$A$79:$A$82,0),1)</f>
        <v>5576025</v>
      </c>
      <c r="S530" s="33">
        <f>SUMIFS(INDEX(Load,,MATCH('Summarized Source Data'!$C530,Hour,0)),Month,'Summarized Source Data'!$A530,Sector,'Summarized Source Data'!S$2,TimeOfWeek,$E530)*INDEX(About!O$79:O$82,MATCH($B530,About!$A$79:$A$82,0),1)</f>
        <v>5576025</v>
      </c>
      <c r="T530" s="33">
        <f>SUMIFS(INDEX(Load,,MATCH('Summarized Source Data'!$C530,Hour,0)),Month,'Summarized Source Data'!$A530,Sector,'Summarized Source Data'!T$2,TimeOfWeek,$E530)*INDEX(About!P$79:P$82,MATCH($B530,About!$A$79:$A$82,0),1)</f>
        <v>5576025</v>
      </c>
      <c r="U530" s="33">
        <f>SUMIFS(INDEX(Load,,MATCH('Summarized Source Data'!$C530,Hour,0)),Month,'Summarized Source Data'!$A530,Sector,'Summarized Source Data'!U$2,TimeOfWeek,$E530)*INDEX(About!Q$79:Q$82,MATCH($B530,About!$A$79:$A$82,0),1)</f>
        <v>5576025</v>
      </c>
      <c r="V530" s="33">
        <f>SUMIFS(INDEX(Load,,MATCH('Summarized Source Data'!$C530,Hour,0)),Month,'Summarized Source Data'!$A530,Sector,'Summarized Source Data'!V$2,TimeOfWeek,$E530)*INDEX(About!R$79:R$82,MATCH($B530,About!$A$79:$A$82,0),1)</f>
        <v>5576025</v>
      </c>
      <c r="W530" s="33">
        <f>SUMIFS(INDEX(Load,,MATCH('Summarized Source Data'!$C530,Hour,0)),Month,'Summarized Source Data'!$A530,Sector,'Summarized Source Data'!W$2,TimeOfWeek,$E530)*INDEX(About!S$79:S$82,MATCH($B530,About!$A$79:$A$82,0),1)</f>
        <v>5576025</v>
      </c>
      <c r="X530" s="27">
        <f>SUMIFS(INDEX(Load,,MATCH('Summarized Source Data'!$C530,Hour,0)),Month,'Summarized Source Data'!$A530,Sector,'Summarized Source Data'!X$2,Subsector,'Summarized Source Data'!X$3,TimeOfWeek,$E530)*INDEX(About!T$79:T$82,MATCH($B530,About!$A$79:$A$82,0),1)</f>
        <v>341000000</v>
      </c>
      <c r="Y530" s="29">
        <f t="shared" si="46"/>
        <v>341000000</v>
      </c>
      <c r="Z530" s="29">
        <f t="shared" si="46"/>
        <v>341000000</v>
      </c>
    </row>
    <row r="531" spans="1:26" x14ac:dyDescent="0.3">
      <c r="A531">
        <f t="shared" si="41"/>
        <v>10</v>
      </c>
      <c r="B531" t="str">
        <f>INDEX('Category Mapping'!$G$28:$G$39,MATCH(A531,'Category Mapping'!$A$28:$A$39,0),1)</f>
        <v>Fall</v>
      </c>
      <c r="C531" t="s">
        <v>86</v>
      </c>
      <c r="D531" s="6" t="s">
        <v>161</v>
      </c>
      <c r="E531" s="46" t="s">
        <v>48</v>
      </c>
      <c r="F531" s="27">
        <f>SUMIFS(INDEX(Load,,MATCH('Summarized Source Data'!$C531,Hour,0)),Month,'Summarized Source Data'!$A531,Sector,'Summarized Source Data'!F$2,Subsector,'Summarized Source Data'!F$3,TimeOfWeek,$E531)*INDEX(About!B$79:B$82,MATCH($B531,About!$A$79:$A$82,0),1)</f>
        <v>1927719</v>
      </c>
      <c r="G531" s="27">
        <f>SUMIFS(INDEX(Load,,MATCH('Summarized Source Data'!$C531,Hour,0)),Month,'Summarized Source Data'!$A531,Sector,'Summarized Source Data'!G$2,Subsector,'Summarized Source Data'!G$3,TimeOfWeek,$E531)*INDEX(About!C$79:C$82,MATCH($B531,About!$A$79:$A$82,0),1)</f>
        <v>1173</v>
      </c>
      <c r="H531" s="27">
        <f>SUMIFS(INDEX(Load,,MATCH('Summarized Source Data'!$C531,Hour,0)),Month,'Summarized Source Data'!$A531,Sector,'Summarized Source Data'!H$2,Subsector,'Summarized Source Data'!H$3,TimeOfWeek,$E531)*INDEX(About!D$79:D$82,MATCH($B531,About!$A$79:$A$82,0),1)</f>
        <v>0</v>
      </c>
      <c r="I531" s="27">
        <f>SUMIFS(INDEX(Load,,MATCH('Summarized Source Data'!$C531,Hour,0)),Month,'Summarized Source Data'!$A531,Sector,'Summarized Source Data'!I$2,Subsector,'Summarized Source Data'!I$3,TimeOfWeek,$E531)*INDEX(About!E$79:E$82,MATCH($B531,About!$A$79:$A$82,0),1)</f>
        <v>9611407</v>
      </c>
      <c r="J531" s="54">
        <f t="shared" si="43"/>
        <v>48259701</v>
      </c>
      <c r="K531" s="27">
        <f>(SUMIFS(INDEX(Load,,MATCH('Summarized Source Data'!$C531,Hour,0)),Month,'Summarized Source Data'!$A531,Sector,'Summarized Source Data'!K$2,Subsector,"Total",TimeOfWeek,$E531)-SUM(F531:I531))*INDEX(About!G$79:G$82,MATCH($B531,About!$A$79:$A$82,0),1)</f>
        <v>48259701</v>
      </c>
      <c r="L531" s="27">
        <f>SUMIFS(INDEX(Load,,MATCH('Summarized Source Data'!$C531,Hour,0)),Month,'Summarized Source Data'!$A531,Sector,'Summarized Source Data'!L$2,Subsector,'Summarized Source Data'!L$3,TimeOfWeek,$E531)*INDEX(About!H$79:H$82,MATCH($B531,About!$A$79:$A$82,0),1)</f>
        <v>4193277</v>
      </c>
      <c r="M531" s="27">
        <f>SUMIFS(INDEX(Load,,MATCH('Summarized Source Data'!$C531,Hour,0)),Month,'Summarized Source Data'!$A531,Sector,'Summarized Source Data'!M$2,Subsector,'Summarized Source Data'!M$3,TimeOfWeek,$E531)*INDEX(About!I$79:I$82,MATCH($B531,About!$A$79:$A$82,0),1)</f>
        <v>703720</v>
      </c>
      <c r="N531" s="27">
        <f>SUMIFS(INDEX(Load,,MATCH('Summarized Source Data'!$C531,Hour,0)),Month,'Summarized Source Data'!$A531,Sector,'Summarized Source Data'!N$2,Subsector,'Summarized Source Data'!N$3,TimeOfWeek,$E531)*INDEX(About!J$79:J$82,MATCH($B531,About!$A$79:$A$82,0),1)</f>
        <v>0</v>
      </c>
      <c r="O531" s="29">
        <f t="shared" si="44"/>
        <v>77203003</v>
      </c>
      <c r="P531" s="27">
        <f>(SUMIFS(INDEX(Load,,MATCH('Summarized Source Data'!$C531,Hour,0)),Month,'Summarized Source Data'!$A531,Sector,'Summarized Source Data'!P$2,Subsector,"Total",TimeOfWeek,$E531)-SUM(L531:N531)*INDEX(About!L$79:L$82,MATCH($B531,About!$A$79:$A$82,0),1))</f>
        <v>77203003</v>
      </c>
      <c r="Q531" s="29">
        <f t="shared" si="45"/>
        <v>77203003</v>
      </c>
      <c r="R531" s="33">
        <f>SUMIFS(INDEX(Load,,MATCH('Summarized Source Data'!$C531,Hour,0)),Month,'Summarized Source Data'!$A531,Sector,'Summarized Source Data'!R$2,TimeOfWeek,$E531)*INDEX(About!N$79:N$82,MATCH($B531,About!$A$79:$A$82,0),1)</f>
        <v>3747140</v>
      </c>
      <c r="S531" s="33">
        <f>SUMIFS(INDEX(Load,,MATCH('Summarized Source Data'!$C531,Hour,0)),Month,'Summarized Source Data'!$A531,Sector,'Summarized Source Data'!S$2,TimeOfWeek,$E531)*INDEX(About!O$79:O$82,MATCH($B531,About!$A$79:$A$82,0),1)</f>
        <v>3747140</v>
      </c>
      <c r="T531" s="33">
        <f>SUMIFS(INDEX(Load,,MATCH('Summarized Source Data'!$C531,Hour,0)),Month,'Summarized Source Data'!$A531,Sector,'Summarized Source Data'!T$2,TimeOfWeek,$E531)*INDEX(About!P$79:P$82,MATCH($B531,About!$A$79:$A$82,0),1)</f>
        <v>3747140</v>
      </c>
      <c r="U531" s="33">
        <f>SUMIFS(INDEX(Load,,MATCH('Summarized Source Data'!$C531,Hour,0)),Month,'Summarized Source Data'!$A531,Sector,'Summarized Source Data'!U$2,TimeOfWeek,$E531)*INDEX(About!Q$79:Q$82,MATCH($B531,About!$A$79:$A$82,0),1)</f>
        <v>3747140</v>
      </c>
      <c r="V531" s="33">
        <f>SUMIFS(INDEX(Load,,MATCH('Summarized Source Data'!$C531,Hour,0)),Month,'Summarized Source Data'!$A531,Sector,'Summarized Source Data'!V$2,TimeOfWeek,$E531)*INDEX(About!R$79:R$82,MATCH($B531,About!$A$79:$A$82,0),1)</f>
        <v>3747140</v>
      </c>
      <c r="W531" s="33">
        <f>SUMIFS(INDEX(Load,,MATCH('Summarized Source Data'!$C531,Hour,0)),Month,'Summarized Source Data'!$A531,Sector,'Summarized Source Data'!W$2,TimeOfWeek,$E531)*INDEX(About!S$79:S$82,MATCH($B531,About!$A$79:$A$82,0),1)</f>
        <v>3747140</v>
      </c>
      <c r="X531" s="27">
        <f>SUMIFS(INDEX(Load,,MATCH('Summarized Source Data'!$C531,Hour,0)),Month,'Summarized Source Data'!$A531,Sector,'Summarized Source Data'!X$2,Subsector,'Summarized Source Data'!X$3,TimeOfWeek,$E531)*INDEX(About!T$79:T$82,MATCH($B531,About!$A$79:$A$82,0),1)</f>
        <v>340000000</v>
      </c>
      <c r="Y531" s="29">
        <f t="shared" si="46"/>
        <v>340000000</v>
      </c>
      <c r="Z531" s="29">
        <f t="shared" si="46"/>
        <v>340000000</v>
      </c>
    </row>
    <row r="532" spans="1:26" x14ac:dyDescent="0.3">
      <c r="A532">
        <f t="shared" si="41"/>
        <v>11</v>
      </c>
      <c r="B532" t="str">
        <f>INDEX('Category Mapping'!$G$28:$G$39,MATCH(A532,'Category Mapping'!$A$28:$A$39,0),1)</f>
        <v>Winter</v>
      </c>
      <c r="C532" t="s">
        <v>63</v>
      </c>
      <c r="D532" s="6" t="s">
        <v>138</v>
      </c>
      <c r="E532" s="46" t="s">
        <v>48</v>
      </c>
      <c r="F532" s="27">
        <f>SUMIFS(INDEX(Load,,MATCH('Summarized Source Data'!$C532,Hour,0)),Month,'Summarized Source Data'!$A532,Sector,'Summarized Source Data'!F$2,Subsector,'Summarized Source Data'!F$3,TimeOfWeek,$E532)*INDEX(About!B$79:B$82,MATCH($B532,About!$A$79:$A$82,0),1)</f>
        <v>5753227</v>
      </c>
      <c r="G532" s="27">
        <f>SUMIFS(INDEX(Load,,MATCH('Summarized Source Data'!$C532,Hour,0)),Month,'Summarized Source Data'!$A532,Sector,'Summarized Source Data'!G$2,Subsector,'Summarized Source Data'!G$3,TimeOfWeek,$E532)*INDEX(About!C$79:C$82,MATCH($B532,About!$A$79:$A$82,0),1)</f>
        <v>22833</v>
      </c>
      <c r="H532" s="27">
        <f>SUMIFS(INDEX(Load,,MATCH('Summarized Source Data'!$C532,Hour,0)),Month,'Summarized Source Data'!$A532,Sector,'Summarized Source Data'!H$2,Subsector,'Summarized Source Data'!H$3,TimeOfWeek,$E532)*INDEX(About!D$79:D$82,MATCH($B532,About!$A$79:$A$82,0),1)</f>
        <v>0</v>
      </c>
      <c r="I532" s="27">
        <f>SUMIFS(INDEX(Load,,MATCH('Summarized Source Data'!$C532,Hour,0)),Month,'Summarized Source Data'!$A532,Sector,'Summarized Source Data'!I$2,Subsector,'Summarized Source Data'!I$3,TimeOfWeek,$E532)*INDEX(About!E$79:E$82,MATCH($B532,About!$A$79:$A$82,0),1)</f>
        <v>6924355</v>
      </c>
      <c r="J532" s="54">
        <f t="shared" si="43"/>
        <v>37699585</v>
      </c>
      <c r="K532" s="27">
        <f>(SUMIFS(INDEX(Load,,MATCH('Summarized Source Data'!$C532,Hour,0)),Month,'Summarized Source Data'!$A532,Sector,'Summarized Source Data'!K$2,Subsector,"Total",TimeOfWeek,$E532)-SUM(F532:I532))*INDEX(About!G$79:G$82,MATCH($B532,About!$A$79:$A$82,0),1)</f>
        <v>37699585</v>
      </c>
      <c r="L532" s="27">
        <f>SUMIFS(INDEX(Load,,MATCH('Summarized Source Data'!$C532,Hour,0)),Month,'Summarized Source Data'!$A532,Sector,'Summarized Source Data'!L$2,Subsector,'Summarized Source Data'!L$3,TimeOfWeek,$E532)*INDEX(About!H$79:H$82,MATCH($B532,About!$A$79:$A$82,0),1)</f>
        <v>7804061</v>
      </c>
      <c r="M532" s="27">
        <f>SUMIFS(INDEX(Load,,MATCH('Summarized Source Data'!$C532,Hour,0)),Month,'Summarized Source Data'!$A532,Sector,'Summarized Source Data'!M$2,Subsector,'Summarized Source Data'!M$3,TimeOfWeek,$E532)*INDEX(About!I$79:I$82,MATCH($B532,About!$A$79:$A$82,0),1)</f>
        <v>68569</v>
      </c>
      <c r="N532" s="27">
        <f>SUMIFS(INDEX(Load,,MATCH('Summarized Source Data'!$C532,Hour,0)),Month,'Summarized Source Data'!$A532,Sector,'Summarized Source Data'!N$2,Subsector,'Summarized Source Data'!N$3,TimeOfWeek,$E532)*INDEX(About!J$79:J$82,MATCH($B532,About!$A$79:$A$82,0),1)</f>
        <v>0</v>
      </c>
      <c r="O532" s="29">
        <f t="shared" si="44"/>
        <v>78227370</v>
      </c>
      <c r="P532" s="27">
        <f>(SUMIFS(INDEX(Load,,MATCH('Summarized Source Data'!$C532,Hour,0)),Month,'Summarized Source Data'!$A532,Sector,'Summarized Source Data'!P$2,Subsector,"Total",TimeOfWeek,$E532)-SUM(L532:N532)*INDEX(About!L$79:L$82,MATCH($B532,About!$A$79:$A$82,0),1))</f>
        <v>78227370</v>
      </c>
      <c r="Q532" s="29">
        <f t="shared" si="45"/>
        <v>78227370</v>
      </c>
      <c r="R532" s="33">
        <f>SUMIFS(INDEX(Load,,MATCH('Summarized Source Data'!$C532,Hour,0)),Month,'Summarized Source Data'!$A532,Sector,'Summarized Source Data'!R$2,TimeOfWeek,$E532)*INDEX(About!N$79:N$82,MATCH($B532,About!$A$79:$A$82,0),1)</f>
        <v>2701872</v>
      </c>
      <c r="S532" s="33">
        <f>SUMIFS(INDEX(Load,,MATCH('Summarized Source Data'!$C532,Hour,0)),Month,'Summarized Source Data'!$A532,Sector,'Summarized Source Data'!S$2,TimeOfWeek,$E532)*INDEX(About!O$79:O$82,MATCH($B532,About!$A$79:$A$82,0),1)</f>
        <v>2701872</v>
      </c>
      <c r="T532" s="33">
        <f>SUMIFS(INDEX(Load,,MATCH('Summarized Source Data'!$C532,Hour,0)),Month,'Summarized Source Data'!$A532,Sector,'Summarized Source Data'!T$2,TimeOfWeek,$E532)*INDEX(About!P$79:P$82,MATCH($B532,About!$A$79:$A$82,0),1)</f>
        <v>2701872</v>
      </c>
      <c r="U532" s="33">
        <f>SUMIFS(INDEX(Load,,MATCH('Summarized Source Data'!$C532,Hour,0)),Month,'Summarized Source Data'!$A532,Sector,'Summarized Source Data'!U$2,TimeOfWeek,$E532)*INDEX(About!Q$79:Q$82,MATCH($B532,About!$A$79:$A$82,0),1)</f>
        <v>2701872</v>
      </c>
      <c r="V532" s="33">
        <f>SUMIFS(INDEX(Load,,MATCH('Summarized Source Data'!$C532,Hour,0)),Month,'Summarized Source Data'!$A532,Sector,'Summarized Source Data'!V$2,TimeOfWeek,$E532)*INDEX(About!R$79:R$82,MATCH($B532,About!$A$79:$A$82,0),1)</f>
        <v>2701872</v>
      </c>
      <c r="W532" s="33">
        <f>SUMIFS(INDEX(Load,,MATCH('Summarized Source Data'!$C532,Hour,0)),Month,'Summarized Source Data'!$A532,Sector,'Summarized Source Data'!W$2,TimeOfWeek,$E532)*INDEX(About!S$79:S$82,MATCH($B532,About!$A$79:$A$82,0),1)</f>
        <v>2701872</v>
      </c>
      <c r="X532" s="27">
        <f>SUMIFS(INDEX(Load,,MATCH('Summarized Source Data'!$C532,Hour,0)),Month,'Summarized Source Data'!$A532,Sector,'Summarized Source Data'!X$2,Subsector,'Summarized Source Data'!X$3,TimeOfWeek,$E532)*INDEX(About!T$79:T$82,MATCH($B532,About!$A$79:$A$82,0),1)</f>
        <v>343000000</v>
      </c>
      <c r="Y532" s="29">
        <f t="shared" si="46"/>
        <v>343000000</v>
      </c>
      <c r="Z532" s="29">
        <f t="shared" si="46"/>
        <v>343000000</v>
      </c>
    </row>
    <row r="533" spans="1:26" x14ac:dyDescent="0.3">
      <c r="A533">
        <f t="shared" si="41"/>
        <v>11</v>
      </c>
      <c r="B533" t="str">
        <f>INDEX('Category Mapping'!$G$28:$G$39,MATCH(A533,'Category Mapping'!$A$28:$A$39,0),1)</f>
        <v>Winter</v>
      </c>
      <c r="C533" t="s">
        <v>64</v>
      </c>
      <c r="D533" s="6" t="s">
        <v>139</v>
      </c>
      <c r="E533" s="46" t="s">
        <v>48</v>
      </c>
      <c r="F533" s="27">
        <f>SUMIFS(INDEX(Load,,MATCH('Summarized Source Data'!$C533,Hour,0)),Month,'Summarized Source Data'!$A533,Sector,'Summarized Source Data'!F$2,Subsector,'Summarized Source Data'!F$3,TimeOfWeek,$E533)*INDEX(About!B$79:B$82,MATCH($B533,About!$A$79:$A$82,0),1)</f>
        <v>5903270</v>
      </c>
      <c r="G533" s="27">
        <f>SUMIFS(INDEX(Load,,MATCH('Summarized Source Data'!$C533,Hour,0)),Month,'Summarized Source Data'!$A533,Sector,'Summarized Source Data'!G$2,Subsector,'Summarized Source Data'!G$3,TimeOfWeek,$E533)*INDEX(About!C$79:C$82,MATCH($B533,About!$A$79:$A$82,0),1)</f>
        <v>23182</v>
      </c>
      <c r="H533" s="27">
        <f>SUMIFS(INDEX(Load,,MATCH('Summarized Source Data'!$C533,Hour,0)),Month,'Summarized Source Data'!$A533,Sector,'Summarized Source Data'!H$2,Subsector,'Summarized Source Data'!H$3,TimeOfWeek,$E533)*INDEX(About!D$79:D$82,MATCH($B533,About!$A$79:$A$82,0),1)</f>
        <v>0</v>
      </c>
      <c r="I533" s="27">
        <f>SUMIFS(INDEX(Load,,MATCH('Summarized Source Data'!$C533,Hour,0)),Month,'Summarized Source Data'!$A533,Sector,'Summarized Source Data'!I$2,Subsector,'Summarized Source Data'!I$3,TimeOfWeek,$E533)*INDEX(About!E$79:E$82,MATCH($B533,About!$A$79:$A$82,0),1)</f>
        <v>5982599</v>
      </c>
      <c r="J533" s="54">
        <f t="shared" si="43"/>
        <v>29290949</v>
      </c>
      <c r="K533" s="27">
        <f>(SUMIFS(INDEX(Load,,MATCH('Summarized Source Data'!$C533,Hour,0)),Month,'Summarized Source Data'!$A533,Sector,'Summarized Source Data'!K$2,Subsector,"Total",TimeOfWeek,$E533)-SUM(F533:I533))*INDEX(About!G$79:G$82,MATCH($B533,About!$A$79:$A$82,0),1)</f>
        <v>29290949</v>
      </c>
      <c r="L533" s="27">
        <f>SUMIFS(INDEX(Load,,MATCH('Summarized Source Data'!$C533,Hour,0)),Month,'Summarized Source Data'!$A533,Sector,'Summarized Source Data'!L$2,Subsector,'Summarized Source Data'!L$3,TimeOfWeek,$E533)*INDEX(About!H$79:H$82,MATCH($B533,About!$A$79:$A$82,0),1)</f>
        <v>7130356</v>
      </c>
      <c r="M533" s="27">
        <f>SUMIFS(INDEX(Load,,MATCH('Summarized Source Data'!$C533,Hour,0)),Month,'Summarized Source Data'!$A533,Sector,'Summarized Source Data'!M$2,Subsector,'Summarized Source Data'!M$3,TimeOfWeek,$E533)*INDEX(About!I$79:I$82,MATCH($B533,About!$A$79:$A$82,0),1)</f>
        <v>67111</v>
      </c>
      <c r="N533" s="27">
        <f>SUMIFS(INDEX(Load,,MATCH('Summarized Source Data'!$C533,Hour,0)),Month,'Summarized Source Data'!$A533,Sector,'Summarized Source Data'!N$2,Subsector,'Summarized Source Data'!N$3,TimeOfWeek,$E533)*INDEX(About!J$79:J$82,MATCH($B533,About!$A$79:$A$82,0),1)</f>
        <v>0</v>
      </c>
      <c r="O533" s="29">
        <f t="shared" si="44"/>
        <v>68302533</v>
      </c>
      <c r="P533" s="27">
        <f>(SUMIFS(INDEX(Load,,MATCH('Summarized Source Data'!$C533,Hour,0)),Month,'Summarized Source Data'!$A533,Sector,'Summarized Source Data'!P$2,Subsector,"Total",TimeOfWeek,$E533)-SUM(L533:N533)*INDEX(About!L$79:L$82,MATCH($B533,About!$A$79:$A$82,0),1))</f>
        <v>68302533</v>
      </c>
      <c r="Q533" s="29">
        <f t="shared" si="45"/>
        <v>68302533</v>
      </c>
      <c r="R533" s="33">
        <f>SUMIFS(INDEX(Load,,MATCH('Summarized Source Data'!$C533,Hour,0)),Month,'Summarized Source Data'!$A533,Sector,'Summarized Source Data'!R$2,TimeOfWeek,$E533)*INDEX(About!N$79:N$82,MATCH($B533,About!$A$79:$A$82,0),1)</f>
        <v>2573052</v>
      </c>
      <c r="S533" s="33">
        <f>SUMIFS(INDEX(Load,,MATCH('Summarized Source Data'!$C533,Hour,0)),Month,'Summarized Source Data'!$A533,Sector,'Summarized Source Data'!S$2,TimeOfWeek,$E533)*INDEX(About!O$79:O$82,MATCH($B533,About!$A$79:$A$82,0),1)</f>
        <v>2573052</v>
      </c>
      <c r="T533" s="33">
        <f>SUMIFS(INDEX(Load,,MATCH('Summarized Source Data'!$C533,Hour,0)),Month,'Summarized Source Data'!$A533,Sector,'Summarized Source Data'!T$2,TimeOfWeek,$E533)*INDEX(About!P$79:P$82,MATCH($B533,About!$A$79:$A$82,0),1)</f>
        <v>2573052</v>
      </c>
      <c r="U533" s="33">
        <f>SUMIFS(INDEX(Load,,MATCH('Summarized Source Data'!$C533,Hour,0)),Month,'Summarized Source Data'!$A533,Sector,'Summarized Source Data'!U$2,TimeOfWeek,$E533)*INDEX(About!Q$79:Q$82,MATCH($B533,About!$A$79:$A$82,0),1)</f>
        <v>2573052</v>
      </c>
      <c r="V533" s="33">
        <f>SUMIFS(INDEX(Load,,MATCH('Summarized Source Data'!$C533,Hour,0)),Month,'Summarized Source Data'!$A533,Sector,'Summarized Source Data'!V$2,TimeOfWeek,$E533)*INDEX(About!R$79:R$82,MATCH($B533,About!$A$79:$A$82,0),1)</f>
        <v>2573052</v>
      </c>
      <c r="W533" s="33">
        <f>SUMIFS(INDEX(Load,,MATCH('Summarized Source Data'!$C533,Hour,0)),Month,'Summarized Source Data'!$A533,Sector,'Summarized Source Data'!W$2,TimeOfWeek,$E533)*INDEX(About!S$79:S$82,MATCH($B533,About!$A$79:$A$82,0),1)</f>
        <v>2573052</v>
      </c>
      <c r="X533" s="27">
        <f>SUMIFS(INDEX(Load,,MATCH('Summarized Source Data'!$C533,Hour,0)),Month,'Summarized Source Data'!$A533,Sector,'Summarized Source Data'!X$2,Subsector,'Summarized Source Data'!X$3,TimeOfWeek,$E533)*INDEX(About!T$79:T$82,MATCH($B533,About!$A$79:$A$82,0),1)</f>
        <v>342000000</v>
      </c>
      <c r="Y533" s="29">
        <f t="shared" si="46"/>
        <v>342000000</v>
      </c>
      <c r="Z533" s="29">
        <f t="shared" si="46"/>
        <v>342000000</v>
      </c>
    </row>
    <row r="534" spans="1:26" x14ac:dyDescent="0.3">
      <c r="A534">
        <f t="shared" si="41"/>
        <v>11</v>
      </c>
      <c r="B534" t="str">
        <f>INDEX('Category Mapping'!$G$28:$G$39,MATCH(A534,'Category Mapping'!$A$28:$A$39,0),1)</f>
        <v>Winter</v>
      </c>
      <c r="C534" t="s">
        <v>65</v>
      </c>
      <c r="D534" s="6" t="s">
        <v>140</v>
      </c>
      <c r="E534" s="46" t="s">
        <v>48</v>
      </c>
      <c r="F534" s="27">
        <f>SUMIFS(INDEX(Load,,MATCH('Summarized Source Data'!$C534,Hour,0)),Month,'Summarized Source Data'!$A534,Sector,'Summarized Source Data'!F$2,Subsector,'Summarized Source Data'!F$3,TimeOfWeek,$E534)*INDEX(About!B$79:B$82,MATCH($B534,About!$A$79:$A$82,0),1)</f>
        <v>5954427</v>
      </c>
      <c r="G534" s="27">
        <f>SUMIFS(INDEX(Load,,MATCH('Summarized Source Data'!$C534,Hour,0)),Month,'Summarized Source Data'!$A534,Sector,'Summarized Source Data'!G$2,Subsector,'Summarized Source Data'!G$3,TimeOfWeek,$E534)*INDEX(About!C$79:C$82,MATCH($B534,About!$A$79:$A$82,0),1)</f>
        <v>23490</v>
      </c>
      <c r="H534" s="27">
        <f>SUMIFS(INDEX(Load,,MATCH('Summarized Source Data'!$C534,Hour,0)),Month,'Summarized Source Data'!$A534,Sector,'Summarized Source Data'!H$2,Subsector,'Summarized Source Data'!H$3,TimeOfWeek,$E534)*INDEX(About!D$79:D$82,MATCH($B534,About!$A$79:$A$82,0),1)</f>
        <v>0</v>
      </c>
      <c r="I534" s="27">
        <f>SUMIFS(INDEX(Load,,MATCH('Summarized Source Data'!$C534,Hour,0)),Month,'Summarized Source Data'!$A534,Sector,'Summarized Source Data'!I$2,Subsector,'Summarized Source Data'!I$3,TimeOfWeek,$E534)*INDEX(About!E$79:E$82,MATCH($B534,About!$A$79:$A$82,0),1)</f>
        <v>5778115</v>
      </c>
      <c r="J534" s="54">
        <f t="shared" si="43"/>
        <v>22843968</v>
      </c>
      <c r="K534" s="27">
        <f>(SUMIFS(INDEX(Load,,MATCH('Summarized Source Data'!$C534,Hour,0)),Month,'Summarized Source Data'!$A534,Sector,'Summarized Source Data'!K$2,Subsector,"Total",TimeOfWeek,$E534)-SUM(F534:I534))*INDEX(About!G$79:G$82,MATCH($B534,About!$A$79:$A$82,0),1)</f>
        <v>22843968</v>
      </c>
      <c r="L534" s="27">
        <f>SUMIFS(INDEX(Load,,MATCH('Summarized Source Data'!$C534,Hour,0)),Month,'Summarized Source Data'!$A534,Sector,'Summarized Source Data'!L$2,Subsector,'Summarized Source Data'!L$3,TimeOfWeek,$E534)*INDEX(About!H$79:H$82,MATCH($B534,About!$A$79:$A$82,0),1)</f>
        <v>6449058</v>
      </c>
      <c r="M534" s="27">
        <f>SUMIFS(INDEX(Load,,MATCH('Summarized Source Data'!$C534,Hour,0)),Month,'Summarized Source Data'!$A534,Sector,'Summarized Source Data'!M$2,Subsector,'Summarized Source Data'!M$3,TimeOfWeek,$E534)*INDEX(About!I$79:I$82,MATCH($B534,About!$A$79:$A$82,0),1)</f>
        <v>66502</v>
      </c>
      <c r="N534" s="27">
        <f>SUMIFS(INDEX(Load,,MATCH('Summarized Source Data'!$C534,Hour,0)),Month,'Summarized Source Data'!$A534,Sector,'Summarized Source Data'!N$2,Subsector,'Summarized Source Data'!N$3,TimeOfWeek,$E534)*INDEX(About!J$79:J$82,MATCH($B534,About!$A$79:$A$82,0),1)</f>
        <v>0</v>
      </c>
      <c r="O534" s="29">
        <f t="shared" si="44"/>
        <v>67484440</v>
      </c>
      <c r="P534" s="27">
        <f>(SUMIFS(INDEX(Load,,MATCH('Summarized Source Data'!$C534,Hour,0)),Month,'Summarized Source Data'!$A534,Sector,'Summarized Source Data'!P$2,Subsector,"Total",TimeOfWeek,$E534)-SUM(L534:N534)*INDEX(About!L$79:L$82,MATCH($B534,About!$A$79:$A$82,0),1))</f>
        <v>67484440</v>
      </c>
      <c r="Q534" s="29">
        <f t="shared" si="45"/>
        <v>67484440</v>
      </c>
      <c r="R534" s="33">
        <f>SUMIFS(INDEX(Load,,MATCH('Summarized Source Data'!$C534,Hour,0)),Month,'Summarized Source Data'!$A534,Sector,'Summarized Source Data'!R$2,TimeOfWeek,$E534)*INDEX(About!N$79:N$82,MATCH($B534,About!$A$79:$A$82,0),1)</f>
        <v>2537920</v>
      </c>
      <c r="S534" s="33">
        <f>SUMIFS(INDEX(Load,,MATCH('Summarized Source Data'!$C534,Hour,0)),Month,'Summarized Source Data'!$A534,Sector,'Summarized Source Data'!S$2,TimeOfWeek,$E534)*INDEX(About!O$79:O$82,MATCH($B534,About!$A$79:$A$82,0),1)</f>
        <v>2537920</v>
      </c>
      <c r="T534" s="33">
        <f>SUMIFS(INDEX(Load,,MATCH('Summarized Source Data'!$C534,Hour,0)),Month,'Summarized Source Data'!$A534,Sector,'Summarized Source Data'!T$2,TimeOfWeek,$E534)*INDEX(About!P$79:P$82,MATCH($B534,About!$A$79:$A$82,0),1)</f>
        <v>2537920</v>
      </c>
      <c r="U534" s="33">
        <f>SUMIFS(INDEX(Load,,MATCH('Summarized Source Data'!$C534,Hour,0)),Month,'Summarized Source Data'!$A534,Sector,'Summarized Source Data'!U$2,TimeOfWeek,$E534)*INDEX(About!Q$79:Q$82,MATCH($B534,About!$A$79:$A$82,0),1)</f>
        <v>2537920</v>
      </c>
      <c r="V534" s="33">
        <f>SUMIFS(INDEX(Load,,MATCH('Summarized Source Data'!$C534,Hour,0)),Month,'Summarized Source Data'!$A534,Sector,'Summarized Source Data'!V$2,TimeOfWeek,$E534)*INDEX(About!R$79:R$82,MATCH($B534,About!$A$79:$A$82,0),1)</f>
        <v>2537920</v>
      </c>
      <c r="W534" s="33">
        <f>SUMIFS(INDEX(Load,,MATCH('Summarized Source Data'!$C534,Hour,0)),Month,'Summarized Source Data'!$A534,Sector,'Summarized Source Data'!W$2,TimeOfWeek,$E534)*INDEX(About!S$79:S$82,MATCH($B534,About!$A$79:$A$82,0),1)</f>
        <v>2537920</v>
      </c>
      <c r="X534" s="27">
        <f>SUMIFS(INDEX(Load,,MATCH('Summarized Source Data'!$C534,Hour,0)),Month,'Summarized Source Data'!$A534,Sector,'Summarized Source Data'!X$2,Subsector,'Summarized Source Data'!X$3,TimeOfWeek,$E534)*INDEX(About!T$79:T$82,MATCH($B534,About!$A$79:$A$82,0),1)</f>
        <v>342000000</v>
      </c>
      <c r="Y534" s="29">
        <f t="shared" si="46"/>
        <v>342000000</v>
      </c>
      <c r="Z534" s="29">
        <f t="shared" si="46"/>
        <v>342000000</v>
      </c>
    </row>
    <row r="535" spans="1:26" x14ac:dyDescent="0.3">
      <c r="A535">
        <f t="shared" si="41"/>
        <v>11</v>
      </c>
      <c r="B535" t="str">
        <f>INDEX('Category Mapping'!$G$28:$G$39,MATCH(A535,'Category Mapping'!$A$28:$A$39,0),1)</f>
        <v>Winter</v>
      </c>
      <c r="C535" t="s">
        <v>66</v>
      </c>
      <c r="D535" s="6" t="s">
        <v>141</v>
      </c>
      <c r="E535" s="46" t="s">
        <v>48</v>
      </c>
      <c r="F535" s="27">
        <f>SUMIFS(INDEX(Load,,MATCH('Summarized Source Data'!$C535,Hour,0)),Month,'Summarized Source Data'!$A535,Sector,'Summarized Source Data'!F$2,Subsector,'Summarized Source Data'!F$3,TimeOfWeek,$E535)*INDEX(About!B$79:B$82,MATCH($B535,About!$A$79:$A$82,0),1)</f>
        <v>5903270</v>
      </c>
      <c r="G535" s="27">
        <f>SUMIFS(INDEX(Load,,MATCH('Summarized Source Data'!$C535,Hour,0)),Month,'Summarized Source Data'!$A535,Sector,'Summarized Source Data'!G$2,Subsector,'Summarized Source Data'!G$3,TimeOfWeek,$E535)*INDEX(About!C$79:C$82,MATCH($B535,About!$A$79:$A$82,0),1)</f>
        <v>23535</v>
      </c>
      <c r="H535" s="27">
        <f>SUMIFS(INDEX(Load,,MATCH('Summarized Source Data'!$C535,Hour,0)),Month,'Summarized Source Data'!$A535,Sector,'Summarized Source Data'!H$2,Subsector,'Summarized Source Data'!H$3,TimeOfWeek,$E535)*INDEX(About!D$79:D$82,MATCH($B535,About!$A$79:$A$82,0),1)</f>
        <v>0</v>
      </c>
      <c r="I535" s="27">
        <f>SUMIFS(INDEX(Load,,MATCH('Summarized Source Data'!$C535,Hour,0)),Month,'Summarized Source Data'!$A535,Sector,'Summarized Source Data'!I$2,Subsector,'Summarized Source Data'!I$3,TimeOfWeek,$E535)*INDEX(About!E$79:E$82,MATCH($B535,About!$A$79:$A$82,0),1)</f>
        <v>5773238</v>
      </c>
      <c r="J535" s="54">
        <f t="shared" si="43"/>
        <v>18899957</v>
      </c>
      <c r="K535" s="27">
        <f>(SUMIFS(INDEX(Load,,MATCH('Summarized Source Data'!$C535,Hour,0)),Month,'Summarized Source Data'!$A535,Sector,'Summarized Source Data'!K$2,Subsector,"Total",TimeOfWeek,$E535)-SUM(F535:I535))*INDEX(About!G$79:G$82,MATCH($B535,About!$A$79:$A$82,0),1)</f>
        <v>18899957</v>
      </c>
      <c r="L535" s="27">
        <f>SUMIFS(INDEX(Load,,MATCH('Summarized Source Data'!$C535,Hour,0)),Month,'Summarized Source Data'!$A535,Sector,'Summarized Source Data'!L$2,Subsector,'Summarized Source Data'!L$3,TimeOfWeek,$E535)*INDEX(About!H$79:H$82,MATCH($B535,About!$A$79:$A$82,0),1)</f>
        <v>6599931</v>
      </c>
      <c r="M535" s="27">
        <f>SUMIFS(INDEX(Load,,MATCH('Summarized Source Data'!$C535,Hour,0)),Month,'Summarized Source Data'!$A535,Sector,'Summarized Source Data'!M$2,Subsector,'Summarized Source Data'!M$3,TimeOfWeek,$E535)*INDEX(About!I$79:I$82,MATCH($B535,About!$A$79:$A$82,0),1)</f>
        <v>66159</v>
      </c>
      <c r="N535" s="27">
        <f>SUMIFS(INDEX(Load,,MATCH('Summarized Source Data'!$C535,Hour,0)),Month,'Summarized Source Data'!$A535,Sector,'Summarized Source Data'!N$2,Subsector,'Summarized Source Data'!N$3,TimeOfWeek,$E535)*INDEX(About!J$79:J$82,MATCH($B535,About!$A$79:$A$82,0),1)</f>
        <v>0</v>
      </c>
      <c r="O535" s="29">
        <f t="shared" si="44"/>
        <v>68133910</v>
      </c>
      <c r="P535" s="27">
        <f>(SUMIFS(INDEX(Load,,MATCH('Summarized Source Data'!$C535,Hour,0)),Month,'Summarized Source Data'!$A535,Sector,'Summarized Source Data'!P$2,Subsector,"Total",TimeOfWeek,$E535)-SUM(L535:N535)*INDEX(About!L$79:L$82,MATCH($B535,About!$A$79:$A$82,0),1))</f>
        <v>68133910</v>
      </c>
      <c r="Q535" s="29">
        <f t="shared" si="45"/>
        <v>68133910</v>
      </c>
      <c r="R535" s="33">
        <f>SUMIFS(INDEX(Load,,MATCH('Summarized Source Data'!$C535,Hour,0)),Month,'Summarized Source Data'!$A535,Sector,'Summarized Source Data'!R$2,TimeOfWeek,$E535)*INDEX(About!N$79:N$82,MATCH($B535,About!$A$79:$A$82,0),1)</f>
        <v>2537920</v>
      </c>
      <c r="S535" s="33">
        <f>SUMIFS(INDEX(Load,,MATCH('Summarized Source Data'!$C535,Hour,0)),Month,'Summarized Source Data'!$A535,Sector,'Summarized Source Data'!S$2,TimeOfWeek,$E535)*INDEX(About!O$79:O$82,MATCH($B535,About!$A$79:$A$82,0),1)</f>
        <v>2537920</v>
      </c>
      <c r="T535" s="33">
        <f>SUMIFS(INDEX(Load,,MATCH('Summarized Source Data'!$C535,Hour,0)),Month,'Summarized Source Data'!$A535,Sector,'Summarized Source Data'!T$2,TimeOfWeek,$E535)*INDEX(About!P$79:P$82,MATCH($B535,About!$A$79:$A$82,0),1)</f>
        <v>2537920</v>
      </c>
      <c r="U535" s="33">
        <f>SUMIFS(INDEX(Load,,MATCH('Summarized Source Data'!$C535,Hour,0)),Month,'Summarized Source Data'!$A535,Sector,'Summarized Source Data'!U$2,TimeOfWeek,$E535)*INDEX(About!Q$79:Q$82,MATCH($B535,About!$A$79:$A$82,0),1)</f>
        <v>2537920</v>
      </c>
      <c r="V535" s="33">
        <f>SUMIFS(INDEX(Load,,MATCH('Summarized Source Data'!$C535,Hour,0)),Month,'Summarized Source Data'!$A535,Sector,'Summarized Source Data'!V$2,TimeOfWeek,$E535)*INDEX(About!R$79:R$82,MATCH($B535,About!$A$79:$A$82,0),1)</f>
        <v>2537920</v>
      </c>
      <c r="W535" s="33">
        <f>SUMIFS(INDEX(Load,,MATCH('Summarized Source Data'!$C535,Hour,0)),Month,'Summarized Source Data'!$A535,Sector,'Summarized Source Data'!W$2,TimeOfWeek,$E535)*INDEX(About!S$79:S$82,MATCH($B535,About!$A$79:$A$82,0),1)</f>
        <v>2537920</v>
      </c>
      <c r="X535" s="27">
        <f>SUMIFS(INDEX(Load,,MATCH('Summarized Source Data'!$C535,Hour,0)),Month,'Summarized Source Data'!$A535,Sector,'Summarized Source Data'!X$2,Subsector,'Summarized Source Data'!X$3,TimeOfWeek,$E535)*INDEX(About!T$79:T$82,MATCH($B535,About!$A$79:$A$82,0),1)</f>
        <v>343000000</v>
      </c>
      <c r="Y535" s="29">
        <f t="shared" si="46"/>
        <v>343000000</v>
      </c>
      <c r="Z535" s="29">
        <f t="shared" si="46"/>
        <v>343000000</v>
      </c>
    </row>
    <row r="536" spans="1:26" x14ac:dyDescent="0.3">
      <c r="A536">
        <f t="shared" si="41"/>
        <v>11</v>
      </c>
      <c r="B536" t="str">
        <f>INDEX('Category Mapping'!$G$28:$G$39,MATCH(A536,'Category Mapping'!$A$28:$A$39,0),1)</f>
        <v>Winter</v>
      </c>
      <c r="C536" t="s">
        <v>67</v>
      </c>
      <c r="D536" s="6" t="s">
        <v>142</v>
      </c>
      <c r="E536" s="46" t="s">
        <v>48</v>
      </c>
      <c r="F536" s="27">
        <f>SUMIFS(INDEX(Load,,MATCH('Summarized Source Data'!$C536,Hour,0)),Month,'Summarized Source Data'!$A536,Sector,'Summarized Source Data'!F$2,Subsector,'Summarized Source Data'!F$3,TimeOfWeek,$E536)*INDEX(About!B$79:B$82,MATCH($B536,About!$A$79:$A$82,0),1)</f>
        <v>5753227</v>
      </c>
      <c r="G536" s="27">
        <f>SUMIFS(INDEX(Load,,MATCH('Summarized Source Data'!$C536,Hour,0)),Month,'Summarized Source Data'!$A536,Sector,'Summarized Source Data'!G$2,Subsector,'Summarized Source Data'!G$3,TimeOfWeek,$E536)*INDEX(About!C$79:C$82,MATCH($B536,About!$A$79:$A$82,0),1)</f>
        <v>23459</v>
      </c>
      <c r="H536" s="27">
        <f>SUMIFS(INDEX(Load,,MATCH('Summarized Source Data'!$C536,Hour,0)),Month,'Summarized Source Data'!$A536,Sector,'Summarized Source Data'!H$2,Subsector,'Summarized Source Data'!H$3,TimeOfWeek,$E536)*INDEX(About!D$79:D$82,MATCH($B536,About!$A$79:$A$82,0),1)</f>
        <v>0</v>
      </c>
      <c r="I536" s="27">
        <f>SUMIFS(INDEX(Load,,MATCH('Summarized Source Data'!$C536,Hour,0)),Month,'Summarized Source Data'!$A536,Sector,'Summarized Source Data'!I$2,Subsector,'Summarized Source Data'!I$3,TimeOfWeek,$E536)*INDEX(About!E$79:E$82,MATCH($B536,About!$A$79:$A$82,0),1)</f>
        <v>6076887</v>
      </c>
      <c r="J536" s="54">
        <f t="shared" si="43"/>
        <v>19346427</v>
      </c>
      <c r="K536" s="27">
        <f>(SUMIFS(INDEX(Load,,MATCH('Summarized Source Data'!$C536,Hour,0)),Month,'Summarized Source Data'!$A536,Sector,'Summarized Source Data'!K$2,Subsector,"Total",TimeOfWeek,$E536)-SUM(F536:I536))*INDEX(About!G$79:G$82,MATCH($B536,About!$A$79:$A$82,0),1)</f>
        <v>19346427</v>
      </c>
      <c r="L536" s="27">
        <f>SUMIFS(INDEX(Load,,MATCH('Summarized Source Data'!$C536,Hour,0)),Month,'Summarized Source Data'!$A536,Sector,'Summarized Source Data'!L$2,Subsector,'Summarized Source Data'!L$3,TimeOfWeek,$E536)*INDEX(About!H$79:H$82,MATCH($B536,About!$A$79:$A$82,0),1)</f>
        <v>6785656</v>
      </c>
      <c r="M536" s="27">
        <f>SUMIFS(INDEX(Load,,MATCH('Summarized Source Data'!$C536,Hour,0)),Month,'Summarized Source Data'!$A536,Sector,'Summarized Source Data'!M$2,Subsector,'Summarized Source Data'!M$3,TimeOfWeek,$E536)*INDEX(About!I$79:I$82,MATCH($B536,About!$A$79:$A$82,0),1)</f>
        <v>66085</v>
      </c>
      <c r="N536" s="27">
        <f>SUMIFS(INDEX(Load,,MATCH('Summarized Source Data'!$C536,Hour,0)),Month,'Summarized Source Data'!$A536,Sector,'Summarized Source Data'!N$2,Subsector,'Summarized Source Data'!N$3,TimeOfWeek,$E536)*INDEX(About!J$79:J$82,MATCH($B536,About!$A$79:$A$82,0),1)</f>
        <v>0</v>
      </c>
      <c r="O536" s="29">
        <f t="shared" si="44"/>
        <v>69148259</v>
      </c>
      <c r="P536" s="27">
        <f>(SUMIFS(INDEX(Load,,MATCH('Summarized Source Data'!$C536,Hour,0)),Month,'Summarized Source Data'!$A536,Sector,'Summarized Source Data'!P$2,Subsector,"Total",TimeOfWeek,$E536)-SUM(L536:N536)*INDEX(About!L$79:L$82,MATCH($B536,About!$A$79:$A$82,0),1))</f>
        <v>69148259</v>
      </c>
      <c r="Q536" s="29">
        <f t="shared" si="45"/>
        <v>69148259</v>
      </c>
      <c r="R536" s="33">
        <f>SUMIFS(INDEX(Load,,MATCH('Summarized Source Data'!$C536,Hour,0)),Month,'Summarized Source Data'!$A536,Sector,'Summarized Source Data'!R$2,TimeOfWeek,$E536)*INDEX(About!N$79:N$82,MATCH($B536,About!$A$79:$A$82,0),1)</f>
        <v>2526209</v>
      </c>
      <c r="S536" s="33">
        <f>SUMIFS(INDEX(Load,,MATCH('Summarized Source Data'!$C536,Hour,0)),Month,'Summarized Source Data'!$A536,Sector,'Summarized Source Data'!S$2,TimeOfWeek,$E536)*INDEX(About!O$79:O$82,MATCH($B536,About!$A$79:$A$82,0),1)</f>
        <v>2526209</v>
      </c>
      <c r="T536" s="33">
        <f>SUMIFS(INDEX(Load,,MATCH('Summarized Source Data'!$C536,Hour,0)),Month,'Summarized Source Data'!$A536,Sector,'Summarized Source Data'!T$2,TimeOfWeek,$E536)*INDEX(About!P$79:P$82,MATCH($B536,About!$A$79:$A$82,0),1)</f>
        <v>2526209</v>
      </c>
      <c r="U536" s="33">
        <f>SUMIFS(INDEX(Load,,MATCH('Summarized Source Data'!$C536,Hour,0)),Month,'Summarized Source Data'!$A536,Sector,'Summarized Source Data'!U$2,TimeOfWeek,$E536)*INDEX(About!Q$79:Q$82,MATCH($B536,About!$A$79:$A$82,0),1)</f>
        <v>2526209</v>
      </c>
      <c r="V536" s="33">
        <f>SUMIFS(INDEX(Load,,MATCH('Summarized Source Data'!$C536,Hour,0)),Month,'Summarized Source Data'!$A536,Sector,'Summarized Source Data'!V$2,TimeOfWeek,$E536)*INDEX(About!R$79:R$82,MATCH($B536,About!$A$79:$A$82,0),1)</f>
        <v>2526209</v>
      </c>
      <c r="W536" s="33">
        <f>SUMIFS(INDEX(Load,,MATCH('Summarized Source Data'!$C536,Hour,0)),Month,'Summarized Source Data'!$A536,Sector,'Summarized Source Data'!W$2,TimeOfWeek,$E536)*INDEX(About!S$79:S$82,MATCH($B536,About!$A$79:$A$82,0),1)</f>
        <v>2526209</v>
      </c>
      <c r="X536" s="27">
        <f>SUMIFS(INDEX(Load,,MATCH('Summarized Source Data'!$C536,Hour,0)),Month,'Summarized Source Data'!$A536,Sector,'Summarized Source Data'!X$2,Subsector,'Summarized Source Data'!X$3,TimeOfWeek,$E536)*INDEX(About!T$79:T$82,MATCH($B536,About!$A$79:$A$82,0),1)</f>
        <v>346000000</v>
      </c>
      <c r="Y536" s="29">
        <f t="shared" si="46"/>
        <v>346000000</v>
      </c>
      <c r="Z536" s="29">
        <f t="shared" si="46"/>
        <v>346000000</v>
      </c>
    </row>
    <row r="537" spans="1:26" x14ac:dyDescent="0.3">
      <c r="A537">
        <f t="shared" si="41"/>
        <v>11</v>
      </c>
      <c r="B537" t="str">
        <f>INDEX('Category Mapping'!$G$28:$G$39,MATCH(A537,'Category Mapping'!$A$28:$A$39,0),1)</f>
        <v>Winter</v>
      </c>
      <c r="C537" t="s">
        <v>68</v>
      </c>
      <c r="D537" s="6" t="s">
        <v>143</v>
      </c>
      <c r="E537" s="46" t="s">
        <v>48</v>
      </c>
      <c r="F537" s="27">
        <f>SUMIFS(INDEX(Load,,MATCH('Summarized Source Data'!$C537,Hour,0)),Month,'Summarized Source Data'!$A537,Sector,'Summarized Source Data'!F$2,Subsector,'Summarized Source Data'!F$3,TimeOfWeek,$E537)*INDEX(About!B$79:B$82,MATCH($B537,About!$A$79:$A$82,0),1)</f>
        <v>6293809</v>
      </c>
      <c r="G537" s="27">
        <f>SUMIFS(INDEX(Load,,MATCH('Summarized Source Data'!$C537,Hour,0)),Month,'Summarized Source Data'!$A537,Sector,'Summarized Source Data'!G$2,Subsector,'Summarized Source Data'!G$3,TimeOfWeek,$E537)*INDEX(About!C$79:C$82,MATCH($B537,About!$A$79:$A$82,0),1)</f>
        <v>23039</v>
      </c>
      <c r="H537" s="27">
        <f>SUMIFS(INDEX(Load,,MATCH('Summarized Source Data'!$C537,Hour,0)),Month,'Summarized Source Data'!$A537,Sector,'Summarized Source Data'!H$2,Subsector,'Summarized Source Data'!H$3,TimeOfWeek,$E537)*INDEX(About!D$79:D$82,MATCH($B537,About!$A$79:$A$82,0),1)</f>
        <v>0</v>
      </c>
      <c r="I537" s="27">
        <f>SUMIFS(INDEX(Load,,MATCH('Summarized Source Data'!$C537,Hour,0)),Month,'Summarized Source Data'!$A537,Sector,'Summarized Source Data'!I$2,Subsector,'Summarized Source Data'!I$3,TimeOfWeek,$E537)*INDEX(About!E$79:E$82,MATCH($B537,About!$A$79:$A$82,0),1)</f>
        <v>7875428</v>
      </c>
      <c r="J537" s="54">
        <f t="shared" si="43"/>
        <v>22307724</v>
      </c>
      <c r="K537" s="27">
        <f>(SUMIFS(INDEX(Load,,MATCH('Summarized Source Data'!$C537,Hour,0)),Month,'Summarized Source Data'!$A537,Sector,'Summarized Source Data'!K$2,Subsector,"Total",TimeOfWeek,$E537)-SUM(F537:I537))*INDEX(About!G$79:G$82,MATCH($B537,About!$A$79:$A$82,0),1)</f>
        <v>22307724</v>
      </c>
      <c r="L537" s="27">
        <f>SUMIFS(INDEX(Load,,MATCH('Summarized Source Data'!$C537,Hour,0)),Month,'Summarized Source Data'!$A537,Sector,'Summarized Source Data'!L$2,Subsector,'Summarized Source Data'!L$3,TimeOfWeek,$E537)*INDEX(About!H$79:H$82,MATCH($B537,About!$A$79:$A$82,0),1)</f>
        <v>7151769</v>
      </c>
      <c r="M537" s="27">
        <f>SUMIFS(INDEX(Load,,MATCH('Summarized Source Data'!$C537,Hour,0)),Month,'Summarized Source Data'!$A537,Sector,'Summarized Source Data'!M$2,Subsector,'Summarized Source Data'!M$3,TimeOfWeek,$E537)*INDEX(About!I$79:I$82,MATCH($B537,About!$A$79:$A$82,0),1)</f>
        <v>66806</v>
      </c>
      <c r="N537" s="27">
        <f>SUMIFS(INDEX(Load,,MATCH('Summarized Source Data'!$C537,Hour,0)),Month,'Summarized Source Data'!$A537,Sector,'Summarized Source Data'!N$2,Subsector,'Summarized Source Data'!N$3,TimeOfWeek,$E537)*INDEX(About!J$79:J$82,MATCH($B537,About!$A$79:$A$82,0),1)</f>
        <v>0</v>
      </c>
      <c r="O537" s="29">
        <f t="shared" si="44"/>
        <v>73981425</v>
      </c>
      <c r="P537" s="27">
        <f>(SUMIFS(INDEX(Load,,MATCH('Summarized Source Data'!$C537,Hour,0)),Month,'Summarized Source Data'!$A537,Sector,'Summarized Source Data'!P$2,Subsector,"Total",TimeOfWeek,$E537)-SUM(L537:N537)*INDEX(About!L$79:L$82,MATCH($B537,About!$A$79:$A$82,0),1))</f>
        <v>73981425</v>
      </c>
      <c r="Q537" s="29">
        <f t="shared" si="45"/>
        <v>73981425</v>
      </c>
      <c r="R537" s="33">
        <f>SUMIFS(INDEX(Load,,MATCH('Summarized Source Data'!$C537,Hour,0)),Month,'Summarized Source Data'!$A537,Sector,'Summarized Source Data'!R$2,TimeOfWeek,$E537)*INDEX(About!N$79:N$82,MATCH($B537,About!$A$79:$A$82,0),1)</f>
        <v>2543775</v>
      </c>
      <c r="S537" s="33">
        <f>SUMIFS(INDEX(Load,,MATCH('Summarized Source Data'!$C537,Hour,0)),Month,'Summarized Source Data'!$A537,Sector,'Summarized Source Data'!S$2,TimeOfWeek,$E537)*INDEX(About!O$79:O$82,MATCH($B537,About!$A$79:$A$82,0),1)</f>
        <v>2543775</v>
      </c>
      <c r="T537" s="33">
        <f>SUMIFS(INDEX(Load,,MATCH('Summarized Source Data'!$C537,Hour,0)),Month,'Summarized Source Data'!$A537,Sector,'Summarized Source Data'!T$2,TimeOfWeek,$E537)*INDEX(About!P$79:P$82,MATCH($B537,About!$A$79:$A$82,0),1)</f>
        <v>2543775</v>
      </c>
      <c r="U537" s="33">
        <f>SUMIFS(INDEX(Load,,MATCH('Summarized Source Data'!$C537,Hour,0)),Month,'Summarized Source Data'!$A537,Sector,'Summarized Source Data'!U$2,TimeOfWeek,$E537)*INDEX(About!Q$79:Q$82,MATCH($B537,About!$A$79:$A$82,0),1)</f>
        <v>2543775</v>
      </c>
      <c r="V537" s="33">
        <f>SUMIFS(INDEX(Load,,MATCH('Summarized Source Data'!$C537,Hour,0)),Month,'Summarized Source Data'!$A537,Sector,'Summarized Source Data'!V$2,TimeOfWeek,$E537)*INDEX(About!R$79:R$82,MATCH($B537,About!$A$79:$A$82,0),1)</f>
        <v>2543775</v>
      </c>
      <c r="W537" s="33">
        <f>SUMIFS(INDEX(Load,,MATCH('Summarized Source Data'!$C537,Hour,0)),Month,'Summarized Source Data'!$A537,Sector,'Summarized Source Data'!W$2,TimeOfWeek,$E537)*INDEX(About!S$79:S$82,MATCH($B537,About!$A$79:$A$82,0),1)</f>
        <v>2543775</v>
      </c>
      <c r="X537" s="27">
        <f>SUMIFS(INDEX(Load,,MATCH('Summarized Source Data'!$C537,Hour,0)),Month,'Summarized Source Data'!$A537,Sector,'Summarized Source Data'!X$2,Subsector,'Summarized Source Data'!X$3,TimeOfWeek,$E537)*INDEX(About!T$79:T$82,MATCH($B537,About!$A$79:$A$82,0),1)</f>
        <v>349000000</v>
      </c>
      <c r="Y537" s="29">
        <f t="shared" si="46"/>
        <v>349000000</v>
      </c>
      <c r="Z537" s="29">
        <f t="shared" si="46"/>
        <v>349000000</v>
      </c>
    </row>
    <row r="538" spans="1:26" x14ac:dyDescent="0.3">
      <c r="A538">
        <f t="shared" si="41"/>
        <v>11</v>
      </c>
      <c r="B538" t="str">
        <f>INDEX('Category Mapping'!$G$28:$G$39,MATCH(A538,'Category Mapping'!$A$28:$A$39,0),1)</f>
        <v>Winter</v>
      </c>
      <c r="C538" t="s">
        <v>69</v>
      </c>
      <c r="D538" s="6" t="s">
        <v>144</v>
      </c>
      <c r="E538" s="46" t="s">
        <v>48</v>
      </c>
      <c r="F538" s="27">
        <f>SUMIFS(INDEX(Load,,MATCH('Summarized Source Data'!$C538,Hour,0)),Month,'Summarized Source Data'!$A538,Sector,'Summarized Source Data'!F$2,Subsector,'Summarized Source Data'!F$3,TimeOfWeek,$E538)*INDEX(About!B$79:B$82,MATCH($B538,About!$A$79:$A$82,0),1)</f>
        <v>6710736</v>
      </c>
      <c r="G538" s="27">
        <f>SUMIFS(INDEX(Load,,MATCH('Summarized Source Data'!$C538,Hour,0)),Month,'Summarized Source Data'!$A538,Sector,'Summarized Source Data'!G$2,Subsector,'Summarized Source Data'!G$3,TimeOfWeek,$E538)*INDEX(About!C$79:C$82,MATCH($B538,About!$A$79:$A$82,0),1)</f>
        <v>22117</v>
      </c>
      <c r="H538" s="27">
        <f>SUMIFS(INDEX(Load,,MATCH('Summarized Source Data'!$C538,Hour,0)),Month,'Summarized Source Data'!$A538,Sector,'Summarized Source Data'!H$2,Subsector,'Summarized Source Data'!H$3,TimeOfWeek,$E538)*INDEX(About!D$79:D$82,MATCH($B538,About!$A$79:$A$82,0),1)</f>
        <v>0</v>
      </c>
      <c r="I538" s="27">
        <f>SUMIFS(INDEX(Load,,MATCH('Summarized Source Data'!$C538,Hour,0)),Month,'Summarized Source Data'!$A538,Sector,'Summarized Source Data'!I$2,Subsector,'Summarized Source Data'!I$3,TimeOfWeek,$E538)*INDEX(About!E$79:E$82,MATCH($B538,About!$A$79:$A$82,0),1)</f>
        <v>13600000</v>
      </c>
      <c r="J538" s="54">
        <f t="shared" si="43"/>
        <v>32867147</v>
      </c>
      <c r="K538" s="27">
        <f>(SUMIFS(INDEX(Load,,MATCH('Summarized Source Data'!$C538,Hour,0)),Month,'Summarized Source Data'!$A538,Sector,'Summarized Source Data'!K$2,Subsector,"Total",TimeOfWeek,$E538)-SUM(F538:I538))*INDEX(About!G$79:G$82,MATCH($B538,About!$A$79:$A$82,0),1)</f>
        <v>32867147</v>
      </c>
      <c r="L538" s="27">
        <f>SUMIFS(INDEX(Load,,MATCH('Summarized Source Data'!$C538,Hour,0)),Month,'Summarized Source Data'!$A538,Sector,'Summarized Source Data'!L$2,Subsector,'Summarized Source Data'!L$3,TimeOfWeek,$E538)*INDEX(About!H$79:H$82,MATCH($B538,About!$A$79:$A$82,0),1)</f>
        <v>10600000</v>
      </c>
      <c r="M538" s="27">
        <f>SUMIFS(INDEX(Load,,MATCH('Summarized Source Data'!$C538,Hour,0)),Month,'Summarized Source Data'!$A538,Sector,'Summarized Source Data'!M$2,Subsector,'Summarized Source Data'!M$3,TimeOfWeek,$E538)*INDEX(About!I$79:I$82,MATCH($B538,About!$A$79:$A$82,0),1)</f>
        <v>69386</v>
      </c>
      <c r="N538" s="27">
        <f>SUMIFS(INDEX(Load,,MATCH('Summarized Source Data'!$C538,Hour,0)),Month,'Summarized Source Data'!$A538,Sector,'Summarized Source Data'!N$2,Subsector,'Summarized Source Data'!N$3,TimeOfWeek,$E538)*INDEX(About!J$79:J$82,MATCH($B538,About!$A$79:$A$82,0),1)</f>
        <v>0</v>
      </c>
      <c r="O538" s="29">
        <f t="shared" si="44"/>
        <v>82830614</v>
      </c>
      <c r="P538" s="27">
        <f>(SUMIFS(INDEX(Load,,MATCH('Summarized Source Data'!$C538,Hour,0)),Month,'Summarized Source Data'!$A538,Sector,'Summarized Source Data'!P$2,Subsector,"Total",TimeOfWeek,$E538)-SUM(L538:N538)*INDEX(About!L$79:L$82,MATCH($B538,About!$A$79:$A$82,0),1))</f>
        <v>82830614</v>
      </c>
      <c r="Q538" s="29">
        <f t="shared" si="45"/>
        <v>82830614</v>
      </c>
      <c r="R538" s="33">
        <f>SUMIFS(INDEX(Load,,MATCH('Summarized Source Data'!$C538,Hour,0)),Month,'Summarized Source Data'!$A538,Sector,'Summarized Source Data'!R$2,TimeOfWeek,$E538)*INDEX(About!N$79:N$82,MATCH($B538,About!$A$79:$A$82,0),1)</f>
        <v>3153941</v>
      </c>
      <c r="S538" s="33">
        <f>SUMIFS(INDEX(Load,,MATCH('Summarized Source Data'!$C538,Hour,0)),Month,'Summarized Source Data'!$A538,Sector,'Summarized Source Data'!S$2,TimeOfWeek,$E538)*INDEX(About!O$79:O$82,MATCH($B538,About!$A$79:$A$82,0),1)</f>
        <v>3153941</v>
      </c>
      <c r="T538" s="33">
        <f>SUMIFS(INDEX(Load,,MATCH('Summarized Source Data'!$C538,Hour,0)),Month,'Summarized Source Data'!$A538,Sector,'Summarized Source Data'!T$2,TimeOfWeek,$E538)*INDEX(About!P$79:P$82,MATCH($B538,About!$A$79:$A$82,0),1)</f>
        <v>3153941</v>
      </c>
      <c r="U538" s="33">
        <f>SUMIFS(INDEX(Load,,MATCH('Summarized Source Data'!$C538,Hour,0)),Month,'Summarized Source Data'!$A538,Sector,'Summarized Source Data'!U$2,TimeOfWeek,$E538)*INDEX(About!Q$79:Q$82,MATCH($B538,About!$A$79:$A$82,0),1)</f>
        <v>3153941</v>
      </c>
      <c r="V538" s="33">
        <f>SUMIFS(INDEX(Load,,MATCH('Summarized Source Data'!$C538,Hour,0)),Month,'Summarized Source Data'!$A538,Sector,'Summarized Source Data'!V$2,TimeOfWeek,$E538)*INDEX(About!R$79:R$82,MATCH($B538,About!$A$79:$A$82,0),1)</f>
        <v>3153941</v>
      </c>
      <c r="W538" s="33">
        <f>SUMIFS(INDEX(Load,,MATCH('Summarized Source Data'!$C538,Hour,0)),Month,'Summarized Source Data'!$A538,Sector,'Summarized Source Data'!W$2,TimeOfWeek,$E538)*INDEX(About!S$79:S$82,MATCH($B538,About!$A$79:$A$82,0),1)</f>
        <v>3153941</v>
      </c>
      <c r="X538" s="27">
        <f>SUMIFS(INDEX(Load,,MATCH('Summarized Source Data'!$C538,Hour,0)),Month,'Summarized Source Data'!$A538,Sector,'Summarized Source Data'!X$2,Subsector,'Summarized Source Data'!X$3,TimeOfWeek,$E538)*INDEX(About!T$79:T$82,MATCH($B538,About!$A$79:$A$82,0),1)</f>
        <v>351000000</v>
      </c>
      <c r="Y538" s="29">
        <f t="shared" si="46"/>
        <v>351000000</v>
      </c>
      <c r="Z538" s="29">
        <f t="shared" si="46"/>
        <v>351000000</v>
      </c>
    </row>
    <row r="539" spans="1:26" x14ac:dyDescent="0.3">
      <c r="A539">
        <f t="shared" si="41"/>
        <v>11</v>
      </c>
      <c r="B539" t="str">
        <f>INDEX('Category Mapping'!$G$28:$G$39,MATCH(A539,'Category Mapping'!$A$28:$A$39,0),1)</f>
        <v>Winter</v>
      </c>
      <c r="C539" t="s">
        <v>70</v>
      </c>
      <c r="D539" s="6" t="s">
        <v>145</v>
      </c>
      <c r="E539" s="46" t="s">
        <v>48</v>
      </c>
      <c r="F539" s="27">
        <f>SUMIFS(INDEX(Load,,MATCH('Summarized Source Data'!$C539,Hour,0)),Month,'Summarized Source Data'!$A539,Sector,'Summarized Source Data'!F$2,Subsector,'Summarized Source Data'!F$3,TimeOfWeek,$E539)*INDEX(About!B$79:B$82,MATCH($B539,About!$A$79:$A$82,0),1)</f>
        <v>7283799</v>
      </c>
      <c r="G539" s="27">
        <f>SUMIFS(INDEX(Load,,MATCH('Summarized Source Data'!$C539,Hour,0)),Month,'Summarized Source Data'!$A539,Sector,'Summarized Source Data'!G$2,Subsector,'Summarized Source Data'!G$3,TimeOfWeek,$E539)*INDEX(About!C$79:C$82,MATCH($B539,About!$A$79:$A$82,0),1)</f>
        <v>20559</v>
      </c>
      <c r="H539" s="27">
        <f>SUMIFS(INDEX(Load,,MATCH('Summarized Source Data'!$C539,Hour,0)),Month,'Summarized Source Data'!$A539,Sector,'Summarized Source Data'!H$2,Subsector,'Summarized Source Data'!H$3,TimeOfWeek,$E539)*INDEX(About!D$79:D$82,MATCH($B539,About!$A$79:$A$82,0),1)</f>
        <v>0</v>
      </c>
      <c r="I539" s="27">
        <f>SUMIFS(INDEX(Load,,MATCH('Summarized Source Data'!$C539,Hour,0)),Month,'Summarized Source Data'!$A539,Sector,'Summarized Source Data'!I$2,Subsector,'Summarized Source Data'!I$3,TimeOfWeek,$E539)*INDEX(About!E$79:E$82,MATCH($B539,About!$A$79:$A$82,0),1)</f>
        <v>12700000</v>
      </c>
      <c r="J539" s="54">
        <f t="shared" si="43"/>
        <v>46695642</v>
      </c>
      <c r="K539" s="27">
        <f>(SUMIFS(INDEX(Load,,MATCH('Summarized Source Data'!$C539,Hour,0)),Month,'Summarized Source Data'!$A539,Sector,'Summarized Source Data'!K$2,Subsector,"Total",TimeOfWeek,$E539)-SUM(F539:I539))*INDEX(About!G$79:G$82,MATCH($B539,About!$A$79:$A$82,0),1)</f>
        <v>46695642</v>
      </c>
      <c r="L539" s="27">
        <f>SUMIFS(INDEX(Load,,MATCH('Summarized Source Data'!$C539,Hour,0)),Month,'Summarized Source Data'!$A539,Sector,'Summarized Source Data'!L$2,Subsector,'Summarized Source Data'!L$3,TimeOfWeek,$E539)*INDEX(About!H$79:H$82,MATCH($B539,About!$A$79:$A$82,0),1)</f>
        <v>17800000</v>
      </c>
      <c r="M539" s="27">
        <f>SUMIFS(INDEX(Load,,MATCH('Summarized Source Data'!$C539,Hour,0)),Month,'Summarized Source Data'!$A539,Sector,'Summarized Source Data'!M$2,Subsector,'Summarized Source Data'!M$3,TimeOfWeek,$E539)*INDEX(About!I$79:I$82,MATCH($B539,About!$A$79:$A$82,0),1)</f>
        <v>74476</v>
      </c>
      <c r="N539" s="27">
        <f>SUMIFS(INDEX(Load,,MATCH('Summarized Source Data'!$C539,Hour,0)),Month,'Summarized Source Data'!$A539,Sector,'Summarized Source Data'!N$2,Subsector,'Summarized Source Data'!N$3,TimeOfWeek,$E539)*INDEX(About!J$79:J$82,MATCH($B539,About!$A$79:$A$82,0),1)</f>
        <v>0</v>
      </c>
      <c r="O539" s="29">
        <f t="shared" si="44"/>
        <v>105125524</v>
      </c>
      <c r="P539" s="27">
        <f>(SUMIFS(INDEX(Load,,MATCH('Summarized Source Data'!$C539,Hour,0)),Month,'Summarized Source Data'!$A539,Sector,'Summarized Source Data'!P$2,Subsector,"Total",TimeOfWeek,$E539)-SUM(L539:N539)*INDEX(About!L$79:L$82,MATCH($B539,About!$A$79:$A$82,0),1))</f>
        <v>105125524</v>
      </c>
      <c r="Q539" s="29">
        <f t="shared" si="45"/>
        <v>105125524</v>
      </c>
      <c r="R539" s="33">
        <f>SUMIFS(INDEX(Load,,MATCH('Summarized Source Data'!$C539,Hour,0)),Month,'Summarized Source Data'!$A539,Sector,'Summarized Source Data'!R$2,TimeOfWeek,$E539)*INDEX(About!N$79:N$82,MATCH($B539,About!$A$79:$A$82,0),1)</f>
        <v>4103941</v>
      </c>
      <c r="S539" s="33">
        <f>SUMIFS(INDEX(Load,,MATCH('Summarized Source Data'!$C539,Hour,0)),Month,'Summarized Source Data'!$A539,Sector,'Summarized Source Data'!S$2,TimeOfWeek,$E539)*INDEX(About!O$79:O$82,MATCH($B539,About!$A$79:$A$82,0),1)</f>
        <v>4103941</v>
      </c>
      <c r="T539" s="33">
        <f>SUMIFS(INDEX(Load,,MATCH('Summarized Source Data'!$C539,Hour,0)),Month,'Summarized Source Data'!$A539,Sector,'Summarized Source Data'!T$2,TimeOfWeek,$E539)*INDEX(About!P$79:P$82,MATCH($B539,About!$A$79:$A$82,0),1)</f>
        <v>4103941</v>
      </c>
      <c r="U539" s="33">
        <f>SUMIFS(INDEX(Load,,MATCH('Summarized Source Data'!$C539,Hour,0)),Month,'Summarized Source Data'!$A539,Sector,'Summarized Source Data'!U$2,TimeOfWeek,$E539)*INDEX(About!Q$79:Q$82,MATCH($B539,About!$A$79:$A$82,0),1)</f>
        <v>4103941</v>
      </c>
      <c r="V539" s="33">
        <f>SUMIFS(INDEX(Load,,MATCH('Summarized Source Data'!$C539,Hour,0)),Month,'Summarized Source Data'!$A539,Sector,'Summarized Source Data'!V$2,TimeOfWeek,$E539)*INDEX(About!R$79:R$82,MATCH($B539,About!$A$79:$A$82,0),1)</f>
        <v>4103941</v>
      </c>
      <c r="W539" s="33">
        <f>SUMIFS(INDEX(Load,,MATCH('Summarized Source Data'!$C539,Hour,0)),Month,'Summarized Source Data'!$A539,Sector,'Summarized Source Data'!W$2,TimeOfWeek,$E539)*INDEX(About!S$79:S$82,MATCH($B539,About!$A$79:$A$82,0),1)</f>
        <v>4103941</v>
      </c>
      <c r="X539" s="27">
        <f>SUMIFS(INDEX(Load,,MATCH('Summarized Source Data'!$C539,Hour,0)),Month,'Summarized Source Data'!$A539,Sector,'Summarized Source Data'!X$2,Subsector,'Summarized Source Data'!X$3,TimeOfWeek,$E539)*INDEX(About!T$79:T$82,MATCH($B539,About!$A$79:$A$82,0),1)</f>
        <v>351000000</v>
      </c>
      <c r="Y539" s="29">
        <f t="shared" si="46"/>
        <v>351000000</v>
      </c>
      <c r="Z539" s="29">
        <f t="shared" si="46"/>
        <v>351000000</v>
      </c>
    </row>
    <row r="540" spans="1:26" x14ac:dyDescent="0.3">
      <c r="A540">
        <f t="shared" si="41"/>
        <v>11</v>
      </c>
      <c r="B540" t="str">
        <f>INDEX('Category Mapping'!$G$28:$G$39,MATCH(A540,'Category Mapping'!$A$28:$A$39,0),1)</f>
        <v>Winter</v>
      </c>
      <c r="C540" t="s">
        <v>71</v>
      </c>
      <c r="D540" s="6" t="s">
        <v>146</v>
      </c>
      <c r="E540" s="46" t="s">
        <v>48</v>
      </c>
      <c r="F540" s="27">
        <f>SUMIFS(INDEX(Load,,MATCH('Summarized Source Data'!$C540,Hour,0)),Month,'Summarized Source Data'!$A540,Sector,'Summarized Source Data'!F$2,Subsector,'Summarized Source Data'!F$3,TimeOfWeek,$E540)*INDEX(About!B$79:B$82,MATCH($B540,About!$A$79:$A$82,0),1)</f>
        <v>7494595</v>
      </c>
      <c r="G540" s="27">
        <f>SUMIFS(INDEX(Load,,MATCH('Summarized Source Data'!$C540,Hour,0)),Month,'Summarized Source Data'!$A540,Sector,'Summarized Source Data'!G$2,Subsector,'Summarized Source Data'!G$3,TimeOfWeek,$E540)*INDEX(About!C$79:C$82,MATCH($B540,About!$A$79:$A$82,0),1)</f>
        <v>18390</v>
      </c>
      <c r="H540" s="27">
        <f>SUMIFS(INDEX(Load,,MATCH('Summarized Source Data'!$C540,Hour,0)),Month,'Summarized Source Data'!$A540,Sector,'Summarized Source Data'!H$2,Subsector,'Summarized Source Data'!H$3,TimeOfWeek,$E540)*INDEX(About!D$79:D$82,MATCH($B540,About!$A$79:$A$82,0),1)</f>
        <v>0</v>
      </c>
      <c r="I540" s="27">
        <f>SUMIFS(INDEX(Load,,MATCH('Summarized Source Data'!$C540,Hour,0)),Month,'Summarized Source Data'!$A540,Sector,'Summarized Source Data'!I$2,Subsector,'Summarized Source Data'!I$3,TimeOfWeek,$E540)*INDEX(About!E$79:E$82,MATCH($B540,About!$A$79:$A$82,0),1)</f>
        <v>7674665</v>
      </c>
      <c r="J540" s="54">
        <f t="shared" si="43"/>
        <v>58512350</v>
      </c>
      <c r="K540" s="27">
        <f>(SUMIFS(INDEX(Load,,MATCH('Summarized Source Data'!$C540,Hour,0)),Month,'Summarized Source Data'!$A540,Sector,'Summarized Source Data'!K$2,Subsector,"Total",TimeOfWeek,$E540)-SUM(F540:I540))*INDEX(About!G$79:G$82,MATCH($B540,About!$A$79:$A$82,0),1)</f>
        <v>58512350</v>
      </c>
      <c r="L540" s="27">
        <f>SUMIFS(INDEX(Load,,MATCH('Summarized Source Data'!$C540,Hour,0)),Month,'Summarized Source Data'!$A540,Sector,'Summarized Source Data'!L$2,Subsector,'Summarized Source Data'!L$3,TimeOfWeek,$E540)*INDEX(About!H$79:H$82,MATCH($B540,About!$A$79:$A$82,0),1)</f>
        <v>18500000</v>
      </c>
      <c r="M540" s="27">
        <f>SUMIFS(INDEX(Load,,MATCH('Summarized Source Data'!$C540,Hour,0)),Month,'Summarized Source Data'!$A540,Sector,'Summarized Source Data'!M$2,Subsector,'Summarized Source Data'!M$3,TimeOfWeek,$E540)*INDEX(About!I$79:I$82,MATCH($B540,About!$A$79:$A$82,0),1)</f>
        <v>81959</v>
      </c>
      <c r="N540" s="27">
        <f>SUMIFS(INDEX(Load,,MATCH('Summarized Source Data'!$C540,Hour,0)),Month,'Summarized Source Data'!$A540,Sector,'Summarized Source Data'!N$2,Subsector,'Summarized Source Data'!N$3,TimeOfWeek,$E540)*INDEX(About!J$79:J$82,MATCH($B540,About!$A$79:$A$82,0),1)</f>
        <v>0</v>
      </c>
      <c r="O540" s="29">
        <f t="shared" si="44"/>
        <v>119418041</v>
      </c>
      <c r="P540" s="27">
        <f>(SUMIFS(INDEX(Load,,MATCH('Summarized Source Data'!$C540,Hour,0)),Month,'Summarized Source Data'!$A540,Sector,'Summarized Source Data'!P$2,Subsector,"Total",TimeOfWeek,$E540)-SUM(L540:N540)*INDEX(About!L$79:L$82,MATCH($B540,About!$A$79:$A$82,0),1))</f>
        <v>119418041</v>
      </c>
      <c r="Q540" s="29">
        <f t="shared" si="45"/>
        <v>119418041</v>
      </c>
      <c r="R540" s="33">
        <f>SUMIFS(INDEX(Load,,MATCH('Summarized Source Data'!$C540,Hour,0)),Month,'Summarized Source Data'!$A540,Sector,'Summarized Source Data'!R$2,TimeOfWeek,$E540)*INDEX(About!N$79:N$82,MATCH($B540,About!$A$79:$A$82,0),1)</f>
        <v>4899312</v>
      </c>
      <c r="S540" s="33">
        <f>SUMIFS(INDEX(Load,,MATCH('Summarized Source Data'!$C540,Hour,0)),Month,'Summarized Source Data'!$A540,Sector,'Summarized Source Data'!S$2,TimeOfWeek,$E540)*INDEX(About!O$79:O$82,MATCH($B540,About!$A$79:$A$82,0),1)</f>
        <v>4899312</v>
      </c>
      <c r="T540" s="33">
        <f>SUMIFS(INDEX(Load,,MATCH('Summarized Source Data'!$C540,Hour,0)),Month,'Summarized Source Data'!$A540,Sector,'Summarized Source Data'!T$2,TimeOfWeek,$E540)*INDEX(About!P$79:P$82,MATCH($B540,About!$A$79:$A$82,0),1)</f>
        <v>4899312</v>
      </c>
      <c r="U540" s="33">
        <f>SUMIFS(INDEX(Load,,MATCH('Summarized Source Data'!$C540,Hour,0)),Month,'Summarized Source Data'!$A540,Sector,'Summarized Source Data'!U$2,TimeOfWeek,$E540)*INDEX(About!Q$79:Q$82,MATCH($B540,About!$A$79:$A$82,0),1)</f>
        <v>4899312</v>
      </c>
      <c r="V540" s="33">
        <f>SUMIFS(INDEX(Load,,MATCH('Summarized Source Data'!$C540,Hour,0)),Month,'Summarized Source Data'!$A540,Sector,'Summarized Source Data'!V$2,TimeOfWeek,$E540)*INDEX(About!R$79:R$82,MATCH($B540,About!$A$79:$A$82,0),1)</f>
        <v>4899312</v>
      </c>
      <c r="W540" s="33">
        <f>SUMIFS(INDEX(Load,,MATCH('Summarized Source Data'!$C540,Hour,0)),Month,'Summarized Source Data'!$A540,Sector,'Summarized Source Data'!W$2,TimeOfWeek,$E540)*INDEX(About!S$79:S$82,MATCH($B540,About!$A$79:$A$82,0),1)</f>
        <v>4899312</v>
      </c>
      <c r="X540" s="27">
        <f>SUMIFS(INDEX(Load,,MATCH('Summarized Source Data'!$C540,Hour,0)),Month,'Summarized Source Data'!$A540,Sector,'Summarized Source Data'!X$2,Subsector,'Summarized Source Data'!X$3,TimeOfWeek,$E540)*INDEX(About!T$79:T$82,MATCH($B540,About!$A$79:$A$82,0),1)</f>
        <v>351000000</v>
      </c>
      <c r="Y540" s="29">
        <f t="shared" si="46"/>
        <v>351000000</v>
      </c>
      <c r="Z540" s="29">
        <f t="shared" si="46"/>
        <v>351000000</v>
      </c>
    </row>
    <row r="541" spans="1:26" x14ac:dyDescent="0.3">
      <c r="A541">
        <f t="shared" si="41"/>
        <v>11</v>
      </c>
      <c r="B541" t="str">
        <f>INDEX('Category Mapping'!$G$28:$G$39,MATCH(A541,'Category Mapping'!$A$28:$A$39,0),1)</f>
        <v>Winter</v>
      </c>
      <c r="C541" t="s">
        <v>72</v>
      </c>
      <c r="D541" s="6" t="s">
        <v>147</v>
      </c>
      <c r="E541" s="46" t="s">
        <v>48</v>
      </c>
      <c r="F541" s="27">
        <f>SUMIFS(INDEX(Load,,MATCH('Summarized Source Data'!$C541,Hour,0)),Month,'Summarized Source Data'!$A541,Sector,'Summarized Source Data'!F$2,Subsector,'Summarized Source Data'!F$3,TimeOfWeek,$E541)*INDEX(About!B$79:B$82,MATCH($B541,About!$A$79:$A$82,0),1)</f>
        <v>7254250</v>
      </c>
      <c r="G541" s="27">
        <f>SUMIFS(INDEX(Load,,MATCH('Summarized Source Data'!$C541,Hour,0)),Month,'Summarized Source Data'!$A541,Sector,'Summarized Source Data'!G$2,Subsector,'Summarized Source Data'!G$3,TimeOfWeek,$E541)*INDEX(About!C$79:C$82,MATCH($B541,About!$A$79:$A$82,0),1)</f>
        <v>16028</v>
      </c>
      <c r="H541" s="27">
        <f>SUMIFS(INDEX(Load,,MATCH('Summarized Source Data'!$C541,Hour,0)),Month,'Summarized Source Data'!$A541,Sector,'Summarized Source Data'!H$2,Subsector,'Summarized Source Data'!H$3,TimeOfWeek,$E541)*INDEX(About!D$79:D$82,MATCH($B541,About!$A$79:$A$82,0),1)</f>
        <v>0</v>
      </c>
      <c r="I541" s="27">
        <f>SUMIFS(INDEX(Load,,MATCH('Summarized Source Data'!$C541,Hour,0)),Month,'Summarized Source Data'!$A541,Sector,'Summarized Source Data'!I$2,Subsector,'Summarized Source Data'!I$3,TimeOfWeek,$E541)*INDEX(About!E$79:E$82,MATCH($B541,About!$A$79:$A$82,0),1)</f>
        <v>7952336</v>
      </c>
      <c r="J541" s="54">
        <f t="shared" si="43"/>
        <v>73977386</v>
      </c>
      <c r="K541" s="27">
        <f>(SUMIFS(INDEX(Load,,MATCH('Summarized Source Data'!$C541,Hour,0)),Month,'Summarized Source Data'!$A541,Sector,'Summarized Source Data'!K$2,Subsector,"Total",TimeOfWeek,$E541)-SUM(F541:I541))*INDEX(About!G$79:G$82,MATCH($B541,About!$A$79:$A$82,0),1)</f>
        <v>73977386</v>
      </c>
      <c r="L541" s="27">
        <f>SUMIFS(INDEX(Load,,MATCH('Summarized Source Data'!$C541,Hour,0)),Month,'Summarized Source Data'!$A541,Sector,'Summarized Source Data'!L$2,Subsector,'Summarized Source Data'!L$3,TimeOfWeek,$E541)*INDEX(About!H$79:H$82,MATCH($B541,About!$A$79:$A$82,0),1)</f>
        <v>15200000</v>
      </c>
      <c r="M541" s="27">
        <f>SUMIFS(INDEX(Load,,MATCH('Summarized Source Data'!$C541,Hour,0)),Month,'Summarized Source Data'!$A541,Sector,'Summarized Source Data'!M$2,Subsector,'Summarized Source Data'!M$3,TimeOfWeek,$E541)*INDEX(About!I$79:I$82,MATCH($B541,About!$A$79:$A$82,0),1)</f>
        <v>86737</v>
      </c>
      <c r="N541" s="27">
        <f>SUMIFS(INDEX(Load,,MATCH('Summarized Source Data'!$C541,Hour,0)),Month,'Summarized Source Data'!$A541,Sector,'Summarized Source Data'!N$2,Subsector,'Summarized Source Data'!N$3,TimeOfWeek,$E541)*INDEX(About!J$79:J$82,MATCH($B541,About!$A$79:$A$82,0),1)</f>
        <v>0</v>
      </c>
      <c r="O541" s="29">
        <f t="shared" si="44"/>
        <v>129713263</v>
      </c>
      <c r="P541" s="27">
        <f>(SUMIFS(INDEX(Load,,MATCH('Summarized Source Data'!$C541,Hour,0)),Month,'Summarized Source Data'!$A541,Sector,'Summarized Source Data'!P$2,Subsector,"Total",TimeOfWeek,$E541)-SUM(L541:N541)*INDEX(About!L$79:L$82,MATCH($B541,About!$A$79:$A$82,0),1))</f>
        <v>129713263</v>
      </c>
      <c r="Q541" s="29">
        <f t="shared" si="45"/>
        <v>129713263</v>
      </c>
      <c r="R541" s="33">
        <f>SUMIFS(INDEX(Load,,MATCH('Summarized Source Data'!$C541,Hour,0)),Month,'Summarized Source Data'!$A541,Sector,'Summarized Source Data'!R$2,TimeOfWeek,$E541)*INDEX(About!N$79:N$82,MATCH($B541,About!$A$79:$A$82,0),1)</f>
        <v>5553265</v>
      </c>
      <c r="S541" s="33">
        <f>SUMIFS(INDEX(Load,,MATCH('Summarized Source Data'!$C541,Hour,0)),Month,'Summarized Source Data'!$A541,Sector,'Summarized Source Data'!S$2,TimeOfWeek,$E541)*INDEX(About!O$79:O$82,MATCH($B541,About!$A$79:$A$82,0),1)</f>
        <v>5553265</v>
      </c>
      <c r="T541" s="33">
        <f>SUMIFS(INDEX(Load,,MATCH('Summarized Source Data'!$C541,Hour,0)),Month,'Summarized Source Data'!$A541,Sector,'Summarized Source Data'!T$2,TimeOfWeek,$E541)*INDEX(About!P$79:P$82,MATCH($B541,About!$A$79:$A$82,0),1)</f>
        <v>5553265</v>
      </c>
      <c r="U541" s="33">
        <f>SUMIFS(INDEX(Load,,MATCH('Summarized Source Data'!$C541,Hour,0)),Month,'Summarized Source Data'!$A541,Sector,'Summarized Source Data'!U$2,TimeOfWeek,$E541)*INDEX(About!Q$79:Q$82,MATCH($B541,About!$A$79:$A$82,0),1)</f>
        <v>5553265</v>
      </c>
      <c r="V541" s="33">
        <f>SUMIFS(INDEX(Load,,MATCH('Summarized Source Data'!$C541,Hour,0)),Month,'Summarized Source Data'!$A541,Sector,'Summarized Source Data'!V$2,TimeOfWeek,$E541)*INDEX(About!R$79:R$82,MATCH($B541,About!$A$79:$A$82,0),1)</f>
        <v>5553265</v>
      </c>
      <c r="W541" s="33">
        <f>SUMIFS(INDEX(Load,,MATCH('Summarized Source Data'!$C541,Hour,0)),Month,'Summarized Source Data'!$A541,Sector,'Summarized Source Data'!W$2,TimeOfWeek,$E541)*INDEX(About!S$79:S$82,MATCH($B541,About!$A$79:$A$82,0),1)</f>
        <v>5553265</v>
      </c>
      <c r="X541" s="27">
        <f>SUMIFS(INDEX(Load,,MATCH('Summarized Source Data'!$C541,Hour,0)),Month,'Summarized Source Data'!$A541,Sector,'Summarized Source Data'!X$2,Subsector,'Summarized Source Data'!X$3,TimeOfWeek,$E541)*INDEX(About!T$79:T$82,MATCH($B541,About!$A$79:$A$82,0),1)</f>
        <v>349000000</v>
      </c>
      <c r="Y541" s="29">
        <f t="shared" si="46"/>
        <v>349000000</v>
      </c>
      <c r="Z541" s="29">
        <f t="shared" si="46"/>
        <v>349000000</v>
      </c>
    </row>
    <row r="542" spans="1:26" x14ac:dyDescent="0.3">
      <c r="A542">
        <f t="shared" si="41"/>
        <v>11</v>
      </c>
      <c r="B542" t="str">
        <f>INDEX('Category Mapping'!$G$28:$G$39,MATCH(A542,'Category Mapping'!$A$28:$A$39,0),1)</f>
        <v>Winter</v>
      </c>
      <c r="C542" t="s">
        <v>73</v>
      </c>
      <c r="D542" s="6" t="s">
        <v>148</v>
      </c>
      <c r="E542" s="46" t="s">
        <v>48</v>
      </c>
      <c r="F542" s="27">
        <f>SUMIFS(INDEX(Load,,MATCH('Summarized Source Data'!$C542,Hour,0)),Month,'Summarized Source Data'!$A542,Sector,'Summarized Source Data'!F$2,Subsector,'Summarized Source Data'!F$3,TimeOfWeek,$E542)*INDEX(About!B$79:B$82,MATCH($B542,About!$A$79:$A$82,0),1)</f>
        <v>7216180</v>
      </c>
      <c r="G542" s="27">
        <f>SUMIFS(INDEX(Load,,MATCH('Summarized Source Data'!$C542,Hour,0)),Month,'Summarized Source Data'!$A542,Sector,'Summarized Source Data'!G$2,Subsector,'Summarized Source Data'!G$3,TimeOfWeek,$E542)*INDEX(About!C$79:C$82,MATCH($B542,About!$A$79:$A$82,0),1)</f>
        <v>14956</v>
      </c>
      <c r="H542" s="27">
        <f>SUMIFS(INDEX(Load,,MATCH('Summarized Source Data'!$C542,Hour,0)),Month,'Summarized Source Data'!$A542,Sector,'Summarized Source Data'!H$2,Subsector,'Summarized Source Data'!H$3,TimeOfWeek,$E542)*INDEX(About!D$79:D$82,MATCH($B542,About!$A$79:$A$82,0),1)</f>
        <v>0</v>
      </c>
      <c r="I542" s="27">
        <f>SUMIFS(INDEX(Load,,MATCH('Summarized Source Data'!$C542,Hour,0)),Month,'Summarized Source Data'!$A542,Sector,'Summarized Source Data'!I$2,Subsector,'Summarized Source Data'!I$3,TimeOfWeek,$E542)*INDEX(About!E$79:E$82,MATCH($B542,About!$A$79:$A$82,0),1)</f>
        <v>7999773</v>
      </c>
      <c r="J542" s="54">
        <f t="shared" si="43"/>
        <v>90769091</v>
      </c>
      <c r="K542" s="27">
        <f>(SUMIFS(INDEX(Load,,MATCH('Summarized Source Data'!$C542,Hour,0)),Month,'Summarized Source Data'!$A542,Sector,'Summarized Source Data'!K$2,Subsector,"Total",TimeOfWeek,$E542)-SUM(F542:I542))*INDEX(About!G$79:G$82,MATCH($B542,About!$A$79:$A$82,0),1)</f>
        <v>90769091</v>
      </c>
      <c r="L542" s="27">
        <f>SUMIFS(INDEX(Load,,MATCH('Summarized Source Data'!$C542,Hour,0)),Month,'Summarized Source Data'!$A542,Sector,'Summarized Source Data'!L$2,Subsector,'Summarized Source Data'!L$3,TimeOfWeek,$E542)*INDEX(About!H$79:H$82,MATCH($B542,About!$A$79:$A$82,0),1)</f>
        <v>12900000</v>
      </c>
      <c r="M542" s="27">
        <f>SUMIFS(INDEX(Load,,MATCH('Summarized Source Data'!$C542,Hour,0)),Month,'Summarized Source Data'!$A542,Sector,'Summarized Source Data'!M$2,Subsector,'Summarized Source Data'!M$3,TimeOfWeek,$E542)*INDEX(About!I$79:I$82,MATCH($B542,About!$A$79:$A$82,0),1)</f>
        <v>89220</v>
      </c>
      <c r="N542" s="27">
        <f>SUMIFS(INDEX(Load,,MATCH('Summarized Source Data'!$C542,Hour,0)),Month,'Summarized Source Data'!$A542,Sector,'Summarized Source Data'!N$2,Subsector,'Summarized Source Data'!N$3,TimeOfWeek,$E542)*INDEX(About!J$79:J$82,MATCH($B542,About!$A$79:$A$82,0),1)</f>
        <v>0</v>
      </c>
      <c r="O542" s="29">
        <f t="shared" si="44"/>
        <v>128010780</v>
      </c>
      <c r="P542" s="27">
        <f>(SUMIFS(INDEX(Load,,MATCH('Summarized Source Data'!$C542,Hour,0)),Month,'Summarized Source Data'!$A542,Sector,'Summarized Source Data'!P$2,Subsector,"Total",TimeOfWeek,$E542)-SUM(L542:N542)*INDEX(About!L$79:L$82,MATCH($B542,About!$A$79:$A$82,0),1))</f>
        <v>128010780</v>
      </c>
      <c r="Q542" s="29">
        <f t="shared" si="45"/>
        <v>128010780</v>
      </c>
      <c r="R542" s="33">
        <f>SUMIFS(INDEX(Load,,MATCH('Summarized Source Data'!$C542,Hour,0)),Month,'Summarized Source Data'!$A542,Sector,'Summarized Source Data'!R$2,TimeOfWeek,$E542)*INDEX(About!N$79:N$82,MATCH($B542,About!$A$79:$A$82,0),1)</f>
        <v>5879478</v>
      </c>
      <c r="S542" s="33">
        <f>SUMIFS(INDEX(Load,,MATCH('Summarized Source Data'!$C542,Hour,0)),Month,'Summarized Source Data'!$A542,Sector,'Summarized Source Data'!S$2,TimeOfWeek,$E542)*INDEX(About!O$79:O$82,MATCH($B542,About!$A$79:$A$82,0),1)</f>
        <v>5879478</v>
      </c>
      <c r="T542" s="33">
        <f>SUMIFS(INDEX(Load,,MATCH('Summarized Source Data'!$C542,Hour,0)),Month,'Summarized Source Data'!$A542,Sector,'Summarized Source Data'!T$2,TimeOfWeek,$E542)*INDEX(About!P$79:P$82,MATCH($B542,About!$A$79:$A$82,0),1)</f>
        <v>5879478</v>
      </c>
      <c r="U542" s="33">
        <f>SUMIFS(INDEX(Load,,MATCH('Summarized Source Data'!$C542,Hour,0)),Month,'Summarized Source Data'!$A542,Sector,'Summarized Source Data'!U$2,TimeOfWeek,$E542)*INDEX(About!Q$79:Q$82,MATCH($B542,About!$A$79:$A$82,0),1)</f>
        <v>5879478</v>
      </c>
      <c r="V542" s="33">
        <f>SUMIFS(INDEX(Load,,MATCH('Summarized Source Data'!$C542,Hour,0)),Month,'Summarized Source Data'!$A542,Sector,'Summarized Source Data'!V$2,TimeOfWeek,$E542)*INDEX(About!R$79:R$82,MATCH($B542,About!$A$79:$A$82,0),1)</f>
        <v>5879478</v>
      </c>
      <c r="W542" s="33">
        <f>SUMIFS(INDEX(Load,,MATCH('Summarized Source Data'!$C542,Hour,0)),Month,'Summarized Source Data'!$A542,Sector,'Summarized Source Data'!W$2,TimeOfWeek,$E542)*INDEX(About!S$79:S$82,MATCH($B542,About!$A$79:$A$82,0),1)</f>
        <v>5879478</v>
      </c>
      <c r="X542" s="27">
        <f>SUMIFS(INDEX(Load,,MATCH('Summarized Source Data'!$C542,Hour,0)),Month,'Summarized Source Data'!$A542,Sector,'Summarized Source Data'!X$2,Subsector,'Summarized Source Data'!X$3,TimeOfWeek,$E542)*INDEX(About!T$79:T$82,MATCH($B542,About!$A$79:$A$82,0),1)</f>
        <v>348000000</v>
      </c>
      <c r="Y542" s="29">
        <f t="shared" si="46"/>
        <v>348000000</v>
      </c>
      <c r="Z542" s="29">
        <f t="shared" si="46"/>
        <v>348000000</v>
      </c>
    </row>
    <row r="543" spans="1:26" x14ac:dyDescent="0.3">
      <c r="A543">
        <f t="shared" si="41"/>
        <v>11</v>
      </c>
      <c r="B543" t="str">
        <f>INDEX('Category Mapping'!$G$28:$G$39,MATCH(A543,'Category Mapping'!$A$28:$A$39,0),1)</f>
        <v>Winter</v>
      </c>
      <c r="C543" t="s">
        <v>74</v>
      </c>
      <c r="D543" s="6" t="s">
        <v>149</v>
      </c>
      <c r="E543" s="46" t="s">
        <v>48</v>
      </c>
      <c r="F543" s="27">
        <f>SUMIFS(INDEX(Load,,MATCH('Summarized Source Data'!$C543,Hour,0)),Month,'Summarized Source Data'!$A543,Sector,'Summarized Source Data'!F$2,Subsector,'Summarized Source Data'!F$3,TimeOfWeek,$E543)*INDEX(About!B$79:B$82,MATCH($B543,About!$A$79:$A$82,0),1)</f>
        <v>5555034</v>
      </c>
      <c r="G543" s="27">
        <f>SUMIFS(INDEX(Load,,MATCH('Summarized Source Data'!$C543,Hour,0)),Month,'Summarized Source Data'!$A543,Sector,'Summarized Source Data'!G$2,Subsector,'Summarized Source Data'!G$3,TimeOfWeek,$E543)*INDEX(About!C$79:C$82,MATCH($B543,About!$A$79:$A$82,0),1)</f>
        <v>15473</v>
      </c>
      <c r="H543" s="27">
        <f>SUMIFS(INDEX(Load,,MATCH('Summarized Source Data'!$C543,Hour,0)),Month,'Summarized Source Data'!$A543,Sector,'Summarized Source Data'!H$2,Subsector,'Summarized Source Data'!H$3,TimeOfWeek,$E543)*INDEX(About!D$79:D$82,MATCH($B543,About!$A$79:$A$82,0),1)</f>
        <v>0</v>
      </c>
      <c r="I543" s="27">
        <f>SUMIFS(INDEX(Load,,MATCH('Summarized Source Data'!$C543,Hour,0)),Month,'Summarized Source Data'!$A543,Sector,'Summarized Source Data'!I$2,Subsector,'Summarized Source Data'!I$3,TimeOfWeek,$E543)*INDEX(About!E$79:E$82,MATCH($B543,About!$A$79:$A$82,0),1)</f>
        <v>8487946</v>
      </c>
      <c r="J543" s="54">
        <f t="shared" si="43"/>
        <v>100941547</v>
      </c>
      <c r="K543" s="27">
        <f>(SUMIFS(INDEX(Load,,MATCH('Summarized Source Data'!$C543,Hour,0)),Month,'Summarized Source Data'!$A543,Sector,'Summarized Source Data'!K$2,Subsector,"Total",TimeOfWeek,$E543)-SUM(F543:I543))*INDEX(About!G$79:G$82,MATCH($B543,About!$A$79:$A$82,0),1)</f>
        <v>100941547</v>
      </c>
      <c r="L543" s="27">
        <f>SUMIFS(INDEX(Load,,MATCH('Summarized Source Data'!$C543,Hour,0)),Month,'Summarized Source Data'!$A543,Sector,'Summarized Source Data'!L$2,Subsector,'Summarized Source Data'!L$3,TimeOfWeek,$E543)*INDEX(About!H$79:H$82,MATCH($B543,About!$A$79:$A$82,0),1)</f>
        <v>11400000</v>
      </c>
      <c r="M543" s="27">
        <f>SUMIFS(INDEX(Load,,MATCH('Summarized Source Data'!$C543,Hour,0)),Month,'Summarized Source Data'!$A543,Sector,'Summarized Source Data'!M$2,Subsector,'Summarized Source Data'!M$3,TimeOfWeek,$E543)*INDEX(About!I$79:I$82,MATCH($B543,About!$A$79:$A$82,0),1)</f>
        <v>89802</v>
      </c>
      <c r="N543" s="27">
        <f>SUMIFS(INDEX(Load,,MATCH('Summarized Source Data'!$C543,Hour,0)),Month,'Summarized Source Data'!$A543,Sector,'Summarized Source Data'!N$2,Subsector,'Summarized Source Data'!N$3,TimeOfWeek,$E543)*INDEX(About!J$79:J$82,MATCH($B543,About!$A$79:$A$82,0),1)</f>
        <v>0</v>
      </c>
      <c r="O543" s="29">
        <f t="shared" si="44"/>
        <v>128510198</v>
      </c>
      <c r="P543" s="27">
        <f>(SUMIFS(INDEX(Load,,MATCH('Summarized Source Data'!$C543,Hour,0)),Month,'Summarized Source Data'!$A543,Sector,'Summarized Source Data'!P$2,Subsector,"Total",TimeOfWeek,$E543)-SUM(L543:N543)*INDEX(About!L$79:L$82,MATCH($B543,About!$A$79:$A$82,0),1))</f>
        <v>128510198</v>
      </c>
      <c r="Q543" s="29">
        <f t="shared" si="45"/>
        <v>128510198</v>
      </c>
      <c r="R543" s="33">
        <f>SUMIFS(INDEX(Load,,MATCH('Summarized Source Data'!$C543,Hour,0)),Month,'Summarized Source Data'!$A543,Sector,'Summarized Source Data'!R$2,TimeOfWeek,$E543)*INDEX(About!N$79:N$82,MATCH($B543,About!$A$79:$A$82,0),1)</f>
        <v>6060997</v>
      </c>
      <c r="S543" s="33">
        <f>SUMIFS(INDEX(Load,,MATCH('Summarized Source Data'!$C543,Hour,0)),Month,'Summarized Source Data'!$A543,Sector,'Summarized Source Data'!S$2,TimeOfWeek,$E543)*INDEX(About!O$79:O$82,MATCH($B543,About!$A$79:$A$82,0),1)</f>
        <v>6060997</v>
      </c>
      <c r="T543" s="33">
        <f>SUMIFS(INDEX(Load,,MATCH('Summarized Source Data'!$C543,Hour,0)),Month,'Summarized Source Data'!$A543,Sector,'Summarized Source Data'!T$2,TimeOfWeek,$E543)*INDEX(About!P$79:P$82,MATCH($B543,About!$A$79:$A$82,0),1)</f>
        <v>6060997</v>
      </c>
      <c r="U543" s="33">
        <f>SUMIFS(INDEX(Load,,MATCH('Summarized Source Data'!$C543,Hour,0)),Month,'Summarized Source Data'!$A543,Sector,'Summarized Source Data'!U$2,TimeOfWeek,$E543)*INDEX(About!Q$79:Q$82,MATCH($B543,About!$A$79:$A$82,0),1)</f>
        <v>6060997</v>
      </c>
      <c r="V543" s="33">
        <f>SUMIFS(INDEX(Load,,MATCH('Summarized Source Data'!$C543,Hour,0)),Month,'Summarized Source Data'!$A543,Sector,'Summarized Source Data'!V$2,TimeOfWeek,$E543)*INDEX(About!R$79:R$82,MATCH($B543,About!$A$79:$A$82,0),1)</f>
        <v>6060997</v>
      </c>
      <c r="W543" s="33">
        <f>SUMIFS(INDEX(Load,,MATCH('Summarized Source Data'!$C543,Hour,0)),Month,'Summarized Source Data'!$A543,Sector,'Summarized Source Data'!W$2,TimeOfWeek,$E543)*INDEX(About!S$79:S$82,MATCH($B543,About!$A$79:$A$82,0),1)</f>
        <v>6060997</v>
      </c>
      <c r="X543" s="27">
        <f>SUMIFS(INDEX(Load,,MATCH('Summarized Source Data'!$C543,Hour,0)),Month,'Summarized Source Data'!$A543,Sector,'Summarized Source Data'!X$2,Subsector,'Summarized Source Data'!X$3,TimeOfWeek,$E543)*INDEX(About!T$79:T$82,MATCH($B543,About!$A$79:$A$82,0),1)</f>
        <v>348000000</v>
      </c>
      <c r="Y543" s="29">
        <f t="shared" si="46"/>
        <v>348000000</v>
      </c>
      <c r="Z543" s="29">
        <f t="shared" si="46"/>
        <v>348000000</v>
      </c>
    </row>
    <row r="544" spans="1:26" x14ac:dyDescent="0.3">
      <c r="A544">
        <f t="shared" si="41"/>
        <v>11</v>
      </c>
      <c r="B544" t="str">
        <f>INDEX('Category Mapping'!$G$28:$G$39,MATCH(A544,'Category Mapping'!$A$28:$A$39,0),1)</f>
        <v>Winter</v>
      </c>
      <c r="C544" t="s">
        <v>75</v>
      </c>
      <c r="D544" s="6" t="s">
        <v>150</v>
      </c>
      <c r="E544" s="46" t="s">
        <v>48</v>
      </c>
      <c r="F544" s="27">
        <f>SUMIFS(INDEX(Load,,MATCH('Summarized Source Data'!$C544,Hour,0)),Month,'Summarized Source Data'!$A544,Sector,'Summarized Source Data'!F$2,Subsector,'Summarized Source Data'!F$3,TimeOfWeek,$E544)*INDEX(About!B$79:B$82,MATCH($B544,About!$A$79:$A$82,0),1)</f>
        <v>5675360</v>
      </c>
      <c r="G544" s="27">
        <f>SUMIFS(INDEX(Load,,MATCH('Summarized Source Data'!$C544,Hour,0)),Month,'Summarized Source Data'!$A544,Sector,'Summarized Source Data'!G$2,Subsector,'Summarized Source Data'!G$3,TimeOfWeek,$E544)*INDEX(About!C$79:C$82,MATCH($B544,About!$A$79:$A$82,0),1)</f>
        <v>16133</v>
      </c>
      <c r="H544" s="27">
        <f>SUMIFS(INDEX(Load,,MATCH('Summarized Source Data'!$C544,Hour,0)),Month,'Summarized Source Data'!$A544,Sector,'Summarized Source Data'!H$2,Subsector,'Summarized Source Data'!H$3,TimeOfWeek,$E544)*INDEX(About!D$79:D$82,MATCH($B544,About!$A$79:$A$82,0),1)</f>
        <v>0</v>
      </c>
      <c r="I544" s="27">
        <f>SUMIFS(INDEX(Load,,MATCH('Summarized Source Data'!$C544,Hour,0)),Month,'Summarized Source Data'!$A544,Sector,'Summarized Source Data'!I$2,Subsector,'Summarized Source Data'!I$3,TimeOfWeek,$E544)*INDEX(About!E$79:E$82,MATCH($B544,About!$A$79:$A$82,0),1)</f>
        <v>8782936</v>
      </c>
      <c r="J544" s="54">
        <f t="shared" si="43"/>
        <v>92525571</v>
      </c>
      <c r="K544" s="27">
        <f>(SUMIFS(INDEX(Load,,MATCH('Summarized Source Data'!$C544,Hour,0)),Month,'Summarized Source Data'!$A544,Sector,'Summarized Source Data'!K$2,Subsector,"Total",TimeOfWeek,$E544)-SUM(F544:I544))*INDEX(About!G$79:G$82,MATCH($B544,About!$A$79:$A$82,0),1)</f>
        <v>92525571</v>
      </c>
      <c r="L544" s="27">
        <f>SUMIFS(INDEX(Load,,MATCH('Summarized Source Data'!$C544,Hour,0)),Month,'Summarized Source Data'!$A544,Sector,'Summarized Source Data'!L$2,Subsector,'Summarized Source Data'!L$3,TimeOfWeek,$E544)*INDEX(About!H$79:H$82,MATCH($B544,About!$A$79:$A$82,0),1)</f>
        <v>10300000</v>
      </c>
      <c r="M544" s="27">
        <f>SUMIFS(INDEX(Load,,MATCH('Summarized Source Data'!$C544,Hour,0)),Month,'Summarized Source Data'!$A544,Sector,'Summarized Source Data'!M$2,Subsector,'Summarized Source Data'!M$3,TimeOfWeek,$E544)*INDEX(About!I$79:I$82,MATCH($B544,About!$A$79:$A$82,0),1)</f>
        <v>90294</v>
      </c>
      <c r="N544" s="27">
        <f>SUMIFS(INDEX(Load,,MATCH('Summarized Source Data'!$C544,Hour,0)),Month,'Summarized Source Data'!$A544,Sector,'Summarized Source Data'!N$2,Subsector,'Summarized Source Data'!N$3,TimeOfWeek,$E544)*INDEX(About!J$79:J$82,MATCH($B544,About!$A$79:$A$82,0),1)</f>
        <v>0</v>
      </c>
      <c r="O544" s="29">
        <f t="shared" si="44"/>
        <v>127609706</v>
      </c>
      <c r="P544" s="27">
        <f>(SUMIFS(INDEX(Load,,MATCH('Summarized Source Data'!$C544,Hour,0)),Month,'Summarized Source Data'!$A544,Sector,'Summarized Source Data'!P$2,Subsector,"Total",TimeOfWeek,$E544)-SUM(L544:N544)*INDEX(About!L$79:L$82,MATCH($B544,About!$A$79:$A$82,0),1))</f>
        <v>127609706</v>
      </c>
      <c r="Q544" s="29">
        <f t="shared" si="45"/>
        <v>127609706</v>
      </c>
      <c r="R544" s="33">
        <f>SUMIFS(INDEX(Load,,MATCH('Summarized Source Data'!$C544,Hour,0)),Month,'Summarized Source Data'!$A544,Sector,'Summarized Source Data'!R$2,TimeOfWeek,$E544)*INDEX(About!N$79:N$82,MATCH($B544,About!$A$79:$A$82,0),1)</f>
        <v>5928015</v>
      </c>
      <c r="S544" s="33">
        <f>SUMIFS(INDEX(Load,,MATCH('Summarized Source Data'!$C544,Hour,0)),Month,'Summarized Source Data'!$A544,Sector,'Summarized Source Data'!S$2,TimeOfWeek,$E544)*INDEX(About!O$79:O$82,MATCH($B544,About!$A$79:$A$82,0),1)</f>
        <v>5928015</v>
      </c>
      <c r="T544" s="33">
        <f>SUMIFS(INDEX(Load,,MATCH('Summarized Source Data'!$C544,Hour,0)),Month,'Summarized Source Data'!$A544,Sector,'Summarized Source Data'!T$2,TimeOfWeek,$E544)*INDEX(About!P$79:P$82,MATCH($B544,About!$A$79:$A$82,0),1)</f>
        <v>5928015</v>
      </c>
      <c r="U544" s="33">
        <f>SUMIFS(INDEX(Load,,MATCH('Summarized Source Data'!$C544,Hour,0)),Month,'Summarized Source Data'!$A544,Sector,'Summarized Source Data'!U$2,TimeOfWeek,$E544)*INDEX(About!Q$79:Q$82,MATCH($B544,About!$A$79:$A$82,0),1)</f>
        <v>5928015</v>
      </c>
      <c r="V544" s="33">
        <f>SUMIFS(INDEX(Load,,MATCH('Summarized Source Data'!$C544,Hour,0)),Month,'Summarized Source Data'!$A544,Sector,'Summarized Source Data'!V$2,TimeOfWeek,$E544)*INDEX(About!R$79:R$82,MATCH($B544,About!$A$79:$A$82,0),1)</f>
        <v>5928015</v>
      </c>
      <c r="W544" s="33">
        <f>SUMIFS(INDEX(Load,,MATCH('Summarized Source Data'!$C544,Hour,0)),Month,'Summarized Source Data'!$A544,Sector,'Summarized Source Data'!W$2,TimeOfWeek,$E544)*INDEX(About!S$79:S$82,MATCH($B544,About!$A$79:$A$82,0),1)</f>
        <v>5928015</v>
      </c>
      <c r="X544" s="27">
        <f>SUMIFS(INDEX(Load,,MATCH('Summarized Source Data'!$C544,Hour,0)),Month,'Summarized Source Data'!$A544,Sector,'Summarized Source Data'!X$2,Subsector,'Summarized Source Data'!X$3,TimeOfWeek,$E544)*INDEX(About!T$79:T$82,MATCH($B544,About!$A$79:$A$82,0),1)</f>
        <v>347000000</v>
      </c>
      <c r="Y544" s="29">
        <f t="shared" si="46"/>
        <v>347000000</v>
      </c>
      <c r="Z544" s="29">
        <f t="shared" si="46"/>
        <v>347000000</v>
      </c>
    </row>
    <row r="545" spans="1:26" x14ac:dyDescent="0.3">
      <c r="A545">
        <f t="shared" si="41"/>
        <v>11</v>
      </c>
      <c r="B545" t="str">
        <f>INDEX('Category Mapping'!$G$28:$G$39,MATCH(A545,'Category Mapping'!$A$28:$A$39,0),1)</f>
        <v>Winter</v>
      </c>
      <c r="C545" t="s">
        <v>76</v>
      </c>
      <c r="D545" s="6" t="s">
        <v>151</v>
      </c>
      <c r="E545" s="46" t="s">
        <v>48</v>
      </c>
      <c r="F545" s="27">
        <f>SUMIFS(INDEX(Load,,MATCH('Summarized Source Data'!$C545,Hour,0)),Month,'Summarized Source Data'!$A545,Sector,'Summarized Source Data'!F$2,Subsector,'Summarized Source Data'!F$3,TimeOfWeek,$E545)*INDEX(About!B$79:B$82,MATCH($B545,About!$A$79:$A$82,0),1)</f>
        <v>5670770</v>
      </c>
      <c r="G545" s="27">
        <f>SUMIFS(INDEX(Load,,MATCH('Summarized Source Data'!$C545,Hour,0)),Month,'Summarized Source Data'!$A545,Sector,'Summarized Source Data'!G$2,Subsector,'Summarized Source Data'!G$3,TimeOfWeek,$E545)*INDEX(About!C$79:C$82,MATCH($B545,About!$A$79:$A$82,0),1)</f>
        <v>16285</v>
      </c>
      <c r="H545" s="27">
        <f>SUMIFS(INDEX(Load,,MATCH('Summarized Source Data'!$C545,Hour,0)),Month,'Summarized Source Data'!$A545,Sector,'Summarized Source Data'!H$2,Subsector,'Summarized Source Data'!H$3,TimeOfWeek,$E545)*INDEX(About!D$79:D$82,MATCH($B545,About!$A$79:$A$82,0),1)</f>
        <v>0</v>
      </c>
      <c r="I545" s="27">
        <f>SUMIFS(INDEX(Load,,MATCH('Summarized Source Data'!$C545,Hour,0)),Month,'Summarized Source Data'!$A545,Sector,'Summarized Source Data'!I$2,Subsector,'Summarized Source Data'!I$3,TimeOfWeek,$E545)*INDEX(About!E$79:E$82,MATCH($B545,About!$A$79:$A$82,0),1)</f>
        <v>8771683</v>
      </c>
      <c r="J545" s="54">
        <f t="shared" si="43"/>
        <v>81141262</v>
      </c>
      <c r="K545" s="27">
        <f>(SUMIFS(INDEX(Load,,MATCH('Summarized Source Data'!$C545,Hour,0)),Month,'Summarized Source Data'!$A545,Sector,'Summarized Source Data'!K$2,Subsector,"Total",TimeOfWeek,$E545)-SUM(F545:I545))*INDEX(About!G$79:G$82,MATCH($B545,About!$A$79:$A$82,0),1)</f>
        <v>81141262</v>
      </c>
      <c r="L545" s="27">
        <f>SUMIFS(INDEX(Load,,MATCH('Summarized Source Data'!$C545,Hour,0)),Month,'Summarized Source Data'!$A545,Sector,'Summarized Source Data'!L$2,Subsector,'Summarized Source Data'!L$3,TimeOfWeek,$E545)*INDEX(About!H$79:H$82,MATCH($B545,About!$A$79:$A$82,0),1)</f>
        <v>9477244</v>
      </c>
      <c r="M545" s="27">
        <f>SUMIFS(INDEX(Load,,MATCH('Summarized Source Data'!$C545,Hour,0)),Month,'Summarized Source Data'!$A545,Sector,'Summarized Source Data'!M$2,Subsector,'Summarized Source Data'!M$3,TimeOfWeek,$E545)*INDEX(About!I$79:I$82,MATCH($B545,About!$A$79:$A$82,0),1)</f>
        <v>90294</v>
      </c>
      <c r="N545" s="27">
        <f>SUMIFS(INDEX(Load,,MATCH('Summarized Source Data'!$C545,Hour,0)),Month,'Summarized Source Data'!$A545,Sector,'Summarized Source Data'!N$2,Subsector,'Summarized Source Data'!N$3,TimeOfWeek,$E545)*INDEX(About!J$79:J$82,MATCH($B545,About!$A$79:$A$82,0),1)</f>
        <v>0</v>
      </c>
      <c r="O545" s="29">
        <f t="shared" si="44"/>
        <v>122432462</v>
      </c>
      <c r="P545" s="27">
        <f>(SUMIFS(INDEX(Load,,MATCH('Summarized Source Data'!$C545,Hour,0)),Month,'Summarized Source Data'!$A545,Sector,'Summarized Source Data'!P$2,Subsector,"Total",TimeOfWeek,$E545)-SUM(L545:N545)*INDEX(About!L$79:L$82,MATCH($B545,About!$A$79:$A$82,0),1))</f>
        <v>122432462</v>
      </c>
      <c r="Q545" s="29">
        <f t="shared" si="45"/>
        <v>122432462</v>
      </c>
      <c r="R545" s="33">
        <f>SUMIFS(INDEX(Load,,MATCH('Summarized Source Data'!$C545,Hour,0)),Month,'Summarized Source Data'!$A545,Sector,'Summarized Source Data'!R$2,TimeOfWeek,$E545)*INDEX(About!N$79:N$82,MATCH($B545,About!$A$79:$A$82,0),1)</f>
        <v>5642955</v>
      </c>
      <c r="S545" s="33">
        <f>SUMIFS(INDEX(Load,,MATCH('Summarized Source Data'!$C545,Hour,0)),Month,'Summarized Source Data'!$A545,Sector,'Summarized Source Data'!S$2,TimeOfWeek,$E545)*INDEX(About!O$79:O$82,MATCH($B545,About!$A$79:$A$82,0),1)</f>
        <v>5642955</v>
      </c>
      <c r="T545" s="33">
        <f>SUMIFS(INDEX(Load,,MATCH('Summarized Source Data'!$C545,Hour,0)),Month,'Summarized Source Data'!$A545,Sector,'Summarized Source Data'!T$2,TimeOfWeek,$E545)*INDEX(About!P$79:P$82,MATCH($B545,About!$A$79:$A$82,0),1)</f>
        <v>5642955</v>
      </c>
      <c r="U545" s="33">
        <f>SUMIFS(INDEX(Load,,MATCH('Summarized Source Data'!$C545,Hour,0)),Month,'Summarized Source Data'!$A545,Sector,'Summarized Source Data'!U$2,TimeOfWeek,$E545)*INDEX(About!Q$79:Q$82,MATCH($B545,About!$A$79:$A$82,0),1)</f>
        <v>5642955</v>
      </c>
      <c r="V545" s="33">
        <f>SUMIFS(INDEX(Load,,MATCH('Summarized Source Data'!$C545,Hour,0)),Month,'Summarized Source Data'!$A545,Sector,'Summarized Source Data'!V$2,TimeOfWeek,$E545)*INDEX(About!R$79:R$82,MATCH($B545,About!$A$79:$A$82,0),1)</f>
        <v>5642955</v>
      </c>
      <c r="W545" s="33">
        <f>SUMIFS(INDEX(Load,,MATCH('Summarized Source Data'!$C545,Hour,0)),Month,'Summarized Source Data'!$A545,Sector,'Summarized Source Data'!W$2,TimeOfWeek,$E545)*INDEX(About!S$79:S$82,MATCH($B545,About!$A$79:$A$82,0),1)</f>
        <v>5642955</v>
      </c>
      <c r="X545" s="27">
        <f>SUMIFS(INDEX(Load,,MATCH('Summarized Source Data'!$C545,Hour,0)),Month,'Summarized Source Data'!$A545,Sector,'Summarized Source Data'!X$2,Subsector,'Summarized Source Data'!X$3,TimeOfWeek,$E545)*INDEX(About!T$79:T$82,MATCH($B545,About!$A$79:$A$82,0),1)</f>
        <v>348000000</v>
      </c>
      <c r="Y545" s="29">
        <f t="shared" si="46"/>
        <v>348000000</v>
      </c>
      <c r="Z545" s="29">
        <f t="shared" si="46"/>
        <v>348000000</v>
      </c>
    </row>
    <row r="546" spans="1:26" x14ac:dyDescent="0.3">
      <c r="A546">
        <f t="shared" si="41"/>
        <v>11</v>
      </c>
      <c r="B546" t="str">
        <f>INDEX('Category Mapping'!$G$28:$G$39,MATCH(A546,'Category Mapping'!$A$28:$A$39,0),1)</f>
        <v>Winter</v>
      </c>
      <c r="C546" t="s">
        <v>77</v>
      </c>
      <c r="D546" s="6" t="s">
        <v>152</v>
      </c>
      <c r="E546" s="46" t="s">
        <v>48</v>
      </c>
      <c r="F546" s="27">
        <f>SUMIFS(INDEX(Load,,MATCH('Summarized Source Data'!$C546,Hour,0)),Month,'Summarized Source Data'!$A546,Sector,'Summarized Source Data'!F$2,Subsector,'Summarized Source Data'!F$3,TimeOfWeek,$E546)*INDEX(About!B$79:B$82,MATCH($B546,About!$A$79:$A$82,0),1)</f>
        <v>5633123</v>
      </c>
      <c r="G546" s="27">
        <f>SUMIFS(INDEX(Load,,MATCH('Summarized Source Data'!$C546,Hour,0)),Month,'Summarized Source Data'!$A546,Sector,'Summarized Source Data'!G$2,Subsector,'Summarized Source Data'!G$3,TimeOfWeek,$E546)*INDEX(About!C$79:C$82,MATCH($B546,About!$A$79:$A$82,0),1)</f>
        <v>16250</v>
      </c>
      <c r="H546" s="27">
        <f>SUMIFS(INDEX(Load,,MATCH('Summarized Source Data'!$C546,Hour,0)),Month,'Summarized Source Data'!$A546,Sector,'Summarized Source Data'!H$2,Subsector,'Summarized Source Data'!H$3,TimeOfWeek,$E546)*INDEX(About!D$79:D$82,MATCH($B546,About!$A$79:$A$82,0),1)</f>
        <v>0</v>
      </c>
      <c r="I546" s="27">
        <f>SUMIFS(INDEX(Load,,MATCH('Summarized Source Data'!$C546,Hour,0)),Month,'Summarized Source Data'!$A546,Sector,'Summarized Source Data'!I$2,Subsector,'Summarized Source Data'!I$3,TimeOfWeek,$E546)*INDEX(About!E$79:E$82,MATCH($B546,About!$A$79:$A$82,0),1)</f>
        <v>8679387</v>
      </c>
      <c r="J546" s="54">
        <f t="shared" si="43"/>
        <v>84671240</v>
      </c>
      <c r="K546" s="27">
        <f>(SUMIFS(INDEX(Load,,MATCH('Summarized Source Data'!$C546,Hour,0)),Month,'Summarized Source Data'!$A546,Sector,'Summarized Source Data'!K$2,Subsector,"Total",TimeOfWeek,$E546)-SUM(F546:I546))*INDEX(About!G$79:G$82,MATCH($B546,About!$A$79:$A$82,0),1)</f>
        <v>84671240</v>
      </c>
      <c r="L546" s="27">
        <f>SUMIFS(INDEX(Load,,MATCH('Summarized Source Data'!$C546,Hour,0)),Month,'Summarized Source Data'!$A546,Sector,'Summarized Source Data'!L$2,Subsector,'Summarized Source Data'!L$3,TimeOfWeek,$E546)*INDEX(About!H$79:H$82,MATCH($B546,About!$A$79:$A$82,0),1)</f>
        <v>9124239</v>
      </c>
      <c r="M546" s="27">
        <f>SUMIFS(INDEX(Load,,MATCH('Summarized Source Data'!$C546,Hour,0)),Month,'Summarized Source Data'!$A546,Sector,'Summarized Source Data'!M$2,Subsector,'Summarized Source Data'!M$3,TimeOfWeek,$E546)*INDEX(About!I$79:I$82,MATCH($B546,About!$A$79:$A$82,0),1)</f>
        <v>90294</v>
      </c>
      <c r="N546" s="27">
        <f>SUMIFS(INDEX(Load,,MATCH('Summarized Source Data'!$C546,Hour,0)),Month,'Summarized Source Data'!$A546,Sector,'Summarized Source Data'!N$2,Subsector,'Summarized Source Data'!N$3,TimeOfWeek,$E546)*INDEX(About!J$79:J$82,MATCH($B546,About!$A$79:$A$82,0),1)</f>
        <v>0</v>
      </c>
      <c r="O546" s="29">
        <f t="shared" si="44"/>
        <v>116785467</v>
      </c>
      <c r="P546" s="27">
        <f>(SUMIFS(INDEX(Load,,MATCH('Summarized Source Data'!$C546,Hour,0)),Month,'Summarized Source Data'!$A546,Sector,'Summarized Source Data'!P$2,Subsector,"Total",TimeOfWeek,$E546)-SUM(L546:N546)*INDEX(About!L$79:L$82,MATCH($B546,About!$A$79:$A$82,0),1))</f>
        <v>116785467</v>
      </c>
      <c r="Q546" s="29">
        <f t="shared" si="45"/>
        <v>116785467</v>
      </c>
      <c r="R546" s="33">
        <f>SUMIFS(INDEX(Load,,MATCH('Summarized Source Data'!$C546,Hour,0)),Month,'Summarized Source Data'!$A546,Sector,'Summarized Source Data'!R$2,TimeOfWeek,$E546)*INDEX(About!N$79:N$82,MATCH($B546,About!$A$79:$A$82,0),1)</f>
        <v>5572690</v>
      </c>
      <c r="S546" s="33">
        <f>SUMIFS(INDEX(Load,,MATCH('Summarized Source Data'!$C546,Hour,0)),Month,'Summarized Source Data'!$A546,Sector,'Summarized Source Data'!S$2,TimeOfWeek,$E546)*INDEX(About!O$79:O$82,MATCH($B546,About!$A$79:$A$82,0),1)</f>
        <v>5572690</v>
      </c>
      <c r="T546" s="33">
        <f>SUMIFS(INDEX(Load,,MATCH('Summarized Source Data'!$C546,Hour,0)),Month,'Summarized Source Data'!$A546,Sector,'Summarized Source Data'!T$2,TimeOfWeek,$E546)*INDEX(About!P$79:P$82,MATCH($B546,About!$A$79:$A$82,0),1)</f>
        <v>5572690</v>
      </c>
      <c r="U546" s="33">
        <f>SUMIFS(INDEX(Load,,MATCH('Summarized Source Data'!$C546,Hour,0)),Month,'Summarized Source Data'!$A546,Sector,'Summarized Source Data'!U$2,TimeOfWeek,$E546)*INDEX(About!Q$79:Q$82,MATCH($B546,About!$A$79:$A$82,0),1)</f>
        <v>5572690</v>
      </c>
      <c r="V546" s="33">
        <f>SUMIFS(INDEX(Load,,MATCH('Summarized Source Data'!$C546,Hour,0)),Month,'Summarized Source Data'!$A546,Sector,'Summarized Source Data'!V$2,TimeOfWeek,$E546)*INDEX(About!R$79:R$82,MATCH($B546,About!$A$79:$A$82,0),1)</f>
        <v>5572690</v>
      </c>
      <c r="W546" s="33">
        <f>SUMIFS(INDEX(Load,,MATCH('Summarized Source Data'!$C546,Hour,0)),Month,'Summarized Source Data'!$A546,Sector,'Summarized Source Data'!W$2,TimeOfWeek,$E546)*INDEX(About!S$79:S$82,MATCH($B546,About!$A$79:$A$82,0),1)</f>
        <v>5572690</v>
      </c>
      <c r="X546" s="27">
        <f>SUMIFS(INDEX(Load,,MATCH('Summarized Source Data'!$C546,Hour,0)),Month,'Summarized Source Data'!$A546,Sector,'Summarized Source Data'!X$2,Subsector,'Summarized Source Data'!X$3,TimeOfWeek,$E546)*INDEX(About!T$79:T$82,MATCH($B546,About!$A$79:$A$82,0),1)</f>
        <v>349000000</v>
      </c>
      <c r="Y546" s="29">
        <f t="shared" si="46"/>
        <v>349000000</v>
      </c>
      <c r="Z546" s="29">
        <f t="shared" si="46"/>
        <v>349000000</v>
      </c>
    </row>
    <row r="547" spans="1:26" x14ac:dyDescent="0.3">
      <c r="A547">
        <f t="shared" si="41"/>
        <v>11</v>
      </c>
      <c r="B547" t="str">
        <f>INDEX('Category Mapping'!$G$28:$G$39,MATCH(A547,'Category Mapping'!$A$28:$A$39,0),1)</f>
        <v>Winter</v>
      </c>
      <c r="C547" t="s">
        <v>78</v>
      </c>
      <c r="D547" s="6" t="s">
        <v>153</v>
      </c>
      <c r="E547" s="46" t="s">
        <v>48</v>
      </c>
      <c r="F547" s="27">
        <f>SUMIFS(INDEX(Load,,MATCH('Summarized Source Data'!$C547,Hour,0)),Month,'Summarized Source Data'!$A547,Sector,'Summarized Source Data'!F$2,Subsector,'Summarized Source Data'!F$3,TimeOfWeek,$E547)*INDEX(About!B$79:B$82,MATCH($B547,About!$A$79:$A$82,0),1)</f>
        <v>5642007</v>
      </c>
      <c r="G547" s="27">
        <f>SUMIFS(INDEX(Load,,MATCH('Summarized Source Data'!$C547,Hour,0)),Month,'Summarized Source Data'!$A547,Sector,'Summarized Source Data'!G$2,Subsector,'Summarized Source Data'!G$3,TimeOfWeek,$E547)*INDEX(About!C$79:C$82,MATCH($B547,About!$A$79:$A$82,0),1)</f>
        <v>16199</v>
      </c>
      <c r="H547" s="27">
        <f>SUMIFS(INDEX(Load,,MATCH('Summarized Source Data'!$C547,Hour,0)),Month,'Summarized Source Data'!$A547,Sector,'Summarized Source Data'!H$2,Subsector,'Summarized Source Data'!H$3,TimeOfWeek,$E547)*INDEX(About!D$79:D$82,MATCH($B547,About!$A$79:$A$82,0),1)</f>
        <v>0</v>
      </c>
      <c r="I547" s="27">
        <f>SUMIFS(INDEX(Load,,MATCH('Summarized Source Data'!$C547,Hour,0)),Month,'Summarized Source Data'!$A547,Sector,'Summarized Source Data'!I$2,Subsector,'Summarized Source Data'!I$3,TimeOfWeek,$E547)*INDEX(About!E$79:E$82,MATCH($B547,About!$A$79:$A$82,0),1)</f>
        <v>8701168</v>
      </c>
      <c r="J547" s="54">
        <f t="shared" si="43"/>
        <v>88640626</v>
      </c>
      <c r="K547" s="27">
        <f>(SUMIFS(INDEX(Load,,MATCH('Summarized Source Data'!$C547,Hour,0)),Month,'Summarized Source Data'!$A547,Sector,'Summarized Source Data'!K$2,Subsector,"Total",TimeOfWeek,$E547)-SUM(F547:I547))*INDEX(About!G$79:G$82,MATCH($B547,About!$A$79:$A$82,0),1)</f>
        <v>88640626</v>
      </c>
      <c r="L547" s="27">
        <f>SUMIFS(INDEX(Load,,MATCH('Summarized Source Data'!$C547,Hour,0)),Month,'Summarized Source Data'!$A547,Sector,'Summarized Source Data'!L$2,Subsector,'Summarized Source Data'!L$3,TimeOfWeek,$E547)*INDEX(About!H$79:H$82,MATCH($B547,About!$A$79:$A$82,0),1)</f>
        <v>9168618</v>
      </c>
      <c r="M547" s="27">
        <f>SUMIFS(INDEX(Load,,MATCH('Summarized Source Data'!$C547,Hour,0)),Month,'Summarized Source Data'!$A547,Sector,'Summarized Source Data'!M$2,Subsector,'Summarized Source Data'!M$3,TimeOfWeek,$E547)*INDEX(About!I$79:I$82,MATCH($B547,About!$A$79:$A$82,0),1)</f>
        <v>90314</v>
      </c>
      <c r="N547" s="27">
        <f>SUMIFS(INDEX(Load,,MATCH('Summarized Source Data'!$C547,Hour,0)),Month,'Summarized Source Data'!$A547,Sector,'Summarized Source Data'!N$2,Subsector,'Summarized Source Data'!N$3,TimeOfWeek,$E547)*INDEX(About!J$79:J$82,MATCH($B547,About!$A$79:$A$82,0),1)</f>
        <v>0</v>
      </c>
      <c r="O547" s="29">
        <f t="shared" si="44"/>
        <v>108741068</v>
      </c>
      <c r="P547" s="27">
        <f>(SUMIFS(INDEX(Load,,MATCH('Summarized Source Data'!$C547,Hour,0)),Month,'Summarized Source Data'!$A547,Sector,'Summarized Source Data'!P$2,Subsector,"Total",TimeOfWeek,$E547)-SUM(L547:N547)*INDEX(About!L$79:L$82,MATCH($B547,About!$A$79:$A$82,0),1))</f>
        <v>108741068</v>
      </c>
      <c r="Q547" s="29">
        <f t="shared" si="45"/>
        <v>108741068</v>
      </c>
      <c r="R547" s="33">
        <f>SUMIFS(INDEX(Load,,MATCH('Summarized Source Data'!$C547,Hour,0)),Month,'Summarized Source Data'!$A547,Sector,'Summarized Source Data'!R$2,TimeOfWeek,$E547)*INDEX(About!N$79:N$82,MATCH($B547,About!$A$79:$A$82,0),1)</f>
        <v>5467291</v>
      </c>
      <c r="S547" s="33">
        <f>SUMIFS(INDEX(Load,,MATCH('Summarized Source Data'!$C547,Hour,0)),Month,'Summarized Source Data'!$A547,Sector,'Summarized Source Data'!S$2,TimeOfWeek,$E547)*INDEX(About!O$79:O$82,MATCH($B547,About!$A$79:$A$82,0),1)</f>
        <v>5467291</v>
      </c>
      <c r="T547" s="33">
        <f>SUMIFS(INDEX(Load,,MATCH('Summarized Source Data'!$C547,Hour,0)),Month,'Summarized Source Data'!$A547,Sector,'Summarized Source Data'!T$2,TimeOfWeek,$E547)*INDEX(About!P$79:P$82,MATCH($B547,About!$A$79:$A$82,0),1)</f>
        <v>5467291</v>
      </c>
      <c r="U547" s="33">
        <f>SUMIFS(INDEX(Load,,MATCH('Summarized Source Data'!$C547,Hour,0)),Month,'Summarized Source Data'!$A547,Sector,'Summarized Source Data'!U$2,TimeOfWeek,$E547)*INDEX(About!Q$79:Q$82,MATCH($B547,About!$A$79:$A$82,0),1)</f>
        <v>5467291</v>
      </c>
      <c r="V547" s="33">
        <f>SUMIFS(INDEX(Load,,MATCH('Summarized Source Data'!$C547,Hour,0)),Month,'Summarized Source Data'!$A547,Sector,'Summarized Source Data'!V$2,TimeOfWeek,$E547)*INDEX(About!R$79:R$82,MATCH($B547,About!$A$79:$A$82,0),1)</f>
        <v>5467291</v>
      </c>
      <c r="W547" s="33">
        <f>SUMIFS(INDEX(Load,,MATCH('Summarized Source Data'!$C547,Hour,0)),Month,'Summarized Source Data'!$A547,Sector,'Summarized Source Data'!W$2,TimeOfWeek,$E547)*INDEX(About!S$79:S$82,MATCH($B547,About!$A$79:$A$82,0),1)</f>
        <v>5467291</v>
      </c>
      <c r="X547" s="27">
        <f>SUMIFS(INDEX(Load,,MATCH('Summarized Source Data'!$C547,Hour,0)),Month,'Summarized Source Data'!$A547,Sector,'Summarized Source Data'!X$2,Subsector,'Summarized Source Data'!X$3,TimeOfWeek,$E547)*INDEX(About!T$79:T$82,MATCH($B547,About!$A$79:$A$82,0),1)</f>
        <v>353000000</v>
      </c>
      <c r="Y547" s="29">
        <f t="shared" si="46"/>
        <v>353000000</v>
      </c>
      <c r="Z547" s="29">
        <f t="shared" si="46"/>
        <v>353000000</v>
      </c>
    </row>
    <row r="548" spans="1:26" x14ac:dyDescent="0.3">
      <c r="A548">
        <f t="shared" si="41"/>
        <v>11</v>
      </c>
      <c r="B548" t="str">
        <f>INDEX('Category Mapping'!$G$28:$G$39,MATCH(A548,'Category Mapping'!$A$28:$A$39,0),1)</f>
        <v>Winter</v>
      </c>
      <c r="C548" t="s">
        <v>79</v>
      </c>
      <c r="D548" s="6" t="s">
        <v>154</v>
      </c>
      <c r="E548" s="46" t="s">
        <v>48</v>
      </c>
      <c r="F548" s="27">
        <f>SUMIFS(INDEX(Load,,MATCH('Summarized Source Data'!$C548,Hour,0)),Month,'Summarized Source Data'!$A548,Sector,'Summarized Source Data'!F$2,Subsector,'Summarized Source Data'!F$3,TimeOfWeek,$E548)*INDEX(About!B$79:B$82,MATCH($B548,About!$A$79:$A$82,0),1)</f>
        <v>5738928</v>
      </c>
      <c r="G548" s="27">
        <f>SUMIFS(INDEX(Load,,MATCH('Summarized Source Data'!$C548,Hour,0)),Month,'Summarized Source Data'!$A548,Sector,'Summarized Source Data'!G$2,Subsector,'Summarized Source Data'!G$3,TimeOfWeek,$E548)*INDEX(About!C$79:C$82,MATCH($B548,About!$A$79:$A$82,0),1)</f>
        <v>16328</v>
      </c>
      <c r="H548" s="27">
        <f>SUMIFS(INDEX(Load,,MATCH('Summarized Source Data'!$C548,Hour,0)),Month,'Summarized Source Data'!$A548,Sector,'Summarized Source Data'!H$2,Subsector,'Summarized Source Data'!H$3,TimeOfWeek,$E548)*INDEX(About!D$79:D$82,MATCH($B548,About!$A$79:$A$82,0),1)</f>
        <v>0</v>
      </c>
      <c r="I548" s="27">
        <f>SUMIFS(INDEX(Load,,MATCH('Summarized Source Data'!$C548,Hour,0)),Month,'Summarized Source Data'!$A548,Sector,'Summarized Source Data'!I$2,Subsector,'Summarized Source Data'!I$3,TimeOfWeek,$E548)*INDEX(About!E$79:E$82,MATCH($B548,About!$A$79:$A$82,0),1)</f>
        <v>18000000</v>
      </c>
      <c r="J548" s="54">
        <f t="shared" si="43"/>
        <v>94244744</v>
      </c>
      <c r="K548" s="27">
        <f>(SUMIFS(INDEX(Load,,MATCH('Summarized Source Data'!$C548,Hour,0)),Month,'Summarized Source Data'!$A548,Sector,'Summarized Source Data'!K$2,Subsector,"Total",TimeOfWeek,$E548)-SUM(F548:I548))*INDEX(About!G$79:G$82,MATCH($B548,About!$A$79:$A$82,0),1)</f>
        <v>94244744</v>
      </c>
      <c r="L548" s="27">
        <f>SUMIFS(INDEX(Load,,MATCH('Summarized Source Data'!$C548,Hour,0)),Month,'Summarized Source Data'!$A548,Sector,'Summarized Source Data'!L$2,Subsector,'Summarized Source Data'!L$3,TimeOfWeek,$E548)*INDEX(About!H$79:H$82,MATCH($B548,About!$A$79:$A$82,0),1)</f>
        <v>9240321</v>
      </c>
      <c r="M548" s="27">
        <f>SUMIFS(INDEX(Load,,MATCH('Summarized Source Data'!$C548,Hour,0)),Month,'Summarized Source Data'!$A548,Sector,'Summarized Source Data'!M$2,Subsector,'Summarized Source Data'!M$3,TimeOfWeek,$E548)*INDEX(About!I$79:I$82,MATCH($B548,About!$A$79:$A$82,0),1)</f>
        <v>89343</v>
      </c>
      <c r="N548" s="27">
        <f>SUMIFS(INDEX(Load,,MATCH('Summarized Source Data'!$C548,Hour,0)),Month,'Summarized Source Data'!$A548,Sector,'Summarized Source Data'!N$2,Subsector,'Summarized Source Data'!N$3,TimeOfWeek,$E548)*INDEX(About!J$79:J$82,MATCH($B548,About!$A$79:$A$82,0),1)</f>
        <v>0</v>
      </c>
      <c r="O548" s="29">
        <f t="shared" si="44"/>
        <v>103670336</v>
      </c>
      <c r="P548" s="27">
        <f>(SUMIFS(INDEX(Load,,MATCH('Summarized Source Data'!$C548,Hour,0)),Month,'Summarized Source Data'!$A548,Sector,'Summarized Source Data'!P$2,Subsector,"Total",TimeOfWeek,$E548)-SUM(L548:N548)*INDEX(About!L$79:L$82,MATCH($B548,About!$A$79:$A$82,0),1))</f>
        <v>103670336</v>
      </c>
      <c r="Q548" s="29">
        <f t="shared" si="45"/>
        <v>103670336</v>
      </c>
      <c r="R548" s="33">
        <f>SUMIFS(INDEX(Load,,MATCH('Summarized Source Data'!$C548,Hour,0)),Month,'Summarized Source Data'!$A548,Sector,'Summarized Source Data'!R$2,TimeOfWeek,$E548)*INDEX(About!N$79:N$82,MATCH($B548,About!$A$79:$A$82,0),1)</f>
        <v>6268256</v>
      </c>
      <c r="S548" s="33">
        <f>SUMIFS(INDEX(Load,,MATCH('Summarized Source Data'!$C548,Hour,0)),Month,'Summarized Source Data'!$A548,Sector,'Summarized Source Data'!S$2,TimeOfWeek,$E548)*INDEX(About!O$79:O$82,MATCH($B548,About!$A$79:$A$82,0),1)</f>
        <v>6268256</v>
      </c>
      <c r="T548" s="33">
        <f>SUMIFS(INDEX(Load,,MATCH('Summarized Source Data'!$C548,Hour,0)),Month,'Summarized Source Data'!$A548,Sector,'Summarized Source Data'!T$2,TimeOfWeek,$E548)*INDEX(About!P$79:P$82,MATCH($B548,About!$A$79:$A$82,0),1)</f>
        <v>6268256</v>
      </c>
      <c r="U548" s="33">
        <f>SUMIFS(INDEX(Load,,MATCH('Summarized Source Data'!$C548,Hour,0)),Month,'Summarized Source Data'!$A548,Sector,'Summarized Source Data'!U$2,TimeOfWeek,$E548)*INDEX(About!Q$79:Q$82,MATCH($B548,About!$A$79:$A$82,0),1)</f>
        <v>6268256</v>
      </c>
      <c r="V548" s="33">
        <f>SUMIFS(INDEX(Load,,MATCH('Summarized Source Data'!$C548,Hour,0)),Month,'Summarized Source Data'!$A548,Sector,'Summarized Source Data'!V$2,TimeOfWeek,$E548)*INDEX(About!R$79:R$82,MATCH($B548,About!$A$79:$A$82,0),1)</f>
        <v>6268256</v>
      </c>
      <c r="W548" s="33">
        <f>SUMIFS(INDEX(Load,,MATCH('Summarized Source Data'!$C548,Hour,0)),Month,'Summarized Source Data'!$A548,Sector,'Summarized Source Data'!W$2,TimeOfWeek,$E548)*INDEX(About!S$79:S$82,MATCH($B548,About!$A$79:$A$82,0),1)</f>
        <v>6268256</v>
      </c>
      <c r="X548" s="27">
        <f>SUMIFS(INDEX(Load,,MATCH('Summarized Source Data'!$C548,Hour,0)),Month,'Summarized Source Data'!$A548,Sector,'Summarized Source Data'!X$2,Subsector,'Summarized Source Data'!X$3,TimeOfWeek,$E548)*INDEX(About!T$79:T$82,MATCH($B548,About!$A$79:$A$82,0),1)</f>
        <v>357000000</v>
      </c>
      <c r="Y548" s="29">
        <f t="shared" si="46"/>
        <v>357000000</v>
      </c>
      <c r="Z548" s="29">
        <f t="shared" si="46"/>
        <v>357000000</v>
      </c>
    </row>
    <row r="549" spans="1:26" x14ac:dyDescent="0.3">
      <c r="A549">
        <f t="shared" ref="A549:A579" si="47">A261</f>
        <v>11</v>
      </c>
      <c r="B549" t="str">
        <f>INDEX('Category Mapping'!$G$28:$G$39,MATCH(A549,'Category Mapping'!$A$28:$A$39,0),1)</f>
        <v>Winter</v>
      </c>
      <c r="C549" t="s">
        <v>80</v>
      </c>
      <c r="D549" s="6" t="s">
        <v>155</v>
      </c>
      <c r="E549" s="46" t="s">
        <v>48</v>
      </c>
      <c r="F549" s="27">
        <f>SUMIFS(INDEX(Load,,MATCH('Summarized Source Data'!$C549,Hour,0)),Month,'Summarized Source Data'!$A549,Sector,'Summarized Source Data'!F$2,Subsector,'Summarized Source Data'!F$3,TimeOfWeek,$E549)*INDEX(About!B$79:B$82,MATCH($B549,About!$A$79:$A$82,0),1)</f>
        <v>5919864</v>
      </c>
      <c r="G549" s="27">
        <f>SUMIFS(INDEX(Load,,MATCH('Summarized Source Data'!$C549,Hour,0)),Month,'Summarized Source Data'!$A549,Sector,'Summarized Source Data'!G$2,Subsector,'Summarized Source Data'!G$3,TimeOfWeek,$E549)*INDEX(About!C$79:C$82,MATCH($B549,About!$A$79:$A$82,0),1)</f>
        <v>16974</v>
      </c>
      <c r="H549" s="27">
        <f>SUMIFS(INDEX(Load,,MATCH('Summarized Source Data'!$C549,Hour,0)),Month,'Summarized Source Data'!$A549,Sector,'Summarized Source Data'!H$2,Subsector,'Summarized Source Data'!H$3,TimeOfWeek,$E549)*INDEX(About!D$79:D$82,MATCH($B549,About!$A$79:$A$82,0),1)</f>
        <v>0</v>
      </c>
      <c r="I549" s="27">
        <f>SUMIFS(INDEX(Load,,MATCH('Summarized Source Data'!$C549,Hour,0)),Month,'Summarized Source Data'!$A549,Sector,'Summarized Source Data'!I$2,Subsector,'Summarized Source Data'!I$3,TimeOfWeek,$E549)*INDEX(About!E$79:E$82,MATCH($B549,About!$A$79:$A$82,0),1)</f>
        <v>31300000</v>
      </c>
      <c r="J549" s="54">
        <f t="shared" si="43"/>
        <v>94763162</v>
      </c>
      <c r="K549" s="27">
        <f>(SUMIFS(INDEX(Load,,MATCH('Summarized Source Data'!$C549,Hour,0)),Month,'Summarized Source Data'!$A549,Sector,'Summarized Source Data'!K$2,Subsector,"Total",TimeOfWeek,$E549)-SUM(F549:I549))*INDEX(About!G$79:G$82,MATCH($B549,About!$A$79:$A$82,0),1)</f>
        <v>94763162</v>
      </c>
      <c r="L549" s="27">
        <f>SUMIFS(INDEX(Load,,MATCH('Summarized Source Data'!$C549,Hour,0)),Month,'Summarized Source Data'!$A549,Sector,'Summarized Source Data'!L$2,Subsector,'Summarized Source Data'!L$3,TimeOfWeek,$E549)*INDEX(About!H$79:H$82,MATCH($B549,About!$A$79:$A$82,0),1)</f>
        <v>10400000</v>
      </c>
      <c r="M549" s="27">
        <f>SUMIFS(INDEX(Load,,MATCH('Summarized Source Data'!$C549,Hour,0)),Month,'Summarized Source Data'!$A549,Sector,'Summarized Source Data'!M$2,Subsector,'Summarized Source Data'!M$3,TimeOfWeek,$E549)*INDEX(About!I$79:I$82,MATCH($B549,About!$A$79:$A$82,0),1)</f>
        <v>87185</v>
      </c>
      <c r="N549" s="27">
        <f>SUMIFS(INDEX(Load,,MATCH('Summarized Source Data'!$C549,Hour,0)),Month,'Summarized Source Data'!$A549,Sector,'Summarized Source Data'!N$2,Subsector,'Summarized Source Data'!N$3,TimeOfWeek,$E549)*INDEX(About!J$79:J$82,MATCH($B549,About!$A$79:$A$82,0),1)</f>
        <v>0</v>
      </c>
      <c r="O549" s="29">
        <f t="shared" si="44"/>
        <v>104512815</v>
      </c>
      <c r="P549" s="27">
        <f>(SUMIFS(INDEX(Load,,MATCH('Summarized Source Data'!$C549,Hour,0)),Month,'Summarized Source Data'!$A549,Sector,'Summarized Source Data'!P$2,Subsector,"Total",TimeOfWeek,$E549)-SUM(L549:N549)*INDEX(About!L$79:L$82,MATCH($B549,About!$A$79:$A$82,0),1))</f>
        <v>104512815</v>
      </c>
      <c r="Q549" s="29">
        <f t="shared" si="45"/>
        <v>104512815</v>
      </c>
      <c r="R549" s="33">
        <f>SUMIFS(INDEX(Load,,MATCH('Summarized Source Data'!$C549,Hour,0)),Month,'Summarized Source Data'!$A549,Sector,'Summarized Source Data'!R$2,TimeOfWeek,$E549)*INDEX(About!N$79:N$82,MATCH($B549,About!$A$79:$A$82,0),1)</f>
        <v>6274111</v>
      </c>
      <c r="S549" s="33">
        <f>SUMIFS(INDEX(Load,,MATCH('Summarized Source Data'!$C549,Hour,0)),Month,'Summarized Source Data'!$A549,Sector,'Summarized Source Data'!S$2,TimeOfWeek,$E549)*INDEX(About!O$79:O$82,MATCH($B549,About!$A$79:$A$82,0),1)</f>
        <v>6274111</v>
      </c>
      <c r="T549" s="33">
        <f>SUMIFS(INDEX(Load,,MATCH('Summarized Source Data'!$C549,Hour,0)),Month,'Summarized Source Data'!$A549,Sector,'Summarized Source Data'!T$2,TimeOfWeek,$E549)*INDEX(About!P$79:P$82,MATCH($B549,About!$A$79:$A$82,0),1)</f>
        <v>6274111</v>
      </c>
      <c r="U549" s="33">
        <f>SUMIFS(INDEX(Load,,MATCH('Summarized Source Data'!$C549,Hour,0)),Month,'Summarized Source Data'!$A549,Sector,'Summarized Source Data'!U$2,TimeOfWeek,$E549)*INDEX(About!Q$79:Q$82,MATCH($B549,About!$A$79:$A$82,0),1)</f>
        <v>6274111</v>
      </c>
      <c r="V549" s="33">
        <f>SUMIFS(INDEX(Load,,MATCH('Summarized Source Data'!$C549,Hour,0)),Month,'Summarized Source Data'!$A549,Sector,'Summarized Source Data'!V$2,TimeOfWeek,$E549)*INDEX(About!R$79:R$82,MATCH($B549,About!$A$79:$A$82,0),1)</f>
        <v>6274111</v>
      </c>
      <c r="W549" s="33">
        <f>SUMIFS(INDEX(Load,,MATCH('Summarized Source Data'!$C549,Hour,0)),Month,'Summarized Source Data'!$A549,Sector,'Summarized Source Data'!W$2,TimeOfWeek,$E549)*INDEX(About!S$79:S$82,MATCH($B549,About!$A$79:$A$82,0),1)</f>
        <v>6274111</v>
      </c>
      <c r="X549" s="27">
        <f>SUMIFS(INDEX(Load,,MATCH('Summarized Source Data'!$C549,Hour,0)),Month,'Summarized Source Data'!$A549,Sector,'Summarized Source Data'!X$2,Subsector,'Summarized Source Data'!X$3,TimeOfWeek,$E549)*INDEX(About!T$79:T$82,MATCH($B549,About!$A$79:$A$82,0),1)</f>
        <v>358000000</v>
      </c>
      <c r="Y549" s="29">
        <f t="shared" ref="Y549:Z579" si="48">$X549</f>
        <v>358000000</v>
      </c>
      <c r="Z549" s="29">
        <f t="shared" si="48"/>
        <v>358000000</v>
      </c>
    </row>
    <row r="550" spans="1:26" x14ac:dyDescent="0.3">
      <c r="A550">
        <f t="shared" si="47"/>
        <v>11</v>
      </c>
      <c r="B550" t="str">
        <f>INDEX('Category Mapping'!$G$28:$G$39,MATCH(A550,'Category Mapping'!$A$28:$A$39,0),1)</f>
        <v>Winter</v>
      </c>
      <c r="C550" t="s">
        <v>81</v>
      </c>
      <c r="D550" s="6" t="s">
        <v>156</v>
      </c>
      <c r="E550" s="46" t="s">
        <v>48</v>
      </c>
      <c r="F550" s="27">
        <f>SUMIFS(INDEX(Load,,MATCH('Summarized Source Data'!$C550,Hour,0)),Month,'Summarized Source Data'!$A550,Sector,'Summarized Source Data'!F$2,Subsector,'Summarized Source Data'!F$3,TimeOfWeek,$E550)*INDEX(About!B$79:B$82,MATCH($B550,About!$A$79:$A$82,0),1)</f>
        <v>6135557</v>
      </c>
      <c r="G550" s="27">
        <f>SUMIFS(INDEX(Load,,MATCH('Summarized Source Data'!$C550,Hour,0)),Month,'Summarized Source Data'!$A550,Sector,'Summarized Source Data'!G$2,Subsector,'Summarized Source Data'!G$3,TimeOfWeek,$E550)*INDEX(About!C$79:C$82,MATCH($B550,About!$A$79:$A$82,0),1)</f>
        <v>18017</v>
      </c>
      <c r="H550" s="27">
        <f>SUMIFS(INDEX(Load,,MATCH('Summarized Source Data'!$C550,Hour,0)),Month,'Summarized Source Data'!$A550,Sector,'Summarized Source Data'!H$2,Subsector,'Summarized Source Data'!H$3,TimeOfWeek,$E550)*INDEX(About!D$79:D$82,MATCH($B550,About!$A$79:$A$82,0),1)</f>
        <v>0</v>
      </c>
      <c r="I550" s="27">
        <f>SUMIFS(INDEX(Load,,MATCH('Summarized Source Data'!$C550,Hour,0)),Month,'Summarized Source Data'!$A550,Sector,'Summarized Source Data'!I$2,Subsector,'Summarized Source Data'!I$3,TimeOfWeek,$E550)*INDEX(About!E$79:E$82,MATCH($B550,About!$A$79:$A$82,0),1)</f>
        <v>33000000</v>
      </c>
      <c r="J550" s="54">
        <f t="shared" si="43"/>
        <v>91846426</v>
      </c>
      <c r="K550" s="27">
        <f>(SUMIFS(INDEX(Load,,MATCH('Summarized Source Data'!$C550,Hour,0)),Month,'Summarized Source Data'!$A550,Sector,'Summarized Source Data'!K$2,Subsector,"Total",TimeOfWeek,$E550)-SUM(F550:I550))*INDEX(About!G$79:G$82,MATCH($B550,About!$A$79:$A$82,0),1)</f>
        <v>91846426</v>
      </c>
      <c r="L550" s="27">
        <f>SUMIFS(INDEX(Load,,MATCH('Summarized Source Data'!$C550,Hour,0)),Month,'Summarized Source Data'!$A550,Sector,'Summarized Source Data'!L$2,Subsector,'Summarized Source Data'!L$3,TimeOfWeek,$E550)*INDEX(About!H$79:H$82,MATCH($B550,About!$A$79:$A$82,0),1)</f>
        <v>11400000</v>
      </c>
      <c r="M550" s="27">
        <f>SUMIFS(INDEX(Load,,MATCH('Summarized Source Data'!$C550,Hour,0)),Month,'Summarized Source Data'!$A550,Sector,'Summarized Source Data'!M$2,Subsector,'Summarized Source Data'!M$3,TimeOfWeek,$E550)*INDEX(About!I$79:I$82,MATCH($B550,About!$A$79:$A$82,0),1)</f>
        <v>85315</v>
      </c>
      <c r="N550" s="27">
        <f>SUMIFS(INDEX(Load,,MATCH('Summarized Source Data'!$C550,Hour,0)),Month,'Summarized Source Data'!$A550,Sector,'Summarized Source Data'!N$2,Subsector,'Summarized Source Data'!N$3,TimeOfWeek,$E550)*INDEX(About!J$79:J$82,MATCH($B550,About!$A$79:$A$82,0),1)</f>
        <v>0</v>
      </c>
      <c r="O550" s="29">
        <f t="shared" si="44"/>
        <v>103514685</v>
      </c>
      <c r="P550" s="27">
        <f>(SUMIFS(INDEX(Load,,MATCH('Summarized Source Data'!$C550,Hour,0)),Month,'Summarized Source Data'!$A550,Sector,'Summarized Source Data'!P$2,Subsector,"Total",TimeOfWeek,$E550)-SUM(L550:N550)*INDEX(About!L$79:L$82,MATCH($B550,About!$A$79:$A$82,0),1))</f>
        <v>103514685</v>
      </c>
      <c r="Q550" s="29">
        <f t="shared" si="45"/>
        <v>103514685</v>
      </c>
      <c r="R550" s="33">
        <f>SUMIFS(INDEX(Load,,MATCH('Summarized Source Data'!$C550,Hour,0)),Month,'Summarized Source Data'!$A550,Sector,'Summarized Source Data'!R$2,TimeOfWeek,$E550)*INDEX(About!N$79:N$82,MATCH($B550,About!$A$79:$A$82,0),1)</f>
        <v>6233123</v>
      </c>
      <c r="S550" s="33">
        <f>SUMIFS(INDEX(Load,,MATCH('Summarized Source Data'!$C550,Hour,0)),Month,'Summarized Source Data'!$A550,Sector,'Summarized Source Data'!S$2,TimeOfWeek,$E550)*INDEX(About!O$79:O$82,MATCH($B550,About!$A$79:$A$82,0),1)</f>
        <v>6233123</v>
      </c>
      <c r="T550" s="33">
        <f>SUMIFS(INDEX(Load,,MATCH('Summarized Source Data'!$C550,Hour,0)),Month,'Summarized Source Data'!$A550,Sector,'Summarized Source Data'!T$2,TimeOfWeek,$E550)*INDEX(About!P$79:P$82,MATCH($B550,About!$A$79:$A$82,0),1)</f>
        <v>6233123</v>
      </c>
      <c r="U550" s="33">
        <f>SUMIFS(INDEX(Load,,MATCH('Summarized Source Data'!$C550,Hour,0)),Month,'Summarized Source Data'!$A550,Sector,'Summarized Source Data'!U$2,TimeOfWeek,$E550)*INDEX(About!Q$79:Q$82,MATCH($B550,About!$A$79:$A$82,0),1)</f>
        <v>6233123</v>
      </c>
      <c r="V550" s="33">
        <f>SUMIFS(INDEX(Load,,MATCH('Summarized Source Data'!$C550,Hour,0)),Month,'Summarized Source Data'!$A550,Sector,'Summarized Source Data'!V$2,TimeOfWeek,$E550)*INDEX(About!R$79:R$82,MATCH($B550,About!$A$79:$A$82,0),1)</f>
        <v>6233123</v>
      </c>
      <c r="W550" s="33">
        <f>SUMIFS(INDEX(Load,,MATCH('Summarized Source Data'!$C550,Hour,0)),Month,'Summarized Source Data'!$A550,Sector,'Summarized Source Data'!W$2,TimeOfWeek,$E550)*INDEX(About!S$79:S$82,MATCH($B550,About!$A$79:$A$82,0),1)</f>
        <v>6233123</v>
      </c>
      <c r="X550" s="27">
        <f>SUMIFS(INDEX(Load,,MATCH('Summarized Source Data'!$C550,Hour,0)),Month,'Summarized Source Data'!$A550,Sector,'Summarized Source Data'!X$2,Subsector,'Summarized Source Data'!X$3,TimeOfWeek,$E550)*INDEX(About!T$79:T$82,MATCH($B550,About!$A$79:$A$82,0),1)</f>
        <v>356000000</v>
      </c>
      <c r="Y550" s="29">
        <f t="shared" si="48"/>
        <v>356000000</v>
      </c>
      <c r="Z550" s="29">
        <f t="shared" si="48"/>
        <v>356000000</v>
      </c>
    </row>
    <row r="551" spans="1:26" x14ac:dyDescent="0.3">
      <c r="A551">
        <f t="shared" si="47"/>
        <v>11</v>
      </c>
      <c r="B551" t="str">
        <f>INDEX('Category Mapping'!$G$28:$G$39,MATCH(A551,'Category Mapping'!$A$28:$A$39,0),1)</f>
        <v>Winter</v>
      </c>
      <c r="C551" t="s">
        <v>82</v>
      </c>
      <c r="D551" s="6" t="s">
        <v>157</v>
      </c>
      <c r="E551" s="46" t="s">
        <v>48</v>
      </c>
      <c r="F551" s="27">
        <f>SUMIFS(INDEX(Load,,MATCH('Summarized Source Data'!$C551,Hour,0)),Month,'Summarized Source Data'!$A551,Sector,'Summarized Source Data'!F$2,Subsector,'Summarized Source Data'!F$3,TimeOfWeek,$E551)*INDEX(About!B$79:B$82,MATCH($B551,About!$A$79:$A$82,0),1)</f>
        <v>6669404</v>
      </c>
      <c r="G551" s="27">
        <f>SUMIFS(INDEX(Load,,MATCH('Summarized Source Data'!$C551,Hour,0)),Month,'Summarized Source Data'!$A551,Sector,'Summarized Source Data'!G$2,Subsector,'Summarized Source Data'!G$3,TimeOfWeek,$E551)*INDEX(About!C$79:C$82,MATCH($B551,About!$A$79:$A$82,0),1)</f>
        <v>19147</v>
      </c>
      <c r="H551" s="27">
        <f>SUMIFS(INDEX(Load,,MATCH('Summarized Source Data'!$C551,Hour,0)),Month,'Summarized Source Data'!$A551,Sector,'Summarized Source Data'!H$2,Subsector,'Summarized Source Data'!H$3,TimeOfWeek,$E551)*INDEX(About!D$79:D$82,MATCH($B551,About!$A$79:$A$82,0),1)</f>
        <v>0</v>
      </c>
      <c r="I551" s="27">
        <f>SUMIFS(INDEX(Load,,MATCH('Summarized Source Data'!$C551,Hour,0)),Month,'Summarized Source Data'!$A551,Sector,'Summarized Source Data'!I$2,Subsector,'Summarized Source Data'!I$3,TimeOfWeek,$E551)*INDEX(About!E$79:E$82,MATCH($B551,About!$A$79:$A$82,0),1)</f>
        <v>34600000</v>
      </c>
      <c r="J551" s="54">
        <f t="shared" si="43"/>
        <v>84711449</v>
      </c>
      <c r="K551" s="27">
        <f>(SUMIFS(INDEX(Load,,MATCH('Summarized Source Data'!$C551,Hour,0)),Month,'Summarized Source Data'!$A551,Sector,'Summarized Source Data'!K$2,Subsector,"Total",TimeOfWeek,$E551)-SUM(F551:I551))*INDEX(About!G$79:G$82,MATCH($B551,About!$A$79:$A$82,0),1)</f>
        <v>84711449</v>
      </c>
      <c r="L551" s="27">
        <f>SUMIFS(INDEX(Load,,MATCH('Summarized Source Data'!$C551,Hour,0)),Month,'Summarized Source Data'!$A551,Sector,'Summarized Source Data'!L$2,Subsector,'Summarized Source Data'!L$3,TimeOfWeek,$E551)*INDEX(About!H$79:H$82,MATCH($B551,About!$A$79:$A$82,0),1)</f>
        <v>9557101</v>
      </c>
      <c r="M551" s="27">
        <f>SUMIFS(INDEX(Load,,MATCH('Summarized Source Data'!$C551,Hour,0)),Month,'Summarized Source Data'!$A551,Sector,'Summarized Source Data'!M$2,Subsector,'Summarized Source Data'!M$3,TimeOfWeek,$E551)*INDEX(About!I$79:I$82,MATCH($B551,About!$A$79:$A$82,0),1)</f>
        <v>82646</v>
      </c>
      <c r="N551" s="27">
        <f>SUMIFS(INDEX(Load,,MATCH('Summarized Source Data'!$C551,Hour,0)),Month,'Summarized Source Data'!$A551,Sector,'Summarized Source Data'!N$2,Subsector,'Summarized Source Data'!N$3,TimeOfWeek,$E551)*INDEX(About!J$79:J$82,MATCH($B551,About!$A$79:$A$82,0),1)</f>
        <v>0</v>
      </c>
      <c r="O551" s="29">
        <f t="shared" si="44"/>
        <v>100360253</v>
      </c>
      <c r="P551" s="27">
        <f>(SUMIFS(INDEX(Load,,MATCH('Summarized Source Data'!$C551,Hour,0)),Month,'Summarized Source Data'!$A551,Sector,'Summarized Source Data'!P$2,Subsector,"Total",TimeOfWeek,$E551)-SUM(L551:N551)*INDEX(About!L$79:L$82,MATCH($B551,About!$A$79:$A$82,0),1))</f>
        <v>100360253</v>
      </c>
      <c r="Q551" s="29">
        <f t="shared" si="45"/>
        <v>100360253</v>
      </c>
      <c r="R551" s="33">
        <f>SUMIFS(INDEX(Load,,MATCH('Summarized Source Data'!$C551,Hour,0)),Month,'Summarized Source Data'!$A551,Sector,'Summarized Source Data'!R$2,TimeOfWeek,$E551)*INDEX(About!N$79:N$82,MATCH($B551,About!$A$79:$A$82,0),1)</f>
        <v>6098447</v>
      </c>
      <c r="S551" s="33">
        <f>SUMIFS(INDEX(Load,,MATCH('Summarized Source Data'!$C551,Hour,0)),Month,'Summarized Source Data'!$A551,Sector,'Summarized Source Data'!S$2,TimeOfWeek,$E551)*INDEX(About!O$79:O$82,MATCH($B551,About!$A$79:$A$82,0),1)</f>
        <v>6098447</v>
      </c>
      <c r="T551" s="33">
        <f>SUMIFS(INDEX(Load,,MATCH('Summarized Source Data'!$C551,Hour,0)),Month,'Summarized Source Data'!$A551,Sector,'Summarized Source Data'!T$2,TimeOfWeek,$E551)*INDEX(About!P$79:P$82,MATCH($B551,About!$A$79:$A$82,0),1)</f>
        <v>6098447</v>
      </c>
      <c r="U551" s="33">
        <f>SUMIFS(INDEX(Load,,MATCH('Summarized Source Data'!$C551,Hour,0)),Month,'Summarized Source Data'!$A551,Sector,'Summarized Source Data'!U$2,TimeOfWeek,$E551)*INDEX(About!Q$79:Q$82,MATCH($B551,About!$A$79:$A$82,0),1)</f>
        <v>6098447</v>
      </c>
      <c r="V551" s="33">
        <f>SUMIFS(INDEX(Load,,MATCH('Summarized Source Data'!$C551,Hour,0)),Month,'Summarized Source Data'!$A551,Sector,'Summarized Source Data'!V$2,TimeOfWeek,$E551)*INDEX(About!R$79:R$82,MATCH($B551,About!$A$79:$A$82,0),1)</f>
        <v>6098447</v>
      </c>
      <c r="W551" s="33">
        <f>SUMIFS(INDEX(Load,,MATCH('Summarized Source Data'!$C551,Hour,0)),Month,'Summarized Source Data'!$A551,Sector,'Summarized Source Data'!W$2,TimeOfWeek,$E551)*INDEX(About!S$79:S$82,MATCH($B551,About!$A$79:$A$82,0),1)</f>
        <v>6098447</v>
      </c>
      <c r="X551" s="27">
        <f>SUMIFS(INDEX(Load,,MATCH('Summarized Source Data'!$C551,Hour,0)),Month,'Summarized Source Data'!$A551,Sector,'Summarized Source Data'!X$2,Subsector,'Summarized Source Data'!X$3,TimeOfWeek,$E551)*INDEX(About!T$79:T$82,MATCH($B551,About!$A$79:$A$82,0),1)</f>
        <v>354000000</v>
      </c>
      <c r="Y551" s="29">
        <f t="shared" si="48"/>
        <v>354000000</v>
      </c>
      <c r="Z551" s="29">
        <f t="shared" si="48"/>
        <v>354000000</v>
      </c>
    </row>
    <row r="552" spans="1:26" x14ac:dyDescent="0.3">
      <c r="A552">
        <f t="shared" si="47"/>
        <v>11</v>
      </c>
      <c r="B552" t="str">
        <f>INDEX('Category Mapping'!$G$28:$G$39,MATCH(A552,'Category Mapping'!$A$28:$A$39,0),1)</f>
        <v>Winter</v>
      </c>
      <c r="C552" t="s">
        <v>83</v>
      </c>
      <c r="D552" s="6" t="s">
        <v>158</v>
      </c>
      <c r="E552" s="46" t="s">
        <v>48</v>
      </c>
      <c r="F552" s="27">
        <f>SUMIFS(INDEX(Load,,MATCH('Summarized Source Data'!$C552,Hour,0)),Month,'Summarized Source Data'!$A552,Sector,'Summarized Source Data'!F$2,Subsector,'Summarized Source Data'!F$3,TimeOfWeek,$E552)*INDEX(About!B$79:B$82,MATCH($B552,About!$A$79:$A$82,0),1)</f>
        <v>7035493</v>
      </c>
      <c r="G552" s="27">
        <f>SUMIFS(INDEX(Load,,MATCH('Summarized Source Data'!$C552,Hour,0)),Month,'Summarized Source Data'!$A552,Sector,'Summarized Source Data'!G$2,Subsector,'Summarized Source Data'!G$3,TimeOfWeek,$E552)*INDEX(About!C$79:C$82,MATCH($B552,About!$A$79:$A$82,0),1)</f>
        <v>20046</v>
      </c>
      <c r="H552" s="27">
        <f>SUMIFS(INDEX(Load,,MATCH('Summarized Source Data'!$C552,Hour,0)),Month,'Summarized Source Data'!$A552,Sector,'Summarized Source Data'!H$2,Subsector,'Summarized Source Data'!H$3,TimeOfWeek,$E552)*INDEX(About!D$79:D$82,MATCH($B552,About!$A$79:$A$82,0),1)</f>
        <v>0</v>
      </c>
      <c r="I552" s="27">
        <f>SUMIFS(INDEX(Load,,MATCH('Summarized Source Data'!$C552,Hour,0)),Month,'Summarized Source Data'!$A552,Sector,'Summarized Source Data'!I$2,Subsector,'Summarized Source Data'!I$3,TimeOfWeek,$E552)*INDEX(About!E$79:E$82,MATCH($B552,About!$A$79:$A$82,0),1)</f>
        <v>34400000</v>
      </c>
      <c r="J552" s="54">
        <f t="shared" si="43"/>
        <v>79544461</v>
      </c>
      <c r="K552" s="27">
        <f>(SUMIFS(INDEX(Load,,MATCH('Summarized Source Data'!$C552,Hour,0)),Month,'Summarized Source Data'!$A552,Sector,'Summarized Source Data'!K$2,Subsector,"Total",TimeOfWeek,$E552)-SUM(F552:I552))*INDEX(About!G$79:G$82,MATCH($B552,About!$A$79:$A$82,0),1)</f>
        <v>79544461</v>
      </c>
      <c r="L552" s="27">
        <f>SUMIFS(INDEX(Load,,MATCH('Summarized Source Data'!$C552,Hour,0)),Month,'Summarized Source Data'!$A552,Sector,'Summarized Source Data'!L$2,Subsector,'Summarized Source Data'!L$3,TimeOfWeek,$E552)*INDEX(About!H$79:H$82,MATCH($B552,About!$A$79:$A$82,0),1)</f>
        <v>9866798</v>
      </c>
      <c r="M552" s="27">
        <f>SUMIFS(INDEX(Load,,MATCH('Summarized Source Data'!$C552,Hour,0)),Month,'Summarized Source Data'!$A552,Sector,'Summarized Source Data'!M$2,Subsector,'Summarized Source Data'!M$3,TimeOfWeek,$E552)*INDEX(About!I$79:I$82,MATCH($B552,About!$A$79:$A$82,0),1)</f>
        <v>80402</v>
      </c>
      <c r="N552" s="27">
        <f>SUMIFS(INDEX(Load,,MATCH('Summarized Source Data'!$C552,Hour,0)),Month,'Summarized Source Data'!$A552,Sector,'Summarized Source Data'!N$2,Subsector,'Summarized Source Data'!N$3,TimeOfWeek,$E552)*INDEX(About!J$79:J$82,MATCH($B552,About!$A$79:$A$82,0),1)</f>
        <v>0</v>
      </c>
      <c r="O552" s="29">
        <f t="shared" si="44"/>
        <v>96052800</v>
      </c>
      <c r="P552" s="27">
        <f>(SUMIFS(INDEX(Load,,MATCH('Summarized Source Data'!$C552,Hour,0)),Month,'Summarized Source Data'!$A552,Sector,'Summarized Source Data'!P$2,Subsector,"Total",TimeOfWeek,$E552)-SUM(L552:N552)*INDEX(About!L$79:L$82,MATCH($B552,About!$A$79:$A$82,0),1))</f>
        <v>96052800</v>
      </c>
      <c r="Q552" s="29">
        <f t="shared" si="45"/>
        <v>96052800</v>
      </c>
      <c r="R552" s="33">
        <f>SUMIFS(INDEX(Load,,MATCH('Summarized Source Data'!$C552,Hour,0)),Month,'Summarized Source Data'!$A552,Sector,'Summarized Source Data'!R$2,TimeOfWeek,$E552)*INDEX(About!N$79:N$82,MATCH($B552,About!$A$79:$A$82,0),1)</f>
        <v>5916928</v>
      </c>
      <c r="S552" s="33">
        <f>SUMIFS(INDEX(Load,,MATCH('Summarized Source Data'!$C552,Hour,0)),Month,'Summarized Source Data'!$A552,Sector,'Summarized Source Data'!S$2,TimeOfWeek,$E552)*INDEX(About!O$79:O$82,MATCH($B552,About!$A$79:$A$82,0),1)</f>
        <v>5916928</v>
      </c>
      <c r="T552" s="33">
        <f>SUMIFS(INDEX(Load,,MATCH('Summarized Source Data'!$C552,Hour,0)),Month,'Summarized Source Data'!$A552,Sector,'Summarized Source Data'!T$2,TimeOfWeek,$E552)*INDEX(About!P$79:P$82,MATCH($B552,About!$A$79:$A$82,0),1)</f>
        <v>5916928</v>
      </c>
      <c r="U552" s="33">
        <f>SUMIFS(INDEX(Load,,MATCH('Summarized Source Data'!$C552,Hour,0)),Month,'Summarized Source Data'!$A552,Sector,'Summarized Source Data'!U$2,TimeOfWeek,$E552)*INDEX(About!Q$79:Q$82,MATCH($B552,About!$A$79:$A$82,0),1)</f>
        <v>5916928</v>
      </c>
      <c r="V552" s="33">
        <f>SUMIFS(INDEX(Load,,MATCH('Summarized Source Data'!$C552,Hour,0)),Month,'Summarized Source Data'!$A552,Sector,'Summarized Source Data'!V$2,TimeOfWeek,$E552)*INDEX(About!R$79:R$82,MATCH($B552,About!$A$79:$A$82,0),1)</f>
        <v>5916928</v>
      </c>
      <c r="W552" s="33">
        <f>SUMIFS(INDEX(Load,,MATCH('Summarized Source Data'!$C552,Hour,0)),Month,'Summarized Source Data'!$A552,Sector,'Summarized Source Data'!W$2,TimeOfWeek,$E552)*INDEX(About!S$79:S$82,MATCH($B552,About!$A$79:$A$82,0),1)</f>
        <v>5916928</v>
      </c>
      <c r="X552" s="27">
        <f>SUMIFS(INDEX(Load,,MATCH('Summarized Source Data'!$C552,Hour,0)),Month,'Summarized Source Data'!$A552,Sector,'Summarized Source Data'!X$2,Subsector,'Summarized Source Data'!X$3,TimeOfWeek,$E552)*INDEX(About!T$79:T$82,MATCH($B552,About!$A$79:$A$82,0),1)</f>
        <v>352000000</v>
      </c>
      <c r="Y552" s="29">
        <f t="shared" si="48"/>
        <v>352000000</v>
      </c>
      <c r="Z552" s="29">
        <f t="shared" si="48"/>
        <v>352000000</v>
      </c>
    </row>
    <row r="553" spans="1:26" x14ac:dyDescent="0.3">
      <c r="A553">
        <f t="shared" si="47"/>
        <v>11</v>
      </c>
      <c r="B553" t="str">
        <f>INDEX('Category Mapping'!$G$28:$G$39,MATCH(A553,'Category Mapping'!$A$28:$A$39,0),1)</f>
        <v>Winter</v>
      </c>
      <c r="C553" t="s">
        <v>84</v>
      </c>
      <c r="D553" s="6" t="s">
        <v>159</v>
      </c>
      <c r="E553" s="46" t="s">
        <v>48</v>
      </c>
      <c r="F553" s="27">
        <f>SUMIFS(INDEX(Load,,MATCH('Summarized Source Data'!$C553,Hour,0)),Month,'Summarized Source Data'!$A553,Sector,'Summarized Source Data'!F$2,Subsector,'Summarized Source Data'!F$3,TimeOfWeek,$E553)*INDEX(About!B$79:B$82,MATCH($B553,About!$A$79:$A$82,0),1)</f>
        <v>6695306</v>
      </c>
      <c r="G553" s="27">
        <f>SUMIFS(INDEX(Load,,MATCH('Summarized Source Data'!$C553,Hour,0)),Month,'Summarized Source Data'!$A553,Sector,'Summarized Source Data'!G$2,Subsector,'Summarized Source Data'!G$3,TimeOfWeek,$E553)*INDEX(About!C$79:C$82,MATCH($B553,About!$A$79:$A$82,0),1)</f>
        <v>20899</v>
      </c>
      <c r="H553" s="27">
        <f>SUMIFS(INDEX(Load,,MATCH('Summarized Source Data'!$C553,Hour,0)),Month,'Summarized Source Data'!$A553,Sector,'Summarized Source Data'!H$2,Subsector,'Summarized Source Data'!H$3,TimeOfWeek,$E553)*INDEX(About!D$79:D$82,MATCH($B553,About!$A$79:$A$82,0),1)</f>
        <v>0</v>
      </c>
      <c r="I553" s="27">
        <f>SUMIFS(INDEX(Load,,MATCH('Summarized Source Data'!$C553,Hour,0)),Month,'Summarized Source Data'!$A553,Sector,'Summarized Source Data'!I$2,Subsector,'Summarized Source Data'!I$3,TimeOfWeek,$E553)*INDEX(About!E$79:E$82,MATCH($B553,About!$A$79:$A$82,0),1)</f>
        <v>28500000</v>
      </c>
      <c r="J553" s="54">
        <f t="shared" si="43"/>
        <v>73783795</v>
      </c>
      <c r="K553" s="27">
        <f>(SUMIFS(INDEX(Load,,MATCH('Summarized Source Data'!$C553,Hour,0)),Month,'Summarized Source Data'!$A553,Sector,'Summarized Source Data'!K$2,Subsector,"Total",TimeOfWeek,$E553)-SUM(F553:I553))*INDEX(About!G$79:G$82,MATCH($B553,About!$A$79:$A$82,0),1)</f>
        <v>73783795</v>
      </c>
      <c r="L553" s="27">
        <f>SUMIFS(INDEX(Load,,MATCH('Summarized Source Data'!$C553,Hour,0)),Month,'Summarized Source Data'!$A553,Sector,'Summarized Source Data'!L$2,Subsector,'Summarized Source Data'!L$3,TimeOfWeek,$E553)*INDEX(About!H$79:H$82,MATCH($B553,About!$A$79:$A$82,0),1)</f>
        <v>10500000</v>
      </c>
      <c r="M553" s="27">
        <f>SUMIFS(INDEX(Load,,MATCH('Summarized Source Data'!$C553,Hour,0)),Month,'Summarized Source Data'!$A553,Sector,'Summarized Source Data'!M$2,Subsector,'Summarized Source Data'!M$3,TimeOfWeek,$E553)*INDEX(About!I$79:I$82,MATCH($B553,About!$A$79:$A$82,0),1)</f>
        <v>78112</v>
      </c>
      <c r="N553" s="27">
        <f>SUMIFS(INDEX(Load,,MATCH('Summarized Source Data'!$C553,Hour,0)),Month,'Summarized Source Data'!$A553,Sector,'Summarized Source Data'!N$2,Subsector,'Summarized Source Data'!N$3,TimeOfWeek,$E553)*INDEX(About!J$79:J$82,MATCH($B553,About!$A$79:$A$82,0),1)</f>
        <v>0</v>
      </c>
      <c r="O553" s="29">
        <f t="shared" si="44"/>
        <v>89421888</v>
      </c>
      <c r="P553" s="27">
        <f>(SUMIFS(INDEX(Load,,MATCH('Summarized Source Data'!$C553,Hour,0)),Month,'Summarized Source Data'!$A553,Sector,'Summarized Source Data'!P$2,Subsector,"Total",TimeOfWeek,$E553)-SUM(L553:N553)*INDEX(About!L$79:L$82,MATCH($B553,About!$A$79:$A$82,0),1))</f>
        <v>89421888</v>
      </c>
      <c r="Q553" s="29">
        <f t="shared" si="45"/>
        <v>89421888</v>
      </c>
      <c r="R553" s="33">
        <f>SUMIFS(INDEX(Load,,MATCH('Summarized Source Data'!$C553,Hour,0)),Month,'Summarized Source Data'!$A553,Sector,'Summarized Source Data'!R$2,TimeOfWeek,$E553)*INDEX(About!N$79:N$82,MATCH($B553,About!$A$79:$A$82,0),1)</f>
        <v>5711987</v>
      </c>
      <c r="S553" s="33">
        <f>SUMIFS(INDEX(Load,,MATCH('Summarized Source Data'!$C553,Hour,0)),Month,'Summarized Source Data'!$A553,Sector,'Summarized Source Data'!S$2,TimeOfWeek,$E553)*INDEX(About!O$79:O$82,MATCH($B553,About!$A$79:$A$82,0),1)</f>
        <v>5711987</v>
      </c>
      <c r="T553" s="33">
        <f>SUMIFS(INDEX(Load,,MATCH('Summarized Source Data'!$C553,Hour,0)),Month,'Summarized Source Data'!$A553,Sector,'Summarized Source Data'!T$2,TimeOfWeek,$E553)*INDEX(About!P$79:P$82,MATCH($B553,About!$A$79:$A$82,0),1)</f>
        <v>5711987</v>
      </c>
      <c r="U553" s="33">
        <f>SUMIFS(INDEX(Load,,MATCH('Summarized Source Data'!$C553,Hour,0)),Month,'Summarized Source Data'!$A553,Sector,'Summarized Source Data'!U$2,TimeOfWeek,$E553)*INDEX(About!Q$79:Q$82,MATCH($B553,About!$A$79:$A$82,0),1)</f>
        <v>5711987</v>
      </c>
      <c r="V553" s="33">
        <f>SUMIFS(INDEX(Load,,MATCH('Summarized Source Data'!$C553,Hour,0)),Month,'Summarized Source Data'!$A553,Sector,'Summarized Source Data'!V$2,TimeOfWeek,$E553)*INDEX(About!R$79:R$82,MATCH($B553,About!$A$79:$A$82,0),1)</f>
        <v>5711987</v>
      </c>
      <c r="W553" s="33">
        <f>SUMIFS(INDEX(Load,,MATCH('Summarized Source Data'!$C553,Hour,0)),Month,'Summarized Source Data'!$A553,Sector,'Summarized Source Data'!W$2,TimeOfWeek,$E553)*INDEX(About!S$79:S$82,MATCH($B553,About!$A$79:$A$82,0),1)</f>
        <v>5711987</v>
      </c>
      <c r="X553" s="27">
        <f>SUMIFS(INDEX(Load,,MATCH('Summarized Source Data'!$C553,Hour,0)),Month,'Summarized Source Data'!$A553,Sector,'Summarized Source Data'!X$2,Subsector,'Summarized Source Data'!X$3,TimeOfWeek,$E553)*INDEX(About!T$79:T$82,MATCH($B553,About!$A$79:$A$82,0),1)</f>
        <v>349000000</v>
      </c>
      <c r="Y553" s="29">
        <f t="shared" si="48"/>
        <v>349000000</v>
      </c>
      <c r="Z553" s="29">
        <f t="shared" si="48"/>
        <v>349000000</v>
      </c>
    </row>
    <row r="554" spans="1:26" x14ac:dyDescent="0.3">
      <c r="A554">
        <f t="shared" si="47"/>
        <v>11</v>
      </c>
      <c r="B554" t="str">
        <f>INDEX('Category Mapping'!$G$28:$G$39,MATCH(A554,'Category Mapping'!$A$28:$A$39,0),1)</f>
        <v>Winter</v>
      </c>
      <c r="C554" t="s">
        <v>85</v>
      </c>
      <c r="D554" s="6" t="s">
        <v>160</v>
      </c>
      <c r="E554" s="46" t="s">
        <v>48</v>
      </c>
      <c r="F554" s="27">
        <f>SUMIFS(INDEX(Load,,MATCH('Summarized Source Data'!$C554,Hour,0)),Month,'Summarized Source Data'!$A554,Sector,'Summarized Source Data'!F$2,Subsector,'Summarized Source Data'!F$3,TimeOfWeek,$E554)*INDEX(About!B$79:B$82,MATCH($B554,About!$A$79:$A$82,0),1)</f>
        <v>5820696</v>
      </c>
      <c r="G554" s="27">
        <f>SUMIFS(INDEX(Load,,MATCH('Summarized Source Data'!$C554,Hour,0)),Month,'Summarized Source Data'!$A554,Sector,'Summarized Source Data'!G$2,Subsector,'Summarized Source Data'!G$3,TimeOfWeek,$E554)*INDEX(About!C$79:C$82,MATCH($B554,About!$A$79:$A$82,0),1)</f>
        <v>21689</v>
      </c>
      <c r="H554" s="27">
        <f>SUMIFS(INDEX(Load,,MATCH('Summarized Source Data'!$C554,Hour,0)),Month,'Summarized Source Data'!$A554,Sector,'Summarized Source Data'!H$2,Subsector,'Summarized Source Data'!H$3,TimeOfWeek,$E554)*INDEX(About!D$79:D$82,MATCH($B554,About!$A$79:$A$82,0),1)</f>
        <v>0</v>
      </c>
      <c r="I554" s="27">
        <f>SUMIFS(INDEX(Load,,MATCH('Summarized Source Data'!$C554,Hour,0)),Month,'Summarized Source Data'!$A554,Sector,'Summarized Source Data'!I$2,Subsector,'Summarized Source Data'!I$3,TimeOfWeek,$E554)*INDEX(About!E$79:E$82,MATCH($B554,About!$A$79:$A$82,0),1)</f>
        <v>18300000</v>
      </c>
      <c r="J554" s="54">
        <f t="shared" si="43"/>
        <v>61657615</v>
      </c>
      <c r="K554" s="27">
        <f>(SUMIFS(INDEX(Load,,MATCH('Summarized Source Data'!$C554,Hour,0)),Month,'Summarized Source Data'!$A554,Sector,'Summarized Source Data'!K$2,Subsector,"Total",TimeOfWeek,$E554)-SUM(F554:I554))*INDEX(About!G$79:G$82,MATCH($B554,About!$A$79:$A$82,0),1)</f>
        <v>61657615</v>
      </c>
      <c r="L554" s="27">
        <f>SUMIFS(INDEX(Load,,MATCH('Summarized Source Data'!$C554,Hour,0)),Month,'Summarized Source Data'!$A554,Sector,'Summarized Source Data'!L$2,Subsector,'Summarized Source Data'!L$3,TimeOfWeek,$E554)*INDEX(About!H$79:H$82,MATCH($B554,About!$A$79:$A$82,0),1)</f>
        <v>10100000</v>
      </c>
      <c r="M554" s="27">
        <f>SUMIFS(INDEX(Load,,MATCH('Summarized Source Data'!$C554,Hour,0)),Month,'Summarized Source Data'!$A554,Sector,'Summarized Source Data'!M$2,Subsector,'Summarized Source Data'!M$3,TimeOfWeek,$E554)*INDEX(About!I$79:I$82,MATCH($B554,About!$A$79:$A$82,0),1)</f>
        <v>75359</v>
      </c>
      <c r="N554" s="27">
        <f>SUMIFS(INDEX(Load,,MATCH('Summarized Source Data'!$C554,Hour,0)),Month,'Summarized Source Data'!$A554,Sector,'Summarized Source Data'!N$2,Subsector,'Summarized Source Data'!N$3,TimeOfWeek,$E554)*INDEX(About!J$79:J$82,MATCH($B554,About!$A$79:$A$82,0),1)</f>
        <v>0</v>
      </c>
      <c r="O554" s="29">
        <f t="shared" si="44"/>
        <v>85324641</v>
      </c>
      <c r="P554" s="27">
        <f>(SUMIFS(INDEX(Load,,MATCH('Summarized Source Data'!$C554,Hour,0)),Month,'Summarized Source Data'!$A554,Sector,'Summarized Source Data'!P$2,Subsector,"Total",TimeOfWeek,$E554)-SUM(L554:N554)*INDEX(About!L$79:L$82,MATCH($B554,About!$A$79:$A$82,0),1))</f>
        <v>85324641</v>
      </c>
      <c r="Q554" s="29">
        <f t="shared" si="45"/>
        <v>85324641</v>
      </c>
      <c r="R554" s="33">
        <f>SUMIFS(INDEX(Load,,MATCH('Summarized Source Data'!$C554,Hour,0)),Month,'Summarized Source Data'!$A554,Sector,'Summarized Source Data'!R$2,TimeOfWeek,$E554)*INDEX(About!N$79:N$82,MATCH($B554,About!$A$79:$A$82,0),1)</f>
        <v>5641722</v>
      </c>
      <c r="S554" s="33">
        <f>SUMIFS(INDEX(Load,,MATCH('Summarized Source Data'!$C554,Hour,0)),Month,'Summarized Source Data'!$A554,Sector,'Summarized Source Data'!S$2,TimeOfWeek,$E554)*INDEX(About!O$79:O$82,MATCH($B554,About!$A$79:$A$82,0),1)</f>
        <v>5641722</v>
      </c>
      <c r="T554" s="33">
        <f>SUMIFS(INDEX(Load,,MATCH('Summarized Source Data'!$C554,Hour,0)),Month,'Summarized Source Data'!$A554,Sector,'Summarized Source Data'!T$2,TimeOfWeek,$E554)*INDEX(About!P$79:P$82,MATCH($B554,About!$A$79:$A$82,0),1)</f>
        <v>5641722</v>
      </c>
      <c r="U554" s="33">
        <f>SUMIFS(INDEX(Load,,MATCH('Summarized Source Data'!$C554,Hour,0)),Month,'Summarized Source Data'!$A554,Sector,'Summarized Source Data'!U$2,TimeOfWeek,$E554)*INDEX(About!Q$79:Q$82,MATCH($B554,About!$A$79:$A$82,0),1)</f>
        <v>5641722</v>
      </c>
      <c r="V554" s="33">
        <f>SUMIFS(INDEX(Load,,MATCH('Summarized Source Data'!$C554,Hour,0)),Month,'Summarized Source Data'!$A554,Sector,'Summarized Source Data'!V$2,TimeOfWeek,$E554)*INDEX(About!R$79:R$82,MATCH($B554,About!$A$79:$A$82,0),1)</f>
        <v>5641722</v>
      </c>
      <c r="W554" s="33">
        <f>SUMIFS(INDEX(Load,,MATCH('Summarized Source Data'!$C554,Hour,0)),Month,'Summarized Source Data'!$A554,Sector,'Summarized Source Data'!W$2,TimeOfWeek,$E554)*INDEX(About!S$79:S$82,MATCH($B554,About!$A$79:$A$82,0),1)</f>
        <v>5641722</v>
      </c>
      <c r="X554" s="27">
        <f>SUMIFS(INDEX(Load,,MATCH('Summarized Source Data'!$C554,Hour,0)),Month,'Summarized Source Data'!$A554,Sector,'Summarized Source Data'!X$2,Subsector,'Summarized Source Data'!X$3,TimeOfWeek,$E554)*INDEX(About!T$79:T$82,MATCH($B554,About!$A$79:$A$82,0),1)</f>
        <v>346000000</v>
      </c>
      <c r="Y554" s="29">
        <f t="shared" si="48"/>
        <v>346000000</v>
      </c>
      <c r="Z554" s="29">
        <f t="shared" si="48"/>
        <v>346000000</v>
      </c>
    </row>
    <row r="555" spans="1:26" x14ac:dyDescent="0.3">
      <c r="A555">
        <f t="shared" si="47"/>
        <v>11</v>
      </c>
      <c r="B555" t="str">
        <f>INDEX('Category Mapping'!$G$28:$G$39,MATCH(A555,'Category Mapping'!$A$28:$A$39,0),1)</f>
        <v>Winter</v>
      </c>
      <c r="C555" t="s">
        <v>86</v>
      </c>
      <c r="D555" s="6" t="s">
        <v>161</v>
      </c>
      <c r="E555" s="46" t="s">
        <v>48</v>
      </c>
      <c r="F555" s="27">
        <f>SUMIFS(INDEX(Load,,MATCH('Summarized Source Data'!$C555,Hour,0)),Month,'Summarized Source Data'!$A555,Sector,'Summarized Source Data'!F$2,Subsector,'Summarized Source Data'!F$3,TimeOfWeek,$E555)*INDEX(About!B$79:B$82,MATCH($B555,About!$A$79:$A$82,0),1)</f>
        <v>5514302</v>
      </c>
      <c r="G555" s="27">
        <f>SUMIFS(INDEX(Load,,MATCH('Summarized Source Data'!$C555,Hour,0)),Month,'Summarized Source Data'!$A555,Sector,'Summarized Source Data'!G$2,Subsector,'Summarized Source Data'!G$3,TimeOfWeek,$E555)*INDEX(About!C$79:C$82,MATCH($B555,About!$A$79:$A$82,0),1)</f>
        <v>22367</v>
      </c>
      <c r="H555" s="27">
        <f>SUMIFS(INDEX(Load,,MATCH('Summarized Source Data'!$C555,Hour,0)),Month,'Summarized Source Data'!$A555,Sector,'Summarized Source Data'!H$2,Subsector,'Summarized Source Data'!H$3,TimeOfWeek,$E555)*INDEX(About!D$79:D$82,MATCH($B555,About!$A$79:$A$82,0),1)</f>
        <v>0</v>
      </c>
      <c r="I555" s="27">
        <f>SUMIFS(INDEX(Load,,MATCH('Summarized Source Data'!$C555,Hour,0)),Month,'Summarized Source Data'!$A555,Sector,'Summarized Source Data'!I$2,Subsector,'Summarized Source Data'!I$3,TimeOfWeek,$E555)*INDEX(About!E$79:E$82,MATCH($B555,About!$A$79:$A$82,0),1)</f>
        <v>10300000</v>
      </c>
      <c r="J555" s="54">
        <f t="shared" si="43"/>
        <v>48963331</v>
      </c>
      <c r="K555" s="27">
        <f>(SUMIFS(INDEX(Load,,MATCH('Summarized Source Data'!$C555,Hour,0)),Month,'Summarized Source Data'!$A555,Sector,'Summarized Source Data'!K$2,Subsector,"Total",TimeOfWeek,$E555)-SUM(F555:I555))*INDEX(About!G$79:G$82,MATCH($B555,About!$A$79:$A$82,0),1)</f>
        <v>48963331</v>
      </c>
      <c r="L555" s="27">
        <f>SUMIFS(INDEX(Load,,MATCH('Summarized Source Data'!$C555,Hour,0)),Month,'Summarized Source Data'!$A555,Sector,'Summarized Source Data'!L$2,Subsector,'Summarized Source Data'!L$3,TimeOfWeek,$E555)*INDEX(About!H$79:H$82,MATCH($B555,About!$A$79:$A$82,0),1)</f>
        <v>8527650</v>
      </c>
      <c r="M555" s="27">
        <f>SUMIFS(INDEX(Load,,MATCH('Summarized Source Data'!$C555,Hour,0)),Month,'Summarized Source Data'!$A555,Sector,'Summarized Source Data'!M$2,Subsector,'Summarized Source Data'!M$3,TimeOfWeek,$E555)*INDEX(About!I$79:I$82,MATCH($B555,About!$A$79:$A$82,0),1)</f>
        <v>71598</v>
      </c>
      <c r="N555" s="27">
        <f>SUMIFS(INDEX(Load,,MATCH('Summarized Source Data'!$C555,Hour,0)),Month,'Summarized Source Data'!$A555,Sector,'Summarized Source Data'!N$2,Subsector,'Summarized Source Data'!N$3,TimeOfWeek,$E555)*INDEX(About!J$79:J$82,MATCH($B555,About!$A$79:$A$82,0),1)</f>
        <v>0</v>
      </c>
      <c r="O555" s="29">
        <f t="shared" si="44"/>
        <v>78000752</v>
      </c>
      <c r="P555" s="27">
        <f>(SUMIFS(INDEX(Load,,MATCH('Summarized Source Data'!$C555,Hour,0)),Month,'Summarized Source Data'!$A555,Sector,'Summarized Source Data'!P$2,Subsector,"Total",TimeOfWeek,$E555)-SUM(L555:N555)*INDEX(About!L$79:L$82,MATCH($B555,About!$A$79:$A$82,0),1))</f>
        <v>78000752</v>
      </c>
      <c r="Q555" s="29">
        <f t="shared" si="45"/>
        <v>78000752</v>
      </c>
      <c r="R555" s="33">
        <f>SUMIFS(INDEX(Load,,MATCH('Summarized Source Data'!$C555,Hour,0)),Month,'Summarized Source Data'!$A555,Sector,'Summarized Source Data'!R$2,TimeOfWeek,$E555)*INDEX(About!N$79:N$82,MATCH($B555,About!$A$79:$A$82,0),1)</f>
        <v>3791214</v>
      </c>
      <c r="S555" s="33">
        <f>SUMIFS(INDEX(Load,,MATCH('Summarized Source Data'!$C555,Hour,0)),Month,'Summarized Source Data'!$A555,Sector,'Summarized Source Data'!S$2,TimeOfWeek,$E555)*INDEX(About!O$79:O$82,MATCH($B555,About!$A$79:$A$82,0),1)</f>
        <v>3791214</v>
      </c>
      <c r="T555" s="33">
        <f>SUMIFS(INDEX(Load,,MATCH('Summarized Source Data'!$C555,Hour,0)),Month,'Summarized Source Data'!$A555,Sector,'Summarized Source Data'!T$2,TimeOfWeek,$E555)*INDEX(About!P$79:P$82,MATCH($B555,About!$A$79:$A$82,0),1)</f>
        <v>3791214</v>
      </c>
      <c r="U555" s="33">
        <f>SUMIFS(INDEX(Load,,MATCH('Summarized Source Data'!$C555,Hour,0)),Month,'Summarized Source Data'!$A555,Sector,'Summarized Source Data'!U$2,TimeOfWeek,$E555)*INDEX(About!Q$79:Q$82,MATCH($B555,About!$A$79:$A$82,0),1)</f>
        <v>3791214</v>
      </c>
      <c r="V555" s="33">
        <f>SUMIFS(INDEX(Load,,MATCH('Summarized Source Data'!$C555,Hour,0)),Month,'Summarized Source Data'!$A555,Sector,'Summarized Source Data'!V$2,TimeOfWeek,$E555)*INDEX(About!R$79:R$82,MATCH($B555,About!$A$79:$A$82,0),1)</f>
        <v>3791214</v>
      </c>
      <c r="W555" s="33">
        <f>SUMIFS(INDEX(Load,,MATCH('Summarized Source Data'!$C555,Hour,0)),Month,'Summarized Source Data'!$A555,Sector,'Summarized Source Data'!W$2,TimeOfWeek,$E555)*INDEX(About!S$79:S$82,MATCH($B555,About!$A$79:$A$82,0),1)</f>
        <v>3791214</v>
      </c>
      <c r="X555" s="27">
        <f>SUMIFS(INDEX(Load,,MATCH('Summarized Source Data'!$C555,Hour,0)),Month,'Summarized Source Data'!$A555,Sector,'Summarized Source Data'!X$2,Subsector,'Summarized Source Data'!X$3,TimeOfWeek,$E555)*INDEX(About!T$79:T$82,MATCH($B555,About!$A$79:$A$82,0),1)</f>
        <v>344000000</v>
      </c>
      <c r="Y555" s="29">
        <f t="shared" si="48"/>
        <v>344000000</v>
      </c>
      <c r="Z555" s="29">
        <f t="shared" si="48"/>
        <v>344000000</v>
      </c>
    </row>
    <row r="556" spans="1:26" x14ac:dyDescent="0.3">
      <c r="A556">
        <f t="shared" si="47"/>
        <v>12</v>
      </c>
      <c r="B556" t="str">
        <f>INDEX('Category Mapping'!$G$28:$G$39,MATCH(A556,'Category Mapping'!$A$28:$A$39,0),1)</f>
        <v>Winter</v>
      </c>
      <c r="C556" t="s">
        <v>63</v>
      </c>
      <c r="D556" s="6" t="s">
        <v>138</v>
      </c>
      <c r="E556" s="46" t="s">
        <v>48</v>
      </c>
      <c r="F556" s="27">
        <f>SUMIFS(INDEX(Load,,MATCH('Summarized Source Data'!$C556,Hour,0)),Month,'Summarized Source Data'!$A556,Sector,'Summarized Source Data'!F$2,Subsector,'Summarized Source Data'!F$3,TimeOfWeek,$E556)*INDEX(About!B$79:B$82,MATCH($B556,About!$A$79:$A$82,0),1)</f>
        <v>9631397</v>
      </c>
      <c r="G556" s="27">
        <f>SUMIFS(INDEX(Load,,MATCH('Summarized Source Data'!$C556,Hour,0)),Month,'Summarized Source Data'!$A556,Sector,'Summarized Source Data'!G$2,Subsector,'Summarized Source Data'!G$3,TimeOfWeek,$E556)*INDEX(About!C$79:C$82,MATCH($B556,About!$A$79:$A$82,0),1)</f>
        <v>8638</v>
      </c>
      <c r="H556" s="27">
        <f>SUMIFS(INDEX(Load,,MATCH('Summarized Source Data'!$C556,Hour,0)),Month,'Summarized Source Data'!$A556,Sector,'Summarized Source Data'!H$2,Subsector,'Summarized Source Data'!H$3,TimeOfWeek,$E556)*INDEX(About!D$79:D$82,MATCH($B556,About!$A$79:$A$82,0),1)</f>
        <v>0</v>
      </c>
      <c r="I556" s="27">
        <f>SUMIFS(INDEX(Load,,MATCH('Summarized Source Data'!$C556,Hour,0)),Month,'Summarized Source Data'!$A556,Sector,'Summarized Source Data'!I$2,Subsector,'Summarized Source Data'!I$3,TimeOfWeek,$E556)*INDEX(About!E$79:E$82,MATCH($B556,About!$A$79:$A$82,0),1)</f>
        <v>7008055</v>
      </c>
      <c r="J556" s="54">
        <f t="shared" si="43"/>
        <v>38351910</v>
      </c>
      <c r="K556" s="27">
        <f>(SUMIFS(INDEX(Load,,MATCH('Summarized Source Data'!$C556,Hour,0)),Month,'Summarized Source Data'!$A556,Sector,'Summarized Source Data'!K$2,Subsector,"Total",TimeOfWeek,$E556)-SUM(F556:I556))*INDEX(About!G$79:G$82,MATCH($B556,About!$A$79:$A$82,0),1)</f>
        <v>38351910</v>
      </c>
      <c r="L556" s="27">
        <f>SUMIFS(INDEX(Load,,MATCH('Summarized Source Data'!$C556,Hour,0)),Month,'Summarized Source Data'!$A556,Sector,'Summarized Source Data'!L$2,Subsector,'Summarized Source Data'!L$3,TimeOfWeek,$E556)*INDEX(About!H$79:H$82,MATCH($B556,About!$A$79:$A$82,0),1)</f>
        <v>11000000</v>
      </c>
      <c r="M556" s="27">
        <f>SUMIFS(INDEX(Load,,MATCH('Summarized Source Data'!$C556,Hour,0)),Month,'Summarized Source Data'!$A556,Sector,'Summarized Source Data'!M$2,Subsector,'Summarized Source Data'!M$3,TimeOfWeek,$E556)*INDEX(About!I$79:I$82,MATCH($B556,About!$A$79:$A$82,0),1)</f>
        <v>25941</v>
      </c>
      <c r="N556" s="27">
        <f>SUMIFS(INDEX(Load,,MATCH('Summarized Source Data'!$C556,Hour,0)),Month,'Summarized Source Data'!$A556,Sector,'Summarized Source Data'!N$2,Subsector,'Summarized Source Data'!N$3,TimeOfWeek,$E556)*INDEX(About!J$79:J$82,MATCH($B556,About!$A$79:$A$82,0),1)</f>
        <v>0</v>
      </c>
      <c r="O556" s="29">
        <f t="shared" si="44"/>
        <v>78774059</v>
      </c>
      <c r="P556" s="27">
        <f>(SUMIFS(INDEX(Load,,MATCH('Summarized Source Data'!$C556,Hour,0)),Month,'Summarized Source Data'!$A556,Sector,'Summarized Source Data'!P$2,Subsector,"Total",TimeOfWeek,$E556)-SUM(L556:N556)*INDEX(About!L$79:L$82,MATCH($B556,About!$A$79:$A$82,0),1))</f>
        <v>78774059</v>
      </c>
      <c r="Q556" s="29">
        <f t="shared" si="45"/>
        <v>78774059</v>
      </c>
      <c r="R556" s="33">
        <f>SUMIFS(INDEX(Load,,MATCH('Summarized Source Data'!$C556,Hour,0)),Month,'Summarized Source Data'!$A556,Sector,'Summarized Source Data'!R$2,TimeOfWeek,$E556)*INDEX(About!N$79:N$82,MATCH($B556,About!$A$79:$A$82,0),1)</f>
        <v>2742679</v>
      </c>
      <c r="S556" s="33">
        <f>SUMIFS(INDEX(Load,,MATCH('Summarized Source Data'!$C556,Hour,0)),Month,'Summarized Source Data'!$A556,Sector,'Summarized Source Data'!S$2,TimeOfWeek,$E556)*INDEX(About!O$79:O$82,MATCH($B556,About!$A$79:$A$82,0),1)</f>
        <v>2742679</v>
      </c>
      <c r="T556" s="33">
        <f>SUMIFS(INDEX(Load,,MATCH('Summarized Source Data'!$C556,Hour,0)),Month,'Summarized Source Data'!$A556,Sector,'Summarized Source Data'!T$2,TimeOfWeek,$E556)*INDEX(About!P$79:P$82,MATCH($B556,About!$A$79:$A$82,0),1)</f>
        <v>2742679</v>
      </c>
      <c r="U556" s="33">
        <f>SUMIFS(INDEX(Load,,MATCH('Summarized Source Data'!$C556,Hour,0)),Month,'Summarized Source Data'!$A556,Sector,'Summarized Source Data'!U$2,TimeOfWeek,$E556)*INDEX(About!Q$79:Q$82,MATCH($B556,About!$A$79:$A$82,0),1)</f>
        <v>2742679</v>
      </c>
      <c r="V556" s="33">
        <f>SUMIFS(INDEX(Load,,MATCH('Summarized Source Data'!$C556,Hour,0)),Month,'Summarized Source Data'!$A556,Sector,'Summarized Source Data'!V$2,TimeOfWeek,$E556)*INDEX(About!R$79:R$82,MATCH($B556,About!$A$79:$A$82,0),1)</f>
        <v>2742679</v>
      </c>
      <c r="W556" s="33">
        <f>SUMIFS(INDEX(Load,,MATCH('Summarized Source Data'!$C556,Hour,0)),Month,'Summarized Source Data'!$A556,Sector,'Summarized Source Data'!W$2,TimeOfWeek,$E556)*INDEX(About!S$79:S$82,MATCH($B556,About!$A$79:$A$82,0),1)</f>
        <v>2742679</v>
      </c>
      <c r="X556" s="27">
        <f>SUMIFS(INDEX(Load,,MATCH('Summarized Source Data'!$C556,Hour,0)),Month,'Summarized Source Data'!$A556,Sector,'Summarized Source Data'!X$2,Subsector,'Summarized Source Data'!X$3,TimeOfWeek,$E556)*INDEX(About!T$79:T$82,MATCH($B556,About!$A$79:$A$82,0),1)</f>
        <v>322000000</v>
      </c>
      <c r="Y556" s="29">
        <f t="shared" si="48"/>
        <v>322000000</v>
      </c>
      <c r="Z556" s="29">
        <f t="shared" si="48"/>
        <v>322000000</v>
      </c>
    </row>
    <row r="557" spans="1:26" x14ac:dyDescent="0.3">
      <c r="A557">
        <f t="shared" si="47"/>
        <v>12</v>
      </c>
      <c r="B557" t="str">
        <f>INDEX('Category Mapping'!$G$28:$G$39,MATCH(A557,'Category Mapping'!$A$28:$A$39,0),1)</f>
        <v>Winter</v>
      </c>
      <c r="C557" t="s">
        <v>64</v>
      </c>
      <c r="D557" s="6" t="s">
        <v>139</v>
      </c>
      <c r="E557" s="46" t="s">
        <v>48</v>
      </c>
      <c r="F557" s="27">
        <f>SUMIFS(INDEX(Load,,MATCH('Summarized Source Data'!$C557,Hour,0)),Month,'Summarized Source Data'!$A557,Sector,'Summarized Source Data'!F$2,Subsector,'Summarized Source Data'!F$3,TimeOfWeek,$E557)*INDEX(About!B$79:B$82,MATCH($B557,About!$A$79:$A$82,0),1)</f>
        <v>9803247</v>
      </c>
      <c r="G557" s="27">
        <f>SUMIFS(INDEX(Load,,MATCH('Summarized Source Data'!$C557,Hour,0)),Month,'Summarized Source Data'!$A557,Sector,'Summarized Source Data'!G$2,Subsector,'Summarized Source Data'!G$3,TimeOfWeek,$E557)*INDEX(About!C$79:C$82,MATCH($B557,About!$A$79:$A$82,0),1)</f>
        <v>8770</v>
      </c>
      <c r="H557" s="27">
        <f>SUMIFS(INDEX(Load,,MATCH('Summarized Source Data'!$C557,Hour,0)),Month,'Summarized Source Data'!$A557,Sector,'Summarized Source Data'!H$2,Subsector,'Summarized Source Data'!H$3,TimeOfWeek,$E557)*INDEX(About!D$79:D$82,MATCH($B557,About!$A$79:$A$82,0),1)</f>
        <v>0</v>
      </c>
      <c r="I557" s="27">
        <f>SUMIFS(INDEX(Load,,MATCH('Summarized Source Data'!$C557,Hour,0)),Month,'Summarized Source Data'!$A557,Sector,'Summarized Source Data'!I$2,Subsector,'Summarized Source Data'!I$3,TimeOfWeek,$E557)*INDEX(About!E$79:E$82,MATCH($B557,About!$A$79:$A$82,0),1)</f>
        <v>6054916</v>
      </c>
      <c r="J557" s="54">
        <f t="shared" si="43"/>
        <v>29733067</v>
      </c>
      <c r="K557" s="27">
        <f>(SUMIFS(INDEX(Load,,MATCH('Summarized Source Data'!$C557,Hour,0)),Month,'Summarized Source Data'!$A557,Sector,'Summarized Source Data'!K$2,Subsector,"Total",TimeOfWeek,$E557)-SUM(F557:I557))*INDEX(About!G$79:G$82,MATCH($B557,About!$A$79:$A$82,0),1)</f>
        <v>29733067</v>
      </c>
      <c r="L557" s="27">
        <f>SUMIFS(INDEX(Load,,MATCH('Summarized Source Data'!$C557,Hour,0)),Month,'Summarized Source Data'!$A557,Sector,'Summarized Source Data'!L$2,Subsector,'Summarized Source Data'!L$3,TimeOfWeek,$E557)*INDEX(About!H$79:H$82,MATCH($B557,About!$A$79:$A$82,0),1)</f>
        <v>10100000</v>
      </c>
      <c r="M557" s="27">
        <f>SUMIFS(INDEX(Load,,MATCH('Summarized Source Data'!$C557,Hour,0)),Month,'Summarized Source Data'!$A557,Sector,'Summarized Source Data'!M$2,Subsector,'Summarized Source Data'!M$3,TimeOfWeek,$E557)*INDEX(About!I$79:I$82,MATCH($B557,About!$A$79:$A$82,0),1)</f>
        <v>25389</v>
      </c>
      <c r="N557" s="27">
        <f>SUMIFS(INDEX(Load,,MATCH('Summarized Source Data'!$C557,Hour,0)),Month,'Summarized Source Data'!$A557,Sector,'Summarized Source Data'!N$2,Subsector,'Summarized Source Data'!N$3,TimeOfWeek,$E557)*INDEX(About!J$79:J$82,MATCH($B557,About!$A$79:$A$82,0),1)</f>
        <v>0</v>
      </c>
      <c r="O557" s="29">
        <f t="shared" si="44"/>
        <v>68774611</v>
      </c>
      <c r="P557" s="27">
        <f>(SUMIFS(INDEX(Load,,MATCH('Summarized Source Data'!$C557,Hour,0)),Month,'Summarized Source Data'!$A557,Sector,'Summarized Source Data'!P$2,Subsector,"Total",TimeOfWeek,$E557)-SUM(L557:N557)*INDEX(About!L$79:L$82,MATCH($B557,About!$A$79:$A$82,0),1))</f>
        <v>68774611</v>
      </c>
      <c r="Q557" s="29">
        <f t="shared" si="45"/>
        <v>68774611</v>
      </c>
      <c r="R557" s="33">
        <f>SUMIFS(INDEX(Load,,MATCH('Summarized Source Data'!$C557,Hour,0)),Month,'Summarized Source Data'!$A557,Sector,'Summarized Source Data'!R$2,TimeOfWeek,$E557)*INDEX(About!N$79:N$82,MATCH($B557,About!$A$79:$A$82,0),1)</f>
        <v>2613859</v>
      </c>
      <c r="S557" s="33">
        <f>SUMIFS(INDEX(Load,,MATCH('Summarized Source Data'!$C557,Hour,0)),Month,'Summarized Source Data'!$A557,Sector,'Summarized Source Data'!S$2,TimeOfWeek,$E557)*INDEX(About!O$79:O$82,MATCH($B557,About!$A$79:$A$82,0),1)</f>
        <v>2613859</v>
      </c>
      <c r="T557" s="33">
        <f>SUMIFS(INDEX(Load,,MATCH('Summarized Source Data'!$C557,Hour,0)),Month,'Summarized Source Data'!$A557,Sector,'Summarized Source Data'!T$2,TimeOfWeek,$E557)*INDEX(About!P$79:P$82,MATCH($B557,About!$A$79:$A$82,0),1)</f>
        <v>2613859</v>
      </c>
      <c r="U557" s="33">
        <f>SUMIFS(INDEX(Load,,MATCH('Summarized Source Data'!$C557,Hour,0)),Month,'Summarized Source Data'!$A557,Sector,'Summarized Source Data'!U$2,TimeOfWeek,$E557)*INDEX(About!Q$79:Q$82,MATCH($B557,About!$A$79:$A$82,0),1)</f>
        <v>2613859</v>
      </c>
      <c r="V557" s="33">
        <f>SUMIFS(INDEX(Load,,MATCH('Summarized Source Data'!$C557,Hour,0)),Month,'Summarized Source Data'!$A557,Sector,'Summarized Source Data'!V$2,TimeOfWeek,$E557)*INDEX(About!R$79:R$82,MATCH($B557,About!$A$79:$A$82,0),1)</f>
        <v>2613859</v>
      </c>
      <c r="W557" s="33">
        <f>SUMIFS(INDEX(Load,,MATCH('Summarized Source Data'!$C557,Hour,0)),Month,'Summarized Source Data'!$A557,Sector,'Summarized Source Data'!W$2,TimeOfWeek,$E557)*INDEX(About!S$79:S$82,MATCH($B557,About!$A$79:$A$82,0),1)</f>
        <v>2613859</v>
      </c>
      <c r="X557" s="27">
        <f>SUMIFS(INDEX(Load,,MATCH('Summarized Source Data'!$C557,Hour,0)),Month,'Summarized Source Data'!$A557,Sector,'Summarized Source Data'!X$2,Subsector,'Summarized Source Data'!X$3,TimeOfWeek,$E557)*INDEX(About!T$79:T$82,MATCH($B557,About!$A$79:$A$82,0),1)</f>
        <v>322000000</v>
      </c>
      <c r="Y557" s="29">
        <f t="shared" si="48"/>
        <v>322000000</v>
      </c>
      <c r="Z557" s="29">
        <f t="shared" si="48"/>
        <v>322000000</v>
      </c>
    </row>
    <row r="558" spans="1:26" x14ac:dyDescent="0.3">
      <c r="A558">
        <f t="shared" si="47"/>
        <v>12</v>
      </c>
      <c r="B558" t="str">
        <f>INDEX('Category Mapping'!$G$28:$G$39,MATCH(A558,'Category Mapping'!$A$28:$A$39,0),1)</f>
        <v>Winter</v>
      </c>
      <c r="C558" t="s">
        <v>65</v>
      </c>
      <c r="D558" s="6" t="s">
        <v>140</v>
      </c>
      <c r="E558" s="46" t="s">
        <v>48</v>
      </c>
      <c r="F558" s="27">
        <f>SUMIFS(INDEX(Load,,MATCH('Summarized Source Data'!$C558,Hour,0)),Month,'Summarized Source Data'!$A558,Sector,'Summarized Source Data'!F$2,Subsector,'Summarized Source Data'!F$3,TimeOfWeek,$E558)*INDEX(About!B$79:B$82,MATCH($B558,About!$A$79:$A$82,0),1)</f>
        <v>9862094</v>
      </c>
      <c r="G558" s="27">
        <f>SUMIFS(INDEX(Load,,MATCH('Summarized Source Data'!$C558,Hour,0)),Month,'Summarized Source Data'!$A558,Sector,'Summarized Source Data'!G$2,Subsector,'Summarized Source Data'!G$3,TimeOfWeek,$E558)*INDEX(About!C$79:C$82,MATCH($B558,About!$A$79:$A$82,0),1)</f>
        <v>8886</v>
      </c>
      <c r="H558" s="27">
        <f>SUMIFS(INDEX(Load,,MATCH('Summarized Source Data'!$C558,Hour,0)),Month,'Summarized Source Data'!$A558,Sector,'Summarized Source Data'!H$2,Subsector,'Summarized Source Data'!H$3,TimeOfWeek,$E558)*INDEX(About!D$79:D$82,MATCH($B558,About!$A$79:$A$82,0),1)</f>
        <v>0</v>
      </c>
      <c r="I558" s="27">
        <f>SUMIFS(INDEX(Load,,MATCH('Summarized Source Data'!$C558,Hour,0)),Month,'Summarized Source Data'!$A558,Sector,'Summarized Source Data'!I$2,Subsector,'Summarized Source Data'!I$3,TimeOfWeek,$E558)*INDEX(About!E$79:E$82,MATCH($B558,About!$A$79:$A$82,0),1)</f>
        <v>5847960</v>
      </c>
      <c r="J558" s="54">
        <f t="shared" si="43"/>
        <v>23281060</v>
      </c>
      <c r="K558" s="27">
        <f>(SUMIFS(INDEX(Load,,MATCH('Summarized Source Data'!$C558,Hour,0)),Month,'Summarized Source Data'!$A558,Sector,'Summarized Source Data'!K$2,Subsector,"Total",TimeOfWeek,$E558)-SUM(F558:I558))*INDEX(About!G$79:G$82,MATCH($B558,About!$A$79:$A$82,0),1)</f>
        <v>23281060</v>
      </c>
      <c r="L558" s="27">
        <f>SUMIFS(INDEX(Load,,MATCH('Summarized Source Data'!$C558,Hour,0)),Month,'Summarized Source Data'!$A558,Sector,'Summarized Source Data'!L$2,Subsector,'Summarized Source Data'!L$3,TimeOfWeek,$E558)*INDEX(About!H$79:H$82,MATCH($B558,About!$A$79:$A$82,0),1)</f>
        <v>9042940</v>
      </c>
      <c r="M558" s="27">
        <f>SUMIFS(INDEX(Load,,MATCH('Summarized Source Data'!$C558,Hour,0)),Month,'Summarized Source Data'!$A558,Sector,'Summarized Source Data'!M$2,Subsector,'Summarized Source Data'!M$3,TimeOfWeek,$E558)*INDEX(About!I$79:I$82,MATCH($B558,About!$A$79:$A$82,0),1)</f>
        <v>25159</v>
      </c>
      <c r="N558" s="27">
        <f>SUMIFS(INDEX(Load,,MATCH('Summarized Source Data'!$C558,Hour,0)),Month,'Summarized Source Data'!$A558,Sector,'Summarized Source Data'!N$2,Subsector,'Summarized Source Data'!N$3,TimeOfWeek,$E558)*INDEX(About!J$79:J$82,MATCH($B558,About!$A$79:$A$82,0),1)</f>
        <v>0</v>
      </c>
      <c r="O558" s="29">
        <f t="shared" si="44"/>
        <v>67831901</v>
      </c>
      <c r="P558" s="27">
        <f>(SUMIFS(INDEX(Load,,MATCH('Summarized Source Data'!$C558,Hour,0)),Month,'Summarized Source Data'!$A558,Sector,'Summarized Source Data'!P$2,Subsector,"Total",TimeOfWeek,$E558)-SUM(L558:N558)*INDEX(About!L$79:L$82,MATCH($B558,About!$A$79:$A$82,0),1))</f>
        <v>67831901</v>
      </c>
      <c r="Q558" s="29">
        <f t="shared" si="45"/>
        <v>67831901</v>
      </c>
      <c r="R558" s="33">
        <f>SUMIFS(INDEX(Load,,MATCH('Summarized Source Data'!$C558,Hour,0)),Month,'Summarized Source Data'!$A558,Sector,'Summarized Source Data'!R$2,TimeOfWeek,$E558)*INDEX(About!N$79:N$82,MATCH($B558,About!$A$79:$A$82,0),1)</f>
        <v>2578726</v>
      </c>
      <c r="S558" s="33">
        <f>SUMIFS(INDEX(Load,,MATCH('Summarized Source Data'!$C558,Hour,0)),Month,'Summarized Source Data'!$A558,Sector,'Summarized Source Data'!S$2,TimeOfWeek,$E558)*INDEX(About!O$79:O$82,MATCH($B558,About!$A$79:$A$82,0),1)</f>
        <v>2578726</v>
      </c>
      <c r="T558" s="33">
        <f>SUMIFS(INDEX(Load,,MATCH('Summarized Source Data'!$C558,Hour,0)),Month,'Summarized Source Data'!$A558,Sector,'Summarized Source Data'!T$2,TimeOfWeek,$E558)*INDEX(About!P$79:P$82,MATCH($B558,About!$A$79:$A$82,0),1)</f>
        <v>2578726</v>
      </c>
      <c r="U558" s="33">
        <f>SUMIFS(INDEX(Load,,MATCH('Summarized Source Data'!$C558,Hour,0)),Month,'Summarized Source Data'!$A558,Sector,'Summarized Source Data'!U$2,TimeOfWeek,$E558)*INDEX(About!Q$79:Q$82,MATCH($B558,About!$A$79:$A$82,0),1)</f>
        <v>2578726</v>
      </c>
      <c r="V558" s="33">
        <f>SUMIFS(INDEX(Load,,MATCH('Summarized Source Data'!$C558,Hour,0)),Month,'Summarized Source Data'!$A558,Sector,'Summarized Source Data'!V$2,TimeOfWeek,$E558)*INDEX(About!R$79:R$82,MATCH($B558,About!$A$79:$A$82,0),1)</f>
        <v>2578726</v>
      </c>
      <c r="W558" s="33">
        <f>SUMIFS(INDEX(Load,,MATCH('Summarized Source Data'!$C558,Hour,0)),Month,'Summarized Source Data'!$A558,Sector,'Summarized Source Data'!W$2,TimeOfWeek,$E558)*INDEX(About!S$79:S$82,MATCH($B558,About!$A$79:$A$82,0),1)</f>
        <v>2578726</v>
      </c>
      <c r="X558" s="27">
        <f>SUMIFS(INDEX(Load,,MATCH('Summarized Source Data'!$C558,Hour,0)),Month,'Summarized Source Data'!$A558,Sector,'Summarized Source Data'!X$2,Subsector,'Summarized Source Data'!X$3,TimeOfWeek,$E558)*INDEX(About!T$79:T$82,MATCH($B558,About!$A$79:$A$82,0),1)</f>
        <v>322000000</v>
      </c>
      <c r="Y558" s="29">
        <f t="shared" si="48"/>
        <v>322000000</v>
      </c>
      <c r="Z558" s="29">
        <f t="shared" si="48"/>
        <v>322000000</v>
      </c>
    </row>
    <row r="559" spans="1:26" x14ac:dyDescent="0.3">
      <c r="A559">
        <f t="shared" si="47"/>
        <v>12</v>
      </c>
      <c r="B559" t="str">
        <f>INDEX('Category Mapping'!$G$28:$G$39,MATCH(A559,'Category Mapping'!$A$28:$A$39,0),1)</f>
        <v>Winter</v>
      </c>
      <c r="C559" t="s">
        <v>66</v>
      </c>
      <c r="D559" s="6" t="s">
        <v>141</v>
      </c>
      <c r="E559" s="46" t="s">
        <v>48</v>
      </c>
      <c r="F559" s="27">
        <f>SUMIFS(INDEX(Load,,MATCH('Summarized Source Data'!$C559,Hour,0)),Month,'Summarized Source Data'!$A559,Sector,'Summarized Source Data'!F$2,Subsector,'Summarized Source Data'!F$3,TimeOfWeek,$E559)*INDEX(About!B$79:B$82,MATCH($B559,About!$A$79:$A$82,0),1)</f>
        <v>9803247</v>
      </c>
      <c r="G559" s="27">
        <f>SUMIFS(INDEX(Load,,MATCH('Summarized Source Data'!$C559,Hour,0)),Month,'Summarized Source Data'!$A559,Sector,'Summarized Source Data'!G$2,Subsector,'Summarized Source Data'!G$3,TimeOfWeek,$E559)*INDEX(About!C$79:C$82,MATCH($B559,About!$A$79:$A$82,0),1)</f>
        <v>8904</v>
      </c>
      <c r="H559" s="27">
        <f>SUMIFS(INDEX(Load,,MATCH('Summarized Source Data'!$C559,Hour,0)),Month,'Summarized Source Data'!$A559,Sector,'Summarized Source Data'!H$2,Subsector,'Summarized Source Data'!H$3,TimeOfWeek,$E559)*INDEX(About!D$79:D$82,MATCH($B559,About!$A$79:$A$82,0),1)</f>
        <v>0</v>
      </c>
      <c r="I559" s="27">
        <f>SUMIFS(INDEX(Load,,MATCH('Summarized Source Data'!$C559,Hour,0)),Month,'Summarized Source Data'!$A559,Sector,'Summarized Source Data'!I$2,Subsector,'Summarized Source Data'!I$3,TimeOfWeek,$E559)*INDEX(About!E$79:E$82,MATCH($B559,About!$A$79:$A$82,0),1)</f>
        <v>5843024</v>
      </c>
      <c r="J559" s="54">
        <f t="shared" si="43"/>
        <v>19344825</v>
      </c>
      <c r="K559" s="27">
        <f>(SUMIFS(INDEX(Load,,MATCH('Summarized Source Data'!$C559,Hour,0)),Month,'Summarized Source Data'!$A559,Sector,'Summarized Source Data'!K$2,Subsector,"Total",TimeOfWeek,$E559)-SUM(F559:I559))*INDEX(About!G$79:G$82,MATCH($B559,About!$A$79:$A$82,0),1)</f>
        <v>19344825</v>
      </c>
      <c r="L559" s="27">
        <f>SUMIFS(INDEX(Load,,MATCH('Summarized Source Data'!$C559,Hour,0)),Month,'Summarized Source Data'!$A559,Sector,'Summarized Source Data'!L$2,Subsector,'Summarized Source Data'!L$3,TimeOfWeek,$E559)*INDEX(About!H$79:H$82,MATCH($B559,About!$A$79:$A$82,0),1)</f>
        <v>9398065</v>
      </c>
      <c r="M559" s="27">
        <f>SUMIFS(INDEX(Load,,MATCH('Summarized Source Data'!$C559,Hour,0)),Month,'Summarized Source Data'!$A559,Sector,'Summarized Source Data'!M$2,Subsector,'Summarized Source Data'!M$3,TimeOfWeek,$E559)*INDEX(About!I$79:I$82,MATCH($B559,About!$A$79:$A$82,0),1)</f>
        <v>25029</v>
      </c>
      <c r="N559" s="27">
        <f>SUMIFS(INDEX(Load,,MATCH('Summarized Source Data'!$C559,Hour,0)),Month,'Summarized Source Data'!$A559,Sector,'Summarized Source Data'!N$2,Subsector,'Summarized Source Data'!N$3,TimeOfWeek,$E559)*INDEX(About!J$79:J$82,MATCH($B559,About!$A$79:$A$82,0),1)</f>
        <v>0</v>
      </c>
      <c r="O559" s="29">
        <f t="shared" si="44"/>
        <v>68476906</v>
      </c>
      <c r="P559" s="27">
        <f>(SUMIFS(INDEX(Load,,MATCH('Summarized Source Data'!$C559,Hour,0)),Month,'Summarized Source Data'!$A559,Sector,'Summarized Source Data'!P$2,Subsector,"Total",TimeOfWeek,$E559)-SUM(L559:N559)*INDEX(About!L$79:L$82,MATCH($B559,About!$A$79:$A$82,0),1))</f>
        <v>68476906</v>
      </c>
      <c r="Q559" s="29">
        <f t="shared" si="45"/>
        <v>68476906</v>
      </c>
      <c r="R559" s="33">
        <f>SUMIFS(INDEX(Load,,MATCH('Summarized Source Data'!$C559,Hour,0)),Month,'Summarized Source Data'!$A559,Sector,'Summarized Source Data'!R$2,TimeOfWeek,$E559)*INDEX(About!N$79:N$82,MATCH($B559,About!$A$79:$A$82,0),1)</f>
        <v>2578726</v>
      </c>
      <c r="S559" s="33">
        <f>SUMIFS(INDEX(Load,,MATCH('Summarized Source Data'!$C559,Hour,0)),Month,'Summarized Source Data'!$A559,Sector,'Summarized Source Data'!S$2,TimeOfWeek,$E559)*INDEX(About!O$79:O$82,MATCH($B559,About!$A$79:$A$82,0),1)</f>
        <v>2578726</v>
      </c>
      <c r="T559" s="33">
        <f>SUMIFS(INDEX(Load,,MATCH('Summarized Source Data'!$C559,Hour,0)),Month,'Summarized Source Data'!$A559,Sector,'Summarized Source Data'!T$2,TimeOfWeek,$E559)*INDEX(About!P$79:P$82,MATCH($B559,About!$A$79:$A$82,0),1)</f>
        <v>2578726</v>
      </c>
      <c r="U559" s="33">
        <f>SUMIFS(INDEX(Load,,MATCH('Summarized Source Data'!$C559,Hour,0)),Month,'Summarized Source Data'!$A559,Sector,'Summarized Source Data'!U$2,TimeOfWeek,$E559)*INDEX(About!Q$79:Q$82,MATCH($B559,About!$A$79:$A$82,0),1)</f>
        <v>2578726</v>
      </c>
      <c r="V559" s="33">
        <f>SUMIFS(INDEX(Load,,MATCH('Summarized Source Data'!$C559,Hour,0)),Month,'Summarized Source Data'!$A559,Sector,'Summarized Source Data'!V$2,TimeOfWeek,$E559)*INDEX(About!R$79:R$82,MATCH($B559,About!$A$79:$A$82,0),1)</f>
        <v>2578726</v>
      </c>
      <c r="W559" s="33">
        <f>SUMIFS(INDEX(Load,,MATCH('Summarized Source Data'!$C559,Hour,0)),Month,'Summarized Source Data'!$A559,Sector,'Summarized Source Data'!W$2,TimeOfWeek,$E559)*INDEX(About!S$79:S$82,MATCH($B559,About!$A$79:$A$82,0),1)</f>
        <v>2578726</v>
      </c>
      <c r="X559" s="27">
        <f>SUMIFS(INDEX(Load,,MATCH('Summarized Source Data'!$C559,Hour,0)),Month,'Summarized Source Data'!$A559,Sector,'Summarized Source Data'!X$2,Subsector,'Summarized Source Data'!X$3,TimeOfWeek,$E559)*INDEX(About!T$79:T$82,MATCH($B559,About!$A$79:$A$82,0),1)</f>
        <v>323000000</v>
      </c>
      <c r="Y559" s="29">
        <f t="shared" si="48"/>
        <v>323000000</v>
      </c>
      <c r="Z559" s="29">
        <f t="shared" si="48"/>
        <v>323000000</v>
      </c>
    </row>
    <row r="560" spans="1:26" x14ac:dyDescent="0.3">
      <c r="A560">
        <f t="shared" si="47"/>
        <v>12</v>
      </c>
      <c r="B560" t="str">
        <f>INDEX('Category Mapping'!$G$28:$G$39,MATCH(A560,'Category Mapping'!$A$28:$A$39,0),1)</f>
        <v>Winter</v>
      </c>
      <c r="C560" t="s">
        <v>67</v>
      </c>
      <c r="D560" s="6" t="s">
        <v>142</v>
      </c>
      <c r="E560" s="46" t="s">
        <v>48</v>
      </c>
      <c r="F560" s="27">
        <f>SUMIFS(INDEX(Load,,MATCH('Summarized Source Data'!$C560,Hour,0)),Month,'Summarized Source Data'!$A560,Sector,'Summarized Source Data'!F$2,Subsector,'Summarized Source Data'!F$3,TimeOfWeek,$E560)*INDEX(About!B$79:B$82,MATCH($B560,About!$A$79:$A$82,0),1)</f>
        <v>9631397</v>
      </c>
      <c r="G560" s="27">
        <f>SUMIFS(INDEX(Load,,MATCH('Summarized Source Data'!$C560,Hour,0)),Month,'Summarized Source Data'!$A560,Sector,'Summarized Source Data'!G$2,Subsector,'Summarized Source Data'!G$3,TimeOfWeek,$E560)*INDEX(About!C$79:C$82,MATCH($B560,About!$A$79:$A$82,0),1)</f>
        <v>8875</v>
      </c>
      <c r="H560" s="27">
        <f>SUMIFS(INDEX(Load,,MATCH('Summarized Source Data'!$C560,Hour,0)),Month,'Summarized Source Data'!$A560,Sector,'Summarized Source Data'!H$2,Subsector,'Summarized Source Data'!H$3,TimeOfWeek,$E560)*INDEX(About!D$79:D$82,MATCH($B560,About!$A$79:$A$82,0),1)</f>
        <v>0</v>
      </c>
      <c r="I560" s="27">
        <f>SUMIFS(INDEX(Load,,MATCH('Summarized Source Data'!$C560,Hour,0)),Month,'Summarized Source Data'!$A560,Sector,'Summarized Source Data'!I$2,Subsector,'Summarized Source Data'!I$3,TimeOfWeek,$E560)*INDEX(About!E$79:E$82,MATCH($B560,About!$A$79:$A$82,0),1)</f>
        <v>6150343</v>
      </c>
      <c r="J560" s="54">
        <f t="shared" si="43"/>
        <v>19709385</v>
      </c>
      <c r="K560" s="27">
        <f>(SUMIFS(INDEX(Load,,MATCH('Summarized Source Data'!$C560,Hour,0)),Month,'Summarized Source Data'!$A560,Sector,'Summarized Source Data'!K$2,Subsector,"Total",TimeOfWeek,$E560)-SUM(F560:I560))*INDEX(About!G$79:G$82,MATCH($B560,About!$A$79:$A$82,0),1)</f>
        <v>19709385</v>
      </c>
      <c r="L560" s="27">
        <f>SUMIFS(INDEX(Load,,MATCH('Summarized Source Data'!$C560,Hour,0)),Month,'Summarized Source Data'!$A560,Sector,'Summarized Source Data'!L$2,Subsector,'Summarized Source Data'!L$3,TimeOfWeek,$E560)*INDEX(About!H$79:H$82,MATCH($B560,About!$A$79:$A$82,0),1)</f>
        <v>9912965</v>
      </c>
      <c r="M560" s="27">
        <f>SUMIFS(INDEX(Load,,MATCH('Summarized Source Data'!$C560,Hour,0)),Month,'Summarized Source Data'!$A560,Sector,'Summarized Source Data'!M$2,Subsector,'Summarized Source Data'!M$3,TimeOfWeek,$E560)*INDEX(About!I$79:I$82,MATCH($B560,About!$A$79:$A$82,0),1)</f>
        <v>25001</v>
      </c>
      <c r="N560" s="27">
        <f>SUMIFS(INDEX(Load,,MATCH('Summarized Source Data'!$C560,Hour,0)),Month,'Summarized Source Data'!$A560,Sector,'Summarized Source Data'!N$2,Subsector,'Summarized Source Data'!N$3,TimeOfWeek,$E560)*INDEX(About!J$79:J$82,MATCH($B560,About!$A$79:$A$82,0),1)</f>
        <v>0</v>
      </c>
      <c r="O560" s="29">
        <f t="shared" si="44"/>
        <v>69562034</v>
      </c>
      <c r="P560" s="27">
        <f>(SUMIFS(INDEX(Load,,MATCH('Summarized Source Data'!$C560,Hour,0)),Month,'Summarized Source Data'!$A560,Sector,'Summarized Source Data'!P$2,Subsector,"Total",TimeOfWeek,$E560)-SUM(L560:N560)*INDEX(About!L$79:L$82,MATCH($B560,About!$A$79:$A$82,0),1))</f>
        <v>69562034</v>
      </c>
      <c r="Q560" s="29">
        <f t="shared" si="45"/>
        <v>69562034</v>
      </c>
      <c r="R560" s="33">
        <f>SUMIFS(INDEX(Load,,MATCH('Summarized Source Data'!$C560,Hour,0)),Month,'Summarized Source Data'!$A560,Sector,'Summarized Source Data'!R$2,TimeOfWeek,$E560)*INDEX(About!N$79:N$82,MATCH($B560,About!$A$79:$A$82,0),1)</f>
        <v>2567015</v>
      </c>
      <c r="S560" s="33">
        <f>SUMIFS(INDEX(Load,,MATCH('Summarized Source Data'!$C560,Hour,0)),Month,'Summarized Source Data'!$A560,Sector,'Summarized Source Data'!S$2,TimeOfWeek,$E560)*INDEX(About!O$79:O$82,MATCH($B560,About!$A$79:$A$82,0),1)</f>
        <v>2567015</v>
      </c>
      <c r="T560" s="33">
        <f>SUMIFS(INDEX(Load,,MATCH('Summarized Source Data'!$C560,Hour,0)),Month,'Summarized Source Data'!$A560,Sector,'Summarized Source Data'!T$2,TimeOfWeek,$E560)*INDEX(About!P$79:P$82,MATCH($B560,About!$A$79:$A$82,0),1)</f>
        <v>2567015</v>
      </c>
      <c r="U560" s="33">
        <f>SUMIFS(INDEX(Load,,MATCH('Summarized Source Data'!$C560,Hour,0)),Month,'Summarized Source Data'!$A560,Sector,'Summarized Source Data'!U$2,TimeOfWeek,$E560)*INDEX(About!Q$79:Q$82,MATCH($B560,About!$A$79:$A$82,0),1)</f>
        <v>2567015</v>
      </c>
      <c r="V560" s="33">
        <f>SUMIFS(INDEX(Load,,MATCH('Summarized Source Data'!$C560,Hour,0)),Month,'Summarized Source Data'!$A560,Sector,'Summarized Source Data'!V$2,TimeOfWeek,$E560)*INDEX(About!R$79:R$82,MATCH($B560,About!$A$79:$A$82,0),1)</f>
        <v>2567015</v>
      </c>
      <c r="W560" s="33">
        <f>SUMIFS(INDEX(Load,,MATCH('Summarized Source Data'!$C560,Hour,0)),Month,'Summarized Source Data'!$A560,Sector,'Summarized Source Data'!W$2,TimeOfWeek,$E560)*INDEX(About!S$79:S$82,MATCH($B560,About!$A$79:$A$82,0),1)</f>
        <v>2567015</v>
      </c>
      <c r="X560" s="27">
        <f>SUMIFS(INDEX(Load,,MATCH('Summarized Source Data'!$C560,Hour,0)),Month,'Summarized Source Data'!$A560,Sector,'Summarized Source Data'!X$2,Subsector,'Summarized Source Data'!X$3,TimeOfWeek,$E560)*INDEX(About!T$79:T$82,MATCH($B560,About!$A$79:$A$82,0),1)</f>
        <v>325000000</v>
      </c>
      <c r="Y560" s="29">
        <f t="shared" si="48"/>
        <v>325000000</v>
      </c>
      <c r="Z560" s="29">
        <f t="shared" si="48"/>
        <v>325000000</v>
      </c>
    </row>
    <row r="561" spans="1:26" x14ac:dyDescent="0.3">
      <c r="A561">
        <f t="shared" si="47"/>
        <v>12</v>
      </c>
      <c r="B561" t="str">
        <f>INDEX('Category Mapping'!$G$28:$G$39,MATCH(A561,'Category Mapping'!$A$28:$A$39,0),1)</f>
        <v>Winter</v>
      </c>
      <c r="C561" t="s">
        <v>68</v>
      </c>
      <c r="D561" s="6" t="s">
        <v>143</v>
      </c>
      <c r="E561" s="46" t="s">
        <v>48</v>
      </c>
      <c r="F561" s="27">
        <f>SUMIFS(INDEX(Load,,MATCH('Summarized Source Data'!$C561,Hour,0)),Month,'Summarized Source Data'!$A561,Sector,'Summarized Source Data'!F$2,Subsector,'Summarized Source Data'!F$3,TimeOfWeek,$E561)*INDEX(About!B$79:B$82,MATCH($B561,About!$A$79:$A$82,0),1)</f>
        <v>10100000</v>
      </c>
      <c r="G561" s="27">
        <f>SUMIFS(INDEX(Load,,MATCH('Summarized Source Data'!$C561,Hour,0)),Month,'Summarized Source Data'!$A561,Sector,'Summarized Source Data'!G$2,Subsector,'Summarized Source Data'!G$3,TimeOfWeek,$E561)*INDEX(About!C$79:C$82,MATCH($B561,About!$A$79:$A$82,0),1)</f>
        <v>8716</v>
      </c>
      <c r="H561" s="27">
        <f>SUMIFS(INDEX(Load,,MATCH('Summarized Source Data'!$C561,Hour,0)),Month,'Summarized Source Data'!$A561,Sector,'Summarized Source Data'!H$2,Subsector,'Summarized Source Data'!H$3,TimeOfWeek,$E561)*INDEX(About!D$79:D$82,MATCH($B561,About!$A$79:$A$82,0),1)</f>
        <v>0</v>
      </c>
      <c r="I561" s="27">
        <f>SUMIFS(INDEX(Load,,MATCH('Summarized Source Data'!$C561,Hour,0)),Month,'Summarized Source Data'!$A561,Sector,'Summarized Source Data'!I$2,Subsector,'Summarized Source Data'!I$3,TimeOfWeek,$E561)*INDEX(About!E$79:E$82,MATCH($B561,About!$A$79:$A$82,0),1)</f>
        <v>7970625</v>
      </c>
      <c r="J561" s="54">
        <f t="shared" si="43"/>
        <v>22820659</v>
      </c>
      <c r="K561" s="27">
        <f>(SUMIFS(INDEX(Load,,MATCH('Summarized Source Data'!$C561,Hour,0)),Month,'Summarized Source Data'!$A561,Sector,'Summarized Source Data'!K$2,Subsector,"Total",TimeOfWeek,$E561)-SUM(F561:I561))*INDEX(About!G$79:G$82,MATCH($B561,About!$A$79:$A$82,0),1)</f>
        <v>22820659</v>
      </c>
      <c r="L561" s="27">
        <f>SUMIFS(INDEX(Load,,MATCH('Summarized Source Data'!$C561,Hour,0)),Month,'Summarized Source Data'!$A561,Sector,'Summarized Source Data'!L$2,Subsector,'Summarized Source Data'!L$3,TimeOfWeek,$E561)*INDEX(About!H$79:H$82,MATCH($B561,About!$A$79:$A$82,0),1)</f>
        <v>10200000</v>
      </c>
      <c r="M561" s="27">
        <f>SUMIFS(INDEX(Load,,MATCH('Summarized Source Data'!$C561,Hour,0)),Month,'Summarized Source Data'!$A561,Sector,'Summarized Source Data'!M$2,Subsector,'Summarized Source Data'!M$3,TimeOfWeek,$E561)*INDEX(About!I$79:I$82,MATCH($B561,About!$A$79:$A$82,0),1)</f>
        <v>25274</v>
      </c>
      <c r="N561" s="27">
        <f>SUMIFS(INDEX(Load,,MATCH('Summarized Source Data'!$C561,Hour,0)),Month,'Summarized Source Data'!$A561,Sector,'Summarized Source Data'!N$2,Subsector,'Summarized Source Data'!N$3,TimeOfWeek,$E561)*INDEX(About!J$79:J$82,MATCH($B561,About!$A$79:$A$82,0),1)</f>
        <v>0</v>
      </c>
      <c r="O561" s="29">
        <f t="shared" si="44"/>
        <v>74474726</v>
      </c>
      <c r="P561" s="27">
        <f>(SUMIFS(INDEX(Load,,MATCH('Summarized Source Data'!$C561,Hour,0)),Month,'Summarized Source Data'!$A561,Sector,'Summarized Source Data'!P$2,Subsector,"Total",TimeOfWeek,$E561)-SUM(L561:N561)*INDEX(About!L$79:L$82,MATCH($B561,About!$A$79:$A$82,0),1))</f>
        <v>74474726</v>
      </c>
      <c r="Q561" s="29">
        <f t="shared" si="45"/>
        <v>74474726</v>
      </c>
      <c r="R561" s="33">
        <f>SUMIFS(INDEX(Load,,MATCH('Summarized Source Data'!$C561,Hour,0)),Month,'Summarized Source Data'!$A561,Sector,'Summarized Source Data'!R$2,TimeOfWeek,$E561)*INDEX(About!N$79:N$82,MATCH($B561,About!$A$79:$A$82,0),1)</f>
        <v>2584582</v>
      </c>
      <c r="S561" s="33">
        <f>SUMIFS(INDEX(Load,,MATCH('Summarized Source Data'!$C561,Hour,0)),Month,'Summarized Source Data'!$A561,Sector,'Summarized Source Data'!S$2,TimeOfWeek,$E561)*INDEX(About!O$79:O$82,MATCH($B561,About!$A$79:$A$82,0),1)</f>
        <v>2584582</v>
      </c>
      <c r="T561" s="33">
        <f>SUMIFS(INDEX(Load,,MATCH('Summarized Source Data'!$C561,Hour,0)),Month,'Summarized Source Data'!$A561,Sector,'Summarized Source Data'!T$2,TimeOfWeek,$E561)*INDEX(About!P$79:P$82,MATCH($B561,About!$A$79:$A$82,0),1)</f>
        <v>2584582</v>
      </c>
      <c r="U561" s="33">
        <f>SUMIFS(INDEX(Load,,MATCH('Summarized Source Data'!$C561,Hour,0)),Month,'Summarized Source Data'!$A561,Sector,'Summarized Source Data'!U$2,TimeOfWeek,$E561)*INDEX(About!Q$79:Q$82,MATCH($B561,About!$A$79:$A$82,0),1)</f>
        <v>2584582</v>
      </c>
      <c r="V561" s="33">
        <f>SUMIFS(INDEX(Load,,MATCH('Summarized Source Data'!$C561,Hour,0)),Month,'Summarized Source Data'!$A561,Sector,'Summarized Source Data'!V$2,TimeOfWeek,$E561)*INDEX(About!R$79:R$82,MATCH($B561,About!$A$79:$A$82,0),1)</f>
        <v>2584582</v>
      </c>
      <c r="W561" s="33">
        <f>SUMIFS(INDEX(Load,,MATCH('Summarized Source Data'!$C561,Hour,0)),Month,'Summarized Source Data'!$A561,Sector,'Summarized Source Data'!W$2,TimeOfWeek,$E561)*INDEX(About!S$79:S$82,MATCH($B561,About!$A$79:$A$82,0),1)</f>
        <v>2584582</v>
      </c>
      <c r="X561" s="27">
        <f>SUMIFS(INDEX(Load,,MATCH('Summarized Source Data'!$C561,Hour,0)),Month,'Summarized Source Data'!$A561,Sector,'Summarized Source Data'!X$2,Subsector,'Summarized Source Data'!X$3,TimeOfWeek,$E561)*INDEX(About!T$79:T$82,MATCH($B561,About!$A$79:$A$82,0),1)</f>
        <v>328000000</v>
      </c>
      <c r="Y561" s="29">
        <f t="shared" si="48"/>
        <v>328000000</v>
      </c>
      <c r="Z561" s="29">
        <f t="shared" si="48"/>
        <v>328000000</v>
      </c>
    </row>
    <row r="562" spans="1:26" x14ac:dyDescent="0.3">
      <c r="A562">
        <f t="shared" si="47"/>
        <v>12</v>
      </c>
      <c r="B562" t="str">
        <f>INDEX('Category Mapping'!$G$28:$G$39,MATCH(A562,'Category Mapping'!$A$28:$A$39,0),1)</f>
        <v>Winter</v>
      </c>
      <c r="C562" t="s">
        <v>69</v>
      </c>
      <c r="D562" s="6" t="s">
        <v>144</v>
      </c>
      <c r="E562" s="46" t="s">
        <v>48</v>
      </c>
      <c r="F562" s="27">
        <f>SUMIFS(INDEX(Load,,MATCH('Summarized Source Data'!$C562,Hour,0)),Month,'Summarized Source Data'!$A562,Sector,'Summarized Source Data'!F$2,Subsector,'Summarized Source Data'!F$3,TimeOfWeek,$E562)*INDEX(About!B$79:B$82,MATCH($B562,About!$A$79:$A$82,0),1)</f>
        <v>10700000</v>
      </c>
      <c r="G562" s="27">
        <f>SUMIFS(INDEX(Load,,MATCH('Summarized Source Data'!$C562,Hour,0)),Month,'Summarized Source Data'!$A562,Sector,'Summarized Source Data'!G$2,Subsector,'Summarized Source Data'!G$3,TimeOfWeek,$E562)*INDEX(About!C$79:C$82,MATCH($B562,About!$A$79:$A$82,0),1)</f>
        <v>8367</v>
      </c>
      <c r="H562" s="27">
        <f>SUMIFS(INDEX(Load,,MATCH('Summarized Source Data'!$C562,Hour,0)),Month,'Summarized Source Data'!$A562,Sector,'Summarized Source Data'!H$2,Subsector,'Summarized Source Data'!H$3,TimeOfWeek,$E562)*INDEX(About!D$79:D$82,MATCH($B562,About!$A$79:$A$82,0),1)</f>
        <v>0</v>
      </c>
      <c r="I562" s="27">
        <f>SUMIFS(INDEX(Load,,MATCH('Summarized Source Data'!$C562,Hour,0)),Month,'Summarized Source Data'!$A562,Sector,'Summarized Source Data'!I$2,Subsector,'Summarized Source Data'!I$3,TimeOfWeek,$E562)*INDEX(About!E$79:E$82,MATCH($B562,About!$A$79:$A$82,0),1)</f>
        <v>13800000</v>
      </c>
      <c r="J562" s="54">
        <f t="shared" si="43"/>
        <v>33491633</v>
      </c>
      <c r="K562" s="27">
        <f>(SUMIFS(INDEX(Load,,MATCH('Summarized Source Data'!$C562,Hour,0)),Month,'Summarized Source Data'!$A562,Sector,'Summarized Source Data'!K$2,Subsector,"Total",TimeOfWeek,$E562)-SUM(F562:I562))*INDEX(About!G$79:G$82,MATCH($B562,About!$A$79:$A$82,0),1)</f>
        <v>33491633</v>
      </c>
      <c r="L562" s="27">
        <f>SUMIFS(INDEX(Load,,MATCH('Summarized Source Data'!$C562,Hour,0)),Month,'Summarized Source Data'!$A562,Sector,'Summarized Source Data'!L$2,Subsector,'Summarized Source Data'!L$3,TimeOfWeek,$E562)*INDEX(About!H$79:H$82,MATCH($B562,About!$A$79:$A$82,0),1)</f>
        <v>12400000</v>
      </c>
      <c r="M562" s="27">
        <f>SUMIFS(INDEX(Load,,MATCH('Summarized Source Data'!$C562,Hour,0)),Month,'Summarized Source Data'!$A562,Sector,'Summarized Source Data'!M$2,Subsector,'Summarized Source Data'!M$3,TimeOfWeek,$E562)*INDEX(About!I$79:I$82,MATCH($B562,About!$A$79:$A$82,0),1)</f>
        <v>26250</v>
      </c>
      <c r="N562" s="27">
        <f>SUMIFS(INDEX(Load,,MATCH('Summarized Source Data'!$C562,Hour,0)),Month,'Summarized Source Data'!$A562,Sector,'Summarized Source Data'!N$2,Subsector,'Summarized Source Data'!N$3,TimeOfWeek,$E562)*INDEX(About!J$79:J$82,MATCH($B562,About!$A$79:$A$82,0),1)</f>
        <v>0</v>
      </c>
      <c r="O562" s="29">
        <f t="shared" si="44"/>
        <v>83473750</v>
      </c>
      <c r="P562" s="27">
        <f>(SUMIFS(INDEX(Load,,MATCH('Summarized Source Data'!$C562,Hour,0)),Month,'Summarized Source Data'!$A562,Sector,'Summarized Source Data'!P$2,Subsector,"Total",TimeOfWeek,$E562)-SUM(L562:N562)*INDEX(About!L$79:L$82,MATCH($B562,About!$A$79:$A$82,0),1))</f>
        <v>83473750</v>
      </c>
      <c r="Q562" s="29">
        <f t="shared" si="45"/>
        <v>83473750</v>
      </c>
      <c r="R562" s="33">
        <f>SUMIFS(INDEX(Load,,MATCH('Summarized Source Data'!$C562,Hour,0)),Month,'Summarized Source Data'!$A562,Sector,'Summarized Source Data'!R$2,TimeOfWeek,$E562)*INDEX(About!N$79:N$82,MATCH($B562,About!$A$79:$A$82,0),1)</f>
        <v>3203697</v>
      </c>
      <c r="S562" s="33">
        <f>SUMIFS(INDEX(Load,,MATCH('Summarized Source Data'!$C562,Hour,0)),Month,'Summarized Source Data'!$A562,Sector,'Summarized Source Data'!S$2,TimeOfWeek,$E562)*INDEX(About!O$79:O$82,MATCH($B562,About!$A$79:$A$82,0),1)</f>
        <v>3203697</v>
      </c>
      <c r="T562" s="33">
        <f>SUMIFS(INDEX(Load,,MATCH('Summarized Source Data'!$C562,Hour,0)),Month,'Summarized Source Data'!$A562,Sector,'Summarized Source Data'!T$2,TimeOfWeek,$E562)*INDEX(About!P$79:P$82,MATCH($B562,About!$A$79:$A$82,0),1)</f>
        <v>3203697</v>
      </c>
      <c r="U562" s="33">
        <f>SUMIFS(INDEX(Load,,MATCH('Summarized Source Data'!$C562,Hour,0)),Month,'Summarized Source Data'!$A562,Sector,'Summarized Source Data'!U$2,TimeOfWeek,$E562)*INDEX(About!Q$79:Q$82,MATCH($B562,About!$A$79:$A$82,0),1)</f>
        <v>3203697</v>
      </c>
      <c r="V562" s="33">
        <f>SUMIFS(INDEX(Load,,MATCH('Summarized Source Data'!$C562,Hour,0)),Month,'Summarized Source Data'!$A562,Sector,'Summarized Source Data'!V$2,TimeOfWeek,$E562)*INDEX(About!R$79:R$82,MATCH($B562,About!$A$79:$A$82,0),1)</f>
        <v>3203697</v>
      </c>
      <c r="W562" s="33">
        <f>SUMIFS(INDEX(Load,,MATCH('Summarized Source Data'!$C562,Hour,0)),Month,'Summarized Source Data'!$A562,Sector,'Summarized Source Data'!W$2,TimeOfWeek,$E562)*INDEX(About!S$79:S$82,MATCH($B562,About!$A$79:$A$82,0),1)</f>
        <v>3203697</v>
      </c>
      <c r="X562" s="27">
        <f>SUMIFS(INDEX(Load,,MATCH('Summarized Source Data'!$C562,Hour,0)),Month,'Summarized Source Data'!$A562,Sector,'Summarized Source Data'!X$2,Subsector,'Summarized Source Data'!X$3,TimeOfWeek,$E562)*INDEX(About!T$79:T$82,MATCH($B562,About!$A$79:$A$82,0),1)</f>
        <v>329000000</v>
      </c>
      <c r="Y562" s="29">
        <f t="shared" si="48"/>
        <v>329000000</v>
      </c>
      <c r="Z562" s="29">
        <f t="shared" si="48"/>
        <v>329000000</v>
      </c>
    </row>
    <row r="563" spans="1:26" x14ac:dyDescent="0.3">
      <c r="A563">
        <f t="shared" si="47"/>
        <v>12</v>
      </c>
      <c r="B563" t="str">
        <f>INDEX('Category Mapping'!$G$28:$G$39,MATCH(A563,'Category Mapping'!$A$28:$A$39,0),1)</f>
        <v>Winter</v>
      </c>
      <c r="C563" t="s">
        <v>70</v>
      </c>
      <c r="D563" s="6" t="s">
        <v>145</v>
      </c>
      <c r="E563" s="46" t="s">
        <v>48</v>
      </c>
      <c r="F563" s="27">
        <f>SUMIFS(INDEX(Load,,MATCH('Summarized Source Data'!$C563,Hour,0)),Month,'Summarized Source Data'!$A563,Sector,'Summarized Source Data'!F$2,Subsector,'Summarized Source Data'!F$3,TimeOfWeek,$E563)*INDEX(About!B$79:B$82,MATCH($B563,About!$A$79:$A$82,0),1)</f>
        <v>11400000</v>
      </c>
      <c r="G563" s="27">
        <f>SUMIFS(INDEX(Load,,MATCH('Summarized Source Data'!$C563,Hour,0)),Month,'Summarized Source Data'!$A563,Sector,'Summarized Source Data'!G$2,Subsector,'Summarized Source Data'!G$3,TimeOfWeek,$E563)*INDEX(About!C$79:C$82,MATCH($B563,About!$A$79:$A$82,0),1)</f>
        <v>7778</v>
      </c>
      <c r="H563" s="27">
        <f>SUMIFS(INDEX(Load,,MATCH('Summarized Source Data'!$C563,Hour,0)),Month,'Summarized Source Data'!$A563,Sector,'Summarized Source Data'!H$2,Subsector,'Summarized Source Data'!H$3,TimeOfWeek,$E563)*INDEX(About!D$79:D$82,MATCH($B563,About!$A$79:$A$82,0),1)</f>
        <v>0</v>
      </c>
      <c r="I563" s="27">
        <f>SUMIFS(INDEX(Load,,MATCH('Summarized Source Data'!$C563,Hour,0)),Month,'Summarized Source Data'!$A563,Sector,'Summarized Source Data'!I$2,Subsector,'Summarized Source Data'!I$3,TimeOfWeek,$E563)*INDEX(About!E$79:E$82,MATCH($B563,About!$A$79:$A$82,0),1)</f>
        <v>21200000</v>
      </c>
      <c r="J563" s="54">
        <f t="shared" si="43"/>
        <v>47892222</v>
      </c>
      <c r="K563" s="27">
        <f>(SUMIFS(INDEX(Load,,MATCH('Summarized Source Data'!$C563,Hour,0)),Month,'Summarized Source Data'!$A563,Sector,'Summarized Source Data'!K$2,Subsector,"Total",TimeOfWeek,$E563)-SUM(F563:I563))*INDEX(About!G$79:G$82,MATCH($B563,About!$A$79:$A$82,0),1)</f>
        <v>47892222</v>
      </c>
      <c r="L563" s="27">
        <f>SUMIFS(INDEX(Load,,MATCH('Summarized Source Data'!$C563,Hour,0)),Month,'Summarized Source Data'!$A563,Sector,'Summarized Source Data'!L$2,Subsector,'Summarized Source Data'!L$3,TimeOfWeek,$E563)*INDEX(About!H$79:H$82,MATCH($B563,About!$A$79:$A$82,0),1)</f>
        <v>26300000</v>
      </c>
      <c r="M563" s="27">
        <f>SUMIFS(INDEX(Load,,MATCH('Summarized Source Data'!$C563,Hour,0)),Month,'Summarized Source Data'!$A563,Sector,'Summarized Source Data'!M$2,Subsector,'Summarized Source Data'!M$3,TimeOfWeek,$E563)*INDEX(About!I$79:I$82,MATCH($B563,About!$A$79:$A$82,0),1)</f>
        <v>28176</v>
      </c>
      <c r="N563" s="27">
        <f>SUMIFS(INDEX(Load,,MATCH('Summarized Source Data'!$C563,Hour,0)),Month,'Summarized Source Data'!$A563,Sector,'Summarized Source Data'!N$2,Subsector,'Summarized Source Data'!N$3,TimeOfWeek,$E563)*INDEX(About!J$79:J$82,MATCH($B563,About!$A$79:$A$82,0),1)</f>
        <v>0</v>
      </c>
      <c r="O563" s="29">
        <f t="shared" si="44"/>
        <v>105671824</v>
      </c>
      <c r="P563" s="27">
        <f>(SUMIFS(INDEX(Load,,MATCH('Summarized Source Data'!$C563,Hour,0)),Month,'Summarized Source Data'!$A563,Sector,'Summarized Source Data'!P$2,Subsector,"Total",TimeOfWeek,$E563)-SUM(L563:N563)*INDEX(About!L$79:L$82,MATCH($B563,About!$A$79:$A$82,0),1))</f>
        <v>105671824</v>
      </c>
      <c r="Q563" s="29">
        <f t="shared" si="45"/>
        <v>105671824</v>
      </c>
      <c r="R563" s="33">
        <f>SUMIFS(INDEX(Load,,MATCH('Summarized Source Data'!$C563,Hour,0)),Month,'Summarized Source Data'!$A563,Sector,'Summarized Source Data'!R$2,TimeOfWeek,$E563)*INDEX(About!N$79:N$82,MATCH($B563,About!$A$79:$A$82,0),1)</f>
        <v>4168085</v>
      </c>
      <c r="S563" s="33">
        <f>SUMIFS(INDEX(Load,,MATCH('Summarized Source Data'!$C563,Hour,0)),Month,'Summarized Source Data'!$A563,Sector,'Summarized Source Data'!S$2,TimeOfWeek,$E563)*INDEX(About!O$79:O$82,MATCH($B563,About!$A$79:$A$82,0),1)</f>
        <v>4168085</v>
      </c>
      <c r="T563" s="33">
        <f>SUMIFS(INDEX(Load,,MATCH('Summarized Source Data'!$C563,Hour,0)),Month,'Summarized Source Data'!$A563,Sector,'Summarized Source Data'!T$2,TimeOfWeek,$E563)*INDEX(About!P$79:P$82,MATCH($B563,About!$A$79:$A$82,0),1)</f>
        <v>4168085</v>
      </c>
      <c r="U563" s="33">
        <f>SUMIFS(INDEX(Load,,MATCH('Summarized Source Data'!$C563,Hour,0)),Month,'Summarized Source Data'!$A563,Sector,'Summarized Source Data'!U$2,TimeOfWeek,$E563)*INDEX(About!Q$79:Q$82,MATCH($B563,About!$A$79:$A$82,0),1)</f>
        <v>4168085</v>
      </c>
      <c r="V563" s="33">
        <f>SUMIFS(INDEX(Load,,MATCH('Summarized Source Data'!$C563,Hour,0)),Month,'Summarized Source Data'!$A563,Sector,'Summarized Source Data'!V$2,TimeOfWeek,$E563)*INDEX(About!R$79:R$82,MATCH($B563,About!$A$79:$A$82,0),1)</f>
        <v>4168085</v>
      </c>
      <c r="W563" s="33">
        <f>SUMIFS(INDEX(Load,,MATCH('Summarized Source Data'!$C563,Hour,0)),Month,'Summarized Source Data'!$A563,Sector,'Summarized Source Data'!W$2,TimeOfWeek,$E563)*INDEX(About!S$79:S$82,MATCH($B563,About!$A$79:$A$82,0),1)</f>
        <v>4168085</v>
      </c>
      <c r="X563" s="27">
        <f>SUMIFS(INDEX(Load,,MATCH('Summarized Source Data'!$C563,Hour,0)),Month,'Summarized Source Data'!$A563,Sector,'Summarized Source Data'!X$2,Subsector,'Summarized Source Data'!X$3,TimeOfWeek,$E563)*INDEX(About!T$79:T$82,MATCH($B563,About!$A$79:$A$82,0),1)</f>
        <v>330000000</v>
      </c>
      <c r="Y563" s="29">
        <f t="shared" si="48"/>
        <v>330000000</v>
      </c>
      <c r="Z563" s="29">
        <f t="shared" si="48"/>
        <v>330000000</v>
      </c>
    </row>
    <row r="564" spans="1:26" x14ac:dyDescent="0.3">
      <c r="A564">
        <f t="shared" si="47"/>
        <v>12</v>
      </c>
      <c r="B564" t="str">
        <f>INDEX('Category Mapping'!$G$28:$G$39,MATCH(A564,'Category Mapping'!$A$28:$A$39,0),1)</f>
        <v>Winter</v>
      </c>
      <c r="C564" t="s">
        <v>71</v>
      </c>
      <c r="D564" s="6" t="s">
        <v>146</v>
      </c>
      <c r="E564" s="46" t="s">
        <v>48</v>
      </c>
      <c r="F564" s="27">
        <f>SUMIFS(INDEX(Load,,MATCH('Summarized Source Data'!$C564,Hour,0)),Month,'Summarized Source Data'!$A564,Sector,'Summarized Source Data'!F$2,Subsector,'Summarized Source Data'!F$3,TimeOfWeek,$E564)*INDEX(About!B$79:B$82,MATCH($B564,About!$A$79:$A$82,0),1)</f>
        <v>11800000</v>
      </c>
      <c r="G564" s="27">
        <f>SUMIFS(INDEX(Load,,MATCH('Summarized Source Data'!$C564,Hour,0)),Month,'Summarized Source Data'!$A564,Sector,'Summarized Source Data'!G$2,Subsector,'Summarized Source Data'!G$3,TimeOfWeek,$E564)*INDEX(About!C$79:C$82,MATCH($B564,About!$A$79:$A$82,0),1)</f>
        <v>6957</v>
      </c>
      <c r="H564" s="27">
        <f>SUMIFS(INDEX(Load,,MATCH('Summarized Source Data'!$C564,Hour,0)),Month,'Summarized Source Data'!$A564,Sector,'Summarized Source Data'!H$2,Subsector,'Summarized Source Data'!H$3,TimeOfWeek,$E564)*INDEX(About!D$79:D$82,MATCH($B564,About!$A$79:$A$82,0),1)</f>
        <v>0</v>
      </c>
      <c r="I564" s="27">
        <f>SUMIFS(INDEX(Load,,MATCH('Summarized Source Data'!$C564,Hour,0)),Month,'Summarized Source Data'!$A564,Sector,'Summarized Source Data'!I$2,Subsector,'Summarized Source Data'!I$3,TimeOfWeek,$E564)*INDEX(About!E$79:E$82,MATCH($B564,About!$A$79:$A$82,0),1)</f>
        <v>7767437</v>
      </c>
      <c r="J564" s="54">
        <f t="shared" si="43"/>
        <v>59925606</v>
      </c>
      <c r="K564" s="27">
        <f>(SUMIFS(INDEX(Load,,MATCH('Summarized Source Data'!$C564,Hour,0)),Month,'Summarized Source Data'!$A564,Sector,'Summarized Source Data'!K$2,Subsector,"Total",TimeOfWeek,$E564)-SUM(F564:I564))*INDEX(About!G$79:G$82,MATCH($B564,About!$A$79:$A$82,0),1)</f>
        <v>59925606</v>
      </c>
      <c r="L564" s="27">
        <f>SUMIFS(INDEX(Load,,MATCH('Summarized Source Data'!$C564,Hour,0)),Month,'Summarized Source Data'!$A564,Sector,'Summarized Source Data'!L$2,Subsector,'Summarized Source Data'!L$3,TimeOfWeek,$E564)*INDEX(About!H$79:H$82,MATCH($B564,About!$A$79:$A$82,0),1)</f>
        <v>32800000</v>
      </c>
      <c r="M564" s="27">
        <f>SUMIFS(INDEX(Load,,MATCH('Summarized Source Data'!$C564,Hour,0)),Month,'Summarized Source Data'!$A564,Sector,'Summarized Source Data'!M$2,Subsector,'Summarized Source Data'!M$3,TimeOfWeek,$E564)*INDEX(About!I$79:I$82,MATCH($B564,About!$A$79:$A$82,0),1)</f>
        <v>31006</v>
      </c>
      <c r="N564" s="27">
        <f>SUMIFS(INDEX(Load,,MATCH('Summarized Source Data'!$C564,Hour,0)),Month,'Summarized Source Data'!$A564,Sector,'Summarized Source Data'!N$2,Subsector,'Summarized Source Data'!N$3,TimeOfWeek,$E564)*INDEX(About!J$79:J$82,MATCH($B564,About!$A$79:$A$82,0),1)</f>
        <v>0</v>
      </c>
      <c r="O564" s="29">
        <f t="shared" si="44"/>
        <v>120168994</v>
      </c>
      <c r="P564" s="27">
        <f>(SUMIFS(INDEX(Load,,MATCH('Summarized Source Data'!$C564,Hour,0)),Month,'Summarized Source Data'!$A564,Sector,'Summarized Source Data'!P$2,Subsector,"Total",TimeOfWeek,$E564)-SUM(L564:N564)*INDEX(About!L$79:L$82,MATCH($B564,About!$A$79:$A$82,0),1))</f>
        <v>120168994</v>
      </c>
      <c r="Q564" s="29">
        <f t="shared" si="45"/>
        <v>120168994</v>
      </c>
      <c r="R564" s="33">
        <f>SUMIFS(INDEX(Load,,MATCH('Summarized Source Data'!$C564,Hour,0)),Month,'Summarized Source Data'!$A564,Sector,'Summarized Source Data'!R$2,TimeOfWeek,$E564)*INDEX(About!N$79:N$82,MATCH($B564,About!$A$79:$A$82,0),1)</f>
        <v>4972466</v>
      </c>
      <c r="S564" s="33">
        <f>SUMIFS(INDEX(Load,,MATCH('Summarized Source Data'!$C564,Hour,0)),Month,'Summarized Source Data'!$A564,Sector,'Summarized Source Data'!S$2,TimeOfWeek,$E564)*INDEX(About!O$79:O$82,MATCH($B564,About!$A$79:$A$82,0),1)</f>
        <v>4972466</v>
      </c>
      <c r="T564" s="33">
        <f>SUMIFS(INDEX(Load,,MATCH('Summarized Source Data'!$C564,Hour,0)),Month,'Summarized Source Data'!$A564,Sector,'Summarized Source Data'!T$2,TimeOfWeek,$E564)*INDEX(About!P$79:P$82,MATCH($B564,About!$A$79:$A$82,0),1)</f>
        <v>4972466</v>
      </c>
      <c r="U564" s="33">
        <f>SUMIFS(INDEX(Load,,MATCH('Summarized Source Data'!$C564,Hour,0)),Month,'Summarized Source Data'!$A564,Sector,'Summarized Source Data'!U$2,TimeOfWeek,$E564)*INDEX(About!Q$79:Q$82,MATCH($B564,About!$A$79:$A$82,0),1)</f>
        <v>4972466</v>
      </c>
      <c r="V564" s="33">
        <f>SUMIFS(INDEX(Load,,MATCH('Summarized Source Data'!$C564,Hour,0)),Month,'Summarized Source Data'!$A564,Sector,'Summarized Source Data'!V$2,TimeOfWeek,$E564)*INDEX(About!R$79:R$82,MATCH($B564,About!$A$79:$A$82,0),1)</f>
        <v>4972466</v>
      </c>
      <c r="W564" s="33">
        <f>SUMIFS(INDEX(Load,,MATCH('Summarized Source Data'!$C564,Hour,0)),Month,'Summarized Source Data'!$A564,Sector,'Summarized Source Data'!W$2,TimeOfWeek,$E564)*INDEX(About!S$79:S$82,MATCH($B564,About!$A$79:$A$82,0),1)</f>
        <v>4972466</v>
      </c>
      <c r="X564" s="27">
        <f>SUMIFS(INDEX(Load,,MATCH('Summarized Source Data'!$C564,Hour,0)),Month,'Summarized Source Data'!$A564,Sector,'Summarized Source Data'!X$2,Subsector,'Summarized Source Data'!X$3,TimeOfWeek,$E564)*INDEX(About!T$79:T$82,MATCH($B564,About!$A$79:$A$82,0),1)</f>
        <v>329000000</v>
      </c>
      <c r="Y564" s="29">
        <f t="shared" si="48"/>
        <v>329000000</v>
      </c>
      <c r="Z564" s="29">
        <f t="shared" si="48"/>
        <v>329000000</v>
      </c>
    </row>
    <row r="565" spans="1:26" x14ac:dyDescent="0.3">
      <c r="A565">
        <f t="shared" si="47"/>
        <v>12</v>
      </c>
      <c r="B565" t="str">
        <f>INDEX('Category Mapping'!$G$28:$G$39,MATCH(A565,'Category Mapping'!$A$28:$A$39,0),1)</f>
        <v>Winter</v>
      </c>
      <c r="C565" t="s">
        <v>72</v>
      </c>
      <c r="D565" s="6" t="s">
        <v>147</v>
      </c>
      <c r="E565" s="46" t="s">
        <v>48</v>
      </c>
      <c r="F565" s="27">
        <f>SUMIFS(INDEX(Load,,MATCH('Summarized Source Data'!$C565,Hour,0)),Month,'Summarized Source Data'!$A565,Sector,'Summarized Source Data'!F$2,Subsector,'Summarized Source Data'!F$3,TimeOfWeek,$E565)*INDEX(About!B$79:B$82,MATCH($B565,About!$A$79:$A$82,0),1)</f>
        <v>11500000</v>
      </c>
      <c r="G565" s="27">
        <f>SUMIFS(INDEX(Load,,MATCH('Summarized Source Data'!$C565,Hour,0)),Month,'Summarized Source Data'!$A565,Sector,'Summarized Source Data'!G$2,Subsector,'Summarized Source Data'!G$3,TimeOfWeek,$E565)*INDEX(About!C$79:C$82,MATCH($B565,About!$A$79:$A$82,0),1)</f>
        <v>6064</v>
      </c>
      <c r="H565" s="27">
        <f>SUMIFS(INDEX(Load,,MATCH('Summarized Source Data'!$C565,Hour,0)),Month,'Summarized Source Data'!$A565,Sector,'Summarized Source Data'!H$2,Subsector,'Summarized Source Data'!H$3,TimeOfWeek,$E565)*INDEX(About!D$79:D$82,MATCH($B565,About!$A$79:$A$82,0),1)</f>
        <v>0</v>
      </c>
      <c r="I565" s="27">
        <f>SUMIFS(INDEX(Load,,MATCH('Summarized Source Data'!$C565,Hour,0)),Month,'Summarized Source Data'!$A565,Sector,'Summarized Source Data'!I$2,Subsector,'Summarized Source Data'!I$3,TimeOfWeek,$E565)*INDEX(About!E$79:E$82,MATCH($B565,About!$A$79:$A$82,0),1)</f>
        <v>8048464</v>
      </c>
      <c r="J565" s="54">
        <f t="shared" si="43"/>
        <v>75845472</v>
      </c>
      <c r="K565" s="27">
        <f>(SUMIFS(INDEX(Load,,MATCH('Summarized Source Data'!$C565,Hour,0)),Month,'Summarized Source Data'!$A565,Sector,'Summarized Source Data'!K$2,Subsector,"Total",TimeOfWeek,$E565)-SUM(F565:I565))*INDEX(About!G$79:G$82,MATCH($B565,About!$A$79:$A$82,0),1)</f>
        <v>75845472</v>
      </c>
      <c r="L565" s="27">
        <f>SUMIFS(INDEX(Load,,MATCH('Summarized Source Data'!$C565,Hour,0)),Month,'Summarized Source Data'!$A565,Sector,'Summarized Source Data'!L$2,Subsector,'Summarized Source Data'!L$3,TimeOfWeek,$E565)*INDEX(About!H$79:H$82,MATCH($B565,About!$A$79:$A$82,0),1)</f>
        <v>26500000</v>
      </c>
      <c r="M565" s="27">
        <f>SUMIFS(INDEX(Load,,MATCH('Summarized Source Data'!$C565,Hour,0)),Month,'Summarized Source Data'!$A565,Sector,'Summarized Source Data'!M$2,Subsector,'Summarized Source Data'!M$3,TimeOfWeek,$E565)*INDEX(About!I$79:I$82,MATCH($B565,About!$A$79:$A$82,0),1)</f>
        <v>32814</v>
      </c>
      <c r="N565" s="27">
        <f>SUMIFS(INDEX(Load,,MATCH('Summarized Source Data'!$C565,Hour,0)),Month,'Summarized Source Data'!$A565,Sector,'Summarized Source Data'!N$2,Subsector,'Summarized Source Data'!N$3,TimeOfWeek,$E565)*INDEX(About!J$79:J$82,MATCH($B565,About!$A$79:$A$82,0),1)</f>
        <v>0</v>
      </c>
      <c r="O565" s="29">
        <f t="shared" si="44"/>
        <v>131467186</v>
      </c>
      <c r="P565" s="27">
        <f>(SUMIFS(INDEX(Load,,MATCH('Summarized Source Data'!$C565,Hour,0)),Month,'Summarized Source Data'!$A565,Sector,'Summarized Source Data'!P$2,Subsector,"Total",TimeOfWeek,$E565)-SUM(L565:N565)*INDEX(About!L$79:L$82,MATCH($B565,About!$A$79:$A$82,0),1))</f>
        <v>131467186</v>
      </c>
      <c r="Q565" s="29">
        <f t="shared" si="45"/>
        <v>131467186</v>
      </c>
      <c r="R565" s="33">
        <f>SUMIFS(INDEX(Load,,MATCH('Summarized Source Data'!$C565,Hour,0)),Month,'Summarized Source Data'!$A565,Sector,'Summarized Source Data'!R$2,TimeOfWeek,$E565)*INDEX(About!N$79:N$82,MATCH($B565,About!$A$79:$A$82,0),1)</f>
        <v>5632407</v>
      </c>
      <c r="S565" s="33">
        <f>SUMIFS(INDEX(Load,,MATCH('Summarized Source Data'!$C565,Hour,0)),Month,'Summarized Source Data'!$A565,Sector,'Summarized Source Data'!S$2,TimeOfWeek,$E565)*INDEX(About!O$79:O$82,MATCH($B565,About!$A$79:$A$82,0),1)</f>
        <v>5632407</v>
      </c>
      <c r="T565" s="33">
        <f>SUMIFS(INDEX(Load,,MATCH('Summarized Source Data'!$C565,Hour,0)),Month,'Summarized Source Data'!$A565,Sector,'Summarized Source Data'!T$2,TimeOfWeek,$E565)*INDEX(About!P$79:P$82,MATCH($B565,About!$A$79:$A$82,0),1)</f>
        <v>5632407</v>
      </c>
      <c r="U565" s="33">
        <f>SUMIFS(INDEX(Load,,MATCH('Summarized Source Data'!$C565,Hour,0)),Month,'Summarized Source Data'!$A565,Sector,'Summarized Source Data'!U$2,TimeOfWeek,$E565)*INDEX(About!Q$79:Q$82,MATCH($B565,About!$A$79:$A$82,0),1)</f>
        <v>5632407</v>
      </c>
      <c r="V565" s="33">
        <f>SUMIFS(INDEX(Load,,MATCH('Summarized Source Data'!$C565,Hour,0)),Month,'Summarized Source Data'!$A565,Sector,'Summarized Source Data'!V$2,TimeOfWeek,$E565)*INDEX(About!R$79:R$82,MATCH($B565,About!$A$79:$A$82,0),1)</f>
        <v>5632407</v>
      </c>
      <c r="W565" s="33">
        <f>SUMIFS(INDEX(Load,,MATCH('Summarized Source Data'!$C565,Hour,0)),Month,'Summarized Source Data'!$A565,Sector,'Summarized Source Data'!W$2,TimeOfWeek,$E565)*INDEX(About!S$79:S$82,MATCH($B565,About!$A$79:$A$82,0),1)</f>
        <v>5632407</v>
      </c>
      <c r="X565" s="27">
        <f>SUMIFS(INDEX(Load,,MATCH('Summarized Source Data'!$C565,Hour,0)),Month,'Summarized Source Data'!$A565,Sector,'Summarized Source Data'!X$2,Subsector,'Summarized Source Data'!X$3,TimeOfWeek,$E565)*INDEX(About!T$79:T$82,MATCH($B565,About!$A$79:$A$82,0),1)</f>
        <v>328000000</v>
      </c>
      <c r="Y565" s="29">
        <f t="shared" si="48"/>
        <v>328000000</v>
      </c>
      <c r="Z565" s="29">
        <f t="shared" si="48"/>
        <v>328000000</v>
      </c>
    </row>
    <row r="566" spans="1:26" x14ac:dyDescent="0.3">
      <c r="A566">
        <f t="shared" si="47"/>
        <v>12</v>
      </c>
      <c r="B566" t="str">
        <f>INDEX('Category Mapping'!$G$28:$G$39,MATCH(A566,'Category Mapping'!$A$28:$A$39,0),1)</f>
        <v>Winter</v>
      </c>
      <c r="C566" t="s">
        <v>73</v>
      </c>
      <c r="D566" s="6" t="s">
        <v>148</v>
      </c>
      <c r="E566" s="46" t="s">
        <v>48</v>
      </c>
      <c r="F566" s="27">
        <f>SUMIFS(INDEX(Load,,MATCH('Summarized Source Data'!$C566,Hour,0)),Month,'Summarized Source Data'!$A566,Sector,'Summarized Source Data'!F$2,Subsector,'Summarized Source Data'!F$3,TimeOfWeek,$E566)*INDEX(About!B$79:B$82,MATCH($B566,About!$A$79:$A$82,0),1)</f>
        <v>11100000</v>
      </c>
      <c r="G566" s="27">
        <f>SUMIFS(INDEX(Load,,MATCH('Summarized Source Data'!$C566,Hour,0)),Month,'Summarized Source Data'!$A566,Sector,'Summarized Source Data'!G$2,Subsector,'Summarized Source Data'!G$3,TimeOfWeek,$E566)*INDEX(About!C$79:C$82,MATCH($B566,About!$A$79:$A$82,0),1)</f>
        <v>5658</v>
      </c>
      <c r="H566" s="27">
        <f>SUMIFS(INDEX(Load,,MATCH('Summarized Source Data'!$C566,Hour,0)),Month,'Summarized Source Data'!$A566,Sector,'Summarized Source Data'!H$2,Subsector,'Summarized Source Data'!H$3,TimeOfWeek,$E566)*INDEX(About!D$79:D$82,MATCH($B566,About!$A$79:$A$82,0),1)</f>
        <v>0</v>
      </c>
      <c r="I566" s="27">
        <f>SUMIFS(INDEX(Load,,MATCH('Summarized Source Data'!$C566,Hour,0)),Month,'Summarized Source Data'!$A566,Sector,'Summarized Source Data'!I$2,Subsector,'Summarized Source Data'!I$3,TimeOfWeek,$E566)*INDEX(About!E$79:E$82,MATCH($B566,About!$A$79:$A$82,0),1)</f>
        <v>8096474</v>
      </c>
      <c r="J566" s="54">
        <f t="shared" si="43"/>
        <v>92797868</v>
      </c>
      <c r="K566" s="27">
        <f>(SUMIFS(INDEX(Load,,MATCH('Summarized Source Data'!$C566,Hour,0)),Month,'Summarized Source Data'!$A566,Sector,'Summarized Source Data'!K$2,Subsector,"Total",TimeOfWeek,$E566)-SUM(F566:I566))*INDEX(About!G$79:G$82,MATCH($B566,About!$A$79:$A$82,0),1)</f>
        <v>92797868</v>
      </c>
      <c r="L566" s="27">
        <f>SUMIFS(INDEX(Load,,MATCH('Summarized Source Data'!$C566,Hour,0)),Month,'Summarized Source Data'!$A566,Sector,'Summarized Source Data'!L$2,Subsector,'Summarized Source Data'!L$3,TimeOfWeek,$E566)*INDEX(About!H$79:H$82,MATCH($B566,About!$A$79:$A$82,0),1)</f>
        <v>22500000</v>
      </c>
      <c r="M566" s="27">
        <f>SUMIFS(INDEX(Load,,MATCH('Summarized Source Data'!$C566,Hour,0)),Month,'Summarized Source Data'!$A566,Sector,'Summarized Source Data'!M$2,Subsector,'Summarized Source Data'!M$3,TimeOfWeek,$E566)*INDEX(About!I$79:I$82,MATCH($B566,About!$A$79:$A$82,0),1)</f>
        <v>33753</v>
      </c>
      <c r="N566" s="27">
        <f>SUMIFS(INDEX(Load,,MATCH('Summarized Source Data'!$C566,Hour,0)),Month,'Summarized Source Data'!$A566,Sector,'Summarized Source Data'!N$2,Subsector,'Summarized Source Data'!N$3,TimeOfWeek,$E566)*INDEX(About!J$79:J$82,MATCH($B566,About!$A$79:$A$82,0),1)</f>
        <v>0</v>
      </c>
      <c r="O566" s="29">
        <f t="shared" si="44"/>
        <v>129466247</v>
      </c>
      <c r="P566" s="27">
        <f>(SUMIFS(INDEX(Load,,MATCH('Summarized Source Data'!$C566,Hour,0)),Month,'Summarized Source Data'!$A566,Sector,'Summarized Source Data'!P$2,Subsector,"Total",TimeOfWeek,$E566)-SUM(L566:N566)*INDEX(About!L$79:L$82,MATCH($B566,About!$A$79:$A$82,0),1))</f>
        <v>129466247</v>
      </c>
      <c r="Q566" s="29">
        <f t="shared" si="45"/>
        <v>129466247</v>
      </c>
      <c r="R566" s="33">
        <f>SUMIFS(INDEX(Load,,MATCH('Summarized Source Data'!$C566,Hour,0)),Month,'Summarized Source Data'!$A566,Sector,'Summarized Source Data'!R$2,TimeOfWeek,$E566)*INDEX(About!N$79:N$82,MATCH($B566,About!$A$79:$A$82,0),1)</f>
        <v>5961600</v>
      </c>
      <c r="S566" s="33">
        <f>SUMIFS(INDEX(Load,,MATCH('Summarized Source Data'!$C566,Hour,0)),Month,'Summarized Source Data'!$A566,Sector,'Summarized Source Data'!S$2,TimeOfWeek,$E566)*INDEX(About!O$79:O$82,MATCH($B566,About!$A$79:$A$82,0),1)</f>
        <v>5961600</v>
      </c>
      <c r="T566" s="33">
        <f>SUMIFS(INDEX(Load,,MATCH('Summarized Source Data'!$C566,Hour,0)),Month,'Summarized Source Data'!$A566,Sector,'Summarized Source Data'!T$2,TimeOfWeek,$E566)*INDEX(About!P$79:P$82,MATCH($B566,About!$A$79:$A$82,0),1)</f>
        <v>5961600</v>
      </c>
      <c r="U566" s="33">
        <f>SUMIFS(INDEX(Load,,MATCH('Summarized Source Data'!$C566,Hour,0)),Month,'Summarized Source Data'!$A566,Sector,'Summarized Source Data'!U$2,TimeOfWeek,$E566)*INDEX(About!Q$79:Q$82,MATCH($B566,About!$A$79:$A$82,0),1)</f>
        <v>5961600</v>
      </c>
      <c r="V566" s="33">
        <f>SUMIFS(INDEX(Load,,MATCH('Summarized Source Data'!$C566,Hour,0)),Month,'Summarized Source Data'!$A566,Sector,'Summarized Source Data'!V$2,TimeOfWeek,$E566)*INDEX(About!R$79:R$82,MATCH($B566,About!$A$79:$A$82,0),1)</f>
        <v>5961600</v>
      </c>
      <c r="W566" s="33">
        <f>SUMIFS(INDEX(Load,,MATCH('Summarized Source Data'!$C566,Hour,0)),Month,'Summarized Source Data'!$A566,Sector,'Summarized Source Data'!W$2,TimeOfWeek,$E566)*INDEX(About!S$79:S$82,MATCH($B566,About!$A$79:$A$82,0),1)</f>
        <v>5961600</v>
      </c>
      <c r="X566" s="27">
        <f>SUMIFS(INDEX(Load,,MATCH('Summarized Source Data'!$C566,Hour,0)),Month,'Summarized Source Data'!$A566,Sector,'Summarized Source Data'!X$2,Subsector,'Summarized Source Data'!X$3,TimeOfWeek,$E566)*INDEX(About!T$79:T$82,MATCH($B566,About!$A$79:$A$82,0),1)</f>
        <v>327000000</v>
      </c>
      <c r="Y566" s="29">
        <f t="shared" si="48"/>
        <v>327000000</v>
      </c>
      <c r="Z566" s="29">
        <f t="shared" si="48"/>
        <v>327000000</v>
      </c>
    </row>
    <row r="567" spans="1:26" x14ac:dyDescent="0.3">
      <c r="A567">
        <f t="shared" si="47"/>
        <v>12</v>
      </c>
      <c r="B567" t="str">
        <f>INDEX('Category Mapping'!$G$28:$G$39,MATCH(A567,'Category Mapping'!$A$28:$A$39,0),1)</f>
        <v>Winter</v>
      </c>
      <c r="C567" t="s">
        <v>74</v>
      </c>
      <c r="D567" s="6" t="s">
        <v>149</v>
      </c>
      <c r="E567" s="46" t="s">
        <v>48</v>
      </c>
      <c r="F567" s="27">
        <f>SUMIFS(INDEX(Load,,MATCH('Summarized Source Data'!$C567,Hour,0)),Month,'Summarized Source Data'!$A567,Sector,'Summarized Source Data'!F$2,Subsector,'Summarized Source Data'!F$3,TimeOfWeek,$E567)*INDEX(About!B$79:B$82,MATCH($B567,About!$A$79:$A$82,0),1)</f>
        <v>9242526</v>
      </c>
      <c r="G567" s="27">
        <f>SUMIFS(INDEX(Load,,MATCH('Summarized Source Data'!$C567,Hour,0)),Month,'Summarized Source Data'!$A567,Sector,'Summarized Source Data'!G$2,Subsector,'Summarized Source Data'!G$3,TimeOfWeek,$E567)*INDEX(About!C$79:C$82,MATCH($B567,About!$A$79:$A$82,0),1)</f>
        <v>5854</v>
      </c>
      <c r="H567" s="27">
        <f>SUMIFS(INDEX(Load,,MATCH('Summarized Source Data'!$C567,Hour,0)),Month,'Summarized Source Data'!$A567,Sector,'Summarized Source Data'!H$2,Subsector,'Summarized Source Data'!H$3,TimeOfWeek,$E567)*INDEX(About!D$79:D$82,MATCH($B567,About!$A$79:$A$82,0),1)</f>
        <v>0</v>
      </c>
      <c r="I567" s="27">
        <f>SUMIFS(INDEX(Load,,MATCH('Summarized Source Data'!$C567,Hour,0)),Month,'Summarized Source Data'!$A567,Sector,'Summarized Source Data'!I$2,Subsector,'Summarized Source Data'!I$3,TimeOfWeek,$E567)*INDEX(About!E$79:E$82,MATCH($B567,About!$A$79:$A$82,0),1)</f>
        <v>8590548</v>
      </c>
      <c r="J567" s="54">
        <f t="shared" si="43"/>
        <v>103161072</v>
      </c>
      <c r="K567" s="27">
        <f>(SUMIFS(INDEX(Load,,MATCH('Summarized Source Data'!$C567,Hour,0)),Month,'Summarized Source Data'!$A567,Sector,'Summarized Source Data'!K$2,Subsector,"Total",TimeOfWeek,$E567)-SUM(F567:I567))*INDEX(About!G$79:G$82,MATCH($B567,About!$A$79:$A$82,0),1)</f>
        <v>103161072</v>
      </c>
      <c r="L567" s="27">
        <f>SUMIFS(INDEX(Load,,MATCH('Summarized Source Data'!$C567,Hour,0)),Month,'Summarized Source Data'!$A567,Sector,'Summarized Source Data'!L$2,Subsector,'Summarized Source Data'!L$3,TimeOfWeek,$E567)*INDEX(About!H$79:H$82,MATCH($B567,About!$A$79:$A$82,0),1)</f>
        <v>19900000</v>
      </c>
      <c r="M567" s="27">
        <f>SUMIFS(INDEX(Load,,MATCH('Summarized Source Data'!$C567,Hour,0)),Month,'Summarized Source Data'!$A567,Sector,'Summarized Source Data'!M$2,Subsector,'Summarized Source Data'!M$3,TimeOfWeek,$E567)*INDEX(About!I$79:I$82,MATCH($B567,About!$A$79:$A$82,0),1)</f>
        <v>33973</v>
      </c>
      <c r="N567" s="27">
        <f>SUMIFS(INDEX(Load,,MATCH('Summarized Source Data'!$C567,Hour,0)),Month,'Summarized Source Data'!$A567,Sector,'Summarized Source Data'!N$2,Subsector,'Summarized Source Data'!N$3,TimeOfWeek,$E567)*INDEX(About!J$79:J$82,MATCH($B567,About!$A$79:$A$82,0),1)</f>
        <v>0</v>
      </c>
      <c r="O567" s="29">
        <f t="shared" si="44"/>
        <v>129066027</v>
      </c>
      <c r="P567" s="27">
        <f>(SUMIFS(INDEX(Load,,MATCH('Summarized Source Data'!$C567,Hour,0)),Month,'Summarized Source Data'!$A567,Sector,'Summarized Source Data'!P$2,Subsector,"Total",TimeOfWeek,$E567)-SUM(L567:N567)*INDEX(About!L$79:L$82,MATCH($B567,About!$A$79:$A$82,0),1))</f>
        <v>129066027</v>
      </c>
      <c r="Q567" s="29">
        <f t="shared" si="45"/>
        <v>129066027</v>
      </c>
      <c r="R567" s="33">
        <f>SUMIFS(INDEX(Load,,MATCH('Summarized Source Data'!$C567,Hour,0)),Month,'Summarized Source Data'!$A567,Sector,'Summarized Source Data'!R$2,TimeOfWeek,$E567)*INDEX(About!N$79:N$82,MATCH($B567,About!$A$79:$A$82,0),1)</f>
        <v>6143119</v>
      </c>
      <c r="S567" s="33">
        <f>SUMIFS(INDEX(Load,,MATCH('Summarized Source Data'!$C567,Hour,0)),Month,'Summarized Source Data'!$A567,Sector,'Summarized Source Data'!S$2,TimeOfWeek,$E567)*INDEX(About!O$79:O$82,MATCH($B567,About!$A$79:$A$82,0),1)</f>
        <v>6143119</v>
      </c>
      <c r="T567" s="33">
        <f>SUMIFS(INDEX(Load,,MATCH('Summarized Source Data'!$C567,Hour,0)),Month,'Summarized Source Data'!$A567,Sector,'Summarized Source Data'!T$2,TimeOfWeek,$E567)*INDEX(About!P$79:P$82,MATCH($B567,About!$A$79:$A$82,0),1)</f>
        <v>6143119</v>
      </c>
      <c r="U567" s="33">
        <f>SUMIFS(INDEX(Load,,MATCH('Summarized Source Data'!$C567,Hour,0)),Month,'Summarized Source Data'!$A567,Sector,'Summarized Source Data'!U$2,TimeOfWeek,$E567)*INDEX(About!Q$79:Q$82,MATCH($B567,About!$A$79:$A$82,0),1)</f>
        <v>6143119</v>
      </c>
      <c r="V567" s="33">
        <f>SUMIFS(INDEX(Load,,MATCH('Summarized Source Data'!$C567,Hour,0)),Month,'Summarized Source Data'!$A567,Sector,'Summarized Source Data'!V$2,TimeOfWeek,$E567)*INDEX(About!R$79:R$82,MATCH($B567,About!$A$79:$A$82,0),1)</f>
        <v>6143119</v>
      </c>
      <c r="W567" s="33">
        <f>SUMIFS(INDEX(Load,,MATCH('Summarized Source Data'!$C567,Hour,0)),Month,'Summarized Source Data'!$A567,Sector,'Summarized Source Data'!W$2,TimeOfWeek,$E567)*INDEX(About!S$79:S$82,MATCH($B567,About!$A$79:$A$82,0),1)</f>
        <v>6143119</v>
      </c>
      <c r="X567" s="27">
        <f>SUMIFS(INDEX(Load,,MATCH('Summarized Source Data'!$C567,Hour,0)),Month,'Summarized Source Data'!$A567,Sector,'Summarized Source Data'!X$2,Subsector,'Summarized Source Data'!X$3,TimeOfWeek,$E567)*INDEX(About!T$79:T$82,MATCH($B567,About!$A$79:$A$82,0),1)</f>
        <v>326000000</v>
      </c>
      <c r="Y567" s="29">
        <f t="shared" si="48"/>
        <v>326000000</v>
      </c>
      <c r="Z567" s="29">
        <f t="shared" si="48"/>
        <v>326000000</v>
      </c>
    </row>
    <row r="568" spans="1:26" x14ac:dyDescent="0.3">
      <c r="A568">
        <f t="shared" si="47"/>
        <v>12</v>
      </c>
      <c r="B568" t="str">
        <f>INDEX('Category Mapping'!$G$28:$G$39,MATCH(A568,'Category Mapping'!$A$28:$A$39,0),1)</f>
        <v>Winter</v>
      </c>
      <c r="C568" t="s">
        <v>75</v>
      </c>
      <c r="D568" s="6" t="s">
        <v>150</v>
      </c>
      <c r="E568" s="46" t="s">
        <v>48</v>
      </c>
      <c r="F568" s="27">
        <f>SUMIFS(INDEX(Load,,MATCH('Summarized Source Data'!$C568,Hour,0)),Month,'Summarized Source Data'!$A568,Sector,'Summarized Source Data'!F$2,Subsector,'Summarized Source Data'!F$3,TimeOfWeek,$E568)*INDEX(About!B$79:B$82,MATCH($B568,About!$A$79:$A$82,0),1)</f>
        <v>9120867</v>
      </c>
      <c r="G568" s="27">
        <f>SUMIFS(INDEX(Load,,MATCH('Summarized Source Data'!$C568,Hour,0)),Month,'Summarized Source Data'!$A568,Sector,'Summarized Source Data'!G$2,Subsector,'Summarized Source Data'!G$3,TimeOfWeek,$E568)*INDEX(About!C$79:C$82,MATCH($B568,About!$A$79:$A$82,0),1)</f>
        <v>6103</v>
      </c>
      <c r="H568" s="27">
        <f>SUMIFS(INDEX(Load,,MATCH('Summarized Source Data'!$C568,Hour,0)),Month,'Summarized Source Data'!$A568,Sector,'Summarized Source Data'!H$2,Subsector,'Summarized Source Data'!H$3,TimeOfWeek,$E568)*INDEX(About!D$79:D$82,MATCH($B568,About!$A$79:$A$82,0),1)</f>
        <v>0</v>
      </c>
      <c r="I568" s="27">
        <f>SUMIFS(INDEX(Load,,MATCH('Summarized Source Data'!$C568,Hour,0)),Month,'Summarized Source Data'!$A568,Sector,'Summarized Source Data'!I$2,Subsector,'Summarized Source Data'!I$3,TimeOfWeek,$E568)*INDEX(About!E$79:E$82,MATCH($B568,About!$A$79:$A$82,0),1)</f>
        <v>8889103</v>
      </c>
      <c r="J568" s="54">
        <f t="shared" si="43"/>
        <v>93983927</v>
      </c>
      <c r="K568" s="27">
        <f>(SUMIFS(INDEX(Load,,MATCH('Summarized Source Data'!$C568,Hour,0)),Month,'Summarized Source Data'!$A568,Sector,'Summarized Source Data'!K$2,Subsector,"Total",TimeOfWeek,$E568)-SUM(F568:I568))*INDEX(About!G$79:G$82,MATCH($B568,About!$A$79:$A$82,0),1)</f>
        <v>93983927</v>
      </c>
      <c r="L568" s="27">
        <f>SUMIFS(INDEX(Load,,MATCH('Summarized Source Data'!$C568,Hour,0)),Month,'Summarized Source Data'!$A568,Sector,'Summarized Source Data'!L$2,Subsector,'Summarized Source Data'!L$3,TimeOfWeek,$E568)*INDEX(About!H$79:H$82,MATCH($B568,About!$A$79:$A$82,0),1)</f>
        <v>18200000</v>
      </c>
      <c r="M568" s="27">
        <f>SUMIFS(INDEX(Load,,MATCH('Summarized Source Data'!$C568,Hour,0)),Month,'Summarized Source Data'!$A568,Sector,'Summarized Source Data'!M$2,Subsector,'Summarized Source Data'!M$3,TimeOfWeek,$E568)*INDEX(About!I$79:I$82,MATCH($B568,About!$A$79:$A$82,0),1)</f>
        <v>34160</v>
      </c>
      <c r="N568" s="27">
        <f>SUMIFS(INDEX(Load,,MATCH('Summarized Source Data'!$C568,Hour,0)),Month,'Summarized Source Data'!$A568,Sector,'Summarized Source Data'!N$2,Subsector,'Summarized Source Data'!N$3,TimeOfWeek,$E568)*INDEX(About!J$79:J$82,MATCH($B568,About!$A$79:$A$82,0),1)</f>
        <v>0</v>
      </c>
      <c r="O568" s="29">
        <f t="shared" si="44"/>
        <v>128765840</v>
      </c>
      <c r="P568" s="27">
        <f>(SUMIFS(INDEX(Load,,MATCH('Summarized Source Data'!$C568,Hour,0)),Month,'Summarized Source Data'!$A568,Sector,'Summarized Source Data'!P$2,Subsector,"Total",TimeOfWeek,$E568)-SUM(L568:N568)*INDEX(About!L$79:L$82,MATCH($B568,About!$A$79:$A$82,0),1))</f>
        <v>128765840</v>
      </c>
      <c r="Q568" s="29">
        <f t="shared" si="45"/>
        <v>128765840</v>
      </c>
      <c r="R568" s="33">
        <f>SUMIFS(INDEX(Load,,MATCH('Summarized Source Data'!$C568,Hour,0)),Month,'Summarized Source Data'!$A568,Sector,'Summarized Source Data'!R$2,TimeOfWeek,$E568)*INDEX(About!N$79:N$82,MATCH($B568,About!$A$79:$A$82,0),1)</f>
        <v>6007156</v>
      </c>
      <c r="S568" s="33">
        <f>SUMIFS(INDEX(Load,,MATCH('Summarized Source Data'!$C568,Hour,0)),Month,'Summarized Source Data'!$A568,Sector,'Summarized Source Data'!S$2,TimeOfWeek,$E568)*INDEX(About!O$79:O$82,MATCH($B568,About!$A$79:$A$82,0),1)</f>
        <v>6007156</v>
      </c>
      <c r="T568" s="33">
        <f>SUMIFS(INDEX(Load,,MATCH('Summarized Source Data'!$C568,Hour,0)),Month,'Summarized Source Data'!$A568,Sector,'Summarized Source Data'!T$2,TimeOfWeek,$E568)*INDEX(About!P$79:P$82,MATCH($B568,About!$A$79:$A$82,0),1)</f>
        <v>6007156</v>
      </c>
      <c r="U568" s="33">
        <f>SUMIFS(INDEX(Load,,MATCH('Summarized Source Data'!$C568,Hour,0)),Month,'Summarized Source Data'!$A568,Sector,'Summarized Source Data'!U$2,TimeOfWeek,$E568)*INDEX(About!Q$79:Q$82,MATCH($B568,About!$A$79:$A$82,0),1)</f>
        <v>6007156</v>
      </c>
      <c r="V568" s="33">
        <f>SUMIFS(INDEX(Load,,MATCH('Summarized Source Data'!$C568,Hour,0)),Month,'Summarized Source Data'!$A568,Sector,'Summarized Source Data'!V$2,TimeOfWeek,$E568)*INDEX(About!R$79:R$82,MATCH($B568,About!$A$79:$A$82,0),1)</f>
        <v>6007156</v>
      </c>
      <c r="W568" s="33">
        <f>SUMIFS(INDEX(Load,,MATCH('Summarized Source Data'!$C568,Hour,0)),Month,'Summarized Source Data'!$A568,Sector,'Summarized Source Data'!W$2,TimeOfWeek,$E568)*INDEX(About!S$79:S$82,MATCH($B568,About!$A$79:$A$82,0),1)</f>
        <v>6007156</v>
      </c>
      <c r="X568" s="27">
        <f>SUMIFS(INDEX(Load,,MATCH('Summarized Source Data'!$C568,Hour,0)),Month,'Summarized Source Data'!$A568,Sector,'Summarized Source Data'!X$2,Subsector,'Summarized Source Data'!X$3,TimeOfWeek,$E568)*INDEX(About!T$79:T$82,MATCH($B568,About!$A$79:$A$82,0),1)</f>
        <v>326000000</v>
      </c>
      <c r="Y568" s="29">
        <f t="shared" si="48"/>
        <v>326000000</v>
      </c>
      <c r="Z568" s="29">
        <f t="shared" si="48"/>
        <v>326000000</v>
      </c>
    </row>
    <row r="569" spans="1:26" x14ac:dyDescent="0.3">
      <c r="A569">
        <f t="shared" si="47"/>
        <v>12</v>
      </c>
      <c r="B569" t="str">
        <f>INDEX('Category Mapping'!$G$28:$G$39,MATCH(A569,'Category Mapping'!$A$28:$A$39,0),1)</f>
        <v>Winter</v>
      </c>
      <c r="C569" t="s">
        <v>76</v>
      </c>
      <c r="D569" s="6" t="s">
        <v>151</v>
      </c>
      <c r="E569" s="46" t="s">
        <v>48</v>
      </c>
      <c r="F569" s="27">
        <f>SUMIFS(INDEX(Load,,MATCH('Summarized Source Data'!$C569,Hour,0)),Month,'Summarized Source Data'!$A569,Sector,'Summarized Source Data'!F$2,Subsector,'Summarized Source Data'!F$3,TimeOfWeek,$E569)*INDEX(About!B$79:B$82,MATCH($B569,About!$A$79:$A$82,0),1)</f>
        <v>8943217</v>
      </c>
      <c r="G569" s="27">
        <f>SUMIFS(INDEX(Load,,MATCH('Summarized Source Data'!$C569,Hour,0)),Month,'Summarized Source Data'!$A569,Sector,'Summarized Source Data'!G$2,Subsector,'Summarized Source Data'!G$3,TimeOfWeek,$E569)*INDEX(About!C$79:C$82,MATCH($B569,About!$A$79:$A$82,0),1)</f>
        <v>6161</v>
      </c>
      <c r="H569" s="27">
        <f>SUMIFS(INDEX(Load,,MATCH('Summarized Source Data'!$C569,Hour,0)),Month,'Summarized Source Data'!$A569,Sector,'Summarized Source Data'!H$2,Subsector,'Summarized Source Data'!H$3,TimeOfWeek,$E569)*INDEX(About!D$79:D$82,MATCH($B569,About!$A$79:$A$82,0),1)</f>
        <v>0</v>
      </c>
      <c r="I569" s="27">
        <f>SUMIFS(INDEX(Load,,MATCH('Summarized Source Data'!$C569,Hour,0)),Month,'Summarized Source Data'!$A569,Sector,'Summarized Source Data'!I$2,Subsector,'Summarized Source Data'!I$3,TimeOfWeek,$E569)*INDEX(About!E$79:E$82,MATCH($B569,About!$A$79:$A$82,0),1)</f>
        <v>8877712</v>
      </c>
      <c r="J569" s="54">
        <f t="shared" si="43"/>
        <v>82172910</v>
      </c>
      <c r="K569" s="27">
        <f>(SUMIFS(INDEX(Load,,MATCH('Summarized Source Data'!$C569,Hour,0)),Month,'Summarized Source Data'!$A569,Sector,'Summarized Source Data'!K$2,Subsector,"Total",TimeOfWeek,$E569)-SUM(F569:I569))*INDEX(About!G$79:G$82,MATCH($B569,About!$A$79:$A$82,0),1)</f>
        <v>82172910</v>
      </c>
      <c r="L569" s="27">
        <f>SUMIFS(INDEX(Load,,MATCH('Summarized Source Data'!$C569,Hour,0)),Month,'Summarized Source Data'!$A569,Sector,'Summarized Source Data'!L$2,Subsector,'Summarized Source Data'!L$3,TimeOfWeek,$E569)*INDEX(About!H$79:H$82,MATCH($B569,About!$A$79:$A$82,0),1)</f>
        <v>16900000</v>
      </c>
      <c r="M569" s="27">
        <f>SUMIFS(INDEX(Load,,MATCH('Summarized Source Data'!$C569,Hour,0)),Month,'Summarized Source Data'!$A569,Sector,'Summarized Source Data'!M$2,Subsector,'Summarized Source Data'!M$3,TimeOfWeek,$E569)*INDEX(About!I$79:I$82,MATCH($B569,About!$A$79:$A$82,0),1)</f>
        <v>34160</v>
      </c>
      <c r="N569" s="27">
        <f>SUMIFS(INDEX(Load,,MATCH('Summarized Source Data'!$C569,Hour,0)),Month,'Summarized Source Data'!$A569,Sector,'Summarized Source Data'!N$2,Subsector,'Summarized Source Data'!N$3,TimeOfWeek,$E569)*INDEX(About!J$79:J$82,MATCH($B569,About!$A$79:$A$82,0),1)</f>
        <v>0</v>
      </c>
      <c r="O569" s="29">
        <f t="shared" si="44"/>
        <v>123065840</v>
      </c>
      <c r="P569" s="27">
        <f>(SUMIFS(INDEX(Load,,MATCH('Summarized Source Data'!$C569,Hour,0)),Month,'Summarized Source Data'!$A569,Sector,'Summarized Source Data'!P$2,Subsector,"Total",TimeOfWeek,$E569)-SUM(L569:N569)*INDEX(About!L$79:L$82,MATCH($B569,About!$A$79:$A$82,0),1))</f>
        <v>123065840</v>
      </c>
      <c r="Q569" s="29">
        <f t="shared" si="45"/>
        <v>123065840</v>
      </c>
      <c r="R569" s="33">
        <f>SUMIFS(INDEX(Load,,MATCH('Summarized Source Data'!$C569,Hour,0)),Month,'Summarized Source Data'!$A569,Sector,'Summarized Source Data'!R$2,TimeOfWeek,$E569)*INDEX(About!N$79:N$82,MATCH($B569,About!$A$79:$A$82,0),1)</f>
        <v>5716110</v>
      </c>
      <c r="S569" s="33">
        <f>SUMIFS(INDEX(Load,,MATCH('Summarized Source Data'!$C569,Hour,0)),Month,'Summarized Source Data'!$A569,Sector,'Summarized Source Data'!S$2,TimeOfWeek,$E569)*INDEX(About!O$79:O$82,MATCH($B569,About!$A$79:$A$82,0),1)</f>
        <v>5716110</v>
      </c>
      <c r="T569" s="33">
        <f>SUMIFS(INDEX(Load,,MATCH('Summarized Source Data'!$C569,Hour,0)),Month,'Summarized Source Data'!$A569,Sector,'Summarized Source Data'!T$2,TimeOfWeek,$E569)*INDEX(About!P$79:P$82,MATCH($B569,About!$A$79:$A$82,0),1)</f>
        <v>5716110</v>
      </c>
      <c r="U569" s="33">
        <f>SUMIFS(INDEX(Load,,MATCH('Summarized Source Data'!$C569,Hour,0)),Month,'Summarized Source Data'!$A569,Sector,'Summarized Source Data'!U$2,TimeOfWeek,$E569)*INDEX(About!Q$79:Q$82,MATCH($B569,About!$A$79:$A$82,0),1)</f>
        <v>5716110</v>
      </c>
      <c r="V569" s="33">
        <f>SUMIFS(INDEX(Load,,MATCH('Summarized Source Data'!$C569,Hour,0)),Month,'Summarized Source Data'!$A569,Sector,'Summarized Source Data'!V$2,TimeOfWeek,$E569)*INDEX(About!R$79:R$82,MATCH($B569,About!$A$79:$A$82,0),1)</f>
        <v>5716110</v>
      </c>
      <c r="W569" s="33">
        <f>SUMIFS(INDEX(Load,,MATCH('Summarized Source Data'!$C569,Hour,0)),Month,'Summarized Source Data'!$A569,Sector,'Summarized Source Data'!W$2,TimeOfWeek,$E569)*INDEX(About!S$79:S$82,MATCH($B569,About!$A$79:$A$82,0),1)</f>
        <v>5716110</v>
      </c>
      <c r="X569" s="27">
        <f>SUMIFS(INDEX(Load,,MATCH('Summarized Source Data'!$C569,Hour,0)),Month,'Summarized Source Data'!$A569,Sector,'Summarized Source Data'!X$2,Subsector,'Summarized Source Data'!X$3,TimeOfWeek,$E569)*INDEX(About!T$79:T$82,MATCH($B569,About!$A$79:$A$82,0),1)</f>
        <v>326000000</v>
      </c>
      <c r="Y569" s="29">
        <f t="shared" si="48"/>
        <v>326000000</v>
      </c>
      <c r="Z569" s="29">
        <f t="shared" si="48"/>
        <v>326000000</v>
      </c>
    </row>
    <row r="570" spans="1:26" x14ac:dyDescent="0.3">
      <c r="A570">
        <f t="shared" si="47"/>
        <v>12</v>
      </c>
      <c r="B570" t="str">
        <f>INDEX('Category Mapping'!$G$28:$G$39,MATCH(A570,'Category Mapping'!$A$28:$A$39,0),1)</f>
        <v>Winter</v>
      </c>
      <c r="C570" t="s">
        <v>77</v>
      </c>
      <c r="D570" s="6" t="s">
        <v>152</v>
      </c>
      <c r="E570" s="46" t="s">
        <v>48</v>
      </c>
      <c r="F570" s="27">
        <f>SUMIFS(INDEX(Load,,MATCH('Summarized Source Data'!$C570,Hour,0)),Month,'Summarized Source Data'!$A570,Sector,'Summarized Source Data'!F$2,Subsector,'Summarized Source Data'!F$3,TimeOfWeek,$E570)*INDEX(About!B$79:B$82,MATCH($B570,About!$A$79:$A$82,0),1)</f>
        <v>8837173</v>
      </c>
      <c r="G570" s="27">
        <f>SUMIFS(INDEX(Load,,MATCH('Summarized Source Data'!$C570,Hour,0)),Month,'Summarized Source Data'!$A570,Sector,'Summarized Source Data'!G$2,Subsector,'Summarized Source Data'!G$3,TimeOfWeek,$E570)*INDEX(About!C$79:C$82,MATCH($B570,About!$A$79:$A$82,0),1)</f>
        <v>6148</v>
      </c>
      <c r="H570" s="27">
        <f>SUMIFS(INDEX(Load,,MATCH('Summarized Source Data'!$C570,Hour,0)),Month,'Summarized Source Data'!$A570,Sector,'Summarized Source Data'!H$2,Subsector,'Summarized Source Data'!H$3,TimeOfWeek,$E570)*INDEX(About!D$79:D$82,MATCH($B570,About!$A$79:$A$82,0),1)</f>
        <v>0</v>
      </c>
      <c r="I570" s="27">
        <f>SUMIFS(INDEX(Load,,MATCH('Summarized Source Data'!$C570,Hour,0)),Month,'Summarized Source Data'!$A570,Sector,'Summarized Source Data'!I$2,Subsector,'Summarized Source Data'!I$3,TimeOfWeek,$E570)*INDEX(About!E$79:E$82,MATCH($B570,About!$A$79:$A$82,0),1)</f>
        <v>8784302</v>
      </c>
      <c r="J570" s="54">
        <f t="shared" si="43"/>
        <v>86372377</v>
      </c>
      <c r="K570" s="27">
        <f>(SUMIFS(INDEX(Load,,MATCH('Summarized Source Data'!$C570,Hour,0)),Month,'Summarized Source Data'!$A570,Sector,'Summarized Source Data'!K$2,Subsector,"Total",TimeOfWeek,$E570)-SUM(F570:I570))*INDEX(About!G$79:G$82,MATCH($B570,About!$A$79:$A$82,0),1)</f>
        <v>86372377</v>
      </c>
      <c r="L570" s="27">
        <f>SUMIFS(INDEX(Load,,MATCH('Summarized Source Data'!$C570,Hour,0)),Month,'Summarized Source Data'!$A570,Sector,'Summarized Source Data'!L$2,Subsector,'Summarized Source Data'!L$3,TimeOfWeek,$E570)*INDEX(About!H$79:H$82,MATCH($B570,About!$A$79:$A$82,0),1)</f>
        <v>16200000</v>
      </c>
      <c r="M570" s="27">
        <f>SUMIFS(INDEX(Load,,MATCH('Summarized Source Data'!$C570,Hour,0)),Month,'Summarized Source Data'!$A570,Sector,'Summarized Source Data'!M$2,Subsector,'Summarized Source Data'!M$3,TimeOfWeek,$E570)*INDEX(About!I$79:I$82,MATCH($B570,About!$A$79:$A$82,0),1)</f>
        <v>34160</v>
      </c>
      <c r="N570" s="27">
        <f>SUMIFS(INDEX(Load,,MATCH('Summarized Source Data'!$C570,Hour,0)),Month,'Summarized Source Data'!$A570,Sector,'Summarized Source Data'!N$2,Subsector,'Summarized Source Data'!N$3,TimeOfWeek,$E570)*INDEX(About!J$79:J$82,MATCH($B570,About!$A$79:$A$82,0),1)</f>
        <v>0</v>
      </c>
      <c r="O570" s="29">
        <f t="shared" si="44"/>
        <v>117765840</v>
      </c>
      <c r="P570" s="27">
        <f>(SUMIFS(INDEX(Load,,MATCH('Summarized Source Data'!$C570,Hour,0)),Month,'Summarized Source Data'!$A570,Sector,'Summarized Source Data'!P$2,Subsector,"Total",TimeOfWeek,$E570)-SUM(L570:N570)*INDEX(About!L$79:L$82,MATCH($B570,About!$A$79:$A$82,0),1))</f>
        <v>117765840</v>
      </c>
      <c r="Q570" s="29">
        <f t="shared" si="45"/>
        <v>117765840</v>
      </c>
      <c r="R570" s="33">
        <f>SUMIFS(INDEX(Load,,MATCH('Summarized Source Data'!$C570,Hour,0)),Month,'Summarized Source Data'!$A570,Sector,'Summarized Source Data'!R$2,TimeOfWeek,$E570)*INDEX(About!N$79:N$82,MATCH($B570,About!$A$79:$A$82,0),1)</f>
        <v>5645844</v>
      </c>
      <c r="S570" s="33">
        <f>SUMIFS(INDEX(Load,,MATCH('Summarized Source Data'!$C570,Hour,0)),Month,'Summarized Source Data'!$A570,Sector,'Summarized Source Data'!S$2,TimeOfWeek,$E570)*INDEX(About!O$79:O$82,MATCH($B570,About!$A$79:$A$82,0),1)</f>
        <v>5645844</v>
      </c>
      <c r="T570" s="33">
        <f>SUMIFS(INDEX(Load,,MATCH('Summarized Source Data'!$C570,Hour,0)),Month,'Summarized Source Data'!$A570,Sector,'Summarized Source Data'!T$2,TimeOfWeek,$E570)*INDEX(About!P$79:P$82,MATCH($B570,About!$A$79:$A$82,0),1)</f>
        <v>5645844</v>
      </c>
      <c r="U570" s="33">
        <f>SUMIFS(INDEX(Load,,MATCH('Summarized Source Data'!$C570,Hour,0)),Month,'Summarized Source Data'!$A570,Sector,'Summarized Source Data'!U$2,TimeOfWeek,$E570)*INDEX(About!Q$79:Q$82,MATCH($B570,About!$A$79:$A$82,0),1)</f>
        <v>5645844</v>
      </c>
      <c r="V570" s="33">
        <f>SUMIFS(INDEX(Load,,MATCH('Summarized Source Data'!$C570,Hour,0)),Month,'Summarized Source Data'!$A570,Sector,'Summarized Source Data'!V$2,TimeOfWeek,$E570)*INDEX(About!R$79:R$82,MATCH($B570,About!$A$79:$A$82,0),1)</f>
        <v>5645844</v>
      </c>
      <c r="W570" s="33">
        <f>SUMIFS(INDEX(Load,,MATCH('Summarized Source Data'!$C570,Hour,0)),Month,'Summarized Source Data'!$A570,Sector,'Summarized Source Data'!W$2,TimeOfWeek,$E570)*INDEX(About!S$79:S$82,MATCH($B570,About!$A$79:$A$82,0),1)</f>
        <v>5645844</v>
      </c>
      <c r="X570" s="27">
        <f>SUMIFS(INDEX(Load,,MATCH('Summarized Source Data'!$C570,Hour,0)),Month,'Summarized Source Data'!$A570,Sector,'Summarized Source Data'!X$2,Subsector,'Summarized Source Data'!X$3,TimeOfWeek,$E570)*INDEX(About!T$79:T$82,MATCH($B570,About!$A$79:$A$82,0),1)</f>
        <v>328000000</v>
      </c>
      <c r="Y570" s="29">
        <f t="shared" si="48"/>
        <v>328000000</v>
      </c>
      <c r="Z570" s="29">
        <f t="shared" si="48"/>
        <v>328000000</v>
      </c>
    </row>
    <row r="571" spans="1:26" x14ac:dyDescent="0.3">
      <c r="A571">
        <f t="shared" si="47"/>
        <v>12</v>
      </c>
      <c r="B571" t="str">
        <f>INDEX('Category Mapping'!$G$28:$G$39,MATCH(A571,'Category Mapping'!$A$28:$A$39,0),1)</f>
        <v>Winter</v>
      </c>
      <c r="C571" t="s">
        <v>78</v>
      </c>
      <c r="D571" s="6" t="s">
        <v>153</v>
      </c>
      <c r="E571" s="46" t="s">
        <v>48</v>
      </c>
      <c r="F571" s="27">
        <f>SUMIFS(INDEX(Load,,MATCH('Summarized Source Data'!$C571,Hour,0)),Month,'Summarized Source Data'!$A571,Sector,'Summarized Source Data'!F$2,Subsector,'Summarized Source Data'!F$3,TimeOfWeek,$E571)*INDEX(About!B$79:B$82,MATCH($B571,About!$A$79:$A$82,0),1)</f>
        <v>8906883</v>
      </c>
      <c r="G571" s="27">
        <f>SUMIFS(INDEX(Load,,MATCH('Summarized Source Data'!$C571,Hour,0)),Month,'Summarized Source Data'!$A571,Sector,'Summarized Source Data'!G$2,Subsector,'Summarized Source Data'!G$3,TimeOfWeek,$E571)*INDEX(About!C$79:C$82,MATCH($B571,About!$A$79:$A$82,0),1)</f>
        <v>6128</v>
      </c>
      <c r="H571" s="27">
        <f>SUMIFS(INDEX(Load,,MATCH('Summarized Source Data'!$C571,Hour,0)),Month,'Summarized Source Data'!$A571,Sector,'Summarized Source Data'!H$2,Subsector,'Summarized Source Data'!H$3,TimeOfWeek,$E571)*INDEX(About!D$79:D$82,MATCH($B571,About!$A$79:$A$82,0),1)</f>
        <v>0</v>
      </c>
      <c r="I571" s="27">
        <f>SUMIFS(INDEX(Load,,MATCH('Summarized Source Data'!$C571,Hour,0)),Month,'Summarized Source Data'!$A571,Sector,'Summarized Source Data'!I$2,Subsector,'Summarized Source Data'!I$3,TimeOfWeek,$E571)*INDEX(About!E$79:E$82,MATCH($B571,About!$A$79:$A$82,0),1)</f>
        <v>8806346</v>
      </c>
      <c r="J571" s="54">
        <f t="shared" si="43"/>
        <v>89280643</v>
      </c>
      <c r="K571" s="27">
        <f>(SUMIFS(INDEX(Load,,MATCH('Summarized Source Data'!$C571,Hour,0)),Month,'Summarized Source Data'!$A571,Sector,'Summarized Source Data'!K$2,Subsector,"Total",TimeOfWeek,$E571)-SUM(F571:I571))*INDEX(About!G$79:G$82,MATCH($B571,About!$A$79:$A$82,0),1)</f>
        <v>89280643</v>
      </c>
      <c r="L571" s="27">
        <f>SUMIFS(INDEX(Load,,MATCH('Summarized Source Data'!$C571,Hour,0)),Month,'Summarized Source Data'!$A571,Sector,'Summarized Source Data'!L$2,Subsector,'Summarized Source Data'!L$3,TimeOfWeek,$E571)*INDEX(About!H$79:H$82,MATCH($B571,About!$A$79:$A$82,0),1)</f>
        <v>16800000</v>
      </c>
      <c r="M571" s="27">
        <f>SUMIFS(INDEX(Load,,MATCH('Summarized Source Data'!$C571,Hour,0)),Month,'Summarized Source Data'!$A571,Sector,'Summarized Source Data'!M$2,Subsector,'Summarized Source Data'!M$3,TimeOfWeek,$E571)*INDEX(About!I$79:I$82,MATCH($B571,About!$A$79:$A$82,0),1)</f>
        <v>34167</v>
      </c>
      <c r="N571" s="27">
        <f>SUMIFS(INDEX(Load,,MATCH('Summarized Source Data'!$C571,Hour,0)),Month,'Summarized Source Data'!$A571,Sector,'Summarized Source Data'!N$2,Subsector,'Summarized Source Data'!N$3,TimeOfWeek,$E571)*INDEX(About!J$79:J$82,MATCH($B571,About!$A$79:$A$82,0),1)</f>
        <v>0</v>
      </c>
      <c r="O571" s="29">
        <f t="shared" si="44"/>
        <v>109165833</v>
      </c>
      <c r="P571" s="27">
        <f>(SUMIFS(INDEX(Load,,MATCH('Summarized Source Data'!$C571,Hour,0)),Month,'Summarized Source Data'!$A571,Sector,'Summarized Source Data'!P$2,Subsector,"Total",TimeOfWeek,$E571)-SUM(L571:N571)*INDEX(About!L$79:L$82,MATCH($B571,About!$A$79:$A$82,0),1))</f>
        <v>109165833</v>
      </c>
      <c r="Q571" s="29">
        <f t="shared" si="45"/>
        <v>109165833</v>
      </c>
      <c r="R571" s="33">
        <f>SUMIFS(INDEX(Load,,MATCH('Summarized Source Data'!$C571,Hour,0)),Month,'Summarized Source Data'!$A571,Sector,'Summarized Source Data'!R$2,TimeOfWeek,$E571)*INDEX(About!N$79:N$82,MATCH($B571,About!$A$79:$A$82,0),1)</f>
        <v>5540446</v>
      </c>
      <c r="S571" s="33">
        <f>SUMIFS(INDEX(Load,,MATCH('Summarized Source Data'!$C571,Hour,0)),Month,'Summarized Source Data'!$A571,Sector,'Summarized Source Data'!S$2,TimeOfWeek,$E571)*INDEX(About!O$79:O$82,MATCH($B571,About!$A$79:$A$82,0),1)</f>
        <v>5540446</v>
      </c>
      <c r="T571" s="33">
        <f>SUMIFS(INDEX(Load,,MATCH('Summarized Source Data'!$C571,Hour,0)),Month,'Summarized Source Data'!$A571,Sector,'Summarized Source Data'!T$2,TimeOfWeek,$E571)*INDEX(About!P$79:P$82,MATCH($B571,About!$A$79:$A$82,0),1)</f>
        <v>5540446</v>
      </c>
      <c r="U571" s="33">
        <f>SUMIFS(INDEX(Load,,MATCH('Summarized Source Data'!$C571,Hour,0)),Month,'Summarized Source Data'!$A571,Sector,'Summarized Source Data'!U$2,TimeOfWeek,$E571)*INDEX(About!Q$79:Q$82,MATCH($B571,About!$A$79:$A$82,0),1)</f>
        <v>5540446</v>
      </c>
      <c r="V571" s="33">
        <f>SUMIFS(INDEX(Load,,MATCH('Summarized Source Data'!$C571,Hour,0)),Month,'Summarized Source Data'!$A571,Sector,'Summarized Source Data'!V$2,TimeOfWeek,$E571)*INDEX(About!R$79:R$82,MATCH($B571,About!$A$79:$A$82,0),1)</f>
        <v>5540446</v>
      </c>
      <c r="W571" s="33">
        <f>SUMIFS(INDEX(Load,,MATCH('Summarized Source Data'!$C571,Hour,0)),Month,'Summarized Source Data'!$A571,Sector,'Summarized Source Data'!W$2,TimeOfWeek,$E571)*INDEX(About!S$79:S$82,MATCH($B571,About!$A$79:$A$82,0),1)</f>
        <v>5540446</v>
      </c>
      <c r="X571" s="27">
        <f>SUMIFS(INDEX(Load,,MATCH('Summarized Source Data'!$C571,Hour,0)),Month,'Summarized Source Data'!$A571,Sector,'Summarized Source Data'!X$2,Subsector,'Summarized Source Data'!X$3,TimeOfWeek,$E571)*INDEX(About!T$79:T$82,MATCH($B571,About!$A$79:$A$82,0),1)</f>
        <v>331000000</v>
      </c>
      <c r="Y571" s="29">
        <f t="shared" si="48"/>
        <v>331000000</v>
      </c>
      <c r="Z571" s="29">
        <f t="shared" si="48"/>
        <v>331000000</v>
      </c>
    </row>
    <row r="572" spans="1:26" x14ac:dyDescent="0.3">
      <c r="A572">
        <f t="shared" si="47"/>
        <v>12</v>
      </c>
      <c r="B572" t="str">
        <f>INDEX('Category Mapping'!$G$28:$G$39,MATCH(A572,'Category Mapping'!$A$28:$A$39,0),1)</f>
        <v>Winter</v>
      </c>
      <c r="C572" t="s">
        <v>79</v>
      </c>
      <c r="D572" s="6" t="s">
        <v>154</v>
      </c>
      <c r="E572" s="46" t="s">
        <v>48</v>
      </c>
      <c r="F572" s="27">
        <f>SUMIFS(INDEX(Load,,MATCH('Summarized Source Data'!$C572,Hour,0)),Month,'Summarized Source Data'!$A572,Sector,'Summarized Source Data'!F$2,Subsector,'Summarized Source Data'!F$3,TimeOfWeek,$E572)*INDEX(About!B$79:B$82,MATCH($B572,About!$A$79:$A$82,0),1)</f>
        <v>9201168</v>
      </c>
      <c r="G572" s="27">
        <f>SUMIFS(INDEX(Load,,MATCH('Summarized Source Data'!$C572,Hour,0)),Month,'Summarized Source Data'!$A572,Sector,'Summarized Source Data'!G$2,Subsector,'Summarized Source Data'!G$3,TimeOfWeek,$E572)*INDEX(About!C$79:C$82,MATCH($B572,About!$A$79:$A$82,0),1)</f>
        <v>6177</v>
      </c>
      <c r="H572" s="27">
        <f>SUMIFS(INDEX(Load,,MATCH('Summarized Source Data'!$C572,Hour,0)),Month,'Summarized Source Data'!$A572,Sector,'Summarized Source Data'!H$2,Subsector,'Summarized Source Data'!H$3,TimeOfWeek,$E572)*INDEX(About!D$79:D$82,MATCH($B572,About!$A$79:$A$82,0),1)</f>
        <v>0</v>
      </c>
      <c r="I572" s="27">
        <f>SUMIFS(INDEX(Load,,MATCH('Summarized Source Data'!$C572,Hour,0)),Month,'Summarized Source Data'!$A572,Sector,'Summarized Source Data'!I$2,Subsector,'Summarized Source Data'!I$3,TimeOfWeek,$E572)*INDEX(About!E$79:E$82,MATCH($B572,About!$A$79:$A$82,0),1)</f>
        <v>30200000</v>
      </c>
      <c r="J572" s="54">
        <f t="shared" si="43"/>
        <v>95592655</v>
      </c>
      <c r="K572" s="27">
        <f>(SUMIFS(INDEX(Load,,MATCH('Summarized Source Data'!$C572,Hour,0)),Month,'Summarized Source Data'!$A572,Sector,'Summarized Source Data'!K$2,Subsector,"Total",TimeOfWeek,$E572)-SUM(F572:I572))*INDEX(About!G$79:G$82,MATCH($B572,About!$A$79:$A$82,0),1)</f>
        <v>95592655</v>
      </c>
      <c r="L572" s="27">
        <f>SUMIFS(INDEX(Load,,MATCH('Summarized Source Data'!$C572,Hour,0)),Month,'Summarized Source Data'!$A572,Sector,'Summarized Source Data'!L$2,Subsector,'Summarized Source Data'!L$3,TimeOfWeek,$E572)*INDEX(About!H$79:H$82,MATCH($B572,About!$A$79:$A$82,0),1)</f>
        <v>16900000</v>
      </c>
      <c r="M572" s="27">
        <f>SUMIFS(INDEX(Load,,MATCH('Summarized Source Data'!$C572,Hour,0)),Month,'Summarized Source Data'!$A572,Sector,'Summarized Source Data'!M$2,Subsector,'Summarized Source Data'!M$3,TimeOfWeek,$E572)*INDEX(About!I$79:I$82,MATCH($B572,About!$A$79:$A$82,0),1)</f>
        <v>33800</v>
      </c>
      <c r="N572" s="27">
        <f>SUMIFS(INDEX(Load,,MATCH('Summarized Source Data'!$C572,Hour,0)),Month,'Summarized Source Data'!$A572,Sector,'Summarized Source Data'!N$2,Subsector,'Summarized Source Data'!N$3,TimeOfWeek,$E572)*INDEX(About!J$79:J$82,MATCH($B572,About!$A$79:$A$82,0),1)</f>
        <v>0</v>
      </c>
      <c r="O572" s="29">
        <f t="shared" si="44"/>
        <v>104066200</v>
      </c>
      <c r="P572" s="27">
        <f>(SUMIFS(INDEX(Load,,MATCH('Summarized Source Data'!$C572,Hour,0)),Month,'Summarized Source Data'!$A572,Sector,'Summarized Source Data'!P$2,Subsector,"Total",TimeOfWeek,$E572)-SUM(L572:N572)*INDEX(About!L$79:L$82,MATCH($B572,About!$A$79:$A$82,0),1))</f>
        <v>104066200</v>
      </c>
      <c r="Q572" s="29">
        <f t="shared" si="45"/>
        <v>104066200</v>
      </c>
      <c r="R572" s="33">
        <f>SUMIFS(INDEX(Load,,MATCH('Summarized Source Data'!$C572,Hour,0)),Month,'Summarized Source Data'!$A572,Sector,'Summarized Source Data'!R$2,TimeOfWeek,$E572)*INDEX(About!N$79:N$82,MATCH($B572,About!$A$79:$A$82,0),1)</f>
        <v>6355851</v>
      </c>
      <c r="S572" s="33">
        <f>SUMIFS(INDEX(Load,,MATCH('Summarized Source Data'!$C572,Hour,0)),Month,'Summarized Source Data'!$A572,Sector,'Summarized Source Data'!S$2,TimeOfWeek,$E572)*INDEX(About!O$79:O$82,MATCH($B572,About!$A$79:$A$82,0),1)</f>
        <v>6355851</v>
      </c>
      <c r="T572" s="33">
        <f>SUMIFS(INDEX(Load,,MATCH('Summarized Source Data'!$C572,Hour,0)),Month,'Summarized Source Data'!$A572,Sector,'Summarized Source Data'!T$2,TimeOfWeek,$E572)*INDEX(About!P$79:P$82,MATCH($B572,About!$A$79:$A$82,0),1)</f>
        <v>6355851</v>
      </c>
      <c r="U572" s="33">
        <f>SUMIFS(INDEX(Load,,MATCH('Summarized Source Data'!$C572,Hour,0)),Month,'Summarized Source Data'!$A572,Sector,'Summarized Source Data'!U$2,TimeOfWeek,$E572)*INDEX(About!Q$79:Q$82,MATCH($B572,About!$A$79:$A$82,0),1)</f>
        <v>6355851</v>
      </c>
      <c r="V572" s="33">
        <f>SUMIFS(INDEX(Load,,MATCH('Summarized Source Data'!$C572,Hour,0)),Month,'Summarized Source Data'!$A572,Sector,'Summarized Source Data'!V$2,TimeOfWeek,$E572)*INDEX(About!R$79:R$82,MATCH($B572,About!$A$79:$A$82,0),1)</f>
        <v>6355851</v>
      </c>
      <c r="W572" s="33">
        <f>SUMIFS(INDEX(Load,,MATCH('Summarized Source Data'!$C572,Hour,0)),Month,'Summarized Source Data'!$A572,Sector,'Summarized Source Data'!W$2,TimeOfWeek,$E572)*INDEX(About!S$79:S$82,MATCH($B572,About!$A$79:$A$82,0),1)</f>
        <v>6355851</v>
      </c>
      <c r="X572" s="27">
        <f>SUMIFS(INDEX(Load,,MATCH('Summarized Source Data'!$C572,Hour,0)),Month,'Summarized Source Data'!$A572,Sector,'Summarized Source Data'!X$2,Subsector,'Summarized Source Data'!X$3,TimeOfWeek,$E572)*INDEX(About!T$79:T$82,MATCH($B572,About!$A$79:$A$82,0),1)</f>
        <v>335000000</v>
      </c>
      <c r="Y572" s="29">
        <f t="shared" si="48"/>
        <v>335000000</v>
      </c>
      <c r="Z572" s="29">
        <f t="shared" si="48"/>
        <v>335000000</v>
      </c>
    </row>
    <row r="573" spans="1:26" x14ac:dyDescent="0.3">
      <c r="A573">
        <f t="shared" si="47"/>
        <v>12</v>
      </c>
      <c r="B573" t="str">
        <f>INDEX('Category Mapping'!$G$28:$G$39,MATCH(A573,'Category Mapping'!$A$28:$A$39,0),1)</f>
        <v>Winter</v>
      </c>
      <c r="C573" t="s">
        <v>80</v>
      </c>
      <c r="D573" s="6" t="s">
        <v>155</v>
      </c>
      <c r="E573" s="46" t="s">
        <v>48</v>
      </c>
      <c r="F573" s="27">
        <f>SUMIFS(INDEX(Load,,MATCH('Summarized Source Data'!$C573,Hour,0)),Month,'Summarized Source Data'!$A573,Sector,'Summarized Source Data'!F$2,Subsector,'Summarized Source Data'!F$3,TimeOfWeek,$E573)*INDEX(About!B$79:B$82,MATCH($B573,About!$A$79:$A$82,0),1)</f>
        <v>9703395</v>
      </c>
      <c r="G573" s="27">
        <f>SUMIFS(INDEX(Load,,MATCH('Summarized Source Data'!$C573,Hour,0)),Month,'Summarized Source Data'!$A573,Sector,'Summarized Source Data'!G$2,Subsector,'Summarized Source Data'!G$3,TimeOfWeek,$E573)*INDEX(About!C$79:C$82,MATCH($B573,About!$A$79:$A$82,0),1)</f>
        <v>6421</v>
      </c>
      <c r="H573" s="27">
        <f>SUMIFS(INDEX(Load,,MATCH('Summarized Source Data'!$C573,Hour,0)),Month,'Summarized Source Data'!$A573,Sector,'Summarized Source Data'!H$2,Subsector,'Summarized Source Data'!H$3,TimeOfWeek,$E573)*INDEX(About!D$79:D$82,MATCH($B573,About!$A$79:$A$82,0),1)</f>
        <v>0</v>
      </c>
      <c r="I573" s="27">
        <f>SUMIFS(INDEX(Load,,MATCH('Summarized Source Data'!$C573,Hour,0)),Month,'Summarized Source Data'!$A573,Sector,'Summarized Source Data'!I$2,Subsector,'Summarized Source Data'!I$3,TimeOfWeek,$E573)*INDEX(About!E$79:E$82,MATCH($B573,About!$A$79:$A$82,0),1)</f>
        <v>31700000</v>
      </c>
      <c r="J573" s="54">
        <f t="shared" si="43"/>
        <v>96590184</v>
      </c>
      <c r="K573" s="27">
        <f>(SUMIFS(INDEX(Load,,MATCH('Summarized Source Data'!$C573,Hour,0)),Month,'Summarized Source Data'!$A573,Sector,'Summarized Source Data'!K$2,Subsector,"Total",TimeOfWeek,$E573)-SUM(F573:I573))*INDEX(About!G$79:G$82,MATCH($B573,About!$A$79:$A$82,0),1)</f>
        <v>96590184</v>
      </c>
      <c r="L573" s="27">
        <f>SUMIFS(INDEX(Load,,MATCH('Summarized Source Data'!$C573,Hour,0)),Month,'Summarized Source Data'!$A573,Sector,'Summarized Source Data'!L$2,Subsector,'Summarized Source Data'!L$3,TimeOfWeek,$E573)*INDEX(About!H$79:H$82,MATCH($B573,About!$A$79:$A$82,0),1)</f>
        <v>18600000</v>
      </c>
      <c r="M573" s="27">
        <f>SUMIFS(INDEX(Load,,MATCH('Summarized Source Data'!$C573,Hour,0)),Month,'Summarized Source Data'!$A573,Sector,'Summarized Source Data'!M$2,Subsector,'Summarized Source Data'!M$3,TimeOfWeek,$E573)*INDEX(About!I$79:I$82,MATCH($B573,About!$A$79:$A$82,0),1)</f>
        <v>32984</v>
      </c>
      <c r="N573" s="27">
        <f>SUMIFS(INDEX(Load,,MATCH('Summarized Source Data'!$C573,Hour,0)),Month,'Summarized Source Data'!$A573,Sector,'Summarized Source Data'!N$2,Subsector,'Summarized Source Data'!N$3,TimeOfWeek,$E573)*INDEX(About!J$79:J$82,MATCH($B573,About!$A$79:$A$82,0),1)</f>
        <v>0</v>
      </c>
      <c r="O573" s="29">
        <f t="shared" si="44"/>
        <v>105367016</v>
      </c>
      <c r="P573" s="27">
        <f>(SUMIFS(INDEX(Load,,MATCH('Summarized Source Data'!$C573,Hour,0)),Month,'Summarized Source Data'!$A573,Sector,'Summarized Source Data'!P$2,Subsector,"Total",TimeOfWeek,$E573)-SUM(L573:N573)*INDEX(About!L$79:L$82,MATCH($B573,About!$A$79:$A$82,0),1))</f>
        <v>105367016</v>
      </c>
      <c r="Q573" s="29">
        <f t="shared" si="45"/>
        <v>105367016</v>
      </c>
      <c r="R573" s="33">
        <f>SUMIFS(INDEX(Load,,MATCH('Summarized Source Data'!$C573,Hour,0)),Month,'Summarized Source Data'!$A573,Sector,'Summarized Source Data'!R$2,TimeOfWeek,$E573)*INDEX(About!N$79:N$82,MATCH($B573,About!$A$79:$A$82,0),1)</f>
        <v>6361707</v>
      </c>
      <c r="S573" s="33">
        <f>SUMIFS(INDEX(Load,,MATCH('Summarized Source Data'!$C573,Hour,0)),Month,'Summarized Source Data'!$A573,Sector,'Summarized Source Data'!S$2,TimeOfWeek,$E573)*INDEX(About!O$79:O$82,MATCH($B573,About!$A$79:$A$82,0),1)</f>
        <v>6361707</v>
      </c>
      <c r="T573" s="33">
        <f>SUMIFS(INDEX(Load,,MATCH('Summarized Source Data'!$C573,Hour,0)),Month,'Summarized Source Data'!$A573,Sector,'Summarized Source Data'!T$2,TimeOfWeek,$E573)*INDEX(About!P$79:P$82,MATCH($B573,About!$A$79:$A$82,0),1)</f>
        <v>6361707</v>
      </c>
      <c r="U573" s="33">
        <f>SUMIFS(INDEX(Load,,MATCH('Summarized Source Data'!$C573,Hour,0)),Month,'Summarized Source Data'!$A573,Sector,'Summarized Source Data'!U$2,TimeOfWeek,$E573)*INDEX(About!Q$79:Q$82,MATCH($B573,About!$A$79:$A$82,0),1)</f>
        <v>6361707</v>
      </c>
      <c r="V573" s="33">
        <f>SUMIFS(INDEX(Load,,MATCH('Summarized Source Data'!$C573,Hour,0)),Month,'Summarized Source Data'!$A573,Sector,'Summarized Source Data'!V$2,TimeOfWeek,$E573)*INDEX(About!R$79:R$82,MATCH($B573,About!$A$79:$A$82,0),1)</f>
        <v>6361707</v>
      </c>
      <c r="W573" s="33">
        <f>SUMIFS(INDEX(Load,,MATCH('Summarized Source Data'!$C573,Hour,0)),Month,'Summarized Source Data'!$A573,Sector,'Summarized Source Data'!W$2,TimeOfWeek,$E573)*INDEX(About!S$79:S$82,MATCH($B573,About!$A$79:$A$82,0),1)</f>
        <v>6361707</v>
      </c>
      <c r="X573" s="27">
        <f>SUMIFS(INDEX(Load,,MATCH('Summarized Source Data'!$C573,Hour,0)),Month,'Summarized Source Data'!$A573,Sector,'Summarized Source Data'!X$2,Subsector,'Summarized Source Data'!X$3,TimeOfWeek,$E573)*INDEX(About!T$79:T$82,MATCH($B573,About!$A$79:$A$82,0),1)</f>
        <v>335000000</v>
      </c>
      <c r="Y573" s="29">
        <f t="shared" si="48"/>
        <v>335000000</v>
      </c>
      <c r="Z573" s="29">
        <f t="shared" si="48"/>
        <v>335000000</v>
      </c>
    </row>
    <row r="574" spans="1:26" x14ac:dyDescent="0.3">
      <c r="A574">
        <f t="shared" si="47"/>
        <v>12</v>
      </c>
      <c r="B574" t="str">
        <f>INDEX('Category Mapping'!$G$28:$G$39,MATCH(A574,'Category Mapping'!$A$28:$A$39,0),1)</f>
        <v>Winter</v>
      </c>
      <c r="C574" t="s">
        <v>81</v>
      </c>
      <c r="D574" s="6" t="s">
        <v>156</v>
      </c>
      <c r="E574" s="46" t="s">
        <v>48</v>
      </c>
      <c r="F574" s="27">
        <f>SUMIFS(INDEX(Load,,MATCH('Summarized Source Data'!$C574,Hour,0)),Month,'Summarized Source Data'!$A574,Sector,'Summarized Source Data'!F$2,Subsector,'Summarized Source Data'!F$3,TimeOfWeek,$E574)*INDEX(About!B$79:B$82,MATCH($B574,About!$A$79:$A$82,0),1)</f>
        <v>10300000</v>
      </c>
      <c r="G574" s="27">
        <f>SUMIFS(INDEX(Load,,MATCH('Summarized Source Data'!$C574,Hour,0)),Month,'Summarized Source Data'!$A574,Sector,'Summarized Source Data'!G$2,Subsector,'Summarized Source Data'!G$3,TimeOfWeek,$E574)*INDEX(About!C$79:C$82,MATCH($B574,About!$A$79:$A$82,0),1)</f>
        <v>6816</v>
      </c>
      <c r="H574" s="27">
        <f>SUMIFS(INDEX(Load,,MATCH('Summarized Source Data'!$C574,Hour,0)),Month,'Summarized Source Data'!$A574,Sector,'Summarized Source Data'!H$2,Subsector,'Summarized Source Data'!H$3,TimeOfWeek,$E574)*INDEX(About!D$79:D$82,MATCH($B574,About!$A$79:$A$82,0),1)</f>
        <v>0</v>
      </c>
      <c r="I574" s="27">
        <f>SUMIFS(INDEX(Load,,MATCH('Summarized Source Data'!$C574,Hour,0)),Month,'Summarized Source Data'!$A574,Sector,'Summarized Source Data'!I$2,Subsector,'Summarized Source Data'!I$3,TimeOfWeek,$E574)*INDEX(About!E$79:E$82,MATCH($B574,About!$A$79:$A$82,0),1)</f>
        <v>33400000</v>
      </c>
      <c r="J574" s="54">
        <f t="shared" si="43"/>
        <v>93293184</v>
      </c>
      <c r="K574" s="27">
        <f>(SUMIFS(INDEX(Load,,MATCH('Summarized Source Data'!$C574,Hour,0)),Month,'Summarized Source Data'!$A574,Sector,'Summarized Source Data'!K$2,Subsector,"Total",TimeOfWeek,$E574)-SUM(F574:I574))*INDEX(About!G$79:G$82,MATCH($B574,About!$A$79:$A$82,0),1)</f>
        <v>93293184</v>
      </c>
      <c r="L574" s="27">
        <f>SUMIFS(INDEX(Load,,MATCH('Summarized Source Data'!$C574,Hour,0)),Month,'Summarized Source Data'!$A574,Sector,'Summarized Source Data'!L$2,Subsector,'Summarized Source Data'!L$3,TimeOfWeek,$E574)*INDEX(About!H$79:H$82,MATCH($B574,About!$A$79:$A$82,0),1)</f>
        <v>21600000</v>
      </c>
      <c r="M574" s="27">
        <f>SUMIFS(INDEX(Load,,MATCH('Summarized Source Data'!$C574,Hour,0)),Month,'Summarized Source Data'!$A574,Sector,'Summarized Source Data'!M$2,Subsector,'Summarized Source Data'!M$3,TimeOfWeek,$E574)*INDEX(About!I$79:I$82,MATCH($B574,About!$A$79:$A$82,0),1)</f>
        <v>32276</v>
      </c>
      <c r="N574" s="27">
        <f>SUMIFS(INDEX(Load,,MATCH('Summarized Source Data'!$C574,Hour,0)),Month,'Summarized Source Data'!$A574,Sector,'Summarized Source Data'!N$2,Subsector,'Summarized Source Data'!N$3,TimeOfWeek,$E574)*INDEX(About!J$79:J$82,MATCH($B574,About!$A$79:$A$82,0),1)</f>
        <v>0</v>
      </c>
      <c r="O574" s="29">
        <f t="shared" si="44"/>
        <v>104367724</v>
      </c>
      <c r="P574" s="27">
        <f>(SUMIFS(INDEX(Load,,MATCH('Summarized Source Data'!$C574,Hour,0)),Month,'Summarized Source Data'!$A574,Sector,'Summarized Source Data'!P$2,Subsector,"Total",TimeOfWeek,$E574)-SUM(L574:N574)*INDEX(About!L$79:L$82,MATCH($B574,About!$A$79:$A$82,0),1))</f>
        <v>104367724</v>
      </c>
      <c r="Q574" s="29">
        <f t="shared" si="45"/>
        <v>104367724</v>
      </c>
      <c r="R574" s="33">
        <f>SUMIFS(INDEX(Load,,MATCH('Summarized Source Data'!$C574,Hour,0)),Month,'Summarized Source Data'!$A574,Sector,'Summarized Source Data'!R$2,TimeOfWeek,$E574)*INDEX(About!N$79:N$82,MATCH($B574,About!$A$79:$A$82,0),1)</f>
        <v>6320718</v>
      </c>
      <c r="S574" s="33">
        <f>SUMIFS(INDEX(Load,,MATCH('Summarized Source Data'!$C574,Hour,0)),Month,'Summarized Source Data'!$A574,Sector,'Summarized Source Data'!S$2,TimeOfWeek,$E574)*INDEX(About!O$79:O$82,MATCH($B574,About!$A$79:$A$82,0),1)</f>
        <v>6320718</v>
      </c>
      <c r="T574" s="33">
        <f>SUMIFS(INDEX(Load,,MATCH('Summarized Source Data'!$C574,Hour,0)),Month,'Summarized Source Data'!$A574,Sector,'Summarized Source Data'!T$2,TimeOfWeek,$E574)*INDEX(About!P$79:P$82,MATCH($B574,About!$A$79:$A$82,0),1)</f>
        <v>6320718</v>
      </c>
      <c r="U574" s="33">
        <f>SUMIFS(INDEX(Load,,MATCH('Summarized Source Data'!$C574,Hour,0)),Month,'Summarized Source Data'!$A574,Sector,'Summarized Source Data'!U$2,TimeOfWeek,$E574)*INDEX(About!Q$79:Q$82,MATCH($B574,About!$A$79:$A$82,0),1)</f>
        <v>6320718</v>
      </c>
      <c r="V574" s="33">
        <f>SUMIFS(INDEX(Load,,MATCH('Summarized Source Data'!$C574,Hour,0)),Month,'Summarized Source Data'!$A574,Sector,'Summarized Source Data'!V$2,TimeOfWeek,$E574)*INDEX(About!R$79:R$82,MATCH($B574,About!$A$79:$A$82,0),1)</f>
        <v>6320718</v>
      </c>
      <c r="W574" s="33">
        <f>SUMIFS(INDEX(Load,,MATCH('Summarized Source Data'!$C574,Hour,0)),Month,'Summarized Source Data'!$A574,Sector,'Summarized Source Data'!W$2,TimeOfWeek,$E574)*INDEX(About!S$79:S$82,MATCH($B574,About!$A$79:$A$82,0),1)</f>
        <v>6320718</v>
      </c>
      <c r="X574" s="27">
        <f>SUMIFS(INDEX(Load,,MATCH('Summarized Source Data'!$C574,Hour,0)),Month,'Summarized Source Data'!$A574,Sector,'Summarized Source Data'!X$2,Subsector,'Summarized Source Data'!X$3,TimeOfWeek,$E574)*INDEX(About!T$79:T$82,MATCH($B574,About!$A$79:$A$82,0),1)</f>
        <v>334000000</v>
      </c>
      <c r="Y574" s="29">
        <f t="shared" si="48"/>
        <v>334000000</v>
      </c>
      <c r="Z574" s="29">
        <f t="shared" si="48"/>
        <v>334000000</v>
      </c>
    </row>
    <row r="575" spans="1:26" x14ac:dyDescent="0.3">
      <c r="A575">
        <f t="shared" si="47"/>
        <v>12</v>
      </c>
      <c r="B575" t="str">
        <f>INDEX('Category Mapping'!$G$28:$G$39,MATCH(A575,'Category Mapping'!$A$28:$A$39,0),1)</f>
        <v>Winter</v>
      </c>
      <c r="C575" t="s">
        <v>82</v>
      </c>
      <c r="D575" s="6" t="s">
        <v>157</v>
      </c>
      <c r="E575" s="46" t="s">
        <v>48</v>
      </c>
      <c r="F575" s="27">
        <f>SUMIFS(INDEX(Load,,MATCH('Summarized Source Data'!$C575,Hour,0)),Month,'Summarized Source Data'!$A575,Sector,'Summarized Source Data'!F$2,Subsector,'Summarized Source Data'!F$3,TimeOfWeek,$E575)*INDEX(About!B$79:B$82,MATCH($B575,About!$A$79:$A$82,0),1)</f>
        <v>11000000</v>
      </c>
      <c r="G575" s="27">
        <f>SUMIFS(INDEX(Load,,MATCH('Summarized Source Data'!$C575,Hour,0)),Month,'Summarized Source Data'!$A575,Sector,'Summarized Source Data'!G$2,Subsector,'Summarized Source Data'!G$3,TimeOfWeek,$E575)*INDEX(About!C$79:C$82,MATCH($B575,About!$A$79:$A$82,0),1)</f>
        <v>7243</v>
      </c>
      <c r="H575" s="27">
        <f>SUMIFS(INDEX(Load,,MATCH('Summarized Source Data'!$C575,Hour,0)),Month,'Summarized Source Data'!$A575,Sector,'Summarized Source Data'!H$2,Subsector,'Summarized Source Data'!H$3,TimeOfWeek,$E575)*INDEX(About!D$79:D$82,MATCH($B575,About!$A$79:$A$82,0),1)</f>
        <v>0</v>
      </c>
      <c r="I575" s="27">
        <f>SUMIFS(INDEX(Load,,MATCH('Summarized Source Data'!$C575,Hour,0)),Month,'Summarized Source Data'!$A575,Sector,'Summarized Source Data'!I$2,Subsector,'Summarized Source Data'!I$3,TimeOfWeek,$E575)*INDEX(About!E$79:E$82,MATCH($B575,About!$A$79:$A$82,0),1)</f>
        <v>35000000</v>
      </c>
      <c r="J575" s="54">
        <f t="shared" si="43"/>
        <v>85992757</v>
      </c>
      <c r="K575" s="27">
        <f>(SUMIFS(INDEX(Load,,MATCH('Summarized Source Data'!$C575,Hour,0)),Month,'Summarized Source Data'!$A575,Sector,'Summarized Source Data'!K$2,Subsector,"Total",TimeOfWeek,$E575)-SUM(F575:I575))*INDEX(About!G$79:G$82,MATCH($B575,About!$A$79:$A$82,0),1)</f>
        <v>85992757</v>
      </c>
      <c r="L575" s="27">
        <f>SUMIFS(INDEX(Load,,MATCH('Summarized Source Data'!$C575,Hour,0)),Month,'Summarized Source Data'!$A575,Sector,'Summarized Source Data'!L$2,Subsector,'Summarized Source Data'!L$3,TimeOfWeek,$E575)*INDEX(About!H$79:H$82,MATCH($B575,About!$A$79:$A$82,0),1)</f>
        <v>14300000</v>
      </c>
      <c r="M575" s="27">
        <f>SUMIFS(INDEX(Load,,MATCH('Summarized Source Data'!$C575,Hour,0)),Month,'Summarized Source Data'!$A575,Sector,'Summarized Source Data'!M$2,Subsector,'Summarized Source Data'!M$3,TimeOfWeek,$E575)*INDEX(About!I$79:I$82,MATCH($B575,About!$A$79:$A$82,0),1)</f>
        <v>31266</v>
      </c>
      <c r="N575" s="27">
        <f>SUMIFS(INDEX(Load,,MATCH('Summarized Source Data'!$C575,Hour,0)),Month,'Summarized Source Data'!$A575,Sector,'Summarized Source Data'!N$2,Subsector,'Summarized Source Data'!N$3,TimeOfWeek,$E575)*INDEX(About!J$79:J$82,MATCH($B575,About!$A$79:$A$82,0),1)</f>
        <v>0</v>
      </c>
      <c r="O575" s="29">
        <f t="shared" si="44"/>
        <v>101668734</v>
      </c>
      <c r="P575" s="27">
        <f>(SUMIFS(INDEX(Load,,MATCH('Summarized Source Data'!$C575,Hour,0)),Month,'Summarized Source Data'!$A575,Sector,'Summarized Source Data'!P$2,Subsector,"Total",TimeOfWeek,$E575)-SUM(L575:N575)*INDEX(About!L$79:L$82,MATCH($B575,About!$A$79:$A$82,0),1))</f>
        <v>101668734</v>
      </c>
      <c r="Q575" s="29">
        <f t="shared" si="45"/>
        <v>101668734</v>
      </c>
      <c r="R575" s="33">
        <f>SUMIFS(INDEX(Load,,MATCH('Summarized Source Data'!$C575,Hour,0)),Month,'Summarized Source Data'!$A575,Sector,'Summarized Source Data'!R$2,TimeOfWeek,$E575)*INDEX(About!N$79:N$82,MATCH($B575,About!$A$79:$A$82,0),1)</f>
        <v>6186043</v>
      </c>
      <c r="S575" s="33">
        <f>SUMIFS(INDEX(Load,,MATCH('Summarized Source Data'!$C575,Hour,0)),Month,'Summarized Source Data'!$A575,Sector,'Summarized Source Data'!S$2,TimeOfWeek,$E575)*INDEX(About!O$79:O$82,MATCH($B575,About!$A$79:$A$82,0),1)</f>
        <v>6186043</v>
      </c>
      <c r="T575" s="33">
        <f>SUMIFS(INDEX(Load,,MATCH('Summarized Source Data'!$C575,Hour,0)),Month,'Summarized Source Data'!$A575,Sector,'Summarized Source Data'!T$2,TimeOfWeek,$E575)*INDEX(About!P$79:P$82,MATCH($B575,About!$A$79:$A$82,0),1)</f>
        <v>6186043</v>
      </c>
      <c r="U575" s="33">
        <f>SUMIFS(INDEX(Load,,MATCH('Summarized Source Data'!$C575,Hour,0)),Month,'Summarized Source Data'!$A575,Sector,'Summarized Source Data'!U$2,TimeOfWeek,$E575)*INDEX(About!Q$79:Q$82,MATCH($B575,About!$A$79:$A$82,0),1)</f>
        <v>6186043</v>
      </c>
      <c r="V575" s="33">
        <f>SUMIFS(INDEX(Load,,MATCH('Summarized Source Data'!$C575,Hour,0)),Month,'Summarized Source Data'!$A575,Sector,'Summarized Source Data'!V$2,TimeOfWeek,$E575)*INDEX(About!R$79:R$82,MATCH($B575,About!$A$79:$A$82,0),1)</f>
        <v>6186043</v>
      </c>
      <c r="W575" s="33">
        <f>SUMIFS(INDEX(Load,,MATCH('Summarized Source Data'!$C575,Hour,0)),Month,'Summarized Source Data'!$A575,Sector,'Summarized Source Data'!W$2,TimeOfWeek,$E575)*INDEX(About!S$79:S$82,MATCH($B575,About!$A$79:$A$82,0),1)</f>
        <v>6186043</v>
      </c>
      <c r="X575" s="27">
        <f>SUMIFS(INDEX(Load,,MATCH('Summarized Source Data'!$C575,Hour,0)),Month,'Summarized Source Data'!$A575,Sector,'Summarized Source Data'!X$2,Subsector,'Summarized Source Data'!X$3,TimeOfWeek,$E575)*INDEX(About!T$79:T$82,MATCH($B575,About!$A$79:$A$82,0),1)</f>
        <v>332000000</v>
      </c>
      <c r="Y575" s="29">
        <f t="shared" si="48"/>
        <v>332000000</v>
      </c>
      <c r="Z575" s="29">
        <f t="shared" si="48"/>
        <v>332000000</v>
      </c>
    </row>
    <row r="576" spans="1:26" x14ac:dyDescent="0.3">
      <c r="A576">
        <f t="shared" si="47"/>
        <v>12</v>
      </c>
      <c r="B576" t="str">
        <f>INDEX('Category Mapping'!$G$28:$G$39,MATCH(A576,'Category Mapping'!$A$28:$A$39,0),1)</f>
        <v>Winter</v>
      </c>
      <c r="C576" t="s">
        <v>83</v>
      </c>
      <c r="D576" s="6" t="s">
        <v>158</v>
      </c>
      <c r="E576" s="46" t="s">
        <v>48</v>
      </c>
      <c r="F576" s="27">
        <f>SUMIFS(INDEX(Load,,MATCH('Summarized Source Data'!$C576,Hour,0)),Month,'Summarized Source Data'!$A576,Sector,'Summarized Source Data'!F$2,Subsector,'Summarized Source Data'!F$3,TimeOfWeek,$E576)*INDEX(About!B$79:B$82,MATCH($B576,About!$A$79:$A$82,0),1)</f>
        <v>11400000</v>
      </c>
      <c r="G576" s="27">
        <f>SUMIFS(INDEX(Load,,MATCH('Summarized Source Data'!$C576,Hour,0)),Month,'Summarized Source Data'!$A576,Sector,'Summarized Source Data'!G$2,Subsector,'Summarized Source Data'!G$3,TimeOfWeek,$E576)*INDEX(About!C$79:C$82,MATCH($B576,About!$A$79:$A$82,0),1)</f>
        <v>7584</v>
      </c>
      <c r="H576" s="27">
        <f>SUMIFS(INDEX(Load,,MATCH('Summarized Source Data'!$C576,Hour,0)),Month,'Summarized Source Data'!$A576,Sector,'Summarized Source Data'!H$2,Subsector,'Summarized Source Data'!H$3,TimeOfWeek,$E576)*INDEX(About!D$79:D$82,MATCH($B576,About!$A$79:$A$82,0),1)</f>
        <v>0</v>
      </c>
      <c r="I576" s="27">
        <f>SUMIFS(INDEX(Load,,MATCH('Summarized Source Data'!$C576,Hour,0)),Month,'Summarized Source Data'!$A576,Sector,'Summarized Source Data'!I$2,Subsector,'Summarized Source Data'!I$3,TimeOfWeek,$E576)*INDEX(About!E$79:E$82,MATCH($B576,About!$A$79:$A$82,0),1)</f>
        <v>34800000</v>
      </c>
      <c r="J576" s="54">
        <f t="shared" si="43"/>
        <v>80792416</v>
      </c>
      <c r="K576" s="27">
        <f>(SUMIFS(INDEX(Load,,MATCH('Summarized Source Data'!$C576,Hour,0)),Month,'Summarized Source Data'!$A576,Sector,'Summarized Source Data'!K$2,Subsector,"Total",TimeOfWeek,$E576)-SUM(F576:I576))*INDEX(About!G$79:G$82,MATCH($B576,About!$A$79:$A$82,0),1)</f>
        <v>80792416</v>
      </c>
      <c r="L576" s="27">
        <f>SUMIFS(INDEX(Load,,MATCH('Summarized Source Data'!$C576,Hour,0)),Month,'Summarized Source Data'!$A576,Sector,'Summarized Source Data'!L$2,Subsector,'Summarized Source Data'!L$3,TimeOfWeek,$E576)*INDEX(About!H$79:H$82,MATCH($B576,About!$A$79:$A$82,0),1)</f>
        <v>14600000</v>
      </c>
      <c r="M576" s="27">
        <f>SUMIFS(INDEX(Load,,MATCH('Summarized Source Data'!$C576,Hour,0)),Month,'Summarized Source Data'!$A576,Sector,'Summarized Source Data'!M$2,Subsector,'Summarized Source Data'!M$3,TimeOfWeek,$E576)*INDEX(About!I$79:I$82,MATCH($B576,About!$A$79:$A$82,0),1)</f>
        <v>30417</v>
      </c>
      <c r="N576" s="27">
        <f>SUMIFS(INDEX(Load,,MATCH('Summarized Source Data'!$C576,Hour,0)),Month,'Summarized Source Data'!$A576,Sector,'Summarized Source Data'!N$2,Subsector,'Summarized Source Data'!N$3,TimeOfWeek,$E576)*INDEX(About!J$79:J$82,MATCH($B576,About!$A$79:$A$82,0),1)</f>
        <v>0</v>
      </c>
      <c r="O576" s="29">
        <f t="shared" si="44"/>
        <v>97369583</v>
      </c>
      <c r="P576" s="27">
        <f>(SUMIFS(INDEX(Load,,MATCH('Summarized Source Data'!$C576,Hour,0)),Month,'Summarized Source Data'!$A576,Sector,'Summarized Source Data'!P$2,Subsector,"Total",TimeOfWeek,$E576)-SUM(L576:N576)*INDEX(About!L$79:L$82,MATCH($B576,About!$A$79:$A$82,0),1))</f>
        <v>97369583</v>
      </c>
      <c r="Q576" s="29">
        <f t="shared" si="45"/>
        <v>97369583</v>
      </c>
      <c r="R576" s="33">
        <f>SUMIFS(INDEX(Load,,MATCH('Summarized Source Data'!$C576,Hour,0)),Month,'Summarized Source Data'!$A576,Sector,'Summarized Source Data'!R$2,TimeOfWeek,$E576)*INDEX(About!N$79:N$82,MATCH($B576,About!$A$79:$A$82,0),1)</f>
        <v>6004524</v>
      </c>
      <c r="S576" s="33">
        <f>SUMIFS(INDEX(Load,,MATCH('Summarized Source Data'!$C576,Hour,0)),Month,'Summarized Source Data'!$A576,Sector,'Summarized Source Data'!S$2,TimeOfWeek,$E576)*INDEX(About!O$79:O$82,MATCH($B576,About!$A$79:$A$82,0),1)</f>
        <v>6004524</v>
      </c>
      <c r="T576" s="33">
        <f>SUMIFS(INDEX(Load,,MATCH('Summarized Source Data'!$C576,Hour,0)),Month,'Summarized Source Data'!$A576,Sector,'Summarized Source Data'!T$2,TimeOfWeek,$E576)*INDEX(About!P$79:P$82,MATCH($B576,About!$A$79:$A$82,0),1)</f>
        <v>6004524</v>
      </c>
      <c r="U576" s="33">
        <f>SUMIFS(INDEX(Load,,MATCH('Summarized Source Data'!$C576,Hour,0)),Month,'Summarized Source Data'!$A576,Sector,'Summarized Source Data'!U$2,TimeOfWeek,$E576)*INDEX(About!Q$79:Q$82,MATCH($B576,About!$A$79:$A$82,0),1)</f>
        <v>6004524</v>
      </c>
      <c r="V576" s="33">
        <f>SUMIFS(INDEX(Load,,MATCH('Summarized Source Data'!$C576,Hour,0)),Month,'Summarized Source Data'!$A576,Sector,'Summarized Source Data'!V$2,TimeOfWeek,$E576)*INDEX(About!R$79:R$82,MATCH($B576,About!$A$79:$A$82,0),1)</f>
        <v>6004524</v>
      </c>
      <c r="W576" s="33">
        <f>SUMIFS(INDEX(Load,,MATCH('Summarized Source Data'!$C576,Hour,0)),Month,'Summarized Source Data'!$A576,Sector,'Summarized Source Data'!W$2,TimeOfWeek,$E576)*INDEX(About!S$79:S$82,MATCH($B576,About!$A$79:$A$82,0),1)</f>
        <v>6004524</v>
      </c>
      <c r="X576" s="27">
        <f>SUMIFS(INDEX(Load,,MATCH('Summarized Source Data'!$C576,Hour,0)),Month,'Summarized Source Data'!$A576,Sector,'Summarized Source Data'!X$2,Subsector,'Summarized Source Data'!X$3,TimeOfWeek,$E576)*INDEX(About!T$79:T$82,MATCH($B576,About!$A$79:$A$82,0),1)</f>
        <v>330000000</v>
      </c>
      <c r="Y576" s="29">
        <f t="shared" si="48"/>
        <v>330000000</v>
      </c>
      <c r="Z576" s="29">
        <f t="shared" si="48"/>
        <v>330000000</v>
      </c>
    </row>
    <row r="577" spans="1:26" x14ac:dyDescent="0.3">
      <c r="A577">
        <f t="shared" si="47"/>
        <v>12</v>
      </c>
      <c r="B577" t="str">
        <f>INDEX('Category Mapping'!$G$28:$G$39,MATCH(A577,'Category Mapping'!$A$28:$A$39,0),1)</f>
        <v>Winter</v>
      </c>
      <c r="C577" t="s">
        <v>84</v>
      </c>
      <c r="D577" s="6" t="s">
        <v>159</v>
      </c>
      <c r="E577" s="46" t="s">
        <v>48</v>
      </c>
      <c r="F577" s="27">
        <f>SUMIFS(INDEX(Load,,MATCH('Summarized Source Data'!$C577,Hour,0)),Month,'Summarized Source Data'!$A577,Sector,'Summarized Source Data'!F$2,Subsector,'Summarized Source Data'!F$3,TimeOfWeek,$E577)*INDEX(About!B$79:B$82,MATCH($B577,About!$A$79:$A$82,0),1)</f>
        <v>10900000</v>
      </c>
      <c r="G577" s="27">
        <f>SUMIFS(INDEX(Load,,MATCH('Summarized Source Data'!$C577,Hour,0)),Month,'Summarized Source Data'!$A577,Sector,'Summarized Source Data'!G$2,Subsector,'Summarized Source Data'!G$3,TimeOfWeek,$E577)*INDEX(About!C$79:C$82,MATCH($B577,About!$A$79:$A$82,0),1)</f>
        <v>7906</v>
      </c>
      <c r="H577" s="27">
        <f>SUMIFS(INDEX(Load,,MATCH('Summarized Source Data'!$C577,Hour,0)),Month,'Summarized Source Data'!$A577,Sector,'Summarized Source Data'!H$2,Subsector,'Summarized Source Data'!H$3,TimeOfWeek,$E577)*INDEX(About!D$79:D$82,MATCH($B577,About!$A$79:$A$82,0),1)</f>
        <v>0</v>
      </c>
      <c r="I577" s="27">
        <f>SUMIFS(INDEX(Load,,MATCH('Summarized Source Data'!$C577,Hour,0)),Month,'Summarized Source Data'!$A577,Sector,'Summarized Source Data'!I$2,Subsector,'Summarized Source Data'!I$3,TimeOfWeek,$E577)*INDEX(About!E$79:E$82,MATCH($B577,About!$A$79:$A$82,0),1)</f>
        <v>28800000</v>
      </c>
      <c r="J577" s="54">
        <f t="shared" si="43"/>
        <v>74292094</v>
      </c>
      <c r="K577" s="27">
        <f>(SUMIFS(INDEX(Load,,MATCH('Summarized Source Data'!$C577,Hour,0)),Month,'Summarized Source Data'!$A577,Sector,'Summarized Source Data'!K$2,Subsector,"Total",TimeOfWeek,$E577)-SUM(F577:I577))*INDEX(About!G$79:G$82,MATCH($B577,About!$A$79:$A$82,0),1)</f>
        <v>74292094</v>
      </c>
      <c r="L577" s="27">
        <f>SUMIFS(INDEX(Load,,MATCH('Summarized Source Data'!$C577,Hour,0)),Month,'Summarized Source Data'!$A577,Sector,'Summarized Source Data'!L$2,Subsector,'Summarized Source Data'!L$3,TimeOfWeek,$E577)*INDEX(About!H$79:H$82,MATCH($B577,About!$A$79:$A$82,0),1)</f>
        <v>15600000</v>
      </c>
      <c r="M577" s="27">
        <f>SUMIFS(INDEX(Load,,MATCH('Summarized Source Data'!$C577,Hour,0)),Month,'Summarized Source Data'!$A577,Sector,'Summarized Source Data'!M$2,Subsector,'Summarized Source Data'!M$3,TimeOfWeek,$E577)*INDEX(About!I$79:I$82,MATCH($B577,About!$A$79:$A$82,0),1)</f>
        <v>29551</v>
      </c>
      <c r="N577" s="27">
        <f>SUMIFS(INDEX(Load,,MATCH('Summarized Source Data'!$C577,Hour,0)),Month,'Summarized Source Data'!$A577,Sector,'Summarized Source Data'!N$2,Subsector,'Summarized Source Data'!N$3,TimeOfWeek,$E577)*INDEX(About!J$79:J$82,MATCH($B577,About!$A$79:$A$82,0),1)</f>
        <v>0</v>
      </c>
      <c r="O577" s="29">
        <f t="shared" si="44"/>
        <v>90370449</v>
      </c>
      <c r="P577" s="27">
        <f>(SUMIFS(INDEX(Load,,MATCH('Summarized Source Data'!$C577,Hour,0)),Month,'Summarized Source Data'!$A577,Sector,'Summarized Source Data'!P$2,Subsector,"Total",TimeOfWeek,$E577)-SUM(L577:N577)*INDEX(About!L$79:L$82,MATCH($B577,About!$A$79:$A$82,0),1))</f>
        <v>90370449</v>
      </c>
      <c r="Q577" s="29">
        <f t="shared" si="45"/>
        <v>90370449</v>
      </c>
      <c r="R577" s="33">
        <f>SUMIFS(INDEX(Load,,MATCH('Summarized Source Data'!$C577,Hour,0)),Month,'Summarized Source Data'!$A577,Sector,'Summarized Source Data'!R$2,TimeOfWeek,$E577)*INDEX(About!N$79:N$82,MATCH($B577,About!$A$79:$A$82,0),1)</f>
        <v>5799583</v>
      </c>
      <c r="S577" s="33">
        <f>SUMIFS(INDEX(Load,,MATCH('Summarized Source Data'!$C577,Hour,0)),Month,'Summarized Source Data'!$A577,Sector,'Summarized Source Data'!S$2,TimeOfWeek,$E577)*INDEX(About!O$79:O$82,MATCH($B577,About!$A$79:$A$82,0),1)</f>
        <v>5799583</v>
      </c>
      <c r="T577" s="33">
        <f>SUMIFS(INDEX(Load,,MATCH('Summarized Source Data'!$C577,Hour,0)),Month,'Summarized Source Data'!$A577,Sector,'Summarized Source Data'!T$2,TimeOfWeek,$E577)*INDEX(About!P$79:P$82,MATCH($B577,About!$A$79:$A$82,0),1)</f>
        <v>5799583</v>
      </c>
      <c r="U577" s="33">
        <f>SUMIFS(INDEX(Load,,MATCH('Summarized Source Data'!$C577,Hour,0)),Month,'Summarized Source Data'!$A577,Sector,'Summarized Source Data'!U$2,TimeOfWeek,$E577)*INDEX(About!Q$79:Q$82,MATCH($B577,About!$A$79:$A$82,0),1)</f>
        <v>5799583</v>
      </c>
      <c r="V577" s="33">
        <f>SUMIFS(INDEX(Load,,MATCH('Summarized Source Data'!$C577,Hour,0)),Month,'Summarized Source Data'!$A577,Sector,'Summarized Source Data'!V$2,TimeOfWeek,$E577)*INDEX(About!R$79:R$82,MATCH($B577,About!$A$79:$A$82,0),1)</f>
        <v>5799583</v>
      </c>
      <c r="W577" s="33">
        <f>SUMIFS(INDEX(Load,,MATCH('Summarized Source Data'!$C577,Hour,0)),Month,'Summarized Source Data'!$A577,Sector,'Summarized Source Data'!W$2,TimeOfWeek,$E577)*INDEX(About!S$79:S$82,MATCH($B577,About!$A$79:$A$82,0),1)</f>
        <v>5799583</v>
      </c>
      <c r="X577" s="27">
        <f>SUMIFS(INDEX(Load,,MATCH('Summarized Source Data'!$C577,Hour,0)),Month,'Summarized Source Data'!$A577,Sector,'Summarized Source Data'!X$2,Subsector,'Summarized Source Data'!X$3,TimeOfWeek,$E577)*INDEX(About!T$79:T$82,MATCH($B577,About!$A$79:$A$82,0),1)</f>
        <v>327000000</v>
      </c>
      <c r="Y577" s="29">
        <f t="shared" si="48"/>
        <v>327000000</v>
      </c>
      <c r="Z577" s="29">
        <f t="shared" si="48"/>
        <v>327000000</v>
      </c>
    </row>
    <row r="578" spans="1:26" x14ac:dyDescent="0.3">
      <c r="A578">
        <f t="shared" si="47"/>
        <v>12</v>
      </c>
      <c r="B578" t="str">
        <f>INDEX('Category Mapping'!$G$28:$G$39,MATCH(A578,'Category Mapping'!$A$28:$A$39,0),1)</f>
        <v>Winter</v>
      </c>
      <c r="C578" t="s">
        <v>85</v>
      </c>
      <c r="D578" s="6" t="s">
        <v>160</v>
      </c>
      <c r="E578" s="46" t="s">
        <v>48</v>
      </c>
      <c r="F578" s="27">
        <f>SUMIFS(INDEX(Load,,MATCH('Summarized Source Data'!$C578,Hour,0)),Month,'Summarized Source Data'!$A578,Sector,'Summarized Source Data'!F$2,Subsector,'Summarized Source Data'!F$3,TimeOfWeek,$E578)*INDEX(About!B$79:B$82,MATCH($B578,About!$A$79:$A$82,0),1)</f>
        <v>9781972</v>
      </c>
      <c r="G578" s="27">
        <f>SUMIFS(INDEX(Load,,MATCH('Summarized Source Data'!$C578,Hour,0)),Month,'Summarized Source Data'!$A578,Sector,'Summarized Source Data'!G$2,Subsector,'Summarized Source Data'!G$3,TimeOfWeek,$E578)*INDEX(About!C$79:C$82,MATCH($B578,About!$A$79:$A$82,0),1)</f>
        <v>8205</v>
      </c>
      <c r="H578" s="27">
        <f>SUMIFS(INDEX(Load,,MATCH('Summarized Source Data'!$C578,Hour,0)),Month,'Summarized Source Data'!$A578,Sector,'Summarized Source Data'!H$2,Subsector,'Summarized Source Data'!H$3,TimeOfWeek,$E578)*INDEX(About!D$79:D$82,MATCH($B578,About!$A$79:$A$82,0),1)</f>
        <v>0</v>
      </c>
      <c r="I578" s="27">
        <f>SUMIFS(INDEX(Load,,MATCH('Summarized Source Data'!$C578,Hour,0)),Month,'Summarized Source Data'!$A578,Sector,'Summarized Source Data'!I$2,Subsector,'Summarized Source Data'!I$3,TimeOfWeek,$E578)*INDEX(About!E$79:E$82,MATCH($B578,About!$A$79:$A$82,0),1)</f>
        <v>18600000</v>
      </c>
      <c r="J578" s="54">
        <f t="shared" si="43"/>
        <v>62609823</v>
      </c>
      <c r="K578" s="27">
        <f>(SUMIFS(INDEX(Load,,MATCH('Summarized Source Data'!$C578,Hour,0)),Month,'Summarized Source Data'!$A578,Sector,'Summarized Source Data'!K$2,Subsector,"Total",TimeOfWeek,$E578)-SUM(F578:I578))*INDEX(About!G$79:G$82,MATCH($B578,About!$A$79:$A$82,0),1)</f>
        <v>62609823</v>
      </c>
      <c r="L578" s="27">
        <f>SUMIFS(INDEX(Load,,MATCH('Summarized Source Data'!$C578,Hour,0)),Month,'Summarized Source Data'!$A578,Sector,'Summarized Source Data'!L$2,Subsector,'Summarized Source Data'!L$3,TimeOfWeek,$E578)*INDEX(About!H$79:H$82,MATCH($B578,About!$A$79:$A$82,0),1)</f>
        <v>16000000</v>
      </c>
      <c r="M578" s="27">
        <f>SUMIFS(INDEX(Load,,MATCH('Summarized Source Data'!$C578,Hour,0)),Month,'Summarized Source Data'!$A578,Sector,'Summarized Source Data'!M$2,Subsector,'Summarized Source Data'!M$3,TimeOfWeek,$E578)*INDEX(About!I$79:I$82,MATCH($B578,About!$A$79:$A$82,0),1)</f>
        <v>28510</v>
      </c>
      <c r="N578" s="27">
        <f>SUMIFS(INDEX(Load,,MATCH('Summarized Source Data'!$C578,Hour,0)),Month,'Summarized Source Data'!$A578,Sector,'Summarized Source Data'!N$2,Subsector,'Summarized Source Data'!N$3,TimeOfWeek,$E578)*INDEX(About!J$79:J$82,MATCH($B578,About!$A$79:$A$82,0),1)</f>
        <v>0</v>
      </c>
      <c r="O578" s="29">
        <f t="shared" si="44"/>
        <v>85971490</v>
      </c>
      <c r="P578" s="27">
        <f>(SUMIFS(INDEX(Load,,MATCH('Summarized Source Data'!$C578,Hour,0)),Month,'Summarized Source Data'!$A578,Sector,'Summarized Source Data'!P$2,Subsector,"Total",TimeOfWeek,$E578)-SUM(L578:N578)*INDEX(About!L$79:L$82,MATCH($B578,About!$A$79:$A$82,0),1))</f>
        <v>85971490</v>
      </c>
      <c r="Q578" s="29">
        <f t="shared" si="45"/>
        <v>85971490</v>
      </c>
      <c r="R578" s="33">
        <f>SUMIFS(INDEX(Load,,MATCH('Summarized Source Data'!$C578,Hour,0)),Month,'Summarized Source Data'!$A578,Sector,'Summarized Source Data'!R$2,TimeOfWeek,$E578)*INDEX(About!N$79:N$82,MATCH($B578,About!$A$79:$A$82,0),1)</f>
        <v>5729317</v>
      </c>
      <c r="S578" s="33">
        <f>SUMIFS(INDEX(Load,,MATCH('Summarized Source Data'!$C578,Hour,0)),Month,'Summarized Source Data'!$A578,Sector,'Summarized Source Data'!S$2,TimeOfWeek,$E578)*INDEX(About!O$79:O$82,MATCH($B578,About!$A$79:$A$82,0),1)</f>
        <v>5729317</v>
      </c>
      <c r="T578" s="33">
        <f>SUMIFS(INDEX(Load,,MATCH('Summarized Source Data'!$C578,Hour,0)),Month,'Summarized Source Data'!$A578,Sector,'Summarized Source Data'!T$2,TimeOfWeek,$E578)*INDEX(About!P$79:P$82,MATCH($B578,About!$A$79:$A$82,0),1)</f>
        <v>5729317</v>
      </c>
      <c r="U578" s="33">
        <f>SUMIFS(INDEX(Load,,MATCH('Summarized Source Data'!$C578,Hour,0)),Month,'Summarized Source Data'!$A578,Sector,'Summarized Source Data'!U$2,TimeOfWeek,$E578)*INDEX(About!Q$79:Q$82,MATCH($B578,About!$A$79:$A$82,0),1)</f>
        <v>5729317</v>
      </c>
      <c r="V578" s="33">
        <f>SUMIFS(INDEX(Load,,MATCH('Summarized Source Data'!$C578,Hour,0)),Month,'Summarized Source Data'!$A578,Sector,'Summarized Source Data'!V$2,TimeOfWeek,$E578)*INDEX(About!R$79:R$82,MATCH($B578,About!$A$79:$A$82,0),1)</f>
        <v>5729317</v>
      </c>
      <c r="W578" s="33">
        <f>SUMIFS(INDEX(Load,,MATCH('Summarized Source Data'!$C578,Hour,0)),Month,'Summarized Source Data'!$A578,Sector,'Summarized Source Data'!W$2,TimeOfWeek,$E578)*INDEX(About!S$79:S$82,MATCH($B578,About!$A$79:$A$82,0),1)</f>
        <v>5729317</v>
      </c>
      <c r="X578" s="27">
        <f>SUMIFS(INDEX(Load,,MATCH('Summarized Source Data'!$C578,Hour,0)),Month,'Summarized Source Data'!$A578,Sector,'Summarized Source Data'!X$2,Subsector,'Summarized Source Data'!X$3,TimeOfWeek,$E578)*INDEX(About!T$79:T$82,MATCH($B578,About!$A$79:$A$82,0),1)</f>
        <v>325000000</v>
      </c>
      <c r="Y578" s="29">
        <f t="shared" si="48"/>
        <v>325000000</v>
      </c>
      <c r="Z578" s="29">
        <f t="shared" si="48"/>
        <v>325000000</v>
      </c>
    </row>
    <row r="579" spans="1:26" x14ac:dyDescent="0.3">
      <c r="A579">
        <f t="shared" si="47"/>
        <v>12</v>
      </c>
      <c r="B579" t="str">
        <f>INDEX('Category Mapping'!$G$28:$G$39,MATCH(A579,'Category Mapping'!$A$28:$A$39,0),1)</f>
        <v>Winter</v>
      </c>
      <c r="C579" t="s">
        <v>86</v>
      </c>
      <c r="D579" s="6" t="s">
        <v>161</v>
      </c>
      <c r="E579" s="46" t="s">
        <v>48</v>
      </c>
      <c r="F579" s="27">
        <f>SUMIFS(INDEX(Load,,MATCH('Summarized Source Data'!$C579,Hour,0)),Month,'Summarized Source Data'!$A579,Sector,'Summarized Source Data'!F$2,Subsector,'Summarized Source Data'!F$3,TimeOfWeek,$E579)*INDEX(About!B$79:B$82,MATCH($B579,About!$A$79:$A$82,0),1)</f>
        <v>9358097</v>
      </c>
      <c r="G579" s="27">
        <f>SUMIFS(INDEX(Load,,MATCH('Summarized Source Data'!$C579,Hour,0)),Month,'Summarized Source Data'!$A579,Sector,'Summarized Source Data'!G$2,Subsector,'Summarized Source Data'!G$3,TimeOfWeek,$E579)*INDEX(About!C$79:C$82,MATCH($B579,About!$A$79:$A$82,0),1)</f>
        <v>8462</v>
      </c>
      <c r="H579" s="27">
        <f>SUMIFS(INDEX(Load,,MATCH('Summarized Source Data'!$C579,Hour,0)),Month,'Summarized Source Data'!$A579,Sector,'Summarized Source Data'!H$2,Subsector,'Summarized Source Data'!H$3,TimeOfWeek,$E579)*INDEX(About!D$79:D$82,MATCH($B579,About!$A$79:$A$82,0),1)</f>
        <v>0</v>
      </c>
      <c r="I579" s="27">
        <f>SUMIFS(INDEX(Load,,MATCH('Summarized Source Data'!$C579,Hour,0)),Month,'Summarized Source Data'!$A579,Sector,'Summarized Source Data'!I$2,Subsector,'Summarized Source Data'!I$3,TimeOfWeek,$E579)*INDEX(About!E$79:E$82,MATCH($B579,About!$A$79:$A$82,0),1)</f>
        <v>10400000</v>
      </c>
      <c r="J579" s="54">
        <f t="shared" si="43"/>
        <v>49833441</v>
      </c>
      <c r="K579" s="27">
        <f>(SUMIFS(INDEX(Load,,MATCH('Summarized Source Data'!$C579,Hour,0)),Month,'Summarized Source Data'!$A579,Sector,'Summarized Source Data'!K$2,Subsector,"Total",TimeOfWeek,$E579)-SUM(F579:I579))*INDEX(About!G$79:G$82,MATCH($B579,About!$A$79:$A$82,0),1)</f>
        <v>49833441</v>
      </c>
      <c r="L579" s="27">
        <f>SUMIFS(INDEX(Load,,MATCH('Summarized Source Data'!$C579,Hour,0)),Month,'Summarized Source Data'!$A579,Sector,'Summarized Source Data'!L$2,Subsector,'Summarized Source Data'!L$3,TimeOfWeek,$E579)*INDEX(About!H$79:H$82,MATCH($B579,About!$A$79:$A$82,0),1)</f>
        <v>13100000</v>
      </c>
      <c r="M579" s="27">
        <f>SUMIFS(INDEX(Load,,MATCH('Summarized Source Data'!$C579,Hour,0)),Month,'Summarized Source Data'!$A579,Sector,'Summarized Source Data'!M$2,Subsector,'Summarized Source Data'!M$3,TimeOfWeek,$E579)*INDEX(About!I$79:I$82,MATCH($B579,About!$A$79:$A$82,0),1)</f>
        <v>27087</v>
      </c>
      <c r="N579" s="27">
        <f>SUMIFS(INDEX(Load,,MATCH('Summarized Source Data'!$C579,Hour,0)),Month,'Summarized Source Data'!$A579,Sector,'Summarized Source Data'!N$2,Subsector,'Summarized Source Data'!N$3,TimeOfWeek,$E579)*INDEX(About!J$79:J$82,MATCH($B579,About!$A$79:$A$82,0),1)</f>
        <v>0</v>
      </c>
      <c r="O579" s="29">
        <f t="shared" si="44"/>
        <v>78772913</v>
      </c>
      <c r="P579" s="27">
        <f>(SUMIFS(INDEX(Load,,MATCH('Summarized Source Data'!$C579,Hour,0)),Month,'Summarized Source Data'!$A579,Sector,'Summarized Source Data'!P$2,Subsector,"Total",TimeOfWeek,$E579)-SUM(L579:N579)*INDEX(About!L$79:L$82,MATCH($B579,About!$A$79:$A$82,0),1))</f>
        <v>78772913</v>
      </c>
      <c r="Q579" s="29">
        <f t="shared" si="45"/>
        <v>78772913</v>
      </c>
      <c r="R579" s="33">
        <f>SUMIFS(INDEX(Load,,MATCH('Summarized Source Data'!$C579,Hour,0)),Month,'Summarized Source Data'!$A579,Sector,'Summarized Source Data'!R$2,TimeOfWeek,$E579)*INDEX(About!N$79:N$82,MATCH($B579,About!$A$79:$A$82,0),1)</f>
        <v>3849980</v>
      </c>
      <c r="S579" s="33">
        <f>SUMIFS(INDEX(Load,,MATCH('Summarized Source Data'!$C579,Hour,0)),Month,'Summarized Source Data'!$A579,Sector,'Summarized Source Data'!S$2,TimeOfWeek,$E579)*INDEX(About!O$79:O$82,MATCH($B579,About!$A$79:$A$82,0),1)</f>
        <v>3849980</v>
      </c>
      <c r="T579" s="33">
        <f>SUMIFS(INDEX(Load,,MATCH('Summarized Source Data'!$C579,Hour,0)),Month,'Summarized Source Data'!$A579,Sector,'Summarized Source Data'!T$2,TimeOfWeek,$E579)*INDEX(About!P$79:P$82,MATCH($B579,About!$A$79:$A$82,0),1)</f>
        <v>3849980</v>
      </c>
      <c r="U579" s="33">
        <f>SUMIFS(INDEX(Load,,MATCH('Summarized Source Data'!$C579,Hour,0)),Month,'Summarized Source Data'!$A579,Sector,'Summarized Source Data'!U$2,TimeOfWeek,$E579)*INDEX(About!Q$79:Q$82,MATCH($B579,About!$A$79:$A$82,0),1)</f>
        <v>3849980</v>
      </c>
      <c r="V579" s="33">
        <f>SUMIFS(INDEX(Load,,MATCH('Summarized Source Data'!$C579,Hour,0)),Month,'Summarized Source Data'!$A579,Sector,'Summarized Source Data'!V$2,TimeOfWeek,$E579)*INDEX(About!R$79:R$82,MATCH($B579,About!$A$79:$A$82,0),1)</f>
        <v>3849980</v>
      </c>
      <c r="W579" s="33">
        <f>SUMIFS(INDEX(Load,,MATCH('Summarized Source Data'!$C579,Hour,0)),Month,'Summarized Source Data'!$A579,Sector,'Summarized Source Data'!W$2,TimeOfWeek,$E579)*INDEX(About!S$79:S$82,MATCH($B579,About!$A$79:$A$82,0),1)</f>
        <v>3849980</v>
      </c>
      <c r="X579" s="27">
        <f>SUMIFS(INDEX(Load,,MATCH('Summarized Source Data'!$C579,Hour,0)),Month,'Summarized Source Data'!$A579,Sector,'Summarized Source Data'!X$2,Subsector,'Summarized Source Data'!X$3,TimeOfWeek,$E579)*INDEX(About!T$79:T$82,MATCH($B579,About!$A$79:$A$82,0),1)</f>
        <v>323000000</v>
      </c>
      <c r="Y579" s="29">
        <f t="shared" si="48"/>
        <v>323000000</v>
      </c>
      <c r="Z579" s="29">
        <f t="shared" si="48"/>
        <v>323000000</v>
      </c>
    </row>
    <row r="580" spans="1:26" x14ac:dyDescent="0.3"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</row>
    <row r="581" spans="1:26" x14ac:dyDescent="0.3">
      <c r="A581" s="66" t="s">
        <v>115</v>
      </c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</row>
    <row r="582" spans="1:26" x14ac:dyDescent="0.3">
      <c r="F582" t="s">
        <v>116</v>
      </c>
      <c r="G582" t="s">
        <v>116</v>
      </c>
      <c r="H582" t="s">
        <v>116</v>
      </c>
      <c r="I582" t="s">
        <v>116</v>
      </c>
      <c r="J582" t="s">
        <v>116</v>
      </c>
      <c r="K582" t="s">
        <v>116</v>
      </c>
      <c r="L582" t="s">
        <v>117</v>
      </c>
      <c r="M582" t="s">
        <v>117</v>
      </c>
      <c r="N582" t="s">
        <v>117</v>
      </c>
      <c r="O582" t="s">
        <v>117</v>
      </c>
      <c r="P582" t="s">
        <v>117</v>
      </c>
      <c r="Q582" t="s">
        <v>117</v>
      </c>
      <c r="R582" t="s">
        <v>118</v>
      </c>
      <c r="S582" t="s">
        <v>118</v>
      </c>
      <c r="T582" t="s">
        <v>118</v>
      </c>
      <c r="U582" t="s">
        <v>118</v>
      </c>
      <c r="V582" t="s">
        <v>118</v>
      </c>
      <c r="W582" t="s">
        <v>118</v>
      </c>
      <c r="X582" t="s">
        <v>119</v>
      </c>
      <c r="Y582" t="s">
        <v>119</v>
      </c>
      <c r="Z582" s="21" t="s">
        <v>119</v>
      </c>
    </row>
    <row r="583" spans="1:26" ht="28.8" x14ac:dyDescent="0.3">
      <c r="A583" s="4" t="s">
        <v>62</v>
      </c>
      <c r="B583" s="4" t="s">
        <v>120</v>
      </c>
      <c r="C583" s="65" t="s">
        <v>121</v>
      </c>
      <c r="D583" s="65"/>
      <c r="E583" s="4" t="s">
        <v>122</v>
      </c>
      <c r="F583" s="4" t="s">
        <v>123</v>
      </c>
      <c r="G583" s="4" t="s">
        <v>124</v>
      </c>
      <c r="H583" s="4" t="s">
        <v>125</v>
      </c>
      <c r="I583" s="4" t="s">
        <v>126</v>
      </c>
      <c r="J583" s="4" t="s">
        <v>127</v>
      </c>
      <c r="K583" s="4" t="s">
        <v>128</v>
      </c>
      <c r="L583" s="4" t="s">
        <v>123</v>
      </c>
      <c r="M583" s="4" t="s">
        <v>124</v>
      </c>
      <c r="N583" s="4" t="s">
        <v>125</v>
      </c>
      <c r="O583" s="4" t="s">
        <v>126</v>
      </c>
      <c r="P583" s="4" t="s">
        <v>127</v>
      </c>
      <c r="Q583" s="4" t="s">
        <v>128</v>
      </c>
      <c r="R583" s="4" t="s">
        <v>129</v>
      </c>
      <c r="S583" s="4" t="s">
        <v>130</v>
      </c>
      <c r="T583" s="4" t="s">
        <v>131</v>
      </c>
      <c r="U583" s="4" t="s">
        <v>132</v>
      </c>
      <c r="V583" s="4" t="s">
        <v>133</v>
      </c>
      <c r="W583" s="4" t="s">
        <v>134</v>
      </c>
      <c r="X583" s="4" t="s">
        <v>119</v>
      </c>
      <c r="Y583" s="4" t="s">
        <v>135</v>
      </c>
      <c r="Z583" s="25" t="s">
        <v>136</v>
      </c>
    </row>
    <row r="584" spans="1:26" x14ac:dyDescent="0.3">
      <c r="A584">
        <f>A4</f>
        <v>1</v>
      </c>
      <c r="B584" t="str">
        <f t="shared" ref="B584:E584" si="49">B4</f>
        <v>Winter</v>
      </c>
      <c r="C584" t="str">
        <f t="shared" si="49"/>
        <v>h1</v>
      </c>
      <c r="D584" t="str">
        <f t="shared" si="49"/>
        <v>Hour0</v>
      </c>
      <c r="E584" t="str">
        <f t="shared" si="49"/>
        <v>Weekday</v>
      </c>
      <c r="F584" s="27">
        <f>F4*IF($E584="weekday",INDEX('Category Mapping'!$F$28:$F$39,MATCH('Summarized Source Data'!$A584,'Category Mapping'!$A$28:$A$39,0),1),INDEX('Category Mapping'!$E$28:$E$39,MATCH($A584,'Category Mapping'!$A$28:$A$39,0),1))</f>
        <v>458357142.85714287</v>
      </c>
      <c r="G584" s="27">
        <f>G4*IF($E584="weekday",INDEX('Category Mapping'!$F$28:$F$39,MATCH('Summarized Source Data'!$A584,'Category Mapping'!$A$28:$A$39,0),1),INDEX('Category Mapping'!$E$28:$E$39,MATCH($A584,'Category Mapping'!$A$28:$A$39,0),1))</f>
        <v>296205</v>
      </c>
      <c r="H584" s="27">
        <f>H4*IF($E584="weekday",INDEX('Category Mapping'!$F$28:$F$39,MATCH('Summarized Source Data'!$A584,'Category Mapping'!$A$28:$A$39,0),1),INDEX('Category Mapping'!$E$28:$E$39,MATCH($A584,'Category Mapping'!$A$28:$A$39,0),1))</f>
        <v>0</v>
      </c>
      <c r="I584" s="27">
        <f>I4*IF($E584="weekday",INDEX('Category Mapping'!$F$28:$F$39,MATCH('Summarized Source Data'!$A584,'Category Mapping'!$A$28:$A$39,0),1),INDEX('Category Mapping'!$E$28:$E$39,MATCH($A584,'Category Mapping'!$A$28:$A$39,0),1))</f>
        <v>259071428.57142857</v>
      </c>
      <c r="J584" s="27">
        <f>J4*IF($E584="weekday",INDEX('Category Mapping'!$F$28:$F$39,MATCH('Summarized Source Data'!$A584,'Category Mapping'!$A$28:$A$39,0),1),INDEX('Category Mapping'!$E$28:$E$39,MATCH($A584,'Category Mapping'!$A$28:$A$39,0),1))</f>
        <v>1651560937.8571429</v>
      </c>
      <c r="K584" s="27">
        <f>K4*IF($E584="weekday",INDEX('Category Mapping'!$F$28:$F$39,MATCH('Summarized Source Data'!$A584,'Category Mapping'!$A$28:$A$39,0),1),INDEX('Category Mapping'!$E$28:$E$39,MATCH($A584,'Category Mapping'!$A$28:$A$39,0),1))</f>
        <v>1651560937.8571429</v>
      </c>
      <c r="L584" s="27">
        <f>L4*IF($E584="weekday",INDEX('Category Mapping'!$F$28:$F$39,MATCH('Summarized Source Data'!$A584,'Category Mapping'!$A$28:$A$39,0),1),INDEX('Category Mapping'!$E$28:$E$39,MATCH($A584,'Category Mapping'!$A$28:$A$39,0),1))</f>
        <v>936642857.14285707</v>
      </c>
      <c r="M584" s="27">
        <f>M4*IF($E584="weekday",INDEX('Category Mapping'!$F$28:$F$39,MATCH('Summarized Source Data'!$A584,'Category Mapping'!$A$28:$A$39,0),1),INDEX('Category Mapping'!$E$28:$E$39,MATCH($A584,'Category Mapping'!$A$28:$A$39,0),1))</f>
        <v>784455</v>
      </c>
      <c r="N584" s="27">
        <f>N4*IF($E584="weekday",INDEX('Category Mapping'!$F$28:$F$39,MATCH('Summarized Source Data'!$A584,'Category Mapping'!$A$28:$A$39,0),1),INDEX('Category Mapping'!$E$28:$E$39,MATCH($A584,'Category Mapping'!$A$28:$A$39,0),1))</f>
        <v>0</v>
      </c>
      <c r="O584" s="27">
        <f>O4*IF($E584="weekday",INDEX('Category Mapping'!$F$28:$F$39,MATCH('Summarized Source Data'!$A584,'Category Mapping'!$A$28:$A$39,0),1),INDEX('Category Mapping'!$E$28:$E$39,MATCH($A584,'Category Mapping'!$A$28:$A$39,0),1))</f>
        <v>3424715545</v>
      </c>
      <c r="P584" s="27">
        <f>P4*IF($E584="weekday",INDEX('Category Mapping'!$F$28:$F$39,MATCH('Summarized Source Data'!$A584,'Category Mapping'!$A$28:$A$39,0),1),INDEX('Category Mapping'!$E$28:$E$39,MATCH($A584,'Category Mapping'!$A$28:$A$39,0),1))</f>
        <v>3424715545</v>
      </c>
      <c r="Q584" s="27">
        <f>Q4*IF($E584="weekday",INDEX('Category Mapping'!$F$28:$F$39,MATCH('Summarized Source Data'!$A584,'Category Mapping'!$A$28:$A$39,0),1),INDEX('Category Mapping'!$E$28:$E$39,MATCH($A584,'Category Mapping'!$A$28:$A$39,0),1))</f>
        <v>3424715545</v>
      </c>
      <c r="R584" s="27">
        <f>R4*IF($E584="weekday",INDEX('Category Mapping'!$F$28:$F$39,MATCH('Summarized Source Data'!$A584,'Category Mapping'!$A$28:$A$39,0),1),INDEX('Category Mapping'!$E$28:$E$39,MATCH($A584,'Category Mapping'!$A$28:$A$39,0),1))</f>
        <v>111770367.14285713</v>
      </c>
      <c r="S584" s="27">
        <f>S4*IF($E584="weekday",INDEX('Category Mapping'!$F$28:$F$39,MATCH('Summarized Source Data'!$A584,'Category Mapping'!$A$28:$A$39,0),1),INDEX('Category Mapping'!$E$28:$E$39,MATCH($A584,'Category Mapping'!$A$28:$A$39,0),1))</f>
        <v>111770367.14285713</v>
      </c>
      <c r="T584" s="27">
        <f>T4*IF($E584="weekday",INDEX('Category Mapping'!$F$28:$F$39,MATCH('Summarized Source Data'!$A584,'Category Mapping'!$A$28:$A$39,0),1),INDEX('Category Mapping'!$E$28:$E$39,MATCH($A584,'Category Mapping'!$A$28:$A$39,0),1))</f>
        <v>111770367.14285713</v>
      </c>
      <c r="U584" s="27">
        <f>U4*IF($E584="weekday",INDEX('Category Mapping'!$F$28:$F$39,MATCH('Summarized Source Data'!$A584,'Category Mapping'!$A$28:$A$39,0),1),INDEX('Category Mapping'!$E$28:$E$39,MATCH($A584,'Category Mapping'!$A$28:$A$39,0),1))</f>
        <v>111770367.14285713</v>
      </c>
      <c r="V584" s="27">
        <f>V4*IF($E584="weekday",INDEX('Category Mapping'!$F$28:$F$39,MATCH('Summarized Source Data'!$A584,'Category Mapping'!$A$28:$A$39,0),1),INDEX('Category Mapping'!$E$28:$E$39,MATCH($A584,'Category Mapping'!$A$28:$A$39,0),1))</f>
        <v>111770367.14285713</v>
      </c>
      <c r="W584" s="27">
        <f>W4*IF($E584="weekday",INDEX('Category Mapping'!$F$28:$F$39,MATCH('Summarized Source Data'!$A584,'Category Mapping'!$A$28:$A$39,0),1),INDEX('Category Mapping'!$E$28:$E$39,MATCH($A584,'Category Mapping'!$A$28:$A$39,0),1))</f>
        <v>111770367.14285713</v>
      </c>
      <c r="X584" s="27">
        <f>X4*IF($E584="weekday",INDEX('Category Mapping'!$F$28:$F$39,MATCH('Summarized Source Data'!$A584,'Category Mapping'!$A$28:$A$39,0),1),INDEX('Category Mapping'!$E$28:$E$39,MATCH($A584,'Category Mapping'!$A$28:$A$39,0),1))</f>
        <v>14636428571.428572</v>
      </c>
      <c r="Y584" s="27">
        <f>Y4*IF($E584="weekday",INDEX('Category Mapping'!$F$28:$F$39,MATCH('Summarized Source Data'!$A584,'Category Mapping'!$A$28:$A$39,0),1),INDEX('Category Mapping'!$E$28:$E$39,MATCH($A584,'Category Mapping'!$A$28:$A$39,0),1))</f>
        <v>14636428571.428572</v>
      </c>
      <c r="Z584" s="27">
        <f>Z4*IF($E584="weekday",INDEX('Category Mapping'!$F$28:$F$39,MATCH('Summarized Source Data'!$A584,'Category Mapping'!$A$28:$A$39,0),1),INDEX('Category Mapping'!$E$28:$E$39,MATCH($A584,'Category Mapping'!$A$28:$A$39,0),1))</f>
        <v>14636428571.428572</v>
      </c>
    </row>
    <row r="585" spans="1:26" x14ac:dyDescent="0.3">
      <c r="A585">
        <f t="shared" ref="A585:E585" si="50">A5</f>
        <v>1</v>
      </c>
      <c r="B585" t="str">
        <f t="shared" si="50"/>
        <v>Winter</v>
      </c>
      <c r="C585" t="str">
        <f t="shared" si="50"/>
        <v>h2</v>
      </c>
      <c r="D585" t="str">
        <f t="shared" si="50"/>
        <v>Hour1</v>
      </c>
      <c r="E585" t="str">
        <f t="shared" si="50"/>
        <v>Weekday</v>
      </c>
      <c r="F585" s="27">
        <f>F5*IF($E585="weekday",INDEX('Category Mapping'!$F$28:$F$39,MATCH('Summarized Source Data'!$A585,'Category Mapping'!$A$28:$A$39,0),1),INDEX('Category Mapping'!$E$28:$E$39,MATCH($A585,'Category Mapping'!$A$28:$A$39,0),1))</f>
        <v>467214285.71428573</v>
      </c>
      <c r="G585" s="27">
        <f>G5*IF($E585="weekday",INDEX('Category Mapping'!$F$28:$F$39,MATCH('Summarized Source Data'!$A585,'Category Mapping'!$A$28:$A$39,0),1),INDEX('Category Mapping'!$E$28:$E$39,MATCH($A585,'Category Mapping'!$A$28:$A$39,0),1))</f>
        <v>297865.71428571426</v>
      </c>
      <c r="H585" s="27">
        <f>H5*IF($E585="weekday",INDEX('Category Mapping'!$F$28:$F$39,MATCH('Summarized Source Data'!$A585,'Category Mapping'!$A$28:$A$39,0),1),INDEX('Category Mapping'!$E$28:$E$39,MATCH($A585,'Category Mapping'!$A$28:$A$39,0),1))</f>
        <v>0</v>
      </c>
      <c r="I585" s="27">
        <f>I5*IF($E585="weekday",INDEX('Category Mapping'!$F$28:$F$39,MATCH('Summarized Source Data'!$A585,'Category Mapping'!$A$28:$A$39,0),1),INDEX('Category Mapping'!$E$28:$E$39,MATCH($A585,'Category Mapping'!$A$28:$A$39,0),1))</f>
        <v>239142857.14285713</v>
      </c>
      <c r="J585" s="27">
        <f>J5*IF($E585="weekday",INDEX('Category Mapping'!$F$28:$F$39,MATCH('Summarized Source Data'!$A585,'Category Mapping'!$A$28:$A$39,0),1),INDEX('Category Mapping'!$E$28:$E$39,MATCH($A585,'Category Mapping'!$A$28:$A$39,0),1))</f>
        <v>1202059277.1428571</v>
      </c>
      <c r="K585" s="27">
        <f>K5*IF($E585="weekday",INDEX('Category Mapping'!$F$28:$F$39,MATCH('Summarized Source Data'!$A585,'Category Mapping'!$A$28:$A$39,0),1),INDEX('Category Mapping'!$E$28:$E$39,MATCH($A585,'Category Mapping'!$A$28:$A$39,0),1))</f>
        <v>1202059277.1428571</v>
      </c>
      <c r="L585" s="27">
        <f>L5*IF($E585="weekday",INDEX('Category Mapping'!$F$28:$F$39,MATCH('Summarized Source Data'!$A585,'Category Mapping'!$A$28:$A$39,0),1),INDEX('Category Mapping'!$E$28:$E$39,MATCH($A585,'Category Mapping'!$A$28:$A$39,0),1))</f>
        <v>854714285.71428573</v>
      </c>
      <c r="M585" s="27">
        <f>M5*IF($E585="weekday",INDEX('Category Mapping'!$F$28:$F$39,MATCH('Summarized Source Data'!$A585,'Category Mapping'!$A$28:$A$39,0),1),INDEX('Category Mapping'!$E$28:$E$39,MATCH($A585,'Category Mapping'!$A$28:$A$39,0),1))</f>
        <v>739704.28571428568</v>
      </c>
      <c r="N585" s="27">
        <f>N5*IF($E585="weekday",INDEX('Category Mapping'!$F$28:$F$39,MATCH('Summarized Source Data'!$A585,'Category Mapping'!$A$28:$A$39,0),1),INDEX('Category Mapping'!$E$28:$E$39,MATCH($A585,'Category Mapping'!$A$28:$A$39,0),1))</f>
        <v>0</v>
      </c>
      <c r="O585" s="27">
        <f>O5*IF($E585="weekday",INDEX('Category Mapping'!$F$28:$F$39,MATCH('Summarized Source Data'!$A585,'Category Mapping'!$A$28:$A$39,0),1),INDEX('Category Mapping'!$E$28:$E$39,MATCH($A585,'Category Mapping'!$A$28:$A$39,0),1))</f>
        <v>3351688867.1428571</v>
      </c>
      <c r="P585" s="27">
        <f>P5*IF($E585="weekday",INDEX('Category Mapping'!$F$28:$F$39,MATCH('Summarized Source Data'!$A585,'Category Mapping'!$A$28:$A$39,0),1),INDEX('Category Mapping'!$E$28:$E$39,MATCH($A585,'Category Mapping'!$A$28:$A$39,0),1))</f>
        <v>3351688867.1428571</v>
      </c>
      <c r="Q585" s="27">
        <f>Q5*IF($E585="weekday",INDEX('Category Mapping'!$F$28:$F$39,MATCH('Summarized Source Data'!$A585,'Category Mapping'!$A$28:$A$39,0),1),INDEX('Category Mapping'!$E$28:$E$39,MATCH($A585,'Category Mapping'!$A$28:$A$39,0),1))</f>
        <v>3351688867.1428571</v>
      </c>
      <c r="R585" s="27">
        <f>R5*IF($E585="weekday",INDEX('Category Mapping'!$F$28:$F$39,MATCH('Summarized Source Data'!$A585,'Category Mapping'!$A$28:$A$39,0),1),INDEX('Category Mapping'!$E$28:$E$39,MATCH($A585,'Category Mapping'!$A$28:$A$39,0),1))</f>
        <v>110268638.57142857</v>
      </c>
      <c r="S585" s="27">
        <f>S5*IF($E585="weekday",INDEX('Category Mapping'!$F$28:$F$39,MATCH('Summarized Source Data'!$A585,'Category Mapping'!$A$28:$A$39,0),1),INDEX('Category Mapping'!$E$28:$E$39,MATCH($A585,'Category Mapping'!$A$28:$A$39,0),1))</f>
        <v>110268638.57142857</v>
      </c>
      <c r="T585" s="27">
        <f>T5*IF($E585="weekday",INDEX('Category Mapping'!$F$28:$F$39,MATCH('Summarized Source Data'!$A585,'Category Mapping'!$A$28:$A$39,0),1),INDEX('Category Mapping'!$E$28:$E$39,MATCH($A585,'Category Mapping'!$A$28:$A$39,0),1))</f>
        <v>110268638.57142857</v>
      </c>
      <c r="U585" s="27">
        <f>U5*IF($E585="weekday",INDEX('Category Mapping'!$F$28:$F$39,MATCH('Summarized Source Data'!$A585,'Category Mapping'!$A$28:$A$39,0),1),INDEX('Category Mapping'!$E$28:$E$39,MATCH($A585,'Category Mapping'!$A$28:$A$39,0),1))</f>
        <v>110268638.57142857</v>
      </c>
      <c r="V585" s="27">
        <f>V5*IF($E585="weekday",INDEX('Category Mapping'!$F$28:$F$39,MATCH('Summarized Source Data'!$A585,'Category Mapping'!$A$28:$A$39,0),1),INDEX('Category Mapping'!$E$28:$E$39,MATCH($A585,'Category Mapping'!$A$28:$A$39,0),1))</f>
        <v>110268638.57142857</v>
      </c>
      <c r="W585" s="27">
        <f>W5*IF($E585="weekday",INDEX('Category Mapping'!$F$28:$F$39,MATCH('Summarized Source Data'!$A585,'Category Mapping'!$A$28:$A$39,0),1),INDEX('Category Mapping'!$E$28:$E$39,MATCH($A585,'Category Mapping'!$A$28:$A$39,0),1))</f>
        <v>110268638.57142857</v>
      </c>
      <c r="X585" s="27">
        <f>X5*IF($E585="weekday",INDEX('Category Mapping'!$F$28:$F$39,MATCH('Summarized Source Data'!$A585,'Category Mapping'!$A$28:$A$39,0),1),INDEX('Category Mapping'!$E$28:$E$39,MATCH($A585,'Category Mapping'!$A$28:$A$39,0),1))</f>
        <v>14614285714.285713</v>
      </c>
      <c r="Y585" s="27">
        <f>Y5*IF($E585="weekday",INDEX('Category Mapping'!$F$28:$F$39,MATCH('Summarized Source Data'!$A585,'Category Mapping'!$A$28:$A$39,0),1),INDEX('Category Mapping'!$E$28:$E$39,MATCH($A585,'Category Mapping'!$A$28:$A$39,0),1))</f>
        <v>14614285714.285713</v>
      </c>
      <c r="Z585" s="27">
        <f>Z5*IF($E585="weekday",INDEX('Category Mapping'!$F$28:$F$39,MATCH('Summarized Source Data'!$A585,'Category Mapping'!$A$28:$A$39,0),1),INDEX('Category Mapping'!$E$28:$E$39,MATCH($A585,'Category Mapping'!$A$28:$A$39,0),1))</f>
        <v>14614285714.285713</v>
      </c>
    </row>
    <row r="586" spans="1:26" x14ac:dyDescent="0.3">
      <c r="A586">
        <f t="shared" ref="A586:E586" si="51">A6</f>
        <v>1</v>
      </c>
      <c r="B586" t="str">
        <f t="shared" si="51"/>
        <v>Winter</v>
      </c>
      <c r="C586" t="str">
        <f t="shared" si="51"/>
        <v>h3</v>
      </c>
      <c r="D586" t="str">
        <f t="shared" si="51"/>
        <v>Hour2</v>
      </c>
      <c r="E586" t="str">
        <f t="shared" si="51"/>
        <v>Weekday</v>
      </c>
      <c r="F586" s="27">
        <f>F6*IF($E586="weekday",INDEX('Category Mapping'!$F$28:$F$39,MATCH('Summarized Source Data'!$A586,'Category Mapping'!$A$28:$A$39,0),1),INDEX('Category Mapping'!$E$28:$E$39,MATCH($A586,'Category Mapping'!$A$28:$A$39,0),1))</f>
        <v>469428571.4285714</v>
      </c>
      <c r="G586" s="27">
        <f>G6*IF($E586="weekday",INDEX('Category Mapping'!$F$28:$F$39,MATCH('Summarized Source Data'!$A586,'Category Mapping'!$A$28:$A$39,0),1),INDEX('Category Mapping'!$E$28:$E$39,MATCH($A586,'Category Mapping'!$A$28:$A$39,0),1))</f>
        <v>299017.14285714284</v>
      </c>
      <c r="H586" s="27">
        <f>H6*IF($E586="weekday",INDEX('Category Mapping'!$F$28:$F$39,MATCH('Summarized Source Data'!$A586,'Category Mapping'!$A$28:$A$39,0),1),INDEX('Category Mapping'!$E$28:$E$39,MATCH($A586,'Category Mapping'!$A$28:$A$39,0),1))</f>
        <v>0</v>
      </c>
      <c r="I586" s="27">
        <f>I6*IF($E586="weekday",INDEX('Category Mapping'!$F$28:$F$39,MATCH('Summarized Source Data'!$A586,'Category Mapping'!$A$28:$A$39,0),1),INDEX('Category Mapping'!$E$28:$E$39,MATCH($A586,'Category Mapping'!$A$28:$A$39,0),1))</f>
        <v>236928571.42857143</v>
      </c>
      <c r="J586" s="27">
        <f>J6*IF($E586="weekday",INDEX('Category Mapping'!$F$28:$F$39,MATCH('Summarized Source Data'!$A586,'Category Mapping'!$A$28:$A$39,0),1),INDEX('Category Mapping'!$E$28:$E$39,MATCH($A586,'Category Mapping'!$A$28:$A$39,0),1))</f>
        <v>967343840</v>
      </c>
      <c r="K586" s="27">
        <f>K6*IF($E586="weekday",INDEX('Category Mapping'!$F$28:$F$39,MATCH('Summarized Source Data'!$A586,'Category Mapping'!$A$28:$A$39,0),1),INDEX('Category Mapping'!$E$28:$E$39,MATCH($A586,'Category Mapping'!$A$28:$A$39,0),1))</f>
        <v>967343840</v>
      </c>
      <c r="L586" s="27">
        <f>L6*IF($E586="weekday",INDEX('Category Mapping'!$F$28:$F$39,MATCH('Summarized Source Data'!$A586,'Category Mapping'!$A$28:$A$39,0),1),INDEX('Category Mapping'!$E$28:$E$39,MATCH($A586,'Category Mapping'!$A$28:$A$39,0),1))</f>
        <v>770571428.57142854</v>
      </c>
      <c r="M586" s="27">
        <f>M6*IF($E586="weekday",INDEX('Category Mapping'!$F$28:$F$39,MATCH('Summarized Source Data'!$A586,'Category Mapping'!$A$28:$A$39,0),1),INDEX('Category Mapping'!$E$28:$E$39,MATCH($A586,'Category Mapping'!$A$28:$A$39,0),1))</f>
        <v>721015.71428571432</v>
      </c>
      <c r="N586" s="27">
        <f>N6*IF($E586="weekday",INDEX('Category Mapping'!$F$28:$F$39,MATCH('Summarized Source Data'!$A586,'Category Mapping'!$A$28:$A$39,0),1),INDEX('Category Mapping'!$E$28:$E$39,MATCH($A586,'Category Mapping'!$A$28:$A$39,0),1))</f>
        <v>0</v>
      </c>
      <c r="O586" s="27">
        <f>O6*IF($E586="weekday",INDEX('Category Mapping'!$F$28:$F$39,MATCH('Summarized Source Data'!$A586,'Category Mapping'!$A$28:$A$39,0),1),INDEX('Category Mapping'!$E$28:$E$39,MATCH($A586,'Category Mapping'!$A$28:$A$39,0),1))</f>
        <v>3347278984.2857141</v>
      </c>
      <c r="P586" s="27">
        <f>P6*IF($E586="weekday",INDEX('Category Mapping'!$F$28:$F$39,MATCH('Summarized Source Data'!$A586,'Category Mapping'!$A$28:$A$39,0),1),INDEX('Category Mapping'!$E$28:$E$39,MATCH($A586,'Category Mapping'!$A$28:$A$39,0),1))</f>
        <v>3347278984.2857141</v>
      </c>
      <c r="Q586" s="27">
        <f>Q6*IF($E586="weekday",INDEX('Category Mapping'!$F$28:$F$39,MATCH('Summarized Source Data'!$A586,'Category Mapping'!$A$28:$A$39,0),1),INDEX('Category Mapping'!$E$28:$E$39,MATCH($A586,'Category Mapping'!$A$28:$A$39,0),1))</f>
        <v>3347278984.2857141</v>
      </c>
      <c r="R586" s="27">
        <f>R6*IF($E586="weekday",INDEX('Category Mapping'!$F$28:$F$39,MATCH('Summarized Source Data'!$A586,'Category Mapping'!$A$28:$A$39,0),1),INDEX('Category Mapping'!$E$28:$E$39,MATCH($A586,'Category Mapping'!$A$28:$A$39,0),1))</f>
        <v>109882954.28571428</v>
      </c>
      <c r="S586" s="27">
        <f>S6*IF($E586="weekday",INDEX('Category Mapping'!$F$28:$F$39,MATCH('Summarized Source Data'!$A586,'Category Mapping'!$A$28:$A$39,0),1),INDEX('Category Mapping'!$E$28:$E$39,MATCH($A586,'Category Mapping'!$A$28:$A$39,0),1))</f>
        <v>109882954.28571428</v>
      </c>
      <c r="T586" s="27">
        <f>T6*IF($E586="weekday",INDEX('Category Mapping'!$F$28:$F$39,MATCH('Summarized Source Data'!$A586,'Category Mapping'!$A$28:$A$39,0),1),INDEX('Category Mapping'!$E$28:$E$39,MATCH($A586,'Category Mapping'!$A$28:$A$39,0),1))</f>
        <v>109882954.28571428</v>
      </c>
      <c r="U586" s="27">
        <f>U6*IF($E586="weekday",INDEX('Category Mapping'!$F$28:$F$39,MATCH('Summarized Source Data'!$A586,'Category Mapping'!$A$28:$A$39,0),1),INDEX('Category Mapping'!$E$28:$E$39,MATCH($A586,'Category Mapping'!$A$28:$A$39,0),1))</f>
        <v>109882954.28571428</v>
      </c>
      <c r="V586" s="27">
        <f>V6*IF($E586="weekday",INDEX('Category Mapping'!$F$28:$F$39,MATCH('Summarized Source Data'!$A586,'Category Mapping'!$A$28:$A$39,0),1),INDEX('Category Mapping'!$E$28:$E$39,MATCH($A586,'Category Mapping'!$A$28:$A$39,0),1))</f>
        <v>109882954.28571428</v>
      </c>
      <c r="W586" s="27">
        <f>W6*IF($E586="weekday",INDEX('Category Mapping'!$F$28:$F$39,MATCH('Summarized Source Data'!$A586,'Category Mapping'!$A$28:$A$39,0),1),INDEX('Category Mapping'!$E$28:$E$39,MATCH($A586,'Category Mapping'!$A$28:$A$39,0),1))</f>
        <v>109882954.28571428</v>
      </c>
      <c r="X586" s="27">
        <f>X6*IF($E586="weekday",INDEX('Category Mapping'!$F$28:$F$39,MATCH('Summarized Source Data'!$A586,'Category Mapping'!$A$28:$A$39,0),1),INDEX('Category Mapping'!$E$28:$E$39,MATCH($A586,'Category Mapping'!$A$28:$A$39,0),1))</f>
        <v>14614285714.285713</v>
      </c>
      <c r="Y586" s="27">
        <f>Y6*IF($E586="weekday",INDEX('Category Mapping'!$F$28:$F$39,MATCH('Summarized Source Data'!$A586,'Category Mapping'!$A$28:$A$39,0),1),INDEX('Category Mapping'!$E$28:$E$39,MATCH($A586,'Category Mapping'!$A$28:$A$39,0),1))</f>
        <v>14614285714.285713</v>
      </c>
      <c r="Z586" s="27">
        <f>Z6*IF($E586="weekday",INDEX('Category Mapping'!$F$28:$F$39,MATCH('Summarized Source Data'!$A586,'Category Mapping'!$A$28:$A$39,0),1),INDEX('Category Mapping'!$E$28:$E$39,MATCH($A586,'Category Mapping'!$A$28:$A$39,0),1))</f>
        <v>14614285714.285713</v>
      </c>
    </row>
    <row r="587" spans="1:26" x14ac:dyDescent="0.3">
      <c r="A587">
        <f t="shared" ref="A587:E587" si="52">A7</f>
        <v>1</v>
      </c>
      <c r="B587" t="str">
        <f t="shared" si="52"/>
        <v>Winter</v>
      </c>
      <c r="C587" t="str">
        <f t="shared" si="52"/>
        <v>h4</v>
      </c>
      <c r="D587" t="str">
        <f t="shared" si="52"/>
        <v>Hour3</v>
      </c>
      <c r="E587" t="str">
        <f t="shared" si="52"/>
        <v>Weekday</v>
      </c>
      <c r="F587" s="27">
        <f>F7*IF($E587="weekday",INDEX('Category Mapping'!$F$28:$F$39,MATCH('Summarized Source Data'!$A587,'Category Mapping'!$A$28:$A$39,0),1),INDEX('Category Mapping'!$E$28:$E$39,MATCH($A587,'Category Mapping'!$A$28:$A$39,0),1))</f>
        <v>467214285.71428573</v>
      </c>
      <c r="G587" s="27">
        <f>G7*IF($E587="weekday",INDEX('Category Mapping'!$F$28:$F$39,MATCH('Summarized Source Data'!$A587,'Category Mapping'!$A$28:$A$39,0),1),INDEX('Category Mapping'!$E$28:$E$39,MATCH($A587,'Category Mapping'!$A$28:$A$39,0),1))</f>
        <v>299172.14285714284</v>
      </c>
      <c r="H587" s="27">
        <f>H7*IF($E587="weekday",INDEX('Category Mapping'!$F$28:$F$39,MATCH('Summarized Source Data'!$A587,'Category Mapping'!$A$28:$A$39,0),1),INDEX('Category Mapping'!$E$28:$E$39,MATCH($A587,'Category Mapping'!$A$28:$A$39,0),1))</f>
        <v>0</v>
      </c>
      <c r="I587" s="27">
        <f>I7*IF($E587="weekday",INDEX('Category Mapping'!$F$28:$F$39,MATCH('Summarized Source Data'!$A587,'Category Mapping'!$A$28:$A$39,0),1),INDEX('Category Mapping'!$E$28:$E$39,MATCH($A587,'Category Mapping'!$A$28:$A$39,0),1))</f>
        <v>241357142.85714287</v>
      </c>
      <c r="J587" s="27">
        <f>J7*IF($E587="weekday",INDEX('Category Mapping'!$F$28:$F$39,MATCH('Summarized Source Data'!$A587,'Category Mapping'!$A$28:$A$39,0),1),INDEX('Category Mapping'!$E$28:$E$39,MATCH($A587,'Category Mapping'!$A$28:$A$39,0),1))</f>
        <v>838915113.57142854</v>
      </c>
      <c r="K587" s="27">
        <f>K7*IF($E587="weekday",INDEX('Category Mapping'!$F$28:$F$39,MATCH('Summarized Source Data'!$A587,'Category Mapping'!$A$28:$A$39,0),1),INDEX('Category Mapping'!$E$28:$E$39,MATCH($A587,'Category Mapping'!$A$28:$A$39,0),1))</f>
        <v>838915113.57142854</v>
      </c>
      <c r="L587" s="27">
        <f>L7*IF($E587="weekday",INDEX('Category Mapping'!$F$28:$F$39,MATCH('Summarized Source Data'!$A587,'Category Mapping'!$A$28:$A$39,0),1),INDEX('Category Mapping'!$E$28:$E$39,MATCH($A587,'Category Mapping'!$A$28:$A$39,0),1))</f>
        <v>803785714.28571427</v>
      </c>
      <c r="M587" s="27">
        <f>M7*IF($E587="weekday",INDEX('Category Mapping'!$F$28:$F$39,MATCH('Summarized Source Data'!$A587,'Category Mapping'!$A$28:$A$39,0),1),INDEX('Category Mapping'!$E$28:$E$39,MATCH($A587,'Category Mapping'!$A$28:$A$39,0),1))</f>
        <v>710475.71428571432</v>
      </c>
      <c r="N587" s="27">
        <f>N7*IF($E587="weekday",INDEX('Category Mapping'!$F$28:$F$39,MATCH('Summarized Source Data'!$A587,'Category Mapping'!$A$28:$A$39,0),1),INDEX('Category Mapping'!$E$28:$E$39,MATCH($A587,'Category Mapping'!$A$28:$A$39,0),1))</f>
        <v>0</v>
      </c>
      <c r="O587" s="27">
        <f>O7*IF($E587="weekday",INDEX('Category Mapping'!$F$28:$F$39,MATCH('Summarized Source Data'!$A587,'Category Mapping'!$A$28:$A$39,0),1),INDEX('Category Mapping'!$E$28:$E$39,MATCH($A587,'Category Mapping'!$A$28:$A$39,0),1))</f>
        <v>3491218095.7142859</v>
      </c>
      <c r="P587" s="27">
        <f>P7*IF($E587="weekday",INDEX('Category Mapping'!$F$28:$F$39,MATCH('Summarized Source Data'!$A587,'Category Mapping'!$A$28:$A$39,0),1),INDEX('Category Mapping'!$E$28:$E$39,MATCH($A587,'Category Mapping'!$A$28:$A$39,0),1))</f>
        <v>3491218095.7142859</v>
      </c>
      <c r="Q587" s="27">
        <f>Q7*IF($E587="weekday",INDEX('Category Mapping'!$F$28:$F$39,MATCH('Summarized Source Data'!$A587,'Category Mapping'!$A$28:$A$39,0),1),INDEX('Category Mapping'!$E$28:$E$39,MATCH($A587,'Category Mapping'!$A$28:$A$39,0),1))</f>
        <v>3491218095.7142859</v>
      </c>
      <c r="R587" s="27">
        <f>R7*IF($E587="weekday",INDEX('Category Mapping'!$F$28:$F$39,MATCH('Summarized Source Data'!$A587,'Category Mapping'!$A$28:$A$39,0),1),INDEX('Category Mapping'!$E$28:$E$39,MATCH($A587,'Category Mapping'!$A$28:$A$39,0),1))</f>
        <v>110238037.14285713</v>
      </c>
      <c r="S587" s="27">
        <f>S7*IF($E587="weekday",INDEX('Category Mapping'!$F$28:$F$39,MATCH('Summarized Source Data'!$A587,'Category Mapping'!$A$28:$A$39,0),1),INDEX('Category Mapping'!$E$28:$E$39,MATCH($A587,'Category Mapping'!$A$28:$A$39,0),1))</f>
        <v>110238037.14285713</v>
      </c>
      <c r="T587" s="27">
        <f>T7*IF($E587="weekday",INDEX('Category Mapping'!$F$28:$F$39,MATCH('Summarized Source Data'!$A587,'Category Mapping'!$A$28:$A$39,0),1),INDEX('Category Mapping'!$E$28:$E$39,MATCH($A587,'Category Mapping'!$A$28:$A$39,0),1))</f>
        <v>110238037.14285713</v>
      </c>
      <c r="U587" s="27">
        <f>U7*IF($E587="weekday",INDEX('Category Mapping'!$F$28:$F$39,MATCH('Summarized Source Data'!$A587,'Category Mapping'!$A$28:$A$39,0),1),INDEX('Category Mapping'!$E$28:$E$39,MATCH($A587,'Category Mapping'!$A$28:$A$39,0),1))</f>
        <v>110238037.14285713</v>
      </c>
      <c r="V587" s="27">
        <f>V7*IF($E587="weekday",INDEX('Category Mapping'!$F$28:$F$39,MATCH('Summarized Source Data'!$A587,'Category Mapping'!$A$28:$A$39,0),1),INDEX('Category Mapping'!$E$28:$E$39,MATCH($A587,'Category Mapping'!$A$28:$A$39,0),1))</f>
        <v>110238037.14285713</v>
      </c>
      <c r="W587" s="27">
        <f>W7*IF($E587="weekday",INDEX('Category Mapping'!$F$28:$F$39,MATCH('Summarized Source Data'!$A587,'Category Mapping'!$A$28:$A$39,0),1),INDEX('Category Mapping'!$E$28:$E$39,MATCH($A587,'Category Mapping'!$A$28:$A$39,0),1))</f>
        <v>110238037.14285713</v>
      </c>
      <c r="X587" s="27">
        <f>X7*IF($E587="weekday",INDEX('Category Mapping'!$F$28:$F$39,MATCH('Summarized Source Data'!$A587,'Category Mapping'!$A$28:$A$39,0),1),INDEX('Category Mapping'!$E$28:$E$39,MATCH($A587,'Category Mapping'!$A$28:$A$39,0),1))</f>
        <v>14614285714.285713</v>
      </c>
      <c r="Y587" s="27">
        <f>Y7*IF($E587="weekday",INDEX('Category Mapping'!$F$28:$F$39,MATCH('Summarized Source Data'!$A587,'Category Mapping'!$A$28:$A$39,0),1),INDEX('Category Mapping'!$E$28:$E$39,MATCH($A587,'Category Mapping'!$A$28:$A$39,0),1))</f>
        <v>14614285714.285713</v>
      </c>
      <c r="Z587" s="27">
        <f>Z7*IF($E587="weekday",INDEX('Category Mapping'!$F$28:$F$39,MATCH('Summarized Source Data'!$A587,'Category Mapping'!$A$28:$A$39,0),1),INDEX('Category Mapping'!$E$28:$E$39,MATCH($A587,'Category Mapping'!$A$28:$A$39,0),1))</f>
        <v>14614285714.285713</v>
      </c>
    </row>
    <row r="588" spans="1:26" x14ac:dyDescent="0.3">
      <c r="A588">
        <f t="shared" ref="A588:E588" si="53">A8</f>
        <v>1</v>
      </c>
      <c r="B588" t="str">
        <f t="shared" si="53"/>
        <v>Winter</v>
      </c>
      <c r="C588" t="str">
        <f t="shared" si="53"/>
        <v>h5</v>
      </c>
      <c r="D588" t="str">
        <f t="shared" si="53"/>
        <v>Hour4</v>
      </c>
      <c r="E588" t="str">
        <f t="shared" si="53"/>
        <v>Weekday</v>
      </c>
      <c r="F588" s="27">
        <f>F8*IF($E588="weekday",INDEX('Category Mapping'!$F$28:$F$39,MATCH('Summarized Source Data'!$A588,'Category Mapping'!$A$28:$A$39,0),1),INDEX('Category Mapping'!$E$28:$E$39,MATCH($A588,'Category Mapping'!$A$28:$A$39,0),1))</f>
        <v>458357142.85714287</v>
      </c>
      <c r="G588" s="27">
        <f>G8*IF($E588="weekday",INDEX('Category Mapping'!$F$28:$F$39,MATCH('Summarized Source Data'!$A588,'Category Mapping'!$A$28:$A$39,0),1),INDEX('Category Mapping'!$E$28:$E$39,MATCH($A588,'Category Mapping'!$A$28:$A$39,0),1))</f>
        <v>291599.28571428568</v>
      </c>
      <c r="H588" s="27">
        <f>H8*IF($E588="weekday",INDEX('Category Mapping'!$F$28:$F$39,MATCH('Summarized Source Data'!$A588,'Category Mapping'!$A$28:$A$39,0),1),INDEX('Category Mapping'!$E$28:$E$39,MATCH($A588,'Category Mapping'!$A$28:$A$39,0),1))</f>
        <v>0</v>
      </c>
      <c r="I588" s="27">
        <f>I8*IF($E588="weekday",INDEX('Category Mapping'!$F$28:$F$39,MATCH('Summarized Source Data'!$A588,'Category Mapping'!$A$28:$A$39,0),1),INDEX('Category Mapping'!$E$28:$E$39,MATCH($A588,'Category Mapping'!$A$28:$A$39,0),1))</f>
        <v>312214285.71428573</v>
      </c>
      <c r="J588" s="27">
        <f>J8*IF($E588="weekday",INDEX('Category Mapping'!$F$28:$F$39,MATCH('Summarized Source Data'!$A588,'Category Mapping'!$A$28:$A$39,0),1),INDEX('Category Mapping'!$E$28:$E$39,MATCH($A588,'Category Mapping'!$A$28:$A$39,0),1))</f>
        <v>889851257.85714281</v>
      </c>
      <c r="K588" s="27">
        <f>K8*IF($E588="weekday",INDEX('Category Mapping'!$F$28:$F$39,MATCH('Summarized Source Data'!$A588,'Category Mapping'!$A$28:$A$39,0),1),INDEX('Category Mapping'!$E$28:$E$39,MATCH($A588,'Category Mapping'!$A$28:$A$39,0),1))</f>
        <v>889851257.85714281</v>
      </c>
      <c r="L588" s="27">
        <f>L8*IF($E588="weekday",INDEX('Category Mapping'!$F$28:$F$39,MATCH('Summarized Source Data'!$A588,'Category Mapping'!$A$28:$A$39,0),1),INDEX('Category Mapping'!$E$28:$E$39,MATCH($A588,'Category Mapping'!$A$28:$A$39,0),1))</f>
        <v>843642857.14285707</v>
      </c>
      <c r="M588" s="27">
        <f>M8*IF($E588="weekday",INDEX('Category Mapping'!$F$28:$F$39,MATCH('Summarized Source Data'!$A588,'Category Mapping'!$A$28:$A$39,0),1),INDEX('Category Mapping'!$E$28:$E$39,MATCH($A588,'Category Mapping'!$A$28:$A$39,0),1))</f>
        <v>708217.14285714284</v>
      </c>
      <c r="N588" s="27">
        <f>N8*IF($E588="weekday",INDEX('Category Mapping'!$F$28:$F$39,MATCH('Summarized Source Data'!$A588,'Category Mapping'!$A$28:$A$39,0),1),INDEX('Category Mapping'!$E$28:$E$39,MATCH($A588,'Category Mapping'!$A$28:$A$39,0),1))</f>
        <v>0</v>
      </c>
      <c r="O588" s="27">
        <f>O8*IF($E588="weekday",INDEX('Category Mapping'!$F$28:$F$39,MATCH('Summarized Source Data'!$A588,'Category Mapping'!$A$28:$A$39,0),1),INDEX('Category Mapping'!$E$28:$E$39,MATCH($A588,'Category Mapping'!$A$28:$A$39,0),1))</f>
        <v>3717077497.1428571</v>
      </c>
      <c r="P588" s="27">
        <f>P8*IF($E588="weekday",INDEX('Category Mapping'!$F$28:$F$39,MATCH('Summarized Source Data'!$A588,'Category Mapping'!$A$28:$A$39,0),1),INDEX('Category Mapping'!$E$28:$E$39,MATCH($A588,'Category Mapping'!$A$28:$A$39,0),1))</f>
        <v>3717077497.1428571</v>
      </c>
      <c r="Q588" s="27">
        <f>Q8*IF($E588="weekday",INDEX('Category Mapping'!$F$28:$F$39,MATCH('Summarized Source Data'!$A588,'Category Mapping'!$A$28:$A$39,0),1),INDEX('Category Mapping'!$E$28:$E$39,MATCH($A588,'Category Mapping'!$A$28:$A$39,0),1))</f>
        <v>3717077497.1428571</v>
      </c>
      <c r="R588" s="27">
        <f>R8*IF($E588="weekday",INDEX('Category Mapping'!$F$28:$F$39,MATCH('Summarized Source Data'!$A588,'Category Mapping'!$A$28:$A$39,0),1),INDEX('Category Mapping'!$E$28:$E$39,MATCH($A588,'Category Mapping'!$A$28:$A$39,0),1))</f>
        <v>109851135</v>
      </c>
      <c r="S588" s="27">
        <f>S8*IF($E588="weekday",INDEX('Category Mapping'!$F$28:$F$39,MATCH('Summarized Source Data'!$A588,'Category Mapping'!$A$28:$A$39,0),1),INDEX('Category Mapping'!$E$28:$E$39,MATCH($A588,'Category Mapping'!$A$28:$A$39,0),1))</f>
        <v>109851135</v>
      </c>
      <c r="T588" s="27">
        <f>T8*IF($E588="weekday",INDEX('Category Mapping'!$F$28:$F$39,MATCH('Summarized Source Data'!$A588,'Category Mapping'!$A$28:$A$39,0),1),INDEX('Category Mapping'!$E$28:$E$39,MATCH($A588,'Category Mapping'!$A$28:$A$39,0),1))</f>
        <v>109851135</v>
      </c>
      <c r="U588" s="27">
        <f>U8*IF($E588="weekday",INDEX('Category Mapping'!$F$28:$F$39,MATCH('Summarized Source Data'!$A588,'Category Mapping'!$A$28:$A$39,0),1),INDEX('Category Mapping'!$E$28:$E$39,MATCH($A588,'Category Mapping'!$A$28:$A$39,0),1))</f>
        <v>109851135</v>
      </c>
      <c r="V588" s="27">
        <f>V8*IF($E588="weekday",INDEX('Category Mapping'!$F$28:$F$39,MATCH('Summarized Source Data'!$A588,'Category Mapping'!$A$28:$A$39,0),1),INDEX('Category Mapping'!$E$28:$E$39,MATCH($A588,'Category Mapping'!$A$28:$A$39,0),1))</f>
        <v>109851135</v>
      </c>
      <c r="W588" s="27">
        <f>W8*IF($E588="weekday",INDEX('Category Mapping'!$F$28:$F$39,MATCH('Summarized Source Data'!$A588,'Category Mapping'!$A$28:$A$39,0),1),INDEX('Category Mapping'!$E$28:$E$39,MATCH($A588,'Category Mapping'!$A$28:$A$39,0),1))</f>
        <v>109851135</v>
      </c>
      <c r="X588" s="27">
        <f>X8*IF($E588="weekday",INDEX('Category Mapping'!$F$28:$F$39,MATCH('Summarized Source Data'!$A588,'Category Mapping'!$A$28:$A$39,0),1),INDEX('Category Mapping'!$E$28:$E$39,MATCH($A588,'Category Mapping'!$A$28:$A$39,0),1))</f>
        <v>14658571428.571428</v>
      </c>
      <c r="Y588" s="27">
        <f>Y8*IF($E588="weekday",INDEX('Category Mapping'!$F$28:$F$39,MATCH('Summarized Source Data'!$A588,'Category Mapping'!$A$28:$A$39,0),1),INDEX('Category Mapping'!$E$28:$E$39,MATCH($A588,'Category Mapping'!$A$28:$A$39,0),1))</f>
        <v>14658571428.571428</v>
      </c>
      <c r="Z588" s="27">
        <f>Z8*IF($E588="weekday",INDEX('Category Mapping'!$F$28:$F$39,MATCH('Summarized Source Data'!$A588,'Category Mapping'!$A$28:$A$39,0),1),INDEX('Category Mapping'!$E$28:$E$39,MATCH($A588,'Category Mapping'!$A$28:$A$39,0),1))</f>
        <v>14658571428.571428</v>
      </c>
    </row>
    <row r="589" spans="1:26" x14ac:dyDescent="0.3">
      <c r="A589">
        <f t="shared" ref="A589:E589" si="54">A9</f>
        <v>1</v>
      </c>
      <c r="B589" t="str">
        <f t="shared" si="54"/>
        <v>Winter</v>
      </c>
      <c r="C589" t="str">
        <f t="shared" si="54"/>
        <v>h6</v>
      </c>
      <c r="D589" t="str">
        <f t="shared" si="54"/>
        <v>Hour5</v>
      </c>
      <c r="E589" t="str">
        <f t="shared" si="54"/>
        <v>Weekday</v>
      </c>
      <c r="F589" s="27">
        <f>F9*IF($E589="weekday",INDEX('Category Mapping'!$F$28:$F$39,MATCH('Summarized Source Data'!$A589,'Category Mapping'!$A$28:$A$39,0),1),INDEX('Category Mapping'!$E$28:$E$39,MATCH($A589,'Category Mapping'!$A$28:$A$39,0),1))</f>
        <v>553571428.57142854</v>
      </c>
      <c r="G589" s="27">
        <f>G9*IF($E589="weekday",INDEX('Category Mapping'!$F$28:$F$39,MATCH('Summarized Source Data'!$A589,'Category Mapping'!$A$28:$A$39,0),1),INDEX('Category Mapping'!$E$28:$E$39,MATCH($A589,'Category Mapping'!$A$28:$A$39,0),1))</f>
        <v>268127.85714285716</v>
      </c>
      <c r="H589" s="27">
        <f>H9*IF($E589="weekday",INDEX('Category Mapping'!$F$28:$F$39,MATCH('Summarized Source Data'!$A589,'Category Mapping'!$A$28:$A$39,0),1),INDEX('Category Mapping'!$E$28:$E$39,MATCH($A589,'Category Mapping'!$A$28:$A$39,0),1))</f>
        <v>0</v>
      </c>
      <c r="I589" s="27">
        <f>I9*IF($E589="weekday",INDEX('Category Mapping'!$F$28:$F$39,MATCH('Summarized Source Data'!$A589,'Category Mapping'!$A$28:$A$39,0),1),INDEX('Category Mapping'!$E$28:$E$39,MATCH($A589,'Category Mapping'!$A$28:$A$39,0),1))</f>
        <v>535857142.85714287</v>
      </c>
      <c r="J589" s="27">
        <f>J9*IF($E589="weekday",INDEX('Category Mapping'!$F$28:$F$39,MATCH('Summarized Source Data'!$A589,'Category Mapping'!$A$28:$A$39,0),1),INDEX('Category Mapping'!$E$28:$E$39,MATCH($A589,'Category Mapping'!$A$28:$A$39,0),1))</f>
        <v>1235303300.7142856</v>
      </c>
      <c r="K589" s="27">
        <f>K9*IF($E589="weekday",INDEX('Category Mapping'!$F$28:$F$39,MATCH('Summarized Source Data'!$A589,'Category Mapping'!$A$28:$A$39,0),1),INDEX('Category Mapping'!$E$28:$E$39,MATCH($A589,'Category Mapping'!$A$28:$A$39,0),1))</f>
        <v>1235303300.7142856</v>
      </c>
      <c r="L589" s="27">
        <f>L9*IF($E589="weekday",INDEX('Category Mapping'!$F$28:$F$39,MATCH('Summarized Source Data'!$A589,'Category Mapping'!$A$28:$A$39,0),1),INDEX('Category Mapping'!$E$28:$E$39,MATCH($A589,'Category Mapping'!$A$28:$A$39,0),1))</f>
        <v>859142857.14285707</v>
      </c>
      <c r="M589" s="27">
        <f>M9*IF($E589="weekday",INDEX('Category Mapping'!$F$28:$F$39,MATCH('Summarized Source Data'!$A589,'Category Mapping'!$A$28:$A$39,0),1),INDEX('Category Mapping'!$E$28:$E$39,MATCH($A589,'Category Mapping'!$A$28:$A$39,0),1))</f>
        <v>730360</v>
      </c>
      <c r="N589" s="27">
        <f>N9*IF($E589="weekday",INDEX('Category Mapping'!$F$28:$F$39,MATCH('Summarized Source Data'!$A589,'Category Mapping'!$A$28:$A$39,0),1),INDEX('Category Mapping'!$E$28:$E$39,MATCH($A589,'Category Mapping'!$A$28:$A$39,0),1))</f>
        <v>0</v>
      </c>
      <c r="O589" s="27">
        <f>O9*IF($E589="weekday",INDEX('Category Mapping'!$F$28:$F$39,MATCH('Summarized Source Data'!$A589,'Category Mapping'!$A$28:$A$39,0),1),INDEX('Category Mapping'!$E$28:$E$39,MATCH($A589,'Category Mapping'!$A$28:$A$39,0),1))</f>
        <v>4343698211.4285717</v>
      </c>
      <c r="P589" s="27">
        <f>P9*IF($E589="weekday",INDEX('Category Mapping'!$F$28:$F$39,MATCH('Summarized Source Data'!$A589,'Category Mapping'!$A$28:$A$39,0),1),INDEX('Category Mapping'!$E$28:$E$39,MATCH($A589,'Category Mapping'!$A$28:$A$39,0),1))</f>
        <v>4343698211.4285717</v>
      </c>
      <c r="Q589" s="27">
        <f>Q9*IF($E589="weekday",INDEX('Category Mapping'!$F$28:$F$39,MATCH('Summarized Source Data'!$A589,'Category Mapping'!$A$28:$A$39,0),1),INDEX('Category Mapping'!$E$28:$E$39,MATCH($A589,'Category Mapping'!$A$28:$A$39,0),1))</f>
        <v>4343698211.4285717</v>
      </c>
      <c r="R589" s="27">
        <f>R9*IF($E589="weekday",INDEX('Category Mapping'!$F$28:$F$39,MATCH('Summarized Source Data'!$A589,'Category Mapping'!$A$28:$A$39,0),1),INDEX('Category Mapping'!$E$28:$E$39,MATCH($A589,'Category Mapping'!$A$28:$A$39,0),1))</f>
        <v>112800718.57142857</v>
      </c>
      <c r="S589" s="27">
        <f>S9*IF($E589="weekday",INDEX('Category Mapping'!$F$28:$F$39,MATCH('Summarized Source Data'!$A589,'Category Mapping'!$A$28:$A$39,0),1),INDEX('Category Mapping'!$E$28:$E$39,MATCH($A589,'Category Mapping'!$A$28:$A$39,0),1))</f>
        <v>112800718.57142857</v>
      </c>
      <c r="T589" s="27">
        <f>T9*IF($E589="weekday",INDEX('Category Mapping'!$F$28:$F$39,MATCH('Summarized Source Data'!$A589,'Category Mapping'!$A$28:$A$39,0),1),INDEX('Category Mapping'!$E$28:$E$39,MATCH($A589,'Category Mapping'!$A$28:$A$39,0),1))</f>
        <v>112800718.57142857</v>
      </c>
      <c r="U589" s="27">
        <f>U9*IF($E589="weekday",INDEX('Category Mapping'!$F$28:$F$39,MATCH('Summarized Source Data'!$A589,'Category Mapping'!$A$28:$A$39,0),1),INDEX('Category Mapping'!$E$28:$E$39,MATCH($A589,'Category Mapping'!$A$28:$A$39,0),1))</f>
        <v>112800718.57142857</v>
      </c>
      <c r="V589" s="27">
        <f>V9*IF($E589="weekday",INDEX('Category Mapping'!$F$28:$F$39,MATCH('Summarized Source Data'!$A589,'Category Mapping'!$A$28:$A$39,0),1),INDEX('Category Mapping'!$E$28:$E$39,MATCH($A589,'Category Mapping'!$A$28:$A$39,0),1))</f>
        <v>112800718.57142857</v>
      </c>
      <c r="W589" s="27">
        <f>W9*IF($E589="weekday",INDEX('Category Mapping'!$F$28:$F$39,MATCH('Summarized Source Data'!$A589,'Category Mapping'!$A$28:$A$39,0),1),INDEX('Category Mapping'!$E$28:$E$39,MATCH($A589,'Category Mapping'!$A$28:$A$39,0),1))</f>
        <v>112800718.57142857</v>
      </c>
      <c r="X589" s="27">
        <f>X9*IF($E589="weekday",INDEX('Category Mapping'!$F$28:$F$39,MATCH('Summarized Source Data'!$A589,'Category Mapping'!$A$28:$A$39,0),1),INDEX('Category Mapping'!$E$28:$E$39,MATCH($A589,'Category Mapping'!$A$28:$A$39,0),1))</f>
        <v>14747142857.142857</v>
      </c>
      <c r="Y589" s="27">
        <f>Y9*IF($E589="weekday",INDEX('Category Mapping'!$F$28:$F$39,MATCH('Summarized Source Data'!$A589,'Category Mapping'!$A$28:$A$39,0),1),INDEX('Category Mapping'!$E$28:$E$39,MATCH($A589,'Category Mapping'!$A$28:$A$39,0),1))</f>
        <v>14747142857.142857</v>
      </c>
      <c r="Z589" s="27">
        <f>Z9*IF($E589="weekday",INDEX('Category Mapping'!$F$28:$F$39,MATCH('Summarized Source Data'!$A589,'Category Mapping'!$A$28:$A$39,0),1),INDEX('Category Mapping'!$E$28:$E$39,MATCH($A589,'Category Mapping'!$A$28:$A$39,0),1))</f>
        <v>14747142857.142857</v>
      </c>
    </row>
    <row r="590" spans="1:26" x14ac:dyDescent="0.3">
      <c r="A590">
        <f t="shared" ref="A590:E590" si="55">A10</f>
        <v>1</v>
      </c>
      <c r="B590" t="str">
        <f t="shared" si="55"/>
        <v>Winter</v>
      </c>
      <c r="C590" t="str">
        <f t="shared" si="55"/>
        <v>h7</v>
      </c>
      <c r="D590" t="str">
        <f t="shared" si="55"/>
        <v>Hour6</v>
      </c>
      <c r="E590" t="str">
        <f t="shared" si="55"/>
        <v>Weekday</v>
      </c>
      <c r="F590" s="27">
        <f>F10*IF($E590="weekday",INDEX('Category Mapping'!$F$28:$F$39,MATCH('Summarized Source Data'!$A590,'Category Mapping'!$A$28:$A$39,0),1),INDEX('Category Mapping'!$E$28:$E$39,MATCH($A590,'Category Mapping'!$A$28:$A$39,0),1))</f>
        <v>582357142.85714281</v>
      </c>
      <c r="G590" s="27">
        <f>G10*IF($E590="weekday",INDEX('Category Mapping'!$F$28:$F$39,MATCH('Summarized Source Data'!$A590,'Category Mapping'!$A$28:$A$39,0),1),INDEX('Category Mapping'!$E$28:$E$39,MATCH($A590,'Category Mapping'!$A$28:$A$39,0),1))</f>
        <v>219037.14285714284</v>
      </c>
      <c r="H590" s="27">
        <f>H10*IF($E590="weekday",INDEX('Category Mapping'!$F$28:$F$39,MATCH('Summarized Source Data'!$A590,'Category Mapping'!$A$28:$A$39,0),1),INDEX('Category Mapping'!$E$28:$E$39,MATCH($A590,'Category Mapping'!$A$28:$A$39,0),1))</f>
        <v>0</v>
      </c>
      <c r="I590" s="27">
        <f>I10*IF($E590="weekday",INDEX('Category Mapping'!$F$28:$F$39,MATCH('Summarized Source Data'!$A590,'Category Mapping'!$A$28:$A$39,0),1),INDEX('Category Mapping'!$E$28:$E$39,MATCH($A590,'Category Mapping'!$A$28:$A$39,0),1))</f>
        <v>781642857.14285707</v>
      </c>
      <c r="J590" s="27">
        <f>J10*IF($E590="weekday",INDEX('Category Mapping'!$F$28:$F$39,MATCH('Summarized Source Data'!$A590,'Category Mapping'!$A$28:$A$39,0),1),INDEX('Category Mapping'!$E$28:$E$39,MATCH($A590,'Category Mapping'!$A$28:$A$39,0),1))</f>
        <v>1979352391.4285715</v>
      </c>
      <c r="K590" s="27">
        <f>K10*IF($E590="weekday",INDEX('Category Mapping'!$F$28:$F$39,MATCH('Summarized Source Data'!$A590,'Category Mapping'!$A$28:$A$39,0),1),INDEX('Category Mapping'!$E$28:$E$39,MATCH($A590,'Category Mapping'!$A$28:$A$39,0),1))</f>
        <v>1979352391.4285715</v>
      </c>
      <c r="L590" s="27">
        <f>L10*IF($E590="weekday",INDEX('Category Mapping'!$F$28:$F$39,MATCH('Summarized Source Data'!$A590,'Category Mapping'!$A$28:$A$39,0),1),INDEX('Category Mapping'!$E$28:$E$39,MATCH($A590,'Category Mapping'!$A$28:$A$39,0),1))</f>
        <v>1248857142.8571429</v>
      </c>
      <c r="M590" s="27">
        <f>M10*IF($E590="weekday",INDEX('Category Mapping'!$F$28:$F$39,MATCH('Summarized Source Data'!$A590,'Category Mapping'!$A$28:$A$39,0),1),INDEX('Category Mapping'!$E$28:$E$39,MATCH($A590,'Category Mapping'!$A$28:$A$39,0),1))</f>
        <v>809520.71428571432</v>
      </c>
      <c r="N590" s="27">
        <f>N10*IF($E590="weekday",INDEX('Category Mapping'!$F$28:$F$39,MATCH('Summarized Source Data'!$A590,'Category Mapping'!$A$28:$A$39,0),1),INDEX('Category Mapping'!$E$28:$E$39,MATCH($A590,'Category Mapping'!$A$28:$A$39,0),1))</f>
        <v>0</v>
      </c>
      <c r="O590" s="27">
        <f>O10*IF($E590="weekday",INDEX('Category Mapping'!$F$28:$F$39,MATCH('Summarized Source Data'!$A590,'Category Mapping'!$A$28:$A$39,0),1),INDEX('Category Mapping'!$E$28:$E$39,MATCH($A590,'Category Mapping'!$A$28:$A$39,0),1))</f>
        <v>6544619050.7142859</v>
      </c>
      <c r="P590" s="27">
        <f>P10*IF($E590="weekday",INDEX('Category Mapping'!$F$28:$F$39,MATCH('Summarized Source Data'!$A590,'Category Mapping'!$A$28:$A$39,0),1),INDEX('Category Mapping'!$E$28:$E$39,MATCH($A590,'Category Mapping'!$A$28:$A$39,0),1))</f>
        <v>6544619050.7142859</v>
      </c>
      <c r="Q590" s="27">
        <f>Q10*IF($E590="weekday",INDEX('Category Mapping'!$F$28:$F$39,MATCH('Summarized Source Data'!$A590,'Category Mapping'!$A$28:$A$39,0),1),INDEX('Category Mapping'!$E$28:$E$39,MATCH($A590,'Category Mapping'!$A$28:$A$39,0),1))</f>
        <v>6544619050.7142859</v>
      </c>
      <c r="R590" s="27">
        <f>R10*IF($E590="weekday",INDEX('Category Mapping'!$F$28:$F$39,MATCH('Summarized Source Data'!$A590,'Category Mapping'!$A$28:$A$39,0),1),INDEX('Category Mapping'!$E$28:$E$39,MATCH($A590,'Category Mapping'!$A$28:$A$39,0),1))</f>
        <v>168995105</v>
      </c>
      <c r="S590" s="27">
        <f>S10*IF($E590="weekday",INDEX('Category Mapping'!$F$28:$F$39,MATCH('Summarized Source Data'!$A590,'Category Mapping'!$A$28:$A$39,0),1),INDEX('Category Mapping'!$E$28:$E$39,MATCH($A590,'Category Mapping'!$A$28:$A$39,0),1))</f>
        <v>168995105</v>
      </c>
      <c r="T590" s="27">
        <f>T10*IF($E590="weekday",INDEX('Category Mapping'!$F$28:$F$39,MATCH('Summarized Source Data'!$A590,'Category Mapping'!$A$28:$A$39,0),1),INDEX('Category Mapping'!$E$28:$E$39,MATCH($A590,'Category Mapping'!$A$28:$A$39,0),1))</f>
        <v>168995105</v>
      </c>
      <c r="U590" s="27">
        <f>U10*IF($E590="weekday",INDEX('Category Mapping'!$F$28:$F$39,MATCH('Summarized Source Data'!$A590,'Category Mapping'!$A$28:$A$39,0),1),INDEX('Category Mapping'!$E$28:$E$39,MATCH($A590,'Category Mapping'!$A$28:$A$39,0),1))</f>
        <v>168995105</v>
      </c>
      <c r="V590" s="27">
        <f>V10*IF($E590="weekday",INDEX('Category Mapping'!$F$28:$F$39,MATCH('Summarized Source Data'!$A590,'Category Mapping'!$A$28:$A$39,0),1),INDEX('Category Mapping'!$E$28:$E$39,MATCH($A590,'Category Mapping'!$A$28:$A$39,0),1))</f>
        <v>168995105</v>
      </c>
      <c r="W590" s="27">
        <f>W10*IF($E590="weekday",INDEX('Category Mapping'!$F$28:$F$39,MATCH('Summarized Source Data'!$A590,'Category Mapping'!$A$28:$A$39,0),1),INDEX('Category Mapping'!$E$28:$E$39,MATCH($A590,'Category Mapping'!$A$28:$A$39,0),1))</f>
        <v>168995105</v>
      </c>
      <c r="X590" s="27">
        <f>X10*IF($E590="weekday",INDEX('Category Mapping'!$F$28:$F$39,MATCH('Summarized Source Data'!$A590,'Category Mapping'!$A$28:$A$39,0),1),INDEX('Category Mapping'!$E$28:$E$39,MATCH($A590,'Category Mapping'!$A$28:$A$39,0),1))</f>
        <v>14924285714.285713</v>
      </c>
      <c r="Y590" s="27">
        <f>Y10*IF($E590="weekday",INDEX('Category Mapping'!$F$28:$F$39,MATCH('Summarized Source Data'!$A590,'Category Mapping'!$A$28:$A$39,0),1),INDEX('Category Mapping'!$E$28:$E$39,MATCH($A590,'Category Mapping'!$A$28:$A$39,0),1))</f>
        <v>14924285714.285713</v>
      </c>
      <c r="Z590" s="27">
        <f>Z10*IF($E590="weekday",INDEX('Category Mapping'!$F$28:$F$39,MATCH('Summarized Source Data'!$A590,'Category Mapping'!$A$28:$A$39,0),1),INDEX('Category Mapping'!$E$28:$E$39,MATCH($A590,'Category Mapping'!$A$28:$A$39,0),1))</f>
        <v>14924285714.285713</v>
      </c>
    </row>
    <row r="591" spans="1:26" x14ac:dyDescent="0.3">
      <c r="A591">
        <f t="shared" ref="A591:E591" si="56">A11</f>
        <v>1</v>
      </c>
      <c r="B591" t="str">
        <f t="shared" si="56"/>
        <v>Winter</v>
      </c>
      <c r="C591" t="str">
        <f t="shared" si="56"/>
        <v>h8</v>
      </c>
      <c r="D591" t="str">
        <f t="shared" si="56"/>
        <v>Hour7</v>
      </c>
      <c r="E591" t="str">
        <f t="shared" si="56"/>
        <v>Weekday</v>
      </c>
      <c r="F591" s="27">
        <f>F11*IF($E591="weekday",INDEX('Category Mapping'!$F$28:$F$39,MATCH('Summarized Source Data'!$A591,'Category Mapping'!$A$28:$A$39,0),1),INDEX('Category Mapping'!$E$28:$E$39,MATCH($A591,'Category Mapping'!$A$28:$A$39,0),1))</f>
        <v>566857142.85714281</v>
      </c>
      <c r="G591" s="27">
        <f>G11*IF($E591="weekday",INDEX('Category Mapping'!$F$28:$F$39,MATCH('Summarized Source Data'!$A591,'Category Mapping'!$A$28:$A$39,0),1),INDEX('Category Mapping'!$E$28:$E$39,MATCH($A591,'Category Mapping'!$A$28:$A$39,0),1))</f>
        <v>164388.57142857142</v>
      </c>
      <c r="H591" s="27">
        <f>H11*IF($E591="weekday",INDEX('Category Mapping'!$F$28:$F$39,MATCH('Summarized Source Data'!$A591,'Category Mapping'!$A$28:$A$39,0),1),INDEX('Category Mapping'!$E$28:$E$39,MATCH($A591,'Category Mapping'!$A$28:$A$39,0),1))</f>
        <v>0</v>
      </c>
      <c r="I591" s="27">
        <f>I11*IF($E591="weekday",INDEX('Category Mapping'!$F$28:$F$39,MATCH('Summarized Source Data'!$A591,'Category Mapping'!$A$28:$A$39,0),1),INDEX('Category Mapping'!$E$28:$E$39,MATCH($A591,'Category Mapping'!$A$28:$A$39,0),1))</f>
        <v>735142857.14285707</v>
      </c>
      <c r="J591" s="27">
        <f>J11*IF($E591="weekday",INDEX('Category Mapping'!$F$28:$F$39,MATCH('Summarized Source Data'!$A591,'Category Mapping'!$A$28:$A$39,0),1),INDEX('Category Mapping'!$E$28:$E$39,MATCH($A591,'Category Mapping'!$A$28:$A$39,0),1))</f>
        <v>2528549897.1428571</v>
      </c>
      <c r="K591" s="27">
        <f>K11*IF($E591="weekday",INDEX('Category Mapping'!$F$28:$F$39,MATCH('Summarized Source Data'!$A591,'Category Mapping'!$A$28:$A$39,0),1),INDEX('Category Mapping'!$E$28:$E$39,MATCH($A591,'Category Mapping'!$A$28:$A$39,0),1))</f>
        <v>2528549897.1428571</v>
      </c>
      <c r="L591" s="27">
        <f>L11*IF($E591="weekday",INDEX('Category Mapping'!$F$28:$F$39,MATCH('Summarized Source Data'!$A591,'Category Mapping'!$A$28:$A$39,0),1),INDEX('Category Mapping'!$E$28:$E$39,MATCH($A591,'Category Mapping'!$A$28:$A$39,0),1))</f>
        <v>2657142857.1428571</v>
      </c>
      <c r="M591" s="27">
        <f>M11*IF($E591="weekday",INDEX('Category Mapping'!$F$28:$F$39,MATCH('Summarized Source Data'!$A591,'Category Mapping'!$A$28:$A$39,0),1),INDEX('Category Mapping'!$E$28:$E$39,MATCH($A591,'Category Mapping'!$A$28:$A$39,0),1))</f>
        <v>965738.57142857136</v>
      </c>
      <c r="N591" s="27">
        <f>N11*IF($E591="weekday",INDEX('Category Mapping'!$F$28:$F$39,MATCH('Summarized Source Data'!$A591,'Category Mapping'!$A$28:$A$39,0),1),INDEX('Category Mapping'!$E$28:$E$39,MATCH($A591,'Category Mapping'!$A$28:$A$39,0),1))</f>
        <v>0</v>
      </c>
      <c r="O591" s="27">
        <f>O11*IF($E591="weekday",INDEX('Category Mapping'!$F$28:$F$39,MATCH('Summarized Source Data'!$A591,'Category Mapping'!$A$28:$A$39,0),1),INDEX('Category Mapping'!$E$28:$E$39,MATCH($A591,'Category Mapping'!$A$28:$A$39,0),1))</f>
        <v>9011177118.5714283</v>
      </c>
      <c r="P591" s="27">
        <f>P11*IF($E591="weekday",INDEX('Category Mapping'!$F$28:$F$39,MATCH('Summarized Source Data'!$A591,'Category Mapping'!$A$28:$A$39,0),1),INDEX('Category Mapping'!$E$28:$E$39,MATCH($A591,'Category Mapping'!$A$28:$A$39,0),1))</f>
        <v>9011177118.5714283</v>
      </c>
      <c r="Q591" s="27">
        <f>Q11*IF($E591="weekday",INDEX('Category Mapping'!$F$28:$F$39,MATCH('Summarized Source Data'!$A591,'Category Mapping'!$A$28:$A$39,0),1),INDEX('Category Mapping'!$E$28:$E$39,MATCH($A591,'Category Mapping'!$A$28:$A$39,0),1))</f>
        <v>9011177118.5714283</v>
      </c>
      <c r="R591" s="27">
        <f>R11*IF($E591="weekday",INDEX('Category Mapping'!$F$28:$F$39,MATCH('Summarized Source Data'!$A591,'Category Mapping'!$A$28:$A$39,0),1),INDEX('Category Mapping'!$E$28:$E$39,MATCH($A591,'Category Mapping'!$A$28:$A$39,0),1))</f>
        <v>354285714.28571427</v>
      </c>
      <c r="S591" s="27">
        <f>S11*IF($E591="weekday",INDEX('Category Mapping'!$F$28:$F$39,MATCH('Summarized Source Data'!$A591,'Category Mapping'!$A$28:$A$39,0),1),INDEX('Category Mapping'!$E$28:$E$39,MATCH($A591,'Category Mapping'!$A$28:$A$39,0),1))</f>
        <v>354285714.28571427</v>
      </c>
      <c r="T591" s="27">
        <f>T11*IF($E591="weekday",INDEX('Category Mapping'!$F$28:$F$39,MATCH('Summarized Source Data'!$A591,'Category Mapping'!$A$28:$A$39,0),1),INDEX('Category Mapping'!$E$28:$E$39,MATCH($A591,'Category Mapping'!$A$28:$A$39,0),1))</f>
        <v>354285714.28571427</v>
      </c>
      <c r="U591" s="27">
        <f>U11*IF($E591="weekday",INDEX('Category Mapping'!$F$28:$F$39,MATCH('Summarized Source Data'!$A591,'Category Mapping'!$A$28:$A$39,0),1),INDEX('Category Mapping'!$E$28:$E$39,MATCH($A591,'Category Mapping'!$A$28:$A$39,0),1))</f>
        <v>354285714.28571427</v>
      </c>
      <c r="V591" s="27">
        <f>V11*IF($E591="weekday",INDEX('Category Mapping'!$F$28:$F$39,MATCH('Summarized Source Data'!$A591,'Category Mapping'!$A$28:$A$39,0),1),INDEX('Category Mapping'!$E$28:$E$39,MATCH($A591,'Category Mapping'!$A$28:$A$39,0),1))</f>
        <v>354285714.28571427</v>
      </c>
      <c r="W591" s="27">
        <f>W11*IF($E591="weekday",INDEX('Category Mapping'!$F$28:$F$39,MATCH('Summarized Source Data'!$A591,'Category Mapping'!$A$28:$A$39,0),1),INDEX('Category Mapping'!$E$28:$E$39,MATCH($A591,'Category Mapping'!$A$28:$A$39,0),1))</f>
        <v>354285714.28571427</v>
      </c>
      <c r="X591" s="27">
        <f>X11*IF($E591="weekday",INDEX('Category Mapping'!$F$28:$F$39,MATCH('Summarized Source Data'!$A591,'Category Mapping'!$A$28:$A$39,0),1),INDEX('Category Mapping'!$E$28:$E$39,MATCH($A591,'Category Mapping'!$A$28:$A$39,0),1))</f>
        <v>15079285714.285713</v>
      </c>
      <c r="Y591" s="27">
        <f>Y11*IF($E591="weekday",INDEX('Category Mapping'!$F$28:$F$39,MATCH('Summarized Source Data'!$A591,'Category Mapping'!$A$28:$A$39,0),1),INDEX('Category Mapping'!$E$28:$E$39,MATCH($A591,'Category Mapping'!$A$28:$A$39,0),1))</f>
        <v>15079285714.285713</v>
      </c>
      <c r="Z591" s="27">
        <f>Z11*IF($E591="weekday",INDEX('Category Mapping'!$F$28:$F$39,MATCH('Summarized Source Data'!$A591,'Category Mapping'!$A$28:$A$39,0),1),INDEX('Category Mapping'!$E$28:$E$39,MATCH($A591,'Category Mapping'!$A$28:$A$39,0),1))</f>
        <v>15079285714.285713</v>
      </c>
    </row>
    <row r="592" spans="1:26" x14ac:dyDescent="0.3">
      <c r="A592">
        <f t="shared" ref="A592:E592" si="57">A12</f>
        <v>1</v>
      </c>
      <c r="B592" t="str">
        <f t="shared" si="57"/>
        <v>Winter</v>
      </c>
      <c r="C592" t="str">
        <f t="shared" si="57"/>
        <v>h9</v>
      </c>
      <c r="D592" t="str">
        <f t="shared" si="57"/>
        <v>Hour8</v>
      </c>
      <c r="E592" t="str">
        <f t="shared" si="57"/>
        <v>Weekday</v>
      </c>
      <c r="F592" s="27">
        <f>F12*IF($E592="weekday",INDEX('Category Mapping'!$F$28:$F$39,MATCH('Summarized Source Data'!$A592,'Category Mapping'!$A$28:$A$39,0),1),INDEX('Category Mapping'!$E$28:$E$39,MATCH($A592,'Category Mapping'!$A$28:$A$39,0),1))</f>
        <v>544714285.71428573</v>
      </c>
      <c r="G592" s="27">
        <f>G12*IF($E592="weekday",INDEX('Category Mapping'!$F$28:$F$39,MATCH('Summarized Source Data'!$A592,'Category Mapping'!$A$28:$A$39,0),1),INDEX('Category Mapping'!$E$28:$E$39,MATCH($A592,'Category Mapping'!$A$28:$A$39,0),1))</f>
        <v>132835</v>
      </c>
      <c r="H592" s="27">
        <f>H12*IF($E592="weekday",INDEX('Category Mapping'!$F$28:$F$39,MATCH('Summarized Source Data'!$A592,'Category Mapping'!$A$28:$A$39,0),1),INDEX('Category Mapping'!$E$28:$E$39,MATCH($A592,'Category Mapping'!$A$28:$A$39,0),1))</f>
        <v>0</v>
      </c>
      <c r="I592" s="27">
        <f>I12*IF($E592="weekday",INDEX('Category Mapping'!$F$28:$F$39,MATCH('Summarized Source Data'!$A592,'Category Mapping'!$A$28:$A$39,0),1),INDEX('Category Mapping'!$E$28:$E$39,MATCH($A592,'Category Mapping'!$A$28:$A$39,0),1))</f>
        <v>236928571.42857143</v>
      </c>
      <c r="J592" s="27">
        <f>J12*IF($E592="weekday",INDEX('Category Mapping'!$F$28:$F$39,MATCH('Summarized Source Data'!$A592,'Category Mapping'!$A$28:$A$39,0),1),INDEX('Category Mapping'!$E$28:$E$39,MATCH($A592,'Category Mapping'!$A$28:$A$39,0),1))</f>
        <v>2517510022.1428571</v>
      </c>
      <c r="K592" s="27">
        <f>K12*IF($E592="weekday",INDEX('Category Mapping'!$F$28:$F$39,MATCH('Summarized Source Data'!$A592,'Category Mapping'!$A$28:$A$39,0),1),INDEX('Category Mapping'!$E$28:$E$39,MATCH($A592,'Category Mapping'!$A$28:$A$39,0),1))</f>
        <v>2517510022.1428571</v>
      </c>
      <c r="L592" s="27">
        <f>L12*IF($E592="weekday",INDEX('Category Mapping'!$F$28:$F$39,MATCH('Summarized Source Data'!$A592,'Category Mapping'!$A$28:$A$39,0),1),INDEX('Category Mapping'!$E$28:$E$39,MATCH($A592,'Category Mapping'!$A$28:$A$39,0),1))</f>
        <v>2812142857.1428571</v>
      </c>
      <c r="M592" s="27">
        <f>M12*IF($E592="weekday",INDEX('Category Mapping'!$F$28:$F$39,MATCH('Summarized Source Data'!$A592,'Category Mapping'!$A$28:$A$39,0),1),INDEX('Category Mapping'!$E$28:$E$39,MATCH($A592,'Category Mapping'!$A$28:$A$39,0),1))</f>
        <v>1195337.857142857</v>
      </c>
      <c r="N592" s="27">
        <f>N12*IF($E592="weekday",INDEX('Category Mapping'!$F$28:$F$39,MATCH('Summarized Source Data'!$A592,'Category Mapping'!$A$28:$A$39,0),1),INDEX('Category Mapping'!$E$28:$E$39,MATCH($A592,'Category Mapping'!$A$28:$A$39,0),1))</f>
        <v>0</v>
      </c>
      <c r="O592" s="27">
        <f>O12*IF($E592="weekday",INDEX('Category Mapping'!$F$28:$F$39,MATCH('Summarized Source Data'!$A592,'Category Mapping'!$A$28:$A$39,0),1),INDEX('Category Mapping'!$E$28:$E$39,MATCH($A592,'Category Mapping'!$A$28:$A$39,0),1))</f>
        <v>11158804662.142857</v>
      </c>
      <c r="P592" s="27">
        <f>P12*IF($E592="weekday",INDEX('Category Mapping'!$F$28:$F$39,MATCH('Summarized Source Data'!$A592,'Category Mapping'!$A$28:$A$39,0),1),INDEX('Category Mapping'!$E$28:$E$39,MATCH($A592,'Category Mapping'!$A$28:$A$39,0),1))</f>
        <v>11158804662.142857</v>
      </c>
      <c r="Q592" s="27">
        <f>Q12*IF($E592="weekday",INDEX('Category Mapping'!$F$28:$F$39,MATCH('Summarized Source Data'!$A592,'Category Mapping'!$A$28:$A$39,0),1),INDEX('Category Mapping'!$E$28:$E$39,MATCH($A592,'Category Mapping'!$A$28:$A$39,0),1))</f>
        <v>11158804662.142857</v>
      </c>
      <c r="R592" s="27">
        <f>R12*IF($E592="weekday",INDEX('Category Mapping'!$F$28:$F$39,MATCH('Summarized Source Data'!$A592,'Category Mapping'!$A$28:$A$39,0),1),INDEX('Category Mapping'!$E$28:$E$39,MATCH($A592,'Category Mapping'!$A$28:$A$39,0),1))</f>
        <v>385285714.28571427</v>
      </c>
      <c r="S592" s="27">
        <f>S12*IF($E592="weekday",INDEX('Category Mapping'!$F$28:$F$39,MATCH('Summarized Source Data'!$A592,'Category Mapping'!$A$28:$A$39,0),1),INDEX('Category Mapping'!$E$28:$E$39,MATCH($A592,'Category Mapping'!$A$28:$A$39,0),1))</f>
        <v>385285714.28571427</v>
      </c>
      <c r="T592" s="27">
        <f>T12*IF($E592="weekday",INDEX('Category Mapping'!$F$28:$F$39,MATCH('Summarized Source Data'!$A592,'Category Mapping'!$A$28:$A$39,0),1),INDEX('Category Mapping'!$E$28:$E$39,MATCH($A592,'Category Mapping'!$A$28:$A$39,0),1))</f>
        <v>385285714.28571427</v>
      </c>
      <c r="U592" s="27">
        <f>U12*IF($E592="weekday",INDEX('Category Mapping'!$F$28:$F$39,MATCH('Summarized Source Data'!$A592,'Category Mapping'!$A$28:$A$39,0),1),INDEX('Category Mapping'!$E$28:$E$39,MATCH($A592,'Category Mapping'!$A$28:$A$39,0),1))</f>
        <v>385285714.28571427</v>
      </c>
      <c r="V592" s="27">
        <f>V12*IF($E592="weekday",INDEX('Category Mapping'!$F$28:$F$39,MATCH('Summarized Source Data'!$A592,'Category Mapping'!$A$28:$A$39,0),1),INDEX('Category Mapping'!$E$28:$E$39,MATCH($A592,'Category Mapping'!$A$28:$A$39,0),1))</f>
        <v>385285714.28571427</v>
      </c>
      <c r="W592" s="27">
        <f>W12*IF($E592="weekday",INDEX('Category Mapping'!$F$28:$F$39,MATCH('Summarized Source Data'!$A592,'Category Mapping'!$A$28:$A$39,0),1),INDEX('Category Mapping'!$E$28:$E$39,MATCH($A592,'Category Mapping'!$A$28:$A$39,0),1))</f>
        <v>385285714.28571427</v>
      </c>
      <c r="X592" s="27">
        <f>X12*IF($E592="weekday",INDEX('Category Mapping'!$F$28:$F$39,MATCH('Summarized Source Data'!$A592,'Category Mapping'!$A$28:$A$39,0),1),INDEX('Category Mapping'!$E$28:$E$39,MATCH($A592,'Category Mapping'!$A$28:$A$39,0),1))</f>
        <v>15123571428.571428</v>
      </c>
      <c r="Y592" s="27">
        <f>Y12*IF($E592="weekday",INDEX('Category Mapping'!$F$28:$F$39,MATCH('Summarized Source Data'!$A592,'Category Mapping'!$A$28:$A$39,0),1),INDEX('Category Mapping'!$E$28:$E$39,MATCH($A592,'Category Mapping'!$A$28:$A$39,0),1))</f>
        <v>15123571428.571428</v>
      </c>
      <c r="Z592" s="27">
        <f>Z12*IF($E592="weekday",INDEX('Category Mapping'!$F$28:$F$39,MATCH('Summarized Source Data'!$A592,'Category Mapping'!$A$28:$A$39,0),1),INDEX('Category Mapping'!$E$28:$E$39,MATCH($A592,'Category Mapping'!$A$28:$A$39,0),1))</f>
        <v>15123571428.571428</v>
      </c>
    </row>
    <row r="593" spans="1:26" x14ac:dyDescent="0.3">
      <c r="A593">
        <f t="shared" ref="A593:E593" si="58">A13</f>
        <v>1</v>
      </c>
      <c r="B593" t="str">
        <f t="shared" si="58"/>
        <v>Winter</v>
      </c>
      <c r="C593" t="str">
        <f t="shared" si="58"/>
        <v>h10</v>
      </c>
      <c r="D593" t="str">
        <f t="shared" si="58"/>
        <v>Hour9</v>
      </c>
      <c r="E593" t="str">
        <f t="shared" si="58"/>
        <v>Weekday</v>
      </c>
      <c r="F593" s="27">
        <f>F13*IF($E593="weekday",INDEX('Category Mapping'!$F$28:$F$39,MATCH('Summarized Source Data'!$A593,'Category Mapping'!$A$28:$A$39,0),1),INDEX('Category Mapping'!$E$28:$E$39,MATCH($A593,'Category Mapping'!$A$28:$A$39,0),1))</f>
        <v>407428571.4285714</v>
      </c>
      <c r="G593" s="27">
        <f>G13*IF($E593="weekday",INDEX('Category Mapping'!$F$28:$F$39,MATCH('Summarized Source Data'!$A593,'Category Mapping'!$A$28:$A$39,0),1),INDEX('Category Mapping'!$E$28:$E$39,MATCH($A593,'Category Mapping'!$A$28:$A$39,0),1))</f>
        <v>114855</v>
      </c>
      <c r="H593" s="27">
        <f>H13*IF($E593="weekday",INDEX('Category Mapping'!$F$28:$F$39,MATCH('Summarized Source Data'!$A593,'Category Mapping'!$A$28:$A$39,0),1),INDEX('Category Mapping'!$E$28:$E$39,MATCH($A593,'Category Mapping'!$A$28:$A$39,0),1))</f>
        <v>0</v>
      </c>
      <c r="I593" s="27">
        <f>I13*IF($E593="weekday",INDEX('Category Mapping'!$F$28:$F$39,MATCH('Summarized Source Data'!$A593,'Category Mapping'!$A$28:$A$39,0),1),INDEX('Category Mapping'!$E$28:$E$39,MATCH($A593,'Category Mapping'!$A$28:$A$39,0),1))</f>
        <v>228071428.57142857</v>
      </c>
      <c r="J593" s="27">
        <f>J13*IF($E593="weekday",INDEX('Category Mapping'!$F$28:$F$39,MATCH('Summarized Source Data'!$A593,'Category Mapping'!$A$28:$A$39,0),1),INDEX('Category Mapping'!$E$28:$E$39,MATCH($A593,'Category Mapping'!$A$28:$A$39,0),1))</f>
        <v>2508670859.2857141</v>
      </c>
      <c r="K593" s="27">
        <f>K13*IF($E593="weekday",INDEX('Category Mapping'!$F$28:$F$39,MATCH('Summarized Source Data'!$A593,'Category Mapping'!$A$28:$A$39,0),1),INDEX('Category Mapping'!$E$28:$E$39,MATCH($A593,'Category Mapping'!$A$28:$A$39,0),1))</f>
        <v>2508670859.2857141</v>
      </c>
      <c r="L593" s="27">
        <f>L13*IF($E593="weekday",INDEX('Category Mapping'!$F$28:$F$39,MATCH('Summarized Source Data'!$A593,'Category Mapping'!$A$28:$A$39,0),1),INDEX('Category Mapping'!$E$28:$E$39,MATCH($A593,'Category Mapping'!$A$28:$A$39,0),1))</f>
        <v>2032714285.7142856</v>
      </c>
      <c r="M593" s="27">
        <f>M13*IF($E593="weekday",INDEX('Category Mapping'!$F$28:$F$39,MATCH('Summarized Source Data'!$A593,'Category Mapping'!$A$28:$A$39,0),1),INDEX('Category Mapping'!$E$28:$E$39,MATCH($A593,'Category Mapping'!$A$28:$A$39,0),1))</f>
        <v>1341967.857142857</v>
      </c>
      <c r="N593" s="27">
        <f>N13*IF($E593="weekday",INDEX('Category Mapping'!$F$28:$F$39,MATCH('Summarized Source Data'!$A593,'Category Mapping'!$A$28:$A$39,0),1),INDEX('Category Mapping'!$E$28:$E$39,MATCH($A593,'Category Mapping'!$A$28:$A$39,0),1))</f>
        <v>0</v>
      </c>
      <c r="O593" s="27">
        <f>O13*IF($E593="weekday",INDEX('Category Mapping'!$F$28:$F$39,MATCH('Summarized Source Data'!$A593,'Category Mapping'!$A$28:$A$39,0),1),INDEX('Category Mapping'!$E$28:$E$39,MATCH($A593,'Category Mapping'!$A$28:$A$39,0),1))</f>
        <v>11716658032.142857</v>
      </c>
      <c r="P593" s="27">
        <f>P13*IF($E593="weekday",INDEX('Category Mapping'!$F$28:$F$39,MATCH('Summarized Source Data'!$A593,'Category Mapping'!$A$28:$A$39,0),1),INDEX('Category Mapping'!$E$28:$E$39,MATCH($A593,'Category Mapping'!$A$28:$A$39,0),1))</f>
        <v>11716658032.142857</v>
      </c>
      <c r="Q593" s="27">
        <f>Q13*IF($E593="weekday",INDEX('Category Mapping'!$F$28:$F$39,MATCH('Summarized Source Data'!$A593,'Category Mapping'!$A$28:$A$39,0),1),INDEX('Category Mapping'!$E$28:$E$39,MATCH($A593,'Category Mapping'!$A$28:$A$39,0),1))</f>
        <v>11716658032.142857</v>
      </c>
      <c r="R593" s="27">
        <f>R13*IF($E593="weekday",INDEX('Category Mapping'!$F$28:$F$39,MATCH('Summarized Source Data'!$A593,'Category Mapping'!$A$28:$A$39,0),1),INDEX('Category Mapping'!$E$28:$E$39,MATCH($A593,'Category Mapping'!$A$28:$A$39,0),1))</f>
        <v>341000000</v>
      </c>
      <c r="S593" s="27">
        <f>S13*IF($E593="weekday",INDEX('Category Mapping'!$F$28:$F$39,MATCH('Summarized Source Data'!$A593,'Category Mapping'!$A$28:$A$39,0),1),INDEX('Category Mapping'!$E$28:$E$39,MATCH($A593,'Category Mapping'!$A$28:$A$39,0),1))</f>
        <v>341000000</v>
      </c>
      <c r="T593" s="27">
        <f>T13*IF($E593="weekday",INDEX('Category Mapping'!$F$28:$F$39,MATCH('Summarized Source Data'!$A593,'Category Mapping'!$A$28:$A$39,0),1),INDEX('Category Mapping'!$E$28:$E$39,MATCH($A593,'Category Mapping'!$A$28:$A$39,0),1))</f>
        <v>341000000</v>
      </c>
      <c r="U593" s="27">
        <f>U13*IF($E593="weekday",INDEX('Category Mapping'!$F$28:$F$39,MATCH('Summarized Source Data'!$A593,'Category Mapping'!$A$28:$A$39,0),1),INDEX('Category Mapping'!$E$28:$E$39,MATCH($A593,'Category Mapping'!$A$28:$A$39,0),1))</f>
        <v>341000000</v>
      </c>
      <c r="V593" s="27">
        <f>V13*IF($E593="weekday",INDEX('Category Mapping'!$F$28:$F$39,MATCH('Summarized Source Data'!$A593,'Category Mapping'!$A$28:$A$39,0),1),INDEX('Category Mapping'!$E$28:$E$39,MATCH($A593,'Category Mapping'!$A$28:$A$39,0),1))</f>
        <v>341000000</v>
      </c>
      <c r="W593" s="27">
        <f>W13*IF($E593="weekday",INDEX('Category Mapping'!$F$28:$F$39,MATCH('Summarized Source Data'!$A593,'Category Mapping'!$A$28:$A$39,0),1),INDEX('Category Mapping'!$E$28:$E$39,MATCH($A593,'Category Mapping'!$A$28:$A$39,0),1))</f>
        <v>341000000</v>
      </c>
      <c r="X593" s="27">
        <f>X13*IF($E593="weekday",INDEX('Category Mapping'!$F$28:$F$39,MATCH('Summarized Source Data'!$A593,'Category Mapping'!$A$28:$A$39,0),1),INDEX('Category Mapping'!$E$28:$E$39,MATCH($A593,'Category Mapping'!$A$28:$A$39,0),1))</f>
        <v>15101428571.428572</v>
      </c>
      <c r="Y593" s="27">
        <f>Y13*IF($E593="weekday",INDEX('Category Mapping'!$F$28:$F$39,MATCH('Summarized Source Data'!$A593,'Category Mapping'!$A$28:$A$39,0),1),INDEX('Category Mapping'!$E$28:$E$39,MATCH($A593,'Category Mapping'!$A$28:$A$39,0),1))</f>
        <v>15101428571.428572</v>
      </c>
      <c r="Z593" s="27">
        <f>Z13*IF($E593="weekday",INDEX('Category Mapping'!$F$28:$F$39,MATCH('Summarized Source Data'!$A593,'Category Mapping'!$A$28:$A$39,0),1),INDEX('Category Mapping'!$E$28:$E$39,MATCH($A593,'Category Mapping'!$A$28:$A$39,0),1))</f>
        <v>15101428571.428572</v>
      </c>
    </row>
    <row r="594" spans="1:26" x14ac:dyDescent="0.3">
      <c r="A594">
        <f t="shared" ref="A594:E594" si="59">A14</f>
        <v>1</v>
      </c>
      <c r="B594" t="str">
        <f t="shared" si="59"/>
        <v>Winter</v>
      </c>
      <c r="C594" t="str">
        <f t="shared" si="59"/>
        <v>h11</v>
      </c>
      <c r="D594" t="str">
        <f t="shared" si="59"/>
        <v>Hour10</v>
      </c>
      <c r="E594" t="str">
        <f t="shared" si="59"/>
        <v>Weekday</v>
      </c>
      <c r="F594" s="27">
        <f>F14*IF($E594="weekday",INDEX('Category Mapping'!$F$28:$F$39,MATCH('Summarized Source Data'!$A594,'Category Mapping'!$A$28:$A$39,0),1),INDEX('Category Mapping'!$E$28:$E$39,MATCH($A594,'Category Mapping'!$A$28:$A$39,0),1))</f>
        <v>391928571.4285714</v>
      </c>
      <c r="G594" s="27">
        <f>G14*IF($E594="weekday",INDEX('Category Mapping'!$F$28:$F$39,MATCH('Summarized Source Data'!$A594,'Category Mapping'!$A$28:$A$39,0),1),INDEX('Category Mapping'!$E$28:$E$39,MATCH($A594,'Category Mapping'!$A$28:$A$39,0),1))</f>
        <v>113482.14285714286</v>
      </c>
      <c r="H594" s="27">
        <f>H14*IF($E594="weekday",INDEX('Category Mapping'!$F$28:$F$39,MATCH('Summarized Source Data'!$A594,'Category Mapping'!$A$28:$A$39,0),1),INDEX('Category Mapping'!$E$28:$E$39,MATCH($A594,'Category Mapping'!$A$28:$A$39,0),1))</f>
        <v>0</v>
      </c>
      <c r="I594" s="27">
        <f>I14*IF($E594="weekday",INDEX('Category Mapping'!$F$28:$F$39,MATCH('Summarized Source Data'!$A594,'Category Mapping'!$A$28:$A$39,0),1),INDEX('Category Mapping'!$E$28:$E$39,MATCH($A594,'Category Mapping'!$A$28:$A$39,0),1))</f>
        <v>232500000</v>
      </c>
      <c r="J594" s="27">
        <f>J14*IF($E594="weekday",INDEX('Category Mapping'!$F$28:$F$39,MATCH('Summarized Source Data'!$A594,'Category Mapping'!$A$28:$A$39,0),1),INDEX('Category Mapping'!$E$28:$E$39,MATCH($A594,'Category Mapping'!$A$28:$A$39,0),1))</f>
        <v>2475457946.4285712</v>
      </c>
      <c r="K594" s="27">
        <f>K14*IF($E594="weekday",INDEX('Category Mapping'!$F$28:$F$39,MATCH('Summarized Source Data'!$A594,'Category Mapping'!$A$28:$A$39,0),1),INDEX('Category Mapping'!$E$28:$E$39,MATCH($A594,'Category Mapping'!$A$28:$A$39,0),1))</f>
        <v>2475457946.4285712</v>
      </c>
      <c r="L594" s="27">
        <f>L14*IF($E594="weekday",INDEX('Category Mapping'!$F$28:$F$39,MATCH('Summarized Source Data'!$A594,'Category Mapping'!$A$28:$A$39,0),1),INDEX('Category Mapping'!$E$28:$E$39,MATCH($A594,'Category Mapping'!$A$28:$A$39,0),1))</f>
        <v>1700571428.5714285</v>
      </c>
      <c r="M594" s="27">
        <f>M14*IF($E594="weekday",INDEX('Category Mapping'!$F$28:$F$39,MATCH('Summarized Source Data'!$A594,'Category Mapping'!$A$28:$A$39,0),1),INDEX('Category Mapping'!$E$28:$E$39,MATCH($A594,'Category Mapping'!$A$28:$A$39,0),1))</f>
        <v>1418183.5714285714</v>
      </c>
      <c r="N594" s="27">
        <f>N14*IF($E594="weekday",INDEX('Category Mapping'!$F$28:$F$39,MATCH('Summarized Source Data'!$A594,'Category Mapping'!$A$28:$A$39,0),1),INDEX('Category Mapping'!$E$28:$E$39,MATCH($A594,'Category Mapping'!$A$28:$A$39,0),1))</f>
        <v>0</v>
      </c>
      <c r="O594" s="27">
        <f>O14*IF($E594="weekday",INDEX('Category Mapping'!$F$28:$F$39,MATCH('Summarized Source Data'!$A594,'Category Mapping'!$A$28:$A$39,0),1),INDEX('Category Mapping'!$E$28:$E$39,MATCH($A594,'Category Mapping'!$A$28:$A$39,0),1))</f>
        <v>11650153245</v>
      </c>
      <c r="P594" s="27">
        <f>P14*IF($E594="weekday",INDEX('Category Mapping'!$F$28:$F$39,MATCH('Summarized Source Data'!$A594,'Category Mapping'!$A$28:$A$39,0),1),INDEX('Category Mapping'!$E$28:$E$39,MATCH($A594,'Category Mapping'!$A$28:$A$39,0),1))</f>
        <v>11650153245</v>
      </c>
      <c r="Q594" s="27">
        <f>Q14*IF($E594="weekday",INDEX('Category Mapping'!$F$28:$F$39,MATCH('Summarized Source Data'!$A594,'Category Mapping'!$A$28:$A$39,0),1),INDEX('Category Mapping'!$E$28:$E$39,MATCH($A594,'Category Mapping'!$A$28:$A$39,0),1))</f>
        <v>11650153245</v>
      </c>
      <c r="R594" s="27">
        <f>R14*IF($E594="weekday",INDEX('Category Mapping'!$F$28:$F$39,MATCH('Summarized Source Data'!$A594,'Category Mapping'!$A$28:$A$39,0),1),INDEX('Category Mapping'!$E$28:$E$39,MATCH($A594,'Category Mapping'!$A$28:$A$39,0),1))</f>
        <v>274571428.57142854</v>
      </c>
      <c r="S594" s="27">
        <f>S14*IF($E594="weekday",INDEX('Category Mapping'!$F$28:$F$39,MATCH('Summarized Source Data'!$A594,'Category Mapping'!$A$28:$A$39,0),1),INDEX('Category Mapping'!$E$28:$E$39,MATCH($A594,'Category Mapping'!$A$28:$A$39,0),1))</f>
        <v>274571428.57142854</v>
      </c>
      <c r="T594" s="27">
        <f>T14*IF($E594="weekday",INDEX('Category Mapping'!$F$28:$F$39,MATCH('Summarized Source Data'!$A594,'Category Mapping'!$A$28:$A$39,0),1),INDEX('Category Mapping'!$E$28:$E$39,MATCH($A594,'Category Mapping'!$A$28:$A$39,0),1))</f>
        <v>274571428.57142854</v>
      </c>
      <c r="U594" s="27">
        <f>U14*IF($E594="weekday",INDEX('Category Mapping'!$F$28:$F$39,MATCH('Summarized Source Data'!$A594,'Category Mapping'!$A$28:$A$39,0),1),INDEX('Category Mapping'!$E$28:$E$39,MATCH($A594,'Category Mapping'!$A$28:$A$39,0),1))</f>
        <v>274571428.57142854</v>
      </c>
      <c r="V594" s="27">
        <f>V14*IF($E594="weekday",INDEX('Category Mapping'!$F$28:$F$39,MATCH('Summarized Source Data'!$A594,'Category Mapping'!$A$28:$A$39,0),1),INDEX('Category Mapping'!$E$28:$E$39,MATCH($A594,'Category Mapping'!$A$28:$A$39,0),1))</f>
        <v>274571428.57142854</v>
      </c>
      <c r="W594" s="27">
        <f>W14*IF($E594="weekday",INDEX('Category Mapping'!$F$28:$F$39,MATCH('Summarized Source Data'!$A594,'Category Mapping'!$A$28:$A$39,0),1),INDEX('Category Mapping'!$E$28:$E$39,MATCH($A594,'Category Mapping'!$A$28:$A$39,0),1))</f>
        <v>274571428.57142854</v>
      </c>
      <c r="X594" s="27">
        <f>X14*IF($E594="weekday",INDEX('Category Mapping'!$F$28:$F$39,MATCH('Summarized Source Data'!$A594,'Category Mapping'!$A$28:$A$39,0),1),INDEX('Category Mapping'!$E$28:$E$39,MATCH($A594,'Category Mapping'!$A$28:$A$39,0),1))</f>
        <v>15035000000</v>
      </c>
      <c r="Y594" s="27">
        <f>Y14*IF($E594="weekday",INDEX('Category Mapping'!$F$28:$F$39,MATCH('Summarized Source Data'!$A594,'Category Mapping'!$A$28:$A$39,0),1),INDEX('Category Mapping'!$E$28:$E$39,MATCH($A594,'Category Mapping'!$A$28:$A$39,0),1))</f>
        <v>15035000000</v>
      </c>
      <c r="Z594" s="27">
        <f>Z14*IF($E594="weekday",INDEX('Category Mapping'!$F$28:$F$39,MATCH('Summarized Source Data'!$A594,'Category Mapping'!$A$28:$A$39,0),1),INDEX('Category Mapping'!$E$28:$E$39,MATCH($A594,'Category Mapping'!$A$28:$A$39,0),1))</f>
        <v>15035000000</v>
      </c>
    </row>
    <row r="595" spans="1:26" x14ac:dyDescent="0.3">
      <c r="A595">
        <f t="shared" ref="A595:E595" si="60">A15</f>
        <v>1</v>
      </c>
      <c r="B595" t="str">
        <f t="shared" si="60"/>
        <v>Winter</v>
      </c>
      <c r="C595" t="str">
        <f t="shared" si="60"/>
        <v>h12</v>
      </c>
      <c r="D595" t="str">
        <f t="shared" si="60"/>
        <v>Hour11</v>
      </c>
      <c r="E595" t="str">
        <f t="shared" si="60"/>
        <v>Weekday</v>
      </c>
      <c r="F595" s="27">
        <f>F15*IF($E595="weekday",INDEX('Category Mapping'!$F$28:$F$39,MATCH('Summarized Source Data'!$A595,'Category Mapping'!$A$28:$A$39,0),1),INDEX('Category Mapping'!$E$28:$E$39,MATCH($A595,'Category Mapping'!$A$28:$A$39,0),1))</f>
        <v>389714285.71428573</v>
      </c>
      <c r="G595" s="27">
        <f>G15*IF($E595="weekday",INDEX('Category Mapping'!$F$28:$F$39,MATCH('Summarized Source Data'!$A595,'Category Mapping'!$A$28:$A$39,0),1),INDEX('Category Mapping'!$E$28:$E$39,MATCH($A595,'Category Mapping'!$A$28:$A$39,0),1))</f>
        <v>126922.85714285714</v>
      </c>
      <c r="H595" s="27">
        <f>H15*IF($E595="weekday",INDEX('Category Mapping'!$F$28:$F$39,MATCH('Summarized Source Data'!$A595,'Category Mapping'!$A$28:$A$39,0),1),INDEX('Category Mapping'!$E$28:$E$39,MATCH($A595,'Category Mapping'!$A$28:$A$39,0),1))</f>
        <v>0</v>
      </c>
      <c r="I595" s="27">
        <f>I15*IF($E595="weekday",INDEX('Category Mapping'!$F$28:$F$39,MATCH('Summarized Source Data'!$A595,'Category Mapping'!$A$28:$A$39,0),1),INDEX('Category Mapping'!$E$28:$E$39,MATCH($A595,'Category Mapping'!$A$28:$A$39,0),1))</f>
        <v>254642857.14285713</v>
      </c>
      <c r="J595" s="27">
        <f>J15*IF($E595="weekday",INDEX('Category Mapping'!$F$28:$F$39,MATCH('Summarized Source Data'!$A595,'Category Mapping'!$A$28:$A$39,0),1),INDEX('Category Mapping'!$E$28:$E$39,MATCH($A595,'Category Mapping'!$A$28:$A$39,0),1))</f>
        <v>2477658791.4285712</v>
      </c>
      <c r="K595" s="27">
        <f>K15*IF($E595="weekday",INDEX('Category Mapping'!$F$28:$F$39,MATCH('Summarized Source Data'!$A595,'Category Mapping'!$A$28:$A$39,0),1),INDEX('Category Mapping'!$E$28:$E$39,MATCH($A595,'Category Mapping'!$A$28:$A$39,0),1))</f>
        <v>2477658791.4285712</v>
      </c>
      <c r="L595" s="27">
        <f>L15*IF($E595="weekday",INDEX('Category Mapping'!$F$28:$F$39,MATCH('Summarized Source Data'!$A595,'Category Mapping'!$A$28:$A$39,0),1),INDEX('Category Mapping'!$E$28:$E$39,MATCH($A595,'Category Mapping'!$A$28:$A$39,0),1))</f>
        <v>1494642857.1428571</v>
      </c>
      <c r="M595" s="27">
        <f>M15*IF($E595="weekday",INDEX('Category Mapping'!$F$28:$F$39,MATCH('Summarized Source Data'!$A595,'Category Mapping'!$A$28:$A$39,0),1),INDEX('Category Mapping'!$E$28:$E$39,MATCH($A595,'Category Mapping'!$A$28:$A$39,0),1))</f>
        <v>1436030.7142857143</v>
      </c>
      <c r="N595" s="27">
        <f>N15*IF($E595="weekday",INDEX('Category Mapping'!$F$28:$F$39,MATCH('Summarized Source Data'!$A595,'Category Mapping'!$A$28:$A$39,0),1),INDEX('Category Mapping'!$E$28:$E$39,MATCH($A595,'Category Mapping'!$A$28:$A$39,0),1))</f>
        <v>0</v>
      </c>
      <c r="O595" s="27">
        <f>O15*IF($E595="weekday",INDEX('Category Mapping'!$F$28:$F$39,MATCH('Summarized Source Data'!$A595,'Category Mapping'!$A$28:$A$39,0),1),INDEX('Category Mapping'!$E$28:$E$39,MATCH($A595,'Category Mapping'!$A$28:$A$39,0),1))</f>
        <v>11612492540.714285</v>
      </c>
      <c r="P595" s="27">
        <f>P15*IF($E595="weekday",INDEX('Category Mapping'!$F$28:$F$39,MATCH('Summarized Source Data'!$A595,'Category Mapping'!$A$28:$A$39,0),1),INDEX('Category Mapping'!$E$28:$E$39,MATCH($A595,'Category Mapping'!$A$28:$A$39,0),1))</f>
        <v>11612492540.714285</v>
      </c>
      <c r="Q595" s="27">
        <f>Q15*IF($E595="weekday",INDEX('Category Mapping'!$F$28:$F$39,MATCH('Summarized Source Data'!$A595,'Category Mapping'!$A$28:$A$39,0),1),INDEX('Category Mapping'!$E$28:$E$39,MATCH($A595,'Category Mapping'!$A$28:$A$39,0),1))</f>
        <v>11612492540.714285</v>
      </c>
      <c r="R595" s="27">
        <f>R15*IF($E595="weekday",INDEX('Category Mapping'!$F$28:$F$39,MATCH('Summarized Source Data'!$A595,'Category Mapping'!$A$28:$A$39,0),1),INDEX('Category Mapping'!$E$28:$E$39,MATCH($A595,'Category Mapping'!$A$28:$A$39,0),1))</f>
        <v>276785714.28571427</v>
      </c>
      <c r="S595" s="27">
        <f>S15*IF($E595="weekday",INDEX('Category Mapping'!$F$28:$F$39,MATCH('Summarized Source Data'!$A595,'Category Mapping'!$A$28:$A$39,0),1),INDEX('Category Mapping'!$E$28:$E$39,MATCH($A595,'Category Mapping'!$A$28:$A$39,0),1))</f>
        <v>276785714.28571427</v>
      </c>
      <c r="T595" s="27">
        <f>T15*IF($E595="weekday",INDEX('Category Mapping'!$F$28:$F$39,MATCH('Summarized Source Data'!$A595,'Category Mapping'!$A$28:$A$39,0),1),INDEX('Category Mapping'!$E$28:$E$39,MATCH($A595,'Category Mapping'!$A$28:$A$39,0),1))</f>
        <v>276785714.28571427</v>
      </c>
      <c r="U595" s="27">
        <f>U15*IF($E595="weekday",INDEX('Category Mapping'!$F$28:$F$39,MATCH('Summarized Source Data'!$A595,'Category Mapping'!$A$28:$A$39,0),1),INDEX('Category Mapping'!$E$28:$E$39,MATCH($A595,'Category Mapping'!$A$28:$A$39,0),1))</f>
        <v>276785714.28571427</v>
      </c>
      <c r="V595" s="27">
        <f>V15*IF($E595="weekday",INDEX('Category Mapping'!$F$28:$F$39,MATCH('Summarized Source Data'!$A595,'Category Mapping'!$A$28:$A$39,0),1),INDEX('Category Mapping'!$E$28:$E$39,MATCH($A595,'Category Mapping'!$A$28:$A$39,0),1))</f>
        <v>276785714.28571427</v>
      </c>
      <c r="W595" s="27">
        <f>W15*IF($E595="weekday",INDEX('Category Mapping'!$F$28:$F$39,MATCH('Summarized Source Data'!$A595,'Category Mapping'!$A$28:$A$39,0),1),INDEX('Category Mapping'!$E$28:$E$39,MATCH($A595,'Category Mapping'!$A$28:$A$39,0),1))</f>
        <v>276785714.28571427</v>
      </c>
      <c r="X595" s="27">
        <f>X15*IF($E595="weekday",INDEX('Category Mapping'!$F$28:$F$39,MATCH('Summarized Source Data'!$A595,'Category Mapping'!$A$28:$A$39,0),1),INDEX('Category Mapping'!$E$28:$E$39,MATCH($A595,'Category Mapping'!$A$28:$A$39,0),1))</f>
        <v>14990714285.714285</v>
      </c>
      <c r="Y595" s="27">
        <f>Y15*IF($E595="weekday",INDEX('Category Mapping'!$F$28:$F$39,MATCH('Summarized Source Data'!$A595,'Category Mapping'!$A$28:$A$39,0),1),INDEX('Category Mapping'!$E$28:$E$39,MATCH($A595,'Category Mapping'!$A$28:$A$39,0),1))</f>
        <v>14990714285.714285</v>
      </c>
      <c r="Z595" s="27">
        <f>Z15*IF($E595="weekday",INDEX('Category Mapping'!$F$28:$F$39,MATCH('Summarized Source Data'!$A595,'Category Mapping'!$A$28:$A$39,0),1),INDEX('Category Mapping'!$E$28:$E$39,MATCH($A595,'Category Mapping'!$A$28:$A$39,0),1))</f>
        <v>14990714285.714285</v>
      </c>
    </row>
    <row r="596" spans="1:26" x14ac:dyDescent="0.3">
      <c r="A596">
        <f t="shared" ref="A596:E596" si="61">A16</f>
        <v>1</v>
      </c>
      <c r="B596" t="str">
        <f t="shared" si="61"/>
        <v>Winter</v>
      </c>
      <c r="C596" t="str">
        <f t="shared" si="61"/>
        <v>h13</v>
      </c>
      <c r="D596" t="str">
        <f t="shared" si="61"/>
        <v>Hour12</v>
      </c>
      <c r="E596" t="str">
        <f t="shared" si="61"/>
        <v>Weekday</v>
      </c>
      <c r="F596" s="27">
        <f>F16*IF($E596="weekday",INDEX('Category Mapping'!$F$28:$F$39,MATCH('Summarized Source Data'!$A596,'Category Mapping'!$A$28:$A$39,0),1),INDEX('Category Mapping'!$E$28:$E$39,MATCH($A596,'Category Mapping'!$A$28:$A$39,0),1))</f>
        <v>385285714.28571427</v>
      </c>
      <c r="G596" s="27">
        <f>G16*IF($E596="weekday",INDEX('Category Mapping'!$F$28:$F$39,MATCH('Summarized Source Data'!$A596,'Category Mapping'!$A$28:$A$39,0),1),INDEX('Category Mapping'!$E$28:$E$39,MATCH($A596,'Category Mapping'!$A$28:$A$39,0),1))</f>
        <v>137772.85714285713</v>
      </c>
      <c r="H596" s="27">
        <f>H16*IF($E596="weekday",INDEX('Category Mapping'!$F$28:$F$39,MATCH('Summarized Source Data'!$A596,'Category Mapping'!$A$28:$A$39,0),1),INDEX('Category Mapping'!$E$28:$E$39,MATCH($A596,'Category Mapping'!$A$28:$A$39,0),1))</f>
        <v>0</v>
      </c>
      <c r="I596" s="27">
        <f>I16*IF($E596="weekday",INDEX('Category Mapping'!$F$28:$F$39,MATCH('Summarized Source Data'!$A596,'Category Mapping'!$A$28:$A$39,0),1),INDEX('Category Mapping'!$E$28:$E$39,MATCH($A596,'Category Mapping'!$A$28:$A$39,0),1))</f>
        <v>267928571.42857143</v>
      </c>
      <c r="J596" s="27">
        <f>J16*IF($E596="weekday",INDEX('Category Mapping'!$F$28:$F$39,MATCH('Summarized Source Data'!$A596,'Category Mapping'!$A$28:$A$39,0),1),INDEX('Category Mapping'!$E$28:$E$39,MATCH($A596,'Category Mapping'!$A$28:$A$39,0),1))</f>
        <v>2380219370</v>
      </c>
      <c r="K596" s="27">
        <f>K16*IF($E596="weekday",INDEX('Category Mapping'!$F$28:$F$39,MATCH('Summarized Source Data'!$A596,'Category Mapping'!$A$28:$A$39,0),1),INDEX('Category Mapping'!$E$28:$E$39,MATCH($A596,'Category Mapping'!$A$28:$A$39,0),1))</f>
        <v>2380219370</v>
      </c>
      <c r="L596" s="27">
        <f>L16*IF($E596="weekday",INDEX('Category Mapping'!$F$28:$F$39,MATCH('Summarized Source Data'!$A596,'Category Mapping'!$A$28:$A$39,0),1),INDEX('Category Mapping'!$E$28:$E$39,MATCH($A596,'Category Mapping'!$A$28:$A$39,0),1))</f>
        <v>1324142857.1428571</v>
      </c>
      <c r="M596" s="27">
        <f>M16*IF($E596="weekday",INDEX('Category Mapping'!$F$28:$F$39,MATCH('Summarized Source Data'!$A596,'Category Mapping'!$A$28:$A$39,0),1),INDEX('Category Mapping'!$E$28:$E$39,MATCH($A596,'Category Mapping'!$A$28:$A$39,0),1))</f>
        <v>1383197.857142857</v>
      </c>
      <c r="N596" s="27">
        <f>N16*IF($E596="weekday",INDEX('Category Mapping'!$F$28:$F$39,MATCH('Summarized Source Data'!$A596,'Category Mapping'!$A$28:$A$39,0),1),INDEX('Category Mapping'!$E$28:$E$39,MATCH($A596,'Category Mapping'!$A$28:$A$39,0),1))</f>
        <v>0</v>
      </c>
      <c r="O596" s="27">
        <f>O16*IF($E596="weekday",INDEX('Category Mapping'!$F$28:$F$39,MATCH('Summarized Source Data'!$A596,'Category Mapping'!$A$28:$A$39,0),1),INDEX('Category Mapping'!$E$28:$E$39,MATCH($A596,'Category Mapping'!$A$28:$A$39,0),1))</f>
        <v>11428759659.285713</v>
      </c>
      <c r="P596" s="27">
        <f>P16*IF($E596="weekday",INDEX('Category Mapping'!$F$28:$F$39,MATCH('Summarized Source Data'!$A596,'Category Mapping'!$A$28:$A$39,0),1),INDEX('Category Mapping'!$E$28:$E$39,MATCH($A596,'Category Mapping'!$A$28:$A$39,0),1))</f>
        <v>11428759659.285713</v>
      </c>
      <c r="Q596" s="27">
        <f>Q16*IF($E596="weekday",INDEX('Category Mapping'!$F$28:$F$39,MATCH('Summarized Source Data'!$A596,'Category Mapping'!$A$28:$A$39,0),1),INDEX('Category Mapping'!$E$28:$E$39,MATCH($A596,'Category Mapping'!$A$28:$A$39,0),1))</f>
        <v>11428759659.285713</v>
      </c>
      <c r="R596" s="27">
        <f>R16*IF($E596="weekday",INDEX('Category Mapping'!$F$28:$F$39,MATCH('Summarized Source Data'!$A596,'Category Mapping'!$A$28:$A$39,0),1),INDEX('Category Mapping'!$E$28:$E$39,MATCH($A596,'Category Mapping'!$A$28:$A$39,0),1))</f>
        <v>281214285.71428573</v>
      </c>
      <c r="S596" s="27">
        <f>S16*IF($E596="weekday",INDEX('Category Mapping'!$F$28:$F$39,MATCH('Summarized Source Data'!$A596,'Category Mapping'!$A$28:$A$39,0),1),INDEX('Category Mapping'!$E$28:$E$39,MATCH($A596,'Category Mapping'!$A$28:$A$39,0),1))</f>
        <v>281214285.71428573</v>
      </c>
      <c r="T596" s="27">
        <f>T16*IF($E596="weekday",INDEX('Category Mapping'!$F$28:$F$39,MATCH('Summarized Source Data'!$A596,'Category Mapping'!$A$28:$A$39,0),1),INDEX('Category Mapping'!$E$28:$E$39,MATCH($A596,'Category Mapping'!$A$28:$A$39,0),1))</f>
        <v>281214285.71428573</v>
      </c>
      <c r="U596" s="27">
        <f>U16*IF($E596="weekday",INDEX('Category Mapping'!$F$28:$F$39,MATCH('Summarized Source Data'!$A596,'Category Mapping'!$A$28:$A$39,0),1),INDEX('Category Mapping'!$E$28:$E$39,MATCH($A596,'Category Mapping'!$A$28:$A$39,0),1))</f>
        <v>281214285.71428573</v>
      </c>
      <c r="V596" s="27">
        <f>V16*IF($E596="weekday",INDEX('Category Mapping'!$F$28:$F$39,MATCH('Summarized Source Data'!$A596,'Category Mapping'!$A$28:$A$39,0),1),INDEX('Category Mapping'!$E$28:$E$39,MATCH($A596,'Category Mapping'!$A$28:$A$39,0),1))</f>
        <v>281214285.71428573</v>
      </c>
      <c r="W596" s="27">
        <f>W16*IF($E596="weekday",INDEX('Category Mapping'!$F$28:$F$39,MATCH('Summarized Source Data'!$A596,'Category Mapping'!$A$28:$A$39,0),1),INDEX('Category Mapping'!$E$28:$E$39,MATCH($A596,'Category Mapping'!$A$28:$A$39,0),1))</f>
        <v>281214285.71428573</v>
      </c>
      <c r="X596" s="27">
        <f>X16*IF($E596="weekday",INDEX('Category Mapping'!$F$28:$F$39,MATCH('Summarized Source Data'!$A596,'Category Mapping'!$A$28:$A$39,0),1),INDEX('Category Mapping'!$E$28:$E$39,MATCH($A596,'Category Mapping'!$A$28:$A$39,0),1))</f>
        <v>14946428571.428572</v>
      </c>
      <c r="Y596" s="27">
        <f>Y16*IF($E596="weekday",INDEX('Category Mapping'!$F$28:$F$39,MATCH('Summarized Source Data'!$A596,'Category Mapping'!$A$28:$A$39,0),1),INDEX('Category Mapping'!$E$28:$E$39,MATCH($A596,'Category Mapping'!$A$28:$A$39,0),1))</f>
        <v>14946428571.428572</v>
      </c>
      <c r="Z596" s="27">
        <f>Z16*IF($E596="weekday",INDEX('Category Mapping'!$F$28:$F$39,MATCH('Summarized Source Data'!$A596,'Category Mapping'!$A$28:$A$39,0),1),INDEX('Category Mapping'!$E$28:$E$39,MATCH($A596,'Category Mapping'!$A$28:$A$39,0),1))</f>
        <v>14946428571.428572</v>
      </c>
    </row>
    <row r="597" spans="1:26" x14ac:dyDescent="0.3">
      <c r="A597">
        <f t="shared" ref="A597:E597" si="62">A17</f>
        <v>1</v>
      </c>
      <c r="B597" t="str">
        <f t="shared" si="62"/>
        <v>Winter</v>
      </c>
      <c r="C597" t="str">
        <f t="shared" si="62"/>
        <v>h14</v>
      </c>
      <c r="D597" t="str">
        <f t="shared" si="62"/>
        <v>Hour13</v>
      </c>
      <c r="E597" t="str">
        <f t="shared" si="62"/>
        <v>Weekday</v>
      </c>
      <c r="F597" s="27">
        <f>F17*IF($E597="weekday",INDEX('Category Mapping'!$F$28:$F$39,MATCH('Summarized Source Data'!$A597,'Category Mapping'!$A$28:$A$39,0),1),INDEX('Category Mapping'!$E$28:$E$39,MATCH($A597,'Category Mapping'!$A$28:$A$39,0),1))</f>
        <v>378642857.14285713</v>
      </c>
      <c r="G597" s="27">
        <f>G17*IF($E597="weekday",INDEX('Category Mapping'!$F$28:$F$39,MATCH('Summarized Source Data'!$A597,'Category Mapping'!$A$28:$A$39,0),1),INDEX('Category Mapping'!$E$28:$E$39,MATCH($A597,'Category Mapping'!$A$28:$A$39,0),1))</f>
        <v>142112.85714285713</v>
      </c>
      <c r="H597" s="27">
        <f>H17*IF($E597="weekday",INDEX('Category Mapping'!$F$28:$F$39,MATCH('Summarized Source Data'!$A597,'Category Mapping'!$A$28:$A$39,0),1),INDEX('Category Mapping'!$E$28:$E$39,MATCH($A597,'Category Mapping'!$A$28:$A$39,0),1))</f>
        <v>0</v>
      </c>
      <c r="I597" s="27">
        <f>I17*IF($E597="weekday",INDEX('Category Mapping'!$F$28:$F$39,MATCH('Summarized Source Data'!$A597,'Category Mapping'!$A$28:$A$39,0),1),INDEX('Category Mapping'!$E$28:$E$39,MATCH($A597,'Category Mapping'!$A$28:$A$39,0),1))</f>
        <v>272357142.85714287</v>
      </c>
      <c r="J597" s="27">
        <f>J17*IF($E597="weekday",INDEX('Category Mapping'!$F$28:$F$39,MATCH('Summarized Source Data'!$A597,'Category Mapping'!$A$28:$A$39,0),1),INDEX('Category Mapping'!$E$28:$E$39,MATCH($A597,'Category Mapping'!$A$28:$A$39,0),1))</f>
        <v>2360286458.5714283</v>
      </c>
      <c r="K597" s="27">
        <f>K17*IF($E597="weekday",INDEX('Category Mapping'!$F$28:$F$39,MATCH('Summarized Source Data'!$A597,'Category Mapping'!$A$28:$A$39,0),1),INDEX('Category Mapping'!$E$28:$E$39,MATCH($A597,'Category Mapping'!$A$28:$A$39,0),1))</f>
        <v>2360286458.5714283</v>
      </c>
      <c r="L597" s="27">
        <f>L17*IF($E597="weekday",INDEX('Category Mapping'!$F$28:$F$39,MATCH('Summarized Source Data'!$A597,'Category Mapping'!$A$28:$A$39,0),1),INDEX('Category Mapping'!$E$28:$E$39,MATCH($A597,'Category Mapping'!$A$28:$A$39,0),1))</f>
        <v>1240000000</v>
      </c>
      <c r="M597" s="27">
        <f>M17*IF($E597="weekday",INDEX('Category Mapping'!$F$28:$F$39,MATCH('Summarized Source Data'!$A597,'Category Mapping'!$A$28:$A$39,0),1),INDEX('Category Mapping'!$E$28:$E$39,MATCH($A597,'Category Mapping'!$A$28:$A$39,0),1))</f>
        <v>1415925</v>
      </c>
      <c r="N597" s="27">
        <f>N17*IF($E597="weekday",INDEX('Category Mapping'!$F$28:$F$39,MATCH('Summarized Source Data'!$A597,'Category Mapping'!$A$28:$A$39,0),1),INDEX('Category Mapping'!$E$28:$E$39,MATCH($A597,'Category Mapping'!$A$28:$A$39,0),1))</f>
        <v>0</v>
      </c>
      <c r="O597" s="27">
        <f>O17*IF($E597="weekday",INDEX('Category Mapping'!$F$28:$F$39,MATCH('Summarized Source Data'!$A597,'Category Mapping'!$A$28:$A$39,0),1),INDEX('Category Mapping'!$E$28:$E$39,MATCH($A597,'Category Mapping'!$A$28:$A$39,0),1))</f>
        <v>11424298360.714285</v>
      </c>
      <c r="P597" s="27">
        <f>P17*IF($E597="weekday",INDEX('Category Mapping'!$F$28:$F$39,MATCH('Summarized Source Data'!$A597,'Category Mapping'!$A$28:$A$39,0),1),INDEX('Category Mapping'!$E$28:$E$39,MATCH($A597,'Category Mapping'!$A$28:$A$39,0),1))</f>
        <v>11424298360.714285</v>
      </c>
      <c r="Q597" s="27">
        <f>Q17*IF($E597="weekday",INDEX('Category Mapping'!$F$28:$F$39,MATCH('Summarized Source Data'!$A597,'Category Mapping'!$A$28:$A$39,0),1),INDEX('Category Mapping'!$E$28:$E$39,MATCH($A597,'Category Mapping'!$A$28:$A$39,0),1))</f>
        <v>11424298360.714285</v>
      </c>
      <c r="R597" s="27">
        <f>R17*IF($E597="weekday",INDEX('Category Mapping'!$F$28:$F$39,MATCH('Summarized Source Data'!$A597,'Category Mapping'!$A$28:$A$39,0),1),INDEX('Category Mapping'!$E$28:$E$39,MATCH($A597,'Category Mapping'!$A$28:$A$39,0),1))</f>
        <v>279000000</v>
      </c>
      <c r="S597" s="27">
        <f>S17*IF($E597="weekday",INDEX('Category Mapping'!$F$28:$F$39,MATCH('Summarized Source Data'!$A597,'Category Mapping'!$A$28:$A$39,0),1),INDEX('Category Mapping'!$E$28:$E$39,MATCH($A597,'Category Mapping'!$A$28:$A$39,0),1))</f>
        <v>279000000</v>
      </c>
      <c r="T597" s="27">
        <f>T17*IF($E597="weekday",INDEX('Category Mapping'!$F$28:$F$39,MATCH('Summarized Source Data'!$A597,'Category Mapping'!$A$28:$A$39,0),1),INDEX('Category Mapping'!$E$28:$E$39,MATCH($A597,'Category Mapping'!$A$28:$A$39,0),1))</f>
        <v>279000000</v>
      </c>
      <c r="U597" s="27">
        <f>U17*IF($E597="weekday",INDEX('Category Mapping'!$F$28:$F$39,MATCH('Summarized Source Data'!$A597,'Category Mapping'!$A$28:$A$39,0),1),INDEX('Category Mapping'!$E$28:$E$39,MATCH($A597,'Category Mapping'!$A$28:$A$39,0),1))</f>
        <v>279000000</v>
      </c>
      <c r="V597" s="27">
        <f>V17*IF($E597="weekday",INDEX('Category Mapping'!$F$28:$F$39,MATCH('Summarized Source Data'!$A597,'Category Mapping'!$A$28:$A$39,0),1),INDEX('Category Mapping'!$E$28:$E$39,MATCH($A597,'Category Mapping'!$A$28:$A$39,0),1))</f>
        <v>279000000</v>
      </c>
      <c r="W597" s="27">
        <f>W17*IF($E597="weekday",INDEX('Category Mapping'!$F$28:$F$39,MATCH('Summarized Source Data'!$A597,'Category Mapping'!$A$28:$A$39,0),1),INDEX('Category Mapping'!$E$28:$E$39,MATCH($A597,'Category Mapping'!$A$28:$A$39,0),1))</f>
        <v>279000000</v>
      </c>
      <c r="X597" s="27">
        <f>X17*IF($E597="weekday",INDEX('Category Mapping'!$F$28:$F$39,MATCH('Summarized Source Data'!$A597,'Category Mapping'!$A$28:$A$39,0),1),INDEX('Category Mapping'!$E$28:$E$39,MATCH($A597,'Category Mapping'!$A$28:$A$39,0),1))</f>
        <v>14924285714.285713</v>
      </c>
      <c r="Y597" s="27">
        <f>Y17*IF($E597="weekday",INDEX('Category Mapping'!$F$28:$F$39,MATCH('Summarized Source Data'!$A597,'Category Mapping'!$A$28:$A$39,0),1),INDEX('Category Mapping'!$E$28:$E$39,MATCH($A597,'Category Mapping'!$A$28:$A$39,0),1))</f>
        <v>14924285714.285713</v>
      </c>
      <c r="Z597" s="27">
        <f>Z17*IF($E597="weekday",INDEX('Category Mapping'!$F$28:$F$39,MATCH('Summarized Source Data'!$A597,'Category Mapping'!$A$28:$A$39,0),1),INDEX('Category Mapping'!$E$28:$E$39,MATCH($A597,'Category Mapping'!$A$28:$A$39,0),1))</f>
        <v>14924285714.285713</v>
      </c>
    </row>
    <row r="598" spans="1:26" x14ac:dyDescent="0.3">
      <c r="A598">
        <f t="shared" ref="A598:E598" si="63">A18</f>
        <v>1</v>
      </c>
      <c r="B598" t="str">
        <f t="shared" si="63"/>
        <v>Winter</v>
      </c>
      <c r="C598" t="str">
        <f t="shared" si="63"/>
        <v>h15</v>
      </c>
      <c r="D598" t="str">
        <f t="shared" si="63"/>
        <v>Hour14</v>
      </c>
      <c r="E598" t="str">
        <f t="shared" si="63"/>
        <v>Weekday</v>
      </c>
      <c r="F598" s="27">
        <f>F18*IF($E598="weekday",INDEX('Category Mapping'!$F$28:$F$39,MATCH('Summarized Source Data'!$A598,'Category Mapping'!$A$28:$A$39,0),1),INDEX('Category Mapping'!$E$28:$E$39,MATCH($A598,'Category Mapping'!$A$28:$A$39,0),1))</f>
        <v>380857142.85714287</v>
      </c>
      <c r="G598" s="27">
        <f>G18*IF($E598="weekday",INDEX('Category Mapping'!$F$28:$F$39,MATCH('Summarized Source Data'!$A598,'Category Mapping'!$A$28:$A$39,0),1),INDEX('Category Mapping'!$E$28:$E$39,MATCH($A598,'Category Mapping'!$A$28:$A$39,0),1))</f>
        <v>148401.42857142858</v>
      </c>
      <c r="H598" s="27">
        <f>H18*IF($E598="weekday",INDEX('Category Mapping'!$F$28:$F$39,MATCH('Summarized Source Data'!$A598,'Category Mapping'!$A$28:$A$39,0),1),INDEX('Category Mapping'!$E$28:$E$39,MATCH($A598,'Category Mapping'!$A$28:$A$39,0),1))</f>
        <v>0</v>
      </c>
      <c r="I598" s="27">
        <f>I18*IF($E598="weekday",INDEX('Category Mapping'!$F$28:$F$39,MATCH('Summarized Source Data'!$A598,'Category Mapping'!$A$28:$A$39,0),1),INDEX('Category Mapping'!$E$28:$E$39,MATCH($A598,'Category Mapping'!$A$28:$A$39,0),1))</f>
        <v>279000000</v>
      </c>
      <c r="J598" s="27">
        <f>J18*IF($E598="weekday",INDEX('Category Mapping'!$F$28:$F$39,MATCH('Summarized Source Data'!$A598,'Category Mapping'!$A$28:$A$39,0),1),INDEX('Category Mapping'!$E$28:$E$39,MATCH($A598,'Category Mapping'!$A$28:$A$39,0),1))</f>
        <v>2439994455.7142859</v>
      </c>
      <c r="K598" s="27">
        <f>K18*IF($E598="weekday",INDEX('Category Mapping'!$F$28:$F$39,MATCH('Summarized Source Data'!$A598,'Category Mapping'!$A$28:$A$39,0),1),INDEX('Category Mapping'!$E$28:$E$39,MATCH($A598,'Category Mapping'!$A$28:$A$39,0),1))</f>
        <v>2439994455.7142859</v>
      </c>
      <c r="L598" s="27">
        <f>L18*IF($E598="weekday",INDEX('Category Mapping'!$F$28:$F$39,MATCH('Summarized Source Data'!$A598,'Category Mapping'!$A$28:$A$39,0),1),INDEX('Category Mapping'!$E$28:$E$39,MATCH($A598,'Category Mapping'!$A$28:$A$39,0),1))</f>
        <v>1162500000</v>
      </c>
      <c r="M598" s="27">
        <f>M18*IF($E598="weekday",INDEX('Category Mapping'!$F$28:$F$39,MATCH('Summarized Source Data'!$A598,'Category Mapping'!$A$28:$A$39,0),1),INDEX('Category Mapping'!$E$28:$E$39,MATCH($A598,'Category Mapping'!$A$28:$A$39,0),1))</f>
        <v>1451154.2857142857</v>
      </c>
      <c r="N598" s="27">
        <f>N18*IF($E598="weekday",INDEX('Category Mapping'!$F$28:$F$39,MATCH('Summarized Source Data'!$A598,'Category Mapping'!$A$28:$A$39,0),1),INDEX('Category Mapping'!$E$28:$E$39,MATCH($A598,'Category Mapping'!$A$28:$A$39,0),1))</f>
        <v>0</v>
      </c>
      <c r="O598" s="27">
        <f>O18*IF($E598="weekday",INDEX('Category Mapping'!$F$28:$F$39,MATCH('Summarized Source Data'!$A598,'Category Mapping'!$A$28:$A$39,0),1),INDEX('Category Mapping'!$E$28:$E$39,MATCH($A598,'Category Mapping'!$A$28:$A$39,0),1))</f>
        <v>11413191702.857143</v>
      </c>
      <c r="P598" s="27">
        <f>P18*IF($E598="weekday",INDEX('Category Mapping'!$F$28:$F$39,MATCH('Summarized Source Data'!$A598,'Category Mapping'!$A$28:$A$39,0),1),INDEX('Category Mapping'!$E$28:$E$39,MATCH($A598,'Category Mapping'!$A$28:$A$39,0),1))</f>
        <v>11413191702.857143</v>
      </c>
      <c r="Q598" s="27">
        <f>Q18*IF($E598="weekday",INDEX('Category Mapping'!$F$28:$F$39,MATCH('Summarized Source Data'!$A598,'Category Mapping'!$A$28:$A$39,0),1),INDEX('Category Mapping'!$E$28:$E$39,MATCH($A598,'Category Mapping'!$A$28:$A$39,0),1))</f>
        <v>11413191702.857143</v>
      </c>
      <c r="R598" s="27">
        <f>R18*IF($E598="weekday",INDEX('Category Mapping'!$F$28:$F$39,MATCH('Summarized Source Data'!$A598,'Category Mapping'!$A$28:$A$39,0),1),INDEX('Category Mapping'!$E$28:$E$39,MATCH($A598,'Category Mapping'!$A$28:$A$39,0),1))</f>
        <v>276785714.28571427</v>
      </c>
      <c r="S598" s="27">
        <f>S18*IF($E598="weekday",INDEX('Category Mapping'!$F$28:$F$39,MATCH('Summarized Source Data'!$A598,'Category Mapping'!$A$28:$A$39,0),1),INDEX('Category Mapping'!$E$28:$E$39,MATCH($A598,'Category Mapping'!$A$28:$A$39,0),1))</f>
        <v>276785714.28571427</v>
      </c>
      <c r="T598" s="27">
        <f>T18*IF($E598="weekday",INDEX('Category Mapping'!$F$28:$F$39,MATCH('Summarized Source Data'!$A598,'Category Mapping'!$A$28:$A$39,0),1),INDEX('Category Mapping'!$E$28:$E$39,MATCH($A598,'Category Mapping'!$A$28:$A$39,0),1))</f>
        <v>276785714.28571427</v>
      </c>
      <c r="U598" s="27">
        <f>U18*IF($E598="weekday",INDEX('Category Mapping'!$F$28:$F$39,MATCH('Summarized Source Data'!$A598,'Category Mapping'!$A$28:$A$39,0),1),INDEX('Category Mapping'!$E$28:$E$39,MATCH($A598,'Category Mapping'!$A$28:$A$39,0),1))</f>
        <v>276785714.28571427</v>
      </c>
      <c r="V598" s="27">
        <f>V18*IF($E598="weekday",INDEX('Category Mapping'!$F$28:$F$39,MATCH('Summarized Source Data'!$A598,'Category Mapping'!$A$28:$A$39,0),1),INDEX('Category Mapping'!$E$28:$E$39,MATCH($A598,'Category Mapping'!$A$28:$A$39,0),1))</f>
        <v>276785714.28571427</v>
      </c>
      <c r="W598" s="27">
        <f>W18*IF($E598="weekday",INDEX('Category Mapping'!$F$28:$F$39,MATCH('Summarized Source Data'!$A598,'Category Mapping'!$A$28:$A$39,0),1),INDEX('Category Mapping'!$E$28:$E$39,MATCH($A598,'Category Mapping'!$A$28:$A$39,0),1))</f>
        <v>276785714.28571427</v>
      </c>
      <c r="X598" s="27">
        <f>X18*IF($E598="weekday",INDEX('Category Mapping'!$F$28:$F$39,MATCH('Summarized Source Data'!$A598,'Category Mapping'!$A$28:$A$39,0),1),INDEX('Category Mapping'!$E$28:$E$39,MATCH($A598,'Category Mapping'!$A$28:$A$39,0),1))</f>
        <v>14946428571.428572</v>
      </c>
      <c r="Y598" s="27">
        <f>Y18*IF($E598="weekday",INDEX('Category Mapping'!$F$28:$F$39,MATCH('Summarized Source Data'!$A598,'Category Mapping'!$A$28:$A$39,0),1),INDEX('Category Mapping'!$E$28:$E$39,MATCH($A598,'Category Mapping'!$A$28:$A$39,0),1))</f>
        <v>14946428571.428572</v>
      </c>
      <c r="Z598" s="27">
        <f>Z18*IF($E598="weekday",INDEX('Category Mapping'!$F$28:$F$39,MATCH('Summarized Source Data'!$A598,'Category Mapping'!$A$28:$A$39,0),1),INDEX('Category Mapping'!$E$28:$E$39,MATCH($A598,'Category Mapping'!$A$28:$A$39,0),1))</f>
        <v>14946428571.428572</v>
      </c>
    </row>
    <row r="599" spans="1:26" x14ac:dyDescent="0.3">
      <c r="A599">
        <f t="shared" ref="A599:E599" si="64">A19</f>
        <v>1</v>
      </c>
      <c r="B599" t="str">
        <f t="shared" si="64"/>
        <v>Winter</v>
      </c>
      <c r="C599" t="str">
        <f t="shared" si="64"/>
        <v>h16</v>
      </c>
      <c r="D599" t="str">
        <f t="shared" si="64"/>
        <v>Hour15</v>
      </c>
      <c r="E599" t="str">
        <f t="shared" si="64"/>
        <v>Weekday</v>
      </c>
      <c r="F599" s="27">
        <f>F19*IF($E599="weekday",INDEX('Category Mapping'!$F$28:$F$39,MATCH('Summarized Source Data'!$A599,'Category Mapping'!$A$28:$A$39,0),1),INDEX('Category Mapping'!$E$28:$E$39,MATCH($A599,'Category Mapping'!$A$28:$A$39,0),1))</f>
        <v>396357142.85714287</v>
      </c>
      <c r="G599" s="27">
        <f>G19*IF($E599="weekday",INDEX('Category Mapping'!$F$28:$F$39,MATCH('Summarized Source Data'!$A599,'Category Mapping'!$A$28:$A$39,0),1),INDEX('Category Mapping'!$E$28:$E$39,MATCH($A599,'Category Mapping'!$A$28:$A$39,0),1))</f>
        <v>162085.71428571429</v>
      </c>
      <c r="H599" s="27">
        <f>H19*IF($E599="weekday",INDEX('Category Mapping'!$F$28:$F$39,MATCH('Summarized Source Data'!$A599,'Category Mapping'!$A$28:$A$39,0),1),INDEX('Category Mapping'!$E$28:$E$39,MATCH($A599,'Category Mapping'!$A$28:$A$39,0),1))</f>
        <v>0</v>
      </c>
      <c r="I599" s="27">
        <f>I19*IF($E599="weekday",INDEX('Category Mapping'!$F$28:$F$39,MATCH('Summarized Source Data'!$A599,'Category Mapping'!$A$28:$A$39,0),1),INDEX('Category Mapping'!$E$28:$E$39,MATCH($A599,'Category Mapping'!$A$28:$A$39,0),1))</f>
        <v>301142857.14285713</v>
      </c>
      <c r="J599" s="27">
        <f>J19*IF($E599="weekday",INDEX('Category Mapping'!$F$28:$F$39,MATCH('Summarized Source Data'!$A599,'Category Mapping'!$A$28:$A$39,0),1),INDEX('Category Mapping'!$E$28:$E$39,MATCH($A599,'Category Mapping'!$A$28:$A$39,0),1))</f>
        <v>2734480771.4285712</v>
      </c>
      <c r="K599" s="27">
        <f>K19*IF($E599="weekday",INDEX('Category Mapping'!$F$28:$F$39,MATCH('Summarized Source Data'!$A599,'Category Mapping'!$A$28:$A$39,0),1),INDEX('Category Mapping'!$E$28:$E$39,MATCH($A599,'Category Mapping'!$A$28:$A$39,0),1))</f>
        <v>2734480771.4285712</v>
      </c>
      <c r="L599" s="27">
        <f>L19*IF($E599="weekday",INDEX('Category Mapping'!$F$28:$F$39,MATCH('Summarized Source Data'!$A599,'Category Mapping'!$A$28:$A$39,0),1),INDEX('Category Mapping'!$E$28:$E$39,MATCH($A599,'Category Mapping'!$A$28:$A$39,0),1))</f>
        <v>1118214285.7142856</v>
      </c>
      <c r="M599" s="27">
        <f>M19*IF($E599="weekday",INDEX('Category Mapping'!$F$28:$F$39,MATCH('Summarized Source Data'!$A599,'Category Mapping'!$A$28:$A$39,0),1),INDEX('Category Mapping'!$E$28:$E$39,MATCH($A599,'Category Mapping'!$A$28:$A$39,0),1))</f>
        <v>1451774.2857142857</v>
      </c>
      <c r="N599" s="27">
        <f>N19*IF($E599="weekday",INDEX('Category Mapping'!$F$28:$F$39,MATCH('Summarized Source Data'!$A599,'Category Mapping'!$A$28:$A$39,0),1),INDEX('Category Mapping'!$E$28:$E$39,MATCH($A599,'Category Mapping'!$A$28:$A$39,0),1))</f>
        <v>0</v>
      </c>
      <c r="O599" s="27">
        <f>O19*IF($E599="weekday",INDEX('Category Mapping'!$F$28:$F$39,MATCH('Summarized Source Data'!$A599,'Category Mapping'!$A$28:$A$39,0),1),INDEX('Category Mapping'!$E$28:$E$39,MATCH($A599,'Category Mapping'!$A$28:$A$39,0),1))</f>
        <v>11413191082.857143</v>
      </c>
      <c r="P599" s="27">
        <f>P19*IF($E599="weekday",INDEX('Category Mapping'!$F$28:$F$39,MATCH('Summarized Source Data'!$A599,'Category Mapping'!$A$28:$A$39,0),1),INDEX('Category Mapping'!$E$28:$E$39,MATCH($A599,'Category Mapping'!$A$28:$A$39,0),1))</f>
        <v>11413191082.857143</v>
      </c>
      <c r="Q599" s="27">
        <f>Q19*IF($E599="weekday",INDEX('Category Mapping'!$F$28:$F$39,MATCH('Summarized Source Data'!$A599,'Category Mapping'!$A$28:$A$39,0),1),INDEX('Category Mapping'!$E$28:$E$39,MATCH($A599,'Category Mapping'!$A$28:$A$39,0),1))</f>
        <v>11413191082.857143</v>
      </c>
      <c r="R599" s="27">
        <f>R19*IF($E599="weekday",INDEX('Category Mapping'!$F$28:$F$39,MATCH('Summarized Source Data'!$A599,'Category Mapping'!$A$28:$A$39,0),1),INDEX('Category Mapping'!$E$28:$E$39,MATCH($A599,'Category Mapping'!$A$28:$A$39,0),1))</f>
        <v>327714285.71428573</v>
      </c>
      <c r="S599" s="27">
        <f>S19*IF($E599="weekday",INDEX('Category Mapping'!$F$28:$F$39,MATCH('Summarized Source Data'!$A599,'Category Mapping'!$A$28:$A$39,0),1),INDEX('Category Mapping'!$E$28:$E$39,MATCH($A599,'Category Mapping'!$A$28:$A$39,0),1))</f>
        <v>327714285.71428573</v>
      </c>
      <c r="T599" s="27">
        <f>T19*IF($E599="weekday",INDEX('Category Mapping'!$F$28:$F$39,MATCH('Summarized Source Data'!$A599,'Category Mapping'!$A$28:$A$39,0),1),INDEX('Category Mapping'!$E$28:$E$39,MATCH($A599,'Category Mapping'!$A$28:$A$39,0),1))</f>
        <v>327714285.71428573</v>
      </c>
      <c r="U599" s="27">
        <f>U19*IF($E599="weekday",INDEX('Category Mapping'!$F$28:$F$39,MATCH('Summarized Source Data'!$A599,'Category Mapping'!$A$28:$A$39,0),1),INDEX('Category Mapping'!$E$28:$E$39,MATCH($A599,'Category Mapping'!$A$28:$A$39,0),1))</f>
        <v>327714285.71428573</v>
      </c>
      <c r="V599" s="27">
        <f>V19*IF($E599="weekday",INDEX('Category Mapping'!$F$28:$F$39,MATCH('Summarized Source Data'!$A599,'Category Mapping'!$A$28:$A$39,0),1),INDEX('Category Mapping'!$E$28:$E$39,MATCH($A599,'Category Mapping'!$A$28:$A$39,0),1))</f>
        <v>327714285.71428573</v>
      </c>
      <c r="W599" s="27">
        <f>W19*IF($E599="weekday",INDEX('Category Mapping'!$F$28:$F$39,MATCH('Summarized Source Data'!$A599,'Category Mapping'!$A$28:$A$39,0),1),INDEX('Category Mapping'!$E$28:$E$39,MATCH($A599,'Category Mapping'!$A$28:$A$39,0),1))</f>
        <v>327714285.71428573</v>
      </c>
      <c r="X599" s="27">
        <f>X19*IF($E599="weekday",INDEX('Category Mapping'!$F$28:$F$39,MATCH('Summarized Source Data'!$A599,'Category Mapping'!$A$28:$A$39,0),1),INDEX('Category Mapping'!$E$28:$E$39,MATCH($A599,'Category Mapping'!$A$28:$A$39,0),1))</f>
        <v>15079285714.285713</v>
      </c>
      <c r="Y599" s="27">
        <f>Y19*IF($E599="weekday",INDEX('Category Mapping'!$F$28:$F$39,MATCH('Summarized Source Data'!$A599,'Category Mapping'!$A$28:$A$39,0),1),INDEX('Category Mapping'!$E$28:$E$39,MATCH($A599,'Category Mapping'!$A$28:$A$39,0),1))</f>
        <v>15079285714.285713</v>
      </c>
      <c r="Z599" s="27">
        <f>Z19*IF($E599="weekday",INDEX('Category Mapping'!$F$28:$F$39,MATCH('Summarized Source Data'!$A599,'Category Mapping'!$A$28:$A$39,0),1),INDEX('Category Mapping'!$E$28:$E$39,MATCH($A599,'Category Mapping'!$A$28:$A$39,0),1))</f>
        <v>15079285714.285713</v>
      </c>
    </row>
    <row r="600" spans="1:26" x14ac:dyDescent="0.3">
      <c r="A600">
        <f t="shared" ref="A600:E600" si="65">A20</f>
        <v>1</v>
      </c>
      <c r="B600" t="str">
        <f t="shared" si="65"/>
        <v>Winter</v>
      </c>
      <c r="C600" t="str">
        <f t="shared" si="65"/>
        <v>h17</v>
      </c>
      <c r="D600" t="str">
        <f t="shared" si="65"/>
        <v>Hour16</v>
      </c>
      <c r="E600" t="str">
        <f t="shared" si="65"/>
        <v>Weekday</v>
      </c>
      <c r="F600" s="27">
        <f>F20*IF($E600="weekday",INDEX('Category Mapping'!$F$28:$F$39,MATCH('Summarized Source Data'!$A600,'Category Mapping'!$A$28:$A$39,0),1),INDEX('Category Mapping'!$E$28:$E$39,MATCH($A600,'Category Mapping'!$A$28:$A$39,0),1))</f>
        <v>420714285.71428573</v>
      </c>
      <c r="G600" s="27">
        <f>G20*IF($E600="weekday",INDEX('Category Mapping'!$F$28:$F$39,MATCH('Summarized Source Data'!$A600,'Category Mapping'!$A$28:$A$39,0),1),INDEX('Category Mapping'!$E$28:$E$39,MATCH($A600,'Category Mapping'!$A$28:$A$39,0),1))</f>
        <v>176987.85714285713</v>
      </c>
      <c r="H600" s="27">
        <f>H20*IF($E600="weekday",INDEX('Category Mapping'!$F$28:$F$39,MATCH('Summarized Source Data'!$A600,'Category Mapping'!$A$28:$A$39,0),1),INDEX('Category Mapping'!$E$28:$E$39,MATCH($A600,'Category Mapping'!$A$28:$A$39,0),1))</f>
        <v>0</v>
      </c>
      <c r="I600" s="27">
        <f>I20*IF($E600="weekday",INDEX('Category Mapping'!$F$28:$F$39,MATCH('Summarized Source Data'!$A600,'Category Mapping'!$A$28:$A$39,0),1),INDEX('Category Mapping'!$E$28:$E$39,MATCH($A600,'Category Mapping'!$A$28:$A$39,0),1))</f>
        <v>998642857.14285707</v>
      </c>
      <c r="J600" s="27">
        <f>J20*IF($E600="weekday",INDEX('Category Mapping'!$F$28:$F$39,MATCH('Summarized Source Data'!$A600,'Category Mapping'!$A$28:$A$39,0),1),INDEX('Category Mapping'!$E$28:$E$39,MATCH($A600,'Category Mapping'!$A$28:$A$39,0),1))</f>
        <v>3319037297.8571429</v>
      </c>
      <c r="K600" s="27">
        <f>K20*IF($E600="weekday",INDEX('Category Mapping'!$F$28:$F$39,MATCH('Summarized Source Data'!$A600,'Category Mapping'!$A$28:$A$39,0),1),INDEX('Category Mapping'!$E$28:$E$39,MATCH($A600,'Category Mapping'!$A$28:$A$39,0),1))</f>
        <v>3319037297.8571429</v>
      </c>
      <c r="L600" s="27">
        <f>L20*IF($E600="weekday",INDEX('Category Mapping'!$F$28:$F$39,MATCH('Summarized Source Data'!$A600,'Category Mapping'!$A$28:$A$39,0),1),INDEX('Category Mapping'!$E$28:$E$39,MATCH($A600,'Category Mapping'!$A$28:$A$39,0),1))</f>
        <v>1096071428.5714285</v>
      </c>
      <c r="M600" s="27">
        <f>M20*IF($E600="weekday",INDEX('Category Mapping'!$F$28:$F$39,MATCH('Summarized Source Data'!$A600,'Category Mapping'!$A$28:$A$39,0),1),INDEX('Category Mapping'!$E$28:$E$39,MATCH($A600,'Category Mapping'!$A$28:$A$39,0),1))</f>
        <v>1421970</v>
      </c>
      <c r="N600" s="27">
        <f>N20*IF($E600="weekday",INDEX('Category Mapping'!$F$28:$F$39,MATCH('Summarized Source Data'!$A600,'Category Mapping'!$A$28:$A$39,0),1),INDEX('Category Mapping'!$E$28:$E$39,MATCH($A600,'Category Mapping'!$A$28:$A$39,0),1))</f>
        <v>0</v>
      </c>
      <c r="O600" s="27">
        <f>O20*IF($E600="weekday",INDEX('Category Mapping'!$F$28:$F$39,MATCH('Summarized Source Data'!$A600,'Category Mapping'!$A$28:$A$39,0),1),INDEX('Category Mapping'!$E$28:$E$39,MATCH($A600,'Category Mapping'!$A$28:$A$39,0),1))</f>
        <v>11036792315.714285</v>
      </c>
      <c r="P600" s="27">
        <f>P20*IF($E600="weekday",INDEX('Category Mapping'!$F$28:$F$39,MATCH('Summarized Source Data'!$A600,'Category Mapping'!$A$28:$A$39,0),1),INDEX('Category Mapping'!$E$28:$E$39,MATCH($A600,'Category Mapping'!$A$28:$A$39,0),1))</f>
        <v>11036792315.714285</v>
      </c>
      <c r="Q600" s="27">
        <f>Q20*IF($E600="weekday",INDEX('Category Mapping'!$F$28:$F$39,MATCH('Summarized Source Data'!$A600,'Category Mapping'!$A$28:$A$39,0),1),INDEX('Category Mapping'!$E$28:$E$39,MATCH($A600,'Category Mapping'!$A$28:$A$39,0),1))</f>
        <v>11036792315.714285</v>
      </c>
      <c r="R600" s="27">
        <f>R20*IF($E600="weekday",INDEX('Category Mapping'!$F$28:$F$39,MATCH('Summarized Source Data'!$A600,'Category Mapping'!$A$28:$A$39,0),1),INDEX('Category Mapping'!$E$28:$E$39,MATCH($A600,'Category Mapping'!$A$28:$A$39,0),1))</f>
        <v>378642857.14285713</v>
      </c>
      <c r="S600" s="27">
        <f>S20*IF($E600="weekday",INDEX('Category Mapping'!$F$28:$F$39,MATCH('Summarized Source Data'!$A600,'Category Mapping'!$A$28:$A$39,0),1),INDEX('Category Mapping'!$E$28:$E$39,MATCH($A600,'Category Mapping'!$A$28:$A$39,0),1))</f>
        <v>378642857.14285713</v>
      </c>
      <c r="T600" s="27">
        <f>T20*IF($E600="weekday",INDEX('Category Mapping'!$F$28:$F$39,MATCH('Summarized Source Data'!$A600,'Category Mapping'!$A$28:$A$39,0),1),INDEX('Category Mapping'!$E$28:$E$39,MATCH($A600,'Category Mapping'!$A$28:$A$39,0),1))</f>
        <v>378642857.14285713</v>
      </c>
      <c r="U600" s="27">
        <f>U20*IF($E600="weekday",INDEX('Category Mapping'!$F$28:$F$39,MATCH('Summarized Source Data'!$A600,'Category Mapping'!$A$28:$A$39,0),1),INDEX('Category Mapping'!$E$28:$E$39,MATCH($A600,'Category Mapping'!$A$28:$A$39,0),1))</f>
        <v>378642857.14285713</v>
      </c>
      <c r="V600" s="27">
        <f>V20*IF($E600="weekday",INDEX('Category Mapping'!$F$28:$F$39,MATCH('Summarized Source Data'!$A600,'Category Mapping'!$A$28:$A$39,0),1),INDEX('Category Mapping'!$E$28:$E$39,MATCH($A600,'Category Mapping'!$A$28:$A$39,0),1))</f>
        <v>378642857.14285713</v>
      </c>
      <c r="W600" s="27">
        <f>W20*IF($E600="weekday",INDEX('Category Mapping'!$F$28:$F$39,MATCH('Summarized Source Data'!$A600,'Category Mapping'!$A$28:$A$39,0),1),INDEX('Category Mapping'!$E$28:$E$39,MATCH($A600,'Category Mapping'!$A$28:$A$39,0),1))</f>
        <v>378642857.14285713</v>
      </c>
      <c r="X600" s="27">
        <f>X20*IF($E600="weekday",INDEX('Category Mapping'!$F$28:$F$39,MATCH('Summarized Source Data'!$A600,'Category Mapping'!$A$28:$A$39,0),1),INDEX('Category Mapping'!$E$28:$E$39,MATCH($A600,'Category Mapping'!$A$28:$A$39,0),1))</f>
        <v>15212142857.142857</v>
      </c>
      <c r="Y600" s="27">
        <f>Y20*IF($E600="weekday",INDEX('Category Mapping'!$F$28:$F$39,MATCH('Summarized Source Data'!$A600,'Category Mapping'!$A$28:$A$39,0),1),INDEX('Category Mapping'!$E$28:$E$39,MATCH($A600,'Category Mapping'!$A$28:$A$39,0),1))</f>
        <v>15212142857.142857</v>
      </c>
      <c r="Z600" s="27">
        <f>Z20*IF($E600="weekday",INDEX('Category Mapping'!$F$28:$F$39,MATCH('Summarized Source Data'!$A600,'Category Mapping'!$A$28:$A$39,0),1),INDEX('Category Mapping'!$E$28:$E$39,MATCH($A600,'Category Mapping'!$A$28:$A$39,0),1))</f>
        <v>15212142857.142857</v>
      </c>
    </row>
    <row r="601" spans="1:26" x14ac:dyDescent="0.3">
      <c r="A601">
        <f t="shared" ref="A601:E601" si="66">A21</f>
        <v>1</v>
      </c>
      <c r="B601" t="str">
        <f t="shared" si="66"/>
        <v>Winter</v>
      </c>
      <c r="C601" t="str">
        <f t="shared" si="66"/>
        <v>h18</v>
      </c>
      <c r="D601" t="str">
        <f t="shared" si="66"/>
        <v>Hour17</v>
      </c>
      <c r="E601" t="str">
        <f t="shared" si="66"/>
        <v>Weekday</v>
      </c>
      <c r="F601" s="27">
        <f>F21*IF($E601="weekday",INDEX('Category Mapping'!$F$28:$F$39,MATCH('Summarized Source Data'!$A601,'Category Mapping'!$A$28:$A$39,0),1),INDEX('Category Mapping'!$E$28:$E$39,MATCH($A601,'Category Mapping'!$A$28:$A$39,0),1))</f>
        <v>449500000</v>
      </c>
      <c r="G601" s="27">
        <f>G21*IF($E601="weekday",INDEX('Category Mapping'!$F$28:$F$39,MATCH('Summarized Source Data'!$A601,'Category Mapping'!$A$28:$A$39,0),1),INDEX('Category Mapping'!$E$28:$E$39,MATCH($A601,'Category Mapping'!$A$28:$A$39,0),1))</f>
        <v>193993.57142857142</v>
      </c>
      <c r="H601" s="27">
        <f>H21*IF($E601="weekday",INDEX('Category Mapping'!$F$28:$F$39,MATCH('Summarized Source Data'!$A601,'Category Mapping'!$A$28:$A$39,0),1),INDEX('Category Mapping'!$E$28:$E$39,MATCH($A601,'Category Mapping'!$A$28:$A$39,0),1))</f>
        <v>0</v>
      </c>
      <c r="I601" s="27">
        <f>I21*IF($E601="weekday",INDEX('Category Mapping'!$F$28:$F$39,MATCH('Summarized Source Data'!$A601,'Category Mapping'!$A$28:$A$39,0),1),INDEX('Category Mapping'!$E$28:$E$39,MATCH($A601,'Category Mapping'!$A$28:$A$39,0),1))</f>
        <v>1197928571.4285715</v>
      </c>
      <c r="J601" s="27">
        <f>J21*IF($E601="weekday",INDEX('Category Mapping'!$F$28:$F$39,MATCH('Summarized Source Data'!$A601,'Category Mapping'!$A$28:$A$39,0),1),INDEX('Category Mapping'!$E$28:$E$39,MATCH($A601,'Category Mapping'!$A$28:$A$39,0),1))</f>
        <v>3666663149.2857141</v>
      </c>
      <c r="K601" s="27">
        <f>K21*IF($E601="weekday",INDEX('Category Mapping'!$F$28:$F$39,MATCH('Summarized Source Data'!$A601,'Category Mapping'!$A$28:$A$39,0),1),INDEX('Category Mapping'!$E$28:$E$39,MATCH($A601,'Category Mapping'!$A$28:$A$39,0),1))</f>
        <v>3666663149.2857141</v>
      </c>
      <c r="L601" s="27">
        <f>L21*IF($E601="weekday",INDEX('Category Mapping'!$F$28:$F$39,MATCH('Summarized Source Data'!$A601,'Category Mapping'!$A$28:$A$39,0),1),INDEX('Category Mapping'!$E$28:$E$39,MATCH($A601,'Category Mapping'!$A$28:$A$39,0),1))</f>
        <v>1113785714.2857141</v>
      </c>
      <c r="M601" s="27">
        <f>M21*IF($E601="weekday",INDEX('Category Mapping'!$F$28:$F$39,MATCH('Summarized Source Data'!$A601,'Category Mapping'!$A$28:$A$39,0),1),INDEX('Category Mapping'!$E$28:$E$39,MATCH($A601,'Category Mapping'!$A$28:$A$39,0),1))</f>
        <v>1355740.7142857143</v>
      </c>
      <c r="N601" s="27">
        <f>N21*IF($E601="weekday",INDEX('Category Mapping'!$F$28:$F$39,MATCH('Summarized Source Data'!$A601,'Category Mapping'!$A$28:$A$39,0),1),INDEX('Category Mapping'!$E$28:$E$39,MATCH($A601,'Category Mapping'!$A$28:$A$39,0),1))</f>
        <v>0</v>
      </c>
      <c r="O601" s="27">
        <f>O21*IF($E601="weekday",INDEX('Category Mapping'!$F$28:$F$39,MATCH('Summarized Source Data'!$A601,'Category Mapping'!$A$28:$A$39,0),1),INDEX('Category Mapping'!$E$28:$E$39,MATCH($A601,'Category Mapping'!$A$28:$A$39,0),1))</f>
        <v>10354858545</v>
      </c>
      <c r="P601" s="27">
        <f>P21*IF($E601="weekday",INDEX('Category Mapping'!$F$28:$F$39,MATCH('Summarized Source Data'!$A601,'Category Mapping'!$A$28:$A$39,0),1),INDEX('Category Mapping'!$E$28:$E$39,MATCH($A601,'Category Mapping'!$A$28:$A$39,0),1))</f>
        <v>10354858545</v>
      </c>
      <c r="Q601" s="27">
        <f>Q21*IF($E601="weekday",INDEX('Category Mapping'!$F$28:$F$39,MATCH('Summarized Source Data'!$A601,'Category Mapping'!$A$28:$A$39,0),1),INDEX('Category Mapping'!$E$28:$E$39,MATCH($A601,'Category Mapping'!$A$28:$A$39,0),1))</f>
        <v>10354858545</v>
      </c>
      <c r="R601" s="27">
        <f>R21*IF($E601="weekday",INDEX('Category Mapping'!$F$28:$F$39,MATCH('Summarized Source Data'!$A601,'Category Mapping'!$A$28:$A$39,0),1),INDEX('Category Mapping'!$E$28:$E$39,MATCH($A601,'Category Mapping'!$A$28:$A$39,0),1))</f>
        <v>398571428.57142854</v>
      </c>
      <c r="S601" s="27">
        <f>S21*IF($E601="weekday",INDEX('Category Mapping'!$F$28:$F$39,MATCH('Summarized Source Data'!$A601,'Category Mapping'!$A$28:$A$39,0),1),INDEX('Category Mapping'!$E$28:$E$39,MATCH($A601,'Category Mapping'!$A$28:$A$39,0),1))</f>
        <v>398571428.57142854</v>
      </c>
      <c r="T601" s="27">
        <f>T21*IF($E601="weekday",INDEX('Category Mapping'!$F$28:$F$39,MATCH('Summarized Source Data'!$A601,'Category Mapping'!$A$28:$A$39,0),1),INDEX('Category Mapping'!$E$28:$E$39,MATCH($A601,'Category Mapping'!$A$28:$A$39,0),1))</f>
        <v>398571428.57142854</v>
      </c>
      <c r="U601" s="27">
        <f>U21*IF($E601="weekday",INDEX('Category Mapping'!$F$28:$F$39,MATCH('Summarized Source Data'!$A601,'Category Mapping'!$A$28:$A$39,0),1),INDEX('Category Mapping'!$E$28:$E$39,MATCH($A601,'Category Mapping'!$A$28:$A$39,0),1))</f>
        <v>398571428.57142854</v>
      </c>
      <c r="V601" s="27">
        <f>V21*IF($E601="weekday",INDEX('Category Mapping'!$F$28:$F$39,MATCH('Summarized Source Data'!$A601,'Category Mapping'!$A$28:$A$39,0),1),INDEX('Category Mapping'!$E$28:$E$39,MATCH($A601,'Category Mapping'!$A$28:$A$39,0),1))</f>
        <v>398571428.57142854</v>
      </c>
      <c r="W601" s="27">
        <f>W21*IF($E601="weekday",INDEX('Category Mapping'!$F$28:$F$39,MATCH('Summarized Source Data'!$A601,'Category Mapping'!$A$28:$A$39,0),1),INDEX('Category Mapping'!$E$28:$E$39,MATCH($A601,'Category Mapping'!$A$28:$A$39,0),1))</f>
        <v>398571428.57142854</v>
      </c>
      <c r="X601" s="27">
        <f>X21*IF($E601="weekday",INDEX('Category Mapping'!$F$28:$F$39,MATCH('Summarized Source Data'!$A601,'Category Mapping'!$A$28:$A$39,0),1),INDEX('Category Mapping'!$E$28:$E$39,MATCH($A601,'Category Mapping'!$A$28:$A$39,0),1))</f>
        <v>15256428571.428572</v>
      </c>
      <c r="Y601" s="27">
        <f>Y21*IF($E601="weekday",INDEX('Category Mapping'!$F$28:$F$39,MATCH('Summarized Source Data'!$A601,'Category Mapping'!$A$28:$A$39,0),1),INDEX('Category Mapping'!$E$28:$E$39,MATCH($A601,'Category Mapping'!$A$28:$A$39,0),1))</f>
        <v>15256428571.428572</v>
      </c>
      <c r="Z601" s="27">
        <f>Z21*IF($E601="weekday",INDEX('Category Mapping'!$F$28:$F$39,MATCH('Summarized Source Data'!$A601,'Category Mapping'!$A$28:$A$39,0),1),INDEX('Category Mapping'!$E$28:$E$39,MATCH($A601,'Category Mapping'!$A$28:$A$39,0),1))</f>
        <v>15256428571.428572</v>
      </c>
    </row>
    <row r="602" spans="1:26" x14ac:dyDescent="0.3">
      <c r="A602">
        <f t="shared" ref="A602:E602" si="67">A22</f>
        <v>1</v>
      </c>
      <c r="B602" t="str">
        <f t="shared" si="67"/>
        <v>Winter</v>
      </c>
      <c r="C602" t="str">
        <f t="shared" si="67"/>
        <v>h19</v>
      </c>
      <c r="D602" t="str">
        <f t="shared" si="67"/>
        <v>Hour18</v>
      </c>
      <c r="E602" t="str">
        <f t="shared" si="67"/>
        <v>Weekday</v>
      </c>
      <c r="F602" s="27">
        <f>F22*IF($E602="weekday",INDEX('Category Mapping'!$F$28:$F$39,MATCH('Summarized Source Data'!$A602,'Category Mapping'!$A$28:$A$39,0),1),INDEX('Category Mapping'!$E$28:$E$39,MATCH($A602,'Category Mapping'!$A$28:$A$39,0),1))</f>
        <v>487142857.14285713</v>
      </c>
      <c r="G602" s="27">
        <f>G22*IF($E602="weekday",INDEX('Category Mapping'!$F$28:$F$39,MATCH('Summarized Source Data'!$A602,'Category Mapping'!$A$28:$A$39,0),1),INDEX('Category Mapping'!$E$28:$E$39,MATCH($A602,'Category Mapping'!$A$28:$A$39,0),1))</f>
        <v>215361.42857142858</v>
      </c>
      <c r="H602" s="27">
        <f>H22*IF($E602="weekday",INDEX('Category Mapping'!$F$28:$F$39,MATCH('Summarized Source Data'!$A602,'Category Mapping'!$A$28:$A$39,0),1),INDEX('Category Mapping'!$E$28:$E$39,MATCH($A602,'Category Mapping'!$A$28:$A$39,0),1))</f>
        <v>0</v>
      </c>
      <c r="I602" s="27">
        <f>I22*IF($E602="weekday",INDEX('Category Mapping'!$F$28:$F$39,MATCH('Summarized Source Data'!$A602,'Category Mapping'!$A$28:$A$39,0),1),INDEX('Category Mapping'!$E$28:$E$39,MATCH($A602,'Category Mapping'!$A$28:$A$39,0),1))</f>
        <v>1310857142.8571429</v>
      </c>
      <c r="J602" s="27">
        <f>J22*IF($E602="weekday",INDEX('Category Mapping'!$F$28:$F$39,MATCH('Summarized Source Data'!$A602,'Category Mapping'!$A$28:$A$39,0),1),INDEX('Category Mapping'!$E$28:$E$39,MATCH($A602,'Category Mapping'!$A$28:$A$39,0),1))</f>
        <v>3582498924.2857141</v>
      </c>
      <c r="K602" s="27">
        <f>K22*IF($E602="weekday",INDEX('Category Mapping'!$F$28:$F$39,MATCH('Summarized Source Data'!$A602,'Category Mapping'!$A$28:$A$39,0),1),INDEX('Category Mapping'!$E$28:$E$39,MATCH($A602,'Category Mapping'!$A$28:$A$39,0),1))</f>
        <v>3582498924.2857141</v>
      </c>
      <c r="L602" s="27">
        <f>L22*IF($E602="weekday",INDEX('Category Mapping'!$F$28:$F$39,MATCH('Summarized Source Data'!$A602,'Category Mapping'!$A$28:$A$39,0),1),INDEX('Category Mapping'!$E$28:$E$39,MATCH($A602,'Category Mapping'!$A$28:$A$39,0),1))</f>
        <v>1288714285.7142856</v>
      </c>
      <c r="M602" s="27">
        <f>M22*IF($E602="weekday",INDEX('Category Mapping'!$F$28:$F$39,MATCH('Summarized Source Data'!$A602,'Category Mapping'!$A$28:$A$39,0),1),INDEX('Category Mapping'!$E$28:$E$39,MATCH($A602,'Category Mapping'!$A$28:$A$39,0),1))</f>
        <v>1298346.4285714286</v>
      </c>
      <c r="N602" s="27">
        <f>N22*IF($E602="weekday",INDEX('Category Mapping'!$F$28:$F$39,MATCH('Summarized Source Data'!$A602,'Category Mapping'!$A$28:$A$39,0),1),INDEX('Category Mapping'!$E$28:$E$39,MATCH($A602,'Category Mapping'!$A$28:$A$39,0),1))</f>
        <v>0</v>
      </c>
      <c r="O602" s="27">
        <f>O22*IF($E602="weekday",INDEX('Category Mapping'!$F$28:$F$39,MATCH('Summarized Source Data'!$A602,'Category Mapping'!$A$28:$A$39,0),1),INDEX('Category Mapping'!$E$28:$E$39,MATCH($A602,'Category Mapping'!$A$28:$A$39,0),1))</f>
        <v>9869987367.8571434</v>
      </c>
      <c r="P602" s="27">
        <f>P22*IF($E602="weekday",INDEX('Category Mapping'!$F$28:$F$39,MATCH('Summarized Source Data'!$A602,'Category Mapping'!$A$28:$A$39,0),1),INDEX('Category Mapping'!$E$28:$E$39,MATCH($A602,'Category Mapping'!$A$28:$A$39,0),1))</f>
        <v>9869987367.8571434</v>
      </c>
      <c r="Q602" s="27">
        <f>Q22*IF($E602="weekday",INDEX('Category Mapping'!$F$28:$F$39,MATCH('Summarized Source Data'!$A602,'Category Mapping'!$A$28:$A$39,0),1),INDEX('Category Mapping'!$E$28:$E$39,MATCH($A602,'Category Mapping'!$A$28:$A$39,0),1))</f>
        <v>9869987367.8571434</v>
      </c>
      <c r="R602" s="27">
        <f>R22*IF($E602="weekday",INDEX('Category Mapping'!$F$28:$F$39,MATCH('Summarized Source Data'!$A602,'Category Mapping'!$A$28:$A$39,0),1),INDEX('Category Mapping'!$E$28:$E$39,MATCH($A602,'Category Mapping'!$A$28:$A$39,0),1))</f>
        <v>365357142.85714287</v>
      </c>
      <c r="S602" s="27">
        <f>S22*IF($E602="weekday",INDEX('Category Mapping'!$F$28:$F$39,MATCH('Summarized Source Data'!$A602,'Category Mapping'!$A$28:$A$39,0),1),INDEX('Category Mapping'!$E$28:$E$39,MATCH($A602,'Category Mapping'!$A$28:$A$39,0),1))</f>
        <v>365357142.85714287</v>
      </c>
      <c r="T602" s="27">
        <f>T22*IF($E602="weekday",INDEX('Category Mapping'!$F$28:$F$39,MATCH('Summarized Source Data'!$A602,'Category Mapping'!$A$28:$A$39,0),1),INDEX('Category Mapping'!$E$28:$E$39,MATCH($A602,'Category Mapping'!$A$28:$A$39,0),1))</f>
        <v>365357142.85714287</v>
      </c>
      <c r="U602" s="27">
        <f>U22*IF($E602="weekday",INDEX('Category Mapping'!$F$28:$F$39,MATCH('Summarized Source Data'!$A602,'Category Mapping'!$A$28:$A$39,0),1),INDEX('Category Mapping'!$E$28:$E$39,MATCH($A602,'Category Mapping'!$A$28:$A$39,0),1))</f>
        <v>365357142.85714287</v>
      </c>
      <c r="V602" s="27">
        <f>V22*IF($E602="weekday",INDEX('Category Mapping'!$F$28:$F$39,MATCH('Summarized Source Data'!$A602,'Category Mapping'!$A$28:$A$39,0),1),INDEX('Category Mapping'!$E$28:$E$39,MATCH($A602,'Category Mapping'!$A$28:$A$39,0),1))</f>
        <v>365357142.85714287</v>
      </c>
      <c r="W602" s="27">
        <f>W22*IF($E602="weekday",INDEX('Category Mapping'!$F$28:$F$39,MATCH('Summarized Source Data'!$A602,'Category Mapping'!$A$28:$A$39,0),1),INDEX('Category Mapping'!$E$28:$E$39,MATCH($A602,'Category Mapping'!$A$28:$A$39,0),1))</f>
        <v>365357142.85714287</v>
      </c>
      <c r="X602" s="27">
        <f>X22*IF($E602="weekday",INDEX('Category Mapping'!$F$28:$F$39,MATCH('Summarized Source Data'!$A602,'Category Mapping'!$A$28:$A$39,0),1),INDEX('Category Mapping'!$E$28:$E$39,MATCH($A602,'Category Mapping'!$A$28:$A$39,0),1))</f>
        <v>15167857142.857143</v>
      </c>
      <c r="Y602" s="27">
        <f>Y22*IF($E602="weekday",INDEX('Category Mapping'!$F$28:$F$39,MATCH('Summarized Source Data'!$A602,'Category Mapping'!$A$28:$A$39,0),1),INDEX('Category Mapping'!$E$28:$E$39,MATCH($A602,'Category Mapping'!$A$28:$A$39,0),1))</f>
        <v>15167857142.857143</v>
      </c>
      <c r="Z602" s="27">
        <f>Z22*IF($E602="weekday",INDEX('Category Mapping'!$F$28:$F$39,MATCH('Summarized Source Data'!$A602,'Category Mapping'!$A$28:$A$39,0),1),INDEX('Category Mapping'!$E$28:$E$39,MATCH($A602,'Category Mapping'!$A$28:$A$39,0),1))</f>
        <v>15167857142.857143</v>
      </c>
    </row>
    <row r="603" spans="1:26" x14ac:dyDescent="0.3">
      <c r="A603">
        <f t="shared" ref="A603:E603" si="68">A23</f>
        <v>1</v>
      </c>
      <c r="B603" t="str">
        <f t="shared" si="68"/>
        <v>Winter</v>
      </c>
      <c r="C603" t="str">
        <f t="shared" si="68"/>
        <v>h20</v>
      </c>
      <c r="D603" t="str">
        <f t="shared" si="68"/>
        <v>Hour19</v>
      </c>
      <c r="E603" t="str">
        <f t="shared" si="68"/>
        <v>Weekday</v>
      </c>
      <c r="F603" s="27">
        <f>F23*IF($E603="weekday",INDEX('Category Mapping'!$F$28:$F$39,MATCH('Summarized Source Data'!$A603,'Category Mapping'!$A$28:$A$39,0),1),INDEX('Category Mapping'!$E$28:$E$39,MATCH($A603,'Category Mapping'!$A$28:$A$39,0),1))</f>
        <v>522571428.57142854</v>
      </c>
      <c r="G603" s="27">
        <f>G23*IF($E603="weekday",INDEX('Category Mapping'!$F$28:$F$39,MATCH('Summarized Source Data'!$A603,'Category Mapping'!$A$28:$A$39,0),1),INDEX('Category Mapping'!$E$28:$E$39,MATCH($A603,'Category Mapping'!$A$28:$A$39,0),1))</f>
        <v>237216.42857142858</v>
      </c>
      <c r="H603" s="27">
        <f>H23*IF($E603="weekday",INDEX('Category Mapping'!$F$28:$F$39,MATCH('Summarized Source Data'!$A603,'Category Mapping'!$A$28:$A$39,0),1),INDEX('Category Mapping'!$E$28:$E$39,MATCH($A603,'Category Mapping'!$A$28:$A$39,0),1))</f>
        <v>0</v>
      </c>
      <c r="I603" s="27">
        <f>I23*IF($E603="weekday",INDEX('Category Mapping'!$F$28:$F$39,MATCH('Summarized Source Data'!$A603,'Category Mapping'!$A$28:$A$39,0),1),INDEX('Category Mapping'!$E$28:$E$39,MATCH($A603,'Category Mapping'!$A$28:$A$39,0),1))</f>
        <v>1410500000</v>
      </c>
      <c r="J603" s="27">
        <f>J23*IF($E603="weekday",INDEX('Category Mapping'!$F$28:$F$39,MATCH('Summarized Source Data'!$A603,'Category Mapping'!$A$28:$A$39,0),1),INDEX('Category Mapping'!$E$28:$E$39,MATCH($A603,'Category Mapping'!$A$28:$A$39,0),1))</f>
        <v>3425262783.5714283</v>
      </c>
      <c r="K603" s="27">
        <f>K23*IF($E603="weekday",INDEX('Category Mapping'!$F$28:$F$39,MATCH('Summarized Source Data'!$A603,'Category Mapping'!$A$28:$A$39,0),1),INDEX('Category Mapping'!$E$28:$E$39,MATCH($A603,'Category Mapping'!$A$28:$A$39,0),1))</f>
        <v>3425262783.5714283</v>
      </c>
      <c r="L603" s="27">
        <f>L23*IF($E603="weekday",INDEX('Category Mapping'!$F$28:$F$39,MATCH('Summarized Source Data'!$A603,'Category Mapping'!$A$28:$A$39,0),1),INDEX('Category Mapping'!$E$28:$E$39,MATCH($A603,'Category Mapping'!$A$28:$A$39,0),1))</f>
        <v>1448142857.1428571</v>
      </c>
      <c r="M603" s="27">
        <f>M23*IF($E603="weekday",INDEX('Category Mapping'!$F$28:$F$39,MATCH('Summarized Source Data'!$A603,'Category Mapping'!$A$28:$A$39,0),1),INDEX('Category Mapping'!$E$28:$E$39,MATCH($A603,'Category Mapping'!$A$28:$A$39,0),1))</f>
        <v>1216462.1428571427</v>
      </c>
      <c r="N603" s="27">
        <f>N23*IF($E603="weekday",INDEX('Category Mapping'!$F$28:$F$39,MATCH('Summarized Source Data'!$A603,'Category Mapping'!$A$28:$A$39,0),1),INDEX('Category Mapping'!$E$28:$E$39,MATCH($A603,'Category Mapping'!$A$28:$A$39,0),1))</f>
        <v>0</v>
      </c>
      <c r="O603" s="27">
        <f>O23*IF($E603="weekday",INDEX('Category Mapping'!$F$28:$F$39,MATCH('Summarized Source Data'!$A603,'Category Mapping'!$A$28:$A$39,0),1),INDEX('Category Mapping'!$E$28:$E$39,MATCH($A603,'Category Mapping'!$A$28:$A$39,0),1))</f>
        <v>8271354966.4285717</v>
      </c>
      <c r="P603" s="27">
        <f>P23*IF($E603="weekday",INDEX('Category Mapping'!$F$28:$F$39,MATCH('Summarized Source Data'!$A603,'Category Mapping'!$A$28:$A$39,0),1),INDEX('Category Mapping'!$E$28:$E$39,MATCH($A603,'Category Mapping'!$A$28:$A$39,0),1))</f>
        <v>8271354966.4285717</v>
      </c>
      <c r="Q603" s="27">
        <f>Q23*IF($E603="weekday",INDEX('Category Mapping'!$F$28:$F$39,MATCH('Summarized Source Data'!$A603,'Category Mapping'!$A$28:$A$39,0),1),INDEX('Category Mapping'!$E$28:$E$39,MATCH($A603,'Category Mapping'!$A$28:$A$39,0),1))</f>
        <v>8271354966.4285717</v>
      </c>
      <c r="R603" s="27">
        <f>R23*IF($E603="weekday",INDEX('Category Mapping'!$F$28:$F$39,MATCH('Summarized Source Data'!$A603,'Category Mapping'!$A$28:$A$39,0),1),INDEX('Category Mapping'!$E$28:$E$39,MATCH($A603,'Category Mapping'!$A$28:$A$39,0),1))</f>
        <v>298928571.4285714</v>
      </c>
      <c r="S603" s="27">
        <f>S23*IF($E603="weekday",INDEX('Category Mapping'!$F$28:$F$39,MATCH('Summarized Source Data'!$A603,'Category Mapping'!$A$28:$A$39,0),1),INDEX('Category Mapping'!$E$28:$E$39,MATCH($A603,'Category Mapping'!$A$28:$A$39,0),1))</f>
        <v>298928571.4285714</v>
      </c>
      <c r="T603" s="27">
        <f>T23*IF($E603="weekday",INDEX('Category Mapping'!$F$28:$F$39,MATCH('Summarized Source Data'!$A603,'Category Mapping'!$A$28:$A$39,0),1),INDEX('Category Mapping'!$E$28:$E$39,MATCH($A603,'Category Mapping'!$A$28:$A$39,0),1))</f>
        <v>298928571.4285714</v>
      </c>
      <c r="U603" s="27">
        <f>U23*IF($E603="weekday",INDEX('Category Mapping'!$F$28:$F$39,MATCH('Summarized Source Data'!$A603,'Category Mapping'!$A$28:$A$39,0),1),INDEX('Category Mapping'!$E$28:$E$39,MATCH($A603,'Category Mapping'!$A$28:$A$39,0),1))</f>
        <v>298928571.4285714</v>
      </c>
      <c r="V603" s="27">
        <f>V23*IF($E603="weekday",INDEX('Category Mapping'!$F$28:$F$39,MATCH('Summarized Source Data'!$A603,'Category Mapping'!$A$28:$A$39,0),1),INDEX('Category Mapping'!$E$28:$E$39,MATCH($A603,'Category Mapping'!$A$28:$A$39,0),1))</f>
        <v>298928571.4285714</v>
      </c>
      <c r="W603" s="27">
        <f>W23*IF($E603="weekday",INDEX('Category Mapping'!$F$28:$F$39,MATCH('Summarized Source Data'!$A603,'Category Mapping'!$A$28:$A$39,0),1),INDEX('Category Mapping'!$E$28:$E$39,MATCH($A603,'Category Mapping'!$A$28:$A$39,0),1))</f>
        <v>298928571.4285714</v>
      </c>
      <c r="X603" s="27">
        <f>X23*IF($E603="weekday",INDEX('Category Mapping'!$F$28:$F$39,MATCH('Summarized Source Data'!$A603,'Category Mapping'!$A$28:$A$39,0),1),INDEX('Category Mapping'!$E$28:$E$39,MATCH($A603,'Category Mapping'!$A$28:$A$39,0),1))</f>
        <v>15079285714.285713</v>
      </c>
      <c r="Y603" s="27">
        <f>Y23*IF($E603="weekday",INDEX('Category Mapping'!$F$28:$F$39,MATCH('Summarized Source Data'!$A603,'Category Mapping'!$A$28:$A$39,0),1),INDEX('Category Mapping'!$E$28:$E$39,MATCH($A603,'Category Mapping'!$A$28:$A$39,0),1))</f>
        <v>15079285714.285713</v>
      </c>
      <c r="Z603" s="27">
        <f>Z23*IF($E603="weekday",INDEX('Category Mapping'!$F$28:$F$39,MATCH('Summarized Source Data'!$A603,'Category Mapping'!$A$28:$A$39,0),1),INDEX('Category Mapping'!$E$28:$E$39,MATCH($A603,'Category Mapping'!$A$28:$A$39,0),1))</f>
        <v>15079285714.285713</v>
      </c>
    </row>
    <row r="604" spans="1:26" x14ac:dyDescent="0.3">
      <c r="A604">
        <f t="shared" ref="A604:E604" si="69">A24</f>
        <v>1</v>
      </c>
      <c r="B604" t="str">
        <f t="shared" si="69"/>
        <v>Winter</v>
      </c>
      <c r="C604" t="str">
        <f t="shared" si="69"/>
        <v>h21</v>
      </c>
      <c r="D604" t="str">
        <f t="shared" si="69"/>
        <v>Hour20</v>
      </c>
      <c r="E604" t="str">
        <f t="shared" si="69"/>
        <v>Weekday</v>
      </c>
      <c r="F604" s="27">
        <f>F24*IF($E604="weekday",INDEX('Category Mapping'!$F$28:$F$39,MATCH('Summarized Source Data'!$A604,'Category Mapping'!$A$28:$A$39,0),1),INDEX('Category Mapping'!$E$28:$E$39,MATCH($A604,'Category Mapping'!$A$28:$A$39,0),1))</f>
        <v>546928571.42857146</v>
      </c>
      <c r="G604" s="27">
        <f>G24*IF($E604="weekday",INDEX('Category Mapping'!$F$28:$F$39,MATCH('Summarized Source Data'!$A604,'Category Mapping'!$A$28:$A$39,0),1),INDEX('Category Mapping'!$E$28:$E$39,MATCH($A604,'Category Mapping'!$A$28:$A$39,0),1))</f>
        <v>256768.57142857142</v>
      </c>
      <c r="H604" s="27">
        <f>H24*IF($E604="weekday",INDEX('Category Mapping'!$F$28:$F$39,MATCH('Summarized Source Data'!$A604,'Category Mapping'!$A$28:$A$39,0),1),INDEX('Category Mapping'!$E$28:$E$39,MATCH($A604,'Category Mapping'!$A$28:$A$39,0),1))</f>
        <v>0</v>
      </c>
      <c r="I604" s="27">
        <f>I24*IF($E604="weekday",INDEX('Category Mapping'!$F$28:$F$39,MATCH('Summarized Source Data'!$A604,'Category Mapping'!$A$28:$A$39,0),1),INDEX('Category Mapping'!$E$28:$E$39,MATCH($A604,'Category Mapping'!$A$28:$A$39,0),1))</f>
        <v>1432642857.1428571</v>
      </c>
      <c r="J604" s="27">
        <f>J24*IF($E604="weekday",INDEX('Category Mapping'!$F$28:$F$39,MATCH('Summarized Source Data'!$A604,'Category Mapping'!$A$28:$A$39,0),1),INDEX('Category Mapping'!$E$28:$E$39,MATCH($A604,'Category Mapping'!$A$28:$A$39,0),1))</f>
        <v>3356600374.2857141</v>
      </c>
      <c r="K604" s="27">
        <f>K24*IF($E604="weekday",INDEX('Category Mapping'!$F$28:$F$39,MATCH('Summarized Source Data'!$A604,'Category Mapping'!$A$28:$A$39,0),1),INDEX('Category Mapping'!$E$28:$E$39,MATCH($A604,'Category Mapping'!$A$28:$A$39,0),1))</f>
        <v>3356600374.2857141</v>
      </c>
      <c r="L604" s="27">
        <f>L24*IF($E604="weekday",INDEX('Category Mapping'!$F$28:$F$39,MATCH('Summarized Source Data'!$A604,'Category Mapping'!$A$28:$A$39,0),1),INDEX('Category Mapping'!$E$28:$E$39,MATCH($A604,'Category Mapping'!$A$28:$A$39,0),1))</f>
        <v>1541142857.1428571</v>
      </c>
      <c r="M604" s="27">
        <f>M24*IF($E604="weekday",INDEX('Category Mapping'!$F$28:$F$39,MATCH('Summarized Source Data'!$A604,'Category Mapping'!$A$28:$A$39,0),1),INDEX('Category Mapping'!$E$28:$E$39,MATCH($A604,'Category Mapping'!$A$28:$A$39,0),1))</f>
        <v>1147575.7142857143</v>
      </c>
      <c r="N604" s="27">
        <f>N24*IF($E604="weekday",INDEX('Category Mapping'!$F$28:$F$39,MATCH('Summarized Source Data'!$A604,'Category Mapping'!$A$28:$A$39,0),1),INDEX('Category Mapping'!$E$28:$E$39,MATCH($A604,'Category Mapping'!$A$28:$A$39,0),1))</f>
        <v>0</v>
      </c>
      <c r="O604" s="27">
        <f>O24*IF($E604="weekday",INDEX('Category Mapping'!$F$28:$F$39,MATCH('Summarized Source Data'!$A604,'Category Mapping'!$A$28:$A$39,0),1),INDEX('Category Mapping'!$E$28:$E$39,MATCH($A604,'Category Mapping'!$A$28:$A$39,0),1))</f>
        <v>6871995281.4285717</v>
      </c>
      <c r="P604" s="27">
        <f>P24*IF($E604="weekday",INDEX('Category Mapping'!$F$28:$F$39,MATCH('Summarized Source Data'!$A604,'Category Mapping'!$A$28:$A$39,0),1),INDEX('Category Mapping'!$E$28:$E$39,MATCH($A604,'Category Mapping'!$A$28:$A$39,0),1))</f>
        <v>6871995281.4285717</v>
      </c>
      <c r="Q604" s="27">
        <f>Q24*IF($E604="weekday",INDEX('Category Mapping'!$F$28:$F$39,MATCH('Summarized Source Data'!$A604,'Category Mapping'!$A$28:$A$39,0),1),INDEX('Category Mapping'!$E$28:$E$39,MATCH($A604,'Category Mapping'!$A$28:$A$39,0),1))</f>
        <v>6871995281.4285717</v>
      </c>
      <c r="R604" s="27">
        <f>R24*IF($E604="weekday",INDEX('Category Mapping'!$F$28:$F$39,MATCH('Summarized Source Data'!$A604,'Category Mapping'!$A$28:$A$39,0),1),INDEX('Category Mapping'!$E$28:$E$39,MATCH($A604,'Category Mapping'!$A$28:$A$39,0),1))</f>
        <v>274571428.57142854</v>
      </c>
      <c r="S604" s="27">
        <f>S24*IF($E604="weekday",INDEX('Category Mapping'!$F$28:$F$39,MATCH('Summarized Source Data'!$A604,'Category Mapping'!$A$28:$A$39,0),1),INDEX('Category Mapping'!$E$28:$E$39,MATCH($A604,'Category Mapping'!$A$28:$A$39,0),1))</f>
        <v>274571428.57142854</v>
      </c>
      <c r="T604" s="27">
        <f>T24*IF($E604="weekday",INDEX('Category Mapping'!$F$28:$F$39,MATCH('Summarized Source Data'!$A604,'Category Mapping'!$A$28:$A$39,0),1),INDEX('Category Mapping'!$E$28:$E$39,MATCH($A604,'Category Mapping'!$A$28:$A$39,0),1))</f>
        <v>274571428.57142854</v>
      </c>
      <c r="U604" s="27">
        <f>U24*IF($E604="weekday",INDEX('Category Mapping'!$F$28:$F$39,MATCH('Summarized Source Data'!$A604,'Category Mapping'!$A$28:$A$39,0),1),INDEX('Category Mapping'!$E$28:$E$39,MATCH($A604,'Category Mapping'!$A$28:$A$39,0),1))</f>
        <v>274571428.57142854</v>
      </c>
      <c r="V604" s="27">
        <f>V24*IF($E604="weekday",INDEX('Category Mapping'!$F$28:$F$39,MATCH('Summarized Source Data'!$A604,'Category Mapping'!$A$28:$A$39,0),1),INDEX('Category Mapping'!$E$28:$E$39,MATCH($A604,'Category Mapping'!$A$28:$A$39,0),1))</f>
        <v>274571428.57142854</v>
      </c>
      <c r="W604" s="27">
        <f>W24*IF($E604="weekday",INDEX('Category Mapping'!$F$28:$F$39,MATCH('Summarized Source Data'!$A604,'Category Mapping'!$A$28:$A$39,0),1),INDEX('Category Mapping'!$E$28:$E$39,MATCH($A604,'Category Mapping'!$A$28:$A$39,0),1))</f>
        <v>274571428.57142854</v>
      </c>
      <c r="X604" s="27">
        <f>X24*IF($E604="weekday",INDEX('Category Mapping'!$F$28:$F$39,MATCH('Summarized Source Data'!$A604,'Category Mapping'!$A$28:$A$39,0),1),INDEX('Category Mapping'!$E$28:$E$39,MATCH($A604,'Category Mapping'!$A$28:$A$39,0),1))</f>
        <v>14990714285.714285</v>
      </c>
      <c r="Y604" s="27">
        <f>Y24*IF($E604="weekday",INDEX('Category Mapping'!$F$28:$F$39,MATCH('Summarized Source Data'!$A604,'Category Mapping'!$A$28:$A$39,0),1),INDEX('Category Mapping'!$E$28:$E$39,MATCH($A604,'Category Mapping'!$A$28:$A$39,0),1))</f>
        <v>14990714285.714285</v>
      </c>
      <c r="Z604" s="27">
        <f>Z24*IF($E604="weekday",INDEX('Category Mapping'!$F$28:$F$39,MATCH('Summarized Source Data'!$A604,'Category Mapping'!$A$28:$A$39,0),1),INDEX('Category Mapping'!$E$28:$E$39,MATCH($A604,'Category Mapping'!$A$28:$A$39,0),1))</f>
        <v>14990714285.714285</v>
      </c>
    </row>
    <row r="605" spans="1:26" x14ac:dyDescent="0.3">
      <c r="A605">
        <f t="shared" ref="A605:E605" si="70">A25</f>
        <v>1</v>
      </c>
      <c r="B605" t="str">
        <f t="shared" si="70"/>
        <v>Winter</v>
      </c>
      <c r="C605" t="str">
        <f t="shared" si="70"/>
        <v>h22</v>
      </c>
      <c r="D605" t="str">
        <f t="shared" si="70"/>
        <v>Hour21</v>
      </c>
      <c r="E605" t="str">
        <f t="shared" si="70"/>
        <v>Weekday</v>
      </c>
      <c r="F605" s="27">
        <f>F25*IF($E605="weekday",INDEX('Category Mapping'!$F$28:$F$39,MATCH('Summarized Source Data'!$A605,'Category Mapping'!$A$28:$A$39,0),1),INDEX('Category Mapping'!$E$28:$E$39,MATCH($A605,'Category Mapping'!$A$28:$A$39,0),1))</f>
        <v>520357142.85714287</v>
      </c>
      <c r="G605" s="27">
        <f>G25*IF($E605="weekday",INDEX('Category Mapping'!$F$28:$F$39,MATCH('Summarized Source Data'!$A605,'Category Mapping'!$A$28:$A$39,0),1),INDEX('Category Mapping'!$E$28:$E$39,MATCH($A605,'Category Mapping'!$A$28:$A$39,0),1))</f>
        <v>273043.57142857142</v>
      </c>
      <c r="H605" s="27">
        <f>H25*IF($E605="weekday",INDEX('Category Mapping'!$F$28:$F$39,MATCH('Summarized Source Data'!$A605,'Category Mapping'!$A$28:$A$39,0),1),INDEX('Category Mapping'!$E$28:$E$39,MATCH($A605,'Category Mapping'!$A$28:$A$39,0),1))</f>
        <v>0</v>
      </c>
      <c r="I605" s="27">
        <f>I25*IF($E605="weekday",INDEX('Category Mapping'!$F$28:$F$39,MATCH('Summarized Source Data'!$A605,'Category Mapping'!$A$28:$A$39,0),1),INDEX('Category Mapping'!$E$28:$E$39,MATCH($A605,'Category Mapping'!$A$28:$A$39,0),1))</f>
        <v>1173571428.5714285</v>
      </c>
      <c r="J605" s="27">
        <f>J25*IF($E605="weekday",INDEX('Category Mapping'!$F$28:$F$39,MATCH('Summarized Source Data'!$A605,'Category Mapping'!$A$28:$A$39,0),1),INDEX('Category Mapping'!$E$28:$E$39,MATCH($A605,'Category Mapping'!$A$28:$A$39,0),1))</f>
        <v>3310084099.2857141</v>
      </c>
      <c r="K605" s="27">
        <f>K25*IF($E605="weekday",INDEX('Category Mapping'!$F$28:$F$39,MATCH('Summarized Source Data'!$A605,'Category Mapping'!$A$28:$A$39,0),1),INDEX('Category Mapping'!$E$28:$E$39,MATCH($A605,'Category Mapping'!$A$28:$A$39,0),1))</f>
        <v>3310084099.2857141</v>
      </c>
      <c r="L605" s="27">
        <f>L25*IF($E605="weekday",INDEX('Category Mapping'!$F$28:$F$39,MATCH('Summarized Source Data'!$A605,'Category Mapping'!$A$28:$A$39,0),1),INDEX('Category Mapping'!$E$28:$E$39,MATCH($A605,'Category Mapping'!$A$28:$A$39,0),1))</f>
        <v>1665142857.1428571</v>
      </c>
      <c r="M605" s="27">
        <f>M25*IF($E605="weekday",INDEX('Category Mapping'!$F$28:$F$39,MATCH('Summarized Source Data'!$A605,'Category Mapping'!$A$28:$A$39,0),1),INDEX('Category Mapping'!$E$28:$E$39,MATCH($A605,'Category Mapping'!$A$28:$A$39,0),1))</f>
        <v>1077316.4285714286</v>
      </c>
      <c r="N605" s="27">
        <f>N25*IF($E605="weekday",INDEX('Category Mapping'!$F$28:$F$39,MATCH('Summarized Source Data'!$A605,'Category Mapping'!$A$28:$A$39,0),1),INDEX('Category Mapping'!$E$28:$E$39,MATCH($A605,'Category Mapping'!$A$28:$A$39,0),1))</f>
        <v>0</v>
      </c>
      <c r="O605" s="27">
        <f>O25*IF($E605="weekday",INDEX('Category Mapping'!$F$28:$F$39,MATCH('Summarized Source Data'!$A605,'Category Mapping'!$A$28:$A$39,0),1),INDEX('Category Mapping'!$E$28:$E$39,MATCH($A605,'Category Mapping'!$A$28:$A$39,0),1))</f>
        <v>5574494112.1428566</v>
      </c>
      <c r="P605" s="27">
        <f>P25*IF($E605="weekday",INDEX('Category Mapping'!$F$28:$F$39,MATCH('Summarized Source Data'!$A605,'Category Mapping'!$A$28:$A$39,0),1),INDEX('Category Mapping'!$E$28:$E$39,MATCH($A605,'Category Mapping'!$A$28:$A$39,0),1))</f>
        <v>5574494112.1428566</v>
      </c>
      <c r="Q605" s="27">
        <f>Q25*IF($E605="weekday",INDEX('Category Mapping'!$F$28:$F$39,MATCH('Summarized Source Data'!$A605,'Category Mapping'!$A$28:$A$39,0),1),INDEX('Category Mapping'!$E$28:$E$39,MATCH($A605,'Category Mapping'!$A$28:$A$39,0),1))</f>
        <v>5574494112.1428566</v>
      </c>
      <c r="R605" s="27">
        <f>R25*IF($E605="weekday",INDEX('Category Mapping'!$F$28:$F$39,MATCH('Summarized Source Data'!$A605,'Category Mapping'!$A$28:$A$39,0),1),INDEX('Category Mapping'!$E$28:$E$39,MATCH($A605,'Category Mapping'!$A$28:$A$39,0),1))</f>
        <v>259071428.57142857</v>
      </c>
      <c r="S605" s="27">
        <f>S25*IF($E605="weekday",INDEX('Category Mapping'!$F$28:$F$39,MATCH('Summarized Source Data'!$A605,'Category Mapping'!$A$28:$A$39,0),1),INDEX('Category Mapping'!$E$28:$E$39,MATCH($A605,'Category Mapping'!$A$28:$A$39,0),1))</f>
        <v>259071428.57142857</v>
      </c>
      <c r="T605" s="27">
        <f>T25*IF($E605="weekday",INDEX('Category Mapping'!$F$28:$F$39,MATCH('Summarized Source Data'!$A605,'Category Mapping'!$A$28:$A$39,0),1),INDEX('Category Mapping'!$E$28:$E$39,MATCH($A605,'Category Mapping'!$A$28:$A$39,0),1))</f>
        <v>259071428.57142857</v>
      </c>
      <c r="U605" s="27">
        <f>U25*IF($E605="weekday",INDEX('Category Mapping'!$F$28:$F$39,MATCH('Summarized Source Data'!$A605,'Category Mapping'!$A$28:$A$39,0),1),INDEX('Category Mapping'!$E$28:$E$39,MATCH($A605,'Category Mapping'!$A$28:$A$39,0),1))</f>
        <v>259071428.57142857</v>
      </c>
      <c r="V605" s="27">
        <f>V25*IF($E605="weekday",INDEX('Category Mapping'!$F$28:$F$39,MATCH('Summarized Source Data'!$A605,'Category Mapping'!$A$28:$A$39,0),1),INDEX('Category Mapping'!$E$28:$E$39,MATCH($A605,'Category Mapping'!$A$28:$A$39,0),1))</f>
        <v>259071428.57142857</v>
      </c>
      <c r="W605" s="27">
        <f>W25*IF($E605="weekday",INDEX('Category Mapping'!$F$28:$F$39,MATCH('Summarized Source Data'!$A605,'Category Mapping'!$A$28:$A$39,0),1),INDEX('Category Mapping'!$E$28:$E$39,MATCH($A605,'Category Mapping'!$A$28:$A$39,0),1))</f>
        <v>259071428.57142857</v>
      </c>
      <c r="X605" s="27">
        <f>X25*IF($E605="weekday",INDEX('Category Mapping'!$F$28:$F$39,MATCH('Summarized Source Data'!$A605,'Category Mapping'!$A$28:$A$39,0),1),INDEX('Category Mapping'!$E$28:$E$39,MATCH($A605,'Category Mapping'!$A$28:$A$39,0),1))</f>
        <v>14857857142.857143</v>
      </c>
      <c r="Y605" s="27">
        <f>Y25*IF($E605="weekday",INDEX('Category Mapping'!$F$28:$F$39,MATCH('Summarized Source Data'!$A605,'Category Mapping'!$A$28:$A$39,0),1),INDEX('Category Mapping'!$E$28:$E$39,MATCH($A605,'Category Mapping'!$A$28:$A$39,0),1))</f>
        <v>14857857142.857143</v>
      </c>
      <c r="Z605" s="27">
        <f>Z25*IF($E605="weekday",INDEX('Category Mapping'!$F$28:$F$39,MATCH('Summarized Source Data'!$A605,'Category Mapping'!$A$28:$A$39,0),1),INDEX('Category Mapping'!$E$28:$E$39,MATCH($A605,'Category Mapping'!$A$28:$A$39,0),1))</f>
        <v>14857857142.857143</v>
      </c>
    </row>
    <row r="606" spans="1:26" x14ac:dyDescent="0.3">
      <c r="A606">
        <f t="shared" ref="A606:E606" si="71">A26</f>
        <v>1</v>
      </c>
      <c r="B606" t="str">
        <f t="shared" si="71"/>
        <v>Winter</v>
      </c>
      <c r="C606" t="str">
        <f t="shared" si="71"/>
        <v>h23</v>
      </c>
      <c r="D606" t="str">
        <f t="shared" si="71"/>
        <v>Hour22</v>
      </c>
      <c r="E606" t="str">
        <f t="shared" si="71"/>
        <v>Weekday</v>
      </c>
      <c r="F606" s="27">
        <f>F26*IF($E606="weekday",INDEX('Category Mapping'!$F$28:$F$39,MATCH('Summarized Source Data'!$A606,'Category Mapping'!$A$28:$A$39,0),1),INDEX('Category Mapping'!$E$28:$E$39,MATCH($A606,'Category Mapping'!$A$28:$A$39,0),1))</f>
        <v>456142857.14285713</v>
      </c>
      <c r="G606" s="27">
        <f>G26*IF($E606="weekday",INDEX('Category Mapping'!$F$28:$F$39,MATCH('Summarized Source Data'!$A606,'Category Mapping'!$A$28:$A$39,0),1),INDEX('Category Mapping'!$E$28:$E$39,MATCH($A606,'Category Mapping'!$A$28:$A$39,0),1))</f>
        <v>284646.42857142858</v>
      </c>
      <c r="H606" s="27">
        <f>H26*IF($E606="weekday",INDEX('Category Mapping'!$F$28:$F$39,MATCH('Summarized Source Data'!$A606,'Category Mapping'!$A$28:$A$39,0),1),INDEX('Category Mapping'!$E$28:$E$39,MATCH($A606,'Category Mapping'!$A$28:$A$39,0),1))</f>
        <v>0</v>
      </c>
      <c r="I606" s="27">
        <f>I26*IF($E606="weekday",INDEX('Category Mapping'!$F$28:$F$39,MATCH('Summarized Source Data'!$A606,'Category Mapping'!$A$28:$A$39,0),1),INDEX('Category Mapping'!$E$28:$E$39,MATCH($A606,'Category Mapping'!$A$28:$A$39,0),1))</f>
        <v>697500000</v>
      </c>
      <c r="J606" s="27">
        <f>J26*IF($E606="weekday",INDEX('Category Mapping'!$F$28:$F$39,MATCH('Summarized Source Data'!$A606,'Category Mapping'!$A$28:$A$39,0),1),INDEX('Category Mapping'!$E$28:$E$39,MATCH($A606,'Category Mapping'!$A$28:$A$39,0),1))</f>
        <v>2610358210.7142859</v>
      </c>
      <c r="K606" s="27">
        <f>K26*IF($E606="weekday",INDEX('Category Mapping'!$F$28:$F$39,MATCH('Summarized Source Data'!$A606,'Category Mapping'!$A$28:$A$39,0),1),INDEX('Category Mapping'!$E$28:$E$39,MATCH($A606,'Category Mapping'!$A$28:$A$39,0),1))</f>
        <v>2610358210.7142859</v>
      </c>
      <c r="L606" s="27">
        <f>L26*IF($E606="weekday",INDEX('Category Mapping'!$F$28:$F$39,MATCH('Summarized Source Data'!$A606,'Category Mapping'!$A$28:$A$39,0),1),INDEX('Category Mapping'!$E$28:$E$39,MATCH($A606,'Category Mapping'!$A$28:$A$39,0),1))</f>
        <v>1667357142.8571429</v>
      </c>
      <c r="M606" s="27">
        <f>M26*IF($E606="weekday",INDEX('Category Mapping'!$F$28:$F$39,MATCH('Summarized Source Data'!$A606,'Category Mapping'!$A$28:$A$39,0),1),INDEX('Category Mapping'!$E$28:$E$39,MATCH($A606,'Category Mapping'!$A$28:$A$39,0),1))</f>
        <v>992819.28571428568</v>
      </c>
      <c r="N606" s="27">
        <f>N26*IF($E606="weekday",INDEX('Category Mapping'!$F$28:$F$39,MATCH('Summarized Source Data'!$A606,'Category Mapping'!$A$28:$A$39,0),1),INDEX('Category Mapping'!$E$28:$E$39,MATCH($A606,'Category Mapping'!$A$28:$A$39,0),1))</f>
        <v>0</v>
      </c>
      <c r="O606" s="27">
        <f>O26*IF($E606="weekday",INDEX('Category Mapping'!$F$28:$F$39,MATCH('Summarized Source Data'!$A606,'Category Mapping'!$A$28:$A$39,0),1),INDEX('Category Mapping'!$E$28:$E$39,MATCH($A606,'Category Mapping'!$A$28:$A$39,0),1))</f>
        <v>4686650037.8571424</v>
      </c>
      <c r="P606" s="27">
        <f>P26*IF($E606="weekday",INDEX('Category Mapping'!$F$28:$F$39,MATCH('Summarized Source Data'!$A606,'Category Mapping'!$A$28:$A$39,0),1),INDEX('Category Mapping'!$E$28:$E$39,MATCH($A606,'Category Mapping'!$A$28:$A$39,0),1))</f>
        <v>4686650037.8571424</v>
      </c>
      <c r="Q606" s="27">
        <f>Q26*IF($E606="weekday",INDEX('Category Mapping'!$F$28:$F$39,MATCH('Summarized Source Data'!$A606,'Category Mapping'!$A$28:$A$39,0),1),INDEX('Category Mapping'!$E$28:$E$39,MATCH($A606,'Category Mapping'!$A$28:$A$39,0),1))</f>
        <v>4686650037.8571424</v>
      </c>
      <c r="R606" s="27">
        <f>R26*IF($E606="weekday",INDEX('Category Mapping'!$F$28:$F$39,MATCH('Summarized Source Data'!$A606,'Category Mapping'!$A$28:$A$39,0),1),INDEX('Category Mapping'!$E$28:$E$39,MATCH($A606,'Category Mapping'!$A$28:$A$39,0),1))</f>
        <v>245785714.28571427</v>
      </c>
      <c r="S606" s="27">
        <f>S26*IF($E606="weekday",INDEX('Category Mapping'!$F$28:$F$39,MATCH('Summarized Source Data'!$A606,'Category Mapping'!$A$28:$A$39,0),1),INDEX('Category Mapping'!$E$28:$E$39,MATCH($A606,'Category Mapping'!$A$28:$A$39,0),1))</f>
        <v>245785714.28571427</v>
      </c>
      <c r="T606" s="27">
        <f>T26*IF($E606="weekday",INDEX('Category Mapping'!$F$28:$F$39,MATCH('Summarized Source Data'!$A606,'Category Mapping'!$A$28:$A$39,0),1),INDEX('Category Mapping'!$E$28:$E$39,MATCH($A606,'Category Mapping'!$A$28:$A$39,0),1))</f>
        <v>245785714.28571427</v>
      </c>
      <c r="U606" s="27">
        <f>U26*IF($E606="weekday",INDEX('Category Mapping'!$F$28:$F$39,MATCH('Summarized Source Data'!$A606,'Category Mapping'!$A$28:$A$39,0),1),INDEX('Category Mapping'!$E$28:$E$39,MATCH($A606,'Category Mapping'!$A$28:$A$39,0),1))</f>
        <v>245785714.28571427</v>
      </c>
      <c r="V606" s="27">
        <f>V26*IF($E606="weekday",INDEX('Category Mapping'!$F$28:$F$39,MATCH('Summarized Source Data'!$A606,'Category Mapping'!$A$28:$A$39,0),1),INDEX('Category Mapping'!$E$28:$E$39,MATCH($A606,'Category Mapping'!$A$28:$A$39,0),1))</f>
        <v>245785714.28571427</v>
      </c>
      <c r="W606" s="27">
        <f>W26*IF($E606="weekday",INDEX('Category Mapping'!$F$28:$F$39,MATCH('Summarized Source Data'!$A606,'Category Mapping'!$A$28:$A$39,0),1),INDEX('Category Mapping'!$E$28:$E$39,MATCH($A606,'Category Mapping'!$A$28:$A$39,0),1))</f>
        <v>245785714.28571427</v>
      </c>
      <c r="X606" s="27">
        <f>X26*IF($E606="weekday",INDEX('Category Mapping'!$F$28:$F$39,MATCH('Summarized Source Data'!$A606,'Category Mapping'!$A$28:$A$39,0),1),INDEX('Category Mapping'!$E$28:$E$39,MATCH($A606,'Category Mapping'!$A$28:$A$39,0),1))</f>
        <v>14725000000</v>
      </c>
      <c r="Y606" s="27">
        <f>Y26*IF($E606="weekday",INDEX('Category Mapping'!$F$28:$F$39,MATCH('Summarized Source Data'!$A606,'Category Mapping'!$A$28:$A$39,0),1),INDEX('Category Mapping'!$E$28:$E$39,MATCH($A606,'Category Mapping'!$A$28:$A$39,0),1))</f>
        <v>14725000000</v>
      </c>
      <c r="Z606" s="27">
        <f>Z26*IF($E606="weekday",INDEX('Category Mapping'!$F$28:$F$39,MATCH('Summarized Source Data'!$A606,'Category Mapping'!$A$28:$A$39,0),1),INDEX('Category Mapping'!$E$28:$E$39,MATCH($A606,'Category Mapping'!$A$28:$A$39,0),1))</f>
        <v>14725000000</v>
      </c>
    </row>
    <row r="607" spans="1:26" x14ac:dyDescent="0.3">
      <c r="A607">
        <f t="shared" ref="A607:E607" si="72">A27</f>
        <v>1</v>
      </c>
      <c r="B607" t="str">
        <f t="shared" si="72"/>
        <v>Winter</v>
      </c>
      <c r="C607" t="str">
        <f t="shared" si="72"/>
        <v>h24</v>
      </c>
      <c r="D607" t="str">
        <f t="shared" si="72"/>
        <v>Hour23</v>
      </c>
      <c r="E607" t="str">
        <f t="shared" si="72"/>
        <v>Weekday</v>
      </c>
      <c r="F607" s="27">
        <f>F27*IF($E607="weekday",INDEX('Category Mapping'!$F$28:$F$39,MATCH('Summarized Source Data'!$A607,'Category Mapping'!$A$28:$A$39,0),1),INDEX('Category Mapping'!$E$28:$E$39,MATCH($A607,'Category Mapping'!$A$28:$A$39,0),1))</f>
        <v>447285714.28571427</v>
      </c>
      <c r="G607" s="27">
        <f>G27*IF($E607="weekday",INDEX('Category Mapping'!$F$28:$F$39,MATCH('Summarized Source Data'!$A607,'Category Mapping'!$A$28:$A$39,0),1),INDEX('Category Mapping'!$E$28:$E$39,MATCH($A607,'Category Mapping'!$A$28:$A$39,0),1))</f>
        <v>292485</v>
      </c>
      <c r="H607" s="27">
        <f>H27*IF($E607="weekday",INDEX('Category Mapping'!$F$28:$F$39,MATCH('Summarized Source Data'!$A607,'Category Mapping'!$A$28:$A$39,0),1),INDEX('Category Mapping'!$E$28:$E$39,MATCH($A607,'Category Mapping'!$A$28:$A$39,0),1))</f>
        <v>0</v>
      </c>
      <c r="I607" s="27">
        <f>I27*IF($E607="weekday",INDEX('Category Mapping'!$F$28:$F$39,MATCH('Summarized Source Data'!$A607,'Category Mapping'!$A$28:$A$39,0),1),INDEX('Category Mapping'!$E$28:$E$39,MATCH($A607,'Category Mapping'!$A$28:$A$39,0),1))</f>
        <v>367571428.57142854</v>
      </c>
      <c r="J607" s="27">
        <f>J27*IF($E607="weekday",INDEX('Category Mapping'!$F$28:$F$39,MATCH('Summarized Source Data'!$A607,'Category Mapping'!$A$28:$A$39,0),1),INDEX('Category Mapping'!$E$28:$E$39,MATCH($A607,'Category Mapping'!$A$28:$A$39,0),1))</f>
        <v>2063421800.7142856</v>
      </c>
      <c r="K607" s="27">
        <f>K27*IF($E607="weekday",INDEX('Category Mapping'!$F$28:$F$39,MATCH('Summarized Source Data'!$A607,'Category Mapping'!$A$28:$A$39,0),1),INDEX('Category Mapping'!$E$28:$E$39,MATCH($A607,'Category Mapping'!$A$28:$A$39,0),1))</f>
        <v>2063421800.7142856</v>
      </c>
      <c r="L607" s="27">
        <f>L27*IF($E607="weekday",INDEX('Category Mapping'!$F$28:$F$39,MATCH('Summarized Source Data'!$A607,'Category Mapping'!$A$28:$A$39,0),1),INDEX('Category Mapping'!$E$28:$E$39,MATCH($A607,'Category Mapping'!$A$28:$A$39,0),1))</f>
        <v>766142857.14285707</v>
      </c>
      <c r="M607" s="27">
        <f>M27*IF($E607="weekday",INDEX('Category Mapping'!$F$28:$F$39,MATCH('Summarized Source Data'!$A607,'Category Mapping'!$A$28:$A$39,0),1),INDEX('Category Mapping'!$E$28:$E$39,MATCH($A607,'Category Mapping'!$A$28:$A$39,0),1))</f>
        <v>877410.71428571432</v>
      </c>
      <c r="N607" s="27">
        <f>N27*IF($E607="weekday",INDEX('Category Mapping'!$F$28:$F$39,MATCH('Summarized Source Data'!$A607,'Category Mapping'!$A$28:$A$39,0),1),INDEX('Category Mapping'!$E$28:$E$39,MATCH($A607,'Category Mapping'!$A$28:$A$39,0),1))</f>
        <v>0</v>
      </c>
      <c r="O607" s="27">
        <f>O27*IF($E607="weekday",INDEX('Category Mapping'!$F$28:$F$39,MATCH('Summarized Source Data'!$A607,'Category Mapping'!$A$28:$A$39,0),1),INDEX('Category Mapping'!$E$28:$E$39,MATCH($A607,'Category Mapping'!$A$28:$A$39,0),1))</f>
        <v>4082265446.4285712</v>
      </c>
      <c r="P607" s="27">
        <f>P27*IF($E607="weekday",INDEX('Category Mapping'!$F$28:$F$39,MATCH('Summarized Source Data'!$A607,'Category Mapping'!$A$28:$A$39,0),1),INDEX('Category Mapping'!$E$28:$E$39,MATCH($A607,'Category Mapping'!$A$28:$A$39,0),1))</f>
        <v>4082265446.4285712</v>
      </c>
      <c r="Q607" s="27">
        <f>Q27*IF($E607="weekday",INDEX('Category Mapping'!$F$28:$F$39,MATCH('Summarized Source Data'!$A607,'Category Mapping'!$A$28:$A$39,0),1),INDEX('Category Mapping'!$E$28:$E$39,MATCH($A607,'Category Mapping'!$A$28:$A$39,0),1))</f>
        <v>4082265446.4285712</v>
      </c>
      <c r="R607" s="27">
        <f>R27*IF($E607="weekday",INDEX('Category Mapping'!$F$28:$F$39,MATCH('Summarized Source Data'!$A607,'Category Mapping'!$A$28:$A$39,0),1),INDEX('Category Mapping'!$E$28:$E$39,MATCH($A607,'Category Mapping'!$A$28:$A$39,0),1))</f>
        <v>165011516.42857143</v>
      </c>
      <c r="S607" s="27">
        <f>S27*IF($E607="weekday",INDEX('Category Mapping'!$F$28:$F$39,MATCH('Summarized Source Data'!$A607,'Category Mapping'!$A$28:$A$39,0),1),INDEX('Category Mapping'!$E$28:$E$39,MATCH($A607,'Category Mapping'!$A$28:$A$39,0),1))</f>
        <v>165011516.42857143</v>
      </c>
      <c r="T607" s="27">
        <f>T27*IF($E607="weekday",INDEX('Category Mapping'!$F$28:$F$39,MATCH('Summarized Source Data'!$A607,'Category Mapping'!$A$28:$A$39,0),1),INDEX('Category Mapping'!$E$28:$E$39,MATCH($A607,'Category Mapping'!$A$28:$A$39,0),1))</f>
        <v>165011516.42857143</v>
      </c>
      <c r="U607" s="27">
        <f>U27*IF($E607="weekday",INDEX('Category Mapping'!$F$28:$F$39,MATCH('Summarized Source Data'!$A607,'Category Mapping'!$A$28:$A$39,0),1),INDEX('Category Mapping'!$E$28:$E$39,MATCH($A607,'Category Mapping'!$A$28:$A$39,0),1))</f>
        <v>165011516.42857143</v>
      </c>
      <c r="V607" s="27">
        <f>V27*IF($E607="weekday",INDEX('Category Mapping'!$F$28:$F$39,MATCH('Summarized Source Data'!$A607,'Category Mapping'!$A$28:$A$39,0),1),INDEX('Category Mapping'!$E$28:$E$39,MATCH($A607,'Category Mapping'!$A$28:$A$39,0),1))</f>
        <v>165011516.42857143</v>
      </c>
      <c r="W607" s="27">
        <f>W27*IF($E607="weekday",INDEX('Category Mapping'!$F$28:$F$39,MATCH('Summarized Source Data'!$A607,'Category Mapping'!$A$28:$A$39,0),1),INDEX('Category Mapping'!$E$28:$E$39,MATCH($A607,'Category Mapping'!$A$28:$A$39,0),1))</f>
        <v>165011516.42857143</v>
      </c>
      <c r="X607" s="27">
        <f>X27*IF($E607="weekday",INDEX('Category Mapping'!$F$28:$F$39,MATCH('Summarized Source Data'!$A607,'Category Mapping'!$A$28:$A$39,0),1),INDEX('Category Mapping'!$E$28:$E$39,MATCH($A607,'Category Mapping'!$A$28:$A$39,0),1))</f>
        <v>14658571428.571428</v>
      </c>
      <c r="Y607" s="27">
        <f>Y27*IF($E607="weekday",INDEX('Category Mapping'!$F$28:$F$39,MATCH('Summarized Source Data'!$A607,'Category Mapping'!$A$28:$A$39,0),1),INDEX('Category Mapping'!$E$28:$E$39,MATCH($A607,'Category Mapping'!$A$28:$A$39,0),1))</f>
        <v>14658571428.571428</v>
      </c>
      <c r="Z607" s="27">
        <f>Z27*IF($E607="weekday",INDEX('Category Mapping'!$F$28:$F$39,MATCH('Summarized Source Data'!$A607,'Category Mapping'!$A$28:$A$39,0),1),INDEX('Category Mapping'!$E$28:$E$39,MATCH($A607,'Category Mapping'!$A$28:$A$39,0),1))</f>
        <v>14658571428.571428</v>
      </c>
    </row>
    <row r="608" spans="1:26" x14ac:dyDescent="0.3">
      <c r="A608">
        <f t="shared" ref="A608:E608" si="73">A28</f>
        <v>2</v>
      </c>
      <c r="B608" t="str">
        <f t="shared" si="73"/>
        <v>Winter</v>
      </c>
      <c r="C608" t="str">
        <f t="shared" si="73"/>
        <v>h1</v>
      </c>
      <c r="D608" t="str">
        <f t="shared" si="73"/>
        <v>Hour0</v>
      </c>
      <c r="E608" t="str">
        <f t="shared" si="73"/>
        <v>Weekday</v>
      </c>
      <c r="F608" s="27">
        <f>F28*IF($E608="weekday",INDEX('Category Mapping'!$F$28:$F$39,MATCH('Summarized Source Data'!$A608,'Category Mapping'!$A$28:$A$39,0),1),INDEX('Category Mapping'!$E$28:$E$39,MATCH($A608,'Category Mapping'!$A$28:$A$39,0),1))</f>
        <v>334000000</v>
      </c>
      <c r="G608" s="27">
        <f>G28*IF($E608="weekday",INDEX('Category Mapping'!$F$28:$F$39,MATCH('Summarized Source Data'!$A608,'Category Mapping'!$A$28:$A$39,0),1),INDEX('Category Mapping'!$E$28:$E$39,MATCH($A608,'Category Mapping'!$A$28:$A$39,0),1))</f>
        <v>301860</v>
      </c>
      <c r="H608" s="27">
        <f>H28*IF($E608="weekday",INDEX('Category Mapping'!$F$28:$F$39,MATCH('Summarized Source Data'!$A608,'Category Mapping'!$A$28:$A$39,0),1),INDEX('Category Mapping'!$E$28:$E$39,MATCH($A608,'Category Mapping'!$A$28:$A$39,0),1))</f>
        <v>0</v>
      </c>
      <c r="I608" s="27">
        <f>I28*IF($E608="weekday",INDEX('Category Mapping'!$F$28:$F$39,MATCH('Summarized Source Data'!$A608,'Category Mapping'!$A$28:$A$39,0),1),INDEX('Category Mapping'!$E$28:$E$39,MATCH($A608,'Category Mapping'!$A$28:$A$39,0),1))</f>
        <v>228000000</v>
      </c>
      <c r="J608" s="27">
        <f>J28*IF($E608="weekday",INDEX('Category Mapping'!$F$28:$F$39,MATCH('Summarized Source Data'!$A608,'Category Mapping'!$A$28:$A$39,0),1),INDEX('Category Mapping'!$E$28:$E$39,MATCH($A608,'Category Mapping'!$A$28:$A$39,0),1))</f>
        <v>1477698140</v>
      </c>
      <c r="K608" s="27">
        <f>K28*IF($E608="weekday",INDEX('Category Mapping'!$F$28:$F$39,MATCH('Summarized Source Data'!$A608,'Category Mapping'!$A$28:$A$39,0),1),INDEX('Category Mapping'!$E$28:$E$39,MATCH($A608,'Category Mapping'!$A$28:$A$39,0),1))</f>
        <v>1477698140</v>
      </c>
      <c r="L608" s="27">
        <f>L28*IF($E608="weekday",INDEX('Category Mapping'!$F$28:$F$39,MATCH('Summarized Source Data'!$A608,'Category Mapping'!$A$28:$A$39,0),1),INDEX('Category Mapping'!$E$28:$E$39,MATCH($A608,'Category Mapping'!$A$28:$A$39,0),1))</f>
        <v>692000000</v>
      </c>
      <c r="M608" s="27">
        <f>M28*IF($E608="weekday",INDEX('Category Mapping'!$F$28:$F$39,MATCH('Summarized Source Data'!$A608,'Category Mapping'!$A$28:$A$39,0),1),INDEX('Category Mapping'!$E$28:$E$39,MATCH($A608,'Category Mapping'!$A$28:$A$39,0),1))</f>
        <v>799400</v>
      </c>
      <c r="N608" s="27">
        <f>N28*IF($E608="weekday",INDEX('Category Mapping'!$F$28:$F$39,MATCH('Summarized Source Data'!$A608,'Category Mapping'!$A$28:$A$39,0),1),INDEX('Category Mapping'!$E$28:$E$39,MATCH($A608,'Category Mapping'!$A$28:$A$39,0),1))</f>
        <v>0</v>
      </c>
      <c r="O608" s="27">
        <f>O28*IF($E608="weekday",INDEX('Category Mapping'!$F$28:$F$39,MATCH('Summarized Source Data'!$A608,'Category Mapping'!$A$28:$A$39,0),1),INDEX('Category Mapping'!$E$28:$E$39,MATCH($A608,'Category Mapping'!$A$28:$A$39,0),1))</f>
        <v>3067200600</v>
      </c>
      <c r="P608" s="27">
        <f>P28*IF($E608="weekday",INDEX('Category Mapping'!$F$28:$F$39,MATCH('Summarized Source Data'!$A608,'Category Mapping'!$A$28:$A$39,0),1),INDEX('Category Mapping'!$E$28:$E$39,MATCH($A608,'Category Mapping'!$A$28:$A$39,0),1))</f>
        <v>3067200600</v>
      </c>
      <c r="Q608" s="27">
        <f>Q28*IF($E608="weekday",INDEX('Category Mapping'!$F$28:$F$39,MATCH('Summarized Source Data'!$A608,'Category Mapping'!$A$28:$A$39,0),1),INDEX('Category Mapping'!$E$28:$E$39,MATCH($A608,'Category Mapping'!$A$28:$A$39,0),1))</f>
        <v>3067200600</v>
      </c>
      <c r="R608" s="27">
        <f>R28*IF($E608="weekday",INDEX('Category Mapping'!$F$28:$F$39,MATCH('Summarized Source Data'!$A608,'Category Mapping'!$A$28:$A$39,0),1),INDEX('Category Mapping'!$E$28:$E$39,MATCH($A608,'Category Mapping'!$A$28:$A$39,0),1))</f>
        <v>98270940</v>
      </c>
      <c r="S608" s="27">
        <f>S28*IF($E608="weekday",INDEX('Category Mapping'!$F$28:$F$39,MATCH('Summarized Source Data'!$A608,'Category Mapping'!$A$28:$A$39,0),1),INDEX('Category Mapping'!$E$28:$E$39,MATCH($A608,'Category Mapping'!$A$28:$A$39,0),1))</f>
        <v>98270940</v>
      </c>
      <c r="T608" s="27">
        <f>T28*IF($E608="weekday",INDEX('Category Mapping'!$F$28:$F$39,MATCH('Summarized Source Data'!$A608,'Category Mapping'!$A$28:$A$39,0),1),INDEX('Category Mapping'!$E$28:$E$39,MATCH($A608,'Category Mapping'!$A$28:$A$39,0),1))</f>
        <v>98270940</v>
      </c>
      <c r="U608" s="27">
        <f>U28*IF($E608="weekday",INDEX('Category Mapping'!$F$28:$F$39,MATCH('Summarized Source Data'!$A608,'Category Mapping'!$A$28:$A$39,0),1),INDEX('Category Mapping'!$E$28:$E$39,MATCH($A608,'Category Mapping'!$A$28:$A$39,0),1))</f>
        <v>98270940</v>
      </c>
      <c r="V608" s="27">
        <f>V28*IF($E608="weekday",INDEX('Category Mapping'!$F$28:$F$39,MATCH('Summarized Source Data'!$A608,'Category Mapping'!$A$28:$A$39,0),1),INDEX('Category Mapping'!$E$28:$E$39,MATCH($A608,'Category Mapping'!$A$28:$A$39,0),1))</f>
        <v>98270940</v>
      </c>
      <c r="W608" s="27">
        <f>W28*IF($E608="weekday",INDEX('Category Mapping'!$F$28:$F$39,MATCH('Summarized Source Data'!$A608,'Category Mapping'!$A$28:$A$39,0),1),INDEX('Category Mapping'!$E$28:$E$39,MATCH($A608,'Category Mapping'!$A$28:$A$39,0),1))</f>
        <v>98270940</v>
      </c>
      <c r="X608" s="27">
        <f>X28*IF($E608="weekday",INDEX('Category Mapping'!$F$28:$F$39,MATCH('Summarized Source Data'!$A608,'Category Mapping'!$A$28:$A$39,0),1),INDEX('Category Mapping'!$E$28:$E$39,MATCH($A608,'Category Mapping'!$A$28:$A$39,0),1))</f>
        <v>13260000000</v>
      </c>
      <c r="Y608" s="27">
        <f>Y28*IF($E608="weekday",INDEX('Category Mapping'!$F$28:$F$39,MATCH('Summarized Source Data'!$A608,'Category Mapping'!$A$28:$A$39,0),1),INDEX('Category Mapping'!$E$28:$E$39,MATCH($A608,'Category Mapping'!$A$28:$A$39,0),1))</f>
        <v>13260000000</v>
      </c>
      <c r="Z608" s="27">
        <f>Z28*IF($E608="weekday",INDEX('Category Mapping'!$F$28:$F$39,MATCH('Summarized Source Data'!$A608,'Category Mapping'!$A$28:$A$39,0),1),INDEX('Category Mapping'!$E$28:$E$39,MATCH($A608,'Category Mapping'!$A$28:$A$39,0),1))</f>
        <v>13260000000</v>
      </c>
    </row>
    <row r="609" spans="1:26" x14ac:dyDescent="0.3">
      <c r="A609">
        <f t="shared" ref="A609:E609" si="74">A29</f>
        <v>2</v>
      </c>
      <c r="B609" t="str">
        <f t="shared" si="74"/>
        <v>Winter</v>
      </c>
      <c r="C609" t="str">
        <f t="shared" si="74"/>
        <v>h2</v>
      </c>
      <c r="D609" t="str">
        <f t="shared" si="74"/>
        <v>Hour1</v>
      </c>
      <c r="E609" t="str">
        <f t="shared" si="74"/>
        <v>Weekday</v>
      </c>
      <c r="F609" s="27">
        <f>F29*IF($E609="weekday",INDEX('Category Mapping'!$F$28:$F$39,MATCH('Summarized Source Data'!$A609,'Category Mapping'!$A$28:$A$39,0),1),INDEX('Category Mapping'!$E$28:$E$39,MATCH($A609,'Category Mapping'!$A$28:$A$39,0),1))</f>
        <v>342000000</v>
      </c>
      <c r="G609" s="27">
        <f>G29*IF($E609="weekday",INDEX('Category Mapping'!$F$28:$F$39,MATCH('Summarized Source Data'!$A609,'Category Mapping'!$A$28:$A$39,0),1),INDEX('Category Mapping'!$E$28:$E$39,MATCH($A609,'Category Mapping'!$A$28:$A$39,0),1))</f>
        <v>303540</v>
      </c>
      <c r="H609" s="27">
        <f>H29*IF($E609="weekday",INDEX('Category Mapping'!$F$28:$F$39,MATCH('Summarized Source Data'!$A609,'Category Mapping'!$A$28:$A$39,0),1),INDEX('Category Mapping'!$E$28:$E$39,MATCH($A609,'Category Mapping'!$A$28:$A$39,0),1))</f>
        <v>0</v>
      </c>
      <c r="I609" s="27">
        <f>I29*IF($E609="weekday",INDEX('Category Mapping'!$F$28:$F$39,MATCH('Summarized Source Data'!$A609,'Category Mapping'!$A$28:$A$39,0),1),INDEX('Category Mapping'!$E$28:$E$39,MATCH($A609,'Category Mapping'!$A$28:$A$39,0),1))</f>
        <v>210000000</v>
      </c>
      <c r="J609" s="27">
        <f>J29*IF($E609="weekday",INDEX('Category Mapping'!$F$28:$F$39,MATCH('Summarized Source Data'!$A609,'Category Mapping'!$A$28:$A$39,0),1),INDEX('Category Mapping'!$E$28:$E$39,MATCH($A609,'Category Mapping'!$A$28:$A$39,0),1))</f>
        <v>1077696460</v>
      </c>
      <c r="K609" s="27">
        <f>K29*IF($E609="weekday",INDEX('Category Mapping'!$F$28:$F$39,MATCH('Summarized Source Data'!$A609,'Category Mapping'!$A$28:$A$39,0),1),INDEX('Category Mapping'!$E$28:$E$39,MATCH($A609,'Category Mapping'!$A$28:$A$39,0),1))</f>
        <v>1077696460</v>
      </c>
      <c r="L609" s="27">
        <f>L29*IF($E609="weekday",INDEX('Category Mapping'!$F$28:$F$39,MATCH('Summarized Source Data'!$A609,'Category Mapping'!$A$28:$A$39,0),1),INDEX('Category Mapping'!$E$28:$E$39,MATCH($A609,'Category Mapping'!$A$28:$A$39,0),1))</f>
        <v>632000000</v>
      </c>
      <c r="M609" s="27">
        <f>M29*IF($E609="weekday",INDEX('Category Mapping'!$F$28:$F$39,MATCH('Summarized Source Data'!$A609,'Category Mapping'!$A$28:$A$39,0),1),INDEX('Category Mapping'!$E$28:$E$39,MATCH($A609,'Category Mapping'!$A$28:$A$39,0),1))</f>
        <v>753800</v>
      </c>
      <c r="N609" s="27">
        <f>N29*IF($E609="weekday",INDEX('Category Mapping'!$F$28:$F$39,MATCH('Summarized Source Data'!$A609,'Category Mapping'!$A$28:$A$39,0),1),INDEX('Category Mapping'!$E$28:$E$39,MATCH($A609,'Category Mapping'!$A$28:$A$39,0),1))</f>
        <v>0</v>
      </c>
      <c r="O609" s="27">
        <f>O29*IF($E609="weekday",INDEX('Category Mapping'!$F$28:$F$39,MATCH('Summarized Source Data'!$A609,'Category Mapping'!$A$28:$A$39,0),1),INDEX('Category Mapping'!$E$28:$E$39,MATCH($A609,'Category Mapping'!$A$28:$A$39,0),1))</f>
        <v>3027246200</v>
      </c>
      <c r="P609" s="27">
        <f>P29*IF($E609="weekday",INDEX('Category Mapping'!$F$28:$F$39,MATCH('Summarized Source Data'!$A609,'Category Mapping'!$A$28:$A$39,0),1),INDEX('Category Mapping'!$E$28:$E$39,MATCH($A609,'Category Mapping'!$A$28:$A$39,0),1))</f>
        <v>3027246200</v>
      </c>
      <c r="Q609" s="27">
        <f>Q29*IF($E609="weekday",INDEX('Category Mapping'!$F$28:$F$39,MATCH('Summarized Source Data'!$A609,'Category Mapping'!$A$28:$A$39,0),1),INDEX('Category Mapping'!$E$28:$E$39,MATCH($A609,'Category Mapping'!$A$28:$A$39,0),1))</f>
        <v>3027246200</v>
      </c>
      <c r="R609" s="27">
        <f>R29*IF($E609="weekday",INDEX('Category Mapping'!$F$28:$F$39,MATCH('Summarized Source Data'!$A609,'Category Mapping'!$A$28:$A$39,0),1),INDEX('Category Mapping'!$E$28:$E$39,MATCH($A609,'Category Mapping'!$A$28:$A$39,0),1))</f>
        <v>96914540</v>
      </c>
      <c r="S609" s="27">
        <f>S29*IF($E609="weekday",INDEX('Category Mapping'!$F$28:$F$39,MATCH('Summarized Source Data'!$A609,'Category Mapping'!$A$28:$A$39,0),1),INDEX('Category Mapping'!$E$28:$E$39,MATCH($A609,'Category Mapping'!$A$28:$A$39,0),1))</f>
        <v>96914540</v>
      </c>
      <c r="T609" s="27">
        <f>T29*IF($E609="weekday",INDEX('Category Mapping'!$F$28:$F$39,MATCH('Summarized Source Data'!$A609,'Category Mapping'!$A$28:$A$39,0),1),INDEX('Category Mapping'!$E$28:$E$39,MATCH($A609,'Category Mapping'!$A$28:$A$39,0),1))</f>
        <v>96914540</v>
      </c>
      <c r="U609" s="27">
        <f>U29*IF($E609="weekday",INDEX('Category Mapping'!$F$28:$F$39,MATCH('Summarized Source Data'!$A609,'Category Mapping'!$A$28:$A$39,0),1),INDEX('Category Mapping'!$E$28:$E$39,MATCH($A609,'Category Mapping'!$A$28:$A$39,0),1))</f>
        <v>96914540</v>
      </c>
      <c r="V609" s="27">
        <f>V29*IF($E609="weekday",INDEX('Category Mapping'!$F$28:$F$39,MATCH('Summarized Source Data'!$A609,'Category Mapping'!$A$28:$A$39,0),1),INDEX('Category Mapping'!$E$28:$E$39,MATCH($A609,'Category Mapping'!$A$28:$A$39,0),1))</f>
        <v>96914540</v>
      </c>
      <c r="W609" s="27">
        <f>W29*IF($E609="weekday",INDEX('Category Mapping'!$F$28:$F$39,MATCH('Summarized Source Data'!$A609,'Category Mapping'!$A$28:$A$39,0),1),INDEX('Category Mapping'!$E$28:$E$39,MATCH($A609,'Category Mapping'!$A$28:$A$39,0),1))</f>
        <v>96914540</v>
      </c>
      <c r="X609" s="27">
        <f>X29*IF($E609="weekday",INDEX('Category Mapping'!$F$28:$F$39,MATCH('Summarized Source Data'!$A609,'Category Mapping'!$A$28:$A$39,0),1),INDEX('Category Mapping'!$E$28:$E$39,MATCH($A609,'Category Mapping'!$A$28:$A$39,0),1))</f>
        <v>13240000000</v>
      </c>
      <c r="Y609" s="27">
        <f>Y29*IF($E609="weekday",INDEX('Category Mapping'!$F$28:$F$39,MATCH('Summarized Source Data'!$A609,'Category Mapping'!$A$28:$A$39,0),1),INDEX('Category Mapping'!$E$28:$E$39,MATCH($A609,'Category Mapping'!$A$28:$A$39,0),1))</f>
        <v>13240000000</v>
      </c>
      <c r="Z609" s="27">
        <f>Z29*IF($E609="weekday",INDEX('Category Mapping'!$F$28:$F$39,MATCH('Summarized Source Data'!$A609,'Category Mapping'!$A$28:$A$39,0),1),INDEX('Category Mapping'!$E$28:$E$39,MATCH($A609,'Category Mapping'!$A$28:$A$39,0),1))</f>
        <v>13240000000</v>
      </c>
    </row>
    <row r="610" spans="1:26" x14ac:dyDescent="0.3">
      <c r="A610">
        <f t="shared" ref="A610:E610" si="75">A30</f>
        <v>2</v>
      </c>
      <c r="B610" t="str">
        <f t="shared" si="75"/>
        <v>Winter</v>
      </c>
      <c r="C610" t="str">
        <f t="shared" si="75"/>
        <v>h3</v>
      </c>
      <c r="D610" t="str">
        <f t="shared" si="75"/>
        <v>Hour2</v>
      </c>
      <c r="E610" t="str">
        <f t="shared" si="75"/>
        <v>Weekday</v>
      </c>
      <c r="F610" s="27">
        <f>F30*IF($E610="weekday",INDEX('Category Mapping'!$F$28:$F$39,MATCH('Summarized Source Data'!$A610,'Category Mapping'!$A$28:$A$39,0),1),INDEX('Category Mapping'!$E$28:$E$39,MATCH($A610,'Category Mapping'!$A$28:$A$39,0),1))</f>
        <v>344000000</v>
      </c>
      <c r="G610" s="27">
        <f>G30*IF($E610="weekday",INDEX('Category Mapping'!$F$28:$F$39,MATCH('Summarized Source Data'!$A610,'Category Mapping'!$A$28:$A$39,0),1),INDEX('Category Mapping'!$E$28:$E$39,MATCH($A610,'Category Mapping'!$A$28:$A$39,0),1))</f>
        <v>304700</v>
      </c>
      <c r="H610" s="27">
        <f>H30*IF($E610="weekday",INDEX('Category Mapping'!$F$28:$F$39,MATCH('Summarized Source Data'!$A610,'Category Mapping'!$A$28:$A$39,0),1),INDEX('Category Mapping'!$E$28:$E$39,MATCH($A610,'Category Mapping'!$A$28:$A$39,0),1))</f>
        <v>0</v>
      </c>
      <c r="I610" s="27">
        <f>I30*IF($E610="weekday",INDEX('Category Mapping'!$F$28:$F$39,MATCH('Summarized Source Data'!$A610,'Category Mapping'!$A$28:$A$39,0),1),INDEX('Category Mapping'!$E$28:$E$39,MATCH($A610,'Category Mapping'!$A$28:$A$39,0),1))</f>
        <v>208000000</v>
      </c>
      <c r="J610" s="27">
        <f>J30*IF($E610="weekday",INDEX('Category Mapping'!$F$28:$F$39,MATCH('Summarized Source Data'!$A610,'Category Mapping'!$A$28:$A$39,0),1),INDEX('Category Mapping'!$E$28:$E$39,MATCH($A610,'Category Mapping'!$A$28:$A$39,0),1))</f>
        <v>865695300</v>
      </c>
      <c r="K610" s="27">
        <f>K30*IF($E610="weekday",INDEX('Category Mapping'!$F$28:$F$39,MATCH('Summarized Source Data'!$A610,'Category Mapping'!$A$28:$A$39,0),1),INDEX('Category Mapping'!$E$28:$E$39,MATCH($A610,'Category Mapping'!$A$28:$A$39,0),1))</f>
        <v>865695300</v>
      </c>
      <c r="L610" s="27">
        <f>L30*IF($E610="weekday",INDEX('Category Mapping'!$F$28:$F$39,MATCH('Summarized Source Data'!$A610,'Category Mapping'!$A$28:$A$39,0),1),INDEX('Category Mapping'!$E$28:$E$39,MATCH($A610,'Category Mapping'!$A$28:$A$39,0),1))</f>
        <v>568000000</v>
      </c>
      <c r="M610" s="27">
        <f>M30*IF($E610="weekday",INDEX('Category Mapping'!$F$28:$F$39,MATCH('Summarized Source Data'!$A610,'Category Mapping'!$A$28:$A$39,0),1),INDEX('Category Mapping'!$E$28:$E$39,MATCH($A610,'Category Mapping'!$A$28:$A$39,0),1))</f>
        <v>734760</v>
      </c>
      <c r="N610" s="27">
        <f>N30*IF($E610="weekday",INDEX('Category Mapping'!$F$28:$F$39,MATCH('Summarized Source Data'!$A610,'Category Mapping'!$A$28:$A$39,0),1),INDEX('Category Mapping'!$E$28:$E$39,MATCH($A610,'Category Mapping'!$A$28:$A$39,0),1))</f>
        <v>0</v>
      </c>
      <c r="O610" s="27">
        <f>O30*IF($E610="weekday",INDEX('Category Mapping'!$F$28:$F$39,MATCH('Summarized Source Data'!$A610,'Category Mapping'!$A$28:$A$39,0),1),INDEX('Category Mapping'!$E$28:$E$39,MATCH($A610,'Category Mapping'!$A$28:$A$39,0),1))</f>
        <v>3011265240</v>
      </c>
      <c r="P610" s="27">
        <f>P30*IF($E610="weekday",INDEX('Category Mapping'!$F$28:$F$39,MATCH('Summarized Source Data'!$A610,'Category Mapping'!$A$28:$A$39,0),1),INDEX('Category Mapping'!$E$28:$E$39,MATCH($A610,'Category Mapping'!$A$28:$A$39,0),1))</f>
        <v>3011265240</v>
      </c>
      <c r="Q610" s="27">
        <f>Q30*IF($E610="weekday",INDEX('Category Mapping'!$F$28:$F$39,MATCH('Summarized Source Data'!$A610,'Category Mapping'!$A$28:$A$39,0),1),INDEX('Category Mapping'!$E$28:$E$39,MATCH($A610,'Category Mapping'!$A$28:$A$39,0),1))</f>
        <v>3011265240</v>
      </c>
      <c r="R610" s="27">
        <f>R30*IF($E610="weekday",INDEX('Category Mapping'!$F$28:$F$39,MATCH('Summarized Source Data'!$A610,'Category Mapping'!$A$28:$A$39,0),1),INDEX('Category Mapping'!$E$28:$E$39,MATCH($A610,'Category Mapping'!$A$28:$A$39,0),1))</f>
        <v>96566180</v>
      </c>
      <c r="S610" s="27">
        <f>S30*IF($E610="weekday",INDEX('Category Mapping'!$F$28:$F$39,MATCH('Summarized Source Data'!$A610,'Category Mapping'!$A$28:$A$39,0),1),INDEX('Category Mapping'!$E$28:$E$39,MATCH($A610,'Category Mapping'!$A$28:$A$39,0),1))</f>
        <v>96566180</v>
      </c>
      <c r="T610" s="27">
        <f>T30*IF($E610="weekday",INDEX('Category Mapping'!$F$28:$F$39,MATCH('Summarized Source Data'!$A610,'Category Mapping'!$A$28:$A$39,0),1),INDEX('Category Mapping'!$E$28:$E$39,MATCH($A610,'Category Mapping'!$A$28:$A$39,0),1))</f>
        <v>96566180</v>
      </c>
      <c r="U610" s="27">
        <f>U30*IF($E610="weekday",INDEX('Category Mapping'!$F$28:$F$39,MATCH('Summarized Source Data'!$A610,'Category Mapping'!$A$28:$A$39,0),1),INDEX('Category Mapping'!$E$28:$E$39,MATCH($A610,'Category Mapping'!$A$28:$A$39,0),1))</f>
        <v>96566180</v>
      </c>
      <c r="V610" s="27">
        <f>V30*IF($E610="weekday",INDEX('Category Mapping'!$F$28:$F$39,MATCH('Summarized Source Data'!$A610,'Category Mapping'!$A$28:$A$39,0),1),INDEX('Category Mapping'!$E$28:$E$39,MATCH($A610,'Category Mapping'!$A$28:$A$39,0),1))</f>
        <v>96566180</v>
      </c>
      <c r="W610" s="27">
        <f>W30*IF($E610="weekday",INDEX('Category Mapping'!$F$28:$F$39,MATCH('Summarized Source Data'!$A610,'Category Mapping'!$A$28:$A$39,0),1),INDEX('Category Mapping'!$E$28:$E$39,MATCH($A610,'Category Mapping'!$A$28:$A$39,0),1))</f>
        <v>96566180</v>
      </c>
      <c r="X610" s="27">
        <f>X30*IF($E610="weekday",INDEX('Category Mapping'!$F$28:$F$39,MATCH('Summarized Source Data'!$A610,'Category Mapping'!$A$28:$A$39,0),1),INDEX('Category Mapping'!$E$28:$E$39,MATCH($A610,'Category Mapping'!$A$28:$A$39,0),1))</f>
        <v>13240000000</v>
      </c>
      <c r="Y610" s="27">
        <f>Y30*IF($E610="weekday",INDEX('Category Mapping'!$F$28:$F$39,MATCH('Summarized Source Data'!$A610,'Category Mapping'!$A$28:$A$39,0),1),INDEX('Category Mapping'!$E$28:$E$39,MATCH($A610,'Category Mapping'!$A$28:$A$39,0),1))</f>
        <v>13240000000</v>
      </c>
      <c r="Z610" s="27">
        <f>Z30*IF($E610="weekday",INDEX('Category Mapping'!$F$28:$F$39,MATCH('Summarized Source Data'!$A610,'Category Mapping'!$A$28:$A$39,0),1),INDEX('Category Mapping'!$E$28:$E$39,MATCH($A610,'Category Mapping'!$A$28:$A$39,0),1))</f>
        <v>13240000000</v>
      </c>
    </row>
    <row r="611" spans="1:26" x14ac:dyDescent="0.3">
      <c r="A611">
        <f t="shared" ref="A611:E611" si="76">A31</f>
        <v>2</v>
      </c>
      <c r="B611" t="str">
        <f t="shared" si="76"/>
        <v>Winter</v>
      </c>
      <c r="C611" t="str">
        <f t="shared" si="76"/>
        <v>h4</v>
      </c>
      <c r="D611" t="str">
        <f t="shared" si="76"/>
        <v>Hour3</v>
      </c>
      <c r="E611" t="str">
        <f t="shared" si="76"/>
        <v>Weekday</v>
      </c>
      <c r="F611" s="27">
        <f>F31*IF($E611="weekday",INDEX('Category Mapping'!$F$28:$F$39,MATCH('Summarized Source Data'!$A611,'Category Mapping'!$A$28:$A$39,0),1),INDEX('Category Mapping'!$E$28:$E$39,MATCH($A611,'Category Mapping'!$A$28:$A$39,0),1))</f>
        <v>342000000</v>
      </c>
      <c r="G611" s="27">
        <f>G31*IF($E611="weekday",INDEX('Category Mapping'!$F$28:$F$39,MATCH('Summarized Source Data'!$A611,'Category Mapping'!$A$28:$A$39,0),1),INDEX('Category Mapping'!$E$28:$E$39,MATCH($A611,'Category Mapping'!$A$28:$A$39,0),1))</f>
        <v>304880</v>
      </c>
      <c r="H611" s="27">
        <f>H31*IF($E611="weekday",INDEX('Category Mapping'!$F$28:$F$39,MATCH('Summarized Source Data'!$A611,'Category Mapping'!$A$28:$A$39,0),1),INDEX('Category Mapping'!$E$28:$E$39,MATCH($A611,'Category Mapping'!$A$28:$A$39,0),1))</f>
        <v>0</v>
      </c>
      <c r="I611" s="27">
        <f>I31*IF($E611="weekday",INDEX('Category Mapping'!$F$28:$F$39,MATCH('Summarized Source Data'!$A611,'Category Mapping'!$A$28:$A$39,0),1),INDEX('Category Mapping'!$E$28:$E$39,MATCH($A611,'Category Mapping'!$A$28:$A$39,0),1))</f>
        <v>212000000</v>
      </c>
      <c r="J611" s="27">
        <f>J31*IF($E611="weekday",INDEX('Category Mapping'!$F$28:$F$39,MATCH('Summarized Source Data'!$A611,'Category Mapping'!$A$28:$A$39,0),1),INDEX('Category Mapping'!$E$28:$E$39,MATCH($A611,'Category Mapping'!$A$28:$A$39,0),1))</f>
        <v>751695120</v>
      </c>
      <c r="K611" s="27">
        <f>K31*IF($E611="weekday",INDEX('Category Mapping'!$F$28:$F$39,MATCH('Summarized Source Data'!$A611,'Category Mapping'!$A$28:$A$39,0),1),INDEX('Category Mapping'!$E$28:$E$39,MATCH($A611,'Category Mapping'!$A$28:$A$39,0),1))</f>
        <v>751695120</v>
      </c>
      <c r="L611" s="27">
        <f>L31*IF($E611="weekday",INDEX('Category Mapping'!$F$28:$F$39,MATCH('Summarized Source Data'!$A611,'Category Mapping'!$A$28:$A$39,0),1),INDEX('Category Mapping'!$E$28:$E$39,MATCH($A611,'Category Mapping'!$A$28:$A$39,0),1))</f>
        <v>588000000</v>
      </c>
      <c r="M611" s="27">
        <f>M31*IF($E611="weekday",INDEX('Category Mapping'!$F$28:$F$39,MATCH('Summarized Source Data'!$A611,'Category Mapping'!$A$28:$A$39,0),1),INDEX('Category Mapping'!$E$28:$E$39,MATCH($A611,'Category Mapping'!$A$28:$A$39,0),1))</f>
        <v>724020</v>
      </c>
      <c r="N611" s="27">
        <f>N31*IF($E611="weekday",INDEX('Category Mapping'!$F$28:$F$39,MATCH('Summarized Source Data'!$A611,'Category Mapping'!$A$28:$A$39,0),1),INDEX('Category Mapping'!$E$28:$E$39,MATCH($A611,'Category Mapping'!$A$28:$A$39,0),1))</f>
        <v>0</v>
      </c>
      <c r="O611" s="27">
        <f>O31*IF($E611="weekday",INDEX('Category Mapping'!$F$28:$F$39,MATCH('Summarized Source Data'!$A611,'Category Mapping'!$A$28:$A$39,0),1),INDEX('Category Mapping'!$E$28:$E$39,MATCH($A611,'Category Mapping'!$A$28:$A$39,0),1))</f>
        <v>3131275980</v>
      </c>
      <c r="P611" s="27">
        <f>P31*IF($E611="weekday",INDEX('Category Mapping'!$F$28:$F$39,MATCH('Summarized Source Data'!$A611,'Category Mapping'!$A$28:$A$39,0),1),INDEX('Category Mapping'!$E$28:$E$39,MATCH($A611,'Category Mapping'!$A$28:$A$39,0),1))</f>
        <v>3131275980</v>
      </c>
      <c r="Q611" s="27">
        <f>Q31*IF($E611="weekday",INDEX('Category Mapping'!$F$28:$F$39,MATCH('Summarized Source Data'!$A611,'Category Mapping'!$A$28:$A$39,0),1),INDEX('Category Mapping'!$E$28:$E$39,MATCH($A611,'Category Mapping'!$A$28:$A$39,0),1))</f>
        <v>3131275980</v>
      </c>
      <c r="R611" s="27">
        <f>R31*IF($E611="weekday",INDEX('Category Mapping'!$F$28:$F$39,MATCH('Summarized Source Data'!$A611,'Category Mapping'!$A$28:$A$39,0),1),INDEX('Category Mapping'!$E$28:$E$39,MATCH($A611,'Category Mapping'!$A$28:$A$39,0),1))</f>
        <v>96886900</v>
      </c>
      <c r="S611" s="27">
        <f>S31*IF($E611="weekday",INDEX('Category Mapping'!$F$28:$F$39,MATCH('Summarized Source Data'!$A611,'Category Mapping'!$A$28:$A$39,0),1),INDEX('Category Mapping'!$E$28:$E$39,MATCH($A611,'Category Mapping'!$A$28:$A$39,0),1))</f>
        <v>96886900</v>
      </c>
      <c r="T611" s="27">
        <f>T31*IF($E611="weekday",INDEX('Category Mapping'!$F$28:$F$39,MATCH('Summarized Source Data'!$A611,'Category Mapping'!$A$28:$A$39,0),1),INDEX('Category Mapping'!$E$28:$E$39,MATCH($A611,'Category Mapping'!$A$28:$A$39,0),1))</f>
        <v>96886900</v>
      </c>
      <c r="U611" s="27">
        <f>U31*IF($E611="weekday",INDEX('Category Mapping'!$F$28:$F$39,MATCH('Summarized Source Data'!$A611,'Category Mapping'!$A$28:$A$39,0),1),INDEX('Category Mapping'!$E$28:$E$39,MATCH($A611,'Category Mapping'!$A$28:$A$39,0),1))</f>
        <v>96886900</v>
      </c>
      <c r="V611" s="27">
        <f>V31*IF($E611="weekday",INDEX('Category Mapping'!$F$28:$F$39,MATCH('Summarized Source Data'!$A611,'Category Mapping'!$A$28:$A$39,0),1),INDEX('Category Mapping'!$E$28:$E$39,MATCH($A611,'Category Mapping'!$A$28:$A$39,0),1))</f>
        <v>96886900</v>
      </c>
      <c r="W611" s="27">
        <f>W31*IF($E611="weekday",INDEX('Category Mapping'!$F$28:$F$39,MATCH('Summarized Source Data'!$A611,'Category Mapping'!$A$28:$A$39,0),1),INDEX('Category Mapping'!$E$28:$E$39,MATCH($A611,'Category Mapping'!$A$28:$A$39,0),1))</f>
        <v>96886900</v>
      </c>
      <c r="X611" s="27">
        <f>X31*IF($E611="weekday",INDEX('Category Mapping'!$F$28:$F$39,MATCH('Summarized Source Data'!$A611,'Category Mapping'!$A$28:$A$39,0),1),INDEX('Category Mapping'!$E$28:$E$39,MATCH($A611,'Category Mapping'!$A$28:$A$39,0),1))</f>
        <v>13240000000</v>
      </c>
      <c r="Y611" s="27">
        <f>Y31*IF($E611="weekday",INDEX('Category Mapping'!$F$28:$F$39,MATCH('Summarized Source Data'!$A611,'Category Mapping'!$A$28:$A$39,0),1),INDEX('Category Mapping'!$E$28:$E$39,MATCH($A611,'Category Mapping'!$A$28:$A$39,0),1))</f>
        <v>13240000000</v>
      </c>
      <c r="Z611" s="27">
        <f>Z31*IF($E611="weekday",INDEX('Category Mapping'!$F$28:$F$39,MATCH('Summarized Source Data'!$A611,'Category Mapping'!$A$28:$A$39,0),1),INDEX('Category Mapping'!$E$28:$E$39,MATCH($A611,'Category Mapping'!$A$28:$A$39,0),1))</f>
        <v>13240000000</v>
      </c>
    </row>
    <row r="612" spans="1:26" x14ac:dyDescent="0.3">
      <c r="A612">
        <f t="shared" ref="A612:E612" si="77">A32</f>
        <v>2</v>
      </c>
      <c r="B612" t="str">
        <f t="shared" si="77"/>
        <v>Winter</v>
      </c>
      <c r="C612" t="str">
        <f t="shared" si="77"/>
        <v>h5</v>
      </c>
      <c r="D612" t="str">
        <f t="shared" si="77"/>
        <v>Hour4</v>
      </c>
      <c r="E612" t="str">
        <f t="shared" si="77"/>
        <v>Weekday</v>
      </c>
      <c r="F612" s="27">
        <f>F32*IF($E612="weekday",INDEX('Category Mapping'!$F$28:$F$39,MATCH('Summarized Source Data'!$A612,'Category Mapping'!$A$28:$A$39,0),1),INDEX('Category Mapping'!$E$28:$E$39,MATCH($A612,'Category Mapping'!$A$28:$A$39,0),1))</f>
        <v>334000000</v>
      </c>
      <c r="G612" s="27">
        <f>G32*IF($E612="weekday",INDEX('Category Mapping'!$F$28:$F$39,MATCH('Summarized Source Data'!$A612,'Category Mapping'!$A$28:$A$39,0),1),INDEX('Category Mapping'!$E$28:$E$39,MATCH($A612,'Category Mapping'!$A$28:$A$39,0),1))</f>
        <v>297160</v>
      </c>
      <c r="H612" s="27">
        <f>H32*IF($E612="weekday",INDEX('Category Mapping'!$F$28:$F$39,MATCH('Summarized Source Data'!$A612,'Category Mapping'!$A$28:$A$39,0),1),INDEX('Category Mapping'!$E$28:$E$39,MATCH($A612,'Category Mapping'!$A$28:$A$39,0),1))</f>
        <v>0</v>
      </c>
      <c r="I612" s="27">
        <f>I32*IF($E612="weekday",INDEX('Category Mapping'!$F$28:$F$39,MATCH('Summarized Source Data'!$A612,'Category Mapping'!$A$28:$A$39,0),1),INDEX('Category Mapping'!$E$28:$E$39,MATCH($A612,'Category Mapping'!$A$28:$A$39,0),1))</f>
        <v>274000000</v>
      </c>
      <c r="J612" s="27">
        <f>J32*IF($E612="weekday",INDEX('Category Mapping'!$F$28:$F$39,MATCH('Summarized Source Data'!$A612,'Category Mapping'!$A$28:$A$39,0),1),INDEX('Category Mapping'!$E$28:$E$39,MATCH($A612,'Category Mapping'!$A$28:$A$39,0),1))</f>
        <v>795702840</v>
      </c>
      <c r="K612" s="27">
        <f>K32*IF($E612="weekday",INDEX('Category Mapping'!$F$28:$F$39,MATCH('Summarized Source Data'!$A612,'Category Mapping'!$A$28:$A$39,0),1),INDEX('Category Mapping'!$E$28:$E$39,MATCH($A612,'Category Mapping'!$A$28:$A$39,0),1))</f>
        <v>795702840</v>
      </c>
      <c r="L612" s="27">
        <f>L32*IF($E612="weekday",INDEX('Category Mapping'!$F$28:$F$39,MATCH('Summarized Source Data'!$A612,'Category Mapping'!$A$28:$A$39,0),1),INDEX('Category Mapping'!$E$28:$E$39,MATCH($A612,'Category Mapping'!$A$28:$A$39,0),1))</f>
        <v>624000000</v>
      </c>
      <c r="M612" s="27">
        <f>M32*IF($E612="weekday",INDEX('Category Mapping'!$F$28:$F$39,MATCH('Summarized Source Data'!$A612,'Category Mapping'!$A$28:$A$39,0),1),INDEX('Category Mapping'!$E$28:$E$39,MATCH($A612,'Category Mapping'!$A$28:$A$39,0),1))</f>
        <v>721700</v>
      </c>
      <c r="N612" s="27">
        <f>N32*IF($E612="weekday",INDEX('Category Mapping'!$F$28:$F$39,MATCH('Summarized Source Data'!$A612,'Category Mapping'!$A$28:$A$39,0),1),INDEX('Category Mapping'!$E$28:$E$39,MATCH($A612,'Category Mapping'!$A$28:$A$39,0),1))</f>
        <v>0</v>
      </c>
      <c r="O612" s="27">
        <f>O32*IF($E612="weekday",INDEX('Category Mapping'!$F$28:$F$39,MATCH('Summarized Source Data'!$A612,'Category Mapping'!$A$28:$A$39,0),1),INDEX('Category Mapping'!$E$28:$E$39,MATCH($A612,'Category Mapping'!$A$28:$A$39,0),1))</f>
        <v>3335278300</v>
      </c>
      <c r="P612" s="27">
        <f>P32*IF($E612="weekday",INDEX('Category Mapping'!$F$28:$F$39,MATCH('Summarized Source Data'!$A612,'Category Mapping'!$A$28:$A$39,0),1),INDEX('Category Mapping'!$E$28:$E$39,MATCH($A612,'Category Mapping'!$A$28:$A$39,0),1))</f>
        <v>3335278300</v>
      </c>
      <c r="Q612" s="27">
        <f>Q32*IF($E612="weekday",INDEX('Category Mapping'!$F$28:$F$39,MATCH('Summarized Source Data'!$A612,'Category Mapping'!$A$28:$A$39,0),1),INDEX('Category Mapping'!$E$28:$E$39,MATCH($A612,'Category Mapping'!$A$28:$A$39,0),1))</f>
        <v>3335278300</v>
      </c>
      <c r="R612" s="27">
        <f>R32*IF($E612="weekday",INDEX('Category Mapping'!$F$28:$F$39,MATCH('Summarized Source Data'!$A612,'Category Mapping'!$A$28:$A$39,0),1),INDEX('Category Mapping'!$E$28:$E$39,MATCH($A612,'Category Mapping'!$A$28:$A$39,0),1))</f>
        <v>96537440</v>
      </c>
      <c r="S612" s="27">
        <f>S32*IF($E612="weekday",INDEX('Category Mapping'!$F$28:$F$39,MATCH('Summarized Source Data'!$A612,'Category Mapping'!$A$28:$A$39,0),1),INDEX('Category Mapping'!$E$28:$E$39,MATCH($A612,'Category Mapping'!$A$28:$A$39,0),1))</f>
        <v>96537440</v>
      </c>
      <c r="T612" s="27">
        <f>T32*IF($E612="weekday",INDEX('Category Mapping'!$F$28:$F$39,MATCH('Summarized Source Data'!$A612,'Category Mapping'!$A$28:$A$39,0),1),INDEX('Category Mapping'!$E$28:$E$39,MATCH($A612,'Category Mapping'!$A$28:$A$39,0),1))</f>
        <v>96537440</v>
      </c>
      <c r="U612" s="27">
        <f>U32*IF($E612="weekday",INDEX('Category Mapping'!$F$28:$F$39,MATCH('Summarized Source Data'!$A612,'Category Mapping'!$A$28:$A$39,0),1),INDEX('Category Mapping'!$E$28:$E$39,MATCH($A612,'Category Mapping'!$A$28:$A$39,0),1))</f>
        <v>96537440</v>
      </c>
      <c r="V612" s="27">
        <f>V32*IF($E612="weekday",INDEX('Category Mapping'!$F$28:$F$39,MATCH('Summarized Source Data'!$A612,'Category Mapping'!$A$28:$A$39,0),1),INDEX('Category Mapping'!$E$28:$E$39,MATCH($A612,'Category Mapping'!$A$28:$A$39,0),1))</f>
        <v>96537440</v>
      </c>
      <c r="W612" s="27">
        <f>W32*IF($E612="weekday",INDEX('Category Mapping'!$F$28:$F$39,MATCH('Summarized Source Data'!$A612,'Category Mapping'!$A$28:$A$39,0),1),INDEX('Category Mapping'!$E$28:$E$39,MATCH($A612,'Category Mapping'!$A$28:$A$39,0),1))</f>
        <v>96537440</v>
      </c>
      <c r="X612" s="27">
        <f>X32*IF($E612="weekday",INDEX('Category Mapping'!$F$28:$F$39,MATCH('Summarized Source Data'!$A612,'Category Mapping'!$A$28:$A$39,0),1),INDEX('Category Mapping'!$E$28:$E$39,MATCH($A612,'Category Mapping'!$A$28:$A$39,0),1))</f>
        <v>13280000000</v>
      </c>
      <c r="Y612" s="27">
        <f>Y32*IF($E612="weekday",INDEX('Category Mapping'!$F$28:$F$39,MATCH('Summarized Source Data'!$A612,'Category Mapping'!$A$28:$A$39,0),1),INDEX('Category Mapping'!$E$28:$E$39,MATCH($A612,'Category Mapping'!$A$28:$A$39,0),1))</f>
        <v>13280000000</v>
      </c>
      <c r="Z612" s="27">
        <f>Z32*IF($E612="weekday",INDEX('Category Mapping'!$F$28:$F$39,MATCH('Summarized Source Data'!$A612,'Category Mapping'!$A$28:$A$39,0),1),INDEX('Category Mapping'!$E$28:$E$39,MATCH($A612,'Category Mapping'!$A$28:$A$39,0),1))</f>
        <v>13280000000</v>
      </c>
    </row>
    <row r="613" spans="1:26" x14ac:dyDescent="0.3">
      <c r="A613">
        <f t="shared" ref="A613:E613" si="78">A33</f>
        <v>2</v>
      </c>
      <c r="B613" t="str">
        <f t="shared" si="78"/>
        <v>Winter</v>
      </c>
      <c r="C613" t="str">
        <f t="shared" si="78"/>
        <v>h6</v>
      </c>
      <c r="D613" t="str">
        <f t="shared" si="78"/>
        <v>Hour5</v>
      </c>
      <c r="E613" t="str">
        <f t="shared" si="78"/>
        <v>Weekday</v>
      </c>
      <c r="F613" s="27">
        <f>F33*IF($E613="weekday",INDEX('Category Mapping'!$F$28:$F$39,MATCH('Summarized Source Data'!$A613,'Category Mapping'!$A$28:$A$39,0),1),INDEX('Category Mapping'!$E$28:$E$39,MATCH($A613,'Category Mapping'!$A$28:$A$39,0),1))</f>
        <v>412000000</v>
      </c>
      <c r="G613" s="27">
        <f>G33*IF($E613="weekday",INDEX('Category Mapping'!$F$28:$F$39,MATCH('Summarized Source Data'!$A613,'Category Mapping'!$A$28:$A$39,0),1),INDEX('Category Mapping'!$E$28:$E$39,MATCH($A613,'Category Mapping'!$A$28:$A$39,0),1))</f>
        <v>273240</v>
      </c>
      <c r="H613" s="27">
        <f>H33*IF($E613="weekday",INDEX('Category Mapping'!$F$28:$F$39,MATCH('Summarized Source Data'!$A613,'Category Mapping'!$A$28:$A$39,0),1),INDEX('Category Mapping'!$E$28:$E$39,MATCH($A613,'Category Mapping'!$A$28:$A$39,0),1))</f>
        <v>0</v>
      </c>
      <c r="I613" s="27">
        <f>I33*IF($E613="weekday",INDEX('Category Mapping'!$F$28:$F$39,MATCH('Summarized Source Data'!$A613,'Category Mapping'!$A$28:$A$39,0),1),INDEX('Category Mapping'!$E$28:$E$39,MATCH($A613,'Category Mapping'!$A$28:$A$39,0),1))</f>
        <v>470000000</v>
      </c>
      <c r="J613" s="27">
        <f>J33*IF($E613="weekday",INDEX('Category Mapping'!$F$28:$F$39,MATCH('Summarized Source Data'!$A613,'Category Mapping'!$A$28:$A$39,0),1),INDEX('Category Mapping'!$E$28:$E$39,MATCH($A613,'Category Mapping'!$A$28:$A$39,0),1))</f>
        <v>1107726760</v>
      </c>
      <c r="K613" s="27">
        <f>K33*IF($E613="weekday",INDEX('Category Mapping'!$F$28:$F$39,MATCH('Summarized Source Data'!$A613,'Category Mapping'!$A$28:$A$39,0),1),INDEX('Category Mapping'!$E$28:$E$39,MATCH($A613,'Category Mapping'!$A$28:$A$39,0),1))</f>
        <v>1107726760</v>
      </c>
      <c r="L613" s="27">
        <f>L33*IF($E613="weekday",INDEX('Category Mapping'!$F$28:$F$39,MATCH('Summarized Source Data'!$A613,'Category Mapping'!$A$28:$A$39,0),1),INDEX('Category Mapping'!$E$28:$E$39,MATCH($A613,'Category Mapping'!$A$28:$A$39,0),1))</f>
        <v>630000000</v>
      </c>
      <c r="M613" s="27">
        <f>M33*IF($E613="weekday",INDEX('Category Mapping'!$F$28:$F$39,MATCH('Summarized Source Data'!$A613,'Category Mapping'!$A$28:$A$39,0),1),INDEX('Category Mapping'!$E$28:$E$39,MATCH($A613,'Category Mapping'!$A$28:$A$39,0),1))</f>
        <v>744260</v>
      </c>
      <c r="N613" s="27">
        <f>N33*IF($E613="weekday",INDEX('Category Mapping'!$F$28:$F$39,MATCH('Summarized Source Data'!$A613,'Category Mapping'!$A$28:$A$39,0),1),INDEX('Category Mapping'!$E$28:$E$39,MATCH($A613,'Category Mapping'!$A$28:$A$39,0),1))</f>
        <v>0</v>
      </c>
      <c r="O613" s="27">
        <f>O33*IF($E613="weekday",INDEX('Category Mapping'!$F$28:$F$39,MATCH('Summarized Source Data'!$A613,'Category Mapping'!$A$28:$A$39,0),1),INDEX('Category Mapping'!$E$28:$E$39,MATCH($A613,'Category Mapping'!$A$28:$A$39,0),1))</f>
        <v>3889255740</v>
      </c>
      <c r="P613" s="27">
        <f>P33*IF($E613="weekday",INDEX('Category Mapping'!$F$28:$F$39,MATCH('Summarized Source Data'!$A613,'Category Mapping'!$A$28:$A$39,0),1),INDEX('Category Mapping'!$E$28:$E$39,MATCH($A613,'Category Mapping'!$A$28:$A$39,0),1))</f>
        <v>3889255740</v>
      </c>
      <c r="Q613" s="27">
        <f>Q33*IF($E613="weekday",INDEX('Category Mapping'!$F$28:$F$39,MATCH('Summarized Source Data'!$A613,'Category Mapping'!$A$28:$A$39,0),1),INDEX('Category Mapping'!$E$28:$E$39,MATCH($A613,'Category Mapping'!$A$28:$A$39,0),1))</f>
        <v>3889255740</v>
      </c>
      <c r="R613" s="27">
        <f>R33*IF($E613="weekday",INDEX('Category Mapping'!$F$28:$F$39,MATCH('Summarized Source Data'!$A613,'Category Mapping'!$A$28:$A$39,0),1),INDEX('Category Mapping'!$E$28:$E$39,MATCH($A613,'Category Mapping'!$A$28:$A$39,0),1))</f>
        <v>99201580</v>
      </c>
      <c r="S613" s="27">
        <f>S33*IF($E613="weekday",INDEX('Category Mapping'!$F$28:$F$39,MATCH('Summarized Source Data'!$A613,'Category Mapping'!$A$28:$A$39,0),1),INDEX('Category Mapping'!$E$28:$E$39,MATCH($A613,'Category Mapping'!$A$28:$A$39,0),1))</f>
        <v>99201580</v>
      </c>
      <c r="T613" s="27">
        <f>T33*IF($E613="weekday",INDEX('Category Mapping'!$F$28:$F$39,MATCH('Summarized Source Data'!$A613,'Category Mapping'!$A$28:$A$39,0),1),INDEX('Category Mapping'!$E$28:$E$39,MATCH($A613,'Category Mapping'!$A$28:$A$39,0),1))</f>
        <v>99201580</v>
      </c>
      <c r="U613" s="27">
        <f>U33*IF($E613="weekday",INDEX('Category Mapping'!$F$28:$F$39,MATCH('Summarized Source Data'!$A613,'Category Mapping'!$A$28:$A$39,0),1),INDEX('Category Mapping'!$E$28:$E$39,MATCH($A613,'Category Mapping'!$A$28:$A$39,0),1))</f>
        <v>99201580</v>
      </c>
      <c r="V613" s="27">
        <f>V33*IF($E613="weekday",INDEX('Category Mapping'!$F$28:$F$39,MATCH('Summarized Source Data'!$A613,'Category Mapping'!$A$28:$A$39,0),1),INDEX('Category Mapping'!$E$28:$E$39,MATCH($A613,'Category Mapping'!$A$28:$A$39,0),1))</f>
        <v>99201580</v>
      </c>
      <c r="W613" s="27">
        <f>W33*IF($E613="weekday",INDEX('Category Mapping'!$F$28:$F$39,MATCH('Summarized Source Data'!$A613,'Category Mapping'!$A$28:$A$39,0),1),INDEX('Category Mapping'!$E$28:$E$39,MATCH($A613,'Category Mapping'!$A$28:$A$39,0),1))</f>
        <v>99201580</v>
      </c>
      <c r="X613" s="27">
        <f>X33*IF($E613="weekday",INDEX('Category Mapping'!$F$28:$F$39,MATCH('Summarized Source Data'!$A613,'Category Mapping'!$A$28:$A$39,0),1),INDEX('Category Mapping'!$E$28:$E$39,MATCH($A613,'Category Mapping'!$A$28:$A$39,0),1))</f>
        <v>13380000000</v>
      </c>
      <c r="Y613" s="27">
        <f>Y33*IF($E613="weekday",INDEX('Category Mapping'!$F$28:$F$39,MATCH('Summarized Source Data'!$A613,'Category Mapping'!$A$28:$A$39,0),1),INDEX('Category Mapping'!$E$28:$E$39,MATCH($A613,'Category Mapping'!$A$28:$A$39,0),1))</f>
        <v>13380000000</v>
      </c>
      <c r="Z613" s="27">
        <f>Z33*IF($E613="weekday",INDEX('Category Mapping'!$F$28:$F$39,MATCH('Summarized Source Data'!$A613,'Category Mapping'!$A$28:$A$39,0),1),INDEX('Category Mapping'!$E$28:$E$39,MATCH($A613,'Category Mapping'!$A$28:$A$39,0),1))</f>
        <v>13380000000</v>
      </c>
    </row>
    <row r="614" spans="1:26" x14ac:dyDescent="0.3">
      <c r="A614">
        <f t="shared" ref="A614:E614" si="79">A34</f>
        <v>2</v>
      </c>
      <c r="B614" t="str">
        <f t="shared" si="79"/>
        <v>Winter</v>
      </c>
      <c r="C614" t="str">
        <f t="shared" si="79"/>
        <v>h7</v>
      </c>
      <c r="D614" t="str">
        <f t="shared" si="79"/>
        <v>Hour6</v>
      </c>
      <c r="E614" t="str">
        <f t="shared" si="79"/>
        <v>Weekday</v>
      </c>
      <c r="F614" s="27">
        <f>F34*IF($E614="weekday",INDEX('Category Mapping'!$F$28:$F$39,MATCH('Summarized Source Data'!$A614,'Category Mapping'!$A$28:$A$39,0),1),INDEX('Category Mapping'!$E$28:$E$39,MATCH($A614,'Category Mapping'!$A$28:$A$39,0),1))</f>
        <v>434000000</v>
      </c>
      <c r="G614" s="27">
        <f>G34*IF($E614="weekday",INDEX('Category Mapping'!$F$28:$F$39,MATCH('Summarized Source Data'!$A614,'Category Mapping'!$A$28:$A$39,0),1),INDEX('Category Mapping'!$E$28:$E$39,MATCH($A614,'Category Mapping'!$A$28:$A$39,0),1))</f>
        <v>223220</v>
      </c>
      <c r="H614" s="27">
        <f>H34*IF($E614="weekday",INDEX('Category Mapping'!$F$28:$F$39,MATCH('Summarized Source Data'!$A614,'Category Mapping'!$A$28:$A$39,0),1),INDEX('Category Mapping'!$E$28:$E$39,MATCH($A614,'Category Mapping'!$A$28:$A$39,0),1))</f>
        <v>0</v>
      </c>
      <c r="I614" s="27">
        <f>I34*IF($E614="weekday",INDEX('Category Mapping'!$F$28:$F$39,MATCH('Summarized Source Data'!$A614,'Category Mapping'!$A$28:$A$39,0),1),INDEX('Category Mapping'!$E$28:$E$39,MATCH($A614,'Category Mapping'!$A$28:$A$39,0),1))</f>
        <v>686000000</v>
      </c>
      <c r="J614" s="27">
        <f>J34*IF($E614="weekday",INDEX('Category Mapping'!$F$28:$F$39,MATCH('Summarized Source Data'!$A614,'Category Mapping'!$A$28:$A$39,0),1),INDEX('Category Mapping'!$E$28:$E$39,MATCH($A614,'Category Mapping'!$A$28:$A$39,0),1))</f>
        <v>1759776780</v>
      </c>
      <c r="K614" s="27">
        <f>K34*IF($E614="weekday",INDEX('Category Mapping'!$F$28:$F$39,MATCH('Summarized Source Data'!$A614,'Category Mapping'!$A$28:$A$39,0),1),INDEX('Category Mapping'!$E$28:$E$39,MATCH($A614,'Category Mapping'!$A$28:$A$39,0),1))</f>
        <v>1759776780</v>
      </c>
      <c r="L614" s="27">
        <f>L34*IF($E614="weekday",INDEX('Category Mapping'!$F$28:$F$39,MATCH('Summarized Source Data'!$A614,'Category Mapping'!$A$28:$A$39,0),1),INDEX('Category Mapping'!$E$28:$E$39,MATCH($A614,'Category Mapping'!$A$28:$A$39,0),1))</f>
        <v>952000000</v>
      </c>
      <c r="M614" s="27">
        <f>M34*IF($E614="weekday",INDEX('Category Mapping'!$F$28:$F$39,MATCH('Summarized Source Data'!$A614,'Category Mapping'!$A$28:$A$39,0),1),INDEX('Category Mapping'!$E$28:$E$39,MATCH($A614,'Category Mapping'!$A$28:$A$39,0),1))</f>
        <v>824960</v>
      </c>
      <c r="N614" s="27">
        <f>N34*IF($E614="weekday",INDEX('Category Mapping'!$F$28:$F$39,MATCH('Summarized Source Data'!$A614,'Category Mapping'!$A$28:$A$39,0),1),INDEX('Category Mapping'!$E$28:$E$39,MATCH($A614,'Category Mapping'!$A$28:$A$39,0),1))</f>
        <v>0</v>
      </c>
      <c r="O614" s="27">
        <f>O34*IF($E614="weekday",INDEX('Category Mapping'!$F$28:$F$39,MATCH('Summarized Source Data'!$A614,'Category Mapping'!$A$28:$A$39,0),1),INDEX('Category Mapping'!$E$28:$E$39,MATCH($A614,'Category Mapping'!$A$28:$A$39,0),1))</f>
        <v>5867175040</v>
      </c>
      <c r="P614" s="27">
        <f>P34*IF($E614="weekday",INDEX('Category Mapping'!$F$28:$F$39,MATCH('Summarized Source Data'!$A614,'Category Mapping'!$A$28:$A$39,0),1),INDEX('Category Mapping'!$E$28:$E$39,MATCH($A614,'Category Mapping'!$A$28:$A$39,0),1))</f>
        <v>5867175040</v>
      </c>
      <c r="Q614" s="27">
        <f>Q34*IF($E614="weekday",INDEX('Category Mapping'!$F$28:$F$39,MATCH('Summarized Source Data'!$A614,'Category Mapping'!$A$28:$A$39,0),1),INDEX('Category Mapping'!$E$28:$E$39,MATCH($A614,'Category Mapping'!$A$28:$A$39,0),1))</f>
        <v>5867175040</v>
      </c>
      <c r="R614" s="27">
        <f>R34*IF($E614="weekday",INDEX('Category Mapping'!$F$28:$F$39,MATCH('Summarized Source Data'!$A614,'Category Mapping'!$A$28:$A$39,0),1),INDEX('Category Mapping'!$E$28:$E$39,MATCH($A614,'Category Mapping'!$A$28:$A$39,0),1))</f>
        <v>148779240</v>
      </c>
      <c r="S614" s="27">
        <f>S34*IF($E614="weekday",INDEX('Category Mapping'!$F$28:$F$39,MATCH('Summarized Source Data'!$A614,'Category Mapping'!$A$28:$A$39,0),1),INDEX('Category Mapping'!$E$28:$E$39,MATCH($A614,'Category Mapping'!$A$28:$A$39,0),1))</f>
        <v>148779240</v>
      </c>
      <c r="T614" s="27">
        <f>T34*IF($E614="weekday",INDEX('Category Mapping'!$F$28:$F$39,MATCH('Summarized Source Data'!$A614,'Category Mapping'!$A$28:$A$39,0),1),INDEX('Category Mapping'!$E$28:$E$39,MATCH($A614,'Category Mapping'!$A$28:$A$39,0),1))</f>
        <v>148779240</v>
      </c>
      <c r="U614" s="27">
        <f>U34*IF($E614="weekday",INDEX('Category Mapping'!$F$28:$F$39,MATCH('Summarized Source Data'!$A614,'Category Mapping'!$A$28:$A$39,0),1),INDEX('Category Mapping'!$E$28:$E$39,MATCH($A614,'Category Mapping'!$A$28:$A$39,0),1))</f>
        <v>148779240</v>
      </c>
      <c r="V614" s="27">
        <f>V34*IF($E614="weekday",INDEX('Category Mapping'!$F$28:$F$39,MATCH('Summarized Source Data'!$A614,'Category Mapping'!$A$28:$A$39,0),1),INDEX('Category Mapping'!$E$28:$E$39,MATCH($A614,'Category Mapping'!$A$28:$A$39,0),1))</f>
        <v>148779240</v>
      </c>
      <c r="W614" s="27">
        <f>W34*IF($E614="weekday",INDEX('Category Mapping'!$F$28:$F$39,MATCH('Summarized Source Data'!$A614,'Category Mapping'!$A$28:$A$39,0),1),INDEX('Category Mapping'!$E$28:$E$39,MATCH($A614,'Category Mapping'!$A$28:$A$39,0),1))</f>
        <v>148779240</v>
      </c>
      <c r="X614" s="27">
        <f>X34*IF($E614="weekday",INDEX('Category Mapping'!$F$28:$F$39,MATCH('Summarized Source Data'!$A614,'Category Mapping'!$A$28:$A$39,0),1),INDEX('Category Mapping'!$E$28:$E$39,MATCH($A614,'Category Mapping'!$A$28:$A$39,0),1))</f>
        <v>13540000000</v>
      </c>
      <c r="Y614" s="27">
        <f>Y34*IF($E614="weekday",INDEX('Category Mapping'!$F$28:$F$39,MATCH('Summarized Source Data'!$A614,'Category Mapping'!$A$28:$A$39,0),1),INDEX('Category Mapping'!$E$28:$E$39,MATCH($A614,'Category Mapping'!$A$28:$A$39,0),1))</f>
        <v>13540000000</v>
      </c>
      <c r="Z614" s="27">
        <f>Z34*IF($E614="weekday",INDEX('Category Mapping'!$F$28:$F$39,MATCH('Summarized Source Data'!$A614,'Category Mapping'!$A$28:$A$39,0),1),INDEX('Category Mapping'!$E$28:$E$39,MATCH($A614,'Category Mapping'!$A$28:$A$39,0),1))</f>
        <v>13540000000</v>
      </c>
    </row>
    <row r="615" spans="1:26" x14ac:dyDescent="0.3">
      <c r="A615">
        <f t="shared" ref="A615:E615" si="80">A35</f>
        <v>2</v>
      </c>
      <c r="B615" t="str">
        <f t="shared" si="80"/>
        <v>Winter</v>
      </c>
      <c r="C615" t="str">
        <f t="shared" si="80"/>
        <v>h8</v>
      </c>
      <c r="D615" t="str">
        <f t="shared" si="80"/>
        <v>Hour7</v>
      </c>
      <c r="E615" t="str">
        <f t="shared" si="80"/>
        <v>Weekday</v>
      </c>
      <c r="F615" s="27">
        <f>F35*IF($E615="weekday",INDEX('Category Mapping'!$F$28:$F$39,MATCH('Summarized Source Data'!$A615,'Category Mapping'!$A$28:$A$39,0),1),INDEX('Category Mapping'!$E$28:$E$39,MATCH($A615,'Category Mapping'!$A$28:$A$39,0),1))</f>
        <v>422000000</v>
      </c>
      <c r="G615" s="27">
        <f>G35*IF($E615="weekday",INDEX('Category Mapping'!$F$28:$F$39,MATCH('Summarized Source Data'!$A615,'Category Mapping'!$A$28:$A$39,0),1),INDEX('Category Mapping'!$E$28:$E$39,MATCH($A615,'Category Mapping'!$A$28:$A$39,0),1))</f>
        <v>167520</v>
      </c>
      <c r="H615" s="27">
        <f>H35*IF($E615="weekday",INDEX('Category Mapping'!$F$28:$F$39,MATCH('Summarized Source Data'!$A615,'Category Mapping'!$A$28:$A$39,0),1),INDEX('Category Mapping'!$E$28:$E$39,MATCH($A615,'Category Mapping'!$A$28:$A$39,0),1))</f>
        <v>0</v>
      </c>
      <c r="I615" s="27">
        <f>I35*IF($E615="weekday",INDEX('Category Mapping'!$F$28:$F$39,MATCH('Summarized Source Data'!$A615,'Category Mapping'!$A$28:$A$39,0),1),INDEX('Category Mapping'!$E$28:$E$39,MATCH($A615,'Category Mapping'!$A$28:$A$39,0),1))</f>
        <v>338000000</v>
      </c>
      <c r="J615" s="27">
        <f>J35*IF($E615="weekday",INDEX('Category Mapping'!$F$28:$F$39,MATCH('Summarized Source Data'!$A615,'Category Mapping'!$A$28:$A$39,0),1),INDEX('Category Mapping'!$E$28:$E$39,MATCH($A615,'Category Mapping'!$A$28:$A$39,0),1))</f>
        <v>2239832480</v>
      </c>
      <c r="K615" s="27">
        <f>K35*IF($E615="weekday",INDEX('Category Mapping'!$F$28:$F$39,MATCH('Summarized Source Data'!$A615,'Category Mapping'!$A$28:$A$39,0),1),INDEX('Category Mapping'!$E$28:$E$39,MATCH($A615,'Category Mapping'!$A$28:$A$39,0),1))</f>
        <v>2239832480</v>
      </c>
      <c r="L615" s="27">
        <f>L35*IF($E615="weekday",INDEX('Category Mapping'!$F$28:$F$39,MATCH('Summarized Source Data'!$A615,'Category Mapping'!$A$28:$A$39,0),1),INDEX('Category Mapping'!$E$28:$E$39,MATCH($A615,'Category Mapping'!$A$28:$A$39,0),1))</f>
        <v>2040000000</v>
      </c>
      <c r="M615" s="27">
        <f>M35*IF($E615="weekday",INDEX('Category Mapping'!$F$28:$F$39,MATCH('Summarized Source Data'!$A615,'Category Mapping'!$A$28:$A$39,0),1),INDEX('Category Mapping'!$E$28:$E$39,MATCH($A615,'Category Mapping'!$A$28:$A$39,0),1))</f>
        <v>984140</v>
      </c>
      <c r="N615" s="27">
        <f>N35*IF($E615="weekday",INDEX('Category Mapping'!$F$28:$F$39,MATCH('Summarized Source Data'!$A615,'Category Mapping'!$A$28:$A$39,0),1),INDEX('Category Mapping'!$E$28:$E$39,MATCH($A615,'Category Mapping'!$A$28:$A$39,0),1))</f>
        <v>0</v>
      </c>
      <c r="O615" s="27">
        <f>O35*IF($E615="weekday",INDEX('Category Mapping'!$F$28:$F$39,MATCH('Summarized Source Data'!$A615,'Category Mapping'!$A$28:$A$39,0),1),INDEX('Category Mapping'!$E$28:$E$39,MATCH($A615,'Category Mapping'!$A$28:$A$39,0),1))</f>
        <v>8059015860</v>
      </c>
      <c r="P615" s="27">
        <f>P35*IF($E615="weekday",INDEX('Category Mapping'!$F$28:$F$39,MATCH('Summarized Source Data'!$A615,'Category Mapping'!$A$28:$A$39,0),1),INDEX('Category Mapping'!$E$28:$E$39,MATCH($A615,'Category Mapping'!$A$28:$A$39,0),1))</f>
        <v>8059015860</v>
      </c>
      <c r="Q615" s="27">
        <f>Q35*IF($E615="weekday",INDEX('Category Mapping'!$F$28:$F$39,MATCH('Summarized Source Data'!$A615,'Category Mapping'!$A$28:$A$39,0),1),INDEX('Category Mapping'!$E$28:$E$39,MATCH($A615,'Category Mapping'!$A$28:$A$39,0),1))</f>
        <v>8059015860</v>
      </c>
      <c r="R615" s="27">
        <f>R35*IF($E615="weekday",INDEX('Category Mapping'!$F$28:$F$39,MATCH('Summarized Source Data'!$A615,'Category Mapping'!$A$28:$A$39,0),1),INDEX('Category Mapping'!$E$28:$E$39,MATCH($A615,'Category Mapping'!$A$28:$A$39,0),1))</f>
        <v>312000000</v>
      </c>
      <c r="S615" s="27">
        <f>S35*IF($E615="weekday",INDEX('Category Mapping'!$F$28:$F$39,MATCH('Summarized Source Data'!$A615,'Category Mapping'!$A$28:$A$39,0),1),INDEX('Category Mapping'!$E$28:$E$39,MATCH($A615,'Category Mapping'!$A$28:$A$39,0),1))</f>
        <v>312000000</v>
      </c>
      <c r="T615" s="27">
        <f>T35*IF($E615="weekday",INDEX('Category Mapping'!$F$28:$F$39,MATCH('Summarized Source Data'!$A615,'Category Mapping'!$A$28:$A$39,0),1),INDEX('Category Mapping'!$E$28:$E$39,MATCH($A615,'Category Mapping'!$A$28:$A$39,0),1))</f>
        <v>312000000</v>
      </c>
      <c r="U615" s="27">
        <f>U35*IF($E615="weekday",INDEX('Category Mapping'!$F$28:$F$39,MATCH('Summarized Source Data'!$A615,'Category Mapping'!$A$28:$A$39,0),1),INDEX('Category Mapping'!$E$28:$E$39,MATCH($A615,'Category Mapping'!$A$28:$A$39,0),1))</f>
        <v>312000000</v>
      </c>
      <c r="V615" s="27">
        <f>V35*IF($E615="weekday",INDEX('Category Mapping'!$F$28:$F$39,MATCH('Summarized Source Data'!$A615,'Category Mapping'!$A$28:$A$39,0),1),INDEX('Category Mapping'!$E$28:$E$39,MATCH($A615,'Category Mapping'!$A$28:$A$39,0),1))</f>
        <v>312000000</v>
      </c>
      <c r="W615" s="27">
        <f>W35*IF($E615="weekday",INDEX('Category Mapping'!$F$28:$F$39,MATCH('Summarized Source Data'!$A615,'Category Mapping'!$A$28:$A$39,0),1),INDEX('Category Mapping'!$E$28:$E$39,MATCH($A615,'Category Mapping'!$A$28:$A$39,0),1))</f>
        <v>312000000</v>
      </c>
      <c r="X615" s="27">
        <f>X35*IF($E615="weekday",INDEX('Category Mapping'!$F$28:$F$39,MATCH('Summarized Source Data'!$A615,'Category Mapping'!$A$28:$A$39,0),1),INDEX('Category Mapping'!$E$28:$E$39,MATCH($A615,'Category Mapping'!$A$28:$A$39,0),1))</f>
        <v>13660000000</v>
      </c>
      <c r="Y615" s="27">
        <f>Y35*IF($E615="weekday",INDEX('Category Mapping'!$F$28:$F$39,MATCH('Summarized Source Data'!$A615,'Category Mapping'!$A$28:$A$39,0),1),INDEX('Category Mapping'!$E$28:$E$39,MATCH($A615,'Category Mapping'!$A$28:$A$39,0),1))</f>
        <v>13660000000</v>
      </c>
      <c r="Z615" s="27">
        <f>Z35*IF($E615="weekday",INDEX('Category Mapping'!$F$28:$F$39,MATCH('Summarized Source Data'!$A615,'Category Mapping'!$A$28:$A$39,0),1),INDEX('Category Mapping'!$E$28:$E$39,MATCH($A615,'Category Mapping'!$A$28:$A$39,0),1))</f>
        <v>13660000000</v>
      </c>
    </row>
    <row r="616" spans="1:26" x14ac:dyDescent="0.3">
      <c r="A616">
        <f t="shared" ref="A616:E616" si="81">A36</f>
        <v>2</v>
      </c>
      <c r="B616" t="str">
        <f t="shared" si="81"/>
        <v>Winter</v>
      </c>
      <c r="C616" t="str">
        <f t="shared" si="81"/>
        <v>h9</v>
      </c>
      <c r="D616" t="str">
        <f t="shared" si="81"/>
        <v>Hour8</v>
      </c>
      <c r="E616" t="str">
        <f t="shared" si="81"/>
        <v>Weekday</v>
      </c>
      <c r="F616" s="27">
        <f>F36*IF($E616="weekday",INDEX('Category Mapping'!$F$28:$F$39,MATCH('Summarized Source Data'!$A616,'Category Mapping'!$A$28:$A$39,0),1),INDEX('Category Mapping'!$E$28:$E$39,MATCH($A616,'Category Mapping'!$A$28:$A$39,0),1))</f>
        <v>402000000</v>
      </c>
      <c r="G616" s="27">
        <f>G36*IF($E616="weekday",INDEX('Category Mapping'!$F$28:$F$39,MATCH('Summarized Source Data'!$A616,'Category Mapping'!$A$28:$A$39,0),1),INDEX('Category Mapping'!$E$28:$E$39,MATCH($A616,'Category Mapping'!$A$28:$A$39,0),1))</f>
        <v>135380</v>
      </c>
      <c r="H616" s="27">
        <f>H36*IF($E616="weekday",INDEX('Category Mapping'!$F$28:$F$39,MATCH('Summarized Source Data'!$A616,'Category Mapping'!$A$28:$A$39,0),1),INDEX('Category Mapping'!$E$28:$E$39,MATCH($A616,'Category Mapping'!$A$28:$A$39,0),1))</f>
        <v>0</v>
      </c>
      <c r="I616" s="27">
        <f>I36*IF($E616="weekday",INDEX('Category Mapping'!$F$28:$F$39,MATCH('Summarized Source Data'!$A616,'Category Mapping'!$A$28:$A$39,0),1),INDEX('Category Mapping'!$E$28:$E$39,MATCH($A616,'Category Mapping'!$A$28:$A$39,0),1))</f>
        <v>208000000</v>
      </c>
      <c r="J616" s="27">
        <f>J36*IF($E616="weekday",INDEX('Category Mapping'!$F$28:$F$39,MATCH('Summarized Source Data'!$A616,'Category Mapping'!$A$28:$A$39,0),1),INDEX('Category Mapping'!$E$28:$E$39,MATCH($A616,'Category Mapping'!$A$28:$A$39,0),1))</f>
        <v>2249864620</v>
      </c>
      <c r="K616" s="27">
        <f>K36*IF($E616="weekday",INDEX('Category Mapping'!$F$28:$F$39,MATCH('Summarized Source Data'!$A616,'Category Mapping'!$A$28:$A$39,0),1),INDEX('Category Mapping'!$E$28:$E$39,MATCH($A616,'Category Mapping'!$A$28:$A$39,0),1))</f>
        <v>2249864620</v>
      </c>
      <c r="L616" s="27">
        <f>L36*IF($E616="weekday",INDEX('Category Mapping'!$F$28:$F$39,MATCH('Summarized Source Data'!$A616,'Category Mapping'!$A$28:$A$39,0),1),INDEX('Category Mapping'!$E$28:$E$39,MATCH($A616,'Category Mapping'!$A$28:$A$39,0),1))</f>
        <v>2120000000</v>
      </c>
      <c r="M616" s="27">
        <f>M36*IF($E616="weekday",INDEX('Category Mapping'!$F$28:$F$39,MATCH('Summarized Source Data'!$A616,'Category Mapping'!$A$28:$A$39,0),1),INDEX('Category Mapping'!$E$28:$E$39,MATCH($A616,'Category Mapping'!$A$28:$A$39,0),1))</f>
        <v>1218140</v>
      </c>
      <c r="N616" s="27">
        <f>N36*IF($E616="weekday",INDEX('Category Mapping'!$F$28:$F$39,MATCH('Summarized Source Data'!$A616,'Category Mapping'!$A$28:$A$39,0),1),INDEX('Category Mapping'!$E$28:$E$39,MATCH($A616,'Category Mapping'!$A$28:$A$39,0),1))</f>
        <v>0</v>
      </c>
      <c r="O616" s="27">
        <f>O36*IF($E616="weekday",INDEX('Category Mapping'!$F$28:$F$39,MATCH('Summarized Source Data'!$A616,'Category Mapping'!$A$28:$A$39,0),1),INDEX('Category Mapping'!$E$28:$E$39,MATCH($A616,'Category Mapping'!$A$28:$A$39,0),1))</f>
        <v>9998781860</v>
      </c>
      <c r="P616" s="27">
        <f>P36*IF($E616="weekday",INDEX('Category Mapping'!$F$28:$F$39,MATCH('Summarized Source Data'!$A616,'Category Mapping'!$A$28:$A$39,0),1),INDEX('Category Mapping'!$E$28:$E$39,MATCH($A616,'Category Mapping'!$A$28:$A$39,0),1))</f>
        <v>9998781860</v>
      </c>
      <c r="Q616" s="27">
        <f>Q36*IF($E616="weekday",INDEX('Category Mapping'!$F$28:$F$39,MATCH('Summarized Source Data'!$A616,'Category Mapping'!$A$28:$A$39,0),1),INDEX('Category Mapping'!$E$28:$E$39,MATCH($A616,'Category Mapping'!$A$28:$A$39,0),1))</f>
        <v>9998781860</v>
      </c>
      <c r="R616" s="27">
        <f>R36*IF($E616="weekday",INDEX('Category Mapping'!$F$28:$F$39,MATCH('Summarized Source Data'!$A616,'Category Mapping'!$A$28:$A$39,0),1),INDEX('Category Mapping'!$E$28:$E$39,MATCH($A616,'Category Mapping'!$A$28:$A$39,0),1))</f>
        <v>340000000</v>
      </c>
      <c r="S616" s="27">
        <f>S36*IF($E616="weekday",INDEX('Category Mapping'!$F$28:$F$39,MATCH('Summarized Source Data'!$A616,'Category Mapping'!$A$28:$A$39,0),1),INDEX('Category Mapping'!$E$28:$E$39,MATCH($A616,'Category Mapping'!$A$28:$A$39,0),1))</f>
        <v>340000000</v>
      </c>
      <c r="T616" s="27">
        <f>T36*IF($E616="weekday",INDEX('Category Mapping'!$F$28:$F$39,MATCH('Summarized Source Data'!$A616,'Category Mapping'!$A$28:$A$39,0),1),INDEX('Category Mapping'!$E$28:$E$39,MATCH($A616,'Category Mapping'!$A$28:$A$39,0),1))</f>
        <v>340000000</v>
      </c>
      <c r="U616" s="27">
        <f>U36*IF($E616="weekday",INDEX('Category Mapping'!$F$28:$F$39,MATCH('Summarized Source Data'!$A616,'Category Mapping'!$A$28:$A$39,0),1),INDEX('Category Mapping'!$E$28:$E$39,MATCH($A616,'Category Mapping'!$A$28:$A$39,0),1))</f>
        <v>340000000</v>
      </c>
      <c r="V616" s="27">
        <f>V36*IF($E616="weekday",INDEX('Category Mapping'!$F$28:$F$39,MATCH('Summarized Source Data'!$A616,'Category Mapping'!$A$28:$A$39,0),1),INDEX('Category Mapping'!$E$28:$E$39,MATCH($A616,'Category Mapping'!$A$28:$A$39,0),1))</f>
        <v>340000000</v>
      </c>
      <c r="W616" s="27">
        <f>W36*IF($E616="weekday",INDEX('Category Mapping'!$F$28:$F$39,MATCH('Summarized Source Data'!$A616,'Category Mapping'!$A$28:$A$39,0),1),INDEX('Category Mapping'!$E$28:$E$39,MATCH($A616,'Category Mapping'!$A$28:$A$39,0),1))</f>
        <v>340000000</v>
      </c>
      <c r="X616" s="27">
        <f>X36*IF($E616="weekday",INDEX('Category Mapping'!$F$28:$F$39,MATCH('Summarized Source Data'!$A616,'Category Mapping'!$A$28:$A$39,0),1),INDEX('Category Mapping'!$E$28:$E$39,MATCH($A616,'Category Mapping'!$A$28:$A$39,0),1))</f>
        <v>13700000000</v>
      </c>
      <c r="Y616" s="27">
        <f>Y36*IF($E616="weekday",INDEX('Category Mapping'!$F$28:$F$39,MATCH('Summarized Source Data'!$A616,'Category Mapping'!$A$28:$A$39,0),1),INDEX('Category Mapping'!$E$28:$E$39,MATCH($A616,'Category Mapping'!$A$28:$A$39,0),1))</f>
        <v>13700000000</v>
      </c>
      <c r="Z616" s="27">
        <f>Z36*IF($E616="weekday",INDEX('Category Mapping'!$F$28:$F$39,MATCH('Summarized Source Data'!$A616,'Category Mapping'!$A$28:$A$39,0),1),INDEX('Category Mapping'!$E$28:$E$39,MATCH($A616,'Category Mapping'!$A$28:$A$39,0),1))</f>
        <v>13700000000</v>
      </c>
    </row>
    <row r="617" spans="1:26" x14ac:dyDescent="0.3">
      <c r="A617">
        <f t="shared" ref="A617:E617" si="82">A37</f>
        <v>2</v>
      </c>
      <c r="B617" t="str">
        <f t="shared" si="82"/>
        <v>Winter</v>
      </c>
      <c r="C617" t="str">
        <f t="shared" si="82"/>
        <v>h10</v>
      </c>
      <c r="D617" t="str">
        <f t="shared" si="82"/>
        <v>Hour9</v>
      </c>
      <c r="E617" t="str">
        <f t="shared" si="82"/>
        <v>Weekday</v>
      </c>
      <c r="F617" s="27">
        <f>F37*IF($E617="weekday",INDEX('Category Mapping'!$F$28:$F$39,MATCH('Summarized Source Data'!$A617,'Category Mapping'!$A$28:$A$39,0),1),INDEX('Category Mapping'!$E$28:$E$39,MATCH($A617,'Category Mapping'!$A$28:$A$39,0),1))</f>
        <v>292000000</v>
      </c>
      <c r="G617" s="27">
        <f>G37*IF($E617="weekday",INDEX('Category Mapping'!$F$28:$F$39,MATCH('Summarized Source Data'!$A617,'Category Mapping'!$A$28:$A$39,0),1),INDEX('Category Mapping'!$E$28:$E$39,MATCH($A617,'Category Mapping'!$A$28:$A$39,0),1))</f>
        <v>117040</v>
      </c>
      <c r="H617" s="27">
        <f>H37*IF($E617="weekday",INDEX('Category Mapping'!$F$28:$F$39,MATCH('Summarized Source Data'!$A617,'Category Mapping'!$A$28:$A$39,0),1),INDEX('Category Mapping'!$E$28:$E$39,MATCH($A617,'Category Mapping'!$A$28:$A$39,0),1))</f>
        <v>0</v>
      </c>
      <c r="I617" s="27">
        <f>I37*IF($E617="weekday",INDEX('Category Mapping'!$F$28:$F$39,MATCH('Summarized Source Data'!$A617,'Category Mapping'!$A$28:$A$39,0),1),INDEX('Category Mapping'!$E$28:$E$39,MATCH($A617,'Category Mapping'!$A$28:$A$39,0),1))</f>
        <v>200000000</v>
      </c>
      <c r="J617" s="27">
        <f>J37*IF($E617="weekday",INDEX('Category Mapping'!$F$28:$F$39,MATCH('Summarized Source Data'!$A617,'Category Mapping'!$A$28:$A$39,0),1),INDEX('Category Mapping'!$E$28:$E$39,MATCH($A617,'Category Mapping'!$A$28:$A$39,0),1))</f>
        <v>2247882960</v>
      </c>
      <c r="K617" s="27">
        <f>K37*IF($E617="weekday",INDEX('Category Mapping'!$F$28:$F$39,MATCH('Summarized Source Data'!$A617,'Category Mapping'!$A$28:$A$39,0),1),INDEX('Category Mapping'!$E$28:$E$39,MATCH($A617,'Category Mapping'!$A$28:$A$39,0),1))</f>
        <v>2247882960</v>
      </c>
      <c r="L617" s="27">
        <f>L37*IF($E617="weekday",INDEX('Category Mapping'!$F$28:$F$39,MATCH('Summarized Source Data'!$A617,'Category Mapping'!$A$28:$A$39,0),1),INDEX('Category Mapping'!$E$28:$E$39,MATCH($A617,'Category Mapping'!$A$28:$A$39,0),1))</f>
        <v>1494000000</v>
      </c>
      <c r="M617" s="27">
        <f>M37*IF($E617="weekday",INDEX('Category Mapping'!$F$28:$F$39,MATCH('Summarized Source Data'!$A617,'Category Mapping'!$A$28:$A$39,0),1),INDEX('Category Mapping'!$E$28:$E$39,MATCH($A617,'Category Mapping'!$A$28:$A$39,0),1))</f>
        <v>1367560</v>
      </c>
      <c r="N617" s="27">
        <f>N37*IF($E617="weekday",INDEX('Category Mapping'!$F$28:$F$39,MATCH('Summarized Source Data'!$A617,'Category Mapping'!$A$28:$A$39,0),1),INDEX('Category Mapping'!$E$28:$E$39,MATCH($A617,'Category Mapping'!$A$28:$A$39,0),1))</f>
        <v>0</v>
      </c>
      <c r="O617" s="27">
        <f>O37*IF($E617="weekday",INDEX('Category Mapping'!$F$28:$F$39,MATCH('Summarized Source Data'!$A617,'Category Mapping'!$A$28:$A$39,0),1),INDEX('Category Mapping'!$E$28:$E$39,MATCH($A617,'Category Mapping'!$A$28:$A$39,0),1))</f>
        <v>10504632440</v>
      </c>
      <c r="P617" s="27">
        <f>P37*IF($E617="weekday",INDEX('Category Mapping'!$F$28:$F$39,MATCH('Summarized Source Data'!$A617,'Category Mapping'!$A$28:$A$39,0),1),INDEX('Category Mapping'!$E$28:$E$39,MATCH($A617,'Category Mapping'!$A$28:$A$39,0),1))</f>
        <v>10504632440</v>
      </c>
      <c r="Q617" s="27">
        <f>Q37*IF($E617="weekday",INDEX('Category Mapping'!$F$28:$F$39,MATCH('Summarized Source Data'!$A617,'Category Mapping'!$A$28:$A$39,0),1),INDEX('Category Mapping'!$E$28:$E$39,MATCH($A617,'Category Mapping'!$A$28:$A$39,0),1))</f>
        <v>10504632440</v>
      </c>
      <c r="R617" s="27">
        <f>R37*IF($E617="weekday",INDEX('Category Mapping'!$F$28:$F$39,MATCH('Summarized Source Data'!$A617,'Category Mapping'!$A$28:$A$39,0),1),INDEX('Category Mapping'!$E$28:$E$39,MATCH($A617,'Category Mapping'!$A$28:$A$39,0),1))</f>
        <v>302000000</v>
      </c>
      <c r="S617" s="27">
        <f>S37*IF($E617="weekday",INDEX('Category Mapping'!$F$28:$F$39,MATCH('Summarized Source Data'!$A617,'Category Mapping'!$A$28:$A$39,0),1),INDEX('Category Mapping'!$E$28:$E$39,MATCH($A617,'Category Mapping'!$A$28:$A$39,0),1))</f>
        <v>302000000</v>
      </c>
      <c r="T617" s="27">
        <f>T37*IF($E617="weekday",INDEX('Category Mapping'!$F$28:$F$39,MATCH('Summarized Source Data'!$A617,'Category Mapping'!$A$28:$A$39,0),1),INDEX('Category Mapping'!$E$28:$E$39,MATCH($A617,'Category Mapping'!$A$28:$A$39,0),1))</f>
        <v>302000000</v>
      </c>
      <c r="U617" s="27">
        <f>U37*IF($E617="weekday",INDEX('Category Mapping'!$F$28:$F$39,MATCH('Summarized Source Data'!$A617,'Category Mapping'!$A$28:$A$39,0),1),INDEX('Category Mapping'!$E$28:$E$39,MATCH($A617,'Category Mapping'!$A$28:$A$39,0),1))</f>
        <v>302000000</v>
      </c>
      <c r="V617" s="27">
        <f>V37*IF($E617="weekday",INDEX('Category Mapping'!$F$28:$F$39,MATCH('Summarized Source Data'!$A617,'Category Mapping'!$A$28:$A$39,0),1),INDEX('Category Mapping'!$E$28:$E$39,MATCH($A617,'Category Mapping'!$A$28:$A$39,0),1))</f>
        <v>302000000</v>
      </c>
      <c r="W617" s="27">
        <f>W37*IF($E617="weekday",INDEX('Category Mapping'!$F$28:$F$39,MATCH('Summarized Source Data'!$A617,'Category Mapping'!$A$28:$A$39,0),1),INDEX('Category Mapping'!$E$28:$E$39,MATCH($A617,'Category Mapping'!$A$28:$A$39,0),1))</f>
        <v>302000000</v>
      </c>
      <c r="X617" s="27">
        <f>X37*IF($E617="weekday",INDEX('Category Mapping'!$F$28:$F$39,MATCH('Summarized Source Data'!$A617,'Category Mapping'!$A$28:$A$39,0),1),INDEX('Category Mapping'!$E$28:$E$39,MATCH($A617,'Category Mapping'!$A$28:$A$39,0),1))</f>
        <v>13680000000</v>
      </c>
      <c r="Y617" s="27">
        <f>Y37*IF($E617="weekday",INDEX('Category Mapping'!$F$28:$F$39,MATCH('Summarized Source Data'!$A617,'Category Mapping'!$A$28:$A$39,0),1),INDEX('Category Mapping'!$E$28:$E$39,MATCH($A617,'Category Mapping'!$A$28:$A$39,0),1))</f>
        <v>13680000000</v>
      </c>
      <c r="Z617" s="27">
        <f>Z37*IF($E617="weekday",INDEX('Category Mapping'!$F$28:$F$39,MATCH('Summarized Source Data'!$A617,'Category Mapping'!$A$28:$A$39,0),1),INDEX('Category Mapping'!$E$28:$E$39,MATCH($A617,'Category Mapping'!$A$28:$A$39,0),1))</f>
        <v>13680000000</v>
      </c>
    </row>
    <row r="618" spans="1:26" x14ac:dyDescent="0.3">
      <c r="A618">
        <f t="shared" ref="A618:E618" si="83">A38</f>
        <v>2</v>
      </c>
      <c r="B618" t="str">
        <f t="shared" si="83"/>
        <v>Winter</v>
      </c>
      <c r="C618" t="str">
        <f t="shared" si="83"/>
        <v>h11</v>
      </c>
      <c r="D618" t="str">
        <f t="shared" si="83"/>
        <v>Hour10</v>
      </c>
      <c r="E618" t="str">
        <f t="shared" si="83"/>
        <v>Weekday</v>
      </c>
      <c r="F618" s="27">
        <f>F38*IF($E618="weekday",INDEX('Category Mapping'!$F$28:$F$39,MATCH('Summarized Source Data'!$A618,'Category Mapping'!$A$28:$A$39,0),1),INDEX('Category Mapping'!$E$28:$E$39,MATCH($A618,'Category Mapping'!$A$28:$A$39,0),1))</f>
        <v>276000000</v>
      </c>
      <c r="G618" s="27">
        <f>G38*IF($E618="weekday",INDEX('Category Mapping'!$F$28:$F$39,MATCH('Summarized Source Data'!$A618,'Category Mapping'!$A$28:$A$39,0),1),INDEX('Category Mapping'!$E$28:$E$39,MATCH($A618,'Category Mapping'!$A$28:$A$39,0),1))</f>
        <v>115640</v>
      </c>
      <c r="H618" s="27">
        <f>H38*IF($E618="weekday",INDEX('Category Mapping'!$F$28:$F$39,MATCH('Summarized Source Data'!$A618,'Category Mapping'!$A$28:$A$39,0),1),INDEX('Category Mapping'!$E$28:$E$39,MATCH($A618,'Category Mapping'!$A$28:$A$39,0),1))</f>
        <v>0</v>
      </c>
      <c r="I618" s="27">
        <f>I38*IF($E618="weekday",INDEX('Category Mapping'!$F$28:$F$39,MATCH('Summarized Source Data'!$A618,'Category Mapping'!$A$28:$A$39,0),1),INDEX('Category Mapping'!$E$28:$E$39,MATCH($A618,'Category Mapping'!$A$28:$A$39,0),1))</f>
        <v>204000000</v>
      </c>
      <c r="J618" s="27">
        <f>J38*IF($E618="weekday",INDEX('Category Mapping'!$F$28:$F$39,MATCH('Summarized Source Data'!$A618,'Category Mapping'!$A$28:$A$39,0),1),INDEX('Category Mapping'!$E$28:$E$39,MATCH($A618,'Category Mapping'!$A$28:$A$39,0),1))</f>
        <v>2219884360</v>
      </c>
      <c r="K618" s="27">
        <f>K38*IF($E618="weekday",INDEX('Category Mapping'!$F$28:$F$39,MATCH('Summarized Source Data'!$A618,'Category Mapping'!$A$28:$A$39,0),1),INDEX('Category Mapping'!$E$28:$E$39,MATCH($A618,'Category Mapping'!$A$28:$A$39,0),1))</f>
        <v>2219884360</v>
      </c>
      <c r="L618" s="27">
        <f>L38*IF($E618="weekday",INDEX('Category Mapping'!$F$28:$F$39,MATCH('Summarized Source Data'!$A618,'Category Mapping'!$A$28:$A$39,0),1),INDEX('Category Mapping'!$E$28:$E$39,MATCH($A618,'Category Mapping'!$A$28:$A$39,0),1))</f>
        <v>1230000000</v>
      </c>
      <c r="M618" s="27">
        <f>M38*IF($E618="weekday",INDEX('Category Mapping'!$F$28:$F$39,MATCH('Summarized Source Data'!$A618,'Category Mapping'!$A$28:$A$39,0),1),INDEX('Category Mapping'!$E$28:$E$39,MATCH($A618,'Category Mapping'!$A$28:$A$39,0),1))</f>
        <v>1445200</v>
      </c>
      <c r="N618" s="27">
        <f>N38*IF($E618="weekday",INDEX('Category Mapping'!$F$28:$F$39,MATCH('Summarized Source Data'!$A618,'Category Mapping'!$A$28:$A$39,0),1),INDEX('Category Mapping'!$E$28:$E$39,MATCH($A618,'Category Mapping'!$A$28:$A$39,0),1))</f>
        <v>0</v>
      </c>
      <c r="O618" s="27">
        <f>O38*IF($E618="weekday",INDEX('Category Mapping'!$F$28:$F$39,MATCH('Summarized Source Data'!$A618,'Category Mapping'!$A$28:$A$39,0),1),INDEX('Category Mapping'!$E$28:$E$39,MATCH($A618,'Category Mapping'!$A$28:$A$39,0),1))</f>
        <v>10448554800</v>
      </c>
      <c r="P618" s="27">
        <f>P38*IF($E618="weekday",INDEX('Category Mapping'!$F$28:$F$39,MATCH('Summarized Source Data'!$A618,'Category Mapping'!$A$28:$A$39,0),1),INDEX('Category Mapping'!$E$28:$E$39,MATCH($A618,'Category Mapping'!$A$28:$A$39,0),1))</f>
        <v>10448554800</v>
      </c>
      <c r="Q618" s="27">
        <f>Q38*IF($E618="weekday",INDEX('Category Mapping'!$F$28:$F$39,MATCH('Summarized Source Data'!$A618,'Category Mapping'!$A$28:$A$39,0),1),INDEX('Category Mapping'!$E$28:$E$39,MATCH($A618,'Category Mapping'!$A$28:$A$39,0),1))</f>
        <v>10448554800</v>
      </c>
      <c r="R618" s="27">
        <f>R38*IF($E618="weekday",INDEX('Category Mapping'!$F$28:$F$39,MATCH('Summarized Source Data'!$A618,'Category Mapping'!$A$28:$A$39,0),1),INDEX('Category Mapping'!$E$28:$E$39,MATCH($A618,'Category Mapping'!$A$28:$A$39,0),1))</f>
        <v>242000000</v>
      </c>
      <c r="S618" s="27">
        <f>S38*IF($E618="weekday",INDEX('Category Mapping'!$F$28:$F$39,MATCH('Summarized Source Data'!$A618,'Category Mapping'!$A$28:$A$39,0),1),INDEX('Category Mapping'!$E$28:$E$39,MATCH($A618,'Category Mapping'!$A$28:$A$39,0),1))</f>
        <v>242000000</v>
      </c>
      <c r="T618" s="27">
        <f>T38*IF($E618="weekday",INDEX('Category Mapping'!$F$28:$F$39,MATCH('Summarized Source Data'!$A618,'Category Mapping'!$A$28:$A$39,0),1),INDEX('Category Mapping'!$E$28:$E$39,MATCH($A618,'Category Mapping'!$A$28:$A$39,0),1))</f>
        <v>242000000</v>
      </c>
      <c r="U618" s="27">
        <f>U38*IF($E618="weekday",INDEX('Category Mapping'!$F$28:$F$39,MATCH('Summarized Source Data'!$A618,'Category Mapping'!$A$28:$A$39,0),1),INDEX('Category Mapping'!$E$28:$E$39,MATCH($A618,'Category Mapping'!$A$28:$A$39,0),1))</f>
        <v>242000000</v>
      </c>
      <c r="V618" s="27">
        <f>V38*IF($E618="weekday",INDEX('Category Mapping'!$F$28:$F$39,MATCH('Summarized Source Data'!$A618,'Category Mapping'!$A$28:$A$39,0),1),INDEX('Category Mapping'!$E$28:$E$39,MATCH($A618,'Category Mapping'!$A$28:$A$39,0),1))</f>
        <v>242000000</v>
      </c>
      <c r="W618" s="27">
        <f>W38*IF($E618="weekday",INDEX('Category Mapping'!$F$28:$F$39,MATCH('Summarized Source Data'!$A618,'Category Mapping'!$A$28:$A$39,0),1),INDEX('Category Mapping'!$E$28:$E$39,MATCH($A618,'Category Mapping'!$A$28:$A$39,0),1))</f>
        <v>242000000</v>
      </c>
      <c r="X618" s="27">
        <f>X38*IF($E618="weekday",INDEX('Category Mapping'!$F$28:$F$39,MATCH('Summarized Source Data'!$A618,'Category Mapping'!$A$28:$A$39,0),1),INDEX('Category Mapping'!$E$28:$E$39,MATCH($A618,'Category Mapping'!$A$28:$A$39,0),1))</f>
        <v>13620000000</v>
      </c>
      <c r="Y618" s="27">
        <f>Y38*IF($E618="weekday",INDEX('Category Mapping'!$F$28:$F$39,MATCH('Summarized Source Data'!$A618,'Category Mapping'!$A$28:$A$39,0),1),INDEX('Category Mapping'!$E$28:$E$39,MATCH($A618,'Category Mapping'!$A$28:$A$39,0),1))</f>
        <v>13620000000</v>
      </c>
      <c r="Z618" s="27">
        <f>Z38*IF($E618="weekday",INDEX('Category Mapping'!$F$28:$F$39,MATCH('Summarized Source Data'!$A618,'Category Mapping'!$A$28:$A$39,0),1),INDEX('Category Mapping'!$E$28:$E$39,MATCH($A618,'Category Mapping'!$A$28:$A$39,0),1))</f>
        <v>13620000000</v>
      </c>
    </row>
    <row r="619" spans="1:26" x14ac:dyDescent="0.3">
      <c r="A619">
        <f t="shared" ref="A619:E619" si="84">A39</f>
        <v>2</v>
      </c>
      <c r="B619" t="str">
        <f t="shared" si="84"/>
        <v>Winter</v>
      </c>
      <c r="C619" t="str">
        <f t="shared" si="84"/>
        <v>h12</v>
      </c>
      <c r="D619" t="str">
        <f t="shared" si="84"/>
        <v>Hour11</v>
      </c>
      <c r="E619" t="str">
        <f t="shared" si="84"/>
        <v>Weekday</v>
      </c>
      <c r="F619" s="27">
        <f>F39*IF($E619="weekday",INDEX('Category Mapping'!$F$28:$F$39,MATCH('Summarized Source Data'!$A619,'Category Mapping'!$A$28:$A$39,0),1),INDEX('Category Mapping'!$E$28:$E$39,MATCH($A619,'Category Mapping'!$A$28:$A$39,0),1))</f>
        <v>274000000</v>
      </c>
      <c r="G619" s="27">
        <f>G39*IF($E619="weekday",INDEX('Category Mapping'!$F$28:$F$39,MATCH('Summarized Source Data'!$A619,'Category Mapping'!$A$28:$A$39,0),1),INDEX('Category Mapping'!$E$28:$E$39,MATCH($A619,'Category Mapping'!$A$28:$A$39,0),1))</f>
        <v>129340</v>
      </c>
      <c r="H619" s="27">
        <f>H39*IF($E619="weekday",INDEX('Category Mapping'!$F$28:$F$39,MATCH('Summarized Source Data'!$A619,'Category Mapping'!$A$28:$A$39,0),1),INDEX('Category Mapping'!$E$28:$E$39,MATCH($A619,'Category Mapping'!$A$28:$A$39,0),1))</f>
        <v>0</v>
      </c>
      <c r="I619" s="27">
        <f>I39*IF($E619="weekday",INDEX('Category Mapping'!$F$28:$F$39,MATCH('Summarized Source Data'!$A619,'Category Mapping'!$A$28:$A$39,0),1),INDEX('Category Mapping'!$E$28:$E$39,MATCH($A619,'Category Mapping'!$A$28:$A$39,0),1))</f>
        <v>224000000</v>
      </c>
      <c r="J619" s="27">
        <f>J39*IF($E619="weekday",INDEX('Category Mapping'!$F$28:$F$39,MATCH('Summarized Source Data'!$A619,'Category Mapping'!$A$28:$A$39,0),1),INDEX('Category Mapping'!$E$28:$E$39,MATCH($A619,'Category Mapping'!$A$28:$A$39,0),1))</f>
        <v>2221870660</v>
      </c>
      <c r="K619" s="27">
        <f>K39*IF($E619="weekday",INDEX('Category Mapping'!$F$28:$F$39,MATCH('Summarized Source Data'!$A619,'Category Mapping'!$A$28:$A$39,0),1),INDEX('Category Mapping'!$E$28:$E$39,MATCH($A619,'Category Mapping'!$A$28:$A$39,0),1))</f>
        <v>2221870660</v>
      </c>
      <c r="L619" s="27">
        <f>L39*IF($E619="weekday",INDEX('Category Mapping'!$F$28:$F$39,MATCH('Summarized Source Data'!$A619,'Category Mapping'!$A$28:$A$39,0),1),INDEX('Category Mapping'!$E$28:$E$39,MATCH($A619,'Category Mapping'!$A$28:$A$39,0),1))</f>
        <v>1070000000</v>
      </c>
      <c r="M619" s="27">
        <f>M39*IF($E619="weekday",INDEX('Category Mapping'!$F$28:$F$39,MATCH('Summarized Source Data'!$A619,'Category Mapping'!$A$28:$A$39,0),1),INDEX('Category Mapping'!$E$28:$E$39,MATCH($A619,'Category Mapping'!$A$28:$A$39,0),1))</f>
        <v>1463400</v>
      </c>
      <c r="N619" s="27">
        <f>N39*IF($E619="weekday",INDEX('Category Mapping'!$F$28:$F$39,MATCH('Summarized Source Data'!$A619,'Category Mapping'!$A$28:$A$39,0),1),INDEX('Category Mapping'!$E$28:$E$39,MATCH($A619,'Category Mapping'!$A$28:$A$39,0),1))</f>
        <v>0</v>
      </c>
      <c r="O619" s="27">
        <f>O39*IF($E619="weekday",INDEX('Category Mapping'!$F$28:$F$39,MATCH('Summarized Source Data'!$A619,'Category Mapping'!$A$28:$A$39,0),1),INDEX('Category Mapping'!$E$28:$E$39,MATCH($A619,'Category Mapping'!$A$28:$A$39,0),1))</f>
        <v>10408536600</v>
      </c>
      <c r="P619" s="27">
        <f>P39*IF($E619="weekday",INDEX('Category Mapping'!$F$28:$F$39,MATCH('Summarized Source Data'!$A619,'Category Mapping'!$A$28:$A$39,0),1),INDEX('Category Mapping'!$E$28:$E$39,MATCH($A619,'Category Mapping'!$A$28:$A$39,0),1))</f>
        <v>10408536600</v>
      </c>
      <c r="Q619" s="27">
        <f>Q39*IF($E619="weekday",INDEX('Category Mapping'!$F$28:$F$39,MATCH('Summarized Source Data'!$A619,'Category Mapping'!$A$28:$A$39,0),1),INDEX('Category Mapping'!$E$28:$E$39,MATCH($A619,'Category Mapping'!$A$28:$A$39,0),1))</f>
        <v>10408536600</v>
      </c>
      <c r="R619" s="27">
        <f>R39*IF($E619="weekday",INDEX('Category Mapping'!$F$28:$F$39,MATCH('Summarized Source Data'!$A619,'Category Mapping'!$A$28:$A$39,0),1),INDEX('Category Mapping'!$E$28:$E$39,MATCH($A619,'Category Mapping'!$A$28:$A$39,0),1))</f>
        <v>244000000</v>
      </c>
      <c r="S619" s="27">
        <f>S39*IF($E619="weekday",INDEX('Category Mapping'!$F$28:$F$39,MATCH('Summarized Source Data'!$A619,'Category Mapping'!$A$28:$A$39,0),1),INDEX('Category Mapping'!$E$28:$E$39,MATCH($A619,'Category Mapping'!$A$28:$A$39,0),1))</f>
        <v>244000000</v>
      </c>
      <c r="T619" s="27">
        <f>T39*IF($E619="weekday",INDEX('Category Mapping'!$F$28:$F$39,MATCH('Summarized Source Data'!$A619,'Category Mapping'!$A$28:$A$39,0),1),INDEX('Category Mapping'!$E$28:$E$39,MATCH($A619,'Category Mapping'!$A$28:$A$39,0),1))</f>
        <v>244000000</v>
      </c>
      <c r="U619" s="27">
        <f>U39*IF($E619="weekday",INDEX('Category Mapping'!$F$28:$F$39,MATCH('Summarized Source Data'!$A619,'Category Mapping'!$A$28:$A$39,0),1),INDEX('Category Mapping'!$E$28:$E$39,MATCH($A619,'Category Mapping'!$A$28:$A$39,0),1))</f>
        <v>244000000</v>
      </c>
      <c r="V619" s="27">
        <f>V39*IF($E619="weekday",INDEX('Category Mapping'!$F$28:$F$39,MATCH('Summarized Source Data'!$A619,'Category Mapping'!$A$28:$A$39,0),1),INDEX('Category Mapping'!$E$28:$E$39,MATCH($A619,'Category Mapping'!$A$28:$A$39,0),1))</f>
        <v>244000000</v>
      </c>
      <c r="W619" s="27">
        <f>W39*IF($E619="weekday",INDEX('Category Mapping'!$F$28:$F$39,MATCH('Summarized Source Data'!$A619,'Category Mapping'!$A$28:$A$39,0),1),INDEX('Category Mapping'!$E$28:$E$39,MATCH($A619,'Category Mapping'!$A$28:$A$39,0),1))</f>
        <v>244000000</v>
      </c>
      <c r="X619" s="27">
        <f>X39*IF($E619="weekday",INDEX('Category Mapping'!$F$28:$F$39,MATCH('Summarized Source Data'!$A619,'Category Mapping'!$A$28:$A$39,0),1),INDEX('Category Mapping'!$E$28:$E$39,MATCH($A619,'Category Mapping'!$A$28:$A$39,0),1))</f>
        <v>13580000000</v>
      </c>
      <c r="Y619" s="27">
        <f>Y39*IF($E619="weekday",INDEX('Category Mapping'!$F$28:$F$39,MATCH('Summarized Source Data'!$A619,'Category Mapping'!$A$28:$A$39,0),1),INDEX('Category Mapping'!$E$28:$E$39,MATCH($A619,'Category Mapping'!$A$28:$A$39,0),1))</f>
        <v>13580000000</v>
      </c>
      <c r="Z619" s="27">
        <f>Z39*IF($E619="weekday",INDEX('Category Mapping'!$F$28:$F$39,MATCH('Summarized Source Data'!$A619,'Category Mapping'!$A$28:$A$39,0),1),INDEX('Category Mapping'!$E$28:$E$39,MATCH($A619,'Category Mapping'!$A$28:$A$39,0),1))</f>
        <v>13580000000</v>
      </c>
    </row>
    <row r="620" spans="1:26" x14ac:dyDescent="0.3">
      <c r="A620">
        <f t="shared" ref="A620:E620" si="85">A40</f>
        <v>2</v>
      </c>
      <c r="B620" t="str">
        <f t="shared" si="85"/>
        <v>Winter</v>
      </c>
      <c r="C620" t="str">
        <f t="shared" si="85"/>
        <v>h13</v>
      </c>
      <c r="D620" t="str">
        <f t="shared" si="85"/>
        <v>Hour12</v>
      </c>
      <c r="E620" t="str">
        <f t="shared" si="85"/>
        <v>Weekday</v>
      </c>
      <c r="F620" s="27">
        <f>F40*IF($E620="weekday",INDEX('Category Mapping'!$F$28:$F$39,MATCH('Summarized Source Data'!$A620,'Category Mapping'!$A$28:$A$39,0),1),INDEX('Category Mapping'!$E$28:$E$39,MATCH($A620,'Category Mapping'!$A$28:$A$39,0),1))</f>
        <v>270000000</v>
      </c>
      <c r="G620" s="27">
        <f>G40*IF($E620="weekday",INDEX('Category Mapping'!$F$28:$F$39,MATCH('Summarized Source Data'!$A620,'Category Mapping'!$A$28:$A$39,0),1),INDEX('Category Mapping'!$E$28:$E$39,MATCH($A620,'Category Mapping'!$A$28:$A$39,0),1))</f>
        <v>140400</v>
      </c>
      <c r="H620" s="27">
        <f>H40*IF($E620="weekday",INDEX('Category Mapping'!$F$28:$F$39,MATCH('Summarized Source Data'!$A620,'Category Mapping'!$A$28:$A$39,0),1),INDEX('Category Mapping'!$E$28:$E$39,MATCH($A620,'Category Mapping'!$A$28:$A$39,0),1))</f>
        <v>0</v>
      </c>
      <c r="I620" s="27">
        <f>I40*IF($E620="weekday",INDEX('Category Mapping'!$F$28:$F$39,MATCH('Summarized Source Data'!$A620,'Category Mapping'!$A$28:$A$39,0),1),INDEX('Category Mapping'!$E$28:$E$39,MATCH($A620,'Category Mapping'!$A$28:$A$39,0),1))</f>
        <v>236000000</v>
      </c>
      <c r="J620" s="27">
        <f>J40*IF($E620="weekday",INDEX('Category Mapping'!$F$28:$F$39,MATCH('Summarized Source Data'!$A620,'Category Mapping'!$A$28:$A$39,0),1),INDEX('Category Mapping'!$E$28:$E$39,MATCH($A620,'Category Mapping'!$A$28:$A$39,0),1))</f>
        <v>2133859600</v>
      </c>
      <c r="K620" s="27">
        <f>K40*IF($E620="weekday",INDEX('Category Mapping'!$F$28:$F$39,MATCH('Summarized Source Data'!$A620,'Category Mapping'!$A$28:$A$39,0),1),INDEX('Category Mapping'!$E$28:$E$39,MATCH($A620,'Category Mapping'!$A$28:$A$39,0),1))</f>
        <v>2133859600</v>
      </c>
      <c r="L620" s="27">
        <f>L40*IF($E620="weekday",INDEX('Category Mapping'!$F$28:$F$39,MATCH('Summarized Source Data'!$A620,'Category Mapping'!$A$28:$A$39,0),1),INDEX('Category Mapping'!$E$28:$E$39,MATCH($A620,'Category Mapping'!$A$28:$A$39,0),1))</f>
        <v>936000000</v>
      </c>
      <c r="M620" s="27">
        <f>M40*IF($E620="weekday",INDEX('Category Mapping'!$F$28:$F$39,MATCH('Summarized Source Data'!$A620,'Category Mapping'!$A$28:$A$39,0),1),INDEX('Category Mapping'!$E$28:$E$39,MATCH($A620,'Category Mapping'!$A$28:$A$39,0),1))</f>
        <v>1409560</v>
      </c>
      <c r="N620" s="27">
        <f>N40*IF($E620="weekday",INDEX('Category Mapping'!$F$28:$F$39,MATCH('Summarized Source Data'!$A620,'Category Mapping'!$A$28:$A$39,0),1),INDEX('Category Mapping'!$E$28:$E$39,MATCH($A620,'Category Mapping'!$A$28:$A$39,0),1))</f>
        <v>0</v>
      </c>
      <c r="O620" s="27">
        <f>O40*IF($E620="weekday",INDEX('Category Mapping'!$F$28:$F$39,MATCH('Summarized Source Data'!$A620,'Category Mapping'!$A$28:$A$39,0),1),INDEX('Category Mapping'!$E$28:$E$39,MATCH($A620,'Category Mapping'!$A$28:$A$39,0),1))</f>
        <v>10242590440</v>
      </c>
      <c r="P620" s="27">
        <f>P40*IF($E620="weekday",INDEX('Category Mapping'!$F$28:$F$39,MATCH('Summarized Source Data'!$A620,'Category Mapping'!$A$28:$A$39,0),1),INDEX('Category Mapping'!$E$28:$E$39,MATCH($A620,'Category Mapping'!$A$28:$A$39,0),1))</f>
        <v>10242590440</v>
      </c>
      <c r="Q620" s="27">
        <f>Q40*IF($E620="weekday",INDEX('Category Mapping'!$F$28:$F$39,MATCH('Summarized Source Data'!$A620,'Category Mapping'!$A$28:$A$39,0),1),INDEX('Category Mapping'!$E$28:$E$39,MATCH($A620,'Category Mapping'!$A$28:$A$39,0),1))</f>
        <v>10242590440</v>
      </c>
      <c r="R620" s="27">
        <f>R40*IF($E620="weekday",INDEX('Category Mapping'!$F$28:$F$39,MATCH('Summarized Source Data'!$A620,'Category Mapping'!$A$28:$A$39,0),1),INDEX('Category Mapping'!$E$28:$E$39,MATCH($A620,'Category Mapping'!$A$28:$A$39,0),1))</f>
        <v>248000000</v>
      </c>
      <c r="S620" s="27">
        <f>S40*IF($E620="weekday",INDEX('Category Mapping'!$F$28:$F$39,MATCH('Summarized Source Data'!$A620,'Category Mapping'!$A$28:$A$39,0),1),INDEX('Category Mapping'!$E$28:$E$39,MATCH($A620,'Category Mapping'!$A$28:$A$39,0),1))</f>
        <v>248000000</v>
      </c>
      <c r="T620" s="27">
        <f>T40*IF($E620="weekday",INDEX('Category Mapping'!$F$28:$F$39,MATCH('Summarized Source Data'!$A620,'Category Mapping'!$A$28:$A$39,0),1),INDEX('Category Mapping'!$E$28:$E$39,MATCH($A620,'Category Mapping'!$A$28:$A$39,0),1))</f>
        <v>248000000</v>
      </c>
      <c r="U620" s="27">
        <f>U40*IF($E620="weekday",INDEX('Category Mapping'!$F$28:$F$39,MATCH('Summarized Source Data'!$A620,'Category Mapping'!$A$28:$A$39,0),1),INDEX('Category Mapping'!$E$28:$E$39,MATCH($A620,'Category Mapping'!$A$28:$A$39,0),1))</f>
        <v>248000000</v>
      </c>
      <c r="V620" s="27">
        <f>V40*IF($E620="weekday",INDEX('Category Mapping'!$F$28:$F$39,MATCH('Summarized Source Data'!$A620,'Category Mapping'!$A$28:$A$39,0),1),INDEX('Category Mapping'!$E$28:$E$39,MATCH($A620,'Category Mapping'!$A$28:$A$39,0),1))</f>
        <v>248000000</v>
      </c>
      <c r="W620" s="27">
        <f>W40*IF($E620="weekday",INDEX('Category Mapping'!$F$28:$F$39,MATCH('Summarized Source Data'!$A620,'Category Mapping'!$A$28:$A$39,0),1),INDEX('Category Mapping'!$E$28:$E$39,MATCH($A620,'Category Mapping'!$A$28:$A$39,0),1))</f>
        <v>248000000</v>
      </c>
      <c r="X620" s="27">
        <f>X40*IF($E620="weekday",INDEX('Category Mapping'!$F$28:$F$39,MATCH('Summarized Source Data'!$A620,'Category Mapping'!$A$28:$A$39,0),1),INDEX('Category Mapping'!$E$28:$E$39,MATCH($A620,'Category Mapping'!$A$28:$A$39,0),1))</f>
        <v>13540000000</v>
      </c>
      <c r="Y620" s="27">
        <f>Y40*IF($E620="weekday",INDEX('Category Mapping'!$F$28:$F$39,MATCH('Summarized Source Data'!$A620,'Category Mapping'!$A$28:$A$39,0),1),INDEX('Category Mapping'!$E$28:$E$39,MATCH($A620,'Category Mapping'!$A$28:$A$39,0),1))</f>
        <v>13540000000</v>
      </c>
      <c r="Z620" s="27">
        <f>Z40*IF($E620="weekday",INDEX('Category Mapping'!$F$28:$F$39,MATCH('Summarized Source Data'!$A620,'Category Mapping'!$A$28:$A$39,0),1),INDEX('Category Mapping'!$E$28:$E$39,MATCH($A620,'Category Mapping'!$A$28:$A$39,0),1))</f>
        <v>13540000000</v>
      </c>
    </row>
    <row r="621" spans="1:26" x14ac:dyDescent="0.3">
      <c r="A621">
        <f t="shared" ref="A621:E621" si="86">A41</f>
        <v>2</v>
      </c>
      <c r="B621" t="str">
        <f t="shared" si="86"/>
        <v>Winter</v>
      </c>
      <c r="C621" t="str">
        <f t="shared" si="86"/>
        <v>h14</v>
      </c>
      <c r="D621" t="str">
        <f t="shared" si="86"/>
        <v>Hour13</v>
      </c>
      <c r="E621" t="str">
        <f t="shared" si="86"/>
        <v>Weekday</v>
      </c>
      <c r="F621" s="27">
        <f>F41*IF($E621="weekday",INDEX('Category Mapping'!$F$28:$F$39,MATCH('Summarized Source Data'!$A621,'Category Mapping'!$A$28:$A$39,0),1),INDEX('Category Mapping'!$E$28:$E$39,MATCH($A621,'Category Mapping'!$A$28:$A$39,0),1))</f>
        <v>266000000</v>
      </c>
      <c r="G621" s="27">
        <f>G41*IF($E621="weekday",INDEX('Category Mapping'!$F$28:$F$39,MATCH('Summarized Source Data'!$A621,'Category Mapping'!$A$28:$A$39,0),1),INDEX('Category Mapping'!$E$28:$E$39,MATCH($A621,'Category Mapping'!$A$28:$A$39,0),1))</f>
        <v>144820</v>
      </c>
      <c r="H621" s="27">
        <f>H41*IF($E621="weekday",INDEX('Category Mapping'!$F$28:$F$39,MATCH('Summarized Source Data'!$A621,'Category Mapping'!$A$28:$A$39,0),1),INDEX('Category Mapping'!$E$28:$E$39,MATCH($A621,'Category Mapping'!$A$28:$A$39,0),1))</f>
        <v>0</v>
      </c>
      <c r="I621" s="27">
        <f>I41*IF($E621="weekday",INDEX('Category Mapping'!$F$28:$F$39,MATCH('Summarized Source Data'!$A621,'Category Mapping'!$A$28:$A$39,0),1),INDEX('Category Mapping'!$E$28:$E$39,MATCH($A621,'Category Mapping'!$A$28:$A$39,0),1))</f>
        <v>240000000</v>
      </c>
      <c r="J621" s="27">
        <f>J41*IF($E621="weekday",INDEX('Category Mapping'!$F$28:$F$39,MATCH('Summarized Source Data'!$A621,'Category Mapping'!$A$28:$A$39,0),1),INDEX('Category Mapping'!$E$28:$E$39,MATCH($A621,'Category Mapping'!$A$28:$A$39,0),1))</f>
        <v>2113855180</v>
      </c>
      <c r="K621" s="27">
        <f>K41*IF($E621="weekday",INDEX('Category Mapping'!$F$28:$F$39,MATCH('Summarized Source Data'!$A621,'Category Mapping'!$A$28:$A$39,0),1),INDEX('Category Mapping'!$E$28:$E$39,MATCH($A621,'Category Mapping'!$A$28:$A$39,0),1))</f>
        <v>2113855180</v>
      </c>
      <c r="L621" s="27">
        <f>L41*IF($E621="weekday",INDEX('Category Mapping'!$F$28:$F$39,MATCH('Summarized Source Data'!$A621,'Category Mapping'!$A$28:$A$39,0),1),INDEX('Category Mapping'!$E$28:$E$39,MATCH($A621,'Category Mapping'!$A$28:$A$39,0),1))</f>
        <v>872000000</v>
      </c>
      <c r="M621" s="27">
        <f>M41*IF($E621="weekday",INDEX('Category Mapping'!$F$28:$F$39,MATCH('Summarized Source Data'!$A621,'Category Mapping'!$A$28:$A$39,0),1),INDEX('Category Mapping'!$E$28:$E$39,MATCH($A621,'Category Mapping'!$A$28:$A$39,0),1))</f>
        <v>1442920</v>
      </c>
      <c r="N621" s="27">
        <f>N41*IF($E621="weekday",INDEX('Category Mapping'!$F$28:$F$39,MATCH('Summarized Source Data'!$A621,'Category Mapping'!$A$28:$A$39,0),1),INDEX('Category Mapping'!$E$28:$E$39,MATCH($A621,'Category Mapping'!$A$28:$A$39,0),1))</f>
        <v>0</v>
      </c>
      <c r="O621" s="27">
        <f>O41*IF($E621="weekday",INDEX('Category Mapping'!$F$28:$F$39,MATCH('Summarized Source Data'!$A621,'Category Mapping'!$A$28:$A$39,0),1),INDEX('Category Mapping'!$E$28:$E$39,MATCH($A621,'Category Mapping'!$A$28:$A$39,0),1))</f>
        <v>10246557080</v>
      </c>
      <c r="P621" s="27">
        <f>P41*IF($E621="weekday",INDEX('Category Mapping'!$F$28:$F$39,MATCH('Summarized Source Data'!$A621,'Category Mapping'!$A$28:$A$39,0),1),INDEX('Category Mapping'!$E$28:$E$39,MATCH($A621,'Category Mapping'!$A$28:$A$39,0),1))</f>
        <v>10246557080</v>
      </c>
      <c r="Q621" s="27">
        <f>Q41*IF($E621="weekday",INDEX('Category Mapping'!$F$28:$F$39,MATCH('Summarized Source Data'!$A621,'Category Mapping'!$A$28:$A$39,0),1),INDEX('Category Mapping'!$E$28:$E$39,MATCH($A621,'Category Mapping'!$A$28:$A$39,0),1))</f>
        <v>10246557080</v>
      </c>
      <c r="R621" s="27">
        <f>R41*IF($E621="weekday",INDEX('Category Mapping'!$F$28:$F$39,MATCH('Summarized Source Data'!$A621,'Category Mapping'!$A$28:$A$39,0),1),INDEX('Category Mapping'!$E$28:$E$39,MATCH($A621,'Category Mapping'!$A$28:$A$39,0),1))</f>
        <v>246000000</v>
      </c>
      <c r="S621" s="27">
        <f>S41*IF($E621="weekday",INDEX('Category Mapping'!$F$28:$F$39,MATCH('Summarized Source Data'!$A621,'Category Mapping'!$A$28:$A$39,0),1),INDEX('Category Mapping'!$E$28:$E$39,MATCH($A621,'Category Mapping'!$A$28:$A$39,0),1))</f>
        <v>246000000</v>
      </c>
      <c r="T621" s="27">
        <f>T41*IF($E621="weekday",INDEX('Category Mapping'!$F$28:$F$39,MATCH('Summarized Source Data'!$A621,'Category Mapping'!$A$28:$A$39,0),1),INDEX('Category Mapping'!$E$28:$E$39,MATCH($A621,'Category Mapping'!$A$28:$A$39,0),1))</f>
        <v>246000000</v>
      </c>
      <c r="U621" s="27">
        <f>U41*IF($E621="weekday",INDEX('Category Mapping'!$F$28:$F$39,MATCH('Summarized Source Data'!$A621,'Category Mapping'!$A$28:$A$39,0),1),INDEX('Category Mapping'!$E$28:$E$39,MATCH($A621,'Category Mapping'!$A$28:$A$39,0),1))</f>
        <v>246000000</v>
      </c>
      <c r="V621" s="27">
        <f>V41*IF($E621="weekday",INDEX('Category Mapping'!$F$28:$F$39,MATCH('Summarized Source Data'!$A621,'Category Mapping'!$A$28:$A$39,0),1),INDEX('Category Mapping'!$E$28:$E$39,MATCH($A621,'Category Mapping'!$A$28:$A$39,0),1))</f>
        <v>246000000</v>
      </c>
      <c r="W621" s="27">
        <f>W41*IF($E621="weekday",INDEX('Category Mapping'!$F$28:$F$39,MATCH('Summarized Source Data'!$A621,'Category Mapping'!$A$28:$A$39,0),1),INDEX('Category Mapping'!$E$28:$E$39,MATCH($A621,'Category Mapping'!$A$28:$A$39,0),1))</f>
        <v>246000000</v>
      </c>
      <c r="X621" s="27">
        <f>X41*IF($E621="weekday",INDEX('Category Mapping'!$F$28:$F$39,MATCH('Summarized Source Data'!$A621,'Category Mapping'!$A$28:$A$39,0),1),INDEX('Category Mapping'!$E$28:$E$39,MATCH($A621,'Category Mapping'!$A$28:$A$39,0),1))</f>
        <v>13520000000</v>
      </c>
      <c r="Y621" s="27">
        <f>Y41*IF($E621="weekday",INDEX('Category Mapping'!$F$28:$F$39,MATCH('Summarized Source Data'!$A621,'Category Mapping'!$A$28:$A$39,0),1),INDEX('Category Mapping'!$E$28:$E$39,MATCH($A621,'Category Mapping'!$A$28:$A$39,0),1))</f>
        <v>13520000000</v>
      </c>
      <c r="Z621" s="27">
        <f>Z41*IF($E621="weekday",INDEX('Category Mapping'!$F$28:$F$39,MATCH('Summarized Source Data'!$A621,'Category Mapping'!$A$28:$A$39,0),1),INDEX('Category Mapping'!$E$28:$E$39,MATCH($A621,'Category Mapping'!$A$28:$A$39,0),1))</f>
        <v>13520000000</v>
      </c>
    </row>
    <row r="622" spans="1:26" x14ac:dyDescent="0.3">
      <c r="A622">
        <f t="shared" ref="A622:E622" si="87">A42</f>
        <v>2</v>
      </c>
      <c r="B622" t="str">
        <f t="shared" si="87"/>
        <v>Winter</v>
      </c>
      <c r="C622" t="str">
        <f t="shared" si="87"/>
        <v>h15</v>
      </c>
      <c r="D622" t="str">
        <f t="shared" si="87"/>
        <v>Hour14</v>
      </c>
      <c r="E622" t="str">
        <f t="shared" si="87"/>
        <v>Weekday</v>
      </c>
      <c r="F622" s="27">
        <f>F42*IF($E622="weekday",INDEX('Category Mapping'!$F$28:$F$39,MATCH('Summarized Source Data'!$A622,'Category Mapping'!$A$28:$A$39,0),1),INDEX('Category Mapping'!$E$28:$E$39,MATCH($A622,'Category Mapping'!$A$28:$A$39,0),1))</f>
        <v>266000000</v>
      </c>
      <c r="G622" s="27">
        <f>G42*IF($E622="weekday",INDEX('Category Mapping'!$F$28:$F$39,MATCH('Summarized Source Data'!$A622,'Category Mapping'!$A$28:$A$39,0),1),INDEX('Category Mapping'!$E$28:$E$39,MATCH($A622,'Category Mapping'!$A$28:$A$39,0),1))</f>
        <v>151220</v>
      </c>
      <c r="H622" s="27">
        <f>H42*IF($E622="weekday",INDEX('Category Mapping'!$F$28:$F$39,MATCH('Summarized Source Data'!$A622,'Category Mapping'!$A$28:$A$39,0),1),INDEX('Category Mapping'!$E$28:$E$39,MATCH($A622,'Category Mapping'!$A$28:$A$39,0),1))</f>
        <v>0</v>
      </c>
      <c r="I622" s="27">
        <f>I42*IF($E622="weekday",INDEX('Category Mapping'!$F$28:$F$39,MATCH('Summarized Source Data'!$A622,'Category Mapping'!$A$28:$A$39,0),1),INDEX('Category Mapping'!$E$28:$E$39,MATCH($A622,'Category Mapping'!$A$28:$A$39,0),1))</f>
        <v>246000000</v>
      </c>
      <c r="J622" s="27">
        <f>J42*IF($E622="weekday",INDEX('Category Mapping'!$F$28:$F$39,MATCH('Summarized Source Data'!$A622,'Category Mapping'!$A$28:$A$39,0),1),INDEX('Category Mapping'!$E$28:$E$39,MATCH($A622,'Category Mapping'!$A$28:$A$39,0),1))</f>
        <v>2187848780</v>
      </c>
      <c r="K622" s="27">
        <f>K42*IF($E622="weekday",INDEX('Category Mapping'!$F$28:$F$39,MATCH('Summarized Source Data'!$A622,'Category Mapping'!$A$28:$A$39,0),1),INDEX('Category Mapping'!$E$28:$E$39,MATCH($A622,'Category Mapping'!$A$28:$A$39,0),1))</f>
        <v>2187848780</v>
      </c>
      <c r="L622" s="27">
        <f>L42*IF($E622="weekday",INDEX('Category Mapping'!$F$28:$F$39,MATCH('Summarized Source Data'!$A622,'Category Mapping'!$A$28:$A$39,0),1),INDEX('Category Mapping'!$E$28:$E$39,MATCH($A622,'Category Mapping'!$A$28:$A$39,0),1))</f>
        <v>814000000</v>
      </c>
      <c r="M622" s="27">
        <f>M42*IF($E622="weekday",INDEX('Category Mapping'!$F$28:$F$39,MATCH('Summarized Source Data'!$A622,'Category Mapping'!$A$28:$A$39,0),1),INDEX('Category Mapping'!$E$28:$E$39,MATCH($A622,'Category Mapping'!$A$28:$A$39,0),1))</f>
        <v>1478820</v>
      </c>
      <c r="N622" s="27">
        <f>N42*IF($E622="weekday",INDEX('Category Mapping'!$F$28:$F$39,MATCH('Summarized Source Data'!$A622,'Category Mapping'!$A$28:$A$39,0),1),INDEX('Category Mapping'!$E$28:$E$39,MATCH($A622,'Category Mapping'!$A$28:$A$39,0),1))</f>
        <v>0</v>
      </c>
      <c r="O622" s="27">
        <f>O42*IF($E622="weekday",INDEX('Category Mapping'!$F$28:$F$39,MATCH('Summarized Source Data'!$A622,'Category Mapping'!$A$28:$A$39,0),1),INDEX('Category Mapping'!$E$28:$E$39,MATCH($A622,'Category Mapping'!$A$28:$A$39,0),1))</f>
        <v>10244521180</v>
      </c>
      <c r="P622" s="27">
        <f>P42*IF($E622="weekday",INDEX('Category Mapping'!$F$28:$F$39,MATCH('Summarized Source Data'!$A622,'Category Mapping'!$A$28:$A$39,0),1),INDEX('Category Mapping'!$E$28:$E$39,MATCH($A622,'Category Mapping'!$A$28:$A$39,0),1))</f>
        <v>10244521180</v>
      </c>
      <c r="Q622" s="27">
        <f>Q42*IF($E622="weekday",INDEX('Category Mapping'!$F$28:$F$39,MATCH('Summarized Source Data'!$A622,'Category Mapping'!$A$28:$A$39,0),1),INDEX('Category Mapping'!$E$28:$E$39,MATCH($A622,'Category Mapping'!$A$28:$A$39,0),1))</f>
        <v>10244521180</v>
      </c>
      <c r="R622" s="27">
        <f>R42*IF($E622="weekday",INDEX('Category Mapping'!$F$28:$F$39,MATCH('Summarized Source Data'!$A622,'Category Mapping'!$A$28:$A$39,0),1),INDEX('Category Mapping'!$E$28:$E$39,MATCH($A622,'Category Mapping'!$A$28:$A$39,0),1))</f>
        <v>244000000</v>
      </c>
      <c r="S622" s="27">
        <f>S42*IF($E622="weekday",INDEX('Category Mapping'!$F$28:$F$39,MATCH('Summarized Source Data'!$A622,'Category Mapping'!$A$28:$A$39,0),1),INDEX('Category Mapping'!$E$28:$E$39,MATCH($A622,'Category Mapping'!$A$28:$A$39,0),1))</f>
        <v>244000000</v>
      </c>
      <c r="T622" s="27">
        <f>T42*IF($E622="weekday",INDEX('Category Mapping'!$F$28:$F$39,MATCH('Summarized Source Data'!$A622,'Category Mapping'!$A$28:$A$39,0),1),INDEX('Category Mapping'!$E$28:$E$39,MATCH($A622,'Category Mapping'!$A$28:$A$39,0),1))</f>
        <v>244000000</v>
      </c>
      <c r="U622" s="27">
        <f>U42*IF($E622="weekday",INDEX('Category Mapping'!$F$28:$F$39,MATCH('Summarized Source Data'!$A622,'Category Mapping'!$A$28:$A$39,0),1),INDEX('Category Mapping'!$E$28:$E$39,MATCH($A622,'Category Mapping'!$A$28:$A$39,0),1))</f>
        <v>244000000</v>
      </c>
      <c r="V622" s="27">
        <f>V42*IF($E622="weekday",INDEX('Category Mapping'!$F$28:$F$39,MATCH('Summarized Source Data'!$A622,'Category Mapping'!$A$28:$A$39,0),1),INDEX('Category Mapping'!$E$28:$E$39,MATCH($A622,'Category Mapping'!$A$28:$A$39,0),1))</f>
        <v>244000000</v>
      </c>
      <c r="W622" s="27">
        <f>W42*IF($E622="weekday",INDEX('Category Mapping'!$F$28:$F$39,MATCH('Summarized Source Data'!$A622,'Category Mapping'!$A$28:$A$39,0),1),INDEX('Category Mapping'!$E$28:$E$39,MATCH($A622,'Category Mapping'!$A$28:$A$39,0),1))</f>
        <v>244000000</v>
      </c>
      <c r="X622" s="27">
        <f>X42*IF($E622="weekday",INDEX('Category Mapping'!$F$28:$F$39,MATCH('Summarized Source Data'!$A622,'Category Mapping'!$A$28:$A$39,0),1),INDEX('Category Mapping'!$E$28:$E$39,MATCH($A622,'Category Mapping'!$A$28:$A$39,0),1))</f>
        <v>13540000000</v>
      </c>
      <c r="Y622" s="27">
        <f>Y42*IF($E622="weekday",INDEX('Category Mapping'!$F$28:$F$39,MATCH('Summarized Source Data'!$A622,'Category Mapping'!$A$28:$A$39,0),1),INDEX('Category Mapping'!$E$28:$E$39,MATCH($A622,'Category Mapping'!$A$28:$A$39,0),1))</f>
        <v>13540000000</v>
      </c>
      <c r="Z622" s="27">
        <f>Z42*IF($E622="weekday",INDEX('Category Mapping'!$F$28:$F$39,MATCH('Summarized Source Data'!$A622,'Category Mapping'!$A$28:$A$39,0),1),INDEX('Category Mapping'!$E$28:$E$39,MATCH($A622,'Category Mapping'!$A$28:$A$39,0),1))</f>
        <v>13540000000</v>
      </c>
    </row>
    <row r="623" spans="1:26" x14ac:dyDescent="0.3">
      <c r="A623">
        <f t="shared" ref="A623:E623" si="88">A43</f>
        <v>2</v>
      </c>
      <c r="B623" t="str">
        <f t="shared" si="88"/>
        <v>Winter</v>
      </c>
      <c r="C623" t="str">
        <f t="shared" si="88"/>
        <v>h16</v>
      </c>
      <c r="D623" t="str">
        <f t="shared" si="88"/>
        <v>Hour15</v>
      </c>
      <c r="E623" t="str">
        <f t="shared" si="88"/>
        <v>Weekday</v>
      </c>
      <c r="F623" s="27">
        <f>F43*IF($E623="weekday",INDEX('Category Mapping'!$F$28:$F$39,MATCH('Summarized Source Data'!$A623,'Category Mapping'!$A$28:$A$39,0),1),INDEX('Category Mapping'!$E$28:$E$39,MATCH($A623,'Category Mapping'!$A$28:$A$39,0),1))</f>
        <v>280000000</v>
      </c>
      <c r="G623" s="27">
        <f>G43*IF($E623="weekday",INDEX('Category Mapping'!$F$28:$F$39,MATCH('Summarized Source Data'!$A623,'Category Mapping'!$A$28:$A$39,0),1),INDEX('Category Mapping'!$E$28:$E$39,MATCH($A623,'Category Mapping'!$A$28:$A$39,0),1))</f>
        <v>165180</v>
      </c>
      <c r="H623" s="27">
        <f>H43*IF($E623="weekday",INDEX('Category Mapping'!$F$28:$F$39,MATCH('Summarized Source Data'!$A623,'Category Mapping'!$A$28:$A$39,0),1),INDEX('Category Mapping'!$E$28:$E$39,MATCH($A623,'Category Mapping'!$A$28:$A$39,0),1))</f>
        <v>0</v>
      </c>
      <c r="I623" s="27">
        <f>I43*IF($E623="weekday",INDEX('Category Mapping'!$F$28:$F$39,MATCH('Summarized Source Data'!$A623,'Category Mapping'!$A$28:$A$39,0),1),INDEX('Category Mapping'!$E$28:$E$39,MATCH($A623,'Category Mapping'!$A$28:$A$39,0),1))</f>
        <v>266000000</v>
      </c>
      <c r="J623" s="27">
        <f>J43*IF($E623="weekday",INDEX('Category Mapping'!$F$28:$F$39,MATCH('Summarized Source Data'!$A623,'Category Mapping'!$A$28:$A$39,0),1),INDEX('Category Mapping'!$E$28:$E$39,MATCH($A623,'Category Mapping'!$A$28:$A$39,0),1))</f>
        <v>2453834820</v>
      </c>
      <c r="K623" s="27">
        <f>K43*IF($E623="weekday",INDEX('Category Mapping'!$F$28:$F$39,MATCH('Summarized Source Data'!$A623,'Category Mapping'!$A$28:$A$39,0),1),INDEX('Category Mapping'!$E$28:$E$39,MATCH($A623,'Category Mapping'!$A$28:$A$39,0),1))</f>
        <v>2453834820</v>
      </c>
      <c r="L623" s="27">
        <f>L43*IF($E623="weekday",INDEX('Category Mapping'!$F$28:$F$39,MATCH('Summarized Source Data'!$A623,'Category Mapping'!$A$28:$A$39,0),1),INDEX('Category Mapping'!$E$28:$E$39,MATCH($A623,'Category Mapping'!$A$28:$A$39,0),1))</f>
        <v>780000000</v>
      </c>
      <c r="M623" s="27">
        <f>M43*IF($E623="weekday",INDEX('Category Mapping'!$F$28:$F$39,MATCH('Summarized Source Data'!$A623,'Category Mapping'!$A$28:$A$39,0),1),INDEX('Category Mapping'!$E$28:$E$39,MATCH($A623,'Category Mapping'!$A$28:$A$39,0),1))</f>
        <v>1479440</v>
      </c>
      <c r="N623" s="27">
        <f>N43*IF($E623="weekday",INDEX('Category Mapping'!$F$28:$F$39,MATCH('Summarized Source Data'!$A623,'Category Mapping'!$A$28:$A$39,0),1),INDEX('Category Mapping'!$E$28:$E$39,MATCH($A623,'Category Mapping'!$A$28:$A$39,0),1))</f>
        <v>0</v>
      </c>
      <c r="O623" s="27">
        <f>O43*IF($E623="weekday",INDEX('Category Mapping'!$F$28:$F$39,MATCH('Summarized Source Data'!$A623,'Category Mapping'!$A$28:$A$39,0),1),INDEX('Category Mapping'!$E$28:$E$39,MATCH($A623,'Category Mapping'!$A$28:$A$39,0),1))</f>
        <v>10238520560</v>
      </c>
      <c r="P623" s="27">
        <f>P43*IF($E623="weekday",INDEX('Category Mapping'!$F$28:$F$39,MATCH('Summarized Source Data'!$A623,'Category Mapping'!$A$28:$A$39,0),1),INDEX('Category Mapping'!$E$28:$E$39,MATCH($A623,'Category Mapping'!$A$28:$A$39,0),1))</f>
        <v>10238520560</v>
      </c>
      <c r="Q623" s="27">
        <f>Q43*IF($E623="weekday",INDEX('Category Mapping'!$F$28:$F$39,MATCH('Summarized Source Data'!$A623,'Category Mapping'!$A$28:$A$39,0),1),INDEX('Category Mapping'!$E$28:$E$39,MATCH($A623,'Category Mapping'!$A$28:$A$39,0),1))</f>
        <v>10238520560</v>
      </c>
      <c r="R623" s="27">
        <f>R43*IF($E623="weekday",INDEX('Category Mapping'!$F$28:$F$39,MATCH('Summarized Source Data'!$A623,'Category Mapping'!$A$28:$A$39,0),1),INDEX('Category Mapping'!$E$28:$E$39,MATCH($A623,'Category Mapping'!$A$28:$A$39,0),1))</f>
        <v>290000000</v>
      </c>
      <c r="S623" s="27">
        <f>S43*IF($E623="weekday",INDEX('Category Mapping'!$F$28:$F$39,MATCH('Summarized Source Data'!$A623,'Category Mapping'!$A$28:$A$39,0),1),INDEX('Category Mapping'!$E$28:$E$39,MATCH($A623,'Category Mapping'!$A$28:$A$39,0),1))</f>
        <v>290000000</v>
      </c>
      <c r="T623" s="27">
        <f>T43*IF($E623="weekday",INDEX('Category Mapping'!$F$28:$F$39,MATCH('Summarized Source Data'!$A623,'Category Mapping'!$A$28:$A$39,0),1),INDEX('Category Mapping'!$E$28:$E$39,MATCH($A623,'Category Mapping'!$A$28:$A$39,0),1))</f>
        <v>290000000</v>
      </c>
      <c r="U623" s="27">
        <f>U43*IF($E623="weekday",INDEX('Category Mapping'!$F$28:$F$39,MATCH('Summarized Source Data'!$A623,'Category Mapping'!$A$28:$A$39,0),1),INDEX('Category Mapping'!$E$28:$E$39,MATCH($A623,'Category Mapping'!$A$28:$A$39,0),1))</f>
        <v>290000000</v>
      </c>
      <c r="V623" s="27">
        <f>V43*IF($E623="weekday",INDEX('Category Mapping'!$F$28:$F$39,MATCH('Summarized Source Data'!$A623,'Category Mapping'!$A$28:$A$39,0),1),INDEX('Category Mapping'!$E$28:$E$39,MATCH($A623,'Category Mapping'!$A$28:$A$39,0),1))</f>
        <v>290000000</v>
      </c>
      <c r="W623" s="27">
        <f>W43*IF($E623="weekday",INDEX('Category Mapping'!$F$28:$F$39,MATCH('Summarized Source Data'!$A623,'Category Mapping'!$A$28:$A$39,0),1),INDEX('Category Mapping'!$E$28:$E$39,MATCH($A623,'Category Mapping'!$A$28:$A$39,0),1))</f>
        <v>290000000</v>
      </c>
      <c r="X623" s="27">
        <f>X43*IF($E623="weekday",INDEX('Category Mapping'!$F$28:$F$39,MATCH('Summarized Source Data'!$A623,'Category Mapping'!$A$28:$A$39,0),1),INDEX('Category Mapping'!$E$28:$E$39,MATCH($A623,'Category Mapping'!$A$28:$A$39,0),1))</f>
        <v>13660000000</v>
      </c>
      <c r="Y623" s="27">
        <f>Y43*IF($E623="weekday",INDEX('Category Mapping'!$F$28:$F$39,MATCH('Summarized Source Data'!$A623,'Category Mapping'!$A$28:$A$39,0),1),INDEX('Category Mapping'!$E$28:$E$39,MATCH($A623,'Category Mapping'!$A$28:$A$39,0),1))</f>
        <v>13660000000</v>
      </c>
      <c r="Z623" s="27">
        <f>Z43*IF($E623="weekday",INDEX('Category Mapping'!$F$28:$F$39,MATCH('Summarized Source Data'!$A623,'Category Mapping'!$A$28:$A$39,0),1),INDEX('Category Mapping'!$E$28:$E$39,MATCH($A623,'Category Mapping'!$A$28:$A$39,0),1))</f>
        <v>13660000000</v>
      </c>
    </row>
    <row r="624" spans="1:26" x14ac:dyDescent="0.3">
      <c r="A624">
        <f t="shared" ref="A624:E624" si="89">A44</f>
        <v>2</v>
      </c>
      <c r="B624" t="str">
        <f t="shared" si="89"/>
        <v>Winter</v>
      </c>
      <c r="C624" t="str">
        <f t="shared" si="89"/>
        <v>h17</v>
      </c>
      <c r="D624" t="str">
        <f t="shared" si="89"/>
        <v>Hour16</v>
      </c>
      <c r="E624" t="str">
        <f t="shared" si="89"/>
        <v>Weekday</v>
      </c>
      <c r="F624" s="27">
        <f>F44*IF($E624="weekday",INDEX('Category Mapping'!$F$28:$F$39,MATCH('Summarized Source Data'!$A624,'Category Mapping'!$A$28:$A$39,0),1),INDEX('Category Mapping'!$E$28:$E$39,MATCH($A624,'Category Mapping'!$A$28:$A$39,0),1))</f>
        <v>298000000</v>
      </c>
      <c r="G624" s="27">
        <f>G44*IF($E624="weekday",INDEX('Category Mapping'!$F$28:$F$39,MATCH('Summarized Source Data'!$A624,'Category Mapping'!$A$28:$A$39,0),1),INDEX('Category Mapping'!$E$28:$E$39,MATCH($A624,'Category Mapping'!$A$28:$A$39,0),1))</f>
        <v>180360</v>
      </c>
      <c r="H624" s="27">
        <f>H44*IF($E624="weekday",INDEX('Category Mapping'!$F$28:$F$39,MATCH('Summarized Source Data'!$A624,'Category Mapping'!$A$28:$A$39,0),1),INDEX('Category Mapping'!$E$28:$E$39,MATCH($A624,'Category Mapping'!$A$28:$A$39,0),1))</f>
        <v>0</v>
      </c>
      <c r="I624" s="27">
        <f>I44*IF($E624="weekday",INDEX('Category Mapping'!$F$28:$F$39,MATCH('Summarized Source Data'!$A624,'Category Mapping'!$A$28:$A$39,0),1),INDEX('Category Mapping'!$E$28:$E$39,MATCH($A624,'Category Mapping'!$A$28:$A$39,0),1))</f>
        <v>458000000</v>
      </c>
      <c r="J624" s="27">
        <f>J44*IF($E624="weekday",INDEX('Category Mapping'!$F$28:$F$39,MATCH('Summarized Source Data'!$A624,'Category Mapping'!$A$28:$A$39,0),1),INDEX('Category Mapping'!$E$28:$E$39,MATCH($A624,'Category Mapping'!$A$28:$A$39,0),1))</f>
        <v>2983819640</v>
      </c>
      <c r="K624" s="27">
        <f>K44*IF($E624="weekday",INDEX('Category Mapping'!$F$28:$F$39,MATCH('Summarized Source Data'!$A624,'Category Mapping'!$A$28:$A$39,0),1),INDEX('Category Mapping'!$E$28:$E$39,MATCH($A624,'Category Mapping'!$A$28:$A$39,0),1))</f>
        <v>2983819640</v>
      </c>
      <c r="L624" s="27">
        <f>L44*IF($E624="weekday",INDEX('Category Mapping'!$F$28:$F$39,MATCH('Summarized Source Data'!$A624,'Category Mapping'!$A$28:$A$39,0),1),INDEX('Category Mapping'!$E$28:$E$39,MATCH($A624,'Category Mapping'!$A$28:$A$39,0),1))</f>
        <v>758000000</v>
      </c>
      <c r="M624" s="27">
        <f>M44*IF($E624="weekday",INDEX('Category Mapping'!$F$28:$F$39,MATCH('Summarized Source Data'!$A624,'Category Mapping'!$A$28:$A$39,0),1),INDEX('Category Mapping'!$E$28:$E$39,MATCH($A624,'Category Mapping'!$A$28:$A$39,0),1))</f>
        <v>1449080</v>
      </c>
      <c r="N624" s="27">
        <f>N44*IF($E624="weekday",INDEX('Category Mapping'!$F$28:$F$39,MATCH('Summarized Source Data'!$A624,'Category Mapping'!$A$28:$A$39,0),1),INDEX('Category Mapping'!$E$28:$E$39,MATCH($A624,'Category Mapping'!$A$28:$A$39,0),1))</f>
        <v>0</v>
      </c>
      <c r="O624" s="27">
        <f>O44*IF($E624="weekday",INDEX('Category Mapping'!$F$28:$F$39,MATCH('Summarized Source Data'!$A624,'Category Mapping'!$A$28:$A$39,0),1),INDEX('Category Mapping'!$E$28:$E$39,MATCH($A624,'Category Mapping'!$A$28:$A$39,0),1))</f>
        <v>9900550920</v>
      </c>
      <c r="P624" s="27">
        <f>P44*IF($E624="weekday",INDEX('Category Mapping'!$F$28:$F$39,MATCH('Summarized Source Data'!$A624,'Category Mapping'!$A$28:$A$39,0),1),INDEX('Category Mapping'!$E$28:$E$39,MATCH($A624,'Category Mapping'!$A$28:$A$39,0),1))</f>
        <v>9900550920</v>
      </c>
      <c r="Q624" s="27">
        <f>Q44*IF($E624="weekday",INDEX('Category Mapping'!$F$28:$F$39,MATCH('Summarized Source Data'!$A624,'Category Mapping'!$A$28:$A$39,0),1),INDEX('Category Mapping'!$E$28:$E$39,MATCH($A624,'Category Mapping'!$A$28:$A$39,0),1))</f>
        <v>9900550920</v>
      </c>
      <c r="R624" s="27">
        <f>R44*IF($E624="weekday",INDEX('Category Mapping'!$F$28:$F$39,MATCH('Summarized Source Data'!$A624,'Category Mapping'!$A$28:$A$39,0),1),INDEX('Category Mapping'!$E$28:$E$39,MATCH($A624,'Category Mapping'!$A$28:$A$39,0),1))</f>
        <v>334000000</v>
      </c>
      <c r="S624" s="27">
        <f>S44*IF($E624="weekday",INDEX('Category Mapping'!$F$28:$F$39,MATCH('Summarized Source Data'!$A624,'Category Mapping'!$A$28:$A$39,0),1),INDEX('Category Mapping'!$E$28:$E$39,MATCH($A624,'Category Mapping'!$A$28:$A$39,0),1))</f>
        <v>334000000</v>
      </c>
      <c r="T624" s="27">
        <f>T44*IF($E624="weekday",INDEX('Category Mapping'!$F$28:$F$39,MATCH('Summarized Source Data'!$A624,'Category Mapping'!$A$28:$A$39,0),1),INDEX('Category Mapping'!$E$28:$E$39,MATCH($A624,'Category Mapping'!$A$28:$A$39,0),1))</f>
        <v>334000000</v>
      </c>
      <c r="U624" s="27">
        <f>U44*IF($E624="weekday",INDEX('Category Mapping'!$F$28:$F$39,MATCH('Summarized Source Data'!$A624,'Category Mapping'!$A$28:$A$39,0),1),INDEX('Category Mapping'!$E$28:$E$39,MATCH($A624,'Category Mapping'!$A$28:$A$39,0),1))</f>
        <v>334000000</v>
      </c>
      <c r="V624" s="27">
        <f>V44*IF($E624="weekday",INDEX('Category Mapping'!$F$28:$F$39,MATCH('Summarized Source Data'!$A624,'Category Mapping'!$A$28:$A$39,0),1),INDEX('Category Mapping'!$E$28:$E$39,MATCH($A624,'Category Mapping'!$A$28:$A$39,0),1))</f>
        <v>334000000</v>
      </c>
      <c r="W624" s="27">
        <f>W44*IF($E624="weekday",INDEX('Category Mapping'!$F$28:$F$39,MATCH('Summarized Source Data'!$A624,'Category Mapping'!$A$28:$A$39,0),1),INDEX('Category Mapping'!$E$28:$E$39,MATCH($A624,'Category Mapping'!$A$28:$A$39,0),1))</f>
        <v>334000000</v>
      </c>
      <c r="X624" s="27">
        <f>X44*IF($E624="weekday",INDEX('Category Mapping'!$F$28:$F$39,MATCH('Summarized Source Data'!$A624,'Category Mapping'!$A$28:$A$39,0),1),INDEX('Category Mapping'!$E$28:$E$39,MATCH($A624,'Category Mapping'!$A$28:$A$39,0),1))</f>
        <v>13800000000</v>
      </c>
      <c r="Y624" s="27">
        <f>Y44*IF($E624="weekday",INDEX('Category Mapping'!$F$28:$F$39,MATCH('Summarized Source Data'!$A624,'Category Mapping'!$A$28:$A$39,0),1),INDEX('Category Mapping'!$E$28:$E$39,MATCH($A624,'Category Mapping'!$A$28:$A$39,0),1))</f>
        <v>13800000000</v>
      </c>
      <c r="Z624" s="27">
        <f>Z44*IF($E624="weekday",INDEX('Category Mapping'!$F$28:$F$39,MATCH('Summarized Source Data'!$A624,'Category Mapping'!$A$28:$A$39,0),1),INDEX('Category Mapping'!$E$28:$E$39,MATCH($A624,'Category Mapping'!$A$28:$A$39,0),1))</f>
        <v>13800000000</v>
      </c>
    </row>
    <row r="625" spans="1:26" x14ac:dyDescent="0.3">
      <c r="A625">
        <f t="shared" ref="A625:E625" si="90">A45</f>
        <v>2</v>
      </c>
      <c r="B625" t="str">
        <f t="shared" si="90"/>
        <v>Winter</v>
      </c>
      <c r="C625" t="str">
        <f t="shared" si="90"/>
        <v>h18</v>
      </c>
      <c r="D625" t="str">
        <f t="shared" si="90"/>
        <v>Hour17</v>
      </c>
      <c r="E625" t="str">
        <f t="shared" si="90"/>
        <v>Weekday</v>
      </c>
      <c r="F625" s="27">
        <f>F45*IF($E625="weekday",INDEX('Category Mapping'!$F$28:$F$39,MATCH('Summarized Source Data'!$A625,'Category Mapping'!$A$28:$A$39,0),1),INDEX('Category Mapping'!$E$28:$E$39,MATCH($A625,'Category Mapping'!$A$28:$A$39,0),1))</f>
        <v>324000000</v>
      </c>
      <c r="G625" s="27">
        <f>G45*IF($E625="weekday",INDEX('Category Mapping'!$F$28:$F$39,MATCH('Summarized Source Data'!$A625,'Category Mapping'!$A$28:$A$39,0),1),INDEX('Category Mapping'!$E$28:$E$39,MATCH($A625,'Category Mapping'!$A$28:$A$39,0),1))</f>
        <v>197700</v>
      </c>
      <c r="H625" s="27">
        <f>H45*IF($E625="weekday",INDEX('Category Mapping'!$F$28:$F$39,MATCH('Summarized Source Data'!$A625,'Category Mapping'!$A$28:$A$39,0),1),INDEX('Category Mapping'!$E$28:$E$39,MATCH($A625,'Category Mapping'!$A$28:$A$39,0),1))</f>
        <v>0</v>
      </c>
      <c r="I625" s="27">
        <f>I45*IF($E625="weekday",INDEX('Category Mapping'!$F$28:$F$39,MATCH('Summarized Source Data'!$A625,'Category Mapping'!$A$28:$A$39,0),1),INDEX('Category Mapping'!$E$28:$E$39,MATCH($A625,'Category Mapping'!$A$28:$A$39,0),1))</f>
        <v>1050000000</v>
      </c>
      <c r="J625" s="27">
        <f>J45*IF($E625="weekday",INDEX('Category Mapping'!$F$28:$F$39,MATCH('Summarized Source Data'!$A625,'Category Mapping'!$A$28:$A$39,0),1),INDEX('Category Mapping'!$E$28:$E$39,MATCH($A625,'Category Mapping'!$A$28:$A$39,0),1))</f>
        <v>3305802300</v>
      </c>
      <c r="K625" s="27">
        <f>K45*IF($E625="weekday",INDEX('Category Mapping'!$F$28:$F$39,MATCH('Summarized Source Data'!$A625,'Category Mapping'!$A$28:$A$39,0),1),INDEX('Category Mapping'!$E$28:$E$39,MATCH($A625,'Category Mapping'!$A$28:$A$39,0),1))</f>
        <v>3305802300</v>
      </c>
      <c r="L625" s="27">
        <f>L45*IF($E625="weekday",INDEX('Category Mapping'!$F$28:$F$39,MATCH('Summarized Source Data'!$A625,'Category Mapping'!$A$28:$A$39,0),1),INDEX('Category Mapping'!$E$28:$E$39,MATCH($A625,'Category Mapping'!$A$28:$A$39,0),1))</f>
        <v>754000000</v>
      </c>
      <c r="M625" s="27">
        <f>M45*IF($E625="weekday",INDEX('Category Mapping'!$F$28:$F$39,MATCH('Summarized Source Data'!$A625,'Category Mapping'!$A$28:$A$39,0),1),INDEX('Category Mapping'!$E$28:$E$39,MATCH($A625,'Category Mapping'!$A$28:$A$39,0),1))</f>
        <v>1381580</v>
      </c>
      <c r="N625" s="27">
        <f>N45*IF($E625="weekday",INDEX('Category Mapping'!$F$28:$F$39,MATCH('Summarized Source Data'!$A625,'Category Mapping'!$A$28:$A$39,0),1),INDEX('Category Mapping'!$E$28:$E$39,MATCH($A625,'Category Mapping'!$A$28:$A$39,0),1))</f>
        <v>0</v>
      </c>
      <c r="O625" s="27">
        <f>O45*IF($E625="weekday",INDEX('Category Mapping'!$F$28:$F$39,MATCH('Summarized Source Data'!$A625,'Category Mapping'!$A$28:$A$39,0),1),INDEX('Category Mapping'!$E$28:$E$39,MATCH($A625,'Category Mapping'!$A$28:$A$39,0),1))</f>
        <v>9304618420</v>
      </c>
      <c r="P625" s="27">
        <f>P45*IF($E625="weekday",INDEX('Category Mapping'!$F$28:$F$39,MATCH('Summarized Source Data'!$A625,'Category Mapping'!$A$28:$A$39,0),1),INDEX('Category Mapping'!$E$28:$E$39,MATCH($A625,'Category Mapping'!$A$28:$A$39,0),1))</f>
        <v>9304618420</v>
      </c>
      <c r="Q625" s="27">
        <f>Q45*IF($E625="weekday",INDEX('Category Mapping'!$F$28:$F$39,MATCH('Summarized Source Data'!$A625,'Category Mapping'!$A$28:$A$39,0),1),INDEX('Category Mapping'!$E$28:$E$39,MATCH($A625,'Category Mapping'!$A$28:$A$39,0),1))</f>
        <v>9304618420</v>
      </c>
      <c r="R625" s="27">
        <f>R45*IF($E625="weekday",INDEX('Category Mapping'!$F$28:$F$39,MATCH('Summarized Source Data'!$A625,'Category Mapping'!$A$28:$A$39,0),1),INDEX('Category Mapping'!$E$28:$E$39,MATCH($A625,'Category Mapping'!$A$28:$A$39,0),1))</f>
        <v>352000000</v>
      </c>
      <c r="S625" s="27">
        <f>S45*IF($E625="weekday",INDEX('Category Mapping'!$F$28:$F$39,MATCH('Summarized Source Data'!$A625,'Category Mapping'!$A$28:$A$39,0),1),INDEX('Category Mapping'!$E$28:$E$39,MATCH($A625,'Category Mapping'!$A$28:$A$39,0),1))</f>
        <v>352000000</v>
      </c>
      <c r="T625" s="27">
        <f>T45*IF($E625="weekday",INDEX('Category Mapping'!$F$28:$F$39,MATCH('Summarized Source Data'!$A625,'Category Mapping'!$A$28:$A$39,0),1),INDEX('Category Mapping'!$E$28:$E$39,MATCH($A625,'Category Mapping'!$A$28:$A$39,0),1))</f>
        <v>352000000</v>
      </c>
      <c r="U625" s="27">
        <f>U45*IF($E625="weekday",INDEX('Category Mapping'!$F$28:$F$39,MATCH('Summarized Source Data'!$A625,'Category Mapping'!$A$28:$A$39,0),1),INDEX('Category Mapping'!$E$28:$E$39,MATCH($A625,'Category Mapping'!$A$28:$A$39,0),1))</f>
        <v>352000000</v>
      </c>
      <c r="V625" s="27">
        <f>V45*IF($E625="weekday",INDEX('Category Mapping'!$F$28:$F$39,MATCH('Summarized Source Data'!$A625,'Category Mapping'!$A$28:$A$39,0),1),INDEX('Category Mapping'!$E$28:$E$39,MATCH($A625,'Category Mapping'!$A$28:$A$39,0),1))</f>
        <v>352000000</v>
      </c>
      <c r="W625" s="27">
        <f>W45*IF($E625="weekday",INDEX('Category Mapping'!$F$28:$F$39,MATCH('Summarized Source Data'!$A625,'Category Mapping'!$A$28:$A$39,0),1),INDEX('Category Mapping'!$E$28:$E$39,MATCH($A625,'Category Mapping'!$A$28:$A$39,0),1))</f>
        <v>352000000</v>
      </c>
      <c r="X625" s="27">
        <f>X45*IF($E625="weekday",INDEX('Category Mapping'!$F$28:$F$39,MATCH('Summarized Source Data'!$A625,'Category Mapping'!$A$28:$A$39,0),1),INDEX('Category Mapping'!$E$28:$E$39,MATCH($A625,'Category Mapping'!$A$28:$A$39,0),1))</f>
        <v>13820000000</v>
      </c>
      <c r="Y625" s="27">
        <f>Y45*IF($E625="weekday",INDEX('Category Mapping'!$F$28:$F$39,MATCH('Summarized Source Data'!$A625,'Category Mapping'!$A$28:$A$39,0),1),INDEX('Category Mapping'!$E$28:$E$39,MATCH($A625,'Category Mapping'!$A$28:$A$39,0),1))</f>
        <v>13820000000</v>
      </c>
      <c r="Z625" s="27">
        <f>Z45*IF($E625="weekday",INDEX('Category Mapping'!$F$28:$F$39,MATCH('Summarized Source Data'!$A625,'Category Mapping'!$A$28:$A$39,0),1),INDEX('Category Mapping'!$E$28:$E$39,MATCH($A625,'Category Mapping'!$A$28:$A$39,0),1))</f>
        <v>13820000000</v>
      </c>
    </row>
    <row r="626" spans="1:26" x14ac:dyDescent="0.3">
      <c r="A626">
        <f t="shared" ref="A626:E626" si="91">A46</f>
        <v>2</v>
      </c>
      <c r="B626" t="str">
        <f t="shared" si="91"/>
        <v>Winter</v>
      </c>
      <c r="C626" t="str">
        <f t="shared" si="91"/>
        <v>h19</v>
      </c>
      <c r="D626" t="str">
        <f t="shared" si="91"/>
        <v>Hour18</v>
      </c>
      <c r="E626" t="str">
        <f t="shared" si="91"/>
        <v>Weekday</v>
      </c>
      <c r="F626" s="27">
        <f>F46*IF($E626="weekday",INDEX('Category Mapping'!$F$28:$F$39,MATCH('Summarized Source Data'!$A626,'Category Mapping'!$A$28:$A$39,0),1),INDEX('Category Mapping'!$E$28:$E$39,MATCH($A626,'Category Mapping'!$A$28:$A$39,0),1))</f>
        <v>354000000</v>
      </c>
      <c r="G626" s="27">
        <f>G46*IF($E626="weekday",INDEX('Category Mapping'!$F$28:$F$39,MATCH('Summarized Source Data'!$A626,'Category Mapping'!$A$28:$A$39,0),1),INDEX('Category Mapping'!$E$28:$E$39,MATCH($A626,'Category Mapping'!$A$28:$A$39,0),1))</f>
        <v>219460</v>
      </c>
      <c r="H626" s="27">
        <f>H46*IF($E626="weekday",INDEX('Category Mapping'!$F$28:$F$39,MATCH('Summarized Source Data'!$A626,'Category Mapping'!$A$28:$A$39,0),1),INDEX('Category Mapping'!$E$28:$E$39,MATCH($A626,'Category Mapping'!$A$28:$A$39,0),1))</f>
        <v>0</v>
      </c>
      <c r="I626" s="27">
        <f>I46*IF($E626="weekday",INDEX('Category Mapping'!$F$28:$F$39,MATCH('Summarized Source Data'!$A626,'Category Mapping'!$A$28:$A$39,0),1),INDEX('Category Mapping'!$E$28:$E$39,MATCH($A626,'Category Mapping'!$A$28:$A$39,0),1))</f>
        <v>1150000000</v>
      </c>
      <c r="J626" s="27">
        <f>J46*IF($E626="weekday",INDEX('Category Mapping'!$F$28:$F$39,MATCH('Summarized Source Data'!$A626,'Category Mapping'!$A$28:$A$39,0),1),INDEX('Category Mapping'!$E$28:$E$39,MATCH($A626,'Category Mapping'!$A$28:$A$39,0),1))</f>
        <v>3215780540</v>
      </c>
      <c r="K626" s="27">
        <f>K46*IF($E626="weekday",INDEX('Category Mapping'!$F$28:$F$39,MATCH('Summarized Source Data'!$A626,'Category Mapping'!$A$28:$A$39,0),1),INDEX('Category Mapping'!$E$28:$E$39,MATCH($A626,'Category Mapping'!$A$28:$A$39,0),1))</f>
        <v>3215780540</v>
      </c>
      <c r="L626" s="27">
        <f>L46*IF($E626="weekday",INDEX('Category Mapping'!$F$28:$F$39,MATCH('Summarized Source Data'!$A626,'Category Mapping'!$A$28:$A$39,0),1),INDEX('Category Mapping'!$E$28:$E$39,MATCH($A626,'Category Mapping'!$A$28:$A$39,0),1))</f>
        <v>876000000</v>
      </c>
      <c r="M626" s="27">
        <f>M46*IF($E626="weekday",INDEX('Category Mapping'!$F$28:$F$39,MATCH('Summarized Source Data'!$A626,'Category Mapping'!$A$28:$A$39,0),1),INDEX('Category Mapping'!$E$28:$E$39,MATCH($A626,'Category Mapping'!$A$28:$A$39,0),1))</f>
        <v>1323100</v>
      </c>
      <c r="N626" s="27">
        <f>N46*IF($E626="weekday",INDEX('Category Mapping'!$F$28:$F$39,MATCH('Summarized Source Data'!$A626,'Category Mapping'!$A$28:$A$39,0),1),INDEX('Category Mapping'!$E$28:$E$39,MATCH($A626,'Category Mapping'!$A$28:$A$39,0),1))</f>
        <v>0</v>
      </c>
      <c r="O626" s="27">
        <f>O46*IF($E626="weekday",INDEX('Category Mapping'!$F$28:$F$39,MATCH('Summarized Source Data'!$A626,'Category Mapping'!$A$28:$A$39,0),1),INDEX('Category Mapping'!$E$28:$E$39,MATCH($A626,'Category Mapping'!$A$28:$A$39,0),1))</f>
        <v>8862676900</v>
      </c>
      <c r="P626" s="27">
        <f>P46*IF($E626="weekday",INDEX('Category Mapping'!$F$28:$F$39,MATCH('Summarized Source Data'!$A626,'Category Mapping'!$A$28:$A$39,0),1),INDEX('Category Mapping'!$E$28:$E$39,MATCH($A626,'Category Mapping'!$A$28:$A$39,0),1))</f>
        <v>8862676900</v>
      </c>
      <c r="Q626" s="27">
        <f>Q46*IF($E626="weekday",INDEX('Category Mapping'!$F$28:$F$39,MATCH('Summarized Source Data'!$A626,'Category Mapping'!$A$28:$A$39,0),1),INDEX('Category Mapping'!$E$28:$E$39,MATCH($A626,'Category Mapping'!$A$28:$A$39,0),1))</f>
        <v>8862676900</v>
      </c>
      <c r="R626" s="27">
        <f>R46*IF($E626="weekday",INDEX('Category Mapping'!$F$28:$F$39,MATCH('Summarized Source Data'!$A626,'Category Mapping'!$A$28:$A$39,0),1),INDEX('Category Mapping'!$E$28:$E$39,MATCH($A626,'Category Mapping'!$A$28:$A$39,0),1))</f>
        <v>324000000</v>
      </c>
      <c r="S626" s="27">
        <f>S46*IF($E626="weekday",INDEX('Category Mapping'!$F$28:$F$39,MATCH('Summarized Source Data'!$A626,'Category Mapping'!$A$28:$A$39,0),1),INDEX('Category Mapping'!$E$28:$E$39,MATCH($A626,'Category Mapping'!$A$28:$A$39,0),1))</f>
        <v>324000000</v>
      </c>
      <c r="T626" s="27">
        <f>T46*IF($E626="weekday",INDEX('Category Mapping'!$F$28:$F$39,MATCH('Summarized Source Data'!$A626,'Category Mapping'!$A$28:$A$39,0),1),INDEX('Category Mapping'!$E$28:$E$39,MATCH($A626,'Category Mapping'!$A$28:$A$39,0),1))</f>
        <v>324000000</v>
      </c>
      <c r="U626" s="27">
        <f>U46*IF($E626="weekday",INDEX('Category Mapping'!$F$28:$F$39,MATCH('Summarized Source Data'!$A626,'Category Mapping'!$A$28:$A$39,0),1),INDEX('Category Mapping'!$E$28:$E$39,MATCH($A626,'Category Mapping'!$A$28:$A$39,0),1))</f>
        <v>324000000</v>
      </c>
      <c r="V626" s="27">
        <f>V46*IF($E626="weekday",INDEX('Category Mapping'!$F$28:$F$39,MATCH('Summarized Source Data'!$A626,'Category Mapping'!$A$28:$A$39,0),1),INDEX('Category Mapping'!$E$28:$E$39,MATCH($A626,'Category Mapping'!$A$28:$A$39,0),1))</f>
        <v>324000000</v>
      </c>
      <c r="W626" s="27">
        <f>W46*IF($E626="weekday",INDEX('Category Mapping'!$F$28:$F$39,MATCH('Summarized Source Data'!$A626,'Category Mapping'!$A$28:$A$39,0),1),INDEX('Category Mapping'!$E$28:$E$39,MATCH($A626,'Category Mapping'!$A$28:$A$39,0),1))</f>
        <v>324000000</v>
      </c>
      <c r="X626" s="27">
        <f>X46*IF($E626="weekday",INDEX('Category Mapping'!$F$28:$F$39,MATCH('Summarized Source Data'!$A626,'Category Mapping'!$A$28:$A$39,0),1),INDEX('Category Mapping'!$E$28:$E$39,MATCH($A626,'Category Mapping'!$A$28:$A$39,0),1))</f>
        <v>13760000000</v>
      </c>
      <c r="Y626" s="27">
        <f>Y46*IF($E626="weekday",INDEX('Category Mapping'!$F$28:$F$39,MATCH('Summarized Source Data'!$A626,'Category Mapping'!$A$28:$A$39,0),1),INDEX('Category Mapping'!$E$28:$E$39,MATCH($A626,'Category Mapping'!$A$28:$A$39,0),1))</f>
        <v>13760000000</v>
      </c>
      <c r="Z626" s="27">
        <f>Z46*IF($E626="weekday",INDEX('Category Mapping'!$F$28:$F$39,MATCH('Summarized Source Data'!$A626,'Category Mapping'!$A$28:$A$39,0),1),INDEX('Category Mapping'!$E$28:$E$39,MATCH($A626,'Category Mapping'!$A$28:$A$39,0),1))</f>
        <v>13760000000</v>
      </c>
    </row>
    <row r="627" spans="1:26" x14ac:dyDescent="0.3">
      <c r="A627">
        <f t="shared" ref="A627:E627" si="92">A47</f>
        <v>2</v>
      </c>
      <c r="B627" t="str">
        <f t="shared" si="92"/>
        <v>Winter</v>
      </c>
      <c r="C627" t="str">
        <f t="shared" si="92"/>
        <v>h20</v>
      </c>
      <c r="D627" t="str">
        <f t="shared" si="92"/>
        <v>Hour19</v>
      </c>
      <c r="E627" t="str">
        <f t="shared" si="92"/>
        <v>Weekday</v>
      </c>
      <c r="F627" s="27">
        <f>F47*IF($E627="weekday",INDEX('Category Mapping'!$F$28:$F$39,MATCH('Summarized Source Data'!$A627,'Category Mapping'!$A$28:$A$39,0),1),INDEX('Category Mapping'!$E$28:$E$39,MATCH($A627,'Category Mapping'!$A$28:$A$39,0),1))</f>
        <v>384000000</v>
      </c>
      <c r="G627" s="27">
        <f>G47*IF($E627="weekday",INDEX('Category Mapping'!$F$28:$F$39,MATCH('Summarized Source Data'!$A627,'Category Mapping'!$A$28:$A$39,0),1),INDEX('Category Mapping'!$E$28:$E$39,MATCH($A627,'Category Mapping'!$A$28:$A$39,0),1))</f>
        <v>241740</v>
      </c>
      <c r="H627" s="27">
        <f>H47*IF($E627="weekday",INDEX('Category Mapping'!$F$28:$F$39,MATCH('Summarized Source Data'!$A627,'Category Mapping'!$A$28:$A$39,0),1),INDEX('Category Mapping'!$E$28:$E$39,MATCH($A627,'Category Mapping'!$A$28:$A$39,0),1))</f>
        <v>0</v>
      </c>
      <c r="I627" s="27">
        <f>I47*IF($E627="weekday",INDEX('Category Mapping'!$F$28:$F$39,MATCH('Summarized Source Data'!$A627,'Category Mapping'!$A$28:$A$39,0),1),INDEX('Category Mapping'!$E$28:$E$39,MATCH($A627,'Category Mapping'!$A$28:$A$39,0),1))</f>
        <v>1238000000</v>
      </c>
      <c r="J627" s="27">
        <f>J47*IF($E627="weekday",INDEX('Category Mapping'!$F$28:$F$39,MATCH('Summarized Source Data'!$A627,'Category Mapping'!$A$28:$A$39,0),1),INDEX('Category Mapping'!$E$28:$E$39,MATCH($A627,'Category Mapping'!$A$28:$A$39,0),1))</f>
        <v>3077758260</v>
      </c>
      <c r="K627" s="27">
        <f>K47*IF($E627="weekday",INDEX('Category Mapping'!$F$28:$F$39,MATCH('Summarized Source Data'!$A627,'Category Mapping'!$A$28:$A$39,0),1),INDEX('Category Mapping'!$E$28:$E$39,MATCH($A627,'Category Mapping'!$A$28:$A$39,0),1))</f>
        <v>3077758260</v>
      </c>
      <c r="L627" s="27">
        <f>L47*IF($E627="weekday",INDEX('Category Mapping'!$F$28:$F$39,MATCH('Summarized Source Data'!$A627,'Category Mapping'!$A$28:$A$39,0),1),INDEX('Category Mapping'!$E$28:$E$39,MATCH($A627,'Category Mapping'!$A$28:$A$39,0),1))</f>
        <v>1016000000</v>
      </c>
      <c r="M627" s="27">
        <f>M47*IF($E627="weekday",INDEX('Category Mapping'!$F$28:$F$39,MATCH('Summarized Source Data'!$A627,'Category Mapping'!$A$28:$A$39,0),1),INDEX('Category Mapping'!$E$28:$E$39,MATCH($A627,'Category Mapping'!$A$28:$A$39,0),1))</f>
        <v>1239640</v>
      </c>
      <c r="N627" s="27">
        <f>N47*IF($E627="weekday",INDEX('Category Mapping'!$F$28:$F$39,MATCH('Summarized Source Data'!$A627,'Category Mapping'!$A$28:$A$39,0),1),INDEX('Category Mapping'!$E$28:$E$39,MATCH($A627,'Category Mapping'!$A$28:$A$39,0),1))</f>
        <v>0</v>
      </c>
      <c r="O627" s="27">
        <f>O47*IF($E627="weekday",INDEX('Category Mapping'!$F$28:$F$39,MATCH('Summarized Source Data'!$A627,'Category Mapping'!$A$28:$A$39,0),1),INDEX('Category Mapping'!$E$28:$E$39,MATCH($A627,'Category Mapping'!$A$28:$A$39,0),1))</f>
        <v>7422760360</v>
      </c>
      <c r="P627" s="27">
        <f>P47*IF($E627="weekday",INDEX('Category Mapping'!$F$28:$F$39,MATCH('Summarized Source Data'!$A627,'Category Mapping'!$A$28:$A$39,0),1),INDEX('Category Mapping'!$E$28:$E$39,MATCH($A627,'Category Mapping'!$A$28:$A$39,0),1))</f>
        <v>7422760360</v>
      </c>
      <c r="Q627" s="27">
        <f>Q47*IF($E627="weekday",INDEX('Category Mapping'!$F$28:$F$39,MATCH('Summarized Source Data'!$A627,'Category Mapping'!$A$28:$A$39,0),1),INDEX('Category Mapping'!$E$28:$E$39,MATCH($A627,'Category Mapping'!$A$28:$A$39,0),1))</f>
        <v>7422760360</v>
      </c>
      <c r="R627" s="27">
        <f>R47*IF($E627="weekday",INDEX('Category Mapping'!$F$28:$F$39,MATCH('Summarized Source Data'!$A627,'Category Mapping'!$A$28:$A$39,0),1),INDEX('Category Mapping'!$E$28:$E$39,MATCH($A627,'Category Mapping'!$A$28:$A$39,0),1))</f>
        <v>264000000</v>
      </c>
      <c r="S627" s="27">
        <f>S47*IF($E627="weekday",INDEX('Category Mapping'!$F$28:$F$39,MATCH('Summarized Source Data'!$A627,'Category Mapping'!$A$28:$A$39,0),1),INDEX('Category Mapping'!$E$28:$E$39,MATCH($A627,'Category Mapping'!$A$28:$A$39,0),1))</f>
        <v>264000000</v>
      </c>
      <c r="T627" s="27">
        <f>T47*IF($E627="weekday",INDEX('Category Mapping'!$F$28:$F$39,MATCH('Summarized Source Data'!$A627,'Category Mapping'!$A$28:$A$39,0),1),INDEX('Category Mapping'!$E$28:$E$39,MATCH($A627,'Category Mapping'!$A$28:$A$39,0),1))</f>
        <v>264000000</v>
      </c>
      <c r="U627" s="27">
        <f>U47*IF($E627="weekday",INDEX('Category Mapping'!$F$28:$F$39,MATCH('Summarized Source Data'!$A627,'Category Mapping'!$A$28:$A$39,0),1),INDEX('Category Mapping'!$E$28:$E$39,MATCH($A627,'Category Mapping'!$A$28:$A$39,0),1))</f>
        <v>264000000</v>
      </c>
      <c r="V627" s="27">
        <f>V47*IF($E627="weekday",INDEX('Category Mapping'!$F$28:$F$39,MATCH('Summarized Source Data'!$A627,'Category Mapping'!$A$28:$A$39,0),1),INDEX('Category Mapping'!$E$28:$E$39,MATCH($A627,'Category Mapping'!$A$28:$A$39,0),1))</f>
        <v>264000000</v>
      </c>
      <c r="W627" s="27">
        <f>W47*IF($E627="weekday",INDEX('Category Mapping'!$F$28:$F$39,MATCH('Summarized Source Data'!$A627,'Category Mapping'!$A$28:$A$39,0),1),INDEX('Category Mapping'!$E$28:$E$39,MATCH($A627,'Category Mapping'!$A$28:$A$39,0),1))</f>
        <v>264000000</v>
      </c>
      <c r="X627" s="27">
        <f>X47*IF($E627="weekday",INDEX('Category Mapping'!$F$28:$F$39,MATCH('Summarized Source Data'!$A627,'Category Mapping'!$A$28:$A$39,0),1),INDEX('Category Mapping'!$E$28:$E$39,MATCH($A627,'Category Mapping'!$A$28:$A$39,0),1))</f>
        <v>13680000000</v>
      </c>
      <c r="Y627" s="27">
        <f>Y47*IF($E627="weekday",INDEX('Category Mapping'!$F$28:$F$39,MATCH('Summarized Source Data'!$A627,'Category Mapping'!$A$28:$A$39,0),1),INDEX('Category Mapping'!$E$28:$E$39,MATCH($A627,'Category Mapping'!$A$28:$A$39,0),1))</f>
        <v>13680000000</v>
      </c>
      <c r="Z627" s="27">
        <f>Z47*IF($E627="weekday",INDEX('Category Mapping'!$F$28:$F$39,MATCH('Summarized Source Data'!$A627,'Category Mapping'!$A$28:$A$39,0),1),INDEX('Category Mapping'!$E$28:$E$39,MATCH($A627,'Category Mapping'!$A$28:$A$39,0),1))</f>
        <v>13680000000</v>
      </c>
    </row>
    <row r="628" spans="1:26" x14ac:dyDescent="0.3">
      <c r="A628">
        <f t="shared" ref="A628:E628" si="93">A48</f>
        <v>2</v>
      </c>
      <c r="B628" t="str">
        <f t="shared" si="93"/>
        <v>Winter</v>
      </c>
      <c r="C628" t="str">
        <f t="shared" si="93"/>
        <v>h21</v>
      </c>
      <c r="D628" t="str">
        <f t="shared" si="93"/>
        <v>Hour20</v>
      </c>
      <c r="E628" t="str">
        <f t="shared" si="93"/>
        <v>Weekday</v>
      </c>
      <c r="F628" s="27">
        <f>F48*IF($E628="weekday",INDEX('Category Mapping'!$F$28:$F$39,MATCH('Summarized Source Data'!$A628,'Category Mapping'!$A$28:$A$39,0),1),INDEX('Category Mapping'!$E$28:$E$39,MATCH($A628,'Category Mapping'!$A$28:$A$39,0),1))</f>
        <v>404000000</v>
      </c>
      <c r="G628" s="27">
        <f>G48*IF($E628="weekday",INDEX('Category Mapping'!$F$28:$F$39,MATCH('Summarized Source Data'!$A628,'Category Mapping'!$A$28:$A$39,0),1),INDEX('Category Mapping'!$E$28:$E$39,MATCH($A628,'Category Mapping'!$A$28:$A$39,0),1))</f>
        <v>261660</v>
      </c>
      <c r="H628" s="27">
        <f>H48*IF($E628="weekday",INDEX('Category Mapping'!$F$28:$F$39,MATCH('Summarized Source Data'!$A628,'Category Mapping'!$A$28:$A$39,0),1),INDEX('Category Mapping'!$E$28:$E$39,MATCH($A628,'Category Mapping'!$A$28:$A$39,0),1))</f>
        <v>0</v>
      </c>
      <c r="I628" s="27">
        <f>I48*IF($E628="weekday",INDEX('Category Mapping'!$F$28:$F$39,MATCH('Summarized Source Data'!$A628,'Category Mapping'!$A$28:$A$39,0),1),INDEX('Category Mapping'!$E$28:$E$39,MATCH($A628,'Category Mapping'!$A$28:$A$39,0),1))</f>
        <v>1258000000</v>
      </c>
      <c r="J628" s="27">
        <f>J48*IF($E628="weekday",INDEX('Category Mapping'!$F$28:$F$39,MATCH('Summarized Source Data'!$A628,'Category Mapping'!$A$28:$A$39,0),1),INDEX('Category Mapping'!$E$28:$E$39,MATCH($A628,'Category Mapping'!$A$28:$A$39,0),1))</f>
        <v>2997738340</v>
      </c>
      <c r="K628" s="27">
        <f>K48*IF($E628="weekday",INDEX('Category Mapping'!$F$28:$F$39,MATCH('Summarized Source Data'!$A628,'Category Mapping'!$A$28:$A$39,0),1),INDEX('Category Mapping'!$E$28:$E$39,MATCH($A628,'Category Mapping'!$A$28:$A$39,0),1))</f>
        <v>2997738340</v>
      </c>
      <c r="L628" s="27">
        <f>L48*IF($E628="weekday",INDEX('Category Mapping'!$F$28:$F$39,MATCH('Summarized Source Data'!$A628,'Category Mapping'!$A$28:$A$39,0),1),INDEX('Category Mapping'!$E$28:$E$39,MATCH($A628,'Category Mapping'!$A$28:$A$39,0),1))</f>
        <v>1108000000</v>
      </c>
      <c r="M628" s="27">
        <f>M48*IF($E628="weekday",INDEX('Category Mapping'!$F$28:$F$39,MATCH('Summarized Source Data'!$A628,'Category Mapping'!$A$28:$A$39,0),1),INDEX('Category Mapping'!$E$28:$E$39,MATCH($A628,'Category Mapping'!$A$28:$A$39,0),1))</f>
        <v>1169440</v>
      </c>
      <c r="N628" s="27">
        <f>N48*IF($E628="weekday",INDEX('Category Mapping'!$F$28:$F$39,MATCH('Summarized Source Data'!$A628,'Category Mapping'!$A$28:$A$39,0),1),INDEX('Category Mapping'!$E$28:$E$39,MATCH($A628,'Category Mapping'!$A$28:$A$39,0),1))</f>
        <v>0</v>
      </c>
      <c r="O628" s="27">
        <f>O48*IF($E628="weekday",INDEX('Category Mapping'!$F$28:$F$39,MATCH('Summarized Source Data'!$A628,'Category Mapping'!$A$28:$A$39,0),1),INDEX('Category Mapping'!$E$28:$E$39,MATCH($A628,'Category Mapping'!$A$28:$A$39,0),1))</f>
        <v>6150830560</v>
      </c>
      <c r="P628" s="27">
        <f>P48*IF($E628="weekday",INDEX('Category Mapping'!$F$28:$F$39,MATCH('Summarized Source Data'!$A628,'Category Mapping'!$A$28:$A$39,0),1),INDEX('Category Mapping'!$E$28:$E$39,MATCH($A628,'Category Mapping'!$A$28:$A$39,0),1))</f>
        <v>6150830560</v>
      </c>
      <c r="Q628" s="27">
        <f>Q48*IF($E628="weekday",INDEX('Category Mapping'!$F$28:$F$39,MATCH('Summarized Source Data'!$A628,'Category Mapping'!$A$28:$A$39,0),1),INDEX('Category Mapping'!$E$28:$E$39,MATCH($A628,'Category Mapping'!$A$28:$A$39,0),1))</f>
        <v>6150830560</v>
      </c>
      <c r="R628" s="27">
        <f>R48*IF($E628="weekday",INDEX('Category Mapping'!$F$28:$F$39,MATCH('Summarized Source Data'!$A628,'Category Mapping'!$A$28:$A$39,0),1),INDEX('Category Mapping'!$E$28:$E$39,MATCH($A628,'Category Mapping'!$A$28:$A$39,0),1))</f>
        <v>242000000</v>
      </c>
      <c r="S628" s="27">
        <f>S48*IF($E628="weekday",INDEX('Category Mapping'!$F$28:$F$39,MATCH('Summarized Source Data'!$A628,'Category Mapping'!$A$28:$A$39,0),1),INDEX('Category Mapping'!$E$28:$E$39,MATCH($A628,'Category Mapping'!$A$28:$A$39,0),1))</f>
        <v>242000000</v>
      </c>
      <c r="T628" s="27">
        <f>T48*IF($E628="weekday",INDEX('Category Mapping'!$F$28:$F$39,MATCH('Summarized Source Data'!$A628,'Category Mapping'!$A$28:$A$39,0),1),INDEX('Category Mapping'!$E$28:$E$39,MATCH($A628,'Category Mapping'!$A$28:$A$39,0),1))</f>
        <v>242000000</v>
      </c>
      <c r="U628" s="27">
        <f>U48*IF($E628="weekday",INDEX('Category Mapping'!$F$28:$F$39,MATCH('Summarized Source Data'!$A628,'Category Mapping'!$A$28:$A$39,0),1),INDEX('Category Mapping'!$E$28:$E$39,MATCH($A628,'Category Mapping'!$A$28:$A$39,0),1))</f>
        <v>242000000</v>
      </c>
      <c r="V628" s="27">
        <f>V48*IF($E628="weekday",INDEX('Category Mapping'!$F$28:$F$39,MATCH('Summarized Source Data'!$A628,'Category Mapping'!$A$28:$A$39,0),1),INDEX('Category Mapping'!$E$28:$E$39,MATCH($A628,'Category Mapping'!$A$28:$A$39,0),1))</f>
        <v>242000000</v>
      </c>
      <c r="W628" s="27">
        <f>W48*IF($E628="weekday",INDEX('Category Mapping'!$F$28:$F$39,MATCH('Summarized Source Data'!$A628,'Category Mapping'!$A$28:$A$39,0),1),INDEX('Category Mapping'!$E$28:$E$39,MATCH($A628,'Category Mapping'!$A$28:$A$39,0),1))</f>
        <v>242000000</v>
      </c>
      <c r="X628" s="27">
        <f>X48*IF($E628="weekday",INDEX('Category Mapping'!$F$28:$F$39,MATCH('Summarized Source Data'!$A628,'Category Mapping'!$A$28:$A$39,0),1),INDEX('Category Mapping'!$E$28:$E$39,MATCH($A628,'Category Mapping'!$A$28:$A$39,0),1))</f>
        <v>13580000000</v>
      </c>
      <c r="Y628" s="27">
        <f>Y48*IF($E628="weekday",INDEX('Category Mapping'!$F$28:$F$39,MATCH('Summarized Source Data'!$A628,'Category Mapping'!$A$28:$A$39,0),1),INDEX('Category Mapping'!$E$28:$E$39,MATCH($A628,'Category Mapping'!$A$28:$A$39,0),1))</f>
        <v>13580000000</v>
      </c>
      <c r="Z628" s="27">
        <f>Z48*IF($E628="weekday",INDEX('Category Mapping'!$F$28:$F$39,MATCH('Summarized Source Data'!$A628,'Category Mapping'!$A$28:$A$39,0),1),INDEX('Category Mapping'!$E$28:$E$39,MATCH($A628,'Category Mapping'!$A$28:$A$39,0),1))</f>
        <v>13580000000</v>
      </c>
    </row>
    <row r="629" spans="1:26" x14ac:dyDescent="0.3">
      <c r="A629">
        <f t="shared" ref="A629:E629" si="94">A49</f>
        <v>2</v>
      </c>
      <c r="B629" t="str">
        <f t="shared" si="94"/>
        <v>Winter</v>
      </c>
      <c r="C629" t="str">
        <f t="shared" si="94"/>
        <v>h22</v>
      </c>
      <c r="D629" t="str">
        <f t="shared" si="94"/>
        <v>Hour21</v>
      </c>
      <c r="E629" t="str">
        <f t="shared" si="94"/>
        <v>Weekday</v>
      </c>
      <c r="F629" s="27">
        <f>F49*IF($E629="weekday",INDEX('Category Mapping'!$F$28:$F$39,MATCH('Summarized Source Data'!$A629,'Category Mapping'!$A$28:$A$39,0),1),INDEX('Category Mapping'!$E$28:$E$39,MATCH($A629,'Category Mapping'!$A$28:$A$39,0),1))</f>
        <v>384000000</v>
      </c>
      <c r="G629" s="27">
        <f>G49*IF($E629="weekday",INDEX('Category Mapping'!$F$28:$F$39,MATCH('Summarized Source Data'!$A629,'Category Mapping'!$A$28:$A$39,0),1),INDEX('Category Mapping'!$E$28:$E$39,MATCH($A629,'Category Mapping'!$A$28:$A$39,0),1))</f>
        <v>278260</v>
      </c>
      <c r="H629" s="27">
        <f>H49*IF($E629="weekday",INDEX('Category Mapping'!$F$28:$F$39,MATCH('Summarized Source Data'!$A629,'Category Mapping'!$A$28:$A$39,0),1),INDEX('Category Mapping'!$E$28:$E$39,MATCH($A629,'Category Mapping'!$A$28:$A$39,0),1))</f>
        <v>0</v>
      </c>
      <c r="I629" s="27">
        <f>I49*IF($E629="weekday",INDEX('Category Mapping'!$F$28:$F$39,MATCH('Summarized Source Data'!$A629,'Category Mapping'!$A$28:$A$39,0),1),INDEX('Category Mapping'!$E$28:$E$39,MATCH($A629,'Category Mapping'!$A$28:$A$39,0),1))</f>
        <v>1030000000</v>
      </c>
      <c r="J629" s="27">
        <f>J49*IF($E629="weekday",INDEX('Category Mapping'!$F$28:$F$39,MATCH('Summarized Source Data'!$A629,'Category Mapping'!$A$28:$A$39,0),1),INDEX('Category Mapping'!$E$28:$E$39,MATCH($A629,'Category Mapping'!$A$28:$A$39,0),1))</f>
        <v>2965721740</v>
      </c>
      <c r="K629" s="27">
        <f>K49*IF($E629="weekday",INDEX('Category Mapping'!$F$28:$F$39,MATCH('Summarized Source Data'!$A629,'Category Mapping'!$A$28:$A$39,0),1),INDEX('Category Mapping'!$E$28:$E$39,MATCH($A629,'Category Mapping'!$A$28:$A$39,0),1))</f>
        <v>2965721740</v>
      </c>
      <c r="L629" s="27">
        <f>L49*IF($E629="weekday",INDEX('Category Mapping'!$F$28:$F$39,MATCH('Summarized Source Data'!$A629,'Category Mapping'!$A$28:$A$39,0),1),INDEX('Category Mapping'!$E$28:$E$39,MATCH($A629,'Category Mapping'!$A$28:$A$39,0),1))</f>
        <v>1218000000</v>
      </c>
      <c r="M629" s="27">
        <f>M49*IF($E629="weekday",INDEX('Category Mapping'!$F$28:$F$39,MATCH('Summarized Source Data'!$A629,'Category Mapping'!$A$28:$A$39,0),1),INDEX('Category Mapping'!$E$28:$E$39,MATCH($A629,'Category Mapping'!$A$28:$A$39,0),1))</f>
        <v>1097840</v>
      </c>
      <c r="N629" s="27">
        <f>N49*IF($E629="weekday",INDEX('Category Mapping'!$F$28:$F$39,MATCH('Summarized Source Data'!$A629,'Category Mapping'!$A$28:$A$39,0),1),INDEX('Category Mapping'!$E$28:$E$39,MATCH($A629,'Category Mapping'!$A$28:$A$39,0),1))</f>
        <v>0</v>
      </c>
      <c r="O629" s="27">
        <f>O49*IF($E629="weekday",INDEX('Category Mapping'!$F$28:$F$39,MATCH('Summarized Source Data'!$A629,'Category Mapping'!$A$28:$A$39,0),1),INDEX('Category Mapping'!$E$28:$E$39,MATCH($A629,'Category Mapping'!$A$28:$A$39,0),1))</f>
        <v>5000902160</v>
      </c>
      <c r="P629" s="27">
        <f>P49*IF($E629="weekday",INDEX('Category Mapping'!$F$28:$F$39,MATCH('Summarized Source Data'!$A629,'Category Mapping'!$A$28:$A$39,0),1),INDEX('Category Mapping'!$E$28:$E$39,MATCH($A629,'Category Mapping'!$A$28:$A$39,0),1))</f>
        <v>5000902160</v>
      </c>
      <c r="Q629" s="27">
        <f>Q49*IF($E629="weekday",INDEX('Category Mapping'!$F$28:$F$39,MATCH('Summarized Source Data'!$A629,'Category Mapping'!$A$28:$A$39,0),1),INDEX('Category Mapping'!$E$28:$E$39,MATCH($A629,'Category Mapping'!$A$28:$A$39,0),1))</f>
        <v>5000902160</v>
      </c>
      <c r="R629" s="27">
        <f>R49*IF($E629="weekday",INDEX('Category Mapping'!$F$28:$F$39,MATCH('Summarized Source Data'!$A629,'Category Mapping'!$A$28:$A$39,0),1),INDEX('Category Mapping'!$E$28:$E$39,MATCH($A629,'Category Mapping'!$A$28:$A$39,0),1))</f>
        <v>228000000</v>
      </c>
      <c r="S629" s="27">
        <f>S49*IF($E629="weekday",INDEX('Category Mapping'!$F$28:$F$39,MATCH('Summarized Source Data'!$A629,'Category Mapping'!$A$28:$A$39,0),1),INDEX('Category Mapping'!$E$28:$E$39,MATCH($A629,'Category Mapping'!$A$28:$A$39,0),1))</f>
        <v>228000000</v>
      </c>
      <c r="T629" s="27">
        <f>T49*IF($E629="weekday",INDEX('Category Mapping'!$F$28:$F$39,MATCH('Summarized Source Data'!$A629,'Category Mapping'!$A$28:$A$39,0),1),INDEX('Category Mapping'!$E$28:$E$39,MATCH($A629,'Category Mapping'!$A$28:$A$39,0),1))</f>
        <v>228000000</v>
      </c>
      <c r="U629" s="27">
        <f>U49*IF($E629="weekday",INDEX('Category Mapping'!$F$28:$F$39,MATCH('Summarized Source Data'!$A629,'Category Mapping'!$A$28:$A$39,0),1),INDEX('Category Mapping'!$E$28:$E$39,MATCH($A629,'Category Mapping'!$A$28:$A$39,0),1))</f>
        <v>228000000</v>
      </c>
      <c r="V629" s="27">
        <f>V49*IF($E629="weekday",INDEX('Category Mapping'!$F$28:$F$39,MATCH('Summarized Source Data'!$A629,'Category Mapping'!$A$28:$A$39,0),1),INDEX('Category Mapping'!$E$28:$E$39,MATCH($A629,'Category Mapping'!$A$28:$A$39,0),1))</f>
        <v>228000000</v>
      </c>
      <c r="W629" s="27">
        <f>W49*IF($E629="weekday",INDEX('Category Mapping'!$F$28:$F$39,MATCH('Summarized Source Data'!$A629,'Category Mapping'!$A$28:$A$39,0),1),INDEX('Category Mapping'!$E$28:$E$39,MATCH($A629,'Category Mapping'!$A$28:$A$39,0),1))</f>
        <v>228000000</v>
      </c>
      <c r="X629" s="27">
        <f>X49*IF($E629="weekday",INDEX('Category Mapping'!$F$28:$F$39,MATCH('Summarized Source Data'!$A629,'Category Mapping'!$A$28:$A$39,0),1),INDEX('Category Mapping'!$E$28:$E$39,MATCH($A629,'Category Mapping'!$A$28:$A$39,0),1))</f>
        <v>13460000000</v>
      </c>
      <c r="Y629" s="27">
        <f>Y49*IF($E629="weekday",INDEX('Category Mapping'!$F$28:$F$39,MATCH('Summarized Source Data'!$A629,'Category Mapping'!$A$28:$A$39,0),1),INDEX('Category Mapping'!$E$28:$E$39,MATCH($A629,'Category Mapping'!$A$28:$A$39,0),1))</f>
        <v>13460000000</v>
      </c>
      <c r="Z629" s="27">
        <f>Z49*IF($E629="weekday",INDEX('Category Mapping'!$F$28:$F$39,MATCH('Summarized Source Data'!$A629,'Category Mapping'!$A$28:$A$39,0),1),INDEX('Category Mapping'!$E$28:$E$39,MATCH($A629,'Category Mapping'!$A$28:$A$39,0),1))</f>
        <v>13460000000</v>
      </c>
    </row>
    <row r="630" spans="1:26" x14ac:dyDescent="0.3">
      <c r="A630">
        <f t="shared" ref="A630:E630" si="95">A50</f>
        <v>2</v>
      </c>
      <c r="B630" t="str">
        <f t="shared" si="95"/>
        <v>Winter</v>
      </c>
      <c r="C630" t="str">
        <f t="shared" si="95"/>
        <v>h23</v>
      </c>
      <c r="D630" t="str">
        <f t="shared" si="95"/>
        <v>Hour22</v>
      </c>
      <c r="E630" t="str">
        <f t="shared" si="95"/>
        <v>Weekday</v>
      </c>
      <c r="F630" s="27">
        <f>F50*IF($E630="weekday",INDEX('Category Mapping'!$F$28:$F$39,MATCH('Summarized Source Data'!$A630,'Category Mapping'!$A$28:$A$39,0),1),INDEX('Category Mapping'!$E$28:$E$39,MATCH($A630,'Category Mapping'!$A$28:$A$39,0),1))</f>
        <v>332000000</v>
      </c>
      <c r="G630" s="27">
        <f>G50*IF($E630="weekday",INDEX('Category Mapping'!$F$28:$F$39,MATCH('Summarized Source Data'!$A630,'Category Mapping'!$A$28:$A$39,0),1),INDEX('Category Mapping'!$E$28:$E$39,MATCH($A630,'Category Mapping'!$A$28:$A$39,0),1))</f>
        <v>290080</v>
      </c>
      <c r="H630" s="27">
        <f>H50*IF($E630="weekday",INDEX('Category Mapping'!$F$28:$F$39,MATCH('Summarized Source Data'!$A630,'Category Mapping'!$A$28:$A$39,0),1),INDEX('Category Mapping'!$E$28:$E$39,MATCH($A630,'Category Mapping'!$A$28:$A$39,0),1))</f>
        <v>0</v>
      </c>
      <c r="I630" s="27">
        <f>I50*IF($E630="weekday",INDEX('Category Mapping'!$F$28:$F$39,MATCH('Summarized Source Data'!$A630,'Category Mapping'!$A$28:$A$39,0),1),INDEX('Category Mapping'!$E$28:$E$39,MATCH($A630,'Category Mapping'!$A$28:$A$39,0),1))</f>
        <v>612000000</v>
      </c>
      <c r="J630" s="27">
        <f>J50*IF($E630="weekday",INDEX('Category Mapping'!$F$28:$F$39,MATCH('Summarized Source Data'!$A630,'Category Mapping'!$A$28:$A$39,0),1),INDEX('Category Mapping'!$E$28:$E$39,MATCH($A630,'Category Mapping'!$A$28:$A$39,0),1))</f>
        <v>2335709920</v>
      </c>
      <c r="K630" s="27">
        <f>K50*IF($E630="weekday",INDEX('Category Mapping'!$F$28:$F$39,MATCH('Summarized Source Data'!$A630,'Category Mapping'!$A$28:$A$39,0),1),INDEX('Category Mapping'!$E$28:$E$39,MATCH($A630,'Category Mapping'!$A$28:$A$39,0),1))</f>
        <v>2335709920</v>
      </c>
      <c r="L630" s="27">
        <f>L50*IF($E630="weekday",INDEX('Category Mapping'!$F$28:$F$39,MATCH('Summarized Source Data'!$A630,'Category Mapping'!$A$28:$A$39,0),1),INDEX('Category Mapping'!$E$28:$E$39,MATCH($A630,'Category Mapping'!$A$28:$A$39,0),1))</f>
        <v>1214000000</v>
      </c>
      <c r="M630" s="27">
        <f>M50*IF($E630="weekday",INDEX('Category Mapping'!$F$28:$F$39,MATCH('Summarized Source Data'!$A630,'Category Mapping'!$A$28:$A$39,0),1),INDEX('Category Mapping'!$E$28:$E$39,MATCH($A630,'Category Mapping'!$A$28:$A$39,0),1))</f>
        <v>1011740</v>
      </c>
      <c r="N630" s="27">
        <f>N50*IF($E630="weekday",INDEX('Category Mapping'!$F$28:$F$39,MATCH('Summarized Source Data'!$A630,'Category Mapping'!$A$28:$A$39,0),1),INDEX('Category Mapping'!$E$28:$E$39,MATCH($A630,'Category Mapping'!$A$28:$A$39,0),1))</f>
        <v>0</v>
      </c>
      <c r="O630" s="27">
        <f>O50*IF($E630="weekday",INDEX('Category Mapping'!$F$28:$F$39,MATCH('Summarized Source Data'!$A630,'Category Mapping'!$A$28:$A$39,0),1),INDEX('Category Mapping'!$E$28:$E$39,MATCH($A630,'Category Mapping'!$A$28:$A$39,0),1))</f>
        <v>4204988260</v>
      </c>
      <c r="P630" s="27">
        <f>P50*IF($E630="weekday",INDEX('Category Mapping'!$F$28:$F$39,MATCH('Summarized Source Data'!$A630,'Category Mapping'!$A$28:$A$39,0),1),INDEX('Category Mapping'!$E$28:$E$39,MATCH($A630,'Category Mapping'!$A$28:$A$39,0),1))</f>
        <v>4204988260</v>
      </c>
      <c r="Q630" s="27">
        <f>Q50*IF($E630="weekday",INDEX('Category Mapping'!$F$28:$F$39,MATCH('Summarized Source Data'!$A630,'Category Mapping'!$A$28:$A$39,0),1),INDEX('Category Mapping'!$E$28:$E$39,MATCH($A630,'Category Mapping'!$A$28:$A$39,0),1))</f>
        <v>4204988260</v>
      </c>
      <c r="R630" s="27">
        <f>R50*IF($E630="weekday",INDEX('Category Mapping'!$F$28:$F$39,MATCH('Summarized Source Data'!$A630,'Category Mapping'!$A$28:$A$39,0),1),INDEX('Category Mapping'!$E$28:$E$39,MATCH($A630,'Category Mapping'!$A$28:$A$39,0),1))</f>
        <v>216000000</v>
      </c>
      <c r="S630" s="27">
        <f>S50*IF($E630="weekday",INDEX('Category Mapping'!$F$28:$F$39,MATCH('Summarized Source Data'!$A630,'Category Mapping'!$A$28:$A$39,0),1),INDEX('Category Mapping'!$E$28:$E$39,MATCH($A630,'Category Mapping'!$A$28:$A$39,0),1))</f>
        <v>216000000</v>
      </c>
      <c r="T630" s="27">
        <f>T50*IF($E630="weekday",INDEX('Category Mapping'!$F$28:$F$39,MATCH('Summarized Source Data'!$A630,'Category Mapping'!$A$28:$A$39,0),1),INDEX('Category Mapping'!$E$28:$E$39,MATCH($A630,'Category Mapping'!$A$28:$A$39,0),1))</f>
        <v>216000000</v>
      </c>
      <c r="U630" s="27">
        <f>U50*IF($E630="weekday",INDEX('Category Mapping'!$F$28:$F$39,MATCH('Summarized Source Data'!$A630,'Category Mapping'!$A$28:$A$39,0),1),INDEX('Category Mapping'!$E$28:$E$39,MATCH($A630,'Category Mapping'!$A$28:$A$39,0),1))</f>
        <v>216000000</v>
      </c>
      <c r="V630" s="27">
        <f>V50*IF($E630="weekday",INDEX('Category Mapping'!$F$28:$F$39,MATCH('Summarized Source Data'!$A630,'Category Mapping'!$A$28:$A$39,0),1),INDEX('Category Mapping'!$E$28:$E$39,MATCH($A630,'Category Mapping'!$A$28:$A$39,0),1))</f>
        <v>216000000</v>
      </c>
      <c r="W630" s="27">
        <f>W50*IF($E630="weekday",INDEX('Category Mapping'!$F$28:$F$39,MATCH('Summarized Source Data'!$A630,'Category Mapping'!$A$28:$A$39,0),1),INDEX('Category Mapping'!$E$28:$E$39,MATCH($A630,'Category Mapping'!$A$28:$A$39,0),1))</f>
        <v>216000000</v>
      </c>
      <c r="X630" s="27">
        <f>X50*IF($E630="weekday",INDEX('Category Mapping'!$F$28:$F$39,MATCH('Summarized Source Data'!$A630,'Category Mapping'!$A$28:$A$39,0),1),INDEX('Category Mapping'!$E$28:$E$39,MATCH($A630,'Category Mapping'!$A$28:$A$39,0),1))</f>
        <v>13340000000</v>
      </c>
      <c r="Y630" s="27">
        <f>Y50*IF($E630="weekday",INDEX('Category Mapping'!$F$28:$F$39,MATCH('Summarized Source Data'!$A630,'Category Mapping'!$A$28:$A$39,0),1),INDEX('Category Mapping'!$E$28:$E$39,MATCH($A630,'Category Mapping'!$A$28:$A$39,0),1))</f>
        <v>13340000000</v>
      </c>
      <c r="Z630" s="27">
        <f>Z50*IF($E630="weekday",INDEX('Category Mapping'!$F$28:$F$39,MATCH('Summarized Source Data'!$A630,'Category Mapping'!$A$28:$A$39,0),1),INDEX('Category Mapping'!$E$28:$E$39,MATCH($A630,'Category Mapping'!$A$28:$A$39,0),1))</f>
        <v>13340000000</v>
      </c>
    </row>
    <row r="631" spans="1:26" x14ac:dyDescent="0.3">
      <c r="A631">
        <f t="shared" ref="A631:E631" si="96">A51</f>
        <v>2</v>
      </c>
      <c r="B631" t="str">
        <f t="shared" si="96"/>
        <v>Winter</v>
      </c>
      <c r="C631" t="str">
        <f t="shared" si="96"/>
        <v>h24</v>
      </c>
      <c r="D631" t="str">
        <f t="shared" si="96"/>
        <v>Hour23</v>
      </c>
      <c r="E631" t="str">
        <f t="shared" si="96"/>
        <v>Weekday</v>
      </c>
      <c r="F631" s="27">
        <f>F51*IF($E631="weekday",INDEX('Category Mapping'!$F$28:$F$39,MATCH('Summarized Source Data'!$A631,'Category Mapping'!$A$28:$A$39,0),1),INDEX('Category Mapping'!$E$28:$E$39,MATCH($A631,'Category Mapping'!$A$28:$A$39,0),1))</f>
        <v>324000000</v>
      </c>
      <c r="G631" s="27">
        <f>G51*IF($E631="weekday",INDEX('Category Mapping'!$F$28:$F$39,MATCH('Summarized Source Data'!$A631,'Category Mapping'!$A$28:$A$39,0),1),INDEX('Category Mapping'!$E$28:$E$39,MATCH($A631,'Category Mapping'!$A$28:$A$39,0),1))</f>
        <v>298040</v>
      </c>
      <c r="H631" s="27">
        <f>H51*IF($E631="weekday",INDEX('Category Mapping'!$F$28:$F$39,MATCH('Summarized Source Data'!$A631,'Category Mapping'!$A$28:$A$39,0),1),INDEX('Category Mapping'!$E$28:$E$39,MATCH($A631,'Category Mapping'!$A$28:$A$39,0),1))</f>
        <v>0</v>
      </c>
      <c r="I631" s="27">
        <f>I51*IF($E631="weekday",INDEX('Category Mapping'!$F$28:$F$39,MATCH('Summarized Source Data'!$A631,'Category Mapping'!$A$28:$A$39,0),1),INDEX('Category Mapping'!$E$28:$E$39,MATCH($A631,'Category Mapping'!$A$28:$A$39,0),1))</f>
        <v>322000000</v>
      </c>
      <c r="J631" s="27">
        <f>J51*IF($E631="weekday",INDEX('Category Mapping'!$F$28:$F$39,MATCH('Summarized Source Data'!$A631,'Category Mapping'!$A$28:$A$39,0),1),INDEX('Category Mapping'!$E$28:$E$39,MATCH($A631,'Category Mapping'!$A$28:$A$39,0),1))</f>
        <v>1853701960</v>
      </c>
      <c r="K631" s="27">
        <f>K51*IF($E631="weekday",INDEX('Category Mapping'!$F$28:$F$39,MATCH('Summarized Source Data'!$A631,'Category Mapping'!$A$28:$A$39,0),1),INDEX('Category Mapping'!$E$28:$E$39,MATCH($A631,'Category Mapping'!$A$28:$A$39,0),1))</f>
        <v>1853701960</v>
      </c>
      <c r="L631" s="27">
        <f>L51*IF($E631="weekday",INDEX('Category Mapping'!$F$28:$F$39,MATCH('Summarized Source Data'!$A631,'Category Mapping'!$A$28:$A$39,0),1),INDEX('Category Mapping'!$E$28:$E$39,MATCH($A631,'Category Mapping'!$A$28:$A$39,0),1))</f>
        <v>596000000</v>
      </c>
      <c r="M631" s="27">
        <f>M51*IF($E631="weekday",INDEX('Category Mapping'!$F$28:$F$39,MATCH('Summarized Source Data'!$A631,'Category Mapping'!$A$28:$A$39,0),1),INDEX('Category Mapping'!$E$28:$E$39,MATCH($A631,'Category Mapping'!$A$28:$A$39,0),1))</f>
        <v>894140</v>
      </c>
      <c r="N631" s="27">
        <f>N51*IF($E631="weekday",INDEX('Category Mapping'!$F$28:$F$39,MATCH('Summarized Source Data'!$A631,'Category Mapping'!$A$28:$A$39,0),1),INDEX('Category Mapping'!$E$28:$E$39,MATCH($A631,'Category Mapping'!$A$28:$A$39,0),1))</f>
        <v>0</v>
      </c>
      <c r="O631" s="27">
        <f>O51*IF($E631="weekday",INDEX('Category Mapping'!$F$28:$F$39,MATCH('Summarized Source Data'!$A631,'Category Mapping'!$A$28:$A$39,0),1),INDEX('Category Mapping'!$E$28:$E$39,MATCH($A631,'Category Mapping'!$A$28:$A$39,0),1))</f>
        <v>3663105860</v>
      </c>
      <c r="P631" s="27">
        <f>P51*IF($E631="weekday",INDEX('Category Mapping'!$F$28:$F$39,MATCH('Summarized Source Data'!$A631,'Category Mapping'!$A$28:$A$39,0),1),INDEX('Category Mapping'!$E$28:$E$39,MATCH($A631,'Category Mapping'!$A$28:$A$39,0),1))</f>
        <v>3663105860</v>
      </c>
      <c r="Q631" s="27">
        <f>Q51*IF($E631="weekday",INDEX('Category Mapping'!$F$28:$F$39,MATCH('Summarized Source Data'!$A631,'Category Mapping'!$A$28:$A$39,0),1),INDEX('Category Mapping'!$E$28:$E$39,MATCH($A631,'Category Mapping'!$A$28:$A$39,0),1))</f>
        <v>3663105860</v>
      </c>
      <c r="R631" s="27">
        <f>R51*IF($E631="weekday",INDEX('Category Mapping'!$F$28:$F$39,MATCH('Summarized Source Data'!$A631,'Category Mapping'!$A$28:$A$39,0),1),INDEX('Category Mapping'!$E$28:$E$39,MATCH($A631,'Category Mapping'!$A$28:$A$39,0),1))</f>
        <v>145181160</v>
      </c>
      <c r="S631" s="27">
        <f>S51*IF($E631="weekday",INDEX('Category Mapping'!$F$28:$F$39,MATCH('Summarized Source Data'!$A631,'Category Mapping'!$A$28:$A$39,0),1),INDEX('Category Mapping'!$E$28:$E$39,MATCH($A631,'Category Mapping'!$A$28:$A$39,0),1))</f>
        <v>145181160</v>
      </c>
      <c r="T631" s="27">
        <f>T51*IF($E631="weekday",INDEX('Category Mapping'!$F$28:$F$39,MATCH('Summarized Source Data'!$A631,'Category Mapping'!$A$28:$A$39,0),1),INDEX('Category Mapping'!$E$28:$E$39,MATCH($A631,'Category Mapping'!$A$28:$A$39,0),1))</f>
        <v>145181160</v>
      </c>
      <c r="U631" s="27">
        <f>U51*IF($E631="weekday",INDEX('Category Mapping'!$F$28:$F$39,MATCH('Summarized Source Data'!$A631,'Category Mapping'!$A$28:$A$39,0),1),INDEX('Category Mapping'!$E$28:$E$39,MATCH($A631,'Category Mapping'!$A$28:$A$39,0),1))</f>
        <v>145181160</v>
      </c>
      <c r="V631" s="27">
        <f>V51*IF($E631="weekday",INDEX('Category Mapping'!$F$28:$F$39,MATCH('Summarized Source Data'!$A631,'Category Mapping'!$A$28:$A$39,0),1),INDEX('Category Mapping'!$E$28:$E$39,MATCH($A631,'Category Mapping'!$A$28:$A$39,0),1))</f>
        <v>145181160</v>
      </c>
      <c r="W631" s="27">
        <f>W51*IF($E631="weekday",INDEX('Category Mapping'!$F$28:$F$39,MATCH('Summarized Source Data'!$A631,'Category Mapping'!$A$28:$A$39,0),1),INDEX('Category Mapping'!$E$28:$E$39,MATCH($A631,'Category Mapping'!$A$28:$A$39,0),1))</f>
        <v>145181160</v>
      </c>
      <c r="X631" s="27">
        <f>X51*IF($E631="weekday",INDEX('Category Mapping'!$F$28:$F$39,MATCH('Summarized Source Data'!$A631,'Category Mapping'!$A$28:$A$39,0),1),INDEX('Category Mapping'!$E$28:$E$39,MATCH($A631,'Category Mapping'!$A$28:$A$39,0),1))</f>
        <v>13280000000</v>
      </c>
      <c r="Y631" s="27">
        <f>Y51*IF($E631="weekday",INDEX('Category Mapping'!$F$28:$F$39,MATCH('Summarized Source Data'!$A631,'Category Mapping'!$A$28:$A$39,0),1),INDEX('Category Mapping'!$E$28:$E$39,MATCH($A631,'Category Mapping'!$A$28:$A$39,0),1))</f>
        <v>13280000000</v>
      </c>
      <c r="Z631" s="27">
        <f>Z51*IF($E631="weekday",INDEX('Category Mapping'!$F$28:$F$39,MATCH('Summarized Source Data'!$A631,'Category Mapping'!$A$28:$A$39,0),1),INDEX('Category Mapping'!$E$28:$E$39,MATCH($A631,'Category Mapping'!$A$28:$A$39,0),1))</f>
        <v>13280000000</v>
      </c>
    </row>
    <row r="632" spans="1:26" x14ac:dyDescent="0.3">
      <c r="A632">
        <f t="shared" ref="A632:E632" si="97">A52</f>
        <v>3</v>
      </c>
      <c r="B632" t="str">
        <f t="shared" si="97"/>
        <v>Spring</v>
      </c>
      <c r="C632" t="str">
        <f t="shared" si="97"/>
        <v>h1</v>
      </c>
      <c r="D632" t="str">
        <f t="shared" si="97"/>
        <v>Hour0</v>
      </c>
      <c r="E632" t="str">
        <f t="shared" si="97"/>
        <v>Weekday</v>
      </c>
      <c r="F632" s="27">
        <f>F52*IF($E632="weekday",INDEX('Category Mapping'!$F$28:$F$39,MATCH('Summarized Source Data'!$A632,'Category Mapping'!$A$28:$A$39,0),1),INDEX('Category Mapping'!$E$28:$E$39,MATCH($A632,'Category Mapping'!$A$28:$A$39,0),1))</f>
        <v>287857142.85714287</v>
      </c>
      <c r="G632" s="27">
        <f>G52*IF($E632="weekday",INDEX('Category Mapping'!$F$28:$F$39,MATCH('Summarized Source Data'!$A632,'Category Mapping'!$A$28:$A$39,0),1),INDEX('Category Mapping'!$E$28:$E$39,MATCH($A632,'Category Mapping'!$A$28:$A$39,0),1))</f>
        <v>752325.71428571432</v>
      </c>
      <c r="H632" s="27">
        <f>H52*IF($E632="weekday",INDEX('Category Mapping'!$F$28:$F$39,MATCH('Summarized Source Data'!$A632,'Category Mapping'!$A$28:$A$39,0),1),INDEX('Category Mapping'!$E$28:$E$39,MATCH($A632,'Category Mapping'!$A$28:$A$39,0),1))</f>
        <v>0</v>
      </c>
      <c r="I632" s="27">
        <f>I52*IF($E632="weekday",INDEX('Category Mapping'!$F$28:$F$39,MATCH('Summarized Source Data'!$A632,'Category Mapping'!$A$28:$A$39,0),1),INDEX('Category Mapping'!$E$28:$E$39,MATCH($A632,'Category Mapping'!$A$28:$A$39,0),1))</f>
        <v>232500000</v>
      </c>
      <c r="J632" s="27">
        <f>J52*IF($E632="weekday",INDEX('Category Mapping'!$F$28:$F$39,MATCH('Summarized Source Data'!$A632,'Category Mapping'!$A$28:$A$39,0),1),INDEX('Category Mapping'!$E$28:$E$39,MATCH($A632,'Category Mapping'!$A$28:$A$39,0),1))</f>
        <v>1635604817.1428571</v>
      </c>
      <c r="K632" s="27">
        <f>K52*IF($E632="weekday",INDEX('Category Mapping'!$F$28:$F$39,MATCH('Summarized Source Data'!$A632,'Category Mapping'!$A$28:$A$39,0),1),INDEX('Category Mapping'!$E$28:$E$39,MATCH($A632,'Category Mapping'!$A$28:$A$39,0),1))</f>
        <v>1635604817.1428571</v>
      </c>
      <c r="L632" s="27">
        <f>L52*IF($E632="weekday",INDEX('Category Mapping'!$F$28:$F$39,MATCH('Summarized Source Data'!$A632,'Category Mapping'!$A$28:$A$39,0),1),INDEX('Category Mapping'!$E$28:$E$39,MATCH($A632,'Category Mapping'!$A$28:$A$39,0),1))</f>
        <v>653214285.71428573</v>
      </c>
      <c r="M632" s="27">
        <f>M52*IF($E632="weekday",INDEX('Category Mapping'!$F$28:$F$39,MATCH('Summarized Source Data'!$A632,'Category Mapping'!$A$28:$A$39,0),1),INDEX('Category Mapping'!$E$28:$E$39,MATCH($A632,'Category Mapping'!$A$28:$A$39,0),1))</f>
        <v>1992414.2857142857</v>
      </c>
      <c r="N632" s="27">
        <f>N52*IF($E632="weekday",INDEX('Category Mapping'!$F$28:$F$39,MATCH('Summarized Source Data'!$A632,'Category Mapping'!$A$28:$A$39,0),1),INDEX('Category Mapping'!$E$28:$E$39,MATCH($A632,'Category Mapping'!$A$28:$A$39,0),1))</f>
        <v>0</v>
      </c>
      <c r="O632" s="27">
        <f>O52*IF($E632="weekday",INDEX('Category Mapping'!$F$28:$F$39,MATCH('Summarized Source Data'!$A632,'Category Mapping'!$A$28:$A$39,0),1),INDEX('Category Mapping'!$E$28:$E$39,MATCH($A632,'Category Mapping'!$A$28:$A$39,0),1))</f>
        <v>3374793300</v>
      </c>
      <c r="P632" s="27">
        <f>P52*IF($E632="weekday",INDEX('Category Mapping'!$F$28:$F$39,MATCH('Summarized Source Data'!$A632,'Category Mapping'!$A$28:$A$39,0),1),INDEX('Category Mapping'!$E$28:$E$39,MATCH($A632,'Category Mapping'!$A$28:$A$39,0),1))</f>
        <v>3374793300</v>
      </c>
      <c r="Q632" s="27">
        <f>Q52*IF($E632="weekday",INDEX('Category Mapping'!$F$28:$F$39,MATCH('Summarized Source Data'!$A632,'Category Mapping'!$A$28:$A$39,0),1),INDEX('Category Mapping'!$E$28:$E$39,MATCH($A632,'Category Mapping'!$A$28:$A$39,0),1))</f>
        <v>3374793300</v>
      </c>
      <c r="R632" s="27">
        <f>R52*IF($E632="weekday",INDEX('Category Mapping'!$F$28:$F$39,MATCH('Summarized Source Data'!$A632,'Category Mapping'!$A$28:$A$39,0),1),INDEX('Category Mapping'!$E$28:$E$39,MATCH($A632,'Category Mapping'!$A$28:$A$39,0),1))</f>
        <v>105828840.71428572</v>
      </c>
      <c r="S632" s="27">
        <f>S52*IF($E632="weekday",INDEX('Category Mapping'!$F$28:$F$39,MATCH('Summarized Source Data'!$A632,'Category Mapping'!$A$28:$A$39,0),1),INDEX('Category Mapping'!$E$28:$E$39,MATCH($A632,'Category Mapping'!$A$28:$A$39,0),1))</f>
        <v>105828840.71428572</v>
      </c>
      <c r="T632" s="27">
        <f>T52*IF($E632="weekday",INDEX('Category Mapping'!$F$28:$F$39,MATCH('Summarized Source Data'!$A632,'Category Mapping'!$A$28:$A$39,0),1),INDEX('Category Mapping'!$E$28:$E$39,MATCH($A632,'Category Mapping'!$A$28:$A$39,0),1))</f>
        <v>105828840.71428572</v>
      </c>
      <c r="U632" s="27">
        <f>U52*IF($E632="weekday",INDEX('Category Mapping'!$F$28:$F$39,MATCH('Summarized Source Data'!$A632,'Category Mapping'!$A$28:$A$39,0),1),INDEX('Category Mapping'!$E$28:$E$39,MATCH($A632,'Category Mapping'!$A$28:$A$39,0),1))</f>
        <v>105828840.71428572</v>
      </c>
      <c r="V632" s="27">
        <f>V52*IF($E632="weekday",INDEX('Category Mapping'!$F$28:$F$39,MATCH('Summarized Source Data'!$A632,'Category Mapping'!$A$28:$A$39,0),1),INDEX('Category Mapping'!$E$28:$E$39,MATCH($A632,'Category Mapping'!$A$28:$A$39,0),1))</f>
        <v>105828840.71428572</v>
      </c>
      <c r="W632" s="27">
        <f>W52*IF($E632="weekday",INDEX('Category Mapping'!$F$28:$F$39,MATCH('Summarized Source Data'!$A632,'Category Mapping'!$A$28:$A$39,0),1),INDEX('Category Mapping'!$E$28:$E$39,MATCH($A632,'Category Mapping'!$A$28:$A$39,0),1))</f>
        <v>105828840.71428572</v>
      </c>
      <c r="X632" s="27">
        <f>X52*IF($E632="weekday",INDEX('Category Mapping'!$F$28:$F$39,MATCH('Summarized Source Data'!$A632,'Category Mapping'!$A$28:$A$39,0),1),INDEX('Category Mapping'!$E$28:$E$39,MATCH($A632,'Category Mapping'!$A$28:$A$39,0),1))</f>
        <v>14702857142.857143</v>
      </c>
      <c r="Y632" s="27">
        <f>Y52*IF($E632="weekday",INDEX('Category Mapping'!$F$28:$F$39,MATCH('Summarized Source Data'!$A632,'Category Mapping'!$A$28:$A$39,0),1),INDEX('Category Mapping'!$E$28:$E$39,MATCH($A632,'Category Mapping'!$A$28:$A$39,0),1))</f>
        <v>14702857142.857143</v>
      </c>
      <c r="Z632" s="27">
        <f>Z52*IF($E632="weekday",INDEX('Category Mapping'!$F$28:$F$39,MATCH('Summarized Source Data'!$A632,'Category Mapping'!$A$28:$A$39,0),1),INDEX('Category Mapping'!$E$28:$E$39,MATCH($A632,'Category Mapping'!$A$28:$A$39,0),1))</f>
        <v>14702857142.857143</v>
      </c>
    </row>
    <row r="633" spans="1:26" x14ac:dyDescent="0.3">
      <c r="A633">
        <f t="shared" ref="A633:E633" si="98">A53</f>
        <v>3</v>
      </c>
      <c r="B633" t="str">
        <f t="shared" si="98"/>
        <v>Spring</v>
      </c>
      <c r="C633" t="str">
        <f t="shared" si="98"/>
        <v>h2</v>
      </c>
      <c r="D633" t="str">
        <f t="shared" si="98"/>
        <v>Hour1</v>
      </c>
      <c r="E633" t="str">
        <f t="shared" si="98"/>
        <v>Weekday</v>
      </c>
      <c r="F633" s="27">
        <f>F53*IF($E633="weekday",INDEX('Category Mapping'!$F$28:$F$39,MATCH('Summarized Source Data'!$A633,'Category Mapping'!$A$28:$A$39,0),1),INDEX('Category Mapping'!$E$28:$E$39,MATCH($A633,'Category Mapping'!$A$28:$A$39,0),1))</f>
        <v>294500000</v>
      </c>
      <c r="G633" s="27">
        <f>G53*IF($E633="weekday",INDEX('Category Mapping'!$F$28:$F$39,MATCH('Summarized Source Data'!$A633,'Category Mapping'!$A$28:$A$39,0),1),INDEX('Category Mapping'!$E$28:$E$39,MATCH($A633,'Category Mapping'!$A$28:$A$39,0),1))</f>
        <v>756555</v>
      </c>
      <c r="H633" s="27">
        <f>H53*IF($E633="weekday",INDEX('Category Mapping'!$F$28:$F$39,MATCH('Summarized Source Data'!$A633,'Category Mapping'!$A$28:$A$39,0),1),INDEX('Category Mapping'!$E$28:$E$39,MATCH($A633,'Category Mapping'!$A$28:$A$39,0),1))</f>
        <v>0</v>
      </c>
      <c r="I633" s="27">
        <f>I53*IF($E633="weekday",INDEX('Category Mapping'!$F$28:$F$39,MATCH('Summarized Source Data'!$A633,'Category Mapping'!$A$28:$A$39,0),1),INDEX('Category Mapping'!$E$28:$E$39,MATCH($A633,'Category Mapping'!$A$28:$A$39,0),1))</f>
        <v>214789390</v>
      </c>
      <c r="J633" s="27">
        <f>J53*IF($E633="weekday",INDEX('Category Mapping'!$F$28:$F$39,MATCH('Summarized Source Data'!$A633,'Category Mapping'!$A$28:$A$39,0),1),INDEX('Category Mapping'!$E$28:$E$39,MATCH($A633,'Category Mapping'!$A$28:$A$39,0),1))</f>
        <v>1186096912.1428571</v>
      </c>
      <c r="K633" s="27">
        <f>K53*IF($E633="weekday",INDEX('Category Mapping'!$F$28:$F$39,MATCH('Summarized Source Data'!$A633,'Category Mapping'!$A$28:$A$39,0),1),INDEX('Category Mapping'!$E$28:$E$39,MATCH($A633,'Category Mapping'!$A$28:$A$39,0),1))</f>
        <v>1186096912.1428571</v>
      </c>
      <c r="L633" s="27">
        <f>L53*IF($E633="weekday",INDEX('Category Mapping'!$F$28:$F$39,MATCH('Summarized Source Data'!$A633,'Category Mapping'!$A$28:$A$39,0),1),INDEX('Category Mapping'!$E$28:$E$39,MATCH($A633,'Category Mapping'!$A$28:$A$39,0),1))</f>
        <v>580142857.14285707</v>
      </c>
      <c r="M633" s="27">
        <f>M53*IF($E633="weekday",INDEX('Category Mapping'!$F$28:$F$39,MATCH('Summarized Source Data'!$A633,'Category Mapping'!$A$28:$A$39,0),1),INDEX('Category Mapping'!$E$28:$E$39,MATCH($A633,'Category Mapping'!$A$28:$A$39,0),1))</f>
        <v>1878732.857142857</v>
      </c>
      <c r="N633" s="27">
        <f>N53*IF($E633="weekday",INDEX('Category Mapping'!$F$28:$F$39,MATCH('Summarized Source Data'!$A633,'Category Mapping'!$A$28:$A$39,0),1),INDEX('Category Mapping'!$E$28:$E$39,MATCH($A633,'Category Mapping'!$A$28:$A$39,0),1))</f>
        <v>0</v>
      </c>
      <c r="O633" s="27">
        <f>O53*IF($E633="weekday",INDEX('Category Mapping'!$F$28:$F$39,MATCH('Summarized Source Data'!$A633,'Category Mapping'!$A$28:$A$39,0),1),INDEX('Category Mapping'!$E$28:$E$39,MATCH($A633,'Category Mapping'!$A$28:$A$39,0),1))</f>
        <v>3337264124.2857141</v>
      </c>
      <c r="P633" s="27">
        <f>P53*IF($E633="weekday",INDEX('Category Mapping'!$F$28:$F$39,MATCH('Summarized Source Data'!$A633,'Category Mapping'!$A$28:$A$39,0),1),INDEX('Category Mapping'!$E$28:$E$39,MATCH($A633,'Category Mapping'!$A$28:$A$39,0),1))</f>
        <v>3337264124.2857141</v>
      </c>
      <c r="Q633" s="27">
        <f>Q53*IF($E633="weekday",INDEX('Category Mapping'!$F$28:$F$39,MATCH('Summarized Source Data'!$A633,'Category Mapping'!$A$28:$A$39,0),1),INDEX('Category Mapping'!$E$28:$E$39,MATCH($A633,'Category Mapping'!$A$28:$A$39,0),1))</f>
        <v>3337264124.2857141</v>
      </c>
      <c r="R633" s="27">
        <f>R53*IF($E633="weekday",INDEX('Category Mapping'!$F$28:$F$39,MATCH('Summarized Source Data'!$A633,'Category Mapping'!$A$28:$A$39,0),1),INDEX('Category Mapping'!$E$28:$E$39,MATCH($A633,'Category Mapping'!$A$28:$A$39,0),1))</f>
        <v>104327112.14285713</v>
      </c>
      <c r="S633" s="27">
        <f>S53*IF($E633="weekday",INDEX('Category Mapping'!$F$28:$F$39,MATCH('Summarized Source Data'!$A633,'Category Mapping'!$A$28:$A$39,0),1),INDEX('Category Mapping'!$E$28:$E$39,MATCH($A633,'Category Mapping'!$A$28:$A$39,0),1))</f>
        <v>104327112.14285713</v>
      </c>
      <c r="T633" s="27">
        <f>T53*IF($E633="weekday",INDEX('Category Mapping'!$F$28:$F$39,MATCH('Summarized Source Data'!$A633,'Category Mapping'!$A$28:$A$39,0),1),INDEX('Category Mapping'!$E$28:$E$39,MATCH($A633,'Category Mapping'!$A$28:$A$39,0),1))</f>
        <v>104327112.14285713</v>
      </c>
      <c r="U633" s="27">
        <f>U53*IF($E633="weekday",INDEX('Category Mapping'!$F$28:$F$39,MATCH('Summarized Source Data'!$A633,'Category Mapping'!$A$28:$A$39,0),1),INDEX('Category Mapping'!$E$28:$E$39,MATCH($A633,'Category Mapping'!$A$28:$A$39,0),1))</f>
        <v>104327112.14285713</v>
      </c>
      <c r="V633" s="27">
        <f>V53*IF($E633="weekday",INDEX('Category Mapping'!$F$28:$F$39,MATCH('Summarized Source Data'!$A633,'Category Mapping'!$A$28:$A$39,0),1),INDEX('Category Mapping'!$E$28:$E$39,MATCH($A633,'Category Mapping'!$A$28:$A$39,0),1))</f>
        <v>104327112.14285713</v>
      </c>
      <c r="W633" s="27">
        <f>W53*IF($E633="weekday",INDEX('Category Mapping'!$F$28:$F$39,MATCH('Summarized Source Data'!$A633,'Category Mapping'!$A$28:$A$39,0),1),INDEX('Category Mapping'!$E$28:$E$39,MATCH($A633,'Category Mapping'!$A$28:$A$39,0),1))</f>
        <v>104327112.14285713</v>
      </c>
      <c r="X633" s="27">
        <f>X53*IF($E633="weekday",INDEX('Category Mapping'!$F$28:$F$39,MATCH('Summarized Source Data'!$A633,'Category Mapping'!$A$28:$A$39,0),1),INDEX('Category Mapping'!$E$28:$E$39,MATCH($A633,'Category Mapping'!$A$28:$A$39,0),1))</f>
        <v>14680714285.714285</v>
      </c>
      <c r="Y633" s="27">
        <f>Y53*IF($E633="weekday",INDEX('Category Mapping'!$F$28:$F$39,MATCH('Summarized Source Data'!$A633,'Category Mapping'!$A$28:$A$39,0),1),INDEX('Category Mapping'!$E$28:$E$39,MATCH($A633,'Category Mapping'!$A$28:$A$39,0),1))</f>
        <v>14680714285.714285</v>
      </c>
      <c r="Z633" s="27">
        <f>Z53*IF($E633="weekday",INDEX('Category Mapping'!$F$28:$F$39,MATCH('Summarized Source Data'!$A633,'Category Mapping'!$A$28:$A$39,0),1),INDEX('Category Mapping'!$E$28:$E$39,MATCH($A633,'Category Mapping'!$A$28:$A$39,0),1))</f>
        <v>14680714285.714285</v>
      </c>
    </row>
    <row r="634" spans="1:26" x14ac:dyDescent="0.3">
      <c r="A634">
        <f t="shared" ref="A634:E634" si="99">A54</f>
        <v>3</v>
      </c>
      <c r="B634" t="str">
        <f t="shared" si="99"/>
        <v>Spring</v>
      </c>
      <c r="C634" t="str">
        <f t="shared" si="99"/>
        <v>h3</v>
      </c>
      <c r="D634" t="str">
        <f t="shared" si="99"/>
        <v>Hour2</v>
      </c>
      <c r="E634" t="str">
        <f t="shared" si="99"/>
        <v>Weekday</v>
      </c>
      <c r="F634" s="27">
        <f>F54*IF($E634="weekday",INDEX('Category Mapping'!$F$28:$F$39,MATCH('Summarized Source Data'!$A634,'Category Mapping'!$A$28:$A$39,0),1),INDEX('Category Mapping'!$E$28:$E$39,MATCH($A634,'Category Mapping'!$A$28:$A$39,0),1))</f>
        <v>296714285.71428573</v>
      </c>
      <c r="G634" s="27">
        <f>G54*IF($E634="weekday",INDEX('Category Mapping'!$F$28:$F$39,MATCH('Summarized Source Data'!$A634,'Category Mapping'!$A$28:$A$39,0),1),INDEX('Category Mapping'!$E$28:$E$39,MATCH($A634,'Category Mapping'!$A$28:$A$39,0),1))</f>
        <v>759455.71428571432</v>
      </c>
      <c r="H634" s="27">
        <f>H54*IF($E634="weekday",INDEX('Category Mapping'!$F$28:$F$39,MATCH('Summarized Source Data'!$A634,'Category Mapping'!$A$28:$A$39,0),1),INDEX('Category Mapping'!$E$28:$E$39,MATCH($A634,'Category Mapping'!$A$28:$A$39,0),1))</f>
        <v>0</v>
      </c>
      <c r="I634" s="27">
        <f>I54*IF($E634="weekday",INDEX('Category Mapping'!$F$28:$F$39,MATCH('Summarized Source Data'!$A634,'Category Mapping'!$A$28:$A$39,0),1),INDEX('Category Mapping'!$E$28:$E$39,MATCH($A634,'Category Mapping'!$A$28:$A$39,0),1))</f>
        <v>212681633.57142857</v>
      </c>
      <c r="J634" s="27">
        <f>J54*IF($E634="weekday",INDEX('Category Mapping'!$F$28:$F$39,MATCH('Summarized Source Data'!$A634,'Category Mapping'!$A$28:$A$39,0),1),INDEX('Category Mapping'!$E$28:$E$39,MATCH($A634,'Category Mapping'!$A$28:$A$39,0),1))</f>
        <v>953487482.14285707</v>
      </c>
      <c r="K634" s="27">
        <f>K54*IF($E634="weekday",INDEX('Category Mapping'!$F$28:$F$39,MATCH('Summarized Source Data'!$A634,'Category Mapping'!$A$28:$A$39,0),1),INDEX('Category Mapping'!$E$28:$E$39,MATCH($A634,'Category Mapping'!$A$28:$A$39,0),1))</f>
        <v>953487482.14285707</v>
      </c>
      <c r="L634" s="27">
        <f>L54*IF($E634="weekday",INDEX('Category Mapping'!$F$28:$F$39,MATCH('Summarized Source Data'!$A634,'Category Mapping'!$A$28:$A$39,0),1),INDEX('Category Mapping'!$E$28:$E$39,MATCH($A634,'Category Mapping'!$A$28:$A$39,0),1))</f>
        <v>558000000</v>
      </c>
      <c r="M634" s="27">
        <f>M54*IF($E634="weekday",INDEX('Category Mapping'!$F$28:$F$39,MATCH('Summarized Source Data'!$A634,'Category Mapping'!$A$28:$A$39,0),1),INDEX('Category Mapping'!$E$28:$E$39,MATCH($A634,'Category Mapping'!$A$28:$A$39,0),1))</f>
        <v>1831280.7142857143</v>
      </c>
      <c r="N634" s="27">
        <f>N54*IF($E634="weekday",INDEX('Category Mapping'!$F$28:$F$39,MATCH('Summarized Source Data'!$A634,'Category Mapping'!$A$28:$A$39,0),1),INDEX('Category Mapping'!$E$28:$E$39,MATCH($A634,'Category Mapping'!$A$28:$A$39,0),1))</f>
        <v>0</v>
      </c>
      <c r="O634" s="27">
        <f>O54*IF($E634="weekday",INDEX('Category Mapping'!$F$28:$F$39,MATCH('Summarized Source Data'!$A634,'Category Mapping'!$A$28:$A$39,0),1),INDEX('Category Mapping'!$E$28:$E$39,MATCH($A634,'Category Mapping'!$A$28:$A$39,0),1))</f>
        <v>3315168719.2857141</v>
      </c>
      <c r="P634" s="27">
        <f>P54*IF($E634="weekday",INDEX('Category Mapping'!$F$28:$F$39,MATCH('Summarized Source Data'!$A634,'Category Mapping'!$A$28:$A$39,0),1),INDEX('Category Mapping'!$E$28:$E$39,MATCH($A634,'Category Mapping'!$A$28:$A$39,0),1))</f>
        <v>3315168719.2857141</v>
      </c>
      <c r="Q634" s="27">
        <f>Q54*IF($E634="weekday",INDEX('Category Mapping'!$F$28:$F$39,MATCH('Summarized Source Data'!$A634,'Category Mapping'!$A$28:$A$39,0),1),INDEX('Category Mapping'!$E$28:$E$39,MATCH($A634,'Category Mapping'!$A$28:$A$39,0),1))</f>
        <v>3315168719.2857141</v>
      </c>
      <c r="R634" s="27">
        <f>R54*IF($E634="weekday",INDEX('Category Mapping'!$F$28:$F$39,MATCH('Summarized Source Data'!$A634,'Category Mapping'!$A$28:$A$39,0),1),INDEX('Category Mapping'!$E$28:$E$39,MATCH($A634,'Category Mapping'!$A$28:$A$39,0),1))</f>
        <v>103941427.85714285</v>
      </c>
      <c r="S634" s="27">
        <f>S54*IF($E634="weekday",INDEX('Category Mapping'!$F$28:$F$39,MATCH('Summarized Source Data'!$A634,'Category Mapping'!$A$28:$A$39,0),1),INDEX('Category Mapping'!$E$28:$E$39,MATCH($A634,'Category Mapping'!$A$28:$A$39,0),1))</f>
        <v>103941427.85714285</v>
      </c>
      <c r="T634" s="27">
        <f>T54*IF($E634="weekday",INDEX('Category Mapping'!$F$28:$F$39,MATCH('Summarized Source Data'!$A634,'Category Mapping'!$A$28:$A$39,0),1),INDEX('Category Mapping'!$E$28:$E$39,MATCH($A634,'Category Mapping'!$A$28:$A$39,0),1))</f>
        <v>103941427.85714285</v>
      </c>
      <c r="U634" s="27">
        <f>U54*IF($E634="weekday",INDEX('Category Mapping'!$F$28:$F$39,MATCH('Summarized Source Data'!$A634,'Category Mapping'!$A$28:$A$39,0),1),INDEX('Category Mapping'!$E$28:$E$39,MATCH($A634,'Category Mapping'!$A$28:$A$39,0),1))</f>
        <v>103941427.85714285</v>
      </c>
      <c r="V634" s="27">
        <f>V54*IF($E634="weekday",INDEX('Category Mapping'!$F$28:$F$39,MATCH('Summarized Source Data'!$A634,'Category Mapping'!$A$28:$A$39,0),1),INDEX('Category Mapping'!$E$28:$E$39,MATCH($A634,'Category Mapping'!$A$28:$A$39,0),1))</f>
        <v>103941427.85714285</v>
      </c>
      <c r="W634" s="27">
        <f>W54*IF($E634="weekday",INDEX('Category Mapping'!$F$28:$F$39,MATCH('Summarized Source Data'!$A634,'Category Mapping'!$A$28:$A$39,0),1),INDEX('Category Mapping'!$E$28:$E$39,MATCH($A634,'Category Mapping'!$A$28:$A$39,0),1))</f>
        <v>103941427.85714285</v>
      </c>
      <c r="X634" s="27">
        <f>X54*IF($E634="weekday",INDEX('Category Mapping'!$F$28:$F$39,MATCH('Summarized Source Data'!$A634,'Category Mapping'!$A$28:$A$39,0),1),INDEX('Category Mapping'!$E$28:$E$39,MATCH($A634,'Category Mapping'!$A$28:$A$39,0),1))</f>
        <v>14680714285.714285</v>
      </c>
      <c r="Y634" s="27">
        <f>Y54*IF($E634="weekday",INDEX('Category Mapping'!$F$28:$F$39,MATCH('Summarized Source Data'!$A634,'Category Mapping'!$A$28:$A$39,0),1),INDEX('Category Mapping'!$E$28:$E$39,MATCH($A634,'Category Mapping'!$A$28:$A$39,0),1))</f>
        <v>14680714285.714285</v>
      </c>
      <c r="Z634" s="27">
        <f>Z54*IF($E634="weekday",INDEX('Category Mapping'!$F$28:$F$39,MATCH('Summarized Source Data'!$A634,'Category Mapping'!$A$28:$A$39,0),1),INDEX('Category Mapping'!$E$28:$E$39,MATCH($A634,'Category Mapping'!$A$28:$A$39,0),1))</f>
        <v>14680714285.714285</v>
      </c>
    </row>
    <row r="635" spans="1:26" x14ac:dyDescent="0.3">
      <c r="A635">
        <f t="shared" ref="A635:E635" si="100">A55</f>
        <v>3</v>
      </c>
      <c r="B635" t="str">
        <f t="shared" si="100"/>
        <v>Spring</v>
      </c>
      <c r="C635" t="str">
        <f t="shared" si="100"/>
        <v>h4</v>
      </c>
      <c r="D635" t="str">
        <f t="shared" si="100"/>
        <v>Hour3</v>
      </c>
      <c r="E635" t="str">
        <f t="shared" si="100"/>
        <v>Weekday</v>
      </c>
      <c r="F635" s="27">
        <f>F55*IF($E635="weekday",INDEX('Category Mapping'!$F$28:$F$39,MATCH('Summarized Source Data'!$A635,'Category Mapping'!$A$28:$A$39,0),1),INDEX('Category Mapping'!$E$28:$E$39,MATCH($A635,'Category Mapping'!$A$28:$A$39,0),1))</f>
        <v>294500000</v>
      </c>
      <c r="G635" s="27">
        <f>G55*IF($E635="weekday",INDEX('Category Mapping'!$F$28:$F$39,MATCH('Summarized Source Data'!$A635,'Category Mapping'!$A$28:$A$39,0),1),INDEX('Category Mapping'!$E$28:$E$39,MATCH($A635,'Category Mapping'!$A$28:$A$39,0),1))</f>
        <v>759876.42857142852</v>
      </c>
      <c r="H635" s="27">
        <f>H55*IF($E635="weekday",INDEX('Category Mapping'!$F$28:$F$39,MATCH('Summarized Source Data'!$A635,'Category Mapping'!$A$28:$A$39,0),1),INDEX('Category Mapping'!$E$28:$E$39,MATCH($A635,'Category Mapping'!$A$28:$A$39,0),1))</f>
        <v>0</v>
      </c>
      <c r="I635" s="27">
        <f>I55*IF($E635="weekday",INDEX('Category Mapping'!$F$28:$F$39,MATCH('Summarized Source Data'!$A635,'Category Mapping'!$A$28:$A$39,0),1),INDEX('Category Mapping'!$E$28:$E$39,MATCH($A635,'Category Mapping'!$A$28:$A$39,0),1))</f>
        <v>217422862.14285713</v>
      </c>
      <c r="J635" s="27">
        <f>J55*IF($E635="weekday",INDEX('Category Mapping'!$F$28:$F$39,MATCH('Summarized Source Data'!$A635,'Category Mapping'!$A$28:$A$39,0),1),INDEX('Category Mapping'!$E$28:$E$39,MATCH($A635,'Category Mapping'!$A$28:$A$39,0),1))</f>
        <v>824745832.85714281</v>
      </c>
      <c r="K635" s="27">
        <f>K55*IF($E635="weekday",INDEX('Category Mapping'!$F$28:$F$39,MATCH('Summarized Source Data'!$A635,'Category Mapping'!$A$28:$A$39,0),1),INDEX('Category Mapping'!$E$28:$E$39,MATCH($A635,'Category Mapping'!$A$28:$A$39,0),1))</f>
        <v>824745832.85714281</v>
      </c>
      <c r="L635" s="27">
        <f>L55*IF($E635="weekday",INDEX('Category Mapping'!$F$28:$F$39,MATCH('Summarized Source Data'!$A635,'Category Mapping'!$A$28:$A$39,0),1),INDEX('Category Mapping'!$E$28:$E$39,MATCH($A635,'Category Mapping'!$A$28:$A$39,0),1))</f>
        <v>575714285.71428573</v>
      </c>
      <c r="M635" s="27">
        <f>M55*IF($E635="weekday",INDEX('Category Mapping'!$F$28:$F$39,MATCH('Summarized Source Data'!$A635,'Category Mapping'!$A$28:$A$39,0),1),INDEX('Category Mapping'!$E$28:$E$39,MATCH($A635,'Category Mapping'!$A$28:$A$39,0),1))</f>
        <v>1804532.1428571427</v>
      </c>
      <c r="N635" s="27">
        <f>N55*IF($E635="weekday",INDEX('Category Mapping'!$F$28:$F$39,MATCH('Summarized Source Data'!$A635,'Category Mapping'!$A$28:$A$39,0),1),INDEX('Category Mapping'!$E$28:$E$39,MATCH($A635,'Category Mapping'!$A$28:$A$39,0),1))</f>
        <v>0</v>
      </c>
      <c r="O635" s="27">
        <f>O55*IF($E635="weekday",INDEX('Category Mapping'!$F$28:$F$39,MATCH('Summarized Source Data'!$A635,'Category Mapping'!$A$28:$A$39,0),1),INDEX('Category Mapping'!$E$28:$E$39,MATCH($A635,'Category Mapping'!$A$28:$A$39,0),1))</f>
        <v>3452481182.1428571</v>
      </c>
      <c r="P635" s="27">
        <f>P55*IF($E635="weekday",INDEX('Category Mapping'!$F$28:$F$39,MATCH('Summarized Source Data'!$A635,'Category Mapping'!$A$28:$A$39,0),1),INDEX('Category Mapping'!$E$28:$E$39,MATCH($A635,'Category Mapping'!$A$28:$A$39,0),1))</f>
        <v>3452481182.1428571</v>
      </c>
      <c r="Q635" s="27">
        <f>Q55*IF($E635="weekday",INDEX('Category Mapping'!$F$28:$F$39,MATCH('Summarized Source Data'!$A635,'Category Mapping'!$A$28:$A$39,0),1),INDEX('Category Mapping'!$E$28:$E$39,MATCH($A635,'Category Mapping'!$A$28:$A$39,0),1))</f>
        <v>3452481182.1428571</v>
      </c>
      <c r="R635" s="27">
        <f>R55*IF($E635="weekday",INDEX('Category Mapping'!$F$28:$F$39,MATCH('Summarized Source Data'!$A635,'Category Mapping'!$A$28:$A$39,0),1),INDEX('Category Mapping'!$E$28:$E$39,MATCH($A635,'Category Mapping'!$A$28:$A$39,0),1))</f>
        <v>104296488.57142857</v>
      </c>
      <c r="S635" s="27">
        <f>S55*IF($E635="weekday",INDEX('Category Mapping'!$F$28:$F$39,MATCH('Summarized Source Data'!$A635,'Category Mapping'!$A$28:$A$39,0),1),INDEX('Category Mapping'!$E$28:$E$39,MATCH($A635,'Category Mapping'!$A$28:$A$39,0),1))</f>
        <v>104296488.57142857</v>
      </c>
      <c r="T635" s="27">
        <f>T55*IF($E635="weekday",INDEX('Category Mapping'!$F$28:$F$39,MATCH('Summarized Source Data'!$A635,'Category Mapping'!$A$28:$A$39,0),1),INDEX('Category Mapping'!$E$28:$E$39,MATCH($A635,'Category Mapping'!$A$28:$A$39,0),1))</f>
        <v>104296488.57142857</v>
      </c>
      <c r="U635" s="27">
        <f>U55*IF($E635="weekday",INDEX('Category Mapping'!$F$28:$F$39,MATCH('Summarized Source Data'!$A635,'Category Mapping'!$A$28:$A$39,0),1),INDEX('Category Mapping'!$E$28:$E$39,MATCH($A635,'Category Mapping'!$A$28:$A$39,0),1))</f>
        <v>104296488.57142857</v>
      </c>
      <c r="V635" s="27">
        <f>V55*IF($E635="weekday",INDEX('Category Mapping'!$F$28:$F$39,MATCH('Summarized Source Data'!$A635,'Category Mapping'!$A$28:$A$39,0),1),INDEX('Category Mapping'!$E$28:$E$39,MATCH($A635,'Category Mapping'!$A$28:$A$39,0),1))</f>
        <v>104296488.57142857</v>
      </c>
      <c r="W635" s="27">
        <f>W55*IF($E635="weekday",INDEX('Category Mapping'!$F$28:$F$39,MATCH('Summarized Source Data'!$A635,'Category Mapping'!$A$28:$A$39,0),1),INDEX('Category Mapping'!$E$28:$E$39,MATCH($A635,'Category Mapping'!$A$28:$A$39,0),1))</f>
        <v>104296488.57142857</v>
      </c>
      <c r="X635" s="27">
        <f>X55*IF($E635="weekday",INDEX('Category Mapping'!$F$28:$F$39,MATCH('Summarized Source Data'!$A635,'Category Mapping'!$A$28:$A$39,0),1),INDEX('Category Mapping'!$E$28:$E$39,MATCH($A635,'Category Mapping'!$A$28:$A$39,0),1))</f>
        <v>14680714285.714285</v>
      </c>
      <c r="Y635" s="27">
        <f>Y55*IF($E635="weekday",INDEX('Category Mapping'!$F$28:$F$39,MATCH('Summarized Source Data'!$A635,'Category Mapping'!$A$28:$A$39,0),1),INDEX('Category Mapping'!$E$28:$E$39,MATCH($A635,'Category Mapping'!$A$28:$A$39,0),1))</f>
        <v>14680714285.714285</v>
      </c>
      <c r="Z635" s="27">
        <f>Z55*IF($E635="weekday",INDEX('Category Mapping'!$F$28:$F$39,MATCH('Summarized Source Data'!$A635,'Category Mapping'!$A$28:$A$39,0),1),INDEX('Category Mapping'!$E$28:$E$39,MATCH($A635,'Category Mapping'!$A$28:$A$39,0),1))</f>
        <v>14680714285.714285</v>
      </c>
    </row>
    <row r="636" spans="1:26" x14ac:dyDescent="0.3">
      <c r="A636">
        <f t="shared" ref="A636:E636" si="101">A56</f>
        <v>3</v>
      </c>
      <c r="B636" t="str">
        <f t="shared" si="101"/>
        <v>Spring</v>
      </c>
      <c r="C636" t="str">
        <f t="shared" si="101"/>
        <v>h5</v>
      </c>
      <c r="D636" t="str">
        <f t="shared" si="101"/>
        <v>Hour4</v>
      </c>
      <c r="E636" t="str">
        <f t="shared" si="101"/>
        <v>Weekday</v>
      </c>
      <c r="F636" s="27">
        <f>F56*IF($E636="weekday",INDEX('Category Mapping'!$F$28:$F$39,MATCH('Summarized Source Data'!$A636,'Category Mapping'!$A$28:$A$39,0),1),INDEX('Category Mapping'!$E$28:$E$39,MATCH($A636,'Category Mapping'!$A$28:$A$39,0),1))</f>
        <v>287857142.85714287</v>
      </c>
      <c r="G636" s="27">
        <f>G56*IF($E636="weekday",INDEX('Category Mapping'!$F$28:$F$39,MATCH('Summarized Source Data'!$A636,'Category Mapping'!$A$28:$A$39,0),1),INDEX('Category Mapping'!$E$28:$E$39,MATCH($A636,'Category Mapping'!$A$28:$A$39,0),1))</f>
        <v>740634.28571428568</v>
      </c>
      <c r="H636" s="27">
        <f>H56*IF($E636="weekday",INDEX('Category Mapping'!$F$28:$F$39,MATCH('Summarized Source Data'!$A636,'Category Mapping'!$A$28:$A$39,0),1),INDEX('Category Mapping'!$E$28:$E$39,MATCH($A636,'Category Mapping'!$A$28:$A$39,0),1))</f>
        <v>0</v>
      </c>
      <c r="I636" s="27">
        <f>I56*IF($E636="weekday",INDEX('Category Mapping'!$F$28:$F$39,MATCH('Summarized Source Data'!$A636,'Category Mapping'!$A$28:$A$39,0),1),INDEX('Category Mapping'!$E$28:$E$39,MATCH($A636,'Category Mapping'!$A$28:$A$39,0),1))</f>
        <v>279000000</v>
      </c>
      <c r="J636" s="27">
        <f>J56*IF($E636="weekday",INDEX('Category Mapping'!$F$28:$F$39,MATCH('Summarized Source Data'!$A636,'Category Mapping'!$A$28:$A$39,0),1),INDEX('Category Mapping'!$E$28:$E$39,MATCH($A636,'Category Mapping'!$A$28:$A$39,0),1))</f>
        <v>873902222.85714281</v>
      </c>
      <c r="K636" s="27">
        <f>K56*IF($E636="weekday",INDEX('Category Mapping'!$F$28:$F$39,MATCH('Summarized Source Data'!$A636,'Category Mapping'!$A$28:$A$39,0),1),INDEX('Category Mapping'!$E$28:$E$39,MATCH($A636,'Category Mapping'!$A$28:$A$39,0),1))</f>
        <v>873902222.85714281</v>
      </c>
      <c r="L636" s="27">
        <f>L56*IF($E636="weekday",INDEX('Category Mapping'!$F$28:$F$39,MATCH('Summarized Source Data'!$A636,'Category Mapping'!$A$28:$A$39,0),1),INDEX('Category Mapping'!$E$28:$E$39,MATCH($A636,'Category Mapping'!$A$28:$A$39,0),1))</f>
        <v>584571428.57142854</v>
      </c>
      <c r="M636" s="27">
        <f>M56*IF($E636="weekday",INDEX('Category Mapping'!$F$28:$F$39,MATCH('Summarized Source Data'!$A636,'Category Mapping'!$A$28:$A$39,0),1),INDEX('Category Mapping'!$E$28:$E$39,MATCH($A636,'Category Mapping'!$A$28:$A$39,0),1))</f>
        <v>1798752.857142857</v>
      </c>
      <c r="N636" s="27">
        <f>N56*IF($E636="weekday",INDEX('Category Mapping'!$F$28:$F$39,MATCH('Summarized Source Data'!$A636,'Category Mapping'!$A$28:$A$39,0),1),INDEX('Category Mapping'!$E$28:$E$39,MATCH($A636,'Category Mapping'!$A$28:$A$39,0),1))</f>
        <v>0</v>
      </c>
      <c r="O636" s="27">
        <f>O56*IF($E636="weekday",INDEX('Category Mapping'!$F$28:$F$39,MATCH('Summarized Source Data'!$A636,'Category Mapping'!$A$28:$A$39,0),1),INDEX('Category Mapping'!$E$28:$E$39,MATCH($A636,'Category Mapping'!$A$28:$A$39,0),1))</f>
        <v>3665058390</v>
      </c>
      <c r="P636" s="27">
        <f>P56*IF($E636="weekday",INDEX('Category Mapping'!$F$28:$F$39,MATCH('Summarized Source Data'!$A636,'Category Mapping'!$A$28:$A$39,0),1),INDEX('Category Mapping'!$E$28:$E$39,MATCH($A636,'Category Mapping'!$A$28:$A$39,0),1))</f>
        <v>3665058390</v>
      </c>
      <c r="Q636" s="27">
        <f>Q56*IF($E636="weekday",INDEX('Category Mapping'!$F$28:$F$39,MATCH('Summarized Source Data'!$A636,'Category Mapping'!$A$28:$A$39,0),1),INDEX('Category Mapping'!$E$28:$E$39,MATCH($A636,'Category Mapping'!$A$28:$A$39,0),1))</f>
        <v>3665058390</v>
      </c>
      <c r="R636" s="27">
        <f>R56*IF($E636="weekday",INDEX('Category Mapping'!$F$28:$F$39,MATCH('Summarized Source Data'!$A636,'Category Mapping'!$A$28:$A$39,0),1),INDEX('Category Mapping'!$E$28:$E$39,MATCH($A636,'Category Mapping'!$A$28:$A$39,0),1))</f>
        <v>103909586.42857143</v>
      </c>
      <c r="S636" s="27">
        <f>S56*IF($E636="weekday",INDEX('Category Mapping'!$F$28:$F$39,MATCH('Summarized Source Data'!$A636,'Category Mapping'!$A$28:$A$39,0),1),INDEX('Category Mapping'!$E$28:$E$39,MATCH($A636,'Category Mapping'!$A$28:$A$39,0),1))</f>
        <v>103909586.42857143</v>
      </c>
      <c r="T636" s="27">
        <f>T56*IF($E636="weekday",INDEX('Category Mapping'!$F$28:$F$39,MATCH('Summarized Source Data'!$A636,'Category Mapping'!$A$28:$A$39,0),1),INDEX('Category Mapping'!$E$28:$E$39,MATCH($A636,'Category Mapping'!$A$28:$A$39,0),1))</f>
        <v>103909586.42857143</v>
      </c>
      <c r="U636" s="27">
        <f>U56*IF($E636="weekday",INDEX('Category Mapping'!$F$28:$F$39,MATCH('Summarized Source Data'!$A636,'Category Mapping'!$A$28:$A$39,0),1),INDEX('Category Mapping'!$E$28:$E$39,MATCH($A636,'Category Mapping'!$A$28:$A$39,0),1))</f>
        <v>103909586.42857143</v>
      </c>
      <c r="V636" s="27">
        <f>V56*IF($E636="weekday",INDEX('Category Mapping'!$F$28:$F$39,MATCH('Summarized Source Data'!$A636,'Category Mapping'!$A$28:$A$39,0),1),INDEX('Category Mapping'!$E$28:$E$39,MATCH($A636,'Category Mapping'!$A$28:$A$39,0),1))</f>
        <v>103909586.42857143</v>
      </c>
      <c r="W636" s="27">
        <f>W56*IF($E636="weekday",INDEX('Category Mapping'!$F$28:$F$39,MATCH('Summarized Source Data'!$A636,'Category Mapping'!$A$28:$A$39,0),1),INDEX('Category Mapping'!$E$28:$E$39,MATCH($A636,'Category Mapping'!$A$28:$A$39,0),1))</f>
        <v>103909586.42857143</v>
      </c>
      <c r="X636" s="27">
        <f>X56*IF($E636="weekday",INDEX('Category Mapping'!$F$28:$F$39,MATCH('Summarized Source Data'!$A636,'Category Mapping'!$A$28:$A$39,0),1),INDEX('Category Mapping'!$E$28:$E$39,MATCH($A636,'Category Mapping'!$A$28:$A$39,0),1))</f>
        <v>14725000000</v>
      </c>
      <c r="Y636" s="27">
        <f>Y56*IF($E636="weekday",INDEX('Category Mapping'!$F$28:$F$39,MATCH('Summarized Source Data'!$A636,'Category Mapping'!$A$28:$A$39,0),1),INDEX('Category Mapping'!$E$28:$E$39,MATCH($A636,'Category Mapping'!$A$28:$A$39,0),1))</f>
        <v>14725000000</v>
      </c>
      <c r="Z636" s="27">
        <f>Z56*IF($E636="weekday",INDEX('Category Mapping'!$F$28:$F$39,MATCH('Summarized Source Data'!$A636,'Category Mapping'!$A$28:$A$39,0),1),INDEX('Category Mapping'!$E$28:$E$39,MATCH($A636,'Category Mapping'!$A$28:$A$39,0),1))</f>
        <v>14725000000</v>
      </c>
    </row>
    <row r="637" spans="1:26" x14ac:dyDescent="0.3">
      <c r="A637">
        <f t="shared" ref="A637:E637" si="102">A57</f>
        <v>3</v>
      </c>
      <c r="B637" t="str">
        <f t="shared" si="102"/>
        <v>Spring</v>
      </c>
      <c r="C637" t="str">
        <f t="shared" si="102"/>
        <v>h6</v>
      </c>
      <c r="D637" t="str">
        <f t="shared" si="102"/>
        <v>Hour5</v>
      </c>
      <c r="E637" t="str">
        <f t="shared" si="102"/>
        <v>Weekday</v>
      </c>
      <c r="F637" s="27">
        <f>F57*IF($E637="weekday",INDEX('Category Mapping'!$F$28:$F$39,MATCH('Summarized Source Data'!$A637,'Category Mapping'!$A$28:$A$39,0),1),INDEX('Category Mapping'!$E$28:$E$39,MATCH($A637,'Category Mapping'!$A$28:$A$39,0),1))</f>
        <v>369785714.28571427</v>
      </c>
      <c r="G637" s="27">
        <f>G57*IF($E637="weekday",INDEX('Category Mapping'!$F$28:$F$39,MATCH('Summarized Source Data'!$A637,'Category Mapping'!$A$28:$A$39,0),1),INDEX('Category Mapping'!$E$28:$E$39,MATCH($A637,'Category Mapping'!$A$28:$A$39,0),1))</f>
        <v>681003.57142857136</v>
      </c>
      <c r="H637" s="27">
        <f>H57*IF($E637="weekday",INDEX('Category Mapping'!$F$28:$F$39,MATCH('Summarized Source Data'!$A637,'Category Mapping'!$A$28:$A$39,0),1),INDEX('Category Mapping'!$E$28:$E$39,MATCH($A637,'Category Mapping'!$A$28:$A$39,0),1))</f>
        <v>0</v>
      </c>
      <c r="I637" s="27">
        <f>I57*IF($E637="weekday",INDEX('Category Mapping'!$F$28:$F$39,MATCH('Summarized Source Data'!$A637,'Category Mapping'!$A$28:$A$39,0),1),INDEX('Category Mapping'!$E$28:$E$39,MATCH($A637,'Category Mapping'!$A$28:$A$39,0),1))</f>
        <v>480500000</v>
      </c>
      <c r="J637" s="27">
        <f>J57*IF($E637="weekday",INDEX('Category Mapping'!$F$28:$F$39,MATCH('Summarized Source Data'!$A637,'Category Mapping'!$A$28:$A$39,0),1),INDEX('Category Mapping'!$E$28:$E$39,MATCH($A637,'Category Mapping'!$A$28:$A$39,0),1))</f>
        <v>1210533282.1428571</v>
      </c>
      <c r="K637" s="27">
        <f>K57*IF($E637="weekday",INDEX('Category Mapping'!$F$28:$F$39,MATCH('Summarized Source Data'!$A637,'Category Mapping'!$A$28:$A$39,0),1),INDEX('Category Mapping'!$E$28:$E$39,MATCH($A637,'Category Mapping'!$A$28:$A$39,0),1))</f>
        <v>1210533282.1428571</v>
      </c>
      <c r="L637" s="27">
        <f>L57*IF($E637="weekday",INDEX('Category Mapping'!$F$28:$F$39,MATCH('Summarized Source Data'!$A637,'Category Mapping'!$A$28:$A$39,0),1),INDEX('Category Mapping'!$E$28:$E$39,MATCH($A637,'Category Mapping'!$A$28:$A$39,0),1))</f>
        <v>817071428.57142854</v>
      </c>
      <c r="M637" s="27">
        <f>M57*IF($E637="weekday",INDEX('Category Mapping'!$F$28:$F$39,MATCH('Summarized Source Data'!$A637,'Category Mapping'!$A$28:$A$39,0),1),INDEX('Category Mapping'!$E$28:$E$39,MATCH($A637,'Category Mapping'!$A$28:$A$39,0),1))</f>
        <v>1854995.7142857143</v>
      </c>
      <c r="N637" s="27">
        <f>N57*IF($E637="weekday",INDEX('Category Mapping'!$F$28:$F$39,MATCH('Summarized Source Data'!$A637,'Category Mapping'!$A$28:$A$39,0),1),INDEX('Category Mapping'!$E$28:$E$39,MATCH($A637,'Category Mapping'!$A$28:$A$39,0),1))</f>
        <v>0</v>
      </c>
      <c r="O637" s="27">
        <f>O57*IF($E637="weekday",INDEX('Category Mapping'!$F$28:$F$39,MATCH('Summarized Source Data'!$A637,'Category Mapping'!$A$28:$A$39,0),1),INDEX('Category Mapping'!$E$28:$E$39,MATCH($A637,'Category Mapping'!$A$28:$A$39,0),1))</f>
        <v>4296073575.7142859</v>
      </c>
      <c r="P637" s="27">
        <f>P57*IF($E637="weekday",INDEX('Category Mapping'!$F$28:$F$39,MATCH('Summarized Source Data'!$A637,'Category Mapping'!$A$28:$A$39,0),1),INDEX('Category Mapping'!$E$28:$E$39,MATCH($A637,'Category Mapping'!$A$28:$A$39,0),1))</f>
        <v>4296073575.7142859</v>
      </c>
      <c r="Q637" s="27">
        <f>Q57*IF($E637="weekday",INDEX('Category Mapping'!$F$28:$F$39,MATCH('Summarized Source Data'!$A637,'Category Mapping'!$A$28:$A$39,0),1),INDEX('Category Mapping'!$E$28:$E$39,MATCH($A637,'Category Mapping'!$A$28:$A$39,0),1))</f>
        <v>4296073575.7142859</v>
      </c>
      <c r="R637" s="27">
        <f>R57*IF($E637="weekday",INDEX('Category Mapping'!$F$28:$F$39,MATCH('Summarized Source Data'!$A637,'Category Mapping'!$A$28:$A$39,0),1),INDEX('Category Mapping'!$E$28:$E$39,MATCH($A637,'Category Mapping'!$A$28:$A$39,0),1))</f>
        <v>106859170</v>
      </c>
      <c r="S637" s="27">
        <f>S57*IF($E637="weekday",INDEX('Category Mapping'!$F$28:$F$39,MATCH('Summarized Source Data'!$A637,'Category Mapping'!$A$28:$A$39,0),1),INDEX('Category Mapping'!$E$28:$E$39,MATCH($A637,'Category Mapping'!$A$28:$A$39,0),1))</f>
        <v>106859170</v>
      </c>
      <c r="T637" s="27">
        <f>T57*IF($E637="weekday",INDEX('Category Mapping'!$F$28:$F$39,MATCH('Summarized Source Data'!$A637,'Category Mapping'!$A$28:$A$39,0),1),INDEX('Category Mapping'!$E$28:$E$39,MATCH($A637,'Category Mapping'!$A$28:$A$39,0),1))</f>
        <v>106859170</v>
      </c>
      <c r="U637" s="27">
        <f>U57*IF($E637="weekday",INDEX('Category Mapping'!$F$28:$F$39,MATCH('Summarized Source Data'!$A637,'Category Mapping'!$A$28:$A$39,0),1),INDEX('Category Mapping'!$E$28:$E$39,MATCH($A637,'Category Mapping'!$A$28:$A$39,0),1))</f>
        <v>106859170</v>
      </c>
      <c r="V637" s="27">
        <f>V57*IF($E637="weekday",INDEX('Category Mapping'!$F$28:$F$39,MATCH('Summarized Source Data'!$A637,'Category Mapping'!$A$28:$A$39,0),1),INDEX('Category Mapping'!$E$28:$E$39,MATCH($A637,'Category Mapping'!$A$28:$A$39,0),1))</f>
        <v>106859170</v>
      </c>
      <c r="W637" s="27">
        <f>W57*IF($E637="weekday",INDEX('Category Mapping'!$F$28:$F$39,MATCH('Summarized Source Data'!$A637,'Category Mapping'!$A$28:$A$39,0),1),INDEX('Category Mapping'!$E$28:$E$39,MATCH($A637,'Category Mapping'!$A$28:$A$39,0),1))</f>
        <v>106859170</v>
      </c>
      <c r="X637" s="27">
        <f>X57*IF($E637="weekday",INDEX('Category Mapping'!$F$28:$F$39,MATCH('Summarized Source Data'!$A637,'Category Mapping'!$A$28:$A$39,0),1),INDEX('Category Mapping'!$E$28:$E$39,MATCH($A637,'Category Mapping'!$A$28:$A$39,0),1))</f>
        <v>14835714285.714285</v>
      </c>
      <c r="Y637" s="27">
        <f>Y57*IF($E637="weekday",INDEX('Category Mapping'!$F$28:$F$39,MATCH('Summarized Source Data'!$A637,'Category Mapping'!$A$28:$A$39,0),1),INDEX('Category Mapping'!$E$28:$E$39,MATCH($A637,'Category Mapping'!$A$28:$A$39,0),1))</f>
        <v>14835714285.714285</v>
      </c>
      <c r="Z637" s="27">
        <f>Z57*IF($E637="weekday",INDEX('Category Mapping'!$F$28:$F$39,MATCH('Summarized Source Data'!$A637,'Category Mapping'!$A$28:$A$39,0),1),INDEX('Category Mapping'!$E$28:$E$39,MATCH($A637,'Category Mapping'!$A$28:$A$39,0),1))</f>
        <v>14835714285.714285</v>
      </c>
    </row>
    <row r="638" spans="1:26" x14ac:dyDescent="0.3">
      <c r="A638">
        <f t="shared" ref="A638:E638" si="103">A58</f>
        <v>3</v>
      </c>
      <c r="B638" t="str">
        <f t="shared" si="103"/>
        <v>Spring</v>
      </c>
      <c r="C638" t="str">
        <f t="shared" si="103"/>
        <v>h7</v>
      </c>
      <c r="D638" t="str">
        <f t="shared" si="103"/>
        <v>Hour6</v>
      </c>
      <c r="E638" t="str">
        <f t="shared" si="103"/>
        <v>Weekday</v>
      </c>
      <c r="F638" s="27">
        <f>F58*IF($E638="weekday",INDEX('Category Mapping'!$F$28:$F$39,MATCH('Summarized Source Data'!$A638,'Category Mapping'!$A$28:$A$39,0),1),INDEX('Category Mapping'!$E$28:$E$39,MATCH($A638,'Category Mapping'!$A$28:$A$39,0),1))</f>
        <v>391928571.4285714</v>
      </c>
      <c r="G638" s="27">
        <f>G58*IF($E638="weekday",INDEX('Category Mapping'!$F$28:$F$39,MATCH('Summarized Source Data'!$A638,'Category Mapping'!$A$28:$A$39,0),1),INDEX('Category Mapping'!$E$28:$E$39,MATCH($A638,'Category Mapping'!$A$28:$A$39,0),1))</f>
        <v>556339.28571428568</v>
      </c>
      <c r="H638" s="27">
        <f>H58*IF($E638="weekday",INDEX('Category Mapping'!$F$28:$F$39,MATCH('Summarized Source Data'!$A638,'Category Mapping'!$A$28:$A$39,0),1),INDEX('Category Mapping'!$E$28:$E$39,MATCH($A638,'Category Mapping'!$A$28:$A$39,0),1))</f>
        <v>0</v>
      </c>
      <c r="I638" s="27">
        <f>I58*IF($E638="weekday",INDEX('Category Mapping'!$F$28:$F$39,MATCH('Summarized Source Data'!$A638,'Category Mapping'!$A$28:$A$39,0),1),INDEX('Category Mapping'!$E$28:$E$39,MATCH($A638,'Category Mapping'!$A$28:$A$39,0),1))</f>
        <v>690857142.85714281</v>
      </c>
      <c r="J638" s="27">
        <f>J58*IF($E638="weekday",INDEX('Category Mapping'!$F$28:$F$39,MATCH('Summarized Source Data'!$A638,'Category Mapping'!$A$28:$A$39,0),1),INDEX('Category Mapping'!$E$28:$E$39,MATCH($A638,'Category Mapping'!$A$28:$A$39,0),1))</f>
        <v>1928086517.8571429</v>
      </c>
      <c r="K638" s="27">
        <f>K58*IF($E638="weekday",INDEX('Category Mapping'!$F$28:$F$39,MATCH('Summarized Source Data'!$A638,'Category Mapping'!$A$28:$A$39,0),1),INDEX('Category Mapping'!$E$28:$E$39,MATCH($A638,'Category Mapping'!$A$28:$A$39,0),1))</f>
        <v>1928086517.8571429</v>
      </c>
      <c r="L638" s="27">
        <f>L58*IF($E638="weekday",INDEX('Category Mapping'!$F$28:$F$39,MATCH('Summarized Source Data'!$A638,'Category Mapping'!$A$28:$A$39,0),1),INDEX('Category Mapping'!$E$28:$E$39,MATCH($A638,'Category Mapping'!$A$28:$A$39,0),1))</f>
        <v>1432642857.1428571</v>
      </c>
      <c r="M638" s="27">
        <f>M58*IF($E638="weekday",INDEX('Category Mapping'!$F$28:$F$39,MATCH('Summarized Source Data'!$A638,'Category Mapping'!$A$28:$A$39,0),1),INDEX('Category Mapping'!$E$28:$E$39,MATCH($A638,'Category Mapping'!$A$28:$A$39,0),1))</f>
        <v>2056097.1428571427</v>
      </c>
      <c r="N638" s="27">
        <f>N58*IF($E638="weekday",INDEX('Category Mapping'!$F$28:$F$39,MATCH('Summarized Source Data'!$A638,'Category Mapping'!$A$28:$A$39,0),1),INDEX('Category Mapping'!$E$28:$E$39,MATCH($A638,'Category Mapping'!$A$28:$A$39,0),1))</f>
        <v>0</v>
      </c>
      <c r="O638" s="27">
        <f>O58*IF($E638="weekday",INDEX('Category Mapping'!$F$28:$F$39,MATCH('Summarized Source Data'!$A638,'Category Mapping'!$A$28:$A$39,0),1),INDEX('Category Mapping'!$E$28:$E$39,MATCH($A638,'Category Mapping'!$A$28:$A$39,0),1))</f>
        <v>6448158188.5714283</v>
      </c>
      <c r="P638" s="27">
        <f>P58*IF($E638="weekday",INDEX('Category Mapping'!$F$28:$F$39,MATCH('Summarized Source Data'!$A638,'Category Mapping'!$A$28:$A$39,0),1),INDEX('Category Mapping'!$E$28:$E$39,MATCH($A638,'Category Mapping'!$A$28:$A$39,0),1))</f>
        <v>6448158188.5714283</v>
      </c>
      <c r="Q638" s="27">
        <f>Q58*IF($E638="weekday",INDEX('Category Mapping'!$F$28:$F$39,MATCH('Summarized Source Data'!$A638,'Category Mapping'!$A$28:$A$39,0),1),INDEX('Category Mapping'!$E$28:$E$39,MATCH($A638,'Category Mapping'!$A$28:$A$39,0),1))</f>
        <v>6448158188.5714283</v>
      </c>
      <c r="R638" s="27">
        <f>R58*IF($E638="weekday",INDEX('Category Mapping'!$F$28:$F$39,MATCH('Summarized Source Data'!$A638,'Category Mapping'!$A$28:$A$39,0),1),INDEX('Category Mapping'!$E$28:$E$39,MATCH($A638,'Category Mapping'!$A$28:$A$39,0),1))</f>
        <v>160443577.85714287</v>
      </c>
      <c r="S638" s="27">
        <f>S58*IF($E638="weekday",INDEX('Category Mapping'!$F$28:$F$39,MATCH('Summarized Source Data'!$A638,'Category Mapping'!$A$28:$A$39,0),1),INDEX('Category Mapping'!$E$28:$E$39,MATCH($A638,'Category Mapping'!$A$28:$A$39,0),1))</f>
        <v>160443577.85714287</v>
      </c>
      <c r="T638" s="27">
        <f>T58*IF($E638="weekday",INDEX('Category Mapping'!$F$28:$F$39,MATCH('Summarized Source Data'!$A638,'Category Mapping'!$A$28:$A$39,0),1),INDEX('Category Mapping'!$E$28:$E$39,MATCH($A638,'Category Mapping'!$A$28:$A$39,0),1))</f>
        <v>160443577.85714287</v>
      </c>
      <c r="U638" s="27">
        <f>U58*IF($E638="weekday",INDEX('Category Mapping'!$F$28:$F$39,MATCH('Summarized Source Data'!$A638,'Category Mapping'!$A$28:$A$39,0),1),INDEX('Category Mapping'!$E$28:$E$39,MATCH($A638,'Category Mapping'!$A$28:$A$39,0),1))</f>
        <v>160443577.85714287</v>
      </c>
      <c r="V638" s="27">
        <f>V58*IF($E638="weekday",INDEX('Category Mapping'!$F$28:$F$39,MATCH('Summarized Source Data'!$A638,'Category Mapping'!$A$28:$A$39,0),1),INDEX('Category Mapping'!$E$28:$E$39,MATCH($A638,'Category Mapping'!$A$28:$A$39,0),1))</f>
        <v>160443577.85714287</v>
      </c>
      <c r="W638" s="27">
        <f>W58*IF($E638="weekday",INDEX('Category Mapping'!$F$28:$F$39,MATCH('Summarized Source Data'!$A638,'Category Mapping'!$A$28:$A$39,0),1),INDEX('Category Mapping'!$E$28:$E$39,MATCH($A638,'Category Mapping'!$A$28:$A$39,0),1))</f>
        <v>160443577.85714287</v>
      </c>
      <c r="X638" s="27">
        <f>X58*IF($E638="weekday",INDEX('Category Mapping'!$F$28:$F$39,MATCH('Summarized Source Data'!$A638,'Category Mapping'!$A$28:$A$39,0),1),INDEX('Category Mapping'!$E$28:$E$39,MATCH($A638,'Category Mapping'!$A$28:$A$39,0),1))</f>
        <v>14990714285.714285</v>
      </c>
      <c r="Y638" s="27">
        <f>Y58*IF($E638="weekday",INDEX('Category Mapping'!$F$28:$F$39,MATCH('Summarized Source Data'!$A638,'Category Mapping'!$A$28:$A$39,0),1),INDEX('Category Mapping'!$E$28:$E$39,MATCH($A638,'Category Mapping'!$A$28:$A$39,0),1))</f>
        <v>14990714285.714285</v>
      </c>
      <c r="Z638" s="27">
        <f>Z58*IF($E638="weekday",INDEX('Category Mapping'!$F$28:$F$39,MATCH('Summarized Source Data'!$A638,'Category Mapping'!$A$28:$A$39,0),1),INDEX('Category Mapping'!$E$28:$E$39,MATCH($A638,'Category Mapping'!$A$28:$A$39,0),1))</f>
        <v>14990714285.714285</v>
      </c>
    </row>
    <row r="639" spans="1:26" x14ac:dyDescent="0.3">
      <c r="A639">
        <f t="shared" ref="A639:E639" si="104">A59</f>
        <v>3</v>
      </c>
      <c r="B639" t="str">
        <f t="shared" si="104"/>
        <v>Spring</v>
      </c>
      <c r="C639" t="str">
        <f t="shared" si="104"/>
        <v>h8</v>
      </c>
      <c r="D639" t="str">
        <f t="shared" si="104"/>
        <v>Hour7</v>
      </c>
      <c r="E639" t="str">
        <f t="shared" si="104"/>
        <v>Weekday</v>
      </c>
      <c r="F639" s="27">
        <f>F59*IF($E639="weekday",INDEX('Category Mapping'!$F$28:$F$39,MATCH('Summarized Source Data'!$A639,'Category Mapping'!$A$28:$A$39,0),1),INDEX('Category Mapping'!$E$28:$E$39,MATCH($A639,'Category Mapping'!$A$28:$A$39,0),1))</f>
        <v>378642857.14285713</v>
      </c>
      <c r="G639" s="27">
        <f>G59*IF($E639="weekday",INDEX('Category Mapping'!$F$28:$F$39,MATCH('Summarized Source Data'!$A639,'Category Mapping'!$A$28:$A$39,0),1),INDEX('Category Mapping'!$E$28:$E$39,MATCH($A639,'Category Mapping'!$A$28:$A$39,0),1))</f>
        <v>417503.57142857142</v>
      </c>
      <c r="H639" s="27">
        <f>H59*IF($E639="weekday",INDEX('Category Mapping'!$F$28:$F$39,MATCH('Summarized Source Data'!$A639,'Category Mapping'!$A$28:$A$39,0),1),INDEX('Category Mapping'!$E$28:$E$39,MATCH($A639,'Category Mapping'!$A$28:$A$39,0),1))</f>
        <v>0</v>
      </c>
      <c r="I639" s="27">
        <f>I59*IF($E639="weekday",INDEX('Category Mapping'!$F$28:$F$39,MATCH('Summarized Source Data'!$A639,'Category Mapping'!$A$28:$A$39,0),1),INDEX('Category Mapping'!$E$28:$E$39,MATCH($A639,'Category Mapping'!$A$28:$A$39,0),1))</f>
        <v>232500000</v>
      </c>
      <c r="J639" s="27">
        <f>J59*IF($E639="weekday",INDEX('Category Mapping'!$F$28:$F$39,MATCH('Summarized Source Data'!$A639,'Category Mapping'!$A$28:$A$39,0),1),INDEX('Category Mapping'!$E$28:$E$39,MATCH($A639,'Category Mapping'!$A$28:$A$39,0),1))</f>
        <v>2444153925</v>
      </c>
      <c r="K639" s="27">
        <f>K59*IF($E639="weekday",INDEX('Category Mapping'!$F$28:$F$39,MATCH('Summarized Source Data'!$A639,'Category Mapping'!$A$28:$A$39,0),1),INDEX('Category Mapping'!$E$28:$E$39,MATCH($A639,'Category Mapping'!$A$28:$A$39,0),1))</f>
        <v>2444153925</v>
      </c>
      <c r="L639" s="27">
        <f>L59*IF($E639="weekday",INDEX('Category Mapping'!$F$28:$F$39,MATCH('Summarized Source Data'!$A639,'Category Mapping'!$A$28:$A$39,0),1),INDEX('Category Mapping'!$E$28:$E$39,MATCH($A639,'Category Mapping'!$A$28:$A$39,0),1))</f>
        <v>2019428571.4285715</v>
      </c>
      <c r="M639" s="27">
        <f>M59*IF($E639="weekday",INDEX('Category Mapping'!$F$28:$F$39,MATCH('Summarized Source Data'!$A639,'Category Mapping'!$A$28:$A$39,0),1),INDEX('Category Mapping'!$E$28:$E$39,MATCH($A639,'Category Mapping'!$A$28:$A$39,0),1))</f>
        <v>2452830.7142857141</v>
      </c>
      <c r="N639" s="27">
        <f>N59*IF($E639="weekday",INDEX('Category Mapping'!$F$28:$F$39,MATCH('Summarized Source Data'!$A639,'Category Mapping'!$A$28:$A$39,0),1),INDEX('Category Mapping'!$E$28:$E$39,MATCH($A639,'Category Mapping'!$A$28:$A$39,0),1))</f>
        <v>0</v>
      </c>
      <c r="O639" s="27">
        <f>O59*IF($E639="weekday",INDEX('Category Mapping'!$F$28:$F$39,MATCH('Summarized Source Data'!$A639,'Category Mapping'!$A$28:$A$39,0),1),INDEX('Category Mapping'!$E$28:$E$39,MATCH($A639,'Category Mapping'!$A$28:$A$39,0),1))</f>
        <v>8850261455</v>
      </c>
      <c r="P639" s="27">
        <f>P59*IF($E639="weekday",INDEX('Category Mapping'!$F$28:$F$39,MATCH('Summarized Source Data'!$A639,'Category Mapping'!$A$28:$A$39,0),1),INDEX('Category Mapping'!$E$28:$E$39,MATCH($A639,'Category Mapping'!$A$28:$A$39,0),1))</f>
        <v>8850261455</v>
      </c>
      <c r="Q639" s="27">
        <f>Q59*IF($E639="weekday",INDEX('Category Mapping'!$F$28:$F$39,MATCH('Summarized Source Data'!$A639,'Category Mapping'!$A$28:$A$39,0),1),INDEX('Category Mapping'!$E$28:$E$39,MATCH($A639,'Category Mapping'!$A$28:$A$39,0),1))</f>
        <v>8850261455</v>
      </c>
      <c r="R639" s="27">
        <f>R59*IF($E639="weekday",INDEX('Category Mapping'!$F$28:$F$39,MATCH('Summarized Source Data'!$A639,'Category Mapping'!$A$28:$A$39,0),1),INDEX('Category Mapping'!$E$28:$E$39,MATCH($A639,'Category Mapping'!$A$28:$A$39,0),1))</f>
        <v>338785714.28571427</v>
      </c>
      <c r="S639" s="27">
        <f>S59*IF($E639="weekday",INDEX('Category Mapping'!$F$28:$F$39,MATCH('Summarized Source Data'!$A639,'Category Mapping'!$A$28:$A$39,0),1),INDEX('Category Mapping'!$E$28:$E$39,MATCH($A639,'Category Mapping'!$A$28:$A$39,0),1))</f>
        <v>338785714.28571427</v>
      </c>
      <c r="T639" s="27">
        <f>T59*IF($E639="weekday",INDEX('Category Mapping'!$F$28:$F$39,MATCH('Summarized Source Data'!$A639,'Category Mapping'!$A$28:$A$39,0),1),INDEX('Category Mapping'!$E$28:$E$39,MATCH($A639,'Category Mapping'!$A$28:$A$39,0),1))</f>
        <v>338785714.28571427</v>
      </c>
      <c r="U639" s="27">
        <f>U59*IF($E639="weekday",INDEX('Category Mapping'!$F$28:$F$39,MATCH('Summarized Source Data'!$A639,'Category Mapping'!$A$28:$A$39,0),1),INDEX('Category Mapping'!$E$28:$E$39,MATCH($A639,'Category Mapping'!$A$28:$A$39,0),1))</f>
        <v>338785714.28571427</v>
      </c>
      <c r="V639" s="27">
        <f>V59*IF($E639="weekday",INDEX('Category Mapping'!$F$28:$F$39,MATCH('Summarized Source Data'!$A639,'Category Mapping'!$A$28:$A$39,0),1),INDEX('Category Mapping'!$E$28:$E$39,MATCH($A639,'Category Mapping'!$A$28:$A$39,0),1))</f>
        <v>338785714.28571427</v>
      </c>
      <c r="W639" s="27">
        <f>W59*IF($E639="weekday",INDEX('Category Mapping'!$F$28:$F$39,MATCH('Summarized Source Data'!$A639,'Category Mapping'!$A$28:$A$39,0),1),INDEX('Category Mapping'!$E$28:$E$39,MATCH($A639,'Category Mapping'!$A$28:$A$39,0),1))</f>
        <v>338785714.28571427</v>
      </c>
      <c r="X639" s="27">
        <f>X59*IF($E639="weekday",INDEX('Category Mapping'!$F$28:$F$39,MATCH('Summarized Source Data'!$A639,'Category Mapping'!$A$28:$A$39,0),1),INDEX('Category Mapping'!$E$28:$E$39,MATCH($A639,'Category Mapping'!$A$28:$A$39,0),1))</f>
        <v>15145714285.714285</v>
      </c>
      <c r="Y639" s="27">
        <f>Y59*IF($E639="weekday",INDEX('Category Mapping'!$F$28:$F$39,MATCH('Summarized Source Data'!$A639,'Category Mapping'!$A$28:$A$39,0),1),INDEX('Category Mapping'!$E$28:$E$39,MATCH($A639,'Category Mapping'!$A$28:$A$39,0),1))</f>
        <v>15145714285.714285</v>
      </c>
      <c r="Z639" s="27">
        <f>Z59*IF($E639="weekday",INDEX('Category Mapping'!$F$28:$F$39,MATCH('Summarized Source Data'!$A639,'Category Mapping'!$A$28:$A$39,0),1),INDEX('Category Mapping'!$E$28:$E$39,MATCH($A639,'Category Mapping'!$A$28:$A$39,0),1))</f>
        <v>15145714285.714285</v>
      </c>
    </row>
    <row r="640" spans="1:26" x14ac:dyDescent="0.3">
      <c r="A640">
        <f t="shared" ref="A640:E640" si="105">A60</f>
        <v>3</v>
      </c>
      <c r="B640" t="str">
        <f t="shared" si="105"/>
        <v>Spring</v>
      </c>
      <c r="C640" t="str">
        <f t="shared" si="105"/>
        <v>h9</v>
      </c>
      <c r="D640" t="str">
        <f t="shared" si="105"/>
        <v>Hour8</v>
      </c>
      <c r="E640" t="str">
        <f t="shared" si="105"/>
        <v>Weekday</v>
      </c>
      <c r="F640" s="27">
        <f>F60*IF($E640="weekday",INDEX('Category Mapping'!$F$28:$F$39,MATCH('Summarized Source Data'!$A640,'Category Mapping'!$A$28:$A$39,0),1),INDEX('Category Mapping'!$E$28:$E$39,MATCH($A640,'Category Mapping'!$A$28:$A$39,0),1))</f>
        <v>358714285.71428573</v>
      </c>
      <c r="G640" s="27">
        <f>G60*IF($E640="weekday",INDEX('Category Mapping'!$F$28:$F$39,MATCH('Summarized Source Data'!$A640,'Category Mapping'!$A$28:$A$39,0),1),INDEX('Category Mapping'!$E$28:$E$39,MATCH($A640,'Category Mapping'!$A$28:$A$39,0),1))</f>
        <v>337412.85714285716</v>
      </c>
      <c r="H640" s="27">
        <f>H60*IF($E640="weekday",INDEX('Category Mapping'!$F$28:$F$39,MATCH('Summarized Source Data'!$A640,'Category Mapping'!$A$28:$A$39,0),1),INDEX('Category Mapping'!$E$28:$E$39,MATCH($A640,'Category Mapping'!$A$28:$A$39,0),1))</f>
        <v>0</v>
      </c>
      <c r="I640" s="27">
        <f>I60*IF($E640="weekday",INDEX('Category Mapping'!$F$28:$F$39,MATCH('Summarized Source Data'!$A640,'Category Mapping'!$A$28:$A$39,0),1),INDEX('Category Mapping'!$E$28:$E$39,MATCH($A640,'Category Mapping'!$A$28:$A$39,0),1))</f>
        <v>213443835</v>
      </c>
      <c r="J640" s="27">
        <f>J60*IF($E640="weekday",INDEX('Category Mapping'!$F$28:$F$39,MATCH('Summarized Source Data'!$A640,'Category Mapping'!$A$28:$A$39,0),1),INDEX('Category Mapping'!$E$28:$E$39,MATCH($A640,'Category Mapping'!$A$28:$A$39,0),1))</f>
        <v>2483218752.1428571</v>
      </c>
      <c r="K640" s="27">
        <f>K60*IF($E640="weekday",INDEX('Category Mapping'!$F$28:$F$39,MATCH('Summarized Source Data'!$A640,'Category Mapping'!$A$28:$A$39,0),1),INDEX('Category Mapping'!$E$28:$E$39,MATCH($A640,'Category Mapping'!$A$28:$A$39,0),1))</f>
        <v>2483218752.1428571</v>
      </c>
      <c r="L640" s="27">
        <f>L60*IF($E640="weekday",INDEX('Category Mapping'!$F$28:$F$39,MATCH('Summarized Source Data'!$A640,'Category Mapping'!$A$28:$A$39,0),1),INDEX('Category Mapping'!$E$28:$E$39,MATCH($A640,'Category Mapping'!$A$28:$A$39,0),1))</f>
        <v>1678428571.4285715</v>
      </c>
      <c r="M640" s="27">
        <f>M60*IF($E640="weekday",INDEX('Category Mapping'!$F$28:$F$39,MATCH('Summarized Source Data'!$A640,'Category Mapping'!$A$28:$A$39,0),1),INDEX('Category Mapping'!$E$28:$E$39,MATCH($A640,'Category Mapping'!$A$28:$A$39,0),1))</f>
        <v>3036029.2857142854</v>
      </c>
      <c r="N640" s="27">
        <f>N60*IF($E640="weekday",INDEX('Category Mapping'!$F$28:$F$39,MATCH('Summarized Source Data'!$A640,'Category Mapping'!$A$28:$A$39,0),1),INDEX('Category Mapping'!$E$28:$E$39,MATCH($A640,'Category Mapping'!$A$28:$A$39,0),1))</f>
        <v>0</v>
      </c>
      <c r="O640" s="27">
        <f>O60*IF($E640="weekday",INDEX('Category Mapping'!$F$28:$F$39,MATCH('Summarized Source Data'!$A640,'Category Mapping'!$A$28:$A$39,0),1),INDEX('Category Mapping'!$E$28:$E$39,MATCH($A640,'Category Mapping'!$A$28:$A$39,0),1))</f>
        <v>10984249685</v>
      </c>
      <c r="P640" s="27">
        <f>P60*IF($E640="weekday",INDEX('Category Mapping'!$F$28:$F$39,MATCH('Summarized Source Data'!$A640,'Category Mapping'!$A$28:$A$39,0),1),INDEX('Category Mapping'!$E$28:$E$39,MATCH($A640,'Category Mapping'!$A$28:$A$39,0),1))</f>
        <v>10984249685</v>
      </c>
      <c r="Q640" s="27">
        <f>Q60*IF($E640="weekday",INDEX('Category Mapping'!$F$28:$F$39,MATCH('Summarized Source Data'!$A640,'Category Mapping'!$A$28:$A$39,0),1),INDEX('Category Mapping'!$E$28:$E$39,MATCH($A640,'Category Mapping'!$A$28:$A$39,0),1))</f>
        <v>10984249685</v>
      </c>
      <c r="R640" s="27">
        <f>R60*IF($E640="weekday",INDEX('Category Mapping'!$F$28:$F$39,MATCH('Summarized Source Data'!$A640,'Category Mapping'!$A$28:$A$39,0),1),INDEX('Category Mapping'!$E$28:$E$39,MATCH($A640,'Category Mapping'!$A$28:$A$39,0),1))</f>
        <v>367571428.57142854</v>
      </c>
      <c r="S640" s="27">
        <f>S60*IF($E640="weekday",INDEX('Category Mapping'!$F$28:$F$39,MATCH('Summarized Source Data'!$A640,'Category Mapping'!$A$28:$A$39,0),1),INDEX('Category Mapping'!$E$28:$E$39,MATCH($A640,'Category Mapping'!$A$28:$A$39,0),1))</f>
        <v>367571428.57142854</v>
      </c>
      <c r="T640" s="27">
        <f>T60*IF($E640="weekday",INDEX('Category Mapping'!$F$28:$F$39,MATCH('Summarized Source Data'!$A640,'Category Mapping'!$A$28:$A$39,0),1),INDEX('Category Mapping'!$E$28:$E$39,MATCH($A640,'Category Mapping'!$A$28:$A$39,0),1))</f>
        <v>367571428.57142854</v>
      </c>
      <c r="U640" s="27">
        <f>U60*IF($E640="weekday",INDEX('Category Mapping'!$F$28:$F$39,MATCH('Summarized Source Data'!$A640,'Category Mapping'!$A$28:$A$39,0),1),INDEX('Category Mapping'!$E$28:$E$39,MATCH($A640,'Category Mapping'!$A$28:$A$39,0),1))</f>
        <v>367571428.57142854</v>
      </c>
      <c r="V640" s="27">
        <f>V60*IF($E640="weekday",INDEX('Category Mapping'!$F$28:$F$39,MATCH('Summarized Source Data'!$A640,'Category Mapping'!$A$28:$A$39,0),1),INDEX('Category Mapping'!$E$28:$E$39,MATCH($A640,'Category Mapping'!$A$28:$A$39,0),1))</f>
        <v>367571428.57142854</v>
      </c>
      <c r="W640" s="27">
        <f>W60*IF($E640="weekday",INDEX('Category Mapping'!$F$28:$F$39,MATCH('Summarized Source Data'!$A640,'Category Mapping'!$A$28:$A$39,0),1),INDEX('Category Mapping'!$E$28:$E$39,MATCH($A640,'Category Mapping'!$A$28:$A$39,0),1))</f>
        <v>367571428.57142854</v>
      </c>
      <c r="X640" s="27">
        <f>X60*IF($E640="weekday",INDEX('Category Mapping'!$F$28:$F$39,MATCH('Summarized Source Data'!$A640,'Category Mapping'!$A$28:$A$39,0),1),INDEX('Category Mapping'!$E$28:$E$39,MATCH($A640,'Category Mapping'!$A$28:$A$39,0),1))</f>
        <v>15190000000</v>
      </c>
      <c r="Y640" s="27">
        <f>Y60*IF($E640="weekday",INDEX('Category Mapping'!$F$28:$F$39,MATCH('Summarized Source Data'!$A640,'Category Mapping'!$A$28:$A$39,0),1),INDEX('Category Mapping'!$E$28:$E$39,MATCH($A640,'Category Mapping'!$A$28:$A$39,0),1))</f>
        <v>15190000000</v>
      </c>
      <c r="Z640" s="27">
        <f>Z60*IF($E640="weekday",INDEX('Category Mapping'!$F$28:$F$39,MATCH('Summarized Source Data'!$A640,'Category Mapping'!$A$28:$A$39,0),1),INDEX('Category Mapping'!$E$28:$E$39,MATCH($A640,'Category Mapping'!$A$28:$A$39,0),1))</f>
        <v>15190000000</v>
      </c>
    </row>
    <row r="641" spans="1:26" x14ac:dyDescent="0.3">
      <c r="A641">
        <f t="shared" ref="A641:E641" si="106">A61</f>
        <v>3</v>
      </c>
      <c r="B641" t="str">
        <f t="shared" si="106"/>
        <v>Spring</v>
      </c>
      <c r="C641" t="str">
        <f t="shared" si="106"/>
        <v>h10</v>
      </c>
      <c r="D641" t="str">
        <f t="shared" si="106"/>
        <v>Hour9</v>
      </c>
      <c r="E641" t="str">
        <f t="shared" si="106"/>
        <v>Weekday</v>
      </c>
      <c r="F641" s="27">
        <f>F61*IF($E641="weekday",INDEX('Category Mapping'!$F$28:$F$39,MATCH('Summarized Source Data'!$A641,'Category Mapping'!$A$28:$A$39,0),1),INDEX('Category Mapping'!$E$28:$E$39,MATCH($A641,'Category Mapping'!$A$28:$A$39,0),1))</f>
        <v>241357142.85714287</v>
      </c>
      <c r="G641" s="27">
        <f>G61*IF($E641="weekday",INDEX('Category Mapping'!$F$28:$F$39,MATCH('Summarized Source Data'!$A641,'Category Mapping'!$A$28:$A$39,0),1),INDEX('Category Mapping'!$E$28:$E$39,MATCH($A641,'Category Mapping'!$A$28:$A$39,0),1))</f>
        <v>291687.85714285716</v>
      </c>
      <c r="H641" s="27">
        <f>H61*IF($E641="weekday",INDEX('Category Mapping'!$F$28:$F$39,MATCH('Summarized Source Data'!$A641,'Category Mapping'!$A$28:$A$39,0),1),INDEX('Category Mapping'!$E$28:$E$39,MATCH($A641,'Category Mapping'!$A$28:$A$39,0),1))</f>
        <v>0</v>
      </c>
      <c r="I641" s="27">
        <f>I61*IF($E641="weekday",INDEX('Category Mapping'!$F$28:$F$39,MATCH('Summarized Source Data'!$A641,'Category Mapping'!$A$28:$A$39,0),1),INDEX('Category Mapping'!$E$28:$E$39,MATCH($A641,'Category Mapping'!$A$28:$A$39,0),1))</f>
        <v>205322344.28571427</v>
      </c>
      <c r="J641" s="27">
        <f>J61*IF($E641="weekday",INDEX('Category Mapping'!$F$28:$F$39,MATCH('Summarized Source Data'!$A641,'Category Mapping'!$A$28:$A$39,0),1),INDEX('Category Mapping'!$E$28:$E$39,MATCH($A641,'Category Mapping'!$A$28:$A$39,0),1))</f>
        <v>2475885967.8571429</v>
      </c>
      <c r="K641" s="27">
        <f>K61*IF($E641="weekday",INDEX('Category Mapping'!$F$28:$F$39,MATCH('Summarized Source Data'!$A641,'Category Mapping'!$A$28:$A$39,0),1),INDEX('Category Mapping'!$E$28:$E$39,MATCH($A641,'Category Mapping'!$A$28:$A$39,0),1))</f>
        <v>2475885967.8571429</v>
      </c>
      <c r="L641" s="27">
        <f>L61*IF($E641="weekday",INDEX('Category Mapping'!$F$28:$F$39,MATCH('Summarized Source Data'!$A641,'Category Mapping'!$A$28:$A$39,0),1),INDEX('Category Mapping'!$E$28:$E$39,MATCH($A641,'Category Mapping'!$A$28:$A$39,0),1))</f>
        <v>1242214285.7142856</v>
      </c>
      <c r="M641" s="27">
        <f>M61*IF($E641="weekday",INDEX('Category Mapping'!$F$28:$F$39,MATCH('Summarized Source Data'!$A641,'Category Mapping'!$A$28:$A$39,0),1),INDEX('Category Mapping'!$E$28:$E$39,MATCH($A641,'Category Mapping'!$A$28:$A$39,0),1))</f>
        <v>3408427.8571428573</v>
      </c>
      <c r="N641" s="27">
        <f>N61*IF($E641="weekday",INDEX('Category Mapping'!$F$28:$F$39,MATCH('Summarized Source Data'!$A641,'Category Mapping'!$A$28:$A$39,0),1),INDEX('Category Mapping'!$E$28:$E$39,MATCH($A641,'Category Mapping'!$A$28:$A$39,0),1))</f>
        <v>0</v>
      </c>
      <c r="O641" s="27">
        <f>O61*IF($E641="weekday",INDEX('Category Mapping'!$F$28:$F$39,MATCH('Summarized Source Data'!$A641,'Category Mapping'!$A$28:$A$39,0),1),INDEX('Category Mapping'!$E$28:$E$39,MATCH($A641,'Category Mapping'!$A$28:$A$39,0),1))</f>
        <v>11530805857.857143</v>
      </c>
      <c r="P641" s="27">
        <f>P61*IF($E641="weekday",INDEX('Category Mapping'!$F$28:$F$39,MATCH('Summarized Source Data'!$A641,'Category Mapping'!$A$28:$A$39,0),1),INDEX('Category Mapping'!$E$28:$E$39,MATCH($A641,'Category Mapping'!$A$28:$A$39,0),1))</f>
        <v>11530805857.857143</v>
      </c>
      <c r="Q641" s="27">
        <f>Q61*IF($E641="weekday",INDEX('Category Mapping'!$F$28:$F$39,MATCH('Summarized Source Data'!$A641,'Category Mapping'!$A$28:$A$39,0),1),INDEX('Category Mapping'!$E$28:$E$39,MATCH($A641,'Category Mapping'!$A$28:$A$39,0),1))</f>
        <v>11530805857.857143</v>
      </c>
      <c r="R641" s="27">
        <f>R61*IF($E641="weekday",INDEX('Category Mapping'!$F$28:$F$39,MATCH('Summarized Source Data'!$A641,'Category Mapping'!$A$28:$A$39,0),1),INDEX('Category Mapping'!$E$28:$E$39,MATCH($A641,'Category Mapping'!$A$28:$A$39,0),1))</f>
        <v>325500000</v>
      </c>
      <c r="S641" s="27">
        <f>S61*IF($E641="weekday",INDEX('Category Mapping'!$F$28:$F$39,MATCH('Summarized Source Data'!$A641,'Category Mapping'!$A$28:$A$39,0),1),INDEX('Category Mapping'!$E$28:$E$39,MATCH($A641,'Category Mapping'!$A$28:$A$39,0),1))</f>
        <v>325500000</v>
      </c>
      <c r="T641" s="27">
        <f>T61*IF($E641="weekday",INDEX('Category Mapping'!$F$28:$F$39,MATCH('Summarized Source Data'!$A641,'Category Mapping'!$A$28:$A$39,0),1),INDEX('Category Mapping'!$E$28:$E$39,MATCH($A641,'Category Mapping'!$A$28:$A$39,0),1))</f>
        <v>325500000</v>
      </c>
      <c r="U641" s="27">
        <f>U61*IF($E641="weekday",INDEX('Category Mapping'!$F$28:$F$39,MATCH('Summarized Source Data'!$A641,'Category Mapping'!$A$28:$A$39,0),1),INDEX('Category Mapping'!$E$28:$E$39,MATCH($A641,'Category Mapping'!$A$28:$A$39,0),1))</f>
        <v>325500000</v>
      </c>
      <c r="V641" s="27">
        <f>V61*IF($E641="weekday",INDEX('Category Mapping'!$F$28:$F$39,MATCH('Summarized Source Data'!$A641,'Category Mapping'!$A$28:$A$39,0),1),INDEX('Category Mapping'!$E$28:$E$39,MATCH($A641,'Category Mapping'!$A$28:$A$39,0),1))</f>
        <v>325500000</v>
      </c>
      <c r="W641" s="27">
        <f>W61*IF($E641="weekday",INDEX('Category Mapping'!$F$28:$F$39,MATCH('Summarized Source Data'!$A641,'Category Mapping'!$A$28:$A$39,0),1),INDEX('Category Mapping'!$E$28:$E$39,MATCH($A641,'Category Mapping'!$A$28:$A$39,0),1))</f>
        <v>325500000</v>
      </c>
      <c r="X641" s="27">
        <f>X61*IF($E641="weekday",INDEX('Category Mapping'!$F$28:$F$39,MATCH('Summarized Source Data'!$A641,'Category Mapping'!$A$28:$A$39,0),1),INDEX('Category Mapping'!$E$28:$E$39,MATCH($A641,'Category Mapping'!$A$28:$A$39,0),1))</f>
        <v>15167857142.857143</v>
      </c>
      <c r="Y641" s="27">
        <f>Y61*IF($E641="weekday",INDEX('Category Mapping'!$F$28:$F$39,MATCH('Summarized Source Data'!$A641,'Category Mapping'!$A$28:$A$39,0),1),INDEX('Category Mapping'!$E$28:$E$39,MATCH($A641,'Category Mapping'!$A$28:$A$39,0),1))</f>
        <v>15167857142.857143</v>
      </c>
      <c r="Z641" s="27">
        <f>Z61*IF($E641="weekday",INDEX('Category Mapping'!$F$28:$F$39,MATCH('Summarized Source Data'!$A641,'Category Mapping'!$A$28:$A$39,0),1),INDEX('Category Mapping'!$E$28:$E$39,MATCH($A641,'Category Mapping'!$A$28:$A$39,0),1))</f>
        <v>15167857142.857143</v>
      </c>
    </row>
    <row r="642" spans="1:26" x14ac:dyDescent="0.3">
      <c r="A642">
        <f t="shared" ref="A642:E642" si="107">A62</f>
        <v>3</v>
      </c>
      <c r="B642" t="str">
        <f t="shared" si="107"/>
        <v>Spring</v>
      </c>
      <c r="C642" t="str">
        <f t="shared" si="107"/>
        <v>h11</v>
      </c>
      <c r="D642" t="str">
        <f t="shared" si="107"/>
        <v>Hour10</v>
      </c>
      <c r="E642" t="str">
        <f t="shared" si="107"/>
        <v>Weekday</v>
      </c>
      <c r="F642" s="27">
        <f>F62*IF($E642="weekday",INDEX('Category Mapping'!$F$28:$F$39,MATCH('Summarized Source Data'!$A642,'Category Mapping'!$A$28:$A$39,0),1),INDEX('Category Mapping'!$E$28:$E$39,MATCH($A642,'Category Mapping'!$A$28:$A$39,0),1))</f>
        <v>225857142.85714287</v>
      </c>
      <c r="G642" s="27">
        <f>G62*IF($E642="weekday",INDEX('Category Mapping'!$F$28:$F$39,MATCH('Summarized Source Data'!$A642,'Category Mapping'!$A$28:$A$39,0),1),INDEX('Category Mapping'!$E$28:$E$39,MATCH($A642,'Category Mapping'!$A$28:$A$39,0),1))</f>
        <v>288233.57142857142</v>
      </c>
      <c r="H642" s="27">
        <f>H62*IF($E642="weekday",INDEX('Category Mapping'!$F$28:$F$39,MATCH('Summarized Source Data'!$A642,'Category Mapping'!$A$28:$A$39,0),1),INDEX('Category Mapping'!$E$28:$E$39,MATCH($A642,'Category Mapping'!$A$28:$A$39,0),1))</f>
        <v>0</v>
      </c>
      <c r="I642" s="27">
        <f>I62*IF($E642="weekday",INDEX('Category Mapping'!$F$28:$F$39,MATCH('Summarized Source Data'!$A642,'Category Mapping'!$A$28:$A$39,0),1),INDEX('Category Mapping'!$E$28:$E$39,MATCH($A642,'Category Mapping'!$A$28:$A$39,0),1))</f>
        <v>208677252.85714287</v>
      </c>
      <c r="J642" s="27">
        <f>J62*IF($E642="weekday",INDEX('Category Mapping'!$F$28:$F$39,MATCH('Summarized Source Data'!$A642,'Category Mapping'!$A$28:$A$39,0),1),INDEX('Category Mapping'!$E$28:$E$39,MATCH($A642,'Category Mapping'!$A$28:$A$39,0),1))</f>
        <v>2443748799.2857141</v>
      </c>
      <c r="K642" s="27">
        <f>K62*IF($E642="weekday",INDEX('Category Mapping'!$F$28:$F$39,MATCH('Summarized Source Data'!$A642,'Category Mapping'!$A$28:$A$39,0),1),INDEX('Category Mapping'!$E$28:$E$39,MATCH($A642,'Category Mapping'!$A$28:$A$39,0),1))</f>
        <v>2443748799.2857141</v>
      </c>
      <c r="L642" s="27">
        <f>L62*IF($E642="weekday",INDEX('Category Mapping'!$F$28:$F$39,MATCH('Summarized Source Data'!$A642,'Category Mapping'!$A$28:$A$39,0),1),INDEX('Category Mapping'!$E$28:$E$39,MATCH($A642,'Category Mapping'!$A$28:$A$39,0),1))</f>
        <v>1023000000</v>
      </c>
      <c r="M642" s="27">
        <f>M62*IF($E642="weekday",INDEX('Category Mapping'!$F$28:$F$39,MATCH('Summarized Source Data'!$A642,'Category Mapping'!$A$28:$A$39,0),1),INDEX('Category Mapping'!$E$28:$E$39,MATCH($A642,'Category Mapping'!$A$28:$A$39,0),1))</f>
        <v>3601978.5714285714</v>
      </c>
      <c r="N642" s="27">
        <f>N62*IF($E642="weekday",INDEX('Category Mapping'!$F$28:$F$39,MATCH('Summarized Source Data'!$A642,'Category Mapping'!$A$28:$A$39,0),1),INDEX('Category Mapping'!$E$28:$E$39,MATCH($A642,'Category Mapping'!$A$28:$A$39,0),1))</f>
        <v>0</v>
      </c>
      <c r="O642" s="27">
        <f>O62*IF($E642="weekday",INDEX('Category Mapping'!$F$28:$F$39,MATCH('Summarized Source Data'!$A642,'Category Mapping'!$A$28:$A$39,0),1),INDEX('Category Mapping'!$E$28:$E$39,MATCH($A642,'Category Mapping'!$A$28:$A$39,0),1))</f>
        <v>11484112307.142857</v>
      </c>
      <c r="P642" s="27">
        <f>P62*IF($E642="weekday",INDEX('Category Mapping'!$F$28:$F$39,MATCH('Summarized Source Data'!$A642,'Category Mapping'!$A$28:$A$39,0),1),INDEX('Category Mapping'!$E$28:$E$39,MATCH($A642,'Category Mapping'!$A$28:$A$39,0),1))</f>
        <v>11484112307.142857</v>
      </c>
      <c r="Q642" s="27">
        <f>Q62*IF($E642="weekday",INDEX('Category Mapping'!$F$28:$F$39,MATCH('Summarized Source Data'!$A642,'Category Mapping'!$A$28:$A$39,0),1),INDEX('Category Mapping'!$E$28:$E$39,MATCH($A642,'Category Mapping'!$A$28:$A$39,0),1))</f>
        <v>11484112307.142857</v>
      </c>
      <c r="R642" s="27">
        <f>R62*IF($E642="weekday",INDEX('Category Mapping'!$F$28:$F$39,MATCH('Summarized Source Data'!$A642,'Category Mapping'!$A$28:$A$39,0),1),INDEX('Category Mapping'!$E$28:$E$39,MATCH($A642,'Category Mapping'!$A$28:$A$39,0),1))</f>
        <v>263500000</v>
      </c>
      <c r="S642" s="27">
        <f>S62*IF($E642="weekday",INDEX('Category Mapping'!$F$28:$F$39,MATCH('Summarized Source Data'!$A642,'Category Mapping'!$A$28:$A$39,0),1),INDEX('Category Mapping'!$E$28:$E$39,MATCH($A642,'Category Mapping'!$A$28:$A$39,0),1))</f>
        <v>263500000</v>
      </c>
      <c r="T642" s="27">
        <f>T62*IF($E642="weekday",INDEX('Category Mapping'!$F$28:$F$39,MATCH('Summarized Source Data'!$A642,'Category Mapping'!$A$28:$A$39,0),1),INDEX('Category Mapping'!$E$28:$E$39,MATCH($A642,'Category Mapping'!$A$28:$A$39,0),1))</f>
        <v>263500000</v>
      </c>
      <c r="U642" s="27">
        <f>U62*IF($E642="weekday",INDEX('Category Mapping'!$F$28:$F$39,MATCH('Summarized Source Data'!$A642,'Category Mapping'!$A$28:$A$39,0),1),INDEX('Category Mapping'!$E$28:$E$39,MATCH($A642,'Category Mapping'!$A$28:$A$39,0),1))</f>
        <v>263500000</v>
      </c>
      <c r="V642" s="27">
        <f>V62*IF($E642="weekday",INDEX('Category Mapping'!$F$28:$F$39,MATCH('Summarized Source Data'!$A642,'Category Mapping'!$A$28:$A$39,0),1),INDEX('Category Mapping'!$E$28:$E$39,MATCH($A642,'Category Mapping'!$A$28:$A$39,0),1))</f>
        <v>263500000</v>
      </c>
      <c r="W642" s="27">
        <f>W62*IF($E642="weekday",INDEX('Category Mapping'!$F$28:$F$39,MATCH('Summarized Source Data'!$A642,'Category Mapping'!$A$28:$A$39,0),1),INDEX('Category Mapping'!$E$28:$E$39,MATCH($A642,'Category Mapping'!$A$28:$A$39,0),1))</f>
        <v>263500000</v>
      </c>
      <c r="X642" s="27">
        <f>X62*IF($E642="weekday",INDEX('Category Mapping'!$F$28:$F$39,MATCH('Summarized Source Data'!$A642,'Category Mapping'!$A$28:$A$39,0),1),INDEX('Category Mapping'!$E$28:$E$39,MATCH($A642,'Category Mapping'!$A$28:$A$39,0),1))</f>
        <v>15101428571.428572</v>
      </c>
      <c r="Y642" s="27">
        <f>Y62*IF($E642="weekday",INDEX('Category Mapping'!$F$28:$F$39,MATCH('Summarized Source Data'!$A642,'Category Mapping'!$A$28:$A$39,0),1),INDEX('Category Mapping'!$E$28:$E$39,MATCH($A642,'Category Mapping'!$A$28:$A$39,0),1))</f>
        <v>15101428571.428572</v>
      </c>
      <c r="Z642" s="27">
        <f>Z62*IF($E642="weekday",INDEX('Category Mapping'!$F$28:$F$39,MATCH('Summarized Source Data'!$A642,'Category Mapping'!$A$28:$A$39,0),1),INDEX('Category Mapping'!$E$28:$E$39,MATCH($A642,'Category Mapping'!$A$28:$A$39,0),1))</f>
        <v>15101428571.428572</v>
      </c>
    </row>
    <row r="643" spans="1:26" x14ac:dyDescent="0.3">
      <c r="A643">
        <f t="shared" ref="A643:E643" si="108">A63</f>
        <v>3</v>
      </c>
      <c r="B643" t="str">
        <f t="shared" si="108"/>
        <v>Spring</v>
      </c>
      <c r="C643" t="str">
        <f t="shared" si="108"/>
        <v>h12</v>
      </c>
      <c r="D643" t="str">
        <f t="shared" si="108"/>
        <v>Hour11</v>
      </c>
      <c r="E643" t="str">
        <f t="shared" si="108"/>
        <v>Weekday</v>
      </c>
      <c r="F643" s="27">
        <f>F63*IF($E643="weekday",INDEX('Category Mapping'!$F$28:$F$39,MATCH('Summarized Source Data'!$A643,'Category Mapping'!$A$28:$A$39,0),1),INDEX('Category Mapping'!$E$28:$E$39,MATCH($A643,'Category Mapping'!$A$28:$A$39,0),1))</f>
        <v>234714285.7142857</v>
      </c>
      <c r="G643" s="27">
        <f>G63*IF($E643="weekday",INDEX('Category Mapping'!$F$28:$F$39,MATCH('Summarized Source Data'!$A643,'Category Mapping'!$A$28:$A$39,0),1),INDEX('Category Mapping'!$E$28:$E$39,MATCH($A643,'Category Mapping'!$A$28:$A$39,0),1))</f>
        <v>322355.71428571426</v>
      </c>
      <c r="H643" s="27">
        <f>H63*IF($E643="weekday",INDEX('Category Mapping'!$F$28:$F$39,MATCH('Summarized Source Data'!$A643,'Category Mapping'!$A$28:$A$39,0),1),INDEX('Category Mapping'!$E$28:$E$39,MATCH($A643,'Category Mapping'!$A$28:$A$39,0),1))</f>
        <v>0</v>
      </c>
      <c r="I643" s="27">
        <f>I63*IF($E643="weekday",INDEX('Category Mapping'!$F$28:$F$39,MATCH('Summarized Source Data'!$A643,'Category Mapping'!$A$28:$A$39,0),1),INDEX('Category Mapping'!$E$28:$E$39,MATCH($A643,'Category Mapping'!$A$28:$A$39,0),1))</f>
        <v>228071428.57142857</v>
      </c>
      <c r="J643" s="27">
        <f>J63*IF($E643="weekday",INDEX('Category Mapping'!$F$28:$F$39,MATCH('Summarized Source Data'!$A643,'Category Mapping'!$A$28:$A$39,0),1),INDEX('Category Mapping'!$E$28:$E$39,MATCH($A643,'Category Mapping'!$A$28:$A$39,0),1))</f>
        <v>2437606215.7142859</v>
      </c>
      <c r="K643" s="27">
        <f>K63*IF($E643="weekday",INDEX('Category Mapping'!$F$28:$F$39,MATCH('Summarized Source Data'!$A643,'Category Mapping'!$A$28:$A$39,0),1),INDEX('Category Mapping'!$E$28:$E$39,MATCH($A643,'Category Mapping'!$A$28:$A$39,0),1))</f>
        <v>2437606215.7142859</v>
      </c>
      <c r="L643" s="27">
        <f>L63*IF($E643="weekday",INDEX('Category Mapping'!$F$28:$F$39,MATCH('Summarized Source Data'!$A643,'Category Mapping'!$A$28:$A$39,0),1),INDEX('Category Mapping'!$E$28:$E$39,MATCH($A643,'Category Mapping'!$A$28:$A$39,0),1))</f>
        <v>868000000</v>
      </c>
      <c r="M643" s="27">
        <f>M63*IF($E643="weekday",INDEX('Category Mapping'!$F$28:$F$39,MATCH('Summarized Source Data'!$A643,'Category Mapping'!$A$28:$A$39,0),1),INDEX('Category Mapping'!$E$28:$E$39,MATCH($A643,'Category Mapping'!$A$28:$A$39,0),1))</f>
        <v>3647349.2857142854</v>
      </c>
      <c r="N643" s="27">
        <f>N63*IF($E643="weekday",INDEX('Category Mapping'!$F$28:$F$39,MATCH('Summarized Source Data'!$A643,'Category Mapping'!$A$28:$A$39,0),1),INDEX('Category Mapping'!$E$28:$E$39,MATCH($A643,'Category Mapping'!$A$28:$A$39,0),1))</f>
        <v>0</v>
      </c>
      <c r="O643" s="27">
        <f>O63*IF($E643="weekday",INDEX('Category Mapping'!$F$28:$F$39,MATCH('Summarized Source Data'!$A643,'Category Mapping'!$A$28:$A$39,0),1),INDEX('Category Mapping'!$E$28:$E$39,MATCH($A643,'Category Mapping'!$A$28:$A$39,0),1))</f>
        <v>11439781222.142857</v>
      </c>
      <c r="P643" s="27">
        <f>P63*IF($E643="weekday",INDEX('Category Mapping'!$F$28:$F$39,MATCH('Summarized Source Data'!$A643,'Category Mapping'!$A$28:$A$39,0),1),INDEX('Category Mapping'!$E$28:$E$39,MATCH($A643,'Category Mapping'!$A$28:$A$39,0),1))</f>
        <v>11439781222.142857</v>
      </c>
      <c r="Q643" s="27">
        <f>Q63*IF($E643="weekday",INDEX('Category Mapping'!$F$28:$F$39,MATCH('Summarized Source Data'!$A643,'Category Mapping'!$A$28:$A$39,0),1),INDEX('Category Mapping'!$E$28:$E$39,MATCH($A643,'Category Mapping'!$A$28:$A$39,0),1))</f>
        <v>11439781222.142857</v>
      </c>
      <c r="R643" s="27">
        <f>R63*IF($E643="weekday",INDEX('Category Mapping'!$F$28:$F$39,MATCH('Summarized Source Data'!$A643,'Category Mapping'!$A$28:$A$39,0),1),INDEX('Category Mapping'!$E$28:$E$39,MATCH($A643,'Category Mapping'!$A$28:$A$39,0),1))</f>
        <v>263500000</v>
      </c>
      <c r="S643" s="27">
        <f>S63*IF($E643="weekday",INDEX('Category Mapping'!$F$28:$F$39,MATCH('Summarized Source Data'!$A643,'Category Mapping'!$A$28:$A$39,0),1),INDEX('Category Mapping'!$E$28:$E$39,MATCH($A643,'Category Mapping'!$A$28:$A$39,0),1))</f>
        <v>263500000</v>
      </c>
      <c r="T643" s="27">
        <f>T63*IF($E643="weekday",INDEX('Category Mapping'!$F$28:$F$39,MATCH('Summarized Source Data'!$A643,'Category Mapping'!$A$28:$A$39,0),1),INDEX('Category Mapping'!$E$28:$E$39,MATCH($A643,'Category Mapping'!$A$28:$A$39,0),1))</f>
        <v>263500000</v>
      </c>
      <c r="U643" s="27">
        <f>U63*IF($E643="weekday",INDEX('Category Mapping'!$F$28:$F$39,MATCH('Summarized Source Data'!$A643,'Category Mapping'!$A$28:$A$39,0),1),INDEX('Category Mapping'!$E$28:$E$39,MATCH($A643,'Category Mapping'!$A$28:$A$39,0),1))</f>
        <v>263500000</v>
      </c>
      <c r="V643" s="27">
        <f>V63*IF($E643="weekday",INDEX('Category Mapping'!$F$28:$F$39,MATCH('Summarized Source Data'!$A643,'Category Mapping'!$A$28:$A$39,0),1),INDEX('Category Mapping'!$E$28:$E$39,MATCH($A643,'Category Mapping'!$A$28:$A$39,0),1))</f>
        <v>263500000</v>
      </c>
      <c r="W643" s="27">
        <f>W63*IF($E643="weekday",INDEX('Category Mapping'!$F$28:$F$39,MATCH('Summarized Source Data'!$A643,'Category Mapping'!$A$28:$A$39,0),1),INDEX('Category Mapping'!$E$28:$E$39,MATCH($A643,'Category Mapping'!$A$28:$A$39,0),1))</f>
        <v>263500000</v>
      </c>
      <c r="X643" s="27">
        <f>X63*IF($E643="weekday",INDEX('Category Mapping'!$F$28:$F$39,MATCH('Summarized Source Data'!$A643,'Category Mapping'!$A$28:$A$39,0),1),INDEX('Category Mapping'!$E$28:$E$39,MATCH($A643,'Category Mapping'!$A$28:$A$39,0),1))</f>
        <v>15057142857.142857</v>
      </c>
      <c r="Y643" s="27">
        <f>Y63*IF($E643="weekday",INDEX('Category Mapping'!$F$28:$F$39,MATCH('Summarized Source Data'!$A643,'Category Mapping'!$A$28:$A$39,0),1),INDEX('Category Mapping'!$E$28:$E$39,MATCH($A643,'Category Mapping'!$A$28:$A$39,0),1))</f>
        <v>15057142857.142857</v>
      </c>
      <c r="Z643" s="27">
        <f>Z63*IF($E643="weekday",INDEX('Category Mapping'!$F$28:$F$39,MATCH('Summarized Source Data'!$A643,'Category Mapping'!$A$28:$A$39,0),1),INDEX('Category Mapping'!$E$28:$E$39,MATCH($A643,'Category Mapping'!$A$28:$A$39,0),1))</f>
        <v>15057142857.142857</v>
      </c>
    </row>
    <row r="644" spans="1:26" x14ac:dyDescent="0.3">
      <c r="A644">
        <f t="shared" ref="A644:E644" si="109">A64</f>
        <v>3</v>
      </c>
      <c r="B644" t="str">
        <f t="shared" si="109"/>
        <v>Spring</v>
      </c>
      <c r="C644" t="str">
        <f t="shared" si="109"/>
        <v>h13</v>
      </c>
      <c r="D644" t="str">
        <f t="shared" si="109"/>
        <v>Hour12</v>
      </c>
      <c r="E644" t="str">
        <f t="shared" si="109"/>
        <v>Weekday</v>
      </c>
      <c r="F644" s="27">
        <f>F64*IF($E644="weekday",INDEX('Category Mapping'!$F$28:$F$39,MATCH('Summarized Source Data'!$A644,'Category Mapping'!$A$28:$A$39,0),1),INDEX('Category Mapping'!$E$28:$E$39,MATCH($A644,'Category Mapping'!$A$28:$A$39,0),1))</f>
        <v>241357142.85714287</v>
      </c>
      <c r="G644" s="27">
        <f>G64*IF($E644="weekday",INDEX('Category Mapping'!$F$28:$F$39,MATCH('Summarized Source Data'!$A644,'Category Mapping'!$A$28:$A$39,0),1),INDEX('Category Mapping'!$E$28:$E$39,MATCH($A644,'Category Mapping'!$A$28:$A$39,0),1))</f>
        <v>349945.71428571426</v>
      </c>
      <c r="H644" s="27">
        <f>H64*IF($E644="weekday",INDEX('Category Mapping'!$F$28:$F$39,MATCH('Summarized Source Data'!$A644,'Category Mapping'!$A$28:$A$39,0),1),INDEX('Category Mapping'!$E$28:$E$39,MATCH($A644,'Category Mapping'!$A$28:$A$39,0),1))</f>
        <v>0</v>
      </c>
      <c r="I644" s="27">
        <f>I64*IF($E644="weekday",INDEX('Category Mapping'!$F$28:$F$39,MATCH('Summarized Source Data'!$A644,'Category Mapping'!$A$28:$A$39,0),1),INDEX('Category Mapping'!$E$28:$E$39,MATCH($A644,'Category Mapping'!$A$28:$A$39,0),1))</f>
        <v>241357142.85714287</v>
      </c>
      <c r="J644" s="27">
        <f>J64*IF($E644="weekday",INDEX('Category Mapping'!$F$28:$F$39,MATCH('Summarized Source Data'!$A644,'Category Mapping'!$A$28:$A$39,0),1),INDEX('Category Mapping'!$E$28:$E$39,MATCH($A644,'Category Mapping'!$A$28:$A$39,0),1))</f>
        <v>2351221482.8571429</v>
      </c>
      <c r="K644" s="27">
        <f>K64*IF($E644="weekday",INDEX('Category Mapping'!$F$28:$F$39,MATCH('Summarized Source Data'!$A644,'Category Mapping'!$A$28:$A$39,0),1),INDEX('Category Mapping'!$E$28:$E$39,MATCH($A644,'Category Mapping'!$A$28:$A$39,0),1))</f>
        <v>2351221482.8571429</v>
      </c>
      <c r="L644" s="27">
        <f>L64*IF($E644="weekday",INDEX('Category Mapping'!$F$28:$F$39,MATCH('Summarized Source Data'!$A644,'Category Mapping'!$A$28:$A$39,0),1),INDEX('Category Mapping'!$E$28:$E$39,MATCH($A644,'Category Mapping'!$A$28:$A$39,0),1))</f>
        <v>772785714.28571427</v>
      </c>
      <c r="M644" s="27">
        <f>M64*IF($E644="weekday",INDEX('Category Mapping'!$F$28:$F$39,MATCH('Summarized Source Data'!$A644,'Category Mapping'!$A$28:$A$39,0),1),INDEX('Category Mapping'!$E$28:$E$39,MATCH($A644,'Category Mapping'!$A$28:$A$39,0),1))</f>
        <v>3513141.4285714286</v>
      </c>
      <c r="N644" s="27">
        <f>N64*IF($E644="weekday",INDEX('Category Mapping'!$F$28:$F$39,MATCH('Summarized Source Data'!$A644,'Category Mapping'!$A$28:$A$39,0),1),INDEX('Category Mapping'!$E$28:$E$39,MATCH($A644,'Category Mapping'!$A$28:$A$39,0),1))</f>
        <v>0</v>
      </c>
      <c r="O644" s="27">
        <f>O64*IF($E644="weekday",INDEX('Category Mapping'!$F$28:$F$39,MATCH('Summarized Source Data'!$A644,'Category Mapping'!$A$28:$A$39,0),1),INDEX('Category Mapping'!$E$28:$E$39,MATCH($A644,'Category Mapping'!$A$28:$A$39,0),1))</f>
        <v>11247272572.857143</v>
      </c>
      <c r="P644" s="27">
        <f>P64*IF($E644="weekday",INDEX('Category Mapping'!$F$28:$F$39,MATCH('Summarized Source Data'!$A644,'Category Mapping'!$A$28:$A$39,0),1),INDEX('Category Mapping'!$E$28:$E$39,MATCH($A644,'Category Mapping'!$A$28:$A$39,0),1))</f>
        <v>11247272572.857143</v>
      </c>
      <c r="Q644" s="27">
        <f>Q64*IF($E644="weekday",INDEX('Category Mapping'!$F$28:$F$39,MATCH('Summarized Source Data'!$A644,'Category Mapping'!$A$28:$A$39,0),1),INDEX('Category Mapping'!$E$28:$E$39,MATCH($A644,'Category Mapping'!$A$28:$A$39,0),1))</f>
        <v>11247272572.857143</v>
      </c>
      <c r="R644" s="27">
        <f>R64*IF($E644="weekday",INDEX('Category Mapping'!$F$28:$F$39,MATCH('Summarized Source Data'!$A644,'Category Mapping'!$A$28:$A$39,0),1),INDEX('Category Mapping'!$E$28:$E$39,MATCH($A644,'Category Mapping'!$A$28:$A$39,0),1))</f>
        <v>267928571.42857143</v>
      </c>
      <c r="S644" s="27">
        <f>S64*IF($E644="weekday",INDEX('Category Mapping'!$F$28:$F$39,MATCH('Summarized Source Data'!$A644,'Category Mapping'!$A$28:$A$39,0),1),INDEX('Category Mapping'!$E$28:$E$39,MATCH($A644,'Category Mapping'!$A$28:$A$39,0),1))</f>
        <v>267928571.42857143</v>
      </c>
      <c r="T644" s="27">
        <f>T64*IF($E644="weekday",INDEX('Category Mapping'!$F$28:$F$39,MATCH('Summarized Source Data'!$A644,'Category Mapping'!$A$28:$A$39,0),1),INDEX('Category Mapping'!$E$28:$E$39,MATCH($A644,'Category Mapping'!$A$28:$A$39,0),1))</f>
        <v>267928571.42857143</v>
      </c>
      <c r="U644" s="27">
        <f>U64*IF($E644="weekday",INDEX('Category Mapping'!$F$28:$F$39,MATCH('Summarized Source Data'!$A644,'Category Mapping'!$A$28:$A$39,0),1),INDEX('Category Mapping'!$E$28:$E$39,MATCH($A644,'Category Mapping'!$A$28:$A$39,0),1))</f>
        <v>267928571.42857143</v>
      </c>
      <c r="V644" s="27">
        <f>V64*IF($E644="weekday",INDEX('Category Mapping'!$F$28:$F$39,MATCH('Summarized Source Data'!$A644,'Category Mapping'!$A$28:$A$39,0),1),INDEX('Category Mapping'!$E$28:$E$39,MATCH($A644,'Category Mapping'!$A$28:$A$39,0),1))</f>
        <v>267928571.42857143</v>
      </c>
      <c r="W644" s="27">
        <f>W64*IF($E644="weekday",INDEX('Category Mapping'!$F$28:$F$39,MATCH('Summarized Source Data'!$A644,'Category Mapping'!$A$28:$A$39,0),1),INDEX('Category Mapping'!$E$28:$E$39,MATCH($A644,'Category Mapping'!$A$28:$A$39,0),1))</f>
        <v>267928571.42857143</v>
      </c>
      <c r="X644" s="27">
        <f>X64*IF($E644="weekday",INDEX('Category Mapping'!$F$28:$F$39,MATCH('Summarized Source Data'!$A644,'Category Mapping'!$A$28:$A$39,0),1),INDEX('Category Mapping'!$E$28:$E$39,MATCH($A644,'Category Mapping'!$A$28:$A$39,0),1))</f>
        <v>15012857142.857143</v>
      </c>
      <c r="Y644" s="27">
        <f>Y64*IF($E644="weekday",INDEX('Category Mapping'!$F$28:$F$39,MATCH('Summarized Source Data'!$A644,'Category Mapping'!$A$28:$A$39,0),1),INDEX('Category Mapping'!$E$28:$E$39,MATCH($A644,'Category Mapping'!$A$28:$A$39,0),1))</f>
        <v>15012857142.857143</v>
      </c>
      <c r="Z644" s="27">
        <f>Z64*IF($E644="weekday",INDEX('Category Mapping'!$F$28:$F$39,MATCH('Summarized Source Data'!$A644,'Category Mapping'!$A$28:$A$39,0),1),INDEX('Category Mapping'!$E$28:$E$39,MATCH($A644,'Category Mapping'!$A$28:$A$39,0),1))</f>
        <v>15012857142.857143</v>
      </c>
    </row>
    <row r="645" spans="1:26" x14ac:dyDescent="0.3">
      <c r="A645">
        <f t="shared" ref="A645:E645" si="110">A65</f>
        <v>3</v>
      </c>
      <c r="B645" t="str">
        <f t="shared" si="110"/>
        <v>Spring</v>
      </c>
      <c r="C645" t="str">
        <f t="shared" si="110"/>
        <v>h14</v>
      </c>
      <c r="D645" t="str">
        <f t="shared" si="110"/>
        <v>Hour13</v>
      </c>
      <c r="E645" t="str">
        <f t="shared" si="110"/>
        <v>Weekday</v>
      </c>
      <c r="F645" s="27">
        <f>F65*IF($E645="weekday",INDEX('Category Mapping'!$F$28:$F$39,MATCH('Summarized Source Data'!$A645,'Category Mapping'!$A$28:$A$39,0),1),INDEX('Category Mapping'!$E$28:$E$39,MATCH($A645,'Category Mapping'!$A$28:$A$39,0),1))</f>
        <v>243571428.57142857</v>
      </c>
      <c r="G645" s="27">
        <f>G65*IF($E645="weekday",INDEX('Category Mapping'!$F$28:$F$39,MATCH('Summarized Source Data'!$A645,'Category Mapping'!$A$28:$A$39,0),1),INDEX('Category Mapping'!$E$28:$E$39,MATCH($A645,'Category Mapping'!$A$28:$A$39,0),1))</f>
        <v>360950.71428571426</v>
      </c>
      <c r="H645" s="27">
        <f>H65*IF($E645="weekday",INDEX('Category Mapping'!$F$28:$F$39,MATCH('Summarized Source Data'!$A645,'Category Mapping'!$A$28:$A$39,0),1),INDEX('Category Mapping'!$E$28:$E$39,MATCH($A645,'Category Mapping'!$A$28:$A$39,0),1))</f>
        <v>0</v>
      </c>
      <c r="I645" s="27">
        <f>I65*IF($E645="weekday",INDEX('Category Mapping'!$F$28:$F$39,MATCH('Summarized Source Data'!$A645,'Category Mapping'!$A$28:$A$39,0),1),INDEX('Category Mapping'!$E$28:$E$39,MATCH($A645,'Category Mapping'!$A$28:$A$39,0),1))</f>
        <v>243571428.57142857</v>
      </c>
      <c r="J645" s="27">
        <f>J65*IF($E645="weekday",INDEX('Category Mapping'!$F$28:$F$39,MATCH('Summarized Source Data'!$A645,'Category Mapping'!$A$28:$A$39,0),1),INDEX('Category Mapping'!$E$28:$E$39,MATCH($A645,'Category Mapping'!$A$28:$A$39,0),1))</f>
        <v>2324639049.2857141</v>
      </c>
      <c r="K645" s="27">
        <f>K65*IF($E645="weekday",INDEX('Category Mapping'!$F$28:$F$39,MATCH('Summarized Source Data'!$A645,'Category Mapping'!$A$28:$A$39,0),1),INDEX('Category Mapping'!$E$28:$E$39,MATCH($A645,'Category Mapping'!$A$28:$A$39,0),1))</f>
        <v>2324639049.2857141</v>
      </c>
      <c r="L645" s="27">
        <f>L65*IF($E645="weekday",INDEX('Category Mapping'!$F$28:$F$39,MATCH('Summarized Source Data'!$A645,'Category Mapping'!$A$28:$A$39,0),1),INDEX('Category Mapping'!$E$28:$E$39,MATCH($A645,'Category Mapping'!$A$28:$A$39,0),1))</f>
        <v>710785714.28571427</v>
      </c>
      <c r="M645" s="27">
        <f>M65*IF($E645="weekday",INDEX('Category Mapping'!$F$28:$F$39,MATCH('Summarized Source Data'!$A645,'Category Mapping'!$A$28:$A$39,0),1),INDEX('Category Mapping'!$E$28:$E$39,MATCH($A645,'Category Mapping'!$A$28:$A$39,0),1))</f>
        <v>3596265.7142857141</v>
      </c>
      <c r="N645" s="27">
        <f>N65*IF($E645="weekday",INDEX('Category Mapping'!$F$28:$F$39,MATCH('Summarized Source Data'!$A645,'Category Mapping'!$A$28:$A$39,0),1),INDEX('Category Mapping'!$E$28:$E$39,MATCH($A645,'Category Mapping'!$A$28:$A$39,0),1))</f>
        <v>0</v>
      </c>
      <c r="O645" s="27">
        <f>O65*IF($E645="weekday",INDEX('Category Mapping'!$F$28:$F$39,MATCH('Summarized Source Data'!$A645,'Category Mapping'!$A$28:$A$39,0),1),INDEX('Category Mapping'!$E$28:$E$39,MATCH($A645,'Category Mapping'!$A$28:$A$39,0),1))</f>
        <v>11264903734.285713</v>
      </c>
      <c r="P645" s="27">
        <f>P65*IF($E645="weekday",INDEX('Category Mapping'!$F$28:$F$39,MATCH('Summarized Source Data'!$A645,'Category Mapping'!$A$28:$A$39,0),1),INDEX('Category Mapping'!$E$28:$E$39,MATCH($A645,'Category Mapping'!$A$28:$A$39,0),1))</f>
        <v>11264903734.285713</v>
      </c>
      <c r="Q645" s="27">
        <f>Q65*IF($E645="weekday",INDEX('Category Mapping'!$F$28:$F$39,MATCH('Summarized Source Data'!$A645,'Category Mapping'!$A$28:$A$39,0),1),INDEX('Category Mapping'!$E$28:$E$39,MATCH($A645,'Category Mapping'!$A$28:$A$39,0),1))</f>
        <v>11264903734.285713</v>
      </c>
      <c r="R645" s="27">
        <f>R65*IF($E645="weekday",INDEX('Category Mapping'!$F$28:$F$39,MATCH('Summarized Source Data'!$A645,'Category Mapping'!$A$28:$A$39,0),1),INDEX('Category Mapping'!$E$28:$E$39,MATCH($A645,'Category Mapping'!$A$28:$A$39,0),1))</f>
        <v>267928571.42857143</v>
      </c>
      <c r="S645" s="27">
        <f>S65*IF($E645="weekday",INDEX('Category Mapping'!$F$28:$F$39,MATCH('Summarized Source Data'!$A645,'Category Mapping'!$A$28:$A$39,0),1),INDEX('Category Mapping'!$E$28:$E$39,MATCH($A645,'Category Mapping'!$A$28:$A$39,0),1))</f>
        <v>267928571.42857143</v>
      </c>
      <c r="T645" s="27">
        <f>T65*IF($E645="weekday",INDEX('Category Mapping'!$F$28:$F$39,MATCH('Summarized Source Data'!$A645,'Category Mapping'!$A$28:$A$39,0),1),INDEX('Category Mapping'!$E$28:$E$39,MATCH($A645,'Category Mapping'!$A$28:$A$39,0),1))</f>
        <v>267928571.42857143</v>
      </c>
      <c r="U645" s="27">
        <f>U65*IF($E645="weekday",INDEX('Category Mapping'!$F$28:$F$39,MATCH('Summarized Source Data'!$A645,'Category Mapping'!$A$28:$A$39,0),1),INDEX('Category Mapping'!$E$28:$E$39,MATCH($A645,'Category Mapping'!$A$28:$A$39,0),1))</f>
        <v>267928571.42857143</v>
      </c>
      <c r="V645" s="27">
        <f>V65*IF($E645="weekday",INDEX('Category Mapping'!$F$28:$F$39,MATCH('Summarized Source Data'!$A645,'Category Mapping'!$A$28:$A$39,0),1),INDEX('Category Mapping'!$E$28:$E$39,MATCH($A645,'Category Mapping'!$A$28:$A$39,0),1))</f>
        <v>267928571.42857143</v>
      </c>
      <c r="W645" s="27">
        <f>W65*IF($E645="weekday",INDEX('Category Mapping'!$F$28:$F$39,MATCH('Summarized Source Data'!$A645,'Category Mapping'!$A$28:$A$39,0),1),INDEX('Category Mapping'!$E$28:$E$39,MATCH($A645,'Category Mapping'!$A$28:$A$39,0),1))</f>
        <v>267928571.42857143</v>
      </c>
      <c r="X645" s="27">
        <f>X65*IF($E645="weekday",INDEX('Category Mapping'!$F$28:$F$39,MATCH('Summarized Source Data'!$A645,'Category Mapping'!$A$28:$A$39,0),1),INDEX('Category Mapping'!$E$28:$E$39,MATCH($A645,'Category Mapping'!$A$28:$A$39,0),1))</f>
        <v>14990714285.714285</v>
      </c>
      <c r="Y645" s="27">
        <f>Y65*IF($E645="weekday",INDEX('Category Mapping'!$F$28:$F$39,MATCH('Summarized Source Data'!$A645,'Category Mapping'!$A$28:$A$39,0),1),INDEX('Category Mapping'!$E$28:$E$39,MATCH($A645,'Category Mapping'!$A$28:$A$39,0),1))</f>
        <v>14990714285.714285</v>
      </c>
      <c r="Z645" s="27">
        <f>Z65*IF($E645="weekday",INDEX('Category Mapping'!$F$28:$F$39,MATCH('Summarized Source Data'!$A645,'Category Mapping'!$A$28:$A$39,0),1),INDEX('Category Mapping'!$E$28:$E$39,MATCH($A645,'Category Mapping'!$A$28:$A$39,0),1))</f>
        <v>14990714285.714285</v>
      </c>
    </row>
    <row r="646" spans="1:26" x14ac:dyDescent="0.3">
      <c r="A646">
        <f t="shared" ref="A646:E646" si="111">A66</f>
        <v>3</v>
      </c>
      <c r="B646" t="str">
        <f t="shared" si="111"/>
        <v>Spring</v>
      </c>
      <c r="C646" t="str">
        <f t="shared" si="111"/>
        <v>h15</v>
      </c>
      <c r="D646" t="str">
        <f t="shared" si="111"/>
        <v>Hour14</v>
      </c>
      <c r="E646" t="str">
        <f t="shared" si="111"/>
        <v>Weekday</v>
      </c>
      <c r="F646" s="27">
        <f>F66*IF($E646="weekday",INDEX('Category Mapping'!$F$28:$F$39,MATCH('Summarized Source Data'!$A646,'Category Mapping'!$A$28:$A$39,0),1),INDEX('Category Mapping'!$E$28:$E$39,MATCH($A646,'Category Mapping'!$A$28:$A$39,0),1))</f>
        <v>248000000</v>
      </c>
      <c r="G646" s="27">
        <f>G66*IF($E646="weekday",INDEX('Category Mapping'!$F$28:$F$39,MATCH('Summarized Source Data'!$A646,'Category Mapping'!$A$28:$A$39,0),1),INDEX('Category Mapping'!$E$28:$E$39,MATCH($A646,'Category Mapping'!$A$28:$A$39,0),1))</f>
        <v>376915.71428571426</v>
      </c>
      <c r="H646" s="27">
        <f>H66*IF($E646="weekday",INDEX('Category Mapping'!$F$28:$F$39,MATCH('Summarized Source Data'!$A646,'Category Mapping'!$A$28:$A$39,0),1),INDEX('Category Mapping'!$E$28:$E$39,MATCH($A646,'Category Mapping'!$A$28:$A$39,0),1))</f>
        <v>0</v>
      </c>
      <c r="I646" s="27">
        <f>I66*IF($E646="weekday",INDEX('Category Mapping'!$F$28:$F$39,MATCH('Summarized Source Data'!$A646,'Category Mapping'!$A$28:$A$39,0),1),INDEX('Category Mapping'!$E$28:$E$39,MATCH($A646,'Category Mapping'!$A$28:$A$39,0),1))</f>
        <v>250214285.7142857</v>
      </c>
      <c r="J646" s="27">
        <f>J66*IF($E646="weekday",INDEX('Category Mapping'!$F$28:$F$39,MATCH('Summarized Source Data'!$A646,'Category Mapping'!$A$28:$A$39,0),1),INDEX('Category Mapping'!$E$28:$E$39,MATCH($A646,'Category Mapping'!$A$28:$A$39,0),1))</f>
        <v>2402123084.2857141</v>
      </c>
      <c r="K646" s="27">
        <f>K66*IF($E646="weekday",INDEX('Category Mapping'!$F$28:$F$39,MATCH('Summarized Source Data'!$A646,'Category Mapping'!$A$28:$A$39,0),1),INDEX('Category Mapping'!$E$28:$E$39,MATCH($A646,'Category Mapping'!$A$28:$A$39,0),1))</f>
        <v>2402123084.2857141</v>
      </c>
      <c r="L646" s="27">
        <f>L66*IF($E646="weekday",INDEX('Category Mapping'!$F$28:$F$39,MATCH('Summarized Source Data'!$A646,'Category Mapping'!$A$28:$A$39,0),1),INDEX('Category Mapping'!$E$28:$E$39,MATCH($A646,'Category Mapping'!$A$28:$A$39,0),1))</f>
        <v>662071428.57142854</v>
      </c>
      <c r="M646" s="27">
        <f>M66*IF($E646="weekday",INDEX('Category Mapping'!$F$28:$F$39,MATCH('Summarized Source Data'!$A646,'Category Mapping'!$A$28:$A$39,0),1),INDEX('Category Mapping'!$E$28:$E$39,MATCH($A646,'Category Mapping'!$A$28:$A$39,0),1))</f>
        <v>3685745</v>
      </c>
      <c r="N646" s="27">
        <f>N66*IF($E646="weekday",INDEX('Category Mapping'!$F$28:$F$39,MATCH('Summarized Source Data'!$A646,'Category Mapping'!$A$28:$A$39,0),1),INDEX('Category Mapping'!$E$28:$E$39,MATCH($A646,'Category Mapping'!$A$28:$A$39,0),1))</f>
        <v>0</v>
      </c>
      <c r="O646" s="27">
        <f>O66*IF($E646="weekday",INDEX('Category Mapping'!$F$28:$F$39,MATCH('Summarized Source Data'!$A646,'Category Mapping'!$A$28:$A$39,0),1),INDEX('Category Mapping'!$E$28:$E$39,MATCH($A646,'Category Mapping'!$A$28:$A$39,0),1))</f>
        <v>11247099969.285713</v>
      </c>
      <c r="P646" s="27">
        <f>P66*IF($E646="weekday",INDEX('Category Mapping'!$F$28:$F$39,MATCH('Summarized Source Data'!$A646,'Category Mapping'!$A$28:$A$39,0),1),INDEX('Category Mapping'!$E$28:$E$39,MATCH($A646,'Category Mapping'!$A$28:$A$39,0),1))</f>
        <v>11247099969.285713</v>
      </c>
      <c r="Q646" s="27">
        <f>Q66*IF($E646="weekday",INDEX('Category Mapping'!$F$28:$F$39,MATCH('Summarized Source Data'!$A646,'Category Mapping'!$A$28:$A$39,0),1),INDEX('Category Mapping'!$E$28:$E$39,MATCH($A646,'Category Mapping'!$A$28:$A$39,0),1))</f>
        <v>11247099969.285713</v>
      </c>
      <c r="R646" s="27">
        <f>R66*IF($E646="weekday",INDEX('Category Mapping'!$F$28:$F$39,MATCH('Summarized Source Data'!$A646,'Category Mapping'!$A$28:$A$39,0),1),INDEX('Category Mapping'!$E$28:$E$39,MATCH($A646,'Category Mapping'!$A$28:$A$39,0),1))</f>
        <v>263500000</v>
      </c>
      <c r="S646" s="27">
        <f>S66*IF($E646="weekday",INDEX('Category Mapping'!$F$28:$F$39,MATCH('Summarized Source Data'!$A646,'Category Mapping'!$A$28:$A$39,0),1),INDEX('Category Mapping'!$E$28:$E$39,MATCH($A646,'Category Mapping'!$A$28:$A$39,0),1))</f>
        <v>263500000</v>
      </c>
      <c r="T646" s="27">
        <f>T66*IF($E646="weekday",INDEX('Category Mapping'!$F$28:$F$39,MATCH('Summarized Source Data'!$A646,'Category Mapping'!$A$28:$A$39,0),1),INDEX('Category Mapping'!$E$28:$E$39,MATCH($A646,'Category Mapping'!$A$28:$A$39,0),1))</f>
        <v>263500000</v>
      </c>
      <c r="U646" s="27">
        <f>U66*IF($E646="weekday",INDEX('Category Mapping'!$F$28:$F$39,MATCH('Summarized Source Data'!$A646,'Category Mapping'!$A$28:$A$39,0),1),INDEX('Category Mapping'!$E$28:$E$39,MATCH($A646,'Category Mapping'!$A$28:$A$39,0),1))</f>
        <v>263500000</v>
      </c>
      <c r="V646" s="27">
        <f>V66*IF($E646="weekday",INDEX('Category Mapping'!$F$28:$F$39,MATCH('Summarized Source Data'!$A646,'Category Mapping'!$A$28:$A$39,0),1),INDEX('Category Mapping'!$E$28:$E$39,MATCH($A646,'Category Mapping'!$A$28:$A$39,0),1))</f>
        <v>263500000</v>
      </c>
      <c r="W646" s="27">
        <f>W66*IF($E646="weekday",INDEX('Category Mapping'!$F$28:$F$39,MATCH('Summarized Source Data'!$A646,'Category Mapping'!$A$28:$A$39,0),1),INDEX('Category Mapping'!$E$28:$E$39,MATCH($A646,'Category Mapping'!$A$28:$A$39,0),1))</f>
        <v>263500000</v>
      </c>
      <c r="X646" s="27">
        <f>X66*IF($E646="weekday",INDEX('Category Mapping'!$F$28:$F$39,MATCH('Summarized Source Data'!$A646,'Category Mapping'!$A$28:$A$39,0),1),INDEX('Category Mapping'!$E$28:$E$39,MATCH($A646,'Category Mapping'!$A$28:$A$39,0),1))</f>
        <v>15012857142.857143</v>
      </c>
      <c r="Y646" s="27">
        <f>Y66*IF($E646="weekday",INDEX('Category Mapping'!$F$28:$F$39,MATCH('Summarized Source Data'!$A646,'Category Mapping'!$A$28:$A$39,0),1),INDEX('Category Mapping'!$E$28:$E$39,MATCH($A646,'Category Mapping'!$A$28:$A$39,0),1))</f>
        <v>15012857142.857143</v>
      </c>
      <c r="Z646" s="27">
        <f>Z66*IF($E646="weekday",INDEX('Category Mapping'!$F$28:$F$39,MATCH('Summarized Source Data'!$A646,'Category Mapping'!$A$28:$A$39,0),1),INDEX('Category Mapping'!$E$28:$E$39,MATCH($A646,'Category Mapping'!$A$28:$A$39,0),1))</f>
        <v>15012857142.857143</v>
      </c>
    </row>
    <row r="647" spans="1:26" x14ac:dyDescent="0.3">
      <c r="A647">
        <f t="shared" ref="A647:E647" si="112">A67</f>
        <v>3</v>
      </c>
      <c r="B647" t="str">
        <f t="shared" si="112"/>
        <v>Spring</v>
      </c>
      <c r="C647" t="str">
        <f t="shared" si="112"/>
        <v>h16</v>
      </c>
      <c r="D647" t="str">
        <f t="shared" si="112"/>
        <v>Hour15</v>
      </c>
      <c r="E647" t="str">
        <f t="shared" si="112"/>
        <v>Weekday</v>
      </c>
      <c r="F647" s="27">
        <f>F67*IF($E647="weekday",INDEX('Category Mapping'!$F$28:$F$39,MATCH('Summarized Source Data'!$A647,'Category Mapping'!$A$28:$A$39,0),1),INDEX('Category Mapping'!$E$28:$E$39,MATCH($A647,'Category Mapping'!$A$28:$A$39,0),1))</f>
        <v>259071428.57142857</v>
      </c>
      <c r="G647" s="27">
        <f>G67*IF($E647="weekday",INDEX('Category Mapping'!$F$28:$F$39,MATCH('Summarized Source Data'!$A647,'Category Mapping'!$A$28:$A$39,0),1),INDEX('Category Mapping'!$E$28:$E$39,MATCH($A647,'Category Mapping'!$A$28:$A$39,0),1))</f>
        <v>411680</v>
      </c>
      <c r="H647" s="27">
        <f>H67*IF($E647="weekday",INDEX('Category Mapping'!$F$28:$F$39,MATCH('Summarized Source Data'!$A647,'Category Mapping'!$A$28:$A$39,0),1),INDEX('Category Mapping'!$E$28:$E$39,MATCH($A647,'Category Mapping'!$A$28:$A$39,0),1))</f>
        <v>0</v>
      </c>
      <c r="I647" s="27">
        <f>I67*IF($E647="weekday",INDEX('Category Mapping'!$F$28:$F$39,MATCH('Summarized Source Data'!$A647,'Category Mapping'!$A$28:$A$39,0),1),INDEX('Category Mapping'!$E$28:$E$39,MATCH($A647,'Category Mapping'!$A$28:$A$39,0),1))</f>
        <v>270142857.14285713</v>
      </c>
      <c r="J647" s="27">
        <f>J67*IF($E647="weekday",INDEX('Category Mapping'!$F$28:$F$39,MATCH('Summarized Source Data'!$A647,'Category Mapping'!$A$28:$A$39,0),1),INDEX('Category Mapping'!$E$28:$E$39,MATCH($A647,'Category Mapping'!$A$28:$A$39,0),1))</f>
        <v>2703231177.1428571</v>
      </c>
      <c r="K647" s="27">
        <f>K67*IF($E647="weekday",INDEX('Category Mapping'!$F$28:$F$39,MATCH('Summarized Source Data'!$A647,'Category Mapping'!$A$28:$A$39,0),1),INDEX('Category Mapping'!$E$28:$E$39,MATCH($A647,'Category Mapping'!$A$28:$A$39,0),1))</f>
        <v>2703231177.1428571</v>
      </c>
      <c r="L647" s="27">
        <f>L67*IF($E647="weekday",INDEX('Category Mapping'!$F$28:$F$39,MATCH('Summarized Source Data'!$A647,'Category Mapping'!$A$28:$A$39,0),1),INDEX('Category Mapping'!$E$28:$E$39,MATCH($A647,'Category Mapping'!$A$28:$A$39,0),1))</f>
        <v>620000000</v>
      </c>
      <c r="M647" s="27">
        <f>M67*IF($E647="weekday",INDEX('Category Mapping'!$F$28:$F$39,MATCH('Summarized Source Data'!$A647,'Category Mapping'!$A$28:$A$39,0),1),INDEX('Category Mapping'!$E$28:$E$39,MATCH($A647,'Category Mapping'!$A$28:$A$39,0),1))</f>
        <v>3687317.1428571427</v>
      </c>
      <c r="N647" s="27">
        <f>N67*IF($E647="weekday",INDEX('Category Mapping'!$F$28:$F$39,MATCH('Summarized Source Data'!$A647,'Category Mapping'!$A$28:$A$39,0),1),INDEX('Category Mapping'!$E$28:$E$39,MATCH($A647,'Category Mapping'!$A$28:$A$39,0),1))</f>
        <v>0</v>
      </c>
      <c r="O647" s="27">
        <f>O67*IF($E647="weekday",INDEX('Category Mapping'!$F$28:$F$39,MATCH('Summarized Source Data'!$A647,'Category Mapping'!$A$28:$A$39,0),1),INDEX('Category Mapping'!$E$28:$E$39,MATCH($A647,'Category Mapping'!$A$28:$A$39,0),1))</f>
        <v>11244884111.428572</v>
      </c>
      <c r="P647" s="27">
        <f>P67*IF($E647="weekday",INDEX('Category Mapping'!$F$28:$F$39,MATCH('Summarized Source Data'!$A647,'Category Mapping'!$A$28:$A$39,0),1),INDEX('Category Mapping'!$E$28:$E$39,MATCH($A647,'Category Mapping'!$A$28:$A$39,0),1))</f>
        <v>11244884111.428572</v>
      </c>
      <c r="Q647" s="27">
        <f>Q67*IF($E647="weekday",INDEX('Category Mapping'!$F$28:$F$39,MATCH('Summarized Source Data'!$A647,'Category Mapping'!$A$28:$A$39,0),1),INDEX('Category Mapping'!$E$28:$E$39,MATCH($A647,'Category Mapping'!$A$28:$A$39,0),1))</f>
        <v>11244884111.428572</v>
      </c>
      <c r="R647" s="27">
        <f>R67*IF($E647="weekday",INDEX('Category Mapping'!$F$28:$F$39,MATCH('Summarized Source Data'!$A647,'Category Mapping'!$A$28:$A$39,0),1),INDEX('Category Mapping'!$E$28:$E$39,MATCH($A647,'Category Mapping'!$A$28:$A$39,0),1))</f>
        <v>312214285.71428573</v>
      </c>
      <c r="S647" s="27">
        <f>S67*IF($E647="weekday",INDEX('Category Mapping'!$F$28:$F$39,MATCH('Summarized Source Data'!$A647,'Category Mapping'!$A$28:$A$39,0),1),INDEX('Category Mapping'!$E$28:$E$39,MATCH($A647,'Category Mapping'!$A$28:$A$39,0),1))</f>
        <v>312214285.71428573</v>
      </c>
      <c r="T647" s="27">
        <f>T67*IF($E647="weekday",INDEX('Category Mapping'!$F$28:$F$39,MATCH('Summarized Source Data'!$A647,'Category Mapping'!$A$28:$A$39,0),1),INDEX('Category Mapping'!$E$28:$E$39,MATCH($A647,'Category Mapping'!$A$28:$A$39,0),1))</f>
        <v>312214285.71428573</v>
      </c>
      <c r="U647" s="27">
        <f>U67*IF($E647="weekday",INDEX('Category Mapping'!$F$28:$F$39,MATCH('Summarized Source Data'!$A647,'Category Mapping'!$A$28:$A$39,0),1),INDEX('Category Mapping'!$E$28:$E$39,MATCH($A647,'Category Mapping'!$A$28:$A$39,0),1))</f>
        <v>312214285.71428573</v>
      </c>
      <c r="V647" s="27">
        <f>V67*IF($E647="weekday",INDEX('Category Mapping'!$F$28:$F$39,MATCH('Summarized Source Data'!$A647,'Category Mapping'!$A$28:$A$39,0),1),INDEX('Category Mapping'!$E$28:$E$39,MATCH($A647,'Category Mapping'!$A$28:$A$39,0),1))</f>
        <v>312214285.71428573</v>
      </c>
      <c r="W647" s="27">
        <f>W67*IF($E647="weekday",INDEX('Category Mapping'!$F$28:$F$39,MATCH('Summarized Source Data'!$A647,'Category Mapping'!$A$28:$A$39,0),1),INDEX('Category Mapping'!$E$28:$E$39,MATCH($A647,'Category Mapping'!$A$28:$A$39,0),1))</f>
        <v>312214285.71428573</v>
      </c>
      <c r="X647" s="27">
        <f>X67*IF($E647="weekday",INDEX('Category Mapping'!$F$28:$F$39,MATCH('Summarized Source Data'!$A647,'Category Mapping'!$A$28:$A$39,0),1),INDEX('Category Mapping'!$E$28:$E$39,MATCH($A647,'Category Mapping'!$A$28:$A$39,0),1))</f>
        <v>15145714285.714285</v>
      </c>
      <c r="Y647" s="27">
        <f>Y67*IF($E647="weekday",INDEX('Category Mapping'!$F$28:$F$39,MATCH('Summarized Source Data'!$A647,'Category Mapping'!$A$28:$A$39,0),1),INDEX('Category Mapping'!$E$28:$E$39,MATCH($A647,'Category Mapping'!$A$28:$A$39,0),1))</f>
        <v>15145714285.714285</v>
      </c>
      <c r="Z647" s="27">
        <f>Z67*IF($E647="weekday",INDEX('Category Mapping'!$F$28:$F$39,MATCH('Summarized Source Data'!$A647,'Category Mapping'!$A$28:$A$39,0),1),INDEX('Category Mapping'!$E$28:$E$39,MATCH($A647,'Category Mapping'!$A$28:$A$39,0),1))</f>
        <v>15145714285.714285</v>
      </c>
    </row>
    <row r="648" spans="1:26" x14ac:dyDescent="0.3">
      <c r="A648">
        <f t="shared" ref="A648:E648" si="113">A68</f>
        <v>3</v>
      </c>
      <c r="B648" t="str">
        <f t="shared" si="113"/>
        <v>Spring</v>
      </c>
      <c r="C648" t="str">
        <f t="shared" si="113"/>
        <v>h17</v>
      </c>
      <c r="D648" t="str">
        <f t="shared" si="113"/>
        <v>Hour16</v>
      </c>
      <c r="E648" t="str">
        <f t="shared" si="113"/>
        <v>Weekday</v>
      </c>
      <c r="F648" s="27">
        <f>F68*IF($E648="weekday",INDEX('Category Mapping'!$F$28:$F$39,MATCH('Summarized Source Data'!$A648,'Category Mapping'!$A$28:$A$39,0),1),INDEX('Category Mapping'!$E$28:$E$39,MATCH($A648,'Category Mapping'!$A$28:$A$39,0),1))</f>
        <v>272357142.85714287</v>
      </c>
      <c r="G648" s="27">
        <f>G68*IF($E648="weekday",INDEX('Category Mapping'!$F$28:$F$39,MATCH('Summarized Source Data'!$A648,'Category Mapping'!$A$28:$A$39,0),1),INDEX('Category Mapping'!$E$28:$E$39,MATCH($A648,'Category Mapping'!$A$28:$A$39,0),1))</f>
        <v>449544.28571428568</v>
      </c>
      <c r="H648" s="27">
        <f>H68*IF($E648="weekday",INDEX('Category Mapping'!$F$28:$F$39,MATCH('Summarized Source Data'!$A648,'Category Mapping'!$A$28:$A$39,0),1),INDEX('Category Mapping'!$E$28:$E$39,MATCH($A648,'Category Mapping'!$A$28:$A$39,0),1))</f>
        <v>0</v>
      </c>
      <c r="I648" s="27">
        <f>I68*IF($E648="weekday",INDEX('Category Mapping'!$F$28:$F$39,MATCH('Summarized Source Data'!$A648,'Category Mapping'!$A$28:$A$39,0),1),INDEX('Category Mapping'!$E$28:$E$39,MATCH($A648,'Category Mapping'!$A$28:$A$39,0),1))</f>
        <v>314428571.4285714</v>
      </c>
      <c r="J648" s="27">
        <f>J68*IF($E648="weekday",INDEX('Category Mapping'!$F$28:$F$39,MATCH('Summarized Source Data'!$A648,'Category Mapping'!$A$28:$A$39,0),1),INDEX('Category Mapping'!$E$28:$E$39,MATCH($A648,'Category Mapping'!$A$28:$A$39,0),1))</f>
        <v>3265621884.2857141</v>
      </c>
      <c r="K648" s="27">
        <f>K68*IF($E648="weekday",INDEX('Category Mapping'!$F$28:$F$39,MATCH('Summarized Source Data'!$A648,'Category Mapping'!$A$28:$A$39,0),1),INDEX('Category Mapping'!$E$28:$E$39,MATCH($A648,'Category Mapping'!$A$28:$A$39,0),1))</f>
        <v>3265621884.2857141</v>
      </c>
      <c r="L648" s="27">
        <f>L68*IF($E648="weekday",INDEX('Category Mapping'!$F$28:$F$39,MATCH('Summarized Source Data'!$A648,'Category Mapping'!$A$28:$A$39,0),1),INDEX('Category Mapping'!$E$28:$E$39,MATCH($A648,'Category Mapping'!$A$28:$A$39,0),1))</f>
        <v>582357142.85714281</v>
      </c>
      <c r="M648" s="27">
        <f>M68*IF($E648="weekday",INDEX('Category Mapping'!$F$28:$F$39,MATCH('Summarized Source Data'!$A648,'Category Mapping'!$A$28:$A$39,0),1),INDEX('Category Mapping'!$E$28:$E$39,MATCH($A648,'Category Mapping'!$A$28:$A$39,0),1))</f>
        <v>3611610.7142857141</v>
      </c>
      <c r="N648" s="27">
        <f>N68*IF($E648="weekday",INDEX('Category Mapping'!$F$28:$F$39,MATCH('Summarized Source Data'!$A648,'Category Mapping'!$A$28:$A$39,0),1),INDEX('Category Mapping'!$E$28:$E$39,MATCH($A648,'Category Mapping'!$A$28:$A$39,0),1))</f>
        <v>0</v>
      </c>
      <c r="O648" s="27">
        <f>O68*IF($E648="weekday",INDEX('Category Mapping'!$F$28:$F$39,MATCH('Summarized Source Data'!$A648,'Category Mapping'!$A$28:$A$39,0),1),INDEX('Category Mapping'!$E$28:$E$39,MATCH($A648,'Category Mapping'!$A$28:$A$39,0),1))</f>
        <v>10884031246.428572</v>
      </c>
      <c r="P648" s="27">
        <f>P68*IF($E648="weekday",INDEX('Category Mapping'!$F$28:$F$39,MATCH('Summarized Source Data'!$A648,'Category Mapping'!$A$28:$A$39,0),1),INDEX('Category Mapping'!$E$28:$E$39,MATCH($A648,'Category Mapping'!$A$28:$A$39,0),1))</f>
        <v>10884031246.428572</v>
      </c>
      <c r="Q648" s="27">
        <f>Q68*IF($E648="weekday",INDEX('Category Mapping'!$F$28:$F$39,MATCH('Summarized Source Data'!$A648,'Category Mapping'!$A$28:$A$39,0),1),INDEX('Category Mapping'!$E$28:$E$39,MATCH($A648,'Category Mapping'!$A$28:$A$39,0),1))</f>
        <v>10884031246.428572</v>
      </c>
      <c r="R648" s="27">
        <f>R68*IF($E648="weekday",INDEX('Category Mapping'!$F$28:$F$39,MATCH('Summarized Source Data'!$A648,'Category Mapping'!$A$28:$A$39,0),1),INDEX('Category Mapping'!$E$28:$E$39,MATCH($A648,'Category Mapping'!$A$28:$A$39,0),1))</f>
        <v>360928571.4285714</v>
      </c>
      <c r="S648" s="27">
        <f>S68*IF($E648="weekday",INDEX('Category Mapping'!$F$28:$F$39,MATCH('Summarized Source Data'!$A648,'Category Mapping'!$A$28:$A$39,0),1),INDEX('Category Mapping'!$E$28:$E$39,MATCH($A648,'Category Mapping'!$A$28:$A$39,0),1))</f>
        <v>360928571.4285714</v>
      </c>
      <c r="T648" s="27">
        <f>T68*IF($E648="weekday",INDEX('Category Mapping'!$F$28:$F$39,MATCH('Summarized Source Data'!$A648,'Category Mapping'!$A$28:$A$39,0),1),INDEX('Category Mapping'!$E$28:$E$39,MATCH($A648,'Category Mapping'!$A$28:$A$39,0),1))</f>
        <v>360928571.4285714</v>
      </c>
      <c r="U648" s="27">
        <f>U68*IF($E648="weekday",INDEX('Category Mapping'!$F$28:$F$39,MATCH('Summarized Source Data'!$A648,'Category Mapping'!$A$28:$A$39,0),1),INDEX('Category Mapping'!$E$28:$E$39,MATCH($A648,'Category Mapping'!$A$28:$A$39,0),1))</f>
        <v>360928571.4285714</v>
      </c>
      <c r="V648" s="27">
        <f>V68*IF($E648="weekday",INDEX('Category Mapping'!$F$28:$F$39,MATCH('Summarized Source Data'!$A648,'Category Mapping'!$A$28:$A$39,0),1),INDEX('Category Mapping'!$E$28:$E$39,MATCH($A648,'Category Mapping'!$A$28:$A$39,0),1))</f>
        <v>360928571.4285714</v>
      </c>
      <c r="W648" s="27">
        <f>W68*IF($E648="weekday",INDEX('Category Mapping'!$F$28:$F$39,MATCH('Summarized Source Data'!$A648,'Category Mapping'!$A$28:$A$39,0),1),INDEX('Category Mapping'!$E$28:$E$39,MATCH($A648,'Category Mapping'!$A$28:$A$39,0),1))</f>
        <v>360928571.4285714</v>
      </c>
      <c r="X648" s="27">
        <f>X68*IF($E648="weekday",INDEX('Category Mapping'!$F$28:$F$39,MATCH('Summarized Source Data'!$A648,'Category Mapping'!$A$28:$A$39,0),1),INDEX('Category Mapping'!$E$28:$E$39,MATCH($A648,'Category Mapping'!$A$28:$A$39,0),1))</f>
        <v>15300714285.714285</v>
      </c>
      <c r="Y648" s="27">
        <f>Y68*IF($E648="weekday",INDEX('Category Mapping'!$F$28:$F$39,MATCH('Summarized Source Data'!$A648,'Category Mapping'!$A$28:$A$39,0),1),INDEX('Category Mapping'!$E$28:$E$39,MATCH($A648,'Category Mapping'!$A$28:$A$39,0),1))</f>
        <v>15300714285.714285</v>
      </c>
      <c r="Z648" s="27">
        <f>Z68*IF($E648="weekday",INDEX('Category Mapping'!$F$28:$F$39,MATCH('Summarized Source Data'!$A648,'Category Mapping'!$A$28:$A$39,0),1),INDEX('Category Mapping'!$E$28:$E$39,MATCH($A648,'Category Mapping'!$A$28:$A$39,0),1))</f>
        <v>15300714285.714285</v>
      </c>
    </row>
    <row r="649" spans="1:26" x14ac:dyDescent="0.3">
      <c r="A649">
        <f t="shared" ref="A649:E649" si="114">A69</f>
        <v>3</v>
      </c>
      <c r="B649" t="str">
        <f t="shared" si="114"/>
        <v>Spring</v>
      </c>
      <c r="C649" t="str">
        <f t="shared" si="114"/>
        <v>h18</v>
      </c>
      <c r="D649" t="str">
        <f t="shared" si="114"/>
        <v>Hour17</v>
      </c>
      <c r="E649" t="str">
        <f t="shared" si="114"/>
        <v>Weekday</v>
      </c>
      <c r="F649" s="27">
        <f>F69*IF($E649="weekday",INDEX('Category Mapping'!$F$28:$F$39,MATCH('Summarized Source Data'!$A649,'Category Mapping'!$A$28:$A$39,0),1),INDEX('Category Mapping'!$E$28:$E$39,MATCH($A649,'Category Mapping'!$A$28:$A$39,0),1))</f>
        <v>287857142.85714287</v>
      </c>
      <c r="G649" s="27">
        <f>G69*IF($E649="weekday",INDEX('Category Mapping'!$F$28:$F$39,MATCH('Summarized Source Data'!$A649,'Category Mapping'!$A$28:$A$39,0),1),INDEX('Category Mapping'!$E$28:$E$39,MATCH($A649,'Category Mapping'!$A$28:$A$39,0),1))</f>
        <v>492722.85714285716</v>
      </c>
      <c r="H649" s="27">
        <f>H69*IF($E649="weekday",INDEX('Category Mapping'!$F$28:$F$39,MATCH('Summarized Source Data'!$A649,'Category Mapping'!$A$28:$A$39,0),1),INDEX('Category Mapping'!$E$28:$E$39,MATCH($A649,'Category Mapping'!$A$28:$A$39,0),1))</f>
        <v>0</v>
      </c>
      <c r="I649" s="27">
        <f>I69*IF($E649="weekday",INDEX('Category Mapping'!$F$28:$F$39,MATCH('Summarized Source Data'!$A649,'Category Mapping'!$A$28:$A$39,0),1),INDEX('Category Mapping'!$E$28:$E$39,MATCH($A649,'Category Mapping'!$A$28:$A$39,0),1))</f>
        <v>1058428571.4285715</v>
      </c>
      <c r="J649" s="27">
        <f>J69*IF($E649="weekday",INDEX('Category Mapping'!$F$28:$F$39,MATCH('Summarized Source Data'!$A649,'Category Mapping'!$A$28:$A$39,0),1),INDEX('Category Mapping'!$E$28:$E$39,MATCH($A649,'Category Mapping'!$A$28:$A$39,0),1))</f>
        <v>3635364420</v>
      </c>
      <c r="K649" s="27">
        <f>K69*IF($E649="weekday",INDEX('Category Mapping'!$F$28:$F$39,MATCH('Summarized Source Data'!$A649,'Category Mapping'!$A$28:$A$39,0),1),INDEX('Category Mapping'!$E$28:$E$39,MATCH($A649,'Category Mapping'!$A$28:$A$39,0),1))</f>
        <v>3635364420</v>
      </c>
      <c r="L649" s="27">
        <f>L69*IF($E649="weekday",INDEX('Category Mapping'!$F$28:$F$39,MATCH('Summarized Source Data'!$A649,'Category Mapping'!$A$28:$A$39,0),1),INDEX('Category Mapping'!$E$28:$E$39,MATCH($A649,'Category Mapping'!$A$28:$A$39,0),1))</f>
        <v>604500000</v>
      </c>
      <c r="M649" s="27">
        <f>M69*IF($E649="weekday",INDEX('Category Mapping'!$F$28:$F$39,MATCH('Summarized Source Data'!$A649,'Category Mapping'!$A$28:$A$39,0),1),INDEX('Category Mapping'!$E$28:$E$39,MATCH($A649,'Category Mapping'!$A$28:$A$39,0),1))</f>
        <v>3443413.5714285714</v>
      </c>
      <c r="N649" s="27">
        <f>N69*IF($E649="weekday",INDEX('Category Mapping'!$F$28:$F$39,MATCH('Summarized Source Data'!$A649,'Category Mapping'!$A$28:$A$39,0),1),INDEX('Category Mapping'!$E$28:$E$39,MATCH($A649,'Category Mapping'!$A$28:$A$39,0),1))</f>
        <v>0</v>
      </c>
      <c r="O649" s="27">
        <f>O69*IF($E649="weekday",INDEX('Category Mapping'!$F$28:$F$39,MATCH('Summarized Source Data'!$A649,'Category Mapping'!$A$28:$A$39,0),1),INDEX('Category Mapping'!$E$28:$E$39,MATCH($A649,'Category Mapping'!$A$28:$A$39,0),1))</f>
        <v>10219913729.285713</v>
      </c>
      <c r="P649" s="27">
        <f>P69*IF($E649="weekday",INDEX('Category Mapping'!$F$28:$F$39,MATCH('Summarized Source Data'!$A649,'Category Mapping'!$A$28:$A$39,0),1),INDEX('Category Mapping'!$E$28:$E$39,MATCH($A649,'Category Mapping'!$A$28:$A$39,0),1))</f>
        <v>10219913729.285713</v>
      </c>
      <c r="Q649" s="27">
        <f>Q69*IF($E649="weekday",INDEX('Category Mapping'!$F$28:$F$39,MATCH('Summarized Source Data'!$A649,'Category Mapping'!$A$28:$A$39,0),1),INDEX('Category Mapping'!$E$28:$E$39,MATCH($A649,'Category Mapping'!$A$28:$A$39,0),1))</f>
        <v>10219913729.285713</v>
      </c>
      <c r="R649" s="27">
        <f>R69*IF($E649="weekday",INDEX('Category Mapping'!$F$28:$F$39,MATCH('Summarized Source Data'!$A649,'Category Mapping'!$A$28:$A$39,0),1),INDEX('Category Mapping'!$E$28:$E$39,MATCH($A649,'Category Mapping'!$A$28:$A$39,0),1))</f>
        <v>380857142.85714287</v>
      </c>
      <c r="S649" s="27">
        <f>S69*IF($E649="weekday",INDEX('Category Mapping'!$F$28:$F$39,MATCH('Summarized Source Data'!$A649,'Category Mapping'!$A$28:$A$39,0),1),INDEX('Category Mapping'!$E$28:$E$39,MATCH($A649,'Category Mapping'!$A$28:$A$39,0),1))</f>
        <v>380857142.85714287</v>
      </c>
      <c r="T649" s="27">
        <f>T69*IF($E649="weekday",INDEX('Category Mapping'!$F$28:$F$39,MATCH('Summarized Source Data'!$A649,'Category Mapping'!$A$28:$A$39,0),1),INDEX('Category Mapping'!$E$28:$E$39,MATCH($A649,'Category Mapping'!$A$28:$A$39,0),1))</f>
        <v>380857142.85714287</v>
      </c>
      <c r="U649" s="27">
        <f>U69*IF($E649="weekday",INDEX('Category Mapping'!$F$28:$F$39,MATCH('Summarized Source Data'!$A649,'Category Mapping'!$A$28:$A$39,0),1),INDEX('Category Mapping'!$E$28:$E$39,MATCH($A649,'Category Mapping'!$A$28:$A$39,0),1))</f>
        <v>380857142.85714287</v>
      </c>
      <c r="V649" s="27">
        <f>V69*IF($E649="weekday",INDEX('Category Mapping'!$F$28:$F$39,MATCH('Summarized Source Data'!$A649,'Category Mapping'!$A$28:$A$39,0),1),INDEX('Category Mapping'!$E$28:$E$39,MATCH($A649,'Category Mapping'!$A$28:$A$39,0),1))</f>
        <v>380857142.85714287</v>
      </c>
      <c r="W649" s="27">
        <f>W69*IF($E649="weekday",INDEX('Category Mapping'!$F$28:$F$39,MATCH('Summarized Source Data'!$A649,'Category Mapping'!$A$28:$A$39,0),1),INDEX('Category Mapping'!$E$28:$E$39,MATCH($A649,'Category Mapping'!$A$28:$A$39,0),1))</f>
        <v>380857142.85714287</v>
      </c>
      <c r="X649" s="27">
        <f>X69*IF($E649="weekday",INDEX('Category Mapping'!$F$28:$F$39,MATCH('Summarized Source Data'!$A649,'Category Mapping'!$A$28:$A$39,0),1),INDEX('Category Mapping'!$E$28:$E$39,MATCH($A649,'Category Mapping'!$A$28:$A$39,0),1))</f>
        <v>15322857142.857143</v>
      </c>
      <c r="Y649" s="27">
        <f>Y69*IF($E649="weekday",INDEX('Category Mapping'!$F$28:$F$39,MATCH('Summarized Source Data'!$A649,'Category Mapping'!$A$28:$A$39,0),1),INDEX('Category Mapping'!$E$28:$E$39,MATCH($A649,'Category Mapping'!$A$28:$A$39,0),1))</f>
        <v>15322857142.857143</v>
      </c>
      <c r="Z649" s="27">
        <f>Z69*IF($E649="weekday",INDEX('Category Mapping'!$F$28:$F$39,MATCH('Summarized Source Data'!$A649,'Category Mapping'!$A$28:$A$39,0),1),INDEX('Category Mapping'!$E$28:$E$39,MATCH($A649,'Category Mapping'!$A$28:$A$39,0),1))</f>
        <v>15322857142.857143</v>
      </c>
    </row>
    <row r="650" spans="1:26" x14ac:dyDescent="0.3">
      <c r="A650">
        <f t="shared" ref="A650:E650" si="115">A70</f>
        <v>3</v>
      </c>
      <c r="B650" t="str">
        <f t="shared" si="115"/>
        <v>Spring</v>
      </c>
      <c r="C650" t="str">
        <f t="shared" si="115"/>
        <v>h19</v>
      </c>
      <c r="D650" t="str">
        <f t="shared" si="115"/>
        <v>Hour18</v>
      </c>
      <c r="E650" t="str">
        <f t="shared" si="115"/>
        <v>Weekday</v>
      </c>
      <c r="F650" s="27">
        <f>F70*IF($E650="weekday",INDEX('Category Mapping'!$F$28:$F$39,MATCH('Summarized Source Data'!$A650,'Category Mapping'!$A$28:$A$39,0),1),INDEX('Category Mapping'!$E$28:$E$39,MATCH($A650,'Category Mapping'!$A$28:$A$39,0),1))</f>
        <v>307785714.28571427</v>
      </c>
      <c r="G650" s="27">
        <f>G70*IF($E650="weekday",INDEX('Category Mapping'!$F$28:$F$39,MATCH('Summarized Source Data'!$A650,'Category Mapping'!$A$28:$A$39,0),1),INDEX('Category Mapping'!$E$28:$E$39,MATCH($A650,'Category Mapping'!$A$28:$A$39,0),1))</f>
        <v>546972.85714285716</v>
      </c>
      <c r="H650" s="27">
        <f>H70*IF($E650="weekday",INDEX('Category Mapping'!$F$28:$F$39,MATCH('Summarized Source Data'!$A650,'Category Mapping'!$A$28:$A$39,0),1),INDEX('Category Mapping'!$E$28:$E$39,MATCH($A650,'Category Mapping'!$A$28:$A$39,0),1))</f>
        <v>0</v>
      </c>
      <c r="I650" s="27">
        <f>I70*IF($E650="weekday",INDEX('Category Mapping'!$F$28:$F$39,MATCH('Summarized Source Data'!$A650,'Category Mapping'!$A$28:$A$39,0),1),INDEX('Category Mapping'!$E$28:$E$39,MATCH($A650,'Category Mapping'!$A$28:$A$39,0),1))</f>
        <v>1178000000</v>
      </c>
      <c r="J650" s="27">
        <f>J70*IF($E650="weekday",INDEX('Category Mapping'!$F$28:$F$39,MATCH('Summarized Source Data'!$A650,'Category Mapping'!$A$28:$A$39,0),1),INDEX('Category Mapping'!$E$28:$E$39,MATCH($A650,'Category Mapping'!$A$28:$A$39,0),1))</f>
        <v>3540095884.2857141</v>
      </c>
      <c r="K650" s="27">
        <f>K70*IF($E650="weekday",INDEX('Category Mapping'!$F$28:$F$39,MATCH('Summarized Source Data'!$A650,'Category Mapping'!$A$28:$A$39,0),1),INDEX('Category Mapping'!$E$28:$E$39,MATCH($A650,'Category Mapping'!$A$28:$A$39,0),1))</f>
        <v>3540095884.2857141</v>
      </c>
      <c r="L650" s="27">
        <f>L70*IF($E650="weekday",INDEX('Category Mapping'!$F$28:$F$39,MATCH('Summarized Source Data'!$A650,'Category Mapping'!$A$28:$A$39,0),1),INDEX('Category Mapping'!$E$28:$E$39,MATCH($A650,'Category Mapping'!$A$28:$A$39,0),1))</f>
        <v>699714285.71428573</v>
      </c>
      <c r="M650" s="27">
        <f>M70*IF($E650="weekday",INDEX('Category Mapping'!$F$28:$F$39,MATCH('Summarized Source Data'!$A650,'Category Mapping'!$A$28:$A$39,0),1),INDEX('Category Mapping'!$E$28:$E$39,MATCH($A650,'Category Mapping'!$A$28:$A$39,0),1))</f>
        <v>3297647.1428571427</v>
      </c>
      <c r="N650" s="27">
        <f>N70*IF($E650="weekday",INDEX('Category Mapping'!$F$28:$F$39,MATCH('Summarized Source Data'!$A650,'Category Mapping'!$A$28:$A$39,0),1),INDEX('Category Mapping'!$E$28:$E$39,MATCH($A650,'Category Mapping'!$A$28:$A$39,0),1))</f>
        <v>0</v>
      </c>
      <c r="O650" s="27">
        <f>O70*IF($E650="weekday",INDEX('Category Mapping'!$F$28:$F$39,MATCH('Summarized Source Data'!$A650,'Category Mapping'!$A$28:$A$39,0),1),INDEX('Category Mapping'!$E$28:$E$39,MATCH($A650,'Category Mapping'!$A$28:$A$39,0),1))</f>
        <v>9748416638.5714283</v>
      </c>
      <c r="P650" s="27">
        <f>P70*IF($E650="weekday",INDEX('Category Mapping'!$F$28:$F$39,MATCH('Summarized Source Data'!$A650,'Category Mapping'!$A$28:$A$39,0),1),INDEX('Category Mapping'!$E$28:$E$39,MATCH($A650,'Category Mapping'!$A$28:$A$39,0),1))</f>
        <v>9748416638.5714283</v>
      </c>
      <c r="Q650" s="27">
        <f>Q70*IF($E650="weekday",INDEX('Category Mapping'!$F$28:$F$39,MATCH('Summarized Source Data'!$A650,'Category Mapping'!$A$28:$A$39,0),1),INDEX('Category Mapping'!$E$28:$E$39,MATCH($A650,'Category Mapping'!$A$28:$A$39,0),1))</f>
        <v>9748416638.5714283</v>
      </c>
      <c r="R650" s="27">
        <f>R70*IF($E650="weekday",INDEX('Category Mapping'!$F$28:$F$39,MATCH('Summarized Source Data'!$A650,'Category Mapping'!$A$28:$A$39,0),1),INDEX('Category Mapping'!$E$28:$E$39,MATCH($A650,'Category Mapping'!$A$28:$A$39,0),1))</f>
        <v>352071428.57142854</v>
      </c>
      <c r="S650" s="27">
        <f>S70*IF($E650="weekday",INDEX('Category Mapping'!$F$28:$F$39,MATCH('Summarized Source Data'!$A650,'Category Mapping'!$A$28:$A$39,0),1),INDEX('Category Mapping'!$E$28:$E$39,MATCH($A650,'Category Mapping'!$A$28:$A$39,0),1))</f>
        <v>352071428.57142854</v>
      </c>
      <c r="T650" s="27">
        <f>T70*IF($E650="weekday",INDEX('Category Mapping'!$F$28:$F$39,MATCH('Summarized Source Data'!$A650,'Category Mapping'!$A$28:$A$39,0),1),INDEX('Category Mapping'!$E$28:$E$39,MATCH($A650,'Category Mapping'!$A$28:$A$39,0),1))</f>
        <v>352071428.57142854</v>
      </c>
      <c r="U650" s="27">
        <f>U70*IF($E650="weekday",INDEX('Category Mapping'!$F$28:$F$39,MATCH('Summarized Source Data'!$A650,'Category Mapping'!$A$28:$A$39,0),1),INDEX('Category Mapping'!$E$28:$E$39,MATCH($A650,'Category Mapping'!$A$28:$A$39,0),1))</f>
        <v>352071428.57142854</v>
      </c>
      <c r="V650" s="27">
        <f>V70*IF($E650="weekday",INDEX('Category Mapping'!$F$28:$F$39,MATCH('Summarized Source Data'!$A650,'Category Mapping'!$A$28:$A$39,0),1),INDEX('Category Mapping'!$E$28:$E$39,MATCH($A650,'Category Mapping'!$A$28:$A$39,0),1))</f>
        <v>352071428.57142854</v>
      </c>
      <c r="W650" s="27">
        <f>W70*IF($E650="weekday",INDEX('Category Mapping'!$F$28:$F$39,MATCH('Summarized Source Data'!$A650,'Category Mapping'!$A$28:$A$39,0),1),INDEX('Category Mapping'!$E$28:$E$39,MATCH($A650,'Category Mapping'!$A$28:$A$39,0),1))</f>
        <v>352071428.57142854</v>
      </c>
      <c r="X650" s="27">
        <f>X70*IF($E650="weekday",INDEX('Category Mapping'!$F$28:$F$39,MATCH('Summarized Source Data'!$A650,'Category Mapping'!$A$28:$A$39,0),1),INDEX('Category Mapping'!$E$28:$E$39,MATCH($A650,'Category Mapping'!$A$28:$A$39,0),1))</f>
        <v>15256428571.428572</v>
      </c>
      <c r="Y650" s="27">
        <f>Y70*IF($E650="weekday",INDEX('Category Mapping'!$F$28:$F$39,MATCH('Summarized Source Data'!$A650,'Category Mapping'!$A$28:$A$39,0),1),INDEX('Category Mapping'!$E$28:$E$39,MATCH($A650,'Category Mapping'!$A$28:$A$39,0),1))</f>
        <v>15256428571.428572</v>
      </c>
      <c r="Z650" s="27">
        <f>Z70*IF($E650="weekday",INDEX('Category Mapping'!$F$28:$F$39,MATCH('Summarized Source Data'!$A650,'Category Mapping'!$A$28:$A$39,0),1),INDEX('Category Mapping'!$E$28:$E$39,MATCH($A650,'Category Mapping'!$A$28:$A$39,0),1))</f>
        <v>15256428571.428572</v>
      </c>
    </row>
    <row r="651" spans="1:26" x14ac:dyDescent="0.3">
      <c r="A651">
        <f t="shared" ref="A651:E651" si="116">A71</f>
        <v>3</v>
      </c>
      <c r="B651" t="str">
        <f t="shared" si="116"/>
        <v>Spring</v>
      </c>
      <c r="C651" t="str">
        <f t="shared" si="116"/>
        <v>h20</v>
      </c>
      <c r="D651" t="str">
        <f t="shared" si="116"/>
        <v>Hour19</v>
      </c>
      <c r="E651" t="str">
        <f t="shared" si="116"/>
        <v>Weekday</v>
      </c>
      <c r="F651" s="27">
        <f>F71*IF($E651="weekday",INDEX('Category Mapping'!$F$28:$F$39,MATCH('Summarized Source Data'!$A651,'Category Mapping'!$A$28:$A$39,0),1),INDEX('Category Mapping'!$E$28:$E$39,MATCH($A651,'Category Mapping'!$A$28:$A$39,0),1))</f>
        <v>338785714.28571427</v>
      </c>
      <c r="G651" s="27">
        <f>G71*IF($E651="weekday",INDEX('Category Mapping'!$F$28:$F$39,MATCH('Summarized Source Data'!$A651,'Category Mapping'!$A$28:$A$39,0),1),INDEX('Category Mapping'!$E$28:$E$39,MATCH($A651,'Category Mapping'!$A$28:$A$39,0),1))</f>
        <v>602507.14285714284</v>
      </c>
      <c r="H651" s="27">
        <f>H71*IF($E651="weekday",INDEX('Category Mapping'!$F$28:$F$39,MATCH('Summarized Source Data'!$A651,'Category Mapping'!$A$28:$A$39,0),1),INDEX('Category Mapping'!$E$28:$E$39,MATCH($A651,'Category Mapping'!$A$28:$A$39,0),1))</f>
        <v>0</v>
      </c>
      <c r="I651" s="27">
        <f>I71*IF($E651="weekday",INDEX('Category Mapping'!$F$28:$F$39,MATCH('Summarized Source Data'!$A651,'Category Mapping'!$A$28:$A$39,0),1),INDEX('Category Mapping'!$E$28:$E$39,MATCH($A651,'Category Mapping'!$A$28:$A$39,0),1))</f>
        <v>1266571428.5714285</v>
      </c>
      <c r="J651" s="27">
        <f>J71*IF($E651="weekday",INDEX('Category Mapping'!$F$28:$F$39,MATCH('Summarized Source Data'!$A651,'Category Mapping'!$A$28:$A$39,0),1),INDEX('Category Mapping'!$E$28:$E$39,MATCH($A651,'Category Mapping'!$A$28:$A$39,0),1))</f>
        <v>3376183207.1428571</v>
      </c>
      <c r="K651" s="27">
        <f>K71*IF($E651="weekday",INDEX('Category Mapping'!$F$28:$F$39,MATCH('Summarized Source Data'!$A651,'Category Mapping'!$A$28:$A$39,0),1),INDEX('Category Mapping'!$E$28:$E$39,MATCH($A651,'Category Mapping'!$A$28:$A$39,0),1))</f>
        <v>3376183207.1428571</v>
      </c>
      <c r="L651" s="27">
        <f>L71*IF($E651="weekday",INDEX('Category Mapping'!$F$28:$F$39,MATCH('Summarized Source Data'!$A651,'Category Mapping'!$A$28:$A$39,0),1),INDEX('Category Mapping'!$E$28:$E$39,MATCH($A651,'Category Mapping'!$A$28:$A$39,0),1))</f>
        <v>832571428.57142854</v>
      </c>
      <c r="M651" s="27">
        <f>M71*IF($E651="weekday",INDEX('Category Mapping'!$F$28:$F$39,MATCH('Summarized Source Data'!$A651,'Category Mapping'!$A$28:$A$39,0),1),INDEX('Category Mapping'!$E$28:$E$39,MATCH($A651,'Category Mapping'!$A$28:$A$39,0),1))</f>
        <v>3089637.1428571427</v>
      </c>
      <c r="N651" s="27">
        <f>N71*IF($E651="weekday",INDEX('Category Mapping'!$F$28:$F$39,MATCH('Summarized Source Data'!$A651,'Category Mapping'!$A$28:$A$39,0),1),INDEX('Category Mapping'!$E$28:$E$39,MATCH($A651,'Category Mapping'!$A$28:$A$39,0),1))</f>
        <v>0</v>
      </c>
      <c r="O651" s="27">
        <f>O71*IF($E651="weekday",INDEX('Category Mapping'!$F$28:$F$39,MATCH('Summarized Source Data'!$A651,'Category Mapping'!$A$28:$A$39,0),1),INDEX('Category Mapping'!$E$28:$E$39,MATCH($A651,'Category Mapping'!$A$28:$A$39,0),1))</f>
        <v>8154338934.2857141</v>
      </c>
      <c r="P651" s="27">
        <f>P71*IF($E651="weekday",INDEX('Category Mapping'!$F$28:$F$39,MATCH('Summarized Source Data'!$A651,'Category Mapping'!$A$28:$A$39,0),1),INDEX('Category Mapping'!$E$28:$E$39,MATCH($A651,'Category Mapping'!$A$28:$A$39,0),1))</f>
        <v>8154338934.2857141</v>
      </c>
      <c r="Q651" s="27">
        <f>Q71*IF($E651="weekday",INDEX('Category Mapping'!$F$28:$F$39,MATCH('Summarized Source Data'!$A651,'Category Mapping'!$A$28:$A$39,0),1),INDEX('Category Mapping'!$E$28:$E$39,MATCH($A651,'Category Mapping'!$A$28:$A$39,0),1))</f>
        <v>8154338934.2857141</v>
      </c>
      <c r="R651" s="27">
        <f>R71*IF($E651="weekday",INDEX('Category Mapping'!$F$28:$F$39,MATCH('Summarized Source Data'!$A651,'Category Mapping'!$A$28:$A$39,0),1),INDEX('Category Mapping'!$E$28:$E$39,MATCH($A651,'Category Mapping'!$A$28:$A$39,0),1))</f>
        <v>285642857.14285713</v>
      </c>
      <c r="S651" s="27">
        <f>S71*IF($E651="weekday",INDEX('Category Mapping'!$F$28:$F$39,MATCH('Summarized Source Data'!$A651,'Category Mapping'!$A$28:$A$39,0),1),INDEX('Category Mapping'!$E$28:$E$39,MATCH($A651,'Category Mapping'!$A$28:$A$39,0),1))</f>
        <v>285642857.14285713</v>
      </c>
      <c r="T651" s="27">
        <f>T71*IF($E651="weekday",INDEX('Category Mapping'!$F$28:$F$39,MATCH('Summarized Source Data'!$A651,'Category Mapping'!$A$28:$A$39,0),1),INDEX('Category Mapping'!$E$28:$E$39,MATCH($A651,'Category Mapping'!$A$28:$A$39,0),1))</f>
        <v>285642857.14285713</v>
      </c>
      <c r="U651" s="27">
        <f>U71*IF($E651="weekday",INDEX('Category Mapping'!$F$28:$F$39,MATCH('Summarized Source Data'!$A651,'Category Mapping'!$A$28:$A$39,0),1),INDEX('Category Mapping'!$E$28:$E$39,MATCH($A651,'Category Mapping'!$A$28:$A$39,0),1))</f>
        <v>285642857.14285713</v>
      </c>
      <c r="V651" s="27">
        <f>V71*IF($E651="weekday",INDEX('Category Mapping'!$F$28:$F$39,MATCH('Summarized Source Data'!$A651,'Category Mapping'!$A$28:$A$39,0),1),INDEX('Category Mapping'!$E$28:$E$39,MATCH($A651,'Category Mapping'!$A$28:$A$39,0),1))</f>
        <v>285642857.14285713</v>
      </c>
      <c r="W651" s="27">
        <f>W71*IF($E651="weekday",INDEX('Category Mapping'!$F$28:$F$39,MATCH('Summarized Source Data'!$A651,'Category Mapping'!$A$28:$A$39,0),1),INDEX('Category Mapping'!$E$28:$E$39,MATCH($A651,'Category Mapping'!$A$28:$A$39,0),1))</f>
        <v>285642857.14285713</v>
      </c>
      <c r="X651" s="27">
        <f>X71*IF($E651="weekday",INDEX('Category Mapping'!$F$28:$F$39,MATCH('Summarized Source Data'!$A651,'Category Mapping'!$A$28:$A$39,0),1),INDEX('Category Mapping'!$E$28:$E$39,MATCH($A651,'Category Mapping'!$A$28:$A$39,0),1))</f>
        <v>15167857142.857143</v>
      </c>
      <c r="Y651" s="27">
        <f>Y71*IF($E651="weekday",INDEX('Category Mapping'!$F$28:$F$39,MATCH('Summarized Source Data'!$A651,'Category Mapping'!$A$28:$A$39,0),1),INDEX('Category Mapping'!$E$28:$E$39,MATCH($A651,'Category Mapping'!$A$28:$A$39,0),1))</f>
        <v>15167857142.857143</v>
      </c>
      <c r="Z651" s="27">
        <f>Z71*IF($E651="weekday",INDEX('Category Mapping'!$F$28:$F$39,MATCH('Summarized Source Data'!$A651,'Category Mapping'!$A$28:$A$39,0),1),INDEX('Category Mapping'!$E$28:$E$39,MATCH($A651,'Category Mapping'!$A$28:$A$39,0),1))</f>
        <v>15167857142.857143</v>
      </c>
    </row>
    <row r="652" spans="1:26" x14ac:dyDescent="0.3">
      <c r="A652">
        <f t="shared" ref="A652:E652" si="117">A72</f>
        <v>3</v>
      </c>
      <c r="B652" t="str">
        <f t="shared" si="117"/>
        <v>Spring</v>
      </c>
      <c r="C652" t="str">
        <f t="shared" si="117"/>
        <v>h21</v>
      </c>
      <c r="D652" t="str">
        <f t="shared" si="117"/>
        <v>Hour20</v>
      </c>
      <c r="E652" t="str">
        <f t="shared" si="117"/>
        <v>Weekday</v>
      </c>
      <c r="F652" s="27">
        <f>F72*IF($E652="weekday",INDEX('Category Mapping'!$F$28:$F$39,MATCH('Summarized Source Data'!$A652,'Category Mapping'!$A$28:$A$39,0),1),INDEX('Category Mapping'!$E$28:$E$39,MATCH($A652,'Category Mapping'!$A$28:$A$39,0),1))</f>
        <v>360928571.4285714</v>
      </c>
      <c r="G652" s="27">
        <f>G72*IF($E652="weekday",INDEX('Category Mapping'!$F$28:$F$39,MATCH('Summarized Source Data'!$A652,'Category Mapping'!$A$28:$A$39,0),1),INDEX('Category Mapping'!$E$28:$E$39,MATCH($A652,'Category Mapping'!$A$28:$A$39,0),1))</f>
        <v>652151.42857142852</v>
      </c>
      <c r="H652" s="27">
        <f>H72*IF($E652="weekday",INDEX('Category Mapping'!$F$28:$F$39,MATCH('Summarized Source Data'!$A652,'Category Mapping'!$A$28:$A$39,0),1),INDEX('Category Mapping'!$E$28:$E$39,MATCH($A652,'Category Mapping'!$A$28:$A$39,0),1))</f>
        <v>0</v>
      </c>
      <c r="I652" s="27">
        <f>I72*IF($E652="weekday",INDEX('Category Mapping'!$F$28:$F$39,MATCH('Summarized Source Data'!$A652,'Category Mapping'!$A$28:$A$39,0),1),INDEX('Category Mapping'!$E$28:$E$39,MATCH($A652,'Category Mapping'!$A$28:$A$39,0),1))</f>
        <v>1286500000</v>
      </c>
      <c r="J652" s="27">
        <f>J72*IF($E652="weekday",INDEX('Category Mapping'!$F$28:$F$39,MATCH('Summarized Source Data'!$A652,'Category Mapping'!$A$28:$A$39,0),1),INDEX('Category Mapping'!$E$28:$E$39,MATCH($A652,'Category Mapping'!$A$28:$A$39,0),1))</f>
        <v>3289776420</v>
      </c>
      <c r="K652" s="27">
        <f>K72*IF($E652="weekday",INDEX('Category Mapping'!$F$28:$F$39,MATCH('Summarized Source Data'!$A652,'Category Mapping'!$A$28:$A$39,0),1),INDEX('Category Mapping'!$E$28:$E$39,MATCH($A652,'Category Mapping'!$A$28:$A$39,0),1))</f>
        <v>3289776420</v>
      </c>
      <c r="L652" s="27">
        <f>L72*IF($E652="weekday",INDEX('Category Mapping'!$F$28:$F$39,MATCH('Summarized Source Data'!$A652,'Category Mapping'!$A$28:$A$39,0),1),INDEX('Category Mapping'!$E$28:$E$39,MATCH($A652,'Category Mapping'!$A$28:$A$39,0),1))</f>
        <v>976500000</v>
      </c>
      <c r="M652" s="27">
        <f>M72*IF($E652="weekday",INDEX('Category Mapping'!$F$28:$F$39,MATCH('Summarized Source Data'!$A652,'Category Mapping'!$A$28:$A$39,0),1),INDEX('Category Mapping'!$E$28:$E$39,MATCH($A652,'Category Mapping'!$A$28:$A$39,0),1))</f>
        <v>2914686.4285714286</v>
      </c>
      <c r="N652" s="27">
        <f>N72*IF($E652="weekday",INDEX('Category Mapping'!$F$28:$F$39,MATCH('Summarized Source Data'!$A652,'Category Mapping'!$A$28:$A$39,0),1),INDEX('Category Mapping'!$E$28:$E$39,MATCH($A652,'Category Mapping'!$A$28:$A$39,0),1))</f>
        <v>0</v>
      </c>
      <c r="O652" s="27">
        <f>O72*IF($E652="weekday",INDEX('Category Mapping'!$F$28:$F$39,MATCH('Summarized Source Data'!$A652,'Category Mapping'!$A$28:$A$39,0),1),INDEX('Category Mapping'!$E$28:$E$39,MATCH($A652,'Category Mapping'!$A$28:$A$39,0),1))</f>
        <v>6770585313.5714283</v>
      </c>
      <c r="P652" s="27">
        <f>P72*IF($E652="weekday",INDEX('Category Mapping'!$F$28:$F$39,MATCH('Summarized Source Data'!$A652,'Category Mapping'!$A$28:$A$39,0),1),INDEX('Category Mapping'!$E$28:$E$39,MATCH($A652,'Category Mapping'!$A$28:$A$39,0),1))</f>
        <v>6770585313.5714283</v>
      </c>
      <c r="Q652" s="27">
        <f>Q72*IF($E652="weekday",INDEX('Category Mapping'!$F$28:$F$39,MATCH('Summarized Source Data'!$A652,'Category Mapping'!$A$28:$A$39,0),1),INDEX('Category Mapping'!$E$28:$E$39,MATCH($A652,'Category Mapping'!$A$28:$A$39,0),1))</f>
        <v>6770585313.5714283</v>
      </c>
      <c r="R652" s="27">
        <f>R72*IF($E652="weekday",INDEX('Category Mapping'!$F$28:$F$39,MATCH('Summarized Source Data'!$A652,'Category Mapping'!$A$28:$A$39,0),1),INDEX('Category Mapping'!$E$28:$E$39,MATCH($A652,'Category Mapping'!$A$28:$A$39,0),1))</f>
        <v>263500000</v>
      </c>
      <c r="S652" s="27">
        <f>S72*IF($E652="weekday",INDEX('Category Mapping'!$F$28:$F$39,MATCH('Summarized Source Data'!$A652,'Category Mapping'!$A$28:$A$39,0),1),INDEX('Category Mapping'!$E$28:$E$39,MATCH($A652,'Category Mapping'!$A$28:$A$39,0),1))</f>
        <v>263500000</v>
      </c>
      <c r="T652" s="27">
        <f>T72*IF($E652="weekday",INDEX('Category Mapping'!$F$28:$F$39,MATCH('Summarized Source Data'!$A652,'Category Mapping'!$A$28:$A$39,0),1),INDEX('Category Mapping'!$E$28:$E$39,MATCH($A652,'Category Mapping'!$A$28:$A$39,0),1))</f>
        <v>263500000</v>
      </c>
      <c r="U652" s="27">
        <f>U72*IF($E652="weekday",INDEX('Category Mapping'!$F$28:$F$39,MATCH('Summarized Source Data'!$A652,'Category Mapping'!$A$28:$A$39,0),1),INDEX('Category Mapping'!$E$28:$E$39,MATCH($A652,'Category Mapping'!$A$28:$A$39,0),1))</f>
        <v>263500000</v>
      </c>
      <c r="V652" s="27">
        <f>V72*IF($E652="weekday",INDEX('Category Mapping'!$F$28:$F$39,MATCH('Summarized Source Data'!$A652,'Category Mapping'!$A$28:$A$39,0),1),INDEX('Category Mapping'!$E$28:$E$39,MATCH($A652,'Category Mapping'!$A$28:$A$39,0),1))</f>
        <v>263500000</v>
      </c>
      <c r="W652" s="27">
        <f>W72*IF($E652="weekday",INDEX('Category Mapping'!$F$28:$F$39,MATCH('Summarized Source Data'!$A652,'Category Mapping'!$A$28:$A$39,0),1),INDEX('Category Mapping'!$E$28:$E$39,MATCH($A652,'Category Mapping'!$A$28:$A$39,0),1))</f>
        <v>263500000</v>
      </c>
      <c r="X652" s="27">
        <f>X72*IF($E652="weekday",INDEX('Category Mapping'!$F$28:$F$39,MATCH('Summarized Source Data'!$A652,'Category Mapping'!$A$28:$A$39,0),1),INDEX('Category Mapping'!$E$28:$E$39,MATCH($A652,'Category Mapping'!$A$28:$A$39,0),1))</f>
        <v>15057142857.142857</v>
      </c>
      <c r="Y652" s="27">
        <f>Y72*IF($E652="weekday",INDEX('Category Mapping'!$F$28:$F$39,MATCH('Summarized Source Data'!$A652,'Category Mapping'!$A$28:$A$39,0),1),INDEX('Category Mapping'!$E$28:$E$39,MATCH($A652,'Category Mapping'!$A$28:$A$39,0),1))</f>
        <v>15057142857.142857</v>
      </c>
      <c r="Z652" s="27">
        <f>Z72*IF($E652="weekday",INDEX('Category Mapping'!$F$28:$F$39,MATCH('Summarized Source Data'!$A652,'Category Mapping'!$A$28:$A$39,0),1),INDEX('Category Mapping'!$E$28:$E$39,MATCH($A652,'Category Mapping'!$A$28:$A$39,0),1))</f>
        <v>15057142857.142857</v>
      </c>
    </row>
    <row r="653" spans="1:26" x14ac:dyDescent="0.3">
      <c r="A653">
        <f t="shared" ref="A653:E653" si="118">A73</f>
        <v>3</v>
      </c>
      <c r="B653" t="str">
        <f t="shared" si="118"/>
        <v>Spring</v>
      </c>
      <c r="C653" t="str">
        <f t="shared" si="118"/>
        <v>h22</v>
      </c>
      <c r="D653" t="str">
        <f t="shared" si="118"/>
        <v>Hour21</v>
      </c>
      <c r="E653" t="str">
        <f t="shared" si="118"/>
        <v>Weekday</v>
      </c>
      <c r="F653" s="27">
        <f>F73*IF($E653="weekday",INDEX('Category Mapping'!$F$28:$F$39,MATCH('Summarized Source Data'!$A653,'Category Mapping'!$A$28:$A$39,0),1),INDEX('Category Mapping'!$E$28:$E$39,MATCH($A653,'Category Mapping'!$A$28:$A$39,0),1))</f>
        <v>338785714.28571427</v>
      </c>
      <c r="G653" s="27">
        <f>G73*IF($E653="weekday",INDEX('Category Mapping'!$F$28:$F$39,MATCH('Summarized Source Data'!$A653,'Category Mapping'!$A$28:$A$39,0),1),INDEX('Category Mapping'!$E$28:$E$39,MATCH($A653,'Category Mapping'!$A$28:$A$39,0),1))</f>
        <v>693514.28571428568</v>
      </c>
      <c r="H653" s="27">
        <f>H73*IF($E653="weekday",INDEX('Category Mapping'!$F$28:$F$39,MATCH('Summarized Source Data'!$A653,'Category Mapping'!$A$28:$A$39,0),1),INDEX('Category Mapping'!$E$28:$E$39,MATCH($A653,'Category Mapping'!$A$28:$A$39,0),1))</f>
        <v>0</v>
      </c>
      <c r="I653" s="27">
        <f>I73*IF($E653="weekday",INDEX('Category Mapping'!$F$28:$F$39,MATCH('Summarized Source Data'!$A653,'Category Mapping'!$A$28:$A$39,0),1),INDEX('Category Mapping'!$E$28:$E$39,MATCH($A653,'Category Mapping'!$A$28:$A$39,0),1))</f>
        <v>1054000000</v>
      </c>
      <c r="J653" s="27">
        <f>J73*IF($E653="weekday",INDEX('Category Mapping'!$F$28:$F$39,MATCH('Summarized Source Data'!$A653,'Category Mapping'!$A$28:$A$39,0),1),INDEX('Category Mapping'!$E$28:$E$39,MATCH($A653,'Category Mapping'!$A$28:$A$39,0),1))</f>
        <v>3256520771.4285712</v>
      </c>
      <c r="K653" s="27">
        <f>K73*IF($E653="weekday",INDEX('Category Mapping'!$F$28:$F$39,MATCH('Summarized Source Data'!$A653,'Category Mapping'!$A$28:$A$39,0),1),INDEX('Category Mapping'!$E$28:$E$39,MATCH($A653,'Category Mapping'!$A$28:$A$39,0),1))</f>
        <v>3256520771.4285712</v>
      </c>
      <c r="L653" s="27">
        <f>L73*IF($E653="weekday",INDEX('Category Mapping'!$F$28:$F$39,MATCH('Summarized Source Data'!$A653,'Category Mapping'!$A$28:$A$39,0),1),INDEX('Category Mapping'!$E$28:$E$39,MATCH($A653,'Category Mapping'!$A$28:$A$39,0),1))</f>
        <v>859142857.14285707</v>
      </c>
      <c r="M653" s="27">
        <f>M73*IF($E653="weekday",INDEX('Category Mapping'!$F$28:$F$39,MATCH('Summarized Source Data'!$A653,'Category Mapping'!$A$28:$A$39,0),1),INDEX('Category Mapping'!$E$28:$E$39,MATCH($A653,'Category Mapping'!$A$28:$A$39,0),1))</f>
        <v>2736237.1428571427</v>
      </c>
      <c r="N653" s="27">
        <f>N73*IF($E653="weekday",INDEX('Category Mapping'!$F$28:$F$39,MATCH('Summarized Source Data'!$A653,'Category Mapping'!$A$28:$A$39,0),1),INDEX('Category Mapping'!$E$28:$E$39,MATCH($A653,'Category Mapping'!$A$28:$A$39,0),1))</f>
        <v>0</v>
      </c>
      <c r="O653" s="27">
        <f>O73*IF($E653="weekday",INDEX('Category Mapping'!$F$28:$F$39,MATCH('Summarized Source Data'!$A653,'Category Mapping'!$A$28:$A$39,0),1),INDEX('Category Mapping'!$E$28:$E$39,MATCH($A653,'Category Mapping'!$A$28:$A$39,0),1))</f>
        <v>5493120905.7142859</v>
      </c>
      <c r="P653" s="27">
        <f>P73*IF($E653="weekday",INDEX('Category Mapping'!$F$28:$F$39,MATCH('Summarized Source Data'!$A653,'Category Mapping'!$A$28:$A$39,0),1),INDEX('Category Mapping'!$E$28:$E$39,MATCH($A653,'Category Mapping'!$A$28:$A$39,0),1))</f>
        <v>5493120905.7142859</v>
      </c>
      <c r="Q653" s="27">
        <f>Q73*IF($E653="weekday",INDEX('Category Mapping'!$F$28:$F$39,MATCH('Summarized Source Data'!$A653,'Category Mapping'!$A$28:$A$39,0),1),INDEX('Category Mapping'!$E$28:$E$39,MATCH($A653,'Category Mapping'!$A$28:$A$39,0),1))</f>
        <v>5493120905.7142859</v>
      </c>
      <c r="R653" s="27">
        <f>R73*IF($E653="weekday",INDEX('Category Mapping'!$F$28:$F$39,MATCH('Summarized Source Data'!$A653,'Category Mapping'!$A$28:$A$39,0),1),INDEX('Category Mapping'!$E$28:$E$39,MATCH($A653,'Category Mapping'!$A$28:$A$39,0),1))</f>
        <v>245785714.28571427</v>
      </c>
      <c r="S653" s="27">
        <f>S73*IF($E653="weekday",INDEX('Category Mapping'!$F$28:$F$39,MATCH('Summarized Source Data'!$A653,'Category Mapping'!$A$28:$A$39,0),1),INDEX('Category Mapping'!$E$28:$E$39,MATCH($A653,'Category Mapping'!$A$28:$A$39,0),1))</f>
        <v>245785714.28571427</v>
      </c>
      <c r="T653" s="27">
        <f>T73*IF($E653="weekday",INDEX('Category Mapping'!$F$28:$F$39,MATCH('Summarized Source Data'!$A653,'Category Mapping'!$A$28:$A$39,0),1),INDEX('Category Mapping'!$E$28:$E$39,MATCH($A653,'Category Mapping'!$A$28:$A$39,0),1))</f>
        <v>245785714.28571427</v>
      </c>
      <c r="U653" s="27">
        <f>U73*IF($E653="weekday",INDEX('Category Mapping'!$F$28:$F$39,MATCH('Summarized Source Data'!$A653,'Category Mapping'!$A$28:$A$39,0),1),INDEX('Category Mapping'!$E$28:$E$39,MATCH($A653,'Category Mapping'!$A$28:$A$39,0),1))</f>
        <v>245785714.28571427</v>
      </c>
      <c r="V653" s="27">
        <f>V73*IF($E653="weekday",INDEX('Category Mapping'!$F$28:$F$39,MATCH('Summarized Source Data'!$A653,'Category Mapping'!$A$28:$A$39,0),1),INDEX('Category Mapping'!$E$28:$E$39,MATCH($A653,'Category Mapping'!$A$28:$A$39,0),1))</f>
        <v>245785714.28571427</v>
      </c>
      <c r="W653" s="27">
        <f>W73*IF($E653="weekday",INDEX('Category Mapping'!$F$28:$F$39,MATCH('Summarized Source Data'!$A653,'Category Mapping'!$A$28:$A$39,0),1),INDEX('Category Mapping'!$E$28:$E$39,MATCH($A653,'Category Mapping'!$A$28:$A$39,0),1))</f>
        <v>245785714.28571427</v>
      </c>
      <c r="X653" s="27">
        <f>X73*IF($E653="weekday",INDEX('Category Mapping'!$F$28:$F$39,MATCH('Summarized Source Data'!$A653,'Category Mapping'!$A$28:$A$39,0),1),INDEX('Category Mapping'!$E$28:$E$39,MATCH($A653,'Category Mapping'!$A$28:$A$39,0),1))</f>
        <v>14924285714.285713</v>
      </c>
      <c r="Y653" s="27">
        <f>Y73*IF($E653="weekday",INDEX('Category Mapping'!$F$28:$F$39,MATCH('Summarized Source Data'!$A653,'Category Mapping'!$A$28:$A$39,0),1),INDEX('Category Mapping'!$E$28:$E$39,MATCH($A653,'Category Mapping'!$A$28:$A$39,0),1))</f>
        <v>14924285714.285713</v>
      </c>
      <c r="Z653" s="27">
        <f>Z73*IF($E653="weekday",INDEX('Category Mapping'!$F$28:$F$39,MATCH('Summarized Source Data'!$A653,'Category Mapping'!$A$28:$A$39,0),1),INDEX('Category Mapping'!$E$28:$E$39,MATCH($A653,'Category Mapping'!$A$28:$A$39,0),1))</f>
        <v>14924285714.285713</v>
      </c>
    </row>
    <row r="654" spans="1:26" x14ac:dyDescent="0.3">
      <c r="A654">
        <f t="shared" ref="A654:E654" si="119">A74</f>
        <v>3</v>
      </c>
      <c r="B654" t="str">
        <f t="shared" si="119"/>
        <v>Spring</v>
      </c>
      <c r="C654" t="str">
        <f t="shared" si="119"/>
        <v>h23</v>
      </c>
      <c r="D654" t="str">
        <f t="shared" si="119"/>
        <v>Hour22</v>
      </c>
      <c r="E654" t="str">
        <f t="shared" si="119"/>
        <v>Weekday</v>
      </c>
      <c r="F654" s="27">
        <f>F74*IF($E654="weekday",INDEX('Category Mapping'!$F$28:$F$39,MATCH('Summarized Source Data'!$A654,'Category Mapping'!$A$28:$A$39,0),1),INDEX('Category Mapping'!$E$28:$E$39,MATCH($A654,'Category Mapping'!$A$28:$A$39,0),1))</f>
        <v>285642857.14285713</v>
      </c>
      <c r="G654" s="27">
        <f>G74*IF($E654="weekday",INDEX('Category Mapping'!$F$28:$F$39,MATCH('Summarized Source Data'!$A654,'Category Mapping'!$A$28:$A$39,0),1),INDEX('Category Mapping'!$E$28:$E$39,MATCH($A654,'Category Mapping'!$A$28:$A$39,0),1))</f>
        <v>722964.28571428568</v>
      </c>
      <c r="H654" s="27">
        <f>H74*IF($E654="weekday",INDEX('Category Mapping'!$F$28:$F$39,MATCH('Summarized Source Data'!$A654,'Category Mapping'!$A$28:$A$39,0),1),INDEX('Category Mapping'!$E$28:$E$39,MATCH($A654,'Category Mapping'!$A$28:$A$39,0),1))</f>
        <v>0</v>
      </c>
      <c r="I654" s="27">
        <f>I74*IF($E654="weekday",INDEX('Category Mapping'!$F$28:$F$39,MATCH('Summarized Source Data'!$A654,'Category Mapping'!$A$28:$A$39,0),1),INDEX('Category Mapping'!$E$28:$E$39,MATCH($A654,'Category Mapping'!$A$28:$A$39,0),1))</f>
        <v>626642857.14285707</v>
      </c>
      <c r="J654" s="27">
        <f>J74*IF($E654="weekday",INDEX('Category Mapping'!$F$28:$F$39,MATCH('Summarized Source Data'!$A654,'Category Mapping'!$A$28:$A$39,0),1),INDEX('Category Mapping'!$E$28:$E$39,MATCH($A654,'Category Mapping'!$A$28:$A$39,0),1))</f>
        <v>2563419892.8571429</v>
      </c>
      <c r="K654" s="27">
        <f>K74*IF($E654="weekday",INDEX('Category Mapping'!$F$28:$F$39,MATCH('Summarized Source Data'!$A654,'Category Mapping'!$A$28:$A$39,0),1),INDEX('Category Mapping'!$E$28:$E$39,MATCH($A654,'Category Mapping'!$A$28:$A$39,0),1))</f>
        <v>2563419892.8571429</v>
      </c>
      <c r="L654" s="27">
        <f>L74*IF($E654="weekday",INDEX('Category Mapping'!$F$28:$F$39,MATCH('Summarized Source Data'!$A654,'Category Mapping'!$A$28:$A$39,0),1),INDEX('Category Mapping'!$E$28:$E$39,MATCH($A654,'Category Mapping'!$A$28:$A$39,0),1))</f>
        <v>757285714.28571427</v>
      </c>
      <c r="M654" s="27">
        <f>M74*IF($E654="weekday",INDEX('Category Mapping'!$F$28:$F$39,MATCH('Summarized Source Data'!$A654,'Category Mapping'!$A$28:$A$39,0),1),INDEX('Category Mapping'!$E$28:$E$39,MATCH($A654,'Category Mapping'!$A$28:$A$39,0),1))</f>
        <v>2521650.7142857141</v>
      </c>
      <c r="N654" s="27">
        <f>N74*IF($E654="weekday",INDEX('Category Mapping'!$F$28:$F$39,MATCH('Summarized Source Data'!$A654,'Category Mapping'!$A$28:$A$39,0),1),INDEX('Category Mapping'!$E$28:$E$39,MATCH($A654,'Category Mapping'!$A$28:$A$39,0),1))</f>
        <v>0</v>
      </c>
      <c r="O654" s="27">
        <f>O74*IF($E654="weekday",INDEX('Category Mapping'!$F$28:$F$39,MATCH('Summarized Source Data'!$A654,'Category Mapping'!$A$28:$A$39,0),1),INDEX('Category Mapping'!$E$28:$E$39,MATCH($A654,'Category Mapping'!$A$28:$A$39,0),1))</f>
        <v>4620906920.7142859</v>
      </c>
      <c r="P654" s="27">
        <f>P74*IF($E654="weekday",INDEX('Category Mapping'!$F$28:$F$39,MATCH('Summarized Source Data'!$A654,'Category Mapping'!$A$28:$A$39,0),1),INDEX('Category Mapping'!$E$28:$E$39,MATCH($A654,'Category Mapping'!$A$28:$A$39,0),1))</f>
        <v>4620906920.7142859</v>
      </c>
      <c r="Q654" s="27">
        <f>Q74*IF($E654="weekday",INDEX('Category Mapping'!$F$28:$F$39,MATCH('Summarized Source Data'!$A654,'Category Mapping'!$A$28:$A$39,0),1),INDEX('Category Mapping'!$E$28:$E$39,MATCH($A654,'Category Mapping'!$A$28:$A$39,0),1))</f>
        <v>4620906920.7142859</v>
      </c>
      <c r="R654" s="27">
        <f>R74*IF($E654="weekday",INDEX('Category Mapping'!$F$28:$F$39,MATCH('Summarized Source Data'!$A654,'Category Mapping'!$A$28:$A$39,0),1),INDEX('Category Mapping'!$E$28:$E$39,MATCH($A654,'Category Mapping'!$A$28:$A$39,0),1))</f>
        <v>232500000</v>
      </c>
      <c r="S654" s="27">
        <f>S74*IF($E654="weekday",INDEX('Category Mapping'!$F$28:$F$39,MATCH('Summarized Source Data'!$A654,'Category Mapping'!$A$28:$A$39,0),1),INDEX('Category Mapping'!$E$28:$E$39,MATCH($A654,'Category Mapping'!$A$28:$A$39,0),1))</f>
        <v>232500000</v>
      </c>
      <c r="T654" s="27">
        <f>T74*IF($E654="weekday",INDEX('Category Mapping'!$F$28:$F$39,MATCH('Summarized Source Data'!$A654,'Category Mapping'!$A$28:$A$39,0),1),INDEX('Category Mapping'!$E$28:$E$39,MATCH($A654,'Category Mapping'!$A$28:$A$39,0),1))</f>
        <v>232500000</v>
      </c>
      <c r="U654" s="27">
        <f>U74*IF($E654="weekday",INDEX('Category Mapping'!$F$28:$F$39,MATCH('Summarized Source Data'!$A654,'Category Mapping'!$A$28:$A$39,0),1),INDEX('Category Mapping'!$E$28:$E$39,MATCH($A654,'Category Mapping'!$A$28:$A$39,0),1))</f>
        <v>232500000</v>
      </c>
      <c r="V654" s="27">
        <f>V74*IF($E654="weekday",INDEX('Category Mapping'!$F$28:$F$39,MATCH('Summarized Source Data'!$A654,'Category Mapping'!$A$28:$A$39,0),1),INDEX('Category Mapping'!$E$28:$E$39,MATCH($A654,'Category Mapping'!$A$28:$A$39,0),1))</f>
        <v>232500000</v>
      </c>
      <c r="W654" s="27">
        <f>W74*IF($E654="weekday",INDEX('Category Mapping'!$F$28:$F$39,MATCH('Summarized Source Data'!$A654,'Category Mapping'!$A$28:$A$39,0),1),INDEX('Category Mapping'!$E$28:$E$39,MATCH($A654,'Category Mapping'!$A$28:$A$39,0),1))</f>
        <v>232500000</v>
      </c>
      <c r="X654" s="27">
        <f>X74*IF($E654="weekday",INDEX('Category Mapping'!$F$28:$F$39,MATCH('Summarized Source Data'!$A654,'Category Mapping'!$A$28:$A$39,0),1),INDEX('Category Mapping'!$E$28:$E$39,MATCH($A654,'Category Mapping'!$A$28:$A$39,0),1))</f>
        <v>14791428571.428572</v>
      </c>
      <c r="Y654" s="27">
        <f>Y74*IF($E654="weekday",INDEX('Category Mapping'!$F$28:$F$39,MATCH('Summarized Source Data'!$A654,'Category Mapping'!$A$28:$A$39,0),1),INDEX('Category Mapping'!$E$28:$E$39,MATCH($A654,'Category Mapping'!$A$28:$A$39,0),1))</f>
        <v>14791428571.428572</v>
      </c>
      <c r="Z654" s="27">
        <f>Z74*IF($E654="weekday",INDEX('Category Mapping'!$F$28:$F$39,MATCH('Summarized Source Data'!$A654,'Category Mapping'!$A$28:$A$39,0),1),INDEX('Category Mapping'!$E$28:$E$39,MATCH($A654,'Category Mapping'!$A$28:$A$39,0),1))</f>
        <v>14791428571.428572</v>
      </c>
    </row>
    <row r="655" spans="1:26" x14ac:dyDescent="0.3">
      <c r="A655">
        <f t="shared" ref="A655:E655" si="120">A75</f>
        <v>3</v>
      </c>
      <c r="B655" t="str">
        <f t="shared" si="120"/>
        <v>Spring</v>
      </c>
      <c r="C655" t="str">
        <f t="shared" si="120"/>
        <v>h24</v>
      </c>
      <c r="D655" t="str">
        <f t="shared" si="120"/>
        <v>Hour23</v>
      </c>
      <c r="E655" t="str">
        <f t="shared" si="120"/>
        <v>Weekday</v>
      </c>
      <c r="F655" s="27">
        <f>F75*IF($E655="weekday",INDEX('Category Mapping'!$F$28:$F$39,MATCH('Summarized Source Data'!$A655,'Category Mapping'!$A$28:$A$39,0),1),INDEX('Category Mapping'!$E$28:$E$39,MATCH($A655,'Category Mapping'!$A$28:$A$39,0),1))</f>
        <v>276785714.28571427</v>
      </c>
      <c r="G655" s="27">
        <f>G75*IF($E655="weekday",INDEX('Category Mapping'!$F$28:$F$39,MATCH('Summarized Source Data'!$A655,'Category Mapping'!$A$28:$A$39,0),1),INDEX('Category Mapping'!$E$28:$E$39,MATCH($A655,'Category Mapping'!$A$28:$A$39,0),1))</f>
        <v>742848.57142857136</v>
      </c>
      <c r="H655" s="27">
        <f>H75*IF($E655="weekday",INDEX('Category Mapping'!$F$28:$F$39,MATCH('Summarized Source Data'!$A655,'Category Mapping'!$A$28:$A$39,0),1),INDEX('Category Mapping'!$E$28:$E$39,MATCH($A655,'Category Mapping'!$A$28:$A$39,0),1))</f>
        <v>0</v>
      </c>
      <c r="I655" s="27">
        <f>I75*IF($E655="weekday",INDEX('Category Mapping'!$F$28:$F$39,MATCH('Summarized Source Data'!$A655,'Category Mapping'!$A$28:$A$39,0),1),INDEX('Category Mapping'!$E$28:$E$39,MATCH($A655,'Category Mapping'!$A$28:$A$39,0),1))</f>
        <v>329928571.4285714</v>
      </c>
      <c r="J655" s="27">
        <f>J75*IF($E655="weekday",INDEX('Category Mapping'!$F$28:$F$39,MATCH('Summarized Source Data'!$A655,'Category Mapping'!$A$28:$A$39,0),1),INDEX('Category Mapping'!$E$28:$E$39,MATCH($A655,'Category Mapping'!$A$28:$A$39,0),1))</f>
        <v>2027542865.7142856</v>
      </c>
      <c r="K655" s="27">
        <f>K75*IF($E655="weekday",INDEX('Category Mapping'!$F$28:$F$39,MATCH('Summarized Source Data'!$A655,'Category Mapping'!$A$28:$A$39,0),1),INDEX('Category Mapping'!$E$28:$E$39,MATCH($A655,'Category Mapping'!$A$28:$A$39,0),1))</f>
        <v>2027542865.7142856</v>
      </c>
      <c r="L655" s="27">
        <f>L75*IF($E655="weekday",INDEX('Category Mapping'!$F$28:$F$39,MATCH('Summarized Source Data'!$A655,'Category Mapping'!$A$28:$A$39,0),1),INDEX('Category Mapping'!$E$28:$E$39,MATCH($A655,'Category Mapping'!$A$28:$A$39,0),1))</f>
        <v>633285714.28571427</v>
      </c>
      <c r="M655" s="27">
        <f>M75*IF($E655="weekday",INDEX('Category Mapping'!$F$28:$F$39,MATCH('Summarized Source Data'!$A655,'Category Mapping'!$A$28:$A$39,0),1),INDEX('Category Mapping'!$E$28:$E$39,MATCH($A655,'Category Mapping'!$A$28:$A$39,0),1))</f>
        <v>2228523.5714285714</v>
      </c>
      <c r="N655" s="27">
        <f>N75*IF($E655="weekday",INDEX('Category Mapping'!$F$28:$F$39,MATCH('Summarized Source Data'!$A655,'Category Mapping'!$A$28:$A$39,0),1),INDEX('Category Mapping'!$E$28:$E$39,MATCH($A655,'Category Mapping'!$A$28:$A$39,0),1))</f>
        <v>0</v>
      </c>
      <c r="O655" s="27">
        <f>O75*IF($E655="weekday",INDEX('Category Mapping'!$F$28:$F$39,MATCH('Summarized Source Data'!$A655,'Category Mapping'!$A$28:$A$39,0),1),INDEX('Category Mapping'!$E$28:$E$39,MATCH($A655,'Category Mapping'!$A$28:$A$39,0),1))</f>
        <v>4036628619.2857141</v>
      </c>
      <c r="P655" s="27">
        <f>P75*IF($E655="weekday",INDEX('Category Mapping'!$F$28:$F$39,MATCH('Summarized Source Data'!$A655,'Category Mapping'!$A$28:$A$39,0),1),INDEX('Category Mapping'!$E$28:$E$39,MATCH($A655,'Category Mapping'!$A$28:$A$39,0),1))</f>
        <v>4036628619.2857141</v>
      </c>
      <c r="Q655" s="27">
        <f>Q75*IF($E655="weekday",INDEX('Category Mapping'!$F$28:$F$39,MATCH('Summarized Source Data'!$A655,'Category Mapping'!$A$28:$A$39,0),1),INDEX('Category Mapping'!$E$28:$E$39,MATCH($A655,'Category Mapping'!$A$28:$A$39,0),1))</f>
        <v>4036628619.2857141</v>
      </c>
      <c r="R655" s="27">
        <f>R75*IF($E655="weekday",INDEX('Category Mapping'!$F$28:$F$39,MATCH('Summarized Source Data'!$A655,'Category Mapping'!$A$28:$A$39,0),1),INDEX('Category Mapping'!$E$28:$E$39,MATCH($A655,'Category Mapping'!$A$28:$A$39,0),1))</f>
        <v>156459989.28571427</v>
      </c>
      <c r="S655" s="27">
        <f>S75*IF($E655="weekday",INDEX('Category Mapping'!$F$28:$F$39,MATCH('Summarized Source Data'!$A655,'Category Mapping'!$A$28:$A$39,0),1),INDEX('Category Mapping'!$E$28:$E$39,MATCH($A655,'Category Mapping'!$A$28:$A$39,0),1))</f>
        <v>156459989.28571427</v>
      </c>
      <c r="T655" s="27">
        <f>T75*IF($E655="weekday",INDEX('Category Mapping'!$F$28:$F$39,MATCH('Summarized Source Data'!$A655,'Category Mapping'!$A$28:$A$39,0),1),INDEX('Category Mapping'!$E$28:$E$39,MATCH($A655,'Category Mapping'!$A$28:$A$39,0),1))</f>
        <v>156459989.28571427</v>
      </c>
      <c r="U655" s="27">
        <f>U75*IF($E655="weekday",INDEX('Category Mapping'!$F$28:$F$39,MATCH('Summarized Source Data'!$A655,'Category Mapping'!$A$28:$A$39,0),1),INDEX('Category Mapping'!$E$28:$E$39,MATCH($A655,'Category Mapping'!$A$28:$A$39,0),1))</f>
        <v>156459989.28571427</v>
      </c>
      <c r="V655" s="27">
        <f>V75*IF($E655="weekday",INDEX('Category Mapping'!$F$28:$F$39,MATCH('Summarized Source Data'!$A655,'Category Mapping'!$A$28:$A$39,0),1),INDEX('Category Mapping'!$E$28:$E$39,MATCH($A655,'Category Mapping'!$A$28:$A$39,0),1))</f>
        <v>156459989.28571427</v>
      </c>
      <c r="W655" s="27">
        <f>W75*IF($E655="weekday",INDEX('Category Mapping'!$F$28:$F$39,MATCH('Summarized Source Data'!$A655,'Category Mapping'!$A$28:$A$39,0),1),INDEX('Category Mapping'!$E$28:$E$39,MATCH($A655,'Category Mapping'!$A$28:$A$39,0),1))</f>
        <v>156459989.28571427</v>
      </c>
      <c r="X655" s="27">
        <f>X75*IF($E655="weekday",INDEX('Category Mapping'!$F$28:$F$39,MATCH('Summarized Source Data'!$A655,'Category Mapping'!$A$28:$A$39,0),1),INDEX('Category Mapping'!$E$28:$E$39,MATCH($A655,'Category Mapping'!$A$28:$A$39,0),1))</f>
        <v>14725000000</v>
      </c>
      <c r="Y655" s="27">
        <f>Y75*IF($E655="weekday",INDEX('Category Mapping'!$F$28:$F$39,MATCH('Summarized Source Data'!$A655,'Category Mapping'!$A$28:$A$39,0),1),INDEX('Category Mapping'!$E$28:$E$39,MATCH($A655,'Category Mapping'!$A$28:$A$39,0),1))</f>
        <v>14725000000</v>
      </c>
      <c r="Z655" s="27">
        <f>Z75*IF($E655="weekday",INDEX('Category Mapping'!$F$28:$F$39,MATCH('Summarized Source Data'!$A655,'Category Mapping'!$A$28:$A$39,0),1),INDEX('Category Mapping'!$E$28:$E$39,MATCH($A655,'Category Mapping'!$A$28:$A$39,0),1))</f>
        <v>14725000000</v>
      </c>
    </row>
    <row r="656" spans="1:26" x14ac:dyDescent="0.3">
      <c r="A656">
        <f t="shared" ref="A656:E656" si="121">A76</f>
        <v>4</v>
      </c>
      <c r="B656" t="str">
        <f t="shared" si="121"/>
        <v>Spring</v>
      </c>
      <c r="C656" t="str">
        <f t="shared" si="121"/>
        <v>h1</v>
      </c>
      <c r="D656" t="str">
        <f t="shared" si="121"/>
        <v>Hour0</v>
      </c>
      <c r="E656" t="str">
        <f t="shared" si="121"/>
        <v>Weekday</v>
      </c>
      <c r="F656" s="27">
        <f>F76*IF($E656="weekday",INDEX('Category Mapping'!$F$28:$F$39,MATCH('Summarized Source Data'!$A656,'Category Mapping'!$A$28:$A$39,0),1),INDEX('Category Mapping'!$E$28:$E$39,MATCH($A656,'Category Mapping'!$A$28:$A$39,0),1))</f>
        <v>116509071.42857143</v>
      </c>
      <c r="G656" s="27">
        <f>G76*IF($E656="weekday",INDEX('Category Mapping'!$F$28:$F$39,MATCH('Summarized Source Data'!$A656,'Category Mapping'!$A$28:$A$39,0),1),INDEX('Category Mapping'!$E$28:$E$39,MATCH($A656,'Category Mapping'!$A$28:$A$39,0),1))</f>
        <v>812850.00000000012</v>
      </c>
      <c r="H656" s="27">
        <f>H76*IF($E656="weekday",INDEX('Category Mapping'!$F$28:$F$39,MATCH('Summarized Source Data'!$A656,'Category Mapping'!$A$28:$A$39,0),1),INDEX('Category Mapping'!$E$28:$E$39,MATCH($A656,'Category Mapping'!$A$28:$A$39,0),1))</f>
        <v>0</v>
      </c>
      <c r="I656" s="27">
        <f>I76*IF($E656="weekday",INDEX('Category Mapping'!$F$28:$F$39,MATCH('Summarized Source Data'!$A656,'Category Mapping'!$A$28:$A$39,0),1),INDEX('Category Mapping'!$E$28:$E$39,MATCH($A656,'Category Mapping'!$A$28:$A$39,0),1))</f>
        <v>222857142.85714287</v>
      </c>
      <c r="J656" s="27">
        <f>J76*IF($E656="weekday",INDEX('Category Mapping'!$F$28:$F$39,MATCH('Summarized Source Data'!$A656,'Category Mapping'!$A$28:$A$39,0),1),INDEX('Category Mapping'!$E$28:$E$39,MATCH($A656,'Category Mapping'!$A$28:$A$39,0),1))</f>
        <v>1564820935.7142859</v>
      </c>
      <c r="K656" s="27">
        <f>K76*IF($E656="weekday",INDEX('Category Mapping'!$F$28:$F$39,MATCH('Summarized Source Data'!$A656,'Category Mapping'!$A$28:$A$39,0),1),INDEX('Category Mapping'!$E$28:$E$39,MATCH($A656,'Category Mapping'!$A$28:$A$39,0),1))</f>
        <v>1564820935.7142859</v>
      </c>
      <c r="L656" s="27">
        <f>L76*IF($E656="weekday",INDEX('Category Mapping'!$F$28:$F$39,MATCH('Summarized Source Data'!$A656,'Category Mapping'!$A$28:$A$39,0),1),INDEX('Category Mapping'!$E$28:$E$39,MATCH($A656,'Category Mapping'!$A$28:$A$39,0),1))</f>
        <v>420000000.00000006</v>
      </c>
      <c r="M656" s="27">
        <f>M76*IF($E656="weekday",INDEX('Category Mapping'!$F$28:$F$39,MATCH('Summarized Source Data'!$A656,'Category Mapping'!$A$28:$A$39,0),1),INDEX('Category Mapping'!$E$28:$E$39,MATCH($A656,'Category Mapping'!$A$28:$A$39,0),1))</f>
        <v>9111257.1428571437</v>
      </c>
      <c r="N656" s="27">
        <f>N76*IF($E656="weekday",INDEX('Category Mapping'!$F$28:$F$39,MATCH('Summarized Source Data'!$A656,'Category Mapping'!$A$28:$A$39,0),1),INDEX('Category Mapping'!$E$28:$E$39,MATCH($A656,'Category Mapping'!$A$28:$A$39,0),1))</f>
        <v>0</v>
      </c>
      <c r="O656" s="27">
        <f>O76*IF($E656="weekday",INDEX('Category Mapping'!$F$28:$F$39,MATCH('Summarized Source Data'!$A656,'Category Mapping'!$A$28:$A$39,0),1),INDEX('Category Mapping'!$E$28:$E$39,MATCH($A656,'Category Mapping'!$A$28:$A$39,0),1))</f>
        <v>3256603028.5714288</v>
      </c>
      <c r="P656" s="27">
        <f>P76*IF($E656="weekday",INDEX('Category Mapping'!$F$28:$F$39,MATCH('Summarized Source Data'!$A656,'Category Mapping'!$A$28:$A$39,0),1),INDEX('Category Mapping'!$E$28:$E$39,MATCH($A656,'Category Mapping'!$A$28:$A$39,0),1))</f>
        <v>3256603028.5714288</v>
      </c>
      <c r="Q656" s="27">
        <f>Q76*IF($E656="weekday",INDEX('Category Mapping'!$F$28:$F$39,MATCH('Summarized Source Data'!$A656,'Category Mapping'!$A$28:$A$39,0),1),INDEX('Category Mapping'!$E$28:$E$39,MATCH($A656,'Category Mapping'!$A$28:$A$39,0),1))</f>
        <v>3256603028.5714288</v>
      </c>
      <c r="R656" s="27">
        <f>R76*IF($E656="weekday",INDEX('Category Mapping'!$F$28:$F$39,MATCH('Summarized Source Data'!$A656,'Category Mapping'!$A$28:$A$39,0),1),INDEX('Category Mapping'!$E$28:$E$39,MATCH($A656,'Category Mapping'!$A$28:$A$39,0),1))</f>
        <v>99480535.714285716</v>
      </c>
      <c r="S656" s="27">
        <f>S76*IF($E656="weekday",INDEX('Category Mapping'!$F$28:$F$39,MATCH('Summarized Source Data'!$A656,'Category Mapping'!$A$28:$A$39,0),1),INDEX('Category Mapping'!$E$28:$E$39,MATCH($A656,'Category Mapping'!$A$28:$A$39,0),1))</f>
        <v>99480535.714285716</v>
      </c>
      <c r="T656" s="27">
        <f>T76*IF($E656="weekday",INDEX('Category Mapping'!$F$28:$F$39,MATCH('Summarized Source Data'!$A656,'Category Mapping'!$A$28:$A$39,0),1),INDEX('Category Mapping'!$E$28:$E$39,MATCH($A656,'Category Mapping'!$A$28:$A$39,0),1))</f>
        <v>99480535.714285716</v>
      </c>
      <c r="U656" s="27">
        <f>U76*IF($E656="weekday",INDEX('Category Mapping'!$F$28:$F$39,MATCH('Summarized Source Data'!$A656,'Category Mapping'!$A$28:$A$39,0),1),INDEX('Category Mapping'!$E$28:$E$39,MATCH($A656,'Category Mapping'!$A$28:$A$39,0),1))</f>
        <v>99480535.714285716</v>
      </c>
      <c r="V656" s="27">
        <f>V76*IF($E656="weekday",INDEX('Category Mapping'!$F$28:$F$39,MATCH('Summarized Source Data'!$A656,'Category Mapping'!$A$28:$A$39,0),1),INDEX('Category Mapping'!$E$28:$E$39,MATCH($A656,'Category Mapping'!$A$28:$A$39,0),1))</f>
        <v>99480535.714285716</v>
      </c>
      <c r="W656" s="27">
        <f>W76*IF($E656="weekday",INDEX('Category Mapping'!$F$28:$F$39,MATCH('Summarized Source Data'!$A656,'Category Mapping'!$A$28:$A$39,0),1),INDEX('Category Mapping'!$E$28:$E$39,MATCH($A656,'Category Mapping'!$A$28:$A$39,0),1))</f>
        <v>99480535.714285716</v>
      </c>
      <c r="X656" s="27">
        <f>X76*IF($E656="weekday",INDEX('Category Mapping'!$F$28:$F$39,MATCH('Summarized Source Data'!$A656,'Category Mapping'!$A$28:$A$39,0),1),INDEX('Category Mapping'!$E$28:$E$39,MATCH($A656,'Category Mapping'!$A$28:$A$39,0),1))</f>
        <v>13671428571.428574</v>
      </c>
      <c r="Y656" s="27">
        <f>Y76*IF($E656="weekday",INDEX('Category Mapping'!$F$28:$F$39,MATCH('Summarized Source Data'!$A656,'Category Mapping'!$A$28:$A$39,0),1),INDEX('Category Mapping'!$E$28:$E$39,MATCH($A656,'Category Mapping'!$A$28:$A$39,0),1))</f>
        <v>13671428571.428574</v>
      </c>
      <c r="Z656" s="27">
        <f>Z76*IF($E656="weekday",INDEX('Category Mapping'!$F$28:$F$39,MATCH('Summarized Source Data'!$A656,'Category Mapping'!$A$28:$A$39,0),1),INDEX('Category Mapping'!$E$28:$E$39,MATCH($A656,'Category Mapping'!$A$28:$A$39,0),1))</f>
        <v>13671428571.428574</v>
      </c>
    </row>
    <row r="657" spans="1:26" x14ac:dyDescent="0.3">
      <c r="A657">
        <f t="shared" ref="A657:E657" si="122">A77</f>
        <v>4</v>
      </c>
      <c r="B657" t="str">
        <f t="shared" si="122"/>
        <v>Spring</v>
      </c>
      <c r="C657" t="str">
        <f t="shared" si="122"/>
        <v>h2</v>
      </c>
      <c r="D657" t="str">
        <f t="shared" si="122"/>
        <v>Hour1</v>
      </c>
      <c r="E657" t="str">
        <f t="shared" si="122"/>
        <v>Weekday</v>
      </c>
      <c r="F657" s="27">
        <f>F77*IF($E657="weekday",INDEX('Category Mapping'!$F$28:$F$39,MATCH('Summarized Source Data'!$A657,'Category Mapping'!$A$28:$A$39,0),1),INDEX('Category Mapping'!$E$28:$E$39,MATCH($A657,'Category Mapping'!$A$28:$A$39,0),1))</f>
        <v>120647614.2857143</v>
      </c>
      <c r="G657" s="27">
        <f>G77*IF($E657="weekday",INDEX('Category Mapping'!$F$28:$F$39,MATCH('Summarized Source Data'!$A657,'Category Mapping'!$A$28:$A$39,0),1),INDEX('Category Mapping'!$E$28:$E$39,MATCH($A657,'Category Mapping'!$A$28:$A$39,0),1))</f>
        <v>817414.2857142858</v>
      </c>
      <c r="H657" s="27">
        <f>H77*IF($E657="weekday",INDEX('Category Mapping'!$F$28:$F$39,MATCH('Summarized Source Data'!$A657,'Category Mapping'!$A$28:$A$39,0),1),INDEX('Category Mapping'!$E$28:$E$39,MATCH($A657,'Category Mapping'!$A$28:$A$39,0),1))</f>
        <v>0</v>
      </c>
      <c r="I657" s="27">
        <f>I77*IF($E657="weekday",INDEX('Category Mapping'!$F$28:$F$39,MATCH('Summarized Source Data'!$A657,'Category Mapping'!$A$28:$A$39,0),1),INDEX('Category Mapping'!$E$28:$E$39,MATCH($A657,'Category Mapping'!$A$28:$A$39,0),1))</f>
        <v>205495885.71428573</v>
      </c>
      <c r="J657" s="27">
        <f>J77*IF($E657="weekday",INDEX('Category Mapping'!$F$28:$F$39,MATCH('Summarized Source Data'!$A657,'Category Mapping'!$A$28:$A$39,0),1),INDEX('Category Mapping'!$E$28:$E$39,MATCH($A657,'Category Mapping'!$A$28:$A$39,0),1))</f>
        <v>1134467657.1428573</v>
      </c>
      <c r="K657" s="27">
        <f>K77*IF($E657="weekday",INDEX('Category Mapping'!$F$28:$F$39,MATCH('Summarized Source Data'!$A657,'Category Mapping'!$A$28:$A$39,0),1),INDEX('Category Mapping'!$E$28:$E$39,MATCH($A657,'Category Mapping'!$A$28:$A$39,0),1))</f>
        <v>1134467657.1428573</v>
      </c>
      <c r="L657" s="27">
        <f>L77*IF($E657="weekday",INDEX('Category Mapping'!$F$28:$F$39,MATCH('Summarized Source Data'!$A657,'Category Mapping'!$A$28:$A$39,0),1),INDEX('Category Mapping'!$E$28:$E$39,MATCH($A657,'Category Mapping'!$A$28:$A$39,0),1))</f>
        <v>375000000.00000006</v>
      </c>
      <c r="M657" s="27">
        <f>M77*IF($E657="weekday",INDEX('Category Mapping'!$F$28:$F$39,MATCH('Summarized Source Data'!$A657,'Category Mapping'!$A$28:$A$39,0),1),INDEX('Category Mapping'!$E$28:$E$39,MATCH($A657,'Category Mapping'!$A$28:$A$39,0),1))</f>
        <v>8591357.1428571437</v>
      </c>
      <c r="N657" s="27">
        <f>N77*IF($E657="weekday",INDEX('Category Mapping'!$F$28:$F$39,MATCH('Summarized Source Data'!$A657,'Category Mapping'!$A$28:$A$39,0),1),INDEX('Category Mapping'!$E$28:$E$39,MATCH($A657,'Category Mapping'!$A$28:$A$39,0),1))</f>
        <v>0</v>
      </c>
      <c r="O657" s="27">
        <f>O77*IF($E657="weekday",INDEX('Category Mapping'!$F$28:$F$39,MATCH('Summarized Source Data'!$A657,'Category Mapping'!$A$28:$A$39,0),1),INDEX('Category Mapping'!$E$28:$E$39,MATCH($A657,'Category Mapping'!$A$28:$A$39,0),1))</f>
        <v>3194980071.4285717</v>
      </c>
      <c r="P657" s="27">
        <f>P77*IF($E657="weekday",INDEX('Category Mapping'!$F$28:$F$39,MATCH('Summarized Source Data'!$A657,'Category Mapping'!$A$28:$A$39,0),1),INDEX('Category Mapping'!$E$28:$E$39,MATCH($A657,'Category Mapping'!$A$28:$A$39,0),1))</f>
        <v>3194980071.4285717</v>
      </c>
      <c r="Q657" s="27">
        <f>Q77*IF($E657="weekday",INDEX('Category Mapping'!$F$28:$F$39,MATCH('Summarized Source Data'!$A657,'Category Mapping'!$A$28:$A$39,0),1),INDEX('Category Mapping'!$E$28:$E$39,MATCH($A657,'Category Mapping'!$A$28:$A$39,0),1))</f>
        <v>3194980071.4285717</v>
      </c>
      <c r="R657" s="27">
        <f>R77*IF($E657="weekday",INDEX('Category Mapping'!$F$28:$F$39,MATCH('Summarized Source Data'!$A657,'Category Mapping'!$A$28:$A$39,0),1),INDEX('Category Mapping'!$E$28:$E$39,MATCH($A657,'Category Mapping'!$A$28:$A$39,0),1))</f>
        <v>98027250.000000015</v>
      </c>
      <c r="S657" s="27">
        <f>S77*IF($E657="weekday",INDEX('Category Mapping'!$F$28:$F$39,MATCH('Summarized Source Data'!$A657,'Category Mapping'!$A$28:$A$39,0),1),INDEX('Category Mapping'!$E$28:$E$39,MATCH($A657,'Category Mapping'!$A$28:$A$39,0),1))</f>
        <v>98027250.000000015</v>
      </c>
      <c r="T657" s="27">
        <f>T77*IF($E657="weekday",INDEX('Category Mapping'!$F$28:$F$39,MATCH('Summarized Source Data'!$A657,'Category Mapping'!$A$28:$A$39,0),1),INDEX('Category Mapping'!$E$28:$E$39,MATCH($A657,'Category Mapping'!$A$28:$A$39,0),1))</f>
        <v>98027250.000000015</v>
      </c>
      <c r="U657" s="27">
        <f>U77*IF($E657="weekday",INDEX('Category Mapping'!$F$28:$F$39,MATCH('Summarized Source Data'!$A657,'Category Mapping'!$A$28:$A$39,0),1),INDEX('Category Mapping'!$E$28:$E$39,MATCH($A657,'Category Mapping'!$A$28:$A$39,0),1))</f>
        <v>98027250.000000015</v>
      </c>
      <c r="V657" s="27">
        <f>V77*IF($E657="weekday",INDEX('Category Mapping'!$F$28:$F$39,MATCH('Summarized Source Data'!$A657,'Category Mapping'!$A$28:$A$39,0),1),INDEX('Category Mapping'!$E$28:$E$39,MATCH($A657,'Category Mapping'!$A$28:$A$39,0),1))</f>
        <v>98027250.000000015</v>
      </c>
      <c r="W657" s="27">
        <f>W77*IF($E657="weekday",INDEX('Category Mapping'!$F$28:$F$39,MATCH('Summarized Source Data'!$A657,'Category Mapping'!$A$28:$A$39,0),1),INDEX('Category Mapping'!$E$28:$E$39,MATCH($A657,'Category Mapping'!$A$28:$A$39,0),1))</f>
        <v>98027250.000000015</v>
      </c>
      <c r="X657" s="27">
        <f>X77*IF($E657="weekday",INDEX('Category Mapping'!$F$28:$F$39,MATCH('Summarized Source Data'!$A657,'Category Mapping'!$A$28:$A$39,0),1),INDEX('Category Mapping'!$E$28:$E$39,MATCH($A657,'Category Mapping'!$A$28:$A$39,0),1))</f>
        <v>13650000000.000002</v>
      </c>
      <c r="Y657" s="27">
        <f>Y77*IF($E657="weekday",INDEX('Category Mapping'!$F$28:$F$39,MATCH('Summarized Source Data'!$A657,'Category Mapping'!$A$28:$A$39,0),1),INDEX('Category Mapping'!$E$28:$E$39,MATCH($A657,'Category Mapping'!$A$28:$A$39,0),1))</f>
        <v>13650000000.000002</v>
      </c>
      <c r="Z657" s="27">
        <f>Z77*IF($E657="weekday",INDEX('Category Mapping'!$F$28:$F$39,MATCH('Summarized Source Data'!$A657,'Category Mapping'!$A$28:$A$39,0),1),INDEX('Category Mapping'!$E$28:$E$39,MATCH($A657,'Category Mapping'!$A$28:$A$39,0),1))</f>
        <v>13650000000.000002</v>
      </c>
    </row>
    <row r="658" spans="1:26" x14ac:dyDescent="0.3">
      <c r="A658">
        <f t="shared" ref="A658:E658" si="123">A78</f>
        <v>4</v>
      </c>
      <c r="B658" t="str">
        <f t="shared" si="123"/>
        <v>Spring</v>
      </c>
      <c r="C658" t="str">
        <f t="shared" si="123"/>
        <v>h3</v>
      </c>
      <c r="D658" t="str">
        <f t="shared" si="123"/>
        <v>Hour2</v>
      </c>
      <c r="E658" t="str">
        <f t="shared" si="123"/>
        <v>Weekday</v>
      </c>
      <c r="F658" s="27">
        <f>F78*IF($E658="weekday",INDEX('Category Mapping'!$F$28:$F$39,MATCH('Summarized Source Data'!$A658,'Category Mapping'!$A$28:$A$39,0),1),INDEX('Category Mapping'!$E$28:$E$39,MATCH($A658,'Category Mapping'!$A$28:$A$39,0),1))</f>
        <v>122057121.42857143</v>
      </c>
      <c r="G658" s="27">
        <f>G78*IF($E658="weekday",INDEX('Category Mapping'!$F$28:$F$39,MATCH('Summarized Source Data'!$A658,'Category Mapping'!$A$28:$A$39,0),1),INDEX('Category Mapping'!$E$28:$E$39,MATCH($A658,'Category Mapping'!$A$28:$A$39,0),1))</f>
        <v>820542.85714285728</v>
      </c>
      <c r="H658" s="27">
        <f>H78*IF($E658="weekday",INDEX('Category Mapping'!$F$28:$F$39,MATCH('Summarized Source Data'!$A658,'Category Mapping'!$A$28:$A$39,0),1),INDEX('Category Mapping'!$E$28:$E$39,MATCH($A658,'Category Mapping'!$A$28:$A$39,0),1))</f>
        <v>0</v>
      </c>
      <c r="I658" s="27">
        <f>I78*IF($E658="weekday",INDEX('Category Mapping'!$F$28:$F$39,MATCH('Summarized Source Data'!$A658,'Category Mapping'!$A$28:$A$39,0),1),INDEX('Category Mapping'!$E$28:$E$39,MATCH($A658,'Category Mapping'!$A$28:$A$39,0),1))</f>
        <v>203479371.42857146</v>
      </c>
      <c r="J658" s="27">
        <f>J78*IF($E658="weekday",INDEX('Category Mapping'!$F$28:$F$39,MATCH('Summarized Source Data'!$A658,'Category Mapping'!$A$28:$A$39,0),1),INDEX('Category Mapping'!$E$28:$E$39,MATCH($A658,'Category Mapping'!$A$28:$A$39,0),1))</f>
        <v>907928678.57142866</v>
      </c>
      <c r="K658" s="27">
        <f>K78*IF($E658="weekday",INDEX('Category Mapping'!$F$28:$F$39,MATCH('Summarized Source Data'!$A658,'Category Mapping'!$A$28:$A$39,0),1),INDEX('Category Mapping'!$E$28:$E$39,MATCH($A658,'Category Mapping'!$A$28:$A$39,0),1))</f>
        <v>907928678.57142866</v>
      </c>
      <c r="L658" s="27">
        <f>L78*IF($E658="weekday",INDEX('Category Mapping'!$F$28:$F$39,MATCH('Summarized Source Data'!$A658,'Category Mapping'!$A$28:$A$39,0),1),INDEX('Category Mapping'!$E$28:$E$39,MATCH($A658,'Category Mapping'!$A$28:$A$39,0),1))</f>
        <v>379285714.28571433</v>
      </c>
      <c r="M658" s="27">
        <f>M78*IF($E658="weekday",INDEX('Category Mapping'!$F$28:$F$39,MATCH('Summarized Source Data'!$A658,'Category Mapping'!$A$28:$A$39,0),1),INDEX('Category Mapping'!$E$28:$E$39,MATCH($A658,'Category Mapping'!$A$28:$A$39,0),1))</f>
        <v>8374414.2857142864</v>
      </c>
      <c r="N658" s="27">
        <f>N78*IF($E658="weekday",INDEX('Category Mapping'!$F$28:$F$39,MATCH('Summarized Source Data'!$A658,'Category Mapping'!$A$28:$A$39,0),1),INDEX('Category Mapping'!$E$28:$E$39,MATCH($A658,'Category Mapping'!$A$28:$A$39,0),1))</f>
        <v>0</v>
      </c>
      <c r="O658" s="27">
        <f>O78*IF($E658="weekday",INDEX('Category Mapping'!$F$28:$F$39,MATCH('Summarized Source Data'!$A658,'Category Mapping'!$A$28:$A$39,0),1),INDEX('Category Mapping'!$E$28:$E$39,MATCH($A658,'Category Mapping'!$A$28:$A$39,0),1))</f>
        <v>3190911300.0000005</v>
      </c>
      <c r="P658" s="27">
        <f>P78*IF($E658="weekday",INDEX('Category Mapping'!$F$28:$F$39,MATCH('Summarized Source Data'!$A658,'Category Mapping'!$A$28:$A$39,0),1),INDEX('Category Mapping'!$E$28:$E$39,MATCH($A658,'Category Mapping'!$A$28:$A$39,0),1))</f>
        <v>3190911300.0000005</v>
      </c>
      <c r="Q658" s="27">
        <f>Q78*IF($E658="weekday",INDEX('Category Mapping'!$F$28:$F$39,MATCH('Summarized Source Data'!$A658,'Category Mapping'!$A$28:$A$39,0),1),INDEX('Category Mapping'!$E$28:$E$39,MATCH($A658,'Category Mapping'!$A$28:$A$39,0),1))</f>
        <v>3190911300.0000005</v>
      </c>
      <c r="R658" s="27">
        <f>R78*IF($E658="weekday",INDEX('Category Mapping'!$F$28:$F$39,MATCH('Summarized Source Data'!$A658,'Category Mapping'!$A$28:$A$39,0),1),INDEX('Category Mapping'!$E$28:$E$39,MATCH($A658,'Category Mapping'!$A$28:$A$39,0),1))</f>
        <v>97654007.142857149</v>
      </c>
      <c r="S658" s="27">
        <f>S78*IF($E658="weekday",INDEX('Category Mapping'!$F$28:$F$39,MATCH('Summarized Source Data'!$A658,'Category Mapping'!$A$28:$A$39,0),1),INDEX('Category Mapping'!$E$28:$E$39,MATCH($A658,'Category Mapping'!$A$28:$A$39,0),1))</f>
        <v>97654007.142857149</v>
      </c>
      <c r="T658" s="27">
        <f>T78*IF($E658="weekday",INDEX('Category Mapping'!$F$28:$F$39,MATCH('Summarized Source Data'!$A658,'Category Mapping'!$A$28:$A$39,0),1),INDEX('Category Mapping'!$E$28:$E$39,MATCH($A658,'Category Mapping'!$A$28:$A$39,0),1))</f>
        <v>97654007.142857149</v>
      </c>
      <c r="U658" s="27">
        <f>U78*IF($E658="weekday",INDEX('Category Mapping'!$F$28:$F$39,MATCH('Summarized Source Data'!$A658,'Category Mapping'!$A$28:$A$39,0),1),INDEX('Category Mapping'!$E$28:$E$39,MATCH($A658,'Category Mapping'!$A$28:$A$39,0),1))</f>
        <v>97654007.142857149</v>
      </c>
      <c r="V658" s="27">
        <f>V78*IF($E658="weekday",INDEX('Category Mapping'!$F$28:$F$39,MATCH('Summarized Source Data'!$A658,'Category Mapping'!$A$28:$A$39,0),1),INDEX('Category Mapping'!$E$28:$E$39,MATCH($A658,'Category Mapping'!$A$28:$A$39,0),1))</f>
        <v>97654007.142857149</v>
      </c>
      <c r="W658" s="27">
        <f>W78*IF($E658="weekday",INDEX('Category Mapping'!$F$28:$F$39,MATCH('Summarized Source Data'!$A658,'Category Mapping'!$A$28:$A$39,0),1),INDEX('Category Mapping'!$E$28:$E$39,MATCH($A658,'Category Mapping'!$A$28:$A$39,0),1))</f>
        <v>97654007.142857149</v>
      </c>
      <c r="X658" s="27">
        <f>X78*IF($E658="weekday",INDEX('Category Mapping'!$F$28:$F$39,MATCH('Summarized Source Data'!$A658,'Category Mapping'!$A$28:$A$39,0),1),INDEX('Category Mapping'!$E$28:$E$39,MATCH($A658,'Category Mapping'!$A$28:$A$39,0),1))</f>
        <v>13650000000.000002</v>
      </c>
      <c r="Y658" s="27">
        <f>Y78*IF($E658="weekday",INDEX('Category Mapping'!$F$28:$F$39,MATCH('Summarized Source Data'!$A658,'Category Mapping'!$A$28:$A$39,0),1),INDEX('Category Mapping'!$E$28:$E$39,MATCH($A658,'Category Mapping'!$A$28:$A$39,0),1))</f>
        <v>13650000000.000002</v>
      </c>
      <c r="Z658" s="27">
        <f>Z78*IF($E658="weekday",INDEX('Category Mapping'!$F$28:$F$39,MATCH('Summarized Source Data'!$A658,'Category Mapping'!$A$28:$A$39,0),1),INDEX('Category Mapping'!$E$28:$E$39,MATCH($A658,'Category Mapping'!$A$28:$A$39,0),1))</f>
        <v>13650000000.000002</v>
      </c>
    </row>
    <row r="659" spans="1:26" x14ac:dyDescent="0.3">
      <c r="A659">
        <f t="shared" ref="A659:E659" si="124">A79</f>
        <v>4</v>
      </c>
      <c r="B659" t="str">
        <f t="shared" si="124"/>
        <v>Spring</v>
      </c>
      <c r="C659" t="str">
        <f t="shared" si="124"/>
        <v>h4</v>
      </c>
      <c r="D659" t="str">
        <f t="shared" si="124"/>
        <v>Hour3</v>
      </c>
      <c r="E659" t="str">
        <f t="shared" si="124"/>
        <v>Weekday</v>
      </c>
      <c r="F659" s="27">
        <f>F79*IF($E659="weekday",INDEX('Category Mapping'!$F$28:$F$39,MATCH('Summarized Source Data'!$A659,'Category Mapping'!$A$28:$A$39,0),1),INDEX('Category Mapping'!$E$28:$E$39,MATCH($A659,'Category Mapping'!$A$28:$A$39,0),1))</f>
        <v>120647614.2857143</v>
      </c>
      <c r="G659" s="27">
        <f>G79*IF($E659="weekday",INDEX('Category Mapping'!$F$28:$F$39,MATCH('Summarized Source Data'!$A659,'Category Mapping'!$A$28:$A$39,0),1),INDEX('Category Mapping'!$E$28:$E$39,MATCH($A659,'Category Mapping'!$A$28:$A$39,0),1))</f>
        <v>821014.2857142858</v>
      </c>
      <c r="H659" s="27">
        <f>H79*IF($E659="weekday",INDEX('Category Mapping'!$F$28:$F$39,MATCH('Summarized Source Data'!$A659,'Category Mapping'!$A$28:$A$39,0),1),INDEX('Category Mapping'!$E$28:$E$39,MATCH($A659,'Category Mapping'!$A$28:$A$39,0),1))</f>
        <v>0</v>
      </c>
      <c r="I659" s="27">
        <f>I79*IF($E659="weekday",INDEX('Category Mapping'!$F$28:$F$39,MATCH('Summarized Source Data'!$A659,'Category Mapping'!$A$28:$A$39,0),1),INDEX('Category Mapping'!$E$28:$E$39,MATCH($A659,'Category Mapping'!$A$28:$A$39,0),1))</f>
        <v>208015457.14285716</v>
      </c>
      <c r="J659" s="27">
        <f>J79*IF($E659="weekday",INDEX('Category Mapping'!$F$28:$F$39,MATCH('Summarized Source Data'!$A659,'Category Mapping'!$A$28:$A$39,0),1),INDEX('Category Mapping'!$E$28:$E$39,MATCH($A659,'Category Mapping'!$A$28:$A$39,0),1))</f>
        <v>784801628.57142866</v>
      </c>
      <c r="K659" s="27">
        <f>K79*IF($E659="weekday",INDEX('Category Mapping'!$F$28:$F$39,MATCH('Summarized Source Data'!$A659,'Category Mapping'!$A$28:$A$39,0),1),INDEX('Category Mapping'!$E$28:$E$39,MATCH($A659,'Category Mapping'!$A$28:$A$39,0),1))</f>
        <v>784801628.57142866</v>
      </c>
      <c r="L659" s="27">
        <f>L79*IF($E659="weekday",INDEX('Category Mapping'!$F$28:$F$39,MATCH('Summarized Source Data'!$A659,'Category Mapping'!$A$28:$A$39,0),1),INDEX('Category Mapping'!$E$28:$E$39,MATCH($A659,'Category Mapping'!$A$28:$A$39,0),1))</f>
        <v>385714285.71428573</v>
      </c>
      <c r="M659" s="27">
        <f>M79*IF($E659="weekday",INDEX('Category Mapping'!$F$28:$F$39,MATCH('Summarized Source Data'!$A659,'Category Mapping'!$A$28:$A$39,0),1),INDEX('Category Mapping'!$E$28:$E$39,MATCH($A659,'Category Mapping'!$A$28:$A$39,0),1))</f>
        <v>8252057.1428571437</v>
      </c>
      <c r="N659" s="27">
        <f>N79*IF($E659="weekday",INDEX('Category Mapping'!$F$28:$F$39,MATCH('Summarized Source Data'!$A659,'Category Mapping'!$A$28:$A$39,0),1),INDEX('Category Mapping'!$E$28:$E$39,MATCH($A659,'Category Mapping'!$A$28:$A$39,0),1))</f>
        <v>0</v>
      </c>
      <c r="O659" s="27">
        <f>O79*IF($E659="weekday",INDEX('Category Mapping'!$F$28:$F$39,MATCH('Summarized Source Data'!$A659,'Category Mapping'!$A$28:$A$39,0),1),INDEX('Category Mapping'!$E$28:$E$39,MATCH($A659,'Category Mapping'!$A$28:$A$39,0),1))</f>
        <v>3334605085.7142859</v>
      </c>
      <c r="P659" s="27">
        <f>P79*IF($E659="weekday",INDEX('Category Mapping'!$F$28:$F$39,MATCH('Summarized Source Data'!$A659,'Category Mapping'!$A$28:$A$39,0),1),INDEX('Category Mapping'!$E$28:$E$39,MATCH($A659,'Category Mapping'!$A$28:$A$39,0),1))</f>
        <v>3334605085.7142859</v>
      </c>
      <c r="Q659" s="27">
        <f>Q79*IF($E659="weekday",INDEX('Category Mapping'!$F$28:$F$39,MATCH('Summarized Source Data'!$A659,'Category Mapping'!$A$28:$A$39,0),1),INDEX('Category Mapping'!$E$28:$E$39,MATCH($A659,'Category Mapping'!$A$28:$A$39,0),1))</f>
        <v>3334605085.7142859</v>
      </c>
      <c r="R659" s="27">
        <f>R79*IF($E659="weekday",INDEX('Category Mapping'!$F$28:$F$39,MATCH('Summarized Source Data'!$A659,'Category Mapping'!$A$28:$A$39,0),1),INDEX('Category Mapping'!$E$28:$E$39,MATCH($A659,'Category Mapping'!$A$28:$A$39,0),1))</f>
        <v>97997635.714285716</v>
      </c>
      <c r="S659" s="27">
        <f>S79*IF($E659="weekday",INDEX('Category Mapping'!$F$28:$F$39,MATCH('Summarized Source Data'!$A659,'Category Mapping'!$A$28:$A$39,0),1),INDEX('Category Mapping'!$E$28:$E$39,MATCH($A659,'Category Mapping'!$A$28:$A$39,0),1))</f>
        <v>97997635.714285716</v>
      </c>
      <c r="T659" s="27">
        <f>T79*IF($E659="weekday",INDEX('Category Mapping'!$F$28:$F$39,MATCH('Summarized Source Data'!$A659,'Category Mapping'!$A$28:$A$39,0),1),INDEX('Category Mapping'!$E$28:$E$39,MATCH($A659,'Category Mapping'!$A$28:$A$39,0),1))</f>
        <v>97997635.714285716</v>
      </c>
      <c r="U659" s="27">
        <f>U79*IF($E659="weekday",INDEX('Category Mapping'!$F$28:$F$39,MATCH('Summarized Source Data'!$A659,'Category Mapping'!$A$28:$A$39,0),1),INDEX('Category Mapping'!$E$28:$E$39,MATCH($A659,'Category Mapping'!$A$28:$A$39,0),1))</f>
        <v>97997635.714285716</v>
      </c>
      <c r="V659" s="27">
        <f>V79*IF($E659="weekday",INDEX('Category Mapping'!$F$28:$F$39,MATCH('Summarized Source Data'!$A659,'Category Mapping'!$A$28:$A$39,0),1),INDEX('Category Mapping'!$E$28:$E$39,MATCH($A659,'Category Mapping'!$A$28:$A$39,0),1))</f>
        <v>97997635.714285716</v>
      </c>
      <c r="W659" s="27">
        <f>W79*IF($E659="weekday",INDEX('Category Mapping'!$F$28:$F$39,MATCH('Summarized Source Data'!$A659,'Category Mapping'!$A$28:$A$39,0),1),INDEX('Category Mapping'!$E$28:$E$39,MATCH($A659,'Category Mapping'!$A$28:$A$39,0),1))</f>
        <v>97997635.714285716</v>
      </c>
      <c r="X659" s="27">
        <f>X79*IF($E659="weekday",INDEX('Category Mapping'!$F$28:$F$39,MATCH('Summarized Source Data'!$A659,'Category Mapping'!$A$28:$A$39,0),1),INDEX('Category Mapping'!$E$28:$E$39,MATCH($A659,'Category Mapping'!$A$28:$A$39,0),1))</f>
        <v>13650000000.000002</v>
      </c>
      <c r="Y659" s="27">
        <f>Y79*IF($E659="weekday",INDEX('Category Mapping'!$F$28:$F$39,MATCH('Summarized Source Data'!$A659,'Category Mapping'!$A$28:$A$39,0),1),INDEX('Category Mapping'!$E$28:$E$39,MATCH($A659,'Category Mapping'!$A$28:$A$39,0),1))</f>
        <v>13650000000.000002</v>
      </c>
      <c r="Z659" s="27">
        <f>Z79*IF($E659="weekday",INDEX('Category Mapping'!$F$28:$F$39,MATCH('Summarized Source Data'!$A659,'Category Mapping'!$A$28:$A$39,0),1),INDEX('Category Mapping'!$E$28:$E$39,MATCH($A659,'Category Mapping'!$A$28:$A$39,0),1))</f>
        <v>13650000000.000002</v>
      </c>
    </row>
    <row r="660" spans="1:26" x14ac:dyDescent="0.3">
      <c r="A660">
        <f t="shared" ref="A660:E660" si="125">A80</f>
        <v>4</v>
      </c>
      <c r="B660" t="str">
        <f t="shared" si="125"/>
        <v>Spring</v>
      </c>
      <c r="C660" t="str">
        <f t="shared" si="125"/>
        <v>h5</v>
      </c>
      <c r="D660" t="str">
        <f t="shared" si="125"/>
        <v>Hour4</v>
      </c>
      <c r="E660" t="str">
        <f t="shared" si="125"/>
        <v>Weekday</v>
      </c>
      <c r="F660" s="27">
        <f>F80*IF($E660="weekday",INDEX('Category Mapping'!$F$28:$F$39,MATCH('Summarized Source Data'!$A660,'Category Mapping'!$A$28:$A$39,0),1),INDEX('Category Mapping'!$E$28:$E$39,MATCH($A660,'Category Mapping'!$A$28:$A$39,0),1))</f>
        <v>116509071.42857143</v>
      </c>
      <c r="G660" s="27">
        <f>G80*IF($E660="weekday",INDEX('Category Mapping'!$F$28:$F$39,MATCH('Summarized Source Data'!$A660,'Category Mapping'!$A$28:$A$39,0),1),INDEX('Category Mapping'!$E$28:$E$39,MATCH($A660,'Category Mapping'!$A$28:$A$39,0),1))</f>
        <v>800228.57142857148</v>
      </c>
      <c r="H660" s="27">
        <f>H80*IF($E660="weekday",INDEX('Category Mapping'!$F$28:$F$39,MATCH('Summarized Source Data'!$A660,'Category Mapping'!$A$28:$A$39,0),1),INDEX('Category Mapping'!$E$28:$E$39,MATCH($A660,'Category Mapping'!$A$28:$A$39,0),1))</f>
        <v>0</v>
      </c>
      <c r="I660" s="27">
        <f>I80*IF($E660="weekday",INDEX('Category Mapping'!$F$28:$F$39,MATCH('Summarized Source Data'!$A660,'Category Mapping'!$A$28:$A$39,0),1),INDEX('Category Mapping'!$E$28:$E$39,MATCH($A660,'Category Mapping'!$A$28:$A$39,0),1))</f>
        <v>267857142.8571429</v>
      </c>
      <c r="J660" s="27">
        <f>J80*IF($E660="weekday",INDEX('Category Mapping'!$F$28:$F$39,MATCH('Summarized Source Data'!$A660,'Category Mapping'!$A$28:$A$39,0),1),INDEX('Category Mapping'!$E$28:$E$39,MATCH($A660,'Category Mapping'!$A$28:$A$39,0),1))</f>
        <v>827690700.00000012</v>
      </c>
      <c r="K660" s="27">
        <f>K80*IF($E660="weekday",INDEX('Category Mapping'!$F$28:$F$39,MATCH('Summarized Source Data'!$A660,'Category Mapping'!$A$28:$A$39,0),1),INDEX('Category Mapping'!$E$28:$E$39,MATCH($A660,'Category Mapping'!$A$28:$A$39,0),1))</f>
        <v>827690700.00000012</v>
      </c>
      <c r="L660" s="27">
        <f>L80*IF($E660="weekday",INDEX('Category Mapping'!$F$28:$F$39,MATCH('Summarized Source Data'!$A660,'Category Mapping'!$A$28:$A$39,0),1),INDEX('Category Mapping'!$E$28:$E$39,MATCH($A660,'Category Mapping'!$A$28:$A$39,0),1))</f>
        <v>377142857.14285719</v>
      </c>
      <c r="M660" s="27">
        <f>M80*IF($E660="weekday",INDEX('Category Mapping'!$F$28:$F$39,MATCH('Summarized Source Data'!$A660,'Category Mapping'!$A$28:$A$39,0),1),INDEX('Category Mapping'!$E$28:$E$39,MATCH($A660,'Category Mapping'!$A$28:$A$39,0),1))</f>
        <v>8225700.0000000009</v>
      </c>
      <c r="N660" s="27">
        <f>N80*IF($E660="weekday",INDEX('Category Mapping'!$F$28:$F$39,MATCH('Summarized Source Data'!$A660,'Category Mapping'!$A$28:$A$39,0),1),INDEX('Category Mapping'!$E$28:$E$39,MATCH($A660,'Category Mapping'!$A$28:$A$39,0),1))</f>
        <v>0</v>
      </c>
      <c r="O660" s="27">
        <f>O80*IF($E660="weekday",INDEX('Category Mapping'!$F$28:$F$39,MATCH('Summarized Source Data'!$A660,'Category Mapping'!$A$28:$A$39,0),1),INDEX('Category Mapping'!$E$28:$E$39,MATCH($A660,'Category Mapping'!$A$28:$A$39,0),1))</f>
        <v>3536060014.2857146</v>
      </c>
      <c r="P660" s="27">
        <f>P80*IF($E660="weekday",INDEX('Category Mapping'!$F$28:$F$39,MATCH('Summarized Source Data'!$A660,'Category Mapping'!$A$28:$A$39,0),1),INDEX('Category Mapping'!$E$28:$E$39,MATCH($A660,'Category Mapping'!$A$28:$A$39,0),1))</f>
        <v>3536060014.2857146</v>
      </c>
      <c r="Q660" s="27">
        <f>Q80*IF($E660="weekday",INDEX('Category Mapping'!$F$28:$F$39,MATCH('Summarized Source Data'!$A660,'Category Mapping'!$A$28:$A$39,0),1),INDEX('Category Mapping'!$E$28:$E$39,MATCH($A660,'Category Mapping'!$A$28:$A$39,0),1))</f>
        <v>3536060014.2857146</v>
      </c>
      <c r="R660" s="27">
        <f>R80*IF($E660="weekday",INDEX('Category Mapping'!$F$28:$F$39,MATCH('Summarized Source Data'!$A660,'Category Mapping'!$A$28:$A$39,0),1),INDEX('Category Mapping'!$E$28:$E$39,MATCH($A660,'Category Mapping'!$A$28:$A$39,0),1))</f>
        <v>97623214.285714298</v>
      </c>
      <c r="S660" s="27">
        <f>S80*IF($E660="weekday",INDEX('Category Mapping'!$F$28:$F$39,MATCH('Summarized Source Data'!$A660,'Category Mapping'!$A$28:$A$39,0),1),INDEX('Category Mapping'!$E$28:$E$39,MATCH($A660,'Category Mapping'!$A$28:$A$39,0),1))</f>
        <v>97623214.285714298</v>
      </c>
      <c r="T660" s="27">
        <f>T80*IF($E660="weekday",INDEX('Category Mapping'!$F$28:$F$39,MATCH('Summarized Source Data'!$A660,'Category Mapping'!$A$28:$A$39,0),1),INDEX('Category Mapping'!$E$28:$E$39,MATCH($A660,'Category Mapping'!$A$28:$A$39,0),1))</f>
        <v>97623214.285714298</v>
      </c>
      <c r="U660" s="27">
        <f>U80*IF($E660="weekday",INDEX('Category Mapping'!$F$28:$F$39,MATCH('Summarized Source Data'!$A660,'Category Mapping'!$A$28:$A$39,0),1),INDEX('Category Mapping'!$E$28:$E$39,MATCH($A660,'Category Mapping'!$A$28:$A$39,0),1))</f>
        <v>97623214.285714298</v>
      </c>
      <c r="V660" s="27">
        <f>V80*IF($E660="weekday",INDEX('Category Mapping'!$F$28:$F$39,MATCH('Summarized Source Data'!$A660,'Category Mapping'!$A$28:$A$39,0),1),INDEX('Category Mapping'!$E$28:$E$39,MATCH($A660,'Category Mapping'!$A$28:$A$39,0),1))</f>
        <v>97623214.285714298</v>
      </c>
      <c r="W660" s="27">
        <f>W80*IF($E660="weekday",INDEX('Category Mapping'!$F$28:$F$39,MATCH('Summarized Source Data'!$A660,'Category Mapping'!$A$28:$A$39,0),1),INDEX('Category Mapping'!$E$28:$E$39,MATCH($A660,'Category Mapping'!$A$28:$A$39,0),1))</f>
        <v>97623214.285714298</v>
      </c>
      <c r="X660" s="27">
        <f>X80*IF($E660="weekday",INDEX('Category Mapping'!$F$28:$F$39,MATCH('Summarized Source Data'!$A660,'Category Mapping'!$A$28:$A$39,0),1),INDEX('Category Mapping'!$E$28:$E$39,MATCH($A660,'Category Mapping'!$A$28:$A$39,0),1))</f>
        <v>13692857142.857143</v>
      </c>
      <c r="Y660" s="27">
        <f>Y80*IF($E660="weekday",INDEX('Category Mapping'!$F$28:$F$39,MATCH('Summarized Source Data'!$A660,'Category Mapping'!$A$28:$A$39,0),1),INDEX('Category Mapping'!$E$28:$E$39,MATCH($A660,'Category Mapping'!$A$28:$A$39,0),1))</f>
        <v>13692857142.857143</v>
      </c>
      <c r="Z660" s="27">
        <f>Z80*IF($E660="weekday",INDEX('Category Mapping'!$F$28:$F$39,MATCH('Summarized Source Data'!$A660,'Category Mapping'!$A$28:$A$39,0),1),INDEX('Category Mapping'!$E$28:$E$39,MATCH($A660,'Category Mapping'!$A$28:$A$39,0),1))</f>
        <v>13692857142.857143</v>
      </c>
    </row>
    <row r="661" spans="1:26" x14ac:dyDescent="0.3">
      <c r="A661">
        <f t="shared" ref="A661:E661" si="126">A81</f>
        <v>4</v>
      </c>
      <c r="B661" t="str">
        <f t="shared" si="126"/>
        <v>Spring</v>
      </c>
      <c r="C661" t="str">
        <f t="shared" si="126"/>
        <v>h6</v>
      </c>
      <c r="D661" t="str">
        <f t="shared" si="126"/>
        <v>Hour5</v>
      </c>
      <c r="E661" t="str">
        <f t="shared" si="126"/>
        <v>Weekday</v>
      </c>
      <c r="F661" s="27">
        <f>F81*IF($E661="weekday",INDEX('Category Mapping'!$F$28:$F$39,MATCH('Summarized Source Data'!$A661,'Category Mapping'!$A$28:$A$39,0),1),INDEX('Category Mapping'!$E$28:$E$39,MATCH($A661,'Category Mapping'!$A$28:$A$39,0),1))</f>
        <v>162460521.42857143</v>
      </c>
      <c r="G661" s="27">
        <f>G81*IF($E661="weekday",INDEX('Category Mapping'!$F$28:$F$39,MATCH('Summarized Source Data'!$A661,'Category Mapping'!$A$28:$A$39,0),1),INDEX('Category Mapping'!$E$28:$E$39,MATCH($A661,'Category Mapping'!$A$28:$A$39,0),1))</f>
        <v>735792.85714285716</v>
      </c>
      <c r="H661" s="27">
        <f>H81*IF($E661="weekday",INDEX('Category Mapping'!$F$28:$F$39,MATCH('Summarized Source Data'!$A661,'Category Mapping'!$A$28:$A$39,0),1),INDEX('Category Mapping'!$E$28:$E$39,MATCH($A661,'Category Mapping'!$A$28:$A$39,0),1))</f>
        <v>0</v>
      </c>
      <c r="I661" s="27">
        <f>I81*IF($E661="weekday",INDEX('Category Mapping'!$F$28:$F$39,MATCH('Summarized Source Data'!$A661,'Category Mapping'!$A$28:$A$39,0),1),INDEX('Category Mapping'!$E$28:$E$39,MATCH($A661,'Category Mapping'!$A$28:$A$39,0),1))</f>
        <v>460714285.71428573</v>
      </c>
      <c r="J661" s="27">
        <f>J81*IF($E661="weekday",INDEX('Category Mapping'!$F$28:$F$39,MATCH('Summarized Source Data'!$A661,'Category Mapping'!$A$28:$A$39,0),1),INDEX('Category Mapping'!$E$28:$E$39,MATCH($A661,'Category Mapping'!$A$28:$A$39,0),1))</f>
        <v>1141803685.7142859</v>
      </c>
      <c r="K661" s="27">
        <f>K81*IF($E661="weekday",INDEX('Category Mapping'!$F$28:$F$39,MATCH('Summarized Source Data'!$A661,'Category Mapping'!$A$28:$A$39,0),1),INDEX('Category Mapping'!$E$28:$E$39,MATCH($A661,'Category Mapping'!$A$28:$A$39,0),1))</f>
        <v>1141803685.7142859</v>
      </c>
      <c r="L661" s="27">
        <f>L81*IF($E661="weekday",INDEX('Category Mapping'!$F$28:$F$39,MATCH('Summarized Source Data'!$A661,'Category Mapping'!$A$28:$A$39,0),1),INDEX('Category Mapping'!$E$28:$E$39,MATCH($A661,'Category Mapping'!$A$28:$A$39,0),1))</f>
        <v>627857142.85714293</v>
      </c>
      <c r="M661" s="27">
        <f>M81*IF($E661="weekday",INDEX('Category Mapping'!$F$28:$F$39,MATCH('Summarized Source Data'!$A661,'Category Mapping'!$A$28:$A$39,0),1),INDEX('Category Mapping'!$E$28:$E$39,MATCH($A661,'Category Mapping'!$A$28:$A$39,0),1))</f>
        <v>8482821.4285714291</v>
      </c>
      <c r="N661" s="27">
        <f>N81*IF($E661="weekday",INDEX('Category Mapping'!$F$28:$F$39,MATCH('Summarized Source Data'!$A661,'Category Mapping'!$A$28:$A$39,0),1),INDEX('Category Mapping'!$E$28:$E$39,MATCH($A661,'Category Mapping'!$A$28:$A$39,0),1))</f>
        <v>0</v>
      </c>
      <c r="O661" s="27">
        <f>O81*IF($E661="weekday",INDEX('Category Mapping'!$F$28:$F$39,MATCH('Summarized Source Data'!$A661,'Category Mapping'!$A$28:$A$39,0),1),INDEX('Category Mapping'!$E$28:$E$39,MATCH($A661,'Category Mapping'!$A$28:$A$39,0),1))</f>
        <v>4120802892.8571434</v>
      </c>
      <c r="P661" s="27">
        <f>P81*IF($E661="weekday",INDEX('Category Mapping'!$F$28:$F$39,MATCH('Summarized Source Data'!$A661,'Category Mapping'!$A$28:$A$39,0),1),INDEX('Category Mapping'!$E$28:$E$39,MATCH($A661,'Category Mapping'!$A$28:$A$39,0),1))</f>
        <v>4120802892.8571434</v>
      </c>
      <c r="Q661" s="27">
        <f>Q81*IF($E661="weekday",INDEX('Category Mapping'!$F$28:$F$39,MATCH('Summarized Source Data'!$A661,'Category Mapping'!$A$28:$A$39,0),1),INDEX('Category Mapping'!$E$28:$E$39,MATCH($A661,'Category Mapping'!$A$28:$A$39,0),1))</f>
        <v>4120802892.8571434</v>
      </c>
      <c r="R661" s="27">
        <f>R81*IF($E661="weekday",INDEX('Category Mapping'!$F$28:$F$39,MATCH('Summarized Source Data'!$A661,'Category Mapping'!$A$28:$A$39,0),1),INDEX('Category Mapping'!$E$28:$E$39,MATCH($A661,'Category Mapping'!$A$28:$A$39,0),1))</f>
        <v>100477650.00000001</v>
      </c>
      <c r="S661" s="27">
        <f>S81*IF($E661="weekday",INDEX('Category Mapping'!$F$28:$F$39,MATCH('Summarized Source Data'!$A661,'Category Mapping'!$A$28:$A$39,0),1),INDEX('Category Mapping'!$E$28:$E$39,MATCH($A661,'Category Mapping'!$A$28:$A$39,0),1))</f>
        <v>100477650.00000001</v>
      </c>
      <c r="T661" s="27">
        <f>T81*IF($E661="weekday",INDEX('Category Mapping'!$F$28:$F$39,MATCH('Summarized Source Data'!$A661,'Category Mapping'!$A$28:$A$39,0),1),INDEX('Category Mapping'!$E$28:$E$39,MATCH($A661,'Category Mapping'!$A$28:$A$39,0),1))</f>
        <v>100477650.00000001</v>
      </c>
      <c r="U661" s="27">
        <f>U81*IF($E661="weekday",INDEX('Category Mapping'!$F$28:$F$39,MATCH('Summarized Source Data'!$A661,'Category Mapping'!$A$28:$A$39,0),1),INDEX('Category Mapping'!$E$28:$E$39,MATCH($A661,'Category Mapping'!$A$28:$A$39,0),1))</f>
        <v>100477650.00000001</v>
      </c>
      <c r="V661" s="27">
        <f>V81*IF($E661="weekday",INDEX('Category Mapping'!$F$28:$F$39,MATCH('Summarized Source Data'!$A661,'Category Mapping'!$A$28:$A$39,0),1),INDEX('Category Mapping'!$E$28:$E$39,MATCH($A661,'Category Mapping'!$A$28:$A$39,0),1))</f>
        <v>100477650.00000001</v>
      </c>
      <c r="W661" s="27">
        <f>W81*IF($E661="weekday",INDEX('Category Mapping'!$F$28:$F$39,MATCH('Summarized Source Data'!$A661,'Category Mapping'!$A$28:$A$39,0),1),INDEX('Category Mapping'!$E$28:$E$39,MATCH($A661,'Category Mapping'!$A$28:$A$39,0),1))</f>
        <v>100477650.00000001</v>
      </c>
      <c r="X661" s="27">
        <f>X81*IF($E661="weekday",INDEX('Category Mapping'!$F$28:$F$39,MATCH('Summarized Source Data'!$A661,'Category Mapping'!$A$28:$A$39,0),1),INDEX('Category Mapping'!$E$28:$E$39,MATCH($A661,'Category Mapping'!$A$28:$A$39,0),1))</f>
        <v>13778571428.57143</v>
      </c>
      <c r="Y661" s="27">
        <f>Y81*IF($E661="weekday",INDEX('Category Mapping'!$F$28:$F$39,MATCH('Summarized Source Data'!$A661,'Category Mapping'!$A$28:$A$39,0),1),INDEX('Category Mapping'!$E$28:$E$39,MATCH($A661,'Category Mapping'!$A$28:$A$39,0),1))</f>
        <v>13778571428.57143</v>
      </c>
      <c r="Z661" s="27">
        <f>Z81*IF($E661="weekday",INDEX('Category Mapping'!$F$28:$F$39,MATCH('Summarized Source Data'!$A661,'Category Mapping'!$A$28:$A$39,0),1),INDEX('Category Mapping'!$E$28:$E$39,MATCH($A661,'Category Mapping'!$A$28:$A$39,0),1))</f>
        <v>13778571428.57143</v>
      </c>
    </row>
    <row r="662" spans="1:26" x14ac:dyDescent="0.3">
      <c r="A662">
        <f t="shared" ref="A662:E662" si="127">A82</f>
        <v>4</v>
      </c>
      <c r="B662" t="str">
        <f t="shared" si="127"/>
        <v>Spring</v>
      </c>
      <c r="C662" t="str">
        <f t="shared" si="127"/>
        <v>h7</v>
      </c>
      <c r="D662" t="str">
        <f t="shared" si="127"/>
        <v>Hour6</v>
      </c>
      <c r="E662" t="str">
        <f t="shared" si="127"/>
        <v>Weekday</v>
      </c>
      <c r="F662" s="27">
        <f>F82*IF($E662="weekday",INDEX('Category Mapping'!$F$28:$F$39,MATCH('Summarized Source Data'!$A662,'Category Mapping'!$A$28:$A$39,0),1),INDEX('Category Mapping'!$E$28:$E$39,MATCH($A662,'Category Mapping'!$A$28:$A$39,0),1))</f>
        <v>181003778.5714286</v>
      </c>
      <c r="G662" s="27">
        <f>G82*IF($E662="weekday",INDEX('Category Mapping'!$F$28:$F$39,MATCH('Summarized Source Data'!$A662,'Category Mapping'!$A$28:$A$39,0),1),INDEX('Category Mapping'!$E$28:$E$39,MATCH($A662,'Category Mapping'!$A$28:$A$39,0),1))</f>
        <v>601092.85714285716</v>
      </c>
      <c r="H662" s="27">
        <f>H82*IF($E662="weekday",INDEX('Category Mapping'!$F$28:$F$39,MATCH('Summarized Source Data'!$A662,'Category Mapping'!$A$28:$A$39,0),1),INDEX('Category Mapping'!$E$28:$E$39,MATCH($A662,'Category Mapping'!$A$28:$A$39,0),1))</f>
        <v>0</v>
      </c>
      <c r="I662" s="27">
        <f>I82*IF($E662="weekday",INDEX('Category Mapping'!$F$28:$F$39,MATCH('Summarized Source Data'!$A662,'Category Mapping'!$A$28:$A$39,0),1),INDEX('Category Mapping'!$E$28:$E$39,MATCH($A662,'Category Mapping'!$A$28:$A$39,0),1))</f>
        <v>319285714.28571433</v>
      </c>
      <c r="J662" s="27">
        <f>J82*IF($E662="weekday",INDEX('Category Mapping'!$F$28:$F$39,MATCH('Summarized Source Data'!$A662,'Category Mapping'!$A$28:$A$39,0),1),INDEX('Category Mapping'!$E$28:$E$39,MATCH($A662,'Category Mapping'!$A$28:$A$39,0),1))</f>
        <v>1813395128.5714288</v>
      </c>
      <c r="K662" s="27">
        <f>K82*IF($E662="weekday",INDEX('Category Mapping'!$F$28:$F$39,MATCH('Summarized Source Data'!$A662,'Category Mapping'!$A$28:$A$39,0),1),INDEX('Category Mapping'!$E$28:$E$39,MATCH($A662,'Category Mapping'!$A$28:$A$39,0),1))</f>
        <v>1813395128.5714288</v>
      </c>
      <c r="L662" s="27">
        <f>L82*IF($E662="weekday",INDEX('Category Mapping'!$F$28:$F$39,MATCH('Summarized Source Data'!$A662,'Category Mapping'!$A$28:$A$39,0),1),INDEX('Category Mapping'!$E$28:$E$39,MATCH($A662,'Category Mapping'!$A$28:$A$39,0),1))</f>
        <v>1161428571.4285715</v>
      </c>
      <c r="M662" s="27">
        <f>M82*IF($E662="weekday",INDEX('Category Mapping'!$F$28:$F$39,MATCH('Summarized Source Data'!$A662,'Category Mapping'!$A$28:$A$39,0),1),INDEX('Category Mapping'!$E$28:$E$39,MATCH($A662,'Category Mapping'!$A$28:$A$39,0),1))</f>
        <v>9402471.4285714291</v>
      </c>
      <c r="N662" s="27">
        <f>N82*IF($E662="weekday",INDEX('Category Mapping'!$F$28:$F$39,MATCH('Summarized Source Data'!$A662,'Category Mapping'!$A$28:$A$39,0),1),INDEX('Category Mapping'!$E$28:$E$39,MATCH($A662,'Category Mapping'!$A$28:$A$39,0),1))</f>
        <v>0</v>
      </c>
      <c r="O662" s="27">
        <f>O82*IF($E662="weekday",INDEX('Category Mapping'!$F$28:$F$39,MATCH('Summarized Source Data'!$A662,'Category Mapping'!$A$28:$A$39,0),1),INDEX('Category Mapping'!$E$28:$E$39,MATCH($A662,'Category Mapping'!$A$28:$A$39,0),1))</f>
        <v>6179168957.1428576</v>
      </c>
      <c r="P662" s="27">
        <f>P82*IF($E662="weekday",INDEX('Category Mapping'!$F$28:$F$39,MATCH('Summarized Source Data'!$A662,'Category Mapping'!$A$28:$A$39,0),1),INDEX('Category Mapping'!$E$28:$E$39,MATCH($A662,'Category Mapping'!$A$28:$A$39,0),1))</f>
        <v>6179168957.1428576</v>
      </c>
      <c r="Q662" s="27">
        <f>Q82*IF($E662="weekday",INDEX('Category Mapping'!$F$28:$F$39,MATCH('Summarized Source Data'!$A662,'Category Mapping'!$A$28:$A$39,0),1),INDEX('Category Mapping'!$E$28:$E$39,MATCH($A662,'Category Mapping'!$A$28:$A$39,0),1))</f>
        <v>6179168957.1428576</v>
      </c>
      <c r="R662" s="27">
        <f>R82*IF($E662="weekday",INDEX('Category Mapping'!$F$28:$F$39,MATCH('Summarized Source Data'!$A662,'Category Mapping'!$A$28:$A$39,0),1),INDEX('Category Mapping'!$E$28:$E$39,MATCH($A662,'Category Mapping'!$A$28:$A$39,0),1))</f>
        <v>151044471.42857143</v>
      </c>
      <c r="S662" s="27">
        <f>S82*IF($E662="weekday",INDEX('Category Mapping'!$F$28:$F$39,MATCH('Summarized Source Data'!$A662,'Category Mapping'!$A$28:$A$39,0),1),INDEX('Category Mapping'!$E$28:$E$39,MATCH($A662,'Category Mapping'!$A$28:$A$39,0),1))</f>
        <v>151044471.42857143</v>
      </c>
      <c r="T662" s="27">
        <f>T82*IF($E662="weekday",INDEX('Category Mapping'!$F$28:$F$39,MATCH('Summarized Source Data'!$A662,'Category Mapping'!$A$28:$A$39,0),1),INDEX('Category Mapping'!$E$28:$E$39,MATCH($A662,'Category Mapping'!$A$28:$A$39,0),1))</f>
        <v>151044471.42857143</v>
      </c>
      <c r="U662" s="27">
        <f>U82*IF($E662="weekday",INDEX('Category Mapping'!$F$28:$F$39,MATCH('Summarized Source Data'!$A662,'Category Mapping'!$A$28:$A$39,0),1),INDEX('Category Mapping'!$E$28:$E$39,MATCH($A662,'Category Mapping'!$A$28:$A$39,0),1))</f>
        <v>151044471.42857143</v>
      </c>
      <c r="V662" s="27">
        <f>V82*IF($E662="weekday",INDEX('Category Mapping'!$F$28:$F$39,MATCH('Summarized Source Data'!$A662,'Category Mapping'!$A$28:$A$39,0),1),INDEX('Category Mapping'!$E$28:$E$39,MATCH($A662,'Category Mapping'!$A$28:$A$39,0),1))</f>
        <v>151044471.42857143</v>
      </c>
      <c r="W662" s="27">
        <f>W82*IF($E662="weekday",INDEX('Category Mapping'!$F$28:$F$39,MATCH('Summarized Source Data'!$A662,'Category Mapping'!$A$28:$A$39,0),1),INDEX('Category Mapping'!$E$28:$E$39,MATCH($A662,'Category Mapping'!$A$28:$A$39,0),1))</f>
        <v>151044471.42857143</v>
      </c>
      <c r="X662" s="27">
        <f>X82*IF($E662="weekday",INDEX('Category Mapping'!$F$28:$F$39,MATCH('Summarized Source Data'!$A662,'Category Mapping'!$A$28:$A$39,0),1),INDEX('Category Mapping'!$E$28:$E$39,MATCH($A662,'Category Mapping'!$A$28:$A$39,0),1))</f>
        <v>13928571428.57143</v>
      </c>
      <c r="Y662" s="27">
        <f>Y82*IF($E662="weekday",INDEX('Category Mapping'!$F$28:$F$39,MATCH('Summarized Source Data'!$A662,'Category Mapping'!$A$28:$A$39,0),1),INDEX('Category Mapping'!$E$28:$E$39,MATCH($A662,'Category Mapping'!$A$28:$A$39,0),1))</f>
        <v>13928571428.57143</v>
      </c>
      <c r="Z662" s="27">
        <f>Z82*IF($E662="weekday",INDEX('Category Mapping'!$F$28:$F$39,MATCH('Summarized Source Data'!$A662,'Category Mapping'!$A$28:$A$39,0),1),INDEX('Category Mapping'!$E$28:$E$39,MATCH($A662,'Category Mapping'!$A$28:$A$39,0),1))</f>
        <v>13928571428.57143</v>
      </c>
    </row>
    <row r="663" spans="1:26" x14ac:dyDescent="0.3">
      <c r="A663">
        <f t="shared" ref="A663:E663" si="128">A83</f>
        <v>4</v>
      </c>
      <c r="B663" t="str">
        <f t="shared" si="128"/>
        <v>Spring</v>
      </c>
      <c r="C663" t="str">
        <f t="shared" si="128"/>
        <v>h8</v>
      </c>
      <c r="D663" t="str">
        <f t="shared" si="128"/>
        <v>Hour7</v>
      </c>
      <c r="E663" t="str">
        <f t="shared" si="128"/>
        <v>Weekday</v>
      </c>
      <c r="F663" s="27">
        <f>F83*IF($E663="weekday",INDEX('Category Mapping'!$F$28:$F$39,MATCH('Summarized Source Data'!$A663,'Category Mapping'!$A$28:$A$39,0),1),INDEX('Category Mapping'!$E$28:$E$39,MATCH($A663,'Category Mapping'!$A$28:$A$39,0),1))</f>
        <v>183264514.2857143</v>
      </c>
      <c r="G663" s="27">
        <f>G83*IF($E663="weekday",INDEX('Category Mapping'!$F$28:$F$39,MATCH('Summarized Source Data'!$A663,'Category Mapping'!$A$28:$A$39,0),1),INDEX('Category Mapping'!$E$28:$E$39,MATCH($A663,'Category Mapping'!$A$28:$A$39,0),1))</f>
        <v>451092.85714285716</v>
      </c>
      <c r="H663" s="27">
        <f>H83*IF($E663="weekday",INDEX('Category Mapping'!$F$28:$F$39,MATCH('Summarized Source Data'!$A663,'Category Mapping'!$A$28:$A$39,0),1),INDEX('Category Mapping'!$E$28:$E$39,MATCH($A663,'Category Mapping'!$A$28:$A$39,0),1))</f>
        <v>0</v>
      </c>
      <c r="I663" s="27">
        <f>I83*IF($E663="weekday",INDEX('Category Mapping'!$F$28:$F$39,MATCH('Summarized Source Data'!$A663,'Category Mapping'!$A$28:$A$39,0),1),INDEX('Category Mapping'!$E$28:$E$39,MATCH($A663,'Category Mapping'!$A$28:$A$39,0),1))</f>
        <v>208515535.71428573</v>
      </c>
      <c r="J663" s="27">
        <f>J83*IF($E663="weekday",INDEX('Category Mapping'!$F$28:$F$39,MATCH('Summarized Source Data'!$A663,'Category Mapping'!$A$28:$A$39,0),1),INDEX('Category Mapping'!$E$28:$E$39,MATCH($A663,'Category Mapping'!$A$28:$A$39,0),1))</f>
        <v>2307768857.1428576</v>
      </c>
      <c r="K663" s="27">
        <f>K83*IF($E663="weekday",INDEX('Category Mapping'!$F$28:$F$39,MATCH('Summarized Source Data'!$A663,'Category Mapping'!$A$28:$A$39,0),1),INDEX('Category Mapping'!$E$28:$E$39,MATCH($A663,'Category Mapping'!$A$28:$A$39,0),1))</f>
        <v>2307768857.1428576</v>
      </c>
      <c r="L663" s="27">
        <f>L83*IF($E663="weekday",INDEX('Category Mapping'!$F$28:$F$39,MATCH('Summarized Source Data'!$A663,'Category Mapping'!$A$28:$A$39,0),1),INDEX('Category Mapping'!$E$28:$E$39,MATCH($A663,'Category Mapping'!$A$28:$A$39,0),1))</f>
        <v>975000000.00000012</v>
      </c>
      <c r="M663" s="27">
        <f>M83*IF($E663="weekday",INDEX('Category Mapping'!$F$28:$F$39,MATCH('Summarized Source Data'!$A663,'Category Mapping'!$A$28:$A$39,0),1),INDEX('Category Mapping'!$E$28:$E$39,MATCH($A663,'Category Mapping'!$A$28:$A$39,0),1))</f>
        <v>11216742.857142858</v>
      </c>
      <c r="N663" s="27">
        <f>N83*IF($E663="weekday",INDEX('Category Mapping'!$F$28:$F$39,MATCH('Summarized Source Data'!$A663,'Category Mapping'!$A$28:$A$39,0),1),INDEX('Category Mapping'!$E$28:$E$39,MATCH($A663,'Category Mapping'!$A$28:$A$39,0),1))</f>
        <v>0</v>
      </c>
      <c r="O663" s="27">
        <f>O83*IF($E663="weekday",INDEX('Category Mapping'!$F$28:$F$39,MATCH('Summarized Source Data'!$A663,'Category Mapping'!$A$28:$A$39,0),1),INDEX('Category Mapping'!$E$28:$E$39,MATCH($A663,'Category Mapping'!$A$28:$A$39,0),1))</f>
        <v>8463783257.1428576</v>
      </c>
      <c r="P663" s="27">
        <f>P83*IF($E663="weekday",INDEX('Category Mapping'!$F$28:$F$39,MATCH('Summarized Source Data'!$A663,'Category Mapping'!$A$28:$A$39,0),1),INDEX('Category Mapping'!$E$28:$E$39,MATCH($A663,'Category Mapping'!$A$28:$A$39,0),1))</f>
        <v>8463783257.1428576</v>
      </c>
      <c r="Q663" s="27">
        <f>Q83*IF($E663="weekday",INDEX('Category Mapping'!$F$28:$F$39,MATCH('Summarized Source Data'!$A663,'Category Mapping'!$A$28:$A$39,0),1),INDEX('Category Mapping'!$E$28:$E$39,MATCH($A663,'Category Mapping'!$A$28:$A$39,0),1))</f>
        <v>8463783257.1428576</v>
      </c>
      <c r="R663" s="27">
        <f>R83*IF($E663="weekday",INDEX('Category Mapping'!$F$28:$F$39,MATCH('Summarized Source Data'!$A663,'Category Mapping'!$A$28:$A$39,0),1),INDEX('Category Mapping'!$E$28:$E$39,MATCH($A663,'Category Mapping'!$A$28:$A$39,0),1))</f>
        <v>319285714.28571433</v>
      </c>
      <c r="S663" s="27">
        <f>S83*IF($E663="weekday",INDEX('Category Mapping'!$F$28:$F$39,MATCH('Summarized Source Data'!$A663,'Category Mapping'!$A$28:$A$39,0),1),INDEX('Category Mapping'!$E$28:$E$39,MATCH($A663,'Category Mapping'!$A$28:$A$39,0),1))</f>
        <v>319285714.28571433</v>
      </c>
      <c r="T663" s="27">
        <f>T83*IF($E663="weekday",INDEX('Category Mapping'!$F$28:$F$39,MATCH('Summarized Source Data'!$A663,'Category Mapping'!$A$28:$A$39,0),1),INDEX('Category Mapping'!$E$28:$E$39,MATCH($A663,'Category Mapping'!$A$28:$A$39,0),1))</f>
        <v>319285714.28571433</v>
      </c>
      <c r="U663" s="27">
        <f>U83*IF($E663="weekday",INDEX('Category Mapping'!$F$28:$F$39,MATCH('Summarized Source Data'!$A663,'Category Mapping'!$A$28:$A$39,0),1),INDEX('Category Mapping'!$E$28:$E$39,MATCH($A663,'Category Mapping'!$A$28:$A$39,0),1))</f>
        <v>319285714.28571433</v>
      </c>
      <c r="V663" s="27">
        <f>V83*IF($E663="weekday",INDEX('Category Mapping'!$F$28:$F$39,MATCH('Summarized Source Data'!$A663,'Category Mapping'!$A$28:$A$39,0),1),INDEX('Category Mapping'!$E$28:$E$39,MATCH($A663,'Category Mapping'!$A$28:$A$39,0),1))</f>
        <v>319285714.28571433</v>
      </c>
      <c r="W663" s="27">
        <f>W83*IF($E663="weekday",INDEX('Category Mapping'!$F$28:$F$39,MATCH('Summarized Source Data'!$A663,'Category Mapping'!$A$28:$A$39,0),1),INDEX('Category Mapping'!$E$28:$E$39,MATCH($A663,'Category Mapping'!$A$28:$A$39,0),1))</f>
        <v>319285714.28571433</v>
      </c>
      <c r="X663" s="27">
        <f>X83*IF($E663="weekday",INDEX('Category Mapping'!$F$28:$F$39,MATCH('Summarized Source Data'!$A663,'Category Mapping'!$A$28:$A$39,0),1),INDEX('Category Mapping'!$E$28:$E$39,MATCH($A663,'Category Mapping'!$A$28:$A$39,0),1))</f>
        <v>14057142857.142859</v>
      </c>
      <c r="Y663" s="27">
        <f>Y83*IF($E663="weekday",INDEX('Category Mapping'!$F$28:$F$39,MATCH('Summarized Source Data'!$A663,'Category Mapping'!$A$28:$A$39,0),1),INDEX('Category Mapping'!$E$28:$E$39,MATCH($A663,'Category Mapping'!$A$28:$A$39,0),1))</f>
        <v>14057142857.142859</v>
      </c>
      <c r="Z663" s="27">
        <f>Z83*IF($E663="weekday",INDEX('Category Mapping'!$F$28:$F$39,MATCH('Summarized Source Data'!$A663,'Category Mapping'!$A$28:$A$39,0),1),INDEX('Category Mapping'!$E$28:$E$39,MATCH($A663,'Category Mapping'!$A$28:$A$39,0),1))</f>
        <v>14057142857.142859</v>
      </c>
    </row>
    <row r="664" spans="1:26" x14ac:dyDescent="0.3">
      <c r="A664">
        <f t="shared" ref="A664:E664" si="129">A84</f>
        <v>4</v>
      </c>
      <c r="B664" t="str">
        <f t="shared" si="129"/>
        <v>Spring</v>
      </c>
      <c r="C664" t="str">
        <f t="shared" si="129"/>
        <v>h9</v>
      </c>
      <c r="D664" t="str">
        <f t="shared" si="129"/>
        <v>Hour8</v>
      </c>
      <c r="E664" t="str">
        <f t="shared" si="129"/>
        <v>Weekday</v>
      </c>
      <c r="F664" s="27">
        <f>F84*IF($E664="weekday",INDEX('Category Mapping'!$F$28:$F$39,MATCH('Summarized Source Data'!$A664,'Category Mapping'!$A$28:$A$39,0),1),INDEX('Category Mapping'!$E$28:$E$39,MATCH($A664,'Category Mapping'!$A$28:$A$39,0),1))</f>
        <v>181835335.71428573</v>
      </c>
      <c r="G664" s="27">
        <f>G84*IF($E664="weekday",INDEX('Category Mapping'!$F$28:$F$39,MATCH('Summarized Source Data'!$A664,'Category Mapping'!$A$28:$A$39,0),1),INDEX('Category Mapping'!$E$28:$E$39,MATCH($A664,'Category Mapping'!$A$28:$A$39,0),1))</f>
        <v>364542.85714285716</v>
      </c>
      <c r="H664" s="27">
        <f>H84*IF($E664="weekday",INDEX('Category Mapping'!$F$28:$F$39,MATCH('Summarized Source Data'!$A664,'Category Mapping'!$A$28:$A$39,0),1),INDEX('Category Mapping'!$E$28:$E$39,MATCH($A664,'Category Mapping'!$A$28:$A$39,0),1))</f>
        <v>0</v>
      </c>
      <c r="I664" s="27">
        <f>I84*IF($E664="weekday",INDEX('Category Mapping'!$F$28:$F$39,MATCH('Summarized Source Data'!$A664,'Category Mapping'!$A$28:$A$39,0),1),INDEX('Category Mapping'!$E$28:$E$39,MATCH($A664,'Category Mapping'!$A$28:$A$39,0),1))</f>
        <v>204208585.71428573</v>
      </c>
      <c r="J664" s="27">
        <f>J84*IF($E664="weekday",INDEX('Category Mapping'!$F$28:$F$39,MATCH('Summarized Source Data'!$A664,'Category Mapping'!$A$28:$A$39,0),1),INDEX('Category Mapping'!$E$28:$E$39,MATCH($A664,'Category Mapping'!$A$28:$A$39,0),1))</f>
        <v>2356448678.5714288</v>
      </c>
      <c r="K664" s="27">
        <f>K84*IF($E664="weekday",INDEX('Category Mapping'!$F$28:$F$39,MATCH('Summarized Source Data'!$A664,'Category Mapping'!$A$28:$A$39,0),1),INDEX('Category Mapping'!$E$28:$E$39,MATCH($A664,'Category Mapping'!$A$28:$A$39,0),1))</f>
        <v>2356448678.5714288</v>
      </c>
      <c r="L664" s="27">
        <f>L84*IF($E664="weekday",INDEX('Category Mapping'!$F$28:$F$39,MATCH('Summarized Source Data'!$A664,'Category Mapping'!$A$28:$A$39,0),1),INDEX('Category Mapping'!$E$28:$E$39,MATCH($A664,'Category Mapping'!$A$28:$A$39,0),1))</f>
        <v>653571428.57142866</v>
      </c>
      <c r="M664" s="27">
        <f>M84*IF($E664="weekday",INDEX('Category Mapping'!$F$28:$F$39,MATCH('Summarized Source Data'!$A664,'Category Mapping'!$A$28:$A$39,0),1),INDEX('Category Mapping'!$E$28:$E$39,MATCH($A664,'Category Mapping'!$A$28:$A$39,0),1))</f>
        <v>13883678.571428573</v>
      </c>
      <c r="N664" s="27">
        <f>N84*IF($E664="weekday",INDEX('Category Mapping'!$F$28:$F$39,MATCH('Summarized Source Data'!$A664,'Category Mapping'!$A$28:$A$39,0),1),INDEX('Category Mapping'!$E$28:$E$39,MATCH($A664,'Category Mapping'!$A$28:$A$39,0),1))</f>
        <v>0</v>
      </c>
      <c r="O664" s="27">
        <f>O84*IF($E664="weekday",INDEX('Category Mapping'!$F$28:$F$39,MATCH('Summarized Source Data'!$A664,'Category Mapping'!$A$28:$A$39,0),1),INDEX('Category Mapping'!$E$28:$E$39,MATCH($A664,'Category Mapping'!$A$28:$A$39,0),1))</f>
        <v>10518259178.57143</v>
      </c>
      <c r="P664" s="27">
        <f>P84*IF($E664="weekday",INDEX('Category Mapping'!$F$28:$F$39,MATCH('Summarized Source Data'!$A664,'Category Mapping'!$A$28:$A$39,0),1),INDEX('Category Mapping'!$E$28:$E$39,MATCH($A664,'Category Mapping'!$A$28:$A$39,0),1))</f>
        <v>10518259178.57143</v>
      </c>
      <c r="Q664" s="27">
        <f>Q84*IF($E664="weekday",INDEX('Category Mapping'!$F$28:$F$39,MATCH('Summarized Source Data'!$A664,'Category Mapping'!$A$28:$A$39,0),1),INDEX('Category Mapping'!$E$28:$E$39,MATCH($A664,'Category Mapping'!$A$28:$A$39,0),1))</f>
        <v>10518259178.57143</v>
      </c>
      <c r="R664" s="27">
        <f>R84*IF($E664="weekday",INDEX('Category Mapping'!$F$28:$F$39,MATCH('Summarized Source Data'!$A664,'Category Mapping'!$A$28:$A$39,0),1),INDEX('Category Mapping'!$E$28:$E$39,MATCH($A664,'Category Mapping'!$A$28:$A$39,0),1))</f>
        <v>347142857.14285719</v>
      </c>
      <c r="S664" s="27">
        <f>S84*IF($E664="weekday",INDEX('Category Mapping'!$F$28:$F$39,MATCH('Summarized Source Data'!$A664,'Category Mapping'!$A$28:$A$39,0),1),INDEX('Category Mapping'!$E$28:$E$39,MATCH($A664,'Category Mapping'!$A$28:$A$39,0),1))</f>
        <v>347142857.14285719</v>
      </c>
      <c r="T664" s="27">
        <f>T84*IF($E664="weekday",INDEX('Category Mapping'!$F$28:$F$39,MATCH('Summarized Source Data'!$A664,'Category Mapping'!$A$28:$A$39,0),1),INDEX('Category Mapping'!$E$28:$E$39,MATCH($A664,'Category Mapping'!$A$28:$A$39,0),1))</f>
        <v>347142857.14285719</v>
      </c>
      <c r="U664" s="27">
        <f>U84*IF($E664="weekday",INDEX('Category Mapping'!$F$28:$F$39,MATCH('Summarized Source Data'!$A664,'Category Mapping'!$A$28:$A$39,0),1),INDEX('Category Mapping'!$E$28:$E$39,MATCH($A664,'Category Mapping'!$A$28:$A$39,0),1))</f>
        <v>347142857.14285719</v>
      </c>
      <c r="V664" s="27">
        <f>V84*IF($E664="weekday",INDEX('Category Mapping'!$F$28:$F$39,MATCH('Summarized Source Data'!$A664,'Category Mapping'!$A$28:$A$39,0),1),INDEX('Category Mapping'!$E$28:$E$39,MATCH($A664,'Category Mapping'!$A$28:$A$39,0),1))</f>
        <v>347142857.14285719</v>
      </c>
      <c r="W664" s="27">
        <f>W84*IF($E664="weekday",INDEX('Category Mapping'!$F$28:$F$39,MATCH('Summarized Source Data'!$A664,'Category Mapping'!$A$28:$A$39,0),1),INDEX('Category Mapping'!$E$28:$E$39,MATCH($A664,'Category Mapping'!$A$28:$A$39,0),1))</f>
        <v>347142857.14285719</v>
      </c>
      <c r="X664" s="27">
        <f>X84*IF($E664="weekday",INDEX('Category Mapping'!$F$28:$F$39,MATCH('Summarized Source Data'!$A664,'Category Mapping'!$A$28:$A$39,0),1),INDEX('Category Mapping'!$E$28:$E$39,MATCH($A664,'Category Mapping'!$A$28:$A$39,0),1))</f>
        <v>14100000000.000002</v>
      </c>
      <c r="Y664" s="27">
        <f>Y84*IF($E664="weekday",INDEX('Category Mapping'!$F$28:$F$39,MATCH('Summarized Source Data'!$A664,'Category Mapping'!$A$28:$A$39,0),1),INDEX('Category Mapping'!$E$28:$E$39,MATCH($A664,'Category Mapping'!$A$28:$A$39,0),1))</f>
        <v>14100000000.000002</v>
      </c>
      <c r="Z664" s="27">
        <f>Z84*IF($E664="weekday",INDEX('Category Mapping'!$F$28:$F$39,MATCH('Summarized Source Data'!$A664,'Category Mapping'!$A$28:$A$39,0),1),INDEX('Category Mapping'!$E$28:$E$39,MATCH($A664,'Category Mapping'!$A$28:$A$39,0),1))</f>
        <v>14100000000.000002</v>
      </c>
    </row>
    <row r="665" spans="1:26" x14ac:dyDescent="0.3">
      <c r="A665">
        <f t="shared" ref="A665:E665" si="130">A85</f>
        <v>4</v>
      </c>
      <c r="B665" t="str">
        <f t="shared" si="130"/>
        <v>Spring</v>
      </c>
      <c r="C665" t="str">
        <f t="shared" si="130"/>
        <v>h10</v>
      </c>
      <c r="D665" t="str">
        <f t="shared" si="130"/>
        <v>Hour9</v>
      </c>
      <c r="E665" t="str">
        <f t="shared" si="130"/>
        <v>Weekday</v>
      </c>
      <c r="F665" s="27">
        <f>F85*IF($E665="weekday",INDEX('Category Mapping'!$F$28:$F$39,MATCH('Summarized Source Data'!$A665,'Category Mapping'!$A$28:$A$39,0),1),INDEX('Category Mapping'!$E$28:$E$39,MATCH($A665,'Category Mapping'!$A$28:$A$39,0),1))</f>
        <v>125575842.85714287</v>
      </c>
      <c r="G665" s="27">
        <f>G85*IF($E665="weekday",INDEX('Category Mapping'!$F$28:$F$39,MATCH('Summarized Source Data'!$A665,'Category Mapping'!$A$28:$A$39,0),1),INDEX('Category Mapping'!$E$28:$E$39,MATCH($A665,'Category Mapping'!$A$28:$A$39,0),1))</f>
        <v>315150.00000000006</v>
      </c>
      <c r="H665" s="27">
        <f>H85*IF($E665="weekday",INDEX('Category Mapping'!$F$28:$F$39,MATCH('Summarized Source Data'!$A665,'Category Mapping'!$A$28:$A$39,0),1),INDEX('Category Mapping'!$E$28:$E$39,MATCH($A665,'Category Mapping'!$A$28:$A$39,0),1))</f>
        <v>0</v>
      </c>
      <c r="I665" s="27">
        <f>I85*IF($E665="weekday",INDEX('Category Mapping'!$F$28:$F$39,MATCH('Summarized Source Data'!$A665,'Category Mapping'!$A$28:$A$39,0),1),INDEX('Category Mapping'!$E$28:$E$39,MATCH($A665,'Category Mapping'!$A$28:$A$39,0),1))</f>
        <v>196438500.00000003</v>
      </c>
      <c r="J665" s="27">
        <f>J85*IF($E665="weekday",INDEX('Category Mapping'!$F$28:$F$39,MATCH('Summarized Source Data'!$A665,'Category Mapping'!$A$28:$A$39,0),1),INDEX('Category Mapping'!$E$28:$E$39,MATCH($A665,'Category Mapping'!$A$28:$A$39,0),1))</f>
        <v>2356241935.7142859</v>
      </c>
      <c r="K665" s="27">
        <f>K85*IF($E665="weekday",INDEX('Category Mapping'!$F$28:$F$39,MATCH('Summarized Source Data'!$A665,'Category Mapping'!$A$28:$A$39,0),1),INDEX('Category Mapping'!$E$28:$E$39,MATCH($A665,'Category Mapping'!$A$28:$A$39,0),1))</f>
        <v>2356241935.7142859</v>
      </c>
      <c r="L665" s="27">
        <f>L85*IF($E665="weekday",INDEX('Category Mapping'!$F$28:$F$39,MATCH('Summarized Source Data'!$A665,'Category Mapping'!$A$28:$A$39,0),1),INDEX('Category Mapping'!$E$28:$E$39,MATCH($A665,'Category Mapping'!$A$28:$A$39,0),1))</f>
        <v>512142857.14285719</v>
      </c>
      <c r="M665" s="27">
        <f>M85*IF($E665="weekday",INDEX('Category Mapping'!$F$28:$F$39,MATCH('Summarized Source Data'!$A665,'Category Mapping'!$A$28:$A$39,0),1),INDEX('Category Mapping'!$E$28:$E$39,MATCH($A665,'Category Mapping'!$A$28:$A$39,0),1))</f>
        <v>15586714.285714287</v>
      </c>
      <c r="N665" s="27">
        <f>N85*IF($E665="weekday",INDEX('Category Mapping'!$F$28:$F$39,MATCH('Summarized Source Data'!$A665,'Category Mapping'!$A$28:$A$39,0),1),INDEX('Category Mapping'!$E$28:$E$39,MATCH($A665,'Category Mapping'!$A$28:$A$39,0),1))</f>
        <v>0</v>
      </c>
      <c r="O665" s="27">
        <f>O85*IF($E665="weekday",INDEX('Category Mapping'!$F$28:$F$39,MATCH('Summarized Source Data'!$A665,'Category Mapping'!$A$28:$A$39,0),1),INDEX('Category Mapping'!$E$28:$E$39,MATCH($A665,'Category Mapping'!$A$28:$A$39,0),1))</f>
        <v>11065127571.428572</v>
      </c>
      <c r="P665" s="27">
        <f>P85*IF($E665="weekday",INDEX('Category Mapping'!$F$28:$F$39,MATCH('Summarized Source Data'!$A665,'Category Mapping'!$A$28:$A$39,0),1),INDEX('Category Mapping'!$E$28:$E$39,MATCH($A665,'Category Mapping'!$A$28:$A$39,0),1))</f>
        <v>11065127571.428572</v>
      </c>
      <c r="Q665" s="27">
        <f>Q85*IF($E665="weekday",INDEX('Category Mapping'!$F$28:$F$39,MATCH('Summarized Source Data'!$A665,'Category Mapping'!$A$28:$A$39,0),1),INDEX('Category Mapping'!$E$28:$E$39,MATCH($A665,'Category Mapping'!$A$28:$A$39,0),1))</f>
        <v>11065127571.428572</v>
      </c>
      <c r="R665" s="27">
        <f>R85*IF($E665="weekday",INDEX('Category Mapping'!$F$28:$F$39,MATCH('Summarized Source Data'!$A665,'Category Mapping'!$A$28:$A$39,0),1),INDEX('Category Mapping'!$E$28:$E$39,MATCH($A665,'Category Mapping'!$A$28:$A$39,0),1))</f>
        <v>308571428.5714286</v>
      </c>
      <c r="S665" s="27">
        <f>S85*IF($E665="weekday",INDEX('Category Mapping'!$F$28:$F$39,MATCH('Summarized Source Data'!$A665,'Category Mapping'!$A$28:$A$39,0),1),INDEX('Category Mapping'!$E$28:$E$39,MATCH($A665,'Category Mapping'!$A$28:$A$39,0),1))</f>
        <v>308571428.5714286</v>
      </c>
      <c r="T665" s="27">
        <f>T85*IF($E665="weekday",INDEX('Category Mapping'!$F$28:$F$39,MATCH('Summarized Source Data'!$A665,'Category Mapping'!$A$28:$A$39,0),1),INDEX('Category Mapping'!$E$28:$E$39,MATCH($A665,'Category Mapping'!$A$28:$A$39,0),1))</f>
        <v>308571428.5714286</v>
      </c>
      <c r="U665" s="27">
        <f>U85*IF($E665="weekday",INDEX('Category Mapping'!$F$28:$F$39,MATCH('Summarized Source Data'!$A665,'Category Mapping'!$A$28:$A$39,0),1),INDEX('Category Mapping'!$E$28:$E$39,MATCH($A665,'Category Mapping'!$A$28:$A$39,0),1))</f>
        <v>308571428.5714286</v>
      </c>
      <c r="V665" s="27">
        <f>V85*IF($E665="weekday",INDEX('Category Mapping'!$F$28:$F$39,MATCH('Summarized Source Data'!$A665,'Category Mapping'!$A$28:$A$39,0),1),INDEX('Category Mapping'!$E$28:$E$39,MATCH($A665,'Category Mapping'!$A$28:$A$39,0),1))</f>
        <v>308571428.5714286</v>
      </c>
      <c r="W665" s="27">
        <f>W85*IF($E665="weekday",INDEX('Category Mapping'!$F$28:$F$39,MATCH('Summarized Source Data'!$A665,'Category Mapping'!$A$28:$A$39,0),1),INDEX('Category Mapping'!$E$28:$E$39,MATCH($A665,'Category Mapping'!$A$28:$A$39,0),1))</f>
        <v>308571428.5714286</v>
      </c>
      <c r="X665" s="27">
        <f>X85*IF($E665="weekday",INDEX('Category Mapping'!$F$28:$F$39,MATCH('Summarized Source Data'!$A665,'Category Mapping'!$A$28:$A$39,0),1),INDEX('Category Mapping'!$E$28:$E$39,MATCH($A665,'Category Mapping'!$A$28:$A$39,0),1))</f>
        <v>14078571428.57143</v>
      </c>
      <c r="Y665" s="27">
        <f>Y85*IF($E665="weekday",INDEX('Category Mapping'!$F$28:$F$39,MATCH('Summarized Source Data'!$A665,'Category Mapping'!$A$28:$A$39,0),1),INDEX('Category Mapping'!$E$28:$E$39,MATCH($A665,'Category Mapping'!$A$28:$A$39,0),1))</f>
        <v>14078571428.57143</v>
      </c>
      <c r="Z665" s="27">
        <f>Z85*IF($E665="weekday",INDEX('Category Mapping'!$F$28:$F$39,MATCH('Summarized Source Data'!$A665,'Category Mapping'!$A$28:$A$39,0),1),INDEX('Category Mapping'!$E$28:$E$39,MATCH($A665,'Category Mapping'!$A$28:$A$39,0),1))</f>
        <v>14078571428.57143</v>
      </c>
    </row>
    <row r="666" spans="1:26" x14ac:dyDescent="0.3">
      <c r="A666">
        <f t="shared" ref="A666:E666" si="131">A86</f>
        <v>4</v>
      </c>
      <c r="B666" t="str">
        <f t="shared" si="131"/>
        <v>Spring</v>
      </c>
      <c r="C666" t="str">
        <f t="shared" si="131"/>
        <v>h11</v>
      </c>
      <c r="D666" t="str">
        <f t="shared" si="131"/>
        <v>Hour10</v>
      </c>
      <c r="E666" t="str">
        <f t="shared" si="131"/>
        <v>Weekday</v>
      </c>
      <c r="F666" s="27">
        <f>F86*IF($E666="weekday",INDEX('Category Mapping'!$F$28:$F$39,MATCH('Summarized Source Data'!$A666,'Category Mapping'!$A$28:$A$39,0),1),INDEX('Category Mapping'!$E$28:$E$39,MATCH($A666,'Category Mapping'!$A$28:$A$39,0),1))</f>
        <v>126640950.00000001</v>
      </c>
      <c r="G666" s="27">
        <f>G86*IF($E666="weekday",INDEX('Category Mapping'!$F$28:$F$39,MATCH('Summarized Source Data'!$A666,'Category Mapping'!$A$28:$A$39,0),1),INDEX('Category Mapping'!$E$28:$E$39,MATCH($A666,'Category Mapping'!$A$28:$A$39,0),1))</f>
        <v>311421.42857142858</v>
      </c>
      <c r="H666" s="27">
        <f>H86*IF($E666="weekday",INDEX('Category Mapping'!$F$28:$F$39,MATCH('Summarized Source Data'!$A666,'Category Mapping'!$A$28:$A$39,0),1),INDEX('Category Mapping'!$E$28:$E$39,MATCH($A666,'Category Mapping'!$A$28:$A$39,0),1))</f>
        <v>0</v>
      </c>
      <c r="I666" s="27">
        <f>I86*IF($E666="weekday",INDEX('Category Mapping'!$F$28:$F$39,MATCH('Summarized Source Data'!$A666,'Category Mapping'!$A$28:$A$39,0),1),INDEX('Category Mapping'!$E$28:$E$39,MATCH($A666,'Category Mapping'!$A$28:$A$39,0),1))</f>
        <v>199648264.2857143</v>
      </c>
      <c r="J666" s="27">
        <f>J86*IF($E666="weekday",INDEX('Category Mapping'!$F$28:$F$39,MATCH('Summarized Source Data'!$A666,'Category Mapping'!$A$28:$A$39,0),1),INDEX('Category Mapping'!$E$28:$E$39,MATCH($A666,'Category Mapping'!$A$28:$A$39,0),1))</f>
        <v>2330542221.4285717</v>
      </c>
      <c r="K666" s="27">
        <f>K86*IF($E666="weekday",INDEX('Category Mapping'!$F$28:$F$39,MATCH('Summarized Source Data'!$A666,'Category Mapping'!$A$28:$A$39,0),1),INDEX('Category Mapping'!$E$28:$E$39,MATCH($A666,'Category Mapping'!$A$28:$A$39,0),1))</f>
        <v>2330542221.4285717</v>
      </c>
      <c r="L666" s="27">
        <f>L86*IF($E666="weekday",INDEX('Category Mapping'!$F$28:$F$39,MATCH('Summarized Source Data'!$A666,'Category Mapping'!$A$28:$A$39,0),1),INDEX('Category Mapping'!$E$28:$E$39,MATCH($A666,'Category Mapping'!$A$28:$A$39,0),1))</f>
        <v>422142857.14285719</v>
      </c>
      <c r="M666" s="27">
        <f>M86*IF($E666="weekday",INDEX('Category Mapping'!$F$28:$F$39,MATCH('Summarized Source Data'!$A666,'Category Mapping'!$A$28:$A$39,0),1),INDEX('Category Mapping'!$E$28:$E$39,MATCH($A666,'Category Mapping'!$A$28:$A$39,0),1))</f>
        <v>16471800.000000002</v>
      </c>
      <c r="N666" s="27">
        <f>N86*IF($E666="weekday",INDEX('Category Mapping'!$F$28:$F$39,MATCH('Summarized Source Data'!$A666,'Category Mapping'!$A$28:$A$39,0),1),INDEX('Category Mapping'!$E$28:$E$39,MATCH($A666,'Category Mapping'!$A$28:$A$39,0),1))</f>
        <v>0</v>
      </c>
      <c r="O666" s="27">
        <f>O86*IF($E666="weekday",INDEX('Category Mapping'!$F$28:$F$39,MATCH('Summarized Source Data'!$A666,'Category Mapping'!$A$28:$A$39,0),1),INDEX('Category Mapping'!$E$28:$E$39,MATCH($A666,'Category Mapping'!$A$28:$A$39,0),1))</f>
        <v>11025671057.142859</v>
      </c>
      <c r="P666" s="27">
        <f>P86*IF($E666="weekday",INDEX('Category Mapping'!$F$28:$F$39,MATCH('Summarized Source Data'!$A666,'Category Mapping'!$A$28:$A$39,0),1),INDEX('Category Mapping'!$E$28:$E$39,MATCH($A666,'Category Mapping'!$A$28:$A$39,0),1))</f>
        <v>11025671057.142859</v>
      </c>
      <c r="Q666" s="27">
        <f>Q86*IF($E666="weekday",INDEX('Category Mapping'!$F$28:$F$39,MATCH('Summarized Source Data'!$A666,'Category Mapping'!$A$28:$A$39,0),1),INDEX('Category Mapping'!$E$28:$E$39,MATCH($A666,'Category Mapping'!$A$28:$A$39,0),1))</f>
        <v>11025671057.142859</v>
      </c>
      <c r="R666" s="27">
        <f>R86*IF($E666="weekday",INDEX('Category Mapping'!$F$28:$F$39,MATCH('Summarized Source Data'!$A666,'Category Mapping'!$A$28:$A$39,0),1),INDEX('Category Mapping'!$E$28:$E$39,MATCH($A666,'Category Mapping'!$A$28:$A$39,0),1))</f>
        <v>248571428.5714286</v>
      </c>
      <c r="S666" s="27">
        <f>S86*IF($E666="weekday",INDEX('Category Mapping'!$F$28:$F$39,MATCH('Summarized Source Data'!$A666,'Category Mapping'!$A$28:$A$39,0),1),INDEX('Category Mapping'!$E$28:$E$39,MATCH($A666,'Category Mapping'!$A$28:$A$39,0),1))</f>
        <v>248571428.5714286</v>
      </c>
      <c r="T666" s="27">
        <f>T86*IF($E666="weekday",INDEX('Category Mapping'!$F$28:$F$39,MATCH('Summarized Source Data'!$A666,'Category Mapping'!$A$28:$A$39,0),1),INDEX('Category Mapping'!$E$28:$E$39,MATCH($A666,'Category Mapping'!$A$28:$A$39,0),1))</f>
        <v>248571428.5714286</v>
      </c>
      <c r="U666" s="27">
        <f>U86*IF($E666="weekday",INDEX('Category Mapping'!$F$28:$F$39,MATCH('Summarized Source Data'!$A666,'Category Mapping'!$A$28:$A$39,0),1),INDEX('Category Mapping'!$E$28:$E$39,MATCH($A666,'Category Mapping'!$A$28:$A$39,0),1))</f>
        <v>248571428.5714286</v>
      </c>
      <c r="V666" s="27">
        <f>V86*IF($E666="weekday",INDEX('Category Mapping'!$F$28:$F$39,MATCH('Summarized Source Data'!$A666,'Category Mapping'!$A$28:$A$39,0),1),INDEX('Category Mapping'!$E$28:$E$39,MATCH($A666,'Category Mapping'!$A$28:$A$39,0),1))</f>
        <v>248571428.5714286</v>
      </c>
      <c r="W666" s="27">
        <f>W86*IF($E666="weekday",INDEX('Category Mapping'!$F$28:$F$39,MATCH('Summarized Source Data'!$A666,'Category Mapping'!$A$28:$A$39,0),1),INDEX('Category Mapping'!$E$28:$E$39,MATCH($A666,'Category Mapping'!$A$28:$A$39,0),1))</f>
        <v>248571428.5714286</v>
      </c>
      <c r="X666" s="27">
        <f>X86*IF($E666="weekday",INDEX('Category Mapping'!$F$28:$F$39,MATCH('Summarized Source Data'!$A666,'Category Mapping'!$A$28:$A$39,0),1),INDEX('Category Mapping'!$E$28:$E$39,MATCH($A666,'Category Mapping'!$A$28:$A$39,0),1))</f>
        <v>14014285714.285715</v>
      </c>
      <c r="Y666" s="27">
        <f>Y86*IF($E666="weekday",INDEX('Category Mapping'!$F$28:$F$39,MATCH('Summarized Source Data'!$A666,'Category Mapping'!$A$28:$A$39,0),1),INDEX('Category Mapping'!$E$28:$E$39,MATCH($A666,'Category Mapping'!$A$28:$A$39,0),1))</f>
        <v>14014285714.285715</v>
      </c>
      <c r="Z666" s="27">
        <f>Z86*IF($E666="weekday",INDEX('Category Mapping'!$F$28:$F$39,MATCH('Summarized Source Data'!$A666,'Category Mapping'!$A$28:$A$39,0),1),INDEX('Category Mapping'!$E$28:$E$39,MATCH($A666,'Category Mapping'!$A$28:$A$39,0),1))</f>
        <v>14014285714.285715</v>
      </c>
    </row>
    <row r="667" spans="1:26" x14ac:dyDescent="0.3">
      <c r="A667">
        <f t="shared" ref="A667:E667" si="132">A87</f>
        <v>4</v>
      </c>
      <c r="B667" t="str">
        <f t="shared" si="132"/>
        <v>Spring</v>
      </c>
      <c r="C667" t="str">
        <f t="shared" si="132"/>
        <v>h12</v>
      </c>
      <c r="D667" t="str">
        <f t="shared" si="132"/>
        <v>Hour11</v>
      </c>
      <c r="E667" t="str">
        <f t="shared" si="132"/>
        <v>Weekday</v>
      </c>
      <c r="F667" s="27">
        <f>F87*IF($E667="weekday",INDEX('Category Mapping'!$F$28:$F$39,MATCH('Summarized Source Data'!$A667,'Category Mapping'!$A$28:$A$39,0),1),INDEX('Category Mapping'!$E$28:$E$39,MATCH($A667,'Category Mapping'!$A$28:$A$39,0),1))</f>
        <v>133016014.2857143</v>
      </c>
      <c r="G667" s="27">
        <f>G87*IF($E667="weekday",INDEX('Category Mapping'!$F$28:$F$39,MATCH('Summarized Source Data'!$A667,'Category Mapping'!$A$28:$A$39,0),1),INDEX('Category Mapping'!$E$28:$E$39,MATCH($A667,'Category Mapping'!$A$28:$A$39,0),1))</f>
        <v>348300.00000000006</v>
      </c>
      <c r="H667" s="27">
        <f>H87*IF($E667="weekday",INDEX('Category Mapping'!$F$28:$F$39,MATCH('Summarized Source Data'!$A667,'Category Mapping'!$A$28:$A$39,0),1),INDEX('Category Mapping'!$E$28:$E$39,MATCH($A667,'Category Mapping'!$A$28:$A$39,0),1))</f>
        <v>0</v>
      </c>
      <c r="I667" s="27">
        <f>I87*IF($E667="weekday",INDEX('Category Mapping'!$F$28:$F$39,MATCH('Summarized Source Data'!$A667,'Category Mapping'!$A$28:$A$39,0),1),INDEX('Category Mapping'!$E$28:$E$39,MATCH($A667,'Category Mapping'!$A$28:$A$39,0),1))</f>
        <v>218571428.5714286</v>
      </c>
      <c r="J667" s="27">
        <f>J87*IF($E667="weekday",INDEX('Category Mapping'!$F$28:$F$39,MATCH('Summarized Source Data'!$A667,'Category Mapping'!$A$28:$A$39,0),1),INDEX('Category Mapping'!$E$28:$E$39,MATCH($A667,'Category Mapping'!$A$28:$A$39,0),1))</f>
        <v>2326635685.7142859</v>
      </c>
      <c r="K667" s="27">
        <f>K87*IF($E667="weekday",INDEX('Category Mapping'!$F$28:$F$39,MATCH('Summarized Source Data'!$A667,'Category Mapping'!$A$28:$A$39,0),1),INDEX('Category Mapping'!$E$28:$E$39,MATCH($A667,'Category Mapping'!$A$28:$A$39,0),1))</f>
        <v>2326635685.7142859</v>
      </c>
      <c r="L667" s="27">
        <f>L87*IF($E667="weekday",INDEX('Category Mapping'!$F$28:$F$39,MATCH('Summarized Source Data'!$A667,'Category Mapping'!$A$28:$A$39,0),1),INDEX('Category Mapping'!$E$28:$E$39,MATCH($A667,'Category Mapping'!$A$28:$A$39,0),1))</f>
        <v>347142857.14285719</v>
      </c>
      <c r="M667" s="27">
        <f>M87*IF($E667="weekday",INDEX('Category Mapping'!$F$28:$F$39,MATCH('Summarized Source Data'!$A667,'Category Mapping'!$A$28:$A$39,0),1),INDEX('Category Mapping'!$E$28:$E$39,MATCH($A667,'Category Mapping'!$A$28:$A$39,0),1))</f>
        <v>16679250.000000002</v>
      </c>
      <c r="N667" s="27">
        <f>N87*IF($E667="weekday",INDEX('Category Mapping'!$F$28:$F$39,MATCH('Summarized Source Data'!$A667,'Category Mapping'!$A$28:$A$39,0),1),INDEX('Category Mapping'!$E$28:$E$39,MATCH($A667,'Category Mapping'!$A$28:$A$39,0),1))</f>
        <v>0</v>
      </c>
      <c r="O667" s="27">
        <f>O87*IF($E667="weekday",INDEX('Category Mapping'!$F$28:$F$39,MATCH('Summarized Source Data'!$A667,'Category Mapping'!$A$28:$A$39,0),1),INDEX('Category Mapping'!$E$28:$E$39,MATCH($A667,'Category Mapping'!$A$28:$A$39,0),1))</f>
        <v>10993320750.000002</v>
      </c>
      <c r="P667" s="27">
        <f>P87*IF($E667="weekday",INDEX('Category Mapping'!$F$28:$F$39,MATCH('Summarized Source Data'!$A667,'Category Mapping'!$A$28:$A$39,0),1),INDEX('Category Mapping'!$E$28:$E$39,MATCH($A667,'Category Mapping'!$A$28:$A$39,0),1))</f>
        <v>10993320750.000002</v>
      </c>
      <c r="Q667" s="27">
        <f>Q87*IF($E667="weekday",INDEX('Category Mapping'!$F$28:$F$39,MATCH('Summarized Source Data'!$A667,'Category Mapping'!$A$28:$A$39,0),1),INDEX('Category Mapping'!$E$28:$E$39,MATCH($A667,'Category Mapping'!$A$28:$A$39,0),1))</f>
        <v>10993320750.000002</v>
      </c>
      <c r="R667" s="27">
        <f>R87*IF($E667="weekday",INDEX('Category Mapping'!$F$28:$F$39,MATCH('Summarized Source Data'!$A667,'Category Mapping'!$A$28:$A$39,0),1),INDEX('Category Mapping'!$E$28:$E$39,MATCH($A667,'Category Mapping'!$A$28:$A$39,0),1))</f>
        <v>248571428.5714286</v>
      </c>
      <c r="S667" s="27">
        <f>S87*IF($E667="weekday",INDEX('Category Mapping'!$F$28:$F$39,MATCH('Summarized Source Data'!$A667,'Category Mapping'!$A$28:$A$39,0),1),INDEX('Category Mapping'!$E$28:$E$39,MATCH($A667,'Category Mapping'!$A$28:$A$39,0),1))</f>
        <v>248571428.5714286</v>
      </c>
      <c r="T667" s="27">
        <f>T87*IF($E667="weekday",INDEX('Category Mapping'!$F$28:$F$39,MATCH('Summarized Source Data'!$A667,'Category Mapping'!$A$28:$A$39,0),1),INDEX('Category Mapping'!$E$28:$E$39,MATCH($A667,'Category Mapping'!$A$28:$A$39,0),1))</f>
        <v>248571428.5714286</v>
      </c>
      <c r="U667" s="27">
        <f>U87*IF($E667="weekday",INDEX('Category Mapping'!$F$28:$F$39,MATCH('Summarized Source Data'!$A667,'Category Mapping'!$A$28:$A$39,0),1),INDEX('Category Mapping'!$E$28:$E$39,MATCH($A667,'Category Mapping'!$A$28:$A$39,0),1))</f>
        <v>248571428.5714286</v>
      </c>
      <c r="V667" s="27">
        <f>V87*IF($E667="weekday",INDEX('Category Mapping'!$F$28:$F$39,MATCH('Summarized Source Data'!$A667,'Category Mapping'!$A$28:$A$39,0),1),INDEX('Category Mapping'!$E$28:$E$39,MATCH($A667,'Category Mapping'!$A$28:$A$39,0),1))</f>
        <v>248571428.5714286</v>
      </c>
      <c r="W667" s="27">
        <f>W87*IF($E667="weekday",INDEX('Category Mapping'!$F$28:$F$39,MATCH('Summarized Source Data'!$A667,'Category Mapping'!$A$28:$A$39,0),1),INDEX('Category Mapping'!$E$28:$E$39,MATCH($A667,'Category Mapping'!$A$28:$A$39,0),1))</f>
        <v>248571428.5714286</v>
      </c>
      <c r="X667" s="27">
        <f>X87*IF($E667="weekday",INDEX('Category Mapping'!$F$28:$F$39,MATCH('Summarized Source Data'!$A667,'Category Mapping'!$A$28:$A$39,0),1),INDEX('Category Mapping'!$E$28:$E$39,MATCH($A667,'Category Mapping'!$A$28:$A$39,0),1))</f>
        <v>13971428571.428574</v>
      </c>
      <c r="Y667" s="27">
        <f>Y87*IF($E667="weekday",INDEX('Category Mapping'!$F$28:$F$39,MATCH('Summarized Source Data'!$A667,'Category Mapping'!$A$28:$A$39,0),1),INDEX('Category Mapping'!$E$28:$E$39,MATCH($A667,'Category Mapping'!$A$28:$A$39,0),1))</f>
        <v>13971428571.428574</v>
      </c>
      <c r="Z667" s="27">
        <f>Z87*IF($E667="weekday",INDEX('Category Mapping'!$F$28:$F$39,MATCH('Summarized Source Data'!$A667,'Category Mapping'!$A$28:$A$39,0),1),INDEX('Category Mapping'!$E$28:$E$39,MATCH($A667,'Category Mapping'!$A$28:$A$39,0),1))</f>
        <v>13971428571.428574</v>
      </c>
    </row>
    <row r="668" spans="1:26" x14ac:dyDescent="0.3">
      <c r="A668">
        <f t="shared" ref="A668:E668" si="133">A88</f>
        <v>4</v>
      </c>
      <c r="B668" t="str">
        <f t="shared" si="133"/>
        <v>Spring</v>
      </c>
      <c r="C668" t="str">
        <f t="shared" si="133"/>
        <v>h13</v>
      </c>
      <c r="D668" t="str">
        <f t="shared" si="133"/>
        <v>Hour12</v>
      </c>
      <c r="E668" t="str">
        <f t="shared" si="133"/>
        <v>Weekday</v>
      </c>
      <c r="F668" s="27">
        <f>F88*IF($E668="weekday",INDEX('Category Mapping'!$F$28:$F$39,MATCH('Summarized Source Data'!$A668,'Category Mapping'!$A$28:$A$39,0),1),INDEX('Category Mapping'!$E$28:$E$39,MATCH($A668,'Category Mapping'!$A$28:$A$39,0),1))</f>
        <v>136920107.14285716</v>
      </c>
      <c r="G668" s="27">
        <f>G88*IF($E668="weekday",INDEX('Category Mapping'!$F$28:$F$39,MATCH('Summarized Source Data'!$A668,'Category Mapping'!$A$28:$A$39,0),1),INDEX('Category Mapping'!$E$28:$E$39,MATCH($A668,'Category Mapping'!$A$28:$A$39,0),1))</f>
        <v>378085.71428571432</v>
      </c>
      <c r="H668" s="27">
        <f>H88*IF($E668="weekday",INDEX('Category Mapping'!$F$28:$F$39,MATCH('Summarized Source Data'!$A668,'Category Mapping'!$A$28:$A$39,0),1),INDEX('Category Mapping'!$E$28:$E$39,MATCH($A668,'Category Mapping'!$A$28:$A$39,0),1))</f>
        <v>0</v>
      </c>
      <c r="I668" s="27">
        <f>I88*IF($E668="weekday",INDEX('Category Mapping'!$F$28:$F$39,MATCH('Summarized Source Data'!$A668,'Category Mapping'!$A$28:$A$39,0),1),INDEX('Category Mapping'!$E$28:$E$39,MATCH($A668,'Category Mapping'!$A$28:$A$39,0),1))</f>
        <v>231428571.42857146</v>
      </c>
      <c r="J668" s="27">
        <f>J88*IF($E668="weekday",INDEX('Category Mapping'!$F$28:$F$39,MATCH('Summarized Source Data'!$A668,'Category Mapping'!$A$28:$A$39,0),1),INDEX('Category Mapping'!$E$28:$E$39,MATCH($A668,'Category Mapping'!$A$28:$A$39,0),1))</f>
        <v>2245558950</v>
      </c>
      <c r="K668" s="27">
        <f>K88*IF($E668="weekday",INDEX('Category Mapping'!$F$28:$F$39,MATCH('Summarized Source Data'!$A668,'Category Mapping'!$A$28:$A$39,0),1),INDEX('Category Mapping'!$E$28:$E$39,MATCH($A668,'Category Mapping'!$A$28:$A$39,0),1))</f>
        <v>2245558950</v>
      </c>
      <c r="L668" s="27">
        <f>L88*IF($E668="weekday",INDEX('Category Mapping'!$F$28:$F$39,MATCH('Summarized Source Data'!$A668,'Category Mapping'!$A$28:$A$39,0),1),INDEX('Category Mapping'!$E$28:$E$39,MATCH($A668,'Category Mapping'!$A$28:$A$39,0),1))</f>
        <v>312857142.85714287</v>
      </c>
      <c r="M668" s="27">
        <f>M88*IF($E668="weekday",INDEX('Category Mapping'!$F$28:$F$39,MATCH('Summarized Source Data'!$A668,'Category Mapping'!$A$28:$A$39,0),1),INDEX('Category Mapping'!$E$28:$E$39,MATCH($A668,'Category Mapping'!$A$28:$A$39,0),1))</f>
        <v>16067014.285714287</v>
      </c>
      <c r="N668" s="27">
        <f>N88*IF($E668="weekday",INDEX('Category Mapping'!$F$28:$F$39,MATCH('Summarized Source Data'!$A668,'Category Mapping'!$A$28:$A$39,0),1),INDEX('Category Mapping'!$E$28:$E$39,MATCH($A668,'Category Mapping'!$A$28:$A$39,0),1))</f>
        <v>0</v>
      </c>
      <c r="O668" s="27">
        <f>O88*IF($E668="weekday",INDEX('Category Mapping'!$F$28:$F$39,MATCH('Summarized Source Data'!$A668,'Category Mapping'!$A$28:$A$39,0),1),INDEX('Category Mapping'!$E$28:$E$39,MATCH($A668,'Category Mapping'!$A$28:$A$39,0),1))</f>
        <v>10813932985.714287</v>
      </c>
      <c r="P668" s="27">
        <f>P88*IF($E668="weekday",INDEX('Category Mapping'!$F$28:$F$39,MATCH('Summarized Source Data'!$A668,'Category Mapping'!$A$28:$A$39,0),1),INDEX('Category Mapping'!$E$28:$E$39,MATCH($A668,'Category Mapping'!$A$28:$A$39,0),1))</f>
        <v>10813932985.714287</v>
      </c>
      <c r="Q668" s="27">
        <f>Q88*IF($E668="weekday",INDEX('Category Mapping'!$F$28:$F$39,MATCH('Summarized Source Data'!$A668,'Category Mapping'!$A$28:$A$39,0),1),INDEX('Category Mapping'!$E$28:$E$39,MATCH($A668,'Category Mapping'!$A$28:$A$39,0),1))</f>
        <v>10813932985.714287</v>
      </c>
      <c r="R668" s="27">
        <f>R88*IF($E668="weekday",INDEX('Category Mapping'!$F$28:$F$39,MATCH('Summarized Source Data'!$A668,'Category Mapping'!$A$28:$A$39,0),1),INDEX('Category Mapping'!$E$28:$E$39,MATCH($A668,'Category Mapping'!$A$28:$A$39,0),1))</f>
        <v>252857142.8571429</v>
      </c>
      <c r="S668" s="27">
        <f>S88*IF($E668="weekday",INDEX('Category Mapping'!$F$28:$F$39,MATCH('Summarized Source Data'!$A668,'Category Mapping'!$A$28:$A$39,0),1),INDEX('Category Mapping'!$E$28:$E$39,MATCH($A668,'Category Mapping'!$A$28:$A$39,0),1))</f>
        <v>252857142.8571429</v>
      </c>
      <c r="T668" s="27">
        <f>T88*IF($E668="weekday",INDEX('Category Mapping'!$F$28:$F$39,MATCH('Summarized Source Data'!$A668,'Category Mapping'!$A$28:$A$39,0),1),INDEX('Category Mapping'!$E$28:$E$39,MATCH($A668,'Category Mapping'!$A$28:$A$39,0),1))</f>
        <v>252857142.8571429</v>
      </c>
      <c r="U668" s="27">
        <f>U88*IF($E668="weekday",INDEX('Category Mapping'!$F$28:$F$39,MATCH('Summarized Source Data'!$A668,'Category Mapping'!$A$28:$A$39,0),1),INDEX('Category Mapping'!$E$28:$E$39,MATCH($A668,'Category Mapping'!$A$28:$A$39,0),1))</f>
        <v>252857142.8571429</v>
      </c>
      <c r="V668" s="27">
        <f>V88*IF($E668="weekday",INDEX('Category Mapping'!$F$28:$F$39,MATCH('Summarized Source Data'!$A668,'Category Mapping'!$A$28:$A$39,0),1),INDEX('Category Mapping'!$E$28:$E$39,MATCH($A668,'Category Mapping'!$A$28:$A$39,0),1))</f>
        <v>252857142.8571429</v>
      </c>
      <c r="W668" s="27">
        <f>W88*IF($E668="weekday",INDEX('Category Mapping'!$F$28:$F$39,MATCH('Summarized Source Data'!$A668,'Category Mapping'!$A$28:$A$39,0),1),INDEX('Category Mapping'!$E$28:$E$39,MATCH($A668,'Category Mapping'!$A$28:$A$39,0),1))</f>
        <v>252857142.8571429</v>
      </c>
      <c r="X668" s="27">
        <f>X88*IF($E668="weekday",INDEX('Category Mapping'!$F$28:$F$39,MATCH('Summarized Source Data'!$A668,'Category Mapping'!$A$28:$A$39,0),1),INDEX('Category Mapping'!$E$28:$E$39,MATCH($A668,'Category Mapping'!$A$28:$A$39,0),1))</f>
        <v>13928571428.57143</v>
      </c>
      <c r="Y668" s="27">
        <f>Y88*IF($E668="weekday",INDEX('Category Mapping'!$F$28:$F$39,MATCH('Summarized Source Data'!$A668,'Category Mapping'!$A$28:$A$39,0),1),INDEX('Category Mapping'!$E$28:$E$39,MATCH($A668,'Category Mapping'!$A$28:$A$39,0),1))</f>
        <v>13928571428.57143</v>
      </c>
      <c r="Z668" s="27">
        <f>Z88*IF($E668="weekday",INDEX('Category Mapping'!$F$28:$F$39,MATCH('Summarized Source Data'!$A668,'Category Mapping'!$A$28:$A$39,0),1),INDEX('Category Mapping'!$E$28:$E$39,MATCH($A668,'Category Mapping'!$A$28:$A$39,0),1))</f>
        <v>13928571428.57143</v>
      </c>
    </row>
    <row r="669" spans="1:26" x14ac:dyDescent="0.3">
      <c r="A669">
        <f t="shared" ref="A669:E669" si="134">A89</f>
        <v>4</v>
      </c>
      <c r="B669" t="str">
        <f t="shared" si="134"/>
        <v>Spring</v>
      </c>
      <c r="C669" t="str">
        <f t="shared" si="134"/>
        <v>h14</v>
      </c>
      <c r="D669" t="str">
        <f t="shared" si="134"/>
        <v>Hour13</v>
      </c>
      <c r="E669" t="str">
        <f t="shared" si="134"/>
        <v>Weekday</v>
      </c>
      <c r="F669" s="27">
        <f>F89*IF($E669="weekday",INDEX('Category Mapping'!$F$28:$F$39,MATCH('Summarized Source Data'!$A669,'Category Mapping'!$A$28:$A$39,0),1),INDEX('Category Mapping'!$E$28:$E$39,MATCH($A669,'Category Mapping'!$A$28:$A$39,0),1))</f>
        <v>138018450</v>
      </c>
      <c r="G669" s="27">
        <f>G89*IF($E669="weekday",INDEX('Category Mapping'!$F$28:$F$39,MATCH('Summarized Source Data'!$A669,'Category Mapping'!$A$28:$A$39,0),1),INDEX('Category Mapping'!$E$28:$E$39,MATCH($A669,'Category Mapping'!$A$28:$A$39,0),1))</f>
        <v>11502085.714285715</v>
      </c>
      <c r="H669" s="27">
        <f>H89*IF($E669="weekday",INDEX('Category Mapping'!$F$28:$F$39,MATCH('Summarized Source Data'!$A669,'Category Mapping'!$A$28:$A$39,0),1),INDEX('Category Mapping'!$E$28:$E$39,MATCH($A669,'Category Mapping'!$A$28:$A$39,0),1))</f>
        <v>0</v>
      </c>
      <c r="I669" s="27">
        <f>I89*IF($E669="weekday",INDEX('Category Mapping'!$F$28:$F$39,MATCH('Summarized Source Data'!$A669,'Category Mapping'!$A$28:$A$39,0),1),INDEX('Category Mapping'!$E$28:$E$39,MATCH($A669,'Category Mapping'!$A$28:$A$39,0),1))</f>
        <v>233571428.5714286</v>
      </c>
      <c r="J669" s="27">
        <f>J89*IF($E669="weekday",INDEX('Category Mapping'!$F$28:$F$39,MATCH('Summarized Source Data'!$A669,'Category Mapping'!$A$28:$A$39,0),1),INDEX('Category Mapping'!$E$28:$E$39,MATCH($A669,'Category Mapping'!$A$28:$A$39,0),1))</f>
        <v>2231193750</v>
      </c>
      <c r="K669" s="27">
        <f>K89*IF($E669="weekday",INDEX('Category Mapping'!$F$28:$F$39,MATCH('Summarized Source Data'!$A669,'Category Mapping'!$A$28:$A$39,0),1),INDEX('Category Mapping'!$E$28:$E$39,MATCH($A669,'Category Mapping'!$A$28:$A$39,0),1))</f>
        <v>2231193750</v>
      </c>
      <c r="L669" s="27">
        <f>L89*IF($E669="weekday",INDEX('Category Mapping'!$F$28:$F$39,MATCH('Summarized Source Data'!$A669,'Category Mapping'!$A$28:$A$39,0),1),INDEX('Category Mapping'!$E$28:$E$39,MATCH($A669,'Category Mapping'!$A$28:$A$39,0),1))</f>
        <v>287142857.14285719</v>
      </c>
      <c r="M669" s="27">
        <f>M89*IF($E669="weekday",INDEX('Category Mapping'!$F$28:$F$39,MATCH('Summarized Source Data'!$A669,'Category Mapping'!$A$28:$A$39,0),1),INDEX('Category Mapping'!$E$28:$E$39,MATCH($A669,'Category Mapping'!$A$28:$A$39,0),1))</f>
        <v>16497642.857142858</v>
      </c>
      <c r="N669" s="27">
        <f>N89*IF($E669="weekday",INDEX('Category Mapping'!$F$28:$F$39,MATCH('Summarized Source Data'!$A669,'Category Mapping'!$A$28:$A$39,0),1),INDEX('Category Mapping'!$E$28:$E$39,MATCH($A669,'Category Mapping'!$A$28:$A$39,0),1))</f>
        <v>0</v>
      </c>
      <c r="O669" s="27">
        <f>O89*IF($E669="weekday",INDEX('Category Mapping'!$F$28:$F$39,MATCH('Summarized Source Data'!$A669,'Category Mapping'!$A$28:$A$39,0),1),INDEX('Category Mapping'!$E$28:$E$39,MATCH($A669,'Category Mapping'!$A$28:$A$39,0),1))</f>
        <v>10817788071.428572</v>
      </c>
      <c r="P669" s="27">
        <f>P89*IF($E669="weekday",INDEX('Category Mapping'!$F$28:$F$39,MATCH('Summarized Source Data'!$A669,'Category Mapping'!$A$28:$A$39,0),1),INDEX('Category Mapping'!$E$28:$E$39,MATCH($A669,'Category Mapping'!$A$28:$A$39,0),1))</f>
        <v>10817788071.428572</v>
      </c>
      <c r="Q669" s="27">
        <f>Q89*IF($E669="weekday",INDEX('Category Mapping'!$F$28:$F$39,MATCH('Summarized Source Data'!$A669,'Category Mapping'!$A$28:$A$39,0),1),INDEX('Category Mapping'!$E$28:$E$39,MATCH($A669,'Category Mapping'!$A$28:$A$39,0),1))</f>
        <v>10817788071.428572</v>
      </c>
      <c r="R669" s="27">
        <f>R89*IF($E669="weekday",INDEX('Category Mapping'!$F$28:$F$39,MATCH('Summarized Source Data'!$A669,'Category Mapping'!$A$28:$A$39,0),1),INDEX('Category Mapping'!$E$28:$E$39,MATCH($A669,'Category Mapping'!$A$28:$A$39,0),1))</f>
        <v>252857142.8571429</v>
      </c>
      <c r="S669" s="27">
        <f>S89*IF($E669="weekday",INDEX('Category Mapping'!$F$28:$F$39,MATCH('Summarized Source Data'!$A669,'Category Mapping'!$A$28:$A$39,0),1),INDEX('Category Mapping'!$E$28:$E$39,MATCH($A669,'Category Mapping'!$A$28:$A$39,0),1))</f>
        <v>252857142.8571429</v>
      </c>
      <c r="T669" s="27">
        <f>T89*IF($E669="weekday",INDEX('Category Mapping'!$F$28:$F$39,MATCH('Summarized Source Data'!$A669,'Category Mapping'!$A$28:$A$39,0),1),INDEX('Category Mapping'!$E$28:$E$39,MATCH($A669,'Category Mapping'!$A$28:$A$39,0),1))</f>
        <v>252857142.8571429</v>
      </c>
      <c r="U669" s="27">
        <f>U89*IF($E669="weekday",INDEX('Category Mapping'!$F$28:$F$39,MATCH('Summarized Source Data'!$A669,'Category Mapping'!$A$28:$A$39,0),1),INDEX('Category Mapping'!$E$28:$E$39,MATCH($A669,'Category Mapping'!$A$28:$A$39,0),1))</f>
        <v>252857142.8571429</v>
      </c>
      <c r="V669" s="27">
        <f>V89*IF($E669="weekday",INDEX('Category Mapping'!$F$28:$F$39,MATCH('Summarized Source Data'!$A669,'Category Mapping'!$A$28:$A$39,0),1),INDEX('Category Mapping'!$E$28:$E$39,MATCH($A669,'Category Mapping'!$A$28:$A$39,0),1))</f>
        <v>252857142.8571429</v>
      </c>
      <c r="W669" s="27">
        <f>W89*IF($E669="weekday",INDEX('Category Mapping'!$F$28:$F$39,MATCH('Summarized Source Data'!$A669,'Category Mapping'!$A$28:$A$39,0),1),INDEX('Category Mapping'!$E$28:$E$39,MATCH($A669,'Category Mapping'!$A$28:$A$39,0),1))</f>
        <v>252857142.8571429</v>
      </c>
      <c r="X669" s="27">
        <f>X89*IF($E669="weekday",INDEX('Category Mapping'!$F$28:$F$39,MATCH('Summarized Source Data'!$A669,'Category Mapping'!$A$28:$A$39,0),1),INDEX('Category Mapping'!$E$28:$E$39,MATCH($A669,'Category Mapping'!$A$28:$A$39,0),1))</f>
        <v>13928571428.57143</v>
      </c>
      <c r="Y669" s="27">
        <f>Y89*IF($E669="weekday",INDEX('Category Mapping'!$F$28:$F$39,MATCH('Summarized Source Data'!$A669,'Category Mapping'!$A$28:$A$39,0),1),INDEX('Category Mapping'!$E$28:$E$39,MATCH($A669,'Category Mapping'!$A$28:$A$39,0),1))</f>
        <v>13928571428.57143</v>
      </c>
      <c r="Z669" s="27">
        <f>Z89*IF($E669="weekday",INDEX('Category Mapping'!$F$28:$F$39,MATCH('Summarized Source Data'!$A669,'Category Mapping'!$A$28:$A$39,0),1),INDEX('Category Mapping'!$E$28:$E$39,MATCH($A669,'Category Mapping'!$A$28:$A$39,0),1))</f>
        <v>13928571428.57143</v>
      </c>
    </row>
    <row r="670" spans="1:26" x14ac:dyDescent="0.3">
      <c r="A670">
        <f t="shared" ref="A670:E670" si="135">A90</f>
        <v>4</v>
      </c>
      <c r="B670" t="str">
        <f t="shared" si="135"/>
        <v>Spring</v>
      </c>
      <c r="C670" t="str">
        <f t="shared" si="135"/>
        <v>h15</v>
      </c>
      <c r="D670" t="str">
        <f t="shared" si="135"/>
        <v>Hour14</v>
      </c>
      <c r="E670" t="str">
        <f t="shared" si="135"/>
        <v>Weekday</v>
      </c>
      <c r="F670" s="27">
        <f>F90*IF($E670="weekday",INDEX('Category Mapping'!$F$28:$F$39,MATCH('Summarized Source Data'!$A670,'Category Mapping'!$A$28:$A$39,0),1),INDEX('Category Mapping'!$E$28:$E$39,MATCH($A670,'Category Mapping'!$A$28:$A$39,0),1))</f>
        <v>140016621.42857143</v>
      </c>
      <c r="G670" s="27">
        <f>G90*IF($E670="weekday",INDEX('Category Mapping'!$F$28:$F$39,MATCH('Summarized Source Data'!$A670,'Category Mapping'!$A$28:$A$39,0),1),INDEX('Category Mapping'!$E$28:$E$39,MATCH($A670,'Category Mapping'!$A$28:$A$39,0),1))</f>
        <v>22294285.714285716</v>
      </c>
      <c r="H670" s="27">
        <f>H90*IF($E670="weekday",INDEX('Category Mapping'!$F$28:$F$39,MATCH('Summarized Source Data'!$A670,'Category Mapping'!$A$28:$A$39,0),1),INDEX('Category Mapping'!$E$28:$E$39,MATCH($A670,'Category Mapping'!$A$28:$A$39,0),1))</f>
        <v>0</v>
      </c>
      <c r="I670" s="27">
        <f>I90*IF($E670="weekday",INDEX('Category Mapping'!$F$28:$F$39,MATCH('Summarized Source Data'!$A670,'Category Mapping'!$A$28:$A$39,0),1),INDEX('Category Mapping'!$E$28:$E$39,MATCH($A670,'Category Mapping'!$A$28:$A$39,0),1))</f>
        <v>240000000.00000003</v>
      </c>
      <c r="J670" s="27">
        <f>J90*IF($E670="weekday",INDEX('Category Mapping'!$F$28:$F$39,MATCH('Summarized Source Data'!$A670,'Category Mapping'!$A$28:$A$39,0),1),INDEX('Category Mapping'!$E$28:$E$39,MATCH($A670,'Category Mapping'!$A$28:$A$39,0),1))</f>
        <v>2297689092.8571429</v>
      </c>
      <c r="K670" s="27">
        <f>K90*IF($E670="weekday",INDEX('Category Mapping'!$F$28:$F$39,MATCH('Summarized Source Data'!$A670,'Category Mapping'!$A$28:$A$39,0),1),INDEX('Category Mapping'!$E$28:$E$39,MATCH($A670,'Category Mapping'!$A$28:$A$39,0),1))</f>
        <v>2297689092.8571429</v>
      </c>
      <c r="L670" s="27">
        <f>L90*IF($E670="weekday",INDEX('Category Mapping'!$F$28:$F$39,MATCH('Summarized Source Data'!$A670,'Category Mapping'!$A$28:$A$39,0),1),INDEX('Category Mapping'!$E$28:$E$39,MATCH($A670,'Category Mapping'!$A$28:$A$39,0),1))</f>
        <v>267857142.8571429</v>
      </c>
      <c r="M670" s="27">
        <f>M90*IF($E670="weekday",INDEX('Category Mapping'!$F$28:$F$39,MATCH('Summarized Source Data'!$A670,'Category Mapping'!$A$28:$A$39,0),1),INDEX('Category Mapping'!$E$28:$E$39,MATCH($A670,'Category Mapping'!$A$28:$A$39,0),1))</f>
        <v>16951328.571428575</v>
      </c>
      <c r="N670" s="27">
        <f>N90*IF($E670="weekday",INDEX('Category Mapping'!$F$28:$F$39,MATCH('Summarized Source Data'!$A670,'Category Mapping'!$A$28:$A$39,0),1),INDEX('Category Mapping'!$E$28:$E$39,MATCH($A670,'Category Mapping'!$A$28:$A$39,0),1))</f>
        <v>0</v>
      </c>
      <c r="O670" s="27">
        <f>O90*IF($E670="weekday",INDEX('Category Mapping'!$F$28:$F$39,MATCH('Summarized Source Data'!$A670,'Category Mapping'!$A$28:$A$39,0),1),INDEX('Category Mapping'!$E$28:$E$39,MATCH($A670,'Category Mapping'!$A$28:$A$39,0),1))</f>
        <v>10815191528.57143</v>
      </c>
      <c r="P670" s="27">
        <f>P90*IF($E670="weekday",INDEX('Category Mapping'!$F$28:$F$39,MATCH('Summarized Source Data'!$A670,'Category Mapping'!$A$28:$A$39,0),1),INDEX('Category Mapping'!$E$28:$E$39,MATCH($A670,'Category Mapping'!$A$28:$A$39,0),1))</f>
        <v>10815191528.57143</v>
      </c>
      <c r="Q670" s="27">
        <f>Q90*IF($E670="weekday",INDEX('Category Mapping'!$F$28:$F$39,MATCH('Summarized Source Data'!$A670,'Category Mapping'!$A$28:$A$39,0),1),INDEX('Category Mapping'!$E$28:$E$39,MATCH($A670,'Category Mapping'!$A$28:$A$39,0),1))</f>
        <v>10815191528.57143</v>
      </c>
      <c r="R670" s="27">
        <f>R90*IF($E670="weekday",INDEX('Category Mapping'!$F$28:$F$39,MATCH('Summarized Source Data'!$A670,'Category Mapping'!$A$28:$A$39,0),1),INDEX('Category Mapping'!$E$28:$E$39,MATCH($A670,'Category Mapping'!$A$28:$A$39,0),1))</f>
        <v>248571428.5714286</v>
      </c>
      <c r="S670" s="27">
        <f>S90*IF($E670="weekday",INDEX('Category Mapping'!$F$28:$F$39,MATCH('Summarized Source Data'!$A670,'Category Mapping'!$A$28:$A$39,0),1),INDEX('Category Mapping'!$E$28:$E$39,MATCH($A670,'Category Mapping'!$A$28:$A$39,0),1))</f>
        <v>248571428.5714286</v>
      </c>
      <c r="T670" s="27">
        <f>T90*IF($E670="weekday",INDEX('Category Mapping'!$F$28:$F$39,MATCH('Summarized Source Data'!$A670,'Category Mapping'!$A$28:$A$39,0),1),INDEX('Category Mapping'!$E$28:$E$39,MATCH($A670,'Category Mapping'!$A$28:$A$39,0),1))</f>
        <v>248571428.5714286</v>
      </c>
      <c r="U670" s="27">
        <f>U90*IF($E670="weekday",INDEX('Category Mapping'!$F$28:$F$39,MATCH('Summarized Source Data'!$A670,'Category Mapping'!$A$28:$A$39,0),1),INDEX('Category Mapping'!$E$28:$E$39,MATCH($A670,'Category Mapping'!$A$28:$A$39,0),1))</f>
        <v>248571428.5714286</v>
      </c>
      <c r="V670" s="27">
        <f>V90*IF($E670="weekday",INDEX('Category Mapping'!$F$28:$F$39,MATCH('Summarized Source Data'!$A670,'Category Mapping'!$A$28:$A$39,0),1),INDEX('Category Mapping'!$E$28:$E$39,MATCH($A670,'Category Mapping'!$A$28:$A$39,0),1))</f>
        <v>248571428.5714286</v>
      </c>
      <c r="W670" s="27">
        <f>W90*IF($E670="weekday",INDEX('Category Mapping'!$F$28:$F$39,MATCH('Summarized Source Data'!$A670,'Category Mapping'!$A$28:$A$39,0),1),INDEX('Category Mapping'!$E$28:$E$39,MATCH($A670,'Category Mapping'!$A$28:$A$39,0),1))</f>
        <v>248571428.5714286</v>
      </c>
      <c r="X670" s="27">
        <f>X90*IF($E670="weekday",INDEX('Category Mapping'!$F$28:$F$39,MATCH('Summarized Source Data'!$A670,'Category Mapping'!$A$28:$A$39,0),1),INDEX('Category Mapping'!$E$28:$E$39,MATCH($A670,'Category Mapping'!$A$28:$A$39,0),1))</f>
        <v>13950000000.000002</v>
      </c>
      <c r="Y670" s="27">
        <f>Y90*IF($E670="weekday",INDEX('Category Mapping'!$F$28:$F$39,MATCH('Summarized Source Data'!$A670,'Category Mapping'!$A$28:$A$39,0),1),INDEX('Category Mapping'!$E$28:$E$39,MATCH($A670,'Category Mapping'!$A$28:$A$39,0),1))</f>
        <v>13950000000.000002</v>
      </c>
      <c r="Z670" s="27">
        <f>Z90*IF($E670="weekday",INDEX('Category Mapping'!$F$28:$F$39,MATCH('Summarized Source Data'!$A670,'Category Mapping'!$A$28:$A$39,0),1),INDEX('Category Mapping'!$E$28:$E$39,MATCH($A670,'Category Mapping'!$A$28:$A$39,0),1))</f>
        <v>13950000000.000002</v>
      </c>
    </row>
    <row r="671" spans="1:26" x14ac:dyDescent="0.3">
      <c r="A671">
        <f t="shared" ref="A671:E671" si="136">A91</f>
        <v>4</v>
      </c>
      <c r="B671" t="str">
        <f t="shared" si="136"/>
        <v>Spring</v>
      </c>
      <c r="C671" t="str">
        <f t="shared" si="136"/>
        <v>h16</v>
      </c>
      <c r="D671" t="str">
        <f t="shared" si="136"/>
        <v>Hour15</v>
      </c>
      <c r="E671" t="str">
        <f t="shared" si="136"/>
        <v>Weekday</v>
      </c>
      <c r="F671" s="27">
        <f>F91*IF($E671="weekday",INDEX('Category Mapping'!$F$28:$F$39,MATCH('Summarized Source Data'!$A671,'Category Mapping'!$A$28:$A$39,0),1),INDEX('Category Mapping'!$E$28:$E$39,MATCH($A671,'Category Mapping'!$A$28:$A$39,0),1))</f>
        <v>146471035.71428573</v>
      </c>
      <c r="G671" s="27">
        <f>G91*IF($E671="weekday",INDEX('Category Mapping'!$F$28:$F$39,MATCH('Summarized Source Data'!$A671,'Category Mapping'!$A$28:$A$39,0),1),INDEX('Category Mapping'!$E$28:$E$39,MATCH($A671,'Category Mapping'!$A$28:$A$39,0),1))</f>
        <v>13118507.142857144</v>
      </c>
      <c r="H671" s="27">
        <f>H91*IF($E671="weekday",INDEX('Category Mapping'!$F$28:$F$39,MATCH('Summarized Source Data'!$A671,'Category Mapping'!$A$28:$A$39,0),1),INDEX('Category Mapping'!$E$28:$E$39,MATCH($A671,'Category Mapping'!$A$28:$A$39,0),1))</f>
        <v>0</v>
      </c>
      <c r="I671" s="27">
        <f>I91*IF($E671="weekday",INDEX('Category Mapping'!$F$28:$F$39,MATCH('Summarized Source Data'!$A671,'Category Mapping'!$A$28:$A$39,0),1),INDEX('Category Mapping'!$E$28:$E$39,MATCH($A671,'Category Mapping'!$A$28:$A$39,0),1))</f>
        <v>259285714.2857143</v>
      </c>
      <c r="J671" s="27">
        <f>J91*IF($E671="weekday",INDEX('Category Mapping'!$F$28:$F$39,MATCH('Summarized Source Data'!$A671,'Category Mapping'!$A$28:$A$39,0),1),INDEX('Category Mapping'!$E$28:$E$39,MATCH($A671,'Category Mapping'!$A$28:$A$39,0),1))</f>
        <v>2602553314.2857146</v>
      </c>
      <c r="K671" s="27">
        <f>K91*IF($E671="weekday",INDEX('Category Mapping'!$F$28:$F$39,MATCH('Summarized Source Data'!$A671,'Category Mapping'!$A$28:$A$39,0),1),INDEX('Category Mapping'!$E$28:$E$39,MATCH($A671,'Category Mapping'!$A$28:$A$39,0),1))</f>
        <v>2602553314.2857146</v>
      </c>
      <c r="L671" s="27">
        <f>L91*IF($E671="weekday",INDEX('Category Mapping'!$F$28:$F$39,MATCH('Summarized Source Data'!$A671,'Category Mapping'!$A$28:$A$39,0),1),INDEX('Category Mapping'!$E$28:$E$39,MATCH($A671,'Category Mapping'!$A$28:$A$39,0),1))</f>
        <v>246428571.42857146</v>
      </c>
      <c r="M671" s="27">
        <f>M91*IF($E671="weekday",INDEX('Category Mapping'!$F$28:$F$39,MATCH('Summarized Source Data'!$A671,'Category Mapping'!$A$28:$A$39,0),1),INDEX('Category Mapping'!$E$28:$E$39,MATCH($A671,'Category Mapping'!$A$28:$A$39,0),1))</f>
        <v>16913935.714285716</v>
      </c>
      <c r="N671" s="27">
        <f>N91*IF($E671="weekday",INDEX('Category Mapping'!$F$28:$F$39,MATCH('Summarized Source Data'!$A671,'Category Mapping'!$A$28:$A$39,0),1),INDEX('Category Mapping'!$E$28:$E$39,MATCH($A671,'Category Mapping'!$A$28:$A$39,0),1))</f>
        <v>0</v>
      </c>
      <c r="O671" s="27">
        <f>O91*IF($E671="weekday",INDEX('Category Mapping'!$F$28:$F$39,MATCH('Summarized Source Data'!$A671,'Category Mapping'!$A$28:$A$39,0),1),INDEX('Category Mapping'!$E$28:$E$39,MATCH($A671,'Category Mapping'!$A$28:$A$39,0),1))</f>
        <v>10815228921.428572</v>
      </c>
      <c r="P671" s="27">
        <f>P91*IF($E671="weekday",INDEX('Category Mapping'!$F$28:$F$39,MATCH('Summarized Source Data'!$A671,'Category Mapping'!$A$28:$A$39,0),1),INDEX('Category Mapping'!$E$28:$E$39,MATCH($A671,'Category Mapping'!$A$28:$A$39,0),1))</f>
        <v>10815228921.428572</v>
      </c>
      <c r="Q671" s="27">
        <f>Q91*IF($E671="weekday",INDEX('Category Mapping'!$F$28:$F$39,MATCH('Summarized Source Data'!$A671,'Category Mapping'!$A$28:$A$39,0),1),INDEX('Category Mapping'!$E$28:$E$39,MATCH($A671,'Category Mapping'!$A$28:$A$39,0),1))</f>
        <v>10815228921.428572</v>
      </c>
      <c r="R671" s="27">
        <f>R91*IF($E671="weekday",INDEX('Category Mapping'!$F$28:$F$39,MATCH('Summarized Source Data'!$A671,'Category Mapping'!$A$28:$A$39,0),1),INDEX('Category Mapping'!$E$28:$E$39,MATCH($A671,'Category Mapping'!$A$28:$A$39,0),1))</f>
        <v>295714285.71428573</v>
      </c>
      <c r="S671" s="27">
        <f>S91*IF($E671="weekday",INDEX('Category Mapping'!$F$28:$F$39,MATCH('Summarized Source Data'!$A671,'Category Mapping'!$A$28:$A$39,0),1),INDEX('Category Mapping'!$E$28:$E$39,MATCH($A671,'Category Mapping'!$A$28:$A$39,0),1))</f>
        <v>295714285.71428573</v>
      </c>
      <c r="T671" s="27">
        <f>T91*IF($E671="weekday",INDEX('Category Mapping'!$F$28:$F$39,MATCH('Summarized Source Data'!$A671,'Category Mapping'!$A$28:$A$39,0),1),INDEX('Category Mapping'!$E$28:$E$39,MATCH($A671,'Category Mapping'!$A$28:$A$39,0),1))</f>
        <v>295714285.71428573</v>
      </c>
      <c r="U671" s="27">
        <f>U91*IF($E671="weekday",INDEX('Category Mapping'!$F$28:$F$39,MATCH('Summarized Source Data'!$A671,'Category Mapping'!$A$28:$A$39,0),1),INDEX('Category Mapping'!$E$28:$E$39,MATCH($A671,'Category Mapping'!$A$28:$A$39,0),1))</f>
        <v>295714285.71428573</v>
      </c>
      <c r="V671" s="27">
        <f>V91*IF($E671="weekday",INDEX('Category Mapping'!$F$28:$F$39,MATCH('Summarized Source Data'!$A671,'Category Mapping'!$A$28:$A$39,0),1),INDEX('Category Mapping'!$E$28:$E$39,MATCH($A671,'Category Mapping'!$A$28:$A$39,0),1))</f>
        <v>295714285.71428573</v>
      </c>
      <c r="W671" s="27">
        <f>W91*IF($E671="weekday",INDEX('Category Mapping'!$F$28:$F$39,MATCH('Summarized Source Data'!$A671,'Category Mapping'!$A$28:$A$39,0),1),INDEX('Category Mapping'!$E$28:$E$39,MATCH($A671,'Category Mapping'!$A$28:$A$39,0),1))</f>
        <v>295714285.71428573</v>
      </c>
      <c r="X671" s="27">
        <f>X91*IF($E671="weekday",INDEX('Category Mapping'!$F$28:$F$39,MATCH('Summarized Source Data'!$A671,'Category Mapping'!$A$28:$A$39,0),1),INDEX('Category Mapping'!$E$28:$E$39,MATCH($A671,'Category Mapping'!$A$28:$A$39,0),1))</f>
        <v>14057142857.142859</v>
      </c>
      <c r="Y671" s="27">
        <f>Y91*IF($E671="weekday",INDEX('Category Mapping'!$F$28:$F$39,MATCH('Summarized Source Data'!$A671,'Category Mapping'!$A$28:$A$39,0),1),INDEX('Category Mapping'!$E$28:$E$39,MATCH($A671,'Category Mapping'!$A$28:$A$39,0),1))</f>
        <v>14057142857.142859</v>
      </c>
      <c r="Z671" s="27">
        <f>Z91*IF($E671="weekday",INDEX('Category Mapping'!$F$28:$F$39,MATCH('Summarized Source Data'!$A671,'Category Mapping'!$A$28:$A$39,0),1),INDEX('Category Mapping'!$E$28:$E$39,MATCH($A671,'Category Mapping'!$A$28:$A$39,0),1))</f>
        <v>14057142857.142859</v>
      </c>
    </row>
    <row r="672" spans="1:26" x14ac:dyDescent="0.3">
      <c r="A672">
        <f t="shared" ref="A672:E672" si="137">A92</f>
        <v>4</v>
      </c>
      <c r="B672" t="str">
        <f t="shared" si="137"/>
        <v>Spring</v>
      </c>
      <c r="C672" t="str">
        <f t="shared" si="137"/>
        <v>h17</v>
      </c>
      <c r="D672" t="str">
        <f t="shared" si="137"/>
        <v>Hour16</v>
      </c>
      <c r="E672" t="str">
        <f t="shared" si="137"/>
        <v>Weekday</v>
      </c>
      <c r="F672" s="27">
        <f>F92*IF($E672="weekday",INDEX('Category Mapping'!$F$28:$F$39,MATCH('Summarized Source Data'!$A672,'Category Mapping'!$A$28:$A$39,0),1),INDEX('Category Mapping'!$E$28:$E$39,MATCH($A672,'Category Mapping'!$A$28:$A$39,0),1))</f>
        <v>154248535.71428573</v>
      </c>
      <c r="G672" s="27">
        <f>G92*IF($E672="weekday",INDEX('Category Mapping'!$F$28:$F$39,MATCH('Summarized Source Data'!$A672,'Category Mapping'!$A$28:$A$39,0),1),INDEX('Category Mapping'!$E$28:$E$39,MATCH($A672,'Category Mapping'!$A$28:$A$39,0),1))</f>
        <v>485700.00000000006</v>
      </c>
      <c r="H672" s="27">
        <f>H92*IF($E672="weekday",INDEX('Category Mapping'!$F$28:$F$39,MATCH('Summarized Source Data'!$A672,'Category Mapping'!$A$28:$A$39,0),1),INDEX('Category Mapping'!$E$28:$E$39,MATCH($A672,'Category Mapping'!$A$28:$A$39,0),1))</f>
        <v>0</v>
      </c>
      <c r="I672" s="27">
        <f>I92*IF($E672="weekday",INDEX('Category Mapping'!$F$28:$F$39,MATCH('Summarized Source Data'!$A672,'Category Mapping'!$A$28:$A$39,0),1),INDEX('Category Mapping'!$E$28:$E$39,MATCH($A672,'Category Mapping'!$A$28:$A$39,0),1))</f>
        <v>282857142.85714287</v>
      </c>
      <c r="J672" s="27">
        <f>J92*IF($E672="weekday",INDEX('Category Mapping'!$F$28:$F$39,MATCH('Summarized Source Data'!$A672,'Category Mapping'!$A$28:$A$39,0),1),INDEX('Category Mapping'!$E$28:$E$39,MATCH($A672,'Category Mapping'!$A$28:$A$39,0),1))</f>
        <v>3140980050.0000005</v>
      </c>
      <c r="K672" s="27">
        <f>K92*IF($E672="weekday",INDEX('Category Mapping'!$F$28:$F$39,MATCH('Summarized Source Data'!$A672,'Category Mapping'!$A$28:$A$39,0),1),INDEX('Category Mapping'!$E$28:$E$39,MATCH($A672,'Category Mapping'!$A$28:$A$39,0),1))</f>
        <v>3140980050.0000005</v>
      </c>
      <c r="L672" s="27">
        <f>L92*IF($E672="weekday",INDEX('Category Mapping'!$F$28:$F$39,MATCH('Summarized Source Data'!$A672,'Category Mapping'!$A$28:$A$39,0),1),INDEX('Category Mapping'!$E$28:$E$39,MATCH($A672,'Category Mapping'!$A$28:$A$39,0),1))</f>
        <v>222857142.85714287</v>
      </c>
      <c r="M672" s="27">
        <f>M92*IF($E672="weekday",INDEX('Category Mapping'!$F$28:$F$39,MATCH('Summarized Source Data'!$A672,'Category Mapping'!$A$28:$A$39,0),1),INDEX('Category Mapping'!$E$28:$E$39,MATCH($A672,'Category Mapping'!$A$28:$A$39,0),1))</f>
        <v>16517378.571428573</v>
      </c>
      <c r="N672" s="27">
        <f>N92*IF($E672="weekday",INDEX('Category Mapping'!$F$28:$F$39,MATCH('Summarized Source Data'!$A672,'Category Mapping'!$A$28:$A$39,0),1),INDEX('Category Mapping'!$E$28:$E$39,MATCH($A672,'Category Mapping'!$A$28:$A$39,0),1))</f>
        <v>0</v>
      </c>
      <c r="O672" s="27">
        <f>O92*IF($E672="weekday",INDEX('Category Mapping'!$F$28:$F$39,MATCH('Summarized Source Data'!$A672,'Category Mapping'!$A$28:$A$39,0),1),INDEX('Category Mapping'!$E$28:$E$39,MATCH($A672,'Category Mapping'!$A$28:$A$39,0),1))</f>
        <v>10453482621.428572</v>
      </c>
      <c r="P672" s="27">
        <f>P92*IF($E672="weekday",INDEX('Category Mapping'!$F$28:$F$39,MATCH('Summarized Source Data'!$A672,'Category Mapping'!$A$28:$A$39,0),1),INDEX('Category Mapping'!$E$28:$E$39,MATCH($A672,'Category Mapping'!$A$28:$A$39,0),1))</f>
        <v>10453482621.428572</v>
      </c>
      <c r="Q672" s="27">
        <f>Q92*IF($E672="weekday",INDEX('Category Mapping'!$F$28:$F$39,MATCH('Summarized Source Data'!$A672,'Category Mapping'!$A$28:$A$39,0),1),INDEX('Category Mapping'!$E$28:$E$39,MATCH($A672,'Category Mapping'!$A$28:$A$39,0),1))</f>
        <v>10453482621.428572</v>
      </c>
      <c r="R672" s="27">
        <f>R92*IF($E672="weekday",INDEX('Category Mapping'!$F$28:$F$39,MATCH('Summarized Source Data'!$A672,'Category Mapping'!$A$28:$A$39,0),1),INDEX('Category Mapping'!$E$28:$E$39,MATCH($A672,'Category Mapping'!$A$28:$A$39,0),1))</f>
        <v>340714285.71428573</v>
      </c>
      <c r="S672" s="27">
        <f>S92*IF($E672="weekday",INDEX('Category Mapping'!$F$28:$F$39,MATCH('Summarized Source Data'!$A672,'Category Mapping'!$A$28:$A$39,0),1),INDEX('Category Mapping'!$E$28:$E$39,MATCH($A672,'Category Mapping'!$A$28:$A$39,0),1))</f>
        <v>340714285.71428573</v>
      </c>
      <c r="T672" s="27">
        <f>T92*IF($E672="weekday",INDEX('Category Mapping'!$F$28:$F$39,MATCH('Summarized Source Data'!$A672,'Category Mapping'!$A$28:$A$39,0),1),INDEX('Category Mapping'!$E$28:$E$39,MATCH($A672,'Category Mapping'!$A$28:$A$39,0),1))</f>
        <v>340714285.71428573</v>
      </c>
      <c r="U672" s="27">
        <f>U92*IF($E672="weekday",INDEX('Category Mapping'!$F$28:$F$39,MATCH('Summarized Source Data'!$A672,'Category Mapping'!$A$28:$A$39,0),1),INDEX('Category Mapping'!$E$28:$E$39,MATCH($A672,'Category Mapping'!$A$28:$A$39,0),1))</f>
        <v>340714285.71428573</v>
      </c>
      <c r="V672" s="27">
        <f>V92*IF($E672="weekday",INDEX('Category Mapping'!$F$28:$F$39,MATCH('Summarized Source Data'!$A672,'Category Mapping'!$A$28:$A$39,0),1),INDEX('Category Mapping'!$E$28:$E$39,MATCH($A672,'Category Mapping'!$A$28:$A$39,0),1))</f>
        <v>340714285.71428573</v>
      </c>
      <c r="W672" s="27">
        <f>W92*IF($E672="weekday",INDEX('Category Mapping'!$F$28:$F$39,MATCH('Summarized Source Data'!$A672,'Category Mapping'!$A$28:$A$39,0),1),INDEX('Category Mapping'!$E$28:$E$39,MATCH($A672,'Category Mapping'!$A$28:$A$39,0),1))</f>
        <v>340714285.71428573</v>
      </c>
      <c r="X672" s="27">
        <f>X92*IF($E672="weekday",INDEX('Category Mapping'!$F$28:$F$39,MATCH('Summarized Source Data'!$A672,'Category Mapping'!$A$28:$A$39,0),1),INDEX('Category Mapping'!$E$28:$E$39,MATCH($A672,'Category Mapping'!$A$28:$A$39,0),1))</f>
        <v>14185714285.714287</v>
      </c>
      <c r="Y672" s="27">
        <f>Y92*IF($E672="weekday",INDEX('Category Mapping'!$F$28:$F$39,MATCH('Summarized Source Data'!$A672,'Category Mapping'!$A$28:$A$39,0),1),INDEX('Category Mapping'!$E$28:$E$39,MATCH($A672,'Category Mapping'!$A$28:$A$39,0),1))</f>
        <v>14185714285.714287</v>
      </c>
      <c r="Z672" s="27">
        <f>Z92*IF($E672="weekday",INDEX('Category Mapping'!$F$28:$F$39,MATCH('Summarized Source Data'!$A672,'Category Mapping'!$A$28:$A$39,0),1),INDEX('Category Mapping'!$E$28:$E$39,MATCH($A672,'Category Mapping'!$A$28:$A$39,0),1))</f>
        <v>14185714285.714287</v>
      </c>
    </row>
    <row r="673" spans="1:26" x14ac:dyDescent="0.3">
      <c r="A673">
        <f t="shared" ref="A673:E673" si="138">A93</f>
        <v>4</v>
      </c>
      <c r="B673" t="str">
        <f t="shared" si="138"/>
        <v>Spring</v>
      </c>
      <c r="C673" t="str">
        <f t="shared" si="138"/>
        <v>h18</v>
      </c>
      <c r="D673" t="str">
        <f t="shared" si="138"/>
        <v>Hour17</v>
      </c>
      <c r="E673" t="str">
        <f t="shared" si="138"/>
        <v>Weekday</v>
      </c>
      <c r="F673" s="27">
        <f>F93*IF($E673="weekday",INDEX('Category Mapping'!$F$28:$F$39,MATCH('Summarized Source Data'!$A673,'Category Mapping'!$A$28:$A$39,0),1),INDEX('Category Mapping'!$E$28:$E$39,MATCH($A673,'Category Mapping'!$A$28:$A$39,0),1))</f>
        <v>162793350.00000003</v>
      </c>
      <c r="G673" s="27">
        <f>G93*IF($E673="weekday",INDEX('Category Mapping'!$F$28:$F$39,MATCH('Summarized Source Data'!$A673,'Category Mapping'!$A$28:$A$39,0),1),INDEX('Category Mapping'!$E$28:$E$39,MATCH($A673,'Category Mapping'!$A$28:$A$39,0),1))</f>
        <v>532350</v>
      </c>
      <c r="H673" s="27">
        <f>H93*IF($E673="weekday",INDEX('Category Mapping'!$F$28:$F$39,MATCH('Summarized Source Data'!$A673,'Category Mapping'!$A$28:$A$39,0),1),INDEX('Category Mapping'!$E$28:$E$39,MATCH($A673,'Category Mapping'!$A$28:$A$39,0),1))</f>
        <v>0</v>
      </c>
      <c r="I673" s="27">
        <f>I93*IF($E673="weekday",INDEX('Category Mapping'!$F$28:$F$39,MATCH('Summarized Source Data'!$A673,'Category Mapping'!$A$28:$A$39,0),1),INDEX('Category Mapping'!$E$28:$E$39,MATCH($A673,'Category Mapping'!$A$28:$A$39,0),1))</f>
        <v>488571428.5714286</v>
      </c>
      <c r="J673" s="27">
        <f>J93*IF($E673="weekday",INDEX('Category Mapping'!$F$28:$F$39,MATCH('Summarized Source Data'!$A673,'Category Mapping'!$A$28:$A$39,0),1),INDEX('Category Mapping'!$E$28:$E$39,MATCH($A673,'Category Mapping'!$A$28:$A$39,0),1))</f>
        <v>3462388585.7142859</v>
      </c>
      <c r="K673" s="27">
        <f>K93*IF($E673="weekday",INDEX('Category Mapping'!$F$28:$F$39,MATCH('Summarized Source Data'!$A673,'Category Mapping'!$A$28:$A$39,0),1),INDEX('Category Mapping'!$E$28:$E$39,MATCH($A673,'Category Mapping'!$A$28:$A$39,0),1))</f>
        <v>3462388585.7142859</v>
      </c>
      <c r="L673" s="27">
        <f>L93*IF($E673="weekday",INDEX('Category Mapping'!$F$28:$F$39,MATCH('Summarized Source Data'!$A673,'Category Mapping'!$A$28:$A$39,0),1),INDEX('Category Mapping'!$E$28:$E$39,MATCH($A673,'Category Mapping'!$A$28:$A$39,0),1))</f>
        <v>244285714.2857143</v>
      </c>
      <c r="M673" s="27">
        <f>M93*IF($E673="weekday",INDEX('Category Mapping'!$F$28:$F$39,MATCH('Summarized Source Data'!$A673,'Category Mapping'!$A$28:$A$39,0),1),INDEX('Category Mapping'!$E$28:$E$39,MATCH($A673,'Category Mapping'!$A$28:$A$39,0),1))</f>
        <v>15746635.714285716</v>
      </c>
      <c r="N673" s="27">
        <f>N93*IF($E673="weekday",INDEX('Category Mapping'!$F$28:$F$39,MATCH('Summarized Source Data'!$A673,'Category Mapping'!$A$28:$A$39,0),1),INDEX('Category Mapping'!$E$28:$E$39,MATCH($A673,'Category Mapping'!$A$28:$A$39,0),1))</f>
        <v>0</v>
      </c>
      <c r="O673" s="27">
        <f>O93*IF($E673="weekday",INDEX('Category Mapping'!$F$28:$F$39,MATCH('Summarized Source Data'!$A673,'Category Mapping'!$A$28:$A$39,0),1),INDEX('Category Mapping'!$E$28:$E$39,MATCH($A673,'Category Mapping'!$A$28:$A$39,0),1))</f>
        <v>9832824792.8571434</v>
      </c>
      <c r="P673" s="27">
        <f>P93*IF($E673="weekday",INDEX('Category Mapping'!$F$28:$F$39,MATCH('Summarized Source Data'!$A673,'Category Mapping'!$A$28:$A$39,0),1),INDEX('Category Mapping'!$E$28:$E$39,MATCH($A673,'Category Mapping'!$A$28:$A$39,0),1))</f>
        <v>9832824792.8571434</v>
      </c>
      <c r="Q673" s="27">
        <f>Q93*IF($E673="weekday",INDEX('Category Mapping'!$F$28:$F$39,MATCH('Summarized Source Data'!$A673,'Category Mapping'!$A$28:$A$39,0),1),INDEX('Category Mapping'!$E$28:$E$39,MATCH($A673,'Category Mapping'!$A$28:$A$39,0),1))</f>
        <v>9832824792.8571434</v>
      </c>
      <c r="R673" s="27">
        <f>R93*IF($E673="weekday",INDEX('Category Mapping'!$F$28:$F$39,MATCH('Summarized Source Data'!$A673,'Category Mapping'!$A$28:$A$39,0),1),INDEX('Category Mapping'!$E$28:$E$39,MATCH($A673,'Category Mapping'!$A$28:$A$39,0),1))</f>
        <v>360000000.00000006</v>
      </c>
      <c r="S673" s="27">
        <f>S93*IF($E673="weekday",INDEX('Category Mapping'!$F$28:$F$39,MATCH('Summarized Source Data'!$A673,'Category Mapping'!$A$28:$A$39,0),1),INDEX('Category Mapping'!$E$28:$E$39,MATCH($A673,'Category Mapping'!$A$28:$A$39,0),1))</f>
        <v>360000000.00000006</v>
      </c>
      <c r="T673" s="27">
        <f>T93*IF($E673="weekday",INDEX('Category Mapping'!$F$28:$F$39,MATCH('Summarized Source Data'!$A673,'Category Mapping'!$A$28:$A$39,0),1),INDEX('Category Mapping'!$E$28:$E$39,MATCH($A673,'Category Mapping'!$A$28:$A$39,0),1))</f>
        <v>360000000.00000006</v>
      </c>
      <c r="U673" s="27">
        <f>U93*IF($E673="weekday",INDEX('Category Mapping'!$F$28:$F$39,MATCH('Summarized Source Data'!$A673,'Category Mapping'!$A$28:$A$39,0),1),INDEX('Category Mapping'!$E$28:$E$39,MATCH($A673,'Category Mapping'!$A$28:$A$39,0),1))</f>
        <v>360000000.00000006</v>
      </c>
      <c r="V673" s="27">
        <f>V93*IF($E673="weekday",INDEX('Category Mapping'!$F$28:$F$39,MATCH('Summarized Source Data'!$A673,'Category Mapping'!$A$28:$A$39,0),1),INDEX('Category Mapping'!$E$28:$E$39,MATCH($A673,'Category Mapping'!$A$28:$A$39,0),1))</f>
        <v>360000000.00000006</v>
      </c>
      <c r="W673" s="27">
        <f>W93*IF($E673="weekday",INDEX('Category Mapping'!$F$28:$F$39,MATCH('Summarized Source Data'!$A673,'Category Mapping'!$A$28:$A$39,0),1),INDEX('Category Mapping'!$E$28:$E$39,MATCH($A673,'Category Mapping'!$A$28:$A$39,0),1))</f>
        <v>360000000.00000006</v>
      </c>
      <c r="X673" s="27">
        <f>X93*IF($E673="weekday",INDEX('Category Mapping'!$F$28:$F$39,MATCH('Summarized Source Data'!$A673,'Category Mapping'!$A$28:$A$39,0),1),INDEX('Category Mapping'!$E$28:$E$39,MATCH($A673,'Category Mapping'!$A$28:$A$39,0),1))</f>
        <v>14207142857.142859</v>
      </c>
      <c r="Y673" s="27">
        <f>Y93*IF($E673="weekday",INDEX('Category Mapping'!$F$28:$F$39,MATCH('Summarized Source Data'!$A673,'Category Mapping'!$A$28:$A$39,0),1),INDEX('Category Mapping'!$E$28:$E$39,MATCH($A673,'Category Mapping'!$A$28:$A$39,0),1))</f>
        <v>14207142857.142859</v>
      </c>
      <c r="Z673" s="27">
        <f>Z93*IF($E673="weekday",INDEX('Category Mapping'!$F$28:$F$39,MATCH('Summarized Source Data'!$A673,'Category Mapping'!$A$28:$A$39,0),1),INDEX('Category Mapping'!$E$28:$E$39,MATCH($A673,'Category Mapping'!$A$28:$A$39,0),1))</f>
        <v>14207142857.142859</v>
      </c>
    </row>
    <row r="674" spans="1:26" x14ac:dyDescent="0.3">
      <c r="A674">
        <f t="shared" ref="A674:E674" si="139">A94</f>
        <v>4</v>
      </c>
      <c r="B674" t="str">
        <f t="shared" si="139"/>
        <v>Spring</v>
      </c>
      <c r="C674" t="str">
        <f t="shared" si="139"/>
        <v>h19</v>
      </c>
      <c r="D674" t="str">
        <f t="shared" si="139"/>
        <v>Hour18</v>
      </c>
      <c r="E674" t="str">
        <f t="shared" si="139"/>
        <v>Weekday</v>
      </c>
      <c r="F674" s="27">
        <f>F94*IF($E674="weekday",INDEX('Category Mapping'!$F$28:$F$39,MATCH('Summarized Source Data'!$A674,'Category Mapping'!$A$28:$A$39,0),1),INDEX('Category Mapping'!$E$28:$E$39,MATCH($A674,'Category Mapping'!$A$28:$A$39,0),1))</f>
        <v>172511914.2857143</v>
      </c>
      <c r="G674" s="27">
        <f>G94*IF($E674="weekday",INDEX('Category Mapping'!$F$28:$F$39,MATCH('Summarized Source Data'!$A674,'Category Mapping'!$A$28:$A$39,0),1),INDEX('Category Mapping'!$E$28:$E$39,MATCH($A674,'Category Mapping'!$A$28:$A$39,0),1))</f>
        <v>590978.57142857148</v>
      </c>
      <c r="H674" s="27">
        <f>H94*IF($E674="weekday",INDEX('Category Mapping'!$F$28:$F$39,MATCH('Summarized Source Data'!$A674,'Category Mapping'!$A$28:$A$39,0),1),INDEX('Category Mapping'!$E$28:$E$39,MATCH($A674,'Category Mapping'!$A$28:$A$39,0),1))</f>
        <v>0</v>
      </c>
      <c r="I674" s="27">
        <f>I94*IF($E674="weekday",INDEX('Category Mapping'!$F$28:$F$39,MATCH('Summarized Source Data'!$A674,'Category Mapping'!$A$28:$A$39,0),1),INDEX('Category Mapping'!$E$28:$E$39,MATCH($A674,'Category Mapping'!$A$28:$A$39,0),1))</f>
        <v>1127142857.1428573</v>
      </c>
      <c r="J674" s="27">
        <f>J94*IF($E674="weekday",INDEX('Category Mapping'!$F$28:$F$39,MATCH('Summarized Source Data'!$A674,'Category Mapping'!$A$28:$A$39,0),1),INDEX('Category Mapping'!$E$28:$E$39,MATCH($A674,'Category Mapping'!$A$28:$A$39,0),1))</f>
        <v>3371182821.4285717</v>
      </c>
      <c r="K674" s="27">
        <f>K94*IF($E674="weekday",INDEX('Category Mapping'!$F$28:$F$39,MATCH('Summarized Source Data'!$A674,'Category Mapping'!$A$28:$A$39,0),1),INDEX('Category Mapping'!$E$28:$E$39,MATCH($A674,'Category Mapping'!$A$28:$A$39,0),1))</f>
        <v>3371182821.4285717</v>
      </c>
      <c r="L674" s="27">
        <f>L94*IF($E674="weekday",INDEX('Category Mapping'!$F$28:$F$39,MATCH('Summarized Source Data'!$A674,'Category Mapping'!$A$28:$A$39,0),1),INDEX('Category Mapping'!$E$28:$E$39,MATCH($A674,'Category Mapping'!$A$28:$A$39,0),1))</f>
        <v>278571428.5714286</v>
      </c>
      <c r="M674" s="27">
        <f>M94*IF($E674="weekday",INDEX('Category Mapping'!$F$28:$F$39,MATCH('Summarized Source Data'!$A674,'Category Mapping'!$A$28:$A$39,0),1),INDEX('Category Mapping'!$E$28:$E$39,MATCH($A674,'Category Mapping'!$A$28:$A$39,0),1))</f>
        <v>15080057.142857144</v>
      </c>
      <c r="N674" s="27">
        <f>N94*IF($E674="weekday",INDEX('Category Mapping'!$F$28:$F$39,MATCH('Summarized Source Data'!$A674,'Category Mapping'!$A$28:$A$39,0),1),INDEX('Category Mapping'!$E$28:$E$39,MATCH($A674,'Category Mapping'!$A$28:$A$39,0),1))</f>
        <v>0</v>
      </c>
      <c r="O674" s="27">
        <f>O94*IF($E674="weekday",INDEX('Category Mapping'!$F$28:$F$39,MATCH('Summarized Source Data'!$A674,'Category Mapping'!$A$28:$A$39,0),1),INDEX('Category Mapping'!$E$28:$E$39,MATCH($A674,'Category Mapping'!$A$28:$A$39,0),1))</f>
        <v>9349205657.1428585</v>
      </c>
      <c r="P674" s="27">
        <f>P94*IF($E674="weekday",INDEX('Category Mapping'!$F$28:$F$39,MATCH('Summarized Source Data'!$A674,'Category Mapping'!$A$28:$A$39,0),1),INDEX('Category Mapping'!$E$28:$E$39,MATCH($A674,'Category Mapping'!$A$28:$A$39,0),1))</f>
        <v>9349205657.1428585</v>
      </c>
      <c r="Q674" s="27">
        <f>Q94*IF($E674="weekday",INDEX('Category Mapping'!$F$28:$F$39,MATCH('Summarized Source Data'!$A674,'Category Mapping'!$A$28:$A$39,0),1),INDEX('Category Mapping'!$E$28:$E$39,MATCH($A674,'Category Mapping'!$A$28:$A$39,0),1))</f>
        <v>9349205657.1428585</v>
      </c>
      <c r="R674" s="27">
        <f>R94*IF($E674="weekday",INDEX('Category Mapping'!$F$28:$F$39,MATCH('Summarized Source Data'!$A674,'Category Mapping'!$A$28:$A$39,0),1),INDEX('Category Mapping'!$E$28:$E$39,MATCH($A674,'Category Mapping'!$A$28:$A$39,0),1))</f>
        <v>332142857.14285719</v>
      </c>
      <c r="S674" s="27">
        <f>S94*IF($E674="weekday",INDEX('Category Mapping'!$F$28:$F$39,MATCH('Summarized Source Data'!$A674,'Category Mapping'!$A$28:$A$39,0),1),INDEX('Category Mapping'!$E$28:$E$39,MATCH($A674,'Category Mapping'!$A$28:$A$39,0),1))</f>
        <v>332142857.14285719</v>
      </c>
      <c r="T674" s="27">
        <f>T94*IF($E674="weekday",INDEX('Category Mapping'!$F$28:$F$39,MATCH('Summarized Source Data'!$A674,'Category Mapping'!$A$28:$A$39,0),1),INDEX('Category Mapping'!$E$28:$E$39,MATCH($A674,'Category Mapping'!$A$28:$A$39,0),1))</f>
        <v>332142857.14285719</v>
      </c>
      <c r="U674" s="27">
        <f>U94*IF($E674="weekday",INDEX('Category Mapping'!$F$28:$F$39,MATCH('Summarized Source Data'!$A674,'Category Mapping'!$A$28:$A$39,0),1),INDEX('Category Mapping'!$E$28:$E$39,MATCH($A674,'Category Mapping'!$A$28:$A$39,0),1))</f>
        <v>332142857.14285719</v>
      </c>
      <c r="V674" s="27">
        <f>V94*IF($E674="weekday",INDEX('Category Mapping'!$F$28:$F$39,MATCH('Summarized Source Data'!$A674,'Category Mapping'!$A$28:$A$39,0),1),INDEX('Category Mapping'!$E$28:$E$39,MATCH($A674,'Category Mapping'!$A$28:$A$39,0),1))</f>
        <v>332142857.14285719</v>
      </c>
      <c r="W674" s="27">
        <f>W94*IF($E674="weekday",INDEX('Category Mapping'!$F$28:$F$39,MATCH('Summarized Source Data'!$A674,'Category Mapping'!$A$28:$A$39,0),1),INDEX('Category Mapping'!$E$28:$E$39,MATCH($A674,'Category Mapping'!$A$28:$A$39,0),1))</f>
        <v>332142857.14285719</v>
      </c>
      <c r="X674" s="27">
        <f>X94*IF($E674="weekday",INDEX('Category Mapping'!$F$28:$F$39,MATCH('Summarized Source Data'!$A674,'Category Mapping'!$A$28:$A$39,0),1),INDEX('Category Mapping'!$E$28:$E$39,MATCH($A674,'Category Mapping'!$A$28:$A$39,0),1))</f>
        <v>14142857142.857143</v>
      </c>
      <c r="Y674" s="27">
        <f>Y94*IF($E674="weekday",INDEX('Category Mapping'!$F$28:$F$39,MATCH('Summarized Source Data'!$A674,'Category Mapping'!$A$28:$A$39,0),1),INDEX('Category Mapping'!$E$28:$E$39,MATCH($A674,'Category Mapping'!$A$28:$A$39,0),1))</f>
        <v>14142857142.857143</v>
      </c>
      <c r="Z674" s="27">
        <f>Z94*IF($E674="weekday",INDEX('Category Mapping'!$F$28:$F$39,MATCH('Summarized Source Data'!$A674,'Category Mapping'!$A$28:$A$39,0),1),INDEX('Category Mapping'!$E$28:$E$39,MATCH($A674,'Category Mapping'!$A$28:$A$39,0),1))</f>
        <v>14142857142.857143</v>
      </c>
    </row>
    <row r="675" spans="1:26" x14ac:dyDescent="0.3">
      <c r="A675">
        <f t="shared" ref="A675:E675" si="140">A95</f>
        <v>4</v>
      </c>
      <c r="B675" t="str">
        <f t="shared" si="140"/>
        <v>Spring</v>
      </c>
      <c r="C675" t="str">
        <f t="shared" si="140"/>
        <v>h20</v>
      </c>
      <c r="D675" t="str">
        <f t="shared" si="140"/>
        <v>Hour19</v>
      </c>
      <c r="E675" t="str">
        <f t="shared" si="140"/>
        <v>Weekday</v>
      </c>
      <c r="F675" s="27">
        <f>F95*IF($E675="weekday",INDEX('Category Mapping'!$F$28:$F$39,MATCH('Summarized Source Data'!$A675,'Category Mapping'!$A$28:$A$39,0),1),INDEX('Category Mapping'!$E$28:$E$39,MATCH($A675,'Category Mapping'!$A$28:$A$39,0),1))</f>
        <v>181082378.5714286</v>
      </c>
      <c r="G675" s="27">
        <f>G95*IF($E675="weekday",INDEX('Category Mapping'!$F$28:$F$39,MATCH('Summarized Source Data'!$A675,'Category Mapping'!$A$28:$A$39,0),1),INDEX('Category Mapping'!$E$28:$E$39,MATCH($A675,'Category Mapping'!$A$28:$A$39,0),1))</f>
        <v>651000.00000000012</v>
      </c>
      <c r="H675" s="27">
        <f>H95*IF($E675="weekday",INDEX('Category Mapping'!$F$28:$F$39,MATCH('Summarized Source Data'!$A675,'Category Mapping'!$A$28:$A$39,0),1),INDEX('Category Mapping'!$E$28:$E$39,MATCH($A675,'Category Mapping'!$A$28:$A$39,0),1))</f>
        <v>0</v>
      </c>
      <c r="I675" s="27">
        <f>I95*IF($E675="weekday",INDEX('Category Mapping'!$F$28:$F$39,MATCH('Summarized Source Data'!$A675,'Category Mapping'!$A$28:$A$39,0),1),INDEX('Category Mapping'!$E$28:$E$39,MATCH($A675,'Category Mapping'!$A$28:$A$39,0),1))</f>
        <v>1212857142.8571429</v>
      </c>
      <c r="J675" s="27">
        <f>J95*IF($E675="weekday",INDEX('Category Mapping'!$F$28:$F$39,MATCH('Summarized Source Data'!$A675,'Category Mapping'!$A$28:$A$39,0),1),INDEX('Category Mapping'!$E$28:$E$39,MATCH($A675,'Category Mapping'!$A$28:$A$39,0),1))</f>
        <v>3212552335.7142859</v>
      </c>
      <c r="K675" s="27">
        <f>K95*IF($E675="weekday",INDEX('Category Mapping'!$F$28:$F$39,MATCH('Summarized Source Data'!$A675,'Category Mapping'!$A$28:$A$39,0),1),INDEX('Category Mapping'!$E$28:$E$39,MATCH($A675,'Category Mapping'!$A$28:$A$39,0),1))</f>
        <v>3212552335.7142859</v>
      </c>
      <c r="L675" s="27">
        <f>L95*IF($E675="weekday",INDEX('Category Mapping'!$F$28:$F$39,MATCH('Summarized Source Data'!$A675,'Category Mapping'!$A$28:$A$39,0),1),INDEX('Category Mapping'!$E$28:$E$39,MATCH($A675,'Category Mapping'!$A$28:$A$39,0),1))</f>
        <v>334285714.28571433</v>
      </c>
      <c r="M675" s="27">
        <f>M95*IF($E675="weekday",INDEX('Category Mapping'!$F$28:$F$39,MATCH('Summarized Source Data'!$A675,'Category Mapping'!$A$28:$A$39,0),1),INDEX('Category Mapping'!$E$28:$E$39,MATCH($A675,'Category Mapping'!$A$28:$A$39,0),1))</f>
        <v>14128800.000000002</v>
      </c>
      <c r="N675" s="27">
        <f>N95*IF($E675="weekday",INDEX('Category Mapping'!$F$28:$F$39,MATCH('Summarized Source Data'!$A675,'Category Mapping'!$A$28:$A$39,0),1),INDEX('Category Mapping'!$E$28:$E$39,MATCH($A675,'Category Mapping'!$A$28:$A$39,0),1))</f>
        <v>0</v>
      </c>
      <c r="O675" s="27">
        <f>O95*IF($E675="weekday",INDEX('Category Mapping'!$F$28:$F$39,MATCH('Summarized Source Data'!$A675,'Category Mapping'!$A$28:$A$39,0),1),INDEX('Category Mapping'!$E$28:$E$39,MATCH($A675,'Category Mapping'!$A$28:$A$39,0),1))</f>
        <v>7837299771.4285717</v>
      </c>
      <c r="P675" s="27">
        <f>P95*IF($E675="weekday",INDEX('Category Mapping'!$F$28:$F$39,MATCH('Summarized Source Data'!$A675,'Category Mapping'!$A$28:$A$39,0),1),INDEX('Category Mapping'!$E$28:$E$39,MATCH($A675,'Category Mapping'!$A$28:$A$39,0),1))</f>
        <v>7837299771.4285717</v>
      </c>
      <c r="Q675" s="27">
        <f>Q95*IF($E675="weekday",INDEX('Category Mapping'!$F$28:$F$39,MATCH('Summarized Source Data'!$A675,'Category Mapping'!$A$28:$A$39,0),1),INDEX('Category Mapping'!$E$28:$E$39,MATCH($A675,'Category Mapping'!$A$28:$A$39,0),1))</f>
        <v>7837299771.4285717</v>
      </c>
      <c r="R675" s="27">
        <f>R95*IF($E675="weekday",INDEX('Category Mapping'!$F$28:$F$39,MATCH('Summarized Source Data'!$A675,'Category Mapping'!$A$28:$A$39,0),1),INDEX('Category Mapping'!$E$28:$E$39,MATCH($A675,'Category Mapping'!$A$28:$A$39,0),1))</f>
        <v>272142857.14285719</v>
      </c>
      <c r="S675" s="27">
        <f>S95*IF($E675="weekday",INDEX('Category Mapping'!$F$28:$F$39,MATCH('Summarized Source Data'!$A675,'Category Mapping'!$A$28:$A$39,0),1),INDEX('Category Mapping'!$E$28:$E$39,MATCH($A675,'Category Mapping'!$A$28:$A$39,0),1))</f>
        <v>272142857.14285719</v>
      </c>
      <c r="T675" s="27">
        <f>T95*IF($E675="weekday",INDEX('Category Mapping'!$F$28:$F$39,MATCH('Summarized Source Data'!$A675,'Category Mapping'!$A$28:$A$39,0),1),INDEX('Category Mapping'!$E$28:$E$39,MATCH($A675,'Category Mapping'!$A$28:$A$39,0),1))</f>
        <v>272142857.14285719</v>
      </c>
      <c r="U675" s="27">
        <f>U95*IF($E675="weekday",INDEX('Category Mapping'!$F$28:$F$39,MATCH('Summarized Source Data'!$A675,'Category Mapping'!$A$28:$A$39,0),1),INDEX('Category Mapping'!$E$28:$E$39,MATCH($A675,'Category Mapping'!$A$28:$A$39,0),1))</f>
        <v>272142857.14285719</v>
      </c>
      <c r="V675" s="27">
        <f>V95*IF($E675="weekday",INDEX('Category Mapping'!$F$28:$F$39,MATCH('Summarized Source Data'!$A675,'Category Mapping'!$A$28:$A$39,0),1),INDEX('Category Mapping'!$E$28:$E$39,MATCH($A675,'Category Mapping'!$A$28:$A$39,0),1))</f>
        <v>272142857.14285719</v>
      </c>
      <c r="W675" s="27">
        <f>W95*IF($E675="weekday",INDEX('Category Mapping'!$F$28:$F$39,MATCH('Summarized Source Data'!$A675,'Category Mapping'!$A$28:$A$39,0),1),INDEX('Category Mapping'!$E$28:$E$39,MATCH($A675,'Category Mapping'!$A$28:$A$39,0),1))</f>
        <v>272142857.14285719</v>
      </c>
      <c r="X675" s="27">
        <f>X95*IF($E675="weekday",INDEX('Category Mapping'!$F$28:$F$39,MATCH('Summarized Source Data'!$A675,'Category Mapping'!$A$28:$A$39,0),1),INDEX('Category Mapping'!$E$28:$E$39,MATCH($A675,'Category Mapping'!$A$28:$A$39,0),1))</f>
        <v>14057142857.142859</v>
      </c>
      <c r="Y675" s="27">
        <f>Y95*IF($E675="weekday",INDEX('Category Mapping'!$F$28:$F$39,MATCH('Summarized Source Data'!$A675,'Category Mapping'!$A$28:$A$39,0),1),INDEX('Category Mapping'!$E$28:$E$39,MATCH($A675,'Category Mapping'!$A$28:$A$39,0),1))</f>
        <v>14057142857.142859</v>
      </c>
      <c r="Z675" s="27">
        <f>Z95*IF($E675="weekday",INDEX('Category Mapping'!$F$28:$F$39,MATCH('Summarized Source Data'!$A675,'Category Mapping'!$A$28:$A$39,0),1),INDEX('Category Mapping'!$E$28:$E$39,MATCH($A675,'Category Mapping'!$A$28:$A$39,0),1))</f>
        <v>14057142857.142859</v>
      </c>
    </row>
    <row r="676" spans="1:26" x14ac:dyDescent="0.3">
      <c r="A676">
        <f t="shared" ref="A676:E676" si="141">A96</f>
        <v>4</v>
      </c>
      <c r="B676" t="str">
        <f t="shared" si="141"/>
        <v>Spring</v>
      </c>
      <c r="C676" t="str">
        <f t="shared" si="141"/>
        <v>h21</v>
      </c>
      <c r="D676" t="str">
        <f t="shared" si="141"/>
        <v>Hour20</v>
      </c>
      <c r="E676" t="str">
        <f t="shared" si="141"/>
        <v>Weekday</v>
      </c>
      <c r="F676" s="27">
        <f>F96*IF($E676="weekday",INDEX('Category Mapping'!$F$28:$F$39,MATCH('Summarized Source Data'!$A676,'Category Mapping'!$A$28:$A$39,0),1),INDEX('Category Mapping'!$E$28:$E$39,MATCH($A676,'Category Mapping'!$A$28:$A$39,0),1))</f>
        <v>182981828.5714286</v>
      </c>
      <c r="G676" s="27">
        <f>G96*IF($E676="weekday",INDEX('Category Mapping'!$F$28:$F$39,MATCH('Summarized Source Data'!$A676,'Category Mapping'!$A$28:$A$39,0),1),INDEX('Category Mapping'!$E$28:$E$39,MATCH($A676,'Category Mapping'!$A$28:$A$39,0),1))</f>
        <v>704614.2857142858</v>
      </c>
      <c r="H676" s="27">
        <f>H96*IF($E676="weekday",INDEX('Category Mapping'!$F$28:$F$39,MATCH('Summarized Source Data'!$A676,'Category Mapping'!$A$28:$A$39,0),1),INDEX('Category Mapping'!$E$28:$E$39,MATCH($A676,'Category Mapping'!$A$28:$A$39,0),1))</f>
        <v>0</v>
      </c>
      <c r="I676" s="27">
        <f>I96*IF($E676="weekday",INDEX('Category Mapping'!$F$28:$F$39,MATCH('Summarized Source Data'!$A676,'Category Mapping'!$A$28:$A$39,0),1),INDEX('Category Mapping'!$E$28:$E$39,MATCH($A676,'Category Mapping'!$A$28:$A$39,0),1))</f>
        <v>1232142857.1428573</v>
      </c>
      <c r="J676" s="27">
        <f>J96*IF($E676="weekday",INDEX('Category Mapping'!$F$28:$F$39,MATCH('Summarized Source Data'!$A676,'Category Mapping'!$A$28:$A$39,0),1),INDEX('Category Mapping'!$E$28:$E$39,MATCH($A676,'Category Mapping'!$A$28:$A$39,0),1))</f>
        <v>3148456414.2857146</v>
      </c>
      <c r="K676" s="27">
        <f>K96*IF($E676="weekday",INDEX('Category Mapping'!$F$28:$F$39,MATCH('Summarized Source Data'!$A676,'Category Mapping'!$A$28:$A$39,0),1),INDEX('Category Mapping'!$E$28:$E$39,MATCH($A676,'Category Mapping'!$A$28:$A$39,0),1))</f>
        <v>3148456414.2857146</v>
      </c>
      <c r="L676" s="27">
        <f>L96*IF($E676="weekday",INDEX('Category Mapping'!$F$28:$F$39,MATCH('Summarized Source Data'!$A676,'Category Mapping'!$A$28:$A$39,0),1),INDEX('Category Mapping'!$E$28:$E$39,MATCH($A676,'Category Mapping'!$A$28:$A$39,0),1))</f>
        <v>428571428.5714286</v>
      </c>
      <c r="M676" s="27">
        <f>M96*IF($E676="weekday",INDEX('Category Mapping'!$F$28:$F$39,MATCH('Summarized Source Data'!$A676,'Category Mapping'!$A$28:$A$39,0),1),INDEX('Category Mapping'!$E$28:$E$39,MATCH($A676,'Category Mapping'!$A$28:$A$39,0),1))</f>
        <v>13328807.142857144</v>
      </c>
      <c r="N676" s="27">
        <f>N96*IF($E676="weekday",INDEX('Category Mapping'!$F$28:$F$39,MATCH('Summarized Source Data'!$A676,'Category Mapping'!$A$28:$A$39,0),1),INDEX('Category Mapping'!$E$28:$E$39,MATCH($A676,'Category Mapping'!$A$28:$A$39,0),1))</f>
        <v>0</v>
      </c>
      <c r="O676" s="27">
        <f>O96*IF($E676="weekday",INDEX('Category Mapping'!$F$28:$F$39,MATCH('Summarized Source Data'!$A676,'Category Mapping'!$A$28:$A$39,0),1),INDEX('Category Mapping'!$E$28:$E$39,MATCH($A676,'Category Mapping'!$A$28:$A$39,0),1))</f>
        <v>6500956907.1428576</v>
      </c>
      <c r="P676" s="27">
        <f>P96*IF($E676="weekday",INDEX('Category Mapping'!$F$28:$F$39,MATCH('Summarized Source Data'!$A676,'Category Mapping'!$A$28:$A$39,0),1),INDEX('Category Mapping'!$E$28:$E$39,MATCH($A676,'Category Mapping'!$A$28:$A$39,0),1))</f>
        <v>6500956907.1428576</v>
      </c>
      <c r="Q676" s="27">
        <f>Q96*IF($E676="weekday",INDEX('Category Mapping'!$F$28:$F$39,MATCH('Summarized Source Data'!$A676,'Category Mapping'!$A$28:$A$39,0),1),INDEX('Category Mapping'!$E$28:$E$39,MATCH($A676,'Category Mapping'!$A$28:$A$39,0),1))</f>
        <v>6500956907.1428576</v>
      </c>
      <c r="R676" s="27">
        <f>R96*IF($E676="weekday",INDEX('Category Mapping'!$F$28:$F$39,MATCH('Summarized Source Data'!$A676,'Category Mapping'!$A$28:$A$39,0),1),INDEX('Category Mapping'!$E$28:$E$39,MATCH($A676,'Category Mapping'!$A$28:$A$39,0),1))</f>
        <v>248571428.5714286</v>
      </c>
      <c r="S676" s="27">
        <f>S96*IF($E676="weekday",INDEX('Category Mapping'!$F$28:$F$39,MATCH('Summarized Source Data'!$A676,'Category Mapping'!$A$28:$A$39,0),1),INDEX('Category Mapping'!$E$28:$E$39,MATCH($A676,'Category Mapping'!$A$28:$A$39,0),1))</f>
        <v>248571428.5714286</v>
      </c>
      <c r="T676" s="27">
        <f>T96*IF($E676="weekday",INDEX('Category Mapping'!$F$28:$F$39,MATCH('Summarized Source Data'!$A676,'Category Mapping'!$A$28:$A$39,0),1),INDEX('Category Mapping'!$E$28:$E$39,MATCH($A676,'Category Mapping'!$A$28:$A$39,0),1))</f>
        <v>248571428.5714286</v>
      </c>
      <c r="U676" s="27">
        <f>U96*IF($E676="weekday",INDEX('Category Mapping'!$F$28:$F$39,MATCH('Summarized Source Data'!$A676,'Category Mapping'!$A$28:$A$39,0),1),INDEX('Category Mapping'!$E$28:$E$39,MATCH($A676,'Category Mapping'!$A$28:$A$39,0),1))</f>
        <v>248571428.5714286</v>
      </c>
      <c r="V676" s="27">
        <f>V96*IF($E676="weekday",INDEX('Category Mapping'!$F$28:$F$39,MATCH('Summarized Source Data'!$A676,'Category Mapping'!$A$28:$A$39,0),1),INDEX('Category Mapping'!$E$28:$E$39,MATCH($A676,'Category Mapping'!$A$28:$A$39,0),1))</f>
        <v>248571428.5714286</v>
      </c>
      <c r="W676" s="27">
        <f>W96*IF($E676="weekday",INDEX('Category Mapping'!$F$28:$F$39,MATCH('Summarized Source Data'!$A676,'Category Mapping'!$A$28:$A$39,0),1),INDEX('Category Mapping'!$E$28:$E$39,MATCH($A676,'Category Mapping'!$A$28:$A$39,0),1))</f>
        <v>248571428.5714286</v>
      </c>
      <c r="X676" s="27">
        <f>X96*IF($E676="weekday",INDEX('Category Mapping'!$F$28:$F$39,MATCH('Summarized Source Data'!$A676,'Category Mapping'!$A$28:$A$39,0),1),INDEX('Category Mapping'!$E$28:$E$39,MATCH($A676,'Category Mapping'!$A$28:$A$39,0),1))</f>
        <v>13971428571.428574</v>
      </c>
      <c r="Y676" s="27">
        <f>Y96*IF($E676="weekday",INDEX('Category Mapping'!$F$28:$F$39,MATCH('Summarized Source Data'!$A676,'Category Mapping'!$A$28:$A$39,0),1),INDEX('Category Mapping'!$E$28:$E$39,MATCH($A676,'Category Mapping'!$A$28:$A$39,0),1))</f>
        <v>13971428571.428574</v>
      </c>
      <c r="Z676" s="27">
        <f>Z96*IF($E676="weekday",INDEX('Category Mapping'!$F$28:$F$39,MATCH('Summarized Source Data'!$A676,'Category Mapping'!$A$28:$A$39,0),1),INDEX('Category Mapping'!$E$28:$E$39,MATCH($A676,'Category Mapping'!$A$28:$A$39,0),1))</f>
        <v>13971428571.428574</v>
      </c>
    </row>
    <row r="677" spans="1:26" x14ac:dyDescent="0.3">
      <c r="A677">
        <f t="shared" ref="A677:E677" si="142">A97</f>
        <v>4</v>
      </c>
      <c r="B677" t="str">
        <f t="shared" si="142"/>
        <v>Spring</v>
      </c>
      <c r="C677" t="str">
        <f t="shared" si="142"/>
        <v>h22</v>
      </c>
      <c r="D677" t="str">
        <f t="shared" si="142"/>
        <v>Hour21</v>
      </c>
      <c r="E677" t="str">
        <f t="shared" si="142"/>
        <v>Weekday</v>
      </c>
      <c r="F677" s="27">
        <f>F97*IF($E677="weekday",INDEX('Category Mapping'!$F$28:$F$39,MATCH('Summarized Source Data'!$A677,'Category Mapping'!$A$28:$A$39,0),1),INDEX('Category Mapping'!$E$28:$E$39,MATCH($A677,'Category Mapping'!$A$28:$A$39,0),1))</f>
        <v>160750050.00000003</v>
      </c>
      <c r="G677" s="27">
        <f>G97*IF($E677="weekday",INDEX('Category Mapping'!$F$28:$F$39,MATCH('Summarized Source Data'!$A677,'Category Mapping'!$A$28:$A$39,0),1),INDEX('Category Mapping'!$E$28:$E$39,MATCH($A677,'Category Mapping'!$A$28:$A$39,0),1))</f>
        <v>749314.2857142858</v>
      </c>
      <c r="H677" s="27">
        <f>H97*IF($E677="weekday",INDEX('Category Mapping'!$F$28:$F$39,MATCH('Summarized Source Data'!$A677,'Category Mapping'!$A$28:$A$39,0),1),INDEX('Category Mapping'!$E$28:$E$39,MATCH($A677,'Category Mapping'!$A$28:$A$39,0),1))</f>
        <v>0</v>
      </c>
      <c r="I677" s="27">
        <f>I97*IF($E677="weekday",INDEX('Category Mapping'!$F$28:$F$39,MATCH('Summarized Source Data'!$A677,'Category Mapping'!$A$28:$A$39,0),1),INDEX('Category Mapping'!$E$28:$E$39,MATCH($A677,'Category Mapping'!$A$28:$A$39,0),1))</f>
        <v>1007142857.1428572</v>
      </c>
      <c r="J677" s="27">
        <f>J97*IF($E677="weekday",INDEX('Category Mapping'!$F$28:$F$39,MATCH('Summarized Source Data'!$A677,'Category Mapping'!$A$28:$A$39,0),1),INDEX('Category Mapping'!$E$28:$E$39,MATCH($A677,'Category Mapping'!$A$28:$A$39,0),1))</f>
        <v>3117072064.2857146</v>
      </c>
      <c r="K677" s="27">
        <f>K97*IF($E677="weekday",INDEX('Category Mapping'!$F$28:$F$39,MATCH('Summarized Source Data'!$A677,'Category Mapping'!$A$28:$A$39,0),1),INDEX('Category Mapping'!$E$28:$E$39,MATCH($A677,'Category Mapping'!$A$28:$A$39,0),1))</f>
        <v>3117072064.2857146</v>
      </c>
      <c r="L677" s="27">
        <f>L97*IF($E677="weekday",INDEX('Category Mapping'!$F$28:$F$39,MATCH('Summarized Source Data'!$A677,'Category Mapping'!$A$28:$A$39,0),1),INDEX('Category Mapping'!$E$28:$E$39,MATCH($A677,'Category Mapping'!$A$28:$A$39,0),1))</f>
        <v>323571428.5714286</v>
      </c>
      <c r="M677" s="27">
        <f>M97*IF($E677="weekday",INDEX('Category Mapping'!$F$28:$F$39,MATCH('Summarized Source Data'!$A677,'Category Mapping'!$A$28:$A$39,0),1),INDEX('Category Mapping'!$E$28:$E$39,MATCH($A677,'Category Mapping'!$A$28:$A$39,0),1))</f>
        <v>12512742.857142858</v>
      </c>
      <c r="N677" s="27">
        <f>N97*IF($E677="weekday",INDEX('Category Mapping'!$F$28:$F$39,MATCH('Summarized Source Data'!$A677,'Category Mapping'!$A$28:$A$39,0),1),INDEX('Category Mapping'!$E$28:$E$39,MATCH($A677,'Category Mapping'!$A$28:$A$39,0),1))</f>
        <v>0</v>
      </c>
      <c r="O677" s="27">
        <f>O97*IF($E677="weekday",INDEX('Category Mapping'!$F$28:$F$39,MATCH('Summarized Source Data'!$A677,'Category Mapping'!$A$28:$A$39,0),1),INDEX('Category Mapping'!$E$28:$E$39,MATCH($A677,'Category Mapping'!$A$28:$A$39,0),1))</f>
        <v>5278201542.8571434</v>
      </c>
      <c r="P677" s="27">
        <f>P97*IF($E677="weekday",INDEX('Category Mapping'!$F$28:$F$39,MATCH('Summarized Source Data'!$A677,'Category Mapping'!$A$28:$A$39,0),1),INDEX('Category Mapping'!$E$28:$E$39,MATCH($A677,'Category Mapping'!$A$28:$A$39,0),1))</f>
        <v>5278201542.8571434</v>
      </c>
      <c r="Q677" s="27">
        <f>Q97*IF($E677="weekday",INDEX('Category Mapping'!$F$28:$F$39,MATCH('Summarized Source Data'!$A677,'Category Mapping'!$A$28:$A$39,0),1),INDEX('Category Mapping'!$E$28:$E$39,MATCH($A677,'Category Mapping'!$A$28:$A$39,0),1))</f>
        <v>5278201542.8571434</v>
      </c>
      <c r="R677" s="27">
        <f>R97*IF($E677="weekday",INDEX('Category Mapping'!$F$28:$F$39,MATCH('Summarized Source Data'!$A677,'Category Mapping'!$A$28:$A$39,0),1),INDEX('Category Mapping'!$E$28:$E$39,MATCH($A677,'Category Mapping'!$A$28:$A$39,0),1))</f>
        <v>231428571.42857146</v>
      </c>
      <c r="S677" s="27">
        <f>S97*IF($E677="weekday",INDEX('Category Mapping'!$F$28:$F$39,MATCH('Summarized Source Data'!$A677,'Category Mapping'!$A$28:$A$39,0),1),INDEX('Category Mapping'!$E$28:$E$39,MATCH($A677,'Category Mapping'!$A$28:$A$39,0),1))</f>
        <v>231428571.42857146</v>
      </c>
      <c r="T677" s="27">
        <f>T97*IF($E677="weekday",INDEX('Category Mapping'!$F$28:$F$39,MATCH('Summarized Source Data'!$A677,'Category Mapping'!$A$28:$A$39,0),1),INDEX('Category Mapping'!$E$28:$E$39,MATCH($A677,'Category Mapping'!$A$28:$A$39,0),1))</f>
        <v>231428571.42857146</v>
      </c>
      <c r="U677" s="27">
        <f>U97*IF($E677="weekday",INDEX('Category Mapping'!$F$28:$F$39,MATCH('Summarized Source Data'!$A677,'Category Mapping'!$A$28:$A$39,0),1),INDEX('Category Mapping'!$E$28:$E$39,MATCH($A677,'Category Mapping'!$A$28:$A$39,0),1))</f>
        <v>231428571.42857146</v>
      </c>
      <c r="V677" s="27">
        <f>V97*IF($E677="weekday",INDEX('Category Mapping'!$F$28:$F$39,MATCH('Summarized Source Data'!$A677,'Category Mapping'!$A$28:$A$39,0),1),INDEX('Category Mapping'!$E$28:$E$39,MATCH($A677,'Category Mapping'!$A$28:$A$39,0),1))</f>
        <v>231428571.42857146</v>
      </c>
      <c r="W677" s="27">
        <f>W97*IF($E677="weekday",INDEX('Category Mapping'!$F$28:$F$39,MATCH('Summarized Source Data'!$A677,'Category Mapping'!$A$28:$A$39,0),1),INDEX('Category Mapping'!$E$28:$E$39,MATCH($A677,'Category Mapping'!$A$28:$A$39,0),1))</f>
        <v>231428571.42857146</v>
      </c>
      <c r="X677" s="27">
        <f>X97*IF($E677="weekday",INDEX('Category Mapping'!$F$28:$F$39,MATCH('Summarized Source Data'!$A677,'Category Mapping'!$A$28:$A$39,0),1),INDEX('Category Mapping'!$E$28:$E$39,MATCH($A677,'Category Mapping'!$A$28:$A$39,0),1))</f>
        <v>13864285714.285715</v>
      </c>
      <c r="Y677" s="27">
        <f>Y97*IF($E677="weekday",INDEX('Category Mapping'!$F$28:$F$39,MATCH('Summarized Source Data'!$A677,'Category Mapping'!$A$28:$A$39,0),1),INDEX('Category Mapping'!$E$28:$E$39,MATCH($A677,'Category Mapping'!$A$28:$A$39,0),1))</f>
        <v>13864285714.285715</v>
      </c>
      <c r="Z677" s="27">
        <f>Z97*IF($E677="weekday",INDEX('Category Mapping'!$F$28:$F$39,MATCH('Summarized Source Data'!$A677,'Category Mapping'!$A$28:$A$39,0),1),INDEX('Category Mapping'!$E$28:$E$39,MATCH($A677,'Category Mapping'!$A$28:$A$39,0),1))</f>
        <v>13864285714.285715</v>
      </c>
    </row>
    <row r="678" spans="1:26" x14ac:dyDescent="0.3">
      <c r="A678">
        <f t="shared" ref="A678:E678" si="143">A98</f>
        <v>4</v>
      </c>
      <c r="B678" t="str">
        <f t="shared" si="143"/>
        <v>Spring</v>
      </c>
      <c r="C678" t="str">
        <f t="shared" si="143"/>
        <v>h23</v>
      </c>
      <c r="D678" t="str">
        <f t="shared" si="143"/>
        <v>Hour22</v>
      </c>
      <c r="E678" t="str">
        <f t="shared" si="143"/>
        <v>Weekday</v>
      </c>
      <c r="F678" s="27">
        <f>F98*IF($E678="weekday",INDEX('Category Mapping'!$F$28:$F$39,MATCH('Summarized Source Data'!$A678,'Category Mapping'!$A$28:$A$39,0),1),INDEX('Category Mapping'!$E$28:$E$39,MATCH($A678,'Category Mapping'!$A$28:$A$39,0),1))</f>
        <v>120029100.00000001</v>
      </c>
      <c r="G678" s="27">
        <f>G98*IF($E678="weekday",INDEX('Category Mapping'!$F$28:$F$39,MATCH('Summarized Source Data'!$A678,'Category Mapping'!$A$28:$A$39,0),1),INDEX('Category Mapping'!$E$28:$E$39,MATCH($A678,'Category Mapping'!$A$28:$A$39,0),1))</f>
        <v>781135.71428571432</v>
      </c>
      <c r="H678" s="27">
        <f>H98*IF($E678="weekday",INDEX('Category Mapping'!$F$28:$F$39,MATCH('Summarized Source Data'!$A678,'Category Mapping'!$A$28:$A$39,0),1),INDEX('Category Mapping'!$E$28:$E$39,MATCH($A678,'Category Mapping'!$A$28:$A$39,0),1))</f>
        <v>0</v>
      </c>
      <c r="I678" s="27">
        <f>I98*IF($E678="weekday",INDEX('Category Mapping'!$F$28:$F$39,MATCH('Summarized Source Data'!$A678,'Category Mapping'!$A$28:$A$39,0),1),INDEX('Category Mapping'!$E$28:$E$39,MATCH($A678,'Category Mapping'!$A$28:$A$39,0),1))</f>
        <v>600000000</v>
      </c>
      <c r="J678" s="27">
        <f>J98*IF($E678="weekday",INDEX('Category Mapping'!$F$28:$F$39,MATCH('Summarized Source Data'!$A678,'Category Mapping'!$A$28:$A$39,0),1),INDEX('Category Mapping'!$E$28:$E$39,MATCH($A678,'Category Mapping'!$A$28:$A$39,0),1))</f>
        <v>2450618335.7142859</v>
      </c>
      <c r="K678" s="27">
        <f>K98*IF($E678="weekday",INDEX('Category Mapping'!$F$28:$F$39,MATCH('Summarized Source Data'!$A678,'Category Mapping'!$A$28:$A$39,0),1),INDEX('Category Mapping'!$E$28:$E$39,MATCH($A678,'Category Mapping'!$A$28:$A$39,0),1))</f>
        <v>2450618335.7142859</v>
      </c>
      <c r="L678" s="27">
        <f>L98*IF($E678="weekday",INDEX('Category Mapping'!$F$28:$F$39,MATCH('Summarized Source Data'!$A678,'Category Mapping'!$A$28:$A$39,0),1),INDEX('Category Mapping'!$E$28:$E$39,MATCH($A678,'Category Mapping'!$A$28:$A$39,0),1))</f>
        <v>295714285.71428573</v>
      </c>
      <c r="M678" s="27">
        <f>M98*IF($E678="weekday",INDEX('Category Mapping'!$F$28:$F$39,MATCH('Summarized Source Data'!$A678,'Category Mapping'!$A$28:$A$39,0),1),INDEX('Category Mapping'!$E$28:$E$39,MATCH($A678,'Category Mapping'!$A$28:$A$39,0),1))</f>
        <v>11531400.000000002</v>
      </c>
      <c r="N678" s="27">
        <f>N98*IF($E678="weekday",INDEX('Category Mapping'!$F$28:$F$39,MATCH('Summarized Source Data'!$A678,'Category Mapping'!$A$28:$A$39,0),1),INDEX('Category Mapping'!$E$28:$E$39,MATCH($A678,'Category Mapping'!$A$28:$A$39,0),1))</f>
        <v>0</v>
      </c>
      <c r="O678" s="27">
        <f>O98*IF($E678="weekday",INDEX('Category Mapping'!$F$28:$F$39,MATCH('Summarized Source Data'!$A678,'Category Mapping'!$A$28:$A$39,0),1),INDEX('Category Mapping'!$E$28:$E$39,MATCH($A678,'Category Mapping'!$A$28:$A$39,0),1))</f>
        <v>4449897171.4285717</v>
      </c>
      <c r="P678" s="27">
        <f>P98*IF($E678="weekday",INDEX('Category Mapping'!$F$28:$F$39,MATCH('Summarized Source Data'!$A678,'Category Mapping'!$A$28:$A$39,0),1),INDEX('Category Mapping'!$E$28:$E$39,MATCH($A678,'Category Mapping'!$A$28:$A$39,0),1))</f>
        <v>4449897171.4285717</v>
      </c>
      <c r="Q678" s="27">
        <f>Q98*IF($E678="weekday",INDEX('Category Mapping'!$F$28:$F$39,MATCH('Summarized Source Data'!$A678,'Category Mapping'!$A$28:$A$39,0),1),INDEX('Category Mapping'!$E$28:$E$39,MATCH($A678,'Category Mapping'!$A$28:$A$39,0),1))</f>
        <v>4449897171.4285717</v>
      </c>
      <c r="R678" s="27">
        <f>R98*IF($E678="weekday",INDEX('Category Mapping'!$F$28:$F$39,MATCH('Summarized Source Data'!$A678,'Category Mapping'!$A$28:$A$39,0),1),INDEX('Category Mapping'!$E$28:$E$39,MATCH($A678,'Category Mapping'!$A$28:$A$39,0),1))</f>
        <v>218571428.5714286</v>
      </c>
      <c r="S678" s="27">
        <f>S98*IF($E678="weekday",INDEX('Category Mapping'!$F$28:$F$39,MATCH('Summarized Source Data'!$A678,'Category Mapping'!$A$28:$A$39,0),1),INDEX('Category Mapping'!$E$28:$E$39,MATCH($A678,'Category Mapping'!$A$28:$A$39,0),1))</f>
        <v>218571428.5714286</v>
      </c>
      <c r="T678" s="27">
        <f>T98*IF($E678="weekday",INDEX('Category Mapping'!$F$28:$F$39,MATCH('Summarized Source Data'!$A678,'Category Mapping'!$A$28:$A$39,0),1),INDEX('Category Mapping'!$E$28:$E$39,MATCH($A678,'Category Mapping'!$A$28:$A$39,0),1))</f>
        <v>218571428.5714286</v>
      </c>
      <c r="U678" s="27">
        <f>U98*IF($E678="weekday",INDEX('Category Mapping'!$F$28:$F$39,MATCH('Summarized Source Data'!$A678,'Category Mapping'!$A$28:$A$39,0),1),INDEX('Category Mapping'!$E$28:$E$39,MATCH($A678,'Category Mapping'!$A$28:$A$39,0),1))</f>
        <v>218571428.5714286</v>
      </c>
      <c r="V678" s="27">
        <f>V98*IF($E678="weekday",INDEX('Category Mapping'!$F$28:$F$39,MATCH('Summarized Source Data'!$A678,'Category Mapping'!$A$28:$A$39,0),1),INDEX('Category Mapping'!$E$28:$E$39,MATCH($A678,'Category Mapping'!$A$28:$A$39,0),1))</f>
        <v>218571428.5714286</v>
      </c>
      <c r="W678" s="27">
        <f>W98*IF($E678="weekday",INDEX('Category Mapping'!$F$28:$F$39,MATCH('Summarized Source Data'!$A678,'Category Mapping'!$A$28:$A$39,0),1),INDEX('Category Mapping'!$E$28:$E$39,MATCH($A678,'Category Mapping'!$A$28:$A$39,0),1))</f>
        <v>218571428.5714286</v>
      </c>
      <c r="X678" s="27">
        <f>X98*IF($E678="weekday",INDEX('Category Mapping'!$F$28:$F$39,MATCH('Summarized Source Data'!$A678,'Category Mapping'!$A$28:$A$39,0),1),INDEX('Category Mapping'!$E$28:$E$39,MATCH($A678,'Category Mapping'!$A$28:$A$39,0),1))</f>
        <v>13757142857.142859</v>
      </c>
      <c r="Y678" s="27">
        <f>Y98*IF($E678="weekday",INDEX('Category Mapping'!$F$28:$F$39,MATCH('Summarized Source Data'!$A678,'Category Mapping'!$A$28:$A$39,0),1),INDEX('Category Mapping'!$E$28:$E$39,MATCH($A678,'Category Mapping'!$A$28:$A$39,0),1))</f>
        <v>13757142857.142859</v>
      </c>
      <c r="Z678" s="27">
        <f>Z98*IF($E678="weekday",INDEX('Category Mapping'!$F$28:$F$39,MATCH('Summarized Source Data'!$A678,'Category Mapping'!$A$28:$A$39,0),1),INDEX('Category Mapping'!$E$28:$E$39,MATCH($A678,'Category Mapping'!$A$28:$A$39,0),1))</f>
        <v>13757142857.142859</v>
      </c>
    </row>
    <row r="679" spans="1:26" x14ac:dyDescent="0.3">
      <c r="A679">
        <f t="shared" ref="A679:E679" si="144">A99</f>
        <v>4</v>
      </c>
      <c r="B679" t="str">
        <f t="shared" si="144"/>
        <v>Spring</v>
      </c>
      <c r="C679" t="str">
        <f t="shared" si="144"/>
        <v>h24</v>
      </c>
      <c r="D679" t="str">
        <f t="shared" si="144"/>
        <v>Hour23</v>
      </c>
      <c r="E679" t="str">
        <f t="shared" si="144"/>
        <v>Weekday</v>
      </c>
      <c r="F679" s="27">
        <f>F99*IF($E679="weekday",INDEX('Category Mapping'!$F$28:$F$39,MATCH('Summarized Source Data'!$A679,'Category Mapping'!$A$28:$A$39,0),1),INDEX('Category Mapping'!$E$28:$E$39,MATCH($A679,'Category Mapping'!$A$28:$A$39,0),1))</f>
        <v>109933864.2857143</v>
      </c>
      <c r="G679" s="27">
        <f>G99*IF($E679="weekday",INDEX('Category Mapping'!$F$28:$F$39,MATCH('Summarized Source Data'!$A679,'Category Mapping'!$A$28:$A$39,0),1),INDEX('Category Mapping'!$E$28:$E$39,MATCH($A679,'Category Mapping'!$A$28:$A$39,0),1))</f>
        <v>802607.14285714296</v>
      </c>
      <c r="H679" s="27">
        <f>H99*IF($E679="weekday",INDEX('Category Mapping'!$F$28:$F$39,MATCH('Summarized Source Data'!$A679,'Category Mapping'!$A$28:$A$39,0),1),INDEX('Category Mapping'!$E$28:$E$39,MATCH($A679,'Category Mapping'!$A$28:$A$39,0),1))</f>
        <v>0</v>
      </c>
      <c r="I679" s="27">
        <f>I99*IF($E679="weekday",INDEX('Category Mapping'!$F$28:$F$39,MATCH('Summarized Source Data'!$A679,'Category Mapping'!$A$28:$A$39,0),1),INDEX('Category Mapping'!$E$28:$E$39,MATCH($A679,'Category Mapping'!$A$28:$A$39,0),1))</f>
        <v>315000000.00000006</v>
      </c>
      <c r="J679" s="27">
        <f>J99*IF($E679="weekday",INDEX('Category Mapping'!$F$28:$F$39,MATCH('Summarized Source Data'!$A679,'Category Mapping'!$A$28:$A$39,0),1),INDEX('Category Mapping'!$E$28:$E$39,MATCH($A679,'Category Mapping'!$A$28:$A$39,0),1))</f>
        <v>1952834957.1428573</v>
      </c>
      <c r="K679" s="27">
        <f>K99*IF($E679="weekday",INDEX('Category Mapping'!$F$28:$F$39,MATCH('Summarized Source Data'!$A679,'Category Mapping'!$A$28:$A$39,0),1),INDEX('Category Mapping'!$E$28:$E$39,MATCH($A679,'Category Mapping'!$A$28:$A$39,0),1))</f>
        <v>1952834957.1428573</v>
      </c>
      <c r="L679" s="27">
        <f>L99*IF($E679="weekday",INDEX('Category Mapping'!$F$28:$F$39,MATCH('Summarized Source Data'!$A679,'Category Mapping'!$A$28:$A$39,0),1),INDEX('Category Mapping'!$E$28:$E$39,MATCH($A679,'Category Mapping'!$A$28:$A$39,0),1))</f>
        <v>295714285.71428573</v>
      </c>
      <c r="M679" s="27">
        <f>M99*IF($E679="weekday",INDEX('Category Mapping'!$F$28:$F$39,MATCH('Summarized Source Data'!$A679,'Category Mapping'!$A$28:$A$39,0),1),INDEX('Category Mapping'!$E$28:$E$39,MATCH($A679,'Category Mapping'!$A$28:$A$39,0),1))</f>
        <v>10190957.142857144</v>
      </c>
      <c r="N679" s="27">
        <f>N99*IF($E679="weekday",INDEX('Category Mapping'!$F$28:$F$39,MATCH('Summarized Source Data'!$A679,'Category Mapping'!$A$28:$A$39,0),1),INDEX('Category Mapping'!$E$28:$E$39,MATCH($A679,'Category Mapping'!$A$28:$A$39,0),1))</f>
        <v>0</v>
      </c>
      <c r="O679" s="27">
        <f>O99*IF($E679="weekday",INDEX('Category Mapping'!$F$28:$F$39,MATCH('Summarized Source Data'!$A679,'Category Mapping'!$A$28:$A$39,0),1),INDEX('Category Mapping'!$E$28:$E$39,MATCH($A679,'Category Mapping'!$A$28:$A$39,0),1))</f>
        <v>3872666185.7142859</v>
      </c>
      <c r="P679" s="27">
        <f>P99*IF($E679="weekday",INDEX('Category Mapping'!$F$28:$F$39,MATCH('Summarized Source Data'!$A679,'Category Mapping'!$A$28:$A$39,0),1),INDEX('Category Mapping'!$E$28:$E$39,MATCH($A679,'Category Mapping'!$A$28:$A$39,0),1))</f>
        <v>3872666185.7142859</v>
      </c>
      <c r="Q679" s="27">
        <f>Q99*IF($E679="weekday",INDEX('Category Mapping'!$F$28:$F$39,MATCH('Summarized Source Data'!$A679,'Category Mapping'!$A$28:$A$39,0),1),INDEX('Category Mapping'!$E$28:$E$39,MATCH($A679,'Category Mapping'!$A$28:$A$39,0),1))</f>
        <v>3872666185.7142859</v>
      </c>
      <c r="R679" s="27">
        <f>R99*IF($E679="weekday",INDEX('Category Mapping'!$F$28:$F$39,MATCH('Summarized Source Data'!$A679,'Category Mapping'!$A$28:$A$39,0),1),INDEX('Category Mapping'!$E$28:$E$39,MATCH($A679,'Category Mapping'!$A$28:$A$39,0),1))</f>
        <v>147189385.71428573</v>
      </c>
      <c r="S679" s="27">
        <f>S99*IF($E679="weekday",INDEX('Category Mapping'!$F$28:$F$39,MATCH('Summarized Source Data'!$A679,'Category Mapping'!$A$28:$A$39,0),1),INDEX('Category Mapping'!$E$28:$E$39,MATCH($A679,'Category Mapping'!$A$28:$A$39,0),1))</f>
        <v>147189385.71428573</v>
      </c>
      <c r="T679" s="27">
        <f>T99*IF($E679="weekday",INDEX('Category Mapping'!$F$28:$F$39,MATCH('Summarized Source Data'!$A679,'Category Mapping'!$A$28:$A$39,0),1),INDEX('Category Mapping'!$E$28:$E$39,MATCH($A679,'Category Mapping'!$A$28:$A$39,0),1))</f>
        <v>147189385.71428573</v>
      </c>
      <c r="U679" s="27">
        <f>U99*IF($E679="weekday",INDEX('Category Mapping'!$F$28:$F$39,MATCH('Summarized Source Data'!$A679,'Category Mapping'!$A$28:$A$39,0),1),INDEX('Category Mapping'!$E$28:$E$39,MATCH($A679,'Category Mapping'!$A$28:$A$39,0),1))</f>
        <v>147189385.71428573</v>
      </c>
      <c r="V679" s="27">
        <f>V99*IF($E679="weekday",INDEX('Category Mapping'!$F$28:$F$39,MATCH('Summarized Source Data'!$A679,'Category Mapping'!$A$28:$A$39,0),1),INDEX('Category Mapping'!$E$28:$E$39,MATCH($A679,'Category Mapping'!$A$28:$A$39,0),1))</f>
        <v>147189385.71428573</v>
      </c>
      <c r="W679" s="27">
        <f>W99*IF($E679="weekday",INDEX('Category Mapping'!$F$28:$F$39,MATCH('Summarized Source Data'!$A679,'Category Mapping'!$A$28:$A$39,0),1),INDEX('Category Mapping'!$E$28:$E$39,MATCH($A679,'Category Mapping'!$A$28:$A$39,0),1))</f>
        <v>147189385.71428573</v>
      </c>
      <c r="X679" s="27">
        <f>X99*IF($E679="weekday",INDEX('Category Mapping'!$F$28:$F$39,MATCH('Summarized Source Data'!$A679,'Category Mapping'!$A$28:$A$39,0),1),INDEX('Category Mapping'!$E$28:$E$39,MATCH($A679,'Category Mapping'!$A$28:$A$39,0),1))</f>
        <v>13671428571.428574</v>
      </c>
      <c r="Y679" s="27">
        <f>Y99*IF($E679="weekday",INDEX('Category Mapping'!$F$28:$F$39,MATCH('Summarized Source Data'!$A679,'Category Mapping'!$A$28:$A$39,0),1),INDEX('Category Mapping'!$E$28:$E$39,MATCH($A679,'Category Mapping'!$A$28:$A$39,0),1))</f>
        <v>13671428571.428574</v>
      </c>
      <c r="Z679" s="27">
        <f>Z99*IF($E679="weekday",INDEX('Category Mapping'!$F$28:$F$39,MATCH('Summarized Source Data'!$A679,'Category Mapping'!$A$28:$A$39,0),1),INDEX('Category Mapping'!$E$28:$E$39,MATCH($A679,'Category Mapping'!$A$28:$A$39,0),1))</f>
        <v>13671428571.428574</v>
      </c>
    </row>
    <row r="680" spans="1:26" x14ac:dyDescent="0.3">
      <c r="A680">
        <f t="shared" ref="A680:E680" si="145">A100</f>
        <v>5</v>
      </c>
      <c r="B680" t="str">
        <f t="shared" si="145"/>
        <v>Spring</v>
      </c>
      <c r="C680" t="str">
        <f t="shared" si="145"/>
        <v>h1</v>
      </c>
      <c r="D680" t="str">
        <f t="shared" si="145"/>
        <v>Hour0</v>
      </c>
      <c r="E680" t="str">
        <f t="shared" si="145"/>
        <v>Weekday</v>
      </c>
      <c r="F680" s="27">
        <f>F100*IF($E680="weekday",INDEX('Category Mapping'!$F$28:$F$39,MATCH('Summarized Source Data'!$A680,'Category Mapping'!$A$28:$A$39,0),1),INDEX('Category Mapping'!$E$28:$E$39,MATCH($A680,'Category Mapping'!$A$28:$A$39,0),1))</f>
        <v>33452852.857142858</v>
      </c>
      <c r="G680" s="27">
        <f>G100*IF($E680="weekday",INDEX('Category Mapping'!$F$28:$F$39,MATCH('Summarized Source Data'!$A680,'Category Mapping'!$A$28:$A$39,0),1),INDEX('Category Mapping'!$E$28:$E$39,MATCH($A680,'Category Mapping'!$A$28:$A$39,0),1))</f>
        <v>97362.142857142855</v>
      </c>
      <c r="H680" s="27">
        <f>H100*IF($E680="weekday",INDEX('Category Mapping'!$F$28:$F$39,MATCH('Summarized Source Data'!$A680,'Category Mapping'!$A$28:$A$39,0),1),INDEX('Category Mapping'!$E$28:$E$39,MATCH($A680,'Category Mapping'!$A$28:$A$39,0),1))</f>
        <v>0</v>
      </c>
      <c r="I680" s="27">
        <f>I100*IF($E680="weekday",INDEX('Category Mapping'!$F$28:$F$39,MATCH('Summarized Source Data'!$A680,'Category Mapping'!$A$28:$A$39,0),1),INDEX('Category Mapping'!$E$28:$E$39,MATCH($A680,'Category Mapping'!$A$28:$A$39,0),1))</f>
        <v>220712537.85714287</v>
      </c>
      <c r="J680" s="27">
        <f>J100*IF($E680="weekday",INDEX('Category Mapping'!$F$28:$F$39,MATCH('Summarized Source Data'!$A680,'Category Mapping'!$A$28:$A$39,0),1),INDEX('Category Mapping'!$E$28:$E$39,MATCH($A680,'Category Mapping'!$A$28:$A$39,0),1))</f>
        <v>1605737247.1428571</v>
      </c>
      <c r="K680" s="27">
        <f>K100*IF($E680="weekday",INDEX('Category Mapping'!$F$28:$F$39,MATCH('Summarized Source Data'!$A680,'Category Mapping'!$A$28:$A$39,0),1),INDEX('Category Mapping'!$E$28:$E$39,MATCH($A680,'Category Mapping'!$A$28:$A$39,0),1))</f>
        <v>1605737247.1428571</v>
      </c>
      <c r="L680" s="27">
        <f>L100*IF($E680="weekday",INDEX('Category Mapping'!$F$28:$F$39,MATCH('Summarized Source Data'!$A680,'Category Mapping'!$A$28:$A$39,0),1),INDEX('Category Mapping'!$E$28:$E$39,MATCH($A680,'Category Mapping'!$A$28:$A$39,0),1))</f>
        <v>104400936.42857143</v>
      </c>
      <c r="M680" s="27">
        <f>M100*IF($E680="weekday",INDEX('Category Mapping'!$F$28:$F$39,MATCH('Summarized Source Data'!$A680,'Category Mapping'!$A$28:$A$39,0),1),INDEX('Category Mapping'!$E$28:$E$39,MATCH($A680,'Category Mapping'!$A$28:$A$39,0),1))</f>
        <v>163382311.42857143</v>
      </c>
      <c r="N680" s="27">
        <f>N100*IF($E680="weekday",INDEX('Category Mapping'!$F$28:$F$39,MATCH('Summarized Source Data'!$A680,'Category Mapping'!$A$28:$A$39,0),1),INDEX('Category Mapping'!$E$28:$E$39,MATCH($A680,'Category Mapping'!$A$28:$A$39,0),1))</f>
        <v>0</v>
      </c>
      <c r="O680" s="27">
        <f>O100*IF($E680="weekday",INDEX('Category Mapping'!$F$28:$F$39,MATCH('Summarized Source Data'!$A680,'Category Mapping'!$A$28:$A$39,0),1),INDEX('Category Mapping'!$E$28:$E$39,MATCH($A680,'Category Mapping'!$A$28:$A$39,0),1))</f>
        <v>3341502466.4285712</v>
      </c>
      <c r="P680" s="27">
        <f>P100*IF($E680="weekday",INDEX('Category Mapping'!$F$28:$F$39,MATCH('Summarized Source Data'!$A680,'Category Mapping'!$A$28:$A$39,0),1),INDEX('Category Mapping'!$E$28:$E$39,MATCH($A680,'Category Mapping'!$A$28:$A$39,0),1))</f>
        <v>3341502466.4285712</v>
      </c>
      <c r="Q680" s="27">
        <f>Q100*IF($E680="weekday",INDEX('Category Mapping'!$F$28:$F$39,MATCH('Summarized Source Data'!$A680,'Category Mapping'!$A$28:$A$39,0),1),INDEX('Category Mapping'!$E$28:$E$39,MATCH($A680,'Category Mapping'!$A$28:$A$39,0),1))</f>
        <v>3341502466.4285712</v>
      </c>
      <c r="R680" s="27">
        <f>R100*IF($E680="weekday",INDEX('Category Mapping'!$F$28:$F$39,MATCH('Summarized Source Data'!$A680,'Category Mapping'!$A$28:$A$39,0),1),INDEX('Category Mapping'!$E$28:$E$39,MATCH($A680,'Category Mapping'!$A$28:$A$39,0),1))</f>
        <v>99577890</v>
      </c>
      <c r="S680" s="27">
        <f>S100*IF($E680="weekday",INDEX('Category Mapping'!$F$28:$F$39,MATCH('Summarized Source Data'!$A680,'Category Mapping'!$A$28:$A$39,0),1),INDEX('Category Mapping'!$E$28:$E$39,MATCH($A680,'Category Mapping'!$A$28:$A$39,0),1))</f>
        <v>99577890</v>
      </c>
      <c r="T680" s="27">
        <f>T100*IF($E680="weekday",INDEX('Category Mapping'!$F$28:$F$39,MATCH('Summarized Source Data'!$A680,'Category Mapping'!$A$28:$A$39,0),1),INDEX('Category Mapping'!$E$28:$E$39,MATCH($A680,'Category Mapping'!$A$28:$A$39,0),1))</f>
        <v>99577890</v>
      </c>
      <c r="U680" s="27">
        <f>U100*IF($E680="weekday",INDEX('Category Mapping'!$F$28:$F$39,MATCH('Summarized Source Data'!$A680,'Category Mapping'!$A$28:$A$39,0),1),INDEX('Category Mapping'!$E$28:$E$39,MATCH($A680,'Category Mapping'!$A$28:$A$39,0),1))</f>
        <v>99577890</v>
      </c>
      <c r="V680" s="27">
        <f>V100*IF($E680="weekday",INDEX('Category Mapping'!$F$28:$F$39,MATCH('Summarized Source Data'!$A680,'Category Mapping'!$A$28:$A$39,0),1),INDEX('Category Mapping'!$E$28:$E$39,MATCH($A680,'Category Mapping'!$A$28:$A$39,0),1))</f>
        <v>99577890</v>
      </c>
      <c r="W680" s="27">
        <f>W100*IF($E680="weekday",INDEX('Category Mapping'!$F$28:$F$39,MATCH('Summarized Source Data'!$A680,'Category Mapping'!$A$28:$A$39,0),1),INDEX('Category Mapping'!$E$28:$E$39,MATCH($A680,'Category Mapping'!$A$28:$A$39,0),1))</f>
        <v>99577890</v>
      </c>
      <c r="X680" s="27">
        <f>X100*IF($E680="weekday",INDEX('Category Mapping'!$F$28:$F$39,MATCH('Summarized Source Data'!$A680,'Category Mapping'!$A$28:$A$39,0),1),INDEX('Category Mapping'!$E$28:$E$39,MATCH($A680,'Category Mapping'!$A$28:$A$39,0),1))</f>
        <v>14304285714.285713</v>
      </c>
      <c r="Y680" s="27">
        <f>Y100*IF($E680="weekday",INDEX('Category Mapping'!$F$28:$F$39,MATCH('Summarized Source Data'!$A680,'Category Mapping'!$A$28:$A$39,0),1),INDEX('Category Mapping'!$E$28:$E$39,MATCH($A680,'Category Mapping'!$A$28:$A$39,0),1))</f>
        <v>14304285714.285713</v>
      </c>
      <c r="Z680" s="27">
        <f>Z100*IF($E680="weekday",INDEX('Category Mapping'!$F$28:$F$39,MATCH('Summarized Source Data'!$A680,'Category Mapping'!$A$28:$A$39,0),1),INDEX('Category Mapping'!$E$28:$E$39,MATCH($A680,'Category Mapping'!$A$28:$A$39,0),1))</f>
        <v>14304285714.285713</v>
      </c>
    </row>
    <row r="681" spans="1:26" x14ac:dyDescent="0.3">
      <c r="A681">
        <f t="shared" ref="A681:E681" si="146">A101</f>
        <v>5</v>
      </c>
      <c r="B681" t="str">
        <f t="shared" si="146"/>
        <v>Spring</v>
      </c>
      <c r="C681" t="str">
        <f t="shared" si="146"/>
        <v>h2</v>
      </c>
      <c r="D681" t="str">
        <f t="shared" si="146"/>
        <v>Hour1</v>
      </c>
      <c r="E681" t="str">
        <f t="shared" si="146"/>
        <v>Weekday</v>
      </c>
      <c r="F681" s="27">
        <f>F101*IF($E681="weekday",INDEX('Category Mapping'!$F$28:$F$39,MATCH('Summarized Source Data'!$A681,'Category Mapping'!$A$28:$A$39,0),1),INDEX('Category Mapping'!$E$28:$E$39,MATCH($A681,'Category Mapping'!$A$28:$A$39,0),1))</f>
        <v>33452852.857142858</v>
      </c>
      <c r="G681" s="27">
        <f>G101*IF($E681="weekday",INDEX('Category Mapping'!$F$28:$F$39,MATCH('Summarized Source Data'!$A681,'Category Mapping'!$A$28:$A$39,0),1),INDEX('Category Mapping'!$E$28:$E$39,MATCH($A681,'Category Mapping'!$A$28:$A$39,0),1))</f>
        <v>97893.57142857142</v>
      </c>
      <c r="H681" s="27">
        <f>H101*IF($E681="weekday",INDEX('Category Mapping'!$F$28:$F$39,MATCH('Summarized Source Data'!$A681,'Category Mapping'!$A$28:$A$39,0),1),INDEX('Category Mapping'!$E$28:$E$39,MATCH($A681,'Category Mapping'!$A$28:$A$39,0),1))</f>
        <v>0</v>
      </c>
      <c r="I681" s="27">
        <f>I101*IF($E681="weekday",INDEX('Category Mapping'!$F$28:$F$39,MATCH('Summarized Source Data'!$A681,'Category Mapping'!$A$28:$A$39,0),1),INDEX('Category Mapping'!$E$28:$E$39,MATCH($A681,'Category Mapping'!$A$28:$A$39,0),1))</f>
        <v>203397510</v>
      </c>
      <c r="J681" s="27">
        <f>J101*IF($E681="weekday",INDEX('Category Mapping'!$F$28:$F$39,MATCH('Summarized Source Data'!$A681,'Category Mapping'!$A$28:$A$39,0),1),INDEX('Category Mapping'!$E$28:$E$39,MATCH($A681,'Category Mapping'!$A$28:$A$39,0),1))</f>
        <v>1162480315</v>
      </c>
      <c r="K681" s="27">
        <f>K101*IF($E681="weekday",INDEX('Category Mapping'!$F$28:$F$39,MATCH('Summarized Source Data'!$A681,'Category Mapping'!$A$28:$A$39,0),1),INDEX('Category Mapping'!$E$28:$E$39,MATCH($A681,'Category Mapping'!$A$28:$A$39,0),1))</f>
        <v>1162480315</v>
      </c>
      <c r="L681" s="27">
        <f>L101*IF($E681="weekday",INDEX('Category Mapping'!$F$28:$F$39,MATCH('Summarized Source Data'!$A681,'Category Mapping'!$A$28:$A$39,0),1),INDEX('Category Mapping'!$E$28:$E$39,MATCH($A681,'Category Mapping'!$A$28:$A$39,0),1))</f>
        <v>98138117.142857134</v>
      </c>
      <c r="M681" s="27">
        <f>M101*IF($E681="weekday",INDEX('Category Mapping'!$F$28:$F$39,MATCH('Summarized Source Data'!$A681,'Category Mapping'!$A$28:$A$39,0),1),INDEX('Category Mapping'!$E$28:$E$39,MATCH($A681,'Category Mapping'!$A$28:$A$39,0),1))</f>
        <v>154059615</v>
      </c>
      <c r="N681" s="27">
        <f>N101*IF($E681="weekday",INDEX('Category Mapping'!$F$28:$F$39,MATCH('Summarized Source Data'!$A681,'Category Mapping'!$A$28:$A$39,0),1),INDEX('Category Mapping'!$E$28:$E$39,MATCH($A681,'Category Mapping'!$A$28:$A$39,0),1))</f>
        <v>0</v>
      </c>
      <c r="O681" s="27">
        <f>O101*IF($E681="weekday",INDEX('Category Mapping'!$F$28:$F$39,MATCH('Summarized Source Data'!$A681,'Category Mapping'!$A$28:$A$39,0),1),INDEX('Category Mapping'!$E$28:$E$39,MATCH($A681,'Category Mapping'!$A$28:$A$39,0),1))</f>
        <v>3290659410.7142859</v>
      </c>
      <c r="P681" s="27">
        <f>P101*IF($E681="weekday",INDEX('Category Mapping'!$F$28:$F$39,MATCH('Summarized Source Data'!$A681,'Category Mapping'!$A$28:$A$39,0),1),INDEX('Category Mapping'!$E$28:$E$39,MATCH($A681,'Category Mapping'!$A$28:$A$39,0),1))</f>
        <v>3290659410.7142859</v>
      </c>
      <c r="Q681" s="27">
        <f>Q101*IF($E681="weekday",INDEX('Category Mapping'!$F$28:$F$39,MATCH('Summarized Source Data'!$A681,'Category Mapping'!$A$28:$A$39,0),1),INDEX('Category Mapping'!$E$28:$E$39,MATCH($A681,'Category Mapping'!$A$28:$A$39,0),1))</f>
        <v>3290659410.7142859</v>
      </c>
      <c r="R681" s="27">
        <f>R101*IF($E681="weekday",INDEX('Category Mapping'!$F$28:$F$39,MATCH('Summarized Source Data'!$A681,'Category Mapping'!$A$28:$A$39,0),1),INDEX('Category Mapping'!$E$28:$E$39,MATCH($A681,'Category Mapping'!$A$28:$A$39,0),1))</f>
        <v>98076161.428571433</v>
      </c>
      <c r="S681" s="27">
        <f>S101*IF($E681="weekday",INDEX('Category Mapping'!$F$28:$F$39,MATCH('Summarized Source Data'!$A681,'Category Mapping'!$A$28:$A$39,0),1),INDEX('Category Mapping'!$E$28:$E$39,MATCH($A681,'Category Mapping'!$A$28:$A$39,0),1))</f>
        <v>98076161.428571433</v>
      </c>
      <c r="T681" s="27">
        <f>T101*IF($E681="weekday",INDEX('Category Mapping'!$F$28:$F$39,MATCH('Summarized Source Data'!$A681,'Category Mapping'!$A$28:$A$39,0),1),INDEX('Category Mapping'!$E$28:$E$39,MATCH($A681,'Category Mapping'!$A$28:$A$39,0),1))</f>
        <v>98076161.428571433</v>
      </c>
      <c r="U681" s="27">
        <f>U101*IF($E681="weekday",INDEX('Category Mapping'!$F$28:$F$39,MATCH('Summarized Source Data'!$A681,'Category Mapping'!$A$28:$A$39,0),1),INDEX('Category Mapping'!$E$28:$E$39,MATCH($A681,'Category Mapping'!$A$28:$A$39,0),1))</f>
        <v>98076161.428571433</v>
      </c>
      <c r="V681" s="27">
        <f>V101*IF($E681="weekday",INDEX('Category Mapping'!$F$28:$F$39,MATCH('Summarized Source Data'!$A681,'Category Mapping'!$A$28:$A$39,0),1),INDEX('Category Mapping'!$E$28:$E$39,MATCH($A681,'Category Mapping'!$A$28:$A$39,0),1))</f>
        <v>98076161.428571433</v>
      </c>
      <c r="W681" s="27">
        <f>W101*IF($E681="weekday",INDEX('Category Mapping'!$F$28:$F$39,MATCH('Summarized Source Data'!$A681,'Category Mapping'!$A$28:$A$39,0),1),INDEX('Category Mapping'!$E$28:$E$39,MATCH($A681,'Category Mapping'!$A$28:$A$39,0),1))</f>
        <v>98076161.428571433</v>
      </c>
      <c r="X681" s="27">
        <f>X101*IF($E681="weekday",INDEX('Category Mapping'!$F$28:$F$39,MATCH('Summarized Source Data'!$A681,'Category Mapping'!$A$28:$A$39,0),1),INDEX('Category Mapping'!$E$28:$E$39,MATCH($A681,'Category Mapping'!$A$28:$A$39,0),1))</f>
        <v>14282142857.142857</v>
      </c>
      <c r="Y681" s="27">
        <f>Y101*IF($E681="weekday",INDEX('Category Mapping'!$F$28:$F$39,MATCH('Summarized Source Data'!$A681,'Category Mapping'!$A$28:$A$39,0),1),INDEX('Category Mapping'!$E$28:$E$39,MATCH($A681,'Category Mapping'!$A$28:$A$39,0),1))</f>
        <v>14282142857.142857</v>
      </c>
      <c r="Z681" s="27">
        <f>Z101*IF($E681="weekday",INDEX('Category Mapping'!$F$28:$F$39,MATCH('Summarized Source Data'!$A681,'Category Mapping'!$A$28:$A$39,0),1),INDEX('Category Mapping'!$E$28:$E$39,MATCH($A681,'Category Mapping'!$A$28:$A$39,0),1))</f>
        <v>14282142857.142857</v>
      </c>
    </row>
    <row r="682" spans="1:26" x14ac:dyDescent="0.3">
      <c r="A682">
        <f t="shared" ref="A682:E682" si="147">A102</f>
        <v>5</v>
      </c>
      <c r="B682" t="str">
        <f t="shared" si="147"/>
        <v>Spring</v>
      </c>
      <c r="C682" t="str">
        <f t="shared" si="147"/>
        <v>h3</v>
      </c>
      <c r="D682" t="str">
        <f t="shared" si="147"/>
        <v>Hour2</v>
      </c>
      <c r="E682" t="str">
        <f t="shared" si="147"/>
        <v>Weekday</v>
      </c>
      <c r="F682" s="27">
        <f>F102*IF($E682="weekday",INDEX('Category Mapping'!$F$28:$F$39,MATCH('Summarized Source Data'!$A682,'Category Mapping'!$A$28:$A$39,0),1),INDEX('Category Mapping'!$E$28:$E$39,MATCH($A682,'Category Mapping'!$A$28:$A$39,0),1))</f>
        <v>33452852.857142858</v>
      </c>
      <c r="G682" s="27">
        <f>G102*IF($E682="weekday",INDEX('Category Mapping'!$F$28:$F$39,MATCH('Summarized Source Data'!$A682,'Category Mapping'!$A$28:$A$39,0),1),INDEX('Category Mapping'!$E$28:$E$39,MATCH($A682,'Category Mapping'!$A$28:$A$39,0),1))</f>
        <v>98270</v>
      </c>
      <c r="H682" s="27">
        <f>H102*IF($E682="weekday",INDEX('Category Mapping'!$F$28:$F$39,MATCH('Summarized Source Data'!$A682,'Category Mapping'!$A$28:$A$39,0),1),INDEX('Category Mapping'!$E$28:$E$39,MATCH($A682,'Category Mapping'!$A$28:$A$39,0),1))</f>
        <v>0</v>
      </c>
      <c r="I682" s="27">
        <f>I102*IF($E682="weekday",INDEX('Category Mapping'!$F$28:$F$39,MATCH('Summarized Source Data'!$A682,'Category Mapping'!$A$28:$A$39,0),1),INDEX('Category Mapping'!$E$28:$E$39,MATCH($A682,'Category Mapping'!$A$28:$A$39,0),1))</f>
        <v>201401552.85714287</v>
      </c>
      <c r="J682" s="27">
        <f>J102*IF($E682="weekday",INDEX('Category Mapping'!$F$28:$F$39,MATCH('Summarized Source Data'!$A682,'Category Mapping'!$A$28:$A$39,0),1),INDEX('Category Mapping'!$E$28:$E$39,MATCH($A682,'Category Mapping'!$A$28:$A$39,0),1))</f>
        <v>929761610</v>
      </c>
      <c r="K682" s="27">
        <f>K102*IF($E682="weekday",INDEX('Category Mapping'!$F$28:$F$39,MATCH('Summarized Source Data'!$A682,'Category Mapping'!$A$28:$A$39,0),1),INDEX('Category Mapping'!$E$28:$E$39,MATCH($A682,'Category Mapping'!$A$28:$A$39,0),1))</f>
        <v>929761610</v>
      </c>
      <c r="L682" s="27">
        <f>L102*IF($E682="weekday",INDEX('Category Mapping'!$F$28:$F$39,MATCH('Summarized Source Data'!$A682,'Category Mapping'!$A$28:$A$39,0),1),INDEX('Category Mapping'!$E$28:$E$39,MATCH($A682,'Category Mapping'!$A$28:$A$39,0),1))</f>
        <v>99786475.714285716</v>
      </c>
      <c r="M682" s="27">
        <f>M102*IF($E682="weekday",INDEX('Category Mapping'!$F$28:$F$39,MATCH('Summarized Source Data'!$A682,'Category Mapping'!$A$28:$A$39,0),1),INDEX('Category Mapping'!$E$28:$E$39,MATCH($A682,'Category Mapping'!$A$28:$A$39,0),1))</f>
        <v>150169447.14285713</v>
      </c>
      <c r="N682" s="27">
        <f>N102*IF($E682="weekday",INDEX('Category Mapping'!$F$28:$F$39,MATCH('Summarized Source Data'!$A682,'Category Mapping'!$A$28:$A$39,0),1),INDEX('Category Mapping'!$E$28:$E$39,MATCH($A682,'Category Mapping'!$A$28:$A$39,0),1))</f>
        <v>0</v>
      </c>
      <c r="O682" s="27">
        <f>O102*IF($E682="weekday",INDEX('Category Mapping'!$F$28:$F$39,MATCH('Summarized Source Data'!$A682,'Category Mapping'!$A$28:$A$39,0),1),INDEX('Category Mapping'!$E$28:$E$39,MATCH($A682,'Category Mapping'!$A$28:$A$39,0),1))</f>
        <v>3270758362.8571429</v>
      </c>
      <c r="P682" s="27">
        <f>P102*IF($E682="weekday",INDEX('Category Mapping'!$F$28:$F$39,MATCH('Summarized Source Data'!$A682,'Category Mapping'!$A$28:$A$39,0),1),INDEX('Category Mapping'!$E$28:$E$39,MATCH($A682,'Category Mapping'!$A$28:$A$39,0),1))</f>
        <v>3270758362.8571429</v>
      </c>
      <c r="Q682" s="27">
        <f>Q102*IF($E682="weekday",INDEX('Category Mapping'!$F$28:$F$39,MATCH('Summarized Source Data'!$A682,'Category Mapping'!$A$28:$A$39,0),1),INDEX('Category Mapping'!$E$28:$E$39,MATCH($A682,'Category Mapping'!$A$28:$A$39,0),1))</f>
        <v>3270758362.8571429</v>
      </c>
      <c r="R682" s="27">
        <f>R102*IF($E682="weekday",INDEX('Category Mapping'!$F$28:$F$39,MATCH('Summarized Source Data'!$A682,'Category Mapping'!$A$28:$A$39,0),1),INDEX('Category Mapping'!$E$28:$E$39,MATCH($A682,'Category Mapping'!$A$28:$A$39,0),1))</f>
        <v>97690477.142857134</v>
      </c>
      <c r="S682" s="27">
        <f>S102*IF($E682="weekday",INDEX('Category Mapping'!$F$28:$F$39,MATCH('Summarized Source Data'!$A682,'Category Mapping'!$A$28:$A$39,0),1),INDEX('Category Mapping'!$E$28:$E$39,MATCH($A682,'Category Mapping'!$A$28:$A$39,0),1))</f>
        <v>97690477.142857134</v>
      </c>
      <c r="T682" s="27">
        <f>T102*IF($E682="weekday",INDEX('Category Mapping'!$F$28:$F$39,MATCH('Summarized Source Data'!$A682,'Category Mapping'!$A$28:$A$39,0),1),INDEX('Category Mapping'!$E$28:$E$39,MATCH($A682,'Category Mapping'!$A$28:$A$39,0),1))</f>
        <v>97690477.142857134</v>
      </c>
      <c r="U682" s="27">
        <f>U102*IF($E682="weekday",INDEX('Category Mapping'!$F$28:$F$39,MATCH('Summarized Source Data'!$A682,'Category Mapping'!$A$28:$A$39,0),1),INDEX('Category Mapping'!$E$28:$E$39,MATCH($A682,'Category Mapping'!$A$28:$A$39,0),1))</f>
        <v>97690477.142857134</v>
      </c>
      <c r="V682" s="27">
        <f>V102*IF($E682="weekday",INDEX('Category Mapping'!$F$28:$F$39,MATCH('Summarized Source Data'!$A682,'Category Mapping'!$A$28:$A$39,0),1),INDEX('Category Mapping'!$E$28:$E$39,MATCH($A682,'Category Mapping'!$A$28:$A$39,0),1))</f>
        <v>97690477.142857134</v>
      </c>
      <c r="W682" s="27">
        <f>W102*IF($E682="weekday",INDEX('Category Mapping'!$F$28:$F$39,MATCH('Summarized Source Data'!$A682,'Category Mapping'!$A$28:$A$39,0),1),INDEX('Category Mapping'!$E$28:$E$39,MATCH($A682,'Category Mapping'!$A$28:$A$39,0),1))</f>
        <v>97690477.142857134</v>
      </c>
      <c r="X682" s="27">
        <f>X102*IF($E682="weekday",INDEX('Category Mapping'!$F$28:$F$39,MATCH('Summarized Source Data'!$A682,'Category Mapping'!$A$28:$A$39,0),1),INDEX('Category Mapping'!$E$28:$E$39,MATCH($A682,'Category Mapping'!$A$28:$A$39,0),1))</f>
        <v>14282142857.142857</v>
      </c>
      <c r="Y682" s="27">
        <f>Y102*IF($E682="weekday",INDEX('Category Mapping'!$F$28:$F$39,MATCH('Summarized Source Data'!$A682,'Category Mapping'!$A$28:$A$39,0),1),INDEX('Category Mapping'!$E$28:$E$39,MATCH($A682,'Category Mapping'!$A$28:$A$39,0),1))</f>
        <v>14282142857.142857</v>
      </c>
      <c r="Z682" s="27">
        <f>Z102*IF($E682="weekday",INDEX('Category Mapping'!$F$28:$F$39,MATCH('Summarized Source Data'!$A682,'Category Mapping'!$A$28:$A$39,0),1),INDEX('Category Mapping'!$E$28:$E$39,MATCH($A682,'Category Mapping'!$A$28:$A$39,0),1))</f>
        <v>14282142857.142857</v>
      </c>
    </row>
    <row r="683" spans="1:26" x14ac:dyDescent="0.3">
      <c r="A683">
        <f t="shared" ref="A683:E683" si="148">A103</f>
        <v>5</v>
      </c>
      <c r="B683" t="str">
        <f t="shared" si="148"/>
        <v>Spring</v>
      </c>
      <c r="C683" t="str">
        <f t="shared" si="148"/>
        <v>h4</v>
      </c>
      <c r="D683" t="str">
        <f t="shared" si="148"/>
        <v>Hour3</v>
      </c>
      <c r="E683" t="str">
        <f t="shared" si="148"/>
        <v>Weekday</v>
      </c>
      <c r="F683" s="27">
        <f>F103*IF($E683="weekday",INDEX('Category Mapping'!$F$28:$F$39,MATCH('Summarized Source Data'!$A683,'Category Mapping'!$A$28:$A$39,0),1),INDEX('Category Mapping'!$E$28:$E$39,MATCH($A683,'Category Mapping'!$A$28:$A$39,0),1))</f>
        <v>33452852.857142858</v>
      </c>
      <c r="G683" s="27">
        <f>G103*IF($E683="weekday",INDEX('Category Mapping'!$F$28:$F$39,MATCH('Summarized Source Data'!$A683,'Category Mapping'!$A$28:$A$39,0),1),INDEX('Category Mapping'!$E$28:$E$39,MATCH($A683,'Category Mapping'!$A$28:$A$39,0),1))</f>
        <v>98336.428571428565</v>
      </c>
      <c r="H683" s="27">
        <f>H103*IF($E683="weekday",INDEX('Category Mapping'!$F$28:$F$39,MATCH('Summarized Source Data'!$A683,'Category Mapping'!$A$28:$A$39,0),1),INDEX('Category Mapping'!$E$28:$E$39,MATCH($A683,'Category Mapping'!$A$28:$A$39,0),1))</f>
        <v>0</v>
      </c>
      <c r="I683" s="27">
        <f>I103*IF($E683="weekday",INDEX('Category Mapping'!$F$28:$F$39,MATCH('Summarized Source Data'!$A683,'Category Mapping'!$A$28:$A$39,0),1),INDEX('Category Mapping'!$E$28:$E$39,MATCH($A683,'Category Mapping'!$A$28:$A$39,0),1))</f>
        <v>205891327.14285713</v>
      </c>
      <c r="J683" s="27">
        <f>J103*IF($E683="weekday",INDEX('Category Mapping'!$F$28:$F$39,MATCH('Summarized Source Data'!$A683,'Category Mapping'!$A$28:$A$39,0),1),INDEX('Category Mapping'!$E$28:$E$39,MATCH($A683,'Category Mapping'!$A$28:$A$39,0),1))</f>
        <v>801271769.28571427</v>
      </c>
      <c r="K683" s="27">
        <f>K103*IF($E683="weekday",INDEX('Category Mapping'!$F$28:$F$39,MATCH('Summarized Source Data'!$A683,'Category Mapping'!$A$28:$A$39,0),1),INDEX('Category Mapping'!$E$28:$E$39,MATCH($A683,'Category Mapping'!$A$28:$A$39,0),1))</f>
        <v>801271769.28571427</v>
      </c>
      <c r="L683" s="27">
        <f>L103*IF($E683="weekday",INDEX('Category Mapping'!$F$28:$F$39,MATCH('Summarized Source Data'!$A683,'Category Mapping'!$A$28:$A$39,0),1),INDEX('Category Mapping'!$E$28:$E$39,MATCH($A683,'Category Mapping'!$A$28:$A$39,0),1))</f>
        <v>101379787.14285713</v>
      </c>
      <c r="M683" s="27">
        <f>M103*IF($E683="weekday",INDEX('Category Mapping'!$F$28:$F$39,MATCH('Summarized Source Data'!$A683,'Category Mapping'!$A$28:$A$39,0),1),INDEX('Category Mapping'!$E$28:$E$39,MATCH($A683,'Category Mapping'!$A$28:$A$39,0),1))</f>
        <v>147975090</v>
      </c>
      <c r="N683" s="27">
        <f>N103*IF($E683="weekday",INDEX('Category Mapping'!$F$28:$F$39,MATCH('Summarized Source Data'!$A683,'Category Mapping'!$A$28:$A$39,0),1),INDEX('Category Mapping'!$E$28:$E$39,MATCH($A683,'Category Mapping'!$A$28:$A$39,0),1))</f>
        <v>0</v>
      </c>
      <c r="O683" s="27">
        <f>O103*IF($E683="weekday",INDEX('Category Mapping'!$F$28:$F$39,MATCH('Summarized Source Data'!$A683,'Category Mapping'!$A$28:$A$39,0),1),INDEX('Category Mapping'!$E$28:$E$39,MATCH($A683,'Category Mapping'!$A$28:$A$39,0),1))</f>
        <v>3426359408.5714283</v>
      </c>
      <c r="P683" s="27">
        <f>P103*IF($E683="weekday",INDEX('Category Mapping'!$F$28:$F$39,MATCH('Summarized Source Data'!$A683,'Category Mapping'!$A$28:$A$39,0),1),INDEX('Category Mapping'!$E$28:$E$39,MATCH($A683,'Category Mapping'!$A$28:$A$39,0),1))</f>
        <v>3426359408.5714283</v>
      </c>
      <c r="Q683" s="27">
        <f>Q103*IF($E683="weekday",INDEX('Category Mapping'!$F$28:$F$39,MATCH('Summarized Source Data'!$A683,'Category Mapping'!$A$28:$A$39,0),1),INDEX('Category Mapping'!$E$28:$E$39,MATCH($A683,'Category Mapping'!$A$28:$A$39,0),1))</f>
        <v>3426359408.5714283</v>
      </c>
      <c r="R683" s="27">
        <f>R103*IF($E683="weekday",INDEX('Category Mapping'!$F$28:$F$39,MATCH('Summarized Source Data'!$A683,'Category Mapping'!$A$28:$A$39,0),1),INDEX('Category Mapping'!$E$28:$E$39,MATCH($A683,'Category Mapping'!$A$28:$A$39,0),1))</f>
        <v>98045537.857142851</v>
      </c>
      <c r="S683" s="27">
        <f>S103*IF($E683="weekday",INDEX('Category Mapping'!$F$28:$F$39,MATCH('Summarized Source Data'!$A683,'Category Mapping'!$A$28:$A$39,0),1),INDEX('Category Mapping'!$E$28:$E$39,MATCH($A683,'Category Mapping'!$A$28:$A$39,0),1))</f>
        <v>98045537.857142851</v>
      </c>
      <c r="T683" s="27">
        <f>T103*IF($E683="weekday",INDEX('Category Mapping'!$F$28:$F$39,MATCH('Summarized Source Data'!$A683,'Category Mapping'!$A$28:$A$39,0),1),INDEX('Category Mapping'!$E$28:$E$39,MATCH($A683,'Category Mapping'!$A$28:$A$39,0),1))</f>
        <v>98045537.857142851</v>
      </c>
      <c r="U683" s="27">
        <f>U103*IF($E683="weekday",INDEX('Category Mapping'!$F$28:$F$39,MATCH('Summarized Source Data'!$A683,'Category Mapping'!$A$28:$A$39,0),1),INDEX('Category Mapping'!$E$28:$E$39,MATCH($A683,'Category Mapping'!$A$28:$A$39,0),1))</f>
        <v>98045537.857142851</v>
      </c>
      <c r="V683" s="27">
        <f>V103*IF($E683="weekday",INDEX('Category Mapping'!$F$28:$F$39,MATCH('Summarized Source Data'!$A683,'Category Mapping'!$A$28:$A$39,0),1),INDEX('Category Mapping'!$E$28:$E$39,MATCH($A683,'Category Mapping'!$A$28:$A$39,0),1))</f>
        <v>98045537.857142851</v>
      </c>
      <c r="W683" s="27">
        <f>W103*IF($E683="weekday",INDEX('Category Mapping'!$F$28:$F$39,MATCH('Summarized Source Data'!$A683,'Category Mapping'!$A$28:$A$39,0),1),INDEX('Category Mapping'!$E$28:$E$39,MATCH($A683,'Category Mapping'!$A$28:$A$39,0),1))</f>
        <v>98045537.857142851</v>
      </c>
      <c r="X683" s="27">
        <f>X103*IF($E683="weekday",INDEX('Category Mapping'!$F$28:$F$39,MATCH('Summarized Source Data'!$A683,'Category Mapping'!$A$28:$A$39,0),1),INDEX('Category Mapping'!$E$28:$E$39,MATCH($A683,'Category Mapping'!$A$28:$A$39,0),1))</f>
        <v>14282142857.142857</v>
      </c>
      <c r="Y683" s="27">
        <f>Y103*IF($E683="weekday",INDEX('Category Mapping'!$F$28:$F$39,MATCH('Summarized Source Data'!$A683,'Category Mapping'!$A$28:$A$39,0),1),INDEX('Category Mapping'!$E$28:$E$39,MATCH($A683,'Category Mapping'!$A$28:$A$39,0),1))</f>
        <v>14282142857.142857</v>
      </c>
      <c r="Z683" s="27">
        <f>Z103*IF($E683="weekday",INDEX('Category Mapping'!$F$28:$F$39,MATCH('Summarized Source Data'!$A683,'Category Mapping'!$A$28:$A$39,0),1),INDEX('Category Mapping'!$E$28:$E$39,MATCH($A683,'Category Mapping'!$A$28:$A$39,0),1))</f>
        <v>14282142857.142857</v>
      </c>
    </row>
    <row r="684" spans="1:26" x14ac:dyDescent="0.3">
      <c r="A684">
        <f t="shared" ref="A684:E684" si="149">A104</f>
        <v>5</v>
      </c>
      <c r="B684" t="str">
        <f t="shared" si="149"/>
        <v>Spring</v>
      </c>
      <c r="C684" t="str">
        <f t="shared" si="149"/>
        <v>h5</v>
      </c>
      <c r="D684" t="str">
        <f t="shared" si="149"/>
        <v>Hour4</v>
      </c>
      <c r="E684" t="str">
        <f t="shared" si="149"/>
        <v>Weekday</v>
      </c>
      <c r="F684" s="27">
        <f>F104*IF($E684="weekday",INDEX('Category Mapping'!$F$28:$F$39,MATCH('Summarized Source Data'!$A684,'Category Mapping'!$A$28:$A$39,0),1),INDEX('Category Mapping'!$E$28:$E$39,MATCH($A684,'Category Mapping'!$A$28:$A$39,0),1))</f>
        <v>33452852.857142858</v>
      </c>
      <c r="G684" s="27">
        <f>G104*IF($E684="weekday",INDEX('Category Mapping'!$F$28:$F$39,MATCH('Summarized Source Data'!$A684,'Category Mapping'!$A$28:$A$39,0),1),INDEX('Category Mapping'!$E$28:$E$39,MATCH($A684,'Category Mapping'!$A$28:$A$39,0),1))</f>
        <v>95856.428571428565</v>
      </c>
      <c r="H684" s="27">
        <f>H104*IF($E684="weekday",INDEX('Category Mapping'!$F$28:$F$39,MATCH('Summarized Source Data'!$A684,'Category Mapping'!$A$28:$A$39,0),1),INDEX('Category Mapping'!$E$28:$E$39,MATCH($A684,'Category Mapping'!$A$28:$A$39,0),1))</f>
        <v>0</v>
      </c>
      <c r="I684" s="27">
        <f>I104*IF($E684="weekday",INDEX('Category Mapping'!$F$28:$F$39,MATCH('Summarized Source Data'!$A684,'Category Mapping'!$A$28:$A$39,0),1),INDEX('Category Mapping'!$E$28:$E$39,MATCH($A684,'Category Mapping'!$A$28:$A$39,0),1))</f>
        <v>265714285.7142857</v>
      </c>
      <c r="J684" s="27">
        <f>J104*IF($E684="weekday",INDEX('Category Mapping'!$F$28:$F$39,MATCH('Summarized Source Data'!$A684,'Category Mapping'!$A$28:$A$39,0),1),INDEX('Category Mapping'!$E$28:$E$39,MATCH($A684,'Category Mapping'!$A$28:$A$39,0),1))</f>
        <v>845522719.28571427</v>
      </c>
      <c r="K684" s="27">
        <f>K104*IF($E684="weekday",INDEX('Category Mapping'!$F$28:$F$39,MATCH('Summarized Source Data'!$A684,'Category Mapping'!$A$28:$A$39,0),1),INDEX('Category Mapping'!$E$28:$E$39,MATCH($A684,'Category Mapping'!$A$28:$A$39,0),1))</f>
        <v>845522719.28571427</v>
      </c>
      <c r="L684" s="27">
        <f>L104*IF($E684="weekday",INDEX('Category Mapping'!$F$28:$F$39,MATCH('Summarized Source Data'!$A684,'Category Mapping'!$A$28:$A$39,0),1),INDEX('Category Mapping'!$E$28:$E$39,MATCH($A684,'Category Mapping'!$A$28:$A$39,0),1))</f>
        <v>98112453.571428567</v>
      </c>
      <c r="M684" s="27">
        <f>M104*IF($E684="weekday",INDEX('Category Mapping'!$F$28:$F$39,MATCH('Summarized Source Data'!$A684,'Category Mapping'!$A$28:$A$39,0),1),INDEX('Category Mapping'!$E$28:$E$39,MATCH($A684,'Category Mapping'!$A$28:$A$39,0),1))</f>
        <v>147502583.57142857</v>
      </c>
      <c r="N684" s="27">
        <f>N104*IF($E684="weekday",INDEX('Category Mapping'!$F$28:$F$39,MATCH('Summarized Source Data'!$A684,'Category Mapping'!$A$28:$A$39,0),1),INDEX('Category Mapping'!$E$28:$E$39,MATCH($A684,'Category Mapping'!$A$28:$A$39,0),1))</f>
        <v>0</v>
      </c>
      <c r="O684" s="27">
        <f>O104*IF($E684="weekday",INDEX('Category Mapping'!$F$28:$F$39,MATCH('Summarized Source Data'!$A684,'Category Mapping'!$A$28:$A$39,0),1),INDEX('Category Mapping'!$E$28:$E$39,MATCH($A684,'Category Mapping'!$A$28:$A$39,0),1))</f>
        <v>3629384962.8571429</v>
      </c>
      <c r="P684" s="27">
        <f>P104*IF($E684="weekday",INDEX('Category Mapping'!$F$28:$F$39,MATCH('Summarized Source Data'!$A684,'Category Mapping'!$A$28:$A$39,0),1),INDEX('Category Mapping'!$E$28:$E$39,MATCH($A684,'Category Mapping'!$A$28:$A$39,0),1))</f>
        <v>3629384962.8571429</v>
      </c>
      <c r="Q684" s="27">
        <f>Q104*IF($E684="weekday",INDEX('Category Mapping'!$F$28:$F$39,MATCH('Summarized Source Data'!$A684,'Category Mapping'!$A$28:$A$39,0),1),INDEX('Category Mapping'!$E$28:$E$39,MATCH($A684,'Category Mapping'!$A$28:$A$39,0),1))</f>
        <v>3629384962.8571429</v>
      </c>
      <c r="R684" s="27">
        <f>R104*IF($E684="weekday",INDEX('Category Mapping'!$F$28:$F$39,MATCH('Summarized Source Data'!$A684,'Category Mapping'!$A$28:$A$39,0),1),INDEX('Category Mapping'!$E$28:$E$39,MATCH($A684,'Category Mapping'!$A$28:$A$39,0),1))</f>
        <v>97658635.714285716</v>
      </c>
      <c r="S684" s="27">
        <f>S104*IF($E684="weekday",INDEX('Category Mapping'!$F$28:$F$39,MATCH('Summarized Source Data'!$A684,'Category Mapping'!$A$28:$A$39,0),1),INDEX('Category Mapping'!$E$28:$E$39,MATCH($A684,'Category Mapping'!$A$28:$A$39,0),1))</f>
        <v>97658635.714285716</v>
      </c>
      <c r="T684" s="27">
        <f>T104*IF($E684="weekday",INDEX('Category Mapping'!$F$28:$F$39,MATCH('Summarized Source Data'!$A684,'Category Mapping'!$A$28:$A$39,0),1),INDEX('Category Mapping'!$E$28:$E$39,MATCH($A684,'Category Mapping'!$A$28:$A$39,0),1))</f>
        <v>97658635.714285716</v>
      </c>
      <c r="U684" s="27">
        <f>U104*IF($E684="weekday",INDEX('Category Mapping'!$F$28:$F$39,MATCH('Summarized Source Data'!$A684,'Category Mapping'!$A$28:$A$39,0),1),INDEX('Category Mapping'!$E$28:$E$39,MATCH($A684,'Category Mapping'!$A$28:$A$39,0),1))</f>
        <v>97658635.714285716</v>
      </c>
      <c r="V684" s="27">
        <f>V104*IF($E684="weekday",INDEX('Category Mapping'!$F$28:$F$39,MATCH('Summarized Source Data'!$A684,'Category Mapping'!$A$28:$A$39,0),1),INDEX('Category Mapping'!$E$28:$E$39,MATCH($A684,'Category Mapping'!$A$28:$A$39,0),1))</f>
        <v>97658635.714285716</v>
      </c>
      <c r="W684" s="27">
        <f>W104*IF($E684="weekday",INDEX('Category Mapping'!$F$28:$F$39,MATCH('Summarized Source Data'!$A684,'Category Mapping'!$A$28:$A$39,0),1),INDEX('Category Mapping'!$E$28:$E$39,MATCH($A684,'Category Mapping'!$A$28:$A$39,0),1))</f>
        <v>97658635.714285716</v>
      </c>
      <c r="X684" s="27">
        <f>X104*IF($E684="weekday",INDEX('Category Mapping'!$F$28:$F$39,MATCH('Summarized Source Data'!$A684,'Category Mapping'!$A$28:$A$39,0),1),INDEX('Category Mapping'!$E$28:$E$39,MATCH($A684,'Category Mapping'!$A$28:$A$39,0),1))</f>
        <v>14326428571.428572</v>
      </c>
      <c r="Y684" s="27">
        <f>Y104*IF($E684="weekday",INDEX('Category Mapping'!$F$28:$F$39,MATCH('Summarized Source Data'!$A684,'Category Mapping'!$A$28:$A$39,0),1),INDEX('Category Mapping'!$E$28:$E$39,MATCH($A684,'Category Mapping'!$A$28:$A$39,0),1))</f>
        <v>14326428571.428572</v>
      </c>
      <c r="Z684" s="27">
        <f>Z104*IF($E684="weekday",INDEX('Category Mapping'!$F$28:$F$39,MATCH('Summarized Source Data'!$A684,'Category Mapping'!$A$28:$A$39,0),1),INDEX('Category Mapping'!$E$28:$E$39,MATCH($A684,'Category Mapping'!$A$28:$A$39,0),1))</f>
        <v>14326428571.428572</v>
      </c>
    </row>
    <row r="685" spans="1:26" x14ac:dyDescent="0.3">
      <c r="A685">
        <f t="shared" ref="A685:E685" si="150">A105</f>
        <v>5</v>
      </c>
      <c r="B685" t="str">
        <f t="shared" si="150"/>
        <v>Spring</v>
      </c>
      <c r="C685" t="str">
        <f t="shared" si="150"/>
        <v>h6</v>
      </c>
      <c r="D685" t="str">
        <f t="shared" si="150"/>
        <v>Hour5</v>
      </c>
      <c r="E685" t="str">
        <f t="shared" si="150"/>
        <v>Weekday</v>
      </c>
      <c r="F685" s="27">
        <f>F105*IF($E685="weekday",INDEX('Category Mapping'!$F$28:$F$39,MATCH('Summarized Source Data'!$A685,'Category Mapping'!$A$28:$A$39,0),1),INDEX('Category Mapping'!$E$28:$E$39,MATCH($A685,'Category Mapping'!$A$28:$A$39,0),1))</f>
        <v>49819568.571428567</v>
      </c>
      <c r="G685" s="27">
        <f>G105*IF($E685="weekday",INDEX('Category Mapping'!$F$28:$F$39,MATCH('Summarized Source Data'!$A685,'Category Mapping'!$A$28:$A$39,0),1),INDEX('Category Mapping'!$E$28:$E$39,MATCH($A685,'Category Mapping'!$A$28:$A$39,0),1))</f>
        <v>88128.57142857142</v>
      </c>
      <c r="H685" s="27">
        <f>H105*IF($E685="weekday",INDEX('Category Mapping'!$F$28:$F$39,MATCH('Summarized Source Data'!$A685,'Category Mapping'!$A$28:$A$39,0),1),INDEX('Category Mapping'!$E$28:$E$39,MATCH($A685,'Category Mapping'!$A$28:$A$39,0),1))</f>
        <v>0</v>
      </c>
      <c r="I685" s="27">
        <f>I105*IF($E685="weekday",INDEX('Category Mapping'!$F$28:$F$39,MATCH('Summarized Source Data'!$A685,'Category Mapping'!$A$28:$A$39,0),1),INDEX('Category Mapping'!$E$28:$E$39,MATCH($A685,'Category Mapping'!$A$28:$A$39,0),1))</f>
        <v>422928571.4285714</v>
      </c>
      <c r="J685" s="27">
        <f>J105*IF($E685="weekday",INDEX('Category Mapping'!$F$28:$F$39,MATCH('Summarized Source Data'!$A685,'Category Mapping'!$A$28:$A$39,0),1),INDEX('Category Mapping'!$E$28:$E$39,MATCH($A685,'Category Mapping'!$A$28:$A$39,0),1))</f>
        <v>1156878017.1428571</v>
      </c>
      <c r="K685" s="27">
        <f>K105*IF($E685="weekday",INDEX('Category Mapping'!$F$28:$F$39,MATCH('Summarized Source Data'!$A685,'Category Mapping'!$A$28:$A$39,0),1),INDEX('Category Mapping'!$E$28:$E$39,MATCH($A685,'Category Mapping'!$A$28:$A$39,0),1))</f>
        <v>1156878017.1428571</v>
      </c>
      <c r="L685" s="27">
        <f>L105*IF($E685="weekday",INDEX('Category Mapping'!$F$28:$F$39,MATCH('Summarized Source Data'!$A685,'Category Mapping'!$A$28:$A$39,0),1),INDEX('Category Mapping'!$E$28:$E$39,MATCH($A685,'Category Mapping'!$A$28:$A$39,0),1))</f>
        <v>154745733.57142857</v>
      </c>
      <c r="M685" s="27">
        <f>M105*IF($E685="weekday",INDEX('Category Mapping'!$F$28:$F$39,MATCH('Summarized Source Data'!$A685,'Category Mapping'!$A$28:$A$39,0),1),INDEX('Category Mapping'!$E$28:$E$39,MATCH($A685,'Category Mapping'!$A$28:$A$39,0),1))</f>
        <v>152113280</v>
      </c>
      <c r="N685" s="27">
        <f>N105*IF($E685="weekday",INDEX('Category Mapping'!$F$28:$F$39,MATCH('Summarized Source Data'!$A685,'Category Mapping'!$A$28:$A$39,0),1),INDEX('Category Mapping'!$E$28:$E$39,MATCH($A685,'Category Mapping'!$A$28:$A$39,0),1))</f>
        <v>0</v>
      </c>
      <c r="O685" s="27">
        <f>O105*IF($E685="weekday",INDEX('Category Mapping'!$F$28:$F$39,MATCH('Summarized Source Data'!$A685,'Category Mapping'!$A$28:$A$39,0),1),INDEX('Category Mapping'!$E$28:$E$39,MATCH($A685,'Category Mapping'!$A$28:$A$39,0),1))</f>
        <v>4232426700.7142859</v>
      </c>
      <c r="P685" s="27">
        <f>P105*IF($E685="weekday",INDEX('Category Mapping'!$F$28:$F$39,MATCH('Summarized Source Data'!$A685,'Category Mapping'!$A$28:$A$39,0),1),INDEX('Category Mapping'!$E$28:$E$39,MATCH($A685,'Category Mapping'!$A$28:$A$39,0),1))</f>
        <v>4232426700.7142859</v>
      </c>
      <c r="Q685" s="27">
        <f>Q105*IF($E685="weekday",INDEX('Category Mapping'!$F$28:$F$39,MATCH('Summarized Source Data'!$A685,'Category Mapping'!$A$28:$A$39,0),1),INDEX('Category Mapping'!$E$28:$E$39,MATCH($A685,'Category Mapping'!$A$28:$A$39,0),1))</f>
        <v>4232426700.7142859</v>
      </c>
      <c r="R685" s="27">
        <f>R105*IF($E685="weekday",INDEX('Category Mapping'!$F$28:$F$39,MATCH('Summarized Source Data'!$A685,'Category Mapping'!$A$28:$A$39,0),1),INDEX('Category Mapping'!$E$28:$E$39,MATCH($A685,'Category Mapping'!$A$28:$A$39,0),1))</f>
        <v>100608219.28571428</v>
      </c>
      <c r="S685" s="27">
        <f>S105*IF($E685="weekday",INDEX('Category Mapping'!$F$28:$F$39,MATCH('Summarized Source Data'!$A685,'Category Mapping'!$A$28:$A$39,0),1),INDEX('Category Mapping'!$E$28:$E$39,MATCH($A685,'Category Mapping'!$A$28:$A$39,0),1))</f>
        <v>100608219.28571428</v>
      </c>
      <c r="T685" s="27">
        <f>T105*IF($E685="weekday",INDEX('Category Mapping'!$F$28:$F$39,MATCH('Summarized Source Data'!$A685,'Category Mapping'!$A$28:$A$39,0),1),INDEX('Category Mapping'!$E$28:$E$39,MATCH($A685,'Category Mapping'!$A$28:$A$39,0),1))</f>
        <v>100608219.28571428</v>
      </c>
      <c r="U685" s="27">
        <f>U105*IF($E685="weekday",INDEX('Category Mapping'!$F$28:$F$39,MATCH('Summarized Source Data'!$A685,'Category Mapping'!$A$28:$A$39,0),1),INDEX('Category Mapping'!$E$28:$E$39,MATCH($A685,'Category Mapping'!$A$28:$A$39,0),1))</f>
        <v>100608219.28571428</v>
      </c>
      <c r="V685" s="27">
        <f>V105*IF($E685="weekday",INDEX('Category Mapping'!$F$28:$F$39,MATCH('Summarized Source Data'!$A685,'Category Mapping'!$A$28:$A$39,0),1),INDEX('Category Mapping'!$E$28:$E$39,MATCH($A685,'Category Mapping'!$A$28:$A$39,0),1))</f>
        <v>100608219.28571428</v>
      </c>
      <c r="W685" s="27">
        <f>W105*IF($E685="weekday",INDEX('Category Mapping'!$F$28:$F$39,MATCH('Summarized Source Data'!$A685,'Category Mapping'!$A$28:$A$39,0),1),INDEX('Category Mapping'!$E$28:$E$39,MATCH($A685,'Category Mapping'!$A$28:$A$39,0),1))</f>
        <v>100608219.28571428</v>
      </c>
      <c r="X685" s="27">
        <f>X105*IF($E685="weekday",INDEX('Category Mapping'!$F$28:$F$39,MATCH('Summarized Source Data'!$A685,'Category Mapping'!$A$28:$A$39,0),1),INDEX('Category Mapping'!$E$28:$E$39,MATCH($A685,'Category Mapping'!$A$28:$A$39,0),1))</f>
        <v>14437142857.142857</v>
      </c>
      <c r="Y685" s="27">
        <f>Y105*IF($E685="weekday",INDEX('Category Mapping'!$F$28:$F$39,MATCH('Summarized Source Data'!$A685,'Category Mapping'!$A$28:$A$39,0),1),INDEX('Category Mapping'!$E$28:$E$39,MATCH($A685,'Category Mapping'!$A$28:$A$39,0),1))</f>
        <v>14437142857.142857</v>
      </c>
      <c r="Z685" s="27">
        <f>Z105*IF($E685="weekday",INDEX('Category Mapping'!$F$28:$F$39,MATCH('Summarized Source Data'!$A685,'Category Mapping'!$A$28:$A$39,0),1),INDEX('Category Mapping'!$E$28:$E$39,MATCH($A685,'Category Mapping'!$A$28:$A$39,0),1))</f>
        <v>14437142857.142857</v>
      </c>
    </row>
    <row r="686" spans="1:26" x14ac:dyDescent="0.3">
      <c r="A686">
        <f t="shared" ref="A686:E686" si="151">A106</f>
        <v>5</v>
      </c>
      <c r="B686" t="str">
        <f t="shared" si="151"/>
        <v>Spring</v>
      </c>
      <c r="C686" t="str">
        <f t="shared" si="151"/>
        <v>h7</v>
      </c>
      <c r="D686" t="str">
        <f t="shared" si="151"/>
        <v>Hour6</v>
      </c>
      <c r="E686" t="str">
        <f t="shared" si="151"/>
        <v>Weekday</v>
      </c>
      <c r="F686" s="27">
        <f>F106*IF($E686="weekday",INDEX('Category Mapping'!$F$28:$F$39,MATCH('Summarized Source Data'!$A686,'Category Mapping'!$A$28:$A$39,0),1),INDEX('Category Mapping'!$E$28:$E$39,MATCH($A686,'Category Mapping'!$A$28:$A$39,0),1))</f>
        <v>56398720.714285716</v>
      </c>
      <c r="G686" s="27">
        <f>G106*IF($E686="weekday",INDEX('Category Mapping'!$F$28:$F$39,MATCH('Summarized Source Data'!$A686,'Category Mapping'!$A$28:$A$39,0),1),INDEX('Category Mapping'!$E$28:$E$39,MATCH($A686,'Category Mapping'!$A$28:$A$39,0),1))</f>
        <v>71986.428571428565</v>
      </c>
      <c r="H686" s="27">
        <f>H106*IF($E686="weekday",INDEX('Category Mapping'!$F$28:$F$39,MATCH('Summarized Source Data'!$A686,'Category Mapping'!$A$28:$A$39,0),1),INDEX('Category Mapping'!$E$28:$E$39,MATCH($A686,'Category Mapping'!$A$28:$A$39,0),1))</f>
        <v>0</v>
      </c>
      <c r="I686" s="27">
        <f>I106*IF($E686="weekday",INDEX('Category Mapping'!$F$28:$F$39,MATCH('Summarized Source Data'!$A686,'Category Mapping'!$A$28:$A$39,0),1),INDEX('Category Mapping'!$E$28:$E$39,MATCH($A686,'Category Mapping'!$A$28:$A$39,0),1))</f>
        <v>232500000</v>
      </c>
      <c r="J686" s="27">
        <f>J106*IF($E686="weekday",INDEX('Category Mapping'!$F$28:$F$39,MATCH('Summarized Source Data'!$A686,'Category Mapping'!$A$28:$A$39,0),1),INDEX('Category Mapping'!$E$28:$E$39,MATCH($A686,'Category Mapping'!$A$28:$A$39,0),1))</f>
        <v>1823457864.2857141</v>
      </c>
      <c r="K686" s="27">
        <f>K106*IF($E686="weekday",INDEX('Category Mapping'!$F$28:$F$39,MATCH('Summarized Source Data'!$A686,'Category Mapping'!$A$28:$A$39,0),1),INDEX('Category Mapping'!$E$28:$E$39,MATCH($A686,'Category Mapping'!$A$28:$A$39,0),1))</f>
        <v>1823457864.2857141</v>
      </c>
      <c r="L686" s="27">
        <f>L106*IF($E686="weekday",INDEX('Category Mapping'!$F$28:$F$39,MATCH('Summarized Source Data'!$A686,'Category Mapping'!$A$28:$A$39,0),1),INDEX('Category Mapping'!$E$28:$E$39,MATCH($A686,'Category Mapping'!$A$28:$A$39,0),1))</f>
        <v>387500000</v>
      </c>
      <c r="M686" s="27">
        <f>M106*IF($E686="weekday",INDEX('Category Mapping'!$F$28:$F$39,MATCH('Summarized Source Data'!$A686,'Category Mapping'!$A$28:$A$39,0),1),INDEX('Category Mapping'!$E$28:$E$39,MATCH($A686,'Category Mapping'!$A$28:$A$39,0),1))</f>
        <v>168604084.28571427</v>
      </c>
      <c r="N686" s="27">
        <f>N106*IF($E686="weekday",INDEX('Category Mapping'!$F$28:$F$39,MATCH('Summarized Source Data'!$A686,'Category Mapping'!$A$28:$A$39,0),1),INDEX('Category Mapping'!$E$28:$E$39,MATCH($A686,'Category Mapping'!$A$28:$A$39,0),1))</f>
        <v>0</v>
      </c>
      <c r="O686" s="27">
        <f>O106*IF($E686="weekday",INDEX('Category Mapping'!$F$28:$F$39,MATCH('Summarized Source Data'!$A686,'Category Mapping'!$A$28:$A$39,0),1),INDEX('Category Mapping'!$E$28:$E$39,MATCH($A686,'Category Mapping'!$A$28:$A$39,0),1))</f>
        <v>6330324487.1428566</v>
      </c>
      <c r="P686" s="27">
        <f>P106*IF($E686="weekday",INDEX('Category Mapping'!$F$28:$F$39,MATCH('Summarized Source Data'!$A686,'Category Mapping'!$A$28:$A$39,0),1),INDEX('Category Mapping'!$E$28:$E$39,MATCH($A686,'Category Mapping'!$A$28:$A$39,0),1))</f>
        <v>6330324487.1428566</v>
      </c>
      <c r="Q686" s="27">
        <f>Q106*IF($E686="weekday",INDEX('Category Mapping'!$F$28:$F$39,MATCH('Summarized Source Data'!$A686,'Category Mapping'!$A$28:$A$39,0),1),INDEX('Category Mapping'!$E$28:$E$39,MATCH($A686,'Category Mapping'!$A$28:$A$39,0),1))</f>
        <v>6330324487.1428566</v>
      </c>
      <c r="R686" s="27">
        <f>R106*IF($E686="weekday",INDEX('Category Mapping'!$F$28:$F$39,MATCH('Summarized Source Data'!$A686,'Category Mapping'!$A$28:$A$39,0),1),INDEX('Category Mapping'!$E$28:$E$39,MATCH($A686,'Category Mapping'!$A$28:$A$39,0),1))</f>
        <v>151446713.57142857</v>
      </c>
      <c r="S686" s="27">
        <f>S106*IF($E686="weekday",INDEX('Category Mapping'!$F$28:$F$39,MATCH('Summarized Source Data'!$A686,'Category Mapping'!$A$28:$A$39,0),1),INDEX('Category Mapping'!$E$28:$E$39,MATCH($A686,'Category Mapping'!$A$28:$A$39,0),1))</f>
        <v>151446713.57142857</v>
      </c>
      <c r="T686" s="27">
        <f>T106*IF($E686="weekday",INDEX('Category Mapping'!$F$28:$F$39,MATCH('Summarized Source Data'!$A686,'Category Mapping'!$A$28:$A$39,0),1),INDEX('Category Mapping'!$E$28:$E$39,MATCH($A686,'Category Mapping'!$A$28:$A$39,0),1))</f>
        <v>151446713.57142857</v>
      </c>
      <c r="U686" s="27">
        <f>U106*IF($E686="weekday",INDEX('Category Mapping'!$F$28:$F$39,MATCH('Summarized Source Data'!$A686,'Category Mapping'!$A$28:$A$39,0),1),INDEX('Category Mapping'!$E$28:$E$39,MATCH($A686,'Category Mapping'!$A$28:$A$39,0),1))</f>
        <v>151446713.57142857</v>
      </c>
      <c r="V686" s="27">
        <f>V106*IF($E686="weekday",INDEX('Category Mapping'!$F$28:$F$39,MATCH('Summarized Source Data'!$A686,'Category Mapping'!$A$28:$A$39,0),1),INDEX('Category Mapping'!$E$28:$E$39,MATCH($A686,'Category Mapping'!$A$28:$A$39,0),1))</f>
        <v>151446713.57142857</v>
      </c>
      <c r="W686" s="27">
        <f>W106*IF($E686="weekday",INDEX('Category Mapping'!$F$28:$F$39,MATCH('Summarized Source Data'!$A686,'Category Mapping'!$A$28:$A$39,0),1),INDEX('Category Mapping'!$E$28:$E$39,MATCH($A686,'Category Mapping'!$A$28:$A$39,0),1))</f>
        <v>151446713.57142857</v>
      </c>
      <c r="X686" s="27">
        <f>X106*IF($E686="weekday",INDEX('Category Mapping'!$F$28:$F$39,MATCH('Summarized Source Data'!$A686,'Category Mapping'!$A$28:$A$39,0),1),INDEX('Category Mapping'!$E$28:$E$39,MATCH($A686,'Category Mapping'!$A$28:$A$39,0),1))</f>
        <v>14592142857.142857</v>
      </c>
      <c r="Y686" s="27">
        <f>Y106*IF($E686="weekday",INDEX('Category Mapping'!$F$28:$F$39,MATCH('Summarized Source Data'!$A686,'Category Mapping'!$A$28:$A$39,0),1),INDEX('Category Mapping'!$E$28:$E$39,MATCH($A686,'Category Mapping'!$A$28:$A$39,0),1))</f>
        <v>14592142857.142857</v>
      </c>
      <c r="Z686" s="27">
        <f>Z106*IF($E686="weekday",INDEX('Category Mapping'!$F$28:$F$39,MATCH('Summarized Source Data'!$A686,'Category Mapping'!$A$28:$A$39,0),1),INDEX('Category Mapping'!$E$28:$E$39,MATCH($A686,'Category Mapping'!$A$28:$A$39,0),1))</f>
        <v>14592142857.142857</v>
      </c>
    </row>
    <row r="687" spans="1:26" x14ac:dyDescent="0.3">
      <c r="A687">
        <f t="shared" ref="A687:E687" si="152">A107</f>
        <v>5</v>
      </c>
      <c r="B687" t="str">
        <f t="shared" si="152"/>
        <v>Spring</v>
      </c>
      <c r="C687" t="str">
        <f t="shared" si="152"/>
        <v>h8</v>
      </c>
      <c r="D687" t="str">
        <f t="shared" si="152"/>
        <v>Hour7</v>
      </c>
      <c r="E687" t="str">
        <f t="shared" si="152"/>
        <v>Weekday</v>
      </c>
      <c r="F687" s="27">
        <f>F107*IF($E687="weekday",INDEX('Category Mapping'!$F$28:$F$39,MATCH('Summarized Source Data'!$A687,'Category Mapping'!$A$28:$A$39,0),1),INDEX('Category Mapping'!$E$28:$E$39,MATCH($A687,'Category Mapping'!$A$28:$A$39,0),1))</f>
        <v>57103129.285714284</v>
      </c>
      <c r="G687" s="27">
        <f>G107*IF($E687="weekday",INDEX('Category Mapping'!$F$28:$F$39,MATCH('Summarized Source Data'!$A687,'Category Mapping'!$A$28:$A$39,0),1),INDEX('Category Mapping'!$E$28:$E$39,MATCH($A687,'Category Mapping'!$A$28:$A$39,0),1))</f>
        <v>54028.571428571428</v>
      </c>
      <c r="H687" s="27">
        <f>H107*IF($E687="weekday",INDEX('Category Mapping'!$F$28:$F$39,MATCH('Summarized Source Data'!$A687,'Category Mapping'!$A$28:$A$39,0),1),INDEX('Category Mapping'!$E$28:$E$39,MATCH($A687,'Category Mapping'!$A$28:$A$39,0),1))</f>
        <v>0</v>
      </c>
      <c r="I687" s="27">
        <f>I107*IF($E687="weekday",INDEX('Category Mapping'!$F$28:$F$39,MATCH('Summarized Source Data'!$A687,'Category Mapping'!$A$28:$A$39,0),1),INDEX('Category Mapping'!$E$28:$E$39,MATCH($A687,'Category Mapping'!$A$28:$A$39,0),1))</f>
        <v>206386286.42857143</v>
      </c>
      <c r="J687" s="27">
        <f>J107*IF($E687="weekday",INDEX('Category Mapping'!$F$28:$F$39,MATCH('Summarized Source Data'!$A687,'Category Mapping'!$A$28:$A$39,0),1),INDEX('Category Mapping'!$E$28:$E$39,MATCH($A687,'Category Mapping'!$A$28:$A$39,0),1))</f>
        <v>2327170841.4285712</v>
      </c>
      <c r="K687" s="27">
        <f>K107*IF($E687="weekday",INDEX('Category Mapping'!$F$28:$F$39,MATCH('Summarized Source Data'!$A687,'Category Mapping'!$A$28:$A$39,0),1),INDEX('Category Mapping'!$E$28:$E$39,MATCH($A687,'Category Mapping'!$A$28:$A$39,0),1))</f>
        <v>2327170841.4285712</v>
      </c>
      <c r="L687" s="27">
        <f>L107*IF($E687="weekday",INDEX('Category Mapping'!$F$28:$F$39,MATCH('Summarized Source Data'!$A687,'Category Mapping'!$A$28:$A$39,0),1),INDEX('Category Mapping'!$E$28:$E$39,MATCH($A687,'Category Mapping'!$A$28:$A$39,0),1))</f>
        <v>303357142.85714287</v>
      </c>
      <c r="M687" s="27">
        <f>M107*IF($E687="weekday",INDEX('Category Mapping'!$F$28:$F$39,MATCH('Summarized Source Data'!$A687,'Category Mapping'!$A$28:$A$39,0),1),INDEX('Category Mapping'!$E$28:$E$39,MATCH($A687,'Category Mapping'!$A$28:$A$39,0),1))</f>
        <v>201137587.85714287</v>
      </c>
      <c r="N687" s="27">
        <f>N107*IF($E687="weekday",INDEX('Category Mapping'!$F$28:$F$39,MATCH('Summarized Source Data'!$A687,'Category Mapping'!$A$28:$A$39,0),1),INDEX('Category Mapping'!$E$28:$E$39,MATCH($A687,'Category Mapping'!$A$28:$A$39,0),1))</f>
        <v>0</v>
      </c>
      <c r="O687" s="27">
        <f>O107*IF($E687="weekday",INDEX('Category Mapping'!$F$28:$F$39,MATCH('Summarized Source Data'!$A687,'Category Mapping'!$A$28:$A$39,0),1),INDEX('Category Mapping'!$E$28:$E$39,MATCH($A687,'Category Mapping'!$A$28:$A$39,0),1))</f>
        <v>8684790983.5714283</v>
      </c>
      <c r="P687" s="27">
        <f>P107*IF($E687="weekday",INDEX('Category Mapping'!$F$28:$F$39,MATCH('Summarized Source Data'!$A687,'Category Mapping'!$A$28:$A$39,0),1),INDEX('Category Mapping'!$E$28:$E$39,MATCH($A687,'Category Mapping'!$A$28:$A$39,0),1))</f>
        <v>8684790983.5714283</v>
      </c>
      <c r="Q687" s="27">
        <f>Q107*IF($E687="weekday",INDEX('Category Mapping'!$F$28:$F$39,MATCH('Summarized Source Data'!$A687,'Category Mapping'!$A$28:$A$39,0),1),INDEX('Category Mapping'!$E$28:$E$39,MATCH($A687,'Category Mapping'!$A$28:$A$39,0),1))</f>
        <v>8684790983.5714283</v>
      </c>
      <c r="R687" s="27">
        <f>R107*IF($E687="weekday",INDEX('Category Mapping'!$F$28:$F$39,MATCH('Summarized Source Data'!$A687,'Category Mapping'!$A$28:$A$39,0),1),INDEX('Category Mapping'!$E$28:$E$39,MATCH($A687,'Category Mapping'!$A$28:$A$39,0),1))</f>
        <v>318857142.85714287</v>
      </c>
      <c r="S687" s="27">
        <f>S107*IF($E687="weekday",INDEX('Category Mapping'!$F$28:$F$39,MATCH('Summarized Source Data'!$A687,'Category Mapping'!$A$28:$A$39,0),1),INDEX('Category Mapping'!$E$28:$E$39,MATCH($A687,'Category Mapping'!$A$28:$A$39,0),1))</f>
        <v>318857142.85714287</v>
      </c>
      <c r="T687" s="27">
        <f>T107*IF($E687="weekday",INDEX('Category Mapping'!$F$28:$F$39,MATCH('Summarized Source Data'!$A687,'Category Mapping'!$A$28:$A$39,0),1),INDEX('Category Mapping'!$E$28:$E$39,MATCH($A687,'Category Mapping'!$A$28:$A$39,0),1))</f>
        <v>318857142.85714287</v>
      </c>
      <c r="U687" s="27">
        <f>U107*IF($E687="weekday",INDEX('Category Mapping'!$F$28:$F$39,MATCH('Summarized Source Data'!$A687,'Category Mapping'!$A$28:$A$39,0),1),INDEX('Category Mapping'!$E$28:$E$39,MATCH($A687,'Category Mapping'!$A$28:$A$39,0),1))</f>
        <v>318857142.85714287</v>
      </c>
      <c r="V687" s="27">
        <f>V107*IF($E687="weekday",INDEX('Category Mapping'!$F$28:$F$39,MATCH('Summarized Source Data'!$A687,'Category Mapping'!$A$28:$A$39,0),1),INDEX('Category Mapping'!$E$28:$E$39,MATCH($A687,'Category Mapping'!$A$28:$A$39,0),1))</f>
        <v>318857142.85714287</v>
      </c>
      <c r="W687" s="27">
        <f>W107*IF($E687="weekday",INDEX('Category Mapping'!$F$28:$F$39,MATCH('Summarized Source Data'!$A687,'Category Mapping'!$A$28:$A$39,0),1),INDEX('Category Mapping'!$E$28:$E$39,MATCH($A687,'Category Mapping'!$A$28:$A$39,0),1))</f>
        <v>318857142.85714287</v>
      </c>
      <c r="X687" s="27">
        <f>X107*IF($E687="weekday",INDEX('Category Mapping'!$F$28:$F$39,MATCH('Summarized Source Data'!$A687,'Category Mapping'!$A$28:$A$39,0),1),INDEX('Category Mapping'!$E$28:$E$39,MATCH($A687,'Category Mapping'!$A$28:$A$39,0),1))</f>
        <v>14725000000</v>
      </c>
      <c r="Y687" s="27">
        <f>Y107*IF($E687="weekday",INDEX('Category Mapping'!$F$28:$F$39,MATCH('Summarized Source Data'!$A687,'Category Mapping'!$A$28:$A$39,0),1),INDEX('Category Mapping'!$E$28:$E$39,MATCH($A687,'Category Mapping'!$A$28:$A$39,0),1))</f>
        <v>14725000000</v>
      </c>
      <c r="Z687" s="27">
        <f>Z107*IF($E687="weekday",INDEX('Category Mapping'!$F$28:$F$39,MATCH('Summarized Source Data'!$A687,'Category Mapping'!$A$28:$A$39,0),1),INDEX('Category Mapping'!$E$28:$E$39,MATCH($A687,'Category Mapping'!$A$28:$A$39,0),1))</f>
        <v>14725000000</v>
      </c>
    </row>
    <row r="688" spans="1:26" x14ac:dyDescent="0.3">
      <c r="A688">
        <f t="shared" ref="A688:E688" si="153">A108</f>
        <v>5</v>
      </c>
      <c r="B688" t="str">
        <f t="shared" si="153"/>
        <v>Spring</v>
      </c>
      <c r="C688" t="str">
        <f t="shared" si="153"/>
        <v>h9</v>
      </c>
      <c r="D688" t="str">
        <f t="shared" si="153"/>
        <v>Hour8</v>
      </c>
      <c r="E688" t="str">
        <f t="shared" si="153"/>
        <v>Weekday</v>
      </c>
      <c r="F688" s="27">
        <f>F108*IF($E688="weekday",INDEX('Category Mapping'!$F$28:$F$39,MATCH('Summarized Source Data'!$A688,'Category Mapping'!$A$28:$A$39,0),1),INDEX('Category Mapping'!$E$28:$E$39,MATCH($A688,'Category Mapping'!$A$28:$A$39,0),1))</f>
        <v>56657814.285714284</v>
      </c>
      <c r="G688" s="27">
        <f>G108*IF($E688="weekday",INDEX('Category Mapping'!$F$28:$F$39,MATCH('Summarized Source Data'!$A688,'Category Mapping'!$A$28:$A$39,0),1),INDEX('Category Mapping'!$E$28:$E$39,MATCH($A688,'Category Mapping'!$A$28:$A$39,0),1))</f>
        <v>1302398.5714285714</v>
      </c>
      <c r="H688" s="27">
        <f>H108*IF($E688="weekday",INDEX('Category Mapping'!$F$28:$F$39,MATCH('Summarized Source Data'!$A688,'Category Mapping'!$A$28:$A$39,0),1),INDEX('Category Mapping'!$E$28:$E$39,MATCH($A688,'Category Mapping'!$A$28:$A$39,0),1))</f>
        <v>0</v>
      </c>
      <c r="I688" s="27">
        <f>I108*IF($E688="weekday",INDEX('Category Mapping'!$F$28:$F$39,MATCH('Summarized Source Data'!$A688,'Category Mapping'!$A$28:$A$39,0),1),INDEX('Category Mapping'!$E$28:$E$39,MATCH($A688,'Category Mapping'!$A$28:$A$39,0),1))</f>
        <v>202123321.42857143</v>
      </c>
      <c r="J688" s="27">
        <f>J108*IF($E688="weekday",INDEX('Category Mapping'!$F$28:$F$39,MATCH('Summarized Source Data'!$A688,'Category Mapping'!$A$28:$A$39,0),1),INDEX('Category Mapping'!$E$28:$E$39,MATCH($A688,'Category Mapping'!$A$28:$A$39,0),1))</f>
        <v>2397059322.8571429</v>
      </c>
      <c r="K688" s="27">
        <f>K108*IF($E688="weekday",INDEX('Category Mapping'!$F$28:$F$39,MATCH('Summarized Source Data'!$A688,'Category Mapping'!$A$28:$A$39,0),1),INDEX('Category Mapping'!$E$28:$E$39,MATCH($A688,'Category Mapping'!$A$28:$A$39,0),1))</f>
        <v>2397059322.8571429</v>
      </c>
      <c r="L688" s="27">
        <f>L108*IF($E688="weekday",INDEX('Category Mapping'!$F$28:$F$39,MATCH('Summarized Source Data'!$A688,'Category Mapping'!$A$28:$A$39,0),1),INDEX('Category Mapping'!$E$28:$E$39,MATCH($A688,'Category Mapping'!$A$28:$A$39,0),1))</f>
        <v>198673641.42857143</v>
      </c>
      <c r="M688" s="27">
        <f>M108*IF($E688="weekday",INDEX('Category Mapping'!$F$28:$F$39,MATCH('Summarized Source Data'!$A688,'Category Mapping'!$A$28:$A$39,0),1),INDEX('Category Mapping'!$E$28:$E$39,MATCH($A688,'Category Mapping'!$A$28:$A$39,0),1))</f>
        <v>250214285.7142857</v>
      </c>
      <c r="N688" s="27">
        <f>N108*IF($E688="weekday",INDEX('Category Mapping'!$F$28:$F$39,MATCH('Summarized Source Data'!$A688,'Category Mapping'!$A$28:$A$39,0),1),INDEX('Category Mapping'!$E$28:$E$39,MATCH($A688,'Category Mapping'!$A$28:$A$39,0),1))</f>
        <v>0</v>
      </c>
      <c r="O688" s="27">
        <f>O108*IF($E688="weekday",INDEX('Category Mapping'!$F$28:$F$39,MATCH('Summarized Source Data'!$A688,'Category Mapping'!$A$28:$A$39,0),1),INDEX('Category Mapping'!$E$28:$E$39,MATCH($A688,'Category Mapping'!$A$28:$A$39,0),1))</f>
        <v>10799683501.428572</v>
      </c>
      <c r="P688" s="27">
        <f>P108*IF($E688="weekday",INDEX('Category Mapping'!$F$28:$F$39,MATCH('Summarized Source Data'!$A688,'Category Mapping'!$A$28:$A$39,0),1),INDEX('Category Mapping'!$E$28:$E$39,MATCH($A688,'Category Mapping'!$A$28:$A$39,0),1))</f>
        <v>10799683501.428572</v>
      </c>
      <c r="Q688" s="27">
        <f>Q108*IF($E688="weekday",INDEX('Category Mapping'!$F$28:$F$39,MATCH('Summarized Source Data'!$A688,'Category Mapping'!$A$28:$A$39,0),1),INDEX('Category Mapping'!$E$28:$E$39,MATCH($A688,'Category Mapping'!$A$28:$A$39,0),1))</f>
        <v>10799683501.428572</v>
      </c>
      <c r="R688" s="27">
        <f>R108*IF($E688="weekday",INDEX('Category Mapping'!$F$28:$F$39,MATCH('Summarized Source Data'!$A688,'Category Mapping'!$A$28:$A$39,0),1),INDEX('Category Mapping'!$E$28:$E$39,MATCH($A688,'Category Mapping'!$A$28:$A$39,0),1))</f>
        <v>349857142.85714287</v>
      </c>
      <c r="S688" s="27">
        <f>S108*IF($E688="weekday",INDEX('Category Mapping'!$F$28:$F$39,MATCH('Summarized Source Data'!$A688,'Category Mapping'!$A$28:$A$39,0),1),INDEX('Category Mapping'!$E$28:$E$39,MATCH($A688,'Category Mapping'!$A$28:$A$39,0),1))</f>
        <v>349857142.85714287</v>
      </c>
      <c r="T688" s="27">
        <f>T108*IF($E688="weekday",INDEX('Category Mapping'!$F$28:$F$39,MATCH('Summarized Source Data'!$A688,'Category Mapping'!$A$28:$A$39,0),1),INDEX('Category Mapping'!$E$28:$E$39,MATCH($A688,'Category Mapping'!$A$28:$A$39,0),1))</f>
        <v>349857142.85714287</v>
      </c>
      <c r="U688" s="27">
        <f>U108*IF($E688="weekday",INDEX('Category Mapping'!$F$28:$F$39,MATCH('Summarized Source Data'!$A688,'Category Mapping'!$A$28:$A$39,0),1),INDEX('Category Mapping'!$E$28:$E$39,MATCH($A688,'Category Mapping'!$A$28:$A$39,0),1))</f>
        <v>349857142.85714287</v>
      </c>
      <c r="V688" s="27">
        <f>V108*IF($E688="weekday",INDEX('Category Mapping'!$F$28:$F$39,MATCH('Summarized Source Data'!$A688,'Category Mapping'!$A$28:$A$39,0),1),INDEX('Category Mapping'!$E$28:$E$39,MATCH($A688,'Category Mapping'!$A$28:$A$39,0),1))</f>
        <v>349857142.85714287</v>
      </c>
      <c r="W688" s="27">
        <f>W108*IF($E688="weekday",INDEX('Category Mapping'!$F$28:$F$39,MATCH('Summarized Source Data'!$A688,'Category Mapping'!$A$28:$A$39,0),1),INDEX('Category Mapping'!$E$28:$E$39,MATCH($A688,'Category Mapping'!$A$28:$A$39,0),1))</f>
        <v>349857142.85714287</v>
      </c>
      <c r="X688" s="27">
        <f>X108*IF($E688="weekday",INDEX('Category Mapping'!$F$28:$F$39,MATCH('Summarized Source Data'!$A688,'Category Mapping'!$A$28:$A$39,0),1),INDEX('Category Mapping'!$E$28:$E$39,MATCH($A688,'Category Mapping'!$A$28:$A$39,0),1))</f>
        <v>14769285714.285713</v>
      </c>
      <c r="Y688" s="27">
        <f>Y108*IF($E688="weekday",INDEX('Category Mapping'!$F$28:$F$39,MATCH('Summarized Source Data'!$A688,'Category Mapping'!$A$28:$A$39,0),1),INDEX('Category Mapping'!$E$28:$E$39,MATCH($A688,'Category Mapping'!$A$28:$A$39,0),1))</f>
        <v>14769285714.285713</v>
      </c>
      <c r="Z688" s="27">
        <f>Z108*IF($E688="weekday",INDEX('Category Mapping'!$F$28:$F$39,MATCH('Summarized Source Data'!$A688,'Category Mapping'!$A$28:$A$39,0),1),INDEX('Category Mapping'!$E$28:$E$39,MATCH($A688,'Category Mapping'!$A$28:$A$39,0),1))</f>
        <v>14769285714.285713</v>
      </c>
    </row>
    <row r="689" spans="1:26" x14ac:dyDescent="0.3">
      <c r="A689">
        <f t="shared" ref="A689:E689" si="154">A109</f>
        <v>5</v>
      </c>
      <c r="B689" t="str">
        <f t="shared" si="154"/>
        <v>Spring</v>
      </c>
      <c r="C689" t="str">
        <f t="shared" si="154"/>
        <v>h10</v>
      </c>
      <c r="D689" t="str">
        <f t="shared" si="154"/>
        <v>Hour9</v>
      </c>
      <c r="E689" t="str">
        <f t="shared" si="154"/>
        <v>Weekday</v>
      </c>
      <c r="F689" s="27">
        <f>F109*IF($E689="weekday",INDEX('Category Mapping'!$F$28:$F$39,MATCH('Summarized Source Data'!$A689,'Category Mapping'!$A$28:$A$39,0),1),INDEX('Category Mapping'!$E$28:$E$39,MATCH($A689,'Category Mapping'!$A$28:$A$39,0),1))</f>
        <v>39128000.714285716</v>
      </c>
      <c r="G689" s="27">
        <f>G109*IF($E689="weekday",INDEX('Category Mapping'!$F$28:$F$39,MATCH('Summarized Source Data'!$A689,'Category Mapping'!$A$28:$A$39,0),1),INDEX('Category Mapping'!$E$28:$E$39,MATCH($A689,'Category Mapping'!$A$28:$A$39,0),1))</f>
        <v>22051695</v>
      </c>
      <c r="H689" s="27">
        <f>H109*IF($E689="weekday",INDEX('Category Mapping'!$F$28:$F$39,MATCH('Summarized Source Data'!$A689,'Category Mapping'!$A$28:$A$39,0),1),INDEX('Category Mapping'!$E$28:$E$39,MATCH($A689,'Category Mapping'!$A$28:$A$39,0),1))</f>
        <v>0</v>
      </c>
      <c r="I689" s="27">
        <f>I109*IF($E689="weekday",INDEX('Category Mapping'!$F$28:$F$39,MATCH('Summarized Source Data'!$A689,'Category Mapping'!$A$28:$A$39,0),1),INDEX('Category Mapping'!$E$28:$E$39,MATCH($A689,'Category Mapping'!$A$28:$A$39,0),1))</f>
        <v>194432575.7142857</v>
      </c>
      <c r="J689" s="27">
        <f>J109*IF($E689="weekday",INDEX('Category Mapping'!$F$28:$F$39,MATCH('Summarized Source Data'!$A689,'Category Mapping'!$A$28:$A$39,0),1),INDEX('Category Mapping'!$E$28:$E$39,MATCH($A689,'Category Mapping'!$A$28:$A$39,0),1))</f>
        <v>2401530585.7142859</v>
      </c>
      <c r="K689" s="27">
        <f>K109*IF($E689="weekday",INDEX('Category Mapping'!$F$28:$F$39,MATCH('Summarized Source Data'!$A689,'Category Mapping'!$A$28:$A$39,0),1),INDEX('Category Mapping'!$E$28:$E$39,MATCH($A689,'Category Mapping'!$A$28:$A$39,0),1))</f>
        <v>2401530585.7142859</v>
      </c>
      <c r="L689" s="27">
        <f>L109*IF($E689="weekday",INDEX('Category Mapping'!$F$28:$F$39,MATCH('Summarized Source Data'!$A689,'Category Mapping'!$A$28:$A$39,0),1),INDEX('Category Mapping'!$E$28:$E$39,MATCH($A689,'Category Mapping'!$A$28:$A$39,0),1))</f>
        <v>156512711.42857143</v>
      </c>
      <c r="M689" s="27">
        <f>M109*IF($E689="weekday",INDEX('Category Mapping'!$F$28:$F$39,MATCH('Summarized Source Data'!$A689,'Category Mapping'!$A$28:$A$39,0),1),INDEX('Category Mapping'!$E$28:$E$39,MATCH($A689,'Category Mapping'!$A$28:$A$39,0),1))</f>
        <v>298928571.4285714</v>
      </c>
      <c r="N689" s="27">
        <f>N109*IF($E689="weekday",INDEX('Category Mapping'!$F$28:$F$39,MATCH('Summarized Source Data'!$A689,'Category Mapping'!$A$28:$A$39,0),1),INDEX('Category Mapping'!$E$28:$E$39,MATCH($A689,'Category Mapping'!$A$28:$A$39,0),1))</f>
        <v>0</v>
      </c>
      <c r="O689" s="27">
        <f>O109*IF($E689="weekday",INDEX('Category Mapping'!$F$28:$F$39,MATCH('Summarized Source Data'!$A689,'Category Mapping'!$A$28:$A$39,0),1),INDEX('Category Mapping'!$E$28:$E$39,MATCH($A689,'Category Mapping'!$A$28:$A$39,0),1))</f>
        <v>11368844431.428572</v>
      </c>
      <c r="P689" s="27">
        <f>P109*IF($E689="weekday",INDEX('Category Mapping'!$F$28:$F$39,MATCH('Summarized Source Data'!$A689,'Category Mapping'!$A$28:$A$39,0),1),INDEX('Category Mapping'!$E$28:$E$39,MATCH($A689,'Category Mapping'!$A$28:$A$39,0),1))</f>
        <v>11368844431.428572</v>
      </c>
      <c r="Q689" s="27">
        <f>Q109*IF($E689="weekday",INDEX('Category Mapping'!$F$28:$F$39,MATCH('Summarized Source Data'!$A689,'Category Mapping'!$A$28:$A$39,0),1),INDEX('Category Mapping'!$E$28:$E$39,MATCH($A689,'Category Mapping'!$A$28:$A$39,0),1))</f>
        <v>11368844431.428572</v>
      </c>
      <c r="R689" s="27">
        <f>R109*IF($E689="weekday",INDEX('Category Mapping'!$F$28:$F$39,MATCH('Summarized Source Data'!$A689,'Category Mapping'!$A$28:$A$39,0),1),INDEX('Category Mapping'!$E$28:$E$39,MATCH($A689,'Category Mapping'!$A$28:$A$39,0),1))</f>
        <v>310000000</v>
      </c>
      <c r="S689" s="27">
        <f>S109*IF($E689="weekday",INDEX('Category Mapping'!$F$28:$F$39,MATCH('Summarized Source Data'!$A689,'Category Mapping'!$A$28:$A$39,0),1),INDEX('Category Mapping'!$E$28:$E$39,MATCH($A689,'Category Mapping'!$A$28:$A$39,0),1))</f>
        <v>310000000</v>
      </c>
      <c r="T689" s="27">
        <f>T109*IF($E689="weekday",INDEX('Category Mapping'!$F$28:$F$39,MATCH('Summarized Source Data'!$A689,'Category Mapping'!$A$28:$A$39,0),1),INDEX('Category Mapping'!$E$28:$E$39,MATCH($A689,'Category Mapping'!$A$28:$A$39,0),1))</f>
        <v>310000000</v>
      </c>
      <c r="U689" s="27">
        <f>U109*IF($E689="weekday",INDEX('Category Mapping'!$F$28:$F$39,MATCH('Summarized Source Data'!$A689,'Category Mapping'!$A$28:$A$39,0),1),INDEX('Category Mapping'!$E$28:$E$39,MATCH($A689,'Category Mapping'!$A$28:$A$39,0),1))</f>
        <v>310000000</v>
      </c>
      <c r="V689" s="27">
        <f>V109*IF($E689="weekday",INDEX('Category Mapping'!$F$28:$F$39,MATCH('Summarized Source Data'!$A689,'Category Mapping'!$A$28:$A$39,0),1),INDEX('Category Mapping'!$E$28:$E$39,MATCH($A689,'Category Mapping'!$A$28:$A$39,0),1))</f>
        <v>310000000</v>
      </c>
      <c r="W689" s="27">
        <f>W109*IF($E689="weekday",INDEX('Category Mapping'!$F$28:$F$39,MATCH('Summarized Source Data'!$A689,'Category Mapping'!$A$28:$A$39,0),1),INDEX('Category Mapping'!$E$28:$E$39,MATCH($A689,'Category Mapping'!$A$28:$A$39,0),1))</f>
        <v>310000000</v>
      </c>
      <c r="X689" s="27">
        <f>X109*IF($E689="weekday",INDEX('Category Mapping'!$F$28:$F$39,MATCH('Summarized Source Data'!$A689,'Category Mapping'!$A$28:$A$39,0),1),INDEX('Category Mapping'!$E$28:$E$39,MATCH($A689,'Category Mapping'!$A$28:$A$39,0),1))</f>
        <v>14747142857.142857</v>
      </c>
      <c r="Y689" s="27">
        <f>Y109*IF($E689="weekday",INDEX('Category Mapping'!$F$28:$F$39,MATCH('Summarized Source Data'!$A689,'Category Mapping'!$A$28:$A$39,0),1),INDEX('Category Mapping'!$E$28:$E$39,MATCH($A689,'Category Mapping'!$A$28:$A$39,0),1))</f>
        <v>14747142857.142857</v>
      </c>
      <c r="Z689" s="27">
        <f>Z109*IF($E689="weekday",INDEX('Category Mapping'!$F$28:$F$39,MATCH('Summarized Source Data'!$A689,'Category Mapping'!$A$28:$A$39,0),1),INDEX('Category Mapping'!$E$28:$E$39,MATCH($A689,'Category Mapping'!$A$28:$A$39,0),1))</f>
        <v>14747142857.142857</v>
      </c>
    </row>
    <row r="690" spans="1:26" x14ac:dyDescent="0.3">
      <c r="A690">
        <f t="shared" ref="A690:E690" si="155">A110</f>
        <v>5</v>
      </c>
      <c r="B690" t="str">
        <f t="shared" si="155"/>
        <v>Spring</v>
      </c>
      <c r="C690" t="str">
        <f t="shared" si="155"/>
        <v>h11</v>
      </c>
      <c r="D690" t="str">
        <f t="shared" si="155"/>
        <v>Hour10</v>
      </c>
      <c r="E690" t="str">
        <f t="shared" si="155"/>
        <v>Weekday</v>
      </c>
      <c r="F690" s="27">
        <f>F110*IF($E690="weekday",INDEX('Category Mapping'!$F$28:$F$39,MATCH('Summarized Source Data'!$A690,'Category Mapping'!$A$28:$A$39,0),1),INDEX('Category Mapping'!$E$28:$E$39,MATCH($A690,'Category Mapping'!$A$28:$A$39,0),1))</f>
        <v>39459877.857142858</v>
      </c>
      <c r="G690" s="27">
        <f>G110*IF($E690="weekday",INDEX('Category Mapping'!$F$28:$F$39,MATCH('Summarized Source Data'!$A690,'Category Mapping'!$A$28:$A$39,0),1),INDEX('Category Mapping'!$E$28:$E$39,MATCH($A690,'Category Mapping'!$A$28:$A$39,0),1))</f>
        <v>51874470</v>
      </c>
      <c r="H690" s="27">
        <f>H110*IF($E690="weekday",INDEX('Category Mapping'!$F$28:$F$39,MATCH('Summarized Source Data'!$A690,'Category Mapping'!$A$28:$A$39,0),1),INDEX('Category Mapping'!$E$28:$E$39,MATCH($A690,'Category Mapping'!$A$28:$A$39,0),1))</f>
        <v>0</v>
      </c>
      <c r="I690" s="27">
        <f>I110*IF($E690="weekday",INDEX('Category Mapping'!$F$28:$F$39,MATCH('Summarized Source Data'!$A690,'Category Mapping'!$A$28:$A$39,0),1),INDEX('Category Mapping'!$E$28:$E$39,MATCH($A690,'Category Mapping'!$A$28:$A$39,0),1))</f>
        <v>197609566.42857143</v>
      </c>
      <c r="J690" s="27">
        <f>J110*IF($E690="weekday",INDEX('Category Mapping'!$F$28:$F$39,MATCH('Summarized Source Data'!$A690,'Category Mapping'!$A$28:$A$39,0),1),INDEX('Category Mapping'!$E$28:$E$39,MATCH($A690,'Category Mapping'!$A$28:$A$39,0),1))</f>
        <v>2390341800</v>
      </c>
      <c r="K690" s="27">
        <f>K110*IF($E690="weekday",INDEX('Category Mapping'!$F$28:$F$39,MATCH('Summarized Source Data'!$A690,'Category Mapping'!$A$28:$A$39,0),1),INDEX('Category Mapping'!$E$28:$E$39,MATCH($A690,'Category Mapping'!$A$28:$A$39,0),1))</f>
        <v>2390341800</v>
      </c>
      <c r="L690" s="27">
        <f>L110*IF($E690="weekday",INDEX('Category Mapping'!$F$28:$F$39,MATCH('Summarized Source Data'!$A690,'Category Mapping'!$A$28:$A$39,0),1),INDEX('Category Mapping'!$E$28:$E$39,MATCH($A690,'Category Mapping'!$A$28:$A$39,0),1))</f>
        <v>131817402.85714285</v>
      </c>
      <c r="M690" s="27">
        <f>M110*IF($E690="weekday",INDEX('Category Mapping'!$F$28:$F$39,MATCH('Summarized Source Data'!$A690,'Category Mapping'!$A$28:$A$39,0),1),INDEX('Category Mapping'!$E$28:$E$39,MATCH($A690,'Category Mapping'!$A$28:$A$39,0),1))</f>
        <v>338785714.28571427</v>
      </c>
      <c r="N690" s="27">
        <f>N110*IF($E690="weekday",INDEX('Category Mapping'!$F$28:$F$39,MATCH('Summarized Source Data'!$A690,'Category Mapping'!$A$28:$A$39,0),1),INDEX('Category Mapping'!$E$28:$E$39,MATCH($A690,'Category Mapping'!$A$28:$A$39,0),1))</f>
        <v>0</v>
      </c>
      <c r="O690" s="27">
        <f>O110*IF($E690="weekday",INDEX('Category Mapping'!$F$28:$F$39,MATCH('Summarized Source Data'!$A690,'Category Mapping'!$A$28:$A$39,0),1),INDEX('Category Mapping'!$E$28:$E$39,MATCH($A690,'Category Mapping'!$A$28:$A$39,0),1))</f>
        <v>11331539740</v>
      </c>
      <c r="P690" s="27">
        <f>P110*IF($E690="weekday",INDEX('Category Mapping'!$F$28:$F$39,MATCH('Summarized Source Data'!$A690,'Category Mapping'!$A$28:$A$39,0),1),INDEX('Category Mapping'!$E$28:$E$39,MATCH($A690,'Category Mapping'!$A$28:$A$39,0),1))</f>
        <v>11331539740</v>
      </c>
      <c r="Q690" s="27">
        <f>Q110*IF($E690="weekday",INDEX('Category Mapping'!$F$28:$F$39,MATCH('Summarized Source Data'!$A690,'Category Mapping'!$A$28:$A$39,0),1),INDEX('Category Mapping'!$E$28:$E$39,MATCH($A690,'Category Mapping'!$A$28:$A$39,0),1))</f>
        <v>11331539740</v>
      </c>
      <c r="R690" s="27">
        <f>R110*IF($E690="weekday",INDEX('Category Mapping'!$F$28:$F$39,MATCH('Summarized Source Data'!$A690,'Category Mapping'!$A$28:$A$39,0),1),INDEX('Category Mapping'!$E$28:$E$39,MATCH($A690,'Category Mapping'!$A$28:$A$39,0),1))</f>
        <v>250214285.7142857</v>
      </c>
      <c r="S690" s="27">
        <f>S110*IF($E690="weekday",INDEX('Category Mapping'!$F$28:$F$39,MATCH('Summarized Source Data'!$A690,'Category Mapping'!$A$28:$A$39,0),1),INDEX('Category Mapping'!$E$28:$E$39,MATCH($A690,'Category Mapping'!$A$28:$A$39,0),1))</f>
        <v>250214285.7142857</v>
      </c>
      <c r="T690" s="27">
        <f>T110*IF($E690="weekday",INDEX('Category Mapping'!$F$28:$F$39,MATCH('Summarized Source Data'!$A690,'Category Mapping'!$A$28:$A$39,0),1),INDEX('Category Mapping'!$E$28:$E$39,MATCH($A690,'Category Mapping'!$A$28:$A$39,0),1))</f>
        <v>250214285.7142857</v>
      </c>
      <c r="U690" s="27">
        <f>U110*IF($E690="weekday",INDEX('Category Mapping'!$F$28:$F$39,MATCH('Summarized Source Data'!$A690,'Category Mapping'!$A$28:$A$39,0),1),INDEX('Category Mapping'!$E$28:$E$39,MATCH($A690,'Category Mapping'!$A$28:$A$39,0),1))</f>
        <v>250214285.7142857</v>
      </c>
      <c r="V690" s="27">
        <f>V110*IF($E690="weekday",INDEX('Category Mapping'!$F$28:$F$39,MATCH('Summarized Source Data'!$A690,'Category Mapping'!$A$28:$A$39,0),1),INDEX('Category Mapping'!$E$28:$E$39,MATCH($A690,'Category Mapping'!$A$28:$A$39,0),1))</f>
        <v>250214285.7142857</v>
      </c>
      <c r="W690" s="27">
        <f>W110*IF($E690="weekday",INDEX('Category Mapping'!$F$28:$F$39,MATCH('Summarized Source Data'!$A690,'Category Mapping'!$A$28:$A$39,0),1),INDEX('Category Mapping'!$E$28:$E$39,MATCH($A690,'Category Mapping'!$A$28:$A$39,0),1))</f>
        <v>250214285.7142857</v>
      </c>
      <c r="X690" s="27">
        <f>X110*IF($E690="weekday",INDEX('Category Mapping'!$F$28:$F$39,MATCH('Summarized Source Data'!$A690,'Category Mapping'!$A$28:$A$39,0),1),INDEX('Category Mapping'!$E$28:$E$39,MATCH($A690,'Category Mapping'!$A$28:$A$39,0),1))</f>
        <v>14702857142.857143</v>
      </c>
      <c r="Y690" s="27">
        <f>Y110*IF($E690="weekday",INDEX('Category Mapping'!$F$28:$F$39,MATCH('Summarized Source Data'!$A690,'Category Mapping'!$A$28:$A$39,0),1),INDEX('Category Mapping'!$E$28:$E$39,MATCH($A690,'Category Mapping'!$A$28:$A$39,0),1))</f>
        <v>14702857142.857143</v>
      </c>
      <c r="Z690" s="27">
        <f>Z110*IF($E690="weekday",INDEX('Category Mapping'!$F$28:$F$39,MATCH('Summarized Source Data'!$A690,'Category Mapping'!$A$28:$A$39,0),1),INDEX('Category Mapping'!$E$28:$E$39,MATCH($A690,'Category Mapping'!$A$28:$A$39,0),1))</f>
        <v>14702857142.857143</v>
      </c>
    </row>
    <row r="691" spans="1:26" x14ac:dyDescent="0.3">
      <c r="A691">
        <f t="shared" ref="A691:E691" si="156">A111</f>
        <v>5</v>
      </c>
      <c r="B691" t="str">
        <f t="shared" si="156"/>
        <v>Spring</v>
      </c>
      <c r="C691" t="str">
        <f t="shared" si="156"/>
        <v>h12</v>
      </c>
      <c r="D691" t="str">
        <f t="shared" si="156"/>
        <v>Hour11</v>
      </c>
      <c r="E691" t="str">
        <f t="shared" si="156"/>
        <v>Weekday</v>
      </c>
      <c r="F691" s="27">
        <f>F111*IF($E691="weekday",INDEX('Category Mapping'!$F$28:$F$39,MATCH('Summarized Source Data'!$A691,'Category Mapping'!$A$28:$A$39,0),1),INDEX('Category Mapping'!$E$28:$E$39,MATCH($A691,'Category Mapping'!$A$28:$A$39,0),1))</f>
        <v>41446269.285714284</v>
      </c>
      <c r="G691" s="27">
        <f>G111*IF($E691="weekday",INDEX('Category Mapping'!$F$28:$F$39,MATCH('Summarized Source Data'!$A691,'Category Mapping'!$A$28:$A$39,0),1),INDEX('Category Mapping'!$E$28:$E$39,MATCH($A691,'Category Mapping'!$A$28:$A$39,0),1))</f>
        <v>90133407.857142851</v>
      </c>
      <c r="H691" s="27">
        <f>H111*IF($E691="weekday",INDEX('Category Mapping'!$F$28:$F$39,MATCH('Summarized Source Data'!$A691,'Category Mapping'!$A$28:$A$39,0),1),INDEX('Category Mapping'!$E$28:$E$39,MATCH($A691,'Category Mapping'!$A$28:$A$39,0),1))</f>
        <v>0</v>
      </c>
      <c r="I691" s="27">
        <f>I111*IF($E691="weekday",INDEX('Category Mapping'!$F$28:$F$39,MATCH('Summarized Source Data'!$A691,'Category Mapping'!$A$28:$A$39,0),1),INDEX('Category Mapping'!$E$28:$E$39,MATCH($A691,'Category Mapping'!$A$28:$A$39,0),1))</f>
        <v>216625121.42857143</v>
      </c>
      <c r="J691" s="27">
        <f>J111*IF($E691="weekday",INDEX('Category Mapping'!$F$28:$F$39,MATCH('Summarized Source Data'!$A691,'Category Mapping'!$A$28:$A$39,0),1),INDEX('Category Mapping'!$E$28:$E$39,MATCH($A691,'Category Mapping'!$A$28:$A$39,0),1))</f>
        <v>2375366630</v>
      </c>
      <c r="K691" s="27">
        <f>K111*IF($E691="weekday",INDEX('Category Mapping'!$F$28:$F$39,MATCH('Summarized Source Data'!$A691,'Category Mapping'!$A$28:$A$39,0),1),INDEX('Category Mapping'!$E$28:$E$39,MATCH($A691,'Category Mapping'!$A$28:$A$39,0),1))</f>
        <v>2375366630</v>
      </c>
      <c r="L691" s="27">
        <f>L111*IF($E691="weekday",INDEX('Category Mapping'!$F$28:$F$39,MATCH('Summarized Source Data'!$A691,'Category Mapping'!$A$28:$A$39,0),1),INDEX('Category Mapping'!$E$28:$E$39,MATCH($A691,'Category Mapping'!$A$28:$A$39,0),1))</f>
        <v>110595356.42857143</v>
      </c>
      <c r="M691" s="27">
        <f>M111*IF($E691="weekday",INDEX('Category Mapping'!$F$28:$F$39,MATCH('Summarized Source Data'!$A691,'Category Mapping'!$A$28:$A$39,0),1),INDEX('Category Mapping'!$E$28:$E$39,MATCH($A691,'Category Mapping'!$A$28:$A$39,0),1))</f>
        <v>367571428.57142854</v>
      </c>
      <c r="N691" s="27">
        <f>N111*IF($E691="weekday",INDEX('Category Mapping'!$F$28:$F$39,MATCH('Summarized Source Data'!$A691,'Category Mapping'!$A$28:$A$39,0),1),INDEX('Category Mapping'!$E$28:$E$39,MATCH($A691,'Category Mapping'!$A$28:$A$39,0),1))</f>
        <v>0</v>
      </c>
      <c r="O691" s="27">
        <f>O111*IF($E691="weekday",INDEX('Category Mapping'!$F$28:$F$39,MATCH('Summarized Source Data'!$A691,'Category Mapping'!$A$28:$A$39,0),1),INDEX('Category Mapping'!$E$28:$E$39,MATCH($A691,'Category Mapping'!$A$28:$A$39,0),1))</f>
        <v>11301833215</v>
      </c>
      <c r="P691" s="27">
        <f>P111*IF($E691="weekday",INDEX('Category Mapping'!$F$28:$F$39,MATCH('Summarized Source Data'!$A691,'Category Mapping'!$A$28:$A$39,0),1),INDEX('Category Mapping'!$E$28:$E$39,MATCH($A691,'Category Mapping'!$A$28:$A$39,0),1))</f>
        <v>11301833215</v>
      </c>
      <c r="Q691" s="27">
        <f>Q111*IF($E691="weekday",INDEX('Category Mapping'!$F$28:$F$39,MATCH('Summarized Source Data'!$A691,'Category Mapping'!$A$28:$A$39,0),1),INDEX('Category Mapping'!$E$28:$E$39,MATCH($A691,'Category Mapping'!$A$28:$A$39,0),1))</f>
        <v>11301833215</v>
      </c>
      <c r="R691" s="27">
        <f>R111*IF($E691="weekday",INDEX('Category Mapping'!$F$28:$F$39,MATCH('Summarized Source Data'!$A691,'Category Mapping'!$A$28:$A$39,0),1),INDEX('Category Mapping'!$E$28:$E$39,MATCH($A691,'Category Mapping'!$A$28:$A$39,0),1))</f>
        <v>250214285.7142857</v>
      </c>
      <c r="S691" s="27">
        <f>S111*IF($E691="weekday",INDEX('Category Mapping'!$F$28:$F$39,MATCH('Summarized Source Data'!$A691,'Category Mapping'!$A$28:$A$39,0),1),INDEX('Category Mapping'!$E$28:$E$39,MATCH($A691,'Category Mapping'!$A$28:$A$39,0),1))</f>
        <v>250214285.7142857</v>
      </c>
      <c r="T691" s="27">
        <f>T111*IF($E691="weekday",INDEX('Category Mapping'!$F$28:$F$39,MATCH('Summarized Source Data'!$A691,'Category Mapping'!$A$28:$A$39,0),1),INDEX('Category Mapping'!$E$28:$E$39,MATCH($A691,'Category Mapping'!$A$28:$A$39,0),1))</f>
        <v>250214285.7142857</v>
      </c>
      <c r="U691" s="27">
        <f>U111*IF($E691="weekday",INDEX('Category Mapping'!$F$28:$F$39,MATCH('Summarized Source Data'!$A691,'Category Mapping'!$A$28:$A$39,0),1),INDEX('Category Mapping'!$E$28:$E$39,MATCH($A691,'Category Mapping'!$A$28:$A$39,0),1))</f>
        <v>250214285.7142857</v>
      </c>
      <c r="V691" s="27">
        <f>V111*IF($E691="weekday",INDEX('Category Mapping'!$F$28:$F$39,MATCH('Summarized Source Data'!$A691,'Category Mapping'!$A$28:$A$39,0),1),INDEX('Category Mapping'!$E$28:$E$39,MATCH($A691,'Category Mapping'!$A$28:$A$39,0),1))</f>
        <v>250214285.7142857</v>
      </c>
      <c r="W691" s="27">
        <f>W111*IF($E691="weekday",INDEX('Category Mapping'!$F$28:$F$39,MATCH('Summarized Source Data'!$A691,'Category Mapping'!$A$28:$A$39,0),1),INDEX('Category Mapping'!$E$28:$E$39,MATCH($A691,'Category Mapping'!$A$28:$A$39,0),1))</f>
        <v>250214285.7142857</v>
      </c>
      <c r="X691" s="27">
        <f>X111*IF($E691="weekday",INDEX('Category Mapping'!$F$28:$F$39,MATCH('Summarized Source Data'!$A691,'Category Mapping'!$A$28:$A$39,0),1),INDEX('Category Mapping'!$E$28:$E$39,MATCH($A691,'Category Mapping'!$A$28:$A$39,0),1))</f>
        <v>14658571428.571428</v>
      </c>
      <c r="Y691" s="27">
        <f>Y111*IF($E691="weekday",INDEX('Category Mapping'!$F$28:$F$39,MATCH('Summarized Source Data'!$A691,'Category Mapping'!$A$28:$A$39,0),1),INDEX('Category Mapping'!$E$28:$E$39,MATCH($A691,'Category Mapping'!$A$28:$A$39,0),1))</f>
        <v>14658571428.571428</v>
      </c>
      <c r="Z691" s="27">
        <f>Z111*IF($E691="weekday",INDEX('Category Mapping'!$F$28:$F$39,MATCH('Summarized Source Data'!$A691,'Category Mapping'!$A$28:$A$39,0),1),INDEX('Category Mapping'!$E$28:$E$39,MATCH($A691,'Category Mapping'!$A$28:$A$39,0),1))</f>
        <v>14658571428.571428</v>
      </c>
    </row>
    <row r="692" spans="1:26" x14ac:dyDescent="0.3">
      <c r="A692">
        <f t="shared" ref="A692:E692" si="157">A112</f>
        <v>5</v>
      </c>
      <c r="B692" t="str">
        <f t="shared" si="157"/>
        <v>Spring</v>
      </c>
      <c r="C692" t="str">
        <f t="shared" si="157"/>
        <v>h13</v>
      </c>
      <c r="D692" t="str">
        <f t="shared" si="157"/>
        <v>Hour12</v>
      </c>
      <c r="E692" t="str">
        <f t="shared" si="157"/>
        <v>Weekday</v>
      </c>
      <c r="F692" s="27">
        <f>F112*IF($E692="weekday",INDEX('Category Mapping'!$F$28:$F$39,MATCH('Summarized Source Data'!$A692,'Category Mapping'!$A$28:$A$39,0),1),INDEX('Category Mapping'!$E$28:$E$39,MATCH($A692,'Category Mapping'!$A$28:$A$39,0),1))</f>
        <v>42662731.428571425</v>
      </c>
      <c r="G692" s="27">
        <f>G112*IF($E692="weekday",INDEX('Category Mapping'!$F$28:$F$39,MATCH('Summarized Source Data'!$A692,'Category Mapping'!$A$28:$A$39,0),1),INDEX('Category Mapping'!$E$28:$E$39,MATCH($A692,'Category Mapping'!$A$28:$A$39,0),1))</f>
        <v>125649355</v>
      </c>
      <c r="H692" s="27">
        <f>H112*IF($E692="weekday",INDEX('Category Mapping'!$F$28:$F$39,MATCH('Summarized Source Data'!$A692,'Category Mapping'!$A$28:$A$39,0),1),INDEX('Category Mapping'!$E$28:$E$39,MATCH($A692,'Category Mapping'!$A$28:$A$39,0),1))</f>
        <v>0</v>
      </c>
      <c r="I692" s="27">
        <f>I112*IF($E692="weekday",INDEX('Category Mapping'!$F$28:$F$39,MATCH('Summarized Source Data'!$A692,'Category Mapping'!$A$28:$A$39,0),1),INDEX('Category Mapping'!$E$28:$E$39,MATCH($A692,'Category Mapping'!$A$28:$A$39,0),1))</f>
        <v>228071428.57142857</v>
      </c>
      <c r="J692" s="27">
        <f>J112*IF($E692="weekday",INDEX('Category Mapping'!$F$28:$F$39,MATCH('Summarized Source Data'!$A692,'Category Mapping'!$A$28:$A$39,0),1),INDEX('Category Mapping'!$E$28:$E$39,MATCH($A692,'Category Mapping'!$A$28:$A$39,0),1))</f>
        <v>2305045056.4285712</v>
      </c>
      <c r="K692" s="27">
        <f>K112*IF($E692="weekday",INDEX('Category Mapping'!$F$28:$F$39,MATCH('Summarized Source Data'!$A692,'Category Mapping'!$A$28:$A$39,0),1),INDEX('Category Mapping'!$E$28:$E$39,MATCH($A692,'Category Mapping'!$A$28:$A$39,0),1))</f>
        <v>2305045056.4285712</v>
      </c>
      <c r="L692" s="27">
        <f>L112*IF($E692="weekday",INDEX('Category Mapping'!$F$28:$F$39,MATCH('Summarized Source Data'!$A692,'Category Mapping'!$A$28:$A$39,0),1),INDEX('Category Mapping'!$E$28:$E$39,MATCH($A692,'Category Mapping'!$A$28:$A$39,0),1))</f>
        <v>100764902.14285713</v>
      </c>
      <c r="M692" s="27">
        <f>M112*IF($E692="weekday",INDEX('Category Mapping'!$F$28:$F$39,MATCH('Summarized Source Data'!$A692,'Category Mapping'!$A$28:$A$39,0),1),INDEX('Category Mapping'!$E$28:$E$39,MATCH($A692,'Category Mapping'!$A$28:$A$39,0),1))</f>
        <v>376428571.4285714</v>
      </c>
      <c r="N692" s="27">
        <f>N112*IF($E692="weekday",INDEX('Category Mapping'!$F$28:$F$39,MATCH('Summarized Source Data'!$A692,'Category Mapping'!$A$28:$A$39,0),1),INDEX('Category Mapping'!$E$28:$E$39,MATCH($A692,'Category Mapping'!$A$28:$A$39,0),1))</f>
        <v>0</v>
      </c>
      <c r="O692" s="27">
        <f>O112*IF($E692="weekday",INDEX('Category Mapping'!$F$28:$F$39,MATCH('Summarized Source Data'!$A692,'Category Mapping'!$A$28:$A$39,0),1),INDEX('Category Mapping'!$E$28:$E$39,MATCH($A692,'Category Mapping'!$A$28:$A$39,0),1))</f>
        <v>11103520812.142857</v>
      </c>
      <c r="P692" s="27">
        <f>P112*IF($E692="weekday",INDEX('Category Mapping'!$F$28:$F$39,MATCH('Summarized Source Data'!$A692,'Category Mapping'!$A$28:$A$39,0),1),INDEX('Category Mapping'!$E$28:$E$39,MATCH($A692,'Category Mapping'!$A$28:$A$39,0),1))</f>
        <v>11103520812.142857</v>
      </c>
      <c r="Q692" s="27">
        <f>Q112*IF($E692="weekday",INDEX('Category Mapping'!$F$28:$F$39,MATCH('Summarized Source Data'!$A692,'Category Mapping'!$A$28:$A$39,0),1),INDEX('Category Mapping'!$E$28:$E$39,MATCH($A692,'Category Mapping'!$A$28:$A$39,0),1))</f>
        <v>11103520812.142857</v>
      </c>
      <c r="R692" s="27">
        <f>R112*IF($E692="weekday",INDEX('Category Mapping'!$F$28:$F$39,MATCH('Summarized Source Data'!$A692,'Category Mapping'!$A$28:$A$39,0),1),INDEX('Category Mapping'!$E$28:$E$39,MATCH($A692,'Category Mapping'!$A$28:$A$39,0),1))</f>
        <v>254642857.14285713</v>
      </c>
      <c r="S692" s="27">
        <f>S112*IF($E692="weekday",INDEX('Category Mapping'!$F$28:$F$39,MATCH('Summarized Source Data'!$A692,'Category Mapping'!$A$28:$A$39,0),1),INDEX('Category Mapping'!$E$28:$E$39,MATCH($A692,'Category Mapping'!$A$28:$A$39,0),1))</f>
        <v>254642857.14285713</v>
      </c>
      <c r="T692" s="27">
        <f>T112*IF($E692="weekday",INDEX('Category Mapping'!$F$28:$F$39,MATCH('Summarized Source Data'!$A692,'Category Mapping'!$A$28:$A$39,0),1),INDEX('Category Mapping'!$E$28:$E$39,MATCH($A692,'Category Mapping'!$A$28:$A$39,0),1))</f>
        <v>254642857.14285713</v>
      </c>
      <c r="U692" s="27">
        <f>U112*IF($E692="weekday",INDEX('Category Mapping'!$F$28:$F$39,MATCH('Summarized Source Data'!$A692,'Category Mapping'!$A$28:$A$39,0),1),INDEX('Category Mapping'!$E$28:$E$39,MATCH($A692,'Category Mapping'!$A$28:$A$39,0),1))</f>
        <v>254642857.14285713</v>
      </c>
      <c r="V692" s="27">
        <f>V112*IF($E692="weekday",INDEX('Category Mapping'!$F$28:$F$39,MATCH('Summarized Source Data'!$A692,'Category Mapping'!$A$28:$A$39,0),1),INDEX('Category Mapping'!$E$28:$E$39,MATCH($A692,'Category Mapping'!$A$28:$A$39,0),1))</f>
        <v>254642857.14285713</v>
      </c>
      <c r="W692" s="27">
        <f>W112*IF($E692="weekday",INDEX('Category Mapping'!$F$28:$F$39,MATCH('Summarized Source Data'!$A692,'Category Mapping'!$A$28:$A$39,0),1),INDEX('Category Mapping'!$E$28:$E$39,MATCH($A692,'Category Mapping'!$A$28:$A$39,0),1))</f>
        <v>254642857.14285713</v>
      </c>
      <c r="X692" s="27">
        <f>X112*IF($E692="weekday",INDEX('Category Mapping'!$F$28:$F$39,MATCH('Summarized Source Data'!$A692,'Category Mapping'!$A$28:$A$39,0),1),INDEX('Category Mapping'!$E$28:$E$39,MATCH($A692,'Category Mapping'!$A$28:$A$39,0),1))</f>
        <v>14592142857.142857</v>
      </c>
      <c r="Y692" s="27">
        <f>Y112*IF($E692="weekday",INDEX('Category Mapping'!$F$28:$F$39,MATCH('Summarized Source Data'!$A692,'Category Mapping'!$A$28:$A$39,0),1),INDEX('Category Mapping'!$E$28:$E$39,MATCH($A692,'Category Mapping'!$A$28:$A$39,0),1))</f>
        <v>14592142857.142857</v>
      </c>
      <c r="Z692" s="27">
        <f>Z112*IF($E692="weekday",INDEX('Category Mapping'!$F$28:$F$39,MATCH('Summarized Source Data'!$A692,'Category Mapping'!$A$28:$A$39,0),1),INDEX('Category Mapping'!$E$28:$E$39,MATCH($A692,'Category Mapping'!$A$28:$A$39,0),1))</f>
        <v>14592142857.142857</v>
      </c>
    </row>
    <row r="693" spans="1:26" x14ac:dyDescent="0.3">
      <c r="A693">
        <f t="shared" ref="A693:E693" si="158">A113</f>
        <v>5</v>
      </c>
      <c r="B693" t="str">
        <f t="shared" si="158"/>
        <v>Spring</v>
      </c>
      <c r="C693" t="str">
        <f t="shared" si="158"/>
        <v>h14</v>
      </c>
      <c r="D693" t="str">
        <f t="shared" si="158"/>
        <v>Hour13</v>
      </c>
      <c r="E693" t="str">
        <f t="shared" si="158"/>
        <v>Weekday</v>
      </c>
      <c r="F693" s="27">
        <f>F113*IF($E693="weekday",INDEX('Category Mapping'!$F$28:$F$39,MATCH('Summarized Source Data'!$A693,'Category Mapping'!$A$28:$A$39,0),1),INDEX('Category Mapping'!$E$28:$E$39,MATCH($A693,'Category Mapping'!$A$28:$A$39,0),1))</f>
        <v>43004971.428571425</v>
      </c>
      <c r="G693" s="27">
        <f>G113*IF($E693="weekday",INDEX('Category Mapping'!$F$28:$F$39,MATCH('Summarized Source Data'!$A693,'Category Mapping'!$A$28:$A$39,0),1),INDEX('Category Mapping'!$E$28:$E$39,MATCH($A693,'Category Mapping'!$A$28:$A$39,0),1))</f>
        <v>147768231.42857143</v>
      </c>
      <c r="H693" s="27">
        <f>H113*IF($E693="weekday",INDEX('Category Mapping'!$F$28:$F$39,MATCH('Summarized Source Data'!$A693,'Category Mapping'!$A$28:$A$39,0),1),INDEX('Category Mapping'!$E$28:$E$39,MATCH($A693,'Category Mapping'!$A$28:$A$39,0),1))</f>
        <v>0</v>
      </c>
      <c r="I693" s="27">
        <f>I113*IF($E693="weekday",INDEX('Category Mapping'!$F$28:$F$39,MATCH('Summarized Source Data'!$A693,'Category Mapping'!$A$28:$A$39,0),1),INDEX('Category Mapping'!$E$28:$E$39,MATCH($A693,'Category Mapping'!$A$28:$A$39,0),1))</f>
        <v>232500000</v>
      </c>
      <c r="J693" s="27">
        <f>J113*IF($E693="weekday",INDEX('Category Mapping'!$F$28:$F$39,MATCH('Summarized Source Data'!$A693,'Category Mapping'!$A$28:$A$39,0),1),INDEX('Category Mapping'!$E$28:$E$39,MATCH($A693,'Category Mapping'!$A$28:$A$39,0),1))</f>
        <v>2278155368.5714283</v>
      </c>
      <c r="K693" s="27">
        <f>K113*IF($E693="weekday",INDEX('Category Mapping'!$F$28:$F$39,MATCH('Summarized Source Data'!$A693,'Category Mapping'!$A$28:$A$39,0),1),INDEX('Category Mapping'!$E$28:$E$39,MATCH($A693,'Category Mapping'!$A$28:$A$39,0),1))</f>
        <v>2278155368.5714283</v>
      </c>
      <c r="L693" s="27">
        <f>L113*IF($E693="weekday",INDEX('Category Mapping'!$F$28:$F$39,MATCH('Summarized Source Data'!$A693,'Category Mapping'!$A$28:$A$39,0),1),INDEX('Category Mapping'!$E$28:$E$39,MATCH($A693,'Category Mapping'!$A$28:$A$39,0),1))</f>
        <v>93512585</v>
      </c>
      <c r="M693" s="27">
        <f>M113*IF($E693="weekday",INDEX('Category Mapping'!$F$28:$F$39,MATCH('Summarized Source Data'!$A693,'Category Mapping'!$A$28:$A$39,0),1),INDEX('Category Mapping'!$E$28:$E$39,MATCH($A693,'Category Mapping'!$A$28:$A$39,0),1))</f>
        <v>394142857.14285713</v>
      </c>
      <c r="N693" s="27">
        <f>N113*IF($E693="weekday",INDEX('Category Mapping'!$F$28:$F$39,MATCH('Summarized Source Data'!$A693,'Category Mapping'!$A$28:$A$39,0),1),INDEX('Category Mapping'!$E$28:$E$39,MATCH($A693,'Category Mapping'!$A$28:$A$39,0),1))</f>
        <v>0</v>
      </c>
      <c r="O693" s="27">
        <f>O113*IF($E693="weekday",INDEX('Category Mapping'!$F$28:$F$39,MATCH('Summarized Source Data'!$A693,'Category Mapping'!$A$28:$A$39,0),1),INDEX('Category Mapping'!$E$28:$E$39,MATCH($A693,'Category Mapping'!$A$28:$A$39,0),1))</f>
        <v>11115201700.714285</v>
      </c>
      <c r="P693" s="27">
        <f>P113*IF($E693="weekday",INDEX('Category Mapping'!$F$28:$F$39,MATCH('Summarized Source Data'!$A693,'Category Mapping'!$A$28:$A$39,0),1),INDEX('Category Mapping'!$E$28:$E$39,MATCH($A693,'Category Mapping'!$A$28:$A$39,0),1))</f>
        <v>11115201700.714285</v>
      </c>
      <c r="Q693" s="27">
        <f>Q113*IF($E693="weekday",INDEX('Category Mapping'!$F$28:$F$39,MATCH('Summarized Source Data'!$A693,'Category Mapping'!$A$28:$A$39,0),1),INDEX('Category Mapping'!$E$28:$E$39,MATCH($A693,'Category Mapping'!$A$28:$A$39,0),1))</f>
        <v>11115201700.714285</v>
      </c>
      <c r="R693" s="27">
        <f>R113*IF($E693="weekday",INDEX('Category Mapping'!$F$28:$F$39,MATCH('Summarized Source Data'!$A693,'Category Mapping'!$A$28:$A$39,0),1),INDEX('Category Mapping'!$E$28:$E$39,MATCH($A693,'Category Mapping'!$A$28:$A$39,0),1))</f>
        <v>254642857.14285713</v>
      </c>
      <c r="S693" s="27">
        <f>S113*IF($E693="weekday",INDEX('Category Mapping'!$F$28:$F$39,MATCH('Summarized Source Data'!$A693,'Category Mapping'!$A$28:$A$39,0),1),INDEX('Category Mapping'!$E$28:$E$39,MATCH($A693,'Category Mapping'!$A$28:$A$39,0),1))</f>
        <v>254642857.14285713</v>
      </c>
      <c r="T693" s="27">
        <f>T113*IF($E693="weekday",INDEX('Category Mapping'!$F$28:$F$39,MATCH('Summarized Source Data'!$A693,'Category Mapping'!$A$28:$A$39,0),1),INDEX('Category Mapping'!$E$28:$E$39,MATCH($A693,'Category Mapping'!$A$28:$A$39,0),1))</f>
        <v>254642857.14285713</v>
      </c>
      <c r="U693" s="27">
        <f>U113*IF($E693="weekday",INDEX('Category Mapping'!$F$28:$F$39,MATCH('Summarized Source Data'!$A693,'Category Mapping'!$A$28:$A$39,0),1),INDEX('Category Mapping'!$E$28:$E$39,MATCH($A693,'Category Mapping'!$A$28:$A$39,0),1))</f>
        <v>254642857.14285713</v>
      </c>
      <c r="V693" s="27">
        <f>V113*IF($E693="weekday",INDEX('Category Mapping'!$F$28:$F$39,MATCH('Summarized Source Data'!$A693,'Category Mapping'!$A$28:$A$39,0),1),INDEX('Category Mapping'!$E$28:$E$39,MATCH($A693,'Category Mapping'!$A$28:$A$39,0),1))</f>
        <v>254642857.14285713</v>
      </c>
      <c r="W693" s="27">
        <f>W113*IF($E693="weekday",INDEX('Category Mapping'!$F$28:$F$39,MATCH('Summarized Source Data'!$A693,'Category Mapping'!$A$28:$A$39,0),1),INDEX('Category Mapping'!$E$28:$E$39,MATCH($A693,'Category Mapping'!$A$28:$A$39,0),1))</f>
        <v>254642857.14285713</v>
      </c>
      <c r="X693" s="27">
        <f>X113*IF($E693="weekday",INDEX('Category Mapping'!$F$28:$F$39,MATCH('Summarized Source Data'!$A693,'Category Mapping'!$A$28:$A$39,0),1),INDEX('Category Mapping'!$E$28:$E$39,MATCH($A693,'Category Mapping'!$A$28:$A$39,0),1))</f>
        <v>14592142857.142857</v>
      </c>
      <c r="Y693" s="27">
        <f>Y113*IF($E693="weekday",INDEX('Category Mapping'!$F$28:$F$39,MATCH('Summarized Source Data'!$A693,'Category Mapping'!$A$28:$A$39,0),1),INDEX('Category Mapping'!$E$28:$E$39,MATCH($A693,'Category Mapping'!$A$28:$A$39,0),1))</f>
        <v>14592142857.142857</v>
      </c>
      <c r="Z693" s="27">
        <f>Z113*IF($E693="weekday",INDEX('Category Mapping'!$F$28:$F$39,MATCH('Summarized Source Data'!$A693,'Category Mapping'!$A$28:$A$39,0),1),INDEX('Category Mapping'!$E$28:$E$39,MATCH($A693,'Category Mapping'!$A$28:$A$39,0),1))</f>
        <v>14592142857.142857</v>
      </c>
    </row>
    <row r="694" spans="1:26" x14ac:dyDescent="0.3">
      <c r="A694">
        <f t="shared" ref="A694:E694" si="159">A114</f>
        <v>5</v>
      </c>
      <c r="B694" t="str">
        <f t="shared" si="159"/>
        <v>Spring</v>
      </c>
      <c r="C694" t="str">
        <f t="shared" si="159"/>
        <v>h15</v>
      </c>
      <c r="D694" t="str">
        <f t="shared" si="159"/>
        <v>Hour14</v>
      </c>
      <c r="E694" t="str">
        <f t="shared" si="159"/>
        <v>Weekday</v>
      </c>
      <c r="F694" s="27">
        <f>F114*IF($E694="weekday",INDEX('Category Mapping'!$F$28:$F$39,MATCH('Summarized Source Data'!$A694,'Category Mapping'!$A$28:$A$39,0),1),INDEX('Category Mapping'!$E$28:$E$39,MATCH($A694,'Category Mapping'!$A$28:$A$39,0),1))</f>
        <v>43627584.285714284</v>
      </c>
      <c r="G694" s="27">
        <f>G114*IF($E694="weekday",INDEX('Category Mapping'!$F$28:$F$39,MATCH('Summarized Source Data'!$A694,'Category Mapping'!$A$28:$A$39,0),1),INDEX('Category Mapping'!$E$28:$E$39,MATCH($A694,'Category Mapping'!$A$28:$A$39,0),1))</f>
        <v>160796335.7142857</v>
      </c>
      <c r="H694" s="27">
        <f>H114*IF($E694="weekday",INDEX('Category Mapping'!$F$28:$F$39,MATCH('Summarized Source Data'!$A694,'Category Mapping'!$A$28:$A$39,0),1),INDEX('Category Mapping'!$E$28:$E$39,MATCH($A694,'Category Mapping'!$A$28:$A$39,0),1))</f>
        <v>0</v>
      </c>
      <c r="I694" s="27">
        <f>I114*IF($E694="weekday",INDEX('Category Mapping'!$F$28:$F$39,MATCH('Summarized Source Data'!$A694,'Category Mapping'!$A$28:$A$39,0),1),INDEX('Category Mapping'!$E$28:$E$39,MATCH($A694,'Category Mapping'!$A$28:$A$39,0),1))</f>
        <v>236928571.42857143</v>
      </c>
      <c r="J694" s="27">
        <f>J114*IF($E694="weekday",INDEX('Category Mapping'!$F$28:$F$39,MATCH('Summarized Source Data'!$A694,'Category Mapping'!$A$28:$A$39,0),1),INDEX('Category Mapping'!$E$28:$E$39,MATCH($A694,'Category Mapping'!$A$28:$A$39,0),1))</f>
        <v>2370790365.7142859</v>
      </c>
      <c r="K694" s="27">
        <f>K114*IF($E694="weekday",INDEX('Category Mapping'!$F$28:$F$39,MATCH('Summarized Source Data'!$A694,'Category Mapping'!$A$28:$A$39,0),1),INDEX('Category Mapping'!$E$28:$E$39,MATCH($A694,'Category Mapping'!$A$28:$A$39,0),1))</f>
        <v>2370790365.7142859</v>
      </c>
      <c r="L694" s="27">
        <f>L114*IF($E694="weekday",INDEX('Category Mapping'!$F$28:$F$39,MATCH('Summarized Source Data'!$A694,'Category Mapping'!$A$28:$A$39,0),1),INDEX('Category Mapping'!$E$28:$E$39,MATCH($A694,'Category Mapping'!$A$28:$A$39,0),1))</f>
        <v>87626172.142857134</v>
      </c>
      <c r="M694" s="27">
        <f>M114*IF($E694="weekday",INDEX('Category Mapping'!$F$28:$F$39,MATCH('Summarized Source Data'!$A694,'Category Mapping'!$A$28:$A$39,0),1),INDEX('Category Mapping'!$E$28:$E$39,MATCH($A694,'Category Mapping'!$A$28:$A$39,0),1))</f>
        <v>407428571.4285714</v>
      </c>
      <c r="N694" s="27">
        <f>N114*IF($E694="weekday",INDEX('Category Mapping'!$F$28:$F$39,MATCH('Summarized Source Data'!$A694,'Category Mapping'!$A$28:$A$39,0),1),INDEX('Category Mapping'!$E$28:$E$39,MATCH($A694,'Category Mapping'!$A$28:$A$39,0),1))</f>
        <v>0</v>
      </c>
      <c r="O694" s="27">
        <f>O114*IF($E694="weekday",INDEX('Category Mapping'!$F$28:$F$39,MATCH('Summarized Source Data'!$A694,'Category Mapping'!$A$28:$A$39,0),1),INDEX('Category Mapping'!$E$28:$E$39,MATCH($A694,'Category Mapping'!$A$28:$A$39,0),1))</f>
        <v>11107802399.285713</v>
      </c>
      <c r="P694" s="27">
        <f>P114*IF($E694="weekday",INDEX('Category Mapping'!$F$28:$F$39,MATCH('Summarized Source Data'!$A694,'Category Mapping'!$A$28:$A$39,0),1),INDEX('Category Mapping'!$E$28:$E$39,MATCH($A694,'Category Mapping'!$A$28:$A$39,0),1))</f>
        <v>11107802399.285713</v>
      </c>
      <c r="Q694" s="27">
        <f>Q114*IF($E694="weekday",INDEX('Category Mapping'!$F$28:$F$39,MATCH('Summarized Source Data'!$A694,'Category Mapping'!$A$28:$A$39,0),1),INDEX('Category Mapping'!$E$28:$E$39,MATCH($A694,'Category Mapping'!$A$28:$A$39,0),1))</f>
        <v>11107802399.285713</v>
      </c>
      <c r="R694" s="27">
        <f>R114*IF($E694="weekday",INDEX('Category Mapping'!$F$28:$F$39,MATCH('Summarized Source Data'!$A694,'Category Mapping'!$A$28:$A$39,0),1),INDEX('Category Mapping'!$E$28:$E$39,MATCH($A694,'Category Mapping'!$A$28:$A$39,0),1))</f>
        <v>250214285.7142857</v>
      </c>
      <c r="S694" s="27">
        <f>S114*IF($E694="weekday",INDEX('Category Mapping'!$F$28:$F$39,MATCH('Summarized Source Data'!$A694,'Category Mapping'!$A$28:$A$39,0),1),INDEX('Category Mapping'!$E$28:$E$39,MATCH($A694,'Category Mapping'!$A$28:$A$39,0),1))</f>
        <v>250214285.7142857</v>
      </c>
      <c r="T694" s="27">
        <f>T114*IF($E694="weekday",INDEX('Category Mapping'!$F$28:$F$39,MATCH('Summarized Source Data'!$A694,'Category Mapping'!$A$28:$A$39,0),1),INDEX('Category Mapping'!$E$28:$E$39,MATCH($A694,'Category Mapping'!$A$28:$A$39,0),1))</f>
        <v>250214285.7142857</v>
      </c>
      <c r="U694" s="27">
        <f>U114*IF($E694="weekday",INDEX('Category Mapping'!$F$28:$F$39,MATCH('Summarized Source Data'!$A694,'Category Mapping'!$A$28:$A$39,0),1),INDEX('Category Mapping'!$E$28:$E$39,MATCH($A694,'Category Mapping'!$A$28:$A$39,0),1))</f>
        <v>250214285.7142857</v>
      </c>
      <c r="V694" s="27">
        <f>V114*IF($E694="weekday",INDEX('Category Mapping'!$F$28:$F$39,MATCH('Summarized Source Data'!$A694,'Category Mapping'!$A$28:$A$39,0),1),INDEX('Category Mapping'!$E$28:$E$39,MATCH($A694,'Category Mapping'!$A$28:$A$39,0),1))</f>
        <v>250214285.7142857</v>
      </c>
      <c r="W694" s="27">
        <f>W114*IF($E694="weekday",INDEX('Category Mapping'!$F$28:$F$39,MATCH('Summarized Source Data'!$A694,'Category Mapping'!$A$28:$A$39,0),1),INDEX('Category Mapping'!$E$28:$E$39,MATCH($A694,'Category Mapping'!$A$28:$A$39,0),1))</f>
        <v>250214285.7142857</v>
      </c>
      <c r="X694" s="27">
        <f>X114*IF($E694="weekday",INDEX('Category Mapping'!$F$28:$F$39,MATCH('Summarized Source Data'!$A694,'Category Mapping'!$A$28:$A$39,0),1),INDEX('Category Mapping'!$E$28:$E$39,MATCH($A694,'Category Mapping'!$A$28:$A$39,0),1))</f>
        <v>14614285714.285713</v>
      </c>
      <c r="Y694" s="27">
        <f>Y114*IF($E694="weekday",INDEX('Category Mapping'!$F$28:$F$39,MATCH('Summarized Source Data'!$A694,'Category Mapping'!$A$28:$A$39,0),1),INDEX('Category Mapping'!$E$28:$E$39,MATCH($A694,'Category Mapping'!$A$28:$A$39,0),1))</f>
        <v>14614285714.285713</v>
      </c>
      <c r="Z694" s="27">
        <f>Z114*IF($E694="weekday",INDEX('Category Mapping'!$F$28:$F$39,MATCH('Summarized Source Data'!$A694,'Category Mapping'!$A$28:$A$39,0),1),INDEX('Category Mapping'!$E$28:$E$39,MATCH($A694,'Category Mapping'!$A$28:$A$39,0),1))</f>
        <v>14614285714.285713</v>
      </c>
    </row>
    <row r="695" spans="1:26" x14ac:dyDescent="0.3">
      <c r="A695">
        <f t="shared" ref="A695:E695" si="160">A115</f>
        <v>5</v>
      </c>
      <c r="B695" t="str">
        <f t="shared" si="160"/>
        <v>Spring</v>
      </c>
      <c r="C695" t="str">
        <f t="shared" si="160"/>
        <v>h16</v>
      </c>
      <c r="D695" t="str">
        <f t="shared" si="160"/>
        <v>Hour15</v>
      </c>
      <c r="E695" t="str">
        <f t="shared" si="160"/>
        <v>Weekday</v>
      </c>
      <c r="F695" s="27">
        <f>F115*IF($E695="weekday",INDEX('Category Mapping'!$F$28:$F$39,MATCH('Summarized Source Data'!$A695,'Category Mapping'!$A$28:$A$39,0),1),INDEX('Category Mapping'!$E$28:$E$39,MATCH($A695,'Category Mapping'!$A$28:$A$39,0),1))</f>
        <v>45638709.285714284</v>
      </c>
      <c r="G695" s="27">
        <f>G115*IF($E695="weekday",INDEX('Category Mapping'!$F$28:$F$39,MATCH('Summarized Source Data'!$A695,'Category Mapping'!$A$28:$A$39,0),1),INDEX('Category Mapping'!$E$28:$E$39,MATCH($A695,'Category Mapping'!$A$28:$A$39,0),1))</f>
        <v>168534622.14285713</v>
      </c>
      <c r="H695" s="27">
        <f>H115*IF($E695="weekday",INDEX('Category Mapping'!$F$28:$F$39,MATCH('Summarized Source Data'!$A695,'Category Mapping'!$A$28:$A$39,0),1),INDEX('Category Mapping'!$E$28:$E$39,MATCH($A695,'Category Mapping'!$A$28:$A$39,0),1))</f>
        <v>0</v>
      </c>
      <c r="I695" s="27">
        <f>I115*IF($E695="weekday",INDEX('Category Mapping'!$F$28:$F$39,MATCH('Summarized Source Data'!$A695,'Category Mapping'!$A$28:$A$39,0),1),INDEX('Category Mapping'!$E$28:$E$39,MATCH($A695,'Category Mapping'!$A$28:$A$39,0),1))</f>
        <v>256857142.85714287</v>
      </c>
      <c r="J695" s="27">
        <f>J115*IF($E695="weekday",INDEX('Category Mapping'!$F$28:$F$39,MATCH('Summarized Source Data'!$A695,'Category Mapping'!$A$28:$A$39,0),1),INDEX('Category Mapping'!$E$28:$E$39,MATCH($A695,'Category Mapping'!$A$28:$A$39,0),1))</f>
        <v>2673255240</v>
      </c>
      <c r="K695" s="27">
        <f>K115*IF($E695="weekday",INDEX('Category Mapping'!$F$28:$F$39,MATCH('Summarized Source Data'!$A695,'Category Mapping'!$A$28:$A$39,0),1),INDEX('Category Mapping'!$E$28:$E$39,MATCH($A695,'Category Mapping'!$A$28:$A$39,0),1))</f>
        <v>2673255240</v>
      </c>
      <c r="L695" s="27">
        <f>L115*IF($E695="weekday",INDEX('Category Mapping'!$F$28:$F$39,MATCH('Summarized Source Data'!$A695,'Category Mapping'!$A$28:$A$39,0),1),INDEX('Category Mapping'!$E$28:$E$39,MATCH($A695,'Category Mapping'!$A$28:$A$39,0),1))</f>
        <v>81326795</v>
      </c>
      <c r="M695" s="27">
        <f>M115*IF($E695="weekday",INDEX('Category Mapping'!$F$28:$F$39,MATCH('Summarized Source Data'!$A695,'Category Mapping'!$A$28:$A$39,0),1),INDEX('Category Mapping'!$E$28:$E$39,MATCH($A695,'Category Mapping'!$A$28:$A$39,0),1))</f>
        <v>403000000</v>
      </c>
      <c r="N695" s="27">
        <f>N115*IF($E695="weekday",INDEX('Category Mapping'!$F$28:$F$39,MATCH('Summarized Source Data'!$A695,'Category Mapping'!$A$28:$A$39,0),1),INDEX('Category Mapping'!$E$28:$E$39,MATCH($A695,'Category Mapping'!$A$28:$A$39,0),1))</f>
        <v>0</v>
      </c>
      <c r="O695" s="27">
        <f>O115*IF($E695="weekday",INDEX('Category Mapping'!$F$28:$F$39,MATCH('Summarized Source Data'!$A695,'Category Mapping'!$A$28:$A$39,0),1),INDEX('Category Mapping'!$E$28:$E$39,MATCH($A695,'Category Mapping'!$A$28:$A$39,0),1))</f>
        <v>11118530347.857143</v>
      </c>
      <c r="P695" s="27">
        <f>P115*IF($E695="weekday",INDEX('Category Mapping'!$F$28:$F$39,MATCH('Summarized Source Data'!$A695,'Category Mapping'!$A$28:$A$39,0),1),INDEX('Category Mapping'!$E$28:$E$39,MATCH($A695,'Category Mapping'!$A$28:$A$39,0),1))</f>
        <v>11118530347.857143</v>
      </c>
      <c r="Q695" s="27">
        <f>Q115*IF($E695="weekday",INDEX('Category Mapping'!$F$28:$F$39,MATCH('Summarized Source Data'!$A695,'Category Mapping'!$A$28:$A$39,0),1),INDEX('Category Mapping'!$E$28:$E$39,MATCH($A695,'Category Mapping'!$A$28:$A$39,0),1))</f>
        <v>11118530347.857143</v>
      </c>
      <c r="R695" s="27">
        <f>R115*IF($E695="weekday",INDEX('Category Mapping'!$F$28:$F$39,MATCH('Summarized Source Data'!$A695,'Category Mapping'!$A$28:$A$39,0),1),INDEX('Category Mapping'!$E$28:$E$39,MATCH($A695,'Category Mapping'!$A$28:$A$39,0),1))</f>
        <v>296714285.71428573</v>
      </c>
      <c r="S695" s="27">
        <f>S115*IF($E695="weekday",INDEX('Category Mapping'!$F$28:$F$39,MATCH('Summarized Source Data'!$A695,'Category Mapping'!$A$28:$A$39,0),1),INDEX('Category Mapping'!$E$28:$E$39,MATCH($A695,'Category Mapping'!$A$28:$A$39,0),1))</f>
        <v>296714285.71428573</v>
      </c>
      <c r="T695" s="27">
        <f>T115*IF($E695="weekday",INDEX('Category Mapping'!$F$28:$F$39,MATCH('Summarized Source Data'!$A695,'Category Mapping'!$A$28:$A$39,0),1),INDEX('Category Mapping'!$E$28:$E$39,MATCH($A695,'Category Mapping'!$A$28:$A$39,0),1))</f>
        <v>296714285.71428573</v>
      </c>
      <c r="U695" s="27">
        <f>U115*IF($E695="weekday",INDEX('Category Mapping'!$F$28:$F$39,MATCH('Summarized Source Data'!$A695,'Category Mapping'!$A$28:$A$39,0),1),INDEX('Category Mapping'!$E$28:$E$39,MATCH($A695,'Category Mapping'!$A$28:$A$39,0),1))</f>
        <v>296714285.71428573</v>
      </c>
      <c r="V695" s="27">
        <f>V115*IF($E695="weekday",INDEX('Category Mapping'!$F$28:$F$39,MATCH('Summarized Source Data'!$A695,'Category Mapping'!$A$28:$A$39,0),1),INDEX('Category Mapping'!$E$28:$E$39,MATCH($A695,'Category Mapping'!$A$28:$A$39,0),1))</f>
        <v>296714285.71428573</v>
      </c>
      <c r="W695" s="27">
        <f>W115*IF($E695="weekday",INDEX('Category Mapping'!$F$28:$F$39,MATCH('Summarized Source Data'!$A695,'Category Mapping'!$A$28:$A$39,0),1),INDEX('Category Mapping'!$E$28:$E$39,MATCH($A695,'Category Mapping'!$A$28:$A$39,0),1))</f>
        <v>296714285.71428573</v>
      </c>
      <c r="X695" s="27">
        <f>X115*IF($E695="weekday",INDEX('Category Mapping'!$F$28:$F$39,MATCH('Summarized Source Data'!$A695,'Category Mapping'!$A$28:$A$39,0),1),INDEX('Category Mapping'!$E$28:$E$39,MATCH($A695,'Category Mapping'!$A$28:$A$39,0),1))</f>
        <v>14725000000</v>
      </c>
      <c r="Y695" s="27">
        <f>Y115*IF($E695="weekday",INDEX('Category Mapping'!$F$28:$F$39,MATCH('Summarized Source Data'!$A695,'Category Mapping'!$A$28:$A$39,0),1),INDEX('Category Mapping'!$E$28:$E$39,MATCH($A695,'Category Mapping'!$A$28:$A$39,0),1))</f>
        <v>14725000000</v>
      </c>
      <c r="Z695" s="27">
        <f>Z115*IF($E695="weekday",INDEX('Category Mapping'!$F$28:$F$39,MATCH('Summarized Source Data'!$A695,'Category Mapping'!$A$28:$A$39,0),1),INDEX('Category Mapping'!$E$28:$E$39,MATCH($A695,'Category Mapping'!$A$28:$A$39,0),1))</f>
        <v>14725000000</v>
      </c>
    </row>
    <row r="696" spans="1:26" x14ac:dyDescent="0.3">
      <c r="A696">
        <f t="shared" ref="A696:E696" si="161">A116</f>
        <v>5</v>
      </c>
      <c r="B696" t="str">
        <f t="shared" si="161"/>
        <v>Spring</v>
      </c>
      <c r="C696" t="str">
        <f t="shared" si="161"/>
        <v>h17</v>
      </c>
      <c r="D696" t="str">
        <f t="shared" si="161"/>
        <v>Hour16</v>
      </c>
      <c r="E696" t="str">
        <f t="shared" si="161"/>
        <v>Weekday</v>
      </c>
      <c r="F696" s="27">
        <f>F116*IF($E696="weekday",INDEX('Category Mapping'!$F$28:$F$39,MATCH('Summarized Source Data'!$A696,'Category Mapping'!$A$28:$A$39,0),1),INDEX('Category Mapping'!$E$28:$E$39,MATCH($A696,'Category Mapping'!$A$28:$A$39,0),1))</f>
        <v>48062090</v>
      </c>
      <c r="G696" s="27">
        <f>G116*IF($E696="weekday",INDEX('Category Mapping'!$F$28:$F$39,MATCH('Summarized Source Data'!$A696,'Category Mapping'!$A$28:$A$39,0),1),INDEX('Category Mapping'!$E$28:$E$39,MATCH($A696,'Category Mapping'!$A$28:$A$39,0),1))</f>
        <v>161411862.85714287</v>
      </c>
      <c r="H696" s="27">
        <f>H116*IF($E696="weekday",INDEX('Category Mapping'!$F$28:$F$39,MATCH('Summarized Source Data'!$A696,'Category Mapping'!$A$28:$A$39,0),1),INDEX('Category Mapping'!$E$28:$E$39,MATCH($A696,'Category Mapping'!$A$28:$A$39,0),1))</f>
        <v>0</v>
      </c>
      <c r="I696" s="27">
        <f>I116*IF($E696="weekday",INDEX('Category Mapping'!$F$28:$F$39,MATCH('Summarized Source Data'!$A696,'Category Mapping'!$A$28:$A$39,0),1),INDEX('Category Mapping'!$E$28:$E$39,MATCH($A696,'Category Mapping'!$A$28:$A$39,0),1))</f>
        <v>279000000</v>
      </c>
      <c r="J696" s="27">
        <f>J116*IF($E696="weekday",INDEX('Category Mapping'!$F$28:$F$39,MATCH('Summarized Source Data'!$A696,'Category Mapping'!$A$28:$A$39,0),1),INDEX('Category Mapping'!$E$28:$E$39,MATCH($A696,'Category Mapping'!$A$28:$A$39,0),1))</f>
        <v>3231526047.1428571</v>
      </c>
      <c r="K696" s="27">
        <f>K116*IF($E696="weekday",INDEX('Category Mapping'!$F$28:$F$39,MATCH('Summarized Source Data'!$A696,'Category Mapping'!$A$28:$A$39,0),1),INDEX('Category Mapping'!$E$28:$E$39,MATCH($A696,'Category Mapping'!$A$28:$A$39,0),1))</f>
        <v>3231526047.1428571</v>
      </c>
      <c r="L696" s="27">
        <f>L116*IF($E696="weekday",INDEX('Category Mapping'!$F$28:$F$39,MATCH('Summarized Source Data'!$A696,'Category Mapping'!$A$28:$A$39,0),1),INDEX('Category Mapping'!$E$28:$E$39,MATCH($A696,'Category Mapping'!$A$28:$A$39,0),1))</f>
        <v>74319289.285714284</v>
      </c>
      <c r="M696" s="27">
        <f>M116*IF($E696="weekday",INDEX('Category Mapping'!$F$28:$F$39,MATCH('Summarized Source Data'!$A696,'Category Mapping'!$A$28:$A$39,0),1),INDEX('Category Mapping'!$E$28:$E$39,MATCH($A696,'Category Mapping'!$A$28:$A$39,0),1))</f>
        <v>383071428.57142854</v>
      </c>
      <c r="N696" s="27">
        <f>N116*IF($E696="weekday",INDEX('Category Mapping'!$F$28:$F$39,MATCH('Summarized Source Data'!$A696,'Category Mapping'!$A$28:$A$39,0),1),INDEX('Category Mapping'!$E$28:$E$39,MATCH($A696,'Category Mapping'!$A$28:$A$39,0),1))</f>
        <v>0</v>
      </c>
      <c r="O696" s="27">
        <f>O116*IF($E696="weekday",INDEX('Category Mapping'!$F$28:$F$39,MATCH('Summarized Source Data'!$A696,'Category Mapping'!$A$28:$A$39,0),1),INDEX('Category Mapping'!$E$28:$E$39,MATCH($A696,'Category Mapping'!$A$28:$A$39,0),1))</f>
        <v>10746894996.428572</v>
      </c>
      <c r="P696" s="27">
        <f>P116*IF($E696="weekday",INDEX('Category Mapping'!$F$28:$F$39,MATCH('Summarized Source Data'!$A696,'Category Mapping'!$A$28:$A$39,0),1),INDEX('Category Mapping'!$E$28:$E$39,MATCH($A696,'Category Mapping'!$A$28:$A$39,0),1))</f>
        <v>10746894996.428572</v>
      </c>
      <c r="Q696" s="27">
        <f>Q116*IF($E696="weekday",INDEX('Category Mapping'!$F$28:$F$39,MATCH('Summarized Source Data'!$A696,'Category Mapping'!$A$28:$A$39,0),1),INDEX('Category Mapping'!$E$28:$E$39,MATCH($A696,'Category Mapping'!$A$28:$A$39,0),1))</f>
        <v>10746894996.428572</v>
      </c>
      <c r="R696" s="27">
        <f>R116*IF($E696="weekday",INDEX('Category Mapping'!$F$28:$F$39,MATCH('Summarized Source Data'!$A696,'Category Mapping'!$A$28:$A$39,0),1),INDEX('Category Mapping'!$E$28:$E$39,MATCH($A696,'Category Mapping'!$A$28:$A$39,0),1))</f>
        <v>343214285.71428573</v>
      </c>
      <c r="S696" s="27">
        <f>S116*IF($E696="weekday",INDEX('Category Mapping'!$F$28:$F$39,MATCH('Summarized Source Data'!$A696,'Category Mapping'!$A$28:$A$39,0),1),INDEX('Category Mapping'!$E$28:$E$39,MATCH($A696,'Category Mapping'!$A$28:$A$39,0),1))</f>
        <v>343214285.71428573</v>
      </c>
      <c r="T696" s="27">
        <f>T116*IF($E696="weekday",INDEX('Category Mapping'!$F$28:$F$39,MATCH('Summarized Source Data'!$A696,'Category Mapping'!$A$28:$A$39,0),1),INDEX('Category Mapping'!$E$28:$E$39,MATCH($A696,'Category Mapping'!$A$28:$A$39,0),1))</f>
        <v>343214285.71428573</v>
      </c>
      <c r="U696" s="27">
        <f>U116*IF($E696="weekday",INDEX('Category Mapping'!$F$28:$F$39,MATCH('Summarized Source Data'!$A696,'Category Mapping'!$A$28:$A$39,0),1),INDEX('Category Mapping'!$E$28:$E$39,MATCH($A696,'Category Mapping'!$A$28:$A$39,0),1))</f>
        <v>343214285.71428573</v>
      </c>
      <c r="V696" s="27">
        <f>V116*IF($E696="weekday",INDEX('Category Mapping'!$F$28:$F$39,MATCH('Summarized Source Data'!$A696,'Category Mapping'!$A$28:$A$39,0),1),INDEX('Category Mapping'!$E$28:$E$39,MATCH($A696,'Category Mapping'!$A$28:$A$39,0),1))</f>
        <v>343214285.71428573</v>
      </c>
      <c r="W696" s="27">
        <f>W116*IF($E696="weekday",INDEX('Category Mapping'!$F$28:$F$39,MATCH('Summarized Source Data'!$A696,'Category Mapping'!$A$28:$A$39,0),1),INDEX('Category Mapping'!$E$28:$E$39,MATCH($A696,'Category Mapping'!$A$28:$A$39,0),1))</f>
        <v>343214285.71428573</v>
      </c>
      <c r="X696" s="27">
        <f>X116*IF($E696="weekday",INDEX('Category Mapping'!$F$28:$F$39,MATCH('Summarized Source Data'!$A696,'Category Mapping'!$A$28:$A$39,0),1),INDEX('Category Mapping'!$E$28:$E$39,MATCH($A696,'Category Mapping'!$A$28:$A$39,0),1))</f>
        <v>14880000000</v>
      </c>
      <c r="Y696" s="27">
        <f>Y116*IF($E696="weekday",INDEX('Category Mapping'!$F$28:$F$39,MATCH('Summarized Source Data'!$A696,'Category Mapping'!$A$28:$A$39,0),1),INDEX('Category Mapping'!$E$28:$E$39,MATCH($A696,'Category Mapping'!$A$28:$A$39,0),1))</f>
        <v>14880000000</v>
      </c>
      <c r="Z696" s="27">
        <f>Z116*IF($E696="weekday",INDEX('Category Mapping'!$F$28:$F$39,MATCH('Summarized Source Data'!$A696,'Category Mapping'!$A$28:$A$39,0),1),INDEX('Category Mapping'!$E$28:$E$39,MATCH($A696,'Category Mapping'!$A$28:$A$39,0),1))</f>
        <v>14880000000</v>
      </c>
    </row>
    <row r="697" spans="1:26" x14ac:dyDescent="0.3">
      <c r="A697">
        <f t="shared" ref="A697:E697" si="162">A117</f>
        <v>5</v>
      </c>
      <c r="B697" t="str">
        <f t="shared" si="162"/>
        <v>Spring</v>
      </c>
      <c r="C697" t="str">
        <f t="shared" si="162"/>
        <v>h18</v>
      </c>
      <c r="D697" t="str">
        <f t="shared" si="162"/>
        <v>Hour17</v>
      </c>
      <c r="E697" t="str">
        <f t="shared" si="162"/>
        <v>Weekday</v>
      </c>
      <c r="F697" s="27">
        <f>F117*IF($E697="weekday",INDEX('Category Mapping'!$F$28:$F$39,MATCH('Summarized Source Data'!$A697,'Category Mapping'!$A$28:$A$39,0),1),INDEX('Category Mapping'!$E$28:$E$39,MATCH($A697,'Category Mapping'!$A$28:$A$39,0),1))</f>
        <v>50724547.142857142</v>
      </c>
      <c r="G697" s="27">
        <f>G117*IF($E697="weekday",INDEX('Category Mapping'!$F$28:$F$39,MATCH('Summarized Source Data'!$A697,'Category Mapping'!$A$28:$A$39,0),1),INDEX('Category Mapping'!$E$28:$E$39,MATCH($A697,'Category Mapping'!$A$28:$A$39,0),1))</f>
        <v>137765151.42857143</v>
      </c>
      <c r="H697" s="27">
        <f>H117*IF($E697="weekday",INDEX('Category Mapping'!$F$28:$F$39,MATCH('Summarized Source Data'!$A697,'Category Mapping'!$A$28:$A$39,0),1),INDEX('Category Mapping'!$E$28:$E$39,MATCH($A697,'Category Mapping'!$A$28:$A$39,0),1))</f>
        <v>0</v>
      </c>
      <c r="I697" s="27">
        <f>I117*IF($E697="weekday",INDEX('Category Mapping'!$F$28:$F$39,MATCH('Summarized Source Data'!$A697,'Category Mapping'!$A$28:$A$39,0),1),INDEX('Category Mapping'!$E$28:$E$39,MATCH($A697,'Category Mapping'!$A$28:$A$39,0),1))</f>
        <v>354285714.28571427</v>
      </c>
      <c r="J697" s="27">
        <f>J117*IF($E697="weekday",INDEX('Category Mapping'!$F$28:$F$39,MATCH('Summarized Source Data'!$A697,'Category Mapping'!$A$28:$A$39,0),1),INDEX('Category Mapping'!$E$28:$E$39,MATCH($A697,'Category Mapping'!$A$28:$A$39,0),1))</f>
        <v>3553653158.5714283</v>
      </c>
      <c r="K697" s="27">
        <f>K117*IF($E697="weekday",INDEX('Category Mapping'!$F$28:$F$39,MATCH('Summarized Source Data'!$A697,'Category Mapping'!$A$28:$A$39,0),1),INDEX('Category Mapping'!$E$28:$E$39,MATCH($A697,'Category Mapping'!$A$28:$A$39,0),1))</f>
        <v>3553653158.5714283</v>
      </c>
      <c r="L697" s="27">
        <f>L117*IF($E697="weekday",INDEX('Category Mapping'!$F$28:$F$39,MATCH('Summarized Source Data'!$A697,'Category Mapping'!$A$28:$A$39,0),1),INDEX('Category Mapping'!$E$28:$E$39,MATCH($A697,'Category Mapping'!$A$28:$A$39,0),1))</f>
        <v>79225770</v>
      </c>
      <c r="M697" s="27">
        <f>M117*IF($E697="weekday",INDEX('Category Mapping'!$F$28:$F$39,MATCH('Summarized Source Data'!$A697,'Category Mapping'!$A$28:$A$39,0),1),INDEX('Category Mapping'!$E$28:$E$39,MATCH($A697,'Category Mapping'!$A$28:$A$39,0),1))</f>
        <v>349857142.85714287</v>
      </c>
      <c r="N697" s="27">
        <f>N117*IF($E697="weekday",INDEX('Category Mapping'!$F$28:$F$39,MATCH('Summarized Source Data'!$A697,'Category Mapping'!$A$28:$A$39,0),1),INDEX('Category Mapping'!$E$28:$E$39,MATCH($A697,'Category Mapping'!$A$28:$A$39,0),1))</f>
        <v>0</v>
      </c>
      <c r="O697" s="27">
        <f>O117*IF($E697="weekday",INDEX('Category Mapping'!$F$28:$F$39,MATCH('Summarized Source Data'!$A697,'Category Mapping'!$A$28:$A$39,0),1),INDEX('Category Mapping'!$E$28:$E$39,MATCH($A697,'Category Mapping'!$A$28:$A$39,0),1))</f>
        <v>10110917087.142857</v>
      </c>
      <c r="P697" s="27">
        <f>P117*IF($E697="weekday",INDEX('Category Mapping'!$F$28:$F$39,MATCH('Summarized Source Data'!$A697,'Category Mapping'!$A$28:$A$39,0),1),INDEX('Category Mapping'!$E$28:$E$39,MATCH($A697,'Category Mapping'!$A$28:$A$39,0),1))</f>
        <v>10110917087.142857</v>
      </c>
      <c r="Q697" s="27">
        <f>Q117*IF($E697="weekday",INDEX('Category Mapping'!$F$28:$F$39,MATCH('Summarized Source Data'!$A697,'Category Mapping'!$A$28:$A$39,0),1),INDEX('Category Mapping'!$E$28:$E$39,MATCH($A697,'Category Mapping'!$A$28:$A$39,0),1))</f>
        <v>10110917087.142857</v>
      </c>
      <c r="R697" s="27">
        <f>R117*IF($E697="weekday",INDEX('Category Mapping'!$F$28:$F$39,MATCH('Summarized Source Data'!$A697,'Category Mapping'!$A$28:$A$39,0),1),INDEX('Category Mapping'!$E$28:$E$39,MATCH($A697,'Category Mapping'!$A$28:$A$39,0),1))</f>
        <v>363142857.14285713</v>
      </c>
      <c r="S697" s="27">
        <f>S117*IF($E697="weekday",INDEX('Category Mapping'!$F$28:$F$39,MATCH('Summarized Source Data'!$A697,'Category Mapping'!$A$28:$A$39,0),1),INDEX('Category Mapping'!$E$28:$E$39,MATCH($A697,'Category Mapping'!$A$28:$A$39,0),1))</f>
        <v>363142857.14285713</v>
      </c>
      <c r="T697" s="27">
        <f>T117*IF($E697="weekday",INDEX('Category Mapping'!$F$28:$F$39,MATCH('Summarized Source Data'!$A697,'Category Mapping'!$A$28:$A$39,0),1),INDEX('Category Mapping'!$E$28:$E$39,MATCH($A697,'Category Mapping'!$A$28:$A$39,0),1))</f>
        <v>363142857.14285713</v>
      </c>
      <c r="U697" s="27">
        <f>U117*IF($E697="weekday",INDEX('Category Mapping'!$F$28:$F$39,MATCH('Summarized Source Data'!$A697,'Category Mapping'!$A$28:$A$39,0),1),INDEX('Category Mapping'!$E$28:$E$39,MATCH($A697,'Category Mapping'!$A$28:$A$39,0),1))</f>
        <v>363142857.14285713</v>
      </c>
      <c r="V697" s="27">
        <f>V117*IF($E697="weekday",INDEX('Category Mapping'!$F$28:$F$39,MATCH('Summarized Source Data'!$A697,'Category Mapping'!$A$28:$A$39,0),1),INDEX('Category Mapping'!$E$28:$E$39,MATCH($A697,'Category Mapping'!$A$28:$A$39,0),1))</f>
        <v>363142857.14285713</v>
      </c>
      <c r="W697" s="27">
        <f>W117*IF($E697="weekday",INDEX('Category Mapping'!$F$28:$F$39,MATCH('Summarized Source Data'!$A697,'Category Mapping'!$A$28:$A$39,0),1),INDEX('Category Mapping'!$E$28:$E$39,MATCH($A697,'Category Mapping'!$A$28:$A$39,0),1))</f>
        <v>363142857.14285713</v>
      </c>
      <c r="X697" s="27">
        <f>X117*IF($E697="weekday",INDEX('Category Mapping'!$F$28:$F$39,MATCH('Summarized Source Data'!$A697,'Category Mapping'!$A$28:$A$39,0),1),INDEX('Category Mapping'!$E$28:$E$39,MATCH($A697,'Category Mapping'!$A$28:$A$39,0),1))</f>
        <v>14902142857.142857</v>
      </c>
      <c r="Y697" s="27">
        <f>Y117*IF($E697="weekday",INDEX('Category Mapping'!$F$28:$F$39,MATCH('Summarized Source Data'!$A697,'Category Mapping'!$A$28:$A$39,0),1),INDEX('Category Mapping'!$E$28:$E$39,MATCH($A697,'Category Mapping'!$A$28:$A$39,0),1))</f>
        <v>14902142857.142857</v>
      </c>
      <c r="Z697" s="27">
        <f>Z117*IF($E697="weekday",INDEX('Category Mapping'!$F$28:$F$39,MATCH('Summarized Source Data'!$A697,'Category Mapping'!$A$28:$A$39,0),1),INDEX('Category Mapping'!$E$28:$E$39,MATCH($A697,'Category Mapping'!$A$28:$A$39,0),1))</f>
        <v>14902142857.142857</v>
      </c>
    </row>
    <row r="698" spans="1:26" x14ac:dyDescent="0.3">
      <c r="A698">
        <f t="shared" ref="A698:E698" si="163">A118</f>
        <v>5</v>
      </c>
      <c r="B698" t="str">
        <f t="shared" si="163"/>
        <v>Spring</v>
      </c>
      <c r="C698" t="str">
        <f t="shared" si="163"/>
        <v>h19</v>
      </c>
      <c r="D698" t="str">
        <f t="shared" si="163"/>
        <v>Hour18</v>
      </c>
      <c r="E698" t="str">
        <f t="shared" si="163"/>
        <v>Weekday</v>
      </c>
      <c r="F698" s="27">
        <f>F118*IF($E698="weekday",INDEX('Category Mapping'!$F$28:$F$39,MATCH('Summarized Source Data'!$A698,'Category Mapping'!$A$28:$A$39,0),1),INDEX('Category Mapping'!$E$28:$E$39,MATCH($A698,'Category Mapping'!$A$28:$A$39,0),1))</f>
        <v>53752737.857142858</v>
      </c>
      <c r="G698" s="27">
        <f>G118*IF($E698="weekday",INDEX('Category Mapping'!$F$28:$F$39,MATCH('Summarized Source Data'!$A698,'Category Mapping'!$A$28:$A$39,0),1),INDEX('Category Mapping'!$E$28:$E$39,MATCH($A698,'Category Mapping'!$A$28:$A$39,0),1))</f>
        <v>98440411.428571433</v>
      </c>
      <c r="H698" s="27">
        <f>H118*IF($E698="weekday",INDEX('Category Mapping'!$F$28:$F$39,MATCH('Summarized Source Data'!$A698,'Category Mapping'!$A$28:$A$39,0),1),INDEX('Category Mapping'!$E$28:$E$39,MATCH($A698,'Category Mapping'!$A$28:$A$39,0),1))</f>
        <v>0</v>
      </c>
      <c r="I698" s="27">
        <f>I118*IF($E698="weekday",INDEX('Category Mapping'!$F$28:$F$39,MATCH('Summarized Source Data'!$A698,'Category Mapping'!$A$28:$A$39,0),1),INDEX('Category Mapping'!$E$28:$E$39,MATCH($A698,'Category Mapping'!$A$28:$A$39,0),1))</f>
        <v>1034071428.5714285</v>
      </c>
      <c r="J698" s="27">
        <f>J118*IF($E698="weekday",INDEX('Category Mapping'!$F$28:$F$39,MATCH('Summarized Source Data'!$A698,'Category Mapping'!$A$28:$A$39,0),1),INDEX('Category Mapping'!$E$28:$E$39,MATCH($A698,'Category Mapping'!$A$28:$A$39,0),1))</f>
        <v>3463735422.1428571</v>
      </c>
      <c r="K698" s="27">
        <f>K118*IF($E698="weekday",INDEX('Category Mapping'!$F$28:$F$39,MATCH('Summarized Source Data'!$A698,'Category Mapping'!$A$28:$A$39,0),1),INDEX('Category Mapping'!$E$28:$E$39,MATCH($A698,'Category Mapping'!$A$28:$A$39,0),1))</f>
        <v>3463735422.1428571</v>
      </c>
      <c r="L698" s="27">
        <f>L118*IF($E698="weekday",INDEX('Category Mapping'!$F$28:$F$39,MATCH('Summarized Source Data'!$A698,'Category Mapping'!$A$28:$A$39,0),1),INDEX('Category Mapping'!$E$28:$E$39,MATCH($A698,'Category Mapping'!$A$28:$A$39,0),1))</f>
        <v>89273888.571428567</v>
      </c>
      <c r="M698" s="27">
        <f>M118*IF($E698="weekday",INDEX('Category Mapping'!$F$28:$F$39,MATCH('Summarized Source Data'!$A698,'Category Mapping'!$A$28:$A$39,0),1),INDEX('Category Mapping'!$E$28:$E$39,MATCH($A698,'Category Mapping'!$A$28:$A$39,0),1))</f>
        <v>314428571.4285714</v>
      </c>
      <c r="N698" s="27">
        <f>N118*IF($E698="weekday",INDEX('Category Mapping'!$F$28:$F$39,MATCH('Summarized Source Data'!$A698,'Category Mapping'!$A$28:$A$39,0),1),INDEX('Category Mapping'!$E$28:$E$39,MATCH($A698,'Category Mapping'!$A$28:$A$39,0),1))</f>
        <v>0</v>
      </c>
      <c r="O698" s="27">
        <f>O118*IF($E698="weekday",INDEX('Category Mapping'!$F$28:$F$39,MATCH('Summarized Source Data'!$A698,'Category Mapping'!$A$28:$A$39,0),1),INDEX('Category Mapping'!$E$28:$E$39,MATCH($A698,'Category Mapping'!$A$28:$A$39,0),1))</f>
        <v>9604868968.5714283</v>
      </c>
      <c r="P698" s="27">
        <f>P118*IF($E698="weekday",INDEX('Category Mapping'!$F$28:$F$39,MATCH('Summarized Source Data'!$A698,'Category Mapping'!$A$28:$A$39,0),1),INDEX('Category Mapping'!$E$28:$E$39,MATCH($A698,'Category Mapping'!$A$28:$A$39,0),1))</f>
        <v>9604868968.5714283</v>
      </c>
      <c r="Q698" s="27">
        <f>Q118*IF($E698="weekday",INDEX('Category Mapping'!$F$28:$F$39,MATCH('Summarized Source Data'!$A698,'Category Mapping'!$A$28:$A$39,0),1),INDEX('Category Mapping'!$E$28:$E$39,MATCH($A698,'Category Mapping'!$A$28:$A$39,0),1))</f>
        <v>9604868968.5714283</v>
      </c>
      <c r="R698" s="27">
        <f>R118*IF($E698="weekday",INDEX('Category Mapping'!$F$28:$F$39,MATCH('Summarized Source Data'!$A698,'Category Mapping'!$A$28:$A$39,0),1),INDEX('Category Mapping'!$E$28:$E$39,MATCH($A698,'Category Mapping'!$A$28:$A$39,0),1))</f>
        <v>334357142.85714287</v>
      </c>
      <c r="S698" s="27">
        <f>S118*IF($E698="weekday",INDEX('Category Mapping'!$F$28:$F$39,MATCH('Summarized Source Data'!$A698,'Category Mapping'!$A$28:$A$39,0),1),INDEX('Category Mapping'!$E$28:$E$39,MATCH($A698,'Category Mapping'!$A$28:$A$39,0),1))</f>
        <v>334357142.85714287</v>
      </c>
      <c r="T698" s="27">
        <f>T118*IF($E698="weekday",INDEX('Category Mapping'!$F$28:$F$39,MATCH('Summarized Source Data'!$A698,'Category Mapping'!$A$28:$A$39,0),1),INDEX('Category Mapping'!$E$28:$E$39,MATCH($A698,'Category Mapping'!$A$28:$A$39,0),1))</f>
        <v>334357142.85714287</v>
      </c>
      <c r="U698" s="27">
        <f>U118*IF($E698="weekday",INDEX('Category Mapping'!$F$28:$F$39,MATCH('Summarized Source Data'!$A698,'Category Mapping'!$A$28:$A$39,0),1),INDEX('Category Mapping'!$E$28:$E$39,MATCH($A698,'Category Mapping'!$A$28:$A$39,0),1))</f>
        <v>334357142.85714287</v>
      </c>
      <c r="V698" s="27">
        <f>V118*IF($E698="weekday",INDEX('Category Mapping'!$F$28:$F$39,MATCH('Summarized Source Data'!$A698,'Category Mapping'!$A$28:$A$39,0),1),INDEX('Category Mapping'!$E$28:$E$39,MATCH($A698,'Category Mapping'!$A$28:$A$39,0),1))</f>
        <v>334357142.85714287</v>
      </c>
      <c r="W698" s="27">
        <f>W118*IF($E698="weekday",INDEX('Category Mapping'!$F$28:$F$39,MATCH('Summarized Source Data'!$A698,'Category Mapping'!$A$28:$A$39,0),1),INDEX('Category Mapping'!$E$28:$E$39,MATCH($A698,'Category Mapping'!$A$28:$A$39,0),1))</f>
        <v>334357142.85714287</v>
      </c>
      <c r="X698" s="27">
        <f>X118*IF($E698="weekday",INDEX('Category Mapping'!$F$28:$F$39,MATCH('Summarized Source Data'!$A698,'Category Mapping'!$A$28:$A$39,0),1),INDEX('Category Mapping'!$E$28:$E$39,MATCH($A698,'Category Mapping'!$A$28:$A$39,0),1))</f>
        <v>14835714285.714285</v>
      </c>
      <c r="Y698" s="27">
        <f>Y118*IF($E698="weekday",INDEX('Category Mapping'!$F$28:$F$39,MATCH('Summarized Source Data'!$A698,'Category Mapping'!$A$28:$A$39,0),1),INDEX('Category Mapping'!$E$28:$E$39,MATCH($A698,'Category Mapping'!$A$28:$A$39,0),1))</f>
        <v>14835714285.714285</v>
      </c>
      <c r="Z698" s="27">
        <f>Z118*IF($E698="weekday",INDEX('Category Mapping'!$F$28:$F$39,MATCH('Summarized Source Data'!$A698,'Category Mapping'!$A$28:$A$39,0),1),INDEX('Category Mapping'!$E$28:$E$39,MATCH($A698,'Category Mapping'!$A$28:$A$39,0),1))</f>
        <v>14835714285.714285</v>
      </c>
    </row>
    <row r="699" spans="1:26" x14ac:dyDescent="0.3">
      <c r="A699">
        <f t="shared" ref="A699:E699" si="164">A119</f>
        <v>5</v>
      </c>
      <c r="B699" t="str">
        <f t="shared" si="164"/>
        <v>Spring</v>
      </c>
      <c r="C699" t="str">
        <f t="shared" si="164"/>
        <v>h20</v>
      </c>
      <c r="D699" t="str">
        <f t="shared" si="164"/>
        <v>Hour19</v>
      </c>
      <c r="E699" t="str">
        <f t="shared" si="164"/>
        <v>Weekday</v>
      </c>
      <c r="F699" s="27">
        <f>F119*IF($E699="weekday",INDEX('Category Mapping'!$F$28:$F$39,MATCH('Summarized Source Data'!$A699,'Category Mapping'!$A$28:$A$39,0),1),INDEX('Category Mapping'!$E$28:$E$39,MATCH($A699,'Category Mapping'!$A$28:$A$39,0),1))</f>
        <v>56423210.714285716</v>
      </c>
      <c r="G699" s="27">
        <f>G119*IF($E699="weekday",INDEX('Category Mapping'!$F$28:$F$39,MATCH('Summarized Source Data'!$A699,'Category Mapping'!$A$28:$A$39,0),1),INDEX('Category Mapping'!$E$28:$E$39,MATCH($A699,'Category Mapping'!$A$28:$A$39,0),1))</f>
        <v>45549805.714285716</v>
      </c>
      <c r="H699" s="27">
        <f>H119*IF($E699="weekday",INDEX('Category Mapping'!$F$28:$F$39,MATCH('Summarized Source Data'!$A699,'Category Mapping'!$A$28:$A$39,0),1),INDEX('Category Mapping'!$E$28:$E$39,MATCH($A699,'Category Mapping'!$A$28:$A$39,0),1))</f>
        <v>0</v>
      </c>
      <c r="I699" s="27">
        <f>I119*IF($E699="weekday",INDEX('Category Mapping'!$F$28:$F$39,MATCH('Summarized Source Data'!$A699,'Category Mapping'!$A$28:$A$39,0),1),INDEX('Category Mapping'!$E$28:$E$39,MATCH($A699,'Category Mapping'!$A$28:$A$39,0),1))</f>
        <v>1200142857.1428571</v>
      </c>
      <c r="J699" s="27">
        <f>J119*IF($E699="weekday",INDEX('Category Mapping'!$F$28:$F$39,MATCH('Summarized Source Data'!$A699,'Category Mapping'!$A$28:$A$39,0),1),INDEX('Category Mapping'!$E$28:$E$39,MATCH($A699,'Category Mapping'!$A$28:$A$39,0),1))</f>
        <v>3303598412.1428571</v>
      </c>
      <c r="K699" s="27">
        <f>K119*IF($E699="weekday",INDEX('Category Mapping'!$F$28:$F$39,MATCH('Summarized Source Data'!$A699,'Category Mapping'!$A$28:$A$39,0),1),INDEX('Category Mapping'!$E$28:$E$39,MATCH($A699,'Category Mapping'!$A$28:$A$39,0),1))</f>
        <v>3303598412.1428571</v>
      </c>
      <c r="L699" s="27">
        <f>L119*IF($E699="weekday",INDEX('Category Mapping'!$F$28:$F$39,MATCH('Summarized Source Data'!$A699,'Category Mapping'!$A$28:$A$39,0),1),INDEX('Category Mapping'!$E$28:$E$39,MATCH($A699,'Category Mapping'!$A$28:$A$39,0),1))</f>
        <v>104407512.85714285</v>
      </c>
      <c r="M699" s="27">
        <f>M119*IF($E699="weekday",INDEX('Category Mapping'!$F$28:$F$39,MATCH('Summarized Source Data'!$A699,'Category Mapping'!$A$28:$A$39,0),1),INDEX('Category Mapping'!$E$28:$E$39,MATCH($A699,'Category Mapping'!$A$28:$A$39,0),1))</f>
        <v>272357142.85714287</v>
      </c>
      <c r="N699" s="27">
        <f>N119*IF($E699="weekday",INDEX('Category Mapping'!$F$28:$F$39,MATCH('Summarized Source Data'!$A699,'Category Mapping'!$A$28:$A$39,0),1),INDEX('Category Mapping'!$E$28:$E$39,MATCH($A699,'Category Mapping'!$A$28:$A$39,0),1))</f>
        <v>0</v>
      </c>
      <c r="O699" s="27">
        <f>O119*IF($E699="weekday",INDEX('Category Mapping'!$F$28:$F$39,MATCH('Summarized Source Data'!$A699,'Category Mapping'!$A$28:$A$39,0),1),INDEX('Category Mapping'!$E$28:$E$39,MATCH($A699,'Category Mapping'!$A$28:$A$39,0),1))</f>
        <v>8037521058.5714283</v>
      </c>
      <c r="P699" s="27">
        <f>P119*IF($E699="weekday",INDEX('Category Mapping'!$F$28:$F$39,MATCH('Summarized Source Data'!$A699,'Category Mapping'!$A$28:$A$39,0),1),INDEX('Category Mapping'!$E$28:$E$39,MATCH($A699,'Category Mapping'!$A$28:$A$39,0),1))</f>
        <v>8037521058.5714283</v>
      </c>
      <c r="Q699" s="27">
        <f>Q119*IF($E699="weekday",INDEX('Category Mapping'!$F$28:$F$39,MATCH('Summarized Source Data'!$A699,'Category Mapping'!$A$28:$A$39,0),1),INDEX('Category Mapping'!$E$28:$E$39,MATCH($A699,'Category Mapping'!$A$28:$A$39,0),1))</f>
        <v>8037521058.5714283</v>
      </c>
      <c r="R699" s="27">
        <f>R119*IF($E699="weekday",INDEX('Category Mapping'!$F$28:$F$39,MATCH('Summarized Source Data'!$A699,'Category Mapping'!$A$28:$A$39,0),1),INDEX('Category Mapping'!$E$28:$E$39,MATCH($A699,'Category Mapping'!$A$28:$A$39,0),1))</f>
        <v>272357142.85714287</v>
      </c>
      <c r="S699" s="27">
        <f>S119*IF($E699="weekday",INDEX('Category Mapping'!$F$28:$F$39,MATCH('Summarized Source Data'!$A699,'Category Mapping'!$A$28:$A$39,0),1),INDEX('Category Mapping'!$E$28:$E$39,MATCH($A699,'Category Mapping'!$A$28:$A$39,0),1))</f>
        <v>272357142.85714287</v>
      </c>
      <c r="T699" s="27">
        <f>T119*IF($E699="weekday",INDEX('Category Mapping'!$F$28:$F$39,MATCH('Summarized Source Data'!$A699,'Category Mapping'!$A$28:$A$39,0),1),INDEX('Category Mapping'!$E$28:$E$39,MATCH($A699,'Category Mapping'!$A$28:$A$39,0),1))</f>
        <v>272357142.85714287</v>
      </c>
      <c r="U699" s="27">
        <f>U119*IF($E699="weekday",INDEX('Category Mapping'!$F$28:$F$39,MATCH('Summarized Source Data'!$A699,'Category Mapping'!$A$28:$A$39,0),1),INDEX('Category Mapping'!$E$28:$E$39,MATCH($A699,'Category Mapping'!$A$28:$A$39,0),1))</f>
        <v>272357142.85714287</v>
      </c>
      <c r="V699" s="27">
        <f>V119*IF($E699="weekday",INDEX('Category Mapping'!$F$28:$F$39,MATCH('Summarized Source Data'!$A699,'Category Mapping'!$A$28:$A$39,0),1),INDEX('Category Mapping'!$E$28:$E$39,MATCH($A699,'Category Mapping'!$A$28:$A$39,0),1))</f>
        <v>272357142.85714287</v>
      </c>
      <c r="W699" s="27">
        <f>W119*IF($E699="weekday",INDEX('Category Mapping'!$F$28:$F$39,MATCH('Summarized Source Data'!$A699,'Category Mapping'!$A$28:$A$39,0),1),INDEX('Category Mapping'!$E$28:$E$39,MATCH($A699,'Category Mapping'!$A$28:$A$39,0),1))</f>
        <v>272357142.85714287</v>
      </c>
      <c r="X699" s="27">
        <f>X119*IF($E699="weekday",INDEX('Category Mapping'!$F$28:$F$39,MATCH('Summarized Source Data'!$A699,'Category Mapping'!$A$28:$A$39,0),1),INDEX('Category Mapping'!$E$28:$E$39,MATCH($A699,'Category Mapping'!$A$28:$A$39,0),1))</f>
        <v>14747142857.142857</v>
      </c>
      <c r="Y699" s="27">
        <f>Y119*IF($E699="weekday",INDEX('Category Mapping'!$F$28:$F$39,MATCH('Summarized Source Data'!$A699,'Category Mapping'!$A$28:$A$39,0),1),INDEX('Category Mapping'!$E$28:$E$39,MATCH($A699,'Category Mapping'!$A$28:$A$39,0),1))</f>
        <v>14747142857.142857</v>
      </c>
      <c r="Z699" s="27">
        <f>Z119*IF($E699="weekday",INDEX('Category Mapping'!$F$28:$F$39,MATCH('Summarized Source Data'!$A699,'Category Mapping'!$A$28:$A$39,0),1),INDEX('Category Mapping'!$E$28:$E$39,MATCH($A699,'Category Mapping'!$A$28:$A$39,0),1))</f>
        <v>14747142857.142857</v>
      </c>
    </row>
    <row r="700" spans="1:26" x14ac:dyDescent="0.3">
      <c r="A700">
        <f t="shared" ref="A700:E700" si="165">A120</f>
        <v>5</v>
      </c>
      <c r="B700" t="str">
        <f t="shared" si="165"/>
        <v>Spring</v>
      </c>
      <c r="C700" t="str">
        <f t="shared" si="165"/>
        <v>h21</v>
      </c>
      <c r="D700" t="str">
        <f t="shared" si="165"/>
        <v>Hour20</v>
      </c>
      <c r="E700" t="str">
        <f t="shared" si="165"/>
        <v>Weekday</v>
      </c>
      <c r="F700" s="27">
        <f>F120*IF($E700="weekday",INDEX('Category Mapping'!$F$28:$F$39,MATCH('Summarized Source Data'!$A700,'Category Mapping'!$A$28:$A$39,0),1),INDEX('Category Mapping'!$E$28:$E$39,MATCH($A700,'Category Mapping'!$A$28:$A$39,0),1))</f>
        <v>57015045</v>
      </c>
      <c r="G700" s="27">
        <f>G120*IF($E700="weekday",INDEX('Category Mapping'!$F$28:$F$39,MATCH('Summarized Source Data'!$A700,'Category Mapping'!$A$28:$A$39,0),1),INDEX('Category Mapping'!$E$28:$E$39,MATCH($A700,'Category Mapping'!$A$28:$A$39,0),1))</f>
        <v>2517288.5714285714</v>
      </c>
      <c r="H700" s="27">
        <f>H120*IF($E700="weekday",INDEX('Category Mapping'!$F$28:$F$39,MATCH('Summarized Source Data'!$A700,'Category Mapping'!$A$28:$A$39,0),1),INDEX('Category Mapping'!$E$28:$E$39,MATCH($A700,'Category Mapping'!$A$28:$A$39,0),1))</f>
        <v>0</v>
      </c>
      <c r="I700" s="27">
        <f>I120*IF($E700="weekday",INDEX('Category Mapping'!$F$28:$F$39,MATCH('Summarized Source Data'!$A700,'Category Mapping'!$A$28:$A$39,0),1),INDEX('Category Mapping'!$E$28:$E$39,MATCH($A700,'Category Mapping'!$A$28:$A$39,0),1))</f>
        <v>1217857142.8571429</v>
      </c>
      <c r="J700" s="27">
        <f>J120*IF($E700="weekday",INDEX('Category Mapping'!$F$28:$F$39,MATCH('Summarized Source Data'!$A700,'Category Mapping'!$A$28:$A$39,0),1),INDEX('Category Mapping'!$E$28:$E$39,MATCH($A700,'Category Mapping'!$A$28:$A$39,0),1))</f>
        <v>3217610523.5714283</v>
      </c>
      <c r="K700" s="27">
        <f>K120*IF($E700="weekday",INDEX('Category Mapping'!$F$28:$F$39,MATCH('Summarized Source Data'!$A700,'Category Mapping'!$A$28:$A$39,0),1),INDEX('Category Mapping'!$E$28:$E$39,MATCH($A700,'Category Mapping'!$A$28:$A$39,0),1))</f>
        <v>3217610523.5714283</v>
      </c>
      <c r="L700" s="27">
        <f>L120*IF($E700="weekday",INDEX('Category Mapping'!$F$28:$F$39,MATCH('Summarized Source Data'!$A700,'Category Mapping'!$A$28:$A$39,0),1),INDEX('Category Mapping'!$E$28:$E$39,MATCH($A700,'Category Mapping'!$A$28:$A$39,0),1))</f>
        <v>138466083.57142857</v>
      </c>
      <c r="M700" s="27">
        <f>M120*IF($E700="weekday",INDEX('Category Mapping'!$F$28:$F$39,MATCH('Summarized Source Data'!$A700,'Category Mapping'!$A$28:$A$39,0),1),INDEX('Category Mapping'!$E$28:$E$39,MATCH($A700,'Category Mapping'!$A$28:$A$39,0),1))</f>
        <v>239142857.14285713</v>
      </c>
      <c r="N700" s="27">
        <f>N120*IF($E700="weekday",INDEX('Category Mapping'!$F$28:$F$39,MATCH('Summarized Source Data'!$A700,'Category Mapping'!$A$28:$A$39,0),1),INDEX('Category Mapping'!$E$28:$E$39,MATCH($A700,'Category Mapping'!$A$28:$A$39,0),1))</f>
        <v>0</v>
      </c>
      <c r="O700" s="27">
        <f>O120*IF($E700="weekday",INDEX('Category Mapping'!$F$28:$F$39,MATCH('Summarized Source Data'!$A700,'Category Mapping'!$A$28:$A$39,0),1),INDEX('Category Mapping'!$E$28:$E$39,MATCH($A700,'Category Mapping'!$A$28:$A$39,0),1))</f>
        <v>6663819630.7142859</v>
      </c>
      <c r="P700" s="27">
        <f>P120*IF($E700="weekday",INDEX('Category Mapping'!$F$28:$F$39,MATCH('Summarized Source Data'!$A700,'Category Mapping'!$A$28:$A$39,0),1),INDEX('Category Mapping'!$E$28:$E$39,MATCH($A700,'Category Mapping'!$A$28:$A$39,0),1))</f>
        <v>6663819630.7142859</v>
      </c>
      <c r="Q700" s="27">
        <f>Q120*IF($E700="weekday",INDEX('Category Mapping'!$F$28:$F$39,MATCH('Summarized Source Data'!$A700,'Category Mapping'!$A$28:$A$39,0),1),INDEX('Category Mapping'!$E$28:$E$39,MATCH($A700,'Category Mapping'!$A$28:$A$39,0),1))</f>
        <v>6663819630.7142859</v>
      </c>
      <c r="R700" s="27">
        <f>R120*IF($E700="weekday",INDEX('Category Mapping'!$F$28:$F$39,MATCH('Summarized Source Data'!$A700,'Category Mapping'!$A$28:$A$39,0),1),INDEX('Category Mapping'!$E$28:$E$39,MATCH($A700,'Category Mapping'!$A$28:$A$39,0),1))</f>
        <v>248000000</v>
      </c>
      <c r="S700" s="27">
        <f>S120*IF($E700="weekday",INDEX('Category Mapping'!$F$28:$F$39,MATCH('Summarized Source Data'!$A700,'Category Mapping'!$A$28:$A$39,0),1),INDEX('Category Mapping'!$E$28:$E$39,MATCH($A700,'Category Mapping'!$A$28:$A$39,0),1))</f>
        <v>248000000</v>
      </c>
      <c r="T700" s="27">
        <f>T120*IF($E700="weekday",INDEX('Category Mapping'!$F$28:$F$39,MATCH('Summarized Source Data'!$A700,'Category Mapping'!$A$28:$A$39,0),1),INDEX('Category Mapping'!$E$28:$E$39,MATCH($A700,'Category Mapping'!$A$28:$A$39,0),1))</f>
        <v>248000000</v>
      </c>
      <c r="U700" s="27">
        <f>U120*IF($E700="weekday",INDEX('Category Mapping'!$F$28:$F$39,MATCH('Summarized Source Data'!$A700,'Category Mapping'!$A$28:$A$39,0),1),INDEX('Category Mapping'!$E$28:$E$39,MATCH($A700,'Category Mapping'!$A$28:$A$39,0),1))</f>
        <v>248000000</v>
      </c>
      <c r="V700" s="27">
        <f>V120*IF($E700="weekday",INDEX('Category Mapping'!$F$28:$F$39,MATCH('Summarized Source Data'!$A700,'Category Mapping'!$A$28:$A$39,0),1),INDEX('Category Mapping'!$E$28:$E$39,MATCH($A700,'Category Mapping'!$A$28:$A$39,0),1))</f>
        <v>248000000</v>
      </c>
      <c r="W700" s="27">
        <f>W120*IF($E700="weekday",INDEX('Category Mapping'!$F$28:$F$39,MATCH('Summarized Source Data'!$A700,'Category Mapping'!$A$28:$A$39,0),1),INDEX('Category Mapping'!$E$28:$E$39,MATCH($A700,'Category Mapping'!$A$28:$A$39,0),1))</f>
        <v>248000000</v>
      </c>
      <c r="X700" s="27">
        <f>X120*IF($E700="weekday",INDEX('Category Mapping'!$F$28:$F$39,MATCH('Summarized Source Data'!$A700,'Category Mapping'!$A$28:$A$39,0),1),INDEX('Category Mapping'!$E$28:$E$39,MATCH($A700,'Category Mapping'!$A$28:$A$39,0),1))</f>
        <v>14636428571.428572</v>
      </c>
      <c r="Y700" s="27">
        <f>Y120*IF($E700="weekday",INDEX('Category Mapping'!$F$28:$F$39,MATCH('Summarized Source Data'!$A700,'Category Mapping'!$A$28:$A$39,0),1),INDEX('Category Mapping'!$E$28:$E$39,MATCH($A700,'Category Mapping'!$A$28:$A$39,0),1))</f>
        <v>14636428571.428572</v>
      </c>
      <c r="Z700" s="27">
        <f>Z120*IF($E700="weekday",INDEX('Category Mapping'!$F$28:$F$39,MATCH('Summarized Source Data'!$A700,'Category Mapping'!$A$28:$A$39,0),1),INDEX('Category Mapping'!$E$28:$E$39,MATCH($A700,'Category Mapping'!$A$28:$A$39,0),1))</f>
        <v>14636428571.428572</v>
      </c>
    </row>
    <row r="701" spans="1:26" x14ac:dyDescent="0.3">
      <c r="A701">
        <f t="shared" ref="A701:E701" si="166">A121</f>
        <v>5</v>
      </c>
      <c r="B701" t="str">
        <f t="shared" si="166"/>
        <v>Spring</v>
      </c>
      <c r="C701" t="str">
        <f t="shared" si="166"/>
        <v>h22</v>
      </c>
      <c r="D701" t="str">
        <f t="shared" si="166"/>
        <v>Hour21</v>
      </c>
      <c r="E701" t="str">
        <f t="shared" si="166"/>
        <v>Weekday</v>
      </c>
      <c r="F701" s="27">
        <f>F121*IF($E701="weekday",INDEX('Category Mapping'!$F$28:$F$39,MATCH('Summarized Source Data'!$A701,'Category Mapping'!$A$28:$A$39,0),1),INDEX('Category Mapping'!$E$28:$E$39,MATCH($A701,'Category Mapping'!$A$28:$A$39,0),1))</f>
        <v>50087873.571428567</v>
      </c>
      <c r="G701" s="27">
        <f>G121*IF($E701="weekday",INDEX('Category Mapping'!$F$28:$F$39,MATCH('Summarized Source Data'!$A701,'Category Mapping'!$A$28:$A$39,0),1),INDEX('Category Mapping'!$E$28:$E$39,MATCH($A701,'Category Mapping'!$A$28:$A$39,0),1))</f>
        <v>89745</v>
      </c>
      <c r="H701" s="27">
        <f>H121*IF($E701="weekday",INDEX('Category Mapping'!$F$28:$F$39,MATCH('Summarized Source Data'!$A701,'Category Mapping'!$A$28:$A$39,0),1),INDEX('Category Mapping'!$E$28:$E$39,MATCH($A701,'Category Mapping'!$A$28:$A$39,0),1))</f>
        <v>0</v>
      </c>
      <c r="I701" s="27">
        <f>I121*IF($E701="weekday",INDEX('Category Mapping'!$F$28:$F$39,MATCH('Summarized Source Data'!$A701,'Category Mapping'!$A$28:$A$39,0),1),INDEX('Category Mapping'!$E$28:$E$39,MATCH($A701,'Category Mapping'!$A$28:$A$39,0),1))</f>
        <v>998642857.14285707</v>
      </c>
      <c r="J701" s="27">
        <f>J121*IF($E701="weekday",INDEX('Category Mapping'!$F$28:$F$39,MATCH('Summarized Source Data'!$A701,'Category Mapping'!$A$28:$A$39,0),1),INDEX('Category Mapping'!$E$28:$E$39,MATCH($A701,'Category Mapping'!$A$28:$A$39,0),1))</f>
        <v>3180465238.5714283</v>
      </c>
      <c r="K701" s="27">
        <f>K121*IF($E701="weekday",INDEX('Category Mapping'!$F$28:$F$39,MATCH('Summarized Source Data'!$A701,'Category Mapping'!$A$28:$A$39,0),1),INDEX('Category Mapping'!$E$28:$E$39,MATCH($A701,'Category Mapping'!$A$28:$A$39,0),1))</f>
        <v>3180465238.5714283</v>
      </c>
      <c r="L701" s="27">
        <f>L121*IF($E701="weekday",INDEX('Category Mapping'!$F$28:$F$39,MATCH('Summarized Source Data'!$A701,'Category Mapping'!$A$28:$A$39,0),1),INDEX('Category Mapping'!$E$28:$E$39,MATCH($A701,'Category Mapping'!$A$28:$A$39,0),1))</f>
        <v>122818435</v>
      </c>
      <c r="M701" s="27">
        <f>M121*IF($E701="weekday",INDEX('Category Mapping'!$F$28:$F$39,MATCH('Summarized Source Data'!$A701,'Category Mapping'!$A$28:$A$39,0),1),INDEX('Category Mapping'!$E$28:$E$39,MATCH($A701,'Category Mapping'!$A$28:$A$39,0),1))</f>
        <v>223642857.14285713</v>
      </c>
      <c r="N701" s="27">
        <f>N121*IF($E701="weekday",INDEX('Category Mapping'!$F$28:$F$39,MATCH('Summarized Source Data'!$A701,'Category Mapping'!$A$28:$A$39,0),1),INDEX('Category Mapping'!$E$28:$E$39,MATCH($A701,'Category Mapping'!$A$28:$A$39,0),1))</f>
        <v>0</v>
      </c>
      <c r="O701" s="27">
        <f>O121*IF($E701="weekday",INDEX('Category Mapping'!$F$28:$F$39,MATCH('Summarized Source Data'!$A701,'Category Mapping'!$A$28:$A$39,0),1),INDEX('Category Mapping'!$E$28:$E$39,MATCH($A701,'Category Mapping'!$A$28:$A$39,0),1))</f>
        <v>5410681565</v>
      </c>
      <c r="P701" s="27">
        <f>P121*IF($E701="weekday",INDEX('Category Mapping'!$F$28:$F$39,MATCH('Summarized Source Data'!$A701,'Category Mapping'!$A$28:$A$39,0),1),INDEX('Category Mapping'!$E$28:$E$39,MATCH($A701,'Category Mapping'!$A$28:$A$39,0),1))</f>
        <v>5410681565</v>
      </c>
      <c r="Q701" s="27">
        <f>Q121*IF($E701="weekday",INDEX('Category Mapping'!$F$28:$F$39,MATCH('Summarized Source Data'!$A701,'Category Mapping'!$A$28:$A$39,0),1),INDEX('Category Mapping'!$E$28:$E$39,MATCH($A701,'Category Mapping'!$A$28:$A$39,0),1))</f>
        <v>5410681565</v>
      </c>
      <c r="R701" s="27">
        <f>R121*IF($E701="weekday",INDEX('Category Mapping'!$F$28:$F$39,MATCH('Summarized Source Data'!$A701,'Category Mapping'!$A$28:$A$39,0),1),INDEX('Category Mapping'!$E$28:$E$39,MATCH($A701,'Category Mapping'!$A$28:$A$39,0),1))</f>
        <v>232500000</v>
      </c>
      <c r="S701" s="27">
        <f>S121*IF($E701="weekday",INDEX('Category Mapping'!$F$28:$F$39,MATCH('Summarized Source Data'!$A701,'Category Mapping'!$A$28:$A$39,0),1),INDEX('Category Mapping'!$E$28:$E$39,MATCH($A701,'Category Mapping'!$A$28:$A$39,0),1))</f>
        <v>232500000</v>
      </c>
      <c r="T701" s="27">
        <f>T121*IF($E701="weekday",INDEX('Category Mapping'!$F$28:$F$39,MATCH('Summarized Source Data'!$A701,'Category Mapping'!$A$28:$A$39,0),1),INDEX('Category Mapping'!$E$28:$E$39,MATCH($A701,'Category Mapping'!$A$28:$A$39,0),1))</f>
        <v>232500000</v>
      </c>
      <c r="U701" s="27">
        <f>U121*IF($E701="weekday",INDEX('Category Mapping'!$F$28:$F$39,MATCH('Summarized Source Data'!$A701,'Category Mapping'!$A$28:$A$39,0),1),INDEX('Category Mapping'!$E$28:$E$39,MATCH($A701,'Category Mapping'!$A$28:$A$39,0),1))</f>
        <v>232500000</v>
      </c>
      <c r="V701" s="27">
        <f>V121*IF($E701="weekday",INDEX('Category Mapping'!$F$28:$F$39,MATCH('Summarized Source Data'!$A701,'Category Mapping'!$A$28:$A$39,0),1),INDEX('Category Mapping'!$E$28:$E$39,MATCH($A701,'Category Mapping'!$A$28:$A$39,0),1))</f>
        <v>232500000</v>
      </c>
      <c r="W701" s="27">
        <f>W121*IF($E701="weekday",INDEX('Category Mapping'!$F$28:$F$39,MATCH('Summarized Source Data'!$A701,'Category Mapping'!$A$28:$A$39,0),1),INDEX('Category Mapping'!$E$28:$E$39,MATCH($A701,'Category Mapping'!$A$28:$A$39,0),1))</f>
        <v>232500000</v>
      </c>
      <c r="X701" s="27">
        <f>X121*IF($E701="weekday",INDEX('Category Mapping'!$F$28:$F$39,MATCH('Summarized Source Data'!$A701,'Category Mapping'!$A$28:$A$39,0),1),INDEX('Category Mapping'!$E$28:$E$39,MATCH($A701,'Category Mapping'!$A$28:$A$39,0),1))</f>
        <v>14525714285.714285</v>
      </c>
      <c r="Y701" s="27">
        <f>Y121*IF($E701="weekday",INDEX('Category Mapping'!$F$28:$F$39,MATCH('Summarized Source Data'!$A701,'Category Mapping'!$A$28:$A$39,0),1),INDEX('Category Mapping'!$E$28:$E$39,MATCH($A701,'Category Mapping'!$A$28:$A$39,0),1))</f>
        <v>14525714285.714285</v>
      </c>
      <c r="Z701" s="27">
        <f>Z121*IF($E701="weekday",INDEX('Category Mapping'!$F$28:$F$39,MATCH('Summarized Source Data'!$A701,'Category Mapping'!$A$28:$A$39,0),1),INDEX('Category Mapping'!$E$28:$E$39,MATCH($A701,'Category Mapping'!$A$28:$A$39,0),1))</f>
        <v>14525714285.714285</v>
      </c>
    </row>
    <row r="702" spans="1:26" x14ac:dyDescent="0.3">
      <c r="A702">
        <f t="shared" ref="A702:E702" si="167">A122</f>
        <v>5</v>
      </c>
      <c r="B702" t="str">
        <f t="shared" si="167"/>
        <v>Spring</v>
      </c>
      <c r="C702" t="str">
        <f t="shared" si="167"/>
        <v>h23</v>
      </c>
      <c r="D702" t="str">
        <f t="shared" si="167"/>
        <v>Hour22</v>
      </c>
      <c r="E702" t="str">
        <f t="shared" si="167"/>
        <v>Weekday</v>
      </c>
      <c r="F702" s="27">
        <f>F122*IF($E702="weekday",INDEX('Category Mapping'!$F$28:$F$39,MATCH('Summarized Source Data'!$A702,'Category Mapping'!$A$28:$A$39,0),1),INDEX('Category Mapping'!$E$28:$E$39,MATCH($A702,'Category Mapping'!$A$28:$A$39,0),1))</f>
        <v>37399706.428571425</v>
      </c>
      <c r="G702" s="27">
        <f>G122*IF($E702="weekday",INDEX('Category Mapping'!$F$28:$F$39,MATCH('Summarized Source Data'!$A702,'Category Mapping'!$A$28:$A$39,0),1),INDEX('Category Mapping'!$E$28:$E$39,MATCH($A702,'Category Mapping'!$A$28:$A$39,0),1))</f>
        <v>93553.57142857142</v>
      </c>
      <c r="H702" s="27">
        <f>H122*IF($E702="weekday",INDEX('Category Mapping'!$F$28:$F$39,MATCH('Summarized Source Data'!$A702,'Category Mapping'!$A$28:$A$39,0),1),INDEX('Category Mapping'!$E$28:$E$39,MATCH($A702,'Category Mapping'!$A$28:$A$39,0),1))</f>
        <v>0</v>
      </c>
      <c r="I702" s="27">
        <f>I122*IF($E702="weekday",INDEX('Category Mapping'!$F$28:$F$39,MATCH('Summarized Source Data'!$A702,'Category Mapping'!$A$28:$A$39,0),1),INDEX('Category Mapping'!$E$28:$E$39,MATCH($A702,'Category Mapping'!$A$28:$A$39,0),1))</f>
        <v>593428571.42857146</v>
      </c>
      <c r="J702" s="27">
        <f>J122*IF($E702="weekday",INDEX('Category Mapping'!$F$28:$F$39,MATCH('Summarized Source Data'!$A702,'Category Mapping'!$A$28:$A$39,0),1),INDEX('Category Mapping'!$E$28:$E$39,MATCH($A702,'Category Mapping'!$A$28:$A$39,0),1))</f>
        <v>2491221025.7142859</v>
      </c>
      <c r="K702" s="27">
        <f>K122*IF($E702="weekday",INDEX('Category Mapping'!$F$28:$F$39,MATCH('Summarized Source Data'!$A702,'Category Mapping'!$A$28:$A$39,0),1),INDEX('Category Mapping'!$E$28:$E$39,MATCH($A702,'Category Mapping'!$A$28:$A$39,0),1))</f>
        <v>2491221025.7142859</v>
      </c>
      <c r="L702" s="27">
        <f>L122*IF($E702="weekday",INDEX('Category Mapping'!$F$28:$F$39,MATCH('Summarized Source Data'!$A702,'Category Mapping'!$A$28:$A$39,0),1),INDEX('Category Mapping'!$E$28:$E$39,MATCH($A702,'Category Mapping'!$A$28:$A$39,0),1))</f>
        <v>94635161.428571433</v>
      </c>
      <c r="M702" s="27">
        <f>M122*IF($E702="weekday",INDEX('Category Mapping'!$F$28:$F$39,MATCH('Summarized Source Data'!$A702,'Category Mapping'!$A$28:$A$39,0),1),INDEX('Category Mapping'!$E$28:$E$39,MATCH($A702,'Category Mapping'!$A$28:$A$39,0),1))</f>
        <v>206780252.14285713</v>
      </c>
      <c r="N702" s="27">
        <f>N122*IF($E702="weekday",INDEX('Category Mapping'!$F$28:$F$39,MATCH('Summarized Source Data'!$A702,'Category Mapping'!$A$28:$A$39,0),1),INDEX('Category Mapping'!$E$28:$E$39,MATCH($A702,'Category Mapping'!$A$28:$A$39,0),1))</f>
        <v>0</v>
      </c>
      <c r="O702" s="27">
        <f>O122*IF($E702="weekday",INDEX('Category Mapping'!$F$28:$F$39,MATCH('Summarized Source Data'!$A702,'Category Mapping'!$A$28:$A$39,0),1),INDEX('Category Mapping'!$E$28:$E$39,MATCH($A702,'Category Mapping'!$A$28:$A$39,0),1))</f>
        <v>4547870300.7142859</v>
      </c>
      <c r="P702" s="27">
        <f>P122*IF($E702="weekday",INDEX('Category Mapping'!$F$28:$F$39,MATCH('Summarized Source Data'!$A702,'Category Mapping'!$A$28:$A$39,0),1),INDEX('Category Mapping'!$E$28:$E$39,MATCH($A702,'Category Mapping'!$A$28:$A$39,0),1))</f>
        <v>4547870300.7142859</v>
      </c>
      <c r="Q702" s="27">
        <f>Q122*IF($E702="weekday",INDEX('Category Mapping'!$F$28:$F$39,MATCH('Summarized Source Data'!$A702,'Category Mapping'!$A$28:$A$39,0),1),INDEX('Category Mapping'!$E$28:$E$39,MATCH($A702,'Category Mapping'!$A$28:$A$39,0),1))</f>
        <v>4547870300.7142859</v>
      </c>
      <c r="R702" s="27">
        <f>R122*IF($E702="weekday",INDEX('Category Mapping'!$F$28:$F$39,MATCH('Summarized Source Data'!$A702,'Category Mapping'!$A$28:$A$39,0),1),INDEX('Category Mapping'!$E$28:$E$39,MATCH($A702,'Category Mapping'!$A$28:$A$39,0),1))</f>
        <v>219005478.57142857</v>
      </c>
      <c r="S702" s="27">
        <f>S122*IF($E702="weekday",INDEX('Category Mapping'!$F$28:$F$39,MATCH('Summarized Source Data'!$A702,'Category Mapping'!$A$28:$A$39,0),1),INDEX('Category Mapping'!$E$28:$E$39,MATCH($A702,'Category Mapping'!$A$28:$A$39,0),1))</f>
        <v>219005478.57142857</v>
      </c>
      <c r="T702" s="27">
        <f>T122*IF($E702="weekday",INDEX('Category Mapping'!$F$28:$F$39,MATCH('Summarized Source Data'!$A702,'Category Mapping'!$A$28:$A$39,0),1),INDEX('Category Mapping'!$E$28:$E$39,MATCH($A702,'Category Mapping'!$A$28:$A$39,0),1))</f>
        <v>219005478.57142857</v>
      </c>
      <c r="U702" s="27">
        <f>U122*IF($E702="weekday",INDEX('Category Mapping'!$F$28:$F$39,MATCH('Summarized Source Data'!$A702,'Category Mapping'!$A$28:$A$39,0),1),INDEX('Category Mapping'!$E$28:$E$39,MATCH($A702,'Category Mapping'!$A$28:$A$39,0),1))</f>
        <v>219005478.57142857</v>
      </c>
      <c r="V702" s="27">
        <f>V122*IF($E702="weekday",INDEX('Category Mapping'!$F$28:$F$39,MATCH('Summarized Source Data'!$A702,'Category Mapping'!$A$28:$A$39,0),1),INDEX('Category Mapping'!$E$28:$E$39,MATCH($A702,'Category Mapping'!$A$28:$A$39,0),1))</f>
        <v>219005478.57142857</v>
      </c>
      <c r="W702" s="27">
        <f>W122*IF($E702="weekday",INDEX('Category Mapping'!$F$28:$F$39,MATCH('Summarized Source Data'!$A702,'Category Mapping'!$A$28:$A$39,0),1),INDEX('Category Mapping'!$E$28:$E$39,MATCH($A702,'Category Mapping'!$A$28:$A$39,0),1))</f>
        <v>219005478.57142857</v>
      </c>
      <c r="X702" s="27">
        <f>X122*IF($E702="weekday",INDEX('Category Mapping'!$F$28:$F$39,MATCH('Summarized Source Data'!$A702,'Category Mapping'!$A$28:$A$39,0),1),INDEX('Category Mapping'!$E$28:$E$39,MATCH($A702,'Category Mapping'!$A$28:$A$39,0),1))</f>
        <v>14392857142.857143</v>
      </c>
      <c r="Y702" s="27">
        <f>Y122*IF($E702="weekday",INDEX('Category Mapping'!$F$28:$F$39,MATCH('Summarized Source Data'!$A702,'Category Mapping'!$A$28:$A$39,0),1),INDEX('Category Mapping'!$E$28:$E$39,MATCH($A702,'Category Mapping'!$A$28:$A$39,0),1))</f>
        <v>14392857142.857143</v>
      </c>
      <c r="Z702" s="27">
        <f>Z122*IF($E702="weekday",INDEX('Category Mapping'!$F$28:$F$39,MATCH('Summarized Source Data'!$A702,'Category Mapping'!$A$28:$A$39,0),1),INDEX('Category Mapping'!$E$28:$E$39,MATCH($A702,'Category Mapping'!$A$28:$A$39,0),1))</f>
        <v>14392857142.857143</v>
      </c>
    </row>
    <row r="703" spans="1:26" x14ac:dyDescent="0.3">
      <c r="A703">
        <f t="shared" ref="A703:E703" si="168">A123</f>
        <v>5</v>
      </c>
      <c r="B703" t="str">
        <f t="shared" si="168"/>
        <v>Spring</v>
      </c>
      <c r="C703" t="str">
        <f t="shared" si="168"/>
        <v>h24</v>
      </c>
      <c r="D703" t="str">
        <f t="shared" si="168"/>
        <v>Hour23</v>
      </c>
      <c r="E703" t="str">
        <f t="shared" si="168"/>
        <v>Weekday</v>
      </c>
      <c r="F703" s="27">
        <f>F123*IF($E703="weekday",INDEX('Category Mapping'!$F$28:$F$39,MATCH('Summarized Source Data'!$A703,'Category Mapping'!$A$28:$A$39,0),1),INDEX('Category Mapping'!$E$28:$E$39,MATCH($A703,'Category Mapping'!$A$28:$A$39,0),1))</f>
        <v>33452852.857142858</v>
      </c>
      <c r="G703" s="27">
        <f>G123*IF($E703="weekday",INDEX('Category Mapping'!$F$28:$F$39,MATCH('Summarized Source Data'!$A703,'Category Mapping'!$A$28:$A$39,0),1),INDEX('Category Mapping'!$E$28:$E$39,MATCH($A703,'Category Mapping'!$A$28:$A$39,0),1))</f>
        <v>96122.142857142855</v>
      </c>
      <c r="H703" s="27">
        <f>H123*IF($E703="weekday",INDEX('Category Mapping'!$F$28:$F$39,MATCH('Summarized Source Data'!$A703,'Category Mapping'!$A$28:$A$39,0),1),INDEX('Category Mapping'!$E$28:$E$39,MATCH($A703,'Category Mapping'!$A$28:$A$39,0),1))</f>
        <v>0</v>
      </c>
      <c r="I703" s="27">
        <f>I123*IF($E703="weekday",INDEX('Category Mapping'!$F$28:$F$39,MATCH('Summarized Source Data'!$A703,'Category Mapping'!$A$28:$A$39,0),1),INDEX('Category Mapping'!$E$28:$E$39,MATCH($A703,'Category Mapping'!$A$28:$A$39,0),1))</f>
        <v>312214285.71428573</v>
      </c>
      <c r="J703" s="27">
        <f>J123*IF($E703="weekday",INDEX('Category Mapping'!$F$28:$F$39,MATCH('Summarized Source Data'!$A703,'Category Mapping'!$A$28:$A$39,0),1),INDEX('Category Mapping'!$E$28:$E$39,MATCH($A703,'Category Mapping'!$A$28:$A$39,0),1))</f>
        <v>2001379596.4285715</v>
      </c>
      <c r="K703" s="27">
        <f>K123*IF($E703="weekday",INDEX('Category Mapping'!$F$28:$F$39,MATCH('Summarized Source Data'!$A703,'Category Mapping'!$A$28:$A$39,0),1),INDEX('Category Mapping'!$E$28:$E$39,MATCH($A703,'Category Mapping'!$A$28:$A$39,0),1))</f>
        <v>2001379596.4285715</v>
      </c>
      <c r="L703" s="27">
        <f>L123*IF($E703="weekday",INDEX('Category Mapping'!$F$28:$F$39,MATCH('Summarized Source Data'!$A703,'Category Mapping'!$A$28:$A$39,0),1),INDEX('Category Mapping'!$E$28:$E$39,MATCH($A703,'Category Mapping'!$A$28:$A$39,0),1))</f>
        <v>100391307.85714285</v>
      </c>
      <c r="M703" s="27">
        <f>M123*IF($E703="weekday",INDEX('Category Mapping'!$F$28:$F$39,MATCH('Summarized Source Data'!$A703,'Category Mapping'!$A$28:$A$39,0),1),INDEX('Category Mapping'!$E$28:$E$39,MATCH($A703,'Category Mapping'!$A$28:$A$39,0),1))</f>
        <v>182743184.28571427</v>
      </c>
      <c r="N703" s="27">
        <f>N123*IF($E703="weekday",INDEX('Category Mapping'!$F$28:$F$39,MATCH('Summarized Source Data'!$A703,'Category Mapping'!$A$28:$A$39,0),1),INDEX('Category Mapping'!$E$28:$E$39,MATCH($A703,'Category Mapping'!$A$28:$A$39,0),1))</f>
        <v>0</v>
      </c>
      <c r="O703" s="27">
        <f>O123*IF($E703="weekday",INDEX('Category Mapping'!$F$28:$F$39,MATCH('Summarized Source Data'!$A703,'Category Mapping'!$A$28:$A$39,0),1),INDEX('Category Mapping'!$E$28:$E$39,MATCH($A703,'Category Mapping'!$A$28:$A$39,0),1))</f>
        <v>3990436936.4285712</v>
      </c>
      <c r="P703" s="27">
        <f>P123*IF($E703="weekday",INDEX('Category Mapping'!$F$28:$F$39,MATCH('Summarized Source Data'!$A703,'Category Mapping'!$A$28:$A$39,0),1),INDEX('Category Mapping'!$E$28:$E$39,MATCH($A703,'Category Mapping'!$A$28:$A$39,0),1))</f>
        <v>3990436936.4285712</v>
      </c>
      <c r="Q703" s="27">
        <f>Q123*IF($E703="weekday",INDEX('Category Mapping'!$F$28:$F$39,MATCH('Summarized Source Data'!$A703,'Category Mapping'!$A$28:$A$39,0),1),INDEX('Category Mapping'!$E$28:$E$39,MATCH($A703,'Category Mapping'!$A$28:$A$39,0),1))</f>
        <v>3990436936.4285712</v>
      </c>
      <c r="R703" s="27">
        <f>R123*IF($E703="weekday",INDEX('Category Mapping'!$F$28:$F$39,MATCH('Summarized Source Data'!$A703,'Category Mapping'!$A$28:$A$39,0),1),INDEX('Category Mapping'!$E$28:$E$39,MATCH($A703,'Category Mapping'!$A$28:$A$39,0),1))</f>
        <v>147463125</v>
      </c>
      <c r="S703" s="27">
        <f>S123*IF($E703="weekday",INDEX('Category Mapping'!$F$28:$F$39,MATCH('Summarized Source Data'!$A703,'Category Mapping'!$A$28:$A$39,0),1),INDEX('Category Mapping'!$E$28:$E$39,MATCH($A703,'Category Mapping'!$A$28:$A$39,0),1))</f>
        <v>147463125</v>
      </c>
      <c r="T703" s="27">
        <f>T123*IF($E703="weekday",INDEX('Category Mapping'!$F$28:$F$39,MATCH('Summarized Source Data'!$A703,'Category Mapping'!$A$28:$A$39,0),1),INDEX('Category Mapping'!$E$28:$E$39,MATCH($A703,'Category Mapping'!$A$28:$A$39,0),1))</f>
        <v>147463125</v>
      </c>
      <c r="U703" s="27">
        <f>U123*IF($E703="weekday",INDEX('Category Mapping'!$F$28:$F$39,MATCH('Summarized Source Data'!$A703,'Category Mapping'!$A$28:$A$39,0),1),INDEX('Category Mapping'!$E$28:$E$39,MATCH($A703,'Category Mapping'!$A$28:$A$39,0),1))</f>
        <v>147463125</v>
      </c>
      <c r="V703" s="27">
        <f>V123*IF($E703="weekday",INDEX('Category Mapping'!$F$28:$F$39,MATCH('Summarized Source Data'!$A703,'Category Mapping'!$A$28:$A$39,0),1),INDEX('Category Mapping'!$E$28:$E$39,MATCH($A703,'Category Mapping'!$A$28:$A$39,0),1))</f>
        <v>147463125</v>
      </c>
      <c r="W703" s="27">
        <f>W123*IF($E703="weekday",INDEX('Category Mapping'!$F$28:$F$39,MATCH('Summarized Source Data'!$A703,'Category Mapping'!$A$28:$A$39,0),1),INDEX('Category Mapping'!$E$28:$E$39,MATCH($A703,'Category Mapping'!$A$28:$A$39,0),1))</f>
        <v>147463125</v>
      </c>
      <c r="X703" s="27">
        <f>X123*IF($E703="weekday",INDEX('Category Mapping'!$F$28:$F$39,MATCH('Summarized Source Data'!$A703,'Category Mapping'!$A$28:$A$39,0),1),INDEX('Category Mapping'!$E$28:$E$39,MATCH($A703,'Category Mapping'!$A$28:$A$39,0),1))</f>
        <v>14326428571.428572</v>
      </c>
      <c r="Y703" s="27">
        <f>Y123*IF($E703="weekday",INDEX('Category Mapping'!$F$28:$F$39,MATCH('Summarized Source Data'!$A703,'Category Mapping'!$A$28:$A$39,0),1),INDEX('Category Mapping'!$E$28:$E$39,MATCH($A703,'Category Mapping'!$A$28:$A$39,0),1))</f>
        <v>14326428571.428572</v>
      </c>
      <c r="Z703" s="27">
        <f>Z123*IF($E703="weekday",INDEX('Category Mapping'!$F$28:$F$39,MATCH('Summarized Source Data'!$A703,'Category Mapping'!$A$28:$A$39,0),1),INDEX('Category Mapping'!$E$28:$E$39,MATCH($A703,'Category Mapping'!$A$28:$A$39,0),1))</f>
        <v>14326428571.428572</v>
      </c>
    </row>
    <row r="704" spans="1:26" x14ac:dyDescent="0.3">
      <c r="A704">
        <f t="shared" ref="A704:E704" si="169">A124</f>
        <v>6</v>
      </c>
      <c r="B704" t="str">
        <f t="shared" si="169"/>
        <v>Summer</v>
      </c>
      <c r="C704" t="str">
        <f t="shared" si="169"/>
        <v>h1</v>
      </c>
      <c r="D704" t="str">
        <f t="shared" si="169"/>
        <v>Hour0</v>
      </c>
      <c r="E704" t="str">
        <f t="shared" si="169"/>
        <v>Weekday</v>
      </c>
      <c r="F704" s="27">
        <f>F124*IF($E704="weekday",INDEX('Category Mapping'!$F$28:$F$39,MATCH('Summarized Source Data'!$A704,'Category Mapping'!$A$28:$A$39,0),1),INDEX('Category Mapping'!$E$28:$E$39,MATCH($A704,'Category Mapping'!$A$28:$A$39,0),1))</f>
        <v>5572285.7142857146</v>
      </c>
      <c r="G704" s="27">
        <f>G124*IF($E704="weekday",INDEX('Category Mapping'!$F$28:$F$39,MATCH('Summarized Source Data'!$A704,'Category Mapping'!$A$28:$A$39,0),1),INDEX('Category Mapping'!$E$28:$E$39,MATCH($A704,'Category Mapping'!$A$28:$A$39,0),1))</f>
        <v>81418135.714285716</v>
      </c>
      <c r="H704" s="27">
        <f>H124*IF($E704="weekday",INDEX('Category Mapping'!$F$28:$F$39,MATCH('Summarized Source Data'!$A704,'Category Mapping'!$A$28:$A$39,0),1),INDEX('Category Mapping'!$E$28:$E$39,MATCH($A704,'Category Mapping'!$A$28:$A$39,0),1))</f>
        <v>0</v>
      </c>
      <c r="I704" s="27">
        <f>I124*IF($E704="weekday",INDEX('Category Mapping'!$F$28:$F$39,MATCH('Summarized Source Data'!$A704,'Category Mapping'!$A$28:$A$39,0),1),INDEX('Category Mapping'!$E$28:$E$39,MATCH($A704,'Category Mapping'!$A$28:$A$39,0),1))</f>
        <v>216428571.42857146</v>
      </c>
      <c r="J704" s="27">
        <f>J124*IF($E704="weekday",INDEX('Category Mapping'!$F$28:$F$39,MATCH('Summarized Source Data'!$A704,'Category Mapping'!$A$28:$A$39,0),1),INDEX('Category Mapping'!$E$28:$E$39,MATCH($A704,'Category Mapping'!$A$28:$A$39,0),1))</f>
        <v>1552295292.8571429</v>
      </c>
      <c r="K704" s="27">
        <f>K124*IF($E704="weekday",INDEX('Category Mapping'!$F$28:$F$39,MATCH('Summarized Source Data'!$A704,'Category Mapping'!$A$28:$A$39,0),1),INDEX('Category Mapping'!$E$28:$E$39,MATCH($A704,'Category Mapping'!$A$28:$A$39,0),1))</f>
        <v>1552295292.8571429</v>
      </c>
      <c r="L704" s="27">
        <f>L124*IF($E704="weekday",INDEX('Category Mapping'!$F$28:$F$39,MATCH('Summarized Source Data'!$A704,'Category Mapping'!$A$28:$A$39,0),1),INDEX('Category Mapping'!$E$28:$E$39,MATCH($A704,'Category Mapping'!$A$28:$A$39,0),1))</f>
        <v>23688792.857142858</v>
      </c>
      <c r="M704" s="27">
        <f>M124*IF($E704="weekday",INDEX('Category Mapping'!$F$28:$F$39,MATCH('Summarized Source Data'!$A704,'Category Mapping'!$A$28:$A$39,0),1),INDEX('Category Mapping'!$E$28:$E$39,MATCH($A704,'Category Mapping'!$A$28:$A$39,0),1))</f>
        <v>1448571428.5714288</v>
      </c>
      <c r="N704" s="27">
        <f>N124*IF($E704="weekday",INDEX('Category Mapping'!$F$28:$F$39,MATCH('Summarized Source Data'!$A704,'Category Mapping'!$A$28:$A$39,0),1),INDEX('Category Mapping'!$E$28:$E$39,MATCH($A704,'Category Mapping'!$A$28:$A$39,0),1))</f>
        <v>0</v>
      </c>
      <c r="O704" s="27">
        <f>O124*IF($E704="weekday",INDEX('Category Mapping'!$F$28:$F$39,MATCH('Summarized Source Data'!$A704,'Category Mapping'!$A$28:$A$39,0),1),INDEX('Category Mapping'!$E$28:$E$39,MATCH($A704,'Category Mapping'!$A$28:$A$39,0),1))</f>
        <v>3242025492.8571434</v>
      </c>
      <c r="P704" s="27">
        <f>P124*IF($E704="weekday",INDEX('Category Mapping'!$F$28:$F$39,MATCH('Summarized Source Data'!$A704,'Category Mapping'!$A$28:$A$39,0),1),INDEX('Category Mapping'!$E$28:$E$39,MATCH($A704,'Category Mapping'!$A$28:$A$39,0),1))</f>
        <v>3242025492.8571434</v>
      </c>
      <c r="Q704" s="27">
        <f>Q124*IF($E704="weekday",INDEX('Category Mapping'!$F$28:$F$39,MATCH('Summarized Source Data'!$A704,'Category Mapping'!$A$28:$A$39,0),1),INDEX('Category Mapping'!$E$28:$E$39,MATCH($A704,'Category Mapping'!$A$28:$A$39,0),1))</f>
        <v>3242025492.8571434</v>
      </c>
      <c r="R704" s="27">
        <f>R124*IF($E704="weekday",INDEX('Category Mapping'!$F$28:$F$39,MATCH('Summarized Source Data'!$A704,'Category Mapping'!$A$28:$A$39,0),1),INDEX('Category Mapping'!$E$28:$E$39,MATCH($A704,'Category Mapping'!$A$28:$A$39,0),1))</f>
        <v>93251571.428571433</v>
      </c>
      <c r="S704" s="27">
        <f>S124*IF($E704="weekday",INDEX('Category Mapping'!$F$28:$F$39,MATCH('Summarized Source Data'!$A704,'Category Mapping'!$A$28:$A$39,0),1),INDEX('Category Mapping'!$E$28:$E$39,MATCH($A704,'Category Mapping'!$A$28:$A$39,0),1))</f>
        <v>93251571.428571433</v>
      </c>
      <c r="T704" s="27">
        <f>T124*IF($E704="weekday",INDEX('Category Mapping'!$F$28:$F$39,MATCH('Summarized Source Data'!$A704,'Category Mapping'!$A$28:$A$39,0),1),INDEX('Category Mapping'!$E$28:$E$39,MATCH($A704,'Category Mapping'!$A$28:$A$39,0),1))</f>
        <v>93251571.428571433</v>
      </c>
      <c r="U704" s="27">
        <f>U124*IF($E704="weekday",INDEX('Category Mapping'!$F$28:$F$39,MATCH('Summarized Source Data'!$A704,'Category Mapping'!$A$28:$A$39,0),1),INDEX('Category Mapping'!$E$28:$E$39,MATCH($A704,'Category Mapping'!$A$28:$A$39,0),1))</f>
        <v>93251571.428571433</v>
      </c>
      <c r="V704" s="27">
        <f>V124*IF($E704="weekday",INDEX('Category Mapping'!$F$28:$F$39,MATCH('Summarized Source Data'!$A704,'Category Mapping'!$A$28:$A$39,0),1),INDEX('Category Mapping'!$E$28:$E$39,MATCH($A704,'Category Mapping'!$A$28:$A$39,0),1))</f>
        <v>93251571.428571433</v>
      </c>
      <c r="W704" s="27">
        <f>W124*IF($E704="weekday",INDEX('Category Mapping'!$F$28:$F$39,MATCH('Summarized Source Data'!$A704,'Category Mapping'!$A$28:$A$39,0),1),INDEX('Category Mapping'!$E$28:$E$39,MATCH($A704,'Category Mapping'!$A$28:$A$39,0),1))</f>
        <v>93251571.428571433</v>
      </c>
      <c r="X704" s="27">
        <f>X124*IF($E704="weekday",INDEX('Category Mapping'!$F$28:$F$39,MATCH('Summarized Source Data'!$A704,'Category Mapping'!$A$28:$A$39,0),1),INDEX('Category Mapping'!$E$28:$E$39,MATCH($A704,'Category Mapping'!$A$28:$A$39,0),1))</f>
        <v>14121428571.428574</v>
      </c>
      <c r="Y704" s="27">
        <f>Y124*IF($E704="weekday",INDEX('Category Mapping'!$F$28:$F$39,MATCH('Summarized Source Data'!$A704,'Category Mapping'!$A$28:$A$39,0),1),INDEX('Category Mapping'!$E$28:$E$39,MATCH($A704,'Category Mapping'!$A$28:$A$39,0),1))</f>
        <v>14121428571.428574</v>
      </c>
      <c r="Z704" s="27">
        <f>Z124*IF($E704="weekday",INDEX('Category Mapping'!$F$28:$F$39,MATCH('Summarized Source Data'!$A704,'Category Mapping'!$A$28:$A$39,0),1),INDEX('Category Mapping'!$E$28:$E$39,MATCH($A704,'Category Mapping'!$A$28:$A$39,0),1))</f>
        <v>14121428571.428574</v>
      </c>
    </row>
    <row r="705" spans="1:26" x14ac:dyDescent="0.3">
      <c r="A705">
        <f t="shared" ref="A705:E705" si="170">A125</f>
        <v>6</v>
      </c>
      <c r="B705" t="str">
        <f t="shared" si="170"/>
        <v>Summer</v>
      </c>
      <c r="C705" t="str">
        <f t="shared" si="170"/>
        <v>h2</v>
      </c>
      <c r="D705" t="str">
        <f t="shared" si="170"/>
        <v>Hour1</v>
      </c>
      <c r="E705" t="str">
        <f t="shared" si="170"/>
        <v>Weekday</v>
      </c>
      <c r="F705" s="27">
        <f>F125*IF($E705="weekday",INDEX('Category Mapping'!$F$28:$F$39,MATCH('Summarized Source Data'!$A705,'Category Mapping'!$A$28:$A$39,0),1),INDEX('Category Mapping'!$E$28:$E$39,MATCH($A705,'Category Mapping'!$A$28:$A$39,0),1))</f>
        <v>5572285.7142857146</v>
      </c>
      <c r="G705" s="27">
        <f>G125*IF($E705="weekday",INDEX('Category Mapping'!$F$28:$F$39,MATCH('Summarized Source Data'!$A705,'Category Mapping'!$A$28:$A$39,0),1),INDEX('Category Mapping'!$E$28:$E$39,MATCH($A705,'Category Mapping'!$A$28:$A$39,0),1))</f>
        <v>53635414.285714291</v>
      </c>
      <c r="H705" s="27">
        <f>H125*IF($E705="weekday",INDEX('Category Mapping'!$F$28:$F$39,MATCH('Summarized Source Data'!$A705,'Category Mapping'!$A$28:$A$39,0),1),INDEX('Category Mapping'!$E$28:$E$39,MATCH($A705,'Category Mapping'!$A$28:$A$39,0),1))</f>
        <v>0</v>
      </c>
      <c r="I705" s="27">
        <f>I125*IF($E705="weekday",INDEX('Category Mapping'!$F$28:$F$39,MATCH('Summarized Source Data'!$A705,'Category Mapping'!$A$28:$A$39,0),1),INDEX('Category Mapping'!$E$28:$E$39,MATCH($A705,'Category Mapping'!$A$28:$A$39,0),1))</f>
        <v>199528778.5714286</v>
      </c>
      <c r="J705" s="27">
        <f>J125*IF($E705="weekday",INDEX('Category Mapping'!$F$28:$F$39,MATCH('Summarized Source Data'!$A705,'Category Mapping'!$A$28:$A$39,0),1),INDEX('Category Mapping'!$E$28:$E$39,MATCH($A705,'Category Mapping'!$A$28:$A$39,0),1))</f>
        <v>1123406378.5714288</v>
      </c>
      <c r="K705" s="27">
        <f>K125*IF($E705="weekday",INDEX('Category Mapping'!$F$28:$F$39,MATCH('Summarized Source Data'!$A705,'Category Mapping'!$A$28:$A$39,0),1),INDEX('Category Mapping'!$E$28:$E$39,MATCH($A705,'Category Mapping'!$A$28:$A$39,0),1))</f>
        <v>1123406378.5714288</v>
      </c>
      <c r="L705" s="27">
        <f>L125*IF($E705="weekday",INDEX('Category Mapping'!$F$28:$F$39,MATCH('Summarized Source Data'!$A705,'Category Mapping'!$A$28:$A$39,0),1),INDEX('Category Mapping'!$E$28:$E$39,MATCH($A705,'Category Mapping'!$A$28:$A$39,0),1))</f>
        <v>23669571.428571429</v>
      </c>
      <c r="M705" s="27">
        <f>M125*IF($E705="weekday",INDEX('Category Mapping'!$F$28:$F$39,MATCH('Summarized Source Data'!$A705,'Category Mapping'!$A$28:$A$39,0),1),INDEX('Category Mapping'!$E$28:$E$39,MATCH($A705,'Category Mapping'!$A$28:$A$39,0),1))</f>
        <v>1345714285.7142859</v>
      </c>
      <c r="N705" s="27">
        <f>N125*IF($E705="weekday",INDEX('Category Mapping'!$F$28:$F$39,MATCH('Summarized Source Data'!$A705,'Category Mapping'!$A$28:$A$39,0),1),INDEX('Category Mapping'!$E$28:$E$39,MATCH($A705,'Category Mapping'!$A$28:$A$39,0),1))</f>
        <v>0</v>
      </c>
      <c r="O705" s="27">
        <f>O125*IF($E705="weekday",INDEX('Category Mapping'!$F$28:$F$39,MATCH('Summarized Source Data'!$A705,'Category Mapping'!$A$28:$A$39,0),1),INDEX('Category Mapping'!$E$28:$E$39,MATCH($A705,'Category Mapping'!$A$28:$A$39,0),1))</f>
        <v>3173473285.7142859</v>
      </c>
      <c r="P705" s="27">
        <f>P125*IF($E705="weekday",INDEX('Category Mapping'!$F$28:$F$39,MATCH('Summarized Source Data'!$A705,'Category Mapping'!$A$28:$A$39,0),1),INDEX('Category Mapping'!$E$28:$E$39,MATCH($A705,'Category Mapping'!$A$28:$A$39,0),1))</f>
        <v>3173473285.7142859</v>
      </c>
      <c r="Q705" s="27">
        <f>Q125*IF($E705="weekday",INDEX('Category Mapping'!$F$28:$F$39,MATCH('Summarized Source Data'!$A705,'Category Mapping'!$A$28:$A$39,0),1),INDEX('Category Mapping'!$E$28:$E$39,MATCH($A705,'Category Mapping'!$A$28:$A$39,0),1))</f>
        <v>3173473285.7142859</v>
      </c>
      <c r="R705" s="27">
        <f>R125*IF($E705="weekday",INDEX('Category Mapping'!$F$28:$F$39,MATCH('Summarized Source Data'!$A705,'Category Mapping'!$A$28:$A$39,0),1),INDEX('Category Mapping'!$E$28:$E$39,MATCH($A705,'Category Mapping'!$A$28:$A$39,0),1))</f>
        <v>91798285.714285716</v>
      </c>
      <c r="S705" s="27">
        <f>S125*IF($E705="weekday",INDEX('Category Mapping'!$F$28:$F$39,MATCH('Summarized Source Data'!$A705,'Category Mapping'!$A$28:$A$39,0),1),INDEX('Category Mapping'!$E$28:$E$39,MATCH($A705,'Category Mapping'!$A$28:$A$39,0),1))</f>
        <v>91798285.714285716</v>
      </c>
      <c r="T705" s="27">
        <f>T125*IF($E705="weekday",INDEX('Category Mapping'!$F$28:$F$39,MATCH('Summarized Source Data'!$A705,'Category Mapping'!$A$28:$A$39,0),1),INDEX('Category Mapping'!$E$28:$E$39,MATCH($A705,'Category Mapping'!$A$28:$A$39,0),1))</f>
        <v>91798285.714285716</v>
      </c>
      <c r="U705" s="27">
        <f>U125*IF($E705="weekday",INDEX('Category Mapping'!$F$28:$F$39,MATCH('Summarized Source Data'!$A705,'Category Mapping'!$A$28:$A$39,0),1),INDEX('Category Mapping'!$E$28:$E$39,MATCH($A705,'Category Mapping'!$A$28:$A$39,0),1))</f>
        <v>91798285.714285716</v>
      </c>
      <c r="V705" s="27">
        <f>V125*IF($E705="weekday",INDEX('Category Mapping'!$F$28:$F$39,MATCH('Summarized Source Data'!$A705,'Category Mapping'!$A$28:$A$39,0),1),INDEX('Category Mapping'!$E$28:$E$39,MATCH($A705,'Category Mapping'!$A$28:$A$39,0),1))</f>
        <v>91798285.714285716</v>
      </c>
      <c r="W705" s="27">
        <f>W125*IF($E705="weekday",INDEX('Category Mapping'!$F$28:$F$39,MATCH('Summarized Source Data'!$A705,'Category Mapping'!$A$28:$A$39,0),1),INDEX('Category Mapping'!$E$28:$E$39,MATCH($A705,'Category Mapping'!$A$28:$A$39,0),1))</f>
        <v>91798285.714285716</v>
      </c>
      <c r="X705" s="27">
        <f>X125*IF($E705="weekday",INDEX('Category Mapping'!$F$28:$F$39,MATCH('Summarized Source Data'!$A705,'Category Mapping'!$A$28:$A$39,0),1),INDEX('Category Mapping'!$E$28:$E$39,MATCH($A705,'Category Mapping'!$A$28:$A$39,0),1))</f>
        <v>14100000000.000002</v>
      </c>
      <c r="Y705" s="27">
        <f>Y125*IF($E705="weekday",INDEX('Category Mapping'!$F$28:$F$39,MATCH('Summarized Source Data'!$A705,'Category Mapping'!$A$28:$A$39,0),1),INDEX('Category Mapping'!$E$28:$E$39,MATCH($A705,'Category Mapping'!$A$28:$A$39,0),1))</f>
        <v>14100000000.000002</v>
      </c>
      <c r="Z705" s="27">
        <f>Z125*IF($E705="weekday",INDEX('Category Mapping'!$F$28:$F$39,MATCH('Summarized Source Data'!$A705,'Category Mapping'!$A$28:$A$39,0),1),INDEX('Category Mapping'!$E$28:$E$39,MATCH($A705,'Category Mapping'!$A$28:$A$39,0),1))</f>
        <v>14100000000.000002</v>
      </c>
    </row>
    <row r="706" spans="1:26" x14ac:dyDescent="0.3">
      <c r="A706">
        <f t="shared" ref="A706:E706" si="171">A126</f>
        <v>6</v>
      </c>
      <c r="B706" t="str">
        <f t="shared" si="171"/>
        <v>Summer</v>
      </c>
      <c r="C706" t="str">
        <f t="shared" si="171"/>
        <v>h3</v>
      </c>
      <c r="D706" t="str">
        <f t="shared" si="171"/>
        <v>Hour2</v>
      </c>
      <c r="E706" t="str">
        <f t="shared" si="171"/>
        <v>Weekday</v>
      </c>
      <c r="F706" s="27">
        <f>F126*IF($E706="weekday",INDEX('Category Mapping'!$F$28:$F$39,MATCH('Summarized Source Data'!$A706,'Category Mapping'!$A$28:$A$39,0),1),INDEX('Category Mapping'!$E$28:$E$39,MATCH($A706,'Category Mapping'!$A$28:$A$39,0),1))</f>
        <v>5572285.7142857146</v>
      </c>
      <c r="G706" s="27">
        <f>G126*IF($E706="weekday",INDEX('Category Mapping'!$F$28:$F$39,MATCH('Summarized Source Data'!$A706,'Category Mapping'!$A$28:$A$39,0),1),INDEX('Category Mapping'!$E$28:$E$39,MATCH($A706,'Category Mapping'!$A$28:$A$39,0),1))</f>
        <v>47463685.714285716</v>
      </c>
      <c r="H706" s="27">
        <f>H126*IF($E706="weekday",INDEX('Category Mapping'!$F$28:$F$39,MATCH('Summarized Source Data'!$A706,'Category Mapping'!$A$28:$A$39,0),1),INDEX('Category Mapping'!$E$28:$E$39,MATCH($A706,'Category Mapping'!$A$28:$A$39,0),1))</f>
        <v>0</v>
      </c>
      <c r="I706" s="27">
        <f>I126*IF($E706="weekday",INDEX('Category Mapping'!$F$28:$F$39,MATCH('Summarized Source Data'!$A706,'Category Mapping'!$A$28:$A$39,0),1),INDEX('Category Mapping'!$E$28:$E$39,MATCH($A706,'Category Mapping'!$A$28:$A$39,0),1))</f>
        <v>197570828.5714286</v>
      </c>
      <c r="J706" s="27">
        <f>J126*IF($E706="weekday",INDEX('Category Mapping'!$F$28:$F$39,MATCH('Summarized Source Data'!$A706,'Category Mapping'!$A$28:$A$39,0),1),INDEX('Category Mapping'!$E$28:$E$39,MATCH($A706,'Category Mapping'!$A$28:$A$39,0),1))</f>
        <v>897964628.57142866</v>
      </c>
      <c r="K706" s="27">
        <f>K126*IF($E706="weekday",INDEX('Category Mapping'!$F$28:$F$39,MATCH('Summarized Source Data'!$A706,'Category Mapping'!$A$28:$A$39,0),1),INDEX('Category Mapping'!$E$28:$E$39,MATCH($A706,'Category Mapping'!$A$28:$A$39,0),1))</f>
        <v>897964628.57142866</v>
      </c>
      <c r="L706" s="27">
        <f>L126*IF($E706="weekday",INDEX('Category Mapping'!$F$28:$F$39,MATCH('Summarized Source Data'!$A706,'Category Mapping'!$A$28:$A$39,0),1),INDEX('Category Mapping'!$E$28:$E$39,MATCH($A706,'Category Mapping'!$A$28:$A$39,0),1))</f>
        <v>24336514.285714287</v>
      </c>
      <c r="M706" s="27">
        <f>M126*IF($E706="weekday",INDEX('Category Mapping'!$F$28:$F$39,MATCH('Summarized Source Data'!$A706,'Category Mapping'!$A$28:$A$39,0),1),INDEX('Category Mapping'!$E$28:$E$39,MATCH($A706,'Category Mapping'!$A$28:$A$39,0),1))</f>
        <v>1307142857.1428573</v>
      </c>
      <c r="N706" s="27">
        <f>N126*IF($E706="weekday",INDEX('Category Mapping'!$F$28:$F$39,MATCH('Summarized Source Data'!$A706,'Category Mapping'!$A$28:$A$39,0),1),INDEX('Category Mapping'!$E$28:$E$39,MATCH($A706,'Category Mapping'!$A$28:$A$39,0),1))</f>
        <v>0</v>
      </c>
      <c r="O706" s="27">
        <f>O126*IF($E706="weekday",INDEX('Category Mapping'!$F$28:$F$39,MATCH('Summarized Source Data'!$A706,'Category Mapping'!$A$28:$A$39,0),1),INDEX('Category Mapping'!$E$28:$E$39,MATCH($A706,'Category Mapping'!$A$28:$A$39,0),1))</f>
        <v>3168520628.5714288</v>
      </c>
      <c r="P706" s="27">
        <f>P126*IF($E706="weekday",INDEX('Category Mapping'!$F$28:$F$39,MATCH('Summarized Source Data'!$A706,'Category Mapping'!$A$28:$A$39,0),1),INDEX('Category Mapping'!$E$28:$E$39,MATCH($A706,'Category Mapping'!$A$28:$A$39,0),1))</f>
        <v>3168520628.5714288</v>
      </c>
      <c r="Q706" s="27">
        <f>Q126*IF($E706="weekday",INDEX('Category Mapping'!$F$28:$F$39,MATCH('Summarized Source Data'!$A706,'Category Mapping'!$A$28:$A$39,0),1),INDEX('Category Mapping'!$E$28:$E$39,MATCH($A706,'Category Mapping'!$A$28:$A$39,0),1))</f>
        <v>3168520628.5714288</v>
      </c>
      <c r="R706" s="27">
        <f>R126*IF($E706="weekday",INDEX('Category Mapping'!$F$28:$F$39,MATCH('Summarized Source Data'!$A706,'Category Mapping'!$A$28:$A$39,0),1),INDEX('Category Mapping'!$E$28:$E$39,MATCH($A706,'Category Mapping'!$A$28:$A$39,0),1))</f>
        <v>91425042.857142866</v>
      </c>
      <c r="S706" s="27">
        <f>S126*IF($E706="weekday",INDEX('Category Mapping'!$F$28:$F$39,MATCH('Summarized Source Data'!$A706,'Category Mapping'!$A$28:$A$39,0),1),INDEX('Category Mapping'!$E$28:$E$39,MATCH($A706,'Category Mapping'!$A$28:$A$39,0),1))</f>
        <v>91425042.857142866</v>
      </c>
      <c r="T706" s="27">
        <f>T126*IF($E706="weekday",INDEX('Category Mapping'!$F$28:$F$39,MATCH('Summarized Source Data'!$A706,'Category Mapping'!$A$28:$A$39,0),1),INDEX('Category Mapping'!$E$28:$E$39,MATCH($A706,'Category Mapping'!$A$28:$A$39,0),1))</f>
        <v>91425042.857142866</v>
      </c>
      <c r="U706" s="27">
        <f>U126*IF($E706="weekday",INDEX('Category Mapping'!$F$28:$F$39,MATCH('Summarized Source Data'!$A706,'Category Mapping'!$A$28:$A$39,0),1),INDEX('Category Mapping'!$E$28:$E$39,MATCH($A706,'Category Mapping'!$A$28:$A$39,0),1))</f>
        <v>91425042.857142866</v>
      </c>
      <c r="V706" s="27">
        <f>V126*IF($E706="weekday",INDEX('Category Mapping'!$F$28:$F$39,MATCH('Summarized Source Data'!$A706,'Category Mapping'!$A$28:$A$39,0),1),INDEX('Category Mapping'!$E$28:$E$39,MATCH($A706,'Category Mapping'!$A$28:$A$39,0),1))</f>
        <v>91425042.857142866</v>
      </c>
      <c r="W706" s="27">
        <f>W126*IF($E706="weekday",INDEX('Category Mapping'!$F$28:$F$39,MATCH('Summarized Source Data'!$A706,'Category Mapping'!$A$28:$A$39,0),1),INDEX('Category Mapping'!$E$28:$E$39,MATCH($A706,'Category Mapping'!$A$28:$A$39,0),1))</f>
        <v>91425042.857142866</v>
      </c>
      <c r="X706" s="27">
        <f>X126*IF($E706="weekday",INDEX('Category Mapping'!$F$28:$F$39,MATCH('Summarized Source Data'!$A706,'Category Mapping'!$A$28:$A$39,0),1),INDEX('Category Mapping'!$E$28:$E$39,MATCH($A706,'Category Mapping'!$A$28:$A$39,0),1))</f>
        <v>14100000000.000002</v>
      </c>
      <c r="Y706" s="27">
        <f>Y126*IF($E706="weekday",INDEX('Category Mapping'!$F$28:$F$39,MATCH('Summarized Source Data'!$A706,'Category Mapping'!$A$28:$A$39,0),1),INDEX('Category Mapping'!$E$28:$E$39,MATCH($A706,'Category Mapping'!$A$28:$A$39,0),1))</f>
        <v>14100000000.000002</v>
      </c>
      <c r="Z706" s="27">
        <f>Z126*IF($E706="weekday",INDEX('Category Mapping'!$F$28:$F$39,MATCH('Summarized Source Data'!$A706,'Category Mapping'!$A$28:$A$39,0),1),INDEX('Category Mapping'!$E$28:$E$39,MATCH($A706,'Category Mapping'!$A$28:$A$39,0),1))</f>
        <v>14100000000.000002</v>
      </c>
    </row>
    <row r="707" spans="1:26" x14ac:dyDescent="0.3">
      <c r="A707">
        <f t="shared" ref="A707:E707" si="172">A127</f>
        <v>6</v>
      </c>
      <c r="B707" t="str">
        <f t="shared" si="172"/>
        <v>Summer</v>
      </c>
      <c r="C707" t="str">
        <f t="shared" si="172"/>
        <v>h4</v>
      </c>
      <c r="D707" t="str">
        <f t="shared" si="172"/>
        <v>Hour3</v>
      </c>
      <c r="E707" t="str">
        <f t="shared" si="172"/>
        <v>Weekday</v>
      </c>
      <c r="F707" s="27">
        <f>F127*IF($E707="weekday",INDEX('Category Mapping'!$F$28:$F$39,MATCH('Summarized Source Data'!$A707,'Category Mapping'!$A$28:$A$39,0),1),INDEX('Category Mapping'!$E$28:$E$39,MATCH($A707,'Category Mapping'!$A$28:$A$39,0),1))</f>
        <v>5572285.7142857146</v>
      </c>
      <c r="G707" s="27">
        <f>G127*IF($E707="weekday",INDEX('Category Mapping'!$F$28:$F$39,MATCH('Summarized Source Data'!$A707,'Category Mapping'!$A$28:$A$39,0),1),INDEX('Category Mapping'!$E$28:$E$39,MATCH($A707,'Category Mapping'!$A$28:$A$39,0),1))</f>
        <v>53870678.571428575</v>
      </c>
      <c r="H707" s="27">
        <f>H127*IF($E707="weekday",INDEX('Category Mapping'!$F$28:$F$39,MATCH('Summarized Source Data'!$A707,'Category Mapping'!$A$28:$A$39,0),1),INDEX('Category Mapping'!$E$28:$E$39,MATCH($A707,'Category Mapping'!$A$28:$A$39,0),1))</f>
        <v>0</v>
      </c>
      <c r="I707" s="27">
        <f>I127*IF($E707="weekday",INDEX('Category Mapping'!$F$28:$F$39,MATCH('Summarized Source Data'!$A707,'Category Mapping'!$A$28:$A$39,0),1),INDEX('Category Mapping'!$E$28:$E$39,MATCH($A707,'Category Mapping'!$A$28:$A$39,0),1))</f>
        <v>201975171.42857143</v>
      </c>
      <c r="J707" s="27">
        <f>J127*IF($E707="weekday",INDEX('Category Mapping'!$F$28:$F$39,MATCH('Summarized Source Data'!$A707,'Category Mapping'!$A$28:$A$39,0),1),INDEX('Category Mapping'!$E$28:$E$39,MATCH($A707,'Category Mapping'!$A$28:$A$39,0),1))</f>
        <v>775724721.42857146</v>
      </c>
      <c r="K707" s="27">
        <f>K127*IF($E707="weekday",INDEX('Category Mapping'!$F$28:$F$39,MATCH('Summarized Source Data'!$A707,'Category Mapping'!$A$28:$A$39,0),1),INDEX('Category Mapping'!$E$28:$E$39,MATCH($A707,'Category Mapping'!$A$28:$A$39,0),1))</f>
        <v>775724721.42857146</v>
      </c>
      <c r="L707" s="27">
        <f>L127*IF($E707="weekday",INDEX('Category Mapping'!$F$28:$F$39,MATCH('Summarized Source Data'!$A707,'Category Mapping'!$A$28:$A$39,0),1),INDEX('Category Mapping'!$E$28:$E$39,MATCH($A707,'Category Mapping'!$A$28:$A$39,0),1))</f>
        <v>24945300.000000004</v>
      </c>
      <c r="M707" s="27">
        <f>M127*IF($E707="weekday",INDEX('Category Mapping'!$F$28:$F$39,MATCH('Summarized Source Data'!$A707,'Category Mapping'!$A$28:$A$39,0),1),INDEX('Category Mapping'!$E$28:$E$39,MATCH($A707,'Category Mapping'!$A$28:$A$39,0),1))</f>
        <v>1294285714.2857144</v>
      </c>
      <c r="N707" s="27">
        <f>N127*IF($E707="weekday",INDEX('Category Mapping'!$F$28:$F$39,MATCH('Summarized Source Data'!$A707,'Category Mapping'!$A$28:$A$39,0),1),INDEX('Category Mapping'!$E$28:$E$39,MATCH($A707,'Category Mapping'!$A$28:$A$39,0),1))</f>
        <v>0</v>
      </c>
      <c r="O707" s="27">
        <f>O127*IF($E707="weekday",INDEX('Category Mapping'!$F$28:$F$39,MATCH('Summarized Source Data'!$A707,'Category Mapping'!$A$28:$A$39,0),1),INDEX('Category Mapping'!$E$28:$E$39,MATCH($A707,'Category Mapping'!$A$28:$A$39,0),1))</f>
        <v>3309340414.2857146</v>
      </c>
      <c r="P707" s="27">
        <f>P127*IF($E707="weekday",INDEX('Category Mapping'!$F$28:$F$39,MATCH('Summarized Source Data'!$A707,'Category Mapping'!$A$28:$A$39,0),1),INDEX('Category Mapping'!$E$28:$E$39,MATCH($A707,'Category Mapping'!$A$28:$A$39,0),1))</f>
        <v>3309340414.2857146</v>
      </c>
      <c r="Q707" s="27">
        <f>Q127*IF($E707="weekday",INDEX('Category Mapping'!$F$28:$F$39,MATCH('Summarized Source Data'!$A707,'Category Mapping'!$A$28:$A$39,0),1),INDEX('Category Mapping'!$E$28:$E$39,MATCH($A707,'Category Mapping'!$A$28:$A$39,0),1))</f>
        <v>3309340414.2857146</v>
      </c>
      <c r="R707" s="27">
        <f>R127*IF($E707="weekday",INDEX('Category Mapping'!$F$28:$F$39,MATCH('Summarized Source Data'!$A707,'Category Mapping'!$A$28:$A$39,0),1),INDEX('Category Mapping'!$E$28:$E$39,MATCH($A707,'Category Mapping'!$A$28:$A$39,0),1))</f>
        <v>91768671.428571433</v>
      </c>
      <c r="S707" s="27">
        <f>S127*IF($E707="weekday",INDEX('Category Mapping'!$F$28:$F$39,MATCH('Summarized Source Data'!$A707,'Category Mapping'!$A$28:$A$39,0),1),INDEX('Category Mapping'!$E$28:$E$39,MATCH($A707,'Category Mapping'!$A$28:$A$39,0),1))</f>
        <v>91768671.428571433</v>
      </c>
      <c r="T707" s="27">
        <f>T127*IF($E707="weekday",INDEX('Category Mapping'!$F$28:$F$39,MATCH('Summarized Source Data'!$A707,'Category Mapping'!$A$28:$A$39,0),1),INDEX('Category Mapping'!$E$28:$E$39,MATCH($A707,'Category Mapping'!$A$28:$A$39,0),1))</f>
        <v>91768671.428571433</v>
      </c>
      <c r="U707" s="27">
        <f>U127*IF($E707="weekday",INDEX('Category Mapping'!$F$28:$F$39,MATCH('Summarized Source Data'!$A707,'Category Mapping'!$A$28:$A$39,0),1),INDEX('Category Mapping'!$E$28:$E$39,MATCH($A707,'Category Mapping'!$A$28:$A$39,0),1))</f>
        <v>91768671.428571433</v>
      </c>
      <c r="V707" s="27">
        <f>V127*IF($E707="weekday",INDEX('Category Mapping'!$F$28:$F$39,MATCH('Summarized Source Data'!$A707,'Category Mapping'!$A$28:$A$39,0),1),INDEX('Category Mapping'!$E$28:$E$39,MATCH($A707,'Category Mapping'!$A$28:$A$39,0),1))</f>
        <v>91768671.428571433</v>
      </c>
      <c r="W707" s="27">
        <f>W127*IF($E707="weekday",INDEX('Category Mapping'!$F$28:$F$39,MATCH('Summarized Source Data'!$A707,'Category Mapping'!$A$28:$A$39,0),1),INDEX('Category Mapping'!$E$28:$E$39,MATCH($A707,'Category Mapping'!$A$28:$A$39,0),1))</f>
        <v>91768671.428571433</v>
      </c>
      <c r="X707" s="27">
        <f>X127*IF($E707="weekday",INDEX('Category Mapping'!$F$28:$F$39,MATCH('Summarized Source Data'!$A707,'Category Mapping'!$A$28:$A$39,0),1),INDEX('Category Mapping'!$E$28:$E$39,MATCH($A707,'Category Mapping'!$A$28:$A$39,0),1))</f>
        <v>14100000000.000002</v>
      </c>
      <c r="Y707" s="27">
        <f>Y127*IF($E707="weekday",INDEX('Category Mapping'!$F$28:$F$39,MATCH('Summarized Source Data'!$A707,'Category Mapping'!$A$28:$A$39,0),1),INDEX('Category Mapping'!$E$28:$E$39,MATCH($A707,'Category Mapping'!$A$28:$A$39,0),1))</f>
        <v>14100000000.000002</v>
      </c>
      <c r="Z707" s="27">
        <f>Z127*IF($E707="weekday",INDEX('Category Mapping'!$F$28:$F$39,MATCH('Summarized Source Data'!$A707,'Category Mapping'!$A$28:$A$39,0),1),INDEX('Category Mapping'!$E$28:$E$39,MATCH($A707,'Category Mapping'!$A$28:$A$39,0),1))</f>
        <v>14100000000.000002</v>
      </c>
    </row>
    <row r="708" spans="1:26" x14ac:dyDescent="0.3">
      <c r="A708">
        <f t="shared" ref="A708:E708" si="173">A128</f>
        <v>6</v>
      </c>
      <c r="B708" t="str">
        <f t="shared" si="173"/>
        <v>Summer</v>
      </c>
      <c r="C708" t="str">
        <f t="shared" si="173"/>
        <v>h5</v>
      </c>
      <c r="D708" t="str">
        <f t="shared" si="173"/>
        <v>Hour4</v>
      </c>
      <c r="E708" t="str">
        <f t="shared" si="173"/>
        <v>Weekday</v>
      </c>
      <c r="F708" s="27">
        <f>F128*IF($E708="weekday",INDEX('Category Mapping'!$F$28:$F$39,MATCH('Summarized Source Data'!$A708,'Category Mapping'!$A$28:$A$39,0),1),INDEX('Category Mapping'!$E$28:$E$39,MATCH($A708,'Category Mapping'!$A$28:$A$39,0),1))</f>
        <v>5572285.7142857146</v>
      </c>
      <c r="G708" s="27">
        <f>G128*IF($E708="weekday",INDEX('Category Mapping'!$F$28:$F$39,MATCH('Summarized Source Data'!$A708,'Category Mapping'!$A$28:$A$39,0),1),INDEX('Category Mapping'!$E$28:$E$39,MATCH($A708,'Category Mapping'!$A$28:$A$39,0),1))</f>
        <v>80154450.000000015</v>
      </c>
      <c r="H708" s="27">
        <f>H128*IF($E708="weekday",INDEX('Category Mapping'!$F$28:$F$39,MATCH('Summarized Source Data'!$A708,'Category Mapping'!$A$28:$A$39,0),1),INDEX('Category Mapping'!$E$28:$E$39,MATCH($A708,'Category Mapping'!$A$28:$A$39,0),1))</f>
        <v>0</v>
      </c>
      <c r="I708" s="27">
        <f>I128*IF($E708="weekday",INDEX('Category Mapping'!$F$28:$F$39,MATCH('Summarized Source Data'!$A708,'Category Mapping'!$A$28:$A$39,0),1),INDEX('Category Mapping'!$E$28:$E$39,MATCH($A708,'Category Mapping'!$A$28:$A$39,0),1))</f>
        <v>259285714.2857143</v>
      </c>
      <c r="J708" s="27">
        <f>J128*IF($E708="weekday",INDEX('Category Mapping'!$F$28:$F$39,MATCH('Summarized Source Data'!$A708,'Category Mapping'!$A$28:$A$39,0),1),INDEX('Category Mapping'!$E$28:$E$39,MATCH($A708,'Category Mapping'!$A$28:$A$39,0),1))</f>
        <v>818558978.57142866</v>
      </c>
      <c r="K708" s="27">
        <f>K128*IF($E708="weekday",INDEX('Category Mapping'!$F$28:$F$39,MATCH('Summarized Source Data'!$A708,'Category Mapping'!$A$28:$A$39,0),1),INDEX('Category Mapping'!$E$28:$E$39,MATCH($A708,'Category Mapping'!$A$28:$A$39,0),1))</f>
        <v>818558978.57142866</v>
      </c>
      <c r="L708" s="27">
        <f>L128*IF($E708="weekday",INDEX('Category Mapping'!$F$28:$F$39,MATCH('Summarized Source Data'!$A708,'Category Mapping'!$A$28:$A$39,0),1),INDEX('Category Mapping'!$E$28:$E$39,MATCH($A708,'Category Mapping'!$A$28:$A$39,0),1))</f>
        <v>24150021.428571429</v>
      </c>
      <c r="M708" s="27">
        <f>M128*IF($E708="weekday",INDEX('Category Mapping'!$F$28:$F$39,MATCH('Summarized Source Data'!$A708,'Category Mapping'!$A$28:$A$39,0),1),INDEX('Category Mapping'!$E$28:$E$39,MATCH($A708,'Category Mapping'!$A$28:$A$39,0),1))</f>
        <v>1313571428.5714288</v>
      </c>
      <c r="N708" s="27">
        <f>N128*IF($E708="weekday",INDEX('Category Mapping'!$F$28:$F$39,MATCH('Summarized Source Data'!$A708,'Category Mapping'!$A$28:$A$39,0),1),INDEX('Category Mapping'!$E$28:$E$39,MATCH($A708,'Category Mapping'!$A$28:$A$39,0),1))</f>
        <v>0</v>
      </c>
      <c r="O708" s="27">
        <f>O128*IF($E708="weekday",INDEX('Category Mapping'!$F$28:$F$39,MATCH('Summarized Source Data'!$A708,'Category Mapping'!$A$28:$A$39,0),1),INDEX('Category Mapping'!$E$28:$E$39,MATCH($A708,'Category Mapping'!$A$28:$A$39,0),1))</f>
        <v>3505135692.8571434</v>
      </c>
      <c r="P708" s="27">
        <f>P128*IF($E708="weekday",INDEX('Category Mapping'!$F$28:$F$39,MATCH('Summarized Source Data'!$A708,'Category Mapping'!$A$28:$A$39,0),1),INDEX('Category Mapping'!$E$28:$E$39,MATCH($A708,'Category Mapping'!$A$28:$A$39,0),1))</f>
        <v>3505135692.8571434</v>
      </c>
      <c r="Q708" s="27">
        <f>Q128*IF($E708="weekday",INDEX('Category Mapping'!$F$28:$F$39,MATCH('Summarized Source Data'!$A708,'Category Mapping'!$A$28:$A$39,0),1),INDEX('Category Mapping'!$E$28:$E$39,MATCH($A708,'Category Mapping'!$A$28:$A$39,0),1))</f>
        <v>3505135692.8571434</v>
      </c>
      <c r="R708" s="27">
        <f>R128*IF($E708="weekday",INDEX('Category Mapping'!$F$28:$F$39,MATCH('Summarized Source Data'!$A708,'Category Mapping'!$A$28:$A$39,0),1),INDEX('Category Mapping'!$E$28:$E$39,MATCH($A708,'Category Mapping'!$A$28:$A$39,0),1))</f>
        <v>91394250.000000015</v>
      </c>
      <c r="S708" s="27">
        <f>S128*IF($E708="weekday",INDEX('Category Mapping'!$F$28:$F$39,MATCH('Summarized Source Data'!$A708,'Category Mapping'!$A$28:$A$39,0),1),INDEX('Category Mapping'!$E$28:$E$39,MATCH($A708,'Category Mapping'!$A$28:$A$39,0),1))</f>
        <v>91394250.000000015</v>
      </c>
      <c r="T708" s="27">
        <f>T128*IF($E708="weekday",INDEX('Category Mapping'!$F$28:$F$39,MATCH('Summarized Source Data'!$A708,'Category Mapping'!$A$28:$A$39,0),1),INDEX('Category Mapping'!$E$28:$E$39,MATCH($A708,'Category Mapping'!$A$28:$A$39,0),1))</f>
        <v>91394250.000000015</v>
      </c>
      <c r="U708" s="27">
        <f>U128*IF($E708="weekday",INDEX('Category Mapping'!$F$28:$F$39,MATCH('Summarized Source Data'!$A708,'Category Mapping'!$A$28:$A$39,0),1),INDEX('Category Mapping'!$E$28:$E$39,MATCH($A708,'Category Mapping'!$A$28:$A$39,0),1))</f>
        <v>91394250.000000015</v>
      </c>
      <c r="V708" s="27">
        <f>V128*IF($E708="weekday",INDEX('Category Mapping'!$F$28:$F$39,MATCH('Summarized Source Data'!$A708,'Category Mapping'!$A$28:$A$39,0),1),INDEX('Category Mapping'!$E$28:$E$39,MATCH($A708,'Category Mapping'!$A$28:$A$39,0),1))</f>
        <v>91394250.000000015</v>
      </c>
      <c r="W708" s="27">
        <f>W128*IF($E708="weekday",INDEX('Category Mapping'!$F$28:$F$39,MATCH('Summarized Source Data'!$A708,'Category Mapping'!$A$28:$A$39,0),1),INDEX('Category Mapping'!$E$28:$E$39,MATCH($A708,'Category Mapping'!$A$28:$A$39,0),1))</f>
        <v>91394250.000000015</v>
      </c>
      <c r="X708" s="27">
        <f>X128*IF($E708="weekday",INDEX('Category Mapping'!$F$28:$F$39,MATCH('Summarized Source Data'!$A708,'Category Mapping'!$A$28:$A$39,0),1),INDEX('Category Mapping'!$E$28:$E$39,MATCH($A708,'Category Mapping'!$A$28:$A$39,0),1))</f>
        <v>14142857142.857143</v>
      </c>
      <c r="Y708" s="27">
        <f>Y128*IF($E708="weekday",INDEX('Category Mapping'!$F$28:$F$39,MATCH('Summarized Source Data'!$A708,'Category Mapping'!$A$28:$A$39,0),1),INDEX('Category Mapping'!$E$28:$E$39,MATCH($A708,'Category Mapping'!$A$28:$A$39,0),1))</f>
        <v>14142857142.857143</v>
      </c>
      <c r="Z708" s="27">
        <f>Z128*IF($E708="weekday",INDEX('Category Mapping'!$F$28:$F$39,MATCH('Summarized Source Data'!$A708,'Category Mapping'!$A$28:$A$39,0),1),INDEX('Category Mapping'!$E$28:$E$39,MATCH($A708,'Category Mapping'!$A$28:$A$39,0),1))</f>
        <v>14142857142.857143</v>
      </c>
    </row>
    <row r="709" spans="1:26" x14ac:dyDescent="0.3">
      <c r="A709">
        <f t="shared" ref="A709:E709" si="174">A129</f>
        <v>6</v>
      </c>
      <c r="B709" t="str">
        <f t="shared" si="174"/>
        <v>Summer</v>
      </c>
      <c r="C709" t="str">
        <f t="shared" si="174"/>
        <v>h6</v>
      </c>
      <c r="D709" t="str">
        <f t="shared" si="174"/>
        <v>Hour5</v>
      </c>
      <c r="E709" t="str">
        <f t="shared" si="174"/>
        <v>Weekday</v>
      </c>
      <c r="F709" s="27">
        <f>F129*IF($E709="weekday",INDEX('Category Mapping'!$F$28:$F$39,MATCH('Summarized Source Data'!$A709,'Category Mapping'!$A$28:$A$39,0),1),INDEX('Category Mapping'!$E$28:$E$39,MATCH($A709,'Category Mapping'!$A$28:$A$39,0),1))</f>
        <v>8298514.2857142864</v>
      </c>
      <c r="G709" s="27">
        <f>G129*IF($E709="weekday",INDEX('Category Mapping'!$F$28:$F$39,MATCH('Summarized Source Data'!$A709,'Category Mapping'!$A$28:$A$39,0),1),INDEX('Category Mapping'!$E$28:$E$39,MATCH($A709,'Category Mapping'!$A$28:$A$39,0),1))</f>
        <v>148826035.71428573</v>
      </c>
      <c r="H709" s="27">
        <f>H129*IF($E709="weekday",INDEX('Category Mapping'!$F$28:$F$39,MATCH('Summarized Source Data'!$A709,'Category Mapping'!$A$28:$A$39,0),1),INDEX('Category Mapping'!$E$28:$E$39,MATCH($A709,'Category Mapping'!$A$28:$A$39,0),1))</f>
        <v>0</v>
      </c>
      <c r="I709" s="27">
        <f>I129*IF($E709="weekday",INDEX('Category Mapping'!$F$28:$F$39,MATCH('Summarized Source Data'!$A709,'Category Mapping'!$A$28:$A$39,0),1),INDEX('Category Mapping'!$E$28:$E$39,MATCH($A709,'Category Mapping'!$A$28:$A$39,0),1))</f>
        <v>291428571.42857146</v>
      </c>
      <c r="J709" s="27">
        <f>J129*IF($E709="weekday",INDEX('Category Mapping'!$F$28:$F$39,MATCH('Summarized Source Data'!$A709,'Category Mapping'!$A$28:$A$39,0),1),INDEX('Category Mapping'!$E$28:$E$39,MATCH($A709,'Category Mapping'!$A$28:$A$39,0),1))</f>
        <v>1115732592.8571429</v>
      </c>
      <c r="K709" s="27">
        <f>K129*IF($E709="weekday",INDEX('Category Mapping'!$F$28:$F$39,MATCH('Summarized Source Data'!$A709,'Category Mapping'!$A$28:$A$39,0),1),INDEX('Category Mapping'!$E$28:$E$39,MATCH($A709,'Category Mapping'!$A$28:$A$39,0),1))</f>
        <v>1115732592.8571429</v>
      </c>
      <c r="L709" s="27">
        <f>L129*IF($E709="weekday",INDEX('Category Mapping'!$F$28:$F$39,MATCH('Summarized Source Data'!$A709,'Category Mapping'!$A$28:$A$39,0),1),INDEX('Category Mapping'!$E$28:$E$39,MATCH($A709,'Category Mapping'!$A$28:$A$39,0),1))</f>
        <v>35147528.571428575</v>
      </c>
      <c r="M709" s="27">
        <f>M129*IF($E709="weekday",INDEX('Category Mapping'!$F$28:$F$39,MATCH('Summarized Source Data'!$A709,'Category Mapping'!$A$28:$A$39,0),1),INDEX('Category Mapping'!$E$28:$E$39,MATCH($A709,'Category Mapping'!$A$28:$A$39,0),1))</f>
        <v>1422857142.8571429</v>
      </c>
      <c r="N709" s="27">
        <f>N129*IF($E709="weekday",INDEX('Category Mapping'!$F$28:$F$39,MATCH('Summarized Source Data'!$A709,'Category Mapping'!$A$28:$A$39,0),1),INDEX('Category Mapping'!$E$28:$E$39,MATCH($A709,'Category Mapping'!$A$28:$A$39,0),1))</f>
        <v>0</v>
      </c>
      <c r="O709" s="27">
        <f>O129*IF($E709="weekday",INDEX('Category Mapping'!$F$28:$F$39,MATCH('Summarized Source Data'!$A709,'Category Mapping'!$A$28:$A$39,0),1),INDEX('Category Mapping'!$E$28:$E$39,MATCH($A709,'Category Mapping'!$A$28:$A$39,0),1))</f>
        <v>4070566757.1428576</v>
      </c>
      <c r="P709" s="27">
        <f>P129*IF($E709="weekday",INDEX('Category Mapping'!$F$28:$F$39,MATCH('Summarized Source Data'!$A709,'Category Mapping'!$A$28:$A$39,0),1),INDEX('Category Mapping'!$E$28:$E$39,MATCH($A709,'Category Mapping'!$A$28:$A$39,0),1))</f>
        <v>4070566757.1428576</v>
      </c>
      <c r="Q709" s="27">
        <f>Q129*IF($E709="weekday",INDEX('Category Mapping'!$F$28:$F$39,MATCH('Summarized Source Data'!$A709,'Category Mapping'!$A$28:$A$39,0),1),INDEX('Category Mapping'!$E$28:$E$39,MATCH($A709,'Category Mapping'!$A$28:$A$39,0),1))</f>
        <v>4070566757.1428576</v>
      </c>
      <c r="R709" s="27">
        <f>R129*IF($E709="weekday",INDEX('Category Mapping'!$F$28:$F$39,MATCH('Summarized Source Data'!$A709,'Category Mapping'!$A$28:$A$39,0),1),INDEX('Category Mapping'!$E$28:$E$39,MATCH($A709,'Category Mapping'!$A$28:$A$39,0),1))</f>
        <v>94248685.714285716</v>
      </c>
      <c r="S709" s="27">
        <f>S129*IF($E709="weekday",INDEX('Category Mapping'!$F$28:$F$39,MATCH('Summarized Source Data'!$A709,'Category Mapping'!$A$28:$A$39,0),1),INDEX('Category Mapping'!$E$28:$E$39,MATCH($A709,'Category Mapping'!$A$28:$A$39,0),1))</f>
        <v>94248685.714285716</v>
      </c>
      <c r="T709" s="27">
        <f>T129*IF($E709="weekday",INDEX('Category Mapping'!$F$28:$F$39,MATCH('Summarized Source Data'!$A709,'Category Mapping'!$A$28:$A$39,0),1),INDEX('Category Mapping'!$E$28:$E$39,MATCH($A709,'Category Mapping'!$A$28:$A$39,0),1))</f>
        <v>94248685.714285716</v>
      </c>
      <c r="U709" s="27">
        <f>U129*IF($E709="weekday",INDEX('Category Mapping'!$F$28:$F$39,MATCH('Summarized Source Data'!$A709,'Category Mapping'!$A$28:$A$39,0),1),INDEX('Category Mapping'!$E$28:$E$39,MATCH($A709,'Category Mapping'!$A$28:$A$39,0),1))</f>
        <v>94248685.714285716</v>
      </c>
      <c r="V709" s="27">
        <f>V129*IF($E709="weekday",INDEX('Category Mapping'!$F$28:$F$39,MATCH('Summarized Source Data'!$A709,'Category Mapping'!$A$28:$A$39,0),1),INDEX('Category Mapping'!$E$28:$E$39,MATCH($A709,'Category Mapping'!$A$28:$A$39,0),1))</f>
        <v>94248685.714285716</v>
      </c>
      <c r="W709" s="27">
        <f>W129*IF($E709="weekday",INDEX('Category Mapping'!$F$28:$F$39,MATCH('Summarized Source Data'!$A709,'Category Mapping'!$A$28:$A$39,0),1),INDEX('Category Mapping'!$E$28:$E$39,MATCH($A709,'Category Mapping'!$A$28:$A$39,0),1))</f>
        <v>94248685.714285716</v>
      </c>
      <c r="X709" s="27">
        <f>X129*IF($E709="weekday",INDEX('Category Mapping'!$F$28:$F$39,MATCH('Summarized Source Data'!$A709,'Category Mapping'!$A$28:$A$39,0),1),INDEX('Category Mapping'!$E$28:$E$39,MATCH($A709,'Category Mapping'!$A$28:$A$39,0),1))</f>
        <v>14250000000.000002</v>
      </c>
      <c r="Y709" s="27">
        <f>Y129*IF($E709="weekday",INDEX('Category Mapping'!$F$28:$F$39,MATCH('Summarized Source Data'!$A709,'Category Mapping'!$A$28:$A$39,0),1),INDEX('Category Mapping'!$E$28:$E$39,MATCH($A709,'Category Mapping'!$A$28:$A$39,0),1))</f>
        <v>14250000000.000002</v>
      </c>
      <c r="Z709" s="27">
        <f>Z129*IF($E709="weekday",INDEX('Category Mapping'!$F$28:$F$39,MATCH('Summarized Source Data'!$A709,'Category Mapping'!$A$28:$A$39,0),1),INDEX('Category Mapping'!$E$28:$E$39,MATCH($A709,'Category Mapping'!$A$28:$A$39,0),1))</f>
        <v>14250000000.000002</v>
      </c>
    </row>
    <row r="710" spans="1:26" x14ac:dyDescent="0.3">
      <c r="A710">
        <f t="shared" ref="A710:E710" si="175">A130</f>
        <v>6</v>
      </c>
      <c r="B710" t="str">
        <f t="shared" si="175"/>
        <v>Summer</v>
      </c>
      <c r="C710" t="str">
        <f t="shared" si="175"/>
        <v>h7</v>
      </c>
      <c r="D710" t="str">
        <f t="shared" si="175"/>
        <v>Hour6</v>
      </c>
      <c r="E710" t="str">
        <f t="shared" si="175"/>
        <v>Weekday</v>
      </c>
      <c r="F710" s="27">
        <f>F130*IF($E710="weekday",INDEX('Category Mapping'!$F$28:$F$39,MATCH('Summarized Source Data'!$A710,'Category Mapping'!$A$28:$A$39,0),1),INDEX('Category Mapping'!$E$28:$E$39,MATCH($A710,'Category Mapping'!$A$28:$A$39,0),1))</f>
        <v>9394414.2857142873</v>
      </c>
      <c r="G710" s="27">
        <f>G130*IF($E710="weekday",INDEX('Category Mapping'!$F$28:$F$39,MATCH('Summarized Source Data'!$A710,'Category Mapping'!$A$28:$A$39,0),1),INDEX('Category Mapping'!$E$28:$E$39,MATCH($A710,'Category Mapping'!$A$28:$A$39,0),1))</f>
        <v>252857142.8571429</v>
      </c>
      <c r="H710" s="27">
        <f>H130*IF($E710="weekday",INDEX('Category Mapping'!$F$28:$F$39,MATCH('Summarized Source Data'!$A710,'Category Mapping'!$A$28:$A$39,0),1),INDEX('Category Mapping'!$E$28:$E$39,MATCH($A710,'Category Mapping'!$A$28:$A$39,0),1))</f>
        <v>0</v>
      </c>
      <c r="I710" s="27">
        <f>I130*IF($E710="weekday",INDEX('Category Mapping'!$F$28:$F$39,MATCH('Summarized Source Data'!$A710,'Category Mapping'!$A$28:$A$39,0),1),INDEX('Category Mapping'!$E$28:$E$39,MATCH($A710,'Category Mapping'!$A$28:$A$39,0),1))</f>
        <v>201824721.42857143</v>
      </c>
      <c r="J710" s="27">
        <f>J130*IF($E710="weekday",INDEX('Category Mapping'!$F$28:$F$39,MATCH('Summarized Source Data'!$A710,'Category Mapping'!$A$28:$A$39,0),1),INDEX('Category Mapping'!$E$28:$E$39,MATCH($A710,'Category Mapping'!$A$28:$A$39,0),1))</f>
        <v>1764495150.0000002</v>
      </c>
      <c r="K710" s="27">
        <f>K130*IF($E710="weekday",INDEX('Category Mapping'!$F$28:$F$39,MATCH('Summarized Source Data'!$A710,'Category Mapping'!$A$28:$A$39,0),1),INDEX('Category Mapping'!$E$28:$E$39,MATCH($A710,'Category Mapping'!$A$28:$A$39,0),1))</f>
        <v>1764495150.0000002</v>
      </c>
      <c r="L710" s="27">
        <f>L130*IF($E710="weekday",INDEX('Category Mapping'!$F$28:$F$39,MATCH('Summarized Source Data'!$A710,'Category Mapping'!$A$28:$A$39,0),1),INDEX('Category Mapping'!$E$28:$E$39,MATCH($A710,'Category Mapping'!$A$28:$A$39,0),1))</f>
        <v>50758050.000000007</v>
      </c>
      <c r="M710" s="27">
        <f>M130*IF($E710="weekday",INDEX('Category Mapping'!$F$28:$F$39,MATCH('Summarized Source Data'!$A710,'Category Mapping'!$A$28:$A$39,0),1),INDEX('Category Mapping'!$E$28:$E$39,MATCH($A710,'Category Mapping'!$A$28:$A$39,0),1))</f>
        <v>1707857142.8571429</v>
      </c>
      <c r="N710" s="27">
        <f>N130*IF($E710="weekday",INDEX('Category Mapping'!$F$28:$F$39,MATCH('Summarized Source Data'!$A710,'Category Mapping'!$A$28:$A$39,0),1),INDEX('Category Mapping'!$E$28:$E$39,MATCH($A710,'Category Mapping'!$A$28:$A$39,0),1))</f>
        <v>0</v>
      </c>
      <c r="O710" s="27">
        <f>O130*IF($E710="weekday",INDEX('Category Mapping'!$F$28:$F$39,MATCH('Summarized Source Data'!$A710,'Category Mapping'!$A$28:$A$39,0),1),INDEX('Category Mapping'!$E$28:$E$39,MATCH($A710,'Category Mapping'!$A$28:$A$39,0),1))</f>
        <v>6127099092.8571434</v>
      </c>
      <c r="P710" s="27">
        <f>P130*IF($E710="weekday",INDEX('Category Mapping'!$F$28:$F$39,MATCH('Summarized Source Data'!$A710,'Category Mapping'!$A$28:$A$39,0),1),INDEX('Category Mapping'!$E$28:$E$39,MATCH($A710,'Category Mapping'!$A$28:$A$39,0),1))</f>
        <v>6127099092.8571434</v>
      </c>
      <c r="Q710" s="27">
        <f>Q130*IF($E710="weekday",INDEX('Category Mapping'!$F$28:$F$39,MATCH('Summarized Source Data'!$A710,'Category Mapping'!$A$28:$A$39,0),1),INDEX('Category Mapping'!$E$28:$E$39,MATCH($A710,'Category Mapping'!$A$28:$A$39,0),1))</f>
        <v>6127099092.8571434</v>
      </c>
      <c r="R710" s="27">
        <f>R130*IF($E710="weekday",INDEX('Category Mapping'!$F$28:$F$39,MATCH('Summarized Source Data'!$A710,'Category Mapping'!$A$28:$A$39,0),1),INDEX('Category Mapping'!$E$28:$E$39,MATCH($A710,'Category Mapping'!$A$28:$A$39,0),1))</f>
        <v>142079228.5714286</v>
      </c>
      <c r="S710" s="27">
        <f>S130*IF($E710="weekday",INDEX('Category Mapping'!$F$28:$F$39,MATCH('Summarized Source Data'!$A710,'Category Mapping'!$A$28:$A$39,0),1),INDEX('Category Mapping'!$E$28:$E$39,MATCH($A710,'Category Mapping'!$A$28:$A$39,0),1))</f>
        <v>142079228.5714286</v>
      </c>
      <c r="T710" s="27">
        <f>T130*IF($E710="weekday",INDEX('Category Mapping'!$F$28:$F$39,MATCH('Summarized Source Data'!$A710,'Category Mapping'!$A$28:$A$39,0),1),INDEX('Category Mapping'!$E$28:$E$39,MATCH($A710,'Category Mapping'!$A$28:$A$39,0),1))</f>
        <v>142079228.5714286</v>
      </c>
      <c r="U710" s="27">
        <f>U130*IF($E710="weekday",INDEX('Category Mapping'!$F$28:$F$39,MATCH('Summarized Source Data'!$A710,'Category Mapping'!$A$28:$A$39,0),1),INDEX('Category Mapping'!$E$28:$E$39,MATCH($A710,'Category Mapping'!$A$28:$A$39,0),1))</f>
        <v>142079228.5714286</v>
      </c>
      <c r="V710" s="27">
        <f>V130*IF($E710="weekday",INDEX('Category Mapping'!$F$28:$F$39,MATCH('Summarized Source Data'!$A710,'Category Mapping'!$A$28:$A$39,0),1),INDEX('Category Mapping'!$E$28:$E$39,MATCH($A710,'Category Mapping'!$A$28:$A$39,0),1))</f>
        <v>142079228.5714286</v>
      </c>
      <c r="W710" s="27">
        <f>W130*IF($E710="weekday",INDEX('Category Mapping'!$F$28:$F$39,MATCH('Summarized Source Data'!$A710,'Category Mapping'!$A$28:$A$39,0),1),INDEX('Category Mapping'!$E$28:$E$39,MATCH($A710,'Category Mapping'!$A$28:$A$39,0),1))</f>
        <v>142079228.5714286</v>
      </c>
      <c r="X710" s="27">
        <f>X130*IF($E710="weekday",INDEX('Category Mapping'!$F$28:$F$39,MATCH('Summarized Source Data'!$A710,'Category Mapping'!$A$28:$A$39,0),1),INDEX('Category Mapping'!$E$28:$E$39,MATCH($A710,'Category Mapping'!$A$28:$A$39,0),1))</f>
        <v>14421428571.428574</v>
      </c>
      <c r="Y710" s="27">
        <f>Y130*IF($E710="weekday",INDEX('Category Mapping'!$F$28:$F$39,MATCH('Summarized Source Data'!$A710,'Category Mapping'!$A$28:$A$39,0),1),INDEX('Category Mapping'!$E$28:$E$39,MATCH($A710,'Category Mapping'!$A$28:$A$39,0),1))</f>
        <v>14421428571.428574</v>
      </c>
      <c r="Z710" s="27">
        <f>Z130*IF($E710="weekday",INDEX('Category Mapping'!$F$28:$F$39,MATCH('Summarized Source Data'!$A710,'Category Mapping'!$A$28:$A$39,0),1),INDEX('Category Mapping'!$E$28:$E$39,MATCH($A710,'Category Mapping'!$A$28:$A$39,0),1))</f>
        <v>14421428571.428574</v>
      </c>
    </row>
    <row r="711" spans="1:26" x14ac:dyDescent="0.3">
      <c r="A711">
        <f t="shared" ref="A711:E711" si="176">A131</f>
        <v>6</v>
      </c>
      <c r="B711" t="str">
        <f t="shared" si="176"/>
        <v>Summer</v>
      </c>
      <c r="C711" t="str">
        <f t="shared" si="176"/>
        <v>h8</v>
      </c>
      <c r="D711" t="str">
        <f t="shared" si="176"/>
        <v>Hour7</v>
      </c>
      <c r="E711" t="str">
        <f t="shared" si="176"/>
        <v>Weekday</v>
      </c>
      <c r="F711" s="27">
        <f>F131*IF($E711="weekday",INDEX('Category Mapping'!$F$28:$F$39,MATCH('Summarized Source Data'!$A711,'Category Mapping'!$A$28:$A$39,0),1),INDEX('Category Mapping'!$E$28:$E$39,MATCH($A711,'Category Mapping'!$A$28:$A$39,0),1))</f>
        <v>9511757.1428571437</v>
      </c>
      <c r="G711" s="27">
        <f>G131*IF($E711="weekday",INDEX('Category Mapping'!$F$28:$F$39,MATCH('Summarized Source Data'!$A711,'Category Mapping'!$A$28:$A$39,0),1),INDEX('Category Mapping'!$E$28:$E$39,MATCH($A711,'Category Mapping'!$A$28:$A$39,0),1))</f>
        <v>317142857.14285719</v>
      </c>
      <c r="H711" s="27">
        <f>H131*IF($E711="weekday",INDEX('Category Mapping'!$F$28:$F$39,MATCH('Summarized Source Data'!$A711,'Category Mapping'!$A$28:$A$39,0),1),INDEX('Category Mapping'!$E$28:$E$39,MATCH($A711,'Category Mapping'!$A$28:$A$39,0),1))</f>
        <v>0</v>
      </c>
      <c r="I711" s="27">
        <f>I131*IF($E711="weekday",INDEX('Category Mapping'!$F$28:$F$39,MATCH('Summarized Source Data'!$A711,'Category Mapping'!$A$28:$A$39,0),1),INDEX('Category Mapping'!$E$28:$E$39,MATCH($A711,'Category Mapping'!$A$28:$A$39,0),1))</f>
        <v>202460721.42857146</v>
      </c>
      <c r="J711" s="27">
        <f>J131*IF($E711="weekday",INDEX('Category Mapping'!$F$28:$F$39,MATCH('Summarized Source Data'!$A711,'Category Mapping'!$A$28:$A$39,0),1),INDEX('Category Mapping'!$E$28:$E$39,MATCH($A711,'Category Mapping'!$A$28:$A$39,0),1))</f>
        <v>2235170378.5714288</v>
      </c>
      <c r="K711" s="27">
        <f>K131*IF($E711="weekday",INDEX('Category Mapping'!$F$28:$F$39,MATCH('Summarized Source Data'!$A711,'Category Mapping'!$A$28:$A$39,0),1),INDEX('Category Mapping'!$E$28:$E$39,MATCH($A711,'Category Mapping'!$A$28:$A$39,0),1))</f>
        <v>2235170378.5714288</v>
      </c>
      <c r="L711" s="27">
        <f>L131*IF($E711="weekday",INDEX('Category Mapping'!$F$28:$F$39,MATCH('Summarized Source Data'!$A711,'Category Mapping'!$A$28:$A$39,0),1),INDEX('Category Mapping'!$E$28:$E$39,MATCH($A711,'Category Mapping'!$A$28:$A$39,0),1))</f>
        <v>40777928.571428575</v>
      </c>
      <c r="M711" s="27">
        <f>M131*IF($E711="weekday",INDEX('Category Mapping'!$F$28:$F$39,MATCH('Summarized Source Data'!$A711,'Category Mapping'!$A$28:$A$39,0),1),INDEX('Category Mapping'!$E$28:$E$39,MATCH($A711,'Category Mapping'!$A$28:$A$39,0),1))</f>
        <v>2185714285.7142859</v>
      </c>
      <c r="N711" s="27">
        <f>N131*IF($E711="weekday",INDEX('Category Mapping'!$F$28:$F$39,MATCH('Summarized Source Data'!$A711,'Category Mapping'!$A$28:$A$39,0),1),INDEX('Category Mapping'!$E$28:$E$39,MATCH($A711,'Category Mapping'!$A$28:$A$39,0),1))</f>
        <v>0</v>
      </c>
      <c r="O711" s="27">
        <f>O131*IF($E711="weekday",INDEX('Category Mapping'!$F$28:$F$39,MATCH('Summarized Source Data'!$A711,'Category Mapping'!$A$28:$A$39,0),1),INDEX('Category Mapping'!$E$28:$E$39,MATCH($A711,'Category Mapping'!$A$28:$A$39,0),1))</f>
        <v>8359222071.4285727</v>
      </c>
      <c r="P711" s="27">
        <f>P131*IF($E711="weekday",INDEX('Category Mapping'!$F$28:$F$39,MATCH('Summarized Source Data'!$A711,'Category Mapping'!$A$28:$A$39,0),1),INDEX('Category Mapping'!$E$28:$E$39,MATCH($A711,'Category Mapping'!$A$28:$A$39,0),1))</f>
        <v>8359222071.4285727</v>
      </c>
      <c r="Q711" s="27">
        <f>Q131*IF($E711="weekday",INDEX('Category Mapping'!$F$28:$F$39,MATCH('Summarized Source Data'!$A711,'Category Mapping'!$A$28:$A$39,0),1),INDEX('Category Mapping'!$E$28:$E$39,MATCH($A711,'Category Mapping'!$A$28:$A$39,0),1))</f>
        <v>8359222071.4285727</v>
      </c>
      <c r="R711" s="27">
        <f>R131*IF($E711="weekday",INDEX('Category Mapping'!$F$28:$F$39,MATCH('Summarized Source Data'!$A711,'Category Mapping'!$A$28:$A$39,0),1),INDEX('Category Mapping'!$E$28:$E$39,MATCH($A711,'Category Mapping'!$A$28:$A$39,0),1))</f>
        <v>300000000</v>
      </c>
      <c r="S711" s="27">
        <f>S131*IF($E711="weekday",INDEX('Category Mapping'!$F$28:$F$39,MATCH('Summarized Source Data'!$A711,'Category Mapping'!$A$28:$A$39,0),1),INDEX('Category Mapping'!$E$28:$E$39,MATCH($A711,'Category Mapping'!$A$28:$A$39,0),1))</f>
        <v>300000000</v>
      </c>
      <c r="T711" s="27">
        <f>T131*IF($E711="weekday",INDEX('Category Mapping'!$F$28:$F$39,MATCH('Summarized Source Data'!$A711,'Category Mapping'!$A$28:$A$39,0),1),INDEX('Category Mapping'!$E$28:$E$39,MATCH($A711,'Category Mapping'!$A$28:$A$39,0),1))</f>
        <v>300000000</v>
      </c>
      <c r="U711" s="27">
        <f>U131*IF($E711="weekday",INDEX('Category Mapping'!$F$28:$F$39,MATCH('Summarized Source Data'!$A711,'Category Mapping'!$A$28:$A$39,0),1),INDEX('Category Mapping'!$E$28:$E$39,MATCH($A711,'Category Mapping'!$A$28:$A$39,0),1))</f>
        <v>300000000</v>
      </c>
      <c r="V711" s="27">
        <f>V131*IF($E711="weekday",INDEX('Category Mapping'!$F$28:$F$39,MATCH('Summarized Source Data'!$A711,'Category Mapping'!$A$28:$A$39,0),1),INDEX('Category Mapping'!$E$28:$E$39,MATCH($A711,'Category Mapping'!$A$28:$A$39,0),1))</f>
        <v>300000000</v>
      </c>
      <c r="W711" s="27">
        <f>W131*IF($E711="weekday",INDEX('Category Mapping'!$F$28:$F$39,MATCH('Summarized Source Data'!$A711,'Category Mapping'!$A$28:$A$39,0),1),INDEX('Category Mapping'!$E$28:$E$39,MATCH($A711,'Category Mapping'!$A$28:$A$39,0),1))</f>
        <v>300000000</v>
      </c>
      <c r="X711" s="27">
        <f>X131*IF($E711="weekday",INDEX('Category Mapping'!$F$28:$F$39,MATCH('Summarized Source Data'!$A711,'Category Mapping'!$A$28:$A$39,0),1),INDEX('Category Mapping'!$E$28:$E$39,MATCH($A711,'Category Mapping'!$A$28:$A$39,0),1))</f>
        <v>14550000000.000002</v>
      </c>
      <c r="Y711" s="27">
        <f>Y131*IF($E711="weekday",INDEX('Category Mapping'!$F$28:$F$39,MATCH('Summarized Source Data'!$A711,'Category Mapping'!$A$28:$A$39,0),1),INDEX('Category Mapping'!$E$28:$E$39,MATCH($A711,'Category Mapping'!$A$28:$A$39,0),1))</f>
        <v>14550000000.000002</v>
      </c>
      <c r="Z711" s="27">
        <f>Z131*IF($E711="weekday",INDEX('Category Mapping'!$F$28:$F$39,MATCH('Summarized Source Data'!$A711,'Category Mapping'!$A$28:$A$39,0),1),INDEX('Category Mapping'!$E$28:$E$39,MATCH($A711,'Category Mapping'!$A$28:$A$39,0),1))</f>
        <v>14550000000.000002</v>
      </c>
    </row>
    <row r="712" spans="1:26" x14ac:dyDescent="0.3">
      <c r="A712">
        <f t="shared" ref="A712:E712" si="177">A132</f>
        <v>6</v>
      </c>
      <c r="B712" t="str">
        <f t="shared" si="177"/>
        <v>Summer</v>
      </c>
      <c r="C712" t="str">
        <f t="shared" si="177"/>
        <v>h9</v>
      </c>
      <c r="D712" t="str">
        <f t="shared" si="177"/>
        <v>Hour8</v>
      </c>
      <c r="E712" t="str">
        <f t="shared" si="177"/>
        <v>Weekday</v>
      </c>
      <c r="F712" s="27">
        <f>F132*IF($E712="weekday",INDEX('Category Mapping'!$F$28:$F$39,MATCH('Summarized Source Data'!$A712,'Category Mapping'!$A$28:$A$39,0),1),INDEX('Category Mapping'!$E$28:$E$39,MATCH($A712,'Category Mapping'!$A$28:$A$39,0),1))</f>
        <v>9437571.4285714291</v>
      </c>
      <c r="G712" s="27">
        <f>G132*IF($E712="weekday",INDEX('Category Mapping'!$F$28:$F$39,MATCH('Summarized Source Data'!$A712,'Category Mapping'!$A$28:$A$39,0),1),INDEX('Category Mapping'!$E$28:$E$39,MATCH($A712,'Category Mapping'!$A$28:$A$39,0),1))</f>
        <v>375000000.00000006</v>
      </c>
      <c r="H712" s="27">
        <f>H132*IF($E712="weekday",INDEX('Category Mapping'!$F$28:$F$39,MATCH('Summarized Source Data'!$A712,'Category Mapping'!$A$28:$A$39,0),1),INDEX('Category Mapping'!$E$28:$E$39,MATCH($A712,'Category Mapping'!$A$28:$A$39,0),1))</f>
        <v>0</v>
      </c>
      <c r="I712" s="27">
        <f>I132*IF($E712="weekday",INDEX('Category Mapping'!$F$28:$F$39,MATCH('Summarized Source Data'!$A712,'Category Mapping'!$A$28:$A$39,0),1),INDEX('Category Mapping'!$E$28:$E$39,MATCH($A712,'Category Mapping'!$A$28:$A$39,0),1))</f>
        <v>198278828.5714286</v>
      </c>
      <c r="J712" s="27">
        <f>J132*IF($E712="weekday",INDEX('Category Mapping'!$F$28:$F$39,MATCH('Summarized Source Data'!$A712,'Category Mapping'!$A$28:$A$39,0),1),INDEX('Category Mapping'!$E$28:$E$39,MATCH($A712,'Category Mapping'!$A$28:$A$39,0),1))</f>
        <v>2310140742.8571429</v>
      </c>
      <c r="K712" s="27">
        <f>K132*IF($E712="weekday",INDEX('Category Mapping'!$F$28:$F$39,MATCH('Summarized Source Data'!$A712,'Category Mapping'!$A$28:$A$39,0),1),INDEX('Category Mapping'!$E$28:$E$39,MATCH($A712,'Category Mapping'!$A$28:$A$39,0),1))</f>
        <v>2310140742.8571429</v>
      </c>
      <c r="L712" s="27">
        <f>L132*IF($E712="weekday",INDEX('Category Mapping'!$F$28:$F$39,MATCH('Summarized Source Data'!$A712,'Category Mapping'!$A$28:$A$39,0),1),INDEX('Category Mapping'!$E$28:$E$39,MATCH($A712,'Category Mapping'!$A$28:$A$39,0),1))</f>
        <v>27130757.142857146</v>
      </c>
      <c r="M712" s="27">
        <f>M132*IF($E712="weekday",INDEX('Category Mapping'!$F$28:$F$39,MATCH('Summarized Source Data'!$A712,'Category Mapping'!$A$28:$A$39,0),1),INDEX('Category Mapping'!$E$28:$E$39,MATCH($A712,'Category Mapping'!$A$28:$A$39,0),1))</f>
        <v>2807142857.1428576</v>
      </c>
      <c r="N712" s="27">
        <f>N132*IF($E712="weekday",INDEX('Category Mapping'!$F$28:$F$39,MATCH('Summarized Source Data'!$A712,'Category Mapping'!$A$28:$A$39,0),1),INDEX('Category Mapping'!$E$28:$E$39,MATCH($A712,'Category Mapping'!$A$28:$A$39,0),1))</f>
        <v>0</v>
      </c>
      <c r="O712" s="27">
        <f>O132*IF($E712="weekday",INDEX('Category Mapping'!$F$28:$F$39,MATCH('Summarized Source Data'!$A712,'Category Mapping'!$A$28:$A$39,0),1),INDEX('Category Mapping'!$E$28:$E$39,MATCH($A712,'Category Mapping'!$A$28:$A$39,0),1))</f>
        <v>10430012100.000002</v>
      </c>
      <c r="P712" s="27">
        <f>P132*IF($E712="weekday",INDEX('Category Mapping'!$F$28:$F$39,MATCH('Summarized Source Data'!$A712,'Category Mapping'!$A$28:$A$39,0),1),INDEX('Category Mapping'!$E$28:$E$39,MATCH($A712,'Category Mapping'!$A$28:$A$39,0),1))</f>
        <v>10430012100.000002</v>
      </c>
      <c r="Q712" s="27">
        <f>Q132*IF($E712="weekday",INDEX('Category Mapping'!$F$28:$F$39,MATCH('Summarized Source Data'!$A712,'Category Mapping'!$A$28:$A$39,0),1),INDEX('Category Mapping'!$E$28:$E$39,MATCH($A712,'Category Mapping'!$A$28:$A$39,0),1))</f>
        <v>10430012100.000002</v>
      </c>
      <c r="R712" s="27">
        <f>R132*IF($E712="weekday",INDEX('Category Mapping'!$F$28:$F$39,MATCH('Summarized Source Data'!$A712,'Category Mapping'!$A$28:$A$39,0),1),INDEX('Category Mapping'!$E$28:$E$39,MATCH($A712,'Category Mapping'!$A$28:$A$39,0),1))</f>
        <v>330000000.00000006</v>
      </c>
      <c r="S712" s="27">
        <f>S132*IF($E712="weekday",INDEX('Category Mapping'!$F$28:$F$39,MATCH('Summarized Source Data'!$A712,'Category Mapping'!$A$28:$A$39,0),1),INDEX('Category Mapping'!$E$28:$E$39,MATCH($A712,'Category Mapping'!$A$28:$A$39,0),1))</f>
        <v>330000000.00000006</v>
      </c>
      <c r="T712" s="27">
        <f>T132*IF($E712="weekday",INDEX('Category Mapping'!$F$28:$F$39,MATCH('Summarized Source Data'!$A712,'Category Mapping'!$A$28:$A$39,0),1),INDEX('Category Mapping'!$E$28:$E$39,MATCH($A712,'Category Mapping'!$A$28:$A$39,0),1))</f>
        <v>330000000.00000006</v>
      </c>
      <c r="U712" s="27">
        <f>U132*IF($E712="weekday",INDEX('Category Mapping'!$F$28:$F$39,MATCH('Summarized Source Data'!$A712,'Category Mapping'!$A$28:$A$39,0),1),INDEX('Category Mapping'!$E$28:$E$39,MATCH($A712,'Category Mapping'!$A$28:$A$39,0),1))</f>
        <v>330000000.00000006</v>
      </c>
      <c r="V712" s="27">
        <f>V132*IF($E712="weekday",INDEX('Category Mapping'!$F$28:$F$39,MATCH('Summarized Source Data'!$A712,'Category Mapping'!$A$28:$A$39,0),1),INDEX('Category Mapping'!$E$28:$E$39,MATCH($A712,'Category Mapping'!$A$28:$A$39,0),1))</f>
        <v>330000000.00000006</v>
      </c>
      <c r="W712" s="27">
        <f>W132*IF($E712="weekday",INDEX('Category Mapping'!$F$28:$F$39,MATCH('Summarized Source Data'!$A712,'Category Mapping'!$A$28:$A$39,0),1),INDEX('Category Mapping'!$E$28:$E$39,MATCH($A712,'Category Mapping'!$A$28:$A$39,0),1))</f>
        <v>330000000.00000006</v>
      </c>
      <c r="X712" s="27">
        <f>X132*IF($E712="weekday",INDEX('Category Mapping'!$F$28:$F$39,MATCH('Summarized Source Data'!$A712,'Category Mapping'!$A$28:$A$39,0),1),INDEX('Category Mapping'!$E$28:$E$39,MATCH($A712,'Category Mapping'!$A$28:$A$39,0),1))</f>
        <v>14614285714.285715</v>
      </c>
      <c r="Y712" s="27">
        <f>Y132*IF($E712="weekday",INDEX('Category Mapping'!$F$28:$F$39,MATCH('Summarized Source Data'!$A712,'Category Mapping'!$A$28:$A$39,0),1),INDEX('Category Mapping'!$E$28:$E$39,MATCH($A712,'Category Mapping'!$A$28:$A$39,0),1))</f>
        <v>14614285714.285715</v>
      </c>
      <c r="Z712" s="27">
        <f>Z132*IF($E712="weekday",INDEX('Category Mapping'!$F$28:$F$39,MATCH('Summarized Source Data'!$A712,'Category Mapping'!$A$28:$A$39,0),1),INDEX('Category Mapping'!$E$28:$E$39,MATCH($A712,'Category Mapping'!$A$28:$A$39,0),1))</f>
        <v>14614285714.285715</v>
      </c>
    </row>
    <row r="713" spans="1:26" x14ac:dyDescent="0.3">
      <c r="A713">
        <f t="shared" ref="A713:E713" si="178">A133</f>
        <v>6</v>
      </c>
      <c r="B713" t="str">
        <f t="shared" si="178"/>
        <v>Summer</v>
      </c>
      <c r="C713" t="str">
        <f t="shared" si="178"/>
        <v>h10</v>
      </c>
      <c r="D713" t="str">
        <f t="shared" si="178"/>
        <v>Hour9</v>
      </c>
      <c r="E713" t="str">
        <f t="shared" si="178"/>
        <v>Weekday</v>
      </c>
      <c r="F713" s="27">
        <f>F133*IF($E713="weekday",INDEX('Category Mapping'!$F$28:$F$39,MATCH('Summarized Source Data'!$A713,'Category Mapping'!$A$28:$A$39,0),1),INDEX('Category Mapping'!$E$28:$E$39,MATCH($A713,'Category Mapping'!$A$28:$A$39,0),1))</f>
        <v>6517607.1428571437</v>
      </c>
      <c r="G713" s="27">
        <f>G133*IF($E713="weekday",INDEX('Category Mapping'!$F$28:$F$39,MATCH('Summarized Source Data'!$A713,'Category Mapping'!$A$28:$A$39,0),1),INDEX('Category Mapping'!$E$28:$E$39,MATCH($A713,'Category Mapping'!$A$28:$A$39,0),1))</f>
        <v>430714285.71428573</v>
      </c>
      <c r="H713" s="27">
        <f>H133*IF($E713="weekday",INDEX('Category Mapping'!$F$28:$F$39,MATCH('Summarized Source Data'!$A713,'Category Mapping'!$A$28:$A$39,0),1),INDEX('Category Mapping'!$E$28:$E$39,MATCH($A713,'Category Mapping'!$A$28:$A$39,0),1))</f>
        <v>0</v>
      </c>
      <c r="I713" s="27">
        <f>I133*IF($E713="weekday",INDEX('Category Mapping'!$F$28:$F$39,MATCH('Summarized Source Data'!$A713,'Category Mapping'!$A$28:$A$39,0),1),INDEX('Category Mapping'!$E$28:$E$39,MATCH($A713,'Category Mapping'!$A$28:$A$39,0),1))</f>
        <v>190734385.71428573</v>
      </c>
      <c r="J713" s="27">
        <f>J133*IF($E713="weekday",INDEX('Category Mapping'!$F$28:$F$39,MATCH('Summarized Source Data'!$A713,'Category Mapping'!$A$28:$A$39,0),1),INDEX('Category Mapping'!$E$28:$E$39,MATCH($A713,'Category Mapping'!$A$28:$A$39,0),1))</f>
        <v>2329176578.5714288</v>
      </c>
      <c r="K713" s="27">
        <f>K133*IF($E713="weekday",INDEX('Category Mapping'!$F$28:$F$39,MATCH('Summarized Source Data'!$A713,'Category Mapping'!$A$28:$A$39,0),1),INDEX('Category Mapping'!$E$28:$E$39,MATCH($A713,'Category Mapping'!$A$28:$A$39,0),1))</f>
        <v>2329176578.5714288</v>
      </c>
      <c r="L713" s="27">
        <f>L133*IF($E713="weekday",INDEX('Category Mapping'!$F$28:$F$39,MATCH('Summarized Source Data'!$A713,'Category Mapping'!$A$28:$A$39,0),1),INDEX('Category Mapping'!$E$28:$E$39,MATCH($A713,'Category Mapping'!$A$28:$A$39,0),1))</f>
        <v>21593185.714285716</v>
      </c>
      <c r="M713" s="27">
        <f>M133*IF($E713="weekday",INDEX('Category Mapping'!$F$28:$F$39,MATCH('Summarized Source Data'!$A713,'Category Mapping'!$A$28:$A$39,0),1),INDEX('Category Mapping'!$E$28:$E$39,MATCH($A713,'Category Mapping'!$A$28:$A$39,0),1))</f>
        <v>3300000000.0000005</v>
      </c>
      <c r="N713" s="27">
        <f>N133*IF($E713="weekday",INDEX('Category Mapping'!$F$28:$F$39,MATCH('Summarized Source Data'!$A713,'Category Mapping'!$A$28:$A$39,0),1),INDEX('Category Mapping'!$E$28:$E$39,MATCH($A713,'Category Mapping'!$A$28:$A$39,0),1))</f>
        <v>0</v>
      </c>
      <c r="O713" s="27">
        <f>O133*IF($E713="weekday",INDEX('Category Mapping'!$F$28:$F$39,MATCH('Summarized Source Data'!$A713,'Category Mapping'!$A$28:$A$39,0),1),INDEX('Category Mapping'!$E$28:$E$39,MATCH($A713,'Category Mapping'!$A$28:$A$39,0),1))</f>
        <v>10971263957.142859</v>
      </c>
      <c r="P713" s="27">
        <f>P133*IF($E713="weekday",INDEX('Category Mapping'!$F$28:$F$39,MATCH('Summarized Source Data'!$A713,'Category Mapping'!$A$28:$A$39,0),1),INDEX('Category Mapping'!$E$28:$E$39,MATCH($A713,'Category Mapping'!$A$28:$A$39,0),1))</f>
        <v>10971263957.142859</v>
      </c>
      <c r="Q713" s="27">
        <f>Q133*IF($E713="weekday",INDEX('Category Mapping'!$F$28:$F$39,MATCH('Summarized Source Data'!$A713,'Category Mapping'!$A$28:$A$39,0),1),INDEX('Category Mapping'!$E$28:$E$39,MATCH($A713,'Category Mapping'!$A$28:$A$39,0),1))</f>
        <v>10971263957.142859</v>
      </c>
      <c r="R713" s="27">
        <f>R133*IF($E713="weekday",INDEX('Category Mapping'!$F$28:$F$39,MATCH('Summarized Source Data'!$A713,'Category Mapping'!$A$28:$A$39,0),1),INDEX('Category Mapping'!$E$28:$E$39,MATCH($A713,'Category Mapping'!$A$28:$A$39,0),1))</f>
        <v>291428571.42857146</v>
      </c>
      <c r="S713" s="27">
        <f>S133*IF($E713="weekday",INDEX('Category Mapping'!$F$28:$F$39,MATCH('Summarized Source Data'!$A713,'Category Mapping'!$A$28:$A$39,0),1),INDEX('Category Mapping'!$E$28:$E$39,MATCH($A713,'Category Mapping'!$A$28:$A$39,0),1))</f>
        <v>291428571.42857146</v>
      </c>
      <c r="T713" s="27">
        <f>T133*IF($E713="weekday",INDEX('Category Mapping'!$F$28:$F$39,MATCH('Summarized Source Data'!$A713,'Category Mapping'!$A$28:$A$39,0),1),INDEX('Category Mapping'!$E$28:$E$39,MATCH($A713,'Category Mapping'!$A$28:$A$39,0),1))</f>
        <v>291428571.42857146</v>
      </c>
      <c r="U713" s="27">
        <f>U133*IF($E713="weekday",INDEX('Category Mapping'!$F$28:$F$39,MATCH('Summarized Source Data'!$A713,'Category Mapping'!$A$28:$A$39,0),1),INDEX('Category Mapping'!$E$28:$E$39,MATCH($A713,'Category Mapping'!$A$28:$A$39,0),1))</f>
        <v>291428571.42857146</v>
      </c>
      <c r="V713" s="27">
        <f>V133*IF($E713="weekday",INDEX('Category Mapping'!$F$28:$F$39,MATCH('Summarized Source Data'!$A713,'Category Mapping'!$A$28:$A$39,0),1),INDEX('Category Mapping'!$E$28:$E$39,MATCH($A713,'Category Mapping'!$A$28:$A$39,0),1))</f>
        <v>291428571.42857146</v>
      </c>
      <c r="W713" s="27">
        <f>W133*IF($E713="weekday",INDEX('Category Mapping'!$F$28:$F$39,MATCH('Summarized Source Data'!$A713,'Category Mapping'!$A$28:$A$39,0),1),INDEX('Category Mapping'!$E$28:$E$39,MATCH($A713,'Category Mapping'!$A$28:$A$39,0),1))</f>
        <v>291428571.42857146</v>
      </c>
      <c r="X713" s="27">
        <f>X133*IF($E713="weekday",INDEX('Category Mapping'!$F$28:$F$39,MATCH('Summarized Source Data'!$A713,'Category Mapping'!$A$28:$A$39,0),1),INDEX('Category Mapping'!$E$28:$E$39,MATCH($A713,'Category Mapping'!$A$28:$A$39,0),1))</f>
        <v>14571428571.428574</v>
      </c>
      <c r="Y713" s="27">
        <f>Y133*IF($E713="weekday",INDEX('Category Mapping'!$F$28:$F$39,MATCH('Summarized Source Data'!$A713,'Category Mapping'!$A$28:$A$39,0),1),INDEX('Category Mapping'!$E$28:$E$39,MATCH($A713,'Category Mapping'!$A$28:$A$39,0),1))</f>
        <v>14571428571.428574</v>
      </c>
      <c r="Z713" s="27">
        <f>Z133*IF($E713="weekday",INDEX('Category Mapping'!$F$28:$F$39,MATCH('Summarized Source Data'!$A713,'Category Mapping'!$A$28:$A$39,0),1),INDEX('Category Mapping'!$E$28:$E$39,MATCH($A713,'Category Mapping'!$A$28:$A$39,0),1))</f>
        <v>14571428571.428574</v>
      </c>
    </row>
    <row r="714" spans="1:26" x14ac:dyDescent="0.3">
      <c r="A714">
        <f t="shared" ref="A714:E714" si="179">A134</f>
        <v>6</v>
      </c>
      <c r="B714" t="str">
        <f t="shared" si="179"/>
        <v>Summer</v>
      </c>
      <c r="C714" t="str">
        <f t="shared" si="179"/>
        <v>h11</v>
      </c>
      <c r="D714" t="str">
        <f t="shared" si="179"/>
        <v>Hour10</v>
      </c>
      <c r="E714" t="str">
        <f t="shared" si="179"/>
        <v>Weekday</v>
      </c>
      <c r="F714" s="27">
        <f>F134*IF($E714="weekday",INDEX('Category Mapping'!$F$28:$F$39,MATCH('Summarized Source Data'!$A714,'Category Mapping'!$A$28:$A$39,0),1),INDEX('Category Mapping'!$E$28:$E$39,MATCH($A714,'Category Mapping'!$A$28:$A$39,0),1))</f>
        <v>6572892.8571428582</v>
      </c>
      <c r="G714" s="27">
        <f>G134*IF($E714="weekday",INDEX('Category Mapping'!$F$28:$F$39,MATCH('Summarized Source Data'!$A714,'Category Mapping'!$A$28:$A$39,0),1),INDEX('Category Mapping'!$E$28:$E$39,MATCH($A714,'Category Mapping'!$A$28:$A$39,0),1))</f>
        <v>527142857.14285719</v>
      </c>
      <c r="H714" s="27">
        <f>H134*IF($E714="weekday",INDEX('Category Mapping'!$F$28:$F$39,MATCH('Summarized Source Data'!$A714,'Category Mapping'!$A$28:$A$39,0),1),INDEX('Category Mapping'!$E$28:$E$39,MATCH($A714,'Category Mapping'!$A$28:$A$39,0),1))</f>
        <v>0</v>
      </c>
      <c r="I714" s="27">
        <f>I134*IF($E714="weekday",INDEX('Category Mapping'!$F$28:$F$39,MATCH('Summarized Source Data'!$A714,'Category Mapping'!$A$28:$A$39,0),1),INDEX('Category Mapping'!$E$28:$E$39,MATCH($A714,'Category Mapping'!$A$28:$A$39,0),1))</f>
        <v>193850935.71428573</v>
      </c>
      <c r="J714" s="27">
        <f>J134*IF($E714="weekday",INDEX('Category Mapping'!$F$28:$F$39,MATCH('Summarized Source Data'!$A714,'Category Mapping'!$A$28:$A$39,0),1),INDEX('Category Mapping'!$E$28:$E$39,MATCH($A714,'Category Mapping'!$A$28:$A$39,0),1))</f>
        <v>2315290457.1428576</v>
      </c>
      <c r="K714" s="27">
        <f>K134*IF($E714="weekday",INDEX('Category Mapping'!$F$28:$F$39,MATCH('Summarized Source Data'!$A714,'Category Mapping'!$A$28:$A$39,0),1),INDEX('Category Mapping'!$E$28:$E$39,MATCH($A714,'Category Mapping'!$A$28:$A$39,0),1))</f>
        <v>2315290457.1428576</v>
      </c>
      <c r="L714" s="27">
        <f>L134*IF($E714="weekday",INDEX('Category Mapping'!$F$28:$F$39,MATCH('Summarized Source Data'!$A714,'Category Mapping'!$A$28:$A$39,0),1),INDEX('Category Mapping'!$E$28:$E$39,MATCH($A714,'Category Mapping'!$A$28:$A$39,0),1))</f>
        <v>18560571.428571429</v>
      </c>
      <c r="M714" s="27">
        <f>M134*IF($E714="weekday",INDEX('Category Mapping'!$F$28:$F$39,MATCH('Summarized Source Data'!$A714,'Category Mapping'!$A$28:$A$39,0),1),INDEX('Category Mapping'!$E$28:$E$39,MATCH($A714,'Category Mapping'!$A$28:$A$39,0),1))</f>
        <v>3642857142.8571434</v>
      </c>
      <c r="N714" s="27">
        <f>N134*IF($E714="weekday",INDEX('Category Mapping'!$F$28:$F$39,MATCH('Summarized Source Data'!$A714,'Category Mapping'!$A$28:$A$39,0),1),INDEX('Category Mapping'!$E$28:$E$39,MATCH($A714,'Category Mapping'!$A$28:$A$39,0),1))</f>
        <v>0</v>
      </c>
      <c r="O714" s="27">
        <f>O134*IF($E714="weekday",INDEX('Category Mapping'!$F$28:$F$39,MATCH('Summarized Source Data'!$A714,'Category Mapping'!$A$28:$A$39,0),1),INDEX('Category Mapping'!$E$28:$E$39,MATCH($A714,'Category Mapping'!$A$28:$A$39,0),1))</f>
        <v>10931439428.57143</v>
      </c>
      <c r="P714" s="27">
        <f>P134*IF($E714="weekday",INDEX('Category Mapping'!$F$28:$F$39,MATCH('Summarized Source Data'!$A714,'Category Mapping'!$A$28:$A$39,0),1),INDEX('Category Mapping'!$E$28:$E$39,MATCH($A714,'Category Mapping'!$A$28:$A$39,0),1))</f>
        <v>10931439428.57143</v>
      </c>
      <c r="Q714" s="27">
        <f>Q134*IF($E714="weekday",INDEX('Category Mapping'!$F$28:$F$39,MATCH('Summarized Source Data'!$A714,'Category Mapping'!$A$28:$A$39,0),1),INDEX('Category Mapping'!$E$28:$E$39,MATCH($A714,'Category Mapping'!$A$28:$A$39,0),1))</f>
        <v>10931439428.57143</v>
      </c>
      <c r="R714" s="27">
        <f>R134*IF($E714="weekday",INDEX('Category Mapping'!$F$28:$F$39,MATCH('Summarized Source Data'!$A714,'Category Mapping'!$A$28:$A$39,0),1),INDEX('Category Mapping'!$E$28:$E$39,MATCH($A714,'Category Mapping'!$A$28:$A$39,0),1))</f>
        <v>233571428.5714286</v>
      </c>
      <c r="S714" s="27">
        <f>S134*IF($E714="weekday",INDEX('Category Mapping'!$F$28:$F$39,MATCH('Summarized Source Data'!$A714,'Category Mapping'!$A$28:$A$39,0),1),INDEX('Category Mapping'!$E$28:$E$39,MATCH($A714,'Category Mapping'!$A$28:$A$39,0),1))</f>
        <v>233571428.5714286</v>
      </c>
      <c r="T714" s="27">
        <f>T134*IF($E714="weekday",INDEX('Category Mapping'!$F$28:$F$39,MATCH('Summarized Source Data'!$A714,'Category Mapping'!$A$28:$A$39,0),1),INDEX('Category Mapping'!$E$28:$E$39,MATCH($A714,'Category Mapping'!$A$28:$A$39,0),1))</f>
        <v>233571428.5714286</v>
      </c>
      <c r="U714" s="27">
        <f>U134*IF($E714="weekday",INDEX('Category Mapping'!$F$28:$F$39,MATCH('Summarized Source Data'!$A714,'Category Mapping'!$A$28:$A$39,0),1),INDEX('Category Mapping'!$E$28:$E$39,MATCH($A714,'Category Mapping'!$A$28:$A$39,0),1))</f>
        <v>233571428.5714286</v>
      </c>
      <c r="V714" s="27">
        <f>V134*IF($E714="weekday",INDEX('Category Mapping'!$F$28:$F$39,MATCH('Summarized Source Data'!$A714,'Category Mapping'!$A$28:$A$39,0),1),INDEX('Category Mapping'!$E$28:$E$39,MATCH($A714,'Category Mapping'!$A$28:$A$39,0),1))</f>
        <v>233571428.5714286</v>
      </c>
      <c r="W714" s="27">
        <f>W134*IF($E714="weekday",INDEX('Category Mapping'!$F$28:$F$39,MATCH('Summarized Source Data'!$A714,'Category Mapping'!$A$28:$A$39,0),1),INDEX('Category Mapping'!$E$28:$E$39,MATCH($A714,'Category Mapping'!$A$28:$A$39,0),1))</f>
        <v>233571428.5714286</v>
      </c>
      <c r="X714" s="27">
        <f>X134*IF($E714="weekday",INDEX('Category Mapping'!$F$28:$F$39,MATCH('Summarized Source Data'!$A714,'Category Mapping'!$A$28:$A$39,0),1),INDEX('Category Mapping'!$E$28:$E$39,MATCH($A714,'Category Mapping'!$A$28:$A$39,0),1))</f>
        <v>14528571428.57143</v>
      </c>
      <c r="Y714" s="27">
        <f>Y134*IF($E714="weekday",INDEX('Category Mapping'!$F$28:$F$39,MATCH('Summarized Source Data'!$A714,'Category Mapping'!$A$28:$A$39,0),1),INDEX('Category Mapping'!$E$28:$E$39,MATCH($A714,'Category Mapping'!$A$28:$A$39,0),1))</f>
        <v>14528571428.57143</v>
      </c>
      <c r="Z714" s="27">
        <f>Z134*IF($E714="weekday",INDEX('Category Mapping'!$F$28:$F$39,MATCH('Summarized Source Data'!$A714,'Category Mapping'!$A$28:$A$39,0),1),INDEX('Category Mapping'!$E$28:$E$39,MATCH($A714,'Category Mapping'!$A$28:$A$39,0),1))</f>
        <v>14528571428.57143</v>
      </c>
    </row>
    <row r="715" spans="1:26" x14ac:dyDescent="0.3">
      <c r="A715">
        <f t="shared" ref="A715:E715" si="180">A135</f>
        <v>6</v>
      </c>
      <c r="B715" t="str">
        <f t="shared" si="180"/>
        <v>Summer</v>
      </c>
      <c r="C715" t="str">
        <f t="shared" si="180"/>
        <v>h12</v>
      </c>
      <c r="D715" t="str">
        <f t="shared" si="180"/>
        <v>Hour11</v>
      </c>
      <c r="E715" t="str">
        <f t="shared" si="180"/>
        <v>Weekday</v>
      </c>
      <c r="F715" s="27">
        <f>F135*IF($E715="weekday",INDEX('Category Mapping'!$F$28:$F$39,MATCH('Summarized Source Data'!$A715,'Category Mapping'!$A$28:$A$39,0),1),INDEX('Category Mapping'!$E$28:$E$39,MATCH($A715,'Category Mapping'!$A$28:$A$39,0),1))</f>
        <v>6903771.4285714291</v>
      </c>
      <c r="G715" s="27">
        <f>G135*IF($E715="weekday",INDEX('Category Mapping'!$F$28:$F$39,MATCH('Summarized Source Data'!$A715,'Category Mapping'!$A$28:$A$39,0),1),INDEX('Category Mapping'!$E$28:$E$39,MATCH($A715,'Category Mapping'!$A$28:$A$39,0),1))</f>
        <v>685714285.71428573</v>
      </c>
      <c r="H715" s="27">
        <f>H135*IF($E715="weekday",INDEX('Category Mapping'!$F$28:$F$39,MATCH('Summarized Source Data'!$A715,'Category Mapping'!$A$28:$A$39,0),1),INDEX('Category Mapping'!$E$28:$E$39,MATCH($A715,'Category Mapping'!$A$28:$A$39,0),1))</f>
        <v>0</v>
      </c>
      <c r="I715" s="27">
        <f>I135*IF($E715="weekday",INDEX('Category Mapping'!$F$28:$F$39,MATCH('Summarized Source Data'!$A715,'Category Mapping'!$A$28:$A$39,0),1),INDEX('Category Mapping'!$E$28:$E$39,MATCH($A715,'Category Mapping'!$A$28:$A$39,0),1))</f>
        <v>212504807.14285716</v>
      </c>
      <c r="J715" s="27">
        <f>J135*IF($E715="weekday",INDEX('Category Mapping'!$F$28:$F$39,MATCH('Summarized Source Data'!$A715,'Category Mapping'!$A$28:$A$39,0),1),INDEX('Category Mapping'!$E$28:$E$39,MATCH($A715,'Category Mapping'!$A$28:$A$39,0),1))</f>
        <v>2309162850</v>
      </c>
      <c r="K715" s="27">
        <f>K135*IF($E715="weekday",INDEX('Category Mapping'!$F$28:$F$39,MATCH('Summarized Source Data'!$A715,'Category Mapping'!$A$28:$A$39,0),1),INDEX('Category Mapping'!$E$28:$E$39,MATCH($A715,'Category Mapping'!$A$28:$A$39,0),1))</f>
        <v>2309162850</v>
      </c>
      <c r="L715" s="27">
        <f>L135*IF($E715="weekday",INDEX('Category Mapping'!$F$28:$F$39,MATCH('Summarized Source Data'!$A715,'Category Mapping'!$A$28:$A$39,0),1),INDEX('Category Mapping'!$E$28:$E$39,MATCH($A715,'Category Mapping'!$A$28:$A$39,0),1))</f>
        <v>16150842.857142858</v>
      </c>
      <c r="M715" s="27">
        <f>M135*IF($E715="weekday",INDEX('Category Mapping'!$F$28:$F$39,MATCH('Summarized Source Data'!$A715,'Category Mapping'!$A$28:$A$39,0),1),INDEX('Category Mapping'!$E$28:$E$39,MATCH($A715,'Category Mapping'!$A$28:$A$39,0),1))</f>
        <v>3857142857.1428576</v>
      </c>
      <c r="N715" s="27">
        <f>N135*IF($E715="weekday",INDEX('Category Mapping'!$F$28:$F$39,MATCH('Summarized Source Data'!$A715,'Category Mapping'!$A$28:$A$39,0),1),INDEX('Category Mapping'!$E$28:$E$39,MATCH($A715,'Category Mapping'!$A$28:$A$39,0),1))</f>
        <v>0</v>
      </c>
      <c r="O715" s="27">
        <f>O135*IF($E715="weekday",INDEX('Category Mapping'!$F$28:$F$39,MATCH('Summarized Source Data'!$A715,'Category Mapping'!$A$28:$A$39,0),1),INDEX('Category Mapping'!$E$28:$E$39,MATCH($A715,'Category Mapping'!$A$28:$A$39,0),1))</f>
        <v>10912420585.714287</v>
      </c>
      <c r="P715" s="27">
        <f>P135*IF($E715="weekday",INDEX('Category Mapping'!$F$28:$F$39,MATCH('Summarized Source Data'!$A715,'Category Mapping'!$A$28:$A$39,0),1),INDEX('Category Mapping'!$E$28:$E$39,MATCH($A715,'Category Mapping'!$A$28:$A$39,0),1))</f>
        <v>10912420585.714287</v>
      </c>
      <c r="Q715" s="27">
        <f>Q135*IF($E715="weekday",INDEX('Category Mapping'!$F$28:$F$39,MATCH('Summarized Source Data'!$A715,'Category Mapping'!$A$28:$A$39,0),1),INDEX('Category Mapping'!$E$28:$E$39,MATCH($A715,'Category Mapping'!$A$28:$A$39,0),1))</f>
        <v>10912420585.714287</v>
      </c>
      <c r="R715" s="27">
        <f>R135*IF($E715="weekday",INDEX('Category Mapping'!$F$28:$F$39,MATCH('Summarized Source Data'!$A715,'Category Mapping'!$A$28:$A$39,0),1),INDEX('Category Mapping'!$E$28:$E$39,MATCH($A715,'Category Mapping'!$A$28:$A$39,0),1))</f>
        <v>235714285.71428573</v>
      </c>
      <c r="S715" s="27">
        <f>S135*IF($E715="weekday",INDEX('Category Mapping'!$F$28:$F$39,MATCH('Summarized Source Data'!$A715,'Category Mapping'!$A$28:$A$39,0),1),INDEX('Category Mapping'!$E$28:$E$39,MATCH($A715,'Category Mapping'!$A$28:$A$39,0),1))</f>
        <v>235714285.71428573</v>
      </c>
      <c r="T715" s="27">
        <f>T135*IF($E715="weekday",INDEX('Category Mapping'!$F$28:$F$39,MATCH('Summarized Source Data'!$A715,'Category Mapping'!$A$28:$A$39,0),1),INDEX('Category Mapping'!$E$28:$E$39,MATCH($A715,'Category Mapping'!$A$28:$A$39,0),1))</f>
        <v>235714285.71428573</v>
      </c>
      <c r="U715" s="27">
        <f>U135*IF($E715="weekday",INDEX('Category Mapping'!$F$28:$F$39,MATCH('Summarized Source Data'!$A715,'Category Mapping'!$A$28:$A$39,0),1),INDEX('Category Mapping'!$E$28:$E$39,MATCH($A715,'Category Mapping'!$A$28:$A$39,0),1))</f>
        <v>235714285.71428573</v>
      </c>
      <c r="V715" s="27">
        <f>V135*IF($E715="weekday",INDEX('Category Mapping'!$F$28:$F$39,MATCH('Summarized Source Data'!$A715,'Category Mapping'!$A$28:$A$39,0),1),INDEX('Category Mapping'!$E$28:$E$39,MATCH($A715,'Category Mapping'!$A$28:$A$39,0),1))</f>
        <v>235714285.71428573</v>
      </c>
      <c r="W715" s="27">
        <f>W135*IF($E715="weekday",INDEX('Category Mapping'!$F$28:$F$39,MATCH('Summarized Source Data'!$A715,'Category Mapping'!$A$28:$A$39,0),1),INDEX('Category Mapping'!$E$28:$E$39,MATCH($A715,'Category Mapping'!$A$28:$A$39,0),1))</f>
        <v>235714285.71428573</v>
      </c>
      <c r="X715" s="27">
        <f>X135*IF($E715="weekday",INDEX('Category Mapping'!$F$28:$F$39,MATCH('Summarized Source Data'!$A715,'Category Mapping'!$A$28:$A$39,0),1),INDEX('Category Mapping'!$E$28:$E$39,MATCH($A715,'Category Mapping'!$A$28:$A$39,0),1))</f>
        <v>14464285714.285715</v>
      </c>
      <c r="Y715" s="27">
        <f>Y135*IF($E715="weekday",INDEX('Category Mapping'!$F$28:$F$39,MATCH('Summarized Source Data'!$A715,'Category Mapping'!$A$28:$A$39,0),1),INDEX('Category Mapping'!$E$28:$E$39,MATCH($A715,'Category Mapping'!$A$28:$A$39,0),1))</f>
        <v>14464285714.285715</v>
      </c>
      <c r="Z715" s="27">
        <f>Z135*IF($E715="weekday",INDEX('Category Mapping'!$F$28:$F$39,MATCH('Summarized Source Data'!$A715,'Category Mapping'!$A$28:$A$39,0),1),INDEX('Category Mapping'!$E$28:$E$39,MATCH($A715,'Category Mapping'!$A$28:$A$39,0),1))</f>
        <v>14464285714.285715</v>
      </c>
    </row>
    <row r="716" spans="1:26" x14ac:dyDescent="0.3">
      <c r="A716">
        <f t="shared" ref="A716:E716" si="181">A136</f>
        <v>6</v>
      </c>
      <c r="B716" t="str">
        <f t="shared" si="181"/>
        <v>Summer</v>
      </c>
      <c r="C716" t="str">
        <f t="shared" si="181"/>
        <v>h13</v>
      </c>
      <c r="D716" t="str">
        <f t="shared" si="181"/>
        <v>Hour12</v>
      </c>
      <c r="E716" t="str">
        <f t="shared" si="181"/>
        <v>Weekday</v>
      </c>
      <c r="F716" s="27">
        <f>F136*IF($E716="weekday",INDEX('Category Mapping'!$F$28:$F$39,MATCH('Summarized Source Data'!$A716,'Category Mapping'!$A$28:$A$39,0),1),INDEX('Category Mapping'!$E$28:$E$39,MATCH($A716,'Category Mapping'!$A$28:$A$39,0),1))</f>
        <v>7106400.0000000009</v>
      </c>
      <c r="G716" s="27">
        <f>G136*IF($E716="weekday",INDEX('Category Mapping'!$F$28:$F$39,MATCH('Summarized Source Data'!$A716,'Category Mapping'!$A$28:$A$39,0),1),INDEX('Category Mapping'!$E$28:$E$39,MATCH($A716,'Category Mapping'!$A$28:$A$39,0),1))</f>
        <v>827142857.14285719</v>
      </c>
      <c r="H716" s="27">
        <f>H136*IF($E716="weekday",INDEX('Category Mapping'!$F$28:$F$39,MATCH('Summarized Source Data'!$A716,'Category Mapping'!$A$28:$A$39,0),1),INDEX('Category Mapping'!$E$28:$E$39,MATCH($A716,'Category Mapping'!$A$28:$A$39,0),1))</f>
        <v>0</v>
      </c>
      <c r="I716" s="27">
        <f>I136*IF($E716="weekday",INDEX('Category Mapping'!$F$28:$F$39,MATCH('Summarized Source Data'!$A716,'Category Mapping'!$A$28:$A$39,0),1),INDEX('Category Mapping'!$E$28:$E$39,MATCH($A716,'Category Mapping'!$A$28:$A$39,0),1))</f>
        <v>222857142.85714287</v>
      </c>
      <c r="J716" s="27">
        <f>J136*IF($E716="weekday",INDEX('Category Mapping'!$F$28:$F$39,MATCH('Summarized Source Data'!$A716,'Category Mapping'!$A$28:$A$39,0),1),INDEX('Category Mapping'!$E$28:$E$39,MATCH($A716,'Category Mapping'!$A$28:$A$39,0),1))</f>
        <v>2242893600</v>
      </c>
      <c r="K716" s="27">
        <f>K136*IF($E716="weekday",INDEX('Category Mapping'!$F$28:$F$39,MATCH('Summarized Source Data'!$A716,'Category Mapping'!$A$28:$A$39,0),1),INDEX('Category Mapping'!$E$28:$E$39,MATCH($A716,'Category Mapping'!$A$28:$A$39,0),1))</f>
        <v>2242893600</v>
      </c>
      <c r="L716" s="27">
        <f>L136*IF($E716="weekday",INDEX('Category Mapping'!$F$28:$F$39,MATCH('Summarized Source Data'!$A716,'Category Mapping'!$A$28:$A$39,0),1),INDEX('Category Mapping'!$E$28:$E$39,MATCH($A716,'Category Mapping'!$A$28:$A$39,0),1))</f>
        <v>14782735.714285716</v>
      </c>
      <c r="M716" s="27">
        <f>M136*IF($E716="weekday",INDEX('Category Mapping'!$F$28:$F$39,MATCH('Summarized Source Data'!$A716,'Category Mapping'!$A$28:$A$39,0),1),INDEX('Category Mapping'!$E$28:$E$39,MATCH($A716,'Category Mapping'!$A$28:$A$39,0),1))</f>
        <v>3921428571.4285717</v>
      </c>
      <c r="N716" s="27">
        <f>N136*IF($E716="weekday",INDEX('Category Mapping'!$F$28:$F$39,MATCH('Summarized Source Data'!$A716,'Category Mapping'!$A$28:$A$39,0),1),INDEX('Category Mapping'!$E$28:$E$39,MATCH($A716,'Category Mapping'!$A$28:$A$39,0),1))</f>
        <v>0</v>
      </c>
      <c r="O716" s="27">
        <f>O136*IF($E716="weekday",INDEX('Category Mapping'!$F$28:$F$39,MATCH('Summarized Source Data'!$A716,'Category Mapping'!$A$28:$A$39,0),1),INDEX('Category Mapping'!$E$28:$E$39,MATCH($A716,'Category Mapping'!$A$28:$A$39,0),1))</f>
        <v>10720931550.000002</v>
      </c>
      <c r="P716" s="27">
        <f>P136*IF($E716="weekday",INDEX('Category Mapping'!$F$28:$F$39,MATCH('Summarized Source Data'!$A716,'Category Mapping'!$A$28:$A$39,0),1),INDEX('Category Mapping'!$E$28:$E$39,MATCH($A716,'Category Mapping'!$A$28:$A$39,0),1))</f>
        <v>10720931550.000002</v>
      </c>
      <c r="Q716" s="27">
        <f>Q136*IF($E716="weekday",INDEX('Category Mapping'!$F$28:$F$39,MATCH('Summarized Source Data'!$A716,'Category Mapping'!$A$28:$A$39,0),1),INDEX('Category Mapping'!$E$28:$E$39,MATCH($A716,'Category Mapping'!$A$28:$A$39,0),1))</f>
        <v>10720931550.000002</v>
      </c>
      <c r="R716" s="27">
        <f>R136*IF($E716="weekday",INDEX('Category Mapping'!$F$28:$F$39,MATCH('Summarized Source Data'!$A716,'Category Mapping'!$A$28:$A$39,0),1),INDEX('Category Mapping'!$E$28:$E$39,MATCH($A716,'Category Mapping'!$A$28:$A$39,0),1))</f>
        <v>240000000.00000003</v>
      </c>
      <c r="S716" s="27">
        <f>S136*IF($E716="weekday",INDEX('Category Mapping'!$F$28:$F$39,MATCH('Summarized Source Data'!$A716,'Category Mapping'!$A$28:$A$39,0),1),INDEX('Category Mapping'!$E$28:$E$39,MATCH($A716,'Category Mapping'!$A$28:$A$39,0),1))</f>
        <v>240000000.00000003</v>
      </c>
      <c r="T716" s="27">
        <f>T136*IF($E716="weekday",INDEX('Category Mapping'!$F$28:$F$39,MATCH('Summarized Source Data'!$A716,'Category Mapping'!$A$28:$A$39,0),1),INDEX('Category Mapping'!$E$28:$E$39,MATCH($A716,'Category Mapping'!$A$28:$A$39,0),1))</f>
        <v>240000000.00000003</v>
      </c>
      <c r="U716" s="27">
        <f>U136*IF($E716="weekday",INDEX('Category Mapping'!$F$28:$F$39,MATCH('Summarized Source Data'!$A716,'Category Mapping'!$A$28:$A$39,0),1),INDEX('Category Mapping'!$E$28:$E$39,MATCH($A716,'Category Mapping'!$A$28:$A$39,0),1))</f>
        <v>240000000.00000003</v>
      </c>
      <c r="V716" s="27">
        <f>V136*IF($E716="weekday",INDEX('Category Mapping'!$F$28:$F$39,MATCH('Summarized Source Data'!$A716,'Category Mapping'!$A$28:$A$39,0),1),INDEX('Category Mapping'!$E$28:$E$39,MATCH($A716,'Category Mapping'!$A$28:$A$39,0),1))</f>
        <v>240000000.00000003</v>
      </c>
      <c r="W716" s="27">
        <f>W136*IF($E716="weekday",INDEX('Category Mapping'!$F$28:$F$39,MATCH('Summarized Source Data'!$A716,'Category Mapping'!$A$28:$A$39,0),1),INDEX('Category Mapping'!$E$28:$E$39,MATCH($A716,'Category Mapping'!$A$28:$A$39,0),1))</f>
        <v>240000000.00000003</v>
      </c>
      <c r="X716" s="27">
        <f>X136*IF($E716="weekday",INDEX('Category Mapping'!$F$28:$F$39,MATCH('Summarized Source Data'!$A716,'Category Mapping'!$A$28:$A$39,0),1),INDEX('Category Mapping'!$E$28:$E$39,MATCH($A716,'Category Mapping'!$A$28:$A$39,0),1))</f>
        <v>14421428571.428574</v>
      </c>
      <c r="Y716" s="27">
        <f>Y136*IF($E716="weekday",INDEX('Category Mapping'!$F$28:$F$39,MATCH('Summarized Source Data'!$A716,'Category Mapping'!$A$28:$A$39,0),1),INDEX('Category Mapping'!$E$28:$E$39,MATCH($A716,'Category Mapping'!$A$28:$A$39,0),1))</f>
        <v>14421428571.428574</v>
      </c>
      <c r="Z716" s="27">
        <f>Z136*IF($E716="weekday",INDEX('Category Mapping'!$F$28:$F$39,MATCH('Summarized Source Data'!$A716,'Category Mapping'!$A$28:$A$39,0),1),INDEX('Category Mapping'!$E$28:$E$39,MATCH($A716,'Category Mapping'!$A$28:$A$39,0),1))</f>
        <v>14421428571.428574</v>
      </c>
    </row>
    <row r="717" spans="1:26" x14ac:dyDescent="0.3">
      <c r="A717">
        <f t="shared" ref="A717:E717" si="182">A137</f>
        <v>6</v>
      </c>
      <c r="B717" t="str">
        <f t="shared" si="182"/>
        <v>Summer</v>
      </c>
      <c r="C717" t="str">
        <f t="shared" si="182"/>
        <v>h14</v>
      </c>
      <c r="D717" t="str">
        <f t="shared" si="182"/>
        <v>Hour13</v>
      </c>
      <c r="E717" t="str">
        <f t="shared" si="182"/>
        <v>Weekday</v>
      </c>
      <c r="F717" s="27">
        <f>F137*IF($E717="weekday",INDEX('Category Mapping'!$F$28:$F$39,MATCH('Summarized Source Data'!$A717,'Category Mapping'!$A$28:$A$39,0),1),INDEX('Category Mapping'!$E$28:$E$39,MATCH($A717,'Category Mapping'!$A$28:$A$39,0),1))</f>
        <v>7163400.0000000009</v>
      </c>
      <c r="G717" s="27">
        <f>G137*IF($E717="weekday",INDEX('Category Mapping'!$F$28:$F$39,MATCH('Summarized Source Data'!$A717,'Category Mapping'!$A$28:$A$39,0),1),INDEX('Category Mapping'!$E$28:$E$39,MATCH($A717,'Category Mapping'!$A$28:$A$39,0),1))</f>
        <v>906428571.42857146</v>
      </c>
      <c r="H717" s="27">
        <f>H137*IF($E717="weekday",INDEX('Category Mapping'!$F$28:$F$39,MATCH('Summarized Source Data'!$A717,'Category Mapping'!$A$28:$A$39,0),1),INDEX('Category Mapping'!$E$28:$E$39,MATCH($A717,'Category Mapping'!$A$28:$A$39,0),1))</f>
        <v>0</v>
      </c>
      <c r="I717" s="27">
        <f>I137*IF($E717="weekday",INDEX('Category Mapping'!$F$28:$F$39,MATCH('Summarized Source Data'!$A717,'Category Mapping'!$A$28:$A$39,0),1),INDEX('Category Mapping'!$E$28:$E$39,MATCH($A717,'Category Mapping'!$A$28:$A$39,0),1))</f>
        <v>227142857.14285716</v>
      </c>
      <c r="J717" s="27">
        <f>J137*IF($E717="weekday",INDEX('Category Mapping'!$F$28:$F$39,MATCH('Summarized Source Data'!$A717,'Category Mapping'!$A$28:$A$39,0),1),INDEX('Category Mapping'!$E$28:$E$39,MATCH($A717,'Category Mapping'!$A$28:$A$39,0),1))</f>
        <v>2223550885.7142859</v>
      </c>
      <c r="K717" s="27">
        <f>K137*IF($E717="weekday",INDEX('Category Mapping'!$F$28:$F$39,MATCH('Summarized Source Data'!$A717,'Category Mapping'!$A$28:$A$39,0),1),INDEX('Category Mapping'!$E$28:$E$39,MATCH($A717,'Category Mapping'!$A$28:$A$39,0),1))</f>
        <v>2223550885.7142859</v>
      </c>
      <c r="L717" s="27">
        <f>L137*IF($E717="weekday",INDEX('Category Mapping'!$F$28:$F$39,MATCH('Summarized Source Data'!$A717,'Category Mapping'!$A$28:$A$39,0),1),INDEX('Category Mapping'!$E$28:$E$39,MATCH($A717,'Category Mapping'!$A$28:$A$39,0),1))</f>
        <v>13638321.428571429</v>
      </c>
      <c r="M717" s="27">
        <f>M137*IF($E717="weekday",INDEX('Category Mapping'!$F$28:$F$39,MATCH('Summarized Source Data'!$A717,'Category Mapping'!$A$28:$A$39,0),1),INDEX('Category Mapping'!$E$28:$E$39,MATCH($A717,'Category Mapping'!$A$28:$A$39,0),1))</f>
        <v>4071428571.4285717</v>
      </c>
      <c r="N717" s="27">
        <f>N137*IF($E717="weekday",INDEX('Category Mapping'!$F$28:$F$39,MATCH('Summarized Source Data'!$A717,'Category Mapping'!$A$28:$A$39,0),1),INDEX('Category Mapping'!$E$28:$E$39,MATCH($A717,'Category Mapping'!$A$28:$A$39,0),1))</f>
        <v>0</v>
      </c>
      <c r="O717" s="27">
        <f>O137*IF($E717="weekday",INDEX('Category Mapping'!$F$28:$F$39,MATCH('Summarized Source Data'!$A717,'Category Mapping'!$A$28:$A$39,0),1),INDEX('Category Mapping'!$E$28:$E$39,MATCH($A717,'Category Mapping'!$A$28:$A$39,0),1))</f>
        <v>10722075964.285715</v>
      </c>
      <c r="P717" s="27">
        <f>P137*IF($E717="weekday",INDEX('Category Mapping'!$F$28:$F$39,MATCH('Summarized Source Data'!$A717,'Category Mapping'!$A$28:$A$39,0),1),INDEX('Category Mapping'!$E$28:$E$39,MATCH($A717,'Category Mapping'!$A$28:$A$39,0),1))</f>
        <v>10722075964.285715</v>
      </c>
      <c r="Q717" s="27">
        <f>Q137*IF($E717="weekday",INDEX('Category Mapping'!$F$28:$F$39,MATCH('Summarized Source Data'!$A717,'Category Mapping'!$A$28:$A$39,0),1),INDEX('Category Mapping'!$E$28:$E$39,MATCH($A717,'Category Mapping'!$A$28:$A$39,0),1))</f>
        <v>10722075964.285715</v>
      </c>
      <c r="R717" s="27">
        <f>R137*IF($E717="weekday",INDEX('Category Mapping'!$F$28:$F$39,MATCH('Summarized Source Data'!$A717,'Category Mapping'!$A$28:$A$39,0),1),INDEX('Category Mapping'!$E$28:$E$39,MATCH($A717,'Category Mapping'!$A$28:$A$39,0),1))</f>
        <v>237857142.85714287</v>
      </c>
      <c r="S717" s="27">
        <f>S137*IF($E717="weekday",INDEX('Category Mapping'!$F$28:$F$39,MATCH('Summarized Source Data'!$A717,'Category Mapping'!$A$28:$A$39,0),1),INDEX('Category Mapping'!$E$28:$E$39,MATCH($A717,'Category Mapping'!$A$28:$A$39,0),1))</f>
        <v>237857142.85714287</v>
      </c>
      <c r="T717" s="27">
        <f>T137*IF($E717="weekday",INDEX('Category Mapping'!$F$28:$F$39,MATCH('Summarized Source Data'!$A717,'Category Mapping'!$A$28:$A$39,0),1),INDEX('Category Mapping'!$E$28:$E$39,MATCH($A717,'Category Mapping'!$A$28:$A$39,0),1))</f>
        <v>237857142.85714287</v>
      </c>
      <c r="U717" s="27">
        <f>U137*IF($E717="weekday",INDEX('Category Mapping'!$F$28:$F$39,MATCH('Summarized Source Data'!$A717,'Category Mapping'!$A$28:$A$39,0),1),INDEX('Category Mapping'!$E$28:$E$39,MATCH($A717,'Category Mapping'!$A$28:$A$39,0),1))</f>
        <v>237857142.85714287</v>
      </c>
      <c r="V717" s="27">
        <f>V137*IF($E717="weekday",INDEX('Category Mapping'!$F$28:$F$39,MATCH('Summarized Source Data'!$A717,'Category Mapping'!$A$28:$A$39,0),1),INDEX('Category Mapping'!$E$28:$E$39,MATCH($A717,'Category Mapping'!$A$28:$A$39,0),1))</f>
        <v>237857142.85714287</v>
      </c>
      <c r="W717" s="27">
        <f>W137*IF($E717="weekday",INDEX('Category Mapping'!$F$28:$F$39,MATCH('Summarized Source Data'!$A717,'Category Mapping'!$A$28:$A$39,0),1),INDEX('Category Mapping'!$E$28:$E$39,MATCH($A717,'Category Mapping'!$A$28:$A$39,0),1))</f>
        <v>237857142.85714287</v>
      </c>
      <c r="X717" s="27">
        <f>X137*IF($E717="weekday",INDEX('Category Mapping'!$F$28:$F$39,MATCH('Summarized Source Data'!$A717,'Category Mapping'!$A$28:$A$39,0),1),INDEX('Category Mapping'!$E$28:$E$39,MATCH($A717,'Category Mapping'!$A$28:$A$39,0),1))</f>
        <v>14421428571.428574</v>
      </c>
      <c r="Y717" s="27">
        <f>Y137*IF($E717="weekday",INDEX('Category Mapping'!$F$28:$F$39,MATCH('Summarized Source Data'!$A717,'Category Mapping'!$A$28:$A$39,0),1),INDEX('Category Mapping'!$E$28:$E$39,MATCH($A717,'Category Mapping'!$A$28:$A$39,0),1))</f>
        <v>14421428571.428574</v>
      </c>
      <c r="Z717" s="27">
        <f>Z137*IF($E717="weekday",INDEX('Category Mapping'!$F$28:$F$39,MATCH('Summarized Source Data'!$A717,'Category Mapping'!$A$28:$A$39,0),1),INDEX('Category Mapping'!$E$28:$E$39,MATCH($A717,'Category Mapping'!$A$28:$A$39,0),1))</f>
        <v>14421428571.428574</v>
      </c>
    </row>
    <row r="718" spans="1:26" x14ac:dyDescent="0.3">
      <c r="A718">
        <f t="shared" ref="A718:E718" si="183">A138</f>
        <v>6</v>
      </c>
      <c r="B718" t="str">
        <f t="shared" si="183"/>
        <v>Summer</v>
      </c>
      <c r="C718" t="str">
        <f t="shared" si="183"/>
        <v>h15</v>
      </c>
      <c r="D718" t="str">
        <f t="shared" si="183"/>
        <v>Hour14</v>
      </c>
      <c r="E718" t="str">
        <f t="shared" si="183"/>
        <v>Weekday</v>
      </c>
      <c r="F718" s="27">
        <f>F138*IF($E718="weekday",INDEX('Category Mapping'!$F$28:$F$39,MATCH('Summarized Source Data'!$A718,'Category Mapping'!$A$28:$A$39,0),1),INDEX('Category Mapping'!$E$28:$E$39,MATCH($A718,'Category Mapping'!$A$28:$A$39,0),1))</f>
        <v>7267114.2857142864</v>
      </c>
      <c r="G718" s="27">
        <f>G138*IF($E718="weekday",INDEX('Category Mapping'!$F$28:$F$39,MATCH('Summarized Source Data'!$A718,'Category Mapping'!$A$28:$A$39,0),1),INDEX('Category Mapping'!$E$28:$E$39,MATCH($A718,'Category Mapping'!$A$28:$A$39,0),1))</f>
        <v>964285714.28571439</v>
      </c>
      <c r="H718" s="27">
        <f>H138*IF($E718="weekday",INDEX('Category Mapping'!$F$28:$F$39,MATCH('Summarized Source Data'!$A718,'Category Mapping'!$A$28:$A$39,0),1),INDEX('Category Mapping'!$E$28:$E$39,MATCH($A718,'Category Mapping'!$A$28:$A$39,0),1))</f>
        <v>0</v>
      </c>
      <c r="I718" s="27">
        <f>I138*IF($E718="weekday",INDEX('Category Mapping'!$F$28:$F$39,MATCH('Summarized Source Data'!$A718,'Category Mapping'!$A$28:$A$39,0),1),INDEX('Category Mapping'!$E$28:$E$39,MATCH($A718,'Category Mapping'!$A$28:$A$39,0),1))</f>
        <v>233571428.5714286</v>
      </c>
      <c r="J718" s="27">
        <f>J138*IF($E718="weekday",INDEX('Category Mapping'!$F$28:$F$39,MATCH('Summarized Source Data'!$A718,'Category Mapping'!$A$28:$A$39,0),1),INDEX('Category Mapping'!$E$28:$E$39,MATCH($A718,'Category Mapping'!$A$28:$A$39,0),1))</f>
        <v>2309161457.1428576</v>
      </c>
      <c r="K718" s="27">
        <f>K138*IF($E718="weekday",INDEX('Category Mapping'!$F$28:$F$39,MATCH('Summarized Source Data'!$A718,'Category Mapping'!$A$28:$A$39,0),1),INDEX('Category Mapping'!$E$28:$E$39,MATCH($A718,'Category Mapping'!$A$28:$A$39,0),1))</f>
        <v>2309161457.1428576</v>
      </c>
      <c r="L718" s="27">
        <f>L138*IF($E718="weekday",INDEX('Category Mapping'!$F$28:$F$39,MATCH('Summarized Source Data'!$A718,'Category Mapping'!$A$28:$A$39,0),1),INDEX('Category Mapping'!$E$28:$E$39,MATCH($A718,'Category Mapping'!$A$28:$A$39,0),1))</f>
        <v>12634200.000000002</v>
      </c>
      <c r="M718" s="27">
        <f>M138*IF($E718="weekday",INDEX('Category Mapping'!$F$28:$F$39,MATCH('Summarized Source Data'!$A718,'Category Mapping'!$A$28:$A$39,0),1),INDEX('Category Mapping'!$E$28:$E$39,MATCH($A718,'Category Mapping'!$A$28:$A$39,0),1))</f>
        <v>4157142857.1428576</v>
      </c>
      <c r="N718" s="27">
        <f>N138*IF($E718="weekday",INDEX('Category Mapping'!$F$28:$F$39,MATCH('Summarized Source Data'!$A718,'Category Mapping'!$A$28:$A$39,0),1),INDEX('Category Mapping'!$E$28:$E$39,MATCH($A718,'Category Mapping'!$A$28:$A$39,0),1))</f>
        <v>0</v>
      </c>
      <c r="O718" s="27">
        <f>O138*IF($E718="weekday",INDEX('Category Mapping'!$F$28:$F$39,MATCH('Summarized Source Data'!$A718,'Category Mapping'!$A$28:$A$39,0),1),INDEX('Category Mapping'!$E$28:$E$39,MATCH($A718,'Category Mapping'!$A$28:$A$39,0),1))</f>
        <v>10723080085.714287</v>
      </c>
      <c r="P718" s="27">
        <f>P138*IF($E718="weekday",INDEX('Category Mapping'!$F$28:$F$39,MATCH('Summarized Source Data'!$A718,'Category Mapping'!$A$28:$A$39,0),1),INDEX('Category Mapping'!$E$28:$E$39,MATCH($A718,'Category Mapping'!$A$28:$A$39,0),1))</f>
        <v>10723080085.714287</v>
      </c>
      <c r="Q718" s="27">
        <f>Q138*IF($E718="weekday",INDEX('Category Mapping'!$F$28:$F$39,MATCH('Summarized Source Data'!$A718,'Category Mapping'!$A$28:$A$39,0),1),INDEX('Category Mapping'!$E$28:$E$39,MATCH($A718,'Category Mapping'!$A$28:$A$39,0),1))</f>
        <v>10723080085.714287</v>
      </c>
      <c r="R718" s="27">
        <f>R138*IF($E718="weekday",INDEX('Category Mapping'!$F$28:$F$39,MATCH('Summarized Source Data'!$A718,'Category Mapping'!$A$28:$A$39,0),1),INDEX('Category Mapping'!$E$28:$E$39,MATCH($A718,'Category Mapping'!$A$28:$A$39,0),1))</f>
        <v>235714285.71428573</v>
      </c>
      <c r="S718" s="27">
        <f>S138*IF($E718="weekday",INDEX('Category Mapping'!$F$28:$F$39,MATCH('Summarized Source Data'!$A718,'Category Mapping'!$A$28:$A$39,0),1),INDEX('Category Mapping'!$E$28:$E$39,MATCH($A718,'Category Mapping'!$A$28:$A$39,0),1))</f>
        <v>235714285.71428573</v>
      </c>
      <c r="T718" s="27">
        <f>T138*IF($E718="weekday",INDEX('Category Mapping'!$F$28:$F$39,MATCH('Summarized Source Data'!$A718,'Category Mapping'!$A$28:$A$39,0),1),INDEX('Category Mapping'!$E$28:$E$39,MATCH($A718,'Category Mapping'!$A$28:$A$39,0),1))</f>
        <v>235714285.71428573</v>
      </c>
      <c r="U718" s="27">
        <f>U138*IF($E718="weekday",INDEX('Category Mapping'!$F$28:$F$39,MATCH('Summarized Source Data'!$A718,'Category Mapping'!$A$28:$A$39,0),1),INDEX('Category Mapping'!$E$28:$E$39,MATCH($A718,'Category Mapping'!$A$28:$A$39,0),1))</f>
        <v>235714285.71428573</v>
      </c>
      <c r="V718" s="27">
        <f>V138*IF($E718="weekday",INDEX('Category Mapping'!$F$28:$F$39,MATCH('Summarized Source Data'!$A718,'Category Mapping'!$A$28:$A$39,0),1),INDEX('Category Mapping'!$E$28:$E$39,MATCH($A718,'Category Mapping'!$A$28:$A$39,0),1))</f>
        <v>235714285.71428573</v>
      </c>
      <c r="W718" s="27">
        <f>W138*IF($E718="weekday",INDEX('Category Mapping'!$F$28:$F$39,MATCH('Summarized Source Data'!$A718,'Category Mapping'!$A$28:$A$39,0),1),INDEX('Category Mapping'!$E$28:$E$39,MATCH($A718,'Category Mapping'!$A$28:$A$39,0),1))</f>
        <v>235714285.71428573</v>
      </c>
      <c r="X718" s="27">
        <f>X138*IF($E718="weekday",INDEX('Category Mapping'!$F$28:$F$39,MATCH('Summarized Source Data'!$A718,'Category Mapping'!$A$28:$A$39,0),1),INDEX('Category Mapping'!$E$28:$E$39,MATCH($A718,'Category Mapping'!$A$28:$A$39,0),1))</f>
        <v>14442857142.857143</v>
      </c>
      <c r="Y718" s="27">
        <f>Y138*IF($E718="weekday",INDEX('Category Mapping'!$F$28:$F$39,MATCH('Summarized Source Data'!$A718,'Category Mapping'!$A$28:$A$39,0),1),INDEX('Category Mapping'!$E$28:$E$39,MATCH($A718,'Category Mapping'!$A$28:$A$39,0),1))</f>
        <v>14442857142.857143</v>
      </c>
      <c r="Z718" s="27">
        <f>Z138*IF($E718="weekday",INDEX('Category Mapping'!$F$28:$F$39,MATCH('Summarized Source Data'!$A718,'Category Mapping'!$A$28:$A$39,0),1),INDEX('Category Mapping'!$E$28:$E$39,MATCH($A718,'Category Mapping'!$A$28:$A$39,0),1))</f>
        <v>14442857142.857143</v>
      </c>
    </row>
    <row r="719" spans="1:26" x14ac:dyDescent="0.3">
      <c r="A719">
        <f t="shared" ref="A719:E719" si="184">A139</f>
        <v>6</v>
      </c>
      <c r="B719" t="str">
        <f t="shared" si="184"/>
        <v>Summer</v>
      </c>
      <c r="C719" t="str">
        <f t="shared" si="184"/>
        <v>h16</v>
      </c>
      <c r="D719" t="str">
        <f t="shared" si="184"/>
        <v>Hour15</v>
      </c>
      <c r="E719" t="str">
        <f t="shared" si="184"/>
        <v>Weekday</v>
      </c>
      <c r="F719" s="27">
        <f>F139*IF($E719="weekday",INDEX('Category Mapping'!$F$28:$F$39,MATCH('Summarized Source Data'!$A719,'Category Mapping'!$A$28:$A$39,0),1),INDEX('Category Mapping'!$E$28:$E$39,MATCH($A719,'Category Mapping'!$A$28:$A$39,0),1))</f>
        <v>7602107.1428571437</v>
      </c>
      <c r="G719" s="27">
        <f>G139*IF($E719="weekday",INDEX('Category Mapping'!$F$28:$F$39,MATCH('Summarized Source Data'!$A719,'Category Mapping'!$A$28:$A$39,0),1),INDEX('Category Mapping'!$E$28:$E$39,MATCH($A719,'Category Mapping'!$A$28:$A$39,0),1))</f>
        <v>1032857142.8571429</v>
      </c>
      <c r="H719" s="27">
        <f>H139*IF($E719="weekday",INDEX('Category Mapping'!$F$28:$F$39,MATCH('Summarized Source Data'!$A719,'Category Mapping'!$A$28:$A$39,0),1),INDEX('Category Mapping'!$E$28:$E$39,MATCH($A719,'Category Mapping'!$A$28:$A$39,0),1))</f>
        <v>0</v>
      </c>
      <c r="I719" s="27">
        <f>I139*IF($E719="weekday",INDEX('Category Mapping'!$F$28:$F$39,MATCH('Summarized Source Data'!$A719,'Category Mapping'!$A$28:$A$39,0),1),INDEX('Category Mapping'!$E$28:$E$39,MATCH($A719,'Category Mapping'!$A$28:$A$39,0),1))</f>
        <v>252857142.8571429</v>
      </c>
      <c r="J719" s="27">
        <f>J139*IF($E719="weekday",INDEX('Category Mapping'!$F$28:$F$39,MATCH('Summarized Source Data'!$A719,'Category Mapping'!$A$28:$A$39,0),1),INDEX('Category Mapping'!$E$28:$E$39,MATCH($A719,'Category Mapping'!$A$28:$A$39,0),1))</f>
        <v>2606683607.1428576</v>
      </c>
      <c r="K719" s="27">
        <f>K139*IF($E719="weekday",INDEX('Category Mapping'!$F$28:$F$39,MATCH('Summarized Source Data'!$A719,'Category Mapping'!$A$28:$A$39,0),1),INDEX('Category Mapping'!$E$28:$E$39,MATCH($A719,'Category Mapping'!$A$28:$A$39,0),1))</f>
        <v>2606683607.1428576</v>
      </c>
      <c r="L719" s="27">
        <f>L139*IF($E719="weekday",INDEX('Category Mapping'!$F$28:$F$39,MATCH('Summarized Source Data'!$A719,'Category Mapping'!$A$28:$A$39,0),1),INDEX('Category Mapping'!$E$28:$E$39,MATCH($A719,'Category Mapping'!$A$28:$A$39,0),1))</f>
        <v>11610128.571428573</v>
      </c>
      <c r="M719" s="27">
        <f>M139*IF($E719="weekday",INDEX('Category Mapping'!$F$28:$F$39,MATCH('Summarized Source Data'!$A719,'Category Mapping'!$A$28:$A$39,0),1),INDEX('Category Mapping'!$E$28:$E$39,MATCH($A719,'Category Mapping'!$A$28:$A$39,0),1))</f>
        <v>4135714285.7142863</v>
      </c>
      <c r="N719" s="27">
        <f>N139*IF($E719="weekday",INDEX('Category Mapping'!$F$28:$F$39,MATCH('Summarized Source Data'!$A719,'Category Mapping'!$A$28:$A$39,0),1),INDEX('Category Mapping'!$E$28:$E$39,MATCH($A719,'Category Mapping'!$A$28:$A$39,0),1))</f>
        <v>0</v>
      </c>
      <c r="O719" s="27">
        <f>O139*IF($E719="weekday",INDEX('Category Mapping'!$F$28:$F$39,MATCH('Summarized Source Data'!$A719,'Category Mapping'!$A$28:$A$39,0),1),INDEX('Category Mapping'!$E$28:$E$39,MATCH($A719,'Category Mapping'!$A$28:$A$39,0),1))</f>
        <v>10724104157.142859</v>
      </c>
      <c r="P719" s="27">
        <f>P139*IF($E719="weekday",INDEX('Category Mapping'!$F$28:$F$39,MATCH('Summarized Source Data'!$A719,'Category Mapping'!$A$28:$A$39,0),1),INDEX('Category Mapping'!$E$28:$E$39,MATCH($A719,'Category Mapping'!$A$28:$A$39,0),1))</f>
        <v>10724104157.142859</v>
      </c>
      <c r="Q719" s="27">
        <f>Q139*IF($E719="weekday",INDEX('Category Mapping'!$F$28:$F$39,MATCH('Summarized Source Data'!$A719,'Category Mapping'!$A$28:$A$39,0),1),INDEX('Category Mapping'!$E$28:$E$39,MATCH($A719,'Category Mapping'!$A$28:$A$39,0),1))</f>
        <v>10724104157.142859</v>
      </c>
      <c r="R719" s="27">
        <f>R139*IF($E719="weekday",INDEX('Category Mapping'!$F$28:$F$39,MATCH('Summarized Source Data'!$A719,'Category Mapping'!$A$28:$A$39,0),1),INDEX('Category Mapping'!$E$28:$E$39,MATCH($A719,'Category Mapping'!$A$28:$A$39,0),1))</f>
        <v>278571428.5714286</v>
      </c>
      <c r="S719" s="27">
        <f>S139*IF($E719="weekday",INDEX('Category Mapping'!$F$28:$F$39,MATCH('Summarized Source Data'!$A719,'Category Mapping'!$A$28:$A$39,0),1),INDEX('Category Mapping'!$E$28:$E$39,MATCH($A719,'Category Mapping'!$A$28:$A$39,0),1))</f>
        <v>278571428.5714286</v>
      </c>
      <c r="T719" s="27">
        <f>T139*IF($E719="weekday",INDEX('Category Mapping'!$F$28:$F$39,MATCH('Summarized Source Data'!$A719,'Category Mapping'!$A$28:$A$39,0),1),INDEX('Category Mapping'!$E$28:$E$39,MATCH($A719,'Category Mapping'!$A$28:$A$39,0),1))</f>
        <v>278571428.5714286</v>
      </c>
      <c r="U719" s="27">
        <f>U139*IF($E719="weekday",INDEX('Category Mapping'!$F$28:$F$39,MATCH('Summarized Source Data'!$A719,'Category Mapping'!$A$28:$A$39,0),1),INDEX('Category Mapping'!$E$28:$E$39,MATCH($A719,'Category Mapping'!$A$28:$A$39,0),1))</f>
        <v>278571428.5714286</v>
      </c>
      <c r="V719" s="27">
        <f>V139*IF($E719="weekday",INDEX('Category Mapping'!$F$28:$F$39,MATCH('Summarized Source Data'!$A719,'Category Mapping'!$A$28:$A$39,0),1),INDEX('Category Mapping'!$E$28:$E$39,MATCH($A719,'Category Mapping'!$A$28:$A$39,0),1))</f>
        <v>278571428.5714286</v>
      </c>
      <c r="W719" s="27">
        <f>W139*IF($E719="weekday",INDEX('Category Mapping'!$F$28:$F$39,MATCH('Summarized Source Data'!$A719,'Category Mapping'!$A$28:$A$39,0),1),INDEX('Category Mapping'!$E$28:$E$39,MATCH($A719,'Category Mapping'!$A$28:$A$39,0),1))</f>
        <v>278571428.5714286</v>
      </c>
      <c r="X719" s="27">
        <f>X139*IF($E719="weekday",INDEX('Category Mapping'!$F$28:$F$39,MATCH('Summarized Source Data'!$A719,'Category Mapping'!$A$28:$A$39,0),1),INDEX('Category Mapping'!$E$28:$E$39,MATCH($A719,'Category Mapping'!$A$28:$A$39,0),1))</f>
        <v>14571428571.428574</v>
      </c>
      <c r="Y719" s="27">
        <f>Y139*IF($E719="weekday",INDEX('Category Mapping'!$F$28:$F$39,MATCH('Summarized Source Data'!$A719,'Category Mapping'!$A$28:$A$39,0),1),INDEX('Category Mapping'!$E$28:$E$39,MATCH($A719,'Category Mapping'!$A$28:$A$39,0),1))</f>
        <v>14571428571.428574</v>
      </c>
      <c r="Z719" s="27">
        <f>Z139*IF($E719="weekday",INDEX('Category Mapping'!$F$28:$F$39,MATCH('Summarized Source Data'!$A719,'Category Mapping'!$A$28:$A$39,0),1),INDEX('Category Mapping'!$E$28:$E$39,MATCH($A719,'Category Mapping'!$A$28:$A$39,0),1))</f>
        <v>14571428571.428574</v>
      </c>
    </row>
    <row r="720" spans="1:26" x14ac:dyDescent="0.3">
      <c r="A720">
        <f t="shared" ref="A720:E720" si="185">A140</f>
        <v>6</v>
      </c>
      <c r="B720" t="str">
        <f t="shared" si="185"/>
        <v>Summer</v>
      </c>
      <c r="C720" t="str">
        <f t="shared" si="185"/>
        <v>h17</v>
      </c>
      <c r="D720" t="str">
        <f t="shared" si="185"/>
        <v>Hour16</v>
      </c>
      <c r="E720" t="str">
        <f t="shared" si="185"/>
        <v>Weekday</v>
      </c>
      <c r="F720" s="27">
        <f>F140*IF($E720="weekday",INDEX('Category Mapping'!$F$28:$F$39,MATCH('Summarized Source Data'!$A720,'Category Mapping'!$A$28:$A$39,0),1),INDEX('Category Mapping'!$E$28:$E$39,MATCH($A720,'Category Mapping'!$A$28:$A$39,0),1))</f>
        <v>8005778.5714285718</v>
      </c>
      <c r="G720" s="27">
        <f>G140*IF($E720="weekday",INDEX('Category Mapping'!$F$28:$F$39,MATCH('Summarized Source Data'!$A720,'Category Mapping'!$A$28:$A$39,0),1),INDEX('Category Mapping'!$E$28:$E$39,MATCH($A720,'Category Mapping'!$A$28:$A$39,0),1))</f>
        <v>1062857142.8571429</v>
      </c>
      <c r="H720" s="27">
        <f>H140*IF($E720="weekday",INDEX('Category Mapping'!$F$28:$F$39,MATCH('Summarized Source Data'!$A720,'Category Mapping'!$A$28:$A$39,0),1),INDEX('Category Mapping'!$E$28:$E$39,MATCH($A720,'Category Mapping'!$A$28:$A$39,0),1))</f>
        <v>0</v>
      </c>
      <c r="I720" s="27">
        <f>I140*IF($E720="weekday",INDEX('Category Mapping'!$F$28:$F$39,MATCH('Summarized Source Data'!$A720,'Category Mapping'!$A$28:$A$39,0),1),INDEX('Category Mapping'!$E$28:$E$39,MATCH($A720,'Category Mapping'!$A$28:$A$39,0),1))</f>
        <v>274285714.28571433</v>
      </c>
      <c r="J720" s="27">
        <f>J140*IF($E720="weekday",INDEX('Category Mapping'!$F$28:$F$39,MATCH('Summarized Source Data'!$A720,'Category Mapping'!$A$28:$A$39,0),1),INDEX('Category Mapping'!$E$28:$E$39,MATCH($A720,'Category Mapping'!$A$28:$A$39,0),1))</f>
        <v>3154851364.2857146</v>
      </c>
      <c r="K720" s="27">
        <f>K140*IF($E720="weekday",INDEX('Category Mapping'!$F$28:$F$39,MATCH('Summarized Source Data'!$A720,'Category Mapping'!$A$28:$A$39,0),1),INDEX('Category Mapping'!$E$28:$E$39,MATCH($A720,'Category Mapping'!$A$28:$A$39,0),1))</f>
        <v>3154851364.2857146</v>
      </c>
      <c r="L720" s="27">
        <f>L140*IF($E720="weekday",INDEX('Category Mapping'!$F$28:$F$39,MATCH('Summarized Source Data'!$A720,'Category Mapping'!$A$28:$A$39,0),1),INDEX('Category Mapping'!$E$28:$E$39,MATCH($A720,'Category Mapping'!$A$28:$A$39,0),1))</f>
        <v>10817485.714285715</v>
      </c>
      <c r="M720" s="27">
        <f>M140*IF($E720="weekday",INDEX('Category Mapping'!$F$28:$F$39,MATCH('Summarized Source Data'!$A720,'Category Mapping'!$A$28:$A$39,0),1),INDEX('Category Mapping'!$E$28:$E$39,MATCH($A720,'Category Mapping'!$A$28:$A$39,0),1))</f>
        <v>3985714285.7142863</v>
      </c>
      <c r="N720" s="27">
        <f>N140*IF($E720="weekday",INDEX('Category Mapping'!$F$28:$F$39,MATCH('Summarized Source Data'!$A720,'Category Mapping'!$A$28:$A$39,0),1),INDEX('Category Mapping'!$E$28:$E$39,MATCH($A720,'Category Mapping'!$A$28:$A$39,0),1))</f>
        <v>0</v>
      </c>
      <c r="O720" s="27">
        <f>O140*IF($E720="weekday",INDEX('Category Mapping'!$F$28:$F$39,MATCH('Summarized Source Data'!$A720,'Category Mapping'!$A$28:$A$39,0),1),INDEX('Category Mapping'!$E$28:$E$39,MATCH($A720,'Category Mapping'!$A$28:$A$39,0),1))</f>
        <v>10382039657.142859</v>
      </c>
      <c r="P720" s="27">
        <f>P140*IF($E720="weekday",INDEX('Category Mapping'!$F$28:$F$39,MATCH('Summarized Source Data'!$A720,'Category Mapping'!$A$28:$A$39,0),1),INDEX('Category Mapping'!$E$28:$E$39,MATCH($A720,'Category Mapping'!$A$28:$A$39,0),1))</f>
        <v>10382039657.142859</v>
      </c>
      <c r="Q720" s="27">
        <f>Q140*IF($E720="weekday",INDEX('Category Mapping'!$F$28:$F$39,MATCH('Summarized Source Data'!$A720,'Category Mapping'!$A$28:$A$39,0),1),INDEX('Category Mapping'!$E$28:$E$39,MATCH($A720,'Category Mapping'!$A$28:$A$39,0),1))</f>
        <v>10382039657.142859</v>
      </c>
      <c r="R720" s="27">
        <f>R140*IF($E720="weekday",INDEX('Category Mapping'!$F$28:$F$39,MATCH('Summarized Source Data'!$A720,'Category Mapping'!$A$28:$A$39,0),1),INDEX('Category Mapping'!$E$28:$E$39,MATCH($A720,'Category Mapping'!$A$28:$A$39,0),1))</f>
        <v>323571428.5714286</v>
      </c>
      <c r="S720" s="27">
        <f>S140*IF($E720="weekday",INDEX('Category Mapping'!$F$28:$F$39,MATCH('Summarized Source Data'!$A720,'Category Mapping'!$A$28:$A$39,0),1),INDEX('Category Mapping'!$E$28:$E$39,MATCH($A720,'Category Mapping'!$A$28:$A$39,0),1))</f>
        <v>323571428.5714286</v>
      </c>
      <c r="T720" s="27">
        <f>T140*IF($E720="weekday",INDEX('Category Mapping'!$F$28:$F$39,MATCH('Summarized Source Data'!$A720,'Category Mapping'!$A$28:$A$39,0),1),INDEX('Category Mapping'!$E$28:$E$39,MATCH($A720,'Category Mapping'!$A$28:$A$39,0),1))</f>
        <v>323571428.5714286</v>
      </c>
      <c r="U720" s="27">
        <f>U140*IF($E720="weekday",INDEX('Category Mapping'!$F$28:$F$39,MATCH('Summarized Source Data'!$A720,'Category Mapping'!$A$28:$A$39,0),1),INDEX('Category Mapping'!$E$28:$E$39,MATCH($A720,'Category Mapping'!$A$28:$A$39,0),1))</f>
        <v>323571428.5714286</v>
      </c>
      <c r="V720" s="27">
        <f>V140*IF($E720="weekday",INDEX('Category Mapping'!$F$28:$F$39,MATCH('Summarized Source Data'!$A720,'Category Mapping'!$A$28:$A$39,0),1),INDEX('Category Mapping'!$E$28:$E$39,MATCH($A720,'Category Mapping'!$A$28:$A$39,0),1))</f>
        <v>323571428.5714286</v>
      </c>
      <c r="W720" s="27">
        <f>W140*IF($E720="weekday",INDEX('Category Mapping'!$F$28:$F$39,MATCH('Summarized Source Data'!$A720,'Category Mapping'!$A$28:$A$39,0),1),INDEX('Category Mapping'!$E$28:$E$39,MATCH($A720,'Category Mapping'!$A$28:$A$39,0),1))</f>
        <v>323571428.5714286</v>
      </c>
      <c r="X720" s="27">
        <f>X140*IF($E720="weekday",INDEX('Category Mapping'!$F$28:$F$39,MATCH('Summarized Source Data'!$A720,'Category Mapping'!$A$28:$A$39,0),1),INDEX('Category Mapping'!$E$28:$E$39,MATCH($A720,'Category Mapping'!$A$28:$A$39,0),1))</f>
        <v>14700000000.000002</v>
      </c>
      <c r="Y720" s="27">
        <f>Y140*IF($E720="weekday",INDEX('Category Mapping'!$F$28:$F$39,MATCH('Summarized Source Data'!$A720,'Category Mapping'!$A$28:$A$39,0),1),INDEX('Category Mapping'!$E$28:$E$39,MATCH($A720,'Category Mapping'!$A$28:$A$39,0),1))</f>
        <v>14700000000.000002</v>
      </c>
      <c r="Z720" s="27">
        <f>Z140*IF($E720="weekday",INDEX('Category Mapping'!$F$28:$F$39,MATCH('Summarized Source Data'!$A720,'Category Mapping'!$A$28:$A$39,0),1),INDEX('Category Mapping'!$E$28:$E$39,MATCH($A720,'Category Mapping'!$A$28:$A$39,0),1))</f>
        <v>14700000000.000002</v>
      </c>
    </row>
    <row r="721" spans="1:26" x14ac:dyDescent="0.3">
      <c r="A721">
        <f t="shared" ref="A721:E721" si="186">A141</f>
        <v>6</v>
      </c>
      <c r="B721" t="str">
        <f t="shared" si="186"/>
        <v>Summer</v>
      </c>
      <c r="C721" t="str">
        <f t="shared" si="186"/>
        <v>h18</v>
      </c>
      <c r="D721" t="str">
        <f t="shared" si="186"/>
        <v>Hour17</v>
      </c>
      <c r="E721" t="str">
        <f t="shared" si="186"/>
        <v>Weekday</v>
      </c>
      <c r="F721" s="27">
        <f>F141*IF($E721="weekday",INDEX('Category Mapping'!$F$28:$F$39,MATCH('Summarized Source Data'!$A721,'Category Mapping'!$A$28:$A$39,0),1),INDEX('Category Mapping'!$E$28:$E$39,MATCH($A721,'Category Mapping'!$A$28:$A$39,0),1))</f>
        <v>8449264.2857142873</v>
      </c>
      <c r="G721" s="27">
        <f>G141*IF($E721="weekday",INDEX('Category Mapping'!$F$28:$F$39,MATCH('Summarized Source Data'!$A721,'Category Mapping'!$A$28:$A$39,0),1),INDEX('Category Mapping'!$E$28:$E$39,MATCH($A721,'Category Mapping'!$A$28:$A$39,0),1))</f>
        <v>1050000000.0000001</v>
      </c>
      <c r="H721" s="27">
        <f>H141*IF($E721="weekday",INDEX('Category Mapping'!$F$28:$F$39,MATCH('Summarized Source Data'!$A721,'Category Mapping'!$A$28:$A$39,0),1),INDEX('Category Mapping'!$E$28:$E$39,MATCH($A721,'Category Mapping'!$A$28:$A$39,0),1))</f>
        <v>0</v>
      </c>
      <c r="I721" s="27">
        <f>I141*IF($E721="weekday",INDEX('Category Mapping'!$F$28:$F$39,MATCH('Summarized Source Data'!$A721,'Category Mapping'!$A$28:$A$39,0),1),INDEX('Category Mapping'!$E$28:$E$39,MATCH($A721,'Category Mapping'!$A$28:$A$39,0),1))</f>
        <v>308571428.5714286</v>
      </c>
      <c r="J721" s="27">
        <f>J141*IF($E721="weekday",INDEX('Category Mapping'!$F$28:$F$39,MATCH('Summarized Source Data'!$A721,'Category Mapping'!$A$28:$A$39,0),1),INDEX('Category Mapping'!$E$28:$E$39,MATCH($A721,'Category Mapping'!$A$28:$A$39,0),1))</f>
        <v>3454407878.5714288</v>
      </c>
      <c r="K721" s="27">
        <f>K141*IF($E721="weekday",INDEX('Category Mapping'!$F$28:$F$39,MATCH('Summarized Source Data'!$A721,'Category Mapping'!$A$28:$A$39,0),1),INDEX('Category Mapping'!$E$28:$E$39,MATCH($A721,'Category Mapping'!$A$28:$A$39,0),1))</f>
        <v>3454407878.5714288</v>
      </c>
      <c r="L721" s="27">
        <f>L141*IF($E721="weekday",INDEX('Category Mapping'!$F$28:$F$39,MATCH('Summarized Source Data'!$A721,'Category Mapping'!$A$28:$A$39,0),1),INDEX('Category Mapping'!$E$28:$E$39,MATCH($A721,'Category Mapping'!$A$28:$A$39,0),1))</f>
        <v>11036850.000000002</v>
      </c>
      <c r="M721" s="27">
        <f>M141*IF($E721="weekday",INDEX('Category Mapping'!$F$28:$F$39,MATCH('Summarized Source Data'!$A721,'Category Mapping'!$A$28:$A$39,0),1),INDEX('Category Mapping'!$E$28:$E$39,MATCH($A721,'Category Mapping'!$A$28:$A$39,0),1))</f>
        <v>3728571428.5714288</v>
      </c>
      <c r="N721" s="27">
        <f>N141*IF($E721="weekday",INDEX('Category Mapping'!$F$28:$F$39,MATCH('Summarized Source Data'!$A721,'Category Mapping'!$A$28:$A$39,0),1),INDEX('Category Mapping'!$E$28:$E$39,MATCH($A721,'Category Mapping'!$A$28:$A$39,0),1))</f>
        <v>0</v>
      </c>
      <c r="O721" s="27">
        <f>O141*IF($E721="weekday",INDEX('Category Mapping'!$F$28:$F$39,MATCH('Summarized Source Data'!$A721,'Category Mapping'!$A$28:$A$39,0),1),INDEX('Category Mapping'!$E$28:$E$39,MATCH($A721,'Category Mapping'!$A$28:$A$39,0),1))</f>
        <v>9760391721.4285717</v>
      </c>
      <c r="P721" s="27">
        <f>P141*IF($E721="weekday",INDEX('Category Mapping'!$F$28:$F$39,MATCH('Summarized Source Data'!$A721,'Category Mapping'!$A$28:$A$39,0),1),INDEX('Category Mapping'!$E$28:$E$39,MATCH($A721,'Category Mapping'!$A$28:$A$39,0),1))</f>
        <v>9760391721.4285717</v>
      </c>
      <c r="Q721" s="27">
        <f>Q141*IF($E721="weekday",INDEX('Category Mapping'!$F$28:$F$39,MATCH('Summarized Source Data'!$A721,'Category Mapping'!$A$28:$A$39,0),1),INDEX('Category Mapping'!$E$28:$E$39,MATCH($A721,'Category Mapping'!$A$28:$A$39,0),1))</f>
        <v>9760391721.4285717</v>
      </c>
      <c r="R721" s="27">
        <f>R141*IF($E721="weekday",INDEX('Category Mapping'!$F$28:$F$39,MATCH('Summarized Source Data'!$A721,'Category Mapping'!$A$28:$A$39,0),1),INDEX('Category Mapping'!$E$28:$E$39,MATCH($A721,'Category Mapping'!$A$28:$A$39,0),1))</f>
        <v>342857142.85714287</v>
      </c>
      <c r="S721" s="27">
        <f>S141*IF($E721="weekday",INDEX('Category Mapping'!$F$28:$F$39,MATCH('Summarized Source Data'!$A721,'Category Mapping'!$A$28:$A$39,0),1),INDEX('Category Mapping'!$E$28:$E$39,MATCH($A721,'Category Mapping'!$A$28:$A$39,0),1))</f>
        <v>342857142.85714287</v>
      </c>
      <c r="T721" s="27">
        <f>T141*IF($E721="weekday",INDEX('Category Mapping'!$F$28:$F$39,MATCH('Summarized Source Data'!$A721,'Category Mapping'!$A$28:$A$39,0),1),INDEX('Category Mapping'!$E$28:$E$39,MATCH($A721,'Category Mapping'!$A$28:$A$39,0),1))</f>
        <v>342857142.85714287</v>
      </c>
      <c r="U721" s="27">
        <f>U141*IF($E721="weekday",INDEX('Category Mapping'!$F$28:$F$39,MATCH('Summarized Source Data'!$A721,'Category Mapping'!$A$28:$A$39,0),1),INDEX('Category Mapping'!$E$28:$E$39,MATCH($A721,'Category Mapping'!$A$28:$A$39,0),1))</f>
        <v>342857142.85714287</v>
      </c>
      <c r="V721" s="27">
        <f>V141*IF($E721="weekday",INDEX('Category Mapping'!$F$28:$F$39,MATCH('Summarized Source Data'!$A721,'Category Mapping'!$A$28:$A$39,0),1),INDEX('Category Mapping'!$E$28:$E$39,MATCH($A721,'Category Mapping'!$A$28:$A$39,0),1))</f>
        <v>342857142.85714287</v>
      </c>
      <c r="W721" s="27">
        <f>W141*IF($E721="weekday",INDEX('Category Mapping'!$F$28:$F$39,MATCH('Summarized Source Data'!$A721,'Category Mapping'!$A$28:$A$39,0),1),INDEX('Category Mapping'!$E$28:$E$39,MATCH($A721,'Category Mapping'!$A$28:$A$39,0),1))</f>
        <v>342857142.85714287</v>
      </c>
      <c r="X721" s="27">
        <f>X141*IF($E721="weekday",INDEX('Category Mapping'!$F$28:$F$39,MATCH('Summarized Source Data'!$A721,'Category Mapping'!$A$28:$A$39,0),1),INDEX('Category Mapping'!$E$28:$E$39,MATCH($A721,'Category Mapping'!$A$28:$A$39,0),1))</f>
        <v>14742857142.857143</v>
      </c>
      <c r="Y721" s="27">
        <f>Y141*IF($E721="weekday",INDEX('Category Mapping'!$F$28:$F$39,MATCH('Summarized Source Data'!$A721,'Category Mapping'!$A$28:$A$39,0),1),INDEX('Category Mapping'!$E$28:$E$39,MATCH($A721,'Category Mapping'!$A$28:$A$39,0),1))</f>
        <v>14742857142.857143</v>
      </c>
      <c r="Z721" s="27">
        <f>Z141*IF($E721="weekday",INDEX('Category Mapping'!$F$28:$F$39,MATCH('Summarized Source Data'!$A721,'Category Mapping'!$A$28:$A$39,0),1),INDEX('Category Mapping'!$E$28:$E$39,MATCH($A721,'Category Mapping'!$A$28:$A$39,0),1))</f>
        <v>14742857142.857143</v>
      </c>
    </row>
    <row r="722" spans="1:26" x14ac:dyDescent="0.3">
      <c r="A722">
        <f t="shared" ref="A722:E722" si="187">A142</f>
        <v>6</v>
      </c>
      <c r="B722" t="str">
        <f t="shared" si="187"/>
        <v>Summer</v>
      </c>
      <c r="C722" t="str">
        <f t="shared" si="187"/>
        <v>h19</v>
      </c>
      <c r="D722" t="str">
        <f t="shared" si="187"/>
        <v>Hour18</v>
      </c>
      <c r="E722" t="str">
        <f t="shared" si="187"/>
        <v>Weekday</v>
      </c>
      <c r="F722" s="27">
        <f>F142*IF($E722="weekday",INDEX('Category Mapping'!$F$28:$F$39,MATCH('Summarized Source Data'!$A722,'Category Mapping'!$A$28:$A$39,0),1),INDEX('Category Mapping'!$E$28:$E$39,MATCH($A722,'Category Mapping'!$A$28:$A$39,0),1))</f>
        <v>8953671.4285714291</v>
      </c>
      <c r="G722" s="27">
        <f>G142*IF($E722="weekday",INDEX('Category Mapping'!$F$28:$F$39,MATCH('Summarized Source Data'!$A722,'Category Mapping'!$A$28:$A$39,0),1),INDEX('Category Mapping'!$E$28:$E$39,MATCH($A722,'Category Mapping'!$A$28:$A$39,0),1))</f>
        <v>998571428.57142866</v>
      </c>
      <c r="H722" s="27">
        <f>H142*IF($E722="weekday",INDEX('Category Mapping'!$F$28:$F$39,MATCH('Summarized Source Data'!$A722,'Category Mapping'!$A$28:$A$39,0),1),INDEX('Category Mapping'!$E$28:$E$39,MATCH($A722,'Category Mapping'!$A$28:$A$39,0),1))</f>
        <v>0</v>
      </c>
      <c r="I722" s="27">
        <f>I142*IF($E722="weekday",INDEX('Category Mapping'!$F$28:$F$39,MATCH('Summarized Source Data'!$A722,'Category Mapping'!$A$28:$A$39,0),1),INDEX('Category Mapping'!$E$28:$E$39,MATCH($A722,'Category Mapping'!$A$28:$A$39,0),1))</f>
        <v>711428571.42857146</v>
      </c>
      <c r="J722" s="27">
        <f>J142*IF($E722="weekday",INDEX('Category Mapping'!$F$28:$F$39,MATCH('Summarized Source Data'!$A722,'Category Mapping'!$A$28:$A$39,0),1),INDEX('Category Mapping'!$E$28:$E$39,MATCH($A722,'Category Mapping'!$A$28:$A$39,0),1))</f>
        <v>3359617757.1428576</v>
      </c>
      <c r="K722" s="27">
        <f>K142*IF($E722="weekday",INDEX('Category Mapping'!$F$28:$F$39,MATCH('Summarized Source Data'!$A722,'Category Mapping'!$A$28:$A$39,0),1),INDEX('Category Mapping'!$E$28:$E$39,MATCH($A722,'Category Mapping'!$A$28:$A$39,0),1))</f>
        <v>3359617757.1428576</v>
      </c>
      <c r="L722" s="27">
        <f>L142*IF($E722="weekday",INDEX('Category Mapping'!$F$28:$F$39,MATCH('Summarized Source Data'!$A722,'Category Mapping'!$A$28:$A$39,0),1),INDEX('Category Mapping'!$E$28:$E$39,MATCH($A722,'Category Mapping'!$A$28:$A$39,0),1))</f>
        <v>12886092.857142858</v>
      </c>
      <c r="M722" s="27">
        <f>M142*IF($E722="weekday",INDEX('Category Mapping'!$F$28:$F$39,MATCH('Summarized Source Data'!$A722,'Category Mapping'!$A$28:$A$39,0),1),INDEX('Category Mapping'!$E$28:$E$39,MATCH($A722,'Category Mapping'!$A$28:$A$39,0),1))</f>
        <v>3428571428.5714288</v>
      </c>
      <c r="N722" s="27">
        <f>N142*IF($E722="weekday",INDEX('Category Mapping'!$F$28:$F$39,MATCH('Summarized Source Data'!$A722,'Category Mapping'!$A$28:$A$39,0),1),INDEX('Category Mapping'!$E$28:$E$39,MATCH($A722,'Category Mapping'!$A$28:$A$39,0),1))</f>
        <v>0</v>
      </c>
      <c r="O722" s="27">
        <f>O142*IF($E722="weekday",INDEX('Category Mapping'!$F$28:$F$39,MATCH('Summarized Source Data'!$A722,'Category Mapping'!$A$28:$A$39,0),1),INDEX('Category Mapping'!$E$28:$E$39,MATCH($A722,'Category Mapping'!$A$28:$A$39,0),1))</f>
        <v>9287113907.1428585</v>
      </c>
      <c r="P722" s="27">
        <f>P142*IF($E722="weekday",INDEX('Category Mapping'!$F$28:$F$39,MATCH('Summarized Source Data'!$A722,'Category Mapping'!$A$28:$A$39,0),1),INDEX('Category Mapping'!$E$28:$E$39,MATCH($A722,'Category Mapping'!$A$28:$A$39,0),1))</f>
        <v>9287113907.1428585</v>
      </c>
      <c r="Q722" s="27">
        <f>Q142*IF($E722="weekday",INDEX('Category Mapping'!$F$28:$F$39,MATCH('Summarized Source Data'!$A722,'Category Mapping'!$A$28:$A$39,0),1),INDEX('Category Mapping'!$E$28:$E$39,MATCH($A722,'Category Mapping'!$A$28:$A$39,0),1))</f>
        <v>9287113907.1428585</v>
      </c>
      <c r="R722" s="27">
        <f>R142*IF($E722="weekday",INDEX('Category Mapping'!$F$28:$F$39,MATCH('Summarized Source Data'!$A722,'Category Mapping'!$A$28:$A$39,0),1),INDEX('Category Mapping'!$E$28:$E$39,MATCH($A722,'Category Mapping'!$A$28:$A$39,0),1))</f>
        <v>317142857.14285719</v>
      </c>
      <c r="S722" s="27">
        <f>S142*IF($E722="weekday",INDEX('Category Mapping'!$F$28:$F$39,MATCH('Summarized Source Data'!$A722,'Category Mapping'!$A$28:$A$39,0),1),INDEX('Category Mapping'!$E$28:$E$39,MATCH($A722,'Category Mapping'!$A$28:$A$39,0),1))</f>
        <v>317142857.14285719</v>
      </c>
      <c r="T722" s="27">
        <f>T142*IF($E722="weekday",INDEX('Category Mapping'!$F$28:$F$39,MATCH('Summarized Source Data'!$A722,'Category Mapping'!$A$28:$A$39,0),1),INDEX('Category Mapping'!$E$28:$E$39,MATCH($A722,'Category Mapping'!$A$28:$A$39,0),1))</f>
        <v>317142857.14285719</v>
      </c>
      <c r="U722" s="27">
        <f>U142*IF($E722="weekday",INDEX('Category Mapping'!$F$28:$F$39,MATCH('Summarized Source Data'!$A722,'Category Mapping'!$A$28:$A$39,0),1),INDEX('Category Mapping'!$E$28:$E$39,MATCH($A722,'Category Mapping'!$A$28:$A$39,0),1))</f>
        <v>317142857.14285719</v>
      </c>
      <c r="V722" s="27">
        <f>V142*IF($E722="weekday",INDEX('Category Mapping'!$F$28:$F$39,MATCH('Summarized Source Data'!$A722,'Category Mapping'!$A$28:$A$39,0),1),INDEX('Category Mapping'!$E$28:$E$39,MATCH($A722,'Category Mapping'!$A$28:$A$39,0),1))</f>
        <v>317142857.14285719</v>
      </c>
      <c r="W722" s="27">
        <f>W142*IF($E722="weekday",INDEX('Category Mapping'!$F$28:$F$39,MATCH('Summarized Source Data'!$A722,'Category Mapping'!$A$28:$A$39,0),1),INDEX('Category Mapping'!$E$28:$E$39,MATCH($A722,'Category Mapping'!$A$28:$A$39,0),1))</f>
        <v>317142857.14285719</v>
      </c>
      <c r="X722" s="27">
        <f>X142*IF($E722="weekday",INDEX('Category Mapping'!$F$28:$F$39,MATCH('Summarized Source Data'!$A722,'Category Mapping'!$A$28:$A$39,0),1),INDEX('Category Mapping'!$E$28:$E$39,MATCH($A722,'Category Mapping'!$A$28:$A$39,0),1))</f>
        <v>14657142857.142859</v>
      </c>
      <c r="Y722" s="27">
        <f>Y142*IF($E722="weekday",INDEX('Category Mapping'!$F$28:$F$39,MATCH('Summarized Source Data'!$A722,'Category Mapping'!$A$28:$A$39,0),1),INDEX('Category Mapping'!$E$28:$E$39,MATCH($A722,'Category Mapping'!$A$28:$A$39,0),1))</f>
        <v>14657142857.142859</v>
      </c>
      <c r="Z722" s="27">
        <f>Z142*IF($E722="weekday",INDEX('Category Mapping'!$F$28:$F$39,MATCH('Summarized Source Data'!$A722,'Category Mapping'!$A$28:$A$39,0),1),INDEX('Category Mapping'!$E$28:$E$39,MATCH($A722,'Category Mapping'!$A$28:$A$39,0),1))</f>
        <v>14657142857.142859</v>
      </c>
    </row>
    <row r="723" spans="1:26" x14ac:dyDescent="0.3">
      <c r="A723">
        <f t="shared" ref="A723:E723" si="188">A143</f>
        <v>6</v>
      </c>
      <c r="B723" t="str">
        <f t="shared" si="188"/>
        <v>Summer</v>
      </c>
      <c r="C723" t="str">
        <f t="shared" si="188"/>
        <v>h20</v>
      </c>
      <c r="D723" t="str">
        <f t="shared" si="188"/>
        <v>Hour19</v>
      </c>
      <c r="E723" t="str">
        <f t="shared" si="188"/>
        <v>Weekday</v>
      </c>
      <c r="F723" s="27">
        <f>F143*IF($E723="weekday",INDEX('Category Mapping'!$F$28:$F$39,MATCH('Summarized Source Data'!$A723,'Category Mapping'!$A$28:$A$39,0),1),INDEX('Category Mapping'!$E$28:$E$39,MATCH($A723,'Category Mapping'!$A$28:$A$39,0),1))</f>
        <v>9398507.1428571437</v>
      </c>
      <c r="G723" s="27">
        <f>G143*IF($E723="weekday",INDEX('Category Mapping'!$F$28:$F$39,MATCH('Summarized Source Data'!$A723,'Category Mapping'!$A$28:$A$39,0),1),INDEX('Category Mapping'!$E$28:$E$39,MATCH($A723,'Category Mapping'!$A$28:$A$39,0),1))</f>
        <v>891428571.42857146</v>
      </c>
      <c r="H723" s="27">
        <f>H143*IF($E723="weekday",INDEX('Category Mapping'!$F$28:$F$39,MATCH('Summarized Source Data'!$A723,'Category Mapping'!$A$28:$A$39,0),1),INDEX('Category Mapping'!$E$28:$E$39,MATCH($A723,'Category Mapping'!$A$28:$A$39,0),1))</f>
        <v>0</v>
      </c>
      <c r="I723" s="27">
        <f>I143*IF($E723="weekday",INDEX('Category Mapping'!$F$28:$F$39,MATCH('Summarized Source Data'!$A723,'Category Mapping'!$A$28:$A$39,0),1),INDEX('Category Mapping'!$E$28:$E$39,MATCH($A723,'Category Mapping'!$A$28:$A$39,0),1))</f>
        <v>1176428571.4285715</v>
      </c>
      <c r="J723" s="27">
        <f>J143*IF($E723="weekday",INDEX('Category Mapping'!$F$28:$F$39,MATCH('Summarized Source Data'!$A723,'Category Mapping'!$A$28:$A$39,0),1),INDEX('Category Mapping'!$E$28:$E$39,MATCH($A723,'Category Mapping'!$A$28:$A$39,0),1))</f>
        <v>3215601492.8571429</v>
      </c>
      <c r="K723" s="27">
        <f>K143*IF($E723="weekday",INDEX('Category Mapping'!$F$28:$F$39,MATCH('Summarized Source Data'!$A723,'Category Mapping'!$A$28:$A$39,0),1),INDEX('Category Mapping'!$E$28:$E$39,MATCH($A723,'Category Mapping'!$A$28:$A$39,0),1))</f>
        <v>3215601492.8571429</v>
      </c>
      <c r="L723" s="27">
        <f>L143*IF($E723="weekday",INDEX('Category Mapping'!$F$28:$F$39,MATCH('Summarized Source Data'!$A723,'Category Mapping'!$A$28:$A$39,0),1),INDEX('Category Mapping'!$E$28:$E$39,MATCH($A723,'Category Mapping'!$A$28:$A$39,0),1))</f>
        <v>15025500.000000002</v>
      </c>
      <c r="M723" s="27">
        <f>M143*IF($E723="weekday",INDEX('Category Mapping'!$F$28:$F$39,MATCH('Summarized Source Data'!$A723,'Category Mapping'!$A$28:$A$39,0),1),INDEX('Category Mapping'!$E$28:$E$39,MATCH($A723,'Category Mapping'!$A$28:$A$39,0),1))</f>
        <v>3064285714.2857146</v>
      </c>
      <c r="N723" s="27">
        <f>N143*IF($E723="weekday",INDEX('Category Mapping'!$F$28:$F$39,MATCH('Summarized Source Data'!$A723,'Category Mapping'!$A$28:$A$39,0),1),INDEX('Category Mapping'!$E$28:$E$39,MATCH($A723,'Category Mapping'!$A$28:$A$39,0),1))</f>
        <v>0</v>
      </c>
      <c r="O723" s="27">
        <f>O143*IF($E723="weekday",INDEX('Category Mapping'!$F$28:$F$39,MATCH('Summarized Source Data'!$A723,'Category Mapping'!$A$28:$A$39,0),1),INDEX('Category Mapping'!$E$28:$E$39,MATCH($A723,'Category Mapping'!$A$28:$A$39,0),1))</f>
        <v>7763545928.5714293</v>
      </c>
      <c r="P723" s="27">
        <f>P143*IF($E723="weekday",INDEX('Category Mapping'!$F$28:$F$39,MATCH('Summarized Source Data'!$A723,'Category Mapping'!$A$28:$A$39,0),1),INDEX('Category Mapping'!$E$28:$E$39,MATCH($A723,'Category Mapping'!$A$28:$A$39,0),1))</f>
        <v>7763545928.5714293</v>
      </c>
      <c r="Q723" s="27">
        <f>Q143*IF($E723="weekday",INDEX('Category Mapping'!$F$28:$F$39,MATCH('Summarized Source Data'!$A723,'Category Mapping'!$A$28:$A$39,0),1),INDEX('Category Mapping'!$E$28:$E$39,MATCH($A723,'Category Mapping'!$A$28:$A$39,0),1))</f>
        <v>7763545928.5714293</v>
      </c>
      <c r="R723" s="27">
        <f>R143*IF($E723="weekday",INDEX('Category Mapping'!$F$28:$F$39,MATCH('Summarized Source Data'!$A723,'Category Mapping'!$A$28:$A$39,0),1),INDEX('Category Mapping'!$E$28:$E$39,MATCH($A723,'Category Mapping'!$A$28:$A$39,0),1))</f>
        <v>257142857.14285716</v>
      </c>
      <c r="S723" s="27">
        <f>S143*IF($E723="weekday",INDEX('Category Mapping'!$F$28:$F$39,MATCH('Summarized Source Data'!$A723,'Category Mapping'!$A$28:$A$39,0),1),INDEX('Category Mapping'!$E$28:$E$39,MATCH($A723,'Category Mapping'!$A$28:$A$39,0),1))</f>
        <v>257142857.14285716</v>
      </c>
      <c r="T723" s="27">
        <f>T143*IF($E723="weekday",INDEX('Category Mapping'!$F$28:$F$39,MATCH('Summarized Source Data'!$A723,'Category Mapping'!$A$28:$A$39,0),1),INDEX('Category Mapping'!$E$28:$E$39,MATCH($A723,'Category Mapping'!$A$28:$A$39,0),1))</f>
        <v>257142857.14285716</v>
      </c>
      <c r="U723" s="27">
        <f>U143*IF($E723="weekday",INDEX('Category Mapping'!$F$28:$F$39,MATCH('Summarized Source Data'!$A723,'Category Mapping'!$A$28:$A$39,0),1),INDEX('Category Mapping'!$E$28:$E$39,MATCH($A723,'Category Mapping'!$A$28:$A$39,0),1))</f>
        <v>257142857.14285716</v>
      </c>
      <c r="V723" s="27">
        <f>V143*IF($E723="weekday",INDEX('Category Mapping'!$F$28:$F$39,MATCH('Summarized Source Data'!$A723,'Category Mapping'!$A$28:$A$39,0),1),INDEX('Category Mapping'!$E$28:$E$39,MATCH($A723,'Category Mapping'!$A$28:$A$39,0),1))</f>
        <v>257142857.14285716</v>
      </c>
      <c r="W723" s="27">
        <f>W143*IF($E723="weekday",INDEX('Category Mapping'!$F$28:$F$39,MATCH('Summarized Source Data'!$A723,'Category Mapping'!$A$28:$A$39,0),1),INDEX('Category Mapping'!$E$28:$E$39,MATCH($A723,'Category Mapping'!$A$28:$A$39,0),1))</f>
        <v>257142857.14285716</v>
      </c>
      <c r="X723" s="27">
        <f>X143*IF($E723="weekday",INDEX('Category Mapping'!$F$28:$F$39,MATCH('Summarized Source Data'!$A723,'Category Mapping'!$A$28:$A$39,0),1),INDEX('Category Mapping'!$E$28:$E$39,MATCH($A723,'Category Mapping'!$A$28:$A$39,0),1))</f>
        <v>14571428571.428574</v>
      </c>
      <c r="Y723" s="27">
        <f>Y143*IF($E723="weekday",INDEX('Category Mapping'!$F$28:$F$39,MATCH('Summarized Source Data'!$A723,'Category Mapping'!$A$28:$A$39,0),1),INDEX('Category Mapping'!$E$28:$E$39,MATCH($A723,'Category Mapping'!$A$28:$A$39,0),1))</f>
        <v>14571428571.428574</v>
      </c>
      <c r="Z723" s="27">
        <f>Z143*IF($E723="weekday",INDEX('Category Mapping'!$F$28:$F$39,MATCH('Summarized Source Data'!$A723,'Category Mapping'!$A$28:$A$39,0),1),INDEX('Category Mapping'!$E$28:$E$39,MATCH($A723,'Category Mapping'!$A$28:$A$39,0),1))</f>
        <v>14571428571.428574</v>
      </c>
    </row>
    <row r="724" spans="1:26" x14ac:dyDescent="0.3">
      <c r="A724">
        <f t="shared" ref="A724:E724" si="189">A144</f>
        <v>6</v>
      </c>
      <c r="B724" t="str">
        <f t="shared" si="189"/>
        <v>Summer</v>
      </c>
      <c r="C724" t="str">
        <f t="shared" si="189"/>
        <v>h21</v>
      </c>
      <c r="D724" t="str">
        <f t="shared" si="189"/>
        <v>Hour20</v>
      </c>
      <c r="E724" t="str">
        <f t="shared" si="189"/>
        <v>Weekday</v>
      </c>
      <c r="F724" s="27">
        <f>F144*IF($E724="weekday",INDEX('Category Mapping'!$F$28:$F$39,MATCH('Summarized Source Data'!$A724,'Category Mapping'!$A$28:$A$39,0),1),INDEX('Category Mapping'!$E$28:$E$39,MATCH($A724,'Category Mapping'!$A$28:$A$39,0),1))</f>
        <v>9497078.5714285728</v>
      </c>
      <c r="G724" s="27">
        <f>G144*IF($E724="weekday",INDEX('Category Mapping'!$F$28:$F$39,MATCH('Summarized Source Data'!$A724,'Category Mapping'!$A$28:$A$39,0),1),INDEX('Category Mapping'!$E$28:$E$39,MATCH($A724,'Category Mapping'!$A$28:$A$39,0),1))</f>
        <v>726428571.42857146</v>
      </c>
      <c r="H724" s="27">
        <f>H144*IF($E724="weekday",INDEX('Category Mapping'!$F$28:$F$39,MATCH('Summarized Source Data'!$A724,'Category Mapping'!$A$28:$A$39,0),1),INDEX('Category Mapping'!$E$28:$E$39,MATCH($A724,'Category Mapping'!$A$28:$A$39,0),1))</f>
        <v>0</v>
      </c>
      <c r="I724" s="27">
        <f>I144*IF($E724="weekday",INDEX('Category Mapping'!$F$28:$F$39,MATCH('Summarized Source Data'!$A724,'Category Mapping'!$A$28:$A$39,0),1),INDEX('Category Mapping'!$E$28:$E$39,MATCH($A724,'Category Mapping'!$A$28:$A$39,0),1))</f>
        <v>1195714285.7142859</v>
      </c>
      <c r="J724" s="27">
        <f>J144*IF($E724="weekday",INDEX('Category Mapping'!$F$28:$F$39,MATCH('Summarized Source Data'!$A724,'Category Mapping'!$A$28:$A$39,0),1),INDEX('Category Mapping'!$E$28:$E$39,MATCH($A724,'Category Mapping'!$A$28:$A$39,0),1))</f>
        <v>3125502921.4285717</v>
      </c>
      <c r="K724" s="27">
        <f>K144*IF($E724="weekday",INDEX('Category Mapping'!$F$28:$F$39,MATCH('Summarized Source Data'!$A724,'Category Mapping'!$A$28:$A$39,0),1),INDEX('Category Mapping'!$E$28:$E$39,MATCH($A724,'Category Mapping'!$A$28:$A$39,0),1))</f>
        <v>3125502921.4285717</v>
      </c>
      <c r="L724" s="27">
        <f>L144*IF($E724="weekday",INDEX('Category Mapping'!$F$28:$F$39,MATCH('Summarized Source Data'!$A724,'Category Mapping'!$A$28:$A$39,0),1),INDEX('Category Mapping'!$E$28:$E$39,MATCH($A724,'Category Mapping'!$A$28:$A$39,0),1))</f>
        <v>20480528.571428575</v>
      </c>
      <c r="M724" s="27">
        <f>M144*IF($E724="weekday",INDEX('Category Mapping'!$F$28:$F$39,MATCH('Summarized Source Data'!$A724,'Category Mapping'!$A$28:$A$39,0),1),INDEX('Category Mapping'!$E$28:$E$39,MATCH($A724,'Category Mapping'!$A$28:$A$39,0),1))</f>
        <v>2721428571.4285717</v>
      </c>
      <c r="N724" s="27">
        <f>N144*IF($E724="weekday",INDEX('Category Mapping'!$F$28:$F$39,MATCH('Summarized Source Data'!$A724,'Category Mapping'!$A$28:$A$39,0),1),INDEX('Category Mapping'!$E$28:$E$39,MATCH($A724,'Category Mapping'!$A$28:$A$39,0),1))</f>
        <v>0</v>
      </c>
      <c r="O724" s="27">
        <f>O144*IF($E724="weekday",INDEX('Category Mapping'!$F$28:$F$39,MATCH('Summarized Source Data'!$A724,'Category Mapping'!$A$28:$A$39,0),1),INDEX('Category Mapping'!$E$28:$E$39,MATCH($A724,'Category Mapping'!$A$28:$A$39,0),1))</f>
        <v>6429519471.4285717</v>
      </c>
      <c r="P724" s="27">
        <f>P144*IF($E724="weekday",INDEX('Category Mapping'!$F$28:$F$39,MATCH('Summarized Source Data'!$A724,'Category Mapping'!$A$28:$A$39,0),1),INDEX('Category Mapping'!$E$28:$E$39,MATCH($A724,'Category Mapping'!$A$28:$A$39,0),1))</f>
        <v>6429519471.4285717</v>
      </c>
      <c r="Q724" s="27">
        <f>Q144*IF($E724="weekday",INDEX('Category Mapping'!$F$28:$F$39,MATCH('Summarized Source Data'!$A724,'Category Mapping'!$A$28:$A$39,0),1),INDEX('Category Mapping'!$E$28:$E$39,MATCH($A724,'Category Mapping'!$A$28:$A$39,0),1))</f>
        <v>6429519471.4285717</v>
      </c>
      <c r="R724" s="27">
        <f>R144*IF($E724="weekday",INDEX('Category Mapping'!$F$28:$F$39,MATCH('Summarized Source Data'!$A724,'Category Mapping'!$A$28:$A$39,0),1),INDEX('Category Mapping'!$E$28:$E$39,MATCH($A724,'Category Mapping'!$A$28:$A$39,0),1))</f>
        <v>233571428.5714286</v>
      </c>
      <c r="S724" s="27">
        <f>S144*IF($E724="weekday",INDEX('Category Mapping'!$F$28:$F$39,MATCH('Summarized Source Data'!$A724,'Category Mapping'!$A$28:$A$39,0),1),INDEX('Category Mapping'!$E$28:$E$39,MATCH($A724,'Category Mapping'!$A$28:$A$39,0),1))</f>
        <v>233571428.5714286</v>
      </c>
      <c r="T724" s="27">
        <f>T144*IF($E724="weekday",INDEX('Category Mapping'!$F$28:$F$39,MATCH('Summarized Source Data'!$A724,'Category Mapping'!$A$28:$A$39,0),1),INDEX('Category Mapping'!$E$28:$E$39,MATCH($A724,'Category Mapping'!$A$28:$A$39,0),1))</f>
        <v>233571428.5714286</v>
      </c>
      <c r="U724" s="27">
        <f>U144*IF($E724="weekday",INDEX('Category Mapping'!$F$28:$F$39,MATCH('Summarized Source Data'!$A724,'Category Mapping'!$A$28:$A$39,0),1),INDEX('Category Mapping'!$E$28:$E$39,MATCH($A724,'Category Mapping'!$A$28:$A$39,0),1))</f>
        <v>233571428.5714286</v>
      </c>
      <c r="V724" s="27">
        <f>V144*IF($E724="weekday",INDEX('Category Mapping'!$F$28:$F$39,MATCH('Summarized Source Data'!$A724,'Category Mapping'!$A$28:$A$39,0),1),INDEX('Category Mapping'!$E$28:$E$39,MATCH($A724,'Category Mapping'!$A$28:$A$39,0),1))</f>
        <v>233571428.5714286</v>
      </c>
      <c r="W724" s="27">
        <f>W144*IF($E724="weekday",INDEX('Category Mapping'!$F$28:$F$39,MATCH('Summarized Source Data'!$A724,'Category Mapping'!$A$28:$A$39,0),1),INDEX('Category Mapping'!$E$28:$E$39,MATCH($A724,'Category Mapping'!$A$28:$A$39,0),1))</f>
        <v>233571428.5714286</v>
      </c>
      <c r="X724" s="27">
        <f>X144*IF($E724="weekday",INDEX('Category Mapping'!$F$28:$F$39,MATCH('Summarized Source Data'!$A724,'Category Mapping'!$A$28:$A$39,0),1),INDEX('Category Mapping'!$E$28:$E$39,MATCH($A724,'Category Mapping'!$A$28:$A$39,0),1))</f>
        <v>14464285714.285715</v>
      </c>
      <c r="Y724" s="27">
        <f>Y144*IF($E724="weekday",INDEX('Category Mapping'!$F$28:$F$39,MATCH('Summarized Source Data'!$A724,'Category Mapping'!$A$28:$A$39,0),1),INDEX('Category Mapping'!$E$28:$E$39,MATCH($A724,'Category Mapping'!$A$28:$A$39,0),1))</f>
        <v>14464285714.285715</v>
      </c>
      <c r="Z724" s="27">
        <f>Z144*IF($E724="weekday",INDEX('Category Mapping'!$F$28:$F$39,MATCH('Summarized Source Data'!$A724,'Category Mapping'!$A$28:$A$39,0),1),INDEX('Category Mapping'!$E$28:$E$39,MATCH($A724,'Category Mapping'!$A$28:$A$39,0),1))</f>
        <v>14464285714.285715</v>
      </c>
    </row>
    <row r="725" spans="1:26" x14ac:dyDescent="0.3">
      <c r="A725">
        <f t="shared" ref="A725:E725" si="190">A145</f>
        <v>6</v>
      </c>
      <c r="B725" t="str">
        <f t="shared" si="190"/>
        <v>Summer</v>
      </c>
      <c r="C725" t="str">
        <f t="shared" si="190"/>
        <v>h22</v>
      </c>
      <c r="D725" t="str">
        <f t="shared" si="190"/>
        <v>Hour21</v>
      </c>
      <c r="E725" t="str">
        <f t="shared" si="190"/>
        <v>Weekday</v>
      </c>
      <c r="F725" s="27">
        <f>F145*IF($E725="weekday",INDEX('Category Mapping'!$F$28:$F$39,MATCH('Summarized Source Data'!$A725,'Category Mapping'!$A$28:$A$39,0),1),INDEX('Category Mapping'!$E$28:$E$39,MATCH($A725,'Category Mapping'!$A$28:$A$39,0),1))</f>
        <v>8343214.2857142864</v>
      </c>
      <c r="G725" s="27">
        <f>G145*IF($E725="weekday",INDEX('Category Mapping'!$F$28:$F$39,MATCH('Summarized Source Data'!$A725,'Category Mapping'!$A$28:$A$39,0),1),INDEX('Category Mapping'!$E$28:$E$39,MATCH($A725,'Category Mapping'!$A$28:$A$39,0),1))</f>
        <v>527142857.14285719</v>
      </c>
      <c r="H725" s="27">
        <f>H145*IF($E725="weekday",INDEX('Category Mapping'!$F$28:$F$39,MATCH('Summarized Source Data'!$A725,'Category Mapping'!$A$28:$A$39,0),1),INDEX('Category Mapping'!$E$28:$E$39,MATCH($A725,'Category Mapping'!$A$28:$A$39,0),1))</f>
        <v>0</v>
      </c>
      <c r="I725" s="27">
        <f>I145*IF($E725="weekday",INDEX('Category Mapping'!$F$28:$F$39,MATCH('Summarized Source Data'!$A725,'Category Mapping'!$A$28:$A$39,0),1),INDEX('Category Mapping'!$E$28:$E$39,MATCH($A725,'Category Mapping'!$A$28:$A$39,0),1))</f>
        <v>979285714.28571439</v>
      </c>
      <c r="J725" s="27">
        <f>J145*IF($E725="weekday",INDEX('Category Mapping'!$F$28:$F$39,MATCH('Summarized Source Data'!$A725,'Category Mapping'!$A$28:$A$39,0),1),INDEX('Category Mapping'!$E$28:$E$39,MATCH($A725,'Category Mapping'!$A$28:$A$39,0),1))</f>
        <v>3092371071.4285717</v>
      </c>
      <c r="K725" s="27">
        <f>K145*IF($E725="weekday",INDEX('Category Mapping'!$F$28:$F$39,MATCH('Summarized Source Data'!$A725,'Category Mapping'!$A$28:$A$39,0),1),INDEX('Category Mapping'!$E$28:$E$39,MATCH($A725,'Category Mapping'!$A$28:$A$39,0),1))</f>
        <v>3092371071.4285717</v>
      </c>
      <c r="L725" s="27">
        <f>L145*IF($E725="weekday",INDEX('Category Mapping'!$F$28:$F$39,MATCH('Summarized Source Data'!$A725,'Category Mapping'!$A$28:$A$39,0),1),INDEX('Category Mapping'!$E$28:$E$39,MATCH($A725,'Category Mapping'!$A$28:$A$39,0),1))</f>
        <v>21562671.428571429</v>
      </c>
      <c r="M725" s="27">
        <f>M145*IF($E725="weekday",INDEX('Category Mapping'!$F$28:$F$39,MATCH('Summarized Source Data'!$A725,'Category Mapping'!$A$28:$A$39,0),1),INDEX('Category Mapping'!$E$28:$E$39,MATCH($A725,'Category Mapping'!$A$28:$A$39,0),1))</f>
        <v>2378571428.5714288</v>
      </c>
      <c r="N725" s="27">
        <f>N145*IF($E725="weekday",INDEX('Category Mapping'!$F$28:$F$39,MATCH('Summarized Source Data'!$A725,'Category Mapping'!$A$28:$A$39,0),1),INDEX('Category Mapping'!$E$28:$E$39,MATCH($A725,'Category Mapping'!$A$28:$A$39,0),1))</f>
        <v>0</v>
      </c>
      <c r="O725" s="27">
        <f>O145*IF($E725="weekday",INDEX('Category Mapping'!$F$28:$F$39,MATCH('Summarized Source Data'!$A725,'Category Mapping'!$A$28:$A$39,0),1),INDEX('Category Mapping'!$E$28:$E$39,MATCH($A725,'Category Mapping'!$A$28:$A$39,0),1))</f>
        <v>5207008757.1428576</v>
      </c>
      <c r="P725" s="27">
        <f>P145*IF($E725="weekday",INDEX('Category Mapping'!$F$28:$F$39,MATCH('Summarized Source Data'!$A725,'Category Mapping'!$A$28:$A$39,0),1),INDEX('Category Mapping'!$E$28:$E$39,MATCH($A725,'Category Mapping'!$A$28:$A$39,0),1))</f>
        <v>5207008757.1428576</v>
      </c>
      <c r="Q725" s="27">
        <f>Q145*IF($E725="weekday",INDEX('Category Mapping'!$F$28:$F$39,MATCH('Summarized Source Data'!$A725,'Category Mapping'!$A$28:$A$39,0),1),INDEX('Category Mapping'!$E$28:$E$39,MATCH($A725,'Category Mapping'!$A$28:$A$39,0),1))</f>
        <v>5207008757.1428576</v>
      </c>
      <c r="R725" s="27">
        <f>R145*IF($E725="weekday",INDEX('Category Mapping'!$F$28:$F$39,MATCH('Summarized Source Data'!$A725,'Category Mapping'!$A$28:$A$39,0),1),INDEX('Category Mapping'!$E$28:$E$39,MATCH($A725,'Category Mapping'!$A$28:$A$39,0),1))</f>
        <v>218571428.5714286</v>
      </c>
      <c r="S725" s="27">
        <f>S145*IF($E725="weekday",INDEX('Category Mapping'!$F$28:$F$39,MATCH('Summarized Source Data'!$A725,'Category Mapping'!$A$28:$A$39,0),1),INDEX('Category Mapping'!$E$28:$E$39,MATCH($A725,'Category Mapping'!$A$28:$A$39,0),1))</f>
        <v>218571428.5714286</v>
      </c>
      <c r="T725" s="27">
        <f>T145*IF($E725="weekday",INDEX('Category Mapping'!$F$28:$F$39,MATCH('Summarized Source Data'!$A725,'Category Mapping'!$A$28:$A$39,0),1),INDEX('Category Mapping'!$E$28:$E$39,MATCH($A725,'Category Mapping'!$A$28:$A$39,0),1))</f>
        <v>218571428.5714286</v>
      </c>
      <c r="U725" s="27">
        <f>U145*IF($E725="weekday",INDEX('Category Mapping'!$F$28:$F$39,MATCH('Summarized Source Data'!$A725,'Category Mapping'!$A$28:$A$39,0),1),INDEX('Category Mapping'!$E$28:$E$39,MATCH($A725,'Category Mapping'!$A$28:$A$39,0),1))</f>
        <v>218571428.5714286</v>
      </c>
      <c r="V725" s="27">
        <f>V145*IF($E725="weekday",INDEX('Category Mapping'!$F$28:$F$39,MATCH('Summarized Source Data'!$A725,'Category Mapping'!$A$28:$A$39,0),1),INDEX('Category Mapping'!$E$28:$E$39,MATCH($A725,'Category Mapping'!$A$28:$A$39,0),1))</f>
        <v>218571428.5714286</v>
      </c>
      <c r="W725" s="27">
        <f>W145*IF($E725="weekday",INDEX('Category Mapping'!$F$28:$F$39,MATCH('Summarized Source Data'!$A725,'Category Mapping'!$A$28:$A$39,0),1),INDEX('Category Mapping'!$E$28:$E$39,MATCH($A725,'Category Mapping'!$A$28:$A$39,0),1))</f>
        <v>218571428.5714286</v>
      </c>
      <c r="X725" s="27">
        <f>X145*IF($E725="weekday",INDEX('Category Mapping'!$F$28:$F$39,MATCH('Summarized Source Data'!$A725,'Category Mapping'!$A$28:$A$39,0),1),INDEX('Category Mapping'!$E$28:$E$39,MATCH($A725,'Category Mapping'!$A$28:$A$39,0),1))</f>
        <v>14335714285.714287</v>
      </c>
      <c r="Y725" s="27">
        <f>Y145*IF($E725="weekday",INDEX('Category Mapping'!$F$28:$F$39,MATCH('Summarized Source Data'!$A725,'Category Mapping'!$A$28:$A$39,0),1),INDEX('Category Mapping'!$E$28:$E$39,MATCH($A725,'Category Mapping'!$A$28:$A$39,0),1))</f>
        <v>14335714285.714287</v>
      </c>
      <c r="Z725" s="27">
        <f>Z145*IF($E725="weekday",INDEX('Category Mapping'!$F$28:$F$39,MATCH('Summarized Source Data'!$A725,'Category Mapping'!$A$28:$A$39,0),1),INDEX('Category Mapping'!$E$28:$E$39,MATCH($A725,'Category Mapping'!$A$28:$A$39,0),1))</f>
        <v>14335714285.714287</v>
      </c>
    </row>
    <row r="726" spans="1:26" x14ac:dyDescent="0.3">
      <c r="A726">
        <f t="shared" ref="A726:E726" si="191">A146</f>
        <v>6</v>
      </c>
      <c r="B726" t="str">
        <f t="shared" si="191"/>
        <v>Summer</v>
      </c>
      <c r="C726" t="str">
        <f t="shared" si="191"/>
        <v>h23</v>
      </c>
      <c r="D726" t="str">
        <f t="shared" si="191"/>
        <v>Hour22</v>
      </c>
      <c r="E726" t="str">
        <f t="shared" si="191"/>
        <v>Weekday</v>
      </c>
      <c r="F726" s="27">
        <f>F146*IF($E726="weekday",INDEX('Category Mapping'!$F$28:$F$39,MATCH('Summarized Source Data'!$A726,'Category Mapping'!$A$28:$A$39,0),1),INDEX('Category Mapping'!$E$28:$E$39,MATCH($A726,'Category Mapping'!$A$28:$A$39,0),1))</f>
        <v>6229714.2857142864</v>
      </c>
      <c r="G726" s="27">
        <f>G146*IF($E726="weekday",INDEX('Category Mapping'!$F$28:$F$39,MATCH('Summarized Source Data'!$A726,'Category Mapping'!$A$28:$A$39,0),1),INDEX('Category Mapping'!$E$28:$E$39,MATCH($A726,'Category Mapping'!$A$28:$A$39,0),1))</f>
        <v>327857142.85714287</v>
      </c>
      <c r="H726" s="27">
        <f>H146*IF($E726="weekday",INDEX('Category Mapping'!$F$28:$F$39,MATCH('Summarized Source Data'!$A726,'Category Mapping'!$A$28:$A$39,0),1),INDEX('Category Mapping'!$E$28:$E$39,MATCH($A726,'Category Mapping'!$A$28:$A$39,0),1))</f>
        <v>0</v>
      </c>
      <c r="I726" s="27">
        <f>I146*IF($E726="weekday",INDEX('Category Mapping'!$F$28:$F$39,MATCH('Summarized Source Data'!$A726,'Category Mapping'!$A$28:$A$39,0),1),INDEX('Category Mapping'!$E$28:$E$39,MATCH($A726,'Category Mapping'!$A$28:$A$39,0),1))</f>
        <v>580714285.71428573</v>
      </c>
      <c r="J726" s="27">
        <f>J146*IF($E726="weekday",INDEX('Category Mapping'!$F$28:$F$39,MATCH('Summarized Source Data'!$A726,'Category Mapping'!$A$28:$A$39,0),1),INDEX('Category Mapping'!$E$28:$E$39,MATCH($A726,'Category Mapping'!$A$28:$A$39,0),1))</f>
        <v>2428056000</v>
      </c>
      <c r="K726" s="27">
        <f>K146*IF($E726="weekday",INDEX('Category Mapping'!$F$28:$F$39,MATCH('Summarized Source Data'!$A726,'Category Mapping'!$A$28:$A$39,0),1),INDEX('Category Mapping'!$E$28:$E$39,MATCH($A726,'Category Mapping'!$A$28:$A$39,0),1))</f>
        <v>2428056000</v>
      </c>
      <c r="L726" s="27">
        <f>L146*IF($E726="weekday",INDEX('Category Mapping'!$F$28:$F$39,MATCH('Summarized Source Data'!$A726,'Category Mapping'!$A$28:$A$39,0),1),INDEX('Category Mapping'!$E$28:$E$39,MATCH($A726,'Category Mapping'!$A$28:$A$39,0),1))</f>
        <v>20820771.428571429</v>
      </c>
      <c r="M726" s="27">
        <f>M146*IF($E726="weekday",INDEX('Category Mapping'!$F$28:$F$39,MATCH('Summarized Source Data'!$A726,'Category Mapping'!$A$28:$A$39,0),1),INDEX('Category Mapping'!$E$28:$E$39,MATCH($A726,'Category Mapping'!$A$28:$A$39,0),1))</f>
        <v>2031428571.4285717</v>
      </c>
      <c r="N726" s="27">
        <f>N146*IF($E726="weekday",INDEX('Category Mapping'!$F$28:$F$39,MATCH('Summarized Source Data'!$A726,'Category Mapping'!$A$28:$A$39,0),1),INDEX('Category Mapping'!$E$28:$E$39,MATCH($A726,'Category Mapping'!$A$28:$A$39,0),1))</f>
        <v>0</v>
      </c>
      <c r="O726" s="27">
        <f>O146*IF($E726="weekday",INDEX('Category Mapping'!$F$28:$F$39,MATCH('Summarized Source Data'!$A726,'Category Mapping'!$A$28:$A$39,0),1),INDEX('Category Mapping'!$E$28:$E$39,MATCH($A726,'Category Mapping'!$A$28:$A$39,0),1))</f>
        <v>4397750657.1428576</v>
      </c>
      <c r="P726" s="27">
        <f>P146*IF($E726="weekday",INDEX('Category Mapping'!$F$28:$F$39,MATCH('Summarized Source Data'!$A726,'Category Mapping'!$A$28:$A$39,0),1),INDEX('Category Mapping'!$E$28:$E$39,MATCH($A726,'Category Mapping'!$A$28:$A$39,0),1))</f>
        <v>4397750657.1428576</v>
      </c>
      <c r="Q726" s="27">
        <f>Q146*IF($E726="weekday",INDEX('Category Mapping'!$F$28:$F$39,MATCH('Summarized Source Data'!$A726,'Category Mapping'!$A$28:$A$39,0),1),INDEX('Category Mapping'!$E$28:$E$39,MATCH($A726,'Category Mapping'!$A$28:$A$39,0),1))</f>
        <v>4397750657.1428576</v>
      </c>
      <c r="R726" s="27">
        <f>R146*IF($E726="weekday",INDEX('Category Mapping'!$F$28:$F$39,MATCH('Summarized Source Data'!$A726,'Category Mapping'!$A$28:$A$39,0),1),INDEX('Category Mapping'!$E$28:$E$39,MATCH($A726,'Category Mapping'!$A$28:$A$39,0),1))</f>
        <v>205259335.71428573</v>
      </c>
      <c r="S726" s="27">
        <f>S146*IF($E726="weekday",INDEX('Category Mapping'!$F$28:$F$39,MATCH('Summarized Source Data'!$A726,'Category Mapping'!$A$28:$A$39,0),1),INDEX('Category Mapping'!$E$28:$E$39,MATCH($A726,'Category Mapping'!$A$28:$A$39,0),1))</f>
        <v>205259335.71428573</v>
      </c>
      <c r="T726" s="27">
        <f>T146*IF($E726="weekday",INDEX('Category Mapping'!$F$28:$F$39,MATCH('Summarized Source Data'!$A726,'Category Mapping'!$A$28:$A$39,0),1),INDEX('Category Mapping'!$E$28:$E$39,MATCH($A726,'Category Mapping'!$A$28:$A$39,0),1))</f>
        <v>205259335.71428573</v>
      </c>
      <c r="U726" s="27">
        <f>U146*IF($E726="weekday",INDEX('Category Mapping'!$F$28:$F$39,MATCH('Summarized Source Data'!$A726,'Category Mapping'!$A$28:$A$39,0),1),INDEX('Category Mapping'!$E$28:$E$39,MATCH($A726,'Category Mapping'!$A$28:$A$39,0),1))</f>
        <v>205259335.71428573</v>
      </c>
      <c r="V726" s="27">
        <f>V146*IF($E726="weekday",INDEX('Category Mapping'!$F$28:$F$39,MATCH('Summarized Source Data'!$A726,'Category Mapping'!$A$28:$A$39,0),1),INDEX('Category Mapping'!$E$28:$E$39,MATCH($A726,'Category Mapping'!$A$28:$A$39,0),1))</f>
        <v>205259335.71428573</v>
      </c>
      <c r="W726" s="27">
        <f>W146*IF($E726="weekday",INDEX('Category Mapping'!$F$28:$F$39,MATCH('Summarized Source Data'!$A726,'Category Mapping'!$A$28:$A$39,0),1),INDEX('Category Mapping'!$E$28:$E$39,MATCH($A726,'Category Mapping'!$A$28:$A$39,0),1))</f>
        <v>205259335.71428573</v>
      </c>
      <c r="X726" s="27">
        <f>X146*IF($E726="weekday",INDEX('Category Mapping'!$F$28:$F$39,MATCH('Summarized Source Data'!$A726,'Category Mapping'!$A$28:$A$39,0),1),INDEX('Category Mapping'!$E$28:$E$39,MATCH($A726,'Category Mapping'!$A$28:$A$39,0),1))</f>
        <v>14228571428.57143</v>
      </c>
      <c r="Y726" s="27">
        <f>Y146*IF($E726="weekday",INDEX('Category Mapping'!$F$28:$F$39,MATCH('Summarized Source Data'!$A726,'Category Mapping'!$A$28:$A$39,0),1),INDEX('Category Mapping'!$E$28:$E$39,MATCH($A726,'Category Mapping'!$A$28:$A$39,0),1))</f>
        <v>14228571428.57143</v>
      </c>
      <c r="Z726" s="27">
        <f>Z146*IF($E726="weekday",INDEX('Category Mapping'!$F$28:$F$39,MATCH('Summarized Source Data'!$A726,'Category Mapping'!$A$28:$A$39,0),1),INDEX('Category Mapping'!$E$28:$E$39,MATCH($A726,'Category Mapping'!$A$28:$A$39,0),1))</f>
        <v>14228571428.57143</v>
      </c>
    </row>
    <row r="727" spans="1:26" x14ac:dyDescent="0.3">
      <c r="A727">
        <f t="shared" ref="A727:E727" si="192">A147</f>
        <v>6</v>
      </c>
      <c r="B727" t="str">
        <f t="shared" si="192"/>
        <v>Summer</v>
      </c>
      <c r="C727" t="str">
        <f t="shared" si="192"/>
        <v>h24</v>
      </c>
      <c r="D727" t="str">
        <f t="shared" si="192"/>
        <v>Hour23</v>
      </c>
      <c r="E727" t="str">
        <f t="shared" si="192"/>
        <v>Weekday</v>
      </c>
      <c r="F727" s="27">
        <f>F147*IF($E727="weekday",INDEX('Category Mapping'!$F$28:$F$39,MATCH('Summarized Source Data'!$A727,'Category Mapping'!$A$28:$A$39,0),1),INDEX('Category Mapping'!$E$28:$E$39,MATCH($A727,'Category Mapping'!$A$28:$A$39,0),1))</f>
        <v>5572285.7142857146</v>
      </c>
      <c r="G727" s="27">
        <f>G147*IF($E727="weekday",INDEX('Category Mapping'!$F$28:$F$39,MATCH('Summarized Source Data'!$A727,'Category Mapping'!$A$28:$A$39,0),1),INDEX('Category Mapping'!$E$28:$E$39,MATCH($A727,'Category Mapping'!$A$28:$A$39,0),1))</f>
        <v>162340414.2857143</v>
      </c>
      <c r="H727" s="27">
        <f>H147*IF($E727="weekday",INDEX('Category Mapping'!$F$28:$F$39,MATCH('Summarized Source Data'!$A727,'Category Mapping'!$A$28:$A$39,0),1),INDEX('Category Mapping'!$E$28:$E$39,MATCH($A727,'Category Mapping'!$A$28:$A$39,0),1))</f>
        <v>0</v>
      </c>
      <c r="I727" s="27">
        <f>I147*IF($E727="weekday",INDEX('Category Mapping'!$F$28:$F$39,MATCH('Summarized Source Data'!$A727,'Category Mapping'!$A$28:$A$39,0),1),INDEX('Category Mapping'!$E$28:$E$39,MATCH($A727,'Category Mapping'!$A$28:$A$39,0),1))</f>
        <v>306428571.42857146</v>
      </c>
      <c r="J727" s="27">
        <f>J147*IF($E727="weekday",INDEX('Category Mapping'!$F$28:$F$39,MATCH('Summarized Source Data'!$A727,'Category Mapping'!$A$28:$A$39,0),1),INDEX('Category Mapping'!$E$28:$E$39,MATCH($A727,'Category Mapping'!$A$28:$A$39,0),1))</f>
        <v>1925658728.5714288</v>
      </c>
      <c r="K727" s="27">
        <f>K147*IF($E727="weekday",INDEX('Category Mapping'!$F$28:$F$39,MATCH('Summarized Source Data'!$A727,'Category Mapping'!$A$28:$A$39,0),1),INDEX('Category Mapping'!$E$28:$E$39,MATCH($A727,'Category Mapping'!$A$28:$A$39,0),1))</f>
        <v>1925658728.5714288</v>
      </c>
      <c r="L727" s="27">
        <f>L147*IF($E727="weekday",INDEX('Category Mapping'!$F$28:$F$39,MATCH('Summarized Source Data'!$A727,'Category Mapping'!$A$28:$A$39,0),1),INDEX('Category Mapping'!$E$28:$E$39,MATCH($A727,'Category Mapping'!$A$28:$A$39,0),1))</f>
        <v>22283378.571428575</v>
      </c>
      <c r="M727" s="27">
        <f>M147*IF($E727="weekday",INDEX('Category Mapping'!$F$28:$F$39,MATCH('Summarized Source Data'!$A727,'Category Mapping'!$A$28:$A$39,0),1),INDEX('Category Mapping'!$E$28:$E$39,MATCH($A727,'Category Mapping'!$A$28:$A$39,0),1))</f>
        <v>1680000000.0000002</v>
      </c>
      <c r="N727" s="27">
        <f>N147*IF($E727="weekday",INDEX('Category Mapping'!$F$28:$F$39,MATCH('Summarized Source Data'!$A727,'Category Mapping'!$A$28:$A$39,0),1),INDEX('Category Mapping'!$E$28:$E$39,MATCH($A727,'Category Mapping'!$A$28:$A$39,0),1))</f>
        <v>0</v>
      </c>
      <c r="O727" s="27">
        <f>O147*IF($E727="weekday",INDEX('Category Mapping'!$F$28:$F$39,MATCH('Summarized Source Data'!$A727,'Category Mapping'!$A$28:$A$39,0),1),INDEX('Category Mapping'!$E$28:$E$39,MATCH($A727,'Category Mapping'!$A$28:$A$39,0),1))</f>
        <v>3847716621.4285717</v>
      </c>
      <c r="P727" s="27">
        <f>P147*IF($E727="weekday",INDEX('Category Mapping'!$F$28:$F$39,MATCH('Summarized Source Data'!$A727,'Category Mapping'!$A$28:$A$39,0),1),INDEX('Category Mapping'!$E$28:$E$39,MATCH($A727,'Category Mapping'!$A$28:$A$39,0),1))</f>
        <v>3847716621.4285717</v>
      </c>
      <c r="Q727" s="27">
        <f>Q147*IF($E727="weekday",INDEX('Category Mapping'!$F$28:$F$39,MATCH('Summarized Source Data'!$A727,'Category Mapping'!$A$28:$A$39,0),1),INDEX('Category Mapping'!$E$28:$E$39,MATCH($A727,'Category Mapping'!$A$28:$A$39,0),1))</f>
        <v>3847716621.4285717</v>
      </c>
      <c r="R727" s="27">
        <f>R147*IF($E727="weekday",INDEX('Category Mapping'!$F$28:$F$39,MATCH('Summarized Source Data'!$A727,'Category Mapping'!$A$28:$A$39,0),1),INDEX('Category Mapping'!$E$28:$E$39,MATCH($A727,'Category Mapping'!$A$28:$A$39,0),1))</f>
        <v>138224142.85714287</v>
      </c>
      <c r="S727" s="27">
        <f>S147*IF($E727="weekday",INDEX('Category Mapping'!$F$28:$F$39,MATCH('Summarized Source Data'!$A727,'Category Mapping'!$A$28:$A$39,0),1),INDEX('Category Mapping'!$E$28:$E$39,MATCH($A727,'Category Mapping'!$A$28:$A$39,0),1))</f>
        <v>138224142.85714287</v>
      </c>
      <c r="T727" s="27">
        <f>T147*IF($E727="weekday",INDEX('Category Mapping'!$F$28:$F$39,MATCH('Summarized Source Data'!$A727,'Category Mapping'!$A$28:$A$39,0),1),INDEX('Category Mapping'!$E$28:$E$39,MATCH($A727,'Category Mapping'!$A$28:$A$39,0),1))</f>
        <v>138224142.85714287</v>
      </c>
      <c r="U727" s="27">
        <f>U147*IF($E727="weekday",INDEX('Category Mapping'!$F$28:$F$39,MATCH('Summarized Source Data'!$A727,'Category Mapping'!$A$28:$A$39,0),1),INDEX('Category Mapping'!$E$28:$E$39,MATCH($A727,'Category Mapping'!$A$28:$A$39,0),1))</f>
        <v>138224142.85714287</v>
      </c>
      <c r="V727" s="27">
        <f>V147*IF($E727="weekday",INDEX('Category Mapping'!$F$28:$F$39,MATCH('Summarized Source Data'!$A727,'Category Mapping'!$A$28:$A$39,0),1),INDEX('Category Mapping'!$E$28:$E$39,MATCH($A727,'Category Mapping'!$A$28:$A$39,0),1))</f>
        <v>138224142.85714287</v>
      </c>
      <c r="W727" s="27">
        <f>W147*IF($E727="weekday",INDEX('Category Mapping'!$F$28:$F$39,MATCH('Summarized Source Data'!$A727,'Category Mapping'!$A$28:$A$39,0),1),INDEX('Category Mapping'!$E$28:$E$39,MATCH($A727,'Category Mapping'!$A$28:$A$39,0),1))</f>
        <v>138224142.85714287</v>
      </c>
      <c r="X727" s="27">
        <f>X147*IF($E727="weekday",INDEX('Category Mapping'!$F$28:$F$39,MATCH('Summarized Source Data'!$A727,'Category Mapping'!$A$28:$A$39,0),1),INDEX('Category Mapping'!$E$28:$E$39,MATCH($A727,'Category Mapping'!$A$28:$A$39,0),1))</f>
        <v>14142857142.857143</v>
      </c>
      <c r="Y727" s="27">
        <f>Y147*IF($E727="weekday",INDEX('Category Mapping'!$F$28:$F$39,MATCH('Summarized Source Data'!$A727,'Category Mapping'!$A$28:$A$39,0),1),INDEX('Category Mapping'!$E$28:$E$39,MATCH($A727,'Category Mapping'!$A$28:$A$39,0),1))</f>
        <v>14142857142.857143</v>
      </c>
      <c r="Z727" s="27">
        <f>Z147*IF($E727="weekday",INDEX('Category Mapping'!$F$28:$F$39,MATCH('Summarized Source Data'!$A727,'Category Mapping'!$A$28:$A$39,0),1),INDEX('Category Mapping'!$E$28:$E$39,MATCH($A727,'Category Mapping'!$A$28:$A$39,0),1))</f>
        <v>14142857142.857143</v>
      </c>
    </row>
    <row r="728" spans="1:26" x14ac:dyDescent="0.3">
      <c r="A728">
        <f t="shared" ref="A728:E728" si="193">A148</f>
        <v>7</v>
      </c>
      <c r="B728" t="str">
        <f t="shared" si="193"/>
        <v>Summer</v>
      </c>
      <c r="C728" t="str">
        <f t="shared" si="193"/>
        <v>h1</v>
      </c>
      <c r="D728" t="str">
        <f t="shared" si="193"/>
        <v>Hour0</v>
      </c>
      <c r="E728" t="str">
        <f t="shared" si="193"/>
        <v>Weekday</v>
      </c>
      <c r="F728" s="27">
        <f>F148*IF($E728="weekday",INDEX('Category Mapping'!$F$28:$F$39,MATCH('Summarized Source Data'!$A728,'Category Mapping'!$A$28:$A$39,0),1),INDEX('Category Mapping'!$E$28:$E$39,MATCH($A728,'Category Mapping'!$A$28:$A$39,0),1))</f>
        <v>1132939.2857142857</v>
      </c>
      <c r="G728" s="27">
        <f>G148*IF($E728="weekday",INDEX('Category Mapping'!$F$28:$F$39,MATCH('Summarized Source Data'!$A728,'Category Mapping'!$A$28:$A$39,0),1),INDEX('Category Mapping'!$E$28:$E$39,MATCH($A728,'Category Mapping'!$A$28:$A$39,0),1))</f>
        <v>1182428571.4285715</v>
      </c>
      <c r="H728" s="27">
        <f>H148*IF($E728="weekday",INDEX('Category Mapping'!$F$28:$F$39,MATCH('Summarized Source Data'!$A728,'Category Mapping'!$A$28:$A$39,0),1),INDEX('Category Mapping'!$E$28:$E$39,MATCH($A728,'Category Mapping'!$A$28:$A$39,0),1))</f>
        <v>0</v>
      </c>
      <c r="I728" s="27">
        <f>I148*IF($E728="weekday",INDEX('Category Mapping'!$F$28:$F$39,MATCH('Summarized Source Data'!$A728,'Category Mapping'!$A$28:$A$39,0),1),INDEX('Category Mapping'!$E$28:$E$39,MATCH($A728,'Category Mapping'!$A$28:$A$39,0),1))</f>
        <v>223642857.14285713</v>
      </c>
      <c r="J728" s="27">
        <f>J148*IF($E728="weekday",INDEX('Category Mapping'!$F$28:$F$39,MATCH('Summarized Source Data'!$A728,'Category Mapping'!$A$28:$A$39,0),1),INDEX('Category Mapping'!$E$28:$E$39,MATCH($A728,'Category Mapping'!$A$28:$A$39,0),1))</f>
        <v>1648509917.8571429</v>
      </c>
      <c r="K728" s="27">
        <f>K148*IF($E728="weekday",INDEX('Category Mapping'!$F$28:$F$39,MATCH('Summarized Source Data'!$A728,'Category Mapping'!$A$28:$A$39,0),1),INDEX('Category Mapping'!$E$28:$E$39,MATCH($A728,'Category Mapping'!$A$28:$A$39,0),1))</f>
        <v>1648509917.8571429</v>
      </c>
      <c r="L728" s="27">
        <f>L148*IF($E728="weekday",INDEX('Category Mapping'!$F$28:$F$39,MATCH('Summarized Source Data'!$A728,'Category Mapping'!$A$28:$A$39,0),1),INDEX('Category Mapping'!$E$28:$E$39,MATCH($A728,'Category Mapping'!$A$28:$A$39,0),1))</f>
        <v>4392390</v>
      </c>
      <c r="M728" s="27">
        <f>M148*IF($E728="weekday",INDEX('Category Mapping'!$F$28:$F$39,MATCH('Summarized Source Data'!$A728,'Category Mapping'!$A$28:$A$39,0),1),INDEX('Category Mapping'!$E$28:$E$39,MATCH($A728,'Category Mapping'!$A$28:$A$39,0),1))</f>
        <v>4738571428.5714283</v>
      </c>
      <c r="N728" s="27">
        <f>N148*IF($E728="weekday",INDEX('Category Mapping'!$F$28:$F$39,MATCH('Summarized Source Data'!$A728,'Category Mapping'!$A$28:$A$39,0),1),INDEX('Category Mapping'!$E$28:$E$39,MATCH($A728,'Category Mapping'!$A$28:$A$39,0),1))</f>
        <v>0</v>
      </c>
      <c r="O728" s="27">
        <f>O148*IF($E728="weekday",INDEX('Category Mapping'!$F$28:$F$39,MATCH('Summarized Source Data'!$A728,'Category Mapping'!$A$28:$A$39,0),1),INDEX('Category Mapping'!$E$28:$E$39,MATCH($A728,'Category Mapping'!$A$28:$A$39,0),1))</f>
        <v>3339179038.5714283</v>
      </c>
      <c r="P728" s="27">
        <f>P148*IF($E728="weekday",INDEX('Category Mapping'!$F$28:$F$39,MATCH('Summarized Source Data'!$A728,'Category Mapping'!$A$28:$A$39,0),1),INDEX('Category Mapping'!$E$28:$E$39,MATCH($A728,'Category Mapping'!$A$28:$A$39,0),1))</f>
        <v>3339179038.5714283</v>
      </c>
      <c r="Q728" s="27">
        <f>Q148*IF($E728="weekday",INDEX('Category Mapping'!$F$28:$F$39,MATCH('Summarized Source Data'!$A728,'Category Mapping'!$A$28:$A$39,0),1),INDEX('Category Mapping'!$E$28:$E$39,MATCH($A728,'Category Mapping'!$A$28:$A$39,0),1))</f>
        <v>3339179038.5714283</v>
      </c>
      <c r="R728" s="27">
        <f>R148*IF($E728="weekday",INDEX('Category Mapping'!$F$28:$F$39,MATCH('Summarized Source Data'!$A728,'Category Mapping'!$A$28:$A$39,0),1),INDEX('Category Mapping'!$E$28:$E$39,MATCH($A728,'Category Mapping'!$A$28:$A$39,0),1))</f>
        <v>93945765.714285716</v>
      </c>
      <c r="S728" s="27">
        <f>S148*IF($E728="weekday",INDEX('Category Mapping'!$F$28:$F$39,MATCH('Summarized Source Data'!$A728,'Category Mapping'!$A$28:$A$39,0),1),INDEX('Category Mapping'!$E$28:$E$39,MATCH($A728,'Category Mapping'!$A$28:$A$39,0),1))</f>
        <v>93945765.714285716</v>
      </c>
      <c r="T728" s="27">
        <f>T148*IF($E728="weekday",INDEX('Category Mapping'!$F$28:$F$39,MATCH('Summarized Source Data'!$A728,'Category Mapping'!$A$28:$A$39,0),1),INDEX('Category Mapping'!$E$28:$E$39,MATCH($A728,'Category Mapping'!$A$28:$A$39,0),1))</f>
        <v>93945765.714285716</v>
      </c>
      <c r="U728" s="27">
        <f>U148*IF($E728="weekday",INDEX('Category Mapping'!$F$28:$F$39,MATCH('Summarized Source Data'!$A728,'Category Mapping'!$A$28:$A$39,0),1),INDEX('Category Mapping'!$E$28:$E$39,MATCH($A728,'Category Mapping'!$A$28:$A$39,0),1))</f>
        <v>93945765.714285716</v>
      </c>
      <c r="V728" s="27">
        <f>V148*IF($E728="weekday",INDEX('Category Mapping'!$F$28:$F$39,MATCH('Summarized Source Data'!$A728,'Category Mapping'!$A$28:$A$39,0),1),INDEX('Category Mapping'!$E$28:$E$39,MATCH($A728,'Category Mapping'!$A$28:$A$39,0),1))</f>
        <v>93945765.714285716</v>
      </c>
      <c r="W728" s="27">
        <f>W148*IF($E728="weekday",INDEX('Category Mapping'!$F$28:$F$39,MATCH('Summarized Source Data'!$A728,'Category Mapping'!$A$28:$A$39,0),1),INDEX('Category Mapping'!$E$28:$E$39,MATCH($A728,'Category Mapping'!$A$28:$A$39,0),1))</f>
        <v>93945765.714285716</v>
      </c>
      <c r="X728" s="27">
        <f>X148*IF($E728="weekday",INDEX('Category Mapping'!$F$28:$F$39,MATCH('Summarized Source Data'!$A728,'Category Mapping'!$A$28:$A$39,0),1),INDEX('Category Mapping'!$E$28:$E$39,MATCH($A728,'Category Mapping'!$A$28:$A$39,0),1))</f>
        <v>13684285714.285713</v>
      </c>
      <c r="Y728" s="27">
        <f>Y148*IF($E728="weekday",INDEX('Category Mapping'!$F$28:$F$39,MATCH('Summarized Source Data'!$A728,'Category Mapping'!$A$28:$A$39,0),1),INDEX('Category Mapping'!$E$28:$E$39,MATCH($A728,'Category Mapping'!$A$28:$A$39,0),1))</f>
        <v>13684285714.285713</v>
      </c>
      <c r="Z728" s="27">
        <f>Z148*IF($E728="weekday",INDEX('Category Mapping'!$F$28:$F$39,MATCH('Summarized Source Data'!$A728,'Category Mapping'!$A$28:$A$39,0),1),INDEX('Category Mapping'!$E$28:$E$39,MATCH($A728,'Category Mapping'!$A$28:$A$39,0),1))</f>
        <v>13684285714.285713</v>
      </c>
    </row>
    <row r="729" spans="1:26" x14ac:dyDescent="0.3">
      <c r="A729">
        <f t="shared" ref="A729:E729" si="194">A149</f>
        <v>7</v>
      </c>
      <c r="B729" t="str">
        <f t="shared" si="194"/>
        <v>Summer</v>
      </c>
      <c r="C729" t="str">
        <f t="shared" si="194"/>
        <v>h2</v>
      </c>
      <c r="D729" t="str">
        <f t="shared" si="194"/>
        <v>Hour1</v>
      </c>
      <c r="E729" t="str">
        <f t="shared" si="194"/>
        <v>Weekday</v>
      </c>
      <c r="F729" s="27">
        <f>F149*IF($E729="weekday",INDEX('Category Mapping'!$F$28:$F$39,MATCH('Summarized Source Data'!$A729,'Category Mapping'!$A$28:$A$39,0),1),INDEX('Category Mapping'!$E$28:$E$39,MATCH($A729,'Category Mapping'!$A$28:$A$39,0),1))</f>
        <v>1132939.2857142857</v>
      </c>
      <c r="G729" s="27">
        <f>G149*IF($E729="weekday",INDEX('Category Mapping'!$F$28:$F$39,MATCH('Summarized Source Data'!$A729,'Category Mapping'!$A$28:$A$39,0),1),INDEX('Category Mapping'!$E$28:$E$39,MATCH($A729,'Category Mapping'!$A$28:$A$39,0),1))</f>
        <v>1080571428.5714285</v>
      </c>
      <c r="H729" s="27">
        <f>H149*IF($E729="weekday",INDEX('Category Mapping'!$F$28:$F$39,MATCH('Summarized Source Data'!$A729,'Category Mapping'!$A$28:$A$39,0),1),INDEX('Category Mapping'!$E$28:$E$39,MATCH($A729,'Category Mapping'!$A$28:$A$39,0),1))</f>
        <v>0</v>
      </c>
      <c r="I729" s="27">
        <f>I149*IF($E729="weekday",INDEX('Category Mapping'!$F$28:$F$39,MATCH('Summarized Source Data'!$A729,'Category Mapping'!$A$28:$A$39,0),1),INDEX('Category Mapping'!$E$28:$E$39,MATCH($A729,'Category Mapping'!$A$28:$A$39,0),1))</f>
        <v>206005783.57142857</v>
      </c>
      <c r="J729" s="27">
        <f>J149*IF($E729="weekday",INDEX('Category Mapping'!$F$28:$F$39,MATCH('Summarized Source Data'!$A729,'Category Mapping'!$A$28:$A$39,0),1),INDEX('Category Mapping'!$E$28:$E$39,MATCH($A729,'Category Mapping'!$A$28:$A$39,0),1))</f>
        <v>1192289848.5714285</v>
      </c>
      <c r="K729" s="27">
        <f>K149*IF($E729="weekday",INDEX('Category Mapping'!$F$28:$F$39,MATCH('Summarized Source Data'!$A729,'Category Mapping'!$A$28:$A$39,0),1),INDEX('Category Mapping'!$E$28:$E$39,MATCH($A729,'Category Mapping'!$A$28:$A$39,0),1))</f>
        <v>1192289848.5714285</v>
      </c>
      <c r="L729" s="27">
        <f>L149*IF($E729="weekday",INDEX('Category Mapping'!$F$28:$F$39,MATCH('Summarized Source Data'!$A729,'Category Mapping'!$A$28:$A$39,0),1),INDEX('Category Mapping'!$E$28:$E$39,MATCH($A729,'Category Mapping'!$A$28:$A$39,0),1))</f>
        <v>4392390</v>
      </c>
      <c r="M729" s="27">
        <f>M149*IF($E729="weekday",INDEX('Category Mapping'!$F$28:$F$39,MATCH('Summarized Source Data'!$A729,'Category Mapping'!$A$28:$A$39,0),1),INDEX('Category Mapping'!$E$28:$E$39,MATCH($A729,'Category Mapping'!$A$28:$A$39,0),1))</f>
        <v>4406428571.4285717</v>
      </c>
      <c r="N729" s="27">
        <f>N149*IF($E729="weekday",INDEX('Category Mapping'!$F$28:$F$39,MATCH('Summarized Source Data'!$A729,'Category Mapping'!$A$28:$A$39,0),1),INDEX('Category Mapping'!$E$28:$E$39,MATCH($A729,'Category Mapping'!$A$28:$A$39,0),1))</f>
        <v>0</v>
      </c>
      <c r="O729" s="27">
        <f>O149*IF($E729="weekday",INDEX('Category Mapping'!$F$28:$F$39,MATCH('Summarized Source Data'!$A729,'Category Mapping'!$A$28:$A$39,0),1),INDEX('Category Mapping'!$E$28:$E$39,MATCH($A729,'Category Mapping'!$A$28:$A$39,0),1))</f>
        <v>3294893324.2857141</v>
      </c>
      <c r="P729" s="27">
        <f>P149*IF($E729="weekday",INDEX('Category Mapping'!$F$28:$F$39,MATCH('Summarized Source Data'!$A729,'Category Mapping'!$A$28:$A$39,0),1),INDEX('Category Mapping'!$E$28:$E$39,MATCH($A729,'Category Mapping'!$A$28:$A$39,0),1))</f>
        <v>3294893324.2857141</v>
      </c>
      <c r="Q729" s="27">
        <f>Q149*IF($E729="weekday",INDEX('Category Mapping'!$F$28:$F$39,MATCH('Summarized Source Data'!$A729,'Category Mapping'!$A$28:$A$39,0),1),INDEX('Category Mapping'!$E$28:$E$39,MATCH($A729,'Category Mapping'!$A$28:$A$39,0),1))</f>
        <v>3294893324.2857141</v>
      </c>
      <c r="R729" s="27">
        <f>R149*IF($E729="weekday",INDEX('Category Mapping'!$F$28:$F$39,MATCH('Summarized Source Data'!$A729,'Category Mapping'!$A$28:$A$39,0),1),INDEX('Category Mapping'!$E$28:$E$39,MATCH($A729,'Category Mapping'!$A$28:$A$39,0),1))</f>
        <v>92444037.142857134</v>
      </c>
      <c r="S729" s="27">
        <f>S149*IF($E729="weekday",INDEX('Category Mapping'!$F$28:$F$39,MATCH('Summarized Source Data'!$A729,'Category Mapping'!$A$28:$A$39,0),1),INDEX('Category Mapping'!$E$28:$E$39,MATCH($A729,'Category Mapping'!$A$28:$A$39,0),1))</f>
        <v>92444037.142857134</v>
      </c>
      <c r="T729" s="27">
        <f>T149*IF($E729="weekday",INDEX('Category Mapping'!$F$28:$F$39,MATCH('Summarized Source Data'!$A729,'Category Mapping'!$A$28:$A$39,0),1),INDEX('Category Mapping'!$E$28:$E$39,MATCH($A729,'Category Mapping'!$A$28:$A$39,0),1))</f>
        <v>92444037.142857134</v>
      </c>
      <c r="U729" s="27">
        <f>U149*IF($E729="weekday",INDEX('Category Mapping'!$F$28:$F$39,MATCH('Summarized Source Data'!$A729,'Category Mapping'!$A$28:$A$39,0),1),INDEX('Category Mapping'!$E$28:$E$39,MATCH($A729,'Category Mapping'!$A$28:$A$39,0),1))</f>
        <v>92444037.142857134</v>
      </c>
      <c r="V729" s="27">
        <f>V149*IF($E729="weekday",INDEX('Category Mapping'!$F$28:$F$39,MATCH('Summarized Source Data'!$A729,'Category Mapping'!$A$28:$A$39,0),1),INDEX('Category Mapping'!$E$28:$E$39,MATCH($A729,'Category Mapping'!$A$28:$A$39,0),1))</f>
        <v>92444037.142857134</v>
      </c>
      <c r="W729" s="27">
        <f>W149*IF($E729="weekday",INDEX('Category Mapping'!$F$28:$F$39,MATCH('Summarized Source Data'!$A729,'Category Mapping'!$A$28:$A$39,0),1),INDEX('Category Mapping'!$E$28:$E$39,MATCH($A729,'Category Mapping'!$A$28:$A$39,0),1))</f>
        <v>92444037.142857134</v>
      </c>
      <c r="X729" s="27">
        <f>X149*IF($E729="weekday",INDEX('Category Mapping'!$F$28:$F$39,MATCH('Summarized Source Data'!$A729,'Category Mapping'!$A$28:$A$39,0),1),INDEX('Category Mapping'!$E$28:$E$39,MATCH($A729,'Category Mapping'!$A$28:$A$39,0),1))</f>
        <v>13662142857.142857</v>
      </c>
      <c r="Y729" s="27">
        <f>Y149*IF($E729="weekday",INDEX('Category Mapping'!$F$28:$F$39,MATCH('Summarized Source Data'!$A729,'Category Mapping'!$A$28:$A$39,0),1),INDEX('Category Mapping'!$E$28:$E$39,MATCH($A729,'Category Mapping'!$A$28:$A$39,0),1))</f>
        <v>13662142857.142857</v>
      </c>
      <c r="Z729" s="27">
        <f>Z149*IF($E729="weekday",INDEX('Category Mapping'!$F$28:$F$39,MATCH('Summarized Source Data'!$A729,'Category Mapping'!$A$28:$A$39,0),1),INDEX('Category Mapping'!$E$28:$E$39,MATCH($A729,'Category Mapping'!$A$28:$A$39,0),1))</f>
        <v>13662142857.142857</v>
      </c>
    </row>
    <row r="730" spans="1:26" x14ac:dyDescent="0.3">
      <c r="A730">
        <f t="shared" ref="A730:E730" si="195">A150</f>
        <v>7</v>
      </c>
      <c r="B730" t="str">
        <f t="shared" si="195"/>
        <v>Summer</v>
      </c>
      <c r="C730" t="str">
        <f t="shared" si="195"/>
        <v>h3</v>
      </c>
      <c r="D730" t="str">
        <f t="shared" si="195"/>
        <v>Hour2</v>
      </c>
      <c r="E730" t="str">
        <f t="shared" si="195"/>
        <v>Weekday</v>
      </c>
      <c r="F730" s="27">
        <f>F150*IF($E730="weekday",INDEX('Category Mapping'!$F$28:$F$39,MATCH('Summarized Source Data'!$A730,'Category Mapping'!$A$28:$A$39,0),1),INDEX('Category Mapping'!$E$28:$E$39,MATCH($A730,'Category Mapping'!$A$28:$A$39,0),1))</f>
        <v>1132939.2857142857</v>
      </c>
      <c r="G730" s="27">
        <f>G150*IF($E730="weekday",INDEX('Category Mapping'!$F$28:$F$39,MATCH('Summarized Source Data'!$A730,'Category Mapping'!$A$28:$A$39,0),1),INDEX('Category Mapping'!$E$28:$E$39,MATCH($A730,'Category Mapping'!$A$28:$A$39,0),1))</f>
        <v>1047357142.8571428</v>
      </c>
      <c r="H730" s="27">
        <f>H150*IF($E730="weekday",INDEX('Category Mapping'!$F$28:$F$39,MATCH('Summarized Source Data'!$A730,'Category Mapping'!$A$28:$A$39,0),1),INDEX('Category Mapping'!$E$28:$E$39,MATCH($A730,'Category Mapping'!$A$28:$A$39,0),1))</f>
        <v>0</v>
      </c>
      <c r="I730" s="27">
        <f>I150*IF($E730="weekday",INDEX('Category Mapping'!$F$28:$F$39,MATCH('Summarized Source Data'!$A730,'Category Mapping'!$A$28:$A$39,0),1),INDEX('Category Mapping'!$E$28:$E$39,MATCH($A730,'Category Mapping'!$A$28:$A$39,0),1))</f>
        <v>203984251.42857143</v>
      </c>
      <c r="J730" s="27">
        <f>J150*IF($E730="weekday",INDEX('Category Mapping'!$F$28:$F$39,MATCH('Summarized Source Data'!$A730,'Category Mapping'!$A$28:$A$39,0),1),INDEX('Category Mapping'!$E$28:$E$39,MATCH($A730,'Category Mapping'!$A$28:$A$39,0),1))</f>
        <v>961811380.71428573</v>
      </c>
      <c r="K730" s="27">
        <f>K150*IF($E730="weekday",INDEX('Category Mapping'!$F$28:$F$39,MATCH('Summarized Source Data'!$A730,'Category Mapping'!$A$28:$A$39,0),1),INDEX('Category Mapping'!$E$28:$E$39,MATCH($A730,'Category Mapping'!$A$28:$A$39,0),1))</f>
        <v>961811380.71428573</v>
      </c>
      <c r="L730" s="27">
        <f>L150*IF($E730="weekday",INDEX('Category Mapping'!$F$28:$F$39,MATCH('Summarized Source Data'!$A730,'Category Mapping'!$A$28:$A$39,0),1),INDEX('Category Mapping'!$E$28:$E$39,MATCH($A730,'Category Mapping'!$A$28:$A$39,0),1))</f>
        <v>4392390</v>
      </c>
      <c r="M730" s="27">
        <f>M150*IF($E730="weekday",INDEX('Category Mapping'!$F$28:$F$39,MATCH('Summarized Source Data'!$A730,'Category Mapping'!$A$28:$A$39,0),1),INDEX('Category Mapping'!$E$28:$E$39,MATCH($A730,'Category Mapping'!$A$28:$A$39,0),1))</f>
        <v>4273571428.5714283</v>
      </c>
      <c r="N730" s="27">
        <f>N150*IF($E730="weekday",INDEX('Category Mapping'!$F$28:$F$39,MATCH('Summarized Source Data'!$A730,'Category Mapping'!$A$28:$A$39,0),1),INDEX('Category Mapping'!$E$28:$E$39,MATCH($A730,'Category Mapping'!$A$28:$A$39,0),1))</f>
        <v>0</v>
      </c>
      <c r="O730" s="27">
        <f>O150*IF($E730="weekday",INDEX('Category Mapping'!$F$28:$F$39,MATCH('Summarized Source Data'!$A730,'Category Mapping'!$A$28:$A$39,0),1),INDEX('Category Mapping'!$E$28:$E$39,MATCH($A730,'Category Mapping'!$A$28:$A$39,0),1))</f>
        <v>3272750467.1428571</v>
      </c>
      <c r="P730" s="27">
        <f>P150*IF($E730="weekday",INDEX('Category Mapping'!$F$28:$F$39,MATCH('Summarized Source Data'!$A730,'Category Mapping'!$A$28:$A$39,0),1),INDEX('Category Mapping'!$E$28:$E$39,MATCH($A730,'Category Mapping'!$A$28:$A$39,0),1))</f>
        <v>3272750467.1428571</v>
      </c>
      <c r="Q730" s="27">
        <f>Q150*IF($E730="weekday",INDEX('Category Mapping'!$F$28:$F$39,MATCH('Summarized Source Data'!$A730,'Category Mapping'!$A$28:$A$39,0),1),INDEX('Category Mapping'!$E$28:$E$39,MATCH($A730,'Category Mapping'!$A$28:$A$39,0),1))</f>
        <v>3272750467.1428571</v>
      </c>
      <c r="R730" s="27">
        <f>R150*IF($E730="weekday",INDEX('Category Mapping'!$F$28:$F$39,MATCH('Summarized Source Data'!$A730,'Category Mapping'!$A$28:$A$39,0),1),INDEX('Category Mapping'!$E$28:$E$39,MATCH($A730,'Category Mapping'!$A$28:$A$39,0),1))</f>
        <v>92058352.857142851</v>
      </c>
      <c r="S730" s="27">
        <f>S150*IF($E730="weekday",INDEX('Category Mapping'!$F$28:$F$39,MATCH('Summarized Source Data'!$A730,'Category Mapping'!$A$28:$A$39,0),1),INDEX('Category Mapping'!$E$28:$E$39,MATCH($A730,'Category Mapping'!$A$28:$A$39,0),1))</f>
        <v>92058352.857142851</v>
      </c>
      <c r="T730" s="27">
        <f>T150*IF($E730="weekday",INDEX('Category Mapping'!$F$28:$F$39,MATCH('Summarized Source Data'!$A730,'Category Mapping'!$A$28:$A$39,0),1),INDEX('Category Mapping'!$E$28:$E$39,MATCH($A730,'Category Mapping'!$A$28:$A$39,0),1))</f>
        <v>92058352.857142851</v>
      </c>
      <c r="U730" s="27">
        <f>U150*IF($E730="weekday",INDEX('Category Mapping'!$F$28:$F$39,MATCH('Summarized Source Data'!$A730,'Category Mapping'!$A$28:$A$39,0),1),INDEX('Category Mapping'!$E$28:$E$39,MATCH($A730,'Category Mapping'!$A$28:$A$39,0),1))</f>
        <v>92058352.857142851</v>
      </c>
      <c r="V730" s="27">
        <f>V150*IF($E730="weekday",INDEX('Category Mapping'!$F$28:$F$39,MATCH('Summarized Source Data'!$A730,'Category Mapping'!$A$28:$A$39,0),1),INDEX('Category Mapping'!$E$28:$E$39,MATCH($A730,'Category Mapping'!$A$28:$A$39,0),1))</f>
        <v>92058352.857142851</v>
      </c>
      <c r="W730" s="27">
        <f>W150*IF($E730="weekday",INDEX('Category Mapping'!$F$28:$F$39,MATCH('Summarized Source Data'!$A730,'Category Mapping'!$A$28:$A$39,0),1),INDEX('Category Mapping'!$E$28:$E$39,MATCH($A730,'Category Mapping'!$A$28:$A$39,0),1))</f>
        <v>92058352.857142851</v>
      </c>
      <c r="X730" s="27">
        <f>X150*IF($E730="weekday",INDEX('Category Mapping'!$F$28:$F$39,MATCH('Summarized Source Data'!$A730,'Category Mapping'!$A$28:$A$39,0),1),INDEX('Category Mapping'!$E$28:$E$39,MATCH($A730,'Category Mapping'!$A$28:$A$39,0),1))</f>
        <v>13662142857.142857</v>
      </c>
      <c r="Y730" s="27">
        <f>Y150*IF($E730="weekday",INDEX('Category Mapping'!$F$28:$F$39,MATCH('Summarized Source Data'!$A730,'Category Mapping'!$A$28:$A$39,0),1),INDEX('Category Mapping'!$E$28:$E$39,MATCH($A730,'Category Mapping'!$A$28:$A$39,0),1))</f>
        <v>13662142857.142857</v>
      </c>
      <c r="Z730" s="27">
        <f>Z150*IF($E730="weekday",INDEX('Category Mapping'!$F$28:$F$39,MATCH('Summarized Source Data'!$A730,'Category Mapping'!$A$28:$A$39,0),1),INDEX('Category Mapping'!$E$28:$E$39,MATCH($A730,'Category Mapping'!$A$28:$A$39,0),1))</f>
        <v>13662142857.142857</v>
      </c>
    </row>
    <row r="731" spans="1:26" x14ac:dyDescent="0.3">
      <c r="A731">
        <f t="shared" ref="A731:E731" si="196">A151</f>
        <v>7</v>
      </c>
      <c r="B731" t="str">
        <f t="shared" si="196"/>
        <v>Summer</v>
      </c>
      <c r="C731" t="str">
        <f t="shared" si="196"/>
        <v>h4</v>
      </c>
      <c r="D731" t="str">
        <f t="shared" si="196"/>
        <v>Hour3</v>
      </c>
      <c r="E731" t="str">
        <f t="shared" si="196"/>
        <v>Weekday</v>
      </c>
      <c r="F731" s="27">
        <f>F151*IF($E731="weekday",INDEX('Category Mapping'!$F$28:$F$39,MATCH('Summarized Source Data'!$A731,'Category Mapping'!$A$28:$A$39,0),1),INDEX('Category Mapping'!$E$28:$E$39,MATCH($A731,'Category Mapping'!$A$28:$A$39,0),1))</f>
        <v>1132939.2857142857</v>
      </c>
      <c r="G731" s="27">
        <f>G151*IF($E731="weekday",INDEX('Category Mapping'!$F$28:$F$39,MATCH('Summarized Source Data'!$A731,'Category Mapping'!$A$28:$A$39,0),1),INDEX('Category Mapping'!$E$28:$E$39,MATCH($A731,'Category Mapping'!$A$28:$A$39,0),1))</f>
        <v>1085000000</v>
      </c>
      <c r="H731" s="27">
        <f>H151*IF($E731="weekday",INDEX('Category Mapping'!$F$28:$F$39,MATCH('Summarized Source Data'!$A731,'Category Mapping'!$A$28:$A$39,0),1),INDEX('Category Mapping'!$E$28:$E$39,MATCH($A731,'Category Mapping'!$A$28:$A$39,0),1))</f>
        <v>0</v>
      </c>
      <c r="I731" s="27">
        <f>I151*IF($E731="weekday",INDEX('Category Mapping'!$F$28:$F$39,MATCH('Summarized Source Data'!$A731,'Category Mapping'!$A$28:$A$39,0),1),INDEX('Category Mapping'!$E$28:$E$39,MATCH($A731,'Category Mapping'!$A$28:$A$39,0),1))</f>
        <v>208531597.14285713</v>
      </c>
      <c r="J731" s="27">
        <f>J151*IF($E731="weekday",INDEX('Category Mapping'!$F$28:$F$39,MATCH('Summarized Source Data'!$A731,'Category Mapping'!$A$28:$A$39,0),1),INDEX('Category Mapping'!$E$28:$E$39,MATCH($A731,'Category Mapping'!$A$28:$A$39,0),1))</f>
        <v>835478320.71428573</v>
      </c>
      <c r="K731" s="27">
        <f>K151*IF($E731="weekday",INDEX('Category Mapping'!$F$28:$F$39,MATCH('Summarized Source Data'!$A731,'Category Mapping'!$A$28:$A$39,0),1),INDEX('Category Mapping'!$E$28:$E$39,MATCH($A731,'Category Mapping'!$A$28:$A$39,0),1))</f>
        <v>835478320.71428573</v>
      </c>
      <c r="L731" s="27">
        <f>L151*IF($E731="weekday",INDEX('Category Mapping'!$F$28:$F$39,MATCH('Summarized Source Data'!$A731,'Category Mapping'!$A$28:$A$39,0),1),INDEX('Category Mapping'!$E$28:$E$39,MATCH($A731,'Category Mapping'!$A$28:$A$39,0),1))</f>
        <v>4392390</v>
      </c>
      <c r="M731" s="27">
        <f>M151*IF($E731="weekday",INDEX('Category Mapping'!$F$28:$F$39,MATCH('Summarized Source Data'!$A731,'Category Mapping'!$A$28:$A$39,0),1),INDEX('Category Mapping'!$E$28:$E$39,MATCH($A731,'Category Mapping'!$A$28:$A$39,0),1))</f>
        <v>4295714285.7142859</v>
      </c>
      <c r="N731" s="27">
        <f>N151*IF($E731="weekday",INDEX('Category Mapping'!$F$28:$F$39,MATCH('Summarized Source Data'!$A731,'Category Mapping'!$A$28:$A$39,0),1),INDEX('Category Mapping'!$E$28:$E$39,MATCH($A731,'Category Mapping'!$A$28:$A$39,0),1))</f>
        <v>0</v>
      </c>
      <c r="O731" s="27">
        <f>O151*IF($E731="weekday",INDEX('Category Mapping'!$F$28:$F$39,MATCH('Summarized Source Data'!$A731,'Category Mapping'!$A$28:$A$39,0),1),INDEX('Category Mapping'!$E$28:$E$39,MATCH($A731,'Category Mapping'!$A$28:$A$39,0),1))</f>
        <v>3405607610</v>
      </c>
      <c r="P731" s="27">
        <f>P151*IF($E731="weekday",INDEX('Category Mapping'!$F$28:$F$39,MATCH('Summarized Source Data'!$A731,'Category Mapping'!$A$28:$A$39,0),1),INDEX('Category Mapping'!$E$28:$E$39,MATCH($A731,'Category Mapping'!$A$28:$A$39,0),1))</f>
        <v>3405607610</v>
      </c>
      <c r="Q731" s="27">
        <f>Q151*IF($E731="weekday",INDEX('Category Mapping'!$F$28:$F$39,MATCH('Summarized Source Data'!$A731,'Category Mapping'!$A$28:$A$39,0),1),INDEX('Category Mapping'!$E$28:$E$39,MATCH($A731,'Category Mapping'!$A$28:$A$39,0),1))</f>
        <v>3405607610</v>
      </c>
      <c r="R731" s="27">
        <f>R151*IF($E731="weekday",INDEX('Category Mapping'!$F$28:$F$39,MATCH('Summarized Source Data'!$A731,'Category Mapping'!$A$28:$A$39,0),1),INDEX('Category Mapping'!$E$28:$E$39,MATCH($A731,'Category Mapping'!$A$28:$A$39,0),1))</f>
        <v>92413435.714285716</v>
      </c>
      <c r="S731" s="27">
        <f>S151*IF($E731="weekday",INDEX('Category Mapping'!$F$28:$F$39,MATCH('Summarized Source Data'!$A731,'Category Mapping'!$A$28:$A$39,0),1),INDEX('Category Mapping'!$E$28:$E$39,MATCH($A731,'Category Mapping'!$A$28:$A$39,0),1))</f>
        <v>92413435.714285716</v>
      </c>
      <c r="T731" s="27">
        <f>T151*IF($E731="weekday",INDEX('Category Mapping'!$F$28:$F$39,MATCH('Summarized Source Data'!$A731,'Category Mapping'!$A$28:$A$39,0),1),INDEX('Category Mapping'!$E$28:$E$39,MATCH($A731,'Category Mapping'!$A$28:$A$39,0),1))</f>
        <v>92413435.714285716</v>
      </c>
      <c r="U731" s="27">
        <f>U151*IF($E731="weekday",INDEX('Category Mapping'!$F$28:$F$39,MATCH('Summarized Source Data'!$A731,'Category Mapping'!$A$28:$A$39,0),1),INDEX('Category Mapping'!$E$28:$E$39,MATCH($A731,'Category Mapping'!$A$28:$A$39,0),1))</f>
        <v>92413435.714285716</v>
      </c>
      <c r="V731" s="27">
        <f>V151*IF($E731="weekday",INDEX('Category Mapping'!$F$28:$F$39,MATCH('Summarized Source Data'!$A731,'Category Mapping'!$A$28:$A$39,0),1),INDEX('Category Mapping'!$E$28:$E$39,MATCH($A731,'Category Mapping'!$A$28:$A$39,0),1))</f>
        <v>92413435.714285716</v>
      </c>
      <c r="W731" s="27">
        <f>W151*IF($E731="weekday",INDEX('Category Mapping'!$F$28:$F$39,MATCH('Summarized Source Data'!$A731,'Category Mapping'!$A$28:$A$39,0),1),INDEX('Category Mapping'!$E$28:$E$39,MATCH($A731,'Category Mapping'!$A$28:$A$39,0),1))</f>
        <v>92413435.714285716</v>
      </c>
      <c r="X731" s="27">
        <f>X151*IF($E731="weekday",INDEX('Category Mapping'!$F$28:$F$39,MATCH('Summarized Source Data'!$A731,'Category Mapping'!$A$28:$A$39,0),1),INDEX('Category Mapping'!$E$28:$E$39,MATCH($A731,'Category Mapping'!$A$28:$A$39,0),1))</f>
        <v>13662142857.142857</v>
      </c>
      <c r="Y731" s="27">
        <f>Y151*IF($E731="weekday",INDEX('Category Mapping'!$F$28:$F$39,MATCH('Summarized Source Data'!$A731,'Category Mapping'!$A$28:$A$39,0),1),INDEX('Category Mapping'!$E$28:$E$39,MATCH($A731,'Category Mapping'!$A$28:$A$39,0),1))</f>
        <v>13662142857.142857</v>
      </c>
      <c r="Z731" s="27">
        <f>Z151*IF($E731="weekday",INDEX('Category Mapping'!$F$28:$F$39,MATCH('Summarized Source Data'!$A731,'Category Mapping'!$A$28:$A$39,0),1),INDEX('Category Mapping'!$E$28:$E$39,MATCH($A731,'Category Mapping'!$A$28:$A$39,0),1))</f>
        <v>13662142857.142857</v>
      </c>
    </row>
    <row r="732" spans="1:26" x14ac:dyDescent="0.3">
      <c r="A732">
        <f t="shared" ref="A732:E732" si="197">A152</f>
        <v>7</v>
      </c>
      <c r="B732" t="str">
        <f t="shared" si="197"/>
        <v>Summer</v>
      </c>
      <c r="C732" t="str">
        <f t="shared" si="197"/>
        <v>h5</v>
      </c>
      <c r="D732" t="str">
        <f t="shared" si="197"/>
        <v>Hour4</v>
      </c>
      <c r="E732" t="str">
        <f t="shared" si="197"/>
        <v>Weekday</v>
      </c>
      <c r="F732" s="27">
        <f>F152*IF($E732="weekday",INDEX('Category Mapping'!$F$28:$F$39,MATCH('Summarized Source Data'!$A732,'Category Mapping'!$A$28:$A$39,0),1),INDEX('Category Mapping'!$E$28:$E$39,MATCH($A732,'Category Mapping'!$A$28:$A$39,0),1))</f>
        <v>1132939.2857142857</v>
      </c>
      <c r="G732" s="27">
        <f>G152*IF($E732="weekday",INDEX('Category Mapping'!$F$28:$F$39,MATCH('Summarized Source Data'!$A732,'Category Mapping'!$A$28:$A$39,0),1),INDEX('Category Mapping'!$E$28:$E$39,MATCH($A732,'Category Mapping'!$A$28:$A$39,0),1))</f>
        <v>1164714285.7142856</v>
      </c>
      <c r="H732" s="27">
        <f>H152*IF($E732="weekday",INDEX('Category Mapping'!$F$28:$F$39,MATCH('Summarized Source Data'!$A732,'Category Mapping'!$A$28:$A$39,0),1),INDEX('Category Mapping'!$E$28:$E$39,MATCH($A732,'Category Mapping'!$A$28:$A$39,0),1))</f>
        <v>0</v>
      </c>
      <c r="I732" s="27">
        <f>I152*IF($E732="weekday",INDEX('Category Mapping'!$F$28:$F$39,MATCH('Summarized Source Data'!$A732,'Category Mapping'!$A$28:$A$39,0),1),INDEX('Category Mapping'!$E$28:$E$39,MATCH($A732,'Category Mapping'!$A$28:$A$39,0),1))</f>
        <v>267928571.42857143</v>
      </c>
      <c r="J732" s="27">
        <f>J152*IF($E732="weekday",INDEX('Category Mapping'!$F$28:$F$39,MATCH('Summarized Source Data'!$A732,'Category Mapping'!$A$28:$A$39,0),1),INDEX('Category Mapping'!$E$28:$E$39,MATCH($A732,'Category Mapping'!$A$28:$A$39,0),1))</f>
        <v>869081346.42857146</v>
      </c>
      <c r="K732" s="27">
        <f>K152*IF($E732="weekday",INDEX('Category Mapping'!$F$28:$F$39,MATCH('Summarized Source Data'!$A732,'Category Mapping'!$A$28:$A$39,0),1),INDEX('Category Mapping'!$E$28:$E$39,MATCH($A732,'Category Mapping'!$A$28:$A$39,0),1))</f>
        <v>869081346.42857146</v>
      </c>
      <c r="L732" s="27">
        <f>L152*IF($E732="weekday",INDEX('Category Mapping'!$F$28:$F$39,MATCH('Summarized Source Data'!$A732,'Category Mapping'!$A$28:$A$39,0),1),INDEX('Category Mapping'!$E$28:$E$39,MATCH($A732,'Category Mapping'!$A$28:$A$39,0),1))</f>
        <v>4392390</v>
      </c>
      <c r="M732" s="27">
        <f>M152*IF($E732="weekday",INDEX('Category Mapping'!$F$28:$F$39,MATCH('Summarized Source Data'!$A732,'Category Mapping'!$A$28:$A$39,0),1),INDEX('Category Mapping'!$E$28:$E$39,MATCH($A732,'Category Mapping'!$A$28:$A$39,0),1))</f>
        <v>4428571428.5714283</v>
      </c>
      <c r="N732" s="27">
        <f>N152*IF($E732="weekday",INDEX('Category Mapping'!$F$28:$F$39,MATCH('Summarized Source Data'!$A732,'Category Mapping'!$A$28:$A$39,0),1),INDEX('Category Mapping'!$E$28:$E$39,MATCH($A732,'Category Mapping'!$A$28:$A$39,0),1))</f>
        <v>0</v>
      </c>
      <c r="O732" s="27">
        <f>O152*IF($E732="weekday",INDEX('Category Mapping'!$F$28:$F$39,MATCH('Summarized Source Data'!$A732,'Category Mapping'!$A$28:$A$39,0),1),INDEX('Category Mapping'!$E$28:$E$39,MATCH($A732,'Category Mapping'!$A$28:$A$39,0),1))</f>
        <v>3604893324.2857141</v>
      </c>
      <c r="P732" s="27">
        <f>P152*IF($E732="weekday",INDEX('Category Mapping'!$F$28:$F$39,MATCH('Summarized Source Data'!$A732,'Category Mapping'!$A$28:$A$39,0),1),INDEX('Category Mapping'!$E$28:$E$39,MATCH($A732,'Category Mapping'!$A$28:$A$39,0),1))</f>
        <v>3604893324.2857141</v>
      </c>
      <c r="Q732" s="27">
        <f>Q152*IF($E732="weekday",INDEX('Category Mapping'!$F$28:$F$39,MATCH('Summarized Source Data'!$A732,'Category Mapping'!$A$28:$A$39,0),1),INDEX('Category Mapping'!$E$28:$E$39,MATCH($A732,'Category Mapping'!$A$28:$A$39,0),1))</f>
        <v>3604893324.2857141</v>
      </c>
      <c r="R732" s="27">
        <f>R152*IF($E732="weekday",INDEX('Category Mapping'!$F$28:$F$39,MATCH('Summarized Source Data'!$A732,'Category Mapping'!$A$28:$A$39,0),1),INDEX('Category Mapping'!$E$28:$E$39,MATCH($A732,'Category Mapping'!$A$28:$A$39,0),1))</f>
        <v>92026511.428571433</v>
      </c>
      <c r="S732" s="27">
        <f>S152*IF($E732="weekday",INDEX('Category Mapping'!$F$28:$F$39,MATCH('Summarized Source Data'!$A732,'Category Mapping'!$A$28:$A$39,0),1),INDEX('Category Mapping'!$E$28:$E$39,MATCH($A732,'Category Mapping'!$A$28:$A$39,0),1))</f>
        <v>92026511.428571433</v>
      </c>
      <c r="T732" s="27">
        <f>T152*IF($E732="weekday",INDEX('Category Mapping'!$F$28:$F$39,MATCH('Summarized Source Data'!$A732,'Category Mapping'!$A$28:$A$39,0),1),INDEX('Category Mapping'!$E$28:$E$39,MATCH($A732,'Category Mapping'!$A$28:$A$39,0),1))</f>
        <v>92026511.428571433</v>
      </c>
      <c r="U732" s="27">
        <f>U152*IF($E732="weekday",INDEX('Category Mapping'!$F$28:$F$39,MATCH('Summarized Source Data'!$A732,'Category Mapping'!$A$28:$A$39,0),1),INDEX('Category Mapping'!$E$28:$E$39,MATCH($A732,'Category Mapping'!$A$28:$A$39,0),1))</f>
        <v>92026511.428571433</v>
      </c>
      <c r="V732" s="27">
        <f>V152*IF($E732="weekday",INDEX('Category Mapping'!$F$28:$F$39,MATCH('Summarized Source Data'!$A732,'Category Mapping'!$A$28:$A$39,0),1),INDEX('Category Mapping'!$E$28:$E$39,MATCH($A732,'Category Mapping'!$A$28:$A$39,0),1))</f>
        <v>92026511.428571433</v>
      </c>
      <c r="W732" s="27">
        <f>W152*IF($E732="weekday",INDEX('Category Mapping'!$F$28:$F$39,MATCH('Summarized Source Data'!$A732,'Category Mapping'!$A$28:$A$39,0),1),INDEX('Category Mapping'!$E$28:$E$39,MATCH($A732,'Category Mapping'!$A$28:$A$39,0),1))</f>
        <v>92026511.428571433</v>
      </c>
      <c r="X732" s="27">
        <f>X152*IF($E732="weekday",INDEX('Category Mapping'!$F$28:$F$39,MATCH('Summarized Source Data'!$A732,'Category Mapping'!$A$28:$A$39,0),1),INDEX('Category Mapping'!$E$28:$E$39,MATCH($A732,'Category Mapping'!$A$28:$A$39,0),1))</f>
        <v>13706428571.428572</v>
      </c>
      <c r="Y732" s="27">
        <f>Y152*IF($E732="weekday",INDEX('Category Mapping'!$F$28:$F$39,MATCH('Summarized Source Data'!$A732,'Category Mapping'!$A$28:$A$39,0),1),INDEX('Category Mapping'!$E$28:$E$39,MATCH($A732,'Category Mapping'!$A$28:$A$39,0),1))</f>
        <v>13706428571.428572</v>
      </c>
      <c r="Z732" s="27">
        <f>Z152*IF($E732="weekday",INDEX('Category Mapping'!$F$28:$F$39,MATCH('Summarized Source Data'!$A732,'Category Mapping'!$A$28:$A$39,0),1),INDEX('Category Mapping'!$E$28:$E$39,MATCH($A732,'Category Mapping'!$A$28:$A$39,0),1))</f>
        <v>13706428571.428572</v>
      </c>
    </row>
    <row r="733" spans="1:26" x14ac:dyDescent="0.3">
      <c r="A733">
        <f t="shared" ref="A733:E733" si="198">A153</f>
        <v>7</v>
      </c>
      <c r="B733" t="str">
        <f t="shared" si="198"/>
        <v>Summer</v>
      </c>
      <c r="C733" t="str">
        <f t="shared" si="198"/>
        <v>h6</v>
      </c>
      <c r="D733" t="str">
        <f t="shared" si="198"/>
        <v>Hour5</v>
      </c>
      <c r="E733" t="str">
        <f t="shared" si="198"/>
        <v>Weekday</v>
      </c>
      <c r="F733" s="27">
        <f>F153*IF($E733="weekday",INDEX('Category Mapping'!$F$28:$F$39,MATCH('Summarized Source Data'!$A733,'Category Mapping'!$A$28:$A$39,0),1),INDEX('Category Mapping'!$E$28:$E$39,MATCH($A733,'Category Mapping'!$A$28:$A$39,0),1))</f>
        <v>1687241.4285714286</v>
      </c>
      <c r="G733" s="27">
        <f>G153*IF($E733="weekday",INDEX('Category Mapping'!$F$28:$F$39,MATCH('Summarized Source Data'!$A733,'Category Mapping'!$A$28:$A$39,0),1),INDEX('Category Mapping'!$E$28:$E$39,MATCH($A733,'Category Mapping'!$A$28:$A$39,0),1))</f>
        <v>1228928571.4285715</v>
      </c>
      <c r="H733" s="27">
        <f>H153*IF($E733="weekday",INDEX('Category Mapping'!$F$28:$F$39,MATCH('Summarized Source Data'!$A733,'Category Mapping'!$A$28:$A$39,0),1),INDEX('Category Mapping'!$E$28:$E$39,MATCH($A733,'Category Mapping'!$A$28:$A$39,0),1))</f>
        <v>0</v>
      </c>
      <c r="I733" s="27">
        <f>I153*IF($E733="weekday",INDEX('Category Mapping'!$F$28:$F$39,MATCH('Summarized Source Data'!$A733,'Category Mapping'!$A$28:$A$39,0),1),INDEX('Category Mapping'!$E$28:$E$39,MATCH($A733,'Category Mapping'!$A$28:$A$39,0),1))</f>
        <v>329928571.4285714</v>
      </c>
      <c r="J733" s="27">
        <f>J153*IF($E733="weekday",INDEX('Category Mapping'!$F$28:$F$39,MATCH('Summarized Source Data'!$A733,'Category Mapping'!$A$28:$A$39,0),1),INDEX('Category Mapping'!$E$28:$E$39,MATCH($A733,'Category Mapping'!$A$28:$A$39,0),1))</f>
        <v>1185169901.4285715</v>
      </c>
      <c r="K733" s="27">
        <f>K153*IF($E733="weekday",INDEX('Category Mapping'!$F$28:$F$39,MATCH('Summarized Source Data'!$A733,'Category Mapping'!$A$28:$A$39,0),1),INDEX('Category Mapping'!$E$28:$E$39,MATCH($A733,'Category Mapping'!$A$28:$A$39,0),1))</f>
        <v>1185169901.4285715</v>
      </c>
      <c r="L733" s="27">
        <f>L153*IF($E733="weekday",INDEX('Category Mapping'!$F$28:$F$39,MATCH('Summarized Source Data'!$A733,'Category Mapping'!$A$28:$A$39,0),1),INDEX('Category Mapping'!$E$28:$E$39,MATCH($A733,'Category Mapping'!$A$28:$A$39,0),1))</f>
        <v>4392390</v>
      </c>
      <c r="M733" s="27">
        <f>M153*IF($E733="weekday",INDEX('Category Mapping'!$F$28:$F$39,MATCH('Summarized Source Data'!$A733,'Category Mapping'!$A$28:$A$39,0),1),INDEX('Category Mapping'!$E$28:$E$39,MATCH($A733,'Category Mapping'!$A$28:$A$39,0),1))</f>
        <v>4738571428.5714283</v>
      </c>
      <c r="N733" s="27">
        <f>N153*IF($E733="weekday",INDEX('Category Mapping'!$F$28:$F$39,MATCH('Summarized Source Data'!$A733,'Category Mapping'!$A$28:$A$39,0),1),INDEX('Category Mapping'!$E$28:$E$39,MATCH($A733,'Category Mapping'!$A$28:$A$39,0),1))</f>
        <v>0</v>
      </c>
      <c r="O733" s="27">
        <f>O153*IF($E733="weekday",INDEX('Category Mapping'!$F$28:$F$39,MATCH('Summarized Source Data'!$A733,'Category Mapping'!$A$28:$A$39,0),1),INDEX('Category Mapping'!$E$28:$E$39,MATCH($A733,'Category Mapping'!$A$28:$A$39,0),1))</f>
        <v>4224893324.2857141</v>
      </c>
      <c r="P733" s="27">
        <f>P153*IF($E733="weekday",INDEX('Category Mapping'!$F$28:$F$39,MATCH('Summarized Source Data'!$A733,'Category Mapping'!$A$28:$A$39,0),1),INDEX('Category Mapping'!$E$28:$E$39,MATCH($A733,'Category Mapping'!$A$28:$A$39,0),1))</f>
        <v>4224893324.2857141</v>
      </c>
      <c r="Q733" s="27">
        <f>Q153*IF($E733="weekday",INDEX('Category Mapping'!$F$28:$F$39,MATCH('Summarized Source Data'!$A733,'Category Mapping'!$A$28:$A$39,0),1),INDEX('Category Mapping'!$E$28:$E$39,MATCH($A733,'Category Mapping'!$A$28:$A$39,0),1))</f>
        <v>4224893324.2857141</v>
      </c>
      <c r="R733" s="27">
        <f>R153*IF($E733="weekday",INDEX('Category Mapping'!$F$28:$F$39,MATCH('Summarized Source Data'!$A733,'Category Mapping'!$A$28:$A$39,0),1),INDEX('Category Mapping'!$E$28:$E$39,MATCH($A733,'Category Mapping'!$A$28:$A$39,0),1))</f>
        <v>94976095</v>
      </c>
      <c r="S733" s="27">
        <f>S153*IF($E733="weekday",INDEX('Category Mapping'!$F$28:$F$39,MATCH('Summarized Source Data'!$A733,'Category Mapping'!$A$28:$A$39,0),1),INDEX('Category Mapping'!$E$28:$E$39,MATCH($A733,'Category Mapping'!$A$28:$A$39,0),1))</f>
        <v>94976095</v>
      </c>
      <c r="T733" s="27">
        <f>T153*IF($E733="weekday",INDEX('Category Mapping'!$F$28:$F$39,MATCH('Summarized Source Data'!$A733,'Category Mapping'!$A$28:$A$39,0),1),INDEX('Category Mapping'!$E$28:$E$39,MATCH($A733,'Category Mapping'!$A$28:$A$39,0),1))</f>
        <v>94976095</v>
      </c>
      <c r="U733" s="27">
        <f>U153*IF($E733="weekday",INDEX('Category Mapping'!$F$28:$F$39,MATCH('Summarized Source Data'!$A733,'Category Mapping'!$A$28:$A$39,0),1),INDEX('Category Mapping'!$E$28:$E$39,MATCH($A733,'Category Mapping'!$A$28:$A$39,0),1))</f>
        <v>94976095</v>
      </c>
      <c r="V733" s="27">
        <f>V153*IF($E733="weekday",INDEX('Category Mapping'!$F$28:$F$39,MATCH('Summarized Source Data'!$A733,'Category Mapping'!$A$28:$A$39,0),1),INDEX('Category Mapping'!$E$28:$E$39,MATCH($A733,'Category Mapping'!$A$28:$A$39,0),1))</f>
        <v>94976095</v>
      </c>
      <c r="W733" s="27">
        <f>W153*IF($E733="weekday",INDEX('Category Mapping'!$F$28:$F$39,MATCH('Summarized Source Data'!$A733,'Category Mapping'!$A$28:$A$39,0),1),INDEX('Category Mapping'!$E$28:$E$39,MATCH($A733,'Category Mapping'!$A$28:$A$39,0),1))</f>
        <v>94976095</v>
      </c>
      <c r="X733" s="27">
        <f>X153*IF($E733="weekday",INDEX('Category Mapping'!$F$28:$F$39,MATCH('Summarized Source Data'!$A733,'Category Mapping'!$A$28:$A$39,0),1),INDEX('Category Mapping'!$E$28:$E$39,MATCH($A733,'Category Mapping'!$A$28:$A$39,0),1))</f>
        <v>13795000000</v>
      </c>
      <c r="Y733" s="27">
        <f>Y153*IF($E733="weekday",INDEX('Category Mapping'!$F$28:$F$39,MATCH('Summarized Source Data'!$A733,'Category Mapping'!$A$28:$A$39,0),1),INDEX('Category Mapping'!$E$28:$E$39,MATCH($A733,'Category Mapping'!$A$28:$A$39,0),1))</f>
        <v>13795000000</v>
      </c>
      <c r="Z733" s="27">
        <f>Z153*IF($E733="weekday",INDEX('Category Mapping'!$F$28:$F$39,MATCH('Summarized Source Data'!$A733,'Category Mapping'!$A$28:$A$39,0),1),INDEX('Category Mapping'!$E$28:$E$39,MATCH($A733,'Category Mapping'!$A$28:$A$39,0),1))</f>
        <v>13795000000</v>
      </c>
    </row>
    <row r="734" spans="1:26" x14ac:dyDescent="0.3">
      <c r="A734">
        <f t="shared" ref="A734:E734" si="199">A154</f>
        <v>7</v>
      </c>
      <c r="B734" t="str">
        <f t="shared" si="199"/>
        <v>Summer</v>
      </c>
      <c r="C734" t="str">
        <f t="shared" si="199"/>
        <v>h7</v>
      </c>
      <c r="D734" t="str">
        <f t="shared" si="199"/>
        <v>Hour6</v>
      </c>
      <c r="E734" t="str">
        <f t="shared" si="199"/>
        <v>Weekday</v>
      </c>
      <c r="F734" s="27">
        <f>F154*IF($E734="weekday",INDEX('Category Mapping'!$F$28:$F$39,MATCH('Summarized Source Data'!$A734,'Category Mapping'!$A$28:$A$39,0),1),INDEX('Category Mapping'!$E$28:$E$39,MATCH($A734,'Category Mapping'!$A$28:$A$39,0),1))</f>
        <v>1910042.857142857</v>
      </c>
      <c r="G734" s="27">
        <f>G154*IF($E734="weekday",INDEX('Category Mapping'!$F$28:$F$39,MATCH('Summarized Source Data'!$A734,'Category Mapping'!$A$28:$A$39,0),1),INDEX('Category Mapping'!$E$28:$E$39,MATCH($A734,'Category Mapping'!$A$28:$A$39,0),1))</f>
        <v>1175785714.2857141</v>
      </c>
      <c r="H734" s="27">
        <f>H154*IF($E734="weekday",INDEX('Category Mapping'!$F$28:$F$39,MATCH('Summarized Source Data'!$A734,'Category Mapping'!$A$28:$A$39,0),1),INDEX('Category Mapping'!$E$28:$E$39,MATCH($A734,'Category Mapping'!$A$28:$A$39,0),1))</f>
        <v>0</v>
      </c>
      <c r="I734" s="27">
        <f>I154*IF($E734="weekday",INDEX('Category Mapping'!$F$28:$F$39,MATCH('Summarized Source Data'!$A734,'Category Mapping'!$A$28:$A$39,0),1),INDEX('Category Mapping'!$E$28:$E$39,MATCH($A734,'Category Mapping'!$A$28:$A$39,0),1))</f>
        <v>215965530</v>
      </c>
      <c r="J734" s="27">
        <f>J154*IF($E734="weekday",INDEX('Category Mapping'!$F$28:$F$39,MATCH('Summarized Source Data'!$A734,'Category Mapping'!$A$28:$A$39,0),1),INDEX('Category Mapping'!$E$28:$E$39,MATCH($A734,'Category Mapping'!$A$28:$A$39,0),1))</f>
        <v>1839195855.7142856</v>
      </c>
      <c r="K734" s="27">
        <f>K154*IF($E734="weekday",INDEX('Category Mapping'!$F$28:$F$39,MATCH('Summarized Source Data'!$A734,'Category Mapping'!$A$28:$A$39,0),1),INDEX('Category Mapping'!$E$28:$E$39,MATCH($A734,'Category Mapping'!$A$28:$A$39,0),1))</f>
        <v>1839195855.7142856</v>
      </c>
      <c r="L734" s="27">
        <f>L154*IF($E734="weekday",INDEX('Category Mapping'!$F$28:$F$39,MATCH('Summarized Source Data'!$A734,'Category Mapping'!$A$28:$A$39,0),1),INDEX('Category Mapping'!$E$28:$E$39,MATCH($A734,'Category Mapping'!$A$28:$A$39,0),1))</f>
        <v>4392390</v>
      </c>
      <c r="M734" s="27">
        <f>M154*IF($E734="weekday",INDEX('Category Mapping'!$F$28:$F$39,MATCH('Summarized Source Data'!$A734,'Category Mapping'!$A$28:$A$39,0),1),INDEX('Category Mapping'!$E$28:$E$39,MATCH($A734,'Category Mapping'!$A$28:$A$39,0),1))</f>
        <v>5358571428.5714283</v>
      </c>
      <c r="N734" s="27">
        <f>N154*IF($E734="weekday",INDEX('Category Mapping'!$F$28:$F$39,MATCH('Summarized Source Data'!$A734,'Category Mapping'!$A$28:$A$39,0),1),INDEX('Category Mapping'!$E$28:$E$39,MATCH($A734,'Category Mapping'!$A$28:$A$39,0),1))</f>
        <v>0</v>
      </c>
      <c r="O734" s="27">
        <f>O154*IF($E734="weekday",INDEX('Category Mapping'!$F$28:$F$39,MATCH('Summarized Source Data'!$A734,'Category Mapping'!$A$28:$A$39,0),1),INDEX('Category Mapping'!$E$28:$E$39,MATCH($A734,'Category Mapping'!$A$28:$A$39,0),1))</f>
        <v>6328464752.8571424</v>
      </c>
      <c r="P734" s="27">
        <f>P154*IF($E734="weekday",INDEX('Category Mapping'!$F$28:$F$39,MATCH('Summarized Source Data'!$A734,'Category Mapping'!$A$28:$A$39,0),1),INDEX('Category Mapping'!$E$28:$E$39,MATCH($A734,'Category Mapping'!$A$28:$A$39,0),1))</f>
        <v>6328464752.8571424</v>
      </c>
      <c r="Q734" s="27">
        <f>Q154*IF($E734="weekday",INDEX('Category Mapping'!$F$28:$F$39,MATCH('Summarized Source Data'!$A734,'Category Mapping'!$A$28:$A$39,0),1),INDEX('Category Mapping'!$E$28:$E$39,MATCH($A734,'Category Mapping'!$A$28:$A$39,0),1))</f>
        <v>6328464752.8571424</v>
      </c>
      <c r="R734" s="27">
        <f>R154*IF($E734="weekday",INDEX('Category Mapping'!$F$28:$F$39,MATCH('Summarized Source Data'!$A734,'Category Mapping'!$A$28:$A$39,0),1),INDEX('Category Mapping'!$E$28:$E$39,MATCH($A734,'Category Mapping'!$A$28:$A$39,0),1))</f>
        <v>143340523.57142857</v>
      </c>
      <c r="S734" s="27">
        <f>S154*IF($E734="weekday",INDEX('Category Mapping'!$F$28:$F$39,MATCH('Summarized Source Data'!$A734,'Category Mapping'!$A$28:$A$39,0),1),INDEX('Category Mapping'!$E$28:$E$39,MATCH($A734,'Category Mapping'!$A$28:$A$39,0),1))</f>
        <v>143340523.57142857</v>
      </c>
      <c r="T734" s="27">
        <f>T154*IF($E734="weekday",INDEX('Category Mapping'!$F$28:$F$39,MATCH('Summarized Source Data'!$A734,'Category Mapping'!$A$28:$A$39,0),1),INDEX('Category Mapping'!$E$28:$E$39,MATCH($A734,'Category Mapping'!$A$28:$A$39,0),1))</f>
        <v>143340523.57142857</v>
      </c>
      <c r="U734" s="27">
        <f>U154*IF($E734="weekday",INDEX('Category Mapping'!$F$28:$F$39,MATCH('Summarized Source Data'!$A734,'Category Mapping'!$A$28:$A$39,0),1),INDEX('Category Mapping'!$E$28:$E$39,MATCH($A734,'Category Mapping'!$A$28:$A$39,0),1))</f>
        <v>143340523.57142857</v>
      </c>
      <c r="V734" s="27">
        <f>V154*IF($E734="weekday",INDEX('Category Mapping'!$F$28:$F$39,MATCH('Summarized Source Data'!$A734,'Category Mapping'!$A$28:$A$39,0),1),INDEX('Category Mapping'!$E$28:$E$39,MATCH($A734,'Category Mapping'!$A$28:$A$39,0),1))</f>
        <v>143340523.57142857</v>
      </c>
      <c r="W734" s="27">
        <f>W154*IF($E734="weekday",INDEX('Category Mapping'!$F$28:$F$39,MATCH('Summarized Source Data'!$A734,'Category Mapping'!$A$28:$A$39,0),1),INDEX('Category Mapping'!$E$28:$E$39,MATCH($A734,'Category Mapping'!$A$28:$A$39,0),1))</f>
        <v>143340523.57142857</v>
      </c>
      <c r="X734" s="27">
        <f>X154*IF($E734="weekday",INDEX('Category Mapping'!$F$28:$F$39,MATCH('Summarized Source Data'!$A734,'Category Mapping'!$A$28:$A$39,0),1),INDEX('Category Mapping'!$E$28:$E$39,MATCH($A734,'Category Mapping'!$A$28:$A$39,0),1))</f>
        <v>13950000000</v>
      </c>
      <c r="Y734" s="27">
        <f>Y154*IF($E734="weekday",INDEX('Category Mapping'!$F$28:$F$39,MATCH('Summarized Source Data'!$A734,'Category Mapping'!$A$28:$A$39,0),1),INDEX('Category Mapping'!$E$28:$E$39,MATCH($A734,'Category Mapping'!$A$28:$A$39,0),1))</f>
        <v>13950000000</v>
      </c>
      <c r="Z734" s="27">
        <f>Z154*IF($E734="weekday",INDEX('Category Mapping'!$F$28:$F$39,MATCH('Summarized Source Data'!$A734,'Category Mapping'!$A$28:$A$39,0),1),INDEX('Category Mapping'!$E$28:$E$39,MATCH($A734,'Category Mapping'!$A$28:$A$39,0),1))</f>
        <v>13950000000</v>
      </c>
    </row>
    <row r="735" spans="1:26" x14ac:dyDescent="0.3">
      <c r="A735">
        <f t="shared" ref="A735:E735" si="200">A155</f>
        <v>7</v>
      </c>
      <c r="B735" t="str">
        <f t="shared" si="200"/>
        <v>Summer</v>
      </c>
      <c r="C735" t="str">
        <f t="shared" si="200"/>
        <v>h8</v>
      </c>
      <c r="D735" t="str">
        <f t="shared" si="200"/>
        <v>Hour7</v>
      </c>
      <c r="E735" t="str">
        <f t="shared" si="200"/>
        <v>Weekday</v>
      </c>
      <c r="F735" s="27">
        <f>F155*IF($E735="weekday",INDEX('Category Mapping'!$F$28:$F$39,MATCH('Summarized Source Data'!$A735,'Category Mapping'!$A$28:$A$39,0),1),INDEX('Category Mapping'!$E$28:$E$39,MATCH($A735,'Category Mapping'!$A$28:$A$39,0),1))</f>
        <v>1933912.857142857</v>
      </c>
      <c r="G735" s="27">
        <f>G155*IF($E735="weekday",INDEX('Category Mapping'!$F$28:$F$39,MATCH('Summarized Source Data'!$A735,'Category Mapping'!$A$28:$A$39,0),1),INDEX('Category Mapping'!$E$28:$E$39,MATCH($A735,'Category Mapping'!$A$28:$A$39,0),1))</f>
        <v>1031857142.8571428</v>
      </c>
      <c r="H735" s="27">
        <f>H155*IF($E735="weekday",INDEX('Category Mapping'!$F$28:$F$39,MATCH('Summarized Source Data'!$A735,'Category Mapping'!$A$28:$A$39,0),1),INDEX('Category Mapping'!$E$28:$E$39,MATCH($A735,'Category Mapping'!$A$28:$A$39,0),1))</f>
        <v>0</v>
      </c>
      <c r="I735" s="27">
        <f>I155*IF($E735="weekday",INDEX('Category Mapping'!$F$28:$F$39,MATCH('Summarized Source Data'!$A735,'Category Mapping'!$A$28:$A$39,0),1),INDEX('Category Mapping'!$E$28:$E$39,MATCH($A735,'Category Mapping'!$A$28:$A$39,0),1))</f>
        <v>209032911.42857143</v>
      </c>
      <c r="J735" s="27">
        <f>J155*IF($E735="weekday",INDEX('Category Mapping'!$F$28:$F$39,MATCH('Summarized Source Data'!$A735,'Category Mapping'!$A$28:$A$39,0),1),INDEX('Category Mapping'!$E$28:$E$39,MATCH($A735,'Category Mapping'!$A$28:$A$39,0),1))</f>
        <v>2344318890</v>
      </c>
      <c r="K735" s="27">
        <f>K155*IF($E735="weekday",INDEX('Category Mapping'!$F$28:$F$39,MATCH('Summarized Source Data'!$A735,'Category Mapping'!$A$28:$A$39,0),1),INDEX('Category Mapping'!$E$28:$E$39,MATCH($A735,'Category Mapping'!$A$28:$A$39,0),1))</f>
        <v>2344318890</v>
      </c>
      <c r="L735" s="27">
        <f>L155*IF($E735="weekday",INDEX('Category Mapping'!$F$28:$F$39,MATCH('Summarized Source Data'!$A735,'Category Mapping'!$A$28:$A$39,0),1),INDEX('Category Mapping'!$E$28:$E$39,MATCH($A735,'Category Mapping'!$A$28:$A$39,0),1))</f>
        <v>4392390</v>
      </c>
      <c r="M735" s="27">
        <f>M155*IF($E735="weekday",INDEX('Category Mapping'!$F$28:$F$39,MATCH('Summarized Source Data'!$A735,'Category Mapping'!$A$28:$A$39,0),1),INDEX('Category Mapping'!$E$28:$E$39,MATCH($A735,'Category Mapping'!$A$28:$A$39,0),1))</f>
        <v>6355000000</v>
      </c>
      <c r="N735" s="27">
        <f>N155*IF($E735="weekday",INDEX('Category Mapping'!$F$28:$F$39,MATCH('Summarized Source Data'!$A735,'Category Mapping'!$A$28:$A$39,0),1),INDEX('Category Mapping'!$E$28:$E$39,MATCH($A735,'Category Mapping'!$A$28:$A$39,0),1))</f>
        <v>0</v>
      </c>
      <c r="O735" s="27">
        <f>O155*IF($E735="weekday",INDEX('Category Mapping'!$F$28:$F$39,MATCH('Summarized Source Data'!$A735,'Category Mapping'!$A$28:$A$39,0),1),INDEX('Category Mapping'!$E$28:$E$39,MATCH($A735,'Category Mapping'!$A$28:$A$39,0),1))</f>
        <v>8653464752.8571434</v>
      </c>
      <c r="P735" s="27">
        <f>P155*IF($E735="weekday",INDEX('Category Mapping'!$F$28:$F$39,MATCH('Summarized Source Data'!$A735,'Category Mapping'!$A$28:$A$39,0),1),INDEX('Category Mapping'!$E$28:$E$39,MATCH($A735,'Category Mapping'!$A$28:$A$39,0),1))</f>
        <v>8653464752.8571434</v>
      </c>
      <c r="Q735" s="27">
        <f>Q155*IF($E735="weekday",INDEX('Category Mapping'!$F$28:$F$39,MATCH('Summarized Source Data'!$A735,'Category Mapping'!$A$28:$A$39,0),1),INDEX('Category Mapping'!$E$28:$E$39,MATCH($A735,'Category Mapping'!$A$28:$A$39,0),1))</f>
        <v>8653464752.8571434</v>
      </c>
      <c r="R735" s="27">
        <f>R155*IF($E735="weekday",INDEX('Category Mapping'!$F$28:$F$39,MATCH('Summarized Source Data'!$A735,'Category Mapping'!$A$28:$A$39,0),1),INDEX('Category Mapping'!$E$28:$E$39,MATCH($A735,'Category Mapping'!$A$28:$A$39,0),1))</f>
        <v>303357142.85714287</v>
      </c>
      <c r="S735" s="27">
        <f>S155*IF($E735="weekday",INDEX('Category Mapping'!$F$28:$F$39,MATCH('Summarized Source Data'!$A735,'Category Mapping'!$A$28:$A$39,0),1),INDEX('Category Mapping'!$E$28:$E$39,MATCH($A735,'Category Mapping'!$A$28:$A$39,0),1))</f>
        <v>303357142.85714287</v>
      </c>
      <c r="T735" s="27">
        <f>T155*IF($E735="weekday",INDEX('Category Mapping'!$F$28:$F$39,MATCH('Summarized Source Data'!$A735,'Category Mapping'!$A$28:$A$39,0),1),INDEX('Category Mapping'!$E$28:$E$39,MATCH($A735,'Category Mapping'!$A$28:$A$39,0),1))</f>
        <v>303357142.85714287</v>
      </c>
      <c r="U735" s="27">
        <f>U155*IF($E735="weekday",INDEX('Category Mapping'!$F$28:$F$39,MATCH('Summarized Source Data'!$A735,'Category Mapping'!$A$28:$A$39,0),1),INDEX('Category Mapping'!$E$28:$E$39,MATCH($A735,'Category Mapping'!$A$28:$A$39,0),1))</f>
        <v>303357142.85714287</v>
      </c>
      <c r="V735" s="27">
        <f>V155*IF($E735="weekday",INDEX('Category Mapping'!$F$28:$F$39,MATCH('Summarized Source Data'!$A735,'Category Mapping'!$A$28:$A$39,0),1),INDEX('Category Mapping'!$E$28:$E$39,MATCH($A735,'Category Mapping'!$A$28:$A$39,0),1))</f>
        <v>303357142.85714287</v>
      </c>
      <c r="W735" s="27">
        <f>W155*IF($E735="weekday",INDEX('Category Mapping'!$F$28:$F$39,MATCH('Summarized Source Data'!$A735,'Category Mapping'!$A$28:$A$39,0),1),INDEX('Category Mapping'!$E$28:$E$39,MATCH($A735,'Category Mapping'!$A$28:$A$39,0),1))</f>
        <v>303357142.85714287</v>
      </c>
      <c r="X735" s="27">
        <f>X155*IF($E735="weekday",INDEX('Category Mapping'!$F$28:$F$39,MATCH('Summarized Source Data'!$A735,'Category Mapping'!$A$28:$A$39,0),1),INDEX('Category Mapping'!$E$28:$E$39,MATCH($A735,'Category Mapping'!$A$28:$A$39,0),1))</f>
        <v>14105000000</v>
      </c>
      <c r="Y735" s="27">
        <f>Y155*IF($E735="weekday",INDEX('Category Mapping'!$F$28:$F$39,MATCH('Summarized Source Data'!$A735,'Category Mapping'!$A$28:$A$39,0),1),INDEX('Category Mapping'!$E$28:$E$39,MATCH($A735,'Category Mapping'!$A$28:$A$39,0),1))</f>
        <v>14105000000</v>
      </c>
      <c r="Z735" s="27">
        <f>Z155*IF($E735="weekday",INDEX('Category Mapping'!$F$28:$F$39,MATCH('Summarized Source Data'!$A735,'Category Mapping'!$A$28:$A$39,0),1),INDEX('Category Mapping'!$E$28:$E$39,MATCH($A735,'Category Mapping'!$A$28:$A$39,0),1))</f>
        <v>14105000000</v>
      </c>
    </row>
    <row r="736" spans="1:26" x14ac:dyDescent="0.3">
      <c r="A736">
        <f t="shared" ref="A736:E736" si="201">A156</f>
        <v>7</v>
      </c>
      <c r="B736" t="str">
        <f t="shared" si="201"/>
        <v>Summer</v>
      </c>
      <c r="C736" t="str">
        <f t="shared" si="201"/>
        <v>h9</v>
      </c>
      <c r="D736" t="str">
        <f t="shared" si="201"/>
        <v>Hour8</v>
      </c>
      <c r="E736" t="str">
        <f t="shared" si="201"/>
        <v>Weekday</v>
      </c>
      <c r="F736" s="27">
        <f>F156*IF($E736="weekday",INDEX('Category Mapping'!$F$28:$F$39,MATCH('Summarized Source Data'!$A736,'Category Mapping'!$A$28:$A$39,0),1),INDEX('Category Mapping'!$E$28:$E$39,MATCH($A736,'Category Mapping'!$A$28:$A$39,0),1))</f>
        <v>1918833.5714285714</v>
      </c>
      <c r="G736" s="27">
        <f>G156*IF($E736="weekday",INDEX('Category Mapping'!$F$28:$F$39,MATCH('Summarized Source Data'!$A736,'Category Mapping'!$A$28:$A$39,0),1),INDEX('Category Mapping'!$E$28:$E$39,MATCH($A736,'Category Mapping'!$A$28:$A$39,0),1))</f>
        <v>967642857.14285707</v>
      </c>
      <c r="H736" s="27">
        <f>H156*IF($E736="weekday",INDEX('Category Mapping'!$F$28:$F$39,MATCH('Summarized Source Data'!$A736,'Category Mapping'!$A$28:$A$39,0),1),INDEX('Category Mapping'!$E$28:$E$39,MATCH($A736,'Category Mapping'!$A$28:$A$39,0),1))</f>
        <v>0</v>
      </c>
      <c r="I736" s="27">
        <f>I156*IF($E736="weekday",INDEX('Category Mapping'!$F$28:$F$39,MATCH('Summarized Source Data'!$A736,'Category Mapping'!$A$28:$A$39,0),1),INDEX('Category Mapping'!$E$28:$E$39,MATCH($A736,'Category Mapping'!$A$28:$A$39,0),1))</f>
        <v>204715275.7142857</v>
      </c>
      <c r="J736" s="27">
        <f>J156*IF($E736="weekday",INDEX('Category Mapping'!$F$28:$F$39,MATCH('Summarized Source Data'!$A736,'Category Mapping'!$A$28:$A$39,0),1),INDEX('Category Mapping'!$E$28:$E$39,MATCH($A736,'Category Mapping'!$A$28:$A$39,0),1))</f>
        <v>2412865890.7142859</v>
      </c>
      <c r="K736" s="27">
        <f>K156*IF($E736="weekday",INDEX('Category Mapping'!$F$28:$F$39,MATCH('Summarized Source Data'!$A736,'Category Mapping'!$A$28:$A$39,0),1),INDEX('Category Mapping'!$E$28:$E$39,MATCH($A736,'Category Mapping'!$A$28:$A$39,0),1))</f>
        <v>2412865890.7142859</v>
      </c>
      <c r="L736" s="27">
        <f>L156*IF($E736="weekday",INDEX('Category Mapping'!$F$28:$F$39,MATCH('Summarized Source Data'!$A736,'Category Mapping'!$A$28:$A$39,0),1),INDEX('Category Mapping'!$E$28:$E$39,MATCH($A736,'Category Mapping'!$A$28:$A$39,0),1))</f>
        <v>4392390</v>
      </c>
      <c r="M736" s="27">
        <f>M156*IF($E736="weekday",INDEX('Category Mapping'!$F$28:$F$39,MATCH('Summarized Source Data'!$A736,'Category Mapping'!$A$28:$A$39,0),1),INDEX('Category Mapping'!$E$28:$E$39,MATCH($A736,'Category Mapping'!$A$28:$A$39,0),1))</f>
        <v>7683571428.5714283</v>
      </c>
      <c r="N736" s="27">
        <f>N156*IF($E736="weekday",INDEX('Category Mapping'!$F$28:$F$39,MATCH('Summarized Source Data'!$A736,'Category Mapping'!$A$28:$A$39,0),1),INDEX('Category Mapping'!$E$28:$E$39,MATCH($A736,'Category Mapping'!$A$28:$A$39,0),1))</f>
        <v>0</v>
      </c>
      <c r="O736" s="27">
        <f>O156*IF($E736="weekday",INDEX('Category Mapping'!$F$28:$F$39,MATCH('Summarized Source Data'!$A736,'Category Mapping'!$A$28:$A$39,0),1),INDEX('Category Mapping'!$E$28:$E$39,MATCH($A736,'Category Mapping'!$A$28:$A$39,0),1))</f>
        <v>10757036181.428572</v>
      </c>
      <c r="P736" s="27">
        <f>P156*IF($E736="weekday",INDEX('Category Mapping'!$F$28:$F$39,MATCH('Summarized Source Data'!$A736,'Category Mapping'!$A$28:$A$39,0),1),INDEX('Category Mapping'!$E$28:$E$39,MATCH($A736,'Category Mapping'!$A$28:$A$39,0),1))</f>
        <v>10757036181.428572</v>
      </c>
      <c r="Q736" s="27">
        <f>Q156*IF($E736="weekday",INDEX('Category Mapping'!$F$28:$F$39,MATCH('Summarized Source Data'!$A736,'Category Mapping'!$A$28:$A$39,0),1),INDEX('Category Mapping'!$E$28:$E$39,MATCH($A736,'Category Mapping'!$A$28:$A$39,0),1))</f>
        <v>10757036181.428572</v>
      </c>
      <c r="R736" s="27">
        <f>R156*IF($E736="weekday",INDEX('Category Mapping'!$F$28:$F$39,MATCH('Summarized Source Data'!$A736,'Category Mapping'!$A$28:$A$39,0),1),INDEX('Category Mapping'!$E$28:$E$39,MATCH($A736,'Category Mapping'!$A$28:$A$39,0),1))</f>
        <v>334357142.85714287</v>
      </c>
      <c r="S736" s="27">
        <f>S156*IF($E736="weekday",INDEX('Category Mapping'!$F$28:$F$39,MATCH('Summarized Source Data'!$A736,'Category Mapping'!$A$28:$A$39,0),1),INDEX('Category Mapping'!$E$28:$E$39,MATCH($A736,'Category Mapping'!$A$28:$A$39,0),1))</f>
        <v>334357142.85714287</v>
      </c>
      <c r="T736" s="27">
        <f>T156*IF($E736="weekday",INDEX('Category Mapping'!$F$28:$F$39,MATCH('Summarized Source Data'!$A736,'Category Mapping'!$A$28:$A$39,0),1),INDEX('Category Mapping'!$E$28:$E$39,MATCH($A736,'Category Mapping'!$A$28:$A$39,0),1))</f>
        <v>334357142.85714287</v>
      </c>
      <c r="U736" s="27">
        <f>U156*IF($E736="weekday",INDEX('Category Mapping'!$F$28:$F$39,MATCH('Summarized Source Data'!$A736,'Category Mapping'!$A$28:$A$39,0),1),INDEX('Category Mapping'!$E$28:$E$39,MATCH($A736,'Category Mapping'!$A$28:$A$39,0),1))</f>
        <v>334357142.85714287</v>
      </c>
      <c r="V736" s="27">
        <f>V156*IF($E736="weekday",INDEX('Category Mapping'!$F$28:$F$39,MATCH('Summarized Source Data'!$A736,'Category Mapping'!$A$28:$A$39,0),1),INDEX('Category Mapping'!$E$28:$E$39,MATCH($A736,'Category Mapping'!$A$28:$A$39,0),1))</f>
        <v>334357142.85714287</v>
      </c>
      <c r="W736" s="27">
        <f>W156*IF($E736="weekday",INDEX('Category Mapping'!$F$28:$F$39,MATCH('Summarized Source Data'!$A736,'Category Mapping'!$A$28:$A$39,0),1),INDEX('Category Mapping'!$E$28:$E$39,MATCH($A736,'Category Mapping'!$A$28:$A$39,0),1))</f>
        <v>334357142.85714287</v>
      </c>
      <c r="X736" s="27">
        <f>X156*IF($E736="weekday",INDEX('Category Mapping'!$F$28:$F$39,MATCH('Summarized Source Data'!$A736,'Category Mapping'!$A$28:$A$39,0),1),INDEX('Category Mapping'!$E$28:$E$39,MATCH($A736,'Category Mapping'!$A$28:$A$39,0),1))</f>
        <v>14149285714.285713</v>
      </c>
      <c r="Y736" s="27">
        <f>Y156*IF($E736="weekday",INDEX('Category Mapping'!$F$28:$F$39,MATCH('Summarized Source Data'!$A736,'Category Mapping'!$A$28:$A$39,0),1),INDEX('Category Mapping'!$E$28:$E$39,MATCH($A736,'Category Mapping'!$A$28:$A$39,0),1))</f>
        <v>14149285714.285713</v>
      </c>
      <c r="Z736" s="27">
        <f>Z156*IF($E736="weekday",INDEX('Category Mapping'!$F$28:$F$39,MATCH('Summarized Source Data'!$A736,'Category Mapping'!$A$28:$A$39,0),1),INDEX('Category Mapping'!$E$28:$E$39,MATCH($A736,'Category Mapping'!$A$28:$A$39,0),1))</f>
        <v>14149285714.285713</v>
      </c>
    </row>
    <row r="737" spans="1:26" x14ac:dyDescent="0.3">
      <c r="A737">
        <f t="shared" ref="A737:E737" si="202">A157</f>
        <v>7</v>
      </c>
      <c r="B737" t="str">
        <f t="shared" si="202"/>
        <v>Summer</v>
      </c>
      <c r="C737" t="str">
        <f t="shared" si="202"/>
        <v>h10</v>
      </c>
      <c r="D737" t="str">
        <f t="shared" si="202"/>
        <v>Hour9</v>
      </c>
      <c r="E737" t="str">
        <f t="shared" si="202"/>
        <v>Weekday</v>
      </c>
      <c r="F737" s="27">
        <f>F157*IF($E737="weekday",INDEX('Category Mapping'!$F$28:$F$39,MATCH('Summarized Source Data'!$A737,'Category Mapping'!$A$28:$A$39,0),1),INDEX('Category Mapping'!$E$28:$E$39,MATCH($A737,'Category Mapping'!$A$28:$A$39,0),1))</f>
        <v>1325139.2857142857</v>
      </c>
      <c r="G737" s="27">
        <f>G157*IF($E737="weekday",INDEX('Category Mapping'!$F$28:$F$39,MATCH('Summarized Source Data'!$A737,'Category Mapping'!$A$28:$A$39,0),1),INDEX('Category Mapping'!$E$28:$E$39,MATCH($A737,'Category Mapping'!$A$28:$A$39,0),1))</f>
        <v>954357142.85714281</v>
      </c>
      <c r="H737" s="27">
        <f>H157*IF($E737="weekday",INDEX('Category Mapping'!$F$28:$F$39,MATCH('Summarized Source Data'!$A737,'Category Mapping'!$A$28:$A$39,0),1),INDEX('Category Mapping'!$E$28:$E$39,MATCH($A737,'Category Mapping'!$A$28:$A$39,0),1))</f>
        <v>0</v>
      </c>
      <c r="I737" s="27">
        <f>I157*IF($E737="weekday",INDEX('Category Mapping'!$F$28:$F$39,MATCH('Summarized Source Data'!$A737,'Category Mapping'!$A$28:$A$39,0),1),INDEX('Category Mapping'!$E$28:$E$39,MATCH($A737,'Category Mapping'!$A$28:$A$39,0),1))</f>
        <v>196925905.7142857</v>
      </c>
      <c r="J737" s="27">
        <f>J157*IF($E737="weekday",INDEX('Category Mapping'!$F$28:$F$39,MATCH('Summarized Source Data'!$A737,'Category Mapping'!$A$28:$A$39,0),1),INDEX('Category Mapping'!$E$28:$E$39,MATCH($A737,'Category Mapping'!$A$28:$A$39,0),1))</f>
        <v>2412391812.1428571</v>
      </c>
      <c r="K737" s="27">
        <f>K157*IF($E737="weekday",INDEX('Category Mapping'!$F$28:$F$39,MATCH('Summarized Source Data'!$A737,'Category Mapping'!$A$28:$A$39,0),1),INDEX('Category Mapping'!$E$28:$E$39,MATCH($A737,'Category Mapping'!$A$28:$A$39,0),1))</f>
        <v>2412391812.1428571</v>
      </c>
      <c r="L737" s="27">
        <f>L157*IF($E737="weekday",INDEX('Category Mapping'!$F$28:$F$39,MATCH('Summarized Source Data'!$A737,'Category Mapping'!$A$28:$A$39,0),1),INDEX('Category Mapping'!$E$28:$E$39,MATCH($A737,'Category Mapping'!$A$28:$A$39,0),1))</f>
        <v>4392390</v>
      </c>
      <c r="M737" s="27">
        <f>M157*IF($E737="weekday",INDEX('Category Mapping'!$F$28:$F$39,MATCH('Summarized Source Data'!$A737,'Category Mapping'!$A$28:$A$39,0),1),INDEX('Category Mapping'!$E$28:$E$39,MATCH($A737,'Category Mapping'!$A$28:$A$39,0),1))</f>
        <v>8657857142.8571434</v>
      </c>
      <c r="N737" s="27">
        <f>N157*IF($E737="weekday",INDEX('Category Mapping'!$F$28:$F$39,MATCH('Summarized Source Data'!$A737,'Category Mapping'!$A$28:$A$39,0),1),INDEX('Category Mapping'!$E$28:$E$39,MATCH($A737,'Category Mapping'!$A$28:$A$39,0),1))</f>
        <v>0</v>
      </c>
      <c r="O737" s="27">
        <f>O157*IF($E737="weekday",INDEX('Category Mapping'!$F$28:$F$39,MATCH('Summarized Source Data'!$A737,'Category Mapping'!$A$28:$A$39,0),1),INDEX('Category Mapping'!$E$28:$E$39,MATCH($A737,'Category Mapping'!$A$28:$A$39,0),1))</f>
        <v>11354893324.285713</v>
      </c>
      <c r="P737" s="27">
        <f>P157*IF($E737="weekday",INDEX('Category Mapping'!$F$28:$F$39,MATCH('Summarized Source Data'!$A737,'Category Mapping'!$A$28:$A$39,0),1),INDEX('Category Mapping'!$E$28:$E$39,MATCH($A737,'Category Mapping'!$A$28:$A$39,0),1))</f>
        <v>11354893324.285713</v>
      </c>
      <c r="Q737" s="27">
        <f>Q157*IF($E737="weekday",INDEX('Category Mapping'!$F$28:$F$39,MATCH('Summarized Source Data'!$A737,'Category Mapping'!$A$28:$A$39,0),1),INDEX('Category Mapping'!$E$28:$E$39,MATCH($A737,'Category Mapping'!$A$28:$A$39,0),1))</f>
        <v>11354893324.285713</v>
      </c>
      <c r="R737" s="27">
        <f>R157*IF($E737="weekday",INDEX('Category Mapping'!$F$28:$F$39,MATCH('Summarized Source Data'!$A737,'Category Mapping'!$A$28:$A$39,0),1),INDEX('Category Mapping'!$E$28:$E$39,MATCH($A737,'Category Mapping'!$A$28:$A$39,0),1))</f>
        <v>296714285.71428573</v>
      </c>
      <c r="S737" s="27">
        <f>S157*IF($E737="weekday",INDEX('Category Mapping'!$F$28:$F$39,MATCH('Summarized Source Data'!$A737,'Category Mapping'!$A$28:$A$39,0),1),INDEX('Category Mapping'!$E$28:$E$39,MATCH($A737,'Category Mapping'!$A$28:$A$39,0),1))</f>
        <v>296714285.71428573</v>
      </c>
      <c r="T737" s="27">
        <f>T157*IF($E737="weekday",INDEX('Category Mapping'!$F$28:$F$39,MATCH('Summarized Source Data'!$A737,'Category Mapping'!$A$28:$A$39,0),1),INDEX('Category Mapping'!$E$28:$E$39,MATCH($A737,'Category Mapping'!$A$28:$A$39,0),1))</f>
        <v>296714285.71428573</v>
      </c>
      <c r="U737" s="27">
        <f>U157*IF($E737="weekday",INDEX('Category Mapping'!$F$28:$F$39,MATCH('Summarized Source Data'!$A737,'Category Mapping'!$A$28:$A$39,0),1),INDEX('Category Mapping'!$E$28:$E$39,MATCH($A737,'Category Mapping'!$A$28:$A$39,0),1))</f>
        <v>296714285.71428573</v>
      </c>
      <c r="V737" s="27">
        <f>V157*IF($E737="weekday",INDEX('Category Mapping'!$F$28:$F$39,MATCH('Summarized Source Data'!$A737,'Category Mapping'!$A$28:$A$39,0),1),INDEX('Category Mapping'!$E$28:$E$39,MATCH($A737,'Category Mapping'!$A$28:$A$39,0),1))</f>
        <v>296714285.71428573</v>
      </c>
      <c r="W737" s="27">
        <f>W157*IF($E737="weekday",INDEX('Category Mapping'!$F$28:$F$39,MATCH('Summarized Source Data'!$A737,'Category Mapping'!$A$28:$A$39,0),1),INDEX('Category Mapping'!$E$28:$E$39,MATCH($A737,'Category Mapping'!$A$28:$A$39,0),1))</f>
        <v>296714285.71428573</v>
      </c>
      <c r="X737" s="27">
        <f>X157*IF($E737="weekday",INDEX('Category Mapping'!$F$28:$F$39,MATCH('Summarized Source Data'!$A737,'Category Mapping'!$A$28:$A$39,0),1),INDEX('Category Mapping'!$E$28:$E$39,MATCH($A737,'Category Mapping'!$A$28:$A$39,0),1))</f>
        <v>14127142857.142857</v>
      </c>
      <c r="Y737" s="27">
        <f>Y157*IF($E737="weekday",INDEX('Category Mapping'!$F$28:$F$39,MATCH('Summarized Source Data'!$A737,'Category Mapping'!$A$28:$A$39,0),1),INDEX('Category Mapping'!$E$28:$E$39,MATCH($A737,'Category Mapping'!$A$28:$A$39,0),1))</f>
        <v>14127142857.142857</v>
      </c>
      <c r="Z737" s="27">
        <f>Z157*IF($E737="weekday",INDEX('Category Mapping'!$F$28:$F$39,MATCH('Summarized Source Data'!$A737,'Category Mapping'!$A$28:$A$39,0),1),INDEX('Category Mapping'!$E$28:$E$39,MATCH($A737,'Category Mapping'!$A$28:$A$39,0),1))</f>
        <v>14127142857.142857</v>
      </c>
    </row>
    <row r="738" spans="1:26" x14ac:dyDescent="0.3">
      <c r="A738">
        <f t="shared" ref="A738:E738" si="203">A158</f>
        <v>7</v>
      </c>
      <c r="B738" t="str">
        <f t="shared" si="203"/>
        <v>Summer</v>
      </c>
      <c r="C738" t="str">
        <f t="shared" si="203"/>
        <v>h11</v>
      </c>
      <c r="D738" t="str">
        <f t="shared" si="203"/>
        <v>Hour10</v>
      </c>
      <c r="E738" t="str">
        <f t="shared" si="203"/>
        <v>Weekday</v>
      </c>
      <c r="F738" s="27">
        <f>F158*IF($E738="weekday",INDEX('Category Mapping'!$F$28:$F$39,MATCH('Summarized Source Data'!$A738,'Category Mapping'!$A$28:$A$39,0),1),INDEX('Category Mapping'!$E$28:$E$39,MATCH($A738,'Category Mapping'!$A$28:$A$39,0),1))</f>
        <v>1336387.857142857</v>
      </c>
      <c r="G738" s="27">
        <f>G158*IF($E738="weekday",INDEX('Category Mapping'!$F$28:$F$39,MATCH('Summarized Source Data'!$A738,'Category Mapping'!$A$28:$A$39,0),1),INDEX('Category Mapping'!$E$28:$E$39,MATCH($A738,'Category Mapping'!$A$28:$A$39,0),1))</f>
        <v>1051785714.2857143</v>
      </c>
      <c r="H738" s="27">
        <f>H158*IF($E738="weekday",INDEX('Category Mapping'!$F$28:$F$39,MATCH('Summarized Source Data'!$A738,'Category Mapping'!$A$28:$A$39,0),1),INDEX('Category Mapping'!$E$28:$E$39,MATCH($A738,'Category Mapping'!$A$28:$A$39,0),1))</f>
        <v>0</v>
      </c>
      <c r="I738" s="27">
        <f>I158*IF($E738="weekday",INDEX('Category Mapping'!$F$28:$F$39,MATCH('Summarized Source Data'!$A738,'Category Mapping'!$A$28:$A$39,0),1),INDEX('Category Mapping'!$E$28:$E$39,MATCH($A738,'Category Mapping'!$A$28:$A$39,0),1))</f>
        <v>200143639.28571427</v>
      </c>
      <c r="J738" s="27">
        <f>J158*IF($E738="weekday",INDEX('Category Mapping'!$F$28:$F$39,MATCH('Summarized Source Data'!$A738,'Category Mapping'!$A$28:$A$39,0),1),INDEX('Category Mapping'!$E$28:$E$39,MATCH($A738,'Category Mapping'!$A$28:$A$39,0),1))</f>
        <v>2400305687.1428571</v>
      </c>
      <c r="K738" s="27">
        <f>K158*IF($E738="weekday",INDEX('Category Mapping'!$F$28:$F$39,MATCH('Summarized Source Data'!$A738,'Category Mapping'!$A$28:$A$39,0),1),INDEX('Category Mapping'!$E$28:$E$39,MATCH($A738,'Category Mapping'!$A$28:$A$39,0),1))</f>
        <v>2400305687.1428571</v>
      </c>
      <c r="L738" s="27">
        <f>L158*IF($E738="weekday",INDEX('Category Mapping'!$F$28:$F$39,MATCH('Summarized Source Data'!$A738,'Category Mapping'!$A$28:$A$39,0),1),INDEX('Category Mapping'!$E$28:$E$39,MATCH($A738,'Category Mapping'!$A$28:$A$39,0),1))</f>
        <v>4392390</v>
      </c>
      <c r="M738" s="27">
        <f>M158*IF($E738="weekday",INDEX('Category Mapping'!$F$28:$F$39,MATCH('Summarized Source Data'!$A738,'Category Mapping'!$A$28:$A$39,0),1),INDEX('Category Mapping'!$E$28:$E$39,MATCH($A738,'Category Mapping'!$A$28:$A$39,0),1))</f>
        <v>9344285714.2857132</v>
      </c>
      <c r="N738" s="27">
        <f>N158*IF($E738="weekday",INDEX('Category Mapping'!$F$28:$F$39,MATCH('Summarized Source Data'!$A738,'Category Mapping'!$A$28:$A$39,0),1),INDEX('Category Mapping'!$E$28:$E$39,MATCH($A738,'Category Mapping'!$A$28:$A$39,0),1))</f>
        <v>0</v>
      </c>
      <c r="O738" s="27">
        <f>O158*IF($E738="weekday",INDEX('Category Mapping'!$F$28:$F$39,MATCH('Summarized Source Data'!$A738,'Category Mapping'!$A$28:$A$39,0),1),INDEX('Category Mapping'!$E$28:$E$39,MATCH($A738,'Category Mapping'!$A$28:$A$39,0),1))</f>
        <v>11310607610</v>
      </c>
      <c r="P738" s="27">
        <f>P158*IF($E738="weekday",INDEX('Category Mapping'!$F$28:$F$39,MATCH('Summarized Source Data'!$A738,'Category Mapping'!$A$28:$A$39,0),1),INDEX('Category Mapping'!$E$28:$E$39,MATCH($A738,'Category Mapping'!$A$28:$A$39,0),1))</f>
        <v>11310607610</v>
      </c>
      <c r="Q738" s="27">
        <f>Q158*IF($E738="weekday",INDEX('Category Mapping'!$F$28:$F$39,MATCH('Summarized Source Data'!$A738,'Category Mapping'!$A$28:$A$39,0),1),INDEX('Category Mapping'!$E$28:$E$39,MATCH($A738,'Category Mapping'!$A$28:$A$39,0),1))</f>
        <v>11310607610</v>
      </c>
      <c r="R738" s="27">
        <f>R158*IF($E738="weekday",INDEX('Category Mapping'!$F$28:$F$39,MATCH('Summarized Source Data'!$A738,'Category Mapping'!$A$28:$A$39,0),1),INDEX('Category Mapping'!$E$28:$E$39,MATCH($A738,'Category Mapping'!$A$28:$A$39,0),1))</f>
        <v>236928571.42857143</v>
      </c>
      <c r="S738" s="27">
        <f>S158*IF($E738="weekday",INDEX('Category Mapping'!$F$28:$F$39,MATCH('Summarized Source Data'!$A738,'Category Mapping'!$A$28:$A$39,0),1),INDEX('Category Mapping'!$E$28:$E$39,MATCH($A738,'Category Mapping'!$A$28:$A$39,0),1))</f>
        <v>236928571.42857143</v>
      </c>
      <c r="T738" s="27">
        <f>T158*IF($E738="weekday",INDEX('Category Mapping'!$F$28:$F$39,MATCH('Summarized Source Data'!$A738,'Category Mapping'!$A$28:$A$39,0),1),INDEX('Category Mapping'!$E$28:$E$39,MATCH($A738,'Category Mapping'!$A$28:$A$39,0),1))</f>
        <v>236928571.42857143</v>
      </c>
      <c r="U738" s="27">
        <f>U158*IF($E738="weekday",INDEX('Category Mapping'!$F$28:$F$39,MATCH('Summarized Source Data'!$A738,'Category Mapping'!$A$28:$A$39,0),1),INDEX('Category Mapping'!$E$28:$E$39,MATCH($A738,'Category Mapping'!$A$28:$A$39,0),1))</f>
        <v>236928571.42857143</v>
      </c>
      <c r="V738" s="27">
        <f>V158*IF($E738="weekday",INDEX('Category Mapping'!$F$28:$F$39,MATCH('Summarized Source Data'!$A738,'Category Mapping'!$A$28:$A$39,0),1),INDEX('Category Mapping'!$E$28:$E$39,MATCH($A738,'Category Mapping'!$A$28:$A$39,0),1))</f>
        <v>236928571.42857143</v>
      </c>
      <c r="W738" s="27">
        <f>W158*IF($E738="weekday",INDEX('Category Mapping'!$F$28:$F$39,MATCH('Summarized Source Data'!$A738,'Category Mapping'!$A$28:$A$39,0),1),INDEX('Category Mapping'!$E$28:$E$39,MATCH($A738,'Category Mapping'!$A$28:$A$39,0),1))</f>
        <v>236928571.42857143</v>
      </c>
      <c r="X738" s="27">
        <f>X158*IF($E738="weekday",INDEX('Category Mapping'!$F$28:$F$39,MATCH('Summarized Source Data'!$A738,'Category Mapping'!$A$28:$A$39,0),1),INDEX('Category Mapping'!$E$28:$E$39,MATCH($A738,'Category Mapping'!$A$28:$A$39,0),1))</f>
        <v>14060714285.714285</v>
      </c>
      <c r="Y738" s="27">
        <f>Y158*IF($E738="weekday",INDEX('Category Mapping'!$F$28:$F$39,MATCH('Summarized Source Data'!$A738,'Category Mapping'!$A$28:$A$39,0),1),INDEX('Category Mapping'!$E$28:$E$39,MATCH($A738,'Category Mapping'!$A$28:$A$39,0),1))</f>
        <v>14060714285.714285</v>
      </c>
      <c r="Z738" s="27">
        <f>Z158*IF($E738="weekday",INDEX('Category Mapping'!$F$28:$F$39,MATCH('Summarized Source Data'!$A738,'Category Mapping'!$A$28:$A$39,0),1),INDEX('Category Mapping'!$E$28:$E$39,MATCH($A738,'Category Mapping'!$A$28:$A$39,0),1))</f>
        <v>14060714285.714285</v>
      </c>
    </row>
    <row r="739" spans="1:26" x14ac:dyDescent="0.3">
      <c r="A739">
        <f t="shared" ref="A739:E739" si="204">A159</f>
        <v>7</v>
      </c>
      <c r="B739" t="str">
        <f t="shared" si="204"/>
        <v>Summer</v>
      </c>
      <c r="C739" t="str">
        <f t="shared" si="204"/>
        <v>h12</v>
      </c>
      <c r="D739" t="str">
        <f t="shared" si="204"/>
        <v>Hour11</v>
      </c>
      <c r="E739" t="str">
        <f t="shared" si="204"/>
        <v>Weekday</v>
      </c>
      <c r="F739" s="27">
        <f>F159*IF($E739="weekday",INDEX('Category Mapping'!$F$28:$F$39,MATCH('Summarized Source Data'!$A739,'Category Mapping'!$A$28:$A$39,0),1),INDEX('Category Mapping'!$E$28:$E$39,MATCH($A739,'Category Mapping'!$A$28:$A$39,0),1))</f>
        <v>1403657.857142857</v>
      </c>
      <c r="G739" s="27">
        <f>G159*IF($E739="weekday",INDEX('Category Mapping'!$F$28:$F$39,MATCH('Summarized Source Data'!$A739,'Category Mapping'!$A$28:$A$39,0),1),INDEX('Category Mapping'!$E$28:$E$39,MATCH($A739,'Category Mapping'!$A$28:$A$39,0),1))</f>
        <v>1279857142.8571429</v>
      </c>
      <c r="H739" s="27">
        <f>H159*IF($E739="weekday",INDEX('Category Mapping'!$F$28:$F$39,MATCH('Summarized Source Data'!$A739,'Category Mapping'!$A$28:$A$39,0),1),INDEX('Category Mapping'!$E$28:$E$39,MATCH($A739,'Category Mapping'!$A$28:$A$39,0),1))</f>
        <v>0</v>
      </c>
      <c r="I739" s="27">
        <f>I159*IF($E739="weekday",INDEX('Category Mapping'!$F$28:$F$39,MATCH('Summarized Source Data'!$A739,'Category Mapping'!$A$28:$A$39,0),1),INDEX('Category Mapping'!$E$28:$E$39,MATCH($A739,'Category Mapping'!$A$28:$A$39,0),1))</f>
        <v>219403031.42857143</v>
      </c>
      <c r="J739" s="27">
        <f>J159*IF($E739="weekday",INDEX('Category Mapping'!$F$28:$F$39,MATCH('Summarized Source Data'!$A739,'Category Mapping'!$A$28:$A$39,0),1),INDEX('Category Mapping'!$E$28:$E$39,MATCH($A739,'Category Mapping'!$A$28:$A$39,0),1))</f>
        <v>2418621882.1428571</v>
      </c>
      <c r="K739" s="27">
        <f>K159*IF($E739="weekday",INDEX('Category Mapping'!$F$28:$F$39,MATCH('Summarized Source Data'!$A739,'Category Mapping'!$A$28:$A$39,0),1),INDEX('Category Mapping'!$E$28:$E$39,MATCH($A739,'Category Mapping'!$A$28:$A$39,0),1))</f>
        <v>2418621882.1428571</v>
      </c>
      <c r="L739" s="27">
        <f>L159*IF($E739="weekday",INDEX('Category Mapping'!$F$28:$F$39,MATCH('Summarized Source Data'!$A739,'Category Mapping'!$A$28:$A$39,0),1),INDEX('Category Mapping'!$E$28:$E$39,MATCH($A739,'Category Mapping'!$A$28:$A$39,0),1))</f>
        <v>4392390</v>
      </c>
      <c r="M739" s="27">
        <f>M159*IF($E739="weekday",INDEX('Category Mapping'!$F$28:$F$39,MATCH('Summarized Source Data'!$A739,'Category Mapping'!$A$28:$A$39,0),1),INDEX('Category Mapping'!$E$28:$E$39,MATCH($A739,'Category Mapping'!$A$28:$A$39,0),1))</f>
        <v>9742857142.8571434</v>
      </c>
      <c r="N739" s="27">
        <f>N159*IF($E739="weekday",INDEX('Category Mapping'!$F$28:$F$39,MATCH('Summarized Source Data'!$A739,'Category Mapping'!$A$28:$A$39,0),1),INDEX('Category Mapping'!$E$28:$E$39,MATCH($A739,'Category Mapping'!$A$28:$A$39,0),1))</f>
        <v>0</v>
      </c>
      <c r="O739" s="27">
        <f>O159*IF($E739="weekday",INDEX('Category Mapping'!$F$28:$F$39,MATCH('Summarized Source Data'!$A739,'Category Mapping'!$A$28:$A$39,0),1),INDEX('Category Mapping'!$E$28:$E$39,MATCH($A739,'Category Mapping'!$A$28:$A$39,0),1))</f>
        <v>11266321895.714285</v>
      </c>
      <c r="P739" s="27">
        <f>P159*IF($E739="weekday",INDEX('Category Mapping'!$F$28:$F$39,MATCH('Summarized Source Data'!$A739,'Category Mapping'!$A$28:$A$39,0),1),INDEX('Category Mapping'!$E$28:$E$39,MATCH($A739,'Category Mapping'!$A$28:$A$39,0),1))</f>
        <v>11266321895.714285</v>
      </c>
      <c r="Q739" s="27">
        <f>Q159*IF($E739="weekday",INDEX('Category Mapping'!$F$28:$F$39,MATCH('Summarized Source Data'!$A739,'Category Mapping'!$A$28:$A$39,0),1),INDEX('Category Mapping'!$E$28:$E$39,MATCH($A739,'Category Mapping'!$A$28:$A$39,0),1))</f>
        <v>11266321895.714285</v>
      </c>
      <c r="R739" s="27">
        <f>R159*IF($E739="weekday",INDEX('Category Mapping'!$F$28:$F$39,MATCH('Summarized Source Data'!$A739,'Category Mapping'!$A$28:$A$39,0),1),INDEX('Category Mapping'!$E$28:$E$39,MATCH($A739,'Category Mapping'!$A$28:$A$39,0),1))</f>
        <v>236928571.42857143</v>
      </c>
      <c r="S739" s="27">
        <f>S159*IF($E739="weekday",INDEX('Category Mapping'!$F$28:$F$39,MATCH('Summarized Source Data'!$A739,'Category Mapping'!$A$28:$A$39,0),1),INDEX('Category Mapping'!$E$28:$E$39,MATCH($A739,'Category Mapping'!$A$28:$A$39,0),1))</f>
        <v>236928571.42857143</v>
      </c>
      <c r="T739" s="27">
        <f>T159*IF($E739="weekday",INDEX('Category Mapping'!$F$28:$F$39,MATCH('Summarized Source Data'!$A739,'Category Mapping'!$A$28:$A$39,0),1),INDEX('Category Mapping'!$E$28:$E$39,MATCH($A739,'Category Mapping'!$A$28:$A$39,0),1))</f>
        <v>236928571.42857143</v>
      </c>
      <c r="U739" s="27">
        <f>U159*IF($E739="weekday",INDEX('Category Mapping'!$F$28:$F$39,MATCH('Summarized Source Data'!$A739,'Category Mapping'!$A$28:$A$39,0),1),INDEX('Category Mapping'!$E$28:$E$39,MATCH($A739,'Category Mapping'!$A$28:$A$39,0),1))</f>
        <v>236928571.42857143</v>
      </c>
      <c r="V739" s="27">
        <f>V159*IF($E739="weekday",INDEX('Category Mapping'!$F$28:$F$39,MATCH('Summarized Source Data'!$A739,'Category Mapping'!$A$28:$A$39,0),1),INDEX('Category Mapping'!$E$28:$E$39,MATCH($A739,'Category Mapping'!$A$28:$A$39,0),1))</f>
        <v>236928571.42857143</v>
      </c>
      <c r="W739" s="27">
        <f>W159*IF($E739="weekday",INDEX('Category Mapping'!$F$28:$F$39,MATCH('Summarized Source Data'!$A739,'Category Mapping'!$A$28:$A$39,0),1),INDEX('Category Mapping'!$E$28:$E$39,MATCH($A739,'Category Mapping'!$A$28:$A$39,0),1))</f>
        <v>236928571.42857143</v>
      </c>
      <c r="X739" s="27">
        <f>X159*IF($E739="weekday",INDEX('Category Mapping'!$F$28:$F$39,MATCH('Summarized Source Data'!$A739,'Category Mapping'!$A$28:$A$39,0),1),INDEX('Category Mapping'!$E$28:$E$39,MATCH($A739,'Category Mapping'!$A$28:$A$39,0),1))</f>
        <v>14016428571.428572</v>
      </c>
      <c r="Y739" s="27">
        <f>Y159*IF($E739="weekday",INDEX('Category Mapping'!$F$28:$F$39,MATCH('Summarized Source Data'!$A739,'Category Mapping'!$A$28:$A$39,0),1),INDEX('Category Mapping'!$E$28:$E$39,MATCH($A739,'Category Mapping'!$A$28:$A$39,0),1))</f>
        <v>14016428571.428572</v>
      </c>
      <c r="Z739" s="27">
        <f>Z159*IF($E739="weekday",INDEX('Category Mapping'!$F$28:$F$39,MATCH('Summarized Source Data'!$A739,'Category Mapping'!$A$28:$A$39,0),1),INDEX('Category Mapping'!$E$28:$E$39,MATCH($A739,'Category Mapping'!$A$28:$A$39,0),1))</f>
        <v>14016428571.428572</v>
      </c>
    </row>
    <row r="740" spans="1:26" x14ac:dyDescent="0.3">
      <c r="A740">
        <f t="shared" ref="A740:E740" si="205">A160</f>
        <v>7</v>
      </c>
      <c r="B740" t="str">
        <f t="shared" si="205"/>
        <v>Summer</v>
      </c>
      <c r="C740" t="str">
        <f t="shared" si="205"/>
        <v>h13</v>
      </c>
      <c r="D740" t="str">
        <f t="shared" si="205"/>
        <v>Hour12</v>
      </c>
      <c r="E740" t="str">
        <f t="shared" si="205"/>
        <v>Weekday</v>
      </c>
      <c r="F740" s="27">
        <f>F160*IF($E740="weekday",INDEX('Category Mapping'!$F$28:$F$39,MATCH('Summarized Source Data'!$A740,'Category Mapping'!$A$28:$A$39,0),1),INDEX('Category Mapping'!$E$28:$E$39,MATCH($A740,'Category Mapping'!$A$28:$A$39,0),1))</f>
        <v>1444865.7142857143</v>
      </c>
      <c r="G740" s="27">
        <f>G160*IF($E740="weekday",INDEX('Category Mapping'!$F$28:$F$39,MATCH('Summarized Source Data'!$A740,'Category Mapping'!$A$28:$A$39,0),1),INDEX('Category Mapping'!$E$28:$E$39,MATCH($A740,'Category Mapping'!$A$28:$A$39,0),1))</f>
        <v>1476928571.4285715</v>
      </c>
      <c r="H740" s="27">
        <f>H160*IF($E740="weekday",INDEX('Category Mapping'!$F$28:$F$39,MATCH('Summarized Source Data'!$A740,'Category Mapping'!$A$28:$A$39,0),1),INDEX('Category Mapping'!$E$28:$E$39,MATCH($A740,'Category Mapping'!$A$28:$A$39,0),1))</f>
        <v>0</v>
      </c>
      <c r="I740" s="27">
        <f>I160*IF($E740="weekday",INDEX('Category Mapping'!$F$28:$F$39,MATCH('Summarized Source Data'!$A740,'Category Mapping'!$A$28:$A$39,0),1),INDEX('Category Mapping'!$E$28:$E$39,MATCH($A740,'Category Mapping'!$A$28:$A$39,0),1))</f>
        <v>230285714.28571427</v>
      </c>
      <c r="J740" s="27">
        <f>J160*IF($E740="weekday",INDEX('Category Mapping'!$F$28:$F$39,MATCH('Summarized Source Data'!$A740,'Category Mapping'!$A$28:$A$39,0),1),INDEX('Category Mapping'!$E$28:$E$39,MATCH($A740,'Category Mapping'!$A$28:$A$39,0),1))</f>
        <v>2343483705.7142859</v>
      </c>
      <c r="K740" s="27">
        <f>K160*IF($E740="weekday",INDEX('Category Mapping'!$F$28:$F$39,MATCH('Summarized Source Data'!$A740,'Category Mapping'!$A$28:$A$39,0),1),INDEX('Category Mapping'!$E$28:$E$39,MATCH($A740,'Category Mapping'!$A$28:$A$39,0),1))</f>
        <v>2343483705.7142859</v>
      </c>
      <c r="L740" s="27">
        <f>L160*IF($E740="weekday",INDEX('Category Mapping'!$F$28:$F$39,MATCH('Summarized Source Data'!$A740,'Category Mapping'!$A$28:$A$39,0),1),INDEX('Category Mapping'!$E$28:$E$39,MATCH($A740,'Category Mapping'!$A$28:$A$39,0),1))</f>
        <v>4392390</v>
      </c>
      <c r="M740" s="27">
        <f>M160*IF($E740="weekday",INDEX('Category Mapping'!$F$28:$F$39,MATCH('Summarized Source Data'!$A740,'Category Mapping'!$A$28:$A$39,0),1),INDEX('Category Mapping'!$E$28:$E$39,MATCH($A740,'Category Mapping'!$A$28:$A$39,0),1))</f>
        <v>9765000000</v>
      </c>
      <c r="N740" s="27">
        <f>N160*IF($E740="weekday",INDEX('Category Mapping'!$F$28:$F$39,MATCH('Summarized Source Data'!$A740,'Category Mapping'!$A$28:$A$39,0),1),INDEX('Category Mapping'!$E$28:$E$39,MATCH($A740,'Category Mapping'!$A$28:$A$39,0),1))</f>
        <v>0</v>
      </c>
      <c r="O740" s="27">
        <f>O160*IF($E740="weekday",INDEX('Category Mapping'!$F$28:$F$39,MATCH('Summarized Source Data'!$A740,'Category Mapping'!$A$28:$A$39,0),1),INDEX('Category Mapping'!$E$28:$E$39,MATCH($A740,'Category Mapping'!$A$28:$A$39,0),1))</f>
        <v>11089179038.571428</v>
      </c>
      <c r="P740" s="27">
        <f>P160*IF($E740="weekday",INDEX('Category Mapping'!$F$28:$F$39,MATCH('Summarized Source Data'!$A740,'Category Mapping'!$A$28:$A$39,0),1),INDEX('Category Mapping'!$E$28:$E$39,MATCH($A740,'Category Mapping'!$A$28:$A$39,0),1))</f>
        <v>11089179038.571428</v>
      </c>
      <c r="Q740" s="27">
        <f>Q160*IF($E740="weekday",INDEX('Category Mapping'!$F$28:$F$39,MATCH('Summarized Source Data'!$A740,'Category Mapping'!$A$28:$A$39,0),1),INDEX('Category Mapping'!$E$28:$E$39,MATCH($A740,'Category Mapping'!$A$28:$A$39,0),1))</f>
        <v>11089179038.571428</v>
      </c>
      <c r="R740" s="27">
        <f>R160*IF($E740="weekday",INDEX('Category Mapping'!$F$28:$F$39,MATCH('Summarized Source Data'!$A740,'Category Mapping'!$A$28:$A$39,0),1),INDEX('Category Mapping'!$E$28:$E$39,MATCH($A740,'Category Mapping'!$A$28:$A$39,0),1))</f>
        <v>243571428.57142857</v>
      </c>
      <c r="S740" s="27">
        <f>S160*IF($E740="weekday",INDEX('Category Mapping'!$F$28:$F$39,MATCH('Summarized Source Data'!$A740,'Category Mapping'!$A$28:$A$39,0),1),INDEX('Category Mapping'!$E$28:$E$39,MATCH($A740,'Category Mapping'!$A$28:$A$39,0),1))</f>
        <v>243571428.57142857</v>
      </c>
      <c r="T740" s="27">
        <f>T160*IF($E740="weekday",INDEX('Category Mapping'!$F$28:$F$39,MATCH('Summarized Source Data'!$A740,'Category Mapping'!$A$28:$A$39,0),1),INDEX('Category Mapping'!$E$28:$E$39,MATCH($A740,'Category Mapping'!$A$28:$A$39,0),1))</f>
        <v>243571428.57142857</v>
      </c>
      <c r="U740" s="27">
        <f>U160*IF($E740="weekday",INDEX('Category Mapping'!$F$28:$F$39,MATCH('Summarized Source Data'!$A740,'Category Mapping'!$A$28:$A$39,0),1),INDEX('Category Mapping'!$E$28:$E$39,MATCH($A740,'Category Mapping'!$A$28:$A$39,0),1))</f>
        <v>243571428.57142857</v>
      </c>
      <c r="V740" s="27">
        <f>V160*IF($E740="weekday",INDEX('Category Mapping'!$F$28:$F$39,MATCH('Summarized Source Data'!$A740,'Category Mapping'!$A$28:$A$39,0),1),INDEX('Category Mapping'!$E$28:$E$39,MATCH($A740,'Category Mapping'!$A$28:$A$39,0),1))</f>
        <v>243571428.57142857</v>
      </c>
      <c r="W740" s="27">
        <f>W160*IF($E740="weekday",INDEX('Category Mapping'!$F$28:$F$39,MATCH('Summarized Source Data'!$A740,'Category Mapping'!$A$28:$A$39,0),1),INDEX('Category Mapping'!$E$28:$E$39,MATCH($A740,'Category Mapping'!$A$28:$A$39,0),1))</f>
        <v>243571428.57142857</v>
      </c>
      <c r="X740" s="27">
        <f>X160*IF($E740="weekday",INDEX('Category Mapping'!$F$28:$F$39,MATCH('Summarized Source Data'!$A740,'Category Mapping'!$A$28:$A$39,0),1),INDEX('Category Mapping'!$E$28:$E$39,MATCH($A740,'Category Mapping'!$A$28:$A$39,0),1))</f>
        <v>13972142857.142857</v>
      </c>
      <c r="Y740" s="27">
        <f>Y160*IF($E740="weekday",INDEX('Category Mapping'!$F$28:$F$39,MATCH('Summarized Source Data'!$A740,'Category Mapping'!$A$28:$A$39,0),1),INDEX('Category Mapping'!$E$28:$E$39,MATCH($A740,'Category Mapping'!$A$28:$A$39,0),1))</f>
        <v>13972142857.142857</v>
      </c>
      <c r="Z740" s="27">
        <f>Z160*IF($E740="weekday",INDEX('Category Mapping'!$F$28:$F$39,MATCH('Summarized Source Data'!$A740,'Category Mapping'!$A$28:$A$39,0),1),INDEX('Category Mapping'!$E$28:$E$39,MATCH($A740,'Category Mapping'!$A$28:$A$39,0),1))</f>
        <v>13972142857.142857</v>
      </c>
    </row>
    <row r="741" spans="1:26" x14ac:dyDescent="0.3">
      <c r="A741">
        <f t="shared" ref="A741:E741" si="206">A161</f>
        <v>7</v>
      </c>
      <c r="B741" t="str">
        <f t="shared" si="206"/>
        <v>Summer</v>
      </c>
      <c r="C741" t="str">
        <f t="shared" si="206"/>
        <v>h14</v>
      </c>
      <c r="D741" t="str">
        <f t="shared" si="206"/>
        <v>Hour13</v>
      </c>
      <c r="E741" t="str">
        <f t="shared" si="206"/>
        <v>Weekday</v>
      </c>
      <c r="F741" s="27">
        <f>F161*IF($E741="weekday",INDEX('Category Mapping'!$F$28:$F$39,MATCH('Summarized Source Data'!$A741,'Category Mapping'!$A$28:$A$39,0),1),INDEX('Category Mapping'!$E$28:$E$39,MATCH($A741,'Category Mapping'!$A$28:$A$39,0),1))</f>
        <v>1456446.4285714286</v>
      </c>
      <c r="G741" s="27">
        <f>G161*IF($E741="weekday",INDEX('Category Mapping'!$F$28:$F$39,MATCH('Summarized Source Data'!$A741,'Category Mapping'!$A$28:$A$39,0),1),INDEX('Category Mapping'!$E$28:$E$39,MATCH($A741,'Category Mapping'!$A$28:$A$39,0),1))</f>
        <v>1578785714.2857141</v>
      </c>
      <c r="H741" s="27">
        <f>H161*IF($E741="weekday",INDEX('Category Mapping'!$F$28:$F$39,MATCH('Summarized Source Data'!$A741,'Category Mapping'!$A$28:$A$39,0),1),INDEX('Category Mapping'!$E$28:$E$39,MATCH($A741,'Category Mapping'!$A$28:$A$39,0),1))</f>
        <v>0</v>
      </c>
      <c r="I741" s="27">
        <f>I161*IF($E741="weekday",INDEX('Category Mapping'!$F$28:$F$39,MATCH('Summarized Source Data'!$A741,'Category Mapping'!$A$28:$A$39,0),1),INDEX('Category Mapping'!$E$28:$E$39,MATCH($A741,'Category Mapping'!$A$28:$A$39,0),1))</f>
        <v>234714285.7142857</v>
      </c>
      <c r="J741" s="27">
        <f>J161*IF($E741="weekday",INDEX('Category Mapping'!$F$28:$F$39,MATCH('Summarized Source Data'!$A741,'Category Mapping'!$A$28:$A$39,0),1),INDEX('Category Mapping'!$E$28:$E$39,MATCH($A741,'Category Mapping'!$A$28:$A$39,0),1))</f>
        <v>2325757839.2857141</v>
      </c>
      <c r="K741" s="27">
        <f>K161*IF($E741="weekday",INDEX('Category Mapping'!$F$28:$F$39,MATCH('Summarized Source Data'!$A741,'Category Mapping'!$A$28:$A$39,0),1),INDEX('Category Mapping'!$E$28:$E$39,MATCH($A741,'Category Mapping'!$A$28:$A$39,0),1))</f>
        <v>2325757839.2857141</v>
      </c>
      <c r="L741" s="27">
        <f>L161*IF($E741="weekday",INDEX('Category Mapping'!$F$28:$F$39,MATCH('Summarized Source Data'!$A741,'Category Mapping'!$A$28:$A$39,0),1),INDEX('Category Mapping'!$E$28:$E$39,MATCH($A741,'Category Mapping'!$A$28:$A$39,0),1))</f>
        <v>4392390</v>
      </c>
      <c r="M741" s="27">
        <f>M161*IF($E741="weekday",INDEX('Category Mapping'!$F$28:$F$39,MATCH('Summarized Source Data'!$A741,'Category Mapping'!$A$28:$A$39,0),1),INDEX('Category Mapping'!$E$28:$E$39,MATCH($A741,'Category Mapping'!$A$28:$A$39,0),1))</f>
        <v>10052857142.857143</v>
      </c>
      <c r="N741" s="27">
        <f>N161*IF($E741="weekday",INDEX('Category Mapping'!$F$28:$F$39,MATCH('Summarized Source Data'!$A741,'Category Mapping'!$A$28:$A$39,0),1),INDEX('Category Mapping'!$E$28:$E$39,MATCH($A741,'Category Mapping'!$A$28:$A$39,0),1))</f>
        <v>0</v>
      </c>
      <c r="O741" s="27">
        <f>O161*IF($E741="weekday",INDEX('Category Mapping'!$F$28:$F$39,MATCH('Summarized Source Data'!$A741,'Category Mapping'!$A$28:$A$39,0),1),INDEX('Category Mapping'!$E$28:$E$39,MATCH($A741,'Category Mapping'!$A$28:$A$39,0),1))</f>
        <v>11089179038.571428</v>
      </c>
      <c r="P741" s="27">
        <f>P161*IF($E741="weekday",INDEX('Category Mapping'!$F$28:$F$39,MATCH('Summarized Source Data'!$A741,'Category Mapping'!$A$28:$A$39,0),1),INDEX('Category Mapping'!$E$28:$E$39,MATCH($A741,'Category Mapping'!$A$28:$A$39,0),1))</f>
        <v>11089179038.571428</v>
      </c>
      <c r="Q741" s="27">
        <f>Q161*IF($E741="weekday",INDEX('Category Mapping'!$F$28:$F$39,MATCH('Summarized Source Data'!$A741,'Category Mapping'!$A$28:$A$39,0),1),INDEX('Category Mapping'!$E$28:$E$39,MATCH($A741,'Category Mapping'!$A$28:$A$39,0),1))</f>
        <v>11089179038.571428</v>
      </c>
      <c r="R741" s="27">
        <f>R161*IF($E741="weekday",INDEX('Category Mapping'!$F$28:$F$39,MATCH('Summarized Source Data'!$A741,'Category Mapping'!$A$28:$A$39,0),1),INDEX('Category Mapping'!$E$28:$E$39,MATCH($A741,'Category Mapping'!$A$28:$A$39,0),1))</f>
        <v>241357142.85714287</v>
      </c>
      <c r="S741" s="27">
        <f>S161*IF($E741="weekday",INDEX('Category Mapping'!$F$28:$F$39,MATCH('Summarized Source Data'!$A741,'Category Mapping'!$A$28:$A$39,0),1),INDEX('Category Mapping'!$E$28:$E$39,MATCH($A741,'Category Mapping'!$A$28:$A$39,0),1))</f>
        <v>241357142.85714287</v>
      </c>
      <c r="T741" s="27">
        <f>T161*IF($E741="weekday",INDEX('Category Mapping'!$F$28:$F$39,MATCH('Summarized Source Data'!$A741,'Category Mapping'!$A$28:$A$39,0),1),INDEX('Category Mapping'!$E$28:$E$39,MATCH($A741,'Category Mapping'!$A$28:$A$39,0),1))</f>
        <v>241357142.85714287</v>
      </c>
      <c r="U741" s="27">
        <f>U161*IF($E741="weekday",INDEX('Category Mapping'!$F$28:$F$39,MATCH('Summarized Source Data'!$A741,'Category Mapping'!$A$28:$A$39,0),1),INDEX('Category Mapping'!$E$28:$E$39,MATCH($A741,'Category Mapping'!$A$28:$A$39,0),1))</f>
        <v>241357142.85714287</v>
      </c>
      <c r="V741" s="27">
        <f>V161*IF($E741="weekday",INDEX('Category Mapping'!$F$28:$F$39,MATCH('Summarized Source Data'!$A741,'Category Mapping'!$A$28:$A$39,0),1),INDEX('Category Mapping'!$E$28:$E$39,MATCH($A741,'Category Mapping'!$A$28:$A$39,0),1))</f>
        <v>241357142.85714287</v>
      </c>
      <c r="W741" s="27">
        <f>W161*IF($E741="weekday",INDEX('Category Mapping'!$F$28:$F$39,MATCH('Summarized Source Data'!$A741,'Category Mapping'!$A$28:$A$39,0),1),INDEX('Category Mapping'!$E$28:$E$39,MATCH($A741,'Category Mapping'!$A$28:$A$39,0),1))</f>
        <v>241357142.85714287</v>
      </c>
      <c r="X741" s="27">
        <f>X161*IF($E741="weekday",INDEX('Category Mapping'!$F$28:$F$39,MATCH('Summarized Source Data'!$A741,'Category Mapping'!$A$28:$A$39,0),1),INDEX('Category Mapping'!$E$28:$E$39,MATCH($A741,'Category Mapping'!$A$28:$A$39,0),1))</f>
        <v>13950000000</v>
      </c>
      <c r="Y741" s="27">
        <f>Y161*IF($E741="weekday",INDEX('Category Mapping'!$F$28:$F$39,MATCH('Summarized Source Data'!$A741,'Category Mapping'!$A$28:$A$39,0),1),INDEX('Category Mapping'!$E$28:$E$39,MATCH($A741,'Category Mapping'!$A$28:$A$39,0),1))</f>
        <v>13950000000</v>
      </c>
      <c r="Z741" s="27">
        <f>Z161*IF($E741="weekday",INDEX('Category Mapping'!$F$28:$F$39,MATCH('Summarized Source Data'!$A741,'Category Mapping'!$A$28:$A$39,0),1),INDEX('Category Mapping'!$E$28:$E$39,MATCH($A741,'Category Mapping'!$A$28:$A$39,0),1))</f>
        <v>13950000000</v>
      </c>
    </row>
    <row r="742" spans="1:26" x14ac:dyDescent="0.3">
      <c r="A742">
        <f t="shared" ref="A742:E742" si="207">A162</f>
        <v>7</v>
      </c>
      <c r="B742" t="str">
        <f t="shared" si="207"/>
        <v>Summer</v>
      </c>
      <c r="C742" t="str">
        <f t="shared" si="207"/>
        <v>h15</v>
      </c>
      <c r="D742" t="str">
        <f t="shared" si="207"/>
        <v>Hour14</v>
      </c>
      <c r="E742" t="str">
        <f t="shared" si="207"/>
        <v>Weekday</v>
      </c>
      <c r="F742" s="27">
        <f>F162*IF($E742="weekday",INDEX('Category Mapping'!$F$28:$F$39,MATCH('Summarized Source Data'!$A742,'Category Mapping'!$A$28:$A$39,0),1),INDEX('Category Mapping'!$E$28:$E$39,MATCH($A742,'Category Mapping'!$A$28:$A$39,0),1))</f>
        <v>1477526.4285714286</v>
      </c>
      <c r="G742" s="27">
        <f>G162*IF($E742="weekday",INDEX('Category Mapping'!$F$28:$F$39,MATCH('Summarized Source Data'!$A742,'Category Mapping'!$A$28:$A$39,0),1),INDEX('Category Mapping'!$E$28:$E$39,MATCH($A742,'Category Mapping'!$A$28:$A$39,0),1))</f>
        <v>1669571428.5714285</v>
      </c>
      <c r="H742" s="27">
        <f>H162*IF($E742="weekday",INDEX('Category Mapping'!$F$28:$F$39,MATCH('Summarized Source Data'!$A742,'Category Mapping'!$A$28:$A$39,0),1),INDEX('Category Mapping'!$E$28:$E$39,MATCH($A742,'Category Mapping'!$A$28:$A$39,0),1))</f>
        <v>0</v>
      </c>
      <c r="I742" s="27">
        <f>I162*IF($E742="weekday",INDEX('Category Mapping'!$F$28:$F$39,MATCH('Summarized Source Data'!$A742,'Category Mapping'!$A$28:$A$39,0),1),INDEX('Category Mapping'!$E$28:$E$39,MATCH($A742,'Category Mapping'!$A$28:$A$39,0),1))</f>
        <v>241357142.85714287</v>
      </c>
      <c r="J742" s="27">
        <f>J162*IF($E742="weekday",INDEX('Category Mapping'!$F$28:$F$39,MATCH('Summarized Source Data'!$A742,'Category Mapping'!$A$28:$A$39,0),1),INDEX('Category Mapping'!$E$28:$E$39,MATCH($A742,'Category Mapping'!$A$28:$A$39,0),1))</f>
        <v>2405451045</v>
      </c>
      <c r="K742" s="27">
        <f>K162*IF($E742="weekday",INDEX('Category Mapping'!$F$28:$F$39,MATCH('Summarized Source Data'!$A742,'Category Mapping'!$A$28:$A$39,0),1),INDEX('Category Mapping'!$E$28:$E$39,MATCH($A742,'Category Mapping'!$A$28:$A$39,0),1))</f>
        <v>2405451045</v>
      </c>
      <c r="L742" s="27">
        <f>L162*IF($E742="weekday",INDEX('Category Mapping'!$F$28:$F$39,MATCH('Summarized Source Data'!$A742,'Category Mapping'!$A$28:$A$39,0),1),INDEX('Category Mapping'!$E$28:$E$39,MATCH($A742,'Category Mapping'!$A$28:$A$39,0),1))</f>
        <v>4392390</v>
      </c>
      <c r="M742" s="27">
        <f>M162*IF($E742="weekday",INDEX('Category Mapping'!$F$28:$F$39,MATCH('Summarized Source Data'!$A742,'Category Mapping'!$A$28:$A$39,0),1),INDEX('Category Mapping'!$E$28:$E$39,MATCH($A742,'Category Mapping'!$A$28:$A$39,0),1))</f>
        <v>10252142857.142857</v>
      </c>
      <c r="N742" s="27">
        <f>N162*IF($E742="weekday",INDEX('Category Mapping'!$F$28:$F$39,MATCH('Summarized Source Data'!$A742,'Category Mapping'!$A$28:$A$39,0),1),INDEX('Category Mapping'!$E$28:$E$39,MATCH($A742,'Category Mapping'!$A$28:$A$39,0),1))</f>
        <v>0</v>
      </c>
      <c r="O742" s="27">
        <f>O162*IF($E742="weekday",INDEX('Category Mapping'!$F$28:$F$39,MATCH('Summarized Source Data'!$A742,'Category Mapping'!$A$28:$A$39,0),1),INDEX('Category Mapping'!$E$28:$E$39,MATCH($A742,'Category Mapping'!$A$28:$A$39,0),1))</f>
        <v>11089179038.571428</v>
      </c>
      <c r="P742" s="27">
        <f>P162*IF($E742="weekday",INDEX('Category Mapping'!$F$28:$F$39,MATCH('Summarized Source Data'!$A742,'Category Mapping'!$A$28:$A$39,0),1),INDEX('Category Mapping'!$E$28:$E$39,MATCH($A742,'Category Mapping'!$A$28:$A$39,0),1))</f>
        <v>11089179038.571428</v>
      </c>
      <c r="Q742" s="27">
        <f>Q162*IF($E742="weekday",INDEX('Category Mapping'!$F$28:$F$39,MATCH('Summarized Source Data'!$A742,'Category Mapping'!$A$28:$A$39,0),1),INDEX('Category Mapping'!$E$28:$E$39,MATCH($A742,'Category Mapping'!$A$28:$A$39,0),1))</f>
        <v>11089179038.571428</v>
      </c>
      <c r="R742" s="27">
        <f>R162*IF($E742="weekday",INDEX('Category Mapping'!$F$28:$F$39,MATCH('Summarized Source Data'!$A742,'Category Mapping'!$A$28:$A$39,0),1),INDEX('Category Mapping'!$E$28:$E$39,MATCH($A742,'Category Mapping'!$A$28:$A$39,0),1))</f>
        <v>236928571.42857143</v>
      </c>
      <c r="S742" s="27">
        <f>S162*IF($E742="weekday",INDEX('Category Mapping'!$F$28:$F$39,MATCH('Summarized Source Data'!$A742,'Category Mapping'!$A$28:$A$39,0),1),INDEX('Category Mapping'!$E$28:$E$39,MATCH($A742,'Category Mapping'!$A$28:$A$39,0),1))</f>
        <v>236928571.42857143</v>
      </c>
      <c r="T742" s="27">
        <f>T162*IF($E742="weekday",INDEX('Category Mapping'!$F$28:$F$39,MATCH('Summarized Source Data'!$A742,'Category Mapping'!$A$28:$A$39,0),1),INDEX('Category Mapping'!$E$28:$E$39,MATCH($A742,'Category Mapping'!$A$28:$A$39,0),1))</f>
        <v>236928571.42857143</v>
      </c>
      <c r="U742" s="27">
        <f>U162*IF($E742="weekday",INDEX('Category Mapping'!$F$28:$F$39,MATCH('Summarized Source Data'!$A742,'Category Mapping'!$A$28:$A$39,0),1),INDEX('Category Mapping'!$E$28:$E$39,MATCH($A742,'Category Mapping'!$A$28:$A$39,0),1))</f>
        <v>236928571.42857143</v>
      </c>
      <c r="V742" s="27">
        <f>V162*IF($E742="weekday",INDEX('Category Mapping'!$F$28:$F$39,MATCH('Summarized Source Data'!$A742,'Category Mapping'!$A$28:$A$39,0),1),INDEX('Category Mapping'!$E$28:$E$39,MATCH($A742,'Category Mapping'!$A$28:$A$39,0),1))</f>
        <v>236928571.42857143</v>
      </c>
      <c r="W742" s="27">
        <f>W162*IF($E742="weekday",INDEX('Category Mapping'!$F$28:$F$39,MATCH('Summarized Source Data'!$A742,'Category Mapping'!$A$28:$A$39,0),1),INDEX('Category Mapping'!$E$28:$E$39,MATCH($A742,'Category Mapping'!$A$28:$A$39,0),1))</f>
        <v>236928571.42857143</v>
      </c>
      <c r="X742" s="27">
        <f>X162*IF($E742="weekday",INDEX('Category Mapping'!$F$28:$F$39,MATCH('Summarized Source Data'!$A742,'Category Mapping'!$A$28:$A$39,0),1),INDEX('Category Mapping'!$E$28:$E$39,MATCH($A742,'Category Mapping'!$A$28:$A$39,0),1))</f>
        <v>13972142857.142857</v>
      </c>
      <c r="Y742" s="27">
        <f>Y162*IF($E742="weekday",INDEX('Category Mapping'!$F$28:$F$39,MATCH('Summarized Source Data'!$A742,'Category Mapping'!$A$28:$A$39,0),1),INDEX('Category Mapping'!$E$28:$E$39,MATCH($A742,'Category Mapping'!$A$28:$A$39,0),1))</f>
        <v>13972142857.142857</v>
      </c>
      <c r="Z742" s="27">
        <f>Z162*IF($E742="weekday",INDEX('Category Mapping'!$F$28:$F$39,MATCH('Summarized Source Data'!$A742,'Category Mapping'!$A$28:$A$39,0),1),INDEX('Category Mapping'!$E$28:$E$39,MATCH($A742,'Category Mapping'!$A$28:$A$39,0),1))</f>
        <v>13972142857.142857</v>
      </c>
    </row>
    <row r="743" spans="1:26" x14ac:dyDescent="0.3">
      <c r="A743">
        <f t="shared" ref="A743:E743" si="208">A163</f>
        <v>7</v>
      </c>
      <c r="B743" t="str">
        <f t="shared" si="208"/>
        <v>Summer</v>
      </c>
      <c r="C743" t="str">
        <f t="shared" si="208"/>
        <v>h16</v>
      </c>
      <c r="D743" t="str">
        <f t="shared" si="208"/>
        <v>Hour15</v>
      </c>
      <c r="E743" t="str">
        <f t="shared" si="208"/>
        <v>Weekday</v>
      </c>
      <c r="F743" s="27">
        <f>F163*IF($E743="weekday",INDEX('Category Mapping'!$F$28:$F$39,MATCH('Summarized Source Data'!$A743,'Category Mapping'!$A$28:$A$39,0),1),INDEX('Category Mapping'!$E$28:$E$39,MATCH($A743,'Category Mapping'!$A$28:$A$39,0),1))</f>
        <v>1545637.857142857</v>
      </c>
      <c r="G743" s="27">
        <f>G163*IF($E743="weekday",INDEX('Category Mapping'!$F$28:$F$39,MATCH('Summarized Source Data'!$A743,'Category Mapping'!$A$28:$A$39,0),1),INDEX('Category Mapping'!$E$28:$E$39,MATCH($A743,'Category Mapping'!$A$28:$A$39,0),1))</f>
        <v>1802428571.4285715</v>
      </c>
      <c r="H743" s="27">
        <f>H163*IF($E743="weekday",INDEX('Category Mapping'!$F$28:$F$39,MATCH('Summarized Source Data'!$A743,'Category Mapping'!$A$28:$A$39,0),1),INDEX('Category Mapping'!$E$28:$E$39,MATCH($A743,'Category Mapping'!$A$28:$A$39,0),1))</f>
        <v>0</v>
      </c>
      <c r="I743" s="27">
        <f>I163*IF($E743="weekday",INDEX('Category Mapping'!$F$28:$F$39,MATCH('Summarized Source Data'!$A743,'Category Mapping'!$A$28:$A$39,0),1),INDEX('Category Mapping'!$E$28:$E$39,MATCH($A743,'Category Mapping'!$A$28:$A$39,0),1))</f>
        <v>259071428.57142857</v>
      </c>
      <c r="J743" s="27">
        <f>J163*IF($E743="weekday",INDEX('Category Mapping'!$F$28:$F$39,MATCH('Summarized Source Data'!$A743,'Category Mapping'!$A$28:$A$39,0),1),INDEX('Category Mapping'!$E$28:$E$39,MATCH($A743,'Category Mapping'!$A$28:$A$39,0),1))</f>
        <v>2719811505</v>
      </c>
      <c r="K743" s="27">
        <f>K163*IF($E743="weekday",INDEX('Category Mapping'!$F$28:$F$39,MATCH('Summarized Source Data'!$A743,'Category Mapping'!$A$28:$A$39,0),1),INDEX('Category Mapping'!$E$28:$E$39,MATCH($A743,'Category Mapping'!$A$28:$A$39,0),1))</f>
        <v>2719811505</v>
      </c>
      <c r="L743" s="27">
        <f>L163*IF($E743="weekday",INDEX('Category Mapping'!$F$28:$F$39,MATCH('Summarized Source Data'!$A743,'Category Mapping'!$A$28:$A$39,0),1),INDEX('Category Mapping'!$E$28:$E$39,MATCH($A743,'Category Mapping'!$A$28:$A$39,0),1))</f>
        <v>4392390</v>
      </c>
      <c r="M743" s="27">
        <f>M163*IF($E743="weekday",INDEX('Category Mapping'!$F$28:$F$39,MATCH('Summarized Source Data'!$A743,'Category Mapping'!$A$28:$A$39,0),1),INDEX('Category Mapping'!$E$28:$E$39,MATCH($A743,'Category Mapping'!$A$28:$A$39,0),1))</f>
        <v>10207857142.857143</v>
      </c>
      <c r="N743" s="27">
        <f>N163*IF($E743="weekday",INDEX('Category Mapping'!$F$28:$F$39,MATCH('Summarized Source Data'!$A743,'Category Mapping'!$A$28:$A$39,0),1),INDEX('Category Mapping'!$E$28:$E$39,MATCH($A743,'Category Mapping'!$A$28:$A$39,0),1))</f>
        <v>0</v>
      </c>
      <c r="O743" s="27">
        <f>O163*IF($E743="weekday",INDEX('Category Mapping'!$F$28:$F$39,MATCH('Summarized Source Data'!$A743,'Category Mapping'!$A$28:$A$39,0),1),INDEX('Category Mapping'!$E$28:$E$39,MATCH($A743,'Category Mapping'!$A$28:$A$39,0),1))</f>
        <v>11089179038.571428</v>
      </c>
      <c r="P743" s="27">
        <f>P163*IF($E743="weekday",INDEX('Category Mapping'!$F$28:$F$39,MATCH('Summarized Source Data'!$A743,'Category Mapping'!$A$28:$A$39,0),1),INDEX('Category Mapping'!$E$28:$E$39,MATCH($A743,'Category Mapping'!$A$28:$A$39,0),1))</f>
        <v>11089179038.571428</v>
      </c>
      <c r="Q743" s="27">
        <f>Q163*IF($E743="weekday",INDEX('Category Mapping'!$F$28:$F$39,MATCH('Summarized Source Data'!$A743,'Category Mapping'!$A$28:$A$39,0),1),INDEX('Category Mapping'!$E$28:$E$39,MATCH($A743,'Category Mapping'!$A$28:$A$39,0),1))</f>
        <v>11089179038.571428</v>
      </c>
      <c r="R743" s="27">
        <f>R163*IF($E743="weekday",INDEX('Category Mapping'!$F$28:$F$39,MATCH('Summarized Source Data'!$A743,'Category Mapping'!$A$28:$A$39,0),1),INDEX('Category Mapping'!$E$28:$E$39,MATCH($A743,'Category Mapping'!$A$28:$A$39,0),1))</f>
        <v>281214285.71428573</v>
      </c>
      <c r="S743" s="27">
        <f>S163*IF($E743="weekday",INDEX('Category Mapping'!$F$28:$F$39,MATCH('Summarized Source Data'!$A743,'Category Mapping'!$A$28:$A$39,0),1),INDEX('Category Mapping'!$E$28:$E$39,MATCH($A743,'Category Mapping'!$A$28:$A$39,0),1))</f>
        <v>281214285.71428573</v>
      </c>
      <c r="T743" s="27">
        <f>T163*IF($E743="weekday",INDEX('Category Mapping'!$F$28:$F$39,MATCH('Summarized Source Data'!$A743,'Category Mapping'!$A$28:$A$39,0),1),INDEX('Category Mapping'!$E$28:$E$39,MATCH($A743,'Category Mapping'!$A$28:$A$39,0),1))</f>
        <v>281214285.71428573</v>
      </c>
      <c r="U743" s="27">
        <f>U163*IF($E743="weekday",INDEX('Category Mapping'!$F$28:$F$39,MATCH('Summarized Source Data'!$A743,'Category Mapping'!$A$28:$A$39,0),1),INDEX('Category Mapping'!$E$28:$E$39,MATCH($A743,'Category Mapping'!$A$28:$A$39,0),1))</f>
        <v>281214285.71428573</v>
      </c>
      <c r="V743" s="27">
        <f>V163*IF($E743="weekday",INDEX('Category Mapping'!$F$28:$F$39,MATCH('Summarized Source Data'!$A743,'Category Mapping'!$A$28:$A$39,0),1),INDEX('Category Mapping'!$E$28:$E$39,MATCH($A743,'Category Mapping'!$A$28:$A$39,0),1))</f>
        <v>281214285.71428573</v>
      </c>
      <c r="W743" s="27">
        <f>W163*IF($E743="weekday",INDEX('Category Mapping'!$F$28:$F$39,MATCH('Summarized Source Data'!$A743,'Category Mapping'!$A$28:$A$39,0),1),INDEX('Category Mapping'!$E$28:$E$39,MATCH($A743,'Category Mapping'!$A$28:$A$39,0),1))</f>
        <v>281214285.71428573</v>
      </c>
      <c r="X743" s="27">
        <f>X163*IF($E743="weekday",INDEX('Category Mapping'!$F$28:$F$39,MATCH('Summarized Source Data'!$A743,'Category Mapping'!$A$28:$A$39,0),1),INDEX('Category Mapping'!$E$28:$E$39,MATCH($A743,'Category Mapping'!$A$28:$A$39,0),1))</f>
        <v>14105000000</v>
      </c>
      <c r="Y743" s="27">
        <f>Y163*IF($E743="weekday",INDEX('Category Mapping'!$F$28:$F$39,MATCH('Summarized Source Data'!$A743,'Category Mapping'!$A$28:$A$39,0),1),INDEX('Category Mapping'!$E$28:$E$39,MATCH($A743,'Category Mapping'!$A$28:$A$39,0),1))</f>
        <v>14105000000</v>
      </c>
      <c r="Z743" s="27">
        <f>Z163*IF($E743="weekday",INDEX('Category Mapping'!$F$28:$F$39,MATCH('Summarized Source Data'!$A743,'Category Mapping'!$A$28:$A$39,0),1),INDEX('Category Mapping'!$E$28:$E$39,MATCH($A743,'Category Mapping'!$A$28:$A$39,0),1))</f>
        <v>14105000000</v>
      </c>
    </row>
    <row r="744" spans="1:26" x14ac:dyDescent="0.3">
      <c r="A744">
        <f t="shared" ref="A744:E744" si="209">A164</f>
        <v>7</v>
      </c>
      <c r="B744" t="str">
        <f t="shared" si="209"/>
        <v>Summer</v>
      </c>
      <c r="C744" t="str">
        <f t="shared" si="209"/>
        <v>h17</v>
      </c>
      <c r="D744" t="str">
        <f t="shared" si="209"/>
        <v>Hour16</v>
      </c>
      <c r="E744" t="str">
        <f t="shared" si="209"/>
        <v>Weekday</v>
      </c>
      <c r="F744" s="27">
        <f>F164*IF($E744="weekday",INDEX('Category Mapping'!$F$28:$F$39,MATCH('Summarized Source Data'!$A744,'Category Mapping'!$A$28:$A$39,0),1),INDEX('Category Mapping'!$E$28:$E$39,MATCH($A744,'Category Mapping'!$A$28:$A$39,0),1))</f>
        <v>1627721.4285714286</v>
      </c>
      <c r="G744" s="27">
        <f>G164*IF($E744="weekday",INDEX('Category Mapping'!$F$28:$F$39,MATCH('Summarized Source Data'!$A744,'Category Mapping'!$A$28:$A$39,0),1),INDEX('Category Mapping'!$E$28:$E$39,MATCH($A744,'Category Mapping'!$A$28:$A$39,0),1))</f>
        <v>1897642857.1428571</v>
      </c>
      <c r="H744" s="27">
        <f>H164*IF($E744="weekday",INDEX('Category Mapping'!$F$28:$F$39,MATCH('Summarized Source Data'!$A744,'Category Mapping'!$A$28:$A$39,0),1),INDEX('Category Mapping'!$E$28:$E$39,MATCH($A744,'Category Mapping'!$A$28:$A$39,0),1))</f>
        <v>0</v>
      </c>
      <c r="I744" s="27">
        <f>I164*IF($E744="weekday",INDEX('Category Mapping'!$F$28:$F$39,MATCH('Summarized Source Data'!$A744,'Category Mapping'!$A$28:$A$39,0),1),INDEX('Category Mapping'!$E$28:$E$39,MATCH($A744,'Category Mapping'!$A$28:$A$39,0),1))</f>
        <v>283428571.4285714</v>
      </c>
      <c r="J744" s="27">
        <f>J164*IF($E744="weekday",INDEX('Category Mapping'!$F$28:$F$39,MATCH('Summarized Source Data'!$A744,'Category Mapping'!$A$28:$A$39,0),1),INDEX('Category Mapping'!$E$28:$E$39,MATCH($A744,'Category Mapping'!$A$28:$A$39,0),1))</f>
        <v>3286586564.2857141</v>
      </c>
      <c r="K744" s="27">
        <f>K164*IF($E744="weekday",INDEX('Category Mapping'!$F$28:$F$39,MATCH('Summarized Source Data'!$A744,'Category Mapping'!$A$28:$A$39,0),1),INDEX('Category Mapping'!$E$28:$E$39,MATCH($A744,'Category Mapping'!$A$28:$A$39,0),1))</f>
        <v>3286586564.2857141</v>
      </c>
      <c r="L744" s="27">
        <f>L164*IF($E744="weekday",INDEX('Category Mapping'!$F$28:$F$39,MATCH('Summarized Source Data'!$A744,'Category Mapping'!$A$28:$A$39,0),1),INDEX('Category Mapping'!$E$28:$E$39,MATCH($A744,'Category Mapping'!$A$28:$A$39,0),1))</f>
        <v>4392390</v>
      </c>
      <c r="M744" s="27">
        <f>M164*IF($E744="weekday",INDEX('Category Mapping'!$F$28:$F$39,MATCH('Summarized Source Data'!$A744,'Category Mapping'!$A$28:$A$39,0),1),INDEX('Category Mapping'!$E$28:$E$39,MATCH($A744,'Category Mapping'!$A$28:$A$39,0),1))</f>
        <v>9920000000</v>
      </c>
      <c r="N744" s="27">
        <f>N164*IF($E744="weekday",INDEX('Category Mapping'!$F$28:$F$39,MATCH('Summarized Source Data'!$A744,'Category Mapping'!$A$28:$A$39,0),1),INDEX('Category Mapping'!$E$28:$E$39,MATCH($A744,'Category Mapping'!$A$28:$A$39,0),1))</f>
        <v>0</v>
      </c>
      <c r="O744" s="27">
        <f>O164*IF($E744="weekday",INDEX('Category Mapping'!$F$28:$F$39,MATCH('Summarized Source Data'!$A744,'Category Mapping'!$A$28:$A$39,0),1),INDEX('Category Mapping'!$E$28:$E$39,MATCH($A744,'Category Mapping'!$A$28:$A$39,0),1))</f>
        <v>10757036181.428572</v>
      </c>
      <c r="P744" s="27">
        <f>P164*IF($E744="weekday",INDEX('Category Mapping'!$F$28:$F$39,MATCH('Summarized Source Data'!$A744,'Category Mapping'!$A$28:$A$39,0),1),INDEX('Category Mapping'!$E$28:$E$39,MATCH($A744,'Category Mapping'!$A$28:$A$39,0),1))</f>
        <v>10757036181.428572</v>
      </c>
      <c r="Q744" s="27">
        <f>Q164*IF($E744="weekday",INDEX('Category Mapping'!$F$28:$F$39,MATCH('Summarized Source Data'!$A744,'Category Mapping'!$A$28:$A$39,0),1),INDEX('Category Mapping'!$E$28:$E$39,MATCH($A744,'Category Mapping'!$A$28:$A$39,0),1))</f>
        <v>10757036181.428572</v>
      </c>
      <c r="R744" s="27">
        <f>R164*IF($E744="weekday",INDEX('Category Mapping'!$F$28:$F$39,MATCH('Summarized Source Data'!$A744,'Category Mapping'!$A$28:$A$39,0),1),INDEX('Category Mapping'!$E$28:$E$39,MATCH($A744,'Category Mapping'!$A$28:$A$39,0),1))</f>
        <v>327714285.71428573</v>
      </c>
      <c r="S744" s="27">
        <f>S164*IF($E744="weekday",INDEX('Category Mapping'!$F$28:$F$39,MATCH('Summarized Source Data'!$A744,'Category Mapping'!$A$28:$A$39,0),1),INDEX('Category Mapping'!$E$28:$E$39,MATCH($A744,'Category Mapping'!$A$28:$A$39,0),1))</f>
        <v>327714285.71428573</v>
      </c>
      <c r="T744" s="27">
        <f>T164*IF($E744="weekday",INDEX('Category Mapping'!$F$28:$F$39,MATCH('Summarized Source Data'!$A744,'Category Mapping'!$A$28:$A$39,0),1),INDEX('Category Mapping'!$E$28:$E$39,MATCH($A744,'Category Mapping'!$A$28:$A$39,0),1))</f>
        <v>327714285.71428573</v>
      </c>
      <c r="U744" s="27">
        <f>U164*IF($E744="weekday",INDEX('Category Mapping'!$F$28:$F$39,MATCH('Summarized Source Data'!$A744,'Category Mapping'!$A$28:$A$39,0),1),INDEX('Category Mapping'!$E$28:$E$39,MATCH($A744,'Category Mapping'!$A$28:$A$39,0),1))</f>
        <v>327714285.71428573</v>
      </c>
      <c r="V744" s="27">
        <f>V164*IF($E744="weekday",INDEX('Category Mapping'!$F$28:$F$39,MATCH('Summarized Source Data'!$A744,'Category Mapping'!$A$28:$A$39,0),1),INDEX('Category Mapping'!$E$28:$E$39,MATCH($A744,'Category Mapping'!$A$28:$A$39,0),1))</f>
        <v>327714285.71428573</v>
      </c>
      <c r="W744" s="27">
        <f>W164*IF($E744="weekday",INDEX('Category Mapping'!$F$28:$F$39,MATCH('Summarized Source Data'!$A744,'Category Mapping'!$A$28:$A$39,0),1),INDEX('Category Mapping'!$E$28:$E$39,MATCH($A744,'Category Mapping'!$A$28:$A$39,0),1))</f>
        <v>327714285.71428573</v>
      </c>
      <c r="X744" s="27">
        <f>X164*IF($E744="weekday",INDEX('Category Mapping'!$F$28:$F$39,MATCH('Summarized Source Data'!$A744,'Category Mapping'!$A$28:$A$39,0),1),INDEX('Category Mapping'!$E$28:$E$39,MATCH($A744,'Category Mapping'!$A$28:$A$39,0),1))</f>
        <v>14237857142.857143</v>
      </c>
      <c r="Y744" s="27">
        <f>Y164*IF($E744="weekday",INDEX('Category Mapping'!$F$28:$F$39,MATCH('Summarized Source Data'!$A744,'Category Mapping'!$A$28:$A$39,0),1),INDEX('Category Mapping'!$E$28:$E$39,MATCH($A744,'Category Mapping'!$A$28:$A$39,0),1))</f>
        <v>14237857142.857143</v>
      </c>
      <c r="Z744" s="27">
        <f>Z164*IF($E744="weekday",INDEX('Category Mapping'!$F$28:$F$39,MATCH('Summarized Source Data'!$A744,'Category Mapping'!$A$28:$A$39,0),1),INDEX('Category Mapping'!$E$28:$E$39,MATCH($A744,'Category Mapping'!$A$28:$A$39,0),1))</f>
        <v>14237857142.857143</v>
      </c>
    </row>
    <row r="745" spans="1:26" x14ac:dyDescent="0.3">
      <c r="A745">
        <f t="shared" ref="A745:E745" si="210">A165</f>
        <v>7</v>
      </c>
      <c r="B745" t="str">
        <f t="shared" si="210"/>
        <v>Summer</v>
      </c>
      <c r="C745" t="str">
        <f t="shared" si="210"/>
        <v>h18</v>
      </c>
      <c r="D745" t="str">
        <f t="shared" si="210"/>
        <v>Hour17</v>
      </c>
      <c r="E745" t="str">
        <f t="shared" si="210"/>
        <v>Weekday</v>
      </c>
      <c r="F745" s="27">
        <f>F165*IF($E745="weekday",INDEX('Category Mapping'!$F$28:$F$39,MATCH('Summarized Source Data'!$A745,'Category Mapping'!$A$28:$A$39,0),1),INDEX('Category Mapping'!$E$28:$E$39,MATCH($A745,'Category Mapping'!$A$28:$A$39,0),1))</f>
        <v>1717887.1428571427</v>
      </c>
      <c r="G745" s="27">
        <f>G165*IF($E745="weekday",INDEX('Category Mapping'!$F$28:$F$39,MATCH('Summarized Source Data'!$A745,'Category Mapping'!$A$28:$A$39,0),1),INDEX('Category Mapping'!$E$28:$E$39,MATCH($A745,'Category Mapping'!$A$28:$A$39,0),1))</f>
        <v>1955214285.7142856</v>
      </c>
      <c r="H745" s="27">
        <f>H165*IF($E745="weekday",INDEX('Category Mapping'!$F$28:$F$39,MATCH('Summarized Source Data'!$A745,'Category Mapping'!$A$28:$A$39,0),1),INDEX('Category Mapping'!$E$28:$E$39,MATCH($A745,'Category Mapping'!$A$28:$A$39,0),1))</f>
        <v>0</v>
      </c>
      <c r="I745" s="27">
        <f>I165*IF($E745="weekday",INDEX('Category Mapping'!$F$28:$F$39,MATCH('Summarized Source Data'!$A745,'Category Mapping'!$A$28:$A$39,0),1),INDEX('Category Mapping'!$E$28:$E$39,MATCH($A745,'Category Mapping'!$A$28:$A$39,0),1))</f>
        <v>329928571.4285714</v>
      </c>
      <c r="J745" s="27">
        <f>J165*IF($E745="weekday",INDEX('Category Mapping'!$F$28:$F$39,MATCH('Summarized Source Data'!$A745,'Category Mapping'!$A$28:$A$39,0),1),INDEX('Category Mapping'!$E$28:$E$39,MATCH($A745,'Category Mapping'!$A$28:$A$39,0),1))</f>
        <v>3603139255.7142859</v>
      </c>
      <c r="K745" s="27">
        <f>K165*IF($E745="weekday",INDEX('Category Mapping'!$F$28:$F$39,MATCH('Summarized Source Data'!$A745,'Category Mapping'!$A$28:$A$39,0),1),INDEX('Category Mapping'!$E$28:$E$39,MATCH($A745,'Category Mapping'!$A$28:$A$39,0),1))</f>
        <v>3603139255.7142859</v>
      </c>
      <c r="L745" s="27">
        <f>L165*IF($E745="weekday",INDEX('Category Mapping'!$F$28:$F$39,MATCH('Summarized Source Data'!$A745,'Category Mapping'!$A$28:$A$39,0),1),INDEX('Category Mapping'!$E$28:$E$39,MATCH($A745,'Category Mapping'!$A$28:$A$39,0),1))</f>
        <v>4392390</v>
      </c>
      <c r="M745" s="27">
        <f>M165*IF($E745="weekday",INDEX('Category Mapping'!$F$28:$F$39,MATCH('Summarized Source Data'!$A745,'Category Mapping'!$A$28:$A$39,0),1),INDEX('Category Mapping'!$E$28:$E$39,MATCH($A745,'Category Mapping'!$A$28:$A$39,0),1))</f>
        <v>9410714285.7142849</v>
      </c>
      <c r="N745" s="27">
        <f>N165*IF($E745="weekday",INDEX('Category Mapping'!$F$28:$F$39,MATCH('Summarized Source Data'!$A745,'Category Mapping'!$A$28:$A$39,0),1),INDEX('Category Mapping'!$E$28:$E$39,MATCH($A745,'Category Mapping'!$A$28:$A$39,0),1))</f>
        <v>0</v>
      </c>
      <c r="O745" s="27">
        <f>O165*IF($E745="weekday",INDEX('Category Mapping'!$F$28:$F$39,MATCH('Summarized Source Data'!$A745,'Category Mapping'!$A$28:$A$39,0),1),INDEX('Category Mapping'!$E$28:$E$39,MATCH($A745,'Category Mapping'!$A$28:$A$39,0),1))</f>
        <v>10092750467.142857</v>
      </c>
      <c r="P745" s="27">
        <f>P165*IF($E745="weekday",INDEX('Category Mapping'!$F$28:$F$39,MATCH('Summarized Source Data'!$A745,'Category Mapping'!$A$28:$A$39,0),1),INDEX('Category Mapping'!$E$28:$E$39,MATCH($A745,'Category Mapping'!$A$28:$A$39,0),1))</f>
        <v>10092750467.142857</v>
      </c>
      <c r="Q745" s="27">
        <f>Q165*IF($E745="weekday",INDEX('Category Mapping'!$F$28:$F$39,MATCH('Summarized Source Data'!$A745,'Category Mapping'!$A$28:$A$39,0),1),INDEX('Category Mapping'!$E$28:$E$39,MATCH($A745,'Category Mapping'!$A$28:$A$39,0),1))</f>
        <v>10092750467.142857</v>
      </c>
      <c r="R745" s="27">
        <f>R165*IF($E745="weekday",INDEX('Category Mapping'!$F$28:$F$39,MATCH('Summarized Source Data'!$A745,'Category Mapping'!$A$28:$A$39,0),1),INDEX('Category Mapping'!$E$28:$E$39,MATCH($A745,'Category Mapping'!$A$28:$A$39,0),1))</f>
        <v>347642857.14285713</v>
      </c>
      <c r="S745" s="27">
        <f>S165*IF($E745="weekday",INDEX('Category Mapping'!$F$28:$F$39,MATCH('Summarized Source Data'!$A745,'Category Mapping'!$A$28:$A$39,0),1),INDEX('Category Mapping'!$E$28:$E$39,MATCH($A745,'Category Mapping'!$A$28:$A$39,0),1))</f>
        <v>347642857.14285713</v>
      </c>
      <c r="T745" s="27">
        <f>T165*IF($E745="weekday",INDEX('Category Mapping'!$F$28:$F$39,MATCH('Summarized Source Data'!$A745,'Category Mapping'!$A$28:$A$39,0),1),INDEX('Category Mapping'!$E$28:$E$39,MATCH($A745,'Category Mapping'!$A$28:$A$39,0),1))</f>
        <v>347642857.14285713</v>
      </c>
      <c r="U745" s="27">
        <f>U165*IF($E745="weekday",INDEX('Category Mapping'!$F$28:$F$39,MATCH('Summarized Source Data'!$A745,'Category Mapping'!$A$28:$A$39,0),1),INDEX('Category Mapping'!$E$28:$E$39,MATCH($A745,'Category Mapping'!$A$28:$A$39,0),1))</f>
        <v>347642857.14285713</v>
      </c>
      <c r="V745" s="27">
        <f>V165*IF($E745="weekday",INDEX('Category Mapping'!$F$28:$F$39,MATCH('Summarized Source Data'!$A745,'Category Mapping'!$A$28:$A$39,0),1),INDEX('Category Mapping'!$E$28:$E$39,MATCH($A745,'Category Mapping'!$A$28:$A$39,0),1))</f>
        <v>347642857.14285713</v>
      </c>
      <c r="W745" s="27">
        <f>W165*IF($E745="weekday",INDEX('Category Mapping'!$F$28:$F$39,MATCH('Summarized Source Data'!$A745,'Category Mapping'!$A$28:$A$39,0),1),INDEX('Category Mapping'!$E$28:$E$39,MATCH($A745,'Category Mapping'!$A$28:$A$39,0),1))</f>
        <v>347642857.14285713</v>
      </c>
      <c r="X745" s="27">
        <f>X165*IF($E745="weekday",INDEX('Category Mapping'!$F$28:$F$39,MATCH('Summarized Source Data'!$A745,'Category Mapping'!$A$28:$A$39,0),1),INDEX('Category Mapping'!$E$28:$E$39,MATCH($A745,'Category Mapping'!$A$28:$A$39,0),1))</f>
        <v>14260000000</v>
      </c>
      <c r="Y745" s="27">
        <f>Y165*IF($E745="weekday",INDEX('Category Mapping'!$F$28:$F$39,MATCH('Summarized Source Data'!$A745,'Category Mapping'!$A$28:$A$39,0),1),INDEX('Category Mapping'!$E$28:$E$39,MATCH($A745,'Category Mapping'!$A$28:$A$39,0),1))</f>
        <v>14260000000</v>
      </c>
      <c r="Z745" s="27">
        <f>Z165*IF($E745="weekday",INDEX('Category Mapping'!$F$28:$F$39,MATCH('Summarized Source Data'!$A745,'Category Mapping'!$A$28:$A$39,0),1),INDEX('Category Mapping'!$E$28:$E$39,MATCH($A745,'Category Mapping'!$A$28:$A$39,0),1))</f>
        <v>14260000000</v>
      </c>
    </row>
    <row r="746" spans="1:26" x14ac:dyDescent="0.3">
      <c r="A746">
        <f t="shared" ref="A746:E746" si="211">A166</f>
        <v>7</v>
      </c>
      <c r="B746" t="str">
        <f t="shared" si="211"/>
        <v>Summer</v>
      </c>
      <c r="C746" t="str">
        <f t="shared" si="211"/>
        <v>h19</v>
      </c>
      <c r="D746" t="str">
        <f t="shared" si="211"/>
        <v>Hour18</v>
      </c>
      <c r="E746" t="str">
        <f t="shared" si="211"/>
        <v>Weekday</v>
      </c>
      <c r="F746" s="27">
        <f>F166*IF($E746="weekday",INDEX('Category Mapping'!$F$28:$F$39,MATCH('Summarized Source Data'!$A746,'Category Mapping'!$A$28:$A$39,0),1),INDEX('Category Mapping'!$E$28:$E$39,MATCH($A746,'Category Mapping'!$A$28:$A$39,0),1))</f>
        <v>1820430.7142857143</v>
      </c>
      <c r="G746" s="27">
        <f>G166*IF($E746="weekday",INDEX('Category Mapping'!$F$28:$F$39,MATCH('Summarized Source Data'!$A746,'Category Mapping'!$A$28:$A$39,0),1),INDEX('Category Mapping'!$E$28:$E$39,MATCH($A746,'Category Mapping'!$A$28:$A$39,0),1))</f>
        <v>1992857142.8571429</v>
      </c>
      <c r="H746" s="27">
        <f>H166*IF($E746="weekday",INDEX('Category Mapping'!$F$28:$F$39,MATCH('Summarized Source Data'!$A746,'Category Mapping'!$A$28:$A$39,0),1),INDEX('Category Mapping'!$E$28:$E$39,MATCH($A746,'Category Mapping'!$A$28:$A$39,0),1))</f>
        <v>0</v>
      </c>
      <c r="I746" s="27">
        <f>I166*IF($E746="weekday",INDEX('Category Mapping'!$F$28:$F$39,MATCH('Summarized Source Data'!$A746,'Category Mapping'!$A$28:$A$39,0),1),INDEX('Category Mapping'!$E$28:$E$39,MATCH($A746,'Category Mapping'!$A$28:$A$39,0),1))</f>
        <v>810428571.42857146</v>
      </c>
      <c r="J746" s="27">
        <f>J166*IF($E746="weekday",INDEX('Category Mapping'!$F$28:$F$39,MATCH('Summarized Source Data'!$A746,'Category Mapping'!$A$28:$A$39,0),1),INDEX('Category Mapping'!$E$28:$E$39,MATCH($A746,'Category Mapping'!$A$28:$A$39,0),1))</f>
        <v>3505608140.7142859</v>
      </c>
      <c r="K746" s="27">
        <f>K166*IF($E746="weekday",INDEX('Category Mapping'!$F$28:$F$39,MATCH('Summarized Source Data'!$A746,'Category Mapping'!$A$28:$A$39,0),1),INDEX('Category Mapping'!$E$28:$E$39,MATCH($A746,'Category Mapping'!$A$28:$A$39,0),1))</f>
        <v>3505608140.7142859</v>
      </c>
      <c r="L746" s="27">
        <f>L166*IF($E746="weekday",INDEX('Category Mapping'!$F$28:$F$39,MATCH('Summarized Source Data'!$A746,'Category Mapping'!$A$28:$A$39,0),1),INDEX('Category Mapping'!$E$28:$E$39,MATCH($A746,'Category Mapping'!$A$28:$A$39,0),1))</f>
        <v>4392390</v>
      </c>
      <c r="M746" s="27">
        <f>M166*IF($E746="weekday",INDEX('Category Mapping'!$F$28:$F$39,MATCH('Summarized Source Data'!$A746,'Category Mapping'!$A$28:$A$39,0),1),INDEX('Category Mapping'!$E$28:$E$39,MATCH($A746,'Category Mapping'!$A$28:$A$39,0),1))</f>
        <v>8857142857.1428566</v>
      </c>
      <c r="N746" s="27">
        <f>N166*IF($E746="weekday",INDEX('Category Mapping'!$F$28:$F$39,MATCH('Summarized Source Data'!$A746,'Category Mapping'!$A$28:$A$39,0),1),INDEX('Category Mapping'!$E$28:$E$39,MATCH($A746,'Category Mapping'!$A$28:$A$39,0),1))</f>
        <v>0</v>
      </c>
      <c r="O746" s="27">
        <f>O166*IF($E746="weekday",INDEX('Category Mapping'!$F$28:$F$39,MATCH('Summarized Source Data'!$A746,'Category Mapping'!$A$28:$A$39,0),1),INDEX('Category Mapping'!$E$28:$E$39,MATCH($A746,'Category Mapping'!$A$28:$A$39,0),1))</f>
        <v>9605607610</v>
      </c>
      <c r="P746" s="27">
        <f>P166*IF($E746="weekday",INDEX('Category Mapping'!$F$28:$F$39,MATCH('Summarized Source Data'!$A746,'Category Mapping'!$A$28:$A$39,0),1),INDEX('Category Mapping'!$E$28:$E$39,MATCH($A746,'Category Mapping'!$A$28:$A$39,0),1))</f>
        <v>9605607610</v>
      </c>
      <c r="Q746" s="27">
        <f>Q166*IF($E746="weekday",INDEX('Category Mapping'!$F$28:$F$39,MATCH('Summarized Source Data'!$A746,'Category Mapping'!$A$28:$A$39,0),1),INDEX('Category Mapping'!$E$28:$E$39,MATCH($A746,'Category Mapping'!$A$28:$A$39,0),1))</f>
        <v>9605607610</v>
      </c>
      <c r="R746" s="27">
        <f>R166*IF($E746="weekday",INDEX('Category Mapping'!$F$28:$F$39,MATCH('Summarized Source Data'!$A746,'Category Mapping'!$A$28:$A$39,0),1),INDEX('Category Mapping'!$E$28:$E$39,MATCH($A746,'Category Mapping'!$A$28:$A$39,0),1))</f>
        <v>321071428.57142854</v>
      </c>
      <c r="S746" s="27">
        <f>S166*IF($E746="weekday",INDEX('Category Mapping'!$F$28:$F$39,MATCH('Summarized Source Data'!$A746,'Category Mapping'!$A$28:$A$39,0),1),INDEX('Category Mapping'!$E$28:$E$39,MATCH($A746,'Category Mapping'!$A$28:$A$39,0),1))</f>
        <v>321071428.57142854</v>
      </c>
      <c r="T746" s="27">
        <f>T166*IF($E746="weekday",INDEX('Category Mapping'!$F$28:$F$39,MATCH('Summarized Source Data'!$A746,'Category Mapping'!$A$28:$A$39,0),1),INDEX('Category Mapping'!$E$28:$E$39,MATCH($A746,'Category Mapping'!$A$28:$A$39,0),1))</f>
        <v>321071428.57142854</v>
      </c>
      <c r="U746" s="27">
        <f>U166*IF($E746="weekday",INDEX('Category Mapping'!$F$28:$F$39,MATCH('Summarized Source Data'!$A746,'Category Mapping'!$A$28:$A$39,0),1),INDEX('Category Mapping'!$E$28:$E$39,MATCH($A746,'Category Mapping'!$A$28:$A$39,0),1))</f>
        <v>321071428.57142854</v>
      </c>
      <c r="V746" s="27">
        <f>V166*IF($E746="weekday",INDEX('Category Mapping'!$F$28:$F$39,MATCH('Summarized Source Data'!$A746,'Category Mapping'!$A$28:$A$39,0),1),INDEX('Category Mapping'!$E$28:$E$39,MATCH($A746,'Category Mapping'!$A$28:$A$39,0),1))</f>
        <v>321071428.57142854</v>
      </c>
      <c r="W746" s="27">
        <f>W166*IF($E746="weekday",INDEX('Category Mapping'!$F$28:$F$39,MATCH('Summarized Source Data'!$A746,'Category Mapping'!$A$28:$A$39,0),1),INDEX('Category Mapping'!$E$28:$E$39,MATCH($A746,'Category Mapping'!$A$28:$A$39,0),1))</f>
        <v>321071428.57142854</v>
      </c>
      <c r="X746" s="27">
        <f>X166*IF($E746="weekday",INDEX('Category Mapping'!$F$28:$F$39,MATCH('Summarized Source Data'!$A746,'Category Mapping'!$A$28:$A$39,0),1),INDEX('Category Mapping'!$E$28:$E$39,MATCH($A746,'Category Mapping'!$A$28:$A$39,0),1))</f>
        <v>14193571428.571428</v>
      </c>
      <c r="Y746" s="27">
        <f>Y166*IF($E746="weekday",INDEX('Category Mapping'!$F$28:$F$39,MATCH('Summarized Source Data'!$A746,'Category Mapping'!$A$28:$A$39,0),1),INDEX('Category Mapping'!$E$28:$E$39,MATCH($A746,'Category Mapping'!$A$28:$A$39,0),1))</f>
        <v>14193571428.571428</v>
      </c>
      <c r="Z746" s="27">
        <f>Z166*IF($E746="weekday",INDEX('Category Mapping'!$F$28:$F$39,MATCH('Summarized Source Data'!$A746,'Category Mapping'!$A$28:$A$39,0),1),INDEX('Category Mapping'!$E$28:$E$39,MATCH($A746,'Category Mapping'!$A$28:$A$39,0),1))</f>
        <v>14193571428.571428</v>
      </c>
    </row>
    <row r="747" spans="1:26" x14ac:dyDescent="0.3">
      <c r="A747">
        <f t="shared" ref="A747:E747" si="212">A167</f>
        <v>7</v>
      </c>
      <c r="B747" t="str">
        <f t="shared" si="212"/>
        <v>Summer</v>
      </c>
      <c r="C747" t="str">
        <f t="shared" si="212"/>
        <v>h20</v>
      </c>
      <c r="D747" t="str">
        <f t="shared" si="212"/>
        <v>Hour19</v>
      </c>
      <c r="E747" t="str">
        <f t="shared" si="212"/>
        <v>Weekday</v>
      </c>
      <c r="F747" s="27">
        <f>F167*IF($E747="weekday",INDEX('Category Mapping'!$F$28:$F$39,MATCH('Summarized Source Data'!$A747,'Category Mapping'!$A$28:$A$39,0),1),INDEX('Category Mapping'!$E$28:$E$39,MATCH($A747,'Category Mapping'!$A$28:$A$39,0),1))</f>
        <v>1910884.2857142857</v>
      </c>
      <c r="G747" s="27">
        <f>G167*IF($E747="weekday",INDEX('Category Mapping'!$F$28:$F$39,MATCH('Summarized Source Data'!$A747,'Category Mapping'!$A$28:$A$39,0),1),INDEX('Category Mapping'!$E$28:$E$39,MATCH($A747,'Category Mapping'!$A$28:$A$39,0),1))</f>
        <v>1970714285.7142856</v>
      </c>
      <c r="H747" s="27">
        <f>H167*IF($E747="weekday",INDEX('Category Mapping'!$F$28:$F$39,MATCH('Summarized Source Data'!$A747,'Category Mapping'!$A$28:$A$39,0),1),INDEX('Category Mapping'!$E$28:$E$39,MATCH($A747,'Category Mapping'!$A$28:$A$39,0),1))</f>
        <v>0</v>
      </c>
      <c r="I747" s="27">
        <f>I167*IF($E747="weekday",INDEX('Category Mapping'!$F$28:$F$39,MATCH('Summarized Source Data'!$A747,'Category Mapping'!$A$28:$A$39,0),1),INDEX('Category Mapping'!$E$28:$E$39,MATCH($A747,'Category Mapping'!$A$28:$A$39,0),1))</f>
        <v>1215642857.1428571</v>
      </c>
      <c r="J747" s="27">
        <f>J167*IF($E747="weekday",INDEX('Category Mapping'!$F$28:$F$39,MATCH('Summarized Source Data'!$A747,'Category Mapping'!$A$28:$A$39,0),1),INDEX('Category Mapping'!$E$28:$E$39,MATCH($A747,'Category Mapping'!$A$28:$A$39,0),1))</f>
        <v>3343874830</v>
      </c>
      <c r="K747" s="27">
        <f>K167*IF($E747="weekday",INDEX('Category Mapping'!$F$28:$F$39,MATCH('Summarized Source Data'!$A747,'Category Mapping'!$A$28:$A$39,0),1),INDEX('Category Mapping'!$E$28:$E$39,MATCH($A747,'Category Mapping'!$A$28:$A$39,0),1))</f>
        <v>3343874830</v>
      </c>
      <c r="L747" s="27">
        <f>L167*IF($E747="weekday",INDEX('Category Mapping'!$F$28:$F$39,MATCH('Summarized Source Data'!$A747,'Category Mapping'!$A$28:$A$39,0),1),INDEX('Category Mapping'!$E$28:$E$39,MATCH($A747,'Category Mapping'!$A$28:$A$39,0),1))</f>
        <v>4392390</v>
      </c>
      <c r="M747" s="27">
        <f>M167*IF($E747="weekday",INDEX('Category Mapping'!$F$28:$F$39,MATCH('Summarized Source Data'!$A747,'Category Mapping'!$A$28:$A$39,0),1),INDEX('Category Mapping'!$E$28:$E$39,MATCH($A747,'Category Mapping'!$A$28:$A$39,0),1))</f>
        <v>8148571428.5714283</v>
      </c>
      <c r="N747" s="27">
        <f>N167*IF($E747="weekday",INDEX('Category Mapping'!$F$28:$F$39,MATCH('Summarized Source Data'!$A747,'Category Mapping'!$A$28:$A$39,0),1),INDEX('Category Mapping'!$E$28:$E$39,MATCH($A747,'Category Mapping'!$A$28:$A$39,0),1))</f>
        <v>0</v>
      </c>
      <c r="O747" s="27">
        <f>O167*IF($E747="weekday",INDEX('Category Mapping'!$F$28:$F$39,MATCH('Summarized Source Data'!$A747,'Category Mapping'!$A$28:$A$39,0),1),INDEX('Category Mapping'!$E$28:$E$39,MATCH($A747,'Category Mapping'!$A$28:$A$39,0),1))</f>
        <v>8033464752.8571424</v>
      </c>
      <c r="P747" s="27">
        <f>P167*IF($E747="weekday",INDEX('Category Mapping'!$F$28:$F$39,MATCH('Summarized Source Data'!$A747,'Category Mapping'!$A$28:$A$39,0),1),INDEX('Category Mapping'!$E$28:$E$39,MATCH($A747,'Category Mapping'!$A$28:$A$39,0),1))</f>
        <v>8033464752.8571424</v>
      </c>
      <c r="Q747" s="27">
        <f>Q167*IF($E747="weekday",INDEX('Category Mapping'!$F$28:$F$39,MATCH('Summarized Source Data'!$A747,'Category Mapping'!$A$28:$A$39,0),1),INDEX('Category Mapping'!$E$28:$E$39,MATCH($A747,'Category Mapping'!$A$28:$A$39,0),1))</f>
        <v>8033464752.8571424</v>
      </c>
      <c r="R747" s="27">
        <f>R167*IF($E747="weekday",INDEX('Category Mapping'!$F$28:$F$39,MATCH('Summarized Source Data'!$A747,'Category Mapping'!$A$28:$A$39,0),1),INDEX('Category Mapping'!$E$28:$E$39,MATCH($A747,'Category Mapping'!$A$28:$A$39,0),1))</f>
        <v>261285714.28571427</v>
      </c>
      <c r="S747" s="27">
        <f>S167*IF($E747="weekday",INDEX('Category Mapping'!$F$28:$F$39,MATCH('Summarized Source Data'!$A747,'Category Mapping'!$A$28:$A$39,0),1),INDEX('Category Mapping'!$E$28:$E$39,MATCH($A747,'Category Mapping'!$A$28:$A$39,0),1))</f>
        <v>261285714.28571427</v>
      </c>
      <c r="T747" s="27">
        <f>T167*IF($E747="weekday",INDEX('Category Mapping'!$F$28:$F$39,MATCH('Summarized Source Data'!$A747,'Category Mapping'!$A$28:$A$39,0),1),INDEX('Category Mapping'!$E$28:$E$39,MATCH($A747,'Category Mapping'!$A$28:$A$39,0),1))</f>
        <v>261285714.28571427</v>
      </c>
      <c r="U747" s="27">
        <f>U167*IF($E747="weekday",INDEX('Category Mapping'!$F$28:$F$39,MATCH('Summarized Source Data'!$A747,'Category Mapping'!$A$28:$A$39,0),1),INDEX('Category Mapping'!$E$28:$E$39,MATCH($A747,'Category Mapping'!$A$28:$A$39,0),1))</f>
        <v>261285714.28571427</v>
      </c>
      <c r="V747" s="27">
        <f>V167*IF($E747="weekday",INDEX('Category Mapping'!$F$28:$F$39,MATCH('Summarized Source Data'!$A747,'Category Mapping'!$A$28:$A$39,0),1),INDEX('Category Mapping'!$E$28:$E$39,MATCH($A747,'Category Mapping'!$A$28:$A$39,0),1))</f>
        <v>261285714.28571427</v>
      </c>
      <c r="W747" s="27">
        <f>W167*IF($E747="weekday",INDEX('Category Mapping'!$F$28:$F$39,MATCH('Summarized Source Data'!$A747,'Category Mapping'!$A$28:$A$39,0),1),INDEX('Category Mapping'!$E$28:$E$39,MATCH($A747,'Category Mapping'!$A$28:$A$39,0),1))</f>
        <v>261285714.28571427</v>
      </c>
      <c r="X747" s="27">
        <f>X167*IF($E747="weekday",INDEX('Category Mapping'!$F$28:$F$39,MATCH('Summarized Source Data'!$A747,'Category Mapping'!$A$28:$A$39,0),1),INDEX('Category Mapping'!$E$28:$E$39,MATCH($A747,'Category Mapping'!$A$28:$A$39,0),1))</f>
        <v>14105000000</v>
      </c>
      <c r="Y747" s="27">
        <f>Y167*IF($E747="weekday",INDEX('Category Mapping'!$F$28:$F$39,MATCH('Summarized Source Data'!$A747,'Category Mapping'!$A$28:$A$39,0),1),INDEX('Category Mapping'!$E$28:$E$39,MATCH($A747,'Category Mapping'!$A$28:$A$39,0),1))</f>
        <v>14105000000</v>
      </c>
      <c r="Z747" s="27">
        <f>Z167*IF($E747="weekday",INDEX('Category Mapping'!$F$28:$F$39,MATCH('Summarized Source Data'!$A747,'Category Mapping'!$A$28:$A$39,0),1),INDEX('Category Mapping'!$E$28:$E$39,MATCH($A747,'Category Mapping'!$A$28:$A$39,0),1))</f>
        <v>14105000000</v>
      </c>
    </row>
    <row r="748" spans="1:26" x14ac:dyDescent="0.3">
      <c r="A748">
        <f t="shared" ref="A748:E748" si="213">A168</f>
        <v>7</v>
      </c>
      <c r="B748" t="str">
        <f t="shared" si="213"/>
        <v>Summer</v>
      </c>
      <c r="C748" t="str">
        <f t="shared" si="213"/>
        <v>h21</v>
      </c>
      <c r="D748" t="str">
        <f t="shared" si="213"/>
        <v>Hour20</v>
      </c>
      <c r="E748" t="str">
        <f t="shared" si="213"/>
        <v>Weekday</v>
      </c>
      <c r="F748" s="27">
        <f>F168*IF($E748="weekday",INDEX('Category Mapping'!$F$28:$F$39,MATCH('Summarized Source Data'!$A748,'Category Mapping'!$A$28:$A$39,0),1),INDEX('Category Mapping'!$E$28:$E$39,MATCH($A748,'Category Mapping'!$A$28:$A$39,0),1))</f>
        <v>1930923.5714285714</v>
      </c>
      <c r="G748" s="27">
        <f>G168*IF($E748="weekday",INDEX('Category Mapping'!$F$28:$F$39,MATCH('Summarized Source Data'!$A748,'Category Mapping'!$A$28:$A$39,0),1),INDEX('Category Mapping'!$E$28:$E$39,MATCH($A748,'Category Mapping'!$A$28:$A$39,0),1))</f>
        <v>1871071428.5714285</v>
      </c>
      <c r="H748" s="27">
        <f>H168*IF($E748="weekday",INDEX('Category Mapping'!$F$28:$F$39,MATCH('Summarized Source Data'!$A748,'Category Mapping'!$A$28:$A$39,0),1),INDEX('Category Mapping'!$E$28:$E$39,MATCH($A748,'Category Mapping'!$A$28:$A$39,0),1))</f>
        <v>0</v>
      </c>
      <c r="I748" s="27">
        <f>I168*IF($E748="weekday",INDEX('Category Mapping'!$F$28:$F$39,MATCH('Summarized Source Data'!$A748,'Category Mapping'!$A$28:$A$39,0),1),INDEX('Category Mapping'!$E$28:$E$39,MATCH($A748,'Category Mapping'!$A$28:$A$39,0),1))</f>
        <v>1235571428.5714285</v>
      </c>
      <c r="J748" s="27">
        <f>J168*IF($E748="weekday",INDEX('Category Mapping'!$F$28:$F$39,MATCH('Summarized Source Data'!$A748,'Category Mapping'!$A$28:$A$39,0),1),INDEX('Category Mapping'!$E$28:$E$39,MATCH($A748,'Category Mapping'!$A$28:$A$39,0),1))</f>
        <v>3268569076.4285712</v>
      </c>
      <c r="K748" s="27">
        <f>K168*IF($E748="weekday",INDEX('Category Mapping'!$F$28:$F$39,MATCH('Summarized Source Data'!$A748,'Category Mapping'!$A$28:$A$39,0),1),INDEX('Category Mapping'!$E$28:$E$39,MATCH($A748,'Category Mapping'!$A$28:$A$39,0),1))</f>
        <v>3268569076.4285712</v>
      </c>
      <c r="L748" s="27">
        <f>L168*IF($E748="weekday",INDEX('Category Mapping'!$F$28:$F$39,MATCH('Summarized Source Data'!$A748,'Category Mapping'!$A$28:$A$39,0),1),INDEX('Category Mapping'!$E$28:$E$39,MATCH($A748,'Category Mapping'!$A$28:$A$39,0),1))</f>
        <v>4392390</v>
      </c>
      <c r="M748" s="27">
        <f>M168*IF($E748="weekday",INDEX('Category Mapping'!$F$28:$F$39,MATCH('Summarized Source Data'!$A748,'Category Mapping'!$A$28:$A$39,0),1),INDEX('Category Mapping'!$E$28:$E$39,MATCH($A748,'Category Mapping'!$A$28:$A$39,0),1))</f>
        <v>7484285714.2857141</v>
      </c>
      <c r="N748" s="27">
        <f>N168*IF($E748="weekday",INDEX('Category Mapping'!$F$28:$F$39,MATCH('Summarized Source Data'!$A748,'Category Mapping'!$A$28:$A$39,0),1),INDEX('Category Mapping'!$E$28:$E$39,MATCH($A748,'Category Mapping'!$A$28:$A$39,0),1))</f>
        <v>0</v>
      </c>
      <c r="O748" s="27">
        <f>O168*IF($E748="weekday",INDEX('Category Mapping'!$F$28:$F$39,MATCH('Summarized Source Data'!$A748,'Category Mapping'!$A$28:$A$39,0),1),INDEX('Category Mapping'!$E$28:$E$39,MATCH($A748,'Category Mapping'!$A$28:$A$39,0),1))</f>
        <v>6660607610</v>
      </c>
      <c r="P748" s="27">
        <f>P168*IF($E748="weekday",INDEX('Category Mapping'!$F$28:$F$39,MATCH('Summarized Source Data'!$A748,'Category Mapping'!$A$28:$A$39,0),1),INDEX('Category Mapping'!$E$28:$E$39,MATCH($A748,'Category Mapping'!$A$28:$A$39,0),1))</f>
        <v>6660607610</v>
      </c>
      <c r="Q748" s="27">
        <f>Q168*IF($E748="weekday",INDEX('Category Mapping'!$F$28:$F$39,MATCH('Summarized Source Data'!$A748,'Category Mapping'!$A$28:$A$39,0),1),INDEX('Category Mapping'!$E$28:$E$39,MATCH($A748,'Category Mapping'!$A$28:$A$39,0),1))</f>
        <v>6660607610</v>
      </c>
      <c r="R748" s="27">
        <f>R168*IF($E748="weekday",INDEX('Category Mapping'!$F$28:$F$39,MATCH('Summarized Source Data'!$A748,'Category Mapping'!$A$28:$A$39,0),1),INDEX('Category Mapping'!$E$28:$E$39,MATCH($A748,'Category Mapping'!$A$28:$A$39,0),1))</f>
        <v>236928571.42857143</v>
      </c>
      <c r="S748" s="27">
        <f>S168*IF($E748="weekday",INDEX('Category Mapping'!$F$28:$F$39,MATCH('Summarized Source Data'!$A748,'Category Mapping'!$A$28:$A$39,0),1),INDEX('Category Mapping'!$E$28:$E$39,MATCH($A748,'Category Mapping'!$A$28:$A$39,0),1))</f>
        <v>236928571.42857143</v>
      </c>
      <c r="T748" s="27">
        <f>T168*IF($E748="weekday",INDEX('Category Mapping'!$F$28:$F$39,MATCH('Summarized Source Data'!$A748,'Category Mapping'!$A$28:$A$39,0),1),INDEX('Category Mapping'!$E$28:$E$39,MATCH($A748,'Category Mapping'!$A$28:$A$39,0),1))</f>
        <v>236928571.42857143</v>
      </c>
      <c r="U748" s="27">
        <f>U168*IF($E748="weekday",INDEX('Category Mapping'!$F$28:$F$39,MATCH('Summarized Source Data'!$A748,'Category Mapping'!$A$28:$A$39,0),1),INDEX('Category Mapping'!$E$28:$E$39,MATCH($A748,'Category Mapping'!$A$28:$A$39,0),1))</f>
        <v>236928571.42857143</v>
      </c>
      <c r="V748" s="27">
        <f>V168*IF($E748="weekday",INDEX('Category Mapping'!$F$28:$F$39,MATCH('Summarized Source Data'!$A748,'Category Mapping'!$A$28:$A$39,0),1),INDEX('Category Mapping'!$E$28:$E$39,MATCH($A748,'Category Mapping'!$A$28:$A$39,0),1))</f>
        <v>236928571.42857143</v>
      </c>
      <c r="W748" s="27">
        <f>W168*IF($E748="weekday",INDEX('Category Mapping'!$F$28:$F$39,MATCH('Summarized Source Data'!$A748,'Category Mapping'!$A$28:$A$39,0),1),INDEX('Category Mapping'!$E$28:$E$39,MATCH($A748,'Category Mapping'!$A$28:$A$39,0),1))</f>
        <v>236928571.42857143</v>
      </c>
      <c r="X748" s="27">
        <f>X168*IF($E748="weekday",INDEX('Category Mapping'!$F$28:$F$39,MATCH('Summarized Source Data'!$A748,'Category Mapping'!$A$28:$A$39,0),1),INDEX('Category Mapping'!$E$28:$E$39,MATCH($A748,'Category Mapping'!$A$28:$A$39,0),1))</f>
        <v>14016428571.428572</v>
      </c>
      <c r="Y748" s="27">
        <f>Y168*IF($E748="weekday",INDEX('Category Mapping'!$F$28:$F$39,MATCH('Summarized Source Data'!$A748,'Category Mapping'!$A$28:$A$39,0),1),INDEX('Category Mapping'!$E$28:$E$39,MATCH($A748,'Category Mapping'!$A$28:$A$39,0),1))</f>
        <v>14016428571.428572</v>
      </c>
      <c r="Z748" s="27">
        <f>Z168*IF($E748="weekday",INDEX('Category Mapping'!$F$28:$F$39,MATCH('Summarized Source Data'!$A748,'Category Mapping'!$A$28:$A$39,0),1),INDEX('Category Mapping'!$E$28:$E$39,MATCH($A748,'Category Mapping'!$A$28:$A$39,0),1))</f>
        <v>14016428571.428572</v>
      </c>
    </row>
    <row r="749" spans="1:26" x14ac:dyDescent="0.3">
      <c r="A749">
        <f t="shared" ref="A749:E749" si="214">A169</f>
        <v>7</v>
      </c>
      <c r="B749" t="str">
        <f t="shared" si="214"/>
        <v>Summer</v>
      </c>
      <c r="C749" t="str">
        <f t="shared" si="214"/>
        <v>h22</v>
      </c>
      <c r="D749" t="str">
        <f t="shared" si="214"/>
        <v>Hour21</v>
      </c>
      <c r="E749" t="str">
        <f t="shared" si="214"/>
        <v>Weekday</v>
      </c>
      <c r="F749" s="27">
        <f>F169*IF($E749="weekday",INDEX('Category Mapping'!$F$28:$F$39,MATCH('Summarized Source Data'!$A749,'Category Mapping'!$A$28:$A$39,0),1),INDEX('Category Mapping'!$E$28:$E$39,MATCH($A749,'Category Mapping'!$A$28:$A$39,0),1))</f>
        <v>1696320</v>
      </c>
      <c r="G749" s="27">
        <f>G169*IF($E749="weekday",INDEX('Category Mapping'!$F$28:$F$39,MATCH('Summarized Source Data'!$A749,'Category Mapping'!$A$28:$A$39,0),1),INDEX('Category Mapping'!$E$28:$E$39,MATCH($A749,'Category Mapping'!$A$28:$A$39,0),1))</f>
        <v>1716071428.5714285</v>
      </c>
      <c r="H749" s="27">
        <f>H169*IF($E749="weekday",INDEX('Category Mapping'!$F$28:$F$39,MATCH('Summarized Source Data'!$A749,'Category Mapping'!$A$28:$A$39,0),1),INDEX('Category Mapping'!$E$28:$E$39,MATCH($A749,'Category Mapping'!$A$28:$A$39,0),1))</f>
        <v>0</v>
      </c>
      <c r="I749" s="27">
        <f>I169*IF($E749="weekday",INDEX('Category Mapping'!$F$28:$F$39,MATCH('Summarized Source Data'!$A749,'Category Mapping'!$A$28:$A$39,0),1),INDEX('Category Mapping'!$E$28:$E$39,MATCH($A749,'Category Mapping'!$A$28:$A$39,0),1))</f>
        <v>1009714285.7142857</v>
      </c>
      <c r="J749" s="27">
        <f>J169*IF($E749="weekday",INDEX('Category Mapping'!$F$28:$F$39,MATCH('Summarized Source Data'!$A749,'Category Mapping'!$A$28:$A$39,0),1),INDEX('Category Mapping'!$E$28:$E$39,MATCH($A749,'Category Mapping'!$A$28:$A$39,0),1))</f>
        <v>3228946537.1428571</v>
      </c>
      <c r="K749" s="27">
        <f>K169*IF($E749="weekday",INDEX('Category Mapping'!$F$28:$F$39,MATCH('Summarized Source Data'!$A749,'Category Mapping'!$A$28:$A$39,0),1),INDEX('Category Mapping'!$E$28:$E$39,MATCH($A749,'Category Mapping'!$A$28:$A$39,0),1))</f>
        <v>3228946537.1428571</v>
      </c>
      <c r="L749" s="27">
        <f>L169*IF($E749="weekday",INDEX('Category Mapping'!$F$28:$F$39,MATCH('Summarized Source Data'!$A749,'Category Mapping'!$A$28:$A$39,0),1),INDEX('Category Mapping'!$E$28:$E$39,MATCH($A749,'Category Mapping'!$A$28:$A$39,0),1))</f>
        <v>4392390</v>
      </c>
      <c r="M749" s="27">
        <f>M169*IF($E749="weekday",INDEX('Category Mapping'!$F$28:$F$39,MATCH('Summarized Source Data'!$A749,'Category Mapping'!$A$28:$A$39,0),1),INDEX('Category Mapping'!$E$28:$E$39,MATCH($A749,'Category Mapping'!$A$28:$A$39,0),1))</f>
        <v>6797857142.8571424</v>
      </c>
      <c r="N749" s="27">
        <f>N169*IF($E749="weekday",INDEX('Category Mapping'!$F$28:$F$39,MATCH('Summarized Source Data'!$A749,'Category Mapping'!$A$28:$A$39,0),1),INDEX('Category Mapping'!$E$28:$E$39,MATCH($A749,'Category Mapping'!$A$28:$A$39,0),1))</f>
        <v>0</v>
      </c>
      <c r="O749" s="27">
        <f>O169*IF($E749="weekday",INDEX('Category Mapping'!$F$28:$F$39,MATCH('Summarized Source Data'!$A749,'Category Mapping'!$A$28:$A$39,0),1),INDEX('Category Mapping'!$E$28:$E$39,MATCH($A749,'Category Mapping'!$A$28:$A$39,0),1))</f>
        <v>5398464752.8571424</v>
      </c>
      <c r="P749" s="27">
        <f>P169*IF($E749="weekday",INDEX('Category Mapping'!$F$28:$F$39,MATCH('Summarized Source Data'!$A749,'Category Mapping'!$A$28:$A$39,0),1),INDEX('Category Mapping'!$E$28:$E$39,MATCH($A749,'Category Mapping'!$A$28:$A$39,0),1))</f>
        <v>5398464752.8571424</v>
      </c>
      <c r="Q749" s="27">
        <f>Q169*IF($E749="weekday",INDEX('Category Mapping'!$F$28:$F$39,MATCH('Summarized Source Data'!$A749,'Category Mapping'!$A$28:$A$39,0),1),INDEX('Category Mapping'!$E$28:$E$39,MATCH($A749,'Category Mapping'!$A$28:$A$39,0),1))</f>
        <v>5398464752.8571424</v>
      </c>
      <c r="R749" s="27">
        <f>R169*IF($E749="weekday",INDEX('Category Mapping'!$F$28:$F$39,MATCH('Summarized Source Data'!$A749,'Category Mapping'!$A$28:$A$39,0),1),INDEX('Category Mapping'!$E$28:$E$39,MATCH($A749,'Category Mapping'!$A$28:$A$39,0),1))</f>
        <v>220663668.57142857</v>
      </c>
      <c r="S749" s="27">
        <f>S169*IF($E749="weekday",INDEX('Category Mapping'!$F$28:$F$39,MATCH('Summarized Source Data'!$A749,'Category Mapping'!$A$28:$A$39,0),1),INDEX('Category Mapping'!$E$28:$E$39,MATCH($A749,'Category Mapping'!$A$28:$A$39,0),1))</f>
        <v>220663668.57142857</v>
      </c>
      <c r="T749" s="27">
        <f>T169*IF($E749="weekday",INDEX('Category Mapping'!$F$28:$F$39,MATCH('Summarized Source Data'!$A749,'Category Mapping'!$A$28:$A$39,0),1),INDEX('Category Mapping'!$E$28:$E$39,MATCH($A749,'Category Mapping'!$A$28:$A$39,0),1))</f>
        <v>220663668.57142857</v>
      </c>
      <c r="U749" s="27">
        <f>U169*IF($E749="weekday",INDEX('Category Mapping'!$F$28:$F$39,MATCH('Summarized Source Data'!$A749,'Category Mapping'!$A$28:$A$39,0),1),INDEX('Category Mapping'!$E$28:$E$39,MATCH($A749,'Category Mapping'!$A$28:$A$39,0),1))</f>
        <v>220663668.57142857</v>
      </c>
      <c r="V749" s="27">
        <f>V169*IF($E749="weekday",INDEX('Category Mapping'!$F$28:$F$39,MATCH('Summarized Source Data'!$A749,'Category Mapping'!$A$28:$A$39,0),1),INDEX('Category Mapping'!$E$28:$E$39,MATCH($A749,'Category Mapping'!$A$28:$A$39,0),1))</f>
        <v>220663668.57142857</v>
      </c>
      <c r="W749" s="27">
        <f>W169*IF($E749="weekday",INDEX('Category Mapping'!$F$28:$F$39,MATCH('Summarized Source Data'!$A749,'Category Mapping'!$A$28:$A$39,0),1),INDEX('Category Mapping'!$E$28:$E$39,MATCH($A749,'Category Mapping'!$A$28:$A$39,0),1))</f>
        <v>220663668.57142857</v>
      </c>
      <c r="X749" s="27">
        <f>X169*IF($E749="weekday",INDEX('Category Mapping'!$F$28:$F$39,MATCH('Summarized Source Data'!$A749,'Category Mapping'!$A$28:$A$39,0),1),INDEX('Category Mapping'!$E$28:$E$39,MATCH($A749,'Category Mapping'!$A$28:$A$39,0),1))</f>
        <v>13883571428.571428</v>
      </c>
      <c r="Y749" s="27">
        <f>Y169*IF($E749="weekday",INDEX('Category Mapping'!$F$28:$F$39,MATCH('Summarized Source Data'!$A749,'Category Mapping'!$A$28:$A$39,0),1),INDEX('Category Mapping'!$E$28:$E$39,MATCH($A749,'Category Mapping'!$A$28:$A$39,0),1))</f>
        <v>13883571428.571428</v>
      </c>
      <c r="Z749" s="27">
        <f>Z169*IF($E749="weekday",INDEX('Category Mapping'!$F$28:$F$39,MATCH('Summarized Source Data'!$A749,'Category Mapping'!$A$28:$A$39,0),1),INDEX('Category Mapping'!$E$28:$E$39,MATCH($A749,'Category Mapping'!$A$28:$A$39,0),1))</f>
        <v>13883571428.571428</v>
      </c>
    </row>
    <row r="750" spans="1:26" x14ac:dyDescent="0.3">
      <c r="A750">
        <f t="shared" ref="A750:E750" si="215">A170</f>
        <v>7</v>
      </c>
      <c r="B750" t="str">
        <f t="shared" si="215"/>
        <v>Summer</v>
      </c>
      <c r="C750" t="str">
        <f t="shared" si="215"/>
        <v>h23</v>
      </c>
      <c r="D750" t="str">
        <f t="shared" si="215"/>
        <v>Hour22</v>
      </c>
      <c r="E750" t="str">
        <f t="shared" si="215"/>
        <v>Weekday</v>
      </c>
      <c r="F750" s="27">
        <f>F170*IF($E750="weekday",INDEX('Category Mapping'!$F$28:$F$39,MATCH('Summarized Source Data'!$A750,'Category Mapping'!$A$28:$A$39,0),1),INDEX('Category Mapping'!$E$28:$E$39,MATCH($A750,'Category Mapping'!$A$28:$A$39,0),1))</f>
        <v>1266615.7142857143</v>
      </c>
      <c r="G750" s="27">
        <f>G170*IF($E750="weekday",INDEX('Category Mapping'!$F$28:$F$39,MATCH('Summarized Source Data'!$A750,'Category Mapping'!$A$28:$A$39,0),1),INDEX('Category Mapping'!$E$28:$E$39,MATCH($A750,'Category Mapping'!$A$28:$A$39,0),1))</f>
        <v>1527857142.8571429</v>
      </c>
      <c r="H750" s="27">
        <f>H170*IF($E750="weekday",INDEX('Category Mapping'!$F$28:$F$39,MATCH('Summarized Source Data'!$A750,'Category Mapping'!$A$28:$A$39,0),1),INDEX('Category Mapping'!$E$28:$E$39,MATCH($A750,'Category Mapping'!$A$28:$A$39,0),1))</f>
        <v>0</v>
      </c>
      <c r="I750" s="27">
        <f>I170*IF($E750="weekday",INDEX('Category Mapping'!$F$28:$F$39,MATCH('Summarized Source Data'!$A750,'Category Mapping'!$A$28:$A$39,0),1),INDEX('Category Mapping'!$E$28:$E$39,MATCH($A750,'Category Mapping'!$A$28:$A$39,0),1))</f>
        <v>600071428.57142854</v>
      </c>
      <c r="J750" s="27">
        <f>J170*IF($E750="weekday",INDEX('Category Mapping'!$F$28:$F$39,MATCH('Summarized Source Data'!$A750,'Category Mapping'!$A$28:$A$39,0),1),INDEX('Category Mapping'!$E$28:$E$39,MATCH($A750,'Category Mapping'!$A$28:$A$39,0),1))</f>
        <v>2542947670</v>
      </c>
      <c r="K750" s="27">
        <f>K170*IF($E750="weekday",INDEX('Category Mapping'!$F$28:$F$39,MATCH('Summarized Source Data'!$A750,'Category Mapping'!$A$28:$A$39,0),1),INDEX('Category Mapping'!$E$28:$E$39,MATCH($A750,'Category Mapping'!$A$28:$A$39,0),1))</f>
        <v>2542947670</v>
      </c>
      <c r="L750" s="27">
        <f>L170*IF($E750="weekday",INDEX('Category Mapping'!$F$28:$F$39,MATCH('Summarized Source Data'!$A750,'Category Mapping'!$A$28:$A$39,0),1),INDEX('Category Mapping'!$E$28:$E$39,MATCH($A750,'Category Mapping'!$A$28:$A$39,0),1))</f>
        <v>4392390</v>
      </c>
      <c r="M750" s="27">
        <f>M170*IF($E750="weekday",INDEX('Category Mapping'!$F$28:$F$39,MATCH('Summarized Source Data'!$A750,'Category Mapping'!$A$28:$A$39,0),1),INDEX('Category Mapping'!$E$28:$E$39,MATCH($A750,'Category Mapping'!$A$28:$A$39,0),1))</f>
        <v>6111428571.4285717</v>
      </c>
      <c r="N750" s="27">
        <f>N170*IF($E750="weekday",INDEX('Category Mapping'!$F$28:$F$39,MATCH('Summarized Source Data'!$A750,'Category Mapping'!$A$28:$A$39,0),1),INDEX('Category Mapping'!$E$28:$E$39,MATCH($A750,'Category Mapping'!$A$28:$A$39,0),1))</f>
        <v>0</v>
      </c>
      <c r="O750" s="27">
        <f>O170*IF($E750="weekday",INDEX('Category Mapping'!$F$28:$F$39,MATCH('Summarized Source Data'!$A750,'Category Mapping'!$A$28:$A$39,0),1),INDEX('Category Mapping'!$E$28:$E$39,MATCH($A750,'Category Mapping'!$A$28:$A$39,0),1))</f>
        <v>4534893324.2857141</v>
      </c>
      <c r="P750" s="27">
        <f>P170*IF($E750="weekday",INDEX('Category Mapping'!$F$28:$F$39,MATCH('Summarized Source Data'!$A750,'Category Mapping'!$A$28:$A$39,0),1),INDEX('Category Mapping'!$E$28:$E$39,MATCH($A750,'Category Mapping'!$A$28:$A$39,0),1))</f>
        <v>4534893324.2857141</v>
      </c>
      <c r="Q750" s="27">
        <f>Q170*IF($E750="weekday",INDEX('Category Mapping'!$F$28:$F$39,MATCH('Summarized Source Data'!$A750,'Category Mapping'!$A$28:$A$39,0),1),INDEX('Category Mapping'!$E$28:$E$39,MATCH($A750,'Category Mapping'!$A$28:$A$39,0),1))</f>
        <v>4534893324.2857141</v>
      </c>
      <c r="R750" s="27">
        <f>R170*IF($E750="weekday",INDEX('Category Mapping'!$F$28:$F$39,MATCH('Summarized Source Data'!$A750,'Category Mapping'!$A$28:$A$39,0),1),INDEX('Category Mapping'!$E$28:$E$39,MATCH($A750,'Category Mapping'!$A$28:$A$39,0),1))</f>
        <v>206921590</v>
      </c>
      <c r="S750" s="27">
        <f>S170*IF($E750="weekday",INDEX('Category Mapping'!$F$28:$F$39,MATCH('Summarized Source Data'!$A750,'Category Mapping'!$A$28:$A$39,0),1),INDEX('Category Mapping'!$E$28:$E$39,MATCH($A750,'Category Mapping'!$A$28:$A$39,0),1))</f>
        <v>206921590</v>
      </c>
      <c r="T750" s="27">
        <f>T170*IF($E750="weekday",INDEX('Category Mapping'!$F$28:$F$39,MATCH('Summarized Source Data'!$A750,'Category Mapping'!$A$28:$A$39,0),1),INDEX('Category Mapping'!$E$28:$E$39,MATCH($A750,'Category Mapping'!$A$28:$A$39,0),1))</f>
        <v>206921590</v>
      </c>
      <c r="U750" s="27">
        <f>U170*IF($E750="weekday",INDEX('Category Mapping'!$F$28:$F$39,MATCH('Summarized Source Data'!$A750,'Category Mapping'!$A$28:$A$39,0),1),INDEX('Category Mapping'!$E$28:$E$39,MATCH($A750,'Category Mapping'!$A$28:$A$39,0),1))</f>
        <v>206921590</v>
      </c>
      <c r="V750" s="27">
        <f>V170*IF($E750="weekday",INDEX('Category Mapping'!$F$28:$F$39,MATCH('Summarized Source Data'!$A750,'Category Mapping'!$A$28:$A$39,0),1),INDEX('Category Mapping'!$E$28:$E$39,MATCH($A750,'Category Mapping'!$A$28:$A$39,0),1))</f>
        <v>206921590</v>
      </c>
      <c r="W750" s="27">
        <f>W170*IF($E750="weekday",INDEX('Category Mapping'!$F$28:$F$39,MATCH('Summarized Source Data'!$A750,'Category Mapping'!$A$28:$A$39,0),1),INDEX('Category Mapping'!$E$28:$E$39,MATCH($A750,'Category Mapping'!$A$28:$A$39,0),1))</f>
        <v>206921590</v>
      </c>
      <c r="X750" s="27">
        <f>X170*IF($E750="weekday",INDEX('Category Mapping'!$F$28:$F$39,MATCH('Summarized Source Data'!$A750,'Category Mapping'!$A$28:$A$39,0),1),INDEX('Category Mapping'!$E$28:$E$39,MATCH($A750,'Category Mapping'!$A$28:$A$39,0),1))</f>
        <v>13772857142.857143</v>
      </c>
      <c r="Y750" s="27">
        <f>Y170*IF($E750="weekday",INDEX('Category Mapping'!$F$28:$F$39,MATCH('Summarized Source Data'!$A750,'Category Mapping'!$A$28:$A$39,0),1),INDEX('Category Mapping'!$E$28:$E$39,MATCH($A750,'Category Mapping'!$A$28:$A$39,0),1))</f>
        <v>13772857142.857143</v>
      </c>
      <c r="Z750" s="27">
        <f>Z170*IF($E750="weekday",INDEX('Category Mapping'!$F$28:$F$39,MATCH('Summarized Source Data'!$A750,'Category Mapping'!$A$28:$A$39,0),1),INDEX('Category Mapping'!$E$28:$E$39,MATCH($A750,'Category Mapping'!$A$28:$A$39,0),1))</f>
        <v>13772857142.857143</v>
      </c>
    </row>
    <row r="751" spans="1:26" x14ac:dyDescent="0.3">
      <c r="A751">
        <f t="shared" ref="A751:E751" si="216">A171</f>
        <v>7</v>
      </c>
      <c r="B751" t="str">
        <f t="shared" si="216"/>
        <v>Summer</v>
      </c>
      <c r="C751" t="str">
        <f t="shared" si="216"/>
        <v>h24</v>
      </c>
      <c r="D751" t="str">
        <f t="shared" si="216"/>
        <v>Hour23</v>
      </c>
      <c r="E751" t="str">
        <f t="shared" si="216"/>
        <v>Weekday</v>
      </c>
      <c r="F751" s="27">
        <f>F171*IF($E751="weekday",INDEX('Category Mapping'!$F$28:$F$39,MATCH('Summarized Source Data'!$A751,'Category Mapping'!$A$28:$A$39,0),1),INDEX('Category Mapping'!$E$28:$E$39,MATCH($A751,'Category Mapping'!$A$28:$A$39,0),1))</f>
        <v>1132939.2857142857</v>
      </c>
      <c r="G751" s="27">
        <f>G171*IF($E751="weekday",INDEX('Category Mapping'!$F$28:$F$39,MATCH('Summarized Source Data'!$A751,'Category Mapping'!$A$28:$A$39,0),1),INDEX('Category Mapping'!$E$28:$E$39,MATCH($A751,'Category Mapping'!$A$28:$A$39,0),1))</f>
        <v>1339642857.1428571</v>
      </c>
      <c r="H751" s="27">
        <f>H171*IF($E751="weekday",INDEX('Category Mapping'!$F$28:$F$39,MATCH('Summarized Source Data'!$A751,'Category Mapping'!$A$28:$A$39,0),1),INDEX('Category Mapping'!$E$28:$E$39,MATCH($A751,'Category Mapping'!$A$28:$A$39,0),1))</f>
        <v>0</v>
      </c>
      <c r="I751" s="27">
        <f>I171*IF($E751="weekday",INDEX('Category Mapping'!$F$28:$F$39,MATCH('Summarized Source Data'!$A751,'Category Mapping'!$A$28:$A$39,0),1),INDEX('Category Mapping'!$E$28:$E$39,MATCH($A751,'Category Mapping'!$A$28:$A$39,0),1))</f>
        <v>316642857.14285713</v>
      </c>
      <c r="J751" s="27">
        <f>J171*IF($E751="weekday",INDEX('Category Mapping'!$F$28:$F$39,MATCH('Summarized Source Data'!$A751,'Category Mapping'!$A$28:$A$39,0),1),INDEX('Category Mapping'!$E$28:$E$39,MATCH($A751,'Category Mapping'!$A$28:$A$39,0),1))</f>
        <v>2040438489.2857141</v>
      </c>
      <c r="K751" s="27">
        <f>K171*IF($E751="weekday",INDEX('Category Mapping'!$F$28:$F$39,MATCH('Summarized Source Data'!$A751,'Category Mapping'!$A$28:$A$39,0),1),INDEX('Category Mapping'!$E$28:$E$39,MATCH($A751,'Category Mapping'!$A$28:$A$39,0),1))</f>
        <v>2040438489.2857141</v>
      </c>
      <c r="L751" s="27">
        <f>L171*IF($E751="weekday",INDEX('Category Mapping'!$F$28:$F$39,MATCH('Summarized Source Data'!$A751,'Category Mapping'!$A$28:$A$39,0),1),INDEX('Category Mapping'!$E$28:$E$39,MATCH($A751,'Category Mapping'!$A$28:$A$39,0),1))</f>
        <v>4392390</v>
      </c>
      <c r="M751" s="27">
        <f>M171*IF($E751="weekday",INDEX('Category Mapping'!$F$28:$F$39,MATCH('Summarized Source Data'!$A751,'Category Mapping'!$A$28:$A$39,0),1),INDEX('Category Mapping'!$E$28:$E$39,MATCH($A751,'Category Mapping'!$A$28:$A$39,0),1))</f>
        <v>5336428571.4285717</v>
      </c>
      <c r="N751" s="27">
        <f>N171*IF($E751="weekday",INDEX('Category Mapping'!$F$28:$F$39,MATCH('Summarized Source Data'!$A751,'Category Mapping'!$A$28:$A$39,0),1),INDEX('Category Mapping'!$E$28:$E$39,MATCH($A751,'Category Mapping'!$A$28:$A$39,0),1))</f>
        <v>0</v>
      </c>
      <c r="O751" s="27">
        <f>O171*IF($E751="weekday",INDEX('Category Mapping'!$F$28:$F$39,MATCH('Summarized Source Data'!$A751,'Category Mapping'!$A$28:$A$39,0),1),INDEX('Category Mapping'!$E$28:$E$39,MATCH($A751,'Category Mapping'!$A$28:$A$39,0),1))</f>
        <v>3981321895.7142859</v>
      </c>
      <c r="P751" s="27">
        <f>P171*IF($E751="weekday",INDEX('Category Mapping'!$F$28:$F$39,MATCH('Summarized Source Data'!$A751,'Category Mapping'!$A$28:$A$39,0),1),INDEX('Category Mapping'!$E$28:$E$39,MATCH($A751,'Category Mapping'!$A$28:$A$39,0),1))</f>
        <v>3981321895.7142859</v>
      </c>
      <c r="Q751" s="27">
        <f>Q171*IF($E751="weekday",INDEX('Category Mapping'!$F$28:$F$39,MATCH('Summarized Source Data'!$A751,'Category Mapping'!$A$28:$A$39,0),1),INDEX('Category Mapping'!$E$28:$E$39,MATCH($A751,'Category Mapping'!$A$28:$A$39,0),1))</f>
        <v>3981321895.7142859</v>
      </c>
      <c r="R751" s="27">
        <f>R171*IF($E751="weekday",INDEX('Category Mapping'!$F$28:$F$39,MATCH('Summarized Source Data'!$A751,'Category Mapping'!$A$28:$A$39,0),1),INDEX('Category Mapping'!$E$28:$E$39,MATCH($A751,'Category Mapping'!$A$28:$A$39,0),1))</f>
        <v>139356935</v>
      </c>
      <c r="S751" s="27">
        <f>S171*IF($E751="weekday",INDEX('Category Mapping'!$F$28:$F$39,MATCH('Summarized Source Data'!$A751,'Category Mapping'!$A$28:$A$39,0),1),INDEX('Category Mapping'!$E$28:$E$39,MATCH($A751,'Category Mapping'!$A$28:$A$39,0),1))</f>
        <v>139356935</v>
      </c>
      <c r="T751" s="27">
        <f>T171*IF($E751="weekday",INDEX('Category Mapping'!$F$28:$F$39,MATCH('Summarized Source Data'!$A751,'Category Mapping'!$A$28:$A$39,0),1),INDEX('Category Mapping'!$E$28:$E$39,MATCH($A751,'Category Mapping'!$A$28:$A$39,0),1))</f>
        <v>139356935</v>
      </c>
      <c r="U751" s="27">
        <f>U171*IF($E751="weekday",INDEX('Category Mapping'!$F$28:$F$39,MATCH('Summarized Source Data'!$A751,'Category Mapping'!$A$28:$A$39,0),1),INDEX('Category Mapping'!$E$28:$E$39,MATCH($A751,'Category Mapping'!$A$28:$A$39,0),1))</f>
        <v>139356935</v>
      </c>
      <c r="V751" s="27">
        <f>V171*IF($E751="weekday",INDEX('Category Mapping'!$F$28:$F$39,MATCH('Summarized Source Data'!$A751,'Category Mapping'!$A$28:$A$39,0),1),INDEX('Category Mapping'!$E$28:$E$39,MATCH($A751,'Category Mapping'!$A$28:$A$39,0),1))</f>
        <v>139356935</v>
      </c>
      <c r="W751" s="27">
        <f>W171*IF($E751="weekday",INDEX('Category Mapping'!$F$28:$F$39,MATCH('Summarized Source Data'!$A751,'Category Mapping'!$A$28:$A$39,0),1),INDEX('Category Mapping'!$E$28:$E$39,MATCH($A751,'Category Mapping'!$A$28:$A$39,0),1))</f>
        <v>139356935</v>
      </c>
      <c r="X751" s="27">
        <f>X171*IF($E751="weekday",INDEX('Category Mapping'!$F$28:$F$39,MATCH('Summarized Source Data'!$A751,'Category Mapping'!$A$28:$A$39,0),1),INDEX('Category Mapping'!$E$28:$E$39,MATCH($A751,'Category Mapping'!$A$28:$A$39,0),1))</f>
        <v>13706428571.428572</v>
      </c>
      <c r="Y751" s="27">
        <f>Y171*IF($E751="weekday",INDEX('Category Mapping'!$F$28:$F$39,MATCH('Summarized Source Data'!$A751,'Category Mapping'!$A$28:$A$39,0),1),INDEX('Category Mapping'!$E$28:$E$39,MATCH($A751,'Category Mapping'!$A$28:$A$39,0),1))</f>
        <v>13706428571.428572</v>
      </c>
      <c r="Z751" s="27">
        <f>Z171*IF($E751="weekday",INDEX('Category Mapping'!$F$28:$F$39,MATCH('Summarized Source Data'!$A751,'Category Mapping'!$A$28:$A$39,0),1),INDEX('Category Mapping'!$E$28:$E$39,MATCH($A751,'Category Mapping'!$A$28:$A$39,0),1))</f>
        <v>13706428571.428572</v>
      </c>
    </row>
    <row r="752" spans="1:26" x14ac:dyDescent="0.3">
      <c r="A752">
        <f t="shared" ref="A752:E752" si="217">A172</f>
        <v>8</v>
      </c>
      <c r="B752" t="str">
        <f t="shared" si="217"/>
        <v>Summer</v>
      </c>
      <c r="C752" t="str">
        <f t="shared" si="217"/>
        <v>h1</v>
      </c>
      <c r="D752" t="str">
        <f t="shared" si="217"/>
        <v>Hour0</v>
      </c>
      <c r="E752" t="str">
        <f t="shared" si="217"/>
        <v>Weekday</v>
      </c>
      <c r="F752" s="27">
        <f>F172*IF($E752="weekday",INDEX('Category Mapping'!$F$28:$F$39,MATCH('Summarized Source Data'!$A752,'Category Mapping'!$A$28:$A$39,0),1),INDEX('Category Mapping'!$E$28:$E$39,MATCH($A752,'Category Mapping'!$A$28:$A$39,0),1))</f>
        <v>1185838.5714285714</v>
      </c>
      <c r="G752" s="27">
        <f>G172*IF($E752="weekday",INDEX('Category Mapping'!$F$28:$F$39,MATCH('Summarized Source Data'!$A752,'Category Mapping'!$A$28:$A$39,0),1),INDEX('Category Mapping'!$E$28:$E$39,MATCH($A752,'Category Mapping'!$A$28:$A$39,0),1))</f>
        <v>1251071428.5714285</v>
      </c>
      <c r="H752" s="27">
        <f>H172*IF($E752="weekday",INDEX('Category Mapping'!$F$28:$F$39,MATCH('Summarized Source Data'!$A752,'Category Mapping'!$A$28:$A$39,0),1),INDEX('Category Mapping'!$E$28:$E$39,MATCH($A752,'Category Mapping'!$A$28:$A$39,0),1))</f>
        <v>0</v>
      </c>
      <c r="I752" s="27">
        <f>I172*IF($E752="weekday",INDEX('Category Mapping'!$F$28:$F$39,MATCH('Summarized Source Data'!$A752,'Category Mapping'!$A$28:$A$39,0),1),INDEX('Category Mapping'!$E$28:$E$39,MATCH($A752,'Category Mapping'!$A$28:$A$39,0),1))</f>
        <v>223642857.14285713</v>
      </c>
      <c r="J752" s="27">
        <f>J172*IF($E752="weekday",INDEX('Category Mapping'!$F$28:$F$39,MATCH('Summarized Source Data'!$A752,'Category Mapping'!$A$28:$A$39,0),1),INDEX('Category Mapping'!$E$28:$E$39,MATCH($A752,'Category Mapping'!$A$28:$A$39,0),1))</f>
        <v>1646242732.8571429</v>
      </c>
      <c r="K752" s="27">
        <f>K172*IF($E752="weekday",INDEX('Category Mapping'!$F$28:$F$39,MATCH('Summarized Source Data'!$A752,'Category Mapping'!$A$28:$A$39,0),1),INDEX('Category Mapping'!$E$28:$E$39,MATCH($A752,'Category Mapping'!$A$28:$A$39,0),1))</f>
        <v>1646242732.8571429</v>
      </c>
      <c r="L752" s="27">
        <f>L172*IF($E752="weekday",INDEX('Category Mapping'!$F$28:$F$39,MATCH('Summarized Source Data'!$A752,'Category Mapping'!$A$28:$A$39,0),1),INDEX('Category Mapping'!$E$28:$E$39,MATCH($A752,'Category Mapping'!$A$28:$A$39,0),1))</f>
        <v>4597477.1428571427</v>
      </c>
      <c r="M752" s="27">
        <f>M172*IF($E752="weekday",INDEX('Category Mapping'!$F$28:$F$39,MATCH('Summarized Source Data'!$A752,'Category Mapping'!$A$28:$A$39,0),1),INDEX('Category Mapping'!$E$28:$E$39,MATCH($A752,'Category Mapping'!$A$28:$A$39,0),1))</f>
        <v>5247857142.8571424</v>
      </c>
      <c r="N752" s="27">
        <f>N172*IF($E752="weekday",INDEX('Category Mapping'!$F$28:$F$39,MATCH('Summarized Source Data'!$A752,'Category Mapping'!$A$28:$A$39,0),1),INDEX('Category Mapping'!$E$28:$E$39,MATCH($A752,'Category Mapping'!$A$28:$A$39,0),1))</f>
        <v>0</v>
      </c>
      <c r="O752" s="27">
        <f>O172*IF($E752="weekday",INDEX('Category Mapping'!$F$28:$F$39,MATCH('Summarized Source Data'!$A752,'Category Mapping'!$A$28:$A$39,0),1),INDEX('Category Mapping'!$E$28:$E$39,MATCH($A752,'Category Mapping'!$A$28:$A$39,0),1))</f>
        <v>3361116808.5714283</v>
      </c>
      <c r="P752" s="27">
        <f>P172*IF($E752="weekday",INDEX('Category Mapping'!$F$28:$F$39,MATCH('Summarized Source Data'!$A752,'Category Mapping'!$A$28:$A$39,0),1),INDEX('Category Mapping'!$E$28:$E$39,MATCH($A752,'Category Mapping'!$A$28:$A$39,0),1))</f>
        <v>3361116808.5714283</v>
      </c>
      <c r="Q752" s="27">
        <f>Q172*IF($E752="weekday",INDEX('Category Mapping'!$F$28:$F$39,MATCH('Summarized Source Data'!$A752,'Category Mapping'!$A$28:$A$39,0),1),INDEX('Category Mapping'!$E$28:$E$39,MATCH($A752,'Category Mapping'!$A$28:$A$39,0),1))</f>
        <v>3361116808.5714283</v>
      </c>
      <c r="R752" s="27">
        <f>R172*IF($E752="weekday",INDEX('Category Mapping'!$F$28:$F$39,MATCH('Summarized Source Data'!$A752,'Category Mapping'!$A$28:$A$39,0),1),INDEX('Category Mapping'!$E$28:$E$39,MATCH($A752,'Category Mapping'!$A$28:$A$39,0),1))</f>
        <v>97288207.857142851</v>
      </c>
      <c r="S752" s="27">
        <f>S172*IF($E752="weekday",INDEX('Category Mapping'!$F$28:$F$39,MATCH('Summarized Source Data'!$A752,'Category Mapping'!$A$28:$A$39,0),1),INDEX('Category Mapping'!$E$28:$E$39,MATCH($A752,'Category Mapping'!$A$28:$A$39,0),1))</f>
        <v>97288207.857142851</v>
      </c>
      <c r="T752" s="27">
        <f>T172*IF($E752="weekday",INDEX('Category Mapping'!$F$28:$F$39,MATCH('Summarized Source Data'!$A752,'Category Mapping'!$A$28:$A$39,0),1),INDEX('Category Mapping'!$E$28:$E$39,MATCH($A752,'Category Mapping'!$A$28:$A$39,0),1))</f>
        <v>97288207.857142851</v>
      </c>
      <c r="U752" s="27">
        <f>U172*IF($E752="weekday",INDEX('Category Mapping'!$F$28:$F$39,MATCH('Summarized Source Data'!$A752,'Category Mapping'!$A$28:$A$39,0),1),INDEX('Category Mapping'!$E$28:$E$39,MATCH($A752,'Category Mapping'!$A$28:$A$39,0),1))</f>
        <v>97288207.857142851</v>
      </c>
      <c r="V752" s="27">
        <f>V172*IF($E752="weekday",INDEX('Category Mapping'!$F$28:$F$39,MATCH('Summarized Source Data'!$A752,'Category Mapping'!$A$28:$A$39,0),1),INDEX('Category Mapping'!$E$28:$E$39,MATCH($A752,'Category Mapping'!$A$28:$A$39,0),1))</f>
        <v>97288207.857142851</v>
      </c>
      <c r="W752" s="27">
        <f>W172*IF($E752="weekday",INDEX('Category Mapping'!$F$28:$F$39,MATCH('Summarized Source Data'!$A752,'Category Mapping'!$A$28:$A$39,0),1),INDEX('Category Mapping'!$E$28:$E$39,MATCH($A752,'Category Mapping'!$A$28:$A$39,0),1))</f>
        <v>97288207.857142851</v>
      </c>
      <c r="X752" s="27">
        <f>X172*IF($E752="weekday",INDEX('Category Mapping'!$F$28:$F$39,MATCH('Summarized Source Data'!$A752,'Category Mapping'!$A$28:$A$39,0),1),INDEX('Category Mapping'!$E$28:$E$39,MATCH($A752,'Category Mapping'!$A$28:$A$39,0),1))</f>
        <v>14437142857.142857</v>
      </c>
      <c r="Y752" s="27">
        <f>Y172*IF($E752="weekday",INDEX('Category Mapping'!$F$28:$F$39,MATCH('Summarized Source Data'!$A752,'Category Mapping'!$A$28:$A$39,0),1),INDEX('Category Mapping'!$E$28:$E$39,MATCH($A752,'Category Mapping'!$A$28:$A$39,0),1))</f>
        <v>14437142857.142857</v>
      </c>
      <c r="Z752" s="27">
        <f>Z172*IF($E752="weekday",INDEX('Category Mapping'!$F$28:$F$39,MATCH('Summarized Source Data'!$A752,'Category Mapping'!$A$28:$A$39,0),1),INDEX('Category Mapping'!$E$28:$E$39,MATCH($A752,'Category Mapping'!$A$28:$A$39,0),1))</f>
        <v>14437142857.142857</v>
      </c>
    </row>
    <row r="753" spans="1:26" x14ac:dyDescent="0.3">
      <c r="A753">
        <f t="shared" ref="A753:E753" si="218">A173</f>
        <v>8</v>
      </c>
      <c r="B753" t="str">
        <f t="shared" si="218"/>
        <v>Summer</v>
      </c>
      <c r="C753" t="str">
        <f t="shared" si="218"/>
        <v>h2</v>
      </c>
      <c r="D753" t="str">
        <f t="shared" si="218"/>
        <v>Hour1</v>
      </c>
      <c r="E753" t="str">
        <f t="shared" si="218"/>
        <v>Weekday</v>
      </c>
      <c r="F753" s="27">
        <f>F173*IF($E753="weekday",INDEX('Category Mapping'!$F$28:$F$39,MATCH('Summarized Source Data'!$A753,'Category Mapping'!$A$28:$A$39,0),1),INDEX('Category Mapping'!$E$28:$E$39,MATCH($A753,'Category Mapping'!$A$28:$A$39,0),1))</f>
        <v>1185838.5714285714</v>
      </c>
      <c r="G753" s="27">
        <f>G173*IF($E753="weekday",INDEX('Category Mapping'!$F$28:$F$39,MATCH('Summarized Source Data'!$A753,'Category Mapping'!$A$28:$A$39,0),1),INDEX('Category Mapping'!$E$28:$E$39,MATCH($A753,'Category Mapping'!$A$28:$A$39,0),1))</f>
        <v>1120428571.4285715</v>
      </c>
      <c r="H753" s="27">
        <f>H173*IF($E753="weekday",INDEX('Category Mapping'!$F$28:$F$39,MATCH('Summarized Source Data'!$A753,'Category Mapping'!$A$28:$A$39,0),1),INDEX('Category Mapping'!$E$28:$E$39,MATCH($A753,'Category Mapping'!$A$28:$A$39,0),1))</f>
        <v>0</v>
      </c>
      <c r="I753" s="27">
        <f>I173*IF($E753="weekday",INDEX('Category Mapping'!$F$28:$F$39,MATCH('Summarized Source Data'!$A753,'Category Mapping'!$A$28:$A$39,0),1),INDEX('Category Mapping'!$E$28:$E$39,MATCH($A753,'Category Mapping'!$A$28:$A$39,0),1))</f>
        <v>206009990.7142857</v>
      </c>
      <c r="J753" s="27">
        <f>J173*IF($E753="weekday",INDEX('Category Mapping'!$F$28:$F$39,MATCH('Summarized Source Data'!$A753,'Category Mapping'!$A$28:$A$39,0),1),INDEX('Category Mapping'!$E$28:$E$39,MATCH($A753,'Category Mapping'!$A$28:$A$39,0),1))</f>
        <v>1196661313.5714285</v>
      </c>
      <c r="K753" s="27">
        <f>K173*IF($E753="weekday",INDEX('Category Mapping'!$F$28:$F$39,MATCH('Summarized Source Data'!$A753,'Category Mapping'!$A$28:$A$39,0),1),INDEX('Category Mapping'!$E$28:$E$39,MATCH($A753,'Category Mapping'!$A$28:$A$39,0),1))</f>
        <v>1196661313.5714285</v>
      </c>
      <c r="L753" s="27">
        <f>L173*IF($E753="weekday",INDEX('Category Mapping'!$F$28:$F$39,MATCH('Summarized Source Data'!$A753,'Category Mapping'!$A$28:$A$39,0),1),INDEX('Category Mapping'!$E$28:$E$39,MATCH($A753,'Category Mapping'!$A$28:$A$39,0),1))</f>
        <v>4597477.1428571427</v>
      </c>
      <c r="M753" s="27">
        <f>M173*IF($E753="weekday",INDEX('Category Mapping'!$F$28:$F$39,MATCH('Summarized Source Data'!$A753,'Category Mapping'!$A$28:$A$39,0),1),INDEX('Category Mapping'!$E$28:$E$39,MATCH($A753,'Category Mapping'!$A$28:$A$39,0),1))</f>
        <v>4871428571.4285717</v>
      </c>
      <c r="N753" s="27">
        <f>N173*IF($E753="weekday",INDEX('Category Mapping'!$F$28:$F$39,MATCH('Summarized Source Data'!$A753,'Category Mapping'!$A$28:$A$39,0),1),INDEX('Category Mapping'!$E$28:$E$39,MATCH($A753,'Category Mapping'!$A$28:$A$39,0),1))</f>
        <v>0</v>
      </c>
      <c r="O753" s="27">
        <f>O173*IF($E753="weekday",INDEX('Category Mapping'!$F$28:$F$39,MATCH('Summarized Source Data'!$A753,'Category Mapping'!$A$28:$A$39,0),1),INDEX('Category Mapping'!$E$28:$E$39,MATCH($A753,'Category Mapping'!$A$28:$A$39,0),1))</f>
        <v>3294688237.1428571</v>
      </c>
      <c r="P753" s="27">
        <f>P173*IF($E753="weekday",INDEX('Category Mapping'!$F$28:$F$39,MATCH('Summarized Source Data'!$A753,'Category Mapping'!$A$28:$A$39,0),1),INDEX('Category Mapping'!$E$28:$E$39,MATCH($A753,'Category Mapping'!$A$28:$A$39,0),1))</f>
        <v>3294688237.1428571</v>
      </c>
      <c r="Q753" s="27">
        <f>Q173*IF($E753="weekday",INDEX('Category Mapping'!$F$28:$F$39,MATCH('Summarized Source Data'!$A753,'Category Mapping'!$A$28:$A$39,0),1),INDEX('Category Mapping'!$E$28:$E$39,MATCH($A753,'Category Mapping'!$A$28:$A$39,0),1))</f>
        <v>3294688237.1428571</v>
      </c>
      <c r="R753" s="27">
        <f>R173*IF($E753="weekday",INDEX('Category Mapping'!$F$28:$F$39,MATCH('Summarized Source Data'!$A753,'Category Mapping'!$A$28:$A$39,0),1),INDEX('Category Mapping'!$E$28:$E$39,MATCH($A753,'Category Mapping'!$A$28:$A$39,0),1))</f>
        <v>95786479.285714284</v>
      </c>
      <c r="S753" s="27">
        <f>S173*IF($E753="weekday",INDEX('Category Mapping'!$F$28:$F$39,MATCH('Summarized Source Data'!$A753,'Category Mapping'!$A$28:$A$39,0),1),INDEX('Category Mapping'!$E$28:$E$39,MATCH($A753,'Category Mapping'!$A$28:$A$39,0),1))</f>
        <v>95786479.285714284</v>
      </c>
      <c r="T753" s="27">
        <f>T173*IF($E753="weekday",INDEX('Category Mapping'!$F$28:$F$39,MATCH('Summarized Source Data'!$A753,'Category Mapping'!$A$28:$A$39,0),1),INDEX('Category Mapping'!$E$28:$E$39,MATCH($A753,'Category Mapping'!$A$28:$A$39,0),1))</f>
        <v>95786479.285714284</v>
      </c>
      <c r="U753" s="27">
        <f>U173*IF($E753="weekday",INDEX('Category Mapping'!$F$28:$F$39,MATCH('Summarized Source Data'!$A753,'Category Mapping'!$A$28:$A$39,0),1),INDEX('Category Mapping'!$E$28:$E$39,MATCH($A753,'Category Mapping'!$A$28:$A$39,0),1))</f>
        <v>95786479.285714284</v>
      </c>
      <c r="V753" s="27">
        <f>V173*IF($E753="weekday",INDEX('Category Mapping'!$F$28:$F$39,MATCH('Summarized Source Data'!$A753,'Category Mapping'!$A$28:$A$39,0),1),INDEX('Category Mapping'!$E$28:$E$39,MATCH($A753,'Category Mapping'!$A$28:$A$39,0),1))</f>
        <v>95786479.285714284</v>
      </c>
      <c r="W753" s="27">
        <f>W173*IF($E753="weekday",INDEX('Category Mapping'!$F$28:$F$39,MATCH('Summarized Source Data'!$A753,'Category Mapping'!$A$28:$A$39,0),1),INDEX('Category Mapping'!$E$28:$E$39,MATCH($A753,'Category Mapping'!$A$28:$A$39,0),1))</f>
        <v>95786479.285714284</v>
      </c>
      <c r="X753" s="27">
        <f>X173*IF($E753="weekday",INDEX('Category Mapping'!$F$28:$F$39,MATCH('Summarized Source Data'!$A753,'Category Mapping'!$A$28:$A$39,0),1),INDEX('Category Mapping'!$E$28:$E$39,MATCH($A753,'Category Mapping'!$A$28:$A$39,0),1))</f>
        <v>14415000000</v>
      </c>
      <c r="Y753" s="27">
        <f>Y173*IF($E753="weekday",INDEX('Category Mapping'!$F$28:$F$39,MATCH('Summarized Source Data'!$A753,'Category Mapping'!$A$28:$A$39,0),1),INDEX('Category Mapping'!$E$28:$E$39,MATCH($A753,'Category Mapping'!$A$28:$A$39,0),1))</f>
        <v>14415000000</v>
      </c>
      <c r="Z753" s="27">
        <f>Z173*IF($E753="weekday",INDEX('Category Mapping'!$F$28:$F$39,MATCH('Summarized Source Data'!$A753,'Category Mapping'!$A$28:$A$39,0),1),INDEX('Category Mapping'!$E$28:$E$39,MATCH($A753,'Category Mapping'!$A$28:$A$39,0),1))</f>
        <v>14415000000</v>
      </c>
    </row>
    <row r="754" spans="1:26" x14ac:dyDescent="0.3">
      <c r="A754">
        <f t="shared" ref="A754:E754" si="219">A174</f>
        <v>8</v>
      </c>
      <c r="B754" t="str">
        <f t="shared" si="219"/>
        <v>Summer</v>
      </c>
      <c r="C754" t="str">
        <f t="shared" si="219"/>
        <v>h3</v>
      </c>
      <c r="D754" t="str">
        <f t="shared" si="219"/>
        <v>Hour2</v>
      </c>
      <c r="E754" t="str">
        <f t="shared" si="219"/>
        <v>Weekday</v>
      </c>
      <c r="F754" s="27">
        <f>F174*IF($E754="weekday",INDEX('Category Mapping'!$F$28:$F$39,MATCH('Summarized Source Data'!$A754,'Category Mapping'!$A$28:$A$39,0),1),INDEX('Category Mapping'!$E$28:$E$39,MATCH($A754,'Category Mapping'!$A$28:$A$39,0),1))</f>
        <v>1185838.5714285714</v>
      </c>
      <c r="G754" s="27">
        <f>G174*IF($E754="weekday",INDEX('Category Mapping'!$F$28:$F$39,MATCH('Summarized Source Data'!$A754,'Category Mapping'!$A$28:$A$39,0),1),INDEX('Category Mapping'!$E$28:$E$39,MATCH($A754,'Category Mapping'!$A$28:$A$39,0),1))</f>
        <v>1076142857.1428571</v>
      </c>
      <c r="H754" s="27">
        <f>H174*IF($E754="weekday",INDEX('Category Mapping'!$F$28:$F$39,MATCH('Summarized Source Data'!$A754,'Category Mapping'!$A$28:$A$39,0),1),INDEX('Category Mapping'!$E$28:$E$39,MATCH($A754,'Category Mapping'!$A$28:$A$39,0),1))</f>
        <v>0</v>
      </c>
      <c r="I754" s="27">
        <f>I174*IF($E754="weekday",INDEX('Category Mapping'!$F$28:$F$39,MATCH('Summarized Source Data'!$A754,'Category Mapping'!$A$28:$A$39,0),1),INDEX('Category Mapping'!$E$28:$E$39,MATCH($A754,'Category Mapping'!$A$28:$A$39,0),1))</f>
        <v>203988414.28571427</v>
      </c>
      <c r="J754" s="27">
        <f>J174*IF($E754="weekday",INDEX('Category Mapping'!$F$28:$F$39,MATCH('Summarized Source Data'!$A754,'Category Mapping'!$A$28:$A$39,0),1),INDEX('Category Mapping'!$E$28:$E$39,MATCH($A754,'Category Mapping'!$A$28:$A$39,0),1))</f>
        <v>955111461.42857146</v>
      </c>
      <c r="K754" s="27">
        <f>K174*IF($E754="weekday",INDEX('Category Mapping'!$F$28:$F$39,MATCH('Summarized Source Data'!$A754,'Category Mapping'!$A$28:$A$39,0),1),INDEX('Category Mapping'!$E$28:$E$39,MATCH($A754,'Category Mapping'!$A$28:$A$39,0),1))</f>
        <v>955111461.42857146</v>
      </c>
      <c r="L754" s="27">
        <f>L174*IF($E754="weekday",INDEX('Category Mapping'!$F$28:$F$39,MATCH('Summarized Source Data'!$A754,'Category Mapping'!$A$28:$A$39,0),1),INDEX('Category Mapping'!$E$28:$E$39,MATCH($A754,'Category Mapping'!$A$28:$A$39,0),1))</f>
        <v>4597477.1428571427</v>
      </c>
      <c r="M754" s="27">
        <f>M174*IF($E754="weekday",INDEX('Category Mapping'!$F$28:$F$39,MATCH('Summarized Source Data'!$A754,'Category Mapping'!$A$28:$A$39,0),1),INDEX('Category Mapping'!$E$28:$E$39,MATCH($A754,'Category Mapping'!$A$28:$A$39,0),1))</f>
        <v>4716428571.4285717</v>
      </c>
      <c r="N754" s="27">
        <f>N174*IF($E754="weekday",INDEX('Category Mapping'!$F$28:$F$39,MATCH('Summarized Source Data'!$A754,'Category Mapping'!$A$28:$A$39,0),1),INDEX('Category Mapping'!$E$28:$E$39,MATCH($A754,'Category Mapping'!$A$28:$A$39,0),1))</f>
        <v>0</v>
      </c>
      <c r="O754" s="27">
        <f>O174*IF($E754="weekday",INDEX('Category Mapping'!$F$28:$F$39,MATCH('Summarized Source Data'!$A754,'Category Mapping'!$A$28:$A$39,0),1),INDEX('Category Mapping'!$E$28:$E$39,MATCH($A754,'Category Mapping'!$A$28:$A$39,0),1))</f>
        <v>3272545380</v>
      </c>
      <c r="P754" s="27">
        <f>P174*IF($E754="weekday",INDEX('Category Mapping'!$F$28:$F$39,MATCH('Summarized Source Data'!$A754,'Category Mapping'!$A$28:$A$39,0),1),INDEX('Category Mapping'!$E$28:$E$39,MATCH($A754,'Category Mapping'!$A$28:$A$39,0),1))</f>
        <v>3272545380</v>
      </c>
      <c r="Q754" s="27">
        <f>Q174*IF($E754="weekday",INDEX('Category Mapping'!$F$28:$F$39,MATCH('Summarized Source Data'!$A754,'Category Mapping'!$A$28:$A$39,0),1),INDEX('Category Mapping'!$E$28:$E$39,MATCH($A754,'Category Mapping'!$A$28:$A$39,0),1))</f>
        <v>3272545380</v>
      </c>
      <c r="R754" s="27">
        <f>R174*IF($E754="weekday",INDEX('Category Mapping'!$F$28:$F$39,MATCH('Summarized Source Data'!$A754,'Category Mapping'!$A$28:$A$39,0),1),INDEX('Category Mapping'!$E$28:$E$39,MATCH($A754,'Category Mapping'!$A$28:$A$39,0),1))</f>
        <v>95400795</v>
      </c>
      <c r="S754" s="27">
        <f>S174*IF($E754="weekday",INDEX('Category Mapping'!$F$28:$F$39,MATCH('Summarized Source Data'!$A754,'Category Mapping'!$A$28:$A$39,0),1),INDEX('Category Mapping'!$E$28:$E$39,MATCH($A754,'Category Mapping'!$A$28:$A$39,0),1))</f>
        <v>95400795</v>
      </c>
      <c r="T754" s="27">
        <f>T174*IF($E754="weekday",INDEX('Category Mapping'!$F$28:$F$39,MATCH('Summarized Source Data'!$A754,'Category Mapping'!$A$28:$A$39,0),1),INDEX('Category Mapping'!$E$28:$E$39,MATCH($A754,'Category Mapping'!$A$28:$A$39,0),1))</f>
        <v>95400795</v>
      </c>
      <c r="U754" s="27">
        <f>U174*IF($E754="weekday",INDEX('Category Mapping'!$F$28:$F$39,MATCH('Summarized Source Data'!$A754,'Category Mapping'!$A$28:$A$39,0),1),INDEX('Category Mapping'!$E$28:$E$39,MATCH($A754,'Category Mapping'!$A$28:$A$39,0),1))</f>
        <v>95400795</v>
      </c>
      <c r="V754" s="27">
        <f>V174*IF($E754="weekday",INDEX('Category Mapping'!$F$28:$F$39,MATCH('Summarized Source Data'!$A754,'Category Mapping'!$A$28:$A$39,0),1),INDEX('Category Mapping'!$E$28:$E$39,MATCH($A754,'Category Mapping'!$A$28:$A$39,0),1))</f>
        <v>95400795</v>
      </c>
      <c r="W754" s="27">
        <f>W174*IF($E754="weekday",INDEX('Category Mapping'!$F$28:$F$39,MATCH('Summarized Source Data'!$A754,'Category Mapping'!$A$28:$A$39,0),1),INDEX('Category Mapping'!$E$28:$E$39,MATCH($A754,'Category Mapping'!$A$28:$A$39,0),1))</f>
        <v>95400795</v>
      </c>
      <c r="X754" s="27">
        <f>X174*IF($E754="weekday",INDEX('Category Mapping'!$F$28:$F$39,MATCH('Summarized Source Data'!$A754,'Category Mapping'!$A$28:$A$39,0),1),INDEX('Category Mapping'!$E$28:$E$39,MATCH($A754,'Category Mapping'!$A$28:$A$39,0),1))</f>
        <v>14415000000</v>
      </c>
      <c r="Y754" s="27">
        <f>Y174*IF($E754="weekday",INDEX('Category Mapping'!$F$28:$F$39,MATCH('Summarized Source Data'!$A754,'Category Mapping'!$A$28:$A$39,0),1),INDEX('Category Mapping'!$E$28:$E$39,MATCH($A754,'Category Mapping'!$A$28:$A$39,0),1))</f>
        <v>14415000000</v>
      </c>
      <c r="Z754" s="27">
        <f>Z174*IF($E754="weekday",INDEX('Category Mapping'!$F$28:$F$39,MATCH('Summarized Source Data'!$A754,'Category Mapping'!$A$28:$A$39,0),1),INDEX('Category Mapping'!$E$28:$E$39,MATCH($A754,'Category Mapping'!$A$28:$A$39,0),1))</f>
        <v>14415000000</v>
      </c>
    </row>
    <row r="755" spans="1:26" x14ac:dyDescent="0.3">
      <c r="A755">
        <f t="shared" ref="A755:E755" si="220">A175</f>
        <v>8</v>
      </c>
      <c r="B755" t="str">
        <f t="shared" si="220"/>
        <v>Summer</v>
      </c>
      <c r="C755" t="str">
        <f t="shared" si="220"/>
        <v>h4</v>
      </c>
      <c r="D755" t="str">
        <f t="shared" si="220"/>
        <v>Hour3</v>
      </c>
      <c r="E755" t="str">
        <f t="shared" si="220"/>
        <v>Weekday</v>
      </c>
      <c r="F755" s="27">
        <f>F175*IF($E755="weekday",INDEX('Category Mapping'!$F$28:$F$39,MATCH('Summarized Source Data'!$A755,'Category Mapping'!$A$28:$A$39,0),1),INDEX('Category Mapping'!$E$28:$E$39,MATCH($A755,'Category Mapping'!$A$28:$A$39,0),1))</f>
        <v>1185838.5714285714</v>
      </c>
      <c r="G755" s="27">
        <f>G175*IF($E755="weekday",INDEX('Category Mapping'!$F$28:$F$39,MATCH('Summarized Source Data'!$A755,'Category Mapping'!$A$28:$A$39,0),1),INDEX('Category Mapping'!$E$28:$E$39,MATCH($A755,'Category Mapping'!$A$28:$A$39,0),1))</f>
        <v>1124857142.8571429</v>
      </c>
      <c r="H755" s="27">
        <f>H175*IF($E755="weekday",INDEX('Category Mapping'!$F$28:$F$39,MATCH('Summarized Source Data'!$A755,'Category Mapping'!$A$28:$A$39,0),1),INDEX('Category Mapping'!$E$28:$E$39,MATCH($A755,'Category Mapping'!$A$28:$A$39,0),1))</f>
        <v>0</v>
      </c>
      <c r="I755" s="27">
        <f>I175*IF($E755="weekday",INDEX('Category Mapping'!$F$28:$F$39,MATCH('Summarized Source Data'!$A755,'Category Mapping'!$A$28:$A$39,0),1),INDEX('Category Mapping'!$E$28:$E$39,MATCH($A755,'Category Mapping'!$A$28:$A$39,0),1))</f>
        <v>208535848.57142857</v>
      </c>
      <c r="J755" s="27">
        <f>J175*IF($E755="weekday",INDEX('Category Mapping'!$F$28:$F$39,MATCH('Summarized Source Data'!$A755,'Category Mapping'!$A$28:$A$39,0),1),INDEX('Category Mapping'!$E$28:$E$39,MATCH($A755,'Category Mapping'!$A$28:$A$39,0),1))</f>
        <v>835421170</v>
      </c>
      <c r="K755" s="27">
        <f>K175*IF($E755="weekday",INDEX('Category Mapping'!$F$28:$F$39,MATCH('Summarized Source Data'!$A755,'Category Mapping'!$A$28:$A$39,0),1),INDEX('Category Mapping'!$E$28:$E$39,MATCH($A755,'Category Mapping'!$A$28:$A$39,0),1))</f>
        <v>835421170</v>
      </c>
      <c r="L755" s="27">
        <f>L175*IF($E755="weekday",INDEX('Category Mapping'!$F$28:$F$39,MATCH('Summarized Source Data'!$A755,'Category Mapping'!$A$28:$A$39,0),1),INDEX('Category Mapping'!$E$28:$E$39,MATCH($A755,'Category Mapping'!$A$28:$A$39,0),1))</f>
        <v>4597477.1428571427</v>
      </c>
      <c r="M755" s="27">
        <f>M175*IF($E755="weekday",INDEX('Category Mapping'!$F$28:$F$39,MATCH('Summarized Source Data'!$A755,'Category Mapping'!$A$28:$A$39,0),1),INDEX('Category Mapping'!$E$28:$E$39,MATCH($A755,'Category Mapping'!$A$28:$A$39,0),1))</f>
        <v>4738571428.5714283</v>
      </c>
      <c r="N755" s="27">
        <f>N175*IF($E755="weekday",INDEX('Category Mapping'!$F$28:$F$39,MATCH('Summarized Source Data'!$A755,'Category Mapping'!$A$28:$A$39,0),1),INDEX('Category Mapping'!$E$28:$E$39,MATCH($A755,'Category Mapping'!$A$28:$A$39,0),1))</f>
        <v>0</v>
      </c>
      <c r="O755" s="27">
        <f>O175*IF($E755="weekday",INDEX('Category Mapping'!$F$28:$F$39,MATCH('Summarized Source Data'!$A755,'Category Mapping'!$A$28:$A$39,0),1),INDEX('Category Mapping'!$E$28:$E$39,MATCH($A755,'Category Mapping'!$A$28:$A$39,0),1))</f>
        <v>3427545380</v>
      </c>
      <c r="P755" s="27">
        <f>P175*IF($E755="weekday",INDEX('Category Mapping'!$F$28:$F$39,MATCH('Summarized Source Data'!$A755,'Category Mapping'!$A$28:$A$39,0),1),INDEX('Category Mapping'!$E$28:$E$39,MATCH($A755,'Category Mapping'!$A$28:$A$39,0),1))</f>
        <v>3427545380</v>
      </c>
      <c r="Q755" s="27">
        <f>Q175*IF($E755="weekday",INDEX('Category Mapping'!$F$28:$F$39,MATCH('Summarized Source Data'!$A755,'Category Mapping'!$A$28:$A$39,0),1),INDEX('Category Mapping'!$E$28:$E$39,MATCH($A755,'Category Mapping'!$A$28:$A$39,0),1))</f>
        <v>3427545380</v>
      </c>
      <c r="R755" s="27">
        <f>R175*IF($E755="weekday",INDEX('Category Mapping'!$F$28:$F$39,MATCH('Summarized Source Data'!$A755,'Category Mapping'!$A$28:$A$39,0),1),INDEX('Category Mapping'!$E$28:$E$39,MATCH($A755,'Category Mapping'!$A$28:$A$39,0),1))</f>
        <v>95755877.857142851</v>
      </c>
      <c r="S755" s="27">
        <f>S175*IF($E755="weekday",INDEX('Category Mapping'!$F$28:$F$39,MATCH('Summarized Source Data'!$A755,'Category Mapping'!$A$28:$A$39,0),1),INDEX('Category Mapping'!$E$28:$E$39,MATCH($A755,'Category Mapping'!$A$28:$A$39,0),1))</f>
        <v>95755877.857142851</v>
      </c>
      <c r="T755" s="27">
        <f>T175*IF($E755="weekday",INDEX('Category Mapping'!$F$28:$F$39,MATCH('Summarized Source Data'!$A755,'Category Mapping'!$A$28:$A$39,0),1),INDEX('Category Mapping'!$E$28:$E$39,MATCH($A755,'Category Mapping'!$A$28:$A$39,0),1))</f>
        <v>95755877.857142851</v>
      </c>
      <c r="U755" s="27">
        <f>U175*IF($E755="weekday",INDEX('Category Mapping'!$F$28:$F$39,MATCH('Summarized Source Data'!$A755,'Category Mapping'!$A$28:$A$39,0),1),INDEX('Category Mapping'!$E$28:$E$39,MATCH($A755,'Category Mapping'!$A$28:$A$39,0),1))</f>
        <v>95755877.857142851</v>
      </c>
      <c r="V755" s="27">
        <f>V175*IF($E755="weekday",INDEX('Category Mapping'!$F$28:$F$39,MATCH('Summarized Source Data'!$A755,'Category Mapping'!$A$28:$A$39,0),1),INDEX('Category Mapping'!$E$28:$E$39,MATCH($A755,'Category Mapping'!$A$28:$A$39,0),1))</f>
        <v>95755877.857142851</v>
      </c>
      <c r="W755" s="27">
        <f>W175*IF($E755="weekday",INDEX('Category Mapping'!$F$28:$F$39,MATCH('Summarized Source Data'!$A755,'Category Mapping'!$A$28:$A$39,0),1),INDEX('Category Mapping'!$E$28:$E$39,MATCH($A755,'Category Mapping'!$A$28:$A$39,0),1))</f>
        <v>95755877.857142851</v>
      </c>
      <c r="X755" s="27">
        <f>X175*IF($E755="weekday",INDEX('Category Mapping'!$F$28:$F$39,MATCH('Summarized Source Data'!$A755,'Category Mapping'!$A$28:$A$39,0),1),INDEX('Category Mapping'!$E$28:$E$39,MATCH($A755,'Category Mapping'!$A$28:$A$39,0),1))</f>
        <v>14415000000</v>
      </c>
      <c r="Y755" s="27">
        <f>Y175*IF($E755="weekday",INDEX('Category Mapping'!$F$28:$F$39,MATCH('Summarized Source Data'!$A755,'Category Mapping'!$A$28:$A$39,0),1),INDEX('Category Mapping'!$E$28:$E$39,MATCH($A755,'Category Mapping'!$A$28:$A$39,0),1))</f>
        <v>14415000000</v>
      </c>
      <c r="Z755" s="27">
        <f>Z175*IF($E755="weekday",INDEX('Category Mapping'!$F$28:$F$39,MATCH('Summarized Source Data'!$A755,'Category Mapping'!$A$28:$A$39,0),1),INDEX('Category Mapping'!$E$28:$E$39,MATCH($A755,'Category Mapping'!$A$28:$A$39,0),1))</f>
        <v>14415000000</v>
      </c>
    </row>
    <row r="756" spans="1:26" x14ac:dyDescent="0.3">
      <c r="A756">
        <f t="shared" ref="A756:E756" si="221">A176</f>
        <v>8</v>
      </c>
      <c r="B756" t="str">
        <f t="shared" si="221"/>
        <v>Summer</v>
      </c>
      <c r="C756" t="str">
        <f t="shared" si="221"/>
        <v>h5</v>
      </c>
      <c r="D756" t="str">
        <f t="shared" si="221"/>
        <v>Hour4</v>
      </c>
      <c r="E756" t="str">
        <f t="shared" si="221"/>
        <v>Weekday</v>
      </c>
      <c r="F756" s="27">
        <f>F176*IF($E756="weekday",INDEX('Category Mapping'!$F$28:$F$39,MATCH('Summarized Source Data'!$A756,'Category Mapping'!$A$28:$A$39,0),1),INDEX('Category Mapping'!$E$28:$E$39,MATCH($A756,'Category Mapping'!$A$28:$A$39,0),1))</f>
        <v>1185838.5714285714</v>
      </c>
      <c r="G756" s="27">
        <f>G176*IF($E756="weekday",INDEX('Category Mapping'!$F$28:$F$39,MATCH('Summarized Source Data'!$A756,'Category Mapping'!$A$28:$A$39,0),1),INDEX('Category Mapping'!$E$28:$E$39,MATCH($A756,'Category Mapping'!$A$28:$A$39,0),1))</f>
        <v>1231142857.1428571</v>
      </c>
      <c r="H756" s="27">
        <f>H176*IF($E756="weekday",INDEX('Category Mapping'!$F$28:$F$39,MATCH('Summarized Source Data'!$A756,'Category Mapping'!$A$28:$A$39,0),1),INDEX('Category Mapping'!$E$28:$E$39,MATCH($A756,'Category Mapping'!$A$28:$A$39,0),1))</f>
        <v>0</v>
      </c>
      <c r="I756" s="27">
        <f>I176*IF($E756="weekday",INDEX('Category Mapping'!$F$28:$F$39,MATCH('Summarized Source Data'!$A756,'Category Mapping'!$A$28:$A$39,0),1),INDEX('Category Mapping'!$E$28:$E$39,MATCH($A756,'Category Mapping'!$A$28:$A$39,0),1))</f>
        <v>267928571.42857143</v>
      </c>
      <c r="J756" s="27">
        <f>J176*IF($E756="weekday",INDEX('Category Mapping'!$F$28:$F$39,MATCH('Summarized Source Data'!$A756,'Category Mapping'!$A$28:$A$39,0),1),INDEX('Category Mapping'!$E$28:$E$39,MATCH($A756,'Category Mapping'!$A$28:$A$39,0),1))</f>
        <v>891171304.28571427</v>
      </c>
      <c r="K756" s="27">
        <f>K176*IF($E756="weekday",INDEX('Category Mapping'!$F$28:$F$39,MATCH('Summarized Source Data'!$A756,'Category Mapping'!$A$28:$A$39,0),1),INDEX('Category Mapping'!$E$28:$E$39,MATCH($A756,'Category Mapping'!$A$28:$A$39,0),1))</f>
        <v>891171304.28571427</v>
      </c>
      <c r="L756" s="27">
        <f>L176*IF($E756="weekday",INDEX('Category Mapping'!$F$28:$F$39,MATCH('Summarized Source Data'!$A756,'Category Mapping'!$A$28:$A$39,0),1),INDEX('Category Mapping'!$E$28:$E$39,MATCH($A756,'Category Mapping'!$A$28:$A$39,0),1))</f>
        <v>4597477.1428571427</v>
      </c>
      <c r="M756" s="27">
        <f>M176*IF($E756="weekday",INDEX('Category Mapping'!$F$28:$F$39,MATCH('Summarized Source Data'!$A756,'Category Mapping'!$A$28:$A$39,0),1),INDEX('Category Mapping'!$E$28:$E$39,MATCH($A756,'Category Mapping'!$A$28:$A$39,0),1))</f>
        <v>4915714285.7142859</v>
      </c>
      <c r="N756" s="27">
        <f>N176*IF($E756="weekday",INDEX('Category Mapping'!$F$28:$F$39,MATCH('Summarized Source Data'!$A756,'Category Mapping'!$A$28:$A$39,0),1),INDEX('Category Mapping'!$E$28:$E$39,MATCH($A756,'Category Mapping'!$A$28:$A$39,0),1))</f>
        <v>0</v>
      </c>
      <c r="O756" s="27">
        <f>O176*IF($E756="weekday",INDEX('Category Mapping'!$F$28:$F$39,MATCH('Summarized Source Data'!$A756,'Category Mapping'!$A$28:$A$39,0),1),INDEX('Category Mapping'!$E$28:$E$39,MATCH($A756,'Category Mapping'!$A$28:$A$39,0),1))</f>
        <v>3626831094.2857141</v>
      </c>
      <c r="P756" s="27">
        <f>P176*IF($E756="weekday",INDEX('Category Mapping'!$F$28:$F$39,MATCH('Summarized Source Data'!$A756,'Category Mapping'!$A$28:$A$39,0),1),INDEX('Category Mapping'!$E$28:$E$39,MATCH($A756,'Category Mapping'!$A$28:$A$39,0),1))</f>
        <v>3626831094.2857141</v>
      </c>
      <c r="Q756" s="27">
        <f>Q176*IF($E756="weekday",INDEX('Category Mapping'!$F$28:$F$39,MATCH('Summarized Source Data'!$A756,'Category Mapping'!$A$28:$A$39,0),1),INDEX('Category Mapping'!$E$28:$E$39,MATCH($A756,'Category Mapping'!$A$28:$A$39,0),1))</f>
        <v>3626831094.2857141</v>
      </c>
      <c r="R756" s="27">
        <f>R176*IF($E756="weekday",INDEX('Category Mapping'!$F$28:$F$39,MATCH('Summarized Source Data'!$A756,'Category Mapping'!$A$28:$A$39,0),1),INDEX('Category Mapping'!$E$28:$E$39,MATCH($A756,'Category Mapping'!$A$28:$A$39,0),1))</f>
        <v>95368975.714285716</v>
      </c>
      <c r="S756" s="27">
        <f>S176*IF($E756="weekday",INDEX('Category Mapping'!$F$28:$F$39,MATCH('Summarized Source Data'!$A756,'Category Mapping'!$A$28:$A$39,0),1),INDEX('Category Mapping'!$E$28:$E$39,MATCH($A756,'Category Mapping'!$A$28:$A$39,0),1))</f>
        <v>95368975.714285716</v>
      </c>
      <c r="T756" s="27">
        <f>T176*IF($E756="weekday",INDEX('Category Mapping'!$F$28:$F$39,MATCH('Summarized Source Data'!$A756,'Category Mapping'!$A$28:$A$39,0),1),INDEX('Category Mapping'!$E$28:$E$39,MATCH($A756,'Category Mapping'!$A$28:$A$39,0),1))</f>
        <v>95368975.714285716</v>
      </c>
      <c r="U756" s="27">
        <f>U176*IF($E756="weekday",INDEX('Category Mapping'!$F$28:$F$39,MATCH('Summarized Source Data'!$A756,'Category Mapping'!$A$28:$A$39,0),1),INDEX('Category Mapping'!$E$28:$E$39,MATCH($A756,'Category Mapping'!$A$28:$A$39,0),1))</f>
        <v>95368975.714285716</v>
      </c>
      <c r="V756" s="27">
        <f>V176*IF($E756="weekday",INDEX('Category Mapping'!$F$28:$F$39,MATCH('Summarized Source Data'!$A756,'Category Mapping'!$A$28:$A$39,0),1),INDEX('Category Mapping'!$E$28:$E$39,MATCH($A756,'Category Mapping'!$A$28:$A$39,0),1))</f>
        <v>95368975.714285716</v>
      </c>
      <c r="W756" s="27">
        <f>W176*IF($E756="weekday",INDEX('Category Mapping'!$F$28:$F$39,MATCH('Summarized Source Data'!$A756,'Category Mapping'!$A$28:$A$39,0),1),INDEX('Category Mapping'!$E$28:$E$39,MATCH($A756,'Category Mapping'!$A$28:$A$39,0),1))</f>
        <v>95368975.714285716</v>
      </c>
      <c r="X756" s="27">
        <f>X176*IF($E756="weekday",INDEX('Category Mapping'!$F$28:$F$39,MATCH('Summarized Source Data'!$A756,'Category Mapping'!$A$28:$A$39,0),1),INDEX('Category Mapping'!$E$28:$E$39,MATCH($A756,'Category Mapping'!$A$28:$A$39,0),1))</f>
        <v>14459285714.285713</v>
      </c>
      <c r="Y756" s="27">
        <f>Y176*IF($E756="weekday",INDEX('Category Mapping'!$F$28:$F$39,MATCH('Summarized Source Data'!$A756,'Category Mapping'!$A$28:$A$39,0),1),INDEX('Category Mapping'!$E$28:$E$39,MATCH($A756,'Category Mapping'!$A$28:$A$39,0),1))</f>
        <v>14459285714.285713</v>
      </c>
      <c r="Z756" s="27">
        <f>Z176*IF($E756="weekday",INDEX('Category Mapping'!$F$28:$F$39,MATCH('Summarized Source Data'!$A756,'Category Mapping'!$A$28:$A$39,0),1),INDEX('Category Mapping'!$E$28:$E$39,MATCH($A756,'Category Mapping'!$A$28:$A$39,0),1))</f>
        <v>14459285714.285713</v>
      </c>
    </row>
    <row r="757" spans="1:26" x14ac:dyDescent="0.3">
      <c r="A757">
        <f t="shared" ref="A757:E757" si="222">A177</f>
        <v>8</v>
      </c>
      <c r="B757" t="str">
        <f t="shared" si="222"/>
        <v>Summer</v>
      </c>
      <c r="C757" t="str">
        <f t="shared" si="222"/>
        <v>h6</v>
      </c>
      <c r="D757" t="str">
        <f t="shared" si="222"/>
        <v>Hour5</v>
      </c>
      <c r="E757" t="str">
        <f t="shared" si="222"/>
        <v>Weekday</v>
      </c>
      <c r="F757" s="27">
        <f>F177*IF($E757="weekday",INDEX('Category Mapping'!$F$28:$F$39,MATCH('Summarized Source Data'!$A757,'Category Mapping'!$A$28:$A$39,0),1),INDEX('Category Mapping'!$E$28:$E$39,MATCH($A757,'Category Mapping'!$A$28:$A$39,0),1))</f>
        <v>1766003.5714285714</v>
      </c>
      <c r="G757" s="27">
        <f>G177*IF($E757="weekday",INDEX('Category Mapping'!$F$28:$F$39,MATCH('Summarized Source Data'!$A757,'Category Mapping'!$A$28:$A$39,0),1),INDEX('Category Mapping'!$E$28:$E$39,MATCH($A757,'Category Mapping'!$A$28:$A$39,0),1))</f>
        <v>1335214285.7142856</v>
      </c>
      <c r="H757" s="27">
        <f>H177*IF($E757="weekday",INDEX('Category Mapping'!$F$28:$F$39,MATCH('Summarized Source Data'!$A757,'Category Mapping'!$A$28:$A$39,0),1),INDEX('Category Mapping'!$E$28:$E$39,MATCH($A757,'Category Mapping'!$A$28:$A$39,0),1))</f>
        <v>0</v>
      </c>
      <c r="I757" s="27">
        <f>I177*IF($E757="weekday",INDEX('Category Mapping'!$F$28:$F$39,MATCH('Summarized Source Data'!$A757,'Category Mapping'!$A$28:$A$39,0),1),INDEX('Category Mapping'!$E$28:$E$39,MATCH($A757,'Category Mapping'!$A$28:$A$39,0),1))</f>
        <v>460571428.57142854</v>
      </c>
      <c r="J757" s="27">
        <f>J177*IF($E757="weekday",INDEX('Category Mapping'!$F$28:$F$39,MATCH('Summarized Source Data'!$A757,'Category Mapping'!$A$28:$A$39,0),1),INDEX('Category Mapping'!$E$28:$E$39,MATCH($A757,'Category Mapping'!$A$28:$A$39,0),1))</f>
        <v>1191733996.4285715</v>
      </c>
      <c r="K757" s="27">
        <f>K177*IF($E757="weekday",INDEX('Category Mapping'!$F$28:$F$39,MATCH('Summarized Source Data'!$A757,'Category Mapping'!$A$28:$A$39,0),1),INDEX('Category Mapping'!$E$28:$E$39,MATCH($A757,'Category Mapping'!$A$28:$A$39,0),1))</f>
        <v>1191733996.4285715</v>
      </c>
      <c r="L757" s="27">
        <f>L177*IF($E757="weekday",INDEX('Category Mapping'!$F$28:$F$39,MATCH('Summarized Source Data'!$A757,'Category Mapping'!$A$28:$A$39,0),1),INDEX('Category Mapping'!$E$28:$E$39,MATCH($A757,'Category Mapping'!$A$28:$A$39,0),1))</f>
        <v>4597477.1428571427</v>
      </c>
      <c r="M757" s="27">
        <f>M177*IF($E757="weekday",INDEX('Category Mapping'!$F$28:$F$39,MATCH('Summarized Source Data'!$A757,'Category Mapping'!$A$28:$A$39,0),1),INDEX('Category Mapping'!$E$28:$E$39,MATCH($A757,'Category Mapping'!$A$28:$A$39,0),1))</f>
        <v>5314285714.2857141</v>
      </c>
      <c r="N757" s="27">
        <f>N177*IF($E757="weekday",INDEX('Category Mapping'!$F$28:$F$39,MATCH('Summarized Source Data'!$A757,'Category Mapping'!$A$28:$A$39,0),1),INDEX('Category Mapping'!$E$28:$E$39,MATCH($A757,'Category Mapping'!$A$28:$A$39,0),1))</f>
        <v>0</v>
      </c>
      <c r="O757" s="27">
        <f>O177*IF($E757="weekday",INDEX('Category Mapping'!$F$28:$F$39,MATCH('Summarized Source Data'!$A757,'Category Mapping'!$A$28:$A$39,0),1),INDEX('Category Mapping'!$E$28:$E$39,MATCH($A757,'Category Mapping'!$A$28:$A$39,0),1))</f>
        <v>4224688237.1428571</v>
      </c>
      <c r="P757" s="27">
        <f>P177*IF($E757="weekday",INDEX('Category Mapping'!$F$28:$F$39,MATCH('Summarized Source Data'!$A757,'Category Mapping'!$A$28:$A$39,0),1),INDEX('Category Mapping'!$E$28:$E$39,MATCH($A757,'Category Mapping'!$A$28:$A$39,0),1))</f>
        <v>4224688237.1428571</v>
      </c>
      <c r="Q757" s="27">
        <f>Q177*IF($E757="weekday",INDEX('Category Mapping'!$F$28:$F$39,MATCH('Summarized Source Data'!$A757,'Category Mapping'!$A$28:$A$39,0),1),INDEX('Category Mapping'!$E$28:$E$39,MATCH($A757,'Category Mapping'!$A$28:$A$39,0),1))</f>
        <v>4224688237.1428571</v>
      </c>
      <c r="R757" s="27">
        <f>R177*IF($E757="weekday",INDEX('Category Mapping'!$F$28:$F$39,MATCH('Summarized Source Data'!$A757,'Category Mapping'!$A$28:$A$39,0),1),INDEX('Category Mapping'!$E$28:$E$39,MATCH($A757,'Category Mapping'!$A$28:$A$39,0),1))</f>
        <v>98318559.285714284</v>
      </c>
      <c r="S757" s="27">
        <f>S177*IF($E757="weekday",INDEX('Category Mapping'!$F$28:$F$39,MATCH('Summarized Source Data'!$A757,'Category Mapping'!$A$28:$A$39,0),1),INDEX('Category Mapping'!$E$28:$E$39,MATCH($A757,'Category Mapping'!$A$28:$A$39,0),1))</f>
        <v>98318559.285714284</v>
      </c>
      <c r="T757" s="27">
        <f>T177*IF($E757="weekday",INDEX('Category Mapping'!$F$28:$F$39,MATCH('Summarized Source Data'!$A757,'Category Mapping'!$A$28:$A$39,0),1),INDEX('Category Mapping'!$E$28:$E$39,MATCH($A757,'Category Mapping'!$A$28:$A$39,0),1))</f>
        <v>98318559.285714284</v>
      </c>
      <c r="U757" s="27">
        <f>U177*IF($E757="weekday",INDEX('Category Mapping'!$F$28:$F$39,MATCH('Summarized Source Data'!$A757,'Category Mapping'!$A$28:$A$39,0),1),INDEX('Category Mapping'!$E$28:$E$39,MATCH($A757,'Category Mapping'!$A$28:$A$39,0),1))</f>
        <v>98318559.285714284</v>
      </c>
      <c r="V757" s="27">
        <f>V177*IF($E757="weekday",INDEX('Category Mapping'!$F$28:$F$39,MATCH('Summarized Source Data'!$A757,'Category Mapping'!$A$28:$A$39,0),1),INDEX('Category Mapping'!$E$28:$E$39,MATCH($A757,'Category Mapping'!$A$28:$A$39,0),1))</f>
        <v>98318559.285714284</v>
      </c>
      <c r="W757" s="27">
        <f>W177*IF($E757="weekday",INDEX('Category Mapping'!$F$28:$F$39,MATCH('Summarized Source Data'!$A757,'Category Mapping'!$A$28:$A$39,0),1),INDEX('Category Mapping'!$E$28:$E$39,MATCH($A757,'Category Mapping'!$A$28:$A$39,0),1))</f>
        <v>98318559.285714284</v>
      </c>
      <c r="X757" s="27">
        <f>X177*IF($E757="weekday",INDEX('Category Mapping'!$F$28:$F$39,MATCH('Summarized Source Data'!$A757,'Category Mapping'!$A$28:$A$39,0),1),INDEX('Category Mapping'!$E$28:$E$39,MATCH($A757,'Category Mapping'!$A$28:$A$39,0),1))</f>
        <v>14570000000</v>
      </c>
      <c r="Y757" s="27">
        <f>Y177*IF($E757="weekday",INDEX('Category Mapping'!$F$28:$F$39,MATCH('Summarized Source Data'!$A757,'Category Mapping'!$A$28:$A$39,0),1),INDEX('Category Mapping'!$E$28:$E$39,MATCH($A757,'Category Mapping'!$A$28:$A$39,0),1))</f>
        <v>14570000000</v>
      </c>
      <c r="Z757" s="27">
        <f>Z177*IF($E757="weekday",INDEX('Category Mapping'!$F$28:$F$39,MATCH('Summarized Source Data'!$A757,'Category Mapping'!$A$28:$A$39,0),1),INDEX('Category Mapping'!$E$28:$E$39,MATCH($A757,'Category Mapping'!$A$28:$A$39,0),1))</f>
        <v>14570000000</v>
      </c>
    </row>
    <row r="758" spans="1:26" x14ac:dyDescent="0.3">
      <c r="A758">
        <f t="shared" ref="A758:E758" si="223">A178</f>
        <v>8</v>
      </c>
      <c r="B758" t="str">
        <f t="shared" si="223"/>
        <v>Summer</v>
      </c>
      <c r="C758" t="str">
        <f t="shared" si="223"/>
        <v>h7</v>
      </c>
      <c r="D758" t="str">
        <f t="shared" si="223"/>
        <v>Hour6</v>
      </c>
      <c r="E758" t="str">
        <f t="shared" si="223"/>
        <v>Weekday</v>
      </c>
      <c r="F758" s="27">
        <f>F178*IF($E758="weekday",INDEX('Category Mapping'!$F$28:$F$39,MATCH('Summarized Source Data'!$A758,'Category Mapping'!$A$28:$A$39,0),1),INDEX('Category Mapping'!$E$28:$E$39,MATCH($A758,'Category Mapping'!$A$28:$A$39,0),1))</f>
        <v>1999234.2857142857</v>
      </c>
      <c r="G758" s="27">
        <f>G178*IF($E758="weekday",INDEX('Category Mapping'!$F$28:$F$39,MATCH('Summarized Source Data'!$A758,'Category Mapping'!$A$28:$A$39,0),1),INDEX('Category Mapping'!$E$28:$E$39,MATCH($A758,'Category Mapping'!$A$28:$A$39,0),1))</f>
        <v>1313071428.5714285</v>
      </c>
      <c r="H758" s="27">
        <f>H178*IF($E758="weekday",INDEX('Category Mapping'!$F$28:$F$39,MATCH('Summarized Source Data'!$A758,'Category Mapping'!$A$28:$A$39,0),1),INDEX('Category Mapping'!$E$28:$E$39,MATCH($A758,'Category Mapping'!$A$28:$A$39,0),1))</f>
        <v>0</v>
      </c>
      <c r="I758" s="27">
        <f>I178*IF($E758="weekday",INDEX('Category Mapping'!$F$28:$F$39,MATCH('Summarized Source Data'!$A758,'Category Mapping'!$A$28:$A$39,0),1),INDEX('Category Mapping'!$E$28:$E$39,MATCH($A758,'Category Mapping'!$A$28:$A$39,0),1))</f>
        <v>263500000</v>
      </c>
      <c r="J758" s="27">
        <f>J178*IF($E758="weekday",INDEX('Category Mapping'!$F$28:$F$39,MATCH('Summarized Source Data'!$A758,'Category Mapping'!$A$28:$A$39,0),1),INDEX('Category Mapping'!$E$28:$E$39,MATCH($A758,'Category Mapping'!$A$28:$A$39,0),1))</f>
        <v>1853572194.2857141</v>
      </c>
      <c r="K758" s="27">
        <f>K178*IF($E758="weekday",INDEX('Category Mapping'!$F$28:$F$39,MATCH('Summarized Source Data'!$A758,'Category Mapping'!$A$28:$A$39,0),1),INDEX('Category Mapping'!$E$28:$E$39,MATCH($A758,'Category Mapping'!$A$28:$A$39,0),1))</f>
        <v>1853572194.2857141</v>
      </c>
      <c r="L758" s="27">
        <f>L178*IF($E758="weekday",INDEX('Category Mapping'!$F$28:$F$39,MATCH('Summarized Source Data'!$A758,'Category Mapping'!$A$28:$A$39,0),1),INDEX('Category Mapping'!$E$28:$E$39,MATCH($A758,'Category Mapping'!$A$28:$A$39,0),1))</f>
        <v>4597477.1428571427</v>
      </c>
      <c r="M758" s="27">
        <f>M178*IF($E758="weekday",INDEX('Category Mapping'!$F$28:$F$39,MATCH('Summarized Source Data'!$A758,'Category Mapping'!$A$28:$A$39,0),1),INDEX('Category Mapping'!$E$28:$E$39,MATCH($A758,'Category Mapping'!$A$28:$A$39,0),1))</f>
        <v>6067142857.1428566</v>
      </c>
      <c r="N758" s="27">
        <f>N178*IF($E758="weekday",INDEX('Category Mapping'!$F$28:$F$39,MATCH('Summarized Source Data'!$A758,'Category Mapping'!$A$28:$A$39,0),1),INDEX('Category Mapping'!$E$28:$E$39,MATCH($A758,'Category Mapping'!$A$28:$A$39,0),1))</f>
        <v>0</v>
      </c>
      <c r="O758" s="27">
        <f>O178*IF($E758="weekday",INDEX('Category Mapping'!$F$28:$F$39,MATCH('Summarized Source Data'!$A758,'Category Mapping'!$A$28:$A$39,0),1),INDEX('Category Mapping'!$E$28:$E$39,MATCH($A758,'Category Mapping'!$A$28:$A$39,0),1))</f>
        <v>6350402522.8571424</v>
      </c>
      <c r="P758" s="27">
        <f>P178*IF($E758="weekday",INDEX('Category Mapping'!$F$28:$F$39,MATCH('Summarized Source Data'!$A758,'Category Mapping'!$A$28:$A$39,0),1),INDEX('Category Mapping'!$E$28:$E$39,MATCH($A758,'Category Mapping'!$A$28:$A$39,0),1))</f>
        <v>6350402522.8571424</v>
      </c>
      <c r="Q758" s="27">
        <f>Q178*IF($E758="weekday",INDEX('Category Mapping'!$F$28:$F$39,MATCH('Summarized Source Data'!$A758,'Category Mapping'!$A$28:$A$39,0),1),INDEX('Category Mapping'!$E$28:$E$39,MATCH($A758,'Category Mapping'!$A$28:$A$39,0),1))</f>
        <v>6350402522.8571424</v>
      </c>
      <c r="R758" s="27">
        <f>R178*IF($E758="weekday",INDEX('Category Mapping'!$F$28:$F$39,MATCH('Summarized Source Data'!$A758,'Category Mapping'!$A$28:$A$39,0),1),INDEX('Category Mapping'!$E$28:$E$39,MATCH($A758,'Category Mapping'!$A$28:$A$39,0),1))</f>
        <v>148151214.28571427</v>
      </c>
      <c r="S758" s="27">
        <f>S178*IF($E758="weekday",INDEX('Category Mapping'!$F$28:$F$39,MATCH('Summarized Source Data'!$A758,'Category Mapping'!$A$28:$A$39,0),1),INDEX('Category Mapping'!$E$28:$E$39,MATCH($A758,'Category Mapping'!$A$28:$A$39,0),1))</f>
        <v>148151214.28571427</v>
      </c>
      <c r="T758" s="27">
        <f>T178*IF($E758="weekday",INDEX('Category Mapping'!$F$28:$F$39,MATCH('Summarized Source Data'!$A758,'Category Mapping'!$A$28:$A$39,0),1),INDEX('Category Mapping'!$E$28:$E$39,MATCH($A758,'Category Mapping'!$A$28:$A$39,0),1))</f>
        <v>148151214.28571427</v>
      </c>
      <c r="U758" s="27">
        <f>U178*IF($E758="weekday",INDEX('Category Mapping'!$F$28:$F$39,MATCH('Summarized Source Data'!$A758,'Category Mapping'!$A$28:$A$39,0),1),INDEX('Category Mapping'!$E$28:$E$39,MATCH($A758,'Category Mapping'!$A$28:$A$39,0),1))</f>
        <v>148151214.28571427</v>
      </c>
      <c r="V758" s="27">
        <f>V178*IF($E758="weekday",INDEX('Category Mapping'!$F$28:$F$39,MATCH('Summarized Source Data'!$A758,'Category Mapping'!$A$28:$A$39,0),1),INDEX('Category Mapping'!$E$28:$E$39,MATCH($A758,'Category Mapping'!$A$28:$A$39,0),1))</f>
        <v>148151214.28571427</v>
      </c>
      <c r="W758" s="27">
        <f>W178*IF($E758="weekday",INDEX('Category Mapping'!$F$28:$F$39,MATCH('Summarized Source Data'!$A758,'Category Mapping'!$A$28:$A$39,0),1),INDEX('Category Mapping'!$E$28:$E$39,MATCH($A758,'Category Mapping'!$A$28:$A$39,0),1))</f>
        <v>148151214.28571427</v>
      </c>
      <c r="X758" s="27">
        <f>X178*IF($E758="weekday",INDEX('Category Mapping'!$F$28:$F$39,MATCH('Summarized Source Data'!$A758,'Category Mapping'!$A$28:$A$39,0),1),INDEX('Category Mapping'!$E$28:$E$39,MATCH($A758,'Category Mapping'!$A$28:$A$39,0),1))</f>
        <v>14747142857.142857</v>
      </c>
      <c r="Y758" s="27">
        <f>Y178*IF($E758="weekday",INDEX('Category Mapping'!$F$28:$F$39,MATCH('Summarized Source Data'!$A758,'Category Mapping'!$A$28:$A$39,0),1),INDEX('Category Mapping'!$E$28:$E$39,MATCH($A758,'Category Mapping'!$A$28:$A$39,0),1))</f>
        <v>14747142857.142857</v>
      </c>
      <c r="Z758" s="27">
        <f>Z178*IF($E758="weekday",INDEX('Category Mapping'!$F$28:$F$39,MATCH('Summarized Source Data'!$A758,'Category Mapping'!$A$28:$A$39,0),1),INDEX('Category Mapping'!$E$28:$E$39,MATCH($A758,'Category Mapping'!$A$28:$A$39,0),1))</f>
        <v>14747142857.142857</v>
      </c>
    </row>
    <row r="759" spans="1:26" x14ac:dyDescent="0.3">
      <c r="A759">
        <f t="shared" ref="A759:E759" si="224">A179</f>
        <v>8</v>
      </c>
      <c r="B759" t="str">
        <f t="shared" si="224"/>
        <v>Summer</v>
      </c>
      <c r="C759" t="str">
        <f t="shared" si="224"/>
        <v>h8</v>
      </c>
      <c r="D759" t="str">
        <f t="shared" si="224"/>
        <v>Hour7</v>
      </c>
      <c r="E759" t="str">
        <f t="shared" si="224"/>
        <v>Weekday</v>
      </c>
      <c r="F759" s="27">
        <f>F179*IF($E759="weekday",INDEX('Category Mapping'!$F$28:$F$39,MATCH('Summarized Source Data'!$A759,'Category Mapping'!$A$28:$A$39,0),1),INDEX('Category Mapping'!$E$28:$E$39,MATCH($A759,'Category Mapping'!$A$28:$A$39,0),1))</f>
        <v>2024189.2857142857</v>
      </c>
      <c r="G759" s="27">
        <f>G179*IF($E759="weekday",INDEX('Category Mapping'!$F$28:$F$39,MATCH('Summarized Source Data'!$A759,'Category Mapping'!$A$28:$A$39,0),1),INDEX('Category Mapping'!$E$28:$E$39,MATCH($A759,'Category Mapping'!$A$28:$A$39,0),1))</f>
        <v>1178000000</v>
      </c>
      <c r="H759" s="27">
        <f>H179*IF($E759="weekday",INDEX('Category Mapping'!$F$28:$F$39,MATCH('Summarized Source Data'!$A759,'Category Mapping'!$A$28:$A$39,0),1),INDEX('Category Mapping'!$E$28:$E$39,MATCH($A759,'Category Mapping'!$A$28:$A$39,0),1))</f>
        <v>0</v>
      </c>
      <c r="I759" s="27">
        <f>I179*IF($E759="weekday",INDEX('Category Mapping'!$F$28:$F$39,MATCH('Summarized Source Data'!$A759,'Category Mapping'!$A$28:$A$39,0),1),INDEX('Category Mapping'!$E$28:$E$39,MATCH($A759,'Category Mapping'!$A$28:$A$39,0),1))</f>
        <v>209037185</v>
      </c>
      <c r="J759" s="27">
        <f>J179*IF($E759="weekday",INDEX('Category Mapping'!$F$28:$F$39,MATCH('Summarized Source Data'!$A759,'Category Mapping'!$A$28:$A$39,0),1),INDEX('Category Mapping'!$E$28:$E$39,MATCH($A759,'Category Mapping'!$A$28:$A$39,0),1))</f>
        <v>2353081482.8571429</v>
      </c>
      <c r="K759" s="27">
        <f>K179*IF($E759="weekday",INDEX('Category Mapping'!$F$28:$F$39,MATCH('Summarized Source Data'!$A759,'Category Mapping'!$A$28:$A$39,0),1),INDEX('Category Mapping'!$E$28:$E$39,MATCH($A759,'Category Mapping'!$A$28:$A$39,0),1))</f>
        <v>2353081482.8571429</v>
      </c>
      <c r="L759" s="27">
        <f>L179*IF($E759="weekday",INDEX('Category Mapping'!$F$28:$F$39,MATCH('Summarized Source Data'!$A759,'Category Mapping'!$A$28:$A$39,0),1),INDEX('Category Mapping'!$E$28:$E$39,MATCH($A759,'Category Mapping'!$A$28:$A$39,0),1))</f>
        <v>4597477.1428571427</v>
      </c>
      <c r="M759" s="27">
        <f>M179*IF($E759="weekday",INDEX('Category Mapping'!$F$28:$F$39,MATCH('Summarized Source Data'!$A759,'Category Mapping'!$A$28:$A$39,0),1),INDEX('Category Mapping'!$E$28:$E$39,MATCH($A759,'Category Mapping'!$A$28:$A$39,0),1))</f>
        <v>7240714285.7142859</v>
      </c>
      <c r="N759" s="27">
        <f>N179*IF($E759="weekday",INDEX('Category Mapping'!$F$28:$F$39,MATCH('Summarized Source Data'!$A759,'Category Mapping'!$A$28:$A$39,0),1),INDEX('Category Mapping'!$E$28:$E$39,MATCH($A759,'Category Mapping'!$A$28:$A$39,0),1))</f>
        <v>0</v>
      </c>
      <c r="O759" s="27">
        <f>O179*IF($E759="weekday",INDEX('Category Mapping'!$F$28:$F$39,MATCH('Summarized Source Data'!$A759,'Category Mapping'!$A$28:$A$39,0),1),INDEX('Category Mapping'!$E$28:$E$39,MATCH($A759,'Category Mapping'!$A$28:$A$39,0),1))</f>
        <v>8697545380</v>
      </c>
      <c r="P759" s="27">
        <f>P179*IF($E759="weekday",INDEX('Category Mapping'!$F$28:$F$39,MATCH('Summarized Source Data'!$A759,'Category Mapping'!$A$28:$A$39,0),1),INDEX('Category Mapping'!$E$28:$E$39,MATCH($A759,'Category Mapping'!$A$28:$A$39,0),1))</f>
        <v>8697545380</v>
      </c>
      <c r="Q759" s="27">
        <f>Q179*IF($E759="weekday",INDEX('Category Mapping'!$F$28:$F$39,MATCH('Summarized Source Data'!$A759,'Category Mapping'!$A$28:$A$39,0),1),INDEX('Category Mapping'!$E$28:$E$39,MATCH($A759,'Category Mapping'!$A$28:$A$39,0),1))</f>
        <v>8697545380</v>
      </c>
      <c r="R759" s="27">
        <f>R179*IF($E759="weekday",INDEX('Category Mapping'!$F$28:$F$39,MATCH('Summarized Source Data'!$A759,'Category Mapping'!$A$28:$A$39,0),1),INDEX('Category Mapping'!$E$28:$E$39,MATCH($A759,'Category Mapping'!$A$28:$A$39,0),1))</f>
        <v>312214285.71428573</v>
      </c>
      <c r="S759" s="27">
        <f>S179*IF($E759="weekday",INDEX('Category Mapping'!$F$28:$F$39,MATCH('Summarized Source Data'!$A759,'Category Mapping'!$A$28:$A$39,0),1),INDEX('Category Mapping'!$E$28:$E$39,MATCH($A759,'Category Mapping'!$A$28:$A$39,0),1))</f>
        <v>312214285.71428573</v>
      </c>
      <c r="T759" s="27">
        <f>T179*IF($E759="weekday",INDEX('Category Mapping'!$F$28:$F$39,MATCH('Summarized Source Data'!$A759,'Category Mapping'!$A$28:$A$39,0),1),INDEX('Category Mapping'!$E$28:$E$39,MATCH($A759,'Category Mapping'!$A$28:$A$39,0),1))</f>
        <v>312214285.71428573</v>
      </c>
      <c r="U759" s="27">
        <f>U179*IF($E759="weekday",INDEX('Category Mapping'!$F$28:$F$39,MATCH('Summarized Source Data'!$A759,'Category Mapping'!$A$28:$A$39,0),1),INDEX('Category Mapping'!$E$28:$E$39,MATCH($A759,'Category Mapping'!$A$28:$A$39,0),1))</f>
        <v>312214285.71428573</v>
      </c>
      <c r="V759" s="27">
        <f>V179*IF($E759="weekday",INDEX('Category Mapping'!$F$28:$F$39,MATCH('Summarized Source Data'!$A759,'Category Mapping'!$A$28:$A$39,0),1),INDEX('Category Mapping'!$E$28:$E$39,MATCH($A759,'Category Mapping'!$A$28:$A$39,0),1))</f>
        <v>312214285.71428573</v>
      </c>
      <c r="W759" s="27">
        <f>W179*IF($E759="weekday",INDEX('Category Mapping'!$F$28:$F$39,MATCH('Summarized Source Data'!$A759,'Category Mapping'!$A$28:$A$39,0),1),INDEX('Category Mapping'!$E$28:$E$39,MATCH($A759,'Category Mapping'!$A$28:$A$39,0),1))</f>
        <v>312214285.71428573</v>
      </c>
      <c r="X759" s="27">
        <f>X179*IF($E759="weekday",INDEX('Category Mapping'!$F$28:$F$39,MATCH('Summarized Source Data'!$A759,'Category Mapping'!$A$28:$A$39,0),1),INDEX('Category Mapping'!$E$28:$E$39,MATCH($A759,'Category Mapping'!$A$28:$A$39,0),1))</f>
        <v>14902142857.142857</v>
      </c>
      <c r="Y759" s="27">
        <f>Y179*IF($E759="weekday",INDEX('Category Mapping'!$F$28:$F$39,MATCH('Summarized Source Data'!$A759,'Category Mapping'!$A$28:$A$39,0),1),INDEX('Category Mapping'!$E$28:$E$39,MATCH($A759,'Category Mapping'!$A$28:$A$39,0),1))</f>
        <v>14902142857.142857</v>
      </c>
      <c r="Z759" s="27">
        <f>Z179*IF($E759="weekday",INDEX('Category Mapping'!$F$28:$F$39,MATCH('Summarized Source Data'!$A759,'Category Mapping'!$A$28:$A$39,0),1),INDEX('Category Mapping'!$E$28:$E$39,MATCH($A759,'Category Mapping'!$A$28:$A$39,0),1))</f>
        <v>14902142857.142857</v>
      </c>
    </row>
    <row r="760" spans="1:26" x14ac:dyDescent="0.3">
      <c r="A760">
        <f t="shared" ref="A760:E760" si="225">A180</f>
        <v>8</v>
      </c>
      <c r="B760" t="str">
        <f t="shared" si="225"/>
        <v>Summer</v>
      </c>
      <c r="C760" t="str">
        <f t="shared" si="225"/>
        <v>h9</v>
      </c>
      <c r="D760" t="str">
        <f t="shared" si="225"/>
        <v>Hour8</v>
      </c>
      <c r="E760" t="str">
        <f t="shared" si="225"/>
        <v>Weekday</v>
      </c>
      <c r="F760" s="27">
        <f>F180*IF($E760="weekday",INDEX('Category Mapping'!$F$28:$F$39,MATCH('Summarized Source Data'!$A760,'Category Mapping'!$A$28:$A$39,0),1),INDEX('Category Mapping'!$E$28:$E$39,MATCH($A760,'Category Mapping'!$A$28:$A$39,0),1))</f>
        <v>2008401.4285714286</v>
      </c>
      <c r="G760" s="27">
        <f>G180*IF($E760="weekday",INDEX('Category Mapping'!$F$28:$F$39,MATCH('Summarized Source Data'!$A760,'Category Mapping'!$A$28:$A$39,0),1),INDEX('Category Mapping'!$E$28:$E$39,MATCH($A760,'Category Mapping'!$A$28:$A$39,0),1))</f>
        <v>1122642857.1428571</v>
      </c>
      <c r="H760" s="27">
        <f>H180*IF($E760="weekday",INDEX('Category Mapping'!$F$28:$F$39,MATCH('Summarized Source Data'!$A760,'Category Mapping'!$A$28:$A$39,0),1),INDEX('Category Mapping'!$E$28:$E$39,MATCH($A760,'Category Mapping'!$A$28:$A$39,0),1))</f>
        <v>0</v>
      </c>
      <c r="I760" s="27">
        <f>I180*IF($E760="weekday",INDEX('Category Mapping'!$F$28:$F$39,MATCH('Summarized Source Data'!$A760,'Category Mapping'!$A$28:$A$39,0),1),INDEX('Category Mapping'!$E$28:$E$39,MATCH($A760,'Category Mapping'!$A$28:$A$39,0),1))</f>
        <v>204719438.57142857</v>
      </c>
      <c r="J760" s="27">
        <f>J180*IF($E760="weekday",INDEX('Category Mapping'!$F$28:$F$39,MATCH('Summarized Source Data'!$A760,'Category Mapping'!$A$28:$A$39,0),1),INDEX('Category Mapping'!$E$28:$E$39,MATCH($A760,'Category Mapping'!$A$28:$A$39,0),1))</f>
        <v>2412772160</v>
      </c>
      <c r="K760" s="27">
        <f>K180*IF($E760="weekday",INDEX('Category Mapping'!$F$28:$F$39,MATCH('Summarized Source Data'!$A760,'Category Mapping'!$A$28:$A$39,0),1),INDEX('Category Mapping'!$E$28:$E$39,MATCH($A760,'Category Mapping'!$A$28:$A$39,0),1))</f>
        <v>2412772160</v>
      </c>
      <c r="L760" s="27">
        <f>L180*IF($E760="weekday",INDEX('Category Mapping'!$F$28:$F$39,MATCH('Summarized Source Data'!$A760,'Category Mapping'!$A$28:$A$39,0),1),INDEX('Category Mapping'!$E$28:$E$39,MATCH($A760,'Category Mapping'!$A$28:$A$39,0),1))</f>
        <v>4597477.1428571427</v>
      </c>
      <c r="M760" s="27">
        <f>M180*IF($E760="weekday",INDEX('Category Mapping'!$F$28:$F$39,MATCH('Summarized Source Data'!$A760,'Category Mapping'!$A$28:$A$39,0),1),INDEX('Category Mapping'!$E$28:$E$39,MATCH($A760,'Category Mapping'!$A$28:$A$39,0),1))</f>
        <v>8790714285.7142849</v>
      </c>
      <c r="N760" s="27">
        <f>N180*IF($E760="weekday",INDEX('Category Mapping'!$F$28:$F$39,MATCH('Summarized Source Data'!$A760,'Category Mapping'!$A$28:$A$39,0),1),INDEX('Category Mapping'!$E$28:$E$39,MATCH($A760,'Category Mapping'!$A$28:$A$39,0),1))</f>
        <v>0</v>
      </c>
      <c r="O760" s="27">
        <f>O180*IF($E760="weekday",INDEX('Category Mapping'!$F$28:$F$39,MATCH('Summarized Source Data'!$A760,'Category Mapping'!$A$28:$A$39,0),1),INDEX('Category Mapping'!$E$28:$E$39,MATCH($A760,'Category Mapping'!$A$28:$A$39,0),1))</f>
        <v>10823259665.714285</v>
      </c>
      <c r="P760" s="27">
        <f>P180*IF($E760="weekday",INDEX('Category Mapping'!$F$28:$F$39,MATCH('Summarized Source Data'!$A760,'Category Mapping'!$A$28:$A$39,0),1),INDEX('Category Mapping'!$E$28:$E$39,MATCH($A760,'Category Mapping'!$A$28:$A$39,0),1))</f>
        <v>10823259665.714285</v>
      </c>
      <c r="Q760" s="27">
        <f>Q180*IF($E760="weekday",INDEX('Category Mapping'!$F$28:$F$39,MATCH('Summarized Source Data'!$A760,'Category Mapping'!$A$28:$A$39,0),1),INDEX('Category Mapping'!$E$28:$E$39,MATCH($A760,'Category Mapping'!$A$28:$A$39,0),1))</f>
        <v>10823259665.714285</v>
      </c>
      <c r="R760" s="27">
        <f>R180*IF($E760="weekday",INDEX('Category Mapping'!$F$28:$F$39,MATCH('Summarized Source Data'!$A760,'Category Mapping'!$A$28:$A$39,0),1),INDEX('Category Mapping'!$E$28:$E$39,MATCH($A760,'Category Mapping'!$A$28:$A$39,0),1))</f>
        <v>343214285.71428573</v>
      </c>
      <c r="S760" s="27">
        <f>S180*IF($E760="weekday",INDEX('Category Mapping'!$F$28:$F$39,MATCH('Summarized Source Data'!$A760,'Category Mapping'!$A$28:$A$39,0),1),INDEX('Category Mapping'!$E$28:$E$39,MATCH($A760,'Category Mapping'!$A$28:$A$39,0),1))</f>
        <v>343214285.71428573</v>
      </c>
      <c r="T760" s="27">
        <f>T180*IF($E760="weekday",INDEX('Category Mapping'!$F$28:$F$39,MATCH('Summarized Source Data'!$A760,'Category Mapping'!$A$28:$A$39,0),1),INDEX('Category Mapping'!$E$28:$E$39,MATCH($A760,'Category Mapping'!$A$28:$A$39,0),1))</f>
        <v>343214285.71428573</v>
      </c>
      <c r="U760" s="27">
        <f>U180*IF($E760="weekday",INDEX('Category Mapping'!$F$28:$F$39,MATCH('Summarized Source Data'!$A760,'Category Mapping'!$A$28:$A$39,0),1),INDEX('Category Mapping'!$E$28:$E$39,MATCH($A760,'Category Mapping'!$A$28:$A$39,0),1))</f>
        <v>343214285.71428573</v>
      </c>
      <c r="V760" s="27">
        <f>V180*IF($E760="weekday",INDEX('Category Mapping'!$F$28:$F$39,MATCH('Summarized Source Data'!$A760,'Category Mapping'!$A$28:$A$39,0),1),INDEX('Category Mapping'!$E$28:$E$39,MATCH($A760,'Category Mapping'!$A$28:$A$39,0),1))</f>
        <v>343214285.71428573</v>
      </c>
      <c r="W760" s="27">
        <f>W180*IF($E760="weekday",INDEX('Category Mapping'!$F$28:$F$39,MATCH('Summarized Source Data'!$A760,'Category Mapping'!$A$28:$A$39,0),1),INDEX('Category Mapping'!$E$28:$E$39,MATCH($A760,'Category Mapping'!$A$28:$A$39,0),1))</f>
        <v>343214285.71428573</v>
      </c>
      <c r="X760" s="27">
        <f>X180*IF($E760="weekday",INDEX('Category Mapping'!$F$28:$F$39,MATCH('Summarized Source Data'!$A760,'Category Mapping'!$A$28:$A$39,0),1),INDEX('Category Mapping'!$E$28:$E$39,MATCH($A760,'Category Mapping'!$A$28:$A$39,0),1))</f>
        <v>14946428571.428572</v>
      </c>
      <c r="Y760" s="27">
        <f>Y180*IF($E760="weekday",INDEX('Category Mapping'!$F$28:$F$39,MATCH('Summarized Source Data'!$A760,'Category Mapping'!$A$28:$A$39,0),1),INDEX('Category Mapping'!$E$28:$E$39,MATCH($A760,'Category Mapping'!$A$28:$A$39,0),1))</f>
        <v>14946428571.428572</v>
      </c>
      <c r="Z760" s="27">
        <f>Z180*IF($E760="weekday",INDEX('Category Mapping'!$F$28:$F$39,MATCH('Summarized Source Data'!$A760,'Category Mapping'!$A$28:$A$39,0),1),INDEX('Category Mapping'!$E$28:$E$39,MATCH($A760,'Category Mapping'!$A$28:$A$39,0),1))</f>
        <v>14946428571.428572</v>
      </c>
    </row>
    <row r="761" spans="1:26" x14ac:dyDescent="0.3">
      <c r="A761">
        <f t="shared" ref="A761:E761" si="226">A181</f>
        <v>8</v>
      </c>
      <c r="B761" t="str">
        <f t="shared" si="226"/>
        <v>Summer</v>
      </c>
      <c r="C761" t="str">
        <f t="shared" si="226"/>
        <v>h10</v>
      </c>
      <c r="D761" t="str">
        <f t="shared" si="226"/>
        <v>Hour9</v>
      </c>
      <c r="E761" t="str">
        <f t="shared" si="226"/>
        <v>Weekday</v>
      </c>
      <c r="F761" s="27">
        <f>F181*IF($E761="weekday",INDEX('Category Mapping'!$F$28:$F$39,MATCH('Summarized Source Data'!$A761,'Category Mapping'!$A$28:$A$39,0),1),INDEX('Category Mapping'!$E$28:$E$39,MATCH($A761,'Category Mapping'!$A$28:$A$39,0),1))</f>
        <v>1387006.4285714286</v>
      </c>
      <c r="G761" s="27">
        <f>G181*IF($E761="weekday",INDEX('Category Mapping'!$F$28:$F$39,MATCH('Summarized Source Data'!$A761,'Category Mapping'!$A$28:$A$39,0),1),INDEX('Category Mapping'!$E$28:$E$39,MATCH($A761,'Category Mapping'!$A$28:$A$39,0),1))</f>
        <v>1120428571.4285715</v>
      </c>
      <c r="H761" s="27">
        <f>H181*IF($E761="weekday",INDEX('Category Mapping'!$F$28:$F$39,MATCH('Summarized Source Data'!$A761,'Category Mapping'!$A$28:$A$39,0),1),INDEX('Category Mapping'!$E$28:$E$39,MATCH($A761,'Category Mapping'!$A$28:$A$39,0),1))</f>
        <v>0</v>
      </c>
      <c r="I761" s="27">
        <f>I181*IF($E761="weekday",INDEX('Category Mapping'!$F$28:$F$39,MATCH('Summarized Source Data'!$A761,'Category Mapping'!$A$28:$A$39,0),1),INDEX('Category Mapping'!$E$28:$E$39,MATCH($A761,'Category Mapping'!$A$28:$A$39,0),1))</f>
        <v>196929935.7142857</v>
      </c>
      <c r="J761" s="27">
        <f>J181*IF($E761="weekday",INDEX('Category Mapping'!$F$28:$F$39,MATCH('Summarized Source Data'!$A761,'Category Mapping'!$A$28:$A$39,0),1),INDEX('Category Mapping'!$E$28:$E$39,MATCH($A761,'Category Mapping'!$A$28:$A$39,0),1))</f>
        <v>2423397343.5714283</v>
      </c>
      <c r="K761" s="27">
        <f>K181*IF($E761="weekday",INDEX('Category Mapping'!$F$28:$F$39,MATCH('Summarized Source Data'!$A761,'Category Mapping'!$A$28:$A$39,0),1),INDEX('Category Mapping'!$E$28:$E$39,MATCH($A761,'Category Mapping'!$A$28:$A$39,0),1))</f>
        <v>2423397343.5714283</v>
      </c>
      <c r="L761" s="27">
        <f>L181*IF($E761="weekday",INDEX('Category Mapping'!$F$28:$F$39,MATCH('Summarized Source Data'!$A761,'Category Mapping'!$A$28:$A$39,0),1),INDEX('Category Mapping'!$E$28:$E$39,MATCH($A761,'Category Mapping'!$A$28:$A$39,0),1))</f>
        <v>4597477.1428571427</v>
      </c>
      <c r="M761" s="27">
        <f>M181*IF($E761="weekday",INDEX('Category Mapping'!$F$28:$F$39,MATCH('Summarized Source Data'!$A761,'Category Mapping'!$A$28:$A$39,0),1),INDEX('Category Mapping'!$E$28:$E$39,MATCH($A761,'Category Mapping'!$A$28:$A$39,0),1))</f>
        <v>9986428571.4285717</v>
      </c>
      <c r="N761" s="27">
        <f>N181*IF($E761="weekday",INDEX('Category Mapping'!$F$28:$F$39,MATCH('Summarized Source Data'!$A761,'Category Mapping'!$A$28:$A$39,0),1),INDEX('Category Mapping'!$E$28:$E$39,MATCH($A761,'Category Mapping'!$A$28:$A$39,0),1))</f>
        <v>0</v>
      </c>
      <c r="O761" s="27">
        <f>O181*IF($E761="weekday",INDEX('Category Mapping'!$F$28:$F$39,MATCH('Summarized Source Data'!$A761,'Category Mapping'!$A$28:$A$39,0),1),INDEX('Category Mapping'!$E$28:$E$39,MATCH($A761,'Category Mapping'!$A$28:$A$39,0),1))</f>
        <v>11376831094.285713</v>
      </c>
      <c r="P761" s="27">
        <f>P181*IF($E761="weekday",INDEX('Category Mapping'!$F$28:$F$39,MATCH('Summarized Source Data'!$A761,'Category Mapping'!$A$28:$A$39,0),1),INDEX('Category Mapping'!$E$28:$E$39,MATCH($A761,'Category Mapping'!$A$28:$A$39,0),1))</f>
        <v>11376831094.285713</v>
      </c>
      <c r="Q761" s="27">
        <f>Q181*IF($E761="weekday",INDEX('Category Mapping'!$F$28:$F$39,MATCH('Summarized Source Data'!$A761,'Category Mapping'!$A$28:$A$39,0),1),INDEX('Category Mapping'!$E$28:$E$39,MATCH($A761,'Category Mapping'!$A$28:$A$39,0),1))</f>
        <v>11376831094.285713</v>
      </c>
      <c r="R761" s="27">
        <f>R181*IF($E761="weekday",INDEX('Category Mapping'!$F$28:$F$39,MATCH('Summarized Source Data'!$A761,'Category Mapping'!$A$28:$A$39,0),1),INDEX('Category Mapping'!$E$28:$E$39,MATCH($A761,'Category Mapping'!$A$28:$A$39,0),1))</f>
        <v>303357142.85714287</v>
      </c>
      <c r="S761" s="27">
        <f>S181*IF($E761="weekday",INDEX('Category Mapping'!$F$28:$F$39,MATCH('Summarized Source Data'!$A761,'Category Mapping'!$A$28:$A$39,0),1),INDEX('Category Mapping'!$E$28:$E$39,MATCH($A761,'Category Mapping'!$A$28:$A$39,0),1))</f>
        <v>303357142.85714287</v>
      </c>
      <c r="T761" s="27">
        <f>T181*IF($E761="weekday",INDEX('Category Mapping'!$F$28:$F$39,MATCH('Summarized Source Data'!$A761,'Category Mapping'!$A$28:$A$39,0),1),INDEX('Category Mapping'!$E$28:$E$39,MATCH($A761,'Category Mapping'!$A$28:$A$39,0),1))</f>
        <v>303357142.85714287</v>
      </c>
      <c r="U761" s="27">
        <f>U181*IF($E761="weekday",INDEX('Category Mapping'!$F$28:$F$39,MATCH('Summarized Source Data'!$A761,'Category Mapping'!$A$28:$A$39,0),1),INDEX('Category Mapping'!$E$28:$E$39,MATCH($A761,'Category Mapping'!$A$28:$A$39,0),1))</f>
        <v>303357142.85714287</v>
      </c>
      <c r="V761" s="27">
        <f>V181*IF($E761="weekday",INDEX('Category Mapping'!$F$28:$F$39,MATCH('Summarized Source Data'!$A761,'Category Mapping'!$A$28:$A$39,0),1),INDEX('Category Mapping'!$E$28:$E$39,MATCH($A761,'Category Mapping'!$A$28:$A$39,0),1))</f>
        <v>303357142.85714287</v>
      </c>
      <c r="W761" s="27">
        <f>W181*IF($E761="weekday",INDEX('Category Mapping'!$F$28:$F$39,MATCH('Summarized Source Data'!$A761,'Category Mapping'!$A$28:$A$39,0),1),INDEX('Category Mapping'!$E$28:$E$39,MATCH($A761,'Category Mapping'!$A$28:$A$39,0),1))</f>
        <v>303357142.85714287</v>
      </c>
      <c r="X761" s="27">
        <f>X181*IF($E761="weekday",INDEX('Category Mapping'!$F$28:$F$39,MATCH('Summarized Source Data'!$A761,'Category Mapping'!$A$28:$A$39,0),1),INDEX('Category Mapping'!$E$28:$E$39,MATCH($A761,'Category Mapping'!$A$28:$A$39,0),1))</f>
        <v>14924285714.285713</v>
      </c>
      <c r="Y761" s="27">
        <f>Y181*IF($E761="weekday",INDEX('Category Mapping'!$F$28:$F$39,MATCH('Summarized Source Data'!$A761,'Category Mapping'!$A$28:$A$39,0),1),INDEX('Category Mapping'!$E$28:$E$39,MATCH($A761,'Category Mapping'!$A$28:$A$39,0),1))</f>
        <v>14924285714.285713</v>
      </c>
      <c r="Z761" s="27">
        <f>Z181*IF($E761="weekday",INDEX('Category Mapping'!$F$28:$F$39,MATCH('Summarized Source Data'!$A761,'Category Mapping'!$A$28:$A$39,0),1),INDEX('Category Mapping'!$E$28:$E$39,MATCH($A761,'Category Mapping'!$A$28:$A$39,0),1))</f>
        <v>14924285714.285713</v>
      </c>
    </row>
    <row r="762" spans="1:26" x14ac:dyDescent="0.3">
      <c r="A762">
        <f t="shared" ref="A762:E762" si="227">A182</f>
        <v>8</v>
      </c>
      <c r="B762" t="str">
        <f t="shared" si="227"/>
        <v>Summer</v>
      </c>
      <c r="C762" t="str">
        <f t="shared" si="227"/>
        <v>h11</v>
      </c>
      <c r="D762" t="str">
        <f t="shared" si="227"/>
        <v>Hour10</v>
      </c>
      <c r="E762" t="str">
        <f t="shared" si="227"/>
        <v>Weekday</v>
      </c>
      <c r="F762" s="27">
        <f>F182*IF($E762="weekday",INDEX('Category Mapping'!$F$28:$F$39,MATCH('Summarized Source Data'!$A762,'Category Mapping'!$A$28:$A$39,0),1),INDEX('Category Mapping'!$E$28:$E$39,MATCH($A762,'Category Mapping'!$A$28:$A$39,0),1))</f>
        <v>1398786.4285714286</v>
      </c>
      <c r="G762" s="27">
        <f>G182*IF($E762="weekday",INDEX('Category Mapping'!$F$28:$F$39,MATCH('Summarized Source Data'!$A762,'Category Mapping'!$A$28:$A$39,0),1),INDEX('Category Mapping'!$E$28:$E$39,MATCH($A762,'Category Mapping'!$A$28:$A$39,0),1))</f>
        <v>1246642857.1428571</v>
      </c>
      <c r="H762" s="27">
        <f>H182*IF($E762="weekday",INDEX('Category Mapping'!$F$28:$F$39,MATCH('Summarized Source Data'!$A762,'Category Mapping'!$A$28:$A$39,0),1),INDEX('Category Mapping'!$E$28:$E$39,MATCH($A762,'Category Mapping'!$A$28:$A$39,0),1))</f>
        <v>0</v>
      </c>
      <c r="I762" s="27">
        <f>I182*IF($E762="weekday",INDEX('Category Mapping'!$F$28:$F$39,MATCH('Summarized Source Data'!$A762,'Category Mapping'!$A$28:$A$39,0),1),INDEX('Category Mapping'!$E$28:$E$39,MATCH($A762,'Category Mapping'!$A$28:$A$39,0),1))</f>
        <v>200147713.57142857</v>
      </c>
      <c r="J762" s="27">
        <f>J182*IF($E762="weekday",INDEX('Category Mapping'!$F$28:$F$39,MATCH('Summarized Source Data'!$A762,'Category Mapping'!$A$28:$A$39,0),1),INDEX('Category Mapping'!$E$28:$E$39,MATCH($A762,'Category Mapping'!$A$28:$A$39,0),1))</f>
        <v>2404667785.7142859</v>
      </c>
      <c r="K762" s="27">
        <f>K182*IF($E762="weekday",INDEX('Category Mapping'!$F$28:$F$39,MATCH('Summarized Source Data'!$A762,'Category Mapping'!$A$28:$A$39,0),1),INDEX('Category Mapping'!$E$28:$E$39,MATCH($A762,'Category Mapping'!$A$28:$A$39,0),1))</f>
        <v>2404667785.7142859</v>
      </c>
      <c r="L762" s="27">
        <f>L182*IF($E762="weekday",INDEX('Category Mapping'!$F$28:$F$39,MATCH('Summarized Source Data'!$A762,'Category Mapping'!$A$28:$A$39,0),1),INDEX('Category Mapping'!$E$28:$E$39,MATCH($A762,'Category Mapping'!$A$28:$A$39,0),1))</f>
        <v>4597477.1428571427</v>
      </c>
      <c r="M762" s="27">
        <f>M182*IF($E762="weekday",INDEX('Category Mapping'!$F$28:$F$39,MATCH('Summarized Source Data'!$A762,'Category Mapping'!$A$28:$A$39,0),1),INDEX('Category Mapping'!$E$28:$E$39,MATCH($A762,'Category Mapping'!$A$28:$A$39,0),1))</f>
        <v>10827857142.857143</v>
      </c>
      <c r="N762" s="27">
        <f>N182*IF($E762="weekday",INDEX('Category Mapping'!$F$28:$F$39,MATCH('Summarized Source Data'!$A762,'Category Mapping'!$A$28:$A$39,0),1),INDEX('Category Mapping'!$E$28:$E$39,MATCH($A762,'Category Mapping'!$A$28:$A$39,0),1))</f>
        <v>0</v>
      </c>
      <c r="O762" s="27">
        <f>O182*IF($E762="weekday",INDEX('Category Mapping'!$F$28:$F$39,MATCH('Summarized Source Data'!$A762,'Category Mapping'!$A$28:$A$39,0),1),INDEX('Category Mapping'!$E$28:$E$39,MATCH($A762,'Category Mapping'!$A$28:$A$39,0),1))</f>
        <v>11310402522.857143</v>
      </c>
      <c r="P762" s="27">
        <f>P182*IF($E762="weekday",INDEX('Category Mapping'!$F$28:$F$39,MATCH('Summarized Source Data'!$A762,'Category Mapping'!$A$28:$A$39,0),1),INDEX('Category Mapping'!$E$28:$E$39,MATCH($A762,'Category Mapping'!$A$28:$A$39,0),1))</f>
        <v>11310402522.857143</v>
      </c>
      <c r="Q762" s="27">
        <f>Q182*IF($E762="weekday",INDEX('Category Mapping'!$F$28:$F$39,MATCH('Summarized Source Data'!$A762,'Category Mapping'!$A$28:$A$39,0),1),INDEX('Category Mapping'!$E$28:$E$39,MATCH($A762,'Category Mapping'!$A$28:$A$39,0),1))</f>
        <v>11310402522.857143</v>
      </c>
      <c r="R762" s="27">
        <f>R182*IF($E762="weekday",INDEX('Category Mapping'!$F$28:$F$39,MATCH('Summarized Source Data'!$A762,'Category Mapping'!$A$28:$A$39,0),1),INDEX('Category Mapping'!$E$28:$E$39,MATCH($A762,'Category Mapping'!$A$28:$A$39,0),1))</f>
        <v>243571428.57142857</v>
      </c>
      <c r="S762" s="27">
        <f>S182*IF($E762="weekday",INDEX('Category Mapping'!$F$28:$F$39,MATCH('Summarized Source Data'!$A762,'Category Mapping'!$A$28:$A$39,0),1),INDEX('Category Mapping'!$E$28:$E$39,MATCH($A762,'Category Mapping'!$A$28:$A$39,0),1))</f>
        <v>243571428.57142857</v>
      </c>
      <c r="T762" s="27">
        <f>T182*IF($E762="weekday",INDEX('Category Mapping'!$F$28:$F$39,MATCH('Summarized Source Data'!$A762,'Category Mapping'!$A$28:$A$39,0),1),INDEX('Category Mapping'!$E$28:$E$39,MATCH($A762,'Category Mapping'!$A$28:$A$39,0),1))</f>
        <v>243571428.57142857</v>
      </c>
      <c r="U762" s="27">
        <f>U182*IF($E762="weekday",INDEX('Category Mapping'!$F$28:$F$39,MATCH('Summarized Source Data'!$A762,'Category Mapping'!$A$28:$A$39,0),1),INDEX('Category Mapping'!$E$28:$E$39,MATCH($A762,'Category Mapping'!$A$28:$A$39,0),1))</f>
        <v>243571428.57142857</v>
      </c>
      <c r="V762" s="27">
        <f>V182*IF($E762="weekday",INDEX('Category Mapping'!$F$28:$F$39,MATCH('Summarized Source Data'!$A762,'Category Mapping'!$A$28:$A$39,0),1),INDEX('Category Mapping'!$E$28:$E$39,MATCH($A762,'Category Mapping'!$A$28:$A$39,0),1))</f>
        <v>243571428.57142857</v>
      </c>
      <c r="W762" s="27">
        <f>W182*IF($E762="weekday",INDEX('Category Mapping'!$F$28:$F$39,MATCH('Summarized Source Data'!$A762,'Category Mapping'!$A$28:$A$39,0),1),INDEX('Category Mapping'!$E$28:$E$39,MATCH($A762,'Category Mapping'!$A$28:$A$39,0),1))</f>
        <v>243571428.57142857</v>
      </c>
      <c r="X762" s="27">
        <f>X182*IF($E762="weekday",INDEX('Category Mapping'!$F$28:$F$39,MATCH('Summarized Source Data'!$A762,'Category Mapping'!$A$28:$A$39,0),1),INDEX('Category Mapping'!$E$28:$E$39,MATCH($A762,'Category Mapping'!$A$28:$A$39,0),1))</f>
        <v>14857857142.857143</v>
      </c>
      <c r="Y762" s="27">
        <f>Y182*IF($E762="weekday",INDEX('Category Mapping'!$F$28:$F$39,MATCH('Summarized Source Data'!$A762,'Category Mapping'!$A$28:$A$39,0),1),INDEX('Category Mapping'!$E$28:$E$39,MATCH($A762,'Category Mapping'!$A$28:$A$39,0),1))</f>
        <v>14857857142.857143</v>
      </c>
      <c r="Z762" s="27">
        <f>Z182*IF($E762="weekday",INDEX('Category Mapping'!$F$28:$F$39,MATCH('Summarized Source Data'!$A762,'Category Mapping'!$A$28:$A$39,0),1),INDEX('Category Mapping'!$E$28:$E$39,MATCH($A762,'Category Mapping'!$A$28:$A$39,0),1))</f>
        <v>14857857142.857143</v>
      </c>
    </row>
    <row r="763" spans="1:26" x14ac:dyDescent="0.3">
      <c r="A763">
        <f t="shared" ref="A763:E763" si="228">A183</f>
        <v>8</v>
      </c>
      <c r="B763" t="str">
        <f t="shared" si="228"/>
        <v>Summer</v>
      </c>
      <c r="C763" t="str">
        <f t="shared" si="228"/>
        <v>h12</v>
      </c>
      <c r="D763" t="str">
        <f t="shared" si="228"/>
        <v>Hour11</v>
      </c>
      <c r="E763" t="str">
        <f t="shared" si="228"/>
        <v>Weekday</v>
      </c>
      <c r="F763" s="27">
        <f>F183*IF($E763="weekday",INDEX('Category Mapping'!$F$28:$F$39,MATCH('Summarized Source Data'!$A763,'Category Mapping'!$A$28:$A$39,0),1),INDEX('Category Mapping'!$E$28:$E$39,MATCH($A763,'Category Mapping'!$A$28:$A$39,0),1))</f>
        <v>1469178.5714285714</v>
      </c>
      <c r="G763" s="27">
        <f>G183*IF($E763="weekday",INDEX('Category Mapping'!$F$28:$F$39,MATCH('Summarized Source Data'!$A763,'Category Mapping'!$A$28:$A$39,0),1),INDEX('Category Mapping'!$E$28:$E$39,MATCH($A763,'Category Mapping'!$A$28:$A$39,0),1))</f>
        <v>1527857142.8571429</v>
      </c>
      <c r="H763" s="27">
        <f>H183*IF($E763="weekday",INDEX('Category Mapping'!$F$28:$F$39,MATCH('Summarized Source Data'!$A763,'Category Mapping'!$A$28:$A$39,0),1),INDEX('Category Mapping'!$E$28:$E$39,MATCH($A763,'Category Mapping'!$A$28:$A$39,0),1))</f>
        <v>0</v>
      </c>
      <c r="I763" s="27">
        <f>I183*IF($E763="weekday",INDEX('Category Mapping'!$F$28:$F$39,MATCH('Summarized Source Data'!$A763,'Category Mapping'!$A$28:$A$39,0),1),INDEX('Category Mapping'!$E$28:$E$39,MATCH($A763,'Category Mapping'!$A$28:$A$39,0),1))</f>
        <v>219407504.28571427</v>
      </c>
      <c r="J763" s="27">
        <f>J183*IF($E763="weekday",INDEX('Category Mapping'!$F$28:$F$39,MATCH('Summarized Source Data'!$A763,'Category Mapping'!$A$28:$A$39,0),1),INDEX('Category Mapping'!$E$28:$E$39,MATCH($A763,'Category Mapping'!$A$28:$A$39,0),1))</f>
        <v>2414123317.1428571</v>
      </c>
      <c r="K763" s="27">
        <f>K183*IF($E763="weekday",INDEX('Category Mapping'!$F$28:$F$39,MATCH('Summarized Source Data'!$A763,'Category Mapping'!$A$28:$A$39,0),1),INDEX('Category Mapping'!$E$28:$E$39,MATCH($A763,'Category Mapping'!$A$28:$A$39,0),1))</f>
        <v>2414123317.1428571</v>
      </c>
      <c r="L763" s="27">
        <f>L183*IF($E763="weekday",INDEX('Category Mapping'!$F$28:$F$39,MATCH('Summarized Source Data'!$A763,'Category Mapping'!$A$28:$A$39,0),1),INDEX('Category Mapping'!$E$28:$E$39,MATCH($A763,'Category Mapping'!$A$28:$A$39,0),1))</f>
        <v>4597477.1428571427</v>
      </c>
      <c r="M763" s="27">
        <f>M183*IF($E763="weekday",INDEX('Category Mapping'!$F$28:$F$39,MATCH('Summarized Source Data'!$A763,'Category Mapping'!$A$28:$A$39,0),1),INDEX('Category Mapping'!$E$28:$E$39,MATCH($A763,'Category Mapping'!$A$28:$A$39,0),1))</f>
        <v>11315000000</v>
      </c>
      <c r="N763" s="27">
        <f>N183*IF($E763="weekday",INDEX('Category Mapping'!$F$28:$F$39,MATCH('Summarized Source Data'!$A763,'Category Mapping'!$A$28:$A$39,0),1),INDEX('Category Mapping'!$E$28:$E$39,MATCH($A763,'Category Mapping'!$A$28:$A$39,0),1))</f>
        <v>0</v>
      </c>
      <c r="O763" s="27">
        <f>O183*IF($E763="weekday",INDEX('Category Mapping'!$F$28:$F$39,MATCH('Summarized Source Data'!$A763,'Category Mapping'!$A$28:$A$39,0),1),INDEX('Category Mapping'!$E$28:$E$39,MATCH($A763,'Category Mapping'!$A$28:$A$39,0),1))</f>
        <v>11266116808.571428</v>
      </c>
      <c r="P763" s="27">
        <f>P183*IF($E763="weekday",INDEX('Category Mapping'!$F$28:$F$39,MATCH('Summarized Source Data'!$A763,'Category Mapping'!$A$28:$A$39,0),1),INDEX('Category Mapping'!$E$28:$E$39,MATCH($A763,'Category Mapping'!$A$28:$A$39,0),1))</f>
        <v>11266116808.571428</v>
      </c>
      <c r="Q763" s="27">
        <f>Q183*IF($E763="weekday",INDEX('Category Mapping'!$F$28:$F$39,MATCH('Summarized Source Data'!$A763,'Category Mapping'!$A$28:$A$39,0),1),INDEX('Category Mapping'!$E$28:$E$39,MATCH($A763,'Category Mapping'!$A$28:$A$39,0),1))</f>
        <v>11266116808.571428</v>
      </c>
      <c r="R763" s="27">
        <f>R183*IF($E763="weekday",INDEX('Category Mapping'!$F$28:$F$39,MATCH('Summarized Source Data'!$A763,'Category Mapping'!$A$28:$A$39,0),1),INDEX('Category Mapping'!$E$28:$E$39,MATCH($A763,'Category Mapping'!$A$28:$A$39,0),1))</f>
        <v>245785714.28571427</v>
      </c>
      <c r="S763" s="27">
        <f>S183*IF($E763="weekday",INDEX('Category Mapping'!$F$28:$F$39,MATCH('Summarized Source Data'!$A763,'Category Mapping'!$A$28:$A$39,0),1),INDEX('Category Mapping'!$E$28:$E$39,MATCH($A763,'Category Mapping'!$A$28:$A$39,0),1))</f>
        <v>245785714.28571427</v>
      </c>
      <c r="T763" s="27">
        <f>T183*IF($E763="weekday",INDEX('Category Mapping'!$F$28:$F$39,MATCH('Summarized Source Data'!$A763,'Category Mapping'!$A$28:$A$39,0),1),INDEX('Category Mapping'!$E$28:$E$39,MATCH($A763,'Category Mapping'!$A$28:$A$39,0),1))</f>
        <v>245785714.28571427</v>
      </c>
      <c r="U763" s="27">
        <f>U183*IF($E763="weekday",INDEX('Category Mapping'!$F$28:$F$39,MATCH('Summarized Source Data'!$A763,'Category Mapping'!$A$28:$A$39,0),1),INDEX('Category Mapping'!$E$28:$E$39,MATCH($A763,'Category Mapping'!$A$28:$A$39,0),1))</f>
        <v>245785714.28571427</v>
      </c>
      <c r="V763" s="27">
        <f>V183*IF($E763="weekday",INDEX('Category Mapping'!$F$28:$F$39,MATCH('Summarized Source Data'!$A763,'Category Mapping'!$A$28:$A$39,0),1),INDEX('Category Mapping'!$E$28:$E$39,MATCH($A763,'Category Mapping'!$A$28:$A$39,0),1))</f>
        <v>245785714.28571427</v>
      </c>
      <c r="W763" s="27">
        <f>W183*IF($E763="weekday",INDEX('Category Mapping'!$F$28:$F$39,MATCH('Summarized Source Data'!$A763,'Category Mapping'!$A$28:$A$39,0),1),INDEX('Category Mapping'!$E$28:$E$39,MATCH($A763,'Category Mapping'!$A$28:$A$39,0),1))</f>
        <v>245785714.28571427</v>
      </c>
      <c r="X763" s="27">
        <f>X183*IF($E763="weekday",INDEX('Category Mapping'!$F$28:$F$39,MATCH('Summarized Source Data'!$A763,'Category Mapping'!$A$28:$A$39,0),1),INDEX('Category Mapping'!$E$28:$E$39,MATCH($A763,'Category Mapping'!$A$28:$A$39,0),1))</f>
        <v>14813571428.571428</v>
      </c>
      <c r="Y763" s="27">
        <f>Y183*IF($E763="weekday",INDEX('Category Mapping'!$F$28:$F$39,MATCH('Summarized Source Data'!$A763,'Category Mapping'!$A$28:$A$39,0),1),INDEX('Category Mapping'!$E$28:$E$39,MATCH($A763,'Category Mapping'!$A$28:$A$39,0),1))</f>
        <v>14813571428.571428</v>
      </c>
      <c r="Z763" s="27">
        <f>Z183*IF($E763="weekday",INDEX('Category Mapping'!$F$28:$F$39,MATCH('Summarized Source Data'!$A763,'Category Mapping'!$A$28:$A$39,0),1),INDEX('Category Mapping'!$E$28:$E$39,MATCH($A763,'Category Mapping'!$A$28:$A$39,0),1))</f>
        <v>14813571428.571428</v>
      </c>
    </row>
    <row r="764" spans="1:26" x14ac:dyDescent="0.3">
      <c r="A764">
        <f t="shared" ref="A764:E764" si="229">A184</f>
        <v>8</v>
      </c>
      <c r="B764" t="str">
        <f t="shared" si="229"/>
        <v>Summer</v>
      </c>
      <c r="C764" t="str">
        <f t="shared" si="229"/>
        <v>h13</v>
      </c>
      <c r="D764" t="str">
        <f t="shared" si="229"/>
        <v>Hour12</v>
      </c>
      <c r="E764" t="str">
        <f t="shared" si="229"/>
        <v>Weekday</v>
      </c>
      <c r="F764" s="27">
        <f>F184*IF($E764="weekday",INDEX('Category Mapping'!$F$28:$F$39,MATCH('Summarized Source Data'!$A764,'Category Mapping'!$A$28:$A$39,0),1),INDEX('Category Mapping'!$E$28:$E$39,MATCH($A764,'Category Mapping'!$A$28:$A$39,0),1))</f>
        <v>1512312.857142857</v>
      </c>
      <c r="G764" s="27">
        <f>G184*IF($E764="weekday",INDEX('Category Mapping'!$F$28:$F$39,MATCH('Summarized Source Data'!$A764,'Category Mapping'!$A$28:$A$39,0),1),INDEX('Category Mapping'!$E$28:$E$39,MATCH($A764,'Category Mapping'!$A$28:$A$39,0),1))</f>
        <v>1771428571.4285715</v>
      </c>
      <c r="H764" s="27">
        <f>H184*IF($E764="weekday",INDEX('Category Mapping'!$F$28:$F$39,MATCH('Summarized Source Data'!$A764,'Category Mapping'!$A$28:$A$39,0),1),INDEX('Category Mapping'!$E$28:$E$39,MATCH($A764,'Category Mapping'!$A$28:$A$39,0),1))</f>
        <v>0</v>
      </c>
      <c r="I764" s="27">
        <f>I184*IF($E764="weekday",INDEX('Category Mapping'!$F$28:$F$39,MATCH('Summarized Source Data'!$A764,'Category Mapping'!$A$28:$A$39,0),1),INDEX('Category Mapping'!$E$28:$E$39,MATCH($A764,'Category Mapping'!$A$28:$A$39,0),1))</f>
        <v>230285714.28571427</v>
      </c>
      <c r="J764" s="27">
        <f>J184*IF($E764="weekday",INDEX('Category Mapping'!$F$28:$F$39,MATCH('Summarized Source Data'!$A764,'Category Mapping'!$A$28:$A$39,0),1),INDEX('Category Mapping'!$E$28:$E$39,MATCH($A764,'Category Mapping'!$A$28:$A$39,0),1))</f>
        <v>2336773401.4285712</v>
      </c>
      <c r="K764" s="27">
        <f>K184*IF($E764="weekday",INDEX('Category Mapping'!$F$28:$F$39,MATCH('Summarized Source Data'!$A764,'Category Mapping'!$A$28:$A$39,0),1),INDEX('Category Mapping'!$E$28:$E$39,MATCH($A764,'Category Mapping'!$A$28:$A$39,0),1))</f>
        <v>2336773401.4285712</v>
      </c>
      <c r="L764" s="27">
        <f>L184*IF($E764="weekday",INDEX('Category Mapping'!$F$28:$F$39,MATCH('Summarized Source Data'!$A764,'Category Mapping'!$A$28:$A$39,0),1),INDEX('Category Mapping'!$E$28:$E$39,MATCH($A764,'Category Mapping'!$A$28:$A$39,0),1))</f>
        <v>4597477.1428571427</v>
      </c>
      <c r="M764" s="27">
        <f>M184*IF($E764="weekday",INDEX('Category Mapping'!$F$28:$F$39,MATCH('Summarized Source Data'!$A764,'Category Mapping'!$A$28:$A$39,0),1),INDEX('Category Mapping'!$E$28:$E$39,MATCH($A764,'Category Mapping'!$A$28:$A$39,0),1))</f>
        <v>11403571428.571428</v>
      </c>
      <c r="N764" s="27">
        <f>N184*IF($E764="weekday",INDEX('Category Mapping'!$F$28:$F$39,MATCH('Summarized Source Data'!$A764,'Category Mapping'!$A$28:$A$39,0),1),INDEX('Category Mapping'!$E$28:$E$39,MATCH($A764,'Category Mapping'!$A$28:$A$39,0),1))</f>
        <v>0</v>
      </c>
      <c r="O764" s="27">
        <f>O184*IF($E764="weekday",INDEX('Category Mapping'!$F$28:$F$39,MATCH('Summarized Source Data'!$A764,'Category Mapping'!$A$28:$A$39,0),1),INDEX('Category Mapping'!$E$28:$E$39,MATCH($A764,'Category Mapping'!$A$28:$A$39,0),1))</f>
        <v>11177545380</v>
      </c>
      <c r="P764" s="27">
        <f>P184*IF($E764="weekday",INDEX('Category Mapping'!$F$28:$F$39,MATCH('Summarized Source Data'!$A764,'Category Mapping'!$A$28:$A$39,0),1),INDEX('Category Mapping'!$E$28:$E$39,MATCH($A764,'Category Mapping'!$A$28:$A$39,0),1))</f>
        <v>11177545380</v>
      </c>
      <c r="Q764" s="27">
        <f>Q184*IF($E764="weekday",INDEX('Category Mapping'!$F$28:$F$39,MATCH('Summarized Source Data'!$A764,'Category Mapping'!$A$28:$A$39,0),1),INDEX('Category Mapping'!$E$28:$E$39,MATCH($A764,'Category Mapping'!$A$28:$A$39,0),1))</f>
        <v>11177545380</v>
      </c>
      <c r="R764" s="27">
        <f>R184*IF($E764="weekday",INDEX('Category Mapping'!$F$28:$F$39,MATCH('Summarized Source Data'!$A764,'Category Mapping'!$A$28:$A$39,0),1),INDEX('Category Mapping'!$E$28:$E$39,MATCH($A764,'Category Mapping'!$A$28:$A$39,0),1))</f>
        <v>250214285.7142857</v>
      </c>
      <c r="S764" s="27">
        <f>S184*IF($E764="weekday",INDEX('Category Mapping'!$F$28:$F$39,MATCH('Summarized Source Data'!$A764,'Category Mapping'!$A$28:$A$39,0),1),INDEX('Category Mapping'!$E$28:$E$39,MATCH($A764,'Category Mapping'!$A$28:$A$39,0),1))</f>
        <v>250214285.7142857</v>
      </c>
      <c r="T764" s="27">
        <f>T184*IF($E764="weekday",INDEX('Category Mapping'!$F$28:$F$39,MATCH('Summarized Source Data'!$A764,'Category Mapping'!$A$28:$A$39,0),1),INDEX('Category Mapping'!$E$28:$E$39,MATCH($A764,'Category Mapping'!$A$28:$A$39,0),1))</f>
        <v>250214285.7142857</v>
      </c>
      <c r="U764" s="27">
        <f>U184*IF($E764="weekday",INDEX('Category Mapping'!$F$28:$F$39,MATCH('Summarized Source Data'!$A764,'Category Mapping'!$A$28:$A$39,0),1),INDEX('Category Mapping'!$E$28:$E$39,MATCH($A764,'Category Mapping'!$A$28:$A$39,0),1))</f>
        <v>250214285.7142857</v>
      </c>
      <c r="V764" s="27">
        <f>V184*IF($E764="weekday",INDEX('Category Mapping'!$F$28:$F$39,MATCH('Summarized Source Data'!$A764,'Category Mapping'!$A$28:$A$39,0),1),INDEX('Category Mapping'!$E$28:$E$39,MATCH($A764,'Category Mapping'!$A$28:$A$39,0),1))</f>
        <v>250214285.7142857</v>
      </c>
      <c r="W764" s="27">
        <f>W184*IF($E764="weekday",INDEX('Category Mapping'!$F$28:$F$39,MATCH('Summarized Source Data'!$A764,'Category Mapping'!$A$28:$A$39,0),1),INDEX('Category Mapping'!$E$28:$E$39,MATCH($A764,'Category Mapping'!$A$28:$A$39,0),1))</f>
        <v>250214285.7142857</v>
      </c>
      <c r="X764" s="27">
        <f>X184*IF($E764="weekday",INDEX('Category Mapping'!$F$28:$F$39,MATCH('Summarized Source Data'!$A764,'Category Mapping'!$A$28:$A$39,0),1),INDEX('Category Mapping'!$E$28:$E$39,MATCH($A764,'Category Mapping'!$A$28:$A$39,0),1))</f>
        <v>14769285714.285713</v>
      </c>
      <c r="Y764" s="27">
        <f>Y184*IF($E764="weekday",INDEX('Category Mapping'!$F$28:$F$39,MATCH('Summarized Source Data'!$A764,'Category Mapping'!$A$28:$A$39,0),1),INDEX('Category Mapping'!$E$28:$E$39,MATCH($A764,'Category Mapping'!$A$28:$A$39,0),1))</f>
        <v>14769285714.285713</v>
      </c>
      <c r="Z764" s="27">
        <f>Z184*IF($E764="weekday",INDEX('Category Mapping'!$F$28:$F$39,MATCH('Summarized Source Data'!$A764,'Category Mapping'!$A$28:$A$39,0),1),INDEX('Category Mapping'!$E$28:$E$39,MATCH($A764,'Category Mapping'!$A$28:$A$39,0),1))</f>
        <v>14769285714.285713</v>
      </c>
    </row>
    <row r="765" spans="1:26" x14ac:dyDescent="0.3">
      <c r="A765">
        <f t="shared" ref="A765:E765" si="230">A185</f>
        <v>8</v>
      </c>
      <c r="B765" t="str">
        <f t="shared" si="230"/>
        <v>Summer</v>
      </c>
      <c r="C765" t="str">
        <f t="shared" si="230"/>
        <v>h14</v>
      </c>
      <c r="D765" t="str">
        <f t="shared" si="230"/>
        <v>Hour13</v>
      </c>
      <c r="E765" t="str">
        <f t="shared" si="230"/>
        <v>Weekday</v>
      </c>
      <c r="F765" s="27">
        <f>F185*IF($E765="weekday",INDEX('Category Mapping'!$F$28:$F$39,MATCH('Summarized Source Data'!$A765,'Category Mapping'!$A$28:$A$39,0),1),INDEX('Category Mapping'!$E$28:$E$39,MATCH($A765,'Category Mapping'!$A$28:$A$39,0),1))</f>
        <v>1524447.1428571427</v>
      </c>
      <c r="G765" s="27">
        <f>G185*IF($E765="weekday",INDEX('Category Mapping'!$F$28:$F$39,MATCH('Summarized Source Data'!$A765,'Category Mapping'!$A$28:$A$39,0),1),INDEX('Category Mapping'!$E$28:$E$39,MATCH($A765,'Category Mapping'!$A$28:$A$39,0),1))</f>
        <v>1899857142.8571429</v>
      </c>
      <c r="H765" s="27">
        <f>H185*IF($E765="weekday",INDEX('Category Mapping'!$F$28:$F$39,MATCH('Summarized Source Data'!$A765,'Category Mapping'!$A$28:$A$39,0),1),INDEX('Category Mapping'!$E$28:$E$39,MATCH($A765,'Category Mapping'!$A$28:$A$39,0),1))</f>
        <v>0</v>
      </c>
      <c r="I765" s="27">
        <f>I185*IF($E765="weekday",INDEX('Category Mapping'!$F$28:$F$39,MATCH('Summarized Source Data'!$A765,'Category Mapping'!$A$28:$A$39,0),1),INDEX('Category Mapping'!$E$28:$E$39,MATCH($A765,'Category Mapping'!$A$28:$A$39,0),1))</f>
        <v>234714285.7142857</v>
      </c>
      <c r="J765" s="27">
        <f>J185*IF($E765="weekday",INDEX('Category Mapping'!$F$28:$F$39,MATCH('Summarized Source Data'!$A765,'Category Mapping'!$A$28:$A$39,0),1),INDEX('Category Mapping'!$E$28:$E$39,MATCH($A765,'Category Mapping'!$A$28:$A$39,0),1))</f>
        <v>2336761267.1428571</v>
      </c>
      <c r="K765" s="27">
        <f>K185*IF($E765="weekday",INDEX('Category Mapping'!$F$28:$F$39,MATCH('Summarized Source Data'!$A765,'Category Mapping'!$A$28:$A$39,0),1),INDEX('Category Mapping'!$E$28:$E$39,MATCH($A765,'Category Mapping'!$A$28:$A$39,0),1))</f>
        <v>2336761267.1428571</v>
      </c>
      <c r="L765" s="27">
        <f>L185*IF($E765="weekday",INDEX('Category Mapping'!$F$28:$F$39,MATCH('Summarized Source Data'!$A765,'Category Mapping'!$A$28:$A$39,0),1),INDEX('Category Mapping'!$E$28:$E$39,MATCH($A765,'Category Mapping'!$A$28:$A$39,0),1))</f>
        <v>4597477.1428571427</v>
      </c>
      <c r="M765" s="27">
        <f>M185*IF($E765="weekday",INDEX('Category Mapping'!$F$28:$F$39,MATCH('Summarized Source Data'!$A765,'Category Mapping'!$A$28:$A$39,0),1),INDEX('Category Mapping'!$E$28:$E$39,MATCH($A765,'Category Mapping'!$A$28:$A$39,0),1))</f>
        <v>11735714285.714285</v>
      </c>
      <c r="N765" s="27">
        <f>N185*IF($E765="weekday",INDEX('Category Mapping'!$F$28:$F$39,MATCH('Summarized Source Data'!$A765,'Category Mapping'!$A$28:$A$39,0),1),INDEX('Category Mapping'!$E$28:$E$39,MATCH($A765,'Category Mapping'!$A$28:$A$39,0),1))</f>
        <v>0</v>
      </c>
      <c r="O765" s="27">
        <f>O185*IF($E765="weekday",INDEX('Category Mapping'!$F$28:$F$39,MATCH('Summarized Source Data'!$A765,'Category Mapping'!$A$28:$A$39,0),1),INDEX('Category Mapping'!$E$28:$E$39,MATCH($A765,'Category Mapping'!$A$28:$A$39,0),1))</f>
        <v>11066831094.285713</v>
      </c>
      <c r="P765" s="27">
        <f>P185*IF($E765="weekday",INDEX('Category Mapping'!$F$28:$F$39,MATCH('Summarized Source Data'!$A765,'Category Mapping'!$A$28:$A$39,0),1),INDEX('Category Mapping'!$E$28:$E$39,MATCH($A765,'Category Mapping'!$A$28:$A$39,0),1))</f>
        <v>11066831094.285713</v>
      </c>
      <c r="Q765" s="27">
        <f>Q185*IF($E765="weekday",INDEX('Category Mapping'!$F$28:$F$39,MATCH('Summarized Source Data'!$A765,'Category Mapping'!$A$28:$A$39,0),1),INDEX('Category Mapping'!$E$28:$E$39,MATCH($A765,'Category Mapping'!$A$28:$A$39,0),1))</f>
        <v>11066831094.285713</v>
      </c>
      <c r="R765" s="27">
        <f>R185*IF($E765="weekday",INDEX('Category Mapping'!$F$28:$F$39,MATCH('Summarized Source Data'!$A765,'Category Mapping'!$A$28:$A$39,0),1),INDEX('Category Mapping'!$E$28:$E$39,MATCH($A765,'Category Mapping'!$A$28:$A$39,0),1))</f>
        <v>248000000</v>
      </c>
      <c r="S765" s="27">
        <f>S185*IF($E765="weekday",INDEX('Category Mapping'!$F$28:$F$39,MATCH('Summarized Source Data'!$A765,'Category Mapping'!$A$28:$A$39,0),1),INDEX('Category Mapping'!$E$28:$E$39,MATCH($A765,'Category Mapping'!$A$28:$A$39,0),1))</f>
        <v>248000000</v>
      </c>
      <c r="T765" s="27">
        <f>T185*IF($E765="weekday",INDEX('Category Mapping'!$F$28:$F$39,MATCH('Summarized Source Data'!$A765,'Category Mapping'!$A$28:$A$39,0),1),INDEX('Category Mapping'!$E$28:$E$39,MATCH($A765,'Category Mapping'!$A$28:$A$39,0),1))</f>
        <v>248000000</v>
      </c>
      <c r="U765" s="27">
        <f>U185*IF($E765="weekday",INDEX('Category Mapping'!$F$28:$F$39,MATCH('Summarized Source Data'!$A765,'Category Mapping'!$A$28:$A$39,0),1),INDEX('Category Mapping'!$E$28:$E$39,MATCH($A765,'Category Mapping'!$A$28:$A$39,0),1))</f>
        <v>248000000</v>
      </c>
      <c r="V765" s="27">
        <f>V185*IF($E765="weekday",INDEX('Category Mapping'!$F$28:$F$39,MATCH('Summarized Source Data'!$A765,'Category Mapping'!$A$28:$A$39,0),1),INDEX('Category Mapping'!$E$28:$E$39,MATCH($A765,'Category Mapping'!$A$28:$A$39,0),1))</f>
        <v>248000000</v>
      </c>
      <c r="W765" s="27">
        <f>W185*IF($E765="weekday",INDEX('Category Mapping'!$F$28:$F$39,MATCH('Summarized Source Data'!$A765,'Category Mapping'!$A$28:$A$39,0),1),INDEX('Category Mapping'!$E$28:$E$39,MATCH($A765,'Category Mapping'!$A$28:$A$39,0),1))</f>
        <v>248000000</v>
      </c>
      <c r="X765" s="27">
        <f>X185*IF($E765="weekday",INDEX('Category Mapping'!$F$28:$F$39,MATCH('Summarized Source Data'!$A765,'Category Mapping'!$A$28:$A$39,0),1),INDEX('Category Mapping'!$E$28:$E$39,MATCH($A765,'Category Mapping'!$A$28:$A$39,0),1))</f>
        <v>14747142857.142857</v>
      </c>
      <c r="Y765" s="27">
        <f>Y185*IF($E765="weekday",INDEX('Category Mapping'!$F$28:$F$39,MATCH('Summarized Source Data'!$A765,'Category Mapping'!$A$28:$A$39,0),1),INDEX('Category Mapping'!$E$28:$E$39,MATCH($A765,'Category Mapping'!$A$28:$A$39,0),1))</f>
        <v>14747142857.142857</v>
      </c>
      <c r="Z765" s="27">
        <f>Z185*IF($E765="weekday",INDEX('Category Mapping'!$F$28:$F$39,MATCH('Summarized Source Data'!$A765,'Category Mapping'!$A$28:$A$39,0),1),INDEX('Category Mapping'!$E$28:$E$39,MATCH($A765,'Category Mapping'!$A$28:$A$39,0),1))</f>
        <v>14747142857.142857</v>
      </c>
    </row>
    <row r="766" spans="1:26" x14ac:dyDescent="0.3">
      <c r="A766">
        <f t="shared" ref="A766:E766" si="231">A186</f>
        <v>8</v>
      </c>
      <c r="B766" t="str">
        <f t="shared" si="231"/>
        <v>Summer</v>
      </c>
      <c r="C766" t="str">
        <f t="shared" si="231"/>
        <v>h15</v>
      </c>
      <c r="D766" t="str">
        <f t="shared" si="231"/>
        <v>Hour14</v>
      </c>
      <c r="E766" t="str">
        <f t="shared" si="231"/>
        <v>Weekday</v>
      </c>
      <c r="F766" s="27">
        <f>F186*IF($E766="weekday",INDEX('Category Mapping'!$F$28:$F$39,MATCH('Summarized Source Data'!$A766,'Category Mapping'!$A$28:$A$39,0),1),INDEX('Category Mapping'!$E$28:$E$39,MATCH($A766,'Category Mapping'!$A$28:$A$39,0),1))</f>
        <v>1546523.5714285714</v>
      </c>
      <c r="G766" s="27">
        <f>G186*IF($E766="weekday",INDEX('Category Mapping'!$F$28:$F$39,MATCH('Summarized Source Data'!$A766,'Category Mapping'!$A$28:$A$39,0),1),INDEX('Category Mapping'!$E$28:$E$39,MATCH($A766,'Category Mapping'!$A$28:$A$39,0),1))</f>
        <v>2010571428.5714285</v>
      </c>
      <c r="H766" s="27">
        <f>H186*IF($E766="weekday",INDEX('Category Mapping'!$F$28:$F$39,MATCH('Summarized Source Data'!$A766,'Category Mapping'!$A$28:$A$39,0),1),INDEX('Category Mapping'!$E$28:$E$39,MATCH($A766,'Category Mapping'!$A$28:$A$39,0),1))</f>
        <v>0</v>
      </c>
      <c r="I766" s="27">
        <f>I186*IF($E766="weekday",INDEX('Category Mapping'!$F$28:$F$39,MATCH('Summarized Source Data'!$A766,'Category Mapping'!$A$28:$A$39,0),1),INDEX('Category Mapping'!$E$28:$E$39,MATCH($A766,'Category Mapping'!$A$28:$A$39,0),1))</f>
        <v>241357142.85714287</v>
      </c>
      <c r="J766" s="27">
        <f>J186*IF($E766="weekday",INDEX('Category Mapping'!$F$28:$F$39,MATCH('Summarized Source Data'!$A766,'Category Mapping'!$A$28:$A$39,0),1),INDEX('Category Mapping'!$E$28:$E$39,MATCH($A766,'Category Mapping'!$A$28:$A$39,0),1))</f>
        <v>2418667762.1428571</v>
      </c>
      <c r="K766" s="27">
        <f>K186*IF($E766="weekday",INDEX('Category Mapping'!$F$28:$F$39,MATCH('Summarized Source Data'!$A766,'Category Mapping'!$A$28:$A$39,0),1),INDEX('Category Mapping'!$E$28:$E$39,MATCH($A766,'Category Mapping'!$A$28:$A$39,0),1))</f>
        <v>2418667762.1428571</v>
      </c>
      <c r="L766" s="27">
        <f>L186*IF($E766="weekday",INDEX('Category Mapping'!$F$28:$F$39,MATCH('Summarized Source Data'!$A766,'Category Mapping'!$A$28:$A$39,0),1),INDEX('Category Mapping'!$E$28:$E$39,MATCH($A766,'Category Mapping'!$A$28:$A$39,0),1))</f>
        <v>4597477.1428571427</v>
      </c>
      <c r="M766" s="27">
        <f>M186*IF($E766="weekday",INDEX('Category Mapping'!$F$28:$F$39,MATCH('Summarized Source Data'!$A766,'Category Mapping'!$A$28:$A$39,0),1),INDEX('Category Mapping'!$E$28:$E$39,MATCH($A766,'Category Mapping'!$A$28:$A$39,0),1))</f>
        <v>11979285714.285713</v>
      </c>
      <c r="N766" s="27">
        <f>N186*IF($E766="weekday",INDEX('Category Mapping'!$F$28:$F$39,MATCH('Summarized Source Data'!$A766,'Category Mapping'!$A$28:$A$39,0),1),INDEX('Category Mapping'!$E$28:$E$39,MATCH($A766,'Category Mapping'!$A$28:$A$39,0),1))</f>
        <v>0</v>
      </c>
      <c r="O766" s="27">
        <f>O186*IF($E766="weekday",INDEX('Category Mapping'!$F$28:$F$39,MATCH('Summarized Source Data'!$A766,'Category Mapping'!$A$28:$A$39,0),1),INDEX('Category Mapping'!$E$28:$E$39,MATCH($A766,'Category Mapping'!$A$28:$A$39,0),1))</f>
        <v>11044688237.142857</v>
      </c>
      <c r="P766" s="27">
        <f>P186*IF($E766="weekday",INDEX('Category Mapping'!$F$28:$F$39,MATCH('Summarized Source Data'!$A766,'Category Mapping'!$A$28:$A$39,0),1),INDEX('Category Mapping'!$E$28:$E$39,MATCH($A766,'Category Mapping'!$A$28:$A$39,0),1))</f>
        <v>11044688237.142857</v>
      </c>
      <c r="Q766" s="27">
        <f>Q186*IF($E766="weekday",INDEX('Category Mapping'!$F$28:$F$39,MATCH('Summarized Source Data'!$A766,'Category Mapping'!$A$28:$A$39,0),1),INDEX('Category Mapping'!$E$28:$E$39,MATCH($A766,'Category Mapping'!$A$28:$A$39,0),1))</f>
        <v>11044688237.142857</v>
      </c>
      <c r="R766" s="27">
        <f>R186*IF($E766="weekday",INDEX('Category Mapping'!$F$28:$F$39,MATCH('Summarized Source Data'!$A766,'Category Mapping'!$A$28:$A$39,0),1),INDEX('Category Mapping'!$E$28:$E$39,MATCH($A766,'Category Mapping'!$A$28:$A$39,0),1))</f>
        <v>245785714.28571427</v>
      </c>
      <c r="S766" s="27">
        <f>S186*IF($E766="weekday",INDEX('Category Mapping'!$F$28:$F$39,MATCH('Summarized Source Data'!$A766,'Category Mapping'!$A$28:$A$39,0),1),INDEX('Category Mapping'!$E$28:$E$39,MATCH($A766,'Category Mapping'!$A$28:$A$39,0),1))</f>
        <v>245785714.28571427</v>
      </c>
      <c r="T766" s="27">
        <f>T186*IF($E766="weekday",INDEX('Category Mapping'!$F$28:$F$39,MATCH('Summarized Source Data'!$A766,'Category Mapping'!$A$28:$A$39,0),1),INDEX('Category Mapping'!$E$28:$E$39,MATCH($A766,'Category Mapping'!$A$28:$A$39,0),1))</f>
        <v>245785714.28571427</v>
      </c>
      <c r="U766" s="27">
        <f>U186*IF($E766="weekday",INDEX('Category Mapping'!$F$28:$F$39,MATCH('Summarized Source Data'!$A766,'Category Mapping'!$A$28:$A$39,0),1),INDEX('Category Mapping'!$E$28:$E$39,MATCH($A766,'Category Mapping'!$A$28:$A$39,0),1))</f>
        <v>245785714.28571427</v>
      </c>
      <c r="V766" s="27">
        <f>V186*IF($E766="weekday",INDEX('Category Mapping'!$F$28:$F$39,MATCH('Summarized Source Data'!$A766,'Category Mapping'!$A$28:$A$39,0),1),INDEX('Category Mapping'!$E$28:$E$39,MATCH($A766,'Category Mapping'!$A$28:$A$39,0),1))</f>
        <v>245785714.28571427</v>
      </c>
      <c r="W766" s="27">
        <f>W186*IF($E766="weekday",INDEX('Category Mapping'!$F$28:$F$39,MATCH('Summarized Source Data'!$A766,'Category Mapping'!$A$28:$A$39,0),1),INDEX('Category Mapping'!$E$28:$E$39,MATCH($A766,'Category Mapping'!$A$28:$A$39,0),1))</f>
        <v>245785714.28571427</v>
      </c>
      <c r="X766" s="27">
        <f>X186*IF($E766="weekday",INDEX('Category Mapping'!$F$28:$F$39,MATCH('Summarized Source Data'!$A766,'Category Mapping'!$A$28:$A$39,0),1),INDEX('Category Mapping'!$E$28:$E$39,MATCH($A766,'Category Mapping'!$A$28:$A$39,0),1))</f>
        <v>14769285714.285713</v>
      </c>
      <c r="Y766" s="27">
        <f>Y186*IF($E766="weekday",INDEX('Category Mapping'!$F$28:$F$39,MATCH('Summarized Source Data'!$A766,'Category Mapping'!$A$28:$A$39,0),1),INDEX('Category Mapping'!$E$28:$E$39,MATCH($A766,'Category Mapping'!$A$28:$A$39,0),1))</f>
        <v>14769285714.285713</v>
      </c>
      <c r="Z766" s="27">
        <f>Z186*IF($E766="weekday",INDEX('Category Mapping'!$F$28:$F$39,MATCH('Summarized Source Data'!$A766,'Category Mapping'!$A$28:$A$39,0),1),INDEX('Category Mapping'!$E$28:$E$39,MATCH($A766,'Category Mapping'!$A$28:$A$39,0),1))</f>
        <v>14769285714.285713</v>
      </c>
    </row>
    <row r="767" spans="1:26" x14ac:dyDescent="0.3">
      <c r="A767">
        <f t="shared" ref="A767:E767" si="232">A187</f>
        <v>8</v>
      </c>
      <c r="B767" t="str">
        <f t="shared" si="232"/>
        <v>Summer</v>
      </c>
      <c r="C767" t="str">
        <f t="shared" si="232"/>
        <v>h16</v>
      </c>
      <c r="D767" t="str">
        <f t="shared" si="232"/>
        <v>Hour15</v>
      </c>
      <c r="E767" t="str">
        <f t="shared" si="232"/>
        <v>Weekday</v>
      </c>
      <c r="F767" s="27">
        <f>F187*IF($E767="weekday",INDEX('Category Mapping'!$F$28:$F$39,MATCH('Summarized Source Data'!$A767,'Category Mapping'!$A$28:$A$39,0),1),INDEX('Category Mapping'!$E$28:$E$39,MATCH($A767,'Category Mapping'!$A$28:$A$39,0),1))</f>
        <v>1617801.4285714286</v>
      </c>
      <c r="G767" s="27">
        <f>G187*IF($E767="weekday",INDEX('Category Mapping'!$F$28:$F$39,MATCH('Summarized Source Data'!$A767,'Category Mapping'!$A$28:$A$39,0),1),INDEX('Category Mapping'!$E$28:$E$39,MATCH($A767,'Category Mapping'!$A$28:$A$39,0),1))</f>
        <v>2167785714.2857141</v>
      </c>
      <c r="H767" s="27">
        <f>H187*IF($E767="weekday",INDEX('Category Mapping'!$F$28:$F$39,MATCH('Summarized Source Data'!$A767,'Category Mapping'!$A$28:$A$39,0),1),INDEX('Category Mapping'!$E$28:$E$39,MATCH($A767,'Category Mapping'!$A$28:$A$39,0),1))</f>
        <v>0</v>
      </c>
      <c r="I767" s="27">
        <f>I187*IF($E767="weekday",INDEX('Category Mapping'!$F$28:$F$39,MATCH('Summarized Source Data'!$A767,'Category Mapping'!$A$28:$A$39,0),1),INDEX('Category Mapping'!$E$28:$E$39,MATCH($A767,'Category Mapping'!$A$28:$A$39,0),1))</f>
        <v>259071428.57142857</v>
      </c>
      <c r="J767" s="27">
        <f>J187*IF($E767="weekday",INDEX('Category Mapping'!$F$28:$F$39,MATCH('Summarized Source Data'!$A767,'Category Mapping'!$A$28:$A$39,0),1),INDEX('Category Mapping'!$E$28:$E$39,MATCH($A767,'Category Mapping'!$A$28:$A$39,0),1))</f>
        <v>2730810770</v>
      </c>
      <c r="K767" s="27">
        <f>K187*IF($E767="weekday",INDEX('Category Mapping'!$F$28:$F$39,MATCH('Summarized Source Data'!$A767,'Category Mapping'!$A$28:$A$39,0),1),INDEX('Category Mapping'!$E$28:$E$39,MATCH($A767,'Category Mapping'!$A$28:$A$39,0),1))</f>
        <v>2730810770</v>
      </c>
      <c r="L767" s="27">
        <f>L187*IF($E767="weekday",INDEX('Category Mapping'!$F$28:$F$39,MATCH('Summarized Source Data'!$A767,'Category Mapping'!$A$28:$A$39,0),1),INDEX('Category Mapping'!$E$28:$E$39,MATCH($A767,'Category Mapping'!$A$28:$A$39,0),1))</f>
        <v>4597477.1428571427</v>
      </c>
      <c r="M767" s="27">
        <f>M187*IF($E767="weekday",INDEX('Category Mapping'!$F$28:$F$39,MATCH('Summarized Source Data'!$A767,'Category Mapping'!$A$28:$A$39,0),1),INDEX('Category Mapping'!$E$28:$E$39,MATCH($A767,'Category Mapping'!$A$28:$A$39,0),1))</f>
        <v>11912857142.857143</v>
      </c>
      <c r="N767" s="27">
        <f>N187*IF($E767="weekday",INDEX('Category Mapping'!$F$28:$F$39,MATCH('Summarized Source Data'!$A767,'Category Mapping'!$A$28:$A$39,0),1),INDEX('Category Mapping'!$E$28:$E$39,MATCH($A767,'Category Mapping'!$A$28:$A$39,0),1))</f>
        <v>0</v>
      </c>
      <c r="O767" s="27">
        <f>O187*IF($E767="weekday",INDEX('Category Mapping'!$F$28:$F$39,MATCH('Summarized Source Data'!$A767,'Category Mapping'!$A$28:$A$39,0),1),INDEX('Category Mapping'!$E$28:$E$39,MATCH($A767,'Category Mapping'!$A$28:$A$39,0),1))</f>
        <v>11111116808.571428</v>
      </c>
      <c r="P767" s="27">
        <f>P187*IF($E767="weekday",INDEX('Category Mapping'!$F$28:$F$39,MATCH('Summarized Source Data'!$A767,'Category Mapping'!$A$28:$A$39,0),1),INDEX('Category Mapping'!$E$28:$E$39,MATCH($A767,'Category Mapping'!$A$28:$A$39,0),1))</f>
        <v>11111116808.571428</v>
      </c>
      <c r="Q767" s="27">
        <f>Q187*IF($E767="weekday",INDEX('Category Mapping'!$F$28:$F$39,MATCH('Summarized Source Data'!$A767,'Category Mapping'!$A$28:$A$39,0),1),INDEX('Category Mapping'!$E$28:$E$39,MATCH($A767,'Category Mapping'!$A$28:$A$39,0),1))</f>
        <v>11111116808.571428</v>
      </c>
      <c r="R767" s="27">
        <f>R187*IF($E767="weekday",INDEX('Category Mapping'!$F$28:$F$39,MATCH('Summarized Source Data'!$A767,'Category Mapping'!$A$28:$A$39,0),1),INDEX('Category Mapping'!$E$28:$E$39,MATCH($A767,'Category Mapping'!$A$28:$A$39,0),1))</f>
        <v>290071428.57142854</v>
      </c>
      <c r="S767" s="27">
        <f>S187*IF($E767="weekday",INDEX('Category Mapping'!$F$28:$F$39,MATCH('Summarized Source Data'!$A767,'Category Mapping'!$A$28:$A$39,0),1),INDEX('Category Mapping'!$E$28:$E$39,MATCH($A767,'Category Mapping'!$A$28:$A$39,0),1))</f>
        <v>290071428.57142854</v>
      </c>
      <c r="T767" s="27">
        <f>T187*IF($E767="weekday",INDEX('Category Mapping'!$F$28:$F$39,MATCH('Summarized Source Data'!$A767,'Category Mapping'!$A$28:$A$39,0),1),INDEX('Category Mapping'!$E$28:$E$39,MATCH($A767,'Category Mapping'!$A$28:$A$39,0),1))</f>
        <v>290071428.57142854</v>
      </c>
      <c r="U767" s="27">
        <f>U187*IF($E767="weekday",INDEX('Category Mapping'!$F$28:$F$39,MATCH('Summarized Source Data'!$A767,'Category Mapping'!$A$28:$A$39,0),1),INDEX('Category Mapping'!$E$28:$E$39,MATCH($A767,'Category Mapping'!$A$28:$A$39,0),1))</f>
        <v>290071428.57142854</v>
      </c>
      <c r="V767" s="27">
        <f>V187*IF($E767="weekday",INDEX('Category Mapping'!$F$28:$F$39,MATCH('Summarized Source Data'!$A767,'Category Mapping'!$A$28:$A$39,0),1),INDEX('Category Mapping'!$E$28:$E$39,MATCH($A767,'Category Mapping'!$A$28:$A$39,0),1))</f>
        <v>290071428.57142854</v>
      </c>
      <c r="W767" s="27">
        <f>W187*IF($E767="weekday",INDEX('Category Mapping'!$F$28:$F$39,MATCH('Summarized Source Data'!$A767,'Category Mapping'!$A$28:$A$39,0),1),INDEX('Category Mapping'!$E$28:$E$39,MATCH($A767,'Category Mapping'!$A$28:$A$39,0),1))</f>
        <v>290071428.57142854</v>
      </c>
      <c r="X767" s="27">
        <f>X187*IF($E767="weekday",INDEX('Category Mapping'!$F$28:$F$39,MATCH('Summarized Source Data'!$A767,'Category Mapping'!$A$28:$A$39,0),1),INDEX('Category Mapping'!$E$28:$E$39,MATCH($A767,'Category Mapping'!$A$28:$A$39,0),1))</f>
        <v>14902142857.142857</v>
      </c>
      <c r="Y767" s="27">
        <f>Y187*IF($E767="weekday",INDEX('Category Mapping'!$F$28:$F$39,MATCH('Summarized Source Data'!$A767,'Category Mapping'!$A$28:$A$39,0),1),INDEX('Category Mapping'!$E$28:$E$39,MATCH($A767,'Category Mapping'!$A$28:$A$39,0),1))</f>
        <v>14902142857.142857</v>
      </c>
      <c r="Z767" s="27">
        <f>Z187*IF($E767="weekday",INDEX('Category Mapping'!$F$28:$F$39,MATCH('Summarized Source Data'!$A767,'Category Mapping'!$A$28:$A$39,0),1),INDEX('Category Mapping'!$E$28:$E$39,MATCH($A767,'Category Mapping'!$A$28:$A$39,0),1))</f>
        <v>14902142857.142857</v>
      </c>
    </row>
    <row r="768" spans="1:26" x14ac:dyDescent="0.3">
      <c r="A768">
        <f t="shared" ref="A768:E768" si="233">A188</f>
        <v>8</v>
      </c>
      <c r="B768" t="str">
        <f t="shared" si="233"/>
        <v>Summer</v>
      </c>
      <c r="C768" t="str">
        <f t="shared" si="233"/>
        <v>h17</v>
      </c>
      <c r="D768" t="str">
        <f t="shared" si="233"/>
        <v>Hour16</v>
      </c>
      <c r="E768" t="str">
        <f t="shared" si="233"/>
        <v>Weekday</v>
      </c>
      <c r="F768" s="27">
        <f>F188*IF($E768="weekday",INDEX('Category Mapping'!$F$28:$F$39,MATCH('Summarized Source Data'!$A768,'Category Mapping'!$A$28:$A$39,0),1),INDEX('Category Mapping'!$E$28:$E$39,MATCH($A768,'Category Mapping'!$A$28:$A$39,0),1))</f>
        <v>1703715.7142857143</v>
      </c>
      <c r="G768" s="27">
        <f>G188*IF($E768="weekday",INDEX('Category Mapping'!$F$28:$F$39,MATCH('Summarized Source Data'!$A768,'Category Mapping'!$A$28:$A$39,0),1),INDEX('Category Mapping'!$E$28:$E$39,MATCH($A768,'Category Mapping'!$A$28:$A$39,0),1))</f>
        <v>2280714285.7142859</v>
      </c>
      <c r="H768" s="27">
        <f>H188*IF($E768="weekday",INDEX('Category Mapping'!$F$28:$F$39,MATCH('Summarized Source Data'!$A768,'Category Mapping'!$A$28:$A$39,0),1),INDEX('Category Mapping'!$E$28:$E$39,MATCH($A768,'Category Mapping'!$A$28:$A$39,0),1))</f>
        <v>0</v>
      </c>
      <c r="I768" s="27">
        <f>I188*IF($E768="weekday",INDEX('Category Mapping'!$F$28:$F$39,MATCH('Summarized Source Data'!$A768,'Category Mapping'!$A$28:$A$39,0),1),INDEX('Category Mapping'!$E$28:$E$39,MATCH($A768,'Category Mapping'!$A$28:$A$39,0),1))</f>
        <v>283428571.4285714</v>
      </c>
      <c r="J768" s="27">
        <f>J188*IF($E768="weekday",INDEX('Category Mapping'!$F$28:$F$39,MATCH('Summarized Source Data'!$A768,'Category Mapping'!$A$28:$A$39,0),1),INDEX('Category Mapping'!$E$28:$E$39,MATCH($A768,'Category Mapping'!$A$28:$A$39,0),1))</f>
        <v>3279867712.8571429</v>
      </c>
      <c r="K768" s="27">
        <f>K188*IF($E768="weekday",INDEX('Category Mapping'!$F$28:$F$39,MATCH('Summarized Source Data'!$A768,'Category Mapping'!$A$28:$A$39,0),1),INDEX('Category Mapping'!$E$28:$E$39,MATCH($A768,'Category Mapping'!$A$28:$A$39,0),1))</f>
        <v>3279867712.8571429</v>
      </c>
      <c r="L768" s="27">
        <f>L188*IF($E768="weekday",INDEX('Category Mapping'!$F$28:$F$39,MATCH('Summarized Source Data'!$A768,'Category Mapping'!$A$28:$A$39,0),1),INDEX('Category Mapping'!$E$28:$E$39,MATCH($A768,'Category Mapping'!$A$28:$A$39,0),1))</f>
        <v>4597477.1428571427</v>
      </c>
      <c r="M768" s="27">
        <f>M188*IF($E768="weekday",INDEX('Category Mapping'!$F$28:$F$39,MATCH('Summarized Source Data'!$A768,'Category Mapping'!$A$28:$A$39,0),1),INDEX('Category Mapping'!$E$28:$E$39,MATCH($A768,'Category Mapping'!$A$28:$A$39,0),1))</f>
        <v>11580714285.714285</v>
      </c>
      <c r="N768" s="27">
        <f>N188*IF($E768="weekday",INDEX('Category Mapping'!$F$28:$F$39,MATCH('Summarized Source Data'!$A768,'Category Mapping'!$A$28:$A$39,0),1),INDEX('Category Mapping'!$E$28:$E$39,MATCH($A768,'Category Mapping'!$A$28:$A$39,0),1))</f>
        <v>0</v>
      </c>
      <c r="O768" s="27">
        <f>O188*IF($E768="weekday",INDEX('Category Mapping'!$F$28:$F$39,MATCH('Summarized Source Data'!$A768,'Category Mapping'!$A$28:$A$39,0),1),INDEX('Category Mapping'!$E$28:$E$39,MATCH($A768,'Category Mapping'!$A$28:$A$39,0),1))</f>
        <v>10778973951.428572</v>
      </c>
      <c r="P768" s="27">
        <f>P188*IF($E768="weekday",INDEX('Category Mapping'!$F$28:$F$39,MATCH('Summarized Source Data'!$A768,'Category Mapping'!$A$28:$A$39,0),1),INDEX('Category Mapping'!$E$28:$E$39,MATCH($A768,'Category Mapping'!$A$28:$A$39,0),1))</f>
        <v>10778973951.428572</v>
      </c>
      <c r="Q768" s="27">
        <f>Q188*IF($E768="weekday",INDEX('Category Mapping'!$F$28:$F$39,MATCH('Summarized Source Data'!$A768,'Category Mapping'!$A$28:$A$39,0),1),INDEX('Category Mapping'!$E$28:$E$39,MATCH($A768,'Category Mapping'!$A$28:$A$39,0),1))</f>
        <v>10778973951.428572</v>
      </c>
      <c r="R768" s="27">
        <f>R188*IF($E768="weekday",INDEX('Category Mapping'!$F$28:$F$39,MATCH('Summarized Source Data'!$A768,'Category Mapping'!$A$28:$A$39,0),1),INDEX('Category Mapping'!$E$28:$E$39,MATCH($A768,'Category Mapping'!$A$28:$A$39,0),1))</f>
        <v>336571428.57142854</v>
      </c>
      <c r="S768" s="27">
        <f>S188*IF($E768="weekday",INDEX('Category Mapping'!$F$28:$F$39,MATCH('Summarized Source Data'!$A768,'Category Mapping'!$A$28:$A$39,0),1),INDEX('Category Mapping'!$E$28:$E$39,MATCH($A768,'Category Mapping'!$A$28:$A$39,0),1))</f>
        <v>336571428.57142854</v>
      </c>
      <c r="T768" s="27">
        <f>T188*IF($E768="weekday",INDEX('Category Mapping'!$F$28:$F$39,MATCH('Summarized Source Data'!$A768,'Category Mapping'!$A$28:$A$39,0),1),INDEX('Category Mapping'!$E$28:$E$39,MATCH($A768,'Category Mapping'!$A$28:$A$39,0),1))</f>
        <v>336571428.57142854</v>
      </c>
      <c r="U768" s="27">
        <f>U188*IF($E768="weekday",INDEX('Category Mapping'!$F$28:$F$39,MATCH('Summarized Source Data'!$A768,'Category Mapping'!$A$28:$A$39,0),1),INDEX('Category Mapping'!$E$28:$E$39,MATCH($A768,'Category Mapping'!$A$28:$A$39,0),1))</f>
        <v>336571428.57142854</v>
      </c>
      <c r="V768" s="27">
        <f>V188*IF($E768="weekday",INDEX('Category Mapping'!$F$28:$F$39,MATCH('Summarized Source Data'!$A768,'Category Mapping'!$A$28:$A$39,0),1),INDEX('Category Mapping'!$E$28:$E$39,MATCH($A768,'Category Mapping'!$A$28:$A$39,0),1))</f>
        <v>336571428.57142854</v>
      </c>
      <c r="W768" s="27">
        <f>W188*IF($E768="weekday",INDEX('Category Mapping'!$F$28:$F$39,MATCH('Summarized Source Data'!$A768,'Category Mapping'!$A$28:$A$39,0),1),INDEX('Category Mapping'!$E$28:$E$39,MATCH($A768,'Category Mapping'!$A$28:$A$39,0),1))</f>
        <v>336571428.57142854</v>
      </c>
      <c r="X768" s="27">
        <f>X188*IF($E768="weekday",INDEX('Category Mapping'!$F$28:$F$39,MATCH('Summarized Source Data'!$A768,'Category Mapping'!$A$28:$A$39,0),1),INDEX('Category Mapping'!$E$28:$E$39,MATCH($A768,'Category Mapping'!$A$28:$A$39,0),1))</f>
        <v>15057142857.142857</v>
      </c>
      <c r="Y768" s="27">
        <f>Y188*IF($E768="weekday",INDEX('Category Mapping'!$F$28:$F$39,MATCH('Summarized Source Data'!$A768,'Category Mapping'!$A$28:$A$39,0),1),INDEX('Category Mapping'!$E$28:$E$39,MATCH($A768,'Category Mapping'!$A$28:$A$39,0),1))</f>
        <v>15057142857.142857</v>
      </c>
      <c r="Z768" s="27">
        <f>Z188*IF($E768="weekday",INDEX('Category Mapping'!$F$28:$F$39,MATCH('Summarized Source Data'!$A768,'Category Mapping'!$A$28:$A$39,0),1),INDEX('Category Mapping'!$E$28:$E$39,MATCH($A768,'Category Mapping'!$A$28:$A$39,0),1))</f>
        <v>15057142857.142857</v>
      </c>
    </row>
    <row r="769" spans="1:26" x14ac:dyDescent="0.3">
      <c r="A769">
        <f t="shared" ref="A769:E769" si="234">A189</f>
        <v>8</v>
      </c>
      <c r="B769" t="str">
        <f t="shared" si="234"/>
        <v>Summer</v>
      </c>
      <c r="C769" t="str">
        <f t="shared" si="234"/>
        <v>h18</v>
      </c>
      <c r="D769" t="str">
        <f t="shared" si="234"/>
        <v>Hour17</v>
      </c>
      <c r="E769" t="str">
        <f t="shared" si="234"/>
        <v>Weekday</v>
      </c>
      <c r="F769" s="27">
        <f>F189*IF($E769="weekday",INDEX('Category Mapping'!$F$28:$F$39,MATCH('Summarized Source Data'!$A769,'Category Mapping'!$A$28:$A$39,0),1),INDEX('Category Mapping'!$E$28:$E$39,MATCH($A769,'Category Mapping'!$A$28:$A$39,0),1))</f>
        <v>1798088.5714285714</v>
      </c>
      <c r="G769" s="27">
        <f>G189*IF($E769="weekday",INDEX('Category Mapping'!$F$28:$F$39,MATCH('Summarized Source Data'!$A769,'Category Mapping'!$A$28:$A$39,0),1),INDEX('Category Mapping'!$E$28:$E$39,MATCH($A769,'Category Mapping'!$A$28:$A$39,0),1))</f>
        <v>2347142857.1428571</v>
      </c>
      <c r="H769" s="27">
        <f>H189*IF($E769="weekday",INDEX('Category Mapping'!$F$28:$F$39,MATCH('Summarized Source Data'!$A769,'Category Mapping'!$A$28:$A$39,0),1),INDEX('Category Mapping'!$E$28:$E$39,MATCH($A769,'Category Mapping'!$A$28:$A$39,0),1))</f>
        <v>0</v>
      </c>
      <c r="I769" s="27">
        <f>I189*IF($E769="weekday",INDEX('Category Mapping'!$F$28:$F$39,MATCH('Summarized Source Data'!$A769,'Category Mapping'!$A$28:$A$39,0),1),INDEX('Category Mapping'!$E$28:$E$39,MATCH($A769,'Category Mapping'!$A$28:$A$39,0),1))</f>
        <v>403000000</v>
      </c>
      <c r="J769" s="27">
        <f>J189*IF($E769="weekday",INDEX('Category Mapping'!$F$28:$F$39,MATCH('Summarized Source Data'!$A769,'Category Mapping'!$A$28:$A$39,0),1),INDEX('Category Mapping'!$E$28:$E$39,MATCH($A769,'Category Mapping'!$A$28:$A$39,0),1))</f>
        <v>3603059054.2857141</v>
      </c>
      <c r="K769" s="27">
        <f>K189*IF($E769="weekday",INDEX('Category Mapping'!$F$28:$F$39,MATCH('Summarized Source Data'!$A769,'Category Mapping'!$A$28:$A$39,0),1),INDEX('Category Mapping'!$E$28:$E$39,MATCH($A769,'Category Mapping'!$A$28:$A$39,0),1))</f>
        <v>3603059054.2857141</v>
      </c>
      <c r="L769" s="27">
        <f>L189*IF($E769="weekday",INDEX('Category Mapping'!$F$28:$F$39,MATCH('Summarized Source Data'!$A769,'Category Mapping'!$A$28:$A$39,0),1),INDEX('Category Mapping'!$E$28:$E$39,MATCH($A769,'Category Mapping'!$A$28:$A$39,0),1))</f>
        <v>4597477.1428571427</v>
      </c>
      <c r="M769" s="27">
        <f>M189*IF($E769="weekday",INDEX('Category Mapping'!$F$28:$F$39,MATCH('Summarized Source Data'!$A769,'Category Mapping'!$A$28:$A$39,0),1),INDEX('Category Mapping'!$E$28:$E$39,MATCH($A769,'Category Mapping'!$A$28:$A$39,0),1))</f>
        <v>10938571428.571428</v>
      </c>
      <c r="N769" s="27">
        <f>N189*IF($E769="weekday",INDEX('Category Mapping'!$F$28:$F$39,MATCH('Summarized Source Data'!$A769,'Category Mapping'!$A$28:$A$39,0),1),INDEX('Category Mapping'!$E$28:$E$39,MATCH($A769,'Category Mapping'!$A$28:$A$39,0),1))</f>
        <v>0</v>
      </c>
      <c r="O769" s="27">
        <f>O189*IF($E769="weekday",INDEX('Category Mapping'!$F$28:$F$39,MATCH('Summarized Source Data'!$A769,'Category Mapping'!$A$28:$A$39,0),1),INDEX('Category Mapping'!$E$28:$E$39,MATCH($A769,'Category Mapping'!$A$28:$A$39,0),1))</f>
        <v>10136831094.285713</v>
      </c>
      <c r="P769" s="27">
        <f>P189*IF($E769="weekday",INDEX('Category Mapping'!$F$28:$F$39,MATCH('Summarized Source Data'!$A769,'Category Mapping'!$A$28:$A$39,0),1),INDEX('Category Mapping'!$E$28:$E$39,MATCH($A769,'Category Mapping'!$A$28:$A$39,0),1))</f>
        <v>10136831094.285713</v>
      </c>
      <c r="Q769" s="27">
        <f>Q189*IF($E769="weekday",INDEX('Category Mapping'!$F$28:$F$39,MATCH('Summarized Source Data'!$A769,'Category Mapping'!$A$28:$A$39,0),1),INDEX('Category Mapping'!$E$28:$E$39,MATCH($A769,'Category Mapping'!$A$28:$A$39,0),1))</f>
        <v>10136831094.285713</v>
      </c>
      <c r="R769" s="27">
        <f>R189*IF($E769="weekday",INDEX('Category Mapping'!$F$28:$F$39,MATCH('Summarized Source Data'!$A769,'Category Mapping'!$A$28:$A$39,0),1),INDEX('Category Mapping'!$E$28:$E$39,MATCH($A769,'Category Mapping'!$A$28:$A$39,0),1))</f>
        <v>356500000</v>
      </c>
      <c r="S769" s="27">
        <f>S189*IF($E769="weekday",INDEX('Category Mapping'!$F$28:$F$39,MATCH('Summarized Source Data'!$A769,'Category Mapping'!$A$28:$A$39,0),1),INDEX('Category Mapping'!$E$28:$E$39,MATCH($A769,'Category Mapping'!$A$28:$A$39,0),1))</f>
        <v>356500000</v>
      </c>
      <c r="T769" s="27">
        <f>T189*IF($E769="weekday",INDEX('Category Mapping'!$F$28:$F$39,MATCH('Summarized Source Data'!$A769,'Category Mapping'!$A$28:$A$39,0),1),INDEX('Category Mapping'!$E$28:$E$39,MATCH($A769,'Category Mapping'!$A$28:$A$39,0),1))</f>
        <v>356500000</v>
      </c>
      <c r="U769" s="27">
        <f>U189*IF($E769="weekday",INDEX('Category Mapping'!$F$28:$F$39,MATCH('Summarized Source Data'!$A769,'Category Mapping'!$A$28:$A$39,0),1),INDEX('Category Mapping'!$E$28:$E$39,MATCH($A769,'Category Mapping'!$A$28:$A$39,0),1))</f>
        <v>356500000</v>
      </c>
      <c r="V769" s="27">
        <f>V189*IF($E769="weekday",INDEX('Category Mapping'!$F$28:$F$39,MATCH('Summarized Source Data'!$A769,'Category Mapping'!$A$28:$A$39,0),1),INDEX('Category Mapping'!$E$28:$E$39,MATCH($A769,'Category Mapping'!$A$28:$A$39,0),1))</f>
        <v>356500000</v>
      </c>
      <c r="W769" s="27">
        <f>W189*IF($E769="weekday",INDEX('Category Mapping'!$F$28:$F$39,MATCH('Summarized Source Data'!$A769,'Category Mapping'!$A$28:$A$39,0),1),INDEX('Category Mapping'!$E$28:$E$39,MATCH($A769,'Category Mapping'!$A$28:$A$39,0),1))</f>
        <v>356500000</v>
      </c>
      <c r="X769" s="27">
        <f>X189*IF($E769="weekday",INDEX('Category Mapping'!$F$28:$F$39,MATCH('Summarized Source Data'!$A769,'Category Mapping'!$A$28:$A$39,0),1),INDEX('Category Mapping'!$E$28:$E$39,MATCH($A769,'Category Mapping'!$A$28:$A$39,0),1))</f>
        <v>15101428571.428572</v>
      </c>
      <c r="Y769" s="27">
        <f>Y189*IF($E769="weekday",INDEX('Category Mapping'!$F$28:$F$39,MATCH('Summarized Source Data'!$A769,'Category Mapping'!$A$28:$A$39,0),1),INDEX('Category Mapping'!$E$28:$E$39,MATCH($A769,'Category Mapping'!$A$28:$A$39,0),1))</f>
        <v>15101428571.428572</v>
      </c>
      <c r="Z769" s="27">
        <f>Z189*IF($E769="weekday",INDEX('Category Mapping'!$F$28:$F$39,MATCH('Summarized Source Data'!$A769,'Category Mapping'!$A$28:$A$39,0),1),INDEX('Category Mapping'!$E$28:$E$39,MATCH($A769,'Category Mapping'!$A$28:$A$39,0),1))</f>
        <v>15101428571.428572</v>
      </c>
    </row>
    <row r="770" spans="1:26" x14ac:dyDescent="0.3">
      <c r="A770">
        <f t="shared" ref="A770:E770" si="235">A190</f>
        <v>8</v>
      </c>
      <c r="B770" t="str">
        <f t="shared" si="235"/>
        <v>Summer</v>
      </c>
      <c r="C770" t="str">
        <f t="shared" si="235"/>
        <v>h19</v>
      </c>
      <c r="D770" t="str">
        <f t="shared" si="235"/>
        <v>Hour18</v>
      </c>
      <c r="E770" t="str">
        <f t="shared" si="235"/>
        <v>Weekday</v>
      </c>
      <c r="F770" s="27">
        <f>F190*IF($E770="weekday",INDEX('Category Mapping'!$F$28:$F$39,MATCH('Summarized Source Data'!$A770,'Category Mapping'!$A$28:$A$39,0),1),INDEX('Category Mapping'!$E$28:$E$39,MATCH($A770,'Category Mapping'!$A$28:$A$39,0),1))</f>
        <v>1905437.1428571427</v>
      </c>
      <c r="G770" s="27">
        <f>G190*IF($E770="weekday",INDEX('Category Mapping'!$F$28:$F$39,MATCH('Summarized Source Data'!$A770,'Category Mapping'!$A$28:$A$39,0),1),INDEX('Category Mapping'!$E$28:$E$39,MATCH($A770,'Category Mapping'!$A$28:$A$39,0),1))</f>
        <v>2369285714.2857141</v>
      </c>
      <c r="H770" s="27">
        <f>H190*IF($E770="weekday",INDEX('Category Mapping'!$F$28:$F$39,MATCH('Summarized Source Data'!$A770,'Category Mapping'!$A$28:$A$39,0),1),INDEX('Category Mapping'!$E$28:$E$39,MATCH($A770,'Category Mapping'!$A$28:$A$39,0),1))</f>
        <v>0</v>
      </c>
      <c r="I770" s="27">
        <f>I190*IF($E770="weekday",INDEX('Category Mapping'!$F$28:$F$39,MATCH('Summarized Source Data'!$A770,'Category Mapping'!$A$28:$A$39,0),1),INDEX('Category Mapping'!$E$28:$E$39,MATCH($A770,'Category Mapping'!$A$28:$A$39,0),1))</f>
        <v>1129285714.2857141</v>
      </c>
      <c r="J770" s="27">
        <f>J190*IF($E770="weekday",INDEX('Category Mapping'!$F$28:$F$39,MATCH('Summarized Source Data'!$A770,'Category Mapping'!$A$28:$A$39,0),1),INDEX('Category Mapping'!$E$28:$E$39,MATCH($A770,'Category Mapping'!$A$28:$A$39,0),1))</f>
        <v>3518808848.5714283</v>
      </c>
      <c r="K770" s="27">
        <f>K190*IF($E770="weekday",INDEX('Category Mapping'!$F$28:$F$39,MATCH('Summarized Source Data'!$A770,'Category Mapping'!$A$28:$A$39,0),1),INDEX('Category Mapping'!$E$28:$E$39,MATCH($A770,'Category Mapping'!$A$28:$A$39,0),1))</f>
        <v>3518808848.5714283</v>
      </c>
      <c r="L770" s="27">
        <f>L190*IF($E770="weekday",INDEX('Category Mapping'!$F$28:$F$39,MATCH('Summarized Source Data'!$A770,'Category Mapping'!$A$28:$A$39,0),1),INDEX('Category Mapping'!$E$28:$E$39,MATCH($A770,'Category Mapping'!$A$28:$A$39,0),1))</f>
        <v>4597477.1428571427</v>
      </c>
      <c r="M770" s="27">
        <f>M190*IF($E770="weekday",INDEX('Category Mapping'!$F$28:$F$39,MATCH('Summarized Source Data'!$A770,'Category Mapping'!$A$28:$A$39,0),1),INDEX('Category Mapping'!$E$28:$E$39,MATCH($A770,'Category Mapping'!$A$28:$A$39,0),1))</f>
        <v>10274285714.285713</v>
      </c>
      <c r="N770" s="27">
        <f>N190*IF($E770="weekday",INDEX('Category Mapping'!$F$28:$F$39,MATCH('Summarized Source Data'!$A770,'Category Mapping'!$A$28:$A$39,0),1),INDEX('Category Mapping'!$E$28:$E$39,MATCH($A770,'Category Mapping'!$A$28:$A$39,0),1))</f>
        <v>0</v>
      </c>
      <c r="O770" s="27">
        <f>O190*IF($E770="weekday",INDEX('Category Mapping'!$F$28:$F$39,MATCH('Summarized Source Data'!$A770,'Category Mapping'!$A$28:$A$39,0),1),INDEX('Category Mapping'!$E$28:$E$39,MATCH($A770,'Category Mapping'!$A$28:$A$39,0),1))</f>
        <v>9605402522.8571434</v>
      </c>
      <c r="P770" s="27">
        <f>P190*IF($E770="weekday",INDEX('Category Mapping'!$F$28:$F$39,MATCH('Summarized Source Data'!$A770,'Category Mapping'!$A$28:$A$39,0),1),INDEX('Category Mapping'!$E$28:$E$39,MATCH($A770,'Category Mapping'!$A$28:$A$39,0),1))</f>
        <v>9605402522.8571434</v>
      </c>
      <c r="Q770" s="27">
        <f>Q190*IF($E770="weekday",INDEX('Category Mapping'!$F$28:$F$39,MATCH('Summarized Source Data'!$A770,'Category Mapping'!$A$28:$A$39,0),1),INDEX('Category Mapping'!$E$28:$E$39,MATCH($A770,'Category Mapping'!$A$28:$A$39,0),1))</f>
        <v>9605402522.8571434</v>
      </c>
      <c r="R770" s="27">
        <f>R190*IF($E770="weekday",INDEX('Category Mapping'!$F$28:$F$39,MATCH('Summarized Source Data'!$A770,'Category Mapping'!$A$28:$A$39,0),1),INDEX('Category Mapping'!$E$28:$E$39,MATCH($A770,'Category Mapping'!$A$28:$A$39,0),1))</f>
        <v>329928571.4285714</v>
      </c>
      <c r="S770" s="27">
        <f>S190*IF($E770="weekday",INDEX('Category Mapping'!$F$28:$F$39,MATCH('Summarized Source Data'!$A770,'Category Mapping'!$A$28:$A$39,0),1),INDEX('Category Mapping'!$E$28:$E$39,MATCH($A770,'Category Mapping'!$A$28:$A$39,0),1))</f>
        <v>329928571.4285714</v>
      </c>
      <c r="T770" s="27">
        <f>T190*IF($E770="weekday",INDEX('Category Mapping'!$F$28:$F$39,MATCH('Summarized Source Data'!$A770,'Category Mapping'!$A$28:$A$39,0),1),INDEX('Category Mapping'!$E$28:$E$39,MATCH($A770,'Category Mapping'!$A$28:$A$39,0),1))</f>
        <v>329928571.4285714</v>
      </c>
      <c r="U770" s="27">
        <f>U190*IF($E770="weekday",INDEX('Category Mapping'!$F$28:$F$39,MATCH('Summarized Source Data'!$A770,'Category Mapping'!$A$28:$A$39,0),1),INDEX('Category Mapping'!$E$28:$E$39,MATCH($A770,'Category Mapping'!$A$28:$A$39,0),1))</f>
        <v>329928571.4285714</v>
      </c>
      <c r="V770" s="27">
        <f>V190*IF($E770="weekday",INDEX('Category Mapping'!$F$28:$F$39,MATCH('Summarized Source Data'!$A770,'Category Mapping'!$A$28:$A$39,0),1),INDEX('Category Mapping'!$E$28:$E$39,MATCH($A770,'Category Mapping'!$A$28:$A$39,0),1))</f>
        <v>329928571.4285714</v>
      </c>
      <c r="W770" s="27">
        <f>W190*IF($E770="weekday",INDEX('Category Mapping'!$F$28:$F$39,MATCH('Summarized Source Data'!$A770,'Category Mapping'!$A$28:$A$39,0),1),INDEX('Category Mapping'!$E$28:$E$39,MATCH($A770,'Category Mapping'!$A$28:$A$39,0),1))</f>
        <v>329928571.4285714</v>
      </c>
      <c r="X770" s="27">
        <f>X190*IF($E770="weekday",INDEX('Category Mapping'!$F$28:$F$39,MATCH('Summarized Source Data'!$A770,'Category Mapping'!$A$28:$A$39,0),1),INDEX('Category Mapping'!$E$28:$E$39,MATCH($A770,'Category Mapping'!$A$28:$A$39,0),1))</f>
        <v>15012857142.857143</v>
      </c>
      <c r="Y770" s="27">
        <f>Y190*IF($E770="weekday",INDEX('Category Mapping'!$F$28:$F$39,MATCH('Summarized Source Data'!$A770,'Category Mapping'!$A$28:$A$39,0),1),INDEX('Category Mapping'!$E$28:$E$39,MATCH($A770,'Category Mapping'!$A$28:$A$39,0),1))</f>
        <v>15012857142.857143</v>
      </c>
      <c r="Z770" s="27">
        <f>Z190*IF($E770="weekday",INDEX('Category Mapping'!$F$28:$F$39,MATCH('Summarized Source Data'!$A770,'Category Mapping'!$A$28:$A$39,0),1),INDEX('Category Mapping'!$E$28:$E$39,MATCH($A770,'Category Mapping'!$A$28:$A$39,0),1))</f>
        <v>15012857142.857143</v>
      </c>
    </row>
    <row r="771" spans="1:26" x14ac:dyDescent="0.3">
      <c r="A771">
        <f t="shared" ref="A771:E771" si="236">A191</f>
        <v>8</v>
      </c>
      <c r="B771" t="str">
        <f t="shared" si="236"/>
        <v>Summer</v>
      </c>
      <c r="C771" t="str">
        <f t="shared" si="236"/>
        <v>h20</v>
      </c>
      <c r="D771" t="str">
        <f t="shared" si="236"/>
        <v>Hour19</v>
      </c>
      <c r="E771" t="str">
        <f t="shared" si="236"/>
        <v>Weekday</v>
      </c>
      <c r="F771" s="27">
        <f>F191*IF($E771="weekday",INDEX('Category Mapping'!$F$28:$F$39,MATCH('Summarized Source Data'!$A771,'Category Mapping'!$A$28:$A$39,0),1),INDEX('Category Mapping'!$E$28:$E$39,MATCH($A771,'Category Mapping'!$A$28:$A$39,0),1))</f>
        <v>2000097.857142857</v>
      </c>
      <c r="G771" s="27">
        <f>G191*IF($E771="weekday",INDEX('Category Mapping'!$F$28:$F$39,MATCH('Summarized Source Data'!$A771,'Category Mapping'!$A$28:$A$39,0),1),INDEX('Category Mapping'!$E$28:$E$39,MATCH($A771,'Category Mapping'!$A$28:$A$39,0),1))</f>
        <v>2325000000</v>
      </c>
      <c r="H771" s="27">
        <f>H191*IF($E771="weekday",INDEX('Category Mapping'!$F$28:$F$39,MATCH('Summarized Source Data'!$A771,'Category Mapping'!$A$28:$A$39,0),1),INDEX('Category Mapping'!$E$28:$E$39,MATCH($A771,'Category Mapping'!$A$28:$A$39,0),1))</f>
        <v>0</v>
      </c>
      <c r="I771" s="27">
        <f>I191*IF($E771="weekday",INDEX('Category Mapping'!$F$28:$F$39,MATCH('Summarized Source Data'!$A771,'Category Mapping'!$A$28:$A$39,0),1),INDEX('Category Mapping'!$E$28:$E$39,MATCH($A771,'Category Mapping'!$A$28:$A$39,0),1))</f>
        <v>1215642857.1428571</v>
      </c>
      <c r="J771" s="27">
        <f>J191*IF($E771="weekday",INDEX('Category Mapping'!$F$28:$F$39,MATCH('Summarized Source Data'!$A771,'Category Mapping'!$A$28:$A$39,0),1),INDEX('Category Mapping'!$E$28:$E$39,MATCH($A771,'Category Mapping'!$A$28:$A$39,0),1))</f>
        <v>3343785616.4285712</v>
      </c>
      <c r="K771" s="27">
        <f>K191*IF($E771="weekday",INDEX('Category Mapping'!$F$28:$F$39,MATCH('Summarized Source Data'!$A771,'Category Mapping'!$A$28:$A$39,0),1),INDEX('Category Mapping'!$E$28:$E$39,MATCH($A771,'Category Mapping'!$A$28:$A$39,0),1))</f>
        <v>3343785616.4285712</v>
      </c>
      <c r="L771" s="27">
        <f>L191*IF($E771="weekday",INDEX('Category Mapping'!$F$28:$F$39,MATCH('Summarized Source Data'!$A771,'Category Mapping'!$A$28:$A$39,0),1),INDEX('Category Mapping'!$E$28:$E$39,MATCH($A771,'Category Mapping'!$A$28:$A$39,0),1))</f>
        <v>4597477.1428571427</v>
      </c>
      <c r="M771" s="27">
        <f>M191*IF($E771="weekday",INDEX('Category Mapping'!$F$28:$F$39,MATCH('Summarized Source Data'!$A771,'Category Mapping'!$A$28:$A$39,0),1),INDEX('Category Mapping'!$E$28:$E$39,MATCH($A771,'Category Mapping'!$A$28:$A$39,0),1))</f>
        <v>9410714285.7142849</v>
      </c>
      <c r="N771" s="27">
        <f>N191*IF($E771="weekday",INDEX('Category Mapping'!$F$28:$F$39,MATCH('Summarized Source Data'!$A771,'Category Mapping'!$A$28:$A$39,0),1),INDEX('Category Mapping'!$E$28:$E$39,MATCH($A771,'Category Mapping'!$A$28:$A$39,0),1))</f>
        <v>0</v>
      </c>
      <c r="O771" s="27">
        <f>O191*IF($E771="weekday",INDEX('Category Mapping'!$F$28:$F$39,MATCH('Summarized Source Data'!$A771,'Category Mapping'!$A$28:$A$39,0),1),INDEX('Category Mapping'!$E$28:$E$39,MATCH($A771,'Category Mapping'!$A$28:$A$39,0),1))</f>
        <v>8033259665.7142859</v>
      </c>
      <c r="P771" s="27">
        <f>P191*IF($E771="weekday",INDEX('Category Mapping'!$F$28:$F$39,MATCH('Summarized Source Data'!$A771,'Category Mapping'!$A$28:$A$39,0),1),INDEX('Category Mapping'!$E$28:$E$39,MATCH($A771,'Category Mapping'!$A$28:$A$39,0),1))</f>
        <v>8033259665.7142859</v>
      </c>
      <c r="Q771" s="27">
        <f>Q191*IF($E771="weekday",INDEX('Category Mapping'!$F$28:$F$39,MATCH('Summarized Source Data'!$A771,'Category Mapping'!$A$28:$A$39,0),1),INDEX('Category Mapping'!$E$28:$E$39,MATCH($A771,'Category Mapping'!$A$28:$A$39,0),1))</f>
        <v>8033259665.7142859</v>
      </c>
      <c r="R771" s="27">
        <f>R191*IF($E771="weekday",INDEX('Category Mapping'!$F$28:$F$39,MATCH('Summarized Source Data'!$A771,'Category Mapping'!$A$28:$A$39,0),1),INDEX('Category Mapping'!$E$28:$E$39,MATCH($A771,'Category Mapping'!$A$28:$A$39,0),1))</f>
        <v>267928571.42857143</v>
      </c>
      <c r="S771" s="27">
        <f>S191*IF($E771="weekday",INDEX('Category Mapping'!$F$28:$F$39,MATCH('Summarized Source Data'!$A771,'Category Mapping'!$A$28:$A$39,0),1),INDEX('Category Mapping'!$E$28:$E$39,MATCH($A771,'Category Mapping'!$A$28:$A$39,0),1))</f>
        <v>267928571.42857143</v>
      </c>
      <c r="T771" s="27">
        <f>T191*IF($E771="weekday",INDEX('Category Mapping'!$F$28:$F$39,MATCH('Summarized Source Data'!$A771,'Category Mapping'!$A$28:$A$39,0),1),INDEX('Category Mapping'!$E$28:$E$39,MATCH($A771,'Category Mapping'!$A$28:$A$39,0),1))</f>
        <v>267928571.42857143</v>
      </c>
      <c r="U771" s="27">
        <f>U191*IF($E771="weekday",INDEX('Category Mapping'!$F$28:$F$39,MATCH('Summarized Source Data'!$A771,'Category Mapping'!$A$28:$A$39,0),1),INDEX('Category Mapping'!$E$28:$E$39,MATCH($A771,'Category Mapping'!$A$28:$A$39,0),1))</f>
        <v>267928571.42857143</v>
      </c>
      <c r="V771" s="27">
        <f>V191*IF($E771="weekday",INDEX('Category Mapping'!$F$28:$F$39,MATCH('Summarized Source Data'!$A771,'Category Mapping'!$A$28:$A$39,0),1),INDEX('Category Mapping'!$E$28:$E$39,MATCH($A771,'Category Mapping'!$A$28:$A$39,0),1))</f>
        <v>267928571.42857143</v>
      </c>
      <c r="W771" s="27">
        <f>W191*IF($E771="weekday",INDEX('Category Mapping'!$F$28:$F$39,MATCH('Summarized Source Data'!$A771,'Category Mapping'!$A$28:$A$39,0),1),INDEX('Category Mapping'!$E$28:$E$39,MATCH($A771,'Category Mapping'!$A$28:$A$39,0),1))</f>
        <v>267928571.42857143</v>
      </c>
      <c r="X771" s="27">
        <f>X191*IF($E771="weekday",INDEX('Category Mapping'!$F$28:$F$39,MATCH('Summarized Source Data'!$A771,'Category Mapping'!$A$28:$A$39,0),1),INDEX('Category Mapping'!$E$28:$E$39,MATCH($A771,'Category Mapping'!$A$28:$A$39,0),1))</f>
        <v>14902142857.142857</v>
      </c>
      <c r="Y771" s="27">
        <f>Y191*IF($E771="weekday",INDEX('Category Mapping'!$F$28:$F$39,MATCH('Summarized Source Data'!$A771,'Category Mapping'!$A$28:$A$39,0),1),INDEX('Category Mapping'!$E$28:$E$39,MATCH($A771,'Category Mapping'!$A$28:$A$39,0),1))</f>
        <v>14902142857.142857</v>
      </c>
      <c r="Z771" s="27">
        <f>Z191*IF($E771="weekday",INDEX('Category Mapping'!$F$28:$F$39,MATCH('Summarized Source Data'!$A771,'Category Mapping'!$A$28:$A$39,0),1),INDEX('Category Mapping'!$E$28:$E$39,MATCH($A771,'Category Mapping'!$A$28:$A$39,0),1))</f>
        <v>14902142857.142857</v>
      </c>
    </row>
    <row r="772" spans="1:26" x14ac:dyDescent="0.3">
      <c r="A772">
        <f t="shared" ref="A772:E772" si="237">A192</f>
        <v>8</v>
      </c>
      <c r="B772" t="str">
        <f t="shared" si="237"/>
        <v>Summer</v>
      </c>
      <c r="C772" t="str">
        <f t="shared" si="237"/>
        <v>h21</v>
      </c>
      <c r="D772" t="str">
        <f t="shared" si="237"/>
        <v>Hour20</v>
      </c>
      <c r="E772" t="str">
        <f t="shared" si="237"/>
        <v>Weekday</v>
      </c>
      <c r="F772" s="27">
        <f>F192*IF($E772="weekday",INDEX('Category Mapping'!$F$28:$F$39,MATCH('Summarized Source Data'!$A772,'Category Mapping'!$A$28:$A$39,0),1),INDEX('Category Mapping'!$E$28:$E$39,MATCH($A772,'Category Mapping'!$A$28:$A$39,0),1))</f>
        <v>2021067.1428571427</v>
      </c>
      <c r="G772" s="27">
        <f>G192*IF($E772="weekday",INDEX('Category Mapping'!$F$28:$F$39,MATCH('Summarized Source Data'!$A772,'Category Mapping'!$A$28:$A$39,0),1),INDEX('Category Mapping'!$E$28:$E$39,MATCH($A772,'Category Mapping'!$A$28:$A$39,0),1))</f>
        <v>2170000000</v>
      </c>
      <c r="H772" s="27">
        <f>H192*IF($E772="weekday",INDEX('Category Mapping'!$F$28:$F$39,MATCH('Summarized Source Data'!$A772,'Category Mapping'!$A$28:$A$39,0),1),INDEX('Category Mapping'!$E$28:$E$39,MATCH($A772,'Category Mapping'!$A$28:$A$39,0),1))</f>
        <v>0</v>
      </c>
      <c r="I772" s="27">
        <f>I192*IF($E772="weekday",INDEX('Category Mapping'!$F$28:$F$39,MATCH('Summarized Source Data'!$A772,'Category Mapping'!$A$28:$A$39,0),1),INDEX('Category Mapping'!$E$28:$E$39,MATCH($A772,'Category Mapping'!$A$28:$A$39,0),1))</f>
        <v>1235571428.5714285</v>
      </c>
      <c r="J772" s="27">
        <f>J192*IF($E772="weekday",INDEX('Category Mapping'!$F$28:$F$39,MATCH('Summarized Source Data'!$A772,'Category Mapping'!$A$28:$A$39,0),1),INDEX('Category Mapping'!$E$28:$E$39,MATCH($A772,'Category Mapping'!$A$28:$A$39,0),1))</f>
        <v>3279550361.4285712</v>
      </c>
      <c r="K772" s="27">
        <f>K192*IF($E772="weekday",INDEX('Category Mapping'!$F$28:$F$39,MATCH('Summarized Source Data'!$A772,'Category Mapping'!$A$28:$A$39,0),1),INDEX('Category Mapping'!$E$28:$E$39,MATCH($A772,'Category Mapping'!$A$28:$A$39,0),1))</f>
        <v>3279550361.4285712</v>
      </c>
      <c r="L772" s="27">
        <f>L192*IF($E772="weekday",INDEX('Category Mapping'!$F$28:$F$39,MATCH('Summarized Source Data'!$A772,'Category Mapping'!$A$28:$A$39,0),1),INDEX('Category Mapping'!$E$28:$E$39,MATCH($A772,'Category Mapping'!$A$28:$A$39,0),1))</f>
        <v>4597477.1428571427</v>
      </c>
      <c r="M772" s="27">
        <f>M192*IF($E772="weekday",INDEX('Category Mapping'!$F$28:$F$39,MATCH('Summarized Source Data'!$A772,'Category Mapping'!$A$28:$A$39,0),1),INDEX('Category Mapping'!$E$28:$E$39,MATCH($A772,'Category Mapping'!$A$28:$A$39,0),1))</f>
        <v>8591428571.4285717</v>
      </c>
      <c r="N772" s="27">
        <f>N192*IF($E772="weekday",INDEX('Category Mapping'!$F$28:$F$39,MATCH('Summarized Source Data'!$A772,'Category Mapping'!$A$28:$A$39,0),1),INDEX('Category Mapping'!$E$28:$E$39,MATCH($A772,'Category Mapping'!$A$28:$A$39,0),1))</f>
        <v>0</v>
      </c>
      <c r="O772" s="27">
        <f>O192*IF($E772="weekday",INDEX('Category Mapping'!$F$28:$F$39,MATCH('Summarized Source Data'!$A772,'Category Mapping'!$A$28:$A$39,0),1),INDEX('Category Mapping'!$E$28:$E$39,MATCH($A772,'Category Mapping'!$A$28:$A$39,0),1))</f>
        <v>6660402522.8571424</v>
      </c>
      <c r="P772" s="27">
        <f>P192*IF($E772="weekday",INDEX('Category Mapping'!$F$28:$F$39,MATCH('Summarized Source Data'!$A772,'Category Mapping'!$A$28:$A$39,0),1),INDEX('Category Mapping'!$E$28:$E$39,MATCH($A772,'Category Mapping'!$A$28:$A$39,0),1))</f>
        <v>6660402522.8571424</v>
      </c>
      <c r="Q772" s="27">
        <f>Q192*IF($E772="weekday",INDEX('Category Mapping'!$F$28:$F$39,MATCH('Summarized Source Data'!$A772,'Category Mapping'!$A$28:$A$39,0),1),INDEX('Category Mapping'!$E$28:$E$39,MATCH($A772,'Category Mapping'!$A$28:$A$39,0),1))</f>
        <v>6660402522.8571424</v>
      </c>
      <c r="R772" s="27">
        <f>R192*IF($E772="weekday",INDEX('Category Mapping'!$F$28:$F$39,MATCH('Summarized Source Data'!$A772,'Category Mapping'!$A$28:$A$39,0),1),INDEX('Category Mapping'!$E$28:$E$39,MATCH($A772,'Category Mapping'!$A$28:$A$39,0),1))</f>
        <v>243571428.57142857</v>
      </c>
      <c r="S772" s="27">
        <f>S192*IF($E772="weekday",INDEX('Category Mapping'!$F$28:$F$39,MATCH('Summarized Source Data'!$A772,'Category Mapping'!$A$28:$A$39,0),1),INDEX('Category Mapping'!$E$28:$E$39,MATCH($A772,'Category Mapping'!$A$28:$A$39,0),1))</f>
        <v>243571428.57142857</v>
      </c>
      <c r="T772" s="27">
        <f>T192*IF($E772="weekday",INDEX('Category Mapping'!$F$28:$F$39,MATCH('Summarized Source Data'!$A772,'Category Mapping'!$A$28:$A$39,0),1),INDEX('Category Mapping'!$E$28:$E$39,MATCH($A772,'Category Mapping'!$A$28:$A$39,0),1))</f>
        <v>243571428.57142857</v>
      </c>
      <c r="U772" s="27">
        <f>U192*IF($E772="weekday",INDEX('Category Mapping'!$F$28:$F$39,MATCH('Summarized Source Data'!$A772,'Category Mapping'!$A$28:$A$39,0),1),INDEX('Category Mapping'!$E$28:$E$39,MATCH($A772,'Category Mapping'!$A$28:$A$39,0),1))</f>
        <v>243571428.57142857</v>
      </c>
      <c r="V772" s="27">
        <f>V192*IF($E772="weekday",INDEX('Category Mapping'!$F$28:$F$39,MATCH('Summarized Source Data'!$A772,'Category Mapping'!$A$28:$A$39,0),1),INDEX('Category Mapping'!$E$28:$E$39,MATCH($A772,'Category Mapping'!$A$28:$A$39,0),1))</f>
        <v>243571428.57142857</v>
      </c>
      <c r="W772" s="27">
        <f>W192*IF($E772="weekday",INDEX('Category Mapping'!$F$28:$F$39,MATCH('Summarized Source Data'!$A772,'Category Mapping'!$A$28:$A$39,0),1),INDEX('Category Mapping'!$E$28:$E$39,MATCH($A772,'Category Mapping'!$A$28:$A$39,0),1))</f>
        <v>243571428.57142857</v>
      </c>
      <c r="X772" s="27">
        <f>X192*IF($E772="weekday",INDEX('Category Mapping'!$F$28:$F$39,MATCH('Summarized Source Data'!$A772,'Category Mapping'!$A$28:$A$39,0),1),INDEX('Category Mapping'!$E$28:$E$39,MATCH($A772,'Category Mapping'!$A$28:$A$39,0),1))</f>
        <v>14813571428.571428</v>
      </c>
      <c r="Y772" s="27">
        <f>Y192*IF($E772="weekday",INDEX('Category Mapping'!$F$28:$F$39,MATCH('Summarized Source Data'!$A772,'Category Mapping'!$A$28:$A$39,0),1),INDEX('Category Mapping'!$E$28:$E$39,MATCH($A772,'Category Mapping'!$A$28:$A$39,0),1))</f>
        <v>14813571428.571428</v>
      </c>
      <c r="Z772" s="27">
        <f>Z192*IF($E772="weekday",INDEX('Category Mapping'!$F$28:$F$39,MATCH('Summarized Source Data'!$A772,'Category Mapping'!$A$28:$A$39,0),1),INDEX('Category Mapping'!$E$28:$E$39,MATCH($A772,'Category Mapping'!$A$28:$A$39,0),1))</f>
        <v>14813571428.571428</v>
      </c>
    </row>
    <row r="773" spans="1:26" x14ac:dyDescent="0.3">
      <c r="A773">
        <f t="shared" ref="A773:E773" si="238">A193</f>
        <v>8</v>
      </c>
      <c r="B773" t="str">
        <f t="shared" si="238"/>
        <v>Summer</v>
      </c>
      <c r="C773" t="str">
        <f t="shared" si="238"/>
        <v>h22</v>
      </c>
      <c r="D773" t="str">
        <f t="shared" si="238"/>
        <v>Hour21</v>
      </c>
      <c r="E773" t="str">
        <f t="shared" si="238"/>
        <v>Weekday</v>
      </c>
      <c r="F773" s="27">
        <f>F193*IF($E773="weekday",INDEX('Category Mapping'!$F$28:$F$39,MATCH('Summarized Source Data'!$A773,'Category Mapping'!$A$28:$A$39,0),1),INDEX('Category Mapping'!$E$28:$E$39,MATCH($A773,'Category Mapping'!$A$28:$A$39,0),1))</f>
        <v>1775525</v>
      </c>
      <c r="G773" s="27">
        <f>G193*IF($E773="weekday",INDEX('Category Mapping'!$F$28:$F$39,MATCH('Summarized Source Data'!$A773,'Category Mapping'!$A$28:$A$39,0),1),INDEX('Category Mapping'!$E$28:$E$39,MATCH($A773,'Category Mapping'!$A$28:$A$39,0),1))</f>
        <v>1957428571.4285715</v>
      </c>
      <c r="H773" s="27">
        <f>H193*IF($E773="weekday",INDEX('Category Mapping'!$F$28:$F$39,MATCH('Summarized Source Data'!$A773,'Category Mapping'!$A$28:$A$39,0),1),INDEX('Category Mapping'!$E$28:$E$39,MATCH($A773,'Category Mapping'!$A$28:$A$39,0),1))</f>
        <v>0</v>
      </c>
      <c r="I773" s="27">
        <f>I193*IF($E773="weekday",INDEX('Category Mapping'!$F$28:$F$39,MATCH('Summarized Source Data'!$A773,'Category Mapping'!$A$28:$A$39,0),1),INDEX('Category Mapping'!$E$28:$E$39,MATCH($A773,'Category Mapping'!$A$28:$A$39,0),1))</f>
        <v>1009714285.7142857</v>
      </c>
      <c r="J773" s="27">
        <f>J193*IF($E773="weekday",INDEX('Category Mapping'!$F$28:$F$39,MATCH('Summarized Source Data'!$A773,'Category Mapping'!$A$28:$A$39,0),1),INDEX('Category Mapping'!$E$28:$E$39,MATCH($A773,'Category Mapping'!$A$28:$A$39,0),1))</f>
        <v>3231081617.8571429</v>
      </c>
      <c r="K773" s="27">
        <f>K193*IF($E773="weekday",INDEX('Category Mapping'!$F$28:$F$39,MATCH('Summarized Source Data'!$A773,'Category Mapping'!$A$28:$A$39,0),1),INDEX('Category Mapping'!$E$28:$E$39,MATCH($A773,'Category Mapping'!$A$28:$A$39,0),1))</f>
        <v>3231081617.8571429</v>
      </c>
      <c r="L773" s="27">
        <f>L193*IF($E773="weekday",INDEX('Category Mapping'!$F$28:$F$39,MATCH('Summarized Source Data'!$A773,'Category Mapping'!$A$28:$A$39,0),1),INDEX('Category Mapping'!$E$28:$E$39,MATCH($A773,'Category Mapping'!$A$28:$A$39,0),1))</f>
        <v>4597477.1428571427</v>
      </c>
      <c r="M773" s="27">
        <f>M193*IF($E773="weekday",INDEX('Category Mapping'!$F$28:$F$39,MATCH('Summarized Source Data'!$A773,'Category Mapping'!$A$28:$A$39,0),1),INDEX('Category Mapping'!$E$28:$E$39,MATCH($A773,'Category Mapping'!$A$28:$A$39,0),1))</f>
        <v>7750000000</v>
      </c>
      <c r="N773" s="27">
        <f>N193*IF($E773="weekday",INDEX('Category Mapping'!$F$28:$F$39,MATCH('Summarized Source Data'!$A773,'Category Mapping'!$A$28:$A$39,0),1),INDEX('Category Mapping'!$E$28:$E$39,MATCH($A773,'Category Mapping'!$A$28:$A$39,0),1))</f>
        <v>0</v>
      </c>
      <c r="O773" s="27">
        <f>O193*IF($E773="weekday",INDEX('Category Mapping'!$F$28:$F$39,MATCH('Summarized Source Data'!$A773,'Category Mapping'!$A$28:$A$39,0),1),INDEX('Category Mapping'!$E$28:$E$39,MATCH($A773,'Category Mapping'!$A$28:$A$39,0),1))</f>
        <v>5420402522.8571424</v>
      </c>
      <c r="P773" s="27">
        <f>P193*IF($E773="weekday",INDEX('Category Mapping'!$F$28:$F$39,MATCH('Summarized Source Data'!$A773,'Category Mapping'!$A$28:$A$39,0),1),INDEX('Category Mapping'!$E$28:$E$39,MATCH($A773,'Category Mapping'!$A$28:$A$39,0),1))</f>
        <v>5420402522.8571424</v>
      </c>
      <c r="Q773" s="27">
        <f>Q193*IF($E773="weekday",INDEX('Category Mapping'!$F$28:$F$39,MATCH('Summarized Source Data'!$A773,'Category Mapping'!$A$28:$A$39,0),1),INDEX('Category Mapping'!$E$28:$E$39,MATCH($A773,'Category Mapping'!$A$28:$A$39,0),1))</f>
        <v>5420402522.8571424</v>
      </c>
      <c r="R773" s="27">
        <f>R193*IF($E773="weekday",INDEX('Category Mapping'!$F$28:$F$39,MATCH('Summarized Source Data'!$A773,'Category Mapping'!$A$28:$A$39,0),1),INDEX('Category Mapping'!$E$28:$E$39,MATCH($A773,'Category Mapping'!$A$28:$A$39,0),1))</f>
        <v>228071428.57142857</v>
      </c>
      <c r="S773" s="27">
        <f>S193*IF($E773="weekday",INDEX('Category Mapping'!$F$28:$F$39,MATCH('Summarized Source Data'!$A773,'Category Mapping'!$A$28:$A$39,0),1),INDEX('Category Mapping'!$E$28:$E$39,MATCH($A773,'Category Mapping'!$A$28:$A$39,0),1))</f>
        <v>228071428.57142857</v>
      </c>
      <c r="T773" s="27">
        <f>T193*IF($E773="weekday",INDEX('Category Mapping'!$F$28:$F$39,MATCH('Summarized Source Data'!$A773,'Category Mapping'!$A$28:$A$39,0),1),INDEX('Category Mapping'!$E$28:$E$39,MATCH($A773,'Category Mapping'!$A$28:$A$39,0),1))</f>
        <v>228071428.57142857</v>
      </c>
      <c r="U773" s="27">
        <f>U193*IF($E773="weekday",INDEX('Category Mapping'!$F$28:$F$39,MATCH('Summarized Source Data'!$A773,'Category Mapping'!$A$28:$A$39,0),1),INDEX('Category Mapping'!$E$28:$E$39,MATCH($A773,'Category Mapping'!$A$28:$A$39,0),1))</f>
        <v>228071428.57142857</v>
      </c>
      <c r="V773" s="27">
        <f>V193*IF($E773="weekday",INDEX('Category Mapping'!$F$28:$F$39,MATCH('Summarized Source Data'!$A773,'Category Mapping'!$A$28:$A$39,0),1),INDEX('Category Mapping'!$E$28:$E$39,MATCH($A773,'Category Mapping'!$A$28:$A$39,0),1))</f>
        <v>228071428.57142857</v>
      </c>
      <c r="W773" s="27">
        <f>W193*IF($E773="weekday",INDEX('Category Mapping'!$F$28:$F$39,MATCH('Summarized Source Data'!$A773,'Category Mapping'!$A$28:$A$39,0),1),INDEX('Category Mapping'!$E$28:$E$39,MATCH($A773,'Category Mapping'!$A$28:$A$39,0),1))</f>
        <v>228071428.57142857</v>
      </c>
      <c r="X773" s="27">
        <f>X193*IF($E773="weekday",INDEX('Category Mapping'!$F$28:$F$39,MATCH('Summarized Source Data'!$A773,'Category Mapping'!$A$28:$A$39,0),1),INDEX('Category Mapping'!$E$28:$E$39,MATCH($A773,'Category Mapping'!$A$28:$A$39,0),1))</f>
        <v>14680714285.714285</v>
      </c>
      <c r="Y773" s="27">
        <f>Y193*IF($E773="weekday",INDEX('Category Mapping'!$F$28:$F$39,MATCH('Summarized Source Data'!$A773,'Category Mapping'!$A$28:$A$39,0),1),INDEX('Category Mapping'!$E$28:$E$39,MATCH($A773,'Category Mapping'!$A$28:$A$39,0),1))</f>
        <v>14680714285.714285</v>
      </c>
      <c r="Z773" s="27">
        <f>Z193*IF($E773="weekday",INDEX('Category Mapping'!$F$28:$F$39,MATCH('Summarized Source Data'!$A773,'Category Mapping'!$A$28:$A$39,0),1),INDEX('Category Mapping'!$E$28:$E$39,MATCH($A773,'Category Mapping'!$A$28:$A$39,0),1))</f>
        <v>14680714285.714285</v>
      </c>
    </row>
    <row r="774" spans="1:26" x14ac:dyDescent="0.3">
      <c r="A774">
        <f t="shared" ref="A774:E774" si="239">A194</f>
        <v>8</v>
      </c>
      <c r="B774" t="str">
        <f t="shared" si="239"/>
        <v>Summer</v>
      </c>
      <c r="C774" t="str">
        <f t="shared" si="239"/>
        <v>h23</v>
      </c>
      <c r="D774" t="str">
        <f t="shared" si="239"/>
        <v>Hour22</v>
      </c>
      <c r="E774" t="str">
        <f t="shared" si="239"/>
        <v>Weekday</v>
      </c>
      <c r="F774" s="27">
        <f>F194*IF($E774="weekday",INDEX('Category Mapping'!$F$28:$F$39,MATCH('Summarized Source Data'!$A774,'Category Mapping'!$A$28:$A$39,0),1),INDEX('Category Mapping'!$E$28:$E$39,MATCH($A774,'Category Mapping'!$A$28:$A$39,0),1))</f>
        <v>1325737.1428571427</v>
      </c>
      <c r="G774" s="27">
        <f>G194*IF($E774="weekday",INDEX('Category Mapping'!$F$28:$F$39,MATCH('Summarized Source Data'!$A774,'Category Mapping'!$A$28:$A$39,0),1),INDEX('Category Mapping'!$E$28:$E$39,MATCH($A774,'Category Mapping'!$A$28:$A$39,0),1))</f>
        <v>1705000000</v>
      </c>
      <c r="H774" s="27">
        <f>H194*IF($E774="weekday",INDEX('Category Mapping'!$F$28:$F$39,MATCH('Summarized Source Data'!$A774,'Category Mapping'!$A$28:$A$39,0),1),INDEX('Category Mapping'!$E$28:$E$39,MATCH($A774,'Category Mapping'!$A$28:$A$39,0),1))</f>
        <v>0</v>
      </c>
      <c r="I774" s="27">
        <f>I194*IF($E774="weekday",INDEX('Category Mapping'!$F$28:$F$39,MATCH('Summarized Source Data'!$A774,'Category Mapping'!$A$28:$A$39,0),1),INDEX('Category Mapping'!$E$28:$E$39,MATCH($A774,'Category Mapping'!$A$28:$A$39,0),1))</f>
        <v>600071428.57142854</v>
      </c>
      <c r="J774" s="27">
        <f>J194*IF($E774="weekday",INDEX('Category Mapping'!$F$28:$F$39,MATCH('Summarized Source Data'!$A774,'Category Mapping'!$A$28:$A$39,0),1),INDEX('Category Mapping'!$E$28:$E$39,MATCH($A774,'Category Mapping'!$A$28:$A$39,0),1))</f>
        <v>2542888548.5714283</v>
      </c>
      <c r="K774" s="27">
        <f>K194*IF($E774="weekday",INDEX('Category Mapping'!$F$28:$F$39,MATCH('Summarized Source Data'!$A774,'Category Mapping'!$A$28:$A$39,0),1),INDEX('Category Mapping'!$E$28:$E$39,MATCH($A774,'Category Mapping'!$A$28:$A$39,0),1))</f>
        <v>2542888548.5714283</v>
      </c>
      <c r="L774" s="27">
        <f>L194*IF($E774="weekday",INDEX('Category Mapping'!$F$28:$F$39,MATCH('Summarized Source Data'!$A774,'Category Mapping'!$A$28:$A$39,0),1),INDEX('Category Mapping'!$E$28:$E$39,MATCH($A774,'Category Mapping'!$A$28:$A$39,0),1))</f>
        <v>4597477.1428571427</v>
      </c>
      <c r="M774" s="27">
        <f>M194*IF($E774="weekday",INDEX('Category Mapping'!$F$28:$F$39,MATCH('Summarized Source Data'!$A774,'Category Mapping'!$A$28:$A$39,0),1),INDEX('Category Mapping'!$E$28:$E$39,MATCH($A774,'Category Mapping'!$A$28:$A$39,0),1))</f>
        <v>6908571428.5714283</v>
      </c>
      <c r="N774" s="27">
        <f>N194*IF($E774="weekday",INDEX('Category Mapping'!$F$28:$F$39,MATCH('Summarized Source Data'!$A774,'Category Mapping'!$A$28:$A$39,0),1),INDEX('Category Mapping'!$E$28:$E$39,MATCH($A774,'Category Mapping'!$A$28:$A$39,0),1))</f>
        <v>0</v>
      </c>
      <c r="O774" s="27">
        <f>O194*IF($E774="weekday",INDEX('Category Mapping'!$F$28:$F$39,MATCH('Summarized Source Data'!$A774,'Category Mapping'!$A$28:$A$39,0),1),INDEX('Category Mapping'!$E$28:$E$39,MATCH($A774,'Category Mapping'!$A$28:$A$39,0),1))</f>
        <v>4556831094.2857141</v>
      </c>
      <c r="P774" s="27">
        <f>P194*IF($E774="weekday",INDEX('Category Mapping'!$F$28:$F$39,MATCH('Summarized Source Data'!$A774,'Category Mapping'!$A$28:$A$39,0),1),INDEX('Category Mapping'!$E$28:$E$39,MATCH($A774,'Category Mapping'!$A$28:$A$39,0),1))</f>
        <v>4556831094.2857141</v>
      </c>
      <c r="Q774" s="27">
        <f>Q194*IF($E774="weekday",INDEX('Category Mapping'!$F$28:$F$39,MATCH('Summarized Source Data'!$A774,'Category Mapping'!$A$28:$A$39,0),1),INDEX('Category Mapping'!$E$28:$E$39,MATCH($A774,'Category Mapping'!$A$28:$A$39,0),1))</f>
        <v>4556831094.2857141</v>
      </c>
      <c r="R774" s="27">
        <f>R194*IF($E774="weekday",INDEX('Category Mapping'!$F$28:$F$39,MATCH('Summarized Source Data'!$A774,'Category Mapping'!$A$28:$A$39,0),1),INDEX('Category Mapping'!$E$28:$E$39,MATCH($A774,'Category Mapping'!$A$28:$A$39,0),1))</f>
        <v>214092886.42857143</v>
      </c>
      <c r="S774" s="27">
        <f>S194*IF($E774="weekday",INDEX('Category Mapping'!$F$28:$F$39,MATCH('Summarized Source Data'!$A774,'Category Mapping'!$A$28:$A$39,0),1),INDEX('Category Mapping'!$E$28:$E$39,MATCH($A774,'Category Mapping'!$A$28:$A$39,0),1))</f>
        <v>214092886.42857143</v>
      </c>
      <c r="T774" s="27">
        <f>T194*IF($E774="weekday",INDEX('Category Mapping'!$F$28:$F$39,MATCH('Summarized Source Data'!$A774,'Category Mapping'!$A$28:$A$39,0),1),INDEX('Category Mapping'!$E$28:$E$39,MATCH($A774,'Category Mapping'!$A$28:$A$39,0),1))</f>
        <v>214092886.42857143</v>
      </c>
      <c r="U774" s="27">
        <f>U194*IF($E774="weekday",INDEX('Category Mapping'!$F$28:$F$39,MATCH('Summarized Source Data'!$A774,'Category Mapping'!$A$28:$A$39,0),1),INDEX('Category Mapping'!$E$28:$E$39,MATCH($A774,'Category Mapping'!$A$28:$A$39,0),1))</f>
        <v>214092886.42857143</v>
      </c>
      <c r="V774" s="27">
        <f>V194*IF($E774="weekday",INDEX('Category Mapping'!$F$28:$F$39,MATCH('Summarized Source Data'!$A774,'Category Mapping'!$A$28:$A$39,0),1),INDEX('Category Mapping'!$E$28:$E$39,MATCH($A774,'Category Mapping'!$A$28:$A$39,0),1))</f>
        <v>214092886.42857143</v>
      </c>
      <c r="W774" s="27">
        <f>W194*IF($E774="weekday",INDEX('Category Mapping'!$F$28:$F$39,MATCH('Summarized Source Data'!$A774,'Category Mapping'!$A$28:$A$39,0),1),INDEX('Category Mapping'!$E$28:$E$39,MATCH($A774,'Category Mapping'!$A$28:$A$39,0),1))</f>
        <v>214092886.42857143</v>
      </c>
      <c r="X774" s="27">
        <f>X194*IF($E774="weekday",INDEX('Category Mapping'!$F$28:$F$39,MATCH('Summarized Source Data'!$A774,'Category Mapping'!$A$28:$A$39,0),1),INDEX('Category Mapping'!$E$28:$E$39,MATCH($A774,'Category Mapping'!$A$28:$A$39,0),1))</f>
        <v>14547857142.857143</v>
      </c>
      <c r="Y774" s="27">
        <f>Y194*IF($E774="weekday",INDEX('Category Mapping'!$F$28:$F$39,MATCH('Summarized Source Data'!$A774,'Category Mapping'!$A$28:$A$39,0),1),INDEX('Category Mapping'!$E$28:$E$39,MATCH($A774,'Category Mapping'!$A$28:$A$39,0),1))</f>
        <v>14547857142.857143</v>
      </c>
      <c r="Z774" s="27">
        <f>Z194*IF($E774="weekday",INDEX('Category Mapping'!$F$28:$F$39,MATCH('Summarized Source Data'!$A774,'Category Mapping'!$A$28:$A$39,0),1),INDEX('Category Mapping'!$E$28:$E$39,MATCH($A774,'Category Mapping'!$A$28:$A$39,0),1))</f>
        <v>14547857142.857143</v>
      </c>
    </row>
    <row r="775" spans="1:26" x14ac:dyDescent="0.3">
      <c r="A775">
        <f t="shared" ref="A775:E775" si="240">A195</f>
        <v>8</v>
      </c>
      <c r="B775" t="str">
        <f t="shared" si="240"/>
        <v>Summer</v>
      </c>
      <c r="C775" t="str">
        <f t="shared" si="240"/>
        <v>h24</v>
      </c>
      <c r="D775" t="str">
        <f t="shared" si="240"/>
        <v>Hour23</v>
      </c>
      <c r="E775" t="str">
        <f t="shared" si="240"/>
        <v>Weekday</v>
      </c>
      <c r="F775" s="27">
        <f>F195*IF($E775="weekday",INDEX('Category Mapping'!$F$28:$F$39,MATCH('Summarized Source Data'!$A775,'Category Mapping'!$A$28:$A$39,0),1),INDEX('Category Mapping'!$E$28:$E$39,MATCH($A775,'Category Mapping'!$A$28:$A$39,0),1))</f>
        <v>1185838.5714285714</v>
      </c>
      <c r="G775" s="27">
        <f>G195*IF($E775="weekday",INDEX('Category Mapping'!$F$28:$F$39,MATCH('Summarized Source Data'!$A775,'Category Mapping'!$A$28:$A$39,0),1),INDEX('Category Mapping'!$E$28:$E$39,MATCH($A775,'Category Mapping'!$A$28:$A$39,0),1))</f>
        <v>1457000000</v>
      </c>
      <c r="H775" s="27">
        <f>H195*IF($E775="weekday",INDEX('Category Mapping'!$F$28:$F$39,MATCH('Summarized Source Data'!$A775,'Category Mapping'!$A$28:$A$39,0),1),INDEX('Category Mapping'!$E$28:$E$39,MATCH($A775,'Category Mapping'!$A$28:$A$39,0),1))</f>
        <v>0</v>
      </c>
      <c r="I775" s="27">
        <f>I195*IF($E775="weekday",INDEX('Category Mapping'!$F$28:$F$39,MATCH('Summarized Source Data'!$A775,'Category Mapping'!$A$28:$A$39,0),1),INDEX('Category Mapping'!$E$28:$E$39,MATCH($A775,'Category Mapping'!$A$28:$A$39,0),1))</f>
        <v>316642857.14285713</v>
      </c>
      <c r="J775" s="27">
        <f>J195*IF($E775="weekday",INDEX('Category Mapping'!$F$28:$F$39,MATCH('Summarized Source Data'!$A775,'Category Mapping'!$A$28:$A$39,0),1),INDEX('Category Mapping'!$E$28:$E$39,MATCH($A775,'Category Mapping'!$A$28:$A$39,0),1))</f>
        <v>2033742732.8571429</v>
      </c>
      <c r="K775" s="27">
        <f>K195*IF($E775="weekday",INDEX('Category Mapping'!$F$28:$F$39,MATCH('Summarized Source Data'!$A775,'Category Mapping'!$A$28:$A$39,0),1),INDEX('Category Mapping'!$E$28:$E$39,MATCH($A775,'Category Mapping'!$A$28:$A$39,0),1))</f>
        <v>2033742732.8571429</v>
      </c>
      <c r="L775" s="27">
        <f>L195*IF($E775="weekday",INDEX('Category Mapping'!$F$28:$F$39,MATCH('Summarized Source Data'!$A775,'Category Mapping'!$A$28:$A$39,0),1),INDEX('Category Mapping'!$E$28:$E$39,MATCH($A775,'Category Mapping'!$A$28:$A$39,0),1))</f>
        <v>4597477.1428571427</v>
      </c>
      <c r="M775" s="27">
        <f>M195*IF($E775="weekday",INDEX('Category Mapping'!$F$28:$F$39,MATCH('Summarized Source Data'!$A775,'Category Mapping'!$A$28:$A$39,0),1),INDEX('Category Mapping'!$E$28:$E$39,MATCH($A775,'Category Mapping'!$A$28:$A$39,0),1))</f>
        <v>5978571428.5714283</v>
      </c>
      <c r="N775" s="27">
        <f>N195*IF($E775="weekday",INDEX('Category Mapping'!$F$28:$F$39,MATCH('Summarized Source Data'!$A775,'Category Mapping'!$A$28:$A$39,0),1),INDEX('Category Mapping'!$E$28:$E$39,MATCH($A775,'Category Mapping'!$A$28:$A$39,0),1))</f>
        <v>0</v>
      </c>
      <c r="O775" s="27">
        <f>O195*IF($E775="weekday",INDEX('Category Mapping'!$F$28:$F$39,MATCH('Summarized Source Data'!$A775,'Category Mapping'!$A$28:$A$39,0),1),INDEX('Category Mapping'!$E$28:$E$39,MATCH($A775,'Category Mapping'!$A$28:$A$39,0),1))</f>
        <v>3981116808.5714283</v>
      </c>
      <c r="P775" s="27">
        <f>P195*IF($E775="weekday",INDEX('Category Mapping'!$F$28:$F$39,MATCH('Summarized Source Data'!$A775,'Category Mapping'!$A$28:$A$39,0),1),INDEX('Category Mapping'!$E$28:$E$39,MATCH($A775,'Category Mapping'!$A$28:$A$39,0),1))</f>
        <v>3981116808.5714283</v>
      </c>
      <c r="Q775" s="27">
        <f>Q195*IF($E775="weekday",INDEX('Category Mapping'!$F$28:$F$39,MATCH('Summarized Source Data'!$A775,'Category Mapping'!$A$28:$A$39,0),1),INDEX('Category Mapping'!$E$28:$E$39,MATCH($A775,'Category Mapping'!$A$28:$A$39,0),1))</f>
        <v>3981116808.5714283</v>
      </c>
      <c r="R775" s="27">
        <f>R195*IF($E775="weekday",INDEX('Category Mapping'!$F$28:$F$39,MATCH('Summarized Source Data'!$A775,'Category Mapping'!$A$28:$A$39,0),1),INDEX('Category Mapping'!$E$28:$E$39,MATCH($A775,'Category Mapping'!$A$28:$A$39,0),1))</f>
        <v>144167625.7142857</v>
      </c>
      <c r="S775" s="27">
        <f>S195*IF($E775="weekday",INDEX('Category Mapping'!$F$28:$F$39,MATCH('Summarized Source Data'!$A775,'Category Mapping'!$A$28:$A$39,0),1),INDEX('Category Mapping'!$E$28:$E$39,MATCH($A775,'Category Mapping'!$A$28:$A$39,0),1))</f>
        <v>144167625.7142857</v>
      </c>
      <c r="T775" s="27">
        <f>T195*IF($E775="weekday",INDEX('Category Mapping'!$F$28:$F$39,MATCH('Summarized Source Data'!$A775,'Category Mapping'!$A$28:$A$39,0),1),INDEX('Category Mapping'!$E$28:$E$39,MATCH($A775,'Category Mapping'!$A$28:$A$39,0),1))</f>
        <v>144167625.7142857</v>
      </c>
      <c r="U775" s="27">
        <f>U195*IF($E775="weekday",INDEX('Category Mapping'!$F$28:$F$39,MATCH('Summarized Source Data'!$A775,'Category Mapping'!$A$28:$A$39,0),1),INDEX('Category Mapping'!$E$28:$E$39,MATCH($A775,'Category Mapping'!$A$28:$A$39,0),1))</f>
        <v>144167625.7142857</v>
      </c>
      <c r="V775" s="27">
        <f>V195*IF($E775="weekday",INDEX('Category Mapping'!$F$28:$F$39,MATCH('Summarized Source Data'!$A775,'Category Mapping'!$A$28:$A$39,0),1),INDEX('Category Mapping'!$E$28:$E$39,MATCH($A775,'Category Mapping'!$A$28:$A$39,0),1))</f>
        <v>144167625.7142857</v>
      </c>
      <c r="W775" s="27">
        <f>W195*IF($E775="weekday",INDEX('Category Mapping'!$F$28:$F$39,MATCH('Summarized Source Data'!$A775,'Category Mapping'!$A$28:$A$39,0),1),INDEX('Category Mapping'!$E$28:$E$39,MATCH($A775,'Category Mapping'!$A$28:$A$39,0),1))</f>
        <v>144167625.7142857</v>
      </c>
      <c r="X775" s="27">
        <f>X195*IF($E775="weekday",INDEX('Category Mapping'!$F$28:$F$39,MATCH('Summarized Source Data'!$A775,'Category Mapping'!$A$28:$A$39,0),1),INDEX('Category Mapping'!$E$28:$E$39,MATCH($A775,'Category Mapping'!$A$28:$A$39,0),1))</f>
        <v>14459285714.285713</v>
      </c>
      <c r="Y775" s="27">
        <f>Y195*IF($E775="weekday",INDEX('Category Mapping'!$F$28:$F$39,MATCH('Summarized Source Data'!$A775,'Category Mapping'!$A$28:$A$39,0),1),INDEX('Category Mapping'!$E$28:$E$39,MATCH($A775,'Category Mapping'!$A$28:$A$39,0),1))</f>
        <v>14459285714.285713</v>
      </c>
      <c r="Z775" s="27">
        <f>Z195*IF($E775="weekday",INDEX('Category Mapping'!$F$28:$F$39,MATCH('Summarized Source Data'!$A775,'Category Mapping'!$A$28:$A$39,0),1),INDEX('Category Mapping'!$E$28:$E$39,MATCH($A775,'Category Mapping'!$A$28:$A$39,0),1))</f>
        <v>14459285714.285713</v>
      </c>
    </row>
    <row r="776" spans="1:26" x14ac:dyDescent="0.3">
      <c r="A776">
        <f t="shared" ref="A776:E776" si="241">A196</f>
        <v>9</v>
      </c>
      <c r="B776" t="str">
        <f t="shared" si="241"/>
        <v>Fall</v>
      </c>
      <c r="C776" t="str">
        <f t="shared" si="241"/>
        <v>h1</v>
      </c>
      <c r="D776" t="str">
        <f t="shared" si="241"/>
        <v>Hour0</v>
      </c>
      <c r="E776" t="str">
        <f t="shared" si="241"/>
        <v>Weekday</v>
      </c>
      <c r="F776" s="27">
        <f>F196*IF($E776="weekday",INDEX('Category Mapping'!$F$28:$F$39,MATCH('Summarized Source Data'!$A776,'Category Mapping'!$A$28:$A$39,0),1),INDEX('Category Mapping'!$E$28:$E$39,MATCH($A776,'Category Mapping'!$A$28:$A$39,0),1))</f>
        <v>11370000.000000002</v>
      </c>
      <c r="G776" s="27">
        <f>G196*IF($E776="weekday",INDEX('Category Mapping'!$F$28:$F$39,MATCH('Summarized Source Data'!$A776,'Category Mapping'!$A$28:$A$39,0),1),INDEX('Category Mapping'!$E$28:$E$39,MATCH($A776,'Category Mapping'!$A$28:$A$39,0),1))</f>
        <v>60584421.428571433</v>
      </c>
      <c r="H776" s="27">
        <f>H196*IF($E776="weekday",INDEX('Category Mapping'!$F$28:$F$39,MATCH('Summarized Source Data'!$A776,'Category Mapping'!$A$28:$A$39,0),1),INDEX('Category Mapping'!$E$28:$E$39,MATCH($A776,'Category Mapping'!$A$28:$A$39,0),1))</f>
        <v>0</v>
      </c>
      <c r="I776" s="27">
        <f>I196*IF($E776="weekday",INDEX('Category Mapping'!$F$28:$F$39,MATCH('Summarized Source Data'!$A776,'Category Mapping'!$A$28:$A$39,0),1),INDEX('Category Mapping'!$E$28:$E$39,MATCH($A776,'Category Mapping'!$A$28:$A$39,0),1))</f>
        <v>227142857.14285716</v>
      </c>
      <c r="J776" s="27">
        <f>J196*IF($E776="weekday",INDEX('Category Mapping'!$F$28:$F$39,MATCH('Summarized Source Data'!$A776,'Category Mapping'!$A$28:$A$39,0),1),INDEX('Category Mapping'!$E$28:$E$39,MATCH($A776,'Category Mapping'!$A$28:$A$39,0),1))</f>
        <v>1552331292.8571429</v>
      </c>
      <c r="K776" s="27">
        <f>K196*IF($E776="weekday",INDEX('Category Mapping'!$F$28:$F$39,MATCH('Summarized Source Data'!$A776,'Category Mapping'!$A$28:$A$39,0),1),INDEX('Category Mapping'!$E$28:$E$39,MATCH($A776,'Category Mapping'!$A$28:$A$39,0),1))</f>
        <v>1552331292.8571429</v>
      </c>
      <c r="L776" s="27">
        <f>L196*IF($E776="weekday",INDEX('Category Mapping'!$F$28:$F$39,MATCH('Summarized Source Data'!$A776,'Category Mapping'!$A$28:$A$39,0),1),INDEX('Category Mapping'!$E$28:$E$39,MATCH($A776,'Category Mapping'!$A$28:$A$39,0),1))</f>
        <v>62779885.714285724</v>
      </c>
      <c r="M776" s="27">
        <f>M196*IF($E776="weekday",INDEX('Category Mapping'!$F$28:$F$39,MATCH('Summarized Source Data'!$A776,'Category Mapping'!$A$28:$A$39,0),1),INDEX('Category Mapping'!$E$28:$E$39,MATCH($A776,'Category Mapping'!$A$28:$A$39,0),1))</f>
        <v>1155000000</v>
      </c>
      <c r="N776" s="27">
        <f>N196*IF($E776="weekday",INDEX('Category Mapping'!$F$28:$F$39,MATCH('Summarized Source Data'!$A776,'Category Mapping'!$A$28:$A$39,0),1),INDEX('Category Mapping'!$E$28:$E$39,MATCH($A776,'Category Mapping'!$A$28:$A$39,0),1))</f>
        <v>0</v>
      </c>
      <c r="O776" s="27">
        <f>O196*IF($E776="weekday",INDEX('Category Mapping'!$F$28:$F$39,MATCH('Summarized Source Data'!$A776,'Category Mapping'!$A$28:$A$39,0),1),INDEX('Category Mapping'!$E$28:$E$39,MATCH($A776,'Category Mapping'!$A$28:$A$39,0),1))</f>
        <v>3239362971.4285717</v>
      </c>
      <c r="P776" s="27">
        <f>P196*IF($E776="weekday",INDEX('Category Mapping'!$F$28:$F$39,MATCH('Summarized Source Data'!$A776,'Category Mapping'!$A$28:$A$39,0),1),INDEX('Category Mapping'!$E$28:$E$39,MATCH($A776,'Category Mapping'!$A$28:$A$39,0),1))</f>
        <v>3239362971.4285717</v>
      </c>
      <c r="Q776" s="27">
        <f>Q196*IF($E776="weekday",INDEX('Category Mapping'!$F$28:$F$39,MATCH('Summarized Source Data'!$A776,'Category Mapping'!$A$28:$A$39,0),1),INDEX('Category Mapping'!$E$28:$E$39,MATCH($A776,'Category Mapping'!$A$28:$A$39,0),1))</f>
        <v>3239362971.4285717</v>
      </c>
      <c r="R776" s="27">
        <f>R196*IF($E776="weekday",INDEX('Category Mapping'!$F$28:$F$39,MATCH('Summarized Source Data'!$A776,'Category Mapping'!$A$28:$A$39,0),1),INDEX('Category Mapping'!$E$28:$E$39,MATCH($A776,'Category Mapping'!$A$28:$A$39,0),1))</f>
        <v>98462464.285714298</v>
      </c>
      <c r="S776" s="27">
        <f>S196*IF($E776="weekday",INDEX('Category Mapping'!$F$28:$F$39,MATCH('Summarized Source Data'!$A776,'Category Mapping'!$A$28:$A$39,0),1),INDEX('Category Mapping'!$E$28:$E$39,MATCH($A776,'Category Mapping'!$A$28:$A$39,0),1))</f>
        <v>98462464.285714298</v>
      </c>
      <c r="T776" s="27">
        <f>T196*IF($E776="weekday",INDEX('Category Mapping'!$F$28:$F$39,MATCH('Summarized Source Data'!$A776,'Category Mapping'!$A$28:$A$39,0),1),INDEX('Category Mapping'!$E$28:$E$39,MATCH($A776,'Category Mapping'!$A$28:$A$39,0),1))</f>
        <v>98462464.285714298</v>
      </c>
      <c r="U776" s="27">
        <f>U196*IF($E776="weekday",INDEX('Category Mapping'!$F$28:$F$39,MATCH('Summarized Source Data'!$A776,'Category Mapping'!$A$28:$A$39,0),1),INDEX('Category Mapping'!$E$28:$E$39,MATCH($A776,'Category Mapping'!$A$28:$A$39,0),1))</f>
        <v>98462464.285714298</v>
      </c>
      <c r="V776" s="27">
        <f>V196*IF($E776="weekday",INDEX('Category Mapping'!$F$28:$F$39,MATCH('Summarized Source Data'!$A776,'Category Mapping'!$A$28:$A$39,0),1),INDEX('Category Mapping'!$E$28:$E$39,MATCH($A776,'Category Mapping'!$A$28:$A$39,0),1))</f>
        <v>98462464.285714298</v>
      </c>
      <c r="W776" s="27">
        <f>W196*IF($E776="weekday",INDEX('Category Mapping'!$F$28:$F$39,MATCH('Summarized Source Data'!$A776,'Category Mapping'!$A$28:$A$39,0),1),INDEX('Category Mapping'!$E$28:$E$39,MATCH($A776,'Category Mapping'!$A$28:$A$39,0),1))</f>
        <v>98462464.285714298</v>
      </c>
      <c r="X776" s="27">
        <f>X196*IF($E776="weekday",INDEX('Category Mapping'!$F$28:$F$39,MATCH('Summarized Source Data'!$A776,'Category Mapping'!$A$28:$A$39,0),1),INDEX('Category Mapping'!$E$28:$E$39,MATCH($A776,'Category Mapping'!$A$28:$A$39,0),1))</f>
        <v>14078571428.57143</v>
      </c>
      <c r="Y776" s="27">
        <f>Y196*IF($E776="weekday",INDEX('Category Mapping'!$F$28:$F$39,MATCH('Summarized Source Data'!$A776,'Category Mapping'!$A$28:$A$39,0),1),INDEX('Category Mapping'!$E$28:$E$39,MATCH($A776,'Category Mapping'!$A$28:$A$39,0),1))</f>
        <v>14078571428.57143</v>
      </c>
      <c r="Z776" s="27">
        <f>Z196*IF($E776="weekday",INDEX('Category Mapping'!$F$28:$F$39,MATCH('Summarized Source Data'!$A776,'Category Mapping'!$A$28:$A$39,0),1),INDEX('Category Mapping'!$E$28:$E$39,MATCH($A776,'Category Mapping'!$A$28:$A$39,0),1))</f>
        <v>14078571428.57143</v>
      </c>
    </row>
    <row r="777" spans="1:26" x14ac:dyDescent="0.3">
      <c r="A777">
        <f t="shared" ref="A777:E777" si="242">A197</f>
        <v>9</v>
      </c>
      <c r="B777" t="str">
        <f t="shared" si="242"/>
        <v>Fall</v>
      </c>
      <c r="C777" t="str">
        <f t="shared" si="242"/>
        <v>h2</v>
      </c>
      <c r="D777" t="str">
        <f t="shared" si="242"/>
        <v>Hour1</v>
      </c>
      <c r="E777" t="str">
        <f t="shared" si="242"/>
        <v>Weekday</v>
      </c>
      <c r="F777" s="27">
        <f>F197*IF($E777="weekday",INDEX('Category Mapping'!$F$28:$F$39,MATCH('Summarized Source Data'!$A777,'Category Mapping'!$A$28:$A$39,0),1),INDEX('Category Mapping'!$E$28:$E$39,MATCH($A777,'Category Mapping'!$A$28:$A$39,0),1))</f>
        <v>11370000.000000002</v>
      </c>
      <c r="G777" s="27">
        <f>G197*IF($E777="weekday",INDEX('Category Mapping'!$F$28:$F$39,MATCH('Summarized Source Data'!$A777,'Category Mapping'!$A$28:$A$39,0),1),INDEX('Category Mapping'!$E$28:$E$39,MATCH($A777,'Category Mapping'!$A$28:$A$39,0),1))</f>
        <v>54637135.714285716</v>
      </c>
      <c r="H777" s="27">
        <f>H197*IF($E777="weekday",INDEX('Category Mapping'!$F$28:$F$39,MATCH('Summarized Source Data'!$A777,'Category Mapping'!$A$28:$A$39,0),1),INDEX('Category Mapping'!$E$28:$E$39,MATCH($A777,'Category Mapping'!$A$28:$A$39,0),1))</f>
        <v>0</v>
      </c>
      <c r="I777" s="27">
        <f>I197*IF($E777="weekday",INDEX('Category Mapping'!$F$28:$F$39,MATCH('Summarized Source Data'!$A777,'Category Mapping'!$A$28:$A$39,0),1),INDEX('Category Mapping'!$E$28:$E$39,MATCH($A777,'Category Mapping'!$A$28:$A$39,0),1))</f>
        <v>209562150.00000003</v>
      </c>
      <c r="J777" s="27">
        <f>J197*IF($E777="weekday",INDEX('Category Mapping'!$F$28:$F$39,MATCH('Summarized Source Data'!$A777,'Category Mapping'!$A$28:$A$39,0),1),INDEX('Category Mapping'!$E$28:$E$39,MATCH($A777,'Category Mapping'!$A$28:$A$39,0),1))</f>
        <v>1123716428.5714288</v>
      </c>
      <c r="K777" s="27">
        <f>K197*IF($E777="weekday",INDEX('Category Mapping'!$F$28:$F$39,MATCH('Summarized Source Data'!$A777,'Category Mapping'!$A$28:$A$39,0),1),INDEX('Category Mapping'!$E$28:$E$39,MATCH($A777,'Category Mapping'!$A$28:$A$39,0),1))</f>
        <v>1123716428.5714288</v>
      </c>
      <c r="L777" s="27">
        <f>L197*IF($E777="weekday",INDEX('Category Mapping'!$F$28:$F$39,MATCH('Summarized Source Data'!$A777,'Category Mapping'!$A$28:$A$39,0),1),INDEX('Category Mapping'!$E$28:$E$39,MATCH($A777,'Category Mapping'!$A$28:$A$39,0),1))</f>
        <v>61091892.857142866</v>
      </c>
      <c r="M777" s="27">
        <f>M197*IF($E777="weekday",INDEX('Category Mapping'!$F$28:$F$39,MATCH('Summarized Source Data'!$A777,'Category Mapping'!$A$28:$A$39,0),1),INDEX('Category Mapping'!$E$28:$E$39,MATCH($A777,'Category Mapping'!$A$28:$A$39,0),1))</f>
        <v>1086428571.4285715</v>
      </c>
      <c r="N777" s="27">
        <f>N197*IF($E777="weekday",INDEX('Category Mapping'!$F$28:$F$39,MATCH('Summarized Source Data'!$A777,'Category Mapping'!$A$28:$A$39,0),1),INDEX('Category Mapping'!$E$28:$E$39,MATCH($A777,'Category Mapping'!$A$28:$A$39,0),1))</f>
        <v>0</v>
      </c>
      <c r="O777" s="27">
        <f>O197*IF($E777="weekday",INDEX('Category Mapping'!$F$28:$F$39,MATCH('Summarized Source Data'!$A777,'Category Mapping'!$A$28:$A$39,0),1),INDEX('Category Mapping'!$E$28:$E$39,MATCH($A777,'Category Mapping'!$A$28:$A$39,0),1))</f>
        <v>3202479535.7142859</v>
      </c>
      <c r="P777" s="27">
        <f>P197*IF($E777="weekday",INDEX('Category Mapping'!$F$28:$F$39,MATCH('Summarized Source Data'!$A777,'Category Mapping'!$A$28:$A$39,0),1),INDEX('Category Mapping'!$E$28:$E$39,MATCH($A777,'Category Mapping'!$A$28:$A$39,0),1))</f>
        <v>3202479535.7142859</v>
      </c>
      <c r="Q777" s="27">
        <f>Q197*IF($E777="weekday",INDEX('Category Mapping'!$F$28:$F$39,MATCH('Summarized Source Data'!$A777,'Category Mapping'!$A$28:$A$39,0),1),INDEX('Category Mapping'!$E$28:$E$39,MATCH($A777,'Category Mapping'!$A$28:$A$39,0),1))</f>
        <v>3202479535.7142859</v>
      </c>
      <c r="R777" s="27">
        <f>R197*IF($E777="weekday",INDEX('Category Mapping'!$F$28:$F$39,MATCH('Summarized Source Data'!$A777,'Category Mapping'!$A$28:$A$39,0),1),INDEX('Category Mapping'!$E$28:$E$39,MATCH($A777,'Category Mapping'!$A$28:$A$39,0),1))</f>
        <v>97009178.571428582</v>
      </c>
      <c r="S777" s="27">
        <f>S197*IF($E777="weekday",INDEX('Category Mapping'!$F$28:$F$39,MATCH('Summarized Source Data'!$A777,'Category Mapping'!$A$28:$A$39,0),1),INDEX('Category Mapping'!$E$28:$E$39,MATCH($A777,'Category Mapping'!$A$28:$A$39,0),1))</f>
        <v>97009178.571428582</v>
      </c>
      <c r="T777" s="27">
        <f>T197*IF($E777="weekday",INDEX('Category Mapping'!$F$28:$F$39,MATCH('Summarized Source Data'!$A777,'Category Mapping'!$A$28:$A$39,0),1),INDEX('Category Mapping'!$E$28:$E$39,MATCH($A777,'Category Mapping'!$A$28:$A$39,0),1))</f>
        <v>97009178.571428582</v>
      </c>
      <c r="U777" s="27">
        <f>U197*IF($E777="weekday",INDEX('Category Mapping'!$F$28:$F$39,MATCH('Summarized Source Data'!$A777,'Category Mapping'!$A$28:$A$39,0),1),INDEX('Category Mapping'!$E$28:$E$39,MATCH($A777,'Category Mapping'!$A$28:$A$39,0),1))</f>
        <v>97009178.571428582</v>
      </c>
      <c r="V777" s="27">
        <f>V197*IF($E777="weekday",INDEX('Category Mapping'!$F$28:$F$39,MATCH('Summarized Source Data'!$A777,'Category Mapping'!$A$28:$A$39,0),1),INDEX('Category Mapping'!$E$28:$E$39,MATCH($A777,'Category Mapping'!$A$28:$A$39,0),1))</f>
        <v>97009178.571428582</v>
      </c>
      <c r="W777" s="27">
        <f>W197*IF($E777="weekday",INDEX('Category Mapping'!$F$28:$F$39,MATCH('Summarized Source Data'!$A777,'Category Mapping'!$A$28:$A$39,0),1),INDEX('Category Mapping'!$E$28:$E$39,MATCH($A777,'Category Mapping'!$A$28:$A$39,0),1))</f>
        <v>97009178.571428582</v>
      </c>
      <c r="X777" s="27">
        <f>X197*IF($E777="weekday",INDEX('Category Mapping'!$F$28:$F$39,MATCH('Summarized Source Data'!$A777,'Category Mapping'!$A$28:$A$39,0),1),INDEX('Category Mapping'!$E$28:$E$39,MATCH($A777,'Category Mapping'!$A$28:$A$39,0),1))</f>
        <v>14057142857.142859</v>
      </c>
      <c r="Y777" s="27">
        <f>Y197*IF($E777="weekday",INDEX('Category Mapping'!$F$28:$F$39,MATCH('Summarized Source Data'!$A777,'Category Mapping'!$A$28:$A$39,0),1),INDEX('Category Mapping'!$E$28:$E$39,MATCH($A777,'Category Mapping'!$A$28:$A$39,0),1))</f>
        <v>14057142857.142859</v>
      </c>
      <c r="Z777" s="27">
        <f>Z197*IF($E777="weekday",INDEX('Category Mapping'!$F$28:$F$39,MATCH('Summarized Source Data'!$A777,'Category Mapping'!$A$28:$A$39,0),1),INDEX('Category Mapping'!$E$28:$E$39,MATCH($A777,'Category Mapping'!$A$28:$A$39,0),1))</f>
        <v>14057142857.142859</v>
      </c>
    </row>
    <row r="778" spans="1:26" x14ac:dyDescent="0.3">
      <c r="A778">
        <f t="shared" ref="A778:E778" si="243">A198</f>
        <v>9</v>
      </c>
      <c r="B778" t="str">
        <f t="shared" si="243"/>
        <v>Fall</v>
      </c>
      <c r="C778" t="str">
        <f t="shared" si="243"/>
        <v>h3</v>
      </c>
      <c r="D778" t="str">
        <f t="shared" si="243"/>
        <v>Hour2</v>
      </c>
      <c r="E778" t="str">
        <f t="shared" si="243"/>
        <v>Weekday</v>
      </c>
      <c r="F778" s="27">
        <f>F198*IF($E778="weekday",INDEX('Category Mapping'!$F$28:$F$39,MATCH('Summarized Source Data'!$A778,'Category Mapping'!$A$28:$A$39,0),1),INDEX('Category Mapping'!$E$28:$E$39,MATCH($A778,'Category Mapping'!$A$28:$A$39,0),1))</f>
        <v>11370000.000000002</v>
      </c>
      <c r="G778" s="27">
        <f>G198*IF($E778="weekday",INDEX('Category Mapping'!$F$28:$F$39,MATCH('Summarized Source Data'!$A778,'Category Mapping'!$A$28:$A$39,0),1),INDEX('Category Mapping'!$E$28:$E$39,MATCH($A778,'Category Mapping'!$A$28:$A$39,0),1))</f>
        <v>52715421.428571433</v>
      </c>
      <c r="H778" s="27">
        <f>H198*IF($E778="weekday",INDEX('Category Mapping'!$F$28:$F$39,MATCH('Summarized Source Data'!$A778,'Category Mapping'!$A$28:$A$39,0),1),INDEX('Category Mapping'!$E$28:$E$39,MATCH($A778,'Category Mapping'!$A$28:$A$39,0),1))</f>
        <v>0</v>
      </c>
      <c r="I778" s="27">
        <f>I198*IF($E778="weekday",INDEX('Category Mapping'!$F$28:$F$39,MATCH('Summarized Source Data'!$A778,'Category Mapping'!$A$28:$A$39,0),1),INDEX('Category Mapping'!$E$28:$E$39,MATCH($A778,'Category Mapping'!$A$28:$A$39,0),1))</f>
        <v>207505692.85714287</v>
      </c>
      <c r="J778" s="27">
        <f>J198*IF($E778="weekday",INDEX('Category Mapping'!$F$28:$F$39,MATCH('Summarized Source Data'!$A778,'Category Mapping'!$A$28:$A$39,0),1),INDEX('Category Mapping'!$E$28:$E$39,MATCH($A778,'Category Mapping'!$A$28:$A$39,0),1))</f>
        <v>898408885.71428585</v>
      </c>
      <c r="K778" s="27">
        <f>K198*IF($E778="weekday",INDEX('Category Mapping'!$F$28:$F$39,MATCH('Summarized Source Data'!$A778,'Category Mapping'!$A$28:$A$39,0),1),INDEX('Category Mapping'!$E$28:$E$39,MATCH($A778,'Category Mapping'!$A$28:$A$39,0),1))</f>
        <v>898408885.71428585</v>
      </c>
      <c r="L778" s="27">
        <f>L198*IF($E778="weekday",INDEX('Category Mapping'!$F$28:$F$39,MATCH('Summarized Source Data'!$A778,'Category Mapping'!$A$28:$A$39,0),1),INDEX('Category Mapping'!$E$28:$E$39,MATCH($A778,'Category Mapping'!$A$28:$A$39,0),1))</f>
        <v>62372014.285714291</v>
      </c>
      <c r="M778" s="27">
        <f>M198*IF($E778="weekday",INDEX('Category Mapping'!$F$28:$F$39,MATCH('Summarized Source Data'!$A778,'Category Mapping'!$A$28:$A$39,0),1),INDEX('Category Mapping'!$E$28:$E$39,MATCH($A778,'Category Mapping'!$A$28:$A$39,0),1))</f>
        <v>1058571428.5714287</v>
      </c>
      <c r="N778" s="27">
        <f>N198*IF($E778="weekday",INDEX('Category Mapping'!$F$28:$F$39,MATCH('Summarized Source Data'!$A778,'Category Mapping'!$A$28:$A$39,0),1),INDEX('Category Mapping'!$E$28:$E$39,MATCH($A778,'Category Mapping'!$A$28:$A$39,0),1))</f>
        <v>0</v>
      </c>
      <c r="O778" s="27">
        <f>O198*IF($E778="weekday",INDEX('Category Mapping'!$F$28:$F$39,MATCH('Summarized Source Data'!$A778,'Category Mapping'!$A$28:$A$39,0),1),INDEX('Category Mapping'!$E$28:$E$39,MATCH($A778,'Category Mapping'!$A$28:$A$39,0),1))</f>
        <v>3186199414.2857146</v>
      </c>
      <c r="P778" s="27">
        <f>P198*IF($E778="weekday",INDEX('Category Mapping'!$F$28:$F$39,MATCH('Summarized Source Data'!$A778,'Category Mapping'!$A$28:$A$39,0),1),INDEX('Category Mapping'!$E$28:$E$39,MATCH($A778,'Category Mapping'!$A$28:$A$39,0),1))</f>
        <v>3186199414.2857146</v>
      </c>
      <c r="Q778" s="27">
        <f>Q198*IF($E778="weekday",INDEX('Category Mapping'!$F$28:$F$39,MATCH('Summarized Source Data'!$A778,'Category Mapping'!$A$28:$A$39,0),1),INDEX('Category Mapping'!$E$28:$E$39,MATCH($A778,'Category Mapping'!$A$28:$A$39,0),1))</f>
        <v>3186199414.2857146</v>
      </c>
      <c r="R778" s="27">
        <f>R198*IF($E778="weekday",INDEX('Category Mapping'!$F$28:$F$39,MATCH('Summarized Source Data'!$A778,'Category Mapping'!$A$28:$A$39,0),1),INDEX('Category Mapping'!$E$28:$E$39,MATCH($A778,'Category Mapping'!$A$28:$A$39,0),1))</f>
        <v>96635935.714285716</v>
      </c>
      <c r="S778" s="27">
        <f>S198*IF($E778="weekday",INDEX('Category Mapping'!$F$28:$F$39,MATCH('Summarized Source Data'!$A778,'Category Mapping'!$A$28:$A$39,0),1),INDEX('Category Mapping'!$E$28:$E$39,MATCH($A778,'Category Mapping'!$A$28:$A$39,0),1))</f>
        <v>96635935.714285716</v>
      </c>
      <c r="T778" s="27">
        <f>T198*IF($E778="weekday",INDEX('Category Mapping'!$F$28:$F$39,MATCH('Summarized Source Data'!$A778,'Category Mapping'!$A$28:$A$39,0),1),INDEX('Category Mapping'!$E$28:$E$39,MATCH($A778,'Category Mapping'!$A$28:$A$39,0),1))</f>
        <v>96635935.714285716</v>
      </c>
      <c r="U778" s="27">
        <f>U198*IF($E778="weekday",INDEX('Category Mapping'!$F$28:$F$39,MATCH('Summarized Source Data'!$A778,'Category Mapping'!$A$28:$A$39,0),1),INDEX('Category Mapping'!$E$28:$E$39,MATCH($A778,'Category Mapping'!$A$28:$A$39,0),1))</f>
        <v>96635935.714285716</v>
      </c>
      <c r="V778" s="27">
        <f>V198*IF($E778="weekday",INDEX('Category Mapping'!$F$28:$F$39,MATCH('Summarized Source Data'!$A778,'Category Mapping'!$A$28:$A$39,0),1),INDEX('Category Mapping'!$E$28:$E$39,MATCH($A778,'Category Mapping'!$A$28:$A$39,0),1))</f>
        <v>96635935.714285716</v>
      </c>
      <c r="W778" s="27">
        <f>W198*IF($E778="weekday",INDEX('Category Mapping'!$F$28:$F$39,MATCH('Summarized Source Data'!$A778,'Category Mapping'!$A$28:$A$39,0),1),INDEX('Category Mapping'!$E$28:$E$39,MATCH($A778,'Category Mapping'!$A$28:$A$39,0),1))</f>
        <v>96635935.714285716</v>
      </c>
      <c r="X778" s="27">
        <f>X198*IF($E778="weekday",INDEX('Category Mapping'!$F$28:$F$39,MATCH('Summarized Source Data'!$A778,'Category Mapping'!$A$28:$A$39,0),1),INDEX('Category Mapping'!$E$28:$E$39,MATCH($A778,'Category Mapping'!$A$28:$A$39,0),1))</f>
        <v>14035714285.714287</v>
      </c>
      <c r="Y778" s="27">
        <f>Y198*IF($E778="weekday",INDEX('Category Mapping'!$F$28:$F$39,MATCH('Summarized Source Data'!$A778,'Category Mapping'!$A$28:$A$39,0),1),INDEX('Category Mapping'!$E$28:$E$39,MATCH($A778,'Category Mapping'!$A$28:$A$39,0),1))</f>
        <v>14035714285.714287</v>
      </c>
      <c r="Z778" s="27">
        <f>Z198*IF($E778="weekday",INDEX('Category Mapping'!$F$28:$F$39,MATCH('Summarized Source Data'!$A778,'Category Mapping'!$A$28:$A$39,0),1),INDEX('Category Mapping'!$E$28:$E$39,MATCH($A778,'Category Mapping'!$A$28:$A$39,0),1))</f>
        <v>14035714285.714287</v>
      </c>
    </row>
    <row r="779" spans="1:26" x14ac:dyDescent="0.3">
      <c r="A779">
        <f t="shared" ref="A779:E779" si="244">A199</f>
        <v>9</v>
      </c>
      <c r="B779" t="str">
        <f t="shared" si="244"/>
        <v>Fall</v>
      </c>
      <c r="C779" t="str">
        <f t="shared" si="244"/>
        <v>h4</v>
      </c>
      <c r="D779" t="str">
        <f t="shared" si="244"/>
        <v>Hour3</v>
      </c>
      <c r="E779" t="str">
        <f t="shared" si="244"/>
        <v>Weekday</v>
      </c>
      <c r="F779" s="27">
        <f>F199*IF($E779="weekday",INDEX('Category Mapping'!$F$28:$F$39,MATCH('Summarized Source Data'!$A779,'Category Mapping'!$A$28:$A$39,0),1),INDEX('Category Mapping'!$E$28:$E$39,MATCH($A779,'Category Mapping'!$A$28:$A$39,0),1))</f>
        <v>11370000.000000002</v>
      </c>
      <c r="G779" s="27">
        <f>G199*IF($E779="weekday",INDEX('Category Mapping'!$F$28:$F$39,MATCH('Summarized Source Data'!$A779,'Category Mapping'!$A$28:$A$39,0),1),INDEX('Category Mapping'!$E$28:$E$39,MATCH($A779,'Category Mapping'!$A$28:$A$39,0),1))</f>
        <v>54876792.857142866</v>
      </c>
      <c r="H779" s="27">
        <f>H199*IF($E779="weekday",INDEX('Category Mapping'!$F$28:$F$39,MATCH('Summarized Source Data'!$A779,'Category Mapping'!$A$28:$A$39,0),1),INDEX('Category Mapping'!$E$28:$E$39,MATCH($A779,'Category Mapping'!$A$28:$A$39,0),1))</f>
        <v>0</v>
      </c>
      <c r="I779" s="27">
        <f>I199*IF($E779="weekday",INDEX('Category Mapping'!$F$28:$F$39,MATCH('Summarized Source Data'!$A779,'Category Mapping'!$A$28:$A$39,0),1),INDEX('Category Mapping'!$E$28:$E$39,MATCH($A779,'Category Mapping'!$A$28:$A$39,0),1))</f>
        <v>212131542.85714287</v>
      </c>
      <c r="J779" s="27">
        <f>J199*IF($E779="weekday",INDEX('Category Mapping'!$F$28:$F$39,MATCH('Summarized Source Data'!$A779,'Category Mapping'!$A$28:$A$39,0),1),INDEX('Category Mapping'!$E$28:$E$39,MATCH($A779,'Category Mapping'!$A$28:$A$39,0),1))</f>
        <v>775907378.57142866</v>
      </c>
      <c r="K779" s="27">
        <f>K199*IF($E779="weekday",INDEX('Category Mapping'!$F$28:$F$39,MATCH('Summarized Source Data'!$A779,'Category Mapping'!$A$28:$A$39,0),1),INDEX('Category Mapping'!$E$28:$E$39,MATCH($A779,'Category Mapping'!$A$28:$A$39,0),1))</f>
        <v>775907378.57142866</v>
      </c>
      <c r="L779" s="27">
        <f>L199*IF($E779="weekday",INDEX('Category Mapping'!$F$28:$F$39,MATCH('Summarized Source Data'!$A779,'Category Mapping'!$A$28:$A$39,0),1),INDEX('Category Mapping'!$E$28:$E$39,MATCH($A779,'Category Mapping'!$A$28:$A$39,0),1))</f>
        <v>63570492.857142866</v>
      </c>
      <c r="M779" s="27">
        <f>M199*IF($E779="weekday",INDEX('Category Mapping'!$F$28:$F$39,MATCH('Summarized Source Data'!$A779,'Category Mapping'!$A$28:$A$39,0),1),INDEX('Category Mapping'!$E$28:$E$39,MATCH($A779,'Category Mapping'!$A$28:$A$39,0),1))</f>
        <v>1045714285.7142859</v>
      </c>
      <c r="N779" s="27">
        <f>N199*IF($E779="weekday",INDEX('Category Mapping'!$F$28:$F$39,MATCH('Summarized Source Data'!$A779,'Category Mapping'!$A$28:$A$39,0),1),INDEX('Category Mapping'!$E$28:$E$39,MATCH($A779,'Category Mapping'!$A$28:$A$39,0),1))</f>
        <v>0</v>
      </c>
      <c r="O779" s="27">
        <f>O199*IF($E779="weekday",INDEX('Category Mapping'!$F$28:$F$39,MATCH('Summarized Source Data'!$A779,'Category Mapping'!$A$28:$A$39,0),1),INDEX('Category Mapping'!$E$28:$E$39,MATCH($A779,'Category Mapping'!$A$28:$A$39,0),1))</f>
        <v>3326429507.1428576</v>
      </c>
      <c r="P779" s="27">
        <f>P199*IF($E779="weekday",INDEX('Category Mapping'!$F$28:$F$39,MATCH('Summarized Source Data'!$A779,'Category Mapping'!$A$28:$A$39,0),1),INDEX('Category Mapping'!$E$28:$E$39,MATCH($A779,'Category Mapping'!$A$28:$A$39,0),1))</f>
        <v>3326429507.1428576</v>
      </c>
      <c r="Q779" s="27">
        <f>Q199*IF($E779="weekday",INDEX('Category Mapping'!$F$28:$F$39,MATCH('Summarized Source Data'!$A779,'Category Mapping'!$A$28:$A$39,0),1),INDEX('Category Mapping'!$E$28:$E$39,MATCH($A779,'Category Mapping'!$A$28:$A$39,0),1))</f>
        <v>3326429507.1428576</v>
      </c>
      <c r="R779" s="27">
        <f>R199*IF($E779="weekday",INDEX('Category Mapping'!$F$28:$F$39,MATCH('Summarized Source Data'!$A779,'Category Mapping'!$A$28:$A$39,0),1),INDEX('Category Mapping'!$E$28:$E$39,MATCH($A779,'Category Mapping'!$A$28:$A$39,0),1))</f>
        <v>96979564.285714298</v>
      </c>
      <c r="S779" s="27">
        <f>S199*IF($E779="weekday",INDEX('Category Mapping'!$F$28:$F$39,MATCH('Summarized Source Data'!$A779,'Category Mapping'!$A$28:$A$39,0),1),INDEX('Category Mapping'!$E$28:$E$39,MATCH($A779,'Category Mapping'!$A$28:$A$39,0),1))</f>
        <v>96979564.285714298</v>
      </c>
      <c r="T779" s="27">
        <f>T199*IF($E779="weekday",INDEX('Category Mapping'!$F$28:$F$39,MATCH('Summarized Source Data'!$A779,'Category Mapping'!$A$28:$A$39,0),1),INDEX('Category Mapping'!$E$28:$E$39,MATCH($A779,'Category Mapping'!$A$28:$A$39,0),1))</f>
        <v>96979564.285714298</v>
      </c>
      <c r="U779" s="27">
        <f>U199*IF($E779="weekday",INDEX('Category Mapping'!$F$28:$F$39,MATCH('Summarized Source Data'!$A779,'Category Mapping'!$A$28:$A$39,0),1),INDEX('Category Mapping'!$E$28:$E$39,MATCH($A779,'Category Mapping'!$A$28:$A$39,0),1))</f>
        <v>96979564.285714298</v>
      </c>
      <c r="V779" s="27">
        <f>V199*IF($E779="weekday",INDEX('Category Mapping'!$F$28:$F$39,MATCH('Summarized Source Data'!$A779,'Category Mapping'!$A$28:$A$39,0),1),INDEX('Category Mapping'!$E$28:$E$39,MATCH($A779,'Category Mapping'!$A$28:$A$39,0),1))</f>
        <v>96979564.285714298</v>
      </c>
      <c r="W779" s="27">
        <f>W199*IF($E779="weekday",INDEX('Category Mapping'!$F$28:$F$39,MATCH('Summarized Source Data'!$A779,'Category Mapping'!$A$28:$A$39,0),1),INDEX('Category Mapping'!$E$28:$E$39,MATCH($A779,'Category Mapping'!$A$28:$A$39,0),1))</f>
        <v>96979564.285714298</v>
      </c>
      <c r="X779" s="27">
        <f>X199*IF($E779="weekday",INDEX('Category Mapping'!$F$28:$F$39,MATCH('Summarized Source Data'!$A779,'Category Mapping'!$A$28:$A$39,0),1),INDEX('Category Mapping'!$E$28:$E$39,MATCH($A779,'Category Mapping'!$A$28:$A$39,0),1))</f>
        <v>14057142857.142859</v>
      </c>
      <c r="Y779" s="27">
        <f>Y199*IF($E779="weekday",INDEX('Category Mapping'!$F$28:$F$39,MATCH('Summarized Source Data'!$A779,'Category Mapping'!$A$28:$A$39,0),1),INDEX('Category Mapping'!$E$28:$E$39,MATCH($A779,'Category Mapping'!$A$28:$A$39,0),1))</f>
        <v>14057142857.142859</v>
      </c>
      <c r="Z779" s="27">
        <f>Z199*IF($E779="weekday",INDEX('Category Mapping'!$F$28:$F$39,MATCH('Summarized Source Data'!$A779,'Category Mapping'!$A$28:$A$39,0),1),INDEX('Category Mapping'!$E$28:$E$39,MATCH($A779,'Category Mapping'!$A$28:$A$39,0),1))</f>
        <v>14057142857.142859</v>
      </c>
    </row>
    <row r="780" spans="1:26" x14ac:dyDescent="0.3">
      <c r="A780">
        <f t="shared" ref="A780:E780" si="245">A200</f>
        <v>9</v>
      </c>
      <c r="B780" t="str">
        <f t="shared" si="245"/>
        <v>Fall</v>
      </c>
      <c r="C780" t="str">
        <f t="shared" si="245"/>
        <v>h5</v>
      </c>
      <c r="D780" t="str">
        <f t="shared" si="245"/>
        <v>Hour4</v>
      </c>
      <c r="E780" t="str">
        <f t="shared" si="245"/>
        <v>Weekday</v>
      </c>
      <c r="F780" s="27">
        <f>F200*IF($E780="weekday",INDEX('Category Mapping'!$F$28:$F$39,MATCH('Summarized Source Data'!$A780,'Category Mapping'!$A$28:$A$39,0),1),INDEX('Category Mapping'!$E$28:$E$39,MATCH($A780,'Category Mapping'!$A$28:$A$39,0),1))</f>
        <v>11370000.000000002</v>
      </c>
      <c r="G780" s="27">
        <f>G200*IF($E780="weekday",INDEX('Category Mapping'!$F$28:$F$39,MATCH('Summarized Source Data'!$A780,'Category Mapping'!$A$28:$A$39,0),1),INDEX('Category Mapping'!$E$28:$E$39,MATCH($A780,'Category Mapping'!$A$28:$A$39,0),1))</f>
        <v>59644092.857142866</v>
      </c>
      <c r="H780" s="27">
        <f>H200*IF($E780="weekday",INDEX('Category Mapping'!$F$28:$F$39,MATCH('Summarized Source Data'!$A780,'Category Mapping'!$A$28:$A$39,0),1),INDEX('Category Mapping'!$E$28:$E$39,MATCH($A780,'Category Mapping'!$A$28:$A$39,0),1))</f>
        <v>0</v>
      </c>
      <c r="I780" s="27">
        <f>I200*IF($E780="weekday",INDEX('Category Mapping'!$F$28:$F$39,MATCH('Summarized Source Data'!$A780,'Category Mapping'!$A$28:$A$39,0),1),INDEX('Category Mapping'!$E$28:$E$39,MATCH($A780,'Category Mapping'!$A$28:$A$39,0),1))</f>
        <v>272142857.14285719</v>
      </c>
      <c r="J780" s="27">
        <f>J200*IF($E780="weekday",INDEX('Category Mapping'!$F$28:$F$39,MATCH('Summarized Source Data'!$A780,'Category Mapping'!$A$28:$A$39,0),1),INDEX('Category Mapping'!$E$28:$E$39,MATCH($A780,'Category Mapping'!$A$28:$A$39,0),1))</f>
        <v>818271621.42857146</v>
      </c>
      <c r="K780" s="27">
        <f>K200*IF($E780="weekday",INDEX('Category Mapping'!$F$28:$F$39,MATCH('Summarized Source Data'!$A780,'Category Mapping'!$A$28:$A$39,0),1),INDEX('Category Mapping'!$E$28:$E$39,MATCH($A780,'Category Mapping'!$A$28:$A$39,0),1))</f>
        <v>818271621.42857146</v>
      </c>
      <c r="L780" s="27">
        <f>L200*IF($E780="weekday",INDEX('Category Mapping'!$F$28:$F$39,MATCH('Summarized Source Data'!$A780,'Category Mapping'!$A$28:$A$39,0),1),INDEX('Category Mapping'!$E$28:$E$39,MATCH($A780,'Category Mapping'!$A$28:$A$39,0),1))</f>
        <v>61425557.142857149</v>
      </c>
      <c r="M780" s="27">
        <f>M200*IF($E780="weekday",INDEX('Category Mapping'!$F$28:$F$39,MATCH('Summarized Source Data'!$A780,'Category Mapping'!$A$28:$A$39,0),1),INDEX('Category Mapping'!$E$28:$E$39,MATCH($A780,'Category Mapping'!$A$28:$A$39,0),1))</f>
        <v>1045714285.7142859</v>
      </c>
      <c r="N780" s="27">
        <f>N200*IF($E780="weekday",INDEX('Category Mapping'!$F$28:$F$39,MATCH('Summarized Source Data'!$A780,'Category Mapping'!$A$28:$A$39,0),1),INDEX('Category Mapping'!$E$28:$E$39,MATCH($A780,'Category Mapping'!$A$28:$A$39,0),1))</f>
        <v>0</v>
      </c>
      <c r="O780" s="27">
        <f>O200*IF($E780="weekday",INDEX('Category Mapping'!$F$28:$F$39,MATCH('Summarized Source Data'!$A780,'Category Mapping'!$A$28:$A$39,0),1),INDEX('Category Mapping'!$E$28:$E$39,MATCH($A780,'Category Mapping'!$A$28:$A$39,0),1))</f>
        <v>3521431585.7142859</v>
      </c>
      <c r="P780" s="27">
        <f>P200*IF($E780="weekday",INDEX('Category Mapping'!$F$28:$F$39,MATCH('Summarized Source Data'!$A780,'Category Mapping'!$A$28:$A$39,0),1),INDEX('Category Mapping'!$E$28:$E$39,MATCH($A780,'Category Mapping'!$A$28:$A$39,0),1))</f>
        <v>3521431585.7142859</v>
      </c>
      <c r="Q780" s="27">
        <f>Q200*IF($E780="weekday",INDEX('Category Mapping'!$F$28:$F$39,MATCH('Summarized Source Data'!$A780,'Category Mapping'!$A$28:$A$39,0),1),INDEX('Category Mapping'!$E$28:$E$39,MATCH($A780,'Category Mapping'!$A$28:$A$39,0),1))</f>
        <v>3521431585.7142859</v>
      </c>
      <c r="R780" s="27">
        <f>R200*IF($E780="weekday",INDEX('Category Mapping'!$F$28:$F$39,MATCH('Summarized Source Data'!$A780,'Category Mapping'!$A$28:$A$39,0),1),INDEX('Category Mapping'!$E$28:$E$39,MATCH($A780,'Category Mapping'!$A$28:$A$39,0),1))</f>
        <v>96605142.857142866</v>
      </c>
      <c r="S780" s="27">
        <f>S200*IF($E780="weekday",INDEX('Category Mapping'!$F$28:$F$39,MATCH('Summarized Source Data'!$A780,'Category Mapping'!$A$28:$A$39,0),1),INDEX('Category Mapping'!$E$28:$E$39,MATCH($A780,'Category Mapping'!$A$28:$A$39,0),1))</f>
        <v>96605142.857142866</v>
      </c>
      <c r="T780" s="27">
        <f>T200*IF($E780="weekday",INDEX('Category Mapping'!$F$28:$F$39,MATCH('Summarized Source Data'!$A780,'Category Mapping'!$A$28:$A$39,0),1),INDEX('Category Mapping'!$E$28:$E$39,MATCH($A780,'Category Mapping'!$A$28:$A$39,0),1))</f>
        <v>96605142.857142866</v>
      </c>
      <c r="U780" s="27">
        <f>U200*IF($E780="weekday",INDEX('Category Mapping'!$F$28:$F$39,MATCH('Summarized Source Data'!$A780,'Category Mapping'!$A$28:$A$39,0),1),INDEX('Category Mapping'!$E$28:$E$39,MATCH($A780,'Category Mapping'!$A$28:$A$39,0),1))</f>
        <v>96605142.857142866</v>
      </c>
      <c r="V780" s="27">
        <f>V200*IF($E780="weekday",INDEX('Category Mapping'!$F$28:$F$39,MATCH('Summarized Source Data'!$A780,'Category Mapping'!$A$28:$A$39,0),1),INDEX('Category Mapping'!$E$28:$E$39,MATCH($A780,'Category Mapping'!$A$28:$A$39,0),1))</f>
        <v>96605142.857142866</v>
      </c>
      <c r="W780" s="27">
        <f>W200*IF($E780="weekday",INDEX('Category Mapping'!$F$28:$F$39,MATCH('Summarized Source Data'!$A780,'Category Mapping'!$A$28:$A$39,0),1),INDEX('Category Mapping'!$E$28:$E$39,MATCH($A780,'Category Mapping'!$A$28:$A$39,0),1))</f>
        <v>96605142.857142866</v>
      </c>
      <c r="X780" s="27">
        <f>X200*IF($E780="weekday",INDEX('Category Mapping'!$F$28:$F$39,MATCH('Summarized Source Data'!$A780,'Category Mapping'!$A$28:$A$39,0),1),INDEX('Category Mapping'!$E$28:$E$39,MATCH($A780,'Category Mapping'!$A$28:$A$39,0),1))</f>
        <v>14100000000.000002</v>
      </c>
      <c r="Y780" s="27">
        <f>Y200*IF($E780="weekday",INDEX('Category Mapping'!$F$28:$F$39,MATCH('Summarized Source Data'!$A780,'Category Mapping'!$A$28:$A$39,0),1),INDEX('Category Mapping'!$E$28:$E$39,MATCH($A780,'Category Mapping'!$A$28:$A$39,0),1))</f>
        <v>14100000000.000002</v>
      </c>
      <c r="Z780" s="27">
        <f>Z200*IF($E780="weekday",INDEX('Category Mapping'!$F$28:$F$39,MATCH('Summarized Source Data'!$A780,'Category Mapping'!$A$28:$A$39,0),1),INDEX('Category Mapping'!$E$28:$E$39,MATCH($A780,'Category Mapping'!$A$28:$A$39,0),1))</f>
        <v>14100000000.000002</v>
      </c>
    </row>
    <row r="781" spans="1:26" x14ac:dyDescent="0.3">
      <c r="A781">
        <f t="shared" ref="A781:E781" si="246">A201</f>
        <v>9</v>
      </c>
      <c r="B781" t="str">
        <f t="shared" si="246"/>
        <v>Fall</v>
      </c>
      <c r="C781" t="str">
        <f t="shared" si="246"/>
        <v>h6</v>
      </c>
      <c r="D781" t="str">
        <f t="shared" si="246"/>
        <v>Hour5</v>
      </c>
      <c r="E781" t="str">
        <f t="shared" si="246"/>
        <v>Weekday</v>
      </c>
      <c r="F781" s="27">
        <f>F201*IF($E781="weekday",INDEX('Category Mapping'!$F$28:$F$39,MATCH('Summarized Source Data'!$A781,'Category Mapping'!$A$28:$A$39,0),1),INDEX('Category Mapping'!$E$28:$E$39,MATCH($A781,'Category Mapping'!$A$28:$A$39,0),1))</f>
        <v>16932728.571428575</v>
      </c>
      <c r="G781" s="27">
        <f>G201*IF($E781="weekday",INDEX('Category Mapping'!$F$28:$F$39,MATCH('Summarized Source Data'!$A781,'Category Mapping'!$A$28:$A$39,0),1),INDEX('Category Mapping'!$E$28:$E$39,MATCH($A781,'Category Mapping'!$A$28:$A$39,0),1))</f>
        <v>69186857.142857149</v>
      </c>
      <c r="H781" s="27">
        <f>H201*IF($E781="weekday",INDEX('Category Mapping'!$F$28:$F$39,MATCH('Summarized Source Data'!$A781,'Category Mapping'!$A$28:$A$39,0),1),INDEX('Category Mapping'!$E$28:$E$39,MATCH($A781,'Category Mapping'!$A$28:$A$39,0),1))</f>
        <v>0</v>
      </c>
      <c r="I781" s="27">
        <f>I201*IF($E781="weekday",INDEX('Category Mapping'!$F$28:$F$39,MATCH('Summarized Source Data'!$A781,'Category Mapping'!$A$28:$A$39,0),1),INDEX('Category Mapping'!$E$28:$E$39,MATCH($A781,'Category Mapping'!$A$28:$A$39,0),1))</f>
        <v>469285714.28571433</v>
      </c>
      <c r="J781" s="27">
        <f>J201*IF($E781="weekday",INDEX('Category Mapping'!$F$28:$F$39,MATCH('Summarized Source Data'!$A781,'Category Mapping'!$A$28:$A$39,0),1),INDEX('Category Mapping'!$E$28:$E$39,MATCH($A781,'Category Mapping'!$A$28:$A$39,0),1))</f>
        <v>1118166128.5714288</v>
      </c>
      <c r="K781" s="27">
        <f>K201*IF($E781="weekday",INDEX('Category Mapping'!$F$28:$F$39,MATCH('Summarized Source Data'!$A781,'Category Mapping'!$A$28:$A$39,0),1),INDEX('Category Mapping'!$E$28:$E$39,MATCH($A781,'Category Mapping'!$A$28:$A$39,0),1))</f>
        <v>1118166128.5714288</v>
      </c>
      <c r="L781" s="27">
        <f>L201*IF($E781="weekday",INDEX('Category Mapping'!$F$28:$F$39,MATCH('Summarized Source Data'!$A781,'Category Mapping'!$A$28:$A$39,0),1),INDEX('Category Mapping'!$E$28:$E$39,MATCH($A781,'Category Mapping'!$A$28:$A$39,0),1))</f>
        <v>93135985.714285716</v>
      </c>
      <c r="M781" s="27">
        <f>M201*IF($E781="weekday",INDEX('Category Mapping'!$F$28:$F$39,MATCH('Summarized Source Data'!$A781,'Category Mapping'!$A$28:$A$39,0),1),INDEX('Category Mapping'!$E$28:$E$39,MATCH($A781,'Category Mapping'!$A$28:$A$39,0),1))</f>
        <v>1088571428.5714288</v>
      </c>
      <c r="N781" s="27">
        <f>N201*IF($E781="weekday",INDEX('Category Mapping'!$F$28:$F$39,MATCH('Summarized Source Data'!$A781,'Category Mapping'!$A$28:$A$39,0),1),INDEX('Category Mapping'!$E$28:$E$39,MATCH($A781,'Category Mapping'!$A$28:$A$39,0),1))</f>
        <v>0</v>
      </c>
      <c r="O781" s="27">
        <f>O201*IF($E781="weekday",INDEX('Category Mapping'!$F$28:$F$39,MATCH('Summarized Source Data'!$A781,'Category Mapping'!$A$28:$A$39,0),1),INDEX('Category Mapping'!$E$28:$E$39,MATCH($A781,'Category Mapping'!$A$28:$A$39,0),1))</f>
        <v>4111149728.5714288</v>
      </c>
      <c r="P781" s="27">
        <f>P201*IF($E781="weekday",INDEX('Category Mapping'!$F$28:$F$39,MATCH('Summarized Source Data'!$A781,'Category Mapping'!$A$28:$A$39,0),1),INDEX('Category Mapping'!$E$28:$E$39,MATCH($A781,'Category Mapping'!$A$28:$A$39,0),1))</f>
        <v>4111149728.5714288</v>
      </c>
      <c r="Q781" s="27">
        <f>Q201*IF($E781="weekday",INDEX('Category Mapping'!$F$28:$F$39,MATCH('Summarized Source Data'!$A781,'Category Mapping'!$A$28:$A$39,0),1),INDEX('Category Mapping'!$E$28:$E$39,MATCH($A781,'Category Mapping'!$A$28:$A$39,0),1))</f>
        <v>4111149728.5714288</v>
      </c>
      <c r="R781" s="27">
        <f>R201*IF($E781="weekday",INDEX('Category Mapping'!$F$28:$F$39,MATCH('Summarized Source Data'!$A781,'Category Mapping'!$A$28:$A$39,0),1),INDEX('Category Mapping'!$E$28:$E$39,MATCH($A781,'Category Mapping'!$A$28:$A$39,0),1))</f>
        <v>99459578.571428582</v>
      </c>
      <c r="S781" s="27">
        <f>S201*IF($E781="weekday",INDEX('Category Mapping'!$F$28:$F$39,MATCH('Summarized Source Data'!$A781,'Category Mapping'!$A$28:$A$39,0),1),INDEX('Category Mapping'!$E$28:$E$39,MATCH($A781,'Category Mapping'!$A$28:$A$39,0),1))</f>
        <v>99459578.571428582</v>
      </c>
      <c r="T781" s="27">
        <f>T201*IF($E781="weekday",INDEX('Category Mapping'!$F$28:$F$39,MATCH('Summarized Source Data'!$A781,'Category Mapping'!$A$28:$A$39,0),1),INDEX('Category Mapping'!$E$28:$E$39,MATCH($A781,'Category Mapping'!$A$28:$A$39,0),1))</f>
        <v>99459578.571428582</v>
      </c>
      <c r="U781" s="27">
        <f>U201*IF($E781="weekday",INDEX('Category Mapping'!$F$28:$F$39,MATCH('Summarized Source Data'!$A781,'Category Mapping'!$A$28:$A$39,0),1),INDEX('Category Mapping'!$E$28:$E$39,MATCH($A781,'Category Mapping'!$A$28:$A$39,0),1))</f>
        <v>99459578.571428582</v>
      </c>
      <c r="V781" s="27">
        <f>V201*IF($E781="weekday",INDEX('Category Mapping'!$F$28:$F$39,MATCH('Summarized Source Data'!$A781,'Category Mapping'!$A$28:$A$39,0),1),INDEX('Category Mapping'!$E$28:$E$39,MATCH($A781,'Category Mapping'!$A$28:$A$39,0),1))</f>
        <v>99459578.571428582</v>
      </c>
      <c r="W781" s="27">
        <f>W201*IF($E781="weekday",INDEX('Category Mapping'!$F$28:$F$39,MATCH('Summarized Source Data'!$A781,'Category Mapping'!$A$28:$A$39,0),1),INDEX('Category Mapping'!$E$28:$E$39,MATCH($A781,'Category Mapping'!$A$28:$A$39,0),1))</f>
        <v>99459578.571428582</v>
      </c>
      <c r="X781" s="27">
        <f>X201*IF($E781="weekday",INDEX('Category Mapping'!$F$28:$F$39,MATCH('Summarized Source Data'!$A781,'Category Mapping'!$A$28:$A$39,0),1),INDEX('Category Mapping'!$E$28:$E$39,MATCH($A781,'Category Mapping'!$A$28:$A$39,0),1))</f>
        <v>14185714285.714287</v>
      </c>
      <c r="Y781" s="27">
        <f>Y201*IF($E781="weekday",INDEX('Category Mapping'!$F$28:$F$39,MATCH('Summarized Source Data'!$A781,'Category Mapping'!$A$28:$A$39,0),1),INDEX('Category Mapping'!$E$28:$E$39,MATCH($A781,'Category Mapping'!$A$28:$A$39,0),1))</f>
        <v>14185714285.714287</v>
      </c>
      <c r="Z781" s="27">
        <f>Z201*IF($E781="weekday",INDEX('Category Mapping'!$F$28:$F$39,MATCH('Summarized Source Data'!$A781,'Category Mapping'!$A$28:$A$39,0),1),INDEX('Category Mapping'!$E$28:$E$39,MATCH($A781,'Category Mapping'!$A$28:$A$39,0),1))</f>
        <v>14185714285.714287</v>
      </c>
    </row>
    <row r="782" spans="1:26" x14ac:dyDescent="0.3">
      <c r="A782">
        <f t="shared" ref="A782:E782" si="247">A202</f>
        <v>9</v>
      </c>
      <c r="B782" t="str">
        <f t="shared" si="247"/>
        <v>Fall</v>
      </c>
      <c r="C782" t="str">
        <f t="shared" si="247"/>
        <v>h7</v>
      </c>
      <c r="D782" t="str">
        <f t="shared" si="247"/>
        <v>Hour6</v>
      </c>
      <c r="E782" t="str">
        <f t="shared" si="247"/>
        <v>Weekday</v>
      </c>
      <c r="F782" s="27">
        <f>F202*IF($E782="weekday",INDEX('Category Mapping'!$F$28:$F$39,MATCH('Summarized Source Data'!$A782,'Category Mapping'!$A$28:$A$39,0),1),INDEX('Category Mapping'!$E$28:$E$39,MATCH($A782,'Category Mapping'!$A$28:$A$39,0),1))</f>
        <v>19168864.285714287</v>
      </c>
      <c r="G782" s="27">
        <f>G202*IF($E782="weekday",INDEX('Category Mapping'!$F$28:$F$39,MATCH('Summarized Source Data'!$A782,'Category Mapping'!$A$28:$A$39,0),1),INDEX('Category Mapping'!$E$28:$E$39,MATCH($A782,'Category Mapping'!$A$28:$A$39,0),1))</f>
        <v>106504821.42857143</v>
      </c>
      <c r="H782" s="27">
        <f>H202*IF($E782="weekday",INDEX('Category Mapping'!$F$28:$F$39,MATCH('Summarized Source Data'!$A782,'Category Mapping'!$A$28:$A$39,0),1),INDEX('Category Mapping'!$E$28:$E$39,MATCH($A782,'Category Mapping'!$A$28:$A$39,0),1))</f>
        <v>0</v>
      </c>
      <c r="I782" s="27">
        <f>I202*IF($E782="weekday",INDEX('Category Mapping'!$F$28:$F$39,MATCH('Summarized Source Data'!$A782,'Category Mapping'!$A$28:$A$39,0),1),INDEX('Category Mapping'!$E$28:$E$39,MATCH($A782,'Category Mapping'!$A$28:$A$39,0),1))</f>
        <v>413571428.5714286</v>
      </c>
      <c r="J782" s="27">
        <f>J202*IF($E782="weekday",INDEX('Category Mapping'!$F$28:$F$39,MATCH('Summarized Source Data'!$A782,'Category Mapping'!$A$28:$A$39,0),1),INDEX('Category Mapping'!$E$28:$E$39,MATCH($A782,'Category Mapping'!$A$28:$A$39,0),1))</f>
        <v>1753612028.5714288</v>
      </c>
      <c r="K782" s="27">
        <f>K202*IF($E782="weekday",INDEX('Category Mapping'!$F$28:$F$39,MATCH('Summarized Source Data'!$A782,'Category Mapping'!$A$28:$A$39,0),1),INDEX('Category Mapping'!$E$28:$E$39,MATCH($A782,'Category Mapping'!$A$28:$A$39,0),1))</f>
        <v>1753612028.5714288</v>
      </c>
      <c r="L782" s="27">
        <f>L202*IF($E782="weekday",INDEX('Category Mapping'!$F$28:$F$39,MATCH('Summarized Source Data'!$A782,'Category Mapping'!$A$28:$A$39,0),1),INDEX('Category Mapping'!$E$28:$E$39,MATCH($A782,'Category Mapping'!$A$28:$A$39,0),1))</f>
        <v>93777342.857142866</v>
      </c>
      <c r="M782" s="27">
        <f>M202*IF($E782="weekday",INDEX('Category Mapping'!$F$28:$F$39,MATCH('Summarized Source Data'!$A782,'Category Mapping'!$A$28:$A$39,0),1),INDEX('Category Mapping'!$E$28:$E$39,MATCH($A782,'Category Mapping'!$A$28:$A$39,0),1))</f>
        <v>1245000000</v>
      </c>
      <c r="N782" s="27">
        <f>N202*IF($E782="weekday",INDEX('Category Mapping'!$F$28:$F$39,MATCH('Summarized Source Data'!$A782,'Category Mapping'!$A$28:$A$39,0),1),INDEX('Category Mapping'!$E$28:$E$39,MATCH($A782,'Category Mapping'!$A$28:$A$39,0),1))</f>
        <v>0</v>
      </c>
      <c r="O782" s="27">
        <f>O202*IF($E782="weekday",INDEX('Category Mapping'!$F$28:$F$39,MATCH('Summarized Source Data'!$A782,'Category Mapping'!$A$28:$A$39,0),1),INDEX('Category Mapping'!$E$28:$E$39,MATCH($A782,'Category Mapping'!$A$28:$A$39,0),1))</f>
        <v>6161222657.1428576</v>
      </c>
      <c r="P782" s="27">
        <f>P202*IF($E782="weekday",INDEX('Category Mapping'!$F$28:$F$39,MATCH('Summarized Source Data'!$A782,'Category Mapping'!$A$28:$A$39,0),1),INDEX('Category Mapping'!$E$28:$E$39,MATCH($A782,'Category Mapping'!$A$28:$A$39,0),1))</f>
        <v>6161222657.1428576</v>
      </c>
      <c r="Q782" s="27">
        <f>Q202*IF($E782="weekday",INDEX('Category Mapping'!$F$28:$F$39,MATCH('Summarized Source Data'!$A782,'Category Mapping'!$A$28:$A$39,0),1),INDEX('Category Mapping'!$E$28:$E$39,MATCH($A782,'Category Mapping'!$A$28:$A$39,0),1))</f>
        <v>6161222657.1428576</v>
      </c>
      <c r="R782" s="27">
        <f>R202*IF($E782="weekday",INDEX('Category Mapping'!$F$28:$F$39,MATCH('Summarized Source Data'!$A782,'Category Mapping'!$A$28:$A$39,0),1),INDEX('Category Mapping'!$E$28:$E$39,MATCH($A782,'Category Mapping'!$A$28:$A$39,0),1))</f>
        <v>149579185.71428573</v>
      </c>
      <c r="S782" s="27">
        <f>S202*IF($E782="weekday",INDEX('Category Mapping'!$F$28:$F$39,MATCH('Summarized Source Data'!$A782,'Category Mapping'!$A$28:$A$39,0),1),INDEX('Category Mapping'!$E$28:$E$39,MATCH($A782,'Category Mapping'!$A$28:$A$39,0),1))</f>
        <v>149579185.71428573</v>
      </c>
      <c r="T782" s="27">
        <f>T202*IF($E782="weekday",INDEX('Category Mapping'!$F$28:$F$39,MATCH('Summarized Source Data'!$A782,'Category Mapping'!$A$28:$A$39,0),1),INDEX('Category Mapping'!$E$28:$E$39,MATCH($A782,'Category Mapping'!$A$28:$A$39,0),1))</f>
        <v>149579185.71428573</v>
      </c>
      <c r="U782" s="27">
        <f>U202*IF($E782="weekday",INDEX('Category Mapping'!$F$28:$F$39,MATCH('Summarized Source Data'!$A782,'Category Mapping'!$A$28:$A$39,0),1),INDEX('Category Mapping'!$E$28:$E$39,MATCH($A782,'Category Mapping'!$A$28:$A$39,0),1))</f>
        <v>149579185.71428573</v>
      </c>
      <c r="V782" s="27">
        <f>V202*IF($E782="weekday",INDEX('Category Mapping'!$F$28:$F$39,MATCH('Summarized Source Data'!$A782,'Category Mapping'!$A$28:$A$39,0),1),INDEX('Category Mapping'!$E$28:$E$39,MATCH($A782,'Category Mapping'!$A$28:$A$39,0),1))</f>
        <v>149579185.71428573</v>
      </c>
      <c r="W782" s="27">
        <f>W202*IF($E782="weekday",INDEX('Category Mapping'!$F$28:$F$39,MATCH('Summarized Source Data'!$A782,'Category Mapping'!$A$28:$A$39,0),1),INDEX('Category Mapping'!$E$28:$E$39,MATCH($A782,'Category Mapping'!$A$28:$A$39,0),1))</f>
        <v>149579185.71428573</v>
      </c>
      <c r="X782" s="27">
        <f>X202*IF($E782="weekday",INDEX('Category Mapping'!$F$28:$F$39,MATCH('Summarized Source Data'!$A782,'Category Mapping'!$A$28:$A$39,0),1),INDEX('Category Mapping'!$E$28:$E$39,MATCH($A782,'Category Mapping'!$A$28:$A$39,0),1))</f>
        <v>14357142857.142859</v>
      </c>
      <c r="Y782" s="27">
        <f>Y202*IF($E782="weekday",INDEX('Category Mapping'!$F$28:$F$39,MATCH('Summarized Source Data'!$A782,'Category Mapping'!$A$28:$A$39,0),1),INDEX('Category Mapping'!$E$28:$E$39,MATCH($A782,'Category Mapping'!$A$28:$A$39,0),1))</f>
        <v>14357142857.142859</v>
      </c>
      <c r="Z782" s="27">
        <f>Z202*IF($E782="weekday",INDEX('Category Mapping'!$F$28:$F$39,MATCH('Summarized Source Data'!$A782,'Category Mapping'!$A$28:$A$39,0),1),INDEX('Category Mapping'!$E$28:$E$39,MATCH($A782,'Category Mapping'!$A$28:$A$39,0),1))</f>
        <v>14357142857.142859</v>
      </c>
    </row>
    <row r="783" spans="1:26" x14ac:dyDescent="0.3">
      <c r="A783">
        <f t="shared" ref="A783:E783" si="248">A203</f>
        <v>9</v>
      </c>
      <c r="B783" t="str">
        <f t="shared" si="248"/>
        <v>Fall</v>
      </c>
      <c r="C783" t="str">
        <f t="shared" si="248"/>
        <v>h8</v>
      </c>
      <c r="D783" t="str">
        <f t="shared" si="248"/>
        <v>Hour7</v>
      </c>
      <c r="E783" t="str">
        <f t="shared" si="248"/>
        <v>Weekday</v>
      </c>
      <c r="F783" s="27">
        <f>F203*IF($E783="weekday",INDEX('Category Mapping'!$F$28:$F$39,MATCH('Summarized Source Data'!$A783,'Category Mapping'!$A$28:$A$39,0),1),INDEX('Category Mapping'!$E$28:$E$39,MATCH($A783,'Category Mapping'!$A$28:$A$39,0),1))</f>
        <v>19408285.714285716</v>
      </c>
      <c r="G783" s="27">
        <f>G203*IF($E783="weekday",INDEX('Category Mapping'!$F$28:$F$39,MATCH('Summarized Source Data'!$A783,'Category Mapping'!$A$28:$A$39,0),1),INDEX('Category Mapping'!$E$28:$E$39,MATCH($A783,'Category Mapping'!$A$28:$A$39,0),1))</f>
        <v>171351471.42857143</v>
      </c>
      <c r="H783" s="27">
        <f>H203*IF($E783="weekday",INDEX('Category Mapping'!$F$28:$F$39,MATCH('Summarized Source Data'!$A783,'Category Mapping'!$A$28:$A$39,0),1),INDEX('Category Mapping'!$E$28:$E$39,MATCH($A783,'Category Mapping'!$A$28:$A$39,0),1))</f>
        <v>0</v>
      </c>
      <c r="I783" s="27">
        <f>I203*IF($E783="weekday",INDEX('Category Mapping'!$F$28:$F$39,MATCH('Summarized Source Data'!$A783,'Category Mapping'!$A$28:$A$39,0),1),INDEX('Category Mapping'!$E$28:$E$39,MATCH($A783,'Category Mapping'!$A$28:$A$39,0),1))</f>
        <v>212641521.42857146</v>
      </c>
      <c r="J783" s="27">
        <f>J203*IF($E783="weekday",INDEX('Category Mapping'!$F$28:$F$39,MATCH('Summarized Source Data'!$A783,'Category Mapping'!$A$28:$A$39,0),1),INDEX('Category Mapping'!$E$28:$E$39,MATCH($A783,'Category Mapping'!$A$28:$A$39,0),1))</f>
        <v>2253741578.5714288</v>
      </c>
      <c r="K783" s="27">
        <f>K203*IF($E783="weekday",INDEX('Category Mapping'!$F$28:$F$39,MATCH('Summarized Source Data'!$A783,'Category Mapping'!$A$28:$A$39,0),1),INDEX('Category Mapping'!$E$28:$E$39,MATCH($A783,'Category Mapping'!$A$28:$A$39,0),1))</f>
        <v>2253741578.5714288</v>
      </c>
      <c r="L783" s="27">
        <f>L203*IF($E783="weekday",INDEX('Category Mapping'!$F$28:$F$39,MATCH('Summarized Source Data'!$A783,'Category Mapping'!$A$28:$A$39,0),1),INDEX('Category Mapping'!$E$28:$E$39,MATCH($A783,'Category Mapping'!$A$28:$A$39,0),1))</f>
        <v>82854814.285714298</v>
      </c>
      <c r="M783" s="27">
        <f>M203*IF($E783="weekday",INDEX('Category Mapping'!$F$28:$F$39,MATCH('Summarized Source Data'!$A783,'Category Mapping'!$A$28:$A$39,0),1),INDEX('Category Mapping'!$E$28:$E$39,MATCH($A783,'Category Mapping'!$A$28:$A$39,0),1))</f>
        <v>1575000000.0000002</v>
      </c>
      <c r="N783" s="27">
        <f>N203*IF($E783="weekday",INDEX('Category Mapping'!$F$28:$F$39,MATCH('Summarized Source Data'!$A783,'Category Mapping'!$A$28:$A$39,0),1),INDEX('Category Mapping'!$E$28:$E$39,MATCH($A783,'Category Mapping'!$A$28:$A$39,0),1))</f>
        <v>0</v>
      </c>
      <c r="O783" s="27">
        <f>O203*IF($E783="weekday",INDEX('Category Mapping'!$F$28:$F$39,MATCH('Summarized Source Data'!$A783,'Category Mapping'!$A$28:$A$39,0),1),INDEX('Category Mapping'!$E$28:$E$39,MATCH($A783,'Category Mapping'!$A$28:$A$39,0),1))</f>
        <v>8456430900.000001</v>
      </c>
      <c r="P783" s="27">
        <f>P203*IF($E783="weekday",INDEX('Category Mapping'!$F$28:$F$39,MATCH('Summarized Source Data'!$A783,'Category Mapping'!$A$28:$A$39,0),1),INDEX('Category Mapping'!$E$28:$E$39,MATCH($A783,'Category Mapping'!$A$28:$A$39,0),1))</f>
        <v>8456430900.000001</v>
      </c>
      <c r="Q783" s="27">
        <f>Q203*IF($E783="weekday",INDEX('Category Mapping'!$F$28:$F$39,MATCH('Summarized Source Data'!$A783,'Category Mapping'!$A$28:$A$39,0),1),INDEX('Category Mapping'!$E$28:$E$39,MATCH($A783,'Category Mapping'!$A$28:$A$39,0),1))</f>
        <v>8456430900.000001</v>
      </c>
      <c r="R783" s="27">
        <f>R203*IF($E783="weekday",INDEX('Category Mapping'!$F$28:$F$39,MATCH('Summarized Source Data'!$A783,'Category Mapping'!$A$28:$A$39,0),1),INDEX('Category Mapping'!$E$28:$E$39,MATCH($A783,'Category Mapping'!$A$28:$A$39,0),1))</f>
        <v>315000000.00000006</v>
      </c>
      <c r="S783" s="27">
        <f>S203*IF($E783="weekday",INDEX('Category Mapping'!$F$28:$F$39,MATCH('Summarized Source Data'!$A783,'Category Mapping'!$A$28:$A$39,0),1),INDEX('Category Mapping'!$E$28:$E$39,MATCH($A783,'Category Mapping'!$A$28:$A$39,0),1))</f>
        <v>315000000.00000006</v>
      </c>
      <c r="T783" s="27">
        <f>T203*IF($E783="weekday",INDEX('Category Mapping'!$F$28:$F$39,MATCH('Summarized Source Data'!$A783,'Category Mapping'!$A$28:$A$39,0),1),INDEX('Category Mapping'!$E$28:$E$39,MATCH($A783,'Category Mapping'!$A$28:$A$39,0),1))</f>
        <v>315000000.00000006</v>
      </c>
      <c r="U783" s="27">
        <f>U203*IF($E783="weekday",INDEX('Category Mapping'!$F$28:$F$39,MATCH('Summarized Source Data'!$A783,'Category Mapping'!$A$28:$A$39,0),1),INDEX('Category Mapping'!$E$28:$E$39,MATCH($A783,'Category Mapping'!$A$28:$A$39,0),1))</f>
        <v>315000000.00000006</v>
      </c>
      <c r="V783" s="27">
        <f>V203*IF($E783="weekday",INDEX('Category Mapping'!$F$28:$F$39,MATCH('Summarized Source Data'!$A783,'Category Mapping'!$A$28:$A$39,0),1),INDEX('Category Mapping'!$E$28:$E$39,MATCH($A783,'Category Mapping'!$A$28:$A$39,0),1))</f>
        <v>315000000.00000006</v>
      </c>
      <c r="W783" s="27">
        <f>W203*IF($E783="weekday",INDEX('Category Mapping'!$F$28:$F$39,MATCH('Summarized Source Data'!$A783,'Category Mapping'!$A$28:$A$39,0),1),INDEX('Category Mapping'!$E$28:$E$39,MATCH($A783,'Category Mapping'!$A$28:$A$39,0),1))</f>
        <v>315000000.00000006</v>
      </c>
      <c r="X783" s="27">
        <f>X203*IF($E783="weekday",INDEX('Category Mapping'!$F$28:$F$39,MATCH('Summarized Source Data'!$A783,'Category Mapping'!$A$28:$A$39,0),1),INDEX('Category Mapping'!$E$28:$E$39,MATCH($A783,'Category Mapping'!$A$28:$A$39,0),1))</f>
        <v>14507142857.142859</v>
      </c>
      <c r="Y783" s="27">
        <f>Y203*IF($E783="weekday",INDEX('Category Mapping'!$F$28:$F$39,MATCH('Summarized Source Data'!$A783,'Category Mapping'!$A$28:$A$39,0),1),INDEX('Category Mapping'!$E$28:$E$39,MATCH($A783,'Category Mapping'!$A$28:$A$39,0),1))</f>
        <v>14507142857.142859</v>
      </c>
      <c r="Z783" s="27">
        <f>Z203*IF($E783="weekday",INDEX('Category Mapping'!$F$28:$F$39,MATCH('Summarized Source Data'!$A783,'Category Mapping'!$A$28:$A$39,0),1),INDEX('Category Mapping'!$E$28:$E$39,MATCH($A783,'Category Mapping'!$A$28:$A$39,0),1))</f>
        <v>14507142857.142859</v>
      </c>
    </row>
    <row r="784" spans="1:26" x14ac:dyDescent="0.3">
      <c r="A784">
        <f t="shared" ref="A784:E784" si="249">A204</f>
        <v>9</v>
      </c>
      <c r="B784" t="str">
        <f t="shared" si="249"/>
        <v>Fall</v>
      </c>
      <c r="C784" t="str">
        <f t="shared" si="249"/>
        <v>h9</v>
      </c>
      <c r="D784" t="str">
        <f t="shared" si="249"/>
        <v>Hour8</v>
      </c>
      <c r="E784" t="str">
        <f t="shared" si="249"/>
        <v>Weekday</v>
      </c>
      <c r="F784" s="27">
        <f>F204*IF($E784="weekday",INDEX('Category Mapping'!$F$28:$F$39,MATCH('Summarized Source Data'!$A784,'Category Mapping'!$A$28:$A$39,0),1),INDEX('Category Mapping'!$E$28:$E$39,MATCH($A784,'Category Mapping'!$A$28:$A$39,0),1))</f>
        <v>19256935.714285716</v>
      </c>
      <c r="G784" s="27">
        <f>G204*IF($E784="weekday",INDEX('Category Mapping'!$F$28:$F$39,MATCH('Summarized Source Data'!$A784,'Category Mapping'!$A$28:$A$39,0),1),INDEX('Category Mapping'!$E$28:$E$39,MATCH($A784,'Category Mapping'!$A$28:$A$39,0),1))</f>
        <v>246428571.42857146</v>
      </c>
      <c r="H784" s="27">
        <f>H204*IF($E784="weekday",INDEX('Category Mapping'!$F$28:$F$39,MATCH('Summarized Source Data'!$A784,'Category Mapping'!$A$28:$A$39,0),1),INDEX('Category Mapping'!$E$28:$E$39,MATCH($A784,'Category Mapping'!$A$28:$A$39,0),1))</f>
        <v>0</v>
      </c>
      <c r="I784" s="27">
        <f>I204*IF($E784="weekday",INDEX('Category Mapping'!$F$28:$F$39,MATCH('Summarized Source Data'!$A784,'Category Mapping'!$A$28:$A$39,0),1),INDEX('Category Mapping'!$E$28:$E$39,MATCH($A784,'Category Mapping'!$A$28:$A$39,0),1))</f>
        <v>208249350.00000003</v>
      </c>
      <c r="J784" s="27">
        <f>J204*IF($E784="weekday",INDEX('Category Mapping'!$F$28:$F$39,MATCH('Summarized Source Data'!$A784,'Category Mapping'!$A$28:$A$39,0),1),INDEX('Category Mapping'!$E$28:$E$39,MATCH($A784,'Category Mapping'!$A$28:$A$39,0),1))</f>
        <v>2311779428.5714288</v>
      </c>
      <c r="K784" s="27">
        <f>K204*IF($E784="weekday",INDEX('Category Mapping'!$F$28:$F$39,MATCH('Summarized Source Data'!$A784,'Category Mapping'!$A$28:$A$39,0),1),INDEX('Category Mapping'!$E$28:$E$39,MATCH($A784,'Category Mapping'!$A$28:$A$39,0),1))</f>
        <v>2311779428.5714288</v>
      </c>
      <c r="L784" s="27">
        <f>L204*IF($E784="weekday",INDEX('Category Mapping'!$F$28:$F$39,MATCH('Summarized Source Data'!$A784,'Category Mapping'!$A$28:$A$39,0),1),INDEX('Category Mapping'!$E$28:$E$39,MATCH($A784,'Category Mapping'!$A$28:$A$39,0),1))</f>
        <v>52990135.714285716</v>
      </c>
      <c r="M784" s="27">
        <f>M204*IF($E784="weekday",INDEX('Category Mapping'!$F$28:$F$39,MATCH('Summarized Source Data'!$A784,'Category Mapping'!$A$28:$A$39,0),1),INDEX('Category Mapping'!$E$28:$E$39,MATCH($A784,'Category Mapping'!$A$28:$A$39,0),1))</f>
        <v>2061428571.4285717</v>
      </c>
      <c r="N784" s="27">
        <f>N204*IF($E784="weekday",INDEX('Category Mapping'!$F$28:$F$39,MATCH('Summarized Source Data'!$A784,'Category Mapping'!$A$28:$A$39,0),1),INDEX('Category Mapping'!$E$28:$E$39,MATCH($A784,'Category Mapping'!$A$28:$A$39,0),1))</f>
        <v>0</v>
      </c>
      <c r="O784" s="27">
        <f>O204*IF($E784="weekday",INDEX('Category Mapping'!$F$28:$F$39,MATCH('Summarized Source Data'!$A784,'Category Mapping'!$A$28:$A$39,0),1),INDEX('Category Mapping'!$E$28:$E$39,MATCH($A784,'Category Mapping'!$A$28:$A$39,0),1))</f>
        <v>10507009864.285715</v>
      </c>
      <c r="P784" s="27">
        <f>P204*IF($E784="weekday",INDEX('Category Mapping'!$F$28:$F$39,MATCH('Summarized Source Data'!$A784,'Category Mapping'!$A$28:$A$39,0),1),INDEX('Category Mapping'!$E$28:$E$39,MATCH($A784,'Category Mapping'!$A$28:$A$39,0),1))</f>
        <v>10507009864.285715</v>
      </c>
      <c r="Q784" s="27">
        <f>Q204*IF($E784="weekday",INDEX('Category Mapping'!$F$28:$F$39,MATCH('Summarized Source Data'!$A784,'Category Mapping'!$A$28:$A$39,0),1),INDEX('Category Mapping'!$E$28:$E$39,MATCH($A784,'Category Mapping'!$A$28:$A$39,0),1))</f>
        <v>10507009864.285715</v>
      </c>
      <c r="R784" s="27">
        <f>R204*IF($E784="weekday",INDEX('Category Mapping'!$F$28:$F$39,MATCH('Summarized Source Data'!$A784,'Category Mapping'!$A$28:$A$39,0),1),INDEX('Category Mapping'!$E$28:$E$39,MATCH($A784,'Category Mapping'!$A$28:$A$39,0),1))</f>
        <v>345000000.00000006</v>
      </c>
      <c r="S784" s="27">
        <f>S204*IF($E784="weekday",INDEX('Category Mapping'!$F$28:$F$39,MATCH('Summarized Source Data'!$A784,'Category Mapping'!$A$28:$A$39,0),1),INDEX('Category Mapping'!$E$28:$E$39,MATCH($A784,'Category Mapping'!$A$28:$A$39,0),1))</f>
        <v>345000000.00000006</v>
      </c>
      <c r="T784" s="27">
        <f>T204*IF($E784="weekday",INDEX('Category Mapping'!$F$28:$F$39,MATCH('Summarized Source Data'!$A784,'Category Mapping'!$A$28:$A$39,0),1),INDEX('Category Mapping'!$E$28:$E$39,MATCH($A784,'Category Mapping'!$A$28:$A$39,0),1))</f>
        <v>345000000.00000006</v>
      </c>
      <c r="U784" s="27">
        <f>U204*IF($E784="weekday",INDEX('Category Mapping'!$F$28:$F$39,MATCH('Summarized Source Data'!$A784,'Category Mapping'!$A$28:$A$39,0),1),INDEX('Category Mapping'!$E$28:$E$39,MATCH($A784,'Category Mapping'!$A$28:$A$39,0),1))</f>
        <v>345000000.00000006</v>
      </c>
      <c r="V784" s="27">
        <f>V204*IF($E784="weekday",INDEX('Category Mapping'!$F$28:$F$39,MATCH('Summarized Source Data'!$A784,'Category Mapping'!$A$28:$A$39,0),1),INDEX('Category Mapping'!$E$28:$E$39,MATCH($A784,'Category Mapping'!$A$28:$A$39,0),1))</f>
        <v>345000000.00000006</v>
      </c>
      <c r="W784" s="27">
        <f>W204*IF($E784="weekday",INDEX('Category Mapping'!$F$28:$F$39,MATCH('Summarized Source Data'!$A784,'Category Mapping'!$A$28:$A$39,0),1),INDEX('Category Mapping'!$E$28:$E$39,MATCH($A784,'Category Mapping'!$A$28:$A$39,0),1))</f>
        <v>345000000.00000006</v>
      </c>
      <c r="X784" s="27">
        <f>X204*IF($E784="weekday",INDEX('Category Mapping'!$F$28:$F$39,MATCH('Summarized Source Data'!$A784,'Category Mapping'!$A$28:$A$39,0),1),INDEX('Category Mapping'!$E$28:$E$39,MATCH($A784,'Category Mapping'!$A$28:$A$39,0),1))</f>
        <v>14550000000.000002</v>
      </c>
      <c r="Y784" s="27">
        <f>Y204*IF($E784="weekday",INDEX('Category Mapping'!$F$28:$F$39,MATCH('Summarized Source Data'!$A784,'Category Mapping'!$A$28:$A$39,0),1),INDEX('Category Mapping'!$E$28:$E$39,MATCH($A784,'Category Mapping'!$A$28:$A$39,0),1))</f>
        <v>14550000000.000002</v>
      </c>
      <c r="Z784" s="27">
        <f>Z204*IF($E784="weekday",INDEX('Category Mapping'!$F$28:$F$39,MATCH('Summarized Source Data'!$A784,'Category Mapping'!$A$28:$A$39,0),1),INDEX('Category Mapping'!$E$28:$E$39,MATCH($A784,'Category Mapping'!$A$28:$A$39,0),1))</f>
        <v>14550000000.000002</v>
      </c>
    </row>
    <row r="785" spans="1:26" x14ac:dyDescent="0.3">
      <c r="A785">
        <f t="shared" ref="A785:E785" si="250">A205</f>
        <v>9</v>
      </c>
      <c r="B785" t="str">
        <f t="shared" si="250"/>
        <v>Fall</v>
      </c>
      <c r="C785" t="str">
        <f t="shared" si="250"/>
        <v>h10</v>
      </c>
      <c r="D785" t="str">
        <f t="shared" si="250"/>
        <v>Hour9</v>
      </c>
      <c r="E785" t="str">
        <f t="shared" si="250"/>
        <v>Weekday</v>
      </c>
      <c r="F785" s="27">
        <f>F205*IF($E785="weekday",INDEX('Category Mapping'!$F$28:$F$39,MATCH('Summarized Source Data'!$A785,'Category Mapping'!$A$28:$A$39,0),1),INDEX('Category Mapping'!$E$28:$E$39,MATCH($A785,'Category Mapping'!$A$28:$A$39,0),1))</f>
        <v>13298871.428571429</v>
      </c>
      <c r="G785" s="27">
        <f>G205*IF($E785="weekday",INDEX('Category Mapping'!$F$28:$F$39,MATCH('Summarized Source Data'!$A785,'Category Mapping'!$A$28:$A$39,0),1),INDEX('Category Mapping'!$E$28:$E$39,MATCH($A785,'Category Mapping'!$A$28:$A$39,0),1))</f>
        <v>315000000.00000006</v>
      </c>
      <c r="H785" s="27">
        <f>H205*IF($E785="weekday",INDEX('Category Mapping'!$F$28:$F$39,MATCH('Summarized Source Data'!$A785,'Category Mapping'!$A$28:$A$39,0),1),INDEX('Category Mapping'!$E$28:$E$39,MATCH($A785,'Category Mapping'!$A$28:$A$39,0),1))</f>
        <v>0</v>
      </c>
      <c r="I785" s="27">
        <f>I205*IF($E785="weekday",INDEX('Category Mapping'!$F$28:$F$39,MATCH('Summarized Source Data'!$A785,'Category Mapping'!$A$28:$A$39,0),1),INDEX('Category Mapping'!$E$28:$E$39,MATCH($A785,'Category Mapping'!$A$28:$A$39,0),1))</f>
        <v>200325535.71428573</v>
      </c>
      <c r="J785" s="27">
        <f>J205*IF($E785="weekday",INDEX('Category Mapping'!$F$28:$F$39,MATCH('Summarized Source Data'!$A785,'Category Mapping'!$A$28:$A$39,0),1),INDEX('Category Mapping'!$E$28:$E$39,MATCH($A785,'Category Mapping'!$A$28:$A$39,0),1))</f>
        <v>2321375592.8571429</v>
      </c>
      <c r="K785" s="27">
        <f>K205*IF($E785="weekday",INDEX('Category Mapping'!$F$28:$F$39,MATCH('Summarized Source Data'!$A785,'Category Mapping'!$A$28:$A$39,0),1),INDEX('Category Mapping'!$E$28:$E$39,MATCH($A785,'Category Mapping'!$A$28:$A$39,0),1))</f>
        <v>2321375592.8571429</v>
      </c>
      <c r="L785" s="27">
        <f>L205*IF($E785="weekday",INDEX('Category Mapping'!$F$28:$F$39,MATCH('Summarized Source Data'!$A785,'Category Mapping'!$A$28:$A$39,0),1),INDEX('Category Mapping'!$E$28:$E$39,MATCH($A785,'Category Mapping'!$A$28:$A$39,0),1))</f>
        <v>39260828.571428575</v>
      </c>
      <c r="M785" s="27">
        <f>M205*IF($E785="weekday",INDEX('Category Mapping'!$F$28:$F$39,MATCH('Summarized Source Data'!$A785,'Category Mapping'!$A$28:$A$39,0),1),INDEX('Category Mapping'!$E$28:$E$39,MATCH($A785,'Category Mapping'!$A$28:$A$39,0),1))</f>
        <v>2442857142.8571429</v>
      </c>
      <c r="N785" s="27">
        <f>N205*IF($E785="weekday",INDEX('Category Mapping'!$F$28:$F$39,MATCH('Summarized Source Data'!$A785,'Category Mapping'!$A$28:$A$39,0),1),INDEX('Category Mapping'!$E$28:$E$39,MATCH($A785,'Category Mapping'!$A$28:$A$39,0),1))</f>
        <v>0</v>
      </c>
      <c r="O785" s="27">
        <f>O205*IF($E785="weekday",INDEX('Category Mapping'!$F$28:$F$39,MATCH('Summarized Source Data'!$A785,'Category Mapping'!$A$28:$A$39,0),1),INDEX('Category Mapping'!$E$28:$E$39,MATCH($A785,'Category Mapping'!$A$28:$A$39,0),1))</f>
        <v>11060739171.428572</v>
      </c>
      <c r="P785" s="27">
        <f>P205*IF($E785="weekday",INDEX('Category Mapping'!$F$28:$F$39,MATCH('Summarized Source Data'!$A785,'Category Mapping'!$A$28:$A$39,0),1),INDEX('Category Mapping'!$E$28:$E$39,MATCH($A785,'Category Mapping'!$A$28:$A$39,0),1))</f>
        <v>11060739171.428572</v>
      </c>
      <c r="Q785" s="27">
        <f>Q205*IF($E785="weekday",INDEX('Category Mapping'!$F$28:$F$39,MATCH('Summarized Source Data'!$A785,'Category Mapping'!$A$28:$A$39,0),1),INDEX('Category Mapping'!$E$28:$E$39,MATCH($A785,'Category Mapping'!$A$28:$A$39,0),1))</f>
        <v>11060739171.428572</v>
      </c>
      <c r="R785" s="27">
        <f>R205*IF($E785="weekday",INDEX('Category Mapping'!$F$28:$F$39,MATCH('Summarized Source Data'!$A785,'Category Mapping'!$A$28:$A$39,0),1),INDEX('Category Mapping'!$E$28:$E$39,MATCH($A785,'Category Mapping'!$A$28:$A$39,0),1))</f>
        <v>306428571.42857146</v>
      </c>
      <c r="S785" s="27">
        <f>S205*IF($E785="weekday",INDEX('Category Mapping'!$F$28:$F$39,MATCH('Summarized Source Data'!$A785,'Category Mapping'!$A$28:$A$39,0),1),INDEX('Category Mapping'!$E$28:$E$39,MATCH($A785,'Category Mapping'!$A$28:$A$39,0),1))</f>
        <v>306428571.42857146</v>
      </c>
      <c r="T785" s="27">
        <f>T205*IF($E785="weekday",INDEX('Category Mapping'!$F$28:$F$39,MATCH('Summarized Source Data'!$A785,'Category Mapping'!$A$28:$A$39,0),1),INDEX('Category Mapping'!$E$28:$E$39,MATCH($A785,'Category Mapping'!$A$28:$A$39,0),1))</f>
        <v>306428571.42857146</v>
      </c>
      <c r="U785" s="27">
        <f>U205*IF($E785="weekday",INDEX('Category Mapping'!$F$28:$F$39,MATCH('Summarized Source Data'!$A785,'Category Mapping'!$A$28:$A$39,0),1),INDEX('Category Mapping'!$E$28:$E$39,MATCH($A785,'Category Mapping'!$A$28:$A$39,0),1))</f>
        <v>306428571.42857146</v>
      </c>
      <c r="V785" s="27">
        <f>V205*IF($E785="weekday",INDEX('Category Mapping'!$F$28:$F$39,MATCH('Summarized Source Data'!$A785,'Category Mapping'!$A$28:$A$39,0),1),INDEX('Category Mapping'!$E$28:$E$39,MATCH($A785,'Category Mapping'!$A$28:$A$39,0),1))</f>
        <v>306428571.42857146</v>
      </c>
      <c r="W785" s="27">
        <f>W205*IF($E785="weekday",INDEX('Category Mapping'!$F$28:$F$39,MATCH('Summarized Source Data'!$A785,'Category Mapping'!$A$28:$A$39,0),1),INDEX('Category Mapping'!$E$28:$E$39,MATCH($A785,'Category Mapping'!$A$28:$A$39,0),1))</f>
        <v>306428571.42857146</v>
      </c>
      <c r="X785" s="27">
        <f>X205*IF($E785="weekday",INDEX('Category Mapping'!$F$28:$F$39,MATCH('Summarized Source Data'!$A785,'Category Mapping'!$A$28:$A$39,0),1),INDEX('Category Mapping'!$E$28:$E$39,MATCH($A785,'Category Mapping'!$A$28:$A$39,0),1))</f>
        <v>14528571428.57143</v>
      </c>
      <c r="Y785" s="27">
        <f>Y205*IF($E785="weekday",INDEX('Category Mapping'!$F$28:$F$39,MATCH('Summarized Source Data'!$A785,'Category Mapping'!$A$28:$A$39,0),1),INDEX('Category Mapping'!$E$28:$E$39,MATCH($A785,'Category Mapping'!$A$28:$A$39,0),1))</f>
        <v>14528571428.57143</v>
      </c>
      <c r="Z785" s="27">
        <f>Z205*IF($E785="weekday",INDEX('Category Mapping'!$F$28:$F$39,MATCH('Summarized Source Data'!$A785,'Category Mapping'!$A$28:$A$39,0),1),INDEX('Category Mapping'!$E$28:$E$39,MATCH($A785,'Category Mapping'!$A$28:$A$39,0),1))</f>
        <v>14528571428.57143</v>
      </c>
    </row>
    <row r="786" spans="1:26" x14ac:dyDescent="0.3">
      <c r="A786">
        <f t="shared" ref="A786:E786" si="251">A206</f>
        <v>9</v>
      </c>
      <c r="B786" t="str">
        <f t="shared" si="251"/>
        <v>Fall</v>
      </c>
      <c r="C786" t="str">
        <f t="shared" si="251"/>
        <v>h11</v>
      </c>
      <c r="D786" t="str">
        <f t="shared" si="251"/>
        <v>Hour10</v>
      </c>
      <c r="E786" t="str">
        <f t="shared" si="251"/>
        <v>Weekday</v>
      </c>
      <c r="F786" s="27">
        <f>F206*IF($E786="weekday",INDEX('Category Mapping'!$F$28:$F$39,MATCH('Summarized Source Data'!$A786,'Category Mapping'!$A$28:$A$39,0),1),INDEX('Category Mapping'!$E$28:$E$39,MATCH($A786,'Category Mapping'!$A$28:$A$39,0),1))</f>
        <v>13411671.428571429</v>
      </c>
      <c r="G786" s="27">
        <f>G206*IF($E786="weekday",INDEX('Category Mapping'!$F$28:$F$39,MATCH('Summarized Source Data'!$A786,'Category Mapping'!$A$28:$A$39,0),1),INDEX('Category Mapping'!$E$28:$E$39,MATCH($A786,'Category Mapping'!$A$28:$A$39,0),1))</f>
        <v>411428571.42857146</v>
      </c>
      <c r="H786" s="27">
        <f>H206*IF($E786="weekday",INDEX('Category Mapping'!$F$28:$F$39,MATCH('Summarized Source Data'!$A786,'Category Mapping'!$A$28:$A$39,0),1),INDEX('Category Mapping'!$E$28:$E$39,MATCH($A786,'Category Mapping'!$A$28:$A$39,0),1))</f>
        <v>0</v>
      </c>
      <c r="I786" s="27">
        <f>I206*IF($E786="weekday",INDEX('Category Mapping'!$F$28:$F$39,MATCH('Summarized Source Data'!$A786,'Category Mapping'!$A$28:$A$39,0),1),INDEX('Category Mapping'!$E$28:$E$39,MATCH($A786,'Category Mapping'!$A$28:$A$39,0),1))</f>
        <v>203598792.85714287</v>
      </c>
      <c r="J786" s="27">
        <f>J206*IF($E786="weekday",INDEX('Category Mapping'!$F$28:$F$39,MATCH('Summarized Source Data'!$A786,'Category Mapping'!$A$28:$A$39,0),1),INDEX('Category Mapping'!$E$28:$E$39,MATCH($A786,'Category Mapping'!$A$28:$A$39,0),1))</f>
        <v>2307275250</v>
      </c>
      <c r="K786" s="27">
        <f>K206*IF($E786="weekday",INDEX('Category Mapping'!$F$28:$F$39,MATCH('Summarized Source Data'!$A786,'Category Mapping'!$A$28:$A$39,0),1),INDEX('Category Mapping'!$E$28:$E$39,MATCH($A786,'Category Mapping'!$A$28:$A$39,0),1))</f>
        <v>2307275250</v>
      </c>
      <c r="L786" s="27">
        <f>L206*IF($E786="weekday",INDEX('Category Mapping'!$F$28:$F$39,MATCH('Summarized Source Data'!$A786,'Category Mapping'!$A$28:$A$39,0),1),INDEX('Category Mapping'!$E$28:$E$39,MATCH($A786,'Category Mapping'!$A$28:$A$39,0),1))</f>
        <v>31314835.714285716</v>
      </c>
      <c r="M786" s="27">
        <f>M206*IF($E786="weekday",INDEX('Category Mapping'!$F$28:$F$39,MATCH('Summarized Source Data'!$A786,'Category Mapping'!$A$28:$A$39,0),1),INDEX('Category Mapping'!$E$28:$E$39,MATCH($A786,'Category Mapping'!$A$28:$A$39,0),1))</f>
        <v>2721428571.4285717</v>
      </c>
      <c r="N786" s="27">
        <f>N206*IF($E786="weekday",INDEX('Category Mapping'!$F$28:$F$39,MATCH('Summarized Source Data'!$A786,'Category Mapping'!$A$28:$A$39,0),1),INDEX('Category Mapping'!$E$28:$E$39,MATCH($A786,'Category Mapping'!$A$28:$A$39,0),1))</f>
        <v>0</v>
      </c>
      <c r="O786" s="27">
        <f>O206*IF($E786="weekday",INDEX('Category Mapping'!$F$28:$F$39,MATCH('Summarized Source Data'!$A786,'Category Mapping'!$A$28:$A$39,0),1),INDEX('Category Mapping'!$E$28:$E$39,MATCH($A786,'Category Mapping'!$A$28:$A$39,0),1))</f>
        <v>11025828021.428572</v>
      </c>
      <c r="P786" s="27">
        <f>P206*IF($E786="weekday",INDEX('Category Mapping'!$F$28:$F$39,MATCH('Summarized Source Data'!$A786,'Category Mapping'!$A$28:$A$39,0),1),INDEX('Category Mapping'!$E$28:$E$39,MATCH($A786,'Category Mapping'!$A$28:$A$39,0),1))</f>
        <v>11025828021.428572</v>
      </c>
      <c r="Q786" s="27">
        <f>Q206*IF($E786="weekday",INDEX('Category Mapping'!$F$28:$F$39,MATCH('Summarized Source Data'!$A786,'Category Mapping'!$A$28:$A$39,0),1),INDEX('Category Mapping'!$E$28:$E$39,MATCH($A786,'Category Mapping'!$A$28:$A$39,0),1))</f>
        <v>11025828021.428572</v>
      </c>
      <c r="R786" s="27">
        <f>R206*IF($E786="weekday",INDEX('Category Mapping'!$F$28:$F$39,MATCH('Summarized Source Data'!$A786,'Category Mapping'!$A$28:$A$39,0),1),INDEX('Category Mapping'!$E$28:$E$39,MATCH($A786,'Category Mapping'!$A$28:$A$39,0),1))</f>
        <v>246428571.42857146</v>
      </c>
      <c r="S786" s="27">
        <f>S206*IF($E786="weekday",INDEX('Category Mapping'!$F$28:$F$39,MATCH('Summarized Source Data'!$A786,'Category Mapping'!$A$28:$A$39,0),1),INDEX('Category Mapping'!$E$28:$E$39,MATCH($A786,'Category Mapping'!$A$28:$A$39,0),1))</f>
        <v>246428571.42857146</v>
      </c>
      <c r="T786" s="27">
        <f>T206*IF($E786="weekday",INDEX('Category Mapping'!$F$28:$F$39,MATCH('Summarized Source Data'!$A786,'Category Mapping'!$A$28:$A$39,0),1),INDEX('Category Mapping'!$E$28:$E$39,MATCH($A786,'Category Mapping'!$A$28:$A$39,0),1))</f>
        <v>246428571.42857146</v>
      </c>
      <c r="U786" s="27">
        <f>U206*IF($E786="weekday",INDEX('Category Mapping'!$F$28:$F$39,MATCH('Summarized Source Data'!$A786,'Category Mapping'!$A$28:$A$39,0),1),INDEX('Category Mapping'!$E$28:$E$39,MATCH($A786,'Category Mapping'!$A$28:$A$39,0),1))</f>
        <v>246428571.42857146</v>
      </c>
      <c r="V786" s="27">
        <f>V206*IF($E786="weekday",INDEX('Category Mapping'!$F$28:$F$39,MATCH('Summarized Source Data'!$A786,'Category Mapping'!$A$28:$A$39,0),1),INDEX('Category Mapping'!$E$28:$E$39,MATCH($A786,'Category Mapping'!$A$28:$A$39,0),1))</f>
        <v>246428571.42857146</v>
      </c>
      <c r="W786" s="27">
        <f>W206*IF($E786="weekday",INDEX('Category Mapping'!$F$28:$F$39,MATCH('Summarized Source Data'!$A786,'Category Mapping'!$A$28:$A$39,0),1),INDEX('Category Mapping'!$E$28:$E$39,MATCH($A786,'Category Mapping'!$A$28:$A$39,0),1))</f>
        <v>246428571.42857146</v>
      </c>
      <c r="X786" s="27">
        <f>X206*IF($E786="weekday",INDEX('Category Mapping'!$F$28:$F$39,MATCH('Summarized Source Data'!$A786,'Category Mapping'!$A$28:$A$39,0),1),INDEX('Category Mapping'!$E$28:$E$39,MATCH($A786,'Category Mapping'!$A$28:$A$39,0),1))</f>
        <v>14464285714.285715</v>
      </c>
      <c r="Y786" s="27">
        <f>Y206*IF($E786="weekday",INDEX('Category Mapping'!$F$28:$F$39,MATCH('Summarized Source Data'!$A786,'Category Mapping'!$A$28:$A$39,0),1),INDEX('Category Mapping'!$E$28:$E$39,MATCH($A786,'Category Mapping'!$A$28:$A$39,0),1))</f>
        <v>14464285714.285715</v>
      </c>
      <c r="Z786" s="27">
        <f>Z206*IF($E786="weekday",INDEX('Category Mapping'!$F$28:$F$39,MATCH('Summarized Source Data'!$A786,'Category Mapping'!$A$28:$A$39,0),1),INDEX('Category Mapping'!$E$28:$E$39,MATCH($A786,'Category Mapping'!$A$28:$A$39,0),1))</f>
        <v>14464285714.285715</v>
      </c>
    </row>
    <row r="787" spans="1:26" x14ac:dyDescent="0.3">
      <c r="A787">
        <f t="shared" ref="A787:E787" si="252">A207</f>
        <v>9</v>
      </c>
      <c r="B787" t="str">
        <f t="shared" si="252"/>
        <v>Fall</v>
      </c>
      <c r="C787" t="str">
        <f t="shared" si="252"/>
        <v>h12</v>
      </c>
      <c r="D787" t="str">
        <f t="shared" si="252"/>
        <v>Hour11</v>
      </c>
      <c r="E787" t="str">
        <f t="shared" si="252"/>
        <v>Weekday</v>
      </c>
      <c r="F787" s="27">
        <f>F207*IF($E787="weekday",INDEX('Category Mapping'!$F$28:$F$39,MATCH('Summarized Source Data'!$A787,'Category Mapping'!$A$28:$A$39,0),1),INDEX('Category Mapping'!$E$28:$E$39,MATCH($A787,'Category Mapping'!$A$28:$A$39,0),1))</f>
        <v>14086800.000000002</v>
      </c>
      <c r="G787" s="27">
        <f>G207*IF($E787="weekday",INDEX('Category Mapping'!$F$28:$F$39,MATCH('Summarized Source Data'!$A787,'Category Mapping'!$A$28:$A$39,0),1),INDEX('Category Mapping'!$E$28:$E$39,MATCH($A787,'Category Mapping'!$A$28:$A$39,0),1))</f>
        <v>555000000</v>
      </c>
      <c r="H787" s="27">
        <f>H207*IF($E787="weekday",INDEX('Category Mapping'!$F$28:$F$39,MATCH('Summarized Source Data'!$A787,'Category Mapping'!$A$28:$A$39,0),1),INDEX('Category Mapping'!$E$28:$E$39,MATCH($A787,'Category Mapping'!$A$28:$A$39,0),1))</f>
        <v>0</v>
      </c>
      <c r="I787" s="27">
        <f>I207*IF($E787="weekday",INDEX('Category Mapping'!$F$28:$F$39,MATCH('Summarized Source Data'!$A787,'Category Mapping'!$A$28:$A$39,0),1),INDEX('Category Mapping'!$E$28:$E$39,MATCH($A787,'Category Mapping'!$A$28:$A$39,0),1))</f>
        <v>222857142.85714287</v>
      </c>
      <c r="J787" s="27">
        <f>J207*IF($E787="weekday",INDEX('Category Mapping'!$F$28:$F$39,MATCH('Summarized Source Data'!$A787,'Category Mapping'!$A$28:$A$39,0),1),INDEX('Category Mapping'!$E$28:$E$39,MATCH($A787,'Category Mapping'!$A$28:$A$39,0),1))</f>
        <v>2315198914.2857146</v>
      </c>
      <c r="K787" s="27">
        <f>K207*IF($E787="weekday",INDEX('Category Mapping'!$F$28:$F$39,MATCH('Summarized Source Data'!$A787,'Category Mapping'!$A$28:$A$39,0),1),INDEX('Category Mapping'!$E$28:$E$39,MATCH($A787,'Category Mapping'!$A$28:$A$39,0),1))</f>
        <v>2315198914.2857146</v>
      </c>
      <c r="L787" s="27">
        <f>L207*IF($E787="weekday",INDEX('Category Mapping'!$F$28:$F$39,MATCH('Summarized Source Data'!$A787,'Category Mapping'!$A$28:$A$39,0),1),INDEX('Category Mapping'!$E$28:$E$39,MATCH($A787,'Category Mapping'!$A$28:$A$39,0),1))</f>
        <v>25716107.142857146</v>
      </c>
      <c r="M787" s="27">
        <f>M207*IF($E787="weekday",INDEX('Category Mapping'!$F$28:$F$39,MATCH('Summarized Source Data'!$A787,'Category Mapping'!$A$28:$A$39,0),1),INDEX('Category Mapping'!$E$28:$E$39,MATCH($A787,'Category Mapping'!$A$28:$A$39,0),1))</f>
        <v>2892857142.8571429</v>
      </c>
      <c r="N787" s="27">
        <f>N207*IF($E787="weekday",INDEX('Category Mapping'!$F$28:$F$39,MATCH('Summarized Source Data'!$A787,'Category Mapping'!$A$28:$A$39,0),1),INDEX('Category Mapping'!$E$28:$E$39,MATCH($A787,'Category Mapping'!$A$28:$A$39,0),1))</f>
        <v>0</v>
      </c>
      <c r="O787" s="27">
        <f>O207*IF($E787="weekday",INDEX('Category Mapping'!$F$28:$F$39,MATCH('Summarized Source Data'!$A787,'Category Mapping'!$A$28:$A$39,0),1),INDEX('Category Mapping'!$E$28:$E$39,MATCH($A787,'Category Mapping'!$A$28:$A$39,0),1))</f>
        <v>10988569607.142859</v>
      </c>
      <c r="P787" s="27">
        <f>P207*IF($E787="weekday",INDEX('Category Mapping'!$F$28:$F$39,MATCH('Summarized Source Data'!$A787,'Category Mapping'!$A$28:$A$39,0),1),INDEX('Category Mapping'!$E$28:$E$39,MATCH($A787,'Category Mapping'!$A$28:$A$39,0),1))</f>
        <v>10988569607.142859</v>
      </c>
      <c r="Q787" s="27">
        <f>Q207*IF($E787="weekday",INDEX('Category Mapping'!$F$28:$F$39,MATCH('Summarized Source Data'!$A787,'Category Mapping'!$A$28:$A$39,0),1),INDEX('Category Mapping'!$E$28:$E$39,MATCH($A787,'Category Mapping'!$A$28:$A$39,0),1))</f>
        <v>10988569607.142859</v>
      </c>
      <c r="R787" s="27">
        <f>R207*IF($E787="weekday",INDEX('Category Mapping'!$F$28:$F$39,MATCH('Summarized Source Data'!$A787,'Category Mapping'!$A$28:$A$39,0),1),INDEX('Category Mapping'!$E$28:$E$39,MATCH($A787,'Category Mapping'!$A$28:$A$39,0),1))</f>
        <v>246428571.42857146</v>
      </c>
      <c r="S787" s="27">
        <f>S207*IF($E787="weekday",INDEX('Category Mapping'!$F$28:$F$39,MATCH('Summarized Source Data'!$A787,'Category Mapping'!$A$28:$A$39,0),1),INDEX('Category Mapping'!$E$28:$E$39,MATCH($A787,'Category Mapping'!$A$28:$A$39,0),1))</f>
        <v>246428571.42857146</v>
      </c>
      <c r="T787" s="27">
        <f>T207*IF($E787="weekday",INDEX('Category Mapping'!$F$28:$F$39,MATCH('Summarized Source Data'!$A787,'Category Mapping'!$A$28:$A$39,0),1),INDEX('Category Mapping'!$E$28:$E$39,MATCH($A787,'Category Mapping'!$A$28:$A$39,0),1))</f>
        <v>246428571.42857146</v>
      </c>
      <c r="U787" s="27">
        <f>U207*IF($E787="weekday",INDEX('Category Mapping'!$F$28:$F$39,MATCH('Summarized Source Data'!$A787,'Category Mapping'!$A$28:$A$39,0),1),INDEX('Category Mapping'!$E$28:$E$39,MATCH($A787,'Category Mapping'!$A$28:$A$39,0),1))</f>
        <v>246428571.42857146</v>
      </c>
      <c r="V787" s="27">
        <f>V207*IF($E787="weekday",INDEX('Category Mapping'!$F$28:$F$39,MATCH('Summarized Source Data'!$A787,'Category Mapping'!$A$28:$A$39,0),1),INDEX('Category Mapping'!$E$28:$E$39,MATCH($A787,'Category Mapping'!$A$28:$A$39,0),1))</f>
        <v>246428571.42857146</v>
      </c>
      <c r="W787" s="27">
        <f>W207*IF($E787="weekday",INDEX('Category Mapping'!$F$28:$F$39,MATCH('Summarized Source Data'!$A787,'Category Mapping'!$A$28:$A$39,0),1),INDEX('Category Mapping'!$E$28:$E$39,MATCH($A787,'Category Mapping'!$A$28:$A$39,0),1))</f>
        <v>246428571.42857146</v>
      </c>
      <c r="X787" s="27">
        <f>X207*IF($E787="weekday",INDEX('Category Mapping'!$F$28:$F$39,MATCH('Summarized Source Data'!$A787,'Category Mapping'!$A$28:$A$39,0),1),INDEX('Category Mapping'!$E$28:$E$39,MATCH($A787,'Category Mapping'!$A$28:$A$39,0),1))</f>
        <v>14421428571.428574</v>
      </c>
      <c r="Y787" s="27">
        <f>Y207*IF($E787="weekday",INDEX('Category Mapping'!$F$28:$F$39,MATCH('Summarized Source Data'!$A787,'Category Mapping'!$A$28:$A$39,0),1),INDEX('Category Mapping'!$E$28:$E$39,MATCH($A787,'Category Mapping'!$A$28:$A$39,0),1))</f>
        <v>14421428571.428574</v>
      </c>
      <c r="Z787" s="27">
        <f>Z207*IF($E787="weekday",INDEX('Category Mapping'!$F$28:$F$39,MATCH('Summarized Source Data'!$A787,'Category Mapping'!$A$28:$A$39,0),1),INDEX('Category Mapping'!$E$28:$E$39,MATCH($A787,'Category Mapping'!$A$28:$A$39,0),1))</f>
        <v>14421428571.428574</v>
      </c>
    </row>
    <row r="788" spans="1:26" x14ac:dyDescent="0.3">
      <c r="A788">
        <f t="shared" ref="A788:E788" si="253">A208</f>
        <v>9</v>
      </c>
      <c r="B788" t="str">
        <f t="shared" si="253"/>
        <v>Fall</v>
      </c>
      <c r="C788" t="str">
        <f t="shared" si="253"/>
        <v>h13</v>
      </c>
      <c r="D788" t="str">
        <f t="shared" si="253"/>
        <v>Hour12</v>
      </c>
      <c r="E788" t="str">
        <f t="shared" si="253"/>
        <v>Weekday</v>
      </c>
      <c r="F788" s="27">
        <f>F208*IF($E788="weekday",INDEX('Category Mapping'!$F$28:$F$39,MATCH('Summarized Source Data'!$A788,'Category Mapping'!$A$28:$A$39,0),1),INDEX('Category Mapping'!$E$28:$E$39,MATCH($A788,'Category Mapping'!$A$28:$A$39,0),1))</f>
        <v>14500264.285714287</v>
      </c>
      <c r="G788" s="27">
        <f>G208*IF($E788="weekday",INDEX('Category Mapping'!$F$28:$F$39,MATCH('Summarized Source Data'!$A788,'Category Mapping'!$A$28:$A$39,0),1),INDEX('Category Mapping'!$E$28:$E$39,MATCH($A788,'Category Mapping'!$A$28:$A$39,0),1))</f>
        <v>685714285.71428573</v>
      </c>
      <c r="H788" s="27">
        <f>H208*IF($E788="weekday",INDEX('Category Mapping'!$F$28:$F$39,MATCH('Summarized Source Data'!$A788,'Category Mapping'!$A$28:$A$39,0),1),INDEX('Category Mapping'!$E$28:$E$39,MATCH($A788,'Category Mapping'!$A$28:$A$39,0),1))</f>
        <v>0</v>
      </c>
      <c r="I788" s="27">
        <f>I208*IF($E788="weekday",INDEX('Category Mapping'!$F$28:$F$39,MATCH('Summarized Source Data'!$A788,'Category Mapping'!$A$28:$A$39,0),1),INDEX('Category Mapping'!$E$28:$E$39,MATCH($A788,'Category Mapping'!$A$28:$A$39,0),1))</f>
        <v>235714285.71428573</v>
      </c>
      <c r="J788" s="27">
        <f>J208*IF($E788="weekday",INDEX('Category Mapping'!$F$28:$F$39,MATCH('Summarized Source Data'!$A788,'Category Mapping'!$A$28:$A$39,0),1),INDEX('Category Mapping'!$E$28:$E$39,MATCH($A788,'Category Mapping'!$A$28:$A$39,0),1))</f>
        <v>2235499735.7142859</v>
      </c>
      <c r="K788" s="27">
        <f>K208*IF($E788="weekday",INDEX('Category Mapping'!$F$28:$F$39,MATCH('Summarized Source Data'!$A788,'Category Mapping'!$A$28:$A$39,0),1),INDEX('Category Mapping'!$E$28:$E$39,MATCH($A788,'Category Mapping'!$A$28:$A$39,0),1))</f>
        <v>2235499735.7142859</v>
      </c>
      <c r="L788" s="27">
        <f>L208*IF($E788="weekday",INDEX('Category Mapping'!$F$28:$F$39,MATCH('Summarized Source Data'!$A788,'Category Mapping'!$A$28:$A$39,0),1),INDEX('Category Mapping'!$E$28:$E$39,MATCH($A788,'Category Mapping'!$A$28:$A$39,0),1))</f>
        <v>23109321.428571429</v>
      </c>
      <c r="M788" s="27">
        <f>M208*IF($E788="weekday",INDEX('Category Mapping'!$F$28:$F$39,MATCH('Summarized Source Data'!$A788,'Category Mapping'!$A$28:$A$39,0),1),INDEX('Category Mapping'!$E$28:$E$39,MATCH($A788,'Category Mapping'!$A$28:$A$39,0),1))</f>
        <v>2935714285.7142859</v>
      </c>
      <c r="N788" s="27">
        <f>N208*IF($E788="weekday",INDEX('Category Mapping'!$F$28:$F$39,MATCH('Summarized Source Data'!$A788,'Category Mapping'!$A$28:$A$39,0),1),INDEX('Category Mapping'!$E$28:$E$39,MATCH($A788,'Category Mapping'!$A$28:$A$39,0),1))</f>
        <v>0</v>
      </c>
      <c r="O788" s="27">
        <f>O208*IF($E788="weekday",INDEX('Category Mapping'!$F$28:$F$39,MATCH('Summarized Source Data'!$A788,'Category Mapping'!$A$28:$A$39,0),1),INDEX('Category Mapping'!$E$28:$E$39,MATCH($A788,'Category Mapping'!$A$28:$A$39,0),1))</f>
        <v>10819747821.428572</v>
      </c>
      <c r="P788" s="27">
        <f>P208*IF($E788="weekday",INDEX('Category Mapping'!$F$28:$F$39,MATCH('Summarized Source Data'!$A788,'Category Mapping'!$A$28:$A$39,0),1),INDEX('Category Mapping'!$E$28:$E$39,MATCH($A788,'Category Mapping'!$A$28:$A$39,0),1))</f>
        <v>10819747821.428572</v>
      </c>
      <c r="Q788" s="27">
        <f>Q208*IF($E788="weekday",INDEX('Category Mapping'!$F$28:$F$39,MATCH('Summarized Source Data'!$A788,'Category Mapping'!$A$28:$A$39,0),1),INDEX('Category Mapping'!$E$28:$E$39,MATCH($A788,'Category Mapping'!$A$28:$A$39,0),1))</f>
        <v>10819747821.428572</v>
      </c>
      <c r="R788" s="27">
        <f>R208*IF($E788="weekday",INDEX('Category Mapping'!$F$28:$F$39,MATCH('Summarized Source Data'!$A788,'Category Mapping'!$A$28:$A$39,0),1),INDEX('Category Mapping'!$E$28:$E$39,MATCH($A788,'Category Mapping'!$A$28:$A$39,0),1))</f>
        <v>250714285.71428573</v>
      </c>
      <c r="S788" s="27">
        <f>S208*IF($E788="weekday",INDEX('Category Mapping'!$F$28:$F$39,MATCH('Summarized Source Data'!$A788,'Category Mapping'!$A$28:$A$39,0),1),INDEX('Category Mapping'!$E$28:$E$39,MATCH($A788,'Category Mapping'!$A$28:$A$39,0),1))</f>
        <v>250714285.71428573</v>
      </c>
      <c r="T788" s="27">
        <f>T208*IF($E788="weekday",INDEX('Category Mapping'!$F$28:$F$39,MATCH('Summarized Source Data'!$A788,'Category Mapping'!$A$28:$A$39,0),1),INDEX('Category Mapping'!$E$28:$E$39,MATCH($A788,'Category Mapping'!$A$28:$A$39,0),1))</f>
        <v>250714285.71428573</v>
      </c>
      <c r="U788" s="27">
        <f>U208*IF($E788="weekday",INDEX('Category Mapping'!$F$28:$F$39,MATCH('Summarized Source Data'!$A788,'Category Mapping'!$A$28:$A$39,0),1),INDEX('Category Mapping'!$E$28:$E$39,MATCH($A788,'Category Mapping'!$A$28:$A$39,0),1))</f>
        <v>250714285.71428573</v>
      </c>
      <c r="V788" s="27">
        <f>V208*IF($E788="weekday",INDEX('Category Mapping'!$F$28:$F$39,MATCH('Summarized Source Data'!$A788,'Category Mapping'!$A$28:$A$39,0),1),INDEX('Category Mapping'!$E$28:$E$39,MATCH($A788,'Category Mapping'!$A$28:$A$39,0),1))</f>
        <v>250714285.71428573</v>
      </c>
      <c r="W788" s="27">
        <f>W208*IF($E788="weekday",INDEX('Category Mapping'!$F$28:$F$39,MATCH('Summarized Source Data'!$A788,'Category Mapping'!$A$28:$A$39,0),1),INDEX('Category Mapping'!$E$28:$E$39,MATCH($A788,'Category Mapping'!$A$28:$A$39,0),1))</f>
        <v>250714285.71428573</v>
      </c>
      <c r="X788" s="27">
        <f>X208*IF($E788="weekday",INDEX('Category Mapping'!$F$28:$F$39,MATCH('Summarized Source Data'!$A788,'Category Mapping'!$A$28:$A$39,0),1),INDEX('Category Mapping'!$E$28:$E$39,MATCH($A788,'Category Mapping'!$A$28:$A$39,0),1))</f>
        <v>14378571428.57143</v>
      </c>
      <c r="Y788" s="27">
        <f>Y208*IF($E788="weekday",INDEX('Category Mapping'!$F$28:$F$39,MATCH('Summarized Source Data'!$A788,'Category Mapping'!$A$28:$A$39,0),1),INDEX('Category Mapping'!$E$28:$E$39,MATCH($A788,'Category Mapping'!$A$28:$A$39,0),1))</f>
        <v>14378571428.57143</v>
      </c>
      <c r="Z788" s="27">
        <f>Z208*IF($E788="weekday",INDEX('Category Mapping'!$F$28:$F$39,MATCH('Summarized Source Data'!$A788,'Category Mapping'!$A$28:$A$39,0),1),INDEX('Category Mapping'!$E$28:$E$39,MATCH($A788,'Category Mapping'!$A$28:$A$39,0),1))</f>
        <v>14378571428.57143</v>
      </c>
    </row>
    <row r="789" spans="1:26" x14ac:dyDescent="0.3">
      <c r="A789">
        <f t="shared" ref="A789:E789" si="254">A209</f>
        <v>9</v>
      </c>
      <c r="B789" t="str">
        <f t="shared" si="254"/>
        <v>Fall</v>
      </c>
      <c r="C789" t="str">
        <f t="shared" si="254"/>
        <v>h14</v>
      </c>
      <c r="D789" t="str">
        <f t="shared" si="254"/>
        <v>Hour13</v>
      </c>
      <c r="E789" t="str">
        <f t="shared" si="254"/>
        <v>Weekday</v>
      </c>
      <c r="F789" s="27">
        <f>F209*IF($E789="weekday",INDEX('Category Mapping'!$F$28:$F$39,MATCH('Summarized Source Data'!$A789,'Category Mapping'!$A$28:$A$39,0),1),INDEX('Category Mapping'!$E$28:$E$39,MATCH($A789,'Category Mapping'!$A$28:$A$39,0),1))</f>
        <v>14616578.571428573</v>
      </c>
      <c r="G789" s="27">
        <f>G209*IF($E789="weekday",INDEX('Category Mapping'!$F$28:$F$39,MATCH('Summarized Source Data'!$A789,'Category Mapping'!$A$28:$A$39,0),1),INDEX('Category Mapping'!$E$28:$E$39,MATCH($A789,'Category Mapping'!$A$28:$A$39,0),1))</f>
        <v>760714285.71428573</v>
      </c>
      <c r="H789" s="27">
        <f>H209*IF($E789="weekday",INDEX('Category Mapping'!$F$28:$F$39,MATCH('Summarized Source Data'!$A789,'Category Mapping'!$A$28:$A$39,0),1),INDEX('Category Mapping'!$E$28:$E$39,MATCH($A789,'Category Mapping'!$A$28:$A$39,0),1))</f>
        <v>0</v>
      </c>
      <c r="I789" s="27">
        <f>I209*IF($E789="weekday",INDEX('Category Mapping'!$F$28:$F$39,MATCH('Summarized Source Data'!$A789,'Category Mapping'!$A$28:$A$39,0),1),INDEX('Category Mapping'!$E$28:$E$39,MATCH($A789,'Category Mapping'!$A$28:$A$39,0),1))</f>
        <v>237857142.85714287</v>
      </c>
      <c r="J789" s="27">
        <f>J209*IF($E789="weekday",INDEX('Category Mapping'!$F$28:$F$39,MATCH('Summarized Source Data'!$A789,'Category Mapping'!$A$28:$A$39,0),1),INDEX('Category Mapping'!$E$28:$E$39,MATCH($A789,'Category Mapping'!$A$28:$A$39,0),1))</f>
        <v>2222526278.5714288</v>
      </c>
      <c r="K789" s="27">
        <f>K209*IF($E789="weekday",INDEX('Category Mapping'!$F$28:$F$39,MATCH('Summarized Source Data'!$A789,'Category Mapping'!$A$28:$A$39,0),1),INDEX('Category Mapping'!$E$28:$E$39,MATCH($A789,'Category Mapping'!$A$28:$A$39,0),1))</f>
        <v>2222526278.5714288</v>
      </c>
      <c r="L789" s="27">
        <f>L209*IF($E789="weekday",INDEX('Category Mapping'!$F$28:$F$39,MATCH('Summarized Source Data'!$A789,'Category Mapping'!$A$28:$A$39,0),1),INDEX('Category Mapping'!$E$28:$E$39,MATCH($A789,'Category Mapping'!$A$28:$A$39,0),1))</f>
        <v>21104207.142857146</v>
      </c>
      <c r="M789" s="27">
        <f>M209*IF($E789="weekday",INDEX('Category Mapping'!$F$28:$F$39,MATCH('Summarized Source Data'!$A789,'Category Mapping'!$A$28:$A$39,0),1),INDEX('Category Mapping'!$E$28:$E$39,MATCH($A789,'Category Mapping'!$A$28:$A$39,0),1))</f>
        <v>3064285714.2857146</v>
      </c>
      <c r="N789" s="27">
        <f>N209*IF($E789="weekday",INDEX('Category Mapping'!$F$28:$F$39,MATCH('Summarized Source Data'!$A789,'Category Mapping'!$A$28:$A$39,0),1),INDEX('Category Mapping'!$E$28:$E$39,MATCH($A789,'Category Mapping'!$A$28:$A$39,0),1))</f>
        <v>0</v>
      </c>
      <c r="O789" s="27">
        <f>O209*IF($E789="weekday",INDEX('Category Mapping'!$F$28:$F$39,MATCH('Summarized Source Data'!$A789,'Category Mapping'!$A$28:$A$39,0),1),INDEX('Category Mapping'!$E$28:$E$39,MATCH($A789,'Category Mapping'!$A$28:$A$39,0),1))</f>
        <v>10800324364.285715</v>
      </c>
      <c r="P789" s="27">
        <f>P209*IF($E789="weekday",INDEX('Category Mapping'!$F$28:$F$39,MATCH('Summarized Source Data'!$A789,'Category Mapping'!$A$28:$A$39,0),1),INDEX('Category Mapping'!$E$28:$E$39,MATCH($A789,'Category Mapping'!$A$28:$A$39,0),1))</f>
        <v>10800324364.285715</v>
      </c>
      <c r="Q789" s="27">
        <f>Q209*IF($E789="weekday",INDEX('Category Mapping'!$F$28:$F$39,MATCH('Summarized Source Data'!$A789,'Category Mapping'!$A$28:$A$39,0),1),INDEX('Category Mapping'!$E$28:$E$39,MATCH($A789,'Category Mapping'!$A$28:$A$39,0),1))</f>
        <v>10800324364.285715</v>
      </c>
      <c r="R789" s="27">
        <f>R209*IF($E789="weekday",INDEX('Category Mapping'!$F$28:$F$39,MATCH('Summarized Source Data'!$A789,'Category Mapping'!$A$28:$A$39,0),1),INDEX('Category Mapping'!$E$28:$E$39,MATCH($A789,'Category Mapping'!$A$28:$A$39,0),1))</f>
        <v>250714285.71428573</v>
      </c>
      <c r="S789" s="27">
        <f>S209*IF($E789="weekday",INDEX('Category Mapping'!$F$28:$F$39,MATCH('Summarized Source Data'!$A789,'Category Mapping'!$A$28:$A$39,0),1),INDEX('Category Mapping'!$E$28:$E$39,MATCH($A789,'Category Mapping'!$A$28:$A$39,0),1))</f>
        <v>250714285.71428573</v>
      </c>
      <c r="T789" s="27">
        <f>T209*IF($E789="weekday",INDEX('Category Mapping'!$F$28:$F$39,MATCH('Summarized Source Data'!$A789,'Category Mapping'!$A$28:$A$39,0),1),INDEX('Category Mapping'!$E$28:$E$39,MATCH($A789,'Category Mapping'!$A$28:$A$39,0),1))</f>
        <v>250714285.71428573</v>
      </c>
      <c r="U789" s="27">
        <f>U209*IF($E789="weekday",INDEX('Category Mapping'!$F$28:$F$39,MATCH('Summarized Source Data'!$A789,'Category Mapping'!$A$28:$A$39,0),1),INDEX('Category Mapping'!$E$28:$E$39,MATCH($A789,'Category Mapping'!$A$28:$A$39,0),1))</f>
        <v>250714285.71428573</v>
      </c>
      <c r="V789" s="27">
        <f>V209*IF($E789="weekday",INDEX('Category Mapping'!$F$28:$F$39,MATCH('Summarized Source Data'!$A789,'Category Mapping'!$A$28:$A$39,0),1),INDEX('Category Mapping'!$E$28:$E$39,MATCH($A789,'Category Mapping'!$A$28:$A$39,0),1))</f>
        <v>250714285.71428573</v>
      </c>
      <c r="W789" s="27">
        <f>W209*IF($E789="weekday",INDEX('Category Mapping'!$F$28:$F$39,MATCH('Summarized Source Data'!$A789,'Category Mapping'!$A$28:$A$39,0),1),INDEX('Category Mapping'!$E$28:$E$39,MATCH($A789,'Category Mapping'!$A$28:$A$39,0),1))</f>
        <v>250714285.71428573</v>
      </c>
      <c r="X789" s="27">
        <f>X209*IF($E789="weekday",INDEX('Category Mapping'!$F$28:$F$39,MATCH('Summarized Source Data'!$A789,'Category Mapping'!$A$28:$A$39,0),1),INDEX('Category Mapping'!$E$28:$E$39,MATCH($A789,'Category Mapping'!$A$28:$A$39,0),1))</f>
        <v>14357142857.142859</v>
      </c>
      <c r="Y789" s="27">
        <f>Y209*IF($E789="weekday",INDEX('Category Mapping'!$F$28:$F$39,MATCH('Summarized Source Data'!$A789,'Category Mapping'!$A$28:$A$39,0),1),INDEX('Category Mapping'!$E$28:$E$39,MATCH($A789,'Category Mapping'!$A$28:$A$39,0),1))</f>
        <v>14357142857.142859</v>
      </c>
      <c r="Z789" s="27">
        <f>Z209*IF($E789="weekday",INDEX('Category Mapping'!$F$28:$F$39,MATCH('Summarized Source Data'!$A789,'Category Mapping'!$A$28:$A$39,0),1),INDEX('Category Mapping'!$E$28:$E$39,MATCH($A789,'Category Mapping'!$A$28:$A$39,0),1))</f>
        <v>14357142857.142859</v>
      </c>
    </row>
    <row r="790" spans="1:26" x14ac:dyDescent="0.3">
      <c r="A790">
        <f t="shared" ref="A790:E790" si="255">A210</f>
        <v>9</v>
      </c>
      <c r="B790" t="str">
        <f t="shared" si="255"/>
        <v>Fall</v>
      </c>
      <c r="C790" t="str">
        <f t="shared" si="255"/>
        <v>h15</v>
      </c>
      <c r="D790" t="str">
        <f t="shared" si="255"/>
        <v>Hour14</v>
      </c>
      <c r="E790" t="str">
        <f t="shared" si="255"/>
        <v>Weekday</v>
      </c>
      <c r="F790" s="27">
        <f>F210*IF($E790="weekday",INDEX('Category Mapping'!$F$28:$F$39,MATCH('Summarized Source Data'!$A790,'Category Mapping'!$A$28:$A$39,0),1),INDEX('Category Mapping'!$E$28:$E$39,MATCH($A790,'Category Mapping'!$A$28:$A$39,0),1))</f>
        <v>14828185.714285716</v>
      </c>
      <c r="G790" s="27">
        <f>G210*IF($E790="weekday",INDEX('Category Mapping'!$F$28:$F$39,MATCH('Summarized Source Data'!$A790,'Category Mapping'!$A$28:$A$39,0),1),INDEX('Category Mapping'!$E$28:$E$39,MATCH($A790,'Category Mapping'!$A$28:$A$39,0),1))</f>
        <v>812142857.14285719</v>
      </c>
      <c r="H790" s="27">
        <f>H210*IF($E790="weekday",INDEX('Category Mapping'!$F$28:$F$39,MATCH('Summarized Source Data'!$A790,'Category Mapping'!$A$28:$A$39,0),1),INDEX('Category Mapping'!$E$28:$E$39,MATCH($A790,'Category Mapping'!$A$28:$A$39,0),1))</f>
        <v>0</v>
      </c>
      <c r="I790" s="27">
        <f>I210*IF($E790="weekday",INDEX('Category Mapping'!$F$28:$F$39,MATCH('Summarized Source Data'!$A790,'Category Mapping'!$A$28:$A$39,0),1),INDEX('Category Mapping'!$E$28:$E$39,MATCH($A790,'Category Mapping'!$A$28:$A$39,0),1))</f>
        <v>244285714.2857143</v>
      </c>
      <c r="J790" s="27">
        <f>J210*IF($E790="weekday",INDEX('Category Mapping'!$F$28:$F$39,MATCH('Summarized Source Data'!$A790,'Category Mapping'!$A$28:$A$39,0),1),INDEX('Category Mapping'!$E$28:$E$39,MATCH($A790,'Category Mapping'!$A$28:$A$39,0),1))</f>
        <v>2314457528.5714288</v>
      </c>
      <c r="K790" s="27">
        <f>K210*IF($E790="weekday",INDEX('Category Mapping'!$F$28:$F$39,MATCH('Summarized Source Data'!$A790,'Category Mapping'!$A$28:$A$39,0),1),INDEX('Category Mapping'!$E$28:$E$39,MATCH($A790,'Category Mapping'!$A$28:$A$39,0),1))</f>
        <v>2314457528.5714288</v>
      </c>
      <c r="L790" s="27">
        <f>L210*IF($E790="weekday",INDEX('Category Mapping'!$F$28:$F$39,MATCH('Summarized Source Data'!$A790,'Category Mapping'!$A$28:$A$39,0),1),INDEX('Category Mapping'!$E$28:$E$39,MATCH($A790,'Category Mapping'!$A$28:$A$39,0),1))</f>
        <v>19605771.428571429</v>
      </c>
      <c r="M790" s="27">
        <f>M210*IF($E790="weekday",INDEX('Category Mapping'!$F$28:$F$39,MATCH('Summarized Source Data'!$A790,'Category Mapping'!$A$28:$A$39,0),1),INDEX('Category Mapping'!$E$28:$E$39,MATCH($A790,'Category Mapping'!$A$28:$A$39,0),1))</f>
        <v>3128571428.5714288</v>
      </c>
      <c r="N790" s="27">
        <f>N210*IF($E790="weekday",INDEX('Category Mapping'!$F$28:$F$39,MATCH('Summarized Source Data'!$A790,'Category Mapping'!$A$28:$A$39,0),1),INDEX('Category Mapping'!$E$28:$E$39,MATCH($A790,'Category Mapping'!$A$28:$A$39,0),1))</f>
        <v>0</v>
      </c>
      <c r="O790" s="27">
        <f>O210*IF($E790="weekday",INDEX('Category Mapping'!$F$28:$F$39,MATCH('Summarized Source Data'!$A790,'Category Mapping'!$A$28:$A$39,0),1),INDEX('Category Mapping'!$E$28:$E$39,MATCH($A790,'Category Mapping'!$A$28:$A$39,0),1))</f>
        <v>10823251371.428572</v>
      </c>
      <c r="P790" s="27">
        <f>P210*IF($E790="weekday",INDEX('Category Mapping'!$F$28:$F$39,MATCH('Summarized Source Data'!$A790,'Category Mapping'!$A$28:$A$39,0),1),INDEX('Category Mapping'!$E$28:$E$39,MATCH($A790,'Category Mapping'!$A$28:$A$39,0),1))</f>
        <v>10823251371.428572</v>
      </c>
      <c r="Q790" s="27">
        <f>Q210*IF($E790="weekday",INDEX('Category Mapping'!$F$28:$F$39,MATCH('Summarized Source Data'!$A790,'Category Mapping'!$A$28:$A$39,0),1),INDEX('Category Mapping'!$E$28:$E$39,MATCH($A790,'Category Mapping'!$A$28:$A$39,0),1))</f>
        <v>10823251371.428572</v>
      </c>
      <c r="R790" s="27">
        <f>R210*IF($E790="weekday",INDEX('Category Mapping'!$F$28:$F$39,MATCH('Summarized Source Data'!$A790,'Category Mapping'!$A$28:$A$39,0),1),INDEX('Category Mapping'!$E$28:$E$39,MATCH($A790,'Category Mapping'!$A$28:$A$39,0),1))</f>
        <v>246428571.42857146</v>
      </c>
      <c r="S790" s="27">
        <f>S210*IF($E790="weekday",INDEX('Category Mapping'!$F$28:$F$39,MATCH('Summarized Source Data'!$A790,'Category Mapping'!$A$28:$A$39,0),1),INDEX('Category Mapping'!$E$28:$E$39,MATCH($A790,'Category Mapping'!$A$28:$A$39,0),1))</f>
        <v>246428571.42857146</v>
      </c>
      <c r="T790" s="27">
        <f>T210*IF($E790="weekday",INDEX('Category Mapping'!$F$28:$F$39,MATCH('Summarized Source Data'!$A790,'Category Mapping'!$A$28:$A$39,0),1),INDEX('Category Mapping'!$E$28:$E$39,MATCH($A790,'Category Mapping'!$A$28:$A$39,0),1))</f>
        <v>246428571.42857146</v>
      </c>
      <c r="U790" s="27">
        <f>U210*IF($E790="weekday",INDEX('Category Mapping'!$F$28:$F$39,MATCH('Summarized Source Data'!$A790,'Category Mapping'!$A$28:$A$39,0),1),INDEX('Category Mapping'!$E$28:$E$39,MATCH($A790,'Category Mapping'!$A$28:$A$39,0),1))</f>
        <v>246428571.42857146</v>
      </c>
      <c r="V790" s="27">
        <f>V210*IF($E790="weekday",INDEX('Category Mapping'!$F$28:$F$39,MATCH('Summarized Source Data'!$A790,'Category Mapping'!$A$28:$A$39,0),1),INDEX('Category Mapping'!$E$28:$E$39,MATCH($A790,'Category Mapping'!$A$28:$A$39,0),1))</f>
        <v>246428571.42857146</v>
      </c>
      <c r="W790" s="27">
        <f>W210*IF($E790="weekday",INDEX('Category Mapping'!$F$28:$F$39,MATCH('Summarized Source Data'!$A790,'Category Mapping'!$A$28:$A$39,0),1),INDEX('Category Mapping'!$E$28:$E$39,MATCH($A790,'Category Mapping'!$A$28:$A$39,0),1))</f>
        <v>246428571.42857146</v>
      </c>
      <c r="X790" s="27">
        <f>X210*IF($E790="weekday",INDEX('Category Mapping'!$F$28:$F$39,MATCH('Summarized Source Data'!$A790,'Category Mapping'!$A$28:$A$39,0),1),INDEX('Category Mapping'!$E$28:$E$39,MATCH($A790,'Category Mapping'!$A$28:$A$39,0),1))</f>
        <v>14378571428.57143</v>
      </c>
      <c r="Y790" s="27">
        <f>Y210*IF($E790="weekday",INDEX('Category Mapping'!$F$28:$F$39,MATCH('Summarized Source Data'!$A790,'Category Mapping'!$A$28:$A$39,0),1),INDEX('Category Mapping'!$E$28:$E$39,MATCH($A790,'Category Mapping'!$A$28:$A$39,0),1))</f>
        <v>14378571428.57143</v>
      </c>
      <c r="Z790" s="27">
        <f>Z210*IF($E790="weekday",INDEX('Category Mapping'!$F$28:$F$39,MATCH('Summarized Source Data'!$A790,'Category Mapping'!$A$28:$A$39,0),1),INDEX('Category Mapping'!$E$28:$E$39,MATCH($A790,'Category Mapping'!$A$28:$A$39,0),1))</f>
        <v>14378571428.57143</v>
      </c>
    </row>
    <row r="791" spans="1:26" x14ac:dyDescent="0.3">
      <c r="A791">
        <f t="shared" ref="A791:E791" si="256">A211</f>
        <v>9</v>
      </c>
      <c r="B791" t="str">
        <f t="shared" si="256"/>
        <v>Fall</v>
      </c>
      <c r="C791" t="str">
        <f t="shared" si="256"/>
        <v>h16</v>
      </c>
      <c r="D791" t="str">
        <f t="shared" si="256"/>
        <v>Hour15</v>
      </c>
      <c r="E791" t="str">
        <f t="shared" si="256"/>
        <v>Weekday</v>
      </c>
      <c r="F791" s="27">
        <f>F211*IF($E791="weekday",INDEX('Category Mapping'!$F$28:$F$39,MATCH('Summarized Source Data'!$A791,'Category Mapping'!$A$28:$A$39,0),1),INDEX('Category Mapping'!$E$28:$E$39,MATCH($A791,'Category Mapping'!$A$28:$A$39,0),1))</f>
        <v>15511735.714285716</v>
      </c>
      <c r="G791" s="27">
        <f>G211*IF($E791="weekday",INDEX('Category Mapping'!$F$28:$F$39,MATCH('Summarized Source Data'!$A791,'Category Mapping'!$A$28:$A$39,0),1),INDEX('Category Mapping'!$E$28:$E$39,MATCH($A791,'Category Mapping'!$A$28:$A$39,0),1))</f>
        <v>865714285.71428585</v>
      </c>
      <c r="H791" s="27">
        <f>H211*IF($E791="weekday",INDEX('Category Mapping'!$F$28:$F$39,MATCH('Summarized Source Data'!$A791,'Category Mapping'!$A$28:$A$39,0),1),INDEX('Category Mapping'!$E$28:$E$39,MATCH($A791,'Category Mapping'!$A$28:$A$39,0),1))</f>
        <v>0</v>
      </c>
      <c r="I791" s="27">
        <f>I211*IF($E791="weekday",INDEX('Category Mapping'!$F$28:$F$39,MATCH('Summarized Source Data'!$A791,'Category Mapping'!$A$28:$A$39,0),1),INDEX('Category Mapping'!$E$28:$E$39,MATCH($A791,'Category Mapping'!$A$28:$A$39,0),1))</f>
        <v>263571428.5714286</v>
      </c>
      <c r="J791" s="27">
        <f>J211*IF($E791="weekday",INDEX('Category Mapping'!$F$28:$F$39,MATCH('Summarized Source Data'!$A791,'Category Mapping'!$A$28:$A$39,0),1),INDEX('Category Mapping'!$E$28:$E$39,MATCH($A791,'Category Mapping'!$A$28:$A$39,0),1))</f>
        <v>2605202550.0000005</v>
      </c>
      <c r="K791" s="27">
        <f>K211*IF($E791="weekday",INDEX('Category Mapping'!$F$28:$F$39,MATCH('Summarized Source Data'!$A791,'Category Mapping'!$A$28:$A$39,0),1),INDEX('Category Mapping'!$E$28:$E$39,MATCH($A791,'Category Mapping'!$A$28:$A$39,0),1))</f>
        <v>2605202550.0000005</v>
      </c>
      <c r="L791" s="27">
        <f>L211*IF($E791="weekday",INDEX('Category Mapping'!$F$28:$F$39,MATCH('Summarized Source Data'!$A791,'Category Mapping'!$A$28:$A$39,0),1),INDEX('Category Mapping'!$E$28:$E$39,MATCH($A791,'Category Mapping'!$A$28:$A$39,0),1))</f>
        <v>18214757.142857146</v>
      </c>
      <c r="M791" s="27">
        <f>M211*IF($E791="weekday",INDEX('Category Mapping'!$F$28:$F$39,MATCH('Summarized Source Data'!$A791,'Category Mapping'!$A$28:$A$39,0),1),INDEX('Category Mapping'!$E$28:$E$39,MATCH($A791,'Category Mapping'!$A$28:$A$39,0),1))</f>
        <v>3107142857.1428576</v>
      </c>
      <c r="N791" s="27">
        <f>N211*IF($E791="weekday",INDEX('Category Mapping'!$F$28:$F$39,MATCH('Summarized Source Data'!$A791,'Category Mapping'!$A$28:$A$39,0),1),INDEX('Category Mapping'!$E$28:$E$39,MATCH($A791,'Category Mapping'!$A$28:$A$39,0),1))</f>
        <v>0</v>
      </c>
      <c r="O791" s="27">
        <f>O211*IF($E791="weekday",INDEX('Category Mapping'!$F$28:$F$39,MATCH('Summarized Source Data'!$A791,'Category Mapping'!$A$28:$A$39,0),1),INDEX('Category Mapping'!$E$28:$E$39,MATCH($A791,'Category Mapping'!$A$28:$A$39,0),1))</f>
        <v>10824642385.714287</v>
      </c>
      <c r="P791" s="27">
        <f>P211*IF($E791="weekday",INDEX('Category Mapping'!$F$28:$F$39,MATCH('Summarized Source Data'!$A791,'Category Mapping'!$A$28:$A$39,0),1),INDEX('Category Mapping'!$E$28:$E$39,MATCH($A791,'Category Mapping'!$A$28:$A$39,0),1))</f>
        <v>10824642385.714287</v>
      </c>
      <c r="Q791" s="27">
        <f>Q211*IF($E791="weekday",INDEX('Category Mapping'!$F$28:$F$39,MATCH('Summarized Source Data'!$A791,'Category Mapping'!$A$28:$A$39,0),1),INDEX('Category Mapping'!$E$28:$E$39,MATCH($A791,'Category Mapping'!$A$28:$A$39,0),1))</f>
        <v>10824642385.714287</v>
      </c>
      <c r="R791" s="27">
        <f>R211*IF($E791="weekday",INDEX('Category Mapping'!$F$28:$F$39,MATCH('Summarized Source Data'!$A791,'Category Mapping'!$A$28:$A$39,0),1),INDEX('Category Mapping'!$E$28:$E$39,MATCH($A791,'Category Mapping'!$A$28:$A$39,0),1))</f>
        <v>293571428.5714286</v>
      </c>
      <c r="S791" s="27">
        <f>S211*IF($E791="weekday",INDEX('Category Mapping'!$F$28:$F$39,MATCH('Summarized Source Data'!$A791,'Category Mapping'!$A$28:$A$39,0),1),INDEX('Category Mapping'!$E$28:$E$39,MATCH($A791,'Category Mapping'!$A$28:$A$39,0),1))</f>
        <v>293571428.5714286</v>
      </c>
      <c r="T791" s="27">
        <f>T211*IF($E791="weekday",INDEX('Category Mapping'!$F$28:$F$39,MATCH('Summarized Source Data'!$A791,'Category Mapping'!$A$28:$A$39,0),1),INDEX('Category Mapping'!$E$28:$E$39,MATCH($A791,'Category Mapping'!$A$28:$A$39,0),1))</f>
        <v>293571428.5714286</v>
      </c>
      <c r="U791" s="27">
        <f>U211*IF($E791="weekday",INDEX('Category Mapping'!$F$28:$F$39,MATCH('Summarized Source Data'!$A791,'Category Mapping'!$A$28:$A$39,0),1),INDEX('Category Mapping'!$E$28:$E$39,MATCH($A791,'Category Mapping'!$A$28:$A$39,0),1))</f>
        <v>293571428.5714286</v>
      </c>
      <c r="V791" s="27">
        <f>V211*IF($E791="weekday",INDEX('Category Mapping'!$F$28:$F$39,MATCH('Summarized Source Data'!$A791,'Category Mapping'!$A$28:$A$39,0),1),INDEX('Category Mapping'!$E$28:$E$39,MATCH($A791,'Category Mapping'!$A$28:$A$39,0),1))</f>
        <v>293571428.5714286</v>
      </c>
      <c r="W791" s="27">
        <f>W211*IF($E791="weekday",INDEX('Category Mapping'!$F$28:$F$39,MATCH('Summarized Source Data'!$A791,'Category Mapping'!$A$28:$A$39,0),1),INDEX('Category Mapping'!$E$28:$E$39,MATCH($A791,'Category Mapping'!$A$28:$A$39,0),1))</f>
        <v>293571428.5714286</v>
      </c>
      <c r="X791" s="27">
        <f>X211*IF($E791="weekday",INDEX('Category Mapping'!$F$28:$F$39,MATCH('Summarized Source Data'!$A791,'Category Mapping'!$A$28:$A$39,0),1),INDEX('Category Mapping'!$E$28:$E$39,MATCH($A791,'Category Mapping'!$A$28:$A$39,0),1))</f>
        <v>14507142857.142859</v>
      </c>
      <c r="Y791" s="27">
        <f>Y211*IF($E791="weekday",INDEX('Category Mapping'!$F$28:$F$39,MATCH('Summarized Source Data'!$A791,'Category Mapping'!$A$28:$A$39,0),1),INDEX('Category Mapping'!$E$28:$E$39,MATCH($A791,'Category Mapping'!$A$28:$A$39,0),1))</f>
        <v>14507142857.142859</v>
      </c>
      <c r="Z791" s="27">
        <f>Z211*IF($E791="weekday",INDEX('Category Mapping'!$F$28:$F$39,MATCH('Summarized Source Data'!$A791,'Category Mapping'!$A$28:$A$39,0),1),INDEX('Category Mapping'!$E$28:$E$39,MATCH($A791,'Category Mapping'!$A$28:$A$39,0),1))</f>
        <v>14507142857.142859</v>
      </c>
    </row>
    <row r="792" spans="1:26" x14ac:dyDescent="0.3">
      <c r="A792">
        <f t="shared" ref="A792:E792" si="257">A212</f>
        <v>9</v>
      </c>
      <c r="B792" t="str">
        <f t="shared" si="257"/>
        <v>Fall</v>
      </c>
      <c r="C792" t="str">
        <f t="shared" si="257"/>
        <v>h17</v>
      </c>
      <c r="D792" t="str">
        <f t="shared" si="257"/>
        <v>Hour16</v>
      </c>
      <c r="E792" t="str">
        <f t="shared" si="257"/>
        <v>Weekday</v>
      </c>
      <c r="F792" s="27">
        <f>F212*IF($E792="weekday",INDEX('Category Mapping'!$F$28:$F$39,MATCH('Summarized Source Data'!$A792,'Category Mapping'!$A$28:$A$39,0),1),INDEX('Category Mapping'!$E$28:$E$39,MATCH($A792,'Category Mapping'!$A$28:$A$39,0),1))</f>
        <v>16335407.142857144</v>
      </c>
      <c r="G792" s="27">
        <f>G212*IF($E792="weekday",INDEX('Category Mapping'!$F$28:$F$39,MATCH('Summarized Source Data'!$A792,'Category Mapping'!$A$28:$A$39,0),1),INDEX('Category Mapping'!$E$28:$E$39,MATCH($A792,'Category Mapping'!$A$28:$A$39,0),1))</f>
        <v>880714285.71428585</v>
      </c>
      <c r="H792" s="27">
        <f>H212*IF($E792="weekday",INDEX('Category Mapping'!$F$28:$F$39,MATCH('Summarized Source Data'!$A792,'Category Mapping'!$A$28:$A$39,0),1),INDEX('Category Mapping'!$E$28:$E$39,MATCH($A792,'Category Mapping'!$A$28:$A$39,0),1))</f>
        <v>0</v>
      </c>
      <c r="I792" s="27">
        <f>I212*IF($E792="weekday",INDEX('Category Mapping'!$F$28:$F$39,MATCH('Summarized Source Data'!$A792,'Category Mapping'!$A$28:$A$39,0),1),INDEX('Category Mapping'!$E$28:$E$39,MATCH($A792,'Category Mapping'!$A$28:$A$39,0),1))</f>
        <v>289285714.28571433</v>
      </c>
      <c r="J792" s="27">
        <f>J212*IF($E792="weekday",INDEX('Category Mapping'!$F$28:$F$39,MATCH('Summarized Source Data'!$A792,'Category Mapping'!$A$28:$A$39,0),1),INDEX('Category Mapping'!$E$28:$E$39,MATCH($A792,'Category Mapping'!$A$28:$A$39,0),1))</f>
        <v>3142236021.4285717</v>
      </c>
      <c r="K792" s="27">
        <f>K212*IF($E792="weekday",INDEX('Category Mapping'!$F$28:$F$39,MATCH('Summarized Source Data'!$A792,'Category Mapping'!$A$28:$A$39,0),1),INDEX('Category Mapping'!$E$28:$E$39,MATCH($A792,'Category Mapping'!$A$28:$A$39,0),1))</f>
        <v>3142236021.4285717</v>
      </c>
      <c r="L792" s="27">
        <f>L212*IF($E792="weekday",INDEX('Category Mapping'!$F$28:$F$39,MATCH('Summarized Source Data'!$A792,'Category Mapping'!$A$28:$A$39,0),1),INDEX('Category Mapping'!$E$28:$E$39,MATCH($A792,'Category Mapping'!$A$28:$A$39,0),1))</f>
        <v>17161650</v>
      </c>
      <c r="M792" s="27">
        <f>M212*IF($E792="weekday",INDEX('Category Mapping'!$F$28:$F$39,MATCH('Summarized Source Data'!$A792,'Category Mapping'!$A$28:$A$39,0),1),INDEX('Category Mapping'!$E$28:$E$39,MATCH($A792,'Category Mapping'!$A$28:$A$39,0),1))</f>
        <v>3000000000.0000005</v>
      </c>
      <c r="N792" s="27">
        <f>N212*IF($E792="weekday",INDEX('Category Mapping'!$F$28:$F$39,MATCH('Summarized Source Data'!$A792,'Category Mapping'!$A$28:$A$39,0),1),INDEX('Category Mapping'!$E$28:$E$39,MATCH($A792,'Category Mapping'!$A$28:$A$39,0),1))</f>
        <v>0</v>
      </c>
      <c r="O792" s="27">
        <f>O212*IF($E792="weekday",INDEX('Category Mapping'!$F$28:$F$39,MATCH('Summarized Source Data'!$A792,'Category Mapping'!$A$28:$A$39,0),1),INDEX('Category Mapping'!$E$28:$E$39,MATCH($A792,'Category Mapping'!$A$28:$A$39,0),1))</f>
        <v>10461409778.57143</v>
      </c>
      <c r="P792" s="27">
        <f>P212*IF($E792="weekday",INDEX('Category Mapping'!$F$28:$F$39,MATCH('Summarized Source Data'!$A792,'Category Mapping'!$A$28:$A$39,0),1),INDEX('Category Mapping'!$E$28:$E$39,MATCH($A792,'Category Mapping'!$A$28:$A$39,0),1))</f>
        <v>10461409778.57143</v>
      </c>
      <c r="Q792" s="27">
        <f>Q212*IF($E792="weekday",INDEX('Category Mapping'!$F$28:$F$39,MATCH('Summarized Source Data'!$A792,'Category Mapping'!$A$28:$A$39,0),1),INDEX('Category Mapping'!$E$28:$E$39,MATCH($A792,'Category Mapping'!$A$28:$A$39,0),1))</f>
        <v>10461409778.57143</v>
      </c>
      <c r="R792" s="27">
        <f>R212*IF($E792="weekday",INDEX('Category Mapping'!$F$28:$F$39,MATCH('Summarized Source Data'!$A792,'Category Mapping'!$A$28:$A$39,0),1),INDEX('Category Mapping'!$E$28:$E$39,MATCH($A792,'Category Mapping'!$A$28:$A$39,0),1))</f>
        <v>338571428.5714286</v>
      </c>
      <c r="S792" s="27">
        <f>S212*IF($E792="weekday",INDEX('Category Mapping'!$F$28:$F$39,MATCH('Summarized Source Data'!$A792,'Category Mapping'!$A$28:$A$39,0),1),INDEX('Category Mapping'!$E$28:$E$39,MATCH($A792,'Category Mapping'!$A$28:$A$39,0),1))</f>
        <v>338571428.5714286</v>
      </c>
      <c r="T792" s="27">
        <f>T212*IF($E792="weekday",INDEX('Category Mapping'!$F$28:$F$39,MATCH('Summarized Source Data'!$A792,'Category Mapping'!$A$28:$A$39,0),1),INDEX('Category Mapping'!$E$28:$E$39,MATCH($A792,'Category Mapping'!$A$28:$A$39,0),1))</f>
        <v>338571428.5714286</v>
      </c>
      <c r="U792" s="27">
        <f>U212*IF($E792="weekday",INDEX('Category Mapping'!$F$28:$F$39,MATCH('Summarized Source Data'!$A792,'Category Mapping'!$A$28:$A$39,0),1),INDEX('Category Mapping'!$E$28:$E$39,MATCH($A792,'Category Mapping'!$A$28:$A$39,0),1))</f>
        <v>338571428.5714286</v>
      </c>
      <c r="V792" s="27">
        <f>V212*IF($E792="weekday",INDEX('Category Mapping'!$F$28:$F$39,MATCH('Summarized Source Data'!$A792,'Category Mapping'!$A$28:$A$39,0),1),INDEX('Category Mapping'!$E$28:$E$39,MATCH($A792,'Category Mapping'!$A$28:$A$39,0),1))</f>
        <v>338571428.5714286</v>
      </c>
      <c r="W792" s="27">
        <f>W212*IF($E792="weekday",INDEX('Category Mapping'!$F$28:$F$39,MATCH('Summarized Source Data'!$A792,'Category Mapping'!$A$28:$A$39,0),1),INDEX('Category Mapping'!$E$28:$E$39,MATCH($A792,'Category Mapping'!$A$28:$A$39,0),1))</f>
        <v>338571428.5714286</v>
      </c>
      <c r="X792" s="27">
        <f>X212*IF($E792="weekday",INDEX('Category Mapping'!$F$28:$F$39,MATCH('Summarized Source Data'!$A792,'Category Mapping'!$A$28:$A$39,0),1),INDEX('Category Mapping'!$E$28:$E$39,MATCH($A792,'Category Mapping'!$A$28:$A$39,0),1))</f>
        <v>14635714285.714287</v>
      </c>
      <c r="Y792" s="27">
        <f>Y212*IF($E792="weekday",INDEX('Category Mapping'!$F$28:$F$39,MATCH('Summarized Source Data'!$A792,'Category Mapping'!$A$28:$A$39,0),1),INDEX('Category Mapping'!$E$28:$E$39,MATCH($A792,'Category Mapping'!$A$28:$A$39,0),1))</f>
        <v>14635714285.714287</v>
      </c>
      <c r="Z792" s="27">
        <f>Z212*IF($E792="weekday",INDEX('Category Mapping'!$F$28:$F$39,MATCH('Summarized Source Data'!$A792,'Category Mapping'!$A$28:$A$39,0),1),INDEX('Category Mapping'!$E$28:$E$39,MATCH($A792,'Category Mapping'!$A$28:$A$39,0),1))</f>
        <v>14635714285.714287</v>
      </c>
    </row>
    <row r="793" spans="1:26" x14ac:dyDescent="0.3">
      <c r="A793">
        <f t="shared" ref="A793:E793" si="258">A213</f>
        <v>9</v>
      </c>
      <c r="B793" t="str">
        <f t="shared" si="258"/>
        <v>Fall</v>
      </c>
      <c r="C793" t="str">
        <f t="shared" si="258"/>
        <v>h18</v>
      </c>
      <c r="D793" t="str">
        <f t="shared" si="258"/>
        <v>Hour17</v>
      </c>
      <c r="E793" t="str">
        <f t="shared" si="258"/>
        <v>Weekday</v>
      </c>
      <c r="F793" s="27">
        <f>F213*IF($E793="weekday",INDEX('Category Mapping'!$F$28:$F$39,MATCH('Summarized Source Data'!$A793,'Category Mapping'!$A$28:$A$39,0),1),INDEX('Category Mapping'!$E$28:$E$39,MATCH($A793,'Category Mapping'!$A$28:$A$39,0),1))</f>
        <v>17240314.285714287</v>
      </c>
      <c r="G793" s="27">
        <f>G213*IF($E793="weekday",INDEX('Category Mapping'!$F$28:$F$39,MATCH('Summarized Source Data'!$A793,'Category Mapping'!$A$28:$A$39,0),1),INDEX('Category Mapping'!$E$28:$E$39,MATCH($A793,'Category Mapping'!$A$28:$A$39,0),1))</f>
        <v>850714285.71428585</v>
      </c>
      <c r="H793" s="27">
        <f>H213*IF($E793="weekday",INDEX('Category Mapping'!$F$28:$F$39,MATCH('Summarized Source Data'!$A793,'Category Mapping'!$A$28:$A$39,0),1),INDEX('Category Mapping'!$E$28:$E$39,MATCH($A793,'Category Mapping'!$A$28:$A$39,0),1))</f>
        <v>0</v>
      </c>
      <c r="I793" s="27">
        <f>I213*IF($E793="weekday",INDEX('Category Mapping'!$F$28:$F$39,MATCH('Summarized Source Data'!$A793,'Category Mapping'!$A$28:$A$39,0),1),INDEX('Category Mapping'!$E$28:$E$39,MATCH($A793,'Category Mapping'!$A$28:$A$39,0),1))</f>
        <v>634285714.28571439</v>
      </c>
      <c r="J793" s="27">
        <f>J213*IF($E793="weekday",INDEX('Category Mapping'!$F$28:$F$39,MATCH('Summarized Source Data'!$A793,'Category Mapping'!$A$28:$A$39,0),1),INDEX('Category Mapping'!$E$28:$E$39,MATCH($A793,'Category Mapping'!$A$28:$A$39,0),1))</f>
        <v>3469188257.1428576</v>
      </c>
      <c r="K793" s="27">
        <f>K213*IF($E793="weekday",INDEX('Category Mapping'!$F$28:$F$39,MATCH('Summarized Source Data'!$A793,'Category Mapping'!$A$28:$A$39,0),1),INDEX('Category Mapping'!$E$28:$E$39,MATCH($A793,'Category Mapping'!$A$28:$A$39,0),1))</f>
        <v>3469188257.1428576</v>
      </c>
      <c r="L793" s="27">
        <f>L213*IF($E793="weekday",INDEX('Category Mapping'!$F$28:$F$39,MATCH('Summarized Source Data'!$A793,'Category Mapping'!$A$28:$A$39,0),1),INDEX('Category Mapping'!$E$28:$E$39,MATCH($A793,'Category Mapping'!$A$28:$A$39,0),1))</f>
        <v>18316135.714285716</v>
      </c>
      <c r="M793" s="27">
        <f>M213*IF($E793="weekday",INDEX('Category Mapping'!$F$28:$F$39,MATCH('Summarized Source Data'!$A793,'Category Mapping'!$A$28:$A$39,0),1),INDEX('Category Mapping'!$E$28:$E$39,MATCH($A793,'Category Mapping'!$A$28:$A$39,0),1))</f>
        <v>2785714285.7142859</v>
      </c>
      <c r="N793" s="27">
        <f>N213*IF($E793="weekday",INDEX('Category Mapping'!$F$28:$F$39,MATCH('Summarized Source Data'!$A793,'Category Mapping'!$A$28:$A$39,0),1),INDEX('Category Mapping'!$E$28:$E$39,MATCH($A793,'Category Mapping'!$A$28:$A$39,0),1))</f>
        <v>0</v>
      </c>
      <c r="O793" s="27">
        <f>O213*IF($E793="weekday",INDEX('Category Mapping'!$F$28:$F$39,MATCH('Summarized Source Data'!$A793,'Category Mapping'!$A$28:$A$39,0),1),INDEX('Category Mapping'!$E$28:$E$39,MATCH($A793,'Category Mapping'!$A$28:$A$39,0),1))</f>
        <v>9838826721.4285717</v>
      </c>
      <c r="P793" s="27">
        <f>P213*IF($E793="weekday",INDEX('Category Mapping'!$F$28:$F$39,MATCH('Summarized Source Data'!$A793,'Category Mapping'!$A$28:$A$39,0),1),INDEX('Category Mapping'!$E$28:$E$39,MATCH($A793,'Category Mapping'!$A$28:$A$39,0),1))</f>
        <v>9838826721.4285717</v>
      </c>
      <c r="Q793" s="27">
        <f>Q213*IF($E793="weekday",INDEX('Category Mapping'!$F$28:$F$39,MATCH('Summarized Source Data'!$A793,'Category Mapping'!$A$28:$A$39,0),1),INDEX('Category Mapping'!$E$28:$E$39,MATCH($A793,'Category Mapping'!$A$28:$A$39,0),1))</f>
        <v>9838826721.4285717</v>
      </c>
      <c r="R793" s="27">
        <f>R213*IF($E793="weekday",INDEX('Category Mapping'!$F$28:$F$39,MATCH('Summarized Source Data'!$A793,'Category Mapping'!$A$28:$A$39,0),1),INDEX('Category Mapping'!$E$28:$E$39,MATCH($A793,'Category Mapping'!$A$28:$A$39,0),1))</f>
        <v>357857142.85714287</v>
      </c>
      <c r="S793" s="27">
        <f>S213*IF($E793="weekday",INDEX('Category Mapping'!$F$28:$F$39,MATCH('Summarized Source Data'!$A793,'Category Mapping'!$A$28:$A$39,0),1),INDEX('Category Mapping'!$E$28:$E$39,MATCH($A793,'Category Mapping'!$A$28:$A$39,0),1))</f>
        <v>357857142.85714287</v>
      </c>
      <c r="T793" s="27">
        <f>T213*IF($E793="weekday",INDEX('Category Mapping'!$F$28:$F$39,MATCH('Summarized Source Data'!$A793,'Category Mapping'!$A$28:$A$39,0),1),INDEX('Category Mapping'!$E$28:$E$39,MATCH($A793,'Category Mapping'!$A$28:$A$39,0),1))</f>
        <v>357857142.85714287</v>
      </c>
      <c r="U793" s="27">
        <f>U213*IF($E793="weekday",INDEX('Category Mapping'!$F$28:$F$39,MATCH('Summarized Source Data'!$A793,'Category Mapping'!$A$28:$A$39,0),1),INDEX('Category Mapping'!$E$28:$E$39,MATCH($A793,'Category Mapping'!$A$28:$A$39,0),1))</f>
        <v>357857142.85714287</v>
      </c>
      <c r="V793" s="27">
        <f>V213*IF($E793="weekday",INDEX('Category Mapping'!$F$28:$F$39,MATCH('Summarized Source Data'!$A793,'Category Mapping'!$A$28:$A$39,0),1),INDEX('Category Mapping'!$E$28:$E$39,MATCH($A793,'Category Mapping'!$A$28:$A$39,0),1))</f>
        <v>357857142.85714287</v>
      </c>
      <c r="W793" s="27">
        <f>W213*IF($E793="weekday",INDEX('Category Mapping'!$F$28:$F$39,MATCH('Summarized Source Data'!$A793,'Category Mapping'!$A$28:$A$39,0),1),INDEX('Category Mapping'!$E$28:$E$39,MATCH($A793,'Category Mapping'!$A$28:$A$39,0),1))</f>
        <v>357857142.85714287</v>
      </c>
      <c r="X793" s="27">
        <f>X213*IF($E793="weekday",INDEX('Category Mapping'!$F$28:$F$39,MATCH('Summarized Source Data'!$A793,'Category Mapping'!$A$28:$A$39,0),1),INDEX('Category Mapping'!$E$28:$E$39,MATCH($A793,'Category Mapping'!$A$28:$A$39,0),1))</f>
        <v>14678571428.57143</v>
      </c>
      <c r="Y793" s="27">
        <f>Y213*IF($E793="weekday",INDEX('Category Mapping'!$F$28:$F$39,MATCH('Summarized Source Data'!$A793,'Category Mapping'!$A$28:$A$39,0),1),INDEX('Category Mapping'!$E$28:$E$39,MATCH($A793,'Category Mapping'!$A$28:$A$39,0),1))</f>
        <v>14678571428.57143</v>
      </c>
      <c r="Z793" s="27">
        <f>Z213*IF($E793="weekday",INDEX('Category Mapping'!$F$28:$F$39,MATCH('Summarized Source Data'!$A793,'Category Mapping'!$A$28:$A$39,0),1),INDEX('Category Mapping'!$E$28:$E$39,MATCH($A793,'Category Mapping'!$A$28:$A$39,0),1))</f>
        <v>14678571428.57143</v>
      </c>
    </row>
    <row r="794" spans="1:26" x14ac:dyDescent="0.3">
      <c r="A794">
        <f t="shared" ref="A794:E794" si="259">A214</f>
        <v>9</v>
      </c>
      <c r="B794" t="str">
        <f t="shared" si="259"/>
        <v>Fall</v>
      </c>
      <c r="C794" t="str">
        <f t="shared" si="259"/>
        <v>h19</v>
      </c>
      <c r="D794" t="str">
        <f t="shared" si="259"/>
        <v>Hour18</v>
      </c>
      <c r="E794" t="str">
        <f t="shared" si="259"/>
        <v>Weekday</v>
      </c>
      <c r="F794" s="27">
        <f>F214*IF($E794="weekday",INDEX('Category Mapping'!$F$28:$F$39,MATCH('Summarized Source Data'!$A794,'Category Mapping'!$A$28:$A$39,0),1),INDEX('Category Mapping'!$E$28:$E$39,MATCH($A794,'Category Mapping'!$A$28:$A$39,0),1))</f>
        <v>18269550</v>
      </c>
      <c r="G794" s="27">
        <f>G214*IF($E794="weekday",INDEX('Category Mapping'!$F$28:$F$39,MATCH('Summarized Source Data'!$A794,'Category Mapping'!$A$28:$A$39,0),1),INDEX('Category Mapping'!$E$28:$E$39,MATCH($A794,'Category Mapping'!$A$28:$A$39,0),1))</f>
        <v>777857142.85714293</v>
      </c>
      <c r="H794" s="27">
        <f>H214*IF($E794="weekday",INDEX('Category Mapping'!$F$28:$F$39,MATCH('Summarized Source Data'!$A794,'Category Mapping'!$A$28:$A$39,0),1),INDEX('Category Mapping'!$E$28:$E$39,MATCH($A794,'Category Mapping'!$A$28:$A$39,0),1))</f>
        <v>0</v>
      </c>
      <c r="I794" s="27">
        <f>I214*IF($E794="weekday",INDEX('Category Mapping'!$F$28:$F$39,MATCH('Summarized Source Data'!$A794,'Category Mapping'!$A$28:$A$39,0),1),INDEX('Category Mapping'!$E$28:$E$39,MATCH($A794,'Category Mapping'!$A$28:$A$39,0),1))</f>
        <v>1148571428.5714288</v>
      </c>
      <c r="J794" s="27">
        <f>J214*IF($E794="weekday",INDEX('Category Mapping'!$F$28:$F$39,MATCH('Summarized Source Data'!$A794,'Category Mapping'!$A$28:$A$39,0),1),INDEX('Category Mapping'!$E$28:$E$39,MATCH($A794,'Category Mapping'!$A$28:$A$39,0),1))</f>
        <v>3369587592.8571434</v>
      </c>
      <c r="K794" s="27">
        <f>K214*IF($E794="weekday",INDEX('Category Mapping'!$F$28:$F$39,MATCH('Summarized Source Data'!$A794,'Category Mapping'!$A$28:$A$39,0),1),INDEX('Category Mapping'!$E$28:$E$39,MATCH($A794,'Category Mapping'!$A$28:$A$39,0),1))</f>
        <v>3369587592.8571434</v>
      </c>
      <c r="L794" s="27">
        <f>L214*IF($E794="weekday",INDEX('Category Mapping'!$F$28:$F$39,MATCH('Summarized Source Data'!$A794,'Category Mapping'!$A$28:$A$39,0),1),INDEX('Category Mapping'!$E$28:$E$39,MATCH($A794,'Category Mapping'!$A$28:$A$39,0),1))</f>
        <v>22193464.285714287</v>
      </c>
      <c r="M794" s="27">
        <f>M214*IF($E794="weekday",INDEX('Category Mapping'!$F$28:$F$39,MATCH('Summarized Source Data'!$A794,'Category Mapping'!$A$28:$A$39,0),1),INDEX('Category Mapping'!$E$28:$E$39,MATCH($A794,'Category Mapping'!$A$28:$A$39,0),1))</f>
        <v>2550000000.0000005</v>
      </c>
      <c r="N794" s="27">
        <f>N214*IF($E794="weekday",INDEX('Category Mapping'!$F$28:$F$39,MATCH('Summarized Source Data'!$A794,'Category Mapping'!$A$28:$A$39,0),1),INDEX('Category Mapping'!$E$28:$E$39,MATCH($A794,'Category Mapping'!$A$28:$A$39,0),1))</f>
        <v>0</v>
      </c>
      <c r="O794" s="27">
        <f>O214*IF($E794="weekday",INDEX('Category Mapping'!$F$28:$F$39,MATCH('Summarized Source Data'!$A794,'Category Mapping'!$A$28:$A$39,0),1),INDEX('Category Mapping'!$E$28:$E$39,MATCH($A794,'Category Mapping'!$A$28:$A$39,0),1))</f>
        <v>9342092250</v>
      </c>
      <c r="P794" s="27">
        <f>P214*IF($E794="weekday",INDEX('Category Mapping'!$F$28:$F$39,MATCH('Summarized Source Data'!$A794,'Category Mapping'!$A$28:$A$39,0),1),INDEX('Category Mapping'!$E$28:$E$39,MATCH($A794,'Category Mapping'!$A$28:$A$39,0),1))</f>
        <v>9342092250</v>
      </c>
      <c r="Q794" s="27">
        <f>Q214*IF($E794="weekday",INDEX('Category Mapping'!$F$28:$F$39,MATCH('Summarized Source Data'!$A794,'Category Mapping'!$A$28:$A$39,0),1),INDEX('Category Mapping'!$E$28:$E$39,MATCH($A794,'Category Mapping'!$A$28:$A$39,0),1))</f>
        <v>9342092250</v>
      </c>
      <c r="R794" s="27">
        <f>R214*IF($E794="weekday",INDEX('Category Mapping'!$F$28:$F$39,MATCH('Summarized Source Data'!$A794,'Category Mapping'!$A$28:$A$39,0),1),INDEX('Category Mapping'!$E$28:$E$39,MATCH($A794,'Category Mapping'!$A$28:$A$39,0),1))</f>
        <v>330000000.00000006</v>
      </c>
      <c r="S794" s="27">
        <f>S214*IF($E794="weekday",INDEX('Category Mapping'!$F$28:$F$39,MATCH('Summarized Source Data'!$A794,'Category Mapping'!$A$28:$A$39,0),1),INDEX('Category Mapping'!$E$28:$E$39,MATCH($A794,'Category Mapping'!$A$28:$A$39,0),1))</f>
        <v>330000000.00000006</v>
      </c>
      <c r="T794" s="27">
        <f>T214*IF($E794="weekday",INDEX('Category Mapping'!$F$28:$F$39,MATCH('Summarized Source Data'!$A794,'Category Mapping'!$A$28:$A$39,0),1),INDEX('Category Mapping'!$E$28:$E$39,MATCH($A794,'Category Mapping'!$A$28:$A$39,0),1))</f>
        <v>330000000.00000006</v>
      </c>
      <c r="U794" s="27">
        <f>U214*IF($E794="weekday",INDEX('Category Mapping'!$F$28:$F$39,MATCH('Summarized Source Data'!$A794,'Category Mapping'!$A$28:$A$39,0),1),INDEX('Category Mapping'!$E$28:$E$39,MATCH($A794,'Category Mapping'!$A$28:$A$39,0),1))</f>
        <v>330000000.00000006</v>
      </c>
      <c r="V794" s="27">
        <f>V214*IF($E794="weekday",INDEX('Category Mapping'!$F$28:$F$39,MATCH('Summarized Source Data'!$A794,'Category Mapping'!$A$28:$A$39,0),1),INDEX('Category Mapping'!$E$28:$E$39,MATCH($A794,'Category Mapping'!$A$28:$A$39,0),1))</f>
        <v>330000000.00000006</v>
      </c>
      <c r="W794" s="27">
        <f>W214*IF($E794="weekday",INDEX('Category Mapping'!$F$28:$F$39,MATCH('Summarized Source Data'!$A794,'Category Mapping'!$A$28:$A$39,0),1),INDEX('Category Mapping'!$E$28:$E$39,MATCH($A794,'Category Mapping'!$A$28:$A$39,0),1))</f>
        <v>330000000.00000006</v>
      </c>
      <c r="X794" s="27">
        <f>X214*IF($E794="weekday",INDEX('Category Mapping'!$F$28:$F$39,MATCH('Summarized Source Data'!$A794,'Category Mapping'!$A$28:$A$39,0),1),INDEX('Category Mapping'!$E$28:$E$39,MATCH($A794,'Category Mapping'!$A$28:$A$39,0),1))</f>
        <v>14592857142.857143</v>
      </c>
      <c r="Y794" s="27">
        <f>Y214*IF($E794="weekday",INDEX('Category Mapping'!$F$28:$F$39,MATCH('Summarized Source Data'!$A794,'Category Mapping'!$A$28:$A$39,0),1),INDEX('Category Mapping'!$E$28:$E$39,MATCH($A794,'Category Mapping'!$A$28:$A$39,0),1))</f>
        <v>14592857142.857143</v>
      </c>
      <c r="Z794" s="27">
        <f>Z214*IF($E794="weekday",INDEX('Category Mapping'!$F$28:$F$39,MATCH('Summarized Source Data'!$A794,'Category Mapping'!$A$28:$A$39,0),1),INDEX('Category Mapping'!$E$28:$E$39,MATCH($A794,'Category Mapping'!$A$28:$A$39,0),1))</f>
        <v>14592857142.857143</v>
      </c>
    </row>
    <row r="795" spans="1:26" x14ac:dyDescent="0.3">
      <c r="A795">
        <f t="shared" ref="A795:E795" si="260">A215</f>
        <v>9</v>
      </c>
      <c r="B795" t="str">
        <f t="shared" si="260"/>
        <v>Fall</v>
      </c>
      <c r="C795" t="str">
        <f t="shared" si="260"/>
        <v>h20</v>
      </c>
      <c r="D795" t="str">
        <f t="shared" si="260"/>
        <v>Hour19</v>
      </c>
      <c r="E795" t="str">
        <f t="shared" si="260"/>
        <v>Weekday</v>
      </c>
      <c r="F795" s="27">
        <f>F215*IF($E795="weekday",INDEX('Category Mapping'!$F$28:$F$39,MATCH('Summarized Source Data'!$A795,'Category Mapping'!$A$28:$A$39,0),1),INDEX('Category Mapping'!$E$28:$E$39,MATCH($A795,'Category Mapping'!$A$28:$A$39,0),1))</f>
        <v>19177178.571428575</v>
      </c>
      <c r="G795" s="27">
        <f>G215*IF($E795="weekday",INDEX('Category Mapping'!$F$28:$F$39,MATCH('Summarized Source Data'!$A795,'Category Mapping'!$A$28:$A$39,0),1),INDEX('Category Mapping'!$E$28:$E$39,MATCH($A795,'Category Mapping'!$A$28:$A$39,0),1))</f>
        <v>651428571.42857146</v>
      </c>
      <c r="H795" s="27">
        <f>H215*IF($E795="weekday",INDEX('Category Mapping'!$F$28:$F$39,MATCH('Summarized Source Data'!$A795,'Category Mapping'!$A$28:$A$39,0),1),INDEX('Category Mapping'!$E$28:$E$39,MATCH($A795,'Category Mapping'!$A$28:$A$39,0),1))</f>
        <v>0</v>
      </c>
      <c r="I795" s="27">
        <f>I215*IF($E795="weekday",INDEX('Category Mapping'!$F$28:$F$39,MATCH('Summarized Source Data'!$A795,'Category Mapping'!$A$28:$A$39,0),1),INDEX('Category Mapping'!$E$28:$E$39,MATCH($A795,'Category Mapping'!$A$28:$A$39,0),1))</f>
        <v>1236428571.4285715</v>
      </c>
      <c r="J795" s="27">
        <f>J215*IF($E795="weekday",INDEX('Category Mapping'!$F$28:$F$39,MATCH('Summarized Source Data'!$A795,'Category Mapping'!$A$28:$A$39,0),1),INDEX('Category Mapping'!$E$28:$E$39,MATCH($A795,'Category Mapping'!$A$28:$A$39,0),1))</f>
        <v>3192965678.5714288</v>
      </c>
      <c r="K795" s="27">
        <f>K215*IF($E795="weekday",INDEX('Category Mapping'!$F$28:$F$39,MATCH('Summarized Source Data'!$A795,'Category Mapping'!$A$28:$A$39,0),1),INDEX('Category Mapping'!$E$28:$E$39,MATCH($A795,'Category Mapping'!$A$28:$A$39,0),1))</f>
        <v>3192965678.5714288</v>
      </c>
      <c r="L795" s="27">
        <f>L215*IF($E795="weekday",INDEX('Category Mapping'!$F$28:$F$39,MATCH('Summarized Source Data'!$A795,'Category Mapping'!$A$28:$A$39,0),1),INDEX('Category Mapping'!$E$28:$E$39,MATCH($A795,'Category Mapping'!$A$28:$A$39,0),1))</f>
        <v>27485850.000000004</v>
      </c>
      <c r="M795" s="27">
        <f>M215*IF($E795="weekday",INDEX('Category Mapping'!$F$28:$F$39,MATCH('Summarized Source Data'!$A795,'Category Mapping'!$A$28:$A$39,0),1),INDEX('Category Mapping'!$E$28:$E$39,MATCH($A795,'Category Mapping'!$A$28:$A$39,0),1))</f>
        <v>2271428571.4285717</v>
      </c>
      <c r="N795" s="27">
        <f>N215*IF($E795="weekday",INDEX('Category Mapping'!$F$28:$F$39,MATCH('Summarized Source Data'!$A795,'Category Mapping'!$A$28:$A$39,0),1),INDEX('Category Mapping'!$E$28:$E$39,MATCH($A795,'Category Mapping'!$A$28:$A$39,0),1))</f>
        <v>0</v>
      </c>
      <c r="O795" s="27">
        <f>O215*IF($E795="weekday",INDEX('Category Mapping'!$F$28:$F$39,MATCH('Summarized Source Data'!$A795,'Category Mapping'!$A$28:$A$39,0),1),INDEX('Category Mapping'!$E$28:$E$39,MATCH($A795,'Category Mapping'!$A$28:$A$39,0),1))</f>
        <v>7815371292.8571434</v>
      </c>
      <c r="P795" s="27">
        <f>P215*IF($E795="weekday",INDEX('Category Mapping'!$F$28:$F$39,MATCH('Summarized Source Data'!$A795,'Category Mapping'!$A$28:$A$39,0),1),INDEX('Category Mapping'!$E$28:$E$39,MATCH($A795,'Category Mapping'!$A$28:$A$39,0),1))</f>
        <v>7815371292.8571434</v>
      </c>
      <c r="Q795" s="27">
        <f>Q215*IF($E795="weekday",INDEX('Category Mapping'!$F$28:$F$39,MATCH('Summarized Source Data'!$A795,'Category Mapping'!$A$28:$A$39,0),1),INDEX('Category Mapping'!$E$28:$E$39,MATCH($A795,'Category Mapping'!$A$28:$A$39,0),1))</f>
        <v>7815371292.8571434</v>
      </c>
      <c r="R795" s="27">
        <f>R215*IF($E795="weekday",INDEX('Category Mapping'!$F$28:$F$39,MATCH('Summarized Source Data'!$A795,'Category Mapping'!$A$28:$A$39,0),1),INDEX('Category Mapping'!$E$28:$E$39,MATCH($A795,'Category Mapping'!$A$28:$A$39,0),1))</f>
        <v>267857142.8571429</v>
      </c>
      <c r="S795" s="27">
        <f>S215*IF($E795="weekday",INDEX('Category Mapping'!$F$28:$F$39,MATCH('Summarized Source Data'!$A795,'Category Mapping'!$A$28:$A$39,0),1),INDEX('Category Mapping'!$E$28:$E$39,MATCH($A795,'Category Mapping'!$A$28:$A$39,0),1))</f>
        <v>267857142.8571429</v>
      </c>
      <c r="T795" s="27">
        <f>T215*IF($E795="weekday",INDEX('Category Mapping'!$F$28:$F$39,MATCH('Summarized Source Data'!$A795,'Category Mapping'!$A$28:$A$39,0),1),INDEX('Category Mapping'!$E$28:$E$39,MATCH($A795,'Category Mapping'!$A$28:$A$39,0),1))</f>
        <v>267857142.8571429</v>
      </c>
      <c r="U795" s="27">
        <f>U215*IF($E795="weekday",INDEX('Category Mapping'!$F$28:$F$39,MATCH('Summarized Source Data'!$A795,'Category Mapping'!$A$28:$A$39,0),1),INDEX('Category Mapping'!$E$28:$E$39,MATCH($A795,'Category Mapping'!$A$28:$A$39,0),1))</f>
        <v>267857142.8571429</v>
      </c>
      <c r="V795" s="27">
        <f>V215*IF($E795="weekday",INDEX('Category Mapping'!$F$28:$F$39,MATCH('Summarized Source Data'!$A795,'Category Mapping'!$A$28:$A$39,0),1),INDEX('Category Mapping'!$E$28:$E$39,MATCH($A795,'Category Mapping'!$A$28:$A$39,0),1))</f>
        <v>267857142.8571429</v>
      </c>
      <c r="W795" s="27">
        <f>W215*IF($E795="weekday",INDEX('Category Mapping'!$F$28:$F$39,MATCH('Summarized Source Data'!$A795,'Category Mapping'!$A$28:$A$39,0),1),INDEX('Category Mapping'!$E$28:$E$39,MATCH($A795,'Category Mapping'!$A$28:$A$39,0),1))</f>
        <v>267857142.8571429</v>
      </c>
      <c r="X795" s="27">
        <f>X215*IF($E795="weekday",INDEX('Category Mapping'!$F$28:$F$39,MATCH('Summarized Source Data'!$A795,'Category Mapping'!$A$28:$A$39,0),1),INDEX('Category Mapping'!$E$28:$E$39,MATCH($A795,'Category Mapping'!$A$28:$A$39,0),1))</f>
        <v>14507142857.142859</v>
      </c>
      <c r="Y795" s="27">
        <f>Y215*IF($E795="weekday",INDEX('Category Mapping'!$F$28:$F$39,MATCH('Summarized Source Data'!$A795,'Category Mapping'!$A$28:$A$39,0),1),INDEX('Category Mapping'!$E$28:$E$39,MATCH($A795,'Category Mapping'!$A$28:$A$39,0),1))</f>
        <v>14507142857.142859</v>
      </c>
      <c r="Z795" s="27">
        <f>Z215*IF($E795="weekday",INDEX('Category Mapping'!$F$28:$F$39,MATCH('Summarized Source Data'!$A795,'Category Mapping'!$A$28:$A$39,0),1),INDEX('Category Mapping'!$E$28:$E$39,MATCH($A795,'Category Mapping'!$A$28:$A$39,0),1))</f>
        <v>14507142857.142859</v>
      </c>
    </row>
    <row r="796" spans="1:26" x14ac:dyDescent="0.3">
      <c r="A796">
        <f t="shared" ref="A796:E796" si="261">A216</f>
        <v>9</v>
      </c>
      <c r="B796" t="str">
        <f t="shared" si="261"/>
        <v>Fall</v>
      </c>
      <c r="C796" t="str">
        <f t="shared" si="261"/>
        <v>h21</v>
      </c>
      <c r="D796" t="str">
        <f t="shared" si="261"/>
        <v>Hour20</v>
      </c>
      <c r="E796" t="str">
        <f t="shared" si="261"/>
        <v>Weekday</v>
      </c>
      <c r="F796" s="27">
        <f>F216*IF($E796="weekday",INDEX('Category Mapping'!$F$28:$F$39,MATCH('Summarized Source Data'!$A796,'Category Mapping'!$A$28:$A$39,0),1),INDEX('Category Mapping'!$E$28:$E$39,MATCH($A796,'Category Mapping'!$A$28:$A$39,0),1))</f>
        <v>19378350</v>
      </c>
      <c r="G796" s="27">
        <f>G216*IF($E796="weekday",INDEX('Category Mapping'!$F$28:$F$39,MATCH('Summarized Source Data'!$A796,'Category Mapping'!$A$28:$A$39,0),1),INDEX('Category Mapping'!$E$28:$E$39,MATCH($A796,'Category Mapping'!$A$28:$A$39,0),1))</f>
        <v>475714285.71428573</v>
      </c>
      <c r="H796" s="27">
        <f>H216*IF($E796="weekday",INDEX('Category Mapping'!$F$28:$F$39,MATCH('Summarized Source Data'!$A796,'Category Mapping'!$A$28:$A$39,0),1),INDEX('Category Mapping'!$E$28:$E$39,MATCH($A796,'Category Mapping'!$A$28:$A$39,0),1))</f>
        <v>0</v>
      </c>
      <c r="I796" s="27">
        <f>I216*IF($E796="weekday",INDEX('Category Mapping'!$F$28:$F$39,MATCH('Summarized Source Data'!$A796,'Category Mapping'!$A$28:$A$39,0),1),INDEX('Category Mapping'!$E$28:$E$39,MATCH($A796,'Category Mapping'!$A$28:$A$39,0),1))</f>
        <v>1255714285.7142859</v>
      </c>
      <c r="J796" s="27">
        <f>J216*IF($E796="weekday",INDEX('Category Mapping'!$F$28:$F$39,MATCH('Summarized Source Data'!$A796,'Category Mapping'!$A$28:$A$39,0),1),INDEX('Category Mapping'!$E$28:$E$39,MATCH($A796,'Category Mapping'!$A$28:$A$39,0),1))</f>
        <v>3134907364.2857146</v>
      </c>
      <c r="K796" s="27">
        <f>K216*IF($E796="weekday",INDEX('Category Mapping'!$F$28:$F$39,MATCH('Summarized Source Data'!$A796,'Category Mapping'!$A$28:$A$39,0),1),INDEX('Category Mapping'!$E$28:$E$39,MATCH($A796,'Category Mapping'!$A$28:$A$39,0),1))</f>
        <v>3134907364.2857146</v>
      </c>
      <c r="L796" s="27">
        <f>L216*IF($E796="weekday",INDEX('Category Mapping'!$F$28:$F$39,MATCH('Summarized Source Data'!$A796,'Category Mapping'!$A$28:$A$39,0),1),INDEX('Category Mapping'!$E$28:$E$39,MATCH($A796,'Category Mapping'!$A$28:$A$39,0),1))</f>
        <v>36954664.285714291</v>
      </c>
      <c r="M796" s="27">
        <f>M216*IF($E796="weekday",INDEX('Category Mapping'!$F$28:$F$39,MATCH('Summarized Source Data'!$A796,'Category Mapping'!$A$28:$A$39,0),1),INDEX('Category Mapping'!$E$28:$E$39,MATCH($A796,'Category Mapping'!$A$28:$A$39,0),1))</f>
        <v>1992857142.8571432</v>
      </c>
      <c r="N796" s="27">
        <f>N216*IF($E796="weekday",INDEX('Category Mapping'!$F$28:$F$39,MATCH('Summarized Source Data'!$A796,'Category Mapping'!$A$28:$A$39,0),1),INDEX('Category Mapping'!$E$28:$E$39,MATCH($A796,'Category Mapping'!$A$28:$A$39,0),1))</f>
        <v>0</v>
      </c>
      <c r="O796" s="27">
        <f>O216*IF($E796="weekday",INDEX('Category Mapping'!$F$28:$F$39,MATCH('Summarized Source Data'!$A796,'Category Mapping'!$A$28:$A$39,0),1),INDEX('Category Mapping'!$E$28:$E$39,MATCH($A796,'Category Mapping'!$A$28:$A$39,0),1))</f>
        <v>6477331050.000001</v>
      </c>
      <c r="P796" s="27">
        <f>P216*IF($E796="weekday",INDEX('Category Mapping'!$F$28:$F$39,MATCH('Summarized Source Data'!$A796,'Category Mapping'!$A$28:$A$39,0),1),INDEX('Category Mapping'!$E$28:$E$39,MATCH($A796,'Category Mapping'!$A$28:$A$39,0),1))</f>
        <v>6477331050.000001</v>
      </c>
      <c r="Q796" s="27">
        <f>Q216*IF($E796="weekday",INDEX('Category Mapping'!$F$28:$F$39,MATCH('Summarized Source Data'!$A796,'Category Mapping'!$A$28:$A$39,0),1),INDEX('Category Mapping'!$E$28:$E$39,MATCH($A796,'Category Mapping'!$A$28:$A$39,0),1))</f>
        <v>6477331050.000001</v>
      </c>
      <c r="R796" s="27">
        <f>R216*IF($E796="weekday",INDEX('Category Mapping'!$F$28:$F$39,MATCH('Summarized Source Data'!$A796,'Category Mapping'!$A$28:$A$39,0),1),INDEX('Category Mapping'!$E$28:$E$39,MATCH($A796,'Category Mapping'!$A$28:$A$39,0),1))</f>
        <v>246428571.42857146</v>
      </c>
      <c r="S796" s="27">
        <f>S216*IF($E796="weekday",INDEX('Category Mapping'!$F$28:$F$39,MATCH('Summarized Source Data'!$A796,'Category Mapping'!$A$28:$A$39,0),1),INDEX('Category Mapping'!$E$28:$E$39,MATCH($A796,'Category Mapping'!$A$28:$A$39,0),1))</f>
        <v>246428571.42857146</v>
      </c>
      <c r="T796" s="27">
        <f>T216*IF($E796="weekday",INDEX('Category Mapping'!$F$28:$F$39,MATCH('Summarized Source Data'!$A796,'Category Mapping'!$A$28:$A$39,0),1),INDEX('Category Mapping'!$E$28:$E$39,MATCH($A796,'Category Mapping'!$A$28:$A$39,0),1))</f>
        <v>246428571.42857146</v>
      </c>
      <c r="U796" s="27">
        <f>U216*IF($E796="weekday",INDEX('Category Mapping'!$F$28:$F$39,MATCH('Summarized Source Data'!$A796,'Category Mapping'!$A$28:$A$39,0),1),INDEX('Category Mapping'!$E$28:$E$39,MATCH($A796,'Category Mapping'!$A$28:$A$39,0),1))</f>
        <v>246428571.42857146</v>
      </c>
      <c r="V796" s="27">
        <f>V216*IF($E796="weekday",INDEX('Category Mapping'!$F$28:$F$39,MATCH('Summarized Source Data'!$A796,'Category Mapping'!$A$28:$A$39,0),1),INDEX('Category Mapping'!$E$28:$E$39,MATCH($A796,'Category Mapping'!$A$28:$A$39,0),1))</f>
        <v>246428571.42857146</v>
      </c>
      <c r="W796" s="27">
        <f>W216*IF($E796="weekday",INDEX('Category Mapping'!$F$28:$F$39,MATCH('Summarized Source Data'!$A796,'Category Mapping'!$A$28:$A$39,0),1),INDEX('Category Mapping'!$E$28:$E$39,MATCH($A796,'Category Mapping'!$A$28:$A$39,0),1))</f>
        <v>246428571.42857146</v>
      </c>
      <c r="X796" s="27">
        <f>X216*IF($E796="weekday",INDEX('Category Mapping'!$F$28:$F$39,MATCH('Summarized Source Data'!$A796,'Category Mapping'!$A$28:$A$39,0),1),INDEX('Category Mapping'!$E$28:$E$39,MATCH($A796,'Category Mapping'!$A$28:$A$39,0),1))</f>
        <v>14400000000.000002</v>
      </c>
      <c r="Y796" s="27">
        <f>Y216*IF($E796="weekday",INDEX('Category Mapping'!$F$28:$F$39,MATCH('Summarized Source Data'!$A796,'Category Mapping'!$A$28:$A$39,0),1),INDEX('Category Mapping'!$E$28:$E$39,MATCH($A796,'Category Mapping'!$A$28:$A$39,0),1))</f>
        <v>14400000000.000002</v>
      </c>
      <c r="Z796" s="27">
        <f>Z216*IF($E796="weekday",INDEX('Category Mapping'!$F$28:$F$39,MATCH('Summarized Source Data'!$A796,'Category Mapping'!$A$28:$A$39,0),1),INDEX('Category Mapping'!$E$28:$E$39,MATCH($A796,'Category Mapping'!$A$28:$A$39,0),1))</f>
        <v>14400000000.000002</v>
      </c>
    </row>
    <row r="797" spans="1:26" x14ac:dyDescent="0.3">
      <c r="A797">
        <f t="shared" ref="A797:E797" si="262">A217</f>
        <v>9</v>
      </c>
      <c r="B797" t="str">
        <f t="shared" si="262"/>
        <v>Fall</v>
      </c>
      <c r="C797" t="str">
        <f t="shared" si="262"/>
        <v>h22</v>
      </c>
      <c r="D797" t="str">
        <f t="shared" si="262"/>
        <v>Hour21</v>
      </c>
      <c r="E797" t="str">
        <f t="shared" si="262"/>
        <v>Weekday</v>
      </c>
      <c r="F797" s="27">
        <f>F217*IF($E797="weekday",INDEX('Category Mapping'!$F$28:$F$39,MATCH('Summarized Source Data'!$A797,'Category Mapping'!$A$28:$A$39,0),1),INDEX('Category Mapping'!$E$28:$E$39,MATCH($A797,'Category Mapping'!$A$28:$A$39,0),1))</f>
        <v>17023928.571428575</v>
      </c>
      <c r="G797" s="27">
        <f>G217*IF($E797="weekday",INDEX('Category Mapping'!$F$28:$F$39,MATCH('Summarized Source Data'!$A797,'Category Mapping'!$A$28:$A$39,0),1),INDEX('Category Mapping'!$E$28:$E$39,MATCH($A797,'Category Mapping'!$A$28:$A$39,0),1))</f>
        <v>285000000</v>
      </c>
      <c r="H797" s="27">
        <f>H217*IF($E797="weekday",INDEX('Category Mapping'!$F$28:$F$39,MATCH('Summarized Source Data'!$A797,'Category Mapping'!$A$28:$A$39,0),1),INDEX('Category Mapping'!$E$28:$E$39,MATCH($A797,'Category Mapping'!$A$28:$A$39,0),1))</f>
        <v>0</v>
      </c>
      <c r="I797" s="27">
        <f>I217*IF($E797="weekday",INDEX('Category Mapping'!$F$28:$F$39,MATCH('Summarized Source Data'!$A797,'Category Mapping'!$A$28:$A$39,0),1),INDEX('Category Mapping'!$E$28:$E$39,MATCH($A797,'Category Mapping'!$A$28:$A$39,0),1))</f>
        <v>1028571428.5714287</v>
      </c>
      <c r="J797" s="27">
        <f>J217*IF($E797="weekday",INDEX('Category Mapping'!$F$28:$F$39,MATCH('Summarized Source Data'!$A797,'Category Mapping'!$A$28:$A$39,0),1),INDEX('Category Mapping'!$E$28:$E$39,MATCH($A797,'Category Mapping'!$A$28:$A$39,0),1))</f>
        <v>3083690357.1428576</v>
      </c>
      <c r="K797" s="27">
        <f>K217*IF($E797="weekday",INDEX('Category Mapping'!$F$28:$F$39,MATCH('Summarized Source Data'!$A797,'Category Mapping'!$A$28:$A$39,0),1),INDEX('Category Mapping'!$E$28:$E$39,MATCH($A797,'Category Mapping'!$A$28:$A$39,0),1))</f>
        <v>3083690357.1428576</v>
      </c>
      <c r="L797" s="27">
        <f>L217*IF($E797="weekday",INDEX('Category Mapping'!$F$28:$F$39,MATCH('Summarized Source Data'!$A797,'Category Mapping'!$A$28:$A$39,0),1),INDEX('Category Mapping'!$E$28:$E$39,MATCH($A797,'Category Mapping'!$A$28:$A$39,0),1))</f>
        <v>34703250</v>
      </c>
      <c r="M797" s="27">
        <f>M217*IF($E797="weekday",INDEX('Category Mapping'!$F$28:$F$39,MATCH('Summarized Source Data'!$A797,'Category Mapping'!$A$28:$A$39,0),1),INDEX('Category Mapping'!$E$28:$E$39,MATCH($A797,'Category Mapping'!$A$28:$A$39,0),1))</f>
        <v>1733571428.5714288</v>
      </c>
      <c r="N797" s="27">
        <f>N217*IF($E797="weekday",INDEX('Category Mapping'!$F$28:$F$39,MATCH('Summarized Source Data'!$A797,'Category Mapping'!$A$28:$A$39,0),1),INDEX('Category Mapping'!$E$28:$E$39,MATCH($A797,'Category Mapping'!$A$28:$A$39,0),1))</f>
        <v>0</v>
      </c>
      <c r="O797" s="27">
        <f>O217*IF($E797="weekday",INDEX('Category Mapping'!$F$28:$F$39,MATCH('Summarized Source Data'!$A797,'Category Mapping'!$A$28:$A$39,0),1),INDEX('Category Mapping'!$E$28:$E$39,MATCH($A797,'Category Mapping'!$A$28:$A$39,0),1))</f>
        <v>5260296750.000001</v>
      </c>
      <c r="P797" s="27">
        <f>P217*IF($E797="weekday",INDEX('Category Mapping'!$F$28:$F$39,MATCH('Summarized Source Data'!$A797,'Category Mapping'!$A$28:$A$39,0),1),INDEX('Category Mapping'!$E$28:$E$39,MATCH($A797,'Category Mapping'!$A$28:$A$39,0),1))</f>
        <v>5260296750.000001</v>
      </c>
      <c r="Q797" s="27">
        <f>Q217*IF($E797="weekday",INDEX('Category Mapping'!$F$28:$F$39,MATCH('Summarized Source Data'!$A797,'Category Mapping'!$A$28:$A$39,0),1),INDEX('Category Mapping'!$E$28:$E$39,MATCH($A797,'Category Mapping'!$A$28:$A$39,0),1))</f>
        <v>5260296750.000001</v>
      </c>
      <c r="R797" s="27">
        <f>R217*IF($E797="weekday",INDEX('Category Mapping'!$F$28:$F$39,MATCH('Summarized Source Data'!$A797,'Category Mapping'!$A$28:$A$39,0),1),INDEX('Category Mapping'!$E$28:$E$39,MATCH($A797,'Category Mapping'!$A$28:$A$39,0),1))</f>
        <v>229285714.2857143</v>
      </c>
      <c r="S797" s="27">
        <f>S217*IF($E797="weekday",INDEX('Category Mapping'!$F$28:$F$39,MATCH('Summarized Source Data'!$A797,'Category Mapping'!$A$28:$A$39,0),1),INDEX('Category Mapping'!$E$28:$E$39,MATCH($A797,'Category Mapping'!$A$28:$A$39,0),1))</f>
        <v>229285714.2857143</v>
      </c>
      <c r="T797" s="27">
        <f>T217*IF($E797="weekday",INDEX('Category Mapping'!$F$28:$F$39,MATCH('Summarized Source Data'!$A797,'Category Mapping'!$A$28:$A$39,0),1),INDEX('Category Mapping'!$E$28:$E$39,MATCH($A797,'Category Mapping'!$A$28:$A$39,0),1))</f>
        <v>229285714.2857143</v>
      </c>
      <c r="U797" s="27">
        <f>U217*IF($E797="weekday",INDEX('Category Mapping'!$F$28:$F$39,MATCH('Summarized Source Data'!$A797,'Category Mapping'!$A$28:$A$39,0),1),INDEX('Category Mapping'!$E$28:$E$39,MATCH($A797,'Category Mapping'!$A$28:$A$39,0),1))</f>
        <v>229285714.2857143</v>
      </c>
      <c r="V797" s="27">
        <f>V217*IF($E797="weekday",INDEX('Category Mapping'!$F$28:$F$39,MATCH('Summarized Source Data'!$A797,'Category Mapping'!$A$28:$A$39,0),1),INDEX('Category Mapping'!$E$28:$E$39,MATCH($A797,'Category Mapping'!$A$28:$A$39,0),1))</f>
        <v>229285714.2857143</v>
      </c>
      <c r="W797" s="27">
        <f>W217*IF($E797="weekday",INDEX('Category Mapping'!$F$28:$F$39,MATCH('Summarized Source Data'!$A797,'Category Mapping'!$A$28:$A$39,0),1),INDEX('Category Mapping'!$E$28:$E$39,MATCH($A797,'Category Mapping'!$A$28:$A$39,0),1))</f>
        <v>229285714.2857143</v>
      </c>
      <c r="X797" s="27">
        <f>X217*IF($E797="weekday",INDEX('Category Mapping'!$F$28:$F$39,MATCH('Summarized Source Data'!$A797,'Category Mapping'!$A$28:$A$39,0),1),INDEX('Category Mapping'!$E$28:$E$39,MATCH($A797,'Category Mapping'!$A$28:$A$39,0),1))</f>
        <v>14292857142.857143</v>
      </c>
      <c r="Y797" s="27">
        <f>Y217*IF($E797="weekday",INDEX('Category Mapping'!$F$28:$F$39,MATCH('Summarized Source Data'!$A797,'Category Mapping'!$A$28:$A$39,0),1),INDEX('Category Mapping'!$E$28:$E$39,MATCH($A797,'Category Mapping'!$A$28:$A$39,0),1))</f>
        <v>14292857142.857143</v>
      </c>
      <c r="Z797" s="27">
        <f>Z217*IF($E797="weekday",INDEX('Category Mapping'!$F$28:$F$39,MATCH('Summarized Source Data'!$A797,'Category Mapping'!$A$28:$A$39,0),1),INDEX('Category Mapping'!$E$28:$E$39,MATCH($A797,'Category Mapping'!$A$28:$A$39,0),1))</f>
        <v>14292857142.857143</v>
      </c>
    </row>
    <row r="798" spans="1:26" x14ac:dyDescent="0.3">
      <c r="A798">
        <f t="shared" ref="A798:E798" si="263">A218</f>
        <v>9</v>
      </c>
      <c r="B798" t="str">
        <f t="shared" si="263"/>
        <v>Fall</v>
      </c>
      <c r="C798" t="str">
        <f t="shared" si="263"/>
        <v>h23</v>
      </c>
      <c r="D798" t="str">
        <f t="shared" si="263"/>
        <v>Hour22</v>
      </c>
      <c r="E798" t="str">
        <f t="shared" si="263"/>
        <v>Weekday</v>
      </c>
      <c r="F798" s="27">
        <f>F218*IF($E798="weekday",INDEX('Category Mapping'!$F$28:$F$39,MATCH('Summarized Source Data'!$A798,'Category Mapping'!$A$28:$A$39,0),1),INDEX('Category Mapping'!$E$28:$E$39,MATCH($A798,'Category Mapping'!$A$28:$A$39,0),1))</f>
        <v>12711450.000000002</v>
      </c>
      <c r="G798" s="27">
        <f>G218*IF($E798="weekday",INDEX('Category Mapping'!$F$28:$F$39,MATCH('Summarized Source Data'!$A798,'Category Mapping'!$A$28:$A$39,0),1),INDEX('Category Mapping'!$E$28:$E$39,MATCH($A798,'Category Mapping'!$A$28:$A$39,0),1))</f>
        <v>138406371.42857143</v>
      </c>
      <c r="H798" s="27">
        <f>H218*IF($E798="weekday",INDEX('Category Mapping'!$F$28:$F$39,MATCH('Summarized Source Data'!$A798,'Category Mapping'!$A$28:$A$39,0),1),INDEX('Category Mapping'!$E$28:$E$39,MATCH($A798,'Category Mapping'!$A$28:$A$39,0),1))</f>
        <v>0</v>
      </c>
      <c r="I798" s="27">
        <f>I218*IF($E798="weekday",INDEX('Category Mapping'!$F$28:$F$39,MATCH('Summarized Source Data'!$A798,'Category Mapping'!$A$28:$A$39,0),1),INDEX('Category Mapping'!$E$28:$E$39,MATCH($A798,'Category Mapping'!$A$28:$A$39,0),1))</f>
        <v>610714285.71428573</v>
      </c>
      <c r="J798" s="27">
        <f>J218*IF($E798="weekday",INDEX('Category Mapping'!$F$28:$F$39,MATCH('Summarized Source Data'!$A798,'Category Mapping'!$A$28:$A$39,0),1),INDEX('Category Mapping'!$E$28:$E$39,MATCH($A798,'Category Mapping'!$A$28:$A$39,0),1))</f>
        <v>2409596464.2857146</v>
      </c>
      <c r="K798" s="27">
        <f>K218*IF($E798="weekday",INDEX('Category Mapping'!$F$28:$F$39,MATCH('Summarized Source Data'!$A798,'Category Mapping'!$A$28:$A$39,0),1),INDEX('Category Mapping'!$E$28:$E$39,MATCH($A798,'Category Mapping'!$A$28:$A$39,0),1))</f>
        <v>2409596464.2857146</v>
      </c>
      <c r="L798" s="27">
        <f>L218*IF($E798="weekday",INDEX('Category Mapping'!$F$28:$F$39,MATCH('Summarized Source Data'!$A798,'Category Mapping'!$A$28:$A$39,0),1),INDEX('Category Mapping'!$E$28:$E$39,MATCH($A798,'Category Mapping'!$A$28:$A$39,0),1))</f>
        <v>43146150.000000007</v>
      </c>
      <c r="M798" s="27">
        <f>M218*IF($E798="weekday",INDEX('Category Mapping'!$F$28:$F$39,MATCH('Summarized Source Data'!$A798,'Category Mapping'!$A$28:$A$39,0),1),INDEX('Category Mapping'!$E$28:$E$39,MATCH($A798,'Category Mapping'!$A$28:$A$39,0),1))</f>
        <v>1506428571.4285715</v>
      </c>
      <c r="N798" s="27">
        <f>N218*IF($E798="weekday",INDEX('Category Mapping'!$F$28:$F$39,MATCH('Summarized Source Data'!$A798,'Category Mapping'!$A$28:$A$39,0),1),INDEX('Category Mapping'!$E$28:$E$39,MATCH($A798,'Category Mapping'!$A$28:$A$39,0),1))</f>
        <v>0</v>
      </c>
      <c r="O798" s="27">
        <f>O218*IF($E798="weekday",INDEX('Category Mapping'!$F$28:$F$39,MATCH('Summarized Source Data'!$A798,'Category Mapping'!$A$28:$A$39,0),1),INDEX('Category Mapping'!$E$28:$E$39,MATCH($A798,'Category Mapping'!$A$28:$A$39,0),1))</f>
        <v>4407568135.7142859</v>
      </c>
      <c r="P798" s="27">
        <f>P218*IF($E798="weekday",INDEX('Category Mapping'!$F$28:$F$39,MATCH('Summarized Source Data'!$A798,'Category Mapping'!$A$28:$A$39,0),1),INDEX('Category Mapping'!$E$28:$E$39,MATCH($A798,'Category Mapping'!$A$28:$A$39,0),1))</f>
        <v>4407568135.7142859</v>
      </c>
      <c r="Q798" s="27">
        <f>Q218*IF($E798="weekday",INDEX('Category Mapping'!$F$28:$F$39,MATCH('Summarized Source Data'!$A798,'Category Mapping'!$A$28:$A$39,0),1),INDEX('Category Mapping'!$E$28:$E$39,MATCH($A798,'Category Mapping'!$A$28:$A$39,0),1))</f>
        <v>4407568135.7142859</v>
      </c>
      <c r="R798" s="27">
        <f>R218*IF($E798="weekday",INDEX('Category Mapping'!$F$28:$F$39,MATCH('Summarized Source Data'!$A798,'Category Mapping'!$A$28:$A$39,0),1),INDEX('Category Mapping'!$E$28:$E$39,MATCH($A798,'Category Mapping'!$A$28:$A$39,0),1))</f>
        <v>216428571.42857146</v>
      </c>
      <c r="S798" s="27">
        <f>S218*IF($E798="weekday",INDEX('Category Mapping'!$F$28:$F$39,MATCH('Summarized Source Data'!$A798,'Category Mapping'!$A$28:$A$39,0),1),INDEX('Category Mapping'!$E$28:$E$39,MATCH($A798,'Category Mapping'!$A$28:$A$39,0),1))</f>
        <v>216428571.42857146</v>
      </c>
      <c r="T798" s="27">
        <f>T218*IF($E798="weekday",INDEX('Category Mapping'!$F$28:$F$39,MATCH('Summarized Source Data'!$A798,'Category Mapping'!$A$28:$A$39,0),1),INDEX('Category Mapping'!$E$28:$E$39,MATCH($A798,'Category Mapping'!$A$28:$A$39,0),1))</f>
        <v>216428571.42857146</v>
      </c>
      <c r="U798" s="27">
        <f>U218*IF($E798="weekday",INDEX('Category Mapping'!$F$28:$F$39,MATCH('Summarized Source Data'!$A798,'Category Mapping'!$A$28:$A$39,0),1),INDEX('Category Mapping'!$E$28:$E$39,MATCH($A798,'Category Mapping'!$A$28:$A$39,0),1))</f>
        <v>216428571.42857146</v>
      </c>
      <c r="V798" s="27">
        <f>V218*IF($E798="weekday",INDEX('Category Mapping'!$F$28:$F$39,MATCH('Summarized Source Data'!$A798,'Category Mapping'!$A$28:$A$39,0),1),INDEX('Category Mapping'!$E$28:$E$39,MATCH($A798,'Category Mapping'!$A$28:$A$39,0),1))</f>
        <v>216428571.42857146</v>
      </c>
      <c r="W798" s="27">
        <f>W218*IF($E798="weekday",INDEX('Category Mapping'!$F$28:$F$39,MATCH('Summarized Source Data'!$A798,'Category Mapping'!$A$28:$A$39,0),1),INDEX('Category Mapping'!$E$28:$E$39,MATCH($A798,'Category Mapping'!$A$28:$A$39,0),1))</f>
        <v>216428571.42857146</v>
      </c>
      <c r="X798" s="27">
        <f>X218*IF($E798="weekday",INDEX('Category Mapping'!$F$28:$F$39,MATCH('Summarized Source Data'!$A798,'Category Mapping'!$A$28:$A$39,0),1),INDEX('Category Mapping'!$E$28:$E$39,MATCH($A798,'Category Mapping'!$A$28:$A$39,0),1))</f>
        <v>14164285714.285715</v>
      </c>
      <c r="Y798" s="27">
        <f>Y218*IF($E798="weekday",INDEX('Category Mapping'!$F$28:$F$39,MATCH('Summarized Source Data'!$A798,'Category Mapping'!$A$28:$A$39,0),1),INDEX('Category Mapping'!$E$28:$E$39,MATCH($A798,'Category Mapping'!$A$28:$A$39,0),1))</f>
        <v>14164285714.285715</v>
      </c>
      <c r="Z798" s="27">
        <f>Z218*IF($E798="weekday",INDEX('Category Mapping'!$F$28:$F$39,MATCH('Summarized Source Data'!$A798,'Category Mapping'!$A$28:$A$39,0),1),INDEX('Category Mapping'!$E$28:$E$39,MATCH($A798,'Category Mapping'!$A$28:$A$39,0),1))</f>
        <v>14164285714.285715</v>
      </c>
    </row>
    <row r="799" spans="1:26" x14ac:dyDescent="0.3">
      <c r="A799">
        <f t="shared" ref="A799:E799" si="264">A219</f>
        <v>9</v>
      </c>
      <c r="B799" t="str">
        <f t="shared" si="264"/>
        <v>Fall</v>
      </c>
      <c r="C799" t="str">
        <f t="shared" si="264"/>
        <v>h24</v>
      </c>
      <c r="D799" t="str">
        <f t="shared" si="264"/>
        <v>Hour23</v>
      </c>
      <c r="E799" t="str">
        <f t="shared" si="264"/>
        <v>Weekday</v>
      </c>
      <c r="F799" s="27">
        <f>F219*IF($E799="weekday",INDEX('Category Mapping'!$F$28:$F$39,MATCH('Summarized Source Data'!$A799,'Category Mapping'!$A$28:$A$39,0),1),INDEX('Category Mapping'!$E$28:$E$39,MATCH($A799,'Category Mapping'!$A$28:$A$39,0),1))</f>
        <v>11370000.000000002</v>
      </c>
      <c r="G799" s="27">
        <f>G219*IF($E799="weekday",INDEX('Category Mapping'!$F$28:$F$39,MATCH('Summarized Source Data'!$A799,'Category Mapping'!$A$28:$A$39,0),1),INDEX('Category Mapping'!$E$28:$E$39,MATCH($A799,'Category Mapping'!$A$28:$A$39,0),1))</f>
        <v>75469500</v>
      </c>
      <c r="H799" s="27">
        <f>H219*IF($E799="weekday",INDEX('Category Mapping'!$F$28:$F$39,MATCH('Summarized Source Data'!$A799,'Category Mapping'!$A$28:$A$39,0),1),INDEX('Category Mapping'!$E$28:$E$39,MATCH($A799,'Category Mapping'!$A$28:$A$39,0),1))</f>
        <v>0</v>
      </c>
      <c r="I799" s="27">
        <f>I219*IF($E799="weekday",INDEX('Category Mapping'!$F$28:$F$39,MATCH('Summarized Source Data'!$A799,'Category Mapping'!$A$28:$A$39,0),1),INDEX('Category Mapping'!$E$28:$E$39,MATCH($A799,'Category Mapping'!$A$28:$A$39,0),1))</f>
        <v>321428571.42857146</v>
      </c>
      <c r="J799" s="27">
        <f>J219*IF($E799="weekday",INDEX('Category Mapping'!$F$28:$F$39,MATCH('Summarized Source Data'!$A799,'Category Mapping'!$A$28:$A$39,0),1),INDEX('Category Mapping'!$E$28:$E$39,MATCH($A799,'Category Mapping'!$A$28:$A$39,0),1))</f>
        <v>1927446214.2857144</v>
      </c>
      <c r="K799" s="27">
        <f>K219*IF($E799="weekday",INDEX('Category Mapping'!$F$28:$F$39,MATCH('Summarized Source Data'!$A799,'Category Mapping'!$A$28:$A$39,0),1),INDEX('Category Mapping'!$E$28:$E$39,MATCH($A799,'Category Mapping'!$A$28:$A$39,0),1))</f>
        <v>1927446214.2857144</v>
      </c>
      <c r="L799" s="27">
        <f>L219*IF($E799="weekday",INDEX('Category Mapping'!$F$28:$F$39,MATCH('Summarized Source Data'!$A799,'Category Mapping'!$A$28:$A$39,0),1),INDEX('Category Mapping'!$E$28:$E$39,MATCH($A799,'Category Mapping'!$A$28:$A$39,0),1))</f>
        <v>45664221.428571433</v>
      </c>
      <c r="M799" s="27">
        <f>M219*IF($E799="weekday",INDEX('Category Mapping'!$F$28:$F$39,MATCH('Summarized Source Data'!$A799,'Category Mapping'!$A$28:$A$39,0),1),INDEX('Category Mapping'!$E$28:$E$39,MATCH($A799,'Category Mapping'!$A$28:$A$39,0),1))</f>
        <v>1296428571.4285715</v>
      </c>
      <c r="N799" s="27">
        <f>N219*IF($E799="weekday",INDEX('Category Mapping'!$F$28:$F$39,MATCH('Summarized Source Data'!$A799,'Category Mapping'!$A$28:$A$39,0),1),INDEX('Category Mapping'!$E$28:$E$39,MATCH($A799,'Category Mapping'!$A$28:$A$39,0),1))</f>
        <v>0</v>
      </c>
      <c r="O799" s="27">
        <f>O219*IF($E799="weekday",INDEX('Category Mapping'!$F$28:$F$39,MATCH('Summarized Source Data'!$A799,'Category Mapping'!$A$28:$A$39,0),1),INDEX('Category Mapping'!$E$28:$E$39,MATCH($A799,'Category Mapping'!$A$28:$A$39,0),1))</f>
        <v>3865050064.2857146</v>
      </c>
      <c r="P799" s="27">
        <f>P219*IF($E799="weekday",INDEX('Category Mapping'!$F$28:$F$39,MATCH('Summarized Source Data'!$A799,'Category Mapping'!$A$28:$A$39,0),1),INDEX('Category Mapping'!$E$28:$E$39,MATCH($A799,'Category Mapping'!$A$28:$A$39,0),1))</f>
        <v>3865050064.2857146</v>
      </c>
      <c r="Q799" s="27">
        <f>Q219*IF($E799="weekday",INDEX('Category Mapping'!$F$28:$F$39,MATCH('Summarized Source Data'!$A799,'Category Mapping'!$A$28:$A$39,0),1),INDEX('Category Mapping'!$E$28:$E$39,MATCH($A799,'Category Mapping'!$A$28:$A$39,0),1))</f>
        <v>3865050064.2857146</v>
      </c>
      <c r="R799" s="27">
        <f>R219*IF($E799="weekday",INDEX('Category Mapping'!$F$28:$F$39,MATCH('Summarized Source Data'!$A799,'Category Mapping'!$A$28:$A$39,0),1),INDEX('Category Mapping'!$E$28:$E$39,MATCH($A799,'Category Mapping'!$A$28:$A$39,0),1))</f>
        <v>145724100</v>
      </c>
      <c r="S799" s="27">
        <f>S219*IF($E799="weekday",INDEX('Category Mapping'!$F$28:$F$39,MATCH('Summarized Source Data'!$A799,'Category Mapping'!$A$28:$A$39,0),1),INDEX('Category Mapping'!$E$28:$E$39,MATCH($A799,'Category Mapping'!$A$28:$A$39,0),1))</f>
        <v>145724100</v>
      </c>
      <c r="T799" s="27">
        <f>T219*IF($E799="weekday",INDEX('Category Mapping'!$F$28:$F$39,MATCH('Summarized Source Data'!$A799,'Category Mapping'!$A$28:$A$39,0),1),INDEX('Category Mapping'!$E$28:$E$39,MATCH($A799,'Category Mapping'!$A$28:$A$39,0),1))</f>
        <v>145724100</v>
      </c>
      <c r="U799" s="27">
        <f>U219*IF($E799="weekday",INDEX('Category Mapping'!$F$28:$F$39,MATCH('Summarized Source Data'!$A799,'Category Mapping'!$A$28:$A$39,0),1),INDEX('Category Mapping'!$E$28:$E$39,MATCH($A799,'Category Mapping'!$A$28:$A$39,0),1))</f>
        <v>145724100</v>
      </c>
      <c r="V799" s="27">
        <f>V219*IF($E799="weekday",INDEX('Category Mapping'!$F$28:$F$39,MATCH('Summarized Source Data'!$A799,'Category Mapping'!$A$28:$A$39,0),1),INDEX('Category Mapping'!$E$28:$E$39,MATCH($A799,'Category Mapping'!$A$28:$A$39,0),1))</f>
        <v>145724100</v>
      </c>
      <c r="W799" s="27">
        <f>W219*IF($E799="weekday",INDEX('Category Mapping'!$F$28:$F$39,MATCH('Summarized Source Data'!$A799,'Category Mapping'!$A$28:$A$39,0),1),INDEX('Category Mapping'!$E$28:$E$39,MATCH($A799,'Category Mapping'!$A$28:$A$39,0),1))</f>
        <v>145724100</v>
      </c>
      <c r="X799" s="27">
        <f>X219*IF($E799="weekday",INDEX('Category Mapping'!$F$28:$F$39,MATCH('Summarized Source Data'!$A799,'Category Mapping'!$A$28:$A$39,0),1),INDEX('Category Mapping'!$E$28:$E$39,MATCH($A799,'Category Mapping'!$A$28:$A$39,0),1))</f>
        <v>14078571428.57143</v>
      </c>
      <c r="Y799" s="27">
        <f>Y219*IF($E799="weekday",INDEX('Category Mapping'!$F$28:$F$39,MATCH('Summarized Source Data'!$A799,'Category Mapping'!$A$28:$A$39,0),1),INDEX('Category Mapping'!$E$28:$E$39,MATCH($A799,'Category Mapping'!$A$28:$A$39,0),1))</f>
        <v>14078571428.57143</v>
      </c>
      <c r="Z799" s="27">
        <f>Z219*IF($E799="weekday",INDEX('Category Mapping'!$F$28:$F$39,MATCH('Summarized Source Data'!$A799,'Category Mapping'!$A$28:$A$39,0),1),INDEX('Category Mapping'!$E$28:$E$39,MATCH($A799,'Category Mapping'!$A$28:$A$39,0),1))</f>
        <v>14078571428.57143</v>
      </c>
    </row>
    <row r="800" spans="1:26" x14ac:dyDescent="0.3">
      <c r="A800">
        <f t="shared" ref="A800:E800" si="265">A220</f>
        <v>10</v>
      </c>
      <c r="B800" t="str">
        <f t="shared" si="265"/>
        <v>Fall</v>
      </c>
      <c r="C800" t="str">
        <f t="shared" si="265"/>
        <v>h1</v>
      </c>
      <c r="D800" t="str">
        <f t="shared" si="265"/>
        <v>Hour0</v>
      </c>
      <c r="E800" t="str">
        <f t="shared" si="265"/>
        <v>Weekday</v>
      </c>
      <c r="F800" s="27">
        <f>F220*IF($E800="weekday",INDEX('Category Mapping'!$F$28:$F$39,MATCH('Summarized Source Data'!$A800,'Category Mapping'!$A$28:$A$39,0),1),INDEX('Category Mapping'!$E$28:$E$39,MATCH($A800,'Category Mapping'!$A$28:$A$39,0),1))</f>
        <v>82339697.857142851</v>
      </c>
      <c r="G800" s="27">
        <f>G220*IF($E800="weekday",INDEX('Category Mapping'!$F$28:$F$39,MATCH('Summarized Source Data'!$A800,'Category Mapping'!$A$28:$A$39,0),1),INDEX('Category Mapping'!$E$28:$E$39,MATCH($A800,'Category Mapping'!$A$28:$A$39,0),1))</f>
        <v>64258.571428571428</v>
      </c>
      <c r="H800" s="27">
        <f>H220*IF($E800="weekday",INDEX('Category Mapping'!$F$28:$F$39,MATCH('Summarized Source Data'!$A800,'Category Mapping'!$A$28:$A$39,0),1),INDEX('Category Mapping'!$E$28:$E$39,MATCH($A800,'Category Mapping'!$A$28:$A$39,0),1))</f>
        <v>0</v>
      </c>
      <c r="I800" s="27">
        <f>I220*IF($E800="weekday",INDEX('Category Mapping'!$F$28:$F$39,MATCH('Summarized Source Data'!$A800,'Category Mapping'!$A$28:$A$39,0),1),INDEX('Category Mapping'!$E$28:$E$39,MATCH($A800,'Category Mapping'!$A$28:$A$39,0),1))</f>
        <v>241357142.85714287</v>
      </c>
      <c r="J800" s="27">
        <f>J220*IF($E800="weekday",INDEX('Category Mapping'!$F$28:$F$39,MATCH('Summarized Source Data'!$A800,'Category Mapping'!$A$28:$A$39,0),1),INDEX('Category Mapping'!$E$28:$E$39,MATCH($A800,'Category Mapping'!$A$28:$A$39,0),1))</f>
        <v>1613738900.7142856</v>
      </c>
      <c r="K800" s="27">
        <f>K220*IF($E800="weekday",INDEX('Category Mapping'!$F$28:$F$39,MATCH('Summarized Source Data'!$A800,'Category Mapping'!$A$28:$A$39,0),1),INDEX('Category Mapping'!$E$28:$E$39,MATCH($A800,'Category Mapping'!$A$28:$A$39,0),1))</f>
        <v>1613738900.7142856</v>
      </c>
      <c r="L800" s="27">
        <f>L220*IF($E800="weekday",INDEX('Category Mapping'!$F$28:$F$39,MATCH('Summarized Source Data'!$A800,'Category Mapping'!$A$28:$A$39,0),1),INDEX('Category Mapping'!$E$28:$E$39,MATCH($A800,'Category Mapping'!$A$28:$A$39,0),1))</f>
        <v>314428571.4285714</v>
      </c>
      <c r="M800" s="27">
        <f>M220*IF($E800="weekday",INDEX('Category Mapping'!$F$28:$F$39,MATCH('Summarized Source Data'!$A800,'Category Mapping'!$A$28:$A$39,0),1),INDEX('Category Mapping'!$E$28:$E$39,MATCH($A800,'Category Mapping'!$A$28:$A$39,0),1))</f>
        <v>27804099.285714284</v>
      </c>
      <c r="N800" s="27">
        <f>N220*IF($E800="weekday",INDEX('Category Mapping'!$F$28:$F$39,MATCH('Summarized Source Data'!$A800,'Category Mapping'!$A$28:$A$39,0),1),INDEX('Category Mapping'!$E$28:$E$39,MATCH($A800,'Category Mapping'!$A$28:$A$39,0),1))</f>
        <v>0</v>
      </c>
      <c r="O800" s="27">
        <f>O220*IF($E800="weekday",INDEX('Category Mapping'!$F$28:$F$39,MATCH('Summarized Source Data'!$A800,'Category Mapping'!$A$28:$A$39,0),1),INDEX('Category Mapping'!$E$28:$E$39,MATCH($A800,'Category Mapping'!$A$28:$A$39,0),1))</f>
        <v>3377767329.2857141</v>
      </c>
      <c r="P800" s="27">
        <f>P220*IF($E800="weekday",INDEX('Category Mapping'!$F$28:$F$39,MATCH('Summarized Source Data'!$A800,'Category Mapping'!$A$28:$A$39,0),1),INDEX('Category Mapping'!$E$28:$E$39,MATCH($A800,'Category Mapping'!$A$28:$A$39,0),1))</f>
        <v>3377767329.2857141</v>
      </c>
      <c r="Q800" s="27">
        <f>Q220*IF($E800="weekday",INDEX('Category Mapping'!$F$28:$F$39,MATCH('Summarized Source Data'!$A800,'Category Mapping'!$A$28:$A$39,0),1),INDEX('Category Mapping'!$E$28:$E$39,MATCH($A800,'Category Mapping'!$A$28:$A$39,0),1))</f>
        <v>3377767329.2857141</v>
      </c>
      <c r="R800" s="27">
        <f>R220*IF($E800="weekday",INDEX('Category Mapping'!$F$28:$F$39,MATCH('Summarized Source Data'!$A800,'Category Mapping'!$A$28:$A$39,0),1),INDEX('Category Mapping'!$E$28:$E$39,MATCH($A800,'Category Mapping'!$A$28:$A$39,0),1))</f>
        <v>107314781.42857143</v>
      </c>
      <c r="S800" s="27">
        <f>S220*IF($E800="weekday",INDEX('Category Mapping'!$F$28:$F$39,MATCH('Summarized Source Data'!$A800,'Category Mapping'!$A$28:$A$39,0),1),INDEX('Category Mapping'!$E$28:$E$39,MATCH($A800,'Category Mapping'!$A$28:$A$39,0),1))</f>
        <v>107314781.42857143</v>
      </c>
      <c r="T800" s="27">
        <f>T220*IF($E800="weekday",INDEX('Category Mapping'!$F$28:$F$39,MATCH('Summarized Source Data'!$A800,'Category Mapping'!$A$28:$A$39,0),1),INDEX('Category Mapping'!$E$28:$E$39,MATCH($A800,'Category Mapping'!$A$28:$A$39,0),1))</f>
        <v>107314781.42857143</v>
      </c>
      <c r="U800" s="27">
        <f>U220*IF($E800="weekday",INDEX('Category Mapping'!$F$28:$F$39,MATCH('Summarized Source Data'!$A800,'Category Mapping'!$A$28:$A$39,0),1),INDEX('Category Mapping'!$E$28:$E$39,MATCH($A800,'Category Mapping'!$A$28:$A$39,0),1))</f>
        <v>107314781.42857143</v>
      </c>
      <c r="V800" s="27">
        <f>V220*IF($E800="weekday",INDEX('Category Mapping'!$F$28:$F$39,MATCH('Summarized Source Data'!$A800,'Category Mapping'!$A$28:$A$39,0),1),INDEX('Category Mapping'!$E$28:$E$39,MATCH($A800,'Category Mapping'!$A$28:$A$39,0),1))</f>
        <v>107314781.42857143</v>
      </c>
      <c r="W800" s="27">
        <f>W220*IF($E800="weekday",INDEX('Category Mapping'!$F$28:$F$39,MATCH('Summarized Source Data'!$A800,'Category Mapping'!$A$28:$A$39,0),1),INDEX('Category Mapping'!$E$28:$E$39,MATCH($A800,'Category Mapping'!$A$28:$A$39,0),1))</f>
        <v>107314781.42857143</v>
      </c>
      <c r="X800" s="27">
        <f>X220*IF($E800="weekday",INDEX('Category Mapping'!$F$28:$F$39,MATCH('Summarized Source Data'!$A800,'Category Mapping'!$A$28:$A$39,0),1),INDEX('Category Mapping'!$E$28:$E$39,MATCH($A800,'Category Mapping'!$A$28:$A$39,0),1))</f>
        <v>14459285714.285713</v>
      </c>
      <c r="Y800" s="27">
        <f>Y220*IF($E800="weekday",INDEX('Category Mapping'!$F$28:$F$39,MATCH('Summarized Source Data'!$A800,'Category Mapping'!$A$28:$A$39,0),1),INDEX('Category Mapping'!$E$28:$E$39,MATCH($A800,'Category Mapping'!$A$28:$A$39,0),1))</f>
        <v>14459285714.285713</v>
      </c>
      <c r="Z800" s="27">
        <f>Z220*IF($E800="weekday",INDEX('Category Mapping'!$F$28:$F$39,MATCH('Summarized Source Data'!$A800,'Category Mapping'!$A$28:$A$39,0),1),INDEX('Category Mapping'!$E$28:$E$39,MATCH($A800,'Category Mapping'!$A$28:$A$39,0),1))</f>
        <v>14459285714.285713</v>
      </c>
    </row>
    <row r="801" spans="1:26" x14ac:dyDescent="0.3">
      <c r="A801">
        <f t="shared" ref="A801:E801" si="266">A221</f>
        <v>10</v>
      </c>
      <c r="B801" t="str">
        <f t="shared" si="266"/>
        <v>Fall</v>
      </c>
      <c r="C801" t="str">
        <f t="shared" si="266"/>
        <v>h2</v>
      </c>
      <c r="D801" t="str">
        <f t="shared" si="266"/>
        <v>Hour1</v>
      </c>
      <c r="E801" t="str">
        <f t="shared" si="266"/>
        <v>Weekday</v>
      </c>
      <c r="F801" s="27">
        <f>F221*IF($E801="weekday",INDEX('Category Mapping'!$F$28:$F$39,MATCH('Summarized Source Data'!$A801,'Category Mapping'!$A$28:$A$39,0),1),INDEX('Category Mapping'!$E$28:$E$39,MATCH($A801,'Category Mapping'!$A$28:$A$39,0),1))</f>
        <v>82339697.857142851</v>
      </c>
      <c r="G801" s="27">
        <f>G221*IF($E801="weekday",INDEX('Category Mapping'!$F$28:$F$39,MATCH('Summarized Source Data'!$A801,'Category Mapping'!$A$28:$A$39,0),1),INDEX('Category Mapping'!$E$28:$E$39,MATCH($A801,'Category Mapping'!$A$28:$A$39,0),1))</f>
        <v>64612.857142857145</v>
      </c>
      <c r="H801" s="27">
        <f>H221*IF($E801="weekday",INDEX('Category Mapping'!$F$28:$F$39,MATCH('Summarized Source Data'!$A801,'Category Mapping'!$A$28:$A$39,0),1),INDEX('Category Mapping'!$E$28:$E$39,MATCH($A801,'Category Mapping'!$A$28:$A$39,0),1))</f>
        <v>0</v>
      </c>
      <c r="I801" s="27">
        <f>I221*IF($E801="weekday",INDEX('Category Mapping'!$F$28:$F$39,MATCH('Summarized Source Data'!$A801,'Category Mapping'!$A$28:$A$39,0),1),INDEX('Category Mapping'!$E$28:$E$39,MATCH($A801,'Category Mapping'!$A$28:$A$39,0),1))</f>
        <v>221428571.42857143</v>
      </c>
      <c r="J801" s="27">
        <f>J221*IF($E801="weekday",INDEX('Category Mapping'!$F$28:$F$39,MATCH('Summarized Source Data'!$A801,'Category Mapping'!$A$28:$A$39,0),1),INDEX('Category Mapping'!$E$28:$E$39,MATCH($A801,'Category Mapping'!$A$28:$A$39,0),1))</f>
        <v>1168667117.8571429</v>
      </c>
      <c r="K801" s="27">
        <f>K221*IF($E801="weekday",INDEX('Category Mapping'!$F$28:$F$39,MATCH('Summarized Source Data'!$A801,'Category Mapping'!$A$28:$A$39,0),1),INDEX('Category Mapping'!$E$28:$E$39,MATCH($A801,'Category Mapping'!$A$28:$A$39,0),1))</f>
        <v>1168667117.8571429</v>
      </c>
      <c r="L801" s="27">
        <f>L221*IF($E801="weekday",INDEX('Category Mapping'!$F$28:$F$39,MATCH('Summarized Source Data'!$A801,'Category Mapping'!$A$28:$A$39,0),1),INDEX('Category Mapping'!$E$28:$E$39,MATCH($A801,'Category Mapping'!$A$28:$A$39,0),1))</f>
        <v>283428571.4285714</v>
      </c>
      <c r="M801" s="27">
        <f>M221*IF($E801="weekday",INDEX('Category Mapping'!$F$28:$F$39,MATCH('Summarized Source Data'!$A801,'Category Mapping'!$A$28:$A$39,0),1),INDEX('Category Mapping'!$E$28:$E$39,MATCH($A801,'Category Mapping'!$A$28:$A$39,0),1))</f>
        <v>26217585.714285713</v>
      </c>
      <c r="N801" s="27">
        <f>N221*IF($E801="weekday",INDEX('Category Mapping'!$F$28:$F$39,MATCH('Summarized Source Data'!$A801,'Category Mapping'!$A$28:$A$39,0),1),INDEX('Category Mapping'!$E$28:$E$39,MATCH($A801,'Category Mapping'!$A$28:$A$39,0),1))</f>
        <v>0</v>
      </c>
      <c r="O801" s="27">
        <f>O221*IF($E801="weekday",INDEX('Category Mapping'!$F$28:$F$39,MATCH('Summarized Source Data'!$A801,'Category Mapping'!$A$28:$A$39,0),1),INDEX('Category Mapping'!$E$28:$E$39,MATCH($A801,'Category Mapping'!$A$28:$A$39,0),1))</f>
        <v>3321782414.2857141</v>
      </c>
      <c r="P801" s="27">
        <f>P221*IF($E801="weekday",INDEX('Category Mapping'!$F$28:$F$39,MATCH('Summarized Source Data'!$A801,'Category Mapping'!$A$28:$A$39,0),1),INDEX('Category Mapping'!$E$28:$E$39,MATCH($A801,'Category Mapping'!$A$28:$A$39,0),1))</f>
        <v>3321782414.2857141</v>
      </c>
      <c r="Q801" s="27">
        <f>Q221*IF($E801="weekday",INDEX('Category Mapping'!$F$28:$F$39,MATCH('Summarized Source Data'!$A801,'Category Mapping'!$A$28:$A$39,0),1),INDEX('Category Mapping'!$E$28:$E$39,MATCH($A801,'Category Mapping'!$A$28:$A$39,0),1))</f>
        <v>3321782414.2857141</v>
      </c>
      <c r="R801" s="27">
        <f>R221*IF($E801="weekday",INDEX('Category Mapping'!$F$28:$F$39,MATCH('Summarized Source Data'!$A801,'Category Mapping'!$A$28:$A$39,0),1),INDEX('Category Mapping'!$E$28:$E$39,MATCH($A801,'Category Mapping'!$A$28:$A$39,0),1))</f>
        <v>105813052.85714285</v>
      </c>
      <c r="S801" s="27">
        <f>S221*IF($E801="weekday",INDEX('Category Mapping'!$F$28:$F$39,MATCH('Summarized Source Data'!$A801,'Category Mapping'!$A$28:$A$39,0),1),INDEX('Category Mapping'!$E$28:$E$39,MATCH($A801,'Category Mapping'!$A$28:$A$39,0),1))</f>
        <v>105813052.85714285</v>
      </c>
      <c r="T801" s="27">
        <f>T221*IF($E801="weekday",INDEX('Category Mapping'!$F$28:$F$39,MATCH('Summarized Source Data'!$A801,'Category Mapping'!$A$28:$A$39,0),1),INDEX('Category Mapping'!$E$28:$E$39,MATCH($A801,'Category Mapping'!$A$28:$A$39,0),1))</f>
        <v>105813052.85714285</v>
      </c>
      <c r="U801" s="27">
        <f>U221*IF($E801="weekday",INDEX('Category Mapping'!$F$28:$F$39,MATCH('Summarized Source Data'!$A801,'Category Mapping'!$A$28:$A$39,0),1),INDEX('Category Mapping'!$E$28:$E$39,MATCH($A801,'Category Mapping'!$A$28:$A$39,0),1))</f>
        <v>105813052.85714285</v>
      </c>
      <c r="V801" s="27">
        <f>V221*IF($E801="weekday",INDEX('Category Mapping'!$F$28:$F$39,MATCH('Summarized Source Data'!$A801,'Category Mapping'!$A$28:$A$39,0),1),INDEX('Category Mapping'!$E$28:$E$39,MATCH($A801,'Category Mapping'!$A$28:$A$39,0),1))</f>
        <v>105813052.85714285</v>
      </c>
      <c r="W801" s="27">
        <f>W221*IF($E801="weekday",INDEX('Category Mapping'!$F$28:$F$39,MATCH('Summarized Source Data'!$A801,'Category Mapping'!$A$28:$A$39,0),1),INDEX('Category Mapping'!$E$28:$E$39,MATCH($A801,'Category Mapping'!$A$28:$A$39,0),1))</f>
        <v>105813052.85714285</v>
      </c>
      <c r="X801" s="27">
        <f>X221*IF($E801="weekday",INDEX('Category Mapping'!$F$28:$F$39,MATCH('Summarized Source Data'!$A801,'Category Mapping'!$A$28:$A$39,0),1),INDEX('Category Mapping'!$E$28:$E$39,MATCH($A801,'Category Mapping'!$A$28:$A$39,0),1))</f>
        <v>14437142857.142857</v>
      </c>
      <c r="Y801" s="27">
        <f>Y221*IF($E801="weekday",INDEX('Category Mapping'!$F$28:$F$39,MATCH('Summarized Source Data'!$A801,'Category Mapping'!$A$28:$A$39,0),1),INDEX('Category Mapping'!$E$28:$E$39,MATCH($A801,'Category Mapping'!$A$28:$A$39,0),1))</f>
        <v>14437142857.142857</v>
      </c>
      <c r="Z801" s="27">
        <f>Z221*IF($E801="weekday",INDEX('Category Mapping'!$F$28:$F$39,MATCH('Summarized Source Data'!$A801,'Category Mapping'!$A$28:$A$39,0),1),INDEX('Category Mapping'!$E$28:$E$39,MATCH($A801,'Category Mapping'!$A$28:$A$39,0),1))</f>
        <v>14437142857.142857</v>
      </c>
    </row>
    <row r="802" spans="1:26" x14ac:dyDescent="0.3">
      <c r="A802">
        <f t="shared" ref="A802:E802" si="267">A222</f>
        <v>10</v>
      </c>
      <c r="B802" t="str">
        <f t="shared" si="267"/>
        <v>Fall</v>
      </c>
      <c r="C802" t="str">
        <f t="shared" si="267"/>
        <v>h3</v>
      </c>
      <c r="D802" t="str">
        <f t="shared" si="267"/>
        <v>Hour2</v>
      </c>
      <c r="E802" t="str">
        <f t="shared" si="267"/>
        <v>Weekday</v>
      </c>
      <c r="F802" s="27">
        <f>F222*IF($E802="weekday",INDEX('Category Mapping'!$F$28:$F$39,MATCH('Summarized Source Data'!$A802,'Category Mapping'!$A$28:$A$39,0),1),INDEX('Category Mapping'!$E$28:$E$39,MATCH($A802,'Category Mapping'!$A$28:$A$39,0),1))</f>
        <v>82339697.857142851</v>
      </c>
      <c r="G802" s="27">
        <f>G222*IF($E802="weekday",INDEX('Category Mapping'!$F$28:$F$39,MATCH('Summarized Source Data'!$A802,'Category Mapping'!$A$28:$A$39,0),1),INDEX('Category Mapping'!$E$28:$E$39,MATCH($A802,'Category Mapping'!$A$28:$A$39,0),1))</f>
        <v>64856.428571428572</v>
      </c>
      <c r="H802" s="27">
        <f>H222*IF($E802="weekday",INDEX('Category Mapping'!$F$28:$F$39,MATCH('Summarized Source Data'!$A802,'Category Mapping'!$A$28:$A$39,0),1),INDEX('Category Mapping'!$E$28:$E$39,MATCH($A802,'Category Mapping'!$A$28:$A$39,0),1))</f>
        <v>0</v>
      </c>
      <c r="I802" s="27">
        <f>I222*IF($E802="weekday",INDEX('Category Mapping'!$F$28:$F$39,MATCH('Summarized Source Data'!$A802,'Category Mapping'!$A$28:$A$39,0),1),INDEX('Category Mapping'!$E$28:$E$39,MATCH($A802,'Category Mapping'!$A$28:$A$39,0),1))</f>
        <v>220205532.85714287</v>
      </c>
      <c r="J802" s="27">
        <f>J222*IF($E802="weekday",INDEX('Category Mapping'!$F$28:$F$39,MATCH('Summarized Source Data'!$A802,'Category Mapping'!$A$28:$A$39,0),1),INDEX('Category Mapping'!$E$28:$E$39,MATCH($A802,'Category Mapping'!$A$28:$A$39,0),1))</f>
        <v>935175627.14285707</v>
      </c>
      <c r="K802" s="27">
        <f>K222*IF($E802="weekday",INDEX('Category Mapping'!$F$28:$F$39,MATCH('Summarized Source Data'!$A802,'Category Mapping'!$A$28:$A$39,0),1),INDEX('Category Mapping'!$E$28:$E$39,MATCH($A802,'Category Mapping'!$A$28:$A$39,0),1))</f>
        <v>935175627.14285707</v>
      </c>
      <c r="L802" s="27">
        <f>L222*IF($E802="weekday",INDEX('Category Mapping'!$F$28:$F$39,MATCH('Summarized Source Data'!$A802,'Category Mapping'!$A$28:$A$39,0),1),INDEX('Category Mapping'!$E$28:$E$39,MATCH($A802,'Category Mapping'!$A$28:$A$39,0),1))</f>
        <v>285642857.14285713</v>
      </c>
      <c r="M802" s="27">
        <f>M222*IF($E802="weekday",INDEX('Category Mapping'!$F$28:$F$39,MATCH('Summarized Source Data'!$A802,'Category Mapping'!$A$28:$A$39,0),1),INDEX('Category Mapping'!$E$28:$E$39,MATCH($A802,'Category Mapping'!$A$28:$A$39,0),1))</f>
        <v>25555558.571428571</v>
      </c>
      <c r="N802" s="27">
        <f>N222*IF($E802="weekday",INDEX('Category Mapping'!$F$28:$F$39,MATCH('Summarized Source Data'!$A802,'Category Mapping'!$A$28:$A$39,0),1),INDEX('Category Mapping'!$E$28:$E$39,MATCH($A802,'Category Mapping'!$A$28:$A$39,0),1))</f>
        <v>0</v>
      </c>
      <c r="O802" s="27">
        <f>O222*IF($E802="weekday",INDEX('Category Mapping'!$F$28:$F$39,MATCH('Summarized Source Data'!$A802,'Category Mapping'!$A$28:$A$39,0),1),INDEX('Category Mapping'!$E$28:$E$39,MATCH($A802,'Category Mapping'!$A$28:$A$39,0),1))</f>
        <v>3298087298.5714283</v>
      </c>
      <c r="P802" s="27">
        <f>P222*IF($E802="weekday",INDEX('Category Mapping'!$F$28:$F$39,MATCH('Summarized Source Data'!$A802,'Category Mapping'!$A$28:$A$39,0),1),INDEX('Category Mapping'!$E$28:$E$39,MATCH($A802,'Category Mapping'!$A$28:$A$39,0),1))</f>
        <v>3298087298.5714283</v>
      </c>
      <c r="Q802" s="27">
        <f>Q222*IF($E802="weekday",INDEX('Category Mapping'!$F$28:$F$39,MATCH('Summarized Source Data'!$A802,'Category Mapping'!$A$28:$A$39,0),1),INDEX('Category Mapping'!$E$28:$E$39,MATCH($A802,'Category Mapping'!$A$28:$A$39,0),1))</f>
        <v>3298087298.5714283</v>
      </c>
      <c r="R802" s="27">
        <f>R222*IF($E802="weekday",INDEX('Category Mapping'!$F$28:$F$39,MATCH('Summarized Source Data'!$A802,'Category Mapping'!$A$28:$A$39,0),1),INDEX('Category Mapping'!$E$28:$E$39,MATCH($A802,'Category Mapping'!$A$28:$A$39,0),1))</f>
        <v>105427368.57142857</v>
      </c>
      <c r="S802" s="27">
        <f>S222*IF($E802="weekday",INDEX('Category Mapping'!$F$28:$F$39,MATCH('Summarized Source Data'!$A802,'Category Mapping'!$A$28:$A$39,0),1),INDEX('Category Mapping'!$E$28:$E$39,MATCH($A802,'Category Mapping'!$A$28:$A$39,0),1))</f>
        <v>105427368.57142857</v>
      </c>
      <c r="T802" s="27">
        <f>T222*IF($E802="weekday",INDEX('Category Mapping'!$F$28:$F$39,MATCH('Summarized Source Data'!$A802,'Category Mapping'!$A$28:$A$39,0),1),INDEX('Category Mapping'!$E$28:$E$39,MATCH($A802,'Category Mapping'!$A$28:$A$39,0),1))</f>
        <v>105427368.57142857</v>
      </c>
      <c r="U802" s="27">
        <f>U222*IF($E802="weekday",INDEX('Category Mapping'!$F$28:$F$39,MATCH('Summarized Source Data'!$A802,'Category Mapping'!$A$28:$A$39,0),1),INDEX('Category Mapping'!$E$28:$E$39,MATCH($A802,'Category Mapping'!$A$28:$A$39,0),1))</f>
        <v>105427368.57142857</v>
      </c>
      <c r="V802" s="27">
        <f>V222*IF($E802="weekday",INDEX('Category Mapping'!$F$28:$F$39,MATCH('Summarized Source Data'!$A802,'Category Mapping'!$A$28:$A$39,0),1),INDEX('Category Mapping'!$E$28:$E$39,MATCH($A802,'Category Mapping'!$A$28:$A$39,0),1))</f>
        <v>105427368.57142857</v>
      </c>
      <c r="W802" s="27">
        <f>W222*IF($E802="weekday",INDEX('Category Mapping'!$F$28:$F$39,MATCH('Summarized Source Data'!$A802,'Category Mapping'!$A$28:$A$39,0),1),INDEX('Category Mapping'!$E$28:$E$39,MATCH($A802,'Category Mapping'!$A$28:$A$39,0),1))</f>
        <v>105427368.57142857</v>
      </c>
      <c r="X802" s="27">
        <f>X222*IF($E802="weekday",INDEX('Category Mapping'!$F$28:$F$39,MATCH('Summarized Source Data'!$A802,'Category Mapping'!$A$28:$A$39,0),1),INDEX('Category Mapping'!$E$28:$E$39,MATCH($A802,'Category Mapping'!$A$28:$A$39,0),1))</f>
        <v>14437142857.142857</v>
      </c>
      <c r="Y802" s="27">
        <f>Y222*IF($E802="weekday",INDEX('Category Mapping'!$F$28:$F$39,MATCH('Summarized Source Data'!$A802,'Category Mapping'!$A$28:$A$39,0),1),INDEX('Category Mapping'!$E$28:$E$39,MATCH($A802,'Category Mapping'!$A$28:$A$39,0),1))</f>
        <v>14437142857.142857</v>
      </c>
      <c r="Z802" s="27">
        <f>Z222*IF($E802="weekday",INDEX('Category Mapping'!$F$28:$F$39,MATCH('Summarized Source Data'!$A802,'Category Mapping'!$A$28:$A$39,0),1),INDEX('Category Mapping'!$E$28:$E$39,MATCH($A802,'Category Mapping'!$A$28:$A$39,0),1))</f>
        <v>14437142857.142857</v>
      </c>
    </row>
    <row r="803" spans="1:26" x14ac:dyDescent="0.3">
      <c r="A803">
        <f t="shared" ref="A803:E803" si="268">A223</f>
        <v>10</v>
      </c>
      <c r="B803" t="str">
        <f t="shared" si="268"/>
        <v>Fall</v>
      </c>
      <c r="C803" t="str">
        <f t="shared" si="268"/>
        <v>h4</v>
      </c>
      <c r="D803" t="str">
        <f t="shared" si="268"/>
        <v>Hour3</v>
      </c>
      <c r="E803" t="str">
        <f t="shared" si="268"/>
        <v>Weekday</v>
      </c>
      <c r="F803" s="27">
        <f>F223*IF($E803="weekday",INDEX('Category Mapping'!$F$28:$F$39,MATCH('Summarized Source Data'!$A803,'Category Mapping'!$A$28:$A$39,0),1),INDEX('Category Mapping'!$E$28:$E$39,MATCH($A803,'Category Mapping'!$A$28:$A$39,0),1))</f>
        <v>82339697.857142851</v>
      </c>
      <c r="G803" s="27">
        <f>G223*IF($E803="weekday",INDEX('Category Mapping'!$F$28:$F$39,MATCH('Summarized Source Data'!$A803,'Category Mapping'!$A$28:$A$39,0),1),INDEX('Category Mapping'!$E$28:$E$39,MATCH($A803,'Category Mapping'!$A$28:$A$39,0),1))</f>
        <v>64900.714285714283</v>
      </c>
      <c r="H803" s="27">
        <f>H223*IF($E803="weekday",INDEX('Category Mapping'!$F$28:$F$39,MATCH('Summarized Source Data'!$A803,'Category Mapping'!$A$28:$A$39,0),1),INDEX('Category Mapping'!$E$28:$E$39,MATCH($A803,'Category Mapping'!$A$28:$A$39,0),1))</f>
        <v>0</v>
      </c>
      <c r="I803" s="27">
        <f>I223*IF($E803="weekday",INDEX('Category Mapping'!$F$28:$F$39,MATCH('Summarized Source Data'!$A803,'Category Mapping'!$A$28:$A$39,0),1),INDEX('Category Mapping'!$E$28:$E$39,MATCH($A803,'Category Mapping'!$A$28:$A$39,0),1))</f>
        <v>225857142.85714287</v>
      </c>
      <c r="J803" s="27">
        <f>J223*IF($E803="weekday",INDEX('Category Mapping'!$F$28:$F$39,MATCH('Summarized Source Data'!$A803,'Category Mapping'!$A$28:$A$39,0),1),INDEX('Category Mapping'!$E$28:$E$39,MATCH($A803,'Category Mapping'!$A$28:$A$39,0),1))</f>
        <v>807738258.57142854</v>
      </c>
      <c r="K803" s="27">
        <f>K223*IF($E803="weekday",INDEX('Category Mapping'!$F$28:$F$39,MATCH('Summarized Source Data'!$A803,'Category Mapping'!$A$28:$A$39,0),1),INDEX('Category Mapping'!$E$28:$E$39,MATCH($A803,'Category Mapping'!$A$28:$A$39,0),1))</f>
        <v>807738258.57142854</v>
      </c>
      <c r="L803" s="27">
        <f>L223*IF($E803="weekday",INDEX('Category Mapping'!$F$28:$F$39,MATCH('Summarized Source Data'!$A803,'Category Mapping'!$A$28:$A$39,0),1),INDEX('Category Mapping'!$E$28:$E$39,MATCH($A803,'Category Mapping'!$A$28:$A$39,0),1))</f>
        <v>290071428.57142854</v>
      </c>
      <c r="M803" s="27">
        <f>M223*IF($E803="weekday",INDEX('Category Mapping'!$F$28:$F$39,MATCH('Summarized Source Data'!$A803,'Category Mapping'!$A$28:$A$39,0),1),INDEX('Category Mapping'!$E$28:$E$39,MATCH($A803,'Category Mapping'!$A$28:$A$39,0),1))</f>
        <v>25182141.428571429</v>
      </c>
      <c r="N803" s="27">
        <f>N223*IF($E803="weekday",INDEX('Category Mapping'!$F$28:$F$39,MATCH('Summarized Source Data'!$A803,'Category Mapping'!$A$28:$A$39,0),1),INDEX('Category Mapping'!$E$28:$E$39,MATCH($A803,'Category Mapping'!$A$28:$A$39,0),1))</f>
        <v>0</v>
      </c>
      <c r="O803" s="27">
        <f>O223*IF($E803="weekday",INDEX('Category Mapping'!$F$28:$F$39,MATCH('Summarized Source Data'!$A803,'Category Mapping'!$A$28:$A$39,0),1),INDEX('Category Mapping'!$E$28:$E$39,MATCH($A803,'Category Mapping'!$A$28:$A$39,0),1))</f>
        <v>3449032144.2857141</v>
      </c>
      <c r="P803" s="27">
        <f>P223*IF($E803="weekday",INDEX('Category Mapping'!$F$28:$F$39,MATCH('Summarized Source Data'!$A803,'Category Mapping'!$A$28:$A$39,0),1),INDEX('Category Mapping'!$E$28:$E$39,MATCH($A803,'Category Mapping'!$A$28:$A$39,0),1))</f>
        <v>3449032144.2857141</v>
      </c>
      <c r="Q803" s="27">
        <f>Q223*IF($E803="weekday",INDEX('Category Mapping'!$F$28:$F$39,MATCH('Summarized Source Data'!$A803,'Category Mapping'!$A$28:$A$39,0),1),INDEX('Category Mapping'!$E$28:$E$39,MATCH($A803,'Category Mapping'!$A$28:$A$39,0),1))</f>
        <v>3449032144.2857141</v>
      </c>
      <c r="R803" s="27">
        <f>R223*IF($E803="weekday",INDEX('Category Mapping'!$F$28:$F$39,MATCH('Summarized Source Data'!$A803,'Category Mapping'!$A$28:$A$39,0),1),INDEX('Category Mapping'!$E$28:$E$39,MATCH($A803,'Category Mapping'!$A$28:$A$39,0),1))</f>
        <v>105782451.42857143</v>
      </c>
      <c r="S803" s="27">
        <f>S223*IF($E803="weekday",INDEX('Category Mapping'!$F$28:$F$39,MATCH('Summarized Source Data'!$A803,'Category Mapping'!$A$28:$A$39,0),1),INDEX('Category Mapping'!$E$28:$E$39,MATCH($A803,'Category Mapping'!$A$28:$A$39,0),1))</f>
        <v>105782451.42857143</v>
      </c>
      <c r="T803" s="27">
        <f>T223*IF($E803="weekday",INDEX('Category Mapping'!$F$28:$F$39,MATCH('Summarized Source Data'!$A803,'Category Mapping'!$A$28:$A$39,0),1),INDEX('Category Mapping'!$E$28:$E$39,MATCH($A803,'Category Mapping'!$A$28:$A$39,0),1))</f>
        <v>105782451.42857143</v>
      </c>
      <c r="U803" s="27">
        <f>U223*IF($E803="weekday",INDEX('Category Mapping'!$F$28:$F$39,MATCH('Summarized Source Data'!$A803,'Category Mapping'!$A$28:$A$39,0),1),INDEX('Category Mapping'!$E$28:$E$39,MATCH($A803,'Category Mapping'!$A$28:$A$39,0),1))</f>
        <v>105782451.42857143</v>
      </c>
      <c r="V803" s="27">
        <f>V223*IF($E803="weekday",INDEX('Category Mapping'!$F$28:$F$39,MATCH('Summarized Source Data'!$A803,'Category Mapping'!$A$28:$A$39,0),1),INDEX('Category Mapping'!$E$28:$E$39,MATCH($A803,'Category Mapping'!$A$28:$A$39,0),1))</f>
        <v>105782451.42857143</v>
      </c>
      <c r="W803" s="27">
        <f>W223*IF($E803="weekday",INDEX('Category Mapping'!$F$28:$F$39,MATCH('Summarized Source Data'!$A803,'Category Mapping'!$A$28:$A$39,0),1),INDEX('Category Mapping'!$E$28:$E$39,MATCH($A803,'Category Mapping'!$A$28:$A$39,0),1))</f>
        <v>105782451.42857143</v>
      </c>
      <c r="X803" s="27">
        <f>X223*IF($E803="weekday",INDEX('Category Mapping'!$F$28:$F$39,MATCH('Summarized Source Data'!$A803,'Category Mapping'!$A$28:$A$39,0),1),INDEX('Category Mapping'!$E$28:$E$39,MATCH($A803,'Category Mapping'!$A$28:$A$39,0),1))</f>
        <v>14437142857.142857</v>
      </c>
      <c r="Y803" s="27">
        <f>Y223*IF($E803="weekday",INDEX('Category Mapping'!$F$28:$F$39,MATCH('Summarized Source Data'!$A803,'Category Mapping'!$A$28:$A$39,0),1),INDEX('Category Mapping'!$E$28:$E$39,MATCH($A803,'Category Mapping'!$A$28:$A$39,0),1))</f>
        <v>14437142857.142857</v>
      </c>
      <c r="Z803" s="27">
        <f>Z223*IF($E803="weekday",INDEX('Category Mapping'!$F$28:$F$39,MATCH('Summarized Source Data'!$A803,'Category Mapping'!$A$28:$A$39,0),1),INDEX('Category Mapping'!$E$28:$E$39,MATCH($A803,'Category Mapping'!$A$28:$A$39,0),1))</f>
        <v>14437142857.142857</v>
      </c>
    </row>
    <row r="804" spans="1:26" x14ac:dyDescent="0.3">
      <c r="A804">
        <f t="shared" ref="A804:E804" si="269">A224</f>
        <v>10</v>
      </c>
      <c r="B804" t="str">
        <f t="shared" si="269"/>
        <v>Fall</v>
      </c>
      <c r="C804" t="str">
        <f t="shared" si="269"/>
        <v>h5</v>
      </c>
      <c r="D804" t="str">
        <f t="shared" si="269"/>
        <v>Hour4</v>
      </c>
      <c r="E804" t="str">
        <f t="shared" si="269"/>
        <v>Weekday</v>
      </c>
      <c r="F804" s="27">
        <f>F224*IF($E804="weekday",INDEX('Category Mapping'!$F$28:$F$39,MATCH('Summarized Source Data'!$A804,'Category Mapping'!$A$28:$A$39,0),1),INDEX('Category Mapping'!$E$28:$E$39,MATCH($A804,'Category Mapping'!$A$28:$A$39,0),1))</f>
        <v>82339697.857142851</v>
      </c>
      <c r="G804" s="27">
        <f>G224*IF($E804="weekday",INDEX('Category Mapping'!$F$28:$F$39,MATCH('Summarized Source Data'!$A804,'Category Mapping'!$A$28:$A$39,0),1),INDEX('Category Mapping'!$E$28:$E$39,MATCH($A804,'Category Mapping'!$A$28:$A$39,0),1))</f>
        <v>63262.142857142855</v>
      </c>
      <c r="H804" s="27">
        <f>H224*IF($E804="weekday",INDEX('Category Mapping'!$F$28:$F$39,MATCH('Summarized Source Data'!$A804,'Category Mapping'!$A$28:$A$39,0),1),INDEX('Category Mapping'!$E$28:$E$39,MATCH($A804,'Category Mapping'!$A$28:$A$39,0),1))</f>
        <v>0</v>
      </c>
      <c r="I804" s="27">
        <f>I224*IF($E804="weekday",INDEX('Category Mapping'!$F$28:$F$39,MATCH('Summarized Source Data'!$A804,'Category Mapping'!$A$28:$A$39,0),1),INDEX('Category Mapping'!$E$28:$E$39,MATCH($A804,'Category Mapping'!$A$28:$A$39,0),1))</f>
        <v>290071428.57142854</v>
      </c>
      <c r="J804" s="27">
        <f>J224*IF($E804="weekday",INDEX('Category Mapping'!$F$28:$F$39,MATCH('Summarized Source Data'!$A804,'Category Mapping'!$A$28:$A$39,0),1),INDEX('Category Mapping'!$E$28:$E$39,MATCH($A804,'Category Mapping'!$A$28:$A$39,0),1))</f>
        <v>852025611.42857146</v>
      </c>
      <c r="K804" s="27">
        <f>K224*IF($E804="weekday",INDEX('Category Mapping'!$F$28:$F$39,MATCH('Summarized Source Data'!$A804,'Category Mapping'!$A$28:$A$39,0),1),INDEX('Category Mapping'!$E$28:$E$39,MATCH($A804,'Category Mapping'!$A$28:$A$39,0),1))</f>
        <v>852025611.42857146</v>
      </c>
      <c r="L804" s="27">
        <f>L224*IF($E804="weekday",INDEX('Category Mapping'!$F$28:$F$39,MATCH('Summarized Source Data'!$A804,'Category Mapping'!$A$28:$A$39,0),1),INDEX('Category Mapping'!$E$28:$E$39,MATCH($A804,'Category Mapping'!$A$28:$A$39,0),1))</f>
        <v>281214285.71428573</v>
      </c>
      <c r="M804" s="27">
        <f>M224*IF($E804="weekday",INDEX('Category Mapping'!$F$28:$F$39,MATCH('Summarized Source Data'!$A804,'Category Mapping'!$A$28:$A$39,0),1),INDEX('Category Mapping'!$E$28:$E$39,MATCH($A804,'Category Mapping'!$A$28:$A$39,0),1))</f>
        <v>25101718.571428571</v>
      </c>
      <c r="N804" s="27">
        <f>N224*IF($E804="weekday",INDEX('Category Mapping'!$F$28:$F$39,MATCH('Summarized Source Data'!$A804,'Category Mapping'!$A$28:$A$39,0),1),INDEX('Category Mapping'!$E$28:$E$39,MATCH($A804,'Category Mapping'!$A$28:$A$39,0),1))</f>
        <v>0</v>
      </c>
      <c r="O804" s="27">
        <f>O224*IF($E804="weekday",INDEX('Category Mapping'!$F$28:$F$39,MATCH('Summarized Source Data'!$A804,'Category Mapping'!$A$28:$A$39,0),1),INDEX('Category Mapping'!$E$28:$E$39,MATCH($A804,'Category Mapping'!$A$28:$A$39,0),1))</f>
        <v>3657255424.2857141</v>
      </c>
      <c r="P804" s="27">
        <f>P224*IF($E804="weekday",INDEX('Category Mapping'!$F$28:$F$39,MATCH('Summarized Source Data'!$A804,'Category Mapping'!$A$28:$A$39,0),1),INDEX('Category Mapping'!$E$28:$E$39,MATCH($A804,'Category Mapping'!$A$28:$A$39,0),1))</f>
        <v>3657255424.2857141</v>
      </c>
      <c r="Q804" s="27">
        <f>Q224*IF($E804="weekday",INDEX('Category Mapping'!$F$28:$F$39,MATCH('Summarized Source Data'!$A804,'Category Mapping'!$A$28:$A$39,0),1),INDEX('Category Mapping'!$E$28:$E$39,MATCH($A804,'Category Mapping'!$A$28:$A$39,0),1))</f>
        <v>3657255424.2857141</v>
      </c>
      <c r="R804" s="27">
        <f>R224*IF($E804="weekday",INDEX('Category Mapping'!$F$28:$F$39,MATCH('Summarized Source Data'!$A804,'Category Mapping'!$A$28:$A$39,0),1),INDEX('Category Mapping'!$E$28:$E$39,MATCH($A804,'Category Mapping'!$A$28:$A$39,0),1))</f>
        <v>105395549.28571428</v>
      </c>
      <c r="S804" s="27">
        <f>S224*IF($E804="weekday",INDEX('Category Mapping'!$F$28:$F$39,MATCH('Summarized Source Data'!$A804,'Category Mapping'!$A$28:$A$39,0),1),INDEX('Category Mapping'!$E$28:$E$39,MATCH($A804,'Category Mapping'!$A$28:$A$39,0),1))</f>
        <v>105395549.28571428</v>
      </c>
      <c r="T804" s="27">
        <f>T224*IF($E804="weekday",INDEX('Category Mapping'!$F$28:$F$39,MATCH('Summarized Source Data'!$A804,'Category Mapping'!$A$28:$A$39,0),1),INDEX('Category Mapping'!$E$28:$E$39,MATCH($A804,'Category Mapping'!$A$28:$A$39,0),1))</f>
        <v>105395549.28571428</v>
      </c>
      <c r="U804" s="27">
        <f>U224*IF($E804="weekday",INDEX('Category Mapping'!$F$28:$F$39,MATCH('Summarized Source Data'!$A804,'Category Mapping'!$A$28:$A$39,0),1),INDEX('Category Mapping'!$E$28:$E$39,MATCH($A804,'Category Mapping'!$A$28:$A$39,0),1))</f>
        <v>105395549.28571428</v>
      </c>
      <c r="V804" s="27">
        <f>V224*IF($E804="weekday",INDEX('Category Mapping'!$F$28:$F$39,MATCH('Summarized Source Data'!$A804,'Category Mapping'!$A$28:$A$39,0),1),INDEX('Category Mapping'!$E$28:$E$39,MATCH($A804,'Category Mapping'!$A$28:$A$39,0),1))</f>
        <v>105395549.28571428</v>
      </c>
      <c r="W804" s="27">
        <f>W224*IF($E804="weekday",INDEX('Category Mapping'!$F$28:$F$39,MATCH('Summarized Source Data'!$A804,'Category Mapping'!$A$28:$A$39,0),1),INDEX('Category Mapping'!$E$28:$E$39,MATCH($A804,'Category Mapping'!$A$28:$A$39,0),1))</f>
        <v>105395549.28571428</v>
      </c>
      <c r="X804" s="27">
        <f>X224*IF($E804="weekday",INDEX('Category Mapping'!$F$28:$F$39,MATCH('Summarized Source Data'!$A804,'Category Mapping'!$A$28:$A$39,0),1),INDEX('Category Mapping'!$E$28:$E$39,MATCH($A804,'Category Mapping'!$A$28:$A$39,0),1))</f>
        <v>14481428571.428572</v>
      </c>
      <c r="Y804" s="27">
        <f>Y224*IF($E804="weekday",INDEX('Category Mapping'!$F$28:$F$39,MATCH('Summarized Source Data'!$A804,'Category Mapping'!$A$28:$A$39,0),1),INDEX('Category Mapping'!$E$28:$E$39,MATCH($A804,'Category Mapping'!$A$28:$A$39,0),1))</f>
        <v>14481428571.428572</v>
      </c>
      <c r="Z804" s="27">
        <f>Z224*IF($E804="weekday",INDEX('Category Mapping'!$F$28:$F$39,MATCH('Summarized Source Data'!$A804,'Category Mapping'!$A$28:$A$39,0),1),INDEX('Category Mapping'!$E$28:$E$39,MATCH($A804,'Category Mapping'!$A$28:$A$39,0),1))</f>
        <v>14481428571.428572</v>
      </c>
    </row>
    <row r="805" spans="1:26" x14ac:dyDescent="0.3">
      <c r="A805">
        <f t="shared" ref="A805:E805" si="270">A225</f>
        <v>10</v>
      </c>
      <c r="B805" t="str">
        <f t="shared" si="270"/>
        <v>Fall</v>
      </c>
      <c r="C805" t="str">
        <f t="shared" si="270"/>
        <v>h6</v>
      </c>
      <c r="D805" t="str">
        <f t="shared" si="270"/>
        <v>Hour5</v>
      </c>
      <c r="E805" t="str">
        <f t="shared" si="270"/>
        <v>Weekday</v>
      </c>
      <c r="F805" s="27">
        <f>F225*IF($E805="weekday",INDEX('Category Mapping'!$F$28:$F$39,MATCH('Summarized Source Data'!$A805,'Category Mapping'!$A$28:$A$39,0),1),INDEX('Category Mapping'!$E$28:$E$39,MATCH($A805,'Category Mapping'!$A$28:$A$39,0),1))</f>
        <v>122624131.42857143</v>
      </c>
      <c r="G805" s="27">
        <f>G225*IF($E805="weekday",INDEX('Category Mapping'!$F$28:$F$39,MATCH('Summarized Source Data'!$A805,'Category Mapping'!$A$28:$A$39,0),1),INDEX('Category Mapping'!$E$28:$E$39,MATCH($A805,'Category Mapping'!$A$28:$A$39,0),1))</f>
        <v>58169.28571428571</v>
      </c>
      <c r="H805" s="27">
        <f>H225*IF($E805="weekday",INDEX('Category Mapping'!$F$28:$F$39,MATCH('Summarized Source Data'!$A805,'Category Mapping'!$A$28:$A$39,0),1),INDEX('Category Mapping'!$E$28:$E$39,MATCH($A805,'Category Mapping'!$A$28:$A$39,0),1))</f>
        <v>0</v>
      </c>
      <c r="I805" s="27">
        <f>I225*IF($E805="weekday",INDEX('Category Mapping'!$F$28:$F$39,MATCH('Summarized Source Data'!$A805,'Category Mapping'!$A$28:$A$39,0),1),INDEX('Category Mapping'!$E$28:$E$39,MATCH($A805,'Category Mapping'!$A$28:$A$39,0),1))</f>
        <v>498214285.71428573</v>
      </c>
      <c r="J805" s="27">
        <f>J225*IF($E805="weekday",INDEX('Category Mapping'!$F$28:$F$39,MATCH('Summarized Source Data'!$A805,'Category Mapping'!$A$28:$A$39,0),1),INDEX('Category Mapping'!$E$28:$E$39,MATCH($A805,'Category Mapping'!$A$28:$A$39,0),1))</f>
        <v>1172674842.1428571</v>
      </c>
      <c r="K805" s="27">
        <f>K225*IF($E805="weekday",INDEX('Category Mapping'!$F$28:$F$39,MATCH('Summarized Source Data'!$A805,'Category Mapping'!$A$28:$A$39,0),1),INDEX('Category Mapping'!$E$28:$E$39,MATCH($A805,'Category Mapping'!$A$28:$A$39,0),1))</f>
        <v>1172674842.1428571</v>
      </c>
      <c r="L805" s="27">
        <f>L225*IF($E805="weekday",INDEX('Category Mapping'!$F$28:$F$39,MATCH('Summarized Source Data'!$A805,'Category Mapping'!$A$28:$A$39,0),1),INDEX('Category Mapping'!$E$28:$E$39,MATCH($A805,'Category Mapping'!$A$28:$A$39,0),1))</f>
        <v>469428571.4285714</v>
      </c>
      <c r="M805" s="27">
        <f>M225*IF($E805="weekday",INDEX('Category Mapping'!$F$28:$F$39,MATCH('Summarized Source Data'!$A805,'Category Mapping'!$A$28:$A$39,0),1),INDEX('Category Mapping'!$E$28:$E$39,MATCH($A805,'Category Mapping'!$A$28:$A$39,0),1))</f>
        <v>25886372.857142858</v>
      </c>
      <c r="N805" s="27">
        <f>N225*IF($E805="weekday",INDEX('Category Mapping'!$F$28:$F$39,MATCH('Summarized Source Data'!$A805,'Category Mapping'!$A$28:$A$39,0),1),INDEX('Category Mapping'!$E$28:$E$39,MATCH($A805,'Category Mapping'!$A$28:$A$39,0),1))</f>
        <v>0</v>
      </c>
      <c r="O805" s="27">
        <f>O225*IF($E805="weekday",INDEX('Category Mapping'!$F$28:$F$39,MATCH('Summarized Source Data'!$A805,'Category Mapping'!$A$28:$A$39,0),1),INDEX('Category Mapping'!$E$28:$E$39,MATCH($A805,'Category Mapping'!$A$28:$A$39,0),1))</f>
        <v>4265399341.4285712</v>
      </c>
      <c r="P805" s="27">
        <f>P225*IF($E805="weekday",INDEX('Category Mapping'!$F$28:$F$39,MATCH('Summarized Source Data'!$A805,'Category Mapping'!$A$28:$A$39,0),1),INDEX('Category Mapping'!$E$28:$E$39,MATCH($A805,'Category Mapping'!$A$28:$A$39,0),1))</f>
        <v>4265399341.4285712</v>
      </c>
      <c r="Q805" s="27">
        <f>Q225*IF($E805="weekday",INDEX('Category Mapping'!$F$28:$F$39,MATCH('Summarized Source Data'!$A805,'Category Mapping'!$A$28:$A$39,0),1),INDEX('Category Mapping'!$E$28:$E$39,MATCH($A805,'Category Mapping'!$A$28:$A$39,0),1))</f>
        <v>4265399341.4285712</v>
      </c>
      <c r="R805" s="27">
        <f>R225*IF($E805="weekday",INDEX('Category Mapping'!$F$28:$F$39,MATCH('Summarized Source Data'!$A805,'Category Mapping'!$A$28:$A$39,0),1),INDEX('Category Mapping'!$E$28:$E$39,MATCH($A805,'Category Mapping'!$A$28:$A$39,0),1))</f>
        <v>108345132.85714285</v>
      </c>
      <c r="S805" s="27">
        <f>S225*IF($E805="weekday",INDEX('Category Mapping'!$F$28:$F$39,MATCH('Summarized Source Data'!$A805,'Category Mapping'!$A$28:$A$39,0),1),INDEX('Category Mapping'!$E$28:$E$39,MATCH($A805,'Category Mapping'!$A$28:$A$39,0),1))</f>
        <v>108345132.85714285</v>
      </c>
      <c r="T805" s="27">
        <f>T225*IF($E805="weekday",INDEX('Category Mapping'!$F$28:$F$39,MATCH('Summarized Source Data'!$A805,'Category Mapping'!$A$28:$A$39,0),1),INDEX('Category Mapping'!$E$28:$E$39,MATCH($A805,'Category Mapping'!$A$28:$A$39,0),1))</f>
        <v>108345132.85714285</v>
      </c>
      <c r="U805" s="27">
        <f>U225*IF($E805="weekday",INDEX('Category Mapping'!$F$28:$F$39,MATCH('Summarized Source Data'!$A805,'Category Mapping'!$A$28:$A$39,0),1),INDEX('Category Mapping'!$E$28:$E$39,MATCH($A805,'Category Mapping'!$A$28:$A$39,0),1))</f>
        <v>108345132.85714285</v>
      </c>
      <c r="V805" s="27">
        <f>V225*IF($E805="weekday",INDEX('Category Mapping'!$F$28:$F$39,MATCH('Summarized Source Data'!$A805,'Category Mapping'!$A$28:$A$39,0),1),INDEX('Category Mapping'!$E$28:$E$39,MATCH($A805,'Category Mapping'!$A$28:$A$39,0),1))</f>
        <v>108345132.85714285</v>
      </c>
      <c r="W805" s="27">
        <f>W225*IF($E805="weekday",INDEX('Category Mapping'!$F$28:$F$39,MATCH('Summarized Source Data'!$A805,'Category Mapping'!$A$28:$A$39,0),1),INDEX('Category Mapping'!$E$28:$E$39,MATCH($A805,'Category Mapping'!$A$28:$A$39,0),1))</f>
        <v>108345132.85714285</v>
      </c>
      <c r="X805" s="27">
        <f>X225*IF($E805="weekday",INDEX('Category Mapping'!$F$28:$F$39,MATCH('Summarized Source Data'!$A805,'Category Mapping'!$A$28:$A$39,0),1),INDEX('Category Mapping'!$E$28:$E$39,MATCH($A805,'Category Mapping'!$A$28:$A$39,0),1))</f>
        <v>14592142857.142857</v>
      </c>
      <c r="Y805" s="27">
        <f>Y225*IF($E805="weekday",INDEX('Category Mapping'!$F$28:$F$39,MATCH('Summarized Source Data'!$A805,'Category Mapping'!$A$28:$A$39,0),1),INDEX('Category Mapping'!$E$28:$E$39,MATCH($A805,'Category Mapping'!$A$28:$A$39,0),1))</f>
        <v>14592142857.142857</v>
      </c>
      <c r="Z805" s="27">
        <f>Z225*IF($E805="weekday",INDEX('Category Mapping'!$F$28:$F$39,MATCH('Summarized Source Data'!$A805,'Category Mapping'!$A$28:$A$39,0),1),INDEX('Category Mapping'!$E$28:$E$39,MATCH($A805,'Category Mapping'!$A$28:$A$39,0),1))</f>
        <v>14592142857.142857</v>
      </c>
    </row>
    <row r="806" spans="1:26" x14ac:dyDescent="0.3">
      <c r="A806">
        <f t="shared" ref="A806:E806" si="271">A226</f>
        <v>10</v>
      </c>
      <c r="B806" t="str">
        <f t="shared" si="271"/>
        <v>Fall</v>
      </c>
      <c r="C806" t="str">
        <f t="shared" si="271"/>
        <v>h7</v>
      </c>
      <c r="D806" t="str">
        <f t="shared" si="271"/>
        <v>Hour6</v>
      </c>
      <c r="E806" t="str">
        <f t="shared" si="271"/>
        <v>Weekday</v>
      </c>
      <c r="F806" s="27">
        <f>F226*IF($E806="weekday",INDEX('Category Mapping'!$F$28:$F$39,MATCH('Summarized Source Data'!$A806,'Category Mapping'!$A$28:$A$39,0),1),INDEX('Category Mapping'!$E$28:$E$39,MATCH($A806,'Category Mapping'!$A$28:$A$39,0),1))</f>
        <v>138817800.7142857</v>
      </c>
      <c r="G806" s="27">
        <f>G226*IF($E806="weekday",INDEX('Category Mapping'!$F$28:$F$39,MATCH('Summarized Source Data'!$A806,'Category Mapping'!$A$28:$A$39,0),1),INDEX('Category Mapping'!$E$28:$E$39,MATCH($A806,'Category Mapping'!$A$28:$A$39,0),1))</f>
        <v>47518.571428571428</v>
      </c>
      <c r="H806" s="27">
        <f>H226*IF($E806="weekday",INDEX('Category Mapping'!$F$28:$F$39,MATCH('Summarized Source Data'!$A806,'Category Mapping'!$A$28:$A$39,0),1),INDEX('Category Mapping'!$E$28:$E$39,MATCH($A806,'Category Mapping'!$A$28:$A$39,0),1))</f>
        <v>0</v>
      </c>
      <c r="I806" s="27">
        <f>I226*IF($E806="weekday",INDEX('Category Mapping'!$F$28:$F$39,MATCH('Summarized Source Data'!$A806,'Category Mapping'!$A$28:$A$39,0),1),INDEX('Category Mapping'!$E$28:$E$39,MATCH($A806,'Category Mapping'!$A$28:$A$39,0),1))</f>
        <v>728500000</v>
      </c>
      <c r="J806" s="27">
        <f>J226*IF($E806="weekday",INDEX('Category Mapping'!$F$28:$F$39,MATCH('Summarized Source Data'!$A806,'Category Mapping'!$A$28:$A$39,0),1),INDEX('Category Mapping'!$E$28:$E$39,MATCH($A806,'Category Mapping'!$A$28:$A$39,0),1))</f>
        <v>1856206109.2857141</v>
      </c>
      <c r="K806" s="27">
        <f>K226*IF($E806="weekday",INDEX('Category Mapping'!$F$28:$F$39,MATCH('Summarized Source Data'!$A806,'Category Mapping'!$A$28:$A$39,0),1),INDEX('Category Mapping'!$E$28:$E$39,MATCH($A806,'Category Mapping'!$A$28:$A$39,0),1))</f>
        <v>1856206109.2857141</v>
      </c>
      <c r="L806" s="27">
        <f>L226*IF($E806="weekday",INDEX('Category Mapping'!$F$28:$F$39,MATCH('Summarized Source Data'!$A806,'Category Mapping'!$A$28:$A$39,0),1),INDEX('Category Mapping'!$E$28:$E$39,MATCH($A806,'Category Mapping'!$A$28:$A$39,0),1))</f>
        <v>810428571.42857146</v>
      </c>
      <c r="M806" s="27">
        <f>M226*IF($E806="weekday",INDEX('Category Mapping'!$F$28:$F$39,MATCH('Summarized Source Data'!$A806,'Category Mapping'!$A$28:$A$39,0),1),INDEX('Category Mapping'!$E$28:$E$39,MATCH($A806,'Category Mapping'!$A$28:$A$39,0),1))</f>
        <v>28692736.428571429</v>
      </c>
      <c r="N806" s="27">
        <f>N226*IF($E806="weekday",INDEX('Category Mapping'!$F$28:$F$39,MATCH('Summarized Source Data'!$A806,'Category Mapping'!$A$28:$A$39,0),1),INDEX('Category Mapping'!$E$28:$E$39,MATCH($A806,'Category Mapping'!$A$28:$A$39,0),1))</f>
        <v>0</v>
      </c>
      <c r="O806" s="27">
        <f>O226*IF($E806="weekday",INDEX('Category Mapping'!$F$28:$F$39,MATCH('Summarized Source Data'!$A806,'Category Mapping'!$A$28:$A$39,0),1),INDEX('Category Mapping'!$E$28:$E$39,MATCH($A806,'Category Mapping'!$A$28:$A$39,0),1))</f>
        <v>6423735835</v>
      </c>
      <c r="P806" s="27">
        <f>P226*IF($E806="weekday",INDEX('Category Mapping'!$F$28:$F$39,MATCH('Summarized Source Data'!$A806,'Category Mapping'!$A$28:$A$39,0),1),INDEX('Category Mapping'!$E$28:$E$39,MATCH($A806,'Category Mapping'!$A$28:$A$39,0),1))</f>
        <v>6423735835</v>
      </c>
      <c r="Q806" s="27">
        <f>Q226*IF($E806="weekday",INDEX('Category Mapping'!$F$28:$F$39,MATCH('Summarized Source Data'!$A806,'Category Mapping'!$A$28:$A$39,0),1),INDEX('Category Mapping'!$E$28:$E$39,MATCH($A806,'Category Mapping'!$A$28:$A$39,0),1))</f>
        <v>6423735835</v>
      </c>
      <c r="R806" s="27">
        <f>R226*IF($E806="weekday",INDEX('Category Mapping'!$F$28:$F$39,MATCH('Summarized Source Data'!$A806,'Category Mapping'!$A$28:$A$39,0),1),INDEX('Category Mapping'!$E$28:$E$39,MATCH($A806,'Category Mapping'!$A$28:$A$39,0),1))</f>
        <v>162582267.85714287</v>
      </c>
      <c r="S806" s="27">
        <f>S226*IF($E806="weekday",INDEX('Category Mapping'!$F$28:$F$39,MATCH('Summarized Source Data'!$A806,'Category Mapping'!$A$28:$A$39,0),1),INDEX('Category Mapping'!$E$28:$E$39,MATCH($A806,'Category Mapping'!$A$28:$A$39,0),1))</f>
        <v>162582267.85714287</v>
      </c>
      <c r="T806" s="27">
        <f>T226*IF($E806="weekday",INDEX('Category Mapping'!$F$28:$F$39,MATCH('Summarized Source Data'!$A806,'Category Mapping'!$A$28:$A$39,0),1),INDEX('Category Mapping'!$E$28:$E$39,MATCH($A806,'Category Mapping'!$A$28:$A$39,0),1))</f>
        <v>162582267.85714287</v>
      </c>
      <c r="U806" s="27">
        <f>U226*IF($E806="weekday",INDEX('Category Mapping'!$F$28:$F$39,MATCH('Summarized Source Data'!$A806,'Category Mapping'!$A$28:$A$39,0),1),INDEX('Category Mapping'!$E$28:$E$39,MATCH($A806,'Category Mapping'!$A$28:$A$39,0),1))</f>
        <v>162582267.85714287</v>
      </c>
      <c r="V806" s="27">
        <f>V226*IF($E806="weekday",INDEX('Category Mapping'!$F$28:$F$39,MATCH('Summarized Source Data'!$A806,'Category Mapping'!$A$28:$A$39,0),1),INDEX('Category Mapping'!$E$28:$E$39,MATCH($A806,'Category Mapping'!$A$28:$A$39,0),1))</f>
        <v>162582267.85714287</v>
      </c>
      <c r="W806" s="27">
        <f>W226*IF($E806="weekday",INDEX('Category Mapping'!$F$28:$F$39,MATCH('Summarized Source Data'!$A806,'Category Mapping'!$A$28:$A$39,0),1),INDEX('Category Mapping'!$E$28:$E$39,MATCH($A806,'Category Mapping'!$A$28:$A$39,0),1))</f>
        <v>162582267.85714287</v>
      </c>
      <c r="X806" s="27">
        <f>X226*IF($E806="weekday",INDEX('Category Mapping'!$F$28:$F$39,MATCH('Summarized Source Data'!$A806,'Category Mapping'!$A$28:$A$39,0),1),INDEX('Category Mapping'!$E$28:$E$39,MATCH($A806,'Category Mapping'!$A$28:$A$39,0),1))</f>
        <v>14747142857.142857</v>
      </c>
      <c r="Y806" s="27">
        <f>Y226*IF($E806="weekday",INDEX('Category Mapping'!$F$28:$F$39,MATCH('Summarized Source Data'!$A806,'Category Mapping'!$A$28:$A$39,0),1),INDEX('Category Mapping'!$E$28:$E$39,MATCH($A806,'Category Mapping'!$A$28:$A$39,0),1))</f>
        <v>14747142857.142857</v>
      </c>
      <c r="Z806" s="27">
        <f>Z226*IF($E806="weekday",INDEX('Category Mapping'!$F$28:$F$39,MATCH('Summarized Source Data'!$A806,'Category Mapping'!$A$28:$A$39,0),1),INDEX('Category Mapping'!$E$28:$E$39,MATCH($A806,'Category Mapping'!$A$28:$A$39,0),1))</f>
        <v>14747142857.142857</v>
      </c>
    </row>
    <row r="807" spans="1:26" x14ac:dyDescent="0.3">
      <c r="A807">
        <f t="shared" ref="A807:E807" si="272">A227</f>
        <v>10</v>
      </c>
      <c r="B807" t="str">
        <f t="shared" si="272"/>
        <v>Fall</v>
      </c>
      <c r="C807" t="str">
        <f t="shared" si="272"/>
        <v>h8</v>
      </c>
      <c r="D807" t="str">
        <f t="shared" si="272"/>
        <v>Hour7</v>
      </c>
      <c r="E807" t="str">
        <f t="shared" si="272"/>
        <v>Weekday</v>
      </c>
      <c r="F807" s="27">
        <f>F227*IF($E807="weekday",INDEX('Category Mapping'!$F$28:$F$39,MATCH('Summarized Source Data'!$A807,'Category Mapping'!$A$28:$A$39,0),1),INDEX('Category Mapping'!$E$28:$E$39,MATCH($A807,'Category Mapping'!$A$28:$A$39,0),1))</f>
        <v>140551652.85714287</v>
      </c>
      <c r="G807" s="27">
        <f>G227*IF($E807="weekday",INDEX('Category Mapping'!$F$28:$F$39,MATCH('Summarized Source Data'!$A807,'Category Mapping'!$A$28:$A$39,0),1),INDEX('Category Mapping'!$E$28:$E$39,MATCH($A807,'Category Mapping'!$A$28:$A$39,0),1))</f>
        <v>35650</v>
      </c>
      <c r="H807" s="27">
        <f>H227*IF($E807="weekday",INDEX('Category Mapping'!$F$28:$F$39,MATCH('Summarized Source Data'!$A807,'Category Mapping'!$A$28:$A$39,0),1),INDEX('Category Mapping'!$E$28:$E$39,MATCH($A807,'Category Mapping'!$A$28:$A$39,0),1))</f>
        <v>0</v>
      </c>
      <c r="I807" s="27">
        <f>I227*IF($E807="weekday",INDEX('Category Mapping'!$F$28:$F$39,MATCH('Summarized Source Data'!$A807,'Category Mapping'!$A$28:$A$39,0),1),INDEX('Category Mapping'!$E$28:$E$39,MATCH($A807,'Category Mapping'!$A$28:$A$39,0),1))</f>
        <v>276785714.28571427</v>
      </c>
      <c r="J807" s="27">
        <f>J227*IF($E807="weekday",INDEX('Category Mapping'!$F$28:$F$39,MATCH('Summarized Source Data'!$A807,'Category Mapping'!$A$28:$A$39,0),1),INDEX('Category Mapping'!$E$28:$E$39,MATCH($A807,'Category Mapping'!$A$28:$A$39,0),1))</f>
        <v>2350484125.7142859</v>
      </c>
      <c r="K807" s="27">
        <f>K227*IF($E807="weekday",INDEX('Category Mapping'!$F$28:$F$39,MATCH('Summarized Source Data'!$A807,'Category Mapping'!$A$28:$A$39,0),1),INDEX('Category Mapping'!$E$28:$E$39,MATCH($A807,'Category Mapping'!$A$28:$A$39,0),1))</f>
        <v>2350484125.7142859</v>
      </c>
      <c r="L807" s="27">
        <f>L227*IF($E807="weekday",INDEX('Category Mapping'!$F$28:$F$39,MATCH('Summarized Source Data'!$A807,'Category Mapping'!$A$28:$A$39,0),1),INDEX('Category Mapping'!$E$28:$E$39,MATCH($A807,'Category Mapping'!$A$28:$A$39,0),1))</f>
        <v>730714285.71428573</v>
      </c>
      <c r="M807" s="27">
        <f>M227*IF($E807="weekday",INDEX('Category Mapping'!$F$28:$F$39,MATCH('Summarized Source Data'!$A807,'Category Mapping'!$A$28:$A$39,0),1),INDEX('Category Mapping'!$E$28:$E$39,MATCH($A807,'Category Mapping'!$A$28:$A$39,0),1))</f>
        <v>34229225.714285716</v>
      </c>
      <c r="N807" s="27">
        <f>N227*IF($E807="weekday",INDEX('Category Mapping'!$F$28:$F$39,MATCH('Summarized Source Data'!$A807,'Category Mapping'!$A$28:$A$39,0),1),INDEX('Category Mapping'!$E$28:$E$39,MATCH($A807,'Category Mapping'!$A$28:$A$39,0),1))</f>
        <v>0</v>
      </c>
      <c r="O807" s="27">
        <f>O227*IF($E807="weekday",INDEX('Category Mapping'!$F$28:$F$39,MATCH('Summarized Source Data'!$A807,'Category Mapping'!$A$28:$A$39,0),1),INDEX('Category Mapping'!$E$28:$E$39,MATCH($A807,'Category Mapping'!$A$28:$A$39,0),1))</f>
        <v>8822913631.4285717</v>
      </c>
      <c r="P807" s="27">
        <f>P227*IF($E807="weekday",INDEX('Category Mapping'!$F$28:$F$39,MATCH('Summarized Source Data'!$A807,'Category Mapping'!$A$28:$A$39,0),1),INDEX('Category Mapping'!$E$28:$E$39,MATCH($A807,'Category Mapping'!$A$28:$A$39,0),1))</f>
        <v>8822913631.4285717</v>
      </c>
      <c r="Q807" s="27">
        <f>Q227*IF($E807="weekday",INDEX('Category Mapping'!$F$28:$F$39,MATCH('Summarized Source Data'!$A807,'Category Mapping'!$A$28:$A$39,0),1),INDEX('Category Mapping'!$E$28:$E$39,MATCH($A807,'Category Mapping'!$A$28:$A$39,0),1))</f>
        <v>8822913631.4285717</v>
      </c>
      <c r="R807" s="27">
        <f>R227*IF($E807="weekday",INDEX('Category Mapping'!$F$28:$F$39,MATCH('Summarized Source Data'!$A807,'Category Mapping'!$A$28:$A$39,0),1),INDEX('Category Mapping'!$E$28:$E$39,MATCH($A807,'Category Mapping'!$A$28:$A$39,0),1))</f>
        <v>341000000</v>
      </c>
      <c r="S807" s="27">
        <f>S227*IF($E807="weekday",INDEX('Category Mapping'!$F$28:$F$39,MATCH('Summarized Source Data'!$A807,'Category Mapping'!$A$28:$A$39,0),1),INDEX('Category Mapping'!$E$28:$E$39,MATCH($A807,'Category Mapping'!$A$28:$A$39,0),1))</f>
        <v>341000000</v>
      </c>
      <c r="T807" s="27">
        <f>T227*IF($E807="weekday",INDEX('Category Mapping'!$F$28:$F$39,MATCH('Summarized Source Data'!$A807,'Category Mapping'!$A$28:$A$39,0),1),INDEX('Category Mapping'!$E$28:$E$39,MATCH($A807,'Category Mapping'!$A$28:$A$39,0),1))</f>
        <v>341000000</v>
      </c>
      <c r="U807" s="27">
        <f>U227*IF($E807="weekday",INDEX('Category Mapping'!$F$28:$F$39,MATCH('Summarized Source Data'!$A807,'Category Mapping'!$A$28:$A$39,0),1),INDEX('Category Mapping'!$E$28:$E$39,MATCH($A807,'Category Mapping'!$A$28:$A$39,0),1))</f>
        <v>341000000</v>
      </c>
      <c r="V807" s="27">
        <f>V227*IF($E807="weekday",INDEX('Category Mapping'!$F$28:$F$39,MATCH('Summarized Source Data'!$A807,'Category Mapping'!$A$28:$A$39,0),1),INDEX('Category Mapping'!$E$28:$E$39,MATCH($A807,'Category Mapping'!$A$28:$A$39,0),1))</f>
        <v>341000000</v>
      </c>
      <c r="W807" s="27">
        <f>W227*IF($E807="weekday",INDEX('Category Mapping'!$F$28:$F$39,MATCH('Summarized Source Data'!$A807,'Category Mapping'!$A$28:$A$39,0),1),INDEX('Category Mapping'!$E$28:$E$39,MATCH($A807,'Category Mapping'!$A$28:$A$39,0),1))</f>
        <v>341000000</v>
      </c>
      <c r="X807" s="27">
        <f>X227*IF($E807="weekday",INDEX('Category Mapping'!$F$28:$F$39,MATCH('Summarized Source Data'!$A807,'Category Mapping'!$A$28:$A$39,0),1),INDEX('Category Mapping'!$E$28:$E$39,MATCH($A807,'Category Mapping'!$A$28:$A$39,0),1))</f>
        <v>14902142857.142857</v>
      </c>
      <c r="Y807" s="27">
        <f>Y227*IF($E807="weekday",INDEX('Category Mapping'!$F$28:$F$39,MATCH('Summarized Source Data'!$A807,'Category Mapping'!$A$28:$A$39,0),1),INDEX('Category Mapping'!$E$28:$E$39,MATCH($A807,'Category Mapping'!$A$28:$A$39,0),1))</f>
        <v>14902142857.142857</v>
      </c>
      <c r="Z807" s="27">
        <f>Z227*IF($E807="weekday",INDEX('Category Mapping'!$F$28:$F$39,MATCH('Summarized Source Data'!$A807,'Category Mapping'!$A$28:$A$39,0),1),INDEX('Category Mapping'!$E$28:$E$39,MATCH($A807,'Category Mapping'!$A$28:$A$39,0),1))</f>
        <v>14902142857.142857</v>
      </c>
    </row>
    <row r="808" spans="1:26" x14ac:dyDescent="0.3">
      <c r="A808">
        <f t="shared" ref="A808:E808" si="273">A228</f>
        <v>10</v>
      </c>
      <c r="B808" t="str">
        <f t="shared" si="273"/>
        <v>Fall</v>
      </c>
      <c r="C808" t="str">
        <f t="shared" si="273"/>
        <v>h9</v>
      </c>
      <c r="D808" t="str">
        <f t="shared" si="273"/>
        <v>Hour8</v>
      </c>
      <c r="E808" t="str">
        <f t="shared" si="273"/>
        <v>Weekday</v>
      </c>
      <c r="F808" s="27">
        <f>F228*IF($E808="weekday",INDEX('Category Mapping'!$F$28:$F$39,MATCH('Summarized Source Data'!$A808,'Category Mapping'!$A$28:$A$39,0),1),INDEX('Category Mapping'!$E$28:$E$39,MATCH($A808,'Category Mapping'!$A$28:$A$39,0),1))</f>
        <v>139455559.28571427</v>
      </c>
      <c r="G808" s="27">
        <f>G228*IF($E808="weekday",INDEX('Category Mapping'!$F$28:$F$39,MATCH('Summarized Source Data'!$A808,'Category Mapping'!$A$28:$A$39,0),1),INDEX('Category Mapping'!$E$28:$E$39,MATCH($A808,'Category Mapping'!$A$28:$A$39,0),1))</f>
        <v>28807.857142857141</v>
      </c>
      <c r="H808" s="27">
        <f>H228*IF($E808="weekday",INDEX('Category Mapping'!$F$28:$F$39,MATCH('Summarized Source Data'!$A808,'Category Mapping'!$A$28:$A$39,0),1),INDEX('Category Mapping'!$E$28:$E$39,MATCH($A808,'Category Mapping'!$A$28:$A$39,0),1))</f>
        <v>0</v>
      </c>
      <c r="I808" s="27">
        <f>I228*IF($E808="weekday",INDEX('Category Mapping'!$F$28:$F$39,MATCH('Summarized Source Data'!$A808,'Category Mapping'!$A$28:$A$39,0),1),INDEX('Category Mapping'!$E$28:$E$39,MATCH($A808,'Category Mapping'!$A$28:$A$39,0),1))</f>
        <v>220994682.14285713</v>
      </c>
      <c r="J808" s="27">
        <f>J228*IF($E808="weekday",INDEX('Category Mapping'!$F$28:$F$39,MATCH('Summarized Source Data'!$A808,'Category Mapping'!$A$28:$A$39,0),1),INDEX('Category Mapping'!$E$28:$E$39,MATCH($A808,'Category Mapping'!$A$28:$A$39,0),1))</f>
        <v>2407378093.5714283</v>
      </c>
      <c r="K808" s="27">
        <f>K228*IF($E808="weekday",INDEX('Category Mapping'!$F$28:$F$39,MATCH('Summarized Source Data'!$A808,'Category Mapping'!$A$28:$A$39,0),1),INDEX('Category Mapping'!$E$28:$E$39,MATCH($A808,'Category Mapping'!$A$28:$A$39,0),1))</f>
        <v>2407378093.5714283</v>
      </c>
      <c r="L808" s="27">
        <f>L228*IF($E808="weekday",INDEX('Category Mapping'!$F$28:$F$39,MATCH('Summarized Source Data'!$A808,'Category Mapping'!$A$28:$A$39,0),1),INDEX('Category Mapping'!$E$28:$E$39,MATCH($A808,'Category Mapping'!$A$28:$A$39,0),1))</f>
        <v>502642857.14285713</v>
      </c>
      <c r="M808" s="27">
        <f>M228*IF($E808="weekday",INDEX('Category Mapping'!$F$28:$F$39,MATCH('Summarized Source Data'!$A808,'Category Mapping'!$A$28:$A$39,0),1),INDEX('Category Mapping'!$E$28:$E$39,MATCH($A808,'Category Mapping'!$A$28:$A$39,0),1))</f>
        <v>42372482.857142858</v>
      </c>
      <c r="N808" s="27">
        <f>N228*IF($E808="weekday",INDEX('Category Mapping'!$F$28:$F$39,MATCH('Summarized Source Data'!$A808,'Category Mapping'!$A$28:$A$39,0),1),INDEX('Category Mapping'!$E$28:$E$39,MATCH($A808,'Category Mapping'!$A$28:$A$39,0),1))</f>
        <v>0</v>
      </c>
      <c r="O808" s="27">
        <f>O228*IF($E808="weekday",INDEX('Category Mapping'!$F$28:$F$39,MATCH('Summarized Source Data'!$A808,'Category Mapping'!$A$28:$A$39,0),1),INDEX('Category Mapping'!$E$28:$E$39,MATCH($A808,'Category Mapping'!$A$28:$A$39,0),1))</f>
        <v>10947127517.142857</v>
      </c>
      <c r="P808" s="27">
        <f>P228*IF($E808="weekday",INDEX('Category Mapping'!$F$28:$F$39,MATCH('Summarized Source Data'!$A808,'Category Mapping'!$A$28:$A$39,0),1),INDEX('Category Mapping'!$E$28:$E$39,MATCH($A808,'Category Mapping'!$A$28:$A$39,0),1))</f>
        <v>10947127517.142857</v>
      </c>
      <c r="Q808" s="27">
        <f>Q228*IF($E808="weekday",INDEX('Category Mapping'!$F$28:$F$39,MATCH('Summarized Source Data'!$A808,'Category Mapping'!$A$28:$A$39,0),1),INDEX('Category Mapping'!$E$28:$E$39,MATCH($A808,'Category Mapping'!$A$28:$A$39,0),1))</f>
        <v>10947127517.142857</v>
      </c>
      <c r="R808" s="27">
        <f>R228*IF($E808="weekday",INDEX('Category Mapping'!$F$28:$F$39,MATCH('Summarized Source Data'!$A808,'Category Mapping'!$A$28:$A$39,0),1),INDEX('Category Mapping'!$E$28:$E$39,MATCH($A808,'Category Mapping'!$A$28:$A$39,0),1))</f>
        <v>372000000</v>
      </c>
      <c r="S808" s="27">
        <f>S228*IF($E808="weekday",INDEX('Category Mapping'!$F$28:$F$39,MATCH('Summarized Source Data'!$A808,'Category Mapping'!$A$28:$A$39,0),1),INDEX('Category Mapping'!$E$28:$E$39,MATCH($A808,'Category Mapping'!$A$28:$A$39,0),1))</f>
        <v>372000000</v>
      </c>
      <c r="T808" s="27">
        <f>T228*IF($E808="weekday",INDEX('Category Mapping'!$F$28:$F$39,MATCH('Summarized Source Data'!$A808,'Category Mapping'!$A$28:$A$39,0),1),INDEX('Category Mapping'!$E$28:$E$39,MATCH($A808,'Category Mapping'!$A$28:$A$39,0),1))</f>
        <v>372000000</v>
      </c>
      <c r="U808" s="27">
        <f>U228*IF($E808="weekday",INDEX('Category Mapping'!$F$28:$F$39,MATCH('Summarized Source Data'!$A808,'Category Mapping'!$A$28:$A$39,0),1),INDEX('Category Mapping'!$E$28:$E$39,MATCH($A808,'Category Mapping'!$A$28:$A$39,0),1))</f>
        <v>372000000</v>
      </c>
      <c r="V808" s="27">
        <f>V228*IF($E808="weekday",INDEX('Category Mapping'!$F$28:$F$39,MATCH('Summarized Source Data'!$A808,'Category Mapping'!$A$28:$A$39,0),1),INDEX('Category Mapping'!$E$28:$E$39,MATCH($A808,'Category Mapping'!$A$28:$A$39,0),1))</f>
        <v>372000000</v>
      </c>
      <c r="W808" s="27">
        <f>W228*IF($E808="weekday",INDEX('Category Mapping'!$F$28:$F$39,MATCH('Summarized Source Data'!$A808,'Category Mapping'!$A$28:$A$39,0),1),INDEX('Category Mapping'!$E$28:$E$39,MATCH($A808,'Category Mapping'!$A$28:$A$39,0),1))</f>
        <v>372000000</v>
      </c>
      <c r="X808" s="27">
        <f>X228*IF($E808="weekday",INDEX('Category Mapping'!$F$28:$F$39,MATCH('Summarized Source Data'!$A808,'Category Mapping'!$A$28:$A$39,0),1),INDEX('Category Mapping'!$E$28:$E$39,MATCH($A808,'Category Mapping'!$A$28:$A$39,0),1))</f>
        <v>14946428571.428572</v>
      </c>
      <c r="Y808" s="27">
        <f>Y228*IF($E808="weekday",INDEX('Category Mapping'!$F$28:$F$39,MATCH('Summarized Source Data'!$A808,'Category Mapping'!$A$28:$A$39,0),1),INDEX('Category Mapping'!$E$28:$E$39,MATCH($A808,'Category Mapping'!$A$28:$A$39,0),1))</f>
        <v>14946428571.428572</v>
      </c>
      <c r="Z808" s="27">
        <f>Z228*IF($E808="weekday",INDEX('Category Mapping'!$F$28:$F$39,MATCH('Summarized Source Data'!$A808,'Category Mapping'!$A$28:$A$39,0),1),INDEX('Category Mapping'!$E$28:$E$39,MATCH($A808,'Category Mapping'!$A$28:$A$39,0),1))</f>
        <v>14946428571.428572</v>
      </c>
    </row>
    <row r="809" spans="1:26" x14ac:dyDescent="0.3">
      <c r="A809">
        <f t="shared" ref="A809:E809" si="274">A229</f>
        <v>10</v>
      </c>
      <c r="B809" t="str">
        <f t="shared" si="274"/>
        <v>Fall</v>
      </c>
      <c r="C809" t="str">
        <f t="shared" si="274"/>
        <v>h10</v>
      </c>
      <c r="D809" t="str">
        <f t="shared" si="274"/>
        <v>Hour9</v>
      </c>
      <c r="E809" t="str">
        <f t="shared" si="274"/>
        <v>Weekday</v>
      </c>
      <c r="F809" s="27">
        <f>F229*IF($E809="weekday",INDEX('Category Mapping'!$F$28:$F$39,MATCH('Summarized Source Data'!$A809,'Category Mapping'!$A$28:$A$39,0),1),INDEX('Category Mapping'!$E$28:$E$39,MATCH($A809,'Category Mapping'!$A$28:$A$39,0),1))</f>
        <v>96308275.714285716</v>
      </c>
      <c r="G809" s="27">
        <f>G229*IF($E809="weekday",INDEX('Category Mapping'!$F$28:$F$39,MATCH('Summarized Source Data'!$A809,'Category Mapping'!$A$28:$A$39,0),1),INDEX('Category Mapping'!$E$28:$E$39,MATCH($A809,'Category Mapping'!$A$28:$A$39,0),1))</f>
        <v>223355</v>
      </c>
      <c r="H809" s="27">
        <f>H229*IF($E809="weekday",INDEX('Category Mapping'!$F$28:$F$39,MATCH('Summarized Source Data'!$A809,'Category Mapping'!$A$28:$A$39,0),1),INDEX('Category Mapping'!$E$28:$E$39,MATCH($A809,'Category Mapping'!$A$28:$A$39,0),1))</f>
        <v>0</v>
      </c>
      <c r="I809" s="27">
        <f>I229*IF($E809="weekday",INDEX('Category Mapping'!$F$28:$F$39,MATCH('Summarized Source Data'!$A809,'Category Mapping'!$A$28:$A$39,0),1),INDEX('Category Mapping'!$E$28:$E$39,MATCH($A809,'Category Mapping'!$A$28:$A$39,0),1))</f>
        <v>212585887.85714287</v>
      </c>
      <c r="J809" s="27">
        <f>J229*IF($E809="weekday",INDEX('Category Mapping'!$F$28:$F$39,MATCH('Summarized Source Data'!$A809,'Category Mapping'!$A$28:$A$39,0),1),INDEX('Category Mapping'!$E$28:$E$39,MATCH($A809,'Category Mapping'!$A$28:$A$39,0),1))</f>
        <v>2414453910</v>
      </c>
      <c r="K809" s="27">
        <f>K229*IF($E809="weekday",INDEX('Category Mapping'!$F$28:$F$39,MATCH('Summarized Source Data'!$A809,'Category Mapping'!$A$28:$A$39,0),1),INDEX('Category Mapping'!$E$28:$E$39,MATCH($A809,'Category Mapping'!$A$28:$A$39,0),1))</f>
        <v>2414453910</v>
      </c>
      <c r="L809" s="27">
        <f>L229*IF($E809="weekday",INDEX('Category Mapping'!$F$28:$F$39,MATCH('Summarized Source Data'!$A809,'Category Mapping'!$A$28:$A$39,0),1),INDEX('Category Mapping'!$E$28:$E$39,MATCH($A809,'Category Mapping'!$A$28:$A$39,0),1))</f>
        <v>383071428.57142854</v>
      </c>
      <c r="M809" s="27">
        <f>M229*IF($E809="weekday",INDEX('Category Mapping'!$F$28:$F$39,MATCH('Summarized Source Data'!$A809,'Category Mapping'!$A$28:$A$39,0),1),INDEX('Category Mapping'!$E$28:$E$39,MATCH($A809,'Category Mapping'!$A$28:$A$39,0),1))</f>
        <v>47612944.285714284</v>
      </c>
      <c r="N809" s="27">
        <f>N229*IF($E809="weekday",INDEX('Category Mapping'!$F$28:$F$39,MATCH('Summarized Source Data'!$A809,'Category Mapping'!$A$28:$A$39,0),1),INDEX('Category Mapping'!$E$28:$E$39,MATCH($A809,'Category Mapping'!$A$28:$A$39,0),1))</f>
        <v>0</v>
      </c>
      <c r="O809" s="27">
        <f>O229*IF($E809="weekday",INDEX('Category Mapping'!$F$28:$F$39,MATCH('Summarized Source Data'!$A809,'Category Mapping'!$A$28:$A$39,0),1),INDEX('Category Mapping'!$E$28:$E$39,MATCH($A809,'Category Mapping'!$A$28:$A$39,0),1))</f>
        <v>11526458484.285713</v>
      </c>
      <c r="P809" s="27">
        <f>P229*IF($E809="weekday",INDEX('Category Mapping'!$F$28:$F$39,MATCH('Summarized Source Data'!$A809,'Category Mapping'!$A$28:$A$39,0),1),INDEX('Category Mapping'!$E$28:$E$39,MATCH($A809,'Category Mapping'!$A$28:$A$39,0),1))</f>
        <v>11526458484.285713</v>
      </c>
      <c r="Q809" s="27">
        <f>Q229*IF($E809="weekday",INDEX('Category Mapping'!$F$28:$F$39,MATCH('Summarized Source Data'!$A809,'Category Mapping'!$A$28:$A$39,0),1),INDEX('Category Mapping'!$E$28:$E$39,MATCH($A809,'Category Mapping'!$A$28:$A$39,0),1))</f>
        <v>11526458484.285713</v>
      </c>
      <c r="R809" s="27">
        <f>R229*IF($E809="weekday",INDEX('Category Mapping'!$F$28:$F$39,MATCH('Summarized Source Data'!$A809,'Category Mapping'!$A$28:$A$39,0),1),INDEX('Category Mapping'!$E$28:$E$39,MATCH($A809,'Category Mapping'!$A$28:$A$39,0),1))</f>
        <v>329928571.4285714</v>
      </c>
      <c r="S809" s="27">
        <f>S229*IF($E809="weekday",INDEX('Category Mapping'!$F$28:$F$39,MATCH('Summarized Source Data'!$A809,'Category Mapping'!$A$28:$A$39,0),1),INDEX('Category Mapping'!$E$28:$E$39,MATCH($A809,'Category Mapping'!$A$28:$A$39,0),1))</f>
        <v>329928571.4285714</v>
      </c>
      <c r="T809" s="27">
        <f>T229*IF($E809="weekday",INDEX('Category Mapping'!$F$28:$F$39,MATCH('Summarized Source Data'!$A809,'Category Mapping'!$A$28:$A$39,0),1),INDEX('Category Mapping'!$E$28:$E$39,MATCH($A809,'Category Mapping'!$A$28:$A$39,0),1))</f>
        <v>329928571.4285714</v>
      </c>
      <c r="U809" s="27">
        <f>U229*IF($E809="weekday",INDEX('Category Mapping'!$F$28:$F$39,MATCH('Summarized Source Data'!$A809,'Category Mapping'!$A$28:$A$39,0),1),INDEX('Category Mapping'!$E$28:$E$39,MATCH($A809,'Category Mapping'!$A$28:$A$39,0),1))</f>
        <v>329928571.4285714</v>
      </c>
      <c r="V809" s="27">
        <f>V229*IF($E809="weekday",INDEX('Category Mapping'!$F$28:$F$39,MATCH('Summarized Source Data'!$A809,'Category Mapping'!$A$28:$A$39,0),1),INDEX('Category Mapping'!$E$28:$E$39,MATCH($A809,'Category Mapping'!$A$28:$A$39,0),1))</f>
        <v>329928571.4285714</v>
      </c>
      <c r="W809" s="27">
        <f>W229*IF($E809="weekday",INDEX('Category Mapping'!$F$28:$F$39,MATCH('Summarized Source Data'!$A809,'Category Mapping'!$A$28:$A$39,0),1),INDEX('Category Mapping'!$E$28:$E$39,MATCH($A809,'Category Mapping'!$A$28:$A$39,0),1))</f>
        <v>329928571.4285714</v>
      </c>
      <c r="X809" s="27">
        <f>X229*IF($E809="weekday",INDEX('Category Mapping'!$F$28:$F$39,MATCH('Summarized Source Data'!$A809,'Category Mapping'!$A$28:$A$39,0),1),INDEX('Category Mapping'!$E$28:$E$39,MATCH($A809,'Category Mapping'!$A$28:$A$39,0),1))</f>
        <v>14924285714.285713</v>
      </c>
      <c r="Y809" s="27">
        <f>Y229*IF($E809="weekday",INDEX('Category Mapping'!$F$28:$F$39,MATCH('Summarized Source Data'!$A809,'Category Mapping'!$A$28:$A$39,0),1),INDEX('Category Mapping'!$E$28:$E$39,MATCH($A809,'Category Mapping'!$A$28:$A$39,0),1))</f>
        <v>14924285714.285713</v>
      </c>
      <c r="Z809" s="27">
        <f>Z229*IF($E809="weekday",INDEX('Category Mapping'!$F$28:$F$39,MATCH('Summarized Source Data'!$A809,'Category Mapping'!$A$28:$A$39,0),1),INDEX('Category Mapping'!$E$28:$E$39,MATCH($A809,'Category Mapping'!$A$28:$A$39,0),1))</f>
        <v>14924285714.285713</v>
      </c>
    </row>
    <row r="810" spans="1:26" x14ac:dyDescent="0.3">
      <c r="A810">
        <f t="shared" ref="A810:E810" si="275">A230</f>
        <v>10</v>
      </c>
      <c r="B810" t="str">
        <f t="shared" si="275"/>
        <v>Fall</v>
      </c>
      <c r="C810" t="str">
        <f t="shared" si="275"/>
        <v>h11</v>
      </c>
      <c r="D810" t="str">
        <f t="shared" si="275"/>
        <v>Hour10</v>
      </c>
      <c r="E810" t="str">
        <f t="shared" si="275"/>
        <v>Weekday</v>
      </c>
      <c r="F810" s="27">
        <f>F230*IF($E810="weekday",INDEX('Category Mapping'!$F$28:$F$39,MATCH('Summarized Source Data'!$A810,'Category Mapping'!$A$28:$A$39,0),1),INDEX('Category Mapping'!$E$28:$E$39,MATCH($A810,'Category Mapping'!$A$28:$A$39,0),1))</f>
        <v>97125147.857142851</v>
      </c>
      <c r="G810" s="27">
        <f>G230*IF($E810="weekday",INDEX('Category Mapping'!$F$28:$F$39,MATCH('Summarized Source Data'!$A810,'Category Mapping'!$A$28:$A$39,0),1),INDEX('Category Mapping'!$E$28:$E$39,MATCH($A810,'Category Mapping'!$A$28:$A$39,0),1))</f>
        <v>1444865.7142857143</v>
      </c>
      <c r="H810" s="27">
        <f>H230*IF($E810="weekday",INDEX('Category Mapping'!$F$28:$F$39,MATCH('Summarized Source Data'!$A810,'Category Mapping'!$A$28:$A$39,0),1),INDEX('Category Mapping'!$E$28:$E$39,MATCH($A810,'Category Mapping'!$A$28:$A$39,0),1))</f>
        <v>0</v>
      </c>
      <c r="I810" s="27">
        <f>I230*IF($E810="weekday",INDEX('Category Mapping'!$F$28:$F$39,MATCH('Summarized Source Data'!$A810,'Category Mapping'!$A$28:$A$39,0),1),INDEX('Category Mapping'!$E$28:$E$39,MATCH($A810,'Category Mapping'!$A$28:$A$39,0),1))</f>
        <v>216059504.28571427</v>
      </c>
      <c r="J810" s="27">
        <f>J230*IF($E810="weekday",INDEX('Category Mapping'!$F$28:$F$39,MATCH('Summarized Source Data'!$A810,'Category Mapping'!$A$28:$A$39,0),1),INDEX('Category Mapping'!$E$28:$E$39,MATCH($A810,'Category Mapping'!$A$28:$A$39,0),1))</f>
        <v>2386799053.5714283</v>
      </c>
      <c r="K810" s="27">
        <f>K230*IF($E810="weekday",INDEX('Category Mapping'!$F$28:$F$39,MATCH('Summarized Source Data'!$A810,'Category Mapping'!$A$28:$A$39,0),1),INDEX('Category Mapping'!$E$28:$E$39,MATCH($A810,'Category Mapping'!$A$28:$A$39,0),1))</f>
        <v>2386799053.5714283</v>
      </c>
      <c r="L810" s="27">
        <f>L230*IF($E810="weekday",INDEX('Category Mapping'!$F$28:$F$39,MATCH('Summarized Source Data'!$A810,'Category Mapping'!$A$28:$A$39,0),1),INDEX('Category Mapping'!$E$28:$E$39,MATCH($A810,'Category Mapping'!$A$28:$A$39,0),1))</f>
        <v>307785714.28571427</v>
      </c>
      <c r="M810" s="27">
        <f>M230*IF($E810="weekday",INDEX('Category Mapping'!$F$28:$F$39,MATCH('Summarized Source Data'!$A810,'Category Mapping'!$A$28:$A$39,0),1),INDEX('Category Mapping'!$E$28:$E$39,MATCH($A810,'Category Mapping'!$A$28:$A$39,0),1))</f>
        <v>50581216.428571425</v>
      </c>
      <c r="N810" s="27">
        <f>N230*IF($E810="weekday",INDEX('Category Mapping'!$F$28:$F$39,MATCH('Summarized Source Data'!$A810,'Category Mapping'!$A$28:$A$39,0),1),INDEX('Category Mapping'!$E$28:$E$39,MATCH($A810,'Category Mapping'!$A$28:$A$39,0),1))</f>
        <v>0</v>
      </c>
      <c r="O810" s="27">
        <f>O230*IF($E810="weekday",INDEX('Category Mapping'!$F$28:$F$39,MATCH('Summarized Source Data'!$A810,'Category Mapping'!$A$28:$A$39,0),1),INDEX('Category Mapping'!$E$28:$E$39,MATCH($A810,'Category Mapping'!$A$28:$A$39,0),1))</f>
        <v>11465918783.571428</v>
      </c>
      <c r="P810" s="27">
        <f>P230*IF($E810="weekday",INDEX('Category Mapping'!$F$28:$F$39,MATCH('Summarized Source Data'!$A810,'Category Mapping'!$A$28:$A$39,0),1),INDEX('Category Mapping'!$E$28:$E$39,MATCH($A810,'Category Mapping'!$A$28:$A$39,0),1))</f>
        <v>11465918783.571428</v>
      </c>
      <c r="Q810" s="27">
        <f>Q230*IF($E810="weekday",INDEX('Category Mapping'!$F$28:$F$39,MATCH('Summarized Source Data'!$A810,'Category Mapping'!$A$28:$A$39,0),1),INDEX('Category Mapping'!$E$28:$E$39,MATCH($A810,'Category Mapping'!$A$28:$A$39,0),1))</f>
        <v>11465918783.571428</v>
      </c>
      <c r="R810" s="27">
        <f>R230*IF($E810="weekday",INDEX('Category Mapping'!$F$28:$F$39,MATCH('Summarized Source Data'!$A810,'Category Mapping'!$A$28:$A$39,0),1),INDEX('Category Mapping'!$E$28:$E$39,MATCH($A810,'Category Mapping'!$A$28:$A$39,0),1))</f>
        <v>265714285.7142857</v>
      </c>
      <c r="S810" s="27">
        <f>S230*IF($E810="weekday",INDEX('Category Mapping'!$F$28:$F$39,MATCH('Summarized Source Data'!$A810,'Category Mapping'!$A$28:$A$39,0),1),INDEX('Category Mapping'!$E$28:$E$39,MATCH($A810,'Category Mapping'!$A$28:$A$39,0),1))</f>
        <v>265714285.7142857</v>
      </c>
      <c r="T810" s="27">
        <f>T230*IF($E810="weekday",INDEX('Category Mapping'!$F$28:$F$39,MATCH('Summarized Source Data'!$A810,'Category Mapping'!$A$28:$A$39,0),1),INDEX('Category Mapping'!$E$28:$E$39,MATCH($A810,'Category Mapping'!$A$28:$A$39,0),1))</f>
        <v>265714285.7142857</v>
      </c>
      <c r="U810" s="27">
        <f>U230*IF($E810="weekday",INDEX('Category Mapping'!$F$28:$F$39,MATCH('Summarized Source Data'!$A810,'Category Mapping'!$A$28:$A$39,0),1),INDEX('Category Mapping'!$E$28:$E$39,MATCH($A810,'Category Mapping'!$A$28:$A$39,0),1))</f>
        <v>265714285.7142857</v>
      </c>
      <c r="V810" s="27">
        <f>V230*IF($E810="weekday",INDEX('Category Mapping'!$F$28:$F$39,MATCH('Summarized Source Data'!$A810,'Category Mapping'!$A$28:$A$39,0),1),INDEX('Category Mapping'!$E$28:$E$39,MATCH($A810,'Category Mapping'!$A$28:$A$39,0),1))</f>
        <v>265714285.7142857</v>
      </c>
      <c r="W810" s="27">
        <f>W230*IF($E810="weekday",INDEX('Category Mapping'!$F$28:$F$39,MATCH('Summarized Source Data'!$A810,'Category Mapping'!$A$28:$A$39,0),1),INDEX('Category Mapping'!$E$28:$E$39,MATCH($A810,'Category Mapping'!$A$28:$A$39,0),1))</f>
        <v>265714285.7142857</v>
      </c>
      <c r="X810" s="27">
        <f>X230*IF($E810="weekday",INDEX('Category Mapping'!$F$28:$F$39,MATCH('Summarized Source Data'!$A810,'Category Mapping'!$A$28:$A$39,0),1),INDEX('Category Mapping'!$E$28:$E$39,MATCH($A810,'Category Mapping'!$A$28:$A$39,0),1))</f>
        <v>14857857142.857143</v>
      </c>
      <c r="Y810" s="27">
        <f>Y230*IF($E810="weekday",INDEX('Category Mapping'!$F$28:$F$39,MATCH('Summarized Source Data'!$A810,'Category Mapping'!$A$28:$A$39,0),1),INDEX('Category Mapping'!$E$28:$E$39,MATCH($A810,'Category Mapping'!$A$28:$A$39,0),1))</f>
        <v>14857857142.857143</v>
      </c>
      <c r="Z810" s="27">
        <f>Z230*IF($E810="weekday",INDEX('Category Mapping'!$F$28:$F$39,MATCH('Summarized Source Data'!$A810,'Category Mapping'!$A$28:$A$39,0),1),INDEX('Category Mapping'!$E$28:$E$39,MATCH($A810,'Category Mapping'!$A$28:$A$39,0),1))</f>
        <v>14857857142.857143</v>
      </c>
    </row>
    <row r="811" spans="1:26" x14ac:dyDescent="0.3">
      <c r="A811">
        <f t="shared" ref="A811:E811" si="276">A231</f>
        <v>10</v>
      </c>
      <c r="B811" t="str">
        <f t="shared" si="276"/>
        <v>Fall</v>
      </c>
      <c r="C811" t="str">
        <f t="shared" si="276"/>
        <v>h12</v>
      </c>
      <c r="D811" t="str">
        <f t="shared" si="276"/>
        <v>Hour11</v>
      </c>
      <c r="E811" t="str">
        <f t="shared" si="276"/>
        <v>Weekday</v>
      </c>
      <c r="F811" s="27">
        <f>F231*IF($E811="weekday",INDEX('Category Mapping'!$F$28:$F$39,MATCH('Summarized Source Data'!$A811,'Category Mapping'!$A$28:$A$39,0),1),INDEX('Category Mapping'!$E$28:$E$39,MATCH($A811,'Category Mapping'!$A$28:$A$39,0),1))</f>
        <v>102014401.42857143</v>
      </c>
      <c r="G811" s="27">
        <f>G231*IF($E811="weekday",INDEX('Category Mapping'!$F$28:$F$39,MATCH('Summarized Source Data'!$A811,'Category Mapping'!$A$28:$A$39,0),1),INDEX('Category Mapping'!$E$28:$E$39,MATCH($A811,'Category Mapping'!$A$28:$A$39,0),1))</f>
        <v>9148122.1428571418</v>
      </c>
      <c r="H811" s="27">
        <f>H231*IF($E811="weekday",INDEX('Category Mapping'!$F$28:$F$39,MATCH('Summarized Source Data'!$A811,'Category Mapping'!$A$28:$A$39,0),1),INDEX('Category Mapping'!$E$28:$E$39,MATCH($A811,'Category Mapping'!$A$28:$A$39,0),1))</f>
        <v>0</v>
      </c>
      <c r="I811" s="27">
        <f>I231*IF($E811="weekday",INDEX('Category Mapping'!$F$28:$F$39,MATCH('Summarized Source Data'!$A811,'Category Mapping'!$A$28:$A$39,0),1),INDEX('Category Mapping'!$E$28:$E$39,MATCH($A811,'Category Mapping'!$A$28:$A$39,0),1))</f>
        <v>236928571.42857143</v>
      </c>
      <c r="J811" s="27">
        <f>J231*IF($E811="weekday",INDEX('Category Mapping'!$F$28:$F$39,MATCH('Summarized Source Data'!$A811,'Category Mapping'!$A$28:$A$39,0),1),INDEX('Category Mapping'!$E$28:$E$39,MATCH($A811,'Category Mapping'!$A$28:$A$39,0),1))</f>
        <v>2397623190.7142859</v>
      </c>
      <c r="K811" s="27">
        <f>K231*IF($E811="weekday",INDEX('Category Mapping'!$F$28:$F$39,MATCH('Summarized Source Data'!$A811,'Category Mapping'!$A$28:$A$39,0),1),INDEX('Category Mapping'!$E$28:$E$39,MATCH($A811,'Category Mapping'!$A$28:$A$39,0),1))</f>
        <v>2397623190.7142859</v>
      </c>
      <c r="L811" s="27">
        <f>L231*IF($E811="weekday",INDEX('Category Mapping'!$F$28:$F$39,MATCH('Summarized Source Data'!$A811,'Category Mapping'!$A$28:$A$39,0),1),INDEX('Category Mapping'!$E$28:$E$39,MATCH($A811,'Category Mapping'!$A$28:$A$39,0),1))</f>
        <v>250214285.7142857</v>
      </c>
      <c r="M811" s="27">
        <f>M231*IF($E811="weekday",INDEX('Category Mapping'!$F$28:$F$39,MATCH('Summarized Source Data'!$A811,'Category Mapping'!$A$28:$A$39,0),1),INDEX('Category Mapping'!$E$28:$E$39,MATCH($A811,'Category Mapping'!$A$28:$A$39,0),1))</f>
        <v>52685164.285714284</v>
      </c>
      <c r="N811" s="27">
        <f>N231*IF($E811="weekday",INDEX('Category Mapping'!$F$28:$F$39,MATCH('Summarized Source Data'!$A811,'Category Mapping'!$A$28:$A$39,0),1),INDEX('Category Mapping'!$E$28:$E$39,MATCH($A811,'Category Mapping'!$A$28:$A$39,0),1))</f>
        <v>0</v>
      </c>
      <c r="O811" s="27">
        <f>O231*IF($E811="weekday",INDEX('Category Mapping'!$F$28:$F$39,MATCH('Summarized Source Data'!$A811,'Category Mapping'!$A$28:$A$39,0),1),INDEX('Category Mapping'!$E$28:$E$39,MATCH($A811,'Category Mapping'!$A$28:$A$39,0),1))</f>
        <v>11432814835.714285</v>
      </c>
      <c r="P811" s="27">
        <f>P231*IF($E811="weekday",INDEX('Category Mapping'!$F$28:$F$39,MATCH('Summarized Source Data'!$A811,'Category Mapping'!$A$28:$A$39,0),1),INDEX('Category Mapping'!$E$28:$E$39,MATCH($A811,'Category Mapping'!$A$28:$A$39,0),1))</f>
        <v>11432814835.714285</v>
      </c>
      <c r="Q811" s="27">
        <f>Q231*IF($E811="weekday",INDEX('Category Mapping'!$F$28:$F$39,MATCH('Summarized Source Data'!$A811,'Category Mapping'!$A$28:$A$39,0),1),INDEX('Category Mapping'!$E$28:$E$39,MATCH($A811,'Category Mapping'!$A$28:$A$39,0),1))</f>
        <v>11432814835.714285</v>
      </c>
      <c r="R811" s="27">
        <f>R231*IF($E811="weekday",INDEX('Category Mapping'!$F$28:$F$39,MATCH('Summarized Source Data'!$A811,'Category Mapping'!$A$28:$A$39,0),1),INDEX('Category Mapping'!$E$28:$E$39,MATCH($A811,'Category Mapping'!$A$28:$A$39,0),1))</f>
        <v>265714285.7142857</v>
      </c>
      <c r="S811" s="27">
        <f>S231*IF($E811="weekday",INDEX('Category Mapping'!$F$28:$F$39,MATCH('Summarized Source Data'!$A811,'Category Mapping'!$A$28:$A$39,0),1),INDEX('Category Mapping'!$E$28:$E$39,MATCH($A811,'Category Mapping'!$A$28:$A$39,0),1))</f>
        <v>265714285.7142857</v>
      </c>
      <c r="T811" s="27">
        <f>T231*IF($E811="weekday",INDEX('Category Mapping'!$F$28:$F$39,MATCH('Summarized Source Data'!$A811,'Category Mapping'!$A$28:$A$39,0),1),INDEX('Category Mapping'!$E$28:$E$39,MATCH($A811,'Category Mapping'!$A$28:$A$39,0),1))</f>
        <v>265714285.7142857</v>
      </c>
      <c r="U811" s="27">
        <f>U231*IF($E811="weekday",INDEX('Category Mapping'!$F$28:$F$39,MATCH('Summarized Source Data'!$A811,'Category Mapping'!$A$28:$A$39,0),1),INDEX('Category Mapping'!$E$28:$E$39,MATCH($A811,'Category Mapping'!$A$28:$A$39,0),1))</f>
        <v>265714285.7142857</v>
      </c>
      <c r="V811" s="27">
        <f>V231*IF($E811="weekday",INDEX('Category Mapping'!$F$28:$F$39,MATCH('Summarized Source Data'!$A811,'Category Mapping'!$A$28:$A$39,0),1),INDEX('Category Mapping'!$E$28:$E$39,MATCH($A811,'Category Mapping'!$A$28:$A$39,0),1))</f>
        <v>265714285.7142857</v>
      </c>
      <c r="W811" s="27">
        <f>W231*IF($E811="weekday",INDEX('Category Mapping'!$F$28:$F$39,MATCH('Summarized Source Data'!$A811,'Category Mapping'!$A$28:$A$39,0),1),INDEX('Category Mapping'!$E$28:$E$39,MATCH($A811,'Category Mapping'!$A$28:$A$39,0),1))</f>
        <v>265714285.7142857</v>
      </c>
      <c r="X811" s="27">
        <f>X231*IF($E811="weekday",INDEX('Category Mapping'!$F$28:$F$39,MATCH('Summarized Source Data'!$A811,'Category Mapping'!$A$28:$A$39,0),1),INDEX('Category Mapping'!$E$28:$E$39,MATCH($A811,'Category Mapping'!$A$28:$A$39,0),1))</f>
        <v>14813571428.571428</v>
      </c>
      <c r="Y811" s="27">
        <f>Y231*IF($E811="weekday",INDEX('Category Mapping'!$F$28:$F$39,MATCH('Summarized Source Data'!$A811,'Category Mapping'!$A$28:$A$39,0),1),INDEX('Category Mapping'!$E$28:$E$39,MATCH($A811,'Category Mapping'!$A$28:$A$39,0),1))</f>
        <v>14813571428.571428</v>
      </c>
      <c r="Z811" s="27">
        <f>Z231*IF($E811="weekday",INDEX('Category Mapping'!$F$28:$F$39,MATCH('Summarized Source Data'!$A811,'Category Mapping'!$A$28:$A$39,0),1),INDEX('Category Mapping'!$E$28:$E$39,MATCH($A811,'Category Mapping'!$A$28:$A$39,0),1))</f>
        <v>14813571428.571428</v>
      </c>
    </row>
    <row r="812" spans="1:26" x14ac:dyDescent="0.3">
      <c r="A812">
        <f t="shared" ref="A812:E812" si="277">A232</f>
        <v>10</v>
      </c>
      <c r="B812" t="str">
        <f t="shared" si="277"/>
        <v>Fall</v>
      </c>
      <c r="C812" t="str">
        <f t="shared" si="277"/>
        <v>h13</v>
      </c>
      <c r="D812" t="str">
        <f t="shared" si="277"/>
        <v>Hour12</v>
      </c>
      <c r="E812" t="str">
        <f t="shared" si="277"/>
        <v>Weekday</v>
      </c>
      <c r="F812" s="27">
        <f>F232*IF($E812="weekday",INDEX('Category Mapping'!$F$28:$F$39,MATCH('Summarized Source Data'!$A812,'Category Mapping'!$A$28:$A$39,0),1),INDEX('Category Mapping'!$E$28:$E$39,MATCH($A812,'Category Mapping'!$A$28:$A$39,0),1))</f>
        <v>105008558.57142857</v>
      </c>
      <c r="G812" s="27">
        <f>G232*IF($E812="weekday",INDEX('Category Mapping'!$F$28:$F$39,MATCH('Summarized Source Data'!$A812,'Category Mapping'!$A$28:$A$39,0),1),INDEX('Category Mapping'!$E$28:$E$39,MATCH($A812,'Category Mapping'!$A$28:$A$39,0),1))</f>
        <v>22597937.142857142</v>
      </c>
      <c r="H812" s="27">
        <f>H232*IF($E812="weekday",INDEX('Category Mapping'!$F$28:$F$39,MATCH('Summarized Source Data'!$A812,'Category Mapping'!$A$28:$A$39,0),1),INDEX('Category Mapping'!$E$28:$E$39,MATCH($A812,'Category Mapping'!$A$28:$A$39,0),1))</f>
        <v>0</v>
      </c>
      <c r="I812" s="27">
        <f>I232*IF($E812="weekday",INDEX('Category Mapping'!$F$28:$F$39,MATCH('Summarized Source Data'!$A812,'Category Mapping'!$A$28:$A$39,0),1),INDEX('Category Mapping'!$E$28:$E$39,MATCH($A812,'Category Mapping'!$A$28:$A$39,0),1))</f>
        <v>250214285.7142857</v>
      </c>
      <c r="J812" s="27">
        <f>J232*IF($E812="weekday",INDEX('Category Mapping'!$F$28:$F$39,MATCH('Summarized Source Data'!$A812,'Category Mapping'!$A$28:$A$39,0),1),INDEX('Category Mapping'!$E$28:$E$39,MATCH($A812,'Category Mapping'!$A$28:$A$39,0),1))</f>
        <v>2301464932.8571429</v>
      </c>
      <c r="K812" s="27">
        <f>K232*IF($E812="weekday",INDEX('Category Mapping'!$F$28:$F$39,MATCH('Summarized Source Data'!$A812,'Category Mapping'!$A$28:$A$39,0),1),INDEX('Category Mapping'!$E$28:$E$39,MATCH($A812,'Category Mapping'!$A$28:$A$39,0),1))</f>
        <v>2301464932.8571429</v>
      </c>
      <c r="L812" s="27">
        <f>L232*IF($E812="weekday",INDEX('Category Mapping'!$F$28:$F$39,MATCH('Summarized Source Data'!$A812,'Category Mapping'!$A$28:$A$39,0),1),INDEX('Category Mapping'!$E$28:$E$39,MATCH($A812,'Category Mapping'!$A$28:$A$39,0),1))</f>
        <v>223642857.14285713</v>
      </c>
      <c r="M812" s="27">
        <f>M232*IF($E812="weekday",INDEX('Category Mapping'!$F$28:$F$39,MATCH('Summarized Source Data'!$A812,'Category Mapping'!$A$28:$A$39,0),1),INDEX('Category Mapping'!$E$28:$E$39,MATCH($A812,'Category Mapping'!$A$28:$A$39,0),1))</f>
        <v>53090932.142857142</v>
      </c>
      <c r="N812" s="27">
        <f>N232*IF($E812="weekday",INDEX('Category Mapping'!$F$28:$F$39,MATCH('Summarized Source Data'!$A812,'Category Mapping'!$A$28:$A$39,0),1),INDEX('Category Mapping'!$E$28:$E$39,MATCH($A812,'Category Mapping'!$A$28:$A$39,0),1))</f>
        <v>0</v>
      </c>
      <c r="O812" s="27">
        <f>O232*IF($E812="weekday",INDEX('Category Mapping'!$F$28:$F$39,MATCH('Summarized Source Data'!$A812,'Category Mapping'!$A$28:$A$39,0),1),INDEX('Category Mapping'!$E$28:$E$39,MATCH($A812,'Category Mapping'!$A$28:$A$39,0),1))</f>
        <v>11259694782.142857</v>
      </c>
      <c r="P812" s="27">
        <f>P232*IF($E812="weekday",INDEX('Category Mapping'!$F$28:$F$39,MATCH('Summarized Source Data'!$A812,'Category Mapping'!$A$28:$A$39,0),1),INDEX('Category Mapping'!$E$28:$E$39,MATCH($A812,'Category Mapping'!$A$28:$A$39,0),1))</f>
        <v>11259694782.142857</v>
      </c>
      <c r="Q812" s="27">
        <f>Q232*IF($E812="weekday",INDEX('Category Mapping'!$F$28:$F$39,MATCH('Summarized Source Data'!$A812,'Category Mapping'!$A$28:$A$39,0),1),INDEX('Category Mapping'!$E$28:$E$39,MATCH($A812,'Category Mapping'!$A$28:$A$39,0),1))</f>
        <v>11259694782.142857</v>
      </c>
      <c r="R812" s="27">
        <f>R232*IF($E812="weekday",INDEX('Category Mapping'!$F$28:$F$39,MATCH('Summarized Source Data'!$A812,'Category Mapping'!$A$28:$A$39,0),1),INDEX('Category Mapping'!$E$28:$E$39,MATCH($A812,'Category Mapping'!$A$28:$A$39,0),1))</f>
        <v>272357142.85714287</v>
      </c>
      <c r="S812" s="27">
        <f>S232*IF($E812="weekday",INDEX('Category Mapping'!$F$28:$F$39,MATCH('Summarized Source Data'!$A812,'Category Mapping'!$A$28:$A$39,0),1),INDEX('Category Mapping'!$E$28:$E$39,MATCH($A812,'Category Mapping'!$A$28:$A$39,0),1))</f>
        <v>272357142.85714287</v>
      </c>
      <c r="T812" s="27">
        <f>T232*IF($E812="weekday",INDEX('Category Mapping'!$F$28:$F$39,MATCH('Summarized Source Data'!$A812,'Category Mapping'!$A$28:$A$39,0),1),INDEX('Category Mapping'!$E$28:$E$39,MATCH($A812,'Category Mapping'!$A$28:$A$39,0),1))</f>
        <v>272357142.85714287</v>
      </c>
      <c r="U812" s="27">
        <f>U232*IF($E812="weekday",INDEX('Category Mapping'!$F$28:$F$39,MATCH('Summarized Source Data'!$A812,'Category Mapping'!$A$28:$A$39,0),1),INDEX('Category Mapping'!$E$28:$E$39,MATCH($A812,'Category Mapping'!$A$28:$A$39,0),1))</f>
        <v>272357142.85714287</v>
      </c>
      <c r="V812" s="27">
        <f>V232*IF($E812="weekday",INDEX('Category Mapping'!$F$28:$F$39,MATCH('Summarized Source Data'!$A812,'Category Mapping'!$A$28:$A$39,0),1),INDEX('Category Mapping'!$E$28:$E$39,MATCH($A812,'Category Mapping'!$A$28:$A$39,0),1))</f>
        <v>272357142.85714287</v>
      </c>
      <c r="W812" s="27">
        <f>W232*IF($E812="weekday",INDEX('Category Mapping'!$F$28:$F$39,MATCH('Summarized Source Data'!$A812,'Category Mapping'!$A$28:$A$39,0),1),INDEX('Category Mapping'!$E$28:$E$39,MATCH($A812,'Category Mapping'!$A$28:$A$39,0),1))</f>
        <v>272357142.85714287</v>
      </c>
      <c r="X812" s="27">
        <f>X232*IF($E812="weekday",INDEX('Category Mapping'!$F$28:$F$39,MATCH('Summarized Source Data'!$A812,'Category Mapping'!$A$28:$A$39,0),1),INDEX('Category Mapping'!$E$28:$E$39,MATCH($A812,'Category Mapping'!$A$28:$A$39,0),1))</f>
        <v>14769285714.285713</v>
      </c>
      <c r="Y812" s="27">
        <f>Y232*IF($E812="weekday",INDEX('Category Mapping'!$F$28:$F$39,MATCH('Summarized Source Data'!$A812,'Category Mapping'!$A$28:$A$39,0),1),INDEX('Category Mapping'!$E$28:$E$39,MATCH($A812,'Category Mapping'!$A$28:$A$39,0),1))</f>
        <v>14769285714.285713</v>
      </c>
      <c r="Z812" s="27">
        <f>Z232*IF($E812="weekday",INDEX('Category Mapping'!$F$28:$F$39,MATCH('Summarized Source Data'!$A812,'Category Mapping'!$A$28:$A$39,0),1),INDEX('Category Mapping'!$E$28:$E$39,MATCH($A812,'Category Mapping'!$A$28:$A$39,0),1))</f>
        <v>14769285714.285713</v>
      </c>
    </row>
    <row r="813" spans="1:26" x14ac:dyDescent="0.3">
      <c r="A813">
        <f t="shared" ref="A813:E813" si="278">A233</f>
        <v>10</v>
      </c>
      <c r="B813" t="str">
        <f t="shared" si="278"/>
        <v>Fall</v>
      </c>
      <c r="C813" t="str">
        <f t="shared" si="278"/>
        <v>h14</v>
      </c>
      <c r="D813" t="str">
        <f t="shared" si="278"/>
        <v>Hour13</v>
      </c>
      <c r="E813" t="str">
        <f t="shared" si="278"/>
        <v>Weekday</v>
      </c>
      <c r="F813" s="27">
        <f>F233*IF($E813="weekday",INDEX('Category Mapping'!$F$28:$F$39,MATCH('Summarized Source Data'!$A813,'Category Mapping'!$A$28:$A$39,0),1),INDEX('Category Mapping'!$E$28:$E$39,MATCH($A813,'Category Mapping'!$A$28:$A$39,0),1))</f>
        <v>105850917.14285713</v>
      </c>
      <c r="G813" s="27">
        <f>G233*IF($E813="weekday",INDEX('Category Mapping'!$F$28:$F$39,MATCH('Summarized Source Data'!$A813,'Category Mapping'!$A$28:$A$39,0),1),INDEX('Category Mapping'!$E$28:$E$39,MATCH($A813,'Category Mapping'!$A$28:$A$39,0),1))</f>
        <v>32752939.285714284</v>
      </c>
      <c r="H813" s="27">
        <f>H233*IF($E813="weekday",INDEX('Category Mapping'!$F$28:$F$39,MATCH('Summarized Source Data'!$A813,'Category Mapping'!$A$28:$A$39,0),1),INDEX('Category Mapping'!$E$28:$E$39,MATCH($A813,'Category Mapping'!$A$28:$A$39,0),1))</f>
        <v>0</v>
      </c>
      <c r="I813" s="27">
        <f>I233*IF($E813="weekday",INDEX('Category Mapping'!$F$28:$F$39,MATCH('Summarized Source Data'!$A813,'Category Mapping'!$A$28:$A$39,0),1),INDEX('Category Mapping'!$E$28:$E$39,MATCH($A813,'Category Mapping'!$A$28:$A$39,0),1))</f>
        <v>252428571.42857143</v>
      </c>
      <c r="J813" s="27">
        <f>J233*IF($E813="weekday",INDEX('Category Mapping'!$F$28:$F$39,MATCH('Summarized Source Data'!$A813,'Category Mapping'!$A$28:$A$39,0),1),INDEX('Category Mapping'!$E$28:$E$39,MATCH($A813,'Category Mapping'!$A$28:$A$39,0),1))</f>
        <v>2288253286.4285712</v>
      </c>
      <c r="K813" s="27">
        <f>K233*IF($E813="weekday",INDEX('Category Mapping'!$F$28:$F$39,MATCH('Summarized Source Data'!$A813,'Category Mapping'!$A$28:$A$39,0),1),INDEX('Category Mapping'!$E$28:$E$39,MATCH($A813,'Category Mapping'!$A$28:$A$39,0),1))</f>
        <v>2288253286.4285712</v>
      </c>
      <c r="L813" s="27">
        <f>L233*IF($E813="weekday",INDEX('Category Mapping'!$F$28:$F$39,MATCH('Summarized Source Data'!$A813,'Category Mapping'!$A$28:$A$39,0),1),INDEX('Category Mapping'!$E$28:$E$39,MATCH($A813,'Category Mapping'!$A$28:$A$39,0),1))</f>
        <v>203909209.28571427</v>
      </c>
      <c r="M813" s="27">
        <f>M233*IF($E813="weekday",INDEX('Category Mapping'!$F$28:$F$39,MATCH('Summarized Source Data'!$A813,'Category Mapping'!$A$28:$A$39,0),1),INDEX('Category Mapping'!$E$28:$E$39,MATCH($A813,'Category Mapping'!$A$28:$A$39,0),1))</f>
        <v>55898004.285714284</v>
      </c>
      <c r="N813" s="27">
        <f>N233*IF($E813="weekday",INDEX('Category Mapping'!$F$28:$F$39,MATCH('Summarized Source Data'!$A813,'Category Mapping'!$A$28:$A$39,0),1),INDEX('Category Mapping'!$E$28:$E$39,MATCH($A813,'Category Mapping'!$A$28:$A$39,0),1))</f>
        <v>0</v>
      </c>
      <c r="O813" s="27">
        <f>O233*IF($E813="weekday",INDEX('Category Mapping'!$F$28:$F$39,MATCH('Summarized Source Data'!$A813,'Category Mapping'!$A$28:$A$39,0),1),INDEX('Category Mapping'!$E$28:$E$39,MATCH($A813,'Category Mapping'!$A$28:$A$39,0),1))</f>
        <v>11254478500.714285</v>
      </c>
      <c r="P813" s="27">
        <f>P233*IF($E813="weekday",INDEX('Category Mapping'!$F$28:$F$39,MATCH('Summarized Source Data'!$A813,'Category Mapping'!$A$28:$A$39,0),1),INDEX('Category Mapping'!$E$28:$E$39,MATCH($A813,'Category Mapping'!$A$28:$A$39,0),1))</f>
        <v>11254478500.714285</v>
      </c>
      <c r="Q813" s="27">
        <f>Q233*IF($E813="weekday",INDEX('Category Mapping'!$F$28:$F$39,MATCH('Summarized Source Data'!$A813,'Category Mapping'!$A$28:$A$39,0),1),INDEX('Category Mapping'!$E$28:$E$39,MATCH($A813,'Category Mapping'!$A$28:$A$39,0),1))</f>
        <v>11254478500.714285</v>
      </c>
      <c r="R813" s="27">
        <f>R233*IF($E813="weekday",INDEX('Category Mapping'!$F$28:$F$39,MATCH('Summarized Source Data'!$A813,'Category Mapping'!$A$28:$A$39,0),1),INDEX('Category Mapping'!$E$28:$E$39,MATCH($A813,'Category Mapping'!$A$28:$A$39,0),1))</f>
        <v>270142857.14285713</v>
      </c>
      <c r="S813" s="27">
        <f>S233*IF($E813="weekday",INDEX('Category Mapping'!$F$28:$F$39,MATCH('Summarized Source Data'!$A813,'Category Mapping'!$A$28:$A$39,0),1),INDEX('Category Mapping'!$E$28:$E$39,MATCH($A813,'Category Mapping'!$A$28:$A$39,0),1))</f>
        <v>270142857.14285713</v>
      </c>
      <c r="T813" s="27">
        <f>T233*IF($E813="weekday",INDEX('Category Mapping'!$F$28:$F$39,MATCH('Summarized Source Data'!$A813,'Category Mapping'!$A$28:$A$39,0),1),INDEX('Category Mapping'!$E$28:$E$39,MATCH($A813,'Category Mapping'!$A$28:$A$39,0),1))</f>
        <v>270142857.14285713</v>
      </c>
      <c r="U813" s="27">
        <f>U233*IF($E813="weekday",INDEX('Category Mapping'!$F$28:$F$39,MATCH('Summarized Source Data'!$A813,'Category Mapping'!$A$28:$A$39,0),1),INDEX('Category Mapping'!$E$28:$E$39,MATCH($A813,'Category Mapping'!$A$28:$A$39,0),1))</f>
        <v>270142857.14285713</v>
      </c>
      <c r="V813" s="27">
        <f>V233*IF($E813="weekday",INDEX('Category Mapping'!$F$28:$F$39,MATCH('Summarized Source Data'!$A813,'Category Mapping'!$A$28:$A$39,0),1),INDEX('Category Mapping'!$E$28:$E$39,MATCH($A813,'Category Mapping'!$A$28:$A$39,0),1))</f>
        <v>270142857.14285713</v>
      </c>
      <c r="W813" s="27">
        <f>W233*IF($E813="weekday",INDEX('Category Mapping'!$F$28:$F$39,MATCH('Summarized Source Data'!$A813,'Category Mapping'!$A$28:$A$39,0),1),INDEX('Category Mapping'!$E$28:$E$39,MATCH($A813,'Category Mapping'!$A$28:$A$39,0),1))</f>
        <v>270142857.14285713</v>
      </c>
      <c r="X813" s="27">
        <f>X233*IF($E813="weekday",INDEX('Category Mapping'!$F$28:$F$39,MATCH('Summarized Source Data'!$A813,'Category Mapping'!$A$28:$A$39,0),1),INDEX('Category Mapping'!$E$28:$E$39,MATCH($A813,'Category Mapping'!$A$28:$A$39,0),1))</f>
        <v>14747142857.142857</v>
      </c>
      <c r="Y813" s="27">
        <f>Y233*IF($E813="weekday",INDEX('Category Mapping'!$F$28:$F$39,MATCH('Summarized Source Data'!$A813,'Category Mapping'!$A$28:$A$39,0),1),INDEX('Category Mapping'!$E$28:$E$39,MATCH($A813,'Category Mapping'!$A$28:$A$39,0),1))</f>
        <v>14747142857.142857</v>
      </c>
      <c r="Z813" s="27">
        <f>Z233*IF($E813="weekday",INDEX('Category Mapping'!$F$28:$F$39,MATCH('Summarized Source Data'!$A813,'Category Mapping'!$A$28:$A$39,0),1),INDEX('Category Mapping'!$E$28:$E$39,MATCH($A813,'Category Mapping'!$A$28:$A$39,0),1))</f>
        <v>14747142857.142857</v>
      </c>
    </row>
    <row r="814" spans="1:26" x14ac:dyDescent="0.3">
      <c r="A814">
        <f t="shared" ref="A814:E814" si="279">A234</f>
        <v>10</v>
      </c>
      <c r="B814" t="str">
        <f t="shared" si="279"/>
        <v>Fall</v>
      </c>
      <c r="C814" t="str">
        <f t="shared" si="279"/>
        <v>h15</v>
      </c>
      <c r="D814" t="str">
        <f t="shared" si="279"/>
        <v>Hour14</v>
      </c>
      <c r="E814" t="str">
        <f t="shared" si="279"/>
        <v>Weekday</v>
      </c>
      <c r="F814" s="27">
        <f>F234*IF($E814="weekday",INDEX('Category Mapping'!$F$28:$F$39,MATCH('Summarized Source Data'!$A814,'Category Mapping'!$A$28:$A$39,0),1),INDEX('Category Mapping'!$E$28:$E$39,MATCH($A814,'Category Mapping'!$A$28:$A$39,0),1))</f>
        <v>107383380</v>
      </c>
      <c r="G814" s="27">
        <f>G234*IF($E814="weekday",INDEX('Category Mapping'!$F$28:$F$39,MATCH('Summarized Source Data'!$A814,'Category Mapping'!$A$28:$A$39,0),1),INDEX('Category Mapping'!$E$28:$E$39,MATCH($A814,'Category Mapping'!$A$28:$A$39,0),1))</f>
        <v>37687762.857142858</v>
      </c>
      <c r="H814" s="27">
        <f>H234*IF($E814="weekday",INDEX('Category Mapping'!$F$28:$F$39,MATCH('Summarized Source Data'!$A814,'Category Mapping'!$A$28:$A$39,0),1),INDEX('Category Mapping'!$E$28:$E$39,MATCH($A814,'Category Mapping'!$A$28:$A$39,0),1))</f>
        <v>0</v>
      </c>
      <c r="I814" s="27">
        <f>I234*IF($E814="weekday",INDEX('Category Mapping'!$F$28:$F$39,MATCH('Summarized Source Data'!$A814,'Category Mapping'!$A$28:$A$39,0),1),INDEX('Category Mapping'!$E$28:$E$39,MATCH($A814,'Category Mapping'!$A$28:$A$39,0),1))</f>
        <v>259071428.57142857</v>
      </c>
      <c r="J814" s="27">
        <f>J234*IF($E814="weekday",INDEX('Category Mapping'!$F$28:$F$39,MATCH('Summarized Source Data'!$A814,'Category Mapping'!$A$28:$A$39,0),1),INDEX('Category Mapping'!$E$28:$E$39,MATCH($A814,'Category Mapping'!$A$28:$A$39,0),1))</f>
        <v>2363714571.4285712</v>
      </c>
      <c r="K814" s="27">
        <f>K234*IF($E814="weekday",INDEX('Category Mapping'!$F$28:$F$39,MATCH('Summarized Source Data'!$A814,'Category Mapping'!$A$28:$A$39,0),1),INDEX('Category Mapping'!$E$28:$E$39,MATCH($A814,'Category Mapping'!$A$28:$A$39,0),1))</f>
        <v>2363714571.4285712</v>
      </c>
      <c r="L814" s="27">
        <f>L234*IF($E814="weekday",INDEX('Category Mapping'!$F$28:$F$39,MATCH('Summarized Source Data'!$A814,'Category Mapping'!$A$28:$A$39,0),1),INDEX('Category Mapping'!$E$28:$E$39,MATCH($A814,'Category Mapping'!$A$28:$A$39,0),1))</f>
        <v>189804187.14285713</v>
      </c>
      <c r="M814" s="27">
        <f>M234*IF($E814="weekday",INDEX('Category Mapping'!$F$28:$F$39,MATCH('Summarized Source Data'!$A814,'Category Mapping'!$A$28:$A$39,0),1),INDEX('Category Mapping'!$E$28:$E$39,MATCH($A814,'Category Mapping'!$A$28:$A$39,0),1))</f>
        <v>57729262.857142858</v>
      </c>
      <c r="N814" s="27">
        <f>N234*IF($E814="weekday",INDEX('Category Mapping'!$F$28:$F$39,MATCH('Summarized Source Data'!$A814,'Category Mapping'!$A$28:$A$39,0),1),INDEX('Category Mapping'!$E$28:$E$39,MATCH($A814,'Category Mapping'!$A$28:$A$39,0),1))</f>
        <v>0</v>
      </c>
      <c r="O814" s="27">
        <f>O234*IF($E814="weekday",INDEX('Category Mapping'!$F$28:$F$39,MATCH('Summarized Source Data'!$A814,'Category Mapping'!$A$28:$A$39,0),1),INDEX('Category Mapping'!$E$28:$E$39,MATCH($A814,'Category Mapping'!$A$28:$A$39,0),1))</f>
        <v>11244609407.142857</v>
      </c>
      <c r="P814" s="27">
        <f>P234*IF($E814="weekday",INDEX('Category Mapping'!$F$28:$F$39,MATCH('Summarized Source Data'!$A814,'Category Mapping'!$A$28:$A$39,0),1),INDEX('Category Mapping'!$E$28:$E$39,MATCH($A814,'Category Mapping'!$A$28:$A$39,0),1))</f>
        <v>11244609407.142857</v>
      </c>
      <c r="Q814" s="27">
        <f>Q234*IF($E814="weekday",INDEX('Category Mapping'!$F$28:$F$39,MATCH('Summarized Source Data'!$A814,'Category Mapping'!$A$28:$A$39,0),1),INDEX('Category Mapping'!$E$28:$E$39,MATCH($A814,'Category Mapping'!$A$28:$A$39,0),1))</f>
        <v>11244609407.142857</v>
      </c>
      <c r="R814" s="27">
        <f>R234*IF($E814="weekday",INDEX('Category Mapping'!$F$28:$F$39,MATCH('Summarized Source Data'!$A814,'Category Mapping'!$A$28:$A$39,0),1),INDEX('Category Mapping'!$E$28:$E$39,MATCH($A814,'Category Mapping'!$A$28:$A$39,0),1))</f>
        <v>265714285.7142857</v>
      </c>
      <c r="S814" s="27">
        <f>S234*IF($E814="weekday",INDEX('Category Mapping'!$F$28:$F$39,MATCH('Summarized Source Data'!$A814,'Category Mapping'!$A$28:$A$39,0),1),INDEX('Category Mapping'!$E$28:$E$39,MATCH($A814,'Category Mapping'!$A$28:$A$39,0),1))</f>
        <v>265714285.7142857</v>
      </c>
      <c r="T814" s="27">
        <f>T234*IF($E814="weekday",INDEX('Category Mapping'!$F$28:$F$39,MATCH('Summarized Source Data'!$A814,'Category Mapping'!$A$28:$A$39,0),1),INDEX('Category Mapping'!$E$28:$E$39,MATCH($A814,'Category Mapping'!$A$28:$A$39,0),1))</f>
        <v>265714285.7142857</v>
      </c>
      <c r="U814" s="27">
        <f>U234*IF($E814="weekday",INDEX('Category Mapping'!$F$28:$F$39,MATCH('Summarized Source Data'!$A814,'Category Mapping'!$A$28:$A$39,0),1),INDEX('Category Mapping'!$E$28:$E$39,MATCH($A814,'Category Mapping'!$A$28:$A$39,0),1))</f>
        <v>265714285.7142857</v>
      </c>
      <c r="V814" s="27">
        <f>V234*IF($E814="weekday",INDEX('Category Mapping'!$F$28:$F$39,MATCH('Summarized Source Data'!$A814,'Category Mapping'!$A$28:$A$39,0),1),INDEX('Category Mapping'!$E$28:$E$39,MATCH($A814,'Category Mapping'!$A$28:$A$39,0),1))</f>
        <v>265714285.7142857</v>
      </c>
      <c r="W814" s="27">
        <f>W234*IF($E814="weekday",INDEX('Category Mapping'!$F$28:$F$39,MATCH('Summarized Source Data'!$A814,'Category Mapping'!$A$28:$A$39,0),1),INDEX('Category Mapping'!$E$28:$E$39,MATCH($A814,'Category Mapping'!$A$28:$A$39,0),1))</f>
        <v>265714285.7142857</v>
      </c>
      <c r="X814" s="27">
        <f>X234*IF($E814="weekday",INDEX('Category Mapping'!$F$28:$F$39,MATCH('Summarized Source Data'!$A814,'Category Mapping'!$A$28:$A$39,0),1),INDEX('Category Mapping'!$E$28:$E$39,MATCH($A814,'Category Mapping'!$A$28:$A$39,0),1))</f>
        <v>14769285714.285713</v>
      </c>
      <c r="Y814" s="27">
        <f>Y234*IF($E814="weekday",INDEX('Category Mapping'!$F$28:$F$39,MATCH('Summarized Source Data'!$A814,'Category Mapping'!$A$28:$A$39,0),1),INDEX('Category Mapping'!$E$28:$E$39,MATCH($A814,'Category Mapping'!$A$28:$A$39,0),1))</f>
        <v>14769285714.285713</v>
      </c>
      <c r="Z814" s="27">
        <f>Z234*IF($E814="weekday",INDEX('Category Mapping'!$F$28:$F$39,MATCH('Summarized Source Data'!$A814,'Category Mapping'!$A$28:$A$39,0),1),INDEX('Category Mapping'!$E$28:$E$39,MATCH($A814,'Category Mapping'!$A$28:$A$39,0),1))</f>
        <v>14769285714.285713</v>
      </c>
    </row>
    <row r="815" spans="1:26" x14ac:dyDescent="0.3">
      <c r="A815">
        <f t="shared" ref="A815:E815" si="280">A235</f>
        <v>10</v>
      </c>
      <c r="B815" t="str">
        <f t="shared" si="280"/>
        <v>Fall</v>
      </c>
      <c r="C815" t="str">
        <f t="shared" si="280"/>
        <v>h16</v>
      </c>
      <c r="D815" t="str">
        <f t="shared" si="280"/>
        <v>Hour15</v>
      </c>
      <c r="E815" t="str">
        <f t="shared" si="280"/>
        <v>Weekday</v>
      </c>
      <c r="F815" s="27">
        <f>F235*IF($E815="weekday",INDEX('Category Mapping'!$F$28:$F$39,MATCH('Summarized Source Data'!$A815,'Category Mapping'!$A$28:$A$39,0),1),INDEX('Category Mapping'!$E$28:$E$39,MATCH($A815,'Category Mapping'!$A$28:$A$39,0),1))</f>
        <v>112333504.28571428</v>
      </c>
      <c r="G815" s="27">
        <f>G235*IF($E815="weekday",INDEX('Category Mapping'!$F$28:$F$39,MATCH('Summarized Source Data'!$A815,'Category Mapping'!$A$28:$A$39,0),1),INDEX('Category Mapping'!$E$28:$E$39,MATCH($A815,'Category Mapping'!$A$28:$A$39,0),1))</f>
        <v>37355819.285714284</v>
      </c>
      <c r="H815" s="27">
        <f>H235*IF($E815="weekday",INDEX('Category Mapping'!$F$28:$F$39,MATCH('Summarized Source Data'!$A815,'Category Mapping'!$A$28:$A$39,0),1),INDEX('Category Mapping'!$E$28:$E$39,MATCH($A815,'Category Mapping'!$A$28:$A$39,0),1))</f>
        <v>0</v>
      </c>
      <c r="I815" s="27">
        <f>I235*IF($E815="weekday",INDEX('Category Mapping'!$F$28:$F$39,MATCH('Summarized Source Data'!$A815,'Category Mapping'!$A$28:$A$39,0),1),INDEX('Category Mapping'!$E$28:$E$39,MATCH($A815,'Category Mapping'!$A$28:$A$39,0),1))</f>
        <v>281214285.71428573</v>
      </c>
      <c r="J815" s="27">
        <f>J235*IF($E815="weekday",INDEX('Category Mapping'!$F$28:$F$39,MATCH('Summarized Source Data'!$A815,'Category Mapping'!$A$28:$A$39,0),1),INDEX('Category Mapping'!$E$28:$E$39,MATCH($A815,'Category Mapping'!$A$28:$A$39,0),1))</f>
        <v>2669096390.7142859</v>
      </c>
      <c r="K815" s="27">
        <f>K235*IF($E815="weekday",INDEX('Category Mapping'!$F$28:$F$39,MATCH('Summarized Source Data'!$A815,'Category Mapping'!$A$28:$A$39,0),1),INDEX('Category Mapping'!$E$28:$E$39,MATCH($A815,'Category Mapping'!$A$28:$A$39,0),1))</f>
        <v>2669096390.7142859</v>
      </c>
      <c r="L815" s="27">
        <f>L235*IF($E815="weekday",INDEX('Category Mapping'!$F$28:$F$39,MATCH('Summarized Source Data'!$A815,'Category Mapping'!$A$28:$A$39,0),1),INDEX('Category Mapping'!$E$28:$E$39,MATCH($A815,'Category Mapping'!$A$28:$A$39,0),1))</f>
        <v>177365459.28571427</v>
      </c>
      <c r="M815" s="27">
        <f>M235*IF($E815="weekday",INDEX('Category Mapping'!$F$28:$F$39,MATCH('Summarized Source Data'!$A815,'Category Mapping'!$A$28:$A$39,0),1),INDEX('Category Mapping'!$E$28:$E$39,MATCH($A815,'Category Mapping'!$A$28:$A$39,0),1))</f>
        <v>57168406.428571425</v>
      </c>
      <c r="N815" s="27">
        <f>N235*IF($E815="weekday",INDEX('Category Mapping'!$F$28:$F$39,MATCH('Summarized Source Data'!$A815,'Category Mapping'!$A$28:$A$39,0),1),INDEX('Category Mapping'!$E$28:$E$39,MATCH($A815,'Category Mapping'!$A$28:$A$39,0),1))</f>
        <v>0</v>
      </c>
      <c r="O815" s="27">
        <f>O235*IF($E815="weekday",INDEX('Category Mapping'!$F$28:$F$39,MATCH('Summarized Source Data'!$A815,'Category Mapping'!$A$28:$A$39,0),1),INDEX('Category Mapping'!$E$28:$E$39,MATCH($A815,'Category Mapping'!$A$28:$A$39,0),1))</f>
        <v>11257608991.428572</v>
      </c>
      <c r="P815" s="27">
        <f>P235*IF($E815="weekday",INDEX('Category Mapping'!$F$28:$F$39,MATCH('Summarized Source Data'!$A815,'Category Mapping'!$A$28:$A$39,0),1),INDEX('Category Mapping'!$E$28:$E$39,MATCH($A815,'Category Mapping'!$A$28:$A$39,0),1))</f>
        <v>11257608991.428572</v>
      </c>
      <c r="Q815" s="27">
        <f>Q235*IF($E815="weekday",INDEX('Category Mapping'!$F$28:$F$39,MATCH('Summarized Source Data'!$A815,'Category Mapping'!$A$28:$A$39,0),1),INDEX('Category Mapping'!$E$28:$E$39,MATCH($A815,'Category Mapping'!$A$28:$A$39,0),1))</f>
        <v>11257608991.428572</v>
      </c>
      <c r="R815" s="27">
        <f>R235*IF($E815="weekday",INDEX('Category Mapping'!$F$28:$F$39,MATCH('Summarized Source Data'!$A815,'Category Mapping'!$A$28:$A$39,0),1),INDEX('Category Mapping'!$E$28:$E$39,MATCH($A815,'Category Mapping'!$A$28:$A$39,0),1))</f>
        <v>316642857.14285713</v>
      </c>
      <c r="S815" s="27">
        <f>S235*IF($E815="weekday",INDEX('Category Mapping'!$F$28:$F$39,MATCH('Summarized Source Data'!$A815,'Category Mapping'!$A$28:$A$39,0),1),INDEX('Category Mapping'!$E$28:$E$39,MATCH($A815,'Category Mapping'!$A$28:$A$39,0),1))</f>
        <v>316642857.14285713</v>
      </c>
      <c r="T815" s="27">
        <f>T235*IF($E815="weekday",INDEX('Category Mapping'!$F$28:$F$39,MATCH('Summarized Source Data'!$A815,'Category Mapping'!$A$28:$A$39,0),1),INDEX('Category Mapping'!$E$28:$E$39,MATCH($A815,'Category Mapping'!$A$28:$A$39,0),1))</f>
        <v>316642857.14285713</v>
      </c>
      <c r="U815" s="27">
        <f>U235*IF($E815="weekday",INDEX('Category Mapping'!$F$28:$F$39,MATCH('Summarized Source Data'!$A815,'Category Mapping'!$A$28:$A$39,0),1),INDEX('Category Mapping'!$E$28:$E$39,MATCH($A815,'Category Mapping'!$A$28:$A$39,0),1))</f>
        <v>316642857.14285713</v>
      </c>
      <c r="V815" s="27">
        <f>V235*IF($E815="weekday",INDEX('Category Mapping'!$F$28:$F$39,MATCH('Summarized Source Data'!$A815,'Category Mapping'!$A$28:$A$39,0),1),INDEX('Category Mapping'!$E$28:$E$39,MATCH($A815,'Category Mapping'!$A$28:$A$39,0),1))</f>
        <v>316642857.14285713</v>
      </c>
      <c r="W815" s="27">
        <f>W235*IF($E815="weekday",INDEX('Category Mapping'!$F$28:$F$39,MATCH('Summarized Source Data'!$A815,'Category Mapping'!$A$28:$A$39,0),1),INDEX('Category Mapping'!$E$28:$E$39,MATCH($A815,'Category Mapping'!$A$28:$A$39,0),1))</f>
        <v>316642857.14285713</v>
      </c>
      <c r="X815" s="27">
        <f>X235*IF($E815="weekday",INDEX('Category Mapping'!$F$28:$F$39,MATCH('Summarized Source Data'!$A815,'Category Mapping'!$A$28:$A$39,0),1),INDEX('Category Mapping'!$E$28:$E$39,MATCH($A815,'Category Mapping'!$A$28:$A$39,0),1))</f>
        <v>14902142857.142857</v>
      </c>
      <c r="Y815" s="27">
        <f>Y235*IF($E815="weekday",INDEX('Category Mapping'!$F$28:$F$39,MATCH('Summarized Source Data'!$A815,'Category Mapping'!$A$28:$A$39,0),1),INDEX('Category Mapping'!$E$28:$E$39,MATCH($A815,'Category Mapping'!$A$28:$A$39,0),1))</f>
        <v>14902142857.142857</v>
      </c>
      <c r="Z815" s="27">
        <f>Z235*IF($E815="weekday",INDEX('Category Mapping'!$F$28:$F$39,MATCH('Summarized Source Data'!$A815,'Category Mapping'!$A$28:$A$39,0),1),INDEX('Category Mapping'!$E$28:$E$39,MATCH($A815,'Category Mapping'!$A$28:$A$39,0),1))</f>
        <v>14902142857.142857</v>
      </c>
    </row>
    <row r="816" spans="1:26" x14ac:dyDescent="0.3">
      <c r="A816">
        <f t="shared" ref="A816:E816" si="281">A236</f>
        <v>10</v>
      </c>
      <c r="B816" t="str">
        <f t="shared" si="281"/>
        <v>Fall</v>
      </c>
      <c r="C816" t="str">
        <f t="shared" si="281"/>
        <v>h17</v>
      </c>
      <c r="D816" t="str">
        <f t="shared" si="281"/>
        <v>Hour16</v>
      </c>
      <c r="E816" t="str">
        <f t="shared" si="281"/>
        <v>Weekday</v>
      </c>
      <c r="F816" s="27">
        <f>F236*IF($E816="weekday",INDEX('Category Mapping'!$F$28:$F$39,MATCH('Summarized Source Data'!$A816,'Category Mapping'!$A$28:$A$39,0),1),INDEX('Category Mapping'!$E$28:$E$39,MATCH($A816,'Category Mapping'!$A$28:$A$39,0),1))</f>
        <v>118298325</v>
      </c>
      <c r="G816" s="27">
        <f>G236*IF($E816="weekday",INDEX('Category Mapping'!$F$28:$F$39,MATCH('Summarized Source Data'!$A816,'Category Mapping'!$A$28:$A$39,0),1),INDEX('Category Mapping'!$E$28:$E$39,MATCH($A816,'Category Mapping'!$A$28:$A$39,0),1))</f>
        <v>29029795</v>
      </c>
      <c r="H816" s="27">
        <f>H236*IF($E816="weekday",INDEX('Category Mapping'!$F$28:$F$39,MATCH('Summarized Source Data'!$A816,'Category Mapping'!$A$28:$A$39,0),1),INDEX('Category Mapping'!$E$28:$E$39,MATCH($A816,'Category Mapping'!$A$28:$A$39,0),1))</f>
        <v>0</v>
      </c>
      <c r="I816" s="27">
        <f>I236*IF($E816="weekday",INDEX('Category Mapping'!$F$28:$F$39,MATCH('Summarized Source Data'!$A816,'Category Mapping'!$A$28:$A$39,0),1),INDEX('Category Mapping'!$E$28:$E$39,MATCH($A816,'Category Mapping'!$A$28:$A$39,0),1))</f>
        <v>376428571.4285714</v>
      </c>
      <c r="J816" s="27">
        <f>J236*IF($E816="weekday",INDEX('Category Mapping'!$F$28:$F$39,MATCH('Summarized Source Data'!$A816,'Category Mapping'!$A$28:$A$39,0),1),INDEX('Category Mapping'!$E$28:$E$39,MATCH($A816,'Category Mapping'!$A$28:$A$39,0),1))</f>
        <v>3240529022.8571429</v>
      </c>
      <c r="K816" s="27">
        <f>K236*IF($E816="weekday",INDEX('Category Mapping'!$F$28:$F$39,MATCH('Summarized Source Data'!$A816,'Category Mapping'!$A$28:$A$39,0),1),INDEX('Category Mapping'!$E$28:$E$39,MATCH($A816,'Category Mapping'!$A$28:$A$39,0),1))</f>
        <v>3240529022.8571429</v>
      </c>
      <c r="L816" s="27">
        <f>L236*IF($E816="weekday",INDEX('Category Mapping'!$F$28:$F$39,MATCH('Summarized Source Data'!$A816,'Category Mapping'!$A$28:$A$39,0),1),INDEX('Category Mapping'!$E$28:$E$39,MATCH($A816,'Category Mapping'!$A$28:$A$39,0),1))</f>
        <v>165812844.28571427</v>
      </c>
      <c r="M816" s="27">
        <f>M236*IF($E816="weekday",INDEX('Category Mapping'!$F$28:$F$39,MATCH('Summarized Source Data'!$A816,'Category Mapping'!$A$28:$A$39,0),1),INDEX('Category Mapping'!$E$28:$E$39,MATCH($A816,'Category Mapping'!$A$28:$A$39,0),1))</f>
        <v>54465317.142857142</v>
      </c>
      <c r="N816" s="27">
        <f>N236*IF($E816="weekday",INDEX('Category Mapping'!$F$28:$F$39,MATCH('Summarized Source Data'!$A816,'Category Mapping'!$A$28:$A$39,0),1),INDEX('Category Mapping'!$E$28:$E$39,MATCH($A816,'Category Mapping'!$A$28:$A$39,0),1))</f>
        <v>0</v>
      </c>
      <c r="O816" s="27">
        <f>O236*IF($E816="weekday",INDEX('Category Mapping'!$F$28:$F$39,MATCH('Summarized Source Data'!$A816,'Category Mapping'!$A$28:$A$39,0),1),INDEX('Category Mapping'!$E$28:$E$39,MATCH($A816,'Category Mapping'!$A$28:$A$39,0),1))</f>
        <v>10895436124.285713</v>
      </c>
      <c r="P816" s="27">
        <f>P236*IF($E816="weekday",INDEX('Category Mapping'!$F$28:$F$39,MATCH('Summarized Source Data'!$A816,'Category Mapping'!$A$28:$A$39,0),1),INDEX('Category Mapping'!$E$28:$E$39,MATCH($A816,'Category Mapping'!$A$28:$A$39,0),1))</f>
        <v>10895436124.285713</v>
      </c>
      <c r="Q816" s="27">
        <f>Q236*IF($E816="weekday",INDEX('Category Mapping'!$F$28:$F$39,MATCH('Summarized Source Data'!$A816,'Category Mapping'!$A$28:$A$39,0),1),INDEX('Category Mapping'!$E$28:$E$39,MATCH($A816,'Category Mapping'!$A$28:$A$39,0),1))</f>
        <v>10895436124.285713</v>
      </c>
      <c r="R816" s="27">
        <f>R236*IF($E816="weekday",INDEX('Category Mapping'!$F$28:$F$39,MATCH('Summarized Source Data'!$A816,'Category Mapping'!$A$28:$A$39,0),1),INDEX('Category Mapping'!$E$28:$E$39,MATCH($A816,'Category Mapping'!$A$28:$A$39,0),1))</f>
        <v>365357142.85714287</v>
      </c>
      <c r="S816" s="27">
        <f>S236*IF($E816="weekday",INDEX('Category Mapping'!$F$28:$F$39,MATCH('Summarized Source Data'!$A816,'Category Mapping'!$A$28:$A$39,0),1),INDEX('Category Mapping'!$E$28:$E$39,MATCH($A816,'Category Mapping'!$A$28:$A$39,0),1))</f>
        <v>365357142.85714287</v>
      </c>
      <c r="T816" s="27">
        <f>T236*IF($E816="weekday",INDEX('Category Mapping'!$F$28:$F$39,MATCH('Summarized Source Data'!$A816,'Category Mapping'!$A$28:$A$39,0),1),INDEX('Category Mapping'!$E$28:$E$39,MATCH($A816,'Category Mapping'!$A$28:$A$39,0),1))</f>
        <v>365357142.85714287</v>
      </c>
      <c r="U816" s="27">
        <f>U236*IF($E816="weekday",INDEX('Category Mapping'!$F$28:$F$39,MATCH('Summarized Source Data'!$A816,'Category Mapping'!$A$28:$A$39,0),1),INDEX('Category Mapping'!$E$28:$E$39,MATCH($A816,'Category Mapping'!$A$28:$A$39,0),1))</f>
        <v>365357142.85714287</v>
      </c>
      <c r="V816" s="27">
        <f>V236*IF($E816="weekday",INDEX('Category Mapping'!$F$28:$F$39,MATCH('Summarized Source Data'!$A816,'Category Mapping'!$A$28:$A$39,0),1),INDEX('Category Mapping'!$E$28:$E$39,MATCH($A816,'Category Mapping'!$A$28:$A$39,0),1))</f>
        <v>365357142.85714287</v>
      </c>
      <c r="W816" s="27">
        <f>W236*IF($E816="weekday",INDEX('Category Mapping'!$F$28:$F$39,MATCH('Summarized Source Data'!$A816,'Category Mapping'!$A$28:$A$39,0),1),INDEX('Category Mapping'!$E$28:$E$39,MATCH($A816,'Category Mapping'!$A$28:$A$39,0),1))</f>
        <v>365357142.85714287</v>
      </c>
      <c r="X816" s="27">
        <f>X236*IF($E816="weekday",INDEX('Category Mapping'!$F$28:$F$39,MATCH('Summarized Source Data'!$A816,'Category Mapping'!$A$28:$A$39,0),1),INDEX('Category Mapping'!$E$28:$E$39,MATCH($A816,'Category Mapping'!$A$28:$A$39,0),1))</f>
        <v>15057142857.142857</v>
      </c>
      <c r="Y816" s="27">
        <f>Y236*IF($E816="weekday",INDEX('Category Mapping'!$F$28:$F$39,MATCH('Summarized Source Data'!$A816,'Category Mapping'!$A$28:$A$39,0),1),INDEX('Category Mapping'!$E$28:$E$39,MATCH($A816,'Category Mapping'!$A$28:$A$39,0),1))</f>
        <v>15057142857.142857</v>
      </c>
      <c r="Z816" s="27">
        <f>Z236*IF($E816="weekday",INDEX('Category Mapping'!$F$28:$F$39,MATCH('Summarized Source Data'!$A816,'Category Mapping'!$A$28:$A$39,0),1),INDEX('Category Mapping'!$E$28:$E$39,MATCH($A816,'Category Mapping'!$A$28:$A$39,0),1))</f>
        <v>15057142857.142857</v>
      </c>
    </row>
    <row r="817" spans="1:26" x14ac:dyDescent="0.3">
      <c r="A817">
        <f t="shared" ref="A817:E817" si="282">A237</f>
        <v>10</v>
      </c>
      <c r="B817" t="str">
        <f t="shared" si="282"/>
        <v>Fall</v>
      </c>
      <c r="C817" t="str">
        <f t="shared" si="282"/>
        <v>h18</v>
      </c>
      <c r="D817" t="str">
        <f t="shared" si="282"/>
        <v>Hour17</v>
      </c>
      <c r="E817" t="str">
        <f t="shared" si="282"/>
        <v>Weekday</v>
      </c>
      <c r="F817" s="27">
        <f>F237*IF($E817="weekday",INDEX('Category Mapping'!$F$28:$F$39,MATCH('Summarized Source Data'!$A817,'Category Mapping'!$A$28:$A$39,0),1),INDEX('Category Mapping'!$E$28:$E$39,MATCH($A817,'Category Mapping'!$A$28:$A$39,0),1))</f>
        <v>124851614.28571428</v>
      </c>
      <c r="G817" s="27">
        <f>G237*IF($E817="weekday",INDEX('Category Mapping'!$F$28:$F$39,MATCH('Summarized Source Data'!$A817,'Category Mapping'!$A$28:$A$39,0),1),INDEX('Category Mapping'!$E$28:$E$39,MATCH($A817,'Category Mapping'!$A$28:$A$39,0),1))</f>
        <v>13982505.714285715</v>
      </c>
      <c r="H817" s="27">
        <f>H237*IF($E817="weekday",INDEX('Category Mapping'!$F$28:$F$39,MATCH('Summarized Source Data'!$A817,'Category Mapping'!$A$28:$A$39,0),1),INDEX('Category Mapping'!$E$28:$E$39,MATCH($A817,'Category Mapping'!$A$28:$A$39,0),1))</f>
        <v>0</v>
      </c>
      <c r="I817" s="27">
        <f>I237*IF($E817="weekday",INDEX('Category Mapping'!$F$28:$F$39,MATCH('Summarized Source Data'!$A817,'Category Mapping'!$A$28:$A$39,0),1),INDEX('Category Mapping'!$E$28:$E$39,MATCH($A817,'Category Mapping'!$A$28:$A$39,0),1))</f>
        <v>1113785714.2857141</v>
      </c>
      <c r="J817" s="27">
        <f>J237*IF($E817="weekday",INDEX('Category Mapping'!$F$28:$F$39,MATCH('Summarized Source Data'!$A817,'Category Mapping'!$A$28:$A$39,0),1),INDEX('Category Mapping'!$E$28:$E$39,MATCH($A817,'Category Mapping'!$A$28:$A$39,0),1))</f>
        <v>3574523022.8571429</v>
      </c>
      <c r="K817" s="27">
        <f>K237*IF($E817="weekday",INDEX('Category Mapping'!$F$28:$F$39,MATCH('Summarized Source Data'!$A817,'Category Mapping'!$A$28:$A$39,0),1),INDEX('Category Mapping'!$E$28:$E$39,MATCH($A817,'Category Mapping'!$A$28:$A$39,0),1))</f>
        <v>3574523022.8571429</v>
      </c>
      <c r="L817" s="27">
        <f>L237*IF($E817="weekday",INDEX('Category Mapping'!$F$28:$F$39,MATCH('Summarized Source Data'!$A817,'Category Mapping'!$A$28:$A$39,0),1),INDEX('Category Mapping'!$E$28:$E$39,MATCH($A817,'Category Mapping'!$A$28:$A$39,0),1))</f>
        <v>192508117.85714287</v>
      </c>
      <c r="M817" s="27">
        <f>M237*IF($E817="weekday",INDEX('Category Mapping'!$F$28:$F$39,MATCH('Summarized Source Data'!$A817,'Category Mapping'!$A$28:$A$39,0),1),INDEX('Category Mapping'!$E$28:$E$39,MATCH($A817,'Category Mapping'!$A$28:$A$39,0),1))</f>
        <v>49839187.142857142</v>
      </c>
      <c r="N817" s="27">
        <f>N237*IF($E817="weekday",INDEX('Category Mapping'!$F$28:$F$39,MATCH('Summarized Source Data'!$A817,'Category Mapping'!$A$28:$A$39,0),1),INDEX('Category Mapping'!$E$28:$E$39,MATCH($A817,'Category Mapping'!$A$28:$A$39,0),1))</f>
        <v>0</v>
      </c>
      <c r="O817" s="27">
        <f>O237*IF($E817="weekday",INDEX('Category Mapping'!$F$28:$F$39,MATCH('Summarized Source Data'!$A817,'Category Mapping'!$A$28:$A$39,0),1),INDEX('Category Mapping'!$E$28:$E$39,MATCH($A817,'Category Mapping'!$A$28:$A$39,0),1))</f>
        <v>10231224123.571428</v>
      </c>
      <c r="P817" s="27">
        <f>P237*IF($E817="weekday",INDEX('Category Mapping'!$F$28:$F$39,MATCH('Summarized Source Data'!$A817,'Category Mapping'!$A$28:$A$39,0),1),INDEX('Category Mapping'!$E$28:$E$39,MATCH($A817,'Category Mapping'!$A$28:$A$39,0),1))</f>
        <v>10231224123.571428</v>
      </c>
      <c r="Q817" s="27">
        <f>Q237*IF($E817="weekday",INDEX('Category Mapping'!$F$28:$F$39,MATCH('Summarized Source Data'!$A817,'Category Mapping'!$A$28:$A$39,0),1),INDEX('Category Mapping'!$E$28:$E$39,MATCH($A817,'Category Mapping'!$A$28:$A$39,0),1))</f>
        <v>10231224123.571428</v>
      </c>
      <c r="R817" s="27">
        <f>R237*IF($E817="weekday",INDEX('Category Mapping'!$F$28:$F$39,MATCH('Summarized Source Data'!$A817,'Category Mapping'!$A$28:$A$39,0),1),INDEX('Category Mapping'!$E$28:$E$39,MATCH($A817,'Category Mapping'!$A$28:$A$39,0),1))</f>
        <v>385285714.28571427</v>
      </c>
      <c r="S817" s="27">
        <f>S237*IF($E817="weekday",INDEX('Category Mapping'!$F$28:$F$39,MATCH('Summarized Source Data'!$A817,'Category Mapping'!$A$28:$A$39,0),1),INDEX('Category Mapping'!$E$28:$E$39,MATCH($A817,'Category Mapping'!$A$28:$A$39,0),1))</f>
        <v>385285714.28571427</v>
      </c>
      <c r="T817" s="27">
        <f>T237*IF($E817="weekday",INDEX('Category Mapping'!$F$28:$F$39,MATCH('Summarized Source Data'!$A817,'Category Mapping'!$A$28:$A$39,0),1),INDEX('Category Mapping'!$E$28:$E$39,MATCH($A817,'Category Mapping'!$A$28:$A$39,0),1))</f>
        <v>385285714.28571427</v>
      </c>
      <c r="U817" s="27">
        <f>U237*IF($E817="weekday",INDEX('Category Mapping'!$F$28:$F$39,MATCH('Summarized Source Data'!$A817,'Category Mapping'!$A$28:$A$39,0),1),INDEX('Category Mapping'!$E$28:$E$39,MATCH($A817,'Category Mapping'!$A$28:$A$39,0),1))</f>
        <v>385285714.28571427</v>
      </c>
      <c r="V817" s="27">
        <f>V237*IF($E817="weekday",INDEX('Category Mapping'!$F$28:$F$39,MATCH('Summarized Source Data'!$A817,'Category Mapping'!$A$28:$A$39,0),1),INDEX('Category Mapping'!$E$28:$E$39,MATCH($A817,'Category Mapping'!$A$28:$A$39,0),1))</f>
        <v>385285714.28571427</v>
      </c>
      <c r="W817" s="27">
        <f>W237*IF($E817="weekday",INDEX('Category Mapping'!$F$28:$F$39,MATCH('Summarized Source Data'!$A817,'Category Mapping'!$A$28:$A$39,0),1),INDEX('Category Mapping'!$E$28:$E$39,MATCH($A817,'Category Mapping'!$A$28:$A$39,0),1))</f>
        <v>385285714.28571427</v>
      </c>
      <c r="X817" s="27">
        <f>X237*IF($E817="weekday",INDEX('Category Mapping'!$F$28:$F$39,MATCH('Summarized Source Data'!$A817,'Category Mapping'!$A$28:$A$39,0),1),INDEX('Category Mapping'!$E$28:$E$39,MATCH($A817,'Category Mapping'!$A$28:$A$39,0),1))</f>
        <v>15079285714.285713</v>
      </c>
      <c r="Y817" s="27">
        <f>Y237*IF($E817="weekday",INDEX('Category Mapping'!$F$28:$F$39,MATCH('Summarized Source Data'!$A817,'Category Mapping'!$A$28:$A$39,0),1),INDEX('Category Mapping'!$E$28:$E$39,MATCH($A817,'Category Mapping'!$A$28:$A$39,0),1))</f>
        <v>15079285714.285713</v>
      </c>
      <c r="Z817" s="27">
        <f>Z237*IF($E817="weekday",INDEX('Category Mapping'!$F$28:$F$39,MATCH('Summarized Source Data'!$A817,'Category Mapping'!$A$28:$A$39,0),1),INDEX('Category Mapping'!$E$28:$E$39,MATCH($A817,'Category Mapping'!$A$28:$A$39,0),1))</f>
        <v>15079285714.285713</v>
      </c>
    </row>
    <row r="818" spans="1:26" x14ac:dyDescent="0.3">
      <c r="A818">
        <f t="shared" ref="A818:E818" si="283">A238</f>
        <v>10</v>
      </c>
      <c r="B818" t="str">
        <f t="shared" si="283"/>
        <v>Fall</v>
      </c>
      <c r="C818" t="str">
        <f t="shared" si="283"/>
        <v>h19</v>
      </c>
      <c r="D818" t="str">
        <f t="shared" si="283"/>
        <v>Hour18</v>
      </c>
      <c r="E818" t="str">
        <f t="shared" si="283"/>
        <v>Weekday</v>
      </c>
      <c r="F818" s="27">
        <f>F238*IF($E818="weekday",INDEX('Category Mapping'!$F$28:$F$39,MATCH('Summarized Source Data'!$A818,'Category Mapping'!$A$28:$A$39,0),1),INDEX('Category Mapping'!$E$28:$E$39,MATCH($A818,'Category Mapping'!$A$28:$A$39,0),1))</f>
        <v>132305099.28571428</v>
      </c>
      <c r="G818" s="27">
        <f>G238*IF($E818="weekday",INDEX('Category Mapping'!$F$28:$F$39,MATCH('Summarized Source Data'!$A818,'Category Mapping'!$A$28:$A$39,0),1),INDEX('Category Mapping'!$E$28:$E$39,MATCH($A818,'Category Mapping'!$A$28:$A$39,0),1))</f>
        <v>2741883.5714285714</v>
      </c>
      <c r="H818" s="27">
        <f>H238*IF($E818="weekday",INDEX('Category Mapping'!$F$28:$F$39,MATCH('Summarized Source Data'!$A818,'Category Mapping'!$A$28:$A$39,0),1),INDEX('Category Mapping'!$E$28:$E$39,MATCH($A818,'Category Mapping'!$A$28:$A$39,0),1))</f>
        <v>0</v>
      </c>
      <c r="I818" s="27">
        <f>I238*IF($E818="weekday",INDEX('Category Mapping'!$F$28:$F$39,MATCH('Summarized Source Data'!$A818,'Category Mapping'!$A$28:$A$39,0),1),INDEX('Category Mapping'!$E$28:$E$39,MATCH($A818,'Category Mapping'!$A$28:$A$39,0),1))</f>
        <v>1217857142.8571429</v>
      </c>
      <c r="J818" s="27">
        <f>J238*IF($E818="weekday",INDEX('Category Mapping'!$F$28:$F$39,MATCH('Summarized Source Data'!$A818,'Category Mapping'!$A$28:$A$39,0),1),INDEX('Category Mapping'!$E$28:$E$39,MATCH($A818,'Category Mapping'!$A$28:$A$39,0),1))</f>
        <v>3474238731.4285712</v>
      </c>
      <c r="K818" s="27">
        <f>K238*IF($E818="weekday",INDEX('Category Mapping'!$F$28:$F$39,MATCH('Summarized Source Data'!$A818,'Category Mapping'!$A$28:$A$39,0),1),INDEX('Category Mapping'!$E$28:$E$39,MATCH($A818,'Category Mapping'!$A$28:$A$39,0),1))</f>
        <v>3474238731.4285712</v>
      </c>
      <c r="L818" s="27">
        <f>L238*IF($E818="weekday",INDEX('Category Mapping'!$F$28:$F$39,MATCH('Summarized Source Data'!$A818,'Category Mapping'!$A$28:$A$39,0),1),INDEX('Category Mapping'!$E$28:$E$39,MATCH($A818,'Category Mapping'!$A$28:$A$39,0),1))</f>
        <v>239142857.14285713</v>
      </c>
      <c r="M818" s="27">
        <f>M238*IF($E818="weekday",INDEX('Category Mapping'!$F$28:$F$39,MATCH('Summarized Source Data'!$A818,'Category Mapping'!$A$28:$A$39,0),1),INDEX('Category Mapping'!$E$28:$E$39,MATCH($A818,'Category Mapping'!$A$28:$A$39,0),1))</f>
        <v>46334172.142857142</v>
      </c>
      <c r="N818" s="27">
        <f>N238*IF($E818="weekday",INDEX('Category Mapping'!$F$28:$F$39,MATCH('Summarized Source Data'!$A818,'Category Mapping'!$A$28:$A$39,0),1),INDEX('Category Mapping'!$E$28:$E$39,MATCH($A818,'Category Mapping'!$A$28:$A$39,0),1))</f>
        <v>0</v>
      </c>
      <c r="O818" s="27">
        <f>O238*IF($E818="weekday",INDEX('Category Mapping'!$F$28:$F$39,MATCH('Summarized Source Data'!$A818,'Category Mapping'!$A$28:$A$39,0),1),INDEX('Category Mapping'!$E$28:$E$39,MATCH($A818,'Category Mapping'!$A$28:$A$39,0),1))</f>
        <v>9723094399.2857132</v>
      </c>
      <c r="P818" s="27">
        <f>P238*IF($E818="weekday",INDEX('Category Mapping'!$F$28:$F$39,MATCH('Summarized Source Data'!$A818,'Category Mapping'!$A$28:$A$39,0),1),INDEX('Category Mapping'!$E$28:$E$39,MATCH($A818,'Category Mapping'!$A$28:$A$39,0),1))</f>
        <v>9723094399.2857132</v>
      </c>
      <c r="Q818" s="27">
        <f>Q238*IF($E818="weekday",INDEX('Category Mapping'!$F$28:$F$39,MATCH('Summarized Source Data'!$A818,'Category Mapping'!$A$28:$A$39,0),1),INDEX('Category Mapping'!$E$28:$E$39,MATCH($A818,'Category Mapping'!$A$28:$A$39,0),1))</f>
        <v>9723094399.2857132</v>
      </c>
      <c r="R818" s="27">
        <f>R238*IF($E818="weekday",INDEX('Category Mapping'!$F$28:$F$39,MATCH('Summarized Source Data'!$A818,'Category Mapping'!$A$28:$A$39,0),1),INDEX('Category Mapping'!$E$28:$E$39,MATCH($A818,'Category Mapping'!$A$28:$A$39,0),1))</f>
        <v>354285714.28571427</v>
      </c>
      <c r="S818" s="27">
        <f>S238*IF($E818="weekday",INDEX('Category Mapping'!$F$28:$F$39,MATCH('Summarized Source Data'!$A818,'Category Mapping'!$A$28:$A$39,0),1),INDEX('Category Mapping'!$E$28:$E$39,MATCH($A818,'Category Mapping'!$A$28:$A$39,0),1))</f>
        <v>354285714.28571427</v>
      </c>
      <c r="T818" s="27">
        <f>T238*IF($E818="weekday",INDEX('Category Mapping'!$F$28:$F$39,MATCH('Summarized Source Data'!$A818,'Category Mapping'!$A$28:$A$39,0),1),INDEX('Category Mapping'!$E$28:$E$39,MATCH($A818,'Category Mapping'!$A$28:$A$39,0),1))</f>
        <v>354285714.28571427</v>
      </c>
      <c r="U818" s="27">
        <f>U238*IF($E818="weekday",INDEX('Category Mapping'!$F$28:$F$39,MATCH('Summarized Source Data'!$A818,'Category Mapping'!$A$28:$A$39,0),1),INDEX('Category Mapping'!$E$28:$E$39,MATCH($A818,'Category Mapping'!$A$28:$A$39,0),1))</f>
        <v>354285714.28571427</v>
      </c>
      <c r="V818" s="27">
        <f>V238*IF($E818="weekday",INDEX('Category Mapping'!$F$28:$F$39,MATCH('Summarized Source Data'!$A818,'Category Mapping'!$A$28:$A$39,0),1),INDEX('Category Mapping'!$E$28:$E$39,MATCH($A818,'Category Mapping'!$A$28:$A$39,0),1))</f>
        <v>354285714.28571427</v>
      </c>
      <c r="W818" s="27">
        <f>W238*IF($E818="weekday",INDEX('Category Mapping'!$F$28:$F$39,MATCH('Summarized Source Data'!$A818,'Category Mapping'!$A$28:$A$39,0),1),INDEX('Category Mapping'!$E$28:$E$39,MATCH($A818,'Category Mapping'!$A$28:$A$39,0),1))</f>
        <v>354285714.28571427</v>
      </c>
      <c r="X818" s="27">
        <f>X238*IF($E818="weekday",INDEX('Category Mapping'!$F$28:$F$39,MATCH('Summarized Source Data'!$A818,'Category Mapping'!$A$28:$A$39,0),1),INDEX('Category Mapping'!$E$28:$E$39,MATCH($A818,'Category Mapping'!$A$28:$A$39,0),1))</f>
        <v>15012857142.857143</v>
      </c>
      <c r="Y818" s="27">
        <f>Y238*IF($E818="weekday",INDEX('Category Mapping'!$F$28:$F$39,MATCH('Summarized Source Data'!$A818,'Category Mapping'!$A$28:$A$39,0),1),INDEX('Category Mapping'!$E$28:$E$39,MATCH($A818,'Category Mapping'!$A$28:$A$39,0),1))</f>
        <v>15012857142.857143</v>
      </c>
      <c r="Z818" s="27">
        <f>Z238*IF($E818="weekday",INDEX('Category Mapping'!$F$28:$F$39,MATCH('Summarized Source Data'!$A818,'Category Mapping'!$A$28:$A$39,0),1),INDEX('Category Mapping'!$E$28:$E$39,MATCH($A818,'Category Mapping'!$A$28:$A$39,0),1))</f>
        <v>15012857142.857143</v>
      </c>
    </row>
    <row r="819" spans="1:26" x14ac:dyDescent="0.3">
      <c r="A819">
        <f t="shared" ref="A819:E819" si="284">A239</f>
        <v>10</v>
      </c>
      <c r="B819" t="str">
        <f t="shared" si="284"/>
        <v>Fall</v>
      </c>
      <c r="C819" t="str">
        <f t="shared" si="284"/>
        <v>h20</v>
      </c>
      <c r="D819" t="str">
        <f t="shared" si="284"/>
        <v>Hour19</v>
      </c>
      <c r="E819" t="str">
        <f t="shared" si="284"/>
        <v>Weekday</v>
      </c>
      <c r="F819" s="27">
        <f>F239*IF($E819="weekday",INDEX('Category Mapping'!$F$28:$F$39,MATCH('Summarized Source Data'!$A819,'Category Mapping'!$A$28:$A$39,0),1),INDEX('Category Mapping'!$E$28:$E$39,MATCH($A819,'Category Mapping'!$A$28:$A$39,0),1))</f>
        <v>138878073.57142857</v>
      </c>
      <c r="G819" s="27">
        <f>G239*IF($E819="weekday",INDEX('Category Mapping'!$F$28:$F$39,MATCH('Summarized Source Data'!$A819,'Category Mapping'!$A$28:$A$39,0),1),INDEX('Category Mapping'!$E$28:$E$39,MATCH($A819,'Category Mapping'!$A$28:$A$39,0),1))</f>
        <v>461390.71428571426</v>
      </c>
      <c r="H819" s="27">
        <f>H239*IF($E819="weekday",INDEX('Category Mapping'!$F$28:$F$39,MATCH('Summarized Source Data'!$A819,'Category Mapping'!$A$28:$A$39,0),1),INDEX('Category Mapping'!$E$28:$E$39,MATCH($A819,'Category Mapping'!$A$28:$A$39,0),1))</f>
        <v>0</v>
      </c>
      <c r="I819" s="27">
        <f>I239*IF($E819="weekday",INDEX('Category Mapping'!$F$28:$F$39,MATCH('Summarized Source Data'!$A819,'Category Mapping'!$A$28:$A$39,0),1),INDEX('Category Mapping'!$E$28:$E$39,MATCH($A819,'Category Mapping'!$A$28:$A$39,0),1))</f>
        <v>1313071428.5714285</v>
      </c>
      <c r="J819" s="27">
        <f>J239*IF($E819="weekday",INDEX('Category Mapping'!$F$28:$F$39,MATCH('Summarized Source Data'!$A819,'Category Mapping'!$A$28:$A$39,0),1),INDEX('Category Mapping'!$E$28:$E$39,MATCH($A819,'Category Mapping'!$A$28:$A$39,0),1))</f>
        <v>3308303392.8571429</v>
      </c>
      <c r="K819" s="27">
        <f>K239*IF($E819="weekday",INDEX('Category Mapping'!$F$28:$F$39,MATCH('Summarized Source Data'!$A819,'Category Mapping'!$A$28:$A$39,0),1),INDEX('Category Mapping'!$E$28:$E$39,MATCH($A819,'Category Mapping'!$A$28:$A$39,0),1))</f>
        <v>3308303392.8571429</v>
      </c>
      <c r="L819" s="27">
        <f>L239*IF($E819="weekday",INDEX('Category Mapping'!$F$28:$F$39,MATCH('Summarized Source Data'!$A819,'Category Mapping'!$A$28:$A$39,0),1),INDEX('Category Mapping'!$E$28:$E$39,MATCH($A819,'Category Mapping'!$A$28:$A$39,0),1))</f>
        <v>285642857.14285713</v>
      </c>
      <c r="M819" s="27">
        <f>M239*IF($E819="weekday",INDEX('Category Mapping'!$F$28:$F$39,MATCH('Summarized Source Data'!$A819,'Category Mapping'!$A$28:$A$39,0),1),INDEX('Category Mapping'!$E$28:$E$39,MATCH($A819,'Category Mapping'!$A$28:$A$39,0),1))</f>
        <v>43163935</v>
      </c>
      <c r="N819" s="27">
        <f>N239*IF($E819="weekday",INDEX('Category Mapping'!$F$28:$F$39,MATCH('Summarized Source Data'!$A819,'Category Mapping'!$A$28:$A$39,0),1),INDEX('Category Mapping'!$E$28:$E$39,MATCH($A819,'Category Mapping'!$A$28:$A$39,0),1))</f>
        <v>0</v>
      </c>
      <c r="O819" s="27">
        <f>O239*IF($E819="weekday",INDEX('Category Mapping'!$F$28:$F$39,MATCH('Summarized Source Data'!$A819,'Category Mapping'!$A$28:$A$39,0),1),INDEX('Category Mapping'!$E$28:$E$39,MATCH($A819,'Category Mapping'!$A$28:$A$39,0),1))</f>
        <v>8129764636.4285717</v>
      </c>
      <c r="P819" s="27">
        <f>P239*IF($E819="weekday",INDEX('Category Mapping'!$F$28:$F$39,MATCH('Summarized Source Data'!$A819,'Category Mapping'!$A$28:$A$39,0),1),INDEX('Category Mapping'!$E$28:$E$39,MATCH($A819,'Category Mapping'!$A$28:$A$39,0),1))</f>
        <v>8129764636.4285717</v>
      </c>
      <c r="Q819" s="27">
        <f>Q239*IF($E819="weekday",INDEX('Category Mapping'!$F$28:$F$39,MATCH('Summarized Source Data'!$A819,'Category Mapping'!$A$28:$A$39,0),1),INDEX('Category Mapping'!$E$28:$E$39,MATCH($A819,'Category Mapping'!$A$28:$A$39,0),1))</f>
        <v>8129764636.4285717</v>
      </c>
      <c r="R819" s="27">
        <f>R239*IF($E819="weekday",INDEX('Category Mapping'!$F$28:$F$39,MATCH('Summarized Source Data'!$A819,'Category Mapping'!$A$28:$A$39,0),1),INDEX('Category Mapping'!$E$28:$E$39,MATCH($A819,'Category Mapping'!$A$28:$A$39,0),1))</f>
        <v>290071428.57142854</v>
      </c>
      <c r="S819" s="27">
        <f>S239*IF($E819="weekday",INDEX('Category Mapping'!$F$28:$F$39,MATCH('Summarized Source Data'!$A819,'Category Mapping'!$A$28:$A$39,0),1),INDEX('Category Mapping'!$E$28:$E$39,MATCH($A819,'Category Mapping'!$A$28:$A$39,0),1))</f>
        <v>290071428.57142854</v>
      </c>
      <c r="T819" s="27">
        <f>T239*IF($E819="weekday",INDEX('Category Mapping'!$F$28:$F$39,MATCH('Summarized Source Data'!$A819,'Category Mapping'!$A$28:$A$39,0),1),INDEX('Category Mapping'!$E$28:$E$39,MATCH($A819,'Category Mapping'!$A$28:$A$39,0),1))</f>
        <v>290071428.57142854</v>
      </c>
      <c r="U819" s="27">
        <f>U239*IF($E819="weekday",INDEX('Category Mapping'!$F$28:$F$39,MATCH('Summarized Source Data'!$A819,'Category Mapping'!$A$28:$A$39,0),1),INDEX('Category Mapping'!$E$28:$E$39,MATCH($A819,'Category Mapping'!$A$28:$A$39,0),1))</f>
        <v>290071428.57142854</v>
      </c>
      <c r="V819" s="27">
        <f>V239*IF($E819="weekday",INDEX('Category Mapping'!$F$28:$F$39,MATCH('Summarized Source Data'!$A819,'Category Mapping'!$A$28:$A$39,0),1),INDEX('Category Mapping'!$E$28:$E$39,MATCH($A819,'Category Mapping'!$A$28:$A$39,0),1))</f>
        <v>290071428.57142854</v>
      </c>
      <c r="W819" s="27">
        <f>W239*IF($E819="weekday",INDEX('Category Mapping'!$F$28:$F$39,MATCH('Summarized Source Data'!$A819,'Category Mapping'!$A$28:$A$39,0),1),INDEX('Category Mapping'!$E$28:$E$39,MATCH($A819,'Category Mapping'!$A$28:$A$39,0),1))</f>
        <v>290071428.57142854</v>
      </c>
      <c r="X819" s="27">
        <f>X239*IF($E819="weekday",INDEX('Category Mapping'!$F$28:$F$39,MATCH('Summarized Source Data'!$A819,'Category Mapping'!$A$28:$A$39,0),1),INDEX('Category Mapping'!$E$28:$E$39,MATCH($A819,'Category Mapping'!$A$28:$A$39,0),1))</f>
        <v>14902142857.142857</v>
      </c>
      <c r="Y819" s="27">
        <f>Y239*IF($E819="weekday",INDEX('Category Mapping'!$F$28:$F$39,MATCH('Summarized Source Data'!$A819,'Category Mapping'!$A$28:$A$39,0),1),INDEX('Category Mapping'!$E$28:$E$39,MATCH($A819,'Category Mapping'!$A$28:$A$39,0),1))</f>
        <v>14902142857.142857</v>
      </c>
      <c r="Z819" s="27">
        <f>Z239*IF($E819="weekday",INDEX('Category Mapping'!$F$28:$F$39,MATCH('Summarized Source Data'!$A819,'Category Mapping'!$A$28:$A$39,0),1),INDEX('Category Mapping'!$E$28:$E$39,MATCH($A819,'Category Mapping'!$A$28:$A$39,0),1))</f>
        <v>14902142857.142857</v>
      </c>
    </row>
    <row r="820" spans="1:26" x14ac:dyDescent="0.3">
      <c r="A820">
        <f t="shared" ref="A820:E820" si="285">A240</f>
        <v>10</v>
      </c>
      <c r="B820" t="str">
        <f t="shared" si="285"/>
        <v>Fall</v>
      </c>
      <c r="C820" t="str">
        <f t="shared" si="285"/>
        <v>h21</v>
      </c>
      <c r="D820" t="str">
        <f t="shared" si="285"/>
        <v>Hour20</v>
      </c>
      <c r="E820" t="str">
        <f t="shared" si="285"/>
        <v>Weekday</v>
      </c>
      <c r="F820" s="27">
        <f>F240*IF($E820="weekday",INDEX('Category Mapping'!$F$28:$F$39,MATCH('Summarized Source Data'!$A820,'Category Mapping'!$A$28:$A$39,0),1),INDEX('Category Mapping'!$E$28:$E$39,MATCH($A820,'Category Mapping'!$A$28:$A$39,0),1))</f>
        <v>140334830</v>
      </c>
      <c r="G820" s="27">
        <f>G240*IF($E820="weekday",INDEX('Category Mapping'!$F$28:$F$39,MATCH('Summarized Source Data'!$A820,'Category Mapping'!$A$28:$A$39,0),1),INDEX('Category Mapping'!$E$28:$E$39,MATCH($A820,'Category Mapping'!$A$28:$A$39,0),1))</f>
        <v>55689.28571428571</v>
      </c>
      <c r="H820" s="27">
        <f>H240*IF($E820="weekday",INDEX('Category Mapping'!$F$28:$F$39,MATCH('Summarized Source Data'!$A820,'Category Mapping'!$A$28:$A$39,0),1),INDEX('Category Mapping'!$E$28:$E$39,MATCH($A820,'Category Mapping'!$A$28:$A$39,0),1))</f>
        <v>0</v>
      </c>
      <c r="I820" s="27">
        <f>I240*IF($E820="weekday",INDEX('Category Mapping'!$F$28:$F$39,MATCH('Summarized Source Data'!$A820,'Category Mapping'!$A$28:$A$39,0),1),INDEX('Category Mapping'!$E$28:$E$39,MATCH($A820,'Category Mapping'!$A$28:$A$39,0),1))</f>
        <v>1333000000</v>
      </c>
      <c r="J820" s="27">
        <f>J240*IF($E820="weekday",INDEX('Category Mapping'!$F$28:$F$39,MATCH('Summarized Source Data'!$A820,'Category Mapping'!$A$28:$A$39,0),1),INDEX('Category Mapping'!$E$28:$E$39,MATCH($A820,'Category Mapping'!$A$28:$A$39,0),1))</f>
        <v>3243038052.1428571</v>
      </c>
      <c r="K820" s="27">
        <f>K240*IF($E820="weekday",INDEX('Category Mapping'!$F$28:$F$39,MATCH('Summarized Source Data'!$A820,'Category Mapping'!$A$28:$A$39,0),1),INDEX('Category Mapping'!$E$28:$E$39,MATCH($A820,'Category Mapping'!$A$28:$A$39,0),1))</f>
        <v>3243038052.1428571</v>
      </c>
      <c r="L820" s="27">
        <f>L240*IF($E820="weekday",INDEX('Category Mapping'!$F$28:$F$39,MATCH('Summarized Source Data'!$A820,'Category Mapping'!$A$28:$A$39,0),1),INDEX('Category Mapping'!$E$28:$E$39,MATCH($A820,'Category Mapping'!$A$28:$A$39,0),1))</f>
        <v>352071428.57142854</v>
      </c>
      <c r="M820" s="27">
        <f>M240*IF($E820="weekday",INDEX('Category Mapping'!$F$28:$F$39,MATCH('Summarized Source Data'!$A820,'Category Mapping'!$A$28:$A$39,0),1),INDEX('Category Mapping'!$E$28:$E$39,MATCH($A820,'Category Mapping'!$A$28:$A$39,0),1))</f>
        <v>40679262.857142858</v>
      </c>
      <c r="N820" s="27">
        <f>N240*IF($E820="weekday",INDEX('Category Mapping'!$F$28:$F$39,MATCH('Summarized Source Data'!$A820,'Category Mapping'!$A$28:$A$39,0),1),INDEX('Category Mapping'!$E$28:$E$39,MATCH($A820,'Category Mapping'!$A$28:$A$39,0),1))</f>
        <v>0</v>
      </c>
      <c r="O820" s="27">
        <f>O240*IF($E820="weekday",INDEX('Category Mapping'!$F$28:$F$39,MATCH('Summarized Source Data'!$A820,'Category Mapping'!$A$28:$A$39,0),1),INDEX('Category Mapping'!$E$28:$E$39,MATCH($A820,'Category Mapping'!$A$28:$A$39,0),1))</f>
        <v>6737249308.5714283</v>
      </c>
      <c r="P820" s="27">
        <f>P240*IF($E820="weekday",INDEX('Category Mapping'!$F$28:$F$39,MATCH('Summarized Source Data'!$A820,'Category Mapping'!$A$28:$A$39,0),1),INDEX('Category Mapping'!$E$28:$E$39,MATCH($A820,'Category Mapping'!$A$28:$A$39,0),1))</f>
        <v>6737249308.5714283</v>
      </c>
      <c r="Q820" s="27">
        <f>Q240*IF($E820="weekday",INDEX('Category Mapping'!$F$28:$F$39,MATCH('Summarized Source Data'!$A820,'Category Mapping'!$A$28:$A$39,0),1),INDEX('Category Mapping'!$E$28:$E$39,MATCH($A820,'Category Mapping'!$A$28:$A$39,0),1))</f>
        <v>6737249308.5714283</v>
      </c>
      <c r="R820" s="27">
        <f>R240*IF($E820="weekday",INDEX('Category Mapping'!$F$28:$F$39,MATCH('Summarized Source Data'!$A820,'Category Mapping'!$A$28:$A$39,0),1),INDEX('Category Mapping'!$E$28:$E$39,MATCH($A820,'Category Mapping'!$A$28:$A$39,0),1))</f>
        <v>265714285.7142857</v>
      </c>
      <c r="S820" s="27">
        <f>S240*IF($E820="weekday",INDEX('Category Mapping'!$F$28:$F$39,MATCH('Summarized Source Data'!$A820,'Category Mapping'!$A$28:$A$39,0),1),INDEX('Category Mapping'!$E$28:$E$39,MATCH($A820,'Category Mapping'!$A$28:$A$39,0),1))</f>
        <v>265714285.7142857</v>
      </c>
      <c r="T820" s="27">
        <f>T240*IF($E820="weekday",INDEX('Category Mapping'!$F$28:$F$39,MATCH('Summarized Source Data'!$A820,'Category Mapping'!$A$28:$A$39,0),1),INDEX('Category Mapping'!$E$28:$E$39,MATCH($A820,'Category Mapping'!$A$28:$A$39,0),1))</f>
        <v>265714285.7142857</v>
      </c>
      <c r="U820" s="27">
        <f>U240*IF($E820="weekday",INDEX('Category Mapping'!$F$28:$F$39,MATCH('Summarized Source Data'!$A820,'Category Mapping'!$A$28:$A$39,0),1),INDEX('Category Mapping'!$E$28:$E$39,MATCH($A820,'Category Mapping'!$A$28:$A$39,0),1))</f>
        <v>265714285.7142857</v>
      </c>
      <c r="V820" s="27">
        <f>V240*IF($E820="weekday",INDEX('Category Mapping'!$F$28:$F$39,MATCH('Summarized Source Data'!$A820,'Category Mapping'!$A$28:$A$39,0),1),INDEX('Category Mapping'!$E$28:$E$39,MATCH($A820,'Category Mapping'!$A$28:$A$39,0),1))</f>
        <v>265714285.7142857</v>
      </c>
      <c r="W820" s="27">
        <f>W240*IF($E820="weekday",INDEX('Category Mapping'!$F$28:$F$39,MATCH('Summarized Source Data'!$A820,'Category Mapping'!$A$28:$A$39,0),1),INDEX('Category Mapping'!$E$28:$E$39,MATCH($A820,'Category Mapping'!$A$28:$A$39,0),1))</f>
        <v>265714285.7142857</v>
      </c>
      <c r="X820" s="27">
        <f>X240*IF($E820="weekday",INDEX('Category Mapping'!$F$28:$F$39,MATCH('Summarized Source Data'!$A820,'Category Mapping'!$A$28:$A$39,0),1),INDEX('Category Mapping'!$E$28:$E$39,MATCH($A820,'Category Mapping'!$A$28:$A$39,0),1))</f>
        <v>14813571428.571428</v>
      </c>
      <c r="Y820" s="27">
        <f>Y240*IF($E820="weekday",INDEX('Category Mapping'!$F$28:$F$39,MATCH('Summarized Source Data'!$A820,'Category Mapping'!$A$28:$A$39,0),1),INDEX('Category Mapping'!$E$28:$E$39,MATCH($A820,'Category Mapping'!$A$28:$A$39,0),1))</f>
        <v>14813571428.571428</v>
      </c>
      <c r="Z820" s="27">
        <f>Z240*IF($E820="weekday",INDEX('Category Mapping'!$F$28:$F$39,MATCH('Summarized Source Data'!$A820,'Category Mapping'!$A$28:$A$39,0),1),INDEX('Category Mapping'!$E$28:$E$39,MATCH($A820,'Category Mapping'!$A$28:$A$39,0),1))</f>
        <v>14813571428.571428</v>
      </c>
    </row>
    <row r="821" spans="1:26" x14ac:dyDescent="0.3">
      <c r="A821">
        <f t="shared" ref="A821:E821" si="286">A241</f>
        <v>10</v>
      </c>
      <c r="B821" t="str">
        <f t="shared" si="286"/>
        <v>Fall</v>
      </c>
      <c r="C821" t="str">
        <f t="shared" si="286"/>
        <v>h22</v>
      </c>
      <c r="D821" t="str">
        <f t="shared" si="286"/>
        <v>Hour21</v>
      </c>
      <c r="E821" t="str">
        <f t="shared" si="286"/>
        <v>Weekday</v>
      </c>
      <c r="F821" s="27">
        <f>F241*IF($E821="weekday",INDEX('Category Mapping'!$F$28:$F$39,MATCH('Summarized Source Data'!$A821,'Category Mapping'!$A$28:$A$39,0),1),INDEX('Category Mapping'!$E$28:$E$39,MATCH($A821,'Category Mapping'!$A$28:$A$39,0),1))</f>
        <v>123284542.14285713</v>
      </c>
      <c r="G821" s="27">
        <f>G241*IF($E821="weekday",INDEX('Category Mapping'!$F$28:$F$39,MATCH('Summarized Source Data'!$A821,'Category Mapping'!$A$28:$A$39,0),1),INDEX('Category Mapping'!$E$28:$E$39,MATCH($A821,'Category Mapping'!$A$28:$A$39,0),1))</f>
        <v>59232.142857142855</v>
      </c>
      <c r="H821" s="27">
        <f>H241*IF($E821="weekday",INDEX('Category Mapping'!$F$28:$F$39,MATCH('Summarized Source Data'!$A821,'Category Mapping'!$A$28:$A$39,0),1),INDEX('Category Mapping'!$E$28:$E$39,MATCH($A821,'Category Mapping'!$A$28:$A$39,0),1))</f>
        <v>0</v>
      </c>
      <c r="I821" s="27">
        <f>I241*IF($E821="weekday",INDEX('Category Mapping'!$F$28:$F$39,MATCH('Summarized Source Data'!$A821,'Category Mapping'!$A$28:$A$39,0),1),INDEX('Category Mapping'!$E$28:$E$39,MATCH($A821,'Category Mapping'!$A$28:$A$39,0),1))</f>
        <v>1091642857.1428571</v>
      </c>
      <c r="J821" s="27">
        <f>J241*IF($E821="weekday",INDEX('Category Mapping'!$F$28:$F$39,MATCH('Summarized Source Data'!$A821,'Category Mapping'!$A$28:$A$39,0),1),INDEX('Category Mapping'!$E$28:$E$39,MATCH($A821,'Category Mapping'!$A$28:$A$39,0),1))</f>
        <v>3213584797.1428571</v>
      </c>
      <c r="K821" s="27">
        <f>K241*IF($E821="weekday",INDEX('Category Mapping'!$F$28:$F$39,MATCH('Summarized Source Data'!$A821,'Category Mapping'!$A$28:$A$39,0),1),INDEX('Category Mapping'!$E$28:$E$39,MATCH($A821,'Category Mapping'!$A$28:$A$39,0),1))</f>
        <v>3213584797.1428571</v>
      </c>
      <c r="L821" s="27">
        <f>L241*IF($E821="weekday",INDEX('Category Mapping'!$F$28:$F$39,MATCH('Summarized Source Data'!$A821,'Category Mapping'!$A$28:$A$39,0),1),INDEX('Category Mapping'!$E$28:$E$39,MATCH($A821,'Category Mapping'!$A$28:$A$39,0),1))</f>
        <v>259071428.57142857</v>
      </c>
      <c r="M821" s="27">
        <f>M241*IF($E821="weekday",INDEX('Category Mapping'!$F$28:$F$39,MATCH('Summarized Source Data'!$A821,'Category Mapping'!$A$28:$A$39,0),1),INDEX('Category Mapping'!$E$28:$E$39,MATCH($A821,'Category Mapping'!$A$28:$A$39,0),1))</f>
        <v>38184139.285714284</v>
      </c>
      <c r="N821" s="27">
        <f>N241*IF($E821="weekday",INDEX('Category Mapping'!$F$28:$F$39,MATCH('Summarized Source Data'!$A821,'Category Mapping'!$A$28:$A$39,0),1),INDEX('Category Mapping'!$E$28:$E$39,MATCH($A821,'Category Mapping'!$A$28:$A$39,0),1))</f>
        <v>0</v>
      </c>
      <c r="O821" s="27">
        <f>O241*IF($E821="weekday",INDEX('Category Mapping'!$F$28:$F$39,MATCH('Summarized Source Data'!$A821,'Category Mapping'!$A$28:$A$39,0),1),INDEX('Category Mapping'!$E$28:$E$39,MATCH($A821,'Category Mapping'!$A$28:$A$39,0),1))</f>
        <v>5459887289.2857141</v>
      </c>
      <c r="P821" s="27">
        <f>P241*IF($E821="weekday",INDEX('Category Mapping'!$F$28:$F$39,MATCH('Summarized Source Data'!$A821,'Category Mapping'!$A$28:$A$39,0),1),INDEX('Category Mapping'!$E$28:$E$39,MATCH($A821,'Category Mapping'!$A$28:$A$39,0),1))</f>
        <v>5459887289.2857141</v>
      </c>
      <c r="Q821" s="27">
        <f>Q241*IF($E821="weekday",INDEX('Category Mapping'!$F$28:$F$39,MATCH('Summarized Source Data'!$A821,'Category Mapping'!$A$28:$A$39,0),1),INDEX('Category Mapping'!$E$28:$E$39,MATCH($A821,'Category Mapping'!$A$28:$A$39,0),1))</f>
        <v>5459887289.2857141</v>
      </c>
      <c r="R821" s="27">
        <f>R241*IF($E821="weekday",INDEX('Category Mapping'!$F$28:$F$39,MATCH('Summarized Source Data'!$A821,'Category Mapping'!$A$28:$A$39,0),1),INDEX('Category Mapping'!$E$28:$E$39,MATCH($A821,'Category Mapping'!$A$28:$A$39,0),1))</f>
        <v>250214285.7142857</v>
      </c>
      <c r="S821" s="27">
        <f>S241*IF($E821="weekday",INDEX('Category Mapping'!$F$28:$F$39,MATCH('Summarized Source Data'!$A821,'Category Mapping'!$A$28:$A$39,0),1),INDEX('Category Mapping'!$E$28:$E$39,MATCH($A821,'Category Mapping'!$A$28:$A$39,0),1))</f>
        <v>250214285.7142857</v>
      </c>
      <c r="T821" s="27">
        <f>T241*IF($E821="weekday",INDEX('Category Mapping'!$F$28:$F$39,MATCH('Summarized Source Data'!$A821,'Category Mapping'!$A$28:$A$39,0),1),INDEX('Category Mapping'!$E$28:$E$39,MATCH($A821,'Category Mapping'!$A$28:$A$39,0),1))</f>
        <v>250214285.7142857</v>
      </c>
      <c r="U821" s="27">
        <f>U241*IF($E821="weekday",INDEX('Category Mapping'!$F$28:$F$39,MATCH('Summarized Source Data'!$A821,'Category Mapping'!$A$28:$A$39,0),1),INDEX('Category Mapping'!$E$28:$E$39,MATCH($A821,'Category Mapping'!$A$28:$A$39,0),1))</f>
        <v>250214285.7142857</v>
      </c>
      <c r="V821" s="27">
        <f>V241*IF($E821="weekday",INDEX('Category Mapping'!$F$28:$F$39,MATCH('Summarized Source Data'!$A821,'Category Mapping'!$A$28:$A$39,0),1),INDEX('Category Mapping'!$E$28:$E$39,MATCH($A821,'Category Mapping'!$A$28:$A$39,0),1))</f>
        <v>250214285.7142857</v>
      </c>
      <c r="W821" s="27">
        <f>W241*IF($E821="weekday",INDEX('Category Mapping'!$F$28:$F$39,MATCH('Summarized Source Data'!$A821,'Category Mapping'!$A$28:$A$39,0),1),INDEX('Category Mapping'!$E$28:$E$39,MATCH($A821,'Category Mapping'!$A$28:$A$39,0),1))</f>
        <v>250214285.7142857</v>
      </c>
      <c r="X821" s="27">
        <f>X241*IF($E821="weekday",INDEX('Category Mapping'!$F$28:$F$39,MATCH('Summarized Source Data'!$A821,'Category Mapping'!$A$28:$A$39,0),1),INDEX('Category Mapping'!$E$28:$E$39,MATCH($A821,'Category Mapping'!$A$28:$A$39,0),1))</f>
        <v>14680714285.714285</v>
      </c>
      <c r="Y821" s="27">
        <f>Y241*IF($E821="weekday",INDEX('Category Mapping'!$F$28:$F$39,MATCH('Summarized Source Data'!$A821,'Category Mapping'!$A$28:$A$39,0),1),INDEX('Category Mapping'!$E$28:$E$39,MATCH($A821,'Category Mapping'!$A$28:$A$39,0),1))</f>
        <v>14680714285.714285</v>
      </c>
      <c r="Z821" s="27">
        <f>Z241*IF($E821="weekday",INDEX('Category Mapping'!$F$28:$F$39,MATCH('Summarized Source Data'!$A821,'Category Mapping'!$A$28:$A$39,0),1),INDEX('Category Mapping'!$E$28:$E$39,MATCH($A821,'Category Mapping'!$A$28:$A$39,0),1))</f>
        <v>14680714285.714285</v>
      </c>
    </row>
    <row r="822" spans="1:26" x14ac:dyDescent="0.3">
      <c r="A822">
        <f t="shared" ref="A822:E822" si="287">A242</f>
        <v>10</v>
      </c>
      <c r="B822" t="str">
        <f t="shared" si="287"/>
        <v>Fall</v>
      </c>
      <c r="C822" t="str">
        <f t="shared" si="287"/>
        <v>h23</v>
      </c>
      <c r="D822" t="str">
        <f t="shared" si="287"/>
        <v>Hour22</v>
      </c>
      <c r="E822" t="str">
        <f t="shared" si="287"/>
        <v>Weekday</v>
      </c>
      <c r="F822" s="27">
        <f>F242*IF($E822="weekday",INDEX('Category Mapping'!$F$28:$F$39,MATCH('Summarized Source Data'!$A822,'Category Mapping'!$A$28:$A$39,0),1),INDEX('Category Mapping'!$E$28:$E$39,MATCH($A822,'Category Mapping'!$A$28:$A$39,0),1))</f>
        <v>92054300.714285716</v>
      </c>
      <c r="G822" s="27">
        <f>G242*IF($E822="weekday",INDEX('Category Mapping'!$F$28:$F$39,MATCH('Summarized Source Data'!$A822,'Category Mapping'!$A$28:$A$39,0),1),INDEX('Category Mapping'!$E$28:$E$39,MATCH($A822,'Category Mapping'!$A$28:$A$39,0),1))</f>
        <v>61734.28571428571</v>
      </c>
      <c r="H822" s="27">
        <f>H242*IF($E822="weekday",INDEX('Category Mapping'!$F$28:$F$39,MATCH('Summarized Source Data'!$A822,'Category Mapping'!$A$28:$A$39,0),1),INDEX('Category Mapping'!$E$28:$E$39,MATCH($A822,'Category Mapping'!$A$28:$A$39,0),1))</f>
        <v>0</v>
      </c>
      <c r="I822" s="27">
        <f>I242*IF($E822="weekday",INDEX('Category Mapping'!$F$28:$F$39,MATCH('Summarized Source Data'!$A822,'Category Mapping'!$A$28:$A$39,0),1),INDEX('Category Mapping'!$E$28:$E$39,MATCH($A822,'Category Mapping'!$A$28:$A$39,0),1))</f>
        <v>648785714.28571427</v>
      </c>
      <c r="J822" s="27">
        <f>J242*IF($E822="weekday",INDEX('Category Mapping'!$F$28:$F$39,MATCH('Summarized Source Data'!$A822,'Category Mapping'!$A$28:$A$39,0),1),INDEX('Category Mapping'!$E$28:$E$39,MATCH($A822,'Category Mapping'!$A$28:$A$39,0),1))</f>
        <v>2514098250.7142859</v>
      </c>
      <c r="K822" s="27">
        <f>K242*IF($E822="weekday",INDEX('Category Mapping'!$F$28:$F$39,MATCH('Summarized Source Data'!$A822,'Category Mapping'!$A$28:$A$39,0),1),INDEX('Category Mapping'!$E$28:$E$39,MATCH($A822,'Category Mapping'!$A$28:$A$39,0),1))</f>
        <v>2514098250.7142859</v>
      </c>
      <c r="L822" s="27">
        <f>L242*IF($E822="weekday",INDEX('Category Mapping'!$F$28:$F$39,MATCH('Summarized Source Data'!$A822,'Category Mapping'!$A$28:$A$39,0),1),INDEX('Category Mapping'!$E$28:$E$39,MATCH($A822,'Category Mapping'!$A$28:$A$39,0),1))</f>
        <v>225857142.85714287</v>
      </c>
      <c r="M822" s="27">
        <f>M242*IF($E822="weekday",INDEX('Category Mapping'!$F$28:$F$39,MATCH('Summarized Source Data'!$A822,'Category Mapping'!$A$28:$A$39,0),1),INDEX('Category Mapping'!$E$28:$E$39,MATCH($A822,'Category Mapping'!$A$28:$A$39,0),1))</f>
        <v>35189495</v>
      </c>
      <c r="N822" s="27">
        <f>N242*IF($E822="weekday",INDEX('Category Mapping'!$F$28:$F$39,MATCH('Summarized Source Data'!$A822,'Category Mapping'!$A$28:$A$39,0),1),INDEX('Category Mapping'!$E$28:$E$39,MATCH($A822,'Category Mapping'!$A$28:$A$39,0),1))</f>
        <v>0</v>
      </c>
      <c r="O822" s="27">
        <f>O242*IF($E822="weekday",INDEX('Category Mapping'!$F$28:$F$39,MATCH('Summarized Source Data'!$A822,'Category Mapping'!$A$28:$A$39,0),1),INDEX('Category Mapping'!$E$28:$E$39,MATCH($A822,'Category Mapping'!$A$28:$A$39,0),1))</f>
        <v>4588239076.4285717</v>
      </c>
      <c r="P822" s="27">
        <f>P242*IF($E822="weekday",INDEX('Category Mapping'!$F$28:$F$39,MATCH('Summarized Source Data'!$A822,'Category Mapping'!$A$28:$A$39,0),1),INDEX('Category Mapping'!$E$28:$E$39,MATCH($A822,'Category Mapping'!$A$28:$A$39,0),1))</f>
        <v>4588239076.4285717</v>
      </c>
      <c r="Q822" s="27">
        <f>Q242*IF($E822="weekday",INDEX('Category Mapping'!$F$28:$F$39,MATCH('Summarized Source Data'!$A822,'Category Mapping'!$A$28:$A$39,0),1),INDEX('Category Mapping'!$E$28:$E$39,MATCH($A822,'Category Mapping'!$A$28:$A$39,0),1))</f>
        <v>4588239076.4285717</v>
      </c>
      <c r="R822" s="27">
        <f>R242*IF($E822="weekday",INDEX('Category Mapping'!$F$28:$F$39,MATCH('Summarized Source Data'!$A822,'Category Mapping'!$A$28:$A$39,0),1),INDEX('Category Mapping'!$E$28:$E$39,MATCH($A822,'Category Mapping'!$A$28:$A$39,0),1))</f>
        <v>234714285.7142857</v>
      </c>
      <c r="S822" s="27">
        <f>S242*IF($E822="weekday",INDEX('Category Mapping'!$F$28:$F$39,MATCH('Summarized Source Data'!$A822,'Category Mapping'!$A$28:$A$39,0),1),INDEX('Category Mapping'!$E$28:$E$39,MATCH($A822,'Category Mapping'!$A$28:$A$39,0),1))</f>
        <v>234714285.7142857</v>
      </c>
      <c r="T822" s="27">
        <f>T242*IF($E822="weekday",INDEX('Category Mapping'!$F$28:$F$39,MATCH('Summarized Source Data'!$A822,'Category Mapping'!$A$28:$A$39,0),1),INDEX('Category Mapping'!$E$28:$E$39,MATCH($A822,'Category Mapping'!$A$28:$A$39,0),1))</f>
        <v>234714285.7142857</v>
      </c>
      <c r="U822" s="27">
        <f>U242*IF($E822="weekday",INDEX('Category Mapping'!$F$28:$F$39,MATCH('Summarized Source Data'!$A822,'Category Mapping'!$A$28:$A$39,0),1),INDEX('Category Mapping'!$E$28:$E$39,MATCH($A822,'Category Mapping'!$A$28:$A$39,0),1))</f>
        <v>234714285.7142857</v>
      </c>
      <c r="V822" s="27">
        <f>V242*IF($E822="weekday",INDEX('Category Mapping'!$F$28:$F$39,MATCH('Summarized Source Data'!$A822,'Category Mapping'!$A$28:$A$39,0),1),INDEX('Category Mapping'!$E$28:$E$39,MATCH($A822,'Category Mapping'!$A$28:$A$39,0),1))</f>
        <v>234714285.7142857</v>
      </c>
      <c r="W822" s="27">
        <f>W242*IF($E822="weekday",INDEX('Category Mapping'!$F$28:$F$39,MATCH('Summarized Source Data'!$A822,'Category Mapping'!$A$28:$A$39,0),1),INDEX('Category Mapping'!$E$28:$E$39,MATCH($A822,'Category Mapping'!$A$28:$A$39,0),1))</f>
        <v>234714285.7142857</v>
      </c>
      <c r="X822" s="27">
        <f>X242*IF($E822="weekday",INDEX('Category Mapping'!$F$28:$F$39,MATCH('Summarized Source Data'!$A822,'Category Mapping'!$A$28:$A$39,0),1),INDEX('Category Mapping'!$E$28:$E$39,MATCH($A822,'Category Mapping'!$A$28:$A$39,0),1))</f>
        <v>14547857142.857143</v>
      </c>
      <c r="Y822" s="27">
        <f>Y242*IF($E822="weekday",INDEX('Category Mapping'!$F$28:$F$39,MATCH('Summarized Source Data'!$A822,'Category Mapping'!$A$28:$A$39,0),1),INDEX('Category Mapping'!$E$28:$E$39,MATCH($A822,'Category Mapping'!$A$28:$A$39,0),1))</f>
        <v>14547857142.857143</v>
      </c>
      <c r="Z822" s="27">
        <f>Z242*IF($E822="weekday",INDEX('Category Mapping'!$F$28:$F$39,MATCH('Summarized Source Data'!$A822,'Category Mapping'!$A$28:$A$39,0),1),INDEX('Category Mapping'!$E$28:$E$39,MATCH($A822,'Category Mapping'!$A$28:$A$39,0),1))</f>
        <v>14547857142.857143</v>
      </c>
    </row>
    <row r="823" spans="1:26" x14ac:dyDescent="0.3">
      <c r="A823">
        <f t="shared" ref="A823:E823" si="288">A243</f>
        <v>10</v>
      </c>
      <c r="B823" t="str">
        <f t="shared" si="288"/>
        <v>Fall</v>
      </c>
      <c r="C823" t="str">
        <f t="shared" si="288"/>
        <v>h24</v>
      </c>
      <c r="D823" t="str">
        <f t="shared" si="288"/>
        <v>Hour23</v>
      </c>
      <c r="E823" t="str">
        <f t="shared" si="288"/>
        <v>Weekday</v>
      </c>
      <c r="F823" s="27">
        <f>F243*IF($E823="weekday",INDEX('Category Mapping'!$F$28:$F$39,MATCH('Summarized Source Data'!$A823,'Category Mapping'!$A$28:$A$39,0),1),INDEX('Category Mapping'!$E$28:$E$39,MATCH($A823,'Category Mapping'!$A$28:$A$39,0),1))</f>
        <v>82339697.857142851</v>
      </c>
      <c r="G823" s="27">
        <f>G243*IF($E823="weekday",INDEX('Category Mapping'!$F$28:$F$39,MATCH('Summarized Source Data'!$A823,'Category Mapping'!$A$28:$A$39,0),1),INDEX('Category Mapping'!$E$28:$E$39,MATCH($A823,'Category Mapping'!$A$28:$A$39,0),1))</f>
        <v>63439.28571428571</v>
      </c>
      <c r="H823" s="27">
        <f>H243*IF($E823="weekday",INDEX('Category Mapping'!$F$28:$F$39,MATCH('Summarized Source Data'!$A823,'Category Mapping'!$A$28:$A$39,0),1),INDEX('Category Mapping'!$E$28:$E$39,MATCH($A823,'Category Mapping'!$A$28:$A$39,0),1))</f>
        <v>0</v>
      </c>
      <c r="I823" s="27">
        <f>I243*IF($E823="weekday",INDEX('Category Mapping'!$F$28:$F$39,MATCH('Summarized Source Data'!$A823,'Category Mapping'!$A$28:$A$39,0),1),INDEX('Category Mapping'!$E$28:$E$39,MATCH($A823,'Category Mapping'!$A$28:$A$39,0),1))</f>
        <v>341000000</v>
      </c>
      <c r="J823" s="27">
        <f>J243*IF($E823="weekday",INDEX('Category Mapping'!$F$28:$F$39,MATCH('Summarized Source Data'!$A823,'Category Mapping'!$A$28:$A$39,0),1),INDEX('Category Mapping'!$E$28:$E$39,MATCH($A823,'Category Mapping'!$A$28:$A$39,0),1))</f>
        <v>2012311148.5714285</v>
      </c>
      <c r="K823" s="27">
        <f>K243*IF($E823="weekday",INDEX('Category Mapping'!$F$28:$F$39,MATCH('Summarized Source Data'!$A823,'Category Mapping'!$A$28:$A$39,0),1),INDEX('Category Mapping'!$E$28:$E$39,MATCH($A823,'Category Mapping'!$A$28:$A$39,0),1))</f>
        <v>2012311148.5714285</v>
      </c>
      <c r="L823" s="27">
        <f>L243*IF($E823="weekday",INDEX('Category Mapping'!$F$28:$F$39,MATCH('Summarized Source Data'!$A823,'Category Mapping'!$A$28:$A$39,0),1),INDEX('Category Mapping'!$E$28:$E$39,MATCH($A823,'Category Mapping'!$A$28:$A$39,0),1))</f>
        <v>236928571.42857143</v>
      </c>
      <c r="M823" s="27">
        <f>M243*IF($E823="weekday",INDEX('Category Mapping'!$F$28:$F$39,MATCH('Summarized Source Data'!$A823,'Category Mapping'!$A$28:$A$39,0),1),INDEX('Category Mapping'!$E$28:$E$39,MATCH($A823,'Category Mapping'!$A$28:$A$39,0),1))</f>
        <v>31098912.142857142</v>
      </c>
      <c r="N823" s="27">
        <f>N243*IF($E823="weekday",INDEX('Category Mapping'!$F$28:$F$39,MATCH('Summarized Source Data'!$A823,'Category Mapping'!$A$28:$A$39,0),1),INDEX('Category Mapping'!$E$28:$E$39,MATCH($A823,'Category Mapping'!$A$28:$A$39,0),1))</f>
        <v>0</v>
      </c>
      <c r="O823" s="27">
        <f>O243*IF($E823="weekday",INDEX('Category Mapping'!$F$28:$F$39,MATCH('Summarized Source Data'!$A823,'Category Mapping'!$A$28:$A$39,0),1),INDEX('Category Mapping'!$E$28:$E$39,MATCH($A823,'Category Mapping'!$A$28:$A$39,0),1))</f>
        <v>4005543945</v>
      </c>
      <c r="P823" s="27">
        <f>P243*IF($E823="weekday",INDEX('Category Mapping'!$F$28:$F$39,MATCH('Summarized Source Data'!$A823,'Category Mapping'!$A$28:$A$39,0),1),INDEX('Category Mapping'!$E$28:$E$39,MATCH($A823,'Category Mapping'!$A$28:$A$39,0),1))</f>
        <v>4005543945</v>
      </c>
      <c r="Q823" s="27">
        <f>Q243*IF($E823="weekday",INDEX('Category Mapping'!$F$28:$F$39,MATCH('Summarized Source Data'!$A823,'Category Mapping'!$A$28:$A$39,0),1),INDEX('Category Mapping'!$E$28:$E$39,MATCH($A823,'Category Mapping'!$A$28:$A$39,0),1))</f>
        <v>4005543945</v>
      </c>
      <c r="R823" s="27">
        <f>R243*IF($E823="weekday",INDEX('Category Mapping'!$F$28:$F$39,MATCH('Summarized Source Data'!$A823,'Category Mapping'!$A$28:$A$39,0),1),INDEX('Category Mapping'!$E$28:$E$39,MATCH($A823,'Category Mapping'!$A$28:$A$39,0),1))</f>
        <v>158598679.28571427</v>
      </c>
      <c r="S823" s="27">
        <f>S243*IF($E823="weekday",INDEX('Category Mapping'!$F$28:$F$39,MATCH('Summarized Source Data'!$A823,'Category Mapping'!$A$28:$A$39,0),1),INDEX('Category Mapping'!$E$28:$E$39,MATCH($A823,'Category Mapping'!$A$28:$A$39,0),1))</f>
        <v>158598679.28571427</v>
      </c>
      <c r="T823" s="27">
        <f>T243*IF($E823="weekday",INDEX('Category Mapping'!$F$28:$F$39,MATCH('Summarized Source Data'!$A823,'Category Mapping'!$A$28:$A$39,0),1),INDEX('Category Mapping'!$E$28:$E$39,MATCH($A823,'Category Mapping'!$A$28:$A$39,0),1))</f>
        <v>158598679.28571427</v>
      </c>
      <c r="U823" s="27">
        <f>U243*IF($E823="weekday",INDEX('Category Mapping'!$F$28:$F$39,MATCH('Summarized Source Data'!$A823,'Category Mapping'!$A$28:$A$39,0),1),INDEX('Category Mapping'!$E$28:$E$39,MATCH($A823,'Category Mapping'!$A$28:$A$39,0),1))</f>
        <v>158598679.28571427</v>
      </c>
      <c r="V823" s="27">
        <f>V243*IF($E823="weekday",INDEX('Category Mapping'!$F$28:$F$39,MATCH('Summarized Source Data'!$A823,'Category Mapping'!$A$28:$A$39,0),1),INDEX('Category Mapping'!$E$28:$E$39,MATCH($A823,'Category Mapping'!$A$28:$A$39,0),1))</f>
        <v>158598679.28571427</v>
      </c>
      <c r="W823" s="27">
        <f>W243*IF($E823="weekday",INDEX('Category Mapping'!$F$28:$F$39,MATCH('Summarized Source Data'!$A823,'Category Mapping'!$A$28:$A$39,0),1),INDEX('Category Mapping'!$E$28:$E$39,MATCH($A823,'Category Mapping'!$A$28:$A$39,0),1))</f>
        <v>158598679.28571427</v>
      </c>
      <c r="X823" s="27">
        <f>X243*IF($E823="weekday",INDEX('Category Mapping'!$F$28:$F$39,MATCH('Summarized Source Data'!$A823,'Category Mapping'!$A$28:$A$39,0),1),INDEX('Category Mapping'!$E$28:$E$39,MATCH($A823,'Category Mapping'!$A$28:$A$39,0),1))</f>
        <v>14481428571.428572</v>
      </c>
      <c r="Y823" s="27">
        <f>Y243*IF($E823="weekday",INDEX('Category Mapping'!$F$28:$F$39,MATCH('Summarized Source Data'!$A823,'Category Mapping'!$A$28:$A$39,0),1),INDEX('Category Mapping'!$E$28:$E$39,MATCH($A823,'Category Mapping'!$A$28:$A$39,0),1))</f>
        <v>14481428571.428572</v>
      </c>
      <c r="Z823" s="27">
        <f>Z243*IF($E823="weekday",INDEX('Category Mapping'!$F$28:$F$39,MATCH('Summarized Source Data'!$A823,'Category Mapping'!$A$28:$A$39,0),1),INDEX('Category Mapping'!$E$28:$E$39,MATCH($A823,'Category Mapping'!$A$28:$A$39,0),1))</f>
        <v>14481428571.428572</v>
      </c>
    </row>
    <row r="824" spans="1:26" x14ac:dyDescent="0.3">
      <c r="A824">
        <f t="shared" ref="A824:E824" si="289">A244</f>
        <v>11</v>
      </c>
      <c r="B824" t="str">
        <f t="shared" si="289"/>
        <v>Winter</v>
      </c>
      <c r="C824" t="str">
        <f t="shared" si="289"/>
        <v>h1</v>
      </c>
      <c r="D824" t="str">
        <f t="shared" si="289"/>
        <v>Hour0</v>
      </c>
      <c r="E824" t="str">
        <f t="shared" si="289"/>
        <v>Weekday</v>
      </c>
      <c r="F824" s="27">
        <f>F244*IF($E824="weekday",INDEX('Category Mapping'!$F$28:$F$39,MATCH('Summarized Source Data'!$A824,'Category Mapping'!$A$28:$A$39,0),1),INDEX('Category Mapping'!$E$28:$E$39,MATCH($A824,'Category Mapping'!$A$28:$A$39,0),1))</f>
        <v>222857142.85714287</v>
      </c>
      <c r="G824" s="27">
        <f>G244*IF($E824="weekday",INDEX('Category Mapping'!$F$28:$F$39,MATCH('Summarized Source Data'!$A824,'Category Mapping'!$A$28:$A$39,0),1),INDEX('Category Mapping'!$E$28:$E$39,MATCH($A824,'Category Mapping'!$A$28:$A$39,0),1))</f>
        <v>1022057.142857143</v>
      </c>
      <c r="H824" s="27">
        <f>H244*IF($E824="weekday",INDEX('Category Mapping'!$F$28:$F$39,MATCH('Summarized Source Data'!$A824,'Category Mapping'!$A$28:$A$39,0),1),INDEX('Category Mapping'!$E$28:$E$39,MATCH($A824,'Category Mapping'!$A$28:$A$39,0),1))</f>
        <v>0</v>
      </c>
      <c r="I824" s="27">
        <f>I244*IF($E824="weekday",INDEX('Category Mapping'!$F$28:$F$39,MATCH('Summarized Source Data'!$A824,'Category Mapping'!$A$28:$A$39,0),1),INDEX('Category Mapping'!$E$28:$E$39,MATCH($A824,'Category Mapping'!$A$28:$A$39,0),1))</f>
        <v>250714285.71428573</v>
      </c>
      <c r="J824" s="27">
        <f>J244*IF($E824="weekday",INDEX('Category Mapping'!$F$28:$F$39,MATCH('Summarized Source Data'!$A824,'Category Mapping'!$A$28:$A$39,0),1),INDEX('Category Mapping'!$E$28:$E$39,MATCH($A824,'Category Mapping'!$A$28:$A$39,0),1))</f>
        <v>1576120800.0000002</v>
      </c>
      <c r="K824" s="27">
        <f>K244*IF($E824="weekday",INDEX('Category Mapping'!$F$28:$F$39,MATCH('Summarized Source Data'!$A824,'Category Mapping'!$A$28:$A$39,0),1),INDEX('Category Mapping'!$E$28:$E$39,MATCH($A824,'Category Mapping'!$A$28:$A$39,0),1))</f>
        <v>1576120800.0000002</v>
      </c>
      <c r="L824" s="27">
        <f>L244*IF($E824="weekday",INDEX('Category Mapping'!$F$28:$F$39,MATCH('Summarized Source Data'!$A824,'Category Mapping'!$A$28:$A$39,0),1),INDEX('Category Mapping'!$E$28:$E$39,MATCH($A824,'Category Mapping'!$A$28:$A$39,0),1))</f>
        <v>542142857.14285719</v>
      </c>
      <c r="M824" s="27">
        <f>M244*IF($E824="weekday",INDEX('Category Mapping'!$F$28:$F$39,MATCH('Summarized Source Data'!$A824,'Category Mapping'!$A$28:$A$39,0),1),INDEX('Category Mapping'!$E$28:$E$39,MATCH($A824,'Category Mapping'!$A$28:$A$39,0),1))</f>
        <v>2706771.4285714286</v>
      </c>
      <c r="N824" s="27">
        <f>N244*IF($E824="weekday",INDEX('Category Mapping'!$F$28:$F$39,MATCH('Summarized Source Data'!$A824,'Category Mapping'!$A$28:$A$39,0),1),INDEX('Category Mapping'!$E$28:$E$39,MATCH($A824,'Category Mapping'!$A$28:$A$39,0),1))</f>
        <v>0</v>
      </c>
      <c r="O824" s="27">
        <f>O244*IF($E824="weekday",INDEX('Category Mapping'!$F$28:$F$39,MATCH('Summarized Source Data'!$A824,'Category Mapping'!$A$28:$A$39,0),1),INDEX('Category Mapping'!$E$28:$E$39,MATCH($A824,'Category Mapping'!$A$28:$A$39,0),1))</f>
        <v>3290864657.1428576</v>
      </c>
      <c r="P824" s="27">
        <f>P244*IF($E824="weekday",INDEX('Category Mapping'!$F$28:$F$39,MATCH('Summarized Source Data'!$A824,'Category Mapping'!$A$28:$A$39,0),1),INDEX('Category Mapping'!$E$28:$E$39,MATCH($A824,'Category Mapping'!$A$28:$A$39,0),1))</f>
        <v>3290864657.1428576</v>
      </c>
      <c r="Q824" s="27">
        <f>Q244*IF($E824="weekday",INDEX('Category Mapping'!$F$28:$F$39,MATCH('Summarized Source Data'!$A824,'Category Mapping'!$A$28:$A$39,0),1),INDEX('Category Mapping'!$E$28:$E$39,MATCH($A824,'Category Mapping'!$A$28:$A$39,0),1))</f>
        <v>3290864657.1428576</v>
      </c>
      <c r="R824" s="27">
        <f>R244*IF($E824="weekday",INDEX('Category Mapping'!$F$28:$F$39,MATCH('Summarized Source Data'!$A824,'Category Mapping'!$A$28:$A$39,0),1),INDEX('Category Mapping'!$E$28:$E$39,MATCH($A824,'Category Mapping'!$A$28:$A$39,0),1))</f>
        <v>105110635.71428573</v>
      </c>
      <c r="S824" s="27">
        <f>S244*IF($E824="weekday",INDEX('Category Mapping'!$F$28:$F$39,MATCH('Summarized Source Data'!$A824,'Category Mapping'!$A$28:$A$39,0),1),INDEX('Category Mapping'!$E$28:$E$39,MATCH($A824,'Category Mapping'!$A$28:$A$39,0),1))</f>
        <v>105110635.71428573</v>
      </c>
      <c r="T824" s="27">
        <f>T244*IF($E824="weekday",INDEX('Category Mapping'!$F$28:$F$39,MATCH('Summarized Source Data'!$A824,'Category Mapping'!$A$28:$A$39,0),1),INDEX('Category Mapping'!$E$28:$E$39,MATCH($A824,'Category Mapping'!$A$28:$A$39,0),1))</f>
        <v>105110635.71428573</v>
      </c>
      <c r="U824" s="27">
        <f>U244*IF($E824="weekday",INDEX('Category Mapping'!$F$28:$F$39,MATCH('Summarized Source Data'!$A824,'Category Mapping'!$A$28:$A$39,0),1),INDEX('Category Mapping'!$E$28:$E$39,MATCH($A824,'Category Mapping'!$A$28:$A$39,0),1))</f>
        <v>105110635.71428573</v>
      </c>
      <c r="V824" s="27">
        <f>V244*IF($E824="weekday",INDEX('Category Mapping'!$F$28:$F$39,MATCH('Summarized Source Data'!$A824,'Category Mapping'!$A$28:$A$39,0),1),INDEX('Category Mapping'!$E$28:$E$39,MATCH($A824,'Category Mapping'!$A$28:$A$39,0),1))</f>
        <v>105110635.71428573</v>
      </c>
      <c r="W824" s="27">
        <f>W244*IF($E824="weekday",INDEX('Category Mapping'!$F$28:$F$39,MATCH('Summarized Source Data'!$A824,'Category Mapping'!$A$28:$A$39,0),1),INDEX('Category Mapping'!$E$28:$E$39,MATCH($A824,'Category Mapping'!$A$28:$A$39,0),1))</f>
        <v>105110635.71428573</v>
      </c>
      <c r="X824" s="27">
        <f>X244*IF($E824="weekday",INDEX('Category Mapping'!$F$28:$F$39,MATCH('Summarized Source Data'!$A824,'Category Mapping'!$A$28:$A$39,0),1),INDEX('Category Mapping'!$E$28:$E$39,MATCH($A824,'Category Mapping'!$A$28:$A$39,0),1))</f>
        <v>14164285714.285715</v>
      </c>
      <c r="Y824" s="27">
        <f>Y244*IF($E824="weekday",INDEX('Category Mapping'!$F$28:$F$39,MATCH('Summarized Source Data'!$A824,'Category Mapping'!$A$28:$A$39,0),1),INDEX('Category Mapping'!$E$28:$E$39,MATCH($A824,'Category Mapping'!$A$28:$A$39,0),1))</f>
        <v>14164285714.285715</v>
      </c>
      <c r="Z824" s="27">
        <f>Z244*IF($E824="weekday",INDEX('Category Mapping'!$F$28:$F$39,MATCH('Summarized Source Data'!$A824,'Category Mapping'!$A$28:$A$39,0),1),INDEX('Category Mapping'!$E$28:$E$39,MATCH($A824,'Category Mapping'!$A$28:$A$39,0),1))</f>
        <v>14164285714.285715</v>
      </c>
    </row>
    <row r="825" spans="1:26" x14ac:dyDescent="0.3">
      <c r="A825">
        <f t="shared" ref="A825:E825" si="290">A245</f>
        <v>11</v>
      </c>
      <c r="B825" t="str">
        <f t="shared" si="290"/>
        <v>Winter</v>
      </c>
      <c r="C825" t="str">
        <f t="shared" si="290"/>
        <v>h2</v>
      </c>
      <c r="D825" t="str">
        <f t="shared" si="290"/>
        <v>Hour1</v>
      </c>
      <c r="E825" t="str">
        <f t="shared" si="290"/>
        <v>Weekday</v>
      </c>
      <c r="F825" s="27">
        <f>F245*IF($E825="weekday",INDEX('Category Mapping'!$F$28:$F$39,MATCH('Summarized Source Data'!$A825,'Category Mapping'!$A$28:$A$39,0),1),INDEX('Category Mapping'!$E$28:$E$39,MATCH($A825,'Category Mapping'!$A$28:$A$39,0),1))</f>
        <v>229285714.2857143</v>
      </c>
      <c r="G825" s="27">
        <f>G245*IF($E825="weekday",INDEX('Category Mapping'!$F$28:$F$39,MATCH('Summarized Source Data'!$A825,'Category Mapping'!$A$28:$A$39,0),1),INDEX('Category Mapping'!$E$28:$E$39,MATCH($A825,'Category Mapping'!$A$28:$A$39,0),1))</f>
        <v>1027800.0000000001</v>
      </c>
      <c r="H825" s="27">
        <f>H245*IF($E825="weekday",INDEX('Category Mapping'!$F$28:$F$39,MATCH('Summarized Source Data'!$A825,'Category Mapping'!$A$28:$A$39,0),1),INDEX('Category Mapping'!$E$28:$E$39,MATCH($A825,'Category Mapping'!$A$28:$A$39,0),1))</f>
        <v>0</v>
      </c>
      <c r="I825" s="27">
        <f>I245*IF($E825="weekday",INDEX('Category Mapping'!$F$28:$F$39,MATCH('Summarized Source Data'!$A825,'Category Mapping'!$A$28:$A$39,0),1),INDEX('Category Mapping'!$E$28:$E$39,MATCH($A825,'Category Mapping'!$A$28:$A$39,0),1))</f>
        <v>229285714.2857143</v>
      </c>
      <c r="J825" s="27">
        <f>J245*IF($E825="weekday",INDEX('Category Mapping'!$F$28:$F$39,MATCH('Summarized Source Data'!$A825,'Category Mapping'!$A$28:$A$39,0),1),INDEX('Category Mapping'!$E$28:$E$39,MATCH($A825,'Category Mapping'!$A$28:$A$39,0),1))</f>
        <v>1143257914.2857144</v>
      </c>
      <c r="K825" s="27">
        <f>K245*IF($E825="weekday",INDEX('Category Mapping'!$F$28:$F$39,MATCH('Summarized Source Data'!$A825,'Category Mapping'!$A$28:$A$39,0),1),INDEX('Category Mapping'!$E$28:$E$39,MATCH($A825,'Category Mapping'!$A$28:$A$39,0),1))</f>
        <v>1143257914.2857144</v>
      </c>
      <c r="L825" s="27">
        <f>L245*IF($E825="weekday",INDEX('Category Mapping'!$F$28:$F$39,MATCH('Summarized Source Data'!$A825,'Category Mapping'!$A$28:$A$39,0),1),INDEX('Category Mapping'!$E$28:$E$39,MATCH($A825,'Category Mapping'!$A$28:$A$39,0),1))</f>
        <v>499285714.28571433</v>
      </c>
      <c r="M825" s="27">
        <f>M245*IF($E825="weekday",INDEX('Category Mapping'!$F$28:$F$39,MATCH('Summarized Source Data'!$A825,'Category Mapping'!$A$28:$A$39,0),1),INDEX('Category Mapping'!$E$28:$E$39,MATCH($A825,'Category Mapping'!$A$28:$A$39,0),1))</f>
        <v>2552314.2857142859</v>
      </c>
      <c r="N825" s="27">
        <f>N245*IF($E825="weekday",INDEX('Category Mapping'!$F$28:$F$39,MATCH('Summarized Source Data'!$A825,'Category Mapping'!$A$28:$A$39,0),1),INDEX('Category Mapping'!$E$28:$E$39,MATCH($A825,'Category Mapping'!$A$28:$A$39,0),1))</f>
        <v>0</v>
      </c>
      <c r="O825" s="27">
        <f>O245*IF($E825="weekday",INDEX('Category Mapping'!$F$28:$F$39,MATCH('Summarized Source Data'!$A825,'Category Mapping'!$A$28:$A$39,0),1),INDEX('Category Mapping'!$E$28:$E$39,MATCH($A825,'Category Mapping'!$A$28:$A$39,0),1))</f>
        <v>3226733400.0000005</v>
      </c>
      <c r="P825" s="27">
        <f>P245*IF($E825="weekday",INDEX('Category Mapping'!$F$28:$F$39,MATCH('Summarized Source Data'!$A825,'Category Mapping'!$A$28:$A$39,0),1),INDEX('Category Mapping'!$E$28:$E$39,MATCH($A825,'Category Mapping'!$A$28:$A$39,0),1))</f>
        <v>3226733400.0000005</v>
      </c>
      <c r="Q825" s="27">
        <f>Q245*IF($E825="weekday",INDEX('Category Mapping'!$F$28:$F$39,MATCH('Summarized Source Data'!$A825,'Category Mapping'!$A$28:$A$39,0),1),INDEX('Category Mapping'!$E$28:$E$39,MATCH($A825,'Category Mapping'!$A$28:$A$39,0),1))</f>
        <v>3226733400.0000005</v>
      </c>
      <c r="R825" s="27">
        <f>R245*IF($E825="weekday",INDEX('Category Mapping'!$F$28:$F$39,MATCH('Summarized Source Data'!$A825,'Category Mapping'!$A$28:$A$39,0),1),INDEX('Category Mapping'!$E$28:$E$39,MATCH($A825,'Category Mapping'!$A$28:$A$39,0),1))</f>
        <v>103657350.00000001</v>
      </c>
      <c r="S825" s="27">
        <f>S245*IF($E825="weekday",INDEX('Category Mapping'!$F$28:$F$39,MATCH('Summarized Source Data'!$A825,'Category Mapping'!$A$28:$A$39,0),1),INDEX('Category Mapping'!$E$28:$E$39,MATCH($A825,'Category Mapping'!$A$28:$A$39,0),1))</f>
        <v>103657350.00000001</v>
      </c>
      <c r="T825" s="27">
        <f>T245*IF($E825="weekday",INDEX('Category Mapping'!$F$28:$F$39,MATCH('Summarized Source Data'!$A825,'Category Mapping'!$A$28:$A$39,0),1),INDEX('Category Mapping'!$E$28:$E$39,MATCH($A825,'Category Mapping'!$A$28:$A$39,0),1))</f>
        <v>103657350.00000001</v>
      </c>
      <c r="U825" s="27">
        <f>U245*IF($E825="weekday",INDEX('Category Mapping'!$F$28:$F$39,MATCH('Summarized Source Data'!$A825,'Category Mapping'!$A$28:$A$39,0),1),INDEX('Category Mapping'!$E$28:$E$39,MATCH($A825,'Category Mapping'!$A$28:$A$39,0),1))</f>
        <v>103657350.00000001</v>
      </c>
      <c r="V825" s="27">
        <f>V245*IF($E825="weekday",INDEX('Category Mapping'!$F$28:$F$39,MATCH('Summarized Source Data'!$A825,'Category Mapping'!$A$28:$A$39,0),1),INDEX('Category Mapping'!$E$28:$E$39,MATCH($A825,'Category Mapping'!$A$28:$A$39,0),1))</f>
        <v>103657350.00000001</v>
      </c>
      <c r="W825" s="27">
        <f>W245*IF($E825="weekday",INDEX('Category Mapping'!$F$28:$F$39,MATCH('Summarized Source Data'!$A825,'Category Mapping'!$A$28:$A$39,0),1),INDEX('Category Mapping'!$E$28:$E$39,MATCH($A825,'Category Mapping'!$A$28:$A$39,0),1))</f>
        <v>103657350.00000001</v>
      </c>
      <c r="X825" s="27">
        <f>X245*IF($E825="weekday",INDEX('Category Mapping'!$F$28:$F$39,MATCH('Summarized Source Data'!$A825,'Category Mapping'!$A$28:$A$39,0),1),INDEX('Category Mapping'!$E$28:$E$39,MATCH($A825,'Category Mapping'!$A$28:$A$39,0),1))</f>
        <v>14142857142.857143</v>
      </c>
      <c r="Y825" s="27">
        <f>Y245*IF($E825="weekday",INDEX('Category Mapping'!$F$28:$F$39,MATCH('Summarized Source Data'!$A825,'Category Mapping'!$A$28:$A$39,0),1),INDEX('Category Mapping'!$E$28:$E$39,MATCH($A825,'Category Mapping'!$A$28:$A$39,0),1))</f>
        <v>14142857142.857143</v>
      </c>
      <c r="Z825" s="27">
        <f>Z245*IF($E825="weekday",INDEX('Category Mapping'!$F$28:$F$39,MATCH('Summarized Source Data'!$A825,'Category Mapping'!$A$28:$A$39,0),1),INDEX('Category Mapping'!$E$28:$E$39,MATCH($A825,'Category Mapping'!$A$28:$A$39,0),1))</f>
        <v>14142857142.857143</v>
      </c>
    </row>
    <row r="826" spans="1:26" x14ac:dyDescent="0.3">
      <c r="A826">
        <f t="shared" ref="A826:E826" si="291">A246</f>
        <v>11</v>
      </c>
      <c r="B826" t="str">
        <f t="shared" si="291"/>
        <v>Winter</v>
      </c>
      <c r="C826" t="str">
        <f t="shared" si="291"/>
        <v>h3</v>
      </c>
      <c r="D826" t="str">
        <f t="shared" si="291"/>
        <v>Hour2</v>
      </c>
      <c r="E826" t="str">
        <f t="shared" si="291"/>
        <v>Weekday</v>
      </c>
      <c r="F826" s="27">
        <f>F246*IF($E826="weekday",INDEX('Category Mapping'!$F$28:$F$39,MATCH('Summarized Source Data'!$A826,'Category Mapping'!$A$28:$A$39,0),1),INDEX('Category Mapping'!$E$28:$E$39,MATCH($A826,'Category Mapping'!$A$28:$A$39,0),1))</f>
        <v>231428571.42857146</v>
      </c>
      <c r="G826" s="27">
        <f>G246*IF($E826="weekday",INDEX('Category Mapping'!$F$28:$F$39,MATCH('Summarized Source Data'!$A826,'Category Mapping'!$A$28:$A$39,0),1),INDEX('Category Mapping'!$E$28:$E$39,MATCH($A826,'Category Mapping'!$A$28:$A$39,0),1))</f>
        <v>1031742.8571428573</v>
      </c>
      <c r="H826" s="27">
        <f>H246*IF($E826="weekday",INDEX('Category Mapping'!$F$28:$F$39,MATCH('Summarized Source Data'!$A826,'Category Mapping'!$A$28:$A$39,0),1),INDEX('Category Mapping'!$E$28:$E$39,MATCH($A826,'Category Mapping'!$A$28:$A$39,0),1))</f>
        <v>0</v>
      </c>
      <c r="I826" s="27">
        <f>I246*IF($E826="weekday",INDEX('Category Mapping'!$F$28:$F$39,MATCH('Summarized Source Data'!$A826,'Category Mapping'!$A$28:$A$39,0),1),INDEX('Category Mapping'!$E$28:$E$39,MATCH($A826,'Category Mapping'!$A$28:$A$39,0),1))</f>
        <v>227142857.14285716</v>
      </c>
      <c r="J826" s="27">
        <f>J246*IF($E826="weekday",INDEX('Category Mapping'!$F$28:$F$39,MATCH('Summarized Source Data'!$A826,'Category Mapping'!$A$28:$A$39,0),1),INDEX('Category Mapping'!$E$28:$E$39,MATCH($A826,'Category Mapping'!$A$28:$A$39,0),1))</f>
        <v>918253971.42857146</v>
      </c>
      <c r="K826" s="27">
        <f>K246*IF($E826="weekday",INDEX('Category Mapping'!$F$28:$F$39,MATCH('Summarized Source Data'!$A826,'Category Mapping'!$A$28:$A$39,0),1),INDEX('Category Mapping'!$E$28:$E$39,MATCH($A826,'Category Mapping'!$A$28:$A$39,0),1))</f>
        <v>918253971.42857146</v>
      </c>
      <c r="L826" s="27">
        <f>L246*IF($E826="weekday",INDEX('Category Mapping'!$F$28:$F$39,MATCH('Summarized Source Data'!$A826,'Category Mapping'!$A$28:$A$39,0),1),INDEX('Category Mapping'!$E$28:$E$39,MATCH($A826,'Category Mapping'!$A$28:$A$39,0),1))</f>
        <v>443571428.5714286</v>
      </c>
      <c r="M826" s="27">
        <f>M246*IF($E826="weekday",INDEX('Category Mapping'!$F$28:$F$39,MATCH('Summarized Source Data'!$A826,'Category Mapping'!$A$28:$A$39,0),1),INDEX('Category Mapping'!$E$28:$E$39,MATCH($A826,'Category Mapping'!$A$28:$A$39,0),1))</f>
        <v>2487857.1428571432</v>
      </c>
      <c r="N826" s="27">
        <f>N246*IF($E826="weekday",INDEX('Category Mapping'!$F$28:$F$39,MATCH('Summarized Source Data'!$A826,'Category Mapping'!$A$28:$A$39,0),1),INDEX('Category Mapping'!$E$28:$E$39,MATCH($A826,'Category Mapping'!$A$28:$A$39,0),1))</f>
        <v>0</v>
      </c>
      <c r="O826" s="27">
        <f>O246*IF($E826="weekday",INDEX('Category Mapping'!$F$28:$F$39,MATCH('Summarized Source Data'!$A826,'Category Mapping'!$A$28:$A$39,0),1),INDEX('Category Mapping'!$E$28:$E$39,MATCH($A826,'Category Mapping'!$A$28:$A$39,0),1))</f>
        <v>3218226428.5714288</v>
      </c>
      <c r="P826" s="27">
        <f>P246*IF($E826="weekday",INDEX('Category Mapping'!$F$28:$F$39,MATCH('Summarized Source Data'!$A826,'Category Mapping'!$A$28:$A$39,0),1),INDEX('Category Mapping'!$E$28:$E$39,MATCH($A826,'Category Mapping'!$A$28:$A$39,0),1))</f>
        <v>3218226428.5714288</v>
      </c>
      <c r="Q826" s="27">
        <f>Q246*IF($E826="weekday",INDEX('Category Mapping'!$F$28:$F$39,MATCH('Summarized Source Data'!$A826,'Category Mapping'!$A$28:$A$39,0),1),INDEX('Category Mapping'!$E$28:$E$39,MATCH($A826,'Category Mapping'!$A$28:$A$39,0),1))</f>
        <v>3218226428.5714288</v>
      </c>
      <c r="R826" s="27">
        <f>R246*IF($E826="weekday",INDEX('Category Mapping'!$F$28:$F$39,MATCH('Summarized Source Data'!$A826,'Category Mapping'!$A$28:$A$39,0),1),INDEX('Category Mapping'!$E$28:$E$39,MATCH($A826,'Category Mapping'!$A$28:$A$39,0),1))</f>
        <v>103284107.14285715</v>
      </c>
      <c r="S826" s="27">
        <f>S246*IF($E826="weekday",INDEX('Category Mapping'!$F$28:$F$39,MATCH('Summarized Source Data'!$A826,'Category Mapping'!$A$28:$A$39,0),1),INDEX('Category Mapping'!$E$28:$E$39,MATCH($A826,'Category Mapping'!$A$28:$A$39,0),1))</f>
        <v>103284107.14285715</v>
      </c>
      <c r="T826" s="27">
        <f>T246*IF($E826="weekday",INDEX('Category Mapping'!$F$28:$F$39,MATCH('Summarized Source Data'!$A826,'Category Mapping'!$A$28:$A$39,0),1),INDEX('Category Mapping'!$E$28:$E$39,MATCH($A826,'Category Mapping'!$A$28:$A$39,0),1))</f>
        <v>103284107.14285715</v>
      </c>
      <c r="U826" s="27">
        <f>U246*IF($E826="weekday",INDEX('Category Mapping'!$F$28:$F$39,MATCH('Summarized Source Data'!$A826,'Category Mapping'!$A$28:$A$39,0),1),INDEX('Category Mapping'!$E$28:$E$39,MATCH($A826,'Category Mapping'!$A$28:$A$39,0),1))</f>
        <v>103284107.14285715</v>
      </c>
      <c r="V826" s="27">
        <f>V246*IF($E826="weekday",INDEX('Category Mapping'!$F$28:$F$39,MATCH('Summarized Source Data'!$A826,'Category Mapping'!$A$28:$A$39,0),1),INDEX('Category Mapping'!$E$28:$E$39,MATCH($A826,'Category Mapping'!$A$28:$A$39,0),1))</f>
        <v>103284107.14285715</v>
      </c>
      <c r="W826" s="27">
        <f>W246*IF($E826="weekday",INDEX('Category Mapping'!$F$28:$F$39,MATCH('Summarized Source Data'!$A826,'Category Mapping'!$A$28:$A$39,0),1),INDEX('Category Mapping'!$E$28:$E$39,MATCH($A826,'Category Mapping'!$A$28:$A$39,0),1))</f>
        <v>103284107.14285715</v>
      </c>
      <c r="X826" s="27">
        <f>X246*IF($E826="weekday",INDEX('Category Mapping'!$F$28:$F$39,MATCH('Summarized Source Data'!$A826,'Category Mapping'!$A$28:$A$39,0),1),INDEX('Category Mapping'!$E$28:$E$39,MATCH($A826,'Category Mapping'!$A$28:$A$39,0),1))</f>
        <v>14142857142.857143</v>
      </c>
      <c r="Y826" s="27">
        <f>Y246*IF($E826="weekday",INDEX('Category Mapping'!$F$28:$F$39,MATCH('Summarized Source Data'!$A826,'Category Mapping'!$A$28:$A$39,0),1),INDEX('Category Mapping'!$E$28:$E$39,MATCH($A826,'Category Mapping'!$A$28:$A$39,0),1))</f>
        <v>14142857142.857143</v>
      </c>
      <c r="Z826" s="27">
        <f>Z246*IF($E826="weekday",INDEX('Category Mapping'!$F$28:$F$39,MATCH('Summarized Source Data'!$A826,'Category Mapping'!$A$28:$A$39,0),1),INDEX('Category Mapping'!$E$28:$E$39,MATCH($A826,'Category Mapping'!$A$28:$A$39,0),1))</f>
        <v>14142857142.857143</v>
      </c>
    </row>
    <row r="827" spans="1:26" x14ac:dyDescent="0.3">
      <c r="A827">
        <f t="shared" ref="A827:E827" si="292">A247</f>
        <v>11</v>
      </c>
      <c r="B827" t="str">
        <f t="shared" si="292"/>
        <v>Winter</v>
      </c>
      <c r="C827" t="str">
        <f t="shared" si="292"/>
        <v>h4</v>
      </c>
      <c r="D827" t="str">
        <f t="shared" si="292"/>
        <v>Hour3</v>
      </c>
      <c r="E827" t="str">
        <f t="shared" si="292"/>
        <v>Weekday</v>
      </c>
      <c r="F827" s="27">
        <f>F247*IF($E827="weekday",INDEX('Category Mapping'!$F$28:$F$39,MATCH('Summarized Source Data'!$A827,'Category Mapping'!$A$28:$A$39,0),1),INDEX('Category Mapping'!$E$28:$E$39,MATCH($A827,'Category Mapping'!$A$28:$A$39,0),1))</f>
        <v>229285714.2857143</v>
      </c>
      <c r="G827" s="27">
        <f>G247*IF($E827="weekday",INDEX('Category Mapping'!$F$28:$F$39,MATCH('Summarized Source Data'!$A827,'Category Mapping'!$A$28:$A$39,0),1),INDEX('Category Mapping'!$E$28:$E$39,MATCH($A827,'Category Mapping'!$A$28:$A$39,0),1))</f>
        <v>1032300.0000000001</v>
      </c>
      <c r="H827" s="27">
        <f>H247*IF($E827="weekday",INDEX('Category Mapping'!$F$28:$F$39,MATCH('Summarized Source Data'!$A827,'Category Mapping'!$A$28:$A$39,0),1),INDEX('Category Mapping'!$E$28:$E$39,MATCH($A827,'Category Mapping'!$A$28:$A$39,0),1))</f>
        <v>0</v>
      </c>
      <c r="I827" s="27">
        <f>I247*IF($E827="weekday",INDEX('Category Mapping'!$F$28:$F$39,MATCH('Summarized Source Data'!$A827,'Category Mapping'!$A$28:$A$39,0),1),INDEX('Category Mapping'!$E$28:$E$39,MATCH($A827,'Category Mapping'!$A$28:$A$39,0),1))</f>
        <v>233571428.5714286</v>
      </c>
      <c r="J827" s="27">
        <f>J247*IF($E827="weekday",INDEX('Category Mapping'!$F$28:$F$39,MATCH('Summarized Source Data'!$A827,'Category Mapping'!$A$28:$A$39,0),1),INDEX('Category Mapping'!$E$28:$E$39,MATCH($A827,'Category Mapping'!$A$28:$A$39,0),1))</f>
        <v>793967700.00000012</v>
      </c>
      <c r="K827" s="27">
        <f>K247*IF($E827="weekday",INDEX('Category Mapping'!$F$28:$F$39,MATCH('Summarized Source Data'!$A827,'Category Mapping'!$A$28:$A$39,0),1),INDEX('Category Mapping'!$E$28:$E$39,MATCH($A827,'Category Mapping'!$A$28:$A$39,0),1))</f>
        <v>793967700.00000012</v>
      </c>
      <c r="L827" s="27">
        <f>L247*IF($E827="weekday",INDEX('Category Mapping'!$F$28:$F$39,MATCH('Summarized Source Data'!$A827,'Category Mapping'!$A$28:$A$39,0),1),INDEX('Category Mapping'!$E$28:$E$39,MATCH($A827,'Category Mapping'!$A$28:$A$39,0),1))</f>
        <v>452142857.14285719</v>
      </c>
      <c r="M827" s="27">
        <f>M247*IF($E827="weekday",INDEX('Category Mapping'!$F$28:$F$39,MATCH('Summarized Source Data'!$A827,'Category Mapping'!$A$28:$A$39,0),1),INDEX('Category Mapping'!$E$28:$E$39,MATCH($A827,'Category Mapping'!$A$28:$A$39,0),1))</f>
        <v>2451514.2857142859</v>
      </c>
      <c r="N827" s="27">
        <f>N247*IF($E827="weekday",INDEX('Category Mapping'!$F$28:$F$39,MATCH('Summarized Source Data'!$A827,'Category Mapping'!$A$28:$A$39,0),1),INDEX('Category Mapping'!$E$28:$E$39,MATCH($A827,'Category Mapping'!$A$28:$A$39,0),1))</f>
        <v>0</v>
      </c>
      <c r="O827" s="27">
        <f>O247*IF($E827="weekday",INDEX('Category Mapping'!$F$28:$F$39,MATCH('Summarized Source Data'!$A827,'Category Mapping'!$A$28:$A$39,0),1),INDEX('Category Mapping'!$E$28:$E$39,MATCH($A827,'Category Mapping'!$A$28:$A$39,0),1))</f>
        <v>3359691342.8571434</v>
      </c>
      <c r="P827" s="27">
        <f>P247*IF($E827="weekday",INDEX('Category Mapping'!$F$28:$F$39,MATCH('Summarized Source Data'!$A827,'Category Mapping'!$A$28:$A$39,0),1),INDEX('Category Mapping'!$E$28:$E$39,MATCH($A827,'Category Mapping'!$A$28:$A$39,0),1))</f>
        <v>3359691342.8571434</v>
      </c>
      <c r="Q827" s="27">
        <f>Q247*IF($E827="weekday",INDEX('Category Mapping'!$F$28:$F$39,MATCH('Summarized Source Data'!$A827,'Category Mapping'!$A$28:$A$39,0),1),INDEX('Category Mapping'!$E$28:$E$39,MATCH($A827,'Category Mapping'!$A$28:$A$39,0),1))</f>
        <v>3359691342.8571434</v>
      </c>
      <c r="R827" s="27">
        <f>R247*IF($E827="weekday",INDEX('Category Mapping'!$F$28:$F$39,MATCH('Summarized Source Data'!$A827,'Category Mapping'!$A$28:$A$39,0),1),INDEX('Category Mapping'!$E$28:$E$39,MATCH($A827,'Category Mapping'!$A$28:$A$39,0),1))</f>
        <v>103627735.71428573</v>
      </c>
      <c r="S827" s="27">
        <f>S247*IF($E827="weekday",INDEX('Category Mapping'!$F$28:$F$39,MATCH('Summarized Source Data'!$A827,'Category Mapping'!$A$28:$A$39,0),1),INDEX('Category Mapping'!$E$28:$E$39,MATCH($A827,'Category Mapping'!$A$28:$A$39,0),1))</f>
        <v>103627735.71428573</v>
      </c>
      <c r="T827" s="27">
        <f>T247*IF($E827="weekday",INDEX('Category Mapping'!$F$28:$F$39,MATCH('Summarized Source Data'!$A827,'Category Mapping'!$A$28:$A$39,0),1),INDEX('Category Mapping'!$E$28:$E$39,MATCH($A827,'Category Mapping'!$A$28:$A$39,0),1))</f>
        <v>103627735.71428573</v>
      </c>
      <c r="U827" s="27">
        <f>U247*IF($E827="weekday",INDEX('Category Mapping'!$F$28:$F$39,MATCH('Summarized Source Data'!$A827,'Category Mapping'!$A$28:$A$39,0),1),INDEX('Category Mapping'!$E$28:$E$39,MATCH($A827,'Category Mapping'!$A$28:$A$39,0),1))</f>
        <v>103627735.71428573</v>
      </c>
      <c r="V827" s="27">
        <f>V247*IF($E827="weekday",INDEX('Category Mapping'!$F$28:$F$39,MATCH('Summarized Source Data'!$A827,'Category Mapping'!$A$28:$A$39,0),1),INDEX('Category Mapping'!$E$28:$E$39,MATCH($A827,'Category Mapping'!$A$28:$A$39,0),1))</f>
        <v>103627735.71428573</v>
      </c>
      <c r="W827" s="27">
        <f>W247*IF($E827="weekday",INDEX('Category Mapping'!$F$28:$F$39,MATCH('Summarized Source Data'!$A827,'Category Mapping'!$A$28:$A$39,0),1),INDEX('Category Mapping'!$E$28:$E$39,MATCH($A827,'Category Mapping'!$A$28:$A$39,0),1))</f>
        <v>103627735.71428573</v>
      </c>
      <c r="X827" s="27">
        <f>X247*IF($E827="weekday",INDEX('Category Mapping'!$F$28:$F$39,MATCH('Summarized Source Data'!$A827,'Category Mapping'!$A$28:$A$39,0),1),INDEX('Category Mapping'!$E$28:$E$39,MATCH($A827,'Category Mapping'!$A$28:$A$39,0),1))</f>
        <v>14142857142.857143</v>
      </c>
      <c r="Y827" s="27">
        <f>Y247*IF($E827="weekday",INDEX('Category Mapping'!$F$28:$F$39,MATCH('Summarized Source Data'!$A827,'Category Mapping'!$A$28:$A$39,0),1),INDEX('Category Mapping'!$E$28:$E$39,MATCH($A827,'Category Mapping'!$A$28:$A$39,0),1))</f>
        <v>14142857142.857143</v>
      </c>
      <c r="Z827" s="27">
        <f>Z247*IF($E827="weekday",INDEX('Category Mapping'!$F$28:$F$39,MATCH('Summarized Source Data'!$A827,'Category Mapping'!$A$28:$A$39,0),1),INDEX('Category Mapping'!$E$28:$E$39,MATCH($A827,'Category Mapping'!$A$28:$A$39,0),1))</f>
        <v>14142857142.857143</v>
      </c>
    </row>
    <row r="828" spans="1:26" x14ac:dyDescent="0.3">
      <c r="A828">
        <f t="shared" ref="A828:E828" si="293">A248</f>
        <v>11</v>
      </c>
      <c r="B828" t="str">
        <f t="shared" si="293"/>
        <v>Winter</v>
      </c>
      <c r="C828" t="str">
        <f t="shared" si="293"/>
        <v>h5</v>
      </c>
      <c r="D828" t="str">
        <f t="shared" si="293"/>
        <v>Hour4</v>
      </c>
      <c r="E828" t="str">
        <f t="shared" si="293"/>
        <v>Weekday</v>
      </c>
      <c r="F828" s="27">
        <f>F248*IF($E828="weekday",INDEX('Category Mapping'!$F$28:$F$39,MATCH('Summarized Source Data'!$A828,'Category Mapping'!$A$28:$A$39,0),1),INDEX('Category Mapping'!$E$28:$E$39,MATCH($A828,'Category Mapping'!$A$28:$A$39,0),1))</f>
        <v>222857142.85714287</v>
      </c>
      <c r="G828" s="27">
        <f>G248*IF($E828="weekday",INDEX('Category Mapping'!$F$28:$F$39,MATCH('Summarized Source Data'!$A828,'Category Mapping'!$A$28:$A$39,0),1),INDEX('Category Mapping'!$E$28:$E$39,MATCH($A828,'Category Mapping'!$A$28:$A$39,0),1))</f>
        <v>1006200.0000000001</v>
      </c>
      <c r="H828" s="27">
        <f>H248*IF($E828="weekday",INDEX('Category Mapping'!$F$28:$F$39,MATCH('Summarized Source Data'!$A828,'Category Mapping'!$A$28:$A$39,0),1),INDEX('Category Mapping'!$E$28:$E$39,MATCH($A828,'Category Mapping'!$A$28:$A$39,0),1))</f>
        <v>0</v>
      </c>
      <c r="I828" s="27">
        <f>I248*IF($E828="weekday",INDEX('Category Mapping'!$F$28:$F$39,MATCH('Summarized Source Data'!$A828,'Category Mapping'!$A$28:$A$39,0),1),INDEX('Category Mapping'!$E$28:$E$39,MATCH($A828,'Category Mapping'!$A$28:$A$39,0),1))</f>
        <v>300000000</v>
      </c>
      <c r="J828" s="27">
        <f>J248*IF($E828="weekday",INDEX('Category Mapping'!$F$28:$F$39,MATCH('Summarized Source Data'!$A828,'Category Mapping'!$A$28:$A$39,0),1),INDEX('Category Mapping'!$E$28:$E$39,MATCH($A828,'Category Mapping'!$A$28:$A$39,0),1))</f>
        <v>838993800.00000012</v>
      </c>
      <c r="K828" s="27">
        <f>K248*IF($E828="weekday",INDEX('Category Mapping'!$F$28:$F$39,MATCH('Summarized Source Data'!$A828,'Category Mapping'!$A$28:$A$39,0),1),INDEX('Category Mapping'!$E$28:$E$39,MATCH($A828,'Category Mapping'!$A$28:$A$39,0),1))</f>
        <v>838993800.00000012</v>
      </c>
      <c r="L828" s="27">
        <f>L248*IF($E828="weekday",INDEX('Category Mapping'!$F$28:$F$39,MATCH('Summarized Source Data'!$A828,'Category Mapping'!$A$28:$A$39,0),1),INDEX('Category Mapping'!$E$28:$E$39,MATCH($A828,'Category Mapping'!$A$28:$A$39,0),1))</f>
        <v>462857142.85714293</v>
      </c>
      <c r="M828" s="27">
        <f>M248*IF($E828="weekday",INDEX('Category Mapping'!$F$28:$F$39,MATCH('Summarized Source Data'!$A828,'Category Mapping'!$A$28:$A$39,0),1),INDEX('Category Mapping'!$E$28:$E$39,MATCH($A828,'Category Mapping'!$A$28:$A$39,0),1))</f>
        <v>2443671.4285714286</v>
      </c>
      <c r="N828" s="27">
        <f>N248*IF($E828="weekday",INDEX('Category Mapping'!$F$28:$F$39,MATCH('Summarized Source Data'!$A828,'Category Mapping'!$A$28:$A$39,0),1),INDEX('Category Mapping'!$E$28:$E$39,MATCH($A828,'Category Mapping'!$A$28:$A$39,0),1))</f>
        <v>0</v>
      </c>
      <c r="O828" s="27">
        <f>O248*IF($E828="weekday",INDEX('Category Mapping'!$F$28:$F$39,MATCH('Summarized Source Data'!$A828,'Category Mapping'!$A$28:$A$39,0),1),INDEX('Category Mapping'!$E$28:$E$39,MATCH($A828,'Category Mapping'!$A$28:$A$39,0),1))</f>
        <v>3563270614.2857146</v>
      </c>
      <c r="P828" s="27">
        <f>P248*IF($E828="weekday",INDEX('Category Mapping'!$F$28:$F$39,MATCH('Summarized Source Data'!$A828,'Category Mapping'!$A$28:$A$39,0),1),INDEX('Category Mapping'!$E$28:$E$39,MATCH($A828,'Category Mapping'!$A$28:$A$39,0),1))</f>
        <v>3563270614.2857146</v>
      </c>
      <c r="Q828" s="27">
        <f>Q248*IF($E828="weekday",INDEX('Category Mapping'!$F$28:$F$39,MATCH('Summarized Source Data'!$A828,'Category Mapping'!$A$28:$A$39,0),1),INDEX('Category Mapping'!$E$28:$E$39,MATCH($A828,'Category Mapping'!$A$28:$A$39,0),1))</f>
        <v>3563270614.2857146</v>
      </c>
      <c r="R828" s="27">
        <f>R248*IF($E828="weekday",INDEX('Category Mapping'!$F$28:$F$39,MATCH('Summarized Source Data'!$A828,'Category Mapping'!$A$28:$A$39,0),1),INDEX('Category Mapping'!$E$28:$E$39,MATCH($A828,'Category Mapping'!$A$28:$A$39,0),1))</f>
        <v>103253314.2857143</v>
      </c>
      <c r="S828" s="27">
        <f>S248*IF($E828="weekday",INDEX('Category Mapping'!$F$28:$F$39,MATCH('Summarized Source Data'!$A828,'Category Mapping'!$A$28:$A$39,0),1),INDEX('Category Mapping'!$E$28:$E$39,MATCH($A828,'Category Mapping'!$A$28:$A$39,0),1))</f>
        <v>103253314.2857143</v>
      </c>
      <c r="T828" s="27">
        <f>T248*IF($E828="weekday",INDEX('Category Mapping'!$F$28:$F$39,MATCH('Summarized Source Data'!$A828,'Category Mapping'!$A$28:$A$39,0),1),INDEX('Category Mapping'!$E$28:$E$39,MATCH($A828,'Category Mapping'!$A$28:$A$39,0),1))</f>
        <v>103253314.2857143</v>
      </c>
      <c r="U828" s="27">
        <f>U248*IF($E828="weekday",INDEX('Category Mapping'!$F$28:$F$39,MATCH('Summarized Source Data'!$A828,'Category Mapping'!$A$28:$A$39,0),1),INDEX('Category Mapping'!$E$28:$E$39,MATCH($A828,'Category Mapping'!$A$28:$A$39,0),1))</f>
        <v>103253314.2857143</v>
      </c>
      <c r="V828" s="27">
        <f>V248*IF($E828="weekday",INDEX('Category Mapping'!$F$28:$F$39,MATCH('Summarized Source Data'!$A828,'Category Mapping'!$A$28:$A$39,0),1),INDEX('Category Mapping'!$E$28:$E$39,MATCH($A828,'Category Mapping'!$A$28:$A$39,0),1))</f>
        <v>103253314.2857143</v>
      </c>
      <c r="W828" s="27">
        <f>W248*IF($E828="weekday",INDEX('Category Mapping'!$F$28:$F$39,MATCH('Summarized Source Data'!$A828,'Category Mapping'!$A$28:$A$39,0),1),INDEX('Category Mapping'!$E$28:$E$39,MATCH($A828,'Category Mapping'!$A$28:$A$39,0),1))</f>
        <v>103253314.2857143</v>
      </c>
      <c r="X828" s="27">
        <f>X248*IF($E828="weekday",INDEX('Category Mapping'!$F$28:$F$39,MATCH('Summarized Source Data'!$A828,'Category Mapping'!$A$28:$A$39,0),1),INDEX('Category Mapping'!$E$28:$E$39,MATCH($A828,'Category Mapping'!$A$28:$A$39,0),1))</f>
        <v>14185714285.714287</v>
      </c>
      <c r="Y828" s="27">
        <f>Y248*IF($E828="weekday",INDEX('Category Mapping'!$F$28:$F$39,MATCH('Summarized Source Data'!$A828,'Category Mapping'!$A$28:$A$39,0),1),INDEX('Category Mapping'!$E$28:$E$39,MATCH($A828,'Category Mapping'!$A$28:$A$39,0),1))</f>
        <v>14185714285.714287</v>
      </c>
      <c r="Z828" s="27">
        <f>Z248*IF($E828="weekday",INDEX('Category Mapping'!$F$28:$F$39,MATCH('Summarized Source Data'!$A828,'Category Mapping'!$A$28:$A$39,0),1),INDEX('Category Mapping'!$E$28:$E$39,MATCH($A828,'Category Mapping'!$A$28:$A$39,0),1))</f>
        <v>14185714285.714287</v>
      </c>
    </row>
    <row r="829" spans="1:26" x14ac:dyDescent="0.3">
      <c r="A829">
        <f t="shared" ref="A829:E829" si="294">A249</f>
        <v>11</v>
      </c>
      <c r="B829" t="str">
        <f t="shared" si="294"/>
        <v>Winter</v>
      </c>
      <c r="C829" t="str">
        <f t="shared" si="294"/>
        <v>h6</v>
      </c>
      <c r="D829" t="str">
        <f t="shared" si="294"/>
        <v>Hour5</v>
      </c>
      <c r="E829" t="str">
        <f t="shared" si="294"/>
        <v>Weekday</v>
      </c>
      <c r="F829" s="27">
        <f>F249*IF($E829="weekday",INDEX('Category Mapping'!$F$28:$F$39,MATCH('Summarized Source Data'!$A829,'Category Mapping'!$A$28:$A$39,0),1),INDEX('Category Mapping'!$E$28:$E$39,MATCH($A829,'Category Mapping'!$A$28:$A$39,0),1))</f>
        <v>291428571.42857146</v>
      </c>
      <c r="G829" s="27">
        <f>G249*IF($E829="weekday",INDEX('Category Mapping'!$F$28:$F$39,MATCH('Summarized Source Data'!$A829,'Category Mapping'!$A$28:$A$39,0),1),INDEX('Category Mapping'!$E$28:$E$39,MATCH($A829,'Category Mapping'!$A$28:$A$39,0),1))</f>
        <v>925178.57142857148</v>
      </c>
      <c r="H829" s="27">
        <f>H249*IF($E829="weekday",INDEX('Category Mapping'!$F$28:$F$39,MATCH('Summarized Source Data'!$A829,'Category Mapping'!$A$28:$A$39,0),1),INDEX('Category Mapping'!$E$28:$E$39,MATCH($A829,'Category Mapping'!$A$28:$A$39,0),1))</f>
        <v>0</v>
      </c>
      <c r="I829" s="27">
        <f>I249*IF($E829="weekday",INDEX('Category Mapping'!$F$28:$F$39,MATCH('Summarized Source Data'!$A829,'Category Mapping'!$A$28:$A$39,0),1),INDEX('Category Mapping'!$E$28:$E$39,MATCH($A829,'Category Mapping'!$A$28:$A$39,0),1))</f>
        <v>516428571.42857146</v>
      </c>
      <c r="J829" s="27">
        <f>J249*IF($E829="weekday",INDEX('Category Mapping'!$F$28:$F$39,MATCH('Summarized Source Data'!$A829,'Category Mapping'!$A$28:$A$39,0),1),INDEX('Category Mapping'!$E$28:$E$39,MATCH($A829,'Category Mapping'!$A$28:$A$39,0),1))</f>
        <v>1160503392.8571429</v>
      </c>
      <c r="K829" s="27">
        <f>K249*IF($E829="weekday",INDEX('Category Mapping'!$F$28:$F$39,MATCH('Summarized Source Data'!$A829,'Category Mapping'!$A$28:$A$39,0),1),INDEX('Category Mapping'!$E$28:$E$39,MATCH($A829,'Category Mapping'!$A$28:$A$39,0),1))</f>
        <v>1160503392.8571429</v>
      </c>
      <c r="L829" s="27">
        <f>L249*IF($E829="weekday",INDEX('Category Mapping'!$F$28:$F$39,MATCH('Summarized Source Data'!$A829,'Category Mapping'!$A$28:$A$39,0),1),INDEX('Category Mapping'!$E$28:$E$39,MATCH($A829,'Category Mapping'!$A$28:$A$39,0),1))</f>
        <v>490714285.71428573</v>
      </c>
      <c r="M829" s="27">
        <f>M249*IF($E829="weekday",INDEX('Category Mapping'!$F$28:$F$39,MATCH('Summarized Source Data'!$A829,'Category Mapping'!$A$28:$A$39,0),1),INDEX('Category Mapping'!$E$28:$E$39,MATCH($A829,'Category Mapping'!$A$28:$A$39,0),1))</f>
        <v>2520064.2857142859</v>
      </c>
      <c r="N829" s="27">
        <f>N249*IF($E829="weekday",INDEX('Category Mapping'!$F$28:$F$39,MATCH('Summarized Source Data'!$A829,'Category Mapping'!$A$28:$A$39,0),1),INDEX('Category Mapping'!$E$28:$E$39,MATCH($A829,'Category Mapping'!$A$28:$A$39,0),1))</f>
        <v>0</v>
      </c>
      <c r="O829" s="27">
        <f>O249*IF($E829="weekday",INDEX('Category Mapping'!$F$28:$F$39,MATCH('Summarized Source Data'!$A829,'Category Mapping'!$A$28:$A$39,0),1),INDEX('Category Mapping'!$E$28:$E$39,MATCH($A829,'Category Mapping'!$A$28:$A$39,0),1))</f>
        <v>4178194221.4285717</v>
      </c>
      <c r="P829" s="27">
        <f>P249*IF($E829="weekday",INDEX('Category Mapping'!$F$28:$F$39,MATCH('Summarized Source Data'!$A829,'Category Mapping'!$A$28:$A$39,0),1),INDEX('Category Mapping'!$E$28:$E$39,MATCH($A829,'Category Mapping'!$A$28:$A$39,0),1))</f>
        <v>4178194221.4285717</v>
      </c>
      <c r="Q829" s="27">
        <f>Q249*IF($E829="weekday",INDEX('Category Mapping'!$F$28:$F$39,MATCH('Summarized Source Data'!$A829,'Category Mapping'!$A$28:$A$39,0),1),INDEX('Category Mapping'!$E$28:$E$39,MATCH($A829,'Category Mapping'!$A$28:$A$39,0),1))</f>
        <v>4178194221.4285717</v>
      </c>
      <c r="R829" s="27">
        <f>R249*IF($E829="weekday",INDEX('Category Mapping'!$F$28:$F$39,MATCH('Summarized Source Data'!$A829,'Category Mapping'!$A$28:$A$39,0),1),INDEX('Category Mapping'!$E$28:$E$39,MATCH($A829,'Category Mapping'!$A$28:$A$39,0),1))</f>
        <v>106107750.00000001</v>
      </c>
      <c r="S829" s="27">
        <f>S249*IF($E829="weekday",INDEX('Category Mapping'!$F$28:$F$39,MATCH('Summarized Source Data'!$A829,'Category Mapping'!$A$28:$A$39,0),1),INDEX('Category Mapping'!$E$28:$E$39,MATCH($A829,'Category Mapping'!$A$28:$A$39,0),1))</f>
        <v>106107750.00000001</v>
      </c>
      <c r="T829" s="27">
        <f>T249*IF($E829="weekday",INDEX('Category Mapping'!$F$28:$F$39,MATCH('Summarized Source Data'!$A829,'Category Mapping'!$A$28:$A$39,0),1),INDEX('Category Mapping'!$E$28:$E$39,MATCH($A829,'Category Mapping'!$A$28:$A$39,0),1))</f>
        <v>106107750.00000001</v>
      </c>
      <c r="U829" s="27">
        <f>U249*IF($E829="weekday",INDEX('Category Mapping'!$F$28:$F$39,MATCH('Summarized Source Data'!$A829,'Category Mapping'!$A$28:$A$39,0),1),INDEX('Category Mapping'!$E$28:$E$39,MATCH($A829,'Category Mapping'!$A$28:$A$39,0),1))</f>
        <v>106107750.00000001</v>
      </c>
      <c r="V829" s="27">
        <f>V249*IF($E829="weekday",INDEX('Category Mapping'!$F$28:$F$39,MATCH('Summarized Source Data'!$A829,'Category Mapping'!$A$28:$A$39,0),1),INDEX('Category Mapping'!$E$28:$E$39,MATCH($A829,'Category Mapping'!$A$28:$A$39,0),1))</f>
        <v>106107750.00000001</v>
      </c>
      <c r="W829" s="27">
        <f>W249*IF($E829="weekday",INDEX('Category Mapping'!$F$28:$F$39,MATCH('Summarized Source Data'!$A829,'Category Mapping'!$A$28:$A$39,0),1),INDEX('Category Mapping'!$E$28:$E$39,MATCH($A829,'Category Mapping'!$A$28:$A$39,0),1))</f>
        <v>106107750.00000001</v>
      </c>
      <c r="X829" s="27">
        <f>X249*IF($E829="weekday",INDEX('Category Mapping'!$F$28:$F$39,MATCH('Summarized Source Data'!$A829,'Category Mapping'!$A$28:$A$39,0),1),INDEX('Category Mapping'!$E$28:$E$39,MATCH($A829,'Category Mapping'!$A$28:$A$39,0),1))</f>
        <v>14292857142.857143</v>
      </c>
      <c r="Y829" s="27">
        <f>Y249*IF($E829="weekday",INDEX('Category Mapping'!$F$28:$F$39,MATCH('Summarized Source Data'!$A829,'Category Mapping'!$A$28:$A$39,0),1),INDEX('Category Mapping'!$E$28:$E$39,MATCH($A829,'Category Mapping'!$A$28:$A$39,0),1))</f>
        <v>14292857142.857143</v>
      </c>
      <c r="Z829" s="27">
        <f>Z249*IF($E829="weekday",INDEX('Category Mapping'!$F$28:$F$39,MATCH('Summarized Source Data'!$A829,'Category Mapping'!$A$28:$A$39,0),1),INDEX('Category Mapping'!$E$28:$E$39,MATCH($A829,'Category Mapping'!$A$28:$A$39,0),1))</f>
        <v>14292857142.857143</v>
      </c>
    </row>
    <row r="830" spans="1:26" x14ac:dyDescent="0.3">
      <c r="A830">
        <f t="shared" ref="A830:E830" si="295">A250</f>
        <v>11</v>
      </c>
      <c r="B830" t="str">
        <f t="shared" si="295"/>
        <v>Winter</v>
      </c>
      <c r="C830" t="str">
        <f t="shared" si="295"/>
        <v>h7</v>
      </c>
      <c r="D830" t="str">
        <f t="shared" si="295"/>
        <v>Hour6</v>
      </c>
      <c r="E830" t="str">
        <f t="shared" si="295"/>
        <v>Weekday</v>
      </c>
      <c r="F830" s="27">
        <f>F250*IF($E830="weekday",INDEX('Category Mapping'!$F$28:$F$39,MATCH('Summarized Source Data'!$A830,'Category Mapping'!$A$28:$A$39,0),1),INDEX('Category Mapping'!$E$28:$E$39,MATCH($A830,'Category Mapping'!$A$28:$A$39,0),1))</f>
        <v>310714285.71428573</v>
      </c>
      <c r="G830" s="27">
        <f>G250*IF($E830="weekday",INDEX('Category Mapping'!$F$28:$F$39,MATCH('Summarized Source Data'!$A830,'Category Mapping'!$A$28:$A$39,0),1),INDEX('Category Mapping'!$E$28:$E$39,MATCH($A830,'Category Mapping'!$A$28:$A$39,0),1))</f>
        <v>755807.14285714296</v>
      </c>
      <c r="H830" s="27">
        <f>H250*IF($E830="weekday",INDEX('Category Mapping'!$F$28:$F$39,MATCH('Summarized Source Data'!$A830,'Category Mapping'!$A$28:$A$39,0),1),INDEX('Category Mapping'!$E$28:$E$39,MATCH($A830,'Category Mapping'!$A$28:$A$39,0),1))</f>
        <v>0</v>
      </c>
      <c r="I830" s="27">
        <f>I250*IF($E830="weekday",INDEX('Category Mapping'!$F$28:$F$39,MATCH('Summarized Source Data'!$A830,'Category Mapping'!$A$28:$A$39,0),1),INDEX('Category Mapping'!$E$28:$E$39,MATCH($A830,'Category Mapping'!$A$28:$A$39,0),1))</f>
        <v>752142857.14285719</v>
      </c>
      <c r="J830" s="27">
        <f>J250*IF($E830="weekday",INDEX('Category Mapping'!$F$28:$F$39,MATCH('Summarized Source Data'!$A830,'Category Mapping'!$A$28:$A$39,0),1),INDEX('Category Mapping'!$E$28:$E$39,MATCH($A830,'Category Mapping'!$A$28:$A$39,0),1))</f>
        <v>1850672764.2857144</v>
      </c>
      <c r="K830" s="27">
        <f>K250*IF($E830="weekday",INDEX('Category Mapping'!$F$28:$F$39,MATCH('Summarized Source Data'!$A830,'Category Mapping'!$A$28:$A$39,0),1),INDEX('Category Mapping'!$E$28:$E$39,MATCH($A830,'Category Mapping'!$A$28:$A$39,0),1))</f>
        <v>1850672764.2857144</v>
      </c>
      <c r="L830" s="27">
        <f>L250*IF($E830="weekday",INDEX('Category Mapping'!$F$28:$F$39,MATCH('Summarized Source Data'!$A830,'Category Mapping'!$A$28:$A$39,0),1),INDEX('Category Mapping'!$E$28:$E$39,MATCH($A830,'Category Mapping'!$A$28:$A$39,0),1))</f>
        <v>510000000.00000006</v>
      </c>
      <c r="M830" s="27">
        <f>M250*IF($E830="weekday",INDEX('Category Mapping'!$F$28:$F$39,MATCH('Summarized Source Data'!$A830,'Category Mapping'!$A$28:$A$39,0),1),INDEX('Category Mapping'!$E$28:$E$39,MATCH($A830,'Category Mapping'!$A$28:$A$39,0),1))</f>
        <v>2793278.5714285718</v>
      </c>
      <c r="N830" s="27">
        <f>N250*IF($E830="weekday",INDEX('Category Mapping'!$F$28:$F$39,MATCH('Summarized Source Data'!$A830,'Category Mapping'!$A$28:$A$39,0),1),INDEX('Category Mapping'!$E$28:$E$39,MATCH($A830,'Category Mapping'!$A$28:$A$39,0),1))</f>
        <v>0</v>
      </c>
      <c r="O830" s="27">
        <f>O250*IF($E830="weekday",INDEX('Category Mapping'!$F$28:$F$39,MATCH('Summarized Source Data'!$A830,'Category Mapping'!$A$28:$A$39,0),1),INDEX('Category Mapping'!$E$28:$E$39,MATCH($A830,'Category Mapping'!$A$28:$A$39,0),1))</f>
        <v>6280063864.2857151</v>
      </c>
      <c r="P830" s="27">
        <f>P250*IF($E830="weekday",INDEX('Category Mapping'!$F$28:$F$39,MATCH('Summarized Source Data'!$A830,'Category Mapping'!$A$28:$A$39,0),1),INDEX('Category Mapping'!$E$28:$E$39,MATCH($A830,'Category Mapping'!$A$28:$A$39,0),1))</f>
        <v>6280063864.2857151</v>
      </c>
      <c r="Q830" s="27">
        <f>Q250*IF($E830="weekday",INDEX('Category Mapping'!$F$28:$F$39,MATCH('Summarized Source Data'!$A830,'Category Mapping'!$A$28:$A$39,0),1),INDEX('Category Mapping'!$E$28:$E$39,MATCH($A830,'Category Mapping'!$A$28:$A$39,0),1))</f>
        <v>6280063864.2857151</v>
      </c>
      <c r="R830" s="27">
        <f>R250*IF($E830="weekday",INDEX('Category Mapping'!$F$28:$F$39,MATCH('Summarized Source Data'!$A830,'Category Mapping'!$A$28:$A$39,0),1),INDEX('Category Mapping'!$E$28:$E$39,MATCH($A830,'Category Mapping'!$A$28:$A$39,0),1))</f>
        <v>159147750.00000003</v>
      </c>
      <c r="S830" s="27">
        <f>S250*IF($E830="weekday",INDEX('Category Mapping'!$F$28:$F$39,MATCH('Summarized Source Data'!$A830,'Category Mapping'!$A$28:$A$39,0),1),INDEX('Category Mapping'!$E$28:$E$39,MATCH($A830,'Category Mapping'!$A$28:$A$39,0),1))</f>
        <v>159147750.00000003</v>
      </c>
      <c r="T830" s="27">
        <f>T250*IF($E830="weekday",INDEX('Category Mapping'!$F$28:$F$39,MATCH('Summarized Source Data'!$A830,'Category Mapping'!$A$28:$A$39,0),1),INDEX('Category Mapping'!$E$28:$E$39,MATCH($A830,'Category Mapping'!$A$28:$A$39,0),1))</f>
        <v>159147750.00000003</v>
      </c>
      <c r="U830" s="27">
        <f>U250*IF($E830="weekday",INDEX('Category Mapping'!$F$28:$F$39,MATCH('Summarized Source Data'!$A830,'Category Mapping'!$A$28:$A$39,0),1),INDEX('Category Mapping'!$E$28:$E$39,MATCH($A830,'Category Mapping'!$A$28:$A$39,0),1))</f>
        <v>159147750.00000003</v>
      </c>
      <c r="V830" s="27">
        <f>V250*IF($E830="weekday",INDEX('Category Mapping'!$F$28:$F$39,MATCH('Summarized Source Data'!$A830,'Category Mapping'!$A$28:$A$39,0),1),INDEX('Category Mapping'!$E$28:$E$39,MATCH($A830,'Category Mapping'!$A$28:$A$39,0),1))</f>
        <v>159147750.00000003</v>
      </c>
      <c r="W830" s="27">
        <f>W250*IF($E830="weekday",INDEX('Category Mapping'!$F$28:$F$39,MATCH('Summarized Source Data'!$A830,'Category Mapping'!$A$28:$A$39,0),1),INDEX('Category Mapping'!$E$28:$E$39,MATCH($A830,'Category Mapping'!$A$28:$A$39,0),1))</f>
        <v>159147750.00000003</v>
      </c>
      <c r="X830" s="27">
        <f>X250*IF($E830="weekday",INDEX('Category Mapping'!$F$28:$F$39,MATCH('Summarized Source Data'!$A830,'Category Mapping'!$A$28:$A$39,0),1),INDEX('Category Mapping'!$E$28:$E$39,MATCH($A830,'Category Mapping'!$A$28:$A$39,0),1))</f>
        <v>14464285714.285715</v>
      </c>
      <c r="Y830" s="27">
        <f>Y250*IF($E830="weekday",INDEX('Category Mapping'!$F$28:$F$39,MATCH('Summarized Source Data'!$A830,'Category Mapping'!$A$28:$A$39,0),1),INDEX('Category Mapping'!$E$28:$E$39,MATCH($A830,'Category Mapping'!$A$28:$A$39,0),1))</f>
        <v>14464285714.285715</v>
      </c>
      <c r="Z830" s="27">
        <f>Z250*IF($E830="weekday",INDEX('Category Mapping'!$F$28:$F$39,MATCH('Summarized Source Data'!$A830,'Category Mapping'!$A$28:$A$39,0),1),INDEX('Category Mapping'!$E$28:$E$39,MATCH($A830,'Category Mapping'!$A$28:$A$39,0),1))</f>
        <v>14464285714.285715</v>
      </c>
    </row>
    <row r="831" spans="1:26" x14ac:dyDescent="0.3">
      <c r="A831">
        <f t="shared" ref="A831:E831" si="296">A251</f>
        <v>11</v>
      </c>
      <c r="B831" t="str">
        <f t="shared" si="296"/>
        <v>Winter</v>
      </c>
      <c r="C831" t="str">
        <f t="shared" si="296"/>
        <v>h8</v>
      </c>
      <c r="D831" t="str">
        <f t="shared" si="296"/>
        <v>Hour7</v>
      </c>
      <c r="E831" t="str">
        <f t="shared" si="296"/>
        <v>Weekday</v>
      </c>
      <c r="F831" s="27">
        <f>F251*IF($E831="weekday",INDEX('Category Mapping'!$F$28:$F$39,MATCH('Summarized Source Data'!$A831,'Category Mapping'!$A$28:$A$39,0),1),INDEX('Category Mapping'!$E$28:$E$39,MATCH($A831,'Category Mapping'!$A$28:$A$39,0),1))</f>
        <v>300000000</v>
      </c>
      <c r="G831" s="27">
        <f>G251*IF($E831="weekday",INDEX('Category Mapping'!$F$28:$F$39,MATCH('Summarized Source Data'!$A831,'Category Mapping'!$A$28:$A$39,0),1),INDEX('Category Mapping'!$E$28:$E$39,MATCH($A831,'Category Mapping'!$A$28:$A$39,0),1))</f>
        <v>567192.85714285716</v>
      </c>
      <c r="H831" s="27">
        <f>H251*IF($E831="weekday",INDEX('Category Mapping'!$F$28:$F$39,MATCH('Summarized Source Data'!$A831,'Category Mapping'!$A$28:$A$39,0),1),INDEX('Category Mapping'!$E$28:$E$39,MATCH($A831,'Category Mapping'!$A$28:$A$39,0),1))</f>
        <v>0</v>
      </c>
      <c r="I831" s="27">
        <f>I251*IF($E831="weekday",INDEX('Category Mapping'!$F$28:$F$39,MATCH('Summarized Source Data'!$A831,'Category Mapping'!$A$28:$A$39,0),1),INDEX('Category Mapping'!$E$28:$E$39,MATCH($A831,'Category Mapping'!$A$28:$A$39,0),1))</f>
        <v>471428571.42857146</v>
      </c>
      <c r="J831" s="27">
        <f>J251*IF($E831="weekday",INDEX('Category Mapping'!$F$28:$F$39,MATCH('Summarized Source Data'!$A831,'Category Mapping'!$A$28:$A$39,0),1),INDEX('Category Mapping'!$E$28:$E$39,MATCH($A831,'Category Mapping'!$A$28:$A$39,0),1))</f>
        <v>2335147092.8571429</v>
      </c>
      <c r="K831" s="27">
        <f>K251*IF($E831="weekday",INDEX('Category Mapping'!$F$28:$F$39,MATCH('Summarized Source Data'!$A831,'Category Mapping'!$A$28:$A$39,0),1),INDEX('Category Mapping'!$E$28:$E$39,MATCH($A831,'Category Mapping'!$A$28:$A$39,0),1))</f>
        <v>2335147092.8571429</v>
      </c>
      <c r="L831" s="27">
        <f>L251*IF($E831="weekday",INDEX('Category Mapping'!$F$28:$F$39,MATCH('Summarized Source Data'!$A831,'Category Mapping'!$A$28:$A$39,0),1),INDEX('Category Mapping'!$E$28:$E$39,MATCH($A831,'Category Mapping'!$A$28:$A$39,0),1))</f>
        <v>1624285714.2857144</v>
      </c>
      <c r="M831" s="27">
        <f>M251*IF($E831="weekday",INDEX('Category Mapping'!$F$28:$F$39,MATCH('Summarized Source Data'!$A831,'Category Mapping'!$A$28:$A$39,0),1),INDEX('Category Mapping'!$E$28:$E$39,MATCH($A831,'Category Mapping'!$A$28:$A$39,0),1))</f>
        <v>3332250.0000000005</v>
      </c>
      <c r="N831" s="27">
        <f>N251*IF($E831="weekday",INDEX('Category Mapping'!$F$28:$F$39,MATCH('Summarized Source Data'!$A831,'Category Mapping'!$A$28:$A$39,0),1),INDEX('Category Mapping'!$E$28:$E$39,MATCH($A831,'Category Mapping'!$A$28:$A$39,0),1))</f>
        <v>0</v>
      </c>
      <c r="O831" s="27">
        <f>O251*IF($E831="weekday",INDEX('Category Mapping'!$F$28:$F$39,MATCH('Summarized Source Data'!$A831,'Category Mapping'!$A$28:$A$39,0),1),INDEX('Category Mapping'!$E$28:$E$39,MATCH($A831,'Category Mapping'!$A$28:$A$39,0),1))</f>
        <v>8636667750</v>
      </c>
      <c r="P831" s="27">
        <f>P251*IF($E831="weekday",INDEX('Category Mapping'!$F$28:$F$39,MATCH('Summarized Source Data'!$A831,'Category Mapping'!$A$28:$A$39,0),1),INDEX('Category Mapping'!$E$28:$E$39,MATCH($A831,'Category Mapping'!$A$28:$A$39,0),1))</f>
        <v>8636667750</v>
      </c>
      <c r="Q831" s="27">
        <f>Q251*IF($E831="weekday",INDEX('Category Mapping'!$F$28:$F$39,MATCH('Summarized Source Data'!$A831,'Category Mapping'!$A$28:$A$39,0),1),INDEX('Category Mapping'!$E$28:$E$39,MATCH($A831,'Category Mapping'!$A$28:$A$39,0),1))</f>
        <v>8636667750</v>
      </c>
      <c r="R831" s="27">
        <f>R251*IF($E831="weekday",INDEX('Category Mapping'!$F$28:$F$39,MATCH('Summarized Source Data'!$A831,'Category Mapping'!$A$28:$A$39,0),1),INDEX('Category Mapping'!$E$28:$E$39,MATCH($A831,'Category Mapping'!$A$28:$A$39,0),1))</f>
        <v>334285714.28571433</v>
      </c>
      <c r="S831" s="27">
        <f>S251*IF($E831="weekday",INDEX('Category Mapping'!$F$28:$F$39,MATCH('Summarized Source Data'!$A831,'Category Mapping'!$A$28:$A$39,0),1),INDEX('Category Mapping'!$E$28:$E$39,MATCH($A831,'Category Mapping'!$A$28:$A$39,0),1))</f>
        <v>334285714.28571433</v>
      </c>
      <c r="T831" s="27">
        <f>T251*IF($E831="weekday",INDEX('Category Mapping'!$F$28:$F$39,MATCH('Summarized Source Data'!$A831,'Category Mapping'!$A$28:$A$39,0),1),INDEX('Category Mapping'!$E$28:$E$39,MATCH($A831,'Category Mapping'!$A$28:$A$39,0),1))</f>
        <v>334285714.28571433</v>
      </c>
      <c r="U831" s="27">
        <f>U251*IF($E831="weekday",INDEX('Category Mapping'!$F$28:$F$39,MATCH('Summarized Source Data'!$A831,'Category Mapping'!$A$28:$A$39,0),1),INDEX('Category Mapping'!$E$28:$E$39,MATCH($A831,'Category Mapping'!$A$28:$A$39,0),1))</f>
        <v>334285714.28571433</v>
      </c>
      <c r="V831" s="27">
        <f>V251*IF($E831="weekday",INDEX('Category Mapping'!$F$28:$F$39,MATCH('Summarized Source Data'!$A831,'Category Mapping'!$A$28:$A$39,0),1),INDEX('Category Mapping'!$E$28:$E$39,MATCH($A831,'Category Mapping'!$A$28:$A$39,0),1))</f>
        <v>334285714.28571433</v>
      </c>
      <c r="W831" s="27">
        <f>W251*IF($E831="weekday",INDEX('Category Mapping'!$F$28:$F$39,MATCH('Summarized Source Data'!$A831,'Category Mapping'!$A$28:$A$39,0),1),INDEX('Category Mapping'!$E$28:$E$39,MATCH($A831,'Category Mapping'!$A$28:$A$39,0),1))</f>
        <v>334285714.28571433</v>
      </c>
      <c r="X831" s="27">
        <f>X251*IF($E831="weekday",INDEX('Category Mapping'!$F$28:$F$39,MATCH('Summarized Source Data'!$A831,'Category Mapping'!$A$28:$A$39,0),1),INDEX('Category Mapping'!$E$28:$E$39,MATCH($A831,'Category Mapping'!$A$28:$A$39,0),1))</f>
        <v>14592857142.857143</v>
      </c>
      <c r="Y831" s="27">
        <f>Y251*IF($E831="weekday",INDEX('Category Mapping'!$F$28:$F$39,MATCH('Summarized Source Data'!$A831,'Category Mapping'!$A$28:$A$39,0),1),INDEX('Category Mapping'!$E$28:$E$39,MATCH($A831,'Category Mapping'!$A$28:$A$39,0),1))</f>
        <v>14592857142.857143</v>
      </c>
      <c r="Z831" s="27">
        <f>Z251*IF($E831="weekday",INDEX('Category Mapping'!$F$28:$F$39,MATCH('Summarized Source Data'!$A831,'Category Mapping'!$A$28:$A$39,0),1),INDEX('Category Mapping'!$E$28:$E$39,MATCH($A831,'Category Mapping'!$A$28:$A$39,0),1))</f>
        <v>14592857142.857143</v>
      </c>
    </row>
    <row r="832" spans="1:26" x14ac:dyDescent="0.3">
      <c r="A832">
        <f t="shared" ref="A832:E832" si="297">A252</f>
        <v>11</v>
      </c>
      <c r="B832" t="str">
        <f t="shared" si="297"/>
        <v>Winter</v>
      </c>
      <c r="C832" t="str">
        <f t="shared" si="297"/>
        <v>h9</v>
      </c>
      <c r="D832" t="str">
        <f t="shared" si="297"/>
        <v>Hour8</v>
      </c>
      <c r="E832" t="str">
        <f t="shared" si="297"/>
        <v>Weekday</v>
      </c>
      <c r="F832" s="27">
        <f>F252*IF($E832="weekday",INDEX('Category Mapping'!$F$28:$F$39,MATCH('Summarized Source Data'!$A832,'Category Mapping'!$A$28:$A$39,0),1),INDEX('Category Mapping'!$E$28:$E$39,MATCH($A832,'Category Mapping'!$A$28:$A$39,0),1))</f>
        <v>282857142.85714287</v>
      </c>
      <c r="G832" s="27">
        <f>G252*IF($E832="weekday",INDEX('Category Mapping'!$F$28:$F$39,MATCH('Summarized Source Data'!$A832,'Category Mapping'!$A$28:$A$39,0),1),INDEX('Category Mapping'!$E$28:$E$39,MATCH($A832,'Category Mapping'!$A$28:$A$39,0),1))</f>
        <v>458378.57142857148</v>
      </c>
      <c r="H832" s="27">
        <f>H252*IF($E832="weekday",INDEX('Category Mapping'!$F$28:$F$39,MATCH('Summarized Source Data'!$A832,'Category Mapping'!$A$28:$A$39,0),1),INDEX('Category Mapping'!$E$28:$E$39,MATCH($A832,'Category Mapping'!$A$28:$A$39,0),1))</f>
        <v>0</v>
      </c>
      <c r="I832" s="27">
        <f>I252*IF($E832="weekday",INDEX('Category Mapping'!$F$28:$F$39,MATCH('Summarized Source Data'!$A832,'Category Mapping'!$A$28:$A$39,0),1),INDEX('Category Mapping'!$E$28:$E$39,MATCH($A832,'Category Mapping'!$A$28:$A$39,0),1))</f>
        <v>229285714.2857143</v>
      </c>
      <c r="J832" s="27">
        <f>J252*IF($E832="weekday",INDEX('Category Mapping'!$F$28:$F$39,MATCH('Summarized Source Data'!$A832,'Category Mapping'!$A$28:$A$39,0),1),INDEX('Category Mapping'!$E$28:$E$39,MATCH($A832,'Category Mapping'!$A$28:$A$39,0),1))</f>
        <v>2380255907.1428576</v>
      </c>
      <c r="K832" s="27">
        <f>K252*IF($E832="weekday",INDEX('Category Mapping'!$F$28:$F$39,MATCH('Summarized Source Data'!$A832,'Category Mapping'!$A$28:$A$39,0),1),INDEX('Category Mapping'!$E$28:$E$39,MATCH($A832,'Category Mapping'!$A$28:$A$39,0),1))</f>
        <v>2380255907.1428576</v>
      </c>
      <c r="L832" s="27">
        <f>L252*IF($E832="weekday",INDEX('Category Mapping'!$F$28:$F$39,MATCH('Summarized Source Data'!$A832,'Category Mapping'!$A$28:$A$39,0),1),INDEX('Category Mapping'!$E$28:$E$39,MATCH($A832,'Category Mapping'!$A$28:$A$39,0),1))</f>
        <v>1440000000.0000002</v>
      </c>
      <c r="M832" s="27">
        <f>M252*IF($E832="weekday",INDEX('Category Mapping'!$F$28:$F$39,MATCH('Summarized Source Data'!$A832,'Category Mapping'!$A$28:$A$39,0),1),INDEX('Category Mapping'!$E$28:$E$39,MATCH($A832,'Category Mapping'!$A$28:$A$39,0),1))</f>
        <v>4124550.0000000005</v>
      </c>
      <c r="N832" s="27">
        <f>N252*IF($E832="weekday",INDEX('Category Mapping'!$F$28:$F$39,MATCH('Summarized Source Data'!$A832,'Category Mapping'!$A$28:$A$39,0),1),INDEX('Category Mapping'!$E$28:$E$39,MATCH($A832,'Category Mapping'!$A$28:$A$39,0),1))</f>
        <v>0</v>
      </c>
      <c r="O832" s="27">
        <f>O252*IF($E832="weekday",INDEX('Category Mapping'!$F$28:$F$39,MATCH('Summarized Source Data'!$A832,'Category Mapping'!$A$28:$A$39,0),1),INDEX('Category Mapping'!$E$28:$E$39,MATCH($A832,'Category Mapping'!$A$28:$A$39,0),1))</f>
        <v>10705875450.000002</v>
      </c>
      <c r="P832" s="27">
        <f>P252*IF($E832="weekday",INDEX('Category Mapping'!$F$28:$F$39,MATCH('Summarized Source Data'!$A832,'Category Mapping'!$A$28:$A$39,0),1),INDEX('Category Mapping'!$E$28:$E$39,MATCH($A832,'Category Mapping'!$A$28:$A$39,0),1))</f>
        <v>10705875450.000002</v>
      </c>
      <c r="Q832" s="27">
        <f>Q252*IF($E832="weekday",INDEX('Category Mapping'!$F$28:$F$39,MATCH('Summarized Source Data'!$A832,'Category Mapping'!$A$28:$A$39,0),1),INDEX('Category Mapping'!$E$28:$E$39,MATCH($A832,'Category Mapping'!$A$28:$A$39,0),1))</f>
        <v>10705875450.000002</v>
      </c>
      <c r="R832" s="27">
        <f>R252*IF($E832="weekday",INDEX('Category Mapping'!$F$28:$F$39,MATCH('Summarized Source Data'!$A832,'Category Mapping'!$A$28:$A$39,0),1),INDEX('Category Mapping'!$E$28:$E$39,MATCH($A832,'Category Mapping'!$A$28:$A$39,0),1))</f>
        <v>364285714.28571433</v>
      </c>
      <c r="S832" s="27">
        <f>S252*IF($E832="weekday",INDEX('Category Mapping'!$F$28:$F$39,MATCH('Summarized Source Data'!$A832,'Category Mapping'!$A$28:$A$39,0),1),INDEX('Category Mapping'!$E$28:$E$39,MATCH($A832,'Category Mapping'!$A$28:$A$39,0),1))</f>
        <v>364285714.28571433</v>
      </c>
      <c r="T832" s="27">
        <f>T252*IF($E832="weekday",INDEX('Category Mapping'!$F$28:$F$39,MATCH('Summarized Source Data'!$A832,'Category Mapping'!$A$28:$A$39,0),1),INDEX('Category Mapping'!$E$28:$E$39,MATCH($A832,'Category Mapping'!$A$28:$A$39,0),1))</f>
        <v>364285714.28571433</v>
      </c>
      <c r="U832" s="27">
        <f>U252*IF($E832="weekday",INDEX('Category Mapping'!$F$28:$F$39,MATCH('Summarized Source Data'!$A832,'Category Mapping'!$A$28:$A$39,0),1),INDEX('Category Mapping'!$E$28:$E$39,MATCH($A832,'Category Mapping'!$A$28:$A$39,0),1))</f>
        <v>364285714.28571433</v>
      </c>
      <c r="V832" s="27">
        <f>V252*IF($E832="weekday",INDEX('Category Mapping'!$F$28:$F$39,MATCH('Summarized Source Data'!$A832,'Category Mapping'!$A$28:$A$39,0),1),INDEX('Category Mapping'!$E$28:$E$39,MATCH($A832,'Category Mapping'!$A$28:$A$39,0),1))</f>
        <v>364285714.28571433</v>
      </c>
      <c r="W832" s="27">
        <f>W252*IF($E832="weekday",INDEX('Category Mapping'!$F$28:$F$39,MATCH('Summarized Source Data'!$A832,'Category Mapping'!$A$28:$A$39,0),1),INDEX('Category Mapping'!$E$28:$E$39,MATCH($A832,'Category Mapping'!$A$28:$A$39,0),1))</f>
        <v>364285714.28571433</v>
      </c>
      <c r="X832" s="27">
        <f>X252*IF($E832="weekday",INDEX('Category Mapping'!$F$28:$F$39,MATCH('Summarized Source Data'!$A832,'Category Mapping'!$A$28:$A$39,0),1),INDEX('Category Mapping'!$E$28:$E$39,MATCH($A832,'Category Mapping'!$A$28:$A$39,0),1))</f>
        <v>14635714285.714287</v>
      </c>
      <c r="Y832" s="27">
        <f>Y252*IF($E832="weekday",INDEX('Category Mapping'!$F$28:$F$39,MATCH('Summarized Source Data'!$A832,'Category Mapping'!$A$28:$A$39,0),1),INDEX('Category Mapping'!$E$28:$E$39,MATCH($A832,'Category Mapping'!$A$28:$A$39,0),1))</f>
        <v>14635714285.714287</v>
      </c>
      <c r="Z832" s="27">
        <f>Z252*IF($E832="weekday",INDEX('Category Mapping'!$F$28:$F$39,MATCH('Summarized Source Data'!$A832,'Category Mapping'!$A$28:$A$39,0),1),INDEX('Category Mapping'!$E$28:$E$39,MATCH($A832,'Category Mapping'!$A$28:$A$39,0),1))</f>
        <v>14635714285.714287</v>
      </c>
    </row>
    <row r="833" spans="1:26" x14ac:dyDescent="0.3">
      <c r="A833">
        <f t="shared" ref="A833:E833" si="298">A253</f>
        <v>11</v>
      </c>
      <c r="B833" t="str">
        <f t="shared" si="298"/>
        <v>Winter</v>
      </c>
      <c r="C833" t="str">
        <f t="shared" si="298"/>
        <v>h10</v>
      </c>
      <c r="D833" t="str">
        <f t="shared" si="298"/>
        <v>Hour9</v>
      </c>
      <c r="E833" t="str">
        <f t="shared" si="298"/>
        <v>Weekday</v>
      </c>
      <c r="F833" s="27">
        <f>F253*IF($E833="weekday",INDEX('Category Mapping'!$F$28:$F$39,MATCH('Summarized Source Data'!$A833,'Category Mapping'!$A$28:$A$39,0),1),INDEX('Category Mapping'!$E$28:$E$39,MATCH($A833,'Category Mapping'!$A$28:$A$39,0),1))</f>
        <v>185452264.2857143</v>
      </c>
      <c r="G833" s="27">
        <f>G253*IF($E833="weekday",INDEX('Category Mapping'!$F$28:$F$39,MATCH('Summarized Source Data'!$A833,'Category Mapping'!$A$28:$A$39,0),1),INDEX('Category Mapping'!$E$28:$E$39,MATCH($A833,'Category Mapping'!$A$28:$A$39,0),1))</f>
        <v>396278.57142857148</v>
      </c>
      <c r="H833" s="27">
        <f>H253*IF($E833="weekday",INDEX('Category Mapping'!$F$28:$F$39,MATCH('Summarized Source Data'!$A833,'Category Mapping'!$A$28:$A$39,0),1),INDEX('Category Mapping'!$E$28:$E$39,MATCH($A833,'Category Mapping'!$A$28:$A$39,0),1))</f>
        <v>0</v>
      </c>
      <c r="I833" s="27">
        <f>I253*IF($E833="weekday",INDEX('Category Mapping'!$F$28:$F$39,MATCH('Summarized Source Data'!$A833,'Category Mapping'!$A$28:$A$39,0),1),INDEX('Category Mapping'!$E$28:$E$39,MATCH($A833,'Category Mapping'!$A$28:$A$39,0),1))</f>
        <v>220714285.71428573</v>
      </c>
      <c r="J833" s="27">
        <f>J253*IF($E833="weekday",INDEX('Category Mapping'!$F$28:$F$39,MATCH('Summarized Source Data'!$A833,'Category Mapping'!$A$28:$A$39,0),1),INDEX('Category Mapping'!$E$28:$E$39,MATCH($A833,'Category Mapping'!$A$28:$A$39,0),1))</f>
        <v>2379151457.1428576</v>
      </c>
      <c r="K833" s="27">
        <f>K253*IF($E833="weekday",INDEX('Category Mapping'!$F$28:$F$39,MATCH('Summarized Source Data'!$A833,'Category Mapping'!$A$28:$A$39,0),1),INDEX('Category Mapping'!$E$28:$E$39,MATCH($A833,'Category Mapping'!$A$28:$A$39,0),1))</f>
        <v>2379151457.1428576</v>
      </c>
      <c r="L833" s="27">
        <f>L253*IF($E833="weekday",INDEX('Category Mapping'!$F$28:$F$39,MATCH('Summarized Source Data'!$A833,'Category Mapping'!$A$28:$A$39,0),1),INDEX('Category Mapping'!$E$28:$E$39,MATCH($A833,'Category Mapping'!$A$28:$A$39,0),1))</f>
        <v>1000714285.7142859</v>
      </c>
      <c r="M833" s="27">
        <f>M253*IF($E833="weekday",INDEX('Category Mapping'!$F$28:$F$39,MATCH('Summarized Source Data'!$A833,'Category Mapping'!$A$28:$A$39,0),1),INDEX('Category Mapping'!$E$28:$E$39,MATCH($A833,'Category Mapping'!$A$28:$A$39,0),1))</f>
        <v>4630478.5714285718</v>
      </c>
      <c r="N833" s="27">
        <f>N253*IF($E833="weekday",INDEX('Category Mapping'!$F$28:$F$39,MATCH('Summarized Source Data'!$A833,'Category Mapping'!$A$28:$A$39,0),1),INDEX('Category Mapping'!$E$28:$E$39,MATCH($A833,'Category Mapping'!$A$28:$A$39,0),1))</f>
        <v>0</v>
      </c>
      <c r="O833" s="27">
        <f>O253*IF($E833="weekday",INDEX('Category Mapping'!$F$28:$F$39,MATCH('Summarized Source Data'!$A833,'Category Mapping'!$A$28:$A$39,0),1),INDEX('Category Mapping'!$E$28:$E$39,MATCH($A833,'Category Mapping'!$A$28:$A$39,0),1))</f>
        <v>11251798092.857143</v>
      </c>
      <c r="P833" s="27">
        <f>P253*IF($E833="weekday",INDEX('Category Mapping'!$F$28:$F$39,MATCH('Summarized Source Data'!$A833,'Category Mapping'!$A$28:$A$39,0),1),INDEX('Category Mapping'!$E$28:$E$39,MATCH($A833,'Category Mapping'!$A$28:$A$39,0),1))</f>
        <v>11251798092.857143</v>
      </c>
      <c r="Q833" s="27">
        <f>Q253*IF($E833="weekday",INDEX('Category Mapping'!$F$28:$F$39,MATCH('Summarized Source Data'!$A833,'Category Mapping'!$A$28:$A$39,0),1),INDEX('Category Mapping'!$E$28:$E$39,MATCH($A833,'Category Mapping'!$A$28:$A$39,0),1))</f>
        <v>11251798092.857143</v>
      </c>
      <c r="R833" s="27">
        <f>R253*IF($E833="weekday",INDEX('Category Mapping'!$F$28:$F$39,MATCH('Summarized Source Data'!$A833,'Category Mapping'!$A$28:$A$39,0),1),INDEX('Category Mapping'!$E$28:$E$39,MATCH($A833,'Category Mapping'!$A$28:$A$39,0),1))</f>
        <v>323571428.5714286</v>
      </c>
      <c r="S833" s="27">
        <f>S253*IF($E833="weekday",INDEX('Category Mapping'!$F$28:$F$39,MATCH('Summarized Source Data'!$A833,'Category Mapping'!$A$28:$A$39,0),1),INDEX('Category Mapping'!$E$28:$E$39,MATCH($A833,'Category Mapping'!$A$28:$A$39,0),1))</f>
        <v>323571428.5714286</v>
      </c>
      <c r="T833" s="27">
        <f>T253*IF($E833="weekday",INDEX('Category Mapping'!$F$28:$F$39,MATCH('Summarized Source Data'!$A833,'Category Mapping'!$A$28:$A$39,0),1),INDEX('Category Mapping'!$E$28:$E$39,MATCH($A833,'Category Mapping'!$A$28:$A$39,0),1))</f>
        <v>323571428.5714286</v>
      </c>
      <c r="U833" s="27">
        <f>U253*IF($E833="weekday",INDEX('Category Mapping'!$F$28:$F$39,MATCH('Summarized Source Data'!$A833,'Category Mapping'!$A$28:$A$39,0),1),INDEX('Category Mapping'!$E$28:$E$39,MATCH($A833,'Category Mapping'!$A$28:$A$39,0),1))</f>
        <v>323571428.5714286</v>
      </c>
      <c r="V833" s="27">
        <f>V253*IF($E833="weekday",INDEX('Category Mapping'!$F$28:$F$39,MATCH('Summarized Source Data'!$A833,'Category Mapping'!$A$28:$A$39,0),1),INDEX('Category Mapping'!$E$28:$E$39,MATCH($A833,'Category Mapping'!$A$28:$A$39,0),1))</f>
        <v>323571428.5714286</v>
      </c>
      <c r="W833" s="27">
        <f>W253*IF($E833="weekday",INDEX('Category Mapping'!$F$28:$F$39,MATCH('Summarized Source Data'!$A833,'Category Mapping'!$A$28:$A$39,0),1),INDEX('Category Mapping'!$E$28:$E$39,MATCH($A833,'Category Mapping'!$A$28:$A$39,0),1))</f>
        <v>323571428.5714286</v>
      </c>
      <c r="X833" s="27">
        <f>X253*IF($E833="weekday",INDEX('Category Mapping'!$F$28:$F$39,MATCH('Summarized Source Data'!$A833,'Category Mapping'!$A$28:$A$39,0),1),INDEX('Category Mapping'!$E$28:$E$39,MATCH($A833,'Category Mapping'!$A$28:$A$39,0),1))</f>
        <v>14614285714.285715</v>
      </c>
      <c r="Y833" s="27">
        <f>Y253*IF($E833="weekday",INDEX('Category Mapping'!$F$28:$F$39,MATCH('Summarized Source Data'!$A833,'Category Mapping'!$A$28:$A$39,0),1),INDEX('Category Mapping'!$E$28:$E$39,MATCH($A833,'Category Mapping'!$A$28:$A$39,0),1))</f>
        <v>14614285714.285715</v>
      </c>
      <c r="Z833" s="27">
        <f>Z253*IF($E833="weekday",INDEX('Category Mapping'!$F$28:$F$39,MATCH('Summarized Source Data'!$A833,'Category Mapping'!$A$28:$A$39,0),1),INDEX('Category Mapping'!$E$28:$E$39,MATCH($A833,'Category Mapping'!$A$28:$A$39,0),1))</f>
        <v>14614285714.285715</v>
      </c>
    </row>
    <row r="834" spans="1:26" x14ac:dyDescent="0.3">
      <c r="A834">
        <f t="shared" ref="A834:E834" si="299">A254</f>
        <v>11</v>
      </c>
      <c r="B834" t="str">
        <f t="shared" si="299"/>
        <v>Winter</v>
      </c>
      <c r="C834" t="str">
        <f t="shared" si="299"/>
        <v>h11</v>
      </c>
      <c r="D834" t="str">
        <f t="shared" si="299"/>
        <v>Hour10</v>
      </c>
      <c r="E834" t="str">
        <f t="shared" si="299"/>
        <v>Weekday</v>
      </c>
      <c r="F834" s="27">
        <f>F254*IF($E834="weekday",INDEX('Category Mapping'!$F$28:$F$39,MATCH('Summarized Source Data'!$A834,'Category Mapping'!$A$28:$A$39,0),1),INDEX('Category Mapping'!$E$28:$E$39,MATCH($A834,'Category Mapping'!$A$28:$A$39,0),1))</f>
        <v>184589657.14285716</v>
      </c>
      <c r="G834" s="27">
        <f>G254*IF($E834="weekday",INDEX('Category Mapping'!$F$28:$F$39,MATCH('Summarized Source Data'!$A834,'Category Mapping'!$A$28:$A$39,0),1),INDEX('Category Mapping'!$E$28:$E$39,MATCH($A834,'Category Mapping'!$A$28:$A$39,0),1))</f>
        <v>391564.28571428574</v>
      </c>
      <c r="H834" s="27">
        <f>H254*IF($E834="weekday",INDEX('Category Mapping'!$F$28:$F$39,MATCH('Summarized Source Data'!$A834,'Category Mapping'!$A$28:$A$39,0),1),INDEX('Category Mapping'!$E$28:$E$39,MATCH($A834,'Category Mapping'!$A$28:$A$39,0),1))</f>
        <v>0</v>
      </c>
      <c r="I834" s="27">
        <f>I254*IF($E834="weekday",INDEX('Category Mapping'!$F$28:$F$39,MATCH('Summarized Source Data'!$A834,'Category Mapping'!$A$28:$A$39,0),1),INDEX('Category Mapping'!$E$28:$E$39,MATCH($A834,'Category Mapping'!$A$28:$A$39,0),1))</f>
        <v>222857142.85714287</v>
      </c>
      <c r="J834" s="27">
        <f>J254*IF($E834="weekday",INDEX('Category Mapping'!$F$28:$F$39,MATCH('Summarized Source Data'!$A834,'Category Mapping'!$A$28:$A$39,0),1),INDEX('Category Mapping'!$E$28:$E$39,MATCH($A834,'Category Mapping'!$A$28:$A$39,0),1))</f>
        <v>2356447350</v>
      </c>
      <c r="K834" s="27">
        <f>K254*IF($E834="weekday",INDEX('Category Mapping'!$F$28:$F$39,MATCH('Summarized Source Data'!$A834,'Category Mapping'!$A$28:$A$39,0),1),INDEX('Category Mapping'!$E$28:$E$39,MATCH($A834,'Category Mapping'!$A$28:$A$39,0),1))</f>
        <v>2356447350</v>
      </c>
      <c r="L834" s="27">
        <f>L254*IF($E834="weekday",INDEX('Category Mapping'!$F$28:$F$39,MATCH('Summarized Source Data'!$A834,'Category Mapping'!$A$28:$A$39,0),1),INDEX('Category Mapping'!$E$28:$E$39,MATCH($A834,'Category Mapping'!$A$28:$A$39,0),1))</f>
        <v>805714285.71428573</v>
      </c>
      <c r="M834" s="27">
        <f>M254*IF($E834="weekday",INDEX('Category Mapping'!$F$28:$F$39,MATCH('Summarized Source Data'!$A834,'Category Mapping'!$A$28:$A$39,0),1),INDEX('Category Mapping'!$E$28:$E$39,MATCH($A834,'Category Mapping'!$A$28:$A$39,0),1))</f>
        <v>4893428.5714285718</v>
      </c>
      <c r="N834" s="27">
        <f>N254*IF($E834="weekday",INDEX('Category Mapping'!$F$28:$F$39,MATCH('Summarized Source Data'!$A834,'Category Mapping'!$A$28:$A$39,0),1),INDEX('Category Mapping'!$E$28:$E$39,MATCH($A834,'Category Mapping'!$A$28:$A$39,0),1))</f>
        <v>0</v>
      </c>
      <c r="O834" s="27">
        <f>O254*IF($E834="weekday",INDEX('Category Mapping'!$F$28:$F$39,MATCH('Summarized Source Data'!$A834,'Category Mapping'!$A$28:$A$39,0),1),INDEX('Category Mapping'!$E$28:$E$39,MATCH($A834,'Category Mapping'!$A$28:$A$39,0),1))</f>
        <v>11189392285.714287</v>
      </c>
      <c r="P834" s="27">
        <f>P254*IF($E834="weekday",INDEX('Category Mapping'!$F$28:$F$39,MATCH('Summarized Source Data'!$A834,'Category Mapping'!$A$28:$A$39,0),1),INDEX('Category Mapping'!$E$28:$E$39,MATCH($A834,'Category Mapping'!$A$28:$A$39,0),1))</f>
        <v>11189392285.714287</v>
      </c>
      <c r="Q834" s="27">
        <f>Q254*IF($E834="weekday",INDEX('Category Mapping'!$F$28:$F$39,MATCH('Summarized Source Data'!$A834,'Category Mapping'!$A$28:$A$39,0),1),INDEX('Category Mapping'!$E$28:$E$39,MATCH($A834,'Category Mapping'!$A$28:$A$39,0),1))</f>
        <v>11189392285.714287</v>
      </c>
      <c r="R834" s="27">
        <f>R254*IF($E834="weekday",INDEX('Category Mapping'!$F$28:$F$39,MATCH('Summarized Source Data'!$A834,'Category Mapping'!$A$28:$A$39,0),1),INDEX('Category Mapping'!$E$28:$E$39,MATCH($A834,'Category Mapping'!$A$28:$A$39,0),1))</f>
        <v>259285714.2857143</v>
      </c>
      <c r="S834" s="27">
        <f>S254*IF($E834="weekday",INDEX('Category Mapping'!$F$28:$F$39,MATCH('Summarized Source Data'!$A834,'Category Mapping'!$A$28:$A$39,0),1),INDEX('Category Mapping'!$E$28:$E$39,MATCH($A834,'Category Mapping'!$A$28:$A$39,0),1))</f>
        <v>259285714.2857143</v>
      </c>
      <c r="T834" s="27">
        <f>T254*IF($E834="weekday",INDEX('Category Mapping'!$F$28:$F$39,MATCH('Summarized Source Data'!$A834,'Category Mapping'!$A$28:$A$39,0),1),INDEX('Category Mapping'!$E$28:$E$39,MATCH($A834,'Category Mapping'!$A$28:$A$39,0),1))</f>
        <v>259285714.2857143</v>
      </c>
      <c r="U834" s="27">
        <f>U254*IF($E834="weekday",INDEX('Category Mapping'!$F$28:$F$39,MATCH('Summarized Source Data'!$A834,'Category Mapping'!$A$28:$A$39,0),1),INDEX('Category Mapping'!$E$28:$E$39,MATCH($A834,'Category Mapping'!$A$28:$A$39,0),1))</f>
        <v>259285714.2857143</v>
      </c>
      <c r="V834" s="27">
        <f>V254*IF($E834="weekday",INDEX('Category Mapping'!$F$28:$F$39,MATCH('Summarized Source Data'!$A834,'Category Mapping'!$A$28:$A$39,0),1),INDEX('Category Mapping'!$E$28:$E$39,MATCH($A834,'Category Mapping'!$A$28:$A$39,0),1))</f>
        <v>259285714.2857143</v>
      </c>
      <c r="W834" s="27">
        <f>W254*IF($E834="weekday",INDEX('Category Mapping'!$F$28:$F$39,MATCH('Summarized Source Data'!$A834,'Category Mapping'!$A$28:$A$39,0),1),INDEX('Category Mapping'!$E$28:$E$39,MATCH($A834,'Category Mapping'!$A$28:$A$39,0),1))</f>
        <v>259285714.2857143</v>
      </c>
      <c r="X834" s="27">
        <f>X254*IF($E834="weekday",INDEX('Category Mapping'!$F$28:$F$39,MATCH('Summarized Source Data'!$A834,'Category Mapping'!$A$28:$A$39,0),1),INDEX('Category Mapping'!$E$28:$E$39,MATCH($A834,'Category Mapping'!$A$28:$A$39,0),1))</f>
        <v>14571428571.428574</v>
      </c>
      <c r="Y834" s="27">
        <f>Y254*IF($E834="weekday",INDEX('Category Mapping'!$F$28:$F$39,MATCH('Summarized Source Data'!$A834,'Category Mapping'!$A$28:$A$39,0),1),INDEX('Category Mapping'!$E$28:$E$39,MATCH($A834,'Category Mapping'!$A$28:$A$39,0),1))</f>
        <v>14571428571.428574</v>
      </c>
      <c r="Z834" s="27">
        <f>Z254*IF($E834="weekday",INDEX('Category Mapping'!$F$28:$F$39,MATCH('Summarized Source Data'!$A834,'Category Mapping'!$A$28:$A$39,0),1),INDEX('Category Mapping'!$E$28:$E$39,MATCH($A834,'Category Mapping'!$A$28:$A$39,0),1))</f>
        <v>14571428571.428574</v>
      </c>
    </row>
    <row r="835" spans="1:26" x14ac:dyDescent="0.3">
      <c r="A835">
        <f t="shared" ref="A835:E835" si="300">A255</f>
        <v>11</v>
      </c>
      <c r="B835" t="str">
        <f t="shared" si="300"/>
        <v>Winter</v>
      </c>
      <c r="C835" t="str">
        <f t="shared" si="300"/>
        <v>h12</v>
      </c>
      <c r="D835" t="str">
        <f t="shared" si="300"/>
        <v>Hour11</v>
      </c>
      <c r="E835" t="str">
        <f t="shared" si="300"/>
        <v>Weekday</v>
      </c>
      <c r="F835" s="27">
        <f>F255*IF($E835="weekday",INDEX('Category Mapping'!$F$28:$F$39,MATCH('Summarized Source Data'!$A835,'Category Mapping'!$A$28:$A$39,0),1),INDEX('Category Mapping'!$E$28:$E$39,MATCH($A835,'Category Mapping'!$A$28:$A$39,0),1))</f>
        <v>193881835.71428573</v>
      </c>
      <c r="G835" s="27">
        <f>G255*IF($E835="weekday",INDEX('Category Mapping'!$F$28:$F$39,MATCH('Summarized Source Data'!$A835,'Category Mapping'!$A$28:$A$39,0),1),INDEX('Category Mapping'!$E$28:$E$39,MATCH($A835,'Category Mapping'!$A$28:$A$39,0),1))</f>
        <v>437935.71428571432</v>
      </c>
      <c r="H835" s="27">
        <f>H255*IF($E835="weekday",INDEX('Category Mapping'!$F$28:$F$39,MATCH('Summarized Source Data'!$A835,'Category Mapping'!$A$28:$A$39,0),1),INDEX('Category Mapping'!$E$28:$E$39,MATCH($A835,'Category Mapping'!$A$28:$A$39,0),1))</f>
        <v>0</v>
      </c>
      <c r="I835" s="27">
        <f>I255*IF($E835="weekday",INDEX('Category Mapping'!$F$28:$F$39,MATCH('Summarized Source Data'!$A835,'Category Mapping'!$A$28:$A$39,0),1),INDEX('Category Mapping'!$E$28:$E$39,MATCH($A835,'Category Mapping'!$A$28:$A$39,0),1))</f>
        <v>244285714.2857143</v>
      </c>
      <c r="J835" s="27">
        <f>J255*IF($E835="weekday",INDEX('Category Mapping'!$F$28:$F$39,MATCH('Summarized Source Data'!$A835,'Category Mapping'!$A$28:$A$39,0),1),INDEX('Category Mapping'!$E$28:$E$39,MATCH($A835,'Category Mapping'!$A$28:$A$39,0),1))</f>
        <v>2347108800</v>
      </c>
      <c r="K835" s="27">
        <f>K255*IF($E835="weekday",INDEX('Category Mapping'!$F$28:$F$39,MATCH('Summarized Source Data'!$A835,'Category Mapping'!$A$28:$A$39,0),1),INDEX('Category Mapping'!$E$28:$E$39,MATCH($A835,'Category Mapping'!$A$28:$A$39,0),1))</f>
        <v>2347108800</v>
      </c>
      <c r="L835" s="27">
        <f>L255*IF($E835="weekday",INDEX('Category Mapping'!$F$28:$F$39,MATCH('Summarized Source Data'!$A835,'Category Mapping'!$A$28:$A$39,0),1),INDEX('Category Mapping'!$E$28:$E$39,MATCH($A835,'Category Mapping'!$A$28:$A$39,0),1))</f>
        <v>687857142.85714293</v>
      </c>
      <c r="M835" s="27">
        <f>M255*IF($E835="weekday",INDEX('Category Mapping'!$F$28:$F$39,MATCH('Summarized Source Data'!$A835,'Category Mapping'!$A$28:$A$39,0),1),INDEX('Category Mapping'!$E$28:$E$39,MATCH($A835,'Category Mapping'!$A$28:$A$39,0),1))</f>
        <v>4955057.1428571437</v>
      </c>
      <c r="N835" s="27">
        <f>N255*IF($E835="weekday",INDEX('Category Mapping'!$F$28:$F$39,MATCH('Summarized Source Data'!$A835,'Category Mapping'!$A$28:$A$39,0),1),INDEX('Category Mapping'!$E$28:$E$39,MATCH($A835,'Category Mapping'!$A$28:$A$39,0),1))</f>
        <v>0</v>
      </c>
      <c r="O835" s="27">
        <f>O255*IF($E835="weekday",INDEX('Category Mapping'!$F$28:$F$39,MATCH('Summarized Source Data'!$A835,'Category Mapping'!$A$28:$A$39,0),1),INDEX('Category Mapping'!$E$28:$E$39,MATCH($A835,'Category Mapping'!$A$28:$A$39,0),1))</f>
        <v>11157187800.000002</v>
      </c>
      <c r="P835" s="27">
        <f>P255*IF($E835="weekday",INDEX('Category Mapping'!$F$28:$F$39,MATCH('Summarized Source Data'!$A835,'Category Mapping'!$A$28:$A$39,0),1),INDEX('Category Mapping'!$E$28:$E$39,MATCH($A835,'Category Mapping'!$A$28:$A$39,0),1))</f>
        <v>11157187800.000002</v>
      </c>
      <c r="Q835" s="27">
        <f>Q255*IF($E835="weekday",INDEX('Category Mapping'!$F$28:$F$39,MATCH('Summarized Source Data'!$A835,'Category Mapping'!$A$28:$A$39,0),1),INDEX('Category Mapping'!$E$28:$E$39,MATCH($A835,'Category Mapping'!$A$28:$A$39,0),1))</f>
        <v>11157187800.000002</v>
      </c>
      <c r="R835" s="27">
        <f>R255*IF($E835="weekday",INDEX('Category Mapping'!$F$28:$F$39,MATCH('Summarized Source Data'!$A835,'Category Mapping'!$A$28:$A$39,0),1),INDEX('Category Mapping'!$E$28:$E$39,MATCH($A835,'Category Mapping'!$A$28:$A$39,0),1))</f>
        <v>261428571.42857146</v>
      </c>
      <c r="S835" s="27">
        <f>S255*IF($E835="weekday",INDEX('Category Mapping'!$F$28:$F$39,MATCH('Summarized Source Data'!$A835,'Category Mapping'!$A$28:$A$39,0),1),INDEX('Category Mapping'!$E$28:$E$39,MATCH($A835,'Category Mapping'!$A$28:$A$39,0),1))</f>
        <v>261428571.42857146</v>
      </c>
      <c r="T835" s="27">
        <f>T255*IF($E835="weekday",INDEX('Category Mapping'!$F$28:$F$39,MATCH('Summarized Source Data'!$A835,'Category Mapping'!$A$28:$A$39,0),1),INDEX('Category Mapping'!$E$28:$E$39,MATCH($A835,'Category Mapping'!$A$28:$A$39,0),1))</f>
        <v>261428571.42857146</v>
      </c>
      <c r="U835" s="27">
        <f>U255*IF($E835="weekday",INDEX('Category Mapping'!$F$28:$F$39,MATCH('Summarized Source Data'!$A835,'Category Mapping'!$A$28:$A$39,0),1),INDEX('Category Mapping'!$E$28:$E$39,MATCH($A835,'Category Mapping'!$A$28:$A$39,0),1))</f>
        <v>261428571.42857146</v>
      </c>
      <c r="V835" s="27">
        <f>V255*IF($E835="weekday",INDEX('Category Mapping'!$F$28:$F$39,MATCH('Summarized Source Data'!$A835,'Category Mapping'!$A$28:$A$39,0),1),INDEX('Category Mapping'!$E$28:$E$39,MATCH($A835,'Category Mapping'!$A$28:$A$39,0),1))</f>
        <v>261428571.42857146</v>
      </c>
      <c r="W835" s="27">
        <f>W255*IF($E835="weekday",INDEX('Category Mapping'!$F$28:$F$39,MATCH('Summarized Source Data'!$A835,'Category Mapping'!$A$28:$A$39,0),1),INDEX('Category Mapping'!$E$28:$E$39,MATCH($A835,'Category Mapping'!$A$28:$A$39,0),1))</f>
        <v>261428571.42857146</v>
      </c>
      <c r="X835" s="27">
        <f>X255*IF($E835="weekday",INDEX('Category Mapping'!$F$28:$F$39,MATCH('Summarized Source Data'!$A835,'Category Mapping'!$A$28:$A$39,0),1),INDEX('Category Mapping'!$E$28:$E$39,MATCH($A835,'Category Mapping'!$A$28:$A$39,0),1))</f>
        <v>14507142857.142859</v>
      </c>
      <c r="Y835" s="27">
        <f>Y255*IF($E835="weekday",INDEX('Category Mapping'!$F$28:$F$39,MATCH('Summarized Source Data'!$A835,'Category Mapping'!$A$28:$A$39,0),1),INDEX('Category Mapping'!$E$28:$E$39,MATCH($A835,'Category Mapping'!$A$28:$A$39,0),1))</f>
        <v>14507142857.142859</v>
      </c>
      <c r="Z835" s="27">
        <f>Z255*IF($E835="weekday",INDEX('Category Mapping'!$F$28:$F$39,MATCH('Summarized Source Data'!$A835,'Category Mapping'!$A$28:$A$39,0),1),INDEX('Category Mapping'!$E$28:$E$39,MATCH($A835,'Category Mapping'!$A$28:$A$39,0),1))</f>
        <v>14507142857.142859</v>
      </c>
    </row>
    <row r="836" spans="1:26" x14ac:dyDescent="0.3">
      <c r="A836">
        <f t="shared" ref="A836:E836" si="301">A256</f>
        <v>11</v>
      </c>
      <c r="B836" t="str">
        <f t="shared" si="301"/>
        <v>Winter</v>
      </c>
      <c r="C836" t="str">
        <f t="shared" si="301"/>
        <v>h13</v>
      </c>
      <c r="D836" t="str">
        <f t="shared" si="301"/>
        <v>Hour12</v>
      </c>
      <c r="E836" t="str">
        <f t="shared" si="301"/>
        <v>Weekday</v>
      </c>
      <c r="F836" s="27">
        <f>F256*IF($E836="weekday",INDEX('Category Mapping'!$F$28:$F$39,MATCH('Summarized Source Data'!$A836,'Category Mapping'!$A$28:$A$39,0),1),INDEX('Category Mapping'!$E$28:$E$39,MATCH($A836,'Category Mapping'!$A$28:$A$39,0),1))</f>
        <v>199572364.2857143</v>
      </c>
      <c r="G836" s="27">
        <f>G256*IF($E836="weekday",INDEX('Category Mapping'!$F$28:$F$39,MATCH('Summarized Source Data'!$A836,'Category Mapping'!$A$28:$A$39,0),1),INDEX('Category Mapping'!$E$28:$E$39,MATCH($A836,'Category Mapping'!$A$28:$A$39,0),1))</f>
        <v>475392.85714285716</v>
      </c>
      <c r="H836" s="27">
        <f>H256*IF($E836="weekday",INDEX('Category Mapping'!$F$28:$F$39,MATCH('Summarized Source Data'!$A836,'Category Mapping'!$A$28:$A$39,0),1),INDEX('Category Mapping'!$E$28:$E$39,MATCH($A836,'Category Mapping'!$A$28:$A$39,0),1))</f>
        <v>0</v>
      </c>
      <c r="I836" s="27">
        <f>I256*IF($E836="weekday",INDEX('Category Mapping'!$F$28:$F$39,MATCH('Summarized Source Data'!$A836,'Category Mapping'!$A$28:$A$39,0),1),INDEX('Category Mapping'!$E$28:$E$39,MATCH($A836,'Category Mapping'!$A$28:$A$39,0),1))</f>
        <v>259285714.2857143</v>
      </c>
      <c r="J836" s="27">
        <f>J256*IF($E836="weekday",INDEX('Category Mapping'!$F$28:$F$39,MATCH('Summarized Source Data'!$A836,'Category Mapping'!$A$28:$A$39,0),1),INDEX('Category Mapping'!$E$28:$E$39,MATCH($A836,'Category Mapping'!$A$28:$A$39,0),1))</f>
        <v>2262095100</v>
      </c>
      <c r="K836" s="27">
        <f>K256*IF($E836="weekday",INDEX('Category Mapping'!$F$28:$F$39,MATCH('Summarized Source Data'!$A836,'Category Mapping'!$A$28:$A$39,0),1),INDEX('Category Mapping'!$E$28:$E$39,MATCH($A836,'Category Mapping'!$A$28:$A$39,0),1))</f>
        <v>2262095100</v>
      </c>
      <c r="L836" s="27">
        <f>L256*IF($E836="weekday",INDEX('Category Mapping'!$F$28:$F$39,MATCH('Summarized Source Data'!$A836,'Category Mapping'!$A$28:$A$39,0),1),INDEX('Category Mapping'!$E$28:$E$39,MATCH($A836,'Category Mapping'!$A$28:$A$39,0),1))</f>
        <v>593571428.57142866</v>
      </c>
      <c r="M836" s="27">
        <f>M256*IF($E836="weekday",INDEX('Category Mapping'!$F$28:$F$39,MATCH('Summarized Source Data'!$A836,'Category Mapping'!$A$28:$A$39,0),1),INDEX('Category Mapping'!$E$28:$E$39,MATCH($A836,'Category Mapping'!$A$28:$A$39,0),1))</f>
        <v>4772721.4285714291</v>
      </c>
      <c r="N836" s="27">
        <f>N256*IF($E836="weekday",INDEX('Category Mapping'!$F$28:$F$39,MATCH('Summarized Source Data'!$A836,'Category Mapping'!$A$28:$A$39,0),1),INDEX('Category Mapping'!$E$28:$E$39,MATCH($A836,'Category Mapping'!$A$28:$A$39,0),1))</f>
        <v>0</v>
      </c>
      <c r="O836" s="27">
        <f>O256*IF($E836="weekday",INDEX('Category Mapping'!$F$28:$F$39,MATCH('Summarized Source Data'!$A836,'Category Mapping'!$A$28:$A$39,0),1),INDEX('Category Mapping'!$E$28:$E$39,MATCH($A836,'Category Mapping'!$A$28:$A$39,0),1))</f>
        <v>10973084421.428572</v>
      </c>
      <c r="P836" s="27">
        <f>P256*IF($E836="weekday",INDEX('Category Mapping'!$F$28:$F$39,MATCH('Summarized Source Data'!$A836,'Category Mapping'!$A$28:$A$39,0),1),INDEX('Category Mapping'!$E$28:$E$39,MATCH($A836,'Category Mapping'!$A$28:$A$39,0),1))</f>
        <v>10973084421.428572</v>
      </c>
      <c r="Q836" s="27">
        <f>Q256*IF($E836="weekday",INDEX('Category Mapping'!$F$28:$F$39,MATCH('Summarized Source Data'!$A836,'Category Mapping'!$A$28:$A$39,0),1),INDEX('Category Mapping'!$E$28:$E$39,MATCH($A836,'Category Mapping'!$A$28:$A$39,0),1))</f>
        <v>10973084421.428572</v>
      </c>
      <c r="R836" s="27">
        <f>R256*IF($E836="weekday",INDEX('Category Mapping'!$F$28:$F$39,MATCH('Summarized Source Data'!$A836,'Category Mapping'!$A$28:$A$39,0),1),INDEX('Category Mapping'!$E$28:$E$39,MATCH($A836,'Category Mapping'!$A$28:$A$39,0),1))</f>
        <v>265714285.71428573</v>
      </c>
      <c r="S836" s="27">
        <f>S256*IF($E836="weekday",INDEX('Category Mapping'!$F$28:$F$39,MATCH('Summarized Source Data'!$A836,'Category Mapping'!$A$28:$A$39,0),1),INDEX('Category Mapping'!$E$28:$E$39,MATCH($A836,'Category Mapping'!$A$28:$A$39,0),1))</f>
        <v>265714285.71428573</v>
      </c>
      <c r="T836" s="27">
        <f>T256*IF($E836="weekday",INDEX('Category Mapping'!$F$28:$F$39,MATCH('Summarized Source Data'!$A836,'Category Mapping'!$A$28:$A$39,0),1),INDEX('Category Mapping'!$E$28:$E$39,MATCH($A836,'Category Mapping'!$A$28:$A$39,0),1))</f>
        <v>265714285.71428573</v>
      </c>
      <c r="U836" s="27">
        <f>U256*IF($E836="weekday",INDEX('Category Mapping'!$F$28:$F$39,MATCH('Summarized Source Data'!$A836,'Category Mapping'!$A$28:$A$39,0),1),INDEX('Category Mapping'!$E$28:$E$39,MATCH($A836,'Category Mapping'!$A$28:$A$39,0),1))</f>
        <v>265714285.71428573</v>
      </c>
      <c r="V836" s="27">
        <f>V256*IF($E836="weekday",INDEX('Category Mapping'!$F$28:$F$39,MATCH('Summarized Source Data'!$A836,'Category Mapping'!$A$28:$A$39,0),1),INDEX('Category Mapping'!$E$28:$E$39,MATCH($A836,'Category Mapping'!$A$28:$A$39,0),1))</f>
        <v>265714285.71428573</v>
      </c>
      <c r="W836" s="27">
        <f>W256*IF($E836="weekday",INDEX('Category Mapping'!$F$28:$F$39,MATCH('Summarized Source Data'!$A836,'Category Mapping'!$A$28:$A$39,0),1),INDEX('Category Mapping'!$E$28:$E$39,MATCH($A836,'Category Mapping'!$A$28:$A$39,0),1))</f>
        <v>265714285.71428573</v>
      </c>
      <c r="X836" s="27">
        <f>X256*IF($E836="weekday",INDEX('Category Mapping'!$F$28:$F$39,MATCH('Summarized Source Data'!$A836,'Category Mapping'!$A$28:$A$39,0),1),INDEX('Category Mapping'!$E$28:$E$39,MATCH($A836,'Category Mapping'!$A$28:$A$39,0),1))</f>
        <v>14464285714.285715</v>
      </c>
      <c r="Y836" s="27">
        <f>Y256*IF($E836="weekday",INDEX('Category Mapping'!$F$28:$F$39,MATCH('Summarized Source Data'!$A836,'Category Mapping'!$A$28:$A$39,0),1),INDEX('Category Mapping'!$E$28:$E$39,MATCH($A836,'Category Mapping'!$A$28:$A$39,0),1))</f>
        <v>14464285714.285715</v>
      </c>
      <c r="Z836" s="27">
        <f>Z256*IF($E836="weekday",INDEX('Category Mapping'!$F$28:$F$39,MATCH('Summarized Source Data'!$A836,'Category Mapping'!$A$28:$A$39,0),1),INDEX('Category Mapping'!$E$28:$E$39,MATCH($A836,'Category Mapping'!$A$28:$A$39,0),1))</f>
        <v>14464285714.285715</v>
      </c>
    </row>
    <row r="837" spans="1:26" x14ac:dyDescent="0.3">
      <c r="A837">
        <f t="shared" ref="A837:E837" si="302">A257</f>
        <v>11</v>
      </c>
      <c r="B837" t="str">
        <f t="shared" si="302"/>
        <v>Winter</v>
      </c>
      <c r="C837" t="str">
        <f t="shared" si="302"/>
        <v>h14</v>
      </c>
      <c r="D837" t="str">
        <f t="shared" si="302"/>
        <v>Hour13</v>
      </c>
      <c r="E837" t="str">
        <f t="shared" si="302"/>
        <v>Weekday</v>
      </c>
      <c r="F837" s="27">
        <f>F257*IF($E837="weekday",INDEX('Category Mapping'!$F$28:$F$39,MATCH('Summarized Source Data'!$A837,'Category Mapping'!$A$28:$A$39,0),1),INDEX('Category Mapping'!$E$28:$E$39,MATCH($A837,'Category Mapping'!$A$28:$A$39,0),1))</f>
        <v>201173314.2857143</v>
      </c>
      <c r="G837" s="27">
        <f>G257*IF($E837="weekday",INDEX('Category Mapping'!$F$28:$F$39,MATCH('Summarized Source Data'!$A837,'Category Mapping'!$A$28:$A$39,0),1),INDEX('Category Mapping'!$E$28:$E$39,MATCH($A837,'Category Mapping'!$A$28:$A$39,0),1))</f>
        <v>490371.42857142864</v>
      </c>
      <c r="H837" s="27">
        <f>H257*IF($E837="weekday",INDEX('Category Mapping'!$F$28:$F$39,MATCH('Summarized Source Data'!$A837,'Category Mapping'!$A$28:$A$39,0),1),INDEX('Category Mapping'!$E$28:$E$39,MATCH($A837,'Category Mapping'!$A$28:$A$39,0),1))</f>
        <v>0</v>
      </c>
      <c r="I837" s="27">
        <f>I257*IF($E837="weekday",INDEX('Category Mapping'!$F$28:$F$39,MATCH('Summarized Source Data'!$A837,'Category Mapping'!$A$28:$A$39,0),1),INDEX('Category Mapping'!$E$28:$E$39,MATCH($A837,'Category Mapping'!$A$28:$A$39,0),1))</f>
        <v>261428571.42857146</v>
      </c>
      <c r="J837" s="27">
        <f>J257*IF($E837="weekday",INDEX('Category Mapping'!$F$28:$F$39,MATCH('Summarized Source Data'!$A837,'Category Mapping'!$A$28:$A$39,0),1),INDEX('Category Mapping'!$E$28:$E$39,MATCH($A837,'Category Mapping'!$A$28:$A$39,0),1))</f>
        <v>2236907742.8571429</v>
      </c>
      <c r="K837" s="27">
        <f>K257*IF($E837="weekday",INDEX('Category Mapping'!$F$28:$F$39,MATCH('Summarized Source Data'!$A837,'Category Mapping'!$A$28:$A$39,0),1),INDEX('Category Mapping'!$E$28:$E$39,MATCH($A837,'Category Mapping'!$A$28:$A$39,0),1))</f>
        <v>2236907742.8571429</v>
      </c>
      <c r="L837" s="27">
        <f>L257*IF($E837="weekday",INDEX('Category Mapping'!$F$28:$F$39,MATCH('Summarized Source Data'!$A837,'Category Mapping'!$A$28:$A$39,0),1),INDEX('Category Mapping'!$E$28:$E$39,MATCH($A837,'Category Mapping'!$A$28:$A$39,0),1))</f>
        <v>552857142.85714293</v>
      </c>
      <c r="M837" s="27">
        <f>M257*IF($E837="weekday",INDEX('Category Mapping'!$F$28:$F$39,MATCH('Summarized Source Data'!$A837,'Category Mapping'!$A$28:$A$39,0),1),INDEX('Category Mapping'!$E$28:$E$39,MATCH($A837,'Category Mapping'!$A$28:$A$39,0),1))</f>
        <v>4885671.4285714291</v>
      </c>
      <c r="N837" s="27">
        <f>N257*IF($E837="weekday",INDEX('Category Mapping'!$F$28:$F$39,MATCH('Summarized Source Data'!$A837,'Category Mapping'!$A$28:$A$39,0),1),INDEX('Category Mapping'!$E$28:$E$39,MATCH($A837,'Category Mapping'!$A$28:$A$39,0),1))</f>
        <v>0</v>
      </c>
      <c r="O837" s="27">
        <f>O257*IF($E837="weekday",INDEX('Category Mapping'!$F$28:$F$39,MATCH('Summarized Source Data'!$A837,'Category Mapping'!$A$28:$A$39,0),1),INDEX('Category Mapping'!$E$28:$E$39,MATCH($A837,'Category Mapping'!$A$28:$A$39,0),1))</f>
        <v>10992257185.714287</v>
      </c>
      <c r="P837" s="27">
        <f>P257*IF($E837="weekday",INDEX('Category Mapping'!$F$28:$F$39,MATCH('Summarized Source Data'!$A837,'Category Mapping'!$A$28:$A$39,0),1),INDEX('Category Mapping'!$E$28:$E$39,MATCH($A837,'Category Mapping'!$A$28:$A$39,0),1))</f>
        <v>10992257185.714287</v>
      </c>
      <c r="Q837" s="27">
        <f>Q257*IF($E837="weekday",INDEX('Category Mapping'!$F$28:$F$39,MATCH('Summarized Source Data'!$A837,'Category Mapping'!$A$28:$A$39,0),1),INDEX('Category Mapping'!$E$28:$E$39,MATCH($A837,'Category Mapping'!$A$28:$A$39,0),1))</f>
        <v>10992257185.714287</v>
      </c>
      <c r="R837" s="27">
        <f>R257*IF($E837="weekday",INDEX('Category Mapping'!$F$28:$F$39,MATCH('Summarized Source Data'!$A837,'Category Mapping'!$A$28:$A$39,0),1),INDEX('Category Mapping'!$E$28:$E$39,MATCH($A837,'Category Mapping'!$A$28:$A$39,0),1))</f>
        <v>263571428.5714286</v>
      </c>
      <c r="S837" s="27">
        <f>S257*IF($E837="weekday",INDEX('Category Mapping'!$F$28:$F$39,MATCH('Summarized Source Data'!$A837,'Category Mapping'!$A$28:$A$39,0),1),INDEX('Category Mapping'!$E$28:$E$39,MATCH($A837,'Category Mapping'!$A$28:$A$39,0),1))</f>
        <v>263571428.5714286</v>
      </c>
      <c r="T837" s="27">
        <f>T257*IF($E837="weekday",INDEX('Category Mapping'!$F$28:$F$39,MATCH('Summarized Source Data'!$A837,'Category Mapping'!$A$28:$A$39,0),1),INDEX('Category Mapping'!$E$28:$E$39,MATCH($A837,'Category Mapping'!$A$28:$A$39,0),1))</f>
        <v>263571428.5714286</v>
      </c>
      <c r="U837" s="27">
        <f>U257*IF($E837="weekday",INDEX('Category Mapping'!$F$28:$F$39,MATCH('Summarized Source Data'!$A837,'Category Mapping'!$A$28:$A$39,0),1),INDEX('Category Mapping'!$E$28:$E$39,MATCH($A837,'Category Mapping'!$A$28:$A$39,0),1))</f>
        <v>263571428.5714286</v>
      </c>
      <c r="V837" s="27">
        <f>V257*IF($E837="weekday",INDEX('Category Mapping'!$F$28:$F$39,MATCH('Summarized Source Data'!$A837,'Category Mapping'!$A$28:$A$39,0),1),INDEX('Category Mapping'!$E$28:$E$39,MATCH($A837,'Category Mapping'!$A$28:$A$39,0),1))</f>
        <v>263571428.5714286</v>
      </c>
      <c r="W837" s="27">
        <f>W257*IF($E837="weekday",INDEX('Category Mapping'!$F$28:$F$39,MATCH('Summarized Source Data'!$A837,'Category Mapping'!$A$28:$A$39,0),1),INDEX('Category Mapping'!$E$28:$E$39,MATCH($A837,'Category Mapping'!$A$28:$A$39,0),1))</f>
        <v>263571428.5714286</v>
      </c>
      <c r="X837" s="27">
        <f>X257*IF($E837="weekday",INDEX('Category Mapping'!$F$28:$F$39,MATCH('Summarized Source Data'!$A837,'Category Mapping'!$A$28:$A$39,0),1),INDEX('Category Mapping'!$E$28:$E$39,MATCH($A837,'Category Mapping'!$A$28:$A$39,0),1))</f>
        <v>14442857142.857143</v>
      </c>
      <c r="Y837" s="27">
        <f>Y257*IF($E837="weekday",INDEX('Category Mapping'!$F$28:$F$39,MATCH('Summarized Source Data'!$A837,'Category Mapping'!$A$28:$A$39,0),1),INDEX('Category Mapping'!$E$28:$E$39,MATCH($A837,'Category Mapping'!$A$28:$A$39,0),1))</f>
        <v>14442857142.857143</v>
      </c>
      <c r="Z837" s="27">
        <f>Z257*IF($E837="weekday",INDEX('Category Mapping'!$F$28:$F$39,MATCH('Summarized Source Data'!$A837,'Category Mapping'!$A$28:$A$39,0),1),INDEX('Category Mapping'!$E$28:$E$39,MATCH($A837,'Category Mapping'!$A$28:$A$39,0),1))</f>
        <v>14442857142.857143</v>
      </c>
    </row>
    <row r="838" spans="1:26" x14ac:dyDescent="0.3">
      <c r="A838">
        <f t="shared" ref="A838:E838" si="303">A258</f>
        <v>11</v>
      </c>
      <c r="B838" t="str">
        <f t="shared" si="303"/>
        <v>Winter</v>
      </c>
      <c r="C838" t="str">
        <f t="shared" si="303"/>
        <v>h15</v>
      </c>
      <c r="D838" t="str">
        <f t="shared" si="303"/>
        <v>Hour14</v>
      </c>
      <c r="E838" t="str">
        <f t="shared" si="303"/>
        <v>Weekday</v>
      </c>
      <c r="F838" s="27">
        <f>F258*IF($E838="weekday",INDEX('Category Mapping'!$F$28:$F$39,MATCH('Summarized Source Data'!$A838,'Category Mapping'!$A$28:$A$39,0),1),INDEX('Category Mapping'!$E$28:$E$39,MATCH($A838,'Category Mapping'!$A$28:$A$39,0),1))</f>
        <v>204085800.00000003</v>
      </c>
      <c r="G838" s="27">
        <f>G258*IF($E838="weekday",INDEX('Category Mapping'!$F$28:$F$39,MATCH('Summarized Source Data'!$A838,'Category Mapping'!$A$28:$A$39,0),1),INDEX('Category Mapping'!$E$28:$E$39,MATCH($A838,'Category Mapping'!$A$28:$A$39,0),1))</f>
        <v>512035.71428571432</v>
      </c>
      <c r="H838" s="27">
        <f>H258*IF($E838="weekday",INDEX('Category Mapping'!$F$28:$F$39,MATCH('Summarized Source Data'!$A838,'Category Mapping'!$A$28:$A$39,0),1),INDEX('Category Mapping'!$E$28:$E$39,MATCH($A838,'Category Mapping'!$A$28:$A$39,0),1))</f>
        <v>0</v>
      </c>
      <c r="I838" s="27">
        <f>I258*IF($E838="weekday",INDEX('Category Mapping'!$F$28:$F$39,MATCH('Summarized Source Data'!$A838,'Category Mapping'!$A$28:$A$39,0),1),INDEX('Category Mapping'!$E$28:$E$39,MATCH($A838,'Category Mapping'!$A$28:$A$39,0),1))</f>
        <v>267857142.8571429</v>
      </c>
      <c r="J838" s="27">
        <f>J258*IF($E838="weekday",INDEX('Category Mapping'!$F$28:$F$39,MATCH('Summarized Source Data'!$A838,'Category Mapping'!$A$28:$A$39,0),1),INDEX('Category Mapping'!$E$28:$E$39,MATCH($A838,'Category Mapping'!$A$28:$A$39,0),1))</f>
        <v>2313259307.1428576</v>
      </c>
      <c r="K838" s="27">
        <f>K258*IF($E838="weekday",INDEX('Category Mapping'!$F$28:$F$39,MATCH('Summarized Source Data'!$A838,'Category Mapping'!$A$28:$A$39,0),1),INDEX('Category Mapping'!$E$28:$E$39,MATCH($A838,'Category Mapping'!$A$28:$A$39,0),1))</f>
        <v>2313259307.1428576</v>
      </c>
      <c r="L838" s="27">
        <f>L258*IF($E838="weekday",INDEX('Category Mapping'!$F$28:$F$39,MATCH('Summarized Source Data'!$A838,'Category Mapping'!$A$28:$A$39,0),1),INDEX('Category Mapping'!$E$28:$E$39,MATCH($A838,'Category Mapping'!$A$28:$A$39,0),1))</f>
        <v>516428571.42857146</v>
      </c>
      <c r="M838" s="27">
        <f>M258*IF($E838="weekday",INDEX('Category Mapping'!$F$28:$F$39,MATCH('Summarized Source Data'!$A838,'Category Mapping'!$A$28:$A$39,0),1),INDEX('Category Mapping'!$E$28:$E$39,MATCH($A838,'Category Mapping'!$A$28:$A$39,0),1))</f>
        <v>5007214.2857142864</v>
      </c>
      <c r="N838" s="27">
        <f>N258*IF($E838="weekday",INDEX('Category Mapping'!$F$28:$F$39,MATCH('Summarized Source Data'!$A838,'Category Mapping'!$A$28:$A$39,0),1),INDEX('Category Mapping'!$E$28:$E$39,MATCH($A838,'Category Mapping'!$A$28:$A$39,0),1))</f>
        <v>0</v>
      </c>
      <c r="O838" s="27">
        <f>O258*IF($E838="weekday",INDEX('Category Mapping'!$F$28:$F$39,MATCH('Summarized Source Data'!$A838,'Category Mapping'!$A$28:$A$39,0),1),INDEX('Category Mapping'!$E$28:$E$39,MATCH($A838,'Category Mapping'!$A$28:$A$39,0),1))</f>
        <v>10985707071.428572</v>
      </c>
      <c r="P838" s="27">
        <f>P258*IF($E838="weekday",INDEX('Category Mapping'!$F$28:$F$39,MATCH('Summarized Source Data'!$A838,'Category Mapping'!$A$28:$A$39,0),1),INDEX('Category Mapping'!$E$28:$E$39,MATCH($A838,'Category Mapping'!$A$28:$A$39,0),1))</f>
        <v>10985707071.428572</v>
      </c>
      <c r="Q838" s="27">
        <f>Q258*IF($E838="weekday",INDEX('Category Mapping'!$F$28:$F$39,MATCH('Summarized Source Data'!$A838,'Category Mapping'!$A$28:$A$39,0),1),INDEX('Category Mapping'!$E$28:$E$39,MATCH($A838,'Category Mapping'!$A$28:$A$39,0),1))</f>
        <v>10985707071.428572</v>
      </c>
      <c r="R838" s="27">
        <f>R258*IF($E838="weekday",INDEX('Category Mapping'!$F$28:$F$39,MATCH('Summarized Source Data'!$A838,'Category Mapping'!$A$28:$A$39,0),1),INDEX('Category Mapping'!$E$28:$E$39,MATCH($A838,'Category Mapping'!$A$28:$A$39,0),1))</f>
        <v>261428571.42857146</v>
      </c>
      <c r="S838" s="27">
        <f>S258*IF($E838="weekday",INDEX('Category Mapping'!$F$28:$F$39,MATCH('Summarized Source Data'!$A838,'Category Mapping'!$A$28:$A$39,0),1),INDEX('Category Mapping'!$E$28:$E$39,MATCH($A838,'Category Mapping'!$A$28:$A$39,0),1))</f>
        <v>261428571.42857146</v>
      </c>
      <c r="T838" s="27">
        <f>T258*IF($E838="weekday",INDEX('Category Mapping'!$F$28:$F$39,MATCH('Summarized Source Data'!$A838,'Category Mapping'!$A$28:$A$39,0),1),INDEX('Category Mapping'!$E$28:$E$39,MATCH($A838,'Category Mapping'!$A$28:$A$39,0),1))</f>
        <v>261428571.42857146</v>
      </c>
      <c r="U838" s="27">
        <f>U258*IF($E838="weekday",INDEX('Category Mapping'!$F$28:$F$39,MATCH('Summarized Source Data'!$A838,'Category Mapping'!$A$28:$A$39,0),1),INDEX('Category Mapping'!$E$28:$E$39,MATCH($A838,'Category Mapping'!$A$28:$A$39,0),1))</f>
        <v>261428571.42857146</v>
      </c>
      <c r="V838" s="27">
        <f>V258*IF($E838="weekday",INDEX('Category Mapping'!$F$28:$F$39,MATCH('Summarized Source Data'!$A838,'Category Mapping'!$A$28:$A$39,0),1),INDEX('Category Mapping'!$E$28:$E$39,MATCH($A838,'Category Mapping'!$A$28:$A$39,0),1))</f>
        <v>261428571.42857146</v>
      </c>
      <c r="W838" s="27">
        <f>W258*IF($E838="weekday",INDEX('Category Mapping'!$F$28:$F$39,MATCH('Summarized Source Data'!$A838,'Category Mapping'!$A$28:$A$39,0),1),INDEX('Category Mapping'!$E$28:$E$39,MATCH($A838,'Category Mapping'!$A$28:$A$39,0),1))</f>
        <v>261428571.42857146</v>
      </c>
      <c r="X838" s="27">
        <f>X258*IF($E838="weekday",INDEX('Category Mapping'!$F$28:$F$39,MATCH('Summarized Source Data'!$A838,'Category Mapping'!$A$28:$A$39,0),1),INDEX('Category Mapping'!$E$28:$E$39,MATCH($A838,'Category Mapping'!$A$28:$A$39,0),1))</f>
        <v>14464285714.285715</v>
      </c>
      <c r="Y838" s="27">
        <f>Y258*IF($E838="weekday",INDEX('Category Mapping'!$F$28:$F$39,MATCH('Summarized Source Data'!$A838,'Category Mapping'!$A$28:$A$39,0),1),INDEX('Category Mapping'!$E$28:$E$39,MATCH($A838,'Category Mapping'!$A$28:$A$39,0),1))</f>
        <v>14464285714.285715</v>
      </c>
      <c r="Z838" s="27">
        <f>Z258*IF($E838="weekday",INDEX('Category Mapping'!$F$28:$F$39,MATCH('Summarized Source Data'!$A838,'Category Mapping'!$A$28:$A$39,0),1),INDEX('Category Mapping'!$E$28:$E$39,MATCH($A838,'Category Mapping'!$A$28:$A$39,0),1))</f>
        <v>14464285714.285715</v>
      </c>
    </row>
    <row r="839" spans="1:26" x14ac:dyDescent="0.3">
      <c r="A839">
        <f t="shared" ref="A839:E839" si="304">A259</f>
        <v>11</v>
      </c>
      <c r="B839" t="str">
        <f t="shared" si="304"/>
        <v>Winter</v>
      </c>
      <c r="C839" t="str">
        <f t="shared" si="304"/>
        <v>h16</v>
      </c>
      <c r="D839" t="str">
        <f t="shared" si="304"/>
        <v>Hour15</v>
      </c>
      <c r="E839" t="str">
        <f t="shared" si="304"/>
        <v>Weekday</v>
      </c>
      <c r="F839" s="27">
        <f>F259*IF($E839="weekday",INDEX('Category Mapping'!$F$28:$F$39,MATCH('Summarized Source Data'!$A839,'Category Mapping'!$A$28:$A$39,0),1),INDEX('Category Mapping'!$E$28:$E$39,MATCH($A839,'Category Mapping'!$A$28:$A$39,0),1))</f>
        <v>213493650.00000003</v>
      </c>
      <c r="G839" s="27">
        <f>G259*IF($E839="weekday",INDEX('Category Mapping'!$F$28:$F$39,MATCH('Summarized Source Data'!$A839,'Category Mapping'!$A$28:$A$39,0),1),INDEX('Category Mapping'!$E$28:$E$39,MATCH($A839,'Category Mapping'!$A$28:$A$39,0),1))</f>
        <v>559285.71428571432</v>
      </c>
      <c r="H839" s="27">
        <f>H259*IF($E839="weekday",INDEX('Category Mapping'!$F$28:$F$39,MATCH('Summarized Source Data'!$A839,'Category Mapping'!$A$28:$A$39,0),1),INDEX('Category Mapping'!$E$28:$E$39,MATCH($A839,'Category Mapping'!$A$28:$A$39,0),1))</f>
        <v>0</v>
      </c>
      <c r="I839" s="27">
        <f>I259*IF($E839="weekday",INDEX('Category Mapping'!$F$28:$F$39,MATCH('Summarized Source Data'!$A839,'Category Mapping'!$A$28:$A$39,0),1),INDEX('Category Mapping'!$E$28:$E$39,MATCH($A839,'Category Mapping'!$A$28:$A$39,0),1))</f>
        <v>291428571.42857146</v>
      </c>
      <c r="J839" s="27">
        <f>J259*IF($E839="weekday",INDEX('Category Mapping'!$F$28:$F$39,MATCH('Summarized Source Data'!$A839,'Category Mapping'!$A$28:$A$39,0),1),INDEX('Category Mapping'!$E$28:$E$39,MATCH($A839,'Category Mapping'!$A$28:$A$39,0),1))</f>
        <v>2601661350.0000005</v>
      </c>
      <c r="K839" s="27">
        <f>K259*IF($E839="weekday",INDEX('Category Mapping'!$F$28:$F$39,MATCH('Summarized Source Data'!$A839,'Category Mapping'!$A$28:$A$39,0),1),INDEX('Category Mapping'!$E$28:$E$39,MATCH($A839,'Category Mapping'!$A$28:$A$39,0),1))</f>
        <v>2601661350.0000005</v>
      </c>
      <c r="L839" s="27">
        <f>L259*IF($E839="weekday",INDEX('Category Mapping'!$F$28:$F$39,MATCH('Summarized Source Data'!$A839,'Category Mapping'!$A$28:$A$39,0),1),INDEX('Category Mapping'!$E$28:$E$39,MATCH($A839,'Category Mapping'!$A$28:$A$39,0),1))</f>
        <v>499285714.28571433</v>
      </c>
      <c r="M839" s="27">
        <f>M259*IF($E839="weekday",INDEX('Category Mapping'!$F$28:$F$39,MATCH('Summarized Source Data'!$A839,'Category Mapping'!$A$28:$A$39,0),1),INDEX('Category Mapping'!$E$28:$E$39,MATCH($A839,'Category Mapping'!$A$28:$A$39,0),1))</f>
        <v>5009335.7142857146</v>
      </c>
      <c r="N839" s="27">
        <f>N259*IF($E839="weekday",INDEX('Category Mapping'!$F$28:$F$39,MATCH('Summarized Source Data'!$A839,'Category Mapping'!$A$28:$A$39,0),1),INDEX('Category Mapping'!$E$28:$E$39,MATCH($A839,'Category Mapping'!$A$28:$A$39,0),1))</f>
        <v>0</v>
      </c>
      <c r="O839" s="27">
        <f>O259*IF($E839="weekday",INDEX('Category Mapping'!$F$28:$F$39,MATCH('Summarized Source Data'!$A839,'Category Mapping'!$A$28:$A$39,0),1),INDEX('Category Mapping'!$E$28:$E$39,MATCH($A839,'Category Mapping'!$A$28:$A$39,0),1))</f>
        <v>10981419235.714287</v>
      </c>
      <c r="P839" s="27">
        <f>P259*IF($E839="weekday",INDEX('Category Mapping'!$F$28:$F$39,MATCH('Summarized Source Data'!$A839,'Category Mapping'!$A$28:$A$39,0),1),INDEX('Category Mapping'!$E$28:$E$39,MATCH($A839,'Category Mapping'!$A$28:$A$39,0),1))</f>
        <v>10981419235.714287</v>
      </c>
      <c r="Q839" s="27">
        <f>Q259*IF($E839="weekday",INDEX('Category Mapping'!$F$28:$F$39,MATCH('Summarized Source Data'!$A839,'Category Mapping'!$A$28:$A$39,0),1),INDEX('Category Mapping'!$E$28:$E$39,MATCH($A839,'Category Mapping'!$A$28:$A$39,0),1))</f>
        <v>10981419235.714287</v>
      </c>
      <c r="R839" s="27">
        <f>R259*IF($E839="weekday",INDEX('Category Mapping'!$F$28:$F$39,MATCH('Summarized Source Data'!$A839,'Category Mapping'!$A$28:$A$39,0),1),INDEX('Category Mapping'!$E$28:$E$39,MATCH($A839,'Category Mapping'!$A$28:$A$39,0),1))</f>
        <v>310714285.71428573</v>
      </c>
      <c r="S839" s="27">
        <f>S259*IF($E839="weekday",INDEX('Category Mapping'!$F$28:$F$39,MATCH('Summarized Source Data'!$A839,'Category Mapping'!$A$28:$A$39,0),1),INDEX('Category Mapping'!$E$28:$E$39,MATCH($A839,'Category Mapping'!$A$28:$A$39,0),1))</f>
        <v>310714285.71428573</v>
      </c>
      <c r="T839" s="27">
        <f>T259*IF($E839="weekday",INDEX('Category Mapping'!$F$28:$F$39,MATCH('Summarized Source Data'!$A839,'Category Mapping'!$A$28:$A$39,0),1),INDEX('Category Mapping'!$E$28:$E$39,MATCH($A839,'Category Mapping'!$A$28:$A$39,0),1))</f>
        <v>310714285.71428573</v>
      </c>
      <c r="U839" s="27">
        <f>U259*IF($E839="weekday",INDEX('Category Mapping'!$F$28:$F$39,MATCH('Summarized Source Data'!$A839,'Category Mapping'!$A$28:$A$39,0),1),INDEX('Category Mapping'!$E$28:$E$39,MATCH($A839,'Category Mapping'!$A$28:$A$39,0),1))</f>
        <v>310714285.71428573</v>
      </c>
      <c r="V839" s="27">
        <f>V259*IF($E839="weekday",INDEX('Category Mapping'!$F$28:$F$39,MATCH('Summarized Source Data'!$A839,'Category Mapping'!$A$28:$A$39,0),1),INDEX('Category Mapping'!$E$28:$E$39,MATCH($A839,'Category Mapping'!$A$28:$A$39,0),1))</f>
        <v>310714285.71428573</v>
      </c>
      <c r="W839" s="27">
        <f>W259*IF($E839="weekday",INDEX('Category Mapping'!$F$28:$F$39,MATCH('Summarized Source Data'!$A839,'Category Mapping'!$A$28:$A$39,0),1),INDEX('Category Mapping'!$E$28:$E$39,MATCH($A839,'Category Mapping'!$A$28:$A$39,0),1))</f>
        <v>310714285.71428573</v>
      </c>
      <c r="X839" s="27">
        <f>X259*IF($E839="weekday",INDEX('Category Mapping'!$F$28:$F$39,MATCH('Summarized Source Data'!$A839,'Category Mapping'!$A$28:$A$39,0),1),INDEX('Category Mapping'!$E$28:$E$39,MATCH($A839,'Category Mapping'!$A$28:$A$39,0),1))</f>
        <v>14592857142.857143</v>
      </c>
      <c r="Y839" s="27">
        <f>Y259*IF($E839="weekday",INDEX('Category Mapping'!$F$28:$F$39,MATCH('Summarized Source Data'!$A839,'Category Mapping'!$A$28:$A$39,0),1),INDEX('Category Mapping'!$E$28:$E$39,MATCH($A839,'Category Mapping'!$A$28:$A$39,0),1))</f>
        <v>14592857142.857143</v>
      </c>
      <c r="Z839" s="27">
        <f>Z259*IF($E839="weekday",INDEX('Category Mapping'!$F$28:$F$39,MATCH('Summarized Source Data'!$A839,'Category Mapping'!$A$28:$A$39,0),1),INDEX('Category Mapping'!$E$28:$E$39,MATCH($A839,'Category Mapping'!$A$28:$A$39,0),1))</f>
        <v>14592857142.857143</v>
      </c>
    </row>
    <row r="840" spans="1:26" x14ac:dyDescent="0.3">
      <c r="A840">
        <f t="shared" ref="A840:E840" si="305">A260</f>
        <v>11</v>
      </c>
      <c r="B840" t="str">
        <f t="shared" si="305"/>
        <v>Winter</v>
      </c>
      <c r="C840" t="str">
        <f t="shared" si="305"/>
        <v>h17</v>
      </c>
      <c r="D840" t="str">
        <f t="shared" si="305"/>
        <v>Hour16</v>
      </c>
      <c r="E840" t="str">
        <f t="shared" si="305"/>
        <v>Weekday</v>
      </c>
      <c r="F840" s="27">
        <f>F260*IF($E840="weekday",INDEX('Category Mapping'!$F$28:$F$39,MATCH('Summarized Source Data'!$A840,'Category Mapping'!$A$28:$A$39,0),1),INDEX('Category Mapping'!$E$28:$E$39,MATCH($A840,'Category Mapping'!$A$28:$A$39,0),1))</f>
        <v>225000000.00000003</v>
      </c>
      <c r="G840" s="27">
        <f>G260*IF($E840="weekday",INDEX('Category Mapping'!$F$28:$F$39,MATCH('Summarized Source Data'!$A840,'Category Mapping'!$A$28:$A$39,0),1),INDEX('Category Mapping'!$E$28:$E$39,MATCH($A840,'Category Mapping'!$A$28:$A$39,0),1))</f>
        <v>610714.2857142858</v>
      </c>
      <c r="H840" s="27">
        <f>H260*IF($E840="weekday",INDEX('Category Mapping'!$F$28:$F$39,MATCH('Summarized Source Data'!$A840,'Category Mapping'!$A$28:$A$39,0),1),INDEX('Category Mapping'!$E$28:$E$39,MATCH($A840,'Category Mapping'!$A$28:$A$39,0),1))</f>
        <v>0</v>
      </c>
      <c r="I840" s="27">
        <f>I260*IF($E840="weekday",INDEX('Category Mapping'!$F$28:$F$39,MATCH('Summarized Source Data'!$A840,'Category Mapping'!$A$28:$A$39,0),1),INDEX('Category Mapping'!$E$28:$E$39,MATCH($A840,'Category Mapping'!$A$28:$A$39,0),1))</f>
        <v>638571428.57142866</v>
      </c>
      <c r="J840" s="27">
        <f>J260*IF($E840="weekday",INDEX('Category Mapping'!$F$28:$F$39,MATCH('Summarized Source Data'!$A840,'Category Mapping'!$A$28:$A$39,0),1),INDEX('Category Mapping'!$E$28:$E$39,MATCH($A840,'Category Mapping'!$A$28:$A$39,0),1))</f>
        <v>3164389285.7142859</v>
      </c>
      <c r="K840" s="27">
        <f>K260*IF($E840="weekday",INDEX('Category Mapping'!$F$28:$F$39,MATCH('Summarized Source Data'!$A840,'Category Mapping'!$A$28:$A$39,0),1),INDEX('Category Mapping'!$E$28:$E$39,MATCH($A840,'Category Mapping'!$A$28:$A$39,0),1))</f>
        <v>3164389285.7142859</v>
      </c>
      <c r="L840" s="27">
        <f>L260*IF($E840="weekday",INDEX('Category Mapping'!$F$28:$F$39,MATCH('Summarized Source Data'!$A840,'Category Mapping'!$A$28:$A$39,0),1),INDEX('Category Mapping'!$E$28:$E$39,MATCH($A840,'Category Mapping'!$A$28:$A$39,0),1))</f>
        <v>495000000.00000006</v>
      </c>
      <c r="M840" s="27">
        <f>M260*IF($E840="weekday",INDEX('Category Mapping'!$F$28:$F$39,MATCH('Summarized Source Data'!$A840,'Category Mapping'!$A$28:$A$39,0),1),INDEX('Category Mapping'!$E$28:$E$39,MATCH($A840,'Category Mapping'!$A$28:$A$39,0),1))</f>
        <v>4906500</v>
      </c>
      <c r="N840" s="27">
        <f>N260*IF($E840="weekday",INDEX('Category Mapping'!$F$28:$F$39,MATCH('Summarized Source Data'!$A840,'Category Mapping'!$A$28:$A$39,0),1),INDEX('Category Mapping'!$E$28:$E$39,MATCH($A840,'Category Mapping'!$A$28:$A$39,0),1))</f>
        <v>0</v>
      </c>
      <c r="O840" s="27">
        <f>O260*IF($E840="weekday",INDEX('Category Mapping'!$F$28:$F$39,MATCH('Summarized Source Data'!$A840,'Category Mapping'!$A$28:$A$39,0),1),INDEX('Category Mapping'!$E$28:$E$39,MATCH($A840,'Category Mapping'!$A$28:$A$39,0),1))</f>
        <v>10621522071.428572</v>
      </c>
      <c r="P840" s="27">
        <f>P260*IF($E840="weekday",INDEX('Category Mapping'!$F$28:$F$39,MATCH('Summarized Source Data'!$A840,'Category Mapping'!$A$28:$A$39,0),1),INDEX('Category Mapping'!$E$28:$E$39,MATCH($A840,'Category Mapping'!$A$28:$A$39,0),1))</f>
        <v>10621522071.428572</v>
      </c>
      <c r="Q840" s="27">
        <f>Q260*IF($E840="weekday",INDEX('Category Mapping'!$F$28:$F$39,MATCH('Summarized Source Data'!$A840,'Category Mapping'!$A$28:$A$39,0),1),INDEX('Category Mapping'!$E$28:$E$39,MATCH($A840,'Category Mapping'!$A$28:$A$39,0),1))</f>
        <v>10621522071.428572</v>
      </c>
      <c r="R840" s="27">
        <f>R260*IF($E840="weekday",INDEX('Category Mapping'!$F$28:$F$39,MATCH('Summarized Source Data'!$A840,'Category Mapping'!$A$28:$A$39,0),1),INDEX('Category Mapping'!$E$28:$E$39,MATCH($A840,'Category Mapping'!$A$28:$A$39,0),1))</f>
        <v>357857142.85714287</v>
      </c>
      <c r="S840" s="27">
        <f>S260*IF($E840="weekday",INDEX('Category Mapping'!$F$28:$F$39,MATCH('Summarized Source Data'!$A840,'Category Mapping'!$A$28:$A$39,0),1),INDEX('Category Mapping'!$E$28:$E$39,MATCH($A840,'Category Mapping'!$A$28:$A$39,0),1))</f>
        <v>357857142.85714287</v>
      </c>
      <c r="T840" s="27">
        <f>T260*IF($E840="weekday",INDEX('Category Mapping'!$F$28:$F$39,MATCH('Summarized Source Data'!$A840,'Category Mapping'!$A$28:$A$39,0),1),INDEX('Category Mapping'!$E$28:$E$39,MATCH($A840,'Category Mapping'!$A$28:$A$39,0),1))</f>
        <v>357857142.85714287</v>
      </c>
      <c r="U840" s="27">
        <f>U260*IF($E840="weekday",INDEX('Category Mapping'!$F$28:$F$39,MATCH('Summarized Source Data'!$A840,'Category Mapping'!$A$28:$A$39,0),1),INDEX('Category Mapping'!$E$28:$E$39,MATCH($A840,'Category Mapping'!$A$28:$A$39,0),1))</f>
        <v>357857142.85714287</v>
      </c>
      <c r="V840" s="27">
        <f>V260*IF($E840="weekday",INDEX('Category Mapping'!$F$28:$F$39,MATCH('Summarized Source Data'!$A840,'Category Mapping'!$A$28:$A$39,0),1),INDEX('Category Mapping'!$E$28:$E$39,MATCH($A840,'Category Mapping'!$A$28:$A$39,0),1))</f>
        <v>357857142.85714287</v>
      </c>
      <c r="W840" s="27">
        <f>W260*IF($E840="weekday",INDEX('Category Mapping'!$F$28:$F$39,MATCH('Summarized Source Data'!$A840,'Category Mapping'!$A$28:$A$39,0),1),INDEX('Category Mapping'!$E$28:$E$39,MATCH($A840,'Category Mapping'!$A$28:$A$39,0),1))</f>
        <v>357857142.85714287</v>
      </c>
      <c r="X840" s="27">
        <f>X260*IF($E840="weekday",INDEX('Category Mapping'!$F$28:$F$39,MATCH('Summarized Source Data'!$A840,'Category Mapping'!$A$28:$A$39,0),1),INDEX('Category Mapping'!$E$28:$E$39,MATCH($A840,'Category Mapping'!$A$28:$A$39,0),1))</f>
        <v>14742857142.857143</v>
      </c>
      <c r="Y840" s="27">
        <f>Y260*IF($E840="weekday",INDEX('Category Mapping'!$F$28:$F$39,MATCH('Summarized Source Data'!$A840,'Category Mapping'!$A$28:$A$39,0),1),INDEX('Category Mapping'!$E$28:$E$39,MATCH($A840,'Category Mapping'!$A$28:$A$39,0),1))</f>
        <v>14742857142.857143</v>
      </c>
      <c r="Z840" s="27">
        <f>Z260*IF($E840="weekday",INDEX('Category Mapping'!$F$28:$F$39,MATCH('Summarized Source Data'!$A840,'Category Mapping'!$A$28:$A$39,0),1),INDEX('Category Mapping'!$E$28:$E$39,MATCH($A840,'Category Mapping'!$A$28:$A$39,0),1))</f>
        <v>14742857142.857143</v>
      </c>
    </row>
    <row r="841" spans="1:26" x14ac:dyDescent="0.3">
      <c r="A841">
        <f t="shared" ref="A841:E841" si="306">A261</f>
        <v>11</v>
      </c>
      <c r="B841" t="str">
        <f t="shared" si="306"/>
        <v>Winter</v>
      </c>
      <c r="C841" t="str">
        <f t="shared" si="306"/>
        <v>h18</v>
      </c>
      <c r="D841" t="str">
        <f t="shared" si="306"/>
        <v>Hour17</v>
      </c>
      <c r="E841" t="str">
        <f t="shared" si="306"/>
        <v>Weekday</v>
      </c>
      <c r="F841" s="27">
        <f>F261*IF($E841="weekday",INDEX('Category Mapping'!$F$28:$F$39,MATCH('Summarized Source Data'!$A841,'Category Mapping'!$A$28:$A$39,0),1),INDEX('Category Mapping'!$E$28:$E$39,MATCH($A841,'Category Mapping'!$A$28:$A$39,0),1))</f>
        <v>237857142.85714287</v>
      </c>
      <c r="G841" s="27">
        <f>G261*IF($E841="weekday",INDEX('Category Mapping'!$F$28:$F$39,MATCH('Summarized Source Data'!$A841,'Category Mapping'!$A$28:$A$39,0),1),INDEX('Category Mapping'!$E$28:$E$39,MATCH($A841,'Category Mapping'!$A$28:$A$39,0),1))</f>
        <v>669364.2857142858</v>
      </c>
      <c r="H841" s="27">
        <f>H261*IF($E841="weekday",INDEX('Category Mapping'!$F$28:$F$39,MATCH('Summarized Source Data'!$A841,'Category Mapping'!$A$28:$A$39,0),1),INDEX('Category Mapping'!$E$28:$E$39,MATCH($A841,'Category Mapping'!$A$28:$A$39,0),1))</f>
        <v>0</v>
      </c>
      <c r="I841" s="27">
        <f>I261*IF($E841="weekday",INDEX('Category Mapping'!$F$28:$F$39,MATCH('Summarized Source Data'!$A841,'Category Mapping'!$A$28:$A$39,0),1),INDEX('Category Mapping'!$E$28:$E$39,MATCH($A841,'Category Mapping'!$A$28:$A$39,0),1))</f>
        <v>1152857142.8571429</v>
      </c>
      <c r="J841" s="27">
        <f>J261*IF($E841="weekday",INDEX('Category Mapping'!$F$28:$F$39,MATCH('Summarized Source Data'!$A841,'Category Mapping'!$A$28:$A$39,0),1),INDEX('Category Mapping'!$E$28:$E$39,MATCH($A841,'Category Mapping'!$A$28:$A$39,0),1))</f>
        <v>3494330635.7142859</v>
      </c>
      <c r="K841" s="27">
        <f>K261*IF($E841="weekday",INDEX('Category Mapping'!$F$28:$F$39,MATCH('Summarized Source Data'!$A841,'Category Mapping'!$A$28:$A$39,0),1),INDEX('Category Mapping'!$E$28:$E$39,MATCH($A841,'Category Mapping'!$A$28:$A$39,0),1))</f>
        <v>3494330635.7142859</v>
      </c>
      <c r="L841" s="27">
        <f>L261*IF($E841="weekday",INDEX('Category Mapping'!$F$28:$F$39,MATCH('Summarized Source Data'!$A841,'Category Mapping'!$A$28:$A$39,0),1),INDEX('Category Mapping'!$E$28:$E$39,MATCH($A841,'Category Mapping'!$A$28:$A$39,0),1))</f>
        <v>520714285.71428579</v>
      </c>
      <c r="M841" s="27">
        <f>M261*IF($E841="weekday",INDEX('Category Mapping'!$F$28:$F$39,MATCH('Summarized Source Data'!$A841,'Category Mapping'!$A$28:$A$39,0),1),INDEX('Category Mapping'!$E$28:$E$39,MATCH($A841,'Category Mapping'!$A$28:$A$39,0),1))</f>
        <v>4677985.7142857146</v>
      </c>
      <c r="N841" s="27">
        <f>N261*IF($E841="weekday",INDEX('Category Mapping'!$F$28:$F$39,MATCH('Summarized Source Data'!$A841,'Category Mapping'!$A$28:$A$39,0),1),INDEX('Category Mapping'!$E$28:$E$39,MATCH($A841,'Category Mapping'!$A$28:$A$39,0),1))</f>
        <v>0</v>
      </c>
      <c r="O841" s="27">
        <f>O261*IF($E841="weekday",INDEX('Category Mapping'!$F$28:$F$39,MATCH('Summarized Source Data'!$A841,'Category Mapping'!$A$28:$A$39,0),1),INDEX('Category Mapping'!$E$28:$E$39,MATCH($A841,'Category Mapping'!$A$28:$A$39,0),1))</f>
        <v>9974607728.5714302</v>
      </c>
      <c r="P841" s="27">
        <f>P261*IF($E841="weekday",INDEX('Category Mapping'!$F$28:$F$39,MATCH('Summarized Source Data'!$A841,'Category Mapping'!$A$28:$A$39,0),1),INDEX('Category Mapping'!$E$28:$E$39,MATCH($A841,'Category Mapping'!$A$28:$A$39,0),1))</f>
        <v>9974607728.5714302</v>
      </c>
      <c r="Q841" s="27">
        <f>Q261*IF($E841="weekday",INDEX('Category Mapping'!$F$28:$F$39,MATCH('Summarized Source Data'!$A841,'Category Mapping'!$A$28:$A$39,0),1),INDEX('Category Mapping'!$E$28:$E$39,MATCH($A841,'Category Mapping'!$A$28:$A$39,0),1))</f>
        <v>9974607728.5714302</v>
      </c>
      <c r="R841" s="27">
        <f>R261*IF($E841="weekday",INDEX('Category Mapping'!$F$28:$F$39,MATCH('Summarized Source Data'!$A841,'Category Mapping'!$A$28:$A$39,0),1),INDEX('Category Mapping'!$E$28:$E$39,MATCH($A841,'Category Mapping'!$A$28:$A$39,0),1))</f>
        <v>377142857.14285719</v>
      </c>
      <c r="S841" s="27">
        <f>S261*IF($E841="weekday",INDEX('Category Mapping'!$F$28:$F$39,MATCH('Summarized Source Data'!$A841,'Category Mapping'!$A$28:$A$39,0),1),INDEX('Category Mapping'!$E$28:$E$39,MATCH($A841,'Category Mapping'!$A$28:$A$39,0),1))</f>
        <v>377142857.14285719</v>
      </c>
      <c r="T841" s="27">
        <f>T261*IF($E841="weekday",INDEX('Category Mapping'!$F$28:$F$39,MATCH('Summarized Source Data'!$A841,'Category Mapping'!$A$28:$A$39,0),1),INDEX('Category Mapping'!$E$28:$E$39,MATCH($A841,'Category Mapping'!$A$28:$A$39,0),1))</f>
        <v>377142857.14285719</v>
      </c>
      <c r="U841" s="27">
        <f>U261*IF($E841="weekday",INDEX('Category Mapping'!$F$28:$F$39,MATCH('Summarized Source Data'!$A841,'Category Mapping'!$A$28:$A$39,0),1),INDEX('Category Mapping'!$E$28:$E$39,MATCH($A841,'Category Mapping'!$A$28:$A$39,0),1))</f>
        <v>377142857.14285719</v>
      </c>
      <c r="V841" s="27">
        <f>V261*IF($E841="weekday",INDEX('Category Mapping'!$F$28:$F$39,MATCH('Summarized Source Data'!$A841,'Category Mapping'!$A$28:$A$39,0),1),INDEX('Category Mapping'!$E$28:$E$39,MATCH($A841,'Category Mapping'!$A$28:$A$39,0),1))</f>
        <v>377142857.14285719</v>
      </c>
      <c r="W841" s="27">
        <f>W261*IF($E841="weekday",INDEX('Category Mapping'!$F$28:$F$39,MATCH('Summarized Source Data'!$A841,'Category Mapping'!$A$28:$A$39,0),1),INDEX('Category Mapping'!$E$28:$E$39,MATCH($A841,'Category Mapping'!$A$28:$A$39,0),1))</f>
        <v>377142857.14285719</v>
      </c>
      <c r="X841" s="27">
        <f>X261*IF($E841="weekday",INDEX('Category Mapping'!$F$28:$F$39,MATCH('Summarized Source Data'!$A841,'Category Mapping'!$A$28:$A$39,0),1),INDEX('Category Mapping'!$E$28:$E$39,MATCH($A841,'Category Mapping'!$A$28:$A$39,0),1))</f>
        <v>14785714285.714287</v>
      </c>
      <c r="Y841" s="27">
        <f>Y261*IF($E841="weekday",INDEX('Category Mapping'!$F$28:$F$39,MATCH('Summarized Source Data'!$A841,'Category Mapping'!$A$28:$A$39,0),1),INDEX('Category Mapping'!$E$28:$E$39,MATCH($A841,'Category Mapping'!$A$28:$A$39,0),1))</f>
        <v>14785714285.714287</v>
      </c>
      <c r="Z841" s="27">
        <f>Z261*IF($E841="weekday",INDEX('Category Mapping'!$F$28:$F$39,MATCH('Summarized Source Data'!$A841,'Category Mapping'!$A$28:$A$39,0),1),INDEX('Category Mapping'!$E$28:$E$39,MATCH($A841,'Category Mapping'!$A$28:$A$39,0),1))</f>
        <v>14785714285.714287</v>
      </c>
    </row>
    <row r="842" spans="1:26" x14ac:dyDescent="0.3">
      <c r="A842">
        <f t="shared" ref="A842:E842" si="307">A262</f>
        <v>11</v>
      </c>
      <c r="B842" t="str">
        <f t="shared" si="307"/>
        <v>Winter</v>
      </c>
      <c r="C842" t="str">
        <f t="shared" si="307"/>
        <v>h19</v>
      </c>
      <c r="D842" t="str">
        <f t="shared" si="307"/>
        <v>Hour18</v>
      </c>
      <c r="E842" t="str">
        <f t="shared" si="307"/>
        <v>Weekday</v>
      </c>
      <c r="F842" s="27">
        <f>F262*IF($E842="weekday",INDEX('Category Mapping'!$F$28:$F$39,MATCH('Summarized Source Data'!$A842,'Category Mapping'!$A$28:$A$39,0),1),INDEX('Category Mapping'!$E$28:$E$39,MATCH($A842,'Category Mapping'!$A$28:$A$39,0),1))</f>
        <v>250714285.71428573</v>
      </c>
      <c r="G842" s="27">
        <f>G262*IF($E842="weekday",INDEX('Category Mapping'!$F$28:$F$39,MATCH('Summarized Source Data'!$A842,'Category Mapping'!$A$28:$A$39,0),1),INDEX('Category Mapping'!$E$28:$E$39,MATCH($A842,'Category Mapping'!$A$28:$A$39,0),1))</f>
        <v>743078.57142857148</v>
      </c>
      <c r="H842" s="27">
        <f>H262*IF($E842="weekday",INDEX('Category Mapping'!$F$28:$F$39,MATCH('Summarized Source Data'!$A842,'Category Mapping'!$A$28:$A$39,0),1),INDEX('Category Mapping'!$E$28:$E$39,MATCH($A842,'Category Mapping'!$A$28:$A$39,0),1))</f>
        <v>0</v>
      </c>
      <c r="I842" s="27">
        <f>I262*IF($E842="weekday",INDEX('Category Mapping'!$F$28:$F$39,MATCH('Summarized Source Data'!$A842,'Category Mapping'!$A$28:$A$39,0),1),INDEX('Category Mapping'!$E$28:$E$39,MATCH($A842,'Category Mapping'!$A$28:$A$39,0),1))</f>
        <v>1262142857.1428573</v>
      </c>
      <c r="J842" s="27">
        <f>J262*IF($E842="weekday",INDEX('Category Mapping'!$F$28:$F$39,MATCH('Summarized Source Data'!$A842,'Category Mapping'!$A$28:$A$39,0),1),INDEX('Category Mapping'!$E$28:$E$39,MATCH($A842,'Category Mapping'!$A$28:$A$39,0),1))</f>
        <v>3414971207.1428576</v>
      </c>
      <c r="K842" s="27">
        <f>K262*IF($E842="weekday",INDEX('Category Mapping'!$F$28:$F$39,MATCH('Summarized Source Data'!$A842,'Category Mapping'!$A$28:$A$39,0),1),INDEX('Category Mapping'!$E$28:$E$39,MATCH($A842,'Category Mapping'!$A$28:$A$39,0),1))</f>
        <v>3414971207.1428576</v>
      </c>
      <c r="L842" s="27">
        <f>L262*IF($E842="weekday",INDEX('Category Mapping'!$F$28:$F$39,MATCH('Summarized Source Data'!$A842,'Category Mapping'!$A$28:$A$39,0),1),INDEX('Category Mapping'!$E$28:$E$39,MATCH($A842,'Category Mapping'!$A$28:$A$39,0),1))</f>
        <v>634285714.28571439</v>
      </c>
      <c r="M842" s="27">
        <f>M262*IF($E842="weekday",INDEX('Category Mapping'!$F$28:$F$39,MATCH('Summarized Source Data'!$A842,'Category Mapping'!$A$28:$A$39,0),1),INDEX('Category Mapping'!$E$28:$E$39,MATCH($A842,'Category Mapping'!$A$28:$A$39,0),1))</f>
        <v>4479964.2857142864</v>
      </c>
      <c r="N842" s="27">
        <f>N262*IF($E842="weekday",INDEX('Category Mapping'!$F$28:$F$39,MATCH('Summarized Source Data'!$A842,'Category Mapping'!$A$28:$A$39,0),1),INDEX('Category Mapping'!$E$28:$E$39,MATCH($A842,'Category Mapping'!$A$28:$A$39,0),1))</f>
        <v>0</v>
      </c>
      <c r="O842" s="27">
        <f>O262*IF($E842="weekday",INDEX('Category Mapping'!$F$28:$F$39,MATCH('Summarized Source Data'!$A842,'Category Mapping'!$A$28:$A$39,0),1),INDEX('Category Mapping'!$E$28:$E$39,MATCH($A842,'Category Mapping'!$A$28:$A$39,0),1))</f>
        <v>9496948607.1428585</v>
      </c>
      <c r="P842" s="27">
        <f>P262*IF($E842="weekday",INDEX('Category Mapping'!$F$28:$F$39,MATCH('Summarized Source Data'!$A842,'Category Mapping'!$A$28:$A$39,0),1),INDEX('Category Mapping'!$E$28:$E$39,MATCH($A842,'Category Mapping'!$A$28:$A$39,0),1))</f>
        <v>9496948607.1428585</v>
      </c>
      <c r="Q842" s="27">
        <f>Q262*IF($E842="weekday",INDEX('Category Mapping'!$F$28:$F$39,MATCH('Summarized Source Data'!$A842,'Category Mapping'!$A$28:$A$39,0),1),INDEX('Category Mapping'!$E$28:$E$39,MATCH($A842,'Category Mapping'!$A$28:$A$39,0),1))</f>
        <v>9496948607.1428585</v>
      </c>
      <c r="R842" s="27">
        <f>R262*IF($E842="weekday",INDEX('Category Mapping'!$F$28:$F$39,MATCH('Summarized Source Data'!$A842,'Category Mapping'!$A$28:$A$39,0),1),INDEX('Category Mapping'!$E$28:$E$39,MATCH($A842,'Category Mapping'!$A$28:$A$39,0),1))</f>
        <v>347142857.14285719</v>
      </c>
      <c r="S842" s="27">
        <f>S262*IF($E842="weekday",INDEX('Category Mapping'!$F$28:$F$39,MATCH('Summarized Source Data'!$A842,'Category Mapping'!$A$28:$A$39,0),1),INDEX('Category Mapping'!$E$28:$E$39,MATCH($A842,'Category Mapping'!$A$28:$A$39,0),1))</f>
        <v>347142857.14285719</v>
      </c>
      <c r="T842" s="27">
        <f>T262*IF($E842="weekday",INDEX('Category Mapping'!$F$28:$F$39,MATCH('Summarized Source Data'!$A842,'Category Mapping'!$A$28:$A$39,0),1),INDEX('Category Mapping'!$E$28:$E$39,MATCH($A842,'Category Mapping'!$A$28:$A$39,0),1))</f>
        <v>347142857.14285719</v>
      </c>
      <c r="U842" s="27">
        <f>U262*IF($E842="weekday",INDEX('Category Mapping'!$F$28:$F$39,MATCH('Summarized Source Data'!$A842,'Category Mapping'!$A$28:$A$39,0),1),INDEX('Category Mapping'!$E$28:$E$39,MATCH($A842,'Category Mapping'!$A$28:$A$39,0),1))</f>
        <v>347142857.14285719</v>
      </c>
      <c r="V842" s="27">
        <f>V262*IF($E842="weekday",INDEX('Category Mapping'!$F$28:$F$39,MATCH('Summarized Source Data'!$A842,'Category Mapping'!$A$28:$A$39,0),1),INDEX('Category Mapping'!$E$28:$E$39,MATCH($A842,'Category Mapping'!$A$28:$A$39,0),1))</f>
        <v>347142857.14285719</v>
      </c>
      <c r="W842" s="27">
        <f>W262*IF($E842="weekday",INDEX('Category Mapping'!$F$28:$F$39,MATCH('Summarized Source Data'!$A842,'Category Mapping'!$A$28:$A$39,0),1),INDEX('Category Mapping'!$E$28:$E$39,MATCH($A842,'Category Mapping'!$A$28:$A$39,0),1))</f>
        <v>347142857.14285719</v>
      </c>
      <c r="X842" s="27">
        <f>X262*IF($E842="weekday",INDEX('Category Mapping'!$F$28:$F$39,MATCH('Summarized Source Data'!$A842,'Category Mapping'!$A$28:$A$39,0),1),INDEX('Category Mapping'!$E$28:$E$39,MATCH($A842,'Category Mapping'!$A$28:$A$39,0),1))</f>
        <v>14700000000.000002</v>
      </c>
      <c r="Y842" s="27">
        <f>Y262*IF($E842="weekday",INDEX('Category Mapping'!$F$28:$F$39,MATCH('Summarized Source Data'!$A842,'Category Mapping'!$A$28:$A$39,0),1),INDEX('Category Mapping'!$E$28:$E$39,MATCH($A842,'Category Mapping'!$A$28:$A$39,0),1))</f>
        <v>14700000000.000002</v>
      </c>
      <c r="Z842" s="27">
        <f>Z262*IF($E842="weekday",INDEX('Category Mapping'!$F$28:$F$39,MATCH('Summarized Source Data'!$A842,'Category Mapping'!$A$28:$A$39,0),1),INDEX('Category Mapping'!$E$28:$E$39,MATCH($A842,'Category Mapping'!$A$28:$A$39,0),1))</f>
        <v>14700000000.000002</v>
      </c>
    </row>
    <row r="843" spans="1:26" x14ac:dyDescent="0.3">
      <c r="A843">
        <f t="shared" ref="A843:E843" si="308">A263</f>
        <v>11</v>
      </c>
      <c r="B843" t="str">
        <f t="shared" si="308"/>
        <v>Winter</v>
      </c>
      <c r="C843" t="str">
        <f t="shared" si="308"/>
        <v>h20</v>
      </c>
      <c r="D843" t="str">
        <f t="shared" si="308"/>
        <v>Hour19</v>
      </c>
      <c r="E843" t="str">
        <f t="shared" si="308"/>
        <v>Weekday</v>
      </c>
      <c r="F843" s="27">
        <f>F263*IF($E843="weekday",INDEX('Category Mapping'!$F$28:$F$39,MATCH('Summarized Source Data'!$A843,'Category Mapping'!$A$28:$A$39,0),1),INDEX('Category Mapping'!$E$28:$E$39,MATCH($A843,'Category Mapping'!$A$28:$A$39,0),1))</f>
        <v>265714285.71428573</v>
      </c>
      <c r="G843" s="27">
        <f>G263*IF($E843="weekday",INDEX('Category Mapping'!$F$28:$F$39,MATCH('Summarized Source Data'!$A843,'Category Mapping'!$A$28:$A$39,0),1),INDEX('Category Mapping'!$E$28:$E$39,MATCH($A843,'Category Mapping'!$A$28:$A$39,0),1))</f>
        <v>818528.57142857148</v>
      </c>
      <c r="H843" s="27">
        <f>H263*IF($E843="weekday",INDEX('Category Mapping'!$F$28:$F$39,MATCH('Summarized Source Data'!$A843,'Category Mapping'!$A$28:$A$39,0),1),INDEX('Category Mapping'!$E$28:$E$39,MATCH($A843,'Category Mapping'!$A$28:$A$39,0),1))</f>
        <v>0</v>
      </c>
      <c r="I843" s="27">
        <f>I263*IF($E843="weekday",INDEX('Category Mapping'!$F$28:$F$39,MATCH('Summarized Source Data'!$A843,'Category Mapping'!$A$28:$A$39,0),1),INDEX('Category Mapping'!$E$28:$E$39,MATCH($A843,'Category Mapping'!$A$28:$A$39,0),1))</f>
        <v>1358571428.5714288</v>
      </c>
      <c r="J843" s="27">
        <f>J263*IF($E843="weekday",INDEX('Category Mapping'!$F$28:$F$39,MATCH('Summarized Source Data'!$A843,'Category Mapping'!$A$28:$A$39,0),1),INDEX('Category Mapping'!$E$28:$E$39,MATCH($A843,'Category Mapping'!$A$28:$A$39,0),1))</f>
        <v>3260610042.8571434</v>
      </c>
      <c r="K843" s="27">
        <f>K263*IF($E843="weekday",INDEX('Category Mapping'!$F$28:$F$39,MATCH('Summarized Source Data'!$A843,'Category Mapping'!$A$28:$A$39,0),1),INDEX('Category Mapping'!$E$28:$E$39,MATCH($A843,'Category Mapping'!$A$28:$A$39,0),1))</f>
        <v>3260610042.8571434</v>
      </c>
      <c r="L843" s="27">
        <f>L263*IF($E843="weekday",INDEX('Category Mapping'!$F$28:$F$39,MATCH('Summarized Source Data'!$A843,'Category Mapping'!$A$28:$A$39,0),1),INDEX('Category Mapping'!$E$28:$E$39,MATCH($A843,'Category Mapping'!$A$28:$A$39,0),1))</f>
        <v>730714285.71428573</v>
      </c>
      <c r="M843" s="27">
        <f>M263*IF($E843="weekday",INDEX('Category Mapping'!$F$28:$F$39,MATCH('Summarized Source Data'!$A843,'Category Mapping'!$A$28:$A$39,0),1),INDEX('Category Mapping'!$E$28:$E$39,MATCH($A843,'Category Mapping'!$A$28:$A$39,0),1))</f>
        <v>4197364.2857142864</v>
      </c>
      <c r="N843" s="27">
        <f>N263*IF($E843="weekday",INDEX('Category Mapping'!$F$28:$F$39,MATCH('Summarized Source Data'!$A843,'Category Mapping'!$A$28:$A$39,0),1),INDEX('Category Mapping'!$E$28:$E$39,MATCH($A843,'Category Mapping'!$A$28:$A$39,0),1))</f>
        <v>0</v>
      </c>
      <c r="O843" s="27">
        <f>O263*IF($E843="weekday",INDEX('Category Mapping'!$F$28:$F$39,MATCH('Summarized Source Data'!$A843,'Category Mapping'!$A$28:$A$39,0),1),INDEX('Category Mapping'!$E$28:$E$39,MATCH($A843,'Category Mapping'!$A$28:$A$39,0),1))</f>
        <v>7943659778.5714293</v>
      </c>
      <c r="P843" s="27">
        <f>P263*IF($E843="weekday",INDEX('Category Mapping'!$F$28:$F$39,MATCH('Summarized Source Data'!$A843,'Category Mapping'!$A$28:$A$39,0),1),INDEX('Category Mapping'!$E$28:$E$39,MATCH($A843,'Category Mapping'!$A$28:$A$39,0),1))</f>
        <v>7943659778.5714293</v>
      </c>
      <c r="Q843" s="27">
        <f>Q263*IF($E843="weekday",INDEX('Category Mapping'!$F$28:$F$39,MATCH('Summarized Source Data'!$A843,'Category Mapping'!$A$28:$A$39,0),1),INDEX('Category Mapping'!$E$28:$E$39,MATCH($A843,'Category Mapping'!$A$28:$A$39,0),1))</f>
        <v>7943659778.5714293</v>
      </c>
      <c r="R843" s="27">
        <f>R263*IF($E843="weekday",INDEX('Category Mapping'!$F$28:$F$39,MATCH('Summarized Source Data'!$A843,'Category Mapping'!$A$28:$A$39,0),1),INDEX('Category Mapping'!$E$28:$E$39,MATCH($A843,'Category Mapping'!$A$28:$A$39,0),1))</f>
        <v>282857142.85714287</v>
      </c>
      <c r="S843" s="27">
        <f>S263*IF($E843="weekday",INDEX('Category Mapping'!$F$28:$F$39,MATCH('Summarized Source Data'!$A843,'Category Mapping'!$A$28:$A$39,0),1),INDEX('Category Mapping'!$E$28:$E$39,MATCH($A843,'Category Mapping'!$A$28:$A$39,0),1))</f>
        <v>282857142.85714287</v>
      </c>
      <c r="T843" s="27">
        <f>T263*IF($E843="weekday",INDEX('Category Mapping'!$F$28:$F$39,MATCH('Summarized Source Data'!$A843,'Category Mapping'!$A$28:$A$39,0),1),INDEX('Category Mapping'!$E$28:$E$39,MATCH($A843,'Category Mapping'!$A$28:$A$39,0),1))</f>
        <v>282857142.85714287</v>
      </c>
      <c r="U843" s="27">
        <f>U263*IF($E843="weekday",INDEX('Category Mapping'!$F$28:$F$39,MATCH('Summarized Source Data'!$A843,'Category Mapping'!$A$28:$A$39,0),1),INDEX('Category Mapping'!$E$28:$E$39,MATCH($A843,'Category Mapping'!$A$28:$A$39,0),1))</f>
        <v>282857142.85714287</v>
      </c>
      <c r="V843" s="27">
        <f>V263*IF($E843="weekday",INDEX('Category Mapping'!$F$28:$F$39,MATCH('Summarized Source Data'!$A843,'Category Mapping'!$A$28:$A$39,0),1),INDEX('Category Mapping'!$E$28:$E$39,MATCH($A843,'Category Mapping'!$A$28:$A$39,0),1))</f>
        <v>282857142.85714287</v>
      </c>
      <c r="W843" s="27">
        <f>W263*IF($E843="weekday",INDEX('Category Mapping'!$F$28:$F$39,MATCH('Summarized Source Data'!$A843,'Category Mapping'!$A$28:$A$39,0),1),INDEX('Category Mapping'!$E$28:$E$39,MATCH($A843,'Category Mapping'!$A$28:$A$39,0),1))</f>
        <v>282857142.85714287</v>
      </c>
      <c r="X843" s="27">
        <f>X263*IF($E843="weekday",INDEX('Category Mapping'!$F$28:$F$39,MATCH('Summarized Source Data'!$A843,'Category Mapping'!$A$28:$A$39,0),1),INDEX('Category Mapping'!$E$28:$E$39,MATCH($A843,'Category Mapping'!$A$28:$A$39,0),1))</f>
        <v>14614285714.285715</v>
      </c>
      <c r="Y843" s="27">
        <f>Y263*IF($E843="weekday",INDEX('Category Mapping'!$F$28:$F$39,MATCH('Summarized Source Data'!$A843,'Category Mapping'!$A$28:$A$39,0),1),INDEX('Category Mapping'!$E$28:$E$39,MATCH($A843,'Category Mapping'!$A$28:$A$39,0),1))</f>
        <v>14614285714.285715</v>
      </c>
      <c r="Z843" s="27">
        <f>Z263*IF($E843="weekday",INDEX('Category Mapping'!$F$28:$F$39,MATCH('Summarized Source Data'!$A843,'Category Mapping'!$A$28:$A$39,0),1),INDEX('Category Mapping'!$E$28:$E$39,MATCH($A843,'Category Mapping'!$A$28:$A$39,0),1))</f>
        <v>14614285714.285715</v>
      </c>
    </row>
    <row r="844" spans="1:26" x14ac:dyDescent="0.3">
      <c r="A844">
        <f t="shared" ref="A844:E844" si="309">A264</f>
        <v>11</v>
      </c>
      <c r="B844" t="str">
        <f t="shared" si="309"/>
        <v>Winter</v>
      </c>
      <c r="C844" t="str">
        <f t="shared" si="309"/>
        <v>h21</v>
      </c>
      <c r="D844" t="str">
        <f t="shared" si="309"/>
        <v>Hour20</v>
      </c>
      <c r="E844" t="str">
        <f t="shared" si="309"/>
        <v>Weekday</v>
      </c>
      <c r="F844" s="27">
        <f>F264*IF($E844="weekday",INDEX('Category Mapping'!$F$28:$F$39,MATCH('Summarized Source Data'!$A844,'Category Mapping'!$A$28:$A$39,0),1),INDEX('Category Mapping'!$E$28:$E$39,MATCH($A844,'Category Mapping'!$A$28:$A$39,0),1))</f>
        <v>285000000</v>
      </c>
      <c r="G844" s="27">
        <f>G264*IF($E844="weekday",INDEX('Category Mapping'!$F$28:$F$39,MATCH('Summarized Source Data'!$A844,'Category Mapping'!$A$28:$A$39,0),1),INDEX('Category Mapping'!$E$28:$E$39,MATCH($A844,'Category Mapping'!$A$28:$A$39,0),1))</f>
        <v>885964.2857142858</v>
      </c>
      <c r="H844" s="27">
        <f>H264*IF($E844="weekday",INDEX('Category Mapping'!$F$28:$F$39,MATCH('Summarized Source Data'!$A844,'Category Mapping'!$A$28:$A$39,0),1),INDEX('Category Mapping'!$E$28:$E$39,MATCH($A844,'Category Mapping'!$A$28:$A$39,0),1))</f>
        <v>0</v>
      </c>
      <c r="I844" s="27">
        <f>I264*IF($E844="weekday",INDEX('Category Mapping'!$F$28:$F$39,MATCH('Summarized Source Data'!$A844,'Category Mapping'!$A$28:$A$39,0),1),INDEX('Category Mapping'!$E$28:$E$39,MATCH($A844,'Category Mapping'!$A$28:$A$39,0),1))</f>
        <v>1380000000.0000002</v>
      </c>
      <c r="J844" s="27">
        <f>J264*IF($E844="weekday",INDEX('Category Mapping'!$F$28:$F$39,MATCH('Summarized Source Data'!$A844,'Category Mapping'!$A$28:$A$39,0),1),INDEX('Category Mapping'!$E$28:$E$39,MATCH($A844,'Category Mapping'!$A$28:$A$39,0),1))</f>
        <v>3176971178.5714288</v>
      </c>
      <c r="K844" s="27">
        <f>K264*IF($E844="weekday",INDEX('Category Mapping'!$F$28:$F$39,MATCH('Summarized Source Data'!$A844,'Category Mapping'!$A$28:$A$39,0),1),INDEX('Category Mapping'!$E$28:$E$39,MATCH($A844,'Category Mapping'!$A$28:$A$39,0),1))</f>
        <v>3176971178.5714288</v>
      </c>
      <c r="L844" s="27">
        <f>L264*IF($E844="weekday",INDEX('Category Mapping'!$F$28:$F$39,MATCH('Summarized Source Data'!$A844,'Category Mapping'!$A$28:$A$39,0),1),INDEX('Category Mapping'!$E$28:$E$39,MATCH($A844,'Category Mapping'!$A$28:$A$39,0),1))</f>
        <v>799285714.28571439</v>
      </c>
      <c r="M844" s="27">
        <f>M264*IF($E844="weekday",INDEX('Category Mapping'!$F$28:$F$39,MATCH('Summarized Source Data'!$A844,'Category Mapping'!$A$28:$A$39,0),1),INDEX('Category Mapping'!$E$28:$E$39,MATCH($A844,'Category Mapping'!$A$28:$A$39,0),1))</f>
        <v>3959700.0000000005</v>
      </c>
      <c r="N844" s="27">
        <f>N264*IF($E844="weekday",INDEX('Category Mapping'!$F$28:$F$39,MATCH('Summarized Source Data'!$A844,'Category Mapping'!$A$28:$A$39,0),1),INDEX('Category Mapping'!$E$28:$E$39,MATCH($A844,'Category Mapping'!$A$28:$A$39,0),1))</f>
        <v>0</v>
      </c>
      <c r="O844" s="27">
        <f>O264*IF($E844="weekday",INDEX('Category Mapping'!$F$28:$F$39,MATCH('Summarized Source Data'!$A844,'Category Mapping'!$A$28:$A$39,0),1),INDEX('Category Mapping'!$E$28:$E$39,MATCH($A844,'Category Mapping'!$A$28:$A$39,0),1))</f>
        <v>6589611728.5714293</v>
      </c>
      <c r="P844" s="27">
        <f>P264*IF($E844="weekday",INDEX('Category Mapping'!$F$28:$F$39,MATCH('Summarized Source Data'!$A844,'Category Mapping'!$A$28:$A$39,0),1),INDEX('Category Mapping'!$E$28:$E$39,MATCH($A844,'Category Mapping'!$A$28:$A$39,0),1))</f>
        <v>6589611728.5714293</v>
      </c>
      <c r="Q844" s="27">
        <f>Q264*IF($E844="weekday",INDEX('Category Mapping'!$F$28:$F$39,MATCH('Summarized Source Data'!$A844,'Category Mapping'!$A$28:$A$39,0),1),INDEX('Category Mapping'!$E$28:$E$39,MATCH($A844,'Category Mapping'!$A$28:$A$39,0),1))</f>
        <v>6589611728.5714293</v>
      </c>
      <c r="R844" s="27">
        <f>R264*IF($E844="weekday",INDEX('Category Mapping'!$F$28:$F$39,MATCH('Summarized Source Data'!$A844,'Category Mapping'!$A$28:$A$39,0),1),INDEX('Category Mapping'!$E$28:$E$39,MATCH($A844,'Category Mapping'!$A$28:$A$39,0),1))</f>
        <v>259285714.2857143</v>
      </c>
      <c r="S844" s="27">
        <f>S264*IF($E844="weekday",INDEX('Category Mapping'!$F$28:$F$39,MATCH('Summarized Source Data'!$A844,'Category Mapping'!$A$28:$A$39,0),1),INDEX('Category Mapping'!$E$28:$E$39,MATCH($A844,'Category Mapping'!$A$28:$A$39,0),1))</f>
        <v>259285714.2857143</v>
      </c>
      <c r="T844" s="27">
        <f>T264*IF($E844="weekday",INDEX('Category Mapping'!$F$28:$F$39,MATCH('Summarized Source Data'!$A844,'Category Mapping'!$A$28:$A$39,0),1),INDEX('Category Mapping'!$E$28:$E$39,MATCH($A844,'Category Mapping'!$A$28:$A$39,0),1))</f>
        <v>259285714.2857143</v>
      </c>
      <c r="U844" s="27">
        <f>U264*IF($E844="weekday",INDEX('Category Mapping'!$F$28:$F$39,MATCH('Summarized Source Data'!$A844,'Category Mapping'!$A$28:$A$39,0),1),INDEX('Category Mapping'!$E$28:$E$39,MATCH($A844,'Category Mapping'!$A$28:$A$39,0),1))</f>
        <v>259285714.2857143</v>
      </c>
      <c r="V844" s="27">
        <f>V264*IF($E844="weekday",INDEX('Category Mapping'!$F$28:$F$39,MATCH('Summarized Source Data'!$A844,'Category Mapping'!$A$28:$A$39,0),1),INDEX('Category Mapping'!$E$28:$E$39,MATCH($A844,'Category Mapping'!$A$28:$A$39,0),1))</f>
        <v>259285714.2857143</v>
      </c>
      <c r="W844" s="27">
        <f>W264*IF($E844="weekday",INDEX('Category Mapping'!$F$28:$F$39,MATCH('Summarized Source Data'!$A844,'Category Mapping'!$A$28:$A$39,0),1),INDEX('Category Mapping'!$E$28:$E$39,MATCH($A844,'Category Mapping'!$A$28:$A$39,0),1))</f>
        <v>259285714.2857143</v>
      </c>
      <c r="X844" s="27">
        <f>X264*IF($E844="weekday",INDEX('Category Mapping'!$F$28:$F$39,MATCH('Summarized Source Data'!$A844,'Category Mapping'!$A$28:$A$39,0),1),INDEX('Category Mapping'!$E$28:$E$39,MATCH($A844,'Category Mapping'!$A$28:$A$39,0),1))</f>
        <v>14507142857.142859</v>
      </c>
      <c r="Y844" s="27">
        <f>Y264*IF($E844="weekday",INDEX('Category Mapping'!$F$28:$F$39,MATCH('Summarized Source Data'!$A844,'Category Mapping'!$A$28:$A$39,0),1),INDEX('Category Mapping'!$E$28:$E$39,MATCH($A844,'Category Mapping'!$A$28:$A$39,0),1))</f>
        <v>14507142857.142859</v>
      </c>
      <c r="Z844" s="27">
        <f>Z264*IF($E844="weekday",INDEX('Category Mapping'!$F$28:$F$39,MATCH('Summarized Source Data'!$A844,'Category Mapping'!$A$28:$A$39,0),1),INDEX('Category Mapping'!$E$28:$E$39,MATCH($A844,'Category Mapping'!$A$28:$A$39,0),1))</f>
        <v>14507142857.142859</v>
      </c>
    </row>
    <row r="845" spans="1:26" x14ac:dyDescent="0.3">
      <c r="A845">
        <f t="shared" ref="A845:E845" si="310">A265</f>
        <v>11</v>
      </c>
      <c r="B845" t="str">
        <f t="shared" si="310"/>
        <v>Winter</v>
      </c>
      <c r="C845" t="str">
        <f t="shared" si="310"/>
        <v>h22</v>
      </c>
      <c r="D845" t="str">
        <f t="shared" si="310"/>
        <v>Hour21</v>
      </c>
      <c r="E845" t="str">
        <f t="shared" si="310"/>
        <v>Weekday</v>
      </c>
      <c r="F845" s="27">
        <f>F265*IF($E845="weekday",INDEX('Category Mapping'!$F$28:$F$39,MATCH('Summarized Source Data'!$A845,'Category Mapping'!$A$28:$A$39,0),1),INDEX('Category Mapping'!$E$28:$E$39,MATCH($A845,'Category Mapping'!$A$28:$A$39,0),1))</f>
        <v>265714285.71428573</v>
      </c>
      <c r="G845" s="27">
        <f>G265*IF($E845="weekday",INDEX('Category Mapping'!$F$28:$F$39,MATCH('Summarized Source Data'!$A845,'Category Mapping'!$A$28:$A$39,0),1),INDEX('Category Mapping'!$E$28:$E$39,MATCH($A845,'Category Mapping'!$A$28:$A$39,0),1))</f>
        <v>942171.42857142864</v>
      </c>
      <c r="H845" s="27">
        <f>H265*IF($E845="weekday",INDEX('Category Mapping'!$F$28:$F$39,MATCH('Summarized Source Data'!$A845,'Category Mapping'!$A$28:$A$39,0),1),INDEX('Category Mapping'!$E$28:$E$39,MATCH($A845,'Category Mapping'!$A$28:$A$39,0),1))</f>
        <v>0</v>
      </c>
      <c r="I845" s="27">
        <f>I265*IF($E845="weekday",INDEX('Category Mapping'!$F$28:$F$39,MATCH('Summarized Source Data'!$A845,'Category Mapping'!$A$28:$A$39,0),1),INDEX('Category Mapping'!$E$28:$E$39,MATCH($A845,'Category Mapping'!$A$28:$A$39,0),1))</f>
        <v>1129285714.2857144</v>
      </c>
      <c r="J845" s="27">
        <f>J265*IF($E845="weekday",INDEX('Category Mapping'!$F$28:$F$39,MATCH('Summarized Source Data'!$A845,'Category Mapping'!$A$28:$A$39,0),1),INDEX('Category Mapping'!$E$28:$E$39,MATCH($A845,'Category Mapping'!$A$28:$A$39,0),1))</f>
        <v>3146914971.4285717</v>
      </c>
      <c r="K845" s="27">
        <f>K265*IF($E845="weekday",INDEX('Category Mapping'!$F$28:$F$39,MATCH('Summarized Source Data'!$A845,'Category Mapping'!$A$28:$A$39,0),1),INDEX('Category Mapping'!$E$28:$E$39,MATCH($A845,'Category Mapping'!$A$28:$A$39,0),1))</f>
        <v>3146914971.4285717</v>
      </c>
      <c r="L845" s="27">
        <f>L265*IF($E845="weekday",INDEX('Category Mapping'!$F$28:$F$39,MATCH('Summarized Source Data'!$A845,'Category Mapping'!$A$28:$A$39,0),1),INDEX('Category Mapping'!$E$28:$E$39,MATCH($A845,'Category Mapping'!$A$28:$A$39,0),1))</f>
        <v>852857142.85714293</v>
      </c>
      <c r="M845" s="27">
        <f>M265*IF($E845="weekday",INDEX('Category Mapping'!$F$28:$F$39,MATCH('Summarized Source Data'!$A845,'Category Mapping'!$A$28:$A$39,0),1),INDEX('Category Mapping'!$E$28:$E$39,MATCH($A845,'Category Mapping'!$A$28:$A$39,0),1))</f>
        <v>3717257.1428571432</v>
      </c>
      <c r="N845" s="27">
        <f>N265*IF($E845="weekday",INDEX('Category Mapping'!$F$28:$F$39,MATCH('Summarized Source Data'!$A845,'Category Mapping'!$A$28:$A$39,0),1),INDEX('Category Mapping'!$E$28:$E$39,MATCH($A845,'Category Mapping'!$A$28:$A$39,0),1))</f>
        <v>0</v>
      </c>
      <c r="O845" s="27">
        <f>O265*IF($E845="weekday",INDEX('Category Mapping'!$F$28:$F$39,MATCH('Summarized Source Data'!$A845,'Category Mapping'!$A$28:$A$39,0),1),INDEX('Category Mapping'!$E$28:$E$39,MATCH($A845,'Category Mapping'!$A$28:$A$39,0),1))</f>
        <v>5336282742.8571434</v>
      </c>
      <c r="P845" s="27">
        <f>P265*IF($E845="weekday",INDEX('Category Mapping'!$F$28:$F$39,MATCH('Summarized Source Data'!$A845,'Category Mapping'!$A$28:$A$39,0),1),INDEX('Category Mapping'!$E$28:$E$39,MATCH($A845,'Category Mapping'!$A$28:$A$39,0),1))</f>
        <v>5336282742.8571434</v>
      </c>
      <c r="Q845" s="27">
        <f>Q265*IF($E845="weekday",INDEX('Category Mapping'!$F$28:$F$39,MATCH('Summarized Source Data'!$A845,'Category Mapping'!$A$28:$A$39,0),1),INDEX('Category Mapping'!$E$28:$E$39,MATCH($A845,'Category Mapping'!$A$28:$A$39,0),1))</f>
        <v>5336282742.8571434</v>
      </c>
      <c r="R845" s="27">
        <f>R265*IF($E845="weekday",INDEX('Category Mapping'!$F$28:$F$39,MATCH('Summarized Source Data'!$A845,'Category Mapping'!$A$28:$A$39,0),1),INDEX('Category Mapping'!$E$28:$E$39,MATCH($A845,'Category Mapping'!$A$28:$A$39,0),1))</f>
        <v>244285714.2857143</v>
      </c>
      <c r="S845" s="27">
        <f>S265*IF($E845="weekday",INDEX('Category Mapping'!$F$28:$F$39,MATCH('Summarized Source Data'!$A845,'Category Mapping'!$A$28:$A$39,0),1),INDEX('Category Mapping'!$E$28:$E$39,MATCH($A845,'Category Mapping'!$A$28:$A$39,0),1))</f>
        <v>244285714.2857143</v>
      </c>
      <c r="T845" s="27">
        <f>T265*IF($E845="weekday",INDEX('Category Mapping'!$F$28:$F$39,MATCH('Summarized Source Data'!$A845,'Category Mapping'!$A$28:$A$39,0),1),INDEX('Category Mapping'!$E$28:$E$39,MATCH($A845,'Category Mapping'!$A$28:$A$39,0),1))</f>
        <v>244285714.2857143</v>
      </c>
      <c r="U845" s="27">
        <f>U265*IF($E845="weekday",INDEX('Category Mapping'!$F$28:$F$39,MATCH('Summarized Source Data'!$A845,'Category Mapping'!$A$28:$A$39,0),1),INDEX('Category Mapping'!$E$28:$E$39,MATCH($A845,'Category Mapping'!$A$28:$A$39,0),1))</f>
        <v>244285714.2857143</v>
      </c>
      <c r="V845" s="27">
        <f>V265*IF($E845="weekday",INDEX('Category Mapping'!$F$28:$F$39,MATCH('Summarized Source Data'!$A845,'Category Mapping'!$A$28:$A$39,0),1),INDEX('Category Mapping'!$E$28:$E$39,MATCH($A845,'Category Mapping'!$A$28:$A$39,0),1))</f>
        <v>244285714.2857143</v>
      </c>
      <c r="W845" s="27">
        <f>W265*IF($E845="weekday",INDEX('Category Mapping'!$F$28:$F$39,MATCH('Summarized Source Data'!$A845,'Category Mapping'!$A$28:$A$39,0),1),INDEX('Category Mapping'!$E$28:$E$39,MATCH($A845,'Category Mapping'!$A$28:$A$39,0),1))</f>
        <v>244285714.2857143</v>
      </c>
      <c r="X845" s="27">
        <f>X265*IF($E845="weekday",INDEX('Category Mapping'!$F$28:$F$39,MATCH('Summarized Source Data'!$A845,'Category Mapping'!$A$28:$A$39,0),1),INDEX('Category Mapping'!$E$28:$E$39,MATCH($A845,'Category Mapping'!$A$28:$A$39,0),1))</f>
        <v>14378571428.57143</v>
      </c>
      <c r="Y845" s="27">
        <f>Y265*IF($E845="weekday",INDEX('Category Mapping'!$F$28:$F$39,MATCH('Summarized Source Data'!$A845,'Category Mapping'!$A$28:$A$39,0),1),INDEX('Category Mapping'!$E$28:$E$39,MATCH($A845,'Category Mapping'!$A$28:$A$39,0),1))</f>
        <v>14378571428.57143</v>
      </c>
      <c r="Z845" s="27">
        <f>Z265*IF($E845="weekday",INDEX('Category Mapping'!$F$28:$F$39,MATCH('Summarized Source Data'!$A845,'Category Mapping'!$A$28:$A$39,0),1),INDEX('Category Mapping'!$E$28:$E$39,MATCH($A845,'Category Mapping'!$A$28:$A$39,0),1))</f>
        <v>14378571428.57143</v>
      </c>
    </row>
    <row r="846" spans="1:26" x14ac:dyDescent="0.3">
      <c r="A846">
        <f t="shared" ref="A846:E846" si="311">A266</f>
        <v>11</v>
      </c>
      <c r="B846" t="str">
        <f t="shared" si="311"/>
        <v>Winter</v>
      </c>
      <c r="C846" t="str">
        <f t="shared" si="311"/>
        <v>h23</v>
      </c>
      <c r="D846" t="str">
        <f t="shared" si="311"/>
        <v>Hour22</v>
      </c>
      <c r="E846" t="str">
        <f t="shared" si="311"/>
        <v>Weekday</v>
      </c>
      <c r="F846" s="27">
        <f>F266*IF($E846="weekday",INDEX('Category Mapping'!$F$28:$F$39,MATCH('Summarized Source Data'!$A846,'Category Mapping'!$A$28:$A$39,0),1),INDEX('Category Mapping'!$E$28:$E$39,MATCH($A846,'Category Mapping'!$A$28:$A$39,0),1))</f>
        <v>220714285.71428573</v>
      </c>
      <c r="G846" s="27">
        <f>G266*IF($E846="weekday",INDEX('Category Mapping'!$F$28:$F$39,MATCH('Summarized Source Data'!$A846,'Category Mapping'!$A$28:$A$39,0),1),INDEX('Category Mapping'!$E$28:$E$39,MATCH($A846,'Category Mapping'!$A$28:$A$39,0),1))</f>
        <v>982178.57142857148</v>
      </c>
      <c r="H846" s="27">
        <f>H266*IF($E846="weekday",INDEX('Category Mapping'!$F$28:$F$39,MATCH('Summarized Source Data'!$A846,'Category Mapping'!$A$28:$A$39,0),1),INDEX('Category Mapping'!$E$28:$E$39,MATCH($A846,'Category Mapping'!$A$28:$A$39,0),1))</f>
        <v>0</v>
      </c>
      <c r="I846" s="27">
        <f>I266*IF($E846="weekday",INDEX('Category Mapping'!$F$28:$F$39,MATCH('Summarized Source Data'!$A846,'Category Mapping'!$A$28:$A$39,0),1),INDEX('Category Mapping'!$E$28:$E$39,MATCH($A846,'Category Mapping'!$A$28:$A$39,0),1))</f>
        <v>670714285.71428573</v>
      </c>
      <c r="J846" s="27">
        <f>J266*IF($E846="weekday",INDEX('Category Mapping'!$F$28:$F$39,MATCH('Summarized Source Data'!$A846,'Category Mapping'!$A$28:$A$39,0),1),INDEX('Category Mapping'!$E$28:$E$39,MATCH($A846,'Category Mapping'!$A$28:$A$39,0),1))</f>
        <v>2471874964.2857146</v>
      </c>
      <c r="K846" s="27">
        <f>K266*IF($E846="weekday",INDEX('Category Mapping'!$F$28:$F$39,MATCH('Summarized Source Data'!$A846,'Category Mapping'!$A$28:$A$39,0),1),INDEX('Category Mapping'!$E$28:$E$39,MATCH($A846,'Category Mapping'!$A$28:$A$39,0),1))</f>
        <v>2471874964.2857146</v>
      </c>
      <c r="L846" s="27">
        <f>L266*IF($E846="weekday",INDEX('Category Mapping'!$F$28:$F$39,MATCH('Summarized Source Data'!$A846,'Category Mapping'!$A$28:$A$39,0),1),INDEX('Category Mapping'!$E$28:$E$39,MATCH($A846,'Category Mapping'!$A$28:$A$39,0),1))</f>
        <v>835714285.71428585</v>
      </c>
      <c r="M846" s="27">
        <f>M266*IF($E846="weekday",INDEX('Category Mapping'!$F$28:$F$39,MATCH('Summarized Source Data'!$A846,'Category Mapping'!$A$28:$A$39,0),1),INDEX('Category Mapping'!$E$28:$E$39,MATCH($A846,'Category Mapping'!$A$28:$A$39,0),1))</f>
        <v>3425742.8571428573</v>
      </c>
      <c r="N846" s="27">
        <f>N266*IF($E846="weekday",INDEX('Category Mapping'!$F$28:$F$39,MATCH('Summarized Source Data'!$A846,'Category Mapping'!$A$28:$A$39,0),1),INDEX('Category Mapping'!$E$28:$E$39,MATCH($A846,'Category Mapping'!$A$28:$A$39,0),1))</f>
        <v>0</v>
      </c>
      <c r="O846" s="27">
        <f>O266*IF($E846="weekday",INDEX('Category Mapping'!$F$28:$F$39,MATCH('Summarized Source Data'!$A846,'Category Mapping'!$A$28:$A$39,0),1),INDEX('Category Mapping'!$E$28:$E$39,MATCH($A846,'Category Mapping'!$A$28:$A$39,0),1))</f>
        <v>4496574257.1428576</v>
      </c>
      <c r="P846" s="27">
        <f>P266*IF($E846="weekday",INDEX('Category Mapping'!$F$28:$F$39,MATCH('Summarized Source Data'!$A846,'Category Mapping'!$A$28:$A$39,0),1),INDEX('Category Mapping'!$E$28:$E$39,MATCH($A846,'Category Mapping'!$A$28:$A$39,0),1))</f>
        <v>4496574257.1428576</v>
      </c>
      <c r="Q846" s="27">
        <f>Q266*IF($E846="weekday",INDEX('Category Mapping'!$F$28:$F$39,MATCH('Summarized Source Data'!$A846,'Category Mapping'!$A$28:$A$39,0),1),INDEX('Category Mapping'!$E$28:$E$39,MATCH($A846,'Category Mapping'!$A$28:$A$39,0),1))</f>
        <v>4496574257.1428576</v>
      </c>
      <c r="R846" s="27">
        <f>R266*IF($E846="weekday",INDEX('Category Mapping'!$F$28:$F$39,MATCH('Summarized Source Data'!$A846,'Category Mapping'!$A$28:$A$39,0),1),INDEX('Category Mapping'!$E$28:$E$39,MATCH($A846,'Category Mapping'!$A$28:$A$39,0),1))</f>
        <v>231428571.42857146</v>
      </c>
      <c r="S846" s="27">
        <f>S266*IF($E846="weekday",INDEX('Category Mapping'!$F$28:$F$39,MATCH('Summarized Source Data'!$A846,'Category Mapping'!$A$28:$A$39,0),1),INDEX('Category Mapping'!$E$28:$E$39,MATCH($A846,'Category Mapping'!$A$28:$A$39,0),1))</f>
        <v>231428571.42857146</v>
      </c>
      <c r="T846" s="27">
        <f>T266*IF($E846="weekday",INDEX('Category Mapping'!$F$28:$F$39,MATCH('Summarized Source Data'!$A846,'Category Mapping'!$A$28:$A$39,0),1),INDEX('Category Mapping'!$E$28:$E$39,MATCH($A846,'Category Mapping'!$A$28:$A$39,0),1))</f>
        <v>231428571.42857146</v>
      </c>
      <c r="U846" s="27">
        <f>U266*IF($E846="weekday",INDEX('Category Mapping'!$F$28:$F$39,MATCH('Summarized Source Data'!$A846,'Category Mapping'!$A$28:$A$39,0),1),INDEX('Category Mapping'!$E$28:$E$39,MATCH($A846,'Category Mapping'!$A$28:$A$39,0),1))</f>
        <v>231428571.42857146</v>
      </c>
      <c r="V846" s="27">
        <f>V266*IF($E846="weekday",INDEX('Category Mapping'!$F$28:$F$39,MATCH('Summarized Source Data'!$A846,'Category Mapping'!$A$28:$A$39,0),1),INDEX('Category Mapping'!$E$28:$E$39,MATCH($A846,'Category Mapping'!$A$28:$A$39,0),1))</f>
        <v>231428571.42857146</v>
      </c>
      <c r="W846" s="27">
        <f>W266*IF($E846="weekday",INDEX('Category Mapping'!$F$28:$F$39,MATCH('Summarized Source Data'!$A846,'Category Mapping'!$A$28:$A$39,0),1),INDEX('Category Mapping'!$E$28:$E$39,MATCH($A846,'Category Mapping'!$A$28:$A$39,0),1))</f>
        <v>231428571.42857146</v>
      </c>
      <c r="X846" s="27">
        <f>X266*IF($E846="weekday",INDEX('Category Mapping'!$F$28:$F$39,MATCH('Summarized Source Data'!$A846,'Category Mapping'!$A$28:$A$39,0),1),INDEX('Category Mapping'!$E$28:$E$39,MATCH($A846,'Category Mapping'!$A$28:$A$39,0),1))</f>
        <v>14250000000.000002</v>
      </c>
      <c r="Y846" s="27">
        <f>Y266*IF($E846="weekday",INDEX('Category Mapping'!$F$28:$F$39,MATCH('Summarized Source Data'!$A846,'Category Mapping'!$A$28:$A$39,0),1),INDEX('Category Mapping'!$E$28:$E$39,MATCH($A846,'Category Mapping'!$A$28:$A$39,0),1))</f>
        <v>14250000000.000002</v>
      </c>
      <c r="Z846" s="27">
        <f>Z266*IF($E846="weekday",INDEX('Category Mapping'!$F$28:$F$39,MATCH('Summarized Source Data'!$A846,'Category Mapping'!$A$28:$A$39,0),1),INDEX('Category Mapping'!$E$28:$E$39,MATCH($A846,'Category Mapping'!$A$28:$A$39,0),1))</f>
        <v>14250000000.000002</v>
      </c>
    </row>
    <row r="847" spans="1:26" x14ac:dyDescent="0.3">
      <c r="A847">
        <f t="shared" ref="A847:E847" si="312">A267</f>
        <v>11</v>
      </c>
      <c r="B847" t="str">
        <f t="shared" si="312"/>
        <v>Winter</v>
      </c>
      <c r="C847" t="str">
        <f t="shared" si="312"/>
        <v>h24</v>
      </c>
      <c r="D847" t="str">
        <f t="shared" si="312"/>
        <v>Hour23</v>
      </c>
      <c r="E847" t="str">
        <f t="shared" si="312"/>
        <v>Weekday</v>
      </c>
      <c r="F847" s="27">
        <f>F267*IF($E847="weekday",INDEX('Category Mapping'!$F$28:$F$39,MATCH('Summarized Source Data'!$A847,'Category Mapping'!$A$28:$A$39,0),1),INDEX('Category Mapping'!$E$28:$E$39,MATCH($A847,'Category Mapping'!$A$28:$A$39,0),1))</f>
        <v>214285714.2857143</v>
      </c>
      <c r="G847" s="27">
        <f>G267*IF($E847="weekday",INDEX('Category Mapping'!$F$28:$F$39,MATCH('Summarized Source Data'!$A847,'Category Mapping'!$A$28:$A$39,0),1),INDEX('Category Mapping'!$E$28:$E$39,MATCH($A847,'Category Mapping'!$A$28:$A$39,0),1))</f>
        <v>1009178.5714285715</v>
      </c>
      <c r="H847" s="27">
        <f>H267*IF($E847="weekday",INDEX('Category Mapping'!$F$28:$F$39,MATCH('Summarized Source Data'!$A847,'Category Mapping'!$A$28:$A$39,0),1),INDEX('Category Mapping'!$E$28:$E$39,MATCH($A847,'Category Mapping'!$A$28:$A$39,0),1))</f>
        <v>0</v>
      </c>
      <c r="I847" s="27">
        <f>I267*IF($E847="weekday",INDEX('Category Mapping'!$F$28:$F$39,MATCH('Summarized Source Data'!$A847,'Category Mapping'!$A$28:$A$39,0),1),INDEX('Category Mapping'!$E$28:$E$39,MATCH($A847,'Category Mapping'!$A$28:$A$39,0),1))</f>
        <v>353571428.5714286</v>
      </c>
      <c r="J847" s="27">
        <f>J267*IF($E847="weekday",INDEX('Category Mapping'!$F$28:$F$39,MATCH('Summarized Source Data'!$A847,'Category Mapping'!$A$28:$A$39,0),1),INDEX('Category Mapping'!$E$28:$E$39,MATCH($A847,'Category Mapping'!$A$28:$A$39,0),1))</f>
        <v>1959705107.1428573</v>
      </c>
      <c r="K847" s="27">
        <f>K267*IF($E847="weekday",INDEX('Category Mapping'!$F$28:$F$39,MATCH('Summarized Source Data'!$A847,'Category Mapping'!$A$28:$A$39,0),1),INDEX('Category Mapping'!$E$28:$E$39,MATCH($A847,'Category Mapping'!$A$28:$A$39,0),1))</f>
        <v>1959705107.1428573</v>
      </c>
      <c r="L847" s="27">
        <f>L267*IF($E847="weekday",INDEX('Category Mapping'!$F$28:$F$39,MATCH('Summarized Source Data'!$A847,'Category Mapping'!$A$28:$A$39,0),1),INDEX('Category Mapping'!$E$28:$E$39,MATCH($A847,'Category Mapping'!$A$28:$A$39,0),1))</f>
        <v>507857142.85714293</v>
      </c>
      <c r="M847" s="27">
        <f>M267*IF($E847="weekday",INDEX('Category Mapping'!$F$28:$F$39,MATCH('Summarized Source Data'!$A847,'Category Mapping'!$A$28:$A$39,0),1),INDEX('Category Mapping'!$E$28:$E$39,MATCH($A847,'Category Mapping'!$A$28:$A$39,0),1))</f>
        <v>3027514.2857142859</v>
      </c>
      <c r="N847" s="27">
        <f>N267*IF($E847="weekday",INDEX('Category Mapping'!$F$28:$F$39,MATCH('Summarized Source Data'!$A847,'Category Mapping'!$A$28:$A$39,0),1),INDEX('Category Mapping'!$E$28:$E$39,MATCH($A847,'Category Mapping'!$A$28:$A$39,0),1))</f>
        <v>0</v>
      </c>
      <c r="O847" s="27">
        <f>O267*IF($E847="weekday",INDEX('Category Mapping'!$F$28:$F$39,MATCH('Summarized Source Data'!$A847,'Category Mapping'!$A$28:$A$39,0),1),INDEX('Category Mapping'!$E$28:$E$39,MATCH($A847,'Category Mapping'!$A$28:$A$39,0),1))</f>
        <v>3924829628.5714288</v>
      </c>
      <c r="P847" s="27">
        <f>P267*IF($E847="weekday",INDEX('Category Mapping'!$F$28:$F$39,MATCH('Summarized Source Data'!$A847,'Category Mapping'!$A$28:$A$39,0),1),INDEX('Category Mapping'!$E$28:$E$39,MATCH($A847,'Category Mapping'!$A$28:$A$39,0),1))</f>
        <v>3924829628.5714288</v>
      </c>
      <c r="Q847" s="27">
        <f>Q267*IF($E847="weekday",INDEX('Category Mapping'!$F$28:$F$39,MATCH('Summarized Source Data'!$A847,'Category Mapping'!$A$28:$A$39,0),1),INDEX('Category Mapping'!$E$28:$E$39,MATCH($A847,'Category Mapping'!$A$28:$A$39,0),1))</f>
        <v>3924829628.5714288</v>
      </c>
      <c r="R847" s="27">
        <f>R267*IF($E847="weekday",INDEX('Category Mapping'!$F$28:$F$39,MATCH('Summarized Source Data'!$A847,'Category Mapping'!$A$28:$A$39,0),1),INDEX('Category Mapping'!$E$28:$E$39,MATCH($A847,'Category Mapping'!$A$28:$A$39,0),1))</f>
        <v>155292664.2857143</v>
      </c>
      <c r="S847" s="27">
        <f>S267*IF($E847="weekday",INDEX('Category Mapping'!$F$28:$F$39,MATCH('Summarized Source Data'!$A847,'Category Mapping'!$A$28:$A$39,0),1),INDEX('Category Mapping'!$E$28:$E$39,MATCH($A847,'Category Mapping'!$A$28:$A$39,0),1))</f>
        <v>155292664.2857143</v>
      </c>
      <c r="T847" s="27">
        <f>T267*IF($E847="weekday",INDEX('Category Mapping'!$F$28:$F$39,MATCH('Summarized Source Data'!$A847,'Category Mapping'!$A$28:$A$39,0),1),INDEX('Category Mapping'!$E$28:$E$39,MATCH($A847,'Category Mapping'!$A$28:$A$39,0),1))</f>
        <v>155292664.2857143</v>
      </c>
      <c r="U847" s="27">
        <f>U267*IF($E847="weekday",INDEX('Category Mapping'!$F$28:$F$39,MATCH('Summarized Source Data'!$A847,'Category Mapping'!$A$28:$A$39,0),1),INDEX('Category Mapping'!$E$28:$E$39,MATCH($A847,'Category Mapping'!$A$28:$A$39,0),1))</f>
        <v>155292664.2857143</v>
      </c>
      <c r="V847" s="27">
        <f>V267*IF($E847="weekday",INDEX('Category Mapping'!$F$28:$F$39,MATCH('Summarized Source Data'!$A847,'Category Mapping'!$A$28:$A$39,0),1),INDEX('Category Mapping'!$E$28:$E$39,MATCH($A847,'Category Mapping'!$A$28:$A$39,0),1))</f>
        <v>155292664.2857143</v>
      </c>
      <c r="W847" s="27">
        <f>W267*IF($E847="weekday",INDEX('Category Mapping'!$F$28:$F$39,MATCH('Summarized Source Data'!$A847,'Category Mapping'!$A$28:$A$39,0),1),INDEX('Category Mapping'!$E$28:$E$39,MATCH($A847,'Category Mapping'!$A$28:$A$39,0),1))</f>
        <v>155292664.2857143</v>
      </c>
      <c r="X847" s="27">
        <f>X267*IF($E847="weekday",INDEX('Category Mapping'!$F$28:$F$39,MATCH('Summarized Source Data'!$A847,'Category Mapping'!$A$28:$A$39,0),1),INDEX('Category Mapping'!$E$28:$E$39,MATCH($A847,'Category Mapping'!$A$28:$A$39,0),1))</f>
        <v>14185714285.714287</v>
      </c>
      <c r="Y847" s="27">
        <f>Y267*IF($E847="weekday",INDEX('Category Mapping'!$F$28:$F$39,MATCH('Summarized Source Data'!$A847,'Category Mapping'!$A$28:$A$39,0),1),INDEX('Category Mapping'!$E$28:$E$39,MATCH($A847,'Category Mapping'!$A$28:$A$39,0),1))</f>
        <v>14185714285.714287</v>
      </c>
      <c r="Z847" s="27">
        <f>Z267*IF($E847="weekday",INDEX('Category Mapping'!$F$28:$F$39,MATCH('Summarized Source Data'!$A847,'Category Mapping'!$A$28:$A$39,0),1),INDEX('Category Mapping'!$E$28:$E$39,MATCH($A847,'Category Mapping'!$A$28:$A$39,0),1))</f>
        <v>14185714285.714287</v>
      </c>
    </row>
    <row r="848" spans="1:26" x14ac:dyDescent="0.3">
      <c r="A848">
        <f t="shared" ref="A848:E848" si="313">A268</f>
        <v>12</v>
      </c>
      <c r="B848" t="str">
        <f t="shared" si="313"/>
        <v>Winter</v>
      </c>
      <c r="C848" t="str">
        <f t="shared" si="313"/>
        <v>h1</v>
      </c>
      <c r="D848" t="str">
        <f t="shared" si="313"/>
        <v>Hour0</v>
      </c>
      <c r="E848" t="str">
        <f t="shared" si="313"/>
        <v>Weekday</v>
      </c>
      <c r="F848" s="27">
        <f>F268*IF($E848="weekday",INDEX('Category Mapping'!$F$28:$F$39,MATCH('Summarized Source Data'!$A848,'Category Mapping'!$A$28:$A$39,0),1),INDEX('Category Mapping'!$E$28:$E$39,MATCH($A848,'Category Mapping'!$A$28:$A$39,0),1))</f>
        <v>387500000</v>
      </c>
      <c r="G848" s="27">
        <f>G268*IF($E848="weekday",INDEX('Category Mapping'!$F$28:$F$39,MATCH('Summarized Source Data'!$A848,'Category Mapping'!$A$28:$A$39,0),1),INDEX('Category Mapping'!$E$28:$E$39,MATCH($A848,'Category Mapping'!$A$28:$A$39,0),1))</f>
        <v>399545.71428571426</v>
      </c>
      <c r="H848" s="27">
        <f>H268*IF($E848="weekday",INDEX('Category Mapping'!$F$28:$F$39,MATCH('Summarized Source Data'!$A848,'Category Mapping'!$A$28:$A$39,0),1),INDEX('Category Mapping'!$E$28:$E$39,MATCH($A848,'Category Mapping'!$A$28:$A$39,0),1))</f>
        <v>0</v>
      </c>
      <c r="I848" s="27">
        <f>I268*IF($E848="weekday",INDEX('Category Mapping'!$F$28:$F$39,MATCH('Summarized Source Data'!$A848,'Category Mapping'!$A$28:$A$39,0),1),INDEX('Category Mapping'!$E$28:$E$39,MATCH($A848,'Category Mapping'!$A$28:$A$39,0),1))</f>
        <v>261285714.28571427</v>
      </c>
      <c r="J848" s="27">
        <f>J268*IF($E848="weekday",INDEX('Category Mapping'!$F$28:$F$39,MATCH('Summarized Source Data'!$A848,'Category Mapping'!$A$28:$A$39,0),1),INDEX('Category Mapping'!$E$28:$E$39,MATCH($A848,'Category Mapping'!$A$28:$A$39,0),1))</f>
        <v>1653671882.8571429</v>
      </c>
      <c r="K848" s="27">
        <f>K268*IF($E848="weekday",INDEX('Category Mapping'!$F$28:$F$39,MATCH('Summarized Source Data'!$A848,'Category Mapping'!$A$28:$A$39,0),1),INDEX('Category Mapping'!$E$28:$E$39,MATCH($A848,'Category Mapping'!$A$28:$A$39,0),1))</f>
        <v>1653671882.8571429</v>
      </c>
      <c r="L848" s="27">
        <f>L268*IF($E848="weekday",INDEX('Category Mapping'!$F$28:$F$39,MATCH('Summarized Source Data'!$A848,'Category Mapping'!$A$28:$A$39,0),1),INDEX('Category Mapping'!$E$28:$E$39,MATCH($A848,'Category Mapping'!$A$28:$A$39,0),1))</f>
        <v>814857142.85714281</v>
      </c>
      <c r="M848" s="27">
        <f>M268*IF($E848="weekday",INDEX('Category Mapping'!$F$28:$F$39,MATCH('Summarized Source Data'!$A848,'Category Mapping'!$A$28:$A$39,0),1),INDEX('Category Mapping'!$E$28:$E$39,MATCH($A848,'Category Mapping'!$A$28:$A$39,0),1))</f>
        <v>1058140.7142857143</v>
      </c>
      <c r="N848" s="27">
        <f>N268*IF($E848="weekday",INDEX('Category Mapping'!$F$28:$F$39,MATCH('Summarized Source Data'!$A848,'Category Mapping'!$A$28:$A$39,0),1),INDEX('Category Mapping'!$E$28:$E$39,MATCH($A848,'Category Mapping'!$A$28:$A$39,0),1))</f>
        <v>0</v>
      </c>
      <c r="O848" s="27">
        <f>O268*IF($E848="weekday",INDEX('Category Mapping'!$F$28:$F$39,MATCH('Summarized Source Data'!$A848,'Category Mapping'!$A$28:$A$39,0),1),INDEX('Category Mapping'!$E$28:$E$39,MATCH($A848,'Category Mapping'!$A$28:$A$39,0),1))</f>
        <v>3413370430.7142859</v>
      </c>
      <c r="P848" s="27">
        <f>P268*IF($E848="weekday",INDEX('Category Mapping'!$F$28:$F$39,MATCH('Summarized Source Data'!$A848,'Category Mapping'!$A$28:$A$39,0),1),INDEX('Category Mapping'!$E$28:$E$39,MATCH($A848,'Category Mapping'!$A$28:$A$39,0),1))</f>
        <v>3413370430.7142859</v>
      </c>
      <c r="Q848" s="27">
        <f>Q268*IF($E848="weekday",INDEX('Category Mapping'!$F$28:$F$39,MATCH('Summarized Source Data'!$A848,'Category Mapping'!$A$28:$A$39,0),1),INDEX('Category Mapping'!$E$28:$E$39,MATCH($A848,'Category Mapping'!$A$28:$A$39,0),1))</f>
        <v>3413370430.7142859</v>
      </c>
      <c r="R848" s="27">
        <f>R268*IF($E848="weekday",INDEX('Category Mapping'!$F$28:$F$39,MATCH('Summarized Source Data'!$A848,'Category Mapping'!$A$28:$A$39,0),1),INDEX('Category Mapping'!$E$28:$E$39,MATCH($A848,'Category Mapping'!$A$28:$A$39,0),1))</f>
        <v>110347046.42857143</v>
      </c>
      <c r="S848" s="27">
        <f>S268*IF($E848="weekday",INDEX('Category Mapping'!$F$28:$F$39,MATCH('Summarized Source Data'!$A848,'Category Mapping'!$A$28:$A$39,0),1),INDEX('Category Mapping'!$E$28:$E$39,MATCH($A848,'Category Mapping'!$A$28:$A$39,0),1))</f>
        <v>110347046.42857143</v>
      </c>
      <c r="T848" s="27">
        <f>T268*IF($E848="weekday",INDEX('Category Mapping'!$F$28:$F$39,MATCH('Summarized Source Data'!$A848,'Category Mapping'!$A$28:$A$39,0),1),INDEX('Category Mapping'!$E$28:$E$39,MATCH($A848,'Category Mapping'!$A$28:$A$39,0),1))</f>
        <v>110347046.42857143</v>
      </c>
      <c r="U848" s="27">
        <f>U268*IF($E848="weekday",INDEX('Category Mapping'!$F$28:$F$39,MATCH('Summarized Source Data'!$A848,'Category Mapping'!$A$28:$A$39,0),1),INDEX('Category Mapping'!$E$28:$E$39,MATCH($A848,'Category Mapping'!$A$28:$A$39,0),1))</f>
        <v>110347046.42857143</v>
      </c>
      <c r="V848" s="27">
        <f>V268*IF($E848="weekday",INDEX('Category Mapping'!$F$28:$F$39,MATCH('Summarized Source Data'!$A848,'Category Mapping'!$A$28:$A$39,0),1),INDEX('Category Mapping'!$E$28:$E$39,MATCH($A848,'Category Mapping'!$A$28:$A$39,0),1))</f>
        <v>110347046.42857143</v>
      </c>
      <c r="W848" s="27">
        <f>W268*IF($E848="weekday",INDEX('Category Mapping'!$F$28:$F$39,MATCH('Summarized Source Data'!$A848,'Category Mapping'!$A$28:$A$39,0),1),INDEX('Category Mapping'!$E$28:$E$39,MATCH($A848,'Category Mapping'!$A$28:$A$39,0),1))</f>
        <v>110347046.42857143</v>
      </c>
      <c r="X848" s="27">
        <f>X268*IF($E848="weekday",INDEX('Category Mapping'!$F$28:$F$39,MATCH('Summarized Source Data'!$A848,'Category Mapping'!$A$28:$A$39,0),1),INDEX('Category Mapping'!$E$28:$E$39,MATCH($A848,'Category Mapping'!$A$28:$A$39,0),1))</f>
        <v>13750714285.714285</v>
      </c>
      <c r="Y848" s="27">
        <f>Y268*IF($E848="weekday",INDEX('Category Mapping'!$F$28:$F$39,MATCH('Summarized Source Data'!$A848,'Category Mapping'!$A$28:$A$39,0),1),INDEX('Category Mapping'!$E$28:$E$39,MATCH($A848,'Category Mapping'!$A$28:$A$39,0),1))</f>
        <v>13750714285.714285</v>
      </c>
      <c r="Z848" s="27">
        <f>Z268*IF($E848="weekday",INDEX('Category Mapping'!$F$28:$F$39,MATCH('Summarized Source Data'!$A848,'Category Mapping'!$A$28:$A$39,0),1),INDEX('Category Mapping'!$E$28:$E$39,MATCH($A848,'Category Mapping'!$A$28:$A$39,0),1))</f>
        <v>13750714285.714285</v>
      </c>
    </row>
    <row r="849" spans="1:26" x14ac:dyDescent="0.3">
      <c r="A849">
        <f t="shared" ref="A849:E849" si="314">A269</f>
        <v>12</v>
      </c>
      <c r="B849" t="str">
        <f t="shared" si="314"/>
        <v>Winter</v>
      </c>
      <c r="C849" t="str">
        <f t="shared" si="314"/>
        <v>h2</v>
      </c>
      <c r="D849" t="str">
        <f t="shared" si="314"/>
        <v>Hour1</v>
      </c>
      <c r="E849" t="str">
        <f t="shared" si="314"/>
        <v>Weekday</v>
      </c>
      <c r="F849" s="27">
        <f>F269*IF($E849="weekday",INDEX('Category Mapping'!$F$28:$F$39,MATCH('Summarized Source Data'!$A849,'Category Mapping'!$A$28:$A$39,0),1),INDEX('Category Mapping'!$E$28:$E$39,MATCH($A849,'Category Mapping'!$A$28:$A$39,0),1))</f>
        <v>394142857.14285713</v>
      </c>
      <c r="G849" s="27">
        <f>G269*IF($E849="weekday",INDEX('Category Mapping'!$F$28:$F$39,MATCH('Summarized Source Data'!$A849,'Category Mapping'!$A$28:$A$39,0),1),INDEX('Category Mapping'!$E$28:$E$39,MATCH($A849,'Category Mapping'!$A$28:$A$39,0),1))</f>
        <v>401804.28571428568</v>
      </c>
      <c r="H849" s="27">
        <f>H269*IF($E849="weekday",INDEX('Category Mapping'!$F$28:$F$39,MATCH('Summarized Source Data'!$A849,'Category Mapping'!$A$28:$A$39,0),1),INDEX('Category Mapping'!$E$28:$E$39,MATCH($A849,'Category Mapping'!$A$28:$A$39,0),1))</f>
        <v>0</v>
      </c>
      <c r="I849" s="27">
        <f>I269*IF($E849="weekday",INDEX('Category Mapping'!$F$28:$F$39,MATCH('Summarized Source Data'!$A849,'Category Mapping'!$A$28:$A$39,0),1),INDEX('Category Mapping'!$E$28:$E$39,MATCH($A849,'Category Mapping'!$A$28:$A$39,0),1))</f>
        <v>241357142.85714287</v>
      </c>
      <c r="J849" s="27">
        <f>J269*IF($E849="weekday",INDEX('Category Mapping'!$F$28:$F$39,MATCH('Summarized Source Data'!$A849,'Category Mapping'!$A$28:$A$39,0),1),INDEX('Category Mapping'!$E$28:$E$39,MATCH($A849,'Category Mapping'!$A$28:$A$39,0),1))</f>
        <v>1195312481.4285715</v>
      </c>
      <c r="K849" s="27">
        <f>K269*IF($E849="weekday",INDEX('Category Mapping'!$F$28:$F$39,MATCH('Summarized Source Data'!$A849,'Category Mapping'!$A$28:$A$39,0),1),INDEX('Category Mapping'!$E$28:$E$39,MATCH($A849,'Category Mapping'!$A$28:$A$39,0),1))</f>
        <v>1195312481.4285715</v>
      </c>
      <c r="L849" s="27">
        <f>L269*IF($E849="weekday",INDEX('Category Mapping'!$F$28:$F$39,MATCH('Summarized Source Data'!$A849,'Category Mapping'!$A$28:$A$39,0),1),INDEX('Category Mapping'!$E$28:$E$39,MATCH($A849,'Category Mapping'!$A$28:$A$39,0),1))</f>
        <v>739571428.57142854</v>
      </c>
      <c r="M849" s="27">
        <f>M269*IF($E849="weekday",INDEX('Category Mapping'!$F$28:$F$39,MATCH('Summarized Source Data'!$A849,'Category Mapping'!$A$28:$A$39,0),1),INDEX('Category Mapping'!$E$28:$E$39,MATCH($A849,'Category Mapping'!$A$28:$A$39,0),1))</f>
        <v>997757.14285714284</v>
      </c>
      <c r="N849" s="27">
        <f>N269*IF($E849="weekday",INDEX('Category Mapping'!$F$28:$F$39,MATCH('Summarized Source Data'!$A849,'Category Mapping'!$A$28:$A$39,0),1),INDEX('Category Mapping'!$E$28:$E$39,MATCH($A849,'Category Mapping'!$A$28:$A$39,0),1))</f>
        <v>0</v>
      </c>
      <c r="O849" s="27">
        <f>O269*IF($E849="weekday",INDEX('Category Mapping'!$F$28:$F$39,MATCH('Summarized Source Data'!$A849,'Category Mapping'!$A$28:$A$39,0),1),INDEX('Category Mapping'!$E$28:$E$39,MATCH($A849,'Category Mapping'!$A$28:$A$39,0),1))</f>
        <v>3355859385.7142859</v>
      </c>
      <c r="P849" s="27">
        <f>P269*IF($E849="weekday",INDEX('Category Mapping'!$F$28:$F$39,MATCH('Summarized Source Data'!$A849,'Category Mapping'!$A$28:$A$39,0),1),INDEX('Category Mapping'!$E$28:$E$39,MATCH($A849,'Category Mapping'!$A$28:$A$39,0),1))</f>
        <v>3355859385.7142859</v>
      </c>
      <c r="Q849" s="27">
        <f>Q269*IF($E849="weekday",INDEX('Category Mapping'!$F$28:$F$39,MATCH('Summarized Source Data'!$A849,'Category Mapping'!$A$28:$A$39,0),1),INDEX('Category Mapping'!$E$28:$E$39,MATCH($A849,'Category Mapping'!$A$28:$A$39,0),1))</f>
        <v>3355859385.7142859</v>
      </c>
      <c r="R849" s="27">
        <f>R269*IF($E849="weekday",INDEX('Category Mapping'!$F$28:$F$39,MATCH('Summarized Source Data'!$A849,'Category Mapping'!$A$28:$A$39,0),1),INDEX('Category Mapping'!$E$28:$E$39,MATCH($A849,'Category Mapping'!$A$28:$A$39,0),1))</f>
        <v>108845317.85714285</v>
      </c>
      <c r="S849" s="27">
        <f>S269*IF($E849="weekday",INDEX('Category Mapping'!$F$28:$F$39,MATCH('Summarized Source Data'!$A849,'Category Mapping'!$A$28:$A$39,0),1),INDEX('Category Mapping'!$E$28:$E$39,MATCH($A849,'Category Mapping'!$A$28:$A$39,0),1))</f>
        <v>108845317.85714285</v>
      </c>
      <c r="T849" s="27">
        <f>T269*IF($E849="weekday",INDEX('Category Mapping'!$F$28:$F$39,MATCH('Summarized Source Data'!$A849,'Category Mapping'!$A$28:$A$39,0),1),INDEX('Category Mapping'!$E$28:$E$39,MATCH($A849,'Category Mapping'!$A$28:$A$39,0),1))</f>
        <v>108845317.85714285</v>
      </c>
      <c r="U849" s="27">
        <f>U269*IF($E849="weekday",INDEX('Category Mapping'!$F$28:$F$39,MATCH('Summarized Source Data'!$A849,'Category Mapping'!$A$28:$A$39,0),1),INDEX('Category Mapping'!$E$28:$E$39,MATCH($A849,'Category Mapping'!$A$28:$A$39,0),1))</f>
        <v>108845317.85714285</v>
      </c>
      <c r="V849" s="27">
        <f>V269*IF($E849="weekday",INDEX('Category Mapping'!$F$28:$F$39,MATCH('Summarized Source Data'!$A849,'Category Mapping'!$A$28:$A$39,0),1),INDEX('Category Mapping'!$E$28:$E$39,MATCH($A849,'Category Mapping'!$A$28:$A$39,0),1))</f>
        <v>108845317.85714285</v>
      </c>
      <c r="W849" s="27">
        <f>W269*IF($E849="weekday",INDEX('Category Mapping'!$F$28:$F$39,MATCH('Summarized Source Data'!$A849,'Category Mapping'!$A$28:$A$39,0),1),INDEX('Category Mapping'!$E$28:$E$39,MATCH($A849,'Category Mapping'!$A$28:$A$39,0),1))</f>
        <v>108845317.85714285</v>
      </c>
      <c r="X849" s="27">
        <f>X269*IF($E849="weekday",INDEX('Category Mapping'!$F$28:$F$39,MATCH('Summarized Source Data'!$A849,'Category Mapping'!$A$28:$A$39,0),1),INDEX('Category Mapping'!$E$28:$E$39,MATCH($A849,'Category Mapping'!$A$28:$A$39,0),1))</f>
        <v>13750714285.714285</v>
      </c>
      <c r="Y849" s="27">
        <f>Y269*IF($E849="weekday",INDEX('Category Mapping'!$F$28:$F$39,MATCH('Summarized Source Data'!$A849,'Category Mapping'!$A$28:$A$39,0),1),INDEX('Category Mapping'!$E$28:$E$39,MATCH($A849,'Category Mapping'!$A$28:$A$39,0),1))</f>
        <v>13750714285.714285</v>
      </c>
      <c r="Z849" s="27">
        <f>Z269*IF($E849="weekday",INDEX('Category Mapping'!$F$28:$F$39,MATCH('Summarized Source Data'!$A849,'Category Mapping'!$A$28:$A$39,0),1),INDEX('Category Mapping'!$E$28:$E$39,MATCH($A849,'Category Mapping'!$A$28:$A$39,0),1))</f>
        <v>13750714285.714285</v>
      </c>
    </row>
    <row r="850" spans="1:26" x14ac:dyDescent="0.3">
      <c r="A850">
        <f t="shared" ref="A850:E850" si="315">A270</f>
        <v>12</v>
      </c>
      <c r="B850" t="str">
        <f t="shared" si="315"/>
        <v>Winter</v>
      </c>
      <c r="C850" t="str">
        <f t="shared" si="315"/>
        <v>h3</v>
      </c>
      <c r="D850" t="str">
        <f t="shared" si="315"/>
        <v>Hour2</v>
      </c>
      <c r="E850" t="str">
        <f t="shared" si="315"/>
        <v>Weekday</v>
      </c>
      <c r="F850" s="27">
        <f>F270*IF($E850="weekday",INDEX('Category Mapping'!$F$28:$F$39,MATCH('Summarized Source Data'!$A850,'Category Mapping'!$A$28:$A$39,0),1),INDEX('Category Mapping'!$E$28:$E$39,MATCH($A850,'Category Mapping'!$A$28:$A$39,0),1))</f>
        <v>396357142.85714287</v>
      </c>
      <c r="G850" s="27">
        <f>G270*IF($E850="weekday",INDEX('Category Mapping'!$F$28:$F$39,MATCH('Summarized Source Data'!$A850,'Category Mapping'!$A$28:$A$39,0),1),INDEX('Category Mapping'!$E$28:$E$39,MATCH($A850,'Category Mapping'!$A$28:$A$39,0),1))</f>
        <v>403332.14285714284</v>
      </c>
      <c r="H850" s="27">
        <f>H270*IF($E850="weekday",INDEX('Category Mapping'!$F$28:$F$39,MATCH('Summarized Source Data'!$A850,'Category Mapping'!$A$28:$A$39,0),1),INDEX('Category Mapping'!$E$28:$E$39,MATCH($A850,'Category Mapping'!$A$28:$A$39,0),1))</f>
        <v>0</v>
      </c>
      <c r="I850" s="27">
        <f>I270*IF($E850="weekday",INDEX('Category Mapping'!$F$28:$F$39,MATCH('Summarized Source Data'!$A850,'Category Mapping'!$A$28:$A$39,0),1),INDEX('Category Mapping'!$E$28:$E$39,MATCH($A850,'Category Mapping'!$A$28:$A$39,0),1))</f>
        <v>239142857.14285713</v>
      </c>
      <c r="J850" s="27">
        <f>J270*IF($E850="weekday",INDEX('Category Mapping'!$F$28:$F$39,MATCH('Summarized Source Data'!$A850,'Category Mapping'!$A$28:$A$39,0),1),INDEX('Category Mapping'!$E$28:$E$39,MATCH($A850,'Category Mapping'!$A$28:$A$39,0),1))</f>
        <v>960596667.85714281</v>
      </c>
      <c r="K850" s="27">
        <f>K270*IF($E850="weekday",INDEX('Category Mapping'!$F$28:$F$39,MATCH('Summarized Source Data'!$A850,'Category Mapping'!$A$28:$A$39,0),1),INDEX('Category Mapping'!$E$28:$E$39,MATCH($A850,'Category Mapping'!$A$28:$A$39,0),1))</f>
        <v>960596667.85714281</v>
      </c>
      <c r="L850" s="27">
        <f>L270*IF($E850="weekday",INDEX('Category Mapping'!$F$28:$F$39,MATCH('Summarized Source Data'!$A850,'Category Mapping'!$A$28:$A$39,0),1),INDEX('Category Mapping'!$E$28:$E$39,MATCH($A850,'Category Mapping'!$A$28:$A$39,0),1))</f>
        <v>662071428.57142854</v>
      </c>
      <c r="M850" s="27">
        <f>M270*IF($E850="weekday",INDEX('Category Mapping'!$F$28:$F$39,MATCH('Summarized Source Data'!$A850,'Category Mapping'!$A$28:$A$39,0),1),INDEX('Category Mapping'!$E$28:$E$39,MATCH($A850,'Category Mapping'!$A$28:$A$39,0),1))</f>
        <v>972580.71428571432</v>
      </c>
      <c r="N850" s="27">
        <f>N270*IF($E850="weekday",INDEX('Category Mapping'!$F$28:$F$39,MATCH('Summarized Source Data'!$A850,'Category Mapping'!$A$28:$A$39,0),1),INDEX('Category Mapping'!$E$28:$E$39,MATCH($A850,'Category Mapping'!$A$28:$A$39,0),1))</f>
        <v>0</v>
      </c>
      <c r="O850" s="27">
        <f>O270*IF($E850="weekday",INDEX('Category Mapping'!$F$28:$F$39,MATCH('Summarized Source Data'!$A850,'Category Mapping'!$A$28:$A$39,0),1),INDEX('Category Mapping'!$E$28:$E$39,MATCH($A850,'Category Mapping'!$A$28:$A$39,0),1))</f>
        <v>3344813133.5714283</v>
      </c>
      <c r="P850" s="27">
        <f>P270*IF($E850="weekday",INDEX('Category Mapping'!$F$28:$F$39,MATCH('Summarized Source Data'!$A850,'Category Mapping'!$A$28:$A$39,0),1),INDEX('Category Mapping'!$E$28:$E$39,MATCH($A850,'Category Mapping'!$A$28:$A$39,0),1))</f>
        <v>3344813133.5714283</v>
      </c>
      <c r="Q850" s="27">
        <f>Q270*IF($E850="weekday",INDEX('Category Mapping'!$F$28:$F$39,MATCH('Summarized Source Data'!$A850,'Category Mapping'!$A$28:$A$39,0),1),INDEX('Category Mapping'!$E$28:$E$39,MATCH($A850,'Category Mapping'!$A$28:$A$39,0),1))</f>
        <v>3344813133.5714283</v>
      </c>
      <c r="R850" s="27">
        <f>R270*IF($E850="weekday",INDEX('Category Mapping'!$F$28:$F$39,MATCH('Summarized Source Data'!$A850,'Category Mapping'!$A$28:$A$39,0),1),INDEX('Category Mapping'!$E$28:$E$39,MATCH($A850,'Category Mapping'!$A$28:$A$39,0),1))</f>
        <v>108459633.57142857</v>
      </c>
      <c r="S850" s="27">
        <f>S270*IF($E850="weekday",INDEX('Category Mapping'!$F$28:$F$39,MATCH('Summarized Source Data'!$A850,'Category Mapping'!$A$28:$A$39,0),1),INDEX('Category Mapping'!$E$28:$E$39,MATCH($A850,'Category Mapping'!$A$28:$A$39,0),1))</f>
        <v>108459633.57142857</v>
      </c>
      <c r="T850" s="27">
        <f>T270*IF($E850="weekday",INDEX('Category Mapping'!$F$28:$F$39,MATCH('Summarized Source Data'!$A850,'Category Mapping'!$A$28:$A$39,0),1),INDEX('Category Mapping'!$E$28:$E$39,MATCH($A850,'Category Mapping'!$A$28:$A$39,0),1))</f>
        <v>108459633.57142857</v>
      </c>
      <c r="U850" s="27">
        <f>U270*IF($E850="weekday",INDEX('Category Mapping'!$F$28:$F$39,MATCH('Summarized Source Data'!$A850,'Category Mapping'!$A$28:$A$39,0),1),INDEX('Category Mapping'!$E$28:$E$39,MATCH($A850,'Category Mapping'!$A$28:$A$39,0),1))</f>
        <v>108459633.57142857</v>
      </c>
      <c r="V850" s="27">
        <f>V270*IF($E850="weekday",INDEX('Category Mapping'!$F$28:$F$39,MATCH('Summarized Source Data'!$A850,'Category Mapping'!$A$28:$A$39,0),1),INDEX('Category Mapping'!$E$28:$E$39,MATCH($A850,'Category Mapping'!$A$28:$A$39,0),1))</f>
        <v>108459633.57142857</v>
      </c>
      <c r="W850" s="27">
        <f>W270*IF($E850="weekday",INDEX('Category Mapping'!$F$28:$F$39,MATCH('Summarized Source Data'!$A850,'Category Mapping'!$A$28:$A$39,0),1),INDEX('Category Mapping'!$E$28:$E$39,MATCH($A850,'Category Mapping'!$A$28:$A$39,0),1))</f>
        <v>108459633.57142857</v>
      </c>
      <c r="X850" s="27">
        <f>X270*IF($E850="weekday",INDEX('Category Mapping'!$F$28:$F$39,MATCH('Summarized Source Data'!$A850,'Category Mapping'!$A$28:$A$39,0),1),INDEX('Category Mapping'!$E$28:$E$39,MATCH($A850,'Category Mapping'!$A$28:$A$39,0),1))</f>
        <v>13728571428.571428</v>
      </c>
      <c r="Y850" s="27">
        <f>Y270*IF($E850="weekday",INDEX('Category Mapping'!$F$28:$F$39,MATCH('Summarized Source Data'!$A850,'Category Mapping'!$A$28:$A$39,0),1),INDEX('Category Mapping'!$E$28:$E$39,MATCH($A850,'Category Mapping'!$A$28:$A$39,0),1))</f>
        <v>13728571428.571428</v>
      </c>
      <c r="Z850" s="27">
        <f>Z270*IF($E850="weekday",INDEX('Category Mapping'!$F$28:$F$39,MATCH('Summarized Source Data'!$A850,'Category Mapping'!$A$28:$A$39,0),1),INDEX('Category Mapping'!$E$28:$E$39,MATCH($A850,'Category Mapping'!$A$28:$A$39,0),1))</f>
        <v>13728571428.571428</v>
      </c>
    </row>
    <row r="851" spans="1:26" x14ac:dyDescent="0.3">
      <c r="A851">
        <f t="shared" ref="A851:E851" si="316">A271</f>
        <v>12</v>
      </c>
      <c r="B851" t="str">
        <f t="shared" si="316"/>
        <v>Winter</v>
      </c>
      <c r="C851" t="str">
        <f t="shared" si="316"/>
        <v>h4</v>
      </c>
      <c r="D851" t="str">
        <f t="shared" si="316"/>
        <v>Hour3</v>
      </c>
      <c r="E851" t="str">
        <f t="shared" si="316"/>
        <v>Weekday</v>
      </c>
      <c r="F851" s="27">
        <f>F271*IF($E851="weekday",INDEX('Category Mapping'!$F$28:$F$39,MATCH('Summarized Source Data'!$A851,'Category Mapping'!$A$28:$A$39,0),1),INDEX('Category Mapping'!$E$28:$E$39,MATCH($A851,'Category Mapping'!$A$28:$A$39,0),1))</f>
        <v>394142857.14285713</v>
      </c>
      <c r="G851" s="27">
        <f>G271*IF($E851="weekday",INDEX('Category Mapping'!$F$28:$F$39,MATCH('Summarized Source Data'!$A851,'Category Mapping'!$A$28:$A$39,0),1),INDEX('Category Mapping'!$E$28:$E$39,MATCH($A851,'Category Mapping'!$A$28:$A$39,0),1))</f>
        <v>403553.57142857142</v>
      </c>
      <c r="H851" s="27">
        <f>H271*IF($E851="weekday",INDEX('Category Mapping'!$F$28:$F$39,MATCH('Summarized Source Data'!$A851,'Category Mapping'!$A$28:$A$39,0),1),INDEX('Category Mapping'!$E$28:$E$39,MATCH($A851,'Category Mapping'!$A$28:$A$39,0),1))</f>
        <v>0</v>
      </c>
      <c r="I851" s="27">
        <f>I271*IF($E851="weekday",INDEX('Category Mapping'!$F$28:$F$39,MATCH('Summarized Source Data'!$A851,'Category Mapping'!$A$28:$A$39,0),1),INDEX('Category Mapping'!$E$28:$E$39,MATCH($A851,'Category Mapping'!$A$28:$A$39,0),1))</f>
        <v>243571428.57142857</v>
      </c>
      <c r="J851" s="27">
        <f>J271*IF($E851="weekday",INDEX('Category Mapping'!$F$28:$F$39,MATCH('Summarized Source Data'!$A851,'Category Mapping'!$A$28:$A$39,0),1),INDEX('Category Mapping'!$E$28:$E$39,MATCH($A851,'Category Mapping'!$A$28:$A$39,0),1))</f>
        <v>834382160.71428573</v>
      </c>
      <c r="K851" s="27">
        <f>K271*IF($E851="weekday",INDEX('Category Mapping'!$F$28:$F$39,MATCH('Summarized Source Data'!$A851,'Category Mapping'!$A$28:$A$39,0),1),INDEX('Category Mapping'!$E$28:$E$39,MATCH($A851,'Category Mapping'!$A$28:$A$39,0),1))</f>
        <v>834382160.71428573</v>
      </c>
      <c r="L851" s="27">
        <f>L271*IF($E851="weekday",INDEX('Category Mapping'!$F$28:$F$39,MATCH('Summarized Source Data'!$A851,'Category Mapping'!$A$28:$A$39,0),1),INDEX('Category Mapping'!$E$28:$E$39,MATCH($A851,'Category Mapping'!$A$28:$A$39,0),1))</f>
        <v>679785714.28571427</v>
      </c>
      <c r="M851" s="27">
        <f>M271*IF($E851="weekday",INDEX('Category Mapping'!$F$28:$F$39,MATCH('Summarized Source Data'!$A851,'Category Mapping'!$A$28:$A$39,0),1),INDEX('Category Mapping'!$E$28:$E$39,MATCH($A851,'Category Mapping'!$A$28:$A$39,0),1))</f>
        <v>958365</v>
      </c>
      <c r="N851" s="27">
        <f>N271*IF($E851="weekday",INDEX('Category Mapping'!$F$28:$F$39,MATCH('Summarized Source Data'!$A851,'Category Mapping'!$A$28:$A$39,0),1),INDEX('Category Mapping'!$E$28:$E$39,MATCH($A851,'Category Mapping'!$A$28:$A$39,0),1))</f>
        <v>0</v>
      </c>
      <c r="O851" s="27">
        <f>O271*IF($E851="weekday",INDEX('Category Mapping'!$F$28:$F$39,MATCH('Summarized Source Data'!$A851,'Category Mapping'!$A$28:$A$39,0),1),INDEX('Category Mapping'!$E$28:$E$39,MATCH($A851,'Category Mapping'!$A$28:$A$39,0),1))</f>
        <v>3482113063.5714283</v>
      </c>
      <c r="P851" s="27">
        <f>P271*IF($E851="weekday",INDEX('Category Mapping'!$F$28:$F$39,MATCH('Summarized Source Data'!$A851,'Category Mapping'!$A$28:$A$39,0),1),INDEX('Category Mapping'!$E$28:$E$39,MATCH($A851,'Category Mapping'!$A$28:$A$39,0),1))</f>
        <v>3482113063.5714283</v>
      </c>
      <c r="Q851" s="27">
        <f>Q271*IF($E851="weekday",INDEX('Category Mapping'!$F$28:$F$39,MATCH('Summarized Source Data'!$A851,'Category Mapping'!$A$28:$A$39,0),1),INDEX('Category Mapping'!$E$28:$E$39,MATCH($A851,'Category Mapping'!$A$28:$A$39,0),1))</f>
        <v>3482113063.5714283</v>
      </c>
      <c r="R851" s="27">
        <f>R271*IF($E851="weekday",INDEX('Category Mapping'!$F$28:$F$39,MATCH('Summarized Source Data'!$A851,'Category Mapping'!$A$28:$A$39,0),1),INDEX('Category Mapping'!$E$28:$E$39,MATCH($A851,'Category Mapping'!$A$28:$A$39,0),1))</f>
        <v>108814716.42857143</v>
      </c>
      <c r="S851" s="27">
        <f>S271*IF($E851="weekday",INDEX('Category Mapping'!$F$28:$F$39,MATCH('Summarized Source Data'!$A851,'Category Mapping'!$A$28:$A$39,0),1),INDEX('Category Mapping'!$E$28:$E$39,MATCH($A851,'Category Mapping'!$A$28:$A$39,0),1))</f>
        <v>108814716.42857143</v>
      </c>
      <c r="T851" s="27">
        <f>T271*IF($E851="weekday",INDEX('Category Mapping'!$F$28:$F$39,MATCH('Summarized Source Data'!$A851,'Category Mapping'!$A$28:$A$39,0),1),INDEX('Category Mapping'!$E$28:$E$39,MATCH($A851,'Category Mapping'!$A$28:$A$39,0),1))</f>
        <v>108814716.42857143</v>
      </c>
      <c r="U851" s="27">
        <f>U271*IF($E851="weekday",INDEX('Category Mapping'!$F$28:$F$39,MATCH('Summarized Source Data'!$A851,'Category Mapping'!$A$28:$A$39,0),1),INDEX('Category Mapping'!$E$28:$E$39,MATCH($A851,'Category Mapping'!$A$28:$A$39,0),1))</f>
        <v>108814716.42857143</v>
      </c>
      <c r="V851" s="27">
        <f>V271*IF($E851="weekday",INDEX('Category Mapping'!$F$28:$F$39,MATCH('Summarized Source Data'!$A851,'Category Mapping'!$A$28:$A$39,0),1),INDEX('Category Mapping'!$E$28:$E$39,MATCH($A851,'Category Mapping'!$A$28:$A$39,0),1))</f>
        <v>108814716.42857143</v>
      </c>
      <c r="W851" s="27">
        <f>W271*IF($E851="weekday",INDEX('Category Mapping'!$F$28:$F$39,MATCH('Summarized Source Data'!$A851,'Category Mapping'!$A$28:$A$39,0),1),INDEX('Category Mapping'!$E$28:$E$39,MATCH($A851,'Category Mapping'!$A$28:$A$39,0),1))</f>
        <v>108814716.42857143</v>
      </c>
      <c r="X851" s="27">
        <f>X271*IF($E851="weekday",INDEX('Category Mapping'!$F$28:$F$39,MATCH('Summarized Source Data'!$A851,'Category Mapping'!$A$28:$A$39,0),1),INDEX('Category Mapping'!$E$28:$E$39,MATCH($A851,'Category Mapping'!$A$28:$A$39,0),1))</f>
        <v>13728571428.571428</v>
      </c>
      <c r="Y851" s="27">
        <f>Y271*IF($E851="weekday",INDEX('Category Mapping'!$F$28:$F$39,MATCH('Summarized Source Data'!$A851,'Category Mapping'!$A$28:$A$39,0),1),INDEX('Category Mapping'!$E$28:$E$39,MATCH($A851,'Category Mapping'!$A$28:$A$39,0),1))</f>
        <v>13728571428.571428</v>
      </c>
      <c r="Z851" s="27">
        <f>Z271*IF($E851="weekday",INDEX('Category Mapping'!$F$28:$F$39,MATCH('Summarized Source Data'!$A851,'Category Mapping'!$A$28:$A$39,0),1),INDEX('Category Mapping'!$E$28:$E$39,MATCH($A851,'Category Mapping'!$A$28:$A$39,0),1))</f>
        <v>13728571428.571428</v>
      </c>
    </row>
    <row r="852" spans="1:26" x14ac:dyDescent="0.3">
      <c r="A852">
        <f t="shared" ref="A852:E852" si="317">A272</f>
        <v>12</v>
      </c>
      <c r="B852" t="str">
        <f t="shared" si="317"/>
        <v>Winter</v>
      </c>
      <c r="C852" t="str">
        <f t="shared" si="317"/>
        <v>h5</v>
      </c>
      <c r="D852" t="str">
        <f t="shared" si="317"/>
        <v>Hour4</v>
      </c>
      <c r="E852" t="str">
        <f t="shared" si="317"/>
        <v>Weekday</v>
      </c>
      <c r="F852" s="27">
        <f>F272*IF($E852="weekday",INDEX('Category Mapping'!$F$28:$F$39,MATCH('Summarized Source Data'!$A852,'Category Mapping'!$A$28:$A$39,0),1),INDEX('Category Mapping'!$E$28:$E$39,MATCH($A852,'Category Mapping'!$A$28:$A$39,0),1))</f>
        <v>387500000</v>
      </c>
      <c r="G852" s="27">
        <f>G272*IF($E852="weekday",INDEX('Category Mapping'!$F$28:$F$39,MATCH('Summarized Source Data'!$A852,'Category Mapping'!$A$28:$A$39,0),1),INDEX('Category Mapping'!$E$28:$E$39,MATCH($A852,'Category Mapping'!$A$28:$A$39,0),1))</f>
        <v>393345.71428571426</v>
      </c>
      <c r="H852" s="27">
        <f>H272*IF($E852="weekday",INDEX('Category Mapping'!$F$28:$F$39,MATCH('Summarized Source Data'!$A852,'Category Mapping'!$A$28:$A$39,0),1),INDEX('Category Mapping'!$E$28:$E$39,MATCH($A852,'Category Mapping'!$A$28:$A$39,0),1))</f>
        <v>0</v>
      </c>
      <c r="I852" s="27">
        <f>I272*IF($E852="weekday",INDEX('Category Mapping'!$F$28:$F$39,MATCH('Summarized Source Data'!$A852,'Category Mapping'!$A$28:$A$39,0),1),INDEX('Category Mapping'!$E$28:$E$39,MATCH($A852,'Category Mapping'!$A$28:$A$39,0),1))</f>
        <v>314428571.4285714</v>
      </c>
      <c r="J852" s="27">
        <f>J272*IF($E852="weekday",INDEX('Category Mapping'!$F$28:$F$39,MATCH('Summarized Source Data'!$A852,'Category Mapping'!$A$28:$A$39,0),1),INDEX('Category Mapping'!$E$28:$E$39,MATCH($A852,'Category Mapping'!$A$28:$A$39,0),1))</f>
        <v>883106654.28571427</v>
      </c>
      <c r="K852" s="27">
        <f>K272*IF($E852="weekday",INDEX('Category Mapping'!$F$28:$F$39,MATCH('Summarized Source Data'!$A852,'Category Mapping'!$A$28:$A$39,0),1),INDEX('Category Mapping'!$E$28:$E$39,MATCH($A852,'Category Mapping'!$A$28:$A$39,0),1))</f>
        <v>883106654.28571427</v>
      </c>
      <c r="L852" s="27">
        <f>L272*IF($E852="weekday",INDEX('Category Mapping'!$F$28:$F$39,MATCH('Summarized Source Data'!$A852,'Category Mapping'!$A$28:$A$39,0),1),INDEX('Category Mapping'!$E$28:$E$39,MATCH($A852,'Category Mapping'!$A$28:$A$39,0),1))</f>
        <v>717428571.42857146</v>
      </c>
      <c r="M852" s="27">
        <f>M272*IF($E852="weekday",INDEX('Category Mapping'!$F$28:$F$39,MATCH('Summarized Source Data'!$A852,'Category Mapping'!$A$28:$A$39,0),1),INDEX('Category Mapping'!$E$28:$E$39,MATCH($A852,'Category Mapping'!$A$28:$A$39,0),1))</f>
        <v>955287.14285714284</v>
      </c>
      <c r="N852" s="27">
        <f>N272*IF($E852="weekday",INDEX('Category Mapping'!$F$28:$F$39,MATCH('Summarized Source Data'!$A852,'Category Mapping'!$A$28:$A$39,0),1),INDEX('Category Mapping'!$E$28:$E$39,MATCH($A852,'Category Mapping'!$A$28:$A$39,0),1))</f>
        <v>0</v>
      </c>
      <c r="O852" s="27">
        <f>O272*IF($E852="weekday",INDEX('Category Mapping'!$F$28:$F$39,MATCH('Summarized Source Data'!$A852,'Category Mapping'!$A$28:$A$39,0),1),INDEX('Category Mapping'!$E$28:$E$39,MATCH($A852,'Category Mapping'!$A$28:$A$39,0),1))</f>
        <v>3710187570</v>
      </c>
      <c r="P852" s="27">
        <f>P272*IF($E852="weekday",INDEX('Category Mapping'!$F$28:$F$39,MATCH('Summarized Source Data'!$A852,'Category Mapping'!$A$28:$A$39,0),1),INDEX('Category Mapping'!$E$28:$E$39,MATCH($A852,'Category Mapping'!$A$28:$A$39,0),1))</f>
        <v>3710187570</v>
      </c>
      <c r="Q852" s="27">
        <f>Q272*IF($E852="weekday",INDEX('Category Mapping'!$F$28:$F$39,MATCH('Summarized Source Data'!$A852,'Category Mapping'!$A$28:$A$39,0),1),INDEX('Category Mapping'!$E$28:$E$39,MATCH($A852,'Category Mapping'!$A$28:$A$39,0),1))</f>
        <v>3710187570</v>
      </c>
      <c r="R852" s="27">
        <f>R272*IF($E852="weekday",INDEX('Category Mapping'!$F$28:$F$39,MATCH('Summarized Source Data'!$A852,'Category Mapping'!$A$28:$A$39,0),1),INDEX('Category Mapping'!$E$28:$E$39,MATCH($A852,'Category Mapping'!$A$28:$A$39,0),1))</f>
        <v>108427814.28571428</v>
      </c>
      <c r="S852" s="27">
        <f>S272*IF($E852="weekday",INDEX('Category Mapping'!$F$28:$F$39,MATCH('Summarized Source Data'!$A852,'Category Mapping'!$A$28:$A$39,0),1),INDEX('Category Mapping'!$E$28:$E$39,MATCH($A852,'Category Mapping'!$A$28:$A$39,0),1))</f>
        <v>108427814.28571428</v>
      </c>
      <c r="T852" s="27">
        <f>T272*IF($E852="weekday",INDEX('Category Mapping'!$F$28:$F$39,MATCH('Summarized Source Data'!$A852,'Category Mapping'!$A$28:$A$39,0),1),INDEX('Category Mapping'!$E$28:$E$39,MATCH($A852,'Category Mapping'!$A$28:$A$39,0),1))</f>
        <v>108427814.28571428</v>
      </c>
      <c r="U852" s="27">
        <f>U272*IF($E852="weekday",INDEX('Category Mapping'!$F$28:$F$39,MATCH('Summarized Source Data'!$A852,'Category Mapping'!$A$28:$A$39,0),1),INDEX('Category Mapping'!$E$28:$E$39,MATCH($A852,'Category Mapping'!$A$28:$A$39,0),1))</f>
        <v>108427814.28571428</v>
      </c>
      <c r="V852" s="27">
        <f>V272*IF($E852="weekday",INDEX('Category Mapping'!$F$28:$F$39,MATCH('Summarized Source Data'!$A852,'Category Mapping'!$A$28:$A$39,0),1),INDEX('Category Mapping'!$E$28:$E$39,MATCH($A852,'Category Mapping'!$A$28:$A$39,0),1))</f>
        <v>108427814.28571428</v>
      </c>
      <c r="W852" s="27">
        <f>W272*IF($E852="weekday",INDEX('Category Mapping'!$F$28:$F$39,MATCH('Summarized Source Data'!$A852,'Category Mapping'!$A$28:$A$39,0),1),INDEX('Category Mapping'!$E$28:$E$39,MATCH($A852,'Category Mapping'!$A$28:$A$39,0),1))</f>
        <v>108427814.28571428</v>
      </c>
      <c r="X852" s="27">
        <f>X272*IF($E852="weekday",INDEX('Category Mapping'!$F$28:$F$39,MATCH('Summarized Source Data'!$A852,'Category Mapping'!$A$28:$A$39,0),1),INDEX('Category Mapping'!$E$28:$E$39,MATCH($A852,'Category Mapping'!$A$28:$A$39,0),1))</f>
        <v>13772857142.857143</v>
      </c>
      <c r="Y852" s="27">
        <f>Y272*IF($E852="weekday",INDEX('Category Mapping'!$F$28:$F$39,MATCH('Summarized Source Data'!$A852,'Category Mapping'!$A$28:$A$39,0),1),INDEX('Category Mapping'!$E$28:$E$39,MATCH($A852,'Category Mapping'!$A$28:$A$39,0),1))</f>
        <v>13772857142.857143</v>
      </c>
      <c r="Z852" s="27">
        <f>Z272*IF($E852="weekday",INDEX('Category Mapping'!$F$28:$F$39,MATCH('Summarized Source Data'!$A852,'Category Mapping'!$A$28:$A$39,0),1),INDEX('Category Mapping'!$E$28:$E$39,MATCH($A852,'Category Mapping'!$A$28:$A$39,0),1))</f>
        <v>13772857142.857143</v>
      </c>
    </row>
    <row r="853" spans="1:26" x14ac:dyDescent="0.3">
      <c r="A853">
        <f t="shared" ref="A853:E853" si="318">A273</f>
        <v>12</v>
      </c>
      <c r="B853" t="str">
        <f t="shared" si="318"/>
        <v>Winter</v>
      </c>
      <c r="C853" t="str">
        <f t="shared" si="318"/>
        <v>h6</v>
      </c>
      <c r="D853" t="str">
        <f t="shared" si="318"/>
        <v>Hour5</v>
      </c>
      <c r="E853" t="str">
        <f t="shared" si="318"/>
        <v>Weekday</v>
      </c>
      <c r="F853" s="27">
        <f>F273*IF($E853="weekday",INDEX('Category Mapping'!$F$28:$F$39,MATCH('Summarized Source Data'!$A853,'Category Mapping'!$A$28:$A$39,0),1),INDEX('Category Mapping'!$E$28:$E$39,MATCH($A853,'Category Mapping'!$A$28:$A$39,0),1))</f>
        <v>476071428.57142854</v>
      </c>
      <c r="G853" s="27">
        <f>G273*IF($E853="weekday",INDEX('Category Mapping'!$F$28:$F$39,MATCH('Summarized Source Data'!$A853,'Category Mapping'!$A$28:$A$39,0),1),INDEX('Category Mapping'!$E$28:$E$39,MATCH($A853,'Category Mapping'!$A$28:$A$39,0),1))</f>
        <v>361681.42857142858</v>
      </c>
      <c r="H853" s="27">
        <f>H273*IF($E853="weekday",INDEX('Category Mapping'!$F$28:$F$39,MATCH('Summarized Source Data'!$A853,'Category Mapping'!$A$28:$A$39,0),1),INDEX('Category Mapping'!$E$28:$E$39,MATCH($A853,'Category Mapping'!$A$28:$A$39,0),1))</f>
        <v>0</v>
      </c>
      <c r="I853" s="27">
        <f>I273*IF($E853="weekday",INDEX('Category Mapping'!$F$28:$F$39,MATCH('Summarized Source Data'!$A853,'Category Mapping'!$A$28:$A$39,0),1),INDEX('Category Mapping'!$E$28:$E$39,MATCH($A853,'Category Mapping'!$A$28:$A$39,0),1))</f>
        <v>540285714.28571427</v>
      </c>
      <c r="J853" s="27">
        <f>J273*IF($E853="weekday",INDEX('Category Mapping'!$F$28:$F$39,MATCH('Summarized Source Data'!$A853,'Category Mapping'!$A$28:$A$39,0),1),INDEX('Category Mapping'!$E$28:$E$39,MATCH($A853,'Category Mapping'!$A$28:$A$39,0),1))</f>
        <v>1219709747.1428571</v>
      </c>
      <c r="K853" s="27">
        <f>K273*IF($E853="weekday",INDEX('Category Mapping'!$F$28:$F$39,MATCH('Summarized Source Data'!$A853,'Category Mapping'!$A$28:$A$39,0),1),INDEX('Category Mapping'!$E$28:$E$39,MATCH($A853,'Category Mapping'!$A$28:$A$39,0),1))</f>
        <v>1219709747.1428571</v>
      </c>
      <c r="L853" s="27">
        <f>L273*IF($E853="weekday",INDEX('Category Mapping'!$F$28:$F$39,MATCH('Summarized Source Data'!$A853,'Category Mapping'!$A$28:$A$39,0),1),INDEX('Category Mapping'!$E$28:$E$39,MATCH($A853,'Category Mapping'!$A$28:$A$39,0),1))</f>
        <v>719642857.14285707</v>
      </c>
      <c r="M853" s="27">
        <f>M273*IF($E853="weekday",INDEX('Category Mapping'!$F$28:$F$39,MATCH('Summarized Source Data'!$A853,'Category Mapping'!$A$28:$A$39,0),1),INDEX('Category Mapping'!$E$28:$E$39,MATCH($A853,'Category Mapping'!$A$28:$A$39,0),1))</f>
        <v>985157.85714285716</v>
      </c>
      <c r="N853" s="27">
        <f>N273*IF($E853="weekday",INDEX('Category Mapping'!$F$28:$F$39,MATCH('Summarized Source Data'!$A853,'Category Mapping'!$A$28:$A$39,0),1),INDEX('Category Mapping'!$E$28:$E$39,MATCH($A853,'Category Mapping'!$A$28:$A$39,0),1))</f>
        <v>0</v>
      </c>
      <c r="O853" s="27">
        <f>O273*IF($E853="weekday",INDEX('Category Mapping'!$F$28:$F$39,MATCH('Summarized Source Data'!$A853,'Category Mapping'!$A$28:$A$39,0),1),INDEX('Category Mapping'!$E$28:$E$39,MATCH($A853,'Category Mapping'!$A$28:$A$39,0),1))</f>
        <v>4350086270.7142859</v>
      </c>
      <c r="P853" s="27">
        <f>P273*IF($E853="weekday",INDEX('Category Mapping'!$F$28:$F$39,MATCH('Summarized Source Data'!$A853,'Category Mapping'!$A$28:$A$39,0),1),INDEX('Category Mapping'!$E$28:$E$39,MATCH($A853,'Category Mapping'!$A$28:$A$39,0),1))</f>
        <v>4350086270.7142859</v>
      </c>
      <c r="Q853" s="27">
        <f>Q273*IF($E853="weekday",INDEX('Category Mapping'!$F$28:$F$39,MATCH('Summarized Source Data'!$A853,'Category Mapping'!$A$28:$A$39,0),1),INDEX('Category Mapping'!$E$28:$E$39,MATCH($A853,'Category Mapping'!$A$28:$A$39,0),1))</f>
        <v>4350086270.7142859</v>
      </c>
      <c r="R853" s="27">
        <f>R273*IF($E853="weekday",INDEX('Category Mapping'!$F$28:$F$39,MATCH('Summarized Source Data'!$A853,'Category Mapping'!$A$28:$A$39,0),1),INDEX('Category Mapping'!$E$28:$E$39,MATCH($A853,'Category Mapping'!$A$28:$A$39,0),1))</f>
        <v>111377397.85714285</v>
      </c>
      <c r="S853" s="27">
        <f>S273*IF($E853="weekday",INDEX('Category Mapping'!$F$28:$F$39,MATCH('Summarized Source Data'!$A853,'Category Mapping'!$A$28:$A$39,0),1),INDEX('Category Mapping'!$E$28:$E$39,MATCH($A853,'Category Mapping'!$A$28:$A$39,0),1))</f>
        <v>111377397.85714285</v>
      </c>
      <c r="T853" s="27">
        <f>T273*IF($E853="weekday",INDEX('Category Mapping'!$F$28:$F$39,MATCH('Summarized Source Data'!$A853,'Category Mapping'!$A$28:$A$39,0),1),INDEX('Category Mapping'!$E$28:$E$39,MATCH($A853,'Category Mapping'!$A$28:$A$39,0),1))</f>
        <v>111377397.85714285</v>
      </c>
      <c r="U853" s="27">
        <f>U273*IF($E853="weekday",INDEX('Category Mapping'!$F$28:$F$39,MATCH('Summarized Source Data'!$A853,'Category Mapping'!$A$28:$A$39,0),1),INDEX('Category Mapping'!$E$28:$E$39,MATCH($A853,'Category Mapping'!$A$28:$A$39,0),1))</f>
        <v>111377397.85714285</v>
      </c>
      <c r="V853" s="27">
        <f>V273*IF($E853="weekday",INDEX('Category Mapping'!$F$28:$F$39,MATCH('Summarized Source Data'!$A853,'Category Mapping'!$A$28:$A$39,0),1),INDEX('Category Mapping'!$E$28:$E$39,MATCH($A853,'Category Mapping'!$A$28:$A$39,0),1))</f>
        <v>111377397.85714285</v>
      </c>
      <c r="W853" s="27">
        <f>W273*IF($E853="weekday",INDEX('Category Mapping'!$F$28:$F$39,MATCH('Summarized Source Data'!$A853,'Category Mapping'!$A$28:$A$39,0),1),INDEX('Category Mapping'!$E$28:$E$39,MATCH($A853,'Category Mapping'!$A$28:$A$39,0),1))</f>
        <v>111377397.85714285</v>
      </c>
      <c r="X853" s="27">
        <f>X273*IF($E853="weekday",INDEX('Category Mapping'!$F$28:$F$39,MATCH('Summarized Source Data'!$A853,'Category Mapping'!$A$28:$A$39,0),1),INDEX('Category Mapping'!$E$28:$E$39,MATCH($A853,'Category Mapping'!$A$28:$A$39,0),1))</f>
        <v>13861428571.428572</v>
      </c>
      <c r="Y853" s="27">
        <f>Y273*IF($E853="weekday",INDEX('Category Mapping'!$F$28:$F$39,MATCH('Summarized Source Data'!$A853,'Category Mapping'!$A$28:$A$39,0),1),INDEX('Category Mapping'!$E$28:$E$39,MATCH($A853,'Category Mapping'!$A$28:$A$39,0),1))</f>
        <v>13861428571.428572</v>
      </c>
      <c r="Z853" s="27">
        <f>Z273*IF($E853="weekday",INDEX('Category Mapping'!$F$28:$F$39,MATCH('Summarized Source Data'!$A853,'Category Mapping'!$A$28:$A$39,0),1),INDEX('Category Mapping'!$E$28:$E$39,MATCH($A853,'Category Mapping'!$A$28:$A$39,0),1))</f>
        <v>13861428571.428572</v>
      </c>
    </row>
    <row r="854" spans="1:26" x14ac:dyDescent="0.3">
      <c r="A854">
        <f t="shared" ref="A854:E854" si="319">A274</f>
        <v>12</v>
      </c>
      <c r="B854" t="str">
        <f t="shared" si="319"/>
        <v>Winter</v>
      </c>
      <c r="C854" t="str">
        <f t="shared" si="319"/>
        <v>h7</v>
      </c>
      <c r="D854" t="str">
        <f t="shared" si="319"/>
        <v>Hour6</v>
      </c>
      <c r="E854" t="str">
        <f t="shared" si="319"/>
        <v>Weekday</v>
      </c>
      <c r="F854" s="27">
        <f>F274*IF($E854="weekday",INDEX('Category Mapping'!$F$28:$F$39,MATCH('Summarized Source Data'!$A854,'Category Mapping'!$A$28:$A$39,0),1),INDEX('Category Mapping'!$E$28:$E$39,MATCH($A854,'Category Mapping'!$A$28:$A$39,0),1))</f>
        <v>502642857.14285713</v>
      </c>
      <c r="G854" s="27">
        <f>G274*IF($E854="weekday",INDEX('Category Mapping'!$F$28:$F$39,MATCH('Summarized Source Data'!$A854,'Category Mapping'!$A$28:$A$39,0),1),INDEX('Category Mapping'!$E$28:$E$39,MATCH($A854,'Category Mapping'!$A$28:$A$39,0),1))</f>
        <v>295452.14285714284</v>
      </c>
      <c r="H854" s="27">
        <f>H274*IF($E854="weekday",INDEX('Category Mapping'!$F$28:$F$39,MATCH('Summarized Source Data'!$A854,'Category Mapping'!$A$28:$A$39,0),1),INDEX('Category Mapping'!$E$28:$E$39,MATCH($A854,'Category Mapping'!$A$28:$A$39,0),1))</f>
        <v>0</v>
      </c>
      <c r="I854" s="27">
        <f>I274*IF($E854="weekday",INDEX('Category Mapping'!$F$28:$F$39,MATCH('Summarized Source Data'!$A854,'Category Mapping'!$A$28:$A$39,0),1),INDEX('Category Mapping'!$E$28:$E$39,MATCH($A854,'Category Mapping'!$A$28:$A$39,0),1))</f>
        <v>790500000</v>
      </c>
      <c r="J854" s="27">
        <f>J274*IF($E854="weekday",INDEX('Category Mapping'!$F$28:$F$39,MATCH('Summarized Source Data'!$A854,'Category Mapping'!$A$28:$A$39,0),1),INDEX('Category Mapping'!$E$28:$E$39,MATCH($A854,'Category Mapping'!$A$28:$A$39,0),1))</f>
        <v>1961561690.7142856</v>
      </c>
      <c r="K854" s="27">
        <f>K274*IF($E854="weekday",INDEX('Category Mapping'!$F$28:$F$39,MATCH('Summarized Source Data'!$A854,'Category Mapping'!$A$28:$A$39,0),1),INDEX('Category Mapping'!$E$28:$E$39,MATCH($A854,'Category Mapping'!$A$28:$A$39,0),1))</f>
        <v>1961561690.7142856</v>
      </c>
      <c r="L854" s="27">
        <f>L274*IF($E854="weekday",INDEX('Category Mapping'!$F$28:$F$39,MATCH('Summarized Source Data'!$A854,'Category Mapping'!$A$28:$A$39,0),1),INDEX('Category Mapping'!$E$28:$E$39,MATCH($A854,'Category Mapping'!$A$28:$A$39,0),1))</f>
        <v>814857142.85714281</v>
      </c>
      <c r="M854" s="27">
        <f>M274*IF($E854="weekday",INDEX('Category Mapping'!$F$28:$F$39,MATCH('Summarized Source Data'!$A854,'Category Mapping'!$A$28:$A$39,0),1),INDEX('Category Mapping'!$E$28:$E$39,MATCH($A854,'Category Mapping'!$A$28:$A$39,0),1))</f>
        <v>1091952.857142857</v>
      </c>
      <c r="N854" s="27">
        <f>N274*IF($E854="weekday",INDEX('Category Mapping'!$F$28:$F$39,MATCH('Summarized Source Data'!$A854,'Category Mapping'!$A$28:$A$39,0),1),INDEX('Category Mapping'!$E$28:$E$39,MATCH($A854,'Category Mapping'!$A$28:$A$39,0),1))</f>
        <v>0</v>
      </c>
      <c r="O854" s="27">
        <f>O274*IF($E854="weekday",INDEX('Category Mapping'!$F$28:$F$39,MATCH('Summarized Source Data'!$A854,'Category Mapping'!$A$28:$A$39,0),1),INDEX('Category Mapping'!$E$28:$E$39,MATCH($A854,'Category Mapping'!$A$28:$A$39,0),1))</f>
        <v>6535479475.7142859</v>
      </c>
      <c r="P854" s="27">
        <f>P274*IF($E854="weekday",INDEX('Category Mapping'!$F$28:$F$39,MATCH('Summarized Source Data'!$A854,'Category Mapping'!$A$28:$A$39,0),1),INDEX('Category Mapping'!$E$28:$E$39,MATCH($A854,'Category Mapping'!$A$28:$A$39,0),1))</f>
        <v>6535479475.7142859</v>
      </c>
      <c r="Q854" s="27">
        <f>Q274*IF($E854="weekday",INDEX('Category Mapping'!$F$28:$F$39,MATCH('Summarized Source Data'!$A854,'Category Mapping'!$A$28:$A$39,0),1),INDEX('Category Mapping'!$E$28:$E$39,MATCH($A854,'Category Mapping'!$A$28:$A$39,0),1))</f>
        <v>6535479475.7142859</v>
      </c>
      <c r="R854" s="27">
        <f>R274*IF($E854="weekday",INDEX('Category Mapping'!$F$28:$F$39,MATCH('Summarized Source Data'!$A854,'Category Mapping'!$A$28:$A$39,0),1),INDEX('Category Mapping'!$E$28:$E$39,MATCH($A854,'Category Mapping'!$A$28:$A$39,0),1))</f>
        <v>166946558.57142857</v>
      </c>
      <c r="S854" s="27">
        <f>S274*IF($E854="weekday",INDEX('Category Mapping'!$F$28:$F$39,MATCH('Summarized Source Data'!$A854,'Category Mapping'!$A$28:$A$39,0),1),INDEX('Category Mapping'!$E$28:$E$39,MATCH($A854,'Category Mapping'!$A$28:$A$39,0),1))</f>
        <v>166946558.57142857</v>
      </c>
      <c r="T854" s="27">
        <f>T274*IF($E854="weekday",INDEX('Category Mapping'!$F$28:$F$39,MATCH('Summarized Source Data'!$A854,'Category Mapping'!$A$28:$A$39,0),1),INDEX('Category Mapping'!$E$28:$E$39,MATCH($A854,'Category Mapping'!$A$28:$A$39,0),1))</f>
        <v>166946558.57142857</v>
      </c>
      <c r="U854" s="27">
        <f>U274*IF($E854="weekday",INDEX('Category Mapping'!$F$28:$F$39,MATCH('Summarized Source Data'!$A854,'Category Mapping'!$A$28:$A$39,0),1),INDEX('Category Mapping'!$E$28:$E$39,MATCH($A854,'Category Mapping'!$A$28:$A$39,0),1))</f>
        <v>166946558.57142857</v>
      </c>
      <c r="V854" s="27">
        <f>V274*IF($E854="weekday",INDEX('Category Mapping'!$F$28:$F$39,MATCH('Summarized Source Data'!$A854,'Category Mapping'!$A$28:$A$39,0),1),INDEX('Category Mapping'!$E$28:$E$39,MATCH($A854,'Category Mapping'!$A$28:$A$39,0),1))</f>
        <v>166946558.57142857</v>
      </c>
      <c r="W854" s="27">
        <f>W274*IF($E854="weekday",INDEX('Category Mapping'!$F$28:$F$39,MATCH('Summarized Source Data'!$A854,'Category Mapping'!$A$28:$A$39,0),1),INDEX('Category Mapping'!$E$28:$E$39,MATCH($A854,'Category Mapping'!$A$28:$A$39,0),1))</f>
        <v>166946558.57142857</v>
      </c>
      <c r="X854" s="27">
        <f>X274*IF($E854="weekday",INDEX('Category Mapping'!$F$28:$F$39,MATCH('Summarized Source Data'!$A854,'Category Mapping'!$A$28:$A$39,0),1),INDEX('Category Mapping'!$E$28:$E$39,MATCH($A854,'Category Mapping'!$A$28:$A$39,0),1))</f>
        <v>14016428571.428572</v>
      </c>
      <c r="Y854" s="27">
        <f>Y274*IF($E854="weekday",INDEX('Category Mapping'!$F$28:$F$39,MATCH('Summarized Source Data'!$A854,'Category Mapping'!$A$28:$A$39,0),1),INDEX('Category Mapping'!$E$28:$E$39,MATCH($A854,'Category Mapping'!$A$28:$A$39,0),1))</f>
        <v>14016428571.428572</v>
      </c>
      <c r="Z854" s="27">
        <f>Z274*IF($E854="weekday",INDEX('Category Mapping'!$F$28:$F$39,MATCH('Summarized Source Data'!$A854,'Category Mapping'!$A$28:$A$39,0),1),INDEX('Category Mapping'!$E$28:$E$39,MATCH($A854,'Category Mapping'!$A$28:$A$39,0),1))</f>
        <v>14016428571.428572</v>
      </c>
    </row>
    <row r="855" spans="1:26" x14ac:dyDescent="0.3">
      <c r="A855">
        <f t="shared" ref="A855:E855" si="320">A275</f>
        <v>12</v>
      </c>
      <c r="B855" t="str">
        <f t="shared" si="320"/>
        <v>Winter</v>
      </c>
      <c r="C855" t="str">
        <f t="shared" si="320"/>
        <v>h8</v>
      </c>
      <c r="D855" t="str">
        <f t="shared" si="320"/>
        <v>Hour7</v>
      </c>
      <c r="E855" t="str">
        <f t="shared" si="320"/>
        <v>Weekday</v>
      </c>
      <c r="F855" s="27">
        <f>F275*IF($E855="weekday",INDEX('Category Mapping'!$F$28:$F$39,MATCH('Summarized Source Data'!$A855,'Category Mapping'!$A$28:$A$39,0),1),INDEX('Category Mapping'!$E$28:$E$39,MATCH($A855,'Category Mapping'!$A$28:$A$39,0),1))</f>
        <v>491571428.57142854</v>
      </c>
      <c r="G855" s="27">
        <f>G275*IF($E855="weekday",INDEX('Category Mapping'!$F$28:$F$39,MATCH('Summarized Source Data'!$A855,'Category Mapping'!$A$28:$A$39,0),1),INDEX('Category Mapping'!$E$28:$E$39,MATCH($A855,'Category Mapping'!$A$28:$A$39,0),1))</f>
        <v>221738.57142857142</v>
      </c>
      <c r="H855" s="27">
        <f>H275*IF($E855="weekday",INDEX('Category Mapping'!$F$28:$F$39,MATCH('Summarized Source Data'!$A855,'Category Mapping'!$A$28:$A$39,0),1),INDEX('Category Mapping'!$E$28:$E$39,MATCH($A855,'Category Mapping'!$A$28:$A$39,0),1))</f>
        <v>0</v>
      </c>
      <c r="I855" s="27">
        <f>I275*IF($E855="weekday",INDEX('Category Mapping'!$F$28:$F$39,MATCH('Summarized Source Data'!$A855,'Category Mapping'!$A$28:$A$39,0),1),INDEX('Category Mapping'!$E$28:$E$39,MATCH($A855,'Category Mapping'!$A$28:$A$39,0),1))</f>
        <v>817071428.57142854</v>
      </c>
      <c r="J855" s="27">
        <f>J275*IF($E855="weekday",INDEX('Category Mapping'!$F$28:$F$39,MATCH('Summarized Source Data'!$A855,'Category Mapping'!$A$28:$A$39,0),1),INDEX('Category Mapping'!$E$28:$E$39,MATCH($A855,'Category Mapping'!$A$28:$A$39,0),1))</f>
        <v>2499706832.8571429</v>
      </c>
      <c r="K855" s="27">
        <f>K275*IF($E855="weekday",INDEX('Category Mapping'!$F$28:$F$39,MATCH('Summarized Source Data'!$A855,'Category Mapping'!$A$28:$A$39,0),1),INDEX('Category Mapping'!$E$28:$E$39,MATCH($A855,'Category Mapping'!$A$28:$A$39,0),1))</f>
        <v>2499706832.8571429</v>
      </c>
      <c r="L855" s="27">
        <f>L275*IF($E855="weekday",INDEX('Category Mapping'!$F$28:$F$39,MATCH('Summarized Source Data'!$A855,'Category Mapping'!$A$28:$A$39,0),1),INDEX('Category Mapping'!$E$28:$E$39,MATCH($A855,'Category Mapping'!$A$28:$A$39,0),1))</f>
        <v>2369285714.2857141</v>
      </c>
      <c r="M855" s="27">
        <f>M275*IF($E855="weekday",INDEX('Category Mapping'!$F$28:$F$39,MATCH('Summarized Source Data'!$A855,'Category Mapping'!$A$28:$A$39,0),1),INDEX('Category Mapping'!$E$28:$E$39,MATCH($A855,'Category Mapping'!$A$28:$A$39,0),1))</f>
        <v>1302664.2857142857</v>
      </c>
      <c r="N855" s="27">
        <f>N275*IF($E855="weekday",INDEX('Category Mapping'!$F$28:$F$39,MATCH('Summarized Source Data'!$A855,'Category Mapping'!$A$28:$A$39,0),1),INDEX('Category Mapping'!$E$28:$E$39,MATCH($A855,'Category Mapping'!$A$28:$A$39,0),1))</f>
        <v>0</v>
      </c>
      <c r="O855" s="27">
        <f>O275*IF($E855="weekday",INDEX('Category Mapping'!$F$28:$F$39,MATCH('Summarized Source Data'!$A855,'Category Mapping'!$A$28:$A$39,0),1),INDEX('Category Mapping'!$E$28:$E$39,MATCH($A855,'Category Mapping'!$A$28:$A$39,0),1))</f>
        <v>8988697335.7142849</v>
      </c>
      <c r="P855" s="27">
        <f>P275*IF($E855="weekday",INDEX('Category Mapping'!$F$28:$F$39,MATCH('Summarized Source Data'!$A855,'Category Mapping'!$A$28:$A$39,0),1),INDEX('Category Mapping'!$E$28:$E$39,MATCH($A855,'Category Mapping'!$A$28:$A$39,0),1))</f>
        <v>8988697335.7142849</v>
      </c>
      <c r="Q855" s="27">
        <f>Q275*IF($E855="weekday",INDEX('Category Mapping'!$F$28:$F$39,MATCH('Summarized Source Data'!$A855,'Category Mapping'!$A$28:$A$39,0),1),INDEX('Category Mapping'!$E$28:$E$39,MATCH($A855,'Category Mapping'!$A$28:$A$39,0),1))</f>
        <v>8988697335.7142849</v>
      </c>
      <c r="R855" s="27">
        <f>R275*IF($E855="weekday",INDEX('Category Mapping'!$F$28:$F$39,MATCH('Summarized Source Data'!$A855,'Category Mapping'!$A$28:$A$39,0),1),INDEX('Category Mapping'!$E$28:$E$39,MATCH($A855,'Category Mapping'!$A$28:$A$39,0),1))</f>
        <v>349857142.85714287</v>
      </c>
      <c r="S855" s="27">
        <f>S275*IF($E855="weekday",INDEX('Category Mapping'!$F$28:$F$39,MATCH('Summarized Source Data'!$A855,'Category Mapping'!$A$28:$A$39,0),1),INDEX('Category Mapping'!$E$28:$E$39,MATCH($A855,'Category Mapping'!$A$28:$A$39,0),1))</f>
        <v>349857142.85714287</v>
      </c>
      <c r="T855" s="27">
        <f>T275*IF($E855="weekday",INDEX('Category Mapping'!$F$28:$F$39,MATCH('Summarized Source Data'!$A855,'Category Mapping'!$A$28:$A$39,0),1),INDEX('Category Mapping'!$E$28:$E$39,MATCH($A855,'Category Mapping'!$A$28:$A$39,0),1))</f>
        <v>349857142.85714287</v>
      </c>
      <c r="U855" s="27">
        <f>U275*IF($E855="weekday",INDEX('Category Mapping'!$F$28:$F$39,MATCH('Summarized Source Data'!$A855,'Category Mapping'!$A$28:$A$39,0),1),INDEX('Category Mapping'!$E$28:$E$39,MATCH($A855,'Category Mapping'!$A$28:$A$39,0),1))</f>
        <v>349857142.85714287</v>
      </c>
      <c r="V855" s="27">
        <f>V275*IF($E855="weekday",INDEX('Category Mapping'!$F$28:$F$39,MATCH('Summarized Source Data'!$A855,'Category Mapping'!$A$28:$A$39,0),1),INDEX('Category Mapping'!$E$28:$E$39,MATCH($A855,'Category Mapping'!$A$28:$A$39,0),1))</f>
        <v>349857142.85714287</v>
      </c>
      <c r="W855" s="27">
        <f>W275*IF($E855="weekday",INDEX('Category Mapping'!$F$28:$F$39,MATCH('Summarized Source Data'!$A855,'Category Mapping'!$A$28:$A$39,0),1),INDEX('Category Mapping'!$E$28:$E$39,MATCH($A855,'Category Mapping'!$A$28:$A$39,0),1))</f>
        <v>349857142.85714287</v>
      </c>
      <c r="X855" s="27">
        <f>X275*IF($E855="weekday",INDEX('Category Mapping'!$F$28:$F$39,MATCH('Summarized Source Data'!$A855,'Category Mapping'!$A$28:$A$39,0),1),INDEX('Category Mapping'!$E$28:$E$39,MATCH($A855,'Category Mapping'!$A$28:$A$39,0),1))</f>
        <v>14149285714.285713</v>
      </c>
      <c r="Y855" s="27">
        <f>Y275*IF($E855="weekday",INDEX('Category Mapping'!$F$28:$F$39,MATCH('Summarized Source Data'!$A855,'Category Mapping'!$A$28:$A$39,0),1),INDEX('Category Mapping'!$E$28:$E$39,MATCH($A855,'Category Mapping'!$A$28:$A$39,0),1))</f>
        <v>14149285714.285713</v>
      </c>
      <c r="Z855" s="27">
        <f>Z275*IF($E855="weekday",INDEX('Category Mapping'!$F$28:$F$39,MATCH('Summarized Source Data'!$A855,'Category Mapping'!$A$28:$A$39,0),1),INDEX('Category Mapping'!$E$28:$E$39,MATCH($A855,'Category Mapping'!$A$28:$A$39,0),1))</f>
        <v>14149285714.285713</v>
      </c>
    </row>
    <row r="856" spans="1:26" x14ac:dyDescent="0.3">
      <c r="A856">
        <f t="shared" ref="A856:E856" si="321">A276</f>
        <v>12</v>
      </c>
      <c r="B856" t="str">
        <f t="shared" si="321"/>
        <v>Winter</v>
      </c>
      <c r="C856" t="str">
        <f t="shared" si="321"/>
        <v>h9</v>
      </c>
      <c r="D856" t="str">
        <f t="shared" si="321"/>
        <v>Hour8</v>
      </c>
      <c r="E856" t="str">
        <f t="shared" si="321"/>
        <v>Weekday</v>
      </c>
      <c r="F856" s="27">
        <f>F276*IF($E856="weekday",INDEX('Category Mapping'!$F$28:$F$39,MATCH('Summarized Source Data'!$A856,'Category Mapping'!$A$28:$A$39,0),1),INDEX('Category Mapping'!$E$28:$E$39,MATCH($A856,'Category Mapping'!$A$28:$A$39,0),1))</f>
        <v>469428571.4285714</v>
      </c>
      <c r="G856" s="27">
        <f>G276*IF($E856="weekday",INDEX('Category Mapping'!$F$28:$F$39,MATCH('Summarized Source Data'!$A856,'Category Mapping'!$A$28:$A$39,0),1),INDEX('Category Mapping'!$E$28:$E$39,MATCH($A856,'Category Mapping'!$A$28:$A$39,0),1))</f>
        <v>179180</v>
      </c>
      <c r="H856" s="27">
        <f>H276*IF($E856="weekday",INDEX('Category Mapping'!$F$28:$F$39,MATCH('Summarized Source Data'!$A856,'Category Mapping'!$A$28:$A$39,0),1),INDEX('Category Mapping'!$E$28:$E$39,MATCH($A856,'Category Mapping'!$A$28:$A$39,0),1))</f>
        <v>0</v>
      </c>
      <c r="I856" s="27">
        <f>I276*IF($E856="weekday",INDEX('Category Mapping'!$F$28:$F$39,MATCH('Summarized Source Data'!$A856,'Category Mapping'!$A$28:$A$39,0),1),INDEX('Category Mapping'!$E$28:$E$39,MATCH($A856,'Category Mapping'!$A$28:$A$39,0),1))</f>
        <v>239142857.14285713</v>
      </c>
      <c r="J856" s="27">
        <f>J276*IF($E856="weekday",INDEX('Category Mapping'!$F$28:$F$39,MATCH('Summarized Source Data'!$A856,'Category Mapping'!$A$28:$A$39,0),1),INDEX('Category Mapping'!$E$28:$E$39,MATCH($A856,'Category Mapping'!$A$28:$A$39,0),1))</f>
        <v>2501963677.1428571</v>
      </c>
      <c r="K856" s="27">
        <f>K276*IF($E856="weekday",INDEX('Category Mapping'!$F$28:$F$39,MATCH('Summarized Source Data'!$A856,'Category Mapping'!$A$28:$A$39,0),1),INDEX('Category Mapping'!$E$28:$E$39,MATCH($A856,'Category Mapping'!$A$28:$A$39,0),1))</f>
        <v>2501963677.1428571</v>
      </c>
      <c r="L856" s="27">
        <f>L276*IF($E856="weekday",INDEX('Category Mapping'!$F$28:$F$39,MATCH('Summarized Source Data'!$A856,'Category Mapping'!$A$28:$A$39,0),1),INDEX('Category Mapping'!$E$28:$E$39,MATCH($A856,'Category Mapping'!$A$28:$A$39,0),1))</f>
        <v>2435714285.7142859</v>
      </c>
      <c r="M856" s="27">
        <f>M276*IF($E856="weekday",INDEX('Category Mapping'!$F$28:$F$39,MATCH('Summarized Source Data'!$A856,'Category Mapping'!$A$28:$A$39,0),1),INDEX('Category Mapping'!$E$28:$E$39,MATCH($A856,'Category Mapping'!$A$28:$A$39,0),1))</f>
        <v>1612398.5714285714</v>
      </c>
      <c r="N856" s="27">
        <f>N276*IF($E856="weekday",INDEX('Category Mapping'!$F$28:$F$39,MATCH('Summarized Source Data'!$A856,'Category Mapping'!$A$28:$A$39,0),1),INDEX('Category Mapping'!$E$28:$E$39,MATCH($A856,'Category Mapping'!$A$28:$A$39,0),1))</f>
        <v>0</v>
      </c>
      <c r="O856" s="27">
        <f>O276*IF($E856="weekday",INDEX('Category Mapping'!$F$28:$F$39,MATCH('Summarized Source Data'!$A856,'Category Mapping'!$A$28:$A$39,0),1),INDEX('Category Mapping'!$E$28:$E$39,MATCH($A856,'Category Mapping'!$A$28:$A$39,0),1))</f>
        <v>11158387601.428572</v>
      </c>
      <c r="P856" s="27">
        <f>P276*IF($E856="weekday",INDEX('Category Mapping'!$F$28:$F$39,MATCH('Summarized Source Data'!$A856,'Category Mapping'!$A$28:$A$39,0),1),INDEX('Category Mapping'!$E$28:$E$39,MATCH($A856,'Category Mapping'!$A$28:$A$39,0),1))</f>
        <v>11158387601.428572</v>
      </c>
      <c r="Q856" s="27">
        <f>Q276*IF($E856="weekday",INDEX('Category Mapping'!$F$28:$F$39,MATCH('Summarized Source Data'!$A856,'Category Mapping'!$A$28:$A$39,0),1),INDEX('Category Mapping'!$E$28:$E$39,MATCH($A856,'Category Mapping'!$A$28:$A$39,0),1))</f>
        <v>11158387601.428572</v>
      </c>
      <c r="R856" s="27">
        <f>R276*IF($E856="weekday",INDEX('Category Mapping'!$F$28:$F$39,MATCH('Summarized Source Data'!$A856,'Category Mapping'!$A$28:$A$39,0),1),INDEX('Category Mapping'!$E$28:$E$39,MATCH($A856,'Category Mapping'!$A$28:$A$39,0),1))</f>
        <v>380857142.85714287</v>
      </c>
      <c r="S856" s="27">
        <f>S276*IF($E856="weekday",INDEX('Category Mapping'!$F$28:$F$39,MATCH('Summarized Source Data'!$A856,'Category Mapping'!$A$28:$A$39,0),1),INDEX('Category Mapping'!$E$28:$E$39,MATCH($A856,'Category Mapping'!$A$28:$A$39,0),1))</f>
        <v>380857142.85714287</v>
      </c>
      <c r="T856" s="27">
        <f>T276*IF($E856="weekday",INDEX('Category Mapping'!$F$28:$F$39,MATCH('Summarized Source Data'!$A856,'Category Mapping'!$A$28:$A$39,0),1),INDEX('Category Mapping'!$E$28:$E$39,MATCH($A856,'Category Mapping'!$A$28:$A$39,0),1))</f>
        <v>380857142.85714287</v>
      </c>
      <c r="U856" s="27">
        <f>U276*IF($E856="weekday",INDEX('Category Mapping'!$F$28:$F$39,MATCH('Summarized Source Data'!$A856,'Category Mapping'!$A$28:$A$39,0),1),INDEX('Category Mapping'!$E$28:$E$39,MATCH($A856,'Category Mapping'!$A$28:$A$39,0),1))</f>
        <v>380857142.85714287</v>
      </c>
      <c r="V856" s="27">
        <f>V276*IF($E856="weekday",INDEX('Category Mapping'!$F$28:$F$39,MATCH('Summarized Source Data'!$A856,'Category Mapping'!$A$28:$A$39,0),1),INDEX('Category Mapping'!$E$28:$E$39,MATCH($A856,'Category Mapping'!$A$28:$A$39,0),1))</f>
        <v>380857142.85714287</v>
      </c>
      <c r="W856" s="27">
        <f>W276*IF($E856="weekday",INDEX('Category Mapping'!$F$28:$F$39,MATCH('Summarized Source Data'!$A856,'Category Mapping'!$A$28:$A$39,0),1),INDEX('Category Mapping'!$E$28:$E$39,MATCH($A856,'Category Mapping'!$A$28:$A$39,0),1))</f>
        <v>380857142.85714287</v>
      </c>
      <c r="X856" s="27">
        <f>X276*IF($E856="weekday",INDEX('Category Mapping'!$F$28:$F$39,MATCH('Summarized Source Data'!$A856,'Category Mapping'!$A$28:$A$39,0),1),INDEX('Category Mapping'!$E$28:$E$39,MATCH($A856,'Category Mapping'!$A$28:$A$39,0),1))</f>
        <v>14193571428.571428</v>
      </c>
      <c r="Y856" s="27">
        <f>Y276*IF($E856="weekday",INDEX('Category Mapping'!$F$28:$F$39,MATCH('Summarized Source Data'!$A856,'Category Mapping'!$A$28:$A$39,0),1),INDEX('Category Mapping'!$E$28:$E$39,MATCH($A856,'Category Mapping'!$A$28:$A$39,0),1))</f>
        <v>14193571428.571428</v>
      </c>
      <c r="Z856" s="27">
        <f>Z276*IF($E856="weekday",INDEX('Category Mapping'!$F$28:$F$39,MATCH('Summarized Source Data'!$A856,'Category Mapping'!$A$28:$A$39,0),1),INDEX('Category Mapping'!$E$28:$E$39,MATCH($A856,'Category Mapping'!$A$28:$A$39,0),1))</f>
        <v>14193571428.571428</v>
      </c>
    </row>
    <row r="857" spans="1:26" x14ac:dyDescent="0.3">
      <c r="A857">
        <f t="shared" ref="A857:E857" si="322">A277</f>
        <v>12</v>
      </c>
      <c r="B857" t="str">
        <f t="shared" si="322"/>
        <v>Winter</v>
      </c>
      <c r="C857" t="str">
        <f t="shared" si="322"/>
        <v>h10</v>
      </c>
      <c r="D857" t="str">
        <f t="shared" si="322"/>
        <v>Hour9</v>
      </c>
      <c r="E857" t="str">
        <f t="shared" si="322"/>
        <v>Weekday</v>
      </c>
      <c r="F857" s="27">
        <f>F277*IF($E857="weekday",INDEX('Category Mapping'!$F$28:$F$39,MATCH('Summarized Source Data'!$A857,'Category Mapping'!$A$28:$A$39,0),1),INDEX('Category Mapping'!$E$28:$E$39,MATCH($A857,'Category Mapping'!$A$28:$A$39,0),1))</f>
        <v>345428571.4285714</v>
      </c>
      <c r="G857" s="27">
        <f>G277*IF($E857="weekday",INDEX('Category Mapping'!$F$28:$F$39,MATCH('Summarized Source Data'!$A857,'Category Mapping'!$A$28:$A$39,0),1),INDEX('Category Mapping'!$E$28:$E$39,MATCH($A857,'Category Mapping'!$A$28:$A$39,0),1))</f>
        <v>154911.42857142858</v>
      </c>
      <c r="H857" s="27">
        <f>H277*IF($E857="weekday",INDEX('Category Mapping'!$F$28:$F$39,MATCH('Summarized Source Data'!$A857,'Category Mapping'!$A$28:$A$39,0),1),INDEX('Category Mapping'!$E$28:$E$39,MATCH($A857,'Category Mapping'!$A$28:$A$39,0),1))</f>
        <v>0</v>
      </c>
      <c r="I857" s="27">
        <f>I277*IF($E857="weekday",INDEX('Category Mapping'!$F$28:$F$39,MATCH('Summarized Source Data'!$A857,'Category Mapping'!$A$28:$A$39,0),1),INDEX('Category Mapping'!$E$28:$E$39,MATCH($A857,'Category Mapping'!$A$28:$A$39,0),1))</f>
        <v>230285714.28571427</v>
      </c>
      <c r="J857" s="27">
        <f>J277*IF($E857="weekday",INDEX('Category Mapping'!$F$28:$F$39,MATCH('Summarized Source Data'!$A857,'Category Mapping'!$A$28:$A$39,0),1),INDEX('Category Mapping'!$E$28:$E$39,MATCH($A857,'Category Mapping'!$A$28:$A$39,0),1))</f>
        <v>2501987945.7142859</v>
      </c>
      <c r="K857" s="27">
        <f>K277*IF($E857="weekday",INDEX('Category Mapping'!$F$28:$F$39,MATCH('Summarized Source Data'!$A857,'Category Mapping'!$A$28:$A$39,0),1),INDEX('Category Mapping'!$E$28:$E$39,MATCH($A857,'Category Mapping'!$A$28:$A$39,0),1))</f>
        <v>2501987945.7142859</v>
      </c>
      <c r="L857" s="27">
        <f>L277*IF($E857="weekday",INDEX('Category Mapping'!$F$28:$F$39,MATCH('Summarized Source Data'!$A857,'Category Mapping'!$A$28:$A$39,0),1),INDEX('Category Mapping'!$E$28:$E$39,MATCH($A857,'Category Mapping'!$A$28:$A$39,0),1))</f>
        <v>1738214285.7142856</v>
      </c>
      <c r="M857" s="27">
        <f>M277*IF($E857="weekday",INDEX('Category Mapping'!$F$28:$F$39,MATCH('Summarized Source Data'!$A857,'Category Mapping'!$A$28:$A$39,0),1),INDEX('Category Mapping'!$E$28:$E$39,MATCH($A857,'Category Mapping'!$A$28:$A$39,0),1))</f>
        <v>1810178.5714285714</v>
      </c>
      <c r="N857" s="27">
        <f>N277*IF($E857="weekday",INDEX('Category Mapping'!$F$28:$F$39,MATCH('Summarized Source Data'!$A857,'Category Mapping'!$A$28:$A$39,0),1),INDEX('Category Mapping'!$E$28:$E$39,MATCH($A857,'Category Mapping'!$A$28:$A$39,0),1))</f>
        <v>0</v>
      </c>
      <c r="O857" s="27">
        <f>O277*IF($E857="weekday",INDEX('Category Mapping'!$F$28:$F$39,MATCH('Summarized Source Data'!$A857,'Category Mapping'!$A$28:$A$39,0),1),INDEX('Category Mapping'!$E$28:$E$39,MATCH($A857,'Category Mapping'!$A$28:$A$39,0),1))</f>
        <v>11722832678.571428</v>
      </c>
      <c r="P857" s="27">
        <f>P277*IF($E857="weekday",INDEX('Category Mapping'!$F$28:$F$39,MATCH('Summarized Source Data'!$A857,'Category Mapping'!$A$28:$A$39,0),1),INDEX('Category Mapping'!$E$28:$E$39,MATCH($A857,'Category Mapping'!$A$28:$A$39,0),1))</f>
        <v>11722832678.571428</v>
      </c>
      <c r="Q857" s="27">
        <f>Q277*IF($E857="weekday",INDEX('Category Mapping'!$F$28:$F$39,MATCH('Summarized Source Data'!$A857,'Category Mapping'!$A$28:$A$39,0),1),INDEX('Category Mapping'!$E$28:$E$39,MATCH($A857,'Category Mapping'!$A$28:$A$39,0),1))</f>
        <v>11722832678.571428</v>
      </c>
      <c r="R857" s="27">
        <f>R277*IF($E857="weekday",INDEX('Category Mapping'!$F$28:$F$39,MATCH('Summarized Source Data'!$A857,'Category Mapping'!$A$28:$A$39,0),1),INDEX('Category Mapping'!$E$28:$E$39,MATCH($A857,'Category Mapping'!$A$28:$A$39,0),1))</f>
        <v>338785714.28571427</v>
      </c>
      <c r="S857" s="27">
        <f>S277*IF($E857="weekday",INDEX('Category Mapping'!$F$28:$F$39,MATCH('Summarized Source Data'!$A857,'Category Mapping'!$A$28:$A$39,0),1),INDEX('Category Mapping'!$E$28:$E$39,MATCH($A857,'Category Mapping'!$A$28:$A$39,0),1))</f>
        <v>338785714.28571427</v>
      </c>
      <c r="T857" s="27">
        <f>T277*IF($E857="weekday",INDEX('Category Mapping'!$F$28:$F$39,MATCH('Summarized Source Data'!$A857,'Category Mapping'!$A$28:$A$39,0),1),INDEX('Category Mapping'!$E$28:$E$39,MATCH($A857,'Category Mapping'!$A$28:$A$39,0),1))</f>
        <v>338785714.28571427</v>
      </c>
      <c r="U857" s="27">
        <f>U277*IF($E857="weekday",INDEX('Category Mapping'!$F$28:$F$39,MATCH('Summarized Source Data'!$A857,'Category Mapping'!$A$28:$A$39,0),1),INDEX('Category Mapping'!$E$28:$E$39,MATCH($A857,'Category Mapping'!$A$28:$A$39,0),1))</f>
        <v>338785714.28571427</v>
      </c>
      <c r="V857" s="27">
        <f>V277*IF($E857="weekday",INDEX('Category Mapping'!$F$28:$F$39,MATCH('Summarized Source Data'!$A857,'Category Mapping'!$A$28:$A$39,0),1),INDEX('Category Mapping'!$E$28:$E$39,MATCH($A857,'Category Mapping'!$A$28:$A$39,0),1))</f>
        <v>338785714.28571427</v>
      </c>
      <c r="W857" s="27">
        <f>W277*IF($E857="weekday",INDEX('Category Mapping'!$F$28:$F$39,MATCH('Summarized Source Data'!$A857,'Category Mapping'!$A$28:$A$39,0),1),INDEX('Category Mapping'!$E$28:$E$39,MATCH($A857,'Category Mapping'!$A$28:$A$39,0),1))</f>
        <v>338785714.28571427</v>
      </c>
      <c r="X857" s="27">
        <f>X277*IF($E857="weekday",INDEX('Category Mapping'!$F$28:$F$39,MATCH('Summarized Source Data'!$A857,'Category Mapping'!$A$28:$A$39,0),1),INDEX('Category Mapping'!$E$28:$E$39,MATCH($A857,'Category Mapping'!$A$28:$A$39,0),1))</f>
        <v>14171428571.428572</v>
      </c>
      <c r="Y857" s="27">
        <f>Y277*IF($E857="weekday",INDEX('Category Mapping'!$F$28:$F$39,MATCH('Summarized Source Data'!$A857,'Category Mapping'!$A$28:$A$39,0),1),INDEX('Category Mapping'!$E$28:$E$39,MATCH($A857,'Category Mapping'!$A$28:$A$39,0),1))</f>
        <v>14171428571.428572</v>
      </c>
      <c r="Z857" s="27">
        <f>Z277*IF($E857="weekday",INDEX('Category Mapping'!$F$28:$F$39,MATCH('Summarized Source Data'!$A857,'Category Mapping'!$A$28:$A$39,0),1),INDEX('Category Mapping'!$E$28:$E$39,MATCH($A857,'Category Mapping'!$A$28:$A$39,0),1))</f>
        <v>14171428571.428572</v>
      </c>
    </row>
    <row r="858" spans="1:26" x14ac:dyDescent="0.3">
      <c r="A858">
        <f t="shared" ref="A858:E858" si="323">A278</f>
        <v>12</v>
      </c>
      <c r="B858" t="str">
        <f t="shared" si="323"/>
        <v>Winter</v>
      </c>
      <c r="C858" t="str">
        <f t="shared" si="323"/>
        <v>h11</v>
      </c>
      <c r="D858" t="str">
        <f t="shared" si="323"/>
        <v>Hour10</v>
      </c>
      <c r="E858" t="str">
        <f t="shared" si="323"/>
        <v>Weekday</v>
      </c>
      <c r="F858" s="27">
        <f>F278*IF($E858="weekday",INDEX('Category Mapping'!$F$28:$F$39,MATCH('Summarized Source Data'!$A858,'Category Mapping'!$A$28:$A$39,0),1),INDEX('Category Mapping'!$E$28:$E$39,MATCH($A858,'Category Mapping'!$A$28:$A$39,0),1))</f>
        <v>329928571.4285714</v>
      </c>
      <c r="G858" s="27">
        <f>G278*IF($E858="weekday",INDEX('Category Mapping'!$F$28:$F$39,MATCH('Summarized Source Data'!$A858,'Category Mapping'!$A$28:$A$39,0),1),INDEX('Category Mapping'!$E$28:$E$39,MATCH($A858,'Category Mapping'!$A$28:$A$39,0),1))</f>
        <v>153073.57142857142</v>
      </c>
      <c r="H858" s="27">
        <f>H278*IF($E858="weekday",INDEX('Category Mapping'!$F$28:$F$39,MATCH('Summarized Source Data'!$A858,'Category Mapping'!$A$28:$A$39,0),1),INDEX('Category Mapping'!$E$28:$E$39,MATCH($A858,'Category Mapping'!$A$28:$A$39,0),1))</f>
        <v>0</v>
      </c>
      <c r="I858" s="27">
        <f>I278*IF($E858="weekday",INDEX('Category Mapping'!$F$28:$F$39,MATCH('Summarized Source Data'!$A858,'Category Mapping'!$A$28:$A$39,0),1),INDEX('Category Mapping'!$E$28:$E$39,MATCH($A858,'Category Mapping'!$A$28:$A$39,0),1))</f>
        <v>234714285.7142857</v>
      </c>
      <c r="J858" s="27">
        <f>J278*IF($E858="weekday",INDEX('Category Mapping'!$F$28:$F$39,MATCH('Summarized Source Data'!$A858,'Category Mapping'!$A$28:$A$39,0),1),INDEX('Category Mapping'!$E$28:$E$39,MATCH($A858,'Category Mapping'!$A$28:$A$39,0),1))</f>
        <v>2468775497.8571429</v>
      </c>
      <c r="K858" s="27">
        <f>K278*IF($E858="weekday",INDEX('Category Mapping'!$F$28:$F$39,MATCH('Summarized Source Data'!$A858,'Category Mapping'!$A$28:$A$39,0),1),INDEX('Category Mapping'!$E$28:$E$39,MATCH($A858,'Category Mapping'!$A$28:$A$39,0),1))</f>
        <v>2468775497.8571429</v>
      </c>
      <c r="L858" s="27">
        <f>L278*IF($E858="weekday",INDEX('Category Mapping'!$F$28:$F$39,MATCH('Summarized Source Data'!$A858,'Category Mapping'!$A$28:$A$39,0),1),INDEX('Category Mapping'!$E$28:$E$39,MATCH($A858,'Category Mapping'!$A$28:$A$39,0),1))</f>
        <v>1434857142.8571429</v>
      </c>
      <c r="M858" s="27">
        <f>M278*IF($E858="weekday",INDEX('Category Mapping'!$F$28:$F$39,MATCH('Summarized Source Data'!$A858,'Category Mapping'!$A$28:$A$39,0),1),INDEX('Category Mapping'!$E$28:$E$39,MATCH($A858,'Category Mapping'!$A$28:$A$39,0),1))</f>
        <v>1912965.7142857143</v>
      </c>
      <c r="N858" s="27">
        <f>N278*IF($E858="weekday",INDEX('Category Mapping'!$F$28:$F$39,MATCH('Summarized Source Data'!$A858,'Category Mapping'!$A$28:$A$39,0),1),INDEX('Category Mapping'!$E$28:$E$39,MATCH($A858,'Category Mapping'!$A$28:$A$39,0),1))</f>
        <v>0</v>
      </c>
      <c r="O858" s="27">
        <f>O278*IF($E858="weekday",INDEX('Category Mapping'!$F$28:$F$39,MATCH('Summarized Source Data'!$A858,'Category Mapping'!$A$28:$A$39,0),1),INDEX('Category Mapping'!$E$28:$E$39,MATCH($A858,'Category Mapping'!$A$28:$A$39,0),1))</f>
        <v>11649658462.857143</v>
      </c>
      <c r="P858" s="27">
        <f>P278*IF($E858="weekday",INDEX('Category Mapping'!$F$28:$F$39,MATCH('Summarized Source Data'!$A858,'Category Mapping'!$A$28:$A$39,0),1),INDEX('Category Mapping'!$E$28:$E$39,MATCH($A858,'Category Mapping'!$A$28:$A$39,0),1))</f>
        <v>11649658462.857143</v>
      </c>
      <c r="Q858" s="27">
        <f>Q278*IF($E858="weekday",INDEX('Category Mapping'!$F$28:$F$39,MATCH('Summarized Source Data'!$A858,'Category Mapping'!$A$28:$A$39,0),1),INDEX('Category Mapping'!$E$28:$E$39,MATCH($A858,'Category Mapping'!$A$28:$A$39,0),1))</f>
        <v>11649658462.857143</v>
      </c>
      <c r="R858" s="27">
        <f>R278*IF($E858="weekday",INDEX('Category Mapping'!$F$28:$F$39,MATCH('Summarized Source Data'!$A858,'Category Mapping'!$A$28:$A$39,0),1),INDEX('Category Mapping'!$E$28:$E$39,MATCH($A858,'Category Mapping'!$A$28:$A$39,0),1))</f>
        <v>272357142.85714287</v>
      </c>
      <c r="S858" s="27">
        <f>S278*IF($E858="weekday",INDEX('Category Mapping'!$F$28:$F$39,MATCH('Summarized Source Data'!$A858,'Category Mapping'!$A$28:$A$39,0),1),INDEX('Category Mapping'!$E$28:$E$39,MATCH($A858,'Category Mapping'!$A$28:$A$39,0),1))</f>
        <v>272357142.85714287</v>
      </c>
      <c r="T858" s="27">
        <f>T278*IF($E858="weekday",INDEX('Category Mapping'!$F$28:$F$39,MATCH('Summarized Source Data'!$A858,'Category Mapping'!$A$28:$A$39,0),1),INDEX('Category Mapping'!$E$28:$E$39,MATCH($A858,'Category Mapping'!$A$28:$A$39,0),1))</f>
        <v>272357142.85714287</v>
      </c>
      <c r="U858" s="27">
        <f>U278*IF($E858="weekday",INDEX('Category Mapping'!$F$28:$F$39,MATCH('Summarized Source Data'!$A858,'Category Mapping'!$A$28:$A$39,0),1),INDEX('Category Mapping'!$E$28:$E$39,MATCH($A858,'Category Mapping'!$A$28:$A$39,0),1))</f>
        <v>272357142.85714287</v>
      </c>
      <c r="V858" s="27">
        <f>V278*IF($E858="weekday",INDEX('Category Mapping'!$F$28:$F$39,MATCH('Summarized Source Data'!$A858,'Category Mapping'!$A$28:$A$39,0),1),INDEX('Category Mapping'!$E$28:$E$39,MATCH($A858,'Category Mapping'!$A$28:$A$39,0),1))</f>
        <v>272357142.85714287</v>
      </c>
      <c r="W858" s="27">
        <f>W278*IF($E858="weekday",INDEX('Category Mapping'!$F$28:$F$39,MATCH('Summarized Source Data'!$A858,'Category Mapping'!$A$28:$A$39,0),1),INDEX('Category Mapping'!$E$28:$E$39,MATCH($A858,'Category Mapping'!$A$28:$A$39,0),1))</f>
        <v>272357142.85714287</v>
      </c>
      <c r="X858" s="27">
        <f>X278*IF($E858="weekday",INDEX('Category Mapping'!$F$28:$F$39,MATCH('Summarized Source Data'!$A858,'Category Mapping'!$A$28:$A$39,0),1),INDEX('Category Mapping'!$E$28:$E$39,MATCH($A858,'Category Mapping'!$A$28:$A$39,0),1))</f>
        <v>14105000000</v>
      </c>
      <c r="Y858" s="27">
        <f>Y278*IF($E858="weekday",INDEX('Category Mapping'!$F$28:$F$39,MATCH('Summarized Source Data'!$A858,'Category Mapping'!$A$28:$A$39,0),1),INDEX('Category Mapping'!$E$28:$E$39,MATCH($A858,'Category Mapping'!$A$28:$A$39,0),1))</f>
        <v>14105000000</v>
      </c>
      <c r="Z858" s="27">
        <f>Z278*IF($E858="weekday",INDEX('Category Mapping'!$F$28:$F$39,MATCH('Summarized Source Data'!$A858,'Category Mapping'!$A$28:$A$39,0),1),INDEX('Category Mapping'!$E$28:$E$39,MATCH($A858,'Category Mapping'!$A$28:$A$39,0),1))</f>
        <v>14105000000</v>
      </c>
    </row>
    <row r="859" spans="1:26" x14ac:dyDescent="0.3">
      <c r="A859">
        <f t="shared" ref="A859:E859" si="324">A279</f>
        <v>12</v>
      </c>
      <c r="B859" t="str">
        <f t="shared" si="324"/>
        <v>Winter</v>
      </c>
      <c r="C859" t="str">
        <f t="shared" si="324"/>
        <v>h12</v>
      </c>
      <c r="D859" t="str">
        <f t="shared" si="324"/>
        <v>Hour11</v>
      </c>
      <c r="E859" t="str">
        <f t="shared" si="324"/>
        <v>Weekday</v>
      </c>
      <c r="F859" s="27">
        <f>F279*IF($E859="weekday",INDEX('Category Mapping'!$F$28:$F$39,MATCH('Summarized Source Data'!$A859,'Category Mapping'!$A$28:$A$39,0),1),INDEX('Category Mapping'!$E$28:$E$39,MATCH($A859,'Category Mapping'!$A$28:$A$39,0),1))</f>
        <v>327714285.71428573</v>
      </c>
      <c r="G859" s="27">
        <f>G279*IF($E859="weekday",INDEX('Category Mapping'!$F$28:$F$39,MATCH('Summarized Source Data'!$A859,'Category Mapping'!$A$28:$A$39,0),1),INDEX('Category Mapping'!$E$28:$E$39,MATCH($A859,'Category Mapping'!$A$28:$A$39,0),1))</f>
        <v>171208.57142857142</v>
      </c>
      <c r="H859" s="27">
        <f>H279*IF($E859="weekday",INDEX('Category Mapping'!$F$28:$F$39,MATCH('Summarized Source Data'!$A859,'Category Mapping'!$A$28:$A$39,0),1),INDEX('Category Mapping'!$E$28:$E$39,MATCH($A859,'Category Mapping'!$A$28:$A$39,0),1))</f>
        <v>0</v>
      </c>
      <c r="I859" s="27">
        <f>I279*IF($E859="weekday",INDEX('Category Mapping'!$F$28:$F$39,MATCH('Summarized Source Data'!$A859,'Category Mapping'!$A$28:$A$39,0),1),INDEX('Category Mapping'!$E$28:$E$39,MATCH($A859,'Category Mapping'!$A$28:$A$39,0),1))</f>
        <v>256857142.85714287</v>
      </c>
      <c r="J859" s="27">
        <f>J279*IF($E859="weekday",INDEX('Category Mapping'!$F$28:$F$39,MATCH('Summarized Source Data'!$A859,'Category Mapping'!$A$28:$A$39,0),1),INDEX('Category Mapping'!$E$28:$E$39,MATCH($A859,'Category Mapping'!$A$28:$A$39,0),1))</f>
        <v>2448828791.4285712</v>
      </c>
      <c r="K859" s="27">
        <f>K279*IF($E859="weekday",INDEX('Category Mapping'!$F$28:$F$39,MATCH('Summarized Source Data'!$A859,'Category Mapping'!$A$28:$A$39,0),1),INDEX('Category Mapping'!$E$28:$E$39,MATCH($A859,'Category Mapping'!$A$28:$A$39,0),1))</f>
        <v>2448828791.4285712</v>
      </c>
      <c r="L859" s="27">
        <f>L279*IF($E859="weekday",INDEX('Category Mapping'!$F$28:$F$39,MATCH('Summarized Source Data'!$A859,'Category Mapping'!$A$28:$A$39,0),1),INDEX('Category Mapping'!$E$28:$E$39,MATCH($A859,'Category Mapping'!$A$28:$A$39,0),1))</f>
        <v>1251071428.5714285</v>
      </c>
      <c r="M859" s="27">
        <f>M279*IF($E859="weekday",INDEX('Category Mapping'!$F$28:$F$39,MATCH('Summarized Source Data'!$A859,'Category Mapping'!$A$28:$A$39,0),1),INDEX('Category Mapping'!$E$28:$E$39,MATCH($A859,'Category Mapping'!$A$28:$A$39,0),1))</f>
        <v>1937057.1428571427</v>
      </c>
      <c r="N859" s="27">
        <f>N279*IF($E859="weekday",INDEX('Category Mapping'!$F$28:$F$39,MATCH('Summarized Source Data'!$A859,'Category Mapping'!$A$28:$A$39,0),1),INDEX('Category Mapping'!$E$28:$E$39,MATCH($A859,'Category Mapping'!$A$28:$A$39,0),1))</f>
        <v>0</v>
      </c>
      <c r="O859" s="27">
        <f>O279*IF($E859="weekday",INDEX('Category Mapping'!$F$28:$F$39,MATCH('Summarized Source Data'!$A859,'Category Mapping'!$A$28:$A$39,0),1),INDEX('Category Mapping'!$E$28:$E$39,MATCH($A859,'Category Mapping'!$A$28:$A$39,0),1))</f>
        <v>11611991514.285713</v>
      </c>
      <c r="P859" s="27">
        <f>P279*IF($E859="weekday",INDEX('Category Mapping'!$F$28:$F$39,MATCH('Summarized Source Data'!$A859,'Category Mapping'!$A$28:$A$39,0),1),INDEX('Category Mapping'!$E$28:$E$39,MATCH($A859,'Category Mapping'!$A$28:$A$39,0),1))</f>
        <v>11611991514.285713</v>
      </c>
      <c r="Q859" s="27">
        <f>Q279*IF($E859="weekday",INDEX('Category Mapping'!$F$28:$F$39,MATCH('Summarized Source Data'!$A859,'Category Mapping'!$A$28:$A$39,0),1),INDEX('Category Mapping'!$E$28:$E$39,MATCH($A859,'Category Mapping'!$A$28:$A$39,0),1))</f>
        <v>11611991514.285713</v>
      </c>
      <c r="R859" s="27">
        <f>R279*IF($E859="weekday",INDEX('Category Mapping'!$F$28:$F$39,MATCH('Summarized Source Data'!$A859,'Category Mapping'!$A$28:$A$39,0),1),INDEX('Category Mapping'!$E$28:$E$39,MATCH($A859,'Category Mapping'!$A$28:$A$39,0),1))</f>
        <v>272357142.85714287</v>
      </c>
      <c r="S859" s="27">
        <f>S279*IF($E859="weekday",INDEX('Category Mapping'!$F$28:$F$39,MATCH('Summarized Source Data'!$A859,'Category Mapping'!$A$28:$A$39,0),1),INDEX('Category Mapping'!$E$28:$E$39,MATCH($A859,'Category Mapping'!$A$28:$A$39,0),1))</f>
        <v>272357142.85714287</v>
      </c>
      <c r="T859" s="27">
        <f>T279*IF($E859="weekday",INDEX('Category Mapping'!$F$28:$F$39,MATCH('Summarized Source Data'!$A859,'Category Mapping'!$A$28:$A$39,0),1),INDEX('Category Mapping'!$E$28:$E$39,MATCH($A859,'Category Mapping'!$A$28:$A$39,0),1))</f>
        <v>272357142.85714287</v>
      </c>
      <c r="U859" s="27">
        <f>U279*IF($E859="weekday",INDEX('Category Mapping'!$F$28:$F$39,MATCH('Summarized Source Data'!$A859,'Category Mapping'!$A$28:$A$39,0),1),INDEX('Category Mapping'!$E$28:$E$39,MATCH($A859,'Category Mapping'!$A$28:$A$39,0),1))</f>
        <v>272357142.85714287</v>
      </c>
      <c r="V859" s="27">
        <f>V279*IF($E859="weekday",INDEX('Category Mapping'!$F$28:$F$39,MATCH('Summarized Source Data'!$A859,'Category Mapping'!$A$28:$A$39,0),1),INDEX('Category Mapping'!$E$28:$E$39,MATCH($A859,'Category Mapping'!$A$28:$A$39,0),1))</f>
        <v>272357142.85714287</v>
      </c>
      <c r="W859" s="27">
        <f>W279*IF($E859="weekday",INDEX('Category Mapping'!$F$28:$F$39,MATCH('Summarized Source Data'!$A859,'Category Mapping'!$A$28:$A$39,0),1),INDEX('Category Mapping'!$E$28:$E$39,MATCH($A859,'Category Mapping'!$A$28:$A$39,0),1))</f>
        <v>272357142.85714287</v>
      </c>
      <c r="X859" s="27">
        <f>X279*IF($E859="weekday",INDEX('Category Mapping'!$F$28:$F$39,MATCH('Summarized Source Data'!$A859,'Category Mapping'!$A$28:$A$39,0),1),INDEX('Category Mapping'!$E$28:$E$39,MATCH($A859,'Category Mapping'!$A$28:$A$39,0),1))</f>
        <v>14060714285.714285</v>
      </c>
      <c r="Y859" s="27">
        <f>Y279*IF($E859="weekday",INDEX('Category Mapping'!$F$28:$F$39,MATCH('Summarized Source Data'!$A859,'Category Mapping'!$A$28:$A$39,0),1),INDEX('Category Mapping'!$E$28:$E$39,MATCH($A859,'Category Mapping'!$A$28:$A$39,0),1))</f>
        <v>14060714285.714285</v>
      </c>
      <c r="Z859" s="27">
        <f>Z279*IF($E859="weekday",INDEX('Category Mapping'!$F$28:$F$39,MATCH('Summarized Source Data'!$A859,'Category Mapping'!$A$28:$A$39,0),1),INDEX('Category Mapping'!$E$28:$E$39,MATCH($A859,'Category Mapping'!$A$28:$A$39,0),1))</f>
        <v>14060714285.714285</v>
      </c>
    </row>
    <row r="860" spans="1:26" x14ac:dyDescent="0.3">
      <c r="A860">
        <f t="shared" ref="A860:E860" si="325">A280</f>
        <v>12</v>
      </c>
      <c r="B860" t="str">
        <f t="shared" si="325"/>
        <v>Winter</v>
      </c>
      <c r="C860" t="str">
        <f t="shared" si="325"/>
        <v>h13</v>
      </c>
      <c r="D860" t="str">
        <f t="shared" si="325"/>
        <v>Hour12</v>
      </c>
      <c r="E860" t="str">
        <f t="shared" si="325"/>
        <v>Weekday</v>
      </c>
      <c r="F860" s="27">
        <f>F280*IF($E860="weekday",INDEX('Category Mapping'!$F$28:$F$39,MATCH('Summarized Source Data'!$A860,'Category Mapping'!$A$28:$A$39,0),1),INDEX('Category Mapping'!$E$28:$E$39,MATCH($A860,'Category Mapping'!$A$28:$A$39,0),1))</f>
        <v>325500000</v>
      </c>
      <c r="G860" s="27">
        <f>G280*IF($E860="weekday",INDEX('Category Mapping'!$F$28:$F$39,MATCH('Summarized Source Data'!$A860,'Category Mapping'!$A$28:$A$39,0),1),INDEX('Category Mapping'!$E$28:$E$39,MATCH($A860,'Category Mapping'!$A$28:$A$39,0),1))</f>
        <v>185845</v>
      </c>
      <c r="H860" s="27">
        <f>H280*IF($E860="weekday",INDEX('Category Mapping'!$F$28:$F$39,MATCH('Summarized Source Data'!$A860,'Category Mapping'!$A$28:$A$39,0),1),INDEX('Category Mapping'!$E$28:$E$39,MATCH($A860,'Category Mapping'!$A$28:$A$39,0),1))</f>
        <v>0</v>
      </c>
      <c r="I860" s="27">
        <f>I280*IF($E860="weekday",INDEX('Category Mapping'!$F$28:$F$39,MATCH('Summarized Source Data'!$A860,'Category Mapping'!$A$28:$A$39,0),1),INDEX('Category Mapping'!$E$28:$E$39,MATCH($A860,'Category Mapping'!$A$28:$A$39,0),1))</f>
        <v>270142857.14285713</v>
      </c>
      <c r="J860" s="27">
        <f>J280*IF($E860="weekday",INDEX('Category Mapping'!$F$28:$F$39,MATCH('Summarized Source Data'!$A860,'Category Mapping'!$A$28:$A$39,0),1),INDEX('Category Mapping'!$E$28:$E$39,MATCH($A860,'Category Mapping'!$A$28:$A$39,0),1))</f>
        <v>2371314155</v>
      </c>
      <c r="K860" s="27">
        <f>K280*IF($E860="weekday",INDEX('Category Mapping'!$F$28:$F$39,MATCH('Summarized Source Data'!$A860,'Category Mapping'!$A$28:$A$39,0),1),INDEX('Category Mapping'!$E$28:$E$39,MATCH($A860,'Category Mapping'!$A$28:$A$39,0),1))</f>
        <v>2371314155</v>
      </c>
      <c r="L860" s="27">
        <f>L280*IF($E860="weekday",INDEX('Category Mapping'!$F$28:$F$39,MATCH('Summarized Source Data'!$A860,'Category Mapping'!$A$28:$A$39,0),1),INDEX('Category Mapping'!$E$28:$E$39,MATCH($A860,'Category Mapping'!$A$28:$A$39,0),1))</f>
        <v>1098285714.2857141</v>
      </c>
      <c r="M860" s="27">
        <f>M280*IF($E860="weekday",INDEX('Category Mapping'!$F$28:$F$39,MATCH('Summarized Source Data'!$A860,'Category Mapping'!$A$28:$A$39,0),1),INDEX('Category Mapping'!$E$28:$E$39,MATCH($A860,'Category Mapping'!$A$28:$A$39,0),1))</f>
        <v>1865779.2857142857</v>
      </c>
      <c r="N860" s="27">
        <f>N280*IF($E860="weekday",INDEX('Category Mapping'!$F$28:$F$39,MATCH('Summarized Source Data'!$A860,'Category Mapping'!$A$28:$A$39,0),1),INDEX('Category Mapping'!$E$28:$E$39,MATCH($A860,'Category Mapping'!$A$28:$A$39,0),1))</f>
        <v>0</v>
      </c>
      <c r="O860" s="27">
        <f>O280*IF($E860="weekday",INDEX('Category Mapping'!$F$28:$F$39,MATCH('Summarized Source Data'!$A860,'Category Mapping'!$A$28:$A$39,0),1),INDEX('Category Mapping'!$E$28:$E$39,MATCH($A860,'Category Mapping'!$A$28:$A$39,0),1))</f>
        <v>11432705649.285713</v>
      </c>
      <c r="P860" s="27">
        <f>P280*IF($E860="weekday",INDEX('Category Mapping'!$F$28:$F$39,MATCH('Summarized Source Data'!$A860,'Category Mapping'!$A$28:$A$39,0),1),INDEX('Category Mapping'!$E$28:$E$39,MATCH($A860,'Category Mapping'!$A$28:$A$39,0),1))</f>
        <v>11432705649.285713</v>
      </c>
      <c r="Q860" s="27">
        <f>Q280*IF($E860="weekday",INDEX('Category Mapping'!$F$28:$F$39,MATCH('Summarized Source Data'!$A860,'Category Mapping'!$A$28:$A$39,0),1),INDEX('Category Mapping'!$E$28:$E$39,MATCH($A860,'Category Mapping'!$A$28:$A$39,0),1))</f>
        <v>11432705649.285713</v>
      </c>
      <c r="R860" s="27">
        <f>R280*IF($E860="weekday",INDEX('Category Mapping'!$F$28:$F$39,MATCH('Summarized Source Data'!$A860,'Category Mapping'!$A$28:$A$39,0),1),INDEX('Category Mapping'!$E$28:$E$39,MATCH($A860,'Category Mapping'!$A$28:$A$39,0),1))</f>
        <v>276785714.28571427</v>
      </c>
      <c r="S860" s="27">
        <f>S280*IF($E860="weekday",INDEX('Category Mapping'!$F$28:$F$39,MATCH('Summarized Source Data'!$A860,'Category Mapping'!$A$28:$A$39,0),1),INDEX('Category Mapping'!$E$28:$E$39,MATCH($A860,'Category Mapping'!$A$28:$A$39,0),1))</f>
        <v>276785714.28571427</v>
      </c>
      <c r="T860" s="27">
        <f>T280*IF($E860="weekday",INDEX('Category Mapping'!$F$28:$F$39,MATCH('Summarized Source Data'!$A860,'Category Mapping'!$A$28:$A$39,0),1),INDEX('Category Mapping'!$E$28:$E$39,MATCH($A860,'Category Mapping'!$A$28:$A$39,0),1))</f>
        <v>276785714.28571427</v>
      </c>
      <c r="U860" s="27">
        <f>U280*IF($E860="weekday",INDEX('Category Mapping'!$F$28:$F$39,MATCH('Summarized Source Data'!$A860,'Category Mapping'!$A$28:$A$39,0),1),INDEX('Category Mapping'!$E$28:$E$39,MATCH($A860,'Category Mapping'!$A$28:$A$39,0),1))</f>
        <v>276785714.28571427</v>
      </c>
      <c r="V860" s="27">
        <f>V280*IF($E860="weekday",INDEX('Category Mapping'!$F$28:$F$39,MATCH('Summarized Source Data'!$A860,'Category Mapping'!$A$28:$A$39,0),1),INDEX('Category Mapping'!$E$28:$E$39,MATCH($A860,'Category Mapping'!$A$28:$A$39,0),1))</f>
        <v>276785714.28571427</v>
      </c>
      <c r="W860" s="27">
        <f>W280*IF($E860="weekday",INDEX('Category Mapping'!$F$28:$F$39,MATCH('Summarized Source Data'!$A860,'Category Mapping'!$A$28:$A$39,0),1),INDEX('Category Mapping'!$E$28:$E$39,MATCH($A860,'Category Mapping'!$A$28:$A$39,0),1))</f>
        <v>276785714.28571427</v>
      </c>
      <c r="X860" s="27">
        <f>X280*IF($E860="weekday",INDEX('Category Mapping'!$F$28:$F$39,MATCH('Summarized Source Data'!$A860,'Category Mapping'!$A$28:$A$39,0),1),INDEX('Category Mapping'!$E$28:$E$39,MATCH($A860,'Category Mapping'!$A$28:$A$39,0),1))</f>
        <v>14038571428.571428</v>
      </c>
      <c r="Y860" s="27">
        <f>Y280*IF($E860="weekday",INDEX('Category Mapping'!$F$28:$F$39,MATCH('Summarized Source Data'!$A860,'Category Mapping'!$A$28:$A$39,0),1),INDEX('Category Mapping'!$E$28:$E$39,MATCH($A860,'Category Mapping'!$A$28:$A$39,0),1))</f>
        <v>14038571428.571428</v>
      </c>
      <c r="Z860" s="27">
        <f>Z280*IF($E860="weekday",INDEX('Category Mapping'!$F$28:$F$39,MATCH('Summarized Source Data'!$A860,'Category Mapping'!$A$28:$A$39,0),1),INDEX('Category Mapping'!$E$28:$E$39,MATCH($A860,'Category Mapping'!$A$28:$A$39,0),1))</f>
        <v>14038571428.571428</v>
      </c>
    </row>
    <row r="861" spans="1:26" x14ac:dyDescent="0.3">
      <c r="A861">
        <f t="shared" ref="A861:E861" si="326">A281</f>
        <v>12</v>
      </c>
      <c r="B861" t="str">
        <f t="shared" si="326"/>
        <v>Winter</v>
      </c>
      <c r="C861" t="str">
        <f t="shared" si="326"/>
        <v>h14</v>
      </c>
      <c r="D861" t="str">
        <f t="shared" si="326"/>
        <v>Hour13</v>
      </c>
      <c r="E861" t="str">
        <f t="shared" si="326"/>
        <v>Weekday</v>
      </c>
      <c r="F861" s="27">
        <f>F281*IF($E861="weekday",INDEX('Category Mapping'!$F$28:$F$39,MATCH('Summarized Source Data'!$A861,'Category Mapping'!$A$28:$A$39,0),1),INDEX('Category Mapping'!$E$28:$E$39,MATCH($A861,'Category Mapping'!$A$28:$A$39,0),1))</f>
        <v>321071428.57142854</v>
      </c>
      <c r="G861" s="27">
        <f>G281*IF($E861="weekday",INDEX('Category Mapping'!$F$28:$F$39,MATCH('Summarized Source Data'!$A861,'Category Mapping'!$A$28:$A$39,0),1),INDEX('Category Mapping'!$E$28:$E$39,MATCH($A861,'Category Mapping'!$A$28:$A$39,0),1))</f>
        <v>191690.71428571429</v>
      </c>
      <c r="H861" s="27">
        <f>H281*IF($E861="weekday",INDEX('Category Mapping'!$F$28:$F$39,MATCH('Summarized Source Data'!$A861,'Category Mapping'!$A$28:$A$39,0),1),INDEX('Category Mapping'!$E$28:$E$39,MATCH($A861,'Category Mapping'!$A$28:$A$39,0),1))</f>
        <v>0</v>
      </c>
      <c r="I861" s="27">
        <f>I281*IF($E861="weekday",INDEX('Category Mapping'!$F$28:$F$39,MATCH('Summarized Source Data'!$A861,'Category Mapping'!$A$28:$A$39,0),1),INDEX('Category Mapping'!$E$28:$E$39,MATCH($A861,'Category Mapping'!$A$28:$A$39,0),1))</f>
        <v>274571428.57142854</v>
      </c>
      <c r="J861" s="27">
        <f>J281*IF($E861="weekday",INDEX('Category Mapping'!$F$28:$F$39,MATCH('Summarized Source Data'!$A861,'Category Mapping'!$A$28:$A$39,0),1),INDEX('Category Mapping'!$E$28:$E$39,MATCH($A861,'Category Mapping'!$A$28:$A$39,0),1))</f>
        <v>2349165452.1428571</v>
      </c>
      <c r="K861" s="27">
        <f>K281*IF($E861="weekday",INDEX('Category Mapping'!$F$28:$F$39,MATCH('Summarized Source Data'!$A861,'Category Mapping'!$A$28:$A$39,0),1),INDEX('Category Mapping'!$E$28:$E$39,MATCH($A861,'Category Mapping'!$A$28:$A$39,0),1))</f>
        <v>2349165452.1428571</v>
      </c>
      <c r="L861" s="27">
        <f>L281*IF($E861="weekday",INDEX('Category Mapping'!$F$28:$F$39,MATCH('Summarized Source Data'!$A861,'Category Mapping'!$A$28:$A$39,0),1),INDEX('Category Mapping'!$E$28:$E$39,MATCH($A861,'Category Mapping'!$A$28:$A$39,0),1))</f>
        <v>1031857142.8571428</v>
      </c>
      <c r="M861" s="27">
        <f>M281*IF($E861="weekday",INDEX('Category Mapping'!$F$28:$F$39,MATCH('Summarized Source Data'!$A861,'Category Mapping'!$A$28:$A$39,0),1),INDEX('Category Mapping'!$E$28:$E$39,MATCH($A861,'Category Mapping'!$A$28:$A$39,0),1))</f>
        <v>1909932.1428571427</v>
      </c>
      <c r="N861" s="27">
        <f>N281*IF($E861="weekday",INDEX('Category Mapping'!$F$28:$F$39,MATCH('Summarized Source Data'!$A861,'Category Mapping'!$A$28:$A$39,0),1),INDEX('Category Mapping'!$E$28:$E$39,MATCH($A861,'Category Mapping'!$A$28:$A$39,0),1))</f>
        <v>0</v>
      </c>
      <c r="O861" s="27">
        <f>O281*IF($E861="weekday",INDEX('Category Mapping'!$F$28:$F$39,MATCH('Summarized Source Data'!$A861,'Category Mapping'!$A$28:$A$39,0),1),INDEX('Category Mapping'!$E$28:$E$39,MATCH($A861,'Category Mapping'!$A$28:$A$39,0),1))</f>
        <v>11432661496.428572</v>
      </c>
      <c r="P861" s="27">
        <f>P281*IF($E861="weekday",INDEX('Category Mapping'!$F$28:$F$39,MATCH('Summarized Source Data'!$A861,'Category Mapping'!$A$28:$A$39,0),1),INDEX('Category Mapping'!$E$28:$E$39,MATCH($A861,'Category Mapping'!$A$28:$A$39,0),1))</f>
        <v>11432661496.428572</v>
      </c>
      <c r="Q861" s="27">
        <f>Q281*IF($E861="weekday",INDEX('Category Mapping'!$F$28:$F$39,MATCH('Summarized Source Data'!$A861,'Category Mapping'!$A$28:$A$39,0),1),INDEX('Category Mapping'!$E$28:$E$39,MATCH($A861,'Category Mapping'!$A$28:$A$39,0),1))</f>
        <v>11432661496.428572</v>
      </c>
      <c r="R861" s="27">
        <f>R281*IF($E861="weekday",INDEX('Category Mapping'!$F$28:$F$39,MATCH('Summarized Source Data'!$A861,'Category Mapping'!$A$28:$A$39,0),1),INDEX('Category Mapping'!$E$28:$E$39,MATCH($A861,'Category Mapping'!$A$28:$A$39,0),1))</f>
        <v>276785714.28571427</v>
      </c>
      <c r="S861" s="27">
        <f>S281*IF($E861="weekday",INDEX('Category Mapping'!$F$28:$F$39,MATCH('Summarized Source Data'!$A861,'Category Mapping'!$A$28:$A$39,0),1),INDEX('Category Mapping'!$E$28:$E$39,MATCH($A861,'Category Mapping'!$A$28:$A$39,0),1))</f>
        <v>276785714.28571427</v>
      </c>
      <c r="T861" s="27">
        <f>T281*IF($E861="weekday",INDEX('Category Mapping'!$F$28:$F$39,MATCH('Summarized Source Data'!$A861,'Category Mapping'!$A$28:$A$39,0),1),INDEX('Category Mapping'!$E$28:$E$39,MATCH($A861,'Category Mapping'!$A$28:$A$39,0),1))</f>
        <v>276785714.28571427</v>
      </c>
      <c r="U861" s="27">
        <f>U281*IF($E861="weekday",INDEX('Category Mapping'!$F$28:$F$39,MATCH('Summarized Source Data'!$A861,'Category Mapping'!$A$28:$A$39,0),1),INDEX('Category Mapping'!$E$28:$E$39,MATCH($A861,'Category Mapping'!$A$28:$A$39,0),1))</f>
        <v>276785714.28571427</v>
      </c>
      <c r="V861" s="27">
        <f>V281*IF($E861="weekday",INDEX('Category Mapping'!$F$28:$F$39,MATCH('Summarized Source Data'!$A861,'Category Mapping'!$A$28:$A$39,0),1),INDEX('Category Mapping'!$E$28:$E$39,MATCH($A861,'Category Mapping'!$A$28:$A$39,0),1))</f>
        <v>276785714.28571427</v>
      </c>
      <c r="W861" s="27">
        <f>W281*IF($E861="weekday",INDEX('Category Mapping'!$F$28:$F$39,MATCH('Summarized Source Data'!$A861,'Category Mapping'!$A$28:$A$39,0),1),INDEX('Category Mapping'!$E$28:$E$39,MATCH($A861,'Category Mapping'!$A$28:$A$39,0),1))</f>
        <v>276785714.28571427</v>
      </c>
      <c r="X861" s="27">
        <f>X281*IF($E861="weekday",INDEX('Category Mapping'!$F$28:$F$39,MATCH('Summarized Source Data'!$A861,'Category Mapping'!$A$28:$A$39,0),1),INDEX('Category Mapping'!$E$28:$E$39,MATCH($A861,'Category Mapping'!$A$28:$A$39,0),1))</f>
        <v>14016428571.428572</v>
      </c>
      <c r="Y861" s="27">
        <f>Y281*IF($E861="weekday",INDEX('Category Mapping'!$F$28:$F$39,MATCH('Summarized Source Data'!$A861,'Category Mapping'!$A$28:$A$39,0),1),INDEX('Category Mapping'!$E$28:$E$39,MATCH($A861,'Category Mapping'!$A$28:$A$39,0),1))</f>
        <v>14016428571.428572</v>
      </c>
      <c r="Z861" s="27">
        <f>Z281*IF($E861="weekday",INDEX('Category Mapping'!$F$28:$F$39,MATCH('Summarized Source Data'!$A861,'Category Mapping'!$A$28:$A$39,0),1),INDEX('Category Mapping'!$E$28:$E$39,MATCH($A861,'Category Mapping'!$A$28:$A$39,0),1))</f>
        <v>14016428571.428572</v>
      </c>
    </row>
    <row r="862" spans="1:26" x14ac:dyDescent="0.3">
      <c r="A862">
        <f t="shared" ref="A862:E862" si="327">A282</f>
        <v>12</v>
      </c>
      <c r="B862" t="str">
        <f t="shared" si="327"/>
        <v>Winter</v>
      </c>
      <c r="C862" t="str">
        <f t="shared" si="327"/>
        <v>h15</v>
      </c>
      <c r="D862" t="str">
        <f t="shared" si="327"/>
        <v>Hour14</v>
      </c>
      <c r="E862" t="str">
        <f t="shared" si="327"/>
        <v>Weekday</v>
      </c>
      <c r="F862" s="27">
        <f>F282*IF($E862="weekday",INDEX('Category Mapping'!$F$28:$F$39,MATCH('Summarized Source Data'!$A862,'Category Mapping'!$A$28:$A$39,0),1),INDEX('Category Mapping'!$E$28:$E$39,MATCH($A862,'Category Mapping'!$A$28:$A$39,0),1))</f>
        <v>321071428.57142854</v>
      </c>
      <c r="G862" s="27">
        <f>G282*IF($E862="weekday",INDEX('Category Mapping'!$F$28:$F$39,MATCH('Summarized Source Data'!$A862,'Category Mapping'!$A$28:$A$39,0),1),INDEX('Category Mapping'!$E$28:$E$39,MATCH($A862,'Category Mapping'!$A$28:$A$39,0),1))</f>
        <v>200171.42857142858</v>
      </c>
      <c r="H862" s="27">
        <f>H282*IF($E862="weekday",INDEX('Category Mapping'!$F$28:$F$39,MATCH('Summarized Source Data'!$A862,'Category Mapping'!$A$28:$A$39,0),1),INDEX('Category Mapping'!$E$28:$E$39,MATCH($A862,'Category Mapping'!$A$28:$A$39,0),1))</f>
        <v>0</v>
      </c>
      <c r="I862" s="27">
        <f>I282*IF($E862="weekday",INDEX('Category Mapping'!$F$28:$F$39,MATCH('Summarized Source Data'!$A862,'Category Mapping'!$A$28:$A$39,0),1),INDEX('Category Mapping'!$E$28:$E$39,MATCH($A862,'Category Mapping'!$A$28:$A$39,0),1))</f>
        <v>281214285.71428573</v>
      </c>
      <c r="J862" s="27">
        <f>J282*IF($E862="weekday",INDEX('Category Mapping'!$F$28:$F$39,MATCH('Summarized Source Data'!$A862,'Category Mapping'!$A$28:$A$39,0),1),INDEX('Category Mapping'!$E$28:$E$39,MATCH($A862,'Category Mapping'!$A$28:$A$39,0),1))</f>
        <v>2431085542.8571429</v>
      </c>
      <c r="K862" s="27">
        <f>K282*IF($E862="weekday",INDEX('Category Mapping'!$F$28:$F$39,MATCH('Summarized Source Data'!$A862,'Category Mapping'!$A$28:$A$39,0),1),INDEX('Category Mapping'!$E$28:$E$39,MATCH($A862,'Category Mapping'!$A$28:$A$39,0),1))</f>
        <v>2431085542.8571429</v>
      </c>
      <c r="L862" s="27">
        <f>L282*IF($E862="weekday",INDEX('Category Mapping'!$F$28:$F$39,MATCH('Summarized Source Data'!$A862,'Category Mapping'!$A$28:$A$39,0),1),INDEX('Category Mapping'!$E$28:$E$39,MATCH($A862,'Category Mapping'!$A$28:$A$39,0),1))</f>
        <v>972071428.57142854</v>
      </c>
      <c r="M862" s="27">
        <f>M282*IF($E862="weekday",INDEX('Category Mapping'!$F$28:$F$39,MATCH('Summarized Source Data'!$A862,'Category Mapping'!$A$28:$A$39,0),1),INDEX('Category Mapping'!$E$28:$E$39,MATCH($A862,'Category Mapping'!$A$28:$A$39,0),1))</f>
        <v>1957450.7142857143</v>
      </c>
      <c r="N862" s="27">
        <f>N282*IF($E862="weekday",INDEX('Category Mapping'!$F$28:$F$39,MATCH('Summarized Source Data'!$A862,'Category Mapping'!$A$28:$A$39,0),1),INDEX('Category Mapping'!$E$28:$E$39,MATCH($A862,'Category Mapping'!$A$28:$A$39,0),1))</f>
        <v>0</v>
      </c>
      <c r="O862" s="27">
        <f>O282*IF($E862="weekday",INDEX('Category Mapping'!$F$28:$F$39,MATCH('Summarized Source Data'!$A862,'Category Mapping'!$A$28:$A$39,0),1),INDEX('Category Mapping'!$E$28:$E$39,MATCH($A862,'Category Mapping'!$A$28:$A$39,0),1))</f>
        <v>11425971120.714285</v>
      </c>
      <c r="P862" s="27">
        <f>P282*IF($E862="weekday",INDEX('Category Mapping'!$F$28:$F$39,MATCH('Summarized Source Data'!$A862,'Category Mapping'!$A$28:$A$39,0),1),INDEX('Category Mapping'!$E$28:$E$39,MATCH($A862,'Category Mapping'!$A$28:$A$39,0),1))</f>
        <v>11425971120.714285</v>
      </c>
      <c r="Q862" s="27">
        <f>Q282*IF($E862="weekday",INDEX('Category Mapping'!$F$28:$F$39,MATCH('Summarized Source Data'!$A862,'Category Mapping'!$A$28:$A$39,0),1),INDEX('Category Mapping'!$E$28:$E$39,MATCH($A862,'Category Mapping'!$A$28:$A$39,0),1))</f>
        <v>11425971120.714285</v>
      </c>
      <c r="R862" s="27">
        <f>R282*IF($E862="weekday",INDEX('Category Mapping'!$F$28:$F$39,MATCH('Summarized Source Data'!$A862,'Category Mapping'!$A$28:$A$39,0),1),INDEX('Category Mapping'!$E$28:$E$39,MATCH($A862,'Category Mapping'!$A$28:$A$39,0),1))</f>
        <v>272357142.85714287</v>
      </c>
      <c r="S862" s="27">
        <f>S282*IF($E862="weekday",INDEX('Category Mapping'!$F$28:$F$39,MATCH('Summarized Source Data'!$A862,'Category Mapping'!$A$28:$A$39,0),1),INDEX('Category Mapping'!$E$28:$E$39,MATCH($A862,'Category Mapping'!$A$28:$A$39,0),1))</f>
        <v>272357142.85714287</v>
      </c>
      <c r="T862" s="27">
        <f>T282*IF($E862="weekday",INDEX('Category Mapping'!$F$28:$F$39,MATCH('Summarized Source Data'!$A862,'Category Mapping'!$A$28:$A$39,0),1),INDEX('Category Mapping'!$E$28:$E$39,MATCH($A862,'Category Mapping'!$A$28:$A$39,0),1))</f>
        <v>272357142.85714287</v>
      </c>
      <c r="U862" s="27">
        <f>U282*IF($E862="weekday",INDEX('Category Mapping'!$F$28:$F$39,MATCH('Summarized Source Data'!$A862,'Category Mapping'!$A$28:$A$39,0),1),INDEX('Category Mapping'!$E$28:$E$39,MATCH($A862,'Category Mapping'!$A$28:$A$39,0),1))</f>
        <v>272357142.85714287</v>
      </c>
      <c r="V862" s="27">
        <f>V282*IF($E862="weekday",INDEX('Category Mapping'!$F$28:$F$39,MATCH('Summarized Source Data'!$A862,'Category Mapping'!$A$28:$A$39,0),1),INDEX('Category Mapping'!$E$28:$E$39,MATCH($A862,'Category Mapping'!$A$28:$A$39,0),1))</f>
        <v>272357142.85714287</v>
      </c>
      <c r="W862" s="27">
        <f>W282*IF($E862="weekday",INDEX('Category Mapping'!$F$28:$F$39,MATCH('Summarized Source Data'!$A862,'Category Mapping'!$A$28:$A$39,0),1),INDEX('Category Mapping'!$E$28:$E$39,MATCH($A862,'Category Mapping'!$A$28:$A$39,0),1))</f>
        <v>272357142.85714287</v>
      </c>
      <c r="X862" s="27">
        <f>X282*IF($E862="weekday",INDEX('Category Mapping'!$F$28:$F$39,MATCH('Summarized Source Data'!$A862,'Category Mapping'!$A$28:$A$39,0),1),INDEX('Category Mapping'!$E$28:$E$39,MATCH($A862,'Category Mapping'!$A$28:$A$39,0),1))</f>
        <v>14038571428.571428</v>
      </c>
      <c r="Y862" s="27">
        <f>Y282*IF($E862="weekday",INDEX('Category Mapping'!$F$28:$F$39,MATCH('Summarized Source Data'!$A862,'Category Mapping'!$A$28:$A$39,0),1),INDEX('Category Mapping'!$E$28:$E$39,MATCH($A862,'Category Mapping'!$A$28:$A$39,0),1))</f>
        <v>14038571428.571428</v>
      </c>
      <c r="Z862" s="27">
        <f>Z282*IF($E862="weekday",INDEX('Category Mapping'!$F$28:$F$39,MATCH('Summarized Source Data'!$A862,'Category Mapping'!$A$28:$A$39,0),1),INDEX('Category Mapping'!$E$28:$E$39,MATCH($A862,'Category Mapping'!$A$28:$A$39,0),1))</f>
        <v>14038571428.571428</v>
      </c>
    </row>
    <row r="863" spans="1:26" x14ac:dyDescent="0.3">
      <c r="A863">
        <f t="shared" ref="A863:E863" si="328">A283</f>
        <v>12</v>
      </c>
      <c r="B863" t="str">
        <f t="shared" si="328"/>
        <v>Winter</v>
      </c>
      <c r="C863" t="str">
        <f t="shared" si="328"/>
        <v>h16</v>
      </c>
      <c r="D863" t="str">
        <f t="shared" si="328"/>
        <v>Hour15</v>
      </c>
      <c r="E863" t="str">
        <f t="shared" si="328"/>
        <v>Weekday</v>
      </c>
      <c r="F863" s="27">
        <f>F283*IF($E863="weekday",INDEX('Category Mapping'!$F$28:$F$39,MATCH('Summarized Source Data'!$A863,'Category Mapping'!$A$28:$A$39,0),1),INDEX('Category Mapping'!$E$28:$E$39,MATCH($A863,'Category Mapping'!$A$28:$A$39,0),1))</f>
        <v>336571428.57142854</v>
      </c>
      <c r="G863" s="27">
        <f>G283*IF($E863="weekday",INDEX('Category Mapping'!$F$28:$F$39,MATCH('Summarized Source Data'!$A863,'Category Mapping'!$A$28:$A$39,0),1),INDEX('Category Mapping'!$E$28:$E$39,MATCH($A863,'Category Mapping'!$A$28:$A$39,0),1))</f>
        <v>218638.57142857142</v>
      </c>
      <c r="H863" s="27">
        <f>H283*IF($E863="weekday",INDEX('Category Mapping'!$F$28:$F$39,MATCH('Summarized Source Data'!$A863,'Category Mapping'!$A$28:$A$39,0),1),INDEX('Category Mapping'!$E$28:$E$39,MATCH($A863,'Category Mapping'!$A$28:$A$39,0),1))</f>
        <v>0</v>
      </c>
      <c r="I863" s="27">
        <f>I283*IF($E863="weekday",INDEX('Category Mapping'!$F$28:$F$39,MATCH('Summarized Source Data'!$A863,'Category Mapping'!$A$28:$A$39,0),1),INDEX('Category Mapping'!$E$28:$E$39,MATCH($A863,'Category Mapping'!$A$28:$A$39,0),1))</f>
        <v>305571428.57142854</v>
      </c>
      <c r="J863" s="27">
        <f>J283*IF($E863="weekday",INDEX('Category Mapping'!$F$28:$F$39,MATCH('Summarized Source Data'!$A863,'Category Mapping'!$A$28:$A$39,0),1),INDEX('Category Mapping'!$E$28:$E$39,MATCH($A863,'Category Mapping'!$A$28:$A$39,0),1))</f>
        <v>2723352790</v>
      </c>
      <c r="K863" s="27">
        <f>K283*IF($E863="weekday",INDEX('Category Mapping'!$F$28:$F$39,MATCH('Summarized Source Data'!$A863,'Category Mapping'!$A$28:$A$39,0),1),INDEX('Category Mapping'!$E$28:$E$39,MATCH($A863,'Category Mapping'!$A$28:$A$39,0),1))</f>
        <v>2723352790</v>
      </c>
      <c r="L863" s="27">
        <f>L283*IF($E863="weekday",INDEX('Category Mapping'!$F$28:$F$39,MATCH('Summarized Source Data'!$A863,'Category Mapping'!$A$28:$A$39,0),1),INDEX('Category Mapping'!$E$28:$E$39,MATCH($A863,'Category Mapping'!$A$28:$A$39,0),1))</f>
        <v>941071428.57142854</v>
      </c>
      <c r="M863" s="27">
        <f>M283*IF($E863="weekday",INDEX('Category Mapping'!$F$28:$F$39,MATCH('Summarized Source Data'!$A863,'Category Mapping'!$A$28:$A$39,0),1),INDEX('Category Mapping'!$E$28:$E$39,MATCH($A863,'Category Mapping'!$A$28:$A$39,0),1))</f>
        <v>1958270</v>
      </c>
      <c r="N863" s="27">
        <f>N283*IF($E863="weekday",INDEX('Category Mapping'!$F$28:$F$39,MATCH('Summarized Source Data'!$A863,'Category Mapping'!$A$28:$A$39,0),1),INDEX('Category Mapping'!$E$28:$E$39,MATCH($A863,'Category Mapping'!$A$28:$A$39,0),1))</f>
        <v>0</v>
      </c>
      <c r="O863" s="27">
        <f>O283*IF($E863="weekday",INDEX('Category Mapping'!$F$28:$F$39,MATCH('Summarized Source Data'!$A863,'Category Mapping'!$A$28:$A$39,0),1),INDEX('Category Mapping'!$E$28:$E$39,MATCH($A863,'Category Mapping'!$A$28:$A$39,0),1))</f>
        <v>11434827444.285713</v>
      </c>
      <c r="P863" s="27">
        <f>P283*IF($E863="weekday",INDEX('Category Mapping'!$F$28:$F$39,MATCH('Summarized Source Data'!$A863,'Category Mapping'!$A$28:$A$39,0),1),INDEX('Category Mapping'!$E$28:$E$39,MATCH($A863,'Category Mapping'!$A$28:$A$39,0),1))</f>
        <v>11434827444.285713</v>
      </c>
      <c r="Q863" s="27">
        <f>Q283*IF($E863="weekday",INDEX('Category Mapping'!$F$28:$F$39,MATCH('Summarized Source Data'!$A863,'Category Mapping'!$A$28:$A$39,0),1),INDEX('Category Mapping'!$E$28:$E$39,MATCH($A863,'Category Mapping'!$A$28:$A$39,0),1))</f>
        <v>11434827444.285713</v>
      </c>
      <c r="R863" s="27">
        <f>R283*IF($E863="weekday",INDEX('Category Mapping'!$F$28:$F$39,MATCH('Summarized Source Data'!$A863,'Category Mapping'!$A$28:$A$39,0),1),INDEX('Category Mapping'!$E$28:$E$39,MATCH($A863,'Category Mapping'!$A$28:$A$39,0),1))</f>
        <v>325500000</v>
      </c>
      <c r="S863" s="27">
        <f>S283*IF($E863="weekday",INDEX('Category Mapping'!$F$28:$F$39,MATCH('Summarized Source Data'!$A863,'Category Mapping'!$A$28:$A$39,0),1),INDEX('Category Mapping'!$E$28:$E$39,MATCH($A863,'Category Mapping'!$A$28:$A$39,0),1))</f>
        <v>325500000</v>
      </c>
      <c r="T863" s="27">
        <f>T283*IF($E863="weekday",INDEX('Category Mapping'!$F$28:$F$39,MATCH('Summarized Source Data'!$A863,'Category Mapping'!$A$28:$A$39,0),1),INDEX('Category Mapping'!$E$28:$E$39,MATCH($A863,'Category Mapping'!$A$28:$A$39,0),1))</f>
        <v>325500000</v>
      </c>
      <c r="U863" s="27">
        <f>U283*IF($E863="weekday",INDEX('Category Mapping'!$F$28:$F$39,MATCH('Summarized Source Data'!$A863,'Category Mapping'!$A$28:$A$39,0),1),INDEX('Category Mapping'!$E$28:$E$39,MATCH($A863,'Category Mapping'!$A$28:$A$39,0),1))</f>
        <v>325500000</v>
      </c>
      <c r="V863" s="27">
        <f>V283*IF($E863="weekday",INDEX('Category Mapping'!$F$28:$F$39,MATCH('Summarized Source Data'!$A863,'Category Mapping'!$A$28:$A$39,0),1),INDEX('Category Mapping'!$E$28:$E$39,MATCH($A863,'Category Mapping'!$A$28:$A$39,0),1))</f>
        <v>325500000</v>
      </c>
      <c r="W863" s="27">
        <f>W283*IF($E863="weekday",INDEX('Category Mapping'!$F$28:$F$39,MATCH('Summarized Source Data'!$A863,'Category Mapping'!$A$28:$A$39,0),1),INDEX('Category Mapping'!$E$28:$E$39,MATCH($A863,'Category Mapping'!$A$28:$A$39,0),1))</f>
        <v>325500000</v>
      </c>
      <c r="X863" s="27">
        <f>X283*IF($E863="weekday",INDEX('Category Mapping'!$F$28:$F$39,MATCH('Summarized Source Data'!$A863,'Category Mapping'!$A$28:$A$39,0),1),INDEX('Category Mapping'!$E$28:$E$39,MATCH($A863,'Category Mapping'!$A$28:$A$39,0),1))</f>
        <v>14149285714.285713</v>
      </c>
      <c r="Y863" s="27">
        <f>Y283*IF($E863="weekday",INDEX('Category Mapping'!$F$28:$F$39,MATCH('Summarized Source Data'!$A863,'Category Mapping'!$A$28:$A$39,0),1),INDEX('Category Mapping'!$E$28:$E$39,MATCH($A863,'Category Mapping'!$A$28:$A$39,0),1))</f>
        <v>14149285714.285713</v>
      </c>
      <c r="Z863" s="27">
        <f>Z283*IF($E863="weekday",INDEX('Category Mapping'!$F$28:$F$39,MATCH('Summarized Source Data'!$A863,'Category Mapping'!$A$28:$A$39,0),1),INDEX('Category Mapping'!$E$28:$E$39,MATCH($A863,'Category Mapping'!$A$28:$A$39,0),1))</f>
        <v>14149285714.285713</v>
      </c>
    </row>
    <row r="864" spans="1:26" x14ac:dyDescent="0.3">
      <c r="A864">
        <f t="shared" ref="A864:E864" si="329">A284</f>
        <v>12</v>
      </c>
      <c r="B864" t="str">
        <f t="shared" si="329"/>
        <v>Winter</v>
      </c>
      <c r="C864" t="str">
        <f t="shared" si="329"/>
        <v>h17</v>
      </c>
      <c r="D864" t="str">
        <f t="shared" si="329"/>
        <v>Hour16</v>
      </c>
      <c r="E864" t="str">
        <f t="shared" si="329"/>
        <v>Weekday</v>
      </c>
      <c r="F864" s="27">
        <f>F284*IF($E864="weekday",INDEX('Category Mapping'!$F$28:$F$39,MATCH('Summarized Source Data'!$A864,'Category Mapping'!$A$28:$A$39,0),1),INDEX('Category Mapping'!$E$28:$E$39,MATCH($A864,'Category Mapping'!$A$28:$A$39,0),1))</f>
        <v>358714285.71428573</v>
      </c>
      <c r="G864" s="27">
        <f>G284*IF($E864="weekday",INDEX('Category Mapping'!$F$28:$F$39,MATCH('Summarized Source Data'!$A864,'Category Mapping'!$A$28:$A$39,0),1),INDEX('Category Mapping'!$E$28:$E$39,MATCH($A864,'Category Mapping'!$A$28:$A$39,0),1))</f>
        <v>238744.28571428571</v>
      </c>
      <c r="H864" s="27">
        <f>H284*IF($E864="weekday",INDEX('Category Mapping'!$F$28:$F$39,MATCH('Summarized Source Data'!$A864,'Category Mapping'!$A$28:$A$39,0),1),INDEX('Category Mapping'!$E$28:$E$39,MATCH($A864,'Category Mapping'!$A$28:$A$39,0),1))</f>
        <v>0</v>
      </c>
      <c r="I864" s="27">
        <f>I284*IF($E864="weekday",INDEX('Category Mapping'!$F$28:$F$39,MATCH('Summarized Source Data'!$A864,'Category Mapping'!$A$28:$A$39,0),1),INDEX('Category Mapping'!$E$28:$E$39,MATCH($A864,'Category Mapping'!$A$28:$A$39,0),1))</f>
        <v>1107142857.1428571</v>
      </c>
      <c r="J864" s="27">
        <f>J284*IF($E864="weekday",INDEX('Category Mapping'!$F$28:$F$39,MATCH('Summarized Source Data'!$A864,'Category Mapping'!$A$28:$A$39,0),1),INDEX('Category Mapping'!$E$28:$E$39,MATCH($A864,'Category Mapping'!$A$28:$A$39,0),1))</f>
        <v>3316761255.7142859</v>
      </c>
      <c r="K864" s="27">
        <f>K284*IF($E864="weekday",INDEX('Category Mapping'!$F$28:$F$39,MATCH('Summarized Source Data'!$A864,'Category Mapping'!$A$28:$A$39,0),1),INDEX('Category Mapping'!$E$28:$E$39,MATCH($A864,'Category Mapping'!$A$28:$A$39,0),1))</f>
        <v>3316761255.7142859</v>
      </c>
      <c r="L864" s="27">
        <f>L284*IF($E864="weekday",INDEX('Category Mapping'!$F$28:$F$39,MATCH('Summarized Source Data'!$A864,'Category Mapping'!$A$28:$A$39,0),1),INDEX('Category Mapping'!$E$28:$E$39,MATCH($A864,'Category Mapping'!$A$28:$A$39,0),1))</f>
        <v>936642857.14285707</v>
      </c>
      <c r="M864" s="27">
        <f>M284*IF($E864="weekday",INDEX('Category Mapping'!$F$28:$F$39,MATCH('Summarized Source Data'!$A864,'Category Mapping'!$A$28:$A$39,0),1),INDEX('Category Mapping'!$E$28:$E$39,MATCH($A864,'Category Mapping'!$A$28:$A$39,0),1))</f>
        <v>1918080.7142857143</v>
      </c>
      <c r="N864" s="27">
        <f>N284*IF($E864="weekday",INDEX('Category Mapping'!$F$28:$F$39,MATCH('Summarized Source Data'!$A864,'Category Mapping'!$A$28:$A$39,0),1),INDEX('Category Mapping'!$E$28:$E$39,MATCH($A864,'Category Mapping'!$A$28:$A$39,0),1))</f>
        <v>0</v>
      </c>
      <c r="O864" s="27">
        <f>O284*IF($E864="weekday",INDEX('Category Mapping'!$F$28:$F$39,MATCH('Summarized Source Data'!$A864,'Category Mapping'!$A$28:$A$39,0),1),INDEX('Category Mapping'!$E$28:$E$39,MATCH($A864,'Category Mapping'!$A$28:$A$39,0),1))</f>
        <v>11040724776.428572</v>
      </c>
      <c r="P864" s="27">
        <f>P284*IF($E864="weekday",INDEX('Category Mapping'!$F$28:$F$39,MATCH('Summarized Source Data'!$A864,'Category Mapping'!$A$28:$A$39,0),1),INDEX('Category Mapping'!$E$28:$E$39,MATCH($A864,'Category Mapping'!$A$28:$A$39,0),1))</f>
        <v>11040724776.428572</v>
      </c>
      <c r="Q864" s="27">
        <f>Q284*IF($E864="weekday",INDEX('Category Mapping'!$F$28:$F$39,MATCH('Summarized Source Data'!$A864,'Category Mapping'!$A$28:$A$39,0),1),INDEX('Category Mapping'!$E$28:$E$39,MATCH($A864,'Category Mapping'!$A$28:$A$39,0),1))</f>
        <v>11040724776.428572</v>
      </c>
      <c r="R864" s="27">
        <f>R284*IF($E864="weekday",INDEX('Category Mapping'!$F$28:$F$39,MATCH('Summarized Source Data'!$A864,'Category Mapping'!$A$28:$A$39,0),1),INDEX('Category Mapping'!$E$28:$E$39,MATCH($A864,'Category Mapping'!$A$28:$A$39,0),1))</f>
        <v>374214285.71428573</v>
      </c>
      <c r="S864" s="27">
        <f>S284*IF($E864="weekday",INDEX('Category Mapping'!$F$28:$F$39,MATCH('Summarized Source Data'!$A864,'Category Mapping'!$A$28:$A$39,0),1),INDEX('Category Mapping'!$E$28:$E$39,MATCH($A864,'Category Mapping'!$A$28:$A$39,0),1))</f>
        <v>374214285.71428573</v>
      </c>
      <c r="T864" s="27">
        <f>T284*IF($E864="weekday",INDEX('Category Mapping'!$F$28:$F$39,MATCH('Summarized Source Data'!$A864,'Category Mapping'!$A$28:$A$39,0),1),INDEX('Category Mapping'!$E$28:$E$39,MATCH($A864,'Category Mapping'!$A$28:$A$39,0),1))</f>
        <v>374214285.71428573</v>
      </c>
      <c r="U864" s="27">
        <f>U284*IF($E864="weekday",INDEX('Category Mapping'!$F$28:$F$39,MATCH('Summarized Source Data'!$A864,'Category Mapping'!$A$28:$A$39,0),1),INDEX('Category Mapping'!$E$28:$E$39,MATCH($A864,'Category Mapping'!$A$28:$A$39,0),1))</f>
        <v>374214285.71428573</v>
      </c>
      <c r="V864" s="27">
        <f>V284*IF($E864="weekday",INDEX('Category Mapping'!$F$28:$F$39,MATCH('Summarized Source Data'!$A864,'Category Mapping'!$A$28:$A$39,0),1),INDEX('Category Mapping'!$E$28:$E$39,MATCH($A864,'Category Mapping'!$A$28:$A$39,0),1))</f>
        <v>374214285.71428573</v>
      </c>
      <c r="W864" s="27">
        <f>W284*IF($E864="weekday",INDEX('Category Mapping'!$F$28:$F$39,MATCH('Summarized Source Data'!$A864,'Category Mapping'!$A$28:$A$39,0),1),INDEX('Category Mapping'!$E$28:$E$39,MATCH($A864,'Category Mapping'!$A$28:$A$39,0),1))</f>
        <v>374214285.71428573</v>
      </c>
      <c r="X864" s="27">
        <f>X284*IF($E864="weekday",INDEX('Category Mapping'!$F$28:$F$39,MATCH('Summarized Source Data'!$A864,'Category Mapping'!$A$28:$A$39,0),1),INDEX('Category Mapping'!$E$28:$E$39,MATCH($A864,'Category Mapping'!$A$28:$A$39,0),1))</f>
        <v>14282142857.142857</v>
      </c>
      <c r="Y864" s="27">
        <f>Y284*IF($E864="weekday",INDEX('Category Mapping'!$F$28:$F$39,MATCH('Summarized Source Data'!$A864,'Category Mapping'!$A$28:$A$39,0),1),INDEX('Category Mapping'!$E$28:$E$39,MATCH($A864,'Category Mapping'!$A$28:$A$39,0),1))</f>
        <v>14282142857.142857</v>
      </c>
      <c r="Z864" s="27">
        <f>Z284*IF($E864="weekday",INDEX('Category Mapping'!$F$28:$F$39,MATCH('Summarized Source Data'!$A864,'Category Mapping'!$A$28:$A$39,0),1),INDEX('Category Mapping'!$E$28:$E$39,MATCH($A864,'Category Mapping'!$A$28:$A$39,0),1))</f>
        <v>14282142857.142857</v>
      </c>
    </row>
    <row r="865" spans="1:26" x14ac:dyDescent="0.3">
      <c r="A865">
        <f t="shared" ref="A865:E865" si="330">A285</f>
        <v>12</v>
      </c>
      <c r="B865" t="str">
        <f t="shared" si="330"/>
        <v>Winter</v>
      </c>
      <c r="C865" t="str">
        <f t="shared" si="330"/>
        <v>h18</v>
      </c>
      <c r="D865" t="str">
        <f t="shared" si="330"/>
        <v>Hour17</v>
      </c>
      <c r="E865" t="str">
        <f t="shared" si="330"/>
        <v>Weekday</v>
      </c>
      <c r="F865" s="27">
        <f>F285*IF($E865="weekday",INDEX('Category Mapping'!$F$28:$F$39,MATCH('Summarized Source Data'!$A865,'Category Mapping'!$A$28:$A$39,0),1),INDEX('Category Mapping'!$E$28:$E$39,MATCH($A865,'Category Mapping'!$A$28:$A$39,0),1))</f>
        <v>385285714.28571427</v>
      </c>
      <c r="G865" s="27">
        <f>G285*IF($E865="weekday",INDEX('Category Mapping'!$F$28:$F$39,MATCH('Summarized Source Data'!$A865,'Category Mapping'!$A$28:$A$39,0),1),INDEX('Category Mapping'!$E$28:$E$39,MATCH($A865,'Category Mapping'!$A$28:$A$39,0),1))</f>
        <v>261684.28571428571</v>
      </c>
      <c r="H865" s="27">
        <f>H285*IF($E865="weekday",INDEX('Category Mapping'!$F$28:$F$39,MATCH('Summarized Source Data'!$A865,'Category Mapping'!$A$28:$A$39,0),1),INDEX('Category Mapping'!$E$28:$E$39,MATCH($A865,'Category Mapping'!$A$28:$A$39,0),1))</f>
        <v>0</v>
      </c>
      <c r="I865" s="27">
        <f>I285*IF($E865="weekday",INDEX('Category Mapping'!$F$28:$F$39,MATCH('Summarized Source Data'!$A865,'Category Mapping'!$A$28:$A$39,0),1),INDEX('Category Mapping'!$E$28:$E$39,MATCH($A865,'Category Mapping'!$A$28:$A$39,0),1))</f>
        <v>1209000000</v>
      </c>
      <c r="J865" s="27">
        <f>J285*IF($E865="weekday",INDEX('Category Mapping'!$F$28:$F$39,MATCH('Summarized Source Data'!$A865,'Category Mapping'!$A$28:$A$39,0),1),INDEX('Category Mapping'!$E$28:$E$39,MATCH($A865,'Category Mapping'!$A$28:$A$39,0),1))</f>
        <v>3653309744.2857141</v>
      </c>
      <c r="K865" s="27">
        <f>K285*IF($E865="weekday",INDEX('Category Mapping'!$F$28:$F$39,MATCH('Summarized Source Data'!$A865,'Category Mapping'!$A$28:$A$39,0),1),INDEX('Category Mapping'!$E$28:$E$39,MATCH($A865,'Category Mapping'!$A$28:$A$39,0),1))</f>
        <v>3653309744.2857141</v>
      </c>
      <c r="L865" s="27">
        <f>L285*IF($E865="weekday",INDEX('Category Mapping'!$F$28:$F$39,MATCH('Summarized Source Data'!$A865,'Category Mapping'!$A$28:$A$39,0),1),INDEX('Category Mapping'!$E$28:$E$39,MATCH($A865,'Category Mapping'!$A$28:$A$39,0),1))</f>
        <v>969857142.85714281</v>
      </c>
      <c r="M865" s="27">
        <f>M285*IF($E865="weekday",INDEX('Category Mapping'!$F$28:$F$39,MATCH('Summarized Source Data'!$A865,'Category Mapping'!$A$28:$A$39,0),1),INDEX('Category Mapping'!$E$28:$E$39,MATCH($A865,'Category Mapping'!$A$28:$A$39,0),1))</f>
        <v>1828756.4285714286</v>
      </c>
      <c r="N865" s="27">
        <f>N285*IF($E865="weekday",INDEX('Category Mapping'!$F$28:$F$39,MATCH('Summarized Source Data'!$A865,'Category Mapping'!$A$28:$A$39,0),1),INDEX('Category Mapping'!$E$28:$E$39,MATCH($A865,'Category Mapping'!$A$28:$A$39,0),1))</f>
        <v>0</v>
      </c>
      <c r="O865" s="27">
        <f>O285*IF($E865="weekday",INDEX('Category Mapping'!$F$28:$F$39,MATCH('Summarized Source Data'!$A865,'Category Mapping'!$A$28:$A$39,0),1),INDEX('Category Mapping'!$E$28:$E$39,MATCH($A865,'Category Mapping'!$A$28:$A$39,0),1))</f>
        <v>10365456957.857143</v>
      </c>
      <c r="P865" s="27">
        <f>P285*IF($E865="weekday",INDEX('Category Mapping'!$F$28:$F$39,MATCH('Summarized Source Data'!$A865,'Category Mapping'!$A$28:$A$39,0),1),INDEX('Category Mapping'!$E$28:$E$39,MATCH($A865,'Category Mapping'!$A$28:$A$39,0),1))</f>
        <v>10365456957.857143</v>
      </c>
      <c r="Q865" s="27">
        <f>Q285*IF($E865="weekday",INDEX('Category Mapping'!$F$28:$F$39,MATCH('Summarized Source Data'!$A865,'Category Mapping'!$A$28:$A$39,0),1),INDEX('Category Mapping'!$E$28:$E$39,MATCH($A865,'Category Mapping'!$A$28:$A$39,0),1))</f>
        <v>10365456957.857143</v>
      </c>
      <c r="R865" s="27">
        <f>R285*IF($E865="weekday",INDEX('Category Mapping'!$F$28:$F$39,MATCH('Summarized Source Data'!$A865,'Category Mapping'!$A$28:$A$39,0),1),INDEX('Category Mapping'!$E$28:$E$39,MATCH($A865,'Category Mapping'!$A$28:$A$39,0),1))</f>
        <v>394142857.14285713</v>
      </c>
      <c r="S865" s="27">
        <f>S285*IF($E865="weekday",INDEX('Category Mapping'!$F$28:$F$39,MATCH('Summarized Source Data'!$A865,'Category Mapping'!$A$28:$A$39,0),1),INDEX('Category Mapping'!$E$28:$E$39,MATCH($A865,'Category Mapping'!$A$28:$A$39,0),1))</f>
        <v>394142857.14285713</v>
      </c>
      <c r="T865" s="27">
        <f>T285*IF($E865="weekday",INDEX('Category Mapping'!$F$28:$F$39,MATCH('Summarized Source Data'!$A865,'Category Mapping'!$A$28:$A$39,0),1),INDEX('Category Mapping'!$E$28:$E$39,MATCH($A865,'Category Mapping'!$A$28:$A$39,0),1))</f>
        <v>394142857.14285713</v>
      </c>
      <c r="U865" s="27">
        <f>U285*IF($E865="weekday",INDEX('Category Mapping'!$F$28:$F$39,MATCH('Summarized Source Data'!$A865,'Category Mapping'!$A$28:$A$39,0),1),INDEX('Category Mapping'!$E$28:$E$39,MATCH($A865,'Category Mapping'!$A$28:$A$39,0),1))</f>
        <v>394142857.14285713</v>
      </c>
      <c r="V865" s="27">
        <f>V285*IF($E865="weekday",INDEX('Category Mapping'!$F$28:$F$39,MATCH('Summarized Source Data'!$A865,'Category Mapping'!$A$28:$A$39,0),1),INDEX('Category Mapping'!$E$28:$E$39,MATCH($A865,'Category Mapping'!$A$28:$A$39,0),1))</f>
        <v>394142857.14285713</v>
      </c>
      <c r="W865" s="27">
        <f>W285*IF($E865="weekday",INDEX('Category Mapping'!$F$28:$F$39,MATCH('Summarized Source Data'!$A865,'Category Mapping'!$A$28:$A$39,0),1),INDEX('Category Mapping'!$E$28:$E$39,MATCH($A865,'Category Mapping'!$A$28:$A$39,0),1))</f>
        <v>394142857.14285713</v>
      </c>
      <c r="X865" s="27">
        <f>X285*IF($E865="weekday",INDEX('Category Mapping'!$F$28:$F$39,MATCH('Summarized Source Data'!$A865,'Category Mapping'!$A$28:$A$39,0),1),INDEX('Category Mapping'!$E$28:$E$39,MATCH($A865,'Category Mapping'!$A$28:$A$39,0),1))</f>
        <v>14304285714.285713</v>
      </c>
      <c r="Y865" s="27">
        <f>Y285*IF($E865="weekday",INDEX('Category Mapping'!$F$28:$F$39,MATCH('Summarized Source Data'!$A865,'Category Mapping'!$A$28:$A$39,0),1),INDEX('Category Mapping'!$E$28:$E$39,MATCH($A865,'Category Mapping'!$A$28:$A$39,0),1))</f>
        <v>14304285714.285713</v>
      </c>
      <c r="Z865" s="27">
        <f>Z285*IF($E865="weekday",INDEX('Category Mapping'!$F$28:$F$39,MATCH('Summarized Source Data'!$A865,'Category Mapping'!$A$28:$A$39,0),1),INDEX('Category Mapping'!$E$28:$E$39,MATCH($A865,'Category Mapping'!$A$28:$A$39,0),1))</f>
        <v>14304285714.285713</v>
      </c>
    </row>
    <row r="866" spans="1:26" x14ac:dyDescent="0.3">
      <c r="A866">
        <f t="shared" ref="A866:E866" si="331">A286</f>
        <v>12</v>
      </c>
      <c r="B866" t="str">
        <f t="shared" si="331"/>
        <v>Winter</v>
      </c>
      <c r="C866" t="str">
        <f t="shared" si="331"/>
        <v>h19</v>
      </c>
      <c r="D866" t="str">
        <f t="shared" si="331"/>
        <v>Hour18</v>
      </c>
      <c r="E866" t="str">
        <f t="shared" si="331"/>
        <v>Weekday</v>
      </c>
      <c r="F866" s="27">
        <f>F286*IF($E866="weekday",INDEX('Category Mapping'!$F$28:$F$39,MATCH('Summarized Source Data'!$A866,'Category Mapping'!$A$28:$A$39,0),1),INDEX('Category Mapping'!$E$28:$E$39,MATCH($A866,'Category Mapping'!$A$28:$A$39,0),1))</f>
        <v>418500000</v>
      </c>
      <c r="G866" s="27">
        <f>G286*IF($E866="weekday",INDEX('Category Mapping'!$F$28:$F$39,MATCH('Summarized Source Data'!$A866,'Category Mapping'!$A$28:$A$39,0),1),INDEX('Category Mapping'!$E$28:$E$39,MATCH($A866,'Category Mapping'!$A$28:$A$39,0),1))</f>
        <v>290492.14285714284</v>
      </c>
      <c r="H866" s="27">
        <f>H286*IF($E866="weekday",INDEX('Category Mapping'!$F$28:$F$39,MATCH('Summarized Source Data'!$A866,'Category Mapping'!$A$28:$A$39,0),1),INDEX('Category Mapping'!$E$28:$E$39,MATCH($A866,'Category Mapping'!$A$28:$A$39,0),1))</f>
        <v>0</v>
      </c>
      <c r="I866" s="27">
        <f>I286*IF($E866="weekday",INDEX('Category Mapping'!$F$28:$F$39,MATCH('Summarized Source Data'!$A866,'Category Mapping'!$A$28:$A$39,0),1),INDEX('Category Mapping'!$E$28:$E$39,MATCH($A866,'Category Mapping'!$A$28:$A$39,0),1))</f>
        <v>1321928571.4285715</v>
      </c>
      <c r="J866" s="27">
        <f>J286*IF($E866="weekday",INDEX('Category Mapping'!$F$28:$F$39,MATCH('Summarized Source Data'!$A866,'Category Mapping'!$A$28:$A$39,0),1),INDEX('Category Mapping'!$E$28:$E$39,MATCH($A866,'Category Mapping'!$A$28:$A$39,0),1))</f>
        <v>3573566650.7142859</v>
      </c>
      <c r="K866" s="27">
        <f>K286*IF($E866="weekday",INDEX('Category Mapping'!$F$28:$F$39,MATCH('Summarized Source Data'!$A866,'Category Mapping'!$A$28:$A$39,0),1),INDEX('Category Mapping'!$E$28:$E$39,MATCH($A866,'Category Mapping'!$A$28:$A$39,0),1))</f>
        <v>3573566650.7142859</v>
      </c>
      <c r="L866" s="27">
        <f>L286*IF($E866="weekday",INDEX('Category Mapping'!$F$28:$F$39,MATCH('Summarized Source Data'!$A866,'Category Mapping'!$A$28:$A$39,0),1),INDEX('Category Mapping'!$E$28:$E$39,MATCH($A866,'Category Mapping'!$A$28:$A$39,0),1))</f>
        <v>1129285714.2857141</v>
      </c>
      <c r="M866" s="27">
        <f>M286*IF($E866="weekday",INDEX('Category Mapping'!$F$28:$F$39,MATCH('Summarized Source Data'!$A866,'Category Mapping'!$A$28:$A$39,0),1),INDEX('Category Mapping'!$E$28:$E$39,MATCH($A866,'Category Mapping'!$A$28:$A$39,0),1))</f>
        <v>1751322.857142857</v>
      </c>
      <c r="N866" s="27">
        <f>N286*IF($E866="weekday",INDEX('Category Mapping'!$F$28:$F$39,MATCH('Summarized Source Data'!$A866,'Category Mapping'!$A$28:$A$39,0),1),INDEX('Category Mapping'!$E$28:$E$39,MATCH($A866,'Category Mapping'!$A$28:$A$39,0),1))</f>
        <v>0</v>
      </c>
      <c r="O866" s="27">
        <f>O286*IF($E866="weekday",INDEX('Category Mapping'!$F$28:$F$39,MATCH('Summarized Source Data'!$A866,'Category Mapping'!$A$28:$A$39,0),1),INDEX('Category Mapping'!$E$28:$E$39,MATCH($A866,'Category Mapping'!$A$28:$A$39,0),1))</f>
        <v>9873962962.8571434</v>
      </c>
      <c r="P866" s="27">
        <f>P286*IF($E866="weekday",INDEX('Category Mapping'!$F$28:$F$39,MATCH('Summarized Source Data'!$A866,'Category Mapping'!$A$28:$A$39,0),1),INDEX('Category Mapping'!$E$28:$E$39,MATCH($A866,'Category Mapping'!$A$28:$A$39,0),1))</f>
        <v>9873962962.8571434</v>
      </c>
      <c r="Q866" s="27">
        <f>Q286*IF($E866="weekday",INDEX('Category Mapping'!$F$28:$F$39,MATCH('Summarized Source Data'!$A866,'Category Mapping'!$A$28:$A$39,0),1),INDEX('Category Mapping'!$E$28:$E$39,MATCH($A866,'Category Mapping'!$A$28:$A$39,0),1))</f>
        <v>9873962962.8571434</v>
      </c>
      <c r="R866" s="27">
        <f>R286*IF($E866="weekday",INDEX('Category Mapping'!$F$28:$F$39,MATCH('Summarized Source Data'!$A866,'Category Mapping'!$A$28:$A$39,0),1),INDEX('Category Mapping'!$E$28:$E$39,MATCH($A866,'Category Mapping'!$A$28:$A$39,0),1))</f>
        <v>363142857.14285713</v>
      </c>
      <c r="S866" s="27">
        <f>S286*IF($E866="weekday",INDEX('Category Mapping'!$F$28:$F$39,MATCH('Summarized Source Data'!$A866,'Category Mapping'!$A$28:$A$39,0),1),INDEX('Category Mapping'!$E$28:$E$39,MATCH($A866,'Category Mapping'!$A$28:$A$39,0),1))</f>
        <v>363142857.14285713</v>
      </c>
      <c r="T866" s="27">
        <f>T286*IF($E866="weekday",INDEX('Category Mapping'!$F$28:$F$39,MATCH('Summarized Source Data'!$A866,'Category Mapping'!$A$28:$A$39,0),1),INDEX('Category Mapping'!$E$28:$E$39,MATCH($A866,'Category Mapping'!$A$28:$A$39,0),1))</f>
        <v>363142857.14285713</v>
      </c>
      <c r="U866" s="27">
        <f>U286*IF($E866="weekday",INDEX('Category Mapping'!$F$28:$F$39,MATCH('Summarized Source Data'!$A866,'Category Mapping'!$A$28:$A$39,0),1),INDEX('Category Mapping'!$E$28:$E$39,MATCH($A866,'Category Mapping'!$A$28:$A$39,0),1))</f>
        <v>363142857.14285713</v>
      </c>
      <c r="V866" s="27">
        <f>V286*IF($E866="weekday",INDEX('Category Mapping'!$F$28:$F$39,MATCH('Summarized Source Data'!$A866,'Category Mapping'!$A$28:$A$39,0),1),INDEX('Category Mapping'!$E$28:$E$39,MATCH($A866,'Category Mapping'!$A$28:$A$39,0),1))</f>
        <v>363142857.14285713</v>
      </c>
      <c r="W866" s="27">
        <f>W286*IF($E866="weekday",INDEX('Category Mapping'!$F$28:$F$39,MATCH('Summarized Source Data'!$A866,'Category Mapping'!$A$28:$A$39,0),1),INDEX('Category Mapping'!$E$28:$E$39,MATCH($A866,'Category Mapping'!$A$28:$A$39,0),1))</f>
        <v>363142857.14285713</v>
      </c>
      <c r="X866" s="27">
        <f>X286*IF($E866="weekday",INDEX('Category Mapping'!$F$28:$F$39,MATCH('Summarized Source Data'!$A866,'Category Mapping'!$A$28:$A$39,0),1),INDEX('Category Mapping'!$E$28:$E$39,MATCH($A866,'Category Mapping'!$A$28:$A$39,0),1))</f>
        <v>14237857142.857143</v>
      </c>
      <c r="Y866" s="27">
        <f>Y286*IF($E866="weekday",INDEX('Category Mapping'!$F$28:$F$39,MATCH('Summarized Source Data'!$A866,'Category Mapping'!$A$28:$A$39,0),1),INDEX('Category Mapping'!$E$28:$E$39,MATCH($A866,'Category Mapping'!$A$28:$A$39,0),1))</f>
        <v>14237857142.857143</v>
      </c>
      <c r="Z866" s="27">
        <f>Z286*IF($E866="weekday",INDEX('Category Mapping'!$F$28:$F$39,MATCH('Summarized Source Data'!$A866,'Category Mapping'!$A$28:$A$39,0),1),INDEX('Category Mapping'!$E$28:$E$39,MATCH($A866,'Category Mapping'!$A$28:$A$39,0),1))</f>
        <v>14237857142.857143</v>
      </c>
    </row>
    <row r="867" spans="1:26" x14ac:dyDescent="0.3">
      <c r="A867">
        <f t="shared" ref="A867:E867" si="332">A287</f>
        <v>12</v>
      </c>
      <c r="B867" t="str">
        <f t="shared" si="332"/>
        <v>Winter</v>
      </c>
      <c r="C867" t="str">
        <f t="shared" si="332"/>
        <v>h20</v>
      </c>
      <c r="D867" t="str">
        <f t="shared" si="332"/>
        <v>Hour19</v>
      </c>
      <c r="E867" t="str">
        <f t="shared" si="332"/>
        <v>Weekday</v>
      </c>
      <c r="F867" s="27">
        <f>F287*IF($E867="weekday",INDEX('Category Mapping'!$F$28:$F$39,MATCH('Summarized Source Data'!$A867,'Category Mapping'!$A$28:$A$39,0),1),INDEX('Category Mapping'!$E$28:$E$39,MATCH($A867,'Category Mapping'!$A$28:$A$39,0),1))</f>
        <v>451714285.71428573</v>
      </c>
      <c r="G867" s="27">
        <f>G287*IF($E867="weekday",INDEX('Category Mapping'!$F$28:$F$39,MATCH('Summarized Source Data'!$A867,'Category Mapping'!$A$28:$A$39,0),1),INDEX('Category Mapping'!$E$28:$E$39,MATCH($A867,'Category Mapping'!$A$28:$A$39,0),1))</f>
        <v>319986.42857142858</v>
      </c>
      <c r="H867" s="27">
        <f>H287*IF($E867="weekday",INDEX('Category Mapping'!$F$28:$F$39,MATCH('Summarized Source Data'!$A867,'Category Mapping'!$A$28:$A$39,0),1),INDEX('Category Mapping'!$E$28:$E$39,MATCH($A867,'Category Mapping'!$A$28:$A$39,0),1))</f>
        <v>0</v>
      </c>
      <c r="I867" s="27">
        <f>I287*IF($E867="weekday",INDEX('Category Mapping'!$F$28:$F$39,MATCH('Summarized Source Data'!$A867,'Category Mapping'!$A$28:$A$39,0),1),INDEX('Category Mapping'!$E$28:$E$39,MATCH($A867,'Category Mapping'!$A$28:$A$39,0),1))</f>
        <v>1423785714.2857141</v>
      </c>
      <c r="J867" s="27">
        <f>J287*IF($E867="weekday",INDEX('Category Mapping'!$F$28:$F$39,MATCH('Summarized Source Data'!$A867,'Category Mapping'!$A$28:$A$39,0),1),INDEX('Category Mapping'!$E$28:$E$39,MATCH($A867,'Category Mapping'!$A$28:$A$39,0),1))</f>
        <v>3416322870.7142859</v>
      </c>
      <c r="K867" s="27">
        <f>K287*IF($E867="weekday",INDEX('Category Mapping'!$F$28:$F$39,MATCH('Summarized Source Data'!$A867,'Category Mapping'!$A$28:$A$39,0),1),INDEX('Category Mapping'!$E$28:$E$39,MATCH($A867,'Category Mapping'!$A$28:$A$39,0),1))</f>
        <v>3416322870.7142859</v>
      </c>
      <c r="L867" s="27">
        <f>L287*IF($E867="weekday",INDEX('Category Mapping'!$F$28:$F$39,MATCH('Summarized Source Data'!$A867,'Category Mapping'!$A$28:$A$39,0),1),INDEX('Category Mapping'!$E$28:$E$39,MATCH($A867,'Category Mapping'!$A$28:$A$39,0),1))</f>
        <v>1266571428.5714285</v>
      </c>
      <c r="M867" s="27">
        <f>M287*IF($E867="weekday",INDEX('Category Mapping'!$F$28:$F$39,MATCH('Summarized Source Data'!$A867,'Category Mapping'!$A$28:$A$39,0),1),INDEX('Category Mapping'!$E$28:$E$39,MATCH($A867,'Category Mapping'!$A$28:$A$39,0),1))</f>
        <v>1640852.1428571427</v>
      </c>
      <c r="N867" s="27">
        <f>N287*IF($E867="weekday",INDEX('Category Mapping'!$F$28:$F$39,MATCH('Summarized Source Data'!$A867,'Category Mapping'!$A$28:$A$39,0),1),INDEX('Category Mapping'!$E$28:$E$39,MATCH($A867,'Category Mapping'!$A$28:$A$39,0),1))</f>
        <v>0</v>
      </c>
      <c r="O867" s="27">
        <f>O287*IF($E867="weekday",INDEX('Category Mapping'!$F$28:$F$39,MATCH('Summarized Source Data'!$A867,'Category Mapping'!$A$28:$A$39,0),1),INDEX('Category Mapping'!$E$28:$E$39,MATCH($A867,'Category Mapping'!$A$28:$A$39,0),1))</f>
        <v>8275359147.8571424</v>
      </c>
      <c r="P867" s="27">
        <f>P287*IF($E867="weekday",INDEX('Category Mapping'!$F$28:$F$39,MATCH('Summarized Source Data'!$A867,'Category Mapping'!$A$28:$A$39,0),1),INDEX('Category Mapping'!$E$28:$E$39,MATCH($A867,'Category Mapping'!$A$28:$A$39,0),1))</f>
        <v>8275359147.8571424</v>
      </c>
      <c r="Q867" s="27">
        <f>Q287*IF($E867="weekday",INDEX('Category Mapping'!$F$28:$F$39,MATCH('Summarized Source Data'!$A867,'Category Mapping'!$A$28:$A$39,0),1),INDEX('Category Mapping'!$E$28:$E$39,MATCH($A867,'Category Mapping'!$A$28:$A$39,0),1))</f>
        <v>8275359147.8571424</v>
      </c>
      <c r="R867" s="27">
        <f>R287*IF($E867="weekday",INDEX('Category Mapping'!$F$28:$F$39,MATCH('Summarized Source Data'!$A867,'Category Mapping'!$A$28:$A$39,0),1),INDEX('Category Mapping'!$E$28:$E$39,MATCH($A867,'Category Mapping'!$A$28:$A$39,0),1))</f>
        <v>296714285.71428573</v>
      </c>
      <c r="S867" s="27">
        <f>S287*IF($E867="weekday",INDEX('Category Mapping'!$F$28:$F$39,MATCH('Summarized Source Data'!$A867,'Category Mapping'!$A$28:$A$39,0),1),INDEX('Category Mapping'!$E$28:$E$39,MATCH($A867,'Category Mapping'!$A$28:$A$39,0),1))</f>
        <v>296714285.71428573</v>
      </c>
      <c r="T867" s="27">
        <f>T287*IF($E867="weekday",INDEX('Category Mapping'!$F$28:$F$39,MATCH('Summarized Source Data'!$A867,'Category Mapping'!$A$28:$A$39,0),1),INDEX('Category Mapping'!$E$28:$E$39,MATCH($A867,'Category Mapping'!$A$28:$A$39,0),1))</f>
        <v>296714285.71428573</v>
      </c>
      <c r="U867" s="27">
        <f>U287*IF($E867="weekday",INDEX('Category Mapping'!$F$28:$F$39,MATCH('Summarized Source Data'!$A867,'Category Mapping'!$A$28:$A$39,0),1),INDEX('Category Mapping'!$E$28:$E$39,MATCH($A867,'Category Mapping'!$A$28:$A$39,0),1))</f>
        <v>296714285.71428573</v>
      </c>
      <c r="V867" s="27">
        <f>V287*IF($E867="weekday",INDEX('Category Mapping'!$F$28:$F$39,MATCH('Summarized Source Data'!$A867,'Category Mapping'!$A$28:$A$39,0),1),INDEX('Category Mapping'!$E$28:$E$39,MATCH($A867,'Category Mapping'!$A$28:$A$39,0),1))</f>
        <v>296714285.71428573</v>
      </c>
      <c r="W867" s="27">
        <f>W287*IF($E867="weekday",INDEX('Category Mapping'!$F$28:$F$39,MATCH('Summarized Source Data'!$A867,'Category Mapping'!$A$28:$A$39,0),1),INDEX('Category Mapping'!$E$28:$E$39,MATCH($A867,'Category Mapping'!$A$28:$A$39,0),1))</f>
        <v>296714285.71428573</v>
      </c>
      <c r="X867" s="27">
        <f>X287*IF($E867="weekday",INDEX('Category Mapping'!$F$28:$F$39,MATCH('Summarized Source Data'!$A867,'Category Mapping'!$A$28:$A$39,0),1),INDEX('Category Mapping'!$E$28:$E$39,MATCH($A867,'Category Mapping'!$A$28:$A$39,0),1))</f>
        <v>14149285714.285713</v>
      </c>
      <c r="Y867" s="27">
        <f>Y287*IF($E867="weekday",INDEX('Category Mapping'!$F$28:$F$39,MATCH('Summarized Source Data'!$A867,'Category Mapping'!$A$28:$A$39,0),1),INDEX('Category Mapping'!$E$28:$E$39,MATCH($A867,'Category Mapping'!$A$28:$A$39,0),1))</f>
        <v>14149285714.285713</v>
      </c>
      <c r="Z867" s="27">
        <f>Z287*IF($E867="weekday",INDEX('Category Mapping'!$F$28:$F$39,MATCH('Summarized Source Data'!$A867,'Category Mapping'!$A$28:$A$39,0),1),INDEX('Category Mapping'!$E$28:$E$39,MATCH($A867,'Category Mapping'!$A$28:$A$39,0),1))</f>
        <v>14149285714.285713</v>
      </c>
    </row>
    <row r="868" spans="1:26" x14ac:dyDescent="0.3">
      <c r="A868">
        <f t="shared" ref="A868:E868" si="333">A288</f>
        <v>12</v>
      </c>
      <c r="B868" t="str">
        <f t="shared" si="333"/>
        <v>Winter</v>
      </c>
      <c r="C868" t="str">
        <f t="shared" si="333"/>
        <v>h21</v>
      </c>
      <c r="D868" t="str">
        <f t="shared" si="333"/>
        <v>Hour20</v>
      </c>
      <c r="E868" t="str">
        <f t="shared" si="333"/>
        <v>Weekday</v>
      </c>
      <c r="F868" s="27">
        <f>F288*IF($E868="weekday",INDEX('Category Mapping'!$F$28:$F$39,MATCH('Summarized Source Data'!$A868,'Category Mapping'!$A$28:$A$39,0),1),INDEX('Category Mapping'!$E$28:$E$39,MATCH($A868,'Category Mapping'!$A$28:$A$39,0),1))</f>
        <v>471642857.14285713</v>
      </c>
      <c r="G868" s="27">
        <f>G288*IF($E868="weekday",INDEX('Category Mapping'!$F$28:$F$39,MATCH('Summarized Source Data'!$A868,'Category Mapping'!$A$28:$A$39,0),1),INDEX('Category Mapping'!$E$28:$E$39,MATCH($A868,'Category Mapping'!$A$28:$A$39,0),1))</f>
        <v>346336.42857142858</v>
      </c>
      <c r="H868" s="27">
        <f>H288*IF($E868="weekday",INDEX('Category Mapping'!$F$28:$F$39,MATCH('Summarized Source Data'!$A868,'Category Mapping'!$A$28:$A$39,0),1),INDEX('Category Mapping'!$E$28:$E$39,MATCH($A868,'Category Mapping'!$A$28:$A$39,0),1))</f>
        <v>0</v>
      </c>
      <c r="I868" s="27">
        <f>I288*IF($E868="weekday",INDEX('Category Mapping'!$F$28:$F$39,MATCH('Summarized Source Data'!$A868,'Category Mapping'!$A$28:$A$39,0),1),INDEX('Category Mapping'!$E$28:$E$39,MATCH($A868,'Category Mapping'!$A$28:$A$39,0),1))</f>
        <v>1445928571.4285715</v>
      </c>
      <c r="J868" s="27">
        <f>J288*IF($E868="weekday",INDEX('Category Mapping'!$F$28:$F$39,MATCH('Summarized Source Data'!$A868,'Category Mapping'!$A$28:$A$39,0),1),INDEX('Category Mapping'!$E$28:$E$39,MATCH($A868,'Category Mapping'!$A$28:$A$39,0),1))</f>
        <v>3329939377.8571429</v>
      </c>
      <c r="K868" s="27">
        <f>K288*IF($E868="weekday",INDEX('Category Mapping'!$F$28:$F$39,MATCH('Summarized Source Data'!$A868,'Category Mapping'!$A$28:$A$39,0),1),INDEX('Category Mapping'!$E$28:$E$39,MATCH($A868,'Category Mapping'!$A$28:$A$39,0),1))</f>
        <v>3329939377.8571429</v>
      </c>
      <c r="L868" s="27">
        <f>L288*IF($E868="weekday",INDEX('Category Mapping'!$F$28:$F$39,MATCH('Summarized Source Data'!$A868,'Category Mapping'!$A$28:$A$39,0),1),INDEX('Category Mapping'!$E$28:$E$39,MATCH($A868,'Category Mapping'!$A$28:$A$39,0),1))</f>
        <v>1346285714.2857141</v>
      </c>
      <c r="M868" s="27">
        <f>M288*IF($E868="weekday",INDEX('Category Mapping'!$F$28:$F$39,MATCH('Summarized Source Data'!$A868,'Category Mapping'!$A$28:$A$39,0),1),INDEX('Category Mapping'!$E$28:$E$39,MATCH($A868,'Category Mapping'!$A$28:$A$39,0),1))</f>
        <v>1547962.857142857</v>
      </c>
      <c r="N868" s="27">
        <f>N288*IF($E868="weekday",INDEX('Category Mapping'!$F$28:$F$39,MATCH('Summarized Source Data'!$A868,'Category Mapping'!$A$28:$A$39,0),1),INDEX('Category Mapping'!$E$28:$E$39,MATCH($A868,'Category Mapping'!$A$28:$A$39,0),1))</f>
        <v>0</v>
      </c>
      <c r="O868" s="27">
        <f>O288*IF($E868="weekday",INDEX('Category Mapping'!$F$28:$F$39,MATCH('Summarized Source Data'!$A868,'Category Mapping'!$A$28:$A$39,0),1),INDEX('Category Mapping'!$E$28:$E$39,MATCH($A868,'Category Mapping'!$A$28:$A$39,0),1))</f>
        <v>6867166322.8571424</v>
      </c>
      <c r="P868" s="27">
        <f>P288*IF($E868="weekday",INDEX('Category Mapping'!$F$28:$F$39,MATCH('Summarized Source Data'!$A868,'Category Mapping'!$A$28:$A$39,0),1),INDEX('Category Mapping'!$E$28:$E$39,MATCH($A868,'Category Mapping'!$A$28:$A$39,0),1))</f>
        <v>6867166322.8571424</v>
      </c>
      <c r="Q868" s="27">
        <f>Q288*IF($E868="weekday",INDEX('Category Mapping'!$F$28:$F$39,MATCH('Summarized Source Data'!$A868,'Category Mapping'!$A$28:$A$39,0),1),INDEX('Category Mapping'!$E$28:$E$39,MATCH($A868,'Category Mapping'!$A$28:$A$39,0),1))</f>
        <v>6867166322.8571424</v>
      </c>
      <c r="R868" s="27">
        <f>R288*IF($E868="weekday",INDEX('Category Mapping'!$F$28:$F$39,MATCH('Summarized Source Data'!$A868,'Category Mapping'!$A$28:$A$39,0),1),INDEX('Category Mapping'!$E$28:$E$39,MATCH($A868,'Category Mapping'!$A$28:$A$39,0),1))</f>
        <v>272357142.85714287</v>
      </c>
      <c r="S868" s="27">
        <f>S288*IF($E868="weekday",INDEX('Category Mapping'!$F$28:$F$39,MATCH('Summarized Source Data'!$A868,'Category Mapping'!$A$28:$A$39,0),1),INDEX('Category Mapping'!$E$28:$E$39,MATCH($A868,'Category Mapping'!$A$28:$A$39,0),1))</f>
        <v>272357142.85714287</v>
      </c>
      <c r="T868" s="27">
        <f>T288*IF($E868="weekday",INDEX('Category Mapping'!$F$28:$F$39,MATCH('Summarized Source Data'!$A868,'Category Mapping'!$A$28:$A$39,0),1),INDEX('Category Mapping'!$E$28:$E$39,MATCH($A868,'Category Mapping'!$A$28:$A$39,0),1))</f>
        <v>272357142.85714287</v>
      </c>
      <c r="U868" s="27">
        <f>U288*IF($E868="weekday",INDEX('Category Mapping'!$F$28:$F$39,MATCH('Summarized Source Data'!$A868,'Category Mapping'!$A$28:$A$39,0),1),INDEX('Category Mapping'!$E$28:$E$39,MATCH($A868,'Category Mapping'!$A$28:$A$39,0),1))</f>
        <v>272357142.85714287</v>
      </c>
      <c r="V868" s="27">
        <f>V288*IF($E868="weekday",INDEX('Category Mapping'!$F$28:$F$39,MATCH('Summarized Source Data'!$A868,'Category Mapping'!$A$28:$A$39,0),1),INDEX('Category Mapping'!$E$28:$E$39,MATCH($A868,'Category Mapping'!$A$28:$A$39,0),1))</f>
        <v>272357142.85714287</v>
      </c>
      <c r="W868" s="27">
        <f>W288*IF($E868="weekday",INDEX('Category Mapping'!$F$28:$F$39,MATCH('Summarized Source Data'!$A868,'Category Mapping'!$A$28:$A$39,0),1),INDEX('Category Mapping'!$E$28:$E$39,MATCH($A868,'Category Mapping'!$A$28:$A$39,0),1))</f>
        <v>272357142.85714287</v>
      </c>
      <c r="X868" s="27">
        <f>X288*IF($E868="weekday",INDEX('Category Mapping'!$F$28:$F$39,MATCH('Summarized Source Data'!$A868,'Category Mapping'!$A$28:$A$39,0),1),INDEX('Category Mapping'!$E$28:$E$39,MATCH($A868,'Category Mapping'!$A$28:$A$39,0),1))</f>
        <v>14060714285.714285</v>
      </c>
      <c r="Y868" s="27">
        <f>Y288*IF($E868="weekday",INDEX('Category Mapping'!$F$28:$F$39,MATCH('Summarized Source Data'!$A868,'Category Mapping'!$A$28:$A$39,0),1),INDEX('Category Mapping'!$E$28:$E$39,MATCH($A868,'Category Mapping'!$A$28:$A$39,0),1))</f>
        <v>14060714285.714285</v>
      </c>
      <c r="Z868" s="27">
        <f>Z288*IF($E868="weekday",INDEX('Category Mapping'!$F$28:$F$39,MATCH('Summarized Source Data'!$A868,'Category Mapping'!$A$28:$A$39,0),1),INDEX('Category Mapping'!$E$28:$E$39,MATCH($A868,'Category Mapping'!$A$28:$A$39,0),1))</f>
        <v>14060714285.714285</v>
      </c>
    </row>
    <row r="869" spans="1:26" x14ac:dyDescent="0.3">
      <c r="A869">
        <f t="shared" ref="A869:E869" si="334">A289</f>
        <v>12</v>
      </c>
      <c r="B869" t="str">
        <f t="shared" si="334"/>
        <v>Winter</v>
      </c>
      <c r="C869" t="str">
        <f t="shared" si="334"/>
        <v>h22</v>
      </c>
      <c r="D869" t="str">
        <f t="shared" si="334"/>
        <v>Hour21</v>
      </c>
      <c r="E869" t="str">
        <f t="shared" si="334"/>
        <v>Weekday</v>
      </c>
      <c r="F869" s="27">
        <f>F289*IF($E869="weekday",INDEX('Category Mapping'!$F$28:$F$39,MATCH('Summarized Source Data'!$A869,'Category Mapping'!$A$28:$A$39,0),1),INDEX('Category Mapping'!$E$28:$E$39,MATCH($A869,'Category Mapping'!$A$28:$A$39,0),1))</f>
        <v>447285714.28571427</v>
      </c>
      <c r="G869" s="27">
        <f>G289*IF($E869="weekday",INDEX('Category Mapping'!$F$28:$F$39,MATCH('Summarized Source Data'!$A869,'Category Mapping'!$A$28:$A$39,0),1),INDEX('Category Mapping'!$E$28:$E$39,MATCH($A869,'Category Mapping'!$A$28:$A$39,0),1))</f>
        <v>368324.28571428568</v>
      </c>
      <c r="H869" s="27">
        <f>H289*IF($E869="weekday",INDEX('Category Mapping'!$F$28:$F$39,MATCH('Summarized Source Data'!$A869,'Category Mapping'!$A$28:$A$39,0),1),INDEX('Category Mapping'!$E$28:$E$39,MATCH($A869,'Category Mapping'!$A$28:$A$39,0),1))</f>
        <v>0</v>
      </c>
      <c r="I869" s="27">
        <f>I289*IF($E869="weekday",INDEX('Category Mapping'!$F$28:$F$39,MATCH('Summarized Source Data'!$A869,'Category Mapping'!$A$28:$A$39,0),1),INDEX('Category Mapping'!$E$28:$E$39,MATCH($A869,'Category Mapping'!$A$28:$A$39,0),1))</f>
        <v>1184642857.1428571</v>
      </c>
      <c r="J869" s="27">
        <f>J289*IF($E869="weekday",INDEX('Category Mapping'!$F$28:$F$39,MATCH('Summarized Source Data'!$A869,'Category Mapping'!$A$28:$A$39,0),1),INDEX('Category Mapping'!$E$28:$E$39,MATCH($A869,'Category Mapping'!$A$28:$A$39,0),1))</f>
        <v>3283417390</v>
      </c>
      <c r="K869" s="27">
        <f>K289*IF($E869="weekday",INDEX('Category Mapping'!$F$28:$F$39,MATCH('Summarized Source Data'!$A869,'Category Mapping'!$A$28:$A$39,0),1),INDEX('Category Mapping'!$E$28:$E$39,MATCH($A869,'Category Mapping'!$A$28:$A$39,0),1))</f>
        <v>3283417390</v>
      </c>
      <c r="L869" s="27">
        <f>L289*IF($E869="weekday",INDEX('Category Mapping'!$F$28:$F$39,MATCH('Summarized Source Data'!$A869,'Category Mapping'!$A$28:$A$39,0),1),INDEX('Category Mapping'!$E$28:$E$39,MATCH($A869,'Category Mapping'!$A$28:$A$39,0),1))</f>
        <v>1459214285.7142856</v>
      </c>
      <c r="M869" s="27">
        <f>M289*IF($E869="weekday",INDEX('Category Mapping'!$F$28:$F$39,MATCH('Summarized Source Data'!$A869,'Category Mapping'!$A$28:$A$39,0),1),INDEX('Category Mapping'!$E$28:$E$39,MATCH($A869,'Category Mapping'!$A$28:$A$39,0),1))</f>
        <v>1453169.2857142857</v>
      </c>
      <c r="N869" s="27">
        <f>N289*IF($E869="weekday",INDEX('Category Mapping'!$F$28:$F$39,MATCH('Summarized Source Data'!$A869,'Category Mapping'!$A$28:$A$39,0),1),INDEX('Category Mapping'!$E$28:$E$39,MATCH($A869,'Category Mapping'!$A$28:$A$39,0),1))</f>
        <v>0</v>
      </c>
      <c r="O869" s="27">
        <f>O289*IF($E869="weekday",INDEX('Category Mapping'!$F$28:$F$39,MATCH('Summarized Source Data'!$A869,'Category Mapping'!$A$28:$A$39,0),1),INDEX('Category Mapping'!$E$28:$E$39,MATCH($A869,'Category Mapping'!$A$28:$A$39,0),1))</f>
        <v>5558618259.2857141</v>
      </c>
      <c r="P869" s="27">
        <f>P289*IF($E869="weekday",INDEX('Category Mapping'!$F$28:$F$39,MATCH('Summarized Source Data'!$A869,'Category Mapping'!$A$28:$A$39,0),1),INDEX('Category Mapping'!$E$28:$E$39,MATCH($A869,'Category Mapping'!$A$28:$A$39,0),1))</f>
        <v>5558618259.2857141</v>
      </c>
      <c r="Q869" s="27">
        <f>Q289*IF($E869="weekday",INDEX('Category Mapping'!$F$28:$F$39,MATCH('Summarized Source Data'!$A869,'Category Mapping'!$A$28:$A$39,0),1),INDEX('Category Mapping'!$E$28:$E$39,MATCH($A869,'Category Mapping'!$A$28:$A$39,0),1))</f>
        <v>5558618259.2857141</v>
      </c>
      <c r="R869" s="27">
        <f>R289*IF($E869="weekday",INDEX('Category Mapping'!$F$28:$F$39,MATCH('Summarized Source Data'!$A869,'Category Mapping'!$A$28:$A$39,0),1),INDEX('Category Mapping'!$E$28:$E$39,MATCH($A869,'Category Mapping'!$A$28:$A$39,0),1))</f>
        <v>256857142.85714287</v>
      </c>
      <c r="S869" s="27">
        <f>S289*IF($E869="weekday",INDEX('Category Mapping'!$F$28:$F$39,MATCH('Summarized Source Data'!$A869,'Category Mapping'!$A$28:$A$39,0),1),INDEX('Category Mapping'!$E$28:$E$39,MATCH($A869,'Category Mapping'!$A$28:$A$39,0),1))</f>
        <v>256857142.85714287</v>
      </c>
      <c r="T869" s="27">
        <f>T289*IF($E869="weekday",INDEX('Category Mapping'!$F$28:$F$39,MATCH('Summarized Source Data'!$A869,'Category Mapping'!$A$28:$A$39,0),1),INDEX('Category Mapping'!$E$28:$E$39,MATCH($A869,'Category Mapping'!$A$28:$A$39,0),1))</f>
        <v>256857142.85714287</v>
      </c>
      <c r="U869" s="27">
        <f>U289*IF($E869="weekday",INDEX('Category Mapping'!$F$28:$F$39,MATCH('Summarized Source Data'!$A869,'Category Mapping'!$A$28:$A$39,0),1),INDEX('Category Mapping'!$E$28:$E$39,MATCH($A869,'Category Mapping'!$A$28:$A$39,0),1))</f>
        <v>256857142.85714287</v>
      </c>
      <c r="V869" s="27">
        <f>V289*IF($E869="weekday",INDEX('Category Mapping'!$F$28:$F$39,MATCH('Summarized Source Data'!$A869,'Category Mapping'!$A$28:$A$39,0),1),INDEX('Category Mapping'!$E$28:$E$39,MATCH($A869,'Category Mapping'!$A$28:$A$39,0),1))</f>
        <v>256857142.85714287</v>
      </c>
      <c r="W869" s="27">
        <f>W289*IF($E869="weekday",INDEX('Category Mapping'!$F$28:$F$39,MATCH('Summarized Source Data'!$A869,'Category Mapping'!$A$28:$A$39,0),1),INDEX('Category Mapping'!$E$28:$E$39,MATCH($A869,'Category Mapping'!$A$28:$A$39,0),1))</f>
        <v>256857142.85714287</v>
      </c>
      <c r="X869" s="27">
        <f>X289*IF($E869="weekday",INDEX('Category Mapping'!$F$28:$F$39,MATCH('Summarized Source Data'!$A869,'Category Mapping'!$A$28:$A$39,0),1),INDEX('Category Mapping'!$E$28:$E$39,MATCH($A869,'Category Mapping'!$A$28:$A$39,0),1))</f>
        <v>13950000000</v>
      </c>
      <c r="Y869" s="27">
        <f>Y289*IF($E869="weekday",INDEX('Category Mapping'!$F$28:$F$39,MATCH('Summarized Source Data'!$A869,'Category Mapping'!$A$28:$A$39,0),1),INDEX('Category Mapping'!$E$28:$E$39,MATCH($A869,'Category Mapping'!$A$28:$A$39,0),1))</f>
        <v>13950000000</v>
      </c>
      <c r="Z869" s="27">
        <f>Z289*IF($E869="weekday",INDEX('Category Mapping'!$F$28:$F$39,MATCH('Summarized Source Data'!$A869,'Category Mapping'!$A$28:$A$39,0),1),INDEX('Category Mapping'!$E$28:$E$39,MATCH($A869,'Category Mapping'!$A$28:$A$39,0),1))</f>
        <v>13950000000</v>
      </c>
    </row>
    <row r="870" spans="1:26" x14ac:dyDescent="0.3">
      <c r="A870">
        <f t="shared" ref="A870:E870" si="335">A290</f>
        <v>12</v>
      </c>
      <c r="B870" t="str">
        <f t="shared" si="335"/>
        <v>Winter</v>
      </c>
      <c r="C870" t="str">
        <f t="shared" si="335"/>
        <v>h23</v>
      </c>
      <c r="D870" t="str">
        <f t="shared" si="335"/>
        <v>Hour22</v>
      </c>
      <c r="E870" t="str">
        <f t="shared" si="335"/>
        <v>Weekday</v>
      </c>
      <c r="F870" s="27">
        <f>F290*IF($E870="weekday",INDEX('Category Mapping'!$F$28:$F$39,MATCH('Summarized Source Data'!$A870,'Category Mapping'!$A$28:$A$39,0),1),INDEX('Category Mapping'!$E$28:$E$39,MATCH($A870,'Category Mapping'!$A$28:$A$39,0),1))</f>
        <v>385285714.28571427</v>
      </c>
      <c r="G870" s="27">
        <f>G290*IF($E870="weekday",INDEX('Category Mapping'!$F$28:$F$39,MATCH('Summarized Source Data'!$A870,'Category Mapping'!$A$28:$A$39,0),1),INDEX('Category Mapping'!$E$28:$E$39,MATCH($A870,'Category Mapping'!$A$28:$A$39,0),1))</f>
        <v>383957.14285714284</v>
      </c>
      <c r="H870" s="27">
        <f>H290*IF($E870="weekday",INDEX('Category Mapping'!$F$28:$F$39,MATCH('Summarized Source Data'!$A870,'Category Mapping'!$A$28:$A$39,0),1),INDEX('Category Mapping'!$E$28:$E$39,MATCH($A870,'Category Mapping'!$A$28:$A$39,0),1))</f>
        <v>0</v>
      </c>
      <c r="I870" s="27">
        <f>I290*IF($E870="weekday",INDEX('Category Mapping'!$F$28:$F$39,MATCH('Summarized Source Data'!$A870,'Category Mapping'!$A$28:$A$39,0),1),INDEX('Category Mapping'!$E$28:$E$39,MATCH($A870,'Category Mapping'!$A$28:$A$39,0),1))</f>
        <v>704142857.14285707</v>
      </c>
      <c r="J870" s="27">
        <f>J290*IF($E870="weekday",INDEX('Category Mapping'!$F$28:$F$39,MATCH('Summarized Source Data'!$A870,'Category Mapping'!$A$28:$A$39,0),1),INDEX('Category Mapping'!$E$28:$E$39,MATCH($A870,'Category Mapping'!$A$28:$A$39,0),1))</f>
        <v>2585901757.1428571</v>
      </c>
      <c r="K870" s="27">
        <f>K290*IF($E870="weekday",INDEX('Category Mapping'!$F$28:$F$39,MATCH('Summarized Source Data'!$A870,'Category Mapping'!$A$28:$A$39,0),1),INDEX('Category Mapping'!$E$28:$E$39,MATCH($A870,'Category Mapping'!$A$28:$A$39,0),1))</f>
        <v>2585901757.1428571</v>
      </c>
      <c r="L870" s="27">
        <f>L290*IF($E870="weekday",INDEX('Category Mapping'!$F$28:$F$39,MATCH('Summarized Source Data'!$A870,'Category Mapping'!$A$28:$A$39,0),1),INDEX('Category Mapping'!$E$28:$E$39,MATCH($A870,'Category Mapping'!$A$28:$A$39,0),1))</f>
        <v>1450357142.8571429</v>
      </c>
      <c r="M870" s="27">
        <f>M290*IF($E870="weekday",INDEX('Category Mapping'!$F$28:$F$39,MATCH('Summarized Source Data'!$A870,'Category Mapping'!$A$28:$A$39,0),1),INDEX('Category Mapping'!$E$28:$E$39,MATCH($A870,'Category Mapping'!$A$28:$A$39,0),1))</f>
        <v>1339200</v>
      </c>
      <c r="N870" s="27">
        <f>N290*IF($E870="weekday",INDEX('Category Mapping'!$F$28:$F$39,MATCH('Summarized Source Data'!$A870,'Category Mapping'!$A$28:$A$39,0),1),INDEX('Category Mapping'!$E$28:$E$39,MATCH($A870,'Category Mapping'!$A$28:$A$39,0),1))</f>
        <v>0</v>
      </c>
      <c r="O870" s="27">
        <f>O290*IF($E870="weekday",INDEX('Category Mapping'!$F$28:$F$39,MATCH('Summarized Source Data'!$A870,'Category Mapping'!$A$28:$A$39,0),1),INDEX('Category Mapping'!$E$28:$E$39,MATCH($A870,'Category Mapping'!$A$28:$A$39,0),1))</f>
        <v>4681875085.7142859</v>
      </c>
      <c r="P870" s="27">
        <f>P290*IF($E870="weekday",INDEX('Category Mapping'!$F$28:$F$39,MATCH('Summarized Source Data'!$A870,'Category Mapping'!$A$28:$A$39,0),1),INDEX('Category Mapping'!$E$28:$E$39,MATCH($A870,'Category Mapping'!$A$28:$A$39,0),1))</f>
        <v>4681875085.7142859</v>
      </c>
      <c r="Q870" s="27">
        <f>Q290*IF($E870="weekday",INDEX('Category Mapping'!$F$28:$F$39,MATCH('Summarized Source Data'!$A870,'Category Mapping'!$A$28:$A$39,0),1),INDEX('Category Mapping'!$E$28:$E$39,MATCH($A870,'Category Mapping'!$A$28:$A$39,0),1))</f>
        <v>4681875085.7142859</v>
      </c>
      <c r="R870" s="27">
        <f>R290*IF($E870="weekday",INDEX('Category Mapping'!$F$28:$F$39,MATCH('Summarized Source Data'!$A870,'Category Mapping'!$A$28:$A$39,0),1),INDEX('Category Mapping'!$E$28:$E$39,MATCH($A870,'Category Mapping'!$A$28:$A$39,0),1))</f>
        <v>241357142.85714287</v>
      </c>
      <c r="S870" s="27">
        <f>S290*IF($E870="weekday",INDEX('Category Mapping'!$F$28:$F$39,MATCH('Summarized Source Data'!$A870,'Category Mapping'!$A$28:$A$39,0),1),INDEX('Category Mapping'!$E$28:$E$39,MATCH($A870,'Category Mapping'!$A$28:$A$39,0),1))</f>
        <v>241357142.85714287</v>
      </c>
      <c r="T870" s="27">
        <f>T290*IF($E870="weekday",INDEX('Category Mapping'!$F$28:$F$39,MATCH('Summarized Source Data'!$A870,'Category Mapping'!$A$28:$A$39,0),1),INDEX('Category Mapping'!$E$28:$E$39,MATCH($A870,'Category Mapping'!$A$28:$A$39,0),1))</f>
        <v>241357142.85714287</v>
      </c>
      <c r="U870" s="27">
        <f>U290*IF($E870="weekday",INDEX('Category Mapping'!$F$28:$F$39,MATCH('Summarized Source Data'!$A870,'Category Mapping'!$A$28:$A$39,0),1),INDEX('Category Mapping'!$E$28:$E$39,MATCH($A870,'Category Mapping'!$A$28:$A$39,0),1))</f>
        <v>241357142.85714287</v>
      </c>
      <c r="V870" s="27">
        <f>V290*IF($E870="weekday",INDEX('Category Mapping'!$F$28:$F$39,MATCH('Summarized Source Data'!$A870,'Category Mapping'!$A$28:$A$39,0),1),INDEX('Category Mapping'!$E$28:$E$39,MATCH($A870,'Category Mapping'!$A$28:$A$39,0),1))</f>
        <v>241357142.85714287</v>
      </c>
      <c r="W870" s="27">
        <f>W290*IF($E870="weekday",INDEX('Category Mapping'!$F$28:$F$39,MATCH('Summarized Source Data'!$A870,'Category Mapping'!$A$28:$A$39,0),1),INDEX('Category Mapping'!$E$28:$E$39,MATCH($A870,'Category Mapping'!$A$28:$A$39,0),1))</f>
        <v>241357142.85714287</v>
      </c>
      <c r="X870" s="27">
        <f>X290*IF($E870="weekday",INDEX('Category Mapping'!$F$28:$F$39,MATCH('Summarized Source Data'!$A870,'Category Mapping'!$A$28:$A$39,0),1),INDEX('Category Mapping'!$E$28:$E$39,MATCH($A870,'Category Mapping'!$A$28:$A$39,0),1))</f>
        <v>13839285714.285713</v>
      </c>
      <c r="Y870" s="27">
        <f>Y290*IF($E870="weekday",INDEX('Category Mapping'!$F$28:$F$39,MATCH('Summarized Source Data'!$A870,'Category Mapping'!$A$28:$A$39,0),1),INDEX('Category Mapping'!$E$28:$E$39,MATCH($A870,'Category Mapping'!$A$28:$A$39,0),1))</f>
        <v>13839285714.285713</v>
      </c>
      <c r="Z870" s="27">
        <f>Z290*IF($E870="weekday",INDEX('Category Mapping'!$F$28:$F$39,MATCH('Summarized Source Data'!$A870,'Category Mapping'!$A$28:$A$39,0),1),INDEX('Category Mapping'!$E$28:$E$39,MATCH($A870,'Category Mapping'!$A$28:$A$39,0),1))</f>
        <v>13839285714.285713</v>
      </c>
    </row>
    <row r="871" spans="1:26" x14ac:dyDescent="0.3">
      <c r="A871">
        <f t="shared" ref="A871:E871" si="336">A291</f>
        <v>12</v>
      </c>
      <c r="B871" t="str">
        <f t="shared" si="336"/>
        <v>Winter</v>
      </c>
      <c r="C871" t="str">
        <f t="shared" si="336"/>
        <v>h24</v>
      </c>
      <c r="D871" t="str">
        <f t="shared" si="336"/>
        <v>Hour23</v>
      </c>
      <c r="E871" t="str">
        <f t="shared" si="336"/>
        <v>Weekday</v>
      </c>
      <c r="F871" s="27">
        <f>F291*IF($E871="weekday",INDEX('Category Mapping'!$F$28:$F$39,MATCH('Summarized Source Data'!$A871,'Category Mapping'!$A$28:$A$39,0),1),INDEX('Category Mapping'!$E$28:$E$39,MATCH($A871,'Category Mapping'!$A$28:$A$39,0),1))</f>
        <v>376428571.4285714</v>
      </c>
      <c r="G871" s="27">
        <f>G291*IF($E871="weekday",INDEX('Category Mapping'!$F$28:$F$39,MATCH('Summarized Source Data'!$A871,'Category Mapping'!$A$28:$A$39,0),1),INDEX('Category Mapping'!$E$28:$E$39,MATCH($A871,'Category Mapping'!$A$28:$A$39,0),1))</f>
        <v>394519.28571428568</v>
      </c>
      <c r="H871" s="27">
        <f>H291*IF($E871="weekday",INDEX('Category Mapping'!$F$28:$F$39,MATCH('Summarized Source Data'!$A871,'Category Mapping'!$A$28:$A$39,0),1),INDEX('Category Mapping'!$E$28:$E$39,MATCH($A871,'Category Mapping'!$A$28:$A$39,0),1))</f>
        <v>0</v>
      </c>
      <c r="I871" s="27">
        <f>I291*IF($E871="weekday",INDEX('Category Mapping'!$F$28:$F$39,MATCH('Summarized Source Data'!$A871,'Category Mapping'!$A$28:$A$39,0),1),INDEX('Category Mapping'!$E$28:$E$39,MATCH($A871,'Category Mapping'!$A$28:$A$39,0),1))</f>
        <v>369785714.28571427</v>
      </c>
      <c r="J871" s="27">
        <f>J291*IF($E871="weekday",INDEX('Category Mapping'!$F$28:$F$39,MATCH('Summarized Source Data'!$A871,'Category Mapping'!$A$28:$A$39,0),1),INDEX('Category Mapping'!$E$28:$E$39,MATCH($A871,'Category Mapping'!$A$28:$A$39,0),1))</f>
        <v>2065534052.1428571</v>
      </c>
      <c r="K871" s="27">
        <f>K291*IF($E871="weekday",INDEX('Category Mapping'!$F$28:$F$39,MATCH('Summarized Source Data'!$A871,'Category Mapping'!$A$28:$A$39,0),1),INDEX('Category Mapping'!$E$28:$E$39,MATCH($A871,'Category Mapping'!$A$28:$A$39,0),1))</f>
        <v>2065534052.1428571</v>
      </c>
      <c r="L871" s="27">
        <f>L291*IF($E871="weekday",INDEX('Category Mapping'!$F$28:$F$39,MATCH('Summarized Source Data'!$A871,'Category Mapping'!$A$28:$A$39,0),1),INDEX('Category Mapping'!$E$28:$E$39,MATCH($A871,'Category Mapping'!$A$28:$A$39,0),1))</f>
        <v>701928571.42857146</v>
      </c>
      <c r="M871" s="27">
        <f>M291*IF($E871="weekday",INDEX('Category Mapping'!$F$28:$F$39,MATCH('Summarized Source Data'!$A871,'Category Mapping'!$A$28:$A$39,0),1),INDEX('Category Mapping'!$E$28:$E$39,MATCH($A871,'Category Mapping'!$A$28:$A$39,0),1))</f>
        <v>1183535.7142857143</v>
      </c>
      <c r="N871" s="27">
        <f>N291*IF($E871="weekday",INDEX('Category Mapping'!$F$28:$F$39,MATCH('Summarized Source Data'!$A871,'Category Mapping'!$A$28:$A$39,0),1),INDEX('Category Mapping'!$E$28:$E$39,MATCH($A871,'Category Mapping'!$A$28:$A$39,0),1))</f>
        <v>0</v>
      </c>
      <c r="O871" s="27">
        <f>O291*IF($E871="weekday",INDEX('Category Mapping'!$F$28:$F$39,MATCH('Summarized Source Data'!$A871,'Category Mapping'!$A$28:$A$39,0),1),INDEX('Category Mapping'!$E$28:$E$39,MATCH($A871,'Category Mapping'!$A$28:$A$39,0),1))</f>
        <v>4079745035.7142859</v>
      </c>
      <c r="P871" s="27">
        <f>P291*IF($E871="weekday",INDEX('Category Mapping'!$F$28:$F$39,MATCH('Summarized Source Data'!$A871,'Category Mapping'!$A$28:$A$39,0),1),INDEX('Category Mapping'!$E$28:$E$39,MATCH($A871,'Category Mapping'!$A$28:$A$39,0),1))</f>
        <v>4079745035.7142859</v>
      </c>
      <c r="Q871" s="27">
        <f>Q291*IF($E871="weekday",INDEX('Category Mapping'!$F$28:$F$39,MATCH('Summarized Source Data'!$A871,'Category Mapping'!$A$28:$A$39,0),1),INDEX('Category Mapping'!$E$28:$E$39,MATCH($A871,'Category Mapping'!$A$28:$A$39,0),1))</f>
        <v>4079745035.7142859</v>
      </c>
      <c r="R871" s="27">
        <f>R291*IF($E871="weekday",INDEX('Category Mapping'!$F$28:$F$39,MATCH('Summarized Source Data'!$A871,'Category Mapping'!$A$28:$A$39,0),1),INDEX('Category Mapping'!$E$28:$E$39,MATCH($A871,'Category Mapping'!$A$28:$A$39,0),1))</f>
        <v>162962970</v>
      </c>
      <c r="S871" s="27">
        <f>S291*IF($E871="weekday",INDEX('Category Mapping'!$F$28:$F$39,MATCH('Summarized Source Data'!$A871,'Category Mapping'!$A$28:$A$39,0),1),INDEX('Category Mapping'!$E$28:$E$39,MATCH($A871,'Category Mapping'!$A$28:$A$39,0),1))</f>
        <v>162962970</v>
      </c>
      <c r="T871" s="27">
        <f>T291*IF($E871="weekday",INDEX('Category Mapping'!$F$28:$F$39,MATCH('Summarized Source Data'!$A871,'Category Mapping'!$A$28:$A$39,0),1),INDEX('Category Mapping'!$E$28:$E$39,MATCH($A871,'Category Mapping'!$A$28:$A$39,0),1))</f>
        <v>162962970</v>
      </c>
      <c r="U871" s="27">
        <f>U291*IF($E871="weekday",INDEX('Category Mapping'!$F$28:$F$39,MATCH('Summarized Source Data'!$A871,'Category Mapping'!$A$28:$A$39,0),1),INDEX('Category Mapping'!$E$28:$E$39,MATCH($A871,'Category Mapping'!$A$28:$A$39,0),1))</f>
        <v>162962970</v>
      </c>
      <c r="V871" s="27">
        <f>V291*IF($E871="weekday",INDEX('Category Mapping'!$F$28:$F$39,MATCH('Summarized Source Data'!$A871,'Category Mapping'!$A$28:$A$39,0),1),INDEX('Category Mapping'!$E$28:$E$39,MATCH($A871,'Category Mapping'!$A$28:$A$39,0),1))</f>
        <v>162962970</v>
      </c>
      <c r="W871" s="27">
        <f>W291*IF($E871="weekday",INDEX('Category Mapping'!$F$28:$F$39,MATCH('Summarized Source Data'!$A871,'Category Mapping'!$A$28:$A$39,0),1),INDEX('Category Mapping'!$E$28:$E$39,MATCH($A871,'Category Mapping'!$A$28:$A$39,0),1))</f>
        <v>162962970</v>
      </c>
      <c r="X871" s="27">
        <f>X291*IF($E871="weekday",INDEX('Category Mapping'!$F$28:$F$39,MATCH('Summarized Source Data'!$A871,'Category Mapping'!$A$28:$A$39,0),1),INDEX('Category Mapping'!$E$28:$E$39,MATCH($A871,'Category Mapping'!$A$28:$A$39,0),1))</f>
        <v>13772857142.857143</v>
      </c>
      <c r="Y871" s="27">
        <f>Y291*IF($E871="weekday",INDEX('Category Mapping'!$F$28:$F$39,MATCH('Summarized Source Data'!$A871,'Category Mapping'!$A$28:$A$39,0),1),INDEX('Category Mapping'!$E$28:$E$39,MATCH($A871,'Category Mapping'!$A$28:$A$39,0),1))</f>
        <v>13772857142.857143</v>
      </c>
      <c r="Z871" s="27">
        <f>Z291*IF($E871="weekday",INDEX('Category Mapping'!$F$28:$F$39,MATCH('Summarized Source Data'!$A871,'Category Mapping'!$A$28:$A$39,0),1),INDEX('Category Mapping'!$E$28:$E$39,MATCH($A871,'Category Mapping'!$A$28:$A$39,0),1))</f>
        <v>13772857142.857143</v>
      </c>
    </row>
    <row r="872" spans="1:26" x14ac:dyDescent="0.3">
      <c r="A872">
        <f t="shared" ref="A872:E872" si="337">A292</f>
        <v>1</v>
      </c>
      <c r="B872" t="str">
        <f t="shared" si="337"/>
        <v>Winter</v>
      </c>
      <c r="C872" t="str">
        <f t="shared" si="337"/>
        <v>h1</v>
      </c>
      <c r="D872" t="str">
        <f t="shared" si="337"/>
        <v>Hour0</v>
      </c>
      <c r="E872" t="str">
        <f t="shared" si="337"/>
        <v>Weekend</v>
      </c>
      <c r="F872" s="27">
        <f>F292*IF($E872="weekday",INDEX('Category Mapping'!$F$28:$F$39,MATCH('Summarized Source Data'!$A872,'Category Mapping'!$A$28:$A$39,0),1),INDEX('Category Mapping'!$E$28:$E$39,MATCH($A872,'Category Mapping'!$A$28:$A$39,0),1))</f>
        <v>101857142.85714284</v>
      </c>
      <c r="G872" s="27">
        <f>G292*IF($E872="weekday",INDEX('Category Mapping'!$F$28:$F$39,MATCH('Summarized Source Data'!$A872,'Category Mapping'!$A$28:$A$39,0),1),INDEX('Category Mapping'!$E$28:$E$39,MATCH($A872,'Category Mapping'!$A$28:$A$39,0),1))</f>
        <v>56721.142857142848</v>
      </c>
      <c r="H872" s="27">
        <f>H292*IF($E872="weekday",INDEX('Category Mapping'!$F$28:$F$39,MATCH('Summarized Source Data'!$A872,'Category Mapping'!$A$28:$A$39,0),1),INDEX('Category Mapping'!$E$28:$E$39,MATCH($A872,'Category Mapping'!$A$28:$A$39,0),1))</f>
        <v>0</v>
      </c>
      <c r="I872" s="27">
        <f>I292*IF($E872="weekday",INDEX('Category Mapping'!$F$28:$F$39,MATCH('Summarized Source Data'!$A872,'Category Mapping'!$A$28:$A$39,0),1),INDEX('Category Mapping'!$E$28:$E$39,MATCH($A872,'Category Mapping'!$A$28:$A$39,0),1))</f>
        <v>61542546.285714276</v>
      </c>
      <c r="J872" s="27">
        <f>J292*IF($E872="weekday",INDEX('Category Mapping'!$F$28:$F$39,MATCH('Summarized Source Data'!$A872,'Category Mapping'!$A$28:$A$39,0),1),INDEX('Category Mapping'!$E$28:$E$39,MATCH($A872,'Category Mapping'!$A$28:$A$39,0),1))</f>
        <v>341400732.57142854</v>
      </c>
      <c r="K872" s="27">
        <f>K292*IF($E872="weekday",INDEX('Category Mapping'!$F$28:$F$39,MATCH('Summarized Source Data'!$A872,'Category Mapping'!$A$28:$A$39,0),1),INDEX('Category Mapping'!$E$28:$E$39,MATCH($A872,'Category Mapping'!$A$28:$A$39,0),1))</f>
        <v>341400732.57142854</v>
      </c>
      <c r="L872" s="27">
        <f>L292*IF($E872="weekday",INDEX('Category Mapping'!$F$28:$F$39,MATCH('Summarized Source Data'!$A872,'Category Mapping'!$A$28:$A$39,0),1),INDEX('Category Mapping'!$E$28:$E$39,MATCH($A872,'Category Mapping'!$A$28:$A$39,0),1))</f>
        <v>113371428.57142855</v>
      </c>
      <c r="M872" s="27">
        <f>M292*IF($E872="weekday",INDEX('Category Mapping'!$F$28:$F$39,MATCH('Summarized Source Data'!$A872,'Category Mapping'!$A$28:$A$39,0),1),INDEX('Category Mapping'!$E$28:$E$39,MATCH($A872,'Category Mapping'!$A$28:$A$39,0),1))</f>
        <v>170331.71428571426</v>
      </c>
      <c r="N872" s="27">
        <f>N292*IF($E872="weekday",INDEX('Category Mapping'!$F$28:$F$39,MATCH('Summarized Source Data'!$A872,'Category Mapping'!$A$28:$A$39,0),1),INDEX('Category Mapping'!$E$28:$E$39,MATCH($A872,'Category Mapping'!$A$28:$A$39,0),1))</f>
        <v>0</v>
      </c>
      <c r="O872" s="27">
        <f>O292*IF($E872="weekday",INDEX('Category Mapping'!$F$28:$F$39,MATCH('Summarized Source Data'!$A872,'Category Mapping'!$A$28:$A$39,0),1),INDEX('Category Mapping'!$E$28:$E$39,MATCH($A872,'Category Mapping'!$A$28:$A$39,0),1))</f>
        <v>698658239.71428561</v>
      </c>
      <c r="P872" s="27">
        <f>P292*IF($E872="weekday",INDEX('Category Mapping'!$F$28:$F$39,MATCH('Summarized Source Data'!$A872,'Category Mapping'!$A$28:$A$39,0),1),INDEX('Category Mapping'!$E$28:$E$39,MATCH($A872,'Category Mapping'!$A$28:$A$39,0),1))</f>
        <v>698658239.71428561</v>
      </c>
      <c r="Q872" s="27">
        <f>Q292*IF($E872="weekday",INDEX('Category Mapping'!$F$28:$F$39,MATCH('Summarized Source Data'!$A872,'Category Mapping'!$A$28:$A$39,0),1),INDEX('Category Mapping'!$E$28:$E$39,MATCH($A872,'Category Mapping'!$A$28:$A$39,0),1))</f>
        <v>698658239.71428561</v>
      </c>
      <c r="R872" s="27">
        <f>R292*IF($E872="weekday",INDEX('Category Mapping'!$F$28:$F$39,MATCH('Summarized Source Data'!$A872,'Category Mapping'!$A$28:$A$39,0),1),INDEX('Category Mapping'!$E$28:$E$39,MATCH($A872,'Category Mapping'!$A$28:$A$39,0),1))</f>
        <v>24589182.285714284</v>
      </c>
      <c r="S872" s="27">
        <f>S292*IF($E872="weekday",INDEX('Category Mapping'!$F$28:$F$39,MATCH('Summarized Source Data'!$A872,'Category Mapping'!$A$28:$A$39,0),1),INDEX('Category Mapping'!$E$28:$E$39,MATCH($A872,'Category Mapping'!$A$28:$A$39,0),1))</f>
        <v>24589182.285714284</v>
      </c>
      <c r="T872" s="27">
        <f>T292*IF($E872="weekday",INDEX('Category Mapping'!$F$28:$F$39,MATCH('Summarized Source Data'!$A872,'Category Mapping'!$A$28:$A$39,0),1),INDEX('Category Mapping'!$E$28:$E$39,MATCH($A872,'Category Mapping'!$A$28:$A$39,0),1))</f>
        <v>24589182.285714284</v>
      </c>
      <c r="U872" s="27">
        <f>U292*IF($E872="weekday",INDEX('Category Mapping'!$F$28:$F$39,MATCH('Summarized Source Data'!$A872,'Category Mapping'!$A$28:$A$39,0),1),INDEX('Category Mapping'!$E$28:$E$39,MATCH($A872,'Category Mapping'!$A$28:$A$39,0),1))</f>
        <v>24589182.285714284</v>
      </c>
      <c r="V872" s="27">
        <f>V292*IF($E872="weekday",INDEX('Category Mapping'!$F$28:$F$39,MATCH('Summarized Source Data'!$A872,'Category Mapping'!$A$28:$A$39,0),1),INDEX('Category Mapping'!$E$28:$E$39,MATCH($A872,'Category Mapping'!$A$28:$A$39,0),1))</f>
        <v>24589182.285714284</v>
      </c>
      <c r="W872" s="27">
        <f>W292*IF($E872="weekday",INDEX('Category Mapping'!$F$28:$F$39,MATCH('Summarized Source Data'!$A872,'Category Mapping'!$A$28:$A$39,0),1),INDEX('Category Mapping'!$E$28:$E$39,MATCH($A872,'Category Mapping'!$A$28:$A$39,0),1))</f>
        <v>24589182.285714284</v>
      </c>
      <c r="X872" s="27">
        <f>X292*IF($E872="weekday",INDEX('Category Mapping'!$F$28:$F$39,MATCH('Summarized Source Data'!$A872,'Category Mapping'!$A$28:$A$39,0),1),INDEX('Category Mapping'!$E$28:$E$39,MATCH($A872,'Category Mapping'!$A$28:$A$39,0),1))</f>
        <v>3037999999.9999995</v>
      </c>
      <c r="Y872" s="27">
        <f>Y292*IF($E872="weekday",INDEX('Category Mapping'!$F$28:$F$39,MATCH('Summarized Source Data'!$A872,'Category Mapping'!$A$28:$A$39,0),1),INDEX('Category Mapping'!$E$28:$E$39,MATCH($A872,'Category Mapping'!$A$28:$A$39,0),1))</f>
        <v>3037999999.9999995</v>
      </c>
      <c r="Z872" s="27">
        <f>Z292*IF($E872="weekday",INDEX('Category Mapping'!$F$28:$F$39,MATCH('Summarized Source Data'!$A872,'Category Mapping'!$A$28:$A$39,0),1),INDEX('Category Mapping'!$E$28:$E$39,MATCH($A872,'Category Mapping'!$A$28:$A$39,0),1))</f>
        <v>3037999999.9999995</v>
      </c>
    </row>
    <row r="873" spans="1:26" x14ac:dyDescent="0.3">
      <c r="A873">
        <f t="shared" ref="A873:E873" si="338">A293</f>
        <v>1</v>
      </c>
      <c r="B873" t="str">
        <f t="shared" si="338"/>
        <v>Winter</v>
      </c>
      <c r="C873" t="str">
        <f t="shared" si="338"/>
        <v>h2</v>
      </c>
      <c r="D873" t="str">
        <f t="shared" si="338"/>
        <v>Hour1</v>
      </c>
      <c r="E873" t="str">
        <f t="shared" si="338"/>
        <v>Weekend</v>
      </c>
      <c r="F873" s="27">
        <f>F293*IF($E873="weekday",INDEX('Category Mapping'!$F$28:$F$39,MATCH('Summarized Source Data'!$A873,'Category Mapping'!$A$28:$A$39,0),1),INDEX('Category Mapping'!$E$28:$E$39,MATCH($A873,'Category Mapping'!$A$28:$A$39,0),1))</f>
        <v>103628571.42857142</v>
      </c>
      <c r="G873" s="27">
        <f>G293*IF($E873="weekday",INDEX('Category Mapping'!$F$28:$F$39,MATCH('Summarized Source Data'!$A873,'Category Mapping'!$A$28:$A$39,0),1),INDEX('Category Mapping'!$E$28:$E$39,MATCH($A873,'Category Mapping'!$A$28:$A$39,0),1))</f>
        <v>57589.142857142848</v>
      </c>
      <c r="H873" s="27">
        <f>H293*IF($E873="weekday",INDEX('Category Mapping'!$F$28:$F$39,MATCH('Summarized Source Data'!$A873,'Category Mapping'!$A$28:$A$39,0),1),INDEX('Category Mapping'!$E$28:$E$39,MATCH($A873,'Category Mapping'!$A$28:$A$39,0),1))</f>
        <v>0</v>
      </c>
      <c r="I873" s="27">
        <f>I293*IF($E873="weekday",INDEX('Category Mapping'!$F$28:$F$39,MATCH('Summarized Source Data'!$A873,'Category Mapping'!$A$28:$A$39,0),1),INDEX('Category Mapping'!$E$28:$E$39,MATCH($A873,'Category Mapping'!$A$28:$A$39,0),1))</f>
        <v>53172369.142857134</v>
      </c>
      <c r="J873" s="27">
        <f>J293*IF($E873="weekday",INDEX('Category Mapping'!$F$28:$F$39,MATCH('Summarized Source Data'!$A873,'Category Mapping'!$A$28:$A$39,0),1),INDEX('Category Mapping'!$E$28:$E$39,MATCH($A873,'Category Mapping'!$A$28:$A$39,0),1))</f>
        <v>264741470.28571424</v>
      </c>
      <c r="K873" s="27">
        <f>K293*IF($E873="weekday",INDEX('Category Mapping'!$F$28:$F$39,MATCH('Summarized Source Data'!$A873,'Category Mapping'!$A$28:$A$39,0),1),INDEX('Category Mapping'!$E$28:$E$39,MATCH($A873,'Category Mapping'!$A$28:$A$39,0),1))</f>
        <v>264741470.28571424</v>
      </c>
      <c r="L873" s="27">
        <f>L293*IF($E873="weekday",INDEX('Category Mapping'!$F$28:$F$39,MATCH('Summarized Source Data'!$A873,'Category Mapping'!$A$28:$A$39,0),1),INDEX('Category Mapping'!$E$28:$E$39,MATCH($A873,'Category Mapping'!$A$28:$A$39,0),1))</f>
        <v>111599999.99999999</v>
      </c>
      <c r="M873" s="27">
        <f>M293*IF($E873="weekday",INDEX('Category Mapping'!$F$28:$F$39,MATCH('Summarized Source Data'!$A873,'Category Mapping'!$A$28:$A$39,0),1),INDEX('Category Mapping'!$E$28:$E$39,MATCH($A873,'Category Mapping'!$A$28:$A$39,0),1))</f>
        <v>166709.14285714284</v>
      </c>
      <c r="N873" s="27">
        <f>N293*IF($E873="weekday",INDEX('Category Mapping'!$F$28:$F$39,MATCH('Summarized Source Data'!$A873,'Category Mapping'!$A$28:$A$39,0),1),INDEX('Category Mapping'!$E$28:$E$39,MATCH($A873,'Category Mapping'!$A$28:$A$39,0),1))</f>
        <v>0</v>
      </c>
      <c r="O873" s="27">
        <f>O293*IF($E873="weekday",INDEX('Category Mapping'!$F$28:$F$39,MATCH('Summarized Source Data'!$A873,'Category Mapping'!$A$28:$A$39,0),1),INDEX('Category Mapping'!$E$28:$E$39,MATCH($A873,'Category Mapping'!$A$28:$A$39,0),1))</f>
        <v>610090433.71428561</v>
      </c>
      <c r="P873" s="27">
        <f>P293*IF($E873="weekday",INDEX('Category Mapping'!$F$28:$F$39,MATCH('Summarized Source Data'!$A873,'Category Mapping'!$A$28:$A$39,0),1),INDEX('Category Mapping'!$E$28:$E$39,MATCH($A873,'Category Mapping'!$A$28:$A$39,0),1))</f>
        <v>610090433.71428561</v>
      </c>
      <c r="Q873" s="27">
        <f>Q293*IF($E873="weekday",INDEX('Category Mapping'!$F$28:$F$39,MATCH('Summarized Source Data'!$A873,'Category Mapping'!$A$28:$A$39,0),1),INDEX('Category Mapping'!$E$28:$E$39,MATCH($A873,'Category Mapping'!$A$28:$A$39,0),1))</f>
        <v>610090433.71428561</v>
      </c>
      <c r="R873" s="27">
        <f>R293*IF($E873="weekday",INDEX('Category Mapping'!$F$28:$F$39,MATCH('Summarized Source Data'!$A873,'Category Mapping'!$A$28:$A$39,0),1),INDEX('Category Mapping'!$E$28:$E$39,MATCH($A873,'Category Mapping'!$A$28:$A$39,0),1))</f>
        <v>23448205.142857138</v>
      </c>
      <c r="S873" s="27">
        <f>S293*IF($E873="weekday",INDEX('Category Mapping'!$F$28:$F$39,MATCH('Summarized Source Data'!$A873,'Category Mapping'!$A$28:$A$39,0),1),INDEX('Category Mapping'!$E$28:$E$39,MATCH($A873,'Category Mapping'!$A$28:$A$39,0),1))</f>
        <v>23448205.142857138</v>
      </c>
      <c r="T873" s="27">
        <f>T293*IF($E873="weekday",INDEX('Category Mapping'!$F$28:$F$39,MATCH('Summarized Source Data'!$A873,'Category Mapping'!$A$28:$A$39,0),1),INDEX('Category Mapping'!$E$28:$E$39,MATCH($A873,'Category Mapping'!$A$28:$A$39,0),1))</f>
        <v>23448205.142857138</v>
      </c>
      <c r="U873" s="27">
        <f>U293*IF($E873="weekday",INDEX('Category Mapping'!$F$28:$F$39,MATCH('Summarized Source Data'!$A873,'Category Mapping'!$A$28:$A$39,0),1),INDEX('Category Mapping'!$E$28:$E$39,MATCH($A873,'Category Mapping'!$A$28:$A$39,0),1))</f>
        <v>23448205.142857138</v>
      </c>
      <c r="V873" s="27">
        <f>V293*IF($E873="weekday",INDEX('Category Mapping'!$F$28:$F$39,MATCH('Summarized Source Data'!$A873,'Category Mapping'!$A$28:$A$39,0),1),INDEX('Category Mapping'!$E$28:$E$39,MATCH($A873,'Category Mapping'!$A$28:$A$39,0),1))</f>
        <v>23448205.142857138</v>
      </c>
      <c r="W873" s="27">
        <f>W293*IF($E873="weekday",INDEX('Category Mapping'!$F$28:$F$39,MATCH('Summarized Source Data'!$A873,'Category Mapping'!$A$28:$A$39,0),1),INDEX('Category Mapping'!$E$28:$E$39,MATCH($A873,'Category Mapping'!$A$28:$A$39,0),1))</f>
        <v>23448205.142857138</v>
      </c>
      <c r="X873" s="27">
        <f>X293*IF($E873="weekday",INDEX('Category Mapping'!$F$28:$F$39,MATCH('Summarized Source Data'!$A873,'Category Mapping'!$A$28:$A$39,0),1),INDEX('Category Mapping'!$E$28:$E$39,MATCH($A873,'Category Mapping'!$A$28:$A$39,0),1))</f>
        <v>3029142857.1428566</v>
      </c>
      <c r="Y873" s="27">
        <f>Y293*IF($E873="weekday",INDEX('Category Mapping'!$F$28:$F$39,MATCH('Summarized Source Data'!$A873,'Category Mapping'!$A$28:$A$39,0),1),INDEX('Category Mapping'!$E$28:$E$39,MATCH($A873,'Category Mapping'!$A$28:$A$39,0),1))</f>
        <v>3029142857.1428566</v>
      </c>
      <c r="Z873" s="27">
        <f>Z293*IF($E873="weekday",INDEX('Category Mapping'!$F$28:$F$39,MATCH('Summarized Source Data'!$A873,'Category Mapping'!$A$28:$A$39,0),1),INDEX('Category Mapping'!$E$28:$E$39,MATCH($A873,'Category Mapping'!$A$28:$A$39,0),1))</f>
        <v>3029142857.1428566</v>
      </c>
    </row>
    <row r="874" spans="1:26" x14ac:dyDescent="0.3">
      <c r="A874">
        <f t="shared" ref="A874:E874" si="339">A294</f>
        <v>1</v>
      </c>
      <c r="B874" t="str">
        <f t="shared" si="339"/>
        <v>Winter</v>
      </c>
      <c r="C874" t="str">
        <f t="shared" si="339"/>
        <v>h3</v>
      </c>
      <c r="D874" t="str">
        <f t="shared" si="339"/>
        <v>Hour2</v>
      </c>
      <c r="E874" t="str">
        <f t="shared" si="339"/>
        <v>Weekend</v>
      </c>
      <c r="F874" s="27">
        <f>F294*IF($E874="weekday",INDEX('Category Mapping'!$F$28:$F$39,MATCH('Summarized Source Data'!$A874,'Category Mapping'!$A$28:$A$39,0),1),INDEX('Category Mapping'!$E$28:$E$39,MATCH($A874,'Category Mapping'!$A$28:$A$39,0),1))</f>
        <v>103628571.42857142</v>
      </c>
      <c r="G874" s="27">
        <f>G294*IF($E874="weekday",INDEX('Category Mapping'!$F$28:$F$39,MATCH('Summarized Source Data'!$A874,'Category Mapping'!$A$28:$A$39,0),1),INDEX('Category Mapping'!$E$28:$E$39,MATCH($A874,'Category Mapping'!$A$28:$A$39,0),1))</f>
        <v>58350.857142857138</v>
      </c>
      <c r="H874" s="27">
        <f>H294*IF($E874="weekday",INDEX('Category Mapping'!$F$28:$F$39,MATCH('Summarized Source Data'!$A874,'Category Mapping'!$A$28:$A$39,0),1),INDEX('Category Mapping'!$E$28:$E$39,MATCH($A874,'Category Mapping'!$A$28:$A$39,0),1))</f>
        <v>0</v>
      </c>
      <c r="I874" s="27">
        <f>I294*IF($E874="weekday",INDEX('Category Mapping'!$F$28:$F$39,MATCH('Summarized Source Data'!$A874,'Category Mapping'!$A$28:$A$39,0),1),INDEX('Category Mapping'!$E$28:$E$39,MATCH($A874,'Category Mapping'!$A$28:$A$39,0),1))</f>
        <v>51354954.285714276</v>
      </c>
      <c r="J874" s="27">
        <f>J294*IF($E874="weekday",INDEX('Category Mapping'!$F$28:$F$39,MATCH('Summarized Source Data'!$A874,'Category Mapping'!$A$28:$A$39,0),1),INDEX('Category Mapping'!$E$28:$E$39,MATCH($A874,'Category Mapping'!$A$28:$A$39,0),1))</f>
        <v>208100980.57142854</v>
      </c>
      <c r="K874" s="27">
        <f>K294*IF($E874="weekday",INDEX('Category Mapping'!$F$28:$F$39,MATCH('Summarized Source Data'!$A874,'Category Mapping'!$A$28:$A$39,0),1),INDEX('Category Mapping'!$E$28:$E$39,MATCH($A874,'Category Mapping'!$A$28:$A$39,0),1))</f>
        <v>208100980.57142854</v>
      </c>
      <c r="L874" s="27">
        <f>L294*IF($E874="weekday",INDEX('Category Mapping'!$F$28:$F$39,MATCH('Summarized Source Data'!$A874,'Category Mapping'!$A$28:$A$39,0),1),INDEX('Category Mapping'!$E$28:$E$39,MATCH($A874,'Category Mapping'!$A$28:$A$39,0),1))</f>
        <v>100971428.57142855</v>
      </c>
      <c r="M874" s="27">
        <f>M294*IF($E874="weekday",INDEX('Category Mapping'!$F$28:$F$39,MATCH('Summarized Source Data'!$A874,'Category Mapping'!$A$28:$A$39,0),1),INDEX('Category Mapping'!$E$28:$E$39,MATCH($A874,'Category Mapping'!$A$28:$A$39,0),1))</f>
        <v>165194.57142857139</v>
      </c>
      <c r="N874" s="27">
        <f>N294*IF($E874="weekday",INDEX('Category Mapping'!$F$28:$F$39,MATCH('Summarized Source Data'!$A874,'Category Mapping'!$A$28:$A$39,0),1),INDEX('Category Mapping'!$E$28:$E$39,MATCH($A874,'Category Mapping'!$A$28:$A$39,0),1))</f>
        <v>0</v>
      </c>
      <c r="O874" s="27">
        <f>O294*IF($E874="weekday",INDEX('Category Mapping'!$F$28:$F$39,MATCH('Summarized Source Data'!$A874,'Category Mapping'!$A$28:$A$39,0),1),INDEX('Category Mapping'!$E$28:$E$39,MATCH($A874,'Category Mapping'!$A$28:$A$39,0),1))</f>
        <v>601234805.42857134</v>
      </c>
      <c r="P874" s="27">
        <f>P294*IF($E874="weekday",INDEX('Category Mapping'!$F$28:$F$39,MATCH('Summarized Source Data'!$A874,'Category Mapping'!$A$28:$A$39,0),1),INDEX('Category Mapping'!$E$28:$E$39,MATCH($A874,'Category Mapping'!$A$28:$A$39,0),1))</f>
        <v>601234805.42857134</v>
      </c>
      <c r="Q874" s="27">
        <f>Q294*IF($E874="weekday",INDEX('Category Mapping'!$F$28:$F$39,MATCH('Summarized Source Data'!$A874,'Category Mapping'!$A$28:$A$39,0),1),INDEX('Category Mapping'!$E$28:$E$39,MATCH($A874,'Category Mapping'!$A$28:$A$39,0),1))</f>
        <v>601234805.42857134</v>
      </c>
      <c r="R874" s="27">
        <f>R294*IF($E874="weekday",INDEX('Category Mapping'!$F$28:$F$39,MATCH('Summarized Source Data'!$A874,'Category Mapping'!$A$28:$A$39,0),1),INDEX('Category Mapping'!$E$28:$E$39,MATCH($A874,'Category Mapping'!$A$28:$A$39,0),1))</f>
        <v>23137035.999999996</v>
      </c>
      <c r="S874" s="27">
        <f>S294*IF($E874="weekday",INDEX('Category Mapping'!$F$28:$F$39,MATCH('Summarized Source Data'!$A874,'Category Mapping'!$A$28:$A$39,0),1),INDEX('Category Mapping'!$E$28:$E$39,MATCH($A874,'Category Mapping'!$A$28:$A$39,0),1))</f>
        <v>23137035.999999996</v>
      </c>
      <c r="T874" s="27">
        <f>T294*IF($E874="weekday",INDEX('Category Mapping'!$F$28:$F$39,MATCH('Summarized Source Data'!$A874,'Category Mapping'!$A$28:$A$39,0),1),INDEX('Category Mapping'!$E$28:$E$39,MATCH($A874,'Category Mapping'!$A$28:$A$39,0),1))</f>
        <v>23137035.999999996</v>
      </c>
      <c r="U874" s="27">
        <f>U294*IF($E874="weekday",INDEX('Category Mapping'!$F$28:$F$39,MATCH('Summarized Source Data'!$A874,'Category Mapping'!$A$28:$A$39,0),1),INDEX('Category Mapping'!$E$28:$E$39,MATCH($A874,'Category Mapping'!$A$28:$A$39,0),1))</f>
        <v>23137035.999999996</v>
      </c>
      <c r="V874" s="27">
        <f>V294*IF($E874="weekday",INDEX('Category Mapping'!$F$28:$F$39,MATCH('Summarized Source Data'!$A874,'Category Mapping'!$A$28:$A$39,0),1),INDEX('Category Mapping'!$E$28:$E$39,MATCH($A874,'Category Mapping'!$A$28:$A$39,0),1))</f>
        <v>23137035.999999996</v>
      </c>
      <c r="W874" s="27">
        <f>W294*IF($E874="weekday",INDEX('Category Mapping'!$F$28:$F$39,MATCH('Summarized Source Data'!$A874,'Category Mapping'!$A$28:$A$39,0),1),INDEX('Category Mapping'!$E$28:$E$39,MATCH($A874,'Category Mapping'!$A$28:$A$39,0),1))</f>
        <v>23137035.999999996</v>
      </c>
      <c r="X874" s="27">
        <f>X294*IF($E874="weekday",INDEX('Category Mapping'!$F$28:$F$39,MATCH('Summarized Source Data'!$A874,'Category Mapping'!$A$28:$A$39,0),1),INDEX('Category Mapping'!$E$28:$E$39,MATCH($A874,'Category Mapping'!$A$28:$A$39,0),1))</f>
        <v>3029142857.1428566</v>
      </c>
      <c r="Y874" s="27">
        <f>Y294*IF($E874="weekday",INDEX('Category Mapping'!$F$28:$F$39,MATCH('Summarized Source Data'!$A874,'Category Mapping'!$A$28:$A$39,0),1),INDEX('Category Mapping'!$E$28:$E$39,MATCH($A874,'Category Mapping'!$A$28:$A$39,0),1))</f>
        <v>3029142857.1428566</v>
      </c>
      <c r="Z874" s="27">
        <f>Z294*IF($E874="weekday",INDEX('Category Mapping'!$F$28:$F$39,MATCH('Summarized Source Data'!$A874,'Category Mapping'!$A$28:$A$39,0),1),INDEX('Category Mapping'!$E$28:$E$39,MATCH($A874,'Category Mapping'!$A$28:$A$39,0),1))</f>
        <v>3029142857.1428566</v>
      </c>
    </row>
    <row r="875" spans="1:26" x14ac:dyDescent="0.3">
      <c r="A875">
        <f t="shared" ref="A875:E875" si="340">A295</f>
        <v>1</v>
      </c>
      <c r="B875" t="str">
        <f t="shared" si="340"/>
        <v>Winter</v>
      </c>
      <c r="C875" t="str">
        <f t="shared" si="340"/>
        <v>h4</v>
      </c>
      <c r="D875" t="str">
        <f t="shared" si="340"/>
        <v>Hour3</v>
      </c>
      <c r="E875" t="str">
        <f t="shared" si="340"/>
        <v>Weekend</v>
      </c>
      <c r="F875" s="27">
        <f>F295*IF($E875="weekday",INDEX('Category Mapping'!$F$28:$F$39,MATCH('Summarized Source Data'!$A875,'Category Mapping'!$A$28:$A$39,0),1),INDEX('Category Mapping'!$E$28:$E$39,MATCH($A875,'Category Mapping'!$A$28:$A$39,0),1))</f>
        <v>103628571.42857142</v>
      </c>
      <c r="G875" s="27">
        <f>G295*IF($E875="weekday",INDEX('Category Mapping'!$F$28:$F$39,MATCH('Summarized Source Data'!$A875,'Category Mapping'!$A$28:$A$39,0),1),INDEX('Category Mapping'!$E$28:$E$39,MATCH($A875,'Category Mapping'!$A$28:$A$39,0),1))</f>
        <v>58465.999999999993</v>
      </c>
      <c r="H875" s="27">
        <f>H295*IF($E875="weekday",INDEX('Category Mapping'!$F$28:$F$39,MATCH('Summarized Source Data'!$A875,'Category Mapping'!$A$28:$A$39,0),1),INDEX('Category Mapping'!$E$28:$E$39,MATCH($A875,'Category Mapping'!$A$28:$A$39,0),1))</f>
        <v>0</v>
      </c>
      <c r="I875" s="27">
        <f>I295*IF($E875="weekday",INDEX('Category Mapping'!$F$28:$F$39,MATCH('Summarized Source Data'!$A875,'Category Mapping'!$A$28:$A$39,0),1),INDEX('Category Mapping'!$E$28:$E$39,MATCH($A875,'Category Mapping'!$A$28:$A$39,0),1))</f>
        <v>51311607.428571418</v>
      </c>
      <c r="J875" s="27">
        <f>J295*IF($E875="weekday",INDEX('Category Mapping'!$F$28:$F$39,MATCH('Summarized Source Data'!$A875,'Category Mapping'!$A$28:$A$39,0),1),INDEX('Category Mapping'!$E$28:$E$39,MATCH($A875,'Category Mapping'!$A$28:$A$39,0),1))</f>
        <v>171829926.57142854</v>
      </c>
      <c r="K875" s="27">
        <f>K295*IF($E875="weekday",INDEX('Category Mapping'!$F$28:$F$39,MATCH('Summarized Source Data'!$A875,'Category Mapping'!$A$28:$A$39,0),1),INDEX('Category Mapping'!$E$28:$E$39,MATCH($A875,'Category Mapping'!$A$28:$A$39,0),1))</f>
        <v>171829926.57142854</v>
      </c>
      <c r="L875" s="27">
        <f>L295*IF($E875="weekday",INDEX('Category Mapping'!$F$28:$F$39,MATCH('Summarized Source Data'!$A875,'Category Mapping'!$A$28:$A$39,0),1),INDEX('Category Mapping'!$E$28:$E$39,MATCH($A875,'Category Mapping'!$A$28:$A$39,0),1))</f>
        <v>107171428.57142855</v>
      </c>
      <c r="M875" s="27">
        <f>M295*IF($E875="weekday",INDEX('Category Mapping'!$F$28:$F$39,MATCH('Summarized Source Data'!$A875,'Category Mapping'!$A$28:$A$39,0),1),INDEX('Category Mapping'!$E$28:$E$39,MATCH($A875,'Category Mapping'!$A$28:$A$39,0),1))</f>
        <v>164344.28571428568</v>
      </c>
      <c r="N875" s="27">
        <f>N295*IF($E875="weekday",INDEX('Category Mapping'!$F$28:$F$39,MATCH('Summarized Source Data'!$A875,'Category Mapping'!$A$28:$A$39,0),1),INDEX('Category Mapping'!$E$28:$E$39,MATCH($A875,'Category Mapping'!$A$28:$A$39,0),1))</f>
        <v>0</v>
      </c>
      <c r="O875" s="27">
        <f>O295*IF($E875="weekday",INDEX('Category Mapping'!$F$28:$F$39,MATCH('Summarized Source Data'!$A875,'Category Mapping'!$A$28:$A$39,0),1),INDEX('Category Mapping'!$E$28:$E$39,MATCH($A875,'Category Mapping'!$A$28:$A$39,0),1))</f>
        <v>607435655.71428561</v>
      </c>
      <c r="P875" s="27">
        <f>P295*IF($E875="weekday",INDEX('Category Mapping'!$F$28:$F$39,MATCH('Summarized Source Data'!$A875,'Category Mapping'!$A$28:$A$39,0),1),INDEX('Category Mapping'!$E$28:$E$39,MATCH($A875,'Category Mapping'!$A$28:$A$39,0),1))</f>
        <v>607435655.71428561</v>
      </c>
      <c r="Q875" s="27">
        <f>Q295*IF($E875="weekday",INDEX('Category Mapping'!$F$28:$F$39,MATCH('Summarized Source Data'!$A875,'Category Mapping'!$A$28:$A$39,0),1),INDEX('Category Mapping'!$E$28:$E$39,MATCH($A875,'Category Mapping'!$A$28:$A$39,0),1))</f>
        <v>607435655.71428561</v>
      </c>
      <c r="R875" s="27">
        <f>R295*IF($E875="weekday",INDEX('Category Mapping'!$F$28:$F$39,MATCH('Summarized Source Data'!$A875,'Category Mapping'!$A$28:$A$39,0),1),INDEX('Category Mapping'!$E$28:$E$39,MATCH($A875,'Category Mapping'!$A$28:$A$39,0),1))</f>
        <v>23137035.999999996</v>
      </c>
      <c r="S875" s="27">
        <f>S295*IF($E875="weekday",INDEX('Category Mapping'!$F$28:$F$39,MATCH('Summarized Source Data'!$A875,'Category Mapping'!$A$28:$A$39,0),1),INDEX('Category Mapping'!$E$28:$E$39,MATCH($A875,'Category Mapping'!$A$28:$A$39,0),1))</f>
        <v>23137035.999999996</v>
      </c>
      <c r="T875" s="27">
        <f>T295*IF($E875="weekday",INDEX('Category Mapping'!$F$28:$F$39,MATCH('Summarized Source Data'!$A875,'Category Mapping'!$A$28:$A$39,0),1),INDEX('Category Mapping'!$E$28:$E$39,MATCH($A875,'Category Mapping'!$A$28:$A$39,0),1))</f>
        <v>23137035.999999996</v>
      </c>
      <c r="U875" s="27">
        <f>U295*IF($E875="weekday",INDEX('Category Mapping'!$F$28:$F$39,MATCH('Summarized Source Data'!$A875,'Category Mapping'!$A$28:$A$39,0),1),INDEX('Category Mapping'!$E$28:$E$39,MATCH($A875,'Category Mapping'!$A$28:$A$39,0),1))</f>
        <v>23137035.999999996</v>
      </c>
      <c r="V875" s="27">
        <f>V295*IF($E875="weekday",INDEX('Category Mapping'!$F$28:$F$39,MATCH('Summarized Source Data'!$A875,'Category Mapping'!$A$28:$A$39,0),1),INDEX('Category Mapping'!$E$28:$E$39,MATCH($A875,'Category Mapping'!$A$28:$A$39,0),1))</f>
        <v>23137035.999999996</v>
      </c>
      <c r="W875" s="27">
        <f>W295*IF($E875="weekday",INDEX('Category Mapping'!$F$28:$F$39,MATCH('Summarized Source Data'!$A875,'Category Mapping'!$A$28:$A$39,0),1),INDEX('Category Mapping'!$E$28:$E$39,MATCH($A875,'Category Mapping'!$A$28:$A$39,0),1))</f>
        <v>23137035.999999996</v>
      </c>
      <c r="X875" s="27">
        <f>X295*IF($E875="weekday",INDEX('Category Mapping'!$F$28:$F$39,MATCH('Summarized Source Data'!$A875,'Category Mapping'!$A$28:$A$39,0),1),INDEX('Category Mapping'!$E$28:$E$39,MATCH($A875,'Category Mapping'!$A$28:$A$39,0),1))</f>
        <v>3037999999.9999995</v>
      </c>
      <c r="Y875" s="27">
        <f>Y295*IF($E875="weekday",INDEX('Category Mapping'!$F$28:$F$39,MATCH('Summarized Source Data'!$A875,'Category Mapping'!$A$28:$A$39,0),1),INDEX('Category Mapping'!$E$28:$E$39,MATCH($A875,'Category Mapping'!$A$28:$A$39,0),1))</f>
        <v>3037999999.9999995</v>
      </c>
      <c r="Z875" s="27">
        <f>Z295*IF($E875="weekday",INDEX('Category Mapping'!$F$28:$F$39,MATCH('Summarized Source Data'!$A875,'Category Mapping'!$A$28:$A$39,0),1),INDEX('Category Mapping'!$E$28:$E$39,MATCH($A875,'Category Mapping'!$A$28:$A$39,0),1))</f>
        <v>3037999999.9999995</v>
      </c>
    </row>
    <row r="876" spans="1:26" x14ac:dyDescent="0.3">
      <c r="A876">
        <f t="shared" ref="A876:E876" si="341">A296</f>
        <v>1</v>
      </c>
      <c r="B876" t="str">
        <f t="shared" si="341"/>
        <v>Winter</v>
      </c>
      <c r="C876" t="str">
        <f t="shared" si="341"/>
        <v>h5</v>
      </c>
      <c r="D876" t="str">
        <f t="shared" si="341"/>
        <v>Hour4</v>
      </c>
      <c r="E876" t="str">
        <f t="shared" si="341"/>
        <v>Weekend</v>
      </c>
      <c r="F876" s="27">
        <f>F296*IF($E876="weekday",INDEX('Category Mapping'!$F$28:$F$39,MATCH('Summarized Source Data'!$A876,'Category Mapping'!$A$28:$A$39,0),1),INDEX('Category Mapping'!$E$28:$E$39,MATCH($A876,'Category Mapping'!$A$28:$A$39,0),1))</f>
        <v>101857142.85714284</v>
      </c>
      <c r="G876" s="27">
        <f>G296*IF($E876="weekday",INDEX('Category Mapping'!$F$28:$F$39,MATCH('Summarized Source Data'!$A876,'Category Mapping'!$A$28:$A$39,0),1),INDEX('Category Mapping'!$E$28:$E$39,MATCH($A876,'Category Mapping'!$A$28:$A$39,0),1))</f>
        <v>58271.142857142848</v>
      </c>
      <c r="H876" s="27">
        <f>H296*IF($E876="weekday",INDEX('Category Mapping'!$F$28:$F$39,MATCH('Summarized Source Data'!$A876,'Category Mapping'!$A$28:$A$39,0),1),INDEX('Category Mapping'!$E$28:$E$39,MATCH($A876,'Category Mapping'!$A$28:$A$39,0),1))</f>
        <v>0</v>
      </c>
      <c r="I876" s="27">
        <f>I296*IF($E876="weekday",INDEX('Category Mapping'!$F$28:$F$39,MATCH('Summarized Source Data'!$A876,'Category Mapping'!$A$28:$A$39,0),1),INDEX('Category Mapping'!$E$28:$E$39,MATCH($A876,'Category Mapping'!$A$28:$A$39,0),1))</f>
        <v>54010387.714285709</v>
      </c>
      <c r="J876" s="27">
        <f>J296*IF($E876="weekday",INDEX('Category Mapping'!$F$28:$F$39,MATCH('Summarized Source Data'!$A876,'Category Mapping'!$A$28:$A$39,0),1),INDEX('Category Mapping'!$E$28:$E$39,MATCH($A876,'Category Mapping'!$A$28:$A$39,0),1))</f>
        <v>176217055.4285714</v>
      </c>
      <c r="K876" s="27">
        <f>K296*IF($E876="weekday",INDEX('Category Mapping'!$F$28:$F$39,MATCH('Summarized Source Data'!$A876,'Category Mapping'!$A$28:$A$39,0),1),INDEX('Category Mapping'!$E$28:$E$39,MATCH($A876,'Category Mapping'!$A$28:$A$39,0),1))</f>
        <v>176217055.4285714</v>
      </c>
      <c r="L876" s="27">
        <f>L296*IF($E876="weekday",INDEX('Category Mapping'!$F$28:$F$39,MATCH('Summarized Source Data'!$A876,'Category Mapping'!$A$28:$A$39,0),1),INDEX('Category Mapping'!$E$28:$E$39,MATCH($A876,'Category Mapping'!$A$28:$A$39,0),1))</f>
        <v>110714285.7142857</v>
      </c>
      <c r="M876" s="27">
        <f>M296*IF($E876="weekday",INDEX('Category Mapping'!$F$28:$F$39,MATCH('Summarized Source Data'!$A876,'Category Mapping'!$A$28:$A$39,0),1),INDEX('Category Mapping'!$E$28:$E$39,MATCH($A876,'Category Mapping'!$A$28:$A$39,0),1))</f>
        <v>164158.28571428568</v>
      </c>
      <c r="N876" s="27">
        <f>N296*IF($E876="weekday",INDEX('Category Mapping'!$F$28:$F$39,MATCH('Summarized Source Data'!$A876,'Category Mapping'!$A$28:$A$39,0),1),INDEX('Category Mapping'!$E$28:$E$39,MATCH($A876,'Category Mapping'!$A$28:$A$39,0),1))</f>
        <v>0</v>
      </c>
      <c r="O876" s="27">
        <f>O296*IF($E876="weekday",INDEX('Category Mapping'!$F$28:$F$39,MATCH('Summarized Source Data'!$A876,'Category Mapping'!$A$28:$A$39,0),1),INDEX('Category Mapping'!$E$28:$E$39,MATCH($A876,'Category Mapping'!$A$28:$A$39,0),1))</f>
        <v>617178698.85714281</v>
      </c>
      <c r="P876" s="27">
        <f>P296*IF($E876="weekday",INDEX('Category Mapping'!$F$28:$F$39,MATCH('Summarized Source Data'!$A876,'Category Mapping'!$A$28:$A$39,0),1),INDEX('Category Mapping'!$E$28:$E$39,MATCH($A876,'Category Mapping'!$A$28:$A$39,0),1))</f>
        <v>617178698.85714281</v>
      </c>
      <c r="Q876" s="27">
        <f>Q296*IF($E876="weekday",INDEX('Category Mapping'!$F$28:$F$39,MATCH('Summarized Source Data'!$A876,'Category Mapping'!$A$28:$A$39,0),1),INDEX('Category Mapping'!$E$28:$E$39,MATCH($A876,'Category Mapping'!$A$28:$A$39,0),1))</f>
        <v>617178698.85714281</v>
      </c>
      <c r="R876" s="27">
        <f>R296*IF($E876="weekday",INDEX('Category Mapping'!$F$28:$F$39,MATCH('Summarized Source Data'!$A876,'Category Mapping'!$A$28:$A$39,0),1),INDEX('Category Mapping'!$E$28:$E$39,MATCH($A876,'Category Mapping'!$A$28:$A$39,0),1))</f>
        <v>23033309.999999996</v>
      </c>
      <c r="S876" s="27">
        <f>S296*IF($E876="weekday",INDEX('Category Mapping'!$F$28:$F$39,MATCH('Summarized Source Data'!$A876,'Category Mapping'!$A$28:$A$39,0),1),INDEX('Category Mapping'!$E$28:$E$39,MATCH($A876,'Category Mapping'!$A$28:$A$39,0),1))</f>
        <v>23033309.999999996</v>
      </c>
      <c r="T876" s="27">
        <f>T296*IF($E876="weekday",INDEX('Category Mapping'!$F$28:$F$39,MATCH('Summarized Source Data'!$A876,'Category Mapping'!$A$28:$A$39,0),1),INDEX('Category Mapping'!$E$28:$E$39,MATCH($A876,'Category Mapping'!$A$28:$A$39,0),1))</f>
        <v>23033309.999999996</v>
      </c>
      <c r="U876" s="27">
        <f>U296*IF($E876="weekday",INDEX('Category Mapping'!$F$28:$F$39,MATCH('Summarized Source Data'!$A876,'Category Mapping'!$A$28:$A$39,0),1),INDEX('Category Mapping'!$E$28:$E$39,MATCH($A876,'Category Mapping'!$A$28:$A$39,0),1))</f>
        <v>23033309.999999996</v>
      </c>
      <c r="V876" s="27">
        <f>V296*IF($E876="weekday",INDEX('Category Mapping'!$F$28:$F$39,MATCH('Summarized Source Data'!$A876,'Category Mapping'!$A$28:$A$39,0),1),INDEX('Category Mapping'!$E$28:$E$39,MATCH($A876,'Category Mapping'!$A$28:$A$39,0),1))</f>
        <v>23033309.999999996</v>
      </c>
      <c r="W876" s="27">
        <f>W296*IF($E876="weekday",INDEX('Category Mapping'!$F$28:$F$39,MATCH('Summarized Source Data'!$A876,'Category Mapping'!$A$28:$A$39,0),1),INDEX('Category Mapping'!$E$28:$E$39,MATCH($A876,'Category Mapping'!$A$28:$A$39,0),1))</f>
        <v>23033309.999999996</v>
      </c>
      <c r="X876" s="27">
        <f>X296*IF($E876="weekday",INDEX('Category Mapping'!$F$28:$F$39,MATCH('Summarized Source Data'!$A876,'Category Mapping'!$A$28:$A$39,0),1),INDEX('Category Mapping'!$E$28:$E$39,MATCH($A876,'Category Mapping'!$A$28:$A$39,0),1))</f>
        <v>3064571428.5714283</v>
      </c>
      <c r="Y876" s="27">
        <f>Y296*IF($E876="weekday",INDEX('Category Mapping'!$F$28:$F$39,MATCH('Summarized Source Data'!$A876,'Category Mapping'!$A$28:$A$39,0),1),INDEX('Category Mapping'!$E$28:$E$39,MATCH($A876,'Category Mapping'!$A$28:$A$39,0),1))</f>
        <v>3064571428.5714283</v>
      </c>
      <c r="Z876" s="27">
        <f>Z296*IF($E876="weekday",INDEX('Category Mapping'!$F$28:$F$39,MATCH('Summarized Source Data'!$A876,'Category Mapping'!$A$28:$A$39,0),1),INDEX('Category Mapping'!$E$28:$E$39,MATCH($A876,'Category Mapping'!$A$28:$A$39,0),1))</f>
        <v>3064571428.5714283</v>
      </c>
    </row>
    <row r="877" spans="1:26" x14ac:dyDescent="0.3">
      <c r="A877">
        <f t="shared" ref="A877:E877" si="342">A297</f>
        <v>1</v>
      </c>
      <c r="B877" t="str">
        <f t="shared" si="342"/>
        <v>Winter</v>
      </c>
      <c r="C877" t="str">
        <f t="shared" si="342"/>
        <v>h6</v>
      </c>
      <c r="D877" t="str">
        <f t="shared" si="342"/>
        <v>Hour5</v>
      </c>
      <c r="E877" t="str">
        <f t="shared" si="342"/>
        <v>Weekend</v>
      </c>
      <c r="F877" s="27">
        <f>F297*IF($E877="weekday",INDEX('Category Mapping'!$F$28:$F$39,MATCH('Summarized Source Data'!$A877,'Category Mapping'!$A$28:$A$39,0),1),INDEX('Category Mapping'!$E$28:$E$39,MATCH($A877,'Category Mapping'!$A$28:$A$39,0),1))</f>
        <v>105399999.99999999</v>
      </c>
      <c r="G877" s="27">
        <f>G297*IF($E877="weekday",INDEX('Category Mapping'!$F$28:$F$39,MATCH('Summarized Source Data'!$A877,'Category Mapping'!$A$28:$A$39,0),1),INDEX('Category Mapping'!$E$28:$E$39,MATCH($A877,'Category Mapping'!$A$28:$A$39,0),1))</f>
        <v>57234.857142857138</v>
      </c>
      <c r="H877" s="27">
        <f>H297*IF($E877="weekday",INDEX('Category Mapping'!$F$28:$F$39,MATCH('Summarized Source Data'!$A877,'Category Mapping'!$A$28:$A$39,0),1),INDEX('Category Mapping'!$E$28:$E$39,MATCH($A877,'Category Mapping'!$A$28:$A$39,0),1))</f>
        <v>0</v>
      </c>
      <c r="I877" s="27">
        <f>I297*IF($E877="weekday",INDEX('Category Mapping'!$F$28:$F$39,MATCH('Summarized Source Data'!$A877,'Category Mapping'!$A$28:$A$39,0),1),INDEX('Category Mapping'!$E$28:$E$39,MATCH($A877,'Category Mapping'!$A$28:$A$39,0),1))</f>
        <v>69995537.714285702</v>
      </c>
      <c r="J877" s="27">
        <f>J297*IF($E877="weekday",INDEX('Category Mapping'!$F$28:$F$39,MATCH('Summarized Source Data'!$A877,'Category Mapping'!$A$28:$A$39,0),1),INDEX('Category Mapping'!$E$28:$E$39,MATCH($A877,'Category Mapping'!$A$28:$A$39,0),1))</f>
        <v>203632941.71428567</v>
      </c>
      <c r="K877" s="27">
        <f>K297*IF($E877="weekday",INDEX('Category Mapping'!$F$28:$F$39,MATCH('Summarized Source Data'!$A877,'Category Mapping'!$A$28:$A$39,0),1),INDEX('Category Mapping'!$E$28:$E$39,MATCH($A877,'Category Mapping'!$A$28:$A$39,0),1))</f>
        <v>203632941.71428567</v>
      </c>
      <c r="L877" s="27">
        <f>L297*IF($E877="weekday",INDEX('Category Mapping'!$F$28:$F$39,MATCH('Summarized Source Data'!$A877,'Category Mapping'!$A$28:$A$39,0),1),INDEX('Category Mapping'!$E$28:$E$39,MATCH($A877,'Category Mapping'!$A$28:$A$39,0),1))</f>
        <v>116914285.7142857</v>
      </c>
      <c r="M877" s="27">
        <f>M297*IF($E877="weekday",INDEX('Category Mapping'!$F$28:$F$39,MATCH('Summarized Source Data'!$A877,'Category Mapping'!$A$28:$A$39,0),1),INDEX('Category Mapping'!$E$28:$E$39,MATCH($A877,'Category Mapping'!$A$28:$A$39,0),1))</f>
        <v>165956.28571428568</v>
      </c>
      <c r="N877" s="27">
        <f>N297*IF($E877="weekday",INDEX('Category Mapping'!$F$28:$F$39,MATCH('Summarized Source Data'!$A877,'Category Mapping'!$A$28:$A$39,0),1),INDEX('Category Mapping'!$E$28:$E$39,MATCH($A877,'Category Mapping'!$A$28:$A$39,0),1))</f>
        <v>0</v>
      </c>
      <c r="O877" s="27">
        <f>O297*IF($E877="weekday",INDEX('Category Mapping'!$F$28:$F$39,MATCH('Summarized Source Data'!$A877,'Category Mapping'!$A$28:$A$39,0),1),INDEX('Category Mapping'!$E$28:$E$39,MATCH($A877,'Category Mapping'!$A$28:$A$39,0),1))</f>
        <v>660576900.85714281</v>
      </c>
      <c r="P877" s="27">
        <f>P297*IF($E877="weekday",INDEX('Category Mapping'!$F$28:$F$39,MATCH('Summarized Source Data'!$A877,'Category Mapping'!$A$28:$A$39,0),1),INDEX('Category Mapping'!$E$28:$E$39,MATCH($A877,'Category Mapping'!$A$28:$A$39,0),1))</f>
        <v>660576900.85714281</v>
      </c>
      <c r="Q877" s="27">
        <f>Q297*IF($E877="weekday",INDEX('Category Mapping'!$F$28:$F$39,MATCH('Summarized Source Data'!$A877,'Category Mapping'!$A$28:$A$39,0),1),INDEX('Category Mapping'!$E$28:$E$39,MATCH($A877,'Category Mapping'!$A$28:$A$39,0),1))</f>
        <v>660576900.85714281</v>
      </c>
      <c r="R877" s="27">
        <f>R297*IF($E877="weekday",INDEX('Category Mapping'!$F$28:$F$39,MATCH('Summarized Source Data'!$A877,'Category Mapping'!$A$28:$A$39,0),1),INDEX('Category Mapping'!$E$28:$E$39,MATCH($A877,'Category Mapping'!$A$28:$A$39,0),1))</f>
        <v>23188894.571428567</v>
      </c>
      <c r="S877" s="27">
        <f>S297*IF($E877="weekday",INDEX('Category Mapping'!$F$28:$F$39,MATCH('Summarized Source Data'!$A877,'Category Mapping'!$A$28:$A$39,0),1),INDEX('Category Mapping'!$E$28:$E$39,MATCH($A877,'Category Mapping'!$A$28:$A$39,0),1))</f>
        <v>23188894.571428567</v>
      </c>
      <c r="T877" s="27">
        <f>T297*IF($E877="weekday",INDEX('Category Mapping'!$F$28:$F$39,MATCH('Summarized Source Data'!$A877,'Category Mapping'!$A$28:$A$39,0),1),INDEX('Category Mapping'!$E$28:$E$39,MATCH($A877,'Category Mapping'!$A$28:$A$39,0),1))</f>
        <v>23188894.571428567</v>
      </c>
      <c r="U877" s="27">
        <f>U297*IF($E877="weekday",INDEX('Category Mapping'!$F$28:$F$39,MATCH('Summarized Source Data'!$A877,'Category Mapping'!$A$28:$A$39,0),1),INDEX('Category Mapping'!$E$28:$E$39,MATCH($A877,'Category Mapping'!$A$28:$A$39,0),1))</f>
        <v>23188894.571428567</v>
      </c>
      <c r="V877" s="27">
        <f>V297*IF($E877="weekday",INDEX('Category Mapping'!$F$28:$F$39,MATCH('Summarized Source Data'!$A877,'Category Mapping'!$A$28:$A$39,0),1),INDEX('Category Mapping'!$E$28:$E$39,MATCH($A877,'Category Mapping'!$A$28:$A$39,0),1))</f>
        <v>23188894.571428567</v>
      </c>
      <c r="W877" s="27">
        <f>W297*IF($E877="weekday",INDEX('Category Mapping'!$F$28:$F$39,MATCH('Summarized Source Data'!$A877,'Category Mapping'!$A$28:$A$39,0),1),INDEX('Category Mapping'!$E$28:$E$39,MATCH($A877,'Category Mapping'!$A$28:$A$39,0),1))</f>
        <v>23188894.571428567</v>
      </c>
      <c r="X877" s="27">
        <f>X297*IF($E877="weekday",INDEX('Category Mapping'!$F$28:$F$39,MATCH('Summarized Source Data'!$A877,'Category Mapping'!$A$28:$A$39,0),1),INDEX('Category Mapping'!$E$28:$E$39,MATCH($A877,'Category Mapping'!$A$28:$A$39,0),1))</f>
        <v>3091142857.1428566</v>
      </c>
      <c r="Y877" s="27">
        <f>Y297*IF($E877="weekday",INDEX('Category Mapping'!$F$28:$F$39,MATCH('Summarized Source Data'!$A877,'Category Mapping'!$A$28:$A$39,0),1),INDEX('Category Mapping'!$E$28:$E$39,MATCH($A877,'Category Mapping'!$A$28:$A$39,0),1))</f>
        <v>3091142857.1428566</v>
      </c>
      <c r="Z877" s="27">
        <f>Z297*IF($E877="weekday",INDEX('Category Mapping'!$F$28:$F$39,MATCH('Summarized Source Data'!$A877,'Category Mapping'!$A$28:$A$39,0),1),INDEX('Category Mapping'!$E$28:$E$39,MATCH($A877,'Category Mapping'!$A$28:$A$39,0),1))</f>
        <v>3091142857.1428566</v>
      </c>
    </row>
    <row r="878" spans="1:26" x14ac:dyDescent="0.3">
      <c r="A878">
        <f t="shared" ref="A878:E878" si="343">A298</f>
        <v>1</v>
      </c>
      <c r="B878" t="str">
        <f t="shared" si="343"/>
        <v>Winter</v>
      </c>
      <c r="C878" t="str">
        <f t="shared" si="343"/>
        <v>h7</v>
      </c>
      <c r="D878" t="str">
        <f t="shared" si="343"/>
        <v>Hour6</v>
      </c>
      <c r="E878" t="str">
        <f t="shared" si="343"/>
        <v>Weekend</v>
      </c>
      <c r="F878" s="27">
        <f>F298*IF($E878="weekday",INDEX('Category Mapping'!$F$28:$F$39,MATCH('Summarized Source Data'!$A878,'Category Mapping'!$A$28:$A$39,0),1),INDEX('Category Mapping'!$E$28:$E$39,MATCH($A878,'Category Mapping'!$A$28:$A$39,0),1))</f>
        <v>110714285.7142857</v>
      </c>
      <c r="G878" s="27">
        <f>G298*IF($E878="weekday",INDEX('Category Mapping'!$F$28:$F$39,MATCH('Summarized Source Data'!$A878,'Category Mapping'!$A$28:$A$39,0),1),INDEX('Category Mapping'!$E$28:$E$39,MATCH($A878,'Category Mapping'!$A$28:$A$39,0),1))</f>
        <v>54940.857142857138</v>
      </c>
      <c r="H878" s="27">
        <f>H298*IF($E878="weekday",INDEX('Category Mapping'!$F$28:$F$39,MATCH('Summarized Source Data'!$A878,'Category Mapping'!$A$28:$A$39,0),1),INDEX('Category Mapping'!$E$28:$E$39,MATCH($A878,'Category Mapping'!$A$28:$A$39,0),1))</f>
        <v>0</v>
      </c>
      <c r="I878" s="27">
        <f>I298*IF($E878="weekday",INDEX('Category Mapping'!$F$28:$F$39,MATCH('Summarized Source Data'!$A878,'Category Mapping'!$A$28:$A$39,0),1),INDEX('Category Mapping'!$E$28:$E$39,MATCH($A878,'Category Mapping'!$A$28:$A$39,0),1))</f>
        <v>120457142.85714284</v>
      </c>
      <c r="J878" s="27">
        <f>J298*IF($E878="weekday",INDEX('Category Mapping'!$F$28:$F$39,MATCH('Summarized Source Data'!$A878,'Category Mapping'!$A$28:$A$39,0),1),INDEX('Category Mapping'!$E$28:$E$39,MATCH($A878,'Category Mapping'!$A$28:$A$39,0),1))</f>
        <v>300202201.99999994</v>
      </c>
      <c r="K878" s="27">
        <f>K298*IF($E878="weekday",INDEX('Category Mapping'!$F$28:$F$39,MATCH('Summarized Source Data'!$A878,'Category Mapping'!$A$28:$A$39,0),1),INDEX('Category Mapping'!$E$28:$E$39,MATCH($A878,'Category Mapping'!$A$28:$A$39,0),1))</f>
        <v>300202201.99999994</v>
      </c>
      <c r="L878" s="27">
        <f>L298*IF($E878="weekday",INDEX('Category Mapping'!$F$28:$F$39,MATCH('Summarized Source Data'!$A878,'Category Mapping'!$A$28:$A$39,0),1),INDEX('Category Mapping'!$E$28:$E$39,MATCH($A878,'Category Mapping'!$A$28:$A$39,0),1))</f>
        <v>136399999.99999997</v>
      </c>
      <c r="M878" s="27">
        <f>M298*IF($E878="weekday",INDEX('Category Mapping'!$F$28:$F$39,MATCH('Summarized Source Data'!$A878,'Category Mapping'!$A$28:$A$39,0),1),INDEX('Category Mapping'!$E$28:$E$39,MATCH($A878,'Category Mapping'!$A$28:$A$39,0),1))</f>
        <v>172359.99999999997</v>
      </c>
      <c r="N878" s="27">
        <f>N298*IF($E878="weekday",INDEX('Category Mapping'!$F$28:$F$39,MATCH('Summarized Source Data'!$A878,'Category Mapping'!$A$28:$A$39,0),1),INDEX('Category Mapping'!$E$28:$E$39,MATCH($A878,'Category Mapping'!$A$28:$A$39,0),1))</f>
        <v>0</v>
      </c>
      <c r="O878" s="27">
        <f>O298*IF($E878="weekday",INDEX('Category Mapping'!$F$28:$F$39,MATCH('Summarized Source Data'!$A878,'Category Mapping'!$A$28:$A$39,0),1),INDEX('Category Mapping'!$E$28:$E$39,MATCH($A878,'Category Mapping'!$A$28:$A$39,0),1))</f>
        <v>740284782.85714281</v>
      </c>
      <c r="P878" s="27">
        <f>P298*IF($E878="weekday",INDEX('Category Mapping'!$F$28:$F$39,MATCH('Summarized Source Data'!$A878,'Category Mapping'!$A$28:$A$39,0),1),INDEX('Category Mapping'!$E$28:$E$39,MATCH($A878,'Category Mapping'!$A$28:$A$39,0),1))</f>
        <v>740284782.85714281</v>
      </c>
      <c r="Q878" s="27">
        <f>Q298*IF($E878="weekday",INDEX('Category Mapping'!$F$28:$F$39,MATCH('Summarized Source Data'!$A878,'Category Mapping'!$A$28:$A$39,0),1),INDEX('Category Mapping'!$E$28:$E$39,MATCH($A878,'Category Mapping'!$A$28:$A$39,0),1))</f>
        <v>740284782.85714281</v>
      </c>
      <c r="R878" s="27">
        <f>R298*IF($E878="weekday",INDEX('Category Mapping'!$F$28:$F$39,MATCH('Summarized Source Data'!$A878,'Category Mapping'!$A$28:$A$39,0),1),INDEX('Category Mapping'!$E$28:$E$39,MATCH($A878,'Category Mapping'!$A$28:$A$39,0),1))</f>
        <v>28737602.28571428</v>
      </c>
      <c r="S878" s="27">
        <f>S298*IF($E878="weekday",INDEX('Category Mapping'!$F$28:$F$39,MATCH('Summarized Source Data'!$A878,'Category Mapping'!$A$28:$A$39,0),1),INDEX('Category Mapping'!$E$28:$E$39,MATCH($A878,'Category Mapping'!$A$28:$A$39,0),1))</f>
        <v>28737602.28571428</v>
      </c>
      <c r="T878" s="27">
        <f>T298*IF($E878="weekday",INDEX('Category Mapping'!$F$28:$F$39,MATCH('Summarized Source Data'!$A878,'Category Mapping'!$A$28:$A$39,0),1),INDEX('Category Mapping'!$E$28:$E$39,MATCH($A878,'Category Mapping'!$A$28:$A$39,0),1))</f>
        <v>28737602.28571428</v>
      </c>
      <c r="U878" s="27">
        <f>U298*IF($E878="weekday",INDEX('Category Mapping'!$F$28:$F$39,MATCH('Summarized Source Data'!$A878,'Category Mapping'!$A$28:$A$39,0),1),INDEX('Category Mapping'!$E$28:$E$39,MATCH($A878,'Category Mapping'!$A$28:$A$39,0),1))</f>
        <v>28737602.28571428</v>
      </c>
      <c r="V878" s="27">
        <f>V298*IF($E878="weekday",INDEX('Category Mapping'!$F$28:$F$39,MATCH('Summarized Source Data'!$A878,'Category Mapping'!$A$28:$A$39,0),1),INDEX('Category Mapping'!$E$28:$E$39,MATCH($A878,'Category Mapping'!$A$28:$A$39,0),1))</f>
        <v>28737602.28571428</v>
      </c>
      <c r="W878" s="27">
        <f>W298*IF($E878="weekday",INDEX('Category Mapping'!$F$28:$F$39,MATCH('Summarized Source Data'!$A878,'Category Mapping'!$A$28:$A$39,0),1),INDEX('Category Mapping'!$E$28:$E$39,MATCH($A878,'Category Mapping'!$A$28:$A$39,0),1))</f>
        <v>28737602.28571428</v>
      </c>
      <c r="X878" s="27">
        <f>X298*IF($E878="weekday",INDEX('Category Mapping'!$F$28:$F$39,MATCH('Summarized Source Data'!$A878,'Category Mapping'!$A$28:$A$39,0),1),INDEX('Category Mapping'!$E$28:$E$39,MATCH($A878,'Category Mapping'!$A$28:$A$39,0),1))</f>
        <v>3108857142.8571424</v>
      </c>
      <c r="Y878" s="27">
        <f>Y298*IF($E878="weekday",INDEX('Category Mapping'!$F$28:$F$39,MATCH('Summarized Source Data'!$A878,'Category Mapping'!$A$28:$A$39,0),1),INDEX('Category Mapping'!$E$28:$E$39,MATCH($A878,'Category Mapping'!$A$28:$A$39,0),1))</f>
        <v>3108857142.8571424</v>
      </c>
      <c r="Z878" s="27">
        <f>Z298*IF($E878="weekday",INDEX('Category Mapping'!$F$28:$F$39,MATCH('Summarized Source Data'!$A878,'Category Mapping'!$A$28:$A$39,0),1),INDEX('Category Mapping'!$E$28:$E$39,MATCH($A878,'Category Mapping'!$A$28:$A$39,0),1))</f>
        <v>3108857142.8571424</v>
      </c>
    </row>
    <row r="879" spans="1:26" x14ac:dyDescent="0.3">
      <c r="A879">
        <f t="shared" ref="A879:E879" si="344">A299</f>
        <v>1</v>
      </c>
      <c r="B879" t="str">
        <f t="shared" si="344"/>
        <v>Winter</v>
      </c>
      <c r="C879" t="str">
        <f t="shared" si="344"/>
        <v>h8</v>
      </c>
      <c r="D879" t="str">
        <f t="shared" si="344"/>
        <v>Hour7</v>
      </c>
      <c r="E879" t="str">
        <f t="shared" si="344"/>
        <v>Weekend</v>
      </c>
      <c r="F879" s="27">
        <f>F299*IF($E879="weekday",INDEX('Category Mapping'!$F$28:$F$39,MATCH('Summarized Source Data'!$A879,'Category Mapping'!$A$28:$A$39,0),1),INDEX('Category Mapping'!$E$28:$E$39,MATCH($A879,'Category Mapping'!$A$28:$A$39,0),1))</f>
        <v>117799999.99999999</v>
      </c>
      <c r="G879" s="27">
        <f>G299*IF($E879="weekday",INDEX('Category Mapping'!$F$28:$F$39,MATCH('Summarized Source Data'!$A879,'Category Mapping'!$A$28:$A$39,0),1),INDEX('Category Mapping'!$E$28:$E$39,MATCH($A879,'Category Mapping'!$A$28:$A$39,0),1))</f>
        <v>51070.28571428571</v>
      </c>
      <c r="H879" s="27">
        <f>H299*IF($E879="weekday",INDEX('Category Mapping'!$F$28:$F$39,MATCH('Summarized Source Data'!$A879,'Category Mapping'!$A$28:$A$39,0),1),INDEX('Category Mapping'!$E$28:$E$39,MATCH($A879,'Category Mapping'!$A$28:$A$39,0),1))</f>
        <v>0</v>
      </c>
      <c r="I879" s="27">
        <f>I299*IF($E879="weekday",INDEX('Category Mapping'!$F$28:$F$39,MATCH('Summarized Source Data'!$A879,'Category Mapping'!$A$28:$A$39,0),1),INDEX('Category Mapping'!$E$28:$E$39,MATCH($A879,'Category Mapping'!$A$28:$A$39,0),1))</f>
        <v>170057142.85714284</v>
      </c>
      <c r="J879" s="27">
        <f>J299*IF($E879="weekday",INDEX('Category Mapping'!$F$28:$F$39,MATCH('Summarized Source Data'!$A879,'Category Mapping'!$A$28:$A$39,0),1),INDEX('Category Mapping'!$E$28:$E$39,MATCH($A879,'Category Mapping'!$A$28:$A$39,0),1))</f>
        <v>426863215.42857134</v>
      </c>
      <c r="K879" s="27">
        <f>K299*IF($E879="weekday",INDEX('Category Mapping'!$F$28:$F$39,MATCH('Summarized Source Data'!$A879,'Category Mapping'!$A$28:$A$39,0),1),INDEX('Category Mapping'!$E$28:$E$39,MATCH($A879,'Category Mapping'!$A$28:$A$39,0),1))</f>
        <v>426863215.42857134</v>
      </c>
      <c r="L879" s="27">
        <f>L299*IF($E879="weekday",INDEX('Category Mapping'!$F$28:$F$39,MATCH('Summarized Source Data'!$A879,'Category Mapping'!$A$28:$A$39,0),1),INDEX('Category Mapping'!$E$28:$E$39,MATCH($A879,'Category Mapping'!$A$28:$A$39,0),1))</f>
        <v>263057142.85714281</v>
      </c>
      <c r="M879" s="27">
        <f>M299*IF($E879="weekday",INDEX('Category Mapping'!$F$28:$F$39,MATCH('Summarized Source Data'!$A879,'Category Mapping'!$A$28:$A$39,0),1),INDEX('Category Mapping'!$E$28:$E$39,MATCH($A879,'Category Mapping'!$A$28:$A$39,0),1))</f>
        <v>185007.99999999997</v>
      </c>
      <c r="N879" s="27">
        <f>N299*IF($E879="weekday",INDEX('Category Mapping'!$F$28:$F$39,MATCH('Summarized Source Data'!$A879,'Category Mapping'!$A$28:$A$39,0),1),INDEX('Category Mapping'!$E$28:$E$39,MATCH($A879,'Category Mapping'!$A$28:$A$39,0),1))</f>
        <v>0</v>
      </c>
      <c r="O879" s="27">
        <f>O299*IF($E879="weekday",INDEX('Category Mapping'!$F$28:$F$39,MATCH('Summarized Source Data'!$A879,'Category Mapping'!$A$28:$A$39,0),1),INDEX('Category Mapping'!$E$28:$E$39,MATCH($A879,'Category Mapping'!$A$28:$A$39,0),1))</f>
        <v>941329277.71428561</v>
      </c>
      <c r="P879" s="27">
        <f>P299*IF($E879="weekday",INDEX('Category Mapping'!$F$28:$F$39,MATCH('Summarized Source Data'!$A879,'Category Mapping'!$A$28:$A$39,0),1),INDEX('Category Mapping'!$E$28:$E$39,MATCH($A879,'Category Mapping'!$A$28:$A$39,0),1))</f>
        <v>941329277.71428561</v>
      </c>
      <c r="Q879" s="27">
        <f>Q299*IF($E879="weekday",INDEX('Category Mapping'!$F$28:$F$39,MATCH('Summarized Source Data'!$A879,'Category Mapping'!$A$28:$A$39,0),1),INDEX('Category Mapping'!$E$28:$E$39,MATCH($A879,'Category Mapping'!$A$28:$A$39,0),1))</f>
        <v>941329277.71428561</v>
      </c>
      <c r="R879" s="27">
        <f>R299*IF($E879="weekday",INDEX('Category Mapping'!$F$28:$F$39,MATCH('Summarized Source Data'!$A879,'Category Mapping'!$A$28:$A$39,0),1),INDEX('Category Mapping'!$E$28:$E$39,MATCH($A879,'Category Mapping'!$A$28:$A$39,0),1))</f>
        <v>37384007.142857134</v>
      </c>
      <c r="S879" s="27">
        <f>S299*IF($E879="weekday",INDEX('Category Mapping'!$F$28:$F$39,MATCH('Summarized Source Data'!$A879,'Category Mapping'!$A$28:$A$39,0),1),INDEX('Category Mapping'!$E$28:$E$39,MATCH($A879,'Category Mapping'!$A$28:$A$39,0),1))</f>
        <v>37384007.142857134</v>
      </c>
      <c r="T879" s="27">
        <f>T299*IF($E879="weekday",INDEX('Category Mapping'!$F$28:$F$39,MATCH('Summarized Source Data'!$A879,'Category Mapping'!$A$28:$A$39,0),1),INDEX('Category Mapping'!$E$28:$E$39,MATCH($A879,'Category Mapping'!$A$28:$A$39,0),1))</f>
        <v>37384007.142857134</v>
      </c>
      <c r="U879" s="27">
        <f>U299*IF($E879="weekday",INDEX('Category Mapping'!$F$28:$F$39,MATCH('Summarized Source Data'!$A879,'Category Mapping'!$A$28:$A$39,0),1),INDEX('Category Mapping'!$E$28:$E$39,MATCH($A879,'Category Mapping'!$A$28:$A$39,0),1))</f>
        <v>37384007.142857134</v>
      </c>
      <c r="V879" s="27">
        <f>V299*IF($E879="weekday",INDEX('Category Mapping'!$F$28:$F$39,MATCH('Summarized Source Data'!$A879,'Category Mapping'!$A$28:$A$39,0),1),INDEX('Category Mapping'!$E$28:$E$39,MATCH($A879,'Category Mapping'!$A$28:$A$39,0),1))</f>
        <v>37384007.142857134</v>
      </c>
      <c r="W879" s="27">
        <f>W299*IF($E879="weekday",INDEX('Category Mapping'!$F$28:$F$39,MATCH('Summarized Source Data'!$A879,'Category Mapping'!$A$28:$A$39,0),1),INDEX('Category Mapping'!$E$28:$E$39,MATCH($A879,'Category Mapping'!$A$28:$A$39,0),1))</f>
        <v>37384007.142857134</v>
      </c>
      <c r="X879" s="27">
        <f>X299*IF($E879="weekday",INDEX('Category Mapping'!$F$28:$F$39,MATCH('Summarized Source Data'!$A879,'Category Mapping'!$A$28:$A$39,0),1),INDEX('Category Mapping'!$E$28:$E$39,MATCH($A879,'Category Mapping'!$A$28:$A$39,0),1))</f>
        <v>3108857142.8571424</v>
      </c>
      <c r="Y879" s="27">
        <f>Y299*IF($E879="weekday",INDEX('Category Mapping'!$F$28:$F$39,MATCH('Summarized Source Data'!$A879,'Category Mapping'!$A$28:$A$39,0),1),INDEX('Category Mapping'!$E$28:$E$39,MATCH($A879,'Category Mapping'!$A$28:$A$39,0),1))</f>
        <v>3108857142.8571424</v>
      </c>
      <c r="Z879" s="27">
        <f>Z299*IF($E879="weekday",INDEX('Category Mapping'!$F$28:$F$39,MATCH('Summarized Source Data'!$A879,'Category Mapping'!$A$28:$A$39,0),1),INDEX('Category Mapping'!$E$28:$E$39,MATCH($A879,'Category Mapping'!$A$28:$A$39,0),1))</f>
        <v>3108857142.8571424</v>
      </c>
    </row>
    <row r="880" spans="1:26" x14ac:dyDescent="0.3">
      <c r="A880">
        <f t="shared" ref="A880:E880" si="345">A300</f>
        <v>1</v>
      </c>
      <c r="B880" t="str">
        <f t="shared" si="345"/>
        <v>Winter</v>
      </c>
      <c r="C880" t="str">
        <f t="shared" si="345"/>
        <v>h9</v>
      </c>
      <c r="D880" t="str">
        <f t="shared" si="345"/>
        <v>Hour8</v>
      </c>
      <c r="E880" t="str">
        <f t="shared" si="345"/>
        <v>Weekend</v>
      </c>
      <c r="F880" s="27">
        <f>F300*IF($E880="weekday",INDEX('Category Mapping'!$F$28:$F$39,MATCH('Summarized Source Data'!$A880,'Category Mapping'!$A$28:$A$39,0),1),INDEX('Category Mapping'!$E$28:$E$39,MATCH($A880,'Category Mapping'!$A$28:$A$39,0),1))</f>
        <v>120457142.85714284</v>
      </c>
      <c r="G880" s="27">
        <f>G300*IF($E880="weekday",INDEX('Category Mapping'!$F$28:$F$39,MATCH('Summarized Source Data'!$A880,'Category Mapping'!$A$28:$A$39,0),1),INDEX('Category Mapping'!$E$28:$E$39,MATCH($A880,'Category Mapping'!$A$28:$A$39,0),1))</f>
        <v>45685.142857142848</v>
      </c>
      <c r="H880" s="27">
        <f>H300*IF($E880="weekday",INDEX('Category Mapping'!$F$28:$F$39,MATCH('Summarized Source Data'!$A880,'Category Mapping'!$A$28:$A$39,0),1),INDEX('Category Mapping'!$E$28:$E$39,MATCH($A880,'Category Mapping'!$A$28:$A$39,0),1))</f>
        <v>0</v>
      </c>
      <c r="I880" s="27">
        <f>I300*IF($E880="weekday",INDEX('Category Mapping'!$F$28:$F$39,MATCH('Summarized Source Data'!$A880,'Category Mapping'!$A$28:$A$39,0),1),INDEX('Category Mapping'!$E$28:$E$39,MATCH($A880,'Category Mapping'!$A$28:$A$39,0),1))</f>
        <v>68211186.571428567</v>
      </c>
      <c r="J880" s="27">
        <f>J300*IF($E880="weekday",INDEX('Category Mapping'!$F$28:$F$39,MATCH('Summarized Source Data'!$A880,'Category Mapping'!$A$28:$A$39,0),1),INDEX('Category Mapping'!$E$28:$E$39,MATCH($A880,'Category Mapping'!$A$28:$A$39,0),1))</f>
        <v>536685985.42857134</v>
      </c>
      <c r="K880" s="27">
        <f>K300*IF($E880="weekday",INDEX('Category Mapping'!$F$28:$F$39,MATCH('Summarized Source Data'!$A880,'Category Mapping'!$A$28:$A$39,0),1),INDEX('Category Mapping'!$E$28:$E$39,MATCH($A880,'Category Mapping'!$A$28:$A$39,0),1))</f>
        <v>536685985.42857134</v>
      </c>
      <c r="L880" s="27">
        <f>L300*IF($E880="weekday",INDEX('Category Mapping'!$F$28:$F$39,MATCH('Summarized Source Data'!$A880,'Category Mapping'!$A$28:$A$39,0),1),INDEX('Category Mapping'!$E$28:$E$39,MATCH($A880,'Category Mapping'!$A$28:$A$39,0),1))</f>
        <v>335685714.28571421</v>
      </c>
      <c r="M880" s="27">
        <f>M300*IF($E880="weekday",INDEX('Category Mapping'!$F$28:$F$39,MATCH('Summarized Source Data'!$A880,'Category Mapping'!$A$28:$A$39,0),1),INDEX('Category Mapping'!$E$28:$E$39,MATCH($A880,'Category Mapping'!$A$28:$A$39,0),1))</f>
        <v>203590.28571428568</v>
      </c>
      <c r="N880" s="27">
        <f>N300*IF($E880="weekday",INDEX('Category Mapping'!$F$28:$F$39,MATCH('Summarized Source Data'!$A880,'Category Mapping'!$A$28:$A$39,0),1),INDEX('Category Mapping'!$E$28:$E$39,MATCH($A880,'Category Mapping'!$A$28:$A$39,0),1))</f>
        <v>0</v>
      </c>
      <c r="O880" s="27">
        <f>O300*IF($E880="weekday",INDEX('Category Mapping'!$F$28:$F$39,MATCH('Summarized Source Data'!$A880,'Category Mapping'!$A$28:$A$39,0),1),INDEX('Category Mapping'!$E$28:$E$39,MATCH($A880,'Category Mapping'!$A$28:$A$39,0),1))</f>
        <v>1072396409.7142856</v>
      </c>
      <c r="P880" s="27">
        <f>P300*IF($E880="weekday",INDEX('Category Mapping'!$F$28:$F$39,MATCH('Summarized Source Data'!$A880,'Category Mapping'!$A$28:$A$39,0),1),INDEX('Category Mapping'!$E$28:$E$39,MATCH($A880,'Category Mapping'!$A$28:$A$39,0),1))</f>
        <v>1072396409.7142856</v>
      </c>
      <c r="Q880" s="27">
        <f>Q300*IF($E880="weekday",INDEX('Category Mapping'!$F$28:$F$39,MATCH('Summarized Source Data'!$A880,'Category Mapping'!$A$28:$A$39,0),1),INDEX('Category Mapping'!$E$28:$E$39,MATCH($A880,'Category Mapping'!$A$28:$A$39,0),1))</f>
        <v>1072396409.7142856</v>
      </c>
      <c r="R880" s="27">
        <f>R300*IF($E880="weekday",INDEX('Category Mapping'!$F$28:$F$39,MATCH('Summarized Source Data'!$A880,'Category Mapping'!$A$28:$A$39,0),1),INDEX('Category Mapping'!$E$28:$E$39,MATCH($A880,'Category Mapping'!$A$28:$A$39,0),1))</f>
        <v>44574076.285714276</v>
      </c>
      <c r="S880" s="27">
        <f>S300*IF($E880="weekday",INDEX('Category Mapping'!$F$28:$F$39,MATCH('Summarized Source Data'!$A880,'Category Mapping'!$A$28:$A$39,0),1),INDEX('Category Mapping'!$E$28:$E$39,MATCH($A880,'Category Mapping'!$A$28:$A$39,0),1))</f>
        <v>44574076.285714276</v>
      </c>
      <c r="T880" s="27">
        <f>T300*IF($E880="weekday",INDEX('Category Mapping'!$F$28:$F$39,MATCH('Summarized Source Data'!$A880,'Category Mapping'!$A$28:$A$39,0),1),INDEX('Category Mapping'!$E$28:$E$39,MATCH($A880,'Category Mapping'!$A$28:$A$39,0),1))</f>
        <v>44574076.285714276</v>
      </c>
      <c r="U880" s="27">
        <f>U300*IF($E880="weekday",INDEX('Category Mapping'!$F$28:$F$39,MATCH('Summarized Source Data'!$A880,'Category Mapping'!$A$28:$A$39,0),1),INDEX('Category Mapping'!$E$28:$E$39,MATCH($A880,'Category Mapping'!$A$28:$A$39,0),1))</f>
        <v>44574076.285714276</v>
      </c>
      <c r="V880" s="27">
        <f>V300*IF($E880="weekday",INDEX('Category Mapping'!$F$28:$F$39,MATCH('Summarized Source Data'!$A880,'Category Mapping'!$A$28:$A$39,0),1),INDEX('Category Mapping'!$E$28:$E$39,MATCH($A880,'Category Mapping'!$A$28:$A$39,0),1))</f>
        <v>44574076.285714276</v>
      </c>
      <c r="W880" s="27">
        <f>W300*IF($E880="weekday",INDEX('Category Mapping'!$F$28:$F$39,MATCH('Summarized Source Data'!$A880,'Category Mapping'!$A$28:$A$39,0),1),INDEX('Category Mapping'!$E$28:$E$39,MATCH($A880,'Category Mapping'!$A$28:$A$39,0),1))</f>
        <v>44574076.285714276</v>
      </c>
      <c r="X880" s="27">
        <f>X300*IF($E880="weekday",INDEX('Category Mapping'!$F$28:$F$39,MATCH('Summarized Source Data'!$A880,'Category Mapping'!$A$28:$A$39,0),1),INDEX('Category Mapping'!$E$28:$E$39,MATCH($A880,'Category Mapping'!$A$28:$A$39,0),1))</f>
        <v>3099999999.9999995</v>
      </c>
      <c r="Y880" s="27">
        <f>Y300*IF($E880="weekday",INDEX('Category Mapping'!$F$28:$F$39,MATCH('Summarized Source Data'!$A880,'Category Mapping'!$A$28:$A$39,0),1),INDEX('Category Mapping'!$E$28:$E$39,MATCH($A880,'Category Mapping'!$A$28:$A$39,0),1))</f>
        <v>3099999999.9999995</v>
      </c>
      <c r="Z880" s="27">
        <f>Z300*IF($E880="weekday",INDEX('Category Mapping'!$F$28:$F$39,MATCH('Summarized Source Data'!$A880,'Category Mapping'!$A$28:$A$39,0),1),INDEX('Category Mapping'!$E$28:$E$39,MATCH($A880,'Category Mapping'!$A$28:$A$39,0),1))</f>
        <v>3099999999.9999995</v>
      </c>
    </row>
    <row r="881" spans="1:26" x14ac:dyDescent="0.3">
      <c r="A881">
        <f t="shared" ref="A881:E881" si="346">A301</f>
        <v>1</v>
      </c>
      <c r="B881" t="str">
        <f t="shared" si="346"/>
        <v>Winter</v>
      </c>
      <c r="C881" t="str">
        <f t="shared" si="346"/>
        <v>h10</v>
      </c>
      <c r="D881" t="str">
        <f t="shared" si="346"/>
        <v>Hour9</v>
      </c>
      <c r="E881" t="str">
        <f t="shared" si="346"/>
        <v>Weekend</v>
      </c>
      <c r="F881" s="27">
        <f>F301*IF($E881="weekday",INDEX('Category Mapping'!$F$28:$F$39,MATCH('Summarized Source Data'!$A881,'Category Mapping'!$A$28:$A$39,0),1),INDEX('Category Mapping'!$E$28:$E$39,MATCH($A881,'Category Mapping'!$A$28:$A$39,0),1))</f>
        <v>117799999.99999999</v>
      </c>
      <c r="G881" s="27">
        <f>G301*IF($E881="weekday",INDEX('Category Mapping'!$F$28:$F$39,MATCH('Summarized Source Data'!$A881,'Category Mapping'!$A$28:$A$39,0),1),INDEX('Category Mapping'!$E$28:$E$39,MATCH($A881,'Category Mapping'!$A$28:$A$39,0),1))</f>
        <v>39812.857142857138</v>
      </c>
      <c r="H881" s="27">
        <f>H301*IF($E881="weekday",INDEX('Category Mapping'!$F$28:$F$39,MATCH('Summarized Source Data'!$A881,'Category Mapping'!$A$28:$A$39,0),1),INDEX('Category Mapping'!$E$28:$E$39,MATCH($A881,'Category Mapping'!$A$28:$A$39,0),1))</f>
        <v>0</v>
      </c>
      <c r="I881" s="27">
        <f>I301*IF($E881="weekday",INDEX('Category Mapping'!$F$28:$F$39,MATCH('Summarized Source Data'!$A881,'Category Mapping'!$A$28:$A$39,0),1),INDEX('Category Mapping'!$E$28:$E$39,MATCH($A881,'Category Mapping'!$A$28:$A$39,0),1))</f>
        <v>70679087.714285702</v>
      </c>
      <c r="J881" s="27">
        <f>J301*IF($E881="weekday",INDEX('Category Mapping'!$F$28:$F$39,MATCH('Summarized Source Data'!$A881,'Category Mapping'!$A$28:$A$39,0),1),INDEX('Category Mapping'!$E$28:$E$39,MATCH($A881,'Category Mapping'!$A$28:$A$39,0),1))</f>
        <v>679481099.42857134</v>
      </c>
      <c r="K881" s="27">
        <f>K301*IF($E881="weekday",INDEX('Category Mapping'!$F$28:$F$39,MATCH('Summarized Source Data'!$A881,'Category Mapping'!$A$28:$A$39,0),1),INDEX('Category Mapping'!$E$28:$E$39,MATCH($A881,'Category Mapping'!$A$28:$A$39,0),1))</f>
        <v>679481099.42857134</v>
      </c>
      <c r="L881" s="27">
        <f>L301*IF($E881="weekday",INDEX('Category Mapping'!$F$28:$F$39,MATCH('Summarized Source Data'!$A881,'Category Mapping'!$A$28:$A$39,0),1),INDEX('Category Mapping'!$E$28:$E$39,MATCH($A881,'Category Mapping'!$A$28:$A$39,0),1))</f>
        <v>276342857.14285707</v>
      </c>
      <c r="M881" s="27">
        <f>M301*IF($E881="weekday",INDEX('Category Mapping'!$F$28:$F$39,MATCH('Summarized Source Data'!$A881,'Category Mapping'!$A$28:$A$39,0),1),INDEX('Category Mapping'!$E$28:$E$39,MATCH($A881,'Category Mapping'!$A$28:$A$39,0),1))</f>
        <v>215467.71428571426</v>
      </c>
      <c r="N881" s="27">
        <f>N301*IF($E881="weekday",INDEX('Category Mapping'!$F$28:$F$39,MATCH('Summarized Source Data'!$A881,'Category Mapping'!$A$28:$A$39,0),1),INDEX('Category Mapping'!$E$28:$E$39,MATCH($A881,'Category Mapping'!$A$28:$A$39,0),1))</f>
        <v>0</v>
      </c>
      <c r="O881" s="27">
        <f>O301*IF($E881="weekday",INDEX('Category Mapping'!$F$28:$F$39,MATCH('Summarized Source Data'!$A881,'Category Mapping'!$A$28:$A$39,0),1),INDEX('Category Mapping'!$E$28:$E$39,MATCH($A881,'Category Mapping'!$A$28:$A$39,0),1))</f>
        <v>1167155960.8571427</v>
      </c>
      <c r="P881" s="27">
        <f>P301*IF($E881="weekday",INDEX('Category Mapping'!$F$28:$F$39,MATCH('Summarized Source Data'!$A881,'Category Mapping'!$A$28:$A$39,0),1),INDEX('Category Mapping'!$E$28:$E$39,MATCH($A881,'Category Mapping'!$A$28:$A$39,0),1))</f>
        <v>1167155960.8571427</v>
      </c>
      <c r="Q881" s="27">
        <f>Q301*IF($E881="weekday",INDEX('Category Mapping'!$F$28:$F$39,MATCH('Summarized Source Data'!$A881,'Category Mapping'!$A$28:$A$39,0),1),INDEX('Category Mapping'!$E$28:$E$39,MATCH($A881,'Category Mapping'!$A$28:$A$39,0),1))</f>
        <v>1167155960.8571427</v>
      </c>
      <c r="R881" s="27">
        <f>R301*IF($E881="weekday",INDEX('Category Mapping'!$F$28:$F$39,MATCH('Summarized Source Data'!$A881,'Category Mapping'!$A$28:$A$39,0),1),INDEX('Category Mapping'!$E$28:$E$39,MATCH($A881,'Category Mapping'!$A$28:$A$39,0),1))</f>
        <v>50462818.571428567</v>
      </c>
      <c r="S881" s="27">
        <f>S301*IF($E881="weekday",INDEX('Category Mapping'!$F$28:$F$39,MATCH('Summarized Source Data'!$A881,'Category Mapping'!$A$28:$A$39,0),1),INDEX('Category Mapping'!$E$28:$E$39,MATCH($A881,'Category Mapping'!$A$28:$A$39,0),1))</f>
        <v>50462818.571428567</v>
      </c>
      <c r="T881" s="27">
        <f>T301*IF($E881="weekday",INDEX('Category Mapping'!$F$28:$F$39,MATCH('Summarized Source Data'!$A881,'Category Mapping'!$A$28:$A$39,0),1),INDEX('Category Mapping'!$E$28:$E$39,MATCH($A881,'Category Mapping'!$A$28:$A$39,0),1))</f>
        <v>50462818.571428567</v>
      </c>
      <c r="U881" s="27">
        <f>U301*IF($E881="weekday",INDEX('Category Mapping'!$F$28:$F$39,MATCH('Summarized Source Data'!$A881,'Category Mapping'!$A$28:$A$39,0),1),INDEX('Category Mapping'!$E$28:$E$39,MATCH($A881,'Category Mapping'!$A$28:$A$39,0),1))</f>
        <v>50462818.571428567</v>
      </c>
      <c r="V881" s="27">
        <f>V301*IF($E881="weekday",INDEX('Category Mapping'!$F$28:$F$39,MATCH('Summarized Source Data'!$A881,'Category Mapping'!$A$28:$A$39,0),1),INDEX('Category Mapping'!$E$28:$E$39,MATCH($A881,'Category Mapping'!$A$28:$A$39,0),1))</f>
        <v>50462818.571428567</v>
      </c>
      <c r="W881" s="27">
        <f>W301*IF($E881="weekday",INDEX('Category Mapping'!$F$28:$F$39,MATCH('Summarized Source Data'!$A881,'Category Mapping'!$A$28:$A$39,0),1),INDEX('Category Mapping'!$E$28:$E$39,MATCH($A881,'Category Mapping'!$A$28:$A$39,0),1))</f>
        <v>50462818.571428567</v>
      </c>
      <c r="X881" s="27">
        <f>X301*IF($E881="weekday",INDEX('Category Mapping'!$F$28:$F$39,MATCH('Summarized Source Data'!$A881,'Category Mapping'!$A$28:$A$39,0),1),INDEX('Category Mapping'!$E$28:$E$39,MATCH($A881,'Category Mapping'!$A$28:$A$39,0),1))</f>
        <v>3091142857.1428566</v>
      </c>
      <c r="Y881" s="27">
        <f>Y301*IF($E881="weekday",INDEX('Category Mapping'!$F$28:$F$39,MATCH('Summarized Source Data'!$A881,'Category Mapping'!$A$28:$A$39,0),1),INDEX('Category Mapping'!$E$28:$E$39,MATCH($A881,'Category Mapping'!$A$28:$A$39,0),1))</f>
        <v>3091142857.1428566</v>
      </c>
      <c r="Z881" s="27">
        <f>Z301*IF($E881="weekday",INDEX('Category Mapping'!$F$28:$F$39,MATCH('Summarized Source Data'!$A881,'Category Mapping'!$A$28:$A$39,0),1),INDEX('Category Mapping'!$E$28:$E$39,MATCH($A881,'Category Mapping'!$A$28:$A$39,0),1))</f>
        <v>3091142857.1428566</v>
      </c>
    </row>
    <row r="882" spans="1:26" x14ac:dyDescent="0.3">
      <c r="A882">
        <f t="shared" ref="A882:E882" si="347">A302</f>
        <v>1</v>
      </c>
      <c r="B882" t="str">
        <f t="shared" si="347"/>
        <v>Winter</v>
      </c>
      <c r="C882" t="str">
        <f t="shared" si="347"/>
        <v>h11</v>
      </c>
      <c r="D882" t="str">
        <f t="shared" si="347"/>
        <v>Hour10</v>
      </c>
      <c r="E882" t="str">
        <f t="shared" si="347"/>
        <v>Weekend</v>
      </c>
      <c r="F882" s="27">
        <f>F302*IF($E882="weekday",INDEX('Category Mapping'!$F$28:$F$39,MATCH('Summarized Source Data'!$A882,'Category Mapping'!$A$28:$A$39,0),1),INDEX('Category Mapping'!$E$28:$E$39,MATCH($A882,'Category Mapping'!$A$28:$A$39,0),1))</f>
        <v>113371428.57142855</v>
      </c>
      <c r="G882" s="27">
        <f>G302*IF($E882="weekday",INDEX('Category Mapping'!$F$28:$F$39,MATCH('Summarized Source Data'!$A882,'Category Mapping'!$A$28:$A$39,0),1),INDEX('Category Mapping'!$E$28:$E$39,MATCH($A882,'Category Mapping'!$A$28:$A$39,0),1))</f>
        <v>37155.714285714283</v>
      </c>
      <c r="H882" s="27">
        <f>H302*IF($E882="weekday",INDEX('Category Mapping'!$F$28:$F$39,MATCH('Summarized Source Data'!$A882,'Category Mapping'!$A$28:$A$39,0),1),INDEX('Category Mapping'!$E$28:$E$39,MATCH($A882,'Category Mapping'!$A$28:$A$39,0),1))</f>
        <v>0</v>
      </c>
      <c r="I882" s="27">
        <f>I302*IF($E882="weekday",INDEX('Category Mapping'!$F$28:$F$39,MATCH('Summarized Source Data'!$A882,'Category Mapping'!$A$28:$A$39,0),1),INDEX('Category Mapping'!$E$28:$E$39,MATCH($A882,'Category Mapping'!$A$28:$A$39,0),1))</f>
        <v>71100696.571428567</v>
      </c>
      <c r="J882" s="27">
        <f>J302*IF($E882="weekday",INDEX('Category Mapping'!$F$28:$F$39,MATCH('Summarized Source Data'!$A882,'Category Mapping'!$A$28:$A$39,0),1),INDEX('Category Mapping'!$E$28:$E$39,MATCH($A882,'Category Mapping'!$A$28:$A$39,0),1))</f>
        <v>834062147.71428561</v>
      </c>
      <c r="K882" s="27">
        <f>K302*IF($E882="weekday",INDEX('Category Mapping'!$F$28:$F$39,MATCH('Summarized Source Data'!$A882,'Category Mapping'!$A$28:$A$39,0),1),INDEX('Category Mapping'!$E$28:$E$39,MATCH($A882,'Category Mapping'!$A$28:$A$39,0),1))</f>
        <v>834062147.71428561</v>
      </c>
      <c r="L882" s="27">
        <f>L302*IF($E882="weekday",INDEX('Category Mapping'!$F$28:$F$39,MATCH('Summarized Source Data'!$A882,'Category Mapping'!$A$28:$A$39,0),1),INDEX('Category Mapping'!$E$28:$E$39,MATCH($A882,'Category Mapping'!$A$28:$A$39,0),1))</f>
        <v>235599999.99999997</v>
      </c>
      <c r="M882" s="27">
        <f>M302*IF($E882="weekday",INDEX('Category Mapping'!$F$28:$F$39,MATCH('Summarized Source Data'!$A882,'Category Mapping'!$A$28:$A$39,0),1),INDEX('Category Mapping'!$E$28:$E$39,MATCH($A882,'Category Mapping'!$A$28:$A$39,0),1))</f>
        <v>221632.28571428568</v>
      </c>
      <c r="N882" s="27">
        <f>N302*IF($E882="weekday",INDEX('Category Mapping'!$F$28:$F$39,MATCH('Summarized Source Data'!$A882,'Category Mapping'!$A$28:$A$39,0),1),INDEX('Category Mapping'!$E$28:$E$39,MATCH($A882,'Category Mapping'!$A$28:$A$39,0),1))</f>
        <v>0</v>
      </c>
      <c r="O882" s="27">
        <f>O302*IF($E882="weekday",INDEX('Category Mapping'!$F$28:$F$39,MATCH('Summarized Source Data'!$A882,'Category Mapping'!$A$28:$A$39,0),1),INDEX('Category Mapping'!$E$28:$E$39,MATCH($A882,'Category Mapping'!$A$28:$A$39,0),1))</f>
        <v>1145892653.4285712</v>
      </c>
      <c r="P882" s="27">
        <f>P302*IF($E882="weekday",INDEX('Category Mapping'!$F$28:$F$39,MATCH('Summarized Source Data'!$A882,'Category Mapping'!$A$28:$A$39,0),1),INDEX('Category Mapping'!$E$28:$E$39,MATCH($A882,'Category Mapping'!$A$28:$A$39,0),1))</f>
        <v>1145892653.4285712</v>
      </c>
      <c r="Q882" s="27">
        <f>Q302*IF($E882="weekday",INDEX('Category Mapping'!$F$28:$F$39,MATCH('Summarized Source Data'!$A882,'Category Mapping'!$A$28:$A$39,0),1),INDEX('Category Mapping'!$E$28:$E$39,MATCH($A882,'Category Mapping'!$A$28:$A$39,0),1))</f>
        <v>1145892653.4285712</v>
      </c>
      <c r="R882" s="27">
        <f>R302*IF($E882="weekday",INDEX('Category Mapping'!$F$28:$F$39,MATCH('Summarized Source Data'!$A882,'Category Mapping'!$A$28:$A$39,0),1),INDEX('Category Mapping'!$E$28:$E$39,MATCH($A882,'Category Mapping'!$A$28:$A$39,0),1))</f>
        <v>53400210.285714276</v>
      </c>
      <c r="S882" s="27">
        <f>S302*IF($E882="weekday",INDEX('Category Mapping'!$F$28:$F$39,MATCH('Summarized Source Data'!$A882,'Category Mapping'!$A$28:$A$39,0),1),INDEX('Category Mapping'!$E$28:$E$39,MATCH($A882,'Category Mapping'!$A$28:$A$39,0),1))</f>
        <v>53400210.285714276</v>
      </c>
      <c r="T882" s="27">
        <f>T302*IF($E882="weekday",INDEX('Category Mapping'!$F$28:$F$39,MATCH('Summarized Source Data'!$A882,'Category Mapping'!$A$28:$A$39,0),1),INDEX('Category Mapping'!$E$28:$E$39,MATCH($A882,'Category Mapping'!$A$28:$A$39,0),1))</f>
        <v>53400210.285714276</v>
      </c>
      <c r="U882" s="27">
        <f>U302*IF($E882="weekday",INDEX('Category Mapping'!$F$28:$F$39,MATCH('Summarized Source Data'!$A882,'Category Mapping'!$A$28:$A$39,0),1),INDEX('Category Mapping'!$E$28:$E$39,MATCH($A882,'Category Mapping'!$A$28:$A$39,0),1))</f>
        <v>53400210.285714276</v>
      </c>
      <c r="V882" s="27">
        <f>V302*IF($E882="weekday",INDEX('Category Mapping'!$F$28:$F$39,MATCH('Summarized Source Data'!$A882,'Category Mapping'!$A$28:$A$39,0),1),INDEX('Category Mapping'!$E$28:$E$39,MATCH($A882,'Category Mapping'!$A$28:$A$39,0),1))</f>
        <v>53400210.285714276</v>
      </c>
      <c r="W882" s="27">
        <f>W302*IF($E882="weekday",INDEX('Category Mapping'!$F$28:$F$39,MATCH('Summarized Source Data'!$A882,'Category Mapping'!$A$28:$A$39,0),1),INDEX('Category Mapping'!$E$28:$E$39,MATCH($A882,'Category Mapping'!$A$28:$A$39,0),1))</f>
        <v>53400210.285714276</v>
      </c>
      <c r="X882" s="27">
        <f>X302*IF($E882="weekday",INDEX('Category Mapping'!$F$28:$F$39,MATCH('Summarized Source Data'!$A882,'Category Mapping'!$A$28:$A$39,0),1),INDEX('Category Mapping'!$E$28:$E$39,MATCH($A882,'Category Mapping'!$A$28:$A$39,0),1))</f>
        <v>3082285714.2857137</v>
      </c>
      <c r="Y882" s="27">
        <f>Y302*IF($E882="weekday",INDEX('Category Mapping'!$F$28:$F$39,MATCH('Summarized Source Data'!$A882,'Category Mapping'!$A$28:$A$39,0),1),INDEX('Category Mapping'!$E$28:$E$39,MATCH($A882,'Category Mapping'!$A$28:$A$39,0),1))</f>
        <v>3082285714.2857137</v>
      </c>
      <c r="Z882" s="27">
        <f>Z302*IF($E882="weekday",INDEX('Category Mapping'!$F$28:$F$39,MATCH('Summarized Source Data'!$A882,'Category Mapping'!$A$28:$A$39,0),1),INDEX('Category Mapping'!$E$28:$E$39,MATCH($A882,'Category Mapping'!$A$28:$A$39,0),1))</f>
        <v>3082285714.2857137</v>
      </c>
    </row>
    <row r="883" spans="1:26" x14ac:dyDescent="0.3">
      <c r="A883">
        <f t="shared" ref="A883:E883" si="348">A303</f>
        <v>1</v>
      </c>
      <c r="B883" t="str">
        <f t="shared" si="348"/>
        <v>Winter</v>
      </c>
      <c r="C883" t="str">
        <f t="shared" si="348"/>
        <v>h12</v>
      </c>
      <c r="D883" t="str">
        <f t="shared" si="348"/>
        <v>Hour11</v>
      </c>
      <c r="E883" t="str">
        <f t="shared" si="348"/>
        <v>Weekend</v>
      </c>
      <c r="F883" s="27">
        <f>F303*IF($E883="weekday",INDEX('Category Mapping'!$F$28:$F$39,MATCH('Summarized Source Data'!$A883,'Category Mapping'!$A$28:$A$39,0),1),INDEX('Category Mapping'!$E$28:$E$39,MATCH($A883,'Category Mapping'!$A$28:$A$39,0),1))</f>
        <v>96542857.142857134</v>
      </c>
      <c r="G883" s="27">
        <f>G303*IF($E883="weekday",INDEX('Category Mapping'!$F$28:$F$39,MATCH('Summarized Source Data'!$A883,'Category Mapping'!$A$28:$A$39,0),1),INDEX('Category Mapping'!$E$28:$E$39,MATCH($A883,'Category Mapping'!$A$28:$A$39,0),1))</f>
        <v>38439.999999999993</v>
      </c>
      <c r="H883" s="27">
        <f>H303*IF($E883="weekday",INDEX('Category Mapping'!$F$28:$F$39,MATCH('Summarized Source Data'!$A883,'Category Mapping'!$A$28:$A$39,0),1),INDEX('Category Mapping'!$E$28:$E$39,MATCH($A883,'Category Mapping'!$A$28:$A$39,0),1))</f>
        <v>0</v>
      </c>
      <c r="I883" s="27">
        <f>I303*IF($E883="weekday",INDEX('Category Mapping'!$F$28:$F$39,MATCH('Summarized Source Data'!$A883,'Category Mapping'!$A$28:$A$39,0),1),INDEX('Category Mapping'!$E$28:$E$39,MATCH($A883,'Category Mapping'!$A$28:$A$39,0),1))</f>
        <v>75439491.999999985</v>
      </c>
      <c r="J883" s="27">
        <f>J303*IF($E883="weekday",INDEX('Category Mapping'!$F$28:$F$39,MATCH('Summarized Source Data'!$A883,'Category Mapping'!$A$28:$A$39,0),1),INDEX('Category Mapping'!$E$28:$E$39,MATCH($A883,'Category Mapping'!$A$28:$A$39,0),1))</f>
        <v>917407782.28571415</v>
      </c>
      <c r="K883" s="27">
        <f>K303*IF($E883="weekday",INDEX('Category Mapping'!$F$28:$F$39,MATCH('Summarized Source Data'!$A883,'Category Mapping'!$A$28:$A$39,0),1),INDEX('Category Mapping'!$E$28:$E$39,MATCH($A883,'Category Mapping'!$A$28:$A$39,0),1))</f>
        <v>917407782.28571415</v>
      </c>
      <c r="L883" s="27">
        <f>L303*IF($E883="weekday",INDEX('Category Mapping'!$F$28:$F$39,MATCH('Summarized Source Data'!$A883,'Category Mapping'!$A$28:$A$39,0),1),INDEX('Category Mapping'!$E$28:$E$39,MATCH($A883,'Category Mapping'!$A$28:$A$39,0),1))</f>
        <v>209914285.71428567</v>
      </c>
      <c r="M883" s="27">
        <f>M303*IF($E883="weekday",INDEX('Category Mapping'!$F$28:$F$39,MATCH('Summarized Source Data'!$A883,'Category Mapping'!$A$28:$A$39,0),1),INDEX('Category Mapping'!$E$28:$E$39,MATCH($A883,'Category Mapping'!$A$28:$A$39,0),1))</f>
        <v>223075.99999999997</v>
      </c>
      <c r="N883" s="27">
        <f>N303*IF($E883="weekday",INDEX('Category Mapping'!$F$28:$F$39,MATCH('Summarized Source Data'!$A883,'Category Mapping'!$A$28:$A$39,0),1),INDEX('Category Mapping'!$E$28:$E$39,MATCH($A883,'Category Mapping'!$A$28:$A$39,0),1))</f>
        <v>0</v>
      </c>
      <c r="O883" s="27">
        <f>O303*IF($E883="weekday",INDEX('Category Mapping'!$F$28:$F$39,MATCH('Summarized Source Data'!$A883,'Category Mapping'!$A$28:$A$39,0),1),INDEX('Category Mapping'!$E$28:$E$39,MATCH($A883,'Category Mapping'!$A$28:$A$39,0),1))</f>
        <v>1145005495.4285712</v>
      </c>
      <c r="P883" s="27">
        <f>P303*IF($E883="weekday",INDEX('Category Mapping'!$F$28:$F$39,MATCH('Summarized Source Data'!$A883,'Category Mapping'!$A$28:$A$39,0),1),INDEX('Category Mapping'!$E$28:$E$39,MATCH($A883,'Category Mapping'!$A$28:$A$39,0),1))</f>
        <v>1145005495.4285712</v>
      </c>
      <c r="Q883" s="27">
        <f>Q303*IF($E883="weekday",INDEX('Category Mapping'!$F$28:$F$39,MATCH('Summarized Source Data'!$A883,'Category Mapping'!$A$28:$A$39,0),1),INDEX('Category Mapping'!$E$28:$E$39,MATCH($A883,'Category Mapping'!$A$28:$A$39,0),1))</f>
        <v>1145005495.4285712</v>
      </c>
      <c r="R883" s="27">
        <f>R303*IF($E883="weekday",INDEX('Category Mapping'!$F$28:$F$39,MATCH('Summarized Source Data'!$A883,'Category Mapping'!$A$28:$A$39,0),1),INDEX('Category Mapping'!$E$28:$E$39,MATCH($A883,'Category Mapping'!$A$28:$A$39,0),1))</f>
        <v>55007949.999999993</v>
      </c>
      <c r="S883" s="27">
        <f>S303*IF($E883="weekday",INDEX('Category Mapping'!$F$28:$F$39,MATCH('Summarized Source Data'!$A883,'Category Mapping'!$A$28:$A$39,0),1),INDEX('Category Mapping'!$E$28:$E$39,MATCH($A883,'Category Mapping'!$A$28:$A$39,0),1))</f>
        <v>55007949.999999993</v>
      </c>
      <c r="T883" s="27">
        <f>T303*IF($E883="weekday",INDEX('Category Mapping'!$F$28:$F$39,MATCH('Summarized Source Data'!$A883,'Category Mapping'!$A$28:$A$39,0),1),INDEX('Category Mapping'!$E$28:$E$39,MATCH($A883,'Category Mapping'!$A$28:$A$39,0),1))</f>
        <v>55007949.999999993</v>
      </c>
      <c r="U883" s="27">
        <f>U303*IF($E883="weekday",INDEX('Category Mapping'!$F$28:$F$39,MATCH('Summarized Source Data'!$A883,'Category Mapping'!$A$28:$A$39,0),1),INDEX('Category Mapping'!$E$28:$E$39,MATCH($A883,'Category Mapping'!$A$28:$A$39,0),1))</f>
        <v>55007949.999999993</v>
      </c>
      <c r="V883" s="27">
        <f>V303*IF($E883="weekday",INDEX('Category Mapping'!$F$28:$F$39,MATCH('Summarized Source Data'!$A883,'Category Mapping'!$A$28:$A$39,0),1),INDEX('Category Mapping'!$E$28:$E$39,MATCH($A883,'Category Mapping'!$A$28:$A$39,0),1))</f>
        <v>55007949.999999993</v>
      </c>
      <c r="W883" s="27">
        <f>W303*IF($E883="weekday",INDEX('Category Mapping'!$F$28:$F$39,MATCH('Summarized Source Data'!$A883,'Category Mapping'!$A$28:$A$39,0),1),INDEX('Category Mapping'!$E$28:$E$39,MATCH($A883,'Category Mapping'!$A$28:$A$39,0),1))</f>
        <v>55007949.999999993</v>
      </c>
      <c r="X883" s="27">
        <f>X303*IF($E883="weekday",INDEX('Category Mapping'!$F$28:$F$39,MATCH('Summarized Source Data'!$A883,'Category Mapping'!$A$28:$A$39,0),1),INDEX('Category Mapping'!$E$28:$E$39,MATCH($A883,'Category Mapping'!$A$28:$A$39,0),1))</f>
        <v>3073428571.4285712</v>
      </c>
      <c r="Y883" s="27">
        <f>Y303*IF($E883="weekday",INDEX('Category Mapping'!$F$28:$F$39,MATCH('Summarized Source Data'!$A883,'Category Mapping'!$A$28:$A$39,0),1),INDEX('Category Mapping'!$E$28:$E$39,MATCH($A883,'Category Mapping'!$A$28:$A$39,0),1))</f>
        <v>3073428571.4285712</v>
      </c>
      <c r="Z883" s="27">
        <f>Z303*IF($E883="weekday",INDEX('Category Mapping'!$F$28:$F$39,MATCH('Summarized Source Data'!$A883,'Category Mapping'!$A$28:$A$39,0),1),INDEX('Category Mapping'!$E$28:$E$39,MATCH($A883,'Category Mapping'!$A$28:$A$39,0),1))</f>
        <v>3073428571.4285712</v>
      </c>
    </row>
    <row r="884" spans="1:26" x14ac:dyDescent="0.3">
      <c r="A884">
        <f t="shared" ref="A884:E884" si="349">A304</f>
        <v>1</v>
      </c>
      <c r="B884" t="str">
        <f t="shared" si="349"/>
        <v>Winter</v>
      </c>
      <c r="C884" t="str">
        <f t="shared" si="349"/>
        <v>h13</v>
      </c>
      <c r="D884" t="str">
        <f t="shared" si="349"/>
        <v>Hour12</v>
      </c>
      <c r="E884" t="str">
        <f t="shared" si="349"/>
        <v>Weekend</v>
      </c>
      <c r="F884" s="27">
        <f>F304*IF($E884="weekday",INDEX('Category Mapping'!$F$28:$F$39,MATCH('Summarized Source Data'!$A884,'Category Mapping'!$A$28:$A$39,0),1),INDEX('Category Mapping'!$E$28:$E$39,MATCH($A884,'Category Mapping'!$A$28:$A$39,0),1))</f>
        <v>94771428.571428552</v>
      </c>
      <c r="G884" s="27">
        <f>G304*IF($E884="weekday",INDEX('Category Mapping'!$F$28:$F$39,MATCH('Summarized Source Data'!$A884,'Category Mapping'!$A$28:$A$39,0),1),INDEX('Category Mapping'!$E$28:$E$39,MATCH($A884,'Category Mapping'!$A$28:$A$39,0),1))</f>
        <v>40078.57142857142</v>
      </c>
      <c r="H884" s="27">
        <f>H304*IF($E884="weekday",INDEX('Category Mapping'!$F$28:$F$39,MATCH('Summarized Source Data'!$A884,'Category Mapping'!$A$28:$A$39,0),1),INDEX('Category Mapping'!$E$28:$E$39,MATCH($A884,'Category Mapping'!$A$28:$A$39,0),1))</f>
        <v>0</v>
      </c>
      <c r="I884" s="27">
        <f>I304*IF($E884="weekday",INDEX('Category Mapping'!$F$28:$F$39,MATCH('Summarized Source Data'!$A884,'Category Mapping'!$A$28:$A$39,0),1),INDEX('Category Mapping'!$E$28:$E$39,MATCH($A884,'Category Mapping'!$A$28:$A$39,0),1))</f>
        <v>78061312.571428567</v>
      </c>
      <c r="J884" s="27">
        <f>J304*IF($E884="weekday",INDEX('Category Mapping'!$F$28:$F$39,MATCH('Summarized Source Data'!$A884,'Category Mapping'!$A$28:$A$39,0),1),INDEX('Category Mapping'!$E$28:$E$39,MATCH($A884,'Category Mapping'!$A$28:$A$39,0),1))</f>
        <v>836841465.99999988</v>
      </c>
      <c r="K884" s="27">
        <f>K304*IF($E884="weekday",INDEX('Category Mapping'!$F$28:$F$39,MATCH('Summarized Source Data'!$A884,'Category Mapping'!$A$28:$A$39,0),1),INDEX('Category Mapping'!$E$28:$E$39,MATCH($A884,'Category Mapping'!$A$28:$A$39,0),1))</f>
        <v>836841465.99999988</v>
      </c>
      <c r="L884" s="27">
        <f>L304*IF($E884="weekday",INDEX('Category Mapping'!$F$28:$F$39,MATCH('Summarized Source Data'!$A884,'Category Mapping'!$A$28:$A$39,0),1),INDEX('Category Mapping'!$E$28:$E$39,MATCH($A884,'Category Mapping'!$A$28:$A$39,0),1))</f>
        <v>190428571.4285714</v>
      </c>
      <c r="M884" s="27">
        <f>M304*IF($E884="weekday",INDEX('Category Mapping'!$F$28:$F$39,MATCH('Summarized Source Data'!$A884,'Category Mapping'!$A$28:$A$39,0),1),INDEX('Category Mapping'!$E$28:$E$39,MATCH($A884,'Category Mapping'!$A$28:$A$39,0),1))</f>
        <v>224298.28571428568</v>
      </c>
      <c r="N884" s="27">
        <f>N304*IF($E884="weekday",INDEX('Category Mapping'!$F$28:$F$39,MATCH('Summarized Source Data'!$A884,'Category Mapping'!$A$28:$A$39,0),1),INDEX('Category Mapping'!$E$28:$E$39,MATCH($A884,'Category Mapping'!$A$28:$A$39,0),1))</f>
        <v>0</v>
      </c>
      <c r="O884" s="27">
        <f>O304*IF($E884="weekday",INDEX('Category Mapping'!$F$28:$F$39,MATCH('Summarized Source Data'!$A884,'Category Mapping'!$A$28:$A$39,0),1),INDEX('Category Mapping'!$E$28:$E$39,MATCH($A884,'Category Mapping'!$A$28:$A$39,0),1))</f>
        <v>1137918558.8571427</v>
      </c>
      <c r="P884" s="27">
        <f>P304*IF($E884="weekday",INDEX('Category Mapping'!$F$28:$F$39,MATCH('Summarized Source Data'!$A884,'Category Mapping'!$A$28:$A$39,0),1),INDEX('Category Mapping'!$E$28:$E$39,MATCH($A884,'Category Mapping'!$A$28:$A$39,0),1))</f>
        <v>1137918558.8571427</v>
      </c>
      <c r="Q884" s="27">
        <f>Q304*IF($E884="weekday",INDEX('Category Mapping'!$F$28:$F$39,MATCH('Summarized Source Data'!$A884,'Category Mapping'!$A$28:$A$39,0),1),INDEX('Category Mapping'!$E$28:$E$39,MATCH($A884,'Category Mapping'!$A$28:$A$39,0),1))</f>
        <v>1137918558.8571427</v>
      </c>
      <c r="R884" s="27">
        <f>R304*IF($E884="weekday",INDEX('Category Mapping'!$F$28:$F$39,MATCH('Summarized Source Data'!$A884,'Category Mapping'!$A$28:$A$39,0),1),INDEX('Category Mapping'!$E$28:$E$39,MATCH($A884,'Category Mapping'!$A$28:$A$39,0),1))</f>
        <v>53782023.999999993</v>
      </c>
      <c r="S884" s="27">
        <f>S304*IF($E884="weekday",INDEX('Category Mapping'!$F$28:$F$39,MATCH('Summarized Source Data'!$A884,'Category Mapping'!$A$28:$A$39,0),1),INDEX('Category Mapping'!$E$28:$E$39,MATCH($A884,'Category Mapping'!$A$28:$A$39,0),1))</f>
        <v>53782023.999999993</v>
      </c>
      <c r="T884" s="27">
        <f>T304*IF($E884="weekday",INDEX('Category Mapping'!$F$28:$F$39,MATCH('Summarized Source Data'!$A884,'Category Mapping'!$A$28:$A$39,0),1),INDEX('Category Mapping'!$E$28:$E$39,MATCH($A884,'Category Mapping'!$A$28:$A$39,0),1))</f>
        <v>53782023.999999993</v>
      </c>
      <c r="U884" s="27">
        <f>U304*IF($E884="weekday",INDEX('Category Mapping'!$F$28:$F$39,MATCH('Summarized Source Data'!$A884,'Category Mapping'!$A$28:$A$39,0),1),INDEX('Category Mapping'!$E$28:$E$39,MATCH($A884,'Category Mapping'!$A$28:$A$39,0),1))</f>
        <v>53782023.999999993</v>
      </c>
      <c r="V884" s="27">
        <f>V304*IF($E884="weekday",INDEX('Category Mapping'!$F$28:$F$39,MATCH('Summarized Source Data'!$A884,'Category Mapping'!$A$28:$A$39,0),1),INDEX('Category Mapping'!$E$28:$E$39,MATCH($A884,'Category Mapping'!$A$28:$A$39,0),1))</f>
        <v>53782023.999999993</v>
      </c>
      <c r="W884" s="27">
        <f>W304*IF($E884="weekday",INDEX('Category Mapping'!$F$28:$F$39,MATCH('Summarized Source Data'!$A884,'Category Mapping'!$A$28:$A$39,0),1),INDEX('Category Mapping'!$E$28:$E$39,MATCH($A884,'Category Mapping'!$A$28:$A$39,0),1))</f>
        <v>53782023.999999993</v>
      </c>
      <c r="X884" s="27">
        <f>X304*IF($E884="weekday",INDEX('Category Mapping'!$F$28:$F$39,MATCH('Summarized Source Data'!$A884,'Category Mapping'!$A$28:$A$39,0),1),INDEX('Category Mapping'!$E$28:$E$39,MATCH($A884,'Category Mapping'!$A$28:$A$39,0),1))</f>
        <v>3073428571.4285712</v>
      </c>
      <c r="Y884" s="27">
        <f>Y304*IF($E884="weekday",INDEX('Category Mapping'!$F$28:$F$39,MATCH('Summarized Source Data'!$A884,'Category Mapping'!$A$28:$A$39,0),1),INDEX('Category Mapping'!$E$28:$E$39,MATCH($A884,'Category Mapping'!$A$28:$A$39,0),1))</f>
        <v>3073428571.4285712</v>
      </c>
      <c r="Z884" s="27">
        <f>Z304*IF($E884="weekday",INDEX('Category Mapping'!$F$28:$F$39,MATCH('Summarized Source Data'!$A884,'Category Mapping'!$A$28:$A$39,0),1),INDEX('Category Mapping'!$E$28:$E$39,MATCH($A884,'Category Mapping'!$A$28:$A$39,0),1))</f>
        <v>3073428571.4285712</v>
      </c>
    </row>
    <row r="885" spans="1:26" x14ac:dyDescent="0.3">
      <c r="A885">
        <f t="shared" ref="A885:E885" si="350">A305</f>
        <v>1</v>
      </c>
      <c r="B885" t="str">
        <f t="shared" si="350"/>
        <v>Winter</v>
      </c>
      <c r="C885" t="str">
        <f t="shared" si="350"/>
        <v>h14</v>
      </c>
      <c r="D885" t="str">
        <f t="shared" si="350"/>
        <v>Hour13</v>
      </c>
      <c r="E885" t="str">
        <f t="shared" si="350"/>
        <v>Weekend</v>
      </c>
      <c r="F885" s="27">
        <f>F305*IF($E885="weekday",INDEX('Category Mapping'!$F$28:$F$39,MATCH('Summarized Source Data'!$A885,'Category Mapping'!$A$28:$A$39,0),1),INDEX('Category Mapping'!$E$28:$E$39,MATCH($A885,'Category Mapping'!$A$28:$A$39,0),1))</f>
        <v>92999999.999999985</v>
      </c>
      <c r="G885" s="27">
        <f>G305*IF($E885="weekday",INDEX('Category Mapping'!$F$28:$F$39,MATCH('Summarized Source Data'!$A885,'Category Mapping'!$A$28:$A$39,0),1),INDEX('Category Mapping'!$E$28:$E$39,MATCH($A885,'Category Mapping'!$A$28:$A$39,0),1))</f>
        <v>40450.57142857142</v>
      </c>
      <c r="H885" s="27">
        <f>H305*IF($E885="weekday",INDEX('Category Mapping'!$F$28:$F$39,MATCH('Summarized Source Data'!$A885,'Category Mapping'!$A$28:$A$39,0),1),INDEX('Category Mapping'!$E$28:$E$39,MATCH($A885,'Category Mapping'!$A$28:$A$39,0),1))</f>
        <v>0</v>
      </c>
      <c r="I885" s="27">
        <f>I305*IF($E885="weekday",INDEX('Category Mapping'!$F$28:$F$39,MATCH('Summarized Source Data'!$A885,'Category Mapping'!$A$28:$A$39,0),1),INDEX('Category Mapping'!$E$28:$E$39,MATCH($A885,'Category Mapping'!$A$28:$A$39,0),1))</f>
        <v>77961297.714285702</v>
      </c>
      <c r="J885" s="27">
        <f>J305*IF($E885="weekday",INDEX('Category Mapping'!$F$28:$F$39,MATCH('Summarized Source Data'!$A885,'Category Mapping'!$A$28:$A$39,0),1),INDEX('Category Mapping'!$E$28:$E$39,MATCH($A885,'Category Mapping'!$A$28:$A$39,0),1))</f>
        <v>741283965.99999988</v>
      </c>
      <c r="K885" s="27">
        <f>K305*IF($E885="weekday",INDEX('Category Mapping'!$F$28:$F$39,MATCH('Summarized Source Data'!$A885,'Category Mapping'!$A$28:$A$39,0),1),INDEX('Category Mapping'!$E$28:$E$39,MATCH($A885,'Category Mapping'!$A$28:$A$39,0),1))</f>
        <v>741283965.99999988</v>
      </c>
      <c r="L885" s="27">
        <f>L305*IF($E885="weekday",INDEX('Category Mapping'!$F$28:$F$39,MATCH('Summarized Source Data'!$A885,'Category Mapping'!$A$28:$A$39,0),1),INDEX('Category Mapping'!$E$28:$E$39,MATCH($A885,'Category Mapping'!$A$28:$A$39,0),1))</f>
        <v>176257142.85714284</v>
      </c>
      <c r="M885" s="27">
        <f>M305*IF($E885="weekday",INDEX('Category Mapping'!$F$28:$F$39,MATCH('Summarized Source Data'!$A885,'Category Mapping'!$A$28:$A$39,0),1),INDEX('Category Mapping'!$E$28:$E$39,MATCH($A885,'Category Mapping'!$A$28:$A$39,0),1))</f>
        <v>224298.28571428568</v>
      </c>
      <c r="N885" s="27">
        <f>N305*IF($E885="weekday",INDEX('Category Mapping'!$F$28:$F$39,MATCH('Summarized Source Data'!$A885,'Category Mapping'!$A$28:$A$39,0),1),INDEX('Category Mapping'!$E$28:$E$39,MATCH($A885,'Category Mapping'!$A$28:$A$39,0),1))</f>
        <v>0</v>
      </c>
      <c r="O885" s="27">
        <f>O305*IF($E885="weekday",INDEX('Category Mapping'!$F$28:$F$39,MATCH('Summarized Source Data'!$A885,'Category Mapping'!$A$28:$A$39,0),1),INDEX('Category Mapping'!$E$28:$E$39,MATCH($A885,'Category Mapping'!$A$28:$A$39,0),1))</f>
        <v>1098947130.2857141</v>
      </c>
      <c r="P885" s="27">
        <f>P305*IF($E885="weekday",INDEX('Category Mapping'!$F$28:$F$39,MATCH('Summarized Source Data'!$A885,'Category Mapping'!$A$28:$A$39,0),1),INDEX('Category Mapping'!$E$28:$E$39,MATCH($A885,'Category Mapping'!$A$28:$A$39,0),1))</f>
        <v>1098947130.2857141</v>
      </c>
      <c r="Q885" s="27">
        <f>Q305*IF($E885="weekday",INDEX('Category Mapping'!$F$28:$F$39,MATCH('Summarized Source Data'!$A885,'Category Mapping'!$A$28:$A$39,0),1),INDEX('Category Mapping'!$E$28:$E$39,MATCH($A885,'Category Mapping'!$A$28:$A$39,0),1))</f>
        <v>1098947130.2857141</v>
      </c>
      <c r="R885" s="27">
        <f>R305*IF($E885="weekday",INDEX('Category Mapping'!$F$28:$F$39,MATCH('Summarized Source Data'!$A885,'Category Mapping'!$A$28:$A$39,0),1),INDEX('Category Mapping'!$E$28:$E$39,MATCH($A885,'Category Mapping'!$A$28:$A$39,0),1))</f>
        <v>51160628.571428567</v>
      </c>
      <c r="S885" s="27">
        <f>S305*IF($E885="weekday",INDEX('Category Mapping'!$F$28:$F$39,MATCH('Summarized Source Data'!$A885,'Category Mapping'!$A$28:$A$39,0),1),INDEX('Category Mapping'!$E$28:$E$39,MATCH($A885,'Category Mapping'!$A$28:$A$39,0),1))</f>
        <v>51160628.571428567</v>
      </c>
      <c r="T885" s="27">
        <f>T305*IF($E885="weekday",INDEX('Category Mapping'!$F$28:$F$39,MATCH('Summarized Source Data'!$A885,'Category Mapping'!$A$28:$A$39,0),1),INDEX('Category Mapping'!$E$28:$E$39,MATCH($A885,'Category Mapping'!$A$28:$A$39,0),1))</f>
        <v>51160628.571428567</v>
      </c>
      <c r="U885" s="27">
        <f>U305*IF($E885="weekday",INDEX('Category Mapping'!$F$28:$F$39,MATCH('Summarized Source Data'!$A885,'Category Mapping'!$A$28:$A$39,0),1),INDEX('Category Mapping'!$E$28:$E$39,MATCH($A885,'Category Mapping'!$A$28:$A$39,0),1))</f>
        <v>51160628.571428567</v>
      </c>
      <c r="V885" s="27">
        <f>V305*IF($E885="weekday",INDEX('Category Mapping'!$F$28:$F$39,MATCH('Summarized Source Data'!$A885,'Category Mapping'!$A$28:$A$39,0),1),INDEX('Category Mapping'!$E$28:$E$39,MATCH($A885,'Category Mapping'!$A$28:$A$39,0),1))</f>
        <v>51160628.571428567</v>
      </c>
      <c r="W885" s="27">
        <f>W305*IF($E885="weekday",INDEX('Category Mapping'!$F$28:$F$39,MATCH('Summarized Source Data'!$A885,'Category Mapping'!$A$28:$A$39,0),1),INDEX('Category Mapping'!$E$28:$E$39,MATCH($A885,'Category Mapping'!$A$28:$A$39,0),1))</f>
        <v>51160628.571428567</v>
      </c>
      <c r="X885" s="27">
        <f>X305*IF($E885="weekday",INDEX('Category Mapping'!$F$28:$F$39,MATCH('Summarized Source Data'!$A885,'Category Mapping'!$A$28:$A$39,0),1),INDEX('Category Mapping'!$E$28:$E$39,MATCH($A885,'Category Mapping'!$A$28:$A$39,0),1))</f>
        <v>3073428571.4285712</v>
      </c>
      <c r="Y885" s="27">
        <f>Y305*IF($E885="weekday",INDEX('Category Mapping'!$F$28:$F$39,MATCH('Summarized Source Data'!$A885,'Category Mapping'!$A$28:$A$39,0),1),INDEX('Category Mapping'!$E$28:$E$39,MATCH($A885,'Category Mapping'!$A$28:$A$39,0),1))</f>
        <v>3073428571.4285712</v>
      </c>
      <c r="Z885" s="27">
        <f>Z305*IF($E885="weekday",INDEX('Category Mapping'!$F$28:$F$39,MATCH('Summarized Source Data'!$A885,'Category Mapping'!$A$28:$A$39,0),1),INDEX('Category Mapping'!$E$28:$E$39,MATCH($A885,'Category Mapping'!$A$28:$A$39,0),1))</f>
        <v>3073428571.4285712</v>
      </c>
    </row>
    <row r="886" spans="1:26" x14ac:dyDescent="0.3">
      <c r="A886">
        <f t="shared" ref="A886:E886" si="351">A306</f>
        <v>1</v>
      </c>
      <c r="B886" t="str">
        <f t="shared" si="351"/>
        <v>Winter</v>
      </c>
      <c r="C886" t="str">
        <f t="shared" si="351"/>
        <v>h15</v>
      </c>
      <c r="D886" t="str">
        <f t="shared" si="351"/>
        <v>Hour14</v>
      </c>
      <c r="E886" t="str">
        <f t="shared" si="351"/>
        <v>Weekend</v>
      </c>
      <c r="F886" s="27">
        <f>F306*IF($E886="weekday",INDEX('Category Mapping'!$F$28:$F$39,MATCH('Summarized Source Data'!$A886,'Category Mapping'!$A$28:$A$39,0),1),INDEX('Category Mapping'!$E$28:$E$39,MATCH($A886,'Category Mapping'!$A$28:$A$39,0),1))</f>
        <v>92114285.714285702</v>
      </c>
      <c r="G886" s="27">
        <f>G306*IF($E886="weekday",INDEX('Category Mapping'!$F$28:$F$39,MATCH('Summarized Source Data'!$A886,'Category Mapping'!$A$28:$A$39,0),1),INDEX('Category Mapping'!$E$28:$E$39,MATCH($A886,'Category Mapping'!$A$28:$A$39,0),1))</f>
        <v>40370.857142857138</v>
      </c>
      <c r="H886" s="27">
        <f>H306*IF($E886="weekday",INDEX('Category Mapping'!$F$28:$F$39,MATCH('Summarized Source Data'!$A886,'Category Mapping'!$A$28:$A$39,0),1),INDEX('Category Mapping'!$E$28:$E$39,MATCH($A886,'Category Mapping'!$A$28:$A$39,0),1))</f>
        <v>0</v>
      </c>
      <c r="I886" s="27">
        <f>I306*IF($E886="weekday",INDEX('Category Mapping'!$F$28:$F$39,MATCH('Summarized Source Data'!$A886,'Category Mapping'!$A$28:$A$39,0),1),INDEX('Category Mapping'!$E$28:$E$39,MATCH($A886,'Category Mapping'!$A$28:$A$39,0),1))</f>
        <v>77140984.571428567</v>
      </c>
      <c r="J886" s="27">
        <f>J306*IF($E886="weekday",INDEX('Category Mapping'!$F$28:$F$39,MATCH('Summarized Source Data'!$A886,'Category Mapping'!$A$28:$A$39,0),1),INDEX('Category Mapping'!$E$28:$E$39,MATCH($A886,'Category Mapping'!$A$28:$A$39,0),1))</f>
        <v>769561501.71428561</v>
      </c>
      <c r="K886" s="27">
        <f>K306*IF($E886="weekday",INDEX('Category Mapping'!$F$28:$F$39,MATCH('Summarized Source Data'!$A886,'Category Mapping'!$A$28:$A$39,0),1),INDEX('Category Mapping'!$E$28:$E$39,MATCH($A886,'Category Mapping'!$A$28:$A$39,0),1))</f>
        <v>769561501.71428561</v>
      </c>
      <c r="L886" s="27">
        <f>L306*IF($E886="weekday",INDEX('Category Mapping'!$F$28:$F$39,MATCH('Summarized Source Data'!$A886,'Category Mapping'!$A$28:$A$39,0),1),INDEX('Category Mapping'!$E$28:$E$39,MATCH($A886,'Category Mapping'!$A$28:$A$39,0),1))</f>
        <v>166514285.7142857</v>
      </c>
      <c r="M886" s="27">
        <f>M306*IF($E886="weekday",INDEX('Category Mapping'!$F$28:$F$39,MATCH('Summarized Source Data'!$A886,'Category Mapping'!$A$28:$A$39,0),1),INDEX('Category Mapping'!$E$28:$E$39,MATCH($A886,'Category Mapping'!$A$28:$A$39,0),1))</f>
        <v>224298.28571428568</v>
      </c>
      <c r="N886" s="27">
        <f>N306*IF($E886="weekday",INDEX('Category Mapping'!$F$28:$F$39,MATCH('Summarized Source Data'!$A886,'Category Mapping'!$A$28:$A$39,0),1),INDEX('Category Mapping'!$E$28:$E$39,MATCH($A886,'Category Mapping'!$A$28:$A$39,0),1))</f>
        <v>0</v>
      </c>
      <c r="O886" s="27">
        <f>O306*IF($E886="weekday",INDEX('Category Mapping'!$F$28:$F$39,MATCH('Summarized Source Data'!$A886,'Category Mapping'!$A$28:$A$39,0),1),INDEX('Category Mapping'!$E$28:$E$39,MATCH($A886,'Category Mapping'!$A$28:$A$39,0),1))</f>
        <v>1046689987.4285712</v>
      </c>
      <c r="P886" s="27">
        <f>P306*IF($E886="weekday",INDEX('Category Mapping'!$F$28:$F$39,MATCH('Summarized Source Data'!$A886,'Category Mapping'!$A$28:$A$39,0),1),INDEX('Category Mapping'!$E$28:$E$39,MATCH($A886,'Category Mapping'!$A$28:$A$39,0),1))</f>
        <v>1046689987.4285712</v>
      </c>
      <c r="Q886" s="27">
        <f>Q306*IF($E886="weekday",INDEX('Category Mapping'!$F$28:$F$39,MATCH('Summarized Source Data'!$A886,'Category Mapping'!$A$28:$A$39,0),1),INDEX('Category Mapping'!$E$28:$E$39,MATCH($A886,'Category Mapping'!$A$28:$A$39,0),1))</f>
        <v>1046689987.4285712</v>
      </c>
      <c r="R886" s="27">
        <f>R306*IF($E886="weekday",INDEX('Category Mapping'!$F$28:$F$39,MATCH('Summarized Source Data'!$A886,'Category Mapping'!$A$28:$A$39,0),1),INDEX('Category Mapping'!$E$28:$E$39,MATCH($A886,'Category Mapping'!$A$28:$A$39,0),1))</f>
        <v>50538281.428571418</v>
      </c>
      <c r="S886" s="27">
        <f>S306*IF($E886="weekday",INDEX('Category Mapping'!$F$28:$F$39,MATCH('Summarized Source Data'!$A886,'Category Mapping'!$A$28:$A$39,0),1),INDEX('Category Mapping'!$E$28:$E$39,MATCH($A886,'Category Mapping'!$A$28:$A$39,0),1))</f>
        <v>50538281.428571418</v>
      </c>
      <c r="T886" s="27">
        <f>T306*IF($E886="weekday",INDEX('Category Mapping'!$F$28:$F$39,MATCH('Summarized Source Data'!$A886,'Category Mapping'!$A$28:$A$39,0),1),INDEX('Category Mapping'!$E$28:$E$39,MATCH($A886,'Category Mapping'!$A$28:$A$39,0),1))</f>
        <v>50538281.428571418</v>
      </c>
      <c r="U886" s="27">
        <f>U306*IF($E886="weekday",INDEX('Category Mapping'!$F$28:$F$39,MATCH('Summarized Source Data'!$A886,'Category Mapping'!$A$28:$A$39,0),1),INDEX('Category Mapping'!$E$28:$E$39,MATCH($A886,'Category Mapping'!$A$28:$A$39,0),1))</f>
        <v>50538281.428571418</v>
      </c>
      <c r="V886" s="27">
        <f>V306*IF($E886="weekday",INDEX('Category Mapping'!$F$28:$F$39,MATCH('Summarized Source Data'!$A886,'Category Mapping'!$A$28:$A$39,0),1),INDEX('Category Mapping'!$E$28:$E$39,MATCH($A886,'Category Mapping'!$A$28:$A$39,0),1))</f>
        <v>50538281.428571418</v>
      </c>
      <c r="W886" s="27">
        <f>W306*IF($E886="weekday",INDEX('Category Mapping'!$F$28:$F$39,MATCH('Summarized Source Data'!$A886,'Category Mapping'!$A$28:$A$39,0),1),INDEX('Category Mapping'!$E$28:$E$39,MATCH($A886,'Category Mapping'!$A$28:$A$39,0),1))</f>
        <v>50538281.428571418</v>
      </c>
      <c r="X886" s="27">
        <f>X306*IF($E886="weekday",INDEX('Category Mapping'!$F$28:$F$39,MATCH('Summarized Source Data'!$A886,'Category Mapping'!$A$28:$A$39,0),1),INDEX('Category Mapping'!$E$28:$E$39,MATCH($A886,'Category Mapping'!$A$28:$A$39,0),1))</f>
        <v>3091142857.1428566</v>
      </c>
      <c r="Y886" s="27">
        <f>Y306*IF($E886="weekday",INDEX('Category Mapping'!$F$28:$F$39,MATCH('Summarized Source Data'!$A886,'Category Mapping'!$A$28:$A$39,0),1),INDEX('Category Mapping'!$E$28:$E$39,MATCH($A886,'Category Mapping'!$A$28:$A$39,0),1))</f>
        <v>3091142857.1428566</v>
      </c>
      <c r="Z886" s="27">
        <f>Z306*IF($E886="weekday",INDEX('Category Mapping'!$F$28:$F$39,MATCH('Summarized Source Data'!$A886,'Category Mapping'!$A$28:$A$39,0),1),INDEX('Category Mapping'!$E$28:$E$39,MATCH($A886,'Category Mapping'!$A$28:$A$39,0),1))</f>
        <v>3091142857.1428566</v>
      </c>
    </row>
    <row r="887" spans="1:26" x14ac:dyDescent="0.3">
      <c r="A887">
        <f t="shared" ref="A887:E887" si="352">A307</f>
        <v>1</v>
      </c>
      <c r="B887" t="str">
        <f t="shared" si="352"/>
        <v>Winter</v>
      </c>
      <c r="C887" t="str">
        <f t="shared" si="352"/>
        <v>h16</v>
      </c>
      <c r="D887" t="str">
        <f t="shared" si="352"/>
        <v>Hour15</v>
      </c>
      <c r="E887" t="str">
        <f t="shared" si="352"/>
        <v>Weekend</v>
      </c>
      <c r="F887" s="27">
        <f>F307*IF($E887="weekday",INDEX('Category Mapping'!$F$28:$F$39,MATCH('Summarized Source Data'!$A887,'Category Mapping'!$A$28:$A$39,0),1),INDEX('Category Mapping'!$E$28:$E$39,MATCH($A887,'Category Mapping'!$A$28:$A$39,0),1))</f>
        <v>92999999.999999985</v>
      </c>
      <c r="G887" s="27">
        <f>G307*IF($E887="weekday",INDEX('Category Mapping'!$F$28:$F$39,MATCH('Summarized Source Data'!$A887,'Category Mapping'!$A$28:$A$39,0),1),INDEX('Category Mapping'!$E$28:$E$39,MATCH($A887,'Category Mapping'!$A$28:$A$39,0),1))</f>
        <v>40237.999999999993</v>
      </c>
      <c r="H887" s="27">
        <f>H307*IF($E887="weekday",INDEX('Category Mapping'!$F$28:$F$39,MATCH('Summarized Source Data'!$A887,'Category Mapping'!$A$28:$A$39,0),1),INDEX('Category Mapping'!$E$28:$E$39,MATCH($A887,'Category Mapping'!$A$28:$A$39,0),1))</f>
        <v>0</v>
      </c>
      <c r="I887" s="27">
        <f>I307*IF($E887="weekday",INDEX('Category Mapping'!$F$28:$F$39,MATCH('Summarized Source Data'!$A887,'Category Mapping'!$A$28:$A$39,0),1),INDEX('Category Mapping'!$E$28:$E$39,MATCH($A887,'Category Mapping'!$A$28:$A$39,0),1))</f>
        <v>77334575.142857134</v>
      </c>
      <c r="J887" s="27">
        <f>J307*IF($E887="weekday",INDEX('Category Mapping'!$F$28:$F$39,MATCH('Summarized Source Data'!$A887,'Category Mapping'!$A$28:$A$39,0),1),INDEX('Category Mapping'!$E$28:$E$39,MATCH($A887,'Category Mapping'!$A$28:$A$39,0),1))</f>
        <v>795053758.28571415</v>
      </c>
      <c r="K887" s="27">
        <f>K307*IF($E887="weekday",INDEX('Category Mapping'!$F$28:$F$39,MATCH('Summarized Source Data'!$A887,'Category Mapping'!$A$28:$A$39,0),1),INDEX('Category Mapping'!$E$28:$E$39,MATCH($A887,'Category Mapping'!$A$28:$A$39,0),1))</f>
        <v>795053758.28571415</v>
      </c>
      <c r="L887" s="27">
        <f>L307*IF($E887="weekday",INDEX('Category Mapping'!$F$28:$F$39,MATCH('Summarized Source Data'!$A887,'Category Mapping'!$A$28:$A$39,0),1),INDEX('Category Mapping'!$E$28:$E$39,MATCH($A887,'Category Mapping'!$A$28:$A$39,0),1))</f>
        <v>171828571.4285714</v>
      </c>
      <c r="M887" s="27">
        <f>M307*IF($E887="weekday",INDEX('Category Mapping'!$F$28:$F$39,MATCH('Summarized Source Data'!$A887,'Category Mapping'!$A$28:$A$39,0),1),INDEX('Category Mapping'!$E$28:$E$39,MATCH($A887,'Category Mapping'!$A$28:$A$39,0),1))</f>
        <v>224351.42857142855</v>
      </c>
      <c r="N887" s="27">
        <f>N307*IF($E887="weekday",INDEX('Category Mapping'!$F$28:$F$39,MATCH('Summarized Source Data'!$A887,'Category Mapping'!$A$28:$A$39,0),1),INDEX('Category Mapping'!$E$28:$E$39,MATCH($A887,'Category Mapping'!$A$28:$A$39,0),1))</f>
        <v>0</v>
      </c>
      <c r="O887" s="27">
        <f>O307*IF($E887="weekday",INDEX('Category Mapping'!$F$28:$F$39,MATCH('Summarized Source Data'!$A887,'Category Mapping'!$A$28:$A$39,0),1),INDEX('Category Mapping'!$E$28:$E$39,MATCH($A887,'Category Mapping'!$A$28:$A$39,0),1))</f>
        <v>970518505.71428561</v>
      </c>
      <c r="P887" s="27">
        <f>P307*IF($E887="weekday",INDEX('Category Mapping'!$F$28:$F$39,MATCH('Summarized Source Data'!$A887,'Category Mapping'!$A$28:$A$39,0),1),INDEX('Category Mapping'!$E$28:$E$39,MATCH($A887,'Category Mapping'!$A$28:$A$39,0),1))</f>
        <v>970518505.71428561</v>
      </c>
      <c r="Q887" s="27">
        <f>Q307*IF($E887="weekday",INDEX('Category Mapping'!$F$28:$F$39,MATCH('Summarized Source Data'!$A887,'Category Mapping'!$A$28:$A$39,0),1),INDEX('Category Mapping'!$E$28:$E$39,MATCH($A887,'Category Mapping'!$A$28:$A$39,0),1))</f>
        <v>970518505.71428561</v>
      </c>
      <c r="R887" s="27">
        <f>R307*IF($E887="weekday",INDEX('Category Mapping'!$F$28:$F$39,MATCH('Summarized Source Data'!$A887,'Category Mapping'!$A$28:$A$39,0),1),INDEX('Category Mapping'!$E$28:$E$39,MATCH($A887,'Category Mapping'!$A$28:$A$39,0),1))</f>
        <v>49604747.428571418</v>
      </c>
      <c r="S887" s="27">
        <f>S307*IF($E887="weekday",INDEX('Category Mapping'!$F$28:$F$39,MATCH('Summarized Source Data'!$A887,'Category Mapping'!$A$28:$A$39,0),1),INDEX('Category Mapping'!$E$28:$E$39,MATCH($A887,'Category Mapping'!$A$28:$A$39,0),1))</f>
        <v>49604747.428571418</v>
      </c>
      <c r="T887" s="27">
        <f>T307*IF($E887="weekday",INDEX('Category Mapping'!$F$28:$F$39,MATCH('Summarized Source Data'!$A887,'Category Mapping'!$A$28:$A$39,0),1),INDEX('Category Mapping'!$E$28:$E$39,MATCH($A887,'Category Mapping'!$A$28:$A$39,0),1))</f>
        <v>49604747.428571418</v>
      </c>
      <c r="U887" s="27">
        <f>U307*IF($E887="weekday",INDEX('Category Mapping'!$F$28:$F$39,MATCH('Summarized Source Data'!$A887,'Category Mapping'!$A$28:$A$39,0),1),INDEX('Category Mapping'!$E$28:$E$39,MATCH($A887,'Category Mapping'!$A$28:$A$39,0),1))</f>
        <v>49604747.428571418</v>
      </c>
      <c r="V887" s="27">
        <f>V307*IF($E887="weekday",INDEX('Category Mapping'!$F$28:$F$39,MATCH('Summarized Source Data'!$A887,'Category Mapping'!$A$28:$A$39,0),1),INDEX('Category Mapping'!$E$28:$E$39,MATCH($A887,'Category Mapping'!$A$28:$A$39,0),1))</f>
        <v>49604747.428571418</v>
      </c>
      <c r="W887" s="27">
        <f>W307*IF($E887="weekday",INDEX('Category Mapping'!$F$28:$F$39,MATCH('Summarized Source Data'!$A887,'Category Mapping'!$A$28:$A$39,0),1),INDEX('Category Mapping'!$E$28:$E$39,MATCH($A887,'Category Mapping'!$A$28:$A$39,0),1))</f>
        <v>49604747.428571418</v>
      </c>
      <c r="X887" s="27">
        <f>X307*IF($E887="weekday",INDEX('Category Mapping'!$F$28:$F$39,MATCH('Summarized Source Data'!$A887,'Category Mapping'!$A$28:$A$39,0),1),INDEX('Category Mapping'!$E$28:$E$39,MATCH($A887,'Category Mapping'!$A$28:$A$39,0),1))</f>
        <v>3117714285.7142854</v>
      </c>
      <c r="Y887" s="27">
        <f>Y307*IF($E887="weekday",INDEX('Category Mapping'!$F$28:$F$39,MATCH('Summarized Source Data'!$A887,'Category Mapping'!$A$28:$A$39,0),1),INDEX('Category Mapping'!$E$28:$E$39,MATCH($A887,'Category Mapping'!$A$28:$A$39,0),1))</f>
        <v>3117714285.7142854</v>
      </c>
      <c r="Z887" s="27">
        <f>Z307*IF($E887="weekday",INDEX('Category Mapping'!$F$28:$F$39,MATCH('Summarized Source Data'!$A887,'Category Mapping'!$A$28:$A$39,0),1),INDEX('Category Mapping'!$E$28:$E$39,MATCH($A887,'Category Mapping'!$A$28:$A$39,0),1))</f>
        <v>3117714285.7142854</v>
      </c>
    </row>
    <row r="888" spans="1:26" x14ac:dyDescent="0.3">
      <c r="A888">
        <f t="shared" ref="A888:E888" si="353">A308</f>
        <v>1</v>
      </c>
      <c r="B888" t="str">
        <f t="shared" si="353"/>
        <v>Winter</v>
      </c>
      <c r="C888" t="str">
        <f t="shared" si="353"/>
        <v>h17</v>
      </c>
      <c r="D888" t="str">
        <f t="shared" si="353"/>
        <v>Hour16</v>
      </c>
      <c r="E888" t="str">
        <f t="shared" si="353"/>
        <v>Weekend</v>
      </c>
      <c r="F888" s="27">
        <f>F308*IF($E888="weekday",INDEX('Category Mapping'!$F$28:$F$39,MATCH('Summarized Source Data'!$A888,'Category Mapping'!$A$28:$A$39,0),1),INDEX('Category Mapping'!$E$28:$E$39,MATCH($A888,'Category Mapping'!$A$28:$A$39,0),1))</f>
        <v>95657142.857142851</v>
      </c>
      <c r="G888" s="27">
        <f>G308*IF($E888="weekday",INDEX('Category Mapping'!$F$28:$F$39,MATCH('Summarized Source Data'!$A888,'Category Mapping'!$A$28:$A$39,0),1),INDEX('Category Mapping'!$E$28:$E$39,MATCH($A888,'Category Mapping'!$A$28:$A$39,0),1))</f>
        <v>40556.857142857138</v>
      </c>
      <c r="H888" s="27">
        <f>H308*IF($E888="weekday",INDEX('Category Mapping'!$F$28:$F$39,MATCH('Summarized Source Data'!$A888,'Category Mapping'!$A$28:$A$39,0),1),INDEX('Category Mapping'!$E$28:$E$39,MATCH($A888,'Category Mapping'!$A$28:$A$39,0),1))</f>
        <v>0</v>
      </c>
      <c r="I888" s="27">
        <f>I308*IF($E888="weekday",INDEX('Category Mapping'!$F$28:$F$39,MATCH('Summarized Source Data'!$A888,'Category Mapping'!$A$28:$A$39,0),1),INDEX('Category Mapping'!$E$28:$E$39,MATCH($A888,'Category Mapping'!$A$28:$A$39,0),1))</f>
        <v>240914285.71428567</v>
      </c>
      <c r="J888" s="27">
        <f>J308*IF($E888="weekday",INDEX('Category Mapping'!$F$28:$F$39,MATCH('Summarized Source Data'!$A888,'Category Mapping'!$A$28:$A$39,0),1),INDEX('Category Mapping'!$E$28:$E$39,MATCH($A888,'Category Mapping'!$A$28:$A$39,0),1))</f>
        <v>850245157.42857134</v>
      </c>
      <c r="K888" s="27">
        <f>K308*IF($E888="weekday",INDEX('Category Mapping'!$F$28:$F$39,MATCH('Summarized Source Data'!$A888,'Category Mapping'!$A$28:$A$39,0),1),INDEX('Category Mapping'!$E$28:$E$39,MATCH($A888,'Category Mapping'!$A$28:$A$39,0),1))</f>
        <v>850245157.42857134</v>
      </c>
      <c r="L888" s="27">
        <f>L308*IF($E888="weekday",INDEX('Category Mapping'!$F$28:$F$39,MATCH('Summarized Source Data'!$A888,'Category Mapping'!$A$28:$A$39,0),1),INDEX('Category Mapping'!$E$28:$E$39,MATCH($A888,'Category Mapping'!$A$28:$A$39,0),1))</f>
        <v>170057142.85714284</v>
      </c>
      <c r="M888" s="27">
        <f>M308*IF($E888="weekday",INDEX('Category Mapping'!$F$28:$F$39,MATCH('Summarized Source Data'!$A888,'Category Mapping'!$A$28:$A$39,0),1),INDEX('Category Mapping'!$E$28:$E$39,MATCH($A888,'Category Mapping'!$A$28:$A$39,0),1))</f>
        <v>221942.28571428568</v>
      </c>
      <c r="N888" s="27">
        <f>N308*IF($E888="weekday",INDEX('Category Mapping'!$F$28:$F$39,MATCH('Summarized Source Data'!$A888,'Category Mapping'!$A$28:$A$39,0),1),INDEX('Category Mapping'!$E$28:$E$39,MATCH($A888,'Category Mapping'!$A$28:$A$39,0),1))</f>
        <v>0</v>
      </c>
      <c r="O888" s="27">
        <f>O308*IF($E888="weekday",INDEX('Category Mapping'!$F$28:$F$39,MATCH('Summarized Source Data'!$A888,'Category Mapping'!$A$28:$A$39,0),1),INDEX('Category Mapping'!$E$28:$E$39,MATCH($A888,'Category Mapping'!$A$28:$A$39,0),1))</f>
        <v>928006629.14285696</v>
      </c>
      <c r="P888" s="27">
        <f>P308*IF($E888="weekday",INDEX('Category Mapping'!$F$28:$F$39,MATCH('Summarized Source Data'!$A888,'Category Mapping'!$A$28:$A$39,0),1),INDEX('Category Mapping'!$E$28:$E$39,MATCH($A888,'Category Mapping'!$A$28:$A$39,0),1))</f>
        <v>928006629.14285696</v>
      </c>
      <c r="Q888" s="27">
        <f>Q308*IF($E888="weekday",INDEX('Category Mapping'!$F$28:$F$39,MATCH('Summarized Source Data'!$A888,'Category Mapping'!$A$28:$A$39,0),1),INDEX('Category Mapping'!$E$28:$E$39,MATCH($A888,'Category Mapping'!$A$28:$A$39,0),1))</f>
        <v>928006629.14285696</v>
      </c>
      <c r="R888" s="27">
        <f>R308*IF($E888="weekday",INDEX('Category Mapping'!$F$28:$F$39,MATCH('Summarized Source Data'!$A888,'Category Mapping'!$A$28:$A$39,0),1),INDEX('Category Mapping'!$E$28:$E$39,MATCH($A888,'Category Mapping'!$A$28:$A$39,0),1))</f>
        <v>56931987.142857134</v>
      </c>
      <c r="S888" s="27">
        <f>S308*IF($E888="weekday",INDEX('Category Mapping'!$F$28:$F$39,MATCH('Summarized Source Data'!$A888,'Category Mapping'!$A$28:$A$39,0),1),INDEX('Category Mapping'!$E$28:$E$39,MATCH($A888,'Category Mapping'!$A$28:$A$39,0),1))</f>
        <v>56931987.142857134</v>
      </c>
      <c r="T888" s="27">
        <f>T308*IF($E888="weekday",INDEX('Category Mapping'!$F$28:$F$39,MATCH('Summarized Source Data'!$A888,'Category Mapping'!$A$28:$A$39,0),1),INDEX('Category Mapping'!$E$28:$E$39,MATCH($A888,'Category Mapping'!$A$28:$A$39,0),1))</f>
        <v>56931987.142857134</v>
      </c>
      <c r="U888" s="27">
        <f>U308*IF($E888="weekday",INDEX('Category Mapping'!$F$28:$F$39,MATCH('Summarized Source Data'!$A888,'Category Mapping'!$A$28:$A$39,0),1),INDEX('Category Mapping'!$E$28:$E$39,MATCH($A888,'Category Mapping'!$A$28:$A$39,0),1))</f>
        <v>56931987.142857134</v>
      </c>
      <c r="V888" s="27">
        <f>V308*IF($E888="weekday",INDEX('Category Mapping'!$F$28:$F$39,MATCH('Summarized Source Data'!$A888,'Category Mapping'!$A$28:$A$39,0),1),INDEX('Category Mapping'!$E$28:$E$39,MATCH($A888,'Category Mapping'!$A$28:$A$39,0),1))</f>
        <v>56931987.142857134</v>
      </c>
      <c r="W888" s="27">
        <f>W308*IF($E888="weekday",INDEX('Category Mapping'!$F$28:$F$39,MATCH('Summarized Source Data'!$A888,'Category Mapping'!$A$28:$A$39,0),1),INDEX('Category Mapping'!$E$28:$E$39,MATCH($A888,'Category Mapping'!$A$28:$A$39,0),1))</f>
        <v>56931987.142857134</v>
      </c>
      <c r="X888" s="27">
        <f>X308*IF($E888="weekday",INDEX('Category Mapping'!$F$28:$F$39,MATCH('Summarized Source Data'!$A888,'Category Mapping'!$A$28:$A$39,0),1),INDEX('Category Mapping'!$E$28:$E$39,MATCH($A888,'Category Mapping'!$A$28:$A$39,0),1))</f>
        <v>3161999999.9999995</v>
      </c>
      <c r="Y888" s="27">
        <f>Y308*IF($E888="weekday",INDEX('Category Mapping'!$F$28:$F$39,MATCH('Summarized Source Data'!$A888,'Category Mapping'!$A$28:$A$39,0),1),INDEX('Category Mapping'!$E$28:$E$39,MATCH($A888,'Category Mapping'!$A$28:$A$39,0),1))</f>
        <v>3161999999.9999995</v>
      </c>
      <c r="Z888" s="27">
        <f>Z308*IF($E888="weekday",INDEX('Category Mapping'!$F$28:$F$39,MATCH('Summarized Source Data'!$A888,'Category Mapping'!$A$28:$A$39,0),1),INDEX('Category Mapping'!$E$28:$E$39,MATCH($A888,'Category Mapping'!$A$28:$A$39,0),1))</f>
        <v>3161999999.9999995</v>
      </c>
    </row>
    <row r="889" spans="1:26" x14ac:dyDescent="0.3">
      <c r="A889">
        <f t="shared" ref="A889:E889" si="354">A309</f>
        <v>1</v>
      </c>
      <c r="B889" t="str">
        <f t="shared" si="354"/>
        <v>Winter</v>
      </c>
      <c r="C889" t="str">
        <f t="shared" si="354"/>
        <v>h18</v>
      </c>
      <c r="D889" t="str">
        <f t="shared" si="354"/>
        <v>Hour17</v>
      </c>
      <c r="E889" t="str">
        <f t="shared" si="354"/>
        <v>Weekend</v>
      </c>
      <c r="F889" s="27">
        <f>F309*IF($E889="weekday",INDEX('Category Mapping'!$F$28:$F$39,MATCH('Summarized Source Data'!$A889,'Category Mapping'!$A$28:$A$39,0),1),INDEX('Category Mapping'!$E$28:$E$39,MATCH($A889,'Category Mapping'!$A$28:$A$39,0),1))</f>
        <v>100971428.57142855</v>
      </c>
      <c r="G889" s="27">
        <f>G309*IF($E889="weekday",INDEX('Category Mapping'!$F$28:$F$39,MATCH('Summarized Source Data'!$A889,'Category Mapping'!$A$28:$A$39,0),1),INDEX('Category Mapping'!$E$28:$E$39,MATCH($A889,'Category Mapping'!$A$28:$A$39,0),1))</f>
        <v>42159.999999999993</v>
      </c>
      <c r="H889" s="27">
        <f>H309*IF($E889="weekday",INDEX('Category Mapping'!$F$28:$F$39,MATCH('Summarized Source Data'!$A889,'Category Mapping'!$A$28:$A$39,0),1),INDEX('Category Mapping'!$E$28:$E$39,MATCH($A889,'Category Mapping'!$A$28:$A$39,0),1))</f>
        <v>0</v>
      </c>
      <c r="I889" s="27">
        <f>I309*IF($E889="weekday",INDEX('Category Mapping'!$F$28:$F$39,MATCH('Summarized Source Data'!$A889,'Category Mapping'!$A$28:$A$39,0),1),INDEX('Category Mapping'!$E$28:$E$39,MATCH($A889,'Category Mapping'!$A$28:$A$39,0),1))</f>
        <v>278114285.71428567</v>
      </c>
      <c r="J889" s="27">
        <f>J309*IF($E889="weekday",INDEX('Category Mapping'!$F$28:$F$39,MATCH('Summarized Source Data'!$A889,'Category Mapping'!$A$28:$A$39,0),1),INDEX('Category Mapping'!$E$28:$E$39,MATCH($A889,'Category Mapping'!$A$28:$A$39,0),1))</f>
        <v>852014982.85714269</v>
      </c>
      <c r="K889" s="27">
        <f>K309*IF($E889="weekday",INDEX('Category Mapping'!$F$28:$F$39,MATCH('Summarized Source Data'!$A889,'Category Mapping'!$A$28:$A$39,0),1),INDEX('Category Mapping'!$E$28:$E$39,MATCH($A889,'Category Mapping'!$A$28:$A$39,0),1))</f>
        <v>852014982.85714269</v>
      </c>
      <c r="L889" s="27">
        <f>L309*IF($E889="weekday",INDEX('Category Mapping'!$F$28:$F$39,MATCH('Summarized Source Data'!$A889,'Category Mapping'!$A$28:$A$39,0),1),INDEX('Category Mapping'!$E$28:$E$39,MATCH($A889,'Category Mapping'!$A$28:$A$39,0),1))</f>
        <v>183342857.1428571</v>
      </c>
      <c r="M889" s="27">
        <f>M309*IF($E889="weekday",INDEX('Category Mapping'!$F$28:$F$39,MATCH('Summarized Source Data'!$A889,'Category Mapping'!$A$28:$A$39,0),1),INDEX('Category Mapping'!$E$28:$E$39,MATCH($A889,'Category Mapping'!$A$28:$A$39,0),1))</f>
        <v>216574.8571428571</v>
      </c>
      <c r="N889" s="27">
        <f>N309*IF($E889="weekday",INDEX('Category Mapping'!$F$28:$F$39,MATCH('Summarized Source Data'!$A889,'Category Mapping'!$A$28:$A$39,0),1),INDEX('Category Mapping'!$E$28:$E$39,MATCH($A889,'Category Mapping'!$A$28:$A$39,0),1))</f>
        <v>0</v>
      </c>
      <c r="O889" s="27">
        <f>O309*IF($E889="weekday",INDEX('Category Mapping'!$F$28:$F$39,MATCH('Summarized Source Data'!$A889,'Category Mapping'!$A$28:$A$39,0),1),INDEX('Category Mapping'!$E$28:$E$39,MATCH($A889,'Category Mapping'!$A$28:$A$39,0),1))</f>
        <v>932440567.99999988</v>
      </c>
      <c r="P889" s="27">
        <f>P309*IF($E889="weekday",INDEX('Category Mapping'!$F$28:$F$39,MATCH('Summarized Source Data'!$A889,'Category Mapping'!$A$28:$A$39,0),1),INDEX('Category Mapping'!$E$28:$E$39,MATCH($A889,'Category Mapping'!$A$28:$A$39,0),1))</f>
        <v>932440567.99999988</v>
      </c>
      <c r="Q889" s="27">
        <f>Q309*IF($E889="weekday",INDEX('Category Mapping'!$F$28:$F$39,MATCH('Summarized Source Data'!$A889,'Category Mapping'!$A$28:$A$39,0),1),INDEX('Category Mapping'!$E$28:$E$39,MATCH($A889,'Category Mapping'!$A$28:$A$39,0),1))</f>
        <v>932440567.99999988</v>
      </c>
      <c r="R889" s="27">
        <f>R309*IF($E889="weekday",INDEX('Category Mapping'!$F$28:$F$39,MATCH('Summarized Source Data'!$A889,'Category Mapping'!$A$28:$A$39,0),1),INDEX('Category Mapping'!$E$28:$E$39,MATCH($A889,'Category Mapping'!$A$28:$A$39,0),1))</f>
        <v>56983845.714285709</v>
      </c>
      <c r="S889" s="27">
        <f>S309*IF($E889="weekday",INDEX('Category Mapping'!$F$28:$F$39,MATCH('Summarized Source Data'!$A889,'Category Mapping'!$A$28:$A$39,0),1),INDEX('Category Mapping'!$E$28:$E$39,MATCH($A889,'Category Mapping'!$A$28:$A$39,0),1))</f>
        <v>56983845.714285709</v>
      </c>
      <c r="T889" s="27">
        <f>T309*IF($E889="weekday",INDEX('Category Mapping'!$F$28:$F$39,MATCH('Summarized Source Data'!$A889,'Category Mapping'!$A$28:$A$39,0),1),INDEX('Category Mapping'!$E$28:$E$39,MATCH($A889,'Category Mapping'!$A$28:$A$39,0),1))</f>
        <v>56983845.714285709</v>
      </c>
      <c r="U889" s="27">
        <f>U309*IF($E889="weekday",INDEX('Category Mapping'!$F$28:$F$39,MATCH('Summarized Source Data'!$A889,'Category Mapping'!$A$28:$A$39,0),1),INDEX('Category Mapping'!$E$28:$E$39,MATCH($A889,'Category Mapping'!$A$28:$A$39,0),1))</f>
        <v>56983845.714285709</v>
      </c>
      <c r="V889" s="27">
        <f>V309*IF($E889="weekday",INDEX('Category Mapping'!$F$28:$F$39,MATCH('Summarized Source Data'!$A889,'Category Mapping'!$A$28:$A$39,0),1),INDEX('Category Mapping'!$E$28:$E$39,MATCH($A889,'Category Mapping'!$A$28:$A$39,0),1))</f>
        <v>56983845.714285709</v>
      </c>
      <c r="W889" s="27">
        <f>W309*IF($E889="weekday",INDEX('Category Mapping'!$F$28:$F$39,MATCH('Summarized Source Data'!$A889,'Category Mapping'!$A$28:$A$39,0),1),INDEX('Category Mapping'!$E$28:$E$39,MATCH($A889,'Category Mapping'!$A$28:$A$39,0),1))</f>
        <v>56983845.714285709</v>
      </c>
      <c r="X889" s="27">
        <f>X309*IF($E889="weekday",INDEX('Category Mapping'!$F$28:$F$39,MATCH('Summarized Source Data'!$A889,'Category Mapping'!$A$28:$A$39,0),1),INDEX('Category Mapping'!$E$28:$E$39,MATCH($A889,'Category Mapping'!$A$28:$A$39,0),1))</f>
        <v>3161999999.9999995</v>
      </c>
      <c r="Y889" s="27">
        <f>Y309*IF($E889="weekday",INDEX('Category Mapping'!$F$28:$F$39,MATCH('Summarized Source Data'!$A889,'Category Mapping'!$A$28:$A$39,0),1),INDEX('Category Mapping'!$E$28:$E$39,MATCH($A889,'Category Mapping'!$A$28:$A$39,0),1))</f>
        <v>3161999999.9999995</v>
      </c>
      <c r="Z889" s="27">
        <f>Z309*IF($E889="weekday",INDEX('Category Mapping'!$F$28:$F$39,MATCH('Summarized Source Data'!$A889,'Category Mapping'!$A$28:$A$39,0),1),INDEX('Category Mapping'!$E$28:$E$39,MATCH($A889,'Category Mapping'!$A$28:$A$39,0),1))</f>
        <v>3161999999.9999995</v>
      </c>
    </row>
    <row r="890" spans="1:26" x14ac:dyDescent="0.3">
      <c r="A890">
        <f t="shared" ref="A890:E890" si="355">A310</f>
        <v>1</v>
      </c>
      <c r="B890" t="str">
        <f t="shared" si="355"/>
        <v>Winter</v>
      </c>
      <c r="C890" t="str">
        <f t="shared" si="355"/>
        <v>h19</v>
      </c>
      <c r="D890" t="str">
        <f t="shared" si="355"/>
        <v>Hour18</v>
      </c>
      <c r="E890" t="str">
        <f t="shared" si="355"/>
        <v>Weekend</v>
      </c>
      <c r="F890" s="27">
        <f>F310*IF($E890="weekday",INDEX('Category Mapping'!$F$28:$F$39,MATCH('Summarized Source Data'!$A890,'Category Mapping'!$A$28:$A$39,0),1),INDEX('Category Mapping'!$E$28:$E$39,MATCH($A890,'Category Mapping'!$A$28:$A$39,0),1))</f>
        <v>107171428.57142855</v>
      </c>
      <c r="G890" s="27">
        <f>G310*IF($E890="weekday",INDEX('Category Mapping'!$F$28:$F$39,MATCH('Summarized Source Data'!$A890,'Category Mapping'!$A$28:$A$39,0),1),INDEX('Category Mapping'!$E$28:$E$39,MATCH($A890,'Category Mapping'!$A$28:$A$39,0),1))</f>
        <v>44755.142857142848</v>
      </c>
      <c r="H890" s="27">
        <f>H310*IF($E890="weekday",INDEX('Category Mapping'!$F$28:$F$39,MATCH('Summarized Source Data'!$A890,'Category Mapping'!$A$28:$A$39,0),1),INDEX('Category Mapping'!$E$28:$E$39,MATCH($A890,'Category Mapping'!$A$28:$A$39,0),1))</f>
        <v>0</v>
      </c>
      <c r="I890" s="27">
        <f>I310*IF($E890="weekday",INDEX('Category Mapping'!$F$28:$F$39,MATCH('Summarized Source Data'!$A890,'Category Mapping'!$A$28:$A$39,0),1),INDEX('Category Mapping'!$E$28:$E$39,MATCH($A890,'Category Mapping'!$A$28:$A$39,0),1))</f>
        <v>294057142.85714281</v>
      </c>
      <c r="J890" s="27">
        <f>J310*IF($E890="weekday",INDEX('Category Mapping'!$F$28:$F$39,MATCH('Summarized Source Data'!$A890,'Category Mapping'!$A$28:$A$39,0),1),INDEX('Category Mapping'!$E$28:$E$39,MATCH($A890,'Category Mapping'!$A$28:$A$39,0),1))</f>
        <v>838726673.42857134</v>
      </c>
      <c r="K890" s="27">
        <f>K310*IF($E890="weekday",INDEX('Category Mapping'!$F$28:$F$39,MATCH('Summarized Source Data'!$A890,'Category Mapping'!$A$28:$A$39,0),1),INDEX('Category Mapping'!$E$28:$E$39,MATCH($A890,'Category Mapping'!$A$28:$A$39,0),1))</f>
        <v>838726673.42857134</v>
      </c>
      <c r="L890" s="27">
        <f>L310*IF($E890="weekday",INDEX('Category Mapping'!$F$28:$F$39,MATCH('Summarized Source Data'!$A890,'Category Mapping'!$A$28:$A$39,0),1),INDEX('Category Mapping'!$E$28:$E$39,MATCH($A890,'Category Mapping'!$A$28:$A$39,0),1))</f>
        <v>210799999.99999997</v>
      </c>
      <c r="M890" s="27">
        <f>M310*IF($E890="weekday",INDEX('Category Mapping'!$F$28:$F$39,MATCH('Summarized Source Data'!$A890,'Category Mapping'!$A$28:$A$39,0),1),INDEX('Category Mapping'!$E$28:$E$39,MATCH($A890,'Category Mapping'!$A$28:$A$39,0),1))</f>
        <v>211933.71428571426</v>
      </c>
      <c r="N890" s="27">
        <f>N310*IF($E890="weekday",INDEX('Category Mapping'!$F$28:$F$39,MATCH('Summarized Source Data'!$A890,'Category Mapping'!$A$28:$A$39,0),1),INDEX('Category Mapping'!$E$28:$E$39,MATCH($A890,'Category Mapping'!$A$28:$A$39,0),1))</f>
        <v>0</v>
      </c>
      <c r="O890" s="27">
        <f>O310*IF($E890="weekday",INDEX('Category Mapping'!$F$28:$F$39,MATCH('Summarized Source Data'!$A890,'Category Mapping'!$A$28:$A$39,0),1),INDEX('Category Mapping'!$E$28:$E$39,MATCH($A890,'Category Mapping'!$A$28:$A$39,0),1))</f>
        <v>922702351.99999988</v>
      </c>
      <c r="P890" s="27">
        <f>P310*IF($E890="weekday",INDEX('Category Mapping'!$F$28:$F$39,MATCH('Summarized Source Data'!$A890,'Category Mapping'!$A$28:$A$39,0),1),INDEX('Category Mapping'!$E$28:$E$39,MATCH($A890,'Category Mapping'!$A$28:$A$39,0),1))</f>
        <v>922702351.99999988</v>
      </c>
      <c r="Q890" s="27">
        <f>Q310*IF($E890="weekday",INDEX('Category Mapping'!$F$28:$F$39,MATCH('Summarized Source Data'!$A890,'Category Mapping'!$A$28:$A$39,0),1),INDEX('Category Mapping'!$E$28:$E$39,MATCH($A890,'Category Mapping'!$A$28:$A$39,0),1))</f>
        <v>922702351.99999988</v>
      </c>
      <c r="R890" s="27">
        <f>R310*IF($E890="weekday",INDEX('Category Mapping'!$F$28:$F$39,MATCH('Summarized Source Data'!$A890,'Category Mapping'!$A$28:$A$39,0),1),INDEX('Category Mapping'!$E$28:$E$39,MATCH($A890,'Category Mapping'!$A$28:$A$39,0),1))</f>
        <v>56620809.142857134</v>
      </c>
      <c r="S890" s="27">
        <f>S310*IF($E890="weekday",INDEX('Category Mapping'!$F$28:$F$39,MATCH('Summarized Source Data'!$A890,'Category Mapping'!$A$28:$A$39,0),1),INDEX('Category Mapping'!$E$28:$E$39,MATCH($A890,'Category Mapping'!$A$28:$A$39,0),1))</f>
        <v>56620809.142857134</v>
      </c>
      <c r="T890" s="27">
        <f>T310*IF($E890="weekday",INDEX('Category Mapping'!$F$28:$F$39,MATCH('Summarized Source Data'!$A890,'Category Mapping'!$A$28:$A$39,0),1),INDEX('Category Mapping'!$E$28:$E$39,MATCH($A890,'Category Mapping'!$A$28:$A$39,0),1))</f>
        <v>56620809.142857134</v>
      </c>
      <c r="U890" s="27">
        <f>U310*IF($E890="weekday",INDEX('Category Mapping'!$F$28:$F$39,MATCH('Summarized Source Data'!$A890,'Category Mapping'!$A$28:$A$39,0),1),INDEX('Category Mapping'!$E$28:$E$39,MATCH($A890,'Category Mapping'!$A$28:$A$39,0),1))</f>
        <v>56620809.142857134</v>
      </c>
      <c r="V890" s="27">
        <f>V310*IF($E890="weekday",INDEX('Category Mapping'!$F$28:$F$39,MATCH('Summarized Source Data'!$A890,'Category Mapping'!$A$28:$A$39,0),1),INDEX('Category Mapping'!$E$28:$E$39,MATCH($A890,'Category Mapping'!$A$28:$A$39,0),1))</f>
        <v>56620809.142857134</v>
      </c>
      <c r="W890" s="27">
        <f>W310*IF($E890="weekday",INDEX('Category Mapping'!$F$28:$F$39,MATCH('Summarized Source Data'!$A890,'Category Mapping'!$A$28:$A$39,0),1),INDEX('Category Mapping'!$E$28:$E$39,MATCH($A890,'Category Mapping'!$A$28:$A$39,0),1))</f>
        <v>56620809.142857134</v>
      </c>
      <c r="X890" s="27">
        <f>X310*IF($E890="weekday",INDEX('Category Mapping'!$F$28:$F$39,MATCH('Summarized Source Data'!$A890,'Category Mapping'!$A$28:$A$39,0),1),INDEX('Category Mapping'!$E$28:$E$39,MATCH($A890,'Category Mapping'!$A$28:$A$39,0),1))</f>
        <v>3153142857.1428566</v>
      </c>
      <c r="Y890" s="27">
        <f>Y310*IF($E890="weekday",INDEX('Category Mapping'!$F$28:$F$39,MATCH('Summarized Source Data'!$A890,'Category Mapping'!$A$28:$A$39,0),1),INDEX('Category Mapping'!$E$28:$E$39,MATCH($A890,'Category Mapping'!$A$28:$A$39,0),1))</f>
        <v>3153142857.1428566</v>
      </c>
      <c r="Z890" s="27">
        <f>Z310*IF($E890="weekday",INDEX('Category Mapping'!$F$28:$F$39,MATCH('Summarized Source Data'!$A890,'Category Mapping'!$A$28:$A$39,0),1),INDEX('Category Mapping'!$E$28:$E$39,MATCH($A890,'Category Mapping'!$A$28:$A$39,0),1))</f>
        <v>3153142857.1428566</v>
      </c>
    </row>
    <row r="891" spans="1:26" x14ac:dyDescent="0.3">
      <c r="A891">
        <f t="shared" ref="A891:E891" si="356">A311</f>
        <v>1</v>
      </c>
      <c r="B891" t="str">
        <f t="shared" si="356"/>
        <v>Winter</v>
      </c>
      <c r="C891" t="str">
        <f t="shared" si="356"/>
        <v>h20</v>
      </c>
      <c r="D891" t="str">
        <f t="shared" si="356"/>
        <v>Hour19</v>
      </c>
      <c r="E891" t="str">
        <f t="shared" si="356"/>
        <v>Weekend</v>
      </c>
      <c r="F891" s="27">
        <f>F311*IF($E891="weekday",INDEX('Category Mapping'!$F$28:$F$39,MATCH('Summarized Source Data'!$A891,'Category Mapping'!$A$28:$A$39,0),1),INDEX('Category Mapping'!$E$28:$E$39,MATCH($A891,'Category Mapping'!$A$28:$A$39,0),1))</f>
        <v>113371428.57142855</v>
      </c>
      <c r="G891" s="27">
        <f>G311*IF($E891="weekday",INDEX('Category Mapping'!$F$28:$F$39,MATCH('Summarized Source Data'!$A891,'Category Mapping'!$A$28:$A$39,0),1),INDEX('Category Mapping'!$E$28:$E$39,MATCH($A891,'Category Mapping'!$A$28:$A$39,0),1))</f>
        <v>47562.857142857138</v>
      </c>
      <c r="H891" s="27">
        <f>H311*IF($E891="weekday",INDEX('Category Mapping'!$F$28:$F$39,MATCH('Summarized Source Data'!$A891,'Category Mapping'!$A$28:$A$39,0),1),INDEX('Category Mapping'!$E$28:$E$39,MATCH($A891,'Category Mapping'!$A$28:$A$39,0),1))</f>
        <v>0</v>
      </c>
      <c r="I891" s="27">
        <f>I311*IF($E891="weekday",INDEX('Category Mapping'!$F$28:$F$39,MATCH('Summarized Source Data'!$A891,'Category Mapping'!$A$28:$A$39,0),1),INDEX('Category Mapping'!$E$28:$E$39,MATCH($A891,'Category Mapping'!$A$28:$A$39,0),1))</f>
        <v>307342857.14285707</v>
      </c>
      <c r="J891" s="27">
        <f>J311*IF($E891="weekday",INDEX('Category Mapping'!$F$28:$F$39,MATCH('Summarized Source Data'!$A891,'Category Mapping'!$A$28:$A$39,0),1),INDEX('Category Mapping'!$E$28:$E$39,MATCH($A891,'Category Mapping'!$A$28:$A$39,0),1))</f>
        <v>774952437.14285707</v>
      </c>
      <c r="K891" s="27">
        <f>K311*IF($E891="weekday",INDEX('Category Mapping'!$F$28:$F$39,MATCH('Summarized Source Data'!$A891,'Category Mapping'!$A$28:$A$39,0),1),INDEX('Category Mapping'!$E$28:$E$39,MATCH($A891,'Category Mapping'!$A$28:$A$39,0),1))</f>
        <v>774952437.14285707</v>
      </c>
      <c r="L891" s="27">
        <f>L311*IF($E891="weekday",INDEX('Category Mapping'!$F$28:$F$39,MATCH('Summarized Source Data'!$A891,'Category Mapping'!$A$28:$A$39,0),1),INDEX('Category Mapping'!$E$28:$E$39,MATCH($A891,'Category Mapping'!$A$28:$A$39,0),1))</f>
        <v>147028571.4285714</v>
      </c>
      <c r="M891" s="27">
        <f>M311*IF($E891="weekday",INDEX('Category Mapping'!$F$28:$F$39,MATCH('Summarized Source Data'!$A891,'Category Mapping'!$A$28:$A$39,0),1),INDEX('Category Mapping'!$E$28:$E$39,MATCH($A891,'Category Mapping'!$A$28:$A$39,0),1))</f>
        <v>205299.71428571426</v>
      </c>
      <c r="N891" s="27">
        <f>N311*IF($E891="weekday",INDEX('Category Mapping'!$F$28:$F$39,MATCH('Summarized Source Data'!$A891,'Category Mapping'!$A$28:$A$39,0),1),INDEX('Category Mapping'!$E$28:$E$39,MATCH($A891,'Category Mapping'!$A$28:$A$39,0),1))</f>
        <v>0</v>
      </c>
      <c r="O891" s="27">
        <f>O311*IF($E891="weekday",INDEX('Category Mapping'!$F$28:$F$39,MATCH('Summarized Source Data'!$A891,'Category Mapping'!$A$28:$A$39,0),1),INDEX('Category Mapping'!$E$28:$E$39,MATCH($A891,'Category Mapping'!$A$28:$A$39,0),1))</f>
        <v>897908985.99999988</v>
      </c>
      <c r="P891" s="27">
        <f>P311*IF($E891="weekday",INDEX('Category Mapping'!$F$28:$F$39,MATCH('Summarized Source Data'!$A891,'Category Mapping'!$A$28:$A$39,0),1),INDEX('Category Mapping'!$E$28:$E$39,MATCH($A891,'Category Mapping'!$A$28:$A$39,0),1))</f>
        <v>897908985.99999988</v>
      </c>
      <c r="Q891" s="27">
        <f>Q311*IF($E891="weekday",INDEX('Category Mapping'!$F$28:$F$39,MATCH('Summarized Source Data'!$A891,'Category Mapping'!$A$28:$A$39,0),1),INDEX('Category Mapping'!$E$28:$E$39,MATCH($A891,'Category Mapping'!$A$28:$A$39,0),1))</f>
        <v>897908985.99999988</v>
      </c>
      <c r="R891" s="27">
        <f>R311*IF($E891="weekday",INDEX('Category Mapping'!$F$28:$F$39,MATCH('Summarized Source Data'!$A891,'Category Mapping'!$A$28:$A$39,0),1),INDEX('Category Mapping'!$E$28:$E$39,MATCH($A891,'Category Mapping'!$A$28:$A$39,0),1))</f>
        <v>55427964.571428567</v>
      </c>
      <c r="S891" s="27">
        <f>S311*IF($E891="weekday",INDEX('Category Mapping'!$F$28:$F$39,MATCH('Summarized Source Data'!$A891,'Category Mapping'!$A$28:$A$39,0),1),INDEX('Category Mapping'!$E$28:$E$39,MATCH($A891,'Category Mapping'!$A$28:$A$39,0),1))</f>
        <v>55427964.571428567</v>
      </c>
      <c r="T891" s="27">
        <f>T311*IF($E891="weekday",INDEX('Category Mapping'!$F$28:$F$39,MATCH('Summarized Source Data'!$A891,'Category Mapping'!$A$28:$A$39,0),1),INDEX('Category Mapping'!$E$28:$E$39,MATCH($A891,'Category Mapping'!$A$28:$A$39,0),1))</f>
        <v>55427964.571428567</v>
      </c>
      <c r="U891" s="27">
        <f>U311*IF($E891="weekday",INDEX('Category Mapping'!$F$28:$F$39,MATCH('Summarized Source Data'!$A891,'Category Mapping'!$A$28:$A$39,0),1),INDEX('Category Mapping'!$E$28:$E$39,MATCH($A891,'Category Mapping'!$A$28:$A$39,0),1))</f>
        <v>55427964.571428567</v>
      </c>
      <c r="V891" s="27">
        <f>V311*IF($E891="weekday",INDEX('Category Mapping'!$F$28:$F$39,MATCH('Summarized Source Data'!$A891,'Category Mapping'!$A$28:$A$39,0),1),INDEX('Category Mapping'!$E$28:$E$39,MATCH($A891,'Category Mapping'!$A$28:$A$39,0),1))</f>
        <v>55427964.571428567</v>
      </c>
      <c r="W891" s="27">
        <f>W311*IF($E891="weekday",INDEX('Category Mapping'!$F$28:$F$39,MATCH('Summarized Source Data'!$A891,'Category Mapping'!$A$28:$A$39,0),1),INDEX('Category Mapping'!$E$28:$E$39,MATCH($A891,'Category Mapping'!$A$28:$A$39,0),1))</f>
        <v>55427964.571428567</v>
      </c>
      <c r="X891" s="27">
        <f>X311*IF($E891="weekday",INDEX('Category Mapping'!$F$28:$F$39,MATCH('Summarized Source Data'!$A891,'Category Mapping'!$A$28:$A$39,0),1),INDEX('Category Mapping'!$E$28:$E$39,MATCH($A891,'Category Mapping'!$A$28:$A$39,0),1))</f>
        <v>3135428571.4285707</v>
      </c>
      <c r="Y891" s="27">
        <f>Y311*IF($E891="weekday",INDEX('Category Mapping'!$F$28:$F$39,MATCH('Summarized Source Data'!$A891,'Category Mapping'!$A$28:$A$39,0),1),INDEX('Category Mapping'!$E$28:$E$39,MATCH($A891,'Category Mapping'!$A$28:$A$39,0),1))</f>
        <v>3135428571.4285707</v>
      </c>
      <c r="Z891" s="27">
        <f>Z311*IF($E891="weekday",INDEX('Category Mapping'!$F$28:$F$39,MATCH('Summarized Source Data'!$A891,'Category Mapping'!$A$28:$A$39,0),1),INDEX('Category Mapping'!$E$28:$E$39,MATCH($A891,'Category Mapping'!$A$28:$A$39,0),1))</f>
        <v>3135428571.4285707</v>
      </c>
    </row>
    <row r="892" spans="1:26" x14ac:dyDescent="0.3">
      <c r="A892">
        <f t="shared" ref="A892:E892" si="357">A312</f>
        <v>1</v>
      </c>
      <c r="B892" t="str">
        <f t="shared" si="357"/>
        <v>Winter</v>
      </c>
      <c r="C892" t="str">
        <f t="shared" si="357"/>
        <v>h21</v>
      </c>
      <c r="D892" t="str">
        <f t="shared" si="357"/>
        <v>Hour20</v>
      </c>
      <c r="E892" t="str">
        <f t="shared" si="357"/>
        <v>Weekend</v>
      </c>
      <c r="F892" s="27">
        <f>F312*IF($E892="weekday",INDEX('Category Mapping'!$F$28:$F$39,MATCH('Summarized Source Data'!$A892,'Category Mapping'!$A$28:$A$39,0),1),INDEX('Category Mapping'!$E$28:$E$39,MATCH($A892,'Category Mapping'!$A$28:$A$39,0),1))</f>
        <v>117799999.99999999</v>
      </c>
      <c r="G892" s="27">
        <f>G312*IF($E892="weekday",INDEX('Category Mapping'!$F$28:$F$39,MATCH('Summarized Source Data'!$A892,'Category Mapping'!$A$28:$A$39,0),1),INDEX('Category Mapping'!$E$28:$E$39,MATCH($A892,'Category Mapping'!$A$28:$A$39,0),1))</f>
        <v>49794.857142857138</v>
      </c>
      <c r="H892" s="27">
        <f>H312*IF($E892="weekday",INDEX('Category Mapping'!$F$28:$F$39,MATCH('Summarized Source Data'!$A892,'Category Mapping'!$A$28:$A$39,0),1),INDEX('Category Mapping'!$E$28:$E$39,MATCH($A892,'Category Mapping'!$A$28:$A$39,0),1))</f>
        <v>0</v>
      </c>
      <c r="I892" s="27">
        <f>I312*IF($E892="weekday",INDEX('Category Mapping'!$F$28:$F$39,MATCH('Summarized Source Data'!$A892,'Category Mapping'!$A$28:$A$39,0),1),INDEX('Category Mapping'!$E$28:$E$39,MATCH($A892,'Category Mapping'!$A$28:$A$39,0),1))</f>
        <v>305571428.57142854</v>
      </c>
      <c r="J892" s="27">
        <f>J312*IF($E892="weekday",INDEX('Category Mapping'!$F$28:$F$39,MATCH('Summarized Source Data'!$A892,'Category Mapping'!$A$28:$A$39,0),1),INDEX('Category Mapping'!$E$28:$E$39,MATCH($A892,'Category Mapping'!$A$28:$A$39,0),1))</f>
        <v>728007347.99999988</v>
      </c>
      <c r="K892" s="27">
        <f>K312*IF($E892="weekday",INDEX('Category Mapping'!$F$28:$F$39,MATCH('Summarized Source Data'!$A892,'Category Mapping'!$A$28:$A$39,0),1),INDEX('Category Mapping'!$E$28:$E$39,MATCH($A892,'Category Mapping'!$A$28:$A$39,0),1))</f>
        <v>728007347.99999988</v>
      </c>
      <c r="L892" s="27">
        <f>L312*IF($E892="weekday",INDEX('Category Mapping'!$F$28:$F$39,MATCH('Summarized Source Data'!$A892,'Category Mapping'!$A$28:$A$39,0),1),INDEX('Category Mapping'!$E$28:$E$39,MATCH($A892,'Category Mapping'!$A$28:$A$39,0),1))</f>
        <v>147914285.7142857</v>
      </c>
      <c r="M892" s="27">
        <f>M312*IF($E892="weekday",INDEX('Category Mapping'!$F$28:$F$39,MATCH('Summarized Source Data'!$A892,'Category Mapping'!$A$28:$A$39,0),1),INDEX('Category Mapping'!$E$28:$E$39,MATCH($A892,'Category Mapping'!$A$28:$A$39,0),1))</f>
        <v>199728.57142857139</v>
      </c>
      <c r="N892" s="27">
        <f>N312*IF($E892="weekday",INDEX('Category Mapping'!$F$28:$F$39,MATCH('Summarized Source Data'!$A892,'Category Mapping'!$A$28:$A$39,0),1),INDEX('Category Mapping'!$E$28:$E$39,MATCH($A892,'Category Mapping'!$A$28:$A$39,0),1))</f>
        <v>0</v>
      </c>
      <c r="O892" s="27">
        <f>O312*IF($E892="weekday",INDEX('Category Mapping'!$F$28:$F$39,MATCH('Summarized Source Data'!$A892,'Category Mapping'!$A$28:$A$39,0),1),INDEX('Category Mapping'!$E$28:$E$39,MATCH($A892,'Category Mapping'!$A$28:$A$39,0),1))</f>
        <v>861600271.42857134</v>
      </c>
      <c r="P892" s="27">
        <f>P312*IF($E892="weekday",INDEX('Category Mapping'!$F$28:$F$39,MATCH('Summarized Source Data'!$A892,'Category Mapping'!$A$28:$A$39,0),1),INDEX('Category Mapping'!$E$28:$E$39,MATCH($A892,'Category Mapping'!$A$28:$A$39,0),1))</f>
        <v>861600271.42857134</v>
      </c>
      <c r="Q892" s="27">
        <f>Q312*IF($E892="weekday",INDEX('Category Mapping'!$F$28:$F$39,MATCH('Summarized Source Data'!$A892,'Category Mapping'!$A$28:$A$39,0),1),INDEX('Category Mapping'!$E$28:$E$39,MATCH($A892,'Category Mapping'!$A$28:$A$39,0),1))</f>
        <v>861600271.42857134</v>
      </c>
      <c r="R892" s="27">
        <f>R312*IF($E892="weekday",INDEX('Category Mapping'!$F$28:$F$39,MATCH('Summarized Source Data'!$A892,'Category Mapping'!$A$28:$A$39,0),1),INDEX('Category Mapping'!$E$28:$E$39,MATCH($A892,'Category Mapping'!$A$28:$A$39,0),1))</f>
        <v>53820224.857142851</v>
      </c>
      <c r="S892" s="27">
        <f>S312*IF($E892="weekday",INDEX('Category Mapping'!$F$28:$F$39,MATCH('Summarized Source Data'!$A892,'Category Mapping'!$A$28:$A$39,0),1),INDEX('Category Mapping'!$E$28:$E$39,MATCH($A892,'Category Mapping'!$A$28:$A$39,0),1))</f>
        <v>53820224.857142851</v>
      </c>
      <c r="T892" s="27">
        <f>T312*IF($E892="weekday",INDEX('Category Mapping'!$F$28:$F$39,MATCH('Summarized Source Data'!$A892,'Category Mapping'!$A$28:$A$39,0),1),INDEX('Category Mapping'!$E$28:$E$39,MATCH($A892,'Category Mapping'!$A$28:$A$39,0),1))</f>
        <v>53820224.857142851</v>
      </c>
      <c r="U892" s="27">
        <f>U312*IF($E892="weekday",INDEX('Category Mapping'!$F$28:$F$39,MATCH('Summarized Source Data'!$A892,'Category Mapping'!$A$28:$A$39,0),1),INDEX('Category Mapping'!$E$28:$E$39,MATCH($A892,'Category Mapping'!$A$28:$A$39,0),1))</f>
        <v>53820224.857142851</v>
      </c>
      <c r="V892" s="27">
        <f>V312*IF($E892="weekday",INDEX('Category Mapping'!$F$28:$F$39,MATCH('Summarized Source Data'!$A892,'Category Mapping'!$A$28:$A$39,0),1),INDEX('Category Mapping'!$E$28:$E$39,MATCH($A892,'Category Mapping'!$A$28:$A$39,0),1))</f>
        <v>53820224.857142851</v>
      </c>
      <c r="W892" s="27">
        <f>W312*IF($E892="weekday",INDEX('Category Mapping'!$F$28:$F$39,MATCH('Summarized Source Data'!$A892,'Category Mapping'!$A$28:$A$39,0),1),INDEX('Category Mapping'!$E$28:$E$39,MATCH($A892,'Category Mapping'!$A$28:$A$39,0),1))</f>
        <v>53820224.857142851</v>
      </c>
      <c r="X892" s="27">
        <f>X312*IF($E892="weekday",INDEX('Category Mapping'!$F$28:$F$39,MATCH('Summarized Source Data'!$A892,'Category Mapping'!$A$28:$A$39,0),1),INDEX('Category Mapping'!$E$28:$E$39,MATCH($A892,'Category Mapping'!$A$28:$A$39,0),1))</f>
        <v>3117714285.7142854</v>
      </c>
      <c r="Y892" s="27">
        <f>Y312*IF($E892="weekday",INDEX('Category Mapping'!$F$28:$F$39,MATCH('Summarized Source Data'!$A892,'Category Mapping'!$A$28:$A$39,0),1),INDEX('Category Mapping'!$E$28:$E$39,MATCH($A892,'Category Mapping'!$A$28:$A$39,0),1))</f>
        <v>3117714285.7142854</v>
      </c>
      <c r="Z892" s="27">
        <f>Z312*IF($E892="weekday",INDEX('Category Mapping'!$F$28:$F$39,MATCH('Summarized Source Data'!$A892,'Category Mapping'!$A$28:$A$39,0),1),INDEX('Category Mapping'!$E$28:$E$39,MATCH($A892,'Category Mapping'!$A$28:$A$39,0),1))</f>
        <v>3117714285.7142854</v>
      </c>
    </row>
    <row r="893" spans="1:26" x14ac:dyDescent="0.3">
      <c r="A893">
        <f t="shared" ref="A893:E893" si="358">A313</f>
        <v>1</v>
      </c>
      <c r="B893" t="str">
        <f t="shared" si="358"/>
        <v>Winter</v>
      </c>
      <c r="C893" t="str">
        <f t="shared" si="358"/>
        <v>h22</v>
      </c>
      <c r="D893" t="str">
        <f t="shared" si="358"/>
        <v>Hour21</v>
      </c>
      <c r="E893" t="str">
        <f t="shared" si="358"/>
        <v>Weekend</v>
      </c>
      <c r="F893" s="27">
        <f>F313*IF($E893="weekday",INDEX('Category Mapping'!$F$28:$F$39,MATCH('Summarized Source Data'!$A893,'Category Mapping'!$A$28:$A$39,0),1),INDEX('Category Mapping'!$E$28:$E$39,MATCH($A893,'Category Mapping'!$A$28:$A$39,0),1))</f>
        <v>113371428.57142855</v>
      </c>
      <c r="G893" s="27">
        <f>G313*IF($E893="weekday",INDEX('Category Mapping'!$F$28:$F$39,MATCH('Summarized Source Data'!$A893,'Category Mapping'!$A$28:$A$39,0),1),INDEX('Category Mapping'!$E$28:$E$39,MATCH($A893,'Category Mapping'!$A$28:$A$39,0),1))</f>
        <v>51911.714285714275</v>
      </c>
      <c r="H893" s="27">
        <f>H313*IF($E893="weekday",INDEX('Category Mapping'!$F$28:$F$39,MATCH('Summarized Source Data'!$A893,'Category Mapping'!$A$28:$A$39,0),1),INDEX('Category Mapping'!$E$28:$E$39,MATCH($A893,'Category Mapping'!$A$28:$A$39,0),1))</f>
        <v>0</v>
      </c>
      <c r="I893" s="27">
        <f>I313*IF($E893="weekday",INDEX('Category Mapping'!$F$28:$F$39,MATCH('Summarized Source Data'!$A893,'Category Mapping'!$A$28:$A$39,0),1),INDEX('Category Mapping'!$E$28:$E$39,MATCH($A893,'Category Mapping'!$A$28:$A$39,0),1))</f>
        <v>253314285.71428567</v>
      </c>
      <c r="J893" s="27">
        <f>J313*IF($E893="weekday",INDEX('Category Mapping'!$F$28:$F$39,MATCH('Summarized Source Data'!$A893,'Category Mapping'!$A$28:$A$39,0),1),INDEX('Category Mapping'!$E$28:$E$39,MATCH($A893,'Category Mapping'!$A$28:$A$39,0),1))</f>
        <v>669548088.28571415</v>
      </c>
      <c r="K893" s="27">
        <f>K313*IF($E893="weekday",INDEX('Category Mapping'!$F$28:$F$39,MATCH('Summarized Source Data'!$A893,'Category Mapping'!$A$28:$A$39,0),1),INDEX('Category Mapping'!$E$28:$E$39,MATCH($A893,'Category Mapping'!$A$28:$A$39,0),1))</f>
        <v>669548088.28571415</v>
      </c>
      <c r="L893" s="27">
        <f>L313*IF($E893="weekday",INDEX('Category Mapping'!$F$28:$F$39,MATCH('Summarized Source Data'!$A893,'Category Mapping'!$A$28:$A$39,0),1),INDEX('Category Mapping'!$E$28:$E$39,MATCH($A893,'Category Mapping'!$A$28:$A$39,0),1))</f>
        <v>160314285.7142857</v>
      </c>
      <c r="M893" s="27">
        <f>M313*IF($E893="weekday",INDEX('Category Mapping'!$F$28:$F$39,MATCH('Summarized Source Data'!$A893,'Category Mapping'!$A$28:$A$39,0),1),INDEX('Category Mapping'!$E$28:$E$39,MATCH($A893,'Category Mapping'!$A$28:$A$39,0),1))</f>
        <v>194042.28571428568</v>
      </c>
      <c r="N893" s="27">
        <f>N313*IF($E893="weekday",INDEX('Category Mapping'!$F$28:$F$39,MATCH('Summarized Source Data'!$A893,'Category Mapping'!$A$28:$A$39,0),1),INDEX('Category Mapping'!$E$28:$E$39,MATCH($A893,'Category Mapping'!$A$28:$A$39,0),1))</f>
        <v>0</v>
      </c>
      <c r="O893" s="27">
        <f>O313*IF($E893="weekday",INDEX('Category Mapping'!$F$28:$F$39,MATCH('Summarized Source Data'!$A893,'Category Mapping'!$A$28:$A$39,0),1),INDEX('Category Mapping'!$E$28:$E$39,MATCH($A893,'Category Mapping'!$A$28:$A$39,0),1))</f>
        <v>804920243.42857134</v>
      </c>
      <c r="P893" s="27">
        <f>P313*IF($E893="weekday",INDEX('Category Mapping'!$F$28:$F$39,MATCH('Summarized Source Data'!$A893,'Category Mapping'!$A$28:$A$39,0),1),INDEX('Category Mapping'!$E$28:$E$39,MATCH($A893,'Category Mapping'!$A$28:$A$39,0),1))</f>
        <v>804920243.42857134</v>
      </c>
      <c r="Q893" s="27">
        <f>Q313*IF($E893="weekday",INDEX('Category Mapping'!$F$28:$F$39,MATCH('Summarized Source Data'!$A893,'Category Mapping'!$A$28:$A$39,0),1),INDEX('Category Mapping'!$E$28:$E$39,MATCH($A893,'Category Mapping'!$A$28:$A$39,0),1))</f>
        <v>804920243.42857134</v>
      </c>
      <c r="R893" s="27">
        <f>R313*IF($E893="weekday",INDEX('Category Mapping'!$F$28:$F$39,MATCH('Summarized Source Data'!$A893,'Category Mapping'!$A$28:$A$39,0),1),INDEX('Category Mapping'!$E$28:$E$39,MATCH($A893,'Category Mapping'!$A$28:$A$39,0),1))</f>
        <v>52005033.142857134</v>
      </c>
      <c r="S893" s="27">
        <f>S313*IF($E893="weekday",INDEX('Category Mapping'!$F$28:$F$39,MATCH('Summarized Source Data'!$A893,'Category Mapping'!$A$28:$A$39,0),1),INDEX('Category Mapping'!$E$28:$E$39,MATCH($A893,'Category Mapping'!$A$28:$A$39,0),1))</f>
        <v>52005033.142857134</v>
      </c>
      <c r="T893" s="27">
        <f>T313*IF($E893="weekday",INDEX('Category Mapping'!$F$28:$F$39,MATCH('Summarized Source Data'!$A893,'Category Mapping'!$A$28:$A$39,0),1),INDEX('Category Mapping'!$E$28:$E$39,MATCH($A893,'Category Mapping'!$A$28:$A$39,0),1))</f>
        <v>52005033.142857134</v>
      </c>
      <c r="U893" s="27">
        <f>U313*IF($E893="weekday",INDEX('Category Mapping'!$F$28:$F$39,MATCH('Summarized Source Data'!$A893,'Category Mapping'!$A$28:$A$39,0),1),INDEX('Category Mapping'!$E$28:$E$39,MATCH($A893,'Category Mapping'!$A$28:$A$39,0),1))</f>
        <v>52005033.142857134</v>
      </c>
      <c r="V893" s="27">
        <f>V313*IF($E893="weekday",INDEX('Category Mapping'!$F$28:$F$39,MATCH('Summarized Source Data'!$A893,'Category Mapping'!$A$28:$A$39,0),1),INDEX('Category Mapping'!$E$28:$E$39,MATCH($A893,'Category Mapping'!$A$28:$A$39,0),1))</f>
        <v>52005033.142857134</v>
      </c>
      <c r="W893" s="27">
        <f>W313*IF($E893="weekday",INDEX('Category Mapping'!$F$28:$F$39,MATCH('Summarized Source Data'!$A893,'Category Mapping'!$A$28:$A$39,0),1),INDEX('Category Mapping'!$E$28:$E$39,MATCH($A893,'Category Mapping'!$A$28:$A$39,0),1))</f>
        <v>52005033.142857134</v>
      </c>
      <c r="X893" s="27">
        <f>X313*IF($E893="weekday",INDEX('Category Mapping'!$F$28:$F$39,MATCH('Summarized Source Data'!$A893,'Category Mapping'!$A$28:$A$39,0),1),INDEX('Category Mapping'!$E$28:$E$39,MATCH($A893,'Category Mapping'!$A$28:$A$39,0),1))</f>
        <v>3091142857.1428566</v>
      </c>
      <c r="Y893" s="27">
        <f>Y313*IF($E893="weekday",INDEX('Category Mapping'!$F$28:$F$39,MATCH('Summarized Source Data'!$A893,'Category Mapping'!$A$28:$A$39,0),1),INDEX('Category Mapping'!$E$28:$E$39,MATCH($A893,'Category Mapping'!$A$28:$A$39,0),1))</f>
        <v>3091142857.1428566</v>
      </c>
      <c r="Z893" s="27">
        <f>Z313*IF($E893="weekday",INDEX('Category Mapping'!$F$28:$F$39,MATCH('Summarized Source Data'!$A893,'Category Mapping'!$A$28:$A$39,0),1),INDEX('Category Mapping'!$E$28:$E$39,MATCH($A893,'Category Mapping'!$A$28:$A$39,0),1))</f>
        <v>3091142857.1428566</v>
      </c>
    </row>
    <row r="894" spans="1:26" x14ac:dyDescent="0.3">
      <c r="A894">
        <f t="shared" ref="A894:E894" si="359">A314</f>
        <v>1</v>
      </c>
      <c r="B894" t="str">
        <f t="shared" si="359"/>
        <v>Winter</v>
      </c>
      <c r="C894" t="str">
        <f t="shared" si="359"/>
        <v>h23</v>
      </c>
      <c r="D894" t="str">
        <f t="shared" si="359"/>
        <v>Hour22</v>
      </c>
      <c r="E894" t="str">
        <f t="shared" si="359"/>
        <v>Weekend</v>
      </c>
      <c r="F894" s="27">
        <f>F314*IF($E894="weekday",INDEX('Category Mapping'!$F$28:$F$39,MATCH('Summarized Source Data'!$A894,'Category Mapping'!$A$28:$A$39,0),1),INDEX('Category Mapping'!$E$28:$E$39,MATCH($A894,'Category Mapping'!$A$28:$A$39,0),1))</f>
        <v>102742857.14285713</v>
      </c>
      <c r="G894" s="27">
        <f>G314*IF($E894="weekday",INDEX('Category Mapping'!$F$28:$F$39,MATCH('Summarized Source Data'!$A894,'Category Mapping'!$A$28:$A$39,0),1),INDEX('Category Mapping'!$E$28:$E$39,MATCH($A894,'Category Mapping'!$A$28:$A$39,0),1))</f>
        <v>53877.999999999993</v>
      </c>
      <c r="H894" s="27">
        <f>H314*IF($E894="weekday",INDEX('Category Mapping'!$F$28:$F$39,MATCH('Summarized Source Data'!$A894,'Category Mapping'!$A$28:$A$39,0),1),INDEX('Category Mapping'!$E$28:$E$39,MATCH($A894,'Category Mapping'!$A$28:$A$39,0),1))</f>
        <v>0</v>
      </c>
      <c r="I894" s="27">
        <f>I314*IF($E894="weekday",INDEX('Category Mapping'!$F$28:$F$39,MATCH('Summarized Source Data'!$A894,'Category Mapping'!$A$28:$A$39,0),1),INDEX('Category Mapping'!$E$28:$E$39,MATCH($A894,'Category Mapping'!$A$28:$A$39,0),1))</f>
        <v>162971428.57142854</v>
      </c>
      <c r="J894" s="27">
        <f>J314*IF($E894="weekday",INDEX('Category Mapping'!$F$28:$F$39,MATCH('Summarized Source Data'!$A894,'Category Mapping'!$A$28:$A$39,0),1),INDEX('Category Mapping'!$E$28:$E$39,MATCH($A894,'Category Mapping'!$A$28:$A$39,0),1))</f>
        <v>558831836.28571415</v>
      </c>
      <c r="K894" s="27">
        <f>K314*IF($E894="weekday",INDEX('Category Mapping'!$F$28:$F$39,MATCH('Summarized Source Data'!$A894,'Category Mapping'!$A$28:$A$39,0),1),INDEX('Category Mapping'!$E$28:$E$39,MATCH($A894,'Category Mapping'!$A$28:$A$39,0),1))</f>
        <v>558831836.28571415</v>
      </c>
      <c r="L894" s="27">
        <f>L314*IF($E894="weekday",INDEX('Category Mapping'!$F$28:$F$39,MATCH('Summarized Source Data'!$A894,'Category Mapping'!$A$28:$A$39,0),1),INDEX('Category Mapping'!$E$28:$E$39,MATCH($A894,'Category Mapping'!$A$28:$A$39,0),1))</f>
        <v>163857142.85714284</v>
      </c>
      <c r="M894" s="27">
        <f>M314*IF($E894="weekday",INDEX('Category Mapping'!$F$28:$F$39,MATCH('Summarized Source Data'!$A894,'Category Mapping'!$A$28:$A$39,0),1),INDEX('Category Mapping'!$E$28:$E$39,MATCH($A894,'Category Mapping'!$A$28:$A$39,0),1))</f>
        <v>187204.57142857139</v>
      </c>
      <c r="N894" s="27">
        <f>N314*IF($E894="weekday",INDEX('Category Mapping'!$F$28:$F$39,MATCH('Summarized Source Data'!$A894,'Category Mapping'!$A$28:$A$39,0),1),INDEX('Category Mapping'!$E$28:$E$39,MATCH($A894,'Category Mapping'!$A$28:$A$39,0),1))</f>
        <v>0</v>
      </c>
      <c r="O894" s="27">
        <f>O314*IF($E894="weekday",INDEX('Category Mapping'!$F$28:$F$39,MATCH('Summarized Source Data'!$A894,'Category Mapping'!$A$28:$A$39,0),1),INDEX('Category Mapping'!$E$28:$E$39,MATCH($A894,'Category Mapping'!$A$28:$A$39,0),1))</f>
        <v>765955652.57142842</v>
      </c>
      <c r="P894" s="27">
        <f>P314*IF($E894="weekday",INDEX('Category Mapping'!$F$28:$F$39,MATCH('Summarized Source Data'!$A894,'Category Mapping'!$A$28:$A$39,0),1),INDEX('Category Mapping'!$E$28:$E$39,MATCH($A894,'Category Mapping'!$A$28:$A$39,0),1))</f>
        <v>765955652.57142842</v>
      </c>
      <c r="Q894" s="27">
        <f>Q314*IF($E894="weekday",INDEX('Category Mapping'!$F$28:$F$39,MATCH('Summarized Source Data'!$A894,'Category Mapping'!$A$28:$A$39,0),1),INDEX('Category Mapping'!$E$28:$E$39,MATCH($A894,'Category Mapping'!$A$28:$A$39,0),1))</f>
        <v>765955652.57142842</v>
      </c>
      <c r="R894" s="27">
        <f>R314*IF($E894="weekday",INDEX('Category Mapping'!$F$28:$F$39,MATCH('Summarized Source Data'!$A894,'Category Mapping'!$A$28:$A$39,0),1),INDEX('Category Mapping'!$E$28:$E$39,MATCH($A894,'Category Mapping'!$A$28:$A$39,0),1))</f>
        <v>51382685.999999993</v>
      </c>
      <c r="S894" s="27">
        <f>S314*IF($E894="weekday",INDEX('Category Mapping'!$F$28:$F$39,MATCH('Summarized Source Data'!$A894,'Category Mapping'!$A$28:$A$39,0),1),INDEX('Category Mapping'!$E$28:$E$39,MATCH($A894,'Category Mapping'!$A$28:$A$39,0),1))</f>
        <v>51382685.999999993</v>
      </c>
      <c r="T894" s="27">
        <f>T314*IF($E894="weekday",INDEX('Category Mapping'!$F$28:$F$39,MATCH('Summarized Source Data'!$A894,'Category Mapping'!$A$28:$A$39,0),1),INDEX('Category Mapping'!$E$28:$E$39,MATCH($A894,'Category Mapping'!$A$28:$A$39,0),1))</f>
        <v>51382685.999999993</v>
      </c>
      <c r="U894" s="27">
        <f>U314*IF($E894="weekday",INDEX('Category Mapping'!$F$28:$F$39,MATCH('Summarized Source Data'!$A894,'Category Mapping'!$A$28:$A$39,0),1),INDEX('Category Mapping'!$E$28:$E$39,MATCH($A894,'Category Mapping'!$A$28:$A$39,0),1))</f>
        <v>51382685.999999993</v>
      </c>
      <c r="V894" s="27">
        <f>V314*IF($E894="weekday",INDEX('Category Mapping'!$F$28:$F$39,MATCH('Summarized Source Data'!$A894,'Category Mapping'!$A$28:$A$39,0),1),INDEX('Category Mapping'!$E$28:$E$39,MATCH($A894,'Category Mapping'!$A$28:$A$39,0),1))</f>
        <v>51382685.999999993</v>
      </c>
      <c r="W894" s="27">
        <f>W314*IF($E894="weekday",INDEX('Category Mapping'!$F$28:$F$39,MATCH('Summarized Source Data'!$A894,'Category Mapping'!$A$28:$A$39,0),1),INDEX('Category Mapping'!$E$28:$E$39,MATCH($A894,'Category Mapping'!$A$28:$A$39,0),1))</f>
        <v>51382685.999999993</v>
      </c>
      <c r="X894" s="27">
        <f>X314*IF($E894="weekday",INDEX('Category Mapping'!$F$28:$F$39,MATCH('Summarized Source Data'!$A894,'Category Mapping'!$A$28:$A$39,0),1),INDEX('Category Mapping'!$E$28:$E$39,MATCH($A894,'Category Mapping'!$A$28:$A$39,0),1))</f>
        <v>3064571428.5714283</v>
      </c>
      <c r="Y894" s="27">
        <f>Y314*IF($E894="weekday",INDEX('Category Mapping'!$F$28:$F$39,MATCH('Summarized Source Data'!$A894,'Category Mapping'!$A$28:$A$39,0),1),INDEX('Category Mapping'!$E$28:$E$39,MATCH($A894,'Category Mapping'!$A$28:$A$39,0),1))</f>
        <v>3064571428.5714283</v>
      </c>
      <c r="Z894" s="27">
        <f>Z314*IF($E894="weekday",INDEX('Category Mapping'!$F$28:$F$39,MATCH('Summarized Source Data'!$A894,'Category Mapping'!$A$28:$A$39,0),1),INDEX('Category Mapping'!$E$28:$E$39,MATCH($A894,'Category Mapping'!$A$28:$A$39,0),1))</f>
        <v>3064571428.5714283</v>
      </c>
    </row>
    <row r="895" spans="1:26" x14ac:dyDescent="0.3">
      <c r="A895">
        <f t="shared" ref="A895:E895" si="360">A315</f>
        <v>1</v>
      </c>
      <c r="B895" t="str">
        <f t="shared" si="360"/>
        <v>Winter</v>
      </c>
      <c r="C895" t="str">
        <f t="shared" si="360"/>
        <v>h24</v>
      </c>
      <c r="D895" t="str">
        <f t="shared" si="360"/>
        <v>Hour23</v>
      </c>
      <c r="E895" t="str">
        <f t="shared" si="360"/>
        <v>Weekend</v>
      </c>
      <c r="F895" s="27">
        <f>F315*IF($E895="weekday",INDEX('Category Mapping'!$F$28:$F$39,MATCH('Summarized Source Data'!$A895,'Category Mapping'!$A$28:$A$39,0),1),INDEX('Category Mapping'!$E$28:$E$39,MATCH($A895,'Category Mapping'!$A$28:$A$39,0),1))</f>
        <v>98314285.714285702</v>
      </c>
      <c r="G895" s="27">
        <f>G315*IF($E895="weekday",INDEX('Category Mapping'!$F$28:$F$39,MATCH('Summarized Source Data'!$A895,'Category Mapping'!$A$28:$A$39,0),1),INDEX('Category Mapping'!$E$28:$E$39,MATCH($A895,'Category Mapping'!$A$28:$A$39,0),1))</f>
        <v>55560.857142857138</v>
      </c>
      <c r="H895" s="27">
        <f>H315*IF($E895="weekday",INDEX('Category Mapping'!$F$28:$F$39,MATCH('Summarized Source Data'!$A895,'Category Mapping'!$A$28:$A$39,0),1),INDEX('Category Mapping'!$E$28:$E$39,MATCH($A895,'Category Mapping'!$A$28:$A$39,0),1))</f>
        <v>0</v>
      </c>
      <c r="I895" s="27">
        <f>I315*IF($E895="weekday",INDEX('Category Mapping'!$F$28:$F$39,MATCH('Summarized Source Data'!$A895,'Category Mapping'!$A$28:$A$39,0),1),INDEX('Category Mapping'!$E$28:$E$39,MATCH($A895,'Category Mapping'!$A$28:$A$39,0),1))</f>
        <v>91228571.428571418</v>
      </c>
      <c r="J895" s="27">
        <f>J315*IF($E895="weekday",INDEX('Category Mapping'!$F$28:$F$39,MATCH('Summarized Source Data'!$A895,'Category Mapping'!$A$28:$A$39,0),1),INDEX('Category Mapping'!$E$28:$E$39,MATCH($A895,'Category Mapping'!$A$28:$A$39,0),1))</f>
        <v>445458724.85714281</v>
      </c>
      <c r="K895" s="27">
        <f>K315*IF($E895="weekday",INDEX('Category Mapping'!$F$28:$F$39,MATCH('Summarized Source Data'!$A895,'Category Mapping'!$A$28:$A$39,0),1),INDEX('Category Mapping'!$E$28:$E$39,MATCH($A895,'Category Mapping'!$A$28:$A$39,0),1))</f>
        <v>445458724.85714281</v>
      </c>
      <c r="L895" s="27">
        <f>L315*IF($E895="weekday",INDEX('Category Mapping'!$F$28:$F$39,MATCH('Summarized Source Data'!$A895,'Category Mapping'!$A$28:$A$39,0),1),INDEX('Category Mapping'!$E$28:$E$39,MATCH($A895,'Category Mapping'!$A$28:$A$39,0),1))</f>
        <v>137285714.28571427</v>
      </c>
      <c r="M895" s="27">
        <f>M315*IF($E895="weekday",INDEX('Category Mapping'!$F$28:$F$39,MATCH('Summarized Source Data'!$A895,'Category Mapping'!$A$28:$A$39,0),1),INDEX('Category Mapping'!$E$28:$E$39,MATCH($A895,'Category Mapping'!$A$28:$A$39,0),1))</f>
        <v>177860.28571428568</v>
      </c>
      <c r="N895" s="27">
        <f>N315*IF($E895="weekday",INDEX('Category Mapping'!$F$28:$F$39,MATCH('Summarized Source Data'!$A895,'Category Mapping'!$A$28:$A$39,0),1),INDEX('Category Mapping'!$E$28:$E$39,MATCH($A895,'Category Mapping'!$A$28:$A$39,0),1))</f>
        <v>0</v>
      </c>
      <c r="O895" s="27">
        <f>O315*IF($E895="weekday",INDEX('Category Mapping'!$F$28:$F$39,MATCH('Summarized Source Data'!$A895,'Category Mapping'!$A$28:$A$39,0),1),INDEX('Category Mapping'!$E$28:$E$39,MATCH($A895,'Category Mapping'!$A$28:$A$39,0),1))</f>
        <v>700422139.71428561</v>
      </c>
      <c r="P895" s="27">
        <f>P315*IF($E895="weekday",INDEX('Category Mapping'!$F$28:$F$39,MATCH('Summarized Source Data'!$A895,'Category Mapping'!$A$28:$A$39,0),1),INDEX('Category Mapping'!$E$28:$E$39,MATCH($A895,'Category Mapping'!$A$28:$A$39,0),1))</f>
        <v>700422139.71428561</v>
      </c>
      <c r="Q895" s="27">
        <f>Q315*IF($E895="weekday",INDEX('Category Mapping'!$F$28:$F$39,MATCH('Summarized Source Data'!$A895,'Category Mapping'!$A$28:$A$39,0),1),INDEX('Category Mapping'!$E$28:$E$39,MATCH($A895,'Category Mapping'!$A$28:$A$39,0),1))</f>
        <v>700422139.71428561</v>
      </c>
      <c r="R895" s="27">
        <f>R315*IF($E895="weekday",INDEX('Category Mapping'!$F$28:$F$39,MATCH('Summarized Source Data'!$A895,'Category Mapping'!$A$28:$A$39,0),1),INDEX('Category Mapping'!$E$28:$E$39,MATCH($A895,'Category Mapping'!$A$28:$A$39,0),1))</f>
        <v>34527374.857142851</v>
      </c>
      <c r="S895" s="27">
        <f>S315*IF($E895="weekday",INDEX('Category Mapping'!$F$28:$F$39,MATCH('Summarized Source Data'!$A895,'Category Mapping'!$A$28:$A$39,0),1),INDEX('Category Mapping'!$E$28:$E$39,MATCH($A895,'Category Mapping'!$A$28:$A$39,0),1))</f>
        <v>34527374.857142851</v>
      </c>
      <c r="T895" s="27">
        <f>T315*IF($E895="weekday",INDEX('Category Mapping'!$F$28:$F$39,MATCH('Summarized Source Data'!$A895,'Category Mapping'!$A$28:$A$39,0),1),INDEX('Category Mapping'!$E$28:$E$39,MATCH($A895,'Category Mapping'!$A$28:$A$39,0),1))</f>
        <v>34527374.857142851</v>
      </c>
      <c r="U895" s="27">
        <f>U315*IF($E895="weekday",INDEX('Category Mapping'!$F$28:$F$39,MATCH('Summarized Source Data'!$A895,'Category Mapping'!$A$28:$A$39,0),1),INDEX('Category Mapping'!$E$28:$E$39,MATCH($A895,'Category Mapping'!$A$28:$A$39,0),1))</f>
        <v>34527374.857142851</v>
      </c>
      <c r="V895" s="27">
        <f>V315*IF($E895="weekday",INDEX('Category Mapping'!$F$28:$F$39,MATCH('Summarized Source Data'!$A895,'Category Mapping'!$A$28:$A$39,0),1),INDEX('Category Mapping'!$E$28:$E$39,MATCH($A895,'Category Mapping'!$A$28:$A$39,0),1))</f>
        <v>34527374.857142851</v>
      </c>
      <c r="W895" s="27">
        <f>W315*IF($E895="weekday",INDEX('Category Mapping'!$F$28:$F$39,MATCH('Summarized Source Data'!$A895,'Category Mapping'!$A$28:$A$39,0),1),INDEX('Category Mapping'!$E$28:$E$39,MATCH($A895,'Category Mapping'!$A$28:$A$39,0),1))</f>
        <v>34527374.857142851</v>
      </c>
      <c r="X895" s="27">
        <f>X315*IF($E895="weekday",INDEX('Category Mapping'!$F$28:$F$39,MATCH('Summarized Source Data'!$A895,'Category Mapping'!$A$28:$A$39,0),1),INDEX('Category Mapping'!$E$28:$E$39,MATCH($A895,'Category Mapping'!$A$28:$A$39,0),1))</f>
        <v>3046857142.8571424</v>
      </c>
      <c r="Y895" s="27">
        <f>Y315*IF($E895="weekday",INDEX('Category Mapping'!$F$28:$F$39,MATCH('Summarized Source Data'!$A895,'Category Mapping'!$A$28:$A$39,0),1),INDEX('Category Mapping'!$E$28:$E$39,MATCH($A895,'Category Mapping'!$A$28:$A$39,0),1))</f>
        <v>3046857142.8571424</v>
      </c>
      <c r="Z895" s="27">
        <f>Z315*IF($E895="weekday",INDEX('Category Mapping'!$F$28:$F$39,MATCH('Summarized Source Data'!$A895,'Category Mapping'!$A$28:$A$39,0),1),INDEX('Category Mapping'!$E$28:$E$39,MATCH($A895,'Category Mapping'!$A$28:$A$39,0),1))</f>
        <v>3046857142.8571424</v>
      </c>
    </row>
    <row r="896" spans="1:26" x14ac:dyDescent="0.3">
      <c r="A896">
        <f t="shared" ref="A896:E896" si="361">A316</f>
        <v>2</v>
      </c>
      <c r="B896" t="str">
        <f t="shared" si="361"/>
        <v>Winter</v>
      </c>
      <c r="C896" t="str">
        <f t="shared" si="361"/>
        <v>h1</v>
      </c>
      <c r="D896" t="str">
        <f t="shared" si="361"/>
        <v>Hour0</v>
      </c>
      <c r="E896" t="str">
        <f t="shared" si="361"/>
        <v>Weekend</v>
      </c>
      <c r="F896" s="27">
        <f>F316*IF($E896="weekday",INDEX('Category Mapping'!$F$28:$F$39,MATCH('Summarized Source Data'!$A896,'Category Mapping'!$A$28:$A$39,0),1),INDEX('Category Mapping'!$E$28:$E$39,MATCH($A896,'Category Mapping'!$A$28:$A$39,0),1))</f>
        <v>73750872</v>
      </c>
      <c r="G896" s="27">
        <f>G316*IF($E896="weekday",INDEX('Category Mapping'!$F$28:$F$39,MATCH('Summarized Source Data'!$A896,'Category Mapping'!$A$28:$A$39,0),1),INDEX('Category Mapping'!$E$28:$E$39,MATCH($A896,'Category Mapping'!$A$28:$A$39,0),1))</f>
        <v>57800</v>
      </c>
      <c r="H896" s="27">
        <f>H316*IF($E896="weekday",INDEX('Category Mapping'!$F$28:$F$39,MATCH('Summarized Source Data'!$A896,'Category Mapping'!$A$28:$A$39,0),1),INDEX('Category Mapping'!$E$28:$E$39,MATCH($A896,'Category Mapping'!$A$28:$A$39,0),1))</f>
        <v>0</v>
      </c>
      <c r="I896" s="27">
        <f>I316*IF($E896="weekday",INDEX('Category Mapping'!$F$28:$F$39,MATCH('Summarized Source Data'!$A896,'Category Mapping'!$A$28:$A$39,0),1),INDEX('Category Mapping'!$E$28:$E$39,MATCH($A896,'Category Mapping'!$A$28:$A$39,0),1))</f>
        <v>54194944</v>
      </c>
      <c r="J896" s="27">
        <f>J316*IF($E896="weekday",INDEX('Category Mapping'!$F$28:$F$39,MATCH('Summarized Source Data'!$A896,'Category Mapping'!$A$28:$A$39,0),1),INDEX('Category Mapping'!$E$28:$E$39,MATCH($A896,'Category Mapping'!$A$28:$A$39,0),1))</f>
        <v>305596384</v>
      </c>
      <c r="K896" s="27">
        <f>K316*IF($E896="weekday",INDEX('Category Mapping'!$F$28:$F$39,MATCH('Summarized Source Data'!$A896,'Category Mapping'!$A$28:$A$39,0),1),INDEX('Category Mapping'!$E$28:$E$39,MATCH($A896,'Category Mapping'!$A$28:$A$39,0),1))</f>
        <v>305596384</v>
      </c>
      <c r="L896" s="27">
        <f>L316*IF($E896="weekday",INDEX('Category Mapping'!$F$28:$F$39,MATCH('Summarized Source Data'!$A896,'Category Mapping'!$A$28:$A$39,0),1),INDEX('Category Mapping'!$E$28:$E$39,MATCH($A896,'Category Mapping'!$A$28:$A$39,0),1))</f>
        <v>87200000</v>
      </c>
      <c r="M896" s="27">
        <f>M316*IF($E896="weekday",INDEX('Category Mapping'!$F$28:$F$39,MATCH('Summarized Source Data'!$A896,'Category Mapping'!$A$28:$A$39,0),1),INDEX('Category Mapping'!$E$28:$E$39,MATCH($A896,'Category Mapping'!$A$28:$A$39,0),1))</f>
        <v>173584</v>
      </c>
      <c r="N896" s="27">
        <f>N316*IF($E896="weekday",INDEX('Category Mapping'!$F$28:$F$39,MATCH('Summarized Source Data'!$A896,'Category Mapping'!$A$28:$A$39,0),1),INDEX('Category Mapping'!$E$28:$E$39,MATCH($A896,'Category Mapping'!$A$28:$A$39,0),1))</f>
        <v>0</v>
      </c>
      <c r="O896" s="27">
        <f>O316*IF($E896="weekday",INDEX('Category Mapping'!$F$28:$F$39,MATCH('Summarized Source Data'!$A896,'Category Mapping'!$A$28:$A$39,0),1),INDEX('Category Mapping'!$E$28:$E$39,MATCH($A896,'Category Mapping'!$A$28:$A$39,0),1))</f>
        <v>627826416</v>
      </c>
      <c r="P896" s="27">
        <f>P316*IF($E896="weekday",INDEX('Category Mapping'!$F$28:$F$39,MATCH('Summarized Source Data'!$A896,'Category Mapping'!$A$28:$A$39,0),1),INDEX('Category Mapping'!$E$28:$E$39,MATCH($A896,'Category Mapping'!$A$28:$A$39,0),1))</f>
        <v>627826416</v>
      </c>
      <c r="Q896" s="27">
        <f>Q316*IF($E896="weekday",INDEX('Category Mapping'!$F$28:$F$39,MATCH('Summarized Source Data'!$A896,'Category Mapping'!$A$28:$A$39,0),1),INDEX('Category Mapping'!$E$28:$E$39,MATCH($A896,'Category Mapping'!$A$28:$A$39,0),1))</f>
        <v>627826416</v>
      </c>
      <c r="R896" s="27">
        <f>R316*IF($E896="weekday",INDEX('Category Mapping'!$F$28:$F$39,MATCH('Summarized Source Data'!$A896,'Category Mapping'!$A$28:$A$39,0),1),INDEX('Category Mapping'!$E$28:$E$39,MATCH($A896,'Category Mapping'!$A$28:$A$39,0),1))</f>
        <v>21649960</v>
      </c>
      <c r="S896" s="27">
        <f>S316*IF($E896="weekday",INDEX('Category Mapping'!$F$28:$F$39,MATCH('Summarized Source Data'!$A896,'Category Mapping'!$A$28:$A$39,0),1),INDEX('Category Mapping'!$E$28:$E$39,MATCH($A896,'Category Mapping'!$A$28:$A$39,0),1))</f>
        <v>21649960</v>
      </c>
      <c r="T896" s="27">
        <f>T316*IF($E896="weekday",INDEX('Category Mapping'!$F$28:$F$39,MATCH('Summarized Source Data'!$A896,'Category Mapping'!$A$28:$A$39,0),1),INDEX('Category Mapping'!$E$28:$E$39,MATCH($A896,'Category Mapping'!$A$28:$A$39,0),1))</f>
        <v>21649960</v>
      </c>
      <c r="U896" s="27">
        <f>U316*IF($E896="weekday",INDEX('Category Mapping'!$F$28:$F$39,MATCH('Summarized Source Data'!$A896,'Category Mapping'!$A$28:$A$39,0),1),INDEX('Category Mapping'!$E$28:$E$39,MATCH($A896,'Category Mapping'!$A$28:$A$39,0),1))</f>
        <v>21649960</v>
      </c>
      <c r="V896" s="27">
        <f>V316*IF($E896="weekday",INDEX('Category Mapping'!$F$28:$F$39,MATCH('Summarized Source Data'!$A896,'Category Mapping'!$A$28:$A$39,0),1),INDEX('Category Mapping'!$E$28:$E$39,MATCH($A896,'Category Mapping'!$A$28:$A$39,0),1))</f>
        <v>21649960</v>
      </c>
      <c r="W896" s="27">
        <f>W316*IF($E896="weekday",INDEX('Category Mapping'!$F$28:$F$39,MATCH('Summarized Source Data'!$A896,'Category Mapping'!$A$28:$A$39,0),1),INDEX('Category Mapping'!$E$28:$E$39,MATCH($A896,'Category Mapping'!$A$28:$A$39,0),1))</f>
        <v>21649960</v>
      </c>
      <c r="X896" s="27">
        <f>X316*IF($E896="weekday",INDEX('Category Mapping'!$F$28:$F$39,MATCH('Summarized Source Data'!$A896,'Category Mapping'!$A$28:$A$39,0),1),INDEX('Category Mapping'!$E$28:$E$39,MATCH($A896,'Category Mapping'!$A$28:$A$39,0),1))</f>
        <v>2752000000</v>
      </c>
      <c r="Y896" s="27">
        <f>Y316*IF($E896="weekday",INDEX('Category Mapping'!$F$28:$F$39,MATCH('Summarized Source Data'!$A896,'Category Mapping'!$A$28:$A$39,0),1),INDEX('Category Mapping'!$E$28:$E$39,MATCH($A896,'Category Mapping'!$A$28:$A$39,0),1))</f>
        <v>2752000000</v>
      </c>
      <c r="Z896" s="27">
        <f>Z316*IF($E896="weekday",INDEX('Category Mapping'!$F$28:$F$39,MATCH('Summarized Source Data'!$A896,'Category Mapping'!$A$28:$A$39,0),1),INDEX('Category Mapping'!$E$28:$E$39,MATCH($A896,'Category Mapping'!$A$28:$A$39,0),1))</f>
        <v>2752000000</v>
      </c>
    </row>
    <row r="897" spans="1:26" x14ac:dyDescent="0.3">
      <c r="A897">
        <f t="shared" ref="A897:E897" si="362">A317</f>
        <v>2</v>
      </c>
      <c r="B897" t="str">
        <f t="shared" si="362"/>
        <v>Winter</v>
      </c>
      <c r="C897" t="str">
        <f t="shared" si="362"/>
        <v>h2</v>
      </c>
      <c r="D897" t="str">
        <f t="shared" si="362"/>
        <v>Hour1</v>
      </c>
      <c r="E897" t="str">
        <f t="shared" si="362"/>
        <v>Weekend</v>
      </c>
      <c r="F897" s="27">
        <f>F317*IF($E897="weekday",INDEX('Category Mapping'!$F$28:$F$39,MATCH('Summarized Source Data'!$A897,'Category Mapping'!$A$28:$A$39,0),1),INDEX('Category Mapping'!$E$28:$E$39,MATCH($A897,'Category Mapping'!$A$28:$A$39,0),1))</f>
        <v>75225640</v>
      </c>
      <c r="G897" s="27">
        <f>G317*IF($E897="weekday",INDEX('Category Mapping'!$F$28:$F$39,MATCH('Summarized Source Data'!$A897,'Category Mapping'!$A$28:$A$39,0),1),INDEX('Category Mapping'!$E$28:$E$39,MATCH($A897,'Category Mapping'!$A$28:$A$39,0),1))</f>
        <v>58688</v>
      </c>
      <c r="H897" s="27">
        <f>H317*IF($E897="weekday",INDEX('Category Mapping'!$F$28:$F$39,MATCH('Summarized Source Data'!$A897,'Category Mapping'!$A$28:$A$39,0),1),INDEX('Category Mapping'!$E$28:$E$39,MATCH($A897,'Category Mapping'!$A$28:$A$39,0),1))</f>
        <v>0</v>
      </c>
      <c r="I897" s="27">
        <f>I317*IF($E897="weekday",INDEX('Category Mapping'!$F$28:$F$39,MATCH('Summarized Source Data'!$A897,'Category Mapping'!$A$28:$A$39,0),1),INDEX('Category Mapping'!$E$28:$E$39,MATCH($A897,'Category Mapping'!$A$28:$A$39,0),1))</f>
        <v>46824096</v>
      </c>
      <c r="J897" s="27">
        <f>J317*IF($E897="weekday",INDEX('Category Mapping'!$F$28:$F$39,MATCH('Summarized Source Data'!$A897,'Category Mapping'!$A$28:$A$39,0),1),INDEX('Category Mapping'!$E$28:$E$39,MATCH($A897,'Category Mapping'!$A$28:$A$39,0),1))</f>
        <v>237091576</v>
      </c>
      <c r="K897" s="27">
        <f>K317*IF($E897="weekday",INDEX('Category Mapping'!$F$28:$F$39,MATCH('Summarized Source Data'!$A897,'Category Mapping'!$A$28:$A$39,0),1),INDEX('Category Mapping'!$E$28:$E$39,MATCH($A897,'Category Mapping'!$A$28:$A$39,0),1))</f>
        <v>237091576</v>
      </c>
      <c r="L897" s="27">
        <f>L317*IF($E897="weekday",INDEX('Category Mapping'!$F$28:$F$39,MATCH('Summarized Source Data'!$A897,'Category Mapping'!$A$28:$A$39,0),1),INDEX('Category Mapping'!$E$28:$E$39,MATCH($A897,'Category Mapping'!$A$28:$A$39,0),1))</f>
        <v>80800000</v>
      </c>
      <c r="M897" s="27">
        <f>M317*IF($E897="weekday",INDEX('Category Mapping'!$F$28:$F$39,MATCH('Summarized Source Data'!$A897,'Category Mapping'!$A$28:$A$39,0),1),INDEX('Category Mapping'!$E$28:$E$39,MATCH($A897,'Category Mapping'!$A$28:$A$39,0),1))</f>
        <v>169888</v>
      </c>
      <c r="N897" s="27">
        <f>N317*IF($E897="weekday",INDEX('Category Mapping'!$F$28:$F$39,MATCH('Summarized Source Data'!$A897,'Category Mapping'!$A$28:$A$39,0),1),INDEX('Category Mapping'!$E$28:$E$39,MATCH($A897,'Category Mapping'!$A$28:$A$39,0),1))</f>
        <v>0</v>
      </c>
      <c r="O897" s="27">
        <f>O317*IF($E897="weekday",INDEX('Category Mapping'!$F$28:$F$39,MATCH('Summarized Source Data'!$A897,'Category Mapping'!$A$28:$A$39,0),1),INDEX('Category Mapping'!$E$28:$E$39,MATCH($A897,'Category Mapping'!$A$28:$A$39,0),1))</f>
        <v>547830112</v>
      </c>
      <c r="P897" s="27">
        <f>P317*IF($E897="weekday",INDEX('Category Mapping'!$F$28:$F$39,MATCH('Summarized Source Data'!$A897,'Category Mapping'!$A$28:$A$39,0),1),INDEX('Category Mapping'!$E$28:$E$39,MATCH($A897,'Category Mapping'!$A$28:$A$39,0),1))</f>
        <v>547830112</v>
      </c>
      <c r="Q897" s="27">
        <f>Q317*IF($E897="weekday",INDEX('Category Mapping'!$F$28:$F$39,MATCH('Summarized Source Data'!$A897,'Category Mapping'!$A$28:$A$39,0),1),INDEX('Category Mapping'!$E$28:$E$39,MATCH($A897,'Category Mapping'!$A$28:$A$39,0),1))</f>
        <v>547830112</v>
      </c>
      <c r="R897" s="27">
        <f>R317*IF($E897="weekday",INDEX('Category Mapping'!$F$28:$F$39,MATCH('Summarized Source Data'!$A897,'Category Mapping'!$A$28:$A$39,0),1),INDEX('Category Mapping'!$E$28:$E$39,MATCH($A897,'Category Mapping'!$A$28:$A$39,0),1))</f>
        <v>20619400</v>
      </c>
      <c r="S897" s="27">
        <f>S317*IF($E897="weekday",INDEX('Category Mapping'!$F$28:$F$39,MATCH('Summarized Source Data'!$A897,'Category Mapping'!$A$28:$A$39,0),1),INDEX('Category Mapping'!$E$28:$E$39,MATCH($A897,'Category Mapping'!$A$28:$A$39,0),1))</f>
        <v>20619400</v>
      </c>
      <c r="T897" s="27">
        <f>T317*IF($E897="weekday",INDEX('Category Mapping'!$F$28:$F$39,MATCH('Summarized Source Data'!$A897,'Category Mapping'!$A$28:$A$39,0),1),INDEX('Category Mapping'!$E$28:$E$39,MATCH($A897,'Category Mapping'!$A$28:$A$39,0),1))</f>
        <v>20619400</v>
      </c>
      <c r="U897" s="27">
        <f>U317*IF($E897="weekday",INDEX('Category Mapping'!$F$28:$F$39,MATCH('Summarized Source Data'!$A897,'Category Mapping'!$A$28:$A$39,0),1),INDEX('Category Mapping'!$E$28:$E$39,MATCH($A897,'Category Mapping'!$A$28:$A$39,0),1))</f>
        <v>20619400</v>
      </c>
      <c r="V897" s="27">
        <f>V317*IF($E897="weekday",INDEX('Category Mapping'!$F$28:$F$39,MATCH('Summarized Source Data'!$A897,'Category Mapping'!$A$28:$A$39,0),1),INDEX('Category Mapping'!$E$28:$E$39,MATCH($A897,'Category Mapping'!$A$28:$A$39,0),1))</f>
        <v>20619400</v>
      </c>
      <c r="W897" s="27">
        <f>W317*IF($E897="weekday",INDEX('Category Mapping'!$F$28:$F$39,MATCH('Summarized Source Data'!$A897,'Category Mapping'!$A$28:$A$39,0),1),INDEX('Category Mapping'!$E$28:$E$39,MATCH($A897,'Category Mapping'!$A$28:$A$39,0),1))</f>
        <v>20619400</v>
      </c>
      <c r="X897" s="27">
        <f>X317*IF($E897="weekday",INDEX('Category Mapping'!$F$28:$F$39,MATCH('Summarized Source Data'!$A897,'Category Mapping'!$A$28:$A$39,0),1),INDEX('Category Mapping'!$E$28:$E$39,MATCH($A897,'Category Mapping'!$A$28:$A$39,0),1))</f>
        <v>2744000000</v>
      </c>
      <c r="Y897" s="27">
        <f>Y317*IF($E897="weekday",INDEX('Category Mapping'!$F$28:$F$39,MATCH('Summarized Source Data'!$A897,'Category Mapping'!$A$28:$A$39,0),1),INDEX('Category Mapping'!$E$28:$E$39,MATCH($A897,'Category Mapping'!$A$28:$A$39,0),1))</f>
        <v>2744000000</v>
      </c>
      <c r="Z897" s="27">
        <f>Z317*IF($E897="weekday",INDEX('Category Mapping'!$F$28:$F$39,MATCH('Summarized Source Data'!$A897,'Category Mapping'!$A$28:$A$39,0),1),INDEX('Category Mapping'!$E$28:$E$39,MATCH($A897,'Category Mapping'!$A$28:$A$39,0),1))</f>
        <v>2744000000</v>
      </c>
    </row>
    <row r="898" spans="1:26" x14ac:dyDescent="0.3">
      <c r="A898">
        <f t="shared" ref="A898:E898" si="363">A318</f>
        <v>2</v>
      </c>
      <c r="B898" t="str">
        <f t="shared" si="363"/>
        <v>Winter</v>
      </c>
      <c r="C898" t="str">
        <f t="shared" si="363"/>
        <v>h3</v>
      </c>
      <c r="D898" t="str">
        <f t="shared" si="363"/>
        <v>Hour2</v>
      </c>
      <c r="E898" t="str">
        <f t="shared" si="363"/>
        <v>Weekend</v>
      </c>
      <c r="F898" s="27">
        <f>F318*IF($E898="weekday",INDEX('Category Mapping'!$F$28:$F$39,MATCH('Summarized Source Data'!$A898,'Category Mapping'!$A$28:$A$39,0),1),INDEX('Category Mapping'!$E$28:$E$39,MATCH($A898,'Category Mapping'!$A$28:$A$39,0),1))</f>
        <v>75727512</v>
      </c>
      <c r="G898" s="27">
        <f>G318*IF($E898="weekday",INDEX('Category Mapping'!$F$28:$F$39,MATCH('Summarized Source Data'!$A898,'Category Mapping'!$A$28:$A$39,0),1),INDEX('Category Mapping'!$E$28:$E$39,MATCH($A898,'Category Mapping'!$A$28:$A$39,0),1))</f>
        <v>59464</v>
      </c>
      <c r="H898" s="27">
        <f>H318*IF($E898="weekday",INDEX('Category Mapping'!$F$28:$F$39,MATCH('Summarized Source Data'!$A898,'Category Mapping'!$A$28:$A$39,0),1),INDEX('Category Mapping'!$E$28:$E$39,MATCH($A898,'Category Mapping'!$A$28:$A$39,0),1))</f>
        <v>0</v>
      </c>
      <c r="I898" s="27">
        <f>I318*IF($E898="weekday",INDEX('Category Mapping'!$F$28:$F$39,MATCH('Summarized Source Data'!$A898,'Category Mapping'!$A$28:$A$39,0),1),INDEX('Category Mapping'!$E$28:$E$39,MATCH($A898,'Category Mapping'!$A$28:$A$39,0),1))</f>
        <v>45223656</v>
      </c>
      <c r="J898" s="27">
        <f>J318*IF($E898="weekday",INDEX('Category Mapping'!$F$28:$F$39,MATCH('Summarized Source Data'!$A898,'Category Mapping'!$A$28:$A$39,0),1),INDEX('Category Mapping'!$E$28:$E$39,MATCH($A898,'Category Mapping'!$A$28:$A$39,0),1))</f>
        <v>185389368</v>
      </c>
      <c r="K898" s="27">
        <f>K318*IF($E898="weekday",INDEX('Category Mapping'!$F$28:$F$39,MATCH('Summarized Source Data'!$A898,'Category Mapping'!$A$28:$A$39,0),1),INDEX('Category Mapping'!$E$28:$E$39,MATCH($A898,'Category Mapping'!$A$28:$A$39,0),1))</f>
        <v>185389368</v>
      </c>
      <c r="L898" s="27">
        <f>L318*IF($E898="weekday",INDEX('Category Mapping'!$F$28:$F$39,MATCH('Summarized Source Data'!$A898,'Category Mapping'!$A$28:$A$39,0),1),INDEX('Category Mapping'!$E$28:$E$39,MATCH($A898,'Category Mapping'!$A$28:$A$39,0),1))</f>
        <v>72565696</v>
      </c>
      <c r="M898" s="27">
        <f>M318*IF($E898="weekday",INDEX('Category Mapping'!$F$28:$F$39,MATCH('Summarized Source Data'!$A898,'Category Mapping'!$A$28:$A$39,0),1),INDEX('Category Mapping'!$E$28:$E$39,MATCH($A898,'Category Mapping'!$A$28:$A$39,0),1))</f>
        <v>168344</v>
      </c>
      <c r="N898" s="27">
        <f>N318*IF($E898="weekday",INDEX('Category Mapping'!$F$28:$F$39,MATCH('Summarized Source Data'!$A898,'Category Mapping'!$A$28:$A$39,0),1),INDEX('Category Mapping'!$E$28:$E$39,MATCH($A898,'Category Mapping'!$A$28:$A$39,0),1))</f>
        <v>0</v>
      </c>
      <c r="O898" s="27">
        <f>O318*IF($E898="weekday",INDEX('Category Mapping'!$F$28:$F$39,MATCH('Summarized Source Data'!$A898,'Category Mapping'!$A$28:$A$39,0),1),INDEX('Category Mapping'!$E$28:$E$39,MATCH($A898,'Category Mapping'!$A$28:$A$39,0),1))</f>
        <v>540865960</v>
      </c>
      <c r="P898" s="27">
        <f>P318*IF($E898="weekday",INDEX('Category Mapping'!$F$28:$F$39,MATCH('Summarized Source Data'!$A898,'Category Mapping'!$A$28:$A$39,0),1),INDEX('Category Mapping'!$E$28:$E$39,MATCH($A898,'Category Mapping'!$A$28:$A$39,0),1))</f>
        <v>540865960</v>
      </c>
      <c r="Q898" s="27">
        <f>Q318*IF($E898="weekday",INDEX('Category Mapping'!$F$28:$F$39,MATCH('Summarized Source Data'!$A898,'Category Mapping'!$A$28:$A$39,0),1),INDEX('Category Mapping'!$E$28:$E$39,MATCH($A898,'Category Mapping'!$A$28:$A$39,0),1))</f>
        <v>540865960</v>
      </c>
      <c r="R898" s="27">
        <f>R318*IF($E898="weekday",INDEX('Category Mapping'!$F$28:$F$39,MATCH('Summarized Source Data'!$A898,'Category Mapping'!$A$28:$A$39,0),1),INDEX('Category Mapping'!$E$28:$E$39,MATCH($A898,'Category Mapping'!$A$28:$A$39,0),1))</f>
        <v>20338336</v>
      </c>
      <c r="S898" s="27">
        <f>S318*IF($E898="weekday",INDEX('Category Mapping'!$F$28:$F$39,MATCH('Summarized Source Data'!$A898,'Category Mapping'!$A$28:$A$39,0),1),INDEX('Category Mapping'!$E$28:$E$39,MATCH($A898,'Category Mapping'!$A$28:$A$39,0),1))</f>
        <v>20338336</v>
      </c>
      <c r="T898" s="27">
        <f>T318*IF($E898="weekday",INDEX('Category Mapping'!$F$28:$F$39,MATCH('Summarized Source Data'!$A898,'Category Mapping'!$A$28:$A$39,0),1),INDEX('Category Mapping'!$E$28:$E$39,MATCH($A898,'Category Mapping'!$A$28:$A$39,0),1))</f>
        <v>20338336</v>
      </c>
      <c r="U898" s="27">
        <f>U318*IF($E898="weekday",INDEX('Category Mapping'!$F$28:$F$39,MATCH('Summarized Source Data'!$A898,'Category Mapping'!$A$28:$A$39,0),1),INDEX('Category Mapping'!$E$28:$E$39,MATCH($A898,'Category Mapping'!$A$28:$A$39,0),1))</f>
        <v>20338336</v>
      </c>
      <c r="V898" s="27">
        <f>V318*IF($E898="weekday",INDEX('Category Mapping'!$F$28:$F$39,MATCH('Summarized Source Data'!$A898,'Category Mapping'!$A$28:$A$39,0),1),INDEX('Category Mapping'!$E$28:$E$39,MATCH($A898,'Category Mapping'!$A$28:$A$39,0),1))</f>
        <v>20338336</v>
      </c>
      <c r="W898" s="27">
        <f>W318*IF($E898="weekday",INDEX('Category Mapping'!$F$28:$F$39,MATCH('Summarized Source Data'!$A898,'Category Mapping'!$A$28:$A$39,0),1),INDEX('Category Mapping'!$E$28:$E$39,MATCH($A898,'Category Mapping'!$A$28:$A$39,0),1))</f>
        <v>20338336</v>
      </c>
      <c r="X898" s="27">
        <f>X318*IF($E898="weekday",INDEX('Category Mapping'!$F$28:$F$39,MATCH('Summarized Source Data'!$A898,'Category Mapping'!$A$28:$A$39,0),1),INDEX('Category Mapping'!$E$28:$E$39,MATCH($A898,'Category Mapping'!$A$28:$A$39,0),1))</f>
        <v>2744000000</v>
      </c>
      <c r="Y898" s="27">
        <f>Y318*IF($E898="weekday",INDEX('Category Mapping'!$F$28:$F$39,MATCH('Summarized Source Data'!$A898,'Category Mapping'!$A$28:$A$39,0),1),INDEX('Category Mapping'!$E$28:$E$39,MATCH($A898,'Category Mapping'!$A$28:$A$39,0),1))</f>
        <v>2744000000</v>
      </c>
      <c r="Z898" s="27">
        <f>Z318*IF($E898="weekday",INDEX('Category Mapping'!$F$28:$F$39,MATCH('Summarized Source Data'!$A898,'Category Mapping'!$A$28:$A$39,0),1),INDEX('Category Mapping'!$E$28:$E$39,MATCH($A898,'Category Mapping'!$A$28:$A$39,0),1))</f>
        <v>2744000000</v>
      </c>
    </row>
    <row r="899" spans="1:26" x14ac:dyDescent="0.3">
      <c r="A899">
        <f t="shared" ref="A899:E899" si="364">A319</f>
        <v>2</v>
      </c>
      <c r="B899" t="str">
        <f t="shared" si="364"/>
        <v>Winter</v>
      </c>
      <c r="C899" t="str">
        <f t="shared" si="364"/>
        <v>h4</v>
      </c>
      <c r="D899" t="str">
        <f t="shared" si="364"/>
        <v>Hour3</v>
      </c>
      <c r="E899" t="str">
        <f t="shared" si="364"/>
        <v>Weekend</v>
      </c>
      <c r="F899" s="27">
        <f>F319*IF($E899="weekday",INDEX('Category Mapping'!$F$28:$F$39,MATCH('Summarized Source Data'!$A899,'Category Mapping'!$A$28:$A$39,0),1),INDEX('Category Mapping'!$E$28:$E$39,MATCH($A899,'Category Mapping'!$A$28:$A$39,0),1))</f>
        <v>75225640</v>
      </c>
      <c r="G899" s="27">
        <f>G319*IF($E899="weekday",INDEX('Category Mapping'!$F$28:$F$39,MATCH('Summarized Source Data'!$A899,'Category Mapping'!$A$28:$A$39,0),1),INDEX('Category Mapping'!$E$28:$E$39,MATCH($A899,'Category Mapping'!$A$28:$A$39,0),1))</f>
        <v>59576</v>
      </c>
      <c r="H899" s="27">
        <f>H319*IF($E899="weekday",INDEX('Category Mapping'!$F$28:$F$39,MATCH('Summarized Source Data'!$A899,'Category Mapping'!$A$28:$A$39,0),1),INDEX('Category Mapping'!$E$28:$E$39,MATCH($A899,'Category Mapping'!$A$28:$A$39,0),1))</f>
        <v>0</v>
      </c>
      <c r="I899" s="27">
        <f>I319*IF($E899="weekday",INDEX('Category Mapping'!$F$28:$F$39,MATCH('Summarized Source Data'!$A899,'Category Mapping'!$A$28:$A$39,0),1),INDEX('Category Mapping'!$E$28:$E$39,MATCH($A899,'Category Mapping'!$A$28:$A$39,0),1))</f>
        <v>45185480</v>
      </c>
      <c r="J899" s="27">
        <f>J319*IF($E899="weekday",INDEX('Category Mapping'!$F$28:$F$39,MATCH('Summarized Source Data'!$A899,'Category Mapping'!$A$28:$A$39,0),1),INDEX('Category Mapping'!$E$28:$E$39,MATCH($A899,'Category Mapping'!$A$28:$A$39,0),1))</f>
        <v>153929304</v>
      </c>
      <c r="K899" s="27">
        <f>K319*IF($E899="weekday",INDEX('Category Mapping'!$F$28:$F$39,MATCH('Summarized Source Data'!$A899,'Category Mapping'!$A$28:$A$39,0),1),INDEX('Category Mapping'!$E$28:$E$39,MATCH($A899,'Category Mapping'!$A$28:$A$39,0),1))</f>
        <v>153929304</v>
      </c>
      <c r="L899" s="27">
        <f>L319*IF($E899="weekday",INDEX('Category Mapping'!$F$28:$F$39,MATCH('Summarized Source Data'!$A899,'Category Mapping'!$A$28:$A$39,0),1),INDEX('Category Mapping'!$E$28:$E$39,MATCH($A899,'Category Mapping'!$A$28:$A$39,0),1))</f>
        <v>75797504</v>
      </c>
      <c r="M899" s="27">
        <f>M319*IF($E899="weekday",INDEX('Category Mapping'!$F$28:$F$39,MATCH('Summarized Source Data'!$A899,'Category Mapping'!$A$28:$A$39,0),1),INDEX('Category Mapping'!$E$28:$E$39,MATCH($A899,'Category Mapping'!$A$28:$A$39,0),1))</f>
        <v>167480</v>
      </c>
      <c r="N899" s="27">
        <f>N319*IF($E899="weekday",INDEX('Category Mapping'!$F$28:$F$39,MATCH('Summarized Source Data'!$A899,'Category Mapping'!$A$28:$A$39,0),1),INDEX('Category Mapping'!$E$28:$E$39,MATCH($A899,'Category Mapping'!$A$28:$A$39,0),1))</f>
        <v>0</v>
      </c>
      <c r="O899" s="27">
        <f>O319*IF($E899="weekday",INDEX('Category Mapping'!$F$28:$F$39,MATCH('Summarized Source Data'!$A899,'Category Mapping'!$A$28:$A$39,0),1),INDEX('Category Mapping'!$E$28:$E$39,MATCH($A899,'Category Mapping'!$A$28:$A$39,0),1))</f>
        <v>545635016</v>
      </c>
      <c r="P899" s="27">
        <f>P319*IF($E899="weekday",INDEX('Category Mapping'!$F$28:$F$39,MATCH('Summarized Source Data'!$A899,'Category Mapping'!$A$28:$A$39,0),1),INDEX('Category Mapping'!$E$28:$E$39,MATCH($A899,'Category Mapping'!$A$28:$A$39,0),1))</f>
        <v>545635016</v>
      </c>
      <c r="Q899" s="27">
        <f>Q319*IF($E899="weekday",INDEX('Category Mapping'!$F$28:$F$39,MATCH('Summarized Source Data'!$A899,'Category Mapping'!$A$28:$A$39,0),1),INDEX('Category Mapping'!$E$28:$E$39,MATCH($A899,'Category Mapping'!$A$28:$A$39,0),1))</f>
        <v>545635016</v>
      </c>
      <c r="R899" s="27">
        <f>R319*IF($E899="weekday",INDEX('Category Mapping'!$F$28:$F$39,MATCH('Summarized Source Data'!$A899,'Category Mapping'!$A$28:$A$39,0),1),INDEX('Category Mapping'!$E$28:$E$39,MATCH($A899,'Category Mapping'!$A$28:$A$39,0),1))</f>
        <v>20338336</v>
      </c>
      <c r="S899" s="27">
        <f>S319*IF($E899="weekday",INDEX('Category Mapping'!$F$28:$F$39,MATCH('Summarized Source Data'!$A899,'Category Mapping'!$A$28:$A$39,0),1),INDEX('Category Mapping'!$E$28:$E$39,MATCH($A899,'Category Mapping'!$A$28:$A$39,0),1))</f>
        <v>20338336</v>
      </c>
      <c r="T899" s="27">
        <f>T319*IF($E899="weekday",INDEX('Category Mapping'!$F$28:$F$39,MATCH('Summarized Source Data'!$A899,'Category Mapping'!$A$28:$A$39,0),1),INDEX('Category Mapping'!$E$28:$E$39,MATCH($A899,'Category Mapping'!$A$28:$A$39,0),1))</f>
        <v>20338336</v>
      </c>
      <c r="U899" s="27">
        <f>U319*IF($E899="weekday",INDEX('Category Mapping'!$F$28:$F$39,MATCH('Summarized Source Data'!$A899,'Category Mapping'!$A$28:$A$39,0),1),INDEX('Category Mapping'!$E$28:$E$39,MATCH($A899,'Category Mapping'!$A$28:$A$39,0),1))</f>
        <v>20338336</v>
      </c>
      <c r="V899" s="27">
        <f>V319*IF($E899="weekday",INDEX('Category Mapping'!$F$28:$F$39,MATCH('Summarized Source Data'!$A899,'Category Mapping'!$A$28:$A$39,0),1),INDEX('Category Mapping'!$E$28:$E$39,MATCH($A899,'Category Mapping'!$A$28:$A$39,0),1))</f>
        <v>20338336</v>
      </c>
      <c r="W899" s="27">
        <f>W319*IF($E899="weekday",INDEX('Category Mapping'!$F$28:$F$39,MATCH('Summarized Source Data'!$A899,'Category Mapping'!$A$28:$A$39,0),1),INDEX('Category Mapping'!$E$28:$E$39,MATCH($A899,'Category Mapping'!$A$28:$A$39,0),1))</f>
        <v>20338336</v>
      </c>
      <c r="X899" s="27">
        <f>X319*IF($E899="weekday",INDEX('Category Mapping'!$F$28:$F$39,MATCH('Summarized Source Data'!$A899,'Category Mapping'!$A$28:$A$39,0),1),INDEX('Category Mapping'!$E$28:$E$39,MATCH($A899,'Category Mapping'!$A$28:$A$39,0),1))</f>
        <v>2752000000</v>
      </c>
      <c r="Y899" s="27">
        <f>Y319*IF($E899="weekday",INDEX('Category Mapping'!$F$28:$F$39,MATCH('Summarized Source Data'!$A899,'Category Mapping'!$A$28:$A$39,0),1),INDEX('Category Mapping'!$E$28:$E$39,MATCH($A899,'Category Mapping'!$A$28:$A$39,0),1))</f>
        <v>2752000000</v>
      </c>
      <c r="Z899" s="27">
        <f>Z319*IF($E899="weekday",INDEX('Category Mapping'!$F$28:$F$39,MATCH('Summarized Source Data'!$A899,'Category Mapping'!$A$28:$A$39,0),1),INDEX('Category Mapping'!$E$28:$E$39,MATCH($A899,'Category Mapping'!$A$28:$A$39,0),1))</f>
        <v>2752000000</v>
      </c>
    </row>
    <row r="900" spans="1:26" x14ac:dyDescent="0.3">
      <c r="A900">
        <f t="shared" ref="A900:E900" si="365">A320</f>
        <v>2</v>
      </c>
      <c r="B900" t="str">
        <f t="shared" si="365"/>
        <v>Winter</v>
      </c>
      <c r="C900" t="str">
        <f t="shared" si="365"/>
        <v>h5</v>
      </c>
      <c r="D900" t="str">
        <f t="shared" si="365"/>
        <v>Hour4</v>
      </c>
      <c r="E900" t="str">
        <f t="shared" si="365"/>
        <v>Weekend</v>
      </c>
      <c r="F900" s="27">
        <f>F320*IF($E900="weekday",INDEX('Category Mapping'!$F$28:$F$39,MATCH('Summarized Source Data'!$A900,'Category Mapping'!$A$28:$A$39,0),1),INDEX('Category Mapping'!$E$28:$E$39,MATCH($A900,'Category Mapping'!$A$28:$A$39,0),1))</f>
        <v>73750872</v>
      </c>
      <c r="G900" s="27">
        <f>G320*IF($E900="weekday",INDEX('Category Mapping'!$F$28:$F$39,MATCH('Summarized Source Data'!$A900,'Category Mapping'!$A$28:$A$39,0),1),INDEX('Category Mapping'!$E$28:$E$39,MATCH($A900,'Category Mapping'!$A$28:$A$39,0),1))</f>
        <v>59384</v>
      </c>
      <c r="H900" s="27">
        <f>H320*IF($E900="weekday",INDEX('Category Mapping'!$F$28:$F$39,MATCH('Summarized Source Data'!$A900,'Category Mapping'!$A$28:$A$39,0),1),INDEX('Category Mapping'!$E$28:$E$39,MATCH($A900,'Category Mapping'!$A$28:$A$39,0),1))</f>
        <v>0</v>
      </c>
      <c r="I900" s="27">
        <f>I320*IF($E900="weekday",INDEX('Category Mapping'!$F$28:$F$39,MATCH('Summarized Source Data'!$A900,'Category Mapping'!$A$28:$A$39,0),1),INDEX('Category Mapping'!$E$28:$E$39,MATCH($A900,'Category Mapping'!$A$28:$A$39,0),1))</f>
        <v>47562056</v>
      </c>
      <c r="J900" s="27">
        <f>J320*IF($E900="weekday",INDEX('Category Mapping'!$F$28:$F$39,MATCH('Summarized Source Data'!$A900,'Category Mapping'!$A$28:$A$39,0),1),INDEX('Category Mapping'!$E$28:$E$39,MATCH($A900,'Category Mapping'!$A$28:$A$39,0),1))</f>
        <v>157027688</v>
      </c>
      <c r="K900" s="27">
        <f>K320*IF($E900="weekday",INDEX('Category Mapping'!$F$28:$F$39,MATCH('Summarized Source Data'!$A900,'Category Mapping'!$A$28:$A$39,0),1),INDEX('Category Mapping'!$E$28:$E$39,MATCH($A900,'Category Mapping'!$A$28:$A$39,0),1))</f>
        <v>157027688</v>
      </c>
      <c r="L900" s="27">
        <f>L320*IF($E900="weekday",INDEX('Category Mapping'!$F$28:$F$39,MATCH('Summarized Source Data'!$A900,'Category Mapping'!$A$28:$A$39,0),1),INDEX('Category Mapping'!$E$28:$E$39,MATCH($A900,'Category Mapping'!$A$28:$A$39,0),1))</f>
        <v>80000000</v>
      </c>
      <c r="M900" s="27">
        <f>M320*IF($E900="weekday",INDEX('Category Mapping'!$F$28:$F$39,MATCH('Summarized Source Data'!$A900,'Category Mapping'!$A$28:$A$39,0),1),INDEX('Category Mapping'!$E$28:$E$39,MATCH($A900,'Category Mapping'!$A$28:$A$39,0),1))</f>
        <v>167288</v>
      </c>
      <c r="N900" s="27">
        <f>N320*IF($E900="weekday",INDEX('Category Mapping'!$F$28:$F$39,MATCH('Summarized Source Data'!$A900,'Category Mapping'!$A$28:$A$39,0),1),INDEX('Category Mapping'!$E$28:$E$39,MATCH($A900,'Category Mapping'!$A$28:$A$39,0),1))</f>
        <v>0</v>
      </c>
      <c r="O900" s="27">
        <f>O320*IF($E900="weekday",INDEX('Category Mapping'!$F$28:$F$39,MATCH('Summarized Source Data'!$A900,'Category Mapping'!$A$28:$A$39,0),1),INDEX('Category Mapping'!$E$28:$E$39,MATCH($A900,'Category Mapping'!$A$28:$A$39,0),1))</f>
        <v>555032712</v>
      </c>
      <c r="P900" s="27">
        <f>P320*IF($E900="weekday",INDEX('Category Mapping'!$F$28:$F$39,MATCH('Summarized Source Data'!$A900,'Category Mapping'!$A$28:$A$39,0),1),INDEX('Category Mapping'!$E$28:$E$39,MATCH($A900,'Category Mapping'!$A$28:$A$39,0),1))</f>
        <v>555032712</v>
      </c>
      <c r="Q900" s="27">
        <f>Q320*IF($E900="weekday",INDEX('Category Mapping'!$F$28:$F$39,MATCH('Summarized Source Data'!$A900,'Category Mapping'!$A$28:$A$39,0),1),INDEX('Category Mapping'!$E$28:$E$39,MATCH($A900,'Category Mapping'!$A$28:$A$39,0),1))</f>
        <v>555032712</v>
      </c>
      <c r="R900" s="27">
        <f>R320*IF($E900="weekday",INDEX('Category Mapping'!$F$28:$F$39,MATCH('Summarized Source Data'!$A900,'Category Mapping'!$A$28:$A$39,0),1),INDEX('Category Mapping'!$E$28:$E$39,MATCH($A900,'Category Mapping'!$A$28:$A$39,0),1))</f>
        <v>20244648</v>
      </c>
      <c r="S900" s="27">
        <f>S320*IF($E900="weekday",INDEX('Category Mapping'!$F$28:$F$39,MATCH('Summarized Source Data'!$A900,'Category Mapping'!$A$28:$A$39,0),1),INDEX('Category Mapping'!$E$28:$E$39,MATCH($A900,'Category Mapping'!$A$28:$A$39,0),1))</f>
        <v>20244648</v>
      </c>
      <c r="T900" s="27">
        <f>T320*IF($E900="weekday",INDEX('Category Mapping'!$F$28:$F$39,MATCH('Summarized Source Data'!$A900,'Category Mapping'!$A$28:$A$39,0),1),INDEX('Category Mapping'!$E$28:$E$39,MATCH($A900,'Category Mapping'!$A$28:$A$39,0),1))</f>
        <v>20244648</v>
      </c>
      <c r="U900" s="27">
        <f>U320*IF($E900="weekday",INDEX('Category Mapping'!$F$28:$F$39,MATCH('Summarized Source Data'!$A900,'Category Mapping'!$A$28:$A$39,0),1),INDEX('Category Mapping'!$E$28:$E$39,MATCH($A900,'Category Mapping'!$A$28:$A$39,0),1))</f>
        <v>20244648</v>
      </c>
      <c r="V900" s="27">
        <f>V320*IF($E900="weekday",INDEX('Category Mapping'!$F$28:$F$39,MATCH('Summarized Source Data'!$A900,'Category Mapping'!$A$28:$A$39,0),1),INDEX('Category Mapping'!$E$28:$E$39,MATCH($A900,'Category Mapping'!$A$28:$A$39,0),1))</f>
        <v>20244648</v>
      </c>
      <c r="W900" s="27">
        <f>W320*IF($E900="weekday",INDEX('Category Mapping'!$F$28:$F$39,MATCH('Summarized Source Data'!$A900,'Category Mapping'!$A$28:$A$39,0),1),INDEX('Category Mapping'!$E$28:$E$39,MATCH($A900,'Category Mapping'!$A$28:$A$39,0),1))</f>
        <v>20244648</v>
      </c>
      <c r="X900" s="27">
        <f>X320*IF($E900="weekday",INDEX('Category Mapping'!$F$28:$F$39,MATCH('Summarized Source Data'!$A900,'Category Mapping'!$A$28:$A$39,0),1),INDEX('Category Mapping'!$E$28:$E$39,MATCH($A900,'Category Mapping'!$A$28:$A$39,0),1))</f>
        <v>2776000000</v>
      </c>
      <c r="Y900" s="27">
        <f>Y320*IF($E900="weekday",INDEX('Category Mapping'!$F$28:$F$39,MATCH('Summarized Source Data'!$A900,'Category Mapping'!$A$28:$A$39,0),1),INDEX('Category Mapping'!$E$28:$E$39,MATCH($A900,'Category Mapping'!$A$28:$A$39,0),1))</f>
        <v>2776000000</v>
      </c>
      <c r="Z900" s="27">
        <f>Z320*IF($E900="weekday",INDEX('Category Mapping'!$F$28:$F$39,MATCH('Summarized Source Data'!$A900,'Category Mapping'!$A$28:$A$39,0),1),INDEX('Category Mapping'!$E$28:$E$39,MATCH($A900,'Category Mapping'!$A$28:$A$39,0),1))</f>
        <v>2776000000</v>
      </c>
    </row>
    <row r="901" spans="1:26" x14ac:dyDescent="0.3">
      <c r="A901">
        <f t="shared" ref="A901:E901" si="366">A321</f>
        <v>2</v>
      </c>
      <c r="B901" t="str">
        <f t="shared" si="366"/>
        <v>Winter</v>
      </c>
      <c r="C901" t="str">
        <f t="shared" si="366"/>
        <v>h6</v>
      </c>
      <c r="D901" t="str">
        <f t="shared" si="366"/>
        <v>Hour5</v>
      </c>
      <c r="E901" t="str">
        <f t="shared" si="366"/>
        <v>Weekend</v>
      </c>
      <c r="F901" s="27">
        <f>F321*IF($E901="weekday",INDEX('Category Mapping'!$F$28:$F$39,MATCH('Summarized Source Data'!$A901,'Category Mapping'!$A$28:$A$39,0),1),INDEX('Category Mapping'!$E$28:$E$39,MATCH($A901,'Category Mapping'!$A$28:$A$39,0),1))</f>
        <v>77480464</v>
      </c>
      <c r="G901" s="27">
        <f>G321*IF($E901="weekday",INDEX('Category Mapping'!$F$28:$F$39,MATCH('Summarized Source Data'!$A901,'Category Mapping'!$A$28:$A$39,0),1),INDEX('Category Mapping'!$E$28:$E$39,MATCH($A901,'Category Mapping'!$A$28:$A$39,0),1))</f>
        <v>58320</v>
      </c>
      <c r="H901" s="27">
        <f>H321*IF($E901="weekday",INDEX('Category Mapping'!$F$28:$F$39,MATCH('Summarized Source Data'!$A901,'Category Mapping'!$A$28:$A$39,0),1),INDEX('Category Mapping'!$E$28:$E$39,MATCH($A901,'Category Mapping'!$A$28:$A$39,0),1))</f>
        <v>0</v>
      </c>
      <c r="I901" s="27">
        <f>I321*IF($E901="weekday",INDEX('Category Mapping'!$F$28:$F$39,MATCH('Summarized Source Data'!$A901,'Category Mapping'!$A$28:$A$39,0),1),INDEX('Category Mapping'!$E$28:$E$39,MATCH($A901,'Category Mapping'!$A$28:$A$39,0),1))</f>
        <v>61638720</v>
      </c>
      <c r="J901" s="27">
        <f>J321*IF($E901="weekday",INDEX('Category Mapping'!$F$28:$F$39,MATCH('Summarized Source Data'!$A901,'Category Mapping'!$A$28:$A$39,0),1),INDEX('Category Mapping'!$E$28:$E$39,MATCH($A901,'Category Mapping'!$A$28:$A$39,0),1))</f>
        <v>181622496</v>
      </c>
      <c r="K901" s="27">
        <f>K321*IF($E901="weekday",INDEX('Category Mapping'!$F$28:$F$39,MATCH('Summarized Source Data'!$A901,'Category Mapping'!$A$28:$A$39,0),1),INDEX('Category Mapping'!$E$28:$E$39,MATCH($A901,'Category Mapping'!$A$28:$A$39,0),1))</f>
        <v>181622496</v>
      </c>
      <c r="L901" s="27">
        <f>L321*IF($E901="weekday",INDEX('Category Mapping'!$F$28:$F$39,MATCH('Summarized Source Data'!$A901,'Category Mapping'!$A$28:$A$39,0),1),INDEX('Category Mapping'!$E$28:$E$39,MATCH($A901,'Category Mapping'!$A$28:$A$39,0),1))</f>
        <v>83200000</v>
      </c>
      <c r="M901" s="27">
        <f>M321*IF($E901="weekday",INDEX('Category Mapping'!$F$28:$F$39,MATCH('Summarized Source Data'!$A901,'Category Mapping'!$A$28:$A$39,0),1),INDEX('Category Mapping'!$E$28:$E$39,MATCH($A901,'Category Mapping'!$A$28:$A$39,0),1))</f>
        <v>169120</v>
      </c>
      <c r="N901" s="27">
        <f>N321*IF($E901="weekday",INDEX('Category Mapping'!$F$28:$F$39,MATCH('Summarized Source Data'!$A901,'Category Mapping'!$A$28:$A$39,0),1),INDEX('Category Mapping'!$E$28:$E$39,MATCH($A901,'Category Mapping'!$A$28:$A$39,0),1))</f>
        <v>0</v>
      </c>
      <c r="O901" s="27">
        <f>O321*IF($E901="weekday",INDEX('Category Mapping'!$F$28:$F$39,MATCH('Summarized Source Data'!$A901,'Category Mapping'!$A$28:$A$39,0),1),INDEX('Category Mapping'!$E$28:$E$39,MATCH($A901,'Category Mapping'!$A$28:$A$39,0),1))</f>
        <v>592630880</v>
      </c>
      <c r="P901" s="27">
        <f>P321*IF($E901="weekday",INDEX('Category Mapping'!$F$28:$F$39,MATCH('Summarized Source Data'!$A901,'Category Mapping'!$A$28:$A$39,0),1),INDEX('Category Mapping'!$E$28:$E$39,MATCH($A901,'Category Mapping'!$A$28:$A$39,0),1))</f>
        <v>592630880</v>
      </c>
      <c r="Q901" s="27">
        <f>Q321*IF($E901="weekday",INDEX('Category Mapping'!$F$28:$F$39,MATCH('Summarized Source Data'!$A901,'Category Mapping'!$A$28:$A$39,0),1),INDEX('Category Mapping'!$E$28:$E$39,MATCH($A901,'Category Mapping'!$A$28:$A$39,0),1))</f>
        <v>592630880</v>
      </c>
      <c r="R901" s="27">
        <f>R321*IF($E901="weekday",INDEX('Category Mapping'!$F$28:$F$39,MATCH('Summarized Source Data'!$A901,'Category Mapping'!$A$28:$A$39,0),1),INDEX('Category Mapping'!$E$28:$E$39,MATCH($A901,'Category Mapping'!$A$28:$A$39,0),1))</f>
        <v>20385176</v>
      </c>
      <c r="S901" s="27">
        <f>S321*IF($E901="weekday",INDEX('Category Mapping'!$F$28:$F$39,MATCH('Summarized Source Data'!$A901,'Category Mapping'!$A$28:$A$39,0),1),INDEX('Category Mapping'!$E$28:$E$39,MATCH($A901,'Category Mapping'!$A$28:$A$39,0),1))</f>
        <v>20385176</v>
      </c>
      <c r="T901" s="27">
        <f>T321*IF($E901="weekday",INDEX('Category Mapping'!$F$28:$F$39,MATCH('Summarized Source Data'!$A901,'Category Mapping'!$A$28:$A$39,0),1),INDEX('Category Mapping'!$E$28:$E$39,MATCH($A901,'Category Mapping'!$A$28:$A$39,0),1))</f>
        <v>20385176</v>
      </c>
      <c r="U901" s="27">
        <f>U321*IF($E901="weekday",INDEX('Category Mapping'!$F$28:$F$39,MATCH('Summarized Source Data'!$A901,'Category Mapping'!$A$28:$A$39,0),1),INDEX('Category Mapping'!$E$28:$E$39,MATCH($A901,'Category Mapping'!$A$28:$A$39,0),1))</f>
        <v>20385176</v>
      </c>
      <c r="V901" s="27">
        <f>V321*IF($E901="weekday",INDEX('Category Mapping'!$F$28:$F$39,MATCH('Summarized Source Data'!$A901,'Category Mapping'!$A$28:$A$39,0),1),INDEX('Category Mapping'!$E$28:$E$39,MATCH($A901,'Category Mapping'!$A$28:$A$39,0),1))</f>
        <v>20385176</v>
      </c>
      <c r="W901" s="27">
        <f>W321*IF($E901="weekday",INDEX('Category Mapping'!$F$28:$F$39,MATCH('Summarized Source Data'!$A901,'Category Mapping'!$A$28:$A$39,0),1),INDEX('Category Mapping'!$E$28:$E$39,MATCH($A901,'Category Mapping'!$A$28:$A$39,0),1))</f>
        <v>20385176</v>
      </c>
      <c r="X901" s="27">
        <f>X321*IF($E901="weekday",INDEX('Category Mapping'!$F$28:$F$39,MATCH('Summarized Source Data'!$A901,'Category Mapping'!$A$28:$A$39,0),1),INDEX('Category Mapping'!$E$28:$E$39,MATCH($A901,'Category Mapping'!$A$28:$A$39,0),1))</f>
        <v>2800000000</v>
      </c>
      <c r="Y901" s="27">
        <f>Y321*IF($E901="weekday",INDEX('Category Mapping'!$F$28:$F$39,MATCH('Summarized Source Data'!$A901,'Category Mapping'!$A$28:$A$39,0),1),INDEX('Category Mapping'!$E$28:$E$39,MATCH($A901,'Category Mapping'!$A$28:$A$39,0),1))</f>
        <v>2800000000</v>
      </c>
      <c r="Z901" s="27">
        <f>Z321*IF($E901="weekday",INDEX('Category Mapping'!$F$28:$F$39,MATCH('Summarized Source Data'!$A901,'Category Mapping'!$A$28:$A$39,0),1),INDEX('Category Mapping'!$E$28:$E$39,MATCH($A901,'Category Mapping'!$A$28:$A$39,0),1))</f>
        <v>2800000000</v>
      </c>
    </row>
    <row r="902" spans="1:26" x14ac:dyDescent="0.3">
      <c r="A902">
        <f t="shared" ref="A902:E902" si="367">A322</f>
        <v>2</v>
      </c>
      <c r="B902" t="str">
        <f t="shared" si="367"/>
        <v>Winter</v>
      </c>
      <c r="C902" t="str">
        <f t="shared" si="367"/>
        <v>h7</v>
      </c>
      <c r="D902" t="str">
        <f t="shared" si="367"/>
        <v>Hour6</v>
      </c>
      <c r="E902" t="str">
        <f t="shared" si="367"/>
        <v>Weekend</v>
      </c>
      <c r="F902" s="27">
        <f>F322*IF($E902="weekday",INDEX('Category Mapping'!$F$28:$F$39,MATCH('Summarized Source Data'!$A902,'Category Mapping'!$A$28:$A$39,0),1),INDEX('Category Mapping'!$E$28:$E$39,MATCH($A902,'Category Mapping'!$A$28:$A$39,0),1))</f>
        <v>81600000</v>
      </c>
      <c r="G902" s="27">
        <f>G322*IF($E902="weekday",INDEX('Category Mapping'!$F$28:$F$39,MATCH('Summarized Source Data'!$A902,'Category Mapping'!$A$28:$A$39,0),1),INDEX('Category Mapping'!$E$28:$E$39,MATCH($A902,'Category Mapping'!$A$28:$A$39,0),1))</f>
        <v>55992</v>
      </c>
      <c r="H902" s="27">
        <f>H322*IF($E902="weekday",INDEX('Category Mapping'!$F$28:$F$39,MATCH('Summarized Source Data'!$A902,'Category Mapping'!$A$28:$A$39,0),1),INDEX('Category Mapping'!$E$28:$E$39,MATCH($A902,'Category Mapping'!$A$28:$A$39,0),1))</f>
        <v>0</v>
      </c>
      <c r="I902" s="27">
        <f>I322*IF($E902="weekday",INDEX('Category Mapping'!$F$28:$F$39,MATCH('Summarized Source Data'!$A902,'Category Mapping'!$A$28:$A$39,0),1),INDEX('Category Mapping'!$E$28:$E$39,MATCH($A902,'Category Mapping'!$A$28:$A$39,0),1))</f>
        <v>106400000</v>
      </c>
      <c r="J902" s="27">
        <f>J322*IF($E902="weekday",INDEX('Category Mapping'!$F$28:$F$39,MATCH('Summarized Source Data'!$A902,'Category Mapping'!$A$28:$A$39,0),1),INDEX('Category Mapping'!$E$28:$E$39,MATCH($A902,'Category Mapping'!$A$28:$A$39,0),1))</f>
        <v>267944008</v>
      </c>
      <c r="K902" s="27">
        <f>K322*IF($E902="weekday",INDEX('Category Mapping'!$F$28:$F$39,MATCH('Summarized Source Data'!$A902,'Category Mapping'!$A$28:$A$39,0),1),INDEX('Category Mapping'!$E$28:$E$39,MATCH($A902,'Category Mapping'!$A$28:$A$39,0),1))</f>
        <v>267944008</v>
      </c>
      <c r="L902" s="27">
        <f>L322*IF($E902="weekday",INDEX('Category Mapping'!$F$28:$F$39,MATCH('Summarized Source Data'!$A902,'Category Mapping'!$A$28:$A$39,0),1),INDEX('Category Mapping'!$E$28:$E$39,MATCH($A902,'Category Mapping'!$A$28:$A$39,0),1))</f>
        <v>100800000</v>
      </c>
      <c r="M902" s="27">
        <f>M322*IF($E902="weekday",INDEX('Category Mapping'!$F$28:$F$39,MATCH('Summarized Source Data'!$A902,'Category Mapping'!$A$28:$A$39,0),1),INDEX('Category Mapping'!$E$28:$E$39,MATCH($A902,'Category Mapping'!$A$28:$A$39,0),1))</f>
        <v>175648</v>
      </c>
      <c r="N902" s="27">
        <f>N322*IF($E902="weekday",INDEX('Category Mapping'!$F$28:$F$39,MATCH('Summarized Source Data'!$A902,'Category Mapping'!$A$28:$A$39,0),1),INDEX('Category Mapping'!$E$28:$E$39,MATCH($A902,'Category Mapping'!$A$28:$A$39,0),1))</f>
        <v>0</v>
      </c>
      <c r="O902" s="27">
        <f>O322*IF($E902="weekday",INDEX('Category Mapping'!$F$28:$F$39,MATCH('Summarized Source Data'!$A902,'Category Mapping'!$A$28:$A$39,0),1),INDEX('Category Mapping'!$E$28:$E$39,MATCH($A902,'Category Mapping'!$A$28:$A$39,0),1))</f>
        <v>664624352</v>
      </c>
      <c r="P902" s="27">
        <f>P322*IF($E902="weekday",INDEX('Category Mapping'!$F$28:$F$39,MATCH('Summarized Source Data'!$A902,'Category Mapping'!$A$28:$A$39,0),1),INDEX('Category Mapping'!$E$28:$E$39,MATCH($A902,'Category Mapping'!$A$28:$A$39,0),1))</f>
        <v>664624352</v>
      </c>
      <c r="Q902" s="27">
        <f>Q322*IF($E902="weekday",INDEX('Category Mapping'!$F$28:$F$39,MATCH('Summarized Source Data'!$A902,'Category Mapping'!$A$28:$A$39,0),1),INDEX('Category Mapping'!$E$28:$E$39,MATCH($A902,'Category Mapping'!$A$28:$A$39,0),1))</f>
        <v>664624352</v>
      </c>
      <c r="R902" s="27">
        <f>R322*IF($E902="weekday",INDEX('Category Mapping'!$F$28:$F$39,MATCH('Summarized Source Data'!$A902,'Category Mapping'!$A$28:$A$39,0),1),INDEX('Category Mapping'!$E$28:$E$39,MATCH($A902,'Category Mapping'!$A$28:$A$39,0),1))</f>
        <v>25274176</v>
      </c>
      <c r="S902" s="27">
        <f>S322*IF($E902="weekday",INDEX('Category Mapping'!$F$28:$F$39,MATCH('Summarized Source Data'!$A902,'Category Mapping'!$A$28:$A$39,0),1),INDEX('Category Mapping'!$E$28:$E$39,MATCH($A902,'Category Mapping'!$A$28:$A$39,0),1))</f>
        <v>25274176</v>
      </c>
      <c r="T902" s="27">
        <f>T322*IF($E902="weekday",INDEX('Category Mapping'!$F$28:$F$39,MATCH('Summarized Source Data'!$A902,'Category Mapping'!$A$28:$A$39,0),1),INDEX('Category Mapping'!$E$28:$E$39,MATCH($A902,'Category Mapping'!$A$28:$A$39,0),1))</f>
        <v>25274176</v>
      </c>
      <c r="U902" s="27">
        <f>U322*IF($E902="weekday",INDEX('Category Mapping'!$F$28:$F$39,MATCH('Summarized Source Data'!$A902,'Category Mapping'!$A$28:$A$39,0),1),INDEX('Category Mapping'!$E$28:$E$39,MATCH($A902,'Category Mapping'!$A$28:$A$39,0),1))</f>
        <v>25274176</v>
      </c>
      <c r="V902" s="27">
        <f>V322*IF($E902="weekday",INDEX('Category Mapping'!$F$28:$F$39,MATCH('Summarized Source Data'!$A902,'Category Mapping'!$A$28:$A$39,0),1),INDEX('Category Mapping'!$E$28:$E$39,MATCH($A902,'Category Mapping'!$A$28:$A$39,0),1))</f>
        <v>25274176</v>
      </c>
      <c r="W902" s="27">
        <f>W322*IF($E902="weekday",INDEX('Category Mapping'!$F$28:$F$39,MATCH('Summarized Source Data'!$A902,'Category Mapping'!$A$28:$A$39,0),1),INDEX('Category Mapping'!$E$28:$E$39,MATCH($A902,'Category Mapping'!$A$28:$A$39,0),1))</f>
        <v>25274176</v>
      </c>
      <c r="X902" s="27">
        <f>X322*IF($E902="weekday",INDEX('Category Mapping'!$F$28:$F$39,MATCH('Summarized Source Data'!$A902,'Category Mapping'!$A$28:$A$39,0),1),INDEX('Category Mapping'!$E$28:$E$39,MATCH($A902,'Category Mapping'!$A$28:$A$39,0),1))</f>
        <v>2816000000</v>
      </c>
      <c r="Y902" s="27">
        <f>Y322*IF($E902="weekday",INDEX('Category Mapping'!$F$28:$F$39,MATCH('Summarized Source Data'!$A902,'Category Mapping'!$A$28:$A$39,0),1),INDEX('Category Mapping'!$E$28:$E$39,MATCH($A902,'Category Mapping'!$A$28:$A$39,0),1))</f>
        <v>2816000000</v>
      </c>
      <c r="Z902" s="27">
        <f>Z322*IF($E902="weekday",INDEX('Category Mapping'!$F$28:$F$39,MATCH('Summarized Source Data'!$A902,'Category Mapping'!$A$28:$A$39,0),1),INDEX('Category Mapping'!$E$28:$E$39,MATCH($A902,'Category Mapping'!$A$28:$A$39,0),1))</f>
        <v>2816000000</v>
      </c>
    </row>
    <row r="903" spans="1:26" x14ac:dyDescent="0.3">
      <c r="A903">
        <f t="shared" ref="A903:E903" si="368">A323</f>
        <v>2</v>
      </c>
      <c r="B903" t="str">
        <f t="shared" si="368"/>
        <v>Winter</v>
      </c>
      <c r="C903" t="str">
        <f t="shared" si="368"/>
        <v>h8</v>
      </c>
      <c r="D903" t="str">
        <f t="shared" si="368"/>
        <v>Hour7</v>
      </c>
      <c r="E903" t="str">
        <f t="shared" si="368"/>
        <v>Weekend</v>
      </c>
      <c r="F903" s="27">
        <f>F323*IF($E903="weekday",INDEX('Category Mapping'!$F$28:$F$39,MATCH('Summarized Source Data'!$A903,'Category Mapping'!$A$28:$A$39,0),1),INDEX('Category Mapping'!$E$28:$E$39,MATCH($A903,'Category Mapping'!$A$28:$A$39,0),1))</f>
        <v>87200000</v>
      </c>
      <c r="G903" s="27">
        <f>G323*IF($E903="weekday",INDEX('Category Mapping'!$F$28:$F$39,MATCH('Summarized Source Data'!$A903,'Category Mapping'!$A$28:$A$39,0),1),INDEX('Category Mapping'!$E$28:$E$39,MATCH($A903,'Category Mapping'!$A$28:$A$39,0),1))</f>
        <v>52040</v>
      </c>
      <c r="H903" s="27">
        <f>H323*IF($E903="weekday",INDEX('Category Mapping'!$F$28:$F$39,MATCH('Summarized Source Data'!$A903,'Category Mapping'!$A$28:$A$39,0),1),INDEX('Category Mapping'!$E$28:$E$39,MATCH($A903,'Category Mapping'!$A$28:$A$39,0),1))</f>
        <v>0</v>
      </c>
      <c r="I903" s="27">
        <f>I323*IF($E903="weekday",INDEX('Category Mapping'!$F$28:$F$39,MATCH('Summarized Source Data'!$A903,'Category Mapping'!$A$28:$A$39,0),1),INDEX('Category Mapping'!$E$28:$E$39,MATCH($A903,'Category Mapping'!$A$28:$A$39,0),1))</f>
        <v>77981824</v>
      </c>
      <c r="J903" s="27">
        <f>J323*IF($E903="weekday",INDEX('Category Mapping'!$F$28:$F$39,MATCH('Summarized Source Data'!$A903,'Category Mapping'!$A$28:$A$39,0),1),INDEX('Category Mapping'!$E$28:$E$39,MATCH($A903,'Category Mapping'!$A$28:$A$39,0),1))</f>
        <v>379566136</v>
      </c>
      <c r="K903" s="27">
        <f>K323*IF($E903="weekday",INDEX('Category Mapping'!$F$28:$F$39,MATCH('Summarized Source Data'!$A903,'Category Mapping'!$A$28:$A$39,0),1),INDEX('Category Mapping'!$E$28:$E$39,MATCH($A903,'Category Mapping'!$A$28:$A$39,0),1))</f>
        <v>379566136</v>
      </c>
      <c r="L903" s="27">
        <f>L323*IF($E903="weekday",INDEX('Category Mapping'!$F$28:$F$39,MATCH('Summarized Source Data'!$A903,'Category Mapping'!$A$28:$A$39,0),1),INDEX('Category Mapping'!$E$28:$E$39,MATCH($A903,'Category Mapping'!$A$28:$A$39,0),1))</f>
        <v>207200000</v>
      </c>
      <c r="M903" s="27">
        <f>M323*IF($E903="weekday",INDEX('Category Mapping'!$F$28:$F$39,MATCH('Summarized Source Data'!$A903,'Category Mapping'!$A$28:$A$39,0),1),INDEX('Category Mapping'!$E$28:$E$39,MATCH($A903,'Category Mapping'!$A$28:$A$39,0),1))</f>
        <v>188536</v>
      </c>
      <c r="N903" s="27">
        <f>N323*IF($E903="weekday",INDEX('Category Mapping'!$F$28:$F$39,MATCH('Summarized Source Data'!$A903,'Category Mapping'!$A$28:$A$39,0),1),INDEX('Category Mapping'!$E$28:$E$39,MATCH($A903,'Category Mapping'!$A$28:$A$39,0),1))</f>
        <v>0</v>
      </c>
      <c r="O903" s="27">
        <f>O323*IF($E903="weekday",INDEX('Category Mapping'!$F$28:$F$39,MATCH('Summarized Source Data'!$A903,'Category Mapping'!$A$28:$A$39,0),1),INDEX('Category Mapping'!$E$28:$E$39,MATCH($A903,'Category Mapping'!$A$28:$A$39,0),1))</f>
        <v>840611464</v>
      </c>
      <c r="P903" s="27">
        <f>P323*IF($E903="weekday",INDEX('Category Mapping'!$F$28:$F$39,MATCH('Summarized Source Data'!$A903,'Category Mapping'!$A$28:$A$39,0),1),INDEX('Category Mapping'!$E$28:$E$39,MATCH($A903,'Category Mapping'!$A$28:$A$39,0),1))</f>
        <v>840611464</v>
      </c>
      <c r="Q903" s="27">
        <f>Q323*IF($E903="weekday",INDEX('Category Mapping'!$F$28:$F$39,MATCH('Summarized Source Data'!$A903,'Category Mapping'!$A$28:$A$39,0),1),INDEX('Category Mapping'!$E$28:$E$39,MATCH($A903,'Category Mapping'!$A$28:$A$39,0),1))</f>
        <v>840611464</v>
      </c>
      <c r="R903" s="27">
        <f>R323*IF($E903="weekday",INDEX('Category Mapping'!$F$28:$F$39,MATCH('Summarized Source Data'!$A903,'Category Mapping'!$A$28:$A$39,0),1),INDEX('Category Mapping'!$E$28:$E$39,MATCH($A903,'Category Mapping'!$A$28:$A$39,0),1))</f>
        <v>32886512</v>
      </c>
      <c r="S903" s="27">
        <f>S323*IF($E903="weekday",INDEX('Category Mapping'!$F$28:$F$39,MATCH('Summarized Source Data'!$A903,'Category Mapping'!$A$28:$A$39,0),1),INDEX('Category Mapping'!$E$28:$E$39,MATCH($A903,'Category Mapping'!$A$28:$A$39,0),1))</f>
        <v>32886512</v>
      </c>
      <c r="T903" s="27">
        <f>T323*IF($E903="weekday",INDEX('Category Mapping'!$F$28:$F$39,MATCH('Summarized Source Data'!$A903,'Category Mapping'!$A$28:$A$39,0),1),INDEX('Category Mapping'!$E$28:$E$39,MATCH($A903,'Category Mapping'!$A$28:$A$39,0),1))</f>
        <v>32886512</v>
      </c>
      <c r="U903" s="27">
        <f>U323*IF($E903="weekday",INDEX('Category Mapping'!$F$28:$F$39,MATCH('Summarized Source Data'!$A903,'Category Mapping'!$A$28:$A$39,0),1),INDEX('Category Mapping'!$E$28:$E$39,MATCH($A903,'Category Mapping'!$A$28:$A$39,0),1))</f>
        <v>32886512</v>
      </c>
      <c r="V903" s="27">
        <f>V323*IF($E903="weekday",INDEX('Category Mapping'!$F$28:$F$39,MATCH('Summarized Source Data'!$A903,'Category Mapping'!$A$28:$A$39,0),1),INDEX('Category Mapping'!$E$28:$E$39,MATCH($A903,'Category Mapping'!$A$28:$A$39,0),1))</f>
        <v>32886512</v>
      </c>
      <c r="W903" s="27">
        <f>W323*IF($E903="weekday",INDEX('Category Mapping'!$F$28:$F$39,MATCH('Summarized Source Data'!$A903,'Category Mapping'!$A$28:$A$39,0),1),INDEX('Category Mapping'!$E$28:$E$39,MATCH($A903,'Category Mapping'!$A$28:$A$39,0),1))</f>
        <v>32886512</v>
      </c>
      <c r="X903" s="27">
        <f>X323*IF($E903="weekday",INDEX('Category Mapping'!$F$28:$F$39,MATCH('Summarized Source Data'!$A903,'Category Mapping'!$A$28:$A$39,0),1),INDEX('Category Mapping'!$E$28:$E$39,MATCH($A903,'Category Mapping'!$A$28:$A$39,0),1))</f>
        <v>2816000000</v>
      </c>
      <c r="Y903" s="27">
        <f>Y323*IF($E903="weekday",INDEX('Category Mapping'!$F$28:$F$39,MATCH('Summarized Source Data'!$A903,'Category Mapping'!$A$28:$A$39,0),1),INDEX('Category Mapping'!$E$28:$E$39,MATCH($A903,'Category Mapping'!$A$28:$A$39,0),1))</f>
        <v>2816000000</v>
      </c>
      <c r="Z903" s="27">
        <f>Z323*IF($E903="weekday",INDEX('Category Mapping'!$F$28:$F$39,MATCH('Summarized Source Data'!$A903,'Category Mapping'!$A$28:$A$39,0),1),INDEX('Category Mapping'!$E$28:$E$39,MATCH($A903,'Category Mapping'!$A$28:$A$39,0),1))</f>
        <v>2816000000</v>
      </c>
    </row>
    <row r="904" spans="1:26" x14ac:dyDescent="0.3">
      <c r="A904">
        <f t="shared" ref="A904:E904" si="369">A324</f>
        <v>2</v>
      </c>
      <c r="B904" t="str">
        <f t="shared" si="369"/>
        <v>Winter</v>
      </c>
      <c r="C904" t="str">
        <f t="shared" si="369"/>
        <v>h9</v>
      </c>
      <c r="D904" t="str">
        <f t="shared" si="369"/>
        <v>Hour8</v>
      </c>
      <c r="E904" t="str">
        <f t="shared" si="369"/>
        <v>Weekend</v>
      </c>
      <c r="F904" s="27">
        <f>F324*IF($E904="weekday",INDEX('Category Mapping'!$F$28:$F$39,MATCH('Summarized Source Data'!$A904,'Category Mapping'!$A$28:$A$39,0),1),INDEX('Category Mapping'!$E$28:$E$39,MATCH($A904,'Category Mapping'!$A$28:$A$39,0),1))</f>
        <v>89600000</v>
      </c>
      <c r="G904" s="27">
        <f>G324*IF($E904="weekday",INDEX('Category Mapping'!$F$28:$F$39,MATCH('Summarized Source Data'!$A904,'Category Mapping'!$A$28:$A$39,0),1),INDEX('Category Mapping'!$E$28:$E$39,MATCH($A904,'Category Mapping'!$A$28:$A$39,0),1))</f>
        <v>46552</v>
      </c>
      <c r="H904" s="27">
        <f>H324*IF($E904="weekday",INDEX('Category Mapping'!$F$28:$F$39,MATCH('Summarized Source Data'!$A904,'Category Mapping'!$A$28:$A$39,0),1),INDEX('Category Mapping'!$E$28:$E$39,MATCH($A904,'Category Mapping'!$A$28:$A$39,0),1))</f>
        <v>0</v>
      </c>
      <c r="I904" s="27">
        <f>I324*IF($E904="weekday",INDEX('Category Mapping'!$F$28:$F$39,MATCH('Summarized Source Data'!$A904,'Category Mapping'!$A$28:$A$39,0),1),INDEX('Category Mapping'!$E$28:$E$39,MATCH($A904,'Category Mapping'!$A$28:$A$39,0),1))</f>
        <v>60067416</v>
      </c>
      <c r="J904" s="27">
        <f>J324*IF($E904="weekday",INDEX('Category Mapping'!$F$28:$F$39,MATCH('Summarized Source Data'!$A904,'Category Mapping'!$A$28:$A$39,0),1),INDEX('Category Mapping'!$E$28:$E$39,MATCH($A904,'Category Mapping'!$A$28:$A$39,0),1))</f>
        <v>477486032</v>
      </c>
      <c r="K904" s="27">
        <f>K324*IF($E904="weekday",INDEX('Category Mapping'!$F$28:$F$39,MATCH('Summarized Source Data'!$A904,'Category Mapping'!$A$28:$A$39,0),1),INDEX('Category Mapping'!$E$28:$E$39,MATCH($A904,'Category Mapping'!$A$28:$A$39,0),1))</f>
        <v>477486032</v>
      </c>
      <c r="L904" s="27">
        <f>L324*IF($E904="weekday",INDEX('Category Mapping'!$F$28:$F$39,MATCH('Summarized Source Data'!$A904,'Category Mapping'!$A$28:$A$39,0),1),INDEX('Category Mapping'!$E$28:$E$39,MATCH($A904,'Category Mapping'!$A$28:$A$39,0),1))</f>
        <v>261600000</v>
      </c>
      <c r="M904" s="27">
        <f>M324*IF($E904="weekday",INDEX('Category Mapping'!$F$28:$F$39,MATCH('Summarized Source Data'!$A904,'Category Mapping'!$A$28:$A$39,0),1),INDEX('Category Mapping'!$E$28:$E$39,MATCH($A904,'Category Mapping'!$A$28:$A$39,0),1))</f>
        <v>207472</v>
      </c>
      <c r="N904" s="27">
        <f>N324*IF($E904="weekday",INDEX('Category Mapping'!$F$28:$F$39,MATCH('Summarized Source Data'!$A904,'Category Mapping'!$A$28:$A$39,0),1),INDEX('Category Mapping'!$E$28:$E$39,MATCH($A904,'Category Mapping'!$A$28:$A$39,0),1))</f>
        <v>0</v>
      </c>
      <c r="O904" s="27">
        <f>O324*IF($E904="weekday",INDEX('Category Mapping'!$F$28:$F$39,MATCH('Summarized Source Data'!$A904,'Category Mapping'!$A$28:$A$39,0),1),INDEX('Category Mapping'!$E$28:$E$39,MATCH($A904,'Category Mapping'!$A$28:$A$39,0),1))</f>
        <v>962192528</v>
      </c>
      <c r="P904" s="27">
        <f>P324*IF($E904="weekday",INDEX('Category Mapping'!$F$28:$F$39,MATCH('Summarized Source Data'!$A904,'Category Mapping'!$A$28:$A$39,0),1),INDEX('Category Mapping'!$E$28:$E$39,MATCH($A904,'Category Mapping'!$A$28:$A$39,0),1))</f>
        <v>962192528</v>
      </c>
      <c r="Q904" s="27">
        <f>Q324*IF($E904="weekday",INDEX('Category Mapping'!$F$28:$F$39,MATCH('Summarized Source Data'!$A904,'Category Mapping'!$A$28:$A$39,0),1),INDEX('Category Mapping'!$E$28:$E$39,MATCH($A904,'Category Mapping'!$A$28:$A$39,0),1))</f>
        <v>962192528</v>
      </c>
      <c r="R904" s="27">
        <f>R324*IF($E904="weekday",INDEX('Category Mapping'!$F$28:$F$39,MATCH('Summarized Source Data'!$A904,'Category Mapping'!$A$28:$A$39,0),1),INDEX('Category Mapping'!$E$28:$E$39,MATCH($A904,'Category Mapping'!$A$28:$A$39,0),1))</f>
        <v>39257200</v>
      </c>
      <c r="S904" s="27">
        <f>S324*IF($E904="weekday",INDEX('Category Mapping'!$F$28:$F$39,MATCH('Summarized Source Data'!$A904,'Category Mapping'!$A$28:$A$39,0),1),INDEX('Category Mapping'!$E$28:$E$39,MATCH($A904,'Category Mapping'!$A$28:$A$39,0),1))</f>
        <v>39257200</v>
      </c>
      <c r="T904" s="27">
        <f>T324*IF($E904="weekday",INDEX('Category Mapping'!$F$28:$F$39,MATCH('Summarized Source Data'!$A904,'Category Mapping'!$A$28:$A$39,0),1),INDEX('Category Mapping'!$E$28:$E$39,MATCH($A904,'Category Mapping'!$A$28:$A$39,0),1))</f>
        <v>39257200</v>
      </c>
      <c r="U904" s="27">
        <f>U324*IF($E904="weekday",INDEX('Category Mapping'!$F$28:$F$39,MATCH('Summarized Source Data'!$A904,'Category Mapping'!$A$28:$A$39,0),1),INDEX('Category Mapping'!$E$28:$E$39,MATCH($A904,'Category Mapping'!$A$28:$A$39,0),1))</f>
        <v>39257200</v>
      </c>
      <c r="V904" s="27">
        <f>V324*IF($E904="weekday",INDEX('Category Mapping'!$F$28:$F$39,MATCH('Summarized Source Data'!$A904,'Category Mapping'!$A$28:$A$39,0),1),INDEX('Category Mapping'!$E$28:$E$39,MATCH($A904,'Category Mapping'!$A$28:$A$39,0),1))</f>
        <v>39257200</v>
      </c>
      <c r="W904" s="27">
        <f>W324*IF($E904="weekday",INDEX('Category Mapping'!$F$28:$F$39,MATCH('Summarized Source Data'!$A904,'Category Mapping'!$A$28:$A$39,0),1),INDEX('Category Mapping'!$E$28:$E$39,MATCH($A904,'Category Mapping'!$A$28:$A$39,0),1))</f>
        <v>39257200</v>
      </c>
      <c r="X904" s="27">
        <f>X324*IF($E904="weekday",INDEX('Category Mapping'!$F$28:$F$39,MATCH('Summarized Source Data'!$A904,'Category Mapping'!$A$28:$A$39,0),1),INDEX('Category Mapping'!$E$28:$E$39,MATCH($A904,'Category Mapping'!$A$28:$A$39,0),1))</f>
        <v>2816000000</v>
      </c>
      <c r="Y904" s="27">
        <f>Y324*IF($E904="weekday",INDEX('Category Mapping'!$F$28:$F$39,MATCH('Summarized Source Data'!$A904,'Category Mapping'!$A$28:$A$39,0),1),INDEX('Category Mapping'!$E$28:$E$39,MATCH($A904,'Category Mapping'!$A$28:$A$39,0),1))</f>
        <v>2816000000</v>
      </c>
      <c r="Z904" s="27">
        <f>Z324*IF($E904="weekday",INDEX('Category Mapping'!$F$28:$F$39,MATCH('Summarized Source Data'!$A904,'Category Mapping'!$A$28:$A$39,0),1),INDEX('Category Mapping'!$E$28:$E$39,MATCH($A904,'Category Mapping'!$A$28:$A$39,0),1))</f>
        <v>2816000000</v>
      </c>
    </row>
    <row r="905" spans="1:26" x14ac:dyDescent="0.3">
      <c r="A905">
        <f t="shared" ref="A905:E905" si="370">A325</f>
        <v>2</v>
      </c>
      <c r="B905" t="str">
        <f t="shared" si="370"/>
        <v>Winter</v>
      </c>
      <c r="C905" t="str">
        <f t="shared" si="370"/>
        <v>h10</v>
      </c>
      <c r="D905" t="str">
        <f t="shared" si="370"/>
        <v>Hour9</v>
      </c>
      <c r="E905" t="str">
        <f t="shared" si="370"/>
        <v>Weekend</v>
      </c>
      <c r="F905" s="27">
        <f>F325*IF($E905="weekday",INDEX('Category Mapping'!$F$28:$F$39,MATCH('Summarized Source Data'!$A905,'Category Mapping'!$A$28:$A$39,0),1),INDEX('Category Mapping'!$E$28:$E$39,MATCH($A905,'Category Mapping'!$A$28:$A$39,0),1))</f>
        <v>87200000</v>
      </c>
      <c r="G905" s="27">
        <f>G325*IF($E905="weekday",INDEX('Category Mapping'!$F$28:$F$39,MATCH('Summarized Source Data'!$A905,'Category Mapping'!$A$28:$A$39,0),1),INDEX('Category Mapping'!$E$28:$E$39,MATCH($A905,'Category Mapping'!$A$28:$A$39,0),1))</f>
        <v>40576</v>
      </c>
      <c r="H905" s="27">
        <f>H325*IF($E905="weekday",INDEX('Category Mapping'!$F$28:$F$39,MATCH('Summarized Source Data'!$A905,'Category Mapping'!$A$28:$A$39,0),1),INDEX('Category Mapping'!$E$28:$E$39,MATCH($A905,'Category Mapping'!$A$28:$A$39,0),1))</f>
        <v>0</v>
      </c>
      <c r="I905" s="27">
        <f>I325*IF($E905="weekday",INDEX('Category Mapping'!$F$28:$F$39,MATCH('Summarized Source Data'!$A905,'Category Mapping'!$A$28:$A$39,0),1),INDEX('Category Mapping'!$E$28:$E$39,MATCH($A905,'Category Mapping'!$A$28:$A$39,0),1))</f>
        <v>62240672</v>
      </c>
      <c r="J905" s="27">
        <f>J325*IF($E905="weekday",INDEX('Category Mapping'!$F$28:$F$39,MATCH('Summarized Source Data'!$A905,'Category Mapping'!$A$28:$A$39,0),1),INDEX('Category Mapping'!$E$28:$E$39,MATCH($A905,'Category Mapping'!$A$28:$A$39,0),1))</f>
        <v>604118752</v>
      </c>
      <c r="K905" s="27">
        <f>K325*IF($E905="weekday",INDEX('Category Mapping'!$F$28:$F$39,MATCH('Summarized Source Data'!$A905,'Category Mapping'!$A$28:$A$39,0),1),INDEX('Category Mapping'!$E$28:$E$39,MATCH($A905,'Category Mapping'!$A$28:$A$39,0),1))</f>
        <v>604118752</v>
      </c>
      <c r="L905" s="27">
        <f>L325*IF($E905="weekday",INDEX('Category Mapping'!$F$28:$F$39,MATCH('Summarized Source Data'!$A905,'Category Mapping'!$A$28:$A$39,0),1),INDEX('Category Mapping'!$E$28:$E$39,MATCH($A905,'Category Mapping'!$A$28:$A$39,0),1))</f>
        <v>206400000</v>
      </c>
      <c r="M905" s="27">
        <f>M325*IF($E905="weekday",INDEX('Category Mapping'!$F$28:$F$39,MATCH('Summarized Source Data'!$A905,'Category Mapping'!$A$28:$A$39,0),1),INDEX('Category Mapping'!$E$28:$E$39,MATCH($A905,'Category Mapping'!$A$28:$A$39,0),1))</f>
        <v>219568</v>
      </c>
      <c r="N905" s="27">
        <f>N325*IF($E905="weekday",INDEX('Category Mapping'!$F$28:$F$39,MATCH('Summarized Source Data'!$A905,'Category Mapping'!$A$28:$A$39,0),1),INDEX('Category Mapping'!$E$28:$E$39,MATCH($A905,'Category Mapping'!$A$28:$A$39,0),1))</f>
        <v>0</v>
      </c>
      <c r="O905" s="27">
        <f>O325*IF($E905="weekday",INDEX('Category Mapping'!$F$28:$F$39,MATCH('Summarized Source Data'!$A905,'Category Mapping'!$A$28:$A$39,0),1),INDEX('Category Mapping'!$E$28:$E$39,MATCH($A905,'Category Mapping'!$A$28:$A$39,0),1))</f>
        <v>1049380432</v>
      </c>
      <c r="P905" s="27">
        <f>P325*IF($E905="weekday",INDEX('Category Mapping'!$F$28:$F$39,MATCH('Summarized Source Data'!$A905,'Category Mapping'!$A$28:$A$39,0),1),INDEX('Category Mapping'!$E$28:$E$39,MATCH($A905,'Category Mapping'!$A$28:$A$39,0),1))</f>
        <v>1049380432</v>
      </c>
      <c r="Q905" s="27">
        <f>Q325*IF($E905="weekday",INDEX('Category Mapping'!$F$28:$F$39,MATCH('Summarized Source Data'!$A905,'Category Mapping'!$A$28:$A$39,0),1),INDEX('Category Mapping'!$E$28:$E$39,MATCH($A905,'Category Mapping'!$A$28:$A$39,0),1))</f>
        <v>1049380432</v>
      </c>
      <c r="R905" s="27">
        <f>R325*IF($E905="weekday",INDEX('Category Mapping'!$F$28:$F$39,MATCH('Summarized Source Data'!$A905,'Category Mapping'!$A$28:$A$39,0),1),INDEX('Category Mapping'!$E$28:$E$39,MATCH($A905,'Category Mapping'!$A$28:$A$39,0),1))</f>
        <v>44493960</v>
      </c>
      <c r="S905" s="27">
        <f>S325*IF($E905="weekday",INDEX('Category Mapping'!$F$28:$F$39,MATCH('Summarized Source Data'!$A905,'Category Mapping'!$A$28:$A$39,0),1),INDEX('Category Mapping'!$E$28:$E$39,MATCH($A905,'Category Mapping'!$A$28:$A$39,0),1))</f>
        <v>44493960</v>
      </c>
      <c r="T905" s="27">
        <f>T325*IF($E905="weekday",INDEX('Category Mapping'!$F$28:$F$39,MATCH('Summarized Source Data'!$A905,'Category Mapping'!$A$28:$A$39,0),1),INDEX('Category Mapping'!$E$28:$E$39,MATCH($A905,'Category Mapping'!$A$28:$A$39,0),1))</f>
        <v>44493960</v>
      </c>
      <c r="U905" s="27">
        <f>U325*IF($E905="weekday",INDEX('Category Mapping'!$F$28:$F$39,MATCH('Summarized Source Data'!$A905,'Category Mapping'!$A$28:$A$39,0),1),INDEX('Category Mapping'!$E$28:$E$39,MATCH($A905,'Category Mapping'!$A$28:$A$39,0),1))</f>
        <v>44493960</v>
      </c>
      <c r="V905" s="27">
        <f>V325*IF($E905="weekday",INDEX('Category Mapping'!$F$28:$F$39,MATCH('Summarized Source Data'!$A905,'Category Mapping'!$A$28:$A$39,0),1),INDEX('Category Mapping'!$E$28:$E$39,MATCH($A905,'Category Mapping'!$A$28:$A$39,0),1))</f>
        <v>44493960</v>
      </c>
      <c r="W905" s="27">
        <f>W325*IF($E905="weekday",INDEX('Category Mapping'!$F$28:$F$39,MATCH('Summarized Source Data'!$A905,'Category Mapping'!$A$28:$A$39,0),1),INDEX('Category Mapping'!$E$28:$E$39,MATCH($A905,'Category Mapping'!$A$28:$A$39,0),1))</f>
        <v>44493960</v>
      </c>
      <c r="X905" s="27">
        <f>X325*IF($E905="weekday",INDEX('Category Mapping'!$F$28:$F$39,MATCH('Summarized Source Data'!$A905,'Category Mapping'!$A$28:$A$39,0),1),INDEX('Category Mapping'!$E$28:$E$39,MATCH($A905,'Category Mapping'!$A$28:$A$39,0),1))</f>
        <v>2800000000</v>
      </c>
      <c r="Y905" s="27">
        <f>Y325*IF($E905="weekday",INDEX('Category Mapping'!$F$28:$F$39,MATCH('Summarized Source Data'!$A905,'Category Mapping'!$A$28:$A$39,0),1),INDEX('Category Mapping'!$E$28:$E$39,MATCH($A905,'Category Mapping'!$A$28:$A$39,0),1))</f>
        <v>2800000000</v>
      </c>
      <c r="Z905" s="27">
        <f>Z325*IF($E905="weekday",INDEX('Category Mapping'!$F$28:$F$39,MATCH('Summarized Source Data'!$A905,'Category Mapping'!$A$28:$A$39,0),1),INDEX('Category Mapping'!$E$28:$E$39,MATCH($A905,'Category Mapping'!$A$28:$A$39,0),1))</f>
        <v>2800000000</v>
      </c>
    </row>
    <row r="906" spans="1:26" x14ac:dyDescent="0.3">
      <c r="A906">
        <f t="shared" ref="A906:E906" si="371">A326</f>
        <v>2</v>
      </c>
      <c r="B906" t="str">
        <f t="shared" si="371"/>
        <v>Winter</v>
      </c>
      <c r="C906" t="str">
        <f t="shared" si="371"/>
        <v>h11</v>
      </c>
      <c r="D906" t="str">
        <f t="shared" si="371"/>
        <v>Hour10</v>
      </c>
      <c r="E906" t="str">
        <f t="shared" si="371"/>
        <v>Weekend</v>
      </c>
      <c r="F906" s="27">
        <f>F326*IF($E906="weekday",INDEX('Category Mapping'!$F$28:$F$39,MATCH('Summarized Source Data'!$A906,'Category Mapping'!$A$28:$A$39,0),1),INDEX('Category Mapping'!$E$28:$E$39,MATCH($A906,'Category Mapping'!$A$28:$A$39,0),1))</f>
        <v>84000000</v>
      </c>
      <c r="G906" s="27">
        <f>G326*IF($E906="weekday",INDEX('Category Mapping'!$F$28:$F$39,MATCH('Summarized Source Data'!$A906,'Category Mapping'!$A$28:$A$39,0),1),INDEX('Category Mapping'!$E$28:$E$39,MATCH($A906,'Category Mapping'!$A$28:$A$39,0),1))</f>
        <v>37864</v>
      </c>
      <c r="H906" s="27">
        <f>H326*IF($E906="weekday",INDEX('Category Mapping'!$F$28:$F$39,MATCH('Summarized Source Data'!$A906,'Category Mapping'!$A$28:$A$39,0),1),INDEX('Category Mapping'!$E$28:$E$39,MATCH($A906,'Category Mapping'!$A$28:$A$39,0),1))</f>
        <v>0</v>
      </c>
      <c r="I906" s="27">
        <f>I326*IF($E906="weekday",INDEX('Category Mapping'!$F$28:$F$39,MATCH('Summarized Source Data'!$A906,'Category Mapping'!$A$28:$A$39,0),1),INDEX('Category Mapping'!$E$28:$E$39,MATCH($A906,'Category Mapping'!$A$28:$A$39,0),1))</f>
        <v>62611936</v>
      </c>
      <c r="J906" s="27">
        <f>J326*IF($E906="weekday",INDEX('Category Mapping'!$F$28:$F$39,MATCH('Summarized Source Data'!$A906,'Category Mapping'!$A$28:$A$39,0),1),INDEX('Category Mapping'!$E$28:$E$39,MATCH($A906,'Category Mapping'!$A$28:$A$39,0),1))</f>
        <v>741350200</v>
      </c>
      <c r="K906" s="27">
        <f>K326*IF($E906="weekday",INDEX('Category Mapping'!$F$28:$F$39,MATCH('Summarized Source Data'!$A906,'Category Mapping'!$A$28:$A$39,0),1),INDEX('Category Mapping'!$E$28:$E$39,MATCH($A906,'Category Mapping'!$A$28:$A$39,0),1))</f>
        <v>741350200</v>
      </c>
      <c r="L906" s="27">
        <f>L326*IF($E906="weekday",INDEX('Category Mapping'!$F$28:$F$39,MATCH('Summarized Source Data'!$A906,'Category Mapping'!$A$28:$A$39,0),1),INDEX('Category Mapping'!$E$28:$E$39,MATCH($A906,'Category Mapping'!$A$28:$A$39,0),1))</f>
        <v>173600000</v>
      </c>
      <c r="M906" s="27">
        <f>M326*IF($E906="weekday",INDEX('Category Mapping'!$F$28:$F$39,MATCH('Summarized Source Data'!$A906,'Category Mapping'!$A$28:$A$39,0),1),INDEX('Category Mapping'!$E$28:$E$39,MATCH($A906,'Category Mapping'!$A$28:$A$39,0),1))</f>
        <v>225856</v>
      </c>
      <c r="N906" s="27">
        <f>N326*IF($E906="weekday",INDEX('Category Mapping'!$F$28:$F$39,MATCH('Summarized Source Data'!$A906,'Category Mapping'!$A$28:$A$39,0),1),INDEX('Category Mapping'!$E$28:$E$39,MATCH($A906,'Category Mapping'!$A$28:$A$39,0),1))</f>
        <v>0</v>
      </c>
      <c r="O906" s="27">
        <f>O326*IF($E906="weekday",INDEX('Category Mapping'!$F$28:$F$39,MATCH('Summarized Source Data'!$A906,'Category Mapping'!$A$28:$A$39,0),1),INDEX('Category Mapping'!$E$28:$E$39,MATCH($A906,'Category Mapping'!$A$28:$A$39,0),1))</f>
        <v>1026174144</v>
      </c>
      <c r="P906" s="27">
        <f>P326*IF($E906="weekday",INDEX('Category Mapping'!$F$28:$F$39,MATCH('Summarized Source Data'!$A906,'Category Mapping'!$A$28:$A$39,0),1),INDEX('Category Mapping'!$E$28:$E$39,MATCH($A906,'Category Mapping'!$A$28:$A$39,0),1))</f>
        <v>1026174144</v>
      </c>
      <c r="Q906" s="27">
        <f>Q326*IF($E906="weekday",INDEX('Category Mapping'!$F$28:$F$39,MATCH('Summarized Source Data'!$A906,'Category Mapping'!$A$28:$A$39,0),1),INDEX('Category Mapping'!$E$28:$E$39,MATCH($A906,'Category Mapping'!$A$28:$A$39,0),1))</f>
        <v>1026174144</v>
      </c>
      <c r="R906" s="27">
        <f>R326*IF($E906="weekday",INDEX('Category Mapping'!$F$28:$F$39,MATCH('Summarized Source Data'!$A906,'Category Mapping'!$A$28:$A$39,0),1),INDEX('Category Mapping'!$E$28:$E$39,MATCH($A906,'Category Mapping'!$A$28:$A$39,0),1))</f>
        <v>47106208</v>
      </c>
      <c r="S906" s="27">
        <f>S326*IF($E906="weekday",INDEX('Category Mapping'!$F$28:$F$39,MATCH('Summarized Source Data'!$A906,'Category Mapping'!$A$28:$A$39,0),1),INDEX('Category Mapping'!$E$28:$E$39,MATCH($A906,'Category Mapping'!$A$28:$A$39,0),1))</f>
        <v>47106208</v>
      </c>
      <c r="T906" s="27">
        <f>T326*IF($E906="weekday",INDEX('Category Mapping'!$F$28:$F$39,MATCH('Summarized Source Data'!$A906,'Category Mapping'!$A$28:$A$39,0),1),INDEX('Category Mapping'!$E$28:$E$39,MATCH($A906,'Category Mapping'!$A$28:$A$39,0),1))</f>
        <v>47106208</v>
      </c>
      <c r="U906" s="27">
        <f>U326*IF($E906="weekday",INDEX('Category Mapping'!$F$28:$F$39,MATCH('Summarized Source Data'!$A906,'Category Mapping'!$A$28:$A$39,0),1),INDEX('Category Mapping'!$E$28:$E$39,MATCH($A906,'Category Mapping'!$A$28:$A$39,0),1))</f>
        <v>47106208</v>
      </c>
      <c r="V906" s="27">
        <f>V326*IF($E906="weekday",INDEX('Category Mapping'!$F$28:$F$39,MATCH('Summarized Source Data'!$A906,'Category Mapping'!$A$28:$A$39,0),1),INDEX('Category Mapping'!$E$28:$E$39,MATCH($A906,'Category Mapping'!$A$28:$A$39,0),1))</f>
        <v>47106208</v>
      </c>
      <c r="W906" s="27">
        <f>W326*IF($E906="weekday",INDEX('Category Mapping'!$F$28:$F$39,MATCH('Summarized Source Data'!$A906,'Category Mapping'!$A$28:$A$39,0),1),INDEX('Category Mapping'!$E$28:$E$39,MATCH($A906,'Category Mapping'!$A$28:$A$39,0),1))</f>
        <v>47106208</v>
      </c>
      <c r="X906" s="27">
        <f>X326*IF($E906="weekday",INDEX('Category Mapping'!$F$28:$F$39,MATCH('Summarized Source Data'!$A906,'Category Mapping'!$A$28:$A$39,0),1),INDEX('Category Mapping'!$E$28:$E$39,MATCH($A906,'Category Mapping'!$A$28:$A$39,0),1))</f>
        <v>2792000000</v>
      </c>
      <c r="Y906" s="27">
        <f>Y326*IF($E906="weekday",INDEX('Category Mapping'!$F$28:$F$39,MATCH('Summarized Source Data'!$A906,'Category Mapping'!$A$28:$A$39,0),1),INDEX('Category Mapping'!$E$28:$E$39,MATCH($A906,'Category Mapping'!$A$28:$A$39,0),1))</f>
        <v>2792000000</v>
      </c>
      <c r="Z906" s="27">
        <f>Z326*IF($E906="weekday",INDEX('Category Mapping'!$F$28:$F$39,MATCH('Summarized Source Data'!$A906,'Category Mapping'!$A$28:$A$39,0),1),INDEX('Category Mapping'!$E$28:$E$39,MATCH($A906,'Category Mapping'!$A$28:$A$39,0),1))</f>
        <v>2792000000</v>
      </c>
    </row>
    <row r="907" spans="1:26" x14ac:dyDescent="0.3">
      <c r="A907">
        <f t="shared" ref="A907:E907" si="372">A327</f>
        <v>2</v>
      </c>
      <c r="B907" t="str">
        <f t="shared" si="372"/>
        <v>Winter</v>
      </c>
      <c r="C907" t="str">
        <f t="shared" si="372"/>
        <v>h12</v>
      </c>
      <c r="D907" t="str">
        <f t="shared" si="372"/>
        <v>Hour11</v>
      </c>
      <c r="E907" t="str">
        <f t="shared" si="372"/>
        <v>Weekend</v>
      </c>
      <c r="F907" s="27">
        <f>F327*IF($E907="weekday",INDEX('Category Mapping'!$F$28:$F$39,MATCH('Summarized Source Data'!$A907,'Category Mapping'!$A$28:$A$39,0),1),INDEX('Category Mapping'!$E$28:$E$39,MATCH($A907,'Category Mapping'!$A$28:$A$39,0),1))</f>
        <v>68532816</v>
      </c>
      <c r="G907" s="27">
        <f>G327*IF($E907="weekday",INDEX('Category Mapping'!$F$28:$F$39,MATCH('Summarized Source Data'!$A907,'Category Mapping'!$A$28:$A$39,0),1),INDEX('Category Mapping'!$E$28:$E$39,MATCH($A907,'Category Mapping'!$A$28:$A$39,0),1))</f>
        <v>39168</v>
      </c>
      <c r="H907" s="27">
        <f>H327*IF($E907="weekday",INDEX('Category Mapping'!$F$28:$F$39,MATCH('Summarized Source Data'!$A907,'Category Mapping'!$A$28:$A$39,0),1),INDEX('Category Mapping'!$E$28:$E$39,MATCH($A907,'Category Mapping'!$A$28:$A$39,0),1))</f>
        <v>0</v>
      </c>
      <c r="I907" s="27">
        <f>I327*IF($E907="weekday",INDEX('Category Mapping'!$F$28:$F$39,MATCH('Summarized Source Data'!$A907,'Category Mapping'!$A$28:$A$39,0),1),INDEX('Category Mapping'!$E$28:$E$39,MATCH($A907,'Category Mapping'!$A$28:$A$39,0),1))</f>
        <v>66432728</v>
      </c>
      <c r="J907" s="27">
        <f>J327*IF($E907="weekday",INDEX('Category Mapping'!$F$28:$F$39,MATCH('Summarized Source Data'!$A907,'Category Mapping'!$A$28:$A$39,0),1),INDEX('Category Mapping'!$E$28:$E$39,MATCH($A907,'Category Mapping'!$A$28:$A$39,0),1))</f>
        <v>824995288</v>
      </c>
      <c r="K907" s="27">
        <f>K327*IF($E907="weekday",INDEX('Category Mapping'!$F$28:$F$39,MATCH('Summarized Source Data'!$A907,'Category Mapping'!$A$28:$A$39,0),1),INDEX('Category Mapping'!$E$28:$E$39,MATCH($A907,'Category Mapping'!$A$28:$A$39,0),1))</f>
        <v>824995288</v>
      </c>
      <c r="L907" s="27">
        <f>L327*IF($E907="weekday",INDEX('Category Mapping'!$F$28:$F$39,MATCH('Summarized Source Data'!$A907,'Category Mapping'!$A$28:$A$39,0),1),INDEX('Category Mapping'!$E$28:$E$39,MATCH($A907,'Category Mapping'!$A$28:$A$39,0),1))</f>
        <v>152000000</v>
      </c>
      <c r="M907" s="27">
        <f>M327*IF($E907="weekday",INDEX('Category Mapping'!$F$28:$F$39,MATCH('Summarized Source Data'!$A907,'Category Mapping'!$A$28:$A$39,0),1),INDEX('Category Mapping'!$E$28:$E$39,MATCH($A907,'Category Mapping'!$A$28:$A$39,0),1))</f>
        <v>227328</v>
      </c>
      <c r="N907" s="27">
        <f>N327*IF($E907="weekday",INDEX('Category Mapping'!$F$28:$F$39,MATCH('Summarized Source Data'!$A907,'Category Mapping'!$A$28:$A$39,0),1),INDEX('Category Mapping'!$E$28:$E$39,MATCH($A907,'Category Mapping'!$A$28:$A$39,0),1))</f>
        <v>0</v>
      </c>
      <c r="O907" s="27">
        <f>O327*IF($E907="weekday",INDEX('Category Mapping'!$F$28:$F$39,MATCH('Summarized Source Data'!$A907,'Category Mapping'!$A$28:$A$39,0),1),INDEX('Category Mapping'!$E$28:$E$39,MATCH($A907,'Category Mapping'!$A$28:$A$39,0),1))</f>
        <v>1031772672</v>
      </c>
      <c r="P907" s="27">
        <f>P327*IF($E907="weekday",INDEX('Category Mapping'!$F$28:$F$39,MATCH('Summarized Source Data'!$A907,'Category Mapping'!$A$28:$A$39,0),1),INDEX('Category Mapping'!$E$28:$E$39,MATCH($A907,'Category Mapping'!$A$28:$A$39,0),1))</f>
        <v>1031772672</v>
      </c>
      <c r="Q907" s="27">
        <f>Q327*IF($E907="weekday",INDEX('Category Mapping'!$F$28:$F$39,MATCH('Summarized Source Data'!$A907,'Category Mapping'!$A$28:$A$39,0),1),INDEX('Category Mapping'!$E$28:$E$39,MATCH($A907,'Category Mapping'!$A$28:$A$39,0),1))</f>
        <v>1031772672</v>
      </c>
      <c r="R907" s="27">
        <f>R327*IF($E907="weekday",INDEX('Category Mapping'!$F$28:$F$39,MATCH('Summarized Source Data'!$A907,'Category Mapping'!$A$28:$A$39,0),1),INDEX('Category Mapping'!$E$28:$E$39,MATCH($A907,'Category Mapping'!$A$28:$A$39,0),1))</f>
        <v>48558360</v>
      </c>
      <c r="S907" s="27">
        <f>S327*IF($E907="weekday",INDEX('Category Mapping'!$F$28:$F$39,MATCH('Summarized Source Data'!$A907,'Category Mapping'!$A$28:$A$39,0),1),INDEX('Category Mapping'!$E$28:$E$39,MATCH($A907,'Category Mapping'!$A$28:$A$39,0),1))</f>
        <v>48558360</v>
      </c>
      <c r="T907" s="27">
        <f>T327*IF($E907="weekday",INDEX('Category Mapping'!$F$28:$F$39,MATCH('Summarized Source Data'!$A907,'Category Mapping'!$A$28:$A$39,0),1),INDEX('Category Mapping'!$E$28:$E$39,MATCH($A907,'Category Mapping'!$A$28:$A$39,0),1))</f>
        <v>48558360</v>
      </c>
      <c r="U907" s="27">
        <f>U327*IF($E907="weekday",INDEX('Category Mapping'!$F$28:$F$39,MATCH('Summarized Source Data'!$A907,'Category Mapping'!$A$28:$A$39,0),1),INDEX('Category Mapping'!$E$28:$E$39,MATCH($A907,'Category Mapping'!$A$28:$A$39,0),1))</f>
        <v>48558360</v>
      </c>
      <c r="V907" s="27">
        <f>V327*IF($E907="weekday",INDEX('Category Mapping'!$F$28:$F$39,MATCH('Summarized Source Data'!$A907,'Category Mapping'!$A$28:$A$39,0),1),INDEX('Category Mapping'!$E$28:$E$39,MATCH($A907,'Category Mapping'!$A$28:$A$39,0),1))</f>
        <v>48558360</v>
      </c>
      <c r="W907" s="27">
        <f>W327*IF($E907="weekday",INDEX('Category Mapping'!$F$28:$F$39,MATCH('Summarized Source Data'!$A907,'Category Mapping'!$A$28:$A$39,0),1),INDEX('Category Mapping'!$E$28:$E$39,MATCH($A907,'Category Mapping'!$A$28:$A$39,0),1))</f>
        <v>48558360</v>
      </c>
      <c r="X907" s="27">
        <f>X327*IF($E907="weekday",INDEX('Category Mapping'!$F$28:$F$39,MATCH('Summarized Source Data'!$A907,'Category Mapping'!$A$28:$A$39,0),1),INDEX('Category Mapping'!$E$28:$E$39,MATCH($A907,'Category Mapping'!$A$28:$A$39,0),1))</f>
        <v>2792000000</v>
      </c>
      <c r="Y907" s="27">
        <f>Y327*IF($E907="weekday",INDEX('Category Mapping'!$F$28:$F$39,MATCH('Summarized Source Data'!$A907,'Category Mapping'!$A$28:$A$39,0),1),INDEX('Category Mapping'!$E$28:$E$39,MATCH($A907,'Category Mapping'!$A$28:$A$39,0),1))</f>
        <v>2792000000</v>
      </c>
      <c r="Z907" s="27">
        <f>Z327*IF($E907="weekday",INDEX('Category Mapping'!$F$28:$F$39,MATCH('Summarized Source Data'!$A907,'Category Mapping'!$A$28:$A$39,0),1),INDEX('Category Mapping'!$E$28:$E$39,MATCH($A907,'Category Mapping'!$A$28:$A$39,0),1))</f>
        <v>2792000000</v>
      </c>
    </row>
    <row r="908" spans="1:26" x14ac:dyDescent="0.3">
      <c r="A908">
        <f t="shared" ref="A908:E908" si="373">A328</f>
        <v>2</v>
      </c>
      <c r="B908" t="str">
        <f t="shared" si="373"/>
        <v>Winter</v>
      </c>
      <c r="C908" t="str">
        <f t="shared" si="373"/>
        <v>h13</v>
      </c>
      <c r="D908" t="str">
        <f t="shared" si="373"/>
        <v>Hour12</v>
      </c>
      <c r="E908" t="str">
        <f t="shared" si="373"/>
        <v>Weekend</v>
      </c>
      <c r="F908" s="27">
        <f>F328*IF($E908="weekday",INDEX('Category Mapping'!$F$28:$F$39,MATCH('Summarized Source Data'!$A908,'Category Mapping'!$A$28:$A$39,0),1),INDEX('Category Mapping'!$E$28:$E$39,MATCH($A908,'Category Mapping'!$A$28:$A$39,0),1))</f>
        <v>67366520</v>
      </c>
      <c r="G908" s="27">
        <f>G328*IF($E908="weekday",INDEX('Category Mapping'!$F$28:$F$39,MATCH('Summarized Source Data'!$A908,'Category Mapping'!$A$28:$A$39,0),1),INDEX('Category Mapping'!$E$28:$E$39,MATCH($A908,'Category Mapping'!$A$28:$A$39,0),1))</f>
        <v>40840</v>
      </c>
      <c r="H908" s="27">
        <f>H328*IF($E908="weekday",INDEX('Category Mapping'!$F$28:$F$39,MATCH('Summarized Source Data'!$A908,'Category Mapping'!$A$28:$A$39,0),1),INDEX('Category Mapping'!$E$28:$E$39,MATCH($A908,'Category Mapping'!$A$28:$A$39,0),1))</f>
        <v>0</v>
      </c>
      <c r="I908" s="27">
        <f>I328*IF($E908="weekday",INDEX('Category Mapping'!$F$28:$F$39,MATCH('Summarized Source Data'!$A908,'Category Mapping'!$A$28:$A$39,0),1),INDEX('Category Mapping'!$E$28:$E$39,MATCH($A908,'Category Mapping'!$A$28:$A$39,0),1))</f>
        <v>68741536</v>
      </c>
      <c r="J908" s="27">
        <f>J328*IF($E908="weekday",INDEX('Category Mapping'!$F$28:$F$39,MATCH('Summarized Source Data'!$A908,'Category Mapping'!$A$28:$A$39,0),1),INDEX('Category Mapping'!$E$28:$E$39,MATCH($A908,'Category Mapping'!$A$28:$A$39,0),1))</f>
        <v>751851104</v>
      </c>
      <c r="K908" s="27">
        <f>K328*IF($E908="weekday",INDEX('Category Mapping'!$F$28:$F$39,MATCH('Summarized Source Data'!$A908,'Category Mapping'!$A$28:$A$39,0),1),INDEX('Category Mapping'!$E$28:$E$39,MATCH($A908,'Category Mapping'!$A$28:$A$39,0),1))</f>
        <v>751851104</v>
      </c>
      <c r="L908" s="27">
        <f>L328*IF($E908="weekday",INDEX('Category Mapping'!$F$28:$F$39,MATCH('Summarized Source Data'!$A908,'Category Mapping'!$A$28:$A$39,0),1),INDEX('Category Mapping'!$E$28:$E$39,MATCH($A908,'Category Mapping'!$A$28:$A$39,0),1))</f>
        <v>137600000</v>
      </c>
      <c r="M908" s="27">
        <f>M328*IF($E908="weekday",INDEX('Category Mapping'!$F$28:$F$39,MATCH('Summarized Source Data'!$A908,'Category Mapping'!$A$28:$A$39,0),1),INDEX('Category Mapping'!$E$28:$E$39,MATCH($A908,'Category Mapping'!$A$28:$A$39,0),1))</f>
        <v>228576</v>
      </c>
      <c r="N908" s="27">
        <f>N328*IF($E908="weekday",INDEX('Category Mapping'!$F$28:$F$39,MATCH('Summarized Source Data'!$A908,'Category Mapping'!$A$28:$A$39,0),1),INDEX('Category Mapping'!$E$28:$E$39,MATCH($A908,'Category Mapping'!$A$28:$A$39,0),1))</f>
        <v>0</v>
      </c>
      <c r="O908" s="27">
        <f>O328*IF($E908="weekday",INDEX('Category Mapping'!$F$28:$F$39,MATCH('Summarized Source Data'!$A908,'Category Mapping'!$A$28:$A$39,0),1),INDEX('Category Mapping'!$E$28:$E$39,MATCH($A908,'Category Mapping'!$A$28:$A$39,0),1))</f>
        <v>1022171424</v>
      </c>
      <c r="P908" s="27">
        <f>P328*IF($E908="weekday",INDEX('Category Mapping'!$F$28:$F$39,MATCH('Summarized Source Data'!$A908,'Category Mapping'!$A$28:$A$39,0),1),INDEX('Category Mapping'!$E$28:$E$39,MATCH($A908,'Category Mapping'!$A$28:$A$39,0),1))</f>
        <v>1022171424</v>
      </c>
      <c r="Q908" s="27">
        <f>Q328*IF($E908="weekday",INDEX('Category Mapping'!$F$28:$F$39,MATCH('Summarized Source Data'!$A908,'Category Mapping'!$A$28:$A$39,0),1),INDEX('Category Mapping'!$E$28:$E$39,MATCH($A908,'Category Mapping'!$A$28:$A$39,0),1))</f>
        <v>1022171424</v>
      </c>
      <c r="R908" s="27">
        <f>R328*IF($E908="weekday",INDEX('Category Mapping'!$F$28:$F$39,MATCH('Summarized Source Data'!$A908,'Category Mapping'!$A$28:$A$39,0),1),INDEX('Category Mapping'!$E$28:$E$39,MATCH($A908,'Category Mapping'!$A$28:$A$39,0),1))</f>
        <v>47491952</v>
      </c>
      <c r="S908" s="27">
        <f>S328*IF($E908="weekday",INDEX('Category Mapping'!$F$28:$F$39,MATCH('Summarized Source Data'!$A908,'Category Mapping'!$A$28:$A$39,0),1),INDEX('Category Mapping'!$E$28:$E$39,MATCH($A908,'Category Mapping'!$A$28:$A$39,0),1))</f>
        <v>47491952</v>
      </c>
      <c r="T908" s="27">
        <f>T328*IF($E908="weekday",INDEX('Category Mapping'!$F$28:$F$39,MATCH('Summarized Source Data'!$A908,'Category Mapping'!$A$28:$A$39,0),1),INDEX('Category Mapping'!$E$28:$E$39,MATCH($A908,'Category Mapping'!$A$28:$A$39,0),1))</f>
        <v>47491952</v>
      </c>
      <c r="U908" s="27">
        <f>U328*IF($E908="weekday",INDEX('Category Mapping'!$F$28:$F$39,MATCH('Summarized Source Data'!$A908,'Category Mapping'!$A$28:$A$39,0),1),INDEX('Category Mapping'!$E$28:$E$39,MATCH($A908,'Category Mapping'!$A$28:$A$39,0),1))</f>
        <v>47491952</v>
      </c>
      <c r="V908" s="27">
        <f>V328*IF($E908="weekday",INDEX('Category Mapping'!$F$28:$F$39,MATCH('Summarized Source Data'!$A908,'Category Mapping'!$A$28:$A$39,0),1),INDEX('Category Mapping'!$E$28:$E$39,MATCH($A908,'Category Mapping'!$A$28:$A$39,0),1))</f>
        <v>47491952</v>
      </c>
      <c r="W908" s="27">
        <f>W328*IF($E908="weekday",INDEX('Category Mapping'!$F$28:$F$39,MATCH('Summarized Source Data'!$A908,'Category Mapping'!$A$28:$A$39,0),1),INDEX('Category Mapping'!$E$28:$E$39,MATCH($A908,'Category Mapping'!$A$28:$A$39,0),1))</f>
        <v>47491952</v>
      </c>
      <c r="X908" s="27">
        <f>X328*IF($E908="weekday",INDEX('Category Mapping'!$F$28:$F$39,MATCH('Summarized Source Data'!$A908,'Category Mapping'!$A$28:$A$39,0),1),INDEX('Category Mapping'!$E$28:$E$39,MATCH($A908,'Category Mapping'!$A$28:$A$39,0),1))</f>
        <v>2784000000</v>
      </c>
      <c r="Y908" s="27">
        <f>Y328*IF($E908="weekday",INDEX('Category Mapping'!$F$28:$F$39,MATCH('Summarized Source Data'!$A908,'Category Mapping'!$A$28:$A$39,0),1),INDEX('Category Mapping'!$E$28:$E$39,MATCH($A908,'Category Mapping'!$A$28:$A$39,0),1))</f>
        <v>2784000000</v>
      </c>
      <c r="Z908" s="27">
        <f>Z328*IF($E908="weekday",INDEX('Category Mapping'!$F$28:$F$39,MATCH('Summarized Source Data'!$A908,'Category Mapping'!$A$28:$A$39,0),1),INDEX('Category Mapping'!$E$28:$E$39,MATCH($A908,'Category Mapping'!$A$28:$A$39,0),1))</f>
        <v>2784000000</v>
      </c>
    </row>
    <row r="909" spans="1:26" x14ac:dyDescent="0.3">
      <c r="A909">
        <f t="shared" ref="A909:E909" si="374">A329</f>
        <v>2</v>
      </c>
      <c r="B909" t="str">
        <f t="shared" si="374"/>
        <v>Winter</v>
      </c>
      <c r="C909" t="str">
        <f t="shared" si="374"/>
        <v>h14</v>
      </c>
      <c r="D909" t="str">
        <f t="shared" si="374"/>
        <v>Hour13</v>
      </c>
      <c r="E909" t="str">
        <f t="shared" si="374"/>
        <v>Weekend</v>
      </c>
      <c r="F909" s="27">
        <f>F329*IF($E909="weekday",INDEX('Category Mapping'!$F$28:$F$39,MATCH('Summarized Source Data'!$A909,'Category Mapping'!$A$28:$A$39,0),1),INDEX('Category Mapping'!$E$28:$E$39,MATCH($A909,'Category Mapping'!$A$28:$A$39,0),1))</f>
        <v>65846728</v>
      </c>
      <c r="G909" s="27">
        <f>G329*IF($E909="weekday",INDEX('Category Mapping'!$F$28:$F$39,MATCH('Summarized Source Data'!$A909,'Category Mapping'!$A$28:$A$39,0),1),INDEX('Category Mapping'!$E$28:$E$39,MATCH($A909,'Category Mapping'!$A$28:$A$39,0),1))</f>
        <v>41224</v>
      </c>
      <c r="H909" s="27">
        <f>H329*IF($E909="weekday",INDEX('Category Mapping'!$F$28:$F$39,MATCH('Summarized Source Data'!$A909,'Category Mapping'!$A$28:$A$39,0),1),INDEX('Category Mapping'!$E$28:$E$39,MATCH($A909,'Category Mapping'!$A$28:$A$39,0),1))</f>
        <v>0</v>
      </c>
      <c r="I909" s="27">
        <f>I329*IF($E909="weekday",INDEX('Category Mapping'!$F$28:$F$39,MATCH('Summarized Source Data'!$A909,'Category Mapping'!$A$28:$A$39,0),1),INDEX('Category Mapping'!$E$28:$E$39,MATCH($A909,'Category Mapping'!$A$28:$A$39,0),1))</f>
        <v>68653448</v>
      </c>
      <c r="J909" s="27">
        <f>J329*IF($E909="weekday",INDEX('Category Mapping'!$F$28:$F$39,MATCH('Summarized Source Data'!$A909,'Category Mapping'!$A$28:$A$39,0),1),INDEX('Category Mapping'!$E$28:$E$39,MATCH($A909,'Category Mapping'!$A$28:$A$39,0),1))</f>
        <v>658258600</v>
      </c>
      <c r="K909" s="27">
        <f>K329*IF($E909="weekday",INDEX('Category Mapping'!$F$28:$F$39,MATCH('Summarized Source Data'!$A909,'Category Mapping'!$A$28:$A$39,0),1),INDEX('Category Mapping'!$E$28:$E$39,MATCH($A909,'Category Mapping'!$A$28:$A$39,0),1))</f>
        <v>658258600</v>
      </c>
      <c r="L909" s="27">
        <f>L329*IF($E909="weekday",INDEX('Category Mapping'!$F$28:$F$39,MATCH('Summarized Source Data'!$A909,'Category Mapping'!$A$28:$A$39,0),1),INDEX('Category Mapping'!$E$28:$E$39,MATCH($A909,'Category Mapping'!$A$28:$A$39,0),1))</f>
        <v>125600000</v>
      </c>
      <c r="M909" s="27">
        <f>M329*IF($E909="weekday",INDEX('Category Mapping'!$F$28:$F$39,MATCH('Summarized Source Data'!$A909,'Category Mapping'!$A$28:$A$39,0),1),INDEX('Category Mapping'!$E$28:$E$39,MATCH($A909,'Category Mapping'!$A$28:$A$39,0),1))</f>
        <v>228576</v>
      </c>
      <c r="N909" s="27">
        <f>N329*IF($E909="weekday",INDEX('Category Mapping'!$F$28:$F$39,MATCH('Summarized Source Data'!$A909,'Category Mapping'!$A$28:$A$39,0),1),INDEX('Category Mapping'!$E$28:$E$39,MATCH($A909,'Category Mapping'!$A$28:$A$39,0),1))</f>
        <v>0</v>
      </c>
      <c r="O909" s="27">
        <f>O329*IF($E909="weekday",INDEX('Category Mapping'!$F$28:$F$39,MATCH('Summarized Source Data'!$A909,'Category Mapping'!$A$28:$A$39,0),1),INDEX('Category Mapping'!$E$28:$E$39,MATCH($A909,'Category Mapping'!$A$28:$A$39,0),1))</f>
        <v>986171424</v>
      </c>
      <c r="P909" s="27">
        <f>P329*IF($E909="weekday",INDEX('Category Mapping'!$F$28:$F$39,MATCH('Summarized Source Data'!$A909,'Category Mapping'!$A$28:$A$39,0),1),INDEX('Category Mapping'!$E$28:$E$39,MATCH($A909,'Category Mapping'!$A$28:$A$39,0),1))</f>
        <v>986171424</v>
      </c>
      <c r="Q909" s="27">
        <f>Q329*IF($E909="weekday",INDEX('Category Mapping'!$F$28:$F$39,MATCH('Summarized Source Data'!$A909,'Category Mapping'!$A$28:$A$39,0),1),INDEX('Category Mapping'!$E$28:$E$39,MATCH($A909,'Category Mapping'!$A$28:$A$39,0),1))</f>
        <v>986171424</v>
      </c>
      <c r="R909" s="27">
        <f>R329*IF($E909="weekday",INDEX('Category Mapping'!$F$28:$F$39,MATCH('Summarized Source Data'!$A909,'Category Mapping'!$A$28:$A$39,0),1),INDEX('Category Mapping'!$E$28:$E$39,MATCH($A909,'Category Mapping'!$A$28:$A$39,0),1))</f>
        <v>45206344</v>
      </c>
      <c r="S909" s="27">
        <f>S329*IF($E909="weekday",INDEX('Category Mapping'!$F$28:$F$39,MATCH('Summarized Source Data'!$A909,'Category Mapping'!$A$28:$A$39,0),1),INDEX('Category Mapping'!$E$28:$E$39,MATCH($A909,'Category Mapping'!$A$28:$A$39,0),1))</f>
        <v>45206344</v>
      </c>
      <c r="T909" s="27">
        <f>T329*IF($E909="weekday",INDEX('Category Mapping'!$F$28:$F$39,MATCH('Summarized Source Data'!$A909,'Category Mapping'!$A$28:$A$39,0),1),INDEX('Category Mapping'!$E$28:$E$39,MATCH($A909,'Category Mapping'!$A$28:$A$39,0),1))</f>
        <v>45206344</v>
      </c>
      <c r="U909" s="27">
        <f>U329*IF($E909="weekday",INDEX('Category Mapping'!$F$28:$F$39,MATCH('Summarized Source Data'!$A909,'Category Mapping'!$A$28:$A$39,0),1),INDEX('Category Mapping'!$E$28:$E$39,MATCH($A909,'Category Mapping'!$A$28:$A$39,0),1))</f>
        <v>45206344</v>
      </c>
      <c r="V909" s="27">
        <f>V329*IF($E909="weekday",INDEX('Category Mapping'!$F$28:$F$39,MATCH('Summarized Source Data'!$A909,'Category Mapping'!$A$28:$A$39,0),1),INDEX('Category Mapping'!$E$28:$E$39,MATCH($A909,'Category Mapping'!$A$28:$A$39,0),1))</f>
        <v>45206344</v>
      </c>
      <c r="W909" s="27">
        <f>W329*IF($E909="weekday",INDEX('Category Mapping'!$F$28:$F$39,MATCH('Summarized Source Data'!$A909,'Category Mapping'!$A$28:$A$39,0),1),INDEX('Category Mapping'!$E$28:$E$39,MATCH($A909,'Category Mapping'!$A$28:$A$39,0),1))</f>
        <v>45206344</v>
      </c>
      <c r="X909" s="27">
        <f>X329*IF($E909="weekday",INDEX('Category Mapping'!$F$28:$F$39,MATCH('Summarized Source Data'!$A909,'Category Mapping'!$A$28:$A$39,0),1),INDEX('Category Mapping'!$E$28:$E$39,MATCH($A909,'Category Mapping'!$A$28:$A$39,0),1))</f>
        <v>2792000000</v>
      </c>
      <c r="Y909" s="27">
        <f>Y329*IF($E909="weekday",INDEX('Category Mapping'!$F$28:$F$39,MATCH('Summarized Source Data'!$A909,'Category Mapping'!$A$28:$A$39,0),1),INDEX('Category Mapping'!$E$28:$E$39,MATCH($A909,'Category Mapping'!$A$28:$A$39,0),1))</f>
        <v>2792000000</v>
      </c>
      <c r="Z909" s="27">
        <f>Z329*IF($E909="weekday",INDEX('Category Mapping'!$F$28:$F$39,MATCH('Summarized Source Data'!$A909,'Category Mapping'!$A$28:$A$39,0),1),INDEX('Category Mapping'!$E$28:$E$39,MATCH($A909,'Category Mapping'!$A$28:$A$39,0),1))</f>
        <v>2792000000</v>
      </c>
    </row>
    <row r="910" spans="1:26" x14ac:dyDescent="0.3">
      <c r="A910">
        <f t="shared" ref="A910:E910" si="375">A330</f>
        <v>2</v>
      </c>
      <c r="B910" t="str">
        <f t="shared" si="375"/>
        <v>Winter</v>
      </c>
      <c r="C910" t="str">
        <f t="shared" si="375"/>
        <v>h15</v>
      </c>
      <c r="D910" t="str">
        <f t="shared" si="375"/>
        <v>Hour14</v>
      </c>
      <c r="E910" t="str">
        <f t="shared" si="375"/>
        <v>Weekend</v>
      </c>
      <c r="F910" s="27">
        <f>F330*IF($E910="weekday",INDEX('Category Mapping'!$F$28:$F$39,MATCH('Summarized Source Data'!$A910,'Category Mapping'!$A$28:$A$39,0),1),INDEX('Category Mapping'!$E$28:$E$39,MATCH($A910,'Category Mapping'!$A$28:$A$39,0),1))</f>
        <v>64975528</v>
      </c>
      <c r="G910" s="27">
        <f>G330*IF($E910="weekday",INDEX('Category Mapping'!$F$28:$F$39,MATCH('Summarized Source Data'!$A910,'Category Mapping'!$A$28:$A$39,0),1),INDEX('Category Mapping'!$E$28:$E$39,MATCH($A910,'Category Mapping'!$A$28:$A$39,0),1))</f>
        <v>41136</v>
      </c>
      <c r="H910" s="27">
        <f>H330*IF($E910="weekday",INDEX('Category Mapping'!$F$28:$F$39,MATCH('Summarized Source Data'!$A910,'Category Mapping'!$A$28:$A$39,0),1),INDEX('Category Mapping'!$E$28:$E$39,MATCH($A910,'Category Mapping'!$A$28:$A$39,0),1))</f>
        <v>0</v>
      </c>
      <c r="I910" s="27">
        <f>I330*IF($E910="weekday",INDEX('Category Mapping'!$F$28:$F$39,MATCH('Summarized Source Data'!$A910,'Category Mapping'!$A$28:$A$39,0),1),INDEX('Category Mapping'!$E$28:$E$39,MATCH($A910,'Category Mapping'!$A$28:$A$39,0),1))</f>
        <v>67931080</v>
      </c>
      <c r="J910" s="27">
        <f>J330*IF($E910="weekday",INDEX('Category Mapping'!$F$28:$F$39,MATCH('Summarized Source Data'!$A910,'Category Mapping'!$A$28:$A$39,0),1),INDEX('Category Mapping'!$E$28:$E$39,MATCH($A910,'Category Mapping'!$A$28:$A$39,0),1))</f>
        <v>683052256</v>
      </c>
      <c r="K910" s="27">
        <f>K330*IF($E910="weekday",INDEX('Category Mapping'!$F$28:$F$39,MATCH('Summarized Source Data'!$A910,'Category Mapping'!$A$28:$A$39,0),1),INDEX('Category Mapping'!$E$28:$E$39,MATCH($A910,'Category Mapping'!$A$28:$A$39,0),1))</f>
        <v>683052256</v>
      </c>
      <c r="L910" s="27">
        <f>L330*IF($E910="weekday",INDEX('Category Mapping'!$F$28:$F$39,MATCH('Summarized Source Data'!$A910,'Category Mapping'!$A$28:$A$39,0),1),INDEX('Category Mapping'!$E$28:$E$39,MATCH($A910,'Category Mapping'!$A$28:$A$39,0),1))</f>
        <v>118400000</v>
      </c>
      <c r="M910" s="27">
        <f>M330*IF($E910="weekday",INDEX('Category Mapping'!$F$28:$F$39,MATCH('Summarized Source Data'!$A910,'Category Mapping'!$A$28:$A$39,0),1),INDEX('Category Mapping'!$E$28:$E$39,MATCH($A910,'Category Mapping'!$A$28:$A$39,0),1))</f>
        <v>228576</v>
      </c>
      <c r="N910" s="27">
        <f>N330*IF($E910="weekday",INDEX('Category Mapping'!$F$28:$F$39,MATCH('Summarized Source Data'!$A910,'Category Mapping'!$A$28:$A$39,0),1),INDEX('Category Mapping'!$E$28:$E$39,MATCH($A910,'Category Mapping'!$A$28:$A$39,0),1))</f>
        <v>0</v>
      </c>
      <c r="O910" s="27">
        <f>O330*IF($E910="weekday",INDEX('Category Mapping'!$F$28:$F$39,MATCH('Summarized Source Data'!$A910,'Category Mapping'!$A$28:$A$39,0),1),INDEX('Category Mapping'!$E$28:$E$39,MATCH($A910,'Category Mapping'!$A$28:$A$39,0),1))</f>
        <v>937371424</v>
      </c>
      <c r="P910" s="27">
        <f>P330*IF($E910="weekday",INDEX('Category Mapping'!$F$28:$F$39,MATCH('Summarized Source Data'!$A910,'Category Mapping'!$A$28:$A$39,0),1),INDEX('Category Mapping'!$E$28:$E$39,MATCH($A910,'Category Mapping'!$A$28:$A$39,0),1))</f>
        <v>937371424</v>
      </c>
      <c r="Q910" s="27">
        <f>Q330*IF($E910="weekday",INDEX('Category Mapping'!$F$28:$F$39,MATCH('Summarized Source Data'!$A910,'Category Mapping'!$A$28:$A$39,0),1),INDEX('Category Mapping'!$E$28:$E$39,MATCH($A910,'Category Mapping'!$A$28:$A$39,0),1))</f>
        <v>937371424</v>
      </c>
      <c r="R910" s="27">
        <f>R330*IF($E910="weekday",INDEX('Category Mapping'!$F$28:$F$39,MATCH('Summarized Source Data'!$A910,'Category Mapping'!$A$28:$A$39,0),1),INDEX('Category Mapping'!$E$28:$E$39,MATCH($A910,'Category Mapping'!$A$28:$A$39,0),1))</f>
        <v>44644224</v>
      </c>
      <c r="S910" s="27">
        <f>S330*IF($E910="weekday",INDEX('Category Mapping'!$F$28:$F$39,MATCH('Summarized Source Data'!$A910,'Category Mapping'!$A$28:$A$39,0),1),INDEX('Category Mapping'!$E$28:$E$39,MATCH($A910,'Category Mapping'!$A$28:$A$39,0),1))</f>
        <v>44644224</v>
      </c>
      <c r="T910" s="27">
        <f>T330*IF($E910="weekday",INDEX('Category Mapping'!$F$28:$F$39,MATCH('Summarized Source Data'!$A910,'Category Mapping'!$A$28:$A$39,0),1),INDEX('Category Mapping'!$E$28:$E$39,MATCH($A910,'Category Mapping'!$A$28:$A$39,0),1))</f>
        <v>44644224</v>
      </c>
      <c r="U910" s="27">
        <f>U330*IF($E910="weekday",INDEX('Category Mapping'!$F$28:$F$39,MATCH('Summarized Source Data'!$A910,'Category Mapping'!$A$28:$A$39,0),1),INDEX('Category Mapping'!$E$28:$E$39,MATCH($A910,'Category Mapping'!$A$28:$A$39,0),1))</f>
        <v>44644224</v>
      </c>
      <c r="V910" s="27">
        <f>V330*IF($E910="weekday",INDEX('Category Mapping'!$F$28:$F$39,MATCH('Summarized Source Data'!$A910,'Category Mapping'!$A$28:$A$39,0),1),INDEX('Category Mapping'!$E$28:$E$39,MATCH($A910,'Category Mapping'!$A$28:$A$39,0),1))</f>
        <v>44644224</v>
      </c>
      <c r="W910" s="27">
        <f>W330*IF($E910="weekday",INDEX('Category Mapping'!$F$28:$F$39,MATCH('Summarized Source Data'!$A910,'Category Mapping'!$A$28:$A$39,0),1),INDEX('Category Mapping'!$E$28:$E$39,MATCH($A910,'Category Mapping'!$A$28:$A$39,0),1))</f>
        <v>44644224</v>
      </c>
      <c r="X910" s="27">
        <f>X330*IF($E910="weekday",INDEX('Category Mapping'!$F$28:$F$39,MATCH('Summarized Source Data'!$A910,'Category Mapping'!$A$28:$A$39,0),1),INDEX('Category Mapping'!$E$28:$E$39,MATCH($A910,'Category Mapping'!$A$28:$A$39,0),1))</f>
        <v>2800000000</v>
      </c>
      <c r="Y910" s="27">
        <f>Y330*IF($E910="weekday",INDEX('Category Mapping'!$F$28:$F$39,MATCH('Summarized Source Data'!$A910,'Category Mapping'!$A$28:$A$39,0),1),INDEX('Category Mapping'!$E$28:$E$39,MATCH($A910,'Category Mapping'!$A$28:$A$39,0),1))</f>
        <v>2800000000</v>
      </c>
      <c r="Z910" s="27">
        <f>Z330*IF($E910="weekday",INDEX('Category Mapping'!$F$28:$F$39,MATCH('Summarized Source Data'!$A910,'Category Mapping'!$A$28:$A$39,0),1),INDEX('Category Mapping'!$E$28:$E$39,MATCH($A910,'Category Mapping'!$A$28:$A$39,0),1))</f>
        <v>2800000000</v>
      </c>
    </row>
    <row r="911" spans="1:26" x14ac:dyDescent="0.3">
      <c r="A911">
        <f t="shared" ref="A911:E911" si="376">A331</f>
        <v>2</v>
      </c>
      <c r="B911" t="str">
        <f t="shared" si="376"/>
        <v>Winter</v>
      </c>
      <c r="C911" t="str">
        <f t="shared" si="376"/>
        <v>h16</v>
      </c>
      <c r="D911" t="str">
        <f t="shared" si="376"/>
        <v>Hour15</v>
      </c>
      <c r="E911" t="str">
        <f t="shared" si="376"/>
        <v>Weekend</v>
      </c>
      <c r="F911" s="27">
        <f>F331*IF($E911="weekday",INDEX('Category Mapping'!$F$28:$F$39,MATCH('Summarized Source Data'!$A911,'Category Mapping'!$A$28:$A$39,0),1),INDEX('Category Mapping'!$E$28:$E$39,MATCH($A911,'Category Mapping'!$A$28:$A$39,0),1))</f>
        <v>65564560</v>
      </c>
      <c r="G911" s="27">
        <f>G331*IF($E911="weekday",INDEX('Category Mapping'!$F$28:$F$39,MATCH('Summarized Source Data'!$A911,'Category Mapping'!$A$28:$A$39,0),1),INDEX('Category Mapping'!$E$28:$E$39,MATCH($A911,'Category Mapping'!$A$28:$A$39,0),1))</f>
        <v>41008</v>
      </c>
      <c r="H911" s="27">
        <f>H331*IF($E911="weekday",INDEX('Category Mapping'!$F$28:$F$39,MATCH('Summarized Source Data'!$A911,'Category Mapping'!$A$28:$A$39,0),1),INDEX('Category Mapping'!$E$28:$E$39,MATCH($A911,'Category Mapping'!$A$28:$A$39,0),1))</f>
        <v>0</v>
      </c>
      <c r="I911" s="27">
        <f>I331*IF($E911="weekday",INDEX('Category Mapping'!$F$28:$F$39,MATCH('Summarized Source Data'!$A911,'Category Mapping'!$A$28:$A$39,0),1),INDEX('Category Mapping'!$E$28:$E$39,MATCH($A911,'Category Mapping'!$A$28:$A$39,0),1))</f>
        <v>68101552</v>
      </c>
      <c r="J911" s="27">
        <f>J331*IF($E911="weekday",INDEX('Category Mapping'!$F$28:$F$39,MATCH('Summarized Source Data'!$A911,'Category Mapping'!$A$28:$A$39,0),1),INDEX('Category Mapping'!$E$28:$E$39,MATCH($A911,'Category Mapping'!$A$28:$A$39,0),1))</f>
        <v>714292880</v>
      </c>
      <c r="K911" s="27">
        <f>K331*IF($E911="weekday",INDEX('Category Mapping'!$F$28:$F$39,MATCH('Summarized Source Data'!$A911,'Category Mapping'!$A$28:$A$39,0),1),INDEX('Category Mapping'!$E$28:$E$39,MATCH($A911,'Category Mapping'!$A$28:$A$39,0),1))</f>
        <v>714292880</v>
      </c>
      <c r="L911" s="27">
        <f>L331*IF($E911="weekday",INDEX('Category Mapping'!$F$28:$F$39,MATCH('Summarized Source Data'!$A911,'Category Mapping'!$A$28:$A$39,0),1),INDEX('Category Mapping'!$E$28:$E$39,MATCH($A911,'Category Mapping'!$A$28:$A$39,0),1))</f>
        <v>120800000</v>
      </c>
      <c r="M911" s="27">
        <f>M331*IF($E911="weekday",INDEX('Category Mapping'!$F$28:$F$39,MATCH('Summarized Source Data'!$A911,'Category Mapping'!$A$28:$A$39,0),1),INDEX('Category Mapping'!$E$28:$E$39,MATCH($A911,'Category Mapping'!$A$28:$A$39,0),1))</f>
        <v>228624</v>
      </c>
      <c r="N911" s="27">
        <f>N331*IF($E911="weekday",INDEX('Category Mapping'!$F$28:$F$39,MATCH('Summarized Source Data'!$A911,'Category Mapping'!$A$28:$A$39,0),1),INDEX('Category Mapping'!$E$28:$E$39,MATCH($A911,'Category Mapping'!$A$28:$A$39,0),1))</f>
        <v>0</v>
      </c>
      <c r="O911" s="27">
        <f>O331*IF($E911="weekday",INDEX('Category Mapping'!$F$28:$F$39,MATCH('Summarized Source Data'!$A911,'Category Mapping'!$A$28:$A$39,0),1),INDEX('Category Mapping'!$E$28:$E$39,MATCH($A911,'Category Mapping'!$A$28:$A$39,0),1))</f>
        <v>870971376</v>
      </c>
      <c r="P911" s="27">
        <f>P331*IF($E911="weekday",INDEX('Category Mapping'!$F$28:$F$39,MATCH('Summarized Source Data'!$A911,'Category Mapping'!$A$28:$A$39,0),1),INDEX('Category Mapping'!$E$28:$E$39,MATCH($A911,'Category Mapping'!$A$28:$A$39,0),1))</f>
        <v>870971376</v>
      </c>
      <c r="Q911" s="27">
        <f>Q331*IF($E911="weekday",INDEX('Category Mapping'!$F$28:$F$39,MATCH('Summarized Source Data'!$A911,'Category Mapping'!$A$28:$A$39,0),1),INDEX('Category Mapping'!$E$28:$E$39,MATCH($A911,'Category Mapping'!$A$28:$A$39,0),1))</f>
        <v>870971376</v>
      </c>
      <c r="R911" s="27">
        <f>R331*IF($E911="weekday",INDEX('Category Mapping'!$F$28:$F$39,MATCH('Summarized Source Data'!$A911,'Category Mapping'!$A$28:$A$39,0),1),INDEX('Category Mapping'!$E$28:$E$39,MATCH($A911,'Category Mapping'!$A$28:$A$39,0),1))</f>
        <v>43801032</v>
      </c>
      <c r="S911" s="27">
        <f>S331*IF($E911="weekday",INDEX('Category Mapping'!$F$28:$F$39,MATCH('Summarized Source Data'!$A911,'Category Mapping'!$A$28:$A$39,0),1),INDEX('Category Mapping'!$E$28:$E$39,MATCH($A911,'Category Mapping'!$A$28:$A$39,0),1))</f>
        <v>43801032</v>
      </c>
      <c r="T911" s="27">
        <f>T331*IF($E911="weekday",INDEX('Category Mapping'!$F$28:$F$39,MATCH('Summarized Source Data'!$A911,'Category Mapping'!$A$28:$A$39,0),1),INDEX('Category Mapping'!$E$28:$E$39,MATCH($A911,'Category Mapping'!$A$28:$A$39,0),1))</f>
        <v>43801032</v>
      </c>
      <c r="U911" s="27">
        <f>U331*IF($E911="weekday",INDEX('Category Mapping'!$F$28:$F$39,MATCH('Summarized Source Data'!$A911,'Category Mapping'!$A$28:$A$39,0),1),INDEX('Category Mapping'!$E$28:$E$39,MATCH($A911,'Category Mapping'!$A$28:$A$39,0),1))</f>
        <v>43801032</v>
      </c>
      <c r="V911" s="27">
        <f>V331*IF($E911="weekday",INDEX('Category Mapping'!$F$28:$F$39,MATCH('Summarized Source Data'!$A911,'Category Mapping'!$A$28:$A$39,0),1),INDEX('Category Mapping'!$E$28:$E$39,MATCH($A911,'Category Mapping'!$A$28:$A$39,0),1))</f>
        <v>43801032</v>
      </c>
      <c r="W911" s="27">
        <f>W331*IF($E911="weekday",INDEX('Category Mapping'!$F$28:$F$39,MATCH('Summarized Source Data'!$A911,'Category Mapping'!$A$28:$A$39,0),1),INDEX('Category Mapping'!$E$28:$E$39,MATCH($A911,'Category Mapping'!$A$28:$A$39,0),1))</f>
        <v>43801032</v>
      </c>
      <c r="X911" s="27">
        <f>X331*IF($E911="weekday",INDEX('Category Mapping'!$F$28:$F$39,MATCH('Summarized Source Data'!$A911,'Category Mapping'!$A$28:$A$39,0),1),INDEX('Category Mapping'!$E$28:$E$39,MATCH($A911,'Category Mapping'!$A$28:$A$39,0),1))</f>
        <v>2832000000</v>
      </c>
      <c r="Y911" s="27">
        <f>Y331*IF($E911="weekday",INDEX('Category Mapping'!$F$28:$F$39,MATCH('Summarized Source Data'!$A911,'Category Mapping'!$A$28:$A$39,0),1),INDEX('Category Mapping'!$E$28:$E$39,MATCH($A911,'Category Mapping'!$A$28:$A$39,0),1))</f>
        <v>2832000000</v>
      </c>
      <c r="Z911" s="27">
        <f>Z331*IF($E911="weekday",INDEX('Category Mapping'!$F$28:$F$39,MATCH('Summarized Source Data'!$A911,'Category Mapping'!$A$28:$A$39,0),1),INDEX('Category Mapping'!$E$28:$E$39,MATCH($A911,'Category Mapping'!$A$28:$A$39,0),1))</f>
        <v>2832000000</v>
      </c>
    </row>
    <row r="912" spans="1:26" x14ac:dyDescent="0.3">
      <c r="A912">
        <f t="shared" ref="A912:E912" si="377">A332</f>
        <v>2</v>
      </c>
      <c r="B912" t="str">
        <f t="shared" si="377"/>
        <v>Winter</v>
      </c>
      <c r="C912" t="str">
        <f t="shared" si="377"/>
        <v>h17</v>
      </c>
      <c r="D912" t="str">
        <f t="shared" si="377"/>
        <v>Hour16</v>
      </c>
      <c r="E912" t="str">
        <f t="shared" si="377"/>
        <v>Weekend</v>
      </c>
      <c r="F912" s="27">
        <f>F332*IF($E912="weekday",INDEX('Category Mapping'!$F$28:$F$39,MATCH('Summarized Source Data'!$A912,'Category Mapping'!$A$28:$A$39,0),1),INDEX('Category Mapping'!$E$28:$E$39,MATCH($A912,'Category Mapping'!$A$28:$A$39,0),1))</f>
        <v>67990136</v>
      </c>
      <c r="G912" s="27">
        <f>G332*IF($E912="weekday",INDEX('Category Mapping'!$F$28:$F$39,MATCH('Summarized Source Data'!$A912,'Category Mapping'!$A$28:$A$39,0),1),INDEX('Category Mapping'!$E$28:$E$39,MATCH($A912,'Category Mapping'!$A$28:$A$39,0),1))</f>
        <v>41336</v>
      </c>
      <c r="H912" s="27">
        <f>H332*IF($E912="weekday",INDEX('Category Mapping'!$F$28:$F$39,MATCH('Summarized Source Data'!$A912,'Category Mapping'!$A$28:$A$39,0),1),INDEX('Category Mapping'!$E$28:$E$39,MATCH($A912,'Category Mapping'!$A$28:$A$39,0),1))</f>
        <v>0</v>
      </c>
      <c r="I912" s="27">
        <f>I332*IF($E912="weekday",INDEX('Category Mapping'!$F$28:$F$39,MATCH('Summarized Source Data'!$A912,'Category Mapping'!$A$28:$A$39,0),1),INDEX('Category Mapping'!$E$28:$E$39,MATCH($A912,'Category Mapping'!$A$28:$A$39,0),1))</f>
        <v>111200000</v>
      </c>
      <c r="J912" s="27">
        <f>J332*IF($E912="weekday",INDEX('Category Mapping'!$F$28:$F$39,MATCH('Summarized Source Data'!$A912,'Category Mapping'!$A$28:$A$39,0),1),INDEX('Category Mapping'!$E$28:$E$39,MATCH($A912,'Category Mapping'!$A$28:$A$39,0),1))</f>
        <v>764768528</v>
      </c>
      <c r="K912" s="27">
        <f>K332*IF($E912="weekday",INDEX('Category Mapping'!$F$28:$F$39,MATCH('Summarized Source Data'!$A912,'Category Mapping'!$A$28:$A$39,0),1),INDEX('Category Mapping'!$E$28:$E$39,MATCH($A912,'Category Mapping'!$A$28:$A$39,0),1))</f>
        <v>764768528</v>
      </c>
      <c r="L912" s="27">
        <f>L332*IF($E912="weekday",INDEX('Category Mapping'!$F$28:$F$39,MATCH('Summarized Source Data'!$A912,'Category Mapping'!$A$28:$A$39,0),1),INDEX('Category Mapping'!$E$28:$E$39,MATCH($A912,'Category Mapping'!$A$28:$A$39,0),1))</f>
        <v>118400000</v>
      </c>
      <c r="M912" s="27">
        <f>M332*IF($E912="weekday",INDEX('Category Mapping'!$F$28:$F$39,MATCH('Summarized Source Data'!$A912,'Category Mapping'!$A$28:$A$39,0),1),INDEX('Category Mapping'!$E$28:$E$39,MATCH($A912,'Category Mapping'!$A$28:$A$39,0),1))</f>
        <v>226168</v>
      </c>
      <c r="N912" s="27">
        <f>N332*IF($E912="weekday",INDEX('Category Mapping'!$F$28:$F$39,MATCH('Summarized Source Data'!$A912,'Category Mapping'!$A$28:$A$39,0),1),INDEX('Category Mapping'!$E$28:$E$39,MATCH($A912,'Category Mapping'!$A$28:$A$39,0),1))</f>
        <v>0</v>
      </c>
      <c r="O912" s="27">
        <f>O332*IF($E912="weekday",INDEX('Category Mapping'!$F$28:$F$39,MATCH('Summarized Source Data'!$A912,'Category Mapping'!$A$28:$A$39,0),1),INDEX('Category Mapping'!$E$28:$E$39,MATCH($A912,'Category Mapping'!$A$28:$A$39,0),1))</f>
        <v>833373832</v>
      </c>
      <c r="P912" s="27">
        <f>P332*IF($E912="weekday",INDEX('Category Mapping'!$F$28:$F$39,MATCH('Summarized Source Data'!$A912,'Category Mapping'!$A$28:$A$39,0),1),INDEX('Category Mapping'!$E$28:$E$39,MATCH($A912,'Category Mapping'!$A$28:$A$39,0),1))</f>
        <v>833373832</v>
      </c>
      <c r="Q912" s="27">
        <f>Q332*IF($E912="weekday",INDEX('Category Mapping'!$F$28:$F$39,MATCH('Summarized Source Data'!$A912,'Category Mapping'!$A$28:$A$39,0),1),INDEX('Category Mapping'!$E$28:$E$39,MATCH($A912,'Category Mapping'!$A$28:$A$39,0),1))</f>
        <v>833373832</v>
      </c>
      <c r="R912" s="27">
        <f>R332*IF($E912="weekday",INDEX('Category Mapping'!$F$28:$F$39,MATCH('Summarized Source Data'!$A912,'Category Mapping'!$A$28:$A$39,0),1),INDEX('Category Mapping'!$E$28:$E$39,MATCH($A912,'Category Mapping'!$A$28:$A$39,0),1))</f>
        <v>50221128</v>
      </c>
      <c r="S912" s="27">
        <f>S332*IF($E912="weekday",INDEX('Category Mapping'!$F$28:$F$39,MATCH('Summarized Source Data'!$A912,'Category Mapping'!$A$28:$A$39,0),1),INDEX('Category Mapping'!$E$28:$E$39,MATCH($A912,'Category Mapping'!$A$28:$A$39,0),1))</f>
        <v>50221128</v>
      </c>
      <c r="T912" s="27">
        <f>T332*IF($E912="weekday",INDEX('Category Mapping'!$F$28:$F$39,MATCH('Summarized Source Data'!$A912,'Category Mapping'!$A$28:$A$39,0),1),INDEX('Category Mapping'!$E$28:$E$39,MATCH($A912,'Category Mapping'!$A$28:$A$39,0),1))</f>
        <v>50221128</v>
      </c>
      <c r="U912" s="27">
        <f>U332*IF($E912="weekday",INDEX('Category Mapping'!$F$28:$F$39,MATCH('Summarized Source Data'!$A912,'Category Mapping'!$A$28:$A$39,0),1),INDEX('Category Mapping'!$E$28:$E$39,MATCH($A912,'Category Mapping'!$A$28:$A$39,0),1))</f>
        <v>50221128</v>
      </c>
      <c r="V912" s="27">
        <f>V332*IF($E912="weekday",INDEX('Category Mapping'!$F$28:$F$39,MATCH('Summarized Source Data'!$A912,'Category Mapping'!$A$28:$A$39,0),1),INDEX('Category Mapping'!$E$28:$E$39,MATCH($A912,'Category Mapping'!$A$28:$A$39,0),1))</f>
        <v>50221128</v>
      </c>
      <c r="W912" s="27">
        <f>W332*IF($E912="weekday",INDEX('Category Mapping'!$F$28:$F$39,MATCH('Summarized Source Data'!$A912,'Category Mapping'!$A$28:$A$39,0),1),INDEX('Category Mapping'!$E$28:$E$39,MATCH($A912,'Category Mapping'!$A$28:$A$39,0),1))</f>
        <v>50221128</v>
      </c>
      <c r="X912" s="27">
        <f>X332*IF($E912="weekday",INDEX('Category Mapping'!$F$28:$F$39,MATCH('Summarized Source Data'!$A912,'Category Mapping'!$A$28:$A$39,0),1),INDEX('Category Mapping'!$E$28:$E$39,MATCH($A912,'Category Mapping'!$A$28:$A$39,0),1))</f>
        <v>2864000000</v>
      </c>
      <c r="Y912" s="27">
        <f>Y332*IF($E912="weekday",INDEX('Category Mapping'!$F$28:$F$39,MATCH('Summarized Source Data'!$A912,'Category Mapping'!$A$28:$A$39,0),1),INDEX('Category Mapping'!$E$28:$E$39,MATCH($A912,'Category Mapping'!$A$28:$A$39,0),1))</f>
        <v>2864000000</v>
      </c>
      <c r="Z912" s="27">
        <f>Z332*IF($E912="weekday",INDEX('Category Mapping'!$F$28:$F$39,MATCH('Summarized Source Data'!$A912,'Category Mapping'!$A$28:$A$39,0),1),INDEX('Category Mapping'!$E$28:$E$39,MATCH($A912,'Category Mapping'!$A$28:$A$39,0),1))</f>
        <v>2864000000</v>
      </c>
    </row>
    <row r="913" spans="1:26" x14ac:dyDescent="0.3">
      <c r="A913">
        <f t="shared" ref="A913:E913" si="378">A333</f>
        <v>2</v>
      </c>
      <c r="B913" t="str">
        <f t="shared" si="378"/>
        <v>Winter</v>
      </c>
      <c r="C913" t="str">
        <f t="shared" si="378"/>
        <v>h18</v>
      </c>
      <c r="D913" t="str">
        <f t="shared" si="378"/>
        <v>Hour17</v>
      </c>
      <c r="E913" t="str">
        <f t="shared" si="378"/>
        <v>Weekend</v>
      </c>
      <c r="F913" s="27">
        <f>F333*IF($E913="weekday",INDEX('Category Mapping'!$F$28:$F$39,MATCH('Summarized Source Data'!$A913,'Category Mapping'!$A$28:$A$39,0),1),INDEX('Category Mapping'!$E$28:$E$39,MATCH($A913,'Category Mapping'!$A$28:$A$39,0),1))</f>
        <v>72111888</v>
      </c>
      <c r="G913" s="27">
        <f>G333*IF($E913="weekday",INDEX('Category Mapping'!$F$28:$F$39,MATCH('Summarized Source Data'!$A913,'Category Mapping'!$A$28:$A$39,0),1),INDEX('Category Mapping'!$E$28:$E$39,MATCH($A913,'Category Mapping'!$A$28:$A$39,0),1))</f>
        <v>42968</v>
      </c>
      <c r="H913" s="27">
        <f>H333*IF($E913="weekday",INDEX('Category Mapping'!$F$28:$F$39,MATCH('Summarized Source Data'!$A913,'Category Mapping'!$A$28:$A$39,0),1),INDEX('Category Mapping'!$E$28:$E$39,MATCH($A913,'Category Mapping'!$A$28:$A$39,0),1))</f>
        <v>0</v>
      </c>
      <c r="I913" s="27">
        <f>I333*IF($E913="weekday",INDEX('Category Mapping'!$F$28:$F$39,MATCH('Summarized Source Data'!$A913,'Category Mapping'!$A$28:$A$39,0),1),INDEX('Category Mapping'!$E$28:$E$39,MATCH($A913,'Category Mapping'!$A$28:$A$39,0),1))</f>
        <v>244800000</v>
      </c>
      <c r="J913" s="27">
        <f>J333*IF($E913="weekday",INDEX('Category Mapping'!$F$28:$F$39,MATCH('Summarized Source Data'!$A913,'Category Mapping'!$A$28:$A$39,0),1),INDEX('Category Mapping'!$E$28:$E$39,MATCH($A913,'Category Mapping'!$A$28:$A$39,0),1))</f>
        <v>771045144</v>
      </c>
      <c r="K913" s="27">
        <f>K333*IF($E913="weekday",INDEX('Category Mapping'!$F$28:$F$39,MATCH('Summarized Source Data'!$A913,'Category Mapping'!$A$28:$A$39,0),1),INDEX('Category Mapping'!$E$28:$E$39,MATCH($A913,'Category Mapping'!$A$28:$A$39,0),1))</f>
        <v>771045144</v>
      </c>
      <c r="L913" s="27">
        <f>L333*IF($E913="weekday",INDEX('Category Mapping'!$F$28:$F$39,MATCH('Summarized Source Data'!$A913,'Category Mapping'!$A$28:$A$39,0),1),INDEX('Category Mapping'!$E$28:$E$39,MATCH($A913,'Category Mapping'!$A$28:$A$39,0),1))</f>
        <v>124800000</v>
      </c>
      <c r="M913" s="27">
        <f>M333*IF($E913="weekday",INDEX('Category Mapping'!$F$28:$F$39,MATCH('Summarized Source Data'!$A913,'Category Mapping'!$A$28:$A$39,0),1),INDEX('Category Mapping'!$E$28:$E$39,MATCH($A913,'Category Mapping'!$A$28:$A$39,0),1))</f>
        <v>220704</v>
      </c>
      <c r="N913" s="27">
        <f>N333*IF($E913="weekday",INDEX('Category Mapping'!$F$28:$F$39,MATCH('Summarized Source Data'!$A913,'Category Mapping'!$A$28:$A$39,0),1),INDEX('Category Mapping'!$E$28:$E$39,MATCH($A913,'Category Mapping'!$A$28:$A$39,0),1))</f>
        <v>0</v>
      </c>
      <c r="O913" s="27">
        <f>O333*IF($E913="weekday",INDEX('Category Mapping'!$F$28:$F$39,MATCH('Summarized Source Data'!$A913,'Category Mapping'!$A$28:$A$39,0),1),INDEX('Category Mapping'!$E$28:$E$39,MATCH($A913,'Category Mapping'!$A$28:$A$39,0),1))</f>
        <v>842979296</v>
      </c>
      <c r="P913" s="27">
        <f>P333*IF($E913="weekday",INDEX('Category Mapping'!$F$28:$F$39,MATCH('Summarized Source Data'!$A913,'Category Mapping'!$A$28:$A$39,0),1),INDEX('Category Mapping'!$E$28:$E$39,MATCH($A913,'Category Mapping'!$A$28:$A$39,0),1))</f>
        <v>842979296</v>
      </c>
      <c r="Q913" s="27">
        <f>Q333*IF($E913="weekday",INDEX('Category Mapping'!$F$28:$F$39,MATCH('Summarized Source Data'!$A913,'Category Mapping'!$A$28:$A$39,0),1),INDEX('Category Mapping'!$E$28:$E$39,MATCH($A913,'Category Mapping'!$A$28:$A$39,0),1))</f>
        <v>842979296</v>
      </c>
      <c r="R913" s="27">
        <f>R333*IF($E913="weekday",INDEX('Category Mapping'!$F$28:$F$39,MATCH('Summarized Source Data'!$A913,'Category Mapping'!$A$28:$A$39,0),1),INDEX('Category Mapping'!$E$28:$E$39,MATCH($A913,'Category Mapping'!$A$28:$A$39,0),1))</f>
        <v>50267976</v>
      </c>
      <c r="S913" s="27">
        <f>S333*IF($E913="weekday",INDEX('Category Mapping'!$F$28:$F$39,MATCH('Summarized Source Data'!$A913,'Category Mapping'!$A$28:$A$39,0),1),INDEX('Category Mapping'!$E$28:$E$39,MATCH($A913,'Category Mapping'!$A$28:$A$39,0),1))</f>
        <v>50267976</v>
      </c>
      <c r="T913" s="27">
        <f>T333*IF($E913="weekday",INDEX('Category Mapping'!$F$28:$F$39,MATCH('Summarized Source Data'!$A913,'Category Mapping'!$A$28:$A$39,0),1),INDEX('Category Mapping'!$E$28:$E$39,MATCH($A913,'Category Mapping'!$A$28:$A$39,0),1))</f>
        <v>50267976</v>
      </c>
      <c r="U913" s="27">
        <f>U333*IF($E913="weekday",INDEX('Category Mapping'!$F$28:$F$39,MATCH('Summarized Source Data'!$A913,'Category Mapping'!$A$28:$A$39,0),1),INDEX('Category Mapping'!$E$28:$E$39,MATCH($A913,'Category Mapping'!$A$28:$A$39,0),1))</f>
        <v>50267976</v>
      </c>
      <c r="V913" s="27">
        <f>V333*IF($E913="weekday",INDEX('Category Mapping'!$F$28:$F$39,MATCH('Summarized Source Data'!$A913,'Category Mapping'!$A$28:$A$39,0),1),INDEX('Category Mapping'!$E$28:$E$39,MATCH($A913,'Category Mapping'!$A$28:$A$39,0),1))</f>
        <v>50267976</v>
      </c>
      <c r="W913" s="27">
        <f>W333*IF($E913="weekday",INDEX('Category Mapping'!$F$28:$F$39,MATCH('Summarized Source Data'!$A913,'Category Mapping'!$A$28:$A$39,0),1),INDEX('Category Mapping'!$E$28:$E$39,MATCH($A913,'Category Mapping'!$A$28:$A$39,0),1))</f>
        <v>50267976</v>
      </c>
      <c r="X913" s="27">
        <f>X333*IF($E913="weekday",INDEX('Category Mapping'!$F$28:$F$39,MATCH('Summarized Source Data'!$A913,'Category Mapping'!$A$28:$A$39,0),1),INDEX('Category Mapping'!$E$28:$E$39,MATCH($A913,'Category Mapping'!$A$28:$A$39,0),1))</f>
        <v>2872000000</v>
      </c>
      <c r="Y913" s="27">
        <f>Y333*IF($E913="weekday",INDEX('Category Mapping'!$F$28:$F$39,MATCH('Summarized Source Data'!$A913,'Category Mapping'!$A$28:$A$39,0),1),INDEX('Category Mapping'!$E$28:$E$39,MATCH($A913,'Category Mapping'!$A$28:$A$39,0),1))</f>
        <v>2872000000</v>
      </c>
      <c r="Z913" s="27">
        <f>Z333*IF($E913="weekday",INDEX('Category Mapping'!$F$28:$F$39,MATCH('Summarized Source Data'!$A913,'Category Mapping'!$A$28:$A$39,0),1),INDEX('Category Mapping'!$E$28:$E$39,MATCH($A913,'Category Mapping'!$A$28:$A$39,0),1))</f>
        <v>2872000000</v>
      </c>
    </row>
    <row r="914" spans="1:26" x14ac:dyDescent="0.3">
      <c r="A914">
        <f t="shared" ref="A914:E914" si="379">A334</f>
        <v>2</v>
      </c>
      <c r="B914" t="str">
        <f t="shared" si="379"/>
        <v>Winter</v>
      </c>
      <c r="C914" t="str">
        <f t="shared" si="379"/>
        <v>h19</v>
      </c>
      <c r="D914" t="str">
        <f t="shared" si="379"/>
        <v>Hour18</v>
      </c>
      <c r="E914" t="str">
        <f t="shared" si="379"/>
        <v>Weekend</v>
      </c>
      <c r="F914" s="27">
        <f>F334*IF($E914="weekday",INDEX('Category Mapping'!$F$28:$F$39,MATCH('Summarized Source Data'!$A914,'Category Mapping'!$A$28:$A$39,0),1),INDEX('Category Mapping'!$E$28:$E$39,MATCH($A914,'Category Mapping'!$A$28:$A$39,0),1))</f>
        <v>77283960</v>
      </c>
      <c r="G914" s="27">
        <f>G334*IF($E914="weekday",INDEX('Category Mapping'!$F$28:$F$39,MATCH('Summarized Source Data'!$A914,'Category Mapping'!$A$28:$A$39,0),1),INDEX('Category Mapping'!$E$28:$E$39,MATCH($A914,'Category Mapping'!$A$28:$A$39,0),1))</f>
        <v>45608</v>
      </c>
      <c r="H914" s="27">
        <f>H334*IF($E914="weekday",INDEX('Category Mapping'!$F$28:$F$39,MATCH('Summarized Source Data'!$A914,'Category Mapping'!$A$28:$A$39,0),1),INDEX('Category Mapping'!$E$28:$E$39,MATCH($A914,'Category Mapping'!$A$28:$A$39,0),1))</f>
        <v>0</v>
      </c>
      <c r="I914" s="27">
        <f>I334*IF($E914="weekday",INDEX('Category Mapping'!$F$28:$F$39,MATCH('Summarized Source Data'!$A914,'Category Mapping'!$A$28:$A$39,0),1),INDEX('Category Mapping'!$E$28:$E$39,MATCH($A914,'Category Mapping'!$A$28:$A$39,0),1))</f>
        <v>258400000</v>
      </c>
      <c r="J914" s="27">
        <f>J334*IF($E914="weekday",INDEX('Category Mapping'!$F$28:$F$39,MATCH('Summarized Source Data'!$A914,'Category Mapping'!$A$28:$A$39,0),1),INDEX('Category Mapping'!$E$28:$E$39,MATCH($A914,'Category Mapping'!$A$28:$A$39,0),1))</f>
        <v>744270432</v>
      </c>
      <c r="K914" s="27">
        <f>K334*IF($E914="weekday",INDEX('Category Mapping'!$F$28:$F$39,MATCH('Summarized Source Data'!$A914,'Category Mapping'!$A$28:$A$39,0),1),INDEX('Category Mapping'!$E$28:$E$39,MATCH($A914,'Category Mapping'!$A$28:$A$39,0),1))</f>
        <v>744270432</v>
      </c>
      <c r="L914" s="27">
        <f>L334*IF($E914="weekday",INDEX('Category Mapping'!$F$28:$F$39,MATCH('Summarized Source Data'!$A914,'Category Mapping'!$A$28:$A$39,0),1),INDEX('Category Mapping'!$E$28:$E$39,MATCH($A914,'Category Mapping'!$A$28:$A$39,0),1))</f>
        <v>147200000</v>
      </c>
      <c r="M914" s="27">
        <f>M334*IF($E914="weekday",INDEX('Category Mapping'!$F$28:$F$39,MATCH('Summarized Source Data'!$A914,'Category Mapping'!$A$28:$A$39,0),1),INDEX('Category Mapping'!$E$28:$E$39,MATCH($A914,'Category Mapping'!$A$28:$A$39,0),1))</f>
        <v>215968</v>
      </c>
      <c r="N914" s="27">
        <f>N334*IF($E914="weekday",INDEX('Category Mapping'!$F$28:$F$39,MATCH('Summarized Source Data'!$A914,'Category Mapping'!$A$28:$A$39,0),1),INDEX('Category Mapping'!$E$28:$E$39,MATCH($A914,'Category Mapping'!$A$28:$A$39,0),1))</f>
        <v>0</v>
      </c>
      <c r="O914" s="27">
        <f>O334*IF($E914="weekday",INDEX('Category Mapping'!$F$28:$F$39,MATCH('Summarized Source Data'!$A914,'Category Mapping'!$A$28:$A$39,0),1),INDEX('Category Mapping'!$E$28:$E$39,MATCH($A914,'Category Mapping'!$A$28:$A$39,0),1))</f>
        <v>828584032</v>
      </c>
      <c r="P914" s="27">
        <f>P334*IF($E914="weekday",INDEX('Category Mapping'!$F$28:$F$39,MATCH('Summarized Source Data'!$A914,'Category Mapping'!$A$28:$A$39,0),1),INDEX('Category Mapping'!$E$28:$E$39,MATCH($A914,'Category Mapping'!$A$28:$A$39,0),1))</f>
        <v>828584032</v>
      </c>
      <c r="Q914" s="27">
        <f>Q334*IF($E914="weekday",INDEX('Category Mapping'!$F$28:$F$39,MATCH('Summarized Source Data'!$A914,'Category Mapping'!$A$28:$A$39,0),1),INDEX('Category Mapping'!$E$28:$E$39,MATCH($A914,'Category Mapping'!$A$28:$A$39,0),1))</f>
        <v>828584032</v>
      </c>
      <c r="R914" s="27">
        <f>R334*IF($E914="weekday",INDEX('Category Mapping'!$F$28:$F$39,MATCH('Summarized Source Data'!$A914,'Category Mapping'!$A$28:$A$39,0),1),INDEX('Category Mapping'!$E$28:$E$39,MATCH($A914,'Category Mapping'!$A$28:$A$39,0),1))</f>
        <v>49940064</v>
      </c>
      <c r="S914" s="27">
        <f>S334*IF($E914="weekday",INDEX('Category Mapping'!$F$28:$F$39,MATCH('Summarized Source Data'!$A914,'Category Mapping'!$A$28:$A$39,0),1),INDEX('Category Mapping'!$E$28:$E$39,MATCH($A914,'Category Mapping'!$A$28:$A$39,0),1))</f>
        <v>49940064</v>
      </c>
      <c r="T914" s="27">
        <f>T334*IF($E914="weekday",INDEX('Category Mapping'!$F$28:$F$39,MATCH('Summarized Source Data'!$A914,'Category Mapping'!$A$28:$A$39,0),1),INDEX('Category Mapping'!$E$28:$E$39,MATCH($A914,'Category Mapping'!$A$28:$A$39,0),1))</f>
        <v>49940064</v>
      </c>
      <c r="U914" s="27">
        <f>U334*IF($E914="weekday",INDEX('Category Mapping'!$F$28:$F$39,MATCH('Summarized Source Data'!$A914,'Category Mapping'!$A$28:$A$39,0),1),INDEX('Category Mapping'!$E$28:$E$39,MATCH($A914,'Category Mapping'!$A$28:$A$39,0),1))</f>
        <v>49940064</v>
      </c>
      <c r="V914" s="27">
        <f>V334*IF($E914="weekday",INDEX('Category Mapping'!$F$28:$F$39,MATCH('Summarized Source Data'!$A914,'Category Mapping'!$A$28:$A$39,0),1),INDEX('Category Mapping'!$E$28:$E$39,MATCH($A914,'Category Mapping'!$A$28:$A$39,0),1))</f>
        <v>49940064</v>
      </c>
      <c r="W914" s="27">
        <f>W334*IF($E914="weekday",INDEX('Category Mapping'!$F$28:$F$39,MATCH('Summarized Source Data'!$A914,'Category Mapping'!$A$28:$A$39,0),1),INDEX('Category Mapping'!$E$28:$E$39,MATCH($A914,'Category Mapping'!$A$28:$A$39,0),1))</f>
        <v>49940064</v>
      </c>
      <c r="X914" s="27">
        <f>X334*IF($E914="weekday",INDEX('Category Mapping'!$F$28:$F$39,MATCH('Summarized Source Data'!$A914,'Category Mapping'!$A$28:$A$39,0),1),INDEX('Category Mapping'!$E$28:$E$39,MATCH($A914,'Category Mapping'!$A$28:$A$39,0),1))</f>
        <v>2856000000</v>
      </c>
      <c r="Y914" s="27">
        <f>Y334*IF($E914="weekday",INDEX('Category Mapping'!$F$28:$F$39,MATCH('Summarized Source Data'!$A914,'Category Mapping'!$A$28:$A$39,0),1),INDEX('Category Mapping'!$E$28:$E$39,MATCH($A914,'Category Mapping'!$A$28:$A$39,0),1))</f>
        <v>2856000000</v>
      </c>
      <c r="Z914" s="27">
        <f>Z334*IF($E914="weekday",INDEX('Category Mapping'!$F$28:$F$39,MATCH('Summarized Source Data'!$A914,'Category Mapping'!$A$28:$A$39,0),1),INDEX('Category Mapping'!$E$28:$E$39,MATCH($A914,'Category Mapping'!$A$28:$A$39,0),1))</f>
        <v>2856000000</v>
      </c>
    </row>
    <row r="915" spans="1:26" x14ac:dyDescent="0.3">
      <c r="A915">
        <f t="shared" ref="A915:E915" si="380">A335</f>
        <v>2</v>
      </c>
      <c r="B915" t="str">
        <f t="shared" si="380"/>
        <v>Winter</v>
      </c>
      <c r="C915" t="str">
        <f t="shared" si="380"/>
        <v>h20</v>
      </c>
      <c r="D915" t="str">
        <f t="shared" si="380"/>
        <v>Hour19</v>
      </c>
      <c r="E915" t="str">
        <f t="shared" si="380"/>
        <v>Weekend</v>
      </c>
      <c r="F915" s="27">
        <f>F335*IF($E915="weekday",INDEX('Category Mapping'!$F$28:$F$39,MATCH('Summarized Source Data'!$A915,'Category Mapping'!$A$28:$A$39,0),1),INDEX('Category Mapping'!$E$28:$E$39,MATCH($A915,'Category Mapping'!$A$28:$A$39,0),1))</f>
        <v>82400000</v>
      </c>
      <c r="G915" s="27">
        <f>G335*IF($E915="weekday",INDEX('Category Mapping'!$F$28:$F$39,MATCH('Summarized Source Data'!$A915,'Category Mapping'!$A$28:$A$39,0),1),INDEX('Category Mapping'!$E$28:$E$39,MATCH($A915,'Category Mapping'!$A$28:$A$39,0),1))</f>
        <v>48472</v>
      </c>
      <c r="H915" s="27">
        <f>H335*IF($E915="weekday",INDEX('Category Mapping'!$F$28:$F$39,MATCH('Summarized Source Data'!$A915,'Category Mapping'!$A$28:$A$39,0),1),INDEX('Category Mapping'!$E$28:$E$39,MATCH($A915,'Category Mapping'!$A$28:$A$39,0),1))</f>
        <v>0</v>
      </c>
      <c r="I915" s="27">
        <f>I335*IF($E915="weekday",INDEX('Category Mapping'!$F$28:$F$39,MATCH('Summarized Source Data'!$A915,'Category Mapping'!$A$28:$A$39,0),1),INDEX('Category Mapping'!$E$28:$E$39,MATCH($A915,'Category Mapping'!$A$28:$A$39,0),1))</f>
        <v>271200000</v>
      </c>
      <c r="J915" s="27">
        <f>J335*IF($E915="weekday",INDEX('Category Mapping'!$F$28:$F$39,MATCH('Summarized Source Data'!$A915,'Category Mapping'!$A$28:$A$39,0),1),INDEX('Category Mapping'!$E$28:$E$39,MATCH($A915,'Category Mapping'!$A$28:$A$39,0),1))</f>
        <v>686351528</v>
      </c>
      <c r="K915" s="27">
        <f>K335*IF($E915="weekday",INDEX('Category Mapping'!$F$28:$F$39,MATCH('Summarized Source Data'!$A915,'Category Mapping'!$A$28:$A$39,0),1),INDEX('Category Mapping'!$E$28:$E$39,MATCH($A915,'Category Mapping'!$A$28:$A$39,0),1))</f>
        <v>686351528</v>
      </c>
      <c r="L915" s="27">
        <f>L335*IF($E915="weekday",INDEX('Category Mapping'!$F$28:$F$39,MATCH('Summarized Source Data'!$A915,'Category Mapping'!$A$28:$A$39,0),1),INDEX('Category Mapping'!$E$28:$E$39,MATCH($A915,'Category Mapping'!$A$28:$A$39,0),1))</f>
        <v>100800000</v>
      </c>
      <c r="M915" s="27">
        <f>M335*IF($E915="weekday",INDEX('Category Mapping'!$F$28:$F$39,MATCH('Summarized Source Data'!$A915,'Category Mapping'!$A$28:$A$39,0),1),INDEX('Category Mapping'!$E$28:$E$39,MATCH($A915,'Category Mapping'!$A$28:$A$39,0),1))</f>
        <v>209216</v>
      </c>
      <c r="N915" s="27">
        <f>N335*IF($E915="weekday",INDEX('Category Mapping'!$F$28:$F$39,MATCH('Summarized Source Data'!$A915,'Category Mapping'!$A$28:$A$39,0),1),INDEX('Category Mapping'!$E$28:$E$39,MATCH($A915,'Category Mapping'!$A$28:$A$39,0),1))</f>
        <v>0</v>
      </c>
      <c r="O915" s="27">
        <f>O335*IF($E915="weekday",INDEX('Category Mapping'!$F$28:$F$39,MATCH('Summarized Source Data'!$A915,'Category Mapping'!$A$28:$A$39,0),1),INDEX('Category Mapping'!$E$28:$E$39,MATCH($A915,'Category Mapping'!$A$28:$A$39,0),1))</f>
        <v>810990784</v>
      </c>
      <c r="P915" s="27">
        <f>P335*IF($E915="weekday",INDEX('Category Mapping'!$F$28:$F$39,MATCH('Summarized Source Data'!$A915,'Category Mapping'!$A$28:$A$39,0),1),INDEX('Category Mapping'!$E$28:$E$39,MATCH($A915,'Category Mapping'!$A$28:$A$39,0),1))</f>
        <v>810990784</v>
      </c>
      <c r="Q915" s="27">
        <f>Q335*IF($E915="weekday",INDEX('Category Mapping'!$F$28:$F$39,MATCH('Summarized Source Data'!$A915,'Category Mapping'!$A$28:$A$39,0),1),INDEX('Category Mapping'!$E$28:$E$39,MATCH($A915,'Category Mapping'!$A$28:$A$39,0),1))</f>
        <v>810990784</v>
      </c>
      <c r="R915" s="27">
        <f>R335*IF($E915="weekday",INDEX('Category Mapping'!$F$28:$F$39,MATCH('Summarized Source Data'!$A915,'Category Mapping'!$A$28:$A$39,0),1),INDEX('Category Mapping'!$E$28:$E$39,MATCH($A915,'Category Mapping'!$A$28:$A$39,0),1))</f>
        <v>48862664</v>
      </c>
      <c r="S915" s="27">
        <f>S335*IF($E915="weekday",INDEX('Category Mapping'!$F$28:$F$39,MATCH('Summarized Source Data'!$A915,'Category Mapping'!$A$28:$A$39,0),1),INDEX('Category Mapping'!$E$28:$E$39,MATCH($A915,'Category Mapping'!$A$28:$A$39,0),1))</f>
        <v>48862664</v>
      </c>
      <c r="T915" s="27">
        <f>T335*IF($E915="weekday",INDEX('Category Mapping'!$F$28:$F$39,MATCH('Summarized Source Data'!$A915,'Category Mapping'!$A$28:$A$39,0),1),INDEX('Category Mapping'!$E$28:$E$39,MATCH($A915,'Category Mapping'!$A$28:$A$39,0),1))</f>
        <v>48862664</v>
      </c>
      <c r="U915" s="27">
        <f>U335*IF($E915="weekday",INDEX('Category Mapping'!$F$28:$F$39,MATCH('Summarized Source Data'!$A915,'Category Mapping'!$A$28:$A$39,0),1),INDEX('Category Mapping'!$E$28:$E$39,MATCH($A915,'Category Mapping'!$A$28:$A$39,0),1))</f>
        <v>48862664</v>
      </c>
      <c r="V915" s="27">
        <f>V335*IF($E915="weekday",INDEX('Category Mapping'!$F$28:$F$39,MATCH('Summarized Source Data'!$A915,'Category Mapping'!$A$28:$A$39,0),1),INDEX('Category Mapping'!$E$28:$E$39,MATCH($A915,'Category Mapping'!$A$28:$A$39,0),1))</f>
        <v>48862664</v>
      </c>
      <c r="W915" s="27">
        <f>W335*IF($E915="weekday",INDEX('Category Mapping'!$F$28:$F$39,MATCH('Summarized Source Data'!$A915,'Category Mapping'!$A$28:$A$39,0),1),INDEX('Category Mapping'!$E$28:$E$39,MATCH($A915,'Category Mapping'!$A$28:$A$39,0),1))</f>
        <v>48862664</v>
      </c>
      <c r="X915" s="27">
        <f>X335*IF($E915="weekday",INDEX('Category Mapping'!$F$28:$F$39,MATCH('Summarized Source Data'!$A915,'Category Mapping'!$A$28:$A$39,0),1),INDEX('Category Mapping'!$E$28:$E$39,MATCH($A915,'Category Mapping'!$A$28:$A$39,0),1))</f>
        <v>2840000000</v>
      </c>
      <c r="Y915" s="27">
        <f>Y335*IF($E915="weekday",INDEX('Category Mapping'!$F$28:$F$39,MATCH('Summarized Source Data'!$A915,'Category Mapping'!$A$28:$A$39,0),1),INDEX('Category Mapping'!$E$28:$E$39,MATCH($A915,'Category Mapping'!$A$28:$A$39,0),1))</f>
        <v>2840000000</v>
      </c>
      <c r="Z915" s="27">
        <f>Z335*IF($E915="weekday",INDEX('Category Mapping'!$F$28:$F$39,MATCH('Summarized Source Data'!$A915,'Category Mapping'!$A$28:$A$39,0),1),INDEX('Category Mapping'!$E$28:$E$39,MATCH($A915,'Category Mapping'!$A$28:$A$39,0),1))</f>
        <v>2840000000</v>
      </c>
    </row>
    <row r="916" spans="1:26" x14ac:dyDescent="0.3">
      <c r="A916">
        <f t="shared" ref="A916:E916" si="381">A336</f>
        <v>2</v>
      </c>
      <c r="B916" t="str">
        <f t="shared" si="381"/>
        <v>Winter</v>
      </c>
      <c r="C916" t="str">
        <f t="shared" si="381"/>
        <v>h21</v>
      </c>
      <c r="D916" t="str">
        <f t="shared" si="381"/>
        <v>Hour20</v>
      </c>
      <c r="E916" t="str">
        <f t="shared" si="381"/>
        <v>Weekend</v>
      </c>
      <c r="F916" s="27">
        <f>F336*IF($E916="weekday",INDEX('Category Mapping'!$F$28:$F$39,MATCH('Summarized Source Data'!$A916,'Category Mapping'!$A$28:$A$39,0),1),INDEX('Category Mapping'!$E$28:$E$39,MATCH($A916,'Category Mapping'!$A$28:$A$39,0),1))</f>
        <v>86400000</v>
      </c>
      <c r="G916" s="27">
        <f>G336*IF($E916="weekday",INDEX('Category Mapping'!$F$28:$F$39,MATCH('Summarized Source Data'!$A916,'Category Mapping'!$A$28:$A$39,0),1),INDEX('Category Mapping'!$E$28:$E$39,MATCH($A916,'Category Mapping'!$A$28:$A$39,0),1))</f>
        <v>50744</v>
      </c>
      <c r="H916" s="27">
        <f>H336*IF($E916="weekday",INDEX('Category Mapping'!$F$28:$F$39,MATCH('Summarized Source Data'!$A916,'Category Mapping'!$A$28:$A$39,0),1),INDEX('Category Mapping'!$E$28:$E$39,MATCH($A916,'Category Mapping'!$A$28:$A$39,0),1))</f>
        <v>0</v>
      </c>
      <c r="I916" s="27">
        <f>I336*IF($E916="weekday",INDEX('Category Mapping'!$F$28:$F$39,MATCH('Summarized Source Data'!$A916,'Category Mapping'!$A$28:$A$39,0),1),INDEX('Category Mapping'!$E$28:$E$39,MATCH($A916,'Category Mapping'!$A$28:$A$39,0),1))</f>
        <v>269600000</v>
      </c>
      <c r="J916" s="27">
        <f>J336*IF($E916="weekday",INDEX('Category Mapping'!$F$28:$F$39,MATCH('Summarized Source Data'!$A916,'Category Mapping'!$A$28:$A$39,0),1),INDEX('Category Mapping'!$E$28:$E$39,MATCH($A916,'Category Mapping'!$A$28:$A$39,0),1))</f>
        <v>643949256</v>
      </c>
      <c r="K916" s="27">
        <f>K336*IF($E916="weekday",INDEX('Category Mapping'!$F$28:$F$39,MATCH('Summarized Source Data'!$A916,'Category Mapping'!$A$28:$A$39,0),1),INDEX('Category Mapping'!$E$28:$E$39,MATCH($A916,'Category Mapping'!$A$28:$A$39,0),1))</f>
        <v>643949256</v>
      </c>
      <c r="L916" s="27">
        <f>L336*IF($E916="weekday",INDEX('Category Mapping'!$F$28:$F$39,MATCH('Summarized Source Data'!$A916,'Category Mapping'!$A$28:$A$39,0),1),INDEX('Category Mapping'!$E$28:$E$39,MATCH($A916,'Category Mapping'!$A$28:$A$39,0),1))</f>
        <v>104800000</v>
      </c>
      <c r="M916" s="27">
        <f>M336*IF($E916="weekday",INDEX('Category Mapping'!$F$28:$F$39,MATCH('Summarized Source Data'!$A916,'Category Mapping'!$A$28:$A$39,0),1),INDEX('Category Mapping'!$E$28:$E$39,MATCH($A916,'Category Mapping'!$A$28:$A$39,0),1))</f>
        <v>203536</v>
      </c>
      <c r="N916" s="27">
        <f>N336*IF($E916="weekday",INDEX('Category Mapping'!$F$28:$F$39,MATCH('Summarized Source Data'!$A916,'Category Mapping'!$A$28:$A$39,0),1),INDEX('Category Mapping'!$E$28:$E$39,MATCH($A916,'Category Mapping'!$A$28:$A$39,0),1))</f>
        <v>0</v>
      </c>
      <c r="O916" s="27">
        <f>O336*IF($E916="weekday",INDEX('Category Mapping'!$F$28:$F$39,MATCH('Summarized Source Data'!$A916,'Category Mapping'!$A$28:$A$39,0),1),INDEX('Category Mapping'!$E$28:$E$39,MATCH($A916,'Category Mapping'!$A$28:$A$39,0),1))</f>
        <v>766996464</v>
      </c>
      <c r="P916" s="27">
        <f>P336*IF($E916="weekday",INDEX('Category Mapping'!$F$28:$F$39,MATCH('Summarized Source Data'!$A916,'Category Mapping'!$A$28:$A$39,0),1),INDEX('Category Mapping'!$E$28:$E$39,MATCH($A916,'Category Mapping'!$A$28:$A$39,0),1))</f>
        <v>766996464</v>
      </c>
      <c r="Q916" s="27">
        <f>Q336*IF($E916="weekday",INDEX('Category Mapping'!$F$28:$F$39,MATCH('Summarized Source Data'!$A916,'Category Mapping'!$A$28:$A$39,0),1),INDEX('Category Mapping'!$E$28:$E$39,MATCH($A916,'Category Mapping'!$A$28:$A$39,0),1))</f>
        <v>766996464</v>
      </c>
      <c r="R916" s="27">
        <f>R336*IF($E916="weekday",INDEX('Category Mapping'!$F$28:$F$39,MATCH('Summarized Source Data'!$A916,'Category Mapping'!$A$28:$A$39,0),1),INDEX('Category Mapping'!$E$28:$E$39,MATCH($A916,'Category Mapping'!$A$28:$A$39,0),1))</f>
        <v>47410512</v>
      </c>
      <c r="S916" s="27">
        <f>S336*IF($E916="weekday",INDEX('Category Mapping'!$F$28:$F$39,MATCH('Summarized Source Data'!$A916,'Category Mapping'!$A$28:$A$39,0),1),INDEX('Category Mapping'!$E$28:$E$39,MATCH($A916,'Category Mapping'!$A$28:$A$39,0),1))</f>
        <v>47410512</v>
      </c>
      <c r="T916" s="27">
        <f>T336*IF($E916="weekday",INDEX('Category Mapping'!$F$28:$F$39,MATCH('Summarized Source Data'!$A916,'Category Mapping'!$A$28:$A$39,0),1),INDEX('Category Mapping'!$E$28:$E$39,MATCH($A916,'Category Mapping'!$A$28:$A$39,0),1))</f>
        <v>47410512</v>
      </c>
      <c r="U916" s="27">
        <f>U336*IF($E916="weekday",INDEX('Category Mapping'!$F$28:$F$39,MATCH('Summarized Source Data'!$A916,'Category Mapping'!$A$28:$A$39,0),1),INDEX('Category Mapping'!$E$28:$E$39,MATCH($A916,'Category Mapping'!$A$28:$A$39,0),1))</f>
        <v>47410512</v>
      </c>
      <c r="V916" s="27">
        <f>V336*IF($E916="weekday",INDEX('Category Mapping'!$F$28:$F$39,MATCH('Summarized Source Data'!$A916,'Category Mapping'!$A$28:$A$39,0),1),INDEX('Category Mapping'!$E$28:$E$39,MATCH($A916,'Category Mapping'!$A$28:$A$39,0),1))</f>
        <v>47410512</v>
      </c>
      <c r="W916" s="27">
        <f>W336*IF($E916="weekday",INDEX('Category Mapping'!$F$28:$F$39,MATCH('Summarized Source Data'!$A916,'Category Mapping'!$A$28:$A$39,0),1),INDEX('Category Mapping'!$E$28:$E$39,MATCH($A916,'Category Mapping'!$A$28:$A$39,0),1))</f>
        <v>47410512</v>
      </c>
      <c r="X916" s="27">
        <f>X336*IF($E916="weekday",INDEX('Category Mapping'!$F$28:$F$39,MATCH('Summarized Source Data'!$A916,'Category Mapping'!$A$28:$A$39,0),1),INDEX('Category Mapping'!$E$28:$E$39,MATCH($A916,'Category Mapping'!$A$28:$A$39,0),1))</f>
        <v>2824000000</v>
      </c>
      <c r="Y916" s="27">
        <f>Y336*IF($E916="weekday",INDEX('Category Mapping'!$F$28:$F$39,MATCH('Summarized Source Data'!$A916,'Category Mapping'!$A$28:$A$39,0),1),INDEX('Category Mapping'!$E$28:$E$39,MATCH($A916,'Category Mapping'!$A$28:$A$39,0),1))</f>
        <v>2824000000</v>
      </c>
      <c r="Z916" s="27">
        <f>Z336*IF($E916="weekday",INDEX('Category Mapping'!$F$28:$F$39,MATCH('Summarized Source Data'!$A916,'Category Mapping'!$A$28:$A$39,0),1),INDEX('Category Mapping'!$E$28:$E$39,MATCH($A916,'Category Mapping'!$A$28:$A$39,0),1))</f>
        <v>2824000000</v>
      </c>
    </row>
    <row r="917" spans="1:26" x14ac:dyDescent="0.3">
      <c r="A917">
        <f t="shared" ref="A917:E917" si="382">A337</f>
        <v>2</v>
      </c>
      <c r="B917" t="str">
        <f t="shared" si="382"/>
        <v>Winter</v>
      </c>
      <c r="C917" t="str">
        <f t="shared" si="382"/>
        <v>h22</v>
      </c>
      <c r="D917" t="str">
        <f t="shared" si="382"/>
        <v>Hour21</v>
      </c>
      <c r="E917" t="str">
        <f t="shared" si="382"/>
        <v>Weekend</v>
      </c>
      <c r="F917" s="27">
        <f>F337*IF($E917="weekday",INDEX('Category Mapping'!$F$28:$F$39,MATCH('Summarized Source Data'!$A917,'Category Mapping'!$A$28:$A$39,0),1),INDEX('Category Mapping'!$E$28:$E$39,MATCH($A917,'Category Mapping'!$A$28:$A$39,0),1))</f>
        <v>83200000</v>
      </c>
      <c r="G917" s="27">
        <f>G337*IF($E917="weekday",INDEX('Category Mapping'!$F$28:$F$39,MATCH('Summarized Source Data'!$A917,'Category Mapping'!$A$28:$A$39,0),1),INDEX('Category Mapping'!$E$28:$E$39,MATCH($A917,'Category Mapping'!$A$28:$A$39,0),1))</f>
        <v>52904</v>
      </c>
      <c r="H917" s="27">
        <f>H337*IF($E917="weekday",INDEX('Category Mapping'!$F$28:$F$39,MATCH('Summarized Source Data'!$A917,'Category Mapping'!$A$28:$A$39,0),1),INDEX('Category Mapping'!$E$28:$E$39,MATCH($A917,'Category Mapping'!$A$28:$A$39,0),1))</f>
        <v>0</v>
      </c>
      <c r="I917" s="27">
        <f>I337*IF($E917="weekday",INDEX('Category Mapping'!$F$28:$F$39,MATCH('Summarized Source Data'!$A917,'Category Mapping'!$A$28:$A$39,0),1),INDEX('Category Mapping'!$E$28:$E$39,MATCH($A917,'Category Mapping'!$A$28:$A$39,0),1))</f>
        <v>222400000</v>
      </c>
      <c r="J917" s="27">
        <f>J337*IF($E917="weekday",INDEX('Category Mapping'!$F$28:$F$39,MATCH('Summarized Source Data'!$A917,'Category Mapping'!$A$28:$A$39,0),1),INDEX('Category Mapping'!$E$28:$E$39,MATCH($A917,'Category Mapping'!$A$28:$A$39,0),1))</f>
        <v>598347096</v>
      </c>
      <c r="K917" s="27">
        <f>K337*IF($E917="weekday",INDEX('Category Mapping'!$F$28:$F$39,MATCH('Summarized Source Data'!$A917,'Category Mapping'!$A$28:$A$39,0),1),INDEX('Category Mapping'!$E$28:$E$39,MATCH($A917,'Category Mapping'!$A$28:$A$39,0),1))</f>
        <v>598347096</v>
      </c>
      <c r="L917" s="27">
        <f>L337*IF($E917="weekday",INDEX('Category Mapping'!$F$28:$F$39,MATCH('Summarized Source Data'!$A917,'Category Mapping'!$A$28:$A$39,0),1),INDEX('Category Mapping'!$E$28:$E$39,MATCH($A917,'Category Mapping'!$A$28:$A$39,0),1))</f>
        <v>113600000</v>
      </c>
      <c r="M917" s="27">
        <f>M337*IF($E917="weekday",INDEX('Category Mapping'!$F$28:$F$39,MATCH('Summarized Source Data'!$A917,'Category Mapping'!$A$28:$A$39,0),1),INDEX('Category Mapping'!$E$28:$E$39,MATCH($A917,'Category Mapping'!$A$28:$A$39,0),1))</f>
        <v>197736</v>
      </c>
      <c r="N917" s="27">
        <f>N337*IF($E917="weekday",INDEX('Category Mapping'!$F$28:$F$39,MATCH('Summarized Source Data'!$A917,'Category Mapping'!$A$28:$A$39,0),1),INDEX('Category Mapping'!$E$28:$E$39,MATCH($A917,'Category Mapping'!$A$28:$A$39,0),1))</f>
        <v>0</v>
      </c>
      <c r="O917" s="27">
        <f>O337*IF($E917="weekday",INDEX('Category Mapping'!$F$28:$F$39,MATCH('Summarized Source Data'!$A917,'Category Mapping'!$A$28:$A$39,0),1),INDEX('Category Mapping'!$E$28:$E$39,MATCH($A917,'Category Mapping'!$A$28:$A$39,0),1))</f>
        <v>718202264</v>
      </c>
      <c r="P917" s="27">
        <f>P337*IF($E917="weekday",INDEX('Category Mapping'!$F$28:$F$39,MATCH('Summarized Source Data'!$A917,'Category Mapping'!$A$28:$A$39,0),1),INDEX('Category Mapping'!$E$28:$E$39,MATCH($A917,'Category Mapping'!$A$28:$A$39,0),1))</f>
        <v>718202264</v>
      </c>
      <c r="Q917" s="27">
        <f>Q337*IF($E917="weekday",INDEX('Category Mapping'!$F$28:$F$39,MATCH('Summarized Source Data'!$A917,'Category Mapping'!$A$28:$A$39,0),1),INDEX('Category Mapping'!$E$28:$E$39,MATCH($A917,'Category Mapping'!$A$28:$A$39,0),1))</f>
        <v>718202264</v>
      </c>
      <c r="R917" s="27">
        <f>R337*IF($E917="weekday",INDEX('Category Mapping'!$F$28:$F$39,MATCH('Summarized Source Data'!$A917,'Category Mapping'!$A$28:$A$39,0),1),INDEX('Category Mapping'!$E$28:$E$39,MATCH($A917,'Category Mapping'!$A$28:$A$39,0),1))</f>
        <v>45770984</v>
      </c>
      <c r="S917" s="27">
        <f>S337*IF($E917="weekday",INDEX('Category Mapping'!$F$28:$F$39,MATCH('Summarized Source Data'!$A917,'Category Mapping'!$A$28:$A$39,0),1),INDEX('Category Mapping'!$E$28:$E$39,MATCH($A917,'Category Mapping'!$A$28:$A$39,0),1))</f>
        <v>45770984</v>
      </c>
      <c r="T917" s="27">
        <f>T337*IF($E917="weekday",INDEX('Category Mapping'!$F$28:$F$39,MATCH('Summarized Source Data'!$A917,'Category Mapping'!$A$28:$A$39,0),1),INDEX('Category Mapping'!$E$28:$E$39,MATCH($A917,'Category Mapping'!$A$28:$A$39,0),1))</f>
        <v>45770984</v>
      </c>
      <c r="U917" s="27">
        <f>U337*IF($E917="weekday",INDEX('Category Mapping'!$F$28:$F$39,MATCH('Summarized Source Data'!$A917,'Category Mapping'!$A$28:$A$39,0),1),INDEX('Category Mapping'!$E$28:$E$39,MATCH($A917,'Category Mapping'!$A$28:$A$39,0),1))</f>
        <v>45770984</v>
      </c>
      <c r="V917" s="27">
        <f>V337*IF($E917="weekday",INDEX('Category Mapping'!$F$28:$F$39,MATCH('Summarized Source Data'!$A917,'Category Mapping'!$A$28:$A$39,0),1),INDEX('Category Mapping'!$E$28:$E$39,MATCH($A917,'Category Mapping'!$A$28:$A$39,0),1))</f>
        <v>45770984</v>
      </c>
      <c r="W917" s="27">
        <f>W337*IF($E917="weekday",INDEX('Category Mapping'!$F$28:$F$39,MATCH('Summarized Source Data'!$A917,'Category Mapping'!$A$28:$A$39,0),1),INDEX('Category Mapping'!$E$28:$E$39,MATCH($A917,'Category Mapping'!$A$28:$A$39,0),1))</f>
        <v>45770984</v>
      </c>
      <c r="X917" s="27">
        <f>X337*IF($E917="weekday",INDEX('Category Mapping'!$F$28:$F$39,MATCH('Summarized Source Data'!$A917,'Category Mapping'!$A$28:$A$39,0),1),INDEX('Category Mapping'!$E$28:$E$39,MATCH($A917,'Category Mapping'!$A$28:$A$39,0),1))</f>
        <v>2800000000</v>
      </c>
      <c r="Y917" s="27">
        <f>Y337*IF($E917="weekday",INDEX('Category Mapping'!$F$28:$F$39,MATCH('Summarized Source Data'!$A917,'Category Mapping'!$A$28:$A$39,0),1),INDEX('Category Mapping'!$E$28:$E$39,MATCH($A917,'Category Mapping'!$A$28:$A$39,0),1))</f>
        <v>2800000000</v>
      </c>
      <c r="Z917" s="27">
        <f>Z337*IF($E917="weekday",INDEX('Category Mapping'!$F$28:$F$39,MATCH('Summarized Source Data'!$A917,'Category Mapping'!$A$28:$A$39,0),1),INDEX('Category Mapping'!$E$28:$E$39,MATCH($A917,'Category Mapping'!$A$28:$A$39,0),1))</f>
        <v>2800000000</v>
      </c>
    </row>
    <row r="918" spans="1:26" x14ac:dyDescent="0.3">
      <c r="A918">
        <f t="shared" ref="A918:E918" si="383">A338</f>
        <v>2</v>
      </c>
      <c r="B918" t="str">
        <f t="shared" si="383"/>
        <v>Winter</v>
      </c>
      <c r="C918" t="str">
        <f t="shared" si="383"/>
        <v>h23</v>
      </c>
      <c r="D918" t="str">
        <f t="shared" si="383"/>
        <v>Hour22</v>
      </c>
      <c r="E918" t="str">
        <f t="shared" si="383"/>
        <v>Weekend</v>
      </c>
      <c r="F918" s="27">
        <f>F338*IF($E918="weekday",INDEX('Category Mapping'!$F$28:$F$39,MATCH('Summarized Source Data'!$A918,'Category Mapping'!$A$28:$A$39,0),1),INDEX('Category Mapping'!$E$28:$E$39,MATCH($A918,'Category Mapping'!$A$28:$A$39,0),1))</f>
        <v>74409960</v>
      </c>
      <c r="G918" s="27">
        <f>G338*IF($E918="weekday",INDEX('Category Mapping'!$F$28:$F$39,MATCH('Summarized Source Data'!$A918,'Category Mapping'!$A$28:$A$39,0),1),INDEX('Category Mapping'!$E$28:$E$39,MATCH($A918,'Category Mapping'!$A$28:$A$39,0),1))</f>
        <v>54904</v>
      </c>
      <c r="H918" s="27">
        <f>H338*IF($E918="weekday",INDEX('Category Mapping'!$F$28:$F$39,MATCH('Summarized Source Data'!$A918,'Category Mapping'!$A$28:$A$39,0),1),INDEX('Category Mapping'!$E$28:$E$39,MATCH($A918,'Category Mapping'!$A$28:$A$39,0),1))</f>
        <v>0</v>
      </c>
      <c r="I918" s="27">
        <f>I338*IF($E918="weekday",INDEX('Category Mapping'!$F$28:$F$39,MATCH('Summarized Source Data'!$A918,'Category Mapping'!$A$28:$A$39,0),1),INDEX('Category Mapping'!$E$28:$E$39,MATCH($A918,'Category Mapping'!$A$28:$A$39,0),1))</f>
        <v>144000000</v>
      </c>
      <c r="J918" s="27">
        <f>J338*IF($E918="weekday",INDEX('Category Mapping'!$F$28:$F$39,MATCH('Summarized Source Data'!$A918,'Category Mapping'!$A$28:$A$39,0),1),INDEX('Category Mapping'!$E$28:$E$39,MATCH($A918,'Category Mapping'!$A$28:$A$39,0),1))</f>
        <v>499135136</v>
      </c>
      <c r="K918" s="27">
        <f>K338*IF($E918="weekday",INDEX('Category Mapping'!$F$28:$F$39,MATCH('Summarized Source Data'!$A918,'Category Mapping'!$A$28:$A$39,0),1),INDEX('Category Mapping'!$E$28:$E$39,MATCH($A918,'Category Mapping'!$A$28:$A$39,0),1))</f>
        <v>499135136</v>
      </c>
      <c r="L918" s="27">
        <f>L338*IF($E918="weekday",INDEX('Category Mapping'!$F$28:$F$39,MATCH('Summarized Source Data'!$A918,'Category Mapping'!$A$28:$A$39,0),1),INDEX('Category Mapping'!$E$28:$E$39,MATCH($A918,'Category Mapping'!$A$28:$A$39,0),1))</f>
        <v>117600000</v>
      </c>
      <c r="M918" s="27">
        <f>M338*IF($E918="weekday",INDEX('Category Mapping'!$F$28:$F$39,MATCH('Summarized Source Data'!$A918,'Category Mapping'!$A$28:$A$39,0),1),INDEX('Category Mapping'!$E$28:$E$39,MATCH($A918,'Category Mapping'!$A$28:$A$39,0),1))</f>
        <v>190768</v>
      </c>
      <c r="N918" s="27">
        <f>N338*IF($E918="weekday",INDEX('Category Mapping'!$F$28:$F$39,MATCH('Summarized Source Data'!$A918,'Category Mapping'!$A$28:$A$39,0),1),INDEX('Category Mapping'!$E$28:$E$39,MATCH($A918,'Category Mapping'!$A$28:$A$39,0),1))</f>
        <v>0</v>
      </c>
      <c r="O918" s="27">
        <f>O338*IF($E918="weekday",INDEX('Category Mapping'!$F$28:$F$39,MATCH('Summarized Source Data'!$A918,'Category Mapping'!$A$28:$A$39,0),1),INDEX('Category Mapping'!$E$28:$E$39,MATCH($A918,'Category Mapping'!$A$28:$A$39,0),1))</f>
        <v>690209232</v>
      </c>
      <c r="P918" s="27">
        <f>P338*IF($E918="weekday",INDEX('Category Mapping'!$F$28:$F$39,MATCH('Summarized Source Data'!$A918,'Category Mapping'!$A$28:$A$39,0),1),INDEX('Category Mapping'!$E$28:$E$39,MATCH($A918,'Category Mapping'!$A$28:$A$39,0),1))</f>
        <v>690209232</v>
      </c>
      <c r="Q918" s="27">
        <f>Q338*IF($E918="weekday",INDEX('Category Mapping'!$F$28:$F$39,MATCH('Summarized Source Data'!$A918,'Category Mapping'!$A$28:$A$39,0),1),INDEX('Category Mapping'!$E$28:$E$39,MATCH($A918,'Category Mapping'!$A$28:$A$39,0),1))</f>
        <v>690209232</v>
      </c>
      <c r="R918" s="27">
        <f>R338*IF($E918="weekday",INDEX('Category Mapping'!$F$28:$F$39,MATCH('Summarized Source Data'!$A918,'Category Mapping'!$A$28:$A$39,0),1),INDEX('Category Mapping'!$E$28:$E$39,MATCH($A918,'Category Mapping'!$A$28:$A$39,0),1))</f>
        <v>45208856</v>
      </c>
      <c r="S918" s="27">
        <f>S338*IF($E918="weekday",INDEX('Category Mapping'!$F$28:$F$39,MATCH('Summarized Source Data'!$A918,'Category Mapping'!$A$28:$A$39,0),1),INDEX('Category Mapping'!$E$28:$E$39,MATCH($A918,'Category Mapping'!$A$28:$A$39,0),1))</f>
        <v>45208856</v>
      </c>
      <c r="T918" s="27">
        <f>T338*IF($E918="weekday",INDEX('Category Mapping'!$F$28:$F$39,MATCH('Summarized Source Data'!$A918,'Category Mapping'!$A$28:$A$39,0),1),INDEX('Category Mapping'!$E$28:$E$39,MATCH($A918,'Category Mapping'!$A$28:$A$39,0),1))</f>
        <v>45208856</v>
      </c>
      <c r="U918" s="27">
        <f>U338*IF($E918="weekday",INDEX('Category Mapping'!$F$28:$F$39,MATCH('Summarized Source Data'!$A918,'Category Mapping'!$A$28:$A$39,0),1),INDEX('Category Mapping'!$E$28:$E$39,MATCH($A918,'Category Mapping'!$A$28:$A$39,0),1))</f>
        <v>45208856</v>
      </c>
      <c r="V918" s="27">
        <f>V338*IF($E918="weekday",INDEX('Category Mapping'!$F$28:$F$39,MATCH('Summarized Source Data'!$A918,'Category Mapping'!$A$28:$A$39,0),1),INDEX('Category Mapping'!$E$28:$E$39,MATCH($A918,'Category Mapping'!$A$28:$A$39,0),1))</f>
        <v>45208856</v>
      </c>
      <c r="W918" s="27">
        <f>W338*IF($E918="weekday",INDEX('Category Mapping'!$F$28:$F$39,MATCH('Summarized Source Data'!$A918,'Category Mapping'!$A$28:$A$39,0),1),INDEX('Category Mapping'!$E$28:$E$39,MATCH($A918,'Category Mapping'!$A$28:$A$39,0),1))</f>
        <v>45208856</v>
      </c>
      <c r="X918" s="27">
        <f>X338*IF($E918="weekday",INDEX('Category Mapping'!$F$28:$F$39,MATCH('Summarized Source Data'!$A918,'Category Mapping'!$A$28:$A$39,0),1),INDEX('Category Mapping'!$E$28:$E$39,MATCH($A918,'Category Mapping'!$A$28:$A$39,0),1))</f>
        <v>2776000000</v>
      </c>
      <c r="Y918" s="27">
        <f>Y338*IF($E918="weekday",INDEX('Category Mapping'!$F$28:$F$39,MATCH('Summarized Source Data'!$A918,'Category Mapping'!$A$28:$A$39,0),1),INDEX('Category Mapping'!$E$28:$E$39,MATCH($A918,'Category Mapping'!$A$28:$A$39,0),1))</f>
        <v>2776000000</v>
      </c>
      <c r="Z918" s="27">
        <f>Z338*IF($E918="weekday",INDEX('Category Mapping'!$F$28:$F$39,MATCH('Summarized Source Data'!$A918,'Category Mapping'!$A$28:$A$39,0),1),INDEX('Category Mapping'!$E$28:$E$39,MATCH($A918,'Category Mapping'!$A$28:$A$39,0),1))</f>
        <v>2776000000</v>
      </c>
    </row>
    <row r="919" spans="1:26" x14ac:dyDescent="0.3">
      <c r="A919">
        <f t="shared" ref="A919:E919" si="384">A339</f>
        <v>2</v>
      </c>
      <c r="B919" t="str">
        <f t="shared" si="384"/>
        <v>Winter</v>
      </c>
      <c r="C919" t="str">
        <f t="shared" si="384"/>
        <v>h24</v>
      </c>
      <c r="D919" t="str">
        <f t="shared" si="384"/>
        <v>Hour23</v>
      </c>
      <c r="E919" t="str">
        <f t="shared" si="384"/>
        <v>Weekend</v>
      </c>
      <c r="F919" s="27">
        <f>F339*IF($E919="weekday",INDEX('Category Mapping'!$F$28:$F$39,MATCH('Summarized Source Data'!$A919,'Category Mapping'!$A$28:$A$39,0),1),INDEX('Category Mapping'!$E$28:$E$39,MATCH($A919,'Category Mapping'!$A$28:$A$39,0),1))</f>
        <v>71406960</v>
      </c>
      <c r="G919" s="27">
        <f>G339*IF($E919="weekday",INDEX('Category Mapping'!$F$28:$F$39,MATCH('Summarized Source Data'!$A919,'Category Mapping'!$A$28:$A$39,0),1),INDEX('Category Mapping'!$E$28:$E$39,MATCH($A919,'Category Mapping'!$A$28:$A$39,0),1))</f>
        <v>56624</v>
      </c>
      <c r="H919" s="27">
        <f>H339*IF($E919="weekday",INDEX('Category Mapping'!$F$28:$F$39,MATCH('Summarized Source Data'!$A919,'Category Mapping'!$A$28:$A$39,0),1),INDEX('Category Mapping'!$E$28:$E$39,MATCH($A919,'Category Mapping'!$A$28:$A$39,0),1))</f>
        <v>0</v>
      </c>
      <c r="I919" s="27">
        <f>I339*IF($E919="weekday",INDEX('Category Mapping'!$F$28:$F$39,MATCH('Summarized Source Data'!$A919,'Category Mapping'!$A$28:$A$39,0),1),INDEX('Category Mapping'!$E$28:$E$39,MATCH($A919,'Category Mapping'!$A$28:$A$39,0),1))</f>
        <v>80000000</v>
      </c>
      <c r="J919" s="27">
        <f>J339*IF($E919="weekday",INDEX('Category Mapping'!$F$28:$F$39,MATCH('Summarized Source Data'!$A919,'Category Mapping'!$A$28:$A$39,0),1),INDEX('Category Mapping'!$E$28:$E$39,MATCH($A919,'Category Mapping'!$A$28:$A$39,0),1))</f>
        <v>398136416</v>
      </c>
      <c r="K919" s="27">
        <f>K339*IF($E919="weekday",INDEX('Category Mapping'!$F$28:$F$39,MATCH('Summarized Source Data'!$A919,'Category Mapping'!$A$28:$A$39,0),1),INDEX('Category Mapping'!$E$28:$E$39,MATCH($A919,'Category Mapping'!$A$28:$A$39,0),1))</f>
        <v>398136416</v>
      </c>
      <c r="L919" s="27">
        <f>L339*IF($E919="weekday",INDEX('Category Mapping'!$F$28:$F$39,MATCH('Summarized Source Data'!$A919,'Category Mapping'!$A$28:$A$39,0),1),INDEX('Category Mapping'!$E$28:$E$39,MATCH($A919,'Category Mapping'!$A$28:$A$39,0),1))</f>
        <v>96000000</v>
      </c>
      <c r="M919" s="27">
        <f>M339*IF($E919="weekday",INDEX('Category Mapping'!$F$28:$F$39,MATCH('Summarized Source Data'!$A919,'Category Mapping'!$A$28:$A$39,0),1),INDEX('Category Mapping'!$E$28:$E$39,MATCH($A919,'Category Mapping'!$A$28:$A$39,0),1))</f>
        <v>181248</v>
      </c>
      <c r="N919" s="27">
        <f>N339*IF($E919="weekday",INDEX('Category Mapping'!$F$28:$F$39,MATCH('Summarized Source Data'!$A919,'Category Mapping'!$A$28:$A$39,0),1),INDEX('Category Mapping'!$E$28:$E$39,MATCH($A919,'Category Mapping'!$A$28:$A$39,0),1))</f>
        <v>0</v>
      </c>
      <c r="O919" s="27">
        <f>O339*IF($E919="weekday",INDEX('Category Mapping'!$F$28:$F$39,MATCH('Summarized Source Data'!$A919,'Category Mapping'!$A$28:$A$39,0),1),INDEX('Category Mapping'!$E$28:$E$39,MATCH($A919,'Category Mapping'!$A$28:$A$39,0),1))</f>
        <v>627818752</v>
      </c>
      <c r="P919" s="27">
        <f>P339*IF($E919="weekday",INDEX('Category Mapping'!$F$28:$F$39,MATCH('Summarized Source Data'!$A919,'Category Mapping'!$A$28:$A$39,0),1),INDEX('Category Mapping'!$E$28:$E$39,MATCH($A919,'Category Mapping'!$A$28:$A$39,0),1))</f>
        <v>627818752</v>
      </c>
      <c r="Q919" s="27">
        <f>Q339*IF($E919="weekday",INDEX('Category Mapping'!$F$28:$F$39,MATCH('Summarized Source Data'!$A919,'Category Mapping'!$A$28:$A$39,0),1),INDEX('Category Mapping'!$E$28:$E$39,MATCH($A919,'Category Mapping'!$A$28:$A$39,0),1))</f>
        <v>627818752</v>
      </c>
      <c r="R919" s="27">
        <f>R339*IF($E919="weekday",INDEX('Category Mapping'!$F$28:$F$39,MATCH('Summarized Source Data'!$A919,'Category Mapping'!$A$28:$A$39,0),1),INDEX('Category Mapping'!$E$28:$E$39,MATCH($A919,'Category Mapping'!$A$28:$A$39,0),1))</f>
        <v>30380080</v>
      </c>
      <c r="S919" s="27">
        <f>S339*IF($E919="weekday",INDEX('Category Mapping'!$F$28:$F$39,MATCH('Summarized Source Data'!$A919,'Category Mapping'!$A$28:$A$39,0),1),INDEX('Category Mapping'!$E$28:$E$39,MATCH($A919,'Category Mapping'!$A$28:$A$39,0),1))</f>
        <v>30380080</v>
      </c>
      <c r="T919" s="27">
        <f>T339*IF($E919="weekday",INDEX('Category Mapping'!$F$28:$F$39,MATCH('Summarized Source Data'!$A919,'Category Mapping'!$A$28:$A$39,0),1),INDEX('Category Mapping'!$E$28:$E$39,MATCH($A919,'Category Mapping'!$A$28:$A$39,0),1))</f>
        <v>30380080</v>
      </c>
      <c r="U919" s="27">
        <f>U339*IF($E919="weekday",INDEX('Category Mapping'!$F$28:$F$39,MATCH('Summarized Source Data'!$A919,'Category Mapping'!$A$28:$A$39,0),1),INDEX('Category Mapping'!$E$28:$E$39,MATCH($A919,'Category Mapping'!$A$28:$A$39,0),1))</f>
        <v>30380080</v>
      </c>
      <c r="V919" s="27">
        <f>V339*IF($E919="weekday",INDEX('Category Mapping'!$F$28:$F$39,MATCH('Summarized Source Data'!$A919,'Category Mapping'!$A$28:$A$39,0),1),INDEX('Category Mapping'!$E$28:$E$39,MATCH($A919,'Category Mapping'!$A$28:$A$39,0),1))</f>
        <v>30380080</v>
      </c>
      <c r="W919" s="27">
        <f>W339*IF($E919="weekday",INDEX('Category Mapping'!$F$28:$F$39,MATCH('Summarized Source Data'!$A919,'Category Mapping'!$A$28:$A$39,0),1),INDEX('Category Mapping'!$E$28:$E$39,MATCH($A919,'Category Mapping'!$A$28:$A$39,0),1))</f>
        <v>30380080</v>
      </c>
      <c r="X919" s="27">
        <f>X339*IF($E919="weekday",INDEX('Category Mapping'!$F$28:$F$39,MATCH('Summarized Source Data'!$A919,'Category Mapping'!$A$28:$A$39,0),1),INDEX('Category Mapping'!$E$28:$E$39,MATCH($A919,'Category Mapping'!$A$28:$A$39,0),1))</f>
        <v>2760000000</v>
      </c>
      <c r="Y919" s="27">
        <f>Y339*IF($E919="weekday",INDEX('Category Mapping'!$F$28:$F$39,MATCH('Summarized Source Data'!$A919,'Category Mapping'!$A$28:$A$39,0),1),INDEX('Category Mapping'!$E$28:$E$39,MATCH($A919,'Category Mapping'!$A$28:$A$39,0),1))</f>
        <v>2760000000</v>
      </c>
      <c r="Z919" s="27">
        <f>Z339*IF($E919="weekday",INDEX('Category Mapping'!$F$28:$F$39,MATCH('Summarized Source Data'!$A919,'Category Mapping'!$A$28:$A$39,0),1),INDEX('Category Mapping'!$E$28:$E$39,MATCH($A919,'Category Mapping'!$A$28:$A$39,0),1))</f>
        <v>2760000000</v>
      </c>
    </row>
    <row r="920" spans="1:26" x14ac:dyDescent="0.3">
      <c r="A920">
        <f t="shared" ref="A920:E920" si="385">A340</f>
        <v>3</v>
      </c>
      <c r="B920" t="str">
        <f t="shared" si="385"/>
        <v>Spring</v>
      </c>
      <c r="C920" t="str">
        <f t="shared" si="385"/>
        <v>h1</v>
      </c>
      <c r="D920" t="str">
        <f t="shared" si="385"/>
        <v>Hour0</v>
      </c>
      <c r="E920" t="str">
        <f t="shared" si="385"/>
        <v>Weekend</v>
      </c>
      <c r="F920" s="27">
        <f>F340*IF($E920="weekday",INDEX('Category Mapping'!$F$28:$F$39,MATCH('Summarized Source Data'!$A920,'Category Mapping'!$A$28:$A$39,0),1),INDEX('Category Mapping'!$E$28:$E$39,MATCH($A920,'Category Mapping'!$A$28:$A$39,0),1))</f>
        <v>63469807.428571418</v>
      </c>
      <c r="G920" s="27">
        <f>G340*IF($E920="weekday",INDEX('Category Mapping'!$F$28:$F$39,MATCH('Summarized Source Data'!$A920,'Category Mapping'!$A$28:$A$39,0),1),INDEX('Category Mapping'!$E$28:$E$39,MATCH($A920,'Category Mapping'!$A$28:$A$39,0),1))</f>
        <v>144061.42857142855</v>
      </c>
      <c r="H920" s="27">
        <f>H340*IF($E920="weekday",INDEX('Category Mapping'!$F$28:$F$39,MATCH('Summarized Source Data'!$A920,'Category Mapping'!$A$28:$A$39,0),1),INDEX('Category Mapping'!$E$28:$E$39,MATCH($A920,'Category Mapping'!$A$28:$A$39,0),1))</f>
        <v>0</v>
      </c>
      <c r="I920" s="27">
        <f>I340*IF($E920="weekday",INDEX('Category Mapping'!$F$28:$F$39,MATCH('Summarized Source Data'!$A920,'Category Mapping'!$A$28:$A$39,0),1),INDEX('Category Mapping'!$E$28:$E$39,MATCH($A920,'Category Mapping'!$A$28:$A$39,0),1))</f>
        <v>55496678.285714276</v>
      </c>
      <c r="J920" s="27">
        <f>J340*IF($E920="weekday",INDEX('Category Mapping'!$F$28:$F$39,MATCH('Summarized Source Data'!$A920,'Category Mapping'!$A$28:$A$39,0),1),INDEX('Category Mapping'!$E$28:$E$39,MATCH($A920,'Category Mapping'!$A$28:$A$39,0),1))</f>
        <v>335260881.4285714</v>
      </c>
      <c r="K920" s="27">
        <f>K340*IF($E920="weekday",INDEX('Category Mapping'!$F$28:$F$39,MATCH('Summarized Source Data'!$A920,'Category Mapping'!$A$28:$A$39,0),1),INDEX('Category Mapping'!$E$28:$E$39,MATCH($A920,'Category Mapping'!$A$28:$A$39,0),1))</f>
        <v>335260881.4285714</v>
      </c>
      <c r="L920" s="27">
        <f>L340*IF($E920="weekday",INDEX('Category Mapping'!$F$28:$F$39,MATCH('Summarized Source Data'!$A920,'Category Mapping'!$A$28:$A$39,0),1),INDEX('Category Mapping'!$E$28:$E$39,MATCH($A920,'Category Mapping'!$A$28:$A$39,0),1))</f>
        <v>80396613.428571418</v>
      </c>
      <c r="M920" s="27">
        <f>M340*IF($E920="weekday",INDEX('Category Mapping'!$F$28:$F$39,MATCH('Summarized Source Data'!$A920,'Category Mapping'!$A$28:$A$39,0),1),INDEX('Category Mapping'!$E$28:$E$39,MATCH($A920,'Category Mapping'!$A$28:$A$39,0),1))</f>
        <v>432627.14285714278</v>
      </c>
      <c r="N920" s="27">
        <f>N340*IF($E920="weekday",INDEX('Category Mapping'!$F$28:$F$39,MATCH('Summarized Source Data'!$A920,'Category Mapping'!$A$28:$A$39,0),1),INDEX('Category Mapping'!$E$28:$E$39,MATCH($A920,'Category Mapping'!$A$28:$A$39,0),1))</f>
        <v>0</v>
      </c>
      <c r="O920" s="27">
        <f>O340*IF($E920="weekday",INDEX('Category Mapping'!$F$28:$F$39,MATCH('Summarized Source Data'!$A920,'Category Mapping'!$A$28:$A$39,0),1),INDEX('Category Mapping'!$E$28:$E$39,MATCH($A920,'Category Mapping'!$A$28:$A$39,0),1))</f>
        <v>691513616.57142842</v>
      </c>
      <c r="P920" s="27">
        <f>P340*IF($E920="weekday",INDEX('Category Mapping'!$F$28:$F$39,MATCH('Summarized Source Data'!$A920,'Category Mapping'!$A$28:$A$39,0),1),INDEX('Category Mapping'!$E$28:$E$39,MATCH($A920,'Category Mapping'!$A$28:$A$39,0),1))</f>
        <v>691513616.57142842</v>
      </c>
      <c r="Q920" s="27">
        <f>Q340*IF($E920="weekday",INDEX('Category Mapping'!$F$28:$F$39,MATCH('Summarized Source Data'!$A920,'Category Mapping'!$A$28:$A$39,0),1),INDEX('Category Mapping'!$E$28:$E$39,MATCH($A920,'Category Mapping'!$A$28:$A$39,0),1))</f>
        <v>691513616.57142842</v>
      </c>
      <c r="R920" s="27">
        <f>R340*IF($E920="weekday",INDEX('Category Mapping'!$F$28:$F$39,MATCH('Summarized Source Data'!$A920,'Category Mapping'!$A$28:$A$39,0),1),INDEX('Category Mapping'!$E$28:$E$39,MATCH($A920,'Category Mapping'!$A$28:$A$39,0),1))</f>
        <v>23349846.571428567</v>
      </c>
      <c r="S920" s="27">
        <f>S340*IF($E920="weekday",INDEX('Category Mapping'!$F$28:$F$39,MATCH('Summarized Source Data'!$A920,'Category Mapping'!$A$28:$A$39,0),1),INDEX('Category Mapping'!$E$28:$E$39,MATCH($A920,'Category Mapping'!$A$28:$A$39,0),1))</f>
        <v>23349846.571428567</v>
      </c>
      <c r="T920" s="27">
        <f>T340*IF($E920="weekday",INDEX('Category Mapping'!$F$28:$F$39,MATCH('Summarized Source Data'!$A920,'Category Mapping'!$A$28:$A$39,0),1),INDEX('Category Mapping'!$E$28:$E$39,MATCH($A920,'Category Mapping'!$A$28:$A$39,0),1))</f>
        <v>23349846.571428567</v>
      </c>
      <c r="U920" s="27">
        <f>U340*IF($E920="weekday",INDEX('Category Mapping'!$F$28:$F$39,MATCH('Summarized Source Data'!$A920,'Category Mapping'!$A$28:$A$39,0),1),INDEX('Category Mapping'!$E$28:$E$39,MATCH($A920,'Category Mapping'!$A$28:$A$39,0),1))</f>
        <v>23349846.571428567</v>
      </c>
      <c r="V920" s="27">
        <f>V340*IF($E920="weekday",INDEX('Category Mapping'!$F$28:$F$39,MATCH('Summarized Source Data'!$A920,'Category Mapping'!$A$28:$A$39,0),1),INDEX('Category Mapping'!$E$28:$E$39,MATCH($A920,'Category Mapping'!$A$28:$A$39,0),1))</f>
        <v>23349846.571428567</v>
      </c>
      <c r="W920" s="27">
        <f>W340*IF($E920="weekday",INDEX('Category Mapping'!$F$28:$F$39,MATCH('Summarized Source Data'!$A920,'Category Mapping'!$A$28:$A$39,0),1),INDEX('Category Mapping'!$E$28:$E$39,MATCH($A920,'Category Mapping'!$A$28:$A$39,0),1))</f>
        <v>23349846.571428567</v>
      </c>
      <c r="X920" s="27">
        <f>X340*IF($E920="weekday",INDEX('Category Mapping'!$F$28:$F$39,MATCH('Summarized Source Data'!$A920,'Category Mapping'!$A$28:$A$39,0),1),INDEX('Category Mapping'!$E$28:$E$39,MATCH($A920,'Category Mapping'!$A$28:$A$39,0),1))</f>
        <v>3046857142.8571424</v>
      </c>
      <c r="Y920" s="27">
        <f>Y340*IF($E920="weekday",INDEX('Category Mapping'!$F$28:$F$39,MATCH('Summarized Source Data'!$A920,'Category Mapping'!$A$28:$A$39,0),1),INDEX('Category Mapping'!$E$28:$E$39,MATCH($A920,'Category Mapping'!$A$28:$A$39,0),1))</f>
        <v>3046857142.8571424</v>
      </c>
      <c r="Z920" s="27">
        <f>Z340*IF($E920="weekday",INDEX('Category Mapping'!$F$28:$F$39,MATCH('Summarized Source Data'!$A920,'Category Mapping'!$A$28:$A$39,0),1),INDEX('Category Mapping'!$E$28:$E$39,MATCH($A920,'Category Mapping'!$A$28:$A$39,0),1))</f>
        <v>3046857142.8571424</v>
      </c>
    </row>
    <row r="921" spans="1:26" x14ac:dyDescent="0.3">
      <c r="A921">
        <f t="shared" ref="A921:E921" si="386">A341</f>
        <v>3</v>
      </c>
      <c r="B921" t="str">
        <f t="shared" si="386"/>
        <v>Spring</v>
      </c>
      <c r="C921" t="str">
        <f t="shared" si="386"/>
        <v>h2</v>
      </c>
      <c r="D921" t="str">
        <f t="shared" si="386"/>
        <v>Hour1</v>
      </c>
      <c r="E921" t="str">
        <f t="shared" si="386"/>
        <v>Weekend</v>
      </c>
      <c r="F921" s="27">
        <f>F341*IF($E921="weekday",INDEX('Category Mapping'!$F$28:$F$39,MATCH('Summarized Source Data'!$A921,'Category Mapping'!$A$28:$A$39,0),1),INDEX('Category Mapping'!$E$28:$E$39,MATCH($A921,'Category Mapping'!$A$28:$A$39,0),1))</f>
        <v>65026565.428571418</v>
      </c>
      <c r="G921" s="27">
        <f>G341*IF($E921="weekday",INDEX('Category Mapping'!$F$28:$F$39,MATCH('Summarized Source Data'!$A921,'Category Mapping'!$A$28:$A$39,0),1),INDEX('Category Mapping'!$E$28:$E$39,MATCH($A921,'Category Mapping'!$A$28:$A$39,0),1))</f>
        <v>146266.85714285713</v>
      </c>
      <c r="H921" s="27">
        <f>H341*IF($E921="weekday",INDEX('Category Mapping'!$F$28:$F$39,MATCH('Summarized Source Data'!$A921,'Category Mapping'!$A$28:$A$39,0),1),INDEX('Category Mapping'!$E$28:$E$39,MATCH($A921,'Category Mapping'!$A$28:$A$39,0),1))</f>
        <v>0</v>
      </c>
      <c r="I921" s="27">
        <f>I341*IF($E921="weekday",INDEX('Category Mapping'!$F$28:$F$39,MATCH('Summarized Source Data'!$A921,'Category Mapping'!$A$28:$A$39,0),1),INDEX('Category Mapping'!$E$28:$E$39,MATCH($A921,'Category Mapping'!$A$28:$A$39,0),1))</f>
        <v>47948780.571428567</v>
      </c>
      <c r="J921" s="27">
        <f>J341*IF($E921="weekday",INDEX('Category Mapping'!$F$28:$F$39,MATCH('Summarized Source Data'!$A921,'Category Mapping'!$A$28:$A$39,0),1),INDEX('Category Mapping'!$E$28:$E$39,MATCH($A921,'Category Mapping'!$A$28:$A$39,0),1))</f>
        <v>260649815.71428567</v>
      </c>
      <c r="K921" s="27">
        <f>K341*IF($E921="weekday",INDEX('Category Mapping'!$F$28:$F$39,MATCH('Summarized Source Data'!$A921,'Category Mapping'!$A$28:$A$39,0),1),INDEX('Category Mapping'!$E$28:$E$39,MATCH($A921,'Category Mapping'!$A$28:$A$39,0),1))</f>
        <v>260649815.71428567</v>
      </c>
      <c r="L921" s="27">
        <f>L341*IF($E921="weekday",INDEX('Category Mapping'!$F$28:$F$39,MATCH('Summarized Source Data'!$A921,'Category Mapping'!$A$28:$A$39,0),1),INDEX('Category Mapping'!$E$28:$E$39,MATCH($A921,'Category Mapping'!$A$28:$A$39,0),1))</f>
        <v>71037491.999999985</v>
      </c>
      <c r="M921" s="27">
        <f>M341*IF($E921="weekday",INDEX('Category Mapping'!$F$28:$F$39,MATCH('Summarized Source Data'!$A921,'Category Mapping'!$A$28:$A$39,0),1),INDEX('Category Mapping'!$E$28:$E$39,MATCH($A921,'Category Mapping'!$A$28:$A$39,0),1))</f>
        <v>423424.57142857136</v>
      </c>
      <c r="N921" s="27">
        <f>N341*IF($E921="weekday",INDEX('Category Mapping'!$F$28:$F$39,MATCH('Summarized Source Data'!$A921,'Category Mapping'!$A$28:$A$39,0),1),INDEX('Category Mapping'!$E$28:$E$39,MATCH($A921,'Category Mapping'!$A$28:$A$39,0),1))</f>
        <v>0</v>
      </c>
      <c r="O921" s="27">
        <f>O341*IF($E921="weekday",INDEX('Category Mapping'!$F$28:$F$39,MATCH('Summarized Source Data'!$A921,'Category Mapping'!$A$28:$A$39,0),1),INDEX('Category Mapping'!$E$28:$E$39,MATCH($A921,'Category Mapping'!$A$28:$A$39,0),1))</f>
        <v>603453369.14285707</v>
      </c>
      <c r="P921" s="27">
        <f>P341*IF($E921="weekday",INDEX('Category Mapping'!$F$28:$F$39,MATCH('Summarized Source Data'!$A921,'Category Mapping'!$A$28:$A$39,0),1),INDEX('Category Mapping'!$E$28:$E$39,MATCH($A921,'Category Mapping'!$A$28:$A$39,0),1))</f>
        <v>603453369.14285707</v>
      </c>
      <c r="Q921" s="27">
        <f>Q341*IF($E921="weekday",INDEX('Category Mapping'!$F$28:$F$39,MATCH('Summarized Source Data'!$A921,'Category Mapping'!$A$28:$A$39,0),1),INDEX('Category Mapping'!$E$28:$E$39,MATCH($A921,'Category Mapping'!$A$28:$A$39,0),1))</f>
        <v>603453369.14285707</v>
      </c>
      <c r="R921" s="27">
        <f>R341*IF($E921="weekday",INDEX('Category Mapping'!$F$28:$F$39,MATCH('Summarized Source Data'!$A921,'Category Mapping'!$A$28:$A$39,0),1),INDEX('Category Mapping'!$E$28:$E$39,MATCH($A921,'Category Mapping'!$A$28:$A$39,0),1))</f>
        <v>22208869.428571425</v>
      </c>
      <c r="S921" s="27">
        <f>S341*IF($E921="weekday",INDEX('Category Mapping'!$F$28:$F$39,MATCH('Summarized Source Data'!$A921,'Category Mapping'!$A$28:$A$39,0),1),INDEX('Category Mapping'!$E$28:$E$39,MATCH($A921,'Category Mapping'!$A$28:$A$39,0),1))</f>
        <v>22208869.428571425</v>
      </c>
      <c r="T921" s="27">
        <f>T341*IF($E921="weekday",INDEX('Category Mapping'!$F$28:$F$39,MATCH('Summarized Source Data'!$A921,'Category Mapping'!$A$28:$A$39,0),1),INDEX('Category Mapping'!$E$28:$E$39,MATCH($A921,'Category Mapping'!$A$28:$A$39,0),1))</f>
        <v>22208869.428571425</v>
      </c>
      <c r="U921" s="27">
        <f>U341*IF($E921="weekday",INDEX('Category Mapping'!$F$28:$F$39,MATCH('Summarized Source Data'!$A921,'Category Mapping'!$A$28:$A$39,0),1),INDEX('Category Mapping'!$E$28:$E$39,MATCH($A921,'Category Mapping'!$A$28:$A$39,0),1))</f>
        <v>22208869.428571425</v>
      </c>
      <c r="V921" s="27">
        <f>V341*IF($E921="weekday",INDEX('Category Mapping'!$F$28:$F$39,MATCH('Summarized Source Data'!$A921,'Category Mapping'!$A$28:$A$39,0),1),INDEX('Category Mapping'!$E$28:$E$39,MATCH($A921,'Category Mapping'!$A$28:$A$39,0),1))</f>
        <v>22208869.428571425</v>
      </c>
      <c r="W921" s="27">
        <f>W341*IF($E921="weekday",INDEX('Category Mapping'!$F$28:$F$39,MATCH('Summarized Source Data'!$A921,'Category Mapping'!$A$28:$A$39,0),1),INDEX('Category Mapping'!$E$28:$E$39,MATCH($A921,'Category Mapping'!$A$28:$A$39,0),1))</f>
        <v>22208869.428571425</v>
      </c>
      <c r="X921" s="27">
        <f>X341*IF($E921="weekday",INDEX('Category Mapping'!$F$28:$F$39,MATCH('Summarized Source Data'!$A921,'Category Mapping'!$A$28:$A$39,0),1),INDEX('Category Mapping'!$E$28:$E$39,MATCH($A921,'Category Mapping'!$A$28:$A$39,0),1))</f>
        <v>3046857142.8571424</v>
      </c>
      <c r="Y921" s="27">
        <f>Y341*IF($E921="weekday",INDEX('Category Mapping'!$F$28:$F$39,MATCH('Summarized Source Data'!$A921,'Category Mapping'!$A$28:$A$39,0),1),INDEX('Category Mapping'!$E$28:$E$39,MATCH($A921,'Category Mapping'!$A$28:$A$39,0),1))</f>
        <v>3046857142.8571424</v>
      </c>
      <c r="Z921" s="27">
        <f>Z341*IF($E921="weekday",INDEX('Category Mapping'!$F$28:$F$39,MATCH('Summarized Source Data'!$A921,'Category Mapping'!$A$28:$A$39,0),1),INDEX('Category Mapping'!$E$28:$E$39,MATCH($A921,'Category Mapping'!$A$28:$A$39,0),1))</f>
        <v>3046857142.8571424</v>
      </c>
    </row>
    <row r="922" spans="1:26" x14ac:dyDescent="0.3">
      <c r="A922">
        <f t="shared" ref="A922:E922" si="387">A342</f>
        <v>3</v>
      </c>
      <c r="B922" t="str">
        <f t="shared" si="387"/>
        <v>Spring</v>
      </c>
      <c r="C922" t="str">
        <f t="shared" si="387"/>
        <v>h3</v>
      </c>
      <c r="D922" t="str">
        <f t="shared" si="387"/>
        <v>Hour2</v>
      </c>
      <c r="E922" t="str">
        <f t="shared" si="387"/>
        <v>Weekend</v>
      </c>
      <c r="F922" s="27">
        <f>F342*IF($E922="weekday",INDEX('Category Mapping'!$F$28:$F$39,MATCH('Summarized Source Data'!$A922,'Category Mapping'!$A$28:$A$39,0),1),INDEX('Category Mapping'!$E$28:$E$39,MATCH($A922,'Category Mapping'!$A$28:$A$39,0),1))</f>
        <v>65560314.57142856</v>
      </c>
      <c r="G922" s="27">
        <f>G342*IF($E922="weekday",INDEX('Category Mapping'!$F$28:$F$39,MATCH('Summarized Source Data'!$A922,'Category Mapping'!$A$28:$A$39,0),1),INDEX('Category Mapping'!$E$28:$E$39,MATCH($A922,'Category Mapping'!$A$28:$A$39,0),1))</f>
        <v>148206.57142857142</v>
      </c>
      <c r="H922" s="27">
        <f>H342*IF($E922="weekday",INDEX('Category Mapping'!$F$28:$F$39,MATCH('Summarized Source Data'!$A922,'Category Mapping'!$A$28:$A$39,0),1),INDEX('Category Mapping'!$E$28:$E$39,MATCH($A922,'Category Mapping'!$A$28:$A$39,0),1))</f>
        <v>0</v>
      </c>
      <c r="I922" s="27">
        <f>I342*IF($E922="weekday",INDEX('Category Mapping'!$F$28:$F$39,MATCH('Summarized Source Data'!$A922,'Category Mapping'!$A$28:$A$39,0),1),INDEX('Category Mapping'!$E$28:$E$39,MATCH($A922,'Category Mapping'!$A$28:$A$39,0),1))</f>
        <v>46309899.142857134</v>
      </c>
      <c r="J922" s="27">
        <f>J342*IF($E922="weekday",INDEX('Category Mapping'!$F$28:$F$39,MATCH('Summarized Source Data'!$A922,'Category Mapping'!$A$28:$A$39,0),1),INDEX('Category Mapping'!$E$28:$E$39,MATCH($A922,'Category Mapping'!$A$28:$A$39,0),1))</f>
        <v>203295865.4285714</v>
      </c>
      <c r="K922" s="27">
        <f>K342*IF($E922="weekday",INDEX('Category Mapping'!$F$28:$F$39,MATCH('Summarized Source Data'!$A922,'Category Mapping'!$A$28:$A$39,0),1),INDEX('Category Mapping'!$E$28:$E$39,MATCH($A922,'Category Mapping'!$A$28:$A$39,0),1))</f>
        <v>203295865.4285714</v>
      </c>
      <c r="L922" s="27">
        <f>L342*IF($E922="weekday",INDEX('Category Mapping'!$F$28:$F$39,MATCH('Summarized Source Data'!$A922,'Category Mapping'!$A$28:$A$39,0),1),INDEX('Category Mapping'!$E$28:$E$39,MATCH($A922,'Category Mapping'!$A$28:$A$39,0),1))</f>
        <v>68277703.714285702</v>
      </c>
      <c r="M922" s="27">
        <f>M342*IF($E922="weekday",INDEX('Category Mapping'!$F$28:$F$39,MATCH('Summarized Source Data'!$A922,'Category Mapping'!$A$28:$A$39,0),1),INDEX('Category Mapping'!$E$28:$E$39,MATCH($A922,'Category Mapping'!$A$28:$A$39,0),1))</f>
        <v>419580.57142857136</v>
      </c>
      <c r="N922" s="27">
        <f>N342*IF($E922="weekday",INDEX('Category Mapping'!$F$28:$F$39,MATCH('Summarized Source Data'!$A922,'Category Mapping'!$A$28:$A$39,0),1),INDEX('Category Mapping'!$E$28:$E$39,MATCH($A922,'Category Mapping'!$A$28:$A$39,0),1))</f>
        <v>0</v>
      </c>
      <c r="O922" s="27">
        <f>O342*IF($E922="weekday",INDEX('Category Mapping'!$F$28:$F$39,MATCH('Summarized Source Data'!$A922,'Category Mapping'!$A$28:$A$39,0),1),INDEX('Category Mapping'!$E$28:$E$39,MATCH($A922,'Category Mapping'!$A$28:$A$39,0),1))</f>
        <v>595588429.99999988</v>
      </c>
      <c r="P922" s="27">
        <f>P342*IF($E922="weekday",INDEX('Category Mapping'!$F$28:$F$39,MATCH('Summarized Source Data'!$A922,'Category Mapping'!$A$28:$A$39,0),1),INDEX('Category Mapping'!$E$28:$E$39,MATCH($A922,'Category Mapping'!$A$28:$A$39,0),1))</f>
        <v>595588429.99999988</v>
      </c>
      <c r="Q922" s="27">
        <f>Q342*IF($E922="weekday",INDEX('Category Mapping'!$F$28:$F$39,MATCH('Summarized Source Data'!$A922,'Category Mapping'!$A$28:$A$39,0),1),INDEX('Category Mapping'!$E$28:$E$39,MATCH($A922,'Category Mapping'!$A$28:$A$39,0),1))</f>
        <v>595588429.99999988</v>
      </c>
      <c r="R922" s="27">
        <f>R342*IF($E922="weekday",INDEX('Category Mapping'!$F$28:$F$39,MATCH('Summarized Source Data'!$A922,'Category Mapping'!$A$28:$A$39,0),1),INDEX('Category Mapping'!$E$28:$E$39,MATCH($A922,'Category Mapping'!$A$28:$A$39,0),1))</f>
        <v>21897691.428571425</v>
      </c>
      <c r="S922" s="27">
        <f>S342*IF($E922="weekday",INDEX('Category Mapping'!$F$28:$F$39,MATCH('Summarized Source Data'!$A922,'Category Mapping'!$A$28:$A$39,0),1),INDEX('Category Mapping'!$E$28:$E$39,MATCH($A922,'Category Mapping'!$A$28:$A$39,0),1))</f>
        <v>21897691.428571425</v>
      </c>
      <c r="T922" s="27">
        <f>T342*IF($E922="weekday",INDEX('Category Mapping'!$F$28:$F$39,MATCH('Summarized Source Data'!$A922,'Category Mapping'!$A$28:$A$39,0),1),INDEX('Category Mapping'!$E$28:$E$39,MATCH($A922,'Category Mapping'!$A$28:$A$39,0),1))</f>
        <v>21897691.428571425</v>
      </c>
      <c r="U922" s="27">
        <f>U342*IF($E922="weekday",INDEX('Category Mapping'!$F$28:$F$39,MATCH('Summarized Source Data'!$A922,'Category Mapping'!$A$28:$A$39,0),1),INDEX('Category Mapping'!$E$28:$E$39,MATCH($A922,'Category Mapping'!$A$28:$A$39,0),1))</f>
        <v>21897691.428571425</v>
      </c>
      <c r="V922" s="27">
        <f>V342*IF($E922="weekday",INDEX('Category Mapping'!$F$28:$F$39,MATCH('Summarized Source Data'!$A922,'Category Mapping'!$A$28:$A$39,0),1),INDEX('Category Mapping'!$E$28:$E$39,MATCH($A922,'Category Mapping'!$A$28:$A$39,0),1))</f>
        <v>21897691.428571425</v>
      </c>
      <c r="W922" s="27">
        <f>W342*IF($E922="weekday",INDEX('Category Mapping'!$F$28:$F$39,MATCH('Summarized Source Data'!$A922,'Category Mapping'!$A$28:$A$39,0),1),INDEX('Category Mapping'!$E$28:$E$39,MATCH($A922,'Category Mapping'!$A$28:$A$39,0),1))</f>
        <v>21897691.428571425</v>
      </c>
      <c r="X922" s="27">
        <f>X342*IF($E922="weekday",INDEX('Category Mapping'!$F$28:$F$39,MATCH('Summarized Source Data'!$A922,'Category Mapping'!$A$28:$A$39,0),1),INDEX('Category Mapping'!$E$28:$E$39,MATCH($A922,'Category Mapping'!$A$28:$A$39,0),1))</f>
        <v>3046857142.8571424</v>
      </c>
      <c r="Y922" s="27">
        <f>Y342*IF($E922="weekday",INDEX('Category Mapping'!$F$28:$F$39,MATCH('Summarized Source Data'!$A922,'Category Mapping'!$A$28:$A$39,0),1),INDEX('Category Mapping'!$E$28:$E$39,MATCH($A922,'Category Mapping'!$A$28:$A$39,0),1))</f>
        <v>3046857142.8571424</v>
      </c>
      <c r="Z922" s="27">
        <f>Z342*IF($E922="weekday",INDEX('Category Mapping'!$F$28:$F$39,MATCH('Summarized Source Data'!$A922,'Category Mapping'!$A$28:$A$39,0),1),INDEX('Category Mapping'!$E$28:$E$39,MATCH($A922,'Category Mapping'!$A$28:$A$39,0),1))</f>
        <v>3046857142.8571424</v>
      </c>
    </row>
    <row r="923" spans="1:26" x14ac:dyDescent="0.3">
      <c r="A923">
        <f t="shared" ref="A923:E923" si="388">A343</f>
        <v>3</v>
      </c>
      <c r="B923" t="str">
        <f t="shared" si="388"/>
        <v>Spring</v>
      </c>
      <c r="C923" t="str">
        <f t="shared" si="388"/>
        <v>h4</v>
      </c>
      <c r="D923" t="str">
        <f t="shared" si="388"/>
        <v>Hour3</v>
      </c>
      <c r="E923" t="str">
        <f t="shared" si="388"/>
        <v>Weekend</v>
      </c>
      <c r="F923" s="27">
        <f>F343*IF($E923="weekday",INDEX('Category Mapping'!$F$28:$F$39,MATCH('Summarized Source Data'!$A923,'Category Mapping'!$A$28:$A$39,0),1),INDEX('Category Mapping'!$E$28:$E$39,MATCH($A923,'Category Mapping'!$A$28:$A$39,0),1))</f>
        <v>65026565.428571418</v>
      </c>
      <c r="G923" s="27">
        <f>G343*IF($E923="weekday",INDEX('Category Mapping'!$F$28:$F$39,MATCH('Summarized Source Data'!$A923,'Category Mapping'!$A$28:$A$39,0),1),INDEX('Category Mapping'!$E$28:$E$39,MATCH($A923,'Category Mapping'!$A$28:$A$39,0),1))</f>
        <v>148489.99999999997</v>
      </c>
      <c r="H923" s="27">
        <f>H343*IF($E923="weekday",INDEX('Category Mapping'!$F$28:$F$39,MATCH('Summarized Source Data'!$A923,'Category Mapping'!$A$28:$A$39,0),1),INDEX('Category Mapping'!$E$28:$E$39,MATCH($A923,'Category Mapping'!$A$28:$A$39,0),1))</f>
        <v>0</v>
      </c>
      <c r="I923" s="27">
        <f>I343*IF($E923="weekday",INDEX('Category Mapping'!$F$28:$F$39,MATCH('Summarized Source Data'!$A923,'Category Mapping'!$A$28:$A$39,0),1),INDEX('Category Mapping'!$E$28:$E$39,MATCH($A923,'Category Mapping'!$A$28:$A$39,0),1))</f>
        <v>46270803.714285709</v>
      </c>
      <c r="J923" s="27">
        <f>J343*IF($E923="weekday",INDEX('Category Mapping'!$F$28:$F$39,MATCH('Summarized Source Data'!$A923,'Category Mapping'!$A$28:$A$39,0),1),INDEX('Category Mapping'!$E$28:$E$39,MATCH($A923,'Category Mapping'!$A$28:$A$39,0),1))</f>
        <v>168439855.1428571</v>
      </c>
      <c r="K923" s="27">
        <f>K343*IF($E923="weekday",INDEX('Category Mapping'!$F$28:$F$39,MATCH('Summarized Source Data'!$A923,'Category Mapping'!$A$28:$A$39,0),1),INDEX('Category Mapping'!$E$28:$E$39,MATCH($A923,'Category Mapping'!$A$28:$A$39,0),1))</f>
        <v>168439855.1428571</v>
      </c>
      <c r="L923" s="27">
        <f>L343*IF($E923="weekday",INDEX('Category Mapping'!$F$28:$F$39,MATCH('Summarized Source Data'!$A923,'Category Mapping'!$A$28:$A$39,0),1),INDEX('Category Mapping'!$E$28:$E$39,MATCH($A923,'Category Mapping'!$A$28:$A$39,0),1))</f>
        <v>70490324.285714269</v>
      </c>
      <c r="M923" s="27">
        <f>M343*IF($E923="weekday",INDEX('Category Mapping'!$F$28:$F$39,MATCH('Summarized Source Data'!$A923,'Category Mapping'!$A$28:$A$39,0),1),INDEX('Category Mapping'!$E$28:$E$39,MATCH($A923,'Category Mapping'!$A$28:$A$39,0),1))</f>
        <v>417419.42857142852</v>
      </c>
      <c r="N923" s="27">
        <f>N343*IF($E923="weekday",INDEX('Category Mapping'!$F$28:$F$39,MATCH('Summarized Source Data'!$A923,'Category Mapping'!$A$28:$A$39,0),1),INDEX('Category Mapping'!$E$28:$E$39,MATCH($A923,'Category Mapping'!$A$28:$A$39,0),1))</f>
        <v>0</v>
      </c>
      <c r="O923" s="27">
        <f>O343*IF($E923="weekday",INDEX('Category Mapping'!$F$28:$F$39,MATCH('Summarized Source Data'!$A923,'Category Mapping'!$A$28:$A$39,0),1),INDEX('Category Mapping'!$E$28:$E$39,MATCH($A923,'Category Mapping'!$A$28:$A$39,0),1))</f>
        <v>601349399.14285707</v>
      </c>
      <c r="P923" s="27">
        <f>P343*IF($E923="weekday",INDEX('Category Mapping'!$F$28:$F$39,MATCH('Summarized Source Data'!$A923,'Category Mapping'!$A$28:$A$39,0),1),INDEX('Category Mapping'!$E$28:$E$39,MATCH($A923,'Category Mapping'!$A$28:$A$39,0),1))</f>
        <v>601349399.14285707</v>
      </c>
      <c r="Q923" s="27">
        <f>Q343*IF($E923="weekday",INDEX('Category Mapping'!$F$28:$F$39,MATCH('Summarized Source Data'!$A923,'Category Mapping'!$A$28:$A$39,0),1),INDEX('Category Mapping'!$E$28:$E$39,MATCH($A923,'Category Mapping'!$A$28:$A$39,0),1))</f>
        <v>601349399.14285707</v>
      </c>
      <c r="R923" s="27">
        <f>R343*IF($E923="weekday",INDEX('Category Mapping'!$F$28:$F$39,MATCH('Summarized Source Data'!$A923,'Category Mapping'!$A$28:$A$39,0),1),INDEX('Category Mapping'!$E$28:$E$39,MATCH($A923,'Category Mapping'!$A$28:$A$39,0),1))</f>
        <v>21897691.428571425</v>
      </c>
      <c r="S923" s="27">
        <f>S343*IF($E923="weekday",INDEX('Category Mapping'!$F$28:$F$39,MATCH('Summarized Source Data'!$A923,'Category Mapping'!$A$28:$A$39,0),1),INDEX('Category Mapping'!$E$28:$E$39,MATCH($A923,'Category Mapping'!$A$28:$A$39,0),1))</f>
        <v>21897691.428571425</v>
      </c>
      <c r="T923" s="27">
        <f>T343*IF($E923="weekday",INDEX('Category Mapping'!$F$28:$F$39,MATCH('Summarized Source Data'!$A923,'Category Mapping'!$A$28:$A$39,0),1),INDEX('Category Mapping'!$E$28:$E$39,MATCH($A923,'Category Mapping'!$A$28:$A$39,0),1))</f>
        <v>21897691.428571425</v>
      </c>
      <c r="U923" s="27">
        <f>U343*IF($E923="weekday",INDEX('Category Mapping'!$F$28:$F$39,MATCH('Summarized Source Data'!$A923,'Category Mapping'!$A$28:$A$39,0),1),INDEX('Category Mapping'!$E$28:$E$39,MATCH($A923,'Category Mapping'!$A$28:$A$39,0),1))</f>
        <v>21897691.428571425</v>
      </c>
      <c r="V923" s="27">
        <f>V343*IF($E923="weekday",INDEX('Category Mapping'!$F$28:$F$39,MATCH('Summarized Source Data'!$A923,'Category Mapping'!$A$28:$A$39,0),1),INDEX('Category Mapping'!$E$28:$E$39,MATCH($A923,'Category Mapping'!$A$28:$A$39,0),1))</f>
        <v>21897691.428571425</v>
      </c>
      <c r="W923" s="27">
        <f>W343*IF($E923="weekday",INDEX('Category Mapping'!$F$28:$F$39,MATCH('Summarized Source Data'!$A923,'Category Mapping'!$A$28:$A$39,0),1),INDEX('Category Mapping'!$E$28:$E$39,MATCH($A923,'Category Mapping'!$A$28:$A$39,0),1))</f>
        <v>21897691.428571425</v>
      </c>
      <c r="X923" s="27">
        <f>X343*IF($E923="weekday",INDEX('Category Mapping'!$F$28:$F$39,MATCH('Summarized Source Data'!$A923,'Category Mapping'!$A$28:$A$39,0),1),INDEX('Category Mapping'!$E$28:$E$39,MATCH($A923,'Category Mapping'!$A$28:$A$39,0),1))</f>
        <v>3055714285.7142854</v>
      </c>
      <c r="Y923" s="27">
        <f>Y343*IF($E923="weekday",INDEX('Category Mapping'!$F$28:$F$39,MATCH('Summarized Source Data'!$A923,'Category Mapping'!$A$28:$A$39,0),1),INDEX('Category Mapping'!$E$28:$E$39,MATCH($A923,'Category Mapping'!$A$28:$A$39,0),1))</f>
        <v>3055714285.7142854</v>
      </c>
      <c r="Z923" s="27">
        <f>Z343*IF($E923="weekday",INDEX('Category Mapping'!$F$28:$F$39,MATCH('Summarized Source Data'!$A923,'Category Mapping'!$A$28:$A$39,0),1),INDEX('Category Mapping'!$E$28:$E$39,MATCH($A923,'Category Mapping'!$A$28:$A$39,0),1))</f>
        <v>3055714285.7142854</v>
      </c>
    </row>
    <row r="924" spans="1:26" x14ac:dyDescent="0.3">
      <c r="A924">
        <f t="shared" ref="A924:E924" si="389">A344</f>
        <v>3</v>
      </c>
      <c r="B924" t="str">
        <f t="shared" si="389"/>
        <v>Spring</v>
      </c>
      <c r="C924" t="str">
        <f t="shared" si="389"/>
        <v>h5</v>
      </c>
      <c r="D924" t="str">
        <f t="shared" si="389"/>
        <v>Hour4</v>
      </c>
      <c r="E924" t="str">
        <f t="shared" si="389"/>
        <v>Weekend</v>
      </c>
      <c r="F924" s="27">
        <f>F344*IF($E924="weekday",INDEX('Category Mapping'!$F$28:$F$39,MATCH('Summarized Source Data'!$A924,'Category Mapping'!$A$28:$A$39,0),1),INDEX('Category Mapping'!$E$28:$E$39,MATCH($A924,'Category Mapping'!$A$28:$A$39,0),1))</f>
        <v>63469807.428571418</v>
      </c>
      <c r="G924" s="27">
        <f>G344*IF($E924="weekday",INDEX('Category Mapping'!$F$28:$F$39,MATCH('Summarized Source Data'!$A924,'Category Mapping'!$A$28:$A$39,0),1),INDEX('Category Mapping'!$E$28:$E$39,MATCH($A924,'Category Mapping'!$A$28:$A$39,0),1))</f>
        <v>148011.71428571426</v>
      </c>
      <c r="H924" s="27">
        <f>H344*IF($E924="weekday",INDEX('Category Mapping'!$F$28:$F$39,MATCH('Summarized Source Data'!$A924,'Category Mapping'!$A$28:$A$39,0),1),INDEX('Category Mapping'!$E$28:$E$39,MATCH($A924,'Category Mapping'!$A$28:$A$39,0),1))</f>
        <v>0</v>
      </c>
      <c r="I924" s="27">
        <f>I344*IF($E924="weekday",INDEX('Category Mapping'!$F$28:$F$39,MATCH('Summarized Source Data'!$A924,'Category Mapping'!$A$28:$A$39,0),1),INDEX('Category Mapping'!$E$28:$E$39,MATCH($A924,'Category Mapping'!$A$28:$A$39,0),1))</f>
        <v>48704463.142857134</v>
      </c>
      <c r="J924" s="27">
        <f>J344*IF($E924="weekday",INDEX('Category Mapping'!$F$28:$F$39,MATCH('Summarized Source Data'!$A924,'Category Mapping'!$A$28:$A$39,0),1),INDEX('Category Mapping'!$E$28:$E$39,MATCH($A924,'Category Mapping'!$A$28:$A$39,0),1))</f>
        <v>171992003.4285714</v>
      </c>
      <c r="K924" s="27">
        <f>K344*IF($E924="weekday",INDEX('Category Mapping'!$F$28:$F$39,MATCH('Summarized Source Data'!$A924,'Category Mapping'!$A$28:$A$39,0),1),INDEX('Category Mapping'!$E$28:$E$39,MATCH($A924,'Category Mapping'!$A$28:$A$39,0),1))</f>
        <v>171992003.4285714</v>
      </c>
      <c r="L924" s="27">
        <f>L344*IF($E924="weekday",INDEX('Category Mapping'!$F$28:$F$39,MATCH('Summarized Source Data'!$A924,'Category Mapping'!$A$28:$A$39,0),1),INDEX('Category Mapping'!$E$28:$E$39,MATCH($A924,'Category Mapping'!$A$28:$A$39,0),1))</f>
        <v>72693361.428571418</v>
      </c>
      <c r="M924" s="27">
        <f>M344*IF($E924="weekday",INDEX('Category Mapping'!$F$28:$F$39,MATCH('Summarized Source Data'!$A924,'Category Mapping'!$A$28:$A$39,0),1),INDEX('Category Mapping'!$E$28:$E$39,MATCH($A924,'Category Mapping'!$A$28:$A$39,0),1))</f>
        <v>416949.99999999994</v>
      </c>
      <c r="N924" s="27">
        <f>N344*IF($E924="weekday",INDEX('Category Mapping'!$F$28:$F$39,MATCH('Summarized Source Data'!$A924,'Category Mapping'!$A$28:$A$39,0),1),INDEX('Category Mapping'!$E$28:$E$39,MATCH($A924,'Category Mapping'!$A$28:$A$39,0),1))</f>
        <v>0</v>
      </c>
      <c r="O924" s="27">
        <f>O344*IF($E924="weekday",INDEX('Category Mapping'!$F$28:$F$39,MATCH('Summarized Source Data'!$A924,'Category Mapping'!$A$28:$A$39,0),1),INDEX('Category Mapping'!$E$28:$E$39,MATCH($A924,'Category Mapping'!$A$28:$A$39,0),1))</f>
        <v>610661117.14285707</v>
      </c>
      <c r="P924" s="27">
        <f>P344*IF($E924="weekday",INDEX('Category Mapping'!$F$28:$F$39,MATCH('Summarized Source Data'!$A924,'Category Mapping'!$A$28:$A$39,0),1),INDEX('Category Mapping'!$E$28:$E$39,MATCH($A924,'Category Mapping'!$A$28:$A$39,0),1))</f>
        <v>610661117.14285707</v>
      </c>
      <c r="Q924" s="27">
        <f>Q344*IF($E924="weekday",INDEX('Category Mapping'!$F$28:$F$39,MATCH('Summarized Source Data'!$A924,'Category Mapping'!$A$28:$A$39,0),1),INDEX('Category Mapping'!$E$28:$E$39,MATCH($A924,'Category Mapping'!$A$28:$A$39,0),1))</f>
        <v>610661117.14285707</v>
      </c>
      <c r="R924" s="27">
        <f>R344*IF($E924="weekday",INDEX('Category Mapping'!$F$28:$F$39,MATCH('Summarized Source Data'!$A924,'Category Mapping'!$A$28:$A$39,0),1),INDEX('Category Mapping'!$E$28:$E$39,MATCH($A924,'Category Mapping'!$A$28:$A$39,0),1))</f>
        <v>21793965.428571425</v>
      </c>
      <c r="S924" s="27">
        <f>S344*IF($E924="weekday",INDEX('Category Mapping'!$F$28:$F$39,MATCH('Summarized Source Data'!$A924,'Category Mapping'!$A$28:$A$39,0),1),INDEX('Category Mapping'!$E$28:$E$39,MATCH($A924,'Category Mapping'!$A$28:$A$39,0),1))</f>
        <v>21793965.428571425</v>
      </c>
      <c r="T924" s="27">
        <f>T344*IF($E924="weekday",INDEX('Category Mapping'!$F$28:$F$39,MATCH('Summarized Source Data'!$A924,'Category Mapping'!$A$28:$A$39,0),1),INDEX('Category Mapping'!$E$28:$E$39,MATCH($A924,'Category Mapping'!$A$28:$A$39,0),1))</f>
        <v>21793965.428571425</v>
      </c>
      <c r="U924" s="27">
        <f>U344*IF($E924="weekday",INDEX('Category Mapping'!$F$28:$F$39,MATCH('Summarized Source Data'!$A924,'Category Mapping'!$A$28:$A$39,0),1),INDEX('Category Mapping'!$E$28:$E$39,MATCH($A924,'Category Mapping'!$A$28:$A$39,0),1))</f>
        <v>21793965.428571425</v>
      </c>
      <c r="V924" s="27">
        <f>V344*IF($E924="weekday",INDEX('Category Mapping'!$F$28:$F$39,MATCH('Summarized Source Data'!$A924,'Category Mapping'!$A$28:$A$39,0),1),INDEX('Category Mapping'!$E$28:$E$39,MATCH($A924,'Category Mapping'!$A$28:$A$39,0),1))</f>
        <v>21793965.428571425</v>
      </c>
      <c r="W924" s="27">
        <f>W344*IF($E924="weekday",INDEX('Category Mapping'!$F$28:$F$39,MATCH('Summarized Source Data'!$A924,'Category Mapping'!$A$28:$A$39,0),1),INDEX('Category Mapping'!$E$28:$E$39,MATCH($A924,'Category Mapping'!$A$28:$A$39,0),1))</f>
        <v>21793965.428571425</v>
      </c>
      <c r="X924" s="27">
        <f>X344*IF($E924="weekday",INDEX('Category Mapping'!$F$28:$F$39,MATCH('Summarized Source Data'!$A924,'Category Mapping'!$A$28:$A$39,0),1),INDEX('Category Mapping'!$E$28:$E$39,MATCH($A924,'Category Mapping'!$A$28:$A$39,0),1))</f>
        <v>3073428571.4285712</v>
      </c>
      <c r="Y924" s="27">
        <f>Y344*IF($E924="weekday",INDEX('Category Mapping'!$F$28:$F$39,MATCH('Summarized Source Data'!$A924,'Category Mapping'!$A$28:$A$39,0),1),INDEX('Category Mapping'!$E$28:$E$39,MATCH($A924,'Category Mapping'!$A$28:$A$39,0),1))</f>
        <v>3073428571.4285712</v>
      </c>
      <c r="Z924" s="27">
        <f>Z344*IF($E924="weekday",INDEX('Category Mapping'!$F$28:$F$39,MATCH('Summarized Source Data'!$A924,'Category Mapping'!$A$28:$A$39,0),1),INDEX('Category Mapping'!$E$28:$E$39,MATCH($A924,'Category Mapping'!$A$28:$A$39,0),1))</f>
        <v>3073428571.4285712</v>
      </c>
    </row>
    <row r="925" spans="1:26" x14ac:dyDescent="0.3">
      <c r="A925">
        <f t="shared" ref="A925:E925" si="390">A345</f>
        <v>3</v>
      </c>
      <c r="B925" t="str">
        <f t="shared" si="390"/>
        <v>Spring</v>
      </c>
      <c r="C925" t="str">
        <f t="shared" si="390"/>
        <v>h6</v>
      </c>
      <c r="D925" t="str">
        <f t="shared" si="390"/>
        <v>Hour5</v>
      </c>
      <c r="E925" t="str">
        <f t="shared" si="390"/>
        <v>Weekend</v>
      </c>
      <c r="F925" s="27">
        <f>F345*IF($E925="weekday",INDEX('Category Mapping'!$F$28:$F$39,MATCH('Summarized Source Data'!$A925,'Category Mapping'!$A$28:$A$39,0),1),INDEX('Category Mapping'!$E$28:$E$39,MATCH($A925,'Category Mapping'!$A$28:$A$39,0),1))</f>
        <v>68737832.285714269</v>
      </c>
      <c r="G925" s="27">
        <f>G345*IF($E925="weekday",INDEX('Category Mapping'!$F$28:$F$39,MATCH('Summarized Source Data'!$A925,'Category Mapping'!$A$28:$A$39,0),1),INDEX('Category Mapping'!$E$28:$E$39,MATCH($A925,'Category Mapping'!$A$28:$A$39,0),1))</f>
        <v>145363.42857142855</v>
      </c>
      <c r="H925" s="27">
        <f>H345*IF($E925="weekday",INDEX('Category Mapping'!$F$28:$F$39,MATCH('Summarized Source Data'!$A925,'Category Mapping'!$A$28:$A$39,0),1),INDEX('Category Mapping'!$E$28:$E$39,MATCH($A925,'Category Mapping'!$A$28:$A$39,0),1))</f>
        <v>0</v>
      </c>
      <c r="I925" s="27">
        <f>I345*IF($E925="weekday",INDEX('Category Mapping'!$F$28:$F$39,MATCH('Summarized Source Data'!$A925,'Category Mapping'!$A$28:$A$39,0),1),INDEX('Category Mapping'!$E$28:$E$39,MATCH($A925,'Category Mapping'!$A$28:$A$39,0),1))</f>
        <v>63119250.57142856</v>
      </c>
      <c r="J925" s="27">
        <f>J345*IF($E925="weekday",INDEX('Category Mapping'!$F$28:$F$39,MATCH('Summarized Source Data'!$A925,'Category Mapping'!$A$28:$A$39,0),1),INDEX('Category Mapping'!$E$28:$E$39,MATCH($A925,'Category Mapping'!$A$28:$A$39,0),1))</f>
        <v>199254696.57142854</v>
      </c>
      <c r="K925" s="27">
        <f>K345*IF($E925="weekday",INDEX('Category Mapping'!$F$28:$F$39,MATCH('Summarized Source Data'!$A925,'Category Mapping'!$A$28:$A$39,0),1),INDEX('Category Mapping'!$E$28:$E$39,MATCH($A925,'Category Mapping'!$A$28:$A$39,0),1))</f>
        <v>199254696.57142854</v>
      </c>
      <c r="L925" s="27">
        <f>L345*IF($E925="weekday",INDEX('Category Mapping'!$F$28:$F$39,MATCH('Summarized Source Data'!$A925,'Category Mapping'!$A$28:$A$39,0),1),INDEX('Category Mapping'!$E$28:$E$39,MATCH($A925,'Category Mapping'!$A$28:$A$39,0),1))</f>
        <v>82624211.428571418</v>
      </c>
      <c r="M925" s="27">
        <f>M345*IF($E925="weekday",INDEX('Category Mapping'!$F$28:$F$39,MATCH('Summarized Source Data'!$A925,'Category Mapping'!$A$28:$A$39,0),1),INDEX('Category Mapping'!$E$28:$E$39,MATCH($A925,'Category Mapping'!$A$28:$A$39,0),1))</f>
        <v>421502.57142857136</v>
      </c>
      <c r="N925" s="27">
        <f>N345*IF($E925="weekday",INDEX('Category Mapping'!$F$28:$F$39,MATCH('Summarized Source Data'!$A925,'Category Mapping'!$A$28:$A$39,0),1),INDEX('Category Mapping'!$E$28:$E$39,MATCH($A925,'Category Mapping'!$A$28:$A$39,0),1))</f>
        <v>0</v>
      </c>
      <c r="O925" s="27">
        <f>O345*IF($E925="weekday",INDEX('Category Mapping'!$F$28:$F$39,MATCH('Summarized Source Data'!$A925,'Category Mapping'!$A$28:$A$39,0),1),INDEX('Category Mapping'!$E$28:$E$39,MATCH($A925,'Category Mapping'!$A$28:$A$39,0),1))</f>
        <v>652982857.42857134</v>
      </c>
      <c r="P925" s="27">
        <f>P345*IF($E925="weekday",INDEX('Category Mapping'!$F$28:$F$39,MATCH('Summarized Source Data'!$A925,'Category Mapping'!$A$28:$A$39,0),1),INDEX('Category Mapping'!$E$28:$E$39,MATCH($A925,'Category Mapping'!$A$28:$A$39,0),1))</f>
        <v>652982857.42857134</v>
      </c>
      <c r="Q925" s="27">
        <f>Q345*IF($E925="weekday",INDEX('Category Mapping'!$F$28:$F$39,MATCH('Summarized Source Data'!$A925,'Category Mapping'!$A$28:$A$39,0),1),INDEX('Category Mapping'!$E$28:$E$39,MATCH($A925,'Category Mapping'!$A$28:$A$39,0),1))</f>
        <v>652982857.42857134</v>
      </c>
      <c r="R925" s="27">
        <f>R345*IF($E925="weekday",INDEX('Category Mapping'!$F$28:$F$39,MATCH('Summarized Source Data'!$A925,'Category Mapping'!$A$28:$A$39,0),1),INDEX('Category Mapping'!$E$28:$E$39,MATCH($A925,'Category Mapping'!$A$28:$A$39,0),1))</f>
        <v>21949558.857142854</v>
      </c>
      <c r="S925" s="27">
        <f>S345*IF($E925="weekday",INDEX('Category Mapping'!$F$28:$F$39,MATCH('Summarized Source Data'!$A925,'Category Mapping'!$A$28:$A$39,0),1),INDEX('Category Mapping'!$E$28:$E$39,MATCH($A925,'Category Mapping'!$A$28:$A$39,0),1))</f>
        <v>21949558.857142854</v>
      </c>
      <c r="T925" s="27">
        <f>T345*IF($E925="weekday",INDEX('Category Mapping'!$F$28:$F$39,MATCH('Summarized Source Data'!$A925,'Category Mapping'!$A$28:$A$39,0),1),INDEX('Category Mapping'!$E$28:$E$39,MATCH($A925,'Category Mapping'!$A$28:$A$39,0),1))</f>
        <v>21949558.857142854</v>
      </c>
      <c r="U925" s="27">
        <f>U345*IF($E925="weekday",INDEX('Category Mapping'!$F$28:$F$39,MATCH('Summarized Source Data'!$A925,'Category Mapping'!$A$28:$A$39,0),1),INDEX('Category Mapping'!$E$28:$E$39,MATCH($A925,'Category Mapping'!$A$28:$A$39,0),1))</f>
        <v>21949558.857142854</v>
      </c>
      <c r="V925" s="27">
        <f>V345*IF($E925="weekday",INDEX('Category Mapping'!$F$28:$F$39,MATCH('Summarized Source Data'!$A925,'Category Mapping'!$A$28:$A$39,0),1),INDEX('Category Mapping'!$E$28:$E$39,MATCH($A925,'Category Mapping'!$A$28:$A$39,0),1))</f>
        <v>21949558.857142854</v>
      </c>
      <c r="W925" s="27">
        <f>W345*IF($E925="weekday",INDEX('Category Mapping'!$F$28:$F$39,MATCH('Summarized Source Data'!$A925,'Category Mapping'!$A$28:$A$39,0),1),INDEX('Category Mapping'!$E$28:$E$39,MATCH($A925,'Category Mapping'!$A$28:$A$39,0),1))</f>
        <v>21949558.857142854</v>
      </c>
      <c r="X925" s="27">
        <f>X345*IF($E925="weekday",INDEX('Category Mapping'!$F$28:$F$39,MATCH('Summarized Source Data'!$A925,'Category Mapping'!$A$28:$A$39,0),1),INDEX('Category Mapping'!$E$28:$E$39,MATCH($A925,'Category Mapping'!$A$28:$A$39,0),1))</f>
        <v>3108857142.8571424</v>
      </c>
      <c r="Y925" s="27">
        <f>Y345*IF($E925="weekday",INDEX('Category Mapping'!$F$28:$F$39,MATCH('Summarized Source Data'!$A925,'Category Mapping'!$A$28:$A$39,0),1),INDEX('Category Mapping'!$E$28:$E$39,MATCH($A925,'Category Mapping'!$A$28:$A$39,0),1))</f>
        <v>3108857142.8571424</v>
      </c>
      <c r="Z925" s="27">
        <f>Z345*IF($E925="weekday",INDEX('Category Mapping'!$F$28:$F$39,MATCH('Summarized Source Data'!$A925,'Category Mapping'!$A$28:$A$39,0),1),INDEX('Category Mapping'!$E$28:$E$39,MATCH($A925,'Category Mapping'!$A$28:$A$39,0),1))</f>
        <v>3108857142.8571424</v>
      </c>
    </row>
    <row r="926" spans="1:26" x14ac:dyDescent="0.3">
      <c r="A926">
        <f t="shared" ref="A926:E926" si="391">A346</f>
        <v>3</v>
      </c>
      <c r="B926" t="str">
        <f t="shared" si="391"/>
        <v>Spring</v>
      </c>
      <c r="C926" t="str">
        <f t="shared" si="391"/>
        <v>h7</v>
      </c>
      <c r="D926" t="str">
        <f t="shared" si="391"/>
        <v>Hour6</v>
      </c>
      <c r="E926" t="str">
        <f t="shared" si="391"/>
        <v>Weekend</v>
      </c>
      <c r="F926" s="27">
        <f>F346*IF($E926="weekday",INDEX('Category Mapping'!$F$28:$F$39,MATCH('Summarized Source Data'!$A926,'Category Mapping'!$A$28:$A$39,0),1),INDEX('Category Mapping'!$E$28:$E$39,MATCH($A926,'Category Mapping'!$A$28:$A$39,0),1))</f>
        <v>73063634.285714269</v>
      </c>
      <c r="G926" s="27">
        <f>G346*IF($E926="weekday",INDEX('Category Mapping'!$F$28:$F$39,MATCH('Summarized Source Data'!$A926,'Category Mapping'!$A$28:$A$39,0),1),INDEX('Category Mapping'!$E$28:$E$39,MATCH($A926,'Category Mapping'!$A$28:$A$39,0),1))</f>
        <v>139544.28571428568</v>
      </c>
      <c r="H926" s="27">
        <f>H346*IF($E926="weekday",INDEX('Category Mapping'!$F$28:$F$39,MATCH('Summarized Source Data'!$A926,'Category Mapping'!$A$28:$A$39,0),1),INDEX('Category Mapping'!$E$28:$E$39,MATCH($A926,'Category Mapping'!$A$28:$A$39,0),1))</f>
        <v>0</v>
      </c>
      <c r="I926" s="27">
        <f>I346*IF($E926="weekday",INDEX('Category Mapping'!$F$28:$F$39,MATCH('Summarized Source Data'!$A926,'Category Mapping'!$A$28:$A$39,0),1),INDEX('Category Mapping'!$E$28:$E$39,MATCH($A926,'Category Mapping'!$A$28:$A$39,0),1))</f>
        <v>107171428.57142855</v>
      </c>
      <c r="J926" s="27">
        <f>J346*IF($E926="weekday",INDEX('Category Mapping'!$F$28:$F$39,MATCH('Summarized Source Data'!$A926,'Category Mapping'!$A$28:$A$39,0),1),INDEX('Category Mapping'!$E$28:$E$39,MATCH($A926,'Category Mapping'!$A$28:$A$39,0),1))</f>
        <v>293482535.71428567</v>
      </c>
      <c r="K926" s="27">
        <f>K346*IF($E926="weekday",INDEX('Category Mapping'!$F$28:$F$39,MATCH('Summarized Source Data'!$A926,'Category Mapping'!$A$28:$A$39,0),1),INDEX('Category Mapping'!$E$28:$E$39,MATCH($A926,'Category Mapping'!$A$28:$A$39,0),1))</f>
        <v>293482535.71428567</v>
      </c>
      <c r="L926" s="27">
        <f>L346*IF($E926="weekday",INDEX('Category Mapping'!$F$28:$F$39,MATCH('Summarized Source Data'!$A926,'Category Mapping'!$A$28:$A$39,0),1),INDEX('Category Mapping'!$E$28:$E$39,MATCH($A926,'Category Mapping'!$A$28:$A$39,0),1))</f>
        <v>140828571.4285714</v>
      </c>
      <c r="M926" s="27">
        <f>M346*IF($E926="weekday",INDEX('Category Mapping'!$F$28:$F$39,MATCH('Summarized Source Data'!$A926,'Category Mapping'!$A$28:$A$39,0),1),INDEX('Category Mapping'!$E$28:$E$39,MATCH($A926,'Category Mapping'!$A$28:$A$39,0),1))</f>
        <v>437781.99999999994</v>
      </c>
      <c r="N926" s="27">
        <f>N346*IF($E926="weekday",INDEX('Category Mapping'!$F$28:$F$39,MATCH('Summarized Source Data'!$A926,'Category Mapping'!$A$28:$A$39,0),1),INDEX('Category Mapping'!$E$28:$E$39,MATCH($A926,'Category Mapping'!$A$28:$A$39,0),1))</f>
        <v>0</v>
      </c>
      <c r="O926" s="27">
        <f>O346*IF($E926="weekday",INDEX('Category Mapping'!$F$28:$F$39,MATCH('Summarized Source Data'!$A926,'Category Mapping'!$A$28:$A$39,0),1),INDEX('Category Mapping'!$E$28:$E$39,MATCH($A926,'Category Mapping'!$A$28:$A$39,0),1))</f>
        <v>730276503.71428561</v>
      </c>
      <c r="P926" s="27">
        <f>P346*IF($E926="weekday",INDEX('Category Mapping'!$F$28:$F$39,MATCH('Summarized Source Data'!$A926,'Category Mapping'!$A$28:$A$39,0),1),INDEX('Category Mapping'!$E$28:$E$39,MATCH($A926,'Category Mapping'!$A$28:$A$39,0),1))</f>
        <v>730276503.71428561</v>
      </c>
      <c r="Q926" s="27">
        <f>Q346*IF($E926="weekday",INDEX('Category Mapping'!$F$28:$F$39,MATCH('Summarized Source Data'!$A926,'Category Mapping'!$A$28:$A$39,0),1),INDEX('Category Mapping'!$E$28:$E$39,MATCH($A926,'Category Mapping'!$A$28:$A$39,0),1))</f>
        <v>730276503.71428561</v>
      </c>
      <c r="R926" s="27">
        <f>R346*IF($E926="weekday",INDEX('Category Mapping'!$F$28:$F$39,MATCH('Summarized Source Data'!$A926,'Category Mapping'!$A$28:$A$39,0),1),INDEX('Category Mapping'!$E$28:$E$39,MATCH($A926,'Category Mapping'!$A$28:$A$39,0),1))</f>
        <v>27226458.571428567</v>
      </c>
      <c r="S926" s="27">
        <f>S346*IF($E926="weekday",INDEX('Category Mapping'!$F$28:$F$39,MATCH('Summarized Source Data'!$A926,'Category Mapping'!$A$28:$A$39,0),1),INDEX('Category Mapping'!$E$28:$E$39,MATCH($A926,'Category Mapping'!$A$28:$A$39,0),1))</f>
        <v>27226458.571428567</v>
      </c>
      <c r="T926" s="27">
        <f>T346*IF($E926="weekday",INDEX('Category Mapping'!$F$28:$F$39,MATCH('Summarized Source Data'!$A926,'Category Mapping'!$A$28:$A$39,0),1),INDEX('Category Mapping'!$E$28:$E$39,MATCH($A926,'Category Mapping'!$A$28:$A$39,0),1))</f>
        <v>27226458.571428567</v>
      </c>
      <c r="U926" s="27">
        <f>U346*IF($E926="weekday",INDEX('Category Mapping'!$F$28:$F$39,MATCH('Summarized Source Data'!$A926,'Category Mapping'!$A$28:$A$39,0),1),INDEX('Category Mapping'!$E$28:$E$39,MATCH($A926,'Category Mapping'!$A$28:$A$39,0),1))</f>
        <v>27226458.571428567</v>
      </c>
      <c r="V926" s="27">
        <f>V346*IF($E926="weekday",INDEX('Category Mapping'!$F$28:$F$39,MATCH('Summarized Source Data'!$A926,'Category Mapping'!$A$28:$A$39,0),1),INDEX('Category Mapping'!$E$28:$E$39,MATCH($A926,'Category Mapping'!$A$28:$A$39,0),1))</f>
        <v>27226458.571428567</v>
      </c>
      <c r="W926" s="27">
        <f>W346*IF($E926="weekday",INDEX('Category Mapping'!$F$28:$F$39,MATCH('Summarized Source Data'!$A926,'Category Mapping'!$A$28:$A$39,0),1),INDEX('Category Mapping'!$E$28:$E$39,MATCH($A926,'Category Mapping'!$A$28:$A$39,0),1))</f>
        <v>27226458.571428567</v>
      </c>
      <c r="X926" s="27">
        <f>X346*IF($E926="weekday",INDEX('Category Mapping'!$F$28:$F$39,MATCH('Summarized Source Data'!$A926,'Category Mapping'!$A$28:$A$39,0),1),INDEX('Category Mapping'!$E$28:$E$39,MATCH($A926,'Category Mapping'!$A$28:$A$39,0),1))</f>
        <v>3117714285.7142854</v>
      </c>
      <c r="Y926" s="27">
        <f>Y346*IF($E926="weekday",INDEX('Category Mapping'!$F$28:$F$39,MATCH('Summarized Source Data'!$A926,'Category Mapping'!$A$28:$A$39,0),1),INDEX('Category Mapping'!$E$28:$E$39,MATCH($A926,'Category Mapping'!$A$28:$A$39,0),1))</f>
        <v>3117714285.7142854</v>
      </c>
      <c r="Z926" s="27">
        <f>Z346*IF($E926="weekday",INDEX('Category Mapping'!$F$28:$F$39,MATCH('Summarized Source Data'!$A926,'Category Mapping'!$A$28:$A$39,0),1),INDEX('Category Mapping'!$E$28:$E$39,MATCH($A926,'Category Mapping'!$A$28:$A$39,0),1))</f>
        <v>3117714285.7142854</v>
      </c>
    </row>
    <row r="927" spans="1:26" x14ac:dyDescent="0.3">
      <c r="A927">
        <f t="shared" ref="A927:E927" si="392">A347</f>
        <v>3</v>
      </c>
      <c r="B927" t="str">
        <f t="shared" si="392"/>
        <v>Spring</v>
      </c>
      <c r="C927" t="str">
        <f t="shared" si="392"/>
        <v>h8</v>
      </c>
      <c r="D927" t="str">
        <f t="shared" si="392"/>
        <v>Hour7</v>
      </c>
      <c r="E927" t="str">
        <f t="shared" si="392"/>
        <v>Weekend</v>
      </c>
      <c r="F927" s="27">
        <f>F347*IF($E927="weekday",INDEX('Category Mapping'!$F$28:$F$39,MATCH('Summarized Source Data'!$A927,'Category Mapping'!$A$28:$A$39,0),1),INDEX('Category Mapping'!$E$28:$E$39,MATCH($A927,'Category Mapping'!$A$28:$A$39,0),1))</f>
        <v>79009389.999999985</v>
      </c>
      <c r="G927" s="27">
        <f>G347*IF($E927="weekday",INDEX('Category Mapping'!$F$28:$F$39,MATCH('Summarized Source Data'!$A927,'Category Mapping'!$A$28:$A$39,0),1),INDEX('Category Mapping'!$E$28:$E$39,MATCH($A927,'Category Mapping'!$A$28:$A$39,0),1))</f>
        <v>129712.85714285713</v>
      </c>
      <c r="H927" s="27">
        <f>H347*IF($E927="weekday",INDEX('Category Mapping'!$F$28:$F$39,MATCH('Summarized Source Data'!$A927,'Category Mapping'!$A$28:$A$39,0),1),INDEX('Category Mapping'!$E$28:$E$39,MATCH($A927,'Category Mapping'!$A$28:$A$39,0),1))</f>
        <v>0</v>
      </c>
      <c r="I927" s="27">
        <f>I347*IF($E927="weekday",INDEX('Category Mapping'!$F$28:$F$39,MATCH('Summarized Source Data'!$A927,'Category Mapping'!$A$28:$A$39,0),1),INDEX('Category Mapping'!$E$28:$E$39,MATCH($A927,'Category Mapping'!$A$28:$A$39,0),1))</f>
        <v>53615890.571428567</v>
      </c>
      <c r="J927" s="27">
        <f>J347*IF($E927="weekday",INDEX('Category Mapping'!$F$28:$F$39,MATCH('Summarized Source Data'!$A927,'Category Mapping'!$A$28:$A$39,0),1),INDEX('Category Mapping'!$E$28:$E$39,MATCH($A927,'Category Mapping'!$A$28:$A$39,0),1))</f>
        <v>415502149.42857134</v>
      </c>
      <c r="K927" s="27">
        <f>K347*IF($E927="weekday",INDEX('Category Mapping'!$F$28:$F$39,MATCH('Summarized Source Data'!$A927,'Category Mapping'!$A$28:$A$39,0),1),INDEX('Category Mapping'!$E$28:$E$39,MATCH($A927,'Category Mapping'!$A$28:$A$39,0),1))</f>
        <v>415502149.42857134</v>
      </c>
      <c r="L927" s="27">
        <f>L347*IF($E927="weekday",INDEX('Category Mapping'!$F$28:$F$39,MATCH('Summarized Source Data'!$A927,'Category Mapping'!$A$28:$A$39,0),1),INDEX('Category Mapping'!$E$28:$E$39,MATCH($A927,'Category Mapping'!$A$28:$A$39,0),1))</f>
        <v>211685714.28571427</v>
      </c>
      <c r="M927" s="27">
        <f>M347*IF($E927="weekday",INDEX('Category Mapping'!$F$28:$F$39,MATCH('Summarized Source Data'!$A927,'Category Mapping'!$A$28:$A$39,0),1),INDEX('Category Mapping'!$E$28:$E$39,MATCH($A927,'Category Mapping'!$A$28:$A$39,0),1))</f>
        <v>469897.99999999994</v>
      </c>
      <c r="N927" s="27">
        <f>N347*IF($E927="weekday",INDEX('Category Mapping'!$F$28:$F$39,MATCH('Summarized Source Data'!$A927,'Category Mapping'!$A$28:$A$39,0),1),INDEX('Category Mapping'!$E$28:$E$39,MATCH($A927,'Category Mapping'!$A$28:$A$39,0),1))</f>
        <v>0</v>
      </c>
      <c r="O927" s="27">
        <f>O347*IF($E927="weekday",INDEX('Category Mapping'!$F$28:$F$39,MATCH('Summarized Source Data'!$A927,'Category Mapping'!$A$28:$A$39,0),1),INDEX('Category Mapping'!$E$28:$E$39,MATCH($A927,'Category Mapping'!$A$28:$A$39,0),1))</f>
        <v>921558673.42857134</v>
      </c>
      <c r="P927" s="27">
        <f>P347*IF($E927="weekday",INDEX('Category Mapping'!$F$28:$F$39,MATCH('Summarized Source Data'!$A927,'Category Mapping'!$A$28:$A$39,0),1),INDEX('Category Mapping'!$E$28:$E$39,MATCH($A927,'Category Mapping'!$A$28:$A$39,0),1))</f>
        <v>921558673.42857134</v>
      </c>
      <c r="Q927" s="27">
        <f>Q347*IF($E927="weekday",INDEX('Category Mapping'!$F$28:$F$39,MATCH('Summarized Source Data'!$A927,'Category Mapping'!$A$28:$A$39,0),1),INDEX('Category Mapping'!$E$28:$E$39,MATCH($A927,'Category Mapping'!$A$28:$A$39,0),1))</f>
        <v>921558673.42857134</v>
      </c>
      <c r="R927" s="27">
        <f>R347*IF($E927="weekday",INDEX('Category Mapping'!$F$28:$F$39,MATCH('Summarized Source Data'!$A927,'Category Mapping'!$A$28:$A$39,0),1),INDEX('Category Mapping'!$E$28:$E$39,MATCH($A927,'Category Mapping'!$A$28:$A$39,0),1))</f>
        <v>35435878.571428567</v>
      </c>
      <c r="S927" s="27">
        <f>S347*IF($E927="weekday",INDEX('Category Mapping'!$F$28:$F$39,MATCH('Summarized Source Data'!$A927,'Category Mapping'!$A$28:$A$39,0),1),INDEX('Category Mapping'!$E$28:$E$39,MATCH($A927,'Category Mapping'!$A$28:$A$39,0),1))</f>
        <v>35435878.571428567</v>
      </c>
      <c r="T927" s="27">
        <f>T347*IF($E927="weekday",INDEX('Category Mapping'!$F$28:$F$39,MATCH('Summarized Source Data'!$A927,'Category Mapping'!$A$28:$A$39,0),1),INDEX('Category Mapping'!$E$28:$E$39,MATCH($A927,'Category Mapping'!$A$28:$A$39,0),1))</f>
        <v>35435878.571428567</v>
      </c>
      <c r="U927" s="27">
        <f>U347*IF($E927="weekday",INDEX('Category Mapping'!$F$28:$F$39,MATCH('Summarized Source Data'!$A927,'Category Mapping'!$A$28:$A$39,0),1),INDEX('Category Mapping'!$E$28:$E$39,MATCH($A927,'Category Mapping'!$A$28:$A$39,0),1))</f>
        <v>35435878.571428567</v>
      </c>
      <c r="V927" s="27">
        <f>V347*IF($E927="weekday",INDEX('Category Mapping'!$F$28:$F$39,MATCH('Summarized Source Data'!$A927,'Category Mapping'!$A$28:$A$39,0),1),INDEX('Category Mapping'!$E$28:$E$39,MATCH($A927,'Category Mapping'!$A$28:$A$39,0),1))</f>
        <v>35435878.571428567</v>
      </c>
      <c r="W927" s="27">
        <f>W347*IF($E927="weekday",INDEX('Category Mapping'!$F$28:$F$39,MATCH('Summarized Source Data'!$A927,'Category Mapping'!$A$28:$A$39,0),1),INDEX('Category Mapping'!$E$28:$E$39,MATCH($A927,'Category Mapping'!$A$28:$A$39,0),1))</f>
        <v>35435878.571428567</v>
      </c>
      <c r="X927" s="27">
        <f>X347*IF($E927="weekday",INDEX('Category Mapping'!$F$28:$F$39,MATCH('Summarized Source Data'!$A927,'Category Mapping'!$A$28:$A$39,0),1),INDEX('Category Mapping'!$E$28:$E$39,MATCH($A927,'Category Mapping'!$A$28:$A$39,0),1))</f>
        <v>3126571428.5714283</v>
      </c>
      <c r="Y927" s="27">
        <f>Y347*IF($E927="weekday",INDEX('Category Mapping'!$F$28:$F$39,MATCH('Summarized Source Data'!$A927,'Category Mapping'!$A$28:$A$39,0),1),INDEX('Category Mapping'!$E$28:$E$39,MATCH($A927,'Category Mapping'!$A$28:$A$39,0),1))</f>
        <v>3126571428.5714283</v>
      </c>
      <c r="Z927" s="27">
        <f>Z347*IF($E927="weekday",INDEX('Category Mapping'!$F$28:$F$39,MATCH('Summarized Source Data'!$A927,'Category Mapping'!$A$28:$A$39,0),1),INDEX('Category Mapping'!$E$28:$E$39,MATCH($A927,'Category Mapping'!$A$28:$A$39,0),1))</f>
        <v>3126571428.5714283</v>
      </c>
    </row>
    <row r="928" spans="1:26" x14ac:dyDescent="0.3">
      <c r="A928">
        <f t="shared" ref="A928:E928" si="393">A348</f>
        <v>3</v>
      </c>
      <c r="B928" t="str">
        <f t="shared" si="393"/>
        <v>Spring</v>
      </c>
      <c r="C928" t="str">
        <f t="shared" si="393"/>
        <v>h9</v>
      </c>
      <c r="D928" t="str">
        <f t="shared" si="393"/>
        <v>Hour8</v>
      </c>
      <c r="E928" t="str">
        <f t="shared" si="393"/>
        <v>Weekend</v>
      </c>
      <c r="F928" s="27">
        <f>F348*IF($E928="weekday",INDEX('Category Mapping'!$F$28:$F$39,MATCH('Summarized Source Data'!$A928,'Category Mapping'!$A$28:$A$39,0),1),INDEX('Category Mapping'!$E$28:$E$39,MATCH($A928,'Category Mapping'!$A$28:$A$39,0),1))</f>
        <v>81196484.285714269</v>
      </c>
      <c r="G928" s="27">
        <f>G348*IF($E928="weekday",INDEX('Category Mapping'!$F$28:$F$39,MATCH('Summarized Source Data'!$A928,'Category Mapping'!$A$28:$A$39,0),1),INDEX('Category Mapping'!$E$28:$E$39,MATCH($A928,'Category Mapping'!$A$28:$A$39,0),1))</f>
        <v>116028.57142857141</v>
      </c>
      <c r="H928" s="27">
        <f>H348*IF($E928="weekday",INDEX('Category Mapping'!$F$28:$F$39,MATCH('Summarized Source Data'!$A928,'Category Mapping'!$A$28:$A$39,0),1),INDEX('Category Mapping'!$E$28:$E$39,MATCH($A928,'Category Mapping'!$A$28:$A$39,0),1))</f>
        <v>0</v>
      </c>
      <c r="I928" s="27">
        <f>I348*IF($E928="weekday",INDEX('Category Mapping'!$F$28:$F$39,MATCH('Summarized Source Data'!$A928,'Category Mapping'!$A$28:$A$39,0),1),INDEX('Category Mapping'!$E$28:$E$39,MATCH($A928,'Category Mapping'!$A$28:$A$39,0),1))</f>
        <v>61510199.999999993</v>
      </c>
      <c r="J928" s="27">
        <f>J348*IF($E928="weekday",INDEX('Category Mapping'!$F$28:$F$39,MATCH('Summarized Source Data'!$A928,'Category Mapping'!$A$28:$A$39,0),1),INDEX('Category Mapping'!$E$28:$E$39,MATCH($A928,'Category Mapping'!$A$28:$A$39,0),1))</f>
        <v>522348715.71428561</v>
      </c>
      <c r="K928" s="27">
        <f>K348*IF($E928="weekday",INDEX('Category Mapping'!$F$28:$F$39,MATCH('Summarized Source Data'!$A928,'Category Mapping'!$A$28:$A$39,0),1),INDEX('Category Mapping'!$E$28:$E$39,MATCH($A928,'Category Mapping'!$A$28:$A$39,0),1))</f>
        <v>522348715.71428561</v>
      </c>
      <c r="L928" s="27">
        <f>L348*IF($E928="weekday",INDEX('Category Mapping'!$F$28:$F$39,MATCH('Summarized Source Data'!$A928,'Category Mapping'!$A$28:$A$39,0),1),INDEX('Category Mapping'!$E$28:$E$39,MATCH($A928,'Category Mapping'!$A$28:$A$39,0),1))</f>
        <v>213457142.85714284</v>
      </c>
      <c r="M928" s="27">
        <f>M348*IF($E928="weekday",INDEX('Category Mapping'!$F$28:$F$39,MATCH('Summarized Source Data'!$A928,'Category Mapping'!$A$28:$A$39,0),1),INDEX('Category Mapping'!$E$28:$E$39,MATCH($A928,'Category Mapping'!$A$28:$A$39,0),1))</f>
        <v>517106.57142857136</v>
      </c>
      <c r="N928" s="27">
        <f>N348*IF($E928="weekday",INDEX('Category Mapping'!$F$28:$F$39,MATCH('Summarized Source Data'!$A928,'Category Mapping'!$A$28:$A$39,0),1),INDEX('Category Mapping'!$E$28:$E$39,MATCH($A928,'Category Mapping'!$A$28:$A$39,0),1))</f>
        <v>0</v>
      </c>
      <c r="O928" s="27">
        <f>O348*IF($E928="weekday",INDEX('Category Mapping'!$F$28:$F$39,MATCH('Summarized Source Data'!$A928,'Category Mapping'!$A$28:$A$39,0),1),INDEX('Category Mapping'!$E$28:$E$39,MATCH($A928,'Category Mapping'!$A$28:$A$39,0),1))</f>
        <v>1052597179.142857</v>
      </c>
      <c r="P928" s="27">
        <f>P348*IF($E928="weekday",INDEX('Category Mapping'!$F$28:$F$39,MATCH('Summarized Source Data'!$A928,'Category Mapping'!$A$28:$A$39,0),1),INDEX('Category Mapping'!$E$28:$E$39,MATCH($A928,'Category Mapping'!$A$28:$A$39,0),1))</f>
        <v>1052597179.142857</v>
      </c>
      <c r="Q928" s="27">
        <f>Q348*IF($E928="weekday",INDEX('Category Mapping'!$F$28:$F$39,MATCH('Summarized Source Data'!$A928,'Category Mapping'!$A$28:$A$39,0),1),INDEX('Category Mapping'!$E$28:$E$39,MATCH($A928,'Category Mapping'!$A$28:$A$39,0),1))</f>
        <v>1052597179.142857</v>
      </c>
      <c r="R928" s="27">
        <f>R348*IF($E928="weekday",INDEX('Category Mapping'!$F$28:$F$39,MATCH('Summarized Source Data'!$A928,'Category Mapping'!$A$28:$A$39,0),1),INDEX('Category Mapping'!$E$28:$E$39,MATCH($A928,'Category Mapping'!$A$28:$A$39,0),1))</f>
        <v>42352297.428571425</v>
      </c>
      <c r="S928" s="27">
        <f>S348*IF($E928="weekday",INDEX('Category Mapping'!$F$28:$F$39,MATCH('Summarized Source Data'!$A928,'Category Mapping'!$A$28:$A$39,0),1),INDEX('Category Mapping'!$E$28:$E$39,MATCH($A928,'Category Mapping'!$A$28:$A$39,0),1))</f>
        <v>42352297.428571425</v>
      </c>
      <c r="T928" s="27">
        <f>T348*IF($E928="weekday",INDEX('Category Mapping'!$F$28:$F$39,MATCH('Summarized Source Data'!$A928,'Category Mapping'!$A$28:$A$39,0),1),INDEX('Category Mapping'!$E$28:$E$39,MATCH($A928,'Category Mapping'!$A$28:$A$39,0),1))</f>
        <v>42352297.428571425</v>
      </c>
      <c r="U928" s="27">
        <f>U348*IF($E928="weekday",INDEX('Category Mapping'!$F$28:$F$39,MATCH('Summarized Source Data'!$A928,'Category Mapping'!$A$28:$A$39,0),1),INDEX('Category Mapping'!$E$28:$E$39,MATCH($A928,'Category Mapping'!$A$28:$A$39,0),1))</f>
        <v>42352297.428571425</v>
      </c>
      <c r="V928" s="27">
        <f>V348*IF($E928="weekday",INDEX('Category Mapping'!$F$28:$F$39,MATCH('Summarized Source Data'!$A928,'Category Mapping'!$A$28:$A$39,0),1),INDEX('Category Mapping'!$E$28:$E$39,MATCH($A928,'Category Mapping'!$A$28:$A$39,0),1))</f>
        <v>42352297.428571425</v>
      </c>
      <c r="W928" s="27">
        <f>W348*IF($E928="weekday",INDEX('Category Mapping'!$F$28:$F$39,MATCH('Summarized Source Data'!$A928,'Category Mapping'!$A$28:$A$39,0),1),INDEX('Category Mapping'!$E$28:$E$39,MATCH($A928,'Category Mapping'!$A$28:$A$39,0),1))</f>
        <v>42352297.428571425</v>
      </c>
      <c r="X928" s="27">
        <f>X348*IF($E928="weekday",INDEX('Category Mapping'!$F$28:$F$39,MATCH('Summarized Source Data'!$A928,'Category Mapping'!$A$28:$A$39,0),1),INDEX('Category Mapping'!$E$28:$E$39,MATCH($A928,'Category Mapping'!$A$28:$A$39,0),1))</f>
        <v>3117714285.7142854</v>
      </c>
      <c r="Y928" s="27">
        <f>Y348*IF($E928="weekday",INDEX('Category Mapping'!$F$28:$F$39,MATCH('Summarized Source Data'!$A928,'Category Mapping'!$A$28:$A$39,0),1),INDEX('Category Mapping'!$E$28:$E$39,MATCH($A928,'Category Mapping'!$A$28:$A$39,0),1))</f>
        <v>3117714285.7142854</v>
      </c>
      <c r="Z928" s="27">
        <f>Z348*IF($E928="weekday",INDEX('Category Mapping'!$F$28:$F$39,MATCH('Summarized Source Data'!$A928,'Category Mapping'!$A$28:$A$39,0),1),INDEX('Category Mapping'!$E$28:$E$39,MATCH($A928,'Category Mapping'!$A$28:$A$39,0),1))</f>
        <v>3117714285.7142854</v>
      </c>
    </row>
    <row r="929" spans="1:26" x14ac:dyDescent="0.3">
      <c r="A929">
        <f t="shared" ref="A929:E929" si="394">A349</f>
        <v>3</v>
      </c>
      <c r="B929" t="str">
        <f t="shared" si="394"/>
        <v>Spring</v>
      </c>
      <c r="C929" t="str">
        <f t="shared" si="394"/>
        <v>h10</v>
      </c>
      <c r="D929" t="str">
        <f t="shared" si="394"/>
        <v>Hour9</v>
      </c>
      <c r="E929" t="str">
        <f t="shared" si="394"/>
        <v>Weekend</v>
      </c>
      <c r="F929" s="27">
        <f>F349*IF($E929="weekday",INDEX('Category Mapping'!$F$28:$F$39,MATCH('Summarized Source Data'!$A929,'Category Mapping'!$A$28:$A$39,0),1),INDEX('Category Mapping'!$E$28:$E$39,MATCH($A929,'Category Mapping'!$A$28:$A$39,0),1))</f>
        <v>78705501.428571418</v>
      </c>
      <c r="G929" s="27">
        <f>G349*IF($E929="weekday",INDEX('Category Mapping'!$F$28:$F$39,MATCH('Summarized Source Data'!$A929,'Category Mapping'!$A$28:$A$39,0),1),INDEX('Category Mapping'!$E$28:$E$39,MATCH($A929,'Category Mapping'!$A$28:$A$39,0),1))</f>
        <v>101130.85714285713</v>
      </c>
      <c r="H929" s="27">
        <f>H349*IF($E929="weekday",INDEX('Category Mapping'!$F$28:$F$39,MATCH('Summarized Source Data'!$A929,'Category Mapping'!$A$28:$A$39,0),1),INDEX('Category Mapping'!$E$28:$E$39,MATCH($A929,'Category Mapping'!$A$28:$A$39,0),1))</f>
        <v>0</v>
      </c>
      <c r="I929" s="27">
        <f>I349*IF($E929="weekday",INDEX('Category Mapping'!$F$28:$F$39,MATCH('Summarized Source Data'!$A929,'Category Mapping'!$A$28:$A$39,0),1),INDEX('Category Mapping'!$E$28:$E$39,MATCH($A929,'Category Mapping'!$A$28:$A$39,0),1))</f>
        <v>63735645.714285702</v>
      </c>
      <c r="J929" s="27">
        <f>J349*IF($E929="weekday",INDEX('Category Mapping'!$F$28:$F$39,MATCH('Summarized Source Data'!$A929,'Category Mapping'!$A$28:$A$39,0),1),INDEX('Category Mapping'!$E$28:$E$39,MATCH($A929,'Category Mapping'!$A$28:$A$39,0),1))</f>
        <v>660800579.14285707</v>
      </c>
      <c r="K929" s="27">
        <f>K349*IF($E929="weekday",INDEX('Category Mapping'!$F$28:$F$39,MATCH('Summarized Source Data'!$A929,'Category Mapping'!$A$28:$A$39,0),1),INDEX('Category Mapping'!$E$28:$E$39,MATCH($A929,'Category Mapping'!$A$28:$A$39,0),1))</f>
        <v>660800579.14285707</v>
      </c>
      <c r="L929" s="27">
        <f>L349*IF($E929="weekday",INDEX('Category Mapping'!$F$28:$F$39,MATCH('Summarized Source Data'!$A929,'Category Mapping'!$A$28:$A$39,0),1),INDEX('Category Mapping'!$E$28:$E$39,MATCH($A929,'Category Mapping'!$A$28:$A$39,0),1))</f>
        <v>170057142.85714284</v>
      </c>
      <c r="M929" s="27">
        <f>M349*IF($E929="weekday",INDEX('Category Mapping'!$F$28:$F$39,MATCH('Summarized Source Data'!$A929,'Category Mapping'!$A$28:$A$39,0),1),INDEX('Category Mapping'!$E$28:$E$39,MATCH($A929,'Category Mapping'!$A$28:$A$39,0),1))</f>
        <v>547247.42857142852</v>
      </c>
      <c r="N929" s="27">
        <f>N349*IF($E929="weekday",INDEX('Category Mapping'!$F$28:$F$39,MATCH('Summarized Source Data'!$A929,'Category Mapping'!$A$28:$A$39,0),1),INDEX('Category Mapping'!$E$28:$E$39,MATCH($A929,'Category Mapping'!$A$28:$A$39,0),1))</f>
        <v>0</v>
      </c>
      <c r="O929" s="27">
        <f>O349*IF($E929="weekday",INDEX('Category Mapping'!$F$28:$F$39,MATCH('Summarized Source Data'!$A929,'Category Mapping'!$A$28:$A$39,0),1),INDEX('Category Mapping'!$E$28:$E$39,MATCH($A929,'Category Mapping'!$A$28:$A$39,0),1))</f>
        <v>1149109895.4285712</v>
      </c>
      <c r="P929" s="27">
        <f>P349*IF($E929="weekday",INDEX('Category Mapping'!$F$28:$F$39,MATCH('Summarized Source Data'!$A929,'Category Mapping'!$A$28:$A$39,0),1),INDEX('Category Mapping'!$E$28:$E$39,MATCH($A929,'Category Mapping'!$A$28:$A$39,0),1))</f>
        <v>1149109895.4285712</v>
      </c>
      <c r="Q929" s="27">
        <f>Q349*IF($E929="weekday",INDEX('Category Mapping'!$F$28:$F$39,MATCH('Summarized Source Data'!$A929,'Category Mapping'!$A$28:$A$39,0),1),INDEX('Category Mapping'!$E$28:$E$39,MATCH($A929,'Category Mapping'!$A$28:$A$39,0),1))</f>
        <v>1149109895.4285712</v>
      </c>
      <c r="R929" s="27">
        <f>R349*IF($E929="weekday",INDEX('Category Mapping'!$F$28:$F$39,MATCH('Summarized Source Data'!$A929,'Category Mapping'!$A$28:$A$39,0),1),INDEX('Category Mapping'!$E$28:$E$39,MATCH($A929,'Category Mapping'!$A$28:$A$39,0),1))</f>
        <v>48059211.428571425</v>
      </c>
      <c r="S929" s="27">
        <f>S349*IF($E929="weekday",INDEX('Category Mapping'!$F$28:$F$39,MATCH('Summarized Source Data'!$A929,'Category Mapping'!$A$28:$A$39,0),1),INDEX('Category Mapping'!$E$28:$E$39,MATCH($A929,'Category Mapping'!$A$28:$A$39,0),1))</f>
        <v>48059211.428571425</v>
      </c>
      <c r="T929" s="27">
        <f>T349*IF($E929="weekday",INDEX('Category Mapping'!$F$28:$F$39,MATCH('Summarized Source Data'!$A929,'Category Mapping'!$A$28:$A$39,0),1),INDEX('Category Mapping'!$E$28:$E$39,MATCH($A929,'Category Mapping'!$A$28:$A$39,0),1))</f>
        <v>48059211.428571425</v>
      </c>
      <c r="U929" s="27">
        <f>U349*IF($E929="weekday",INDEX('Category Mapping'!$F$28:$F$39,MATCH('Summarized Source Data'!$A929,'Category Mapping'!$A$28:$A$39,0),1),INDEX('Category Mapping'!$E$28:$E$39,MATCH($A929,'Category Mapping'!$A$28:$A$39,0),1))</f>
        <v>48059211.428571425</v>
      </c>
      <c r="V929" s="27">
        <f>V349*IF($E929="weekday",INDEX('Category Mapping'!$F$28:$F$39,MATCH('Summarized Source Data'!$A929,'Category Mapping'!$A$28:$A$39,0),1),INDEX('Category Mapping'!$E$28:$E$39,MATCH($A929,'Category Mapping'!$A$28:$A$39,0),1))</f>
        <v>48059211.428571425</v>
      </c>
      <c r="W929" s="27">
        <f>W349*IF($E929="weekday",INDEX('Category Mapping'!$F$28:$F$39,MATCH('Summarized Source Data'!$A929,'Category Mapping'!$A$28:$A$39,0),1),INDEX('Category Mapping'!$E$28:$E$39,MATCH($A929,'Category Mapping'!$A$28:$A$39,0),1))</f>
        <v>48059211.428571425</v>
      </c>
      <c r="X929" s="27">
        <f>X349*IF($E929="weekday",INDEX('Category Mapping'!$F$28:$F$39,MATCH('Summarized Source Data'!$A929,'Category Mapping'!$A$28:$A$39,0),1),INDEX('Category Mapping'!$E$28:$E$39,MATCH($A929,'Category Mapping'!$A$28:$A$39,0),1))</f>
        <v>3108857142.8571424</v>
      </c>
      <c r="Y929" s="27">
        <f>Y349*IF($E929="weekday",INDEX('Category Mapping'!$F$28:$F$39,MATCH('Summarized Source Data'!$A929,'Category Mapping'!$A$28:$A$39,0),1),INDEX('Category Mapping'!$E$28:$E$39,MATCH($A929,'Category Mapping'!$A$28:$A$39,0),1))</f>
        <v>3108857142.8571424</v>
      </c>
      <c r="Z929" s="27">
        <f>Z349*IF($E929="weekday",INDEX('Category Mapping'!$F$28:$F$39,MATCH('Summarized Source Data'!$A929,'Category Mapping'!$A$28:$A$39,0),1),INDEX('Category Mapping'!$E$28:$E$39,MATCH($A929,'Category Mapping'!$A$28:$A$39,0),1))</f>
        <v>3108857142.8571424</v>
      </c>
    </row>
    <row r="930" spans="1:26" x14ac:dyDescent="0.3">
      <c r="A930">
        <f t="shared" ref="A930:E930" si="395">A350</f>
        <v>3</v>
      </c>
      <c r="B930" t="str">
        <f t="shared" si="395"/>
        <v>Spring</v>
      </c>
      <c r="C930" t="str">
        <f t="shared" si="395"/>
        <v>h11</v>
      </c>
      <c r="D930" t="str">
        <f t="shared" si="395"/>
        <v>Hour10</v>
      </c>
      <c r="E930" t="str">
        <f t="shared" si="395"/>
        <v>Weekend</v>
      </c>
      <c r="F930" s="27">
        <f>F350*IF($E930="weekday",INDEX('Category Mapping'!$F$28:$F$39,MATCH('Summarized Source Data'!$A930,'Category Mapping'!$A$28:$A$39,0),1),INDEX('Category Mapping'!$E$28:$E$39,MATCH($A930,'Category Mapping'!$A$28:$A$39,0),1))</f>
        <v>75488135.428571418</v>
      </c>
      <c r="G930" s="27">
        <f>G350*IF($E930="weekday",INDEX('Category Mapping'!$F$28:$F$39,MATCH('Summarized Source Data'!$A930,'Category Mapping'!$A$28:$A$39,0),1),INDEX('Category Mapping'!$E$28:$E$39,MATCH($A930,'Category Mapping'!$A$28:$A$39,0),1))</f>
        <v>94363.999999999985</v>
      </c>
      <c r="H930" s="27">
        <f>H350*IF($E930="weekday",INDEX('Category Mapping'!$F$28:$F$39,MATCH('Summarized Source Data'!$A930,'Category Mapping'!$A$28:$A$39,0),1),INDEX('Category Mapping'!$E$28:$E$39,MATCH($A930,'Category Mapping'!$A$28:$A$39,0),1))</f>
        <v>0</v>
      </c>
      <c r="I930" s="27">
        <f>I350*IF($E930="weekday",INDEX('Category Mapping'!$F$28:$F$39,MATCH('Summarized Source Data'!$A930,'Category Mapping'!$A$28:$A$39,0),1),INDEX('Category Mapping'!$E$28:$E$39,MATCH($A930,'Category Mapping'!$A$28:$A$39,0),1))</f>
        <v>64115847.428571418</v>
      </c>
      <c r="J930" s="27">
        <f>J350*IF($E930="weekday",INDEX('Category Mapping'!$F$28:$F$39,MATCH('Summarized Source Data'!$A930,'Category Mapping'!$A$28:$A$39,0),1),INDEX('Category Mapping'!$E$28:$E$39,MATCH($A930,'Category Mapping'!$A$28:$A$39,0),1))</f>
        <v>816873081.71428561</v>
      </c>
      <c r="K930" s="27">
        <f>K350*IF($E930="weekday",INDEX('Category Mapping'!$F$28:$F$39,MATCH('Summarized Source Data'!$A930,'Category Mapping'!$A$28:$A$39,0),1),INDEX('Category Mapping'!$E$28:$E$39,MATCH($A930,'Category Mapping'!$A$28:$A$39,0),1))</f>
        <v>816873081.71428561</v>
      </c>
      <c r="L930" s="27">
        <f>L350*IF($E930="weekday",INDEX('Category Mapping'!$F$28:$F$39,MATCH('Summarized Source Data'!$A930,'Category Mapping'!$A$28:$A$39,0),1),INDEX('Category Mapping'!$E$28:$E$39,MATCH($A930,'Category Mapping'!$A$28:$A$39,0),1))</f>
        <v>142599999.99999997</v>
      </c>
      <c r="M930" s="27">
        <f>M350*IF($E930="weekday",INDEX('Category Mapping'!$F$28:$F$39,MATCH('Summarized Source Data'!$A930,'Category Mapping'!$A$28:$A$39,0),1),INDEX('Category Mapping'!$E$28:$E$39,MATCH($A930,'Category Mapping'!$A$28:$A$39,0),1))</f>
        <v>562915.7142857142</v>
      </c>
      <c r="N930" s="27">
        <f>N350*IF($E930="weekday",INDEX('Category Mapping'!$F$28:$F$39,MATCH('Summarized Source Data'!$A930,'Category Mapping'!$A$28:$A$39,0),1),INDEX('Category Mapping'!$E$28:$E$39,MATCH($A930,'Category Mapping'!$A$28:$A$39,0),1))</f>
        <v>0</v>
      </c>
      <c r="O930" s="27">
        <f>O350*IF($E930="weekday",INDEX('Category Mapping'!$F$28:$F$39,MATCH('Summarized Source Data'!$A930,'Category Mapping'!$A$28:$A$39,0),1),INDEX('Category Mapping'!$E$28:$E$39,MATCH($A930,'Category Mapping'!$A$28:$A$39,0),1))</f>
        <v>1132265655.7142856</v>
      </c>
      <c r="P930" s="27">
        <f>P350*IF($E930="weekday",INDEX('Category Mapping'!$F$28:$F$39,MATCH('Summarized Source Data'!$A930,'Category Mapping'!$A$28:$A$39,0),1),INDEX('Category Mapping'!$E$28:$E$39,MATCH($A930,'Category Mapping'!$A$28:$A$39,0),1))</f>
        <v>1132265655.7142856</v>
      </c>
      <c r="Q930" s="27">
        <f>Q350*IF($E930="weekday",INDEX('Category Mapping'!$F$28:$F$39,MATCH('Summarized Source Data'!$A930,'Category Mapping'!$A$28:$A$39,0),1),INDEX('Category Mapping'!$E$28:$E$39,MATCH($A930,'Category Mapping'!$A$28:$A$39,0),1))</f>
        <v>1132265655.7142856</v>
      </c>
      <c r="R930" s="27">
        <f>R350*IF($E930="weekday",INDEX('Category Mapping'!$F$28:$F$39,MATCH('Summarized Source Data'!$A930,'Category Mapping'!$A$28:$A$39,0),1),INDEX('Category Mapping'!$E$28:$E$39,MATCH($A930,'Category Mapping'!$A$28:$A$39,0),1))</f>
        <v>50906074.285714276</v>
      </c>
      <c r="S930" s="27">
        <f>S350*IF($E930="weekday",INDEX('Category Mapping'!$F$28:$F$39,MATCH('Summarized Source Data'!$A930,'Category Mapping'!$A$28:$A$39,0),1),INDEX('Category Mapping'!$E$28:$E$39,MATCH($A930,'Category Mapping'!$A$28:$A$39,0),1))</f>
        <v>50906074.285714276</v>
      </c>
      <c r="T930" s="27">
        <f>T350*IF($E930="weekday",INDEX('Category Mapping'!$F$28:$F$39,MATCH('Summarized Source Data'!$A930,'Category Mapping'!$A$28:$A$39,0),1),INDEX('Category Mapping'!$E$28:$E$39,MATCH($A930,'Category Mapping'!$A$28:$A$39,0),1))</f>
        <v>50906074.285714276</v>
      </c>
      <c r="U930" s="27">
        <f>U350*IF($E930="weekday",INDEX('Category Mapping'!$F$28:$F$39,MATCH('Summarized Source Data'!$A930,'Category Mapping'!$A$28:$A$39,0),1),INDEX('Category Mapping'!$E$28:$E$39,MATCH($A930,'Category Mapping'!$A$28:$A$39,0),1))</f>
        <v>50906074.285714276</v>
      </c>
      <c r="V930" s="27">
        <f>V350*IF($E930="weekday",INDEX('Category Mapping'!$F$28:$F$39,MATCH('Summarized Source Data'!$A930,'Category Mapping'!$A$28:$A$39,0),1),INDEX('Category Mapping'!$E$28:$E$39,MATCH($A930,'Category Mapping'!$A$28:$A$39,0),1))</f>
        <v>50906074.285714276</v>
      </c>
      <c r="W930" s="27">
        <f>W350*IF($E930="weekday",INDEX('Category Mapping'!$F$28:$F$39,MATCH('Summarized Source Data'!$A930,'Category Mapping'!$A$28:$A$39,0),1),INDEX('Category Mapping'!$E$28:$E$39,MATCH($A930,'Category Mapping'!$A$28:$A$39,0),1))</f>
        <v>50906074.285714276</v>
      </c>
      <c r="X930" s="27">
        <f>X350*IF($E930="weekday",INDEX('Category Mapping'!$F$28:$F$39,MATCH('Summarized Source Data'!$A930,'Category Mapping'!$A$28:$A$39,0),1),INDEX('Category Mapping'!$E$28:$E$39,MATCH($A930,'Category Mapping'!$A$28:$A$39,0),1))</f>
        <v>3099999999.9999995</v>
      </c>
      <c r="Y930" s="27">
        <f>Y350*IF($E930="weekday",INDEX('Category Mapping'!$F$28:$F$39,MATCH('Summarized Source Data'!$A930,'Category Mapping'!$A$28:$A$39,0),1),INDEX('Category Mapping'!$E$28:$E$39,MATCH($A930,'Category Mapping'!$A$28:$A$39,0),1))</f>
        <v>3099999999.9999995</v>
      </c>
      <c r="Z930" s="27">
        <f>Z350*IF($E930="weekday",INDEX('Category Mapping'!$F$28:$F$39,MATCH('Summarized Source Data'!$A930,'Category Mapping'!$A$28:$A$39,0),1),INDEX('Category Mapping'!$E$28:$E$39,MATCH($A930,'Category Mapping'!$A$28:$A$39,0),1))</f>
        <v>3099999999.9999995</v>
      </c>
    </row>
    <row r="931" spans="1:26" x14ac:dyDescent="0.3">
      <c r="A931">
        <f t="shared" ref="A931:E931" si="396">A351</f>
        <v>3</v>
      </c>
      <c r="B931" t="str">
        <f t="shared" si="396"/>
        <v>Spring</v>
      </c>
      <c r="C931" t="str">
        <f t="shared" si="396"/>
        <v>h12</v>
      </c>
      <c r="D931" t="str">
        <f t="shared" si="396"/>
        <v>Hour11</v>
      </c>
      <c r="E931" t="str">
        <f t="shared" si="396"/>
        <v>Weekend</v>
      </c>
      <c r="F931" s="27">
        <f>F351*IF($E931="weekday",INDEX('Category Mapping'!$F$28:$F$39,MATCH('Summarized Source Data'!$A931,'Category Mapping'!$A$28:$A$39,0),1),INDEX('Category Mapping'!$E$28:$E$39,MATCH($A931,'Category Mapping'!$A$28:$A$39,0),1))</f>
        <v>57980504.57142856</v>
      </c>
      <c r="G931" s="27">
        <f>G351*IF($E931="weekday",INDEX('Category Mapping'!$F$28:$F$39,MATCH('Summarized Source Data'!$A931,'Category Mapping'!$A$28:$A$39,0),1),INDEX('Category Mapping'!$E$28:$E$39,MATCH($A931,'Category Mapping'!$A$28:$A$39,0),1))</f>
        <v>97623.428571428551</v>
      </c>
      <c r="H931" s="27">
        <f>H351*IF($E931="weekday",INDEX('Category Mapping'!$F$28:$F$39,MATCH('Summarized Source Data'!$A931,'Category Mapping'!$A$28:$A$39,0),1),INDEX('Category Mapping'!$E$28:$E$39,MATCH($A931,'Category Mapping'!$A$28:$A$39,0),1))</f>
        <v>0</v>
      </c>
      <c r="I931" s="27">
        <f>I351*IF($E931="weekday",INDEX('Category Mapping'!$F$28:$F$39,MATCH('Summarized Source Data'!$A931,'Category Mapping'!$A$28:$A$39,0),1),INDEX('Category Mapping'!$E$28:$E$39,MATCH($A931,'Category Mapping'!$A$28:$A$39,0),1))</f>
        <v>68028401.714285702</v>
      </c>
      <c r="J931" s="27">
        <f>J351*IF($E931="weekday",INDEX('Category Mapping'!$F$28:$F$39,MATCH('Summarized Source Data'!$A931,'Category Mapping'!$A$28:$A$39,0),1),INDEX('Category Mapping'!$E$28:$E$39,MATCH($A931,'Category Mapping'!$A$28:$A$39,0),1))</f>
        <v>901322041.71428561</v>
      </c>
      <c r="K931" s="27">
        <f>K351*IF($E931="weekday",INDEX('Category Mapping'!$F$28:$F$39,MATCH('Summarized Source Data'!$A931,'Category Mapping'!$A$28:$A$39,0),1),INDEX('Category Mapping'!$E$28:$E$39,MATCH($A931,'Category Mapping'!$A$28:$A$39,0),1))</f>
        <v>901322041.71428561</v>
      </c>
      <c r="L931" s="27">
        <f>L351*IF($E931="weekday",INDEX('Category Mapping'!$F$28:$F$39,MATCH('Summarized Source Data'!$A931,'Category Mapping'!$A$28:$A$39,0),1),INDEX('Category Mapping'!$E$28:$E$39,MATCH($A931,'Category Mapping'!$A$28:$A$39,0),1))</f>
        <v>125771428.57142855</v>
      </c>
      <c r="M931" s="27">
        <f>M351*IF($E931="weekday",INDEX('Category Mapping'!$F$28:$F$39,MATCH('Summarized Source Data'!$A931,'Category Mapping'!$A$28:$A$39,0),1),INDEX('Category Mapping'!$E$28:$E$39,MATCH($A931,'Category Mapping'!$A$28:$A$39,0),1))</f>
        <v>566591.42857142852</v>
      </c>
      <c r="N931" s="27">
        <f>N351*IF($E931="weekday",INDEX('Category Mapping'!$F$28:$F$39,MATCH('Summarized Source Data'!$A931,'Category Mapping'!$A$28:$A$39,0),1),INDEX('Category Mapping'!$E$28:$E$39,MATCH($A931,'Category Mapping'!$A$28:$A$39,0),1))</f>
        <v>0</v>
      </c>
      <c r="O931" s="27">
        <f>O351*IF($E931="weekday",INDEX('Category Mapping'!$F$28:$F$39,MATCH('Summarized Source Data'!$A931,'Category Mapping'!$A$28:$A$39,0),1),INDEX('Category Mapping'!$E$28:$E$39,MATCH($A931,'Category Mapping'!$A$28:$A$39,0),1))</f>
        <v>1131376265.7142856</v>
      </c>
      <c r="P931" s="27">
        <f>P351*IF($E931="weekday",INDEX('Category Mapping'!$F$28:$F$39,MATCH('Summarized Source Data'!$A931,'Category Mapping'!$A$28:$A$39,0),1),INDEX('Category Mapping'!$E$28:$E$39,MATCH($A931,'Category Mapping'!$A$28:$A$39,0),1))</f>
        <v>1131376265.7142856</v>
      </c>
      <c r="Q931" s="27">
        <f>Q351*IF($E931="weekday",INDEX('Category Mapping'!$F$28:$F$39,MATCH('Summarized Source Data'!$A931,'Category Mapping'!$A$28:$A$39,0),1),INDEX('Category Mapping'!$E$28:$E$39,MATCH($A931,'Category Mapping'!$A$28:$A$39,0),1))</f>
        <v>1131376265.7142856</v>
      </c>
      <c r="R931" s="27">
        <f>R351*IF($E931="weekday",INDEX('Category Mapping'!$F$28:$F$39,MATCH('Summarized Source Data'!$A931,'Category Mapping'!$A$28:$A$39,0),1),INDEX('Category Mapping'!$E$28:$E$39,MATCH($A931,'Category Mapping'!$A$28:$A$39,0),1))</f>
        <v>52513813.999999993</v>
      </c>
      <c r="S931" s="27">
        <f>S351*IF($E931="weekday",INDEX('Category Mapping'!$F$28:$F$39,MATCH('Summarized Source Data'!$A931,'Category Mapping'!$A$28:$A$39,0),1),INDEX('Category Mapping'!$E$28:$E$39,MATCH($A931,'Category Mapping'!$A$28:$A$39,0),1))</f>
        <v>52513813.999999993</v>
      </c>
      <c r="T931" s="27">
        <f>T351*IF($E931="weekday",INDEX('Category Mapping'!$F$28:$F$39,MATCH('Summarized Source Data'!$A931,'Category Mapping'!$A$28:$A$39,0),1),INDEX('Category Mapping'!$E$28:$E$39,MATCH($A931,'Category Mapping'!$A$28:$A$39,0),1))</f>
        <v>52513813.999999993</v>
      </c>
      <c r="U931" s="27">
        <f>U351*IF($E931="weekday",INDEX('Category Mapping'!$F$28:$F$39,MATCH('Summarized Source Data'!$A931,'Category Mapping'!$A$28:$A$39,0),1),INDEX('Category Mapping'!$E$28:$E$39,MATCH($A931,'Category Mapping'!$A$28:$A$39,0),1))</f>
        <v>52513813.999999993</v>
      </c>
      <c r="V931" s="27">
        <f>V351*IF($E931="weekday",INDEX('Category Mapping'!$F$28:$F$39,MATCH('Summarized Source Data'!$A931,'Category Mapping'!$A$28:$A$39,0),1),INDEX('Category Mapping'!$E$28:$E$39,MATCH($A931,'Category Mapping'!$A$28:$A$39,0),1))</f>
        <v>52513813.999999993</v>
      </c>
      <c r="W931" s="27">
        <f>W351*IF($E931="weekday",INDEX('Category Mapping'!$F$28:$F$39,MATCH('Summarized Source Data'!$A931,'Category Mapping'!$A$28:$A$39,0),1),INDEX('Category Mapping'!$E$28:$E$39,MATCH($A931,'Category Mapping'!$A$28:$A$39,0),1))</f>
        <v>52513813.999999993</v>
      </c>
      <c r="X931" s="27">
        <f>X351*IF($E931="weekday",INDEX('Category Mapping'!$F$28:$F$39,MATCH('Summarized Source Data'!$A931,'Category Mapping'!$A$28:$A$39,0),1),INDEX('Category Mapping'!$E$28:$E$39,MATCH($A931,'Category Mapping'!$A$28:$A$39,0),1))</f>
        <v>3091142857.1428566</v>
      </c>
      <c r="Y931" s="27">
        <f>Y351*IF($E931="weekday",INDEX('Category Mapping'!$F$28:$F$39,MATCH('Summarized Source Data'!$A931,'Category Mapping'!$A$28:$A$39,0),1),INDEX('Category Mapping'!$E$28:$E$39,MATCH($A931,'Category Mapping'!$A$28:$A$39,0),1))</f>
        <v>3091142857.1428566</v>
      </c>
      <c r="Z931" s="27">
        <f>Z351*IF($E931="weekday",INDEX('Category Mapping'!$F$28:$F$39,MATCH('Summarized Source Data'!$A931,'Category Mapping'!$A$28:$A$39,0),1),INDEX('Category Mapping'!$E$28:$E$39,MATCH($A931,'Category Mapping'!$A$28:$A$39,0),1))</f>
        <v>3091142857.1428566</v>
      </c>
    </row>
    <row r="932" spans="1:26" x14ac:dyDescent="0.3">
      <c r="A932">
        <f t="shared" ref="A932:E932" si="397">A352</f>
        <v>3</v>
      </c>
      <c r="B932" t="str">
        <f t="shared" si="397"/>
        <v>Spring</v>
      </c>
      <c r="C932" t="str">
        <f t="shared" si="397"/>
        <v>h13</v>
      </c>
      <c r="D932" t="str">
        <f t="shared" si="397"/>
        <v>Hour12</v>
      </c>
      <c r="E932" t="str">
        <f t="shared" si="397"/>
        <v>Weekend</v>
      </c>
      <c r="F932" s="27">
        <f>F352*IF($E932="weekday",INDEX('Category Mapping'!$F$28:$F$39,MATCH('Summarized Source Data'!$A932,'Category Mapping'!$A$28:$A$39,0),1),INDEX('Category Mapping'!$E$28:$E$39,MATCH($A932,'Category Mapping'!$A$28:$A$39,0),1))</f>
        <v>58884189.999999993</v>
      </c>
      <c r="G932" s="27">
        <f>G352*IF($E932="weekday",INDEX('Category Mapping'!$F$28:$F$39,MATCH('Summarized Source Data'!$A932,'Category Mapping'!$A$28:$A$39,0),1),INDEX('Category Mapping'!$E$28:$E$39,MATCH($A932,'Category Mapping'!$A$28:$A$39,0),1))</f>
        <v>101786.2857142857</v>
      </c>
      <c r="H932" s="27">
        <f>H352*IF($E932="weekday",INDEX('Category Mapping'!$F$28:$F$39,MATCH('Summarized Source Data'!$A932,'Category Mapping'!$A$28:$A$39,0),1),INDEX('Category Mapping'!$E$28:$E$39,MATCH($A932,'Category Mapping'!$A$28:$A$39,0),1))</f>
        <v>0</v>
      </c>
      <c r="I932" s="27">
        <f>I352*IF($E932="weekday",INDEX('Category Mapping'!$F$28:$F$39,MATCH('Summarized Source Data'!$A932,'Category Mapping'!$A$28:$A$39,0),1),INDEX('Category Mapping'!$E$28:$E$39,MATCH($A932,'Category Mapping'!$A$28:$A$39,0),1))</f>
        <v>70392674.285714269</v>
      </c>
      <c r="J932" s="27">
        <f>J352*IF($E932="weekday",INDEX('Category Mapping'!$F$28:$F$39,MATCH('Summarized Source Data'!$A932,'Category Mapping'!$A$28:$A$39,0),1),INDEX('Category Mapping'!$E$28:$E$39,MATCH($A932,'Category Mapping'!$A$28:$A$39,0),1))</f>
        <v>818335635.14285707</v>
      </c>
      <c r="K932" s="27">
        <f>K352*IF($E932="weekday",INDEX('Category Mapping'!$F$28:$F$39,MATCH('Summarized Source Data'!$A932,'Category Mapping'!$A$28:$A$39,0),1),INDEX('Category Mapping'!$E$28:$E$39,MATCH($A932,'Category Mapping'!$A$28:$A$39,0),1))</f>
        <v>818335635.14285707</v>
      </c>
      <c r="L932" s="27">
        <f>L352*IF($E932="weekday",INDEX('Category Mapping'!$F$28:$F$39,MATCH('Summarized Source Data'!$A932,'Category Mapping'!$A$28:$A$39,0),1),INDEX('Category Mapping'!$E$28:$E$39,MATCH($A932,'Category Mapping'!$A$28:$A$39,0),1))</f>
        <v>113371428.57142855</v>
      </c>
      <c r="M932" s="27">
        <f>M352*IF($E932="weekday",INDEX('Category Mapping'!$F$28:$F$39,MATCH('Summarized Source Data'!$A932,'Category Mapping'!$A$28:$A$39,0),1),INDEX('Category Mapping'!$E$28:$E$39,MATCH($A932,'Category Mapping'!$A$28:$A$39,0),1))</f>
        <v>569700.28571428568</v>
      </c>
      <c r="N932" s="27">
        <f>N352*IF($E932="weekday",INDEX('Category Mapping'!$F$28:$F$39,MATCH('Summarized Source Data'!$A932,'Category Mapping'!$A$28:$A$39,0),1),INDEX('Category Mapping'!$E$28:$E$39,MATCH($A932,'Category Mapping'!$A$28:$A$39,0),1))</f>
        <v>0</v>
      </c>
      <c r="O932" s="27">
        <f>O352*IF($E932="weekday",INDEX('Category Mapping'!$F$28:$F$39,MATCH('Summarized Source Data'!$A932,'Category Mapping'!$A$28:$A$39,0),1),INDEX('Category Mapping'!$E$28:$E$39,MATCH($A932,'Category Mapping'!$A$28:$A$39,0),1))</f>
        <v>1126058871.1428571</v>
      </c>
      <c r="P932" s="27">
        <f>P352*IF($E932="weekday",INDEX('Category Mapping'!$F$28:$F$39,MATCH('Summarized Source Data'!$A932,'Category Mapping'!$A$28:$A$39,0),1),INDEX('Category Mapping'!$E$28:$E$39,MATCH($A932,'Category Mapping'!$A$28:$A$39,0),1))</f>
        <v>1126058871.1428571</v>
      </c>
      <c r="Q932" s="27">
        <f>Q352*IF($E932="weekday",INDEX('Category Mapping'!$F$28:$F$39,MATCH('Summarized Source Data'!$A932,'Category Mapping'!$A$28:$A$39,0),1),INDEX('Category Mapping'!$E$28:$E$39,MATCH($A932,'Category Mapping'!$A$28:$A$39,0),1))</f>
        <v>1126058871.1428571</v>
      </c>
      <c r="R932" s="27">
        <f>R352*IF($E932="weekday",INDEX('Category Mapping'!$F$28:$F$39,MATCH('Summarized Source Data'!$A932,'Category Mapping'!$A$28:$A$39,0),1),INDEX('Category Mapping'!$E$28:$E$39,MATCH($A932,'Category Mapping'!$A$28:$A$39,0),1))</f>
        <v>51378416.857142851</v>
      </c>
      <c r="S932" s="27">
        <f>S352*IF($E932="weekday",INDEX('Category Mapping'!$F$28:$F$39,MATCH('Summarized Source Data'!$A932,'Category Mapping'!$A$28:$A$39,0),1),INDEX('Category Mapping'!$E$28:$E$39,MATCH($A932,'Category Mapping'!$A$28:$A$39,0),1))</f>
        <v>51378416.857142851</v>
      </c>
      <c r="T932" s="27">
        <f>T352*IF($E932="weekday",INDEX('Category Mapping'!$F$28:$F$39,MATCH('Summarized Source Data'!$A932,'Category Mapping'!$A$28:$A$39,0),1),INDEX('Category Mapping'!$E$28:$E$39,MATCH($A932,'Category Mapping'!$A$28:$A$39,0),1))</f>
        <v>51378416.857142851</v>
      </c>
      <c r="U932" s="27">
        <f>U352*IF($E932="weekday",INDEX('Category Mapping'!$F$28:$F$39,MATCH('Summarized Source Data'!$A932,'Category Mapping'!$A$28:$A$39,0),1),INDEX('Category Mapping'!$E$28:$E$39,MATCH($A932,'Category Mapping'!$A$28:$A$39,0),1))</f>
        <v>51378416.857142851</v>
      </c>
      <c r="V932" s="27">
        <f>V352*IF($E932="weekday",INDEX('Category Mapping'!$F$28:$F$39,MATCH('Summarized Source Data'!$A932,'Category Mapping'!$A$28:$A$39,0),1),INDEX('Category Mapping'!$E$28:$E$39,MATCH($A932,'Category Mapping'!$A$28:$A$39,0),1))</f>
        <v>51378416.857142851</v>
      </c>
      <c r="W932" s="27">
        <f>W352*IF($E932="weekday",INDEX('Category Mapping'!$F$28:$F$39,MATCH('Summarized Source Data'!$A932,'Category Mapping'!$A$28:$A$39,0),1),INDEX('Category Mapping'!$E$28:$E$39,MATCH($A932,'Category Mapping'!$A$28:$A$39,0),1))</f>
        <v>51378416.857142851</v>
      </c>
      <c r="X932" s="27">
        <f>X352*IF($E932="weekday",INDEX('Category Mapping'!$F$28:$F$39,MATCH('Summarized Source Data'!$A932,'Category Mapping'!$A$28:$A$39,0),1),INDEX('Category Mapping'!$E$28:$E$39,MATCH($A932,'Category Mapping'!$A$28:$A$39,0),1))</f>
        <v>3091142857.1428566</v>
      </c>
      <c r="Y932" s="27">
        <f>Y352*IF($E932="weekday",INDEX('Category Mapping'!$F$28:$F$39,MATCH('Summarized Source Data'!$A932,'Category Mapping'!$A$28:$A$39,0),1),INDEX('Category Mapping'!$E$28:$E$39,MATCH($A932,'Category Mapping'!$A$28:$A$39,0),1))</f>
        <v>3091142857.1428566</v>
      </c>
      <c r="Z932" s="27">
        <f>Z352*IF($E932="weekday",INDEX('Category Mapping'!$F$28:$F$39,MATCH('Summarized Source Data'!$A932,'Category Mapping'!$A$28:$A$39,0),1),INDEX('Category Mapping'!$E$28:$E$39,MATCH($A932,'Category Mapping'!$A$28:$A$39,0),1))</f>
        <v>3091142857.1428566</v>
      </c>
    </row>
    <row r="933" spans="1:26" x14ac:dyDescent="0.3">
      <c r="A933">
        <f t="shared" ref="A933:E933" si="398">A353</f>
        <v>3</v>
      </c>
      <c r="B933" t="str">
        <f t="shared" si="398"/>
        <v>Spring</v>
      </c>
      <c r="C933" t="str">
        <f t="shared" si="398"/>
        <v>h14</v>
      </c>
      <c r="D933" t="str">
        <f t="shared" si="398"/>
        <v>Hour13</v>
      </c>
      <c r="E933" t="str">
        <f t="shared" si="398"/>
        <v>Weekend</v>
      </c>
      <c r="F933" s="27">
        <f>F353*IF($E933="weekday",INDEX('Category Mapping'!$F$28:$F$39,MATCH('Summarized Source Data'!$A933,'Category Mapping'!$A$28:$A$39,0),1),INDEX('Category Mapping'!$E$28:$E$39,MATCH($A933,'Category Mapping'!$A$28:$A$39,0),1))</f>
        <v>58836556.285714276</v>
      </c>
      <c r="G933" s="27">
        <f>G353*IF($E933="weekday",INDEX('Category Mapping'!$F$28:$F$39,MATCH('Summarized Source Data'!$A933,'Category Mapping'!$A$28:$A$39,0),1),INDEX('Category Mapping'!$E$28:$E$39,MATCH($A933,'Category Mapping'!$A$28:$A$39,0),1))</f>
        <v>102742.85714285713</v>
      </c>
      <c r="H933" s="27">
        <f>H353*IF($E933="weekday",INDEX('Category Mapping'!$F$28:$F$39,MATCH('Summarized Source Data'!$A933,'Category Mapping'!$A$28:$A$39,0),1),INDEX('Category Mapping'!$E$28:$E$39,MATCH($A933,'Category Mapping'!$A$28:$A$39,0),1))</f>
        <v>0</v>
      </c>
      <c r="I933" s="27">
        <f>I353*IF($E933="weekday",INDEX('Category Mapping'!$F$28:$F$39,MATCH('Summarized Source Data'!$A933,'Category Mapping'!$A$28:$A$39,0),1),INDEX('Category Mapping'!$E$28:$E$39,MATCH($A933,'Category Mapping'!$A$28:$A$39,0),1))</f>
        <v>70302473.142857134</v>
      </c>
      <c r="J933" s="27">
        <f>J353*IF($E933="weekday",INDEX('Category Mapping'!$F$28:$F$39,MATCH('Summarized Source Data'!$A933,'Category Mapping'!$A$28:$A$39,0),1),INDEX('Category Mapping'!$E$28:$E$39,MATCH($A933,'Category Mapping'!$A$28:$A$39,0),1))</f>
        <v>722815370.57142842</v>
      </c>
      <c r="K933" s="27">
        <f>K353*IF($E933="weekday",INDEX('Category Mapping'!$F$28:$F$39,MATCH('Summarized Source Data'!$A933,'Category Mapping'!$A$28:$A$39,0),1),INDEX('Category Mapping'!$E$28:$E$39,MATCH($A933,'Category Mapping'!$A$28:$A$39,0),1))</f>
        <v>722815370.57142842</v>
      </c>
      <c r="L933" s="27">
        <f>L353*IF($E933="weekday",INDEX('Category Mapping'!$F$28:$F$39,MATCH('Summarized Source Data'!$A933,'Category Mapping'!$A$28:$A$39,0),1),INDEX('Category Mapping'!$E$28:$E$39,MATCH($A933,'Category Mapping'!$A$28:$A$39,0),1))</f>
        <v>104514285.7142857</v>
      </c>
      <c r="M933" s="27">
        <f>M353*IF($E933="weekday",INDEX('Category Mapping'!$F$28:$F$39,MATCH('Summarized Source Data'!$A933,'Category Mapping'!$A$28:$A$39,0),1),INDEX('Category Mapping'!$E$28:$E$39,MATCH($A933,'Category Mapping'!$A$28:$A$39,0),1))</f>
        <v>569700.28571428568</v>
      </c>
      <c r="N933" s="27">
        <f>N353*IF($E933="weekday",INDEX('Category Mapping'!$F$28:$F$39,MATCH('Summarized Source Data'!$A933,'Category Mapping'!$A$28:$A$39,0),1),INDEX('Category Mapping'!$E$28:$E$39,MATCH($A933,'Category Mapping'!$A$28:$A$39,0),1))</f>
        <v>0</v>
      </c>
      <c r="O933" s="27">
        <f>O353*IF($E933="weekday",INDEX('Category Mapping'!$F$28:$F$39,MATCH('Summarized Source Data'!$A933,'Category Mapping'!$A$28:$A$39,0),1),INDEX('Category Mapping'!$E$28:$E$39,MATCH($A933,'Category Mapping'!$A$28:$A$39,0),1))</f>
        <v>1081773156.8571427</v>
      </c>
      <c r="P933" s="27">
        <f>P353*IF($E933="weekday",INDEX('Category Mapping'!$F$28:$F$39,MATCH('Summarized Source Data'!$A933,'Category Mapping'!$A$28:$A$39,0),1),INDEX('Category Mapping'!$E$28:$E$39,MATCH($A933,'Category Mapping'!$A$28:$A$39,0),1))</f>
        <v>1081773156.8571427</v>
      </c>
      <c r="Q933" s="27">
        <f>Q353*IF($E933="weekday",INDEX('Category Mapping'!$F$28:$F$39,MATCH('Summarized Source Data'!$A933,'Category Mapping'!$A$28:$A$39,0),1),INDEX('Category Mapping'!$E$28:$E$39,MATCH($A933,'Category Mapping'!$A$28:$A$39,0),1))</f>
        <v>1081773156.8571427</v>
      </c>
      <c r="R933" s="27">
        <f>R353*IF($E933="weekday",INDEX('Category Mapping'!$F$28:$F$39,MATCH('Summarized Source Data'!$A933,'Category Mapping'!$A$28:$A$39,0),1),INDEX('Category Mapping'!$E$28:$E$39,MATCH($A933,'Category Mapping'!$A$28:$A$39,0),1))</f>
        <v>48938849.714285709</v>
      </c>
      <c r="S933" s="27">
        <f>S353*IF($E933="weekday",INDEX('Category Mapping'!$F$28:$F$39,MATCH('Summarized Source Data'!$A933,'Category Mapping'!$A$28:$A$39,0),1),INDEX('Category Mapping'!$E$28:$E$39,MATCH($A933,'Category Mapping'!$A$28:$A$39,0),1))</f>
        <v>48938849.714285709</v>
      </c>
      <c r="T933" s="27">
        <f>T353*IF($E933="weekday",INDEX('Category Mapping'!$F$28:$F$39,MATCH('Summarized Source Data'!$A933,'Category Mapping'!$A$28:$A$39,0),1),INDEX('Category Mapping'!$E$28:$E$39,MATCH($A933,'Category Mapping'!$A$28:$A$39,0),1))</f>
        <v>48938849.714285709</v>
      </c>
      <c r="U933" s="27">
        <f>U353*IF($E933="weekday",INDEX('Category Mapping'!$F$28:$F$39,MATCH('Summarized Source Data'!$A933,'Category Mapping'!$A$28:$A$39,0),1),INDEX('Category Mapping'!$E$28:$E$39,MATCH($A933,'Category Mapping'!$A$28:$A$39,0),1))</f>
        <v>48938849.714285709</v>
      </c>
      <c r="V933" s="27">
        <f>V353*IF($E933="weekday",INDEX('Category Mapping'!$F$28:$F$39,MATCH('Summarized Source Data'!$A933,'Category Mapping'!$A$28:$A$39,0),1),INDEX('Category Mapping'!$E$28:$E$39,MATCH($A933,'Category Mapping'!$A$28:$A$39,0),1))</f>
        <v>48938849.714285709</v>
      </c>
      <c r="W933" s="27">
        <f>W353*IF($E933="weekday",INDEX('Category Mapping'!$F$28:$F$39,MATCH('Summarized Source Data'!$A933,'Category Mapping'!$A$28:$A$39,0),1),INDEX('Category Mapping'!$E$28:$E$39,MATCH($A933,'Category Mapping'!$A$28:$A$39,0),1))</f>
        <v>48938849.714285709</v>
      </c>
      <c r="X933" s="27">
        <f>X353*IF($E933="weekday",INDEX('Category Mapping'!$F$28:$F$39,MATCH('Summarized Source Data'!$A933,'Category Mapping'!$A$28:$A$39,0),1),INDEX('Category Mapping'!$E$28:$E$39,MATCH($A933,'Category Mapping'!$A$28:$A$39,0),1))</f>
        <v>3091142857.1428566</v>
      </c>
      <c r="Y933" s="27">
        <f>Y353*IF($E933="weekday",INDEX('Category Mapping'!$F$28:$F$39,MATCH('Summarized Source Data'!$A933,'Category Mapping'!$A$28:$A$39,0),1),INDEX('Category Mapping'!$E$28:$E$39,MATCH($A933,'Category Mapping'!$A$28:$A$39,0),1))</f>
        <v>3091142857.1428566</v>
      </c>
      <c r="Z933" s="27">
        <f>Z353*IF($E933="weekday",INDEX('Category Mapping'!$F$28:$F$39,MATCH('Summarized Source Data'!$A933,'Category Mapping'!$A$28:$A$39,0),1),INDEX('Category Mapping'!$E$28:$E$39,MATCH($A933,'Category Mapping'!$A$28:$A$39,0),1))</f>
        <v>3091142857.1428566</v>
      </c>
    </row>
    <row r="934" spans="1:26" x14ac:dyDescent="0.3">
      <c r="A934">
        <f t="shared" ref="A934:E934" si="399">A354</f>
        <v>3</v>
      </c>
      <c r="B934" t="str">
        <f t="shared" si="399"/>
        <v>Spring</v>
      </c>
      <c r="C934" t="str">
        <f t="shared" si="399"/>
        <v>h15</v>
      </c>
      <c r="D934" t="str">
        <f t="shared" si="399"/>
        <v>Hour14</v>
      </c>
      <c r="E934" t="str">
        <f t="shared" si="399"/>
        <v>Weekend</v>
      </c>
      <c r="F934" s="27">
        <f>F354*IF($E934="weekday",INDEX('Category Mapping'!$F$28:$F$39,MATCH('Summarized Source Data'!$A934,'Category Mapping'!$A$28:$A$39,0),1),INDEX('Category Mapping'!$E$28:$E$39,MATCH($A934,'Category Mapping'!$A$28:$A$39,0),1))</f>
        <v>58445956.285714276</v>
      </c>
      <c r="G934" s="27">
        <f>G354*IF($E934="weekday",INDEX('Category Mapping'!$F$28:$F$39,MATCH('Summarized Source Data'!$A934,'Category Mapping'!$A$28:$A$39,0),1),INDEX('Category Mapping'!$E$28:$E$39,MATCH($A934,'Category Mapping'!$A$28:$A$39,0),1))</f>
        <v>102530.2857142857</v>
      </c>
      <c r="H934" s="27">
        <f>H354*IF($E934="weekday",INDEX('Category Mapping'!$F$28:$F$39,MATCH('Summarized Source Data'!$A934,'Category Mapping'!$A$28:$A$39,0),1),INDEX('Category Mapping'!$E$28:$E$39,MATCH($A934,'Category Mapping'!$A$28:$A$39,0),1))</f>
        <v>0</v>
      </c>
      <c r="I934" s="27">
        <f>I354*IF($E934="weekday",INDEX('Category Mapping'!$F$28:$F$39,MATCH('Summarized Source Data'!$A934,'Category Mapping'!$A$28:$A$39,0),1),INDEX('Category Mapping'!$E$28:$E$39,MATCH($A934,'Category Mapping'!$A$28:$A$39,0),1))</f>
        <v>69562742.285714269</v>
      </c>
      <c r="J934" s="27">
        <f>J354*IF($E934="weekday",INDEX('Category Mapping'!$F$28:$F$39,MATCH('Summarized Source Data'!$A934,'Category Mapping'!$A$28:$A$39,0),1),INDEX('Category Mapping'!$E$28:$E$39,MATCH($A934,'Category Mapping'!$A$28:$A$39,0),1))</f>
        <v>754060199.71428561</v>
      </c>
      <c r="K934" s="27">
        <f>K354*IF($E934="weekday",INDEX('Category Mapping'!$F$28:$F$39,MATCH('Summarized Source Data'!$A934,'Category Mapping'!$A$28:$A$39,0),1),INDEX('Category Mapping'!$E$28:$E$39,MATCH($A934,'Category Mapping'!$A$28:$A$39,0),1))</f>
        <v>754060199.71428561</v>
      </c>
      <c r="L934" s="27">
        <f>L354*IF($E934="weekday",INDEX('Category Mapping'!$F$28:$F$39,MATCH('Summarized Source Data'!$A934,'Category Mapping'!$A$28:$A$39,0),1),INDEX('Category Mapping'!$E$28:$E$39,MATCH($A934,'Category Mapping'!$A$28:$A$39,0),1))</f>
        <v>101857142.85714284</v>
      </c>
      <c r="M934" s="27">
        <f>M354*IF($E934="weekday",INDEX('Category Mapping'!$F$28:$F$39,MATCH('Summarized Source Data'!$A934,'Category Mapping'!$A$28:$A$39,0),1),INDEX('Category Mapping'!$E$28:$E$39,MATCH($A934,'Category Mapping'!$A$28:$A$39,0),1))</f>
        <v>569700.28571428568</v>
      </c>
      <c r="N934" s="27">
        <f>N354*IF($E934="weekday",INDEX('Category Mapping'!$F$28:$F$39,MATCH('Summarized Source Data'!$A934,'Category Mapping'!$A$28:$A$39,0),1),INDEX('Category Mapping'!$E$28:$E$39,MATCH($A934,'Category Mapping'!$A$28:$A$39,0),1))</f>
        <v>0</v>
      </c>
      <c r="O934" s="27">
        <f>O354*IF($E934="weekday",INDEX('Category Mapping'!$F$28:$F$39,MATCH('Summarized Source Data'!$A934,'Category Mapping'!$A$28:$A$39,0),1),INDEX('Category Mapping'!$E$28:$E$39,MATCH($A934,'Category Mapping'!$A$28:$A$39,0),1))</f>
        <v>1031287442.5714284</v>
      </c>
      <c r="P934" s="27">
        <f>P354*IF($E934="weekday",INDEX('Category Mapping'!$F$28:$F$39,MATCH('Summarized Source Data'!$A934,'Category Mapping'!$A$28:$A$39,0),1),INDEX('Category Mapping'!$E$28:$E$39,MATCH($A934,'Category Mapping'!$A$28:$A$39,0),1))</f>
        <v>1031287442.5714284</v>
      </c>
      <c r="Q934" s="27">
        <f>Q354*IF($E934="weekday",INDEX('Category Mapping'!$F$28:$F$39,MATCH('Summarized Source Data'!$A934,'Category Mapping'!$A$28:$A$39,0),1),INDEX('Category Mapping'!$E$28:$E$39,MATCH($A934,'Category Mapping'!$A$28:$A$39,0),1))</f>
        <v>1031287442.5714284</v>
      </c>
      <c r="R934" s="27">
        <f>R354*IF($E934="weekday",INDEX('Category Mapping'!$F$28:$F$39,MATCH('Summarized Source Data'!$A934,'Category Mapping'!$A$28:$A$39,0),1),INDEX('Category Mapping'!$E$28:$E$39,MATCH($A934,'Category Mapping'!$A$28:$A$39,0),1))</f>
        <v>48316502.571428567</v>
      </c>
      <c r="S934" s="27">
        <f>S354*IF($E934="weekday",INDEX('Category Mapping'!$F$28:$F$39,MATCH('Summarized Source Data'!$A934,'Category Mapping'!$A$28:$A$39,0),1),INDEX('Category Mapping'!$E$28:$E$39,MATCH($A934,'Category Mapping'!$A$28:$A$39,0),1))</f>
        <v>48316502.571428567</v>
      </c>
      <c r="T934" s="27">
        <f>T354*IF($E934="weekday",INDEX('Category Mapping'!$F$28:$F$39,MATCH('Summarized Source Data'!$A934,'Category Mapping'!$A$28:$A$39,0),1),INDEX('Category Mapping'!$E$28:$E$39,MATCH($A934,'Category Mapping'!$A$28:$A$39,0),1))</f>
        <v>48316502.571428567</v>
      </c>
      <c r="U934" s="27">
        <f>U354*IF($E934="weekday",INDEX('Category Mapping'!$F$28:$F$39,MATCH('Summarized Source Data'!$A934,'Category Mapping'!$A$28:$A$39,0),1),INDEX('Category Mapping'!$E$28:$E$39,MATCH($A934,'Category Mapping'!$A$28:$A$39,0),1))</f>
        <v>48316502.571428567</v>
      </c>
      <c r="V934" s="27">
        <f>V354*IF($E934="weekday",INDEX('Category Mapping'!$F$28:$F$39,MATCH('Summarized Source Data'!$A934,'Category Mapping'!$A$28:$A$39,0),1),INDEX('Category Mapping'!$E$28:$E$39,MATCH($A934,'Category Mapping'!$A$28:$A$39,0),1))</f>
        <v>48316502.571428567</v>
      </c>
      <c r="W934" s="27">
        <f>W354*IF($E934="weekday",INDEX('Category Mapping'!$F$28:$F$39,MATCH('Summarized Source Data'!$A934,'Category Mapping'!$A$28:$A$39,0),1),INDEX('Category Mapping'!$E$28:$E$39,MATCH($A934,'Category Mapping'!$A$28:$A$39,0),1))</f>
        <v>48316502.571428567</v>
      </c>
      <c r="X934" s="27">
        <f>X354*IF($E934="weekday",INDEX('Category Mapping'!$F$28:$F$39,MATCH('Summarized Source Data'!$A934,'Category Mapping'!$A$28:$A$39,0),1),INDEX('Category Mapping'!$E$28:$E$39,MATCH($A934,'Category Mapping'!$A$28:$A$39,0),1))</f>
        <v>3099999999.9999995</v>
      </c>
      <c r="Y934" s="27">
        <f>Y354*IF($E934="weekday",INDEX('Category Mapping'!$F$28:$F$39,MATCH('Summarized Source Data'!$A934,'Category Mapping'!$A$28:$A$39,0),1),INDEX('Category Mapping'!$E$28:$E$39,MATCH($A934,'Category Mapping'!$A$28:$A$39,0),1))</f>
        <v>3099999999.9999995</v>
      </c>
      <c r="Z934" s="27">
        <f>Z354*IF($E934="weekday",INDEX('Category Mapping'!$F$28:$F$39,MATCH('Summarized Source Data'!$A934,'Category Mapping'!$A$28:$A$39,0),1),INDEX('Category Mapping'!$E$28:$E$39,MATCH($A934,'Category Mapping'!$A$28:$A$39,0),1))</f>
        <v>3099999999.9999995</v>
      </c>
    </row>
    <row r="935" spans="1:26" x14ac:dyDescent="0.3">
      <c r="A935">
        <f t="shared" ref="A935:E935" si="400">A355</f>
        <v>3</v>
      </c>
      <c r="B935" t="str">
        <f t="shared" si="400"/>
        <v>Spring</v>
      </c>
      <c r="C935" t="str">
        <f t="shared" si="400"/>
        <v>h16</v>
      </c>
      <c r="D935" t="str">
        <f t="shared" si="400"/>
        <v>Hour15</v>
      </c>
      <c r="E935" t="str">
        <f t="shared" si="400"/>
        <v>Weekend</v>
      </c>
      <c r="F935" s="27">
        <f>F355*IF($E935="weekday",INDEX('Category Mapping'!$F$28:$F$39,MATCH('Summarized Source Data'!$A935,'Category Mapping'!$A$28:$A$39,0),1),INDEX('Category Mapping'!$E$28:$E$39,MATCH($A935,'Category Mapping'!$A$28:$A$39,0),1))</f>
        <v>58538132.57142856</v>
      </c>
      <c r="G935" s="27">
        <f>G355*IF($E935="weekday",INDEX('Category Mapping'!$F$28:$F$39,MATCH('Summarized Source Data'!$A935,'Category Mapping'!$A$28:$A$39,0),1),INDEX('Category Mapping'!$E$28:$E$39,MATCH($A935,'Category Mapping'!$A$28:$A$39,0),1))</f>
        <v>102202.57142857142</v>
      </c>
      <c r="H935" s="27">
        <f>H355*IF($E935="weekday",INDEX('Category Mapping'!$F$28:$F$39,MATCH('Summarized Source Data'!$A935,'Category Mapping'!$A$28:$A$39,0),1),INDEX('Category Mapping'!$E$28:$E$39,MATCH($A935,'Category Mapping'!$A$28:$A$39,0),1))</f>
        <v>0</v>
      </c>
      <c r="I935" s="27">
        <f>I355*IF($E935="weekday",INDEX('Category Mapping'!$F$28:$F$39,MATCH('Summarized Source Data'!$A935,'Category Mapping'!$A$28:$A$39,0),1),INDEX('Category Mapping'!$E$28:$E$39,MATCH($A935,'Category Mapping'!$A$28:$A$39,0),1))</f>
        <v>69737316.571428567</v>
      </c>
      <c r="J935" s="27">
        <f>J355*IF($E935="weekday",INDEX('Category Mapping'!$F$28:$F$39,MATCH('Summarized Source Data'!$A935,'Category Mapping'!$A$28:$A$39,0),1),INDEX('Category Mapping'!$E$28:$E$39,MATCH($A935,'Category Mapping'!$A$28:$A$39,0),1))</f>
        <v>783908062.57142842</v>
      </c>
      <c r="K935" s="27">
        <f>K355*IF($E935="weekday",INDEX('Category Mapping'!$F$28:$F$39,MATCH('Summarized Source Data'!$A935,'Category Mapping'!$A$28:$A$39,0),1),INDEX('Category Mapping'!$E$28:$E$39,MATCH($A935,'Category Mapping'!$A$28:$A$39,0),1))</f>
        <v>783908062.57142842</v>
      </c>
      <c r="L935" s="27">
        <f>L355*IF($E935="weekday",INDEX('Category Mapping'!$F$28:$F$39,MATCH('Summarized Source Data'!$A935,'Category Mapping'!$A$28:$A$39,0),1),INDEX('Category Mapping'!$E$28:$E$39,MATCH($A935,'Category Mapping'!$A$28:$A$39,0),1))</f>
        <v>99199999.999999985</v>
      </c>
      <c r="M935" s="27">
        <f>M355*IF($E935="weekday",INDEX('Category Mapping'!$F$28:$F$39,MATCH('Summarized Source Data'!$A935,'Category Mapping'!$A$28:$A$39,0),1),INDEX('Category Mapping'!$E$28:$E$39,MATCH($A935,'Category Mapping'!$A$28:$A$39,0),1))</f>
        <v>569824.28571428568</v>
      </c>
      <c r="N935" s="27">
        <f>N355*IF($E935="weekday",INDEX('Category Mapping'!$F$28:$F$39,MATCH('Summarized Source Data'!$A935,'Category Mapping'!$A$28:$A$39,0),1),INDEX('Category Mapping'!$E$28:$E$39,MATCH($A935,'Category Mapping'!$A$28:$A$39,0),1))</f>
        <v>0</v>
      </c>
      <c r="O935" s="27">
        <f>O355*IF($E935="weekday",INDEX('Category Mapping'!$F$28:$F$39,MATCH('Summarized Source Data'!$A935,'Category Mapping'!$A$28:$A$39,0),1),INDEX('Category Mapping'!$E$28:$E$39,MATCH($A935,'Category Mapping'!$A$28:$A$39,0),1))</f>
        <v>963087318.57142842</v>
      </c>
      <c r="P935" s="27">
        <f>P355*IF($E935="weekday",INDEX('Category Mapping'!$F$28:$F$39,MATCH('Summarized Source Data'!$A935,'Category Mapping'!$A$28:$A$39,0),1),INDEX('Category Mapping'!$E$28:$E$39,MATCH($A935,'Category Mapping'!$A$28:$A$39,0),1))</f>
        <v>963087318.57142842</v>
      </c>
      <c r="Q935" s="27">
        <f>Q355*IF($E935="weekday",INDEX('Category Mapping'!$F$28:$F$39,MATCH('Summarized Source Data'!$A935,'Category Mapping'!$A$28:$A$39,0),1),INDEX('Category Mapping'!$E$28:$E$39,MATCH($A935,'Category Mapping'!$A$28:$A$39,0),1))</f>
        <v>963087318.57142842</v>
      </c>
      <c r="R935" s="27">
        <f>R355*IF($E935="weekday",INDEX('Category Mapping'!$F$28:$F$39,MATCH('Summarized Source Data'!$A935,'Category Mapping'!$A$28:$A$39,0),1),INDEX('Category Mapping'!$E$28:$E$39,MATCH($A935,'Category Mapping'!$A$28:$A$39,0),1))</f>
        <v>47382968.571428567</v>
      </c>
      <c r="S935" s="27">
        <f>S355*IF($E935="weekday",INDEX('Category Mapping'!$F$28:$F$39,MATCH('Summarized Source Data'!$A935,'Category Mapping'!$A$28:$A$39,0),1),INDEX('Category Mapping'!$E$28:$E$39,MATCH($A935,'Category Mapping'!$A$28:$A$39,0),1))</f>
        <v>47382968.571428567</v>
      </c>
      <c r="T935" s="27">
        <f>T355*IF($E935="weekday",INDEX('Category Mapping'!$F$28:$F$39,MATCH('Summarized Source Data'!$A935,'Category Mapping'!$A$28:$A$39,0),1),INDEX('Category Mapping'!$E$28:$E$39,MATCH($A935,'Category Mapping'!$A$28:$A$39,0),1))</f>
        <v>47382968.571428567</v>
      </c>
      <c r="U935" s="27">
        <f>U355*IF($E935="weekday",INDEX('Category Mapping'!$F$28:$F$39,MATCH('Summarized Source Data'!$A935,'Category Mapping'!$A$28:$A$39,0),1),INDEX('Category Mapping'!$E$28:$E$39,MATCH($A935,'Category Mapping'!$A$28:$A$39,0),1))</f>
        <v>47382968.571428567</v>
      </c>
      <c r="V935" s="27">
        <f>V355*IF($E935="weekday",INDEX('Category Mapping'!$F$28:$F$39,MATCH('Summarized Source Data'!$A935,'Category Mapping'!$A$28:$A$39,0),1),INDEX('Category Mapping'!$E$28:$E$39,MATCH($A935,'Category Mapping'!$A$28:$A$39,0),1))</f>
        <v>47382968.571428567</v>
      </c>
      <c r="W935" s="27">
        <f>W355*IF($E935="weekday",INDEX('Category Mapping'!$F$28:$F$39,MATCH('Summarized Source Data'!$A935,'Category Mapping'!$A$28:$A$39,0),1),INDEX('Category Mapping'!$E$28:$E$39,MATCH($A935,'Category Mapping'!$A$28:$A$39,0),1))</f>
        <v>47382968.571428567</v>
      </c>
      <c r="X935" s="27">
        <f>X355*IF($E935="weekday",INDEX('Category Mapping'!$F$28:$F$39,MATCH('Summarized Source Data'!$A935,'Category Mapping'!$A$28:$A$39,0),1),INDEX('Category Mapping'!$E$28:$E$39,MATCH($A935,'Category Mapping'!$A$28:$A$39,0),1))</f>
        <v>3135428571.4285707</v>
      </c>
      <c r="Y935" s="27">
        <f>Y355*IF($E935="weekday",INDEX('Category Mapping'!$F$28:$F$39,MATCH('Summarized Source Data'!$A935,'Category Mapping'!$A$28:$A$39,0),1),INDEX('Category Mapping'!$E$28:$E$39,MATCH($A935,'Category Mapping'!$A$28:$A$39,0),1))</f>
        <v>3135428571.4285707</v>
      </c>
      <c r="Z935" s="27">
        <f>Z355*IF($E935="weekday",INDEX('Category Mapping'!$F$28:$F$39,MATCH('Summarized Source Data'!$A935,'Category Mapping'!$A$28:$A$39,0),1),INDEX('Category Mapping'!$E$28:$E$39,MATCH($A935,'Category Mapping'!$A$28:$A$39,0),1))</f>
        <v>3135428571.4285707</v>
      </c>
    </row>
    <row r="936" spans="1:26" x14ac:dyDescent="0.3">
      <c r="A936">
        <f t="shared" ref="A936:E936" si="401">A356</f>
        <v>3</v>
      </c>
      <c r="B936" t="str">
        <f t="shared" si="401"/>
        <v>Spring</v>
      </c>
      <c r="C936" t="str">
        <f t="shared" si="401"/>
        <v>h17</v>
      </c>
      <c r="D936" t="str">
        <f t="shared" si="401"/>
        <v>Hour16</v>
      </c>
      <c r="E936" t="str">
        <f t="shared" si="401"/>
        <v>Weekend</v>
      </c>
      <c r="F936" s="27">
        <f>F356*IF($E936="weekday",INDEX('Category Mapping'!$F$28:$F$39,MATCH('Summarized Source Data'!$A936,'Category Mapping'!$A$28:$A$39,0),1),INDEX('Category Mapping'!$E$28:$E$39,MATCH($A936,'Category Mapping'!$A$28:$A$39,0),1))</f>
        <v>59543728.285714276</v>
      </c>
      <c r="G936" s="27">
        <f>G356*IF($E936="weekday",INDEX('Category Mapping'!$F$28:$F$39,MATCH('Summarized Source Data'!$A936,'Category Mapping'!$A$28:$A$39,0),1),INDEX('Category Mapping'!$E$28:$E$39,MATCH($A936,'Category Mapping'!$A$28:$A$39,0),1))</f>
        <v>103017.42857142855</v>
      </c>
      <c r="H936" s="27">
        <f>H356*IF($E936="weekday",INDEX('Category Mapping'!$F$28:$F$39,MATCH('Summarized Source Data'!$A936,'Category Mapping'!$A$28:$A$39,0),1),INDEX('Category Mapping'!$E$28:$E$39,MATCH($A936,'Category Mapping'!$A$28:$A$39,0),1))</f>
        <v>0</v>
      </c>
      <c r="I936" s="27">
        <f>I356*IF($E936="weekday",INDEX('Category Mapping'!$F$28:$F$39,MATCH('Summarized Source Data'!$A936,'Category Mapping'!$A$28:$A$39,0),1),INDEX('Category Mapping'!$E$28:$E$39,MATCH($A936,'Category Mapping'!$A$28:$A$39,0),1))</f>
        <v>76182136.857142851</v>
      </c>
      <c r="J936" s="27">
        <f>J356*IF($E936="weekday",INDEX('Category Mapping'!$F$28:$F$39,MATCH('Summarized Source Data'!$A936,'Category Mapping'!$A$28:$A$39,0),1),INDEX('Category Mapping'!$E$28:$E$39,MATCH($A936,'Category Mapping'!$A$28:$A$39,0),1))</f>
        <v>838456831.71428561</v>
      </c>
      <c r="K936" s="27">
        <f>K356*IF($E936="weekday",INDEX('Category Mapping'!$F$28:$F$39,MATCH('Summarized Source Data'!$A936,'Category Mapping'!$A$28:$A$39,0),1),INDEX('Category Mapping'!$E$28:$E$39,MATCH($A936,'Category Mapping'!$A$28:$A$39,0),1))</f>
        <v>838456831.71428561</v>
      </c>
      <c r="L936" s="27">
        <f>L356*IF($E936="weekday",INDEX('Category Mapping'!$F$28:$F$39,MATCH('Summarized Source Data'!$A936,'Category Mapping'!$A$28:$A$39,0),1),INDEX('Category Mapping'!$E$28:$E$39,MATCH($A936,'Category Mapping'!$A$28:$A$39,0),1))</f>
        <v>97428571.428571418</v>
      </c>
      <c r="M936" s="27">
        <f>M356*IF($E936="weekday",INDEX('Category Mapping'!$F$28:$F$39,MATCH('Summarized Source Data'!$A936,'Category Mapping'!$A$28:$A$39,0),1),INDEX('Category Mapping'!$E$28:$E$39,MATCH($A936,'Category Mapping'!$A$28:$A$39,0),1))</f>
        <v>563695.14285714272</v>
      </c>
      <c r="N936" s="27">
        <f>N356*IF($E936="weekday",INDEX('Category Mapping'!$F$28:$F$39,MATCH('Summarized Source Data'!$A936,'Category Mapping'!$A$28:$A$39,0),1),INDEX('Category Mapping'!$E$28:$E$39,MATCH($A936,'Category Mapping'!$A$28:$A$39,0),1))</f>
        <v>0</v>
      </c>
      <c r="O936" s="27">
        <f>O356*IF($E936="weekday",INDEX('Category Mapping'!$F$28:$F$39,MATCH('Summarized Source Data'!$A936,'Category Mapping'!$A$28:$A$39,0),1),INDEX('Category Mapping'!$E$28:$E$39,MATCH($A936,'Category Mapping'!$A$28:$A$39,0),1))</f>
        <v>911722019.14285696</v>
      </c>
      <c r="P936" s="27">
        <f>P356*IF($E936="weekday",INDEX('Category Mapping'!$F$28:$F$39,MATCH('Summarized Source Data'!$A936,'Category Mapping'!$A$28:$A$39,0),1),INDEX('Category Mapping'!$E$28:$E$39,MATCH($A936,'Category Mapping'!$A$28:$A$39,0),1))</f>
        <v>911722019.14285696</v>
      </c>
      <c r="Q936" s="27">
        <f>Q356*IF($E936="weekday",INDEX('Category Mapping'!$F$28:$F$39,MATCH('Summarized Source Data'!$A936,'Category Mapping'!$A$28:$A$39,0),1),INDEX('Category Mapping'!$E$28:$E$39,MATCH($A936,'Category Mapping'!$A$28:$A$39,0),1))</f>
        <v>911722019.14285696</v>
      </c>
      <c r="R936" s="27">
        <f>R356*IF($E936="weekday",INDEX('Category Mapping'!$F$28:$F$39,MATCH('Summarized Source Data'!$A936,'Category Mapping'!$A$28:$A$39,0),1),INDEX('Category Mapping'!$E$28:$E$39,MATCH($A936,'Category Mapping'!$A$28:$A$39,0),1))</f>
        <v>54271602.571428567</v>
      </c>
      <c r="S936" s="27">
        <f>S356*IF($E936="weekday",INDEX('Category Mapping'!$F$28:$F$39,MATCH('Summarized Source Data'!$A936,'Category Mapping'!$A$28:$A$39,0),1),INDEX('Category Mapping'!$E$28:$E$39,MATCH($A936,'Category Mapping'!$A$28:$A$39,0),1))</f>
        <v>54271602.571428567</v>
      </c>
      <c r="T936" s="27">
        <f>T356*IF($E936="weekday",INDEX('Category Mapping'!$F$28:$F$39,MATCH('Summarized Source Data'!$A936,'Category Mapping'!$A$28:$A$39,0),1),INDEX('Category Mapping'!$E$28:$E$39,MATCH($A936,'Category Mapping'!$A$28:$A$39,0),1))</f>
        <v>54271602.571428567</v>
      </c>
      <c r="U936" s="27">
        <f>U356*IF($E936="weekday",INDEX('Category Mapping'!$F$28:$F$39,MATCH('Summarized Source Data'!$A936,'Category Mapping'!$A$28:$A$39,0),1),INDEX('Category Mapping'!$E$28:$E$39,MATCH($A936,'Category Mapping'!$A$28:$A$39,0),1))</f>
        <v>54271602.571428567</v>
      </c>
      <c r="V936" s="27">
        <f>V356*IF($E936="weekday",INDEX('Category Mapping'!$F$28:$F$39,MATCH('Summarized Source Data'!$A936,'Category Mapping'!$A$28:$A$39,0),1),INDEX('Category Mapping'!$E$28:$E$39,MATCH($A936,'Category Mapping'!$A$28:$A$39,0),1))</f>
        <v>54271602.571428567</v>
      </c>
      <c r="W936" s="27">
        <f>W356*IF($E936="weekday",INDEX('Category Mapping'!$F$28:$F$39,MATCH('Summarized Source Data'!$A936,'Category Mapping'!$A$28:$A$39,0),1),INDEX('Category Mapping'!$E$28:$E$39,MATCH($A936,'Category Mapping'!$A$28:$A$39,0),1))</f>
        <v>54271602.571428567</v>
      </c>
      <c r="X936" s="27">
        <f>X356*IF($E936="weekday",INDEX('Category Mapping'!$F$28:$F$39,MATCH('Summarized Source Data'!$A936,'Category Mapping'!$A$28:$A$39,0),1),INDEX('Category Mapping'!$E$28:$E$39,MATCH($A936,'Category Mapping'!$A$28:$A$39,0),1))</f>
        <v>3170857142.8571424</v>
      </c>
      <c r="Y936" s="27">
        <f>Y356*IF($E936="weekday",INDEX('Category Mapping'!$F$28:$F$39,MATCH('Summarized Source Data'!$A936,'Category Mapping'!$A$28:$A$39,0),1),INDEX('Category Mapping'!$E$28:$E$39,MATCH($A936,'Category Mapping'!$A$28:$A$39,0),1))</f>
        <v>3170857142.8571424</v>
      </c>
      <c r="Z936" s="27">
        <f>Z356*IF($E936="weekday",INDEX('Category Mapping'!$F$28:$F$39,MATCH('Summarized Source Data'!$A936,'Category Mapping'!$A$28:$A$39,0),1),INDEX('Category Mapping'!$E$28:$E$39,MATCH($A936,'Category Mapping'!$A$28:$A$39,0),1))</f>
        <v>3170857142.8571424</v>
      </c>
    </row>
    <row r="937" spans="1:26" x14ac:dyDescent="0.3">
      <c r="A937">
        <f t="shared" ref="A937:E937" si="402">A357</f>
        <v>3</v>
      </c>
      <c r="B937" t="str">
        <f t="shared" si="402"/>
        <v>Spring</v>
      </c>
      <c r="C937" t="str">
        <f t="shared" si="402"/>
        <v>h18</v>
      </c>
      <c r="D937" t="str">
        <f t="shared" si="402"/>
        <v>Hour17</v>
      </c>
      <c r="E937" t="str">
        <f t="shared" si="402"/>
        <v>Weekend</v>
      </c>
      <c r="F937" s="27">
        <f>F357*IF($E937="weekday",INDEX('Category Mapping'!$F$28:$F$39,MATCH('Summarized Source Data'!$A937,'Category Mapping'!$A$28:$A$39,0),1),INDEX('Category Mapping'!$E$28:$E$39,MATCH($A937,'Category Mapping'!$A$28:$A$39,0),1))</f>
        <v>61765755.142857134</v>
      </c>
      <c r="G937" s="27">
        <f>G357*IF($E937="weekday",INDEX('Category Mapping'!$F$28:$F$39,MATCH('Summarized Source Data'!$A937,'Category Mapping'!$A$28:$A$39,0),1),INDEX('Category Mapping'!$E$28:$E$39,MATCH($A937,'Category Mapping'!$A$28:$A$39,0),1))</f>
        <v>107091.71428571428</v>
      </c>
      <c r="H937" s="27">
        <f>H357*IF($E937="weekday",INDEX('Category Mapping'!$F$28:$F$39,MATCH('Summarized Source Data'!$A937,'Category Mapping'!$A$28:$A$39,0),1),INDEX('Category Mapping'!$E$28:$E$39,MATCH($A937,'Category Mapping'!$A$28:$A$39,0),1))</f>
        <v>0</v>
      </c>
      <c r="I937" s="27">
        <f>I357*IF($E937="weekday",INDEX('Category Mapping'!$F$28:$F$39,MATCH('Summarized Source Data'!$A937,'Category Mapping'!$A$28:$A$39,0),1),INDEX('Category Mapping'!$E$28:$E$39,MATCH($A937,'Category Mapping'!$A$28:$A$39,0),1))</f>
        <v>246228571.4285714</v>
      </c>
      <c r="J937" s="27">
        <f>J357*IF($E937="weekday",INDEX('Category Mapping'!$F$28:$F$39,MATCH('Summarized Source Data'!$A937,'Category Mapping'!$A$28:$A$39,0),1),INDEX('Category Mapping'!$E$28:$E$39,MATCH($A937,'Category Mapping'!$A$28:$A$39,0),1))</f>
        <v>843327153.14285707</v>
      </c>
      <c r="K937" s="27">
        <f>K357*IF($E937="weekday",INDEX('Category Mapping'!$F$28:$F$39,MATCH('Summarized Source Data'!$A937,'Category Mapping'!$A$28:$A$39,0),1),INDEX('Category Mapping'!$E$28:$E$39,MATCH($A937,'Category Mapping'!$A$28:$A$39,0),1))</f>
        <v>843327153.14285707</v>
      </c>
      <c r="L937" s="27">
        <f>L357*IF($E937="weekday",INDEX('Category Mapping'!$F$28:$F$39,MATCH('Summarized Source Data'!$A937,'Category Mapping'!$A$28:$A$39,0),1),INDEX('Category Mapping'!$E$28:$E$39,MATCH($A937,'Category Mapping'!$A$28:$A$39,0),1))</f>
        <v>105399999.99999999</v>
      </c>
      <c r="M937" s="27">
        <f>M357*IF($E937="weekday",INDEX('Category Mapping'!$F$28:$F$39,MATCH('Summarized Source Data'!$A937,'Category Mapping'!$A$28:$A$39,0),1),INDEX('Category Mapping'!$E$28:$E$39,MATCH($A937,'Category Mapping'!$A$28:$A$39,0),1))</f>
        <v>550081.7142857142</v>
      </c>
      <c r="N937" s="27">
        <f>N357*IF($E937="weekday",INDEX('Category Mapping'!$F$28:$F$39,MATCH('Summarized Source Data'!$A937,'Category Mapping'!$A$28:$A$39,0),1),INDEX('Category Mapping'!$E$28:$E$39,MATCH($A937,'Category Mapping'!$A$28:$A$39,0),1))</f>
        <v>0</v>
      </c>
      <c r="O937" s="27">
        <f>O357*IF($E937="weekday",INDEX('Category Mapping'!$F$28:$F$39,MATCH('Summarized Source Data'!$A937,'Category Mapping'!$A$28:$A$39,0),1),INDEX('Category Mapping'!$E$28:$E$39,MATCH($A937,'Category Mapping'!$A$28:$A$39,0),1))</f>
        <v>921478489.71428561</v>
      </c>
      <c r="P937" s="27">
        <f>P357*IF($E937="weekday",INDEX('Category Mapping'!$F$28:$F$39,MATCH('Summarized Source Data'!$A937,'Category Mapping'!$A$28:$A$39,0),1),INDEX('Category Mapping'!$E$28:$E$39,MATCH($A937,'Category Mapping'!$A$28:$A$39,0),1))</f>
        <v>921478489.71428561</v>
      </c>
      <c r="Q937" s="27">
        <f>Q357*IF($E937="weekday",INDEX('Category Mapping'!$F$28:$F$39,MATCH('Summarized Source Data'!$A937,'Category Mapping'!$A$28:$A$39,0),1),INDEX('Category Mapping'!$E$28:$E$39,MATCH($A937,'Category Mapping'!$A$28:$A$39,0),1))</f>
        <v>921478489.71428561</v>
      </c>
      <c r="R937" s="27">
        <f>R357*IF($E937="weekday",INDEX('Category Mapping'!$F$28:$F$39,MATCH('Summarized Source Data'!$A937,'Category Mapping'!$A$28:$A$39,0),1),INDEX('Category Mapping'!$E$28:$E$39,MATCH($A937,'Category Mapping'!$A$28:$A$39,0),1))</f>
        <v>54323469.999999993</v>
      </c>
      <c r="S937" s="27">
        <f>S357*IF($E937="weekday",INDEX('Category Mapping'!$F$28:$F$39,MATCH('Summarized Source Data'!$A937,'Category Mapping'!$A$28:$A$39,0),1),INDEX('Category Mapping'!$E$28:$E$39,MATCH($A937,'Category Mapping'!$A$28:$A$39,0),1))</f>
        <v>54323469.999999993</v>
      </c>
      <c r="T937" s="27">
        <f>T357*IF($E937="weekday",INDEX('Category Mapping'!$F$28:$F$39,MATCH('Summarized Source Data'!$A937,'Category Mapping'!$A$28:$A$39,0),1),INDEX('Category Mapping'!$E$28:$E$39,MATCH($A937,'Category Mapping'!$A$28:$A$39,0),1))</f>
        <v>54323469.999999993</v>
      </c>
      <c r="U937" s="27">
        <f>U357*IF($E937="weekday",INDEX('Category Mapping'!$F$28:$F$39,MATCH('Summarized Source Data'!$A937,'Category Mapping'!$A$28:$A$39,0),1),INDEX('Category Mapping'!$E$28:$E$39,MATCH($A937,'Category Mapping'!$A$28:$A$39,0),1))</f>
        <v>54323469.999999993</v>
      </c>
      <c r="V937" s="27">
        <f>V357*IF($E937="weekday",INDEX('Category Mapping'!$F$28:$F$39,MATCH('Summarized Source Data'!$A937,'Category Mapping'!$A$28:$A$39,0),1),INDEX('Category Mapping'!$E$28:$E$39,MATCH($A937,'Category Mapping'!$A$28:$A$39,0),1))</f>
        <v>54323469.999999993</v>
      </c>
      <c r="W937" s="27">
        <f>W357*IF($E937="weekday",INDEX('Category Mapping'!$F$28:$F$39,MATCH('Summarized Source Data'!$A937,'Category Mapping'!$A$28:$A$39,0),1),INDEX('Category Mapping'!$E$28:$E$39,MATCH($A937,'Category Mapping'!$A$28:$A$39,0),1))</f>
        <v>54323469.999999993</v>
      </c>
      <c r="X937" s="27">
        <f>X357*IF($E937="weekday",INDEX('Category Mapping'!$F$28:$F$39,MATCH('Summarized Source Data'!$A937,'Category Mapping'!$A$28:$A$39,0),1),INDEX('Category Mapping'!$E$28:$E$39,MATCH($A937,'Category Mapping'!$A$28:$A$39,0),1))</f>
        <v>3179714285.7142854</v>
      </c>
      <c r="Y937" s="27">
        <f>Y357*IF($E937="weekday",INDEX('Category Mapping'!$F$28:$F$39,MATCH('Summarized Source Data'!$A937,'Category Mapping'!$A$28:$A$39,0),1),INDEX('Category Mapping'!$E$28:$E$39,MATCH($A937,'Category Mapping'!$A$28:$A$39,0),1))</f>
        <v>3179714285.7142854</v>
      </c>
      <c r="Z937" s="27">
        <f>Z357*IF($E937="weekday",INDEX('Category Mapping'!$F$28:$F$39,MATCH('Summarized Source Data'!$A937,'Category Mapping'!$A$28:$A$39,0),1),INDEX('Category Mapping'!$E$28:$E$39,MATCH($A937,'Category Mapping'!$A$28:$A$39,0),1))</f>
        <v>3179714285.7142854</v>
      </c>
    </row>
    <row r="938" spans="1:26" x14ac:dyDescent="0.3">
      <c r="A938">
        <f t="shared" ref="A938:E938" si="403">A358</f>
        <v>3</v>
      </c>
      <c r="B938" t="str">
        <f t="shared" si="403"/>
        <v>Spring</v>
      </c>
      <c r="C938" t="str">
        <f t="shared" si="403"/>
        <v>h19</v>
      </c>
      <c r="D938" t="str">
        <f t="shared" si="403"/>
        <v>Hour18</v>
      </c>
      <c r="E938" t="str">
        <f t="shared" si="403"/>
        <v>Weekend</v>
      </c>
      <c r="F938" s="27">
        <f>F358*IF($E938="weekday",INDEX('Category Mapping'!$F$28:$F$39,MATCH('Summarized Source Data'!$A938,'Category Mapping'!$A$28:$A$39,0),1),INDEX('Category Mapping'!$E$28:$E$39,MATCH($A938,'Category Mapping'!$A$28:$A$39,0),1))</f>
        <v>67233118.857142851</v>
      </c>
      <c r="G938" s="27">
        <f>G358*IF($E938="weekday",INDEX('Category Mapping'!$F$28:$F$39,MATCH('Summarized Source Data'!$A938,'Category Mapping'!$A$28:$A$39,0),1),INDEX('Category Mapping'!$E$28:$E$39,MATCH($A938,'Category Mapping'!$A$28:$A$39,0),1))</f>
        <v>113672.57142857141</v>
      </c>
      <c r="H938" s="27">
        <f>H358*IF($E938="weekday",INDEX('Category Mapping'!$F$28:$F$39,MATCH('Summarized Source Data'!$A938,'Category Mapping'!$A$28:$A$39,0),1),INDEX('Category Mapping'!$E$28:$E$39,MATCH($A938,'Category Mapping'!$A$28:$A$39,0),1))</f>
        <v>0</v>
      </c>
      <c r="I938" s="27">
        <f>I358*IF($E938="weekday",INDEX('Category Mapping'!$F$28:$F$39,MATCH('Summarized Source Data'!$A938,'Category Mapping'!$A$28:$A$39,0),1),INDEX('Category Mapping'!$E$28:$E$39,MATCH($A938,'Category Mapping'!$A$28:$A$39,0),1))</f>
        <v>264828571.4285714</v>
      </c>
      <c r="J938" s="27">
        <f>J358*IF($E938="weekday",INDEX('Category Mapping'!$F$28:$F$39,MATCH('Summarized Source Data'!$A938,'Category Mapping'!$A$28:$A$39,0),1),INDEX('Category Mapping'!$E$28:$E$39,MATCH($A938,'Category Mapping'!$A$28:$A$39,0),1))</f>
        <v>819253208.57142842</v>
      </c>
      <c r="K938" s="27">
        <f>K358*IF($E938="weekday",INDEX('Category Mapping'!$F$28:$F$39,MATCH('Summarized Source Data'!$A938,'Category Mapping'!$A$28:$A$39,0),1),INDEX('Category Mapping'!$E$28:$E$39,MATCH($A938,'Category Mapping'!$A$28:$A$39,0),1))</f>
        <v>819253208.57142842</v>
      </c>
      <c r="L938" s="27">
        <f>L358*IF($E938="weekday",INDEX('Category Mapping'!$F$28:$F$39,MATCH('Summarized Source Data'!$A938,'Category Mapping'!$A$28:$A$39,0),1),INDEX('Category Mapping'!$E$28:$E$39,MATCH($A938,'Category Mapping'!$A$28:$A$39,0),1))</f>
        <v>106285714.28571427</v>
      </c>
      <c r="M938" s="27">
        <f>M358*IF($E938="weekday",INDEX('Category Mapping'!$F$28:$F$39,MATCH('Summarized Source Data'!$A938,'Category Mapping'!$A$28:$A$39,0),1),INDEX('Category Mapping'!$E$28:$E$39,MATCH($A938,'Category Mapping'!$A$28:$A$39,0),1))</f>
        <v>538283.99999999988</v>
      </c>
      <c r="N938" s="27">
        <f>N358*IF($E938="weekday",INDEX('Category Mapping'!$F$28:$F$39,MATCH('Summarized Source Data'!$A938,'Category Mapping'!$A$28:$A$39,0),1),INDEX('Category Mapping'!$E$28:$E$39,MATCH($A938,'Category Mapping'!$A$28:$A$39,0),1))</f>
        <v>0</v>
      </c>
      <c r="O938" s="27">
        <f>O358*IF($E938="weekday",INDEX('Category Mapping'!$F$28:$F$39,MATCH('Summarized Source Data'!$A938,'Category Mapping'!$A$28:$A$39,0),1),INDEX('Category Mapping'!$E$28:$E$39,MATCH($A938,'Category Mapping'!$A$28:$A$39,0),1))</f>
        <v>911747430.28571415</v>
      </c>
      <c r="P938" s="27">
        <f>P358*IF($E938="weekday",INDEX('Category Mapping'!$F$28:$F$39,MATCH('Summarized Source Data'!$A938,'Category Mapping'!$A$28:$A$39,0),1),INDEX('Category Mapping'!$E$28:$E$39,MATCH($A938,'Category Mapping'!$A$28:$A$39,0),1))</f>
        <v>911747430.28571415</v>
      </c>
      <c r="Q938" s="27">
        <f>Q358*IF($E938="weekday",INDEX('Category Mapping'!$F$28:$F$39,MATCH('Summarized Source Data'!$A938,'Category Mapping'!$A$28:$A$39,0),1),INDEX('Category Mapping'!$E$28:$E$39,MATCH($A938,'Category Mapping'!$A$28:$A$39,0),1))</f>
        <v>911747430.28571415</v>
      </c>
      <c r="R938" s="27">
        <f>R358*IF($E938="weekday",INDEX('Category Mapping'!$F$28:$F$39,MATCH('Summarized Source Data'!$A938,'Category Mapping'!$A$28:$A$39,0),1),INDEX('Category Mapping'!$E$28:$E$39,MATCH($A938,'Category Mapping'!$A$28:$A$39,0),1))</f>
        <v>53960424.571428567</v>
      </c>
      <c r="S938" s="27">
        <f>S358*IF($E938="weekday",INDEX('Category Mapping'!$F$28:$F$39,MATCH('Summarized Source Data'!$A938,'Category Mapping'!$A$28:$A$39,0),1),INDEX('Category Mapping'!$E$28:$E$39,MATCH($A938,'Category Mapping'!$A$28:$A$39,0),1))</f>
        <v>53960424.571428567</v>
      </c>
      <c r="T938" s="27">
        <f>T358*IF($E938="weekday",INDEX('Category Mapping'!$F$28:$F$39,MATCH('Summarized Source Data'!$A938,'Category Mapping'!$A$28:$A$39,0),1),INDEX('Category Mapping'!$E$28:$E$39,MATCH($A938,'Category Mapping'!$A$28:$A$39,0),1))</f>
        <v>53960424.571428567</v>
      </c>
      <c r="U938" s="27">
        <f>U358*IF($E938="weekday",INDEX('Category Mapping'!$F$28:$F$39,MATCH('Summarized Source Data'!$A938,'Category Mapping'!$A$28:$A$39,0),1),INDEX('Category Mapping'!$E$28:$E$39,MATCH($A938,'Category Mapping'!$A$28:$A$39,0),1))</f>
        <v>53960424.571428567</v>
      </c>
      <c r="V938" s="27">
        <f>V358*IF($E938="weekday",INDEX('Category Mapping'!$F$28:$F$39,MATCH('Summarized Source Data'!$A938,'Category Mapping'!$A$28:$A$39,0),1),INDEX('Category Mapping'!$E$28:$E$39,MATCH($A938,'Category Mapping'!$A$28:$A$39,0),1))</f>
        <v>53960424.571428567</v>
      </c>
      <c r="W938" s="27">
        <f>W358*IF($E938="weekday",INDEX('Category Mapping'!$F$28:$F$39,MATCH('Summarized Source Data'!$A938,'Category Mapping'!$A$28:$A$39,0),1),INDEX('Category Mapping'!$E$28:$E$39,MATCH($A938,'Category Mapping'!$A$28:$A$39,0),1))</f>
        <v>53960424.571428567</v>
      </c>
      <c r="X938" s="27">
        <f>X358*IF($E938="weekday",INDEX('Category Mapping'!$F$28:$F$39,MATCH('Summarized Source Data'!$A938,'Category Mapping'!$A$28:$A$39,0),1),INDEX('Category Mapping'!$E$28:$E$39,MATCH($A938,'Category Mapping'!$A$28:$A$39,0),1))</f>
        <v>3170857142.8571424</v>
      </c>
      <c r="Y938" s="27">
        <f>Y358*IF($E938="weekday",INDEX('Category Mapping'!$F$28:$F$39,MATCH('Summarized Source Data'!$A938,'Category Mapping'!$A$28:$A$39,0),1),INDEX('Category Mapping'!$E$28:$E$39,MATCH($A938,'Category Mapping'!$A$28:$A$39,0),1))</f>
        <v>3170857142.8571424</v>
      </c>
      <c r="Z938" s="27">
        <f>Z358*IF($E938="weekday",INDEX('Category Mapping'!$F$28:$F$39,MATCH('Summarized Source Data'!$A938,'Category Mapping'!$A$28:$A$39,0),1),INDEX('Category Mapping'!$E$28:$E$39,MATCH($A938,'Category Mapping'!$A$28:$A$39,0),1))</f>
        <v>3170857142.8571424</v>
      </c>
    </row>
    <row r="939" spans="1:26" x14ac:dyDescent="0.3">
      <c r="A939">
        <f t="shared" ref="A939:E939" si="404">A359</f>
        <v>3</v>
      </c>
      <c r="B939" t="str">
        <f t="shared" si="404"/>
        <v>Spring</v>
      </c>
      <c r="C939" t="str">
        <f t="shared" si="404"/>
        <v>h20</v>
      </c>
      <c r="D939" t="str">
        <f t="shared" si="404"/>
        <v>Hour19</v>
      </c>
      <c r="E939" t="str">
        <f t="shared" si="404"/>
        <v>Weekend</v>
      </c>
      <c r="F939" s="27">
        <f>F359*IF($E939="weekday",INDEX('Category Mapping'!$F$28:$F$39,MATCH('Summarized Source Data'!$A939,'Category Mapping'!$A$28:$A$39,0),1),INDEX('Category Mapping'!$E$28:$E$39,MATCH($A939,'Category Mapping'!$A$28:$A$39,0),1))</f>
        <v>72981466.571428567</v>
      </c>
      <c r="G939" s="27">
        <f>G359*IF($E939="weekday",INDEX('Category Mapping'!$F$28:$F$39,MATCH('Summarized Source Data'!$A939,'Category Mapping'!$A$28:$A$39,0),1),INDEX('Category Mapping'!$E$28:$E$39,MATCH($A939,'Category Mapping'!$A$28:$A$39,0),1))</f>
        <v>120802.57142857141</v>
      </c>
      <c r="H939" s="27">
        <f>H359*IF($E939="weekday",INDEX('Category Mapping'!$F$28:$F$39,MATCH('Summarized Source Data'!$A939,'Category Mapping'!$A$28:$A$39,0),1),INDEX('Category Mapping'!$E$28:$E$39,MATCH($A939,'Category Mapping'!$A$28:$A$39,0),1))</f>
        <v>0</v>
      </c>
      <c r="I939" s="27">
        <f>I359*IF($E939="weekday",INDEX('Category Mapping'!$F$28:$F$39,MATCH('Summarized Source Data'!$A939,'Category Mapping'!$A$28:$A$39,0),1),INDEX('Category Mapping'!$E$28:$E$39,MATCH($A939,'Category Mapping'!$A$28:$A$39,0),1))</f>
        <v>277228571.4285714</v>
      </c>
      <c r="J939" s="27">
        <f>J359*IF($E939="weekday",INDEX('Category Mapping'!$F$28:$F$39,MATCH('Summarized Source Data'!$A939,'Category Mapping'!$A$28:$A$39,0),1),INDEX('Category Mapping'!$E$28:$E$39,MATCH($A939,'Category Mapping'!$A$28:$A$39,0),1))</f>
        <v>756812016.57142842</v>
      </c>
      <c r="K939" s="27">
        <f>K359*IF($E939="weekday",INDEX('Category Mapping'!$F$28:$F$39,MATCH('Summarized Source Data'!$A939,'Category Mapping'!$A$28:$A$39,0),1),INDEX('Category Mapping'!$E$28:$E$39,MATCH($A939,'Category Mapping'!$A$28:$A$39,0),1))</f>
        <v>756812016.57142842</v>
      </c>
      <c r="L939" s="27">
        <f>L359*IF($E939="weekday",INDEX('Category Mapping'!$F$28:$F$39,MATCH('Summarized Source Data'!$A939,'Category Mapping'!$A$28:$A$39,0),1),INDEX('Category Mapping'!$E$28:$E$39,MATCH($A939,'Category Mapping'!$A$28:$A$39,0),1))</f>
        <v>89457142.857142851</v>
      </c>
      <c r="M939" s="27">
        <f>M359*IF($E939="weekday",INDEX('Category Mapping'!$F$28:$F$39,MATCH('Summarized Source Data'!$A939,'Category Mapping'!$A$28:$A$39,0),1),INDEX('Category Mapping'!$E$28:$E$39,MATCH($A939,'Category Mapping'!$A$28:$A$39,0),1))</f>
        <v>521437.7142857142</v>
      </c>
      <c r="N939" s="27">
        <f>N359*IF($E939="weekday",INDEX('Category Mapping'!$F$28:$F$39,MATCH('Summarized Source Data'!$A939,'Category Mapping'!$A$28:$A$39,0),1),INDEX('Category Mapping'!$E$28:$E$39,MATCH($A939,'Category Mapping'!$A$28:$A$39,0),1))</f>
        <v>0</v>
      </c>
      <c r="O939" s="27">
        <f>O359*IF($E939="weekday",INDEX('Category Mapping'!$F$28:$F$39,MATCH('Summarized Source Data'!$A939,'Category Mapping'!$A$28:$A$39,0),1),INDEX('Category Mapping'!$E$28:$E$39,MATCH($A939,'Category Mapping'!$A$28:$A$39,0),1))</f>
        <v>884307133.71428561</v>
      </c>
      <c r="P939" s="27">
        <f>P359*IF($E939="weekday",INDEX('Category Mapping'!$F$28:$F$39,MATCH('Summarized Source Data'!$A939,'Category Mapping'!$A$28:$A$39,0),1),INDEX('Category Mapping'!$E$28:$E$39,MATCH($A939,'Category Mapping'!$A$28:$A$39,0),1))</f>
        <v>884307133.71428561</v>
      </c>
      <c r="Q939" s="27">
        <f>Q359*IF($E939="weekday",INDEX('Category Mapping'!$F$28:$F$39,MATCH('Summarized Source Data'!$A939,'Category Mapping'!$A$28:$A$39,0),1),INDEX('Category Mapping'!$E$28:$E$39,MATCH($A939,'Category Mapping'!$A$28:$A$39,0),1))</f>
        <v>884307133.71428561</v>
      </c>
      <c r="R939" s="27">
        <f>R359*IF($E939="weekday",INDEX('Category Mapping'!$F$28:$F$39,MATCH('Summarized Source Data'!$A939,'Category Mapping'!$A$28:$A$39,0),1),INDEX('Category Mapping'!$E$28:$E$39,MATCH($A939,'Category Mapping'!$A$28:$A$39,0),1))</f>
        <v>52767588.857142851</v>
      </c>
      <c r="S939" s="27">
        <f>S359*IF($E939="weekday",INDEX('Category Mapping'!$F$28:$F$39,MATCH('Summarized Source Data'!$A939,'Category Mapping'!$A$28:$A$39,0),1),INDEX('Category Mapping'!$E$28:$E$39,MATCH($A939,'Category Mapping'!$A$28:$A$39,0),1))</f>
        <v>52767588.857142851</v>
      </c>
      <c r="T939" s="27">
        <f>T359*IF($E939="weekday",INDEX('Category Mapping'!$F$28:$F$39,MATCH('Summarized Source Data'!$A939,'Category Mapping'!$A$28:$A$39,0),1),INDEX('Category Mapping'!$E$28:$E$39,MATCH($A939,'Category Mapping'!$A$28:$A$39,0),1))</f>
        <v>52767588.857142851</v>
      </c>
      <c r="U939" s="27">
        <f>U359*IF($E939="weekday",INDEX('Category Mapping'!$F$28:$F$39,MATCH('Summarized Source Data'!$A939,'Category Mapping'!$A$28:$A$39,0),1),INDEX('Category Mapping'!$E$28:$E$39,MATCH($A939,'Category Mapping'!$A$28:$A$39,0),1))</f>
        <v>52767588.857142851</v>
      </c>
      <c r="V939" s="27">
        <f>V359*IF($E939="weekday",INDEX('Category Mapping'!$F$28:$F$39,MATCH('Summarized Source Data'!$A939,'Category Mapping'!$A$28:$A$39,0),1),INDEX('Category Mapping'!$E$28:$E$39,MATCH($A939,'Category Mapping'!$A$28:$A$39,0),1))</f>
        <v>52767588.857142851</v>
      </c>
      <c r="W939" s="27">
        <f>W359*IF($E939="weekday",INDEX('Category Mapping'!$F$28:$F$39,MATCH('Summarized Source Data'!$A939,'Category Mapping'!$A$28:$A$39,0),1),INDEX('Category Mapping'!$E$28:$E$39,MATCH($A939,'Category Mapping'!$A$28:$A$39,0),1))</f>
        <v>52767588.857142851</v>
      </c>
      <c r="X939" s="27">
        <f>X359*IF($E939="weekday",INDEX('Category Mapping'!$F$28:$F$39,MATCH('Summarized Source Data'!$A939,'Category Mapping'!$A$28:$A$39,0),1),INDEX('Category Mapping'!$E$28:$E$39,MATCH($A939,'Category Mapping'!$A$28:$A$39,0),1))</f>
        <v>3153142857.1428566</v>
      </c>
      <c r="Y939" s="27">
        <f>Y359*IF($E939="weekday",INDEX('Category Mapping'!$F$28:$F$39,MATCH('Summarized Source Data'!$A939,'Category Mapping'!$A$28:$A$39,0),1),INDEX('Category Mapping'!$E$28:$E$39,MATCH($A939,'Category Mapping'!$A$28:$A$39,0),1))</f>
        <v>3153142857.1428566</v>
      </c>
      <c r="Z939" s="27">
        <f>Z359*IF($E939="weekday",INDEX('Category Mapping'!$F$28:$F$39,MATCH('Summarized Source Data'!$A939,'Category Mapping'!$A$28:$A$39,0),1),INDEX('Category Mapping'!$E$28:$E$39,MATCH($A939,'Category Mapping'!$A$28:$A$39,0),1))</f>
        <v>3153142857.1428566</v>
      </c>
    </row>
    <row r="940" spans="1:26" x14ac:dyDescent="0.3">
      <c r="A940">
        <f t="shared" ref="A940:E940" si="405">A360</f>
        <v>3</v>
      </c>
      <c r="B940" t="str">
        <f t="shared" si="405"/>
        <v>Spring</v>
      </c>
      <c r="C940" t="str">
        <f t="shared" si="405"/>
        <v>h21</v>
      </c>
      <c r="D940" t="str">
        <f t="shared" si="405"/>
        <v>Hour20</v>
      </c>
      <c r="E940" t="str">
        <f t="shared" si="405"/>
        <v>Weekend</v>
      </c>
      <c r="F940" s="27">
        <f>F360*IF($E940="weekday",INDEX('Category Mapping'!$F$28:$F$39,MATCH('Summarized Source Data'!$A940,'Category Mapping'!$A$28:$A$39,0),1),INDEX('Category Mapping'!$E$28:$E$39,MATCH($A940,'Category Mapping'!$A$28:$A$39,0),1))</f>
        <v>76776805.428571418</v>
      </c>
      <c r="G940" s="27">
        <f>G360*IF($E940="weekday",INDEX('Category Mapping'!$F$28:$F$39,MATCH('Summarized Source Data'!$A940,'Category Mapping'!$A$28:$A$39,0),1),INDEX('Category Mapping'!$E$28:$E$39,MATCH($A940,'Category Mapping'!$A$28:$A$39,0),1))</f>
        <v>126479.99999999999</v>
      </c>
      <c r="H940" s="27">
        <f>H360*IF($E940="weekday",INDEX('Category Mapping'!$F$28:$F$39,MATCH('Summarized Source Data'!$A940,'Category Mapping'!$A$28:$A$39,0),1),INDEX('Category Mapping'!$E$28:$E$39,MATCH($A940,'Category Mapping'!$A$28:$A$39,0),1))</f>
        <v>0</v>
      </c>
      <c r="I940" s="27">
        <f>I360*IF($E940="weekday",INDEX('Category Mapping'!$F$28:$F$39,MATCH('Summarized Source Data'!$A940,'Category Mapping'!$A$28:$A$39,0),1),INDEX('Category Mapping'!$E$28:$E$39,MATCH($A940,'Category Mapping'!$A$28:$A$39,0),1))</f>
        <v>275457142.85714281</v>
      </c>
      <c r="J940" s="27">
        <f>J360*IF($E940="weekday",INDEX('Category Mapping'!$F$28:$F$39,MATCH('Summarized Source Data'!$A940,'Category Mapping'!$A$28:$A$39,0),1),INDEX('Category Mapping'!$E$28:$E$39,MATCH($A940,'Category Mapping'!$A$28:$A$39,0),1))</f>
        <v>710496714.57142842</v>
      </c>
      <c r="K940" s="27">
        <f>K360*IF($E940="weekday",INDEX('Category Mapping'!$F$28:$F$39,MATCH('Summarized Source Data'!$A940,'Category Mapping'!$A$28:$A$39,0),1),INDEX('Category Mapping'!$E$28:$E$39,MATCH($A940,'Category Mapping'!$A$28:$A$39,0),1))</f>
        <v>710496714.57142842</v>
      </c>
      <c r="L940" s="27">
        <f>L360*IF($E940="weekday",INDEX('Category Mapping'!$F$28:$F$39,MATCH('Summarized Source Data'!$A940,'Category Mapping'!$A$28:$A$39,0),1),INDEX('Category Mapping'!$E$28:$E$39,MATCH($A940,'Category Mapping'!$A$28:$A$39,0),1))</f>
        <v>98314285.714285702</v>
      </c>
      <c r="M940" s="27">
        <f>M360*IF($E940="weekday",INDEX('Category Mapping'!$F$28:$F$39,MATCH('Summarized Source Data'!$A940,'Category Mapping'!$A$28:$A$39,0),1),INDEX('Category Mapping'!$E$28:$E$39,MATCH($A940,'Category Mapping'!$A$28:$A$39,0),1))</f>
        <v>507283.99999999994</v>
      </c>
      <c r="N940" s="27">
        <f>N360*IF($E940="weekday",INDEX('Category Mapping'!$F$28:$F$39,MATCH('Summarized Source Data'!$A940,'Category Mapping'!$A$28:$A$39,0),1),INDEX('Category Mapping'!$E$28:$E$39,MATCH($A940,'Category Mapping'!$A$28:$A$39,0),1))</f>
        <v>0</v>
      </c>
      <c r="O940" s="27">
        <f>O360*IF($E940="weekday",INDEX('Category Mapping'!$F$28:$F$39,MATCH('Summarized Source Data'!$A940,'Category Mapping'!$A$28:$A$39,0),1),INDEX('Category Mapping'!$E$28:$E$39,MATCH($A940,'Category Mapping'!$A$28:$A$39,0),1))</f>
        <v>848892715.99999988</v>
      </c>
      <c r="P940" s="27">
        <f>P360*IF($E940="weekday",INDEX('Category Mapping'!$F$28:$F$39,MATCH('Summarized Source Data'!$A940,'Category Mapping'!$A$28:$A$39,0),1),INDEX('Category Mapping'!$E$28:$E$39,MATCH($A940,'Category Mapping'!$A$28:$A$39,0),1))</f>
        <v>848892715.99999988</v>
      </c>
      <c r="Q940" s="27">
        <f>Q360*IF($E940="weekday",INDEX('Category Mapping'!$F$28:$F$39,MATCH('Summarized Source Data'!$A940,'Category Mapping'!$A$28:$A$39,0),1),INDEX('Category Mapping'!$E$28:$E$39,MATCH($A940,'Category Mapping'!$A$28:$A$39,0),1))</f>
        <v>848892715.99999988</v>
      </c>
      <c r="R940" s="27">
        <f>R360*IF($E940="weekday",INDEX('Category Mapping'!$F$28:$F$39,MATCH('Summarized Source Data'!$A940,'Category Mapping'!$A$28:$A$39,0),1),INDEX('Category Mapping'!$E$28:$E$39,MATCH($A940,'Category Mapping'!$A$28:$A$39,0),1))</f>
        <v>51159849.142857134</v>
      </c>
      <c r="S940" s="27">
        <f>S360*IF($E940="weekday",INDEX('Category Mapping'!$F$28:$F$39,MATCH('Summarized Source Data'!$A940,'Category Mapping'!$A$28:$A$39,0),1),INDEX('Category Mapping'!$E$28:$E$39,MATCH($A940,'Category Mapping'!$A$28:$A$39,0),1))</f>
        <v>51159849.142857134</v>
      </c>
      <c r="T940" s="27">
        <f>T360*IF($E940="weekday",INDEX('Category Mapping'!$F$28:$F$39,MATCH('Summarized Source Data'!$A940,'Category Mapping'!$A$28:$A$39,0),1),INDEX('Category Mapping'!$E$28:$E$39,MATCH($A940,'Category Mapping'!$A$28:$A$39,0),1))</f>
        <v>51159849.142857134</v>
      </c>
      <c r="U940" s="27">
        <f>U360*IF($E940="weekday",INDEX('Category Mapping'!$F$28:$F$39,MATCH('Summarized Source Data'!$A940,'Category Mapping'!$A$28:$A$39,0),1),INDEX('Category Mapping'!$E$28:$E$39,MATCH($A940,'Category Mapping'!$A$28:$A$39,0),1))</f>
        <v>51159849.142857134</v>
      </c>
      <c r="V940" s="27">
        <f>V360*IF($E940="weekday",INDEX('Category Mapping'!$F$28:$F$39,MATCH('Summarized Source Data'!$A940,'Category Mapping'!$A$28:$A$39,0),1),INDEX('Category Mapping'!$E$28:$E$39,MATCH($A940,'Category Mapping'!$A$28:$A$39,0),1))</f>
        <v>51159849.142857134</v>
      </c>
      <c r="W940" s="27">
        <f>W360*IF($E940="weekday",INDEX('Category Mapping'!$F$28:$F$39,MATCH('Summarized Source Data'!$A940,'Category Mapping'!$A$28:$A$39,0),1),INDEX('Category Mapping'!$E$28:$E$39,MATCH($A940,'Category Mapping'!$A$28:$A$39,0),1))</f>
        <v>51159849.142857134</v>
      </c>
      <c r="X940" s="27">
        <f>X360*IF($E940="weekday",INDEX('Category Mapping'!$F$28:$F$39,MATCH('Summarized Source Data'!$A940,'Category Mapping'!$A$28:$A$39,0),1),INDEX('Category Mapping'!$E$28:$E$39,MATCH($A940,'Category Mapping'!$A$28:$A$39,0),1))</f>
        <v>3126571428.5714283</v>
      </c>
      <c r="Y940" s="27">
        <f>Y360*IF($E940="weekday",INDEX('Category Mapping'!$F$28:$F$39,MATCH('Summarized Source Data'!$A940,'Category Mapping'!$A$28:$A$39,0),1),INDEX('Category Mapping'!$E$28:$E$39,MATCH($A940,'Category Mapping'!$A$28:$A$39,0),1))</f>
        <v>3126571428.5714283</v>
      </c>
      <c r="Z940" s="27">
        <f>Z360*IF($E940="weekday",INDEX('Category Mapping'!$F$28:$F$39,MATCH('Summarized Source Data'!$A940,'Category Mapping'!$A$28:$A$39,0),1),INDEX('Category Mapping'!$E$28:$E$39,MATCH($A940,'Category Mapping'!$A$28:$A$39,0),1))</f>
        <v>3126571428.5714283</v>
      </c>
    </row>
    <row r="941" spans="1:26" x14ac:dyDescent="0.3">
      <c r="A941">
        <f t="shared" ref="A941:E941" si="406">A361</f>
        <v>3</v>
      </c>
      <c r="B941" t="str">
        <f t="shared" si="406"/>
        <v>Spring</v>
      </c>
      <c r="C941" t="str">
        <f t="shared" si="406"/>
        <v>h22</v>
      </c>
      <c r="D941" t="str">
        <f t="shared" si="406"/>
        <v>Hour21</v>
      </c>
      <c r="E941" t="str">
        <f t="shared" si="406"/>
        <v>Weekend</v>
      </c>
      <c r="F941" s="27">
        <f>F361*IF($E941="weekday",INDEX('Category Mapping'!$F$28:$F$39,MATCH('Summarized Source Data'!$A941,'Category Mapping'!$A$28:$A$39,0),1),INDEX('Category Mapping'!$E$28:$E$39,MATCH($A941,'Category Mapping'!$A$28:$A$39,0),1))</f>
        <v>73247233.999999985</v>
      </c>
      <c r="G941" s="27">
        <f>G361*IF($E941="weekday",INDEX('Category Mapping'!$F$28:$F$39,MATCH('Summarized Source Data'!$A941,'Category Mapping'!$A$28:$A$39,0),1),INDEX('Category Mapping'!$E$28:$E$39,MATCH($A941,'Category Mapping'!$A$28:$A$39,0),1))</f>
        <v>131856.28571428568</v>
      </c>
      <c r="H941" s="27">
        <f>H361*IF($E941="weekday",INDEX('Category Mapping'!$F$28:$F$39,MATCH('Summarized Source Data'!$A941,'Category Mapping'!$A$28:$A$39,0),1),INDEX('Category Mapping'!$E$28:$E$39,MATCH($A941,'Category Mapping'!$A$28:$A$39,0),1))</f>
        <v>0</v>
      </c>
      <c r="I941" s="27">
        <f>I361*IF($E941="weekday",INDEX('Category Mapping'!$F$28:$F$39,MATCH('Summarized Source Data'!$A941,'Category Mapping'!$A$28:$A$39,0),1),INDEX('Category Mapping'!$E$28:$E$39,MATCH($A941,'Category Mapping'!$A$28:$A$39,0),1))</f>
        <v>228514285.71428567</v>
      </c>
      <c r="J941" s="27">
        <f>J361*IF($E941="weekday",INDEX('Category Mapping'!$F$28:$F$39,MATCH('Summarized Source Data'!$A941,'Category Mapping'!$A$28:$A$39,0),1),INDEX('Category Mapping'!$E$28:$E$39,MATCH($A941,'Category Mapping'!$A$28:$A$39,0),1))</f>
        <v>654678052.57142842</v>
      </c>
      <c r="K941" s="27">
        <f>K361*IF($E941="weekday",INDEX('Category Mapping'!$F$28:$F$39,MATCH('Summarized Source Data'!$A941,'Category Mapping'!$A$28:$A$39,0),1),INDEX('Category Mapping'!$E$28:$E$39,MATCH($A941,'Category Mapping'!$A$28:$A$39,0),1))</f>
        <v>654678052.57142842</v>
      </c>
      <c r="L941" s="27">
        <f>L361*IF($E941="weekday",INDEX('Category Mapping'!$F$28:$F$39,MATCH('Summarized Source Data'!$A941,'Category Mapping'!$A$28:$A$39,0),1),INDEX('Category Mapping'!$E$28:$E$39,MATCH($A941,'Category Mapping'!$A$28:$A$39,0),1))</f>
        <v>102742857.14285713</v>
      </c>
      <c r="M941" s="27">
        <f>M361*IF($E941="weekday",INDEX('Category Mapping'!$F$28:$F$39,MATCH('Summarized Source Data'!$A941,'Category Mapping'!$A$28:$A$39,0),1),INDEX('Category Mapping'!$E$28:$E$39,MATCH($A941,'Category Mapping'!$A$28:$A$39,0),1))</f>
        <v>492837.99999999994</v>
      </c>
      <c r="N941" s="27">
        <f>N361*IF($E941="weekday",INDEX('Category Mapping'!$F$28:$F$39,MATCH('Summarized Source Data'!$A941,'Category Mapping'!$A$28:$A$39,0),1),INDEX('Category Mapping'!$E$28:$E$39,MATCH($A941,'Category Mapping'!$A$28:$A$39,0),1))</f>
        <v>0</v>
      </c>
      <c r="O941" s="27">
        <f>O361*IF($E941="weekday",INDEX('Category Mapping'!$F$28:$F$39,MATCH('Summarized Source Data'!$A941,'Category Mapping'!$A$28:$A$39,0),1),INDEX('Category Mapping'!$E$28:$E$39,MATCH($A941,'Category Mapping'!$A$28:$A$39,0),1))</f>
        <v>791335733.42857134</v>
      </c>
      <c r="P941" s="27">
        <f>P361*IF($E941="weekday",INDEX('Category Mapping'!$F$28:$F$39,MATCH('Summarized Source Data'!$A941,'Category Mapping'!$A$28:$A$39,0),1),INDEX('Category Mapping'!$E$28:$E$39,MATCH($A941,'Category Mapping'!$A$28:$A$39,0),1))</f>
        <v>791335733.42857134</v>
      </c>
      <c r="Q941" s="27">
        <f>Q361*IF($E941="weekday",INDEX('Category Mapping'!$F$28:$F$39,MATCH('Summarized Source Data'!$A941,'Category Mapping'!$A$28:$A$39,0),1),INDEX('Category Mapping'!$E$28:$E$39,MATCH($A941,'Category Mapping'!$A$28:$A$39,0),1))</f>
        <v>791335733.42857134</v>
      </c>
      <c r="R941" s="27">
        <f>R361*IF($E941="weekday",INDEX('Category Mapping'!$F$28:$F$39,MATCH('Summarized Source Data'!$A941,'Category Mapping'!$A$28:$A$39,0),1),INDEX('Category Mapping'!$E$28:$E$39,MATCH($A941,'Category Mapping'!$A$28:$A$39,0),1))</f>
        <v>49344657.428571418</v>
      </c>
      <c r="S941" s="27">
        <f>S361*IF($E941="weekday",INDEX('Category Mapping'!$F$28:$F$39,MATCH('Summarized Source Data'!$A941,'Category Mapping'!$A$28:$A$39,0),1),INDEX('Category Mapping'!$E$28:$E$39,MATCH($A941,'Category Mapping'!$A$28:$A$39,0),1))</f>
        <v>49344657.428571418</v>
      </c>
      <c r="T941" s="27">
        <f>T361*IF($E941="weekday",INDEX('Category Mapping'!$F$28:$F$39,MATCH('Summarized Source Data'!$A941,'Category Mapping'!$A$28:$A$39,0),1),INDEX('Category Mapping'!$E$28:$E$39,MATCH($A941,'Category Mapping'!$A$28:$A$39,0),1))</f>
        <v>49344657.428571418</v>
      </c>
      <c r="U941" s="27">
        <f>U361*IF($E941="weekday",INDEX('Category Mapping'!$F$28:$F$39,MATCH('Summarized Source Data'!$A941,'Category Mapping'!$A$28:$A$39,0),1),INDEX('Category Mapping'!$E$28:$E$39,MATCH($A941,'Category Mapping'!$A$28:$A$39,0),1))</f>
        <v>49344657.428571418</v>
      </c>
      <c r="V941" s="27">
        <f>V361*IF($E941="weekday",INDEX('Category Mapping'!$F$28:$F$39,MATCH('Summarized Source Data'!$A941,'Category Mapping'!$A$28:$A$39,0),1),INDEX('Category Mapping'!$E$28:$E$39,MATCH($A941,'Category Mapping'!$A$28:$A$39,0),1))</f>
        <v>49344657.428571418</v>
      </c>
      <c r="W941" s="27">
        <f>W361*IF($E941="weekday",INDEX('Category Mapping'!$F$28:$F$39,MATCH('Summarized Source Data'!$A941,'Category Mapping'!$A$28:$A$39,0),1),INDEX('Category Mapping'!$E$28:$E$39,MATCH($A941,'Category Mapping'!$A$28:$A$39,0),1))</f>
        <v>49344657.428571418</v>
      </c>
      <c r="X941" s="27">
        <f>X361*IF($E941="weekday",INDEX('Category Mapping'!$F$28:$F$39,MATCH('Summarized Source Data'!$A941,'Category Mapping'!$A$28:$A$39,0),1),INDEX('Category Mapping'!$E$28:$E$39,MATCH($A941,'Category Mapping'!$A$28:$A$39,0),1))</f>
        <v>3099999999.9999995</v>
      </c>
      <c r="Y941" s="27">
        <f>Y361*IF($E941="weekday",INDEX('Category Mapping'!$F$28:$F$39,MATCH('Summarized Source Data'!$A941,'Category Mapping'!$A$28:$A$39,0),1),INDEX('Category Mapping'!$E$28:$E$39,MATCH($A941,'Category Mapping'!$A$28:$A$39,0),1))</f>
        <v>3099999999.9999995</v>
      </c>
      <c r="Z941" s="27">
        <f>Z361*IF($E941="weekday",INDEX('Category Mapping'!$F$28:$F$39,MATCH('Summarized Source Data'!$A941,'Category Mapping'!$A$28:$A$39,0),1),INDEX('Category Mapping'!$E$28:$E$39,MATCH($A941,'Category Mapping'!$A$28:$A$39,0),1))</f>
        <v>3099999999.9999995</v>
      </c>
    </row>
    <row r="942" spans="1:26" x14ac:dyDescent="0.3">
      <c r="A942">
        <f t="shared" ref="A942:E942" si="407">A362</f>
        <v>3</v>
      </c>
      <c r="B942" t="str">
        <f t="shared" si="407"/>
        <v>Spring</v>
      </c>
      <c r="C942" t="str">
        <f t="shared" si="407"/>
        <v>h23</v>
      </c>
      <c r="D942" t="str">
        <f t="shared" si="407"/>
        <v>Hour22</v>
      </c>
      <c r="E942" t="str">
        <f t="shared" si="407"/>
        <v>Weekend</v>
      </c>
      <c r="F942" s="27">
        <f>F362*IF($E942="weekday",INDEX('Category Mapping'!$F$28:$F$39,MATCH('Summarized Source Data'!$A942,'Category Mapping'!$A$28:$A$39,0),1),INDEX('Category Mapping'!$E$28:$E$39,MATCH($A942,'Category Mapping'!$A$28:$A$39,0),1))</f>
        <v>64172798.857142851</v>
      </c>
      <c r="G942" s="27">
        <f>G362*IF($E942="weekday",INDEX('Category Mapping'!$F$28:$F$39,MATCH('Summarized Source Data'!$A942,'Category Mapping'!$A$28:$A$39,0),1),INDEX('Category Mapping'!$E$28:$E$39,MATCH($A942,'Category Mapping'!$A$28:$A$39,0),1))</f>
        <v>136842.85714285713</v>
      </c>
      <c r="H942" s="27">
        <f>H362*IF($E942="weekday",INDEX('Category Mapping'!$F$28:$F$39,MATCH('Summarized Source Data'!$A942,'Category Mapping'!$A$28:$A$39,0),1),INDEX('Category Mapping'!$E$28:$E$39,MATCH($A942,'Category Mapping'!$A$28:$A$39,0),1))</f>
        <v>0</v>
      </c>
      <c r="I942" s="27">
        <f>I362*IF($E942="weekday",INDEX('Category Mapping'!$F$28:$F$39,MATCH('Summarized Source Data'!$A942,'Category Mapping'!$A$28:$A$39,0),1),INDEX('Category Mapping'!$E$28:$E$39,MATCH($A942,'Category Mapping'!$A$28:$A$39,0),1))</f>
        <v>147028571.4285714</v>
      </c>
      <c r="J942" s="27">
        <f>J362*IF($E942="weekday",INDEX('Category Mapping'!$F$28:$F$39,MATCH('Summarized Source Data'!$A942,'Category Mapping'!$A$28:$A$39,0),1),INDEX('Category Mapping'!$E$28:$E$39,MATCH($A942,'Category Mapping'!$A$28:$A$39,0),1))</f>
        <v>548604643.99999988</v>
      </c>
      <c r="K942" s="27">
        <f>K362*IF($E942="weekday",INDEX('Category Mapping'!$F$28:$F$39,MATCH('Summarized Source Data'!$A942,'Category Mapping'!$A$28:$A$39,0),1),INDEX('Category Mapping'!$E$28:$E$39,MATCH($A942,'Category Mapping'!$A$28:$A$39,0),1))</f>
        <v>548604643.99999988</v>
      </c>
      <c r="L942" s="27">
        <f>L362*IF($E942="weekday",INDEX('Category Mapping'!$F$28:$F$39,MATCH('Summarized Source Data'!$A942,'Category Mapping'!$A$28:$A$39,0),1),INDEX('Category Mapping'!$E$28:$E$39,MATCH($A942,'Category Mapping'!$A$28:$A$39,0),1))</f>
        <v>92999999.999999985</v>
      </c>
      <c r="M942" s="27">
        <f>M362*IF($E942="weekday",INDEX('Category Mapping'!$F$28:$F$39,MATCH('Summarized Source Data'!$A942,'Category Mapping'!$A$28:$A$39,0),1),INDEX('Category Mapping'!$E$28:$E$39,MATCH($A942,'Category Mapping'!$A$28:$A$39,0),1))</f>
        <v>475469.14285714278</v>
      </c>
      <c r="N942" s="27">
        <f>N362*IF($E942="weekday",INDEX('Category Mapping'!$F$28:$F$39,MATCH('Summarized Source Data'!$A942,'Category Mapping'!$A$28:$A$39,0),1),INDEX('Category Mapping'!$E$28:$E$39,MATCH($A942,'Category Mapping'!$A$28:$A$39,0),1))</f>
        <v>0</v>
      </c>
      <c r="O942" s="27">
        <f>O362*IF($E942="weekday",INDEX('Category Mapping'!$F$28:$F$39,MATCH('Summarized Source Data'!$A942,'Category Mapping'!$A$28:$A$39,0),1),INDEX('Category Mapping'!$E$28:$E$39,MATCH($A942,'Category Mapping'!$A$28:$A$39,0),1))</f>
        <v>755038816.57142842</v>
      </c>
      <c r="P942" s="27">
        <f>P362*IF($E942="weekday",INDEX('Category Mapping'!$F$28:$F$39,MATCH('Summarized Source Data'!$A942,'Category Mapping'!$A$28:$A$39,0),1),INDEX('Category Mapping'!$E$28:$E$39,MATCH($A942,'Category Mapping'!$A$28:$A$39,0),1))</f>
        <v>755038816.57142842</v>
      </c>
      <c r="Q942" s="27">
        <f>Q362*IF($E942="weekday",INDEX('Category Mapping'!$F$28:$F$39,MATCH('Summarized Source Data'!$A942,'Category Mapping'!$A$28:$A$39,0),1),INDEX('Category Mapping'!$E$28:$E$39,MATCH($A942,'Category Mapping'!$A$28:$A$39,0),1))</f>
        <v>755038816.57142842</v>
      </c>
      <c r="R942" s="27">
        <f>R362*IF($E942="weekday",INDEX('Category Mapping'!$F$28:$F$39,MATCH('Summarized Source Data'!$A942,'Category Mapping'!$A$28:$A$39,0),1),INDEX('Category Mapping'!$E$28:$E$39,MATCH($A942,'Category Mapping'!$A$28:$A$39,0),1))</f>
        <v>48722301.428571418</v>
      </c>
      <c r="S942" s="27">
        <f>S362*IF($E942="weekday",INDEX('Category Mapping'!$F$28:$F$39,MATCH('Summarized Source Data'!$A942,'Category Mapping'!$A$28:$A$39,0),1),INDEX('Category Mapping'!$E$28:$E$39,MATCH($A942,'Category Mapping'!$A$28:$A$39,0),1))</f>
        <v>48722301.428571418</v>
      </c>
      <c r="T942" s="27">
        <f>T362*IF($E942="weekday",INDEX('Category Mapping'!$F$28:$F$39,MATCH('Summarized Source Data'!$A942,'Category Mapping'!$A$28:$A$39,0),1),INDEX('Category Mapping'!$E$28:$E$39,MATCH($A942,'Category Mapping'!$A$28:$A$39,0),1))</f>
        <v>48722301.428571418</v>
      </c>
      <c r="U942" s="27">
        <f>U362*IF($E942="weekday",INDEX('Category Mapping'!$F$28:$F$39,MATCH('Summarized Source Data'!$A942,'Category Mapping'!$A$28:$A$39,0),1),INDEX('Category Mapping'!$E$28:$E$39,MATCH($A942,'Category Mapping'!$A$28:$A$39,0),1))</f>
        <v>48722301.428571418</v>
      </c>
      <c r="V942" s="27">
        <f>V362*IF($E942="weekday",INDEX('Category Mapping'!$F$28:$F$39,MATCH('Summarized Source Data'!$A942,'Category Mapping'!$A$28:$A$39,0),1),INDEX('Category Mapping'!$E$28:$E$39,MATCH($A942,'Category Mapping'!$A$28:$A$39,0),1))</f>
        <v>48722301.428571418</v>
      </c>
      <c r="W942" s="27">
        <f>W362*IF($E942="weekday",INDEX('Category Mapping'!$F$28:$F$39,MATCH('Summarized Source Data'!$A942,'Category Mapping'!$A$28:$A$39,0),1),INDEX('Category Mapping'!$E$28:$E$39,MATCH($A942,'Category Mapping'!$A$28:$A$39,0),1))</f>
        <v>48722301.428571418</v>
      </c>
      <c r="X942" s="27">
        <f>X362*IF($E942="weekday",INDEX('Category Mapping'!$F$28:$F$39,MATCH('Summarized Source Data'!$A942,'Category Mapping'!$A$28:$A$39,0),1),INDEX('Category Mapping'!$E$28:$E$39,MATCH($A942,'Category Mapping'!$A$28:$A$39,0),1))</f>
        <v>3073428571.4285712</v>
      </c>
      <c r="Y942" s="27">
        <f>Y362*IF($E942="weekday",INDEX('Category Mapping'!$F$28:$F$39,MATCH('Summarized Source Data'!$A942,'Category Mapping'!$A$28:$A$39,0),1),INDEX('Category Mapping'!$E$28:$E$39,MATCH($A942,'Category Mapping'!$A$28:$A$39,0),1))</f>
        <v>3073428571.4285712</v>
      </c>
      <c r="Z942" s="27">
        <f>Z362*IF($E942="weekday",INDEX('Category Mapping'!$F$28:$F$39,MATCH('Summarized Source Data'!$A942,'Category Mapping'!$A$28:$A$39,0),1),INDEX('Category Mapping'!$E$28:$E$39,MATCH($A942,'Category Mapping'!$A$28:$A$39,0),1))</f>
        <v>3073428571.4285712</v>
      </c>
    </row>
    <row r="943" spans="1:26" x14ac:dyDescent="0.3">
      <c r="A943">
        <f t="shared" ref="A943:E943" si="408">A363</f>
        <v>3</v>
      </c>
      <c r="B943" t="str">
        <f t="shared" si="408"/>
        <v>Spring</v>
      </c>
      <c r="C943" t="str">
        <f t="shared" si="408"/>
        <v>h24</v>
      </c>
      <c r="D943" t="str">
        <f t="shared" si="408"/>
        <v>Hour23</v>
      </c>
      <c r="E943" t="str">
        <f t="shared" si="408"/>
        <v>Weekend</v>
      </c>
      <c r="F943" s="27">
        <f>F363*IF($E943="weekday",INDEX('Category Mapping'!$F$28:$F$39,MATCH('Summarized Source Data'!$A943,'Category Mapping'!$A$28:$A$39,0),1),INDEX('Category Mapping'!$E$28:$E$39,MATCH($A943,'Category Mapping'!$A$28:$A$39,0),1))</f>
        <v>60993837.428571418</v>
      </c>
      <c r="G943" s="27">
        <f>G363*IF($E943="weekday",INDEX('Category Mapping'!$F$28:$F$39,MATCH('Summarized Source Data'!$A943,'Category Mapping'!$A$28:$A$39,0),1),INDEX('Category Mapping'!$E$28:$E$39,MATCH($A943,'Category Mapping'!$A$28:$A$39,0),1))</f>
        <v>141120.85714285713</v>
      </c>
      <c r="H943" s="27">
        <f>H363*IF($E943="weekday",INDEX('Category Mapping'!$F$28:$F$39,MATCH('Summarized Source Data'!$A943,'Category Mapping'!$A$28:$A$39,0),1),INDEX('Category Mapping'!$E$28:$E$39,MATCH($A943,'Category Mapping'!$A$28:$A$39,0),1))</f>
        <v>0</v>
      </c>
      <c r="I943" s="27">
        <f>I363*IF($E943="weekday",INDEX('Category Mapping'!$F$28:$F$39,MATCH('Summarized Source Data'!$A943,'Category Mapping'!$A$28:$A$39,0),1),INDEX('Category Mapping'!$E$28:$E$39,MATCH($A943,'Category Mapping'!$A$28:$A$39,0),1))</f>
        <v>82231547.714285702</v>
      </c>
      <c r="J943" s="27">
        <f>J363*IF($E943="weekday",INDEX('Category Mapping'!$F$28:$F$39,MATCH('Summarized Source Data'!$A943,'Category Mapping'!$A$28:$A$39,0),1),INDEX('Category Mapping'!$E$28:$E$39,MATCH($A943,'Category Mapping'!$A$28:$A$39,0),1))</f>
        <v>436776351.14285707</v>
      </c>
      <c r="K943" s="27">
        <f>K363*IF($E943="weekday",INDEX('Category Mapping'!$F$28:$F$39,MATCH('Summarized Source Data'!$A943,'Category Mapping'!$A$28:$A$39,0),1),INDEX('Category Mapping'!$E$28:$E$39,MATCH($A943,'Category Mapping'!$A$28:$A$39,0),1))</f>
        <v>436776351.14285707</v>
      </c>
      <c r="L943" s="27">
        <f>L363*IF($E943="weekday",INDEX('Category Mapping'!$F$28:$F$39,MATCH('Summarized Source Data'!$A943,'Category Mapping'!$A$28:$A$39,0),1),INDEX('Category Mapping'!$E$28:$E$39,MATCH($A943,'Category Mapping'!$A$28:$A$39,0),1))</f>
        <v>87373517.714285702</v>
      </c>
      <c r="M943" s="27">
        <f>M363*IF($E943="weekday",INDEX('Category Mapping'!$F$28:$F$39,MATCH('Summarized Source Data'!$A943,'Category Mapping'!$A$28:$A$39,0),1),INDEX('Category Mapping'!$E$28:$E$39,MATCH($A943,'Category Mapping'!$A$28:$A$39,0),1))</f>
        <v>451740.8571428571</v>
      </c>
      <c r="N943" s="27">
        <f>N363*IF($E943="weekday",INDEX('Category Mapping'!$F$28:$F$39,MATCH('Summarized Source Data'!$A943,'Category Mapping'!$A$28:$A$39,0),1),INDEX('Category Mapping'!$E$28:$E$39,MATCH($A943,'Category Mapping'!$A$28:$A$39,0),1))</f>
        <v>0</v>
      </c>
      <c r="O943" s="27">
        <f>O363*IF($E943="weekday",INDEX('Category Mapping'!$F$28:$F$39,MATCH('Summarized Source Data'!$A943,'Category Mapping'!$A$28:$A$39,0),1),INDEX('Category Mapping'!$E$28:$E$39,MATCH($A943,'Category Mapping'!$A$28:$A$39,0),1))</f>
        <v>689831884.28571415</v>
      </c>
      <c r="P943" s="27">
        <f>P363*IF($E943="weekday",INDEX('Category Mapping'!$F$28:$F$39,MATCH('Summarized Source Data'!$A943,'Category Mapping'!$A$28:$A$39,0),1),INDEX('Category Mapping'!$E$28:$E$39,MATCH($A943,'Category Mapping'!$A$28:$A$39,0),1))</f>
        <v>689831884.28571415</v>
      </c>
      <c r="Q943" s="27">
        <f>Q363*IF($E943="weekday",INDEX('Category Mapping'!$F$28:$F$39,MATCH('Summarized Source Data'!$A943,'Category Mapping'!$A$28:$A$39,0),1),INDEX('Category Mapping'!$E$28:$E$39,MATCH($A943,'Category Mapping'!$A$28:$A$39,0),1))</f>
        <v>689831884.28571415</v>
      </c>
      <c r="R943" s="27">
        <f>R363*IF($E943="weekday",INDEX('Category Mapping'!$F$28:$F$39,MATCH('Summarized Source Data'!$A943,'Category Mapping'!$A$28:$A$39,0),1),INDEX('Category Mapping'!$E$28:$E$39,MATCH($A943,'Category Mapping'!$A$28:$A$39,0),1))</f>
        <v>32742580.857142851</v>
      </c>
      <c r="S943" s="27">
        <f>S363*IF($E943="weekday",INDEX('Category Mapping'!$F$28:$F$39,MATCH('Summarized Source Data'!$A943,'Category Mapping'!$A$28:$A$39,0),1),INDEX('Category Mapping'!$E$28:$E$39,MATCH($A943,'Category Mapping'!$A$28:$A$39,0),1))</f>
        <v>32742580.857142851</v>
      </c>
      <c r="T943" s="27">
        <f>T363*IF($E943="weekday",INDEX('Category Mapping'!$F$28:$F$39,MATCH('Summarized Source Data'!$A943,'Category Mapping'!$A$28:$A$39,0),1),INDEX('Category Mapping'!$E$28:$E$39,MATCH($A943,'Category Mapping'!$A$28:$A$39,0),1))</f>
        <v>32742580.857142851</v>
      </c>
      <c r="U943" s="27">
        <f>U363*IF($E943="weekday",INDEX('Category Mapping'!$F$28:$F$39,MATCH('Summarized Source Data'!$A943,'Category Mapping'!$A$28:$A$39,0),1),INDEX('Category Mapping'!$E$28:$E$39,MATCH($A943,'Category Mapping'!$A$28:$A$39,0),1))</f>
        <v>32742580.857142851</v>
      </c>
      <c r="V943" s="27">
        <f>V363*IF($E943="weekday",INDEX('Category Mapping'!$F$28:$F$39,MATCH('Summarized Source Data'!$A943,'Category Mapping'!$A$28:$A$39,0),1),INDEX('Category Mapping'!$E$28:$E$39,MATCH($A943,'Category Mapping'!$A$28:$A$39,0),1))</f>
        <v>32742580.857142851</v>
      </c>
      <c r="W943" s="27">
        <f>W363*IF($E943="weekday",INDEX('Category Mapping'!$F$28:$F$39,MATCH('Summarized Source Data'!$A943,'Category Mapping'!$A$28:$A$39,0),1),INDEX('Category Mapping'!$E$28:$E$39,MATCH($A943,'Category Mapping'!$A$28:$A$39,0),1))</f>
        <v>32742580.857142851</v>
      </c>
      <c r="X943" s="27">
        <f>X363*IF($E943="weekday",INDEX('Category Mapping'!$F$28:$F$39,MATCH('Summarized Source Data'!$A943,'Category Mapping'!$A$28:$A$39,0),1),INDEX('Category Mapping'!$E$28:$E$39,MATCH($A943,'Category Mapping'!$A$28:$A$39,0),1))</f>
        <v>3055714285.7142854</v>
      </c>
      <c r="Y943" s="27">
        <f>Y363*IF($E943="weekday",INDEX('Category Mapping'!$F$28:$F$39,MATCH('Summarized Source Data'!$A943,'Category Mapping'!$A$28:$A$39,0),1),INDEX('Category Mapping'!$E$28:$E$39,MATCH($A943,'Category Mapping'!$A$28:$A$39,0),1))</f>
        <v>3055714285.7142854</v>
      </c>
      <c r="Z943" s="27">
        <f>Z363*IF($E943="weekday",INDEX('Category Mapping'!$F$28:$F$39,MATCH('Summarized Source Data'!$A943,'Category Mapping'!$A$28:$A$39,0),1),INDEX('Category Mapping'!$E$28:$E$39,MATCH($A943,'Category Mapping'!$A$28:$A$39,0),1))</f>
        <v>3055714285.7142854</v>
      </c>
    </row>
    <row r="944" spans="1:26" x14ac:dyDescent="0.3">
      <c r="A944">
        <f t="shared" ref="A944:E944" si="409">A364</f>
        <v>4</v>
      </c>
      <c r="B944" t="str">
        <f t="shared" si="409"/>
        <v>Spring</v>
      </c>
      <c r="C944" t="str">
        <f t="shared" si="409"/>
        <v>h1</v>
      </c>
      <c r="D944" t="str">
        <f t="shared" si="409"/>
        <v>Hour0</v>
      </c>
      <c r="E944" t="str">
        <f t="shared" si="409"/>
        <v>Weekend</v>
      </c>
      <c r="F944" s="27">
        <f>F364*IF($E944="weekday",INDEX('Category Mapping'!$F$28:$F$39,MATCH('Summarized Source Data'!$A944,'Category Mapping'!$A$28:$A$39,0),1),INDEX('Category Mapping'!$E$28:$E$39,MATCH($A944,'Category Mapping'!$A$28:$A$39,0),1))</f>
        <v>25685588.571428571</v>
      </c>
      <c r="G944" s="27">
        <f>G364*IF($E944="weekday",INDEX('Category Mapping'!$F$28:$F$39,MATCH('Summarized Source Data'!$A944,'Category Mapping'!$A$28:$A$39,0),1),INDEX('Category Mapping'!$E$28:$E$39,MATCH($A944,'Category Mapping'!$A$28:$A$39,0),1))</f>
        <v>135951.42857142858</v>
      </c>
      <c r="H944" s="27">
        <f>H364*IF($E944="weekday",INDEX('Category Mapping'!$F$28:$F$39,MATCH('Summarized Source Data'!$A944,'Category Mapping'!$A$28:$A$39,0),1),INDEX('Category Mapping'!$E$28:$E$39,MATCH($A944,'Category Mapping'!$A$28:$A$39,0),1))</f>
        <v>0</v>
      </c>
      <c r="I944" s="27">
        <f>I364*IF($E944="weekday",INDEX('Category Mapping'!$F$28:$F$39,MATCH('Summarized Source Data'!$A944,'Category Mapping'!$A$28:$A$39,0),1),INDEX('Category Mapping'!$E$28:$E$39,MATCH($A944,'Category Mapping'!$A$28:$A$39,0),1))</f>
        <v>52638788.571428567</v>
      </c>
      <c r="J944" s="27">
        <f>J364*IF($E944="weekday",INDEX('Category Mapping'!$F$28:$F$39,MATCH('Summarized Source Data'!$A944,'Category Mapping'!$A$28:$A$39,0),1),INDEX('Category Mapping'!$E$28:$E$39,MATCH($A944,'Category Mapping'!$A$28:$A$39,0),1))</f>
        <v>319253957.14285713</v>
      </c>
      <c r="K944" s="27">
        <f>K364*IF($E944="weekday",INDEX('Category Mapping'!$F$28:$F$39,MATCH('Summarized Source Data'!$A944,'Category Mapping'!$A$28:$A$39,0),1),INDEX('Category Mapping'!$E$28:$E$39,MATCH($A944,'Category Mapping'!$A$28:$A$39,0),1))</f>
        <v>319253957.14285713</v>
      </c>
      <c r="L944" s="27">
        <f>L364*IF($E944="weekday",INDEX('Category Mapping'!$F$28:$F$39,MATCH('Summarized Source Data'!$A944,'Category Mapping'!$A$28:$A$39,0),1),INDEX('Category Mapping'!$E$28:$E$39,MATCH($A944,'Category Mapping'!$A$28:$A$39,0),1))</f>
        <v>44731191.428571425</v>
      </c>
      <c r="M944" s="27">
        <f>M364*IF($E944="weekday",INDEX('Category Mapping'!$F$28:$F$39,MATCH('Summarized Source Data'!$A944,'Category Mapping'!$A$28:$A$39,0),1),INDEX('Category Mapping'!$E$28:$E$39,MATCH($A944,'Category Mapping'!$A$28:$A$39,0),1))</f>
        <v>1977908.5714285714</v>
      </c>
      <c r="N944" s="27">
        <f>N364*IF($E944="weekday",INDEX('Category Mapping'!$F$28:$F$39,MATCH('Summarized Source Data'!$A944,'Category Mapping'!$A$28:$A$39,0),1),INDEX('Category Mapping'!$E$28:$E$39,MATCH($A944,'Category Mapping'!$A$28:$A$39,0),1))</f>
        <v>0</v>
      </c>
      <c r="O944" s="27">
        <f>O364*IF($E944="weekday",INDEX('Category Mapping'!$F$28:$F$39,MATCH('Summarized Source Data'!$A944,'Category Mapping'!$A$28:$A$39,0),1),INDEX('Category Mapping'!$E$28:$E$39,MATCH($A944,'Category Mapping'!$A$28:$A$39,0),1))</f>
        <v>664719471.42857146</v>
      </c>
      <c r="P944" s="27">
        <f>P364*IF($E944="weekday",INDEX('Category Mapping'!$F$28:$F$39,MATCH('Summarized Source Data'!$A944,'Category Mapping'!$A$28:$A$39,0),1),INDEX('Category Mapping'!$E$28:$E$39,MATCH($A944,'Category Mapping'!$A$28:$A$39,0),1))</f>
        <v>664719471.42857146</v>
      </c>
      <c r="Q944" s="27">
        <f>Q364*IF($E944="weekday",INDEX('Category Mapping'!$F$28:$F$39,MATCH('Summarized Source Data'!$A944,'Category Mapping'!$A$28:$A$39,0),1),INDEX('Category Mapping'!$E$28:$E$39,MATCH($A944,'Category Mapping'!$A$28:$A$39,0),1))</f>
        <v>664719471.42857146</v>
      </c>
      <c r="R944" s="27">
        <f>R364*IF($E944="weekday",INDEX('Category Mapping'!$F$28:$F$39,MATCH('Summarized Source Data'!$A944,'Category Mapping'!$A$28:$A$39,0),1),INDEX('Category Mapping'!$E$28:$E$39,MATCH($A944,'Category Mapping'!$A$28:$A$39,0),1))</f>
        <v>21984531.428571429</v>
      </c>
      <c r="S944" s="27">
        <f>S364*IF($E944="weekday",INDEX('Category Mapping'!$F$28:$F$39,MATCH('Summarized Source Data'!$A944,'Category Mapping'!$A$28:$A$39,0),1),INDEX('Category Mapping'!$E$28:$E$39,MATCH($A944,'Category Mapping'!$A$28:$A$39,0),1))</f>
        <v>21984531.428571429</v>
      </c>
      <c r="T944" s="27">
        <f>T364*IF($E944="weekday",INDEX('Category Mapping'!$F$28:$F$39,MATCH('Summarized Source Data'!$A944,'Category Mapping'!$A$28:$A$39,0),1),INDEX('Category Mapping'!$E$28:$E$39,MATCH($A944,'Category Mapping'!$A$28:$A$39,0),1))</f>
        <v>21984531.428571429</v>
      </c>
      <c r="U944" s="27">
        <f>U364*IF($E944="weekday",INDEX('Category Mapping'!$F$28:$F$39,MATCH('Summarized Source Data'!$A944,'Category Mapping'!$A$28:$A$39,0),1),INDEX('Category Mapping'!$E$28:$E$39,MATCH($A944,'Category Mapping'!$A$28:$A$39,0),1))</f>
        <v>21984531.428571429</v>
      </c>
      <c r="V944" s="27">
        <f>V364*IF($E944="weekday",INDEX('Category Mapping'!$F$28:$F$39,MATCH('Summarized Source Data'!$A944,'Category Mapping'!$A$28:$A$39,0),1),INDEX('Category Mapping'!$E$28:$E$39,MATCH($A944,'Category Mapping'!$A$28:$A$39,0),1))</f>
        <v>21984531.428571429</v>
      </c>
      <c r="W944" s="27">
        <f>W364*IF($E944="weekday",INDEX('Category Mapping'!$F$28:$F$39,MATCH('Summarized Source Data'!$A944,'Category Mapping'!$A$28:$A$39,0),1),INDEX('Category Mapping'!$E$28:$E$39,MATCH($A944,'Category Mapping'!$A$28:$A$39,0),1))</f>
        <v>21984531.428571429</v>
      </c>
      <c r="X944" s="27">
        <f>X364*IF($E944="weekday",INDEX('Category Mapping'!$F$28:$F$39,MATCH('Summarized Source Data'!$A944,'Category Mapping'!$A$28:$A$39,0),1),INDEX('Category Mapping'!$E$28:$E$39,MATCH($A944,'Category Mapping'!$A$28:$A$39,0),1))</f>
        <v>2837142857.1428571</v>
      </c>
      <c r="Y944" s="27">
        <f>Y364*IF($E944="weekday",INDEX('Category Mapping'!$F$28:$F$39,MATCH('Summarized Source Data'!$A944,'Category Mapping'!$A$28:$A$39,0),1),INDEX('Category Mapping'!$E$28:$E$39,MATCH($A944,'Category Mapping'!$A$28:$A$39,0),1))</f>
        <v>2837142857.1428571</v>
      </c>
      <c r="Z944" s="27">
        <f>Z364*IF($E944="weekday",INDEX('Category Mapping'!$F$28:$F$39,MATCH('Summarized Source Data'!$A944,'Category Mapping'!$A$28:$A$39,0),1),INDEX('Category Mapping'!$E$28:$E$39,MATCH($A944,'Category Mapping'!$A$28:$A$39,0),1))</f>
        <v>2837142857.1428571</v>
      </c>
    </row>
    <row r="945" spans="1:26" x14ac:dyDescent="0.3">
      <c r="A945">
        <f t="shared" ref="A945:E945" si="410">A365</f>
        <v>4</v>
      </c>
      <c r="B945" t="str">
        <f t="shared" si="410"/>
        <v>Spring</v>
      </c>
      <c r="C945" t="str">
        <f t="shared" si="410"/>
        <v>h2</v>
      </c>
      <c r="D945" t="str">
        <f t="shared" si="410"/>
        <v>Hour1</v>
      </c>
      <c r="E945" t="str">
        <f t="shared" si="410"/>
        <v>Weekend</v>
      </c>
      <c r="F945" s="27">
        <f>F365*IF($E945="weekday",INDEX('Category Mapping'!$F$28:$F$39,MATCH('Summarized Source Data'!$A945,'Category Mapping'!$A$28:$A$39,0),1),INDEX('Category Mapping'!$E$28:$E$39,MATCH($A945,'Category Mapping'!$A$28:$A$39,0),1))</f>
        <v>26617491.428571429</v>
      </c>
      <c r="G945" s="27">
        <f>G365*IF($E945="weekday",INDEX('Category Mapping'!$F$28:$F$39,MATCH('Summarized Source Data'!$A945,'Category Mapping'!$A$28:$A$39,0),1),INDEX('Category Mapping'!$E$28:$E$39,MATCH($A945,'Category Mapping'!$A$28:$A$39,0),1))</f>
        <v>138034.28571428571</v>
      </c>
      <c r="H945" s="27">
        <f>H365*IF($E945="weekday",INDEX('Category Mapping'!$F$28:$F$39,MATCH('Summarized Source Data'!$A945,'Category Mapping'!$A$28:$A$39,0),1),INDEX('Category Mapping'!$E$28:$E$39,MATCH($A945,'Category Mapping'!$A$28:$A$39,0),1))</f>
        <v>0</v>
      </c>
      <c r="I945" s="27">
        <f>I365*IF($E945="weekday",INDEX('Category Mapping'!$F$28:$F$39,MATCH('Summarized Source Data'!$A945,'Category Mapping'!$A$28:$A$39,0),1),INDEX('Category Mapping'!$E$28:$E$39,MATCH($A945,'Category Mapping'!$A$28:$A$39,0),1))</f>
        <v>45479580</v>
      </c>
      <c r="J945" s="27">
        <f>J365*IF($E945="weekday",INDEX('Category Mapping'!$F$28:$F$39,MATCH('Summarized Source Data'!$A945,'Category Mapping'!$A$28:$A$39,0),1),INDEX('Category Mapping'!$E$28:$E$39,MATCH($A945,'Category Mapping'!$A$28:$A$39,0),1))</f>
        <v>248336322.85714284</v>
      </c>
      <c r="K945" s="27">
        <f>K365*IF($E945="weekday",INDEX('Category Mapping'!$F$28:$F$39,MATCH('Summarized Source Data'!$A945,'Category Mapping'!$A$28:$A$39,0),1),INDEX('Category Mapping'!$E$28:$E$39,MATCH($A945,'Category Mapping'!$A$28:$A$39,0),1))</f>
        <v>248336322.85714284</v>
      </c>
      <c r="L945" s="27">
        <f>L365*IF($E945="weekday",INDEX('Category Mapping'!$F$28:$F$39,MATCH('Summarized Source Data'!$A945,'Category Mapping'!$A$28:$A$39,0),1),INDEX('Category Mapping'!$E$28:$E$39,MATCH($A945,'Category Mapping'!$A$28:$A$39,0),1))</f>
        <v>40037717.142857142</v>
      </c>
      <c r="M945" s="27">
        <f>M365*IF($E945="weekday",INDEX('Category Mapping'!$F$28:$F$39,MATCH('Summarized Source Data'!$A945,'Category Mapping'!$A$28:$A$39,0),1),INDEX('Category Mapping'!$E$28:$E$39,MATCH($A945,'Category Mapping'!$A$28:$A$39,0),1))</f>
        <v>1935831.4285714284</v>
      </c>
      <c r="N945" s="27">
        <f>N365*IF($E945="weekday",INDEX('Category Mapping'!$F$28:$F$39,MATCH('Summarized Source Data'!$A945,'Category Mapping'!$A$28:$A$39,0),1),INDEX('Category Mapping'!$E$28:$E$39,MATCH($A945,'Category Mapping'!$A$28:$A$39,0),1))</f>
        <v>0</v>
      </c>
      <c r="O945" s="27">
        <f>O365*IF($E945="weekday",INDEX('Category Mapping'!$F$28:$F$39,MATCH('Summarized Source Data'!$A945,'Category Mapping'!$A$28:$A$39,0),1),INDEX('Category Mapping'!$E$28:$E$39,MATCH($A945,'Category Mapping'!$A$28:$A$39,0),1))</f>
        <v>580312165.71428573</v>
      </c>
      <c r="P945" s="27">
        <f>P365*IF($E945="weekday",INDEX('Category Mapping'!$F$28:$F$39,MATCH('Summarized Source Data'!$A945,'Category Mapping'!$A$28:$A$39,0),1),INDEX('Category Mapping'!$E$28:$E$39,MATCH($A945,'Category Mapping'!$A$28:$A$39,0),1))</f>
        <v>580312165.71428573</v>
      </c>
      <c r="Q945" s="27">
        <f>Q365*IF($E945="weekday",INDEX('Category Mapping'!$F$28:$F$39,MATCH('Summarized Source Data'!$A945,'Category Mapping'!$A$28:$A$39,0),1),INDEX('Category Mapping'!$E$28:$E$39,MATCH($A945,'Category Mapping'!$A$28:$A$39,0),1))</f>
        <v>580312165.71428573</v>
      </c>
      <c r="R945" s="27">
        <f>R365*IF($E945="weekday",INDEX('Category Mapping'!$F$28:$F$39,MATCH('Summarized Source Data'!$A945,'Category Mapping'!$A$28:$A$39,0),1),INDEX('Category Mapping'!$E$28:$E$39,MATCH($A945,'Category Mapping'!$A$28:$A$39,0),1))</f>
        <v>20880360</v>
      </c>
      <c r="S945" s="27">
        <f>S365*IF($E945="weekday",INDEX('Category Mapping'!$F$28:$F$39,MATCH('Summarized Source Data'!$A945,'Category Mapping'!$A$28:$A$39,0),1),INDEX('Category Mapping'!$E$28:$E$39,MATCH($A945,'Category Mapping'!$A$28:$A$39,0),1))</f>
        <v>20880360</v>
      </c>
      <c r="T945" s="27">
        <f>T365*IF($E945="weekday",INDEX('Category Mapping'!$F$28:$F$39,MATCH('Summarized Source Data'!$A945,'Category Mapping'!$A$28:$A$39,0),1),INDEX('Category Mapping'!$E$28:$E$39,MATCH($A945,'Category Mapping'!$A$28:$A$39,0),1))</f>
        <v>20880360</v>
      </c>
      <c r="U945" s="27">
        <f>U365*IF($E945="weekday",INDEX('Category Mapping'!$F$28:$F$39,MATCH('Summarized Source Data'!$A945,'Category Mapping'!$A$28:$A$39,0),1),INDEX('Category Mapping'!$E$28:$E$39,MATCH($A945,'Category Mapping'!$A$28:$A$39,0),1))</f>
        <v>20880360</v>
      </c>
      <c r="V945" s="27">
        <f>V365*IF($E945="weekday",INDEX('Category Mapping'!$F$28:$F$39,MATCH('Summarized Source Data'!$A945,'Category Mapping'!$A$28:$A$39,0),1),INDEX('Category Mapping'!$E$28:$E$39,MATCH($A945,'Category Mapping'!$A$28:$A$39,0),1))</f>
        <v>20880360</v>
      </c>
      <c r="W945" s="27">
        <f>W365*IF($E945="weekday",INDEX('Category Mapping'!$F$28:$F$39,MATCH('Summarized Source Data'!$A945,'Category Mapping'!$A$28:$A$39,0),1),INDEX('Category Mapping'!$E$28:$E$39,MATCH($A945,'Category Mapping'!$A$28:$A$39,0),1))</f>
        <v>20880360</v>
      </c>
      <c r="X945" s="27">
        <f>X365*IF($E945="weekday",INDEX('Category Mapping'!$F$28:$F$39,MATCH('Summarized Source Data'!$A945,'Category Mapping'!$A$28:$A$39,0),1),INDEX('Category Mapping'!$E$28:$E$39,MATCH($A945,'Category Mapping'!$A$28:$A$39,0),1))</f>
        <v>2828571428.5714283</v>
      </c>
      <c r="Y945" s="27">
        <f>Y365*IF($E945="weekday",INDEX('Category Mapping'!$F$28:$F$39,MATCH('Summarized Source Data'!$A945,'Category Mapping'!$A$28:$A$39,0),1),INDEX('Category Mapping'!$E$28:$E$39,MATCH($A945,'Category Mapping'!$A$28:$A$39,0),1))</f>
        <v>2828571428.5714283</v>
      </c>
      <c r="Z945" s="27">
        <f>Z365*IF($E945="weekday",INDEX('Category Mapping'!$F$28:$F$39,MATCH('Summarized Source Data'!$A945,'Category Mapping'!$A$28:$A$39,0),1),INDEX('Category Mapping'!$E$28:$E$39,MATCH($A945,'Category Mapping'!$A$28:$A$39,0),1))</f>
        <v>2828571428.5714283</v>
      </c>
    </row>
    <row r="946" spans="1:26" x14ac:dyDescent="0.3">
      <c r="A946">
        <f t="shared" ref="A946:E946" si="411">A366</f>
        <v>4</v>
      </c>
      <c r="B946" t="str">
        <f t="shared" si="411"/>
        <v>Spring</v>
      </c>
      <c r="C946" t="str">
        <f t="shared" si="411"/>
        <v>h3</v>
      </c>
      <c r="D946" t="str">
        <f t="shared" si="411"/>
        <v>Hour2</v>
      </c>
      <c r="E946" t="str">
        <f t="shared" si="411"/>
        <v>Weekend</v>
      </c>
      <c r="F946" s="27">
        <f>F366*IF($E946="weekday",INDEX('Category Mapping'!$F$28:$F$39,MATCH('Summarized Source Data'!$A946,'Category Mapping'!$A$28:$A$39,0),1),INDEX('Category Mapping'!$E$28:$E$39,MATCH($A946,'Category Mapping'!$A$28:$A$39,0),1))</f>
        <v>26934874.285714284</v>
      </c>
      <c r="G946" s="27">
        <f>G366*IF($E946="weekday",INDEX('Category Mapping'!$F$28:$F$39,MATCH('Summarized Source Data'!$A946,'Category Mapping'!$A$28:$A$39,0),1),INDEX('Category Mapping'!$E$28:$E$39,MATCH($A946,'Category Mapping'!$A$28:$A$39,0),1))</f>
        <v>139860</v>
      </c>
      <c r="H946" s="27">
        <f>H366*IF($E946="weekday",INDEX('Category Mapping'!$F$28:$F$39,MATCH('Summarized Source Data'!$A946,'Category Mapping'!$A$28:$A$39,0),1),INDEX('Category Mapping'!$E$28:$E$39,MATCH($A946,'Category Mapping'!$A$28:$A$39,0),1))</f>
        <v>0</v>
      </c>
      <c r="I946" s="27">
        <f>I366*IF($E946="weekday",INDEX('Category Mapping'!$F$28:$F$39,MATCH('Summarized Source Data'!$A946,'Category Mapping'!$A$28:$A$39,0),1),INDEX('Category Mapping'!$E$28:$E$39,MATCH($A946,'Category Mapping'!$A$28:$A$39,0),1))</f>
        <v>43925100</v>
      </c>
      <c r="J946" s="27">
        <f>J366*IF($E946="weekday",INDEX('Category Mapping'!$F$28:$F$39,MATCH('Summarized Source Data'!$A946,'Category Mapping'!$A$28:$A$39,0),1),INDEX('Category Mapping'!$E$28:$E$39,MATCH($A946,'Category Mapping'!$A$28:$A$39,0),1))</f>
        <v>193857308.57142857</v>
      </c>
      <c r="K946" s="27">
        <f>K366*IF($E946="weekday",INDEX('Category Mapping'!$F$28:$F$39,MATCH('Summarized Source Data'!$A946,'Category Mapping'!$A$28:$A$39,0),1),INDEX('Category Mapping'!$E$28:$E$39,MATCH($A946,'Category Mapping'!$A$28:$A$39,0),1))</f>
        <v>193857308.57142857</v>
      </c>
      <c r="L946" s="27">
        <f>L366*IF($E946="weekday",INDEX('Category Mapping'!$F$28:$F$39,MATCH('Summarized Source Data'!$A946,'Category Mapping'!$A$28:$A$39,0),1),INDEX('Category Mapping'!$E$28:$E$39,MATCH($A946,'Category Mapping'!$A$28:$A$39,0),1))</f>
        <v>40673014.285714284</v>
      </c>
      <c r="M946" s="27">
        <f>M366*IF($E946="weekday",INDEX('Category Mapping'!$F$28:$F$39,MATCH('Summarized Source Data'!$A946,'Category Mapping'!$A$28:$A$39,0),1),INDEX('Category Mapping'!$E$28:$E$39,MATCH($A946,'Category Mapping'!$A$28:$A$39,0),1))</f>
        <v>1918277.1428571427</v>
      </c>
      <c r="N946" s="27">
        <f>N366*IF($E946="weekday",INDEX('Category Mapping'!$F$28:$F$39,MATCH('Summarized Source Data'!$A946,'Category Mapping'!$A$28:$A$39,0),1),INDEX('Category Mapping'!$E$28:$E$39,MATCH($A946,'Category Mapping'!$A$28:$A$39,0),1))</f>
        <v>0</v>
      </c>
      <c r="O946" s="27">
        <f>O366*IF($E946="weekday",INDEX('Category Mapping'!$F$28:$F$39,MATCH('Summarized Source Data'!$A946,'Category Mapping'!$A$28:$A$39,0),1),INDEX('Category Mapping'!$E$28:$E$39,MATCH($A946,'Category Mapping'!$A$28:$A$39,0),1))</f>
        <v>572837280</v>
      </c>
      <c r="P946" s="27">
        <f>P366*IF($E946="weekday",INDEX('Category Mapping'!$F$28:$F$39,MATCH('Summarized Source Data'!$A946,'Category Mapping'!$A$28:$A$39,0),1),INDEX('Category Mapping'!$E$28:$E$39,MATCH($A946,'Category Mapping'!$A$28:$A$39,0),1))</f>
        <v>572837280</v>
      </c>
      <c r="Q946" s="27">
        <f>Q366*IF($E946="weekday",INDEX('Category Mapping'!$F$28:$F$39,MATCH('Summarized Source Data'!$A946,'Category Mapping'!$A$28:$A$39,0),1),INDEX('Category Mapping'!$E$28:$E$39,MATCH($A946,'Category Mapping'!$A$28:$A$39,0),1))</f>
        <v>572837280</v>
      </c>
      <c r="R946" s="27">
        <f>R366*IF($E946="weekday",INDEX('Category Mapping'!$F$28:$F$39,MATCH('Summarized Source Data'!$A946,'Category Mapping'!$A$28:$A$39,0),1),INDEX('Category Mapping'!$E$28:$E$39,MATCH($A946,'Category Mapping'!$A$28:$A$39,0),1))</f>
        <v>20579220</v>
      </c>
      <c r="S946" s="27">
        <f>S366*IF($E946="weekday",INDEX('Category Mapping'!$F$28:$F$39,MATCH('Summarized Source Data'!$A946,'Category Mapping'!$A$28:$A$39,0),1),INDEX('Category Mapping'!$E$28:$E$39,MATCH($A946,'Category Mapping'!$A$28:$A$39,0),1))</f>
        <v>20579220</v>
      </c>
      <c r="T946" s="27">
        <f>T366*IF($E946="weekday",INDEX('Category Mapping'!$F$28:$F$39,MATCH('Summarized Source Data'!$A946,'Category Mapping'!$A$28:$A$39,0),1),INDEX('Category Mapping'!$E$28:$E$39,MATCH($A946,'Category Mapping'!$A$28:$A$39,0),1))</f>
        <v>20579220</v>
      </c>
      <c r="U946" s="27">
        <f>U366*IF($E946="weekday",INDEX('Category Mapping'!$F$28:$F$39,MATCH('Summarized Source Data'!$A946,'Category Mapping'!$A$28:$A$39,0),1),INDEX('Category Mapping'!$E$28:$E$39,MATCH($A946,'Category Mapping'!$A$28:$A$39,0),1))</f>
        <v>20579220</v>
      </c>
      <c r="V946" s="27">
        <f>V366*IF($E946="weekday",INDEX('Category Mapping'!$F$28:$F$39,MATCH('Summarized Source Data'!$A946,'Category Mapping'!$A$28:$A$39,0),1),INDEX('Category Mapping'!$E$28:$E$39,MATCH($A946,'Category Mapping'!$A$28:$A$39,0),1))</f>
        <v>20579220</v>
      </c>
      <c r="W946" s="27">
        <f>W366*IF($E946="weekday",INDEX('Category Mapping'!$F$28:$F$39,MATCH('Summarized Source Data'!$A946,'Category Mapping'!$A$28:$A$39,0),1),INDEX('Category Mapping'!$E$28:$E$39,MATCH($A946,'Category Mapping'!$A$28:$A$39,0),1))</f>
        <v>20579220</v>
      </c>
      <c r="X946" s="27">
        <f>X366*IF($E946="weekday",INDEX('Category Mapping'!$F$28:$F$39,MATCH('Summarized Source Data'!$A946,'Category Mapping'!$A$28:$A$39,0),1),INDEX('Category Mapping'!$E$28:$E$39,MATCH($A946,'Category Mapping'!$A$28:$A$39,0),1))</f>
        <v>2837142857.1428571</v>
      </c>
      <c r="Y946" s="27">
        <f>Y366*IF($E946="weekday",INDEX('Category Mapping'!$F$28:$F$39,MATCH('Summarized Source Data'!$A946,'Category Mapping'!$A$28:$A$39,0),1),INDEX('Category Mapping'!$E$28:$E$39,MATCH($A946,'Category Mapping'!$A$28:$A$39,0),1))</f>
        <v>2837142857.1428571</v>
      </c>
      <c r="Z946" s="27">
        <f>Z366*IF($E946="weekday",INDEX('Category Mapping'!$F$28:$F$39,MATCH('Summarized Source Data'!$A946,'Category Mapping'!$A$28:$A$39,0),1),INDEX('Category Mapping'!$E$28:$E$39,MATCH($A946,'Category Mapping'!$A$28:$A$39,0),1))</f>
        <v>2837142857.1428571</v>
      </c>
    </row>
    <row r="947" spans="1:26" x14ac:dyDescent="0.3">
      <c r="A947">
        <f t="shared" ref="A947:E947" si="412">A367</f>
        <v>4</v>
      </c>
      <c r="B947" t="str">
        <f t="shared" si="412"/>
        <v>Spring</v>
      </c>
      <c r="C947" t="str">
        <f t="shared" si="412"/>
        <v>h4</v>
      </c>
      <c r="D947" t="str">
        <f t="shared" si="412"/>
        <v>Hour3</v>
      </c>
      <c r="E947" t="str">
        <f t="shared" si="412"/>
        <v>Weekend</v>
      </c>
      <c r="F947" s="27">
        <f>F367*IF($E947="weekday",INDEX('Category Mapping'!$F$28:$F$39,MATCH('Summarized Source Data'!$A947,'Category Mapping'!$A$28:$A$39,0),1),INDEX('Category Mapping'!$E$28:$E$39,MATCH($A947,'Category Mapping'!$A$28:$A$39,0),1))</f>
        <v>26617491.428571429</v>
      </c>
      <c r="G947" s="27">
        <f>G367*IF($E947="weekday",INDEX('Category Mapping'!$F$28:$F$39,MATCH('Summarized Source Data'!$A947,'Category Mapping'!$A$28:$A$39,0),1),INDEX('Category Mapping'!$E$28:$E$39,MATCH($A947,'Category Mapping'!$A$28:$A$39,0),1))</f>
        <v>140134.28571428571</v>
      </c>
      <c r="H947" s="27">
        <f>H367*IF($E947="weekday",INDEX('Category Mapping'!$F$28:$F$39,MATCH('Summarized Source Data'!$A947,'Category Mapping'!$A$28:$A$39,0),1),INDEX('Category Mapping'!$E$28:$E$39,MATCH($A947,'Category Mapping'!$A$28:$A$39,0),1))</f>
        <v>0</v>
      </c>
      <c r="I947" s="27">
        <f>I367*IF($E947="weekday",INDEX('Category Mapping'!$F$28:$F$39,MATCH('Summarized Source Data'!$A947,'Category Mapping'!$A$28:$A$39,0),1),INDEX('Category Mapping'!$E$28:$E$39,MATCH($A947,'Category Mapping'!$A$28:$A$39,0),1))</f>
        <v>43888020</v>
      </c>
      <c r="J947" s="27">
        <f>J367*IF($E947="weekday",INDEX('Category Mapping'!$F$28:$F$39,MATCH('Summarized Source Data'!$A947,'Category Mapping'!$A$28:$A$39,0),1),INDEX('Category Mapping'!$E$28:$E$39,MATCH($A947,'Category Mapping'!$A$28:$A$39,0),1))</f>
        <v>159925782.85714287</v>
      </c>
      <c r="K947" s="27">
        <f>K367*IF($E947="weekday",INDEX('Category Mapping'!$F$28:$F$39,MATCH('Summarized Source Data'!$A947,'Category Mapping'!$A$28:$A$39,0),1),INDEX('Category Mapping'!$E$28:$E$39,MATCH($A947,'Category Mapping'!$A$28:$A$39,0),1))</f>
        <v>159925782.85714287</v>
      </c>
      <c r="L947" s="27">
        <f>L367*IF($E947="weekday",INDEX('Category Mapping'!$F$28:$F$39,MATCH('Summarized Source Data'!$A947,'Category Mapping'!$A$28:$A$39,0),1),INDEX('Category Mapping'!$E$28:$E$39,MATCH($A947,'Category Mapping'!$A$28:$A$39,0),1))</f>
        <v>41377174.285714284</v>
      </c>
      <c r="M947" s="27">
        <f>M367*IF($E947="weekday",INDEX('Category Mapping'!$F$28:$F$39,MATCH('Summarized Source Data'!$A947,'Category Mapping'!$A$28:$A$39,0),1),INDEX('Category Mapping'!$E$28:$E$39,MATCH($A947,'Category Mapping'!$A$28:$A$39,0),1))</f>
        <v>1908368.5714285714</v>
      </c>
      <c r="N947" s="27">
        <f>N367*IF($E947="weekday",INDEX('Category Mapping'!$F$28:$F$39,MATCH('Summarized Source Data'!$A947,'Category Mapping'!$A$28:$A$39,0),1),INDEX('Category Mapping'!$E$28:$E$39,MATCH($A947,'Category Mapping'!$A$28:$A$39,0),1))</f>
        <v>0</v>
      </c>
      <c r="O947" s="27">
        <f>O367*IF($E947="weekday",INDEX('Category Mapping'!$F$28:$F$39,MATCH('Summarized Source Data'!$A947,'Category Mapping'!$A$28:$A$39,0),1),INDEX('Category Mapping'!$E$28:$E$39,MATCH($A947,'Category Mapping'!$A$28:$A$39,0),1))</f>
        <v>579000171.42857146</v>
      </c>
      <c r="P947" s="27">
        <f>P367*IF($E947="weekday",INDEX('Category Mapping'!$F$28:$F$39,MATCH('Summarized Source Data'!$A947,'Category Mapping'!$A$28:$A$39,0),1),INDEX('Category Mapping'!$E$28:$E$39,MATCH($A947,'Category Mapping'!$A$28:$A$39,0),1))</f>
        <v>579000171.42857146</v>
      </c>
      <c r="Q947" s="27">
        <f>Q367*IF($E947="weekday",INDEX('Category Mapping'!$F$28:$F$39,MATCH('Summarized Source Data'!$A947,'Category Mapping'!$A$28:$A$39,0),1),INDEX('Category Mapping'!$E$28:$E$39,MATCH($A947,'Category Mapping'!$A$28:$A$39,0),1))</f>
        <v>579000171.42857146</v>
      </c>
      <c r="R947" s="27">
        <f>R367*IF($E947="weekday",INDEX('Category Mapping'!$F$28:$F$39,MATCH('Summarized Source Data'!$A947,'Category Mapping'!$A$28:$A$39,0),1),INDEX('Category Mapping'!$E$28:$E$39,MATCH($A947,'Category Mapping'!$A$28:$A$39,0),1))</f>
        <v>20579220</v>
      </c>
      <c r="S947" s="27">
        <f>S367*IF($E947="weekday",INDEX('Category Mapping'!$F$28:$F$39,MATCH('Summarized Source Data'!$A947,'Category Mapping'!$A$28:$A$39,0),1),INDEX('Category Mapping'!$E$28:$E$39,MATCH($A947,'Category Mapping'!$A$28:$A$39,0),1))</f>
        <v>20579220</v>
      </c>
      <c r="T947" s="27">
        <f>T367*IF($E947="weekday",INDEX('Category Mapping'!$F$28:$F$39,MATCH('Summarized Source Data'!$A947,'Category Mapping'!$A$28:$A$39,0),1),INDEX('Category Mapping'!$E$28:$E$39,MATCH($A947,'Category Mapping'!$A$28:$A$39,0),1))</f>
        <v>20579220</v>
      </c>
      <c r="U947" s="27">
        <f>U367*IF($E947="weekday",INDEX('Category Mapping'!$F$28:$F$39,MATCH('Summarized Source Data'!$A947,'Category Mapping'!$A$28:$A$39,0),1),INDEX('Category Mapping'!$E$28:$E$39,MATCH($A947,'Category Mapping'!$A$28:$A$39,0),1))</f>
        <v>20579220</v>
      </c>
      <c r="V947" s="27">
        <f>V367*IF($E947="weekday",INDEX('Category Mapping'!$F$28:$F$39,MATCH('Summarized Source Data'!$A947,'Category Mapping'!$A$28:$A$39,0),1),INDEX('Category Mapping'!$E$28:$E$39,MATCH($A947,'Category Mapping'!$A$28:$A$39,0),1))</f>
        <v>20579220</v>
      </c>
      <c r="W947" s="27">
        <f>W367*IF($E947="weekday",INDEX('Category Mapping'!$F$28:$F$39,MATCH('Summarized Source Data'!$A947,'Category Mapping'!$A$28:$A$39,0),1),INDEX('Category Mapping'!$E$28:$E$39,MATCH($A947,'Category Mapping'!$A$28:$A$39,0),1))</f>
        <v>20579220</v>
      </c>
      <c r="X947" s="27">
        <f>X367*IF($E947="weekday",INDEX('Category Mapping'!$F$28:$F$39,MATCH('Summarized Source Data'!$A947,'Category Mapping'!$A$28:$A$39,0),1),INDEX('Category Mapping'!$E$28:$E$39,MATCH($A947,'Category Mapping'!$A$28:$A$39,0),1))</f>
        <v>2837142857.1428571</v>
      </c>
      <c r="Y947" s="27">
        <f>Y367*IF($E947="weekday",INDEX('Category Mapping'!$F$28:$F$39,MATCH('Summarized Source Data'!$A947,'Category Mapping'!$A$28:$A$39,0),1),INDEX('Category Mapping'!$E$28:$E$39,MATCH($A947,'Category Mapping'!$A$28:$A$39,0),1))</f>
        <v>2837142857.1428571</v>
      </c>
      <c r="Z947" s="27">
        <f>Z367*IF($E947="weekday",INDEX('Category Mapping'!$F$28:$F$39,MATCH('Summarized Source Data'!$A947,'Category Mapping'!$A$28:$A$39,0),1),INDEX('Category Mapping'!$E$28:$E$39,MATCH($A947,'Category Mapping'!$A$28:$A$39,0),1))</f>
        <v>2837142857.1428571</v>
      </c>
    </row>
    <row r="948" spans="1:26" x14ac:dyDescent="0.3">
      <c r="A948">
        <f t="shared" ref="A948:E948" si="413">A368</f>
        <v>4</v>
      </c>
      <c r="B948" t="str">
        <f t="shared" si="413"/>
        <v>Spring</v>
      </c>
      <c r="C948" t="str">
        <f t="shared" si="413"/>
        <v>h5</v>
      </c>
      <c r="D948" t="str">
        <f t="shared" si="413"/>
        <v>Hour4</v>
      </c>
      <c r="E948" t="str">
        <f t="shared" si="413"/>
        <v>Weekend</v>
      </c>
      <c r="F948" s="27">
        <f>F368*IF($E948="weekday",INDEX('Category Mapping'!$F$28:$F$39,MATCH('Summarized Source Data'!$A948,'Category Mapping'!$A$28:$A$39,0),1),INDEX('Category Mapping'!$E$28:$E$39,MATCH($A948,'Category Mapping'!$A$28:$A$39,0),1))</f>
        <v>25685588.571428571</v>
      </c>
      <c r="G948" s="27">
        <f>G368*IF($E948="weekday",INDEX('Category Mapping'!$F$28:$F$39,MATCH('Summarized Source Data'!$A948,'Category Mapping'!$A$28:$A$39,0),1),INDEX('Category Mapping'!$E$28:$E$39,MATCH($A948,'Category Mapping'!$A$28:$A$39,0),1))</f>
        <v>139680</v>
      </c>
      <c r="H948" s="27">
        <f>H368*IF($E948="weekday",INDEX('Category Mapping'!$F$28:$F$39,MATCH('Summarized Source Data'!$A948,'Category Mapping'!$A$28:$A$39,0),1),INDEX('Category Mapping'!$E$28:$E$39,MATCH($A948,'Category Mapping'!$A$28:$A$39,0),1))</f>
        <v>0</v>
      </c>
      <c r="I948" s="27">
        <f>I368*IF($E948="weekday",INDEX('Category Mapping'!$F$28:$F$39,MATCH('Summarized Source Data'!$A948,'Category Mapping'!$A$28:$A$39,0),1),INDEX('Category Mapping'!$E$28:$E$39,MATCH($A948,'Category Mapping'!$A$28:$A$39,0),1))</f>
        <v>46196357.142857142</v>
      </c>
      <c r="J948" s="27">
        <f>J368*IF($E948="weekday",INDEX('Category Mapping'!$F$28:$F$39,MATCH('Summarized Source Data'!$A948,'Category Mapping'!$A$28:$A$39,0),1),INDEX('Category Mapping'!$E$28:$E$39,MATCH($A948,'Category Mapping'!$A$28:$A$39,0),1))</f>
        <v>163692660</v>
      </c>
      <c r="K948" s="27">
        <f>K368*IF($E948="weekday",INDEX('Category Mapping'!$F$28:$F$39,MATCH('Summarized Source Data'!$A948,'Category Mapping'!$A$28:$A$39,0),1),INDEX('Category Mapping'!$E$28:$E$39,MATCH($A948,'Category Mapping'!$A$28:$A$39,0),1))</f>
        <v>163692660</v>
      </c>
      <c r="L948" s="27">
        <f>L368*IF($E948="weekday",INDEX('Category Mapping'!$F$28:$F$39,MATCH('Summarized Source Data'!$A948,'Category Mapping'!$A$28:$A$39,0),1),INDEX('Category Mapping'!$E$28:$E$39,MATCH($A948,'Category Mapping'!$A$28:$A$39,0),1))</f>
        <v>41285434.285714284</v>
      </c>
      <c r="M948" s="27">
        <f>M368*IF($E948="weekday",INDEX('Category Mapping'!$F$28:$F$39,MATCH('Summarized Source Data'!$A948,'Category Mapping'!$A$28:$A$39,0),1),INDEX('Category Mapping'!$E$28:$E$39,MATCH($A948,'Category Mapping'!$A$28:$A$39,0),1))</f>
        <v>1906242.857142857</v>
      </c>
      <c r="N948" s="27">
        <f>N368*IF($E948="weekday",INDEX('Category Mapping'!$F$28:$F$39,MATCH('Summarized Source Data'!$A948,'Category Mapping'!$A$28:$A$39,0),1),INDEX('Category Mapping'!$E$28:$E$39,MATCH($A948,'Category Mapping'!$A$28:$A$39,0),1))</f>
        <v>0</v>
      </c>
      <c r="O948" s="27">
        <f>O368*IF($E948="weekday",INDEX('Category Mapping'!$F$28:$F$39,MATCH('Summarized Source Data'!$A948,'Category Mapping'!$A$28:$A$39,0),1),INDEX('Category Mapping'!$E$28:$E$39,MATCH($A948,'Category Mapping'!$A$28:$A$39,0),1))</f>
        <v>586808322.85714281</v>
      </c>
      <c r="P948" s="27">
        <f>P368*IF($E948="weekday",INDEX('Category Mapping'!$F$28:$F$39,MATCH('Summarized Source Data'!$A948,'Category Mapping'!$A$28:$A$39,0),1),INDEX('Category Mapping'!$E$28:$E$39,MATCH($A948,'Category Mapping'!$A$28:$A$39,0),1))</f>
        <v>586808322.85714281</v>
      </c>
      <c r="Q948" s="27">
        <f>Q368*IF($E948="weekday",INDEX('Category Mapping'!$F$28:$F$39,MATCH('Summarized Source Data'!$A948,'Category Mapping'!$A$28:$A$39,0),1),INDEX('Category Mapping'!$E$28:$E$39,MATCH($A948,'Category Mapping'!$A$28:$A$39,0),1))</f>
        <v>586808322.85714281</v>
      </c>
      <c r="R948" s="27">
        <f>R368*IF($E948="weekday",INDEX('Category Mapping'!$F$28:$F$39,MATCH('Summarized Source Data'!$A948,'Category Mapping'!$A$28:$A$39,0),1),INDEX('Category Mapping'!$E$28:$E$39,MATCH($A948,'Category Mapping'!$A$28:$A$39,0),1))</f>
        <v>20478840</v>
      </c>
      <c r="S948" s="27">
        <f>S368*IF($E948="weekday",INDEX('Category Mapping'!$F$28:$F$39,MATCH('Summarized Source Data'!$A948,'Category Mapping'!$A$28:$A$39,0),1),INDEX('Category Mapping'!$E$28:$E$39,MATCH($A948,'Category Mapping'!$A$28:$A$39,0),1))</f>
        <v>20478840</v>
      </c>
      <c r="T948" s="27">
        <f>T368*IF($E948="weekday",INDEX('Category Mapping'!$F$28:$F$39,MATCH('Summarized Source Data'!$A948,'Category Mapping'!$A$28:$A$39,0),1),INDEX('Category Mapping'!$E$28:$E$39,MATCH($A948,'Category Mapping'!$A$28:$A$39,0),1))</f>
        <v>20478840</v>
      </c>
      <c r="U948" s="27">
        <f>U368*IF($E948="weekday",INDEX('Category Mapping'!$F$28:$F$39,MATCH('Summarized Source Data'!$A948,'Category Mapping'!$A$28:$A$39,0),1),INDEX('Category Mapping'!$E$28:$E$39,MATCH($A948,'Category Mapping'!$A$28:$A$39,0),1))</f>
        <v>20478840</v>
      </c>
      <c r="V948" s="27">
        <f>V368*IF($E948="weekday",INDEX('Category Mapping'!$F$28:$F$39,MATCH('Summarized Source Data'!$A948,'Category Mapping'!$A$28:$A$39,0),1),INDEX('Category Mapping'!$E$28:$E$39,MATCH($A948,'Category Mapping'!$A$28:$A$39,0),1))</f>
        <v>20478840</v>
      </c>
      <c r="W948" s="27">
        <f>W368*IF($E948="weekday",INDEX('Category Mapping'!$F$28:$F$39,MATCH('Summarized Source Data'!$A948,'Category Mapping'!$A$28:$A$39,0),1),INDEX('Category Mapping'!$E$28:$E$39,MATCH($A948,'Category Mapping'!$A$28:$A$39,0),1))</f>
        <v>20478840</v>
      </c>
      <c r="X948" s="27">
        <f>X368*IF($E948="weekday",INDEX('Category Mapping'!$F$28:$F$39,MATCH('Summarized Source Data'!$A948,'Category Mapping'!$A$28:$A$39,0),1),INDEX('Category Mapping'!$E$28:$E$39,MATCH($A948,'Category Mapping'!$A$28:$A$39,0),1))</f>
        <v>2854285714.2857141</v>
      </c>
      <c r="Y948" s="27">
        <f>Y368*IF($E948="weekday",INDEX('Category Mapping'!$F$28:$F$39,MATCH('Summarized Source Data'!$A948,'Category Mapping'!$A$28:$A$39,0),1),INDEX('Category Mapping'!$E$28:$E$39,MATCH($A948,'Category Mapping'!$A$28:$A$39,0),1))</f>
        <v>2854285714.2857141</v>
      </c>
      <c r="Z948" s="27">
        <f>Z368*IF($E948="weekday",INDEX('Category Mapping'!$F$28:$F$39,MATCH('Summarized Source Data'!$A948,'Category Mapping'!$A$28:$A$39,0),1),INDEX('Category Mapping'!$E$28:$E$39,MATCH($A948,'Category Mapping'!$A$28:$A$39,0),1))</f>
        <v>2854285714.2857141</v>
      </c>
    </row>
    <row r="949" spans="1:26" x14ac:dyDescent="0.3">
      <c r="A949">
        <f t="shared" ref="A949:E949" si="414">A369</f>
        <v>4</v>
      </c>
      <c r="B949" t="str">
        <f t="shared" si="414"/>
        <v>Spring</v>
      </c>
      <c r="C949" t="str">
        <f t="shared" si="414"/>
        <v>h6</v>
      </c>
      <c r="D949" t="str">
        <f t="shared" si="414"/>
        <v>Hour5</v>
      </c>
      <c r="E949" t="str">
        <f t="shared" si="414"/>
        <v>Weekend</v>
      </c>
      <c r="F949" s="27">
        <f>F369*IF($E949="weekday",INDEX('Category Mapping'!$F$28:$F$39,MATCH('Summarized Source Data'!$A949,'Category Mapping'!$A$28:$A$39,0),1),INDEX('Category Mapping'!$E$28:$E$39,MATCH($A949,'Category Mapping'!$A$28:$A$39,0),1))</f>
        <v>29570417.142857142</v>
      </c>
      <c r="G949" s="27">
        <f>G369*IF($E949="weekday",INDEX('Category Mapping'!$F$28:$F$39,MATCH('Summarized Source Data'!$A949,'Category Mapping'!$A$28:$A$39,0),1),INDEX('Category Mapping'!$E$28:$E$39,MATCH($A949,'Category Mapping'!$A$28:$A$39,0),1))</f>
        <v>137177.14285714284</v>
      </c>
      <c r="H949" s="27">
        <f>H369*IF($E949="weekday",INDEX('Category Mapping'!$F$28:$F$39,MATCH('Summarized Source Data'!$A949,'Category Mapping'!$A$28:$A$39,0),1),INDEX('Category Mapping'!$E$28:$E$39,MATCH($A949,'Category Mapping'!$A$28:$A$39,0),1))</f>
        <v>0</v>
      </c>
      <c r="I949" s="27">
        <f>I369*IF($E949="weekday",INDEX('Category Mapping'!$F$28:$F$39,MATCH('Summarized Source Data'!$A949,'Category Mapping'!$A$28:$A$39,0),1),INDEX('Category Mapping'!$E$28:$E$39,MATCH($A949,'Category Mapping'!$A$28:$A$39,0),1))</f>
        <v>59868831.428571425</v>
      </c>
      <c r="J949" s="27">
        <f>J369*IF($E949="weekday",INDEX('Category Mapping'!$F$28:$F$39,MATCH('Summarized Source Data'!$A949,'Category Mapping'!$A$28:$A$39,0),1),INDEX('Category Mapping'!$E$28:$E$39,MATCH($A949,'Category Mapping'!$A$28:$A$39,0),1))</f>
        <v>188995002.85714287</v>
      </c>
      <c r="K949" s="27">
        <f>K369*IF($E949="weekday",INDEX('Category Mapping'!$F$28:$F$39,MATCH('Summarized Source Data'!$A949,'Category Mapping'!$A$28:$A$39,0),1),INDEX('Category Mapping'!$E$28:$E$39,MATCH($A949,'Category Mapping'!$A$28:$A$39,0),1))</f>
        <v>188995002.85714287</v>
      </c>
      <c r="L949" s="27">
        <f>L369*IF($E949="weekday",INDEX('Category Mapping'!$F$28:$F$39,MATCH('Summarized Source Data'!$A949,'Category Mapping'!$A$28:$A$39,0),1),INDEX('Category Mapping'!$E$28:$E$39,MATCH($A949,'Category Mapping'!$A$28:$A$39,0),1))</f>
        <v>49016571.428571425</v>
      </c>
      <c r="M949" s="27">
        <f>M369*IF($E949="weekday",INDEX('Category Mapping'!$F$28:$F$39,MATCH('Summarized Source Data'!$A949,'Category Mapping'!$A$28:$A$39,0),1),INDEX('Category Mapping'!$E$28:$E$39,MATCH($A949,'Category Mapping'!$A$28:$A$39,0),1))</f>
        <v>1927045.7142857143</v>
      </c>
      <c r="N949" s="27">
        <f>N369*IF($E949="weekday",INDEX('Category Mapping'!$F$28:$F$39,MATCH('Summarized Source Data'!$A949,'Category Mapping'!$A$28:$A$39,0),1),INDEX('Category Mapping'!$E$28:$E$39,MATCH($A949,'Category Mapping'!$A$28:$A$39,0),1))</f>
        <v>0</v>
      </c>
      <c r="O949" s="27">
        <f>O369*IF($E949="weekday",INDEX('Category Mapping'!$F$28:$F$39,MATCH('Summarized Source Data'!$A949,'Category Mapping'!$A$28:$A$39,0),1),INDEX('Category Mapping'!$E$28:$E$39,MATCH($A949,'Category Mapping'!$A$28:$A$39,0),1))</f>
        <v>627056382.85714281</v>
      </c>
      <c r="P949" s="27">
        <f>P369*IF($E949="weekday",INDEX('Category Mapping'!$F$28:$F$39,MATCH('Summarized Source Data'!$A949,'Category Mapping'!$A$28:$A$39,0),1),INDEX('Category Mapping'!$E$28:$E$39,MATCH($A949,'Category Mapping'!$A$28:$A$39,0),1))</f>
        <v>627056382.85714281</v>
      </c>
      <c r="Q949" s="27">
        <f>Q369*IF($E949="weekday",INDEX('Category Mapping'!$F$28:$F$39,MATCH('Summarized Source Data'!$A949,'Category Mapping'!$A$28:$A$39,0),1),INDEX('Category Mapping'!$E$28:$E$39,MATCH($A949,'Category Mapping'!$A$28:$A$39,0),1))</f>
        <v>627056382.85714281</v>
      </c>
      <c r="R949" s="27">
        <f>R369*IF($E949="weekday",INDEX('Category Mapping'!$F$28:$F$39,MATCH('Summarized Source Data'!$A949,'Category Mapping'!$A$28:$A$39,0),1),INDEX('Category Mapping'!$E$28:$E$39,MATCH($A949,'Category Mapping'!$A$28:$A$39,0),1))</f>
        <v>20629414.285714284</v>
      </c>
      <c r="S949" s="27">
        <f>S369*IF($E949="weekday",INDEX('Category Mapping'!$F$28:$F$39,MATCH('Summarized Source Data'!$A949,'Category Mapping'!$A$28:$A$39,0),1),INDEX('Category Mapping'!$E$28:$E$39,MATCH($A949,'Category Mapping'!$A$28:$A$39,0),1))</f>
        <v>20629414.285714284</v>
      </c>
      <c r="T949" s="27">
        <f>T369*IF($E949="weekday",INDEX('Category Mapping'!$F$28:$F$39,MATCH('Summarized Source Data'!$A949,'Category Mapping'!$A$28:$A$39,0),1),INDEX('Category Mapping'!$E$28:$E$39,MATCH($A949,'Category Mapping'!$A$28:$A$39,0),1))</f>
        <v>20629414.285714284</v>
      </c>
      <c r="U949" s="27">
        <f>U369*IF($E949="weekday",INDEX('Category Mapping'!$F$28:$F$39,MATCH('Summarized Source Data'!$A949,'Category Mapping'!$A$28:$A$39,0),1),INDEX('Category Mapping'!$E$28:$E$39,MATCH($A949,'Category Mapping'!$A$28:$A$39,0),1))</f>
        <v>20629414.285714284</v>
      </c>
      <c r="V949" s="27">
        <f>V369*IF($E949="weekday",INDEX('Category Mapping'!$F$28:$F$39,MATCH('Summarized Source Data'!$A949,'Category Mapping'!$A$28:$A$39,0),1),INDEX('Category Mapping'!$E$28:$E$39,MATCH($A949,'Category Mapping'!$A$28:$A$39,0),1))</f>
        <v>20629414.285714284</v>
      </c>
      <c r="W949" s="27">
        <f>W369*IF($E949="weekday",INDEX('Category Mapping'!$F$28:$F$39,MATCH('Summarized Source Data'!$A949,'Category Mapping'!$A$28:$A$39,0),1),INDEX('Category Mapping'!$E$28:$E$39,MATCH($A949,'Category Mapping'!$A$28:$A$39,0),1))</f>
        <v>20629414.285714284</v>
      </c>
      <c r="X949" s="27">
        <f>X369*IF($E949="weekday",INDEX('Category Mapping'!$F$28:$F$39,MATCH('Summarized Source Data'!$A949,'Category Mapping'!$A$28:$A$39,0),1),INDEX('Category Mapping'!$E$28:$E$39,MATCH($A949,'Category Mapping'!$A$28:$A$39,0),1))</f>
        <v>2888571428.5714283</v>
      </c>
      <c r="Y949" s="27">
        <f>Y369*IF($E949="weekday",INDEX('Category Mapping'!$F$28:$F$39,MATCH('Summarized Source Data'!$A949,'Category Mapping'!$A$28:$A$39,0),1),INDEX('Category Mapping'!$E$28:$E$39,MATCH($A949,'Category Mapping'!$A$28:$A$39,0),1))</f>
        <v>2888571428.5714283</v>
      </c>
      <c r="Z949" s="27">
        <f>Z369*IF($E949="weekday",INDEX('Category Mapping'!$F$28:$F$39,MATCH('Summarized Source Data'!$A949,'Category Mapping'!$A$28:$A$39,0),1),INDEX('Category Mapping'!$E$28:$E$39,MATCH($A949,'Category Mapping'!$A$28:$A$39,0),1))</f>
        <v>2888571428.5714283</v>
      </c>
    </row>
    <row r="950" spans="1:26" x14ac:dyDescent="0.3">
      <c r="A950">
        <f t="shared" ref="A950:E950" si="415">A370</f>
        <v>4</v>
      </c>
      <c r="B950" t="str">
        <f t="shared" si="415"/>
        <v>Spring</v>
      </c>
      <c r="C950" t="str">
        <f t="shared" si="415"/>
        <v>h7</v>
      </c>
      <c r="D950" t="str">
        <f t="shared" si="415"/>
        <v>Hour6</v>
      </c>
      <c r="E950" t="str">
        <f t="shared" si="415"/>
        <v>Weekend</v>
      </c>
      <c r="F950" s="27">
        <f>F370*IF($E950="weekday",INDEX('Category Mapping'!$F$28:$F$39,MATCH('Summarized Source Data'!$A950,'Category Mapping'!$A$28:$A$39,0),1),INDEX('Category Mapping'!$E$28:$E$39,MATCH($A950,'Category Mapping'!$A$28:$A$39,0),1))</f>
        <v>33178182.857142854</v>
      </c>
      <c r="G950" s="27">
        <f>G370*IF($E950="weekday",INDEX('Category Mapping'!$F$28:$F$39,MATCH('Summarized Source Data'!$A950,'Category Mapping'!$A$28:$A$39,0),1),INDEX('Category Mapping'!$E$28:$E$39,MATCH($A950,'Category Mapping'!$A$28:$A$39,0),1))</f>
        <v>131691.42857142858</v>
      </c>
      <c r="H950" s="27">
        <f>H370*IF($E950="weekday",INDEX('Category Mapping'!$F$28:$F$39,MATCH('Summarized Source Data'!$A950,'Category Mapping'!$A$28:$A$39,0),1),INDEX('Category Mapping'!$E$28:$E$39,MATCH($A950,'Category Mapping'!$A$28:$A$39,0),1))</f>
        <v>0</v>
      </c>
      <c r="I950" s="27">
        <f>I370*IF($E950="weekday",INDEX('Category Mapping'!$F$28:$F$39,MATCH('Summarized Source Data'!$A950,'Category Mapping'!$A$28:$A$39,0),1),INDEX('Category Mapping'!$E$28:$E$39,MATCH($A950,'Category Mapping'!$A$28:$A$39,0),1))</f>
        <v>49193151.428571425</v>
      </c>
      <c r="J950" s="27">
        <f>J370*IF($E950="weekday",INDEX('Category Mapping'!$F$28:$F$39,MATCH('Summarized Source Data'!$A950,'Category Mapping'!$A$28:$A$39,0),1),INDEX('Category Mapping'!$E$28:$E$39,MATCH($A950,'Category Mapping'!$A$28:$A$39,0),1))</f>
        <v>276639831.4285714</v>
      </c>
      <c r="K950" s="27">
        <f>K370*IF($E950="weekday",INDEX('Category Mapping'!$F$28:$F$39,MATCH('Summarized Source Data'!$A950,'Category Mapping'!$A$28:$A$39,0),1),INDEX('Category Mapping'!$E$28:$E$39,MATCH($A950,'Category Mapping'!$A$28:$A$39,0),1))</f>
        <v>276639831.4285714</v>
      </c>
      <c r="L950" s="27">
        <f>L370*IF($E950="weekday",INDEX('Category Mapping'!$F$28:$F$39,MATCH('Summarized Source Data'!$A950,'Category Mapping'!$A$28:$A$39,0),1),INDEX('Category Mapping'!$E$28:$E$39,MATCH($A950,'Category Mapping'!$A$28:$A$39,0),1))</f>
        <v>98571428.571428567</v>
      </c>
      <c r="M950" s="27">
        <f>M370*IF($E950="weekday",INDEX('Category Mapping'!$F$28:$F$39,MATCH('Summarized Source Data'!$A950,'Category Mapping'!$A$28:$A$39,0),1),INDEX('Category Mapping'!$E$28:$E$39,MATCH($A950,'Category Mapping'!$A$28:$A$39,0),1))</f>
        <v>2001471.4285714284</v>
      </c>
      <c r="N950" s="27">
        <f>N370*IF($E950="weekday",INDEX('Category Mapping'!$F$28:$F$39,MATCH('Summarized Source Data'!$A950,'Category Mapping'!$A$28:$A$39,0),1),INDEX('Category Mapping'!$E$28:$E$39,MATCH($A950,'Category Mapping'!$A$28:$A$39,0),1))</f>
        <v>0</v>
      </c>
      <c r="O950" s="27">
        <f>O370*IF($E950="weekday",INDEX('Category Mapping'!$F$28:$F$39,MATCH('Summarized Source Data'!$A950,'Category Mapping'!$A$28:$A$39,0),1),INDEX('Category Mapping'!$E$28:$E$39,MATCH($A950,'Category Mapping'!$A$28:$A$39,0),1))</f>
        <v>700855671.42857146</v>
      </c>
      <c r="P950" s="27">
        <f>P370*IF($E950="weekday",INDEX('Category Mapping'!$F$28:$F$39,MATCH('Summarized Source Data'!$A950,'Category Mapping'!$A$28:$A$39,0),1),INDEX('Category Mapping'!$E$28:$E$39,MATCH($A950,'Category Mapping'!$A$28:$A$39,0),1))</f>
        <v>700855671.42857146</v>
      </c>
      <c r="Q950" s="27">
        <f>Q370*IF($E950="weekday",INDEX('Category Mapping'!$F$28:$F$39,MATCH('Summarized Source Data'!$A950,'Category Mapping'!$A$28:$A$39,0),1),INDEX('Category Mapping'!$E$28:$E$39,MATCH($A950,'Category Mapping'!$A$28:$A$39,0),1))</f>
        <v>700855671.42857146</v>
      </c>
      <c r="R950" s="27">
        <f>R370*IF($E950="weekday",INDEX('Category Mapping'!$F$28:$F$39,MATCH('Summarized Source Data'!$A950,'Category Mapping'!$A$28:$A$39,0),1),INDEX('Category Mapping'!$E$28:$E$39,MATCH($A950,'Category Mapping'!$A$28:$A$39,0),1))</f>
        <v>25601854.285714284</v>
      </c>
      <c r="S950" s="27">
        <f>S370*IF($E950="weekday",INDEX('Category Mapping'!$F$28:$F$39,MATCH('Summarized Source Data'!$A950,'Category Mapping'!$A$28:$A$39,0),1),INDEX('Category Mapping'!$E$28:$E$39,MATCH($A950,'Category Mapping'!$A$28:$A$39,0),1))</f>
        <v>25601854.285714284</v>
      </c>
      <c r="T950" s="27">
        <f>T370*IF($E950="weekday",INDEX('Category Mapping'!$F$28:$F$39,MATCH('Summarized Source Data'!$A950,'Category Mapping'!$A$28:$A$39,0),1),INDEX('Category Mapping'!$E$28:$E$39,MATCH($A950,'Category Mapping'!$A$28:$A$39,0),1))</f>
        <v>25601854.285714284</v>
      </c>
      <c r="U950" s="27">
        <f>U370*IF($E950="weekday",INDEX('Category Mapping'!$F$28:$F$39,MATCH('Summarized Source Data'!$A950,'Category Mapping'!$A$28:$A$39,0),1),INDEX('Category Mapping'!$E$28:$E$39,MATCH($A950,'Category Mapping'!$A$28:$A$39,0),1))</f>
        <v>25601854.285714284</v>
      </c>
      <c r="V950" s="27">
        <f>V370*IF($E950="weekday",INDEX('Category Mapping'!$F$28:$F$39,MATCH('Summarized Source Data'!$A950,'Category Mapping'!$A$28:$A$39,0),1),INDEX('Category Mapping'!$E$28:$E$39,MATCH($A950,'Category Mapping'!$A$28:$A$39,0),1))</f>
        <v>25601854.285714284</v>
      </c>
      <c r="W950" s="27">
        <f>W370*IF($E950="weekday",INDEX('Category Mapping'!$F$28:$F$39,MATCH('Summarized Source Data'!$A950,'Category Mapping'!$A$28:$A$39,0),1),INDEX('Category Mapping'!$E$28:$E$39,MATCH($A950,'Category Mapping'!$A$28:$A$39,0),1))</f>
        <v>25601854.285714284</v>
      </c>
      <c r="X950" s="27">
        <f>X370*IF($E950="weekday",INDEX('Category Mapping'!$F$28:$F$39,MATCH('Summarized Source Data'!$A950,'Category Mapping'!$A$28:$A$39,0),1),INDEX('Category Mapping'!$E$28:$E$39,MATCH($A950,'Category Mapping'!$A$28:$A$39,0),1))</f>
        <v>2897142857.1428571</v>
      </c>
      <c r="Y950" s="27">
        <f>Y370*IF($E950="weekday",INDEX('Category Mapping'!$F$28:$F$39,MATCH('Summarized Source Data'!$A950,'Category Mapping'!$A$28:$A$39,0),1),INDEX('Category Mapping'!$E$28:$E$39,MATCH($A950,'Category Mapping'!$A$28:$A$39,0),1))</f>
        <v>2897142857.1428571</v>
      </c>
      <c r="Z950" s="27">
        <f>Z370*IF($E950="weekday",INDEX('Category Mapping'!$F$28:$F$39,MATCH('Summarized Source Data'!$A950,'Category Mapping'!$A$28:$A$39,0),1),INDEX('Category Mapping'!$E$28:$E$39,MATCH($A950,'Category Mapping'!$A$28:$A$39,0),1))</f>
        <v>2897142857.1428571</v>
      </c>
    </row>
    <row r="951" spans="1:26" x14ac:dyDescent="0.3">
      <c r="A951">
        <f t="shared" ref="A951:E951" si="416">A371</f>
        <v>4</v>
      </c>
      <c r="B951" t="str">
        <f t="shared" si="416"/>
        <v>Spring</v>
      </c>
      <c r="C951" t="str">
        <f t="shared" si="416"/>
        <v>h8</v>
      </c>
      <c r="D951" t="str">
        <f t="shared" si="416"/>
        <v>Hour7</v>
      </c>
      <c r="E951" t="str">
        <f t="shared" si="416"/>
        <v>Weekend</v>
      </c>
      <c r="F951" s="27">
        <f>F371*IF($E951="weekday",INDEX('Category Mapping'!$F$28:$F$39,MATCH('Summarized Source Data'!$A951,'Category Mapping'!$A$28:$A$39,0),1),INDEX('Category Mapping'!$E$28:$E$39,MATCH($A951,'Category Mapping'!$A$28:$A$39,0),1))</f>
        <v>38509388.571428567</v>
      </c>
      <c r="G951" s="27">
        <f>G371*IF($E951="weekday",INDEX('Category Mapping'!$F$28:$F$39,MATCH('Summarized Source Data'!$A951,'Category Mapping'!$A$28:$A$39,0),1),INDEX('Category Mapping'!$E$28:$E$39,MATCH($A951,'Category Mapping'!$A$28:$A$39,0),1))</f>
        <v>122408.57142857142</v>
      </c>
      <c r="H951" s="27">
        <f>H371*IF($E951="weekday",INDEX('Category Mapping'!$F$28:$F$39,MATCH('Summarized Source Data'!$A951,'Category Mapping'!$A$28:$A$39,0),1),INDEX('Category Mapping'!$E$28:$E$39,MATCH($A951,'Category Mapping'!$A$28:$A$39,0),1))</f>
        <v>0</v>
      </c>
      <c r="I951" s="27">
        <f>I371*IF($E951="weekday",INDEX('Category Mapping'!$F$28:$F$39,MATCH('Summarized Source Data'!$A951,'Category Mapping'!$A$28:$A$39,0),1),INDEX('Category Mapping'!$E$28:$E$39,MATCH($A951,'Category Mapping'!$A$28:$A$39,0),1))</f>
        <v>47823908.571428567</v>
      </c>
      <c r="J951" s="27">
        <f>J371*IF($E951="weekday",INDEX('Category Mapping'!$F$28:$F$39,MATCH('Summarized Source Data'!$A951,'Category Mapping'!$A$28:$A$39,0),1),INDEX('Category Mapping'!$E$28:$E$39,MATCH($A951,'Category Mapping'!$A$28:$A$39,0),1))</f>
        <v>393544294.28571427</v>
      </c>
      <c r="K951" s="27">
        <f>K371*IF($E951="weekday",INDEX('Category Mapping'!$F$28:$F$39,MATCH('Summarized Source Data'!$A951,'Category Mapping'!$A$28:$A$39,0),1),INDEX('Category Mapping'!$E$28:$E$39,MATCH($A951,'Category Mapping'!$A$28:$A$39,0),1))</f>
        <v>393544294.28571427</v>
      </c>
      <c r="L951" s="27">
        <f>L371*IF($E951="weekday",INDEX('Category Mapping'!$F$28:$F$39,MATCH('Summarized Source Data'!$A951,'Category Mapping'!$A$28:$A$39,0),1),INDEX('Category Mapping'!$E$28:$E$39,MATCH($A951,'Category Mapping'!$A$28:$A$39,0),1))</f>
        <v>104571428.57142857</v>
      </c>
      <c r="M951" s="27">
        <f>M371*IF($E951="weekday",INDEX('Category Mapping'!$F$28:$F$39,MATCH('Summarized Source Data'!$A951,'Category Mapping'!$A$28:$A$39,0),1),INDEX('Category Mapping'!$E$28:$E$39,MATCH($A951,'Category Mapping'!$A$28:$A$39,0),1))</f>
        <v>2148300</v>
      </c>
      <c r="N951" s="27">
        <f>N371*IF($E951="weekday",INDEX('Category Mapping'!$F$28:$F$39,MATCH('Summarized Source Data'!$A951,'Category Mapping'!$A$28:$A$39,0),1),INDEX('Category Mapping'!$E$28:$E$39,MATCH($A951,'Category Mapping'!$A$28:$A$39,0),1))</f>
        <v>0</v>
      </c>
      <c r="O951" s="27">
        <f>O371*IF($E951="weekday",INDEX('Category Mapping'!$F$28:$F$39,MATCH('Summarized Source Data'!$A951,'Category Mapping'!$A$28:$A$39,0),1),INDEX('Category Mapping'!$E$28:$E$39,MATCH($A951,'Category Mapping'!$A$28:$A$39,0),1))</f>
        <v>887565985.71428573</v>
      </c>
      <c r="P951" s="27">
        <f>P371*IF($E951="weekday",INDEX('Category Mapping'!$F$28:$F$39,MATCH('Summarized Source Data'!$A951,'Category Mapping'!$A$28:$A$39,0),1),INDEX('Category Mapping'!$E$28:$E$39,MATCH($A951,'Category Mapping'!$A$28:$A$39,0),1))</f>
        <v>887565985.71428573</v>
      </c>
      <c r="Q951" s="27">
        <f>Q371*IF($E951="weekday",INDEX('Category Mapping'!$F$28:$F$39,MATCH('Summarized Source Data'!$A951,'Category Mapping'!$A$28:$A$39,0),1),INDEX('Category Mapping'!$E$28:$E$39,MATCH($A951,'Category Mapping'!$A$28:$A$39,0),1))</f>
        <v>887565985.71428573</v>
      </c>
      <c r="R951" s="27">
        <f>R371*IF($E951="weekday",INDEX('Category Mapping'!$F$28:$F$39,MATCH('Summarized Source Data'!$A951,'Category Mapping'!$A$28:$A$39,0),1),INDEX('Category Mapping'!$E$28:$E$39,MATCH($A951,'Category Mapping'!$A$28:$A$39,0),1))</f>
        <v>33330625.714285713</v>
      </c>
      <c r="S951" s="27">
        <f>S371*IF($E951="weekday",INDEX('Category Mapping'!$F$28:$F$39,MATCH('Summarized Source Data'!$A951,'Category Mapping'!$A$28:$A$39,0),1),INDEX('Category Mapping'!$E$28:$E$39,MATCH($A951,'Category Mapping'!$A$28:$A$39,0),1))</f>
        <v>33330625.714285713</v>
      </c>
      <c r="T951" s="27">
        <f>T371*IF($E951="weekday",INDEX('Category Mapping'!$F$28:$F$39,MATCH('Summarized Source Data'!$A951,'Category Mapping'!$A$28:$A$39,0),1),INDEX('Category Mapping'!$E$28:$E$39,MATCH($A951,'Category Mapping'!$A$28:$A$39,0),1))</f>
        <v>33330625.714285713</v>
      </c>
      <c r="U951" s="27">
        <f>U371*IF($E951="weekday",INDEX('Category Mapping'!$F$28:$F$39,MATCH('Summarized Source Data'!$A951,'Category Mapping'!$A$28:$A$39,0),1),INDEX('Category Mapping'!$E$28:$E$39,MATCH($A951,'Category Mapping'!$A$28:$A$39,0),1))</f>
        <v>33330625.714285713</v>
      </c>
      <c r="V951" s="27">
        <f>V371*IF($E951="weekday",INDEX('Category Mapping'!$F$28:$F$39,MATCH('Summarized Source Data'!$A951,'Category Mapping'!$A$28:$A$39,0),1),INDEX('Category Mapping'!$E$28:$E$39,MATCH($A951,'Category Mapping'!$A$28:$A$39,0),1))</f>
        <v>33330625.714285713</v>
      </c>
      <c r="W951" s="27">
        <f>W371*IF($E951="weekday",INDEX('Category Mapping'!$F$28:$F$39,MATCH('Summarized Source Data'!$A951,'Category Mapping'!$A$28:$A$39,0),1),INDEX('Category Mapping'!$E$28:$E$39,MATCH($A951,'Category Mapping'!$A$28:$A$39,0),1))</f>
        <v>33330625.714285713</v>
      </c>
      <c r="X951" s="27">
        <f>X371*IF($E951="weekday",INDEX('Category Mapping'!$F$28:$F$39,MATCH('Summarized Source Data'!$A951,'Category Mapping'!$A$28:$A$39,0),1),INDEX('Category Mapping'!$E$28:$E$39,MATCH($A951,'Category Mapping'!$A$28:$A$39,0),1))</f>
        <v>2897142857.1428571</v>
      </c>
      <c r="Y951" s="27">
        <f>Y371*IF($E951="weekday",INDEX('Category Mapping'!$F$28:$F$39,MATCH('Summarized Source Data'!$A951,'Category Mapping'!$A$28:$A$39,0),1),INDEX('Category Mapping'!$E$28:$E$39,MATCH($A951,'Category Mapping'!$A$28:$A$39,0),1))</f>
        <v>2897142857.1428571</v>
      </c>
      <c r="Z951" s="27">
        <f>Z371*IF($E951="weekday",INDEX('Category Mapping'!$F$28:$F$39,MATCH('Summarized Source Data'!$A951,'Category Mapping'!$A$28:$A$39,0),1),INDEX('Category Mapping'!$E$28:$E$39,MATCH($A951,'Category Mapping'!$A$28:$A$39,0),1))</f>
        <v>2897142857.1428571</v>
      </c>
    </row>
    <row r="952" spans="1:26" x14ac:dyDescent="0.3">
      <c r="A952">
        <f t="shared" ref="A952:E952" si="417">A372</f>
        <v>4</v>
      </c>
      <c r="B952" t="str">
        <f t="shared" si="417"/>
        <v>Spring</v>
      </c>
      <c r="C952" t="str">
        <f t="shared" si="417"/>
        <v>h9</v>
      </c>
      <c r="D952" t="str">
        <f t="shared" si="417"/>
        <v>Hour8</v>
      </c>
      <c r="E952" t="str">
        <f t="shared" si="417"/>
        <v>Weekend</v>
      </c>
      <c r="F952" s="27">
        <f>F372*IF($E952="weekday",INDEX('Category Mapping'!$F$28:$F$39,MATCH('Summarized Source Data'!$A952,'Category Mapping'!$A$28:$A$39,0),1),INDEX('Category Mapping'!$E$28:$E$39,MATCH($A952,'Category Mapping'!$A$28:$A$39,0),1))</f>
        <v>41843374.285714284</v>
      </c>
      <c r="G952" s="27">
        <f>G372*IF($E952="weekday",INDEX('Category Mapping'!$F$28:$F$39,MATCH('Summarized Source Data'!$A952,'Category Mapping'!$A$28:$A$39,0),1),INDEX('Category Mapping'!$E$28:$E$39,MATCH($A952,'Category Mapping'!$A$28:$A$39,0),1))</f>
        <v>109500</v>
      </c>
      <c r="H952" s="27">
        <f>H372*IF($E952="weekday",INDEX('Category Mapping'!$F$28:$F$39,MATCH('Summarized Source Data'!$A952,'Category Mapping'!$A$28:$A$39,0),1),INDEX('Category Mapping'!$E$28:$E$39,MATCH($A952,'Category Mapping'!$A$28:$A$39,0),1))</f>
        <v>0</v>
      </c>
      <c r="I952" s="27">
        <f>I372*IF($E952="weekday",INDEX('Category Mapping'!$F$28:$F$39,MATCH('Summarized Source Data'!$A952,'Category Mapping'!$A$28:$A$39,0),1),INDEX('Category Mapping'!$E$28:$E$39,MATCH($A952,'Category Mapping'!$A$28:$A$39,0),1))</f>
        <v>58342637.142857142</v>
      </c>
      <c r="J952" s="27">
        <f>J372*IF($E952="weekday",INDEX('Category Mapping'!$F$28:$F$39,MATCH('Summarized Source Data'!$A952,'Category Mapping'!$A$28:$A$39,0),1),INDEX('Category Mapping'!$E$28:$E$39,MATCH($A952,'Category Mapping'!$A$28:$A$39,0),1))</f>
        <v>492847345.71428567</v>
      </c>
      <c r="K952" s="27">
        <f>K372*IF($E952="weekday",INDEX('Category Mapping'!$F$28:$F$39,MATCH('Summarized Source Data'!$A952,'Category Mapping'!$A$28:$A$39,0),1),INDEX('Category Mapping'!$E$28:$E$39,MATCH($A952,'Category Mapping'!$A$28:$A$39,0),1))</f>
        <v>492847345.71428567</v>
      </c>
      <c r="L952" s="27">
        <f>L372*IF($E952="weekday",INDEX('Category Mapping'!$F$28:$F$39,MATCH('Summarized Source Data'!$A952,'Category Mapping'!$A$28:$A$39,0),1),INDEX('Category Mapping'!$E$28:$E$39,MATCH($A952,'Category Mapping'!$A$28:$A$39,0),1))</f>
        <v>85194017.142857134</v>
      </c>
      <c r="M952" s="27">
        <f>M372*IF($E952="weekday",INDEX('Category Mapping'!$F$28:$F$39,MATCH('Summarized Source Data'!$A952,'Category Mapping'!$A$28:$A$39,0),1),INDEX('Category Mapping'!$E$28:$E$39,MATCH($A952,'Category Mapping'!$A$28:$A$39,0),1))</f>
        <v>2364128.5714285714</v>
      </c>
      <c r="N952" s="27">
        <f>N372*IF($E952="weekday",INDEX('Category Mapping'!$F$28:$F$39,MATCH('Summarized Source Data'!$A952,'Category Mapping'!$A$28:$A$39,0),1),INDEX('Category Mapping'!$E$28:$E$39,MATCH($A952,'Category Mapping'!$A$28:$A$39,0),1))</f>
        <v>0</v>
      </c>
      <c r="O952" s="27">
        <f>O372*IF($E952="weekday",INDEX('Category Mapping'!$F$28:$F$39,MATCH('Summarized Source Data'!$A952,'Category Mapping'!$A$28:$A$39,0),1),INDEX('Category Mapping'!$E$28:$E$39,MATCH($A952,'Category Mapping'!$A$28:$A$39,0),1))</f>
        <v>1001013282.8571428</v>
      </c>
      <c r="P952" s="27">
        <f>P372*IF($E952="weekday",INDEX('Category Mapping'!$F$28:$F$39,MATCH('Summarized Source Data'!$A952,'Category Mapping'!$A$28:$A$39,0),1),INDEX('Category Mapping'!$E$28:$E$39,MATCH($A952,'Category Mapping'!$A$28:$A$39,0),1))</f>
        <v>1001013282.8571428</v>
      </c>
      <c r="Q952" s="27">
        <f>Q372*IF($E952="weekday",INDEX('Category Mapping'!$F$28:$F$39,MATCH('Summarized Source Data'!$A952,'Category Mapping'!$A$28:$A$39,0),1),INDEX('Category Mapping'!$E$28:$E$39,MATCH($A952,'Category Mapping'!$A$28:$A$39,0),1))</f>
        <v>1001013282.8571428</v>
      </c>
      <c r="R952" s="27">
        <f>R372*IF($E952="weekday",INDEX('Category Mapping'!$F$28:$F$39,MATCH('Summarized Source Data'!$A952,'Category Mapping'!$A$28:$A$39,0),1),INDEX('Category Mapping'!$E$28:$E$39,MATCH($A952,'Category Mapping'!$A$28:$A$39,0),1))</f>
        <v>39888780</v>
      </c>
      <c r="S952" s="27">
        <f>S372*IF($E952="weekday",INDEX('Category Mapping'!$F$28:$F$39,MATCH('Summarized Source Data'!$A952,'Category Mapping'!$A$28:$A$39,0),1),INDEX('Category Mapping'!$E$28:$E$39,MATCH($A952,'Category Mapping'!$A$28:$A$39,0),1))</f>
        <v>39888780</v>
      </c>
      <c r="T952" s="27">
        <f>T372*IF($E952="weekday",INDEX('Category Mapping'!$F$28:$F$39,MATCH('Summarized Source Data'!$A952,'Category Mapping'!$A$28:$A$39,0),1),INDEX('Category Mapping'!$E$28:$E$39,MATCH($A952,'Category Mapping'!$A$28:$A$39,0),1))</f>
        <v>39888780</v>
      </c>
      <c r="U952" s="27">
        <f>U372*IF($E952="weekday",INDEX('Category Mapping'!$F$28:$F$39,MATCH('Summarized Source Data'!$A952,'Category Mapping'!$A$28:$A$39,0),1),INDEX('Category Mapping'!$E$28:$E$39,MATCH($A952,'Category Mapping'!$A$28:$A$39,0),1))</f>
        <v>39888780</v>
      </c>
      <c r="V952" s="27">
        <f>V372*IF($E952="weekday",INDEX('Category Mapping'!$F$28:$F$39,MATCH('Summarized Source Data'!$A952,'Category Mapping'!$A$28:$A$39,0),1),INDEX('Category Mapping'!$E$28:$E$39,MATCH($A952,'Category Mapping'!$A$28:$A$39,0),1))</f>
        <v>39888780</v>
      </c>
      <c r="W952" s="27">
        <f>W372*IF($E952="weekday",INDEX('Category Mapping'!$F$28:$F$39,MATCH('Summarized Source Data'!$A952,'Category Mapping'!$A$28:$A$39,0),1),INDEX('Category Mapping'!$E$28:$E$39,MATCH($A952,'Category Mapping'!$A$28:$A$39,0),1))</f>
        <v>39888780</v>
      </c>
      <c r="X952" s="27">
        <f>X372*IF($E952="weekday",INDEX('Category Mapping'!$F$28:$F$39,MATCH('Summarized Source Data'!$A952,'Category Mapping'!$A$28:$A$39,0),1),INDEX('Category Mapping'!$E$28:$E$39,MATCH($A952,'Category Mapping'!$A$28:$A$39,0),1))</f>
        <v>2897142857.1428571</v>
      </c>
      <c r="Y952" s="27">
        <f>Y372*IF($E952="weekday",INDEX('Category Mapping'!$F$28:$F$39,MATCH('Summarized Source Data'!$A952,'Category Mapping'!$A$28:$A$39,0),1),INDEX('Category Mapping'!$E$28:$E$39,MATCH($A952,'Category Mapping'!$A$28:$A$39,0),1))</f>
        <v>2897142857.1428571</v>
      </c>
      <c r="Z952" s="27">
        <f>Z372*IF($E952="weekday",INDEX('Category Mapping'!$F$28:$F$39,MATCH('Summarized Source Data'!$A952,'Category Mapping'!$A$28:$A$39,0),1),INDEX('Category Mapping'!$E$28:$E$39,MATCH($A952,'Category Mapping'!$A$28:$A$39,0),1))</f>
        <v>2897142857.1428571</v>
      </c>
    </row>
    <row r="953" spans="1:26" x14ac:dyDescent="0.3">
      <c r="A953">
        <f t="shared" ref="A953:E953" si="418">A373</f>
        <v>4</v>
      </c>
      <c r="B953" t="str">
        <f t="shared" si="418"/>
        <v>Spring</v>
      </c>
      <c r="C953" t="str">
        <f t="shared" si="418"/>
        <v>h10</v>
      </c>
      <c r="D953" t="str">
        <f t="shared" si="418"/>
        <v>Hour9</v>
      </c>
      <c r="E953" t="str">
        <f t="shared" si="418"/>
        <v>Weekend</v>
      </c>
      <c r="F953" s="27">
        <f>F373*IF($E953="weekday",INDEX('Category Mapping'!$F$28:$F$39,MATCH('Summarized Source Data'!$A953,'Category Mapping'!$A$28:$A$39,0),1),INDEX('Category Mapping'!$E$28:$E$39,MATCH($A953,'Category Mapping'!$A$28:$A$39,0),1))</f>
        <v>42512425.714285716</v>
      </c>
      <c r="G953" s="27">
        <f>G373*IF($E953="weekday",INDEX('Category Mapping'!$F$28:$F$39,MATCH('Summarized Source Data'!$A953,'Category Mapping'!$A$28:$A$39,0),1),INDEX('Category Mapping'!$E$28:$E$39,MATCH($A953,'Category Mapping'!$A$28:$A$39,0),1))</f>
        <v>95434.28571428571</v>
      </c>
      <c r="H953" s="27">
        <f>H373*IF($E953="weekday",INDEX('Category Mapping'!$F$28:$F$39,MATCH('Summarized Source Data'!$A953,'Category Mapping'!$A$28:$A$39,0),1),INDEX('Category Mapping'!$E$28:$E$39,MATCH($A953,'Category Mapping'!$A$28:$A$39,0),1))</f>
        <v>0</v>
      </c>
      <c r="I953" s="27">
        <f>I373*IF($E953="weekday",INDEX('Category Mapping'!$F$28:$F$39,MATCH('Summarized Source Data'!$A953,'Category Mapping'!$A$28:$A$39,0),1),INDEX('Category Mapping'!$E$28:$E$39,MATCH($A953,'Category Mapping'!$A$28:$A$39,0),1))</f>
        <v>60453488.571428567</v>
      </c>
      <c r="J953" s="27">
        <f>J373*IF($E953="weekday",INDEX('Category Mapping'!$F$28:$F$39,MATCH('Summarized Source Data'!$A953,'Category Mapping'!$A$28:$A$39,0),1),INDEX('Category Mapping'!$E$28:$E$39,MATCH($A953,'Category Mapping'!$A$28:$A$39,0),1))</f>
        <v>623795794.28571427</v>
      </c>
      <c r="K953" s="27">
        <f>K373*IF($E953="weekday",INDEX('Category Mapping'!$F$28:$F$39,MATCH('Summarized Source Data'!$A953,'Category Mapping'!$A$28:$A$39,0),1),INDEX('Category Mapping'!$E$28:$E$39,MATCH($A953,'Category Mapping'!$A$28:$A$39,0),1))</f>
        <v>623795794.28571427</v>
      </c>
      <c r="L953" s="27">
        <f>L373*IF($E953="weekday",INDEX('Category Mapping'!$F$28:$F$39,MATCH('Summarized Source Data'!$A953,'Category Mapping'!$A$28:$A$39,0),1),INDEX('Category Mapping'!$E$28:$E$39,MATCH($A953,'Category Mapping'!$A$28:$A$39,0),1))</f>
        <v>71909700</v>
      </c>
      <c r="M953" s="27">
        <f>M373*IF($E953="weekday",INDEX('Category Mapping'!$F$28:$F$39,MATCH('Summarized Source Data'!$A953,'Category Mapping'!$A$28:$A$39,0),1),INDEX('Category Mapping'!$E$28:$E$39,MATCH($A953,'Category Mapping'!$A$28:$A$39,0),1))</f>
        <v>2501948.5714285714</v>
      </c>
      <c r="N953" s="27">
        <f>N373*IF($E953="weekday",INDEX('Category Mapping'!$F$28:$F$39,MATCH('Summarized Source Data'!$A953,'Category Mapping'!$A$28:$A$39,0),1),INDEX('Category Mapping'!$E$28:$E$39,MATCH($A953,'Category Mapping'!$A$28:$A$39,0),1))</f>
        <v>0</v>
      </c>
      <c r="O953" s="27">
        <f>O373*IF($E953="weekday",INDEX('Category Mapping'!$F$28:$F$39,MATCH('Summarized Source Data'!$A953,'Category Mapping'!$A$28:$A$39,0),1),INDEX('Category Mapping'!$E$28:$E$39,MATCH($A953,'Category Mapping'!$A$28:$A$39,0),1))</f>
        <v>1099874065.7142856</v>
      </c>
      <c r="P953" s="27">
        <f>P373*IF($E953="weekday",INDEX('Category Mapping'!$F$28:$F$39,MATCH('Summarized Source Data'!$A953,'Category Mapping'!$A$28:$A$39,0),1),INDEX('Category Mapping'!$E$28:$E$39,MATCH($A953,'Category Mapping'!$A$28:$A$39,0),1))</f>
        <v>1099874065.7142856</v>
      </c>
      <c r="Q953" s="27">
        <f>Q373*IF($E953="weekday",INDEX('Category Mapping'!$F$28:$F$39,MATCH('Summarized Source Data'!$A953,'Category Mapping'!$A$28:$A$39,0),1),INDEX('Category Mapping'!$E$28:$E$39,MATCH($A953,'Category Mapping'!$A$28:$A$39,0),1))</f>
        <v>1099874065.7142856</v>
      </c>
      <c r="R953" s="27">
        <f>R373*IF($E953="weekday",INDEX('Category Mapping'!$F$28:$F$39,MATCH('Summarized Source Data'!$A953,'Category Mapping'!$A$28:$A$39,0),1),INDEX('Category Mapping'!$E$28:$E$39,MATCH($A953,'Category Mapping'!$A$28:$A$39,0),1))</f>
        <v>45321797.142857142</v>
      </c>
      <c r="S953" s="27">
        <f>S373*IF($E953="weekday",INDEX('Category Mapping'!$F$28:$F$39,MATCH('Summarized Source Data'!$A953,'Category Mapping'!$A$28:$A$39,0),1),INDEX('Category Mapping'!$E$28:$E$39,MATCH($A953,'Category Mapping'!$A$28:$A$39,0),1))</f>
        <v>45321797.142857142</v>
      </c>
      <c r="T953" s="27">
        <f>T373*IF($E953="weekday",INDEX('Category Mapping'!$F$28:$F$39,MATCH('Summarized Source Data'!$A953,'Category Mapping'!$A$28:$A$39,0),1),INDEX('Category Mapping'!$E$28:$E$39,MATCH($A953,'Category Mapping'!$A$28:$A$39,0),1))</f>
        <v>45321797.142857142</v>
      </c>
      <c r="U953" s="27">
        <f>U373*IF($E953="weekday",INDEX('Category Mapping'!$F$28:$F$39,MATCH('Summarized Source Data'!$A953,'Category Mapping'!$A$28:$A$39,0),1),INDEX('Category Mapping'!$E$28:$E$39,MATCH($A953,'Category Mapping'!$A$28:$A$39,0),1))</f>
        <v>45321797.142857142</v>
      </c>
      <c r="V953" s="27">
        <f>V373*IF($E953="weekday",INDEX('Category Mapping'!$F$28:$F$39,MATCH('Summarized Source Data'!$A953,'Category Mapping'!$A$28:$A$39,0),1),INDEX('Category Mapping'!$E$28:$E$39,MATCH($A953,'Category Mapping'!$A$28:$A$39,0),1))</f>
        <v>45321797.142857142</v>
      </c>
      <c r="W953" s="27">
        <f>W373*IF($E953="weekday",INDEX('Category Mapping'!$F$28:$F$39,MATCH('Summarized Source Data'!$A953,'Category Mapping'!$A$28:$A$39,0),1),INDEX('Category Mapping'!$E$28:$E$39,MATCH($A953,'Category Mapping'!$A$28:$A$39,0),1))</f>
        <v>45321797.142857142</v>
      </c>
      <c r="X953" s="27">
        <f>X373*IF($E953="weekday",INDEX('Category Mapping'!$F$28:$F$39,MATCH('Summarized Source Data'!$A953,'Category Mapping'!$A$28:$A$39,0),1),INDEX('Category Mapping'!$E$28:$E$39,MATCH($A953,'Category Mapping'!$A$28:$A$39,0),1))</f>
        <v>2888571428.5714283</v>
      </c>
      <c r="Y953" s="27">
        <f>Y373*IF($E953="weekday",INDEX('Category Mapping'!$F$28:$F$39,MATCH('Summarized Source Data'!$A953,'Category Mapping'!$A$28:$A$39,0),1),INDEX('Category Mapping'!$E$28:$E$39,MATCH($A953,'Category Mapping'!$A$28:$A$39,0),1))</f>
        <v>2888571428.5714283</v>
      </c>
      <c r="Z953" s="27">
        <f>Z373*IF($E953="weekday",INDEX('Category Mapping'!$F$28:$F$39,MATCH('Summarized Source Data'!$A953,'Category Mapping'!$A$28:$A$39,0),1),INDEX('Category Mapping'!$E$28:$E$39,MATCH($A953,'Category Mapping'!$A$28:$A$39,0),1))</f>
        <v>2888571428.5714283</v>
      </c>
    </row>
    <row r="954" spans="1:26" x14ac:dyDescent="0.3">
      <c r="A954">
        <f t="shared" ref="A954:E954" si="419">A374</f>
        <v>4</v>
      </c>
      <c r="B954" t="str">
        <f t="shared" si="419"/>
        <v>Spring</v>
      </c>
      <c r="C954" t="str">
        <f t="shared" si="419"/>
        <v>h11</v>
      </c>
      <c r="D954" t="str">
        <f t="shared" si="419"/>
        <v>Hour10</v>
      </c>
      <c r="E954" t="str">
        <f t="shared" si="419"/>
        <v>Weekend</v>
      </c>
      <c r="F954" s="27">
        <f>F374*IF($E954="weekday",INDEX('Category Mapping'!$F$28:$F$39,MATCH('Summarized Source Data'!$A954,'Category Mapping'!$A$28:$A$39,0),1),INDEX('Category Mapping'!$E$28:$E$39,MATCH($A954,'Category Mapping'!$A$28:$A$39,0),1))</f>
        <v>42626725.714285716</v>
      </c>
      <c r="G954" s="27">
        <f>G374*IF($E954="weekday",INDEX('Category Mapping'!$F$28:$F$39,MATCH('Summarized Source Data'!$A954,'Category Mapping'!$A$28:$A$39,0),1),INDEX('Category Mapping'!$E$28:$E$39,MATCH($A954,'Category Mapping'!$A$28:$A$39,0),1))</f>
        <v>89057.142857142855</v>
      </c>
      <c r="H954" s="27">
        <f>H374*IF($E954="weekday",INDEX('Category Mapping'!$F$28:$F$39,MATCH('Summarized Source Data'!$A954,'Category Mapping'!$A$28:$A$39,0),1),INDEX('Category Mapping'!$E$28:$E$39,MATCH($A954,'Category Mapping'!$A$28:$A$39,0),1))</f>
        <v>0</v>
      </c>
      <c r="I954" s="27">
        <f>I374*IF($E954="weekday",INDEX('Category Mapping'!$F$28:$F$39,MATCH('Summarized Source Data'!$A954,'Category Mapping'!$A$28:$A$39,0),1),INDEX('Category Mapping'!$E$28:$E$39,MATCH($A954,'Category Mapping'!$A$28:$A$39,0),1))</f>
        <v>60814097.142857142</v>
      </c>
      <c r="J954" s="27">
        <f>J374*IF($E954="weekday",INDEX('Category Mapping'!$F$28:$F$39,MATCH('Summarized Source Data'!$A954,'Category Mapping'!$A$28:$A$39,0),1),INDEX('Category Mapping'!$E$28:$E$39,MATCH($A954,'Category Mapping'!$A$28:$A$39,0),1))</f>
        <v>770755834.28571427</v>
      </c>
      <c r="K954" s="27">
        <f>K374*IF($E954="weekday",INDEX('Category Mapping'!$F$28:$F$39,MATCH('Summarized Source Data'!$A954,'Category Mapping'!$A$28:$A$39,0),1),INDEX('Category Mapping'!$E$28:$E$39,MATCH($A954,'Category Mapping'!$A$28:$A$39,0),1))</f>
        <v>770755834.28571427</v>
      </c>
      <c r="L954" s="27">
        <f>L374*IF($E954="weekday",INDEX('Category Mapping'!$F$28:$F$39,MATCH('Summarized Source Data'!$A954,'Category Mapping'!$A$28:$A$39,0),1),INDEX('Category Mapping'!$E$28:$E$39,MATCH($A954,'Category Mapping'!$A$28:$A$39,0),1))</f>
        <v>61845120</v>
      </c>
      <c r="M954" s="27">
        <f>M374*IF($E954="weekday",INDEX('Category Mapping'!$F$28:$F$39,MATCH('Summarized Source Data'!$A954,'Category Mapping'!$A$28:$A$39,0),1),INDEX('Category Mapping'!$E$28:$E$39,MATCH($A954,'Category Mapping'!$A$28:$A$39,0),1))</f>
        <v>2573580</v>
      </c>
      <c r="N954" s="27">
        <f>N374*IF($E954="weekday",INDEX('Category Mapping'!$F$28:$F$39,MATCH('Summarized Source Data'!$A954,'Category Mapping'!$A$28:$A$39,0),1),INDEX('Category Mapping'!$E$28:$E$39,MATCH($A954,'Category Mapping'!$A$28:$A$39,0),1))</f>
        <v>0</v>
      </c>
      <c r="O954" s="27">
        <f>O374*IF($E954="weekday",INDEX('Category Mapping'!$F$28:$F$39,MATCH('Summarized Source Data'!$A954,'Category Mapping'!$A$28:$A$39,0),1),INDEX('Category Mapping'!$E$28:$E$39,MATCH($A954,'Category Mapping'!$A$28:$A$39,0),1))</f>
        <v>1084152728.5714285</v>
      </c>
      <c r="P954" s="27">
        <f>P374*IF($E954="weekday",INDEX('Category Mapping'!$F$28:$F$39,MATCH('Summarized Source Data'!$A954,'Category Mapping'!$A$28:$A$39,0),1),INDEX('Category Mapping'!$E$28:$E$39,MATCH($A954,'Category Mapping'!$A$28:$A$39,0),1))</f>
        <v>1084152728.5714285</v>
      </c>
      <c r="Q954" s="27">
        <f>Q374*IF($E954="weekday",INDEX('Category Mapping'!$F$28:$F$39,MATCH('Summarized Source Data'!$A954,'Category Mapping'!$A$28:$A$39,0),1),INDEX('Category Mapping'!$E$28:$E$39,MATCH($A954,'Category Mapping'!$A$28:$A$39,0),1))</f>
        <v>1084152728.5714285</v>
      </c>
      <c r="R954" s="27">
        <f>R374*IF($E954="weekday",INDEX('Category Mapping'!$F$28:$F$39,MATCH('Summarized Source Data'!$A954,'Category Mapping'!$A$28:$A$39,0),1),INDEX('Category Mapping'!$E$28:$E$39,MATCH($A954,'Category Mapping'!$A$28:$A$39,0),1))</f>
        <v>48032117.142857142</v>
      </c>
      <c r="S954" s="27">
        <f>S374*IF($E954="weekday",INDEX('Category Mapping'!$F$28:$F$39,MATCH('Summarized Source Data'!$A954,'Category Mapping'!$A$28:$A$39,0),1),INDEX('Category Mapping'!$E$28:$E$39,MATCH($A954,'Category Mapping'!$A$28:$A$39,0),1))</f>
        <v>48032117.142857142</v>
      </c>
      <c r="T954" s="27">
        <f>T374*IF($E954="weekday",INDEX('Category Mapping'!$F$28:$F$39,MATCH('Summarized Source Data'!$A954,'Category Mapping'!$A$28:$A$39,0),1),INDEX('Category Mapping'!$E$28:$E$39,MATCH($A954,'Category Mapping'!$A$28:$A$39,0),1))</f>
        <v>48032117.142857142</v>
      </c>
      <c r="U954" s="27">
        <f>U374*IF($E954="weekday",INDEX('Category Mapping'!$F$28:$F$39,MATCH('Summarized Source Data'!$A954,'Category Mapping'!$A$28:$A$39,0),1),INDEX('Category Mapping'!$E$28:$E$39,MATCH($A954,'Category Mapping'!$A$28:$A$39,0),1))</f>
        <v>48032117.142857142</v>
      </c>
      <c r="V954" s="27">
        <f>V374*IF($E954="weekday",INDEX('Category Mapping'!$F$28:$F$39,MATCH('Summarized Source Data'!$A954,'Category Mapping'!$A$28:$A$39,0),1),INDEX('Category Mapping'!$E$28:$E$39,MATCH($A954,'Category Mapping'!$A$28:$A$39,0),1))</f>
        <v>48032117.142857142</v>
      </c>
      <c r="W954" s="27">
        <f>W374*IF($E954="weekday",INDEX('Category Mapping'!$F$28:$F$39,MATCH('Summarized Source Data'!$A954,'Category Mapping'!$A$28:$A$39,0),1),INDEX('Category Mapping'!$E$28:$E$39,MATCH($A954,'Category Mapping'!$A$28:$A$39,0),1))</f>
        <v>48032117.142857142</v>
      </c>
      <c r="X954" s="27">
        <f>X374*IF($E954="weekday",INDEX('Category Mapping'!$F$28:$F$39,MATCH('Summarized Source Data'!$A954,'Category Mapping'!$A$28:$A$39,0),1),INDEX('Category Mapping'!$E$28:$E$39,MATCH($A954,'Category Mapping'!$A$28:$A$39,0),1))</f>
        <v>2880000000</v>
      </c>
      <c r="Y954" s="27">
        <f>Y374*IF($E954="weekday",INDEX('Category Mapping'!$F$28:$F$39,MATCH('Summarized Source Data'!$A954,'Category Mapping'!$A$28:$A$39,0),1),INDEX('Category Mapping'!$E$28:$E$39,MATCH($A954,'Category Mapping'!$A$28:$A$39,0),1))</f>
        <v>2880000000</v>
      </c>
      <c r="Z954" s="27">
        <f>Z374*IF($E954="weekday",INDEX('Category Mapping'!$F$28:$F$39,MATCH('Summarized Source Data'!$A954,'Category Mapping'!$A$28:$A$39,0),1),INDEX('Category Mapping'!$E$28:$E$39,MATCH($A954,'Category Mapping'!$A$28:$A$39,0),1))</f>
        <v>2880000000</v>
      </c>
    </row>
    <row r="955" spans="1:26" x14ac:dyDescent="0.3">
      <c r="A955">
        <f t="shared" ref="A955:E955" si="420">A375</f>
        <v>4</v>
      </c>
      <c r="B955" t="str">
        <f t="shared" si="420"/>
        <v>Spring</v>
      </c>
      <c r="C955" t="str">
        <f t="shared" si="420"/>
        <v>h12</v>
      </c>
      <c r="D955" t="str">
        <f t="shared" si="420"/>
        <v>Hour11</v>
      </c>
      <c r="E955" t="str">
        <f t="shared" si="420"/>
        <v>Weekend</v>
      </c>
      <c r="F955" s="27">
        <f>F375*IF($E955="weekday",INDEX('Category Mapping'!$F$28:$F$39,MATCH('Summarized Source Data'!$A955,'Category Mapping'!$A$28:$A$39,0),1),INDEX('Category Mapping'!$E$28:$E$39,MATCH($A955,'Category Mapping'!$A$28:$A$39,0),1))</f>
        <v>32814162.857142854</v>
      </c>
      <c r="G955" s="27">
        <f>G375*IF($E955="weekday",INDEX('Category Mapping'!$F$28:$F$39,MATCH('Summarized Source Data'!$A955,'Category Mapping'!$A$28:$A$39,0),1),INDEX('Category Mapping'!$E$28:$E$39,MATCH($A955,'Category Mapping'!$A$28:$A$39,0),1))</f>
        <v>92134.28571428571</v>
      </c>
      <c r="H955" s="27">
        <f>H375*IF($E955="weekday",INDEX('Category Mapping'!$F$28:$F$39,MATCH('Summarized Source Data'!$A955,'Category Mapping'!$A$28:$A$39,0),1),INDEX('Category Mapping'!$E$28:$E$39,MATCH($A955,'Category Mapping'!$A$28:$A$39,0),1))</f>
        <v>0</v>
      </c>
      <c r="I955" s="27">
        <f>I375*IF($E955="weekday",INDEX('Category Mapping'!$F$28:$F$39,MATCH('Summarized Source Data'!$A955,'Category Mapping'!$A$28:$A$39,0),1),INDEX('Category Mapping'!$E$28:$E$39,MATCH($A955,'Category Mapping'!$A$28:$A$39,0),1))</f>
        <v>64525174.285714284</v>
      </c>
      <c r="J955" s="27">
        <f>J375*IF($E955="weekday",INDEX('Category Mapping'!$F$28:$F$39,MATCH('Summarized Source Data'!$A955,'Category Mapping'!$A$28:$A$39,0),1),INDEX('Category Mapping'!$E$28:$E$39,MATCH($A955,'Category Mapping'!$A$28:$A$39,0),1))</f>
        <v>862568528.57142854</v>
      </c>
      <c r="K955" s="27">
        <f>K375*IF($E955="weekday",INDEX('Category Mapping'!$F$28:$F$39,MATCH('Summarized Source Data'!$A955,'Category Mapping'!$A$28:$A$39,0),1),INDEX('Category Mapping'!$E$28:$E$39,MATCH($A955,'Category Mapping'!$A$28:$A$39,0),1))</f>
        <v>862568528.57142854</v>
      </c>
      <c r="L955" s="27">
        <f>L375*IF($E955="weekday",INDEX('Category Mapping'!$F$28:$F$39,MATCH('Summarized Source Data'!$A955,'Category Mapping'!$A$28:$A$39,0),1),INDEX('Category Mapping'!$E$28:$E$39,MATCH($A955,'Category Mapping'!$A$28:$A$39,0),1))</f>
        <v>55044394.285714284</v>
      </c>
      <c r="M955" s="27">
        <f>M375*IF($E955="weekday",INDEX('Category Mapping'!$F$28:$F$39,MATCH('Summarized Source Data'!$A955,'Category Mapping'!$A$28:$A$39,0),1),INDEX('Category Mapping'!$E$28:$E$39,MATCH($A955,'Category Mapping'!$A$28:$A$39,0),1))</f>
        <v>2590371.4285714286</v>
      </c>
      <c r="N955" s="27">
        <f>N375*IF($E955="weekday",INDEX('Category Mapping'!$F$28:$F$39,MATCH('Summarized Source Data'!$A955,'Category Mapping'!$A$28:$A$39,0),1),INDEX('Category Mapping'!$E$28:$E$39,MATCH($A955,'Category Mapping'!$A$28:$A$39,0),1))</f>
        <v>0</v>
      </c>
      <c r="O955" s="27">
        <f>O375*IF($E955="weekday",INDEX('Category Mapping'!$F$28:$F$39,MATCH('Summarized Source Data'!$A955,'Category Mapping'!$A$28:$A$39,0),1),INDEX('Category Mapping'!$E$28:$E$39,MATCH($A955,'Category Mapping'!$A$28:$A$39,0),1))</f>
        <v>1082365234.2857141</v>
      </c>
      <c r="P955" s="27">
        <f>P375*IF($E955="weekday",INDEX('Category Mapping'!$F$28:$F$39,MATCH('Summarized Source Data'!$A955,'Category Mapping'!$A$28:$A$39,0),1),INDEX('Category Mapping'!$E$28:$E$39,MATCH($A955,'Category Mapping'!$A$28:$A$39,0),1))</f>
        <v>1082365234.2857141</v>
      </c>
      <c r="Q955" s="27">
        <f>Q375*IF($E955="weekday",INDEX('Category Mapping'!$F$28:$F$39,MATCH('Summarized Source Data'!$A955,'Category Mapping'!$A$28:$A$39,0),1),INDEX('Category Mapping'!$E$28:$E$39,MATCH($A955,'Category Mapping'!$A$28:$A$39,0),1))</f>
        <v>1082365234.2857141</v>
      </c>
      <c r="R955" s="27">
        <f>R375*IF($E955="weekday",INDEX('Category Mapping'!$F$28:$F$39,MATCH('Summarized Source Data'!$A955,'Category Mapping'!$A$28:$A$39,0),1),INDEX('Category Mapping'!$E$28:$E$39,MATCH($A955,'Category Mapping'!$A$28:$A$39,0),1))</f>
        <v>49587994.285714284</v>
      </c>
      <c r="S955" s="27">
        <f>S375*IF($E955="weekday",INDEX('Category Mapping'!$F$28:$F$39,MATCH('Summarized Source Data'!$A955,'Category Mapping'!$A$28:$A$39,0),1),INDEX('Category Mapping'!$E$28:$E$39,MATCH($A955,'Category Mapping'!$A$28:$A$39,0),1))</f>
        <v>49587994.285714284</v>
      </c>
      <c r="T955" s="27">
        <f>T375*IF($E955="weekday",INDEX('Category Mapping'!$F$28:$F$39,MATCH('Summarized Source Data'!$A955,'Category Mapping'!$A$28:$A$39,0),1),INDEX('Category Mapping'!$E$28:$E$39,MATCH($A955,'Category Mapping'!$A$28:$A$39,0),1))</f>
        <v>49587994.285714284</v>
      </c>
      <c r="U955" s="27">
        <f>U375*IF($E955="weekday",INDEX('Category Mapping'!$F$28:$F$39,MATCH('Summarized Source Data'!$A955,'Category Mapping'!$A$28:$A$39,0),1),INDEX('Category Mapping'!$E$28:$E$39,MATCH($A955,'Category Mapping'!$A$28:$A$39,0),1))</f>
        <v>49587994.285714284</v>
      </c>
      <c r="V955" s="27">
        <f>V375*IF($E955="weekday",INDEX('Category Mapping'!$F$28:$F$39,MATCH('Summarized Source Data'!$A955,'Category Mapping'!$A$28:$A$39,0),1),INDEX('Category Mapping'!$E$28:$E$39,MATCH($A955,'Category Mapping'!$A$28:$A$39,0),1))</f>
        <v>49587994.285714284</v>
      </c>
      <c r="W955" s="27">
        <f>W375*IF($E955="weekday",INDEX('Category Mapping'!$F$28:$F$39,MATCH('Summarized Source Data'!$A955,'Category Mapping'!$A$28:$A$39,0),1),INDEX('Category Mapping'!$E$28:$E$39,MATCH($A955,'Category Mapping'!$A$28:$A$39,0),1))</f>
        <v>49587994.285714284</v>
      </c>
      <c r="X955" s="27">
        <f>X375*IF($E955="weekday",INDEX('Category Mapping'!$F$28:$F$39,MATCH('Summarized Source Data'!$A955,'Category Mapping'!$A$28:$A$39,0),1),INDEX('Category Mapping'!$E$28:$E$39,MATCH($A955,'Category Mapping'!$A$28:$A$39,0),1))</f>
        <v>2871428571.4285712</v>
      </c>
      <c r="Y955" s="27">
        <f>Y375*IF($E955="weekday",INDEX('Category Mapping'!$F$28:$F$39,MATCH('Summarized Source Data'!$A955,'Category Mapping'!$A$28:$A$39,0),1),INDEX('Category Mapping'!$E$28:$E$39,MATCH($A955,'Category Mapping'!$A$28:$A$39,0),1))</f>
        <v>2871428571.4285712</v>
      </c>
      <c r="Z955" s="27">
        <f>Z375*IF($E955="weekday",INDEX('Category Mapping'!$F$28:$F$39,MATCH('Summarized Source Data'!$A955,'Category Mapping'!$A$28:$A$39,0),1),INDEX('Category Mapping'!$E$28:$E$39,MATCH($A955,'Category Mapping'!$A$28:$A$39,0),1))</f>
        <v>2871428571.4285712</v>
      </c>
    </row>
    <row r="956" spans="1:26" x14ac:dyDescent="0.3">
      <c r="A956">
        <f t="shared" ref="A956:E956" si="421">A376</f>
        <v>4</v>
      </c>
      <c r="B956" t="str">
        <f t="shared" si="421"/>
        <v>Spring</v>
      </c>
      <c r="C956" t="str">
        <f t="shared" si="421"/>
        <v>h13</v>
      </c>
      <c r="D956" t="str">
        <f t="shared" si="421"/>
        <v>Hour12</v>
      </c>
      <c r="E956" t="str">
        <f t="shared" si="421"/>
        <v>Weekend</v>
      </c>
      <c r="F956" s="27">
        <f>F376*IF($E956="weekday",INDEX('Category Mapping'!$F$28:$F$39,MATCH('Summarized Source Data'!$A956,'Category Mapping'!$A$28:$A$39,0),1),INDEX('Category Mapping'!$E$28:$E$39,MATCH($A956,'Category Mapping'!$A$28:$A$39,0),1))</f>
        <v>33524940</v>
      </c>
      <c r="G956" s="27">
        <f>G376*IF($E956="weekday",INDEX('Category Mapping'!$F$28:$F$39,MATCH('Summarized Source Data'!$A956,'Category Mapping'!$A$28:$A$39,0),1),INDEX('Category Mapping'!$E$28:$E$39,MATCH($A956,'Category Mapping'!$A$28:$A$39,0),1))</f>
        <v>96060</v>
      </c>
      <c r="H956" s="27">
        <f>H376*IF($E956="weekday",INDEX('Category Mapping'!$F$28:$F$39,MATCH('Summarized Source Data'!$A956,'Category Mapping'!$A$28:$A$39,0),1),INDEX('Category Mapping'!$E$28:$E$39,MATCH($A956,'Category Mapping'!$A$28:$A$39,0),1))</f>
        <v>0</v>
      </c>
      <c r="I956" s="27">
        <f>I376*IF($E956="weekday",INDEX('Category Mapping'!$F$28:$F$39,MATCH('Summarized Source Data'!$A956,'Category Mapping'!$A$28:$A$39,0),1),INDEX('Category Mapping'!$E$28:$E$39,MATCH($A956,'Category Mapping'!$A$28:$A$39,0),1))</f>
        <v>66767691.428571425</v>
      </c>
      <c r="J956" s="27">
        <f>J376*IF($E956="weekday",INDEX('Category Mapping'!$F$28:$F$39,MATCH('Summarized Source Data'!$A956,'Category Mapping'!$A$28:$A$39,0),1),INDEX('Category Mapping'!$E$28:$E$39,MATCH($A956,'Category Mapping'!$A$28:$A$39,0),1))</f>
        <v>782468451.42857146</v>
      </c>
      <c r="K956" s="27">
        <f>K376*IF($E956="weekday",INDEX('Category Mapping'!$F$28:$F$39,MATCH('Summarized Source Data'!$A956,'Category Mapping'!$A$28:$A$39,0),1),INDEX('Category Mapping'!$E$28:$E$39,MATCH($A956,'Category Mapping'!$A$28:$A$39,0),1))</f>
        <v>782468451.42857146</v>
      </c>
      <c r="L956" s="27">
        <f>L376*IF($E956="weekday",INDEX('Category Mapping'!$F$28:$F$39,MATCH('Summarized Source Data'!$A956,'Category Mapping'!$A$28:$A$39,0),1),INDEX('Category Mapping'!$E$28:$E$39,MATCH($A956,'Category Mapping'!$A$28:$A$39,0),1))</f>
        <v>50190137.142857142</v>
      </c>
      <c r="M956" s="27">
        <f>M376*IF($E956="weekday",INDEX('Category Mapping'!$F$28:$F$39,MATCH('Summarized Source Data'!$A956,'Category Mapping'!$A$28:$A$39,0),1),INDEX('Category Mapping'!$E$28:$E$39,MATCH($A956,'Category Mapping'!$A$28:$A$39,0),1))</f>
        <v>2604951.4285714286</v>
      </c>
      <c r="N956" s="27">
        <f>N376*IF($E956="weekday",INDEX('Category Mapping'!$F$28:$F$39,MATCH('Summarized Source Data'!$A956,'Category Mapping'!$A$28:$A$39,0),1),INDEX('Category Mapping'!$E$28:$E$39,MATCH($A956,'Category Mapping'!$A$28:$A$39,0),1))</f>
        <v>0</v>
      </c>
      <c r="O956" s="27">
        <f>O376*IF($E956="weekday",INDEX('Category Mapping'!$F$28:$F$39,MATCH('Summarized Source Data'!$A956,'Category Mapping'!$A$28:$A$39,0),1),INDEX('Category Mapping'!$E$28:$E$39,MATCH($A956,'Category Mapping'!$A$28:$A$39,0),1))</f>
        <v>1078633482.8571429</v>
      </c>
      <c r="P956" s="27">
        <f>P376*IF($E956="weekday",INDEX('Category Mapping'!$F$28:$F$39,MATCH('Summarized Source Data'!$A956,'Category Mapping'!$A$28:$A$39,0),1),INDEX('Category Mapping'!$E$28:$E$39,MATCH($A956,'Category Mapping'!$A$28:$A$39,0),1))</f>
        <v>1078633482.8571429</v>
      </c>
      <c r="Q956" s="27">
        <f>Q376*IF($E956="weekday",INDEX('Category Mapping'!$F$28:$F$39,MATCH('Summarized Source Data'!$A956,'Category Mapping'!$A$28:$A$39,0),1),INDEX('Category Mapping'!$E$28:$E$39,MATCH($A956,'Category Mapping'!$A$28:$A$39,0),1))</f>
        <v>1078633482.8571429</v>
      </c>
      <c r="R956" s="27">
        <f>R376*IF($E956="weekday",INDEX('Category Mapping'!$F$28:$F$39,MATCH('Summarized Source Data'!$A956,'Category Mapping'!$A$28:$A$39,0),1),INDEX('Category Mapping'!$E$28:$E$39,MATCH($A956,'Category Mapping'!$A$28:$A$39,0),1))</f>
        <v>48533940</v>
      </c>
      <c r="S956" s="27">
        <f>S376*IF($E956="weekday",INDEX('Category Mapping'!$F$28:$F$39,MATCH('Summarized Source Data'!$A956,'Category Mapping'!$A$28:$A$39,0),1),INDEX('Category Mapping'!$E$28:$E$39,MATCH($A956,'Category Mapping'!$A$28:$A$39,0),1))</f>
        <v>48533940</v>
      </c>
      <c r="T956" s="27">
        <f>T376*IF($E956="weekday",INDEX('Category Mapping'!$F$28:$F$39,MATCH('Summarized Source Data'!$A956,'Category Mapping'!$A$28:$A$39,0),1),INDEX('Category Mapping'!$E$28:$E$39,MATCH($A956,'Category Mapping'!$A$28:$A$39,0),1))</f>
        <v>48533940</v>
      </c>
      <c r="U956" s="27">
        <f>U376*IF($E956="weekday",INDEX('Category Mapping'!$F$28:$F$39,MATCH('Summarized Source Data'!$A956,'Category Mapping'!$A$28:$A$39,0),1),INDEX('Category Mapping'!$E$28:$E$39,MATCH($A956,'Category Mapping'!$A$28:$A$39,0),1))</f>
        <v>48533940</v>
      </c>
      <c r="V956" s="27">
        <f>V376*IF($E956="weekday",INDEX('Category Mapping'!$F$28:$F$39,MATCH('Summarized Source Data'!$A956,'Category Mapping'!$A$28:$A$39,0),1),INDEX('Category Mapping'!$E$28:$E$39,MATCH($A956,'Category Mapping'!$A$28:$A$39,0),1))</f>
        <v>48533940</v>
      </c>
      <c r="W956" s="27">
        <f>W376*IF($E956="weekday",INDEX('Category Mapping'!$F$28:$F$39,MATCH('Summarized Source Data'!$A956,'Category Mapping'!$A$28:$A$39,0),1),INDEX('Category Mapping'!$E$28:$E$39,MATCH($A956,'Category Mapping'!$A$28:$A$39,0),1))</f>
        <v>48533940</v>
      </c>
      <c r="X956" s="27">
        <f>X376*IF($E956="weekday",INDEX('Category Mapping'!$F$28:$F$39,MATCH('Summarized Source Data'!$A956,'Category Mapping'!$A$28:$A$39,0),1),INDEX('Category Mapping'!$E$28:$E$39,MATCH($A956,'Category Mapping'!$A$28:$A$39,0),1))</f>
        <v>2871428571.4285712</v>
      </c>
      <c r="Y956" s="27">
        <f>Y376*IF($E956="weekday",INDEX('Category Mapping'!$F$28:$F$39,MATCH('Summarized Source Data'!$A956,'Category Mapping'!$A$28:$A$39,0),1),INDEX('Category Mapping'!$E$28:$E$39,MATCH($A956,'Category Mapping'!$A$28:$A$39,0),1))</f>
        <v>2871428571.4285712</v>
      </c>
      <c r="Z956" s="27">
        <f>Z376*IF($E956="weekday",INDEX('Category Mapping'!$F$28:$F$39,MATCH('Summarized Source Data'!$A956,'Category Mapping'!$A$28:$A$39,0),1),INDEX('Category Mapping'!$E$28:$E$39,MATCH($A956,'Category Mapping'!$A$28:$A$39,0),1))</f>
        <v>2871428571.4285712</v>
      </c>
    </row>
    <row r="957" spans="1:26" x14ac:dyDescent="0.3">
      <c r="A957">
        <f t="shared" ref="A957:E957" si="422">A377</f>
        <v>4</v>
      </c>
      <c r="B957" t="str">
        <f t="shared" si="422"/>
        <v>Spring</v>
      </c>
      <c r="C957" t="str">
        <f t="shared" si="422"/>
        <v>h14</v>
      </c>
      <c r="D957" t="str">
        <f t="shared" si="422"/>
        <v>Hour13</v>
      </c>
      <c r="E957" t="str">
        <f t="shared" si="422"/>
        <v>Weekend</v>
      </c>
      <c r="F957" s="27">
        <f>F377*IF($E957="weekday",INDEX('Category Mapping'!$F$28:$F$39,MATCH('Summarized Source Data'!$A957,'Category Mapping'!$A$28:$A$39,0),1),INDEX('Category Mapping'!$E$28:$E$39,MATCH($A957,'Category Mapping'!$A$28:$A$39,0),1))</f>
        <v>33497820</v>
      </c>
      <c r="G957" s="27">
        <f>G377*IF($E957="weekday",INDEX('Category Mapping'!$F$28:$F$39,MATCH('Summarized Source Data'!$A957,'Category Mapping'!$A$28:$A$39,0),1),INDEX('Category Mapping'!$E$28:$E$39,MATCH($A957,'Category Mapping'!$A$28:$A$39,0),1))</f>
        <v>2859720</v>
      </c>
      <c r="H957" s="27">
        <f>H377*IF($E957="weekday",INDEX('Category Mapping'!$F$28:$F$39,MATCH('Summarized Source Data'!$A957,'Category Mapping'!$A$28:$A$39,0),1),INDEX('Category Mapping'!$E$28:$E$39,MATCH($A957,'Category Mapping'!$A$28:$A$39,0),1))</f>
        <v>0</v>
      </c>
      <c r="I957" s="27">
        <f>I377*IF($E957="weekday",INDEX('Category Mapping'!$F$28:$F$39,MATCH('Summarized Source Data'!$A957,'Category Mapping'!$A$28:$A$39,0),1),INDEX('Category Mapping'!$E$28:$E$39,MATCH($A957,'Category Mapping'!$A$28:$A$39,0),1))</f>
        <v>66682140</v>
      </c>
      <c r="J957" s="27">
        <f>J377*IF($E957="weekday",INDEX('Category Mapping'!$F$28:$F$39,MATCH('Summarized Source Data'!$A957,'Category Mapping'!$A$28:$A$39,0),1),INDEX('Category Mapping'!$E$28:$E$39,MATCH($A957,'Category Mapping'!$A$28:$A$39,0),1))</f>
        <v>688103177.14285707</v>
      </c>
      <c r="K957" s="27">
        <f>K377*IF($E957="weekday",INDEX('Category Mapping'!$F$28:$F$39,MATCH('Summarized Source Data'!$A957,'Category Mapping'!$A$28:$A$39,0),1),INDEX('Category Mapping'!$E$28:$E$39,MATCH($A957,'Category Mapping'!$A$28:$A$39,0),1))</f>
        <v>688103177.14285707</v>
      </c>
      <c r="L957" s="27">
        <f>L377*IF($E957="weekday",INDEX('Category Mapping'!$F$28:$F$39,MATCH('Summarized Source Data'!$A957,'Category Mapping'!$A$28:$A$39,0),1),INDEX('Category Mapping'!$E$28:$E$39,MATCH($A957,'Category Mapping'!$A$28:$A$39,0),1))</f>
        <v>47192957.142857142</v>
      </c>
      <c r="M957" s="27">
        <f>M377*IF($E957="weekday",INDEX('Category Mapping'!$F$28:$F$39,MATCH('Summarized Source Data'!$A957,'Category Mapping'!$A$28:$A$39,0),1),INDEX('Category Mapping'!$E$28:$E$39,MATCH($A957,'Category Mapping'!$A$28:$A$39,0),1))</f>
        <v>2617200</v>
      </c>
      <c r="N957" s="27">
        <f>N377*IF($E957="weekday",INDEX('Category Mapping'!$F$28:$F$39,MATCH('Summarized Source Data'!$A957,'Category Mapping'!$A$28:$A$39,0),1),INDEX('Category Mapping'!$E$28:$E$39,MATCH($A957,'Category Mapping'!$A$28:$A$39,0),1))</f>
        <v>0</v>
      </c>
      <c r="O957" s="27">
        <f>O377*IF($E957="weekday",INDEX('Category Mapping'!$F$28:$F$39,MATCH('Summarized Source Data'!$A957,'Category Mapping'!$A$28:$A$39,0),1),INDEX('Category Mapping'!$E$28:$E$39,MATCH($A957,'Category Mapping'!$A$28:$A$39,0),1))</f>
        <v>1038761271.4285713</v>
      </c>
      <c r="P957" s="27">
        <f>P377*IF($E957="weekday",INDEX('Category Mapping'!$F$28:$F$39,MATCH('Summarized Source Data'!$A957,'Category Mapping'!$A$28:$A$39,0),1),INDEX('Category Mapping'!$E$28:$E$39,MATCH($A957,'Category Mapping'!$A$28:$A$39,0),1))</f>
        <v>1038761271.4285713</v>
      </c>
      <c r="Q957" s="27">
        <f>Q377*IF($E957="weekday",INDEX('Category Mapping'!$F$28:$F$39,MATCH('Summarized Source Data'!$A957,'Category Mapping'!$A$28:$A$39,0),1),INDEX('Category Mapping'!$E$28:$E$39,MATCH($A957,'Category Mapping'!$A$28:$A$39,0),1))</f>
        <v>1038761271.4285713</v>
      </c>
      <c r="R957" s="27">
        <f>R377*IF($E957="weekday",INDEX('Category Mapping'!$F$28:$F$39,MATCH('Summarized Source Data'!$A957,'Category Mapping'!$A$28:$A$39,0),1),INDEX('Category Mapping'!$E$28:$E$39,MATCH($A957,'Category Mapping'!$A$28:$A$39,0),1))</f>
        <v>46262862.857142858</v>
      </c>
      <c r="S957" s="27">
        <f>S377*IF($E957="weekday",INDEX('Category Mapping'!$F$28:$F$39,MATCH('Summarized Source Data'!$A957,'Category Mapping'!$A$28:$A$39,0),1),INDEX('Category Mapping'!$E$28:$E$39,MATCH($A957,'Category Mapping'!$A$28:$A$39,0),1))</f>
        <v>46262862.857142858</v>
      </c>
      <c r="T957" s="27">
        <f>T377*IF($E957="weekday",INDEX('Category Mapping'!$F$28:$F$39,MATCH('Summarized Source Data'!$A957,'Category Mapping'!$A$28:$A$39,0),1),INDEX('Category Mapping'!$E$28:$E$39,MATCH($A957,'Category Mapping'!$A$28:$A$39,0),1))</f>
        <v>46262862.857142858</v>
      </c>
      <c r="U957" s="27">
        <f>U377*IF($E957="weekday",INDEX('Category Mapping'!$F$28:$F$39,MATCH('Summarized Source Data'!$A957,'Category Mapping'!$A$28:$A$39,0),1),INDEX('Category Mapping'!$E$28:$E$39,MATCH($A957,'Category Mapping'!$A$28:$A$39,0),1))</f>
        <v>46262862.857142858</v>
      </c>
      <c r="V957" s="27">
        <f>V377*IF($E957="weekday",INDEX('Category Mapping'!$F$28:$F$39,MATCH('Summarized Source Data'!$A957,'Category Mapping'!$A$28:$A$39,0),1),INDEX('Category Mapping'!$E$28:$E$39,MATCH($A957,'Category Mapping'!$A$28:$A$39,0),1))</f>
        <v>46262862.857142858</v>
      </c>
      <c r="W957" s="27">
        <f>W377*IF($E957="weekday",INDEX('Category Mapping'!$F$28:$F$39,MATCH('Summarized Source Data'!$A957,'Category Mapping'!$A$28:$A$39,0),1),INDEX('Category Mapping'!$E$28:$E$39,MATCH($A957,'Category Mapping'!$A$28:$A$39,0),1))</f>
        <v>46262862.857142858</v>
      </c>
      <c r="X957" s="27">
        <f>X377*IF($E957="weekday",INDEX('Category Mapping'!$F$28:$F$39,MATCH('Summarized Source Data'!$A957,'Category Mapping'!$A$28:$A$39,0),1),INDEX('Category Mapping'!$E$28:$E$39,MATCH($A957,'Category Mapping'!$A$28:$A$39,0),1))</f>
        <v>2871428571.4285712</v>
      </c>
      <c r="Y957" s="27">
        <f>Y377*IF($E957="weekday",INDEX('Category Mapping'!$F$28:$F$39,MATCH('Summarized Source Data'!$A957,'Category Mapping'!$A$28:$A$39,0),1),INDEX('Category Mapping'!$E$28:$E$39,MATCH($A957,'Category Mapping'!$A$28:$A$39,0),1))</f>
        <v>2871428571.4285712</v>
      </c>
      <c r="Z957" s="27">
        <f>Z377*IF($E957="weekday",INDEX('Category Mapping'!$F$28:$F$39,MATCH('Summarized Source Data'!$A957,'Category Mapping'!$A$28:$A$39,0),1),INDEX('Category Mapping'!$E$28:$E$39,MATCH($A957,'Category Mapping'!$A$28:$A$39,0),1))</f>
        <v>2871428571.4285712</v>
      </c>
    </row>
    <row r="958" spans="1:26" x14ac:dyDescent="0.3">
      <c r="A958">
        <f t="shared" ref="A958:E958" si="423">A378</f>
        <v>4</v>
      </c>
      <c r="B958" t="str">
        <f t="shared" si="423"/>
        <v>Spring</v>
      </c>
      <c r="C958" t="str">
        <f t="shared" si="423"/>
        <v>h15</v>
      </c>
      <c r="D958" t="str">
        <f t="shared" si="423"/>
        <v>Hour14</v>
      </c>
      <c r="E958" t="str">
        <f t="shared" si="423"/>
        <v>Weekend</v>
      </c>
      <c r="F958" s="27">
        <f>F378*IF($E958="weekday",INDEX('Category Mapping'!$F$28:$F$39,MATCH('Summarized Source Data'!$A958,'Category Mapping'!$A$28:$A$39,0),1),INDEX('Category Mapping'!$E$28:$E$39,MATCH($A958,'Category Mapping'!$A$28:$A$39,0),1))</f>
        <v>33275434.285714284</v>
      </c>
      <c r="G958" s="27">
        <f>G378*IF($E958="weekday",INDEX('Category Mapping'!$F$28:$F$39,MATCH('Summarized Source Data'!$A958,'Category Mapping'!$A$28:$A$39,0),1),INDEX('Category Mapping'!$E$28:$E$39,MATCH($A958,'Category Mapping'!$A$28:$A$39,0),1))</f>
        <v>5297117.1428571427</v>
      </c>
      <c r="H958" s="27">
        <f>H378*IF($E958="weekday",INDEX('Category Mapping'!$F$28:$F$39,MATCH('Summarized Source Data'!$A958,'Category Mapping'!$A$28:$A$39,0),1),INDEX('Category Mapping'!$E$28:$E$39,MATCH($A958,'Category Mapping'!$A$28:$A$39,0),1))</f>
        <v>0</v>
      </c>
      <c r="I958" s="27">
        <f>I378*IF($E958="weekday",INDEX('Category Mapping'!$F$28:$F$39,MATCH('Summarized Source Data'!$A958,'Category Mapping'!$A$28:$A$39,0),1),INDEX('Category Mapping'!$E$28:$E$39,MATCH($A958,'Category Mapping'!$A$28:$A$39,0),1))</f>
        <v>65980500</v>
      </c>
      <c r="J958" s="27">
        <f>J378*IF($E958="weekday",INDEX('Category Mapping'!$F$28:$F$39,MATCH('Summarized Source Data'!$A958,'Category Mapping'!$A$28:$A$39,0),1),INDEX('Category Mapping'!$E$28:$E$39,MATCH($A958,'Category Mapping'!$A$28:$A$39,0),1))</f>
        <v>719161234.28571427</v>
      </c>
      <c r="K958" s="27">
        <f>K378*IF($E958="weekday",INDEX('Category Mapping'!$F$28:$F$39,MATCH('Summarized Source Data'!$A958,'Category Mapping'!$A$28:$A$39,0),1),INDEX('Category Mapping'!$E$28:$E$39,MATCH($A958,'Category Mapping'!$A$28:$A$39,0),1))</f>
        <v>719161234.28571427</v>
      </c>
      <c r="L958" s="27">
        <f>L378*IF($E958="weekday",INDEX('Category Mapping'!$F$28:$F$39,MATCH('Summarized Source Data'!$A958,'Category Mapping'!$A$28:$A$39,0),1),INDEX('Category Mapping'!$E$28:$E$39,MATCH($A958,'Category Mapping'!$A$28:$A$39,0),1))</f>
        <v>47244822.857142858</v>
      </c>
      <c r="M958" s="27">
        <f>M378*IF($E958="weekday",INDEX('Category Mapping'!$F$28:$F$39,MATCH('Summarized Source Data'!$A958,'Category Mapping'!$A$28:$A$39,0),1),INDEX('Category Mapping'!$E$28:$E$39,MATCH($A958,'Category Mapping'!$A$28:$A$39,0),1))</f>
        <v>2628000</v>
      </c>
      <c r="N958" s="27">
        <f>N378*IF($E958="weekday",INDEX('Category Mapping'!$F$28:$F$39,MATCH('Summarized Source Data'!$A958,'Category Mapping'!$A$28:$A$39,0),1),INDEX('Category Mapping'!$E$28:$E$39,MATCH($A958,'Category Mapping'!$A$28:$A$39,0),1))</f>
        <v>0</v>
      </c>
      <c r="O958" s="27">
        <f>O378*IF($E958="weekday",INDEX('Category Mapping'!$F$28:$F$39,MATCH('Summarized Source Data'!$A958,'Category Mapping'!$A$28:$A$39,0),1),INDEX('Category Mapping'!$E$28:$E$39,MATCH($A958,'Category Mapping'!$A$28:$A$39,0),1))</f>
        <v>995841462.85714281</v>
      </c>
      <c r="P958" s="27">
        <f>P378*IF($E958="weekday",INDEX('Category Mapping'!$F$28:$F$39,MATCH('Summarized Source Data'!$A958,'Category Mapping'!$A$28:$A$39,0),1),INDEX('Category Mapping'!$E$28:$E$39,MATCH($A958,'Category Mapping'!$A$28:$A$39,0),1))</f>
        <v>995841462.85714281</v>
      </c>
      <c r="Q958" s="27">
        <f>Q378*IF($E958="weekday",INDEX('Category Mapping'!$F$28:$F$39,MATCH('Summarized Source Data'!$A958,'Category Mapping'!$A$28:$A$39,0),1),INDEX('Category Mapping'!$E$28:$E$39,MATCH($A958,'Category Mapping'!$A$28:$A$39,0),1))</f>
        <v>995841462.85714281</v>
      </c>
      <c r="R958" s="27">
        <f>R378*IF($E958="weekday",INDEX('Category Mapping'!$F$28:$F$39,MATCH('Summarized Source Data'!$A958,'Category Mapping'!$A$28:$A$39,0),1),INDEX('Category Mapping'!$E$28:$E$39,MATCH($A958,'Category Mapping'!$A$28:$A$39,0),1))</f>
        <v>45660591.428571425</v>
      </c>
      <c r="S958" s="27">
        <f>S378*IF($E958="weekday",INDEX('Category Mapping'!$F$28:$F$39,MATCH('Summarized Source Data'!$A958,'Category Mapping'!$A$28:$A$39,0),1),INDEX('Category Mapping'!$E$28:$E$39,MATCH($A958,'Category Mapping'!$A$28:$A$39,0),1))</f>
        <v>45660591.428571425</v>
      </c>
      <c r="T958" s="27">
        <f>T378*IF($E958="weekday",INDEX('Category Mapping'!$F$28:$F$39,MATCH('Summarized Source Data'!$A958,'Category Mapping'!$A$28:$A$39,0),1),INDEX('Category Mapping'!$E$28:$E$39,MATCH($A958,'Category Mapping'!$A$28:$A$39,0),1))</f>
        <v>45660591.428571425</v>
      </c>
      <c r="U958" s="27">
        <f>U378*IF($E958="weekday",INDEX('Category Mapping'!$F$28:$F$39,MATCH('Summarized Source Data'!$A958,'Category Mapping'!$A$28:$A$39,0),1),INDEX('Category Mapping'!$E$28:$E$39,MATCH($A958,'Category Mapping'!$A$28:$A$39,0),1))</f>
        <v>45660591.428571425</v>
      </c>
      <c r="V958" s="27">
        <f>V378*IF($E958="weekday",INDEX('Category Mapping'!$F$28:$F$39,MATCH('Summarized Source Data'!$A958,'Category Mapping'!$A$28:$A$39,0),1),INDEX('Category Mapping'!$E$28:$E$39,MATCH($A958,'Category Mapping'!$A$28:$A$39,0),1))</f>
        <v>45660591.428571425</v>
      </c>
      <c r="W958" s="27">
        <f>W378*IF($E958="weekday",INDEX('Category Mapping'!$F$28:$F$39,MATCH('Summarized Source Data'!$A958,'Category Mapping'!$A$28:$A$39,0),1),INDEX('Category Mapping'!$E$28:$E$39,MATCH($A958,'Category Mapping'!$A$28:$A$39,0),1))</f>
        <v>45660591.428571425</v>
      </c>
      <c r="X958" s="27">
        <f>X378*IF($E958="weekday",INDEX('Category Mapping'!$F$28:$F$39,MATCH('Summarized Source Data'!$A958,'Category Mapping'!$A$28:$A$39,0),1),INDEX('Category Mapping'!$E$28:$E$39,MATCH($A958,'Category Mapping'!$A$28:$A$39,0),1))</f>
        <v>2880000000</v>
      </c>
      <c r="Y958" s="27">
        <f>Y378*IF($E958="weekday",INDEX('Category Mapping'!$F$28:$F$39,MATCH('Summarized Source Data'!$A958,'Category Mapping'!$A$28:$A$39,0),1),INDEX('Category Mapping'!$E$28:$E$39,MATCH($A958,'Category Mapping'!$A$28:$A$39,0),1))</f>
        <v>2880000000</v>
      </c>
      <c r="Z958" s="27">
        <f>Z378*IF($E958="weekday",INDEX('Category Mapping'!$F$28:$F$39,MATCH('Summarized Source Data'!$A958,'Category Mapping'!$A$28:$A$39,0),1),INDEX('Category Mapping'!$E$28:$E$39,MATCH($A958,'Category Mapping'!$A$28:$A$39,0),1))</f>
        <v>2880000000</v>
      </c>
    </row>
    <row r="959" spans="1:26" x14ac:dyDescent="0.3">
      <c r="A959">
        <f t="shared" ref="A959:E959" si="424">A379</f>
        <v>4</v>
      </c>
      <c r="B959" t="str">
        <f t="shared" si="424"/>
        <v>Spring</v>
      </c>
      <c r="C959" t="str">
        <f t="shared" si="424"/>
        <v>h16</v>
      </c>
      <c r="D959" t="str">
        <f t="shared" si="424"/>
        <v>Hour15</v>
      </c>
      <c r="E959" t="str">
        <f t="shared" si="424"/>
        <v>Weekend</v>
      </c>
      <c r="F959" s="27">
        <f>F379*IF($E959="weekday",INDEX('Category Mapping'!$F$28:$F$39,MATCH('Summarized Source Data'!$A959,'Category Mapping'!$A$28:$A$39,0),1),INDEX('Category Mapping'!$E$28:$E$39,MATCH($A959,'Category Mapping'!$A$28:$A$39,0),1))</f>
        <v>33327917.142857142</v>
      </c>
      <c r="G959" s="27">
        <f>G379*IF($E959="weekday",INDEX('Category Mapping'!$F$28:$F$39,MATCH('Summarized Source Data'!$A959,'Category Mapping'!$A$28:$A$39,0),1),INDEX('Category Mapping'!$E$28:$E$39,MATCH($A959,'Category Mapping'!$A$28:$A$39,0),1))</f>
        <v>2844634.2857142854</v>
      </c>
      <c r="H959" s="27">
        <f>H379*IF($E959="weekday",INDEX('Category Mapping'!$F$28:$F$39,MATCH('Summarized Source Data'!$A959,'Category Mapping'!$A$28:$A$39,0),1),INDEX('Category Mapping'!$E$28:$E$39,MATCH($A959,'Category Mapping'!$A$28:$A$39,0),1))</f>
        <v>0</v>
      </c>
      <c r="I959" s="27">
        <f>I379*IF($E959="weekday",INDEX('Category Mapping'!$F$28:$F$39,MATCH('Summarized Source Data'!$A959,'Category Mapping'!$A$28:$A$39,0),1),INDEX('Category Mapping'!$E$28:$E$39,MATCH($A959,'Category Mapping'!$A$28:$A$39,0),1))</f>
        <v>66146082.857142858</v>
      </c>
      <c r="J959" s="27">
        <f>J379*IF($E959="weekday",INDEX('Category Mapping'!$F$28:$F$39,MATCH('Summarized Source Data'!$A959,'Category Mapping'!$A$28:$A$39,0),1),INDEX('Category Mapping'!$E$28:$E$39,MATCH($A959,'Category Mapping'!$A$28:$A$39,0),1))</f>
        <v>749681365.71428573</v>
      </c>
      <c r="K959" s="27">
        <f>K379*IF($E959="weekday",INDEX('Category Mapping'!$F$28:$F$39,MATCH('Summarized Source Data'!$A959,'Category Mapping'!$A$28:$A$39,0),1),INDEX('Category Mapping'!$E$28:$E$39,MATCH($A959,'Category Mapping'!$A$28:$A$39,0),1))</f>
        <v>749681365.71428573</v>
      </c>
      <c r="L959" s="27">
        <f>L379*IF($E959="weekday",INDEX('Category Mapping'!$F$28:$F$39,MATCH('Summarized Source Data'!$A959,'Category Mapping'!$A$28:$A$39,0),1),INDEX('Category Mapping'!$E$28:$E$39,MATCH($A959,'Category Mapping'!$A$28:$A$39,0),1))</f>
        <v>42618274.285714284</v>
      </c>
      <c r="M959" s="27">
        <f>M379*IF($E959="weekday",INDEX('Category Mapping'!$F$28:$F$39,MATCH('Summarized Source Data'!$A959,'Category Mapping'!$A$28:$A$39,0),1),INDEX('Category Mapping'!$E$28:$E$39,MATCH($A959,'Category Mapping'!$A$28:$A$39,0),1))</f>
        <v>2617774.2857142854</v>
      </c>
      <c r="N959" s="27">
        <f>N379*IF($E959="weekday",INDEX('Category Mapping'!$F$28:$F$39,MATCH('Summarized Source Data'!$A959,'Category Mapping'!$A$28:$A$39,0),1),INDEX('Category Mapping'!$E$28:$E$39,MATCH($A959,'Category Mapping'!$A$28:$A$39,0),1))</f>
        <v>0</v>
      </c>
      <c r="O959" s="27">
        <f>O379*IF($E959="weekday",INDEX('Category Mapping'!$F$28:$F$39,MATCH('Summarized Source Data'!$A959,'Category Mapping'!$A$28:$A$39,0),1),INDEX('Category Mapping'!$E$28:$E$39,MATCH($A959,'Category Mapping'!$A$28:$A$39,0),1))</f>
        <v>923335380</v>
      </c>
      <c r="P959" s="27">
        <f>P379*IF($E959="weekday",INDEX('Category Mapping'!$F$28:$F$39,MATCH('Summarized Source Data'!$A959,'Category Mapping'!$A$28:$A$39,0),1),INDEX('Category Mapping'!$E$28:$E$39,MATCH($A959,'Category Mapping'!$A$28:$A$39,0),1))</f>
        <v>923335380</v>
      </c>
      <c r="Q959" s="27">
        <f>Q379*IF($E959="weekday",INDEX('Category Mapping'!$F$28:$F$39,MATCH('Summarized Source Data'!$A959,'Category Mapping'!$A$28:$A$39,0),1),INDEX('Category Mapping'!$E$28:$E$39,MATCH($A959,'Category Mapping'!$A$28:$A$39,0),1))</f>
        <v>923335380</v>
      </c>
      <c r="R959" s="27">
        <f>R379*IF($E959="weekday",INDEX('Category Mapping'!$F$28:$F$39,MATCH('Summarized Source Data'!$A959,'Category Mapping'!$A$28:$A$39,0),1),INDEX('Category Mapping'!$E$28:$E$39,MATCH($A959,'Category Mapping'!$A$28:$A$39,0),1))</f>
        <v>44757180</v>
      </c>
      <c r="S959" s="27">
        <f>S379*IF($E959="weekday",INDEX('Category Mapping'!$F$28:$F$39,MATCH('Summarized Source Data'!$A959,'Category Mapping'!$A$28:$A$39,0),1),INDEX('Category Mapping'!$E$28:$E$39,MATCH($A959,'Category Mapping'!$A$28:$A$39,0),1))</f>
        <v>44757180</v>
      </c>
      <c r="T959" s="27">
        <f>T379*IF($E959="weekday",INDEX('Category Mapping'!$F$28:$F$39,MATCH('Summarized Source Data'!$A959,'Category Mapping'!$A$28:$A$39,0),1),INDEX('Category Mapping'!$E$28:$E$39,MATCH($A959,'Category Mapping'!$A$28:$A$39,0),1))</f>
        <v>44757180</v>
      </c>
      <c r="U959" s="27">
        <f>U379*IF($E959="weekday",INDEX('Category Mapping'!$F$28:$F$39,MATCH('Summarized Source Data'!$A959,'Category Mapping'!$A$28:$A$39,0),1),INDEX('Category Mapping'!$E$28:$E$39,MATCH($A959,'Category Mapping'!$A$28:$A$39,0),1))</f>
        <v>44757180</v>
      </c>
      <c r="V959" s="27">
        <f>V379*IF($E959="weekday",INDEX('Category Mapping'!$F$28:$F$39,MATCH('Summarized Source Data'!$A959,'Category Mapping'!$A$28:$A$39,0),1),INDEX('Category Mapping'!$E$28:$E$39,MATCH($A959,'Category Mapping'!$A$28:$A$39,0),1))</f>
        <v>44757180</v>
      </c>
      <c r="W959" s="27">
        <f>W379*IF($E959="weekday",INDEX('Category Mapping'!$F$28:$F$39,MATCH('Summarized Source Data'!$A959,'Category Mapping'!$A$28:$A$39,0),1),INDEX('Category Mapping'!$E$28:$E$39,MATCH($A959,'Category Mapping'!$A$28:$A$39,0),1))</f>
        <v>44757180</v>
      </c>
      <c r="X959" s="27">
        <f>X379*IF($E959="weekday",INDEX('Category Mapping'!$F$28:$F$39,MATCH('Summarized Source Data'!$A959,'Category Mapping'!$A$28:$A$39,0),1),INDEX('Category Mapping'!$E$28:$E$39,MATCH($A959,'Category Mapping'!$A$28:$A$39,0),1))</f>
        <v>2914285714.2857141</v>
      </c>
      <c r="Y959" s="27">
        <f>Y379*IF($E959="weekday",INDEX('Category Mapping'!$F$28:$F$39,MATCH('Summarized Source Data'!$A959,'Category Mapping'!$A$28:$A$39,0),1),INDEX('Category Mapping'!$E$28:$E$39,MATCH($A959,'Category Mapping'!$A$28:$A$39,0),1))</f>
        <v>2914285714.2857141</v>
      </c>
      <c r="Z959" s="27">
        <f>Z379*IF($E959="weekday",INDEX('Category Mapping'!$F$28:$F$39,MATCH('Summarized Source Data'!$A959,'Category Mapping'!$A$28:$A$39,0),1),INDEX('Category Mapping'!$E$28:$E$39,MATCH($A959,'Category Mapping'!$A$28:$A$39,0),1))</f>
        <v>2914285714.2857141</v>
      </c>
    </row>
    <row r="960" spans="1:26" x14ac:dyDescent="0.3">
      <c r="A960">
        <f t="shared" ref="A960:E960" si="425">A380</f>
        <v>4</v>
      </c>
      <c r="B960" t="str">
        <f t="shared" si="425"/>
        <v>Spring</v>
      </c>
      <c r="C960" t="str">
        <f t="shared" si="425"/>
        <v>h17</v>
      </c>
      <c r="D960" t="str">
        <f t="shared" si="425"/>
        <v>Hour16</v>
      </c>
      <c r="E960" t="str">
        <f t="shared" si="425"/>
        <v>Weekend</v>
      </c>
      <c r="F960" s="27">
        <f>F380*IF($E960="weekday",INDEX('Category Mapping'!$F$28:$F$39,MATCH('Summarized Source Data'!$A960,'Category Mapping'!$A$28:$A$39,0),1),INDEX('Category Mapping'!$E$28:$E$39,MATCH($A960,'Category Mapping'!$A$28:$A$39,0),1))</f>
        <v>33900437.142857142</v>
      </c>
      <c r="G960" s="27">
        <f>G380*IF($E960="weekday",INDEX('Category Mapping'!$F$28:$F$39,MATCH('Summarized Source Data'!$A960,'Category Mapping'!$A$28:$A$39,0),1),INDEX('Category Mapping'!$E$28:$E$39,MATCH($A960,'Category Mapping'!$A$28:$A$39,0),1))</f>
        <v>97217.142857142855</v>
      </c>
      <c r="H960" s="27">
        <f>H380*IF($E960="weekday",INDEX('Category Mapping'!$F$28:$F$39,MATCH('Summarized Source Data'!$A960,'Category Mapping'!$A$28:$A$39,0),1),INDEX('Category Mapping'!$E$28:$E$39,MATCH($A960,'Category Mapping'!$A$28:$A$39,0),1))</f>
        <v>0</v>
      </c>
      <c r="I960" s="27">
        <f>I380*IF($E960="weekday",INDEX('Category Mapping'!$F$28:$F$39,MATCH('Summarized Source Data'!$A960,'Category Mapping'!$A$28:$A$39,0),1),INDEX('Category Mapping'!$E$28:$E$39,MATCH($A960,'Category Mapping'!$A$28:$A$39,0),1))</f>
        <v>67952391.428571433</v>
      </c>
      <c r="J960" s="27">
        <f>J380*IF($E960="weekday",INDEX('Category Mapping'!$F$28:$F$39,MATCH('Summarized Source Data'!$A960,'Category Mapping'!$A$28:$A$39,0),1),INDEX('Category Mapping'!$E$28:$E$39,MATCH($A960,'Category Mapping'!$A$28:$A$39,0),1))</f>
        <v>798049954.28571427</v>
      </c>
      <c r="K960" s="27">
        <f>K380*IF($E960="weekday",INDEX('Category Mapping'!$F$28:$F$39,MATCH('Summarized Source Data'!$A960,'Category Mapping'!$A$28:$A$39,0),1),INDEX('Category Mapping'!$E$28:$E$39,MATCH($A960,'Category Mapping'!$A$28:$A$39,0),1))</f>
        <v>798049954.28571427</v>
      </c>
      <c r="L960" s="27">
        <f>L380*IF($E960="weekday",INDEX('Category Mapping'!$F$28:$F$39,MATCH('Summarized Source Data'!$A960,'Category Mapping'!$A$28:$A$39,0),1),INDEX('Category Mapping'!$E$28:$E$39,MATCH($A960,'Category Mapping'!$A$28:$A$39,0),1))</f>
        <v>42507960</v>
      </c>
      <c r="M960" s="27">
        <f>M380*IF($E960="weekday",INDEX('Category Mapping'!$F$28:$F$39,MATCH('Summarized Source Data'!$A960,'Category Mapping'!$A$28:$A$39,0),1),INDEX('Category Mapping'!$E$28:$E$39,MATCH($A960,'Category Mapping'!$A$28:$A$39,0),1))</f>
        <v>2577514.2857142854</v>
      </c>
      <c r="N960" s="27">
        <f>N380*IF($E960="weekday",INDEX('Category Mapping'!$F$28:$F$39,MATCH('Summarized Source Data'!$A960,'Category Mapping'!$A$28:$A$39,0),1),INDEX('Category Mapping'!$E$28:$E$39,MATCH($A960,'Category Mapping'!$A$28:$A$39,0),1))</f>
        <v>0</v>
      </c>
      <c r="O960" s="27">
        <f>O380*IF($E960="weekday",INDEX('Category Mapping'!$F$28:$F$39,MATCH('Summarized Source Data'!$A960,'Category Mapping'!$A$28:$A$39,0),1),INDEX('Category Mapping'!$E$28:$E$39,MATCH($A960,'Category Mapping'!$A$28:$A$39,0),1))</f>
        <v>880628811.42857134</v>
      </c>
      <c r="P960" s="27">
        <f>P380*IF($E960="weekday",INDEX('Category Mapping'!$F$28:$F$39,MATCH('Summarized Source Data'!$A960,'Category Mapping'!$A$28:$A$39,0),1),INDEX('Category Mapping'!$E$28:$E$39,MATCH($A960,'Category Mapping'!$A$28:$A$39,0),1))</f>
        <v>880628811.42857134</v>
      </c>
      <c r="Q960" s="27">
        <f>Q380*IF($E960="weekday",INDEX('Category Mapping'!$F$28:$F$39,MATCH('Summarized Source Data'!$A960,'Category Mapping'!$A$28:$A$39,0),1),INDEX('Category Mapping'!$E$28:$E$39,MATCH($A960,'Category Mapping'!$A$28:$A$39,0),1))</f>
        <v>880628811.42857134</v>
      </c>
      <c r="R960" s="27">
        <f>R380*IF($E960="weekday",INDEX('Category Mapping'!$F$28:$F$39,MATCH('Summarized Source Data'!$A960,'Category Mapping'!$A$28:$A$39,0),1),INDEX('Category Mapping'!$E$28:$E$39,MATCH($A960,'Category Mapping'!$A$28:$A$39,0),1))</f>
        <v>51206974.285714284</v>
      </c>
      <c r="S960" s="27">
        <f>S380*IF($E960="weekday",INDEX('Category Mapping'!$F$28:$F$39,MATCH('Summarized Source Data'!$A960,'Category Mapping'!$A$28:$A$39,0),1),INDEX('Category Mapping'!$E$28:$E$39,MATCH($A960,'Category Mapping'!$A$28:$A$39,0),1))</f>
        <v>51206974.285714284</v>
      </c>
      <c r="T960" s="27">
        <f>T380*IF($E960="weekday",INDEX('Category Mapping'!$F$28:$F$39,MATCH('Summarized Source Data'!$A960,'Category Mapping'!$A$28:$A$39,0),1),INDEX('Category Mapping'!$E$28:$E$39,MATCH($A960,'Category Mapping'!$A$28:$A$39,0),1))</f>
        <v>51206974.285714284</v>
      </c>
      <c r="U960" s="27">
        <f>U380*IF($E960="weekday",INDEX('Category Mapping'!$F$28:$F$39,MATCH('Summarized Source Data'!$A960,'Category Mapping'!$A$28:$A$39,0),1),INDEX('Category Mapping'!$E$28:$E$39,MATCH($A960,'Category Mapping'!$A$28:$A$39,0),1))</f>
        <v>51206974.285714284</v>
      </c>
      <c r="V960" s="27">
        <f>V380*IF($E960="weekday",INDEX('Category Mapping'!$F$28:$F$39,MATCH('Summarized Source Data'!$A960,'Category Mapping'!$A$28:$A$39,0),1),INDEX('Category Mapping'!$E$28:$E$39,MATCH($A960,'Category Mapping'!$A$28:$A$39,0),1))</f>
        <v>51206974.285714284</v>
      </c>
      <c r="W960" s="27">
        <f>W380*IF($E960="weekday",INDEX('Category Mapping'!$F$28:$F$39,MATCH('Summarized Source Data'!$A960,'Category Mapping'!$A$28:$A$39,0),1),INDEX('Category Mapping'!$E$28:$E$39,MATCH($A960,'Category Mapping'!$A$28:$A$39,0),1))</f>
        <v>51206974.285714284</v>
      </c>
      <c r="X960" s="27">
        <f>X380*IF($E960="weekday",INDEX('Category Mapping'!$F$28:$F$39,MATCH('Summarized Source Data'!$A960,'Category Mapping'!$A$28:$A$39,0),1),INDEX('Category Mapping'!$E$28:$E$39,MATCH($A960,'Category Mapping'!$A$28:$A$39,0),1))</f>
        <v>2940000000</v>
      </c>
      <c r="Y960" s="27">
        <f>Y380*IF($E960="weekday",INDEX('Category Mapping'!$F$28:$F$39,MATCH('Summarized Source Data'!$A960,'Category Mapping'!$A$28:$A$39,0),1),INDEX('Category Mapping'!$E$28:$E$39,MATCH($A960,'Category Mapping'!$A$28:$A$39,0),1))</f>
        <v>2940000000</v>
      </c>
      <c r="Z960" s="27">
        <f>Z380*IF($E960="weekday",INDEX('Category Mapping'!$F$28:$F$39,MATCH('Summarized Source Data'!$A960,'Category Mapping'!$A$28:$A$39,0),1),INDEX('Category Mapping'!$E$28:$E$39,MATCH($A960,'Category Mapping'!$A$28:$A$39,0),1))</f>
        <v>2940000000</v>
      </c>
    </row>
    <row r="961" spans="1:26" x14ac:dyDescent="0.3">
      <c r="A961">
        <f t="shared" ref="A961:E961" si="426">A381</f>
        <v>4</v>
      </c>
      <c r="B961" t="str">
        <f t="shared" si="426"/>
        <v>Spring</v>
      </c>
      <c r="C961" t="str">
        <f t="shared" si="426"/>
        <v>h18</v>
      </c>
      <c r="D961" t="str">
        <f t="shared" si="426"/>
        <v>Hour17</v>
      </c>
      <c r="E961" t="str">
        <f t="shared" si="426"/>
        <v>Weekend</v>
      </c>
      <c r="F961" s="27">
        <f>F381*IF($E961="weekday",INDEX('Category Mapping'!$F$28:$F$39,MATCH('Summarized Source Data'!$A961,'Category Mapping'!$A$28:$A$39,0),1),INDEX('Category Mapping'!$E$28:$E$39,MATCH($A961,'Category Mapping'!$A$28:$A$39,0),1))</f>
        <v>34969251.428571425</v>
      </c>
      <c r="G961" s="27">
        <f>G381*IF($E961="weekday",INDEX('Category Mapping'!$F$28:$F$39,MATCH('Summarized Source Data'!$A961,'Category Mapping'!$A$28:$A$39,0),1),INDEX('Category Mapping'!$E$28:$E$39,MATCH($A961,'Category Mapping'!$A$28:$A$39,0),1))</f>
        <v>101065.71428571429</v>
      </c>
      <c r="H961" s="27">
        <f>H381*IF($E961="weekday",INDEX('Category Mapping'!$F$28:$F$39,MATCH('Summarized Source Data'!$A961,'Category Mapping'!$A$28:$A$39,0),1),INDEX('Category Mapping'!$E$28:$E$39,MATCH($A961,'Category Mapping'!$A$28:$A$39,0),1))</f>
        <v>0</v>
      </c>
      <c r="I961" s="27">
        <f>I381*IF($E961="weekday",INDEX('Category Mapping'!$F$28:$F$39,MATCH('Summarized Source Data'!$A961,'Category Mapping'!$A$28:$A$39,0),1),INDEX('Category Mapping'!$E$28:$E$39,MATCH($A961,'Category Mapping'!$A$28:$A$39,0),1))</f>
        <v>113142857.14285713</v>
      </c>
      <c r="J961" s="27">
        <f>J381*IF($E961="weekday",INDEX('Category Mapping'!$F$28:$F$39,MATCH('Summarized Source Data'!$A961,'Category Mapping'!$A$28:$A$39,0),1),INDEX('Category Mapping'!$E$28:$E$39,MATCH($A961,'Category Mapping'!$A$28:$A$39,0),1))</f>
        <v>803215397.14285707</v>
      </c>
      <c r="K961" s="27">
        <f>K381*IF($E961="weekday",INDEX('Category Mapping'!$F$28:$F$39,MATCH('Summarized Source Data'!$A961,'Category Mapping'!$A$28:$A$39,0),1),INDEX('Category Mapping'!$E$28:$E$39,MATCH($A961,'Category Mapping'!$A$28:$A$39,0),1))</f>
        <v>803215397.14285707</v>
      </c>
      <c r="L961" s="27">
        <f>L381*IF($E961="weekday",INDEX('Category Mapping'!$F$28:$F$39,MATCH('Summarized Source Data'!$A961,'Category Mapping'!$A$28:$A$39,0),1),INDEX('Category Mapping'!$E$28:$E$39,MATCH($A961,'Category Mapping'!$A$28:$A$39,0),1))</f>
        <v>47163685.714285716</v>
      </c>
      <c r="M961" s="27">
        <f>M381*IF($E961="weekday",INDEX('Category Mapping'!$F$28:$F$39,MATCH('Summarized Source Data'!$A961,'Category Mapping'!$A$28:$A$39,0),1),INDEX('Category Mapping'!$E$28:$E$39,MATCH($A961,'Category Mapping'!$A$28:$A$39,0),1))</f>
        <v>2514891.4285714286</v>
      </c>
      <c r="N961" s="27">
        <f>N381*IF($E961="weekday",INDEX('Category Mapping'!$F$28:$F$39,MATCH('Summarized Source Data'!$A961,'Category Mapping'!$A$28:$A$39,0),1),INDEX('Category Mapping'!$E$28:$E$39,MATCH($A961,'Category Mapping'!$A$28:$A$39,0),1))</f>
        <v>0</v>
      </c>
      <c r="O961" s="27">
        <f>O381*IF($E961="weekday",INDEX('Category Mapping'!$F$28:$F$39,MATCH('Summarized Source Data'!$A961,'Category Mapping'!$A$28:$A$39,0),1),INDEX('Category Mapping'!$E$28:$E$39,MATCH($A961,'Category Mapping'!$A$28:$A$39,0),1))</f>
        <v>884607137.14285707</v>
      </c>
      <c r="P961" s="27">
        <f>P381*IF($E961="weekday",INDEX('Category Mapping'!$F$28:$F$39,MATCH('Summarized Source Data'!$A961,'Category Mapping'!$A$28:$A$39,0),1),INDEX('Category Mapping'!$E$28:$E$39,MATCH($A961,'Category Mapping'!$A$28:$A$39,0),1))</f>
        <v>884607137.14285707</v>
      </c>
      <c r="Q961" s="27">
        <f>Q381*IF($E961="weekday",INDEX('Category Mapping'!$F$28:$F$39,MATCH('Summarized Source Data'!$A961,'Category Mapping'!$A$28:$A$39,0),1),INDEX('Category Mapping'!$E$28:$E$39,MATCH($A961,'Category Mapping'!$A$28:$A$39,0),1))</f>
        <v>884607137.14285707</v>
      </c>
      <c r="R961" s="27">
        <f>R381*IF($E961="weekday",INDEX('Category Mapping'!$F$28:$F$39,MATCH('Summarized Source Data'!$A961,'Category Mapping'!$A$28:$A$39,0),1),INDEX('Category Mapping'!$E$28:$E$39,MATCH($A961,'Category Mapping'!$A$28:$A$39,0),1))</f>
        <v>51257160</v>
      </c>
      <c r="S961" s="27">
        <f>S381*IF($E961="weekday",INDEX('Category Mapping'!$F$28:$F$39,MATCH('Summarized Source Data'!$A961,'Category Mapping'!$A$28:$A$39,0),1),INDEX('Category Mapping'!$E$28:$E$39,MATCH($A961,'Category Mapping'!$A$28:$A$39,0),1))</f>
        <v>51257160</v>
      </c>
      <c r="T961" s="27">
        <f>T381*IF($E961="weekday",INDEX('Category Mapping'!$F$28:$F$39,MATCH('Summarized Source Data'!$A961,'Category Mapping'!$A$28:$A$39,0),1),INDEX('Category Mapping'!$E$28:$E$39,MATCH($A961,'Category Mapping'!$A$28:$A$39,0),1))</f>
        <v>51257160</v>
      </c>
      <c r="U961" s="27">
        <f>U381*IF($E961="weekday",INDEX('Category Mapping'!$F$28:$F$39,MATCH('Summarized Source Data'!$A961,'Category Mapping'!$A$28:$A$39,0),1),INDEX('Category Mapping'!$E$28:$E$39,MATCH($A961,'Category Mapping'!$A$28:$A$39,0),1))</f>
        <v>51257160</v>
      </c>
      <c r="V961" s="27">
        <f>V381*IF($E961="weekday",INDEX('Category Mapping'!$F$28:$F$39,MATCH('Summarized Source Data'!$A961,'Category Mapping'!$A$28:$A$39,0),1),INDEX('Category Mapping'!$E$28:$E$39,MATCH($A961,'Category Mapping'!$A$28:$A$39,0),1))</f>
        <v>51257160</v>
      </c>
      <c r="W961" s="27">
        <f>W381*IF($E961="weekday",INDEX('Category Mapping'!$F$28:$F$39,MATCH('Summarized Source Data'!$A961,'Category Mapping'!$A$28:$A$39,0),1),INDEX('Category Mapping'!$E$28:$E$39,MATCH($A961,'Category Mapping'!$A$28:$A$39,0),1))</f>
        <v>51257160</v>
      </c>
      <c r="X961" s="27">
        <f>X381*IF($E961="weekday",INDEX('Category Mapping'!$F$28:$F$39,MATCH('Summarized Source Data'!$A961,'Category Mapping'!$A$28:$A$39,0),1),INDEX('Category Mapping'!$E$28:$E$39,MATCH($A961,'Category Mapping'!$A$28:$A$39,0),1))</f>
        <v>2948571428.5714283</v>
      </c>
      <c r="Y961" s="27">
        <f>Y381*IF($E961="weekday",INDEX('Category Mapping'!$F$28:$F$39,MATCH('Summarized Source Data'!$A961,'Category Mapping'!$A$28:$A$39,0),1),INDEX('Category Mapping'!$E$28:$E$39,MATCH($A961,'Category Mapping'!$A$28:$A$39,0),1))</f>
        <v>2948571428.5714283</v>
      </c>
      <c r="Z961" s="27">
        <f>Z381*IF($E961="weekday",INDEX('Category Mapping'!$F$28:$F$39,MATCH('Summarized Source Data'!$A961,'Category Mapping'!$A$28:$A$39,0),1),INDEX('Category Mapping'!$E$28:$E$39,MATCH($A961,'Category Mapping'!$A$28:$A$39,0),1))</f>
        <v>2948571428.5714283</v>
      </c>
    </row>
    <row r="962" spans="1:26" x14ac:dyDescent="0.3">
      <c r="A962">
        <f t="shared" ref="A962:E962" si="427">A382</f>
        <v>4</v>
      </c>
      <c r="B962" t="str">
        <f t="shared" si="427"/>
        <v>Spring</v>
      </c>
      <c r="C962" t="str">
        <f t="shared" si="427"/>
        <v>h19</v>
      </c>
      <c r="D962" t="str">
        <f t="shared" si="427"/>
        <v>Hour18</v>
      </c>
      <c r="E962" t="str">
        <f t="shared" si="427"/>
        <v>Weekend</v>
      </c>
      <c r="F962" s="27">
        <f>F382*IF($E962="weekday",INDEX('Category Mapping'!$F$28:$F$39,MATCH('Summarized Source Data'!$A962,'Category Mapping'!$A$28:$A$39,0),1),INDEX('Category Mapping'!$E$28:$E$39,MATCH($A962,'Category Mapping'!$A$28:$A$39,0),1))</f>
        <v>36243368.571428567</v>
      </c>
      <c r="G962" s="27">
        <f>G382*IF($E962="weekday",INDEX('Category Mapping'!$F$28:$F$39,MATCH('Summarized Source Data'!$A962,'Category Mapping'!$A$28:$A$39,0),1),INDEX('Category Mapping'!$E$28:$E$39,MATCH($A962,'Category Mapping'!$A$28:$A$39,0),1))</f>
        <v>107280</v>
      </c>
      <c r="H962" s="27">
        <f>H382*IF($E962="weekday",INDEX('Category Mapping'!$F$28:$F$39,MATCH('Summarized Source Data'!$A962,'Category Mapping'!$A$28:$A$39,0),1),INDEX('Category Mapping'!$E$28:$E$39,MATCH($A962,'Category Mapping'!$A$28:$A$39,0),1))</f>
        <v>0</v>
      </c>
      <c r="I962" s="27">
        <f>I382*IF($E962="weekday",INDEX('Category Mapping'!$F$28:$F$39,MATCH('Summarized Source Data'!$A962,'Category Mapping'!$A$28:$A$39,0),1),INDEX('Category Mapping'!$E$28:$E$39,MATCH($A962,'Category Mapping'!$A$28:$A$39,0),1))</f>
        <v>251142857.14285713</v>
      </c>
      <c r="J962" s="27">
        <f>J382*IF($E962="weekday",INDEX('Category Mapping'!$F$28:$F$39,MATCH('Summarized Source Data'!$A962,'Category Mapping'!$A$28:$A$39,0),1),INDEX('Category Mapping'!$E$28:$E$39,MATCH($A962,'Category Mapping'!$A$28:$A$39,0),1))</f>
        <v>783935065.71428573</v>
      </c>
      <c r="K962" s="27">
        <f>K382*IF($E962="weekday",INDEX('Category Mapping'!$F$28:$F$39,MATCH('Summarized Source Data'!$A962,'Category Mapping'!$A$28:$A$39,0),1),INDEX('Category Mapping'!$E$28:$E$39,MATCH($A962,'Category Mapping'!$A$28:$A$39,0),1))</f>
        <v>783935065.71428573</v>
      </c>
      <c r="L962" s="27">
        <f>L382*IF($E962="weekday",INDEX('Category Mapping'!$F$28:$F$39,MATCH('Summarized Source Data'!$A962,'Category Mapping'!$A$28:$A$39,0),1),INDEX('Category Mapping'!$E$28:$E$39,MATCH($A962,'Category Mapping'!$A$28:$A$39,0),1))</f>
        <v>42007268.571428567</v>
      </c>
      <c r="M962" s="27">
        <f>M382*IF($E962="weekday",INDEX('Category Mapping'!$F$28:$F$39,MATCH('Summarized Source Data'!$A962,'Category Mapping'!$A$28:$A$39,0),1),INDEX('Category Mapping'!$E$28:$E$39,MATCH($A962,'Category Mapping'!$A$28:$A$39,0),1))</f>
        <v>2460951.4285714286</v>
      </c>
      <c r="N962" s="27">
        <f>N382*IF($E962="weekday",INDEX('Category Mapping'!$F$28:$F$39,MATCH('Summarized Source Data'!$A962,'Category Mapping'!$A$28:$A$39,0),1),INDEX('Category Mapping'!$E$28:$E$39,MATCH($A962,'Category Mapping'!$A$28:$A$39,0),1))</f>
        <v>0</v>
      </c>
      <c r="O962" s="27">
        <f>O382*IF($E962="weekday",INDEX('Category Mapping'!$F$28:$F$39,MATCH('Summarized Source Data'!$A962,'Category Mapping'!$A$28:$A$39,0),1),INDEX('Category Mapping'!$E$28:$E$39,MATCH($A962,'Category Mapping'!$A$28:$A$39,0),1))</f>
        <v>872674637.14285707</v>
      </c>
      <c r="P962" s="27">
        <f>P382*IF($E962="weekday",INDEX('Category Mapping'!$F$28:$F$39,MATCH('Summarized Source Data'!$A962,'Category Mapping'!$A$28:$A$39,0),1),INDEX('Category Mapping'!$E$28:$E$39,MATCH($A962,'Category Mapping'!$A$28:$A$39,0),1))</f>
        <v>872674637.14285707</v>
      </c>
      <c r="Q962" s="27">
        <f>Q382*IF($E962="weekday",INDEX('Category Mapping'!$F$28:$F$39,MATCH('Summarized Source Data'!$A962,'Category Mapping'!$A$28:$A$39,0),1),INDEX('Category Mapping'!$E$28:$E$39,MATCH($A962,'Category Mapping'!$A$28:$A$39,0),1))</f>
        <v>872674637.14285707</v>
      </c>
      <c r="R962" s="27">
        <f>R382*IF($E962="weekday",INDEX('Category Mapping'!$F$28:$F$39,MATCH('Summarized Source Data'!$A962,'Category Mapping'!$A$28:$A$39,0),1),INDEX('Category Mapping'!$E$28:$E$39,MATCH($A962,'Category Mapping'!$A$28:$A$39,0),1))</f>
        <v>50905834.285714284</v>
      </c>
      <c r="S962" s="27">
        <f>S382*IF($E962="weekday",INDEX('Category Mapping'!$F$28:$F$39,MATCH('Summarized Source Data'!$A962,'Category Mapping'!$A$28:$A$39,0),1),INDEX('Category Mapping'!$E$28:$E$39,MATCH($A962,'Category Mapping'!$A$28:$A$39,0),1))</f>
        <v>50905834.285714284</v>
      </c>
      <c r="T962" s="27">
        <f>T382*IF($E962="weekday",INDEX('Category Mapping'!$F$28:$F$39,MATCH('Summarized Source Data'!$A962,'Category Mapping'!$A$28:$A$39,0),1),INDEX('Category Mapping'!$E$28:$E$39,MATCH($A962,'Category Mapping'!$A$28:$A$39,0),1))</f>
        <v>50905834.285714284</v>
      </c>
      <c r="U962" s="27">
        <f>U382*IF($E962="weekday",INDEX('Category Mapping'!$F$28:$F$39,MATCH('Summarized Source Data'!$A962,'Category Mapping'!$A$28:$A$39,0),1),INDEX('Category Mapping'!$E$28:$E$39,MATCH($A962,'Category Mapping'!$A$28:$A$39,0),1))</f>
        <v>50905834.285714284</v>
      </c>
      <c r="V962" s="27">
        <f>V382*IF($E962="weekday",INDEX('Category Mapping'!$F$28:$F$39,MATCH('Summarized Source Data'!$A962,'Category Mapping'!$A$28:$A$39,0),1),INDEX('Category Mapping'!$E$28:$E$39,MATCH($A962,'Category Mapping'!$A$28:$A$39,0),1))</f>
        <v>50905834.285714284</v>
      </c>
      <c r="W962" s="27">
        <f>W382*IF($E962="weekday",INDEX('Category Mapping'!$F$28:$F$39,MATCH('Summarized Source Data'!$A962,'Category Mapping'!$A$28:$A$39,0),1),INDEX('Category Mapping'!$E$28:$E$39,MATCH($A962,'Category Mapping'!$A$28:$A$39,0),1))</f>
        <v>50905834.285714284</v>
      </c>
      <c r="X962" s="27">
        <f>X382*IF($E962="weekday",INDEX('Category Mapping'!$F$28:$F$39,MATCH('Summarized Source Data'!$A962,'Category Mapping'!$A$28:$A$39,0),1),INDEX('Category Mapping'!$E$28:$E$39,MATCH($A962,'Category Mapping'!$A$28:$A$39,0),1))</f>
        <v>2940000000</v>
      </c>
      <c r="Y962" s="27">
        <f>Y382*IF($E962="weekday",INDEX('Category Mapping'!$F$28:$F$39,MATCH('Summarized Source Data'!$A962,'Category Mapping'!$A$28:$A$39,0),1),INDEX('Category Mapping'!$E$28:$E$39,MATCH($A962,'Category Mapping'!$A$28:$A$39,0),1))</f>
        <v>2940000000</v>
      </c>
      <c r="Z962" s="27">
        <f>Z382*IF($E962="weekday",INDEX('Category Mapping'!$F$28:$F$39,MATCH('Summarized Source Data'!$A962,'Category Mapping'!$A$28:$A$39,0),1),INDEX('Category Mapping'!$E$28:$E$39,MATCH($A962,'Category Mapping'!$A$28:$A$39,0),1))</f>
        <v>2940000000</v>
      </c>
    </row>
    <row r="963" spans="1:26" x14ac:dyDescent="0.3">
      <c r="A963">
        <f t="shared" ref="A963:E963" si="428">A383</f>
        <v>4</v>
      </c>
      <c r="B963" t="str">
        <f t="shared" si="428"/>
        <v>Spring</v>
      </c>
      <c r="C963" t="str">
        <f t="shared" si="428"/>
        <v>h20</v>
      </c>
      <c r="D963" t="str">
        <f t="shared" si="428"/>
        <v>Hour19</v>
      </c>
      <c r="E963" t="str">
        <f t="shared" si="428"/>
        <v>Weekend</v>
      </c>
      <c r="F963" s="27">
        <f>F383*IF($E963="weekday",INDEX('Category Mapping'!$F$28:$F$39,MATCH('Summarized Source Data'!$A963,'Category Mapping'!$A$28:$A$39,0),1),INDEX('Category Mapping'!$E$28:$E$39,MATCH($A963,'Category Mapping'!$A$28:$A$39,0),1))</f>
        <v>37375440</v>
      </c>
      <c r="G963" s="27">
        <f>G383*IF($E963="weekday",INDEX('Category Mapping'!$F$28:$F$39,MATCH('Summarized Source Data'!$A963,'Category Mapping'!$A$28:$A$39,0),1),INDEX('Category Mapping'!$E$28:$E$39,MATCH($A963,'Category Mapping'!$A$28:$A$39,0),1))</f>
        <v>114000</v>
      </c>
      <c r="H963" s="27">
        <f>H383*IF($E963="weekday",INDEX('Category Mapping'!$F$28:$F$39,MATCH('Summarized Source Data'!$A963,'Category Mapping'!$A$28:$A$39,0),1),INDEX('Category Mapping'!$E$28:$E$39,MATCH($A963,'Category Mapping'!$A$28:$A$39,0),1))</f>
        <v>0</v>
      </c>
      <c r="I963" s="27">
        <f>I383*IF($E963="weekday",INDEX('Category Mapping'!$F$28:$F$39,MATCH('Summarized Source Data'!$A963,'Category Mapping'!$A$28:$A$39,0),1),INDEX('Category Mapping'!$E$28:$E$39,MATCH($A963,'Category Mapping'!$A$28:$A$39,0),1))</f>
        <v>263142857.14285713</v>
      </c>
      <c r="J963" s="27">
        <f>J383*IF($E963="weekday",INDEX('Category Mapping'!$F$28:$F$39,MATCH('Summarized Source Data'!$A963,'Category Mapping'!$A$28:$A$39,0),1),INDEX('Category Mapping'!$E$28:$E$39,MATCH($A963,'Category Mapping'!$A$28:$A$39,0),1))</f>
        <v>719367702.85714281</v>
      </c>
      <c r="K963" s="27">
        <f>K383*IF($E963="weekday",INDEX('Category Mapping'!$F$28:$F$39,MATCH('Summarized Source Data'!$A963,'Category Mapping'!$A$28:$A$39,0),1),INDEX('Category Mapping'!$E$28:$E$39,MATCH($A963,'Category Mapping'!$A$28:$A$39,0),1))</f>
        <v>719367702.85714281</v>
      </c>
      <c r="L963" s="27">
        <f>L383*IF($E963="weekday",INDEX('Category Mapping'!$F$28:$F$39,MATCH('Summarized Source Data'!$A963,'Category Mapping'!$A$28:$A$39,0),1),INDEX('Category Mapping'!$E$28:$E$39,MATCH($A963,'Category Mapping'!$A$28:$A$39,0),1))</f>
        <v>45516317.142857142</v>
      </c>
      <c r="M963" s="27">
        <f>M383*IF($E963="weekday",INDEX('Category Mapping'!$F$28:$F$39,MATCH('Summarized Source Data'!$A963,'Category Mapping'!$A$28:$A$39,0),1),INDEX('Category Mapping'!$E$28:$E$39,MATCH($A963,'Category Mapping'!$A$28:$A$39,0),1))</f>
        <v>2383962.8571428573</v>
      </c>
      <c r="N963" s="27">
        <f>N383*IF($E963="weekday",INDEX('Category Mapping'!$F$28:$F$39,MATCH('Summarized Source Data'!$A963,'Category Mapping'!$A$28:$A$39,0),1),INDEX('Category Mapping'!$E$28:$E$39,MATCH($A963,'Category Mapping'!$A$28:$A$39,0),1))</f>
        <v>0</v>
      </c>
      <c r="O963" s="27">
        <f>O383*IF($E963="weekday",INDEX('Category Mapping'!$F$28:$F$39,MATCH('Summarized Source Data'!$A963,'Category Mapping'!$A$28:$A$39,0),1),INDEX('Category Mapping'!$E$28:$E$39,MATCH($A963,'Category Mapping'!$A$28:$A$39,0),1))</f>
        <v>852099720</v>
      </c>
      <c r="P963" s="27">
        <f>P383*IF($E963="weekday",INDEX('Category Mapping'!$F$28:$F$39,MATCH('Summarized Source Data'!$A963,'Category Mapping'!$A$28:$A$39,0),1),INDEX('Category Mapping'!$E$28:$E$39,MATCH($A963,'Category Mapping'!$A$28:$A$39,0),1))</f>
        <v>852099720</v>
      </c>
      <c r="Q963" s="27">
        <f>Q383*IF($E963="weekday",INDEX('Category Mapping'!$F$28:$F$39,MATCH('Summarized Source Data'!$A963,'Category Mapping'!$A$28:$A$39,0),1),INDEX('Category Mapping'!$E$28:$E$39,MATCH($A963,'Category Mapping'!$A$28:$A$39,0),1))</f>
        <v>852099720</v>
      </c>
      <c r="R963" s="27">
        <f>R383*IF($E963="weekday",INDEX('Category Mapping'!$F$28:$F$39,MATCH('Summarized Source Data'!$A963,'Category Mapping'!$A$28:$A$39,0),1),INDEX('Category Mapping'!$E$28:$E$39,MATCH($A963,'Category Mapping'!$A$28:$A$39,0),1))</f>
        <v>49751468.571428567</v>
      </c>
      <c r="S963" s="27">
        <f>S383*IF($E963="weekday",INDEX('Category Mapping'!$F$28:$F$39,MATCH('Summarized Source Data'!$A963,'Category Mapping'!$A$28:$A$39,0),1),INDEX('Category Mapping'!$E$28:$E$39,MATCH($A963,'Category Mapping'!$A$28:$A$39,0),1))</f>
        <v>49751468.571428567</v>
      </c>
      <c r="T963" s="27">
        <f>T383*IF($E963="weekday",INDEX('Category Mapping'!$F$28:$F$39,MATCH('Summarized Source Data'!$A963,'Category Mapping'!$A$28:$A$39,0),1),INDEX('Category Mapping'!$E$28:$E$39,MATCH($A963,'Category Mapping'!$A$28:$A$39,0),1))</f>
        <v>49751468.571428567</v>
      </c>
      <c r="U963" s="27">
        <f>U383*IF($E963="weekday",INDEX('Category Mapping'!$F$28:$F$39,MATCH('Summarized Source Data'!$A963,'Category Mapping'!$A$28:$A$39,0),1),INDEX('Category Mapping'!$E$28:$E$39,MATCH($A963,'Category Mapping'!$A$28:$A$39,0),1))</f>
        <v>49751468.571428567</v>
      </c>
      <c r="V963" s="27">
        <f>V383*IF($E963="weekday",INDEX('Category Mapping'!$F$28:$F$39,MATCH('Summarized Source Data'!$A963,'Category Mapping'!$A$28:$A$39,0),1),INDEX('Category Mapping'!$E$28:$E$39,MATCH($A963,'Category Mapping'!$A$28:$A$39,0),1))</f>
        <v>49751468.571428567</v>
      </c>
      <c r="W963" s="27">
        <f>W383*IF($E963="weekday",INDEX('Category Mapping'!$F$28:$F$39,MATCH('Summarized Source Data'!$A963,'Category Mapping'!$A$28:$A$39,0),1),INDEX('Category Mapping'!$E$28:$E$39,MATCH($A963,'Category Mapping'!$A$28:$A$39,0),1))</f>
        <v>49751468.571428567</v>
      </c>
      <c r="X963" s="27">
        <f>X383*IF($E963="weekday",INDEX('Category Mapping'!$F$28:$F$39,MATCH('Summarized Source Data'!$A963,'Category Mapping'!$A$28:$A$39,0),1),INDEX('Category Mapping'!$E$28:$E$39,MATCH($A963,'Category Mapping'!$A$28:$A$39,0),1))</f>
        <v>2922857142.8571429</v>
      </c>
      <c r="Y963" s="27">
        <f>Y383*IF($E963="weekday",INDEX('Category Mapping'!$F$28:$F$39,MATCH('Summarized Source Data'!$A963,'Category Mapping'!$A$28:$A$39,0),1),INDEX('Category Mapping'!$E$28:$E$39,MATCH($A963,'Category Mapping'!$A$28:$A$39,0),1))</f>
        <v>2922857142.8571429</v>
      </c>
      <c r="Z963" s="27">
        <f>Z383*IF($E963="weekday",INDEX('Category Mapping'!$F$28:$F$39,MATCH('Summarized Source Data'!$A963,'Category Mapping'!$A$28:$A$39,0),1),INDEX('Category Mapping'!$E$28:$E$39,MATCH($A963,'Category Mapping'!$A$28:$A$39,0),1))</f>
        <v>2922857142.8571429</v>
      </c>
    </row>
    <row r="964" spans="1:26" x14ac:dyDescent="0.3">
      <c r="A964">
        <f t="shared" ref="A964:E964" si="429">A384</f>
        <v>4</v>
      </c>
      <c r="B964" t="str">
        <f t="shared" si="429"/>
        <v>Spring</v>
      </c>
      <c r="C964" t="str">
        <f t="shared" si="429"/>
        <v>h21</v>
      </c>
      <c r="D964" t="str">
        <f t="shared" si="429"/>
        <v>Hour20</v>
      </c>
      <c r="E964" t="str">
        <f t="shared" si="429"/>
        <v>Weekend</v>
      </c>
      <c r="F964" s="27">
        <f>F384*IF($E964="weekday",INDEX('Category Mapping'!$F$28:$F$39,MATCH('Summarized Source Data'!$A964,'Category Mapping'!$A$28:$A$39,0),1),INDEX('Category Mapping'!$E$28:$E$39,MATCH($A964,'Category Mapping'!$A$28:$A$39,0),1))</f>
        <v>37240285.714285716</v>
      </c>
      <c r="G964" s="27">
        <f>G384*IF($E964="weekday",INDEX('Category Mapping'!$F$28:$F$39,MATCH('Summarized Source Data'!$A964,'Category Mapping'!$A$28:$A$39,0),1),INDEX('Category Mapping'!$E$28:$E$39,MATCH($A964,'Category Mapping'!$A$28:$A$39,0),1))</f>
        <v>119357.14285714286</v>
      </c>
      <c r="H964" s="27">
        <f>H384*IF($E964="weekday",INDEX('Category Mapping'!$F$28:$F$39,MATCH('Summarized Source Data'!$A964,'Category Mapping'!$A$28:$A$39,0),1),INDEX('Category Mapping'!$E$28:$E$39,MATCH($A964,'Category Mapping'!$A$28:$A$39,0),1))</f>
        <v>0</v>
      </c>
      <c r="I964" s="27">
        <f>I384*IF($E964="weekday",INDEX('Category Mapping'!$F$28:$F$39,MATCH('Summarized Source Data'!$A964,'Category Mapping'!$A$28:$A$39,0),1),INDEX('Category Mapping'!$E$28:$E$39,MATCH($A964,'Category Mapping'!$A$28:$A$39,0),1))</f>
        <v>261428571.42857143</v>
      </c>
      <c r="J964" s="27">
        <f>J384*IF($E964="weekday",INDEX('Category Mapping'!$F$28:$F$39,MATCH('Summarized Source Data'!$A964,'Category Mapping'!$A$28:$A$39,0),1),INDEX('Category Mapping'!$E$28:$E$39,MATCH($A964,'Category Mapping'!$A$28:$A$39,0),1))</f>
        <v>678354642.85714281</v>
      </c>
      <c r="K964" s="27">
        <f>K384*IF($E964="weekday",INDEX('Category Mapping'!$F$28:$F$39,MATCH('Summarized Source Data'!$A964,'Category Mapping'!$A$28:$A$39,0),1),INDEX('Category Mapping'!$E$28:$E$39,MATCH($A964,'Category Mapping'!$A$28:$A$39,0),1))</f>
        <v>678354642.85714281</v>
      </c>
      <c r="L964" s="27">
        <f>L384*IF($E964="weekday",INDEX('Category Mapping'!$F$28:$F$39,MATCH('Summarized Source Data'!$A964,'Category Mapping'!$A$28:$A$39,0),1),INDEX('Category Mapping'!$E$28:$E$39,MATCH($A964,'Category Mapping'!$A$28:$A$39,0),1))</f>
        <v>52973931.428571425</v>
      </c>
      <c r="M964" s="27">
        <f>M384*IF($E964="weekday",INDEX('Category Mapping'!$F$28:$F$39,MATCH('Summarized Source Data'!$A964,'Category Mapping'!$A$28:$A$39,0),1),INDEX('Category Mapping'!$E$28:$E$39,MATCH($A964,'Category Mapping'!$A$28:$A$39,0),1))</f>
        <v>2319222.8571428573</v>
      </c>
      <c r="N964" s="27">
        <f>N384*IF($E964="weekday",INDEX('Category Mapping'!$F$28:$F$39,MATCH('Summarized Source Data'!$A964,'Category Mapping'!$A$28:$A$39,0),1),INDEX('Category Mapping'!$E$28:$E$39,MATCH($A964,'Category Mapping'!$A$28:$A$39,0),1))</f>
        <v>0</v>
      </c>
      <c r="O964" s="27">
        <f>O384*IF($E964="weekday",INDEX('Category Mapping'!$F$28:$F$39,MATCH('Summarized Source Data'!$A964,'Category Mapping'!$A$28:$A$39,0),1),INDEX('Category Mapping'!$E$28:$E$39,MATCH($A964,'Category Mapping'!$A$28:$A$39,0),1))</f>
        <v>810421131.42857146</v>
      </c>
      <c r="P964" s="27">
        <f>P384*IF($E964="weekday",INDEX('Category Mapping'!$F$28:$F$39,MATCH('Summarized Source Data'!$A964,'Category Mapping'!$A$28:$A$39,0),1),INDEX('Category Mapping'!$E$28:$E$39,MATCH($A964,'Category Mapping'!$A$28:$A$39,0),1))</f>
        <v>810421131.42857146</v>
      </c>
      <c r="Q964" s="27">
        <f>Q384*IF($E964="weekday",INDEX('Category Mapping'!$F$28:$F$39,MATCH('Summarized Source Data'!$A964,'Category Mapping'!$A$28:$A$39,0),1),INDEX('Category Mapping'!$E$28:$E$39,MATCH($A964,'Category Mapping'!$A$28:$A$39,0),1))</f>
        <v>810421131.42857146</v>
      </c>
      <c r="R964" s="27">
        <f>R384*IF($E964="weekday",INDEX('Category Mapping'!$F$28:$F$39,MATCH('Summarized Source Data'!$A964,'Category Mapping'!$A$28:$A$39,0),1),INDEX('Category Mapping'!$E$28:$E$39,MATCH($A964,'Category Mapping'!$A$28:$A$39,0),1))</f>
        <v>48195591.428571425</v>
      </c>
      <c r="S964" s="27">
        <f>S384*IF($E964="weekday",INDEX('Category Mapping'!$F$28:$F$39,MATCH('Summarized Source Data'!$A964,'Category Mapping'!$A$28:$A$39,0),1),INDEX('Category Mapping'!$E$28:$E$39,MATCH($A964,'Category Mapping'!$A$28:$A$39,0),1))</f>
        <v>48195591.428571425</v>
      </c>
      <c r="T964" s="27">
        <f>T384*IF($E964="weekday",INDEX('Category Mapping'!$F$28:$F$39,MATCH('Summarized Source Data'!$A964,'Category Mapping'!$A$28:$A$39,0),1),INDEX('Category Mapping'!$E$28:$E$39,MATCH($A964,'Category Mapping'!$A$28:$A$39,0),1))</f>
        <v>48195591.428571425</v>
      </c>
      <c r="U964" s="27">
        <f>U384*IF($E964="weekday",INDEX('Category Mapping'!$F$28:$F$39,MATCH('Summarized Source Data'!$A964,'Category Mapping'!$A$28:$A$39,0),1),INDEX('Category Mapping'!$E$28:$E$39,MATCH($A964,'Category Mapping'!$A$28:$A$39,0),1))</f>
        <v>48195591.428571425</v>
      </c>
      <c r="V964" s="27">
        <f>V384*IF($E964="weekday",INDEX('Category Mapping'!$F$28:$F$39,MATCH('Summarized Source Data'!$A964,'Category Mapping'!$A$28:$A$39,0),1),INDEX('Category Mapping'!$E$28:$E$39,MATCH($A964,'Category Mapping'!$A$28:$A$39,0),1))</f>
        <v>48195591.428571425</v>
      </c>
      <c r="W964" s="27">
        <f>W384*IF($E964="weekday",INDEX('Category Mapping'!$F$28:$F$39,MATCH('Summarized Source Data'!$A964,'Category Mapping'!$A$28:$A$39,0),1),INDEX('Category Mapping'!$E$28:$E$39,MATCH($A964,'Category Mapping'!$A$28:$A$39,0),1))</f>
        <v>48195591.428571425</v>
      </c>
      <c r="X964" s="27">
        <f>X384*IF($E964="weekday",INDEX('Category Mapping'!$F$28:$F$39,MATCH('Summarized Source Data'!$A964,'Category Mapping'!$A$28:$A$39,0),1),INDEX('Category Mapping'!$E$28:$E$39,MATCH($A964,'Category Mapping'!$A$28:$A$39,0),1))</f>
        <v>2905714285.7142859</v>
      </c>
      <c r="Y964" s="27">
        <f>Y384*IF($E964="weekday",INDEX('Category Mapping'!$F$28:$F$39,MATCH('Summarized Source Data'!$A964,'Category Mapping'!$A$28:$A$39,0),1),INDEX('Category Mapping'!$E$28:$E$39,MATCH($A964,'Category Mapping'!$A$28:$A$39,0),1))</f>
        <v>2905714285.7142859</v>
      </c>
      <c r="Z964" s="27">
        <f>Z384*IF($E964="weekday",INDEX('Category Mapping'!$F$28:$F$39,MATCH('Summarized Source Data'!$A964,'Category Mapping'!$A$28:$A$39,0),1),INDEX('Category Mapping'!$E$28:$E$39,MATCH($A964,'Category Mapping'!$A$28:$A$39,0),1))</f>
        <v>2905714285.7142859</v>
      </c>
    </row>
    <row r="965" spans="1:26" x14ac:dyDescent="0.3">
      <c r="A965">
        <f t="shared" ref="A965:E965" si="430">A385</f>
        <v>4</v>
      </c>
      <c r="B965" t="str">
        <f t="shared" si="430"/>
        <v>Spring</v>
      </c>
      <c r="C965" t="str">
        <f t="shared" si="430"/>
        <v>h22</v>
      </c>
      <c r="D965" t="str">
        <f t="shared" si="430"/>
        <v>Hour21</v>
      </c>
      <c r="E965" t="str">
        <f t="shared" si="430"/>
        <v>Weekend</v>
      </c>
      <c r="F965" s="27">
        <f>F385*IF($E965="weekday",INDEX('Category Mapping'!$F$28:$F$39,MATCH('Summarized Source Data'!$A965,'Category Mapping'!$A$28:$A$39,0),1),INDEX('Category Mapping'!$E$28:$E$39,MATCH($A965,'Category Mapping'!$A$28:$A$39,0),1))</f>
        <v>32933091.428571429</v>
      </c>
      <c r="G965" s="27">
        <f>G385*IF($E965="weekday",INDEX('Category Mapping'!$F$28:$F$39,MATCH('Summarized Source Data'!$A965,'Category Mapping'!$A$28:$A$39,0),1),INDEX('Category Mapping'!$E$28:$E$39,MATCH($A965,'Category Mapping'!$A$28:$A$39,0),1))</f>
        <v>124440</v>
      </c>
      <c r="H965" s="27">
        <f>H385*IF($E965="weekday",INDEX('Category Mapping'!$F$28:$F$39,MATCH('Summarized Source Data'!$A965,'Category Mapping'!$A$28:$A$39,0),1),INDEX('Category Mapping'!$E$28:$E$39,MATCH($A965,'Category Mapping'!$A$28:$A$39,0),1))</f>
        <v>0</v>
      </c>
      <c r="I965" s="27">
        <f>I385*IF($E965="weekday",INDEX('Category Mapping'!$F$28:$F$39,MATCH('Summarized Source Data'!$A965,'Category Mapping'!$A$28:$A$39,0),1),INDEX('Category Mapping'!$E$28:$E$39,MATCH($A965,'Category Mapping'!$A$28:$A$39,0),1))</f>
        <v>216000000</v>
      </c>
      <c r="J965" s="27">
        <f>J385*IF($E965="weekday",INDEX('Category Mapping'!$F$28:$F$39,MATCH('Summarized Source Data'!$A965,'Category Mapping'!$A$28:$A$39,0),1),INDEX('Category Mapping'!$E$28:$E$39,MATCH($A965,'Category Mapping'!$A$28:$A$39,0),1))</f>
        <v>625228182.85714281</v>
      </c>
      <c r="K965" s="27">
        <f>K385*IF($E965="weekday",INDEX('Category Mapping'!$F$28:$F$39,MATCH('Summarized Source Data'!$A965,'Category Mapping'!$A$28:$A$39,0),1),INDEX('Category Mapping'!$E$28:$E$39,MATCH($A965,'Category Mapping'!$A$28:$A$39,0),1))</f>
        <v>625228182.85714281</v>
      </c>
      <c r="L965" s="27">
        <f>L385*IF($E965="weekday",INDEX('Category Mapping'!$F$28:$F$39,MATCH('Summarized Source Data'!$A965,'Category Mapping'!$A$28:$A$39,0),1),INDEX('Category Mapping'!$E$28:$E$39,MATCH($A965,'Category Mapping'!$A$28:$A$39,0),1))</f>
        <v>53795631.428571425</v>
      </c>
      <c r="M965" s="27">
        <f>M385*IF($E965="weekday",INDEX('Category Mapping'!$F$28:$F$39,MATCH('Summarized Source Data'!$A965,'Category Mapping'!$A$28:$A$39,0),1),INDEX('Category Mapping'!$E$28:$E$39,MATCH($A965,'Category Mapping'!$A$28:$A$39,0),1))</f>
        <v>2253180</v>
      </c>
      <c r="N965" s="27">
        <f>N385*IF($E965="weekday",INDEX('Category Mapping'!$F$28:$F$39,MATCH('Summarized Source Data'!$A965,'Category Mapping'!$A$28:$A$39,0),1),INDEX('Category Mapping'!$E$28:$E$39,MATCH($A965,'Category Mapping'!$A$28:$A$39,0),1))</f>
        <v>0</v>
      </c>
      <c r="O965" s="27">
        <f>O385*IF($E965="weekday",INDEX('Category Mapping'!$F$28:$F$39,MATCH('Summarized Source Data'!$A965,'Category Mapping'!$A$28:$A$39,0),1),INDEX('Category Mapping'!$E$28:$E$39,MATCH($A965,'Category Mapping'!$A$28:$A$39,0),1))</f>
        <v>759094045.71428573</v>
      </c>
      <c r="P965" s="27">
        <f>P385*IF($E965="weekday",INDEX('Category Mapping'!$F$28:$F$39,MATCH('Summarized Source Data'!$A965,'Category Mapping'!$A$28:$A$39,0),1),INDEX('Category Mapping'!$E$28:$E$39,MATCH($A965,'Category Mapping'!$A$28:$A$39,0),1))</f>
        <v>759094045.71428573</v>
      </c>
      <c r="Q965" s="27">
        <f>Q385*IF($E965="weekday",INDEX('Category Mapping'!$F$28:$F$39,MATCH('Summarized Source Data'!$A965,'Category Mapping'!$A$28:$A$39,0),1),INDEX('Category Mapping'!$E$28:$E$39,MATCH($A965,'Category Mapping'!$A$28:$A$39,0),1))</f>
        <v>759094045.71428573</v>
      </c>
      <c r="R965" s="27">
        <f>R385*IF($E965="weekday",INDEX('Category Mapping'!$F$28:$F$39,MATCH('Summarized Source Data'!$A965,'Category Mapping'!$A$28:$A$39,0),1),INDEX('Category Mapping'!$E$28:$E$39,MATCH($A965,'Category Mapping'!$A$28:$A$39,0),1))</f>
        <v>46438954.285714284</v>
      </c>
      <c r="S965" s="27">
        <f>S385*IF($E965="weekday",INDEX('Category Mapping'!$F$28:$F$39,MATCH('Summarized Source Data'!$A965,'Category Mapping'!$A$28:$A$39,0),1),INDEX('Category Mapping'!$E$28:$E$39,MATCH($A965,'Category Mapping'!$A$28:$A$39,0),1))</f>
        <v>46438954.285714284</v>
      </c>
      <c r="T965" s="27">
        <f>T385*IF($E965="weekday",INDEX('Category Mapping'!$F$28:$F$39,MATCH('Summarized Source Data'!$A965,'Category Mapping'!$A$28:$A$39,0),1),INDEX('Category Mapping'!$E$28:$E$39,MATCH($A965,'Category Mapping'!$A$28:$A$39,0),1))</f>
        <v>46438954.285714284</v>
      </c>
      <c r="U965" s="27">
        <f>U385*IF($E965="weekday",INDEX('Category Mapping'!$F$28:$F$39,MATCH('Summarized Source Data'!$A965,'Category Mapping'!$A$28:$A$39,0),1),INDEX('Category Mapping'!$E$28:$E$39,MATCH($A965,'Category Mapping'!$A$28:$A$39,0),1))</f>
        <v>46438954.285714284</v>
      </c>
      <c r="V965" s="27">
        <f>V385*IF($E965="weekday",INDEX('Category Mapping'!$F$28:$F$39,MATCH('Summarized Source Data'!$A965,'Category Mapping'!$A$28:$A$39,0),1),INDEX('Category Mapping'!$E$28:$E$39,MATCH($A965,'Category Mapping'!$A$28:$A$39,0),1))</f>
        <v>46438954.285714284</v>
      </c>
      <c r="W965" s="27">
        <f>W385*IF($E965="weekday",INDEX('Category Mapping'!$F$28:$F$39,MATCH('Summarized Source Data'!$A965,'Category Mapping'!$A$28:$A$39,0),1),INDEX('Category Mapping'!$E$28:$E$39,MATCH($A965,'Category Mapping'!$A$28:$A$39,0),1))</f>
        <v>46438954.285714284</v>
      </c>
      <c r="X965" s="27">
        <f>X385*IF($E965="weekday",INDEX('Category Mapping'!$F$28:$F$39,MATCH('Summarized Source Data'!$A965,'Category Mapping'!$A$28:$A$39,0),1),INDEX('Category Mapping'!$E$28:$E$39,MATCH($A965,'Category Mapping'!$A$28:$A$39,0),1))</f>
        <v>2880000000</v>
      </c>
      <c r="Y965" s="27">
        <f>Y385*IF($E965="weekday",INDEX('Category Mapping'!$F$28:$F$39,MATCH('Summarized Source Data'!$A965,'Category Mapping'!$A$28:$A$39,0),1),INDEX('Category Mapping'!$E$28:$E$39,MATCH($A965,'Category Mapping'!$A$28:$A$39,0),1))</f>
        <v>2880000000</v>
      </c>
      <c r="Z965" s="27">
        <f>Z385*IF($E965="weekday",INDEX('Category Mapping'!$F$28:$F$39,MATCH('Summarized Source Data'!$A965,'Category Mapping'!$A$28:$A$39,0),1),INDEX('Category Mapping'!$E$28:$E$39,MATCH($A965,'Category Mapping'!$A$28:$A$39,0),1))</f>
        <v>2880000000</v>
      </c>
    </row>
    <row r="966" spans="1:26" x14ac:dyDescent="0.3">
      <c r="A966">
        <f t="shared" ref="A966:E966" si="431">A386</f>
        <v>4</v>
      </c>
      <c r="B966" t="str">
        <f t="shared" si="431"/>
        <v>Spring</v>
      </c>
      <c r="C966" t="str">
        <f t="shared" si="431"/>
        <v>h23</v>
      </c>
      <c r="D966" t="str">
        <f t="shared" si="431"/>
        <v>Hour22</v>
      </c>
      <c r="E966" t="str">
        <f t="shared" si="431"/>
        <v>Weekend</v>
      </c>
      <c r="F966" s="27">
        <f>F386*IF($E966="weekday",INDEX('Category Mapping'!$F$28:$F$39,MATCH('Summarized Source Data'!$A966,'Category Mapping'!$A$28:$A$39,0),1),INDEX('Category Mapping'!$E$28:$E$39,MATCH($A966,'Category Mapping'!$A$28:$A$39,0),1))</f>
        <v>25922065.714285713</v>
      </c>
      <c r="G966" s="27">
        <f>G386*IF($E966="weekday",INDEX('Category Mapping'!$F$28:$F$39,MATCH('Summarized Source Data'!$A966,'Category Mapping'!$A$28:$A$39,0),1),INDEX('Category Mapping'!$E$28:$E$39,MATCH($A966,'Category Mapping'!$A$28:$A$39,0),1))</f>
        <v>129145.71428571428</v>
      </c>
      <c r="H966" s="27">
        <f>H386*IF($E966="weekday",INDEX('Category Mapping'!$F$28:$F$39,MATCH('Summarized Source Data'!$A966,'Category Mapping'!$A$28:$A$39,0),1),INDEX('Category Mapping'!$E$28:$E$39,MATCH($A966,'Category Mapping'!$A$28:$A$39,0),1))</f>
        <v>0</v>
      </c>
      <c r="I966" s="27">
        <f>I386*IF($E966="weekday",INDEX('Category Mapping'!$F$28:$F$39,MATCH('Summarized Source Data'!$A966,'Category Mapping'!$A$28:$A$39,0),1),INDEX('Category Mapping'!$E$28:$E$39,MATCH($A966,'Category Mapping'!$A$28:$A$39,0),1))</f>
        <v>139714285.7142857</v>
      </c>
      <c r="J966" s="27">
        <f>J386*IF($E966="weekday",INDEX('Category Mapping'!$F$28:$F$39,MATCH('Summarized Source Data'!$A966,'Category Mapping'!$A$28:$A$39,0),1),INDEX('Category Mapping'!$E$28:$E$39,MATCH($A966,'Category Mapping'!$A$28:$A$39,0),1))</f>
        <v>521663074.28571427</v>
      </c>
      <c r="K966" s="27">
        <f>K386*IF($E966="weekday",INDEX('Category Mapping'!$F$28:$F$39,MATCH('Summarized Source Data'!$A966,'Category Mapping'!$A$28:$A$39,0),1),INDEX('Category Mapping'!$E$28:$E$39,MATCH($A966,'Category Mapping'!$A$28:$A$39,0),1))</f>
        <v>521663074.28571427</v>
      </c>
      <c r="L966" s="27">
        <f>L386*IF($E966="weekday",INDEX('Category Mapping'!$F$28:$F$39,MATCH('Summarized Source Data'!$A966,'Category Mapping'!$A$28:$A$39,0),1),INDEX('Category Mapping'!$E$28:$E$39,MATCH($A966,'Category Mapping'!$A$28:$A$39,0),1))</f>
        <v>45998751.428571425</v>
      </c>
      <c r="M966" s="27">
        <f>M386*IF($E966="weekday",INDEX('Category Mapping'!$F$28:$F$39,MATCH('Summarized Source Data'!$A966,'Category Mapping'!$A$28:$A$39,0),1),INDEX('Category Mapping'!$E$28:$E$39,MATCH($A966,'Category Mapping'!$A$28:$A$39,0),1))</f>
        <v>2173765.7142857141</v>
      </c>
      <c r="N966" s="27">
        <f>N386*IF($E966="weekday",INDEX('Category Mapping'!$F$28:$F$39,MATCH('Summarized Source Data'!$A966,'Category Mapping'!$A$28:$A$39,0),1),INDEX('Category Mapping'!$E$28:$E$39,MATCH($A966,'Category Mapping'!$A$28:$A$39,0),1))</f>
        <v>0</v>
      </c>
      <c r="O966" s="27">
        <f>O386*IF($E966="weekday",INDEX('Category Mapping'!$F$28:$F$39,MATCH('Summarized Source Data'!$A966,'Category Mapping'!$A$28:$A$39,0),1),INDEX('Category Mapping'!$E$28:$E$39,MATCH($A966,'Category Mapping'!$A$28:$A$39,0),1))</f>
        <v>722398911.42857146</v>
      </c>
      <c r="P966" s="27">
        <f>P386*IF($E966="weekday",INDEX('Category Mapping'!$F$28:$F$39,MATCH('Summarized Source Data'!$A966,'Category Mapping'!$A$28:$A$39,0),1),INDEX('Category Mapping'!$E$28:$E$39,MATCH($A966,'Category Mapping'!$A$28:$A$39,0),1))</f>
        <v>722398911.42857146</v>
      </c>
      <c r="Q966" s="27">
        <f>Q386*IF($E966="weekday",INDEX('Category Mapping'!$F$28:$F$39,MATCH('Summarized Source Data'!$A966,'Category Mapping'!$A$28:$A$39,0),1),INDEX('Category Mapping'!$E$28:$E$39,MATCH($A966,'Category Mapping'!$A$28:$A$39,0),1))</f>
        <v>722398911.42857146</v>
      </c>
      <c r="R966" s="27">
        <f>R386*IF($E966="weekday",INDEX('Category Mapping'!$F$28:$F$39,MATCH('Summarized Source Data'!$A966,'Category Mapping'!$A$28:$A$39,0),1),INDEX('Category Mapping'!$E$28:$E$39,MATCH($A966,'Category Mapping'!$A$28:$A$39,0),1))</f>
        <v>45836682.857142858</v>
      </c>
      <c r="S966" s="27">
        <f>S386*IF($E966="weekday",INDEX('Category Mapping'!$F$28:$F$39,MATCH('Summarized Source Data'!$A966,'Category Mapping'!$A$28:$A$39,0),1),INDEX('Category Mapping'!$E$28:$E$39,MATCH($A966,'Category Mapping'!$A$28:$A$39,0),1))</f>
        <v>45836682.857142858</v>
      </c>
      <c r="T966" s="27">
        <f>T386*IF($E966="weekday",INDEX('Category Mapping'!$F$28:$F$39,MATCH('Summarized Source Data'!$A966,'Category Mapping'!$A$28:$A$39,0),1),INDEX('Category Mapping'!$E$28:$E$39,MATCH($A966,'Category Mapping'!$A$28:$A$39,0),1))</f>
        <v>45836682.857142858</v>
      </c>
      <c r="U966" s="27">
        <f>U386*IF($E966="weekday",INDEX('Category Mapping'!$F$28:$F$39,MATCH('Summarized Source Data'!$A966,'Category Mapping'!$A$28:$A$39,0),1),INDEX('Category Mapping'!$E$28:$E$39,MATCH($A966,'Category Mapping'!$A$28:$A$39,0),1))</f>
        <v>45836682.857142858</v>
      </c>
      <c r="V966" s="27">
        <f>V386*IF($E966="weekday",INDEX('Category Mapping'!$F$28:$F$39,MATCH('Summarized Source Data'!$A966,'Category Mapping'!$A$28:$A$39,0),1),INDEX('Category Mapping'!$E$28:$E$39,MATCH($A966,'Category Mapping'!$A$28:$A$39,0),1))</f>
        <v>45836682.857142858</v>
      </c>
      <c r="W966" s="27">
        <f>W386*IF($E966="weekday",INDEX('Category Mapping'!$F$28:$F$39,MATCH('Summarized Source Data'!$A966,'Category Mapping'!$A$28:$A$39,0),1),INDEX('Category Mapping'!$E$28:$E$39,MATCH($A966,'Category Mapping'!$A$28:$A$39,0),1))</f>
        <v>45836682.857142858</v>
      </c>
      <c r="X966" s="27">
        <f>X386*IF($E966="weekday",INDEX('Category Mapping'!$F$28:$F$39,MATCH('Summarized Source Data'!$A966,'Category Mapping'!$A$28:$A$39,0),1),INDEX('Category Mapping'!$E$28:$E$39,MATCH($A966,'Category Mapping'!$A$28:$A$39,0),1))</f>
        <v>2854285714.2857141</v>
      </c>
      <c r="Y966" s="27">
        <f>Y386*IF($E966="weekday",INDEX('Category Mapping'!$F$28:$F$39,MATCH('Summarized Source Data'!$A966,'Category Mapping'!$A$28:$A$39,0),1),INDEX('Category Mapping'!$E$28:$E$39,MATCH($A966,'Category Mapping'!$A$28:$A$39,0),1))</f>
        <v>2854285714.2857141</v>
      </c>
      <c r="Z966" s="27">
        <f>Z386*IF($E966="weekday",INDEX('Category Mapping'!$F$28:$F$39,MATCH('Summarized Source Data'!$A966,'Category Mapping'!$A$28:$A$39,0),1),INDEX('Category Mapping'!$E$28:$E$39,MATCH($A966,'Category Mapping'!$A$28:$A$39,0),1))</f>
        <v>2854285714.2857141</v>
      </c>
    </row>
    <row r="967" spans="1:26" x14ac:dyDescent="0.3">
      <c r="A967">
        <f t="shared" ref="A967:E967" si="432">A387</f>
        <v>4</v>
      </c>
      <c r="B967" t="str">
        <f t="shared" si="432"/>
        <v>Spring</v>
      </c>
      <c r="C967" t="str">
        <f t="shared" si="432"/>
        <v>h24</v>
      </c>
      <c r="D967" t="str">
        <f t="shared" si="432"/>
        <v>Hour23</v>
      </c>
      <c r="E967" t="str">
        <f t="shared" si="432"/>
        <v>Weekend</v>
      </c>
      <c r="F967" s="27">
        <f>F387*IF($E967="weekday",INDEX('Category Mapping'!$F$28:$F$39,MATCH('Summarized Source Data'!$A967,'Category Mapping'!$A$28:$A$39,0),1),INDEX('Category Mapping'!$E$28:$E$39,MATCH($A967,'Category Mapping'!$A$28:$A$39,0),1))</f>
        <v>24205020</v>
      </c>
      <c r="G967" s="27">
        <f>G387*IF($E967="weekday",INDEX('Category Mapping'!$F$28:$F$39,MATCH('Summarized Source Data'!$A967,'Category Mapping'!$A$28:$A$39,0),1),INDEX('Category Mapping'!$E$28:$E$39,MATCH($A967,'Category Mapping'!$A$28:$A$39,0),1))</f>
        <v>133182.85714285713</v>
      </c>
      <c r="H967" s="27">
        <f>H387*IF($E967="weekday",INDEX('Category Mapping'!$F$28:$F$39,MATCH('Summarized Source Data'!$A967,'Category Mapping'!$A$28:$A$39,0),1),INDEX('Category Mapping'!$E$28:$E$39,MATCH($A967,'Category Mapping'!$A$28:$A$39,0),1))</f>
        <v>0</v>
      </c>
      <c r="I967" s="27">
        <f>I387*IF($E967="weekday",INDEX('Category Mapping'!$F$28:$F$39,MATCH('Summarized Source Data'!$A967,'Category Mapping'!$A$28:$A$39,0),1),INDEX('Category Mapping'!$E$28:$E$39,MATCH($A967,'Category Mapping'!$A$28:$A$39,0),1))</f>
        <v>77996922.857142851</v>
      </c>
      <c r="J967" s="27">
        <f>J387*IF($E967="weekday",INDEX('Category Mapping'!$F$28:$F$39,MATCH('Summarized Source Data'!$A967,'Category Mapping'!$A$28:$A$39,0),1),INDEX('Category Mapping'!$E$28:$E$39,MATCH($A967,'Category Mapping'!$A$28:$A$39,0),1))</f>
        <v>415379160</v>
      </c>
      <c r="K967" s="27">
        <f>K387*IF($E967="weekday",INDEX('Category Mapping'!$F$28:$F$39,MATCH('Summarized Source Data'!$A967,'Category Mapping'!$A$28:$A$39,0),1),INDEX('Category Mapping'!$E$28:$E$39,MATCH($A967,'Category Mapping'!$A$28:$A$39,0),1))</f>
        <v>415379160</v>
      </c>
      <c r="L967" s="27">
        <f>L387*IF($E967="weekday",INDEX('Category Mapping'!$F$28:$F$39,MATCH('Summarized Source Data'!$A967,'Category Mapping'!$A$28:$A$39,0),1),INDEX('Category Mapping'!$E$28:$E$39,MATCH($A967,'Category Mapping'!$A$28:$A$39,0),1))</f>
        <v>48405634.285714284</v>
      </c>
      <c r="M967" s="27">
        <f>M387*IF($E967="weekday",INDEX('Category Mapping'!$F$28:$F$39,MATCH('Summarized Source Data'!$A967,'Category Mapping'!$A$28:$A$39,0),1),INDEX('Category Mapping'!$E$28:$E$39,MATCH($A967,'Category Mapping'!$A$28:$A$39,0),1))</f>
        <v>2065285.7142857143</v>
      </c>
      <c r="N967" s="27">
        <f>N387*IF($E967="weekday",INDEX('Category Mapping'!$F$28:$F$39,MATCH('Summarized Source Data'!$A967,'Category Mapping'!$A$28:$A$39,0),1),INDEX('Category Mapping'!$E$28:$E$39,MATCH($A967,'Category Mapping'!$A$28:$A$39,0),1))</f>
        <v>0</v>
      </c>
      <c r="O967" s="27">
        <f>O387*IF($E967="weekday",INDEX('Category Mapping'!$F$28:$F$39,MATCH('Summarized Source Data'!$A967,'Category Mapping'!$A$28:$A$39,0),1),INDEX('Category Mapping'!$E$28:$E$39,MATCH($A967,'Category Mapping'!$A$28:$A$39,0),1))</f>
        <v>660957651.42857146</v>
      </c>
      <c r="P967" s="27">
        <f>P387*IF($E967="weekday",INDEX('Category Mapping'!$F$28:$F$39,MATCH('Summarized Source Data'!$A967,'Category Mapping'!$A$28:$A$39,0),1),INDEX('Category Mapping'!$E$28:$E$39,MATCH($A967,'Category Mapping'!$A$28:$A$39,0),1))</f>
        <v>660957651.42857146</v>
      </c>
      <c r="Q967" s="27">
        <f>Q387*IF($E967="weekday",INDEX('Category Mapping'!$F$28:$F$39,MATCH('Summarized Source Data'!$A967,'Category Mapping'!$A$28:$A$39,0),1),INDEX('Category Mapping'!$E$28:$E$39,MATCH($A967,'Category Mapping'!$A$28:$A$39,0),1))</f>
        <v>660957651.42857146</v>
      </c>
      <c r="R967" s="27">
        <f>R387*IF($E967="weekday",INDEX('Category Mapping'!$F$28:$F$39,MATCH('Summarized Source Data'!$A967,'Category Mapping'!$A$28:$A$39,0),1),INDEX('Category Mapping'!$E$28:$E$39,MATCH($A967,'Category Mapping'!$A$28:$A$39,0),1))</f>
        <v>30804882.857142854</v>
      </c>
      <c r="S967" s="27">
        <f>S387*IF($E967="weekday",INDEX('Category Mapping'!$F$28:$F$39,MATCH('Summarized Source Data'!$A967,'Category Mapping'!$A$28:$A$39,0),1),INDEX('Category Mapping'!$E$28:$E$39,MATCH($A967,'Category Mapping'!$A$28:$A$39,0),1))</f>
        <v>30804882.857142854</v>
      </c>
      <c r="T967" s="27">
        <f>T387*IF($E967="weekday",INDEX('Category Mapping'!$F$28:$F$39,MATCH('Summarized Source Data'!$A967,'Category Mapping'!$A$28:$A$39,0),1),INDEX('Category Mapping'!$E$28:$E$39,MATCH($A967,'Category Mapping'!$A$28:$A$39,0),1))</f>
        <v>30804882.857142854</v>
      </c>
      <c r="U967" s="27">
        <f>U387*IF($E967="weekday",INDEX('Category Mapping'!$F$28:$F$39,MATCH('Summarized Source Data'!$A967,'Category Mapping'!$A$28:$A$39,0),1),INDEX('Category Mapping'!$E$28:$E$39,MATCH($A967,'Category Mapping'!$A$28:$A$39,0),1))</f>
        <v>30804882.857142854</v>
      </c>
      <c r="V967" s="27">
        <f>V387*IF($E967="weekday",INDEX('Category Mapping'!$F$28:$F$39,MATCH('Summarized Source Data'!$A967,'Category Mapping'!$A$28:$A$39,0),1),INDEX('Category Mapping'!$E$28:$E$39,MATCH($A967,'Category Mapping'!$A$28:$A$39,0),1))</f>
        <v>30804882.857142854</v>
      </c>
      <c r="W967" s="27">
        <f>W387*IF($E967="weekday",INDEX('Category Mapping'!$F$28:$F$39,MATCH('Summarized Source Data'!$A967,'Category Mapping'!$A$28:$A$39,0),1),INDEX('Category Mapping'!$E$28:$E$39,MATCH($A967,'Category Mapping'!$A$28:$A$39,0),1))</f>
        <v>30804882.857142854</v>
      </c>
      <c r="X967" s="27">
        <f>X387*IF($E967="weekday",INDEX('Category Mapping'!$F$28:$F$39,MATCH('Summarized Source Data'!$A967,'Category Mapping'!$A$28:$A$39,0),1),INDEX('Category Mapping'!$E$28:$E$39,MATCH($A967,'Category Mapping'!$A$28:$A$39,0),1))</f>
        <v>2845714285.7142859</v>
      </c>
      <c r="Y967" s="27">
        <f>Y387*IF($E967="weekday",INDEX('Category Mapping'!$F$28:$F$39,MATCH('Summarized Source Data'!$A967,'Category Mapping'!$A$28:$A$39,0),1),INDEX('Category Mapping'!$E$28:$E$39,MATCH($A967,'Category Mapping'!$A$28:$A$39,0),1))</f>
        <v>2845714285.7142859</v>
      </c>
      <c r="Z967" s="27">
        <f>Z387*IF($E967="weekday",INDEX('Category Mapping'!$F$28:$F$39,MATCH('Summarized Source Data'!$A967,'Category Mapping'!$A$28:$A$39,0),1),INDEX('Category Mapping'!$E$28:$E$39,MATCH($A967,'Category Mapping'!$A$28:$A$39,0),1))</f>
        <v>2845714285.7142859</v>
      </c>
    </row>
    <row r="968" spans="1:26" x14ac:dyDescent="0.3">
      <c r="A968">
        <f t="shared" ref="A968:E968" si="433">A388</f>
        <v>5</v>
      </c>
      <c r="B968" t="str">
        <f t="shared" si="433"/>
        <v>Spring</v>
      </c>
      <c r="C968" t="str">
        <f t="shared" si="433"/>
        <v>h1</v>
      </c>
      <c r="D968" t="str">
        <f t="shared" si="433"/>
        <v>Hour0</v>
      </c>
      <c r="E968" t="str">
        <f t="shared" si="433"/>
        <v>Weekend</v>
      </c>
      <c r="F968" s="27">
        <f>F388*IF($E968="weekday",INDEX('Category Mapping'!$F$28:$F$39,MATCH('Summarized Source Data'!$A968,'Category Mapping'!$A$28:$A$39,0),1),INDEX('Category Mapping'!$E$28:$E$39,MATCH($A968,'Category Mapping'!$A$28:$A$39,0),1))</f>
        <v>6938473.1428571418</v>
      </c>
      <c r="G968" s="27">
        <f>G388*IF($E968="weekday",INDEX('Category Mapping'!$F$28:$F$39,MATCH('Summarized Source Data'!$A968,'Category Mapping'!$A$28:$A$39,0),1),INDEX('Category Mapping'!$E$28:$E$39,MATCH($A968,'Category Mapping'!$A$28:$A$39,0),1))</f>
        <v>16288.285714285712</v>
      </c>
      <c r="H968" s="27">
        <f>H388*IF($E968="weekday",INDEX('Category Mapping'!$F$28:$F$39,MATCH('Summarized Source Data'!$A968,'Category Mapping'!$A$28:$A$39,0),1),INDEX('Category Mapping'!$E$28:$E$39,MATCH($A968,'Category Mapping'!$A$28:$A$39,0),1))</f>
        <v>0</v>
      </c>
      <c r="I968" s="27">
        <f>I388*IF($E968="weekday",INDEX('Category Mapping'!$F$28:$F$39,MATCH('Summarized Source Data'!$A968,'Category Mapping'!$A$28:$A$39,0),1),INDEX('Category Mapping'!$E$28:$E$39,MATCH($A968,'Category Mapping'!$A$28:$A$39,0),1))</f>
        <v>51894416.285714276</v>
      </c>
      <c r="J968" s="27">
        <f>J388*IF($E968="weekday",INDEX('Category Mapping'!$F$28:$F$39,MATCH('Summarized Source Data'!$A968,'Category Mapping'!$A$28:$A$39,0),1),INDEX('Category Mapping'!$E$28:$E$39,MATCH($A968,'Category Mapping'!$A$28:$A$39,0),1))</f>
        <v>326436536.57142854</v>
      </c>
      <c r="K968" s="27">
        <f>K388*IF($E968="weekday",INDEX('Category Mapping'!$F$28:$F$39,MATCH('Summarized Source Data'!$A968,'Category Mapping'!$A$28:$A$39,0),1),INDEX('Category Mapping'!$E$28:$E$39,MATCH($A968,'Category Mapping'!$A$28:$A$39,0),1))</f>
        <v>326436536.57142854</v>
      </c>
      <c r="L968" s="27">
        <f>L388*IF($E968="weekday",INDEX('Category Mapping'!$F$28:$F$39,MATCH('Summarized Source Data'!$A968,'Category Mapping'!$A$28:$A$39,0),1),INDEX('Category Mapping'!$E$28:$E$39,MATCH($A968,'Category Mapping'!$A$28:$A$39,0),1))</f>
        <v>16355980.857142854</v>
      </c>
      <c r="M968" s="27">
        <f>M388*IF($E968="weekday",INDEX('Category Mapping'!$F$28:$F$39,MATCH('Summarized Source Data'!$A968,'Category Mapping'!$A$28:$A$39,0),1),INDEX('Category Mapping'!$E$28:$E$39,MATCH($A968,'Category Mapping'!$A$28:$A$39,0),1))</f>
        <v>33998559.142857134</v>
      </c>
      <c r="N968" s="27">
        <f>N388*IF($E968="weekday",INDEX('Category Mapping'!$F$28:$F$39,MATCH('Summarized Source Data'!$A968,'Category Mapping'!$A$28:$A$39,0),1),INDEX('Category Mapping'!$E$28:$E$39,MATCH($A968,'Category Mapping'!$A$28:$A$39,0),1))</f>
        <v>0</v>
      </c>
      <c r="O968" s="27">
        <f>O388*IF($E968="weekday",INDEX('Category Mapping'!$F$28:$F$39,MATCH('Summarized Source Data'!$A968,'Category Mapping'!$A$28:$A$39,0),1),INDEX('Category Mapping'!$E$28:$E$39,MATCH($A968,'Category Mapping'!$A$28:$A$39,0),1))</f>
        <v>683016888.57142842</v>
      </c>
      <c r="P968" s="27">
        <f>P388*IF($E968="weekday",INDEX('Category Mapping'!$F$28:$F$39,MATCH('Summarized Source Data'!$A968,'Category Mapping'!$A$28:$A$39,0),1),INDEX('Category Mapping'!$E$28:$E$39,MATCH($A968,'Category Mapping'!$A$28:$A$39,0),1))</f>
        <v>683016888.57142842</v>
      </c>
      <c r="Q968" s="27">
        <f>Q388*IF($E968="weekday",INDEX('Category Mapping'!$F$28:$F$39,MATCH('Summarized Source Data'!$A968,'Category Mapping'!$A$28:$A$39,0),1),INDEX('Category Mapping'!$E$28:$E$39,MATCH($A968,'Category Mapping'!$A$28:$A$39,0),1))</f>
        <v>683016888.57142842</v>
      </c>
      <c r="R968" s="27">
        <f>R388*IF($E968="weekday",INDEX('Category Mapping'!$F$28:$F$39,MATCH('Summarized Source Data'!$A968,'Category Mapping'!$A$28:$A$39,0),1),INDEX('Category Mapping'!$E$28:$E$39,MATCH($A968,'Category Mapping'!$A$28:$A$39,0),1))</f>
        <v>22045968.857142854</v>
      </c>
      <c r="S968" s="27">
        <f>S388*IF($E968="weekday",INDEX('Category Mapping'!$F$28:$F$39,MATCH('Summarized Source Data'!$A968,'Category Mapping'!$A$28:$A$39,0),1),INDEX('Category Mapping'!$E$28:$E$39,MATCH($A968,'Category Mapping'!$A$28:$A$39,0),1))</f>
        <v>22045968.857142854</v>
      </c>
      <c r="T968" s="27">
        <f>T388*IF($E968="weekday",INDEX('Category Mapping'!$F$28:$F$39,MATCH('Summarized Source Data'!$A968,'Category Mapping'!$A$28:$A$39,0),1),INDEX('Category Mapping'!$E$28:$E$39,MATCH($A968,'Category Mapping'!$A$28:$A$39,0),1))</f>
        <v>22045968.857142854</v>
      </c>
      <c r="U968" s="27">
        <f>U388*IF($E968="weekday",INDEX('Category Mapping'!$F$28:$F$39,MATCH('Summarized Source Data'!$A968,'Category Mapping'!$A$28:$A$39,0),1),INDEX('Category Mapping'!$E$28:$E$39,MATCH($A968,'Category Mapping'!$A$28:$A$39,0),1))</f>
        <v>22045968.857142854</v>
      </c>
      <c r="V968" s="27">
        <f>V388*IF($E968="weekday",INDEX('Category Mapping'!$F$28:$F$39,MATCH('Summarized Source Data'!$A968,'Category Mapping'!$A$28:$A$39,0),1),INDEX('Category Mapping'!$E$28:$E$39,MATCH($A968,'Category Mapping'!$A$28:$A$39,0),1))</f>
        <v>22045968.857142854</v>
      </c>
      <c r="W968" s="27">
        <f>W388*IF($E968="weekday",INDEX('Category Mapping'!$F$28:$F$39,MATCH('Summarized Source Data'!$A968,'Category Mapping'!$A$28:$A$39,0),1),INDEX('Category Mapping'!$E$28:$E$39,MATCH($A968,'Category Mapping'!$A$28:$A$39,0),1))</f>
        <v>22045968.857142854</v>
      </c>
      <c r="X968" s="27">
        <f>X388*IF($E968="weekday",INDEX('Category Mapping'!$F$28:$F$39,MATCH('Summarized Source Data'!$A968,'Category Mapping'!$A$28:$A$39,0),1),INDEX('Category Mapping'!$E$28:$E$39,MATCH($A968,'Category Mapping'!$A$28:$A$39,0),1))</f>
        <v>2967142857.1428566</v>
      </c>
      <c r="Y968" s="27">
        <f>Y388*IF($E968="weekday",INDEX('Category Mapping'!$F$28:$F$39,MATCH('Summarized Source Data'!$A968,'Category Mapping'!$A$28:$A$39,0),1),INDEX('Category Mapping'!$E$28:$E$39,MATCH($A968,'Category Mapping'!$A$28:$A$39,0),1))</f>
        <v>2967142857.1428566</v>
      </c>
      <c r="Z968" s="27">
        <f>Z388*IF($E968="weekday",INDEX('Category Mapping'!$F$28:$F$39,MATCH('Summarized Source Data'!$A968,'Category Mapping'!$A$28:$A$39,0),1),INDEX('Category Mapping'!$E$28:$E$39,MATCH($A968,'Category Mapping'!$A$28:$A$39,0),1))</f>
        <v>2967142857.1428566</v>
      </c>
    </row>
    <row r="969" spans="1:26" x14ac:dyDescent="0.3">
      <c r="A969">
        <f t="shared" ref="A969:E969" si="434">A389</f>
        <v>5</v>
      </c>
      <c r="B969" t="str">
        <f t="shared" si="434"/>
        <v>Spring</v>
      </c>
      <c r="C969" t="str">
        <f t="shared" si="434"/>
        <v>h2</v>
      </c>
      <c r="D969" t="str">
        <f t="shared" si="434"/>
        <v>Hour1</v>
      </c>
      <c r="E969" t="str">
        <f t="shared" si="434"/>
        <v>Weekend</v>
      </c>
      <c r="F969" s="27">
        <f>F389*IF($E969="weekday",INDEX('Category Mapping'!$F$28:$F$39,MATCH('Summarized Source Data'!$A969,'Category Mapping'!$A$28:$A$39,0),1),INDEX('Category Mapping'!$E$28:$E$39,MATCH($A969,'Category Mapping'!$A$28:$A$39,0),1))</f>
        <v>6938473.1428571418</v>
      </c>
      <c r="G969" s="27">
        <f>G389*IF($E969="weekday",INDEX('Category Mapping'!$F$28:$F$39,MATCH('Summarized Source Data'!$A969,'Category Mapping'!$A$28:$A$39,0),1),INDEX('Category Mapping'!$E$28:$E$39,MATCH($A969,'Category Mapping'!$A$28:$A$39,0),1))</f>
        <v>16536.28571428571</v>
      </c>
      <c r="H969" s="27">
        <f>H389*IF($E969="weekday",INDEX('Category Mapping'!$F$28:$F$39,MATCH('Summarized Source Data'!$A969,'Category Mapping'!$A$28:$A$39,0),1),INDEX('Category Mapping'!$E$28:$E$39,MATCH($A969,'Category Mapping'!$A$28:$A$39,0),1))</f>
        <v>0</v>
      </c>
      <c r="I969" s="27">
        <f>I389*IF($E969="weekday",INDEX('Category Mapping'!$F$28:$F$39,MATCH('Summarized Source Data'!$A969,'Category Mapping'!$A$28:$A$39,0),1),INDEX('Category Mapping'!$E$28:$E$39,MATCH($A969,'Category Mapping'!$A$28:$A$39,0),1))</f>
        <v>44836451.428571425</v>
      </c>
      <c r="J969" s="27">
        <f>J389*IF($E969="weekday",INDEX('Category Mapping'!$F$28:$F$39,MATCH('Summarized Source Data'!$A969,'Category Mapping'!$A$28:$A$39,0),1),INDEX('Category Mapping'!$E$28:$E$39,MATCH($A969,'Category Mapping'!$A$28:$A$39,0),1))</f>
        <v>253779967.71428567</v>
      </c>
      <c r="K969" s="27">
        <f>K389*IF($E969="weekday",INDEX('Category Mapping'!$F$28:$F$39,MATCH('Summarized Source Data'!$A969,'Category Mapping'!$A$28:$A$39,0),1),INDEX('Category Mapping'!$E$28:$E$39,MATCH($A969,'Category Mapping'!$A$28:$A$39,0),1))</f>
        <v>253779967.71428567</v>
      </c>
      <c r="L969" s="27">
        <f>L389*IF($E969="weekday",INDEX('Category Mapping'!$F$28:$F$39,MATCH('Summarized Source Data'!$A969,'Category Mapping'!$A$28:$A$39,0),1),INDEX('Category Mapping'!$E$28:$E$39,MATCH($A969,'Category Mapping'!$A$28:$A$39,0),1))</f>
        <v>15414625.999999998</v>
      </c>
      <c r="M969" s="27">
        <f>M389*IF($E969="weekday",INDEX('Category Mapping'!$F$28:$F$39,MATCH('Summarized Source Data'!$A969,'Category Mapping'!$A$28:$A$39,0),1),INDEX('Category Mapping'!$E$28:$E$39,MATCH($A969,'Category Mapping'!$A$28:$A$39,0),1))</f>
        <v>33275337.999999996</v>
      </c>
      <c r="N969" s="27">
        <f>N389*IF($E969="weekday",INDEX('Category Mapping'!$F$28:$F$39,MATCH('Summarized Source Data'!$A969,'Category Mapping'!$A$28:$A$39,0),1),INDEX('Category Mapping'!$E$28:$E$39,MATCH($A969,'Category Mapping'!$A$28:$A$39,0),1))</f>
        <v>0</v>
      </c>
      <c r="O969" s="27">
        <f>O389*IF($E969="weekday",INDEX('Category Mapping'!$F$28:$F$39,MATCH('Summarized Source Data'!$A969,'Category Mapping'!$A$28:$A$39,0),1),INDEX('Category Mapping'!$E$28:$E$39,MATCH($A969,'Category Mapping'!$A$28:$A$39,0),1))</f>
        <v>596995750.28571415</v>
      </c>
      <c r="P969" s="27">
        <f>P389*IF($E969="weekday",INDEX('Category Mapping'!$F$28:$F$39,MATCH('Summarized Source Data'!$A969,'Category Mapping'!$A$28:$A$39,0),1),INDEX('Category Mapping'!$E$28:$E$39,MATCH($A969,'Category Mapping'!$A$28:$A$39,0),1))</f>
        <v>596995750.28571415</v>
      </c>
      <c r="Q969" s="27">
        <f>Q389*IF($E969="weekday",INDEX('Category Mapping'!$F$28:$F$39,MATCH('Summarized Source Data'!$A969,'Category Mapping'!$A$28:$A$39,0),1),INDEX('Category Mapping'!$E$28:$E$39,MATCH($A969,'Category Mapping'!$A$28:$A$39,0),1))</f>
        <v>596995750.28571415</v>
      </c>
      <c r="R969" s="27">
        <f>R389*IF($E969="weekday",INDEX('Category Mapping'!$F$28:$F$39,MATCH('Summarized Source Data'!$A969,'Category Mapping'!$A$28:$A$39,0),1),INDEX('Category Mapping'!$E$28:$E$39,MATCH($A969,'Category Mapping'!$A$28:$A$39,0),1))</f>
        <v>20904991.714285713</v>
      </c>
      <c r="S969" s="27">
        <f>S389*IF($E969="weekday",INDEX('Category Mapping'!$F$28:$F$39,MATCH('Summarized Source Data'!$A969,'Category Mapping'!$A$28:$A$39,0),1),INDEX('Category Mapping'!$E$28:$E$39,MATCH($A969,'Category Mapping'!$A$28:$A$39,0),1))</f>
        <v>20904991.714285713</v>
      </c>
      <c r="T969" s="27">
        <f>T389*IF($E969="weekday",INDEX('Category Mapping'!$F$28:$F$39,MATCH('Summarized Source Data'!$A969,'Category Mapping'!$A$28:$A$39,0),1),INDEX('Category Mapping'!$E$28:$E$39,MATCH($A969,'Category Mapping'!$A$28:$A$39,0),1))</f>
        <v>20904991.714285713</v>
      </c>
      <c r="U969" s="27">
        <f>U389*IF($E969="weekday",INDEX('Category Mapping'!$F$28:$F$39,MATCH('Summarized Source Data'!$A969,'Category Mapping'!$A$28:$A$39,0),1),INDEX('Category Mapping'!$E$28:$E$39,MATCH($A969,'Category Mapping'!$A$28:$A$39,0),1))</f>
        <v>20904991.714285713</v>
      </c>
      <c r="V969" s="27">
        <f>V389*IF($E969="weekday",INDEX('Category Mapping'!$F$28:$F$39,MATCH('Summarized Source Data'!$A969,'Category Mapping'!$A$28:$A$39,0),1),INDEX('Category Mapping'!$E$28:$E$39,MATCH($A969,'Category Mapping'!$A$28:$A$39,0),1))</f>
        <v>20904991.714285713</v>
      </c>
      <c r="W969" s="27">
        <f>W389*IF($E969="weekday",INDEX('Category Mapping'!$F$28:$F$39,MATCH('Summarized Source Data'!$A969,'Category Mapping'!$A$28:$A$39,0),1),INDEX('Category Mapping'!$E$28:$E$39,MATCH($A969,'Category Mapping'!$A$28:$A$39,0),1))</f>
        <v>20904991.714285713</v>
      </c>
      <c r="X969" s="27">
        <f>X389*IF($E969="weekday",INDEX('Category Mapping'!$F$28:$F$39,MATCH('Summarized Source Data'!$A969,'Category Mapping'!$A$28:$A$39,0),1),INDEX('Category Mapping'!$E$28:$E$39,MATCH($A969,'Category Mapping'!$A$28:$A$39,0),1))</f>
        <v>2967142857.1428566</v>
      </c>
      <c r="Y969" s="27">
        <f>Y389*IF($E969="weekday",INDEX('Category Mapping'!$F$28:$F$39,MATCH('Summarized Source Data'!$A969,'Category Mapping'!$A$28:$A$39,0),1),INDEX('Category Mapping'!$E$28:$E$39,MATCH($A969,'Category Mapping'!$A$28:$A$39,0),1))</f>
        <v>2967142857.1428566</v>
      </c>
      <c r="Z969" s="27">
        <f>Z389*IF($E969="weekday",INDEX('Category Mapping'!$F$28:$F$39,MATCH('Summarized Source Data'!$A969,'Category Mapping'!$A$28:$A$39,0),1),INDEX('Category Mapping'!$E$28:$E$39,MATCH($A969,'Category Mapping'!$A$28:$A$39,0),1))</f>
        <v>2967142857.1428566</v>
      </c>
    </row>
    <row r="970" spans="1:26" x14ac:dyDescent="0.3">
      <c r="A970">
        <f t="shared" ref="A970:E970" si="435">A390</f>
        <v>5</v>
      </c>
      <c r="B970" t="str">
        <f t="shared" si="435"/>
        <v>Spring</v>
      </c>
      <c r="C970" t="str">
        <f t="shared" si="435"/>
        <v>h3</v>
      </c>
      <c r="D970" t="str">
        <f t="shared" si="435"/>
        <v>Hour2</v>
      </c>
      <c r="E970" t="str">
        <f t="shared" si="435"/>
        <v>Weekend</v>
      </c>
      <c r="F970" s="27">
        <f>F390*IF($E970="weekday",INDEX('Category Mapping'!$F$28:$F$39,MATCH('Summarized Source Data'!$A970,'Category Mapping'!$A$28:$A$39,0),1),INDEX('Category Mapping'!$E$28:$E$39,MATCH($A970,'Category Mapping'!$A$28:$A$39,0),1))</f>
        <v>6938473.1428571418</v>
      </c>
      <c r="G970" s="27">
        <f>G390*IF($E970="weekday",INDEX('Category Mapping'!$F$28:$F$39,MATCH('Summarized Source Data'!$A970,'Category Mapping'!$A$28:$A$39,0),1),INDEX('Category Mapping'!$E$28:$E$39,MATCH($A970,'Category Mapping'!$A$28:$A$39,0),1))</f>
        <v>16757.714285714283</v>
      </c>
      <c r="H970" s="27">
        <f>H390*IF($E970="weekday",INDEX('Category Mapping'!$F$28:$F$39,MATCH('Summarized Source Data'!$A970,'Category Mapping'!$A$28:$A$39,0),1),INDEX('Category Mapping'!$E$28:$E$39,MATCH($A970,'Category Mapping'!$A$28:$A$39,0),1))</f>
        <v>0</v>
      </c>
      <c r="I970" s="27">
        <f>I390*IF($E970="weekday",INDEX('Category Mapping'!$F$28:$F$39,MATCH('Summarized Source Data'!$A970,'Category Mapping'!$A$28:$A$39,0),1),INDEX('Category Mapping'!$E$28:$E$39,MATCH($A970,'Category Mapping'!$A$28:$A$39,0),1))</f>
        <v>43303953.142857134</v>
      </c>
      <c r="J970" s="27">
        <f>J390*IF($E970="weekday",INDEX('Category Mapping'!$F$28:$F$39,MATCH('Summarized Source Data'!$A970,'Category Mapping'!$A$28:$A$39,0),1),INDEX('Category Mapping'!$E$28:$E$39,MATCH($A970,'Category Mapping'!$A$28:$A$39,0),1))</f>
        <v>197740815.99999997</v>
      </c>
      <c r="K970" s="27">
        <f>K390*IF($E970="weekday",INDEX('Category Mapping'!$F$28:$F$39,MATCH('Summarized Source Data'!$A970,'Category Mapping'!$A$28:$A$39,0),1),INDEX('Category Mapping'!$E$28:$E$39,MATCH($A970,'Category Mapping'!$A$28:$A$39,0),1))</f>
        <v>197740815.99999997</v>
      </c>
      <c r="L970" s="27">
        <f>L390*IF($E970="weekday",INDEX('Category Mapping'!$F$28:$F$39,MATCH('Summarized Source Data'!$A970,'Category Mapping'!$A$28:$A$39,0),1),INDEX('Category Mapping'!$E$28:$E$39,MATCH($A970,'Category Mapping'!$A$28:$A$39,0),1))</f>
        <v>15689675.714285713</v>
      </c>
      <c r="M970" s="27">
        <f>M390*IF($E970="weekday",INDEX('Category Mapping'!$F$28:$F$39,MATCH('Summarized Source Data'!$A970,'Category Mapping'!$A$28:$A$39,0),1),INDEX('Category Mapping'!$E$28:$E$39,MATCH($A970,'Category Mapping'!$A$28:$A$39,0),1))</f>
        <v>32973557.428571425</v>
      </c>
      <c r="N970" s="27">
        <f>N390*IF($E970="weekday",INDEX('Category Mapping'!$F$28:$F$39,MATCH('Summarized Source Data'!$A970,'Category Mapping'!$A$28:$A$39,0),1),INDEX('Category Mapping'!$E$28:$E$39,MATCH($A970,'Category Mapping'!$A$28:$A$39,0),1))</f>
        <v>0</v>
      </c>
      <c r="O970" s="27">
        <f>O390*IF($E970="weekday",INDEX('Category Mapping'!$F$28:$F$39,MATCH('Summarized Source Data'!$A970,'Category Mapping'!$A$28:$A$39,0),1),INDEX('Category Mapping'!$E$28:$E$39,MATCH($A970,'Category Mapping'!$A$28:$A$39,0),1))</f>
        <v>589936766.85714281</v>
      </c>
      <c r="P970" s="27">
        <f>P390*IF($E970="weekday",INDEX('Category Mapping'!$F$28:$F$39,MATCH('Summarized Source Data'!$A970,'Category Mapping'!$A$28:$A$39,0),1),INDEX('Category Mapping'!$E$28:$E$39,MATCH($A970,'Category Mapping'!$A$28:$A$39,0),1))</f>
        <v>589936766.85714281</v>
      </c>
      <c r="Q970" s="27">
        <f>Q390*IF($E970="weekday",INDEX('Category Mapping'!$F$28:$F$39,MATCH('Summarized Source Data'!$A970,'Category Mapping'!$A$28:$A$39,0),1),INDEX('Category Mapping'!$E$28:$E$39,MATCH($A970,'Category Mapping'!$A$28:$A$39,0),1))</f>
        <v>589936766.85714281</v>
      </c>
      <c r="R970" s="27">
        <f>R390*IF($E970="weekday",INDEX('Category Mapping'!$F$28:$F$39,MATCH('Summarized Source Data'!$A970,'Category Mapping'!$A$28:$A$39,0),1),INDEX('Category Mapping'!$E$28:$E$39,MATCH($A970,'Category Mapping'!$A$28:$A$39,0),1))</f>
        <v>20593822.571428567</v>
      </c>
      <c r="S970" s="27">
        <f>S390*IF($E970="weekday",INDEX('Category Mapping'!$F$28:$F$39,MATCH('Summarized Source Data'!$A970,'Category Mapping'!$A$28:$A$39,0),1),INDEX('Category Mapping'!$E$28:$E$39,MATCH($A970,'Category Mapping'!$A$28:$A$39,0),1))</f>
        <v>20593822.571428567</v>
      </c>
      <c r="T970" s="27">
        <f>T390*IF($E970="weekday",INDEX('Category Mapping'!$F$28:$F$39,MATCH('Summarized Source Data'!$A970,'Category Mapping'!$A$28:$A$39,0),1),INDEX('Category Mapping'!$E$28:$E$39,MATCH($A970,'Category Mapping'!$A$28:$A$39,0),1))</f>
        <v>20593822.571428567</v>
      </c>
      <c r="U970" s="27">
        <f>U390*IF($E970="weekday",INDEX('Category Mapping'!$F$28:$F$39,MATCH('Summarized Source Data'!$A970,'Category Mapping'!$A$28:$A$39,0),1),INDEX('Category Mapping'!$E$28:$E$39,MATCH($A970,'Category Mapping'!$A$28:$A$39,0),1))</f>
        <v>20593822.571428567</v>
      </c>
      <c r="V970" s="27">
        <f>V390*IF($E970="weekday",INDEX('Category Mapping'!$F$28:$F$39,MATCH('Summarized Source Data'!$A970,'Category Mapping'!$A$28:$A$39,0),1),INDEX('Category Mapping'!$E$28:$E$39,MATCH($A970,'Category Mapping'!$A$28:$A$39,0),1))</f>
        <v>20593822.571428567</v>
      </c>
      <c r="W970" s="27">
        <f>W390*IF($E970="weekday",INDEX('Category Mapping'!$F$28:$F$39,MATCH('Summarized Source Data'!$A970,'Category Mapping'!$A$28:$A$39,0),1),INDEX('Category Mapping'!$E$28:$E$39,MATCH($A970,'Category Mapping'!$A$28:$A$39,0),1))</f>
        <v>20593822.571428567</v>
      </c>
      <c r="X970" s="27">
        <f>X390*IF($E970="weekday",INDEX('Category Mapping'!$F$28:$F$39,MATCH('Summarized Source Data'!$A970,'Category Mapping'!$A$28:$A$39,0),1),INDEX('Category Mapping'!$E$28:$E$39,MATCH($A970,'Category Mapping'!$A$28:$A$39,0),1))</f>
        <v>2967142857.1428566</v>
      </c>
      <c r="Y970" s="27">
        <f>Y390*IF($E970="weekday",INDEX('Category Mapping'!$F$28:$F$39,MATCH('Summarized Source Data'!$A970,'Category Mapping'!$A$28:$A$39,0),1),INDEX('Category Mapping'!$E$28:$E$39,MATCH($A970,'Category Mapping'!$A$28:$A$39,0),1))</f>
        <v>2967142857.1428566</v>
      </c>
      <c r="Z970" s="27">
        <f>Z390*IF($E970="weekday",INDEX('Category Mapping'!$F$28:$F$39,MATCH('Summarized Source Data'!$A970,'Category Mapping'!$A$28:$A$39,0),1),INDEX('Category Mapping'!$E$28:$E$39,MATCH($A970,'Category Mapping'!$A$28:$A$39,0),1))</f>
        <v>2967142857.1428566</v>
      </c>
    </row>
    <row r="971" spans="1:26" x14ac:dyDescent="0.3">
      <c r="A971">
        <f t="shared" ref="A971:E971" si="436">A391</f>
        <v>5</v>
      </c>
      <c r="B971" t="str">
        <f t="shared" si="436"/>
        <v>Spring</v>
      </c>
      <c r="C971" t="str">
        <f t="shared" si="436"/>
        <v>h4</v>
      </c>
      <c r="D971" t="str">
        <f t="shared" si="436"/>
        <v>Hour3</v>
      </c>
      <c r="E971" t="str">
        <f t="shared" si="436"/>
        <v>Weekend</v>
      </c>
      <c r="F971" s="27">
        <f>F391*IF($E971="weekday",INDEX('Category Mapping'!$F$28:$F$39,MATCH('Summarized Source Data'!$A971,'Category Mapping'!$A$28:$A$39,0),1),INDEX('Category Mapping'!$E$28:$E$39,MATCH($A971,'Category Mapping'!$A$28:$A$39,0),1))</f>
        <v>6938473.1428571418</v>
      </c>
      <c r="G971" s="27">
        <f>G391*IF($E971="weekday",INDEX('Category Mapping'!$F$28:$F$39,MATCH('Summarized Source Data'!$A971,'Category Mapping'!$A$28:$A$39,0),1),INDEX('Category Mapping'!$E$28:$E$39,MATCH($A971,'Category Mapping'!$A$28:$A$39,0),1))</f>
        <v>16793.142857142855</v>
      </c>
      <c r="H971" s="27">
        <f>H391*IF($E971="weekday",INDEX('Category Mapping'!$F$28:$F$39,MATCH('Summarized Source Data'!$A971,'Category Mapping'!$A$28:$A$39,0),1),INDEX('Category Mapping'!$E$28:$E$39,MATCH($A971,'Category Mapping'!$A$28:$A$39,0),1))</f>
        <v>0</v>
      </c>
      <c r="I971" s="27">
        <f>I391*IF($E971="weekday",INDEX('Category Mapping'!$F$28:$F$39,MATCH('Summarized Source Data'!$A971,'Category Mapping'!$A$28:$A$39,0),1),INDEX('Category Mapping'!$E$28:$E$39,MATCH($A971,'Category Mapping'!$A$28:$A$39,0),1))</f>
        <v>43267399.714285709</v>
      </c>
      <c r="J971" s="27">
        <f>J391*IF($E971="weekday",INDEX('Category Mapping'!$F$28:$F$39,MATCH('Summarized Source Data'!$A971,'Category Mapping'!$A$28:$A$39,0),1),INDEX('Category Mapping'!$E$28:$E$39,MATCH($A971,'Category Mapping'!$A$28:$A$39,0),1))</f>
        <v>163234476.85714284</v>
      </c>
      <c r="K971" s="27">
        <f>K391*IF($E971="weekday",INDEX('Category Mapping'!$F$28:$F$39,MATCH('Summarized Source Data'!$A971,'Category Mapping'!$A$28:$A$39,0),1),INDEX('Category Mapping'!$E$28:$E$39,MATCH($A971,'Category Mapping'!$A$28:$A$39,0),1))</f>
        <v>163234476.85714284</v>
      </c>
      <c r="L971" s="27">
        <f>L391*IF($E971="weekday",INDEX('Category Mapping'!$F$28:$F$39,MATCH('Summarized Source Data'!$A971,'Category Mapping'!$A$28:$A$39,0),1),INDEX('Category Mapping'!$E$28:$E$39,MATCH($A971,'Category Mapping'!$A$28:$A$39,0),1))</f>
        <v>15951882.571428569</v>
      </c>
      <c r="M971" s="27">
        <f>M391*IF($E971="weekday",INDEX('Category Mapping'!$F$28:$F$39,MATCH('Summarized Source Data'!$A971,'Category Mapping'!$A$28:$A$39,0),1),INDEX('Category Mapping'!$E$28:$E$39,MATCH($A971,'Category Mapping'!$A$28:$A$39,0),1))</f>
        <v>32803323.142857138</v>
      </c>
      <c r="N971" s="27">
        <f>N391*IF($E971="weekday",INDEX('Category Mapping'!$F$28:$F$39,MATCH('Summarized Source Data'!$A971,'Category Mapping'!$A$28:$A$39,0),1),INDEX('Category Mapping'!$E$28:$E$39,MATCH($A971,'Category Mapping'!$A$28:$A$39,0),1))</f>
        <v>0</v>
      </c>
      <c r="O971" s="27">
        <f>O391*IF($E971="weekday",INDEX('Category Mapping'!$F$28:$F$39,MATCH('Summarized Source Data'!$A971,'Category Mapping'!$A$28:$A$39,0),1),INDEX('Category Mapping'!$E$28:$E$39,MATCH($A971,'Category Mapping'!$A$28:$A$39,0),1))</f>
        <v>595159079.99999988</v>
      </c>
      <c r="P971" s="27">
        <f>P391*IF($E971="weekday",INDEX('Category Mapping'!$F$28:$F$39,MATCH('Summarized Source Data'!$A971,'Category Mapping'!$A$28:$A$39,0),1),INDEX('Category Mapping'!$E$28:$E$39,MATCH($A971,'Category Mapping'!$A$28:$A$39,0),1))</f>
        <v>595159079.99999988</v>
      </c>
      <c r="Q971" s="27">
        <f>Q391*IF($E971="weekday",INDEX('Category Mapping'!$F$28:$F$39,MATCH('Summarized Source Data'!$A971,'Category Mapping'!$A$28:$A$39,0),1),INDEX('Category Mapping'!$E$28:$E$39,MATCH($A971,'Category Mapping'!$A$28:$A$39,0),1))</f>
        <v>595159079.99999988</v>
      </c>
      <c r="R971" s="27">
        <f>R391*IF($E971="weekday",INDEX('Category Mapping'!$F$28:$F$39,MATCH('Summarized Source Data'!$A971,'Category Mapping'!$A$28:$A$39,0),1),INDEX('Category Mapping'!$E$28:$E$39,MATCH($A971,'Category Mapping'!$A$28:$A$39,0),1))</f>
        <v>20593822.571428567</v>
      </c>
      <c r="S971" s="27">
        <f>S391*IF($E971="weekday",INDEX('Category Mapping'!$F$28:$F$39,MATCH('Summarized Source Data'!$A971,'Category Mapping'!$A$28:$A$39,0),1),INDEX('Category Mapping'!$E$28:$E$39,MATCH($A971,'Category Mapping'!$A$28:$A$39,0),1))</f>
        <v>20593822.571428567</v>
      </c>
      <c r="T971" s="27">
        <f>T391*IF($E971="weekday",INDEX('Category Mapping'!$F$28:$F$39,MATCH('Summarized Source Data'!$A971,'Category Mapping'!$A$28:$A$39,0),1),INDEX('Category Mapping'!$E$28:$E$39,MATCH($A971,'Category Mapping'!$A$28:$A$39,0),1))</f>
        <v>20593822.571428567</v>
      </c>
      <c r="U971" s="27">
        <f>U391*IF($E971="weekday",INDEX('Category Mapping'!$F$28:$F$39,MATCH('Summarized Source Data'!$A971,'Category Mapping'!$A$28:$A$39,0),1),INDEX('Category Mapping'!$E$28:$E$39,MATCH($A971,'Category Mapping'!$A$28:$A$39,0),1))</f>
        <v>20593822.571428567</v>
      </c>
      <c r="V971" s="27">
        <f>V391*IF($E971="weekday",INDEX('Category Mapping'!$F$28:$F$39,MATCH('Summarized Source Data'!$A971,'Category Mapping'!$A$28:$A$39,0),1),INDEX('Category Mapping'!$E$28:$E$39,MATCH($A971,'Category Mapping'!$A$28:$A$39,0),1))</f>
        <v>20593822.571428567</v>
      </c>
      <c r="W971" s="27">
        <f>W391*IF($E971="weekday",INDEX('Category Mapping'!$F$28:$F$39,MATCH('Summarized Source Data'!$A971,'Category Mapping'!$A$28:$A$39,0),1),INDEX('Category Mapping'!$E$28:$E$39,MATCH($A971,'Category Mapping'!$A$28:$A$39,0),1))</f>
        <v>20593822.571428567</v>
      </c>
      <c r="X971" s="27">
        <f>X391*IF($E971="weekday",INDEX('Category Mapping'!$F$28:$F$39,MATCH('Summarized Source Data'!$A971,'Category Mapping'!$A$28:$A$39,0),1),INDEX('Category Mapping'!$E$28:$E$39,MATCH($A971,'Category Mapping'!$A$28:$A$39,0),1))</f>
        <v>2967142857.1428566</v>
      </c>
      <c r="Y971" s="27">
        <f>Y391*IF($E971="weekday",INDEX('Category Mapping'!$F$28:$F$39,MATCH('Summarized Source Data'!$A971,'Category Mapping'!$A$28:$A$39,0),1),INDEX('Category Mapping'!$E$28:$E$39,MATCH($A971,'Category Mapping'!$A$28:$A$39,0),1))</f>
        <v>2967142857.1428566</v>
      </c>
      <c r="Z971" s="27">
        <f>Z391*IF($E971="weekday",INDEX('Category Mapping'!$F$28:$F$39,MATCH('Summarized Source Data'!$A971,'Category Mapping'!$A$28:$A$39,0),1),INDEX('Category Mapping'!$E$28:$E$39,MATCH($A971,'Category Mapping'!$A$28:$A$39,0),1))</f>
        <v>2967142857.1428566</v>
      </c>
    </row>
    <row r="972" spans="1:26" x14ac:dyDescent="0.3">
      <c r="A972">
        <f t="shared" ref="A972:E972" si="437">A392</f>
        <v>5</v>
      </c>
      <c r="B972" t="str">
        <f t="shared" si="437"/>
        <v>Spring</v>
      </c>
      <c r="C972" t="str">
        <f t="shared" si="437"/>
        <v>h5</v>
      </c>
      <c r="D972" t="str">
        <f t="shared" si="437"/>
        <v>Hour4</v>
      </c>
      <c r="E972" t="str">
        <f t="shared" si="437"/>
        <v>Weekend</v>
      </c>
      <c r="F972" s="27">
        <f>F392*IF($E972="weekday",INDEX('Category Mapping'!$F$28:$F$39,MATCH('Summarized Source Data'!$A972,'Category Mapping'!$A$28:$A$39,0),1),INDEX('Category Mapping'!$E$28:$E$39,MATCH($A972,'Category Mapping'!$A$28:$A$39,0),1))</f>
        <v>6938473.1428571418</v>
      </c>
      <c r="G972" s="27">
        <f>G392*IF($E972="weekday",INDEX('Category Mapping'!$F$28:$F$39,MATCH('Summarized Source Data'!$A972,'Category Mapping'!$A$28:$A$39,0),1),INDEX('Category Mapping'!$E$28:$E$39,MATCH($A972,'Category Mapping'!$A$28:$A$39,0),1))</f>
        <v>16739.999999999996</v>
      </c>
      <c r="H972" s="27">
        <f>H392*IF($E972="weekday",INDEX('Category Mapping'!$F$28:$F$39,MATCH('Summarized Source Data'!$A972,'Category Mapping'!$A$28:$A$39,0),1),INDEX('Category Mapping'!$E$28:$E$39,MATCH($A972,'Category Mapping'!$A$28:$A$39,0),1))</f>
        <v>0</v>
      </c>
      <c r="I972" s="27">
        <f>I392*IF($E972="weekday",INDEX('Category Mapping'!$F$28:$F$39,MATCH('Summarized Source Data'!$A972,'Category Mapping'!$A$28:$A$39,0),1),INDEX('Category Mapping'!$E$28:$E$39,MATCH($A972,'Category Mapping'!$A$28:$A$39,0),1))</f>
        <v>45543091.999999993</v>
      </c>
      <c r="J972" s="27">
        <f>J392*IF($E972="weekday",INDEX('Category Mapping'!$F$28:$F$39,MATCH('Summarized Source Data'!$A972,'Category Mapping'!$A$28:$A$39,0),1),INDEX('Category Mapping'!$E$28:$E$39,MATCH($A972,'Category Mapping'!$A$28:$A$39,0),1))</f>
        <v>166273123.4285714</v>
      </c>
      <c r="K972" s="27">
        <f>K392*IF($E972="weekday",INDEX('Category Mapping'!$F$28:$F$39,MATCH('Summarized Source Data'!$A972,'Category Mapping'!$A$28:$A$39,0),1),INDEX('Category Mapping'!$E$28:$E$39,MATCH($A972,'Category Mapping'!$A$28:$A$39,0),1))</f>
        <v>166273123.4285714</v>
      </c>
      <c r="L972" s="27">
        <f>L392*IF($E972="weekday",INDEX('Category Mapping'!$F$28:$F$39,MATCH('Summarized Source Data'!$A972,'Category Mapping'!$A$28:$A$39,0),1),INDEX('Category Mapping'!$E$28:$E$39,MATCH($A972,'Category Mapping'!$A$28:$A$39,0),1))</f>
        <v>15793915.428571425</v>
      </c>
      <c r="M972" s="27">
        <f>M392*IF($E972="weekday",INDEX('Category Mapping'!$F$28:$F$39,MATCH('Summarized Source Data'!$A972,'Category Mapping'!$A$28:$A$39,0),1),INDEX('Category Mapping'!$E$28:$E$39,MATCH($A972,'Category Mapping'!$A$28:$A$39,0),1))</f>
        <v>32766672.28571428</v>
      </c>
      <c r="N972" s="27">
        <f>N392*IF($E972="weekday",INDEX('Category Mapping'!$F$28:$F$39,MATCH('Summarized Source Data'!$A972,'Category Mapping'!$A$28:$A$39,0),1),INDEX('Category Mapping'!$E$28:$E$39,MATCH($A972,'Category Mapping'!$A$28:$A$39,0),1))</f>
        <v>0</v>
      </c>
      <c r="O972" s="27">
        <f>O392*IF($E972="weekday",INDEX('Category Mapping'!$F$28:$F$39,MATCH('Summarized Source Data'!$A972,'Category Mapping'!$A$28:$A$39,0),1),INDEX('Category Mapping'!$E$28:$E$39,MATCH($A972,'Category Mapping'!$A$28:$A$39,0),1))</f>
        <v>603325126.57142854</v>
      </c>
      <c r="P972" s="27">
        <f>P392*IF($E972="weekday",INDEX('Category Mapping'!$F$28:$F$39,MATCH('Summarized Source Data'!$A972,'Category Mapping'!$A$28:$A$39,0),1),INDEX('Category Mapping'!$E$28:$E$39,MATCH($A972,'Category Mapping'!$A$28:$A$39,0),1))</f>
        <v>603325126.57142854</v>
      </c>
      <c r="Q972" s="27">
        <f>Q392*IF($E972="weekday",INDEX('Category Mapping'!$F$28:$F$39,MATCH('Summarized Source Data'!$A972,'Category Mapping'!$A$28:$A$39,0),1),INDEX('Category Mapping'!$E$28:$E$39,MATCH($A972,'Category Mapping'!$A$28:$A$39,0),1))</f>
        <v>603325126.57142854</v>
      </c>
      <c r="R972" s="27">
        <f>R392*IF($E972="weekday",INDEX('Category Mapping'!$F$28:$F$39,MATCH('Summarized Source Data'!$A972,'Category Mapping'!$A$28:$A$39,0),1),INDEX('Category Mapping'!$E$28:$E$39,MATCH($A972,'Category Mapping'!$A$28:$A$39,0),1))</f>
        <v>20490096.571428567</v>
      </c>
      <c r="S972" s="27">
        <f>S392*IF($E972="weekday",INDEX('Category Mapping'!$F$28:$F$39,MATCH('Summarized Source Data'!$A972,'Category Mapping'!$A$28:$A$39,0),1),INDEX('Category Mapping'!$E$28:$E$39,MATCH($A972,'Category Mapping'!$A$28:$A$39,0),1))</f>
        <v>20490096.571428567</v>
      </c>
      <c r="T972" s="27">
        <f>T392*IF($E972="weekday",INDEX('Category Mapping'!$F$28:$F$39,MATCH('Summarized Source Data'!$A972,'Category Mapping'!$A$28:$A$39,0),1),INDEX('Category Mapping'!$E$28:$E$39,MATCH($A972,'Category Mapping'!$A$28:$A$39,0),1))</f>
        <v>20490096.571428567</v>
      </c>
      <c r="U972" s="27">
        <f>U392*IF($E972="weekday",INDEX('Category Mapping'!$F$28:$F$39,MATCH('Summarized Source Data'!$A972,'Category Mapping'!$A$28:$A$39,0),1),INDEX('Category Mapping'!$E$28:$E$39,MATCH($A972,'Category Mapping'!$A$28:$A$39,0),1))</f>
        <v>20490096.571428567</v>
      </c>
      <c r="V972" s="27">
        <f>V392*IF($E972="weekday",INDEX('Category Mapping'!$F$28:$F$39,MATCH('Summarized Source Data'!$A972,'Category Mapping'!$A$28:$A$39,0),1),INDEX('Category Mapping'!$E$28:$E$39,MATCH($A972,'Category Mapping'!$A$28:$A$39,0),1))</f>
        <v>20490096.571428567</v>
      </c>
      <c r="W972" s="27">
        <f>W392*IF($E972="weekday",INDEX('Category Mapping'!$F$28:$F$39,MATCH('Summarized Source Data'!$A972,'Category Mapping'!$A$28:$A$39,0),1),INDEX('Category Mapping'!$E$28:$E$39,MATCH($A972,'Category Mapping'!$A$28:$A$39,0),1))</f>
        <v>20490096.571428567</v>
      </c>
      <c r="X972" s="27">
        <f>X392*IF($E972="weekday",INDEX('Category Mapping'!$F$28:$F$39,MATCH('Summarized Source Data'!$A972,'Category Mapping'!$A$28:$A$39,0),1),INDEX('Category Mapping'!$E$28:$E$39,MATCH($A972,'Category Mapping'!$A$28:$A$39,0),1))</f>
        <v>2993714285.7142854</v>
      </c>
      <c r="Y972" s="27">
        <f>Y392*IF($E972="weekday",INDEX('Category Mapping'!$F$28:$F$39,MATCH('Summarized Source Data'!$A972,'Category Mapping'!$A$28:$A$39,0),1),INDEX('Category Mapping'!$E$28:$E$39,MATCH($A972,'Category Mapping'!$A$28:$A$39,0),1))</f>
        <v>2993714285.7142854</v>
      </c>
      <c r="Z972" s="27">
        <f>Z392*IF($E972="weekday",INDEX('Category Mapping'!$F$28:$F$39,MATCH('Summarized Source Data'!$A972,'Category Mapping'!$A$28:$A$39,0),1),INDEX('Category Mapping'!$E$28:$E$39,MATCH($A972,'Category Mapping'!$A$28:$A$39,0),1))</f>
        <v>2993714285.7142854</v>
      </c>
    </row>
    <row r="973" spans="1:26" x14ac:dyDescent="0.3">
      <c r="A973">
        <f t="shared" ref="A973:E973" si="438">A393</f>
        <v>5</v>
      </c>
      <c r="B973" t="str">
        <f t="shared" si="438"/>
        <v>Spring</v>
      </c>
      <c r="C973" t="str">
        <f t="shared" si="438"/>
        <v>h6</v>
      </c>
      <c r="D973" t="str">
        <f t="shared" si="438"/>
        <v>Hour5</v>
      </c>
      <c r="E973" t="str">
        <f t="shared" si="438"/>
        <v>Weekend</v>
      </c>
      <c r="F973" s="27">
        <f>F393*IF($E973="weekday",INDEX('Category Mapping'!$F$28:$F$39,MATCH('Summarized Source Data'!$A973,'Category Mapping'!$A$28:$A$39,0),1),INDEX('Category Mapping'!$E$28:$E$39,MATCH($A973,'Category Mapping'!$A$28:$A$39,0),1))</f>
        <v>9169365.9999999981</v>
      </c>
      <c r="G973" s="27">
        <f>G393*IF($E973="weekday",INDEX('Category Mapping'!$F$28:$F$39,MATCH('Summarized Source Data'!$A973,'Category Mapping'!$A$28:$A$39,0),1),INDEX('Category Mapping'!$E$28:$E$39,MATCH($A973,'Category Mapping'!$A$28:$A$39,0),1))</f>
        <v>16438.857142857141</v>
      </c>
      <c r="H973" s="27">
        <f>H393*IF($E973="weekday",INDEX('Category Mapping'!$F$28:$F$39,MATCH('Summarized Source Data'!$A973,'Category Mapping'!$A$28:$A$39,0),1),INDEX('Category Mapping'!$E$28:$E$39,MATCH($A973,'Category Mapping'!$A$28:$A$39,0),1))</f>
        <v>0</v>
      </c>
      <c r="I973" s="27">
        <f>I393*IF($E973="weekday",INDEX('Category Mapping'!$F$28:$F$39,MATCH('Summarized Source Data'!$A973,'Category Mapping'!$A$28:$A$39,0),1),INDEX('Category Mapping'!$E$28:$E$39,MATCH($A973,'Category Mapping'!$A$28:$A$39,0),1))</f>
        <v>54785467.428571418</v>
      </c>
      <c r="J973" s="27">
        <f>J393*IF($E973="weekday",INDEX('Category Mapping'!$F$28:$F$39,MATCH('Summarized Source Data'!$A973,'Category Mapping'!$A$28:$A$39,0),1),INDEX('Category Mapping'!$E$28:$E$39,MATCH($A973,'Category Mapping'!$A$28:$A$39,0),1))</f>
        <v>192000156.28571427</v>
      </c>
      <c r="K973" s="27">
        <f>K393*IF($E973="weekday",INDEX('Category Mapping'!$F$28:$F$39,MATCH('Summarized Source Data'!$A973,'Category Mapping'!$A$28:$A$39,0),1),INDEX('Category Mapping'!$E$28:$E$39,MATCH($A973,'Category Mapping'!$A$28:$A$39,0),1))</f>
        <v>192000156.28571427</v>
      </c>
      <c r="L973" s="27">
        <f>L393*IF($E973="weekday",INDEX('Category Mapping'!$F$28:$F$39,MATCH('Summarized Source Data'!$A973,'Category Mapping'!$A$28:$A$39,0),1),INDEX('Category Mapping'!$E$28:$E$39,MATCH($A973,'Category Mapping'!$A$28:$A$39,0),1))</f>
        <v>17842413.142857142</v>
      </c>
      <c r="M973" s="27">
        <f>M393*IF($E973="weekday",INDEX('Category Mapping'!$F$28:$F$39,MATCH('Summarized Source Data'!$A973,'Category Mapping'!$A$28:$A$39,0),1),INDEX('Category Mapping'!$E$28:$E$39,MATCH($A973,'Category Mapping'!$A$28:$A$39,0),1))</f>
        <v>33124350.28571428</v>
      </c>
      <c r="N973" s="27">
        <f>N393*IF($E973="weekday",INDEX('Category Mapping'!$F$28:$F$39,MATCH('Summarized Source Data'!$A973,'Category Mapping'!$A$28:$A$39,0),1),INDEX('Category Mapping'!$E$28:$E$39,MATCH($A973,'Category Mapping'!$A$28:$A$39,0),1))</f>
        <v>0</v>
      </c>
      <c r="O973" s="27">
        <f>O393*IF($E973="weekday",INDEX('Category Mapping'!$F$28:$F$39,MATCH('Summarized Source Data'!$A973,'Category Mapping'!$A$28:$A$39,0),1),INDEX('Category Mapping'!$E$28:$E$39,MATCH($A973,'Category Mapping'!$A$28:$A$39,0),1))</f>
        <v>644318950.85714281</v>
      </c>
      <c r="P973" s="27">
        <f>P393*IF($E973="weekday",INDEX('Category Mapping'!$F$28:$F$39,MATCH('Summarized Source Data'!$A973,'Category Mapping'!$A$28:$A$39,0),1),INDEX('Category Mapping'!$E$28:$E$39,MATCH($A973,'Category Mapping'!$A$28:$A$39,0),1))</f>
        <v>644318950.85714281</v>
      </c>
      <c r="Q973" s="27">
        <f>Q393*IF($E973="weekday",INDEX('Category Mapping'!$F$28:$F$39,MATCH('Summarized Source Data'!$A973,'Category Mapping'!$A$28:$A$39,0),1),INDEX('Category Mapping'!$E$28:$E$39,MATCH($A973,'Category Mapping'!$A$28:$A$39,0),1))</f>
        <v>644318950.85714281</v>
      </c>
      <c r="R973" s="27">
        <f>R393*IF($E973="weekday",INDEX('Category Mapping'!$F$28:$F$39,MATCH('Summarized Source Data'!$A973,'Category Mapping'!$A$28:$A$39,0),1),INDEX('Category Mapping'!$E$28:$E$39,MATCH($A973,'Category Mapping'!$A$28:$A$39,0),1))</f>
        <v>20645681.142857138</v>
      </c>
      <c r="S973" s="27">
        <f>S393*IF($E973="weekday",INDEX('Category Mapping'!$F$28:$F$39,MATCH('Summarized Source Data'!$A973,'Category Mapping'!$A$28:$A$39,0),1),INDEX('Category Mapping'!$E$28:$E$39,MATCH($A973,'Category Mapping'!$A$28:$A$39,0),1))</f>
        <v>20645681.142857138</v>
      </c>
      <c r="T973" s="27">
        <f>T393*IF($E973="weekday",INDEX('Category Mapping'!$F$28:$F$39,MATCH('Summarized Source Data'!$A973,'Category Mapping'!$A$28:$A$39,0),1),INDEX('Category Mapping'!$E$28:$E$39,MATCH($A973,'Category Mapping'!$A$28:$A$39,0),1))</f>
        <v>20645681.142857138</v>
      </c>
      <c r="U973" s="27">
        <f>U393*IF($E973="weekday",INDEX('Category Mapping'!$F$28:$F$39,MATCH('Summarized Source Data'!$A973,'Category Mapping'!$A$28:$A$39,0),1),INDEX('Category Mapping'!$E$28:$E$39,MATCH($A973,'Category Mapping'!$A$28:$A$39,0),1))</f>
        <v>20645681.142857138</v>
      </c>
      <c r="V973" s="27">
        <f>V393*IF($E973="weekday",INDEX('Category Mapping'!$F$28:$F$39,MATCH('Summarized Source Data'!$A973,'Category Mapping'!$A$28:$A$39,0),1),INDEX('Category Mapping'!$E$28:$E$39,MATCH($A973,'Category Mapping'!$A$28:$A$39,0),1))</f>
        <v>20645681.142857138</v>
      </c>
      <c r="W973" s="27">
        <f>W393*IF($E973="weekday",INDEX('Category Mapping'!$F$28:$F$39,MATCH('Summarized Source Data'!$A973,'Category Mapping'!$A$28:$A$39,0),1),INDEX('Category Mapping'!$E$28:$E$39,MATCH($A973,'Category Mapping'!$A$28:$A$39,0),1))</f>
        <v>20645681.142857138</v>
      </c>
      <c r="X973" s="27">
        <f>X393*IF($E973="weekday",INDEX('Category Mapping'!$F$28:$F$39,MATCH('Summarized Source Data'!$A973,'Category Mapping'!$A$28:$A$39,0),1),INDEX('Category Mapping'!$E$28:$E$39,MATCH($A973,'Category Mapping'!$A$28:$A$39,0),1))</f>
        <v>3020285714.2857137</v>
      </c>
      <c r="Y973" s="27">
        <f>Y393*IF($E973="weekday",INDEX('Category Mapping'!$F$28:$F$39,MATCH('Summarized Source Data'!$A973,'Category Mapping'!$A$28:$A$39,0),1),INDEX('Category Mapping'!$E$28:$E$39,MATCH($A973,'Category Mapping'!$A$28:$A$39,0),1))</f>
        <v>3020285714.2857137</v>
      </c>
      <c r="Z973" s="27">
        <f>Z393*IF($E973="weekday",INDEX('Category Mapping'!$F$28:$F$39,MATCH('Summarized Source Data'!$A973,'Category Mapping'!$A$28:$A$39,0),1),INDEX('Category Mapping'!$E$28:$E$39,MATCH($A973,'Category Mapping'!$A$28:$A$39,0),1))</f>
        <v>3020285714.2857137</v>
      </c>
    </row>
    <row r="974" spans="1:26" x14ac:dyDescent="0.3">
      <c r="A974">
        <f t="shared" ref="A974:E974" si="439">A394</f>
        <v>5</v>
      </c>
      <c r="B974" t="str">
        <f t="shared" si="439"/>
        <v>Spring</v>
      </c>
      <c r="C974" t="str">
        <f t="shared" si="439"/>
        <v>h7</v>
      </c>
      <c r="D974" t="str">
        <f t="shared" si="439"/>
        <v>Hour6</v>
      </c>
      <c r="E974" t="str">
        <f t="shared" si="439"/>
        <v>Weekend</v>
      </c>
      <c r="F974" s="27">
        <f>F394*IF($E974="weekday",INDEX('Category Mapping'!$F$28:$F$39,MATCH('Summarized Source Data'!$A974,'Category Mapping'!$A$28:$A$39,0),1),INDEX('Category Mapping'!$E$28:$E$39,MATCH($A974,'Category Mapping'!$A$28:$A$39,0),1))</f>
        <v>10474554.571428569</v>
      </c>
      <c r="G974" s="27">
        <f>G394*IF($E974="weekday",INDEX('Category Mapping'!$F$28:$F$39,MATCH('Summarized Source Data'!$A974,'Category Mapping'!$A$28:$A$39,0),1),INDEX('Category Mapping'!$E$28:$E$39,MATCH($A974,'Category Mapping'!$A$28:$A$39,0),1))</f>
        <v>15774.571428571426</v>
      </c>
      <c r="H974" s="27">
        <f>H394*IF($E974="weekday",INDEX('Category Mapping'!$F$28:$F$39,MATCH('Summarized Source Data'!$A974,'Category Mapping'!$A$28:$A$39,0),1),INDEX('Category Mapping'!$E$28:$E$39,MATCH($A974,'Category Mapping'!$A$28:$A$39,0),1))</f>
        <v>0</v>
      </c>
      <c r="I974" s="27">
        <f>I394*IF($E974="weekday",INDEX('Category Mapping'!$F$28:$F$39,MATCH('Summarized Source Data'!$A974,'Category Mapping'!$A$28:$A$39,0),1),INDEX('Category Mapping'!$E$28:$E$39,MATCH($A974,'Category Mapping'!$A$28:$A$39,0),1))</f>
        <v>35523785.714285709</v>
      </c>
      <c r="J974" s="27">
        <f>J394*IF($E974="weekday",INDEX('Category Mapping'!$F$28:$F$39,MATCH('Summarized Source Data'!$A974,'Category Mapping'!$A$28:$A$39,0),1),INDEX('Category Mapping'!$E$28:$E$39,MATCH($A974,'Category Mapping'!$A$28:$A$39,0),1))</f>
        <v>280814456.57142854</v>
      </c>
      <c r="K974" s="27">
        <f>K394*IF($E974="weekday",INDEX('Category Mapping'!$F$28:$F$39,MATCH('Summarized Source Data'!$A974,'Category Mapping'!$A$28:$A$39,0),1),INDEX('Category Mapping'!$E$28:$E$39,MATCH($A974,'Category Mapping'!$A$28:$A$39,0),1))</f>
        <v>280814456.57142854</v>
      </c>
      <c r="L974" s="27">
        <f>L394*IF($E974="weekday",INDEX('Category Mapping'!$F$28:$F$39,MATCH('Summarized Source Data'!$A974,'Category Mapping'!$A$28:$A$39,0),1),INDEX('Category Mapping'!$E$28:$E$39,MATCH($A974,'Category Mapping'!$A$28:$A$39,0),1))</f>
        <v>27624356.857142854</v>
      </c>
      <c r="M974" s="27">
        <f>M394*IF($E974="weekday",INDEX('Category Mapping'!$F$28:$F$39,MATCH('Summarized Source Data'!$A974,'Category Mapping'!$A$28:$A$39,0),1),INDEX('Category Mapping'!$E$28:$E$39,MATCH($A974,'Category Mapping'!$A$28:$A$39,0),1))</f>
        <v>34403640.571428567</v>
      </c>
      <c r="N974" s="27">
        <f>N394*IF($E974="weekday",INDEX('Category Mapping'!$F$28:$F$39,MATCH('Summarized Source Data'!$A974,'Category Mapping'!$A$28:$A$39,0),1),INDEX('Category Mapping'!$E$28:$E$39,MATCH($A974,'Category Mapping'!$A$28:$A$39,0),1))</f>
        <v>0</v>
      </c>
      <c r="O974" s="27">
        <f>O394*IF($E974="weekday",INDEX('Category Mapping'!$F$28:$F$39,MATCH('Summarized Source Data'!$A974,'Category Mapping'!$A$28:$A$39,0),1),INDEX('Category Mapping'!$E$28:$E$39,MATCH($A974,'Category Mapping'!$A$28:$A$39,0),1))</f>
        <v>719172002.57142842</v>
      </c>
      <c r="P974" s="27">
        <f>P394*IF($E974="weekday",INDEX('Category Mapping'!$F$28:$F$39,MATCH('Summarized Source Data'!$A974,'Category Mapping'!$A$28:$A$39,0),1),INDEX('Category Mapping'!$E$28:$E$39,MATCH($A974,'Category Mapping'!$A$28:$A$39,0),1))</f>
        <v>719172002.57142842</v>
      </c>
      <c r="Q974" s="27">
        <f>Q394*IF($E974="weekday",INDEX('Category Mapping'!$F$28:$F$39,MATCH('Summarized Source Data'!$A974,'Category Mapping'!$A$28:$A$39,0),1),INDEX('Category Mapping'!$E$28:$E$39,MATCH($A974,'Category Mapping'!$A$28:$A$39,0),1))</f>
        <v>719172002.57142842</v>
      </c>
      <c r="R974" s="27">
        <f>R394*IF($E974="weekday",INDEX('Category Mapping'!$F$28:$F$39,MATCH('Summarized Source Data'!$A974,'Category Mapping'!$A$28:$A$39,0),1),INDEX('Category Mapping'!$E$28:$E$39,MATCH($A974,'Category Mapping'!$A$28:$A$39,0),1))</f>
        <v>25636627.999999996</v>
      </c>
      <c r="S974" s="27">
        <f>S394*IF($E974="weekday",INDEX('Category Mapping'!$F$28:$F$39,MATCH('Summarized Source Data'!$A974,'Category Mapping'!$A$28:$A$39,0),1),INDEX('Category Mapping'!$E$28:$E$39,MATCH($A974,'Category Mapping'!$A$28:$A$39,0),1))</f>
        <v>25636627.999999996</v>
      </c>
      <c r="T974" s="27">
        <f>T394*IF($E974="weekday",INDEX('Category Mapping'!$F$28:$F$39,MATCH('Summarized Source Data'!$A974,'Category Mapping'!$A$28:$A$39,0),1),INDEX('Category Mapping'!$E$28:$E$39,MATCH($A974,'Category Mapping'!$A$28:$A$39,0),1))</f>
        <v>25636627.999999996</v>
      </c>
      <c r="U974" s="27">
        <f>U394*IF($E974="weekday",INDEX('Category Mapping'!$F$28:$F$39,MATCH('Summarized Source Data'!$A974,'Category Mapping'!$A$28:$A$39,0),1),INDEX('Category Mapping'!$E$28:$E$39,MATCH($A974,'Category Mapping'!$A$28:$A$39,0),1))</f>
        <v>25636627.999999996</v>
      </c>
      <c r="V974" s="27">
        <f>V394*IF($E974="weekday",INDEX('Category Mapping'!$F$28:$F$39,MATCH('Summarized Source Data'!$A974,'Category Mapping'!$A$28:$A$39,0),1),INDEX('Category Mapping'!$E$28:$E$39,MATCH($A974,'Category Mapping'!$A$28:$A$39,0),1))</f>
        <v>25636627.999999996</v>
      </c>
      <c r="W974" s="27">
        <f>W394*IF($E974="weekday",INDEX('Category Mapping'!$F$28:$F$39,MATCH('Summarized Source Data'!$A974,'Category Mapping'!$A$28:$A$39,0),1),INDEX('Category Mapping'!$E$28:$E$39,MATCH($A974,'Category Mapping'!$A$28:$A$39,0),1))</f>
        <v>25636627.999999996</v>
      </c>
      <c r="X974" s="27">
        <f>X394*IF($E974="weekday",INDEX('Category Mapping'!$F$28:$F$39,MATCH('Summarized Source Data'!$A974,'Category Mapping'!$A$28:$A$39,0),1),INDEX('Category Mapping'!$E$28:$E$39,MATCH($A974,'Category Mapping'!$A$28:$A$39,0),1))</f>
        <v>3037999999.9999995</v>
      </c>
      <c r="Y974" s="27">
        <f>Y394*IF($E974="weekday",INDEX('Category Mapping'!$F$28:$F$39,MATCH('Summarized Source Data'!$A974,'Category Mapping'!$A$28:$A$39,0),1),INDEX('Category Mapping'!$E$28:$E$39,MATCH($A974,'Category Mapping'!$A$28:$A$39,0),1))</f>
        <v>3037999999.9999995</v>
      </c>
      <c r="Z974" s="27">
        <f>Z394*IF($E974="weekday",INDEX('Category Mapping'!$F$28:$F$39,MATCH('Summarized Source Data'!$A974,'Category Mapping'!$A$28:$A$39,0),1),INDEX('Category Mapping'!$E$28:$E$39,MATCH($A974,'Category Mapping'!$A$28:$A$39,0),1))</f>
        <v>3037999999.9999995</v>
      </c>
    </row>
    <row r="975" spans="1:26" x14ac:dyDescent="0.3">
      <c r="A975">
        <f t="shared" ref="A975:E975" si="440">A395</f>
        <v>5</v>
      </c>
      <c r="B975" t="str">
        <f t="shared" si="440"/>
        <v>Spring</v>
      </c>
      <c r="C975" t="str">
        <f t="shared" si="440"/>
        <v>h8</v>
      </c>
      <c r="D975" t="str">
        <f t="shared" si="440"/>
        <v>Hour7</v>
      </c>
      <c r="E975" t="str">
        <f t="shared" si="440"/>
        <v>Weekend</v>
      </c>
      <c r="F975" s="27">
        <f>F395*IF($E975="weekday",INDEX('Category Mapping'!$F$28:$F$39,MATCH('Summarized Source Data'!$A975,'Category Mapping'!$A$28:$A$39,0),1),INDEX('Category Mapping'!$E$28:$E$39,MATCH($A975,'Category Mapping'!$A$28:$A$39,0),1))</f>
        <v>12157641.999999998</v>
      </c>
      <c r="G975" s="27">
        <f>G395*IF($E975="weekday",INDEX('Category Mapping'!$F$28:$F$39,MATCH('Summarized Source Data'!$A975,'Category Mapping'!$A$28:$A$39,0),1),INDEX('Category Mapping'!$E$28:$E$39,MATCH($A975,'Category Mapping'!$A$28:$A$39,0),1))</f>
        <v>14667.428571428569</v>
      </c>
      <c r="H975" s="27">
        <f>H395*IF($E975="weekday",INDEX('Category Mapping'!$F$28:$F$39,MATCH('Summarized Source Data'!$A975,'Category Mapping'!$A$28:$A$39,0),1),INDEX('Category Mapping'!$E$28:$E$39,MATCH($A975,'Category Mapping'!$A$28:$A$39,0),1))</f>
        <v>0</v>
      </c>
      <c r="I975" s="27">
        <f>I395*IF($E975="weekday",INDEX('Category Mapping'!$F$28:$F$39,MATCH('Summarized Source Data'!$A975,'Category Mapping'!$A$28:$A$39,0),1),INDEX('Category Mapping'!$E$28:$E$39,MATCH($A975,'Category Mapping'!$A$28:$A$39,0),1))</f>
        <v>47147625.428571425</v>
      </c>
      <c r="J975" s="27">
        <f>J395*IF($E975="weekday",INDEX('Category Mapping'!$F$28:$F$39,MATCH('Summarized Source Data'!$A975,'Category Mapping'!$A$28:$A$39,0),1),INDEX('Category Mapping'!$E$28:$E$39,MATCH($A975,'Category Mapping'!$A$28:$A$39,0),1))</f>
        <v>400365779.42857134</v>
      </c>
      <c r="K975" s="27">
        <f>K395*IF($E975="weekday",INDEX('Category Mapping'!$F$28:$F$39,MATCH('Summarized Source Data'!$A975,'Category Mapping'!$A$28:$A$39,0),1),INDEX('Category Mapping'!$E$28:$E$39,MATCH($A975,'Category Mapping'!$A$28:$A$39,0),1))</f>
        <v>400365779.42857134</v>
      </c>
      <c r="L975" s="27">
        <f>L395*IF($E975="weekday",INDEX('Category Mapping'!$F$28:$F$39,MATCH('Summarized Source Data'!$A975,'Category Mapping'!$A$28:$A$39,0),1),INDEX('Category Mapping'!$E$28:$E$39,MATCH($A975,'Category Mapping'!$A$28:$A$39,0),1))</f>
        <v>28294922.28571428</v>
      </c>
      <c r="M975" s="27">
        <f>M395*IF($E975="weekday",INDEX('Category Mapping'!$F$28:$F$39,MATCH('Summarized Source Data'!$A975,'Category Mapping'!$A$28:$A$39,0),1),INDEX('Category Mapping'!$E$28:$E$39,MATCH($A975,'Category Mapping'!$A$28:$A$39,0),1))</f>
        <v>36927447.999999993</v>
      </c>
      <c r="N975" s="27">
        <f>N395*IF($E975="weekday",INDEX('Category Mapping'!$F$28:$F$39,MATCH('Summarized Source Data'!$A975,'Category Mapping'!$A$28:$A$39,0),1),INDEX('Category Mapping'!$E$28:$E$39,MATCH($A975,'Category Mapping'!$A$28:$A$39,0),1))</f>
        <v>0</v>
      </c>
      <c r="O975" s="27">
        <f>O395*IF($E975="weekday",INDEX('Category Mapping'!$F$28:$F$39,MATCH('Summarized Source Data'!$A975,'Category Mapping'!$A$28:$A$39,0),1),INDEX('Category Mapping'!$E$28:$E$39,MATCH($A975,'Category Mapping'!$A$28:$A$39,0),1))</f>
        <v>909063343.99999988</v>
      </c>
      <c r="P975" s="27">
        <f>P395*IF($E975="weekday",INDEX('Category Mapping'!$F$28:$F$39,MATCH('Summarized Source Data'!$A975,'Category Mapping'!$A$28:$A$39,0),1),INDEX('Category Mapping'!$E$28:$E$39,MATCH($A975,'Category Mapping'!$A$28:$A$39,0),1))</f>
        <v>909063343.99999988</v>
      </c>
      <c r="Q975" s="27">
        <f>Q395*IF($E975="weekday",INDEX('Category Mapping'!$F$28:$F$39,MATCH('Summarized Source Data'!$A975,'Category Mapping'!$A$28:$A$39,0),1),INDEX('Category Mapping'!$E$28:$E$39,MATCH($A975,'Category Mapping'!$A$28:$A$39,0),1))</f>
        <v>909063343.99999988</v>
      </c>
      <c r="R975" s="27">
        <f>R395*IF($E975="weekday",INDEX('Category Mapping'!$F$28:$F$39,MATCH('Summarized Source Data'!$A975,'Category Mapping'!$A$28:$A$39,0),1),INDEX('Category Mapping'!$E$28:$E$39,MATCH($A975,'Category Mapping'!$A$28:$A$39,0),1))</f>
        <v>33386300.28571428</v>
      </c>
      <c r="S975" s="27">
        <f>S395*IF($E975="weekday",INDEX('Category Mapping'!$F$28:$F$39,MATCH('Summarized Source Data'!$A975,'Category Mapping'!$A$28:$A$39,0),1),INDEX('Category Mapping'!$E$28:$E$39,MATCH($A975,'Category Mapping'!$A$28:$A$39,0),1))</f>
        <v>33386300.28571428</v>
      </c>
      <c r="T975" s="27">
        <f>T395*IF($E975="weekday",INDEX('Category Mapping'!$F$28:$F$39,MATCH('Summarized Source Data'!$A975,'Category Mapping'!$A$28:$A$39,0),1),INDEX('Category Mapping'!$E$28:$E$39,MATCH($A975,'Category Mapping'!$A$28:$A$39,0),1))</f>
        <v>33386300.28571428</v>
      </c>
      <c r="U975" s="27">
        <f>U395*IF($E975="weekday",INDEX('Category Mapping'!$F$28:$F$39,MATCH('Summarized Source Data'!$A975,'Category Mapping'!$A$28:$A$39,0),1),INDEX('Category Mapping'!$E$28:$E$39,MATCH($A975,'Category Mapping'!$A$28:$A$39,0),1))</f>
        <v>33386300.28571428</v>
      </c>
      <c r="V975" s="27">
        <f>V395*IF($E975="weekday",INDEX('Category Mapping'!$F$28:$F$39,MATCH('Summarized Source Data'!$A975,'Category Mapping'!$A$28:$A$39,0),1),INDEX('Category Mapping'!$E$28:$E$39,MATCH($A975,'Category Mapping'!$A$28:$A$39,0),1))</f>
        <v>33386300.28571428</v>
      </c>
      <c r="W975" s="27">
        <f>W395*IF($E975="weekday",INDEX('Category Mapping'!$F$28:$F$39,MATCH('Summarized Source Data'!$A975,'Category Mapping'!$A$28:$A$39,0),1),INDEX('Category Mapping'!$E$28:$E$39,MATCH($A975,'Category Mapping'!$A$28:$A$39,0),1))</f>
        <v>33386300.28571428</v>
      </c>
      <c r="X975" s="27">
        <f>X395*IF($E975="weekday",INDEX('Category Mapping'!$F$28:$F$39,MATCH('Summarized Source Data'!$A975,'Category Mapping'!$A$28:$A$39,0),1),INDEX('Category Mapping'!$E$28:$E$39,MATCH($A975,'Category Mapping'!$A$28:$A$39,0),1))</f>
        <v>3037999999.9999995</v>
      </c>
      <c r="Y975" s="27">
        <f>Y395*IF($E975="weekday",INDEX('Category Mapping'!$F$28:$F$39,MATCH('Summarized Source Data'!$A975,'Category Mapping'!$A$28:$A$39,0),1),INDEX('Category Mapping'!$E$28:$E$39,MATCH($A975,'Category Mapping'!$A$28:$A$39,0),1))</f>
        <v>3037999999.9999995</v>
      </c>
      <c r="Z975" s="27">
        <f>Z395*IF($E975="weekday",INDEX('Category Mapping'!$F$28:$F$39,MATCH('Summarized Source Data'!$A975,'Category Mapping'!$A$28:$A$39,0),1),INDEX('Category Mapping'!$E$28:$E$39,MATCH($A975,'Category Mapping'!$A$28:$A$39,0),1))</f>
        <v>3037999999.9999995</v>
      </c>
    </row>
    <row r="976" spans="1:26" x14ac:dyDescent="0.3">
      <c r="A976">
        <f t="shared" ref="A976:E976" si="441">A396</f>
        <v>5</v>
      </c>
      <c r="B976" t="str">
        <f t="shared" si="441"/>
        <v>Spring</v>
      </c>
      <c r="C976" t="str">
        <f t="shared" si="441"/>
        <v>h9</v>
      </c>
      <c r="D976" t="str">
        <f t="shared" si="441"/>
        <v>Hour8</v>
      </c>
      <c r="E976" t="str">
        <f t="shared" si="441"/>
        <v>Weekend</v>
      </c>
      <c r="F976" s="27">
        <f>F396*IF($E976="weekday",INDEX('Category Mapping'!$F$28:$F$39,MATCH('Summarized Source Data'!$A976,'Category Mapping'!$A$28:$A$39,0),1),INDEX('Category Mapping'!$E$28:$E$39,MATCH($A976,'Category Mapping'!$A$28:$A$39,0),1))</f>
        <v>13210207.142857142</v>
      </c>
      <c r="G976" s="27">
        <f>G396*IF($E976="weekday",INDEX('Category Mapping'!$F$28:$F$39,MATCH('Summarized Source Data'!$A976,'Category Mapping'!$A$28:$A$39,0),1),INDEX('Category Mapping'!$E$28:$E$39,MATCH($A976,'Category Mapping'!$A$28:$A$39,0),1))</f>
        <v>391335.14285714278</v>
      </c>
      <c r="H976" s="27">
        <f>H396*IF($E976="weekday",INDEX('Category Mapping'!$F$28:$F$39,MATCH('Summarized Source Data'!$A976,'Category Mapping'!$A$28:$A$39,0),1),INDEX('Category Mapping'!$E$28:$E$39,MATCH($A976,'Category Mapping'!$A$28:$A$39,0),1))</f>
        <v>0</v>
      </c>
      <c r="I976" s="27">
        <f>I396*IF($E976="weekday",INDEX('Category Mapping'!$F$28:$F$39,MATCH('Summarized Source Data'!$A976,'Category Mapping'!$A$28:$A$39,0),1),INDEX('Category Mapping'!$E$28:$E$39,MATCH($A976,'Category Mapping'!$A$28:$A$39,0),1))</f>
        <v>57517612.57142856</v>
      </c>
      <c r="J976" s="27">
        <f>J396*IF($E976="weekday",INDEX('Category Mapping'!$F$28:$F$39,MATCH('Summarized Source Data'!$A976,'Category Mapping'!$A$28:$A$39,0),1),INDEX('Category Mapping'!$E$28:$E$39,MATCH($A976,'Category Mapping'!$A$28:$A$39,0),1))</f>
        <v>500166559.42857134</v>
      </c>
      <c r="K976" s="27">
        <f>K396*IF($E976="weekday",INDEX('Category Mapping'!$F$28:$F$39,MATCH('Summarized Source Data'!$A976,'Category Mapping'!$A$28:$A$39,0),1),INDEX('Category Mapping'!$E$28:$E$39,MATCH($A976,'Category Mapping'!$A$28:$A$39,0),1))</f>
        <v>500166559.42857134</v>
      </c>
      <c r="L976" s="27">
        <f>L396*IF($E976="weekday",INDEX('Category Mapping'!$F$28:$F$39,MATCH('Summarized Source Data'!$A976,'Category Mapping'!$A$28:$A$39,0),1),INDEX('Category Mapping'!$E$28:$E$39,MATCH($A976,'Category Mapping'!$A$28:$A$39,0),1))</f>
        <v>23063043.428571425</v>
      </c>
      <c r="M976" s="27">
        <f>M396*IF($E976="weekday",INDEX('Category Mapping'!$F$28:$F$39,MATCH('Summarized Source Data'!$A976,'Category Mapping'!$A$28:$A$39,0),1),INDEX('Category Mapping'!$E$28:$E$39,MATCH($A976,'Category Mapping'!$A$28:$A$39,0),1))</f>
        <v>40856689.142857134</v>
      </c>
      <c r="N976" s="27">
        <f>N396*IF($E976="weekday",INDEX('Category Mapping'!$F$28:$F$39,MATCH('Summarized Source Data'!$A976,'Category Mapping'!$A$28:$A$39,0),1),INDEX('Category Mapping'!$E$28:$E$39,MATCH($A976,'Category Mapping'!$A$28:$A$39,0),1))</f>
        <v>0</v>
      </c>
      <c r="O976" s="27">
        <f>O396*IF($E976="weekday",INDEX('Category Mapping'!$F$28:$F$39,MATCH('Summarized Source Data'!$A976,'Category Mapping'!$A$28:$A$39,0),1),INDEX('Category Mapping'!$E$28:$E$39,MATCH($A976,'Category Mapping'!$A$28:$A$39,0),1))</f>
        <v>1025508838.8571427</v>
      </c>
      <c r="P976" s="27">
        <f>P396*IF($E976="weekday",INDEX('Category Mapping'!$F$28:$F$39,MATCH('Summarized Source Data'!$A976,'Category Mapping'!$A$28:$A$39,0),1),INDEX('Category Mapping'!$E$28:$E$39,MATCH($A976,'Category Mapping'!$A$28:$A$39,0),1))</f>
        <v>1025508838.8571427</v>
      </c>
      <c r="Q976" s="27">
        <f>Q396*IF($E976="weekday",INDEX('Category Mapping'!$F$28:$F$39,MATCH('Summarized Source Data'!$A976,'Category Mapping'!$A$28:$A$39,0),1),INDEX('Category Mapping'!$E$28:$E$39,MATCH($A976,'Category Mapping'!$A$28:$A$39,0),1))</f>
        <v>1025508838.8571427</v>
      </c>
      <c r="R976" s="27">
        <f>R396*IF($E976="weekday",INDEX('Category Mapping'!$F$28:$F$39,MATCH('Summarized Source Data'!$A976,'Category Mapping'!$A$28:$A$39,0),1),INDEX('Category Mapping'!$E$28:$E$39,MATCH($A976,'Category Mapping'!$A$28:$A$39,0),1))</f>
        <v>40014808.857142851</v>
      </c>
      <c r="S976" s="27">
        <f>S396*IF($E976="weekday",INDEX('Category Mapping'!$F$28:$F$39,MATCH('Summarized Source Data'!$A976,'Category Mapping'!$A$28:$A$39,0),1),INDEX('Category Mapping'!$E$28:$E$39,MATCH($A976,'Category Mapping'!$A$28:$A$39,0),1))</f>
        <v>40014808.857142851</v>
      </c>
      <c r="T976" s="27">
        <f>T396*IF($E976="weekday",INDEX('Category Mapping'!$F$28:$F$39,MATCH('Summarized Source Data'!$A976,'Category Mapping'!$A$28:$A$39,0),1),INDEX('Category Mapping'!$E$28:$E$39,MATCH($A976,'Category Mapping'!$A$28:$A$39,0),1))</f>
        <v>40014808.857142851</v>
      </c>
      <c r="U976" s="27">
        <f>U396*IF($E976="weekday",INDEX('Category Mapping'!$F$28:$F$39,MATCH('Summarized Source Data'!$A976,'Category Mapping'!$A$28:$A$39,0),1),INDEX('Category Mapping'!$E$28:$E$39,MATCH($A976,'Category Mapping'!$A$28:$A$39,0),1))</f>
        <v>40014808.857142851</v>
      </c>
      <c r="V976" s="27">
        <f>V396*IF($E976="weekday",INDEX('Category Mapping'!$F$28:$F$39,MATCH('Summarized Source Data'!$A976,'Category Mapping'!$A$28:$A$39,0),1),INDEX('Category Mapping'!$E$28:$E$39,MATCH($A976,'Category Mapping'!$A$28:$A$39,0),1))</f>
        <v>40014808.857142851</v>
      </c>
      <c r="W976" s="27">
        <f>W396*IF($E976="weekday",INDEX('Category Mapping'!$F$28:$F$39,MATCH('Summarized Source Data'!$A976,'Category Mapping'!$A$28:$A$39,0),1),INDEX('Category Mapping'!$E$28:$E$39,MATCH($A976,'Category Mapping'!$A$28:$A$39,0),1))</f>
        <v>40014808.857142851</v>
      </c>
      <c r="X976" s="27">
        <f>X396*IF($E976="weekday",INDEX('Category Mapping'!$F$28:$F$39,MATCH('Summarized Source Data'!$A976,'Category Mapping'!$A$28:$A$39,0),1),INDEX('Category Mapping'!$E$28:$E$39,MATCH($A976,'Category Mapping'!$A$28:$A$39,0),1))</f>
        <v>3029142857.1428566</v>
      </c>
      <c r="Y976" s="27">
        <f>Y396*IF($E976="weekday",INDEX('Category Mapping'!$F$28:$F$39,MATCH('Summarized Source Data'!$A976,'Category Mapping'!$A$28:$A$39,0),1),INDEX('Category Mapping'!$E$28:$E$39,MATCH($A976,'Category Mapping'!$A$28:$A$39,0),1))</f>
        <v>3029142857.1428566</v>
      </c>
      <c r="Z976" s="27">
        <f>Z396*IF($E976="weekday",INDEX('Category Mapping'!$F$28:$F$39,MATCH('Summarized Source Data'!$A976,'Category Mapping'!$A$28:$A$39,0),1),INDEX('Category Mapping'!$E$28:$E$39,MATCH($A976,'Category Mapping'!$A$28:$A$39,0),1))</f>
        <v>3029142857.1428566</v>
      </c>
    </row>
    <row r="977" spans="1:26" x14ac:dyDescent="0.3">
      <c r="A977">
        <f t="shared" ref="A977:E977" si="442">A397</f>
        <v>5</v>
      </c>
      <c r="B977" t="str">
        <f t="shared" si="442"/>
        <v>Spring</v>
      </c>
      <c r="C977" t="str">
        <f t="shared" si="442"/>
        <v>h10</v>
      </c>
      <c r="D977" t="str">
        <f t="shared" si="442"/>
        <v>Hour9</v>
      </c>
      <c r="E977" t="str">
        <f t="shared" si="442"/>
        <v>Weekend</v>
      </c>
      <c r="F977" s="27">
        <f>F397*IF($E977="weekday",INDEX('Category Mapping'!$F$28:$F$39,MATCH('Summarized Source Data'!$A977,'Category Mapping'!$A$28:$A$39,0),1),INDEX('Category Mapping'!$E$28:$E$39,MATCH($A977,'Category Mapping'!$A$28:$A$39,0),1))</f>
        <v>13421423.428571427</v>
      </c>
      <c r="G977" s="27">
        <f>G397*IF($E977="weekday",INDEX('Category Mapping'!$F$28:$F$39,MATCH('Summarized Source Data'!$A977,'Category Mapping'!$A$28:$A$39,0),1),INDEX('Category Mapping'!$E$28:$E$39,MATCH($A977,'Category Mapping'!$A$28:$A$39,0),1))</f>
        <v>6680092.5714285709</v>
      </c>
      <c r="H977" s="27">
        <f>H397*IF($E977="weekday",INDEX('Category Mapping'!$F$28:$F$39,MATCH('Summarized Source Data'!$A977,'Category Mapping'!$A$28:$A$39,0),1),INDEX('Category Mapping'!$E$28:$E$39,MATCH($A977,'Category Mapping'!$A$28:$A$39,0),1))</f>
        <v>0</v>
      </c>
      <c r="I977" s="27">
        <f>I397*IF($E977="weekday",INDEX('Category Mapping'!$F$28:$F$39,MATCH('Summarized Source Data'!$A977,'Category Mapping'!$A$28:$A$39,0),1),INDEX('Category Mapping'!$E$28:$E$39,MATCH($A977,'Category Mapping'!$A$28:$A$39,0),1))</f>
        <v>59598607.142857134</v>
      </c>
      <c r="J977" s="27">
        <f>J397*IF($E977="weekday",INDEX('Category Mapping'!$F$28:$F$39,MATCH('Summarized Source Data'!$A977,'Category Mapping'!$A$28:$A$39,0),1),INDEX('Category Mapping'!$E$28:$E$39,MATCH($A977,'Category Mapping'!$A$28:$A$39,0),1))</f>
        <v>632414162.57142854</v>
      </c>
      <c r="K977" s="27">
        <f>K397*IF($E977="weekday",INDEX('Category Mapping'!$F$28:$F$39,MATCH('Summarized Source Data'!$A977,'Category Mapping'!$A$28:$A$39,0),1),INDEX('Category Mapping'!$E$28:$E$39,MATCH($A977,'Category Mapping'!$A$28:$A$39,0),1))</f>
        <v>632414162.57142854</v>
      </c>
      <c r="L977" s="27">
        <f>L397*IF($E977="weekday",INDEX('Category Mapping'!$F$28:$F$39,MATCH('Summarized Source Data'!$A977,'Category Mapping'!$A$28:$A$39,0),1),INDEX('Category Mapping'!$E$28:$E$39,MATCH($A977,'Category Mapping'!$A$28:$A$39,0),1))</f>
        <v>19603806.571428567</v>
      </c>
      <c r="M977" s="27">
        <f>M397*IF($E977="weekday",INDEX('Category Mapping'!$F$28:$F$39,MATCH('Summarized Source Data'!$A977,'Category Mapping'!$A$28:$A$39,0),1),INDEX('Category Mapping'!$E$28:$E$39,MATCH($A977,'Category Mapping'!$A$28:$A$39,0),1))</f>
        <v>47301589.142857134</v>
      </c>
      <c r="N977" s="27">
        <f>N397*IF($E977="weekday",INDEX('Category Mapping'!$F$28:$F$39,MATCH('Summarized Source Data'!$A977,'Category Mapping'!$A$28:$A$39,0),1),INDEX('Category Mapping'!$E$28:$E$39,MATCH($A977,'Category Mapping'!$A$28:$A$39,0),1))</f>
        <v>0</v>
      </c>
      <c r="O977" s="27">
        <f>O397*IF($E977="weekday",INDEX('Category Mapping'!$F$28:$F$39,MATCH('Summarized Source Data'!$A977,'Category Mapping'!$A$28:$A$39,0),1),INDEX('Category Mapping'!$E$28:$E$39,MATCH($A977,'Category Mapping'!$A$28:$A$39,0),1))</f>
        <v>1128808889.9999998</v>
      </c>
      <c r="P977" s="27">
        <f>P397*IF($E977="weekday",INDEX('Category Mapping'!$F$28:$F$39,MATCH('Summarized Source Data'!$A977,'Category Mapping'!$A$28:$A$39,0),1),INDEX('Category Mapping'!$E$28:$E$39,MATCH($A977,'Category Mapping'!$A$28:$A$39,0),1))</f>
        <v>1128808889.9999998</v>
      </c>
      <c r="Q977" s="27">
        <f>Q397*IF($E977="weekday",INDEX('Category Mapping'!$F$28:$F$39,MATCH('Summarized Source Data'!$A977,'Category Mapping'!$A$28:$A$39,0),1),INDEX('Category Mapping'!$E$28:$E$39,MATCH($A977,'Category Mapping'!$A$28:$A$39,0),1))</f>
        <v>1128808889.9999998</v>
      </c>
      <c r="R977" s="27">
        <f>R397*IF($E977="weekday",INDEX('Category Mapping'!$F$28:$F$39,MATCH('Summarized Source Data'!$A977,'Category Mapping'!$A$28:$A$39,0),1),INDEX('Category Mapping'!$E$28:$E$39,MATCH($A977,'Category Mapping'!$A$28:$A$39,0),1))</f>
        <v>45530426.285714276</v>
      </c>
      <c r="S977" s="27">
        <f>S397*IF($E977="weekday",INDEX('Category Mapping'!$F$28:$F$39,MATCH('Summarized Source Data'!$A977,'Category Mapping'!$A$28:$A$39,0),1),INDEX('Category Mapping'!$E$28:$E$39,MATCH($A977,'Category Mapping'!$A$28:$A$39,0),1))</f>
        <v>45530426.285714276</v>
      </c>
      <c r="T977" s="27">
        <f>T397*IF($E977="weekday",INDEX('Category Mapping'!$F$28:$F$39,MATCH('Summarized Source Data'!$A977,'Category Mapping'!$A$28:$A$39,0),1),INDEX('Category Mapping'!$E$28:$E$39,MATCH($A977,'Category Mapping'!$A$28:$A$39,0),1))</f>
        <v>45530426.285714276</v>
      </c>
      <c r="U977" s="27">
        <f>U397*IF($E977="weekday",INDEX('Category Mapping'!$F$28:$F$39,MATCH('Summarized Source Data'!$A977,'Category Mapping'!$A$28:$A$39,0),1),INDEX('Category Mapping'!$E$28:$E$39,MATCH($A977,'Category Mapping'!$A$28:$A$39,0),1))</f>
        <v>45530426.285714276</v>
      </c>
      <c r="V977" s="27">
        <f>V397*IF($E977="weekday",INDEX('Category Mapping'!$F$28:$F$39,MATCH('Summarized Source Data'!$A977,'Category Mapping'!$A$28:$A$39,0),1),INDEX('Category Mapping'!$E$28:$E$39,MATCH($A977,'Category Mapping'!$A$28:$A$39,0),1))</f>
        <v>45530426.285714276</v>
      </c>
      <c r="W977" s="27">
        <f>W397*IF($E977="weekday",INDEX('Category Mapping'!$F$28:$F$39,MATCH('Summarized Source Data'!$A977,'Category Mapping'!$A$28:$A$39,0),1),INDEX('Category Mapping'!$E$28:$E$39,MATCH($A977,'Category Mapping'!$A$28:$A$39,0),1))</f>
        <v>45530426.285714276</v>
      </c>
      <c r="X977" s="27">
        <f>X397*IF($E977="weekday",INDEX('Category Mapping'!$F$28:$F$39,MATCH('Summarized Source Data'!$A977,'Category Mapping'!$A$28:$A$39,0),1),INDEX('Category Mapping'!$E$28:$E$39,MATCH($A977,'Category Mapping'!$A$28:$A$39,0),1))</f>
        <v>3020285714.2857137</v>
      </c>
      <c r="Y977" s="27">
        <f>Y397*IF($E977="weekday",INDEX('Category Mapping'!$F$28:$F$39,MATCH('Summarized Source Data'!$A977,'Category Mapping'!$A$28:$A$39,0),1),INDEX('Category Mapping'!$E$28:$E$39,MATCH($A977,'Category Mapping'!$A$28:$A$39,0),1))</f>
        <v>3020285714.2857137</v>
      </c>
      <c r="Z977" s="27">
        <f>Z397*IF($E977="weekday",INDEX('Category Mapping'!$F$28:$F$39,MATCH('Summarized Source Data'!$A977,'Category Mapping'!$A$28:$A$39,0),1),INDEX('Category Mapping'!$E$28:$E$39,MATCH($A977,'Category Mapping'!$A$28:$A$39,0),1))</f>
        <v>3020285714.2857137</v>
      </c>
    </row>
    <row r="978" spans="1:26" x14ac:dyDescent="0.3">
      <c r="A978">
        <f t="shared" ref="A978:E978" si="443">A398</f>
        <v>5</v>
      </c>
      <c r="B978" t="str">
        <f t="shared" si="443"/>
        <v>Spring</v>
      </c>
      <c r="C978" t="str">
        <f t="shared" si="443"/>
        <v>h11</v>
      </c>
      <c r="D978" t="str">
        <f t="shared" si="443"/>
        <v>Hour10</v>
      </c>
      <c r="E978" t="str">
        <f t="shared" si="443"/>
        <v>Weekend</v>
      </c>
      <c r="F978" s="27">
        <f>F398*IF($E978="weekday",INDEX('Category Mapping'!$F$28:$F$39,MATCH('Summarized Source Data'!$A978,'Category Mapping'!$A$28:$A$39,0),1),INDEX('Category Mapping'!$E$28:$E$39,MATCH($A978,'Category Mapping'!$A$28:$A$39,0),1))</f>
        <v>13457516.285714284</v>
      </c>
      <c r="G978" s="27">
        <f>G398*IF($E978="weekday",INDEX('Category Mapping'!$F$28:$F$39,MATCH('Summarized Source Data'!$A978,'Category Mapping'!$A$28:$A$39,0),1),INDEX('Category Mapping'!$E$28:$E$39,MATCH($A978,'Category Mapping'!$A$28:$A$39,0),1))</f>
        <v>14839212.857142854</v>
      </c>
      <c r="H978" s="27">
        <f>H398*IF($E978="weekday",INDEX('Category Mapping'!$F$28:$F$39,MATCH('Summarized Source Data'!$A978,'Category Mapping'!$A$28:$A$39,0),1),INDEX('Category Mapping'!$E$28:$E$39,MATCH($A978,'Category Mapping'!$A$28:$A$39,0),1))</f>
        <v>0</v>
      </c>
      <c r="I978" s="27">
        <f>I398*IF($E978="weekday",INDEX('Category Mapping'!$F$28:$F$39,MATCH('Summarized Source Data'!$A978,'Category Mapping'!$A$28:$A$39,0),1),INDEX('Category Mapping'!$E$28:$E$39,MATCH($A978,'Category Mapping'!$A$28:$A$39,0),1))</f>
        <v>59954123.999999993</v>
      </c>
      <c r="J978" s="27">
        <f>J398*IF($E978="weekday",INDEX('Category Mapping'!$F$28:$F$39,MATCH('Summarized Source Data'!$A978,'Category Mapping'!$A$28:$A$39,0),1),INDEX('Category Mapping'!$E$28:$E$39,MATCH($A978,'Category Mapping'!$A$28:$A$39,0),1))</f>
        <v>785063432.57142842</v>
      </c>
      <c r="K978" s="27">
        <f>K398*IF($E978="weekday",INDEX('Category Mapping'!$F$28:$F$39,MATCH('Summarized Source Data'!$A978,'Category Mapping'!$A$28:$A$39,0),1),INDEX('Category Mapping'!$E$28:$E$39,MATCH($A978,'Category Mapping'!$A$28:$A$39,0),1))</f>
        <v>785063432.57142842</v>
      </c>
      <c r="L978" s="27">
        <f>L398*IF($E978="weekday",INDEX('Category Mapping'!$F$28:$F$39,MATCH('Summarized Source Data'!$A978,'Category Mapping'!$A$28:$A$39,0),1),INDEX('Category Mapping'!$E$28:$E$39,MATCH($A978,'Category Mapping'!$A$28:$A$39,0),1))</f>
        <v>17093479.714285713</v>
      </c>
      <c r="M978" s="27">
        <f>M398*IF($E978="weekday",INDEX('Category Mapping'!$F$28:$F$39,MATCH('Summarized Source Data'!$A978,'Category Mapping'!$A$28:$A$39,0),1),INDEX('Category Mapping'!$E$28:$E$39,MATCH($A978,'Category Mapping'!$A$28:$A$39,0),1))</f>
        <v>54462907.999999993</v>
      </c>
      <c r="N978" s="27">
        <f>N398*IF($E978="weekday",INDEX('Category Mapping'!$F$28:$F$39,MATCH('Summarized Source Data'!$A978,'Category Mapping'!$A$28:$A$39,0),1),INDEX('Category Mapping'!$E$28:$E$39,MATCH($A978,'Category Mapping'!$A$28:$A$39,0),1))</f>
        <v>0</v>
      </c>
      <c r="O978" s="27">
        <f>O398*IF($E978="weekday",INDEX('Category Mapping'!$F$28:$F$39,MATCH('Summarized Source Data'!$A978,'Category Mapping'!$A$28:$A$39,0),1),INDEX('Category Mapping'!$E$28:$E$39,MATCH($A978,'Category Mapping'!$A$28:$A$39,0),1))</f>
        <v>1106443612.2857141</v>
      </c>
      <c r="P978" s="27">
        <f>P398*IF($E978="weekday",INDEX('Category Mapping'!$F$28:$F$39,MATCH('Summarized Source Data'!$A978,'Category Mapping'!$A$28:$A$39,0),1),INDEX('Category Mapping'!$E$28:$E$39,MATCH($A978,'Category Mapping'!$A$28:$A$39,0),1))</f>
        <v>1106443612.2857141</v>
      </c>
      <c r="Q978" s="27">
        <f>Q398*IF($E978="weekday",INDEX('Category Mapping'!$F$28:$F$39,MATCH('Summarized Source Data'!$A978,'Category Mapping'!$A$28:$A$39,0),1),INDEX('Category Mapping'!$E$28:$E$39,MATCH($A978,'Category Mapping'!$A$28:$A$39,0),1))</f>
        <v>1106443612.2857141</v>
      </c>
      <c r="R978" s="27">
        <f>R398*IF($E978="weekday",INDEX('Category Mapping'!$F$28:$F$39,MATCH('Summarized Source Data'!$A978,'Category Mapping'!$A$28:$A$39,0),1),INDEX('Category Mapping'!$E$28:$E$39,MATCH($A978,'Category Mapping'!$A$28:$A$39,0),1))</f>
        <v>48282048.285714276</v>
      </c>
      <c r="S978" s="27">
        <f>S398*IF($E978="weekday",INDEX('Category Mapping'!$F$28:$F$39,MATCH('Summarized Source Data'!$A978,'Category Mapping'!$A$28:$A$39,0),1),INDEX('Category Mapping'!$E$28:$E$39,MATCH($A978,'Category Mapping'!$A$28:$A$39,0),1))</f>
        <v>48282048.285714276</v>
      </c>
      <c r="T978" s="27">
        <f>T398*IF($E978="weekday",INDEX('Category Mapping'!$F$28:$F$39,MATCH('Summarized Source Data'!$A978,'Category Mapping'!$A$28:$A$39,0),1),INDEX('Category Mapping'!$E$28:$E$39,MATCH($A978,'Category Mapping'!$A$28:$A$39,0),1))</f>
        <v>48282048.285714276</v>
      </c>
      <c r="U978" s="27">
        <f>U398*IF($E978="weekday",INDEX('Category Mapping'!$F$28:$F$39,MATCH('Summarized Source Data'!$A978,'Category Mapping'!$A$28:$A$39,0),1),INDEX('Category Mapping'!$E$28:$E$39,MATCH($A978,'Category Mapping'!$A$28:$A$39,0),1))</f>
        <v>48282048.285714276</v>
      </c>
      <c r="V978" s="27">
        <f>V398*IF($E978="weekday",INDEX('Category Mapping'!$F$28:$F$39,MATCH('Summarized Source Data'!$A978,'Category Mapping'!$A$28:$A$39,0),1),INDEX('Category Mapping'!$E$28:$E$39,MATCH($A978,'Category Mapping'!$A$28:$A$39,0),1))</f>
        <v>48282048.285714276</v>
      </c>
      <c r="W978" s="27">
        <f>W398*IF($E978="weekday",INDEX('Category Mapping'!$F$28:$F$39,MATCH('Summarized Source Data'!$A978,'Category Mapping'!$A$28:$A$39,0),1),INDEX('Category Mapping'!$E$28:$E$39,MATCH($A978,'Category Mapping'!$A$28:$A$39,0),1))</f>
        <v>48282048.285714276</v>
      </c>
      <c r="X978" s="27">
        <f>X398*IF($E978="weekday",INDEX('Category Mapping'!$F$28:$F$39,MATCH('Summarized Source Data'!$A978,'Category Mapping'!$A$28:$A$39,0),1),INDEX('Category Mapping'!$E$28:$E$39,MATCH($A978,'Category Mapping'!$A$28:$A$39,0),1))</f>
        <v>3011428571.4285712</v>
      </c>
      <c r="Y978" s="27">
        <f>Y398*IF($E978="weekday",INDEX('Category Mapping'!$F$28:$F$39,MATCH('Summarized Source Data'!$A978,'Category Mapping'!$A$28:$A$39,0),1),INDEX('Category Mapping'!$E$28:$E$39,MATCH($A978,'Category Mapping'!$A$28:$A$39,0),1))</f>
        <v>3011428571.4285712</v>
      </c>
      <c r="Z978" s="27">
        <f>Z398*IF($E978="weekday",INDEX('Category Mapping'!$F$28:$F$39,MATCH('Summarized Source Data'!$A978,'Category Mapping'!$A$28:$A$39,0),1),INDEX('Category Mapping'!$E$28:$E$39,MATCH($A978,'Category Mapping'!$A$28:$A$39,0),1))</f>
        <v>3011428571.4285712</v>
      </c>
    </row>
    <row r="979" spans="1:26" x14ac:dyDescent="0.3">
      <c r="A979">
        <f t="shared" ref="A979:E979" si="444">A399</f>
        <v>5</v>
      </c>
      <c r="B979" t="str">
        <f t="shared" si="444"/>
        <v>Spring</v>
      </c>
      <c r="C979" t="str">
        <f t="shared" si="444"/>
        <v>h12</v>
      </c>
      <c r="D979" t="str">
        <f t="shared" si="444"/>
        <v>Hour11</v>
      </c>
      <c r="E979" t="str">
        <f t="shared" si="444"/>
        <v>Weekend</v>
      </c>
      <c r="F979" s="27">
        <f>F399*IF($E979="weekday",INDEX('Category Mapping'!$F$28:$F$39,MATCH('Summarized Source Data'!$A979,'Category Mapping'!$A$28:$A$39,0),1),INDEX('Category Mapping'!$E$28:$E$39,MATCH($A979,'Category Mapping'!$A$28:$A$39,0),1))</f>
        <v>10359624.285714284</v>
      </c>
      <c r="G979" s="27">
        <f>G399*IF($E979="weekday",INDEX('Category Mapping'!$F$28:$F$39,MATCH('Summarized Source Data'!$A979,'Category Mapping'!$A$28:$A$39,0),1),INDEX('Category Mapping'!$E$28:$E$39,MATCH($A979,'Category Mapping'!$A$28:$A$39,0),1))</f>
        <v>23850399.142857138</v>
      </c>
      <c r="H979" s="27">
        <f>H399*IF($E979="weekday",INDEX('Category Mapping'!$F$28:$F$39,MATCH('Summarized Source Data'!$A979,'Category Mapping'!$A$28:$A$39,0),1),INDEX('Category Mapping'!$E$28:$E$39,MATCH($A979,'Category Mapping'!$A$28:$A$39,0),1))</f>
        <v>0</v>
      </c>
      <c r="I979" s="27">
        <f>I399*IF($E979="weekday",INDEX('Category Mapping'!$F$28:$F$39,MATCH('Summarized Source Data'!$A979,'Category Mapping'!$A$28:$A$39,0),1),INDEX('Category Mapping'!$E$28:$E$39,MATCH($A979,'Category Mapping'!$A$28:$A$39,0),1))</f>
        <v>63612726.285714276</v>
      </c>
      <c r="J979" s="27">
        <f>J399*IF($E979="weekday",INDEX('Category Mapping'!$F$28:$F$39,MATCH('Summarized Source Data'!$A979,'Category Mapping'!$A$28:$A$39,0),1),INDEX('Category Mapping'!$E$28:$E$39,MATCH($A979,'Category Mapping'!$A$28:$A$39,0),1))</f>
        <v>876462964.57142842</v>
      </c>
      <c r="K979" s="27">
        <f>K399*IF($E979="weekday",INDEX('Category Mapping'!$F$28:$F$39,MATCH('Summarized Source Data'!$A979,'Category Mapping'!$A$28:$A$39,0),1),INDEX('Category Mapping'!$E$28:$E$39,MATCH($A979,'Category Mapping'!$A$28:$A$39,0),1))</f>
        <v>876462964.57142842</v>
      </c>
      <c r="L979" s="27">
        <f>L399*IF($E979="weekday",INDEX('Category Mapping'!$F$28:$F$39,MATCH('Summarized Source Data'!$A979,'Category Mapping'!$A$28:$A$39,0),1),INDEX('Category Mapping'!$E$28:$E$39,MATCH($A979,'Category Mapping'!$A$28:$A$39,0),1))</f>
        <v>15472905.999999998</v>
      </c>
      <c r="M979" s="27">
        <f>M399*IF($E979="weekday",INDEX('Category Mapping'!$F$28:$F$39,MATCH('Summarized Source Data'!$A979,'Category Mapping'!$A$28:$A$39,0),1),INDEX('Category Mapping'!$E$28:$E$39,MATCH($A979,'Category Mapping'!$A$28:$A$39,0),1))</f>
        <v>60411719.428571418</v>
      </c>
      <c r="N979" s="27">
        <f>N399*IF($E979="weekday",INDEX('Category Mapping'!$F$28:$F$39,MATCH('Summarized Source Data'!$A979,'Category Mapping'!$A$28:$A$39,0),1),INDEX('Category Mapping'!$E$28:$E$39,MATCH($A979,'Category Mapping'!$A$28:$A$39,0),1))</f>
        <v>0</v>
      </c>
      <c r="O979" s="27">
        <f>O399*IF($E979="weekday",INDEX('Category Mapping'!$F$28:$F$39,MATCH('Summarized Source Data'!$A979,'Category Mapping'!$A$28:$A$39,0),1),INDEX('Category Mapping'!$E$28:$E$39,MATCH($A979,'Category Mapping'!$A$28:$A$39,0),1))</f>
        <v>1110972517.4285712</v>
      </c>
      <c r="P979" s="27">
        <f>P399*IF($E979="weekday",INDEX('Category Mapping'!$F$28:$F$39,MATCH('Summarized Source Data'!$A979,'Category Mapping'!$A$28:$A$39,0),1),INDEX('Category Mapping'!$E$28:$E$39,MATCH($A979,'Category Mapping'!$A$28:$A$39,0),1))</f>
        <v>1110972517.4285712</v>
      </c>
      <c r="Q979" s="27">
        <f>Q399*IF($E979="weekday",INDEX('Category Mapping'!$F$28:$F$39,MATCH('Summarized Source Data'!$A979,'Category Mapping'!$A$28:$A$39,0),1),INDEX('Category Mapping'!$E$28:$E$39,MATCH($A979,'Category Mapping'!$A$28:$A$39,0),1))</f>
        <v>1110972517.4285712</v>
      </c>
      <c r="R979" s="27">
        <f>R399*IF($E979="weekday",INDEX('Category Mapping'!$F$28:$F$39,MATCH('Summarized Source Data'!$A979,'Category Mapping'!$A$28:$A$39,0),1),INDEX('Category Mapping'!$E$28:$E$39,MATCH($A979,'Category Mapping'!$A$28:$A$39,0),1))</f>
        <v>49889787.999999993</v>
      </c>
      <c r="S979" s="27">
        <f>S399*IF($E979="weekday",INDEX('Category Mapping'!$F$28:$F$39,MATCH('Summarized Source Data'!$A979,'Category Mapping'!$A$28:$A$39,0),1),INDEX('Category Mapping'!$E$28:$E$39,MATCH($A979,'Category Mapping'!$A$28:$A$39,0),1))</f>
        <v>49889787.999999993</v>
      </c>
      <c r="T979" s="27">
        <f>T399*IF($E979="weekday",INDEX('Category Mapping'!$F$28:$F$39,MATCH('Summarized Source Data'!$A979,'Category Mapping'!$A$28:$A$39,0),1),INDEX('Category Mapping'!$E$28:$E$39,MATCH($A979,'Category Mapping'!$A$28:$A$39,0),1))</f>
        <v>49889787.999999993</v>
      </c>
      <c r="U979" s="27">
        <f>U399*IF($E979="weekday",INDEX('Category Mapping'!$F$28:$F$39,MATCH('Summarized Source Data'!$A979,'Category Mapping'!$A$28:$A$39,0),1),INDEX('Category Mapping'!$E$28:$E$39,MATCH($A979,'Category Mapping'!$A$28:$A$39,0),1))</f>
        <v>49889787.999999993</v>
      </c>
      <c r="V979" s="27">
        <f>V399*IF($E979="weekday",INDEX('Category Mapping'!$F$28:$F$39,MATCH('Summarized Source Data'!$A979,'Category Mapping'!$A$28:$A$39,0),1),INDEX('Category Mapping'!$E$28:$E$39,MATCH($A979,'Category Mapping'!$A$28:$A$39,0),1))</f>
        <v>49889787.999999993</v>
      </c>
      <c r="W979" s="27">
        <f>W399*IF($E979="weekday",INDEX('Category Mapping'!$F$28:$F$39,MATCH('Summarized Source Data'!$A979,'Category Mapping'!$A$28:$A$39,0),1),INDEX('Category Mapping'!$E$28:$E$39,MATCH($A979,'Category Mapping'!$A$28:$A$39,0),1))</f>
        <v>49889787.999999993</v>
      </c>
      <c r="X979" s="27">
        <f>X399*IF($E979="weekday",INDEX('Category Mapping'!$F$28:$F$39,MATCH('Summarized Source Data'!$A979,'Category Mapping'!$A$28:$A$39,0),1),INDEX('Category Mapping'!$E$28:$E$39,MATCH($A979,'Category Mapping'!$A$28:$A$39,0),1))</f>
        <v>3011428571.4285712</v>
      </c>
      <c r="Y979" s="27">
        <f>Y399*IF($E979="weekday",INDEX('Category Mapping'!$F$28:$F$39,MATCH('Summarized Source Data'!$A979,'Category Mapping'!$A$28:$A$39,0),1),INDEX('Category Mapping'!$E$28:$E$39,MATCH($A979,'Category Mapping'!$A$28:$A$39,0),1))</f>
        <v>3011428571.4285712</v>
      </c>
      <c r="Z979" s="27">
        <f>Z399*IF($E979="weekday",INDEX('Category Mapping'!$F$28:$F$39,MATCH('Summarized Source Data'!$A979,'Category Mapping'!$A$28:$A$39,0),1),INDEX('Category Mapping'!$E$28:$E$39,MATCH($A979,'Category Mapping'!$A$28:$A$39,0),1))</f>
        <v>3011428571.4285712</v>
      </c>
    </row>
    <row r="980" spans="1:26" x14ac:dyDescent="0.3">
      <c r="A980">
        <f t="shared" ref="A980:E980" si="445">A400</f>
        <v>5</v>
      </c>
      <c r="B980" t="str">
        <f t="shared" si="445"/>
        <v>Spring</v>
      </c>
      <c r="C980" t="str">
        <f t="shared" si="445"/>
        <v>h13</v>
      </c>
      <c r="D980" t="str">
        <f t="shared" si="445"/>
        <v>Hour12</v>
      </c>
      <c r="E980" t="str">
        <f t="shared" si="445"/>
        <v>Weekend</v>
      </c>
      <c r="F980" s="27">
        <f>F400*IF($E980="weekday",INDEX('Category Mapping'!$F$28:$F$39,MATCH('Summarized Source Data'!$A980,'Category Mapping'!$A$28:$A$39,0),1),INDEX('Category Mapping'!$E$28:$E$39,MATCH($A980,'Category Mapping'!$A$28:$A$39,0),1))</f>
        <v>10584028.857142856</v>
      </c>
      <c r="G980" s="27">
        <f>G400*IF($E980="weekday",INDEX('Category Mapping'!$F$28:$F$39,MATCH('Summarized Source Data'!$A980,'Category Mapping'!$A$28:$A$39,0),1),INDEX('Category Mapping'!$E$28:$E$39,MATCH($A980,'Category Mapping'!$A$28:$A$39,0),1))</f>
        <v>31935234.571428567</v>
      </c>
      <c r="H980" s="27">
        <f>H400*IF($E980="weekday",INDEX('Category Mapping'!$F$28:$F$39,MATCH('Summarized Source Data'!$A980,'Category Mapping'!$A$28:$A$39,0),1),INDEX('Category Mapping'!$E$28:$E$39,MATCH($A980,'Category Mapping'!$A$28:$A$39,0),1))</f>
        <v>0</v>
      </c>
      <c r="I980" s="27">
        <f>I400*IF($E980="weekday",INDEX('Category Mapping'!$F$28:$F$39,MATCH('Summarized Source Data'!$A980,'Category Mapping'!$A$28:$A$39,0),1),INDEX('Category Mapping'!$E$28:$E$39,MATCH($A980,'Category Mapping'!$A$28:$A$39,0),1))</f>
        <v>65823513.428571418</v>
      </c>
      <c r="J980" s="27">
        <f>J400*IF($E980="weekday",INDEX('Category Mapping'!$F$28:$F$39,MATCH('Summarized Source Data'!$A980,'Category Mapping'!$A$28:$A$39,0),1),INDEX('Category Mapping'!$E$28:$E$39,MATCH($A980,'Category Mapping'!$A$28:$A$39,0),1))</f>
        <v>795085794.57142842</v>
      </c>
      <c r="K980" s="27">
        <f>K400*IF($E980="weekday",INDEX('Category Mapping'!$F$28:$F$39,MATCH('Summarized Source Data'!$A980,'Category Mapping'!$A$28:$A$39,0),1),INDEX('Category Mapping'!$E$28:$E$39,MATCH($A980,'Category Mapping'!$A$28:$A$39,0),1))</f>
        <v>795085794.57142842</v>
      </c>
      <c r="L980" s="27">
        <f>L400*IF($E980="weekday",INDEX('Category Mapping'!$F$28:$F$39,MATCH('Summarized Source Data'!$A980,'Category Mapping'!$A$28:$A$39,0),1),INDEX('Category Mapping'!$E$28:$E$39,MATCH($A980,'Category Mapping'!$A$28:$A$39,0),1))</f>
        <v>14224403.14285714</v>
      </c>
      <c r="M980" s="27">
        <f>M400*IF($E980="weekday",INDEX('Category Mapping'!$F$28:$F$39,MATCH('Summarized Source Data'!$A980,'Category Mapping'!$A$28:$A$39,0),1),INDEX('Category Mapping'!$E$28:$E$39,MATCH($A980,'Category Mapping'!$A$28:$A$39,0),1))</f>
        <v>65170617.999999993</v>
      </c>
      <c r="N980" s="27">
        <f>N400*IF($E980="weekday",INDEX('Category Mapping'!$F$28:$F$39,MATCH('Summarized Source Data'!$A980,'Category Mapping'!$A$28:$A$39,0),1),INDEX('Category Mapping'!$E$28:$E$39,MATCH($A980,'Category Mapping'!$A$28:$A$39,0),1))</f>
        <v>0</v>
      </c>
      <c r="O980" s="27">
        <f>O400*IF($E980="weekday",INDEX('Category Mapping'!$F$28:$F$39,MATCH('Summarized Source Data'!$A980,'Category Mapping'!$A$28:$A$39,0),1),INDEX('Category Mapping'!$E$28:$E$39,MATCH($A980,'Category Mapping'!$A$28:$A$39,0),1))</f>
        <v>1107462121.7142856</v>
      </c>
      <c r="P980" s="27">
        <f>P400*IF($E980="weekday",INDEX('Category Mapping'!$F$28:$F$39,MATCH('Summarized Source Data'!$A980,'Category Mapping'!$A$28:$A$39,0),1),INDEX('Category Mapping'!$E$28:$E$39,MATCH($A980,'Category Mapping'!$A$28:$A$39,0),1))</f>
        <v>1107462121.7142856</v>
      </c>
      <c r="Q980" s="27">
        <f>Q400*IF($E980="weekday",INDEX('Category Mapping'!$F$28:$F$39,MATCH('Summarized Source Data'!$A980,'Category Mapping'!$A$28:$A$39,0),1),INDEX('Category Mapping'!$E$28:$E$39,MATCH($A980,'Category Mapping'!$A$28:$A$39,0),1))</f>
        <v>1107462121.7142856</v>
      </c>
      <c r="R980" s="27">
        <f>R400*IF($E980="weekday",INDEX('Category Mapping'!$F$28:$F$39,MATCH('Summarized Source Data'!$A980,'Category Mapping'!$A$28:$A$39,0),1),INDEX('Category Mapping'!$E$28:$E$39,MATCH($A980,'Category Mapping'!$A$28:$A$39,0),1))</f>
        <v>48849640.571428567</v>
      </c>
      <c r="S980" s="27">
        <f>S400*IF($E980="weekday",INDEX('Category Mapping'!$F$28:$F$39,MATCH('Summarized Source Data'!$A980,'Category Mapping'!$A$28:$A$39,0),1),INDEX('Category Mapping'!$E$28:$E$39,MATCH($A980,'Category Mapping'!$A$28:$A$39,0),1))</f>
        <v>48849640.571428567</v>
      </c>
      <c r="T980" s="27">
        <f>T400*IF($E980="weekday",INDEX('Category Mapping'!$F$28:$F$39,MATCH('Summarized Source Data'!$A980,'Category Mapping'!$A$28:$A$39,0),1),INDEX('Category Mapping'!$E$28:$E$39,MATCH($A980,'Category Mapping'!$A$28:$A$39,0),1))</f>
        <v>48849640.571428567</v>
      </c>
      <c r="U980" s="27">
        <f>U400*IF($E980="weekday",INDEX('Category Mapping'!$F$28:$F$39,MATCH('Summarized Source Data'!$A980,'Category Mapping'!$A$28:$A$39,0),1),INDEX('Category Mapping'!$E$28:$E$39,MATCH($A980,'Category Mapping'!$A$28:$A$39,0),1))</f>
        <v>48849640.571428567</v>
      </c>
      <c r="V980" s="27">
        <f>V400*IF($E980="weekday",INDEX('Category Mapping'!$F$28:$F$39,MATCH('Summarized Source Data'!$A980,'Category Mapping'!$A$28:$A$39,0),1),INDEX('Category Mapping'!$E$28:$E$39,MATCH($A980,'Category Mapping'!$A$28:$A$39,0),1))</f>
        <v>48849640.571428567</v>
      </c>
      <c r="W980" s="27">
        <f>W400*IF($E980="weekday",INDEX('Category Mapping'!$F$28:$F$39,MATCH('Summarized Source Data'!$A980,'Category Mapping'!$A$28:$A$39,0),1),INDEX('Category Mapping'!$E$28:$E$39,MATCH($A980,'Category Mapping'!$A$28:$A$39,0),1))</f>
        <v>48849640.571428567</v>
      </c>
      <c r="X980" s="27">
        <f>X400*IF($E980="weekday",INDEX('Category Mapping'!$F$28:$F$39,MATCH('Summarized Source Data'!$A980,'Category Mapping'!$A$28:$A$39,0),1),INDEX('Category Mapping'!$E$28:$E$39,MATCH($A980,'Category Mapping'!$A$28:$A$39,0),1))</f>
        <v>3002571428.5714283</v>
      </c>
      <c r="Y980" s="27">
        <f>Y400*IF($E980="weekday",INDEX('Category Mapping'!$F$28:$F$39,MATCH('Summarized Source Data'!$A980,'Category Mapping'!$A$28:$A$39,0),1),INDEX('Category Mapping'!$E$28:$E$39,MATCH($A980,'Category Mapping'!$A$28:$A$39,0),1))</f>
        <v>3002571428.5714283</v>
      </c>
      <c r="Z980" s="27">
        <f>Z400*IF($E980="weekday",INDEX('Category Mapping'!$F$28:$F$39,MATCH('Summarized Source Data'!$A980,'Category Mapping'!$A$28:$A$39,0),1),INDEX('Category Mapping'!$E$28:$E$39,MATCH($A980,'Category Mapping'!$A$28:$A$39,0),1))</f>
        <v>3002571428.5714283</v>
      </c>
    </row>
    <row r="981" spans="1:26" x14ac:dyDescent="0.3">
      <c r="A981">
        <f t="shared" ref="A981:E981" si="446">A401</f>
        <v>5</v>
      </c>
      <c r="B981" t="str">
        <f t="shared" si="446"/>
        <v>Spring</v>
      </c>
      <c r="C981" t="str">
        <f t="shared" si="446"/>
        <v>h14</v>
      </c>
      <c r="D981" t="str">
        <f t="shared" si="446"/>
        <v>Hour13</v>
      </c>
      <c r="E981" t="str">
        <f t="shared" si="446"/>
        <v>Weekend</v>
      </c>
      <c r="F981" s="27">
        <f>F401*IF($E981="weekday",INDEX('Category Mapping'!$F$28:$F$39,MATCH('Summarized Source Data'!$A981,'Category Mapping'!$A$28:$A$39,0),1),INDEX('Category Mapping'!$E$28:$E$39,MATCH($A981,'Category Mapping'!$A$28:$A$39,0),1))</f>
        <v>10575463.999999998</v>
      </c>
      <c r="G981" s="27">
        <f>G401*IF($E981="weekday",INDEX('Category Mapping'!$F$28:$F$39,MATCH('Summarized Source Data'!$A981,'Category Mapping'!$A$28:$A$39,0),1),INDEX('Category Mapping'!$E$28:$E$39,MATCH($A981,'Category Mapping'!$A$28:$A$39,0),1))</f>
        <v>36752271.428571425</v>
      </c>
      <c r="H981" s="27">
        <f>H401*IF($E981="weekday",INDEX('Category Mapping'!$F$28:$F$39,MATCH('Summarized Source Data'!$A981,'Category Mapping'!$A$28:$A$39,0),1),INDEX('Category Mapping'!$E$28:$E$39,MATCH($A981,'Category Mapping'!$A$28:$A$39,0),1))</f>
        <v>0</v>
      </c>
      <c r="I981" s="27">
        <f>I401*IF($E981="weekday",INDEX('Category Mapping'!$F$28:$F$39,MATCH('Summarized Source Data'!$A981,'Category Mapping'!$A$28:$A$39,0),1),INDEX('Category Mapping'!$E$28:$E$39,MATCH($A981,'Category Mapping'!$A$28:$A$39,0),1))</f>
        <v>65739175.714285702</v>
      </c>
      <c r="J981" s="27">
        <f>J401*IF($E981="weekday",INDEX('Category Mapping'!$F$28:$F$39,MATCH('Summarized Source Data'!$A981,'Category Mapping'!$A$28:$A$39,0),1),INDEX('Category Mapping'!$E$28:$E$39,MATCH($A981,'Category Mapping'!$A$28:$A$39,0),1))</f>
        <v>702675945.99999988</v>
      </c>
      <c r="K981" s="27">
        <f>K401*IF($E981="weekday",INDEX('Category Mapping'!$F$28:$F$39,MATCH('Summarized Source Data'!$A981,'Category Mapping'!$A$28:$A$39,0),1),INDEX('Category Mapping'!$E$28:$E$39,MATCH($A981,'Category Mapping'!$A$28:$A$39,0),1))</f>
        <v>702675945.99999988</v>
      </c>
      <c r="L981" s="27">
        <f>L401*IF($E981="weekday",INDEX('Category Mapping'!$F$28:$F$39,MATCH('Summarized Source Data'!$A981,'Category Mapping'!$A$28:$A$39,0),1),INDEX('Category Mapping'!$E$28:$E$39,MATCH($A981,'Category Mapping'!$A$28:$A$39,0),1))</f>
        <v>13424266.571428569</v>
      </c>
      <c r="M981" s="27">
        <f>M401*IF($E981="weekday",INDEX('Category Mapping'!$F$28:$F$39,MATCH('Summarized Source Data'!$A981,'Category Mapping'!$A$28:$A$39,0),1),INDEX('Category Mapping'!$E$28:$E$39,MATCH($A981,'Category Mapping'!$A$28:$A$39,0),1))</f>
        <v>68029030.571428567</v>
      </c>
      <c r="N981" s="27">
        <f>N401*IF($E981="weekday",INDEX('Category Mapping'!$F$28:$F$39,MATCH('Summarized Source Data'!$A981,'Category Mapping'!$A$28:$A$39,0),1),INDEX('Category Mapping'!$E$28:$E$39,MATCH($A981,'Category Mapping'!$A$28:$A$39,0),1))</f>
        <v>0</v>
      </c>
      <c r="O981" s="27">
        <f>O401*IF($E981="weekday",INDEX('Category Mapping'!$F$28:$F$39,MATCH('Summarized Source Data'!$A981,'Category Mapping'!$A$28:$A$39,0),1),INDEX('Category Mapping'!$E$28:$E$39,MATCH($A981,'Category Mapping'!$A$28:$A$39,0),1))</f>
        <v>1069975274.2857141</v>
      </c>
      <c r="P981" s="27">
        <f>P401*IF($E981="weekday",INDEX('Category Mapping'!$F$28:$F$39,MATCH('Summarized Source Data'!$A981,'Category Mapping'!$A$28:$A$39,0),1),INDEX('Category Mapping'!$E$28:$E$39,MATCH($A981,'Category Mapping'!$A$28:$A$39,0),1))</f>
        <v>1069975274.2857141</v>
      </c>
      <c r="Q981" s="27">
        <f>Q401*IF($E981="weekday",INDEX('Category Mapping'!$F$28:$F$39,MATCH('Summarized Source Data'!$A981,'Category Mapping'!$A$28:$A$39,0),1),INDEX('Category Mapping'!$E$28:$E$39,MATCH($A981,'Category Mapping'!$A$28:$A$39,0),1))</f>
        <v>1069975274.2857141</v>
      </c>
      <c r="R981" s="27">
        <f>R401*IF($E981="weekday",INDEX('Category Mapping'!$F$28:$F$39,MATCH('Summarized Source Data'!$A981,'Category Mapping'!$A$28:$A$39,0),1),INDEX('Category Mapping'!$E$28:$E$39,MATCH($A981,'Category Mapping'!$A$28:$A$39,0),1))</f>
        <v>46601361.142857134</v>
      </c>
      <c r="S981" s="27">
        <f>S401*IF($E981="weekday",INDEX('Category Mapping'!$F$28:$F$39,MATCH('Summarized Source Data'!$A981,'Category Mapping'!$A$28:$A$39,0),1),INDEX('Category Mapping'!$E$28:$E$39,MATCH($A981,'Category Mapping'!$A$28:$A$39,0),1))</f>
        <v>46601361.142857134</v>
      </c>
      <c r="T981" s="27">
        <f>T401*IF($E981="weekday",INDEX('Category Mapping'!$F$28:$F$39,MATCH('Summarized Source Data'!$A981,'Category Mapping'!$A$28:$A$39,0),1),INDEX('Category Mapping'!$E$28:$E$39,MATCH($A981,'Category Mapping'!$A$28:$A$39,0),1))</f>
        <v>46601361.142857134</v>
      </c>
      <c r="U981" s="27">
        <f>U401*IF($E981="weekday",INDEX('Category Mapping'!$F$28:$F$39,MATCH('Summarized Source Data'!$A981,'Category Mapping'!$A$28:$A$39,0),1),INDEX('Category Mapping'!$E$28:$E$39,MATCH($A981,'Category Mapping'!$A$28:$A$39,0),1))</f>
        <v>46601361.142857134</v>
      </c>
      <c r="V981" s="27">
        <f>V401*IF($E981="weekday",INDEX('Category Mapping'!$F$28:$F$39,MATCH('Summarized Source Data'!$A981,'Category Mapping'!$A$28:$A$39,0),1),INDEX('Category Mapping'!$E$28:$E$39,MATCH($A981,'Category Mapping'!$A$28:$A$39,0),1))</f>
        <v>46601361.142857134</v>
      </c>
      <c r="W981" s="27">
        <f>W401*IF($E981="weekday",INDEX('Category Mapping'!$F$28:$F$39,MATCH('Summarized Source Data'!$A981,'Category Mapping'!$A$28:$A$39,0),1),INDEX('Category Mapping'!$E$28:$E$39,MATCH($A981,'Category Mapping'!$A$28:$A$39,0),1))</f>
        <v>46601361.142857134</v>
      </c>
      <c r="X981" s="27">
        <f>X401*IF($E981="weekday",INDEX('Category Mapping'!$F$28:$F$39,MATCH('Summarized Source Data'!$A981,'Category Mapping'!$A$28:$A$39,0),1),INDEX('Category Mapping'!$E$28:$E$39,MATCH($A981,'Category Mapping'!$A$28:$A$39,0),1))</f>
        <v>3011428571.4285712</v>
      </c>
      <c r="Y981" s="27">
        <f>Y401*IF($E981="weekday",INDEX('Category Mapping'!$F$28:$F$39,MATCH('Summarized Source Data'!$A981,'Category Mapping'!$A$28:$A$39,0),1),INDEX('Category Mapping'!$E$28:$E$39,MATCH($A981,'Category Mapping'!$A$28:$A$39,0),1))</f>
        <v>3011428571.4285712</v>
      </c>
      <c r="Z981" s="27">
        <f>Z401*IF($E981="weekday",INDEX('Category Mapping'!$F$28:$F$39,MATCH('Summarized Source Data'!$A981,'Category Mapping'!$A$28:$A$39,0),1),INDEX('Category Mapping'!$E$28:$E$39,MATCH($A981,'Category Mapping'!$A$28:$A$39,0),1))</f>
        <v>3011428571.4285712</v>
      </c>
    </row>
    <row r="982" spans="1:26" x14ac:dyDescent="0.3">
      <c r="A982">
        <f t="shared" ref="A982:E982" si="447">A402</f>
        <v>5</v>
      </c>
      <c r="B982" t="str">
        <f t="shared" si="447"/>
        <v>Spring</v>
      </c>
      <c r="C982" t="str">
        <f t="shared" si="447"/>
        <v>h15</v>
      </c>
      <c r="D982" t="str">
        <f t="shared" si="447"/>
        <v>Hour14</v>
      </c>
      <c r="E982" t="str">
        <f t="shared" si="447"/>
        <v>Weekend</v>
      </c>
      <c r="F982" s="27">
        <f>F402*IF($E982="weekday",INDEX('Category Mapping'!$F$28:$F$39,MATCH('Summarized Source Data'!$A982,'Category Mapping'!$A$28:$A$39,0),1),INDEX('Category Mapping'!$E$28:$E$39,MATCH($A982,'Category Mapping'!$A$28:$A$39,0),1))</f>
        <v>10505253.428571427</v>
      </c>
      <c r="G982" s="27">
        <f>G402*IF($E982="weekday",INDEX('Category Mapping'!$F$28:$F$39,MATCH('Summarized Source Data'!$A982,'Category Mapping'!$A$28:$A$39,0),1),INDEX('Category Mapping'!$E$28:$E$39,MATCH($A982,'Category Mapping'!$A$28:$A$39,0),1))</f>
        <v>38218810.571428567</v>
      </c>
      <c r="H982" s="27">
        <f>H402*IF($E982="weekday",INDEX('Category Mapping'!$F$28:$F$39,MATCH('Summarized Source Data'!$A982,'Category Mapping'!$A$28:$A$39,0),1),INDEX('Category Mapping'!$E$28:$E$39,MATCH($A982,'Category Mapping'!$A$28:$A$39,0),1))</f>
        <v>0</v>
      </c>
      <c r="I982" s="27">
        <f>I402*IF($E982="weekday",INDEX('Category Mapping'!$F$28:$F$39,MATCH('Summarized Source Data'!$A982,'Category Mapping'!$A$28:$A$39,0),1),INDEX('Category Mapping'!$E$28:$E$39,MATCH($A982,'Category Mapping'!$A$28:$A$39,0),1))</f>
        <v>65047468.285714276</v>
      </c>
      <c r="J982" s="27">
        <f>J402*IF($E982="weekday",INDEX('Category Mapping'!$F$28:$F$39,MATCH('Summarized Source Data'!$A982,'Category Mapping'!$A$28:$A$39,0),1),INDEX('Category Mapping'!$E$28:$E$39,MATCH($A982,'Category Mapping'!$A$28:$A$39,0),1))</f>
        <v>735628467.71428561</v>
      </c>
      <c r="K982" s="27">
        <f>K402*IF($E982="weekday",INDEX('Category Mapping'!$F$28:$F$39,MATCH('Summarized Source Data'!$A982,'Category Mapping'!$A$28:$A$39,0),1),INDEX('Category Mapping'!$E$28:$E$39,MATCH($A982,'Category Mapping'!$A$28:$A$39,0),1))</f>
        <v>735628467.71428561</v>
      </c>
      <c r="L982" s="27">
        <f>L402*IF($E982="weekday",INDEX('Category Mapping'!$F$28:$F$39,MATCH('Summarized Source Data'!$A982,'Category Mapping'!$A$28:$A$39,0),1),INDEX('Category Mapping'!$E$28:$E$39,MATCH($A982,'Category Mapping'!$A$28:$A$39,0),1))</f>
        <v>13209418.857142854</v>
      </c>
      <c r="M982" s="27">
        <f>M402*IF($E982="weekday",INDEX('Category Mapping'!$F$28:$F$39,MATCH('Summarized Source Data'!$A982,'Category Mapping'!$A$28:$A$39,0),1),INDEX('Category Mapping'!$E$28:$E$39,MATCH($A982,'Category Mapping'!$A$28:$A$39,0),1))</f>
        <v>69008940.571428567</v>
      </c>
      <c r="N982" s="27">
        <f>N402*IF($E982="weekday",INDEX('Category Mapping'!$F$28:$F$39,MATCH('Summarized Source Data'!$A982,'Category Mapping'!$A$28:$A$39,0),1),INDEX('Category Mapping'!$E$28:$E$39,MATCH($A982,'Category Mapping'!$A$28:$A$39,0),1))</f>
        <v>0</v>
      </c>
      <c r="O982" s="27">
        <f>O402*IF($E982="weekday",INDEX('Category Mapping'!$F$28:$F$39,MATCH('Summarized Source Data'!$A982,'Category Mapping'!$A$28:$A$39,0),1),INDEX('Category Mapping'!$E$28:$E$39,MATCH($A982,'Category Mapping'!$A$28:$A$39,0),1))</f>
        <v>1016067354.8571427</v>
      </c>
      <c r="P982" s="27">
        <f>P402*IF($E982="weekday",INDEX('Category Mapping'!$F$28:$F$39,MATCH('Summarized Source Data'!$A982,'Category Mapping'!$A$28:$A$39,0),1),INDEX('Category Mapping'!$E$28:$E$39,MATCH($A982,'Category Mapping'!$A$28:$A$39,0),1))</f>
        <v>1016067354.8571427</v>
      </c>
      <c r="Q982" s="27">
        <f>Q402*IF($E982="weekday",INDEX('Category Mapping'!$F$28:$F$39,MATCH('Summarized Source Data'!$A982,'Category Mapping'!$A$28:$A$39,0),1),INDEX('Category Mapping'!$E$28:$E$39,MATCH($A982,'Category Mapping'!$A$28:$A$39,0),1))</f>
        <v>1016067354.8571427</v>
      </c>
      <c r="R982" s="27">
        <f>R402*IF($E982="weekday",INDEX('Category Mapping'!$F$28:$F$39,MATCH('Summarized Source Data'!$A982,'Category Mapping'!$A$28:$A$39,0),1),INDEX('Category Mapping'!$E$28:$E$39,MATCH($A982,'Category Mapping'!$A$28:$A$39,0),1))</f>
        <v>45979013.999999993</v>
      </c>
      <c r="S982" s="27">
        <f>S402*IF($E982="weekday",INDEX('Category Mapping'!$F$28:$F$39,MATCH('Summarized Source Data'!$A982,'Category Mapping'!$A$28:$A$39,0),1),INDEX('Category Mapping'!$E$28:$E$39,MATCH($A982,'Category Mapping'!$A$28:$A$39,0),1))</f>
        <v>45979013.999999993</v>
      </c>
      <c r="T982" s="27">
        <f>T402*IF($E982="weekday",INDEX('Category Mapping'!$F$28:$F$39,MATCH('Summarized Source Data'!$A982,'Category Mapping'!$A$28:$A$39,0),1),INDEX('Category Mapping'!$E$28:$E$39,MATCH($A982,'Category Mapping'!$A$28:$A$39,0),1))</f>
        <v>45979013.999999993</v>
      </c>
      <c r="U982" s="27">
        <f>U402*IF($E982="weekday",INDEX('Category Mapping'!$F$28:$F$39,MATCH('Summarized Source Data'!$A982,'Category Mapping'!$A$28:$A$39,0),1),INDEX('Category Mapping'!$E$28:$E$39,MATCH($A982,'Category Mapping'!$A$28:$A$39,0),1))</f>
        <v>45979013.999999993</v>
      </c>
      <c r="V982" s="27">
        <f>V402*IF($E982="weekday",INDEX('Category Mapping'!$F$28:$F$39,MATCH('Summarized Source Data'!$A982,'Category Mapping'!$A$28:$A$39,0),1),INDEX('Category Mapping'!$E$28:$E$39,MATCH($A982,'Category Mapping'!$A$28:$A$39,0),1))</f>
        <v>45979013.999999993</v>
      </c>
      <c r="W982" s="27">
        <f>W402*IF($E982="weekday",INDEX('Category Mapping'!$F$28:$F$39,MATCH('Summarized Source Data'!$A982,'Category Mapping'!$A$28:$A$39,0),1),INDEX('Category Mapping'!$E$28:$E$39,MATCH($A982,'Category Mapping'!$A$28:$A$39,0),1))</f>
        <v>45979013.999999993</v>
      </c>
      <c r="X982" s="27">
        <f>X402*IF($E982="weekday",INDEX('Category Mapping'!$F$28:$F$39,MATCH('Summarized Source Data'!$A982,'Category Mapping'!$A$28:$A$39,0),1),INDEX('Category Mapping'!$E$28:$E$39,MATCH($A982,'Category Mapping'!$A$28:$A$39,0),1))</f>
        <v>3020285714.2857137</v>
      </c>
      <c r="Y982" s="27">
        <f>Y402*IF($E982="weekday",INDEX('Category Mapping'!$F$28:$F$39,MATCH('Summarized Source Data'!$A982,'Category Mapping'!$A$28:$A$39,0),1),INDEX('Category Mapping'!$E$28:$E$39,MATCH($A982,'Category Mapping'!$A$28:$A$39,0),1))</f>
        <v>3020285714.2857137</v>
      </c>
      <c r="Z982" s="27">
        <f>Z402*IF($E982="weekday",INDEX('Category Mapping'!$F$28:$F$39,MATCH('Summarized Source Data'!$A982,'Category Mapping'!$A$28:$A$39,0),1),INDEX('Category Mapping'!$E$28:$E$39,MATCH($A982,'Category Mapping'!$A$28:$A$39,0),1))</f>
        <v>3020285714.2857137</v>
      </c>
    </row>
    <row r="983" spans="1:26" x14ac:dyDescent="0.3">
      <c r="A983">
        <f t="shared" ref="A983:E983" si="448">A403</f>
        <v>5</v>
      </c>
      <c r="B983" t="str">
        <f t="shared" si="448"/>
        <v>Spring</v>
      </c>
      <c r="C983" t="str">
        <f t="shared" si="448"/>
        <v>h16</v>
      </c>
      <c r="D983" t="str">
        <f t="shared" si="448"/>
        <v>Hour15</v>
      </c>
      <c r="E983" t="str">
        <f t="shared" si="448"/>
        <v>Weekend</v>
      </c>
      <c r="F983" s="27">
        <f>F403*IF($E983="weekday",INDEX('Category Mapping'!$F$28:$F$39,MATCH('Summarized Source Data'!$A983,'Category Mapping'!$A$28:$A$39,0),1),INDEX('Category Mapping'!$E$28:$E$39,MATCH($A983,'Category Mapping'!$A$28:$A$39,0),1))</f>
        <v>10521825.142857142</v>
      </c>
      <c r="G983" s="27">
        <f>G403*IF($E983="weekday",INDEX('Category Mapping'!$F$28:$F$39,MATCH('Summarized Source Data'!$A983,'Category Mapping'!$A$28:$A$39,0),1),INDEX('Category Mapping'!$E$28:$E$39,MATCH($A983,'Category Mapping'!$A$28:$A$39,0),1))</f>
        <v>36558361.999999993</v>
      </c>
      <c r="H983" s="27">
        <f>H403*IF($E983="weekday",INDEX('Category Mapping'!$F$28:$F$39,MATCH('Summarized Source Data'!$A983,'Category Mapping'!$A$28:$A$39,0),1),INDEX('Category Mapping'!$E$28:$E$39,MATCH($A983,'Category Mapping'!$A$28:$A$39,0),1))</f>
        <v>0</v>
      </c>
      <c r="I983" s="27">
        <f>I403*IF($E983="weekday",INDEX('Category Mapping'!$F$28:$F$39,MATCH('Summarized Source Data'!$A983,'Category Mapping'!$A$28:$A$39,0),1),INDEX('Category Mapping'!$E$28:$E$39,MATCH($A983,'Category Mapping'!$A$28:$A$39,0),1))</f>
        <v>65210705.428571418</v>
      </c>
      <c r="J983" s="27">
        <f>J403*IF($E983="weekday",INDEX('Category Mapping'!$F$28:$F$39,MATCH('Summarized Source Data'!$A983,'Category Mapping'!$A$28:$A$39,0),1),INDEX('Category Mapping'!$E$28:$E$39,MATCH($A983,'Category Mapping'!$A$28:$A$39,0),1))</f>
        <v>768109107.42857134</v>
      </c>
      <c r="K983" s="27">
        <f>K403*IF($E983="weekday",INDEX('Category Mapping'!$F$28:$F$39,MATCH('Summarized Source Data'!$A983,'Category Mapping'!$A$28:$A$39,0),1),INDEX('Category Mapping'!$E$28:$E$39,MATCH($A983,'Category Mapping'!$A$28:$A$39,0),1))</f>
        <v>768109107.42857134</v>
      </c>
      <c r="L983" s="27">
        <f>L403*IF($E983="weekday",INDEX('Category Mapping'!$F$28:$F$39,MATCH('Summarized Source Data'!$A983,'Category Mapping'!$A$28:$A$39,0),1),INDEX('Category Mapping'!$E$28:$E$39,MATCH($A983,'Category Mapping'!$A$28:$A$39,0),1))</f>
        <v>11652660.857142856</v>
      </c>
      <c r="M983" s="27">
        <f>M403*IF($E983="weekday",INDEX('Category Mapping'!$F$28:$F$39,MATCH('Summarized Source Data'!$A983,'Category Mapping'!$A$28:$A$39,0),1),INDEX('Category Mapping'!$E$28:$E$39,MATCH($A983,'Category Mapping'!$A$28:$A$39,0),1))</f>
        <v>68038923.999999985</v>
      </c>
      <c r="N983" s="27">
        <f>N403*IF($E983="weekday",INDEX('Category Mapping'!$F$28:$F$39,MATCH('Summarized Source Data'!$A983,'Category Mapping'!$A$28:$A$39,0),1),INDEX('Category Mapping'!$E$28:$E$39,MATCH($A983,'Category Mapping'!$A$28:$A$39,0),1))</f>
        <v>0</v>
      </c>
      <c r="O983" s="27">
        <f>O403*IF($E983="weekday",INDEX('Category Mapping'!$F$28:$F$39,MATCH('Summarized Source Data'!$A983,'Category Mapping'!$A$28:$A$39,0),1),INDEX('Category Mapping'!$E$28:$E$39,MATCH($A983,'Category Mapping'!$A$28:$A$39,0),1))</f>
        <v>947736986.57142842</v>
      </c>
      <c r="P983" s="27">
        <f>P403*IF($E983="weekday",INDEX('Category Mapping'!$F$28:$F$39,MATCH('Summarized Source Data'!$A983,'Category Mapping'!$A$28:$A$39,0),1),INDEX('Category Mapping'!$E$28:$E$39,MATCH($A983,'Category Mapping'!$A$28:$A$39,0),1))</f>
        <v>947736986.57142842</v>
      </c>
      <c r="Q983" s="27">
        <f>Q403*IF($E983="weekday",INDEX('Category Mapping'!$F$28:$F$39,MATCH('Summarized Source Data'!$A983,'Category Mapping'!$A$28:$A$39,0),1),INDEX('Category Mapping'!$E$28:$E$39,MATCH($A983,'Category Mapping'!$A$28:$A$39,0),1))</f>
        <v>947736986.57142842</v>
      </c>
      <c r="R983" s="27">
        <f>R403*IF($E983="weekday",INDEX('Category Mapping'!$F$28:$F$39,MATCH('Summarized Source Data'!$A983,'Category Mapping'!$A$28:$A$39,0),1),INDEX('Category Mapping'!$E$28:$E$39,MATCH($A983,'Category Mapping'!$A$28:$A$39,0),1))</f>
        <v>45045488.857142851</v>
      </c>
      <c r="S983" s="27">
        <f>S403*IF($E983="weekday",INDEX('Category Mapping'!$F$28:$F$39,MATCH('Summarized Source Data'!$A983,'Category Mapping'!$A$28:$A$39,0),1),INDEX('Category Mapping'!$E$28:$E$39,MATCH($A983,'Category Mapping'!$A$28:$A$39,0),1))</f>
        <v>45045488.857142851</v>
      </c>
      <c r="T983" s="27">
        <f>T403*IF($E983="weekday",INDEX('Category Mapping'!$F$28:$F$39,MATCH('Summarized Source Data'!$A983,'Category Mapping'!$A$28:$A$39,0),1),INDEX('Category Mapping'!$E$28:$E$39,MATCH($A983,'Category Mapping'!$A$28:$A$39,0),1))</f>
        <v>45045488.857142851</v>
      </c>
      <c r="U983" s="27">
        <f>U403*IF($E983="weekday",INDEX('Category Mapping'!$F$28:$F$39,MATCH('Summarized Source Data'!$A983,'Category Mapping'!$A$28:$A$39,0),1),INDEX('Category Mapping'!$E$28:$E$39,MATCH($A983,'Category Mapping'!$A$28:$A$39,0),1))</f>
        <v>45045488.857142851</v>
      </c>
      <c r="V983" s="27">
        <f>V403*IF($E983="weekday",INDEX('Category Mapping'!$F$28:$F$39,MATCH('Summarized Source Data'!$A983,'Category Mapping'!$A$28:$A$39,0),1),INDEX('Category Mapping'!$E$28:$E$39,MATCH($A983,'Category Mapping'!$A$28:$A$39,0),1))</f>
        <v>45045488.857142851</v>
      </c>
      <c r="W983" s="27">
        <f>W403*IF($E983="weekday",INDEX('Category Mapping'!$F$28:$F$39,MATCH('Summarized Source Data'!$A983,'Category Mapping'!$A$28:$A$39,0),1),INDEX('Category Mapping'!$E$28:$E$39,MATCH($A983,'Category Mapping'!$A$28:$A$39,0),1))</f>
        <v>45045488.857142851</v>
      </c>
      <c r="X983" s="27">
        <f>X403*IF($E983="weekday",INDEX('Category Mapping'!$F$28:$F$39,MATCH('Summarized Source Data'!$A983,'Category Mapping'!$A$28:$A$39,0),1),INDEX('Category Mapping'!$E$28:$E$39,MATCH($A983,'Category Mapping'!$A$28:$A$39,0),1))</f>
        <v>3046857142.8571424</v>
      </c>
      <c r="Y983" s="27">
        <f>Y403*IF($E983="weekday",INDEX('Category Mapping'!$F$28:$F$39,MATCH('Summarized Source Data'!$A983,'Category Mapping'!$A$28:$A$39,0),1),INDEX('Category Mapping'!$E$28:$E$39,MATCH($A983,'Category Mapping'!$A$28:$A$39,0),1))</f>
        <v>3046857142.8571424</v>
      </c>
      <c r="Z983" s="27">
        <f>Z403*IF($E983="weekday",INDEX('Category Mapping'!$F$28:$F$39,MATCH('Summarized Source Data'!$A983,'Category Mapping'!$A$28:$A$39,0),1),INDEX('Category Mapping'!$E$28:$E$39,MATCH($A983,'Category Mapping'!$A$28:$A$39,0),1))</f>
        <v>3046857142.8571424</v>
      </c>
    </row>
    <row r="984" spans="1:26" x14ac:dyDescent="0.3">
      <c r="A984">
        <f t="shared" ref="A984:E984" si="449">A404</f>
        <v>5</v>
      </c>
      <c r="B984" t="str">
        <f t="shared" si="449"/>
        <v>Spring</v>
      </c>
      <c r="C984" t="str">
        <f t="shared" si="449"/>
        <v>h17</v>
      </c>
      <c r="D984" t="str">
        <f t="shared" si="449"/>
        <v>Hour16</v>
      </c>
      <c r="E984" t="str">
        <f t="shared" si="449"/>
        <v>Weekend</v>
      </c>
      <c r="F984" s="27">
        <f>F404*IF($E984="weekday",INDEX('Category Mapping'!$F$28:$F$39,MATCH('Summarized Source Data'!$A984,'Category Mapping'!$A$28:$A$39,0),1),INDEX('Category Mapping'!$E$28:$E$39,MATCH($A984,'Category Mapping'!$A$28:$A$39,0),1))</f>
        <v>10702572.857142856</v>
      </c>
      <c r="G984" s="27">
        <f>G404*IF($E984="weekday",INDEX('Category Mapping'!$F$28:$F$39,MATCH('Summarized Source Data'!$A984,'Category Mapping'!$A$28:$A$39,0),1),INDEX('Category Mapping'!$E$28:$E$39,MATCH($A984,'Category Mapping'!$A$28:$A$39,0),1))</f>
        <v>32320529.142857138</v>
      </c>
      <c r="H984" s="27">
        <f>H404*IF($E984="weekday",INDEX('Category Mapping'!$F$28:$F$39,MATCH('Summarized Source Data'!$A984,'Category Mapping'!$A$28:$A$39,0),1),INDEX('Category Mapping'!$E$28:$E$39,MATCH($A984,'Category Mapping'!$A$28:$A$39,0),1))</f>
        <v>0</v>
      </c>
      <c r="I984" s="27">
        <f>I404*IF($E984="weekday",INDEX('Category Mapping'!$F$28:$F$39,MATCH('Summarized Source Data'!$A984,'Category Mapping'!$A$28:$A$39,0),1),INDEX('Category Mapping'!$E$28:$E$39,MATCH($A984,'Category Mapping'!$A$28:$A$39,0),1))</f>
        <v>66991460.57142856</v>
      </c>
      <c r="J984" s="27">
        <f>J404*IF($E984="weekday",INDEX('Category Mapping'!$F$28:$F$39,MATCH('Summarized Source Data'!$A984,'Category Mapping'!$A$28:$A$39,0),1),INDEX('Category Mapping'!$E$28:$E$39,MATCH($A984,'Category Mapping'!$A$28:$A$39,0),1))</f>
        <v>819985437.42857134</v>
      </c>
      <c r="K984" s="27">
        <f>K404*IF($E984="weekday",INDEX('Category Mapping'!$F$28:$F$39,MATCH('Summarized Source Data'!$A984,'Category Mapping'!$A$28:$A$39,0),1),INDEX('Category Mapping'!$E$28:$E$39,MATCH($A984,'Category Mapping'!$A$28:$A$39,0),1))</f>
        <v>819985437.42857134</v>
      </c>
      <c r="L984" s="27">
        <f>L404*IF($E984="weekday",INDEX('Category Mapping'!$F$28:$F$39,MATCH('Summarized Source Data'!$A984,'Category Mapping'!$A$28:$A$39,0),1),INDEX('Category Mapping'!$E$28:$E$39,MATCH($A984,'Category Mapping'!$A$28:$A$39,0),1))</f>
        <v>11567384.285714284</v>
      </c>
      <c r="M984" s="27">
        <f>M404*IF($E984="weekday",INDEX('Category Mapping'!$F$28:$F$39,MATCH('Summarized Source Data'!$A984,'Category Mapping'!$A$28:$A$39,0),1),INDEX('Category Mapping'!$E$28:$E$39,MATCH($A984,'Category Mapping'!$A$28:$A$39,0),1))</f>
        <v>64699010.57142856</v>
      </c>
      <c r="N984" s="27">
        <f>N404*IF($E984="weekday",INDEX('Category Mapping'!$F$28:$F$39,MATCH('Summarized Source Data'!$A984,'Category Mapping'!$A$28:$A$39,0),1),INDEX('Category Mapping'!$E$28:$E$39,MATCH($A984,'Category Mapping'!$A$28:$A$39,0),1))</f>
        <v>0</v>
      </c>
      <c r="O984" s="27">
        <f>O404*IF($E984="weekday",INDEX('Category Mapping'!$F$28:$F$39,MATCH('Summarized Source Data'!$A984,'Category Mapping'!$A$28:$A$39,0),1),INDEX('Category Mapping'!$E$28:$E$39,MATCH($A984,'Category Mapping'!$A$28:$A$39,0),1))</f>
        <v>898019319.42857134</v>
      </c>
      <c r="P984" s="27">
        <f>P404*IF($E984="weekday",INDEX('Category Mapping'!$F$28:$F$39,MATCH('Summarized Source Data'!$A984,'Category Mapping'!$A$28:$A$39,0),1),INDEX('Category Mapping'!$E$28:$E$39,MATCH($A984,'Category Mapping'!$A$28:$A$39,0),1))</f>
        <v>898019319.42857134</v>
      </c>
      <c r="Q984" s="27">
        <f>Q404*IF($E984="weekday",INDEX('Category Mapping'!$F$28:$F$39,MATCH('Summarized Source Data'!$A984,'Category Mapping'!$A$28:$A$39,0),1),INDEX('Category Mapping'!$E$28:$E$39,MATCH($A984,'Category Mapping'!$A$28:$A$39,0),1))</f>
        <v>898019319.42857134</v>
      </c>
      <c r="R984" s="27">
        <f>R404*IF($E984="weekday",INDEX('Category Mapping'!$F$28:$F$39,MATCH('Summarized Source Data'!$A984,'Category Mapping'!$A$28:$A$39,0),1),INDEX('Category Mapping'!$E$28:$E$39,MATCH($A984,'Category Mapping'!$A$28:$A$39,0),1))</f>
        <v>51472674.571428567</v>
      </c>
      <c r="S984" s="27">
        <f>S404*IF($E984="weekday",INDEX('Category Mapping'!$F$28:$F$39,MATCH('Summarized Source Data'!$A984,'Category Mapping'!$A$28:$A$39,0),1),INDEX('Category Mapping'!$E$28:$E$39,MATCH($A984,'Category Mapping'!$A$28:$A$39,0),1))</f>
        <v>51472674.571428567</v>
      </c>
      <c r="T984" s="27">
        <f>T404*IF($E984="weekday",INDEX('Category Mapping'!$F$28:$F$39,MATCH('Summarized Source Data'!$A984,'Category Mapping'!$A$28:$A$39,0),1),INDEX('Category Mapping'!$E$28:$E$39,MATCH($A984,'Category Mapping'!$A$28:$A$39,0),1))</f>
        <v>51472674.571428567</v>
      </c>
      <c r="U984" s="27">
        <f>U404*IF($E984="weekday",INDEX('Category Mapping'!$F$28:$F$39,MATCH('Summarized Source Data'!$A984,'Category Mapping'!$A$28:$A$39,0),1),INDEX('Category Mapping'!$E$28:$E$39,MATCH($A984,'Category Mapping'!$A$28:$A$39,0),1))</f>
        <v>51472674.571428567</v>
      </c>
      <c r="V984" s="27">
        <f>V404*IF($E984="weekday",INDEX('Category Mapping'!$F$28:$F$39,MATCH('Summarized Source Data'!$A984,'Category Mapping'!$A$28:$A$39,0),1),INDEX('Category Mapping'!$E$28:$E$39,MATCH($A984,'Category Mapping'!$A$28:$A$39,0),1))</f>
        <v>51472674.571428567</v>
      </c>
      <c r="W984" s="27">
        <f>W404*IF($E984="weekday",INDEX('Category Mapping'!$F$28:$F$39,MATCH('Summarized Source Data'!$A984,'Category Mapping'!$A$28:$A$39,0),1),INDEX('Category Mapping'!$E$28:$E$39,MATCH($A984,'Category Mapping'!$A$28:$A$39,0),1))</f>
        <v>51472674.571428567</v>
      </c>
      <c r="X984" s="27">
        <f>X404*IF($E984="weekday",INDEX('Category Mapping'!$F$28:$F$39,MATCH('Summarized Source Data'!$A984,'Category Mapping'!$A$28:$A$39,0),1),INDEX('Category Mapping'!$E$28:$E$39,MATCH($A984,'Category Mapping'!$A$28:$A$39,0),1))</f>
        <v>3091142857.1428566</v>
      </c>
      <c r="Y984" s="27">
        <f>Y404*IF($E984="weekday",INDEX('Category Mapping'!$F$28:$F$39,MATCH('Summarized Source Data'!$A984,'Category Mapping'!$A$28:$A$39,0),1),INDEX('Category Mapping'!$E$28:$E$39,MATCH($A984,'Category Mapping'!$A$28:$A$39,0),1))</f>
        <v>3091142857.1428566</v>
      </c>
      <c r="Z984" s="27">
        <f>Z404*IF($E984="weekday",INDEX('Category Mapping'!$F$28:$F$39,MATCH('Summarized Source Data'!$A984,'Category Mapping'!$A$28:$A$39,0),1),INDEX('Category Mapping'!$E$28:$E$39,MATCH($A984,'Category Mapping'!$A$28:$A$39,0),1))</f>
        <v>3091142857.1428566</v>
      </c>
    </row>
    <row r="985" spans="1:26" x14ac:dyDescent="0.3">
      <c r="A985">
        <f t="shared" ref="A985:E985" si="450">A405</f>
        <v>5</v>
      </c>
      <c r="B985" t="str">
        <f t="shared" si="450"/>
        <v>Spring</v>
      </c>
      <c r="C985" t="str">
        <f t="shared" si="450"/>
        <v>h18</v>
      </c>
      <c r="D985" t="str">
        <f t="shared" si="450"/>
        <v>Hour17</v>
      </c>
      <c r="E985" t="str">
        <f t="shared" si="450"/>
        <v>Weekend</v>
      </c>
      <c r="F985" s="27">
        <f>F405*IF($E985="weekday",INDEX('Category Mapping'!$F$28:$F$39,MATCH('Summarized Source Data'!$A985,'Category Mapping'!$A$28:$A$39,0),1),INDEX('Category Mapping'!$E$28:$E$39,MATCH($A985,'Category Mapping'!$A$28:$A$39,0),1))</f>
        <v>11040003.428571427</v>
      </c>
      <c r="G985" s="27">
        <f>G405*IF($E985="weekday",INDEX('Category Mapping'!$F$28:$F$39,MATCH('Summarized Source Data'!$A985,'Category Mapping'!$A$28:$A$39,0),1),INDEX('Category Mapping'!$E$28:$E$39,MATCH($A985,'Category Mapping'!$A$28:$A$39,0),1))</f>
        <v>26163202.857142854</v>
      </c>
      <c r="H985" s="27">
        <f>H405*IF($E985="weekday",INDEX('Category Mapping'!$F$28:$F$39,MATCH('Summarized Source Data'!$A985,'Category Mapping'!$A$28:$A$39,0),1),INDEX('Category Mapping'!$E$28:$E$39,MATCH($A985,'Category Mapping'!$A$28:$A$39,0),1))</f>
        <v>0</v>
      </c>
      <c r="I985" s="27">
        <f>I405*IF($E985="weekday",INDEX('Category Mapping'!$F$28:$F$39,MATCH('Summarized Source Data'!$A985,'Category Mapping'!$A$28:$A$39,0),1),INDEX('Category Mapping'!$E$28:$E$39,MATCH($A985,'Category Mapping'!$A$28:$A$39,0),1))</f>
        <v>81722244.285714269</v>
      </c>
      <c r="J985" s="27">
        <f>J405*IF($E985="weekday",INDEX('Category Mapping'!$F$28:$F$39,MATCH('Summarized Source Data'!$A985,'Category Mapping'!$A$28:$A$39,0),1),INDEX('Category Mapping'!$E$28:$E$39,MATCH($A985,'Category Mapping'!$A$28:$A$39,0),1))</f>
        <v>819931692.28571415</v>
      </c>
      <c r="K985" s="27">
        <f>K405*IF($E985="weekday",INDEX('Category Mapping'!$F$28:$F$39,MATCH('Summarized Source Data'!$A985,'Category Mapping'!$A$28:$A$39,0),1),INDEX('Category Mapping'!$E$28:$E$39,MATCH($A985,'Category Mapping'!$A$28:$A$39,0),1))</f>
        <v>819931692.28571415</v>
      </c>
      <c r="L985" s="27">
        <f>L405*IF($E985="weekday",INDEX('Category Mapping'!$F$28:$F$39,MATCH('Summarized Source Data'!$A985,'Category Mapping'!$A$28:$A$39,0),1),INDEX('Category Mapping'!$E$28:$E$39,MATCH($A985,'Category Mapping'!$A$28:$A$39,0),1))</f>
        <v>12591526.857142854</v>
      </c>
      <c r="M985" s="27">
        <f>M405*IF($E985="weekday",INDEX('Category Mapping'!$F$28:$F$39,MATCH('Summarized Source Data'!$A985,'Category Mapping'!$A$28:$A$39,0),1),INDEX('Category Mapping'!$E$28:$E$39,MATCH($A985,'Category Mapping'!$A$28:$A$39,0),1))</f>
        <v>59114378.285714276</v>
      </c>
      <c r="N985" s="27">
        <f>N405*IF($E985="weekday",INDEX('Category Mapping'!$F$28:$F$39,MATCH('Summarized Source Data'!$A985,'Category Mapping'!$A$28:$A$39,0),1),INDEX('Category Mapping'!$E$28:$E$39,MATCH($A985,'Category Mapping'!$A$28:$A$39,0),1))</f>
        <v>0</v>
      </c>
      <c r="O985" s="27">
        <f>O405*IF($E985="weekday",INDEX('Category Mapping'!$F$28:$F$39,MATCH('Summarized Source Data'!$A985,'Category Mapping'!$A$28:$A$39,0),1),INDEX('Category Mapping'!$E$28:$E$39,MATCH($A985,'Category Mapping'!$A$28:$A$39,0),1))</f>
        <v>911436951.99999988</v>
      </c>
      <c r="P985" s="27">
        <f>P405*IF($E985="weekday",INDEX('Category Mapping'!$F$28:$F$39,MATCH('Summarized Source Data'!$A985,'Category Mapping'!$A$28:$A$39,0),1),INDEX('Category Mapping'!$E$28:$E$39,MATCH($A985,'Category Mapping'!$A$28:$A$39,0),1))</f>
        <v>911436951.99999988</v>
      </c>
      <c r="Q985" s="27">
        <f>Q405*IF($E985="weekday",INDEX('Category Mapping'!$F$28:$F$39,MATCH('Summarized Source Data'!$A985,'Category Mapping'!$A$28:$A$39,0),1),INDEX('Category Mapping'!$E$28:$E$39,MATCH($A985,'Category Mapping'!$A$28:$A$39,0),1))</f>
        <v>911436951.99999988</v>
      </c>
      <c r="R985" s="27">
        <f>R405*IF($E985="weekday",INDEX('Category Mapping'!$F$28:$F$39,MATCH('Summarized Source Data'!$A985,'Category Mapping'!$A$28:$A$39,0),1),INDEX('Category Mapping'!$E$28:$E$39,MATCH($A985,'Category Mapping'!$A$28:$A$39,0),1))</f>
        <v>51524541.999999993</v>
      </c>
      <c r="S985" s="27">
        <f>S405*IF($E985="weekday",INDEX('Category Mapping'!$F$28:$F$39,MATCH('Summarized Source Data'!$A985,'Category Mapping'!$A$28:$A$39,0),1),INDEX('Category Mapping'!$E$28:$E$39,MATCH($A985,'Category Mapping'!$A$28:$A$39,0),1))</f>
        <v>51524541.999999993</v>
      </c>
      <c r="T985" s="27">
        <f>T405*IF($E985="weekday",INDEX('Category Mapping'!$F$28:$F$39,MATCH('Summarized Source Data'!$A985,'Category Mapping'!$A$28:$A$39,0),1),INDEX('Category Mapping'!$E$28:$E$39,MATCH($A985,'Category Mapping'!$A$28:$A$39,0),1))</f>
        <v>51524541.999999993</v>
      </c>
      <c r="U985" s="27">
        <f>U405*IF($E985="weekday",INDEX('Category Mapping'!$F$28:$F$39,MATCH('Summarized Source Data'!$A985,'Category Mapping'!$A$28:$A$39,0),1),INDEX('Category Mapping'!$E$28:$E$39,MATCH($A985,'Category Mapping'!$A$28:$A$39,0),1))</f>
        <v>51524541.999999993</v>
      </c>
      <c r="V985" s="27">
        <f>V405*IF($E985="weekday",INDEX('Category Mapping'!$F$28:$F$39,MATCH('Summarized Source Data'!$A985,'Category Mapping'!$A$28:$A$39,0),1),INDEX('Category Mapping'!$E$28:$E$39,MATCH($A985,'Category Mapping'!$A$28:$A$39,0),1))</f>
        <v>51524541.999999993</v>
      </c>
      <c r="W985" s="27">
        <f>W405*IF($E985="weekday",INDEX('Category Mapping'!$F$28:$F$39,MATCH('Summarized Source Data'!$A985,'Category Mapping'!$A$28:$A$39,0),1),INDEX('Category Mapping'!$E$28:$E$39,MATCH($A985,'Category Mapping'!$A$28:$A$39,0),1))</f>
        <v>51524541.999999993</v>
      </c>
      <c r="X985" s="27">
        <f>X405*IF($E985="weekday",INDEX('Category Mapping'!$F$28:$F$39,MATCH('Summarized Source Data'!$A985,'Category Mapping'!$A$28:$A$39,0),1),INDEX('Category Mapping'!$E$28:$E$39,MATCH($A985,'Category Mapping'!$A$28:$A$39,0),1))</f>
        <v>3091142857.1428566</v>
      </c>
      <c r="Y985" s="27">
        <f>Y405*IF($E985="weekday",INDEX('Category Mapping'!$F$28:$F$39,MATCH('Summarized Source Data'!$A985,'Category Mapping'!$A$28:$A$39,0),1),INDEX('Category Mapping'!$E$28:$E$39,MATCH($A985,'Category Mapping'!$A$28:$A$39,0),1))</f>
        <v>3091142857.1428566</v>
      </c>
      <c r="Z985" s="27">
        <f>Z405*IF($E985="weekday",INDEX('Category Mapping'!$F$28:$F$39,MATCH('Summarized Source Data'!$A985,'Category Mapping'!$A$28:$A$39,0),1),INDEX('Category Mapping'!$E$28:$E$39,MATCH($A985,'Category Mapping'!$A$28:$A$39,0),1))</f>
        <v>3091142857.1428566</v>
      </c>
    </row>
    <row r="986" spans="1:26" x14ac:dyDescent="0.3">
      <c r="A986">
        <f t="shared" ref="A986:E986" si="451">A406</f>
        <v>5</v>
      </c>
      <c r="B986" t="str">
        <f t="shared" si="451"/>
        <v>Spring</v>
      </c>
      <c r="C986" t="str">
        <f t="shared" si="451"/>
        <v>h19</v>
      </c>
      <c r="D986" t="str">
        <f t="shared" si="451"/>
        <v>Hour18</v>
      </c>
      <c r="E986" t="str">
        <f t="shared" si="451"/>
        <v>Weekend</v>
      </c>
      <c r="F986" s="27">
        <f>F406*IF($E986="weekday",INDEX('Category Mapping'!$F$28:$F$39,MATCH('Summarized Source Data'!$A986,'Category Mapping'!$A$28:$A$39,0),1),INDEX('Category Mapping'!$E$28:$E$39,MATCH($A986,'Category Mapping'!$A$28:$A$39,0),1))</f>
        <v>11442250.571428569</v>
      </c>
      <c r="G986" s="27">
        <f>G406*IF($E986="weekday",INDEX('Category Mapping'!$F$28:$F$39,MATCH('Summarized Source Data'!$A986,'Category Mapping'!$A$28:$A$39,0),1),INDEX('Category Mapping'!$E$28:$E$39,MATCH($A986,'Category Mapping'!$A$28:$A$39,0),1))</f>
        <v>17876211.999999996</v>
      </c>
      <c r="H986" s="27">
        <f>H406*IF($E986="weekday",INDEX('Category Mapping'!$F$28:$F$39,MATCH('Summarized Source Data'!$A986,'Category Mapping'!$A$28:$A$39,0),1),INDEX('Category Mapping'!$E$28:$E$39,MATCH($A986,'Category Mapping'!$A$28:$A$39,0),1))</f>
        <v>0</v>
      </c>
      <c r="I986" s="27">
        <f>I406*IF($E986="weekday",INDEX('Category Mapping'!$F$28:$F$39,MATCH('Summarized Source Data'!$A986,'Category Mapping'!$A$28:$A$39,0),1),INDEX('Category Mapping'!$E$28:$E$39,MATCH($A986,'Category Mapping'!$A$28:$A$39,0),1))</f>
        <v>229399999.99999997</v>
      </c>
      <c r="J986" s="27">
        <f>J406*IF($E986="weekday",INDEX('Category Mapping'!$F$28:$F$39,MATCH('Summarized Source Data'!$A986,'Category Mapping'!$A$28:$A$39,0),1),INDEX('Category Mapping'!$E$28:$E$39,MATCH($A986,'Category Mapping'!$A$28:$A$39,0),1))</f>
        <v>795281537.42857134</v>
      </c>
      <c r="K986" s="27">
        <f>K406*IF($E986="weekday",INDEX('Category Mapping'!$F$28:$F$39,MATCH('Summarized Source Data'!$A986,'Category Mapping'!$A$28:$A$39,0),1),INDEX('Category Mapping'!$E$28:$E$39,MATCH($A986,'Category Mapping'!$A$28:$A$39,0),1))</f>
        <v>795281537.42857134</v>
      </c>
      <c r="L986" s="27">
        <f>L406*IF($E986="weekday",INDEX('Category Mapping'!$F$28:$F$39,MATCH('Summarized Source Data'!$A986,'Category Mapping'!$A$28:$A$39,0),1),INDEX('Category Mapping'!$E$28:$E$39,MATCH($A986,'Category Mapping'!$A$28:$A$39,0),1))</f>
        <v>12750211.428571427</v>
      </c>
      <c r="M986" s="27">
        <f>M406*IF($E986="weekday",INDEX('Category Mapping'!$F$28:$F$39,MATCH('Summarized Source Data'!$A986,'Category Mapping'!$A$28:$A$39,0),1),INDEX('Category Mapping'!$E$28:$E$39,MATCH($A986,'Category Mapping'!$A$28:$A$39,0),1))</f>
        <v>52526887.142857134</v>
      </c>
      <c r="N986" s="27">
        <f>N406*IF($E986="weekday",INDEX('Category Mapping'!$F$28:$F$39,MATCH('Summarized Source Data'!$A986,'Category Mapping'!$A$28:$A$39,0),1),INDEX('Category Mapping'!$E$28:$E$39,MATCH($A986,'Category Mapping'!$A$28:$A$39,0),1))</f>
        <v>0</v>
      </c>
      <c r="O986" s="27">
        <f>O406*IF($E986="weekday",INDEX('Category Mapping'!$F$28:$F$39,MATCH('Summarized Source Data'!$A986,'Category Mapping'!$A$28:$A$39,0),1),INDEX('Category Mapping'!$E$28:$E$39,MATCH($A986,'Category Mapping'!$A$28:$A$39,0),1))</f>
        <v>900151472.85714269</v>
      </c>
      <c r="P986" s="27">
        <f>P406*IF($E986="weekday",INDEX('Category Mapping'!$F$28:$F$39,MATCH('Summarized Source Data'!$A986,'Category Mapping'!$A$28:$A$39,0),1),INDEX('Category Mapping'!$E$28:$E$39,MATCH($A986,'Category Mapping'!$A$28:$A$39,0),1))</f>
        <v>900151472.85714269</v>
      </c>
      <c r="Q986" s="27">
        <f>Q406*IF($E986="weekday",INDEX('Category Mapping'!$F$28:$F$39,MATCH('Summarized Source Data'!$A986,'Category Mapping'!$A$28:$A$39,0),1),INDEX('Category Mapping'!$E$28:$E$39,MATCH($A986,'Category Mapping'!$A$28:$A$39,0),1))</f>
        <v>900151472.85714269</v>
      </c>
      <c r="R986" s="27">
        <f>R406*IF($E986="weekday",INDEX('Category Mapping'!$F$28:$F$39,MATCH('Summarized Source Data'!$A986,'Category Mapping'!$A$28:$A$39,0),1),INDEX('Category Mapping'!$E$28:$E$39,MATCH($A986,'Category Mapping'!$A$28:$A$39,0),1))</f>
        <v>51161496.571428567</v>
      </c>
      <c r="S986" s="27">
        <f>S406*IF($E986="weekday",INDEX('Category Mapping'!$F$28:$F$39,MATCH('Summarized Source Data'!$A986,'Category Mapping'!$A$28:$A$39,0),1),INDEX('Category Mapping'!$E$28:$E$39,MATCH($A986,'Category Mapping'!$A$28:$A$39,0),1))</f>
        <v>51161496.571428567</v>
      </c>
      <c r="T986" s="27">
        <f>T406*IF($E986="weekday",INDEX('Category Mapping'!$F$28:$F$39,MATCH('Summarized Source Data'!$A986,'Category Mapping'!$A$28:$A$39,0),1),INDEX('Category Mapping'!$E$28:$E$39,MATCH($A986,'Category Mapping'!$A$28:$A$39,0),1))</f>
        <v>51161496.571428567</v>
      </c>
      <c r="U986" s="27">
        <f>U406*IF($E986="weekday",INDEX('Category Mapping'!$F$28:$F$39,MATCH('Summarized Source Data'!$A986,'Category Mapping'!$A$28:$A$39,0),1),INDEX('Category Mapping'!$E$28:$E$39,MATCH($A986,'Category Mapping'!$A$28:$A$39,0),1))</f>
        <v>51161496.571428567</v>
      </c>
      <c r="V986" s="27">
        <f>V406*IF($E986="weekday",INDEX('Category Mapping'!$F$28:$F$39,MATCH('Summarized Source Data'!$A986,'Category Mapping'!$A$28:$A$39,0),1),INDEX('Category Mapping'!$E$28:$E$39,MATCH($A986,'Category Mapping'!$A$28:$A$39,0),1))</f>
        <v>51161496.571428567</v>
      </c>
      <c r="W986" s="27">
        <f>W406*IF($E986="weekday",INDEX('Category Mapping'!$F$28:$F$39,MATCH('Summarized Source Data'!$A986,'Category Mapping'!$A$28:$A$39,0),1),INDEX('Category Mapping'!$E$28:$E$39,MATCH($A986,'Category Mapping'!$A$28:$A$39,0),1))</f>
        <v>51161496.571428567</v>
      </c>
      <c r="X986" s="27">
        <f>X406*IF($E986="weekday",INDEX('Category Mapping'!$F$28:$F$39,MATCH('Summarized Source Data'!$A986,'Category Mapping'!$A$28:$A$39,0),1),INDEX('Category Mapping'!$E$28:$E$39,MATCH($A986,'Category Mapping'!$A$28:$A$39,0),1))</f>
        <v>3082285714.2857137</v>
      </c>
      <c r="Y986" s="27">
        <f>Y406*IF($E986="weekday",INDEX('Category Mapping'!$F$28:$F$39,MATCH('Summarized Source Data'!$A986,'Category Mapping'!$A$28:$A$39,0),1),INDEX('Category Mapping'!$E$28:$E$39,MATCH($A986,'Category Mapping'!$A$28:$A$39,0),1))</f>
        <v>3082285714.2857137</v>
      </c>
      <c r="Z986" s="27">
        <f>Z406*IF($E986="weekday",INDEX('Category Mapping'!$F$28:$F$39,MATCH('Summarized Source Data'!$A986,'Category Mapping'!$A$28:$A$39,0),1),INDEX('Category Mapping'!$E$28:$E$39,MATCH($A986,'Category Mapping'!$A$28:$A$39,0),1))</f>
        <v>3082285714.2857137</v>
      </c>
    </row>
    <row r="987" spans="1:26" x14ac:dyDescent="0.3">
      <c r="A987">
        <f t="shared" ref="A987:E987" si="452">A407</f>
        <v>5</v>
      </c>
      <c r="B987" t="str">
        <f t="shared" si="452"/>
        <v>Spring</v>
      </c>
      <c r="C987" t="str">
        <f t="shared" si="452"/>
        <v>h20</v>
      </c>
      <c r="D987" t="str">
        <f t="shared" si="452"/>
        <v>Hour19</v>
      </c>
      <c r="E987" t="str">
        <f t="shared" si="452"/>
        <v>Weekend</v>
      </c>
      <c r="F987" s="27">
        <f>F407*IF($E987="weekday",INDEX('Category Mapping'!$F$28:$F$39,MATCH('Summarized Source Data'!$A987,'Category Mapping'!$A$28:$A$39,0),1),INDEX('Category Mapping'!$E$28:$E$39,MATCH($A987,'Category Mapping'!$A$28:$A$39,0),1))</f>
        <v>11799653.999999998</v>
      </c>
      <c r="G987" s="27">
        <f>G407*IF($E987="weekday",INDEX('Category Mapping'!$F$28:$F$39,MATCH('Summarized Source Data'!$A987,'Category Mapping'!$A$28:$A$39,0),1),INDEX('Category Mapping'!$E$28:$E$39,MATCH($A987,'Category Mapping'!$A$28:$A$39,0),1))</f>
        <v>7979709.9999999991</v>
      </c>
      <c r="H987" s="27">
        <f>H407*IF($E987="weekday",INDEX('Category Mapping'!$F$28:$F$39,MATCH('Summarized Source Data'!$A987,'Category Mapping'!$A$28:$A$39,0),1),INDEX('Category Mapping'!$E$28:$E$39,MATCH($A987,'Category Mapping'!$A$28:$A$39,0),1))</f>
        <v>0</v>
      </c>
      <c r="I987" s="27">
        <f>I407*IF($E987="weekday",INDEX('Category Mapping'!$F$28:$F$39,MATCH('Summarized Source Data'!$A987,'Category Mapping'!$A$28:$A$39,0),1),INDEX('Category Mapping'!$E$28:$E$39,MATCH($A987,'Category Mapping'!$A$28:$A$39,0),1))</f>
        <v>259514285.71428567</v>
      </c>
      <c r="J987" s="27">
        <f>J407*IF($E987="weekday",INDEX('Category Mapping'!$F$28:$F$39,MATCH('Summarized Source Data'!$A987,'Category Mapping'!$A$28:$A$39,0),1),INDEX('Category Mapping'!$E$28:$E$39,MATCH($A987,'Category Mapping'!$A$28:$A$39,0),1))</f>
        <v>739277778.85714281</v>
      </c>
      <c r="K987" s="27">
        <f>K407*IF($E987="weekday",INDEX('Category Mapping'!$F$28:$F$39,MATCH('Summarized Source Data'!$A987,'Category Mapping'!$A$28:$A$39,0),1),INDEX('Category Mapping'!$E$28:$E$39,MATCH($A987,'Category Mapping'!$A$28:$A$39,0),1))</f>
        <v>739277778.85714281</v>
      </c>
      <c r="L987" s="27">
        <f>L407*IF($E987="weekday",INDEX('Category Mapping'!$F$28:$F$39,MATCH('Summarized Source Data'!$A987,'Category Mapping'!$A$28:$A$39,0),1),INDEX('Category Mapping'!$E$28:$E$39,MATCH($A987,'Category Mapping'!$A$28:$A$39,0),1))</f>
        <v>13859302.857142854</v>
      </c>
      <c r="M987" s="27">
        <f>M407*IF($E987="weekday",INDEX('Category Mapping'!$F$28:$F$39,MATCH('Summarized Source Data'!$A987,'Category Mapping'!$A$28:$A$39,0),1),INDEX('Category Mapping'!$E$28:$E$39,MATCH($A987,'Category Mapping'!$A$28:$A$39,0),1))</f>
        <v>45273507.142857134</v>
      </c>
      <c r="N987" s="27">
        <f>N407*IF($E987="weekday",INDEX('Category Mapping'!$F$28:$F$39,MATCH('Summarized Source Data'!$A987,'Category Mapping'!$A$28:$A$39,0),1),INDEX('Category Mapping'!$E$28:$E$39,MATCH($A987,'Category Mapping'!$A$28:$A$39,0),1))</f>
        <v>0</v>
      </c>
      <c r="O987" s="27">
        <f>O407*IF($E987="weekday",INDEX('Category Mapping'!$F$28:$F$39,MATCH('Summarized Source Data'!$A987,'Category Mapping'!$A$28:$A$39,0),1),INDEX('Category Mapping'!$E$28:$E$39,MATCH($A987,'Category Mapping'!$A$28:$A$39,0),1))</f>
        <v>870867189.99999988</v>
      </c>
      <c r="P987" s="27">
        <f>P407*IF($E987="weekday",INDEX('Category Mapping'!$F$28:$F$39,MATCH('Summarized Source Data'!$A987,'Category Mapping'!$A$28:$A$39,0),1),INDEX('Category Mapping'!$E$28:$E$39,MATCH($A987,'Category Mapping'!$A$28:$A$39,0),1))</f>
        <v>870867189.99999988</v>
      </c>
      <c r="Q987" s="27">
        <f>Q407*IF($E987="weekday",INDEX('Category Mapping'!$F$28:$F$39,MATCH('Summarized Source Data'!$A987,'Category Mapping'!$A$28:$A$39,0),1),INDEX('Category Mapping'!$E$28:$E$39,MATCH($A987,'Category Mapping'!$A$28:$A$39,0),1))</f>
        <v>870867189.99999988</v>
      </c>
      <c r="R987" s="27">
        <f>R407*IF($E987="weekday",INDEX('Category Mapping'!$F$28:$F$39,MATCH('Summarized Source Data'!$A987,'Category Mapping'!$A$28:$A$39,0),1),INDEX('Category Mapping'!$E$28:$E$39,MATCH($A987,'Category Mapping'!$A$28:$A$39,0),1))</f>
        <v>49968660.857142851</v>
      </c>
      <c r="S987" s="27">
        <f>S407*IF($E987="weekday",INDEX('Category Mapping'!$F$28:$F$39,MATCH('Summarized Source Data'!$A987,'Category Mapping'!$A$28:$A$39,0),1),INDEX('Category Mapping'!$E$28:$E$39,MATCH($A987,'Category Mapping'!$A$28:$A$39,0),1))</f>
        <v>49968660.857142851</v>
      </c>
      <c r="T987" s="27">
        <f>T407*IF($E987="weekday",INDEX('Category Mapping'!$F$28:$F$39,MATCH('Summarized Source Data'!$A987,'Category Mapping'!$A$28:$A$39,0),1),INDEX('Category Mapping'!$E$28:$E$39,MATCH($A987,'Category Mapping'!$A$28:$A$39,0),1))</f>
        <v>49968660.857142851</v>
      </c>
      <c r="U987" s="27">
        <f>U407*IF($E987="weekday",INDEX('Category Mapping'!$F$28:$F$39,MATCH('Summarized Source Data'!$A987,'Category Mapping'!$A$28:$A$39,0),1),INDEX('Category Mapping'!$E$28:$E$39,MATCH($A987,'Category Mapping'!$A$28:$A$39,0),1))</f>
        <v>49968660.857142851</v>
      </c>
      <c r="V987" s="27">
        <f>V407*IF($E987="weekday",INDEX('Category Mapping'!$F$28:$F$39,MATCH('Summarized Source Data'!$A987,'Category Mapping'!$A$28:$A$39,0),1),INDEX('Category Mapping'!$E$28:$E$39,MATCH($A987,'Category Mapping'!$A$28:$A$39,0),1))</f>
        <v>49968660.857142851</v>
      </c>
      <c r="W987" s="27">
        <f>W407*IF($E987="weekday",INDEX('Category Mapping'!$F$28:$F$39,MATCH('Summarized Source Data'!$A987,'Category Mapping'!$A$28:$A$39,0),1),INDEX('Category Mapping'!$E$28:$E$39,MATCH($A987,'Category Mapping'!$A$28:$A$39,0),1))</f>
        <v>49968660.857142851</v>
      </c>
      <c r="X987" s="27">
        <f>X407*IF($E987="weekday",INDEX('Category Mapping'!$F$28:$F$39,MATCH('Summarized Source Data'!$A987,'Category Mapping'!$A$28:$A$39,0),1),INDEX('Category Mapping'!$E$28:$E$39,MATCH($A987,'Category Mapping'!$A$28:$A$39,0),1))</f>
        <v>3064571428.5714283</v>
      </c>
      <c r="Y987" s="27">
        <f>Y407*IF($E987="weekday",INDEX('Category Mapping'!$F$28:$F$39,MATCH('Summarized Source Data'!$A987,'Category Mapping'!$A$28:$A$39,0),1),INDEX('Category Mapping'!$E$28:$E$39,MATCH($A987,'Category Mapping'!$A$28:$A$39,0),1))</f>
        <v>3064571428.5714283</v>
      </c>
      <c r="Z987" s="27">
        <f>Z407*IF($E987="weekday",INDEX('Category Mapping'!$F$28:$F$39,MATCH('Summarized Source Data'!$A987,'Category Mapping'!$A$28:$A$39,0),1),INDEX('Category Mapping'!$E$28:$E$39,MATCH($A987,'Category Mapping'!$A$28:$A$39,0),1))</f>
        <v>3064571428.5714283</v>
      </c>
    </row>
    <row r="988" spans="1:26" x14ac:dyDescent="0.3">
      <c r="A988">
        <f t="shared" ref="A988:E988" si="453">A408</f>
        <v>5</v>
      </c>
      <c r="B988" t="str">
        <f t="shared" si="453"/>
        <v>Spring</v>
      </c>
      <c r="C988" t="str">
        <f t="shared" si="453"/>
        <v>h21</v>
      </c>
      <c r="D988" t="str">
        <f t="shared" si="453"/>
        <v>Hour20</v>
      </c>
      <c r="E988" t="str">
        <f t="shared" si="453"/>
        <v>Weekend</v>
      </c>
      <c r="F988" s="27">
        <f>F408*IF($E988="weekday",INDEX('Category Mapping'!$F$28:$F$39,MATCH('Summarized Source Data'!$A988,'Category Mapping'!$A$28:$A$39,0),1),INDEX('Category Mapping'!$E$28:$E$39,MATCH($A988,'Category Mapping'!$A$28:$A$39,0),1))</f>
        <v>11756980.285714284</v>
      </c>
      <c r="G988" s="27">
        <f>G408*IF($E988="weekday",INDEX('Category Mapping'!$F$28:$F$39,MATCH('Summarized Source Data'!$A988,'Category Mapping'!$A$28:$A$39,0),1),INDEX('Category Mapping'!$E$28:$E$39,MATCH($A988,'Category Mapping'!$A$28:$A$39,0),1))</f>
        <v>426577.7142857142</v>
      </c>
      <c r="H988" s="27">
        <f>H408*IF($E988="weekday",INDEX('Category Mapping'!$F$28:$F$39,MATCH('Summarized Source Data'!$A988,'Category Mapping'!$A$28:$A$39,0),1),INDEX('Category Mapping'!$E$28:$E$39,MATCH($A988,'Category Mapping'!$A$28:$A$39,0),1))</f>
        <v>0</v>
      </c>
      <c r="I988" s="27">
        <f>I408*IF($E988="weekday",INDEX('Category Mapping'!$F$28:$F$39,MATCH('Summarized Source Data'!$A988,'Category Mapping'!$A$28:$A$39,0),1),INDEX('Category Mapping'!$E$28:$E$39,MATCH($A988,'Category Mapping'!$A$28:$A$39,0),1))</f>
        <v>257742857.1428571</v>
      </c>
      <c r="J988" s="27">
        <f>J408*IF($E988="weekday",INDEX('Category Mapping'!$F$28:$F$39,MATCH('Summarized Source Data'!$A988,'Category Mapping'!$A$28:$A$39,0),1),INDEX('Category Mapping'!$E$28:$E$39,MATCH($A988,'Category Mapping'!$A$28:$A$39,0),1))</f>
        <v>686645013.42857134</v>
      </c>
      <c r="K988" s="27">
        <f>K408*IF($E988="weekday",INDEX('Category Mapping'!$F$28:$F$39,MATCH('Summarized Source Data'!$A988,'Category Mapping'!$A$28:$A$39,0),1),INDEX('Category Mapping'!$E$28:$E$39,MATCH($A988,'Category Mapping'!$A$28:$A$39,0),1))</f>
        <v>686645013.42857134</v>
      </c>
      <c r="L988" s="27">
        <f>L408*IF($E988="weekday",INDEX('Category Mapping'!$F$28:$F$39,MATCH('Summarized Source Data'!$A988,'Category Mapping'!$A$28:$A$39,0),1),INDEX('Category Mapping'!$E$28:$E$39,MATCH($A988,'Category Mapping'!$A$28:$A$39,0),1))</f>
        <v>16571448.571428569</v>
      </c>
      <c r="M988" s="27">
        <f>M408*IF($E988="weekday",INDEX('Category Mapping'!$F$28:$F$39,MATCH('Summarized Source Data'!$A988,'Category Mapping'!$A$28:$A$39,0),1),INDEX('Category Mapping'!$E$28:$E$39,MATCH($A988,'Category Mapping'!$A$28:$A$39,0),1))</f>
        <v>40084833.428571425</v>
      </c>
      <c r="N988" s="27">
        <f>N408*IF($E988="weekday",INDEX('Category Mapping'!$F$28:$F$39,MATCH('Summarized Source Data'!$A988,'Category Mapping'!$A$28:$A$39,0),1),INDEX('Category Mapping'!$E$28:$E$39,MATCH($A988,'Category Mapping'!$A$28:$A$39,0),1))</f>
        <v>0</v>
      </c>
      <c r="O988" s="27">
        <f>O408*IF($E988="weekday",INDEX('Category Mapping'!$F$28:$F$39,MATCH('Summarized Source Data'!$A988,'Category Mapping'!$A$28:$A$39,0),1),INDEX('Category Mapping'!$E$28:$E$39,MATCH($A988,'Category Mapping'!$A$28:$A$39,0),1))</f>
        <v>837915146.57142842</v>
      </c>
      <c r="P988" s="27">
        <f>P408*IF($E988="weekday",INDEX('Category Mapping'!$F$28:$F$39,MATCH('Summarized Source Data'!$A988,'Category Mapping'!$A$28:$A$39,0),1),INDEX('Category Mapping'!$E$28:$E$39,MATCH($A988,'Category Mapping'!$A$28:$A$39,0),1))</f>
        <v>837915146.57142842</v>
      </c>
      <c r="Q988" s="27">
        <f>Q408*IF($E988="weekday",INDEX('Category Mapping'!$F$28:$F$39,MATCH('Summarized Source Data'!$A988,'Category Mapping'!$A$28:$A$39,0),1),INDEX('Category Mapping'!$E$28:$E$39,MATCH($A988,'Category Mapping'!$A$28:$A$39,0),1))</f>
        <v>837915146.57142842</v>
      </c>
      <c r="R988" s="27">
        <f>R408*IF($E988="weekday",INDEX('Category Mapping'!$F$28:$F$39,MATCH('Summarized Source Data'!$A988,'Category Mapping'!$A$28:$A$39,0),1),INDEX('Category Mapping'!$E$28:$E$39,MATCH($A988,'Category Mapping'!$A$28:$A$39,0),1))</f>
        <v>48360921.142857134</v>
      </c>
      <c r="S988" s="27">
        <f>S408*IF($E988="weekday",INDEX('Category Mapping'!$F$28:$F$39,MATCH('Summarized Source Data'!$A988,'Category Mapping'!$A$28:$A$39,0),1),INDEX('Category Mapping'!$E$28:$E$39,MATCH($A988,'Category Mapping'!$A$28:$A$39,0),1))</f>
        <v>48360921.142857134</v>
      </c>
      <c r="T988" s="27">
        <f>T408*IF($E988="weekday",INDEX('Category Mapping'!$F$28:$F$39,MATCH('Summarized Source Data'!$A988,'Category Mapping'!$A$28:$A$39,0),1),INDEX('Category Mapping'!$E$28:$E$39,MATCH($A988,'Category Mapping'!$A$28:$A$39,0),1))</f>
        <v>48360921.142857134</v>
      </c>
      <c r="U988" s="27">
        <f>U408*IF($E988="weekday",INDEX('Category Mapping'!$F$28:$F$39,MATCH('Summarized Source Data'!$A988,'Category Mapping'!$A$28:$A$39,0),1),INDEX('Category Mapping'!$E$28:$E$39,MATCH($A988,'Category Mapping'!$A$28:$A$39,0),1))</f>
        <v>48360921.142857134</v>
      </c>
      <c r="V988" s="27">
        <f>V408*IF($E988="weekday",INDEX('Category Mapping'!$F$28:$F$39,MATCH('Summarized Source Data'!$A988,'Category Mapping'!$A$28:$A$39,0),1),INDEX('Category Mapping'!$E$28:$E$39,MATCH($A988,'Category Mapping'!$A$28:$A$39,0),1))</f>
        <v>48360921.142857134</v>
      </c>
      <c r="W988" s="27">
        <f>W408*IF($E988="weekday",INDEX('Category Mapping'!$F$28:$F$39,MATCH('Summarized Source Data'!$A988,'Category Mapping'!$A$28:$A$39,0),1),INDEX('Category Mapping'!$E$28:$E$39,MATCH($A988,'Category Mapping'!$A$28:$A$39,0),1))</f>
        <v>48360921.142857134</v>
      </c>
      <c r="X988" s="27">
        <f>X408*IF($E988="weekday",INDEX('Category Mapping'!$F$28:$F$39,MATCH('Summarized Source Data'!$A988,'Category Mapping'!$A$28:$A$39,0),1),INDEX('Category Mapping'!$E$28:$E$39,MATCH($A988,'Category Mapping'!$A$28:$A$39,0),1))</f>
        <v>3046857142.8571424</v>
      </c>
      <c r="Y988" s="27">
        <f>Y408*IF($E988="weekday",INDEX('Category Mapping'!$F$28:$F$39,MATCH('Summarized Source Data'!$A988,'Category Mapping'!$A$28:$A$39,0),1),INDEX('Category Mapping'!$E$28:$E$39,MATCH($A988,'Category Mapping'!$A$28:$A$39,0),1))</f>
        <v>3046857142.8571424</v>
      </c>
      <c r="Z988" s="27">
        <f>Z408*IF($E988="weekday",INDEX('Category Mapping'!$F$28:$F$39,MATCH('Summarized Source Data'!$A988,'Category Mapping'!$A$28:$A$39,0),1),INDEX('Category Mapping'!$E$28:$E$39,MATCH($A988,'Category Mapping'!$A$28:$A$39,0),1))</f>
        <v>3046857142.8571424</v>
      </c>
    </row>
    <row r="989" spans="1:26" x14ac:dyDescent="0.3">
      <c r="A989">
        <f t="shared" ref="A989:E989" si="454">A409</f>
        <v>5</v>
      </c>
      <c r="B989" t="str">
        <f t="shared" si="454"/>
        <v>Spring</v>
      </c>
      <c r="C989" t="str">
        <f t="shared" si="454"/>
        <v>h22</v>
      </c>
      <c r="D989" t="str">
        <f t="shared" si="454"/>
        <v>Hour21</v>
      </c>
      <c r="E989" t="str">
        <f t="shared" si="454"/>
        <v>Weekend</v>
      </c>
      <c r="F989" s="27">
        <f>F409*IF($E989="weekday",INDEX('Category Mapping'!$F$28:$F$39,MATCH('Summarized Source Data'!$A989,'Category Mapping'!$A$28:$A$39,0),1),INDEX('Category Mapping'!$E$28:$E$39,MATCH($A989,'Category Mapping'!$A$28:$A$39,0),1))</f>
        <v>10397178.571428569</v>
      </c>
      <c r="G989" s="27">
        <f>G409*IF($E989="weekday",INDEX('Category Mapping'!$F$28:$F$39,MATCH('Summarized Source Data'!$A989,'Category Mapping'!$A$28:$A$39,0),1),INDEX('Category Mapping'!$E$28:$E$39,MATCH($A989,'Category Mapping'!$A$28:$A$39,0),1))</f>
        <v>14906.571428571426</v>
      </c>
      <c r="H989" s="27">
        <f>H409*IF($E989="weekday",INDEX('Category Mapping'!$F$28:$F$39,MATCH('Summarized Source Data'!$A989,'Category Mapping'!$A$28:$A$39,0),1),INDEX('Category Mapping'!$E$28:$E$39,MATCH($A989,'Category Mapping'!$A$28:$A$39,0),1))</f>
        <v>0</v>
      </c>
      <c r="I989" s="27">
        <f>I409*IF($E989="weekday",INDEX('Category Mapping'!$F$28:$F$39,MATCH('Summarized Source Data'!$A989,'Category Mapping'!$A$28:$A$39,0),1),INDEX('Category Mapping'!$E$28:$E$39,MATCH($A989,'Category Mapping'!$A$28:$A$39,0),1))</f>
        <v>213457142.85714284</v>
      </c>
      <c r="J989" s="27">
        <f>J409*IF($E989="weekday",INDEX('Category Mapping'!$F$28:$F$39,MATCH('Summarized Source Data'!$A989,'Category Mapping'!$A$28:$A$39,0),1),INDEX('Category Mapping'!$E$28:$E$39,MATCH($A989,'Category Mapping'!$A$28:$A$39,0),1))</f>
        <v>636159343.42857134</v>
      </c>
      <c r="K989" s="27">
        <f>K409*IF($E989="weekday",INDEX('Category Mapping'!$F$28:$F$39,MATCH('Summarized Source Data'!$A989,'Category Mapping'!$A$28:$A$39,0),1),INDEX('Category Mapping'!$E$28:$E$39,MATCH($A989,'Category Mapping'!$A$28:$A$39,0),1))</f>
        <v>636159343.42857134</v>
      </c>
      <c r="L989" s="27">
        <f>L409*IF($E989="weekday",INDEX('Category Mapping'!$F$28:$F$39,MATCH('Summarized Source Data'!$A989,'Category Mapping'!$A$28:$A$39,0),1),INDEX('Category Mapping'!$E$28:$E$39,MATCH($A989,'Category Mapping'!$A$28:$A$39,0),1))</f>
        <v>16873060.857142854</v>
      </c>
      <c r="M989" s="27">
        <f>M409*IF($E989="weekday",INDEX('Category Mapping'!$F$28:$F$39,MATCH('Summarized Source Data'!$A989,'Category Mapping'!$A$28:$A$39,0),1),INDEX('Category Mapping'!$E$28:$E$39,MATCH($A989,'Category Mapping'!$A$28:$A$39,0),1))</f>
        <v>38730301.714285709</v>
      </c>
      <c r="N989" s="27">
        <f>N409*IF($E989="weekday",INDEX('Category Mapping'!$F$28:$F$39,MATCH('Summarized Source Data'!$A989,'Category Mapping'!$A$28:$A$39,0),1),INDEX('Category Mapping'!$E$28:$E$39,MATCH($A989,'Category Mapping'!$A$28:$A$39,0),1))</f>
        <v>0</v>
      </c>
      <c r="O989" s="27">
        <f>O409*IF($E989="weekday",INDEX('Category Mapping'!$F$28:$F$39,MATCH('Summarized Source Data'!$A989,'Category Mapping'!$A$28:$A$39,0),1),INDEX('Category Mapping'!$E$28:$E$39,MATCH($A989,'Category Mapping'!$A$28:$A$39,0),1))</f>
        <v>778739494.57142842</v>
      </c>
      <c r="P989" s="27">
        <f>P409*IF($E989="weekday",INDEX('Category Mapping'!$F$28:$F$39,MATCH('Summarized Source Data'!$A989,'Category Mapping'!$A$28:$A$39,0),1),INDEX('Category Mapping'!$E$28:$E$39,MATCH($A989,'Category Mapping'!$A$28:$A$39,0),1))</f>
        <v>778739494.57142842</v>
      </c>
      <c r="Q989" s="27">
        <f>Q409*IF($E989="weekday",INDEX('Category Mapping'!$F$28:$F$39,MATCH('Summarized Source Data'!$A989,'Category Mapping'!$A$28:$A$39,0),1),INDEX('Category Mapping'!$E$28:$E$39,MATCH($A989,'Category Mapping'!$A$28:$A$39,0),1))</f>
        <v>778739494.57142842</v>
      </c>
      <c r="R989" s="27">
        <f>R409*IF($E989="weekday",INDEX('Category Mapping'!$F$28:$F$39,MATCH('Summarized Source Data'!$A989,'Category Mapping'!$A$28:$A$39,0),1),INDEX('Category Mapping'!$E$28:$E$39,MATCH($A989,'Category Mapping'!$A$28:$A$39,0),1))</f>
        <v>46545729.428571425</v>
      </c>
      <c r="S989" s="27">
        <f>S409*IF($E989="weekday",INDEX('Category Mapping'!$F$28:$F$39,MATCH('Summarized Source Data'!$A989,'Category Mapping'!$A$28:$A$39,0),1),INDEX('Category Mapping'!$E$28:$E$39,MATCH($A989,'Category Mapping'!$A$28:$A$39,0),1))</f>
        <v>46545729.428571425</v>
      </c>
      <c r="T989" s="27">
        <f>T409*IF($E989="weekday",INDEX('Category Mapping'!$F$28:$F$39,MATCH('Summarized Source Data'!$A989,'Category Mapping'!$A$28:$A$39,0),1),INDEX('Category Mapping'!$E$28:$E$39,MATCH($A989,'Category Mapping'!$A$28:$A$39,0),1))</f>
        <v>46545729.428571425</v>
      </c>
      <c r="U989" s="27">
        <f>U409*IF($E989="weekday",INDEX('Category Mapping'!$F$28:$F$39,MATCH('Summarized Source Data'!$A989,'Category Mapping'!$A$28:$A$39,0),1),INDEX('Category Mapping'!$E$28:$E$39,MATCH($A989,'Category Mapping'!$A$28:$A$39,0),1))</f>
        <v>46545729.428571425</v>
      </c>
      <c r="V989" s="27">
        <f>V409*IF($E989="weekday",INDEX('Category Mapping'!$F$28:$F$39,MATCH('Summarized Source Data'!$A989,'Category Mapping'!$A$28:$A$39,0),1),INDEX('Category Mapping'!$E$28:$E$39,MATCH($A989,'Category Mapping'!$A$28:$A$39,0),1))</f>
        <v>46545729.428571425</v>
      </c>
      <c r="W989" s="27">
        <f>W409*IF($E989="weekday",INDEX('Category Mapping'!$F$28:$F$39,MATCH('Summarized Source Data'!$A989,'Category Mapping'!$A$28:$A$39,0),1),INDEX('Category Mapping'!$E$28:$E$39,MATCH($A989,'Category Mapping'!$A$28:$A$39,0),1))</f>
        <v>46545729.428571425</v>
      </c>
      <c r="X989" s="27">
        <f>X409*IF($E989="weekday",INDEX('Category Mapping'!$F$28:$F$39,MATCH('Summarized Source Data'!$A989,'Category Mapping'!$A$28:$A$39,0),1),INDEX('Category Mapping'!$E$28:$E$39,MATCH($A989,'Category Mapping'!$A$28:$A$39,0),1))</f>
        <v>3020285714.2857137</v>
      </c>
      <c r="Y989" s="27">
        <f>Y409*IF($E989="weekday",INDEX('Category Mapping'!$F$28:$F$39,MATCH('Summarized Source Data'!$A989,'Category Mapping'!$A$28:$A$39,0),1),INDEX('Category Mapping'!$E$28:$E$39,MATCH($A989,'Category Mapping'!$A$28:$A$39,0),1))</f>
        <v>3020285714.2857137</v>
      </c>
      <c r="Z989" s="27">
        <f>Z409*IF($E989="weekday",INDEX('Category Mapping'!$F$28:$F$39,MATCH('Summarized Source Data'!$A989,'Category Mapping'!$A$28:$A$39,0),1),INDEX('Category Mapping'!$E$28:$E$39,MATCH($A989,'Category Mapping'!$A$28:$A$39,0),1))</f>
        <v>3020285714.2857137</v>
      </c>
    </row>
    <row r="990" spans="1:26" x14ac:dyDescent="0.3">
      <c r="A990">
        <f t="shared" ref="A990:E990" si="455">A410</f>
        <v>5</v>
      </c>
      <c r="B990" t="str">
        <f t="shared" si="455"/>
        <v>Spring</v>
      </c>
      <c r="C990" t="str">
        <f t="shared" si="455"/>
        <v>h23</v>
      </c>
      <c r="D990" t="str">
        <f t="shared" si="455"/>
        <v>Hour22</v>
      </c>
      <c r="E990" t="str">
        <f t="shared" si="455"/>
        <v>Weekend</v>
      </c>
      <c r="F990" s="27">
        <f>F410*IF($E990="weekday",INDEX('Category Mapping'!$F$28:$F$39,MATCH('Summarized Source Data'!$A990,'Category Mapping'!$A$28:$A$39,0),1),INDEX('Category Mapping'!$E$28:$E$39,MATCH($A990,'Category Mapping'!$A$28:$A$39,0),1))</f>
        <v>8090282.57142857</v>
      </c>
      <c r="G990" s="27">
        <f>G410*IF($E990="weekday",INDEX('Category Mapping'!$F$28:$F$39,MATCH('Summarized Source Data'!$A990,'Category Mapping'!$A$28:$A$39,0),1),INDEX('Category Mapping'!$E$28:$E$39,MATCH($A990,'Category Mapping'!$A$28:$A$39,0),1))</f>
        <v>15473.428571428569</v>
      </c>
      <c r="H990" s="27">
        <f>H410*IF($E990="weekday",INDEX('Category Mapping'!$F$28:$F$39,MATCH('Summarized Source Data'!$A990,'Category Mapping'!$A$28:$A$39,0),1),INDEX('Category Mapping'!$E$28:$E$39,MATCH($A990,'Category Mapping'!$A$28:$A$39,0),1))</f>
        <v>0</v>
      </c>
      <c r="I990" s="27">
        <f>I410*IF($E990="weekday",INDEX('Category Mapping'!$F$28:$F$39,MATCH('Summarized Source Data'!$A990,'Category Mapping'!$A$28:$A$39,0),1),INDEX('Category Mapping'!$E$28:$E$39,MATCH($A990,'Category Mapping'!$A$28:$A$39,0),1))</f>
        <v>137285714.28571427</v>
      </c>
      <c r="J990" s="27">
        <f>J410*IF($E990="weekday",INDEX('Category Mapping'!$F$28:$F$39,MATCH('Summarized Source Data'!$A990,'Category Mapping'!$A$28:$A$39,0),1),INDEX('Category Mapping'!$E$28:$E$39,MATCH($A990,'Category Mapping'!$A$28:$A$39,0),1))</f>
        <v>533065672.57142848</v>
      </c>
      <c r="K990" s="27">
        <f>K410*IF($E990="weekday",INDEX('Category Mapping'!$F$28:$F$39,MATCH('Summarized Source Data'!$A990,'Category Mapping'!$A$28:$A$39,0),1),INDEX('Category Mapping'!$E$28:$E$39,MATCH($A990,'Category Mapping'!$A$28:$A$39,0),1))</f>
        <v>533065672.57142848</v>
      </c>
      <c r="L990" s="27">
        <f>L410*IF($E990="weekday",INDEX('Category Mapping'!$F$28:$F$39,MATCH('Summarized Source Data'!$A990,'Category Mapping'!$A$28:$A$39,0),1),INDEX('Category Mapping'!$E$28:$E$39,MATCH($A990,'Category Mapping'!$A$28:$A$39,0),1))</f>
        <v>15837873.428571425</v>
      </c>
      <c r="M990" s="27">
        <f>M410*IF($E990="weekday",INDEX('Category Mapping'!$F$28:$F$39,MATCH('Summarized Source Data'!$A990,'Category Mapping'!$A$28:$A$39,0),1),INDEX('Category Mapping'!$E$28:$E$39,MATCH($A990,'Category Mapping'!$A$28:$A$39,0),1))</f>
        <v>37365194.571428567</v>
      </c>
      <c r="N990" s="27">
        <f>N410*IF($E990="weekday",INDEX('Category Mapping'!$F$28:$F$39,MATCH('Summarized Source Data'!$A990,'Category Mapping'!$A$28:$A$39,0),1),INDEX('Category Mapping'!$E$28:$E$39,MATCH($A990,'Category Mapping'!$A$28:$A$39,0),1))</f>
        <v>0</v>
      </c>
      <c r="O990" s="27">
        <f>O410*IF($E990="weekday",INDEX('Category Mapping'!$F$28:$F$39,MATCH('Summarized Source Data'!$A990,'Category Mapping'!$A$28:$A$39,0),1),INDEX('Category Mapping'!$E$28:$E$39,MATCH($A990,'Category Mapping'!$A$28:$A$39,0),1))</f>
        <v>740396931.99999988</v>
      </c>
      <c r="P990" s="27">
        <f>P410*IF($E990="weekday",INDEX('Category Mapping'!$F$28:$F$39,MATCH('Summarized Source Data'!$A990,'Category Mapping'!$A$28:$A$39,0),1),INDEX('Category Mapping'!$E$28:$E$39,MATCH($A990,'Category Mapping'!$A$28:$A$39,0),1))</f>
        <v>740396931.99999988</v>
      </c>
      <c r="Q990" s="27">
        <f>Q410*IF($E990="weekday",INDEX('Category Mapping'!$F$28:$F$39,MATCH('Summarized Source Data'!$A990,'Category Mapping'!$A$28:$A$39,0),1),INDEX('Category Mapping'!$E$28:$E$39,MATCH($A990,'Category Mapping'!$A$28:$A$39,0),1))</f>
        <v>740396931.99999988</v>
      </c>
      <c r="R990" s="27">
        <f>R410*IF($E990="weekday",INDEX('Category Mapping'!$F$28:$F$39,MATCH('Summarized Source Data'!$A990,'Category Mapping'!$A$28:$A$39,0),1),INDEX('Category Mapping'!$E$28:$E$39,MATCH($A990,'Category Mapping'!$A$28:$A$39,0),1))</f>
        <v>45923373.428571425</v>
      </c>
      <c r="S990" s="27">
        <f>S410*IF($E990="weekday",INDEX('Category Mapping'!$F$28:$F$39,MATCH('Summarized Source Data'!$A990,'Category Mapping'!$A$28:$A$39,0),1),INDEX('Category Mapping'!$E$28:$E$39,MATCH($A990,'Category Mapping'!$A$28:$A$39,0),1))</f>
        <v>45923373.428571425</v>
      </c>
      <c r="T990" s="27">
        <f>T410*IF($E990="weekday",INDEX('Category Mapping'!$F$28:$F$39,MATCH('Summarized Source Data'!$A990,'Category Mapping'!$A$28:$A$39,0),1),INDEX('Category Mapping'!$E$28:$E$39,MATCH($A990,'Category Mapping'!$A$28:$A$39,0),1))</f>
        <v>45923373.428571425</v>
      </c>
      <c r="U990" s="27">
        <f>U410*IF($E990="weekday",INDEX('Category Mapping'!$F$28:$F$39,MATCH('Summarized Source Data'!$A990,'Category Mapping'!$A$28:$A$39,0),1),INDEX('Category Mapping'!$E$28:$E$39,MATCH($A990,'Category Mapping'!$A$28:$A$39,0),1))</f>
        <v>45923373.428571425</v>
      </c>
      <c r="V990" s="27">
        <f>V410*IF($E990="weekday",INDEX('Category Mapping'!$F$28:$F$39,MATCH('Summarized Source Data'!$A990,'Category Mapping'!$A$28:$A$39,0),1),INDEX('Category Mapping'!$E$28:$E$39,MATCH($A990,'Category Mapping'!$A$28:$A$39,0),1))</f>
        <v>45923373.428571425</v>
      </c>
      <c r="W990" s="27">
        <f>W410*IF($E990="weekday",INDEX('Category Mapping'!$F$28:$F$39,MATCH('Summarized Source Data'!$A990,'Category Mapping'!$A$28:$A$39,0),1),INDEX('Category Mapping'!$E$28:$E$39,MATCH($A990,'Category Mapping'!$A$28:$A$39,0),1))</f>
        <v>45923373.428571425</v>
      </c>
      <c r="X990" s="27">
        <f>X410*IF($E990="weekday",INDEX('Category Mapping'!$F$28:$F$39,MATCH('Summarized Source Data'!$A990,'Category Mapping'!$A$28:$A$39,0),1),INDEX('Category Mapping'!$E$28:$E$39,MATCH($A990,'Category Mapping'!$A$28:$A$39,0),1))</f>
        <v>2993714285.7142854</v>
      </c>
      <c r="Y990" s="27">
        <f>Y410*IF($E990="weekday",INDEX('Category Mapping'!$F$28:$F$39,MATCH('Summarized Source Data'!$A990,'Category Mapping'!$A$28:$A$39,0),1),INDEX('Category Mapping'!$E$28:$E$39,MATCH($A990,'Category Mapping'!$A$28:$A$39,0),1))</f>
        <v>2993714285.7142854</v>
      </c>
      <c r="Z990" s="27">
        <f>Z410*IF($E990="weekday",INDEX('Category Mapping'!$F$28:$F$39,MATCH('Summarized Source Data'!$A990,'Category Mapping'!$A$28:$A$39,0),1),INDEX('Category Mapping'!$E$28:$E$39,MATCH($A990,'Category Mapping'!$A$28:$A$39,0),1))</f>
        <v>2993714285.7142854</v>
      </c>
    </row>
    <row r="991" spans="1:26" x14ac:dyDescent="0.3">
      <c r="A991">
        <f t="shared" ref="A991:E991" si="456">A411</f>
        <v>5</v>
      </c>
      <c r="B991" t="str">
        <f t="shared" si="456"/>
        <v>Spring</v>
      </c>
      <c r="C991" t="str">
        <f t="shared" si="456"/>
        <v>h24</v>
      </c>
      <c r="D991" t="str">
        <f t="shared" si="456"/>
        <v>Hour23</v>
      </c>
      <c r="E991" t="str">
        <f t="shared" si="456"/>
        <v>Weekend</v>
      </c>
      <c r="F991" s="27">
        <f>F411*IF($E991="weekday",INDEX('Category Mapping'!$F$28:$F$39,MATCH('Summarized Source Data'!$A991,'Category Mapping'!$A$28:$A$39,0),1),INDEX('Category Mapping'!$E$28:$E$39,MATCH($A991,'Category Mapping'!$A$28:$A$39,0),1))</f>
        <v>6938473.1428571418</v>
      </c>
      <c r="G991" s="27">
        <f>G411*IF($E991="weekday",INDEX('Category Mapping'!$F$28:$F$39,MATCH('Summarized Source Data'!$A991,'Category Mapping'!$A$28:$A$39,0),1),INDEX('Category Mapping'!$E$28:$E$39,MATCH($A991,'Category Mapping'!$A$28:$A$39,0),1))</f>
        <v>15960.571428571426</v>
      </c>
      <c r="H991" s="27">
        <f>H411*IF($E991="weekday",INDEX('Category Mapping'!$F$28:$F$39,MATCH('Summarized Source Data'!$A991,'Category Mapping'!$A$28:$A$39,0),1),INDEX('Category Mapping'!$E$28:$E$39,MATCH($A991,'Category Mapping'!$A$28:$A$39,0),1))</f>
        <v>0</v>
      </c>
      <c r="I991" s="27">
        <f>I411*IF($E991="weekday",INDEX('Category Mapping'!$F$28:$F$39,MATCH('Summarized Source Data'!$A991,'Category Mapping'!$A$28:$A$39,0),1),INDEX('Category Mapping'!$E$28:$E$39,MATCH($A991,'Category Mapping'!$A$28:$A$39,0),1))</f>
        <v>76893949.999999985</v>
      </c>
      <c r="J991" s="27">
        <f>J411*IF($E991="weekday",INDEX('Category Mapping'!$F$28:$F$39,MATCH('Summarized Source Data'!$A991,'Category Mapping'!$A$28:$A$39,0),1),INDEX('Category Mapping'!$E$28:$E$39,MATCH($A991,'Category Mapping'!$A$28:$A$39,0),1))</f>
        <v>424551616.28571421</v>
      </c>
      <c r="K991" s="27">
        <f>K411*IF($E991="weekday",INDEX('Category Mapping'!$F$28:$F$39,MATCH('Summarized Source Data'!$A991,'Category Mapping'!$A$28:$A$39,0),1),INDEX('Category Mapping'!$E$28:$E$39,MATCH($A991,'Category Mapping'!$A$28:$A$39,0),1))</f>
        <v>424551616.28571421</v>
      </c>
      <c r="L991" s="27">
        <f>L411*IF($E991="weekday",INDEX('Category Mapping'!$F$28:$F$39,MATCH('Summarized Source Data'!$A991,'Category Mapping'!$A$28:$A$39,0),1),INDEX('Category Mapping'!$E$28:$E$39,MATCH($A991,'Category Mapping'!$A$28:$A$39,0),1))</f>
        <v>16692791.428571425</v>
      </c>
      <c r="M991" s="27">
        <f>M411*IF($E991="weekday",INDEX('Category Mapping'!$F$28:$F$39,MATCH('Summarized Source Data'!$A991,'Category Mapping'!$A$28:$A$39,0),1),INDEX('Category Mapping'!$E$28:$E$39,MATCH($A991,'Category Mapping'!$A$28:$A$39,0),1))</f>
        <v>35500491.428571425</v>
      </c>
      <c r="N991" s="27">
        <f>N411*IF($E991="weekday",INDEX('Category Mapping'!$F$28:$F$39,MATCH('Summarized Source Data'!$A991,'Category Mapping'!$A$28:$A$39,0),1),INDEX('Category Mapping'!$E$28:$E$39,MATCH($A991,'Category Mapping'!$A$28:$A$39,0),1))</f>
        <v>0</v>
      </c>
      <c r="O991" s="27">
        <f>O411*IF($E991="weekday",INDEX('Category Mapping'!$F$28:$F$39,MATCH('Summarized Source Data'!$A991,'Category Mapping'!$A$28:$A$39,0),1),INDEX('Category Mapping'!$E$28:$E$39,MATCH($A991,'Category Mapping'!$A$28:$A$39,0),1))</f>
        <v>677635288.57142842</v>
      </c>
      <c r="P991" s="27">
        <f>P411*IF($E991="weekday",INDEX('Category Mapping'!$F$28:$F$39,MATCH('Summarized Source Data'!$A991,'Category Mapping'!$A$28:$A$39,0),1),INDEX('Category Mapping'!$E$28:$E$39,MATCH($A991,'Category Mapping'!$A$28:$A$39,0),1))</f>
        <v>677635288.57142842</v>
      </c>
      <c r="Q991" s="27">
        <f>Q411*IF($E991="weekday",INDEX('Category Mapping'!$F$28:$F$39,MATCH('Summarized Source Data'!$A991,'Category Mapping'!$A$28:$A$39,0),1),INDEX('Category Mapping'!$E$28:$E$39,MATCH($A991,'Category Mapping'!$A$28:$A$39,0),1))</f>
        <v>677635288.57142842</v>
      </c>
      <c r="R991" s="27">
        <f>R411*IF($E991="weekday",INDEX('Category Mapping'!$F$28:$F$39,MATCH('Summarized Source Data'!$A991,'Category Mapping'!$A$28:$A$39,0),1),INDEX('Category Mapping'!$E$28:$E$39,MATCH($A991,'Category Mapping'!$A$28:$A$39,0),1))</f>
        <v>30864839.999999996</v>
      </c>
      <c r="S991" s="27">
        <f>S411*IF($E991="weekday",INDEX('Category Mapping'!$F$28:$F$39,MATCH('Summarized Source Data'!$A991,'Category Mapping'!$A$28:$A$39,0),1),INDEX('Category Mapping'!$E$28:$E$39,MATCH($A991,'Category Mapping'!$A$28:$A$39,0),1))</f>
        <v>30864839.999999996</v>
      </c>
      <c r="T991" s="27">
        <f>T411*IF($E991="weekday",INDEX('Category Mapping'!$F$28:$F$39,MATCH('Summarized Source Data'!$A991,'Category Mapping'!$A$28:$A$39,0),1),INDEX('Category Mapping'!$E$28:$E$39,MATCH($A991,'Category Mapping'!$A$28:$A$39,0),1))</f>
        <v>30864839.999999996</v>
      </c>
      <c r="U991" s="27">
        <f>U411*IF($E991="weekday",INDEX('Category Mapping'!$F$28:$F$39,MATCH('Summarized Source Data'!$A991,'Category Mapping'!$A$28:$A$39,0),1),INDEX('Category Mapping'!$E$28:$E$39,MATCH($A991,'Category Mapping'!$A$28:$A$39,0),1))</f>
        <v>30864839.999999996</v>
      </c>
      <c r="V991" s="27">
        <f>V411*IF($E991="weekday",INDEX('Category Mapping'!$F$28:$F$39,MATCH('Summarized Source Data'!$A991,'Category Mapping'!$A$28:$A$39,0),1),INDEX('Category Mapping'!$E$28:$E$39,MATCH($A991,'Category Mapping'!$A$28:$A$39,0),1))</f>
        <v>30864839.999999996</v>
      </c>
      <c r="W991" s="27">
        <f>W411*IF($E991="weekday",INDEX('Category Mapping'!$F$28:$F$39,MATCH('Summarized Source Data'!$A991,'Category Mapping'!$A$28:$A$39,0),1),INDEX('Category Mapping'!$E$28:$E$39,MATCH($A991,'Category Mapping'!$A$28:$A$39,0),1))</f>
        <v>30864839.999999996</v>
      </c>
      <c r="X991" s="27">
        <f>X411*IF($E991="weekday",INDEX('Category Mapping'!$F$28:$F$39,MATCH('Summarized Source Data'!$A991,'Category Mapping'!$A$28:$A$39,0),1),INDEX('Category Mapping'!$E$28:$E$39,MATCH($A991,'Category Mapping'!$A$28:$A$39,0),1))</f>
        <v>2975999999.9999995</v>
      </c>
      <c r="Y991" s="27">
        <f>Y411*IF($E991="weekday",INDEX('Category Mapping'!$F$28:$F$39,MATCH('Summarized Source Data'!$A991,'Category Mapping'!$A$28:$A$39,0),1),INDEX('Category Mapping'!$E$28:$E$39,MATCH($A991,'Category Mapping'!$A$28:$A$39,0),1))</f>
        <v>2975999999.9999995</v>
      </c>
      <c r="Z991" s="27">
        <f>Z411*IF($E991="weekday",INDEX('Category Mapping'!$F$28:$F$39,MATCH('Summarized Source Data'!$A991,'Category Mapping'!$A$28:$A$39,0),1),INDEX('Category Mapping'!$E$28:$E$39,MATCH($A991,'Category Mapping'!$A$28:$A$39,0),1))</f>
        <v>2975999999.9999995</v>
      </c>
    </row>
    <row r="992" spans="1:26" x14ac:dyDescent="0.3">
      <c r="A992">
        <f t="shared" ref="A992:E992" si="457">A412</f>
        <v>6</v>
      </c>
      <c r="B992" t="str">
        <f t="shared" si="457"/>
        <v>Summer</v>
      </c>
      <c r="C992" t="str">
        <f t="shared" si="457"/>
        <v>h1</v>
      </c>
      <c r="D992" t="str">
        <f t="shared" si="457"/>
        <v>Hour0</v>
      </c>
      <c r="E992" t="str">
        <f t="shared" si="457"/>
        <v>Weekend</v>
      </c>
      <c r="F992" s="27">
        <f>F412*IF($E992="weekday",INDEX('Category Mapping'!$F$28:$F$39,MATCH('Summarized Source Data'!$A992,'Category Mapping'!$A$28:$A$39,0),1),INDEX('Category Mapping'!$E$28:$E$39,MATCH($A992,'Category Mapping'!$A$28:$A$39,0),1))</f>
        <v>1155754.2857142857</v>
      </c>
      <c r="G992" s="27">
        <f>G412*IF($E992="weekday",INDEX('Category Mapping'!$F$28:$F$39,MATCH('Summarized Source Data'!$A992,'Category Mapping'!$A$28:$A$39,0),1),INDEX('Category Mapping'!$E$28:$E$39,MATCH($A992,'Category Mapping'!$A$28:$A$39,0),1))</f>
        <v>14116251.428571427</v>
      </c>
      <c r="H992" s="27">
        <f>H412*IF($E992="weekday",INDEX('Category Mapping'!$F$28:$F$39,MATCH('Summarized Source Data'!$A992,'Category Mapping'!$A$28:$A$39,0),1),INDEX('Category Mapping'!$E$28:$E$39,MATCH($A992,'Category Mapping'!$A$28:$A$39,0),1))</f>
        <v>0</v>
      </c>
      <c r="I992" s="27">
        <f>I412*IF($E992="weekday",INDEX('Category Mapping'!$F$28:$F$39,MATCH('Summarized Source Data'!$A992,'Category Mapping'!$A$28:$A$39,0),1),INDEX('Category Mapping'!$E$28:$E$39,MATCH($A992,'Category Mapping'!$A$28:$A$39,0),1))</f>
        <v>50542808.571428567</v>
      </c>
      <c r="J992" s="27">
        <f>J412*IF($E992="weekday",INDEX('Category Mapping'!$F$28:$F$39,MATCH('Summarized Source Data'!$A992,'Category Mapping'!$A$28:$A$39,0),1),INDEX('Category Mapping'!$E$28:$E$39,MATCH($A992,'Category Mapping'!$A$28:$A$39,0),1))</f>
        <v>315613757.14285713</v>
      </c>
      <c r="K992" s="27">
        <f>K412*IF($E992="weekday",INDEX('Category Mapping'!$F$28:$F$39,MATCH('Summarized Source Data'!$A992,'Category Mapping'!$A$28:$A$39,0),1),INDEX('Category Mapping'!$E$28:$E$39,MATCH($A992,'Category Mapping'!$A$28:$A$39,0),1))</f>
        <v>315613757.14285713</v>
      </c>
      <c r="L992" s="27">
        <f>L412*IF($E992="weekday",INDEX('Category Mapping'!$F$28:$F$39,MATCH('Summarized Source Data'!$A992,'Category Mapping'!$A$28:$A$39,0),1),INDEX('Category Mapping'!$E$28:$E$39,MATCH($A992,'Category Mapping'!$A$28:$A$39,0),1))</f>
        <v>3096300</v>
      </c>
      <c r="M992" s="27">
        <f>M412*IF($E992="weekday",INDEX('Category Mapping'!$F$28:$F$39,MATCH('Summarized Source Data'!$A992,'Category Mapping'!$A$28:$A$39,0),1),INDEX('Category Mapping'!$E$28:$E$39,MATCH($A992,'Category Mapping'!$A$28:$A$39,0),1))</f>
        <v>287142857.14285713</v>
      </c>
      <c r="N992" s="27">
        <f>N412*IF($E992="weekday",INDEX('Category Mapping'!$F$28:$F$39,MATCH('Summarized Source Data'!$A992,'Category Mapping'!$A$28:$A$39,0),1),INDEX('Category Mapping'!$E$28:$E$39,MATCH($A992,'Category Mapping'!$A$28:$A$39,0),1))</f>
        <v>0</v>
      </c>
      <c r="O992" s="27">
        <f>O412*IF($E992="weekday",INDEX('Category Mapping'!$F$28:$F$39,MATCH('Summarized Source Data'!$A992,'Category Mapping'!$A$28:$A$39,0),1),INDEX('Category Mapping'!$E$28:$E$39,MATCH($A992,'Category Mapping'!$A$28:$A$39,0),1))</f>
        <v>661189414.28571427</v>
      </c>
      <c r="P992" s="27">
        <f>P412*IF($E992="weekday",INDEX('Category Mapping'!$F$28:$F$39,MATCH('Summarized Source Data'!$A992,'Category Mapping'!$A$28:$A$39,0),1),INDEX('Category Mapping'!$E$28:$E$39,MATCH($A992,'Category Mapping'!$A$28:$A$39,0),1))</f>
        <v>661189414.28571427</v>
      </c>
      <c r="Q992" s="27">
        <f>Q412*IF($E992="weekday",INDEX('Category Mapping'!$F$28:$F$39,MATCH('Summarized Source Data'!$A992,'Category Mapping'!$A$28:$A$39,0),1),INDEX('Category Mapping'!$E$28:$E$39,MATCH($A992,'Category Mapping'!$A$28:$A$39,0),1))</f>
        <v>661189414.28571427</v>
      </c>
      <c r="R992" s="27">
        <f>R412*IF($E992="weekday",INDEX('Category Mapping'!$F$28:$F$39,MATCH('Summarized Source Data'!$A992,'Category Mapping'!$A$28:$A$39,0),1),INDEX('Category Mapping'!$E$28:$E$39,MATCH($A992,'Category Mapping'!$A$28:$A$39,0),1))</f>
        <v>20685240</v>
      </c>
      <c r="S992" s="27">
        <f>S412*IF($E992="weekday",INDEX('Category Mapping'!$F$28:$F$39,MATCH('Summarized Source Data'!$A992,'Category Mapping'!$A$28:$A$39,0),1),INDEX('Category Mapping'!$E$28:$E$39,MATCH($A992,'Category Mapping'!$A$28:$A$39,0),1))</f>
        <v>20685240</v>
      </c>
      <c r="T992" s="27">
        <f>T412*IF($E992="weekday",INDEX('Category Mapping'!$F$28:$F$39,MATCH('Summarized Source Data'!$A992,'Category Mapping'!$A$28:$A$39,0),1),INDEX('Category Mapping'!$E$28:$E$39,MATCH($A992,'Category Mapping'!$A$28:$A$39,0),1))</f>
        <v>20685240</v>
      </c>
      <c r="U992" s="27">
        <f>U412*IF($E992="weekday",INDEX('Category Mapping'!$F$28:$F$39,MATCH('Summarized Source Data'!$A992,'Category Mapping'!$A$28:$A$39,0),1),INDEX('Category Mapping'!$E$28:$E$39,MATCH($A992,'Category Mapping'!$A$28:$A$39,0),1))</f>
        <v>20685240</v>
      </c>
      <c r="V992" s="27">
        <f>V412*IF($E992="weekday",INDEX('Category Mapping'!$F$28:$F$39,MATCH('Summarized Source Data'!$A992,'Category Mapping'!$A$28:$A$39,0),1),INDEX('Category Mapping'!$E$28:$E$39,MATCH($A992,'Category Mapping'!$A$28:$A$39,0),1))</f>
        <v>20685240</v>
      </c>
      <c r="W992" s="27">
        <f>W412*IF($E992="weekday",INDEX('Category Mapping'!$F$28:$F$39,MATCH('Summarized Source Data'!$A992,'Category Mapping'!$A$28:$A$39,0),1),INDEX('Category Mapping'!$E$28:$E$39,MATCH($A992,'Category Mapping'!$A$28:$A$39,0),1))</f>
        <v>20685240</v>
      </c>
      <c r="X992" s="27">
        <f>X412*IF($E992="weekday",INDEX('Category Mapping'!$F$28:$F$39,MATCH('Summarized Source Data'!$A992,'Category Mapping'!$A$28:$A$39,0),1),INDEX('Category Mapping'!$E$28:$E$39,MATCH($A992,'Category Mapping'!$A$28:$A$39,0),1))</f>
        <v>2931428571.4285712</v>
      </c>
      <c r="Y992" s="27">
        <f>Y412*IF($E992="weekday",INDEX('Category Mapping'!$F$28:$F$39,MATCH('Summarized Source Data'!$A992,'Category Mapping'!$A$28:$A$39,0),1),INDEX('Category Mapping'!$E$28:$E$39,MATCH($A992,'Category Mapping'!$A$28:$A$39,0),1))</f>
        <v>2931428571.4285712</v>
      </c>
      <c r="Z992" s="27">
        <f>Z412*IF($E992="weekday",INDEX('Category Mapping'!$F$28:$F$39,MATCH('Summarized Source Data'!$A992,'Category Mapping'!$A$28:$A$39,0),1),INDEX('Category Mapping'!$E$28:$E$39,MATCH($A992,'Category Mapping'!$A$28:$A$39,0),1))</f>
        <v>2931428571.4285712</v>
      </c>
    </row>
    <row r="993" spans="1:26" x14ac:dyDescent="0.3">
      <c r="A993">
        <f t="shared" ref="A993:E993" si="458">A413</f>
        <v>6</v>
      </c>
      <c r="B993" t="str">
        <f t="shared" si="458"/>
        <v>Summer</v>
      </c>
      <c r="C993" t="str">
        <f t="shared" si="458"/>
        <v>h2</v>
      </c>
      <c r="D993" t="str">
        <f t="shared" si="458"/>
        <v>Hour1</v>
      </c>
      <c r="E993" t="str">
        <f t="shared" si="458"/>
        <v>Weekend</v>
      </c>
      <c r="F993" s="27">
        <f>F413*IF($E993="weekday",INDEX('Category Mapping'!$F$28:$F$39,MATCH('Summarized Source Data'!$A993,'Category Mapping'!$A$28:$A$39,0),1),INDEX('Category Mapping'!$E$28:$E$39,MATCH($A993,'Category Mapping'!$A$28:$A$39,0),1))</f>
        <v>1155754.2857142857</v>
      </c>
      <c r="G993" s="27">
        <f>G413*IF($E993="weekday",INDEX('Category Mapping'!$F$28:$F$39,MATCH('Summarized Source Data'!$A993,'Category Mapping'!$A$28:$A$39,0),1),INDEX('Category Mapping'!$E$28:$E$39,MATCH($A993,'Category Mapping'!$A$28:$A$39,0),1))</f>
        <v>9388894.2857142854</v>
      </c>
      <c r="H993" s="27">
        <f>H413*IF($E993="weekday",INDEX('Category Mapping'!$F$28:$F$39,MATCH('Summarized Source Data'!$A993,'Category Mapping'!$A$28:$A$39,0),1),INDEX('Category Mapping'!$E$28:$E$39,MATCH($A993,'Category Mapping'!$A$28:$A$39,0),1))</f>
        <v>0</v>
      </c>
      <c r="I993" s="27">
        <f>I413*IF($E993="weekday",INDEX('Category Mapping'!$F$28:$F$39,MATCH('Summarized Source Data'!$A993,'Category Mapping'!$A$28:$A$39,0),1),INDEX('Category Mapping'!$E$28:$E$39,MATCH($A993,'Category Mapping'!$A$28:$A$39,0),1))</f>
        <v>43668677.142857142</v>
      </c>
      <c r="J993" s="27">
        <f>J413*IF($E993="weekday",INDEX('Category Mapping'!$F$28:$F$39,MATCH('Summarized Source Data'!$A993,'Category Mapping'!$A$28:$A$39,0),1),INDEX('Category Mapping'!$E$28:$E$39,MATCH($A993,'Category Mapping'!$A$28:$A$39,0),1))</f>
        <v>244929531.42857143</v>
      </c>
      <c r="K993" s="27">
        <f>K413*IF($E993="weekday",INDEX('Category Mapping'!$F$28:$F$39,MATCH('Summarized Source Data'!$A993,'Category Mapping'!$A$28:$A$39,0),1),INDEX('Category Mapping'!$E$28:$E$39,MATCH($A993,'Category Mapping'!$A$28:$A$39,0),1))</f>
        <v>244929531.42857143</v>
      </c>
      <c r="L993" s="27">
        <f>L413*IF($E993="weekday",INDEX('Category Mapping'!$F$28:$F$39,MATCH('Summarized Source Data'!$A993,'Category Mapping'!$A$28:$A$39,0),1),INDEX('Category Mapping'!$E$28:$E$39,MATCH($A993,'Category Mapping'!$A$28:$A$39,0),1))</f>
        <v>3080871.4285714286</v>
      </c>
      <c r="M993" s="27">
        <f>M413*IF($E993="weekday",INDEX('Category Mapping'!$F$28:$F$39,MATCH('Summarized Source Data'!$A993,'Category Mapping'!$A$28:$A$39,0),1),INDEX('Category Mapping'!$E$28:$E$39,MATCH($A993,'Category Mapping'!$A$28:$A$39,0),1))</f>
        <v>276000000</v>
      </c>
      <c r="N993" s="27">
        <f>N413*IF($E993="weekday",INDEX('Category Mapping'!$F$28:$F$39,MATCH('Summarized Source Data'!$A993,'Category Mapping'!$A$28:$A$39,0),1),INDEX('Category Mapping'!$E$28:$E$39,MATCH($A993,'Category Mapping'!$A$28:$A$39,0),1))</f>
        <v>0</v>
      </c>
      <c r="O993" s="27">
        <f>O413*IF($E993="weekday",INDEX('Category Mapping'!$F$28:$F$39,MATCH('Summarized Source Data'!$A993,'Category Mapping'!$A$28:$A$39,0),1),INDEX('Category Mapping'!$E$28:$E$39,MATCH($A993,'Category Mapping'!$A$28:$A$39,0),1))</f>
        <v>576347700</v>
      </c>
      <c r="P993" s="27">
        <f>P413*IF($E993="weekday",INDEX('Category Mapping'!$F$28:$F$39,MATCH('Summarized Source Data'!$A993,'Category Mapping'!$A$28:$A$39,0),1),INDEX('Category Mapping'!$E$28:$E$39,MATCH($A993,'Category Mapping'!$A$28:$A$39,0),1))</f>
        <v>576347700</v>
      </c>
      <c r="Q993" s="27">
        <f>Q413*IF($E993="weekday",INDEX('Category Mapping'!$F$28:$F$39,MATCH('Summarized Source Data'!$A993,'Category Mapping'!$A$28:$A$39,0),1),INDEX('Category Mapping'!$E$28:$E$39,MATCH($A993,'Category Mapping'!$A$28:$A$39,0),1))</f>
        <v>576347700</v>
      </c>
      <c r="R993" s="27">
        <f>R413*IF($E993="weekday",INDEX('Category Mapping'!$F$28:$F$39,MATCH('Summarized Source Data'!$A993,'Category Mapping'!$A$28:$A$39,0),1),INDEX('Category Mapping'!$E$28:$E$39,MATCH($A993,'Category Mapping'!$A$28:$A$39,0),1))</f>
        <v>19581068.571428571</v>
      </c>
      <c r="S993" s="27">
        <f>S413*IF($E993="weekday",INDEX('Category Mapping'!$F$28:$F$39,MATCH('Summarized Source Data'!$A993,'Category Mapping'!$A$28:$A$39,0),1),INDEX('Category Mapping'!$E$28:$E$39,MATCH($A993,'Category Mapping'!$A$28:$A$39,0),1))</f>
        <v>19581068.571428571</v>
      </c>
      <c r="T993" s="27">
        <f>T413*IF($E993="weekday",INDEX('Category Mapping'!$F$28:$F$39,MATCH('Summarized Source Data'!$A993,'Category Mapping'!$A$28:$A$39,0),1),INDEX('Category Mapping'!$E$28:$E$39,MATCH($A993,'Category Mapping'!$A$28:$A$39,0),1))</f>
        <v>19581068.571428571</v>
      </c>
      <c r="U993" s="27">
        <f>U413*IF($E993="weekday",INDEX('Category Mapping'!$F$28:$F$39,MATCH('Summarized Source Data'!$A993,'Category Mapping'!$A$28:$A$39,0),1),INDEX('Category Mapping'!$E$28:$E$39,MATCH($A993,'Category Mapping'!$A$28:$A$39,0),1))</f>
        <v>19581068.571428571</v>
      </c>
      <c r="V993" s="27">
        <f>V413*IF($E993="weekday",INDEX('Category Mapping'!$F$28:$F$39,MATCH('Summarized Source Data'!$A993,'Category Mapping'!$A$28:$A$39,0),1),INDEX('Category Mapping'!$E$28:$E$39,MATCH($A993,'Category Mapping'!$A$28:$A$39,0),1))</f>
        <v>19581068.571428571</v>
      </c>
      <c r="W993" s="27">
        <f>W413*IF($E993="weekday",INDEX('Category Mapping'!$F$28:$F$39,MATCH('Summarized Source Data'!$A993,'Category Mapping'!$A$28:$A$39,0),1),INDEX('Category Mapping'!$E$28:$E$39,MATCH($A993,'Category Mapping'!$A$28:$A$39,0),1))</f>
        <v>19581068.571428571</v>
      </c>
      <c r="X993" s="27">
        <f>X413*IF($E993="weekday",INDEX('Category Mapping'!$F$28:$F$39,MATCH('Summarized Source Data'!$A993,'Category Mapping'!$A$28:$A$39,0),1),INDEX('Category Mapping'!$E$28:$E$39,MATCH($A993,'Category Mapping'!$A$28:$A$39,0),1))</f>
        <v>2922857142.8571429</v>
      </c>
      <c r="Y993" s="27">
        <f>Y413*IF($E993="weekday",INDEX('Category Mapping'!$F$28:$F$39,MATCH('Summarized Source Data'!$A993,'Category Mapping'!$A$28:$A$39,0),1),INDEX('Category Mapping'!$E$28:$E$39,MATCH($A993,'Category Mapping'!$A$28:$A$39,0),1))</f>
        <v>2922857142.8571429</v>
      </c>
      <c r="Z993" s="27">
        <f>Z413*IF($E993="weekday",INDEX('Category Mapping'!$F$28:$F$39,MATCH('Summarized Source Data'!$A993,'Category Mapping'!$A$28:$A$39,0),1),INDEX('Category Mapping'!$E$28:$E$39,MATCH($A993,'Category Mapping'!$A$28:$A$39,0),1))</f>
        <v>2922857142.8571429</v>
      </c>
    </row>
    <row r="994" spans="1:26" x14ac:dyDescent="0.3">
      <c r="A994">
        <f t="shared" ref="A994:E994" si="459">A414</f>
        <v>6</v>
      </c>
      <c r="B994" t="str">
        <f t="shared" si="459"/>
        <v>Summer</v>
      </c>
      <c r="C994" t="str">
        <f t="shared" si="459"/>
        <v>h3</v>
      </c>
      <c r="D994" t="str">
        <f t="shared" si="459"/>
        <v>Hour2</v>
      </c>
      <c r="E994" t="str">
        <f t="shared" si="459"/>
        <v>Weekend</v>
      </c>
      <c r="F994" s="27">
        <f>F414*IF($E994="weekday",INDEX('Category Mapping'!$F$28:$F$39,MATCH('Summarized Source Data'!$A994,'Category Mapping'!$A$28:$A$39,0),1),INDEX('Category Mapping'!$E$28:$E$39,MATCH($A994,'Category Mapping'!$A$28:$A$39,0),1))</f>
        <v>1155754.2857142857</v>
      </c>
      <c r="G994" s="27">
        <f>G414*IF($E994="weekday",INDEX('Category Mapping'!$F$28:$F$39,MATCH('Summarized Source Data'!$A994,'Category Mapping'!$A$28:$A$39,0),1),INDEX('Category Mapping'!$E$28:$E$39,MATCH($A994,'Category Mapping'!$A$28:$A$39,0),1))</f>
        <v>8386551.4285714282</v>
      </c>
      <c r="H994" s="27">
        <f>H414*IF($E994="weekday",INDEX('Category Mapping'!$F$28:$F$39,MATCH('Summarized Source Data'!$A994,'Category Mapping'!$A$28:$A$39,0),1),INDEX('Category Mapping'!$E$28:$E$39,MATCH($A994,'Category Mapping'!$A$28:$A$39,0),1))</f>
        <v>0</v>
      </c>
      <c r="I994" s="27">
        <f>I414*IF($E994="weekday",INDEX('Category Mapping'!$F$28:$F$39,MATCH('Summarized Source Data'!$A994,'Category Mapping'!$A$28:$A$39,0),1),INDEX('Category Mapping'!$E$28:$E$39,MATCH($A994,'Category Mapping'!$A$28:$A$39,0),1))</f>
        <v>42176082.857142858</v>
      </c>
      <c r="J994" s="27">
        <f>J414*IF($E994="weekday",INDEX('Category Mapping'!$F$28:$F$39,MATCH('Summarized Source Data'!$A994,'Category Mapping'!$A$28:$A$39,0),1),INDEX('Category Mapping'!$E$28:$E$39,MATCH($A994,'Category Mapping'!$A$28:$A$39,0),1))</f>
        <v>190853040</v>
      </c>
      <c r="K994" s="27">
        <f>K414*IF($E994="weekday",INDEX('Category Mapping'!$F$28:$F$39,MATCH('Summarized Source Data'!$A994,'Category Mapping'!$A$28:$A$39,0),1),INDEX('Category Mapping'!$E$28:$E$39,MATCH($A994,'Category Mapping'!$A$28:$A$39,0),1))</f>
        <v>190853040</v>
      </c>
      <c r="L994" s="27">
        <f>L414*IF($E994="weekday",INDEX('Category Mapping'!$F$28:$F$39,MATCH('Summarized Source Data'!$A994,'Category Mapping'!$A$28:$A$39,0),1),INDEX('Category Mapping'!$E$28:$E$39,MATCH($A994,'Category Mapping'!$A$28:$A$39,0),1))</f>
        <v>3164682.8571428573</v>
      </c>
      <c r="M994" s="27">
        <f>M414*IF($E994="weekday",INDEX('Category Mapping'!$F$28:$F$39,MATCH('Summarized Source Data'!$A994,'Category Mapping'!$A$28:$A$39,0),1),INDEX('Category Mapping'!$E$28:$E$39,MATCH($A994,'Category Mapping'!$A$28:$A$39,0),1))</f>
        <v>272571428.57142854</v>
      </c>
      <c r="N994" s="27">
        <f>N414*IF($E994="weekday",INDEX('Category Mapping'!$F$28:$F$39,MATCH('Summarized Source Data'!$A994,'Category Mapping'!$A$28:$A$39,0),1),INDEX('Category Mapping'!$E$28:$E$39,MATCH($A994,'Category Mapping'!$A$28:$A$39,0),1))</f>
        <v>0</v>
      </c>
      <c r="O994" s="27">
        <f>O414*IF($E994="weekday",INDEX('Category Mapping'!$F$28:$F$39,MATCH('Summarized Source Data'!$A994,'Category Mapping'!$A$28:$A$39,0),1),INDEX('Category Mapping'!$E$28:$E$39,MATCH($A994,'Category Mapping'!$A$28:$A$39,0),1))</f>
        <v>569406745.71428573</v>
      </c>
      <c r="P994" s="27">
        <f>P414*IF($E994="weekday",INDEX('Category Mapping'!$F$28:$F$39,MATCH('Summarized Source Data'!$A994,'Category Mapping'!$A$28:$A$39,0),1),INDEX('Category Mapping'!$E$28:$E$39,MATCH($A994,'Category Mapping'!$A$28:$A$39,0),1))</f>
        <v>569406745.71428573</v>
      </c>
      <c r="Q994" s="27">
        <f>Q414*IF($E994="weekday",INDEX('Category Mapping'!$F$28:$F$39,MATCH('Summarized Source Data'!$A994,'Category Mapping'!$A$28:$A$39,0),1),INDEX('Category Mapping'!$E$28:$E$39,MATCH($A994,'Category Mapping'!$A$28:$A$39,0),1))</f>
        <v>569406745.71428573</v>
      </c>
      <c r="R994" s="27">
        <f>R414*IF($E994="weekday",INDEX('Category Mapping'!$F$28:$F$39,MATCH('Summarized Source Data'!$A994,'Category Mapping'!$A$28:$A$39,0),1),INDEX('Category Mapping'!$E$28:$E$39,MATCH($A994,'Category Mapping'!$A$28:$A$39,0),1))</f>
        <v>19279928.571428571</v>
      </c>
      <c r="S994" s="27">
        <f>S414*IF($E994="weekday",INDEX('Category Mapping'!$F$28:$F$39,MATCH('Summarized Source Data'!$A994,'Category Mapping'!$A$28:$A$39,0),1),INDEX('Category Mapping'!$E$28:$E$39,MATCH($A994,'Category Mapping'!$A$28:$A$39,0),1))</f>
        <v>19279928.571428571</v>
      </c>
      <c r="T994" s="27">
        <f>T414*IF($E994="weekday",INDEX('Category Mapping'!$F$28:$F$39,MATCH('Summarized Source Data'!$A994,'Category Mapping'!$A$28:$A$39,0),1),INDEX('Category Mapping'!$E$28:$E$39,MATCH($A994,'Category Mapping'!$A$28:$A$39,0),1))</f>
        <v>19279928.571428571</v>
      </c>
      <c r="U994" s="27">
        <f>U414*IF($E994="weekday",INDEX('Category Mapping'!$F$28:$F$39,MATCH('Summarized Source Data'!$A994,'Category Mapping'!$A$28:$A$39,0),1),INDEX('Category Mapping'!$E$28:$E$39,MATCH($A994,'Category Mapping'!$A$28:$A$39,0),1))</f>
        <v>19279928.571428571</v>
      </c>
      <c r="V994" s="27">
        <f>V414*IF($E994="weekday",INDEX('Category Mapping'!$F$28:$F$39,MATCH('Summarized Source Data'!$A994,'Category Mapping'!$A$28:$A$39,0),1),INDEX('Category Mapping'!$E$28:$E$39,MATCH($A994,'Category Mapping'!$A$28:$A$39,0),1))</f>
        <v>19279928.571428571</v>
      </c>
      <c r="W994" s="27">
        <f>W414*IF($E994="weekday",INDEX('Category Mapping'!$F$28:$F$39,MATCH('Summarized Source Data'!$A994,'Category Mapping'!$A$28:$A$39,0),1),INDEX('Category Mapping'!$E$28:$E$39,MATCH($A994,'Category Mapping'!$A$28:$A$39,0),1))</f>
        <v>19279928.571428571</v>
      </c>
      <c r="X994" s="27">
        <f>X414*IF($E994="weekday",INDEX('Category Mapping'!$F$28:$F$39,MATCH('Summarized Source Data'!$A994,'Category Mapping'!$A$28:$A$39,0),1),INDEX('Category Mapping'!$E$28:$E$39,MATCH($A994,'Category Mapping'!$A$28:$A$39,0),1))</f>
        <v>2931428571.4285712</v>
      </c>
      <c r="Y994" s="27">
        <f>Y414*IF($E994="weekday",INDEX('Category Mapping'!$F$28:$F$39,MATCH('Summarized Source Data'!$A994,'Category Mapping'!$A$28:$A$39,0),1),INDEX('Category Mapping'!$E$28:$E$39,MATCH($A994,'Category Mapping'!$A$28:$A$39,0),1))</f>
        <v>2931428571.4285712</v>
      </c>
      <c r="Z994" s="27">
        <f>Z414*IF($E994="weekday",INDEX('Category Mapping'!$F$28:$F$39,MATCH('Summarized Source Data'!$A994,'Category Mapping'!$A$28:$A$39,0),1),INDEX('Category Mapping'!$E$28:$E$39,MATCH($A994,'Category Mapping'!$A$28:$A$39,0),1))</f>
        <v>2931428571.4285712</v>
      </c>
    </row>
    <row r="995" spans="1:26" x14ac:dyDescent="0.3">
      <c r="A995">
        <f t="shared" ref="A995:E995" si="460">A415</f>
        <v>6</v>
      </c>
      <c r="B995" t="str">
        <f t="shared" si="460"/>
        <v>Summer</v>
      </c>
      <c r="C995" t="str">
        <f t="shared" si="460"/>
        <v>h4</v>
      </c>
      <c r="D995" t="str">
        <f t="shared" si="460"/>
        <v>Hour3</v>
      </c>
      <c r="E995" t="str">
        <f t="shared" si="460"/>
        <v>Weekend</v>
      </c>
      <c r="F995" s="27">
        <f>F415*IF($E995="weekday",INDEX('Category Mapping'!$F$28:$F$39,MATCH('Summarized Source Data'!$A995,'Category Mapping'!$A$28:$A$39,0),1),INDEX('Category Mapping'!$E$28:$E$39,MATCH($A995,'Category Mapping'!$A$28:$A$39,0),1))</f>
        <v>1155754.2857142857</v>
      </c>
      <c r="G995" s="27">
        <f>G415*IF($E995="weekday",INDEX('Category Mapping'!$F$28:$F$39,MATCH('Summarized Source Data'!$A995,'Category Mapping'!$A$28:$A$39,0),1),INDEX('Category Mapping'!$E$28:$E$39,MATCH($A995,'Category Mapping'!$A$28:$A$39,0),1))</f>
        <v>9531634.2857142854</v>
      </c>
      <c r="H995" s="27">
        <f>H415*IF($E995="weekday",INDEX('Category Mapping'!$F$28:$F$39,MATCH('Summarized Source Data'!$A995,'Category Mapping'!$A$28:$A$39,0),1),INDEX('Category Mapping'!$E$28:$E$39,MATCH($A995,'Category Mapping'!$A$28:$A$39,0),1))</f>
        <v>0</v>
      </c>
      <c r="I995" s="27">
        <f>I415*IF($E995="weekday",INDEX('Category Mapping'!$F$28:$F$39,MATCH('Summarized Source Data'!$A995,'Category Mapping'!$A$28:$A$39,0),1),INDEX('Category Mapping'!$E$28:$E$39,MATCH($A995,'Category Mapping'!$A$28:$A$39,0),1))</f>
        <v>42140485.714285716</v>
      </c>
      <c r="J995" s="27">
        <f>J415*IF($E995="weekday",INDEX('Category Mapping'!$F$28:$F$39,MATCH('Summarized Source Data'!$A995,'Category Mapping'!$A$28:$A$39,0),1),INDEX('Category Mapping'!$E$28:$E$39,MATCH($A995,'Category Mapping'!$A$28:$A$39,0),1))</f>
        <v>157172125.7142857</v>
      </c>
      <c r="K995" s="27">
        <f>K415*IF($E995="weekday",INDEX('Category Mapping'!$F$28:$F$39,MATCH('Summarized Source Data'!$A995,'Category Mapping'!$A$28:$A$39,0),1),INDEX('Category Mapping'!$E$28:$E$39,MATCH($A995,'Category Mapping'!$A$28:$A$39,0),1))</f>
        <v>157172125.7142857</v>
      </c>
      <c r="L995" s="27">
        <f>L415*IF($E995="weekday",INDEX('Category Mapping'!$F$28:$F$39,MATCH('Summarized Source Data'!$A995,'Category Mapping'!$A$28:$A$39,0),1),INDEX('Category Mapping'!$E$28:$E$39,MATCH($A995,'Category Mapping'!$A$28:$A$39,0),1))</f>
        <v>3240865.7142857141</v>
      </c>
      <c r="M995" s="27">
        <f>M415*IF($E995="weekday",INDEX('Category Mapping'!$F$28:$F$39,MATCH('Summarized Source Data'!$A995,'Category Mapping'!$A$28:$A$39,0),1),INDEX('Category Mapping'!$E$28:$E$39,MATCH($A995,'Category Mapping'!$A$28:$A$39,0),1))</f>
        <v>271714285.71428573</v>
      </c>
      <c r="N995" s="27">
        <f>N415*IF($E995="weekday",INDEX('Category Mapping'!$F$28:$F$39,MATCH('Summarized Source Data'!$A995,'Category Mapping'!$A$28:$A$39,0),1),INDEX('Category Mapping'!$E$28:$E$39,MATCH($A995,'Category Mapping'!$A$28:$A$39,0),1))</f>
        <v>0</v>
      </c>
      <c r="O995" s="27">
        <f>O415*IF($E995="weekday",INDEX('Category Mapping'!$F$28:$F$39,MATCH('Summarized Source Data'!$A995,'Category Mapping'!$A$28:$A$39,0),1),INDEX('Category Mapping'!$E$28:$E$39,MATCH($A995,'Category Mapping'!$A$28:$A$39,0),1))</f>
        <v>575330562.85714281</v>
      </c>
      <c r="P995" s="27">
        <f>P415*IF($E995="weekday",INDEX('Category Mapping'!$F$28:$F$39,MATCH('Summarized Source Data'!$A995,'Category Mapping'!$A$28:$A$39,0),1),INDEX('Category Mapping'!$E$28:$E$39,MATCH($A995,'Category Mapping'!$A$28:$A$39,0),1))</f>
        <v>575330562.85714281</v>
      </c>
      <c r="Q995" s="27">
        <f>Q415*IF($E995="weekday",INDEX('Category Mapping'!$F$28:$F$39,MATCH('Summarized Source Data'!$A995,'Category Mapping'!$A$28:$A$39,0),1),INDEX('Category Mapping'!$E$28:$E$39,MATCH($A995,'Category Mapping'!$A$28:$A$39,0),1))</f>
        <v>575330562.85714281</v>
      </c>
      <c r="R995" s="27">
        <f>R415*IF($E995="weekday",INDEX('Category Mapping'!$F$28:$F$39,MATCH('Summarized Source Data'!$A995,'Category Mapping'!$A$28:$A$39,0),1),INDEX('Category Mapping'!$E$28:$E$39,MATCH($A995,'Category Mapping'!$A$28:$A$39,0),1))</f>
        <v>19279928.571428571</v>
      </c>
      <c r="S995" s="27">
        <f>S415*IF($E995="weekday",INDEX('Category Mapping'!$F$28:$F$39,MATCH('Summarized Source Data'!$A995,'Category Mapping'!$A$28:$A$39,0),1),INDEX('Category Mapping'!$E$28:$E$39,MATCH($A995,'Category Mapping'!$A$28:$A$39,0),1))</f>
        <v>19279928.571428571</v>
      </c>
      <c r="T995" s="27">
        <f>T415*IF($E995="weekday",INDEX('Category Mapping'!$F$28:$F$39,MATCH('Summarized Source Data'!$A995,'Category Mapping'!$A$28:$A$39,0),1),INDEX('Category Mapping'!$E$28:$E$39,MATCH($A995,'Category Mapping'!$A$28:$A$39,0),1))</f>
        <v>19279928.571428571</v>
      </c>
      <c r="U995" s="27">
        <f>U415*IF($E995="weekday",INDEX('Category Mapping'!$F$28:$F$39,MATCH('Summarized Source Data'!$A995,'Category Mapping'!$A$28:$A$39,0),1),INDEX('Category Mapping'!$E$28:$E$39,MATCH($A995,'Category Mapping'!$A$28:$A$39,0),1))</f>
        <v>19279928.571428571</v>
      </c>
      <c r="V995" s="27">
        <f>V415*IF($E995="weekday",INDEX('Category Mapping'!$F$28:$F$39,MATCH('Summarized Source Data'!$A995,'Category Mapping'!$A$28:$A$39,0),1),INDEX('Category Mapping'!$E$28:$E$39,MATCH($A995,'Category Mapping'!$A$28:$A$39,0),1))</f>
        <v>19279928.571428571</v>
      </c>
      <c r="W995" s="27">
        <f>W415*IF($E995="weekday",INDEX('Category Mapping'!$F$28:$F$39,MATCH('Summarized Source Data'!$A995,'Category Mapping'!$A$28:$A$39,0),1),INDEX('Category Mapping'!$E$28:$E$39,MATCH($A995,'Category Mapping'!$A$28:$A$39,0),1))</f>
        <v>19279928.571428571</v>
      </c>
      <c r="X995" s="27">
        <f>X415*IF($E995="weekday",INDEX('Category Mapping'!$F$28:$F$39,MATCH('Summarized Source Data'!$A995,'Category Mapping'!$A$28:$A$39,0),1),INDEX('Category Mapping'!$E$28:$E$39,MATCH($A995,'Category Mapping'!$A$28:$A$39,0),1))</f>
        <v>2931428571.4285712</v>
      </c>
      <c r="Y995" s="27">
        <f>Y415*IF($E995="weekday",INDEX('Category Mapping'!$F$28:$F$39,MATCH('Summarized Source Data'!$A995,'Category Mapping'!$A$28:$A$39,0),1),INDEX('Category Mapping'!$E$28:$E$39,MATCH($A995,'Category Mapping'!$A$28:$A$39,0),1))</f>
        <v>2931428571.4285712</v>
      </c>
      <c r="Z995" s="27">
        <f>Z415*IF($E995="weekday",INDEX('Category Mapping'!$F$28:$F$39,MATCH('Summarized Source Data'!$A995,'Category Mapping'!$A$28:$A$39,0),1),INDEX('Category Mapping'!$E$28:$E$39,MATCH($A995,'Category Mapping'!$A$28:$A$39,0),1))</f>
        <v>2931428571.4285712</v>
      </c>
    </row>
    <row r="996" spans="1:26" x14ac:dyDescent="0.3">
      <c r="A996">
        <f t="shared" ref="A996:E996" si="461">A416</f>
        <v>6</v>
      </c>
      <c r="B996" t="str">
        <f t="shared" si="461"/>
        <v>Summer</v>
      </c>
      <c r="C996" t="str">
        <f t="shared" si="461"/>
        <v>h5</v>
      </c>
      <c r="D996" t="str">
        <f t="shared" si="461"/>
        <v>Hour4</v>
      </c>
      <c r="E996" t="str">
        <f t="shared" si="461"/>
        <v>Weekend</v>
      </c>
      <c r="F996" s="27">
        <f>F416*IF($E996="weekday",INDEX('Category Mapping'!$F$28:$F$39,MATCH('Summarized Source Data'!$A996,'Category Mapping'!$A$28:$A$39,0),1),INDEX('Category Mapping'!$E$28:$E$39,MATCH($A996,'Category Mapping'!$A$28:$A$39,0),1))</f>
        <v>1155754.2857142857</v>
      </c>
      <c r="G996" s="27">
        <f>G416*IF($E996="weekday",INDEX('Category Mapping'!$F$28:$F$39,MATCH('Summarized Source Data'!$A996,'Category Mapping'!$A$28:$A$39,0),1),INDEX('Category Mapping'!$E$28:$E$39,MATCH($A996,'Category Mapping'!$A$28:$A$39,0),1))</f>
        <v>14503534.285714285</v>
      </c>
      <c r="H996" s="27">
        <f>H416*IF($E996="weekday",INDEX('Category Mapping'!$F$28:$F$39,MATCH('Summarized Source Data'!$A996,'Category Mapping'!$A$28:$A$39,0),1),INDEX('Category Mapping'!$E$28:$E$39,MATCH($A996,'Category Mapping'!$A$28:$A$39,0),1))</f>
        <v>0</v>
      </c>
      <c r="I996" s="27">
        <f>I416*IF($E996="weekday",INDEX('Category Mapping'!$F$28:$F$39,MATCH('Summarized Source Data'!$A996,'Category Mapping'!$A$28:$A$39,0),1),INDEX('Category Mapping'!$E$28:$E$39,MATCH($A996,'Category Mapping'!$A$28:$A$39,0),1))</f>
        <v>44356902.857142858</v>
      </c>
      <c r="J996" s="27">
        <f>J416*IF($E996="weekday",INDEX('Category Mapping'!$F$28:$F$39,MATCH('Summarized Source Data'!$A996,'Category Mapping'!$A$28:$A$39,0),1),INDEX('Category Mapping'!$E$28:$E$39,MATCH($A996,'Category Mapping'!$A$28:$A$39,0),1))</f>
        <v>161126665.7142857</v>
      </c>
      <c r="K996" s="27">
        <f>K416*IF($E996="weekday",INDEX('Category Mapping'!$F$28:$F$39,MATCH('Summarized Source Data'!$A996,'Category Mapping'!$A$28:$A$39,0),1),INDEX('Category Mapping'!$E$28:$E$39,MATCH($A996,'Category Mapping'!$A$28:$A$39,0),1))</f>
        <v>161126665.7142857</v>
      </c>
      <c r="L996" s="27">
        <f>L416*IF($E996="weekday",INDEX('Category Mapping'!$F$28:$F$39,MATCH('Summarized Source Data'!$A996,'Category Mapping'!$A$28:$A$39,0),1),INDEX('Category Mapping'!$E$28:$E$39,MATCH($A996,'Category Mapping'!$A$28:$A$39,0),1))</f>
        <v>3209880</v>
      </c>
      <c r="M996" s="27">
        <f>M416*IF($E996="weekday",INDEX('Category Mapping'!$F$28:$F$39,MATCH('Summarized Source Data'!$A996,'Category Mapping'!$A$28:$A$39,0),1),INDEX('Category Mapping'!$E$28:$E$39,MATCH($A996,'Category Mapping'!$A$28:$A$39,0),1))</f>
        <v>276857142.85714287</v>
      </c>
      <c r="N996" s="27">
        <f>N416*IF($E996="weekday",INDEX('Category Mapping'!$F$28:$F$39,MATCH('Summarized Source Data'!$A996,'Category Mapping'!$A$28:$A$39,0),1),INDEX('Category Mapping'!$E$28:$E$39,MATCH($A996,'Category Mapping'!$A$28:$A$39,0),1))</f>
        <v>0</v>
      </c>
      <c r="O996" s="27">
        <f>O416*IF($E996="weekday",INDEX('Category Mapping'!$F$28:$F$39,MATCH('Summarized Source Data'!$A996,'Category Mapping'!$A$28:$A$39,0),1),INDEX('Category Mapping'!$E$28:$E$39,MATCH($A996,'Category Mapping'!$A$28:$A$39,0),1))</f>
        <v>585647262.85714281</v>
      </c>
      <c r="P996" s="27">
        <f>P416*IF($E996="weekday",INDEX('Category Mapping'!$F$28:$F$39,MATCH('Summarized Source Data'!$A996,'Category Mapping'!$A$28:$A$39,0),1),INDEX('Category Mapping'!$E$28:$E$39,MATCH($A996,'Category Mapping'!$A$28:$A$39,0),1))</f>
        <v>585647262.85714281</v>
      </c>
      <c r="Q996" s="27">
        <f>Q416*IF($E996="weekday",INDEX('Category Mapping'!$F$28:$F$39,MATCH('Summarized Source Data'!$A996,'Category Mapping'!$A$28:$A$39,0),1),INDEX('Category Mapping'!$E$28:$E$39,MATCH($A996,'Category Mapping'!$A$28:$A$39,0),1))</f>
        <v>585647262.85714281</v>
      </c>
      <c r="R996" s="27">
        <f>R416*IF($E996="weekday",INDEX('Category Mapping'!$F$28:$F$39,MATCH('Summarized Source Data'!$A996,'Category Mapping'!$A$28:$A$39,0),1),INDEX('Category Mapping'!$E$28:$E$39,MATCH($A996,'Category Mapping'!$A$28:$A$39,0),1))</f>
        <v>19179548.571428571</v>
      </c>
      <c r="S996" s="27">
        <f>S416*IF($E996="weekday",INDEX('Category Mapping'!$F$28:$F$39,MATCH('Summarized Source Data'!$A996,'Category Mapping'!$A$28:$A$39,0),1),INDEX('Category Mapping'!$E$28:$E$39,MATCH($A996,'Category Mapping'!$A$28:$A$39,0),1))</f>
        <v>19179548.571428571</v>
      </c>
      <c r="T996" s="27">
        <f>T416*IF($E996="weekday",INDEX('Category Mapping'!$F$28:$F$39,MATCH('Summarized Source Data'!$A996,'Category Mapping'!$A$28:$A$39,0),1),INDEX('Category Mapping'!$E$28:$E$39,MATCH($A996,'Category Mapping'!$A$28:$A$39,0),1))</f>
        <v>19179548.571428571</v>
      </c>
      <c r="U996" s="27">
        <f>U416*IF($E996="weekday",INDEX('Category Mapping'!$F$28:$F$39,MATCH('Summarized Source Data'!$A996,'Category Mapping'!$A$28:$A$39,0),1),INDEX('Category Mapping'!$E$28:$E$39,MATCH($A996,'Category Mapping'!$A$28:$A$39,0),1))</f>
        <v>19179548.571428571</v>
      </c>
      <c r="V996" s="27">
        <f>V416*IF($E996="weekday",INDEX('Category Mapping'!$F$28:$F$39,MATCH('Summarized Source Data'!$A996,'Category Mapping'!$A$28:$A$39,0),1),INDEX('Category Mapping'!$E$28:$E$39,MATCH($A996,'Category Mapping'!$A$28:$A$39,0),1))</f>
        <v>19179548.571428571</v>
      </c>
      <c r="W996" s="27">
        <f>W416*IF($E996="weekday",INDEX('Category Mapping'!$F$28:$F$39,MATCH('Summarized Source Data'!$A996,'Category Mapping'!$A$28:$A$39,0),1),INDEX('Category Mapping'!$E$28:$E$39,MATCH($A996,'Category Mapping'!$A$28:$A$39,0),1))</f>
        <v>19179548.571428571</v>
      </c>
      <c r="X996" s="27">
        <f>X416*IF($E996="weekday",INDEX('Category Mapping'!$F$28:$F$39,MATCH('Summarized Source Data'!$A996,'Category Mapping'!$A$28:$A$39,0),1),INDEX('Category Mapping'!$E$28:$E$39,MATCH($A996,'Category Mapping'!$A$28:$A$39,0),1))</f>
        <v>2957142857.1428571</v>
      </c>
      <c r="Y996" s="27">
        <f>Y416*IF($E996="weekday",INDEX('Category Mapping'!$F$28:$F$39,MATCH('Summarized Source Data'!$A996,'Category Mapping'!$A$28:$A$39,0),1),INDEX('Category Mapping'!$E$28:$E$39,MATCH($A996,'Category Mapping'!$A$28:$A$39,0),1))</f>
        <v>2957142857.1428571</v>
      </c>
      <c r="Z996" s="27">
        <f>Z416*IF($E996="weekday",INDEX('Category Mapping'!$F$28:$F$39,MATCH('Summarized Source Data'!$A996,'Category Mapping'!$A$28:$A$39,0),1),INDEX('Category Mapping'!$E$28:$E$39,MATCH($A996,'Category Mapping'!$A$28:$A$39,0),1))</f>
        <v>2957142857.1428571</v>
      </c>
    </row>
    <row r="997" spans="1:26" x14ac:dyDescent="0.3">
      <c r="A997">
        <f t="shared" ref="A997:E997" si="462">A417</f>
        <v>6</v>
      </c>
      <c r="B997" t="str">
        <f t="shared" si="462"/>
        <v>Summer</v>
      </c>
      <c r="C997" t="str">
        <f t="shared" si="462"/>
        <v>h6</v>
      </c>
      <c r="D997" t="str">
        <f t="shared" si="462"/>
        <v>Hour5</v>
      </c>
      <c r="E997" t="str">
        <f t="shared" si="462"/>
        <v>Weekend</v>
      </c>
      <c r="F997" s="27">
        <f>F417*IF($E997="weekday",INDEX('Category Mapping'!$F$28:$F$39,MATCH('Summarized Source Data'!$A997,'Category Mapping'!$A$28:$A$39,0),1),INDEX('Category Mapping'!$E$28:$E$39,MATCH($A997,'Category Mapping'!$A$28:$A$39,0),1))</f>
        <v>1527351.4285714286</v>
      </c>
      <c r="G997" s="27">
        <f>G417*IF($E997="weekday",INDEX('Category Mapping'!$F$28:$F$39,MATCH('Summarized Source Data'!$A997,'Category Mapping'!$A$28:$A$39,0),1),INDEX('Category Mapping'!$E$28:$E$39,MATCH($A997,'Category Mapping'!$A$28:$A$39,0),1))</f>
        <v>28762800</v>
      </c>
      <c r="H997" s="27">
        <f>H417*IF($E997="weekday",INDEX('Category Mapping'!$F$28:$F$39,MATCH('Summarized Source Data'!$A997,'Category Mapping'!$A$28:$A$39,0),1),INDEX('Category Mapping'!$E$28:$E$39,MATCH($A997,'Category Mapping'!$A$28:$A$39,0),1))</f>
        <v>0</v>
      </c>
      <c r="I997" s="27">
        <f>I417*IF($E997="weekday",INDEX('Category Mapping'!$F$28:$F$39,MATCH('Summarized Source Data'!$A997,'Category Mapping'!$A$28:$A$39,0),1),INDEX('Category Mapping'!$E$28:$E$39,MATCH($A997,'Category Mapping'!$A$28:$A$39,0),1))</f>
        <v>37400751.428571425</v>
      </c>
      <c r="J997" s="27">
        <f>J417*IF($E997="weekday",INDEX('Category Mapping'!$F$28:$F$39,MATCH('Summarized Source Data'!$A997,'Category Mapping'!$A$28:$A$39,0),1),INDEX('Category Mapping'!$E$28:$E$39,MATCH($A997,'Category Mapping'!$A$28:$A$39,0),1))</f>
        <v>185166240</v>
      </c>
      <c r="K997" s="27">
        <f>K417*IF($E997="weekday",INDEX('Category Mapping'!$F$28:$F$39,MATCH('Summarized Source Data'!$A997,'Category Mapping'!$A$28:$A$39,0),1),INDEX('Category Mapping'!$E$28:$E$39,MATCH($A997,'Category Mapping'!$A$28:$A$39,0),1))</f>
        <v>185166240</v>
      </c>
      <c r="L997" s="27">
        <f>L417*IF($E997="weekday",INDEX('Category Mapping'!$F$28:$F$39,MATCH('Summarized Source Data'!$A997,'Category Mapping'!$A$28:$A$39,0),1),INDEX('Category Mapping'!$E$28:$E$39,MATCH($A997,'Category Mapping'!$A$28:$A$39,0),1))</f>
        <v>3441034.2857142854</v>
      </c>
      <c r="M997" s="27">
        <f>M417*IF($E997="weekday",INDEX('Category Mapping'!$F$28:$F$39,MATCH('Summarized Source Data'!$A997,'Category Mapping'!$A$28:$A$39,0),1),INDEX('Category Mapping'!$E$28:$E$39,MATCH($A997,'Category Mapping'!$A$28:$A$39,0),1))</f>
        <v>294857142.85714287</v>
      </c>
      <c r="N997" s="27">
        <f>N417*IF($E997="weekday",INDEX('Category Mapping'!$F$28:$F$39,MATCH('Summarized Source Data'!$A997,'Category Mapping'!$A$28:$A$39,0),1),INDEX('Category Mapping'!$E$28:$E$39,MATCH($A997,'Category Mapping'!$A$28:$A$39,0),1))</f>
        <v>0</v>
      </c>
      <c r="O997" s="27">
        <f>O417*IF($E997="weekday",INDEX('Category Mapping'!$F$28:$F$39,MATCH('Summarized Source Data'!$A997,'Category Mapping'!$A$28:$A$39,0),1),INDEX('Category Mapping'!$E$28:$E$39,MATCH($A997,'Category Mapping'!$A$28:$A$39,0),1))</f>
        <v>618844680</v>
      </c>
      <c r="P997" s="27">
        <f>P417*IF($E997="weekday",INDEX('Category Mapping'!$F$28:$F$39,MATCH('Summarized Source Data'!$A997,'Category Mapping'!$A$28:$A$39,0),1),INDEX('Category Mapping'!$E$28:$E$39,MATCH($A997,'Category Mapping'!$A$28:$A$39,0),1))</f>
        <v>618844680</v>
      </c>
      <c r="Q997" s="27">
        <f>Q417*IF($E997="weekday",INDEX('Category Mapping'!$F$28:$F$39,MATCH('Summarized Source Data'!$A997,'Category Mapping'!$A$28:$A$39,0),1),INDEX('Category Mapping'!$E$28:$E$39,MATCH($A997,'Category Mapping'!$A$28:$A$39,0),1))</f>
        <v>618844680</v>
      </c>
      <c r="R997" s="27">
        <f>R417*IF($E997="weekday",INDEX('Category Mapping'!$F$28:$F$39,MATCH('Summarized Source Data'!$A997,'Category Mapping'!$A$28:$A$39,0),1),INDEX('Category Mapping'!$E$28:$E$39,MATCH($A997,'Category Mapping'!$A$28:$A$39,0),1))</f>
        <v>19330122.857142858</v>
      </c>
      <c r="S997" s="27">
        <f>S417*IF($E997="weekday",INDEX('Category Mapping'!$F$28:$F$39,MATCH('Summarized Source Data'!$A997,'Category Mapping'!$A$28:$A$39,0),1),INDEX('Category Mapping'!$E$28:$E$39,MATCH($A997,'Category Mapping'!$A$28:$A$39,0),1))</f>
        <v>19330122.857142858</v>
      </c>
      <c r="T997" s="27">
        <f>T417*IF($E997="weekday",INDEX('Category Mapping'!$F$28:$F$39,MATCH('Summarized Source Data'!$A997,'Category Mapping'!$A$28:$A$39,0),1),INDEX('Category Mapping'!$E$28:$E$39,MATCH($A997,'Category Mapping'!$A$28:$A$39,0),1))</f>
        <v>19330122.857142858</v>
      </c>
      <c r="U997" s="27">
        <f>U417*IF($E997="weekday",INDEX('Category Mapping'!$F$28:$F$39,MATCH('Summarized Source Data'!$A997,'Category Mapping'!$A$28:$A$39,0),1),INDEX('Category Mapping'!$E$28:$E$39,MATCH($A997,'Category Mapping'!$A$28:$A$39,0),1))</f>
        <v>19330122.857142858</v>
      </c>
      <c r="V997" s="27">
        <f>V417*IF($E997="weekday",INDEX('Category Mapping'!$F$28:$F$39,MATCH('Summarized Source Data'!$A997,'Category Mapping'!$A$28:$A$39,0),1),INDEX('Category Mapping'!$E$28:$E$39,MATCH($A997,'Category Mapping'!$A$28:$A$39,0),1))</f>
        <v>19330122.857142858</v>
      </c>
      <c r="W997" s="27">
        <f>W417*IF($E997="weekday",INDEX('Category Mapping'!$F$28:$F$39,MATCH('Summarized Source Data'!$A997,'Category Mapping'!$A$28:$A$39,0),1),INDEX('Category Mapping'!$E$28:$E$39,MATCH($A997,'Category Mapping'!$A$28:$A$39,0),1))</f>
        <v>19330122.857142858</v>
      </c>
      <c r="X997" s="27">
        <f>X417*IF($E997="weekday",INDEX('Category Mapping'!$F$28:$F$39,MATCH('Summarized Source Data'!$A997,'Category Mapping'!$A$28:$A$39,0),1),INDEX('Category Mapping'!$E$28:$E$39,MATCH($A997,'Category Mapping'!$A$28:$A$39,0),1))</f>
        <v>2982857142.8571429</v>
      </c>
      <c r="Y997" s="27">
        <f>Y417*IF($E997="weekday",INDEX('Category Mapping'!$F$28:$F$39,MATCH('Summarized Source Data'!$A997,'Category Mapping'!$A$28:$A$39,0),1),INDEX('Category Mapping'!$E$28:$E$39,MATCH($A997,'Category Mapping'!$A$28:$A$39,0),1))</f>
        <v>2982857142.8571429</v>
      </c>
      <c r="Z997" s="27">
        <f>Z417*IF($E997="weekday",INDEX('Category Mapping'!$F$28:$F$39,MATCH('Summarized Source Data'!$A997,'Category Mapping'!$A$28:$A$39,0),1),INDEX('Category Mapping'!$E$28:$E$39,MATCH($A997,'Category Mapping'!$A$28:$A$39,0),1))</f>
        <v>2982857142.8571429</v>
      </c>
    </row>
    <row r="998" spans="1:26" x14ac:dyDescent="0.3">
      <c r="A998">
        <f t="shared" ref="A998:E998" si="463">A418</f>
        <v>6</v>
      </c>
      <c r="B998" t="str">
        <f t="shared" si="463"/>
        <v>Summer</v>
      </c>
      <c r="C998" t="str">
        <f t="shared" si="463"/>
        <v>h7</v>
      </c>
      <c r="D998" t="str">
        <f t="shared" si="463"/>
        <v>Hour6</v>
      </c>
      <c r="E998" t="str">
        <f t="shared" si="463"/>
        <v>Weekend</v>
      </c>
      <c r="F998" s="27">
        <f>F418*IF($E998="weekday",INDEX('Category Mapping'!$F$28:$F$39,MATCH('Summarized Source Data'!$A998,'Category Mapping'!$A$28:$A$39,0),1),INDEX('Category Mapping'!$E$28:$E$39,MATCH($A998,'Category Mapping'!$A$28:$A$39,0),1))</f>
        <v>1744765.7142857143</v>
      </c>
      <c r="G998" s="27">
        <f>G418*IF($E998="weekday",INDEX('Category Mapping'!$F$28:$F$39,MATCH('Summarized Source Data'!$A998,'Category Mapping'!$A$28:$A$39,0),1),INDEX('Category Mapping'!$E$28:$E$39,MATCH($A998,'Category Mapping'!$A$28:$A$39,0),1))</f>
        <v>57266211.428571425</v>
      </c>
      <c r="H998" s="27">
        <f>H418*IF($E998="weekday",INDEX('Category Mapping'!$F$28:$F$39,MATCH('Summarized Source Data'!$A998,'Category Mapping'!$A$28:$A$39,0),1),INDEX('Category Mapping'!$E$28:$E$39,MATCH($A998,'Category Mapping'!$A$28:$A$39,0),1))</f>
        <v>0</v>
      </c>
      <c r="I998" s="27">
        <f>I418*IF($E998="weekday",INDEX('Category Mapping'!$F$28:$F$39,MATCH('Summarized Source Data'!$A998,'Category Mapping'!$A$28:$A$39,0),1),INDEX('Category Mapping'!$E$28:$E$39,MATCH($A998,'Category Mapping'!$A$28:$A$39,0),1))</f>
        <v>30678308.571428571</v>
      </c>
      <c r="J998" s="27">
        <f>J418*IF($E998="weekday",INDEX('Category Mapping'!$F$28:$F$39,MATCH('Summarized Source Data'!$A998,'Category Mapping'!$A$28:$A$39,0),1),INDEX('Category Mapping'!$E$28:$E$39,MATCH($A998,'Category Mapping'!$A$28:$A$39,0),1))</f>
        <v>272882142.85714287</v>
      </c>
      <c r="K998" s="27">
        <f>K418*IF($E998="weekday",INDEX('Category Mapping'!$F$28:$F$39,MATCH('Summarized Source Data'!$A998,'Category Mapping'!$A$28:$A$39,0),1),INDEX('Category Mapping'!$E$28:$E$39,MATCH($A998,'Category Mapping'!$A$28:$A$39,0),1))</f>
        <v>272882142.85714287</v>
      </c>
      <c r="L998" s="27">
        <f>L418*IF($E998="weekday",INDEX('Category Mapping'!$F$28:$F$39,MATCH('Summarized Source Data'!$A998,'Category Mapping'!$A$28:$A$39,0),1),INDEX('Category Mapping'!$E$28:$E$39,MATCH($A998,'Category Mapping'!$A$28:$A$39,0),1))</f>
        <v>3945900</v>
      </c>
      <c r="M998" s="27">
        <f>M418*IF($E998="weekday",INDEX('Category Mapping'!$F$28:$F$39,MATCH('Summarized Source Data'!$A998,'Category Mapping'!$A$28:$A$39,0),1),INDEX('Category Mapping'!$E$28:$E$39,MATCH($A998,'Category Mapping'!$A$28:$A$39,0),1))</f>
        <v>337714285.71428573</v>
      </c>
      <c r="N998" s="27">
        <f>N418*IF($E998="weekday",INDEX('Category Mapping'!$F$28:$F$39,MATCH('Summarized Source Data'!$A998,'Category Mapping'!$A$28:$A$39,0),1),INDEX('Category Mapping'!$E$28:$E$39,MATCH($A998,'Category Mapping'!$A$28:$A$39,0),1))</f>
        <v>0</v>
      </c>
      <c r="O998" s="27">
        <f>O418*IF($E998="weekday",INDEX('Category Mapping'!$F$28:$F$39,MATCH('Summarized Source Data'!$A998,'Category Mapping'!$A$28:$A$39,0),1),INDEX('Category Mapping'!$E$28:$E$39,MATCH($A998,'Category Mapping'!$A$28:$A$39,0),1))</f>
        <v>695482671.42857146</v>
      </c>
      <c r="P998" s="27">
        <f>P418*IF($E998="weekday",INDEX('Category Mapping'!$F$28:$F$39,MATCH('Summarized Source Data'!$A998,'Category Mapping'!$A$28:$A$39,0),1),INDEX('Category Mapping'!$E$28:$E$39,MATCH($A998,'Category Mapping'!$A$28:$A$39,0),1))</f>
        <v>695482671.42857146</v>
      </c>
      <c r="Q998" s="27">
        <f>Q418*IF($E998="weekday",INDEX('Category Mapping'!$F$28:$F$39,MATCH('Summarized Source Data'!$A998,'Category Mapping'!$A$28:$A$39,0),1),INDEX('Category Mapping'!$E$28:$E$39,MATCH($A998,'Category Mapping'!$A$28:$A$39,0),1))</f>
        <v>695482671.42857146</v>
      </c>
      <c r="R998" s="27">
        <f>R418*IF($E998="weekday",INDEX('Category Mapping'!$F$28:$F$39,MATCH('Summarized Source Data'!$A998,'Category Mapping'!$A$28:$A$39,0),1),INDEX('Category Mapping'!$E$28:$E$39,MATCH($A998,'Category Mapping'!$A$28:$A$39,0),1))</f>
        <v>24017605.714285713</v>
      </c>
      <c r="S998" s="27">
        <f>S418*IF($E998="weekday",INDEX('Category Mapping'!$F$28:$F$39,MATCH('Summarized Source Data'!$A998,'Category Mapping'!$A$28:$A$39,0),1),INDEX('Category Mapping'!$E$28:$E$39,MATCH($A998,'Category Mapping'!$A$28:$A$39,0),1))</f>
        <v>24017605.714285713</v>
      </c>
      <c r="T998" s="27">
        <f>T418*IF($E998="weekday",INDEX('Category Mapping'!$F$28:$F$39,MATCH('Summarized Source Data'!$A998,'Category Mapping'!$A$28:$A$39,0),1),INDEX('Category Mapping'!$E$28:$E$39,MATCH($A998,'Category Mapping'!$A$28:$A$39,0),1))</f>
        <v>24017605.714285713</v>
      </c>
      <c r="U998" s="27">
        <f>U418*IF($E998="weekday",INDEX('Category Mapping'!$F$28:$F$39,MATCH('Summarized Source Data'!$A998,'Category Mapping'!$A$28:$A$39,0),1),INDEX('Category Mapping'!$E$28:$E$39,MATCH($A998,'Category Mapping'!$A$28:$A$39,0),1))</f>
        <v>24017605.714285713</v>
      </c>
      <c r="V998" s="27">
        <f>V418*IF($E998="weekday",INDEX('Category Mapping'!$F$28:$F$39,MATCH('Summarized Source Data'!$A998,'Category Mapping'!$A$28:$A$39,0),1),INDEX('Category Mapping'!$E$28:$E$39,MATCH($A998,'Category Mapping'!$A$28:$A$39,0),1))</f>
        <v>24017605.714285713</v>
      </c>
      <c r="W998" s="27">
        <f>W418*IF($E998="weekday",INDEX('Category Mapping'!$F$28:$F$39,MATCH('Summarized Source Data'!$A998,'Category Mapping'!$A$28:$A$39,0),1),INDEX('Category Mapping'!$E$28:$E$39,MATCH($A998,'Category Mapping'!$A$28:$A$39,0),1))</f>
        <v>24017605.714285713</v>
      </c>
      <c r="X998" s="27">
        <f>X418*IF($E998="weekday",INDEX('Category Mapping'!$F$28:$F$39,MATCH('Summarized Source Data'!$A998,'Category Mapping'!$A$28:$A$39,0),1),INDEX('Category Mapping'!$E$28:$E$39,MATCH($A998,'Category Mapping'!$A$28:$A$39,0),1))</f>
        <v>3000000000</v>
      </c>
      <c r="Y998" s="27">
        <f>Y418*IF($E998="weekday",INDEX('Category Mapping'!$F$28:$F$39,MATCH('Summarized Source Data'!$A998,'Category Mapping'!$A$28:$A$39,0),1),INDEX('Category Mapping'!$E$28:$E$39,MATCH($A998,'Category Mapping'!$A$28:$A$39,0),1))</f>
        <v>3000000000</v>
      </c>
      <c r="Z998" s="27">
        <f>Z418*IF($E998="weekday",INDEX('Category Mapping'!$F$28:$F$39,MATCH('Summarized Source Data'!$A998,'Category Mapping'!$A$28:$A$39,0),1),INDEX('Category Mapping'!$E$28:$E$39,MATCH($A998,'Category Mapping'!$A$28:$A$39,0),1))</f>
        <v>3000000000</v>
      </c>
    </row>
    <row r="999" spans="1:26" x14ac:dyDescent="0.3">
      <c r="A999">
        <f t="shared" ref="A999:E999" si="464">A419</f>
        <v>6</v>
      </c>
      <c r="B999" t="str">
        <f t="shared" si="464"/>
        <v>Summer</v>
      </c>
      <c r="C999" t="str">
        <f t="shared" si="464"/>
        <v>h8</v>
      </c>
      <c r="D999" t="str">
        <f t="shared" si="464"/>
        <v>Hour7</v>
      </c>
      <c r="E999" t="str">
        <f t="shared" si="464"/>
        <v>Weekend</v>
      </c>
      <c r="F999" s="27">
        <f>F419*IF($E999="weekday",INDEX('Category Mapping'!$F$28:$F$39,MATCH('Summarized Source Data'!$A999,'Category Mapping'!$A$28:$A$39,0),1),INDEX('Category Mapping'!$E$28:$E$39,MATCH($A999,'Category Mapping'!$A$28:$A$39,0),1))</f>
        <v>2025120</v>
      </c>
      <c r="G999" s="27">
        <f>G419*IF($E999="weekday",INDEX('Category Mapping'!$F$28:$F$39,MATCH('Summarized Source Data'!$A999,'Category Mapping'!$A$28:$A$39,0),1),INDEX('Category Mapping'!$E$28:$E$39,MATCH($A999,'Category Mapping'!$A$28:$A$39,0),1))</f>
        <v>89142857.142857134</v>
      </c>
      <c r="H999" s="27">
        <f>H419*IF($E999="weekday",INDEX('Category Mapping'!$F$28:$F$39,MATCH('Summarized Source Data'!$A999,'Category Mapping'!$A$28:$A$39,0),1),INDEX('Category Mapping'!$E$28:$E$39,MATCH($A999,'Category Mapping'!$A$28:$A$39,0),1))</f>
        <v>0</v>
      </c>
      <c r="I999" s="27">
        <f>I419*IF($E999="weekday",INDEX('Category Mapping'!$F$28:$F$39,MATCH('Summarized Source Data'!$A999,'Category Mapping'!$A$28:$A$39,0),1),INDEX('Category Mapping'!$E$28:$E$39,MATCH($A999,'Category Mapping'!$A$28:$A$39,0),1))</f>
        <v>45919654.285714284</v>
      </c>
      <c r="J999" s="27">
        <f>J419*IF($E999="weekday",INDEX('Category Mapping'!$F$28:$F$39,MATCH('Summarized Source Data'!$A999,'Category Mapping'!$A$28:$A$39,0),1),INDEX('Category Mapping'!$E$28:$E$39,MATCH($A999,'Category Mapping'!$A$28:$A$39,0),1))</f>
        <v>388340940</v>
      </c>
      <c r="K999" s="27">
        <f>K419*IF($E999="weekday",INDEX('Category Mapping'!$F$28:$F$39,MATCH('Summarized Source Data'!$A999,'Category Mapping'!$A$28:$A$39,0),1),INDEX('Category Mapping'!$E$28:$E$39,MATCH($A999,'Category Mapping'!$A$28:$A$39,0),1))</f>
        <v>388340940</v>
      </c>
      <c r="L999" s="27">
        <f>L419*IF($E999="weekday",INDEX('Category Mapping'!$F$28:$F$39,MATCH('Summarized Source Data'!$A999,'Category Mapping'!$A$28:$A$39,0),1),INDEX('Category Mapping'!$E$28:$E$39,MATCH($A999,'Category Mapping'!$A$28:$A$39,0),1))</f>
        <v>4266548.5714285709</v>
      </c>
      <c r="M999" s="27">
        <f>M419*IF($E999="weekday",INDEX('Category Mapping'!$F$28:$F$39,MATCH('Summarized Source Data'!$A999,'Category Mapping'!$A$28:$A$39,0),1),INDEX('Category Mapping'!$E$28:$E$39,MATCH($A999,'Category Mapping'!$A$28:$A$39,0),1))</f>
        <v>400285714.28571427</v>
      </c>
      <c r="N999" s="27">
        <f>N419*IF($E999="weekday",INDEX('Category Mapping'!$F$28:$F$39,MATCH('Summarized Source Data'!$A999,'Category Mapping'!$A$28:$A$39,0),1),INDEX('Category Mapping'!$E$28:$E$39,MATCH($A999,'Category Mapping'!$A$28:$A$39,0),1))</f>
        <v>0</v>
      </c>
      <c r="O999" s="27">
        <f>O419*IF($E999="weekday",INDEX('Category Mapping'!$F$28:$F$39,MATCH('Summarized Source Data'!$A999,'Category Mapping'!$A$28:$A$39,0),1),INDEX('Category Mapping'!$E$28:$E$39,MATCH($A999,'Category Mapping'!$A$28:$A$39,0),1))</f>
        <v>872590594.28571427</v>
      </c>
      <c r="P999" s="27">
        <f>P419*IF($E999="weekday",INDEX('Category Mapping'!$F$28:$F$39,MATCH('Summarized Source Data'!$A999,'Category Mapping'!$A$28:$A$39,0),1),INDEX('Category Mapping'!$E$28:$E$39,MATCH($A999,'Category Mapping'!$A$28:$A$39,0),1))</f>
        <v>872590594.28571427</v>
      </c>
      <c r="Q999" s="27">
        <f>Q419*IF($E999="weekday",INDEX('Category Mapping'!$F$28:$F$39,MATCH('Summarized Source Data'!$A999,'Category Mapping'!$A$28:$A$39,0),1),INDEX('Category Mapping'!$E$28:$E$39,MATCH($A999,'Category Mapping'!$A$28:$A$39,0),1))</f>
        <v>872590594.28571427</v>
      </c>
      <c r="R999" s="27">
        <f>R419*IF($E999="weekday",INDEX('Category Mapping'!$F$28:$F$39,MATCH('Summarized Source Data'!$A999,'Category Mapping'!$A$28:$A$39,0),1),INDEX('Category Mapping'!$E$28:$E$39,MATCH($A999,'Category Mapping'!$A$28:$A$39,0),1))</f>
        <v>31288260</v>
      </c>
      <c r="S999" s="27">
        <f>S419*IF($E999="weekday",INDEX('Category Mapping'!$F$28:$F$39,MATCH('Summarized Source Data'!$A999,'Category Mapping'!$A$28:$A$39,0),1),INDEX('Category Mapping'!$E$28:$E$39,MATCH($A999,'Category Mapping'!$A$28:$A$39,0),1))</f>
        <v>31288260</v>
      </c>
      <c r="T999" s="27">
        <f>T419*IF($E999="weekday",INDEX('Category Mapping'!$F$28:$F$39,MATCH('Summarized Source Data'!$A999,'Category Mapping'!$A$28:$A$39,0),1),INDEX('Category Mapping'!$E$28:$E$39,MATCH($A999,'Category Mapping'!$A$28:$A$39,0),1))</f>
        <v>31288260</v>
      </c>
      <c r="U999" s="27">
        <f>U419*IF($E999="weekday",INDEX('Category Mapping'!$F$28:$F$39,MATCH('Summarized Source Data'!$A999,'Category Mapping'!$A$28:$A$39,0),1),INDEX('Category Mapping'!$E$28:$E$39,MATCH($A999,'Category Mapping'!$A$28:$A$39,0),1))</f>
        <v>31288260</v>
      </c>
      <c r="V999" s="27">
        <f>V419*IF($E999="weekday",INDEX('Category Mapping'!$F$28:$F$39,MATCH('Summarized Source Data'!$A999,'Category Mapping'!$A$28:$A$39,0),1),INDEX('Category Mapping'!$E$28:$E$39,MATCH($A999,'Category Mapping'!$A$28:$A$39,0),1))</f>
        <v>31288260</v>
      </c>
      <c r="W999" s="27">
        <f>W419*IF($E999="weekday",INDEX('Category Mapping'!$F$28:$F$39,MATCH('Summarized Source Data'!$A999,'Category Mapping'!$A$28:$A$39,0),1),INDEX('Category Mapping'!$E$28:$E$39,MATCH($A999,'Category Mapping'!$A$28:$A$39,0),1))</f>
        <v>31288260</v>
      </c>
      <c r="X999" s="27">
        <f>X419*IF($E999="weekday",INDEX('Category Mapping'!$F$28:$F$39,MATCH('Summarized Source Data'!$A999,'Category Mapping'!$A$28:$A$39,0),1),INDEX('Category Mapping'!$E$28:$E$39,MATCH($A999,'Category Mapping'!$A$28:$A$39,0),1))</f>
        <v>3000000000</v>
      </c>
      <c r="Y999" s="27">
        <f>Y419*IF($E999="weekday",INDEX('Category Mapping'!$F$28:$F$39,MATCH('Summarized Source Data'!$A999,'Category Mapping'!$A$28:$A$39,0),1),INDEX('Category Mapping'!$E$28:$E$39,MATCH($A999,'Category Mapping'!$A$28:$A$39,0),1))</f>
        <v>3000000000</v>
      </c>
      <c r="Z999" s="27">
        <f>Z419*IF($E999="weekday",INDEX('Category Mapping'!$F$28:$F$39,MATCH('Summarized Source Data'!$A999,'Category Mapping'!$A$28:$A$39,0),1),INDEX('Category Mapping'!$E$28:$E$39,MATCH($A999,'Category Mapping'!$A$28:$A$39,0),1))</f>
        <v>3000000000</v>
      </c>
    </row>
    <row r="1000" spans="1:26" x14ac:dyDescent="0.3">
      <c r="A1000">
        <f t="shared" ref="A1000:E1000" si="465">A420</f>
        <v>6</v>
      </c>
      <c r="B1000" t="str">
        <f t="shared" si="465"/>
        <v>Summer</v>
      </c>
      <c r="C1000" t="str">
        <f t="shared" si="465"/>
        <v>h9</v>
      </c>
      <c r="D1000" t="str">
        <f t="shared" si="465"/>
        <v>Hour8</v>
      </c>
      <c r="E1000" t="str">
        <f t="shared" si="465"/>
        <v>Weekend</v>
      </c>
      <c r="F1000" s="27">
        <f>F420*IF($E1000="weekday",INDEX('Category Mapping'!$F$28:$F$39,MATCH('Summarized Source Data'!$A1000,'Category Mapping'!$A$28:$A$39,0),1),INDEX('Category Mapping'!$E$28:$E$39,MATCH($A1000,'Category Mapping'!$A$28:$A$39,0),1))</f>
        <v>2200440</v>
      </c>
      <c r="G1000" s="27">
        <f>G420*IF($E1000="weekday",INDEX('Category Mapping'!$F$28:$F$39,MATCH('Summarized Source Data'!$A1000,'Category Mapping'!$A$28:$A$39,0),1),INDEX('Category Mapping'!$E$28:$E$39,MATCH($A1000,'Category Mapping'!$A$28:$A$39,0),1))</f>
        <v>117428571.42857142</v>
      </c>
      <c r="H1000" s="27">
        <f>H420*IF($E1000="weekday",INDEX('Category Mapping'!$F$28:$F$39,MATCH('Summarized Source Data'!$A1000,'Category Mapping'!$A$28:$A$39,0),1),INDEX('Category Mapping'!$E$28:$E$39,MATCH($A1000,'Category Mapping'!$A$28:$A$39,0),1))</f>
        <v>0</v>
      </c>
      <c r="I1000" s="27">
        <f>I420*IF($E1000="weekday",INDEX('Category Mapping'!$F$28:$F$39,MATCH('Summarized Source Data'!$A1000,'Category Mapping'!$A$28:$A$39,0),1),INDEX('Category Mapping'!$E$28:$E$39,MATCH($A1000,'Category Mapping'!$A$28:$A$39,0),1))</f>
        <v>56019540</v>
      </c>
      <c r="J1000" s="27">
        <f>J420*IF($E1000="weekday",INDEX('Category Mapping'!$F$28:$F$39,MATCH('Summarized Source Data'!$A1000,'Category Mapping'!$A$28:$A$39,0),1),INDEX('Category Mapping'!$E$28:$E$39,MATCH($A1000,'Category Mapping'!$A$28:$A$39,0),1))</f>
        <v>484351448.57142854</v>
      </c>
      <c r="K1000" s="27">
        <f>K420*IF($E1000="weekday",INDEX('Category Mapping'!$F$28:$F$39,MATCH('Summarized Source Data'!$A1000,'Category Mapping'!$A$28:$A$39,0),1),INDEX('Category Mapping'!$E$28:$E$39,MATCH($A1000,'Category Mapping'!$A$28:$A$39,0),1))</f>
        <v>484351448.57142854</v>
      </c>
      <c r="L1000" s="27">
        <f>L420*IF($E1000="weekday",INDEX('Category Mapping'!$F$28:$F$39,MATCH('Summarized Source Data'!$A1000,'Category Mapping'!$A$28:$A$39,0),1),INDEX('Category Mapping'!$E$28:$E$39,MATCH($A1000,'Category Mapping'!$A$28:$A$39,0),1))</f>
        <v>3483814.2857142854</v>
      </c>
      <c r="M1000" s="27">
        <f>M420*IF($E1000="weekday",INDEX('Category Mapping'!$F$28:$F$39,MATCH('Summarized Source Data'!$A1000,'Category Mapping'!$A$28:$A$39,0),1),INDEX('Category Mapping'!$E$28:$E$39,MATCH($A1000,'Category Mapping'!$A$28:$A$39,0),1))</f>
        <v>479142857.14285713</v>
      </c>
      <c r="N1000" s="27">
        <f>N420*IF($E1000="weekday",INDEX('Category Mapping'!$F$28:$F$39,MATCH('Summarized Source Data'!$A1000,'Category Mapping'!$A$28:$A$39,0),1),INDEX('Category Mapping'!$E$28:$E$39,MATCH($A1000,'Category Mapping'!$A$28:$A$39,0),1))</f>
        <v>0</v>
      </c>
      <c r="O1000" s="27">
        <f>O420*IF($E1000="weekday",INDEX('Category Mapping'!$F$28:$F$39,MATCH('Summarized Source Data'!$A1000,'Category Mapping'!$A$28:$A$39,0),1),INDEX('Category Mapping'!$E$28:$E$39,MATCH($A1000,'Category Mapping'!$A$28:$A$39,0),1))</f>
        <v>991659042.85714281</v>
      </c>
      <c r="P1000" s="27">
        <f>P420*IF($E1000="weekday",INDEX('Category Mapping'!$F$28:$F$39,MATCH('Summarized Source Data'!$A1000,'Category Mapping'!$A$28:$A$39,0),1),INDEX('Category Mapping'!$E$28:$E$39,MATCH($A1000,'Category Mapping'!$A$28:$A$39,0),1))</f>
        <v>991659042.85714281</v>
      </c>
      <c r="Q1000" s="27">
        <f>Q420*IF($E1000="weekday",INDEX('Category Mapping'!$F$28:$F$39,MATCH('Summarized Source Data'!$A1000,'Category Mapping'!$A$28:$A$39,0),1),INDEX('Category Mapping'!$E$28:$E$39,MATCH($A1000,'Category Mapping'!$A$28:$A$39,0),1))</f>
        <v>991659042.85714281</v>
      </c>
      <c r="R1000" s="27">
        <f>R420*IF($E1000="weekday",INDEX('Category Mapping'!$F$28:$F$39,MATCH('Summarized Source Data'!$A1000,'Category Mapping'!$A$28:$A$39,0),1),INDEX('Category Mapping'!$E$28:$E$39,MATCH($A1000,'Category Mapping'!$A$28:$A$39,0),1))</f>
        <v>37559511.428571425</v>
      </c>
      <c r="S1000" s="27">
        <f>S420*IF($E1000="weekday",INDEX('Category Mapping'!$F$28:$F$39,MATCH('Summarized Source Data'!$A1000,'Category Mapping'!$A$28:$A$39,0),1),INDEX('Category Mapping'!$E$28:$E$39,MATCH($A1000,'Category Mapping'!$A$28:$A$39,0),1))</f>
        <v>37559511.428571425</v>
      </c>
      <c r="T1000" s="27">
        <f>T420*IF($E1000="weekday",INDEX('Category Mapping'!$F$28:$F$39,MATCH('Summarized Source Data'!$A1000,'Category Mapping'!$A$28:$A$39,0),1),INDEX('Category Mapping'!$E$28:$E$39,MATCH($A1000,'Category Mapping'!$A$28:$A$39,0),1))</f>
        <v>37559511.428571425</v>
      </c>
      <c r="U1000" s="27">
        <f>U420*IF($E1000="weekday",INDEX('Category Mapping'!$F$28:$F$39,MATCH('Summarized Source Data'!$A1000,'Category Mapping'!$A$28:$A$39,0),1),INDEX('Category Mapping'!$E$28:$E$39,MATCH($A1000,'Category Mapping'!$A$28:$A$39,0),1))</f>
        <v>37559511.428571425</v>
      </c>
      <c r="V1000" s="27">
        <f>V420*IF($E1000="weekday",INDEX('Category Mapping'!$F$28:$F$39,MATCH('Summarized Source Data'!$A1000,'Category Mapping'!$A$28:$A$39,0),1),INDEX('Category Mapping'!$E$28:$E$39,MATCH($A1000,'Category Mapping'!$A$28:$A$39,0),1))</f>
        <v>37559511.428571425</v>
      </c>
      <c r="W1000" s="27">
        <f>W420*IF($E1000="weekday",INDEX('Category Mapping'!$F$28:$F$39,MATCH('Summarized Source Data'!$A1000,'Category Mapping'!$A$28:$A$39,0),1),INDEX('Category Mapping'!$E$28:$E$39,MATCH($A1000,'Category Mapping'!$A$28:$A$39,0),1))</f>
        <v>37559511.428571425</v>
      </c>
      <c r="X1000" s="27">
        <f>X420*IF($E1000="weekday",INDEX('Category Mapping'!$F$28:$F$39,MATCH('Summarized Source Data'!$A1000,'Category Mapping'!$A$28:$A$39,0),1),INDEX('Category Mapping'!$E$28:$E$39,MATCH($A1000,'Category Mapping'!$A$28:$A$39,0),1))</f>
        <v>3000000000</v>
      </c>
      <c r="Y1000" s="27">
        <f>Y420*IF($E1000="weekday",INDEX('Category Mapping'!$F$28:$F$39,MATCH('Summarized Source Data'!$A1000,'Category Mapping'!$A$28:$A$39,0),1),INDEX('Category Mapping'!$E$28:$E$39,MATCH($A1000,'Category Mapping'!$A$28:$A$39,0),1))</f>
        <v>3000000000</v>
      </c>
      <c r="Z1000" s="27">
        <f>Z420*IF($E1000="weekday",INDEX('Category Mapping'!$F$28:$F$39,MATCH('Summarized Source Data'!$A1000,'Category Mapping'!$A$28:$A$39,0),1),INDEX('Category Mapping'!$E$28:$E$39,MATCH($A1000,'Category Mapping'!$A$28:$A$39,0),1))</f>
        <v>3000000000</v>
      </c>
    </row>
    <row r="1001" spans="1:26" x14ac:dyDescent="0.3">
      <c r="A1001">
        <f t="shared" ref="A1001:E1001" si="466">A421</f>
        <v>6</v>
      </c>
      <c r="B1001" t="str">
        <f t="shared" si="466"/>
        <v>Summer</v>
      </c>
      <c r="C1001" t="str">
        <f t="shared" si="466"/>
        <v>h10</v>
      </c>
      <c r="D1001" t="str">
        <f t="shared" si="466"/>
        <v>Hour9</v>
      </c>
      <c r="E1001" t="str">
        <f t="shared" si="466"/>
        <v>Weekend</v>
      </c>
      <c r="F1001" s="27">
        <f>F421*IF($E1001="weekday",INDEX('Category Mapping'!$F$28:$F$39,MATCH('Summarized Source Data'!$A1001,'Category Mapping'!$A$28:$A$39,0),1),INDEX('Category Mapping'!$E$28:$E$39,MATCH($A1001,'Category Mapping'!$A$28:$A$39,0),1))</f>
        <v>2235625.7142857141</v>
      </c>
      <c r="G1001" s="27">
        <f>G421*IF($E1001="weekday",INDEX('Category Mapping'!$F$28:$F$39,MATCH('Summarized Source Data'!$A1001,'Category Mapping'!$A$28:$A$39,0),1),INDEX('Category Mapping'!$E$28:$E$39,MATCH($A1001,'Category Mapping'!$A$28:$A$39,0),1))</f>
        <v>135428571.42857143</v>
      </c>
      <c r="H1001" s="27">
        <f>H421*IF($E1001="weekday",INDEX('Category Mapping'!$F$28:$F$39,MATCH('Summarized Source Data'!$A1001,'Category Mapping'!$A$28:$A$39,0),1),INDEX('Category Mapping'!$E$28:$E$39,MATCH($A1001,'Category Mapping'!$A$28:$A$39,0),1))</f>
        <v>0</v>
      </c>
      <c r="I1001" s="27">
        <f>I421*IF($E1001="weekday",INDEX('Category Mapping'!$F$28:$F$39,MATCH('Summarized Source Data'!$A1001,'Category Mapping'!$A$28:$A$39,0),1),INDEX('Category Mapping'!$E$28:$E$39,MATCH($A1001,'Category Mapping'!$A$28:$A$39,0),1))</f>
        <v>58046340</v>
      </c>
      <c r="J1001" s="27">
        <f>J421*IF($E1001="weekday",INDEX('Category Mapping'!$F$28:$F$39,MATCH('Summarized Source Data'!$A1001,'Category Mapping'!$A$28:$A$39,0),1),INDEX('Category Mapping'!$E$28:$E$39,MATCH($A1001,'Category Mapping'!$A$28:$A$39,0),1))</f>
        <v>611718034.28571427</v>
      </c>
      <c r="K1001" s="27">
        <f>K421*IF($E1001="weekday",INDEX('Category Mapping'!$F$28:$F$39,MATCH('Summarized Source Data'!$A1001,'Category Mapping'!$A$28:$A$39,0),1),INDEX('Category Mapping'!$E$28:$E$39,MATCH($A1001,'Category Mapping'!$A$28:$A$39,0),1))</f>
        <v>611718034.28571427</v>
      </c>
      <c r="L1001" s="27">
        <f>L421*IF($E1001="weekday",INDEX('Category Mapping'!$F$28:$F$39,MATCH('Summarized Source Data'!$A1001,'Category Mapping'!$A$28:$A$39,0),1),INDEX('Category Mapping'!$E$28:$E$39,MATCH($A1001,'Category Mapping'!$A$28:$A$39,0),1))</f>
        <v>2952702.8571428573</v>
      </c>
      <c r="M1001" s="27">
        <f>M421*IF($E1001="weekday",INDEX('Category Mapping'!$F$28:$F$39,MATCH('Summarized Source Data'!$A1001,'Category Mapping'!$A$28:$A$39,0),1),INDEX('Category Mapping'!$E$28:$E$39,MATCH($A1001,'Category Mapping'!$A$28:$A$39,0),1))</f>
        <v>548571428.57142854</v>
      </c>
      <c r="N1001" s="27">
        <f>N421*IF($E1001="weekday",INDEX('Category Mapping'!$F$28:$F$39,MATCH('Summarized Source Data'!$A1001,'Category Mapping'!$A$28:$A$39,0),1),INDEX('Category Mapping'!$E$28:$E$39,MATCH($A1001,'Category Mapping'!$A$28:$A$39,0),1))</f>
        <v>0</v>
      </c>
      <c r="O1001" s="27">
        <f>O421*IF($E1001="weekday",INDEX('Category Mapping'!$F$28:$F$39,MATCH('Summarized Source Data'!$A1001,'Category Mapping'!$A$28:$A$39,0),1),INDEX('Category Mapping'!$E$28:$E$39,MATCH($A1001,'Category Mapping'!$A$28:$A$39,0),1))</f>
        <v>1085618725.7142856</v>
      </c>
      <c r="P1001" s="27">
        <f>P421*IF($E1001="weekday",INDEX('Category Mapping'!$F$28:$F$39,MATCH('Summarized Source Data'!$A1001,'Category Mapping'!$A$28:$A$39,0),1),INDEX('Category Mapping'!$E$28:$E$39,MATCH($A1001,'Category Mapping'!$A$28:$A$39,0),1))</f>
        <v>1085618725.7142856</v>
      </c>
      <c r="Q1001" s="27">
        <f>Q421*IF($E1001="weekday",INDEX('Category Mapping'!$F$28:$F$39,MATCH('Summarized Source Data'!$A1001,'Category Mapping'!$A$28:$A$39,0),1),INDEX('Category Mapping'!$E$28:$E$39,MATCH($A1001,'Category Mapping'!$A$28:$A$39,0),1))</f>
        <v>1085618725.7142856</v>
      </c>
      <c r="R1001" s="27">
        <f>R421*IF($E1001="weekday",INDEX('Category Mapping'!$F$28:$F$39,MATCH('Summarized Source Data'!$A1001,'Category Mapping'!$A$28:$A$39,0),1),INDEX('Category Mapping'!$E$28:$E$39,MATCH($A1001,'Category Mapping'!$A$28:$A$39,0),1))</f>
        <v>42801908.571428567</v>
      </c>
      <c r="S1001" s="27">
        <f>S421*IF($E1001="weekday",INDEX('Category Mapping'!$F$28:$F$39,MATCH('Summarized Source Data'!$A1001,'Category Mapping'!$A$28:$A$39,0),1),INDEX('Category Mapping'!$E$28:$E$39,MATCH($A1001,'Category Mapping'!$A$28:$A$39,0),1))</f>
        <v>42801908.571428567</v>
      </c>
      <c r="T1001" s="27">
        <f>T421*IF($E1001="weekday",INDEX('Category Mapping'!$F$28:$F$39,MATCH('Summarized Source Data'!$A1001,'Category Mapping'!$A$28:$A$39,0),1),INDEX('Category Mapping'!$E$28:$E$39,MATCH($A1001,'Category Mapping'!$A$28:$A$39,0),1))</f>
        <v>42801908.571428567</v>
      </c>
      <c r="U1001" s="27">
        <f>U421*IF($E1001="weekday",INDEX('Category Mapping'!$F$28:$F$39,MATCH('Summarized Source Data'!$A1001,'Category Mapping'!$A$28:$A$39,0),1),INDEX('Category Mapping'!$E$28:$E$39,MATCH($A1001,'Category Mapping'!$A$28:$A$39,0),1))</f>
        <v>42801908.571428567</v>
      </c>
      <c r="V1001" s="27">
        <f>V421*IF($E1001="weekday",INDEX('Category Mapping'!$F$28:$F$39,MATCH('Summarized Source Data'!$A1001,'Category Mapping'!$A$28:$A$39,0),1),INDEX('Category Mapping'!$E$28:$E$39,MATCH($A1001,'Category Mapping'!$A$28:$A$39,0),1))</f>
        <v>42801908.571428567</v>
      </c>
      <c r="W1001" s="27">
        <f>W421*IF($E1001="weekday",INDEX('Category Mapping'!$F$28:$F$39,MATCH('Summarized Source Data'!$A1001,'Category Mapping'!$A$28:$A$39,0),1),INDEX('Category Mapping'!$E$28:$E$39,MATCH($A1001,'Category Mapping'!$A$28:$A$39,0),1))</f>
        <v>42801908.571428567</v>
      </c>
      <c r="X1001" s="27">
        <f>X421*IF($E1001="weekday",INDEX('Category Mapping'!$F$28:$F$39,MATCH('Summarized Source Data'!$A1001,'Category Mapping'!$A$28:$A$39,0),1),INDEX('Category Mapping'!$E$28:$E$39,MATCH($A1001,'Category Mapping'!$A$28:$A$39,0),1))</f>
        <v>2982857142.8571429</v>
      </c>
      <c r="Y1001" s="27">
        <f>Y421*IF($E1001="weekday",INDEX('Category Mapping'!$F$28:$F$39,MATCH('Summarized Source Data'!$A1001,'Category Mapping'!$A$28:$A$39,0),1),INDEX('Category Mapping'!$E$28:$E$39,MATCH($A1001,'Category Mapping'!$A$28:$A$39,0),1))</f>
        <v>2982857142.8571429</v>
      </c>
      <c r="Z1001" s="27">
        <f>Z421*IF($E1001="weekday",INDEX('Category Mapping'!$F$28:$F$39,MATCH('Summarized Source Data'!$A1001,'Category Mapping'!$A$28:$A$39,0),1),INDEX('Category Mapping'!$E$28:$E$39,MATCH($A1001,'Category Mapping'!$A$28:$A$39,0),1))</f>
        <v>2982857142.8571429</v>
      </c>
    </row>
    <row r="1002" spans="1:26" x14ac:dyDescent="0.3">
      <c r="A1002">
        <f t="shared" ref="A1002:E1002" si="467">A422</f>
        <v>6</v>
      </c>
      <c r="B1002" t="str">
        <f t="shared" si="467"/>
        <v>Summer</v>
      </c>
      <c r="C1002" t="str">
        <f t="shared" si="467"/>
        <v>h11</v>
      </c>
      <c r="D1002" t="str">
        <f t="shared" si="467"/>
        <v>Hour10</v>
      </c>
      <c r="E1002" t="str">
        <f t="shared" si="467"/>
        <v>Weekend</v>
      </c>
      <c r="F1002" s="27">
        <f>F422*IF($E1002="weekday",INDEX('Category Mapping'!$F$28:$F$39,MATCH('Summarized Source Data'!$A1002,'Category Mapping'!$A$28:$A$39,0),1),INDEX('Category Mapping'!$E$28:$E$39,MATCH($A1002,'Category Mapping'!$A$28:$A$39,0),1))</f>
        <v>2241634.2857142854</v>
      </c>
      <c r="G1002" s="27">
        <f>G422*IF($E1002="weekday",INDEX('Category Mapping'!$F$28:$F$39,MATCH('Summarized Source Data'!$A1002,'Category Mapping'!$A$28:$A$39,0),1),INDEX('Category Mapping'!$E$28:$E$39,MATCH($A1002,'Category Mapping'!$A$28:$A$39,0),1))</f>
        <v>156000000</v>
      </c>
      <c r="H1002" s="27">
        <f>H422*IF($E1002="weekday",INDEX('Category Mapping'!$F$28:$F$39,MATCH('Summarized Source Data'!$A1002,'Category Mapping'!$A$28:$A$39,0),1),INDEX('Category Mapping'!$E$28:$E$39,MATCH($A1002,'Category Mapping'!$A$28:$A$39,0),1))</f>
        <v>0</v>
      </c>
      <c r="I1002" s="27">
        <f>I422*IF($E1002="weekday",INDEX('Category Mapping'!$F$28:$F$39,MATCH('Summarized Source Data'!$A1002,'Category Mapping'!$A$28:$A$39,0),1),INDEX('Category Mapping'!$E$28:$E$39,MATCH($A1002,'Category Mapping'!$A$28:$A$39,0),1))</f>
        <v>58392600</v>
      </c>
      <c r="J1002" s="27">
        <f>J422*IF($E1002="weekday",INDEX('Category Mapping'!$F$28:$F$39,MATCH('Summarized Source Data'!$A1002,'Category Mapping'!$A$28:$A$39,0),1),INDEX('Category Mapping'!$E$28:$E$39,MATCH($A1002,'Category Mapping'!$A$28:$A$39,0),1))</f>
        <v>760508622.85714281</v>
      </c>
      <c r="K1002" s="27">
        <f>K422*IF($E1002="weekday",INDEX('Category Mapping'!$F$28:$F$39,MATCH('Summarized Source Data'!$A1002,'Category Mapping'!$A$28:$A$39,0),1),INDEX('Category Mapping'!$E$28:$E$39,MATCH($A1002,'Category Mapping'!$A$28:$A$39,0),1))</f>
        <v>760508622.85714281</v>
      </c>
      <c r="L1002" s="27">
        <f>L422*IF($E1002="weekday",INDEX('Category Mapping'!$F$28:$F$39,MATCH('Summarized Source Data'!$A1002,'Category Mapping'!$A$28:$A$39,0),1),INDEX('Category Mapping'!$E$28:$E$39,MATCH($A1002,'Category Mapping'!$A$28:$A$39,0),1))</f>
        <v>2591914.2857142854</v>
      </c>
      <c r="M1002" s="27">
        <f>M422*IF($E1002="weekday",INDEX('Category Mapping'!$F$28:$F$39,MATCH('Summarized Source Data'!$A1002,'Category Mapping'!$A$28:$A$39,0),1),INDEX('Category Mapping'!$E$28:$E$39,MATCH($A1002,'Category Mapping'!$A$28:$A$39,0),1))</f>
        <v>606857142.85714281</v>
      </c>
      <c r="N1002" s="27">
        <f>N422*IF($E1002="weekday",INDEX('Category Mapping'!$F$28:$F$39,MATCH('Summarized Source Data'!$A1002,'Category Mapping'!$A$28:$A$39,0),1),INDEX('Category Mapping'!$E$28:$E$39,MATCH($A1002,'Category Mapping'!$A$28:$A$39,0),1))</f>
        <v>0</v>
      </c>
      <c r="O1002" s="27">
        <f>O422*IF($E1002="weekday",INDEX('Category Mapping'!$F$28:$F$39,MATCH('Summarized Source Data'!$A1002,'Category Mapping'!$A$28:$A$39,0),1),INDEX('Category Mapping'!$E$28:$E$39,MATCH($A1002,'Category Mapping'!$A$28:$A$39,0),1))</f>
        <v>1070550942.8571428</v>
      </c>
      <c r="P1002" s="27">
        <f>P422*IF($E1002="weekday",INDEX('Category Mapping'!$F$28:$F$39,MATCH('Summarized Source Data'!$A1002,'Category Mapping'!$A$28:$A$39,0),1),INDEX('Category Mapping'!$E$28:$E$39,MATCH($A1002,'Category Mapping'!$A$28:$A$39,0),1))</f>
        <v>1070550942.8571428</v>
      </c>
      <c r="Q1002" s="27">
        <f>Q422*IF($E1002="weekday",INDEX('Category Mapping'!$F$28:$F$39,MATCH('Summarized Source Data'!$A1002,'Category Mapping'!$A$28:$A$39,0),1),INDEX('Category Mapping'!$E$28:$E$39,MATCH($A1002,'Category Mapping'!$A$28:$A$39,0),1))</f>
        <v>1070550942.8571428</v>
      </c>
      <c r="R1002" s="27">
        <f>R422*IF($E1002="weekday",INDEX('Category Mapping'!$F$28:$F$39,MATCH('Summarized Source Data'!$A1002,'Category Mapping'!$A$28:$A$39,0),1),INDEX('Category Mapping'!$E$28:$E$39,MATCH($A1002,'Category Mapping'!$A$28:$A$39,0),1))</f>
        <v>45417317.142857142</v>
      </c>
      <c r="S1002" s="27">
        <f>S422*IF($E1002="weekday",INDEX('Category Mapping'!$F$28:$F$39,MATCH('Summarized Source Data'!$A1002,'Category Mapping'!$A$28:$A$39,0),1),INDEX('Category Mapping'!$E$28:$E$39,MATCH($A1002,'Category Mapping'!$A$28:$A$39,0),1))</f>
        <v>45417317.142857142</v>
      </c>
      <c r="T1002" s="27">
        <f>T422*IF($E1002="weekday",INDEX('Category Mapping'!$F$28:$F$39,MATCH('Summarized Source Data'!$A1002,'Category Mapping'!$A$28:$A$39,0),1),INDEX('Category Mapping'!$E$28:$E$39,MATCH($A1002,'Category Mapping'!$A$28:$A$39,0),1))</f>
        <v>45417317.142857142</v>
      </c>
      <c r="U1002" s="27">
        <f>U422*IF($E1002="weekday",INDEX('Category Mapping'!$F$28:$F$39,MATCH('Summarized Source Data'!$A1002,'Category Mapping'!$A$28:$A$39,0),1),INDEX('Category Mapping'!$E$28:$E$39,MATCH($A1002,'Category Mapping'!$A$28:$A$39,0),1))</f>
        <v>45417317.142857142</v>
      </c>
      <c r="V1002" s="27">
        <f>V422*IF($E1002="weekday",INDEX('Category Mapping'!$F$28:$F$39,MATCH('Summarized Source Data'!$A1002,'Category Mapping'!$A$28:$A$39,0),1),INDEX('Category Mapping'!$E$28:$E$39,MATCH($A1002,'Category Mapping'!$A$28:$A$39,0),1))</f>
        <v>45417317.142857142</v>
      </c>
      <c r="W1002" s="27">
        <f>W422*IF($E1002="weekday",INDEX('Category Mapping'!$F$28:$F$39,MATCH('Summarized Source Data'!$A1002,'Category Mapping'!$A$28:$A$39,0),1),INDEX('Category Mapping'!$E$28:$E$39,MATCH($A1002,'Category Mapping'!$A$28:$A$39,0),1))</f>
        <v>45417317.142857142</v>
      </c>
      <c r="X1002" s="27">
        <f>X422*IF($E1002="weekday",INDEX('Category Mapping'!$F$28:$F$39,MATCH('Summarized Source Data'!$A1002,'Category Mapping'!$A$28:$A$39,0),1),INDEX('Category Mapping'!$E$28:$E$39,MATCH($A1002,'Category Mapping'!$A$28:$A$39,0),1))</f>
        <v>2974285714.2857141</v>
      </c>
      <c r="Y1002" s="27">
        <f>Y422*IF($E1002="weekday",INDEX('Category Mapping'!$F$28:$F$39,MATCH('Summarized Source Data'!$A1002,'Category Mapping'!$A$28:$A$39,0),1),INDEX('Category Mapping'!$E$28:$E$39,MATCH($A1002,'Category Mapping'!$A$28:$A$39,0),1))</f>
        <v>2974285714.2857141</v>
      </c>
      <c r="Z1002" s="27">
        <f>Z422*IF($E1002="weekday",INDEX('Category Mapping'!$F$28:$F$39,MATCH('Summarized Source Data'!$A1002,'Category Mapping'!$A$28:$A$39,0),1),INDEX('Category Mapping'!$E$28:$E$39,MATCH($A1002,'Category Mapping'!$A$28:$A$39,0),1))</f>
        <v>2974285714.2857141</v>
      </c>
    </row>
    <row r="1003" spans="1:26" x14ac:dyDescent="0.3">
      <c r="A1003">
        <f t="shared" ref="A1003:E1003" si="468">A423</f>
        <v>6</v>
      </c>
      <c r="B1003" t="str">
        <f t="shared" si="468"/>
        <v>Summer</v>
      </c>
      <c r="C1003" t="str">
        <f t="shared" si="468"/>
        <v>h12</v>
      </c>
      <c r="D1003" t="str">
        <f t="shared" si="468"/>
        <v>Hour11</v>
      </c>
      <c r="E1003" t="str">
        <f t="shared" si="468"/>
        <v>Weekend</v>
      </c>
      <c r="F1003" s="27">
        <f>F423*IF($E1003="weekday",INDEX('Category Mapping'!$F$28:$F$39,MATCH('Summarized Source Data'!$A1003,'Category Mapping'!$A$28:$A$39,0),1),INDEX('Category Mapping'!$E$28:$E$39,MATCH($A1003,'Category Mapping'!$A$28:$A$39,0),1))</f>
        <v>1725617.1428571427</v>
      </c>
      <c r="G1003" s="27">
        <f>G423*IF($E1003="weekday",INDEX('Category Mapping'!$F$28:$F$39,MATCH('Summarized Source Data'!$A1003,'Category Mapping'!$A$28:$A$39,0),1),INDEX('Category Mapping'!$E$28:$E$39,MATCH($A1003,'Category Mapping'!$A$28:$A$39,0),1))</f>
        <v>188571428.57142857</v>
      </c>
      <c r="H1003" s="27">
        <f>H423*IF($E1003="weekday",INDEX('Category Mapping'!$F$28:$F$39,MATCH('Summarized Source Data'!$A1003,'Category Mapping'!$A$28:$A$39,0),1),INDEX('Category Mapping'!$E$28:$E$39,MATCH($A1003,'Category Mapping'!$A$28:$A$39,0),1))</f>
        <v>0</v>
      </c>
      <c r="I1003" s="27">
        <f>I423*IF($E1003="weekday",INDEX('Category Mapping'!$F$28:$F$39,MATCH('Summarized Source Data'!$A1003,'Category Mapping'!$A$28:$A$39,0),1),INDEX('Category Mapping'!$E$28:$E$39,MATCH($A1003,'Category Mapping'!$A$28:$A$39,0),1))</f>
        <v>61955905.714285709</v>
      </c>
      <c r="J1003" s="27">
        <f>J423*IF($E1003="weekday",INDEX('Category Mapping'!$F$28:$F$39,MATCH('Summarized Source Data'!$A1003,'Category Mapping'!$A$28:$A$39,0),1),INDEX('Category Mapping'!$E$28:$E$39,MATCH($A1003,'Category Mapping'!$A$28:$A$39,0),1))</f>
        <v>853461334.28571427</v>
      </c>
      <c r="K1003" s="27">
        <f>K423*IF($E1003="weekday",INDEX('Category Mapping'!$F$28:$F$39,MATCH('Summarized Source Data'!$A1003,'Category Mapping'!$A$28:$A$39,0),1),INDEX('Category Mapping'!$E$28:$E$39,MATCH($A1003,'Category Mapping'!$A$28:$A$39,0),1))</f>
        <v>853461334.28571427</v>
      </c>
      <c r="L1003" s="27">
        <f>L423*IF($E1003="weekday",INDEX('Category Mapping'!$F$28:$F$39,MATCH('Summarized Source Data'!$A1003,'Category Mapping'!$A$28:$A$39,0),1),INDEX('Category Mapping'!$E$28:$E$39,MATCH($A1003,'Category Mapping'!$A$28:$A$39,0),1))</f>
        <v>2368920</v>
      </c>
      <c r="M1003" s="27">
        <f>M423*IF($E1003="weekday",INDEX('Category Mapping'!$F$28:$F$39,MATCH('Summarized Source Data'!$A1003,'Category Mapping'!$A$28:$A$39,0),1),INDEX('Category Mapping'!$E$28:$E$39,MATCH($A1003,'Category Mapping'!$A$28:$A$39,0),1))</f>
        <v>650571428.57142854</v>
      </c>
      <c r="N1003" s="27">
        <f>N423*IF($E1003="weekday",INDEX('Category Mapping'!$F$28:$F$39,MATCH('Summarized Source Data'!$A1003,'Category Mapping'!$A$28:$A$39,0),1),INDEX('Category Mapping'!$E$28:$E$39,MATCH($A1003,'Category Mapping'!$A$28:$A$39,0),1))</f>
        <v>0</v>
      </c>
      <c r="O1003" s="27">
        <f>O423*IF($E1003="weekday",INDEX('Category Mapping'!$F$28:$F$39,MATCH('Summarized Source Data'!$A1003,'Category Mapping'!$A$28:$A$39,0),1),INDEX('Category Mapping'!$E$28:$E$39,MATCH($A1003,'Category Mapping'!$A$28:$A$39,0),1))</f>
        <v>1078488222.8571429</v>
      </c>
      <c r="P1003" s="27">
        <f>P423*IF($E1003="weekday",INDEX('Category Mapping'!$F$28:$F$39,MATCH('Summarized Source Data'!$A1003,'Category Mapping'!$A$28:$A$39,0),1),INDEX('Category Mapping'!$E$28:$E$39,MATCH($A1003,'Category Mapping'!$A$28:$A$39,0),1))</f>
        <v>1078488222.8571429</v>
      </c>
      <c r="Q1003" s="27">
        <f>Q423*IF($E1003="weekday",INDEX('Category Mapping'!$F$28:$F$39,MATCH('Summarized Source Data'!$A1003,'Category Mapping'!$A$28:$A$39,0),1),INDEX('Category Mapping'!$E$28:$E$39,MATCH($A1003,'Category Mapping'!$A$28:$A$39,0),1))</f>
        <v>1078488222.8571429</v>
      </c>
      <c r="R1003" s="27">
        <f>R423*IF($E1003="weekday",INDEX('Category Mapping'!$F$28:$F$39,MATCH('Summarized Source Data'!$A1003,'Category Mapping'!$A$28:$A$39,0),1),INDEX('Category Mapping'!$E$28:$E$39,MATCH($A1003,'Category Mapping'!$A$28:$A$39,0),1))</f>
        <v>46973194.285714284</v>
      </c>
      <c r="S1003" s="27">
        <f>S423*IF($E1003="weekday",INDEX('Category Mapping'!$F$28:$F$39,MATCH('Summarized Source Data'!$A1003,'Category Mapping'!$A$28:$A$39,0),1),INDEX('Category Mapping'!$E$28:$E$39,MATCH($A1003,'Category Mapping'!$A$28:$A$39,0),1))</f>
        <v>46973194.285714284</v>
      </c>
      <c r="T1003" s="27">
        <f>T423*IF($E1003="weekday",INDEX('Category Mapping'!$F$28:$F$39,MATCH('Summarized Source Data'!$A1003,'Category Mapping'!$A$28:$A$39,0),1),INDEX('Category Mapping'!$E$28:$E$39,MATCH($A1003,'Category Mapping'!$A$28:$A$39,0),1))</f>
        <v>46973194.285714284</v>
      </c>
      <c r="U1003" s="27">
        <f>U423*IF($E1003="weekday",INDEX('Category Mapping'!$F$28:$F$39,MATCH('Summarized Source Data'!$A1003,'Category Mapping'!$A$28:$A$39,0),1),INDEX('Category Mapping'!$E$28:$E$39,MATCH($A1003,'Category Mapping'!$A$28:$A$39,0),1))</f>
        <v>46973194.285714284</v>
      </c>
      <c r="V1003" s="27">
        <f>V423*IF($E1003="weekday",INDEX('Category Mapping'!$F$28:$F$39,MATCH('Summarized Source Data'!$A1003,'Category Mapping'!$A$28:$A$39,0),1),INDEX('Category Mapping'!$E$28:$E$39,MATCH($A1003,'Category Mapping'!$A$28:$A$39,0),1))</f>
        <v>46973194.285714284</v>
      </c>
      <c r="W1003" s="27">
        <f>W423*IF($E1003="weekday",INDEX('Category Mapping'!$F$28:$F$39,MATCH('Summarized Source Data'!$A1003,'Category Mapping'!$A$28:$A$39,0),1),INDEX('Category Mapping'!$E$28:$E$39,MATCH($A1003,'Category Mapping'!$A$28:$A$39,0),1))</f>
        <v>46973194.285714284</v>
      </c>
      <c r="X1003" s="27">
        <f>X423*IF($E1003="weekday",INDEX('Category Mapping'!$F$28:$F$39,MATCH('Summarized Source Data'!$A1003,'Category Mapping'!$A$28:$A$39,0),1),INDEX('Category Mapping'!$E$28:$E$39,MATCH($A1003,'Category Mapping'!$A$28:$A$39,0),1))</f>
        <v>2974285714.2857141</v>
      </c>
      <c r="Y1003" s="27">
        <f>Y423*IF($E1003="weekday",INDEX('Category Mapping'!$F$28:$F$39,MATCH('Summarized Source Data'!$A1003,'Category Mapping'!$A$28:$A$39,0),1),INDEX('Category Mapping'!$E$28:$E$39,MATCH($A1003,'Category Mapping'!$A$28:$A$39,0),1))</f>
        <v>2974285714.2857141</v>
      </c>
      <c r="Z1003" s="27">
        <f>Z423*IF($E1003="weekday",INDEX('Category Mapping'!$F$28:$F$39,MATCH('Summarized Source Data'!$A1003,'Category Mapping'!$A$28:$A$39,0),1),INDEX('Category Mapping'!$E$28:$E$39,MATCH($A1003,'Category Mapping'!$A$28:$A$39,0),1))</f>
        <v>2974285714.2857141</v>
      </c>
    </row>
    <row r="1004" spans="1:26" x14ac:dyDescent="0.3">
      <c r="A1004">
        <f t="shared" ref="A1004:E1004" si="469">A424</f>
        <v>6</v>
      </c>
      <c r="B1004" t="str">
        <f t="shared" si="469"/>
        <v>Summer</v>
      </c>
      <c r="C1004" t="str">
        <f t="shared" si="469"/>
        <v>h13</v>
      </c>
      <c r="D1004" t="str">
        <f t="shared" si="469"/>
        <v>Hour12</v>
      </c>
      <c r="E1004" t="str">
        <f t="shared" si="469"/>
        <v>Weekend</v>
      </c>
      <c r="F1004" s="27">
        <f>F424*IF($E1004="weekday",INDEX('Category Mapping'!$F$28:$F$39,MATCH('Summarized Source Data'!$A1004,'Category Mapping'!$A$28:$A$39,0),1),INDEX('Category Mapping'!$E$28:$E$39,MATCH($A1004,'Category Mapping'!$A$28:$A$39,0),1))</f>
        <v>1762997.1428571427</v>
      </c>
      <c r="G1004" s="27">
        <f>G424*IF($E1004="weekday",INDEX('Category Mapping'!$F$28:$F$39,MATCH('Summarized Source Data'!$A1004,'Category Mapping'!$A$28:$A$39,0),1),INDEX('Category Mapping'!$E$28:$E$39,MATCH($A1004,'Category Mapping'!$A$28:$A$39,0),1))</f>
        <v>217714285.7142857</v>
      </c>
      <c r="H1004" s="27">
        <f>H424*IF($E1004="weekday",INDEX('Category Mapping'!$F$28:$F$39,MATCH('Summarized Source Data'!$A1004,'Category Mapping'!$A$28:$A$39,0),1),INDEX('Category Mapping'!$E$28:$E$39,MATCH($A1004,'Category Mapping'!$A$28:$A$39,0),1))</f>
        <v>0</v>
      </c>
      <c r="I1004" s="27">
        <f>I424*IF($E1004="weekday",INDEX('Category Mapping'!$F$28:$F$39,MATCH('Summarized Source Data'!$A1004,'Category Mapping'!$A$28:$A$39,0),1),INDEX('Category Mapping'!$E$28:$E$39,MATCH($A1004,'Category Mapping'!$A$28:$A$39,0),1))</f>
        <v>64109125.714285709</v>
      </c>
      <c r="J1004" s="27">
        <f>J424*IF($E1004="weekday",INDEX('Category Mapping'!$F$28:$F$39,MATCH('Summarized Source Data'!$A1004,'Category Mapping'!$A$28:$A$39,0),1),INDEX('Category Mapping'!$E$28:$E$39,MATCH($A1004,'Category Mapping'!$A$28:$A$39,0),1))</f>
        <v>770699305.71428573</v>
      </c>
      <c r="K1004" s="27">
        <f>K424*IF($E1004="weekday",INDEX('Category Mapping'!$F$28:$F$39,MATCH('Summarized Source Data'!$A1004,'Category Mapping'!$A$28:$A$39,0),1),INDEX('Category Mapping'!$E$28:$E$39,MATCH($A1004,'Category Mapping'!$A$28:$A$39,0),1))</f>
        <v>770699305.71428573</v>
      </c>
      <c r="L1004" s="27">
        <f>L424*IF($E1004="weekday",INDEX('Category Mapping'!$F$28:$F$39,MATCH('Summarized Source Data'!$A1004,'Category Mapping'!$A$28:$A$39,0),1),INDEX('Category Mapping'!$E$28:$E$39,MATCH($A1004,'Category Mapping'!$A$28:$A$39,0),1))</f>
        <v>2196805.7142857141</v>
      </c>
      <c r="M1004" s="27">
        <f>M424*IF($E1004="weekday",INDEX('Category Mapping'!$F$28:$F$39,MATCH('Summarized Source Data'!$A1004,'Category Mapping'!$A$28:$A$39,0),1),INDEX('Category Mapping'!$E$28:$E$39,MATCH($A1004,'Category Mapping'!$A$28:$A$39,0),1))</f>
        <v>685714285.71428573</v>
      </c>
      <c r="N1004" s="27">
        <f>N424*IF($E1004="weekday",INDEX('Category Mapping'!$F$28:$F$39,MATCH('Summarized Source Data'!$A1004,'Category Mapping'!$A$28:$A$39,0),1),INDEX('Category Mapping'!$E$28:$E$39,MATCH($A1004,'Category Mapping'!$A$28:$A$39,0),1))</f>
        <v>0</v>
      </c>
      <c r="O1004" s="27">
        <f>O424*IF($E1004="weekday",INDEX('Category Mapping'!$F$28:$F$39,MATCH('Summarized Source Data'!$A1004,'Category Mapping'!$A$28:$A$39,0),1),INDEX('Category Mapping'!$E$28:$E$39,MATCH($A1004,'Category Mapping'!$A$28:$A$39,0),1))</f>
        <v>1069231765.7142857</v>
      </c>
      <c r="P1004" s="27">
        <f>P424*IF($E1004="weekday",INDEX('Category Mapping'!$F$28:$F$39,MATCH('Summarized Source Data'!$A1004,'Category Mapping'!$A$28:$A$39,0),1),INDEX('Category Mapping'!$E$28:$E$39,MATCH($A1004,'Category Mapping'!$A$28:$A$39,0),1))</f>
        <v>1069231765.7142857</v>
      </c>
      <c r="Q1004" s="27">
        <f>Q424*IF($E1004="weekday",INDEX('Category Mapping'!$F$28:$F$39,MATCH('Summarized Source Data'!$A1004,'Category Mapping'!$A$28:$A$39,0),1),INDEX('Category Mapping'!$E$28:$E$39,MATCH($A1004,'Category Mapping'!$A$28:$A$39,0),1))</f>
        <v>1069231765.7142857</v>
      </c>
      <c r="R1004" s="27">
        <f>R424*IF($E1004="weekday",INDEX('Category Mapping'!$F$28:$F$39,MATCH('Summarized Source Data'!$A1004,'Category Mapping'!$A$28:$A$39,0),1),INDEX('Category Mapping'!$E$28:$E$39,MATCH($A1004,'Category Mapping'!$A$28:$A$39,0),1))</f>
        <v>46014042.857142858</v>
      </c>
      <c r="S1004" s="27">
        <f>S424*IF($E1004="weekday",INDEX('Category Mapping'!$F$28:$F$39,MATCH('Summarized Source Data'!$A1004,'Category Mapping'!$A$28:$A$39,0),1),INDEX('Category Mapping'!$E$28:$E$39,MATCH($A1004,'Category Mapping'!$A$28:$A$39,0),1))</f>
        <v>46014042.857142858</v>
      </c>
      <c r="T1004" s="27">
        <f>T424*IF($E1004="weekday",INDEX('Category Mapping'!$F$28:$F$39,MATCH('Summarized Source Data'!$A1004,'Category Mapping'!$A$28:$A$39,0),1),INDEX('Category Mapping'!$E$28:$E$39,MATCH($A1004,'Category Mapping'!$A$28:$A$39,0),1))</f>
        <v>46014042.857142858</v>
      </c>
      <c r="U1004" s="27">
        <f>U424*IF($E1004="weekday",INDEX('Category Mapping'!$F$28:$F$39,MATCH('Summarized Source Data'!$A1004,'Category Mapping'!$A$28:$A$39,0),1),INDEX('Category Mapping'!$E$28:$E$39,MATCH($A1004,'Category Mapping'!$A$28:$A$39,0),1))</f>
        <v>46014042.857142858</v>
      </c>
      <c r="V1004" s="27">
        <f>V424*IF($E1004="weekday",INDEX('Category Mapping'!$F$28:$F$39,MATCH('Summarized Source Data'!$A1004,'Category Mapping'!$A$28:$A$39,0),1),INDEX('Category Mapping'!$E$28:$E$39,MATCH($A1004,'Category Mapping'!$A$28:$A$39,0),1))</f>
        <v>46014042.857142858</v>
      </c>
      <c r="W1004" s="27">
        <f>W424*IF($E1004="weekday",INDEX('Category Mapping'!$F$28:$F$39,MATCH('Summarized Source Data'!$A1004,'Category Mapping'!$A$28:$A$39,0),1),INDEX('Category Mapping'!$E$28:$E$39,MATCH($A1004,'Category Mapping'!$A$28:$A$39,0),1))</f>
        <v>46014042.857142858</v>
      </c>
      <c r="X1004" s="27">
        <f>X424*IF($E1004="weekday",INDEX('Category Mapping'!$F$28:$F$39,MATCH('Summarized Source Data'!$A1004,'Category Mapping'!$A$28:$A$39,0),1),INDEX('Category Mapping'!$E$28:$E$39,MATCH($A1004,'Category Mapping'!$A$28:$A$39,0),1))</f>
        <v>2965714285.7142859</v>
      </c>
      <c r="Y1004" s="27">
        <f>Y424*IF($E1004="weekday",INDEX('Category Mapping'!$F$28:$F$39,MATCH('Summarized Source Data'!$A1004,'Category Mapping'!$A$28:$A$39,0),1),INDEX('Category Mapping'!$E$28:$E$39,MATCH($A1004,'Category Mapping'!$A$28:$A$39,0),1))</f>
        <v>2965714285.7142859</v>
      </c>
      <c r="Z1004" s="27">
        <f>Z424*IF($E1004="weekday",INDEX('Category Mapping'!$F$28:$F$39,MATCH('Summarized Source Data'!$A1004,'Category Mapping'!$A$28:$A$39,0),1),INDEX('Category Mapping'!$E$28:$E$39,MATCH($A1004,'Category Mapping'!$A$28:$A$39,0),1))</f>
        <v>2965714285.7142859</v>
      </c>
    </row>
    <row r="1005" spans="1:26" x14ac:dyDescent="0.3">
      <c r="A1005">
        <f t="shared" ref="A1005:E1005" si="470">A425</f>
        <v>6</v>
      </c>
      <c r="B1005" t="str">
        <f t="shared" si="470"/>
        <v>Summer</v>
      </c>
      <c r="C1005" t="str">
        <f t="shared" si="470"/>
        <v>h14</v>
      </c>
      <c r="D1005" t="str">
        <f t="shared" si="470"/>
        <v>Hour13</v>
      </c>
      <c r="E1005" t="str">
        <f t="shared" si="470"/>
        <v>Weekend</v>
      </c>
      <c r="F1005" s="27">
        <f>F425*IF($E1005="weekday",INDEX('Category Mapping'!$F$28:$F$39,MATCH('Summarized Source Data'!$A1005,'Category Mapping'!$A$28:$A$39,0),1),INDEX('Category Mapping'!$E$28:$E$39,MATCH($A1005,'Category Mapping'!$A$28:$A$39,0),1))</f>
        <v>1761574.2857142857</v>
      </c>
      <c r="G1005" s="27">
        <f>G425*IF($E1005="weekday",INDEX('Category Mapping'!$F$28:$F$39,MATCH('Summarized Source Data'!$A1005,'Category Mapping'!$A$28:$A$39,0),1),INDEX('Category Mapping'!$E$28:$E$39,MATCH($A1005,'Category Mapping'!$A$28:$A$39,0),1))</f>
        <v>233142857.14285713</v>
      </c>
      <c r="H1005" s="27">
        <f>H425*IF($E1005="weekday",INDEX('Category Mapping'!$F$28:$F$39,MATCH('Summarized Source Data'!$A1005,'Category Mapping'!$A$28:$A$39,0),1),INDEX('Category Mapping'!$E$28:$E$39,MATCH($A1005,'Category Mapping'!$A$28:$A$39,0),1))</f>
        <v>0</v>
      </c>
      <c r="I1005" s="27">
        <f>I425*IF($E1005="weekday",INDEX('Category Mapping'!$F$28:$F$39,MATCH('Summarized Source Data'!$A1005,'Category Mapping'!$A$28:$A$39,0),1),INDEX('Category Mapping'!$E$28:$E$39,MATCH($A1005,'Category Mapping'!$A$28:$A$39,0),1))</f>
        <v>64026985.714285709</v>
      </c>
      <c r="J1005" s="27">
        <f>J425*IF($E1005="weekday",INDEX('Category Mapping'!$F$28:$F$39,MATCH('Summarized Source Data'!$A1005,'Category Mapping'!$A$28:$A$39,0),1),INDEX('Category Mapping'!$E$28:$E$39,MATCH($A1005,'Category Mapping'!$A$28:$A$39,0),1))</f>
        <v>686782868.57142854</v>
      </c>
      <c r="K1005" s="27">
        <f>K425*IF($E1005="weekday",INDEX('Category Mapping'!$F$28:$F$39,MATCH('Summarized Source Data'!$A1005,'Category Mapping'!$A$28:$A$39,0),1),INDEX('Category Mapping'!$E$28:$E$39,MATCH($A1005,'Category Mapping'!$A$28:$A$39,0),1))</f>
        <v>686782868.57142854</v>
      </c>
      <c r="L1005" s="27">
        <f>L425*IF($E1005="weekday",INDEX('Category Mapping'!$F$28:$F$39,MATCH('Summarized Source Data'!$A1005,'Category Mapping'!$A$28:$A$39,0),1),INDEX('Category Mapping'!$E$28:$E$39,MATCH($A1005,'Category Mapping'!$A$28:$A$39,0),1))</f>
        <v>2076291.4285714284</v>
      </c>
      <c r="M1005" s="27">
        <f>M425*IF($E1005="weekday",INDEX('Category Mapping'!$F$28:$F$39,MATCH('Summarized Source Data'!$A1005,'Category Mapping'!$A$28:$A$39,0),1),INDEX('Category Mapping'!$E$28:$E$39,MATCH($A1005,'Category Mapping'!$A$28:$A$39,0),1))</f>
        <v>705428571.42857146</v>
      </c>
      <c r="N1005" s="27">
        <f>N425*IF($E1005="weekday",INDEX('Category Mapping'!$F$28:$F$39,MATCH('Summarized Source Data'!$A1005,'Category Mapping'!$A$28:$A$39,0),1),INDEX('Category Mapping'!$E$28:$E$39,MATCH($A1005,'Category Mapping'!$A$28:$A$39,0),1))</f>
        <v>0</v>
      </c>
      <c r="O1005" s="27">
        <f>O425*IF($E1005="weekday",INDEX('Category Mapping'!$F$28:$F$39,MATCH('Summarized Source Data'!$A1005,'Category Mapping'!$A$28:$A$39,0),1),INDEX('Category Mapping'!$E$28:$E$39,MATCH($A1005,'Category Mapping'!$A$28:$A$39,0),1))</f>
        <v>1032495137.1428571</v>
      </c>
      <c r="P1005" s="27">
        <f>P425*IF($E1005="weekday",INDEX('Category Mapping'!$F$28:$F$39,MATCH('Summarized Source Data'!$A1005,'Category Mapping'!$A$28:$A$39,0),1),INDEX('Category Mapping'!$E$28:$E$39,MATCH($A1005,'Category Mapping'!$A$28:$A$39,0),1))</f>
        <v>1032495137.1428571</v>
      </c>
      <c r="Q1005" s="27">
        <f>Q425*IF($E1005="weekday",INDEX('Category Mapping'!$F$28:$F$39,MATCH('Summarized Source Data'!$A1005,'Category Mapping'!$A$28:$A$39,0),1),INDEX('Category Mapping'!$E$28:$E$39,MATCH($A1005,'Category Mapping'!$A$28:$A$39,0),1))</f>
        <v>1032495137.1428571</v>
      </c>
      <c r="R1005" s="27">
        <f>R425*IF($E1005="weekday",INDEX('Category Mapping'!$F$28:$F$39,MATCH('Summarized Source Data'!$A1005,'Category Mapping'!$A$28:$A$39,0),1),INDEX('Category Mapping'!$E$28:$E$39,MATCH($A1005,'Category Mapping'!$A$28:$A$39,0),1))</f>
        <v>43933602.857142858</v>
      </c>
      <c r="S1005" s="27">
        <f>S425*IF($E1005="weekday",INDEX('Category Mapping'!$F$28:$F$39,MATCH('Summarized Source Data'!$A1005,'Category Mapping'!$A$28:$A$39,0),1),INDEX('Category Mapping'!$E$28:$E$39,MATCH($A1005,'Category Mapping'!$A$28:$A$39,0),1))</f>
        <v>43933602.857142858</v>
      </c>
      <c r="T1005" s="27">
        <f>T425*IF($E1005="weekday",INDEX('Category Mapping'!$F$28:$F$39,MATCH('Summarized Source Data'!$A1005,'Category Mapping'!$A$28:$A$39,0),1),INDEX('Category Mapping'!$E$28:$E$39,MATCH($A1005,'Category Mapping'!$A$28:$A$39,0),1))</f>
        <v>43933602.857142858</v>
      </c>
      <c r="U1005" s="27">
        <f>U425*IF($E1005="weekday",INDEX('Category Mapping'!$F$28:$F$39,MATCH('Summarized Source Data'!$A1005,'Category Mapping'!$A$28:$A$39,0),1),INDEX('Category Mapping'!$E$28:$E$39,MATCH($A1005,'Category Mapping'!$A$28:$A$39,0),1))</f>
        <v>43933602.857142858</v>
      </c>
      <c r="V1005" s="27">
        <f>V425*IF($E1005="weekday",INDEX('Category Mapping'!$F$28:$F$39,MATCH('Summarized Source Data'!$A1005,'Category Mapping'!$A$28:$A$39,0),1),INDEX('Category Mapping'!$E$28:$E$39,MATCH($A1005,'Category Mapping'!$A$28:$A$39,0),1))</f>
        <v>43933602.857142858</v>
      </c>
      <c r="W1005" s="27">
        <f>W425*IF($E1005="weekday",INDEX('Category Mapping'!$F$28:$F$39,MATCH('Summarized Source Data'!$A1005,'Category Mapping'!$A$28:$A$39,0),1),INDEX('Category Mapping'!$E$28:$E$39,MATCH($A1005,'Category Mapping'!$A$28:$A$39,0),1))</f>
        <v>43933602.857142858</v>
      </c>
      <c r="X1005" s="27">
        <f>X425*IF($E1005="weekday",INDEX('Category Mapping'!$F$28:$F$39,MATCH('Summarized Source Data'!$A1005,'Category Mapping'!$A$28:$A$39,0),1),INDEX('Category Mapping'!$E$28:$E$39,MATCH($A1005,'Category Mapping'!$A$28:$A$39,0),1))</f>
        <v>2974285714.2857141</v>
      </c>
      <c r="Y1005" s="27">
        <f>Y425*IF($E1005="weekday",INDEX('Category Mapping'!$F$28:$F$39,MATCH('Summarized Source Data'!$A1005,'Category Mapping'!$A$28:$A$39,0),1),INDEX('Category Mapping'!$E$28:$E$39,MATCH($A1005,'Category Mapping'!$A$28:$A$39,0),1))</f>
        <v>2974285714.2857141</v>
      </c>
      <c r="Z1005" s="27">
        <f>Z425*IF($E1005="weekday",INDEX('Category Mapping'!$F$28:$F$39,MATCH('Summarized Source Data'!$A1005,'Category Mapping'!$A$28:$A$39,0),1),INDEX('Category Mapping'!$E$28:$E$39,MATCH($A1005,'Category Mapping'!$A$28:$A$39,0),1))</f>
        <v>2974285714.2857141</v>
      </c>
    </row>
    <row r="1006" spans="1:26" x14ac:dyDescent="0.3">
      <c r="A1006">
        <f t="shared" ref="A1006:E1006" si="471">A426</f>
        <v>6</v>
      </c>
      <c r="B1006" t="str">
        <f t="shared" si="471"/>
        <v>Summer</v>
      </c>
      <c r="C1006" t="str">
        <f t="shared" si="471"/>
        <v>h15</v>
      </c>
      <c r="D1006" t="str">
        <f t="shared" si="471"/>
        <v>Hour14</v>
      </c>
      <c r="E1006" t="str">
        <f t="shared" si="471"/>
        <v>Weekend</v>
      </c>
      <c r="F1006" s="27">
        <f>F426*IF($E1006="weekday",INDEX('Category Mapping'!$F$28:$F$39,MATCH('Summarized Source Data'!$A1006,'Category Mapping'!$A$28:$A$39,0),1),INDEX('Category Mapping'!$E$28:$E$39,MATCH($A1006,'Category Mapping'!$A$28:$A$39,0),1))</f>
        <v>1749874.2857142857</v>
      </c>
      <c r="G1006" s="27">
        <f>G426*IF($E1006="weekday",INDEX('Category Mapping'!$F$28:$F$39,MATCH('Summarized Source Data'!$A1006,'Category Mapping'!$A$28:$A$39,0),1),INDEX('Category Mapping'!$E$28:$E$39,MATCH($A1006,'Category Mapping'!$A$28:$A$39,0),1))</f>
        <v>237428571.42857143</v>
      </c>
      <c r="H1006" s="27">
        <f>H426*IF($E1006="weekday",INDEX('Category Mapping'!$F$28:$F$39,MATCH('Summarized Source Data'!$A1006,'Category Mapping'!$A$28:$A$39,0),1),INDEX('Category Mapping'!$E$28:$E$39,MATCH($A1006,'Category Mapping'!$A$28:$A$39,0),1))</f>
        <v>0</v>
      </c>
      <c r="I1006" s="27">
        <f>I426*IF($E1006="weekday",INDEX('Category Mapping'!$F$28:$F$39,MATCH('Summarized Source Data'!$A1006,'Category Mapping'!$A$28:$A$39,0),1),INDEX('Category Mapping'!$E$28:$E$39,MATCH($A1006,'Category Mapping'!$A$28:$A$39,0),1))</f>
        <v>63353288.571428567</v>
      </c>
      <c r="J1006" s="27">
        <f>J426*IF($E1006="weekday",INDEX('Category Mapping'!$F$28:$F$39,MATCH('Summarized Source Data'!$A1006,'Category Mapping'!$A$28:$A$39,0),1),INDEX('Category Mapping'!$E$28:$E$39,MATCH($A1006,'Category Mapping'!$A$28:$A$39,0),1))</f>
        <v>717468265.71428573</v>
      </c>
      <c r="K1006" s="27">
        <f>K426*IF($E1006="weekday",INDEX('Category Mapping'!$F$28:$F$39,MATCH('Summarized Source Data'!$A1006,'Category Mapping'!$A$28:$A$39,0),1),INDEX('Category Mapping'!$E$28:$E$39,MATCH($A1006,'Category Mapping'!$A$28:$A$39,0),1))</f>
        <v>717468265.71428573</v>
      </c>
      <c r="L1006" s="27">
        <f>L426*IF($E1006="weekday",INDEX('Category Mapping'!$F$28:$F$39,MATCH('Summarized Source Data'!$A1006,'Category Mapping'!$A$28:$A$39,0),1),INDEX('Category Mapping'!$E$28:$E$39,MATCH($A1006,'Category Mapping'!$A$28:$A$39,0),1))</f>
        <v>2003297.1428571427</v>
      </c>
      <c r="M1006" s="27">
        <f>M426*IF($E1006="weekday",INDEX('Category Mapping'!$F$28:$F$39,MATCH('Summarized Source Data'!$A1006,'Category Mapping'!$A$28:$A$39,0),1),INDEX('Category Mapping'!$E$28:$E$39,MATCH($A1006,'Category Mapping'!$A$28:$A$39,0),1))</f>
        <v>712285714.28571427</v>
      </c>
      <c r="N1006" s="27">
        <f>N426*IF($E1006="weekday",INDEX('Category Mapping'!$F$28:$F$39,MATCH('Summarized Source Data'!$A1006,'Category Mapping'!$A$28:$A$39,0),1),INDEX('Category Mapping'!$E$28:$E$39,MATCH($A1006,'Category Mapping'!$A$28:$A$39,0),1))</f>
        <v>0</v>
      </c>
      <c r="O1006" s="27">
        <f>O426*IF($E1006="weekday",INDEX('Category Mapping'!$F$28:$F$39,MATCH('Summarized Source Data'!$A1006,'Category Mapping'!$A$28:$A$39,0),1),INDEX('Category Mapping'!$E$28:$E$39,MATCH($A1006,'Category Mapping'!$A$28:$A$39,0),1))</f>
        <v>982853845.71428573</v>
      </c>
      <c r="P1006" s="27">
        <f>P426*IF($E1006="weekday",INDEX('Category Mapping'!$F$28:$F$39,MATCH('Summarized Source Data'!$A1006,'Category Mapping'!$A$28:$A$39,0),1),INDEX('Category Mapping'!$E$28:$E$39,MATCH($A1006,'Category Mapping'!$A$28:$A$39,0),1))</f>
        <v>982853845.71428573</v>
      </c>
      <c r="Q1006" s="27">
        <f>Q426*IF($E1006="weekday",INDEX('Category Mapping'!$F$28:$F$39,MATCH('Summarized Source Data'!$A1006,'Category Mapping'!$A$28:$A$39,0),1),INDEX('Category Mapping'!$E$28:$E$39,MATCH($A1006,'Category Mapping'!$A$28:$A$39,0),1))</f>
        <v>982853845.71428573</v>
      </c>
      <c r="R1006" s="27">
        <f>R426*IF($E1006="weekday",INDEX('Category Mapping'!$F$28:$F$39,MATCH('Summarized Source Data'!$A1006,'Category Mapping'!$A$28:$A$39,0),1),INDEX('Category Mapping'!$E$28:$E$39,MATCH($A1006,'Category Mapping'!$A$28:$A$39,0),1))</f>
        <v>43331322.857142858</v>
      </c>
      <c r="S1006" s="27">
        <f>S426*IF($E1006="weekday",INDEX('Category Mapping'!$F$28:$F$39,MATCH('Summarized Source Data'!$A1006,'Category Mapping'!$A$28:$A$39,0),1),INDEX('Category Mapping'!$E$28:$E$39,MATCH($A1006,'Category Mapping'!$A$28:$A$39,0),1))</f>
        <v>43331322.857142858</v>
      </c>
      <c r="T1006" s="27">
        <f>T426*IF($E1006="weekday",INDEX('Category Mapping'!$F$28:$F$39,MATCH('Summarized Source Data'!$A1006,'Category Mapping'!$A$28:$A$39,0),1),INDEX('Category Mapping'!$E$28:$E$39,MATCH($A1006,'Category Mapping'!$A$28:$A$39,0),1))</f>
        <v>43331322.857142858</v>
      </c>
      <c r="U1006" s="27">
        <f>U426*IF($E1006="weekday",INDEX('Category Mapping'!$F$28:$F$39,MATCH('Summarized Source Data'!$A1006,'Category Mapping'!$A$28:$A$39,0),1),INDEX('Category Mapping'!$E$28:$E$39,MATCH($A1006,'Category Mapping'!$A$28:$A$39,0),1))</f>
        <v>43331322.857142858</v>
      </c>
      <c r="V1006" s="27">
        <f>V426*IF($E1006="weekday",INDEX('Category Mapping'!$F$28:$F$39,MATCH('Summarized Source Data'!$A1006,'Category Mapping'!$A$28:$A$39,0),1),INDEX('Category Mapping'!$E$28:$E$39,MATCH($A1006,'Category Mapping'!$A$28:$A$39,0),1))</f>
        <v>43331322.857142858</v>
      </c>
      <c r="W1006" s="27">
        <f>W426*IF($E1006="weekday",INDEX('Category Mapping'!$F$28:$F$39,MATCH('Summarized Source Data'!$A1006,'Category Mapping'!$A$28:$A$39,0),1),INDEX('Category Mapping'!$E$28:$E$39,MATCH($A1006,'Category Mapping'!$A$28:$A$39,0),1))</f>
        <v>43331322.857142858</v>
      </c>
      <c r="X1006" s="27">
        <f>X426*IF($E1006="weekday",INDEX('Category Mapping'!$F$28:$F$39,MATCH('Summarized Source Data'!$A1006,'Category Mapping'!$A$28:$A$39,0),1),INDEX('Category Mapping'!$E$28:$E$39,MATCH($A1006,'Category Mapping'!$A$28:$A$39,0),1))</f>
        <v>2982857142.8571429</v>
      </c>
      <c r="Y1006" s="27">
        <f>Y426*IF($E1006="weekday",INDEX('Category Mapping'!$F$28:$F$39,MATCH('Summarized Source Data'!$A1006,'Category Mapping'!$A$28:$A$39,0),1),INDEX('Category Mapping'!$E$28:$E$39,MATCH($A1006,'Category Mapping'!$A$28:$A$39,0),1))</f>
        <v>2982857142.8571429</v>
      </c>
      <c r="Z1006" s="27">
        <f>Z426*IF($E1006="weekday",INDEX('Category Mapping'!$F$28:$F$39,MATCH('Summarized Source Data'!$A1006,'Category Mapping'!$A$28:$A$39,0),1),INDEX('Category Mapping'!$E$28:$E$39,MATCH($A1006,'Category Mapping'!$A$28:$A$39,0),1))</f>
        <v>2982857142.8571429</v>
      </c>
    </row>
    <row r="1007" spans="1:26" x14ac:dyDescent="0.3">
      <c r="A1007">
        <f t="shared" ref="A1007:E1007" si="472">A427</f>
        <v>6</v>
      </c>
      <c r="B1007" t="str">
        <f t="shared" si="472"/>
        <v>Summer</v>
      </c>
      <c r="C1007" t="str">
        <f t="shared" si="472"/>
        <v>h16</v>
      </c>
      <c r="D1007" t="str">
        <f t="shared" si="472"/>
        <v>Hour15</v>
      </c>
      <c r="E1007" t="str">
        <f t="shared" si="472"/>
        <v>Weekend</v>
      </c>
      <c r="F1007" s="27">
        <f>F427*IF($E1007="weekday",INDEX('Category Mapping'!$F$28:$F$39,MATCH('Summarized Source Data'!$A1007,'Category Mapping'!$A$28:$A$39,0),1),INDEX('Category Mapping'!$E$28:$E$39,MATCH($A1007,'Category Mapping'!$A$28:$A$39,0),1))</f>
        <v>1752634.2857142857</v>
      </c>
      <c r="G1007" s="27">
        <f>G427*IF($E1007="weekday",INDEX('Category Mapping'!$F$28:$F$39,MATCH('Summarized Source Data'!$A1007,'Category Mapping'!$A$28:$A$39,0),1),INDEX('Category Mapping'!$E$28:$E$39,MATCH($A1007,'Category Mapping'!$A$28:$A$39,0),1))</f>
        <v>232285714.28571427</v>
      </c>
      <c r="H1007" s="27">
        <f>H427*IF($E1007="weekday",INDEX('Category Mapping'!$F$28:$F$39,MATCH('Summarized Source Data'!$A1007,'Category Mapping'!$A$28:$A$39,0),1),INDEX('Category Mapping'!$E$28:$E$39,MATCH($A1007,'Category Mapping'!$A$28:$A$39,0),1))</f>
        <v>0</v>
      </c>
      <c r="I1007" s="27">
        <f>I427*IF($E1007="weekday",INDEX('Category Mapping'!$F$28:$F$39,MATCH('Summarized Source Data'!$A1007,'Category Mapping'!$A$28:$A$39,0),1),INDEX('Category Mapping'!$E$28:$E$39,MATCH($A1007,'Category Mapping'!$A$28:$A$39,0),1))</f>
        <v>63512271.428571425</v>
      </c>
      <c r="J1007" s="27">
        <f>J427*IF($E1007="weekday",INDEX('Category Mapping'!$F$28:$F$39,MATCH('Summarized Source Data'!$A1007,'Category Mapping'!$A$28:$A$39,0),1),INDEX('Category Mapping'!$E$28:$E$39,MATCH($A1007,'Category Mapping'!$A$28:$A$39,0),1))</f>
        <v>748163665.71428573</v>
      </c>
      <c r="K1007" s="27">
        <f>K427*IF($E1007="weekday",INDEX('Category Mapping'!$F$28:$F$39,MATCH('Summarized Source Data'!$A1007,'Category Mapping'!$A$28:$A$39,0),1),INDEX('Category Mapping'!$E$28:$E$39,MATCH($A1007,'Category Mapping'!$A$28:$A$39,0),1))</f>
        <v>748163665.71428573</v>
      </c>
      <c r="L1007" s="27">
        <f>L427*IF($E1007="weekday",INDEX('Category Mapping'!$F$28:$F$39,MATCH('Summarized Source Data'!$A1007,'Category Mapping'!$A$28:$A$39,0),1),INDEX('Category Mapping'!$E$28:$E$39,MATCH($A1007,'Category Mapping'!$A$28:$A$39,0),1))</f>
        <v>1717422.857142857</v>
      </c>
      <c r="M1007" s="27">
        <f>M427*IF($E1007="weekday",INDEX('Category Mapping'!$F$28:$F$39,MATCH('Summarized Source Data'!$A1007,'Category Mapping'!$A$28:$A$39,0),1),INDEX('Category Mapping'!$E$28:$E$39,MATCH($A1007,'Category Mapping'!$A$28:$A$39,0),1))</f>
        <v>705428571.42857146</v>
      </c>
      <c r="N1007" s="27">
        <f>N427*IF($E1007="weekday",INDEX('Category Mapping'!$F$28:$F$39,MATCH('Summarized Source Data'!$A1007,'Category Mapping'!$A$28:$A$39,0),1),INDEX('Category Mapping'!$E$28:$E$39,MATCH($A1007,'Category Mapping'!$A$28:$A$39,0),1))</f>
        <v>0</v>
      </c>
      <c r="O1007" s="27">
        <f>O427*IF($E1007="weekday",INDEX('Category Mapping'!$F$28:$F$39,MATCH('Summarized Source Data'!$A1007,'Category Mapping'!$A$28:$A$39,0),1),INDEX('Category Mapping'!$E$28:$E$39,MATCH($A1007,'Category Mapping'!$A$28:$A$39,0),1))</f>
        <v>912854005.71428573</v>
      </c>
      <c r="P1007" s="27">
        <f>P427*IF($E1007="weekday",INDEX('Category Mapping'!$F$28:$F$39,MATCH('Summarized Source Data'!$A1007,'Category Mapping'!$A$28:$A$39,0),1),INDEX('Category Mapping'!$E$28:$E$39,MATCH($A1007,'Category Mapping'!$A$28:$A$39,0),1))</f>
        <v>912854005.71428573</v>
      </c>
      <c r="Q1007" s="27">
        <f>Q427*IF($E1007="weekday",INDEX('Category Mapping'!$F$28:$F$39,MATCH('Summarized Source Data'!$A1007,'Category Mapping'!$A$28:$A$39,0),1),INDEX('Category Mapping'!$E$28:$E$39,MATCH($A1007,'Category Mapping'!$A$28:$A$39,0),1))</f>
        <v>912854005.71428573</v>
      </c>
      <c r="R1007" s="27">
        <f>R427*IF($E1007="weekday",INDEX('Category Mapping'!$F$28:$F$39,MATCH('Summarized Source Data'!$A1007,'Category Mapping'!$A$28:$A$39,0),1),INDEX('Category Mapping'!$E$28:$E$39,MATCH($A1007,'Category Mapping'!$A$28:$A$39,0),1))</f>
        <v>42427911.428571425</v>
      </c>
      <c r="S1007" s="27">
        <f>S427*IF($E1007="weekday",INDEX('Category Mapping'!$F$28:$F$39,MATCH('Summarized Source Data'!$A1007,'Category Mapping'!$A$28:$A$39,0),1),INDEX('Category Mapping'!$E$28:$E$39,MATCH($A1007,'Category Mapping'!$A$28:$A$39,0),1))</f>
        <v>42427911.428571425</v>
      </c>
      <c r="T1007" s="27">
        <f>T427*IF($E1007="weekday",INDEX('Category Mapping'!$F$28:$F$39,MATCH('Summarized Source Data'!$A1007,'Category Mapping'!$A$28:$A$39,0),1),INDEX('Category Mapping'!$E$28:$E$39,MATCH($A1007,'Category Mapping'!$A$28:$A$39,0),1))</f>
        <v>42427911.428571425</v>
      </c>
      <c r="U1007" s="27">
        <f>U427*IF($E1007="weekday",INDEX('Category Mapping'!$F$28:$F$39,MATCH('Summarized Source Data'!$A1007,'Category Mapping'!$A$28:$A$39,0),1),INDEX('Category Mapping'!$E$28:$E$39,MATCH($A1007,'Category Mapping'!$A$28:$A$39,0),1))</f>
        <v>42427911.428571425</v>
      </c>
      <c r="V1007" s="27">
        <f>V427*IF($E1007="weekday",INDEX('Category Mapping'!$F$28:$F$39,MATCH('Summarized Source Data'!$A1007,'Category Mapping'!$A$28:$A$39,0),1),INDEX('Category Mapping'!$E$28:$E$39,MATCH($A1007,'Category Mapping'!$A$28:$A$39,0),1))</f>
        <v>42427911.428571425</v>
      </c>
      <c r="W1007" s="27">
        <f>W427*IF($E1007="weekday",INDEX('Category Mapping'!$F$28:$F$39,MATCH('Summarized Source Data'!$A1007,'Category Mapping'!$A$28:$A$39,0),1),INDEX('Category Mapping'!$E$28:$E$39,MATCH($A1007,'Category Mapping'!$A$28:$A$39,0),1))</f>
        <v>42427911.428571425</v>
      </c>
      <c r="X1007" s="27">
        <f>X427*IF($E1007="weekday",INDEX('Category Mapping'!$F$28:$F$39,MATCH('Summarized Source Data'!$A1007,'Category Mapping'!$A$28:$A$39,0),1),INDEX('Category Mapping'!$E$28:$E$39,MATCH($A1007,'Category Mapping'!$A$28:$A$39,0),1))</f>
        <v>3017142857.1428571</v>
      </c>
      <c r="Y1007" s="27">
        <f>Y427*IF($E1007="weekday",INDEX('Category Mapping'!$F$28:$F$39,MATCH('Summarized Source Data'!$A1007,'Category Mapping'!$A$28:$A$39,0),1),INDEX('Category Mapping'!$E$28:$E$39,MATCH($A1007,'Category Mapping'!$A$28:$A$39,0),1))</f>
        <v>3017142857.1428571</v>
      </c>
      <c r="Z1007" s="27">
        <f>Z427*IF($E1007="weekday",INDEX('Category Mapping'!$F$28:$F$39,MATCH('Summarized Source Data'!$A1007,'Category Mapping'!$A$28:$A$39,0),1),INDEX('Category Mapping'!$E$28:$E$39,MATCH($A1007,'Category Mapping'!$A$28:$A$39,0),1))</f>
        <v>3017142857.1428571</v>
      </c>
    </row>
    <row r="1008" spans="1:26" x14ac:dyDescent="0.3">
      <c r="A1008">
        <f t="shared" ref="A1008:E1008" si="473">A428</f>
        <v>6</v>
      </c>
      <c r="B1008" t="str">
        <f t="shared" si="473"/>
        <v>Summer</v>
      </c>
      <c r="C1008" t="str">
        <f t="shared" si="473"/>
        <v>h17</v>
      </c>
      <c r="D1008" t="str">
        <f t="shared" si="473"/>
        <v>Hour16</v>
      </c>
      <c r="E1008" t="str">
        <f t="shared" si="473"/>
        <v>Weekend</v>
      </c>
      <c r="F1008" s="27">
        <f>F428*IF($E1008="weekday",INDEX('Category Mapping'!$F$28:$F$39,MATCH('Summarized Source Data'!$A1008,'Category Mapping'!$A$28:$A$39,0),1),INDEX('Category Mapping'!$E$28:$E$39,MATCH($A1008,'Category Mapping'!$A$28:$A$39,0),1))</f>
        <v>1782745.7142857143</v>
      </c>
      <c r="G1008" s="27">
        <f>G428*IF($E1008="weekday",INDEX('Category Mapping'!$F$28:$F$39,MATCH('Summarized Source Data'!$A1008,'Category Mapping'!$A$28:$A$39,0),1),INDEX('Category Mapping'!$E$28:$E$39,MATCH($A1008,'Category Mapping'!$A$28:$A$39,0),1))</f>
        <v>220285714.28571427</v>
      </c>
      <c r="H1008" s="27">
        <f>H428*IF($E1008="weekday",INDEX('Category Mapping'!$F$28:$F$39,MATCH('Summarized Source Data'!$A1008,'Category Mapping'!$A$28:$A$39,0),1),INDEX('Category Mapping'!$E$28:$E$39,MATCH($A1008,'Category Mapping'!$A$28:$A$39,0),1))</f>
        <v>0</v>
      </c>
      <c r="I1008" s="27">
        <f>I428*IF($E1008="weekday",INDEX('Category Mapping'!$F$28:$F$39,MATCH('Summarized Source Data'!$A1008,'Category Mapping'!$A$28:$A$39,0),1),INDEX('Category Mapping'!$E$28:$E$39,MATCH($A1008,'Category Mapping'!$A$28:$A$39,0),1))</f>
        <v>65246657.142857142</v>
      </c>
      <c r="J1008" s="27">
        <f>J428*IF($E1008="weekday",INDEX('Category Mapping'!$F$28:$F$39,MATCH('Summarized Source Data'!$A1008,'Category Mapping'!$A$28:$A$39,0),1),INDEX('Category Mapping'!$E$28:$E$39,MATCH($A1008,'Category Mapping'!$A$28:$A$39,0),1))</f>
        <v>801256311.42857146</v>
      </c>
      <c r="K1008" s="27">
        <f>K428*IF($E1008="weekday",INDEX('Category Mapping'!$F$28:$F$39,MATCH('Summarized Source Data'!$A1008,'Category Mapping'!$A$28:$A$39,0),1),INDEX('Category Mapping'!$E$28:$E$39,MATCH($A1008,'Category Mapping'!$A$28:$A$39,0),1))</f>
        <v>801256311.42857146</v>
      </c>
      <c r="L1008" s="27">
        <f>L428*IF($E1008="weekday",INDEX('Category Mapping'!$F$28:$F$39,MATCH('Summarized Source Data'!$A1008,'Category Mapping'!$A$28:$A$39,0),1),INDEX('Category Mapping'!$E$28:$E$39,MATCH($A1008,'Category Mapping'!$A$28:$A$39,0),1))</f>
        <v>1696380</v>
      </c>
      <c r="M1008" s="27">
        <f>M428*IF($E1008="weekday",INDEX('Category Mapping'!$F$28:$F$39,MATCH('Summarized Source Data'!$A1008,'Category Mapping'!$A$28:$A$39,0),1),INDEX('Category Mapping'!$E$28:$E$39,MATCH($A1008,'Category Mapping'!$A$28:$A$39,0),1))</f>
        <v>681428571.42857146</v>
      </c>
      <c r="N1008" s="27">
        <f>N428*IF($E1008="weekday",INDEX('Category Mapping'!$F$28:$F$39,MATCH('Summarized Source Data'!$A1008,'Category Mapping'!$A$28:$A$39,0),1),INDEX('Category Mapping'!$E$28:$E$39,MATCH($A1008,'Category Mapping'!$A$28:$A$39,0),1))</f>
        <v>0</v>
      </c>
      <c r="O1008" s="27">
        <f>O428*IF($E1008="weekday",INDEX('Category Mapping'!$F$28:$F$39,MATCH('Summarized Source Data'!$A1008,'Category Mapping'!$A$28:$A$39,0),1),INDEX('Category Mapping'!$E$28:$E$39,MATCH($A1008,'Category Mapping'!$A$28:$A$39,0),1))</f>
        <v>868303620</v>
      </c>
      <c r="P1008" s="27">
        <f>P428*IF($E1008="weekday",INDEX('Category Mapping'!$F$28:$F$39,MATCH('Summarized Source Data'!$A1008,'Category Mapping'!$A$28:$A$39,0),1),INDEX('Category Mapping'!$E$28:$E$39,MATCH($A1008,'Category Mapping'!$A$28:$A$39,0),1))</f>
        <v>868303620</v>
      </c>
      <c r="Q1008" s="27">
        <f>Q428*IF($E1008="weekday",INDEX('Category Mapping'!$F$28:$F$39,MATCH('Summarized Source Data'!$A1008,'Category Mapping'!$A$28:$A$39,0),1),INDEX('Category Mapping'!$E$28:$E$39,MATCH($A1008,'Category Mapping'!$A$28:$A$39,0),1))</f>
        <v>868303620</v>
      </c>
      <c r="R1008" s="27">
        <f>R428*IF($E1008="weekday",INDEX('Category Mapping'!$F$28:$F$39,MATCH('Summarized Source Data'!$A1008,'Category Mapping'!$A$28:$A$39,0),1),INDEX('Category Mapping'!$E$28:$E$39,MATCH($A1008,'Category Mapping'!$A$28:$A$39,0),1))</f>
        <v>48417891.428571425</v>
      </c>
      <c r="S1008" s="27">
        <f>S428*IF($E1008="weekday",INDEX('Category Mapping'!$F$28:$F$39,MATCH('Summarized Source Data'!$A1008,'Category Mapping'!$A$28:$A$39,0),1),INDEX('Category Mapping'!$E$28:$E$39,MATCH($A1008,'Category Mapping'!$A$28:$A$39,0),1))</f>
        <v>48417891.428571425</v>
      </c>
      <c r="T1008" s="27">
        <f>T428*IF($E1008="weekday",INDEX('Category Mapping'!$F$28:$F$39,MATCH('Summarized Source Data'!$A1008,'Category Mapping'!$A$28:$A$39,0),1),INDEX('Category Mapping'!$E$28:$E$39,MATCH($A1008,'Category Mapping'!$A$28:$A$39,0),1))</f>
        <v>48417891.428571425</v>
      </c>
      <c r="U1008" s="27">
        <f>U428*IF($E1008="weekday",INDEX('Category Mapping'!$F$28:$F$39,MATCH('Summarized Source Data'!$A1008,'Category Mapping'!$A$28:$A$39,0),1),INDEX('Category Mapping'!$E$28:$E$39,MATCH($A1008,'Category Mapping'!$A$28:$A$39,0),1))</f>
        <v>48417891.428571425</v>
      </c>
      <c r="V1008" s="27">
        <f>V428*IF($E1008="weekday",INDEX('Category Mapping'!$F$28:$F$39,MATCH('Summarized Source Data'!$A1008,'Category Mapping'!$A$28:$A$39,0),1),INDEX('Category Mapping'!$E$28:$E$39,MATCH($A1008,'Category Mapping'!$A$28:$A$39,0),1))</f>
        <v>48417891.428571425</v>
      </c>
      <c r="W1008" s="27">
        <f>W428*IF($E1008="weekday",INDEX('Category Mapping'!$F$28:$F$39,MATCH('Summarized Source Data'!$A1008,'Category Mapping'!$A$28:$A$39,0),1),INDEX('Category Mapping'!$E$28:$E$39,MATCH($A1008,'Category Mapping'!$A$28:$A$39,0),1))</f>
        <v>48417891.428571425</v>
      </c>
      <c r="X1008" s="27">
        <f>X428*IF($E1008="weekday",INDEX('Category Mapping'!$F$28:$F$39,MATCH('Summarized Source Data'!$A1008,'Category Mapping'!$A$28:$A$39,0),1),INDEX('Category Mapping'!$E$28:$E$39,MATCH($A1008,'Category Mapping'!$A$28:$A$39,0),1))</f>
        <v>3051428571.4285712</v>
      </c>
      <c r="Y1008" s="27">
        <f>Y428*IF($E1008="weekday",INDEX('Category Mapping'!$F$28:$F$39,MATCH('Summarized Source Data'!$A1008,'Category Mapping'!$A$28:$A$39,0),1),INDEX('Category Mapping'!$E$28:$E$39,MATCH($A1008,'Category Mapping'!$A$28:$A$39,0),1))</f>
        <v>3051428571.4285712</v>
      </c>
      <c r="Z1008" s="27">
        <f>Z428*IF($E1008="weekday",INDEX('Category Mapping'!$F$28:$F$39,MATCH('Summarized Source Data'!$A1008,'Category Mapping'!$A$28:$A$39,0),1),INDEX('Category Mapping'!$E$28:$E$39,MATCH($A1008,'Category Mapping'!$A$28:$A$39,0),1))</f>
        <v>3051428571.4285712</v>
      </c>
    </row>
    <row r="1009" spans="1:26" x14ac:dyDescent="0.3">
      <c r="A1009">
        <f t="shared" ref="A1009:E1009" si="474">A429</f>
        <v>6</v>
      </c>
      <c r="B1009" t="str">
        <f t="shared" si="474"/>
        <v>Summer</v>
      </c>
      <c r="C1009" t="str">
        <f t="shared" si="474"/>
        <v>h18</v>
      </c>
      <c r="D1009" t="str">
        <f t="shared" si="474"/>
        <v>Hour17</v>
      </c>
      <c r="E1009" t="str">
        <f t="shared" si="474"/>
        <v>Weekend</v>
      </c>
      <c r="F1009" s="27">
        <f>F429*IF($E1009="weekday",INDEX('Category Mapping'!$F$28:$F$39,MATCH('Summarized Source Data'!$A1009,'Category Mapping'!$A$28:$A$39,0),1),INDEX('Category Mapping'!$E$28:$E$39,MATCH($A1009,'Category Mapping'!$A$28:$A$39,0),1))</f>
        <v>1838948.5714285714</v>
      </c>
      <c r="G1009" s="27">
        <f>G429*IF($E1009="weekday",INDEX('Category Mapping'!$F$28:$F$39,MATCH('Summarized Source Data'!$A1009,'Category Mapping'!$A$28:$A$39,0),1),INDEX('Category Mapping'!$E$28:$E$39,MATCH($A1009,'Category Mapping'!$A$28:$A$39,0),1))</f>
        <v>206571428.57142857</v>
      </c>
      <c r="H1009" s="27">
        <f>H429*IF($E1009="weekday",INDEX('Category Mapping'!$F$28:$F$39,MATCH('Summarized Source Data'!$A1009,'Category Mapping'!$A$28:$A$39,0),1),INDEX('Category Mapping'!$E$28:$E$39,MATCH($A1009,'Category Mapping'!$A$28:$A$39,0),1))</f>
        <v>0</v>
      </c>
      <c r="I1009" s="27">
        <f>I429*IF($E1009="weekday",INDEX('Category Mapping'!$F$28:$F$39,MATCH('Summarized Source Data'!$A1009,'Category Mapping'!$A$28:$A$39,0),1),INDEX('Category Mapping'!$E$28:$E$39,MATCH($A1009,'Category Mapping'!$A$28:$A$39,0),1))</f>
        <v>70575257.142857134</v>
      </c>
      <c r="J1009" s="27">
        <f>J429*IF($E1009="weekday",INDEX('Category Mapping'!$F$28:$F$39,MATCH('Summarized Source Data'!$A1009,'Category Mapping'!$A$28:$A$39,0),1),INDEX('Category Mapping'!$E$28:$E$39,MATCH($A1009,'Category Mapping'!$A$28:$A$39,0),1))</f>
        <v>801014365.71428573</v>
      </c>
      <c r="K1009" s="27">
        <f>K429*IF($E1009="weekday",INDEX('Category Mapping'!$F$28:$F$39,MATCH('Summarized Source Data'!$A1009,'Category Mapping'!$A$28:$A$39,0),1),INDEX('Category Mapping'!$E$28:$E$39,MATCH($A1009,'Category Mapping'!$A$28:$A$39,0),1))</f>
        <v>801014365.71428573</v>
      </c>
      <c r="L1009" s="27">
        <f>L429*IF($E1009="weekday",INDEX('Category Mapping'!$F$28:$F$39,MATCH('Summarized Source Data'!$A1009,'Category Mapping'!$A$28:$A$39,0),1),INDEX('Category Mapping'!$E$28:$E$39,MATCH($A1009,'Category Mapping'!$A$28:$A$39,0),1))</f>
        <v>1821171.4285714284</v>
      </c>
      <c r="M1009" s="27">
        <f>M429*IF($E1009="weekday",INDEX('Category Mapping'!$F$28:$F$39,MATCH('Summarized Source Data'!$A1009,'Category Mapping'!$A$28:$A$39,0),1),INDEX('Category Mapping'!$E$28:$E$39,MATCH($A1009,'Category Mapping'!$A$28:$A$39,0),1))</f>
        <v>640285714.28571427</v>
      </c>
      <c r="N1009" s="27">
        <f>N429*IF($E1009="weekday",INDEX('Category Mapping'!$F$28:$F$39,MATCH('Summarized Source Data'!$A1009,'Category Mapping'!$A$28:$A$39,0),1),INDEX('Category Mapping'!$E$28:$E$39,MATCH($A1009,'Category Mapping'!$A$28:$A$39,0),1))</f>
        <v>0</v>
      </c>
      <c r="O1009" s="27">
        <f>O429*IF($E1009="weekday",INDEX('Category Mapping'!$F$28:$F$39,MATCH('Summarized Source Data'!$A1009,'Category Mapping'!$A$28:$A$39,0),1),INDEX('Category Mapping'!$E$28:$E$39,MATCH($A1009,'Category Mapping'!$A$28:$A$39,0),1))</f>
        <v>883607400</v>
      </c>
      <c r="P1009" s="27">
        <f>P429*IF($E1009="weekday",INDEX('Category Mapping'!$F$28:$F$39,MATCH('Summarized Source Data'!$A1009,'Category Mapping'!$A$28:$A$39,0),1),INDEX('Category Mapping'!$E$28:$E$39,MATCH($A1009,'Category Mapping'!$A$28:$A$39,0),1))</f>
        <v>883607400</v>
      </c>
      <c r="Q1009" s="27">
        <f>Q429*IF($E1009="weekday",INDEX('Category Mapping'!$F$28:$F$39,MATCH('Summarized Source Data'!$A1009,'Category Mapping'!$A$28:$A$39,0),1),INDEX('Category Mapping'!$E$28:$E$39,MATCH($A1009,'Category Mapping'!$A$28:$A$39,0),1))</f>
        <v>883607400</v>
      </c>
      <c r="R1009" s="27">
        <f>R429*IF($E1009="weekday",INDEX('Category Mapping'!$F$28:$F$39,MATCH('Summarized Source Data'!$A1009,'Category Mapping'!$A$28:$A$39,0),1),INDEX('Category Mapping'!$E$28:$E$39,MATCH($A1009,'Category Mapping'!$A$28:$A$39,0),1))</f>
        <v>48468077.142857142</v>
      </c>
      <c r="S1009" s="27">
        <f>S429*IF($E1009="weekday",INDEX('Category Mapping'!$F$28:$F$39,MATCH('Summarized Source Data'!$A1009,'Category Mapping'!$A$28:$A$39,0),1),INDEX('Category Mapping'!$E$28:$E$39,MATCH($A1009,'Category Mapping'!$A$28:$A$39,0),1))</f>
        <v>48468077.142857142</v>
      </c>
      <c r="T1009" s="27">
        <f>T429*IF($E1009="weekday",INDEX('Category Mapping'!$F$28:$F$39,MATCH('Summarized Source Data'!$A1009,'Category Mapping'!$A$28:$A$39,0),1),INDEX('Category Mapping'!$E$28:$E$39,MATCH($A1009,'Category Mapping'!$A$28:$A$39,0),1))</f>
        <v>48468077.142857142</v>
      </c>
      <c r="U1009" s="27">
        <f>U429*IF($E1009="weekday",INDEX('Category Mapping'!$F$28:$F$39,MATCH('Summarized Source Data'!$A1009,'Category Mapping'!$A$28:$A$39,0),1),INDEX('Category Mapping'!$E$28:$E$39,MATCH($A1009,'Category Mapping'!$A$28:$A$39,0),1))</f>
        <v>48468077.142857142</v>
      </c>
      <c r="V1009" s="27">
        <f>V429*IF($E1009="weekday",INDEX('Category Mapping'!$F$28:$F$39,MATCH('Summarized Source Data'!$A1009,'Category Mapping'!$A$28:$A$39,0),1),INDEX('Category Mapping'!$E$28:$E$39,MATCH($A1009,'Category Mapping'!$A$28:$A$39,0),1))</f>
        <v>48468077.142857142</v>
      </c>
      <c r="W1009" s="27">
        <f>W429*IF($E1009="weekday",INDEX('Category Mapping'!$F$28:$F$39,MATCH('Summarized Source Data'!$A1009,'Category Mapping'!$A$28:$A$39,0),1),INDEX('Category Mapping'!$E$28:$E$39,MATCH($A1009,'Category Mapping'!$A$28:$A$39,0),1))</f>
        <v>48468077.142857142</v>
      </c>
      <c r="X1009" s="27">
        <f>X429*IF($E1009="weekday",INDEX('Category Mapping'!$F$28:$F$39,MATCH('Summarized Source Data'!$A1009,'Category Mapping'!$A$28:$A$39,0),1),INDEX('Category Mapping'!$E$28:$E$39,MATCH($A1009,'Category Mapping'!$A$28:$A$39,0),1))</f>
        <v>3060000000</v>
      </c>
      <c r="Y1009" s="27">
        <f>Y429*IF($E1009="weekday",INDEX('Category Mapping'!$F$28:$F$39,MATCH('Summarized Source Data'!$A1009,'Category Mapping'!$A$28:$A$39,0),1),INDEX('Category Mapping'!$E$28:$E$39,MATCH($A1009,'Category Mapping'!$A$28:$A$39,0),1))</f>
        <v>3060000000</v>
      </c>
      <c r="Z1009" s="27">
        <f>Z429*IF($E1009="weekday",INDEX('Category Mapping'!$F$28:$F$39,MATCH('Summarized Source Data'!$A1009,'Category Mapping'!$A$28:$A$39,0),1),INDEX('Category Mapping'!$E$28:$E$39,MATCH($A1009,'Category Mapping'!$A$28:$A$39,0),1))</f>
        <v>3060000000</v>
      </c>
    </row>
    <row r="1010" spans="1:26" x14ac:dyDescent="0.3">
      <c r="A1010">
        <f t="shared" ref="A1010:E1010" si="475">A430</f>
        <v>6</v>
      </c>
      <c r="B1010" t="str">
        <f t="shared" si="475"/>
        <v>Summer</v>
      </c>
      <c r="C1010" t="str">
        <f t="shared" si="475"/>
        <v>h19</v>
      </c>
      <c r="D1010" t="str">
        <f t="shared" si="475"/>
        <v>Hour18</v>
      </c>
      <c r="E1010" t="str">
        <f t="shared" si="475"/>
        <v>Weekend</v>
      </c>
      <c r="F1010" s="27">
        <f>F430*IF($E1010="weekday",INDEX('Category Mapping'!$F$28:$F$39,MATCH('Summarized Source Data'!$A1010,'Category Mapping'!$A$28:$A$39,0),1),INDEX('Category Mapping'!$E$28:$E$39,MATCH($A1010,'Category Mapping'!$A$28:$A$39,0),1))</f>
        <v>1905951.4285714284</v>
      </c>
      <c r="G1010" s="27">
        <f>G430*IF($E1010="weekday",INDEX('Category Mapping'!$F$28:$F$39,MATCH('Summarized Source Data'!$A1010,'Category Mapping'!$A$28:$A$39,0),1),INDEX('Category Mapping'!$E$28:$E$39,MATCH($A1010,'Category Mapping'!$A$28:$A$39,0),1))</f>
        <v>187714285.7142857</v>
      </c>
      <c r="H1010" s="27">
        <f>H430*IF($E1010="weekday",INDEX('Category Mapping'!$F$28:$F$39,MATCH('Summarized Source Data'!$A1010,'Category Mapping'!$A$28:$A$39,0),1),INDEX('Category Mapping'!$E$28:$E$39,MATCH($A1010,'Category Mapping'!$A$28:$A$39,0),1))</f>
        <v>0</v>
      </c>
      <c r="I1010" s="27">
        <f>I430*IF($E1010="weekday",INDEX('Category Mapping'!$F$28:$F$39,MATCH('Summarized Source Data'!$A1010,'Category Mapping'!$A$28:$A$39,0),1),INDEX('Category Mapping'!$E$28:$E$39,MATCH($A1010,'Category Mapping'!$A$28:$A$39,0),1))</f>
        <v>156857142.85714287</v>
      </c>
      <c r="J1010" s="27">
        <f>J430*IF($E1010="weekday",INDEX('Category Mapping'!$F$28:$F$39,MATCH('Summarized Source Data'!$A1010,'Category Mapping'!$A$28:$A$39,0),1),INDEX('Category Mapping'!$E$28:$E$39,MATCH($A1010,'Category Mapping'!$A$28:$A$39,0),1))</f>
        <v>776379762.85714281</v>
      </c>
      <c r="K1010" s="27">
        <f>K430*IF($E1010="weekday",INDEX('Category Mapping'!$F$28:$F$39,MATCH('Summarized Source Data'!$A1010,'Category Mapping'!$A$28:$A$39,0),1),INDEX('Category Mapping'!$E$28:$E$39,MATCH($A1010,'Category Mapping'!$A$28:$A$39,0),1))</f>
        <v>776379762.85714281</v>
      </c>
      <c r="L1010" s="27">
        <f>L430*IF($E1010="weekday",INDEX('Category Mapping'!$F$28:$F$39,MATCH('Summarized Source Data'!$A1010,'Category Mapping'!$A$28:$A$39,0),1),INDEX('Category Mapping'!$E$28:$E$39,MATCH($A1010,'Category Mapping'!$A$28:$A$39,0),1))</f>
        <v>2023431.4285714284</v>
      </c>
      <c r="M1010" s="27">
        <f>M430*IF($E1010="weekday",INDEX('Category Mapping'!$F$28:$F$39,MATCH('Summarized Source Data'!$A1010,'Category Mapping'!$A$28:$A$39,0),1),INDEX('Category Mapping'!$E$28:$E$39,MATCH($A1010,'Category Mapping'!$A$28:$A$39,0),1))</f>
        <v>591428571.42857146</v>
      </c>
      <c r="N1010" s="27">
        <f>N430*IF($E1010="weekday",INDEX('Category Mapping'!$F$28:$F$39,MATCH('Summarized Source Data'!$A1010,'Category Mapping'!$A$28:$A$39,0),1),INDEX('Category Mapping'!$E$28:$E$39,MATCH($A1010,'Category Mapping'!$A$28:$A$39,0),1))</f>
        <v>0</v>
      </c>
      <c r="O1010" s="27">
        <f>O430*IF($E1010="weekday",INDEX('Category Mapping'!$F$28:$F$39,MATCH('Summarized Source Data'!$A1010,'Category Mapping'!$A$28:$A$39,0),1),INDEX('Category Mapping'!$E$28:$E$39,MATCH($A1010,'Category Mapping'!$A$28:$A$39,0),1))</f>
        <v>872262282.85714281</v>
      </c>
      <c r="P1010" s="27">
        <f>P430*IF($E1010="weekday",INDEX('Category Mapping'!$F$28:$F$39,MATCH('Summarized Source Data'!$A1010,'Category Mapping'!$A$28:$A$39,0),1),INDEX('Category Mapping'!$E$28:$E$39,MATCH($A1010,'Category Mapping'!$A$28:$A$39,0),1))</f>
        <v>872262282.85714281</v>
      </c>
      <c r="Q1010" s="27">
        <f>Q430*IF($E1010="weekday",INDEX('Category Mapping'!$F$28:$F$39,MATCH('Summarized Source Data'!$A1010,'Category Mapping'!$A$28:$A$39,0),1),INDEX('Category Mapping'!$E$28:$E$39,MATCH($A1010,'Category Mapping'!$A$28:$A$39,0),1))</f>
        <v>872262282.85714281</v>
      </c>
      <c r="R1010" s="27">
        <f>R430*IF($E1010="weekday",INDEX('Category Mapping'!$F$28:$F$39,MATCH('Summarized Source Data'!$A1010,'Category Mapping'!$A$28:$A$39,0),1),INDEX('Category Mapping'!$E$28:$E$39,MATCH($A1010,'Category Mapping'!$A$28:$A$39,0),1))</f>
        <v>48116751.428571425</v>
      </c>
      <c r="S1010" s="27">
        <f>S430*IF($E1010="weekday",INDEX('Category Mapping'!$F$28:$F$39,MATCH('Summarized Source Data'!$A1010,'Category Mapping'!$A$28:$A$39,0),1),INDEX('Category Mapping'!$E$28:$E$39,MATCH($A1010,'Category Mapping'!$A$28:$A$39,0),1))</f>
        <v>48116751.428571425</v>
      </c>
      <c r="T1010" s="27">
        <f>T430*IF($E1010="weekday",INDEX('Category Mapping'!$F$28:$F$39,MATCH('Summarized Source Data'!$A1010,'Category Mapping'!$A$28:$A$39,0),1),INDEX('Category Mapping'!$E$28:$E$39,MATCH($A1010,'Category Mapping'!$A$28:$A$39,0),1))</f>
        <v>48116751.428571425</v>
      </c>
      <c r="U1010" s="27">
        <f>U430*IF($E1010="weekday",INDEX('Category Mapping'!$F$28:$F$39,MATCH('Summarized Source Data'!$A1010,'Category Mapping'!$A$28:$A$39,0),1),INDEX('Category Mapping'!$E$28:$E$39,MATCH($A1010,'Category Mapping'!$A$28:$A$39,0),1))</f>
        <v>48116751.428571425</v>
      </c>
      <c r="V1010" s="27">
        <f>V430*IF($E1010="weekday",INDEX('Category Mapping'!$F$28:$F$39,MATCH('Summarized Source Data'!$A1010,'Category Mapping'!$A$28:$A$39,0),1),INDEX('Category Mapping'!$E$28:$E$39,MATCH($A1010,'Category Mapping'!$A$28:$A$39,0),1))</f>
        <v>48116751.428571425</v>
      </c>
      <c r="W1010" s="27">
        <f>W430*IF($E1010="weekday",INDEX('Category Mapping'!$F$28:$F$39,MATCH('Summarized Source Data'!$A1010,'Category Mapping'!$A$28:$A$39,0),1),INDEX('Category Mapping'!$E$28:$E$39,MATCH($A1010,'Category Mapping'!$A$28:$A$39,0),1))</f>
        <v>48116751.428571425</v>
      </c>
      <c r="X1010" s="27">
        <f>X430*IF($E1010="weekday",INDEX('Category Mapping'!$F$28:$F$39,MATCH('Summarized Source Data'!$A1010,'Category Mapping'!$A$28:$A$39,0),1),INDEX('Category Mapping'!$E$28:$E$39,MATCH($A1010,'Category Mapping'!$A$28:$A$39,0),1))</f>
        <v>3042857142.8571429</v>
      </c>
      <c r="Y1010" s="27">
        <f>Y430*IF($E1010="weekday",INDEX('Category Mapping'!$F$28:$F$39,MATCH('Summarized Source Data'!$A1010,'Category Mapping'!$A$28:$A$39,0),1),INDEX('Category Mapping'!$E$28:$E$39,MATCH($A1010,'Category Mapping'!$A$28:$A$39,0),1))</f>
        <v>3042857142.8571429</v>
      </c>
      <c r="Z1010" s="27">
        <f>Z430*IF($E1010="weekday",INDEX('Category Mapping'!$F$28:$F$39,MATCH('Summarized Source Data'!$A1010,'Category Mapping'!$A$28:$A$39,0),1),INDEX('Category Mapping'!$E$28:$E$39,MATCH($A1010,'Category Mapping'!$A$28:$A$39,0),1))</f>
        <v>3042857142.8571429</v>
      </c>
    </row>
    <row r="1011" spans="1:26" x14ac:dyDescent="0.3">
      <c r="A1011">
        <f t="shared" ref="A1011:E1011" si="476">A431</f>
        <v>6</v>
      </c>
      <c r="B1011" t="str">
        <f t="shared" si="476"/>
        <v>Summer</v>
      </c>
      <c r="C1011" t="str">
        <f t="shared" si="476"/>
        <v>h20</v>
      </c>
      <c r="D1011" t="str">
        <f t="shared" si="476"/>
        <v>Hour19</v>
      </c>
      <c r="E1011" t="str">
        <f t="shared" si="476"/>
        <v>Weekend</v>
      </c>
      <c r="F1011" s="27">
        <f>F431*IF($E1011="weekday",INDEX('Category Mapping'!$F$28:$F$39,MATCH('Summarized Source Data'!$A1011,'Category Mapping'!$A$28:$A$39,0),1),INDEX('Category Mapping'!$E$28:$E$39,MATCH($A1011,'Category Mapping'!$A$28:$A$39,0),1))</f>
        <v>1965488.5714285714</v>
      </c>
      <c r="G1011" s="27">
        <f>G431*IF($E1011="weekday",INDEX('Category Mapping'!$F$28:$F$39,MATCH('Summarized Source Data'!$A1011,'Category Mapping'!$A$28:$A$39,0),1),INDEX('Category Mapping'!$E$28:$E$39,MATCH($A1011,'Category Mapping'!$A$28:$A$39,0),1))</f>
        <v>162000000</v>
      </c>
      <c r="H1011" s="27">
        <f>H431*IF($E1011="weekday",INDEX('Category Mapping'!$F$28:$F$39,MATCH('Summarized Source Data'!$A1011,'Category Mapping'!$A$28:$A$39,0),1),INDEX('Category Mapping'!$E$28:$E$39,MATCH($A1011,'Category Mapping'!$A$28:$A$39,0),1))</f>
        <v>0</v>
      </c>
      <c r="I1011" s="27">
        <f>I431*IF($E1011="weekday",INDEX('Category Mapping'!$F$28:$F$39,MATCH('Summarized Source Data'!$A1011,'Category Mapping'!$A$28:$A$39,0),1),INDEX('Category Mapping'!$E$28:$E$39,MATCH($A1011,'Category Mapping'!$A$28:$A$39,0),1))</f>
        <v>252857142.85714284</v>
      </c>
      <c r="J1011" s="27">
        <f>J431*IF($E1011="weekday",INDEX('Category Mapping'!$F$28:$F$39,MATCH('Summarized Source Data'!$A1011,'Category Mapping'!$A$28:$A$39,0),1),INDEX('Category Mapping'!$E$28:$E$39,MATCH($A1011,'Category Mapping'!$A$28:$A$39,0),1))</f>
        <v>714605940</v>
      </c>
      <c r="K1011" s="27">
        <f>K431*IF($E1011="weekday",INDEX('Category Mapping'!$F$28:$F$39,MATCH('Summarized Source Data'!$A1011,'Category Mapping'!$A$28:$A$39,0),1),INDEX('Category Mapping'!$E$28:$E$39,MATCH($A1011,'Category Mapping'!$A$28:$A$39,0),1))</f>
        <v>714605940</v>
      </c>
      <c r="L1011" s="27">
        <f>L431*IF($E1011="weekday",INDEX('Category Mapping'!$F$28:$F$39,MATCH('Summarized Source Data'!$A1011,'Category Mapping'!$A$28:$A$39,0),1),INDEX('Category Mapping'!$E$28:$E$39,MATCH($A1011,'Category Mapping'!$A$28:$A$39,0),1))</f>
        <v>2200705.7142857141</v>
      </c>
      <c r="M1011" s="27">
        <f>M431*IF($E1011="weekday",INDEX('Category Mapping'!$F$28:$F$39,MATCH('Summarized Source Data'!$A1011,'Category Mapping'!$A$28:$A$39,0),1),INDEX('Category Mapping'!$E$28:$E$39,MATCH($A1011,'Category Mapping'!$A$28:$A$39,0),1))</f>
        <v>532285714.28571427</v>
      </c>
      <c r="N1011" s="27">
        <f>N431*IF($E1011="weekday",INDEX('Category Mapping'!$F$28:$F$39,MATCH('Summarized Source Data'!$A1011,'Category Mapping'!$A$28:$A$39,0),1),INDEX('Category Mapping'!$E$28:$E$39,MATCH($A1011,'Category Mapping'!$A$28:$A$39,0),1))</f>
        <v>0</v>
      </c>
      <c r="O1011" s="27">
        <f>O431*IF($E1011="weekday",INDEX('Category Mapping'!$F$28:$F$39,MATCH('Summarized Source Data'!$A1011,'Category Mapping'!$A$28:$A$39,0),1),INDEX('Category Mapping'!$E$28:$E$39,MATCH($A1011,'Category Mapping'!$A$28:$A$39,0),1))</f>
        <v>845513580</v>
      </c>
      <c r="P1011" s="27">
        <f>P431*IF($E1011="weekday",INDEX('Category Mapping'!$F$28:$F$39,MATCH('Summarized Source Data'!$A1011,'Category Mapping'!$A$28:$A$39,0),1),INDEX('Category Mapping'!$E$28:$E$39,MATCH($A1011,'Category Mapping'!$A$28:$A$39,0),1))</f>
        <v>845513580</v>
      </c>
      <c r="Q1011" s="27">
        <f>Q431*IF($E1011="weekday",INDEX('Category Mapping'!$F$28:$F$39,MATCH('Summarized Source Data'!$A1011,'Category Mapping'!$A$28:$A$39,0),1),INDEX('Category Mapping'!$E$28:$E$39,MATCH($A1011,'Category Mapping'!$A$28:$A$39,0),1))</f>
        <v>845513580</v>
      </c>
      <c r="R1011" s="27">
        <f>R431*IF($E1011="weekday",INDEX('Category Mapping'!$F$28:$F$39,MATCH('Summarized Source Data'!$A1011,'Category Mapping'!$A$28:$A$39,0),1),INDEX('Category Mapping'!$E$28:$E$39,MATCH($A1011,'Category Mapping'!$A$28:$A$39,0),1))</f>
        <v>46962385.714285716</v>
      </c>
      <c r="S1011" s="27">
        <f>S431*IF($E1011="weekday",INDEX('Category Mapping'!$F$28:$F$39,MATCH('Summarized Source Data'!$A1011,'Category Mapping'!$A$28:$A$39,0),1),INDEX('Category Mapping'!$E$28:$E$39,MATCH($A1011,'Category Mapping'!$A$28:$A$39,0),1))</f>
        <v>46962385.714285716</v>
      </c>
      <c r="T1011" s="27">
        <f>T431*IF($E1011="weekday",INDEX('Category Mapping'!$F$28:$F$39,MATCH('Summarized Source Data'!$A1011,'Category Mapping'!$A$28:$A$39,0),1),INDEX('Category Mapping'!$E$28:$E$39,MATCH($A1011,'Category Mapping'!$A$28:$A$39,0),1))</f>
        <v>46962385.714285716</v>
      </c>
      <c r="U1011" s="27">
        <f>U431*IF($E1011="weekday",INDEX('Category Mapping'!$F$28:$F$39,MATCH('Summarized Source Data'!$A1011,'Category Mapping'!$A$28:$A$39,0),1),INDEX('Category Mapping'!$E$28:$E$39,MATCH($A1011,'Category Mapping'!$A$28:$A$39,0),1))</f>
        <v>46962385.714285716</v>
      </c>
      <c r="V1011" s="27">
        <f>V431*IF($E1011="weekday",INDEX('Category Mapping'!$F$28:$F$39,MATCH('Summarized Source Data'!$A1011,'Category Mapping'!$A$28:$A$39,0),1),INDEX('Category Mapping'!$E$28:$E$39,MATCH($A1011,'Category Mapping'!$A$28:$A$39,0),1))</f>
        <v>46962385.714285716</v>
      </c>
      <c r="W1011" s="27">
        <f>W431*IF($E1011="weekday",INDEX('Category Mapping'!$F$28:$F$39,MATCH('Summarized Source Data'!$A1011,'Category Mapping'!$A$28:$A$39,0),1),INDEX('Category Mapping'!$E$28:$E$39,MATCH($A1011,'Category Mapping'!$A$28:$A$39,0),1))</f>
        <v>46962385.714285716</v>
      </c>
      <c r="X1011" s="27">
        <f>X431*IF($E1011="weekday",INDEX('Category Mapping'!$F$28:$F$39,MATCH('Summarized Source Data'!$A1011,'Category Mapping'!$A$28:$A$39,0),1),INDEX('Category Mapping'!$E$28:$E$39,MATCH($A1011,'Category Mapping'!$A$28:$A$39,0),1))</f>
        <v>3025714285.7142859</v>
      </c>
      <c r="Y1011" s="27">
        <f>Y431*IF($E1011="weekday",INDEX('Category Mapping'!$F$28:$F$39,MATCH('Summarized Source Data'!$A1011,'Category Mapping'!$A$28:$A$39,0),1),INDEX('Category Mapping'!$E$28:$E$39,MATCH($A1011,'Category Mapping'!$A$28:$A$39,0),1))</f>
        <v>3025714285.7142859</v>
      </c>
      <c r="Z1011" s="27">
        <f>Z431*IF($E1011="weekday",INDEX('Category Mapping'!$F$28:$F$39,MATCH('Summarized Source Data'!$A1011,'Category Mapping'!$A$28:$A$39,0),1),INDEX('Category Mapping'!$E$28:$E$39,MATCH($A1011,'Category Mapping'!$A$28:$A$39,0),1))</f>
        <v>3025714285.7142859</v>
      </c>
    </row>
    <row r="1012" spans="1:26" x14ac:dyDescent="0.3">
      <c r="A1012">
        <f t="shared" ref="A1012:E1012" si="477">A432</f>
        <v>6</v>
      </c>
      <c r="B1012" t="str">
        <f t="shared" si="477"/>
        <v>Summer</v>
      </c>
      <c r="C1012" t="str">
        <f t="shared" si="477"/>
        <v>h21</v>
      </c>
      <c r="D1012" t="str">
        <f t="shared" si="477"/>
        <v>Hour20</v>
      </c>
      <c r="E1012" t="str">
        <f t="shared" si="477"/>
        <v>Weekend</v>
      </c>
      <c r="F1012" s="27">
        <f>F432*IF($E1012="weekday",INDEX('Category Mapping'!$F$28:$F$39,MATCH('Summarized Source Data'!$A1012,'Category Mapping'!$A$28:$A$39,0),1),INDEX('Category Mapping'!$E$28:$E$39,MATCH($A1012,'Category Mapping'!$A$28:$A$39,0),1))</f>
        <v>1958382.857142857</v>
      </c>
      <c r="G1012" s="27">
        <f>G432*IF($E1012="weekday",INDEX('Category Mapping'!$F$28:$F$39,MATCH('Summarized Source Data'!$A1012,'Category Mapping'!$A$28:$A$39,0),1),INDEX('Category Mapping'!$E$28:$E$39,MATCH($A1012,'Category Mapping'!$A$28:$A$39,0),1))</f>
        <v>127714285.71428572</v>
      </c>
      <c r="H1012" s="27">
        <f>H432*IF($E1012="weekday",INDEX('Category Mapping'!$F$28:$F$39,MATCH('Summarized Source Data'!$A1012,'Category Mapping'!$A$28:$A$39,0),1),INDEX('Category Mapping'!$E$28:$E$39,MATCH($A1012,'Category Mapping'!$A$28:$A$39,0),1))</f>
        <v>0</v>
      </c>
      <c r="I1012" s="27">
        <f>I432*IF($E1012="weekday",INDEX('Category Mapping'!$F$28:$F$39,MATCH('Summarized Source Data'!$A1012,'Category Mapping'!$A$28:$A$39,0),1),INDEX('Category Mapping'!$E$28:$E$39,MATCH($A1012,'Category Mapping'!$A$28:$A$39,0),1))</f>
        <v>251142857.14285713</v>
      </c>
      <c r="J1012" s="27">
        <f>J432*IF($E1012="weekday",INDEX('Category Mapping'!$F$28:$F$39,MATCH('Summarized Source Data'!$A1012,'Category Mapping'!$A$28:$A$39,0),1),INDEX('Category Mapping'!$E$28:$E$39,MATCH($A1012,'Category Mapping'!$A$28:$A$39,0),1))</f>
        <v>664898760</v>
      </c>
      <c r="K1012" s="27">
        <f>K432*IF($E1012="weekday",INDEX('Category Mapping'!$F$28:$F$39,MATCH('Summarized Source Data'!$A1012,'Category Mapping'!$A$28:$A$39,0),1),INDEX('Category Mapping'!$E$28:$E$39,MATCH($A1012,'Category Mapping'!$A$28:$A$39,0),1))</f>
        <v>664898760</v>
      </c>
      <c r="L1012" s="27">
        <f>L432*IF($E1012="weekday",INDEX('Category Mapping'!$F$28:$F$39,MATCH('Summarized Source Data'!$A1012,'Category Mapping'!$A$28:$A$39,0),1),INDEX('Category Mapping'!$E$28:$E$39,MATCH($A1012,'Category Mapping'!$A$28:$A$39,0),1))</f>
        <v>2716388.5714285714</v>
      </c>
      <c r="M1012" s="27">
        <f>M432*IF($E1012="weekday",INDEX('Category Mapping'!$F$28:$F$39,MATCH('Summarized Source Data'!$A1012,'Category Mapping'!$A$28:$A$39,0),1),INDEX('Category Mapping'!$E$28:$E$39,MATCH($A1012,'Category Mapping'!$A$28:$A$39,0),1))</f>
        <v>473142857.14285713</v>
      </c>
      <c r="N1012" s="27">
        <f>N432*IF($E1012="weekday",INDEX('Category Mapping'!$F$28:$F$39,MATCH('Summarized Source Data'!$A1012,'Category Mapping'!$A$28:$A$39,0),1),INDEX('Category Mapping'!$E$28:$E$39,MATCH($A1012,'Category Mapping'!$A$28:$A$39,0),1))</f>
        <v>0</v>
      </c>
      <c r="O1012" s="27">
        <f>O432*IF($E1012="weekday",INDEX('Category Mapping'!$F$28:$F$39,MATCH('Summarized Source Data'!$A1012,'Category Mapping'!$A$28:$A$39,0),1),INDEX('Category Mapping'!$E$28:$E$39,MATCH($A1012,'Category Mapping'!$A$28:$A$39,0),1))</f>
        <v>801283611.42857146</v>
      </c>
      <c r="P1012" s="27">
        <f>P432*IF($E1012="weekday",INDEX('Category Mapping'!$F$28:$F$39,MATCH('Summarized Source Data'!$A1012,'Category Mapping'!$A$28:$A$39,0),1),INDEX('Category Mapping'!$E$28:$E$39,MATCH($A1012,'Category Mapping'!$A$28:$A$39,0),1))</f>
        <v>801283611.42857146</v>
      </c>
      <c r="Q1012" s="27">
        <f>Q432*IF($E1012="weekday",INDEX('Category Mapping'!$F$28:$F$39,MATCH('Summarized Source Data'!$A1012,'Category Mapping'!$A$28:$A$39,0),1),INDEX('Category Mapping'!$E$28:$E$39,MATCH($A1012,'Category Mapping'!$A$28:$A$39,0),1))</f>
        <v>801283611.42857146</v>
      </c>
      <c r="R1012" s="27">
        <f>R432*IF($E1012="weekday",INDEX('Category Mapping'!$F$28:$F$39,MATCH('Summarized Source Data'!$A1012,'Category Mapping'!$A$28:$A$39,0),1),INDEX('Category Mapping'!$E$28:$E$39,MATCH($A1012,'Category Mapping'!$A$28:$A$39,0),1))</f>
        <v>45406508.571428567</v>
      </c>
      <c r="S1012" s="27">
        <f>S432*IF($E1012="weekday",INDEX('Category Mapping'!$F$28:$F$39,MATCH('Summarized Source Data'!$A1012,'Category Mapping'!$A$28:$A$39,0),1),INDEX('Category Mapping'!$E$28:$E$39,MATCH($A1012,'Category Mapping'!$A$28:$A$39,0),1))</f>
        <v>45406508.571428567</v>
      </c>
      <c r="T1012" s="27">
        <f>T432*IF($E1012="weekday",INDEX('Category Mapping'!$F$28:$F$39,MATCH('Summarized Source Data'!$A1012,'Category Mapping'!$A$28:$A$39,0),1),INDEX('Category Mapping'!$E$28:$E$39,MATCH($A1012,'Category Mapping'!$A$28:$A$39,0),1))</f>
        <v>45406508.571428567</v>
      </c>
      <c r="U1012" s="27">
        <f>U432*IF($E1012="weekday",INDEX('Category Mapping'!$F$28:$F$39,MATCH('Summarized Source Data'!$A1012,'Category Mapping'!$A$28:$A$39,0),1),INDEX('Category Mapping'!$E$28:$E$39,MATCH($A1012,'Category Mapping'!$A$28:$A$39,0),1))</f>
        <v>45406508.571428567</v>
      </c>
      <c r="V1012" s="27">
        <f>V432*IF($E1012="weekday",INDEX('Category Mapping'!$F$28:$F$39,MATCH('Summarized Source Data'!$A1012,'Category Mapping'!$A$28:$A$39,0),1),INDEX('Category Mapping'!$E$28:$E$39,MATCH($A1012,'Category Mapping'!$A$28:$A$39,0),1))</f>
        <v>45406508.571428567</v>
      </c>
      <c r="W1012" s="27">
        <f>W432*IF($E1012="weekday",INDEX('Category Mapping'!$F$28:$F$39,MATCH('Summarized Source Data'!$A1012,'Category Mapping'!$A$28:$A$39,0),1),INDEX('Category Mapping'!$E$28:$E$39,MATCH($A1012,'Category Mapping'!$A$28:$A$39,0),1))</f>
        <v>45406508.571428567</v>
      </c>
      <c r="X1012" s="27">
        <f>X432*IF($E1012="weekday",INDEX('Category Mapping'!$F$28:$F$39,MATCH('Summarized Source Data'!$A1012,'Category Mapping'!$A$28:$A$39,0),1),INDEX('Category Mapping'!$E$28:$E$39,MATCH($A1012,'Category Mapping'!$A$28:$A$39,0),1))</f>
        <v>3008571428.5714283</v>
      </c>
      <c r="Y1012" s="27">
        <f>Y432*IF($E1012="weekday",INDEX('Category Mapping'!$F$28:$F$39,MATCH('Summarized Source Data'!$A1012,'Category Mapping'!$A$28:$A$39,0),1),INDEX('Category Mapping'!$E$28:$E$39,MATCH($A1012,'Category Mapping'!$A$28:$A$39,0),1))</f>
        <v>3008571428.5714283</v>
      </c>
      <c r="Z1012" s="27">
        <f>Z432*IF($E1012="weekday",INDEX('Category Mapping'!$F$28:$F$39,MATCH('Summarized Source Data'!$A1012,'Category Mapping'!$A$28:$A$39,0),1),INDEX('Category Mapping'!$E$28:$E$39,MATCH($A1012,'Category Mapping'!$A$28:$A$39,0),1))</f>
        <v>3008571428.5714283</v>
      </c>
    </row>
    <row r="1013" spans="1:26" x14ac:dyDescent="0.3">
      <c r="A1013">
        <f t="shared" ref="A1013:E1013" si="478">A433</f>
        <v>6</v>
      </c>
      <c r="B1013" t="str">
        <f t="shared" si="478"/>
        <v>Summer</v>
      </c>
      <c r="C1013" t="str">
        <f t="shared" si="478"/>
        <v>h22</v>
      </c>
      <c r="D1013" t="str">
        <f t="shared" si="478"/>
        <v>Hour21</v>
      </c>
      <c r="E1013" t="str">
        <f t="shared" si="478"/>
        <v>Weekend</v>
      </c>
      <c r="F1013" s="27">
        <f>F433*IF($E1013="weekday",INDEX('Category Mapping'!$F$28:$F$39,MATCH('Summarized Source Data'!$A1013,'Category Mapping'!$A$28:$A$39,0),1),INDEX('Category Mapping'!$E$28:$E$39,MATCH($A1013,'Category Mapping'!$A$28:$A$39,0),1))</f>
        <v>1731874.2857142857</v>
      </c>
      <c r="G1013" s="27">
        <f>G433*IF($E1013="weekday",INDEX('Category Mapping'!$F$28:$F$39,MATCH('Summarized Source Data'!$A1013,'Category Mapping'!$A$28:$A$39,0),1),INDEX('Category Mapping'!$E$28:$E$39,MATCH($A1013,'Category Mapping'!$A$28:$A$39,0),1))</f>
        <v>90857142.857142851</v>
      </c>
      <c r="H1013" s="27">
        <f>H433*IF($E1013="weekday",INDEX('Category Mapping'!$F$28:$F$39,MATCH('Summarized Source Data'!$A1013,'Category Mapping'!$A$28:$A$39,0),1),INDEX('Category Mapping'!$E$28:$E$39,MATCH($A1013,'Category Mapping'!$A$28:$A$39,0),1))</f>
        <v>0</v>
      </c>
      <c r="I1013" s="27">
        <f>I433*IF($E1013="weekday",INDEX('Category Mapping'!$F$28:$F$39,MATCH('Summarized Source Data'!$A1013,'Category Mapping'!$A$28:$A$39,0),1),INDEX('Category Mapping'!$E$28:$E$39,MATCH($A1013,'Category Mapping'!$A$28:$A$39,0),1))</f>
        <v>207428571.42857143</v>
      </c>
      <c r="J1013" s="27">
        <f>J433*IF($E1013="weekday",INDEX('Category Mapping'!$F$28:$F$39,MATCH('Summarized Source Data'!$A1013,'Category Mapping'!$A$28:$A$39,0),1),INDEX('Category Mapping'!$E$28:$E$39,MATCH($A1013,'Category Mapping'!$A$28:$A$39,0),1))</f>
        <v>617125268.57142854</v>
      </c>
      <c r="K1013" s="27">
        <f>K433*IF($E1013="weekday",INDEX('Category Mapping'!$F$28:$F$39,MATCH('Summarized Source Data'!$A1013,'Category Mapping'!$A$28:$A$39,0),1),INDEX('Category Mapping'!$E$28:$E$39,MATCH($A1013,'Category Mapping'!$A$28:$A$39,0),1))</f>
        <v>617125268.57142854</v>
      </c>
      <c r="L1013" s="27">
        <f>L433*IF($E1013="weekday",INDEX('Category Mapping'!$F$28:$F$39,MATCH('Summarized Source Data'!$A1013,'Category Mapping'!$A$28:$A$39,0),1),INDEX('Category Mapping'!$E$28:$E$39,MATCH($A1013,'Category Mapping'!$A$28:$A$39,0),1))</f>
        <v>2836414.2857142854</v>
      </c>
      <c r="M1013" s="27">
        <f>M433*IF($E1013="weekday",INDEX('Category Mapping'!$F$28:$F$39,MATCH('Summarized Source Data'!$A1013,'Category Mapping'!$A$28:$A$39,0),1),INDEX('Category Mapping'!$E$28:$E$39,MATCH($A1013,'Category Mapping'!$A$28:$A$39,0),1))</f>
        <v>414857142.85714287</v>
      </c>
      <c r="N1013" s="27">
        <f>N433*IF($E1013="weekday",INDEX('Category Mapping'!$F$28:$F$39,MATCH('Summarized Source Data'!$A1013,'Category Mapping'!$A$28:$A$39,0),1),INDEX('Category Mapping'!$E$28:$E$39,MATCH($A1013,'Category Mapping'!$A$28:$A$39,0),1))</f>
        <v>0</v>
      </c>
      <c r="O1013" s="27">
        <f>O433*IF($E1013="weekday",INDEX('Category Mapping'!$F$28:$F$39,MATCH('Summarized Source Data'!$A1013,'Category Mapping'!$A$28:$A$39,0),1),INDEX('Category Mapping'!$E$28:$E$39,MATCH($A1013,'Category Mapping'!$A$28:$A$39,0),1))</f>
        <v>748020728.57142854</v>
      </c>
      <c r="P1013" s="27">
        <f>P433*IF($E1013="weekday",INDEX('Category Mapping'!$F$28:$F$39,MATCH('Summarized Source Data'!$A1013,'Category Mapping'!$A$28:$A$39,0),1),INDEX('Category Mapping'!$E$28:$E$39,MATCH($A1013,'Category Mapping'!$A$28:$A$39,0),1))</f>
        <v>748020728.57142854</v>
      </c>
      <c r="Q1013" s="27">
        <f>Q433*IF($E1013="weekday",INDEX('Category Mapping'!$F$28:$F$39,MATCH('Summarized Source Data'!$A1013,'Category Mapping'!$A$28:$A$39,0),1),INDEX('Category Mapping'!$E$28:$E$39,MATCH($A1013,'Category Mapping'!$A$28:$A$39,0),1))</f>
        <v>748020728.57142854</v>
      </c>
      <c r="R1013" s="27">
        <f>R433*IF($E1013="weekday",INDEX('Category Mapping'!$F$28:$F$39,MATCH('Summarized Source Data'!$A1013,'Category Mapping'!$A$28:$A$39,0),1),INDEX('Category Mapping'!$E$28:$E$39,MATCH($A1013,'Category Mapping'!$A$28:$A$39,0),1))</f>
        <v>43649871.428571425</v>
      </c>
      <c r="S1013" s="27">
        <f>S433*IF($E1013="weekday",INDEX('Category Mapping'!$F$28:$F$39,MATCH('Summarized Source Data'!$A1013,'Category Mapping'!$A$28:$A$39,0),1),INDEX('Category Mapping'!$E$28:$E$39,MATCH($A1013,'Category Mapping'!$A$28:$A$39,0),1))</f>
        <v>43649871.428571425</v>
      </c>
      <c r="T1013" s="27">
        <f>T433*IF($E1013="weekday",INDEX('Category Mapping'!$F$28:$F$39,MATCH('Summarized Source Data'!$A1013,'Category Mapping'!$A$28:$A$39,0),1),INDEX('Category Mapping'!$E$28:$E$39,MATCH($A1013,'Category Mapping'!$A$28:$A$39,0),1))</f>
        <v>43649871.428571425</v>
      </c>
      <c r="U1013" s="27">
        <f>U433*IF($E1013="weekday",INDEX('Category Mapping'!$F$28:$F$39,MATCH('Summarized Source Data'!$A1013,'Category Mapping'!$A$28:$A$39,0),1),INDEX('Category Mapping'!$E$28:$E$39,MATCH($A1013,'Category Mapping'!$A$28:$A$39,0),1))</f>
        <v>43649871.428571425</v>
      </c>
      <c r="V1013" s="27">
        <f>V433*IF($E1013="weekday",INDEX('Category Mapping'!$F$28:$F$39,MATCH('Summarized Source Data'!$A1013,'Category Mapping'!$A$28:$A$39,0),1),INDEX('Category Mapping'!$E$28:$E$39,MATCH($A1013,'Category Mapping'!$A$28:$A$39,0),1))</f>
        <v>43649871.428571425</v>
      </c>
      <c r="W1013" s="27">
        <f>W433*IF($E1013="weekday",INDEX('Category Mapping'!$F$28:$F$39,MATCH('Summarized Source Data'!$A1013,'Category Mapping'!$A$28:$A$39,0),1),INDEX('Category Mapping'!$E$28:$E$39,MATCH($A1013,'Category Mapping'!$A$28:$A$39,0),1))</f>
        <v>43649871.428571425</v>
      </c>
      <c r="X1013" s="27">
        <f>X433*IF($E1013="weekday",INDEX('Category Mapping'!$F$28:$F$39,MATCH('Summarized Source Data'!$A1013,'Category Mapping'!$A$28:$A$39,0),1),INDEX('Category Mapping'!$E$28:$E$39,MATCH($A1013,'Category Mapping'!$A$28:$A$39,0),1))</f>
        <v>2982857142.8571429</v>
      </c>
      <c r="Y1013" s="27">
        <f>Y433*IF($E1013="weekday",INDEX('Category Mapping'!$F$28:$F$39,MATCH('Summarized Source Data'!$A1013,'Category Mapping'!$A$28:$A$39,0),1),INDEX('Category Mapping'!$E$28:$E$39,MATCH($A1013,'Category Mapping'!$A$28:$A$39,0),1))</f>
        <v>2982857142.8571429</v>
      </c>
      <c r="Z1013" s="27">
        <f>Z433*IF($E1013="weekday",INDEX('Category Mapping'!$F$28:$F$39,MATCH('Summarized Source Data'!$A1013,'Category Mapping'!$A$28:$A$39,0),1),INDEX('Category Mapping'!$E$28:$E$39,MATCH($A1013,'Category Mapping'!$A$28:$A$39,0),1))</f>
        <v>2982857142.8571429</v>
      </c>
    </row>
    <row r="1014" spans="1:26" x14ac:dyDescent="0.3">
      <c r="A1014">
        <f t="shared" ref="A1014:E1014" si="479">A434</f>
        <v>6</v>
      </c>
      <c r="B1014" t="str">
        <f t="shared" si="479"/>
        <v>Summer</v>
      </c>
      <c r="C1014" t="str">
        <f t="shared" si="479"/>
        <v>h23</v>
      </c>
      <c r="D1014" t="str">
        <f t="shared" si="479"/>
        <v>Hour22</v>
      </c>
      <c r="E1014" t="str">
        <f t="shared" si="479"/>
        <v>Weekend</v>
      </c>
      <c r="F1014" s="27">
        <f>F434*IF($E1014="weekday",INDEX('Category Mapping'!$F$28:$F$39,MATCH('Summarized Source Data'!$A1014,'Category Mapping'!$A$28:$A$39,0),1),INDEX('Category Mapping'!$E$28:$E$39,MATCH($A1014,'Category Mapping'!$A$28:$A$39,0),1))</f>
        <v>1347608.5714285714</v>
      </c>
      <c r="G1014" s="27">
        <f>G434*IF($E1014="weekday",INDEX('Category Mapping'!$F$28:$F$39,MATCH('Summarized Source Data'!$A1014,'Category Mapping'!$A$28:$A$39,0),1),INDEX('Category Mapping'!$E$28:$E$39,MATCH($A1014,'Category Mapping'!$A$28:$A$39,0),1))</f>
        <v>56158354.285714284</v>
      </c>
      <c r="H1014" s="27">
        <f>H434*IF($E1014="weekday",INDEX('Category Mapping'!$F$28:$F$39,MATCH('Summarized Source Data'!$A1014,'Category Mapping'!$A$28:$A$39,0),1),INDEX('Category Mapping'!$E$28:$E$39,MATCH($A1014,'Category Mapping'!$A$28:$A$39,0),1))</f>
        <v>0</v>
      </c>
      <c r="I1014" s="27">
        <f>I434*IF($E1014="weekday",INDEX('Category Mapping'!$F$28:$F$39,MATCH('Summarized Source Data'!$A1014,'Category Mapping'!$A$28:$A$39,0),1),INDEX('Category Mapping'!$E$28:$E$39,MATCH($A1014,'Category Mapping'!$A$28:$A$39,0),1))</f>
        <v>133714285.71428572</v>
      </c>
      <c r="J1014" s="27">
        <f>J434*IF($E1014="weekday",INDEX('Category Mapping'!$F$28:$F$39,MATCH('Summarized Source Data'!$A1014,'Category Mapping'!$A$28:$A$39,0),1),INDEX('Category Mapping'!$E$28:$E$39,MATCH($A1014,'Category Mapping'!$A$28:$A$39,0),1))</f>
        <v>515922608.57142854</v>
      </c>
      <c r="K1014" s="27">
        <f>K434*IF($E1014="weekday",INDEX('Category Mapping'!$F$28:$F$39,MATCH('Summarized Source Data'!$A1014,'Category Mapping'!$A$28:$A$39,0),1),INDEX('Category Mapping'!$E$28:$E$39,MATCH($A1014,'Category Mapping'!$A$28:$A$39,0),1))</f>
        <v>515922608.57142854</v>
      </c>
      <c r="L1014" s="27">
        <f>L434*IF($E1014="weekday",INDEX('Category Mapping'!$F$28:$F$39,MATCH('Summarized Source Data'!$A1014,'Category Mapping'!$A$28:$A$39,0),1),INDEX('Category Mapping'!$E$28:$E$39,MATCH($A1014,'Category Mapping'!$A$28:$A$39,0),1))</f>
        <v>2953731.4285714286</v>
      </c>
      <c r="M1014" s="27">
        <f>M434*IF($E1014="weekday",INDEX('Category Mapping'!$F$28:$F$39,MATCH('Summarized Source Data'!$A1014,'Category Mapping'!$A$28:$A$39,0),1),INDEX('Category Mapping'!$E$28:$E$39,MATCH($A1014,'Category Mapping'!$A$28:$A$39,0),1))</f>
        <v>361714285.71428573</v>
      </c>
      <c r="N1014" s="27">
        <f>N434*IF($E1014="weekday",INDEX('Category Mapping'!$F$28:$F$39,MATCH('Summarized Source Data'!$A1014,'Category Mapping'!$A$28:$A$39,0),1),INDEX('Category Mapping'!$E$28:$E$39,MATCH($A1014,'Category Mapping'!$A$28:$A$39,0),1))</f>
        <v>0</v>
      </c>
      <c r="O1014" s="27">
        <f>O434*IF($E1014="weekday",INDEX('Category Mapping'!$F$28:$F$39,MATCH('Summarized Source Data'!$A1014,'Category Mapping'!$A$28:$A$39,0),1),INDEX('Category Mapping'!$E$28:$E$39,MATCH($A1014,'Category Mapping'!$A$28:$A$39,0),1))</f>
        <v>715331982.85714281</v>
      </c>
      <c r="P1014" s="27">
        <f>P434*IF($E1014="weekday",INDEX('Category Mapping'!$F$28:$F$39,MATCH('Summarized Source Data'!$A1014,'Category Mapping'!$A$28:$A$39,0),1),INDEX('Category Mapping'!$E$28:$E$39,MATCH($A1014,'Category Mapping'!$A$28:$A$39,0),1))</f>
        <v>715331982.85714281</v>
      </c>
      <c r="Q1014" s="27">
        <f>Q434*IF($E1014="weekday",INDEX('Category Mapping'!$F$28:$F$39,MATCH('Summarized Source Data'!$A1014,'Category Mapping'!$A$28:$A$39,0),1),INDEX('Category Mapping'!$E$28:$E$39,MATCH($A1014,'Category Mapping'!$A$28:$A$39,0),1))</f>
        <v>715331982.85714281</v>
      </c>
      <c r="R1014" s="27">
        <f>R434*IF($E1014="weekday",INDEX('Category Mapping'!$F$28:$F$39,MATCH('Summarized Source Data'!$A1014,'Category Mapping'!$A$28:$A$39,0),1),INDEX('Category Mapping'!$E$28:$E$39,MATCH($A1014,'Category Mapping'!$A$28:$A$39,0),1))</f>
        <v>43047600</v>
      </c>
      <c r="S1014" s="27">
        <f>S434*IF($E1014="weekday",INDEX('Category Mapping'!$F$28:$F$39,MATCH('Summarized Source Data'!$A1014,'Category Mapping'!$A$28:$A$39,0),1),INDEX('Category Mapping'!$E$28:$E$39,MATCH($A1014,'Category Mapping'!$A$28:$A$39,0),1))</f>
        <v>43047600</v>
      </c>
      <c r="T1014" s="27">
        <f>T434*IF($E1014="weekday",INDEX('Category Mapping'!$F$28:$F$39,MATCH('Summarized Source Data'!$A1014,'Category Mapping'!$A$28:$A$39,0),1),INDEX('Category Mapping'!$E$28:$E$39,MATCH($A1014,'Category Mapping'!$A$28:$A$39,0),1))</f>
        <v>43047600</v>
      </c>
      <c r="U1014" s="27">
        <f>U434*IF($E1014="weekday",INDEX('Category Mapping'!$F$28:$F$39,MATCH('Summarized Source Data'!$A1014,'Category Mapping'!$A$28:$A$39,0),1),INDEX('Category Mapping'!$E$28:$E$39,MATCH($A1014,'Category Mapping'!$A$28:$A$39,0),1))</f>
        <v>43047600</v>
      </c>
      <c r="V1014" s="27">
        <f>V434*IF($E1014="weekday",INDEX('Category Mapping'!$F$28:$F$39,MATCH('Summarized Source Data'!$A1014,'Category Mapping'!$A$28:$A$39,0),1),INDEX('Category Mapping'!$E$28:$E$39,MATCH($A1014,'Category Mapping'!$A$28:$A$39,0),1))</f>
        <v>43047600</v>
      </c>
      <c r="W1014" s="27">
        <f>W434*IF($E1014="weekday",INDEX('Category Mapping'!$F$28:$F$39,MATCH('Summarized Source Data'!$A1014,'Category Mapping'!$A$28:$A$39,0),1),INDEX('Category Mapping'!$E$28:$E$39,MATCH($A1014,'Category Mapping'!$A$28:$A$39,0),1))</f>
        <v>43047600</v>
      </c>
      <c r="X1014" s="27">
        <f>X434*IF($E1014="weekday",INDEX('Category Mapping'!$F$28:$F$39,MATCH('Summarized Source Data'!$A1014,'Category Mapping'!$A$28:$A$39,0),1),INDEX('Category Mapping'!$E$28:$E$39,MATCH($A1014,'Category Mapping'!$A$28:$A$39,0),1))</f>
        <v>2957142857.1428571</v>
      </c>
      <c r="Y1014" s="27">
        <f>Y434*IF($E1014="weekday",INDEX('Category Mapping'!$F$28:$F$39,MATCH('Summarized Source Data'!$A1014,'Category Mapping'!$A$28:$A$39,0),1),INDEX('Category Mapping'!$E$28:$E$39,MATCH($A1014,'Category Mapping'!$A$28:$A$39,0),1))</f>
        <v>2957142857.1428571</v>
      </c>
      <c r="Z1014" s="27">
        <f>Z434*IF($E1014="weekday",INDEX('Category Mapping'!$F$28:$F$39,MATCH('Summarized Source Data'!$A1014,'Category Mapping'!$A$28:$A$39,0),1),INDEX('Category Mapping'!$E$28:$E$39,MATCH($A1014,'Category Mapping'!$A$28:$A$39,0),1))</f>
        <v>2957142857.1428571</v>
      </c>
    </row>
    <row r="1015" spans="1:26" x14ac:dyDescent="0.3">
      <c r="A1015">
        <f t="shared" ref="A1015:E1015" si="480">A435</f>
        <v>6</v>
      </c>
      <c r="B1015" t="str">
        <f t="shared" si="480"/>
        <v>Summer</v>
      </c>
      <c r="C1015" t="str">
        <f t="shared" si="480"/>
        <v>h24</v>
      </c>
      <c r="D1015" t="str">
        <f t="shared" si="480"/>
        <v>Hour23</v>
      </c>
      <c r="E1015" t="str">
        <f t="shared" si="480"/>
        <v>Weekend</v>
      </c>
      <c r="F1015" s="27">
        <f>F435*IF($E1015="weekday",INDEX('Category Mapping'!$F$28:$F$39,MATCH('Summarized Source Data'!$A1015,'Category Mapping'!$A$28:$A$39,0),1),INDEX('Category Mapping'!$E$28:$E$39,MATCH($A1015,'Category Mapping'!$A$28:$A$39,0),1))</f>
        <v>1155754.2857142857</v>
      </c>
      <c r="G1015" s="27">
        <f>G435*IF($E1015="weekday",INDEX('Category Mapping'!$F$28:$F$39,MATCH('Summarized Source Data'!$A1015,'Category Mapping'!$A$28:$A$39,0),1),INDEX('Category Mapping'!$E$28:$E$39,MATCH($A1015,'Category Mapping'!$A$28:$A$39,0),1))</f>
        <v>27924171.428571429</v>
      </c>
      <c r="H1015" s="27">
        <f>H435*IF($E1015="weekday",INDEX('Category Mapping'!$F$28:$F$39,MATCH('Summarized Source Data'!$A1015,'Category Mapping'!$A$28:$A$39,0),1),INDEX('Category Mapping'!$E$28:$E$39,MATCH($A1015,'Category Mapping'!$A$28:$A$39,0),1))</f>
        <v>0</v>
      </c>
      <c r="I1015" s="27">
        <f>I435*IF($E1015="weekday",INDEX('Category Mapping'!$F$28:$F$39,MATCH('Summarized Source Data'!$A1015,'Category Mapping'!$A$28:$A$39,0),1),INDEX('Category Mapping'!$E$28:$E$39,MATCH($A1015,'Category Mapping'!$A$28:$A$39,0),1))</f>
        <v>74891220</v>
      </c>
      <c r="J1015" s="27">
        <f>J435*IF($E1015="weekday",INDEX('Category Mapping'!$F$28:$F$39,MATCH('Summarized Source Data'!$A1015,'Category Mapping'!$A$28:$A$39,0),1),INDEX('Category Mapping'!$E$28:$E$39,MATCH($A1015,'Category Mapping'!$A$28:$A$39,0),1))</f>
        <v>410314568.57142854</v>
      </c>
      <c r="K1015" s="27">
        <f>K435*IF($E1015="weekday",INDEX('Category Mapping'!$F$28:$F$39,MATCH('Summarized Source Data'!$A1015,'Category Mapping'!$A$28:$A$39,0),1),INDEX('Category Mapping'!$E$28:$E$39,MATCH($A1015,'Category Mapping'!$A$28:$A$39,0),1))</f>
        <v>410314568.57142854</v>
      </c>
      <c r="L1015" s="27">
        <f>L435*IF($E1015="weekday",INDEX('Category Mapping'!$F$28:$F$39,MATCH('Summarized Source Data'!$A1015,'Category Mapping'!$A$28:$A$39,0),1),INDEX('Category Mapping'!$E$28:$E$39,MATCH($A1015,'Category Mapping'!$A$28:$A$39,0),1))</f>
        <v>3119262.8571428573</v>
      </c>
      <c r="M1015" s="27">
        <f>M435*IF($E1015="weekday",INDEX('Category Mapping'!$F$28:$F$39,MATCH('Summarized Source Data'!$A1015,'Category Mapping'!$A$28:$A$39,0),1),INDEX('Category Mapping'!$E$28:$E$39,MATCH($A1015,'Category Mapping'!$A$28:$A$39,0),1))</f>
        <v>313714285.71428573</v>
      </c>
      <c r="N1015" s="27">
        <f>N435*IF($E1015="weekday",INDEX('Category Mapping'!$F$28:$F$39,MATCH('Summarized Source Data'!$A1015,'Category Mapping'!$A$28:$A$39,0),1),INDEX('Category Mapping'!$E$28:$E$39,MATCH($A1015,'Category Mapping'!$A$28:$A$39,0),1))</f>
        <v>0</v>
      </c>
      <c r="O1015" s="27">
        <f>O435*IF($E1015="weekday",INDEX('Category Mapping'!$F$28:$F$39,MATCH('Summarized Source Data'!$A1015,'Category Mapping'!$A$28:$A$39,0),1),INDEX('Category Mapping'!$E$28:$E$39,MATCH($A1015,'Category Mapping'!$A$28:$A$39,0),1))</f>
        <v>651737880</v>
      </c>
      <c r="P1015" s="27">
        <f>P435*IF($E1015="weekday",INDEX('Category Mapping'!$F$28:$F$39,MATCH('Summarized Source Data'!$A1015,'Category Mapping'!$A$28:$A$39,0),1),INDEX('Category Mapping'!$E$28:$E$39,MATCH($A1015,'Category Mapping'!$A$28:$A$39,0),1))</f>
        <v>651737880</v>
      </c>
      <c r="Q1015" s="27">
        <f>Q435*IF($E1015="weekday",INDEX('Category Mapping'!$F$28:$F$39,MATCH('Summarized Source Data'!$A1015,'Category Mapping'!$A$28:$A$39,0),1),INDEX('Category Mapping'!$E$28:$E$39,MATCH($A1015,'Category Mapping'!$A$28:$A$39,0),1))</f>
        <v>651737880</v>
      </c>
      <c r="R1015" s="27">
        <f>R435*IF($E1015="weekday",INDEX('Category Mapping'!$F$28:$F$39,MATCH('Summarized Source Data'!$A1015,'Category Mapping'!$A$28:$A$39,0),1),INDEX('Category Mapping'!$E$28:$E$39,MATCH($A1015,'Category Mapping'!$A$28:$A$39,0),1))</f>
        <v>28933740</v>
      </c>
      <c r="S1015" s="27">
        <f>S435*IF($E1015="weekday",INDEX('Category Mapping'!$F$28:$F$39,MATCH('Summarized Source Data'!$A1015,'Category Mapping'!$A$28:$A$39,0),1),INDEX('Category Mapping'!$E$28:$E$39,MATCH($A1015,'Category Mapping'!$A$28:$A$39,0),1))</f>
        <v>28933740</v>
      </c>
      <c r="T1015" s="27">
        <f>T435*IF($E1015="weekday",INDEX('Category Mapping'!$F$28:$F$39,MATCH('Summarized Source Data'!$A1015,'Category Mapping'!$A$28:$A$39,0),1),INDEX('Category Mapping'!$E$28:$E$39,MATCH($A1015,'Category Mapping'!$A$28:$A$39,0),1))</f>
        <v>28933740</v>
      </c>
      <c r="U1015" s="27">
        <f>U435*IF($E1015="weekday",INDEX('Category Mapping'!$F$28:$F$39,MATCH('Summarized Source Data'!$A1015,'Category Mapping'!$A$28:$A$39,0),1),INDEX('Category Mapping'!$E$28:$E$39,MATCH($A1015,'Category Mapping'!$A$28:$A$39,0),1))</f>
        <v>28933740</v>
      </c>
      <c r="V1015" s="27">
        <f>V435*IF($E1015="weekday",INDEX('Category Mapping'!$F$28:$F$39,MATCH('Summarized Source Data'!$A1015,'Category Mapping'!$A$28:$A$39,0),1),INDEX('Category Mapping'!$E$28:$E$39,MATCH($A1015,'Category Mapping'!$A$28:$A$39,0),1))</f>
        <v>28933740</v>
      </c>
      <c r="W1015" s="27">
        <f>W435*IF($E1015="weekday",INDEX('Category Mapping'!$F$28:$F$39,MATCH('Summarized Source Data'!$A1015,'Category Mapping'!$A$28:$A$39,0),1),INDEX('Category Mapping'!$E$28:$E$39,MATCH($A1015,'Category Mapping'!$A$28:$A$39,0),1))</f>
        <v>28933740</v>
      </c>
      <c r="X1015" s="27">
        <f>X435*IF($E1015="weekday",INDEX('Category Mapping'!$F$28:$F$39,MATCH('Summarized Source Data'!$A1015,'Category Mapping'!$A$28:$A$39,0),1),INDEX('Category Mapping'!$E$28:$E$39,MATCH($A1015,'Category Mapping'!$A$28:$A$39,0),1))</f>
        <v>2940000000</v>
      </c>
      <c r="Y1015" s="27">
        <f>Y435*IF($E1015="weekday",INDEX('Category Mapping'!$F$28:$F$39,MATCH('Summarized Source Data'!$A1015,'Category Mapping'!$A$28:$A$39,0),1),INDEX('Category Mapping'!$E$28:$E$39,MATCH($A1015,'Category Mapping'!$A$28:$A$39,0),1))</f>
        <v>2940000000</v>
      </c>
      <c r="Z1015" s="27">
        <f>Z435*IF($E1015="weekday",INDEX('Category Mapping'!$F$28:$F$39,MATCH('Summarized Source Data'!$A1015,'Category Mapping'!$A$28:$A$39,0),1),INDEX('Category Mapping'!$E$28:$E$39,MATCH($A1015,'Category Mapping'!$A$28:$A$39,0),1))</f>
        <v>2940000000</v>
      </c>
    </row>
    <row r="1016" spans="1:26" x14ac:dyDescent="0.3">
      <c r="A1016">
        <f t="shared" ref="A1016:E1016" si="481">A436</f>
        <v>7</v>
      </c>
      <c r="B1016" t="str">
        <f t="shared" si="481"/>
        <v>Summer</v>
      </c>
      <c r="C1016" t="str">
        <f t="shared" si="481"/>
        <v>h1</v>
      </c>
      <c r="D1016" t="str">
        <f t="shared" si="481"/>
        <v>Hour0</v>
      </c>
      <c r="E1016" t="str">
        <f t="shared" si="481"/>
        <v>Weekend</v>
      </c>
      <c r="F1016" s="27">
        <f>F436*IF($E1016="weekday",INDEX('Category Mapping'!$F$28:$F$39,MATCH('Summarized Source Data'!$A1016,'Category Mapping'!$A$28:$A$39,0),1),INDEX('Category Mapping'!$E$28:$E$39,MATCH($A1016,'Category Mapping'!$A$28:$A$39,0),1))</f>
        <v>234988.8571428571</v>
      </c>
      <c r="G1016" s="27">
        <f>G436*IF($E1016="weekday",INDEX('Category Mapping'!$F$28:$F$39,MATCH('Summarized Source Data'!$A1016,'Category Mapping'!$A$28:$A$39,0),1),INDEX('Category Mapping'!$E$28:$E$39,MATCH($A1016,'Category Mapping'!$A$28:$A$39,0),1))</f>
        <v>216114285.71428567</v>
      </c>
      <c r="H1016" s="27">
        <f>H436*IF($E1016="weekday",INDEX('Category Mapping'!$F$28:$F$39,MATCH('Summarized Source Data'!$A1016,'Category Mapping'!$A$28:$A$39,0),1),INDEX('Category Mapping'!$E$28:$E$39,MATCH($A1016,'Category Mapping'!$A$28:$A$39,0),1))</f>
        <v>0</v>
      </c>
      <c r="I1016" s="27">
        <f>I436*IF($E1016="weekday",INDEX('Category Mapping'!$F$28:$F$39,MATCH('Summarized Source Data'!$A1016,'Category Mapping'!$A$28:$A$39,0),1),INDEX('Category Mapping'!$E$28:$E$39,MATCH($A1016,'Category Mapping'!$A$28:$A$39,0),1))</f>
        <v>52279241.428571418</v>
      </c>
      <c r="J1016" s="27">
        <f>J436*IF($E1016="weekday",INDEX('Category Mapping'!$F$28:$F$39,MATCH('Summarized Source Data'!$A1016,'Category Mapping'!$A$28:$A$39,0),1),INDEX('Category Mapping'!$E$28:$E$39,MATCH($A1016,'Category Mapping'!$A$28:$A$39,0),1))</f>
        <v>332771483.99999994</v>
      </c>
      <c r="K1016" s="27">
        <f>K436*IF($E1016="weekday",INDEX('Category Mapping'!$F$28:$F$39,MATCH('Summarized Source Data'!$A1016,'Category Mapping'!$A$28:$A$39,0),1),INDEX('Category Mapping'!$E$28:$E$39,MATCH($A1016,'Category Mapping'!$A$28:$A$39,0),1))</f>
        <v>332771483.99999994</v>
      </c>
      <c r="L1016" s="27">
        <f>L436*IF($E1016="weekday",INDEX('Category Mapping'!$F$28:$F$39,MATCH('Summarized Source Data'!$A1016,'Category Mapping'!$A$28:$A$39,0),1),INDEX('Category Mapping'!$E$28:$E$39,MATCH($A1016,'Category Mapping'!$A$28:$A$39,0),1))</f>
        <v>560860.85714285704</v>
      </c>
      <c r="M1016" s="27">
        <f>M436*IF($E1016="weekday",INDEX('Category Mapping'!$F$28:$F$39,MATCH('Summarized Source Data'!$A1016,'Category Mapping'!$A$28:$A$39,0),1),INDEX('Category Mapping'!$E$28:$E$39,MATCH($A1016,'Category Mapping'!$A$28:$A$39,0),1))</f>
        <v>929999999.99999988</v>
      </c>
      <c r="N1016" s="27">
        <f>N436*IF($E1016="weekday",INDEX('Category Mapping'!$F$28:$F$39,MATCH('Summarized Source Data'!$A1016,'Category Mapping'!$A$28:$A$39,0),1),INDEX('Category Mapping'!$E$28:$E$39,MATCH($A1016,'Category Mapping'!$A$28:$A$39,0),1))</f>
        <v>0</v>
      </c>
      <c r="O1016" s="27">
        <f>O436*IF($E1016="weekday",INDEX('Category Mapping'!$F$28:$F$39,MATCH('Summarized Source Data'!$A1016,'Category Mapping'!$A$28:$A$39,0),1),INDEX('Category Mapping'!$E$28:$E$39,MATCH($A1016,'Category Mapping'!$A$28:$A$39,0),1))</f>
        <v>681439139.14285707</v>
      </c>
      <c r="P1016" s="27">
        <f>P436*IF($E1016="weekday",INDEX('Category Mapping'!$F$28:$F$39,MATCH('Summarized Source Data'!$A1016,'Category Mapping'!$A$28:$A$39,0),1),INDEX('Category Mapping'!$E$28:$E$39,MATCH($A1016,'Category Mapping'!$A$28:$A$39,0),1))</f>
        <v>681439139.14285707</v>
      </c>
      <c r="Q1016" s="27">
        <f>Q436*IF($E1016="weekday",INDEX('Category Mapping'!$F$28:$F$39,MATCH('Summarized Source Data'!$A1016,'Category Mapping'!$A$28:$A$39,0),1),INDEX('Category Mapping'!$E$28:$E$39,MATCH($A1016,'Category Mapping'!$A$28:$A$39,0),1))</f>
        <v>681439139.14285707</v>
      </c>
      <c r="R1016" s="27">
        <f>R436*IF($E1016="weekday",INDEX('Category Mapping'!$F$28:$F$39,MATCH('Summarized Source Data'!$A1016,'Category Mapping'!$A$28:$A$39,0),1),INDEX('Category Mapping'!$E$28:$E$39,MATCH($A1016,'Category Mapping'!$A$28:$A$39,0),1))</f>
        <v>20871175.142857138</v>
      </c>
      <c r="S1016" s="27">
        <f>S436*IF($E1016="weekday",INDEX('Category Mapping'!$F$28:$F$39,MATCH('Summarized Source Data'!$A1016,'Category Mapping'!$A$28:$A$39,0),1),INDEX('Category Mapping'!$E$28:$E$39,MATCH($A1016,'Category Mapping'!$A$28:$A$39,0),1))</f>
        <v>20871175.142857138</v>
      </c>
      <c r="T1016" s="27">
        <f>T436*IF($E1016="weekday",INDEX('Category Mapping'!$F$28:$F$39,MATCH('Summarized Source Data'!$A1016,'Category Mapping'!$A$28:$A$39,0),1),INDEX('Category Mapping'!$E$28:$E$39,MATCH($A1016,'Category Mapping'!$A$28:$A$39,0),1))</f>
        <v>20871175.142857138</v>
      </c>
      <c r="U1016" s="27">
        <f>U436*IF($E1016="weekday",INDEX('Category Mapping'!$F$28:$F$39,MATCH('Summarized Source Data'!$A1016,'Category Mapping'!$A$28:$A$39,0),1),INDEX('Category Mapping'!$E$28:$E$39,MATCH($A1016,'Category Mapping'!$A$28:$A$39,0),1))</f>
        <v>20871175.142857138</v>
      </c>
      <c r="V1016" s="27">
        <f>V436*IF($E1016="weekday",INDEX('Category Mapping'!$F$28:$F$39,MATCH('Summarized Source Data'!$A1016,'Category Mapping'!$A$28:$A$39,0),1),INDEX('Category Mapping'!$E$28:$E$39,MATCH($A1016,'Category Mapping'!$A$28:$A$39,0),1))</f>
        <v>20871175.142857138</v>
      </c>
      <c r="W1016" s="27">
        <f>W436*IF($E1016="weekday",INDEX('Category Mapping'!$F$28:$F$39,MATCH('Summarized Source Data'!$A1016,'Category Mapping'!$A$28:$A$39,0),1),INDEX('Category Mapping'!$E$28:$E$39,MATCH($A1016,'Category Mapping'!$A$28:$A$39,0),1))</f>
        <v>20871175.142857138</v>
      </c>
      <c r="X1016" s="27">
        <f>X436*IF($E1016="weekday",INDEX('Category Mapping'!$F$28:$F$39,MATCH('Summarized Source Data'!$A1016,'Category Mapping'!$A$28:$A$39,0),1),INDEX('Category Mapping'!$E$28:$E$39,MATCH($A1016,'Category Mapping'!$A$28:$A$39,0),1))</f>
        <v>2834285714.2857137</v>
      </c>
      <c r="Y1016" s="27">
        <f>Y436*IF($E1016="weekday",INDEX('Category Mapping'!$F$28:$F$39,MATCH('Summarized Source Data'!$A1016,'Category Mapping'!$A$28:$A$39,0),1),INDEX('Category Mapping'!$E$28:$E$39,MATCH($A1016,'Category Mapping'!$A$28:$A$39,0),1))</f>
        <v>2834285714.2857137</v>
      </c>
      <c r="Z1016" s="27">
        <f>Z436*IF($E1016="weekday",INDEX('Category Mapping'!$F$28:$F$39,MATCH('Summarized Source Data'!$A1016,'Category Mapping'!$A$28:$A$39,0),1),INDEX('Category Mapping'!$E$28:$E$39,MATCH($A1016,'Category Mapping'!$A$28:$A$39,0),1))</f>
        <v>2834285714.2857137</v>
      </c>
    </row>
    <row r="1017" spans="1:26" x14ac:dyDescent="0.3">
      <c r="A1017">
        <f t="shared" ref="A1017:E1017" si="482">A437</f>
        <v>7</v>
      </c>
      <c r="B1017" t="str">
        <f t="shared" si="482"/>
        <v>Summer</v>
      </c>
      <c r="C1017" t="str">
        <f t="shared" si="482"/>
        <v>h2</v>
      </c>
      <c r="D1017" t="str">
        <f t="shared" si="482"/>
        <v>Hour1</v>
      </c>
      <c r="E1017" t="str">
        <f t="shared" si="482"/>
        <v>Weekend</v>
      </c>
      <c r="F1017" s="27">
        <f>F437*IF($E1017="weekday",INDEX('Category Mapping'!$F$28:$F$39,MATCH('Summarized Source Data'!$A1017,'Category Mapping'!$A$28:$A$39,0),1),INDEX('Category Mapping'!$E$28:$E$39,MATCH($A1017,'Category Mapping'!$A$28:$A$39,0),1))</f>
        <v>234988.8571428571</v>
      </c>
      <c r="G1017" s="27">
        <f>G437*IF($E1017="weekday",INDEX('Category Mapping'!$F$28:$F$39,MATCH('Summarized Source Data'!$A1017,'Category Mapping'!$A$28:$A$39,0),1),INDEX('Category Mapping'!$E$28:$E$39,MATCH($A1017,'Category Mapping'!$A$28:$A$39,0),1))</f>
        <v>200171428.57142854</v>
      </c>
      <c r="H1017" s="27">
        <f>H437*IF($E1017="weekday",INDEX('Category Mapping'!$F$28:$F$39,MATCH('Summarized Source Data'!$A1017,'Category Mapping'!$A$28:$A$39,0),1),INDEX('Category Mapping'!$E$28:$E$39,MATCH($A1017,'Category Mapping'!$A$28:$A$39,0),1))</f>
        <v>0</v>
      </c>
      <c r="I1017" s="27">
        <f>I437*IF($E1017="weekday",INDEX('Category Mapping'!$F$28:$F$39,MATCH('Summarized Source Data'!$A1017,'Category Mapping'!$A$28:$A$39,0),1),INDEX('Category Mapping'!$E$28:$E$39,MATCH($A1017,'Category Mapping'!$A$28:$A$39,0),1))</f>
        <v>45168939.714285709</v>
      </c>
      <c r="J1017" s="27">
        <f>J437*IF($E1017="weekday",INDEX('Category Mapping'!$F$28:$F$39,MATCH('Summarized Source Data'!$A1017,'Category Mapping'!$A$28:$A$39,0),1),INDEX('Category Mapping'!$E$28:$E$39,MATCH($A1017,'Category Mapping'!$A$28:$A$39,0),1))</f>
        <v>258396071.4285714</v>
      </c>
      <c r="K1017" s="27">
        <f>K437*IF($E1017="weekday",INDEX('Category Mapping'!$F$28:$F$39,MATCH('Summarized Source Data'!$A1017,'Category Mapping'!$A$28:$A$39,0),1),INDEX('Category Mapping'!$E$28:$E$39,MATCH($A1017,'Category Mapping'!$A$28:$A$39,0),1))</f>
        <v>258396071.4285714</v>
      </c>
      <c r="L1017" s="27">
        <f>L437*IF($E1017="weekday",INDEX('Category Mapping'!$F$28:$F$39,MATCH('Summarized Source Data'!$A1017,'Category Mapping'!$A$28:$A$39,0),1),INDEX('Category Mapping'!$E$28:$E$39,MATCH($A1017,'Category Mapping'!$A$28:$A$39,0),1))</f>
        <v>560860.85714285704</v>
      </c>
      <c r="M1017" s="27">
        <f>M437*IF($E1017="weekday",INDEX('Category Mapping'!$F$28:$F$39,MATCH('Summarized Source Data'!$A1017,'Category Mapping'!$A$28:$A$39,0),1),INDEX('Category Mapping'!$E$28:$E$39,MATCH($A1017,'Category Mapping'!$A$28:$A$39,0),1))</f>
        <v>885714285.71428561</v>
      </c>
      <c r="N1017" s="27">
        <f>N437*IF($E1017="weekday",INDEX('Category Mapping'!$F$28:$F$39,MATCH('Summarized Source Data'!$A1017,'Category Mapping'!$A$28:$A$39,0),1),INDEX('Category Mapping'!$E$28:$E$39,MATCH($A1017,'Category Mapping'!$A$28:$A$39,0),1))</f>
        <v>0</v>
      </c>
      <c r="O1017" s="27">
        <f>O437*IF($E1017="weekday",INDEX('Category Mapping'!$F$28:$F$39,MATCH('Summarized Source Data'!$A1017,'Category Mapping'!$A$28:$A$39,0),1),INDEX('Category Mapping'!$E$28:$E$39,MATCH($A1017,'Category Mapping'!$A$28:$A$39,0),1))</f>
        <v>601724853.42857134</v>
      </c>
      <c r="P1017" s="27">
        <f>P437*IF($E1017="weekday",INDEX('Category Mapping'!$F$28:$F$39,MATCH('Summarized Source Data'!$A1017,'Category Mapping'!$A$28:$A$39,0),1),INDEX('Category Mapping'!$E$28:$E$39,MATCH($A1017,'Category Mapping'!$A$28:$A$39,0),1))</f>
        <v>601724853.42857134</v>
      </c>
      <c r="Q1017" s="27">
        <f>Q437*IF($E1017="weekday",INDEX('Category Mapping'!$F$28:$F$39,MATCH('Summarized Source Data'!$A1017,'Category Mapping'!$A$28:$A$39,0),1),INDEX('Category Mapping'!$E$28:$E$39,MATCH($A1017,'Category Mapping'!$A$28:$A$39,0),1))</f>
        <v>601724853.42857134</v>
      </c>
      <c r="R1017" s="27">
        <f>R437*IF($E1017="weekday",INDEX('Category Mapping'!$F$28:$F$39,MATCH('Summarized Source Data'!$A1017,'Category Mapping'!$A$28:$A$39,0),1),INDEX('Category Mapping'!$E$28:$E$39,MATCH($A1017,'Category Mapping'!$A$28:$A$39,0),1))</f>
        <v>19730197.999999996</v>
      </c>
      <c r="S1017" s="27">
        <f>S437*IF($E1017="weekday",INDEX('Category Mapping'!$F$28:$F$39,MATCH('Summarized Source Data'!$A1017,'Category Mapping'!$A$28:$A$39,0),1),INDEX('Category Mapping'!$E$28:$E$39,MATCH($A1017,'Category Mapping'!$A$28:$A$39,0),1))</f>
        <v>19730197.999999996</v>
      </c>
      <c r="T1017" s="27">
        <f>T437*IF($E1017="weekday",INDEX('Category Mapping'!$F$28:$F$39,MATCH('Summarized Source Data'!$A1017,'Category Mapping'!$A$28:$A$39,0),1),INDEX('Category Mapping'!$E$28:$E$39,MATCH($A1017,'Category Mapping'!$A$28:$A$39,0),1))</f>
        <v>19730197.999999996</v>
      </c>
      <c r="U1017" s="27">
        <f>U437*IF($E1017="weekday",INDEX('Category Mapping'!$F$28:$F$39,MATCH('Summarized Source Data'!$A1017,'Category Mapping'!$A$28:$A$39,0),1),INDEX('Category Mapping'!$E$28:$E$39,MATCH($A1017,'Category Mapping'!$A$28:$A$39,0),1))</f>
        <v>19730197.999999996</v>
      </c>
      <c r="V1017" s="27">
        <f>V437*IF($E1017="weekday",INDEX('Category Mapping'!$F$28:$F$39,MATCH('Summarized Source Data'!$A1017,'Category Mapping'!$A$28:$A$39,0),1),INDEX('Category Mapping'!$E$28:$E$39,MATCH($A1017,'Category Mapping'!$A$28:$A$39,0),1))</f>
        <v>19730197.999999996</v>
      </c>
      <c r="W1017" s="27">
        <f>W437*IF($E1017="weekday",INDEX('Category Mapping'!$F$28:$F$39,MATCH('Summarized Source Data'!$A1017,'Category Mapping'!$A$28:$A$39,0),1),INDEX('Category Mapping'!$E$28:$E$39,MATCH($A1017,'Category Mapping'!$A$28:$A$39,0),1))</f>
        <v>19730197.999999996</v>
      </c>
      <c r="X1017" s="27">
        <f>X437*IF($E1017="weekday",INDEX('Category Mapping'!$F$28:$F$39,MATCH('Summarized Source Data'!$A1017,'Category Mapping'!$A$28:$A$39,0),1),INDEX('Category Mapping'!$E$28:$E$39,MATCH($A1017,'Category Mapping'!$A$28:$A$39,0),1))</f>
        <v>2834285714.2857137</v>
      </c>
      <c r="Y1017" s="27">
        <f>Y437*IF($E1017="weekday",INDEX('Category Mapping'!$F$28:$F$39,MATCH('Summarized Source Data'!$A1017,'Category Mapping'!$A$28:$A$39,0),1),INDEX('Category Mapping'!$E$28:$E$39,MATCH($A1017,'Category Mapping'!$A$28:$A$39,0),1))</f>
        <v>2834285714.2857137</v>
      </c>
      <c r="Z1017" s="27">
        <f>Z437*IF($E1017="weekday",INDEX('Category Mapping'!$F$28:$F$39,MATCH('Summarized Source Data'!$A1017,'Category Mapping'!$A$28:$A$39,0),1),INDEX('Category Mapping'!$E$28:$E$39,MATCH($A1017,'Category Mapping'!$A$28:$A$39,0),1))</f>
        <v>2834285714.2857137</v>
      </c>
    </row>
    <row r="1018" spans="1:26" x14ac:dyDescent="0.3">
      <c r="A1018">
        <f t="shared" ref="A1018:E1018" si="483">A438</f>
        <v>7</v>
      </c>
      <c r="B1018" t="str">
        <f t="shared" si="483"/>
        <v>Summer</v>
      </c>
      <c r="C1018" t="str">
        <f t="shared" si="483"/>
        <v>h3</v>
      </c>
      <c r="D1018" t="str">
        <f t="shared" si="483"/>
        <v>Hour2</v>
      </c>
      <c r="E1018" t="str">
        <f t="shared" si="483"/>
        <v>Weekend</v>
      </c>
      <c r="F1018" s="27">
        <f>F438*IF($E1018="weekday",INDEX('Category Mapping'!$F$28:$F$39,MATCH('Summarized Source Data'!$A1018,'Category Mapping'!$A$28:$A$39,0),1),INDEX('Category Mapping'!$E$28:$E$39,MATCH($A1018,'Category Mapping'!$A$28:$A$39,0),1))</f>
        <v>234988.8571428571</v>
      </c>
      <c r="G1018" s="27">
        <f>G438*IF($E1018="weekday",INDEX('Category Mapping'!$F$28:$F$39,MATCH('Summarized Source Data'!$A1018,'Category Mapping'!$A$28:$A$39,0),1),INDEX('Category Mapping'!$E$28:$E$39,MATCH($A1018,'Category Mapping'!$A$28:$A$39,0),1))</f>
        <v>195742857.1428571</v>
      </c>
      <c r="H1018" s="27">
        <f>H438*IF($E1018="weekday",INDEX('Category Mapping'!$F$28:$F$39,MATCH('Summarized Source Data'!$A1018,'Category Mapping'!$A$28:$A$39,0),1),INDEX('Category Mapping'!$E$28:$E$39,MATCH($A1018,'Category Mapping'!$A$28:$A$39,0),1))</f>
        <v>0</v>
      </c>
      <c r="I1018" s="27">
        <f>I438*IF($E1018="weekday",INDEX('Category Mapping'!$F$28:$F$39,MATCH('Summarized Source Data'!$A1018,'Category Mapping'!$A$28:$A$39,0),1),INDEX('Category Mapping'!$E$28:$E$39,MATCH($A1018,'Category Mapping'!$A$28:$A$39,0),1))</f>
        <v>43625068.857142851</v>
      </c>
      <c r="J1018" s="27">
        <f>J438*IF($E1018="weekday",INDEX('Category Mapping'!$F$28:$F$39,MATCH('Summarized Source Data'!$A1018,'Category Mapping'!$A$28:$A$39,0),1),INDEX('Category Mapping'!$E$28:$E$39,MATCH($A1018,'Category Mapping'!$A$28:$A$39,0),1))</f>
        <v>203254227.99999997</v>
      </c>
      <c r="K1018" s="27">
        <f>K438*IF($E1018="weekday",INDEX('Category Mapping'!$F$28:$F$39,MATCH('Summarized Source Data'!$A1018,'Category Mapping'!$A$28:$A$39,0),1),INDEX('Category Mapping'!$E$28:$E$39,MATCH($A1018,'Category Mapping'!$A$28:$A$39,0),1))</f>
        <v>203254227.99999997</v>
      </c>
      <c r="L1018" s="27">
        <f>L438*IF($E1018="weekday",INDEX('Category Mapping'!$F$28:$F$39,MATCH('Summarized Source Data'!$A1018,'Category Mapping'!$A$28:$A$39,0),1),INDEX('Category Mapping'!$E$28:$E$39,MATCH($A1018,'Category Mapping'!$A$28:$A$39,0),1))</f>
        <v>560860.85714285704</v>
      </c>
      <c r="M1018" s="27">
        <f>M438*IF($E1018="weekday",INDEX('Category Mapping'!$F$28:$F$39,MATCH('Summarized Source Data'!$A1018,'Category Mapping'!$A$28:$A$39,0),1),INDEX('Category Mapping'!$E$28:$E$39,MATCH($A1018,'Category Mapping'!$A$28:$A$39,0),1))</f>
        <v>874199999.99999988</v>
      </c>
      <c r="N1018" s="27">
        <f>N438*IF($E1018="weekday",INDEX('Category Mapping'!$F$28:$F$39,MATCH('Summarized Source Data'!$A1018,'Category Mapping'!$A$28:$A$39,0),1),INDEX('Category Mapping'!$E$28:$E$39,MATCH($A1018,'Category Mapping'!$A$28:$A$39,0),1))</f>
        <v>0</v>
      </c>
      <c r="O1018" s="27">
        <f>O438*IF($E1018="weekday",INDEX('Category Mapping'!$F$28:$F$39,MATCH('Summarized Source Data'!$A1018,'Category Mapping'!$A$28:$A$39,0),1),INDEX('Category Mapping'!$E$28:$E$39,MATCH($A1018,'Category Mapping'!$A$28:$A$39,0),1))</f>
        <v>586667710.57142854</v>
      </c>
      <c r="P1018" s="27">
        <f>P438*IF($E1018="weekday",INDEX('Category Mapping'!$F$28:$F$39,MATCH('Summarized Source Data'!$A1018,'Category Mapping'!$A$28:$A$39,0),1),INDEX('Category Mapping'!$E$28:$E$39,MATCH($A1018,'Category Mapping'!$A$28:$A$39,0),1))</f>
        <v>586667710.57142854</v>
      </c>
      <c r="Q1018" s="27">
        <f>Q438*IF($E1018="weekday",INDEX('Category Mapping'!$F$28:$F$39,MATCH('Summarized Source Data'!$A1018,'Category Mapping'!$A$28:$A$39,0),1),INDEX('Category Mapping'!$E$28:$E$39,MATCH($A1018,'Category Mapping'!$A$28:$A$39,0),1))</f>
        <v>586667710.57142854</v>
      </c>
      <c r="R1018" s="27">
        <f>R438*IF($E1018="weekday",INDEX('Category Mapping'!$F$28:$F$39,MATCH('Summarized Source Data'!$A1018,'Category Mapping'!$A$28:$A$39,0),1),INDEX('Category Mapping'!$E$28:$E$39,MATCH($A1018,'Category Mapping'!$A$28:$A$39,0),1))</f>
        <v>19419019.999999996</v>
      </c>
      <c r="S1018" s="27">
        <f>S438*IF($E1018="weekday",INDEX('Category Mapping'!$F$28:$F$39,MATCH('Summarized Source Data'!$A1018,'Category Mapping'!$A$28:$A$39,0),1),INDEX('Category Mapping'!$E$28:$E$39,MATCH($A1018,'Category Mapping'!$A$28:$A$39,0),1))</f>
        <v>19419019.999999996</v>
      </c>
      <c r="T1018" s="27">
        <f>T438*IF($E1018="weekday",INDEX('Category Mapping'!$F$28:$F$39,MATCH('Summarized Source Data'!$A1018,'Category Mapping'!$A$28:$A$39,0),1),INDEX('Category Mapping'!$E$28:$E$39,MATCH($A1018,'Category Mapping'!$A$28:$A$39,0),1))</f>
        <v>19419019.999999996</v>
      </c>
      <c r="U1018" s="27">
        <f>U438*IF($E1018="weekday",INDEX('Category Mapping'!$F$28:$F$39,MATCH('Summarized Source Data'!$A1018,'Category Mapping'!$A$28:$A$39,0),1),INDEX('Category Mapping'!$E$28:$E$39,MATCH($A1018,'Category Mapping'!$A$28:$A$39,0),1))</f>
        <v>19419019.999999996</v>
      </c>
      <c r="V1018" s="27">
        <f>V438*IF($E1018="weekday",INDEX('Category Mapping'!$F$28:$F$39,MATCH('Summarized Source Data'!$A1018,'Category Mapping'!$A$28:$A$39,0),1),INDEX('Category Mapping'!$E$28:$E$39,MATCH($A1018,'Category Mapping'!$A$28:$A$39,0),1))</f>
        <v>19419019.999999996</v>
      </c>
      <c r="W1018" s="27">
        <f>W438*IF($E1018="weekday",INDEX('Category Mapping'!$F$28:$F$39,MATCH('Summarized Source Data'!$A1018,'Category Mapping'!$A$28:$A$39,0),1),INDEX('Category Mapping'!$E$28:$E$39,MATCH($A1018,'Category Mapping'!$A$28:$A$39,0),1))</f>
        <v>19419019.999999996</v>
      </c>
      <c r="X1018" s="27">
        <f>X438*IF($E1018="weekday",INDEX('Category Mapping'!$F$28:$F$39,MATCH('Summarized Source Data'!$A1018,'Category Mapping'!$A$28:$A$39,0),1),INDEX('Category Mapping'!$E$28:$E$39,MATCH($A1018,'Category Mapping'!$A$28:$A$39,0),1))</f>
        <v>2834285714.2857137</v>
      </c>
      <c r="Y1018" s="27">
        <f>Y438*IF($E1018="weekday",INDEX('Category Mapping'!$F$28:$F$39,MATCH('Summarized Source Data'!$A1018,'Category Mapping'!$A$28:$A$39,0),1),INDEX('Category Mapping'!$E$28:$E$39,MATCH($A1018,'Category Mapping'!$A$28:$A$39,0),1))</f>
        <v>2834285714.2857137</v>
      </c>
      <c r="Z1018" s="27">
        <f>Z438*IF($E1018="weekday",INDEX('Category Mapping'!$F$28:$F$39,MATCH('Summarized Source Data'!$A1018,'Category Mapping'!$A$28:$A$39,0),1),INDEX('Category Mapping'!$E$28:$E$39,MATCH($A1018,'Category Mapping'!$A$28:$A$39,0),1))</f>
        <v>2834285714.2857137</v>
      </c>
    </row>
    <row r="1019" spans="1:26" x14ac:dyDescent="0.3">
      <c r="A1019">
        <f t="shared" ref="A1019:E1019" si="484">A439</f>
        <v>7</v>
      </c>
      <c r="B1019" t="str">
        <f t="shared" si="484"/>
        <v>Summer</v>
      </c>
      <c r="C1019" t="str">
        <f t="shared" si="484"/>
        <v>h4</v>
      </c>
      <c r="D1019" t="str">
        <f t="shared" si="484"/>
        <v>Hour3</v>
      </c>
      <c r="E1019" t="str">
        <f t="shared" si="484"/>
        <v>Weekend</v>
      </c>
      <c r="F1019" s="27">
        <f>F439*IF($E1019="weekday",INDEX('Category Mapping'!$F$28:$F$39,MATCH('Summarized Source Data'!$A1019,'Category Mapping'!$A$28:$A$39,0),1),INDEX('Category Mapping'!$E$28:$E$39,MATCH($A1019,'Category Mapping'!$A$28:$A$39,0),1))</f>
        <v>234988.8571428571</v>
      </c>
      <c r="G1019" s="27">
        <f>G439*IF($E1019="weekday",INDEX('Category Mapping'!$F$28:$F$39,MATCH('Summarized Source Data'!$A1019,'Category Mapping'!$A$28:$A$39,0),1),INDEX('Category Mapping'!$E$28:$E$39,MATCH($A1019,'Category Mapping'!$A$28:$A$39,0),1))</f>
        <v>202828571.4285714</v>
      </c>
      <c r="H1019" s="27">
        <f>H439*IF($E1019="weekday",INDEX('Category Mapping'!$F$28:$F$39,MATCH('Summarized Source Data'!$A1019,'Category Mapping'!$A$28:$A$39,0),1),INDEX('Category Mapping'!$E$28:$E$39,MATCH($A1019,'Category Mapping'!$A$28:$A$39,0),1))</f>
        <v>0</v>
      </c>
      <c r="I1019" s="27">
        <f>I439*IF($E1019="weekday",INDEX('Category Mapping'!$F$28:$F$39,MATCH('Summarized Source Data'!$A1019,'Category Mapping'!$A$28:$A$39,0),1),INDEX('Category Mapping'!$E$28:$E$39,MATCH($A1019,'Category Mapping'!$A$28:$A$39,0),1))</f>
        <v>43588249.714285709</v>
      </c>
      <c r="J1019" s="27">
        <f>J439*IF($E1019="weekday",INDEX('Category Mapping'!$F$28:$F$39,MATCH('Summarized Source Data'!$A1019,'Category Mapping'!$A$28:$A$39,0),1),INDEX('Category Mapping'!$E$28:$E$39,MATCH($A1019,'Category Mapping'!$A$28:$A$39,0),1))</f>
        <v>168748189.99999997</v>
      </c>
      <c r="K1019" s="27">
        <f>K439*IF($E1019="weekday",INDEX('Category Mapping'!$F$28:$F$39,MATCH('Summarized Source Data'!$A1019,'Category Mapping'!$A$28:$A$39,0),1),INDEX('Category Mapping'!$E$28:$E$39,MATCH($A1019,'Category Mapping'!$A$28:$A$39,0),1))</f>
        <v>168748189.99999997</v>
      </c>
      <c r="L1019" s="27">
        <f>L439*IF($E1019="weekday",INDEX('Category Mapping'!$F$28:$F$39,MATCH('Summarized Source Data'!$A1019,'Category Mapping'!$A$28:$A$39,0),1),INDEX('Category Mapping'!$E$28:$E$39,MATCH($A1019,'Category Mapping'!$A$28:$A$39,0),1))</f>
        <v>560860.85714285704</v>
      </c>
      <c r="M1019" s="27">
        <f>M439*IF($E1019="weekday",INDEX('Category Mapping'!$F$28:$F$39,MATCH('Summarized Source Data'!$A1019,'Category Mapping'!$A$28:$A$39,0),1),INDEX('Category Mapping'!$E$28:$E$39,MATCH($A1019,'Category Mapping'!$A$28:$A$39,0),1))</f>
        <v>882171428.57142842</v>
      </c>
      <c r="N1019" s="27">
        <f>N439*IF($E1019="weekday",INDEX('Category Mapping'!$F$28:$F$39,MATCH('Summarized Source Data'!$A1019,'Category Mapping'!$A$28:$A$39,0),1),INDEX('Category Mapping'!$E$28:$E$39,MATCH($A1019,'Category Mapping'!$A$28:$A$39,0),1))</f>
        <v>0</v>
      </c>
      <c r="O1019" s="27">
        <f>O439*IF($E1019="weekday",INDEX('Category Mapping'!$F$28:$F$39,MATCH('Summarized Source Data'!$A1019,'Category Mapping'!$A$28:$A$39,0),1),INDEX('Category Mapping'!$E$28:$E$39,MATCH($A1019,'Category Mapping'!$A$28:$A$39,0),1))</f>
        <v>596410567.71428561</v>
      </c>
      <c r="P1019" s="27">
        <f>P439*IF($E1019="weekday",INDEX('Category Mapping'!$F$28:$F$39,MATCH('Summarized Source Data'!$A1019,'Category Mapping'!$A$28:$A$39,0),1),INDEX('Category Mapping'!$E$28:$E$39,MATCH($A1019,'Category Mapping'!$A$28:$A$39,0),1))</f>
        <v>596410567.71428561</v>
      </c>
      <c r="Q1019" s="27">
        <f>Q439*IF($E1019="weekday",INDEX('Category Mapping'!$F$28:$F$39,MATCH('Summarized Source Data'!$A1019,'Category Mapping'!$A$28:$A$39,0),1),INDEX('Category Mapping'!$E$28:$E$39,MATCH($A1019,'Category Mapping'!$A$28:$A$39,0),1))</f>
        <v>596410567.71428561</v>
      </c>
      <c r="R1019" s="27">
        <f>R439*IF($E1019="weekday",INDEX('Category Mapping'!$F$28:$F$39,MATCH('Summarized Source Data'!$A1019,'Category Mapping'!$A$28:$A$39,0),1),INDEX('Category Mapping'!$E$28:$E$39,MATCH($A1019,'Category Mapping'!$A$28:$A$39,0),1))</f>
        <v>19419019.999999996</v>
      </c>
      <c r="S1019" s="27">
        <f>S439*IF($E1019="weekday",INDEX('Category Mapping'!$F$28:$F$39,MATCH('Summarized Source Data'!$A1019,'Category Mapping'!$A$28:$A$39,0),1),INDEX('Category Mapping'!$E$28:$E$39,MATCH($A1019,'Category Mapping'!$A$28:$A$39,0),1))</f>
        <v>19419019.999999996</v>
      </c>
      <c r="T1019" s="27">
        <f>T439*IF($E1019="weekday",INDEX('Category Mapping'!$F$28:$F$39,MATCH('Summarized Source Data'!$A1019,'Category Mapping'!$A$28:$A$39,0),1),INDEX('Category Mapping'!$E$28:$E$39,MATCH($A1019,'Category Mapping'!$A$28:$A$39,0),1))</f>
        <v>19419019.999999996</v>
      </c>
      <c r="U1019" s="27">
        <f>U439*IF($E1019="weekday",INDEX('Category Mapping'!$F$28:$F$39,MATCH('Summarized Source Data'!$A1019,'Category Mapping'!$A$28:$A$39,0),1),INDEX('Category Mapping'!$E$28:$E$39,MATCH($A1019,'Category Mapping'!$A$28:$A$39,0),1))</f>
        <v>19419019.999999996</v>
      </c>
      <c r="V1019" s="27">
        <f>V439*IF($E1019="weekday",INDEX('Category Mapping'!$F$28:$F$39,MATCH('Summarized Source Data'!$A1019,'Category Mapping'!$A$28:$A$39,0),1),INDEX('Category Mapping'!$E$28:$E$39,MATCH($A1019,'Category Mapping'!$A$28:$A$39,0),1))</f>
        <v>19419019.999999996</v>
      </c>
      <c r="W1019" s="27">
        <f>W439*IF($E1019="weekday",INDEX('Category Mapping'!$F$28:$F$39,MATCH('Summarized Source Data'!$A1019,'Category Mapping'!$A$28:$A$39,0),1),INDEX('Category Mapping'!$E$28:$E$39,MATCH($A1019,'Category Mapping'!$A$28:$A$39,0),1))</f>
        <v>19419019.999999996</v>
      </c>
      <c r="X1019" s="27">
        <f>X439*IF($E1019="weekday",INDEX('Category Mapping'!$F$28:$F$39,MATCH('Summarized Source Data'!$A1019,'Category Mapping'!$A$28:$A$39,0),1),INDEX('Category Mapping'!$E$28:$E$39,MATCH($A1019,'Category Mapping'!$A$28:$A$39,0),1))</f>
        <v>2843142857.1428566</v>
      </c>
      <c r="Y1019" s="27">
        <f>Y439*IF($E1019="weekday",INDEX('Category Mapping'!$F$28:$F$39,MATCH('Summarized Source Data'!$A1019,'Category Mapping'!$A$28:$A$39,0),1),INDEX('Category Mapping'!$E$28:$E$39,MATCH($A1019,'Category Mapping'!$A$28:$A$39,0),1))</f>
        <v>2843142857.1428566</v>
      </c>
      <c r="Z1019" s="27">
        <f>Z439*IF($E1019="weekday",INDEX('Category Mapping'!$F$28:$F$39,MATCH('Summarized Source Data'!$A1019,'Category Mapping'!$A$28:$A$39,0),1),INDEX('Category Mapping'!$E$28:$E$39,MATCH($A1019,'Category Mapping'!$A$28:$A$39,0),1))</f>
        <v>2843142857.1428566</v>
      </c>
    </row>
    <row r="1020" spans="1:26" x14ac:dyDescent="0.3">
      <c r="A1020">
        <f t="shared" ref="A1020:E1020" si="485">A440</f>
        <v>7</v>
      </c>
      <c r="B1020" t="str">
        <f t="shared" si="485"/>
        <v>Summer</v>
      </c>
      <c r="C1020" t="str">
        <f t="shared" si="485"/>
        <v>h5</v>
      </c>
      <c r="D1020" t="str">
        <f t="shared" si="485"/>
        <v>Hour4</v>
      </c>
      <c r="E1020" t="str">
        <f t="shared" si="485"/>
        <v>Weekend</v>
      </c>
      <c r="F1020" s="27">
        <f>F440*IF($E1020="weekday",INDEX('Category Mapping'!$F$28:$F$39,MATCH('Summarized Source Data'!$A1020,'Category Mapping'!$A$28:$A$39,0),1),INDEX('Category Mapping'!$E$28:$E$39,MATCH($A1020,'Category Mapping'!$A$28:$A$39,0),1))</f>
        <v>234988.8571428571</v>
      </c>
      <c r="G1020" s="27">
        <f>G440*IF($E1020="weekday",INDEX('Category Mapping'!$F$28:$F$39,MATCH('Summarized Source Data'!$A1020,'Category Mapping'!$A$28:$A$39,0),1),INDEX('Category Mapping'!$E$28:$E$39,MATCH($A1020,'Category Mapping'!$A$28:$A$39,0),1))</f>
        <v>222314285.71428567</v>
      </c>
      <c r="H1020" s="27">
        <f>H440*IF($E1020="weekday",INDEX('Category Mapping'!$F$28:$F$39,MATCH('Summarized Source Data'!$A1020,'Category Mapping'!$A$28:$A$39,0),1),INDEX('Category Mapping'!$E$28:$E$39,MATCH($A1020,'Category Mapping'!$A$28:$A$39,0),1))</f>
        <v>0</v>
      </c>
      <c r="I1020" s="27">
        <f>I440*IF($E1020="weekday",INDEX('Category Mapping'!$F$28:$F$39,MATCH('Summarized Source Data'!$A1020,'Category Mapping'!$A$28:$A$39,0),1),INDEX('Category Mapping'!$E$28:$E$39,MATCH($A1020,'Category Mapping'!$A$28:$A$39,0),1))</f>
        <v>45880814.857142851</v>
      </c>
      <c r="J1020" s="27">
        <f>J440*IF($E1020="weekday",INDEX('Category Mapping'!$F$28:$F$39,MATCH('Summarized Source Data'!$A1020,'Category Mapping'!$A$28:$A$39,0),1),INDEX('Category Mapping'!$E$28:$E$39,MATCH($A1020,'Category Mapping'!$A$28:$A$39,0),1))</f>
        <v>173541339.1428571</v>
      </c>
      <c r="K1020" s="27">
        <f>K440*IF($E1020="weekday",INDEX('Category Mapping'!$F$28:$F$39,MATCH('Summarized Source Data'!$A1020,'Category Mapping'!$A$28:$A$39,0),1),INDEX('Category Mapping'!$E$28:$E$39,MATCH($A1020,'Category Mapping'!$A$28:$A$39,0),1))</f>
        <v>173541339.1428571</v>
      </c>
      <c r="L1020" s="27">
        <f>L440*IF($E1020="weekday",INDEX('Category Mapping'!$F$28:$F$39,MATCH('Summarized Source Data'!$A1020,'Category Mapping'!$A$28:$A$39,0),1),INDEX('Category Mapping'!$E$28:$E$39,MATCH($A1020,'Category Mapping'!$A$28:$A$39,0),1))</f>
        <v>560860.85714285704</v>
      </c>
      <c r="M1020" s="27">
        <f>M440*IF($E1020="weekday",INDEX('Category Mapping'!$F$28:$F$39,MATCH('Summarized Source Data'!$A1020,'Category Mapping'!$A$28:$A$39,0),1),INDEX('Category Mapping'!$E$28:$E$39,MATCH($A1020,'Category Mapping'!$A$28:$A$39,0),1))</f>
        <v>912285714.28571415</v>
      </c>
      <c r="N1020" s="27">
        <f>N440*IF($E1020="weekday",INDEX('Category Mapping'!$F$28:$F$39,MATCH('Summarized Source Data'!$A1020,'Category Mapping'!$A$28:$A$39,0),1),INDEX('Category Mapping'!$E$28:$E$39,MATCH($A1020,'Category Mapping'!$A$28:$A$39,0),1))</f>
        <v>0</v>
      </c>
      <c r="O1020" s="27">
        <f>O440*IF($E1020="weekday",INDEX('Category Mapping'!$F$28:$F$39,MATCH('Summarized Source Data'!$A1020,'Category Mapping'!$A$28:$A$39,0),1),INDEX('Category Mapping'!$E$28:$E$39,MATCH($A1020,'Category Mapping'!$A$28:$A$39,0),1))</f>
        <v>601724853.42857134</v>
      </c>
      <c r="P1020" s="27">
        <f>P440*IF($E1020="weekday",INDEX('Category Mapping'!$F$28:$F$39,MATCH('Summarized Source Data'!$A1020,'Category Mapping'!$A$28:$A$39,0),1),INDEX('Category Mapping'!$E$28:$E$39,MATCH($A1020,'Category Mapping'!$A$28:$A$39,0),1))</f>
        <v>601724853.42857134</v>
      </c>
      <c r="Q1020" s="27">
        <f>Q440*IF($E1020="weekday",INDEX('Category Mapping'!$F$28:$F$39,MATCH('Summarized Source Data'!$A1020,'Category Mapping'!$A$28:$A$39,0),1),INDEX('Category Mapping'!$E$28:$E$39,MATCH($A1020,'Category Mapping'!$A$28:$A$39,0),1))</f>
        <v>601724853.42857134</v>
      </c>
      <c r="R1020" s="27">
        <f>R440*IF($E1020="weekday",INDEX('Category Mapping'!$F$28:$F$39,MATCH('Summarized Source Data'!$A1020,'Category Mapping'!$A$28:$A$39,0),1),INDEX('Category Mapping'!$E$28:$E$39,MATCH($A1020,'Category Mapping'!$A$28:$A$39,0),1))</f>
        <v>19315293.999999996</v>
      </c>
      <c r="S1020" s="27">
        <f>S440*IF($E1020="weekday",INDEX('Category Mapping'!$F$28:$F$39,MATCH('Summarized Source Data'!$A1020,'Category Mapping'!$A$28:$A$39,0),1),INDEX('Category Mapping'!$E$28:$E$39,MATCH($A1020,'Category Mapping'!$A$28:$A$39,0),1))</f>
        <v>19315293.999999996</v>
      </c>
      <c r="T1020" s="27">
        <f>T440*IF($E1020="weekday",INDEX('Category Mapping'!$F$28:$F$39,MATCH('Summarized Source Data'!$A1020,'Category Mapping'!$A$28:$A$39,0),1),INDEX('Category Mapping'!$E$28:$E$39,MATCH($A1020,'Category Mapping'!$A$28:$A$39,0),1))</f>
        <v>19315293.999999996</v>
      </c>
      <c r="U1020" s="27">
        <f>U440*IF($E1020="weekday",INDEX('Category Mapping'!$F$28:$F$39,MATCH('Summarized Source Data'!$A1020,'Category Mapping'!$A$28:$A$39,0),1),INDEX('Category Mapping'!$E$28:$E$39,MATCH($A1020,'Category Mapping'!$A$28:$A$39,0),1))</f>
        <v>19315293.999999996</v>
      </c>
      <c r="V1020" s="27">
        <f>V440*IF($E1020="weekday",INDEX('Category Mapping'!$F$28:$F$39,MATCH('Summarized Source Data'!$A1020,'Category Mapping'!$A$28:$A$39,0),1),INDEX('Category Mapping'!$E$28:$E$39,MATCH($A1020,'Category Mapping'!$A$28:$A$39,0),1))</f>
        <v>19315293.999999996</v>
      </c>
      <c r="W1020" s="27">
        <f>W440*IF($E1020="weekday",INDEX('Category Mapping'!$F$28:$F$39,MATCH('Summarized Source Data'!$A1020,'Category Mapping'!$A$28:$A$39,0),1),INDEX('Category Mapping'!$E$28:$E$39,MATCH($A1020,'Category Mapping'!$A$28:$A$39,0),1))</f>
        <v>19315293.999999996</v>
      </c>
      <c r="X1020" s="27">
        <f>X440*IF($E1020="weekday",INDEX('Category Mapping'!$F$28:$F$39,MATCH('Summarized Source Data'!$A1020,'Category Mapping'!$A$28:$A$39,0),1),INDEX('Category Mapping'!$E$28:$E$39,MATCH($A1020,'Category Mapping'!$A$28:$A$39,0),1))</f>
        <v>2860857142.8571424</v>
      </c>
      <c r="Y1020" s="27">
        <f>Y440*IF($E1020="weekday",INDEX('Category Mapping'!$F$28:$F$39,MATCH('Summarized Source Data'!$A1020,'Category Mapping'!$A$28:$A$39,0),1),INDEX('Category Mapping'!$E$28:$E$39,MATCH($A1020,'Category Mapping'!$A$28:$A$39,0),1))</f>
        <v>2860857142.8571424</v>
      </c>
      <c r="Z1020" s="27">
        <f>Z440*IF($E1020="weekday",INDEX('Category Mapping'!$F$28:$F$39,MATCH('Summarized Source Data'!$A1020,'Category Mapping'!$A$28:$A$39,0),1),INDEX('Category Mapping'!$E$28:$E$39,MATCH($A1020,'Category Mapping'!$A$28:$A$39,0),1))</f>
        <v>2860857142.8571424</v>
      </c>
    </row>
    <row r="1021" spans="1:26" x14ac:dyDescent="0.3">
      <c r="A1021">
        <f t="shared" ref="A1021:E1021" si="486">A441</f>
        <v>7</v>
      </c>
      <c r="B1021" t="str">
        <f t="shared" si="486"/>
        <v>Summer</v>
      </c>
      <c r="C1021" t="str">
        <f t="shared" si="486"/>
        <v>h6</v>
      </c>
      <c r="D1021" t="str">
        <f t="shared" si="486"/>
        <v>Hour5</v>
      </c>
      <c r="E1021" t="str">
        <f t="shared" si="486"/>
        <v>Weekend</v>
      </c>
      <c r="F1021" s="27">
        <f>F441*IF($E1021="weekday",INDEX('Category Mapping'!$F$28:$F$39,MATCH('Summarized Source Data'!$A1021,'Category Mapping'!$A$28:$A$39,0),1),INDEX('Category Mapping'!$E$28:$E$39,MATCH($A1021,'Category Mapping'!$A$28:$A$39,0),1))</f>
        <v>310540.28571428568</v>
      </c>
      <c r="G1021" s="27">
        <f>G441*IF($E1021="weekday",INDEX('Category Mapping'!$F$28:$F$39,MATCH('Summarized Source Data'!$A1021,'Category Mapping'!$A$28:$A$39,0),1),INDEX('Category Mapping'!$E$28:$E$39,MATCH($A1021,'Category Mapping'!$A$28:$A$39,0),1))</f>
        <v>250657142.85714284</v>
      </c>
      <c r="H1021" s="27">
        <f>H441*IF($E1021="weekday",INDEX('Category Mapping'!$F$28:$F$39,MATCH('Summarized Source Data'!$A1021,'Category Mapping'!$A$28:$A$39,0),1),INDEX('Category Mapping'!$E$28:$E$39,MATCH($A1021,'Category Mapping'!$A$28:$A$39,0),1))</f>
        <v>0</v>
      </c>
      <c r="I1021" s="27">
        <f>I441*IF($E1021="weekday",INDEX('Category Mapping'!$F$28:$F$39,MATCH('Summarized Source Data'!$A1021,'Category Mapping'!$A$28:$A$39,0),1),INDEX('Category Mapping'!$E$28:$E$39,MATCH($A1021,'Category Mapping'!$A$28:$A$39,0),1))</f>
        <v>42656699.714285709</v>
      </c>
      <c r="J1021" s="27">
        <f>J441*IF($E1021="weekday",INDEX('Category Mapping'!$F$28:$F$39,MATCH('Summarized Source Data'!$A1021,'Category Mapping'!$A$28:$A$39,0),1),INDEX('Category Mapping'!$E$28:$E$39,MATCH($A1021,'Category Mapping'!$A$28:$A$39,0),1))</f>
        <v>198832759.99999997</v>
      </c>
      <c r="K1021" s="27">
        <f>K441*IF($E1021="weekday",INDEX('Category Mapping'!$F$28:$F$39,MATCH('Summarized Source Data'!$A1021,'Category Mapping'!$A$28:$A$39,0),1),INDEX('Category Mapping'!$E$28:$E$39,MATCH($A1021,'Category Mapping'!$A$28:$A$39,0),1))</f>
        <v>198832759.99999997</v>
      </c>
      <c r="L1021" s="27">
        <f>L441*IF($E1021="weekday",INDEX('Category Mapping'!$F$28:$F$39,MATCH('Summarized Source Data'!$A1021,'Category Mapping'!$A$28:$A$39,0),1),INDEX('Category Mapping'!$E$28:$E$39,MATCH($A1021,'Category Mapping'!$A$28:$A$39,0),1))</f>
        <v>560860.85714285704</v>
      </c>
      <c r="M1021" s="27">
        <f>M441*IF($E1021="weekday",INDEX('Category Mapping'!$F$28:$F$39,MATCH('Summarized Source Data'!$A1021,'Category Mapping'!$A$28:$A$39,0),1),INDEX('Category Mapping'!$E$28:$E$39,MATCH($A1021,'Category Mapping'!$A$28:$A$39,0),1))</f>
        <v>965428571.42857134</v>
      </c>
      <c r="N1021" s="27">
        <f>N441*IF($E1021="weekday",INDEX('Category Mapping'!$F$28:$F$39,MATCH('Summarized Source Data'!$A1021,'Category Mapping'!$A$28:$A$39,0),1),INDEX('Category Mapping'!$E$28:$E$39,MATCH($A1021,'Category Mapping'!$A$28:$A$39,0),1))</f>
        <v>0</v>
      </c>
      <c r="O1021" s="27">
        <f>O441*IF($E1021="weekday",INDEX('Category Mapping'!$F$28:$F$39,MATCH('Summarized Source Data'!$A1021,'Category Mapping'!$A$28:$A$39,0),1),INDEX('Category Mapping'!$E$28:$E$39,MATCH($A1021,'Category Mapping'!$A$28:$A$39,0),1))</f>
        <v>646010567.71428561</v>
      </c>
      <c r="P1021" s="27">
        <f>P441*IF($E1021="weekday",INDEX('Category Mapping'!$F$28:$F$39,MATCH('Summarized Source Data'!$A1021,'Category Mapping'!$A$28:$A$39,0),1),INDEX('Category Mapping'!$E$28:$E$39,MATCH($A1021,'Category Mapping'!$A$28:$A$39,0),1))</f>
        <v>646010567.71428561</v>
      </c>
      <c r="Q1021" s="27">
        <f>Q441*IF($E1021="weekday",INDEX('Category Mapping'!$F$28:$F$39,MATCH('Summarized Source Data'!$A1021,'Category Mapping'!$A$28:$A$39,0),1),INDEX('Category Mapping'!$E$28:$E$39,MATCH($A1021,'Category Mapping'!$A$28:$A$39,0),1))</f>
        <v>646010567.71428561</v>
      </c>
      <c r="R1021" s="27">
        <f>R441*IF($E1021="weekday",INDEX('Category Mapping'!$F$28:$F$39,MATCH('Summarized Source Data'!$A1021,'Category Mapping'!$A$28:$A$39,0),1),INDEX('Category Mapping'!$E$28:$E$39,MATCH($A1021,'Category Mapping'!$A$28:$A$39,0),1))</f>
        <v>19470887.428571425</v>
      </c>
      <c r="S1021" s="27">
        <f>S441*IF($E1021="weekday",INDEX('Category Mapping'!$F$28:$F$39,MATCH('Summarized Source Data'!$A1021,'Category Mapping'!$A$28:$A$39,0),1),INDEX('Category Mapping'!$E$28:$E$39,MATCH($A1021,'Category Mapping'!$A$28:$A$39,0),1))</f>
        <v>19470887.428571425</v>
      </c>
      <c r="T1021" s="27">
        <f>T441*IF($E1021="weekday",INDEX('Category Mapping'!$F$28:$F$39,MATCH('Summarized Source Data'!$A1021,'Category Mapping'!$A$28:$A$39,0),1),INDEX('Category Mapping'!$E$28:$E$39,MATCH($A1021,'Category Mapping'!$A$28:$A$39,0),1))</f>
        <v>19470887.428571425</v>
      </c>
      <c r="U1021" s="27">
        <f>U441*IF($E1021="weekday",INDEX('Category Mapping'!$F$28:$F$39,MATCH('Summarized Source Data'!$A1021,'Category Mapping'!$A$28:$A$39,0),1),INDEX('Category Mapping'!$E$28:$E$39,MATCH($A1021,'Category Mapping'!$A$28:$A$39,0),1))</f>
        <v>19470887.428571425</v>
      </c>
      <c r="V1021" s="27">
        <f>V441*IF($E1021="weekday",INDEX('Category Mapping'!$F$28:$F$39,MATCH('Summarized Source Data'!$A1021,'Category Mapping'!$A$28:$A$39,0),1),INDEX('Category Mapping'!$E$28:$E$39,MATCH($A1021,'Category Mapping'!$A$28:$A$39,0),1))</f>
        <v>19470887.428571425</v>
      </c>
      <c r="W1021" s="27">
        <f>W441*IF($E1021="weekday",INDEX('Category Mapping'!$F$28:$F$39,MATCH('Summarized Source Data'!$A1021,'Category Mapping'!$A$28:$A$39,0),1),INDEX('Category Mapping'!$E$28:$E$39,MATCH($A1021,'Category Mapping'!$A$28:$A$39,0),1))</f>
        <v>19470887.428571425</v>
      </c>
      <c r="X1021" s="27">
        <f>X441*IF($E1021="weekday",INDEX('Category Mapping'!$F$28:$F$39,MATCH('Summarized Source Data'!$A1021,'Category Mapping'!$A$28:$A$39,0),1),INDEX('Category Mapping'!$E$28:$E$39,MATCH($A1021,'Category Mapping'!$A$28:$A$39,0),1))</f>
        <v>2896285714.2857137</v>
      </c>
      <c r="Y1021" s="27">
        <f>Y441*IF($E1021="weekday",INDEX('Category Mapping'!$F$28:$F$39,MATCH('Summarized Source Data'!$A1021,'Category Mapping'!$A$28:$A$39,0),1),INDEX('Category Mapping'!$E$28:$E$39,MATCH($A1021,'Category Mapping'!$A$28:$A$39,0),1))</f>
        <v>2896285714.2857137</v>
      </c>
      <c r="Z1021" s="27">
        <f>Z441*IF($E1021="weekday",INDEX('Category Mapping'!$F$28:$F$39,MATCH('Summarized Source Data'!$A1021,'Category Mapping'!$A$28:$A$39,0),1),INDEX('Category Mapping'!$E$28:$E$39,MATCH($A1021,'Category Mapping'!$A$28:$A$39,0),1))</f>
        <v>2896285714.2857137</v>
      </c>
    </row>
    <row r="1022" spans="1:26" x14ac:dyDescent="0.3">
      <c r="A1022">
        <f t="shared" ref="A1022:E1022" si="487">A442</f>
        <v>7</v>
      </c>
      <c r="B1022" t="str">
        <f t="shared" si="487"/>
        <v>Summer</v>
      </c>
      <c r="C1022" t="str">
        <f t="shared" si="487"/>
        <v>h7</v>
      </c>
      <c r="D1022" t="str">
        <f t="shared" si="487"/>
        <v>Hour6</v>
      </c>
      <c r="E1022" t="str">
        <f t="shared" si="487"/>
        <v>Weekend</v>
      </c>
      <c r="F1022" s="27">
        <f>F442*IF($E1022="weekday",INDEX('Category Mapping'!$F$28:$F$39,MATCH('Summarized Source Data'!$A1022,'Category Mapping'!$A$28:$A$39,0),1),INDEX('Category Mapping'!$E$28:$E$39,MATCH($A1022,'Category Mapping'!$A$28:$A$39,0),1))</f>
        <v>354737.42857142852</v>
      </c>
      <c r="G1022" s="27">
        <f>G442*IF($E1022="weekday",INDEX('Category Mapping'!$F$28:$F$39,MATCH('Summarized Source Data'!$A1022,'Category Mapping'!$A$28:$A$39,0),1),INDEX('Category Mapping'!$E$28:$E$39,MATCH($A1022,'Category Mapping'!$A$28:$A$39,0),1))</f>
        <v>281657142.85714281</v>
      </c>
      <c r="H1022" s="27">
        <f>H442*IF($E1022="weekday",INDEX('Category Mapping'!$F$28:$F$39,MATCH('Summarized Source Data'!$A1022,'Category Mapping'!$A$28:$A$39,0),1),INDEX('Category Mapping'!$E$28:$E$39,MATCH($A1022,'Category Mapping'!$A$28:$A$39,0),1))</f>
        <v>0</v>
      </c>
      <c r="I1022" s="27">
        <f>I442*IF($E1022="weekday",INDEX('Category Mapping'!$F$28:$F$39,MATCH('Summarized Source Data'!$A1022,'Category Mapping'!$A$28:$A$39,0),1),INDEX('Category Mapping'!$E$28:$E$39,MATCH($A1022,'Category Mapping'!$A$28:$A$39,0),1))</f>
        <v>32887997.428571425</v>
      </c>
      <c r="J1022" s="27">
        <f>J442*IF($E1022="weekday",INDEX('Category Mapping'!$F$28:$F$39,MATCH('Summarized Source Data'!$A1022,'Category Mapping'!$A$28:$A$39,0),1),INDEX('Category Mapping'!$E$28:$E$39,MATCH($A1022,'Category Mapping'!$A$28:$A$39,0),1))</f>
        <v>288271550.85714281</v>
      </c>
      <c r="K1022" s="27">
        <f>K442*IF($E1022="weekday",INDEX('Category Mapping'!$F$28:$F$39,MATCH('Summarized Source Data'!$A1022,'Category Mapping'!$A$28:$A$39,0),1),INDEX('Category Mapping'!$E$28:$E$39,MATCH($A1022,'Category Mapping'!$A$28:$A$39,0),1))</f>
        <v>288271550.85714281</v>
      </c>
      <c r="L1022" s="27">
        <f>L442*IF($E1022="weekday",INDEX('Category Mapping'!$F$28:$F$39,MATCH('Summarized Source Data'!$A1022,'Category Mapping'!$A$28:$A$39,0),1),INDEX('Category Mapping'!$E$28:$E$39,MATCH($A1022,'Category Mapping'!$A$28:$A$39,0),1))</f>
        <v>560860.85714285704</v>
      </c>
      <c r="M1022" s="27">
        <f>M442*IF($E1022="weekday",INDEX('Category Mapping'!$F$28:$F$39,MATCH('Summarized Source Data'!$A1022,'Category Mapping'!$A$28:$A$39,0),1),INDEX('Category Mapping'!$E$28:$E$39,MATCH($A1022,'Category Mapping'!$A$28:$A$39,0),1))</f>
        <v>1053999999.9999999</v>
      </c>
      <c r="N1022" s="27">
        <f>N442*IF($E1022="weekday",INDEX('Category Mapping'!$F$28:$F$39,MATCH('Summarized Source Data'!$A1022,'Category Mapping'!$A$28:$A$39,0),1),INDEX('Category Mapping'!$E$28:$E$39,MATCH($A1022,'Category Mapping'!$A$28:$A$39,0),1))</f>
        <v>0</v>
      </c>
      <c r="O1022" s="27">
        <f>O442*IF($E1022="weekday",INDEX('Category Mapping'!$F$28:$F$39,MATCH('Summarized Source Data'!$A1022,'Category Mapping'!$A$28:$A$39,0),1),INDEX('Category Mapping'!$E$28:$E$39,MATCH($A1022,'Category Mapping'!$A$28:$A$39,0),1))</f>
        <v>716867710.57142842</v>
      </c>
      <c r="P1022" s="27">
        <f>P442*IF($E1022="weekday",INDEX('Category Mapping'!$F$28:$F$39,MATCH('Summarized Source Data'!$A1022,'Category Mapping'!$A$28:$A$39,0),1),INDEX('Category Mapping'!$E$28:$E$39,MATCH($A1022,'Category Mapping'!$A$28:$A$39,0),1))</f>
        <v>716867710.57142842</v>
      </c>
      <c r="Q1022" s="27">
        <f>Q442*IF($E1022="weekday",INDEX('Category Mapping'!$F$28:$F$39,MATCH('Summarized Source Data'!$A1022,'Category Mapping'!$A$28:$A$39,0),1),INDEX('Category Mapping'!$E$28:$E$39,MATCH($A1022,'Category Mapping'!$A$28:$A$39,0),1))</f>
        <v>716867710.57142842</v>
      </c>
      <c r="R1022" s="27">
        <f>R442*IF($E1022="weekday",INDEX('Category Mapping'!$F$28:$F$39,MATCH('Summarized Source Data'!$A1022,'Category Mapping'!$A$28:$A$39,0),1),INDEX('Category Mapping'!$E$28:$E$39,MATCH($A1022,'Category Mapping'!$A$28:$A$39,0),1))</f>
        <v>24204188.857142854</v>
      </c>
      <c r="S1022" s="27">
        <f>S442*IF($E1022="weekday",INDEX('Category Mapping'!$F$28:$F$39,MATCH('Summarized Source Data'!$A1022,'Category Mapping'!$A$28:$A$39,0),1),INDEX('Category Mapping'!$E$28:$E$39,MATCH($A1022,'Category Mapping'!$A$28:$A$39,0),1))</f>
        <v>24204188.857142854</v>
      </c>
      <c r="T1022" s="27">
        <f>T442*IF($E1022="weekday",INDEX('Category Mapping'!$F$28:$F$39,MATCH('Summarized Source Data'!$A1022,'Category Mapping'!$A$28:$A$39,0),1),INDEX('Category Mapping'!$E$28:$E$39,MATCH($A1022,'Category Mapping'!$A$28:$A$39,0),1))</f>
        <v>24204188.857142854</v>
      </c>
      <c r="U1022" s="27">
        <f>U442*IF($E1022="weekday",INDEX('Category Mapping'!$F$28:$F$39,MATCH('Summarized Source Data'!$A1022,'Category Mapping'!$A$28:$A$39,0),1),INDEX('Category Mapping'!$E$28:$E$39,MATCH($A1022,'Category Mapping'!$A$28:$A$39,0),1))</f>
        <v>24204188.857142854</v>
      </c>
      <c r="V1022" s="27">
        <f>V442*IF($E1022="weekday",INDEX('Category Mapping'!$F$28:$F$39,MATCH('Summarized Source Data'!$A1022,'Category Mapping'!$A$28:$A$39,0),1),INDEX('Category Mapping'!$E$28:$E$39,MATCH($A1022,'Category Mapping'!$A$28:$A$39,0),1))</f>
        <v>24204188.857142854</v>
      </c>
      <c r="W1022" s="27">
        <f>W442*IF($E1022="weekday",INDEX('Category Mapping'!$F$28:$F$39,MATCH('Summarized Source Data'!$A1022,'Category Mapping'!$A$28:$A$39,0),1),INDEX('Category Mapping'!$E$28:$E$39,MATCH($A1022,'Category Mapping'!$A$28:$A$39,0),1))</f>
        <v>24204188.857142854</v>
      </c>
      <c r="X1022" s="27">
        <f>X442*IF($E1022="weekday",INDEX('Category Mapping'!$F$28:$F$39,MATCH('Summarized Source Data'!$A1022,'Category Mapping'!$A$28:$A$39,0),1),INDEX('Category Mapping'!$E$28:$E$39,MATCH($A1022,'Category Mapping'!$A$28:$A$39,0),1))</f>
        <v>2905142857.1428566</v>
      </c>
      <c r="Y1022" s="27">
        <f>Y442*IF($E1022="weekday",INDEX('Category Mapping'!$F$28:$F$39,MATCH('Summarized Source Data'!$A1022,'Category Mapping'!$A$28:$A$39,0),1),INDEX('Category Mapping'!$E$28:$E$39,MATCH($A1022,'Category Mapping'!$A$28:$A$39,0),1))</f>
        <v>2905142857.1428566</v>
      </c>
      <c r="Z1022" s="27">
        <f>Z442*IF($E1022="weekday",INDEX('Category Mapping'!$F$28:$F$39,MATCH('Summarized Source Data'!$A1022,'Category Mapping'!$A$28:$A$39,0),1),INDEX('Category Mapping'!$E$28:$E$39,MATCH($A1022,'Category Mapping'!$A$28:$A$39,0),1))</f>
        <v>2905142857.1428566</v>
      </c>
    </row>
    <row r="1023" spans="1:26" x14ac:dyDescent="0.3">
      <c r="A1023">
        <f t="shared" ref="A1023:E1023" si="488">A443</f>
        <v>7</v>
      </c>
      <c r="B1023" t="str">
        <f t="shared" si="488"/>
        <v>Summer</v>
      </c>
      <c r="C1023" t="str">
        <f t="shared" si="488"/>
        <v>h8</v>
      </c>
      <c r="D1023" t="str">
        <f t="shared" si="488"/>
        <v>Hour7</v>
      </c>
      <c r="E1023" t="str">
        <f t="shared" si="488"/>
        <v>Weekend</v>
      </c>
      <c r="F1023" s="27">
        <f>F443*IF($E1023="weekday",INDEX('Category Mapping'!$F$28:$F$39,MATCH('Summarized Source Data'!$A1023,'Category Mapping'!$A$28:$A$39,0),1),INDEX('Category Mapping'!$E$28:$E$39,MATCH($A1023,'Category Mapping'!$A$28:$A$39,0),1))</f>
        <v>411741.99999999994</v>
      </c>
      <c r="G1023" s="27">
        <f>G443*IF($E1023="weekday",INDEX('Category Mapping'!$F$28:$F$39,MATCH('Summarized Source Data'!$A1023,'Category Mapping'!$A$28:$A$39,0),1),INDEX('Category Mapping'!$E$28:$E$39,MATCH($A1023,'Category Mapping'!$A$28:$A$39,0),1))</f>
        <v>306457142.85714281</v>
      </c>
      <c r="H1023" s="27">
        <f>H443*IF($E1023="weekday",INDEX('Category Mapping'!$F$28:$F$39,MATCH('Summarized Source Data'!$A1023,'Category Mapping'!$A$28:$A$39,0),1),INDEX('Category Mapping'!$E$28:$E$39,MATCH($A1023,'Category Mapping'!$A$28:$A$39,0),1))</f>
        <v>0</v>
      </c>
      <c r="I1023" s="27">
        <f>I443*IF($E1023="weekday",INDEX('Category Mapping'!$F$28:$F$39,MATCH('Summarized Source Data'!$A1023,'Category Mapping'!$A$28:$A$39,0),1),INDEX('Category Mapping'!$E$28:$E$39,MATCH($A1023,'Category Mapping'!$A$28:$A$39,0),1))</f>
        <v>47497243.428571425</v>
      </c>
      <c r="J1023" s="27">
        <f>J443*IF($E1023="weekday",INDEX('Category Mapping'!$F$28:$F$39,MATCH('Summarized Source Data'!$A1023,'Category Mapping'!$A$28:$A$39,0),1),INDEX('Category Mapping'!$E$28:$E$39,MATCH($A1023,'Category Mapping'!$A$28:$A$39,0),1))</f>
        <v>407348157.42857134</v>
      </c>
      <c r="K1023" s="27">
        <f>K443*IF($E1023="weekday",INDEX('Category Mapping'!$F$28:$F$39,MATCH('Summarized Source Data'!$A1023,'Category Mapping'!$A$28:$A$39,0),1),INDEX('Category Mapping'!$E$28:$E$39,MATCH($A1023,'Category Mapping'!$A$28:$A$39,0),1))</f>
        <v>407348157.42857134</v>
      </c>
      <c r="L1023" s="27">
        <f>L443*IF($E1023="weekday",INDEX('Category Mapping'!$F$28:$F$39,MATCH('Summarized Source Data'!$A1023,'Category Mapping'!$A$28:$A$39,0),1),INDEX('Category Mapping'!$E$28:$E$39,MATCH($A1023,'Category Mapping'!$A$28:$A$39,0),1))</f>
        <v>560860.85714285704</v>
      </c>
      <c r="M1023" s="27">
        <f>M443*IF($E1023="weekday",INDEX('Category Mapping'!$F$28:$F$39,MATCH('Summarized Source Data'!$A1023,'Category Mapping'!$A$28:$A$39,0),1),INDEX('Category Mapping'!$E$28:$E$39,MATCH($A1023,'Category Mapping'!$A$28:$A$39,0),1))</f>
        <v>1177999999.9999998</v>
      </c>
      <c r="N1023" s="27">
        <f>N443*IF($E1023="weekday",INDEX('Category Mapping'!$F$28:$F$39,MATCH('Summarized Source Data'!$A1023,'Category Mapping'!$A$28:$A$39,0),1),INDEX('Category Mapping'!$E$28:$E$39,MATCH($A1023,'Category Mapping'!$A$28:$A$39,0),1))</f>
        <v>0</v>
      </c>
      <c r="O1023" s="27">
        <f>O443*IF($E1023="weekday",INDEX('Category Mapping'!$F$28:$F$39,MATCH('Summarized Source Data'!$A1023,'Category Mapping'!$A$28:$A$39,0),1),INDEX('Category Mapping'!$E$28:$E$39,MATCH($A1023,'Category Mapping'!$A$28:$A$39,0),1))</f>
        <v>902867710.57142842</v>
      </c>
      <c r="P1023" s="27">
        <f>P443*IF($E1023="weekday",INDEX('Category Mapping'!$F$28:$F$39,MATCH('Summarized Source Data'!$A1023,'Category Mapping'!$A$28:$A$39,0),1),INDEX('Category Mapping'!$E$28:$E$39,MATCH($A1023,'Category Mapping'!$A$28:$A$39,0),1))</f>
        <v>902867710.57142842</v>
      </c>
      <c r="Q1023" s="27">
        <f>Q443*IF($E1023="weekday",INDEX('Category Mapping'!$F$28:$F$39,MATCH('Summarized Source Data'!$A1023,'Category Mapping'!$A$28:$A$39,0),1),INDEX('Category Mapping'!$E$28:$E$39,MATCH($A1023,'Category Mapping'!$A$28:$A$39,0),1))</f>
        <v>902867710.57142842</v>
      </c>
      <c r="R1023" s="27">
        <f>R443*IF($E1023="weekday",INDEX('Category Mapping'!$F$28:$F$39,MATCH('Summarized Source Data'!$A1023,'Category Mapping'!$A$28:$A$39,0),1),INDEX('Category Mapping'!$E$28:$E$39,MATCH($A1023,'Category Mapping'!$A$28:$A$39,0),1))</f>
        <v>31539630.28571428</v>
      </c>
      <c r="S1023" s="27">
        <f>S443*IF($E1023="weekday",INDEX('Category Mapping'!$F$28:$F$39,MATCH('Summarized Source Data'!$A1023,'Category Mapping'!$A$28:$A$39,0),1),INDEX('Category Mapping'!$E$28:$E$39,MATCH($A1023,'Category Mapping'!$A$28:$A$39,0),1))</f>
        <v>31539630.28571428</v>
      </c>
      <c r="T1023" s="27">
        <f>T443*IF($E1023="weekday",INDEX('Category Mapping'!$F$28:$F$39,MATCH('Summarized Source Data'!$A1023,'Category Mapping'!$A$28:$A$39,0),1),INDEX('Category Mapping'!$E$28:$E$39,MATCH($A1023,'Category Mapping'!$A$28:$A$39,0),1))</f>
        <v>31539630.28571428</v>
      </c>
      <c r="U1023" s="27">
        <f>U443*IF($E1023="weekday",INDEX('Category Mapping'!$F$28:$F$39,MATCH('Summarized Source Data'!$A1023,'Category Mapping'!$A$28:$A$39,0),1),INDEX('Category Mapping'!$E$28:$E$39,MATCH($A1023,'Category Mapping'!$A$28:$A$39,0),1))</f>
        <v>31539630.28571428</v>
      </c>
      <c r="V1023" s="27">
        <f>V443*IF($E1023="weekday",INDEX('Category Mapping'!$F$28:$F$39,MATCH('Summarized Source Data'!$A1023,'Category Mapping'!$A$28:$A$39,0),1),INDEX('Category Mapping'!$E$28:$E$39,MATCH($A1023,'Category Mapping'!$A$28:$A$39,0),1))</f>
        <v>31539630.28571428</v>
      </c>
      <c r="W1023" s="27">
        <f>W443*IF($E1023="weekday",INDEX('Category Mapping'!$F$28:$F$39,MATCH('Summarized Source Data'!$A1023,'Category Mapping'!$A$28:$A$39,0),1),INDEX('Category Mapping'!$E$28:$E$39,MATCH($A1023,'Category Mapping'!$A$28:$A$39,0),1))</f>
        <v>31539630.28571428</v>
      </c>
      <c r="X1023" s="27">
        <f>X443*IF($E1023="weekday",INDEX('Category Mapping'!$F$28:$F$39,MATCH('Summarized Source Data'!$A1023,'Category Mapping'!$A$28:$A$39,0),1),INDEX('Category Mapping'!$E$28:$E$39,MATCH($A1023,'Category Mapping'!$A$28:$A$39,0),1))</f>
        <v>2905142857.1428566</v>
      </c>
      <c r="Y1023" s="27">
        <f>Y443*IF($E1023="weekday",INDEX('Category Mapping'!$F$28:$F$39,MATCH('Summarized Source Data'!$A1023,'Category Mapping'!$A$28:$A$39,0),1),INDEX('Category Mapping'!$E$28:$E$39,MATCH($A1023,'Category Mapping'!$A$28:$A$39,0),1))</f>
        <v>2905142857.1428566</v>
      </c>
      <c r="Z1023" s="27">
        <f>Z443*IF($E1023="weekday",INDEX('Category Mapping'!$F$28:$F$39,MATCH('Summarized Source Data'!$A1023,'Category Mapping'!$A$28:$A$39,0),1),INDEX('Category Mapping'!$E$28:$E$39,MATCH($A1023,'Category Mapping'!$A$28:$A$39,0),1))</f>
        <v>2905142857.1428566</v>
      </c>
    </row>
    <row r="1024" spans="1:26" x14ac:dyDescent="0.3">
      <c r="A1024">
        <f t="shared" ref="A1024:E1024" si="489">A444</f>
        <v>7</v>
      </c>
      <c r="B1024" t="str">
        <f t="shared" si="489"/>
        <v>Summer</v>
      </c>
      <c r="C1024" t="str">
        <f t="shared" si="489"/>
        <v>h9</v>
      </c>
      <c r="D1024" t="str">
        <f t="shared" si="489"/>
        <v>Hour8</v>
      </c>
      <c r="E1024" t="str">
        <f t="shared" si="489"/>
        <v>Weekend</v>
      </c>
      <c r="F1024" s="27">
        <f>F444*IF($E1024="weekday",INDEX('Category Mapping'!$F$28:$F$39,MATCH('Summarized Source Data'!$A1024,'Category Mapping'!$A$28:$A$39,0),1),INDEX('Category Mapping'!$E$28:$E$39,MATCH($A1024,'Category Mapping'!$A$28:$A$39,0),1))</f>
        <v>447391.99999999994</v>
      </c>
      <c r="G1024" s="27">
        <f>G444*IF($E1024="weekday",INDEX('Category Mapping'!$F$28:$F$39,MATCH('Summarized Source Data'!$A1024,'Category Mapping'!$A$28:$A$39,0),1),INDEX('Category Mapping'!$E$28:$E$39,MATCH($A1024,'Category Mapping'!$A$28:$A$39,0),1))</f>
        <v>317971428.57142854</v>
      </c>
      <c r="H1024" s="27">
        <f>H444*IF($E1024="weekday",INDEX('Category Mapping'!$F$28:$F$39,MATCH('Summarized Source Data'!$A1024,'Category Mapping'!$A$28:$A$39,0),1),INDEX('Category Mapping'!$E$28:$E$39,MATCH($A1024,'Category Mapping'!$A$28:$A$39,0),1))</f>
        <v>0</v>
      </c>
      <c r="I1024" s="27">
        <f>I444*IF($E1024="weekday",INDEX('Category Mapping'!$F$28:$F$39,MATCH('Summarized Source Data'!$A1024,'Category Mapping'!$A$28:$A$39,0),1),INDEX('Category Mapping'!$E$28:$E$39,MATCH($A1024,'Category Mapping'!$A$28:$A$39,0),1))</f>
        <v>57944128.285714276</v>
      </c>
      <c r="J1024" s="27">
        <f>J444*IF($E1024="weekday",INDEX('Category Mapping'!$F$28:$F$39,MATCH('Summarized Source Data'!$A1024,'Category Mapping'!$A$28:$A$39,0),1),INDEX('Category Mapping'!$E$28:$E$39,MATCH($A1024,'Category Mapping'!$A$28:$A$39,0),1))</f>
        <v>506694193.99999994</v>
      </c>
      <c r="K1024" s="27">
        <f>K444*IF($E1024="weekday",INDEX('Category Mapping'!$F$28:$F$39,MATCH('Summarized Source Data'!$A1024,'Category Mapping'!$A$28:$A$39,0),1),INDEX('Category Mapping'!$E$28:$E$39,MATCH($A1024,'Category Mapping'!$A$28:$A$39,0),1))</f>
        <v>506694193.99999994</v>
      </c>
      <c r="L1024" s="27">
        <f>L444*IF($E1024="weekday",INDEX('Category Mapping'!$F$28:$F$39,MATCH('Summarized Source Data'!$A1024,'Category Mapping'!$A$28:$A$39,0),1),INDEX('Category Mapping'!$E$28:$E$39,MATCH($A1024,'Category Mapping'!$A$28:$A$39,0),1))</f>
        <v>560860.85714285704</v>
      </c>
      <c r="M1024" s="27">
        <f>M444*IF($E1024="weekday",INDEX('Category Mapping'!$F$28:$F$39,MATCH('Summarized Source Data'!$A1024,'Category Mapping'!$A$28:$A$39,0),1),INDEX('Category Mapping'!$E$28:$E$39,MATCH($A1024,'Category Mapping'!$A$28:$A$39,0),1))</f>
        <v>1319714285.7142856</v>
      </c>
      <c r="N1024" s="27">
        <f>N444*IF($E1024="weekday",INDEX('Category Mapping'!$F$28:$F$39,MATCH('Summarized Source Data'!$A1024,'Category Mapping'!$A$28:$A$39,0),1),INDEX('Category Mapping'!$E$28:$E$39,MATCH($A1024,'Category Mapping'!$A$28:$A$39,0),1))</f>
        <v>0</v>
      </c>
      <c r="O1024" s="27">
        <f>O444*IF($E1024="weekday",INDEX('Category Mapping'!$F$28:$F$39,MATCH('Summarized Source Data'!$A1024,'Category Mapping'!$A$28:$A$39,0),1),INDEX('Category Mapping'!$E$28:$E$39,MATCH($A1024,'Category Mapping'!$A$28:$A$39,0),1))</f>
        <v>1026867710.5714284</v>
      </c>
      <c r="P1024" s="27">
        <f>P444*IF($E1024="weekday",INDEX('Category Mapping'!$F$28:$F$39,MATCH('Summarized Source Data'!$A1024,'Category Mapping'!$A$28:$A$39,0),1),INDEX('Category Mapping'!$E$28:$E$39,MATCH($A1024,'Category Mapping'!$A$28:$A$39,0),1))</f>
        <v>1026867710.5714284</v>
      </c>
      <c r="Q1024" s="27">
        <f>Q444*IF($E1024="weekday",INDEX('Category Mapping'!$F$28:$F$39,MATCH('Summarized Source Data'!$A1024,'Category Mapping'!$A$28:$A$39,0),1),INDEX('Category Mapping'!$E$28:$E$39,MATCH($A1024,'Category Mapping'!$A$28:$A$39,0),1))</f>
        <v>1026867710.5714284</v>
      </c>
      <c r="R1024" s="27">
        <f>R444*IF($E1024="weekday",INDEX('Category Mapping'!$F$28:$F$39,MATCH('Summarized Source Data'!$A1024,'Category Mapping'!$A$28:$A$39,0),1),INDEX('Category Mapping'!$E$28:$E$39,MATCH($A1024,'Category Mapping'!$A$28:$A$39,0),1))</f>
        <v>37908730.857142851</v>
      </c>
      <c r="S1024" s="27">
        <f>S444*IF($E1024="weekday",INDEX('Category Mapping'!$F$28:$F$39,MATCH('Summarized Source Data'!$A1024,'Category Mapping'!$A$28:$A$39,0),1),INDEX('Category Mapping'!$E$28:$E$39,MATCH($A1024,'Category Mapping'!$A$28:$A$39,0),1))</f>
        <v>37908730.857142851</v>
      </c>
      <c r="T1024" s="27">
        <f>T444*IF($E1024="weekday",INDEX('Category Mapping'!$F$28:$F$39,MATCH('Summarized Source Data'!$A1024,'Category Mapping'!$A$28:$A$39,0),1),INDEX('Category Mapping'!$E$28:$E$39,MATCH($A1024,'Category Mapping'!$A$28:$A$39,0),1))</f>
        <v>37908730.857142851</v>
      </c>
      <c r="U1024" s="27">
        <f>U444*IF($E1024="weekday",INDEX('Category Mapping'!$F$28:$F$39,MATCH('Summarized Source Data'!$A1024,'Category Mapping'!$A$28:$A$39,0),1),INDEX('Category Mapping'!$E$28:$E$39,MATCH($A1024,'Category Mapping'!$A$28:$A$39,0),1))</f>
        <v>37908730.857142851</v>
      </c>
      <c r="V1024" s="27">
        <f>V444*IF($E1024="weekday",INDEX('Category Mapping'!$F$28:$F$39,MATCH('Summarized Source Data'!$A1024,'Category Mapping'!$A$28:$A$39,0),1),INDEX('Category Mapping'!$E$28:$E$39,MATCH($A1024,'Category Mapping'!$A$28:$A$39,0),1))</f>
        <v>37908730.857142851</v>
      </c>
      <c r="W1024" s="27">
        <f>W444*IF($E1024="weekday",INDEX('Category Mapping'!$F$28:$F$39,MATCH('Summarized Source Data'!$A1024,'Category Mapping'!$A$28:$A$39,0),1),INDEX('Category Mapping'!$E$28:$E$39,MATCH($A1024,'Category Mapping'!$A$28:$A$39,0),1))</f>
        <v>37908730.857142851</v>
      </c>
      <c r="X1024" s="27">
        <f>X444*IF($E1024="weekday",INDEX('Category Mapping'!$F$28:$F$39,MATCH('Summarized Source Data'!$A1024,'Category Mapping'!$A$28:$A$39,0),1),INDEX('Category Mapping'!$E$28:$E$39,MATCH($A1024,'Category Mapping'!$A$28:$A$39,0),1))</f>
        <v>2905142857.1428566</v>
      </c>
      <c r="Y1024" s="27">
        <f>Y444*IF($E1024="weekday",INDEX('Category Mapping'!$F$28:$F$39,MATCH('Summarized Source Data'!$A1024,'Category Mapping'!$A$28:$A$39,0),1),INDEX('Category Mapping'!$E$28:$E$39,MATCH($A1024,'Category Mapping'!$A$28:$A$39,0),1))</f>
        <v>2905142857.1428566</v>
      </c>
      <c r="Z1024" s="27">
        <f>Z444*IF($E1024="weekday",INDEX('Category Mapping'!$F$28:$F$39,MATCH('Summarized Source Data'!$A1024,'Category Mapping'!$A$28:$A$39,0),1),INDEX('Category Mapping'!$E$28:$E$39,MATCH($A1024,'Category Mapping'!$A$28:$A$39,0),1))</f>
        <v>2905142857.1428566</v>
      </c>
    </row>
    <row r="1025" spans="1:26" x14ac:dyDescent="0.3">
      <c r="A1025">
        <f t="shared" ref="A1025:E1025" si="490">A445</f>
        <v>7</v>
      </c>
      <c r="B1025" t="str">
        <f t="shared" si="490"/>
        <v>Summer</v>
      </c>
      <c r="C1025" t="str">
        <f t="shared" si="490"/>
        <v>h10</v>
      </c>
      <c r="D1025" t="str">
        <f t="shared" si="490"/>
        <v>Hour9</v>
      </c>
      <c r="E1025" t="str">
        <f t="shared" si="490"/>
        <v>Weekend</v>
      </c>
      <c r="F1025" s="27">
        <f>F445*IF($E1025="weekday",INDEX('Category Mapping'!$F$28:$F$39,MATCH('Summarized Source Data'!$A1025,'Category Mapping'!$A$28:$A$39,0),1),INDEX('Category Mapping'!$E$28:$E$39,MATCH($A1025,'Category Mapping'!$A$28:$A$39,0),1))</f>
        <v>454539.7142857142</v>
      </c>
      <c r="G1025" s="27">
        <f>G445*IF($E1025="weekday",INDEX('Category Mapping'!$F$28:$F$39,MATCH('Summarized Source Data'!$A1025,'Category Mapping'!$A$28:$A$39,0),1),INDEX('Category Mapping'!$E$28:$E$39,MATCH($A1025,'Category Mapping'!$A$28:$A$39,0),1))</f>
        <v>316199999.99999994</v>
      </c>
      <c r="H1025" s="27">
        <f>H445*IF($E1025="weekday",INDEX('Category Mapping'!$F$28:$F$39,MATCH('Summarized Source Data'!$A1025,'Category Mapping'!$A$28:$A$39,0),1),INDEX('Category Mapping'!$E$28:$E$39,MATCH($A1025,'Category Mapping'!$A$28:$A$39,0),1))</f>
        <v>0</v>
      </c>
      <c r="I1025" s="27">
        <f>I445*IF($E1025="weekday",INDEX('Category Mapping'!$F$28:$F$39,MATCH('Summarized Source Data'!$A1025,'Category Mapping'!$A$28:$A$39,0),1),INDEX('Category Mapping'!$E$28:$E$39,MATCH($A1025,'Category Mapping'!$A$28:$A$39,0),1))</f>
        <v>60040551.999999993</v>
      </c>
      <c r="J1025" s="27">
        <f>J445*IF($E1025="weekday",INDEX('Category Mapping'!$F$28:$F$39,MATCH('Summarized Source Data'!$A1025,'Category Mapping'!$A$28:$A$39,0),1),INDEX('Category Mapping'!$E$28:$E$39,MATCH($A1025,'Category Mapping'!$A$28:$A$39,0),1))</f>
        <v>633019193.99999988</v>
      </c>
      <c r="K1025" s="27">
        <f>K445*IF($E1025="weekday",INDEX('Category Mapping'!$F$28:$F$39,MATCH('Summarized Source Data'!$A1025,'Category Mapping'!$A$28:$A$39,0),1),INDEX('Category Mapping'!$E$28:$E$39,MATCH($A1025,'Category Mapping'!$A$28:$A$39,0),1))</f>
        <v>633019193.99999988</v>
      </c>
      <c r="L1025" s="27">
        <f>L445*IF($E1025="weekday",INDEX('Category Mapping'!$F$28:$F$39,MATCH('Summarized Source Data'!$A1025,'Category Mapping'!$A$28:$A$39,0),1),INDEX('Category Mapping'!$E$28:$E$39,MATCH($A1025,'Category Mapping'!$A$28:$A$39,0),1))</f>
        <v>560860.85714285704</v>
      </c>
      <c r="M1025" s="27">
        <f>M445*IF($E1025="weekday",INDEX('Category Mapping'!$F$28:$F$39,MATCH('Summarized Source Data'!$A1025,'Category Mapping'!$A$28:$A$39,0),1),INDEX('Category Mapping'!$E$28:$E$39,MATCH($A1025,'Category Mapping'!$A$28:$A$39,0),1))</f>
        <v>1452571428.5714283</v>
      </c>
      <c r="N1025" s="27">
        <f>N445*IF($E1025="weekday",INDEX('Category Mapping'!$F$28:$F$39,MATCH('Summarized Source Data'!$A1025,'Category Mapping'!$A$28:$A$39,0),1),INDEX('Category Mapping'!$E$28:$E$39,MATCH($A1025,'Category Mapping'!$A$28:$A$39,0),1))</f>
        <v>0</v>
      </c>
      <c r="O1025" s="27">
        <f>O445*IF($E1025="weekday",INDEX('Category Mapping'!$F$28:$F$39,MATCH('Summarized Source Data'!$A1025,'Category Mapping'!$A$28:$A$39,0),1),INDEX('Category Mapping'!$E$28:$E$39,MATCH($A1025,'Category Mapping'!$A$28:$A$39,0),1))</f>
        <v>1115439139.1428571</v>
      </c>
      <c r="P1025" s="27">
        <f>P445*IF($E1025="weekday",INDEX('Category Mapping'!$F$28:$F$39,MATCH('Summarized Source Data'!$A1025,'Category Mapping'!$A$28:$A$39,0),1),INDEX('Category Mapping'!$E$28:$E$39,MATCH($A1025,'Category Mapping'!$A$28:$A$39,0),1))</f>
        <v>1115439139.1428571</v>
      </c>
      <c r="Q1025" s="27">
        <f>Q445*IF($E1025="weekday",INDEX('Category Mapping'!$F$28:$F$39,MATCH('Summarized Source Data'!$A1025,'Category Mapping'!$A$28:$A$39,0),1),INDEX('Category Mapping'!$E$28:$E$39,MATCH($A1025,'Category Mapping'!$A$28:$A$39,0),1))</f>
        <v>1115439139.1428571</v>
      </c>
      <c r="R1025" s="27">
        <f>R445*IF($E1025="weekday",INDEX('Category Mapping'!$F$28:$F$39,MATCH('Summarized Source Data'!$A1025,'Category Mapping'!$A$28:$A$39,0),1),INDEX('Category Mapping'!$E$28:$E$39,MATCH($A1025,'Category Mapping'!$A$28:$A$39,0),1))</f>
        <v>43251988.285714276</v>
      </c>
      <c r="S1025" s="27">
        <f>S445*IF($E1025="weekday",INDEX('Category Mapping'!$F$28:$F$39,MATCH('Summarized Source Data'!$A1025,'Category Mapping'!$A$28:$A$39,0),1),INDEX('Category Mapping'!$E$28:$E$39,MATCH($A1025,'Category Mapping'!$A$28:$A$39,0),1))</f>
        <v>43251988.285714276</v>
      </c>
      <c r="T1025" s="27">
        <f>T445*IF($E1025="weekday",INDEX('Category Mapping'!$F$28:$F$39,MATCH('Summarized Source Data'!$A1025,'Category Mapping'!$A$28:$A$39,0),1),INDEX('Category Mapping'!$E$28:$E$39,MATCH($A1025,'Category Mapping'!$A$28:$A$39,0),1))</f>
        <v>43251988.285714276</v>
      </c>
      <c r="U1025" s="27">
        <f>U445*IF($E1025="weekday",INDEX('Category Mapping'!$F$28:$F$39,MATCH('Summarized Source Data'!$A1025,'Category Mapping'!$A$28:$A$39,0),1),INDEX('Category Mapping'!$E$28:$E$39,MATCH($A1025,'Category Mapping'!$A$28:$A$39,0),1))</f>
        <v>43251988.285714276</v>
      </c>
      <c r="V1025" s="27">
        <f>V445*IF($E1025="weekday",INDEX('Category Mapping'!$F$28:$F$39,MATCH('Summarized Source Data'!$A1025,'Category Mapping'!$A$28:$A$39,0),1),INDEX('Category Mapping'!$E$28:$E$39,MATCH($A1025,'Category Mapping'!$A$28:$A$39,0),1))</f>
        <v>43251988.285714276</v>
      </c>
      <c r="W1025" s="27">
        <f>W445*IF($E1025="weekday",INDEX('Category Mapping'!$F$28:$F$39,MATCH('Summarized Source Data'!$A1025,'Category Mapping'!$A$28:$A$39,0),1),INDEX('Category Mapping'!$E$28:$E$39,MATCH($A1025,'Category Mapping'!$A$28:$A$39,0),1))</f>
        <v>43251988.285714276</v>
      </c>
      <c r="X1025" s="27">
        <f>X445*IF($E1025="weekday",INDEX('Category Mapping'!$F$28:$F$39,MATCH('Summarized Source Data'!$A1025,'Category Mapping'!$A$28:$A$39,0),1),INDEX('Category Mapping'!$E$28:$E$39,MATCH($A1025,'Category Mapping'!$A$28:$A$39,0),1))</f>
        <v>2887428571.4285712</v>
      </c>
      <c r="Y1025" s="27">
        <f>Y445*IF($E1025="weekday",INDEX('Category Mapping'!$F$28:$F$39,MATCH('Summarized Source Data'!$A1025,'Category Mapping'!$A$28:$A$39,0),1),INDEX('Category Mapping'!$E$28:$E$39,MATCH($A1025,'Category Mapping'!$A$28:$A$39,0),1))</f>
        <v>2887428571.4285712</v>
      </c>
      <c r="Z1025" s="27">
        <f>Z445*IF($E1025="weekday",INDEX('Category Mapping'!$F$28:$F$39,MATCH('Summarized Source Data'!$A1025,'Category Mapping'!$A$28:$A$39,0),1),INDEX('Category Mapping'!$E$28:$E$39,MATCH($A1025,'Category Mapping'!$A$28:$A$39,0),1))</f>
        <v>2887428571.4285712</v>
      </c>
    </row>
    <row r="1026" spans="1:26" x14ac:dyDescent="0.3">
      <c r="A1026">
        <f t="shared" ref="A1026:E1026" si="491">A446</f>
        <v>7</v>
      </c>
      <c r="B1026" t="str">
        <f t="shared" si="491"/>
        <v>Summer</v>
      </c>
      <c r="C1026" t="str">
        <f t="shared" si="491"/>
        <v>h11</v>
      </c>
      <c r="D1026" t="str">
        <f t="shared" si="491"/>
        <v>Hour10</v>
      </c>
      <c r="E1026" t="str">
        <f t="shared" si="491"/>
        <v>Weekend</v>
      </c>
      <c r="F1026" s="27">
        <f>F446*IF($E1026="weekday",INDEX('Category Mapping'!$F$28:$F$39,MATCH('Summarized Source Data'!$A1026,'Category Mapping'!$A$28:$A$39,0),1),INDEX('Category Mapping'!$E$28:$E$39,MATCH($A1026,'Category Mapping'!$A$28:$A$39,0),1))</f>
        <v>455761.99999999994</v>
      </c>
      <c r="G1026" s="27">
        <f>G446*IF($E1026="weekday",INDEX('Category Mapping'!$F$28:$F$39,MATCH('Summarized Source Data'!$A1026,'Category Mapping'!$A$28:$A$39,0),1),INDEX('Category Mapping'!$E$28:$E$39,MATCH($A1026,'Category Mapping'!$A$28:$A$39,0),1))</f>
        <v>328599999.99999994</v>
      </c>
      <c r="H1026" s="27">
        <f>H446*IF($E1026="weekday",INDEX('Category Mapping'!$F$28:$F$39,MATCH('Summarized Source Data'!$A1026,'Category Mapping'!$A$28:$A$39,0),1),INDEX('Category Mapping'!$E$28:$E$39,MATCH($A1026,'Category Mapping'!$A$28:$A$39,0),1))</f>
        <v>0</v>
      </c>
      <c r="I1026" s="27">
        <f>I446*IF($E1026="weekday",INDEX('Category Mapping'!$F$28:$F$39,MATCH('Summarized Source Data'!$A1026,'Category Mapping'!$A$28:$A$39,0),1),INDEX('Category Mapping'!$E$28:$E$39,MATCH($A1026,'Category Mapping'!$A$28:$A$39,0),1))</f>
        <v>60398708.285714276</v>
      </c>
      <c r="J1026" s="27">
        <f>J446*IF($E1026="weekday",INDEX('Category Mapping'!$F$28:$F$39,MATCH('Summarized Source Data'!$A1026,'Category Mapping'!$A$28:$A$39,0),1),INDEX('Category Mapping'!$E$28:$E$39,MATCH($A1026,'Category Mapping'!$A$28:$A$39,0),1))</f>
        <v>788545529.71428561</v>
      </c>
      <c r="K1026" s="27">
        <f>K446*IF($E1026="weekday",INDEX('Category Mapping'!$F$28:$F$39,MATCH('Summarized Source Data'!$A1026,'Category Mapping'!$A$28:$A$39,0),1),INDEX('Category Mapping'!$E$28:$E$39,MATCH($A1026,'Category Mapping'!$A$28:$A$39,0),1))</f>
        <v>788545529.71428561</v>
      </c>
      <c r="L1026" s="27">
        <f>L446*IF($E1026="weekday",INDEX('Category Mapping'!$F$28:$F$39,MATCH('Summarized Source Data'!$A1026,'Category Mapping'!$A$28:$A$39,0),1),INDEX('Category Mapping'!$E$28:$E$39,MATCH($A1026,'Category Mapping'!$A$28:$A$39,0),1))</f>
        <v>560860.85714285704</v>
      </c>
      <c r="M1026" s="27">
        <f>M446*IF($E1026="weekday",INDEX('Category Mapping'!$F$28:$F$39,MATCH('Summarized Source Data'!$A1026,'Category Mapping'!$A$28:$A$39,0),1),INDEX('Category Mapping'!$E$28:$E$39,MATCH($A1026,'Category Mapping'!$A$28:$A$39,0),1))</f>
        <v>1549999999.9999998</v>
      </c>
      <c r="N1026" s="27">
        <f>N446*IF($E1026="weekday",INDEX('Category Mapping'!$F$28:$F$39,MATCH('Summarized Source Data'!$A1026,'Category Mapping'!$A$28:$A$39,0),1),INDEX('Category Mapping'!$E$28:$E$39,MATCH($A1026,'Category Mapping'!$A$28:$A$39,0),1))</f>
        <v>0</v>
      </c>
      <c r="O1026" s="27">
        <f>O446*IF($E1026="weekday",INDEX('Category Mapping'!$F$28:$F$39,MATCH('Summarized Source Data'!$A1026,'Category Mapping'!$A$28:$A$39,0),1),INDEX('Category Mapping'!$E$28:$E$39,MATCH($A1026,'Category Mapping'!$A$28:$A$39,0),1))</f>
        <v>1106581996.2857141</v>
      </c>
      <c r="P1026" s="27">
        <f>P446*IF($E1026="weekday",INDEX('Category Mapping'!$F$28:$F$39,MATCH('Summarized Source Data'!$A1026,'Category Mapping'!$A$28:$A$39,0),1),INDEX('Category Mapping'!$E$28:$E$39,MATCH($A1026,'Category Mapping'!$A$28:$A$39,0),1))</f>
        <v>1106581996.2857141</v>
      </c>
      <c r="Q1026" s="27">
        <f>Q446*IF($E1026="weekday",INDEX('Category Mapping'!$F$28:$F$39,MATCH('Summarized Source Data'!$A1026,'Category Mapping'!$A$28:$A$39,0),1),INDEX('Category Mapping'!$E$28:$E$39,MATCH($A1026,'Category Mapping'!$A$28:$A$39,0),1))</f>
        <v>1106581996.2857141</v>
      </c>
      <c r="R1026" s="27">
        <f>R446*IF($E1026="weekday",INDEX('Category Mapping'!$F$28:$F$39,MATCH('Summarized Source Data'!$A1026,'Category Mapping'!$A$28:$A$39,0),1),INDEX('Category Mapping'!$E$28:$E$39,MATCH($A1026,'Category Mapping'!$A$28:$A$39,0),1))</f>
        <v>45917793.428571425</v>
      </c>
      <c r="S1026" s="27">
        <f>S446*IF($E1026="weekday",INDEX('Category Mapping'!$F$28:$F$39,MATCH('Summarized Source Data'!$A1026,'Category Mapping'!$A$28:$A$39,0),1),INDEX('Category Mapping'!$E$28:$E$39,MATCH($A1026,'Category Mapping'!$A$28:$A$39,0),1))</f>
        <v>45917793.428571425</v>
      </c>
      <c r="T1026" s="27">
        <f>T446*IF($E1026="weekday",INDEX('Category Mapping'!$F$28:$F$39,MATCH('Summarized Source Data'!$A1026,'Category Mapping'!$A$28:$A$39,0),1),INDEX('Category Mapping'!$E$28:$E$39,MATCH($A1026,'Category Mapping'!$A$28:$A$39,0),1))</f>
        <v>45917793.428571425</v>
      </c>
      <c r="U1026" s="27">
        <f>U446*IF($E1026="weekday",INDEX('Category Mapping'!$F$28:$F$39,MATCH('Summarized Source Data'!$A1026,'Category Mapping'!$A$28:$A$39,0),1),INDEX('Category Mapping'!$E$28:$E$39,MATCH($A1026,'Category Mapping'!$A$28:$A$39,0),1))</f>
        <v>45917793.428571425</v>
      </c>
      <c r="V1026" s="27">
        <f>V446*IF($E1026="weekday",INDEX('Category Mapping'!$F$28:$F$39,MATCH('Summarized Source Data'!$A1026,'Category Mapping'!$A$28:$A$39,0),1),INDEX('Category Mapping'!$E$28:$E$39,MATCH($A1026,'Category Mapping'!$A$28:$A$39,0),1))</f>
        <v>45917793.428571425</v>
      </c>
      <c r="W1026" s="27">
        <f>W446*IF($E1026="weekday",INDEX('Category Mapping'!$F$28:$F$39,MATCH('Summarized Source Data'!$A1026,'Category Mapping'!$A$28:$A$39,0),1),INDEX('Category Mapping'!$E$28:$E$39,MATCH($A1026,'Category Mapping'!$A$28:$A$39,0),1))</f>
        <v>45917793.428571425</v>
      </c>
      <c r="X1026" s="27">
        <f>X446*IF($E1026="weekday",INDEX('Category Mapping'!$F$28:$F$39,MATCH('Summarized Source Data'!$A1026,'Category Mapping'!$A$28:$A$39,0),1),INDEX('Category Mapping'!$E$28:$E$39,MATCH($A1026,'Category Mapping'!$A$28:$A$39,0),1))</f>
        <v>2887428571.4285712</v>
      </c>
      <c r="Y1026" s="27">
        <f>Y446*IF($E1026="weekday",INDEX('Category Mapping'!$F$28:$F$39,MATCH('Summarized Source Data'!$A1026,'Category Mapping'!$A$28:$A$39,0),1),INDEX('Category Mapping'!$E$28:$E$39,MATCH($A1026,'Category Mapping'!$A$28:$A$39,0),1))</f>
        <v>2887428571.4285712</v>
      </c>
      <c r="Z1026" s="27">
        <f>Z446*IF($E1026="weekday",INDEX('Category Mapping'!$F$28:$F$39,MATCH('Summarized Source Data'!$A1026,'Category Mapping'!$A$28:$A$39,0),1),INDEX('Category Mapping'!$E$28:$E$39,MATCH($A1026,'Category Mapping'!$A$28:$A$39,0),1))</f>
        <v>2887428571.4285712</v>
      </c>
    </row>
    <row r="1027" spans="1:26" x14ac:dyDescent="0.3">
      <c r="A1027">
        <f t="shared" ref="A1027:E1027" si="492">A447</f>
        <v>7</v>
      </c>
      <c r="B1027" t="str">
        <f t="shared" si="492"/>
        <v>Summer</v>
      </c>
      <c r="C1027" t="str">
        <f t="shared" si="492"/>
        <v>h12</v>
      </c>
      <c r="D1027" t="str">
        <f t="shared" si="492"/>
        <v>Hour11</v>
      </c>
      <c r="E1027" t="str">
        <f t="shared" si="492"/>
        <v>Weekend</v>
      </c>
      <c r="F1027" s="27">
        <f>F447*IF($E1027="weekday",INDEX('Category Mapping'!$F$28:$F$39,MATCH('Summarized Source Data'!$A1027,'Category Mapping'!$A$28:$A$39,0),1),INDEX('Category Mapping'!$E$28:$E$39,MATCH($A1027,'Category Mapping'!$A$28:$A$39,0),1))</f>
        <v>350849.14285714278</v>
      </c>
      <c r="G1027" s="27">
        <f>G447*IF($E1027="weekday",INDEX('Category Mapping'!$F$28:$F$39,MATCH('Summarized Source Data'!$A1027,'Category Mapping'!$A$28:$A$39,0),1),INDEX('Category Mapping'!$E$28:$E$39,MATCH($A1027,'Category Mapping'!$A$28:$A$39,0),1))</f>
        <v>370228571.4285714</v>
      </c>
      <c r="H1027" s="27">
        <f>H447*IF($E1027="weekday",INDEX('Category Mapping'!$F$28:$F$39,MATCH('Summarized Source Data'!$A1027,'Category Mapping'!$A$28:$A$39,0),1),INDEX('Category Mapping'!$E$28:$E$39,MATCH($A1027,'Category Mapping'!$A$28:$A$39,0),1))</f>
        <v>0</v>
      </c>
      <c r="I1027" s="27">
        <f>I447*IF($E1027="weekday",INDEX('Category Mapping'!$F$28:$F$39,MATCH('Summarized Source Data'!$A1027,'Category Mapping'!$A$28:$A$39,0),1),INDEX('Category Mapping'!$E$28:$E$39,MATCH($A1027,'Category Mapping'!$A$28:$A$39,0),1))</f>
        <v>64084431.142857134</v>
      </c>
      <c r="J1027" s="27">
        <f>J447*IF($E1027="weekday",INDEX('Category Mapping'!$F$28:$F$39,MATCH('Summarized Source Data'!$A1027,'Category Mapping'!$A$28:$A$39,0),1),INDEX('Category Mapping'!$E$28:$E$39,MATCH($A1027,'Category Mapping'!$A$28:$A$39,0),1))</f>
        <v>885050433.99999988</v>
      </c>
      <c r="K1027" s="27">
        <f>K447*IF($E1027="weekday",INDEX('Category Mapping'!$F$28:$F$39,MATCH('Summarized Source Data'!$A1027,'Category Mapping'!$A$28:$A$39,0),1),INDEX('Category Mapping'!$E$28:$E$39,MATCH($A1027,'Category Mapping'!$A$28:$A$39,0),1))</f>
        <v>885050433.99999988</v>
      </c>
      <c r="L1027" s="27">
        <f>L447*IF($E1027="weekday",INDEX('Category Mapping'!$F$28:$F$39,MATCH('Summarized Source Data'!$A1027,'Category Mapping'!$A$28:$A$39,0),1),INDEX('Category Mapping'!$E$28:$E$39,MATCH($A1027,'Category Mapping'!$A$28:$A$39,0),1))</f>
        <v>560860.85714285704</v>
      </c>
      <c r="M1027" s="27">
        <f>M447*IF($E1027="weekday",INDEX('Category Mapping'!$F$28:$F$39,MATCH('Summarized Source Data'!$A1027,'Category Mapping'!$A$28:$A$39,0),1),INDEX('Category Mapping'!$E$28:$E$39,MATCH($A1027,'Category Mapping'!$A$28:$A$39,0),1))</f>
        <v>1620857142.8571427</v>
      </c>
      <c r="N1027" s="27">
        <f>N447*IF($E1027="weekday",INDEX('Category Mapping'!$F$28:$F$39,MATCH('Summarized Source Data'!$A1027,'Category Mapping'!$A$28:$A$39,0),1),INDEX('Category Mapping'!$E$28:$E$39,MATCH($A1027,'Category Mapping'!$A$28:$A$39,0),1))</f>
        <v>0</v>
      </c>
      <c r="O1027" s="27">
        <f>O447*IF($E1027="weekday",INDEX('Category Mapping'!$F$28:$F$39,MATCH('Summarized Source Data'!$A1027,'Category Mapping'!$A$28:$A$39,0),1),INDEX('Category Mapping'!$E$28:$E$39,MATCH($A1027,'Category Mapping'!$A$28:$A$39,0),1))</f>
        <v>1115439139.1428571</v>
      </c>
      <c r="P1027" s="27">
        <f>P447*IF($E1027="weekday",INDEX('Category Mapping'!$F$28:$F$39,MATCH('Summarized Source Data'!$A1027,'Category Mapping'!$A$28:$A$39,0),1),INDEX('Category Mapping'!$E$28:$E$39,MATCH($A1027,'Category Mapping'!$A$28:$A$39,0),1))</f>
        <v>1115439139.1428571</v>
      </c>
      <c r="Q1027" s="27">
        <f>Q447*IF($E1027="weekday",INDEX('Category Mapping'!$F$28:$F$39,MATCH('Summarized Source Data'!$A1027,'Category Mapping'!$A$28:$A$39,0),1),INDEX('Category Mapping'!$E$28:$E$39,MATCH($A1027,'Category Mapping'!$A$28:$A$39,0),1))</f>
        <v>1115439139.1428571</v>
      </c>
      <c r="R1027" s="27">
        <f>R447*IF($E1027="weekday",INDEX('Category Mapping'!$F$28:$F$39,MATCH('Summarized Source Data'!$A1027,'Category Mapping'!$A$28:$A$39,0),1),INDEX('Category Mapping'!$E$28:$E$39,MATCH($A1027,'Category Mapping'!$A$28:$A$39,0),1))</f>
        <v>47525533.142857134</v>
      </c>
      <c r="S1027" s="27">
        <f>S447*IF($E1027="weekday",INDEX('Category Mapping'!$F$28:$F$39,MATCH('Summarized Source Data'!$A1027,'Category Mapping'!$A$28:$A$39,0),1),INDEX('Category Mapping'!$E$28:$E$39,MATCH($A1027,'Category Mapping'!$A$28:$A$39,0),1))</f>
        <v>47525533.142857134</v>
      </c>
      <c r="T1027" s="27">
        <f>T447*IF($E1027="weekday",INDEX('Category Mapping'!$F$28:$F$39,MATCH('Summarized Source Data'!$A1027,'Category Mapping'!$A$28:$A$39,0),1),INDEX('Category Mapping'!$E$28:$E$39,MATCH($A1027,'Category Mapping'!$A$28:$A$39,0),1))</f>
        <v>47525533.142857134</v>
      </c>
      <c r="U1027" s="27">
        <f>U447*IF($E1027="weekday",INDEX('Category Mapping'!$F$28:$F$39,MATCH('Summarized Source Data'!$A1027,'Category Mapping'!$A$28:$A$39,0),1),INDEX('Category Mapping'!$E$28:$E$39,MATCH($A1027,'Category Mapping'!$A$28:$A$39,0),1))</f>
        <v>47525533.142857134</v>
      </c>
      <c r="V1027" s="27">
        <f>V447*IF($E1027="weekday",INDEX('Category Mapping'!$F$28:$F$39,MATCH('Summarized Source Data'!$A1027,'Category Mapping'!$A$28:$A$39,0),1),INDEX('Category Mapping'!$E$28:$E$39,MATCH($A1027,'Category Mapping'!$A$28:$A$39,0),1))</f>
        <v>47525533.142857134</v>
      </c>
      <c r="W1027" s="27">
        <f>W447*IF($E1027="weekday",INDEX('Category Mapping'!$F$28:$F$39,MATCH('Summarized Source Data'!$A1027,'Category Mapping'!$A$28:$A$39,0),1),INDEX('Category Mapping'!$E$28:$E$39,MATCH($A1027,'Category Mapping'!$A$28:$A$39,0),1))</f>
        <v>47525533.142857134</v>
      </c>
      <c r="X1027" s="27">
        <f>X447*IF($E1027="weekday",INDEX('Category Mapping'!$F$28:$F$39,MATCH('Summarized Source Data'!$A1027,'Category Mapping'!$A$28:$A$39,0),1),INDEX('Category Mapping'!$E$28:$E$39,MATCH($A1027,'Category Mapping'!$A$28:$A$39,0),1))</f>
        <v>2878571428.5714283</v>
      </c>
      <c r="Y1027" s="27">
        <f>Y447*IF($E1027="weekday",INDEX('Category Mapping'!$F$28:$F$39,MATCH('Summarized Source Data'!$A1027,'Category Mapping'!$A$28:$A$39,0),1),INDEX('Category Mapping'!$E$28:$E$39,MATCH($A1027,'Category Mapping'!$A$28:$A$39,0),1))</f>
        <v>2878571428.5714283</v>
      </c>
      <c r="Z1027" s="27">
        <f>Z447*IF($E1027="weekday",INDEX('Category Mapping'!$F$28:$F$39,MATCH('Summarized Source Data'!$A1027,'Category Mapping'!$A$28:$A$39,0),1),INDEX('Category Mapping'!$E$28:$E$39,MATCH($A1027,'Category Mapping'!$A$28:$A$39,0),1))</f>
        <v>2878571428.5714283</v>
      </c>
    </row>
    <row r="1028" spans="1:26" x14ac:dyDescent="0.3">
      <c r="A1028">
        <f t="shared" ref="A1028:E1028" si="493">A448</f>
        <v>7</v>
      </c>
      <c r="B1028" t="str">
        <f t="shared" si="493"/>
        <v>Summer</v>
      </c>
      <c r="C1028" t="str">
        <f t="shared" si="493"/>
        <v>h13</v>
      </c>
      <c r="D1028" t="str">
        <f t="shared" si="493"/>
        <v>Hour12</v>
      </c>
      <c r="E1028" t="str">
        <f t="shared" si="493"/>
        <v>Weekend</v>
      </c>
      <c r="F1028" s="27">
        <f>F448*IF($E1028="weekday",INDEX('Category Mapping'!$F$28:$F$39,MATCH('Summarized Source Data'!$A1028,'Category Mapping'!$A$28:$A$39,0),1),INDEX('Category Mapping'!$E$28:$E$39,MATCH($A1028,'Category Mapping'!$A$28:$A$39,0),1))</f>
        <v>358448.57142857136</v>
      </c>
      <c r="G1028" s="27">
        <f>G448*IF($E1028="weekday",INDEX('Category Mapping'!$F$28:$F$39,MATCH('Summarized Source Data'!$A1028,'Category Mapping'!$A$28:$A$39,0),1),INDEX('Category Mapping'!$E$28:$E$39,MATCH($A1028,'Category Mapping'!$A$28:$A$39,0),1))</f>
        <v>410085714.28571421</v>
      </c>
      <c r="H1028" s="27">
        <f>H448*IF($E1028="weekday",INDEX('Category Mapping'!$F$28:$F$39,MATCH('Summarized Source Data'!$A1028,'Category Mapping'!$A$28:$A$39,0),1),INDEX('Category Mapping'!$E$28:$E$39,MATCH($A1028,'Category Mapping'!$A$28:$A$39,0),1))</f>
        <v>0</v>
      </c>
      <c r="I1028" s="27">
        <f>I448*IF($E1028="weekday",INDEX('Category Mapping'!$F$28:$F$39,MATCH('Summarized Source Data'!$A1028,'Category Mapping'!$A$28:$A$39,0),1),INDEX('Category Mapping'!$E$28:$E$39,MATCH($A1028,'Category Mapping'!$A$28:$A$39,0),1))</f>
        <v>66311630.57142856</v>
      </c>
      <c r="J1028" s="27">
        <f>J448*IF($E1028="weekday",INDEX('Category Mapping'!$F$28:$F$39,MATCH('Summarized Source Data'!$A1028,'Category Mapping'!$A$28:$A$39,0),1),INDEX('Category Mapping'!$E$28:$E$39,MATCH($A1028,'Category Mapping'!$A$28:$A$39,0),1))</f>
        <v>807529920.85714269</v>
      </c>
      <c r="K1028" s="27">
        <f>K448*IF($E1028="weekday",INDEX('Category Mapping'!$F$28:$F$39,MATCH('Summarized Source Data'!$A1028,'Category Mapping'!$A$28:$A$39,0),1),INDEX('Category Mapping'!$E$28:$E$39,MATCH($A1028,'Category Mapping'!$A$28:$A$39,0),1))</f>
        <v>807529920.85714269</v>
      </c>
      <c r="L1028" s="27">
        <f>L448*IF($E1028="weekday",INDEX('Category Mapping'!$F$28:$F$39,MATCH('Summarized Source Data'!$A1028,'Category Mapping'!$A$28:$A$39,0),1),INDEX('Category Mapping'!$E$28:$E$39,MATCH($A1028,'Category Mapping'!$A$28:$A$39,0),1))</f>
        <v>560860.85714285704</v>
      </c>
      <c r="M1028" s="27">
        <f>M448*IF($E1028="weekday",INDEX('Category Mapping'!$F$28:$F$39,MATCH('Summarized Source Data'!$A1028,'Category Mapping'!$A$28:$A$39,0),1),INDEX('Category Mapping'!$E$28:$E$39,MATCH($A1028,'Category Mapping'!$A$28:$A$39,0),1))</f>
        <v>1682857142.8571427</v>
      </c>
      <c r="N1028" s="27">
        <f>N448*IF($E1028="weekday",INDEX('Category Mapping'!$F$28:$F$39,MATCH('Summarized Source Data'!$A1028,'Category Mapping'!$A$28:$A$39,0),1),INDEX('Category Mapping'!$E$28:$E$39,MATCH($A1028,'Category Mapping'!$A$28:$A$39,0),1))</f>
        <v>0</v>
      </c>
      <c r="O1028" s="27">
        <f>O448*IF($E1028="weekday",INDEX('Category Mapping'!$F$28:$F$39,MATCH('Summarized Source Data'!$A1028,'Category Mapping'!$A$28:$A$39,0),1),INDEX('Category Mapping'!$E$28:$E$39,MATCH($A1028,'Category Mapping'!$A$28:$A$39,0),1))</f>
        <v>1106581996.2857141</v>
      </c>
      <c r="P1028" s="27">
        <f>P448*IF($E1028="weekday",INDEX('Category Mapping'!$F$28:$F$39,MATCH('Summarized Source Data'!$A1028,'Category Mapping'!$A$28:$A$39,0),1),INDEX('Category Mapping'!$E$28:$E$39,MATCH($A1028,'Category Mapping'!$A$28:$A$39,0),1))</f>
        <v>1106581996.2857141</v>
      </c>
      <c r="Q1028" s="27">
        <f>Q448*IF($E1028="weekday",INDEX('Category Mapping'!$F$28:$F$39,MATCH('Summarized Source Data'!$A1028,'Category Mapping'!$A$28:$A$39,0),1),INDEX('Category Mapping'!$E$28:$E$39,MATCH($A1028,'Category Mapping'!$A$28:$A$39,0),1))</f>
        <v>1106581996.2857141</v>
      </c>
      <c r="R1028" s="27">
        <f>R448*IF($E1028="weekday",INDEX('Category Mapping'!$F$28:$F$39,MATCH('Summarized Source Data'!$A1028,'Category Mapping'!$A$28:$A$39,0),1),INDEX('Category Mapping'!$E$28:$E$39,MATCH($A1028,'Category Mapping'!$A$28:$A$39,0),1))</f>
        <v>46571202.571428567</v>
      </c>
      <c r="S1028" s="27">
        <f>S448*IF($E1028="weekday",INDEX('Category Mapping'!$F$28:$F$39,MATCH('Summarized Source Data'!$A1028,'Category Mapping'!$A$28:$A$39,0),1),INDEX('Category Mapping'!$E$28:$E$39,MATCH($A1028,'Category Mapping'!$A$28:$A$39,0),1))</f>
        <v>46571202.571428567</v>
      </c>
      <c r="T1028" s="27">
        <f>T448*IF($E1028="weekday",INDEX('Category Mapping'!$F$28:$F$39,MATCH('Summarized Source Data'!$A1028,'Category Mapping'!$A$28:$A$39,0),1),INDEX('Category Mapping'!$E$28:$E$39,MATCH($A1028,'Category Mapping'!$A$28:$A$39,0),1))</f>
        <v>46571202.571428567</v>
      </c>
      <c r="U1028" s="27">
        <f>U448*IF($E1028="weekday",INDEX('Category Mapping'!$F$28:$F$39,MATCH('Summarized Source Data'!$A1028,'Category Mapping'!$A$28:$A$39,0),1),INDEX('Category Mapping'!$E$28:$E$39,MATCH($A1028,'Category Mapping'!$A$28:$A$39,0),1))</f>
        <v>46571202.571428567</v>
      </c>
      <c r="V1028" s="27">
        <f>V448*IF($E1028="weekday",INDEX('Category Mapping'!$F$28:$F$39,MATCH('Summarized Source Data'!$A1028,'Category Mapping'!$A$28:$A$39,0),1),INDEX('Category Mapping'!$E$28:$E$39,MATCH($A1028,'Category Mapping'!$A$28:$A$39,0),1))</f>
        <v>46571202.571428567</v>
      </c>
      <c r="W1028" s="27">
        <f>W448*IF($E1028="weekday",INDEX('Category Mapping'!$F$28:$F$39,MATCH('Summarized Source Data'!$A1028,'Category Mapping'!$A$28:$A$39,0),1),INDEX('Category Mapping'!$E$28:$E$39,MATCH($A1028,'Category Mapping'!$A$28:$A$39,0),1))</f>
        <v>46571202.571428567</v>
      </c>
      <c r="X1028" s="27">
        <f>X448*IF($E1028="weekday",INDEX('Category Mapping'!$F$28:$F$39,MATCH('Summarized Source Data'!$A1028,'Category Mapping'!$A$28:$A$39,0),1),INDEX('Category Mapping'!$E$28:$E$39,MATCH($A1028,'Category Mapping'!$A$28:$A$39,0),1))</f>
        <v>2878571428.5714283</v>
      </c>
      <c r="Y1028" s="27">
        <f>Y448*IF($E1028="weekday",INDEX('Category Mapping'!$F$28:$F$39,MATCH('Summarized Source Data'!$A1028,'Category Mapping'!$A$28:$A$39,0),1),INDEX('Category Mapping'!$E$28:$E$39,MATCH($A1028,'Category Mapping'!$A$28:$A$39,0),1))</f>
        <v>2878571428.5714283</v>
      </c>
      <c r="Z1028" s="27">
        <f>Z448*IF($E1028="weekday",INDEX('Category Mapping'!$F$28:$F$39,MATCH('Summarized Source Data'!$A1028,'Category Mapping'!$A$28:$A$39,0),1),INDEX('Category Mapping'!$E$28:$E$39,MATCH($A1028,'Category Mapping'!$A$28:$A$39,0),1))</f>
        <v>2878571428.5714283</v>
      </c>
    </row>
    <row r="1029" spans="1:26" x14ac:dyDescent="0.3">
      <c r="A1029">
        <f t="shared" ref="A1029:E1029" si="494">A449</f>
        <v>7</v>
      </c>
      <c r="B1029" t="str">
        <f t="shared" si="494"/>
        <v>Summer</v>
      </c>
      <c r="C1029" t="str">
        <f t="shared" si="494"/>
        <v>h14</v>
      </c>
      <c r="D1029" t="str">
        <f t="shared" si="494"/>
        <v>Hour13</v>
      </c>
      <c r="E1029" t="str">
        <f t="shared" si="494"/>
        <v>Weekend</v>
      </c>
      <c r="F1029" s="27">
        <f>F449*IF($E1029="weekday",INDEX('Category Mapping'!$F$28:$F$39,MATCH('Summarized Source Data'!$A1029,'Category Mapping'!$A$28:$A$39,0),1),INDEX('Category Mapping'!$E$28:$E$39,MATCH($A1029,'Category Mapping'!$A$28:$A$39,0),1))</f>
        <v>358156.28571428568</v>
      </c>
      <c r="G1029" s="27">
        <f>G449*IF($E1029="weekday",INDEX('Category Mapping'!$F$28:$F$39,MATCH('Summarized Source Data'!$A1029,'Category Mapping'!$A$28:$A$39,0),1),INDEX('Category Mapping'!$E$28:$E$39,MATCH($A1029,'Category Mapping'!$A$28:$A$39,0),1))</f>
        <v>429571428.57142854</v>
      </c>
      <c r="H1029" s="27">
        <f>H449*IF($E1029="weekday",INDEX('Category Mapping'!$F$28:$F$39,MATCH('Summarized Source Data'!$A1029,'Category Mapping'!$A$28:$A$39,0),1),INDEX('Category Mapping'!$E$28:$E$39,MATCH($A1029,'Category Mapping'!$A$28:$A$39,0),1))</f>
        <v>0</v>
      </c>
      <c r="I1029" s="27">
        <f>I449*IF($E1029="weekday",INDEX('Category Mapping'!$F$28:$F$39,MATCH('Summarized Source Data'!$A1029,'Category Mapping'!$A$28:$A$39,0),1),INDEX('Category Mapping'!$E$28:$E$39,MATCH($A1029,'Category Mapping'!$A$28:$A$39,0),1))</f>
        <v>66226663.999999993</v>
      </c>
      <c r="J1029" s="27">
        <f>J449*IF($E1029="weekday",INDEX('Category Mapping'!$F$28:$F$39,MATCH('Summarized Source Data'!$A1029,'Category Mapping'!$A$28:$A$39,0),1),INDEX('Category Mapping'!$E$28:$E$39,MATCH($A1029,'Category Mapping'!$A$28:$A$39,0),1))</f>
        <v>708415179.71428561</v>
      </c>
      <c r="K1029" s="27">
        <f>K449*IF($E1029="weekday",INDEX('Category Mapping'!$F$28:$F$39,MATCH('Summarized Source Data'!$A1029,'Category Mapping'!$A$28:$A$39,0),1),INDEX('Category Mapping'!$E$28:$E$39,MATCH($A1029,'Category Mapping'!$A$28:$A$39,0),1))</f>
        <v>708415179.71428561</v>
      </c>
      <c r="L1029" s="27">
        <f>L449*IF($E1029="weekday",INDEX('Category Mapping'!$F$28:$F$39,MATCH('Summarized Source Data'!$A1029,'Category Mapping'!$A$28:$A$39,0),1),INDEX('Category Mapping'!$E$28:$E$39,MATCH($A1029,'Category Mapping'!$A$28:$A$39,0),1))</f>
        <v>560860.85714285704</v>
      </c>
      <c r="M1029" s="27">
        <f>M449*IF($E1029="weekday",INDEX('Category Mapping'!$F$28:$F$39,MATCH('Summarized Source Data'!$A1029,'Category Mapping'!$A$28:$A$39,0),1),INDEX('Category Mapping'!$E$28:$E$39,MATCH($A1029,'Category Mapping'!$A$28:$A$39,0),1))</f>
        <v>1718285714.2857141</v>
      </c>
      <c r="N1029" s="27">
        <f>N449*IF($E1029="weekday",INDEX('Category Mapping'!$F$28:$F$39,MATCH('Summarized Source Data'!$A1029,'Category Mapping'!$A$28:$A$39,0),1),INDEX('Category Mapping'!$E$28:$E$39,MATCH($A1029,'Category Mapping'!$A$28:$A$39,0),1))</f>
        <v>0</v>
      </c>
      <c r="O1029" s="27">
        <f>O449*IF($E1029="weekday",INDEX('Category Mapping'!$F$28:$F$39,MATCH('Summarized Source Data'!$A1029,'Category Mapping'!$A$28:$A$39,0),1),INDEX('Category Mapping'!$E$28:$E$39,MATCH($A1029,'Category Mapping'!$A$28:$A$39,0),1))</f>
        <v>1062296281.9999999</v>
      </c>
      <c r="P1029" s="27">
        <f>P449*IF($E1029="weekday",INDEX('Category Mapping'!$F$28:$F$39,MATCH('Summarized Source Data'!$A1029,'Category Mapping'!$A$28:$A$39,0),1),INDEX('Category Mapping'!$E$28:$E$39,MATCH($A1029,'Category Mapping'!$A$28:$A$39,0),1))</f>
        <v>1062296281.9999999</v>
      </c>
      <c r="Q1029" s="27">
        <f>Q449*IF($E1029="weekday",INDEX('Category Mapping'!$F$28:$F$39,MATCH('Summarized Source Data'!$A1029,'Category Mapping'!$A$28:$A$39,0),1),INDEX('Category Mapping'!$E$28:$E$39,MATCH($A1029,'Category Mapping'!$A$28:$A$39,0),1))</f>
        <v>1062296281.9999999</v>
      </c>
      <c r="R1029" s="27">
        <f>R449*IF($E1029="weekday",INDEX('Category Mapping'!$F$28:$F$39,MATCH('Summarized Source Data'!$A1029,'Category Mapping'!$A$28:$A$39,0),1),INDEX('Category Mapping'!$E$28:$E$39,MATCH($A1029,'Category Mapping'!$A$28:$A$39,0),1))</f>
        <v>44495283.142857134</v>
      </c>
      <c r="S1029" s="27">
        <f>S449*IF($E1029="weekday",INDEX('Category Mapping'!$F$28:$F$39,MATCH('Summarized Source Data'!$A1029,'Category Mapping'!$A$28:$A$39,0),1),INDEX('Category Mapping'!$E$28:$E$39,MATCH($A1029,'Category Mapping'!$A$28:$A$39,0),1))</f>
        <v>44495283.142857134</v>
      </c>
      <c r="T1029" s="27">
        <f>T449*IF($E1029="weekday",INDEX('Category Mapping'!$F$28:$F$39,MATCH('Summarized Source Data'!$A1029,'Category Mapping'!$A$28:$A$39,0),1),INDEX('Category Mapping'!$E$28:$E$39,MATCH($A1029,'Category Mapping'!$A$28:$A$39,0),1))</f>
        <v>44495283.142857134</v>
      </c>
      <c r="U1029" s="27">
        <f>U449*IF($E1029="weekday",INDEX('Category Mapping'!$F$28:$F$39,MATCH('Summarized Source Data'!$A1029,'Category Mapping'!$A$28:$A$39,0),1),INDEX('Category Mapping'!$E$28:$E$39,MATCH($A1029,'Category Mapping'!$A$28:$A$39,0),1))</f>
        <v>44495283.142857134</v>
      </c>
      <c r="V1029" s="27">
        <f>V449*IF($E1029="weekday",INDEX('Category Mapping'!$F$28:$F$39,MATCH('Summarized Source Data'!$A1029,'Category Mapping'!$A$28:$A$39,0),1),INDEX('Category Mapping'!$E$28:$E$39,MATCH($A1029,'Category Mapping'!$A$28:$A$39,0),1))</f>
        <v>44495283.142857134</v>
      </c>
      <c r="W1029" s="27">
        <f>W449*IF($E1029="weekday",INDEX('Category Mapping'!$F$28:$F$39,MATCH('Summarized Source Data'!$A1029,'Category Mapping'!$A$28:$A$39,0),1),INDEX('Category Mapping'!$E$28:$E$39,MATCH($A1029,'Category Mapping'!$A$28:$A$39,0),1))</f>
        <v>44495283.142857134</v>
      </c>
      <c r="X1029" s="27">
        <f>X449*IF($E1029="weekday",INDEX('Category Mapping'!$F$28:$F$39,MATCH('Summarized Source Data'!$A1029,'Category Mapping'!$A$28:$A$39,0),1),INDEX('Category Mapping'!$E$28:$E$39,MATCH($A1029,'Category Mapping'!$A$28:$A$39,0),1))</f>
        <v>2878571428.5714283</v>
      </c>
      <c r="Y1029" s="27">
        <f>Y449*IF($E1029="weekday",INDEX('Category Mapping'!$F$28:$F$39,MATCH('Summarized Source Data'!$A1029,'Category Mapping'!$A$28:$A$39,0),1),INDEX('Category Mapping'!$E$28:$E$39,MATCH($A1029,'Category Mapping'!$A$28:$A$39,0),1))</f>
        <v>2878571428.5714283</v>
      </c>
      <c r="Z1029" s="27">
        <f>Z449*IF($E1029="weekday",INDEX('Category Mapping'!$F$28:$F$39,MATCH('Summarized Source Data'!$A1029,'Category Mapping'!$A$28:$A$39,0),1),INDEX('Category Mapping'!$E$28:$E$39,MATCH($A1029,'Category Mapping'!$A$28:$A$39,0),1))</f>
        <v>2878571428.5714283</v>
      </c>
    </row>
    <row r="1030" spans="1:26" x14ac:dyDescent="0.3">
      <c r="A1030">
        <f t="shared" ref="A1030:E1030" si="495">A450</f>
        <v>7</v>
      </c>
      <c r="B1030" t="str">
        <f t="shared" si="495"/>
        <v>Summer</v>
      </c>
      <c r="C1030" t="str">
        <f t="shared" si="495"/>
        <v>h15</v>
      </c>
      <c r="D1030" t="str">
        <f t="shared" si="495"/>
        <v>Hour14</v>
      </c>
      <c r="E1030" t="str">
        <f t="shared" si="495"/>
        <v>Weekend</v>
      </c>
      <c r="F1030" s="27">
        <f>F450*IF($E1030="weekday",INDEX('Category Mapping'!$F$28:$F$39,MATCH('Summarized Source Data'!$A1030,'Category Mapping'!$A$28:$A$39,0),1),INDEX('Category Mapping'!$E$28:$E$39,MATCH($A1030,'Category Mapping'!$A$28:$A$39,0),1))</f>
        <v>355782.57142857136</v>
      </c>
      <c r="G1030" s="27">
        <f>G450*IF($E1030="weekday",INDEX('Category Mapping'!$F$28:$F$39,MATCH('Summarized Source Data'!$A1030,'Category Mapping'!$A$28:$A$39,0),1),INDEX('Category Mapping'!$E$28:$E$39,MATCH($A1030,'Category Mapping'!$A$28:$A$39,0),1))</f>
        <v>433999999.99999994</v>
      </c>
      <c r="H1030" s="27">
        <f>H450*IF($E1030="weekday",INDEX('Category Mapping'!$F$28:$F$39,MATCH('Summarized Source Data'!$A1030,'Category Mapping'!$A$28:$A$39,0),1),INDEX('Category Mapping'!$E$28:$E$39,MATCH($A1030,'Category Mapping'!$A$28:$A$39,0),1))</f>
        <v>0</v>
      </c>
      <c r="I1030" s="27">
        <f>I450*IF($E1030="weekday",INDEX('Category Mapping'!$F$28:$F$39,MATCH('Summarized Source Data'!$A1030,'Category Mapping'!$A$28:$A$39,0),1),INDEX('Category Mapping'!$E$28:$E$39,MATCH($A1030,'Category Mapping'!$A$28:$A$39,0),1))</f>
        <v>65529819.428571418</v>
      </c>
      <c r="J1030" s="27">
        <f>J450*IF($E1030="weekday",INDEX('Category Mapping'!$F$28:$F$39,MATCH('Summarized Source Data'!$A1030,'Category Mapping'!$A$28:$A$39,0),1),INDEX('Category Mapping'!$E$28:$E$39,MATCH($A1030,'Category Mapping'!$A$28:$A$39,0),1))</f>
        <v>748971540.85714281</v>
      </c>
      <c r="K1030" s="27">
        <f>K450*IF($E1030="weekday",INDEX('Category Mapping'!$F$28:$F$39,MATCH('Summarized Source Data'!$A1030,'Category Mapping'!$A$28:$A$39,0),1),INDEX('Category Mapping'!$E$28:$E$39,MATCH($A1030,'Category Mapping'!$A$28:$A$39,0),1))</f>
        <v>748971540.85714281</v>
      </c>
      <c r="L1030" s="27">
        <f>L450*IF($E1030="weekday",INDEX('Category Mapping'!$F$28:$F$39,MATCH('Summarized Source Data'!$A1030,'Category Mapping'!$A$28:$A$39,0),1),INDEX('Category Mapping'!$E$28:$E$39,MATCH($A1030,'Category Mapping'!$A$28:$A$39,0),1))</f>
        <v>560860.85714285704</v>
      </c>
      <c r="M1030" s="27">
        <f>M450*IF($E1030="weekday",INDEX('Category Mapping'!$F$28:$F$39,MATCH('Summarized Source Data'!$A1030,'Category Mapping'!$A$28:$A$39,0),1),INDEX('Category Mapping'!$E$28:$E$39,MATCH($A1030,'Category Mapping'!$A$28:$A$39,0),1))</f>
        <v>1727142857.1428568</v>
      </c>
      <c r="N1030" s="27">
        <f>N450*IF($E1030="weekday",INDEX('Category Mapping'!$F$28:$F$39,MATCH('Summarized Source Data'!$A1030,'Category Mapping'!$A$28:$A$39,0),1),INDEX('Category Mapping'!$E$28:$E$39,MATCH($A1030,'Category Mapping'!$A$28:$A$39,0),1))</f>
        <v>0</v>
      </c>
      <c r="O1030" s="27">
        <f>O450*IF($E1030="weekday",INDEX('Category Mapping'!$F$28:$F$39,MATCH('Summarized Source Data'!$A1030,'Category Mapping'!$A$28:$A$39,0),1),INDEX('Category Mapping'!$E$28:$E$39,MATCH($A1030,'Category Mapping'!$A$28:$A$39,0),1))</f>
        <v>1018010567.7142856</v>
      </c>
      <c r="P1030" s="27">
        <f>P450*IF($E1030="weekday",INDEX('Category Mapping'!$F$28:$F$39,MATCH('Summarized Source Data'!$A1030,'Category Mapping'!$A$28:$A$39,0),1),INDEX('Category Mapping'!$E$28:$E$39,MATCH($A1030,'Category Mapping'!$A$28:$A$39,0),1))</f>
        <v>1018010567.7142856</v>
      </c>
      <c r="Q1030" s="27">
        <f>Q450*IF($E1030="weekday",INDEX('Category Mapping'!$F$28:$F$39,MATCH('Summarized Source Data'!$A1030,'Category Mapping'!$A$28:$A$39,0),1),INDEX('Category Mapping'!$E$28:$E$39,MATCH($A1030,'Category Mapping'!$A$28:$A$39,0),1))</f>
        <v>1018010567.7142856</v>
      </c>
      <c r="R1030" s="27">
        <f>R450*IF($E1030="weekday",INDEX('Category Mapping'!$F$28:$F$39,MATCH('Summarized Source Data'!$A1030,'Category Mapping'!$A$28:$A$39,0),1),INDEX('Category Mapping'!$E$28:$E$39,MATCH($A1030,'Category Mapping'!$A$28:$A$39,0),1))</f>
        <v>43872935.999999993</v>
      </c>
      <c r="S1030" s="27">
        <f>S450*IF($E1030="weekday",INDEX('Category Mapping'!$F$28:$F$39,MATCH('Summarized Source Data'!$A1030,'Category Mapping'!$A$28:$A$39,0),1),INDEX('Category Mapping'!$E$28:$E$39,MATCH($A1030,'Category Mapping'!$A$28:$A$39,0),1))</f>
        <v>43872935.999999993</v>
      </c>
      <c r="T1030" s="27">
        <f>T450*IF($E1030="weekday",INDEX('Category Mapping'!$F$28:$F$39,MATCH('Summarized Source Data'!$A1030,'Category Mapping'!$A$28:$A$39,0),1),INDEX('Category Mapping'!$E$28:$E$39,MATCH($A1030,'Category Mapping'!$A$28:$A$39,0),1))</f>
        <v>43872935.999999993</v>
      </c>
      <c r="U1030" s="27">
        <f>U450*IF($E1030="weekday",INDEX('Category Mapping'!$F$28:$F$39,MATCH('Summarized Source Data'!$A1030,'Category Mapping'!$A$28:$A$39,0),1),INDEX('Category Mapping'!$E$28:$E$39,MATCH($A1030,'Category Mapping'!$A$28:$A$39,0),1))</f>
        <v>43872935.999999993</v>
      </c>
      <c r="V1030" s="27">
        <f>V450*IF($E1030="weekday",INDEX('Category Mapping'!$F$28:$F$39,MATCH('Summarized Source Data'!$A1030,'Category Mapping'!$A$28:$A$39,0),1),INDEX('Category Mapping'!$E$28:$E$39,MATCH($A1030,'Category Mapping'!$A$28:$A$39,0),1))</f>
        <v>43872935.999999993</v>
      </c>
      <c r="W1030" s="27">
        <f>W450*IF($E1030="weekday",INDEX('Category Mapping'!$F$28:$F$39,MATCH('Summarized Source Data'!$A1030,'Category Mapping'!$A$28:$A$39,0),1),INDEX('Category Mapping'!$E$28:$E$39,MATCH($A1030,'Category Mapping'!$A$28:$A$39,0),1))</f>
        <v>43872935.999999993</v>
      </c>
      <c r="X1030" s="27">
        <f>X450*IF($E1030="weekday",INDEX('Category Mapping'!$F$28:$F$39,MATCH('Summarized Source Data'!$A1030,'Category Mapping'!$A$28:$A$39,0),1),INDEX('Category Mapping'!$E$28:$E$39,MATCH($A1030,'Category Mapping'!$A$28:$A$39,0),1))</f>
        <v>2887428571.4285712</v>
      </c>
      <c r="Y1030" s="27">
        <f>Y450*IF($E1030="weekday",INDEX('Category Mapping'!$F$28:$F$39,MATCH('Summarized Source Data'!$A1030,'Category Mapping'!$A$28:$A$39,0),1),INDEX('Category Mapping'!$E$28:$E$39,MATCH($A1030,'Category Mapping'!$A$28:$A$39,0),1))</f>
        <v>2887428571.4285712</v>
      </c>
      <c r="Z1030" s="27">
        <f>Z450*IF($E1030="weekday",INDEX('Category Mapping'!$F$28:$F$39,MATCH('Summarized Source Data'!$A1030,'Category Mapping'!$A$28:$A$39,0),1),INDEX('Category Mapping'!$E$28:$E$39,MATCH($A1030,'Category Mapping'!$A$28:$A$39,0),1))</f>
        <v>2887428571.4285712</v>
      </c>
    </row>
    <row r="1031" spans="1:26" x14ac:dyDescent="0.3">
      <c r="A1031">
        <f t="shared" ref="A1031:E1031" si="496">A451</f>
        <v>7</v>
      </c>
      <c r="B1031" t="str">
        <f t="shared" si="496"/>
        <v>Summer</v>
      </c>
      <c r="C1031" t="str">
        <f t="shared" si="496"/>
        <v>h16</v>
      </c>
      <c r="D1031" t="str">
        <f t="shared" si="496"/>
        <v>Hour15</v>
      </c>
      <c r="E1031" t="str">
        <f t="shared" si="496"/>
        <v>Weekend</v>
      </c>
      <c r="F1031" s="27">
        <f>F451*IF($E1031="weekday",INDEX('Category Mapping'!$F$28:$F$39,MATCH('Summarized Source Data'!$A1031,'Category Mapping'!$A$28:$A$39,0),1),INDEX('Category Mapping'!$E$28:$E$39,MATCH($A1031,'Category Mapping'!$A$28:$A$39,0),1))</f>
        <v>356340.57142857136</v>
      </c>
      <c r="G1031" s="27">
        <f>G451*IF($E1031="weekday",INDEX('Category Mapping'!$F$28:$F$39,MATCH('Summarized Source Data'!$A1031,'Category Mapping'!$A$28:$A$39,0),1),INDEX('Category Mapping'!$E$28:$E$39,MATCH($A1031,'Category Mapping'!$A$28:$A$39,0),1))</f>
        <v>427799999.99999994</v>
      </c>
      <c r="H1031" s="27">
        <f>H451*IF($E1031="weekday",INDEX('Category Mapping'!$F$28:$F$39,MATCH('Summarized Source Data'!$A1031,'Category Mapping'!$A$28:$A$39,0),1),INDEX('Category Mapping'!$E$28:$E$39,MATCH($A1031,'Category Mapping'!$A$28:$A$39,0),1))</f>
        <v>0</v>
      </c>
      <c r="I1031" s="27">
        <f>I451*IF($E1031="weekday",INDEX('Category Mapping'!$F$28:$F$39,MATCH('Summarized Source Data'!$A1031,'Category Mapping'!$A$28:$A$39,0),1),INDEX('Category Mapping'!$E$28:$E$39,MATCH($A1031,'Category Mapping'!$A$28:$A$39,0),1))</f>
        <v>65694269.999999993</v>
      </c>
      <c r="J1031" s="27">
        <f>J451*IF($E1031="weekday",INDEX('Category Mapping'!$F$28:$F$39,MATCH('Summarized Source Data'!$A1031,'Category Mapping'!$A$28:$A$39,0),1),INDEX('Category Mapping'!$E$28:$E$39,MATCH($A1031,'Category Mapping'!$A$28:$A$39,0),1))</f>
        <v>781577960.85714269</v>
      </c>
      <c r="K1031" s="27">
        <f>K451*IF($E1031="weekday",INDEX('Category Mapping'!$F$28:$F$39,MATCH('Summarized Source Data'!$A1031,'Category Mapping'!$A$28:$A$39,0),1),INDEX('Category Mapping'!$E$28:$E$39,MATCH($A1031,'Category Mapping'!$A$28:$A$39,0),1))</f>
        <v>781577960.85714269</v>
      </c>
      <c r="L1031" s="27">
        <f>L451*IF($E1031="weekday",INDEX('Category Mapping'!$F$28:$F$39,MATCH('Summarized Source Data'!$A1031,'Category Mapping'!$A$28:$A$39,0),1),INDEX('Category Mapping'!$E$28:$E$39,MATCH($A1031,'Category Mapping'!$A$28:$A$39,0),1))</f>
        <v>560860.85714285704</v>
      </c>
      <c r="M1031" s="27">
        <f>M451*IF($E1031="weekday",INDEX('Category Mapping'!$F$28:$F$39,MATCH('Summarized Source Data'!$A1031,'Category Mapping'!$A$28:$A$39,0),1),INDEX('Category Mapping'!$E$28:$E$39,MATCH($A1031,'Category Mapping'!$A$28:$A$39,0),1))</f>
        <v>1718285714.2857141</v>
      </c>
      <c r="N1031" s="27">
        <f>N451*IF($E1031="weekday",INDEX('Category Mapping'!$F$28:$F$39,MATCH('Summarized Source Data'!$A1031,'Category Mapping'!$A$28:$A$39,0),1),INDEX('Category Mapping'!$E$28:$E$39,MATCH($A1031,'Category Mapping'!$A$28:$A$39,0),1))</f>
        <v>0</v>
      </c>
      <c r="O1031" s="27">
        <f>O451*IF($E1031="weekday",INDEX('Category Mapping'!$F$28:$F$39,MATCH('Summarized Source Data'!$A1031,'Category Mapping'!$A$28:$A$39,0),1),INDEX('Category Mapping'!$E$28:$E$39,MATCH($A1031,'Category Mapping'!$A$28:$A$39,0),1))</f>
        <v>938296281.99999988</v>
      </c>
      <c r="P1031" s="27">
        <f>P451*IF($E1031="weekday",INDEX('Category Mapping'!$F$28:$F$39,MATCH('Summarized Source Data'!$A1031,'Category Mapping'!$A$28:$A$39,0),1),INDEX('Category Mapping'!$E$28:$E$39,MATCH($A1031,'Category Mapping'!$A$28:$A$39,0),1))</f>
        <v>938296281.99999988</v>
      </c>
      <c r="Q1031" s="27">
        <f>Q451*IF($E1031="weekday",INDEX('Category Mapping'!$F$28:$F$39,MATCH('Summarized Source Data'!$A1031,'Category Mapping'!$A$28:$A$39,0),1),INDEX('Category Mapping'!$E$28:$E$39,MATCH($A1031,'Category Mapping'!$A$28:$A$39,0),1))</f>
        <v>938296281.99999988</v>
      </c>
      <c r="R1031" s="27">
        <f>R451*IF($E1031="weekday",INDEX('Category Mapping'!$F$28:$F$39,MATCH('Summarized Source Data'!$A1031,'Category Mapping'!$A$28:$A$39,0),1),INDEX('Category Mapping'!$E$28:$E$39,MATCH($A1031,'Category Mapping'!$A$28:$A$39,0),1))</f>
        <v>42939410.857142851</v>
      </c>
      <c r="S1031" s="27">
        <f>S451*IF($E1031="weekday",INDEX('Category Mapping'!$F$28:$F$39,MATCH('Summarized Source Data'!$A1031,'Category Mapping'!$A$28:$A$39,0),1),INDEX('Category Mapping'!$E$28:$E$39,MATCH($A1031,'Category Mapping'!$A$28:$A$39,0),1))</f>
        <v>42939410.857142851</v>
      </c>
      <c r="T1031" s="27">
        <f>T451*IF($E1031="weekday",INDEX('Category Mapping'!$F$28:$F$39,MATCH('Summarized Source Data'!$A1031,'Category Mapping'!$A$28:$A$39,0),1),INDEX('Category Mapping'!$E$28:$E$39,MATCH($A1031,'Category Mapping'!$A$28:$A$39,0),1))</f>
        <v>42939410.857142851</v>
      </c>
      <c r="U1031" s="27">
        <f>U451*IF($E1031="weekday",INDEX('Category Mapping'!$F$28:$F$39,MATCH('Summarized Source Data'!$A1031,'Category Mapping'!$A$28:$A$39,0),1),INDEX('Category Mapping'!$E$28:$E$39,MATCH($A1031,'Category Mapping'!$A$28:$A$39,0),1))</f>
        <v>42939410.857142851</v>
      </c>
      <c r="V1031" s="27">
        <f>V451*IF($E1031="weekday",INDEX('Category Mapping'!$F$28:$F$39,MATCH('Summarized Source Data'!$A1031,'Category Mapping'!$A$28:$A$39,0),1),INDEX('Category Mapping'!$E$28:$E$39,MATCH($A1031,'Category Mapping'!$A$28:$A$39,0),1))</f>
        <v>42939410.857142851</v>
      </c>
      <c r="W1031" s="27">
        <f>W451*IF($E1031="weekday",INDEX('Category Mapping'!$F$28:$F$39,MATCH('Summarized Source Data'!$A1031,'Category Mapping'!$A$28:$A$39,0),1),INDEX('Category Mapping'!$E$28:$E$39,MATCH($A1031,'Category Mapping'!$A$28:$A$39,0),1))</f>
        <v>42939410.857142851</v>
      </c>
      <c r="X1031" s="27">
        <f>X451*IF($E1031="weekday",INDEX('Category Mapping'!$F$28:$F$39,MATCH('Summarized Source Data'!$A1031,'Category Mapping'!$A$28:$A$39,0),1),INDEX('Category Mapping'!$E$28:$E$39,MATCH($A1031,'Category Mapping'!$A$28:$A$39,0),1))</f>
        <v>2922857142.8571424</v>
      </c>
      <c r="Y1031" s="27">
        <f>Y451*IF($E1031="weekday",INDEX('Category Mapping'!$F$28:$F$39,MATCH('Summarized Source Data'!$A1031,'Category Mapping'!$A$28:$A$39,0),1),INDEX('Category Mapping'!$E$28:$E$39,MATCH($A1031,'Category Mapping'!$A$28:$A$39,0),1))</f>
        <v>2922857142.8571424</v>
      </c>
      <c r="Z1031" s="27">
        <f>Z451*IF($E1031="weekday",INDEX('Category Mapping'!$F$28:$F$39,MATCH('Summarized Source Data'!$A1031,'Category Mapping'!$A$28:$A$39,0),1),INDEX('Category Mapping'!$E$28:$E$39,MATCH($A1031,'Category Mapping'!$A$28:$A$39,0),1))</f>
        <v>2922857142.8571424</v>
      </c>
    </row>
    <row r="1032" spans="1:26" x14ac:dyDescent="0.3">
      <c r="A1032">
        <f t="shared" ref="A1032:E1032" si="497">A452</f>
        <v>7</v>
      </c>
      <c r="B1032" t="str">
        <f t="shared" si="497"/>
        <v>Summer</v>
      </c>
      <c r="C1032" t="str">
        <f t="shared" si="497"/>
        <v>h17</v>
      </c>
      <c r="D1032" t="str">
        <f t="shared" si="497"/>
        <v>Hour16</v>
      </c>
      <c r="E1032" t="str">
        <f t="shared" si="497"/>
        <v>Weekend</v>
      </c>
      <c r="F1032" s="27">
        <f>F452*IF($E1032="weekday",INDEX('Category Mapping'!$F$28:$F$39,MATCH('Summarized Source Data'!$A1032,'Category Mapping'!$A$28:$A$39,0),1),INDEX('Category Mapping'!$E$28:$E$39,MATCH($A1032,'Category Mapping'!$A$28:$A$39,0),1))</f>
        <v>362460.8571428571</v>
      </c>
      <c r="G1032" s="27">
        <f>G452*IF($E1032="weekday",INDEX('Category Mapping'!$F$28:$F$39,MATCH('Summarized Source Data'!$A1032,'Category Mapping'!$A$28:$A$39,0),1),INDEX('Category Mapping'!$E$28:$E$39,MATCH($A1032,'Category Mapping'!$A$28:$A$39,0),1))</f>
        <v>415399999.99999994</v>
      </c>
      <c r="H1032" s="27">
        <f>H452*IF($E1032="weekday",INDEX('Category Mapping'!$F$28:$F$39,MATCH('Summarized Source Data'!$A1032,'Category Mapping'!$A$28:$A$39,0),1),INDEX('Category Mapping'!$E$28:$E$39,MATCH($A1032,'Category Mapping'!$A$28:$A$39,0),1))</f>
        <v>0</v>
      </c>
      <c r="I1032" s="27">
        <f>I452*IF($E1032="weekday",INDEX('Category Mapping'!$F$28:$F$39,MATCH('Summarized Source Data'!$A1032,'Category Mapping'!$A$28:$A$39,0),1),INDEX('Category Mapping'!$E$28:$E$39,MATCH($A1032,'Category Mapping'!$A$28:$A$39,0),1))</f>
        <v>67488248.857142851</v>
      </c>
      <c r="J1032" s="27">
        <f>J452*IF($E1032="weekday",INDEX('Category Mapping'!$F$28:$F$39,MATCH('Summarized Source Data'!$A1032,'Category Mapping'!$A$28:$A$39,0),1),INDEX('Category Mapping'!$E$28:$E$39,MATCH($A1032,'Category Mapping'!$A$28:$A$39,0),1))</f>
        <v>827606433.14285707</v>
      </c>
      <c r="K1032" s="27">
        <f>K452*IF($E1032="weekday",INDEX('Category Mapping'!$F$28:$F$39,MATCH('Summarized Source Data'!$A1032,'Category Mapping'!$A$28:$A$39,0),1),INDEX('Category Mapping'!$E$28:$E$39,MATCH($A1032,'Category Mapping'!$A$28:$A$39,0),1))</f>
        <v>827606433.14285707</v>
      </c>
      <c r="L1032" s="27">
        <f>L452*IF($E1032="weekday",INDEX('Category Mapping'!$F$28:$F$39,MATCH('Summarized Source Data'!$A1032,'Category Mapping'!$A$28:$A$39,0),1),INDEX('Category Mapping'!$E$28:$E$39,MATCH($A1032,'Category Mapping'!$A$28:$A$39,0),1))</f>
        <v>560860.85714285704</v>
      </c>
      <c r="M1032" s="27">
        <f>M452*IF($E1032="weekday",INDEX('Category Mapping'!$F$28:$F$39,MATCH('Summarized Source Data'!$A1032,'Category Mapping'!$A$28:$A$39,0),1),INDEX('Category Mapping'!$E$28:$E$39,MATCH($A1032,'Category Mapping'!$A$28:$A$39,0),1))</f>
        <v>1673999999.9999998</v>
      </c>
      <c r="N1032" s="27">
        <f>N452*IF($E1032="weekday",INDEX('Category Mapping'!$F$28:$F$39,MATCH('Summarized Source Data'!$A1032,'Category Mapping'!$A$28:$A$39,0),1),INDEX('Category Mapping'!$E$28:$E$39,MATCH($A1032,'Category Mapping'!$A$28:$A$39,0),1))</f>
        <v>0</v>
      </c>
      <c r="O1032" s="27">
        <f>O452*IF($E1032="weekday",INDEX('Category Mapping'!$F$28:$F$39,MATCH('Summarized Source Data'!$A1032,'Category Mapping'!$A$28:$A$39,0),1),INDEX('Category Mapping'!$E$28:$E$39,MATCH($A1032,'Category Mapping'!$A$28:$A$39,0),1))</f>
        <v>902867710.57142842</v>
      </c>
      <c r="P1032" s="27">
        <f>P452*IF($E1032="weekday",INDEX('Category Mapping'!$F$28:$F$39,MATCH('Summarized Source Data'!$A1032,'Category Mapping'!$A$28:$A$39,0),1),INDEX('Category Mapping'!$E$28:$E$39,MATCH($A1032,'Category Mapping'!$A$28:$A$39,0),1))</f>
        <v>902867710.57142842</v>
      </c>
      <c r="Q1032" s="27">
        <f>Q452*IF($E1032="weekday",INDEX('Category Mapping'!$F$28:$F$39,MATCH('Summarized Source Data'!$A1032,'Category Mapping'!$A$28:$A$39,0),1),INDEX('Category Mapping'!$E$28:$E$39,MATCH($A1032,'Category Mapping'!$A$28:$A$39,0),1))</f>
        <v>902867710.57142842</v>
      </c>
      <c r="R1032" s="27">
        <f>R452*IF($E1032="weekday",INDEX('Category Mapping'!$F$28:$F$39,MATCH('Summarized Source Data'!$A1032,'Category Mapping'!$A$28:$A$39,0),1),INDEX('Category Mapping'!$E$28:$E$39,MATCH($A1032,'Category Mapping'!$A$28:$A$39,0),1))</f>
        <v>48950842.285714276</v>
      </c>
      <c r="S1032" s="27">
        <f>S452*IF($E1032="weekday",INDEX('Category Mapping'!$F$28:$F$39,MATCH('Summarized Source Data'!$A1032,'Category Mapping'!$A$28:$A$39,0),1),INDEX('Category Mapping'!$E$28:$E$39,MATCH($A1032,'Category Mapping'!$A$28:$A$39,0),1))</f>
        <v>48950842.285714276</v>
      </c>
      <c r="T1032" s="27">
        <f>T452*IF($E1032="weekday",INDEX('Category Mapping'!$F$28:$F$39,MATCH('Summarized Source Data'!$A1032,'Category Mapping'!$A$28:$A$39,0),1),INDEX('Category Mapping'!$E$28:$E$39,MATCH($A1032,'Category Mapping'!$A$28:$A$39,0),1))</f>
        <v>48950842.285714276</v>
      </c>
      <c r="U1032" s="27">
        <f>U452*IF($E1032="weekday",INDEX('Category Mapping'!$F$28:$F$39,MATCH('Summarized Source Data'!$A1032,'Category Mapping'!$A$28:$A$39,0),1),INDEX('Category Mapping'!$E$28:$E$39,MATCH($A1032,'Category Mapping'!$A$28:$A$39,0),1))</f>
        <v>48950842.285714276</v>
      </c>
      <c r="V1032" s="27">
        <f>V452*IF($E1032="weekday",INDEX('Category Mapping'!$F$28:$F$39,MATCH('Summarized Source Data'!$A1032,'Category Mapping'!$A$28:$A$39,0),1),INDEX('Category Mapping'!$E$28:$E$39,MATCH($A1032,'Category Mapping'!$A$28:$A$39,0),1))</f>
        <v>48950842.285714276</v>
      </c>
      <c r="W1032" s="27">
        <f>W452*IF($E1032="weekday",INDEX('Category Mapping'!$F$28:$F$39,MATCH('Summarized Source Data'!$A1032,'Category Mapping'!$A$28:$A$39,0),1),INDEX('Category Mapping'!$E$28:$E$39,MATCH($A1032,'Category Mapping'!$A$28:$A$39,0),1))</f>
        <v>48950842.285714276</v>
      </c>
      <c r="X1032" s="27">
        <f>X452*IF($E1032="weekday",INDEX('Category Mapping'!$F$28:$F$39,MATCH('Summarized Source Data'!$A1032,'Category Mapping'!$A$28:$A$39,0),1),INDEX('Category Mapping'!$E$28:$E$39,MATCH($A1032,'Category Mapping'!$A$28:$A$39,0),1))</f>
        <v>2958285714.2857137</v>
      </c>
      <c r="Y1032" s="27">
        <f>Y452*IF($E1032="weekday",INDEX('Category Mapping'!$F$28:$F$39,MATCH('Summarized Source Data'!$A1032,'Category Mapping'!$A$28:$A$39,0),1),INDEX('Category Mapping'!$E$28:$E$39,MATCH($A1032,'Category Mapping'!$A$28:$A$39,0),1))</f>
        <v>2958285714.2857137</v>
      </c>
      <c r="Z1032" s="27">
        <f>Z452*IF($E1032="weekday",INDEX('Category Mapping'!$F$28:$F$39,MATCH('Summarized Source Data'!$A1032,'Category Mapping'!$A$28:$A$39,0),1),INDEX('Category Mapping'!$E$28:$E$39,MATCH($A1032,'Category Mapping'!$A$28:$A$39,0),1))</f>
        <v>2958285714.2857137</v>
      </c>
    </row>
    <row r="1033" spans="1:26" x14ac:dyDescent="0.3">
      <c r="A1033">
        <f t="shared" ref="A1033:E1033" si="498">A453</f>
        <v>7</v>
      </c>
      <c r="B1033" t="str">
        <f t="shared" si="498"/>
        <v>Summer</v>
      </c>
      <c r="C1033" t="str">
        <f t="shared" si="498"/>
        <v>h18</v>
      </c>
      <c r="D1033" t="str">
        <f t="shared" si="498"/>
        <v>Hour17</v>
      </c>
      <c r="E1033" t="str">
        <f t="shared" si="498"/>
        <v>Weekend</v>
      </c>
      <c r="F1033" s="27">
        <f>F453*IF($E1033="weekday",INDEX('Category Mapping'!$F$28:$F$39,MATCH('Summarized Source Data'!$A1033,'Category Mapping'!$A$28:$A$39,0),1),INDEX('Category Mapping'!$E$28:$E$39,MATCH($A1033,'Category Mapping'!$A$28:$A$39,0),1))</f>
        <v>373886.57142857136</v>
      </c>
      <c r="G1033" s="27">
        <f>G453*IF($E1033="weekday",INDEX('Category Mapping'!$F$28:$F$39,MATCH('Summarized Source Data'!$A1033,'Category Mapping'!$A$28:$A$39,0),1),INDEX('Category Mapping'!$E$28:$E$39,MATCH($A1033,'Category Mapping'!$A$28:$A$39,0),1))</f>
        <v>406542857.14285707</v>
      </c>
      <c r="H1033" s="27">
        <f>H453*IF($E1033="weekday",INDEX('Category Mapping'!$F$28:$F$39,MATCH('Summarized Source Data'!$A1033,'Category Mapping'!$A$28:$A$39,0),1),INDEX('Category Mapping'!$E$28:$E$39,MATCH($A1033,'Category Mapping'!$A$28:$A$39,0),1))</f>
        <v>0</v>
      </c>
      <c r="I1033" s="27">
        <f>I453*IF($E1033="weekday",INDEX('Category Mapping'!$F$28:$F$39,MATCH('Summarized Source Data'!$A1033,'Category Mapping'!$A$28:$A$39,0),1),INDEX('Category Mapping'!$E$28:$E$39,MATCH($A1033,'Category Mapping'!$A$28:$A$39,0),1))</f>
        <v>75658626.571428567</v>
      </c>
      <c r="J1033" s="27">
        <f>J453*IF($E1033="weekday",INDEX('Category Mapping'!$F$28:$F$39,MATCH('Summarized Source Data'!$A1033,'Category Mapping'!$A$28:$A$39,0),1),INDEX('Category Mapping'!$E$28:$E$39,MATCH($A1033,'Category Mapping'!$A$28:$A$39,0),1))</f>
        <v>828281772.57142842</v>
      </c>
      <c r="K1033" s="27">
        <f>K453*IF($E1033="weekday",INDEX('Category Mapping'!$F$28:$F$39,MATCH('Summarized Source Data'!$A1033,'Category Mapping'!$A$28:$A$39,0),1),INDEX('Category Mapping'!$E$28:$E$39,MATCH($A1033,'Category Mapping'!$A$28:$A$39,0),1))</f>
        <v>828281772.57142842</v>
      </c>
      <c r="L1033" s="27">
        <f>L453*IF($E1033="weekday",INDEX('Category Mapping'!$F$28:$F$39,MATCH('Summarized Source Data'!$A1033,'Category Mapping'!$A$28:$A$39,0),1),INDEX('Category Mapping'!$E$28:$E$39,MATCH($A1033,'Category Mapping'!$A$28:$A$39,0),1))</f>
        <v>560860.85714285704</v>
      </c>
      <c r="M1033" s="27">
        <f>M453*IF($E1033="weekday",INDEX('Category Mapping'!$F$28:$F$39,MATCH('Summarized Source Data'!$A1033,'Category Mapping'!$A$28:$A$39,0),1),INDEX('Category Mapping'!$E$28:$E$39,MATCH($A1033,'Category Mapping'!$A$28:$A$39,0),1))</f>
        <v>1603142857.1428568</v>
      </c>
      <c r="N1033" s="27">
        <f>N453*IF($E1033="weekday",INDEX('Category Mapping'!$F$28:$F$39,MATCH('Summarized Source Data'!$A1033,'Category Mapping'!$A$28:$A$39,0),1),INDEX('Category Mapping'!$E$28:$E$39,MATCH($A1033,'Category Mapping'!$A$28:$A$39,0),1))</f>
        <v>0</v>
      </c>
      <c r="O1033" s="27">
        <f>O453*IF($E1033="weekday",INDEX('Category Mapping'!$F$28:$F$39,MATCH('Summarized Source Data'!$A1033,'Category Mapping'!$A$28:$A$39,0),1),INDEX('Category Mapping'!$E$28:$E$39,MATCH($A1033,'Category Mapping'!$A$28:$A$39,0),1))</f>
        <v>911724853.42857134</v>
      </c>
      <c r="P1033" s="27">
        <f>P453*IF($E1033="weekday",INDEX('Category Mapping'!$F$28:$F$39,MATCH('Summarized Source Data'!$A1033,'Category Mapping'!$A$28:$A$39,0),1),INDEX('Category Mapping'!$E$28:$E$39,MATCH($A1033,'Category Mapping'!$A$28:$A$39,0),1))</f>
        <v>911724853.42857134</v>
      </c>
      <c r="Q1033" s="27">
        <f>Q453*IF($E1033="weekday",INDEX('Category Mapping'!$F$28:$F$39,MATCH('Summarized Source Data'!$A1033,'Category Mapping'!$A$28:$A$39,0),1),INDEX('Category Mapping'!$E$28:$E$39,MATCH($A1033,'Category Mapping'!$A$28:$A$39,0),1))</f>
        <v>911724853.42857134</v>
      </c>
      <c r="R1033" s="27">
        <f>R453*IF($E1033="weekday",INDEX('Category Mapping'!$F$28:$F$39,MATCH('Summarized Source Data'!$A1033,'Category Mapping'!$A$28:$A$39,0),1),INDEX('Category Mapping'!$E$28:$E$39,MATCH($A1033,'Category Mapping'!$A$28:$A$39,0),1))</f>
        <v>49002700.857142851</v>
      </c>
      <c r="S1033" s="27">
        <f>S453*IF($E1033="weekday",INDEX('Category Mapping'!$F$28:$F$39,MATCH('Summarized Source Data'!$A1033,'Category Mapping'!$A$28:$A$39,0),1),INDEX('Category Mapping'!$E$28:$E$39,MATCH($A1033,'Category Mapping'!$A$28:$A$39,0),1))</f>
        <v>49002700.857142851</v>
      </c>
      <c r="T1033" s="27">
        <f>T453*IF($E1033="weekday",INDEX('Category Mapping'!$F$28:$F$39,MATCH('Summarized Source Data'!$A1033,'Category Mapping'!$A$28:$A$39,0),1),INDEX('Category Mapping'!$E$28:$E$39,MATCH($A1033,'Category Mapping'!$A$28:$A$39,0),1))</f>
        <v>49002700.857142851</v>
      </c>
      <c r="U1033" s="27">
        <f>U453*IF($E1033="weekday",INDEX('Category Mapping'!$F$28:$F$39,MATCH('Summarized Source Data'!$A1033,'Category Mapping'!$A$28:$A$39,0),1),INDEX('Category Mapping'!$E$28:$E$39,MATCH($A1033,'Category Mapping'!$A$28:$A$39,0),1))</f>
        <v>49002700.857142851</v>
      </c>
      <c r="V1033" s="27">
        <f>V453*IF($E1033="weekday",INDEX('Category Mapping'!$F$28:$F$39,MATCH('Summarized Source Data'!$A1033,'Category Mapping'!$A$28:$A$39,0),1),INDEX('Category Mapping'!$E$28:$E$39,MATCH($A1033,'Category Mapping'!$A$28:$A$39,0),1))</f>
        <v>49002700.857142851</v>
      </c>
      <c r="W1033" s="27">
        <f>W453*IF($E1033="weekday",INDEX('Category Mapping'!$F$28:$F$39,MATCH('Summarized Source Data'!$A1033,'Category Mapping'!$A$28:$A$39,0),1),INDEX('Category Mapping'!$E$28:$E$39,MATCH($A1033,'Category Mapping'!$A$28:$A$39,0),1))</f>
        <v>49002700.857142851</v>
      </c>
      <c r="X1033" s="27">
        <f>X453*IF($E1033="weekday",INDEX('Category Mapping'!$F$28:$F$39,MATCH('Summarized Source Data'!$A1033,'Category Mapping'!$A$28:$A$39,0),1),INDEX('Category Mapping'!$E$28:$E$39,MATCH($A1033,'Category Mapping'!$A$28:$A$39,0),1))</f>
        <v>2958285714.2857137</v>
      </c>
      <c r="Y1033" s="27">
        <f>Y453*IF($E1033="weekday",INDEX('Category Mapping'!$F$28:$F$39,MATCH('Summarized Source Data'!$A1033,'Category Mapping'!$A$28:$A$39,0),1),INDEX('Category Mapping'!$E$28:$E$39,MATCH($A1033,'Category Mapping'!$A$28:$A$39,0),1))</f>
        <v>2958285714.2857137</v>
      </c>
      <c r="Z1033" s="27">
        <f>Z453*IF($E1033="weekday",INDEX('Category Mapping'!$F$28:$F$39,MATCH('Summarized Source Data'!$A1033,'Category Mapping'!$A$28:$A$39,0),1),INDEX('Category Mapping'!$E$28:$E$39,MATCH($A1033,'Category Mapping'!$A$28:$A$39,0),1))</f>
        <v>2958285714.2857137</v>
      </c>
    </row>
    <row r="1034" spans="1:26" x14ac:dyDescent="0.3">
      <c r="A1034">
        <f t="shared" ref="A1034:E1034" si="499">A454</f>
        <v>7</v>
      </c>
      <c r="B1034" t="str">
        <f t="shared" si="499"/>
        <v>Summer</v>
      </c>
      <c r="C1034" t="str">
        <f t="shared" si="499"/>
        <v>h19</v>
      </c>
      <c r="D1034" t="str">
        <f t="shared" si="499"/>
        <v>Hour18</v>
      </c>
      <c r="E1034" t="str">
        <f t="shared" si="499"/>
        <v>Weekend</v>
      </c>
      <c r="F1034" s="27">
        <f>F454*IF($E1034="weekday",INDEX('Category Mapping'!$F$28:$F$39,MATCH('Summarized Source Data'!$A1034,'Category Mapping'!$A$28:$A$39,0),1),INDEX('Category Mapping'!$E$28:$E$39,MATCH($A1034,'Category Mapping'!$A$28:$A$39,0),1))</f>
        <v>387517.7142857142</v>
      </c>
      <c r="G1034" s="27">
        <f>G454*IF($E1034="weekday",INDEX('Category Mapping'!$F$28:$F$39,MATCH('Summarized Source Data'!$A1034,'Category Mapping'!$A$28:$A$39,0),1),INDEX('Category Mapping'!$E$28:$E$39,MATCH($A1034,'Category Mapping'!$A$28:$A$39,0),1))</f>
        <v>395914285.71428567</v>
      </c>
      <c r="H1034" s="27">
        <f>H454*IF($E1034="weekday",INDEX('Category Mapping'!$F$28:$F$39,MATCH('Summarized Source Data'!$A1034,'Category Mapping'!$A$28:$A$39,0),1),INDEX('Category Mapping'!$E$28:$E$39,MATCH($A1034,'Category Mapping'!$A$28:$A$39,0),1))</f>
        <v>0</v>
      </c>
      <c r="I1034" s="27">
        <f>I454*IF($E1034="weekday",INDEX('Category Mapping'!$F$28:$F$39,MATCH('Summarized Source Data'!$A1034,'Category Mapping'!$A$28:$A$39,0),1),INDEX('Category Mapping'!$E$28:$E$39,MATCH($A1034,'Category Mapping'!$A$28:$A$39,0),1))</f>
        <v>178914285.7142857</v>
      </c>
      <c r="J1034" s="27">
        <f>J454*IF($E1034="weekday",INDEX('Category Mapping'!$F$28:$F$39,MATCH('Summarized Source Data'!$A1034,'Category Mapping'!$A$28:$A$39,0),1),INDEX('Category Mapping'!$E$28:$E$39,MATCH($A1034,'Category Mapping'!$A$28:$A$39,0),1))</f>
        <v>806498196.57142842</v>
      </c>
      <c r="K1034" s="27">
        <f>K454*IF($E1034="weekday",INDEX('Category Mapping'!$F$28:$F$39,MATCH('Summarized Source Data'!$A1034,'Category Mapping'!$A$28:$A$39,0),1),INDEX('Category Mapping'!$E$28:$E$39,MATCH($A1034,'Category Mapping'!$A$28:$A$39,0),1))</f>
        <v>806498196.57142842</v>
      </c>
      <c r="L1034" s="27">
        <f>L454*IF($E1034="weekday",INDEX('Category Mapping'!$F$28:$F$39,MATCH('Summarized Source Data'!$A1034,'Category Mapping'!$A$28:$A$39,0),1),INDEX('Category Mapping'!$E$28:$E$39,MATCH($A1034,'Category Mapping'!$A$28:$A$39,0),1))</f>
        <v>560860.85714285704</v>
      </c>
      <c r="M1034" s="27">
        <f>M454*IF($E1034="weekday",INDEX('Category Mapping'!$F$28:$F$39,MATCH('Summarized Source Data'!$A1034,'Category Mapping'!$A$28:$A$39,0),1),INDEX('Category Mapping'!$E$28:$E$39,MATCH($A1034,'Category Mapping'!$A$28:$A$39,0),1))</f>
        <v>1514571428.5714283</v>
      </c>
      <c r="N1034" s="27">
        <f>N454*IF($E1034="weekday",INDEX('Category Mapping'!$F$28:$F$39,MATCH('Summarized Source Data'!$A1034,'Category Mapping'!$A$28:$A$39,0),1),INDEX('Category Mapping'!$E$28:$E$39,MATCH($A1034,'Category Mapping'!$A$28:$A$39,0),1))</f>
        <v>0</v>
      </c>
      <c r="O1034" s="27">
        <f>O454*IF($E1034="weekday",INDEX('Category Mapping'!$F$28:$F$39,MATCH('Summarized Source Data'!$A1034,'Category Mapping'!$A$28:$A$39,0),1),INDEX('Category Mapping'!$E$28:$E$39,MATCH($A1034,'Category Mapping'!$A$28:$A$39,0),1))</f>
        <v>902867710.57142842</v>
      </c>
      <c r="P1034" s="27">
        <f>P454*IF($E1034="weekday",INDEX('Category Mapping'!$F$28:$F$39,MATCH('Summarized Source Data'!$A1034,'Category Mapping'!$A$28:$A$39,0),1),INDEX('Category Mapping'!$E$28:$E$39,MATCH($A1034,'Category Mapping'!$A$28:$A$39,0),1))</f>
        <v>902867710.57142842</v>
      </c>
      <c r="Q1034" s="27">
        <f>Q454*IF($E1034="weekday",INDEX('Category Mapping'!$F$28:$F$39,MATCH('Summarized Source Data'!$A1034,'Category Mapping'!$A$28:$A$39,0),1),INDEX('Category Mapping'!$E$28:$E$39,MATCH($A1034,'Category Mapping'!$A$28:$A$39,0),1))</f>
        <v>902867710.57142842</v>
      </c>
      <c r="R1034" s="27">
        <f>R454*IF($E1034="weekday",INDEX('Category Mapping'!$F$28:$F$39,MATCH('Summarized Source Data'!$A1034,'Category Mapping'!$A$28:$A$39,0),1),INDEX('Category Mapping'!$E$28:$E$39,MATCH($A1034,'Category Mapping'!$A$28:$A$39,0),1))</f>
        <v>48639664.285714276</v>
      </c>
      <c r="S1034" s="27">
        <f>S454*IF($E1034="weekday",INDEX('Category Mapping'!$F$28:$F$39,MATCH('Summarized Source Data'!$A1034,'Category Mapping'!$A$28:$A$39,0),1),INDEX('Category Mapping'!$E$28:$E$39,MATCH($A1034,'Category Mapping'!$A$28:$A$39,0),1))</f>
        <v>48639664.285714276</v>
      </c>
      <c r="T1034" s="27">
        <f>T454*IF($E1034="weekday",INDEX('Category Mapping'!$F$28:$F$39,MATCH('Summarized Source Data'!$A1034,'Category Mapping'!$A$28:$A$39,0),1),INDEX('Category Mapping'!$E$28:$E$39,MATCH($A1034,'Category Mapping'!$A$28:$A$39,0),1))</f>
        <v>48639664.285714276</v>
      </c>
      <c r="U1034" s="27">
        <f>U454*IF($E1034="weekday",INDEX('Category Mapping'!$F$28:$F$39,MATCH('Summarized Source Data'!$A1034,'Category Mapping'!$A$28:$A$39,0),1),INDEX('Category Mapping'!$E$28:$E$39,MATCH($A1034,'Category Mapping'!$A$28:$A$39,0),1))</f>
        <v>48639664.285714276</v>
      </c>
      <c r="V1034" s="27">
        <f>V454*IF($E1034="weekday",INDEX('Category Mapping'!$F$28:$F$39,MATCH('Summarized Source Data'!$A1034,'Category Mapping'!$A$28:$A$39,0),1),INDEX('Category Mapping'!$E$28:$E$39,MATCH($A1034,'Category Mapping'!$A$28:$A$39,0),1))</f>
        <v>48639664.285714276</v>
      </c>
      <c r="W1034" s="27">
        <f>W454*IF($E1034="weekday",INDEX('Category Mapping'!$F$28:$F$39,MATCH('Summarized Source Data'!$A1034,'Category Mapping'!$A$28:$A$39,0),1),INDEX('Category Mapping'!$E$28:$E$39,MATCH($A1034,'Category Mapping'!$A$28:$A$39,0),1))</f>
        <v>48639664.285714276</v>
      </c>
      <c r="X1034" s="27">
        <f>X454*IF($E1034="weekday",INDEX('Category Mapping'!$F$28:$F$39,MATCH('Summarized Source Data'!$A1034,'Category Mapping'!$A$28:$A$39,0),1),INDEX('Category Mapping'!$E$28:$E$39,MATCH($A1034,'Category Mapping'!$A$28:$A$39,0),1))</f>
        <v>2949428571.4285712</v>
      </c>
      <c r="Y1034" s="27">
        <f>Y454*IF($E1034="weekday",INDEX('Category Mapping'!$F$28:$F$39,MATCH('Summarized Source Data'!$A1034,'Category Mapping'!$A$28:$A$39,0),1),INDEX('Category Mapping'!$E$28:$E$39,MATCH($A1034,'Category Mapping'!$A$28:$A$39,0),1))</f>
        <v>2949428571.4285712</v>
      </c>
      <c r="Z1034" s="27">
        <f>Z454*IF($E1034="weekday",INDEX('Category Mapping'!$F$28:$F$39,MATCH('Summarized Source Data'!$A1034,'Category Mapping'!$A$28:$A$39,0),1),INDEX('Category Mapping'!$E$28:$E$39,MATCH($A1034,'Category Mapping'!$A$28:$A$39,0),1))</f>
        <v>2949428571.4285712</v>
      </c>
    </row>
    <row r="1035" spans="1:26" x14ac:dyDescent="0.3">
      <c r="A1035">
        <f t="shared" ref="A1035:E1035" si="500">A455</f>
        <v>7</v>
      </c>
      <c r="B1035" t="str">
        <f t="shared" si="500"/>
        <v>Summer</v>
      </c>
      <c r="C1035" t="str">
        <f t="shared" si="500"/>
        <v>h20</v>
      </c>
      <c r="D1035" t="str">
        <f t="shared" si="500"/>
        <v>Hour19</v>
      </c>
      <c r="E1035" t="str">
        <f t="shared" si="500"/>
        <v>Weekend</v>
      </c>
      <c r="F1035" s="27">
        <f>F455*IF($E1035="weekday",INDEX('Category Mapping'!$F$28:$F$39,MATCH('Summarized Source Data'!$A1035,'Category Mapping'!$A$28:$A$39,0),1),INDEX('Category Mapping'!$E$28:$E$39,MATCH($A1035,'Category Mapping'!$A$28:$A$39,0),1))</f>
        <v>399616.57142857136</v>
      </c>
      <c r="G1035" s="27">
        <f>G455*IF($E1035="weekday",INDEX('Category Mapping'!$F$28:$F$39,MATCH('Summarized Source Data'!$A1035,'Category Mapping'!$A$28:$A$39,0),1),INDEX('Category Mapping'!$E$28:$E$39,MATCH($A1035,'Category Mapping'!$A$28:$A$39,0),1))</f>
        <v>377314285.71428567</v>
      </c>
      <c r="H1035" s="27">
        <f>H455*IF($E1035="weekday",INDEX('Category Mapping'!$F$28:$F$39,MATCH('Summarized Source Data'!$A1035,'Category Mapping'!$A$28:$A$39,0),1),INDEX('Category Mapping'!$E$28:$E$39,MATCH($A1035,'Category Mapping'!$A$28:$A$39,0),1))</f>
        <v>0</v>
      </c>
      <c r="I1035" s="27">
        <f>I455*IF($E1035="weekday",INDEX('Category Mapping'!$F$28:$F$39,MATCH('Summarized Source Data'!$A1035,'Category Mapping'!$A$28:$A$39,0),1),INDEX('Category Mapping'!$E$28:$E$39,MATCH($A1035,'Category Mapping'!$A$28:$A$39,0),1))</f>
        <v>261285714.28571424</v>
      </c>
      <c r="J1035" s="27">
        <f>J455*IF($E1035="weekday",INDEX('Category Mapping'!$F$28:$F$39,MATCH('Summarized Source Data'!$A1035,'Category Mapping'!$A$28:$A$39,0),1),INDEX('Category Mapping'!$E$28:$E$39,MATCH($A1035,'Category Mapping'!$A$28:$A$39,0),1))</f>
        <v>742714669.14285707</v>
      </c>
      <c r="K1035" s="27">
        <f>K455*IF($E1035="weekday",INDEX('Category Mapping'!$F$28:$F$39,MATCH('Summarized Source Data'!$A1035,'Category Mapping'!$A$28:$A$39,0),1),INDEX('Category Mapping'!$E$28:$E$39,MATCH($A1035,'Category Mapping'!$A$28:$A$39,0),1))</f>
        <v>742714669.14285707</v>
      </c>
      <c r="L1035" s="27">
        <f>L455*IF($E1035="weekday",INDEX('Category Mapping'!$F$28:$F$39,MATCH('Summarized Source Data'!$A1035,'Category Mapping'!$A$28:$A$39,0),1),INDEX('Category Mapping'!$E$28:$E$39,MATCH($A1035,'Category Mapping'!$A$28:$A$39,0),1))</f>
        <v>560860.85714285704</v>
      </c>
      <c r="M1035" s="27">
        <f>M455*IF($E1035="weekday",INDEX('Category Mapping'!$F$28:$F$39,MATCH('Summarized Source Data'!$A1035,'Category Mapping'!$A$28:$A$39,0),1),INDEX('Category Mapping'!$E$28:$E$39,MATCH($A1035,'Category Mapping'!$A$28:$A$39,0),1))</f>
        <v>1417142857.1428568</v>
      </c>
      <c r="N1035" s="27">
        <f>N455*IF($E1035="weekday",INDEX('Category Mapping'!$F$28:$F$39,MATCH('Summarized Source Data'!$A1035,'Category Mapping'!$A$28:$A$39,0),1),INDEX('Category Mapping'!$E$28:$E$39,MATCH($A1035,'Category Mapping'!$A$28:$A$39,0),1))</f>
        <v>0</v>
      </c>
      <c r="O1035" s="27">
        <f>O455*IF($E1035="weekday",INDEX('Category Mapping'!$F$28:$F$39,MATCH('Summarized Source Data'!$A1035,'Category Mapping'!$A$28:$A$39,0),1),INDEX('Category Mapping'!$E$28:$E$39,MATCH($A1035,'Category Mapping'!$A$28:$A$39,0),1))</f>
        <v>867439139.14285707</v>
      </c>
      <c r="P1035" s="27">
        <f>P455*IF($E1035="weekday",INDEX('Category Mapping'!$F$28:$F$39,MATCH('Summarized Source Data'!$A1035,'Category Mapping'!$A$28:$A$39,0),1),INDEX('Category Mapping'!$E$28:$E$39,MATCH($A1035,'Category Mapping'!$A$28:$A$39,0),1))</f>
        <v>867439139.14285707</v>
      </c>
      <c r="Q1035" s="27">
        <f>Q455*IF($E1035="weekday",INDEX('Category Mapping'!$F$28:$F$39,MATCH('Summarized Source Data'!$A1035,'Category Mapping'!$A$28:$A$39,0),1),INDEX('Category Mapping'!$E$28:$E$39,MATCH($A1035,'Category Mapping'!$A$28:$A$39,0),1))</f>
        <v>867439139.14285707</v>
      </c>
      <c r="R1035" s="27">
        <f>R455*IF($E1035="weekday",INDEX('Category Mapping'!$F$28:$F$39,MATCH('Summarized Source Data'!$A1035,'Category Mapping'!$A$28:$A$39,0),1),INDEX('Category Mapping'!$E$28:$E$39,MATCH($A1035,'Category Mapping'!$A$28:$A$39,0),1))</f>
        <v>47446819.714285709</v>
      </c>
      <c r="S1035" s="27">
        <f>S455*IF($E1035="weekday",INDEX('Category Mapping'!$F$28:$F$39,MATCH('Summarized Source Data'!$A1035,'Category Mapping'!$A$28:$A$39,0),1),INDEX('Category Mapping'!$E$28:$E$39,MATCH($A1035,'Category Mapping'!$A$28:$A$39,0),1))</f>
        <v>47446819.714285709</v>
      </c>
      <c r="T1035" s="27">
        <f>T455*IF($E1035="weekday",INDEX('Category Mapping'!$F$28:$F$39,MATCH('Summarized Source Data'!$A1035,'Category Mapping'!$A$28:$A$39,0),1),INDEX('Category Mapping'!$E$28:$E$39,MATCH($A1035,'Category Mapping'!$A$28:$A$39,0),1))</f>
        <v>47446819.714285709</v>
      </c>
      <c r="U1035" s="27">
        <f>U455*IF($E1035="weekday",INDEX('Category Mapping'!$F$28:$F$39,MATCH('Summarized Source Data'!$A1035,'Category Mapping'!$A$28:$A$39,0),1),INDEX('Category Mapping'!$E$28:$E$39,MATCH($A1035,'Category Mapping'!$A$28:$A$39,0),1))</f>
        <v>47446819.714285709</v>
      </c>
      <c r="V1035" s="27">
        <f>V455*IF($E1035="weekday",INDEX('Category Mapping'!$F$28:$F$39,MATCH('Summarized Source Data'!$A1035,'Category Mapping'!$A$28:$A$39,0),1),INDEX('Category Mapping'!$E$28:$E$39,MATCH($A1035,'Category Mapping'!$A$28:$A$39,0),1))</f>
        <v>47446819.714285709</v>
      </c>
      <c r="W1035" s="27">
        <f>W455*IF($E1035="weekday",INDEX('Category Mapping'!$F$28:$F$39,MATCH('Summarized Source Data'!$A1035,'Category Mapping'!$A$28:$A$39,0),1),INDEX('Category Mapping'!$E$28:$E$39,MATCH($A1035,'Category Mapping'!$A$28:$A$39,0),1))</f>
        <v>47446819.714285709</v>
      </c>
      <c r="X1035" s="27">
        <f>X455*IF($E1035="weekday",INDEX('Category Mapping'!$F$28:$F$39,MATCH('Summarized Source Data'!$A1035,'Category Mapping'!$A$28:$A$39,0),1),INDEX('Category Mapping'!$E$28:$E$39,MATCH($A1035,'Category Mapping'!$A$28:$A$39,0),1))</f>
        <v>2931714285.7142854</v>
      </c>
      <c r="Y1035" s="27">
        <f>Y455*IF($E1035="weekday",INDEX('Category Mapping'!$F$28:$F$39,MATCH('Summarized Source Data'!$A1035,'Category Mapping'!$A$28:$A$39,0),1),INDEX('Category Mapping'!$E$28:$E$39,MATCH($A1035,'Category Mapping'!$A$28:$A$39,0),1))</f>
        <v>2931714285.7142854</v>
      </c>
      <c r="Z1035" s="27">
        <f>Z455*IF($E1035="weekday",INDEX('Category Mapping'!$F$28:$F$39,MATCH('Summarized Source Data'!$A1035,'Category Mapping'!$A$28:$A$39,0),1),INDEX('Category Mapping'!$E$28:$E$39,MATCH($A1035,'Category Mapping'!$A$28:$A$39,0),1))</f>
        <v>2931714285.7142854</v>
      </c>
    </row>
    <row r="1036" spans="1:26" x14ac:dyDescent="0.3">
      <c r="A1036">
        <f t="shared" ref="A1036:E1036" si="501">A456</f>
        <v>7</v>
      </c>
      <c r="B1036" t="str">
        <f t="shared" si="501"/>
        <v>Summer</v>
      </c>
      <c r="C1036" t="str">
        <f t="shared" si="501"/>
        <v>h21</v>
      </c>
      <c r="D1036" t="str">
        <f t="shared" si="501"/>
        <v>Hour20</v>
      </c>
      <c r="E1036" t="str">
        <f t="shared" si="501"/>
        <v>Weekend</v>
      </c>
      <c r="F1036" s="27">
        <f>F456*IF($E1036="weekday",INDEX('Category Mapping'!$F$28:$F$39,MATCH('Summarized Source Data'!$A1036,'Category Mapping'!$A$28:$A$39,0),1),INDEX('Category Mapping'!$E$28:$E$39,MATCH($A1036,'Category Mapping'!$A$28:$A$39,0),1))</f>
        <v>398172.8571428571</v>
      </c>
      <c r="G1036" s="27">
        <f>G456*IF($E1036="weekday",INDEX('Category Mapping'!$F$28:$F$39,MATCH('Summarized Source Data'!$A1036,'Category Mapping'!$A$28:$A$39,0),1),INDEX('Category Mapping'!$E$28:$E$39,MATCH($A1036,'Category Mapping'!$A$28:$A$39,0),1))</f>
        <v>346314285.71428567</v>
      </c>
      <c r="H1036" s="27">
        <f>H456*IF($E1036="weekday",INDEX('Category Mapping'!$F$28:$F$39,MATCH('Summarized Source Data'!$A1036,'Category Mapping'!$A$28:$A$39,0),1),INDEX('Category Mapping'!$E$28:$E$39,MATCH($A1036,'Category Mapping'!$A$28:$A$39,0),1))</f>
        <v>0</v>
      </c>
      <c r="I1036" s="27">
        <f>I456*IF($E1036="weekday",INDEX('Category Mapping'!$F$28:$F$39,MATCH('Summarized Source Data'!$A1036,'Category Mapping'!$A$28:$A$39,0),1),INDEX('Category Mapping'!$E$28:$E$39,MATCH($A1036,'Category Mapping'!$A$28:$A$39,0),1))</f>
        <v>259514285.71428567</v>
      </c>
      <c r="J1036" s="27">
        <f>J456*IF($E1036="weekday",INDEX('Category Mapping'!$F$28:$F$39,MATCH('Summarized Source Data'!$A1036,'Category Mapping'!$A$28:$A$39,0),1),INDEX('Category Mapping'!$E$28:$E$39,MATCH($A1036,'Category Mapping'!$A$28:$A$39,0),1))</f>
        <v>695773255.71428561</v>
      </c>
      <c r="K1036" s="27">
        <f>K456*IF($E1036="weekday",INDEX('Category Mapping'!$F$28:$F$39,MATCH('Summarized Source Data'!$A1036,'Category Mapping'!$A$28:$A$39,0),1),INDEX('Category Mapping'!$E$28:$E$39,MATCH($A1036,'Category Mapping'!$A$28:$A$39,0),1))</f>
        <v>695773255.71428561</v>
      </c>
      <c r="L1036" s="27">
        <f>L456*IF($E1036="weekday",INDEX('Category Mapping'!$F$28:$F$39,MATCH('Summarized Source Data'!$A1036,'Category Mapping'!$A$28:$A$39,0),1),INDEX('Category Mapping'!$E$28:$E$39,MATCH($A1036,'Category Mapping'!$A$28:$A$39,0),1))</f>
        <v>560860.85714285704</v>
      </c>
      <c r="M1036" s="27">
        <f>M456*IF($E1036="weekday",INDEX('Category Mapping'!$F$28:$F$39,MATCH('Summarized Source Data'!$A1036,'Category Mapping'!$A$28:$A$39,0),1),INDEX('Category Mapping'!$E$28:$E$39,MATCH($A1036,'Category Mapping'!$A$28:$A$39,0),1))</f>
        <v>1310857142.8571427</v>
      </c>
      <c r="N1036" s="27">
        <f>N456*IF($E1036="weekday",INDEX('Category Mapping'!$F$28:$F$39,MATCH('Summarized Source Data'!$A1036,'Category Mapping'!$A$28:$A$39,0),1),INDEX('Category Mapping'!$E$28:$E$39,MATCH($A1036,'Category Mapping'!$A$28:$A$39,0),1))</f>
        <v>0</v>
      </c>
      <c r="O1036" s="27">
        <f>O456*IF($E1036="weekday",INDEX('Category Mapping'!$F$28:$F$39,MATCH('Summarized Source Data'!$A1036,'Category Mapping'!$A$28:$A$39,0),1),INDEX('Category Mapping'!$E$28:$E$39,MATCH($A1036,'Category Mapping'!$A$28:$A$39,0),1))</f>
        <v>832010567.71428561</v>
      </c>
      <c r="P1036" s="27">
        <f>P456*IF($E1036="weekday",INDEX('Category Mapping'!$F$28:$F$39,MATCH('Summarized Source Data'!$A1036,'Category Mapping'!$A$28:$A$39,0),1),INDEX('Category Mapping'!$E$28:$E$39,MATCH($A1036,'Category Mapping'!$A$28:$A$39,0),1))</f>
        <v>832010567.71428561</v>
      </c>
      <c r="Q1036" s="27">
        <f>Q456*IF($E1036="weekday",INDEX('Category Mapping'!$F$28:$F$39,MATCH('Summarized Source Data'!$A1036,'Category Mapping'!$A$28:$A$39,0),1),INDEX('Category Mapping'!$E$28:$E$39,MATCH($A1036,'Category Mapping'!$A$28:$A$39,0),1))</f>
        <v>832010567.71428561</v>
      </c>
      <c r="R1036" s="27">
        <f>R456*IF($E1036="weekday",INDEX('Category Mapping'!$F$28:$F$39,MATCH('Summarized Source Data'!$A1036,'Category Mapping'!$A$28:$A$39,0),1),INDEX('Category Mapping'!$E$28:$E$39,MATCH($A1036,'Category Mapping'!$A$28:$A$39,0),1))</f>
        <v>45839079.999999993</v>
      </c>
      <c r="S1036" s="27">
        <f>S456*IF($E1036="weekday",INDEX('Category Mapping'!$F$28:$F$39,MATCH('Summarized Source Data'!$A1036,'Category Mapping'!$A$28:$A$39,0),1),INDEX('Category Mapping'!$E$28:$E$39,MATCH($A1036,'Category Mapping'!$A$28:$A$39,0),1))</f>
        <v>45839079.999999993</v>
      </c>
      <c r="T1036" s="27">
        <f>T456*IF($E1036="weekday",INDEX('Category Mapping'!$F$28:$F$39,MATCH('Summarized Source Data'!$A1036,'Category Mapping'!$A$28:$A$39,0),1),INDEX('Category Mapping'!$E$28:$E$39,MATCH($A1036,'Category Mapping'!$A$28:$A$39,0),1))</f>
        <v>45839079.999999993</v>
      </c>
      <c r="U1036" s="27">
        <f>U456*IF($E1036="weekday",INDEX('Category Mapping'!$F$28:$F$39,MATCH('Summarized Source Data'!$A1036,'Category Mapping'!$A$28:$A$39,0),1),INDEX('Category Mapping'!$E$28:$E$39,MATCH($A1036,'Category Mapping'!$A$28:$A$39,0),1))</f>
        <v>45839079.999999993</v>
      </c>
      <c r="V1036" s="27">
        <f>V456*IF($E1036="weekday",INDEX('Category Mapping'!$F$28:$F$39,MATCH('Summarized Source Data'!$A1036,'Category Mapping'!$A$28:$A$39,0),1),INDEX('Category Mapping'!$E$28:$E$39,MATCH($A1036,'Category Mapping'!$A$28:$A$39,0),1))</f>
        <v>45839079.999999993</v>
      </c>
      <c r="W1036" s="27">
        <f>W456*IF($E1036="weekday",INDEX('Category Mapping'!$F$28:$F$39,MATCH('Summarized Source Data'!$A1036,'Category Mapping'!$A$28:$A$39,0),1),INDEX('Category Mapping'!$E$28:$E$39,MATCH($A1036,'Category Mapping'!$A$28:$A$39,0),1))</f>
        <v>45839079.999999993</v>
      </c>
      <c r="X1036" s="27">
        <f>X456*IF($E1036="weekday",INDEX('Category Mapping'!$F$28:$F$39,MATCH('Summarized Source Data'!$A1036,'Category Mapping'!$A$28:$A$39,0),1),INDEX('Category Mapping'!$E$28:$E$39,MATCH($A1036,'Category Mapping'!$A$28:$A$39,0),1))</f>
        <v>2913999999.9999995</v>
      </c>
      <c r="Y1036" s="27">
        <f>Y456*IF($E1036="weekday",INDEX('Category Mapping'!$F$28:$F$39,MATCH('Summarized Source Data'!$A1036,'Category Mapping'!$A$28:$A$39,0),1),INDEX('Category Mapping'!$E$28:$E$39,MATCH($A1036,'Category Mapping'!$A$28:$A$39,0),1))</f>
        <v>2913999999.9999995</v>
      </c>
      <c r="Z1036" s="27">
        <f>Z456*IF($E1036="weekday",INDEX('Category Mapping'!$F$28:$F$39,MATCH('Summarized Source Data'!$A1036,'Category Mapping'!$A$28:$A$39,0),1),INDEX('Category Mapping'!$E$28:$E$39,MATCH($A1036,'Category Mapping'!$A$28:$A$39,0),1))</f>
        <v>2913999999.9999995</v>
      </c>
    </row>
    <row r="1037" spans="1:26" x14ac:dyDescent="0.3">
      <c r="A1037">
        <f t="shared" ref="A1037:E1037" si="502">A457</f>
        <v>7</v>
      </c>
      <c r="B1037" t="str">
        <f t="shared" si="502"/>
        <v>Summer</v>
      </c>
      <c r="C1037" t="str">
        <f t="shared" si="502"/>
        <v>h22</v>
      </c>
      <c r="D1037" t="str">
        <f t="shared" si="502"/>
        <v>Hour21</v>
      </c>
      <c r="E1037" t="str">
        <f t="shared" si="502"/>
        <v>Weekend</v>
      </c>
      <c r="F1037" s="27">
        <f>F457*IF($E1037="weekday",INDEX('Category Mapping'!$F$28:$F$39,MATCH('Summarized Source Data'!$A1037,'Category Mapping'!$A$28:$A$39,0),1),INDEX('Category Mapping'!$E$28:$E$39,MATCH($A1037,'Category Mapping'!$A$28:$A$39,0),1))</f>
        <v>352124.57142857136</v>
      </c>
      <c r="G1037" s="27">
        <f>G457*IF($E1037="weekday",INDEX('Category Mapping'!$F$28:$F$39,MATCH('Summarized Source Data'!$A1037,'Category Mapping'!$A$28:$A$39,0),1),INDEX('Category Mapping'!$E$28:$E$39,MATCH($A1037,'Category Mapping'!$A$28:$A$39,0),1))</f>
        <v>311771428.57142854</v>
      </c>
      <c r="H1037" s="27">
        <f>H457*IF($E1037="weekday",INDEX('Category Mapping'!$F$28:$F$39,MATCH('Summarized Source Data'!$A1037,'Category Mapping'!$A$28:$A$39,0),1),INDEX('Category Mapping'!$E$28:$E$39,MATCH($A1037,'Category Mapping'!$A$28:$A$39,0),1))</f>
        <v>0</v>
      </c>
      <c r="I1037" s="27">
        <f>I457*IF($E1037="weekday",INDEX('Category Mapping'!$F$28:$F$39,MATCH('Summarized Source Data'!$A1037,'Category Mapping'!$A$28:$A$39,0),1),INDEX('Category Mapping'!$E$28:$E$39,MATCH($A1037,'Category Mapping'!$A$28:$A$39,0),1))</f>
        <v>215228571.4285714</v>
      </c>
      <c r="J1037" s="27">
        <f>J457*IF($E1037="weekday",INDEX('Category Mapping'!$F$28:$F$39,MATCH('Summarized Source Data'!$A1037,'Category Mapping'!$A$28:$A$39,0),1),INDEX('Category Mapping'!$E$28:$E$39,MATCH($A1037,'Category Mapping'!$A$28:$A$39,0),1))</f>
        <v>641790732.57142854</v>
      </c>
      <c r="K1037" s="27">
        <f>K457*IF($E1037="weekday",INDEX('Category Mapping'!$F$28:$F$39,MATCH('Summarized Source Data'!$A1037,'Category Mapping'!$A$28:$A$39,0),1),INDEX('Category Mapping'!$E$28:$E$39,MATCH($A1037,'Category Mapping'!$A$28:$A$39,0),1))</f>
        <v>641790732.57142854</v>
      </c>
      <c r="L1037" s="27">
        <f>L457*IF($E1037="weekday",INDEX('Category Mapping'!$F$28:$F$39,MATCH('Summarized Source Data'!$A1037,'Category Mapping'!$A$28:$A$39,0),1),INDEX('Category Mapping'!$E$28:$E$39,MATCH($A1037,'Category Mapping'!$A$28:$A$39,0),1))</f>
        <v>560860.85714285704</v>
      </c>
      <c r="M1037" s="27">
        <f>M457*IF($E1037="weekday",INDEX('Category Mapping'!$F$28:$F$39,MATCH('Summarized Source Data'!$A1037,'Category Mapping'!$A$28:$A$39,0),1),INDEX('Category Mapping'!$E$28:$E$39,MATCH($A1037,'Category Mapping'!$A$28:$A$39,0),1))</f>
        <v>1204571428.5714283</v>
      </c>
      <c r="N1037" s="27">
        <f>N457*IF($E1037="weekday",INDEX('Category Mapping'!$F$28:$F$39,MATCH('Summarized Source Data'!$A1037,'Category Mapping'!$A$28:$A$39,0),1),INDEX('Category Mapping'!$E$28:$E$39,MATCH($A1037,'Category Mapping'!$A$28:$A$39,0),1))</f>
        <v>0</v>
      </c>
      <c r="O1037" s="27">
        <f>O457*IF($E1037="weekday",INDEX('Category Mapping'!$F$28:$F$39,MATCH('Summarized Source Data'!$A1037,'Category Mapping'!$A$28:$A$39,0),1),INDEX('Category Mapping'!$E$28:$E$39,MATCH($A1037,'Category Mapping'!$A$28:$A$39,0),1))</f>
        <v>778867710.57142842</v>
      </c>
      <c r="P1037" s="27">
        <f>P457*IF($E1037="weekday",INDEX('Category Mapping'!$F$28:$F$39,MATCH('Summarized Source Data'!$A1037,'Category Mapping'!$A$28:$A$39,0),1),INDEX('Category Mapping'!$E$28:$E$39,MATCH($A1037,'Category Mapping'!$A$28:$A$39,0),1))</f>
        <v>778867710.57142842</v>
      </c>
      <c r="Q1037" s="27">
        <f>Q457*IF($E1037="weekday",INDEX('Category Mapping'!$F$28:$F$39,MATCH('Summarized Source Data'!$A1037,'Category Mapping'!$A$28:$A$39,0),1),INDEX('Category Mapping'!$E$28:$E$39,MATCH($A1037,'Category Mapping'!$A$28:$A$39,0),1))</f>
        <v>778867710.57142842</v>
      </c>
      <c r="R1037" s="27">
        <f>R457*IF($E1037="weekday",INDEX('Category Mapping'!$F$28:$F$39,MATCH('Summarized Source Data'!$A1037,'Category Mapping'!$A$28:$A$39,0),1),INDEX('Category Mapping'!$E$28:$E$39,MATCH($A1037,'Category Mapping'!$A$28:$A$39,0),1))</f>
        <v>44023888.285714276</v>
      </c>
      <c r="S1037" s="27">
        <f>S457*IF($E1037="weekday",INDEX('Category Mapping'!$F$28:$F$39,MATCH('Summarized Source Data'!$A1037,'Category Mapping'!$A$28:$A$39,0),1),INDEX('Category Mapping'!$E$28:$E$39,MATCH($A1037,'Category Mapping'!$A$28:$A$39,0),1))</f>
        <v>44023888.285714276</v>
      </c>
      <c r="T1037" s="27">
        <f>T457*IF($E1037="weekday",INDEX('Category Mapping'!$F$28:$F$39,MATCH('Summarized Source Data'!$A1037,'Category Mapping'!$A$28:$A$39,0),1),INDEX('Category Mapping'!$E$28:$E$39,MATCH($A1037,'Category Mapping'!$A$28:$A$39,0),1))</f>
        <v>44023888.285714276</v>
      </c>
      <c r="U1037" s="27">
        <f>U457*IF($E1037="weekday",INDEX('Category Mapping'!$F$28:$F$39,MATCH('Summarized Source Data'!$A1037,'Category Mapping'!$A$28:$A$39,0),1),INDEX('Category Mapping'!$E$28:$E$39,MATCH($A1037,'Category Mapping'!$A$28:$A$39,0),1))</f>
        <v>44023888.285714276</v>
      </c>
      <c r="V1037" s="27">
        <f>V457*IF($E1037="weekday",INDEX('Category Mapping'!$F$28:$F$39,MATCH('Summarized Source Data'!$A1037,'Category Mapping'!$A$28:$A$39,0),1),INDEX('Category Mapping'!$E$28:$E$39,MATCH($A1037,'Category Mapping'!$A$28:$A$39,0),1))</f>
        <v>44023888.285714276</v>
      </c>
      <c r="W1037" s="27">
        <f>W457*IF($E1037="weekday",INDEX('Category Mapping'!$F$28:$F$39,MATCH('Summarized Source Data'!$A1037,'Category Mapping'!$A$28:$A$39,0),1),INDEX('Category Mapping'!$E$28:$E$39,MATCH($A1037,'Category Mapping'!$A$28:$A$39,0),1))</f>
        <v>44023888.285714276</v>
      </c>
      <c r="X1037" s="27">
        <f>X457*IF($E1037="weekday",INDEX('Category Mapping'!$F$28:$F$39,MATCH('Summarized Source Data'!$A1037,'Category Mapping'!$A$28:$A$39,0),1),INDEX('Category Mapping'!$E$28:$E$39,MATCH($A1037,'Category Mapping'!$A$28:$A$39,0),1))</f>
        <v>2887428571.4285712</v>
      </c>
      <c r="Y1037" s="27">
        <f>Y457*IF($E1037="weekday",INDEX('Category Mapping'!$F$28:$F$39,MATCH('Summarized Source Data'!$A1037,'Category Mapping'!$A$28:$A$39,0),1),INDEX('Category Mapping'!$E$28:$E$39,MATCH($A1037,'Category Mapping'!$A$28:$A$39,0),1))</f>
        <v>2887428571.4285712</v>
      </c>
      <c r="Z1037" s="27">
        <f>Z457*IF($E1037="weekday",INDEX('Category Mapping'!$F$28:$F$39,MATCH('Summarized Source Data'!$A1037,'Category Mapping'!$A$28:$A$39,0),1),INDEX('Category Mapping'!$E$28:$E$39,MATCH($A1037,'Category Mapping'!$A$28:$A$39,0),1))</f>
        <v>2887428571.4285712</v>
      </c>
    </row>
    <row r="1038" spans="1:26" x14ac:dyDescent="0.3">
      <c r="A1038">
        <f t="shared" ref="A1038:E1038" si="503">A458</f>
        <v>7</v>
      </c>
      <c r="B1038" t="str">
        <f t="shared" si="503"/>
        <v>Summer</v>
      </c>
      <c r="C1038" t="str">
        <f t="shared" si="503"/>
        <v>h23</v>
      </c>
      <c r="D1038" t="str">
        <f t="shared" si="503"/>
        <v>Hour22</v>
      </c>
      <c r="E1038" t="str">
        <f t="shared" si="503"/>
        <v>Weekend</v>
      </c>
      <c r="F1038" s="27">
        <f>F458*IF($E1038="weekday",INDEX('Category Mapping'!$F$28:$F$39,MATCH('Summarized Source Data'!$A1038,'Category Mapping'!$A$28:$A$39,0),1),INDEX('Category Mapping'!$E$28:$E$39,MATCH($A1038,'Category Mapping'!$A$28:$A$39,0),1))</f>
        <v>273995.71428571426</v>
      </c>
      <c r="G1038" s="27">
        <f>G458*IF($E1038="weekday",INDEX('Category Mapping'!$F$28:$F$39,MATCH('Summarized Source Data'!$A1038,'Category Mapping'!$A$28:$A$39,0),1),INDEX('Category Mapping'!$E$28:$E$39,MATCH($A1038,'Category Mapping'!$A$28:$A$39,0),1))</f>
        <v>276342857.14285707</v>
      </c>
      <c r="H1038" s="27">
        <f>H458*IF($E1038="weekday",INDEX('Category Mapping'!$F$28:$F$39,MATCH('Summarized Source Data'!$A1038,'Category Mapping'!$A$28:$A$39,0),1),INDEX('Category Mapping'!$E$28:$E$39,MATCH($A1038,'Category Mapping'!$A$28:$A$39,0),1))</f>
        <v>0</v>
      </c>
      <c r="I1038" s="27">
        <f>I458*IF($E1038="weekday",INDEX('Category Mapping'!$F$28:$F$39,MATCH('Summarized Source Data'!$A1038,'Category Mapping'!$A$28:$A$39,0),1),INDEX('Category Mapping'!$E$28:$E$39,MATCH($A1038,'Category Mapping'!$A$28:$A$39,0),1))</f>
        <v>138171428.57142854</v>
      </c>
      <c r="J1038" s="27">
        <f>J458*IF($E1038="weekday",INDEX('Category Mapping'!$F$28:$F$39,MATCH('Summarized Source Data'!$A1038,'Category Mapping'!$A$28:$A$39,0),1),INDEX('Category Mapping'!$E$28:$E$39,MATCH($A1038,'Category Mapping'!$A$28:$A$39,0),1))</f>
        <v>541783147.14285707</v>
      </c>
      <c r="K1038" s="27">
        <f>K458*IF($E1038="weekday",INDEX('Category Mapping'!$F$28:$F$39,MATCH('Summarized Source Data'!$A1038,'Category Mapping'!$A$28:$A$39,0),1),INDEX('Category Mapping'!$E$28:$E$39,MATCH($A1038,'Category Mapping'!$A$28:$A$39,0),1))</f>
        <v>541783147.14285707</v>
      </c>
      <c r="L1038" s="27">
        <f>L458*IF($E1038="weekday",INDEX('Category Mapping'!$F$28:$F$39,MATCH('Summarized Source Data'!$A1038,'Category Mapping'!$A$28:$A$39,0),1),INDEX('Category Mapping'!$E$28:$E$39,MATCH($A1038,'Category Mapping'!$A$28:$A$39,0),1))</f>
        <v>560860.85714285704</v>
      </c>
      <c r="M1038" s="27">
        <f>M458*IF($E1038="weekday",INDEX('Category Mapping'!$F$28:$F$39,MATCH('Summarized Source Data'!$A1038,'Category Mapping'!$A$28:$A$39,0),1),INDEX('Category Mapping'!$E$28:$E$39,MATCH($A1038,'Category Mapping'!$A$28:$A$39,0),1))</f>
        <v>1107142857.1428571</v>
      </c>
      <c r="N1038" s="27">
        <f>N458*IF($E1038="weekday",INDEX('Category Mapping'!$F$28:$F$39,MATCH('Summarized Source Data'!$A1038,'Category Mapping'!$A$28:$A$39,0),1),INDEX('Category Mapping'!$E$28:$E$39,MATCH($A1038,'Category Mapping'!$A$28:$A$39,0),1))</f>
        <v>0</v>
      </c>
      <c r="O1038" s="27">
        <f>O458*IF($E1038="weekday",INDEX('Category Mapping'!$F$28:$F$39,MATCH('Summarized Source Data'!$A1038,'Category Mapping'!$A$28:$A$39,0),1),INDEX('Category Mapping'!$E$28:$E$39,MATCH($A1038,'Category Mapping'!$A$28:$A$39,0),1))</f>
        <v>734581996.28571415</v>
      </c>
      <c r="P1038" s="27">
        <f>P458*IF($E1038="weekday",INDEX('Category Mapping'!$F$28:$F$39,MATCH('Summarized Source Data'!$A1038,'Category Mapping'!$A$28:$A$39,0),1),INDEX('Category Mapping'!$E$28:$E$39,MATCH($A1038,'Category Mapping'!$A$28:$A$39,0),1))</f>
        <v>734581996.28571415</v>
      </c>
      <c r="Q1038" s="27">
        <f>Q458*IF($E1038="weekday",INDEX('Category Mapping'!$F$28:$F$39,MATCH('Summarized Source Data'!$A1038,'Category Mapping'!$A$28:$A$39,0),1),INDEX('Category Mapping'!$E$28:$E$39,MATCH($A1038,'Category Mapping'!$A$28:$A$39,0),1))</f>
        <v>734581996.28571415</v>
      </c>
      <c r="R1038" s="27">
        <f>R458*IF($E1038="weekday",INDEX('Category Mapping'!$F$28:$F$39,MATCH('Summarized Source Data'!$A1038,'Category Mapping'!$A$28:$A$39,0),1),INDEX('Category Mapping'!$E$28:$E$39,MATCH($A1038,'Category Mapping'!$A$28:$A$39,0),1))</f>
        <v>43401541.142857134</v>
      </c>
      <c r="S1038" s="27">
        <f>S458*IF($E1038="weekday",INDEX('Category Mapping'!$F$28:$F$39,MATCH('Summarized Source Data'!$A1038,'Category Mapping'!$A$28:$A$39,0),1),INDEX('Category Mapping'!$E$28:$E$39,MATCH($A1038,'Category Mapping'!$A$28:$A$39,0),1))</f>
        <v>43401541.142857134</v>
      </c>
      <c r="T1038" s="27">
        <f>T458*IF($E1038="weekday",INDEX('Category Mapping'!$F$28:$F$39,MATCH('Summarized Source Data'!$A1038,'Category Mapping'!$A$28:$A$39,0),1),INDEX('Category Mapping'!$E$28:$E$39,MATCH($A1038,'Category Mapping'!$A$28:$A$39,0),1))</f>
        <v>43401541.142857134</v>
      </c>
      <c r="U1038" s="27">
        <f>U458*IF($E1038="weekday",INDEX('Category Mapping'!$F$28:$F$39,MATCH('Summarized Source Data'!$A1038,'Category Mapping'!$A$28:$A$39,0),1),INDEX('Category Mapping'!$E$28:$E$39,MATCH($A1038,'Category Mapping'!$A$28:$A$39,0),1))</f>
        <v>43401541.142857134</v>
      </c>
      <c r="V1038" s="27">
        <f>V458*IF($E1038="weekday",INDEX('Category Mapping'!$F$28:$F$39,MATCH('Summarized Source Data'!$A1038,'Category Mapping'!$A$28:$A$39,0),1),INDEX('Category Mapping'!$E$28:$E$39,MATCH($A1038,'Category Mapping'!$A$28:$A$39,0),1))</f>
        <v>43401541.142857134</v>
      </c>
      <c r="W1038" s="27">
        <f>W458*IF($E1038="weekday",INDEX('Category Mapping'!$F$28:$F$39,MATCH('Summarized Source Data'!$A1038,'Category Mapping'!$A$28:$A$39,0),1),INDEX('Category Mapping'!$E$28:$E$39,MATCH($A1038,'Category Mapping'!$A$28:$A$39,0),1))</f>
        <v>43401541.142857134</v>
      </c>
      <c r="X1038" s="27">
        <f>X458*IF($E1038="weekday",INDEX('Category Mapping'!$F$28:$F$39,MATCH('Summarized Source Data'!$A1038,'Category Mapping'!$A$28:$A$39,0),1),INDEX('Category Mapping'!$E$28:$E$39,MATCH($A1038,'Category Mapping'!$A$28:$A$39,0),1))</f>
        <v>2860857142.8571424</v>
      </c>
      <c r="Y1038" s="27">
        <f>Y458*IF($E1038="weekday",INDEX('Category Mapping'!$F$28:$F$39,MATCH('Summarized Source Data'!$A1038,'Category Mapping'!$A$28:$A$39,0),1),INDEX('Category Mapping'!$E$28:$E$39,MATCH($A1038,'Category Mapping'!$A$28:$A$39,0),1))</f>
        <v>2860857142.8571424</v>
      </c>
      <c r="Z1038" s="27">
        <f>Z458*IF($E1038="weekday",INDEX('Category Mapping'!$F$28:$F$39,MATCH('Summarized Source Data'!$A1038,'Category Mapping'!$A$28:$A$39,0),1),INDEX('Category Mapping'!$E$28:$E$39,MATCH($A1038,'Category Mapping'!$A$28:$A$39,0),1))</f>
        <v>2860857142.8571424</v>
      </c>
    </row>
    <row r="1039" spans="1:26" x14ac:dyDescent="0.3">
      <c r="A1039">
        <f t="shared" ref="A1039:E1039" si="504">A459</f>
        <v>7</v>
      </c>
      <c r="B1039" t="str">
        <f t="shared" si="504"/>
        <v>Summer</v>
      </c>
      <c r="C1039" t="str">
        <f t="shared" si="504"/>
        <v>h24</v>
      </c>
      <c r="D1039" t="str">
        <f t="shared" si="504"/>
        <v>Hour23</v>
      </c>
      <c r="E1039" t="str">
        <f t="shared" si="504"/>
        <v>Weekend</v>
      </c>
      <c r="F1039" s="27">
        <f>F459*IF($E1039="weekday",INDEX('Category Mapping'!$F$28:$F$39,MATCH('Summarized Source Data'!$A1039,'Category Mapping'!$A$28:$A$39,0),1),INDEX('Category Mapping'!$E$28:$E$39,MATCH($A1039,'Category Mapping'!$A$28:$A$39,0),1))</f>
        <v>234988.8571428571</v>
      </c>
      <c r="G1039" s="27">
        <f>G459*IF($E1039="weekday",INDEX('Category Mapping'!$F$28:$F$39,MATCH('Summarized Source Data'!$A1039,'Category Mapping'!$A$28:$A$39,0),1),INDEX('Category Mapping'!$E$28:$E$39,MATCH($A1039,'Category Mapping'!$A$28:$A$39,0),1))</f>
        <v>243571428.57142854</v>
      </c>
      <c r="H1039" s="27">
        <f>H459*IF($E1039="weekday",INDEX('Category Mapping'!$F$28:$F$39,MATCH('Summarized Source Data'!$A1039,'Category Mapping'!$A$28:$A$39,0),1),INDEX('Category Mapping'!$E$28:$E$39,MATCH($A1039,'Category Mapping'!$A$28:$A$39,0),1))</f>
        <v>0</v>
      </c>
      <c r="I1039" s="27">
        <f>I459*IF($E1039="weekday",INDEX('Category Mapping'!$F$28:$F$39,MATCH('Summarized Source Data'!$A1039,'Category Mapping'!$A$28:$A$39,0),1),INDEX('Category Mapping'!$E$28:$E$39,MATCH($A1039,'Category Mapping'!$A$28:$A$39,0),1))</f>
        <v>77464155.142857134</v>
      </c>
      <c r="J1039" s="27">
        <f>J459*IF($E1039="weekday",INDEX('Category Mapping'!$F$28:$F$39,MATCH('Summarized Source Data'!$A1039,'Category Mapping'!$A$28:$A$39,0),1),INDEX('Category Mapping'!$E$28:$E$39,MATCH($A1039,'Category Mapping'!$A$28:$A$39,0),1))</f>
        <v>430700855.99999994</v>
      </c>
      <c r="K1039" s="27">
        <f>K459*IF($E1039="weekday",INDEX('Category Mapping'!$F$28:$F$39,MATCH('Summarized Source Data'!$A1039,'Category Mapping'!$A$28:$A$39,0),1),INDEX('Category Mapping'!$E$28:$E$39,MATCH($A1039,'Category Mapping'!$A$28:$A$39,0),1))</f>
        <v>430700855.99999994</v>
      </c>
      <c r="L1039" s="27">
        <f>L459*IF($E1039="weekday",INDEX('Category Mapping'!$F$28:$F$39,MATCH('Summarized Source Data'!$A1039,'Category Mapping'!$A$28:$A$39,0),1),INDEX('Category Mapping'!$E$28:$E$39,MATCH($A1039,'Category Mapping'!$A$28:$A$39,0),1))</f>
        <v>560860.85714285704</v>
      </c>
      <c r="M1039" s="27">
        <f>M459*IF($E1039="weekday",INDEX('Category Mapping'!$F$28:$F$39,MATCH('Summarized Source Data'!$A1039,'Category Mapping'!$A$28:$A$39,0),1),INDEX('Category Mapping'!$E$28:$E$39,MATCH($A1039,'Category Mapping'!$A$28:$A$39,0),1))</f>
        <v>1009714285.7142856</v>
      </c>
      <c r="N1039" s="27">
        <f>N459*IF($E1039="weekday",INDEX('Category Mapping'!$F$28:$F$39,MATCH('Summarized Source Data'!$A1039,'Category Mapping'!$A$28:$A$39,0),1),INDEX('Category Mapping'!$E$28:$E$39,MATCH($A1039,'Category Mapping'!$A$28:$A$39,0),1))</f>
        <v>0</v>
      </c>
      <c r="O1039" s="27">
        <f>O459*IF($E1039="weekday",INDEX('Category Mapping'!$F$28:$F$39,MATCH('Summarized Source Data'!$A1039,'Category Mapping'!$A$28:$A$39,0),1),INDEX('Category Mapping'!$E$28:$E$39,MATCH($A1039,'Category Mapping'!$A$28:$A$39,0),1))</f>
        <v>672581996.28571415</v>
      </c>
      <c r="P1039" s="27">
        <f>P459*IF($E1039="weekday",INDEX('Category Mapping'!$F$28:$F$39,MATCH('Summarized Source Data'!$A1039,'Category Mapping'!$A$28:$A$39,0),1),INDEX('Category Mapping'!$E$28:$E$39,MATCH($A1039,'Category Mapping'!$A$28:$A$39,0),1))</f>
        <v>672581996.28571415</v>
      </c>
      <c r="Q1039" s="27">
        <f>Q459*IF($E1039="weekday",INDEX('Category Mapping'!$F$28:$F$39,MATCH('Summarized Source Data'!$A1039,'Category Mapping'!$A$28:$A$39,0),1),INDEX('Category Mapping'!$E$28:$E$39,MATCH($A1039,'Category Mapping'!$A$28:$A$39,0),1))</f>
        <v>672581996.28571415</v>
      </c>
      <c r="R1039" s="27">
        <f>R459*IF($E1039="weekday",INDEX('Category Mapping'!$F$28:$F$39,MATCH('Summarized Source Data'!$A1039,'Category Mapping'!$A$28:$A$39,0),1),INDEX('Category Mapping'!$E$28:$E$39,MATCH($A1039,'Category Mapping'!$A$28:$A$39,0),1))</f>
        <v>29172992.857142854</v>
      </c>
      <c r="S1039" s="27">
        <f>S459*IF($E1039="weekday",INDEX('Category Mapping'!$F$28:$F$39,MATCH('Summarized Source Data'!$A1039,'Category Mapping'!$A$28:$A$39,0),1),INDEX('Category Mapping'!$E$28:$E$39,MATCH($A1039,'Category Mapping'!$A$28:$A$39,0),1))</f>
        <v>29172992.857142854</v>
      </c>
      <c r="T1039" s="27">
        <f>T459*IF($E1039="weekday",INDEX('Category Mapping'!$F$28:$F$39,MATCH('Summarized Source Data'!$A1039,'Category Mapping'!$A$28:$A$39,0),1),INDEX('Category Mapping'!$E$28:$E$39,MATCH($A1039,'Category Mapping'!$A$28:$A$39,0),1))</f>
        <v>29172992.857142854</v>
      </c>
      <c r="U1039" s="27">
        <f>U459*IF($E1039="weekday",INDEX('Category Mapping'!$F$28:$F$39,MATCH('Summarized Source Data'!$A1039,'Category Mapping'!$A$28:$A$39,0),1),INDEX('Category Mapping'!$E$28:$E$39,MATCH($A1039,'Category Mapping'!$A$28:$A$39,0),1))</f>
        <v>29172992.857142854</v>
      </c>
      <c r="V1039" s="27">
        <f>V459*IF($E1039="weekday",INDEX('Category Mapping'!$F$28:$F$39,MATCH('Summarized Source Data'!$A1039,'Category Mapping'!$A$28:$A$39,0),1),INDEX('Category Mapping'!$E$28:$E$39,MATCH($A1039,'Category Mapping'!$A$28:$A$39,0),1))</f>
        <v>29172992.857142854</v>
      </c>
      <c r="W1039" s="27">
        <f>W459*IF($E1039="weekday",INDEX('Category Mapping'!$F$28:$F$39,MATCH('Summarized Source Data'!$A1039,'Category Mapping'!$A$28:$A$39,0),1),INDEX('Category Mapping'!$E$28:$E$39,MATCH($A1039,'Category Mapping'!$A$28:$A$39,0),1))</f>
        <v>29172992.857142854</v>
      </c>
      <c r="X1039" s="27">
        <f>X459*IF($E1039="weekday",INDEX('Category Mapping'!$F$28:$F$39,MATCH('Summarized Source Data'!$A1039,'Category Mapping'!$A$28:$A$39,0),1),INDEX('Category Mapping'!$E$28:$E$39,MATCH($A1039,'Category Mapping'!$A$28:$A$39,0),1))</f>
        <v>2843142857.1428566</v>
      </c>
      <c r="Y1039" s="27">
        <f>Y459*IF($E1039="weekday",INDEX('Category Mapping'!$F$28:$F$39,MATCH('Summarized Source Data'!$A1039,'Category Mapping'!$A$28:$A$39,0),1),INDEX('Category Mapping'!$E$28:$E$39,MATCH($A1039,'Category Mapping'!$A$28:$A$39,0),1))</f>
        <v>2843142857.1428566</v>
      </c>
      <c r="Z1039" s="27">
        <f>Z459*IF($E1039="weekday",INDEX('Category Mapping'!$F$28:$F$39,MATCH('Summarized Source Data'!$A1039,'Category Mapping'!$A$28:$A$39,0),1),INDEX('Category Mapping'!$E$28:$E$39,MATCH($A1039,'Category Mapping'!$A$28:$A$39,0),1))</f>
        <v>2843142857.1428566</v>
      </c>
    </row>
    <row r="1040" spans="1:26" x14ac:dyDescent="0.3">
      <c r="A1040">
        <f t="shared" ref="A1040:E1040" si="505">A460</f>
        <v>8</v>
      </c>
      <c r="B1040" t="str">
        <f t="shared" si="505"/>
        <v>Summer</v>
      </c>
      <c r="C1040" t="str">
        <f t="shared" si="505"/>
        <v>h1</v>
      </c>
      <c r="D1040" t="str">
        <f t="shared" si="505"/>
        <v>Hour0</v>
      </c>
      <c r="E1040" t="str">
        <f t="shared" si="505"/>
        <v>Weekend</v>
      </c>
      <c r="F1040" s="27">
        <f>F460*IF($E1040="weekday",INDEX('Category Mapping'!$F$28:$F$39,MATCH('Summarized Source Data'!$A1040,'Category Mapping'!$A$28:$A$39,0),1),INDEX('Category Mapping'!$E$28:$E$39,MATCH($A1040,'Category Mapping'!$A$28:$A$39,0),1))</f>
        <v>245953.99999999997</v>
      </c>
      <c r="G1040" s="27">
        <f>G460*IF($E1040="weekday",INDEX('Category Mapping'!$F$28:$F$39,MATCH('Summarized Source Data'!$A1040,'Category Mapping'!$A$28:$A$39,0),1),INDEX('Category Mapping'!$E$28:$E$39,MATCH($A1040,'Category Mapping'!$A$28:$A$39,0),1))</f>
        <v>227628571.4285714</v>
      </c>
      <c r="H1040" s="27">
        <f>H460*IF($E1040="weekday",INDEX('Category Mapping'!$F$28:$F$39,MATCH('Summarized Source Data'!$A1040,'Category Mapping'!$A$28:$A$39,0),1),INDEX('Category Mapping'!$E$28:$E$39,MATCH($A1040,'Category Mapping'!$A$28:$A$39,0),1))</f>
        <v>0</v>
      </c>
      <c r="I1040" s="27">
        <f>I460*IF($E1040="weekday",INDEX('Category Mapping'!$F$28:$F$39,MATCH('Summarized Source Data'!$A1040,'Category Mapping'!$A$28:$A$39,0),1),INDEX('Category Mapping'!$E$28:$E$39,MATCH($A1040,'Category Mapping'!$A$28:$A$39,0),1))</f>
        <v>52684916.285714276</v>
      </c>
      <c r="J1040" s="27">
        <f>J460*IF($E1040="weekday",INDEX('Category Mapping'!$F$28:$F$39,MATCH('Summarized Source Data'!$A1040,'Category Mapping'!$A$28:$A$39,0),1),INDEX('Category Mapping'!$E$28:$E$39,MATCH($A1040,'Category Mapping'!$A$28:$A$39,0),1))</f>
        <v>332354843.99999994</v>
      </c>
      <c r="K1040" s="27">
        <f>K460*IF($E1040="weekday",INDEX('Category Mapping'!$F$28:$F$39,MATCH('Summarized Source Data'!$A1040,'Category Mapping'!$A$28:$A$39,0),1),INDEX('Category Mapping'!$E$28:$E$39,MATCH($A1040,'Category Mapping'!$A$28:$A$39,0),1))</f>
        <v>332354843.99999994</v>
      </c>
      <c r="L1040" s="27">
        <f>L460*IF($E1040="weekday",INDEX('Category Mapping'!$F$28:$F$39,MATCH('Summarized Source Data'!$A1040,'Category Mapping'!$A$28:$A$39,0),1),INDEX('Category Mapping'!$E$28:$E$39,MATCH($A1040,'Category Mapping'!$A$28:$A$39,0),1))</f>
        <v>587042.57142857136</v>
      </c>
      <c r="M1040" s="27">
        <f>M460*IF($E1040="weekday",INDEX('Category Mapping'!$F$28:$F$39,MATCH('Summarized Source Data'!$A1040,'Category Mapping'!$A$28:$A$39,0),1),INDEX('Category Mapping'!$E$28:$E$39,MATCH($A1040,'Category Mapping'!$A$28:$A$39,0),1))</f>
        <v>1036285714.2857141</v>
      </c>
      <c r="N1040" s="27">
        <f>N460*IF($E1040="weekday",INDEX('Category Mapping'!$F$28:$F$39,MATCH('Summarized Source Data'!$A1040,'Category Mapping'!$A$28:$A$39,0),1),INDEX('Category Mapping'!$E$28:$E$39,MATCH($A1040,'Category Mapping'!$A$28:$A$39,0),1))</f>
        <v>0</v>
      </c>
      <c r="O1040" s="27">
        <f>O460*IF($E1040="weekday",INDEX('Category Mapping'!$F$28:$F$39,MATCH('Summarized Source Data'!$A1040,'Category Mapping'!$A$28:$A$39,0),1),INDEX('Category Mapping'!$E$28:$E$39,MATCH($A1040,'Category Mapping'!$A$28:$A$39,0),1))</f>
        <v>681412957.42857134</v>
      </c>
      <c r="P1040" s="27">
        <f>P460*IF($E1040="weekday",INDEX('Category Mapping'!$F$28:$F$39,MATCH('Summarized Source Data'!$A1040,'Category Mapping'!$A$28:$A$39,0),1),INDEX('Category Mapping'!$E$28:$E$39,MATCH($A1040,'Category Mapping'!$A$28:$A$39,0),1))</f>
        <v>681412957.42857134</v>
      </c>
      <c r="Q1040" s="27">
        <f>Q460*IF($E1040="weekday",INDEX('Category Mapping'!$F$28:$F$39,MATCH('Summarized Source Data'!$A1040,'Category Mapping'!$A$28:$A$39,0),1),INDEX('Category Mapping'!$E$28:$E$39,MATCH($A1040,'Category Mapping'!$A$28:$A$39,0),1))</f>
        <v>681412957.42857134</v>
      </c>
      <c r="R1040" s="27">
        <f>R460*IF($E1040="weekday",INDEX('Category Mapping'!$F$28:$F$39,MATCH('Summarized Source Data'!$A1040,'Category Mapping'!$A$28:$A$39,0),1),INDEX('Category Mapping'!$E$28:$E$39,MATCH($A1040,'Category Mapping'!$A$28:$A$39,0),1))</f>
        <v>21568365.142857138</v>
      </c>
      <c r="S1040" s="27">
        <f>S460*IF($E1040="weekday",INDEX('Category Mapping'!$F$28:$F$39,MATCH('Summarized Source Data'!$A1040,'Category Mapping'!$A$28:$A$39,0),1),INDEX('Category Mapping'!$E$28:$E$39,MATCH($A1040,'Category Mapping'!$A$28:$A$39,0),1))</f>
        <v>21568365.142857138</v>
      </c>
      <c r="T1040" s="27">
        <f>T460*IF($E1040="weekday",INDEX('Category Mapping'!$F$28:$F$39,MATCH('Summarized Source Data'!$A1040,'Category Mapping'!$A$28:$A$39,0),1),INDEX('Category Mapping'!$E$28:$E$39,MATCH($A1040,'Category Mapping'!$A$28:$A$39,0),1))</f>
        <v>21568365.142857138</v>
      </c>
      <c r="U1040" s="27">
        <f>U460*IF($E1040="weekday",INDEX('Category Mapping'!$F$28:$F$39,MATCH('Summarized Source Data'!$A1040,'Category Mapping'!$A$28:$A$39,0),1),INDEX('Category Mapping'!$E$28:$E$39,MATCH($A1040,'Category Mapping'!$A$28:$A$39,0),1))</f>
        <v>21568365.142857138</v>
      </c>
      <c r="V1040" s="27">
        <f>V460*IF($E1040="weekday",INDEX('Category Mapping'!$F$28:$F$39,MATCH('Summarized Source Data'!$A1040,'Category Mapping'!$A$28:$A$39,0),1),INDEX('Category Mapping'!$E$28:$E$39,MATCH($A1040,'Category Mapping'!$A$28:$A$39,0),1))</f>
        <v>21568365.142857138</v>
      </c>
      <c r="W1040" s="27">
        <f>W460*IF($E1040="weekday",INDEX('Category Mapping'!$F$28:$F$39,MATCH('Summarized Source Data'!$A1040,'Category Mapping'!$A$28:$A$39,0),1),INDEX('Category Mapping'!$E$28:$E$39,MATCH($A1040,'Category Mapping'!$A$28:$A$39,0),1))</f>
        <v>21568365.142857138</v>
      </c>
      <c r="X1040" s="27">
        <f>X460*IF($E1040="weekday",INDEX('Category Mapping'!$F$28:$F$39,MATCH('Summarized Source Data'!$A1040,'Category Mapping'!$A$28:$A$39,0),1),INDEX('Category Mapping'!$E$28:$E$39,MATCH($A1040,'Category Mapping'!$A$28:$A$39,0),1))</f>
        <v>2993714285.7142854</v>
      </c>
      <c r="Y1040" s="27">
        <f>Y460*IF($E1040="weekday",INDEX('Category Mapping'!$F$28:$F$39,MATCH('Summarized Source Data'!$A1040,'Category Mapping'!$A$28:$A$39,0),1),INDEX('Category Mapping'!$E$28:$E$39,MATCH($A1040,'Category Mapping'!$A$28:$A$39,0),1))</f>
        <v>2993714285.7142854</v>
      </c>
      <c r="Z1040" s="27">
        <f>Z460*IF($E1040="weekday",INDEX('Category Mapping'!$F$28:$F$39,MATCH('Summarized Source Data'!$A1040,'Category Mapping'!$A$28:$A$39,0),1),INDEX('Category Mapping'!$E$28:$E$39,MATCH($A1040,'Category Mapping'!$A$28:$A$39,0),1))</f>
        <v>2993714285.7142854</v>
      </c>
    </row>
    <row r="1041" spans="1:26" x14ac:dyDescent="0.3">
      <c r="A1041">
        <f t="shared" ref="A1041:E1041" si="506">A461</f>
        <v>8</v>
      </c>
      <c r="B1041" t="str">
        <f t="shared" si="506"/>
        <v>Summer</v>
      </c>
      <c r="C1041" t="str">
        <f t="shared" si="506"/>
        <v>h2</v>
      </c>
      <c r="D1041" t="str">
        <f t="shared" si="506"/>
        <v>Hour1</v>
      </c>
      <c r="E1041" t="str">
        <f t="shared" si="506"/>
        <v>Weekend</v>
      </c>
      <c r="F1041" s="27">
        <f>F461*IF($E1041="weekday",INDEX('Category Mapping'!$F$28:$F$39,MATCH('Summarized Source Data'!$A1041,'Category Mapping'!$A$28:$A$39,0),1),INDEX('Category Mapping'!$E$28:$E$39,MATCH($A1041,'Category Mapping'!$A$28:$A$39,0),1))</f>
        <v>245953.99999999997</v>
      </c>
      <c r="G1041" s="27">
        <f>G461*IF($E1041="weekday",INDEX('Category Mapping'!$F$28:$F$39,MATCH('Summarized Source Data'!$A1041,'Category Mapping'!$A$28:$A$39,0),1),INDEX('Category Mapping'!$E$28:$E$39,MATCH($A1041,'Category Mapping'!$A$28:$A$39,0),1))</f>
        <v>205485714.28571427</v>
      </c>
      <c r="H1041" s="27">
        <f>H461*IF($E1041="weekday",INDEX('Category Mapping'!$F$28:$F$39,MATCH('Summarized Source Data'!$A1041,'Category Mapping'!$A$28:$A$39,0),1),INDEX('Category Mapping'!$E$28:$E$39,MATCH($A1041,'Category Mapping'!$A$28:$A$39,0),1))</f>
        <v>0</v>
      </c>
      <c r="I1041" s="27">
        <f>I461*IF($E1041="weekday",INDEX('Category Mapping'!$F$28:$F$39,MATCH('Summarized Source Data'!$A1041,'Category Mapping'!$A$28:$A$39,0),1),INDEX('Category Mapping'!$E$28:$E$39,MATCH($A1041,'Category Mapping'!$A$28:$A$39,0),1))</f>
        <v>45519434.571428567</v>
      </c>
      <c r="J1041" s="27">
        <f>J461*IF($E1041="weekday",INDEX('Category Mapping'!$F$28:$F$39,MATCH('Summarized Source Data'!$A1041,'Category Mapping'!$A$28:$A$39,0),1),INDEX('Category Mapping'!$E$28:$E$39,MATCH($A1041,'Category Mapping'!$A$28:$A$39,0),1))</f>
        <v>259806039.99999997</v>
      </c>
      <c r="K1041" s="27">
        <f>K461*IF($E1041="weekday",INDEX('Category Mapping'!$F$28:$F$39,MATCH('Summarized Source Data'!$A1041,'Category Mapping'!$A$28:$A$39,0),1),INDEX('Category Mapping'!$E$28:$E$39,MATCH($A1041,'Category Mapping'!$A$28:$A$39,0),1))</f>
        <v>259806039.99999997</v>
      </c>
      <c r="L1041" s="27">
        <f>L461*IF($E1041="weekday",INDEX('Category Mapping'!$F$28:$F$39,MATCH('Summarized Source Data'!$A1041,'Category Mapping'!$A$28:$A$39,0),1),INDEX('Category Mapping'!$E$28:$E$39,MATCH($A1041,'Category Mapping'!$A$28:$A$39,0),1))</f>
        <v>587042.57142857136</v>
      </c>
      <c r="M1041" s="27">
        <f>M461*IF($E1041="weekday",INDEX('Category Mapping'!$F$28:$F$39,MATCH('Summarized Source Data'!$A1041,'Category Mapping'!$A$28:$A$39,0),1),INDEX('Category Mapping'!$E$28:$E$39,MATCH($A1041,'Category Mapping'!$A$28:$A$39,0),1))</f>
        <v>983142857.14285696</v>
      </c>
      <c r="N1041" s="27">
        <f>N461*IF($E1041="weekday",INDEX('Category Mapping'!$F$28:$F$39,MATCH('Summarized Source Data'!$A1041,'Category Mapping'!$A$28:$A$39,0),1),INDEX('Category Mapping'!$E$28:$E$39,MATCH($A1041,'Category Mapping'!$A$28:$A$39,0),1))</f>
        <v>0</v>
      </c>
      <c r="O1041" s="27">
        <f>O461*IF($E1041="weekday",INDEX('Category Mapping'!$F$28:$F$39,MATCH('Summarized Source Data'!$A1041,'Category Mapping'!$A$28:$A$39,0),1),INDEX('Category Mapping'!$E$28:$E$39,MATCH($A1041,'Category Mapping'!$A$28:$A$39,0),1))</f>
        <v>592841528.85714281</v>
      </c>
      <c r="P1041" s="27">
        <f>P461*IF($E1041="weekday",INDEX('Category Mapping'!$F$28:$F$39,MATCH('Summarized Source Data'!$A1041,'Category Mapping'!$A$28:$A$39,0),1),INDEX('Category Mapping'!$E$28:$E$39,MATCH($A1041,'Category Mapping'!$A$28:$A$39,0),1))</f>
        <v>592841528.85714281</v>
      </c>
      <c r="Q1041" s="27">
        <f>Q461*IF($E1041="weekday",INDEX('Category Mapping'!$F$28:$F$39,MATCH('Summarized Source Data'!$A1041,'Category Mapping'!$A$28:$A$39,0),1),INDEX('Category Mapping'!$E$28:$E$39,MATCH($A1041,'Category Mapping'!$A$28:$A$39,0),1))</f>
        <v>592841528.85714281</v>
      </c>
      <c r="R1041" s="27">
        <f>R461*IF($E1041="weekday",INDEX('Category Mapping'!$F$28:$F$39,MATCH('Summarized Source Data'!$A1041,'Category Mapping'!$A$28:$A$39,0),1),INDEX('Category Mapping'!$E$28:$E$39,MATCH($A1041,'Category Mapping'!$A$28:$A$39,0),1))</f>
        <v>20427387.999999996</v>
      </c>
      <c r="S1041" s="27">
        <f>S461*IF($E1041="weekday",INDEX('Category Mapping'!$F$28:$F$39,MATCH('Summarized Source Data'!$A1041,'Category Mapping'!$A$28:$A$39,0),1),INDEX('Category Mapping'!$E$28:$E$39,MATCH($A1041,'Category Mapping'!$A$28:$A$39,0),1))</f>
        <v>20427387.999999996</v>
      </c>
      <c r="T1041" s="27">
        <f>T461*IF($E1041="weekday",INDEX('Category Mapping'!$F$28:$F$39,MATCH('Summarized Source Data'!$A1041,'Category Mapping'!$A$28:$A$39,0),1),INDEX('Category Mapping'!$E$28:$E$39,MATCH($A1041,'Category Mapping'!$A$28:$A$39,0),1))</f>
        <v>20427387.999999996</v>
      </c>
      <c r="U1041" s="27">
        <f>U461*IF($E1041="weekday",INDEX('Category Mapping'!$F$28:$F$39,MATCH('Summarized Source Data'!$A1041,'Category Mapping'!$A$28:$A$39,0),1),INDEX('Category Mapping'!$E$28:$E$39,MATCH($A1041,'Category Mapping'!$A$28:$A$39,0),1))</f>
        <v>20427387.999999996</v>
      </c>
      <c r="V1041" s="27">
        <f>V461*IF($E1041="weekday",INDEX('Category Mapping'!$F$28:$F$39,MATCH('Summarized Source Data'!$A1041,'Category Mapping'!$A$28:$A$39,0),1),INDEX('Category Mapping'!$E$28:$E$39,MATCH($A1041,'Category Mapping'!$A$28:$A$39,0),1))</f>
        <v>20427387.999999996</v>
      </c>
      <c r="W1041" s="27">
        <f>W461*IF($E1041="weekday",INDEX('Category Mapping'!$F$28:$F$39,MATCH('Summarized Source Data'!$A1041,'Category Mapping'!$A$28:$A$39,0),1),INDEX('Category Mapping'!$E$28:$E$39,MATCH($A1041,'Category Mapping'!$A$28:$A$39,0),1))</f>
        <v>20427387.999999996</v>
      </c>
      <c r="X1041" s="27">
        <f>X461*IF($E1041="weekday",INDEX('Category Mapping'!$F$28:$F$39,MATCH('Summarized Source Data'!$A1041,'Category Mapping'!$A$28:$A$39,0),1),INDEX('Category Mapping'!$E$28:$E$39,MATCH($A1041,'Category Mapping'!$A$28:$A$39,0),1))</f>
        <v>2993714285.7142854</v>
      </c>
      <c r="Y1041" s="27">
        <f>Y461*IF($E1041="weekday",INDEX('Category Mapping'!$F$28:$F$39,MATCH('Summarized Source Data'!$A1041,'Category Mapping'!$A$28:$A$39,0),1),INDEX('Category Mapping'!$E$28:$E$39,MATCH($A1041,'Category Mapping'!$A$28:$A$39,0),1))</f>
        <v>2993714285.7142854</v>
      </c>
      <c r="Z1041" s="27">
        <f>Z461*IF($E1041="weekday",INDEX('Category Mapping'!$F$28:$F$39,MATCH('Summarized Source Data'!$A1041,'Category Mapping'!$A$28:$A$39,0),1),INDEX('Category Mapping'!$E$28:$E$39,MATCH($A1041,'Category Mapping'!$A$28:$A$39,0),1))</f>
        <v>2993714285.7142854</v>
      </c>
    </row>
    <row r="1042" spans="1:26" x14ac:dyDescent="0.3">
      <c r="A1042">
        <f t="shared" ref="A1042:E1042" si="507">A462</f>
        <v>8</v>
      </c>
      <c r="B1042" t="str">
        <f t="shared" si="507"/>
        <v>Summer</v>
      </c>
      <c r="C1042" t="str">
        <f t="shared" si="507"/>
        <v>h3</v>
      </c>
      <c r="D1042" t="str">
        <f t="shared" si="507"/>
        <v>Hour2</v>
      </c>
      <c r="E1042" t="str">
        <f t="shared" si="507"/>
        <v>Weekend</v>
      </c>
      <c r="F1042" s="27">
        <f>F462*IF($E1042="weekday",INDEX('Category Mapping'!$F$28:$F$39,MATCH('Summarized Source Data'!$A1042,'Category Mapping'!$A$28:$A$39,0),1),INDEX('Category Mapping'!$E$28:$E$39,MATCH($A1042,'Category Mapping'!$A$28:$A$39,0),1))</f>
        <v>245953.99999999997</v>
      </c>
      <c r="G1042" s="27">
        <f>G462*IF($E1042="weekday",INDEX('Category Mapping'!$F$28:$F$39,MATCH('Summarized Source Data'!$A1042,'Category Mapping'!$A$28:$A$39,0),1),INDEX('Category Mapping'!$E$28:$E$39,MATCH($A1042,'Category Mapping'!$A$28:$A$39,0),1))</f>
        <v>200171428.57142854</v>
      </c>
      <c r="H1042" s="27">
        <f>H462*IF($E1042="weekday",INDEX('Category Mapping'!$F$28:$F$39,MATCH('Summarized Source Data'!$A1042,'Category Mapping'!$A$28:$A$39,0),1),INDEX('Category Mapping'!$E$28:$E$39,MATCH($A1042,'Category Mapping'!$A$28:$A$39,0),1))</f>
        <v>0</v>
      </c>
      <c r="I1042" s="27">
        <f>I462*IF($E1042="weekday",INDEX('Category Mapping'!$F$28:$F$39,MATCH('Summarized Source Data'!$A1042,'Category Mapping'!$A$28:$A$39,0),1),INDEX('Category Mapping'!$E$28:$E$39,MATCH($A1042,'Category Mapping'!$A$28:$A$39,0),1))</f>
        <v>43963588.857142851</v>
      </c>
      <c r="J1042" s="27">
        <f>J462*IF($E1042="weekday",INDEX('Category Mapping'!$F$28:$F$39,MATCH('Summarized Source Data'!$A1042,'Category Mapping'!$A$28:$A$39,0),1),INDEX('Category Mapping'!$E$28:$E$39,MATCH($A1042,'Category Mapping'!$A$28:$A$39,0),1))</f>
        <v>202904742.85714284</v>
      </c>
      <c r="K1042" s="27">
        <f>K462*IF($E1042="weekday",INDEX('Category Mapping'!$F$28:$F$39,MATCH('Summarized Source Data'!$A1042,'Category Mapping'!$A$28:$A$39,0),1),INDEX('Category Mapping'!$E$28:$E$39,MATCH($A1042,'Category Mapping'!$A$28:$A$39,0),1))</f>
        <v>202904742.85714284</v>
      </c>
      <c r="L1042" s="27">
        <f>L462*IF($E1042="weekday",INDEX('Category Mapping'!$F$28:$F$39,MATCH('Summarized Source Data'!$A1042,'Category Mapping'!$A$28:$A$39,0),1),INDEX('Category Mapping'!$E$28:$E$39,MATCH($A1042,'Category Mapping'!$A$28:$A$39,0),1))</f>
        <v>587042.57142857136</v>
      </c>
      <c r="M1042" s="27">
        <f>M462*IF($E1042="weekday",INDEX('Category Mapping'!$F$28:$F$39,MATCH('Summarized Source Data'!$A1042,'Category Mapping'!$A$28:$A$39,0),1),INDEX('Category Mapping'!$E$28:$E$39,MATCH($A1042,'Category Mapping'!$A$28:$A$39,0),1))</f>
        <v>956571428.57142842</v>
      </c>
      <c r="N1042" s="27">
        <f>N462*IF($E1042="weekday",INDEX('Category Mapping'!$F$28:$F$39,MATCH('Summarized Source Data'!$A1042,'Category Mapping'!$A$28:$A$39,0),1),INDEX('Category Mapping'!$E$28:$E$39,MATCH($A1042,'Category Mapping'!$A$28:$A$39,0),1))</f>
        <v>0</v>
      </c>
      <c r="O1042" s="27">
        <f>O462*IF($E1042="weekday",INDEX('Category Mapping'!$F$28:$F$39,MATCH('Summarized Source Data'!$A1042,'Category Mapping'!$A$28:$A$39,0),1),INDEX('Category Mapping'!$E$28:$E$39,MATCH($A1042,'Category Mapping'!$A$28:$A$39,0),1))</f>
        <v>592841528.85714281</v>
      </c>
      <c r="P1042" s="27">
        <f>P462*IF($E1042="weekday",INDEX('Category Mapping'!$F$28:$F$39,MATCH('Summarized Source Data'!$A1042,'Category Mapping'!$A$28:$A$39,0),1),INDEX('Category Mapping'!$E$28:$E$39,MATCH($A1042,'Category Mapping'!$A$28:$A$39,0),1))</f>
        <v>592841528.85714281</v>
      </c>
      <c r="Q1042" s="27">
        <f>Q462*IF($E1042="weekday",INDEX('Category Mapping'!$F$28:$F$39,MATCH('Summarized Source Data'!$A1042,'Category Mapping'!$A$28:$A$39,0),1),INDEX('Category Mapping'!$E$28:$E$39,MATCH($A1042,'Category Mapping'!$A$28:$A$39,0),1))</f>
        <v>592841528.85714281</v>
      </c>
      <c r="R1042" s="27">
        <f>R462*IF($E1042="weekday",INDEX('Category Mapping'!$F$28:$F$39,MATCH('Summarized Source Data'!$A1042,'Category Mapping'!$A$28:$A$39,0),1),INDEX('Category Mapping'!$E$28:$E$39,MATCH($A1042,'Category Mapping'!$A$28:$A$39,0),1))</f>
        <v>20116218.857142854</v>
      </c>
      <c r="S1042" s="27">
        <f>S462*IF($E1042="weekday",INDEX('Category Mapping'!$F$28:$F$39,MATCH('Summarized Source Data'!$A1042,'Category Mapping'!$A$28:$A$39,0),1),INDEX('Category Mapping'!$E$28:$E$39,MATCH($A1042,'Category Mapping'!$A$28:$A$39,0),1))</f>
        <v>20116218.857142854</v>
      </c>
      <c r="T1042" s="27">
        <f>T462*IF($E1042="weekday",INDEX('Category Mapping'!$F$28:$F$39,MATCH('Summarized Source Data'!$A1042,'Category Mapping'!$A$28:$A$39,0),1),INDEX('Category Mapping'!$E$28:$E$39,MATCH($A1042,'Category Mapping'!$A$28:$A$39,0),1))</f>
        <v>20116218.857142854</v>
      </c>
      <c r="U1042" s="27">
        <f>U462*IF($E1042="weekday",INDEX('Category Mapping'!$F$28:$F$39,MATCH('Summarized Source Data'!$A1042,'Category Mapping'!$A$28:$A$39,0),1),INDEX('Category Mapping'!$E$28:$E$39,MATCH($A1042,'Category Mapping'!$A$28:$A$39,0),1))</f>
        <v>20116218.857142854</v>
      </c>
      <c r="V1042" s="27">
        <f>V462*IF($E1042="weekday",INDEX('Category Mapping'!$F$28:$F$39,MATCH('Summarized Source Data'!$A1042,'Category Mapping'!$A$28:$A$39,0),1),INDEX('Category Mapping'!$E$28:$E$39,MATCH($A1042,'Category Mapping'!$A$28:$A$39,0),1))</f>
        <v>20116218.857142854</v>
      </c>
      <c r="W1042" s="27">
        <f>W462*IF($E1042="weekday",INDEX('Category Mapping'!$F$28:$F$39,MATCH('Summarized Source Data'!$A1042,'Category Mapping'!$A$28:$A$39,0),1),INDEX('Category Mapping'!$E$28:$E$39,MATCH($A1042,'Category Mapping'!$A$28:$A$39,0),1))</f>
        <v>20116218.857142854</v>
      </c>
      <c r="X1042" s="27">
        <f>X462*IF($E1042="weekday",INDEX('Category Mapping'!$F$28:$F$39,MATCH('Summarized Source Data'!$A1042,'Category Mapping'!$A$28:$A$39,0),1),INDEX('Category Mapping'!$E$28:$E$39,MATCH($A1042,'Category Mapping'!$A$28:$A$39,0),1))</f>
        <v>2993714285.7142854</v>
      </c>
      <c r="Y1042" s="27">
        <f>Y462*IF($E1042="weekday",INDEX('Category Mapping'!$F$28:$F$39,MATCH('Summarized Source Data'!$A1042,'Category Mapping'!$A$28:$A$39,0),1),INDEX('Category Mapping'!$E$28:$E$39,MATCH($A1042,'Category Mapping'!$A$28:$A$39,0),1))</f>
        <v>2993714285.7142854</v>
      </c>
      <c r="Z1042" s="27">
        <f>Z462*IF($E1042="weekday",INDEX('Category Mapping'!$F$28:$F$39,MATCH('Summarized Source Data'!$A1042,'Category Mapping'!$A$28:$A$39,0),1),INDEX('Category Mapping'!$E$28:$E$39,MATCH($A1042,'Category Mapping'!$A$28:$A$39,0),1))</f>
        <v>2993714285.7142854</v>
      </c>
    </row>
    <row r="1043" spans="1:26" x14ac:dyDescent="0.3">
      <c r="A1043">
        <f t="shared" ref="A1043:E1043" si="508">A463</f>
        <v>8</v>
      </c>
      <c r="B1043" t="str">
        <f t="shared" si="508"/>
        <v>Summer</v>
      </c>
      <c r="C1043" t="str">
        <f t="shared" si="508"/>
        <v>h4</v>
      </c>
      <c r="D1043" t="str">
        <f t="shared" si="508"/>
        <v>Hour3</v>
      </c>
      <c r="E1043" t="str">
        <f t="shared" si="508"/>
        <v>Weekend</v>
      </c>
      <c r="F1043" s="27">
        <f>F463*IF($E1043="weekday",INDEX('Category Mapping'!$F$28:$F$39,MATCH('Summarized Source Data'!$A1043,'Category Mapping'!$A$28:$A$39,0),1),INDEX('Category Mapping'!$E$28:$E$39,MATCH($A1043,'Category Mapping'!$A$28:$A$39,0),1))</f>
        <v>245953.99999999997</v>
      </c>
      <c r="G1043" s="27">
        <f>G463*IF($E1043="weekday",INDEX('Category Mapping'!$F$28:$F$39,MATCH('Summarized Source Data'!$A1043,'Category Mapping'!$A$28:$A$39,0),1),INDEX('Category Mapping'!$E$28:$E$39,MATCH($A1043,'Category Mapping'!$A$28:$A$39,0),1))</f>
        <v>209028571.4285714</v>
      </c>
      <c r="H1043" s="27">
        <f>H463*IF($E1043="weekday",INDEX('Category Mapping'!$F$28:$F$39,MATCH('Summarized Source Data'!$A1043,'Category Mapping'!$A$28:$A$39,0),1),INDEX('Category Mapping'!$E$28:$E$39,MATCH($A1043,'Category Mapping'!$A$28:$A$39,0),1))</f>
        <v>0</v>
      </c>
      <c r="I1043" s="27">
        <f>I463*IF($E1043="weekday",INDEX('Category Mapping'!$F$28:$F$39,MATCH('Summarized Source Data'!$A1043,'Category Mapping'!$A$28:$A$39,0),1),INDEX('Category Mapping'!$E$28:$E$39,MATCH($A1043,'Category Mapping'!$A$28:$A$39,0),1))</f>
        <v>43926477.428571425</v>
      </c>
      <c r="J1043" s="27">
        <f>J463*IF($E1043="weekday",INDEX('Category Mapping'!$F$28:$F$39,MATCH('Summarized Source Data'!$A1043,'Category Mapping'!$A$28:$A$39,0),1),INDEX('Category Mapping'!$E$28:$E$39,MATCH($A1043,'Category Mapping'!$A$28:$A$39,0),1))</f>
        <v>168398997.1428571</v>
      </c>
      <c r="K1043" s="27">
        <f>K463*IF($E1043="weekday",INDEX('Category Mapping'!$F$28:$F$39,MATCH('Summarized Source Data'!$A1043,'Category Mapping'!$A$28:$A$39,0),1),INDEX('Category Mapping'!$E$28:$E$39,MATCH($A1043,'Category Mapping'!$A$28:$A$39,0),1))</f>
        <v>168398997.1428571</v>
      </c>
      <c r="L1043" s="27">
        <f>L463*IF($E1043="weekday",INDEX('Category Mapping'!$F$28:$F$39,MATCH('Summarized Source Data'!$A1043,'Category Mapping'!$A$28:$A$39,0),1),INDEX('Category Mapping'!$E$28:$E$39,MATCH($A1043,'Category Mapping'!$A$28:$A$39,0),1))</f>
        <v>587042.57142857136</v>
      </c>
      <c r="M1043" s="27">
        <f>M463*IF($E1043="weekday",INDEX('Category Mapping'!$F$28:$F$39,MATCH('Summarized Source Data'!$A1043,'Category Mapping'!$A$28:$A$39,0),1),INDEX('Category Mapping'!$E$28:$E$39,MATCH($A1043,'Category Mapping'!$A$28:$A$39,0),1))</f>
        <v>974285714.28571415</v>
      </c>
      <c r="N1043" s="27">
        <f>N463*IF($E1043="weekday",INDEX('Category Mapping'!$F$28:$F$39,MATCH('Summarized Source Data'!$A1043,'Category Mapping'!$A$28:$A$39,0),1),INDEX('Category Mapping'!$E$28:$E$39,MATCH($A1043,'Category Mapping'!$A$28:$A$39,0),1))</f>
        <v>0</v>
      </c>
      <c r="O1043" s="27">
        <f>O463*IF($E1043="weekday",INDEX('Category Mapping'!$F$28:$F$39,MATCH('Summarized Source Data'!$A1043,'Category Mapping'!$A$28:$A$39,0),1),INDEX('Category Mapping'!$E$28:$E$39,MATCH($A1043,'Category Mapping'!$A$28:$A$39,0),1))</f>
        <v>592841528.85714281</v>
      </c>
      <c r="P1043" s="27">
        <f>P463*IF($E1043="weekday",INDEX('Category Mapping'!$F$28:$F$39,MATCH('Summarized Source Data'!$A1043,'Category Mapping'!$A$28:$A$39,0),1),INDEX('Category Mapping'!$E$28:$E$39,MATCH($A1043,'Category Mapping'!$A$28:$A$39,0),1))</f>
        <v>592841528.85714281</v>
      </c>
      <c r="Q1043" s="27">
        <f>Q463*IF($E1043="weekday",INDEX('Category Mapping'!$F$28:$F$39,MATCH('Summarized Source Data'!$A1043,'Category Mapping'!$A$28:$A$39,0),1),INDEX('Category Mapping'!$E$28:$E$39,MATCH($A1043,'Category Mapping'!$A$28:$A$39,0),1))</f>
        <v>592841528.85714281</v>
      </c>
      <c r="R1043" s="27">
        <f>R463*IF($E1043="weekday",INDEX('Category Mapping'!$F$28:$F$39,MATCH('Summarized Source Data'!$A1043,'Category Mapping'!$A$28:$A$39,0),1),INDEX('Category Mapping'!$E$28:$E$39,MATCH($A1043,'Category Mapping'!$A$28:$A$39,0),1))</f>
        <v>20116218.857142854</v>
      </c>
      <c r="S1043" s="27">
        <f>S463*IF($E1043="weekday",INDEX('Category Mapping'!$F$28:$F$39,MATCH('Summarized Source Data'!$A1043,'Category Mapping'!$A$28:$A$39,0),1),INDEX('Category Mapping'!$E$28:$E$39,MATCH($A1043,'Category Mapping'!$A$28:$A$39,0),1))</f>
        <v>20116218.857142854</v>
      </c>
      <c r="T1043" s="27">
        <f>T463*IF($E1043="weekday",INDEX('Category Mapping'!$F$28:$F$39,MATCH('Summarized Source Data'!$A1043,'Category Mapping'!$A$28:$A$39,0),1),INDEX('Category Mapping'!$E$28:$E$39,MATCH($A1043,'Category Mapping'!$A$28:$A$39,0),1))</f>
        <v>20116218.857142854</v>
      </c>
      <c r="U1043" s="27">
        <f>U463*IF($E1043="weekday",INDEX('Category Mapping'!$F$28:$F$39,MATCH('Summarized Source Data'!$A1043,'Category Mapping'!$A$28:$A$39,0),1),INDEX('Category Mapping'!$E$28:$E$39,MATCH($A1043,'Category Mapping'!$A$28:$A$39,0),1))</f>
        <v>20116218.857142854</v>
      </c>
      <c r="V1043" s="27">
        <f>V463*IF($E1043="weekday",INDEX('Category Mapping'!$F$28:$F$39,MATCH('Summarized Source Data'!$A1043,'Category Mapping'!$A$28:$A$39,0),1),INDEX('Category Mapping'!$E$28:$E$39,MATCH($A1043,'Category Mapping'!$A$28:$A$39,0),1))</f>
        <v>20116218.857142854</v>
      </c>
      <c r="W1043" s="27">
        <f>W463*IF($E1043="weekday",INDEX('Category Mapping'!$F$28:$F$39,MATCH('Summarized Source Data'!$A1043,'Category Mapping'!$A$28:$A$39,0),1),INDEX('Category Mapping'!$E$28:$E$39,MATCH($A1043,'Category Mapping'!$A$28:$A$39,0),1))</f>
        <v>20116218.857142854</v>
      </c>
      <c r="X1043" s="27">
        <f>X463*IF($E1043="weekday",INDEX('Category Mapping'!$F$28:$F$39,MATCH('Summarized Source Data'!$A1043,'Category Mapping'!$A$28:$A$39,0),1),INDEX('Category Mapping'!$E$28:$E$39,MATCH($A1043,'Category Mapping'!$A$28:$A$39,0),1))</f>
        <v>3002571428.5714283</v>
      </c>
      <c r="Y1043" s="27">
        <f>Y463*IF($E1043="weekday",INDEX('Category Mapping'!$F$28:$F$39,MATCH('Summarized Source Data'!$A1043,'Category Mapping'!$A$28:$A$39,0),1),INDEX('Category Mapping'!$E$28:$E$39,MATCH($A1043,'Category Mapping'!$A$28:$A$39,0),1))</f>
        <v>3002571428.5714283</v>
      </c>
      <c r="Z1043" s="27">
        <f>Z463*IF($E1043="weekday",INDEX('Category Mapping'!$F$28:$F$39,MATCH('Summarized Source Data'!$A1043,'Category Mapping'!$A$28:$A$39,0),1),INDEX('Category Mapping'!$E$28:$E$39,MATCH($A1043,'Category Mapping'!$A$28:$A$39,0),1))</f>
        <v>3002571428.5714283</v>
      </c>
    </row>
    <row r="1044" spans="1:26" x14ac:dyDescent="0.3">
      <c r="A1044">
        <f t="shared" ref="A1044:E1044" si="509">A464</f>
        <v>8</v>
      </c>
      <c r="B1044" t="str">
        <f t="shared" si="509"/>
        <v>Summer</v>
      </c>
      <c r="C1044" t="str">
        <f t="shared" si="509"/>
        <v>h5</v>
      </c>
      <c r="D1044" t="str">
        <f t="shared" si="509"/>
        <v>Hour4</v>
      </c>
      <c r="E1044" t="str">
        <f t="shared" si="509"/>
        <v>Weekend</v>
      </c>
      <c r="F1044" s="27">
        <f>F464*IF($E1044="weekday",INDEX('Category Mapping'!$F$28:$F$39,MATCH('Summarized Source Data'!$A1044,'Category Mapping'!$A$28:$A$39,0),1),INDEX('Category Mapping'!$E$28:$E$39,MATCH($A1044,'Category Mapping'!$A$28:$A$39,0),1))</f>
        <v>245953.99999999997</v>
      </c>
      <c r="G1044" s="27">
        <f>G464*IF($E1044="weekday",INDEX('Category Mapping'!$F$28:$F$39,MATCH('Summarized Source Data'!$A1044,'Category Mapping'!$A$28:$A$39,0),1),INDEX('Category Mapping'!$E$28:$E$39,MATCH($A1044,'Category Mapping'!$A$28:$A$39,0),1))</f>
        <v>233828571.4285714</v>
      </c>
      <c r="H1044" s="27">
        <f>H464*IF($E1044="weekday",INDEX('Category Mapping'!$F$28:$F$39,MATCH('Summarized Source Data'!$A1044,'Category Mapping'!$A$28:$A$39,0),1),INDEX('Category Mapping'!$E$28:$E$39,MATCH($A1044,'Category Mapping'!$A$28:$A$39,0),1))</f>
        <v>0</v>
      </c>
      <c r="I1044" s="27">
        <f>I464*IF($E1044="weekday",INDEX('Category Mapping'!$F$28:$F$39,MATCH('Summarized Source Data'!$A1044,'Category Mapping'!$A$28:$A$39,0),1),INDEX('Category Mapping'!$E$28:$E$39,MATCH($A1044,'Category Mapping'!$A$28:$A$39,0),1))</f>
        <v>46236836.571428567</v>
      </c>
      <c r="J1044" s="27">
        <f>J464*IF($E1044="weekday",INDEX('Category Mapping'!$F$28:$F$39,MATCH('Summarized Source Data'!$A1044,'Category Mapping'!$A$28:$A$39,0),1),INDEX('Category Mapping'!$E$28:$E$39,MATCH($A1044,'Category Mapping'!$A$28:$A$39,0),1))</f>
        <v>173174352.28571427</v>
      </c>
      <c r="K1044" s="27">
        <f>K464*IF($E1044="weekday",INDEX('Category Mapping'!$F$28:$F$39,MATCH('Summarized Source Data'!$A1044,'Category Mapping'!$A$28:$A$39,0),1),INDEX('Category Mapping'!$E$28:$E$39,MATCH($A1044,'Category Mapping'!$A$28:$A$39,0),1))</f>
        <v>173174352.28571427</v>
      </c>
      <c r="L1044" s="27">
        <f>L464*IF($E1044="weekday",INDEX('Category Mapping'!$F$28:$F$39,MATCH('Summarized Source Data'!$A1044,'Category Mapping'!$A$28:$A$39,0),1),INDEX('Category Mapping'!$E$28:$E$39,MATCH($A1044,'Category Mapping'!$A$28:$A$39,0),1))</f>
        <v>587042.57142857136</v>
      </c>
      <c r="M1044" s="27">
        <f>M464*IF($E1044="weekday",INDEX('Category Mapping'!$F$28:$F$39,MATCH('Summarized Source Data'!$A1044,'Category Mapping'!$A$28:$A$39,0),1),INDEX('Category Mapping'!$E$28:$E$39,MATCH($A1044,'Category Mapping'!$A$28:$A$39,0),1))</f>
        <v>1009714285.7142856</v>
      </c>
      <c r="N1044" s="27">
        <f>N464*IF($E1044="weekday",INDEX('Category Mapping'!$F$28:$F$39,MATCH('Summarized Source Data'!$A1044,'Category Mapping'!$A$28:$A$39,0),1),INDEX('Category Mapping'!$E$28:$E$39,MATCH($A1044,'Category Mapping'!$A$28:$A$39,0),1))</f>
        <v>0</v>
      </c>
      <c r="O1044" s="27">
        <f>O464*IF($E1044="weekday",INDEX('Category Mapping'!$F$28:$F$39,MATCH('Summarized Source Data'!$A1044,'Category Mapping'!$A$28:$A$39,0),1),INDEX('Category Mapping'!$E$28:$E$39,MATCH($A1044,'Category Mapping'!$A$28:$A$39,0),1))</f>
        <v>601698671.71428561</v>
      </c>
      <c r="P1044" s="27">
        <f>P464*IF($E1044="weekday",INDEX('Category Mapping'!$F$28:$F$39,MATCH('Summarized Source Data'!$A1044,'Category Mapping'!$A$28:$A$39,0),1),INDEX('Category Mapping'!$E$28:$E$39,MATCH($A1044,'Category Mapping'!$A$28:$A$39,0),1))</f>
        <v>601698671.71428561</v>
      </c>
      <c r="Q1044" s="27">
        <f>Q464*IF($E1044="weekday",INDEX('Category Mapping'!$F$28:$F$39,MATCH('Summarized Source Data'!$A1044,'Category Mapping'!$A$28:$A$39,0),1),INDEX('Category Mapping'!$E$28:$E$39,MATCH($A1044,'Category Mapping'!$A$28:$A$39,0),1))</f>
        <v>601698671.71428561</v>
      </c>
      <c r="R1044" s="27">
        <f>R464*IF($E1044="weekday",INDEX('Category Mapping'!$F$28:$F$39,MATCH('Summarized Source Data'!$A1044,'Category Mapping'!$A$28:$A$39,0),1),INDEX('Category Mapping'!$E$28:$E$39,MATCH($A1044,'Category Mapping'!$A$28:$A$39,0),1))</f>
        <v>20012492.857142854</v>
      </c>
      <c r="S1044" s="27">
        <f>S464*IF($E1044="weekday",INDEX('Category Mapping'!$F$28:$F$39,MATCH('Summarized Source Data'!$A1044,'Category Mapping'!$A$28:$A$39,0),1),INDEX('Category Mapping'!$E$28:$E$39,MATCH($A1044,'Category Mapping'!$A$28:$A$39,0),1))</f>
        <v>20012492.857142854</v>
      </c>
      <c r="T1044" s="27">
        <f>T464*IF($E1044="weekday",INDEX('Category Mapping'!$F$28:$F$39,MATCH('Summarized Source Data'!$A1044,'Category Mapping'!$A$28:$A$39,0),1),INDEX('Category Mapping'!$E$28:$E$39,MATCH($A1044,'Category Mapping'!$A$28:$A$39,0),1))</f>
        <v>20012492.857142854</v>
      </c>
      <c r="U1044" s="27">
        <f>U464*IF($E1044="weekday",INDEX('Category Mapping'!$F$28:$F$39,MATCH('Summarized Source Data'!$A1044,'Category Mapping'!$A$28:$A$39,0),1),INDEX('Category Mapping'!$E$28:$E$39,MATCH($A1044,'Category Mapping'!$A$28:$A$39,0),1))</f>
        <v>20012492.857142854</v>
      </c>
      <c r="V1044" s="27">
        <f>V464*IF($E1044="weekday",INDEX('Category Mapping'!$F$28:$F$39,MATCH('Summarized Source Data'!$A1044,'Category Mapping'!$A$28:$A$39,0),1),INDEX('Category Mapping'!$E$28:$E$39,MATCH($A1044,'Category Mapping'!$A$28:$A$39,0),1))</f>
        <v>20012492.857142854</v>
      </c>
      <c r="W1044" s="27">
        <f>W464*IF($E1044="weekday",INDEX('Category Mapping'!$F$28:$F$39,MATCH('Summarized Source Data'!$A1044,'Category Mapping'!$A$28:$A$39,0),1),INDEX('Category Mapping'!$E$28:$E$39,MATCH($A1044,'Category Mapping'!$A$28:$A$39,0),1))</f>
        <v>20012492.857142854</v>
      </c>
      <c r="X1044" s="27">
        <f>X464*IF($E1044="weekday",INDEX('Category Mapping'!$F$28:$F$39,MATCH('Summarized Source Data'!$A1044,'Category Mapping'!$A$28:$A$39,0),1),INDEX('Category Mapping'!$E$28:$E$39,MATCH($A1044,'Category Mapping'!$A$28:$A$39,0),1))</f>
        <v>3020285714.2857137</v>
      </c>
      <c r="Y1044" s="27">
        <f>Y464*IF($E1044="weekday",INDEX('Category Mapping'!$F$28:$F$39,MATCH('Summarized Source Data'!$A1044,'Category Mapping'!$A$28:$A$39,0),1),INDEX('Category Mapping'!$E$28:$E$39,MATCH($A1044,'Category Mapping'!$A$28:$A$39,0),1))</f>
        <v>3020285714.2857137</v>
      </c>
      <c r="Z1044" s="27">
        <f>Z464*IF($E1044="weekday",INDEX('Category Mapping'!$F$28:$F$39,MATCH('Summarized Source Data'!$A1044,'Category Mapping'!$A$28:$A$39,0),1),INDEX('Category Mapping'!$E$28:$E$39,MATCH($A1044,'Category Mapping'!$A$28:$A$39,0),1))</f>
        <v>3020285714.2857137</v>
      </c>
    </row>
    <row r="1045" spans="1:26" x14ac:dyDescent="0.3">
      <c r="A1045">
        <f t="shared" ref="A1045:E1045" si="510">A465</f>
        <v>8</v>
      </c>
      <c r="B1045" t="str">
        <f t="shared" si="510"/>
        <v>Summer</v>
      </c>
      <c r="C1045" t="str">
        <f t="shared" si="510"/>
        <v>h6</v>
      </c>
      <c r="D1045" t="str">
        <f t="shared" si="510"/>
        <v>Hour5</v>
      </c>
      <c r="E1045" t="str">
        <f t="shared" si="510"/>
        <v>Weekend</v>
      </c>
      <c r="F1045" s="27">
        <f>F465*IF($E1045="weekday",INDEX('Category Mapping'!$F$28:$F$39,MATCH('Summarized Source Data'!$A1045,'Category Mapping'!$A$28:$A$39,0),1),INDEX('Category Mapping'!$E$28:$E$39,MATCH($A1045,'Category Mapping'!$A$28:$A$39,0),1))</f>
        <v>325039.42857142852</v>
      </c>
      <c r="G1045" s="27">
        <f>G465*IF($E1045="weekday",INDEX('Category Mapping'!$F$28:$F$39,MATCH('Summarized Source Data'!$A1045,'Category Mapping'!$A$28:$A$39,0),1),INDEX('Category Mapping'!$E$28:$E$39,MATCH($A1045,'Category Mapping'!$A$28:$A$39,0),1))</f>
        <v>271028571.4285714</v>
      </c>
      <c r="H1045" s="27">
        <f>H465*IF($E1045="weekday",INDEX('Category Mapping'!$F$28:$F$39,MATCH('Summarized Source Data'!$A1045,'Category Mapping'!$A$28:$A$39,0),1),INDEX('Category Mapping'!$E$28:$E$39,MATCH($A1045,'Category Mapping'!$A$28:$A$39,0),1))</f>
        <v>0</v>
      </c>
      <c r="I1045" s="27">
        <f>I465*IF($E1045="weekday",INDEX('Category Mapping'!$F$28:$F$39,MATCH('Summarized Source Data'!$A1045,'Category Mapping'!$A$28:$A$39,0),1),INDEX('Category Mapping'!$E$28:$E$39,MATCH($A1045,'Category Mapping'!$A$28:$A$39,0),1))</f>
        <v>59921290.57142856</v>
      </c>
      <c r="J1045" s="27">
        <f>J465*IF($E1045="weekday",INDEX('Category Mapping'!$F$28:$F$39,MATCH('Summarized Source Data'!$A1045,'Category Mapping'!$A$28:$A$39,0),1),INDEX('Category Mapping'!$E$28:$E$39,MATCH($A1045,'Category Mapping'!$A$28:$A$39,0),1))</f>
        <v>200153669.99999997</v>
      </c>
      <c r="K1045" s="27">
        <f>K465*IF($E1045="weekday",INDEX('Category Mapping'!$F$28:$F$39,MATCH('Summarized Source Data'!$A1045,'Category Mapping'!$A$28:$A$39,0),1),INDEX('Category Mapping'!$E$28:$E$39,MATCH($A1045,'Category Mapping'!$A$28:$A$39,0),1))</f>
        <v>200153669.99999997</v>
      </c>
      <c r="L1045" s="27">
        <f>L465*IF($E1045="weekday",INDEX('Category Mapping'!$F$28:$F$39,MATCH('Summarized Source Data'!$A1045,'Category Mapping'!$A$28:$A$39,0),1),INDEX('Category Mapping'!$E$28:$E$39,MATCH($A1045,'Category Mapping'!$A$28:$A$39,0),1))</f>
        <v>587042.57142857136</v>
      </c>
      <c r="M1045" s="27">
        <f>M465*IF($E1045="weekday",INDEX('Category Mapping'!$F$28:$F$39,MATCH('Summarized Source Data'!$A1045,'Category Mapping'!$A$28:$A$39,0),1),INDEX('Category Mapping'!$E$28:$E$39,MATCH($A1045,'Category Mapping'!$A$28:$A$39,0),1))</f>
        <v>1080571428.5714283</v>
      </c>
      <c r="N1045" s="27">
        <f>N465*IF($E1045="weekday",INDEX('Category Mapping'!$F$28:$F$39,MATCH('Summarized Source Data'!$A1045,'Category Mapping'!$A$28:$A$39,0),1),INDEX('Category Mapping'!$E$28:$E$39,MATCH($A1045,'Category Mapping'!$A$28:$A$39,0),1))</f>
        <v>0</v>
      </c>
      <c r="O1045" s="27">
        <f>O465*IF($E1045="weekday",INDEX('Category Mapping'!$F$28:$F$39,MATCH('Summarized Source Data'!$A1045,'Category Mapping'!$A$28:$A$39,0),1),INDEX('Category Mapping'!$E$28:$E$39,MATCH($A1045,'Category Mapping'!$A$28:$A$39,0),1))</f>
        <v>645984385.99999988</v>
      </c>
      <c r="P1045" s="27">
        <f>P465*IF($E1045="weekday",INDEX('Category Mapping'!$F$28:$F$39,MATCH('Summarized Source Data'!$A1045,'Category Mapping'!$A$28:$A$39,0),1),INDEX('Category Mapping'!$E$28:$E$39,MATCH($A1045,'Category Mapping'!$A$28:$A$39,0),1))</f>
        <v>645984385.99999988</v>
      </c>
      <c r="Q1045" s="27">
        <f>Q465*IF($E1045="weekday",INDEX('Category Mapping'!$F$28:$F$39,MATCH('Summarized Source Data'!$A1045,'Category Mapping'!$A$28:$A$39,0),1),INDEX('Category Mapping'!$E$28:$E$39,MATCH($A1045,'Category Mapping'!$A$28:$A$39,0),1))</f>
        <v>645984385.99999988</v>
      </c>
      <c r="R1045" s="27">
        <f>R465*IF($E1045="weekday",INDEX('Category Mapping'!$F$28:$F$39,MATCH('Summarized Source Data'!$A1045,'Category Mapping'!$A$28:$A$39,0),1),INDEX('Category Mapping'!$E$28:$E$39,MATCH($A1045,'Category Mapping'!$A$28:$A$39,0),1))</f>
        <v>20168077.428571425</v>
      </c>
      <c r="S1045" s="27">
        <f>S465*IF($E1045="weekday",INDEX('Category Mapping'!$F$28:$F$39,MATCH('Summarized Source Data'!$A1045,'Category Mapping'!$A$28:$A$39,0),1),INDEX('Category Mapping'!$E$28:$E$39,MATCH($A1045,'Category Mapping'!$A$28:$A$39,0),1))</f>
        <v>20168077.428571425</v>
      </c>
      <c r="T1045" s="27">
        <f>T465*IF($E1045="weekday",INDEX('Category Mapping'!$F$28:$F$39,MATCH('Summarized Source Data'!$A1045,'Category Mapping'!$A$28:$A$39,0),1),INDEX('Category Mapping'!$E$28:$E$39,MATCH($A1045,'Category Mapping'!$A$28:$A$39,0),1))</f>
        <v>20168077.428571425</v>
      </c>
      <c r="U1045" s="27">
        <f>U465*IF($E1045="weekday",INDEX('Category Mapping'!$F$28:$F$39,MATCH('Summarized Source Data'!$A1045,'Category Mapping'!$A$28:$A$39,0),1),INDEX('Category Mapping'!$E$28:$E$39,MATCH($A1045,'Category Mapping'!$A$28:$A$39,0),1))</f>
        <v>20168077.428571425</v>
      </c>
      <c r="V1045" s="27">
        <f>V465*IF($E1045="weekday",INDEX('Category Mapping'!$F$28:$F$39,MATCH('Summarized Source Data'!$A1045,'Category Mapping'!$A$28:$A$39,0),1),INDEX('Category Mapping'!$E$28:$E$39,MATCH($A1045,'Category Mapping'!$A$28:$A$39,0),1))</f>
        <v>20168077.428571425</v>
      </c>
      <c r="W1045" s="27">
        <f>W465*IF($E1045="weekday",INDEX('Category Mapping'!$F$28:$F$39,MATCH('Summarized Source Data'!$A1045,'Category Mapping'!$A$28:$A$39,0),1),INDEX('Category Mapping'!$E$28:$E$39,MATCH($A1045,'Category Mapping'!$A$28:$A$39,0),1))</f>
        <v>20168077.428571425</v>
      </c>
      <c r="X1045" s="27">
        <f>X465*IF($E1045="weekday",INDEX('Category Mapping'!$F$28:$F$39,MATCH('Summarized Source Data'!$A1045,'Category Mapping'!$A$28:$A$39,0),1),INDEX('Category Mapping'!$E$28:$E$39,MATCH($A1045,'Category Mapping'!$A$28:$A$39,0),1))</f>
        <v>3055714285.7142854</v>
      </c>
      <c r="Y1045" s="27">
        <f>Y465*IF($E1045="weekday",INDEX('Category Mapping'!$F$28:$F$39,MATCH('Summarized Source Data'!$A1045,'Category Mapping'!$A$28:$A$39,0),1),INDEX('Category Mapping'!$E$28:$E$39,MATCH($A1045,'Category Mapping'!$A$28:$A$39,0),1))</f>
        <v>3055714285.7142854</v>
      </c>
      <c r="Z1045" s="27">
        <f>Z465*IF($E1045="weekday",INDEX('Category Mapping'!$F$28:$F$39,MATCH('Summarized Source Data'!$A1045,'Category Mapping'!$A$28:$A$39,0),1),INDEX('Category Mapping'!$E$28:$E$39,MATCH($A1045,'Category Mapping'!$A$28:$A$39,0),1))</f>
        <v>3055714285.7142854</v>
      </c>
    </row>
    <row r="1046" spans="1:26" x14ac:dyDescent="0.3">
      <c r="A1046">
        <f t="shared" ref="A1046:E1046" si="511">A466</f>
        <v>8</v>
      </c>
      <c r="B1046" t="str">
        <f t="shared" si="511"/>
        <v>Summer</v>
      </c>
      <c r="C1046" t="str">
        <f t="shared" si="511"/>
        <v>h7</v>
      </c>
      <c r="D1046" t="str">
        <f t="shared" si="511"/>
        <v>Hour6</v>
      </c>
      <c r="E1046" t="str">
        <f t="shared" si="511"/>
        <v>Weekend</v>
      </c>
      <c r="F1046" s="27">
        <f>F466*IF($E1046="weekday",INDEX('Category Mapping'!$F$28:$F$39,MATCH('Summarized Source Data'!$A1046,'Category Mapping'!$A$28:$A$39,0),1),INDEX('Category Mapping'!$E$28:$E$39,MATCH($A1046,'Category Mapping'!$A$28:$A$39,0),1))</f>
        <v>371300.28571428568</v>
      </c>
      <c r="G1046" s="27">
        <f>G466*IF($E1046="weekday",INDEX('Category Mapping'!$F$28:$F$39,MATCH('Summarized Source Data'!$A1046,'Category Mapping'!$A$28:$A$39,0),1),INDEX('Category Mapping'!$E$28:$E$39,MATCH($A1046,'Category Mapping'!$A$28:$A$39,0),1))</f>
        <v>312657142.85714281</v>
      </c>
      <c r="H1046" s="27">
        <f>H466*IF($E1046="weekday",INDEX('Category Mapping'!$F$28:$F$39,MATCH('Summarized Source Data'!$A1046,'Category Mapping'!$A$28:$A$39,0),1),INDEX('Category Mapping'!$E$28:$E$39,MATCH($A1046,'Category Mapping'!$A$28:$A$39,0),1))</f>
        <v>0</v>
      </c>
      <c r="I1046" s="27">
        <f>I466*IF($E1046="weekday",INDEX('Category Mapping'!$F$28:$F$39,MATCH('Summarized Source Data'!$A1046,'Category Mapping'!$A$28:$A$39,0),1),INDEX('Category Mapping'!$E$28:$E$39,MATCH($A1046,'Category Mapping'!$A$28:$A$39,0),1))</f>
        <v>40381485.714285709</v>
      </c>
      <c r="J1046" s="27">
        <f>J466*IF($E1046="weekday",INDEX('Category Mapping'!$F$28:$F$39,MATCH('Summarized Source Data'!$A1046,'Category Mapping'!$A$28:$A$39,0),1),INDEX('Category Mapping'!$E$28:$E$39,MATCH($A1046,'Category Mapping'!$A$28:$A$39,0),1))</f>
        <v>289618642.57142854</v>
      </c>
      <c r="K1046" s="27">
        <f>K466*IF($E1046="weekday",INDEX('Category Mapping'!$F$28:$F$39,MATCH('Summarized Source Data'!$A1046,'Category Mapping'!$A$28:$A$39,0),1),INDEX('Category Mapping'!$E$28:$E$39,MATCH($A1046,'Category Mapping'!$A$28:$A$39,0),1))</f>
        <v>289618642.57142854</v>
      </c>
      <c r="L1046" s="27">
        <f>L466*IF($E1046="weekday",INDEX('Category Mapping'!$F$28:$F$39,MATCH('Summarized Source Data'!$A1046,'Category Mapping'!$A$28:$A$39,0),1),INDEX('Category Mapping'!$E$28:$E$39,MATCH($A1046,'Category Mapping'!$A$28:$A$39,0),1))</f>
        <v>587042.57142857136</v>
      </c>
      <c r="M1046" s="27">
        <f>M466*IF($E1046="weekday",INDEX('Category Mapping'!$F$28:$F$39,MATCH('Summarized Source Data'!$A1046,'Category Mapping'!$A$28:$A$39,0),1),INDEX('Category Mapping'!$E$28:$E$39,MATCH($A1046,'Category Mapping'!$A$28:$A$39,0),1))</f>
        <v>1186857142.8571427</v>
      </c>
      <c r="N1046" s="27">
        <f>N466*IF($E1046="weekday",INDEX('Category Mapping'!$F$28:$F$39,MATCH('Summarized Source Data'!$A1046,'Category Mapping'!$A$28:$A$39,0),1),INDEX('Category Mapping'!$E$28:$E$39,MATCH($A1046,'Category Mapping'!$A$28:$A$39,0),1))</f>
        <v>0</v>
      </c>
      <c r="O1046" s="27">
        <f>O466*IF($E1046="weekday",INDEX('Category Mapping'!$F$28:$F$39,MATCH('Summarized Source Data'!$A1046,'Category Mapping'!$A$28:$A$39,0),1),INDEX('Category Mapping'!$E$28:$E$39,MATCH($A1046,'Category Mapping'!$A$28:$A$39,0),1))</f>
        <v>716841528.85714281</v>
      </c>
      <c r="P1046" s="27">
        <f>P466*IF($E1046="weekday",INDEX('Category Mapping'!$F$28:$F$39,MATCH('Summarized Source Data'!$A1046,'Category Mapping'!$A$28:$A$39,0),1),INDEX('Category Mapping'!$E$28:$E$39,MATCH($A1046,'Category Mapping'!$A$28:$A$39,0),1))</f>
        <v>716841528.85714281</v>
      </c>
      <c r="Q1046" s="27">
        <f>Q466*IF($E1046="weekday",INDEX('Category Mapping'!$F$28:$F$39,MATCH('Summarized Source Data'!$A1046,'Category Mapping'!$A$28:$A$39,0),1),INDEX('Category Mapping'!$E$28:$E$39,MATCH($A1046,'Category Mapping'!$A$28:$A$39,0),1))</f>
        <v>716841528.85714281</v>
      </c>
      <c r="R1046" s="27">
        <f>R466*IF($E1046="weekday",INDEX('Category Mapping'!$F$28:$F$39,MATCH('Summarized Source Data'!$A1046,'Category Mapping'!$A$28:$A$39,0),1),INDEX('Category Mapping'!$E$28:$E$39,MATCH($A1046,'Category Mapping'!$A$28:$A$39,0),1))</f>
        <v>25054279.714285709</v>
      </c>
      <c r="S1046" s="27">
        <f>S466*IF($E1046="weekday",INDEX('Category Mapping'!$F$28:$F$39,MATCH('Summarized Source Data'!$A1046,'Category Mapping'!$A$28:$A$39,0),1),INDEX('Category Mapping'!$E$28:$E$39,MATCH($A1046,'Category Mapping'!$A$28:$A$39,0),1))</f>
        <v>25054279.714285709</v>
      </c>
      <c r="T1046" s="27">
        <f>T466*IF($E1046="weekday",INDEX('Category Mapping'!$F$28:$F$39,MATCH('Summarized Source Data'!$A1046,'Category Mapping'!$A$28:$A$39,0),1),INDEX('Category Mapping'!$E$28:$E$39,MATCH($A1046,'Category Mapping'!$A$28:$A$39,0),1))</f>
        <v>25054279.714285709</v>
      </c>
      <c r="U1046" s="27">
        <f>U466*IF($E1046="weekday",INDEX('Category Mapping'!$F$28:$F$39,MATCH('Summarized Source Data'!$A1046,'Category Mapping'!$A$28:$A$39,0),1),INDEX('Category Mapping'!$E$28:$E$39,MATCH($A1046,'Category Mapping'!$A$28:$A$39,0),1))</f>
        <v>25054279.714285709</v>
      </c>
      <c r="V1046" s="27">
        <f>V466*IF($E1046="weekday",INDEX('Category Mapping'!$F$28:$F$39,MATCH('Summarized Source Data'!$A1046,'Category Mapping'!$A$28:$A$39,0),1),INDEX('Category Mapping'!$E$28:$E$39,MATCH($A1046,'Category Mapping'!$A$28:$A$39,0),1))</f>
        <v>25054279.714285709</v>
      </c>
      <c r="W1046" s="27">
        <f>W466*IF($E1046="weekday",INDEX('Category Mapping'!$F$28:$F$39,MATCH('Summarized Source Data'!$A1046,'Category Mapping'!$A$28:$A$39,0),1),INDEX('Category Mapping'!$E$28:$E$39,MATCH($A1046,'Category Mapping'!$A$28:$A$39,0),1))</f>
        <v>25054279.714285709</v>
      </c>
      <c r="X1046" s="27">
        <f>X466*IF($E1046="weekday",INDEX('Category Mapping'!$F$28:$F$39,MATCH('Summarized Source Data'!$A1046,'Category Mapping'!$A$28:$A$39,0),1),INDEX('Category Mapping'!$E$28:$E$39,MATCH($A1046,'Category Mapping'!$A$28:$A$39,0),1))</f>
        <v>3073428571.4285712</v>
      </c>
      <c r="Y1046" s="27">
        <f>Y466*IF($E1046="weekday",INDEX('Category Mapping'!$F$28:$F$39,MATCH('Summarized Source Data'!$A1046,'Category Mapping'!$A$28:$A$39,0),1),INDEX('Category Mapping'!$E$28:$E$39,MATCH($A1046,'Category Mapping'!$A$28:$A$39,0),1))</f>
        <v>3073428571.4285712</v>
      </c>
      <c r="Z1046" s="27">
        <f>Z466*IF($E1046="weekday",INDEX('Category Mapping'!$F$28:$F$39,MATCH('Summarized Source Data'!$A1046,'Category Mapping'!$A$28:$A$39,0),1),INDEX('Category Mapping'!$E$28:$E$39,MATCH($A1046,'Category Mapping'!$A$28:$A$39,0),1))</f>
        <v>3073428571.4285712</v>
      </c>
    </row>
    <row r="1047" spans="1:26" x14ac:dyDescent="0.3">
      <c r="A1047">
        <f t="shared" ref="A1047:E1047" si="512">A467</f>
        <v>8</v>
      </c>
      <c r="B1047" t="str">
        <f t="shared" si="512"/>
        <v>Summer</v>
      </c>
      <c r="C1047" t="str">
        <f t="shared" si="512"/>
        <v>h8</v>
      </c>
      <c r="D1047" t="str">
        <f t="shared" si="512"/>
        <v>Hour7</v>
      </c>
      <c r="E1047" t="str">
        <f t="shared" si="512"/>
        <v>Weekend</v>
      </c>
      <c r="F1047" s="27">
        <f>F467*IF($E1047="weekday",INDEX('Category Mapping'!$F$28:$F$39,MATCH('Summarized Source Data'!$A1047,'Category Mapping'!$A$28:$A$39,0),1),INDEX('Category Mapping'!$E$28:$E$39,MATCH($A1047,'Category Mapping'!$A$28:$A$39,0),1))</f>
        <v>430961.99999999994</v>
      </c>
      <c r="G1047" s="27">
        <f>G467*IF($E1047="weekday",INDEX('Category Mapping'!$F$28:$F$39,MATCH('Summarized Source Data'!$A1047,'Category Mapping'!$A$28:$A$39,0),1),INDEX('Category Mapping'!$E$28:$E$39,MATCH($A1047,'Category Mapping'!$A$28:$A$39,0),1))</f>
        <v>348085714.28571421</v>
      </c>
      <c r="H1047" s="27">
        <f>H467*IF($E1047="weekday",INDEX('Category Mapping'!$F$28:$F$39,MATCH('Summarized Source Data'!$A1047,'Category Mapping'!$A$28:$A$39,0),1),INDEX('Category Mapping'!$E$28:$E$39,MATCH($A1047,'Category Mapping'!$A$28:$A$39,0),1))</f>
        <v>0</v>
      </c>
      <c r="I1047" s="27">
        <f>I467*IF($E1047="weekday",INDEX('Category Mapping'!$F$28:$F$39,MATCH('Summarized Source Data'!$A1047,'Category Mapping'!$A$28:$A$39,0),1),INDEX('Category Mapping'!$E$28:$E$39,MATCH($A1047,'Category Mapping'!$A$28:$A$39,0),1))</f>
        <v>47865815.714285709</v>
      </c>
      <c r="J1047" s="27">
        <f>J467*IF($E1047="weekday",INDEX('Category Mapping'!$F$28:$F$39,MATCH('Summarized Source Data'!$A1047,'Category Mapping'!$A$28:$A$39,0),1),INDEX('Category Mapping'!$E$28:$E$39,MATCH($A1047,'Category Mapping'!$A$28:$A$39,0),1))</f>
        <v>408731793.71428567</v>
      </c>
      <c r="K1047" s="27">
        <f>K467*IF($E1047="weekday",INDEX('Category Mapping'!$F$28:$F$39,MATCH('Summarized Source Data'!$A1047,'Category Mapping'!$A$28:$A$39,0),1),INDEX('Category Mapping'!$E$28:$E$39,MATCH($A1047,'Category Mapping'!$A$28:$A$39,0),1))</f>
        <v>408731793.71428567</v>
      </c>
      <c r="L1047" s="27">
        <f>L467*IF($E1047="weekday",INDEX('Category Mapping'!$F$28:$F$39,MATCH('Summarized Source Data'!$A1047,'Category Mapping'!$A$28:$A$39,0),1),INDEX('Category Mapping'!$E$28:$E$39,MATCH($A1047,'Category Mapping'!$A$28:$A$39,0),1))</f>
        <v>587042.57142857136</v>
      </c>
      <c r="M1047" s="27">
        <f>M467*IF($E1047="weekday",INDEX('Category Mapping'!$F$28:$F$39,MATCH('Summarized Source Data'!$A1047,'Category Mapping'!$A$28:$A$39,0),1),INDEX('Category Mapping'!$E$28:$E$39,MATCH($A1047,'Category Mapping'!$A$28:$A$39,0),1))</f>
        <v>1337428571.4285712</v>
      </c>
      <c r="N1047" s="27">
        <f>N467*IF($E1047="weekday",INDEX('Category Mapping'!$F$28:$F$39,MATCH('Summarized Source Data'!$A1047,'Category Mapping'!$A$28:$A$39,0),1),INDEX('Category Mapping'!$E$28:$E$39,MATCH($A1047,'Category Mapping'!$A$28:$A$39,0),1))</f>
        <v>0</v>
      </c>
      <c r="O1047" s="27">
        <f>O467*IF($E1047="weekday",INDEX('Category Mapping'!$F$28:$F$39,MATCH('Summarized Source Data'!$A1047,'Category Mapping'!$A$28:$A$39,0),1),INDEX('Category Mapping'!$E$28:$E$39,MATCH($A1047,'Category Mapping'!$A$28:$A$39,0),1))</f>
        <v>911698671.71428561</v>
      </c>
      <c r="P1047" s="27">
        <f>P467*IF($E1047="weekday",INDEX('Category Mapping'!$F$28:$F$39,MATCH('Summarized Source Data'!$A1047,'Category Mapping'!$A$28:$A$39,0),1),INDEX('Category Mapping'!$E$28:$E$39,MATCH($A1047,'Category Mapping'!$A$28:$A$39,0),1))</f>
        <v>911698671.71428561</v>
      </c>
      <c r="Q1047" s="27">
        <f>Q467*IF($E1047="weekday",INDEX('Category Mapping'!$F$28:$F$39,MATCH('Summarized Source Data'!$A1047,'Category Mapping'!$A$28:$A$39,0),1),INDEX('Category Mapping'!$E$28:$E$39,MATCH($A1047,'Category Mapping'!$A$28:$A$39,0),1))</f>
        <v>911698671.71428561</v>
      </c>
      <c r="R1047" s="27">
        <f>R467*IF($E1047="weekday",INDEX('Category Mapping'!$F$28:$F$39,MATCH('Summarized Source Data'!$A1047,'Category Mapping'!$A$28:$A$39,0),1),INDEX('Category Mapping'!$E$28:$E$39,MATCH($A1047,'Category Mapping'!$A$28:$A$39,0),1))</f>
        <v>32635551.142857138</v>
      </c>
      <c r="S1047" s="27">
        <f>S467*IF($E1047="weekday",INDEX('Category Mapping'!$F$28:$F$39,MATCH('Summarized Source Data'!$A1047,'Category Mapping'!$A$28:$A$39,0),1),INDEX('Category Mapping'!$E$28:$E$39,MATCH($A1047,'Category Mapping'!$A$28:$A$39,0),1))</f>
        <v>32635551.142857138</v>
      </c>
      <c r="T1047" s="27">
        <f>T467*IF($E1047="weekday",INDEX('Category Mapping'!$F$28:$F$39,MATCH('Summarized Source Data'!$A1047,'Category Mapping'!$A$28:$A$39,0),1),INDEX('Category Mapping'!$E$28:$E$39,MATCH($A1047,'Category Mapping'!$A$28:$A$39,0),1))</f>
        <v>32635551.142857138</v>
      </c>
      <c r="U1047" s="27">
        <f>U467*IF($E1047="weekday",INDEX('Category Mapping'!$F$28:$F$39,MATCH('Summarized Source Data'!$A1047,'Category Mapping'!$A$28:$A$39,0),1),INDEX('Category Mapping'!$E$28:$E$39,MATCH($A1047,'Category Mapping'!$A$28:$A$39,0),1))</f>
        <v>32635551.142857138</v>
      </c>
      <c r="V1047" s="27">
        <f>V467*IF($E1047="weekday",INDEX('Category Mapping'!$F$28:$F$39,MATCH('Summarized Source Data'!$A1047,'Category Mapping'!$A$28:$A$39,0),1),INDEX('Category Mapping'!$E$28:$E$39,MATCH($A1047,'Category Mapping'!$A$28:$A$39,0),1))</f>
        <v>32635551.142857138</v>
      </c>
      <c r="W1047" s="27">
        <f>W467*IF($E1047="weekday",INDEX('Category Mapping'!$F$28:$F$39,MATCH('Summarized Source Data'!$A1047,'Category Mapping'!$A$28:$A$39,0),1),INDEX('Category Mapping'!$E$28:$E$39,MATCH($A1047,'Category Mapping'!$A$28:$A$39,0),1))</f>
        <v>32635551.142857138</v>
      </c>
      <c r="X1047" s="27">
        <f>X467*IF($E1047="weekday",INDEX('Category Mapping'!$F$28:$F$39,MATCH('Summarized Source Data'!$A1047,'Category Mapping'!$A$28:$A$39,0),1),INDEX('Category Mapping'!$E$28:$E$39,MATCH($A1047,'Category Mapping'!$A$28:$A$39,0),1))</f>
        <v>3073428571.4285712</v>
      </c>
      <c r="Y1047" s="27">
        <f>Y467*IF($E1047="weekday",INDEX('Category Mapping'!$F$28:$F$39,MATCH('Summarized Source Data'!$A1047,'Category Mapping'!$A$28:$A$39,0),1),INDEX('Category Mapping'!$E$28:$E$39,MATCH($A1047,'Category Mapping'!$A$28:$A$39,0),1))</f>
        <v>3073428571.4285712</v>
      </c>
      <c r="Z1047" s="27">
        <f>Z467*IF($E1047="weekday",INDEX('Category Mapping'!$F$28:$F$39,MATCH('Summarized Source Data'!$A1047,'Category Mapping'!$A$28:$A$39,0),1),INDEX('Category Mapping'!$E$28:$E$39,MATCH($A1047,'Category Mapping'!$A$28:$A$39,0),1))</f>
        <v>3073428571.4285712</v>
      </c>
    </row>
    <row r="1048" spans="1:26" x14ac:dyDescent="0.3">
      <c r="A1048">
        <f t="shared" ref="A1048:E1048" si="513">A468</f>
        <v>8</v>
      </c>
      <c r="B1048" t="str">
        <f t="shared" si="513"/>
        <v>Summer</v>
      </c>
      <c r="C1048" t="str">
        <f t="shared" si="513"/>
        <v>h9</v>
      </c>
      <c r="D1048" t="str">
        <f t="shared" si="513"/>
        <v>Hour8</v>
      </c>
      <c r="E1048" t="str">
        <f t="shared" si="513"/>
        <v>Weekend</v>
      </c>
      <c r="F1048" s="27">
        <f>F468*IF($E1048="weekday",INDEX('Category Mapping'!$F$28:$F$39,MATCH('Summarized Source Data'!$A1048,'Category Mapping'!$A$28:$A$39,0),1),INDEX('Category Mapping'!$E$28:$E$39,MATCH($A1048,'Category Mapping'!$A$28:$A$39,0),1))</f>
        <v>468277.14285714278</v>
      </c>
      <c r="G1048" s="27">
        <f>G468*IF($E1048="weekday",INDEX('Category Mapping'!$F$28:$F$39,MATCH('Summarized Source Data'!$A1048,'Category Mapping'!$A$28:$A$39,0),1),INDEX('Category Mapping'!$E$28:$E$39,MATCH($A1048,'Category Mapping'!$A$28:$A$39,0),1))</f>
        <v>366685714.28571421</v>
      </c>
      <c r="H1048" s="27">
        <f>H468*IF($E1048="weekday",INDEX('Category Mapping'!$F$28:$F$39,MATCH('Summarized Source Data'!$A1048,'Category Mapping'!$A$28:$A$39,0),1),INDEX('Category Mapping'!$E$28:$E$39,MATCH($A1048,'Category Mapping'!$A$28:$A$39,0),1))</f>
        <v>0</v>
      </c>
      <c r="I1048" s="27">
        <f>I468*IF($E1048="weekday",INDEX('Category Mapping'!$F$28:$F$39,MATCH('Summarized Source Data'!$A1048,'Category Mapping'!$A$28:$A$39,0),1),INDEX('Category Mapping'!$E$28:$E$39,MATCH($A1048,'Category Mapping'!$A$28:$A$39,0),1))</f>
        <v>58393761.142857134</v>
      </c>
      <c r="J1048" s="27">
        <f>J468*IF($E1048="weekday",INDEX('Category Mapping'!$F$28:$F$39,MATCH('Summarized Source Data'!$A1048,'Category Mapping'!$A$28:$A$39,0),1),INDEX('Category Mapping'!$E$28:$E$39,MATCH($A1048,'Category Mapping'!$A$28:$A$39,0),1))</f>
        <v>513309390.28571421</v>
      </c>
      <c r="K1048" s="27">
        <f>K468*IF($E1048="weekday",INDEX('Category Mapping'!$F$28:$F$39,MATCH('Summarized Source Data'!$A1048,'Category Mapping'!$A$28:$A$39,0),1),INDEX('Category Mapping'!$E$28:$E$39,MATCH($A1048,'Category Mapping'!$A$28:$A$39,0),1))</f>
        <v>513309390.28571421</v>
      </c>
      <c r="L1048" s="27">
        <f>L468*IF($E1048="weekday",INDEX('Category Mapping'!$F$28:$F$39,MATCH('Summarized Source Data'!$A1048,'Category Mapping'!$A$28:$A$39,0),1),INDEX('Category Mapping'!$E$28:$E$39,MATCH($A1048,'Category Mapping'!$A$28:$A$39,0),1))</f>
        <v>587042.57142857136</v>
      </c>
      <c r="M1048" s="27">
        <f>M468*IF($E1048="weekday",INDEX('Category Mapping'!$F$28:$F$39,MATCH('Summarized Source Data'!$A1048,'Category Mapping'!$A$28:$A$39,0),1),INDEX('Category Mapping'!$E$28:$E$39,MATCH($A1048,'Category Mapping'!$A$28:$A$39,0),1))</f>
        <v>1514571428.5714283</v>
      </c>
      <c r="N1048" s="27">
        <f>N468*IF($E1048="weekday",INDEX('Category Mapping'!$F$28:$F$39,MATCH('Summarized Source Data'!$A1048,'Category Mapping'!$A$28:$A$39,0),1),INDEX('Category Mapping'!$E$28:$E$39,MATCH($A1048,'Category Mapping'!$A$28:$A$39,0),1))</f>
        <v>0</v>
      </c>
      <c r="O1048" s="27">
        <f>O468*IF($E1048="weekday",INDEX('Category Mapping'!$F$28:$F$39,MATCH('Summarized Source Data'!$A1048,'Category Mapping'!$A$28:$A$39,0),1),INDEX('Category Mapping'!$E$28:$E$39,MATCH($A1048,'Category Mapping'!$A$28:$A$39,0),1))</f>
        <v>1035698671.7142856</v>
      </c>
      <c r="P1048" s="27">
        <f>P468*IF($E1048="weekday",INDEX('Category Mapping'!$F$28:$F$39,MATCH('Summarized Source Data'!$A1048,'Category Mapping'!$A$28:$A$39,0),1),INDEX('Category Mapping'!$E$28:$E$39,MATCH($A1048,'Category Mapping'!$A$28:$A$39,0),1))</f>
        <v>1035698671.7142856</v>
      </c>
      <c r="Q1048" s="27">
        <f>Q468*IF($E1048="weekday",INDEX('Category Mapping'!$F$28:$F$39,MATCH('Summarized Source Data'!$A1048,'Category Mapping'!$A$28:$A$39,0),1),INDEX('Category Mapping'!$E$28:$E$39,MATCH($A1048,'Category Mapping'!$A$28:$A$39,0),1))</f>
        <v>1035698671.7142856</v>
      </c>
      <c r="R1048" s="27">
        <f>R468*IF($E1048="weekday",INDEX('Category Mapping'!$F$28:$F$39,MATCH('Summarized Source Data'!$A1048,'Category Mapping'!$A$28:$A$39,0),1),INDEX('Category Mapping'!$E$28:$E$39,MATCH($A1048,'Category Mapping'!$A$28:$A$39,0),1))</f>
        <v>39158606.571428567</v>
      </c>
      <c r="S1048" s="27">
        <f>S468*IF($E1048="weekday",INDEX('Category Mapping'!$F$28:$F$39,MATCH('Summarized Source Data'!$A1048,'Category Mapping'!$A$28:$A$39,0),1),INDEX('Category Mapping'!$E$28:$E$39,MATCH($A1048,'Category Mapping'!$A$28:$A$39,0),1))</f>
        <v>39158606.571428567</v>
      </c>
      <c r="T1048" s="27">
        <f>T468*IF($E1048="weekday",INDEX('Category Mapping'!$F$28:$F$39,MATCH('Summarized Source Data'!$A1048,'Category Mapping'!$A$28:$A$39,0),1),INDEX('Category Mapping'!$E$28:$E$39,MATCH($A1048,'Category Mapping'!$A$28:$A$39,0),1))</f>
        <v>39158606.571428567</v>
      </c>
      <c r="U1048" s="27">
        <f>U468*IF($E1048="weekday",INDEX('Category Mapping'!$F$28:$F$39,MATCH('Summarized Source Data'!$A1048,'Category Mapping'!$A$28:$A$39,0),1),INDEX('Category Mapping'!$E$28:$E$39,MATCH($A1048,'Category Mapping'!$A$28:$A$39,0),1))</f>
        <v>39158606.571428567</v>
      </c>
      <c r="V1048" s="27">
        <f>V468*IF($E1048="weekday",INDEX('Category Mapping'!$F$28:$F$39,MATCH('Summarized Source Data'!$A1048,'Category Mapping'!$A$28:$A$39,0),1),INDEX('Category Mapping'!$E$28:$E$39,MATCH($A1048,'Category Mapping'!$A$28:$A$39,0),1))</f>
        <v>39158606.571428567</v>
      </c>
      <c r="W1048" s="27">
        <f>W468*IF($E1048="weekday",INDEX('Category Mapping'!$F$28:$F$39,MATCH('Summarized Source Data'!$A1048,'Category Mapping'!$A$28:$A$39,0),1),INDEX('Category Mapping'!$E$28:$E$39,MATCH($A1048,'Category Mapping'!$A$28:$A$39,0),1))</f>
        <v>39158606.571428567</v>
      </c>
      <c r="X1048" s="27">
        <f>X468*IF($E1048="weekday",INDEX('Category Mapping'!$F$28:$F$39,MATCH('Summarized Source Data'!$A1048,'Category Mapping'!$A$28:$A$39,0),1),INDEX('Category Mapping'!$E$28:$E$39,MATCH($A1048,'Category Mapping'!$A$28:$A$39,0),1))</f>
        <v>3064571428.5714283</v>
      </c>
      <c r="Y1048" s="27">
        <f>Y468*IF($E1048="weekday",INDEX('Category Mapping'!$F$28:$F$39,MATCH('Summarized Source Data'!$A1048,'Category Mapping'!$A$28:$A$39,0),1),INDEX('Category Mapping'!$E$28:$E$39,MATCH($A1048,'Category Mapping'!$A$28:$A$39,0),1))</f>
        <v>3064571428.5714283</v>
      </c>
      <c r="Z1048" s="27">
        <f>Z468*IF($E1048="weekday",INDEX('Category Mapping'!$F$28:$F$39,MATCH('Summarized Source Data'!$A1048,'Category Mapping'!$A$28:$A$39,0),1),INDEX('Category Mapping'!$E$28:$E$39,MATCH($A1048,'Category Mapping'!$A$28:$A$39,0),1))</f>
        <v>3064571428.5714283</v>
      </c>
    </row>
    <row r="1049" spans="1:26" x14ac:dyDescent="0.3">
      <c r="A1049">
        <f t="shared" ref="A1049:E1049" si="514">A469</f>
        <v>8</v>
      </c>
      <c r="B1049" t="str">
        <f t="shared" si="514"/>
        <v>Summer</v>
      </c>
      <c r="C1049" t="str">
        <f t="shared" si="514"/>
        <v>h10</v>
      </c>
      <c r="D1049" t="str">
        <f t="shared" si="514"/>
        <v>Hour9</v>
      </c>
      <c r="E1049" t="str">
        <f t="shared" si="514"/>
        <v>Weekend</v>
      </c>
      <c r="F1049" s="27">
        <f>F469*IF($E1049="weekday",INDEX('Category Mapping'!$F$28:$F$39,MATCH('Summarized Source Data'!$A1049,'Category Mapping'!$A$28:$A$39,0),1),INDEX('Category Mapping'!$E$28:$E$39,MATCH($A1049,'Category Mapping'!$A$28:$A$39,0),1))</f>
        <v>475761.42857142852</v>
      </c>
      <c r="G1049" s="27">
        <f>G469*IF($E1049="weekday",INDEX('Category Mapping'!$F$28:$F$39,MATCH('Summarized Source Data'!$A1049,'Category Mapping'!$A$28:$A$39,0),1),INDEX('Category Mapping'!$E$28:$E$39,MATCH($A1049,'Category Mapping'!$A$28:$A$39,0),1))</f>
        <v>369342857.14285707</v>
      </c>
      <c r="H1049" s="27">
        <f>H469*IF($E1049="weekday",INDEX('Category Mapping'!$F$28:$F$39,MATCH('Summarized Source Data'!$A1049,'Category Mapping'!$A$28:$A$39,0),1),INDEX('Category Mapping'!$E$28:$E$39,MATCH($A1049,'Category Mapping'!$A$28:$A$39,0),1))</f>
        <v>0</v>
      </c>
      <c r="I1049" s="27">
        <f>I469*IF($E1049="weekday",INDEX('Category Mapping'!$F$28:$F$39,MATCH('Summarized Source Data'!$A1049,'Category Mapping'!$A$28:$A$39,0),1),INDEX('Category Mapping'!$E$28:$E$39,MATCH($A1049,'Category Mapping'!$A$28:$A$39,0),1))</f>
        <v>60506455.428571418</v>
      </c>
      <c r="J1049" s="27">
        <f>J469*IF($E1049="weekday",INDEX('Category Mapping'!$F$28:$F$39,MATCH('Summarized Source Data'!$A1049,'Category Mapping'!$A$28:$A$39,0),1),INDEX('Category Mapping'!$E$28:$E$39,MATCH($A1049,'Category Mapping'!$A$28:$A$39,0),1))</f>
        <v>641389211.71428561</v>
      </c>
      <c r="K1049" s="27">
        <f>K469*IF($E1049="weekday",INDEX('Category Mapping'!$F$28:$F$39,MATCH('Summarized Source Data'!$A1049,'Category Mapping'!$A$28:$A$39,0),1),INDEX('Category Mapping'!$E$28:$E$39,MATCH($A1049,'Category Mapping'!$A$28:$A$39,0),1))</f>
        <v>641389211.71428561</v>
      </c>
      <c r="L1049" s="27">
        <f>L469*IF($E1049="weekday",INDEX('Category Mapping'!$F$28:$F$39,MATCH('Summarized Source Data'!$A1049,'Category Mapping'!$A$28:$A$39,0),1),INDEX('Category Mapping'!$E$28:$E$39,MATCH($A1049,'Category Mapping'!$A$28:$A$39,0),1))</f>
        <v>587042.57142857136</v>
      </c>
      <c r="M1049" s="27">
        <f>M469*IF($E1049="weekday",INDEX('Category Mapping'!$F$28:$F$39,MATCH('Summarized Source Data'!$A1049,'Category Mapping'!$A$28:$A$39,0),1),INDEX('Category Mapping'!$E$28:$E$39,MATCH($A1049,'Category Mapping'!$A$28:$A$39,0),1))</f>
        <v>1673999999.9999998</v>
      </c>
      <c r="N1049" s="27">
        <f>N469*IF($E1049="weekday",INDEX('Category Mapping'!$F$28:$F$39,MATCH('Summarized Source Data'!$A1049,'Category Mapping'!$A$28:$A$39,0),1),INDEX('Category Mapping'!$E$28:$E$39,MATCH($A1049,'Category Mapping'!$A$28:$A$39,0),1))</f>
        <v>0</v>
      </c>
      <c r="O1049" s="27">
        <f>O469*IF($E1049="weekday",INDEX('Category Mapping'!$F$28:$F$39,MATCH('Summarized Source Data'!$A1049,'Category Mapping'!$A$28:$A$39,0),1),INDEX('Category Mapping'!$E$28:$E$39,MATCH($A1049,'Category Mapping'!$A$28:$A$39,0),1))</f>
        <v>1124270100.2857141</v>
      </c>
      <c r="P1049" s="27">
        <f>P469*IF($E1049="weekday",INDEX('Category Mapping'!$F$28:$F$39,MATCH('Summarized Source Data'!$A1049,'Category Mapping'!$A$28:$A$39,0),1),INDEX('Category Mapping'!$E$28:$E$39,MATCH($A1049,'Category Mapping'!$A$28:$A$39,0),1))</f>
        <v>1124270100.2857141</v>
      </c>
      <c r="Q1049" s="27">
        <f>Q469*IF($E1049="weekday",INDEX('Category Mapping'!$F$28:$F$39,MATCH('Summarized Source Data'!$A1049,'Category Mapping'!$A$28:$A$39,0),1),INDEX('Category Mapping'!$E$28:$E$39,MATCH($A1049,'Category Mapping'!$A$28:$A$39,0),1))</f>
        <v>1124270100.2857141</v>
      </c>
      <c r="R1049" s="27">
        <f>R469*IF($E1049="weekday",INDEX('Category Mapping'!$F$28:$F$39,MATCH('Summarized Source Data'!$A1049,'Category Mapping'!$A$28:$A$39,0),1),INDEX('Category Mapping'!$E$28:$E$39,MATCH($A1049,'Category Mapping'!$A$28:$A$39,0),1))</f>
        <v>44604155.142857134</v>
      </c>
      <c r="S1049" s="27">
        <f>S469*IF($E1049="weekday",INDEX('Category Mapping'!$F$28:$F$39,MATCH('Summarized Source Data'!$A1049,'Category Mapping'!$A$28:$A$39,0),1),INDEX('Category Mapping'!$E$28:$E$39,MATCH($A1049,'Category Mapping'!$A$28:$A$39,0),1))</f>
        <v>44604155.142857134</v>
      </c>
      <c r="T1049" s="27">
        <f>T469*IF($E1049="weekday",INDEX('Category Mapping'!$F$28:$F$39,MATCH('Summarized Source Data'!$A1049,'Category Mapping'!$A$28:$A$39,0),1),INDEX('Category Mapping'!$E$28:$E$39,MATCH($A1049,'Category Mapping'!$A$28:$A$39,0),1))</f>
        <v>44604155.142857134</v>
      </c>
      <c r="U1049" s="27">
        <f>U469*IF($E1049="weekday",INDEX('Category Mapping'!$F$28:$F$39,MATCH('Summarized Source Data'!$A1049,'Category Mapping'!$A$28:$A$39,0),1),INDEX('Category Mapping'!$E$28:$E$39,MATCH($A1049,'Category Mapping'!$A$28:$A$39,0),1))</f>
        <v>44604155.142857134</v>
      </c>
      <c r="V1049" s="27">
        <f>V469*IF($E1049="weekday",INDEX('Category Mapping'!$F$28:$F$39,MATCH('Summarized Source Data'!$A1049,'Category Mapping'!$A$28:$A$39,0),1),INDEX('Category Mapping'!$E$28:$E$39,MATCH($A1049,'Category Mapping'!$A$28:$A$39,0),1))</f>
        <v>44604155.142857134</v>
      </c>
      <c r="W1049" s="27">
        <f>W469*IF($E1049="weekday",INDEX('Category Mapping'!$F$28:$F$39,MATCH('Summarized Source Data'!$A1049,'Category Mapping'!$A$28:$A$39,0),1),INDEX('Category Mapping'!$E$28:$E$39,MATCH($A1049,'Category Mapping'!$A$28:$A$39,0),1))</f>
        <v>44604155.142857134</v>
      </c>
      <c r="X1049" s="27">
        <f>X469*IF($E1049="weekday",INDEX('Category Mapping'!$F$28:$F$39,MATCH('Summarized Source Data'!$A1049,'Category Mapping'!$A$28:$A$39,0),1),INDEX('Category Mapping'!$E$28:$E$39,MATCH($A1049,'Category Mapping'!$A$28:$A$39,0),1))</f>
        <v>3055714285.7142854</v>
      </c>
      <c r="Y1049" s="27">
        <f>Y469*IF($E1049="weekday",INDEX('Category Mapping'!$F$28:$F$39,MATCH('Summarized Source Data'!$A1049,'Category Mapping'!$A$28:$A$39,0),1),INDEX('Category Mapping'!$E$28:$E$39,MATCH($A1049,'Category Mapping'!$A$28:$A$39,0),1))</f>
        <v>3055714285.7142854</v>
      </c>
      <c r="Z1049" s="27">
        <f>Z469*IF($E1049="weekday",INDEX('Category Mapping'!$F$28:$F$39,MATCH('Summarized Source Data'!$A1049,'Category Mapping'!$A$28:$A$39,0),1),INDEX('Category Mapping'!$E$28:$E$39,MATCH($A1049,'Category Mapping'!$A$28:$A$39,0),1))</f>
        <v>3055714285.7142854</v>
      </c>
    </row>
    <row r="1050" spans="1:26" x14ac:dyDescent="0.3">
      <c r="A1050">
        <f t="shared" ref="A1050:E1050" si="515">A470</f>
        <v>8</v>
      </c>
      <c r="B1050" t="str">
        <f t="shared" si="515"/>
        <v>Summer</v>
      </c>
      <c r="C1050" t="str">
        <f t="shared" si="515"/>
        <v>h11</v>
      </c>
      <c r="D1050" t="str">
        <f t="shared" si="515"/>
        <v>Hour10</v>
      </c>
      <c r="E1050" t="str">
        <f t="shared" si="515"/>
        <v>Weekend</v>
      </c>
      <c r="F1050" s="27">
        <f>F470*IF($E1050="weekday",INDEX('Category Mapping'!$F$28:$F$39,MATCH('Summarized Source Data'!$A1050,'Category Mapping'!$A$28:$A$39,0),1),INDEX('Category Mapping'!$E$28:$E$39,MATCH($A1050,'Category Mapping'!$A$28:$A$39,0),1))</f>
        <v>477045.7142857142</v>
      </c>
      <c r="G1050" s="27">
        <f>G470*IF($E1050="weekday",INDEX('Category Mapping'!$F$28:$F$39,MATCH('Summarized Source Data'!$A1050,'Category Mapping'!$A$28:$A$39,0),1),INDEX('Category Mapping'!$E$28:$E$39,MATCH($A1050,'Category Mapping'!$A$28:$A$39,0),1))</f>
        <v>387942857.14285707</v>
      </c>
      <c r="H1050" s="27">
        <f>H470*IF($E1050="weekday",INDEX('Category Mapping'!$F$28:$F$39,MATCH('Summarized Source Data'!$A1050,'Category Mapping'!$A$28:$A$39,0),1),INDEX('Category Mapping'!$E$28:$E$39,MATCH($A1050,'Category Mapping'!$A$28:$A$39,0),1))</f>
        <v>0</v>
      </c>
      <c r="I1050" s="27">
        <f>I470*IF($E1050="weekday",INDEX('Category Mapping'!$F$28:$F$39,MATCH('Summarized Source Data'!$A1050,'Category Mapping'!$A$28:$A$39,0),1),INDEX('Category Mapping'!$E$28:$E$39,MATCH($A1050,'Category Mapping'!$A$28:$A$39,0),1))</f>
        <v>60867383.999999993</v>
      </c>
      <c r="J1050" s="27">
        <f>J470*IF($E1050="weekday",INDEX('Category Mapping'!$F$28:$F$39,MATCH('Summarized Source Data'!$A1050,'Category Mapping'!$A$28:$A$39,0),1),INDEX('Category Mapping'!$E$28:$E$39,MATCH($A1050,'Category Mapping'!$A$28:$A$39,0),1))</f>
        <v>790712713.14285707</v>
      </c>
      <c r="K1050" s="27">
        <f>K470*IF($E1050="weekday",INDEX('Category Mapping'!$F$28:$F$39,MATCH('Summarized Source Data'!$A1050,'Category Mapping'!$A$28:$A$39,0),1),INDEX('Category Mapping'!$E$28:$E$39,MATCH($A1050,'Category Mapping'!$A$28:$A$39,0),1))</f>
        <v>790712713.14285707</v>
      </c>
      <c r="L1050" s="27">
        <f>L470*IF($E1050="weekday",INDEX('Category Mapping'!$F$28:$F$39,MATCH('Summarized Source Data'!$A1050,'Category Mapping'!$A$28:$A$39,0),1),INDEX('Category Mapping'!$E$28:$E$39,MATCH($A1050,'Category Mapping'!$A$28:$A$39,0),1))</f>
        <v>587042.57142857136</v>
      </c>
      <c r="M1050" s="27">
        <f>M470*IF($E1050="weekday",INDEX('Category Mapping'!$F$28:$F$39,MATCH('Summarized Source Data'!$A1050,'Category Mapping'!$A$28:$A$39,0),1),INDEX('Category Mapping'!$E$28:$E$39,MATCH($A1050,'Category Mapping'!$A$28:$A$39,0),1))</f>
        <v>1797999999.9999998</v>
      </c>
      <c r="N1050" s="27">
        <f>N470*IF($E1050="weekday",INDEX('Category Mapping'!$F$28:$F$39,MATCH('Summarized Source Data'!$A1050,'Category Mapping'!$A$28:$A$39,0),1),INDEX('Category Mapping'!$E$28:$E$39,MATCH($A1050,'Category Mapping'!$A$28:$A$39,0),1))</f>
        <v>0</v>
      </c>
      <c r="O1050" s="27">
        <f>O470*IF($E1050="weekday",INDEX('Category Mapping'!$F$28:$F$39,MATCH('Summarized Source Data'!$A1050,'Category Mapping'!$A$28:$A$39,0),1),INDEX('Category Mapping'!$E$28:$E$39,MATCH($A1050,'Category Mapping'!$A$28:$A$39,0),1))</f>
        <v>1115412957.4285712</v>
      </c>
      <c r="P1050" s="27">
        <f>P470*IF($E1050="weekday",INDEX('Category Mapping'!$F$28:$F$39,MATCH('Summarized Source Data'!$A1050,'Category Mapping'!$A$28:$A$39,0),1),INDEX('Category Mapping'!$E$28:$E$39,MATCH($A1050,'Category Mapping'!$A$28:$A$39,0),1))</f>
        <v>1115412957.4285712</v>
      </c>
      <c r="Q1050" s="27">
        <f>Q470*IF($E1050="weekday",INDEX('Category Mapping'!$F$28:$F$39,MATCH('Summarized Source Data'!$A1050,'Category Mapping'!$A$28:$A$39,0),1),INDEX('Category Mapping'!$E$28:$E$39,MATCH($A1050,'Category Mapping'!$A$28:$A$39,0),1))</f>
        <v>1115412957.4285712</v>
      </c>
      <c r="R1050" s="27">
        <f>R470*IF($E1050="weekday",INDEX('Category Mapping'!$F$28:$F$39,MATCH('Summarized Source Data'!$A1050,'Category Mapping'!$A$28:$A$39,0),1),INDEX('Category Mapping'!$E$28:$E$39,MATCH($A1050,'Category Mapping'!$A$28:$A$39,0),1))</f>
        <v>47320888.857142851</v>
      </c>
      <c r="S1050" s="27">
        <f>S470*IF($E1050="weekday",INDEX('Category Mapping'!$F$28:$F$39,MATCH('Summarized Source Data'!$A1050,'Category Mapping'!$A$28:$A$39,0),1),INDEX('Category Mapping'!$E$28:$E$39,MATCH($A1050,'Category Mapping'!$A$28:$A$39,0),1))</f>
        <v>47320888.857142851</v>
      </c>
      <c r="T1050" s="27">
        <f>T470*IF($E1050="weekday",INDEX('Category Mapping'!$F$28:$F$39,MATCH('Summarized Source Data'!$A1050,'Category Mapping'!$A$28:$A$39,0),1),INDEX('Category Mapping'!$E$28:$E$39,MATCH($A1050,'Category Mapping'!$A$28:$A$39,0),1))</f>
        <v>47320888.857142851</v>
      </c>
      <c r="U1050" s="27">
        <f>U470*IF($E1050="weekday",INDEX('Category Mapping'!$F$28:$F$39,MATCH('Summarized Source Data'!$A1050,'Category Mapping'!$A$28:$A$39,0),1),INDEX('Category Mapping'!$E$28:$E$39,MATCH($A1050,'Category Mapping'!$A$28:$A$39,0),1))</f>
        <v>47320888.857142851</v>
      </c>
      <c r="V1050" s="27">
        <f>V470*IF($E1050="weekday",INDEX('Category Mapping'!$F$28:$F$39,MATCH('Summarized Source Data'!$A1050,'Category Mapping'!$A$28:$A$39,0),1),INDEX('Category Mapping'!$E$28:$E$39,MATCH($A1050,'Category Mapping'!$A$28:$A$39,0),1))</f>
        <v>47320888.857142851</v>
      </c>
      <c r="W1050" s="27">
        <f>W470*IF($E1050="weekday",INDEX('Category Mapping'!$F$28:$F$39,MATCH('Summarized Source Data'!$A1050,'Category Mapping'!$A$28:$A$39,0),1),INDEX('Category Mapping'!$E$28:$E$39,MATCH($A1050,'Category Mapping'!$A$28:$A$39,0),1))</f>
        <v>47320888.857142851</v>
      </c>
      <c r="X1050" s="27">
        <f>X470*IF($E1050="weekday",INDEX('Category Mapping'!$F$28:$F$39,MATCH('Summarized Source Data'!$A1050,'Category Mapping'!$A$28:$A$39,0),1),INDEX('Category Mapping'!$E$28:$E$39,MATCH($A1050,'Category Mapping'!$A$28:$A$39,0),1))</f>
        <v>3046857142.8571424</v>
      </c>
      <c r="Y1050" s="27">
        <f>Y470*IF($E1050="weekday",INDEX('Category Mapping'!$F$28:$F$39,MATCH('Summarized Source Data'!$A1050,'Category Mapping'!$A$28:$A$39,0),1),INDEX('Category Mapping'!$E$28:$E$39,MATCH($A1050,'Category Mapping'!$A$28:$A$39,0),1))</f>
        <v>3046857142.8571424</v>
      </c>
      <c r="Z1050" s="27">
        <f>Z470*IF($E1050="weekday",INDEX('Category Mapping'!$F$28:$F$39,MATCH('Summarized Source Data'!$A1050,'Category Mapping'!$A$28:$A$39,0),1),INDEX('Category Mapping'!$E$28:$E$39,MATCH($A1050,'Category Mapping'!$A$28:$A$39,0),1))</f>
        <v>3046857142.8571424</v>
      </c>
    </row>
    <row r="1051" spans="1:26" x14ac:dyDescent="0.3">
      <c r="A1051">
        <f t="shared" ref="A1051:E1051" si="516">A471</f>
        <v>8</v>
      </c>
      <c r="B1051" t="str">
        <f t="shared" si="516"/>
        <v>Summer</v>
      </c>
      <c r="C1051" t="str">
        <f t="shared" si="516"/>
        <v>h12</v>
      </c>
      <c r="D1051" t="str">
        <f t="shared" si="516"/>
        <v>Hour11</v>
      </c>
      <c r="E1051" t="str">
        <f t="shared" si="516"/>
        <v>Weekend</v>
      </c>
      <c r="F1051" s="27">
        <f>F471*IF($E1051="weekday",INDEX('Category Mapping'!$F$28:$F$39,MATCH('Summarized Source Data'!$A1051,'Category Mapping'!$A$28:$A$39,0),1),INDEX('Category Mapping'!$E$28:$E$39,MATCH($A1051,'Category Mapping'!$A$28:$A$39,0),1))</f>
        <v>367225.99999999994</v>
      </c>
      <c r="G1051" s="27">
        <f>G471*IF($E1051="weekday",INDEX('Category Mapping'!$F$28:$F$39,MATCH('Summarized Source Data'!$A1051,'Category Mapping'!$A$28:$A$39,0),1),INDEX('Category Mapping'!$E$28:$E$39,MATCH($A1051,'Category Mapping'!$A$28:$A$39,0),1))</f>
        <v>440199999.99999994</v>
      </c>
      <c r="H1051" s="27">
        <f>H471*IF($E1051="weekday",INDEX('Category Mapping'!$F$28:$F$39,MATCH('Summarized Source Data'!$A1051,'Category Mapping'!$A$28:$A$39,0),1),INDEX('Category Mapping'!$E$28:$E$39,MATCH($A1051,'Category Mapping'!$A$28:$A$39,0),1))</f>
        <v>0</v>
      </c>
      <c r="I1051" s="27">
        <f>I471*IF($E1051="weekday",INDEX('Category Mapping'!$F$28:$F$39,MATCH('Summarized Source Data'!$A1051,'Category Mapping'!$A$28:$A$39,0),1),INDEX('Category Mapping'!$E$28:$E$39,MATCH($A1051,'Category Mapping'!$A$28:$A$39,0),1))</f>
        <v>64581715.428571418</v>
      </c>
      <c r="J1051" s="27">
        <f>J471*IF($E1051="weekday",INDEX('Category Mapping'!$F$28:$F$39,MATCH('Summarized Source Data'!$A1051,'Category Mapping'!$A$28:$A$39,0),1),INDEX('Category Mapping'!$E$28:$E$39,MATCH($A1051,'Category Mapping'!$A$28:$A$39,0),1))</f>
        <v>885422487.14285707</v>
      </c>
      <c r="K1051" s="27">
        <f>K471*IF($E1051="weekday",INDEX('Category Mapping'!$F$28:$F$39,MATCH('Summarized Source Data'!$A1051,'Category Mapping'!$A$28:$A$39,0),1),INDEX('Category Mapping'!$E$28:$E$39,MATCH($A1051,'Category Mapping'!$A$28:$A$39,0),1))</f>
        <v>885422487.14285707</v>
      </c>
      <c r="L1051" s="27">
        <f>L471*IF($E1051="weekday",INDEX('Category Mapping'!$F$28:$F$39,MATCH('Summarized Source Data'!$A1051,'Category Mapping'!$A$28:$A$39,0),1),INDEX('Category Mapping'!$E$28:$E$39,MATCH($A1051,'Category Mapping'!$A$28:$A$39,0),1))</f>
        <v>587042.57142857136</v>
      </c>
      <c r="M1051" s="27">
        <f>M471*IF($E1051="weekday",INDEX('Category Mapping'!$F$28:$F$39,MATCH('Summarized Source Data'!$A1051,'Category Mapping'!$A$28:$A$39,0),1),INDEX('Category Mapping'!$E$28:$E$39,MATCH($A1051,'Category Mapping'!$A$28:$A$39,0),1))</f>
        <v>1895428571.4285712</v>
      </c>
      <c r="N1051" s="27">
        <f>N471*IF($E1051="weekday",INDEX('Category Mapping'!$F$28:$F$39,MATCH('Summarized Source Data'!$A1051,'Category Mapping'!$A$28:$A$39,0),1),INDEX('Category Mapping'!$E$28:$E$39,MATCH($A1051,'Category Mapping'!$A$28:$A$39,0),1))</f>
        <v>0</v>
      </c>
      <c r="O1051" s="27">
        <f>O471*IF($E1051="weekday",INDEX('Category Mapping'!$F$28:$F$39,MATCH('Summarized Source Data'!$A1051,'Category Mapping'!$A$28:$A$39,0),1),INDEX('Category Mapping'!$E$28:$E$39,MATCH($A1051,'Category Mapping'!$A$28:$A$39,0),1))</f>
        <v>1115412957.4285712</v>
      </c>
      <c r="P1051" s="27">
        <f>P471*IF($E1051="weekday",INDEX('Category Mapping'!$F$28:$F$39,MATCH('Summarized Source Data'!$A1051,'Category Mapping'!$A$28:$A$39,0),1),INDEX('Category Mapping'!$E$28:$E$39,MATCH($A1051,'Category Mapping'!$A$28:$A$39,0),1))</f>
        <v>1115412957.4285712</v>
      </c>
      <c r="Q1051" s="27">
        <f>Q471*IF($E1051="weekday",INDEX('Category Mapping'!$F$28:$F$39,MATCH('Summarized Source Data'!$A1051,'Category Mapping'!$A$28:$A$39,0),1),INDEX('Category Mapping'!$E$28:$E$39,MATCH($A1051,'Category Mapping'!$A$28:$A$39,0),1))</f>
        <v>1115412957.4285712</v>
      </c>
      <c r="R1051" s="27">
        <f>R471*IF($E1051="weekday",INDEX('Category Mapping'!$F$28:$F$39,MATCH('Summarized Source Data'!$A1051,'Category Mapping'!$A$28:$A$39,0),1),INDEX('Category Mapping'!$E$28:$E$39,MATCH($A1051,'Category Mapping'!$A$28:$A$39,0),1))</f>
        <v>48928628.571428567</v>
      </c>
      <c r="S1051" s="27">
        <f>S471*IF($E1051="weekday",INDEX('Category Mapping'!$F$28:$F$39,MATCH('Summarized Source Data'!$A1051,'Category Mapping'!$A$28:$A$39,0),1),INDEX('Category Mapping'!$E$28:$E$39,MATCH($A1051,'Category Mapping'!$A$28:$A$39,0),1))</f>
        <v>48928628.571428567</v>
      </c>
      <c r="T1051" s="27">
        <f>T471*IF($E1051="weekday",INDEX('Category Mapping'!$F$28:$F$39,MATCH('Summarized Source Data'!$A1051,'Category Mapping'!$A$28:$A$39,0),1),INDEX('Category Mapping'!$E$28:$E$39,MATCH($A1051,'Category Mapping'!$A$28:$A$39,0),1))</f>
        <v>48928628.571428567</v>
      </c>
      <c r="U1051" s="27">
        <f>U471*IF($E1051="weekday",INDEX('Category Mapping'!$F$28:$F$39,MATCH('Summarized Source Data'!$A1051,'Category Mapping'!$A$28:$A$39,0),1),INDEX('Category Mapping'!$E$28:$E$39,MATCH($A1051,'Category Mapping'!$A$28:$A$39,0),1))</f>
        <v>48928628.571428567</v>
      </c>
      <c r="V1051" s="27">
        <f>V471*IF($E1051="weekday",INDEX('Category Mapping'!$F$28:$F$39,MATCH('Summarized Source Data'!$A1051,'Category Mapping'!$A$28:$A$39,0),1),INDEX('Category Mapping'!$E$28:$E$39,MATCH($A1051,'Category Mapping'!$A$28:$A$39,0),1))</f>
        <v>48928628.571428567</v>
      </c>
      <c r="W1051" s="27">
        <f>W471*IF($E1051="weekday",INDEX('Category Mapping'!$F$28:$F$39,MATCH('Summarized Source Data'!$A1051,'Category Mapping'!$A$28:$A$39,0),1),INDEX('Category Mapping'!$E$28:$E$39,MATCH($A1051,'Category Mapping'!$A$28:$A$39,0),1))</f>
        <v>48928628.571428567</v>
      </c>
      <c r="X1051" s="27">
        <f>X471*IF($E1051="weekday",INDEX('Category Mapping'!$F$28:$F$39,MATCH('Summarized Source Data'!$A1051,'Category Mapping'!$A$28:$A$39,0),1),INDEX('Category Mapping'!$E$28:$E$39,MATCH($A1051,'Category Mapping'!$A$28:$A$39,0),1))</f>
        <v>3037999999.9999995</v>
      </c>
      <c r="Y1051" s="27">
        <f>Y471*IF($E1051="weekday",INDEX('Category Mapping'!$F$28:$F$39,MATCH('Summarized Source Data'!$A1051,'Category Mapping'!$A$28:$A$39,0),1),INDEX('Category Mapping'!$E$28:$E$39,MATCH($A1051,'Category Mapping'!$A$28:$A$39,0),1))</f>
        <v>3037999999.9999995</v>
      </c>
      <c r="Z1051" s="27">
        <f>Z471*IF($E1051="weekday",INDEX('Category Mapping'!$F$28:$F$39,MATCH('Summarized Source Data'!$A1051,'Category Mapping'!$A$28:$A$39,0),1),INDEX('Category Mapping'!$E$28:$E$39,MATCH($A1051,'Category Mapping'!$A$28:$A$39,0),1))</f>
        <v>3037999999.9999995</v>
      </c>
    </row>
    <row r="1052" spans="1:26" x14ac:dyDescent="0.3">
      <c r="A1052">
        <f t="shared" ref="A1052:E1052" si="517">A472</f>
        <v>8</v>
      </c>
      <c r="B1052" t="str">
        <f t="shared" si="517"/>
        <v>Summer</v>
      </c>
      <c r="C1052" t="str">
        <f t="shared" si="517"/>
        <v>h13</v>
      </c>
      <c r="D1052" t="str">
        <f t="shared" si="517"/>
        <v>Hour12</v>
      </c>
      <c r="E1052" t="str">
        <f t="shared" si="517"/>
        <v>Weekend</v>
      </c>
      <c r="F1052" s="27">
        <f>F472*IF($E1052="weekday",INDEX('Category Mapping'!$F$28:$F$39,MATCH('Summarized Source Data'!$A1052,'Category Mapping'!$A$28:$A$39,0),1),INDEX('Category Mapping'!$E$28:$E$39,MATCH($A1052,'Category Mapping'!$A$28:$A$39,0),1))</f>
        <v>375179.71428571426</v>
      </c>
      <c r="G1052" s="27">
        <f>G472*IF($E1052="weekday",INDEX('Category Mapping'!$F$28:$F$39,MATCH('Summarized Source Data'!$A1052,'Category Mapping'!$A$28:$A$39,0),1),INDEX('Category Mapping'!$E$28:$E$39,MATCH($A1052,'Category Mapping'!$A$28:$A$39,0),1))</f>
        <v>489799999.99999994</v>
      </c>
      <c r="H1052" s="27">
        <f>H472*IF($E1052="weekday",INDEX('Category Mapping'!$F$28:$F$39,MATCH('Summarized Source Data'!$A1052,'Category Mapping'!$A$28:$A$39,0),1),INDEX('Category Mapping'!$E$28:$E$39,MATCH($A1052,'Category Mapping'!$A$28:$A$39,0),1))</f>
        <v>0</v>
      </c>
      <c r="I1052" s="27">
        <f>I472*IF($E1052="weekday",INDEX('Category Mapping'!$F$28:$F$39,MATCH('Summarized Source Data'!$A1052,'Category Mapping'!$A$28:$A$39,0),1),INDEX('Category Mapping'!$E$28:$E$39,MATCH($A1052,'Category Mapping'!$A$28:$A$39,0),1))</f>
        <v>66826195.142857134</v>
      </c>
      <c r="J1052" s="27">
        <f>J472*IF($E1052="weekday",INDEX('Category Mapping'!$F$28:$F$39,MATCH('Summarized Source Data'!$A1052,'Category Mapping'!$A$28:$A$39,0),1),INDEX('Category Mapping'!$E$28:$E$39,MATCH($A1052,'Category Mapping'!$A$28:$A$39,0),1))</f>
        <v>806998625.14285707</v>
      </c>
      <c r="K1052" s="27">
        <f>K472*IF($E1052="weekday",INDEX('Category Mapping'!$F$28:$F$39,MATCH('Summarized Source Data'!$A1052,'Category Mapping'!$A$28:$A$39,0),1),INDEX('Category Mapping'!$E$28:$E$39,MATCH($A1052,'Category Mapping'!$A$28:$A$39,0),1))</f>
        <v>806998625.14285707</v>
      </c>
      <c r="L1052" s="27">
        <f>L472*IF($E1052="weekday",INDEX('Category Mapping'!$F$28:$F$39,MATCH('Summarized Source Data'!$A1052,'Category Mapping'!$A$28:$A$39,0),1),INDEX('Category Mapping'!$E$28:$E$39,MATCH($A1052,'Category Mapping'!$A$28:$A$39,0),1))</f>
        <v>587042.57142857136</v>
      </c>
      <c r="M1052" s="27">
        <f>M472*IF($E1052="weekday",INDEX('Category Mapping'!$F$28:$F$39,MATCH('Summarized Source Data'!$A1052,'Category Mapping'!$A$28:$A$39,0),1),INDEX('Category Mapping'!$E$28:$E$39,MATCH($A1052,'Category Mapping'!$A$28:$A$39,0),1))</f>
        <v>1966285714.2857139</v>
      </c>
      <c r="N1052" s="27">
        <f>N472*IF($E1052="weekday",INDEX('Category Mapping'!$F$28:$F$39,MATCH('Summarized Source Data'!$A1052,'Category Mapping'!$A$28:$A$39,0),1),INDEX('Category Mapping'!$E$28:$E$39,MATCH($A1052,'Category Mapping'!$A$28:$A$39,0),1))</f>
        <v>0</v>
      </c>
      <c r="O1052" s="27">
        <f>O472*IF($E1052="weekday",INDEX('Category Mapping'!$F$28:$F$39,MATCH('Summarized Source Data'!$A1052,'Category Mapping'!$A$28:$A$39,0),1),INDEX('Category Mapping'!$E$28:$E$39,MATCH($A1052,'Category Mapping'!$A$28:$A$39,0),1))</f>
        <v>1115412957.4285712</v>
      </c>
      <c r="P1052" s="27">
        <f>P472*IF($E1052="weekday",INDEX('Category Mapping'!$F$28:$F$39,MATCH('Summarized Source Data'!$A1052,'Category Mapping'!$A$28:$A$39,0),1),INDEX('Category Mapping'!$E$28:$E$39,MATCH($A1052,'Category Mapping'!$A$28:$A$39,0),1))</f>
        <v>1115412957.4285712</v>
      </c>
      <c r="Q1052" s="27">
        <f>Q472*IF($E1052="weekday",INDEX('Category Mapping'!$F$28:$F$39,MATCH('Summarized Source Data'!$A1052,'Category Mapping'!$A$28:$A$39,0),1),INDEX('Category Mapping'!$E$28:$E$39,MATCH($A1052,'Category Mapping'!$A$28:$A$39,0),1))</f>
        <v>1115412957.4285712</v>
      </c>
      <c r="R1052" s="27">
        <f>R472*IF($E1052="weekday",INDEX('Category Mapping'!$F$28:$F$39,MATCH('Summarized Source Data'!$A1052,'Category Mapping'!$A$28:$A$39,0),1),INDEX('Category Mapping'!$E$28:$E$39,MATCH($A1052,'Category Mapping'!$A$28:$A$39,0),1))</f>
        <v>47923360.571428567</v>
      </c>
      <c r="S1052" s="27">
        <f>S472*IF($E1052="weekday",INDEX('Category Mapping'!$F$28:$F$39,MATCH('Summarized Source Data'!$A1052,'Category Mapping'!$A$28:$A$39,0),1),INDEX('Category Mapping'!$E$28:$E$39,MATCH($A1052,'Category Mapping'!$A$28:$A$39,0),1))</f>
        <v>47923360.571428567</v>
      </c>
      <c r="T1052" s="27">
        <f>T472*IF($E1052="weekday",INDEX('Category Mapping'!$F$28:$F$39,MATCH('Summarized Source Data'!$A1052,'Category Mapping'!$A$28:$A$39,0),1),INDEX('Category Mapping'!$E$28:$E$39,MATCH($A1052,'Category Mapping'!$A$28:$A$39,0),1))</f>
        <v>47923360.571428567</v>
      </c>
      <c r="U1052" s="27">
        <f>U472*IF($E1052="weekday",INDEX('Category Mapping'!$F$28:$F$39,MATCH('Summarized Source Data'!$A1052,'Category Mapping'!$A$28:$A$39,0),1),INDEX('Category Mapping'!$E$28:$E$39,MATCH($A1052,'Category Mapping'!$A$28:$A$39,0),1))</f>
        <v>47923360.571428567</v>
      </c>
      <c r="V1052" s="27">
        <f>V472*IF($E1052="weekday",INDEX('Category Mapping'!$F$28:$F$39,MATCH('Summarized Source Data'!$A1052,'Category Mapping'!$A$28:$A$39,0),1),INDEX('Category Mapping'!$E$28:$E$39,MATCH($A1052,'Category Mapping'!$A$28:$A$39,0),1))</f>
        <v>47923360.571428567</v>
      </c>
      <c r="W1052" s="27">
        <f>W472*IF($E1052="weekday",INDEX('Category Mapping'!$F$28:$F$39,MATCH('Summarized Source Data'!$A1052,'Category Mapping'!$A$28:$A$39,0),1),INDEX('Category Mapping'!$E$28:$E$39,MATCH($A1052,'Category Mapping'!$A$28:$A$39,0),1))</f>
        <v>47923360.571428567</v>
      </c>
      <c r="X1052" s="27">
        <f>X472*IF($E1052="weekday",INDEX('Category Mapping'!$F$28:$F$39,MATCH('Summarized Source Data'!$A1052,'Category Mapping'!$A$28:$A$39,0),1),INDEX('Category Mapping'!$E$28:$E$39,MATCH($A1052,'Category Mapping'!$A$28:$A$39,0),1))</f>
        <v>3037999999.9999995</v>
      </c>
      <c r="Y1052" s="27">
        <f>Y472*IF($E1052="weekday",INDEX('Category Mapping'!$F$28:$F$39,MATCH('Summarized Source Data'!$A1052,'Category Mapping'!$A$28:$A$39,0),1),INDEX('Category Mapping'!$E$28:$E$39,MATCH($A1052,'Category Mapping'!$A$28:$A$39,0),1))</f>
        <v>3037999999.9999995</v>
      </c>
      <c r="Z1052" s="27">
        <f>Z472*IF($E1052="weekday",INDEX('Category Mapping'!$F$28:$F$39,MATCH('Summarized Source Data'!$A1052,'Category Mapping'!$A$28:$A$39,0),1),INDEX('Category Mapping'!$E$28:$E$39,MATCH($A1052,'Category Mapping'!$A$28:$A$39,0),1))</f>
        <v>3037999999.9999995</v>
      </c>
    </row>
    <row r="1053" spans="1:26" x14ac:dyDescent="0.3">
      <c r="A1053">
        <f t="shared" ref="A1053:E1053" si="518">A473</f>
        <v>8</v>
      </c>
      <c r="B1053" t="str">
        <f t="shared" si="518"/>
        <v>Summer</v>
      </c>
      <c r="C1053" t="str">
        <f t="shared" si="518"/>
        <v>h14</v>
      </c>
      <c r="D1053" t="str">
        <f t="shared" si="518"/>
        <v>Hour13</v>
      </c>
      <c r="E1053" t="str">
        <f t="shared" si="518"/>
        <v>Weekend</v>
      </c>
      <c r="F1053" s="27">
        <f>F473*IF($E1053="weekday",INDEX('Category Mapping'!$F$28:$F$39,MATCH('Summarized Source Data'!$A1053,'Category Mapping'!$A$28:$A$39,0),1),INDEX('Category Mapping'!$E$28:$E$39,MATCH($A1053,'Category Mapping'!$A$28:$A$39,0),1))</f>
        <v>374878.57142857136</v>
      </c>
      <c r="G1053" s="27">
        <f>G473*IF($E1053="weekday",INDEX('Category Mapping'!$F$28:$F$39,MATCH('Summarized Source Data'!$A1053,'Category Mapping'!$A$28:$A$39,0),1),INDEX('Category Mapping'!$E$28:$E$39,MATCH($A1053,'Category Mapping'!$A$28:$A$39,0),1))</f>
        <v>514599999.99999994</v>
      </c>
      <c r="H1053" s="27">
        <f>H473*IF($E1053="weekday",INDEX('Category Mapping'!$F$28:$F$39,MATCH('Summarized Source Data'!$A1053,'Category Mapping'!$A$28:$A$39,0),1),INDEX('Category Mapping'!$E$28:$E$39,MATCH($A1053,'Category Mapping'!$A$28:$A$39,0),1))</f>
        <v>0</v>
      </c>
      <c r="I1053" s="27">
        <f>I473*IF($E1053="weekday",INDEX('Category Mapping'!$F$28:$F$39,MATCH('Summarized Source Data'!$A1053,'Category Mapping'!$A$28:$A$39,0),1),INDEX('Category Mapping'!$E$28:$E$39,MATCH($A1053,'Category Mapping'!$A$28:$A$39,0),1))</f>
        <v>66740573.142857134</v>
      </c>
      <c r="J1053" s="27">
        <f>J473*IF($E1053="weekday",INDEX('Category Mapping'!$F$28:$F$39,MATCH('Summarized Source Data'!$A1053,'Category Mapping'!$A$28:$A$39,0),1),INDEX('Category Mapping'!$E$28:$E$39,MATCH($A1053,'Category Mapping'!$A$28:$A$39,0),1))</f>
        <v>711427405.42857134</v>
      </c>
      <c r="K1053" s="27">
        <f>K473*IF($E1053="weekday",INDEX('Category Mapping'!$F$28:$F$39,MATCH('Summarized Source Data'!$A1053,'Category Mapping'!$A$28:$A$39,0),1),INDEX('Category Mapping'!$E$28:$E$39,MATCH($A1053,'Category Mapping'!$A$28:$A$39,0),1))</f>
        <v>711427405.42857134</v>
      </c>
      <c r="L1053" s="27">
        <f>L473*IF($E1053="weekday",INDEX('Category Mapping'!$F$28:$F$39,MATCH('Summarized Source Data'!$A1053,'Category Mapping'!$A$28:$A$39,0),1),INDEX('Category Mapping'!$E$28:$E$39,MATCH($A1053,'Category Mapping'!$A$28:$A$39,0),1))</f>
        <v>587042.57142857136</v>
      </c>
      <c r="M1053" s="27">
        <f>M473*IF($E1053="weekday",INDEX('Category Mapping'!$F$28:$F$39,MATCH('Summarized Source Data'!$A1053,'Category Mapping'!$A$28:$A$39,0),1),INDEX('Category Mapping'!$E$28:$E$39,MATCH($A1053,'Category Mapping'!$A$28:$A$39,0),1))</f>
        <v>2010571428.5714283</v>
      </c>
      <c r="N1053" s="27">
        <f>N473*IF($E1053="weekday",INDEX('Category Mapping'!$F$28:$F$39,MATCH('Summarized Source Data'!$A1053,'Category Mapping'!$A$28:$A$39,0),1),INDEX('Category Mapping'!$E$28:$E$39,MATCH($A1053,'Category Mapping'!$A$28:$A$39,0),1))</f>
        <v>0</v>
      </c>
      <c r="O1053" s="27">
        <f>O473*IF($E1053="weekday",INDEX('Category Mapping'!$F$28:$F$39,MATCH('Summarized Source Data'!$A1053,'Category Mapping'!$A$28:$A$39,0),1),INDEX('Category Mapping'!$E$28:$E$39,MATCH($A1053,'Category Mapping'!$A$28:$A$39,0),1))</f>
        <v>1071127243.142857</v>
      </c>
      <c r="P1053" s="27">
        <f>P473*IF($E1053="weekday",INDEX('Category Mapping'!$F$28:$F$39,MATCH('Summarized Source Data'!$A1053,'Category Mapping'!$A$28:$A$39,0),1),INDEX('Category Mapping'!$E$28:$E$39,MATCH($A1053,'Category Mapping'!$A$28:$A$39,0),1))</f>
        <v>1071127243.142857</v>
      </c>
      <c r="Q1053" s="27">
        <f>Q473*IF($E1053="weekday",INDEX('Category Mapping'!$F$28:$F$39,MATCH('Summarized Source Data'!$A1053,'Category Mapping'!$A$28:$A$39,0),1),INDEX('Category Mapping'!$E$28:$E$39,MATCH($A1053,'Category Mapping'!$A$28:$A$39,0),1))</f>
        <v>1071127243.142857</v>
      </c>
      <c r="R1053" s="27">
        <f>R473*IF($E1053="weekday",INDEX('Category Mapping'!$F$28:$F$39,MATCH('Summarized Source Data'!$A1053,'Category Mapping'!$A$28:$A$39,0),1),INDEX('Category Mapping'!$E$28:$E$39,MATCH($A1053,'Category Mapping'!$A$28:$A$39,0),1))</f>
        <v>45745158.857142851</v>
      </c>
      <c r="S1053" s="27">
        <f>S473*IF($E1053="weekday",INDEX('Category Mapping'!$F$28:$F$39,MATCH('Summarized Source Data'!$A1053,'Category Mapping'!$A$28:$A$39,0),1),INDEX('Category Mapping'!$E$28:$E$39,MATCH($A1053,'Category Mapping'!$A$28:$A$39,0),1))</f>
        <v>45745158.857142851</v>
      </c>
      <c r="T1053" s="27">
        <f>T473*IF($E1053="weekday",INDEX('Category Mapping'!$F$28:$F$39,MATCH('Summarized Source Data'!$A1053,'Category Mapping'!$A$28:$A$39,0),1),INDEX('Category Mapping'!$E$28:$E$39,MATCH($A1053,'Category Mapping'!$A$28:$A$39,0),1))</f>
        <v>45745158.857142851</v>
      </c>
      <c r="U1053" s="27">
        <f>U473*IF($E1053="weekday",INDEX('Category Mapping'!$F$28:$F$39,MATCH('Summarized Source Data'!$A1053,'Category Mapping'!$A$28:$A$39,0),1),INDEX('Category Mapping'!$E$28:$E$39,MATCH($A1053,'Category Mapping'!$A$28:$A$39,0),1))</f>
        <v>45745158.857142851</v>
      </c>
      <c r="V1053" s="27">
        <f>V473*IF($E1053="weekday",INDEX('Category Mapping'!$F$28:$F$39,MATCH('Summarized Source Data'!$A1053,'Category Mapping'!$A$28:$A$39,0),1),INDEX('Category Mapping'!$E$28:$E$39,MATCH($A1053,'Category Mapping'!$A$28:$A$39,0),1))</f>
        <v>45745158.857142851</v>
      </c>
      <c r="W1053" s="27">
        <f>W473*IF($E1053="weekday",INDEX('Category Mapping'!$F$28:$F$39,MATCH('Summarized Source Data'!$A1053,'Category Mapping'!$A$28:$A$39,0),1),INDEX('Category Mapping'!$E$28:$E$39,MATCH($A1053,'Category Mapping'!$A$28:$A$39,0),1))</f>
        <v>45745158.857142851</v>
      </c>
      <c r="X1053" s="27">
        <f>X473*IF($E1053="weekday",INDEX('Category Mapping'!$F$28:$F$39,MATCH('Summarized Source Data'!$A1053,'Category Mapping'!$A$28:$A$39,0),1),INDEX('Category Mapping'!$E$28:$E$39,MATCH($A1053,'Category Mapping'!$A$28:$A$39,0),1))</f>
        <v>3037999999.9999995</v>
      </c>
      <c r="Y1053" s="27">
        <f>Y473*IF($E1053="weekday",INDEX('Category Mapping'!$F$28:$F$39,MATCH('Summarized Source Data'!$A1053,'Category Mapping'!$A$28:$A$39,0),1),INDEX('Category Mapping'!$E$28:$E$39,MATCH($A1053,'Category Mapping'!$A$28:$A$39,0),1))</f>
        <v>3037999999.9999995</v>
      </c>
      <c r="Z1053" s="27">
        <f>Z473*IF($E1053="weekday",INDEX('Category Mapping'!$F$28:$F$39,MATCH('Summarized Source Data'!$A1053,'Category Mapping'!$A$28:$A$39,0),1),INDEX('Category Mapping'!$E$28:$E$39,MATCH($A1053,'Category Mapping'!$A$28:$A$39,0),1))</f>
        <v>3037999999.9999995</v>
      </c>
    </row>
    <row r="1054" spans="1:26" x14ac:dyDescent="0.3">
      <c r="A1054">
        <f t="shared" ref="A1054:E1054" si="519">A474</f>
        <v>8</v>
      </c>
      <c r="B1054" t="str">
        <f t="shared" si="519"/>
        <v>Summer</v>
      </c>
      <c r="C1054" t="str">
        <f t="shared" si="519"/>
        <v>h15</v>
      </c>
      <c r="D1054" t="str">
        <f t="shared" si="519"/>
        <v>Hour14</v>
      </c>
      <c r="E1054" t="str">
        <f t="shared" si="519"/>
        <v>Weekend</v>
      </c>
      <c r="F1054" s="27">
        <f>F474*IF($E1054="weekday",INDEX('Category Mapping'!$F$28:$F$39,MATCH('Summarized Source Data'!$A1054,'Category Mapping'!$A$28:$A$39,0),1),INDEX('Category Mapping'!$E$28:$E$39,MATCH($A1054,'Category Mapping'!$A$28:$A$39,0),1))</f>
        <v>372389.71428571426</v>
      </c>
      <c r="G1054" s="27">
        <f>G474*IF($E1054="weekday",INDEX('Category Mapping'!$F$28:$F$39,MATCH('Summarized Source Data'!$A1054,'Category Mapping'!$A$28:$A$39,0),1),INDEX('Category Mapping'!$E$28:$E$39,MATCH($A1054,'Category Mapping'!$A$28:$A$39,0),1))</f>
        <v>519914285.71428561</v>
      </c>
      <c r="H1054" s="27">
        <f>H474*IF($E1054="weekday",INDEX('Category Mapping'!$F$28:$F$39,MATCH('Summarized Source Data'!$A1054,'Category Mapping'!$A$28:$A$39,0),1),INDEX('Category Mapping'!$E$28:$E$39,MATCH($A1054,'Category Mapping'!$A$28:$A$39,0),1))</f>
        <v>0</v>
      </c>
      <c r="I1054" s="27">
        <f>I474*IF($E1054="weekday",INDEX('Category Mapping'!$F$28:$F$39,MATCH('Summarized Source Data'!$A1054,'Category Mapping'!$A$28:$A$39,0),1),INDEX('Category Mapping'!$E$28:$E$39,MATCH($A1054,'Category Mapping'!$A$28:$A$39,0),1))</f>
        <v>66038316.857142851</v>
      </c>
      <c r="J1054" s="27">
        <f>J474*IF($E1054="weekday",INDEX('Category Mapping'!$F$28:$F$39,MATCH('Summarized Source Data'!$A1054,'Category Mapping'!$A$28:$A$39,0),1),INDEX('Category Mapping'!$E$28:$E$39,MATCH($A1054,'Category Mapping'!$A$28:$A$39,0),1))</f>
        <v>751103579.14285707</v>
      </c>
      <c r="K1054" s="27">
        <f>K474*IF($E1054="weekday",INDEX('Category Mapping'!$F$28:$F$39,MATCH('Summarized Source Data'!$A1054,'Category Mapping'!$A$28:$A$39,0),1),INDEX('Category Mapping'!$E$28:$E$39,MATCH($A1054,'Category Mapping'!$A$28:$A$39,0),1))</f>
        <v>751103579.14285707</v>
      </c>
      <c r="L1054" s="27">
        <f>L474*IF($E1054="weekday",INDEX('Category Mapping'!$F$28:$F$39,MATCH('Summarized Source Data'!$A1054,'Category Mapping'!$A$28:$A$39,0),1),INDEX('Category Mapping'!$E$28:$E$39,MATCH($A1054,'Category Mapping'!$A$28:$A$39,0),1))</f>
        <v>587042.57142857136</v>
      </c>
      <c r="M1054" s="27">
        <f>M474*IF($E1054="weekday",INDEX('Category Mapping'!$F$28:$F$39,MATCH('Summarized Source Data'!$A1054,'Category Mapping'!$A$28:$A$39,0),1),INDEX('Category Mapping'!$E$28:$E$39,MATCH($A1054,'Category Mapping'!$A$28:$A$39,0),1))</f>
        <v>2028285714.2857139</v>
      </c>
      <c r="N1054" s="27">
        <f>N474*IF($E1054="weekday",INDEX('Category Mapping'!$F$28:$F$39,MATCH('Summarized Source Data'!$A1054,'Category Mapping'!$A$28:$A$39,0),1),INDEX('Category Mapping'!$E$28:$E$39,MATCH($A1054,'Category Mapping'!$A$28:$A$39,0),1))</f>
        <v>0</v>
      </c>
      <c r="O1054" s="27">
        <f>O474*IF($E1054="weekday",INDEX('Category Mapping'!$F$28:$F$39,MATCH('Summarized Source Data'!$A1054,'Category Mapping'!$A$28:$A$39,0),1),INDEX('Category Mapping'!$E$28:$E$39,MATCH($A1054,'Category Mapping'!$A$28:$A$39,0),1))</f>
        <v>1017984385.9999999</v>
      </c>
      <c r="P1054" s="27">
        <f>P474*IF($E1054="weekday",INDEX('Category Mapping'!$F$28:$F$39,MATCH('Summarized Source Data'!$A1054,'Category Mapping'!$A$28:$A$39,0),1),INDEX('Category Mapping'!$E$28:$E$39,MATCH($A1054,'Category Mapping'!$A$28:$A$39,0),1))</f>
        <v>1017984385.9999999</v>
      </c>
      <c r="Q1054" s="27">
        <f>Q474*IF($E1054="weekday",INDEX('Category Mapping'!$F$28:$F$39,MATCH('Summarized Source Data'!$A1054,'Category Mapping'!$A$28:$A$39,0),1),INDEX('Category Mapping'!$E$28:$E$39,MATCH($A1054,'Category Mapping'!$A$28:$A$39,0),1))</f>
        <v>1017984385.9999999</v>
      </c>
      <c r="R1054" s="27">
        <f>R474*IF($E1054="weekday",INDEX('Category Mapping'!$F$28:$F$39,MATCH('Summarized Source Data'!$A1054,'Category Mapping'!$A$28:$A$39,0),1),INDEX('Category Mapping'!$E$28:$E$39,MATCH($A1054,'Category Mapping'!$A$28:$A$39,0),1))</f>
        <v>45122811.714285709</v>
      </c>
      <c r="S1054" s="27">
        <f>S474*IF($E1054="weekday",INDEX('Category Mapping'!$F$28:$F$39,MATCH('Summarized Source Data'!$A1054,'Category Mapping'!$A$28:$A$39,0),1),INDEX('Category Mapping'!$E$28:$E$39,MATCH($A1054,'Category Mapping'!$A$28:$A$39,0),1))</f>
        <v>45122811.714285709</v>
      </c>
      <c r="T1054" s="27">
        <f>T474*IF($E1054="weekday",INDEX('Category Mapping'!$F$28:$F$39,MATCH('Summarized Source Data'!$A1054,'Category Mapping'!$A$28:$A$39,0),1),INDEX('Category Mapping'!$E$28:$E$39,MATCH($A1054,'Category Mapping'!$A$28:$A$39,0),1))</f>
        <v>45122811.714285709</v>
      </c>
      <c r="U1054" s="27">
        <f>U474*IF($E1054="weekday",INDEX('Category Mapping'!$F$28:$F$39,MATCH('Summarized Source Data'!$A1054,'Category Mapping'!$A$28:$A$39,0),1),INDEX('Category Mapping'!$E$28:$E$39,MATCH($A1054,'Category Mapping'!$A$28:$A$39,0),1))</f>
        <v>45122811.714285709</v>
      </c>
      <c r="V1054" s="27">
        <f>V474*IF($E1054="weekday",INDEX('Category Mapping'!$F$28:$F$39,MATCH('Summarized Source Data'!$A1054,'Category Mapping'!$A$28:$A$39,0),1),INDEX('Category Mapping'!$E$28:$E$39,MATCH($A1054,'Category Mapping'!$A$28:$A$39,0),1))</f>
        <v>45122811.714285709</v>
      </c>
      <c r="W1054" s="27">
        <f>W474*IF($E1054="weekday",INDEX('Category Mapping'!$F$28:$F$39,MATCH('Summarized Source Data'!$A1054,'Category Mapping'!$A$28:$A$39,0),1),INDEX('Category Mapping'!$E$28:$E$39,MATCH($A1054,'Category Mapping'!$A$28:$A$39,0),1))</f>
        <v>45122811.714285709</v>
      </c>
      <c r="X1054" s="27">
        <f>X474*IF($E1054="weekday",INDEX('Category Mapping'!$F$28:$F$39,MATCH('Summarized Source Data'!$A1054,'Category Mapping'!$A$28:$A$39,0),1),INDEX('Category Mapping'!$E$28:$E$39,MATCH($A1054,'Category Mapping'!$A$28:$A$39,0),1))</f>
        <v>3046857142.8571424</v>
      </c>
      <c r="Y1054" s="27">
        <f>Y474*IF($E1054="weekday",INDEX('Category Mapping'!$F$28:$F$39,MATCH('Summarized Source Data'!$A1054,'Category Mapping'!$A$28:$A$39,0),1),INDEX('Category Mapping'!$E$28:$E$39,MATCH($A1054,'Category Mapping'!$A$28:$A$39,0),1))</f>
        <v>3046857142.8571424</v>
      </c>
      <c r="Z1054" s="27">
        <f>Z474*IF($E1054="weekday",INDEX('Category Mapping'!$F$28:$F$39,MATCH('Summarized Source Data'!$A1054,'Category Mapping'!$A$28:$A$39,0),1),INDEX('Category Mapping'!$E$28:$E$39,MATCH($A1054,'Category Mapping'!$A$28:$A$39,0),1))</f>
        <v>3046857142.8571424</v>
      </c>
    </row>
    <row r="1055" spans="1:26" x14ac:dyDescent="0.3">
      <c r="A1055">
        <f t="shared" ref="A1055:E1055" si="520">A475</f>
        <v>8</v>
      </c>
      <c r="B1055" t="str">
        <f t="shared" si="520"/>
        <v>Summer</v>
      </c>
      <c r="C1055" t="str">
        <f t="shared" si="520"/>
        <v>h16</v>
      </c>
      <c r="D1055" t="str">
        <f t="shared" si="520"/>
        <v>Hour15</v>
      </c>
      <c r="E1055" t="str">
        <f t="shared" si="520"/>
        <v>Weekend</v>
      </c>
      <c r="F1055" s="27">
        <f>F475*IF($E1055="weekday",INDEX('Category Mapping'!$F$28:$F$39,MATCH('Summarized Source Data'!$A1055,'Category Mapping'!$A$28:$A$39,0),1),INDEX('Category Mapping'!$E$28:$E$39,MATCH($A1055,'Category Mapping'!$A$28:$A$39,0),1))</f>
        <v>372974.28571428568</v>
      </c>
      <c r="G1055" s="27">
        <f>G475*IF($E1055="weekday",INDEX('Category Mapping'!$F$28:$F$39,MATCH('Summarized Source Data'!$A1055,'Category Mapping'!$A$28:$A$39,0),1),INDEX('Category Mapping'!$E$28:$E$39,MATCH($A1055,'Category Mapping'!$A$28:$A$39,0),1))</f>
        <v>511057142.85714281</v>
      </c>
      <c r="H1055" s="27">
        <f>H475*IF($E1055="weekday",INDEX('Category Mapping'!$F$28:$F$39,MATCH('Summarized Source Data'!$A1055,'Category Mapping'!$A$28:$A$39,0),1),INDEX('Category Mapping'!$E$28:$E$39,MATCH($A1055,'Category Mapping'!$A$28:$A$39,0),1))</f>
        <v>0</v>
      </c>
      <c r="I1055" s="27">
        <f>I475*IF($E1055="weekday",INDEX('Category Mapping'!$F$28:$F$39,MATCH('Summarized Source Data'!$A1055,'Category Mapping'!$A$28:$A$39,0),1),INDEX('Category Mapping'!$E$28:$E$39,MATCH($A1055,'Category Mapping'!$A$28:$A$39,0),1))</f>
        <v>66204042.857142851</v>
      </c>
      <c r="J1055" s="27">
        <f>J475*IF($E1055="weekday",INDEX('Category Mapping'!$F$28:$F$39,MATCH('Summarized Source Data'!$A1055,'Category Mapping'!$A$28:$A$39,0),1),INDEX('Category Mapping'!$E$28:$E$39,MATCH($A1055,'Category Mapping'!$A$28:$A$39,0),1))</f>
        <v>777508697.14285707</v>
      </c>
      <c r="K1055" s="27">
        <f>K475*IF($E1055="weekday",INDEX('Category Mapping'!$F$28:$F$39,MATCH('Summarized Source Data'!$A1055,'Category Mapping'!$A$28:$A$39,0),1),INDEX('Category Mapping'!$E$28:$E$39,MATCH($A1055,'Category Mapping'!$A$28:$A$39,0),1))</f>
        <v>777508697.14285707</v>
      </c>
      <c r="L1055" s="27">
        <f>L475*IF($E1055="weekday",INDEX('Category Mapping'!$F$28:$F$39,MATCH('Summarized Source Data'!$A1055,'Category Mapping'!$A$28:$A$39,0),1),INDEX('Category Mapping'!$E$28:$E$39,MATCH($A1055,'Category Mapping'!$A$28:$A$39,0),1))</f>
        <v>587042.57142857136</v>
      </c>
      <c r="M1055" s="27">
        <f>M475*IF($E1055="weekday",INDEX('Category Mapping'!$F$28:$F$39,MATCH('Summarized Source Data'!$A1055,'Category Mapping'!$A$28:$A$39,0),1),INDEX('Category Mapping'!$E$28:$E$39,MATCH($A1055,'Category Mapping'!$A$28:$A$39,0),1))</f>
        <v>2010571428.5714283</v>
      </c>
      <c r="N1055" s="27">
        <f>N475*IF($E1055="weekday",INDEX('Category Mapping'!$F$28:$F$39,MATCH('Summarized Source Data'!$A1055,'Category Mapping'!$A$28:$A$39,0),1),INDEX('Category Mapping'!$E$28:$E$39,MATCH($A1055,'Category Mapping'!$A$28:$A$39,0),1))</f>
        <v>0</v>
      </c>
      <c r="O1055" s="27">
        <f>O475*IF($E1055="weekday",INDEX('Category Mapping'!$F$28:$F$39,MATCH('Summarized Source Data'!$A1055,'Category Mapping'!$A$28:$A$39,0),1),INDEX('Category Mapping'!$E$28:$E$39,MATCH($A1055,'Category Mapping'!$A$28:$A$39,0),1))</f>
        <v>947127243.14285696</v>
      </c>
      <c r="P1055" s="27">
        <f>P475*IF($E1055="weekday",INDEX('Category Mapping'!$F$28:$F$39,MATCH('Summarized Source Data'!$A1055,'Category Mapping'!$A$28:$A$39,0),1),INDEX('Category Mapping'!$E$28:$E$39,MATCH($A1055,'Category Mapping'!$A$28:$A$39,0),1))</f>
        <v>947127243.14285696</v>
      </c>
      <c r="Q1055" s="27">
        <f>Q475*IF($E1055="weekday",INDEX('Category Mapping'!$F$28:$F$39,MATCH('Summarized Source Data'!$A1055,'Category Mapping'!$A$28:$A$39,0),1),INDEX('Category Mapping'!$E$28:$E$39,MATCH($A1055,'Category Mapping'!$A$28:$A$39,0),1))</f>
        <v>947127243.14285696</v>
      </c>
      <c r="R1055" s="27">
        <f>R475*IF($E1055="weekday",INDEX('Category Mapping'!$F$28:$F$39,MATCH('Summarized Source Data'!$A1055,'Category Mapping'!$A$28:$A$39,0),1),INDEX('Category Mapping'!$E$28:$E$39,MATCH($A1055,'Category Mapping'!$A$28:$A$39,0),1))</f>
        <v>44189286.571428567</v>
      </c>
      <c r="S1055" s="27">
        <f>S475*IF($E1055="weekday",INDEX('Category Mapping'!$F$28:$F$39,MATCH('Summarized Source Data'!$A1055,'Category Mapping'!$A$28:$A$39,0),1),INDEX('Category Mapping'!$E$28:$E$39,MATCH($A1055,'Category Mapping'!$A$28:$A$39,0),1))</f>
        <v>44189286.571428567</v>
      </c>
      <c r="T1055" s="27">
        <f>T475*IF($E1055="weekday",INDEX('Category Mapping'!$F$28:$F$39,MATCH('Summarized Source Data'!$A1055,'Category Mapping'!$A$28:$A$39,0),1),INDEX('Category Mapping'!$E$28:$E$39,MATCH($A1055,'Category Mapping'!$A$28:$A$39,0),1))</f>
        <v>44189286.571428567</v>
      </c>
      <c r="U1055" s="27">
        <f>U475*IF($E1055="weekday",INDEX('Category Mapping'!$F$28:$F$39,MATCH('Summarized Source Data'!$A1055,'Category Mapping'!$A$28:$A$39,0),1),INDEX('Category Mapping'!$E$28:$E$39,MATCH($A1055,'Category Mapping'!$A$28:$A$39,0),1))</f>
        <v>44189286.571428567</v>
      </c>
      <c r="V1055" s="27">
        <f>V475*IF($E1055="weekday",INDEX('Category Mapping'!$F$28:$F$39,MATCH('Summarized Source Data'!$A1055,'Category Mapping'!$A$28:$A$39,0),1),INDEX('Category Mapping'!$E$28:$E$39,MATCH($A1055,'Category Mapping'!$A$28:$A$39,0),1))</f>
        <v>44189286.571428567</v>
      </c>
      <c r="W1055" s="27">
        <f>W475*IF($E1055="weekday",INDEX('Category Mapping'!$F$28:$F$39,MATCH('Summarized Source Data'!$A1055,'Category Mapping'!$A$28:$A$39,0),1),INDEX('Category Mapping'!$E$28:$E$39,MATCH($A1055,'Category Mapping'!$A$28:$A$39,0),1))</f>
        <v>44189286.571428567</v>
      </c>
      <c r="X1055" s="27">
        <f>X475*IF($E1055="weekday",INDEX('Category Mapping'!$F$28:$F$39,MATCH('Summarized Source Data'!$A1055,'Category Mapping'!$A$28:$A$39,0),1),INDEX('Category Mapping'!$E$28:$E$39,MATCH($A1055,'Category Mapping'!$A$28:$A$39,0),1))</f>
        <v>3082285714.2857137</v>
      </c>
      <c r="Y1055" s="27">
        <f>Y475*IF($E1055="weekday",INDEX('Category Mapping'!$F$28:$F$39,MATCH('Summarized Source Data'!$A1055,'Category Mapping'!$A$28:$A$39,0),1),INDEX('Category Mapping'!$E$28:$E$39,MATCH($A1055,'Category Mapping'!$A$28:$A$39,0),1))</f>
        <v>3082285714.2857137</v>
      </c>
      <c r="Z1055" s="27">
        <f>Z475*IF($E1055="weekday",INDEX('Category Mapping'!$F$28:$F$39,MATCH('Summarized Source Data'!$A1055,'Category Mapping'!$A$28:$A$39,0),1),INDEX('Category Mapping'!$E$28:$E$39,MATCH($A1055,'Category Mapping'!$A$28:$A$39,0),1))</f>
        <v>3082285714.2857137</v>
      </c>
    </row>
    <row r="1056" spans="1:26" x14ac:dyDescent="0.3">
      <c r="A1056">
        <f t="shared" ref="A1056:E1056" si="521">A476</f>
        <v>8</v>
      </c>
      <c r="B1056" t="str">
        <f t="shared" si="521"/>
        <v>Summer</v>
      </c>
      <c r="C1056" t="str">
        <f t="shared" si="521"/>
        <v>h17</v>
      </c>
      <c r="D1056" t="str">
        <f t="shared" si="521"/>
        <v>Hour16</v>
      </c>
      <c r="E1056" t="str">
        <f t="shared" si="521"/>
        <v>Weekend</v>
      </c>
      <c r="F1056" s="27">
        <f>F476*IF($E1056="weekday",INDEX('Category Mapping'!$F$28:$F$39,MATCH('Summarized Source Data'!$A1056,'Category Mapping'!$A$28:$A$39,0),1),INDEX('Category Mapping'!$E$28:$E$39,MATCH($A1056,'Category Mapping'!$A$28:$A$39,0),1))</f>
        <v>379386.8571428571</v>
      </c>
      <c r="G1056" s="27">
        <f>G476*IF($E1056="weekday",INDEX('Category Mapping'!$F$28:$F$39,MATCH('Summarized Source Data'!$A1056,'Category Mapping'!$A$28:$A$39,0),1),INDEX('Category Mapping'!$E$28:$E$39,MATCH($A1056,'Category Mapping'!$A$28:$A$39,0),1))</f>
        <v>495999999.99999994</v>
      </c>
      <c r="H1056" s="27">
        <f>H476*IF($E1056="weekday",INDEX('Category Mapping'!$F$28:$F$39,MATCH('Summarized Source Data'!$A1056,'Category Mapping'!$A$28:$A$39,0),1),INDEX('Category Mapping'!$E$28:$E$39,MATCH($A1056,'Category Mapping'!$A$28:$A$39,0),1))</f>
        <v>0</v>
      </c>
      <c r="I1056" s="27">
        <f>I476*IF($E1056="weekday",INDEX('Category Mapping'!$F$28:$F$39,MATCH('Summarized Source Data'!$A1056,'Category Mapping'!$A$28:$A$39,0),1),INDEX('Category Mapping'!$E$28:$E$39,MATCH($A1056,'Category Mapping'!$A$28:$A$39,0),1))</f>
        <v>68011927.428571418</v>
      </c>
      <c r="J1056" s="27">
        <f>J476*IF($E1056="weekday",INDEX('Category Mapping'!$F$28:$F$39,MATCH('Summarized Source Data'!$A1056,'Category Mapping'!$A$28:$A$39,0),1),INDEX('Category Mapping'!$E$28:$E$39,MATCH($A1056,'Category Mapping'!$A$28:$A$39,0),1))</f>
        <v>835037257.14285707</v>
      </c>
      <c r="K1056" s="27">
        <f>K476*IF($E1056="weekday",INDEX('Category Mapping'!$F$28:$F$39,MATCH('Summarized Source Data'!$A1056,'Category Mapping'!$A$28:$A$39,0),1),INDEX('Category Mapping'!$E$28:$E$39,MATCH($A1056,'Category Mapping'!$A$28:$A$39,0),1))</f>
        <v>835037257.14285707</v>
      </c>
      <c r="L1056" s="27">
        <f>L476*IF($E1056="weekday",INDEX('Category Mapping'!$F$28:$F$39,MATCH('Summarized Source Data'!$A1056,'Category Mapping'!$A$28:$A$39,0),1),INDEX('Category Mapping'!$E$28:$E$39,MATCH($A1056,'Category Mapping'!$A$28:$A$39,0),1))</f>
        <v>587042.57142857136</v>
      </c>
      <c r="M1056" s="27">
        <f>M476*IF($E1056="weekday",INDEX('Category Mapping'!$F$28:$F$39,MATCH('Summarized Source Data'!$A1056,'Category Mapping'!$A$28:$A$39,0),1),INDEX('Category Mapping'!$E$28:$E$39,MATCH($A1056,'Category Mapping'!$A$28:$A$39,0),1))</f>
        <v>1957428571.4285712</v>
      </c>
      <c r="N1056" s="27">
        <f>N476*IF($E1056="weekday",INDEX('Category Mapping'!$F$28:$F$39,MATCH('Summarized Source Data'!$A1056,'Category Mapping'!$A$28:$A$39,0),1),INDEX('Category Mapping'!$E$28:$E$39,MATCH($A1056,'Category Mapping'!$A$28:$A$39,0),1))</f>
        <v>0</v>
      </c>
      <c r="O1056" s="27">
        <f>O476*IF($E1056="weekday",INDEX('Category Mapping'!$F$28:$F$39,MATCH('Summarized Source Data'!$A1056,'Category Mapping'!$A$28:$A$39,0),1),INDEX('Category Mapping'!$E$28:$E$39,MATCH($A1056,'Category Mapping'!$A$28:$A$39,0),1))</f>
        <v>902841528.85714269</v>
      </c>
      <c r="P1056" s="27">
        <f>P476*IF($E1056="weekday",INDEX('Category Mapping'!$F$28:$F$39,MATCH('Summarized Source Data'!$A1056,'Category Mapping'!$A$28:$A$39,0),1),INDEX('Category Mapping'!$E$28:$E$39,MATCH($A1056,'Category Mapping'!$A$28:$A$39,0),1))</f>
        <v>902841528.85714269</v>
      </c>
      <c r="Q1056" s="27">
        <f>Q476*IF($E1056="weekday",INDEX('Category Mapping'!$F$28:$F$39,MATCH('Summarized Source Data'!$A1056,'Category Mapping'!$A$28:$A$39,0),1),INDEX('Category Mapping'!$E$28:$E$39,MATCH($A1056,'Category Mapping'!$A$28:$A$39,0),1))</f>
        <v>902841528.85714269</v>
      </c>
      <c r="R1056" s="27">
        <f>R476*IF($E1056="weekday",INDEX('Category Mapping'!$F$28:$F$39,MATCH('Summarized Source Data'!$A1056,'Category Mapping'!$A$28:$A$39,0),1),INDEX('Category Mapping'!$E$28:$E$39,MATCH($A1056,'Category Mapping'!$A$28:$A$39,0),1))</f>
        <v>50447451.428571418</v>
      </c>
      <c r="S1056" s="27">
        <f>S476*IF($E1056="weekday",INDEX('Category Mapping'!$F$28:$F$39,MATCH('Summarized Source Data'!$A1056,'Category Mapping'!$A$28:$A$39,0),1),INDEX('Category Mapping'!$E$28:$E$39,MATCH($A1056,'Category Mapping'!$A$28:$A$39,0),1))</f>
        <v>50447451.428571418</v>
      </c>
      <c r="T1056" s="27">
        <f>T476*IF($E1056="weekday",INDEX('Category Mapping'!$F$28:$F$39,MATCH('Summarized Source Data'!$A1056,'Category Mapping'!$A$28:$A$39,0),1),INDEX('Category Mapping'!$E$28:$E$39,MATCH($A1056,'Category Mapping'!$A$28:$A$39,0),1))</f>
        <v>50447451.428571418</v>
      </c>
      <c r="U1056" s="27">
        <f>U476*IF($E1056="weekday",INDEX('Category Mapping'!$F$28:$F$39,MATCH('Summarized Source Data'!$A1056,'Category Mapping'!$A$28:$A$39,0),1),INDEX('Category Mapping'!$E$28:$E$39,MATCH($A1056,'Category Mapping'!$A$28:$A$39,0),1))</f>
        <v>50447451.428571418</v>
      </c>
      <c r="V1056" s="27">
        <f>V476*IF($E1056="weekday",INDEX('Category Mapping'!$F$28:$F$39,MATCH('Summarized Source Data'!$A1056,'Category Mapping'!$A$28:$A$39,0),1),INDEX('Category Mapping'!$E$28:$E$39,MATCH($A1056,'Category Mapping'!$A$28:$A$39,0),1))</f>
        <v>50447451.428571418</v>
      </c>
      <c r="W1056" s="27">
        <f>W476*IF($E1056="weekday",INDEX('Category Mapping'!$F$28:$F$39,MATCH('Summarized Source Data'!$A1056,'Category Mapping'!$A$28:$A$39,0),1),INDEX('Category Mapping'!$E$28:$E$39,MATCH($A1056,'Category Mapping'!$A$28:$A$39,0),1))</f>
        <v>50447451.428571418</v>
      </c>
      <c r="X1056" s="27">
        <f>X476*IF($E1056="weekday",INDEX('Category Mapping'!$F$28:$F$39,MATCH('Summarized Source Data'!$A1056,'Category Mapping'!$A$28:$A$39,0),1),INDEX('Category Mapping'!$E$28:$E$39,MATCH($A1056,'Category Mapping'!$A$28:$A$39,0),1))</f>
        <v>3126571428.5714283</v>
      </c>
      <c r="Y1056" s="27">
        <f>Y476*IF($E1056="weekday",INDEX('Category Mapping'!$F$28:$F$39,MATCH('Summarized Source Data'!$A1056,'Category Mapping'!$A$28:$A$39,0),1),INDEX('Category Mapping'!$E$28:$E$39,MATCH($A1056,'Category Mapping'!$A$28:$A$39,0),1))</f>
        <v>3126571428.5714283</v>
      </c>
      <c r="Z1056" s="27">
        <f>Z476*IF($E1056="weekday",INDEX('Category Mapping'!$F$28:$F$39,MATCH('Summarized Source Data'!$A1056,'Category Mapping'!$A$28:$A$39,0),1),INDEX('Category Mapping'!$E$28:$E$39,MATCH($A1056,'Category Mapping'!$A$28:$A$39,0),1))</f>
        <v>3126571428.5714283</v>
      </c>
    </row>
    <row r="1057" spans="1:26" x14ac:dyDescent="0.3">
      <c r="A1057">
        <f t="shared" ref="A1057:E1057" si="522">A477</f>
        <v>8</v>
      </c>
      <c r="B1057" t="str">
        <f t="shared" si="522"/>
        <v>Summer</v>
      </c>
      <c r="C1057" t="str">
        <f t="shared" si="522"/>
        <v>h18</v>
      </c>
      <c r="D1057" t="str">
        <f t="shared" si="522"/>
        <v>Hour17</v>
      </c>
      <c r="E1057" t="str">
        <f t="shared" si="522"/>
        <v>Weekend</v>
      </c>
      <c r="F1057" s="27">
        <f>F477*IF($E1057="weekday",INDEX('Category Mapping'!$F$28:$F$39,MATCH('Summarized Source Data'!$A1057,'Category Mapping'!$A$28:$A$39,0),1),INDEX('Category Mapping'!$E$28:$E$39,MATCH($A1057,'Category Mapping'!$A$28:$A$39,0),1))</f>
        <v>391343.99999999994</v>
      </c>
      <c r="G1057" s="27">
        <f>G477*IF($E1057="weekday",INDEX('Category Mapping'!$F$28:$F$39,MATCH('Summarized Source Data'!$A1057,'Category Mapping'!$A$28:$A$39,0),1),INDEX('Category Mapping'!$E$28:$E$39,MATCH($A1057,'Category Mapping'!$A$28:$A$39,0),1))</f>
        <v>482714285.71428567</v>
      </c>
      <c r="H1057" s="27">
        <f>H477*IF($E1057="weekday",INDEX('Category Mapping'!$F$28:$F$39,MATCH('Summarized Source Data'!$A1057,'Category Mapping'!$A$28:$A$39,0),1),INDEX('Category Mapping'!$E$28:$E$39,MATCH($A1057,'Category Mapping'!$A$28:$A$39,0),1))</f>
        <v>0</v>
      </c>
      <c r="I1057" s="27">
        <f>I477*IF($E1057="weekday",INDEX('Category Mapping'!$F$28:$F$39,MATCH('Summarized Source Data'!$A1057,'Category Mapping'!$A$28:$A$39,0),1),INDEX('Category Mapping'!$E$28:$E$39,MATCH($A1057,'Category Mapping'!$A$28:$A$39,0),1))</f>
        <v>92999999.999999985</v>
      </c>
      <c r="J1057" s="27">
        <f>J477*IF($E1057="weekday",INDEX('Category Mapping'!$F$28:$F$39,MATCH('Summarized Source Data'!$A1057,'Category Mapping'!$A$28:$A$39,0),1),INDEX('Category Mapping'!$E$28:$E$39,MATCH($A1057,'Category Mapping'!$A$28:$A$39,0),1))</f>
        <v>832180084.57142842</v>
      </c>
      <c r="K1057" s="27">
        <f>K477*IF($E1057="weekday",INDEX('Category Mapping'!$F$28:$F$39,MATCH('Summarized Source Data'!$A1057,'Category Mapping'!$A$28:$A$39,0),1),INDEX('Category Mapping'!$E$28:$E$39,MATCH($A1057,'Category Mapping'!$A$28:$A$39,0),1))</f>
        <v>832180084.57142842</v>
      </c>
      <c r="L1057" s="27">
        <f>L477*IF($E1057="weekday",INDEX('Category Mapping'!$F$28:$F$39,MATCH('Summarized Source Data'!$A1057,'Category Mapping'!$A$28:$A$39,0),1),INDEX('Category Mapping'!$E$28:$E$39,MATCH($A1057,'Category Mapping'!$A$28:$A$39,0),1))</f>
        <v>587042.57142857136</v>
      </c>
      <c r="M1057" s="27">
        <f>M477*IF($E1057="weekday",INDEX('Category Mapping'!$F$28:$F$39,MATCH('Summarized Source Data'!$A1057,'Category Mapping'!$A$28:$A$39,0),1),INDEX('Category Mapping'!$E$28:$E$39,MATCH($A1057,'Category Mapping'!$A$28:$A$39,0),1))</f>
        <v>1868857142.8571427</v>
      </c>
      <c r="N1057" s="27">
        <f>N477*IF($E1057="weekday",INDEX('Category Mapping'!$F$28:$F$39,MATCH('Summarized Source Data'!$A1057,'Category Mapping'!$A$28:$A$39,0),1),INDEX('Category Mapping'!$E$28:$E$39,MATCH($A1057,'Category Mapping'!$A$28:$A$39,0),1))</f>
        <v>0</v>
      </c>
      <c r="O1057" s="27">
        <f>O477*IF($E1057="weekday",INDEX('Category Mapping'!$F$28:$F$39,MATCH('Summarized Source Data'!$A1057,'Category Mapping'!$A$28:$A$39,0),1),INDEX('Category Mapping'!$E$28:$E$39,MATCH($A1057,'Category Mapping'!$A$28:$A$39,0),1))</f>
        <v>911698671.71428561</v>
      </c>
      <c r="P1057" s="27">
        <f>P477*IF($E1057="weekday",INDEX('Category Mapping'!$F$28:$F$39,MATCH('Summarized Source Data'!$A1057,'Category Mapping'!$A$28:$A$39,0),1),INDEX('Category Mapping'!$E$28:$E$39,MATCH($A1057,'Category Mapping'!$A$28:$A$39,0),1))</f>
        <v>911698671.71428561</v>
      </c>
      <c r="Q1057" s="27">
        <f>Q477*IF($E1057="weekday",INDEX('Category Mapping'!$F$28:$F$39,MATCH('Summarized Source Data'!$A1057,'Category Mapping'!$A$28:$A$39,0),1),INDEX('Category Mapping'!$E$28:$E$39,MATCH($A1057,'Category Mapping'!$A$28:$A$39,0),1))</f>
        <v>911698671.71428561</v>
      </c>
      <c r="R1057" s="27">
        <f>R477*IF($E1057="weekday",INDEX('Category Mapping'!$F$28:$F$39,MATCH('Summarized Source Data'!$A1057,'Category Mapping'!$A$28:$A$39,0),1),INDEX('Category Mapping'!$E$28:$E$39,MATCH($A1057,'Category Mapping'!$A$28:$A$39,0),1))</f>
        <v>50499309.999999993</v>
      </c>
      <c r="S1057" s="27">
        <f>S477*IF($E1057="weekday",INDEX('Category Mapping'!$F$28:$F$39,MATCH('Summarized Source Data'!$A1057,'Category Mapping'!$A$28:$A$39,0),1),INDEX('Category Mapping'!$E$28:$E$39,MATCH($A1057,'Category Mapping'!$A$28:$A$39,0),1))</f>
        <v>50499309.999999993</v>
      </c>
      <c r="T1057" s="27">
        <f>T477*IF($E1057="weekday",INDEX('Category Mapping'!$F$28:$F$39,MATCH('Summarized Source Data'!$A1057,'Category Mapping'!$A$28:$A$39,0),1),INDEX('Category Mapping'!$E$28:$E$39,MATCH($A1057,'Category Mapping'!$A$28:$A$39,0),1))</f>
        <v>50499309.999999993</v>
      </c>
      <c r="U1057" s="27">
        <f>U477*IF($E1057="weekday",INDEX('Category Mapping'!$F$28:$F$39,MATCH('Summarized Source Data'!$A1057,'Category Mapping'!$A$28:$A$39,0),1),INDEX('Category Mapping'!$E$28:$E$39,MATCH($A1057,'Category Mapping'!$A$28:$A$39,0),1))</f>
        <v>50499309.999999993</v>
      </c>
      <c r="V1057" s="27">
        <f>V477*IF($E1057="weekday",INDEX('Category Mapping'!$F$28:$F$39,MATCH('Summarized Source Data'!$A1057,'Category Mapping'!$A$28:$A$39,0),1),INDEX('Category Mapping'!$E$28:$E$39,MATCH($A1057,'Category Mapping'!$A$28:$A$39,0),1))</f>
        <v>50499309.999999993</v>
      </c>
      <c r="W1057" s="27">
        <f>W477*IF($E1057="weekday",INDEX('Category Mapping'!$F$28:$F$39,MATCH('Summarized Source Data'!$A1057,'Category Mapping'!$A$28:$A$39,0),1),INDEX('Category Mapping'!$E$28:$E$39,MATCH($A1057,'Category Mapping'!$A$28:$A$39,0),1))</f>
        <v>50499309.999999993</v>
      </c>
      <c r="X1057" s="27">
        <f>X477*IF($E1057="weekday",INDEX('Category Mapping'!$F$28:$F$39,MATCH('Summarized Source Data'!$A1057,'Category Mapping'!$A$28:$A$39,0),1),INDEX('Category Mapping'!$E$28:$E$39,MATCH($A1057,'Category Mapping'!$A$28:$A$39,0),1))</f>
        <v>3135428571.4285707</v>
      </c>
      <c r="Y1057" s="27">
        <f>Y477*IF($E1057="weekday",INDEX('Category Mapping'!$F$28:$F$39,MATCH('Summarized Source Data'!$A1057,'Category Mapping'!$A$28:$A$39,0),1),INDEX('Category Mapping'!$E$28:$E$39,MATCH($A1057,'Category Mapping'!$A$28:$A$39,0),1))</f>
        <v>3135428571.4285707</v>
      </c>
      <c r="Z1057" s="27">
        <f>Z477*IF($E1057="weekday",INDEX('Category Mapping'!$F$28:$F$39,MATCH('Summarized Source Data'!$A1057,'Category Mapping'!$A$28:$A$39,0),1),INDEX('Category Mapping'!$E$28:$E$39,MATCH($A1057,'Category Mapping'!$A$28:$A$39,0),1))</f>
        <v>3135428571.4285707</v>
      </c>
    </row>
    <row r="1058" spans="1:26" x14ac:dyDescent="0.3">
      <c r="A1058">
        <f t="shared" ref="A1058:E1058" si="523">A478</f>
        <v>8</v>
      </c>
      <c r="B1058" t="str">
        <f t="shared" si="523"/>
        <v>Summer</v>
      </c>
      <c r="C1058" t="str">
        <f t="shared" si="523"/>
        <v>h19</v>
      </c>
      <c r="D1058" t="str">
        <f t="shared" si="523"/>
        <v>Hour18</v>
      </c>
      <c r="E1058" t="str">
        <f t="shared" si="523"/>
        <v>Weekend</v>
      </c>
      <c r="F1058" s="27">
        <f>F478*IF($E1058="weekday",INDEX('Category Mapping'!$F$28:$F$39,MATCH('Summarized Source Data'!$A1058,'Category Mapping'!$A$28:$A$39,0),1),INDEX('Category Mapping'!$E$28:$E$39,MATCH($A1058,'Category Mapping'!$A$28:$A$39,0),1))</f>
        <v>405603.99999999994</v>
      </c>
      <c r="G1058" s="27">
        <f>G478*IF($E1058="weekday",INDEX('Category Mapping'!$F$28:$F$39,MATCH('Summarized Source Data'!$A1058,'Category Mapping'!$A$28:$A$39,0),1),INDEX('Category Mapping'!$E$28:$E$39,MATCH($A1058,'Category Mapping'!$A$28:$A$39,0),1))</f>
        <v>467657142.85714281</v>
      </c>
      <c r="H1058" s="27">
        <f>H478*IF($E1058="weekday",INDEX('Category Mapping'!$F$28:$F$39,MATCH('Summarized Source Data'!$A1058,'Category Mapping'!$A$28:$A$39,0),1),INDEX('Category Mapping'!$E$28:$E$39,MATCH($A1058,'Category Mapping'!$A$28:$A$39,0),1))</f>
        <v>0</v>
      </c>
      <c r="I1058" s="27">
        <f>I478*IF($E1058="weekday",INDEX('Category Mapping'!$F$28:$F$39,MATCH('Summarized Source Data'!$A1058,'Category Mapping'!$A$28:$A$39,0),1),INDEX('Category Mapping'!$E$28:$E$39,MATCH($A1058,'Category Mapping'!$A$28:$A$39,0),1))</f>
        <v>251542857.1428571</v>
      </c>
      <c r="J1058" s="27">
        <f>J478*IF($E1058="weekday",INDEX('Category Mapping'!$F$28:$F$39,MATCH('Summarized Source Data'!$A1058,'Category Mapping'!$A$28:$A$39,0),1),INDEX('Category Mapping'!$E$28:$E$39,MATCH($A1058,'Category Mapping'!$A$28:$A$39,0),1))</f>
        <v>803822967.42857134</v>
      </c>
      <c r="K1058" s="27">
        <f>K478*IF($E1058="weekday",INDEX('Category Mapping'!$F$28:$F$39,MATCH('Summarized Source Data'!$A1058,'Category Mapping'!$A$28:$A$39,0),1),INDEX('Category Mapping'!$E$28:$E$39,MATCH($A1058,'Category Mapping'!$A$28:$A$39,0),1))</f>
        <v>803822967.42857134</v>
      </c>
      <c r="L1058" s="27">
        <f>L478*IF($E1058="weekday",INDEX('Category Mapping'!$F$28:$F$39,MATCH('Summarized Source Data'!$A1058,'Category Mapping'!$A$28:$A$39,0),1),INDEX('Category Mapping'!$E$28:$E$39,MATCH($A1058,'Category Mapping'!$A$28:$A$39,0),1))</f>
        <v>587042.57142857136</v>
      </c>
      <c r="M1058" s="27">
        <f>M478*IF($E1058="weekday",INDEX('Category Mapping'!$F$28:$F$39,MATCH('Summarized Source Data'!$A1058,'Category Mapping'!$A$28:$A$39,0),1),INDEX('Category Mapping'!$E$28:$E$39,MATCH($A1058,'Category Mapping'!$A$28:$A$39,0),1))</f>
        <v>1762571428.5714283</v>
      </c>
      <c r="N1058" s="27">
        <f>N478*IF($E1058="weekday",INDEX('Category Mapping'!$F$28:$F$39,MATCH('Summarized Source Data'!$A1058,'Category Mapping'!$A$28:$A$39,0),1),INDEX('Category Mapping'!$E$28:$E$39,MATCH($A1058,'Category Mapping'!$A$28:$A$39,0),1))</f>
        <v>0</v>
      </c>
      <c r="O1058" s="27">
        <f>O478*IF($E1058="weekday",INDEX('Category Mapping'!$F$28:$F$39,MATCH('Summarized Source Data'!$A1058,'Category Mapping'!$A$28:$A$39,0),1),INDEX('Category Mapping'!$E$28:$E$39,MATCH($A1058,'Category Mapping'!$A$28:$A$39,0),1))</f>
        <v>902841528.85714269</v>
      </c>
      <c r="P1058" s="27">
        <f>P478*IF($E1058="weekday",INDEX('Category Mapping'!$F$28:$F$39,MATCH('Summarized Source Data'!$A1058,'Category Mapping'!$A$28:$A$39,0),1),INDEX('Category Mapping'!$E$28:$E$39,MATCH($A1058,'Category Mapping'!$A$28:$A$39,0),1))</f>
        <v>902841528.85714269</v>
      </c>
      <c r="Q1058" s="27">
        <f>Q478*IF($E1058="weekday",INDEX('Category Mapping'!$F$28:$F$39,MATCH('Summarized Source Data'!$A1058,'Category Mapping'!$A$28:$A$39,0),1),INDEX('Category Mapping'!$E$28:$E$39,MATCH($A1058,'Category Mapping'!$A$28:$A$39,0),1))</f>
        <v>902841528.85714269</v>
      </c>
      <c r="R1058" s="27">
        <f>R478*IF($E1058="weekday",INDEX('Category Mapping'!$F$28:$F$39,MATCH('Summarized Source Data'!$A1058,'Category Mapping'!$A$28:$A$39,0),1),INDEX('Category Mapping'!$E$28:$E$39,MATCH($A1058,'Category Mapping'!$A$28:$A$39,0),1))</f>
        <v>50136273.428571418</v>
      </c>
      <c r="S1058" s="27">
        <f>S478*IF($E1058="weekday",INDEX('Category Mapping'!$F$28:$F$39,MATCH('Summarized Source Data'!$A1058,'Category Mapping'!$A$28:$A$39,0),1),INDEX('Category Mapping'!$E$28:$E$39,MATCH($A1058,'Category Mapping'!$A$28:$A$39,0),1))</f>
        <v>50136273.428571418</v>
      </c>
      <c r="T1058" s="27">
        <f>T478*IF($E1058="weekday",INDEX('Category Mapping'!$F$28:$F$39,MATCH('Summarized Source Data'!$A1058,'Category Mapping'!$A$28:$A$39,0),1),INDEX('Category Mapping'!$E$28:$E$39,MATCH($A1058,'Category Mapping'!$A$28:$A$39,0),1))</f>
        <v>50136273.428571418</v>
      </c>
      <c r="U1058" s="27">
        <f>U478*IF($E1058="weekday",INDEX('Category Mapping'!$F$28:$F$39,MATCH('Summarized Source Data'!$A1058,'Category Mapping'!$A$28:$A$39,0),1),INDEX('Category Mapping'!$E$28:$E$39,MATCH($A1058,'Category Mapping'!$A$28:$A$39,0),1))</f>
        <v>50136273.428571418</v>
      </c>
      <c r="V1058" s="27">
        <f>V478*IF($E1058="weekday",INDEX('Category Mapping'!$F$28:$F$39,MATCH('Summarized Source Data'!$A1058,'Category Mapping'!$A$28:$A$39,0),1),INDEX('Category Mapping'!$E$28:$E$39,MATCH($A1058,'Category Mapping'!$A$28:$A$39,0),1))</f>
        <v>50136273.428571418</v>
      </c>
      <c r="W1058" s="27">
        <f>W478*IF($E1058="weekday",INDEX('Category Mapping'!$F$28:$F$39,MATCH('Summarized Source Data'!$A1058,'Category Mapping'!$A$28:$A$39,0),1),INDEX('Category Mapping'!$E$28:$E$39,MATCH($A1058,'Category Mapping'!$A$28:$A$39,0),1))</f>
        <v>50136273.428571418</v>
      </c>
      <c r="X1058" s="27">
        <f>X478*IF($E1058="weekday",INDEX('Category Mapping'!$F$28:$F$39,MATCH('Summarized Source Data'!$A1058,'Category Mapping'!$A$28:$A$39,0),1),INDEX('Category Mapping'!$E$28:$E$39,MATCH($A1058,'Category Mapping'!$A$28:$A$39,0),1))</f>
        <v>3117714285.7142854</v>
      </c>
      <c r="Y1058" s="27">
        <f>Y478*IF($E1058="weekday",INDEX('Category Mapping'!$F$28:$F$39,MATCH('Summarized Source Data'!$A1058,'Category Mapping'!$A$28:$A$39,0),1),INDEX('Category Mapping'!$E$28:$E$39,MATCH($A1058,'Category Mapping'!$A$28:$A$39,0),1))</f>
        <v>3117714285.7142854</v>
      </c>
      <c r="Z1058" s="27">
        <f>Z478*IF($E1058="weekday",INDEX('Category Mapping'!$F$28:$F$39,MATCH('Summarized Source Data'!$A1058,'Category Mapping'!$A$28:$A$39,0),1),INDEX('Category Mapping'!$E$28:$E$39,MATCH($A1058,'Category Mapping'!$A$28:$A$39,0),1))</f>
        <v>3117714285.7142854</v>
      </c>
    </row>
    <row r="1059" spans="1:26" x14ac:dyDescent="0.3">
      <c r="A1059">
        <f t="shared" ref="A1059:E1059" si="524">A479</f>
        <v>8</v>
      </c>
      <c r="B1059" t="str">
        <f t="shared" si="524"/>
        <v>Summer</v>
      </c>
      <c r="C1059" t="str">
        <f t="shared" si="524"/>
        <v>h20</v>
      </c>
      <c r="D1059" t="str">
        <f t="shared" si="524"/>
        <v>Hour19</v>
      </c>
      <c r="E1059" t="str">
        <f t="shared" si="524"/>
        <v>Weekend</v>
      </c>
      <c r="F1059" s="27">
        <f>F479*IF($E1059="weekday",INDEX('Category Mapping'!$F$28:$F$39,MATCH('Summarized Source Data'!$A1059,'Category Mapping'!$A$28:$A$39,0),1),INDEX('Category Mapping'!$E$28:$E$39,MATCH($A1059,'Category Mapping'!$A$28:$A$39,0),1))</f>
        <v>418278.57142857136</v>
      </c>
      <c r="G1059" s="27">
        <f>G479*IF($E1059="weekday",INDEX('Category Mapping'!$F$28:$F$39,MATCH('Summarized Source Data'!$A1059,'Category Mapping'!$A$28:$A$39,0),1),INDEX('Category Mapping'!$E$28:$E$39,MATCH($A1059,'Category Mapping'!$A$28:$A$39,0),1))</f>
        <v>441085714.28571421</v>
      </c>
      <c r="H1059" s="27">
        <f>H479*IF($E1059="weekday",INDEX('Category Mapping'!$F$28:$F$39,MATCH('Summarized Source Data'!$A1059,'Category Mapping'!$A$28:$A$39,0),1),INDEX('Category Mapping'!$E$28:$E$39,MATCH($A1059,'Category Mapping'!$A$28:$A$39,0),1))</f>
        <v>0</v>
      </c>
      <c r="I1059" s="27">
        <f>I479*IF($E1059="weekday",INDEX('Category Mapping'!$F$28:$F$39,MATCH('Summarized Source Data'!$A1059,'Category Mapping'!$A$28:$A$39,0),1),INDEX('Category Mapping'!$E$28:$E$39,MATCH($A1059,'Category Mapping'!$A$28:$A$39,0),1))</f>
        <v>263057142.85714281</v>
      </c>
      <c r="J1059" s="27">
        <f>J479*IF($E1059="weekday",INDEX('Category Mapping'!$F$28:$F$39,MATCH('Summarized Source Data'!$A1059,'Category Mapping'!$A$28:$A$39,0),1),INDEX('Category Mapping'!$E$28:$E$39,MATCH($A1059,'Category Mapping'!$A$28:$A$39,0),1))</f>
        <v>748010292.85714281</v>
      </c>
      <c r="K1059" s="27">
        <f>K479*IF($E1059="weekday",INDEX('Category Mapping'!$F$28:$F$39,MATCH('Summarized Source Data'!$A1059,'Category Mapping'!$A$28:$A$39,0),1),INDEX('Category Mapping'!$E$28:$E$39,MATCH($A1059,'Category Mapping'!$A$28:$A$39,0),1))</f>
        <v>748010292.85714281</v>
      </c>
      <c r="L1059" s="27">
        <f>L479*IF($E1059="weekday",INDEX('Category Mapping'!$F$28:$F$39,MATCH('Summarized Source Data'!$A1059,'Category Mapping'!$A$28:$A$39,0),1),INDEX('Category Mapping'!$E$28:$E$39,MATCH($A1059,'Category Mapping'!$A$28:$A$39,0),1))</f>
        <v>587042.57142857136</v>
      </c>
      <c r="M1059" s="27">
        <f>M479*IF($E1059="weekday",INDEX('Category Mapping'!$F$28:$F$39,MATCH('Summarized Source Data'!$A1059,'Category Mapping'!$A$28:$A$39,0),1),INDEX('Category Mapping'!$E$28:$E$39,MATCH($A1059,'Category Mapping'!$A$28:$A$39,0),1))</f>
        <v>1629714285.7142854</v>
      </c>
      <c r="N1059" s="27">
        <f>N479*IF($E1059="weekday",INDEX('Category Mapping'!$F$28:$F$39,MATCH('Summarized Source Data'!$A1059,'Category Mapping'!$A$28:$A$39,0),1),INDEX('Category Mapping'!$E$28:$E$39,MATCH($A1059,'Category Mapping'!$A$28:$A$39,0),1))</f>
        <v>0</v>
      </c>
      <c r="O1059" s="27">
        <f>O479*IF($E1059="weekday",INDEX('Category Mapping'!$F$28:$F$39,MATCH('Summarized Source Data'!$A1059,'Category Mapping'!$A$28:$A$39,0),1),INDEX('Category Mapping'!$E$28:$E$39,MATCH($A1059,'Category Mapping'!$A$28:$A$39,0),1))</f>
        <v>876270100.28571415</v>
      </c>
      <c r="P1059" s="27">
        <f>P479*IF($E1059="weekday",INDEX('Category Mapping'!$F$28:$F$39,MATCH('Summarized Source Data'!$A1059,'Category Mapping'!$A$28:$A$39,0),1),INDEX('Category Mapping'!$E$28:$E$39,MATCH($A1059,'Category Mapping'!$A$28:$A$39,0),1))</f>
        <v>876270100.28571415</v>
      </c>
      <c r="Q1059" s="27">
        <f>Q479*IF($E1059="weekday",INDEX('Category Mapping'!$F$28:$F$39,MATCH('Summarized Source Data'!$A1059,'Category Mapping'!$A$28:$A$39,0),1),INDEX('Category Mapping'!$E$28:$E$39,MATCH($A1059,'Category Mapping'!$A$28:$A$39,0),1))</f>
        <v>876270100.28571415</v>
      </c>
      <c r="R1059" s="27">
        <f>R479*IF($E1059="weekday",INDEX('Category Mapping'!$F$28:$F$39,MATCH('Summarized Source Data'!$A1059,'Category Mapping'!$A$28:$A$39,0),1),INDEX('Category Mapping'!$E$28:$E$39,MATCH($A1059,'Category Mapping'!$A$28:$A$39,0),1))</f>
        <v>48943428.857142851</v>
      </c>
      <c r="S1059" s="27">
        <f>S479*IF($E1059="weekday",INDEX('Category Mapping'!$F$28:$F$39,MATCH('Summarized Source Data'!$A1059,'Category Mapping'!$A$28:$A$39,0),1),INDEX('Category Mapping'!$E$28:$E$39,MATCH($A1059,'Category Mapping'!$A$28:$A$39,0),1))</f>
        <v>48943428.857142851</v>
      </c>
      <c r="T1059" s="27">
        <f>T479*IF($E1059="weekday",INDEX('Category Mapping'!$F$28:$F$39,MATCH('Summarized Source Data'!$A1059,'Category Mapping'!$A$28:$A$39,0),1),INDEX('Category Mapping'!$E$28:$E$39,MATCH($A1059,'Category Mapping'!$A$28:$A$39,0),1))</f>
        <v>48943428.857142851</v>
      </c>
      <c r="U1059" s="27">
        <f>U479*IF($E1059="weekday",INDEX('Category Mapping'!$F$28:$F$39,MATCH('Summarized Source Data'!$A1059,'Category Mapping'!$A$28:$A$39,0),1),INDEX('Category Mapping'!$E$28:$E$39,MATCH($A1059,'Category Mapping'!$A$28:$A$39,0),1))</f>
        <v>48943428.857142851</v>
      </c>
      <c r="V1059" s="27">
        <f>V479*IF($E1059="weekday",INDEX('Category Mapping'!$F$28:$F$39,MATCH('Summarized Source Data'!$A1059,'Category Mapping'!$A$28:$A$39,0),1),INDEX('Category Mapping'!$E$28:$E$39,MATCH($A1059,'Category Mapping'!$A$28:$A$39,0),1))</f>
        <v>48943428.857142851</v>
      </c>
      <c r="W1059" s="27">
        <f>W479*IF($E1059="weekday",INDEX('Category Mapping'!$F$28:$F$39,MATCH('Summarized Source Data'!$A1059,'Category Mapping'!$A$28:$A$39,0),1),INDEX('Category Mapping'!$E$28:$E$39,MATCH($A1059,'Category Mapping'!$A$28:$A$39,0),1))</f>
        <v>48943428.857142851</v>
      </c>
      <c r="X1059" s="27">
        <f>X479*IF($E1059="weekday",INDEX('Category Mapping'!$F$28:$F$39,MATCH('Summarized Source Data'!$A1059,'Category Mapping'!$A$28:$A$39,0),1),INDEX('Category Mapping'!$E$28:$E$39,MATCH($A1059,'Category Mapping'!$A$28:$A$39,0),1))</f>
        <v>3099999999.9999995</v>
      </c>
      <c r="Y1059" s="27">
        <f>Y479*IF($E1059="weekday",INDEX('Category Mapping'!$F$28:$F$39,MATCH('Summarized Source Data'!$A1059,'Category Mapping'!$A$28:$A$39,0),1),INDEX('Category Mapping'!$E$28:$E$39,MATCH($A1059,'Category Mapping'!$A$28:$A$39,0),1))</f>
        <v>3099999999.9999995</v>
      </c>
      <c r="Z1059" s="27">
        <f>Z479*IF($E1059="weekday",INDEX('Category Mapping'!$F$28:$F$39,MATCH('Summarized Source Data'!$A1059,'Category Mapping'!$A$28:$A$39,0),1),INDEX('Category Mapping'!$E$28:$E$39,MATCH($A1059,'Category Mapping'!$A$28:$A$39,0),1))</f>
        <v>3099999999.9999995</v>
      </c>
    </row>
    <row r="1060" spans="1:26" x14ac:dyDescent="0.3">
      <c r="A1060">
        <f t="shared" ref="A1060:E1060" si="525">A480</f>
        <v>8</v>
      </c>
      <c r="B1060" t="str">
        <f t="shared" si="525"/>
        <v>Summer</v>
      </c>
      <c r="C1060" t="str">
        <f t="shared" si="525"/>
        <v>h21</v>
      </c>
      <c r="D1060" t="str">
        <f t="shared" si="525"/>
        <v>Hour20</v>
      </c>
      <c r="E1060" t="str">
        <f t="shared" si="525"/>
        <v>Weekend</v>
      </c>
      <c r="F1060" s="27">
        <f>F480*IF($E1060="weekday",INDEX('Category Mapping'!$F$28:$F$39,MATCH('Summarized Source Data'!$A1060,'Category Mapping'!$A$28:$A$39,0),1),INDEX('Category Mapping'!$E$28:$E$39,MATCH($A1060,'Category Mapping'!$A$28:$A$39,0),1))</f>
        <v>416763.99999999994</v>
      </c>
      <c r="G1060" s="27">
        <f>G480*IF($E1060="weekday",INDEX('Category Mapping'!$F$28:$F$39,MATCH('Summarized Source Data'!$A1060,'Category Mapping'!$A$28:$A$39,0),1),INDEX('Category Mapping'!$E$28:$E$39,MATCH($A1060,'Category Mapping'!$A$28:$A$39,0),1))</f>
        <v>400342857.14285707</v>
      </c>
      <c r="H1060" s="27">
        <f>H480*IF($E1060="weekday",INDEX('Category Mapping'!$F$28:$F$39,MATCH('Summarized Source Data'!$A1060,'Category Mapping'!$A$28:$A$39,0),1),INDEX('Category Mapping'!$E$28:$E$39,MATCH($A1060,'Category Mapping'!$A$28:$A$39,0),1))</f>
        <v>0</v>
      </c>
      <c r="I1060" s="27">
        <f>I480*IF($E1060="weekday",INDEX('Category Mapping'!$F$28:$F$39,MATCH('Summarized Source Data'!$A1060,'Category Mapping'!$A$28:$A$39,0),1),INDEX('Category Mapping'!$E$28:$E$39,MATCH($A1060,'Category Mapping'!$A$28:$A$39,0),1))</f>
        <v>262171428.57142854</v>
      </c>
      <c r="J1060" s="27">
        <f>J480*IF($E1060="weekday",INDEX('Category Mapping'!$F$28:$F$39,MATCH('Summarized Source Data'!$A1060,'Category Mapping'!$A$28:$A$39,0),1),INDEX('Category Mapping'!$E$28:$E$39,MATCH($A1060,'Category Mapping'!$A$28:$A$39,0),1))</f>
        <v>701068950.28571415</v>
      </c>
      <c r="K1060" s="27">
        <f>K480*IF($E1060="weekday",INDEX('Category Mapping'!$F$28:$F$39,MATCH('Summarized Source Data'!$A1060,'Category Mapping'!$A$28:$A$39,0),1),INDEX('Category Mapping'!$E$28:$E$39,MATCH($A1060,'Category Mapping'!$A$28:$A$39,0),1))</f>
        <v>701068950.28571415</v>
      </c>
      <c r="L1060" s="27">
        <f>L480*IF($E1060="weekday",INDEX('Category Mapping'!$F$28:$F$39,MATCH('Summarized Source Data'!$A1060,'Category Mapping'!$A$28:$A$39,0),1),INDEX('Category Mapping'!$E$28:$E$39,MATCH($A1060,'Category Mapping'!$A$28:$A$39,0),1))</f>
        <v>587042.57142857136</v>
      </c>
      <c r="M1060" s="27">
        <f>M480*IF($E1060="weekday",INDEX('Category Mapping'!$F$28:$F$39,MATCH('Summarized Source Data'!$A1060,'Category Mapping'!$A$28:$A$39,0),1),INDEX('Category Mapping'!$E$28:$E$39,MATCH($A1060,'Category Mapping'!$A$28:$A$39,0),1))</f>
        <v>1505714285.7142856</v>
      </c>
      <c r="N1060" s="27">
        <f>N480*IF($E1060="weekday",INDEX('Category Mapping'!$F$28:$F$39,MATCH('Summarized Source Data'!$A1060,'Category Mapping'!$A$28:$A$39,0),1),INDEX('Category Mapping'!$E$28:$E$39,MATCH($A1060,'Category Mapping'!$A$28:$A$39,0),1))</f>
        <v>0</v>
      </c>
      <c r="O1060" s="27">
        <f>O480*IF($E1060="weekday",INDEX('Category Mapping'!$F$28:$F$39,MATCH('Summarized Source Data'!$A1060,'Category Mapping'!$A$28:$A$39,0),1),INDEX('Category Mapping'!$E$28:$E$39,MATCH($A1060,'Category Mapping'!$A$28:$A$39,0),1))</f>
        <v>831984385.99999988</v>
      </c>
      <c r="P1060" s="27">
        <f>P480*IF($E1060="weekday",INDEX('Category Mapping'!$F$28:$F$39,MATCH('Summarized Source Data'!$A1060,'Category Mapping'!$A$28:$A$39,0),1),INDEX('Category Mapping'!$E$28:$E$39,MATCH($A1060,'Category Mapping'!$A$28:$A$39,0),1))</f>
        <v>831984385.99999988</v>
      </c>
      <c r="Q1060" s="27">
        <f>Q480*IF($E1060="weekday",INDEX('Category Mapping'!$F$28:$F$39,MATCH('Summarized Source Data'!$A1060,'Category Mapping'!$A$28:$A$39,0),1),INDEX('Category Mapping'!$E$28:$E$39,MATCH($A1060,'Category Mapping'!$A$28:$A$39,0),1))</f>
        <v>831984385.99999988</v>
      </c>
      <c r="R1060" s="27">
        <f>R480*IF($E1060="weekday",INDEX('Category Mapping'!$F$28:$F$39,MATCH('Summarized Source Data'!$A1060,'Category Mapping'!$A$28:$A$39,0),1),INDEX('Category Mapping'!$E$28:$E$39,MATCH($A1060,'Category Mapping'!$A$28:$A$39,0),1))</f>
        <v>47335689.142857134</v>
      </c>
      <c r="S1060" s="27">
        <f>S480*IF($E1060="weekday",INDEX('Category Mapping'!$F$28:$F$39,MATCH('Summarized Source Data'!$A1060,'Category Mapping'!$A$28:$A$39,0),1),INDEX('Category Mapping'!$E$28:$E$39,MATCH($A1060,'Category Mapping'!$A$28:$A$39,0),1))</f>
        <v>47335689.142857134</v>
      </c>
      <c r="T1060" s="27">
        <f>T480*IF($E1060="weekday",INDEX('Category Mapping'!$F$28:$F$39,MATCH('Summarized Source Data'!$A1060,'Category Mapping'!$A$28:$A$39,0),1),INDEX('Category Mapping'!$E$28:$E$39,MATCH($A1060,'Category Mapping'!$A$28:$A$39,0),1))</f>
        <v>47335689.142857134</v>
      </c>
      <c r="U1060" s="27">
        <f>U480*IF($E1060="weekday",INDEX('Category Mapping'!$F$28:$F$39,MATCH('Summarized Source Data'!$A1060,'Category Mapping'!$A$28:$A$39,0),1),INDEX('Category Mapping'!$E$28:$E$39,MATCH($A1060,'Category Mapping'!$A$28:$A$39,0),1))</f>
        <v>47335689.142857134</v>
      </c>
      <c r="V1060" s="27">
        <f>V480*IF($E1060="weekday",INDEX('Category Mapping'!$F$28:$F$39,MATCH('Summarized Source Data'!$A1060,'Category Mapping'!$A$28:$A$39,0),1),INDEX('Category Mapping'!$E$28:$E$39,MATCH($A1060,'Category Mapping'!$A$28:$A$39,0),1))</f>
        <v>47335689.142857134</v>
      </c>
      <c r="W1060" s="27">
        <f>W480*IF($E1060="weekday",INDEX('Category Mapping'!$F$28:$F$39,MATCH('Summarized Source Data'!$A1060,'Category Mapping'!$A$28:$A$39,0),1),INDEX('Category Mapping'!$E$28:$E$39,MATCH($A1060,'Category Mapping'!$A$28:$A$39,0),1))</f>
        <v>47335689.142857134</v>
      </c>
      <c r="X1060" s="27">
        <f>X480*IF($E1060="weekday",INDEX('Category Mapping'!$F$28:$F$39,MATCH('Summarized Source Data'!$A1060,'Category Mapping'!$A$28:$A$39,0),1),INDEX('Category Mapping'!$E$28:$E$39,MATCH($A1060,'Category Mapping'!$A$28:$A$39,0),1))</f>
        <v>3082285714.2857137</v>
      </c>
      <c r="Y1060" s="27">
        <f>Y480*IF($E1060="weekday",INDEX('Category Mapping'!$F$28:$F$39,MATCH('Summarized Source Data'!$A1060,'Category Mapping'!$A$28:$A$39,0),1),INDEX('Category Mapping'!$E$28:$E$39,MATCH($A1060,'Category Mapping'!$A$28:$A$39,0),1))</f>
        <v>3082285714.2857137</v>
      </c>
      <c r="Z1060" s="27">
        <f>Z480*IF($E1060="weekday",INDEX('Category Mapping'!$F$28:$F$39,MATCH('Summarized Source Data'!$A1060,'Category Mapping'!$A$28:$A$39,0),1),INDEX('Category Mapping'!$E$28:$E$39,MATCH($A1060,'Category Mapping'!$A$28:$A$39,0),1))</f>
        <v>3082285714.2857137</v>
      </c>
    </row>
    <row r="1061" spans="1:26" x14ac:dyDescent="0.3">
      <c r="A1061">
        <f t="shared" ref="A1061:E1061" si="526">A481</f>
        <v>8</v>
      </c>
      <c r="B1061" t="str">
        <f t="shared" si="526"/>
        <v>Summer</v>
      </c>
      <c r="C1061" t="str">
        <f t="shared" si="526"/>
        <v>h22</v>
      </c>
      <c r="D1061" t="str">
        <f t="shared" si="526"/>
        <v>Hour21</v>
      </c>
      <c r="E1061" t="str">
        <f t="shared" si="526"/>
        <v>Weekend</v>
      </c>
      <c r="F1061" s="27">
        <f>F481*IF($E1061="weekday",INDEX('Category Mapping'!$F$28:$F$39,MATCH('Summarized Source Data'!$A1061,'Category Mapping'!$A$28:$A$39,0),1),INDEX('Category Mapping'!$E$28:$E$39,MATCH($A1061,'Category Mapping'!$A$28:$A$39,0),1))</f>
        <v>368563.42857142852</v>
      </c>
      <c r="G1061" s="27">
        <f>G481*IF($E1061="weekday",INDEX('Category Mapping'!$F$28:$F$39,MATCH('Summarized Source Data'!$A1061,'Category Mapping'!$A$28:$A$39,0),1),INDEX('Category Mapping'!$E$28:$E$39,MATCH($A1061,'Category Mapping'!$A$28:$A$39,0),1))</f>
        <v>354285714.28571421</v>
      </c>
      <c r="H1061" s="27">
        <f>H481*IF($E1061="weekday",INDEX('Category Mapping'!$F$28:$F$39,MATCH('Summarized Source Data'!$A1061,'Category Mapping'!$A$28:$A$39,0),1),INDEX('Category Mapping'!$E$28:$E$39,MATCH($A1061,'Category Mapping'!$A$28:$A$39,0),1))</f>
        <v>0</v>
      </c>
      <c r="I1061" s="27">
        <f>I481*IF($E1061="weekday",INDEX('Category Mapping'!$F$28:$F$39,MATCH('Summarized Source Data'!$A1061,'Category Mapping'!$A$28:$A$39,0),1),INDEX('Category Mapping'!$E$28:$E$39,MATCH($A1061,'Category Mapping'!$A$28:$A$39,0),1))</f>
        <v>216114285.71428567</v>
      </c>
      <c r="J1061" s="27">
        <f>J481*IF($E1061="weekday",INDEX('Category Mapping'!$F$28:$F$39,MATCH('Summarized Source Data'!$A1061,'Category Mapping'!$A$28:$A$39,0),1),INDEX('Category Mapping'!$E$28:$E$39,MATCH($A1061,'Category Mapping'!$A$28:$A$39,0),1))</f>
        <v>642660007.99999988</v>
      </c>
      <c r="K1061" s="27">
        <f>K481*IF($E1061="weekday",INDEX('Category Mapping'!$F$28:$F$39,MATCH('Summarized Source Data'!$A1061,'Category Mapping'!$A$28:$A$39,0),1),INDEX('Category Mapping'!$E$28:$E$39,MATCH($A1061,'Category Mapping'!$A$28:$A$39,0),1))</f>
        <v>642660007.99999988</v>
      </c>
      <c r="L1061" s="27">
        <f>L481*IF($E1061="weekday",INDEX('Category Mapping'!$F$28:$F$39,MATCH('Summarized Source Data'!$A1061,'Category Mapping'!$A$28:$A$39,0),1),INDEX('Category Mapping'!$E$28:$E$39,MATCH($A1061,'Category Mapping'!$A$28:$A$39,0),1))</f>
        <v>587042.57142857136</v>
      </c>
      <c r="M1061" s="27">
        <f>M481*IF($E1061="weekday",INDEX('Category Mapping'!$F$28:$F$39,MATCH('Summarized Source Data'!$A1061,'Category Mapping'!$A$28:$A$39,0),1),INDEX('Category Mapping'!$E$28:$E$39,MATCH($A1061,'Category Mapping'!$A$28:$A$39,0),1))</f>
        <v>1372857142.8571427</v>
      </c>
      <c r="N1061" s="27">
        <f>N481*IF($E1061="weekday",INDEX('Category Mapping'!$F$28:$F$39,MATCH('Summarized Source Data'!$A1061,'Category Mapping'!$A$28:$A$39,0),1),INDEX('Category Mapping'!$E$28:$E$39,MATCH($A1061,'Category Mapping'!$A$28:$A$39,0),1))</f>
        <v>0</v>
      </c>
      <c r="O1061" s="27">
        <f>O481*IF($E1061="weekday",INDEX('Category Mapping'!$F$28:$F$39,MATCH('Summarized Source Data'!$A1061,'Category Mapping'!$A$28:$A$39,0),1),INDEX('Category Mapping'!$E$28:$E$39,MATCH($A1061,'Category Mapping'!$A$28:$A$39,0),1))</f>
        <v>778841528.85714269</v>
      </c>
      <c r="P1061" s="27">
        <f>P481*IF($E1061="weekday",INDEX('Category Mapping'!$F$28:$F$39,MATCH('Summarized Source Data'!$A1061,'Category Mapping'!$A$28:$A$39,0),1),INDEX('Category Mapping'!$E$28:$E$39,MATCH($A1061,'Category Mapping'!$A$28:$A$39,0),1))</f>
        <v>778841528.85714269</v>
      </c>
      <c r="Q1061" s="27">
        <f>Q481*IF($E1061="weekday",INDEX('Category Mapping'!$F$28:$F$39,MATCH('Summarized Source Data'!$A1061,'Category Mapping'!$A$28:$A$39,0),1),INDEX('Category Mapping'!$E$28:$E$39,MATCH($A1061,'Category Mapping'!$A$28:$A$39,0),1))</f>
        <v>778841528.85714269</v>
      </c>
      <c r="R1061" s="27">
        <f>R481*IF($E1061="weekday",INDEX('Category Mapping'!$F$28:$F$39,MATCH('Summarized Source Data'!$A1061,'Category Mapping'!$A$28:$A$39,0),1),INDEX('Category Mapping'!$E$28:$E$39,MATCH($A1061,'Category Mapping'!$A$28:$A$39,0),1))</f>
        <v>45520497.428571425</v>
      </c>
      <c r="S1061" s="27">
        <f>S481*IF($E1061="weekday",INDEX('Category Mapping'!$F$28:$F$39,MATCH('Summarized Source Data'!$A1061,'Category Mapping'!$A$28:$A$39,0),1),INDEX('Category Mapping'!$E$28:$E$39,MATCH($A1061,'Category Mapping'!$A$28:$A$39,0),1))</f>
        <v>45520497.428571425</v>
      </c>
      <c r="T1061" s="27">
        <f>T481*IF($E1061="weekday",INDEX('Category Mapping'!$F$28:$F$39,MATCH('Summarized Source Data'!$A1061,'Category Mapping'!$A$28:$A$39,0),1),INDEX('Category Mapping'!$E$28:$E$39,MATCH($A1061,'Category Mapping'!$A$28:$A$39,0),1))</f>
        <v>45520497.428571425</v>
      </c>
      <c r="U1061" s="27">
        <f>U481*IF($E1061="weekday",INDEX('Category Mapping'!$F$28:$F$39,MATCH('Summarized Source Data'!$A1061,'Category Mapping'!$A$28:$A$39,0),1),INDEX('Category Mapping'!$E$28:$E$39,MATCH($A1061,'Category Mapping'!$A$28:$A$39,0),1))</f>
        <v>45520497.428571425</v>
      </c>
      <c r="V1061" s="27">
        <f>V481*IF($E1061="weekday",INDEX('Category Mapping'!$F$28:$F$39,MATCH('Summarized Source Data'!$A1061,'Category Mapping'!$A$28:$A$39,0),1),INDEX('Category Mapping'!$E$28:$E$39,MATCH($A1061,'Category Mapping'!$A$28:$A$39,0),1))</f>
        <v>45520497.428571425</v>
      </c>
      <c r="W1061" s="27">
        <f>W481*IF($E1061="weekday",INDEX('Category Mapping'!$F$28:$F$39,MATCH('Summarized Source Data'!$A1061,'Category Mapping'!$A$28:$A$39,0),1),INDEX('Category Mapping'!$E$28:$E$39,MATCH($A1061,'Category Mapping'!$A$28:$A$39,0),1))</f>
        <v>45520497.428571425</v>
      </c>
      <c r="X1061" s="27">
        <f>X481*IF($E1061="weekday",INDEX('Category Mapping'!$F$28:$F$39,MATCH('Summarized Source Data'!$A1061,'Category Mapping'!$A$28:$A$39,0),1),INDEX('Category Mapping'!$E$28:$E$39,MATCH($A1061,'Category Mapping'!$A$28:$A$39,0),1))</f>
        <v>3046857142.8571424</v>
      </c>
      <c r="Y1061" s="27">
        <f>Y481*IF($E1061="weekday",INDEX('Category Mapping'!$F$28:$F$39,MATCH('Summarized Source Data'!$A1061,'Category Mapping'!$A$28:$A$39,0),1),INDEX('Category Mapping'!$E$28:$E$39,MATCH($A1061,'Category Mapping'!$A$28:$A$39,0),1))</f>
        <v>3046857142.8571424</v>
      </c>
      <c r="Z1061" s="27">
        <f>Z481*IF($E1061="weekday",INDEX('Category Mapping'!$F$28:$F$39,MATCH('Summarized Source Data'!$A1061,'Category Mapping'!$A$28:$A$39,0),1),INDEX('Category Mapping'!$E$28:$E$39,MATCH($A1061,'Category Mapping'!$A$28:$A$39,0),1))</f>
        <v>3046857142.8571424</v>
      </c>
    </row>
    <row r="1062" spans="1:26" x14ac:dyDescent="0.3">
      <c r="A1062">
        <f t="shared" ref="A1062:E1062" si="527">A482</f>
        <v>8</v>
      </c>
      <c r="B1062" t="str">
        <f t="shared" si="527"/>
        <v>Summer</v>
      </c>
      <c r="C1062" t="str">
        <f t="shared" si="527"/>
        <v>h23</v>
      </c>
      <c r="D1062" t="str">
        <f t="shared" si="527"/>
        <v>Hour22</v>
      </c>
      <c r="E1062" t="str">
        <f t="shared" si="527"/>
        <v>Weekend</v>
      </c>
      <c r="F1062" s="27">
        <f>F482*IF($E1062="weekday",INDEX('Category Mapping'!$F$28:$F$39,MATCH('Summarized Source Data'!$A1062,'Category Mapping'!$A$28:$A$39,0),1),INDEX('Category Mapping'!$E$28:$E$39,MATCH($A1062,'Category Mapping'!$A$28:$A$39,0),1))</f>
        <v>286785.42857142852</v>
      </c>
      <c r="G1062" s="27">
        <f>G482*IF($E1062="weekday",INDEX('Category Mapping'!$F$28:$F$39,MATCH('Summarized Source Data'!$A1062,'Category Mapping'!$A$28:$A$39,0),1),INDEX('Category Mapping'!$E$28:$E$39,MATCH($A1062,'Category Mapping'!$A$28:$A$39,0),1))</f>
        <v>306457142.85714281</v>
      </c>
      <c r="H1062" s="27">
        <f>H482*IF($E1062="weekday",INDEX('Category Mapping'!$F$28:$F$39,MATCH('Summarized Source Data'!$A1062,'Category Mapping'!$A$28:$A$39,0),1),INDEX('Category Mapping'!$E$28:$E$39,MATCH($A1062,'Category Mapping'!$A$28:$A$39,0),1))</f>
        <v>0</v>
      </c>
      <c r="I1062" s="27">
        <f>I482*IF($E1062="weekday",INDEX('Category Mapping'!$F$28:$F$39,MATCH('Summarized Source Data'!$A1062,'Category Mapping'!$A$28:$A$39,0),1),INDEX('Category Mapping'!$E$28:$E$39,MATCH($A1062,'Category Mapping'!$A$28:$A$39,0),1))</f>
        <v>139942857.14285713</v>
      </c>
      <c r="J1062" s="27">
        <f>J482*IF($E1062="weekday",INDEX('Category Mapping'!$F$28:$F$39,MATCH('Summarized Source Data'!$A1062,'Category Mapping'!$A$28:$A$39,0),1),INDEX('Category Mapping'!$E$28:$E$39,MATCH($A1062,'Category Mapping'!$A$28:$A$39,0),1))</f>
        <v>536456071.71428561</v>
      </c>
      <c r="K1062" s="27">
        <f>K482*IF($E1062="weekday",INDEX('Category Mapping'!$F$28:$F$39,MATCH('Summarized Source Data'!$A1062,'Category Mapping'!$A$28:$A$39,0),1),INDEX('Category Mapping'!$E$28:$E$39,MATCH($A1062,'Category Mapping'!$A$28:$A$39,0),1))</f>
        <v>536456071.71428561</v>
      </c>
      <c r="L1062" s="27">
        <f>L482*IF($E1062="weekday",INDEX('Category Mapping'!$F$28:$F$39,MATCH('Summarized Source Data'!$A1062,'Category Mapping'!$A$28:$A$39,0),1),INDEX('Category Mapping'!$E$28:$E$39,MATCH($A1062,'Category Mapping'!$A$28:$A$39,0),1))</f>
        <v>587042.57142857136</v>
      </c>
      <c r="M1062" s="27">
        <f>M482*IF($E1062="weekday",INDEX('Category Mapping'!$F$28:$F$39,MATCH('Summarized Source Data'!$A1062,'Category Mapping'!$A$28:$A$39,0),1),INDEX('Category Mapping'!$E$28:$E$39,MATCH($A1062,'Category Mapping'!$A$28:$A$39,0),1))</f>
        <v>1248857142.8571427</v>
      </c>
      <c r="N1062" s="27">
        <f>N482*IF($E1062="weekday",INDEX('Category Mapping'!$F$28:$F$39,MATCH('Summarized Source Data'!$A1062,'Category Mapping'!$A$28:$A$39,0),1),INDEX('Category Mapping'!$E$28:$E$39,MATCH($A1062,'Category Mapping'!$A$28:$A$39,0),1))</f>
        <v>0</v>
      </c>
      <c r="O1062" s="27">
        <f>O482*IF($E1062="weekday",INDEX('Category Mapping'!$F$28:$F$39,MATCH('Summarized Source Data'!$A1062,'Category Mapping'!$A$28:$A$39,0),1),INDEX('Category Mapping'!$E$28:$E$39,MATCH($A1062,'Category Mapping'!$A$28:$A$39,0),1))</f>
        <v>734555814.57142842</v>
      </c>
      <c r="P1062" s="27">
        <f>P482*IF($E1062="weekday",INDEX('Category Mapping'!$F$28:$F$39,MATCH('Summarized Source Data'!$A1062,'Category Mapping'!$A$28:$A$39,0),1),INDEX('Category Mapping'!$E$28:$E$39,MATCH($A1062,'Category Mapping'!$A$28:$A$39,0),1))</f>
        <v>734555814.57142842</v>
      </c>
      <c r="Q1062" s="27">
        <f>Q482*IF($E1062="weekday",INDEX('Category Mapping'!$F$28:$F$39,MATCH('Summarized Source Data'!$A1062,'Category Mapping'!$A$28:$A$39,0),1),INDEX('Category Mapping'!$E$28:$E$39,MATCH($A1062,'Category Mapping'!$A$28:$A$39,0),1))</f>
        <v>734555814.57142842</v>
      </c>
      <c r="R1062" s="27">
        <f>R482*IF($E1062="weekday",INDEX('Category Mapping'!$F$28:$F$39,MATCH('Summarized Source Data'!$A1062,'Category Mapping'!$A$28:$A$39,0),1),INDEX('Category Mapping'!$E$28:$E$39,MATCH($A1062,'Category Mapping'!$A$28:$A$39,0),1))</f>
        <v>44898150.285714276</v>
      </c>
      <c r="S1062" s="27">
        <f>S482*IF($E1062="weekday",INDEX('Category Mapping'!$F$28:$F$39,MATCH('Summarized Source Data'!$A1062,'Category Mapping'!$A$28:$A$39,0),1),INDEX('Category Mapping'!$E$28:$E$39,MATCH($A1062,'Category Mapping'!$A$28:$A$39,0),1))</f>
        <v>44898150.285714276</v>
      </c>
      <c r="T1062" s="27">
        <f>T482*IF($E1062="weekday",INDEX('Category Mapping'!$F$28:$F$39,MATCH('Summarized Source Data'!$A1062,'Category Mapping'!$A$28:$A$39,0),1),INDEX('Category Mapping'!$E$28:$E$39,MATCH($A1062,'Category Mapping'!$A$28:$A$39,0),1))</f>
        <v>44898150.285714276</v>
      </c>
      <c r="U1062" s="27">
        <f>U482*IF($E1062="weekday",INDEX('Category Mapping'!$F$28:$F$39,MATCH('Summarized Source Data'!$A1062,'Category Mapping'!$A$28:$A$39,0),1),INDEX('Category Mapping'!$E$28:$E$39,MATCH($A1062,'Category Mapping'!$A$28:$A$39,0),1))</f>
        <v>44898150.285714276</v>
      </c>
      <c r="V1062" s="27">
        <f>V482*IF($E1062="weekday",INDEX('Category Mapping'!$F$28:$F$39,MATCH('Summarized Source Data'!$A1062,'Category Mapping'!$A$28:$A$39,0),1),INDEX('Category Mapping'!$E$28:$E$39,MATCH($A1062,'Category Mapping'!$A$28:$A$39,0),1))</f>
        <v>44898150.285714276</v>
      </c>
      <c r="W1062" s="27">
        <f>W482*IF($E1062="weekday",INDEX('Category Mapping'!$F$28:$F$39,MATCH('Summarized Source Data'!$A1062,'Category Mapping'!$A$28:$A$39,0),1),INDEX('Category Mapping'!$E$28:$E$39,MATCH($A1062,'Category Mapping'!$A$28:$A$39,0),1))</f>
        <v>44898150.285714276</v>
      </c>
      <c r="X1062" s="27">
        <f>X482*IF($E1062="weekday",INDEX('Category Mapping'!$F$28:$F$39,MATCH('Summarized Source Data'!$A1062,'Category Mapping'!$A$28:$A$39,0),1),INDEX('Category Mapping'!$E$28:$E$39,MATCH($A1062,'Category Mapping'!$A$28:$A$39,0),1))</f>
        <v>3020285714.2857137</v>
      </c>
      <c r="Y1062" s="27">
        <f>Y482*IF($E1062="weekday",INDEX('Category Mapping'!$F$28:$F$39,MATCH('Summarized Source Data'!$A1062,'Category Mapping'!$A$28:$A$39,0),1),INDEX('Category Mapping'!$E$28:$E$39,MATCH($A1062,'Category Mapping'!$A$28:$A$39,0),1))</f>
        <v>3020285714.2857137</v>
      </c>
      <c r="Z1062" s="27">
        <f>Z482*IF($E1062="weekday",INDEX('Category Mapping'!$F$28:$F$39,MATCH('Summarized Source Data'!$A1062,'Category Mapping'!$A$28:$A$39,0),1),INDEX('Category Mapping'!$E$28:$E$39,MATCH($A1062,'Category Mapping'!$A$28:$A$39,0),1))</f>
        <v>3020285714.2857137</v>
      </c>
    </row>
    <row r="1063" spans="1:26" x14ac:dyDescent="0.3">
      <c r="A1063">
        <f t="shared" ref="A1063:E1063" si="528">A483</f>
        <v>8</v>
      </c>
      <c r="B1063" t="str">
        <f t="shared" si="528"/>
        <v>Summer</v>
      </c>
      <c r="C1063" t="str">
        <f t="shared" si="528"/>
        <v>h24</v>
      </c>
      <c r="D1063" t="str">
        <f t="shared" si="528"/>
        <v>Hour23</v>
      </c>
      <c r="E1063" t="str">
        <f t="shared" si="528"/>
        <v>Weekend</v>
      </c>
      <c r="F1063" s="27">
        <f>F483*IF($E1063="weekday",INDEX('Category Mapping'!$F$28:$F$39,MATCH('Summarized Source Data'!$A1063,'Category Mapping'!$A$28:$A$39,0),1),INDEX('Category Mapping'!$E$28:$E$39,MATCH($A1063,'Category Mapping'!$A$28:$A$39,0),1))</f>
        <v>245953.99999999997</v>
      </c>
      <c r="G1063" s="27">
        <f>G483*IF($E1063="weekday",INDEX('Category Mapping'!$F$28:$F$39,MATCH('Summarized Source Data'!$A1063,'Category Mapping'!$A$28:$A$39,0),1),INDEX('Category Mapping'!$E$28:$E$39,MATCH($A1063,'Category Mapping'!$A$28:$A$39,0),1))</f>
        <v>263057142.85714281</v>
      </c>
      <c r="H1063" s="27">
        <f>H483*IF($E1063="weekday",INDEX('Category Mapping'!$F$28:$F$39,MATCH('Summarized Source Data'!$A1063,'Category Mapping'!$A$28:$A$39,0),1),INDEX('Category Mapping'!$E$28:$E$39,MATCH($A1063,'Category Mapping'!$A$28:$A$39,0),1))</f>
        <v>0</v>
      </c>
      <c r="I1063" s="27">
        <f>I483*IF($E1063="weekday",INDEX('Category Mapping'!$F$28:$F$39,MATCH('Summarized Source Data'!$A1063,'Category Mapping'!$A$28:$A$39,0),1),INDEX('Category Mapping'!$E$28:$E$39,MATCH($A1063,'Category Mapping'!$A$28:$A$39,0),1))</f>
        <v>78065262.857142851</v>
      </c>
      <c r="J1063" s="27">
        <f>J483*IF($E1063="weekday",INDEX('Category Mapping'!$F$28:$F$39,MATCH('Summarized Source Data'!$A1063,'Category Mapping'!$A$28:$A$39,0),1),INDEX('Category Mapping'!$E$28:$E$39,MATCH($A1063,'Category Mapping'!$A$28:$A$39,0),1))</f>
        <v>430974497.42857134</v>
      </c>
      <c r="K1063" s="27">
        <f>K483*IF($E1063="weekday",INDEX('Category Mapping'!$F$28:$F$39,MATCH('Summarized Source Data'!$A1063,'Category Mapping'!$A$28:$A$39,0),1),INDEX('Category Mapping'!$E$28:$E$39,MATCH($A1063,'Category Mapping'!$A$28:$A$39,0),1))</f>
        <v>430974497.42857134</v>
      </c>
      <c r="L1063" s="27">
        <f>L483*IF($E1063="weekday",INDEX('Category Mapping'!$F$28:$F$39,MATCH('Summarized Source Data'!$A1063,'Category Mapping'!$A$28:$A$39,0),1),INDEX('Category Mapping'!$E$28:$E$39,MATCH($A1063,'Category Mapping'!$A$28:$A$39,0),1))</f>
        <v>587042.57142857136</v>
      </c>
      <c r="M1063" s="27">
        <f>M483*IF($E1063="weekday",INDEX('Category Mapping'!$F$28:$F$39,MATCH('Summarized Source Data'!$A1063,'Category Mapping'!$A$28:$A$39,0),1),INDEX('Category Mapping'!$E$28:$E$39,MATCH($A1063,'Category Mapping'!$A$28:$A$39,0),1))</f>
        <v>1124857142.8571427</v>
      </c>
      <c r="N1063" s="27">
        <f>N483*IF($E1063="weekday",INDEX('Category Mapping'!$F$28:$F$39,MATCH('Summarized Source Data'!$A1063,'Category Mapping'!$A$28:$A$39,0),1),INDEX('Category Mapping'!$E$28:$E$39,MATCH($A1063,'Category Mapping'!$A$28:$A$39,0),1))</f>
        <v>0</v>
      </c>
      <c r="O1063" s="27">
        <f>O483*IF($E1063="weekday",INDEX('Category Mapping'!$F$28:$F$39,MATCH('Summarized Source Data'!$A1063,'Category Mapping'!$A$28:$A$39,0),1),INDEX('Category Mapping'!$E$28:$E$39,MATCH($A1063,'Category Mapping'!$A$28:$A$39,0),1))</f>
        <v>681412957.42857134</v>
      </c>
      <c r="P1063" s="27">
        <f>P483*IF($E1063="weekday",INDEX('Category Mapping'!$F$28:$F$39,MATCH('Summarized Source Data'!$A1063,'Category Mapping'!$A$28:$A$39,0),1),INDEX('Category Mapping'!$E$28:$E$39,MATCH($A1063,'Category Mapping'!$A$28:$A$39,0),1))</f>
        <v>681412957.42857134</v>
      </c>
      <c r="Q1063" s="27">
        <f>Q483*IF($E1063="weekday",INDEX('Category Mapping'!$F$28:$F$39,MATCH('Summarized Source Data'!$A1063,'Category Mapping'!$A$28:$A$39,0),1),INDEX('Category Mapping'!$E$28:$E$39,MATCH($A1063,'Category Mapping'!$A$28:$A$39,0),1))</f>
        <v>681412957.42857134</v>
      </c>
      <c r="R1063" s="27">
        <f>R483*IF($E1063="weekday",INDEX('Category Mapping'!$F$28:$F$39,MATCH('Summarized Source Data'!$A1063,'Category Mapping'!$A$28:$A$39,0),1),INDEX('Category Mapping'!$E$28:$E$39,MATCH($A1063,'Category Mapping'!$A$28:$A$39,0),1))</f>
        <v>30177038.571428567</v>
      </c>
      <c r="S1063" s="27">
        <f>S483*IF($E1063="weekday",INDEX('Category Mapping'!$F$28:$F$39,MATCH('Summarized Source Data'!$A1063,'Category Mapping'!$A$28:$A$39,0),1),INDEX('Category Mapping'!$E$28:$E$39,MATCH($A1063,'Category Mapping'!$A$28:$A$39,0),1))</f>
        <v>30177038.571428567</v>
      </c>
      <c r="T1063" s="27">
        <f>T483*IF($E1063="weekday",INDEX('Category Mapping'!$F$28:$F$39,MATCH('Summarized Source Data'!$A1063,'Category Mapping'!$A$28:$A$39,0),1),INDEX('Category Mapping'!$E$28:$E$39,MATCH($A1063,'Category Mapping'!$A$28:$A$39,0),1))</f>
        <v>30177038.571428567</v>
      </c>
      <c r="U1063" s="27">
        <f>U483*IF($E1063="weekday",INDEX('Category Mapping'!$F$28:$F$39,MATCH('Summarized Source Data'!$A1063,'Category Mapping'!$A$28:$A$39,0),1),INDEX('Category Mapping'!$E$28:$E$39,MATCH($A1063,'Category Mapping'!$A$28:$A$39,0),1))</f>
        <v>30177038.571428567</v>
      </c>
      <c r="V1063" s="27">
        <f>V483*IF($E1063="weekday",INDEX('Category Mapping'!$F$28:$F$39,MATCH('Summarized Source Data'!$A1063,'Category Mapping'!$A$28:$A$39,0),1),INDEX('Category Mapping'!$E$28:$E$39,MATCH($A1063,'Category Mapping'!$A$28:$A$39,0),1))</f>
        <v>30177038.571428567</v>
      </c>
      <c r="W1063" s="27">
        <f>W483*IF($E1063="weekday",INDEX('Category Mapping'!$F$28:$F$39,MATCH('Summarized Source Data'!$A1063,'Category Mapping'!$A$28:$A$39,0),1),INDEX('Category Mapping'!$E$28:$E$39,MATCH($A1063,'Category Mapping'!$A$28:$A$39,0),1))</f>
        <v>30177038.571428567</v>
      </c>
      <c r="X1063" s="27">
        <f>X483*IF($E1063="weekday",INDEX('Category Mapping'!$F$28:$F$39,MATCH('Summarized Source Data'!$A1063,'Category Mapping'!$A$28:$A$39,0),1),INDEX('Category Mapping'!$E$28:$E$39,MATCH($A1063,'Category Mapping'!$A$28:$A$39,0),1))</f>
        <v>3002571428.5714283</v>
      </c>
      <c r="Y1063" s="27">
        <f>Y483*IF($E1063="weekday",INDEX('Category Mapping'!$F$28:$F$39,MATCH('Summarized Source Data'!$A1063,'Category Mapping'!$A$28:$A$39,0),1),INDEX('Category Mapping'!$E$28:$E$39,MATCH($A1063,'Category Mapping'!$A$28:$A$39,0),1))</f>
        <v>3002571428.5714283</v>
      </c>
      <c r="Z1063" s="27">
        <f>Z483*IF($E1063="weekday",INDEX('Category Mapping'!$F$28:$F$39,MATCH('Summarized Source Data'!$A1063,'Category Mapping'!$A$28:$A$39,0),1),INDEX('Category Mapping'!$E$28:$E$39,MATCH($A1063,'Category Mapping'!$A$28:$A$39,0),1))</f>
        <v>3002571428.5714283</v>
      </c>
    </row>
    <row r="1064" spans="1:26" x14ac:dyDescent="0.3">
      <c r="A1064">
        <f t="shared" ref="A1064:E1064" si="529">A484</f>
        <v>9</v>
      </c>
      <c r="B1064" t="str">
        <f t="shared" si="529"/>
        <v>Fall</v>
      </c>
      <c r="C1064" t="str">
        <f t="shared" si="529"/>
        <v>h1</v>
      </c>
      <c r="D1064" t="str">
        <f t="shared" si="529"/>
        <v>Hour0</v>
      </c>
      <c r="E1064" t="str">
        <f t="shared" si="529"/>
        <v>Weekend</v>
      </c>
      <c r="F1064" s="27">
        <f>F484*IF($E1064="weekday",INDEX('Category Mapping'!$F$28:$F$39,MATCH('Summarized Source Data'!$A1064,'Category Mapping'!$A$28:$A$39,0),1),INDEX('Category Mapping'!$E$28:$E$39,MATCH($A1064,'Category Mapping'!$A$28:$A$39,0),1))</f>
        <v>2358257.1428571427</v>
      </c>
      <c r="G1064" s="27">
        <f>G484*IF($E1064="weekday",INDEX('Category Mapping'!$F$28:$F$39,MATCH('Summarized Source Data'!$A1064,'Category Mapping'!$A$28:$A$39,0),1),INDEX('Category Mapping'!$E$28:$E$39,MATCH($A1064,'Category Mapping'!$A$28:$A$39,0),1))</f>
        <v>10428582.857142856</v>
      </c>
      <c r="H1064" s="27">
        <f>H484*IF($E1064="weekday",INDEX('Category Mapping'!$F$28:$F$39,MATCH('Summarized Source Data'!$A1064,'Category Mapping'!$A$28:$A$39,0),1),INDEX('Category Mapping'!$E$28:$E$39,MATCH($A1064,'Category Mapping'!$A$28:$A$39,0),1))</f>
        <v>0</v>
      </c>
      <c r="I1064" s="27">
        <f>I484*IF($E1064="weekday",INDEX('Category Mapping'!$F$28:$F$39,MATCH('Summarized Source Data'!$A1064,'Category Mapping'!$A$28:$A$39,0),1),INDEX('Category Mapping'!$E$28:$E$39,MATCH($A1064,'Category Mapping'!$A$28:$A$39,0),1))</f>
        <v>53806380</v>
      </c>
      <c r="J1064" s="27">
        <f>J484*IF($E1064="weekday",INDEX('Category Mapping'!$F$28:$F$39,MATCH('Summarized Source Data'!$A1064,'Category Mapping'!$A$28:$A$39,0),1),INDEX('Category Mapping'!$E$28:$E$39,MATCH($A1064,'Category Mapping'!$A$28:$A$39,0),1))</f>
        <v>315692494.28571427</v>
      </c>
      <c r="K1064" s="27">
        <f>K484*IF($E1064="weekday",INDEX('Category Mapping'!$F$28:$F$39,MATCH('Summarized Source Data'!$A1064,'Category Mapping'!$A$28:$A$39,0),1),INDEX('Category Mapping'!$E$28:$E$39,MATCH($A1064,'Category Mapping'!$A$28:$A$39,0),1))</f>
        <v>315692494.28571427</v>
      </c>
      <c r="L1064" s="27">
        <f>L484*IF($E1064="weekday",INDEX('Category Mapping'!$F$28:$F$39,MATCH('Summarized Source Data'!$A1064,'Category Mapping'!$A$28:$A$39,0),1),INDEX('Category Mapping'!$E$28:$E$39,MATCH($A1064,'Category Mapping'!$A$28:$A$39,0),1))</f>
        <v>5761062.8571428573</v>
      </c>
      <c r="M1064" s="27">
        <f>M484*IF($E1064="weekday",INDEX('Category Mapping'!$F$28:$F$39,MATCH('Summarized Source Data'!$A1064,'Category Mapping'!$A$28:$A$39,0),1),INDEX('Category Mapping'!$E$28:$E$39,MATCH($A1064,'Category Mapping'!$A$28:$A$39,0),1))</f>
        <v>232285714.28571427</v>
      </c>
      <c r="N1064" s="27">
        <f>N484*IF($E1064="weekday",INDEX('Category Mapping'!$F$28:$F$39,MATCH('Summarized Source Data'!$A1064,'Category Mapping'!$A$28:$A$39,0),1),INDEX('Category Mapping'!$E$28:$E$39,MATCH($A1064,'Category Mapping'!$A$28:$A$39,0),1))</f>
        <v>0</v>
      </c>
      <c r="O1064" s="27">
        <f>O484*IF($E1064="weekday",INDEX('Category Mapping'!$F$28:$F$39,MATCH('Summarized Source Data'!$A1064,'Category Mapping'!$A$28:$A$39,0),1),INDEX('Category Mapping'!$E$28:$E$39,MATCH($A1064,'Category Mapping'!$A$28:$A$39,0),1))</f>
        <v>661953222.85714281</v>
      </c>
      <c r="P1064" s="27">
        <f>P484*IF($E1064="weekday",INDEX('Category Mapping'!$F$28:$F$39,MATCH('Summarized Source Data'!$A1064,'Category Mapping'!$A$28:$A$39,0),1),INDEX('Category Mapping'!$E$28:$E$39,MATCH($A1064,'Category Mapping'!$A$28:$A$39,0),1))</f>
        <v>661953222.85714281</v>
      </c>
      <c r="Q1064" s="27">
        <f>Q484*IF($E1064="weekday",INDEX('Category Mapping'!$F$28:$F$39,MATCH('Summarized Source Data'!$A1064,'Category Mapping'!$A$28:$A$39,0),1),INDEX('Category Mapping'!$E$28:$E$39,MATCH($A1064,'Category Mapping'!$A$28:$A$39,0),1))</f>
        <v>661953222.85714281</v>
      </c>
      <c r="R1064" s="27">
        <f>R484*IF($E1064="weekday",INDEX('Category Mapping'!$F$28:$F$39,MATCH('Summarized Source Data'!$A1064,'Category Mapping'!$A$28:$A$39,0),1),INDEX('Category Mapping'!$E$28:$E$39,MATCH($A1064,'Category Mapping'!$A$28:$A$39,0),1))</f>
        <v>21772174.285714284</v>
      </c>
      <c r="S1064" s="27">
        <f>S484*IF($E1064="weekday",INDEX('Category Mapping'!$F$28:$F$39,MATCH('Summarized Source Data'!$A1064,'Category Mapping'!$A$28:$A$39,0),1),INDEX('Category Mapping'!$E$28:$E$39,MATCH($A1064,'Category Mapping'!$A$28:$A$39,0),1))</f>
        <v>21772174.285714284</v>
      </c>
      <c r="T1064" s="27">
        <f>T484*IF($E1064="weekday",INDEX('Category Mapping'!$F$28:$F$39,MATCH('Summarized Source Data'!$A1064,'Category Mapping'!$A$28:$A$39,0),1),INDEX('Category Mapping'!$E$28:$E$39,MATCH($A1064,'Category Mapping'!$A$28:$A$39,0),1))</f>
        <v>21772174.285714284</v>
      </c>
      <c r="U1064" s="27">
        <f>U484*IF($E1064="weekday",INDEX('Category Mapping'!$F$28:$F$39,MATCH('Summarized Source Data'!$A1064,'Category Mapping'!$A$28:$A$39,0),1),INDEX('Category Mapping'!$E$28:$E$39,MATCH($A1064,'Category Mapping'!$A$28:$A$39,0),1))</f>
        <v>21772174.285714284</v>
      </c>
      <c r="V1064" s="27">
        <f>V484*IF($E1064="weekday",INDEX('Category Mapping'!$F$28:$F$39,MATCH('Summarized Source Data'!$A1064,'Category Mapping'!$A$28:$A$39,0),1),INDEX('Category Mapping'!$E$28:$E$39,MATCH($A1064,'Category Mapping'!$A$28:$A$39,0),1))</f>
        <v>21772174.285714284</v>
      </c>
      <c r="W1064" s="27">
        <f>W484*IF($E1064="weekday",INDEX('Category Mapping'!$F$28:$F$39,MATCH('Summarized Source Data'!$A1064,'Category Mapping'!$A$28:$A$39,0),1),INDEX('Category Mapping'!$E$28:$E$39,MATCH($A1064,'Category Mapping'!$A$28:$A$39,0),1))</f>
        <v>21772174.285714284</v>
      </c>
      <c r="X1064" s="27">
        <f>X484*IF($E1064="weekday",INDEX('Category Mapping'!$F$28:$F$39,MATCH('Summarized Source Data'!$A1064,'Category Mapping'!$A$28:$A$39,0),1),INDEX('Category Mapping'!$E$28:$E$39,MATCH($A1064,'Category Mapping'!$A$28:$A$39,0),1))</f>
        <v>2914285714.2857141</v>
      </c>
      <c r="Y1064" s="27">
        <f>Y484*IF($E1064="weekday",INDEX('Category Mapping'!$F$28:$F$39,MATCH('Summarized Source Data'!$A1064,'Category Mapping'!$A$28:$A$39,0),1),INDEX('Category Mapping'!$E$28:$E$39,MATCH($A1064,'Category Mapping'!$A$28:$A$39,0),1))</f>
        <v>2914285714.2857141</v>
      </c>
      <c r="Z1064" s="27">
        <f>Z484*IF($E1064="weekday",INDEX('Category Mapping'!$F$28:$F$39,MATCH('Summarized Source Data'!$A1064,'Category Mapping'!$A$28:$A$39,0),1),INDEX('Category Mapping'!$E$28:$E$39,MATCH($A1064,'Category Mapping'!$A$28:$A$39,0),1))</f>
        <v>2914285714.2857141</v>
      </c>
    </row>
    <row r="1065" spans="1:26" x14ac:dyDescent="0.3">
      <c r="A1065">
        <f t="shared" ref="A1065:E1065" si="530">A485</f>
        <v>9</v>
      </c>
      <c r="B1065" t="str">
        <f t="shared" si="530"/>
        <v>Fall</v>
      </c>
      <c r="C1065" t="str">
        <f t="shared" si="530"/>
        <v>h2</v>
      </c>
      <c r="D1065" t="str">
        <f t="shared" si="530"/>
        <v>Hour1</v>
      </c>
      <c r="E1065" t="str">
        <f t="shared" si="530"/>
        <v>Weekend</v>
      </c>
      <c r="F1065" s="27">
        <f>F485*IF($E1065="weekday",INDEX('Category Mapping'!$F$28:$F$39,MATCH('Summarized Source Data'!$A1065,'Category Mapping'!$A$28:$A$39,0),1),INDEX('Category Mapping'!$E$28:$E$39,MATCH($A1065,'Category Mapping'!$A$28:$A$39,0),1))</f>
        <v>2358257.1428571427</v>
      </c>
      <c r="G1065" s="27">
        <f>G485*IF($E1065="weekday",INDEX('Category Mapping'!$F$28:$F$39,MATCH('Summarized Source Data'!$A1065,'Category Mapping'!$A$28:$A$39,0),1),INDEX('Category Mapping'!$E$28:$E$39,MATCH($A1065,'Category Mapping'!$A$28:$A$39,0),1))</f>
        <v>9495480</v>
      </c>
      <c r="H1065" s="27">
        <f>H485*IF($E1065="weekday",INDEX('Category Mapping'!$F$28:$F$39,MATCH('Summarized Source Data'!$A1065,'Category Mapping'!$A$28:$A$39,0),1),INDEX('Category Mapping'!$E$28:$E$39,MATCH($A1065,'Category Mapping'!$A$28:$A$39,0),1))</f>
        <v>0</v>
      </c>
      <c r="I1065" s="27">
        <f>I485*IF($E1065="weekday",INDEX('Category Mapping'!$F$28:$F$39,MATCH('Summarized Source Data'!$A1065,'Category Mapping'!$A$28:$A$39,0),1),INDEX('Category Mapping'!$E$28:$E$39,MATCH($A1065,'Category Mapping'!$A$28:$A$39,0),1))</f>
        <v>46488377.142857142</v>
      </c>
      <c r="J1065" s="27">
        <f>J485*IF($E1065="weekday",INDEX('Category Mapping'!$F$28:$F$39,MATCH('Summarized Source Data'!$A1065,'Category Mapping'!$A$28:$A$39,0),1),INDEX('Category Mapping'!$E$28:$E$39,MATCH($A1065,'Category Mapping'!$A$28:$A$39,0),1))</f>
        <v>245086457.14285713</v>
      </c>
      <c r="K1065" s="27">
        <f>K485*IF($E1065="weekday",INDEX('Category Mapping'!$F$28:$F$39,MATCH('Summarized Source Data'!$A1065,'Category Mapping'!$A$28:$A$39,0),1),INDEX('Category Mapping'!$E$28:$E$39,MATCH($A1065,'Category Mapping'!$A$28:$A$39,0),1))</f>
        <v>245086457.14285713</v>
      </c>
      <c r="L1065" s="27">
        <f>L485*IF($E1065="weekday",INDEX('Category Mapping'!$F$28:$F$39,MATCH('Summarized Source Data'!$A1065,'Category Mapping'!$A$28:$A$39,0),1),INDEX('Category Mapping'!$E$28:$E$39,MATCH($A1065,'Category Mapping'!$A$28:$A$39,0),1))</f>
        <v>5609202.8571428573</v>
      </c>
      <c r="M1065" s="27">
        <f>M485*IF($E1065="weekday",INDEX('Category Mapping'!$F$28:$F$39,MATCH('Summarized Source Data'!$A1065,'Category Mapping'!$A$28:$A$39,0),1),INDEX('Category Mapping'!$E$28:$E$39,MATCH($A1065,'Category Mapping'!$A$28:$A$39,0),1))</f>
        <v>227142857.14285713</v>
      </c>
      <c r="N1065" s="27">
        <f>N485*IF($E1065="weekday",INDEX('Category Mapping'!$F$28:$F$39,MATCH('Summarized Source Data'!$A1065,'Category Mapping'!$A$28:$A$39,0),1),INDEX('Category Mapping'!$E$28:$E$39,MATCH($A1065,'Category Mapping'!$A$28:$A$39,0),1))</f>
        <v>0</v>
      </c>
      <c r="O1065" s="27">
        <f>O485*IF($E1065="weekday",INDEX('Category Mapping'!$F$28:$F$39,MATCH('Summarized Source Data'!$A1065,'Category Mapping'!$A$28:$A$39,0),1),INDEX('Category Mapping'!$E$28:$E$39,MATCH($A1065,'Category Mapping'!$A$28:$A$39,0),1))</f>
        <v>578962225.71428573</v>
      </c>
      <c r="P1065" s="27">
        <f>P485*IF($E1065="weekday",INDEX('Category Mapping'!$F$28:$F$39,MATCH('Summarized Source Data'!$A1065,'Category Mapping'!$A$28:$A$39,0),1),INDEX('Category Mapping'!$E$28:$E$39,MATCH($A1065,'Category Mapping'!$A$28:$A$39,0),1))</f>
        <v>578962225.71428573</v>
      </c>
      <c r="Q1065" s="27">
        <f>Q485*IF($E1065="weekday",INDEX('Category Mapping'!$F$28:$F$39,MATCH('Summarized Source Data'!$A1065,'Category Mapping'!$A$28:$A$39,0),1),INDEX('Category Mapping'!$E$28:$E$39,MATCH($A1065,'Category Mapping'!$A$28:$A$39,0),1))</f>
        <v>578962225.71428573</v>
      </c>
      <c r="R1065" s="27">
        <f>R485*IF($E1065="weekday",INDEX('Category Mapping'!$F$28:$F$39,MATCH('Summarized Source Data'!$A1065,'Category Mapping'!$A$28:$A$39,0),1),INDEX('Category Mapping'!$E$28:$E$39,MATCH($A1065,'Category Mapping'!$A$28:$A$39,0),1))</f>
        <v>20668002.857142858</v>
      </c>
      <c r="S1065" s="27">
        <f>S485*IF($E1065="weekday",INDEX('Category Mapping'!$F$28:$F$39,MATCH('Summarized Source Data'!$A1065,'Category Mapping'!$A$28:$A$39,0),1),INDEX('Category Mapping'!$E$28:$E$39,MATCH($A1065,'Category Mapping'!$A$28:$A$39,0),1))</f>
        <v>20668002.857142858</v>
      </c>
      <c r="T1065" s="27">
        <f>T485*IF($E1065="weekday",INDEX('Category Mapping'!$F$28:$F$39,MATCH('Summarized Source Data'!$A1065,'Category Mapping'!$A$28:$A$39,0),1),INDEX('Category Mapping'!$E$28:$E$39,MATCH($A1065,'Category Mapping'!$A$28:$A$39,0),1))</f>
        <v>20668002.857142858</v>
      </c>
      <c r="U1065" s="27">
        <f>U485*IF($E1065="weekday",INDEX('Category Mapping'!$F$28:$F$39,MATCH('Summarized Source Data'!$A1065,'Category Mapping'!$A$28:$A$39,0),1),INDEX('Category Mapping'!$E$28:$E$39,MATCH($A1065,'Category Mapping'!$A$28:$A$39,0),1))</f>
        <v>20668002.857142858</v>
      </c>
      <c r="V1065" s="27">
        <f>V485*IF($E1065="weekday",INDEX('Category Mapping'!$F$28:$F$39,MATCH('Summarized Source Data'!$A1065,'Category Mapping'!$A$28:$A$39,0),1),INDEX('Category Mapping'!$E$28:$E$39,MATCH($A1065,'Category Mapping'!$A$28:$A$39,0),1))</f>
        <v>20668002.857142858</v>
      </c>
      <c r="W1065" s="27">
        <f>W485*IF($E1065="weekday",INDEX('Category Mapping'!$F$28:$F$39,MATCH('Summarized Source Data'!$A1065,'Category Mapping'!$A$28:$A$39,0),1),INDEX('Category Mapping'!$E$28:$E$39,MATCH($A1065,'Category Mapping'!$A$28:$A$39,0),1))</f>
        <v>20668002.857142858</v>
      </c>
      <c r="X1065" s="27">
        <f>X485*IF($E1065="weekday",INDEX('Category Mapping'!$F$28:$F$39,MATCH('Summarized Source Data'!$A1065,'Category Mapping'!$A$28:$A$39,0),1),INDEX('Category Mapping'!$E$28:$E$39,MATCH($A1065,'Category Mapping'!$A$28:$A$39,0),1))</f>
        <v>2914285714.2857141</v>
      </c>
      <c r="Y1065" s="27">
        <f>Y485*IF($E1065="weekday",INDEX('Category Mapping'!$F$28:$F$39,MATCH('Summarized Source Data'!$A1065,'Category Mapping'!$A$28:$A$39,0),1),INDEX('Category Mapping'!$E$28:$E$39,MATCH($A1065,'Category Mapping'!$A$28:$A$39,0),1))</f>
        <v>2914285714.2857141</v>
      </c>
      <c r="Z1065" s="27">
        <f>Z485*IF($E1065="weekday",INDEX('Category Mapping'!$F$28:$F$39,MATCH('Summarized Source Data'!$A1065,'Category Mapping'!$A$28:$A$39,0),1),INDEX('Category Mapping'!$E$28:$E$39,MATCH($A1065,'Category Mapping'!$A$28:$A$39,0),1))</f>
        <v>2914285714.2857141</v>
      </c>
    </row>
    <row r="1066" spans="1:26" x14ac:dyDescent="0.3">
      <c r="A1066">
        <f t="shared" ref="A1066:E1066" si="531">A486</f>
        <v>9</v>
      </c>
      <c r="B1066" t="str">
        <f t="shared" si="531"/>
        <v>Fall</v>
      </c>
      <c r="C1066" t="str">
        <f t="shared" si="531"/>
        <v>h3</v>
      </c>
      <c r="D1066" t="str">
        <f t="shared" si="531"/>
        <v>Hour2</v>
      </c>
      <c r="E1066" t="str">
        <f t="shared" si="531"/>
        <v>Weekend</v>
      </c>
      <c r="F1066" s="27">
        <f>F486*IF($E1066="weekday",INDEX('Category Mapping'!$F$28:$F$39,MATCH('Summarized Source Data'!$A1066,'Category Mapping'!$A$28:$A$39,0),1),INDEX('Category Mapping'!$E$28:$E$39,MATCH($A1066,'Category Mapping'!$A$28:$A$39,0),1))</f>
        <v>2358257.1428571427</v>
      </c>
      <c r="G1066" s="27">
        <f>G486*IF($E1066="weekday",INDEX('Category Mapping'!$F$28:$F$39,MATCH('Summarized Source Data'!$A1066,'Category Mapping'!$A$28:$A$39,0),1),INDEX('Category Mapping'!$E$28:$E$39,MATCH($A1066,'Category Mapping'!$A$28:$A$39,0),1))</f>
        <v>9247534.2857142854</v>
      </c>
      <c r="H1066" s="27">
        <f>H486*IF($E1066="weekday",INDEX('Category Mapping'!$F$28:$F$39,MATCH('Summarized Source Data'!$A1066,'Category Mapping'!$A$28:$A$39,0),1),INDEX('Category Mapping'!$E$28:$E$39,MATCH($A1066,'Category Mapping'!$A$28:$A$39,0),1))</f>
        <v>0</v>
      </c>
      <c r="I1066" s="27">
        <f>I486*IF($E1066="weekday",INDEX('Category Mapping'!$F$28:$F$39,MATCH('Summarized Source Data'!$A1066,'Category Mapping'!$A$28:$A$39,0),1),INDEX('Category Mapping'!$E$28:$E$39,MATCH($A1066,'Category Mapping'!$A$28:$A$39,0),1))</f>
        <v>44899414.285714284</v>
      </c>
      <c r="J1066" s="27">
        <f>J486*IF($E1066="weekday",INDEX('Category Mapping'!$F$28:$F$39,MATCH('Summarized Source Data'!$A1066,'Category Mapping'!$A$28:$A$39,0),1),INDEX('Category Mapping'!$E$28:$E$39,MATCH($A1066,'Category Mapping'!$A$28:$A$39,0),1))</f>
        <v>191209080</v>
      </c>
      <c r="K1066" s="27">
        <f>K486*IF($E1066="weekday",INDEX('Category Mapping'!$F$28:$F$39,MATCH('Summarized Source Data'!$A1066,'Category Mapping'!$A$28:$A$39,0),1),INDEX('Category Mapping'!$E$28:$E$39,MATCH($A1066,'Category Mapping'!$A$28:$A$39,0),1))</f>
        <v>191209080</v>
      </c>
      <c r="L1066" s="27">
        <f>L486*IF($E1066="weekday",INDEX('Category Mapping'!$F$28:$F$39,MATCH('Summarized Source Data'!$A1066,'Category Mapping'!$A$28:$A$39,0),1),INDEX('Category Mapping'!$E$28:$E$39,MATCH($A1066,'Category Mapping'!$A$28:$A$39,0),1))</f>
        <v>5732588.5714285709</v>
      </c>
      <c r="M1066" s="27">
        <f>M486*IF($E1066="weekday",INDEX('Category Mapping'!$F$28:$F$39,MATCH('Summarized Source Data'!$A1066,'Category Mapping'!$A$28:$A$39,0),1),INDEX('Category Mapping'!$E$28:$E$39,MATCH($A1066,'Category Mapping'!$A$28:$A$39,0),1))</f>
        <v>224571428.57142857</v>
      </c>
      <c r="N1066" s="27">
        <f>N486*IF($E1066="weekday",INDEX('Category Mapping'!$F$28:$F$39,MATCH('Summarized Source Data'!$A1066,'Category Mapping'!$A$28:$A$39,0),1),INDEX('Category Mapping'!$E$28:$E$39,MATCH($A1066,'Category Mapping'!$A$28:$A$39,0),1))</f>
        <v>0</v>
      </c>
      <c r="O1066" s="27">
        <f>O486*IF($E1066="weekday",INDEX('Category Mapping'!$F$28:$F$39,MATCH('Summarized Source Data'!$A1066,'Category Mapping'!$A$28:$A$39,0),1),INDEX('Category Mapping'!$E$28:$E$39,MATCH($A1066,'Category Mapping'!$A$28:$A$39,0),1))</f>
        <v>571981697.14285707</v>
      </c>
      <c r="P1066" s="27">
        <f>P486*IF($E1066="weekday",INDEX('Category Mapping'!$F$28:$F$39,MATCH('Summarized Source Data'!$A1066,'Category Mapping'!$A$28:$A$39,0),1),INDEX('Category Mapping'!$E$28:$E$39,MATCH($A1066,'Category Mapping'!$A$28:$A$39,0),1))</f>
        <v>571981697.14285707</v>
      </c>
      <c r="Q1066" s="27">
        <f>Q486*IF($E1066="weekday",INDEX('Category Mapping'!$F$28:$F$39,MATCH('Summarized Source Data'!$A1066,'Category Mapping'!$A$28:$A$39,0),1),INDEX('Category Mapping'!$E$28:$E$39,MATCH($A1066,'Category Mapping'!$A$28:$A$39,0),1))</f>
        <v>571981697.14285707</v>
      </c>
      <c r="R1066" s="27">
        <f>R486*IF($E1066="weekday",INDEX('Category Mapping'!$F$28:$F$39,MATCH('Summarized Source Data'!$A1066,'Category Mapping'!$A$28:$A$39,0),1),INDEX('Category Mapping'!$E$28:$E$39,MATCH($A1066,'Category Mapping'!$A$28:$A$39,0),1))</f>
        <v>20366862.857142858</v>
      </c>
      <c r="S1066" s="27">
        <f>S486*IF($E1066="weekday",INDEX('Category Mapping'!$F$28:$F$39,MATCH('Summarized Source Data'!$A1066,'Category Mapping'!$A$28:$A$39,0),1),INDEX('Category Mapping'!$E$28:$E$39,MATCH($A1066,'Category Mapping'!$A$28:$A$39,0),1))</f>
        <v>20366862.857142858</v>
      </c>
      <c r="T1066" s="27">
        <f>T486*IF($E1066="weekday",INDEX('Category Mapping'!$F$28:$F$39,MATCH('Summarized Source Data'!$A1066,'Category Mapping'!$A$28:$A$39,0),1),INDEX('Category Mapping'!$E$28:$E$39,MATCH($A1066,'Category Mapping'!$A$28:$A$39,0),1))</f>
        <v>20366862.857142858</v>
      </c>
      <c r="U1066" s="27">
        <f>U486*IF($E1066="weekday",INDEX('Category Mapping'!$F$28:$F$39,MATCH('Summarized Source Data'!$A1066,'Category Mapping'!$A$28:$A$39,0),1),INDEX('Category Mapping'!$E$28:$E$39,MATCH($A1066,'Category Mapping'!$A$28:$A$39,0),1))</f>
        <v>20366862.857142858</v>
      </c>
      <c r="V1066" s="27">
        <f>V486*IF($E1066="weekday",INDEX('Category Mapping'!$F$28:$F$39,MATCH('Summarized Source Data'!$A1066,'Category Mapping'!$A$28:$A$39,0),1),INDEX('Category Mapping'!$E$28:$E$39,MATCH($A1066,'Category Mapping'!$A$28:$A$39,0),1))</f>
        <v>20366862.857142858</v>
      </c>
      <c r="W1066" s="27">
        <f>W486*IF($E1066="weekday",INDEX('Category Mapping'!$F$28:$F$39,MATCH('Summarized Source Data'!$A1066,'Category Mapping'!$A$28:$A$39,0),1),INDEX('Category Mapping'!$E$28:$E$39,MATCH($A1066,'Category Mapping'!$A$28:$A$39,0),1))</f>
        <v>20366862.857142858</v>
      </c>
      <c r="X1066" s="27">
        <f>X486*IF($E1066="weekday",INDEX('Category Mapping'!$F$28:$F$39,MATCH('Summarized Source Data'!$A1066,'Category Mapping'!$A$28:$A$39,0),1),INDEX('Category Mapping'!$E$28:$E$39,MATCH($A1066,'Category Mapping'!$A$28:$A$39,0),1))</f>
        <v>2914285714.2857141</v>
      </c>
      <c r="Y1066" s="27">
        <f>Y486*IF($E1066="weekday",INDEX('Category Mapping'!$F$28:$F$39,MATCH('Summarized Source Data'!$A1066,'Category Mapping'!$A$28:$A$39,0),1),INDEX('Category Mapping'!$E$28:$E$39,MATCH($A1066,'Category Mapping'!$A$28:$A$39,0),1))</f>
        <v>2914285714.2857141</v>
      </c>
      <c r="Z1066" s="27">
        <f>Z486*IF($E1066="weekday",INDEX('Category Mapping'!$F$28:$F$39,MATCH('Summarized Source Data'!$A1066,'Category Mapping'!$A$28:$A$39,0),1),INDEX('Category Mapping'!$E$28:$E$39,MATCH($A1066,'Category Mapping'!$A$28:$A$39,0),1))</f>
        <v>2914285714.2857141</v>
      </c>
    </row>
    <row r="1067" spans="1:26" x14ac:dyDescent="0.3">
      <c r="A1067">
        <f t="shared" ref="A1067:E1067" si="532">A487</f>
        <v>9</v>
      </c>
      <c r="B1067" t="str">
        <f t="shared" si="532"/>
        <v>Fall</v>
      </c>
      <c r="C1067" t="str">
        <f t="shared" si="532"/>
        <v>h4</v>
      </c>
      <c r="D1067" t="str">
        <f t="shared" si="532"/>
        <v>Hour3</v>
      </c>
      <c r="E1067" t="str">
        <f t="shared" si="532"/>
        <v>Weekend</v>
      </c>
      <c r="F1067" s="27">
        <f>F487*IF($E1067="weekday",INDEX('Category Mapping'!$F$28:$F$39,MATCH('Summarized Source Data'!$A1067,'Category Mapping'!$A$28:$A$39,0),1),INDEX('Category Mapping'!$E$28:$E$39,MATCH($A1067,'Category Mapping'!$A$28:$A$39,0),1))</f>
        <v>2358257.1428571427</v>
      </c>
      <c r="G1067" s="27">
        <f>G487*IF($E1067="weekday",INDEX('Category Mapping'!$F$28:$F$39,MATCH('Summarized Source Data'!$A1067,'Category Mapping'!$A$28:$A$39,0),1),INDEX('Category Mapping'!$E$28:$E$39,MATCH($A1067,'Category Mapping'!$A$28:$A$39,0),1))</f>
        <v>9639840</v>
      </c>
      <c r="H1067" s="27">
        <f>H487*IF($E1067="weekday",INDEX('Category Mapping'!$F$28:$F$39,MATCH('Summarized Source Data'!$A1067,'Category Mapping'!$A$28:$A$39,0),1),INDEX('Category Mapping'!$E$28:$E$39,MATCH($A1067,'Category Mapping'!$A$28:$A$39,0),1))</f>
        <v>0</v>
      </c>
      <c r="I1067" s="27">
        <f>I487*IF($E1067="weekday",INDEX('Category Mapping'!$F$28:$F$39,MATCH('Summarized Source Data'!$A1067,'Category Mapping'!$A$28:$A$39,0),1),INDEX('Category Mapping'!$E$28:$E$39,MATCH($A1067,'Category Mapping'!$A$28:$A$39,0),1))</f>
        <v>44861511.428571425</v>
      </c>
      <c r="J1067" s="27">
        <f>J487*IF($E1067="weekday",INDEX('Category Mapping'!$F$28:$F$39,MATCH('Summarized Source Data'!$A1067,'Category Mapping'!$A$28:$A$39,0),1),INDEX('Category Mapping'!$E$28:$E$39,MATCH($A1067,'Category Mapping'!$A$28:$A$39,0),1))</f>
        <v>157426105.7142857</v>
      </c>
      <c r="K1067" s="27">
        <f>K487*IF($E1067="weekday",INDEX('Category Mapping'!$F$28:$F$39,MATCH('Summarized Source Data'!$A1067,'Category Mapping'!$A$28:$A$39,0),1),INDEX('Category Mapping'!$E$28:$E$39,MATCH($A1067,'Category Mapping'!$A$28:$A$39,0),1))</f>
        <v>157426105.7142857</v>
      </c>
      <c r="L1067" s="27">
        <f>L487*IF($E1067="weekday",INDEX('Category Mapping'!$F$28:$F$39,MATCH('Summarized Source Data'!$A1067,'Category Mapping'!$A$28:$A$39,0),1),INDEX('Category Mapping'!$E$28:$E$39,MATCH($A1067,'Category Mapping'!$A$28:$A$39,0),1))</f>
        <v>5849477.1428571427</v>
      </c>
      <c r="M1067" s="27">
        <f>M487*IF($E1067="weekday",INDEX('Category Mapping'!$F$28:$F$39,MATCH('Summarized Source Data'!$A1067,'Category Mapping'!$A$28:$A$39,0),1),INDEX('Category Mapping'!$E$28:$E$39,MATCH($A1067,'Category Mapping'!$A$28:$A$39,0),1))</f>
        <v>223714285.7142857</v>
      </c>
      <c r="N1067" s="27">
        <f>N487*IF($E1067="weekday",INDEX('Category Mapping'!$F$28:$F$39,MATCH('Summarized Source Data'!$A1067,'Category Mapping'!$A$28:$A$39,0),1),INDEX('Category Mapping'!$E$28:$E$39,MATCH($A1067,'Category Mapping'!$A$28:$A$39,0),1))</f>
        <v>0</v>
      </c>
      <c r="O1067" s="27">
        <f>O487*IF($E1067="weekday",INDEX('Category Mapping'!$F$28:$F$39,MATCH('Summarized Source Data'!$A1067,'Category Mapping'!$A$28:$A$39,0),1),INDEX('Category Mapping'!$E$28:$E$39,MATCH($A1067,'Category Mapping'!$A$28:$A$39,0),1))</f>
        <v>577864808.57142854</v>
      </c>
      <c r="P1067" s="27">
        <f>P487*IF($E1067="weekday",INDEX('Category Mapping'!$F$28:$F$39,MATCH('Summarized Source Data'!$A1067,'Category Mapping'!$A$28:$A$39,0),1),INDEX('Category Mapping'!$E$28:$E$39,MATCH($A1067,'Category Mapping'!$A$28:$A$39,0),1))</f>
        <v>577864808.57142854</v>
      </c>
      <c r="Q1067" s="27">
        <f>Q487*IF($E1067="weekday",INDEX('Category Mapping'!$F$28:$F$39,MATCH('Summarized Source Data'!$A1067,'Category Mapping'!$A$28:$A$39,0),1),INDEX('Category Mapping'!$E$28:$E$39,MATCH($A1067,'Category Mapping'!$A$28:$A$39,0),1))</f>
        <v>577864808.57142854</v>
      </c>
      <c r="R1067" s="27">
        <f>R487*IF($E1067="weekday",INDEX('Category Mapping'!$F$28:$F$39,MATCH('Summarized Source Data'!$A1067,'Category Mapping'!$A$28:$A$39,0),1),INDEX('Category Mapping'!$E$28:$E$39,MATCH($A1067,'Category Mapping'!$A$28:$A$39,0),1))</f>
        <v>20366862.857142858</v>
      </c>
      <c r="S1067" s="27">
        <f>S487*IF($E1067="weekday",INDEX('Category Mapping'!$F$28:$F$39,MATCH('Summarized Source Data'!$A1067,'Category Mapping'!$A$28:$A$39,0),1),INDEX('Category Mapping'!$E$28:$E$39,MATCH($A1067,'Category Mapping'!$A$28:$A$39,0),1))</f>
        <v>20366862.857142858</v>
      </c>
      <c r="T1067" s="27">
        <f>T487*IF($E1067="weekday",INDEX('Category Mapping'!$F$28:$F$39,MATCH('Summarized Source Data'!$A1067,'Category Mapping'!$A$28:$A$39,0),1),INDEX('Category Mapping'!$E$28:$E$39,MATCH($A1067,'Category Mapping'!$A$28:$A$39,0),1))</f>
        <v>20366862.857142858</v>
      </c>
      <c r="U1067" s="27">
        <f>U487*IF($E1067="weekday",INDEX('Category Mapping'!$F$28:$F$39,MATCH('Summarized Source Data'!$A1067,'Category Mapping'!$A$28:$A$39,0),1),INDEX('Category Mapping'!$E$28:$E$39,MATCH($A1067,'Category Mapping'!$A$28:$A$39,0),1))</f>
        <v>20366862.857142858</v>
      </c>
      <c r="V1067" s="27">
        <f>V487*IF($E1067="weekday",INDEX('Category Mapping'!$F$28:$F$39,MATCH('Summarized Source Data'!$A1067,'Category Mapping'!$A$28:$A$39,0),1),INDEX('Category Mapping'!$E$28:$E$39,MATCH($A1067,'Category Mapping'!$A$28:$A$39,0),1))</f>
        <v>20366862.857142858</v>
      </c>
      <c r="W1067" s="27">
        <f>W487*IF($E1067="weekday",INDEX('Category Mapping'!$F$28:$F$39,MATCH('Summarized Source Data'!$A1067,'Category Mapping'!$A$28:$A$39,0),1),INDEX('Category Mapping'!$E$28:$E$39,MATCH($A1067,'Category Mapping'!$A$28:$A$39,0),1))</f>
        <v>20366862.857142858</v>
      </c>
      <c r="X1067" s="27">
        <f>X487*IF($E1067="weekday",INDEX('Category Mapping'!$F$28:$F$39,MATCH('Summarized Source Data'!$A1067,'Category Mapping'!$A$28:$A$39,0),1),INDEX('Category Mapping'!$E$28:$E$39,MATCH($A1067,'Category Mapping'!$A$28:$A$39,0),1))</f>
        <v>2922857142.8571429</v>
      </c>
      <c r="Y1067" s="27">
        <f>Y487*IF($E1067="weekday",INDEX('Category Mapping'!$F$28:$F$39,MATCH('Summarized Source Data'!$A1067,'Category Mapping'!$A$28:$A$39,0),1),INDEX('Category Mapping'!$E$28:$E$39,MATCH($A1067,'Category Mapping'!$A$28:$A$39,0),1))</f>
        <v>2922857142.8571429</v>
      </c>
      <c r="Z1067" s="27">
        <f>Z487*IF($E1067="weekday",INDEX('Category Mapping'!$F$28:$F$39,MATCH('Summarized Source Data'!$A1067,'Category Mapping'!$A$28:$A$39,0),1),INDEX('Category Mapping'!$E$28:$E$39,MATCH($A1067,'Category Mapping'!$A$28:$A$39,0),1))</f>
        <v>2922857142.8571429</v>
      </c>
    </row>
    <row r="1068" spans="1:26" x14ac:dyDescent="0.3">
      <c r="A1068">
        <f t="shared" ref="A1068:E1068" si="533">A488</f>
        <v>9</v>
      </c>
      <c r="B1068" t="str">
        <f t="shared" si="533"/>
        <v>Fall</v>
      </c>
      <c r="C1068" t="str">
        <f t="shared" si="533"/>
        <v>h5</v>
      </c>
      <c r="D1068" t="str">
        <f t="shared" si="533"/>
        <v>Hour4</v>
      </c>
      <c r="E1068" t="str">
        <f t="shared" si="533"/>
        <v>Weekend</v>
      </c>
      <c r="F1068" s="27">
        <f>F488*IF($E1068="weekday",INDEX('Category Mapping'!$F$28:$F$39,MATCH('Summarized Source Data'!$A1068,'Category Mapping'!$A$28:$A$39,0),1),INDEX('Category Mapping'!$E$28:$E$39,MATCH($A1068,'Category Mapping'!$A$28:$A$39,0),1))</f>
        <v>2358257.1428571427</v>
      </c>
      <c r="G1068" s="27">
        <f>G488*IF($E1068="weekday",INDEX('Category Mapping'!$F$28:$F$39,MATCH('Summarized Source Data'!$A1068,'Category Mapping'!$A$28:$A$39,0),1),INDEX('Category Mapping'!$E$28:$E$39,MATCH($A1068,'Category Mapping'!$A$28:$A$39,0),1))</f>
        <v>10714697.142857142</v>
      </c>
      <c r="H1068" s="27">
        <f>H488*IF($E1068="weekday",INDEX('Category Mapping'!$F$28:$F$39,MATCH('Summarized Source Data'!$A1068,'Category Mapping'!$A$28:$A$39,0),1),INDEX('Category Mapping'!$E$28:$E$39,MATCH($A1068,'Category Mapping'!$A$28:$A$39,0),1))</f>
        <v>0</v>
      </c>
      <c r="I1068" s="27">
        <f>I488*IF($E1068="weekday",INDEX('Category Mapping'!$F$28:$F$39,MATCH('Summarized Source Data'!$A1068,'Category Mapping'!$A$28:$A$39,0),1),INDEX('Category Mapping'!$E$28:$E$39,MATCH($A1068,'Category Mapping'!$A$28:$A$39,0),1))</f>
        <v>47221045.714285716</v>
      </c>
      <c r="J1068" s="27">
        <f>J488*IF($E1068="weekday",INDEX('Category Mapping'!$F$28:$F$39,MATCH('Summarized Source Data'!$A1068,'Category Mapping'!$A$28:$A$39,0),1),INDEX('Category Mapping'!$E$28:$E$39,MATCH($A1068,'Category Mapping'!$A$28:$A$39,0),1))</f>
        <v>160848857.14285713</v>
      </c>
      <c r="K1068" s="27">
        <f>K488*IF($E1068="weekday",INDEX('Category Mapping'!$F$28:$F$39,MATCH('Summarized Source Data'!$A1068,'Category Mapping'!$A$28:$A$39,0),1),INDEX('Category Mapping'!$E$28:$E$39,MATCH($A1068,'Category Mapping'!$A$28:$A$39,0),1))</f>
        <v>160848857.14285713</v>
      </c>
      <c r="L1068" s="27">
        <f>L488*IF($E1068="weekday",INDEX('Category Mapping'!$F$28:$F$39,MATCH('Summarized Source Data'!$A1068,'Category Mapping'!$A$28:$A$39,0),1),INDEX('Category Mapping'!$E$28:$E$39,MATCH($A1068,'Category Mapping'!$A$28:$A$39,0),1))</f>
        <v>5787291.4285714282</v>
      </c>
      <c r="M1068" s="27">
        <f>M488*IF($E1068="weekday",INDEX('Category Mapping'!$F$28:$F$39,MATCH('Summarized Source Data'!$A1068,'Category Mapping'!$A$28:$A$39,0),1),INDEX('Category Mapping'!$E$28:$E$39,MATCH($A1068,'Category Mapping'!$A$28:$A$39,0),1))</f>
        <v>224571428.57142857</v>
      </c>
      <c r="N1068" s="27">
        <f>N488*IF($E1068="weekday",INDEX('Category Mapping'!$F$28:$F$39,MATCH('Summarized Source Data'!$A1068,'Category Mapping'!$A$28:$A$39,0),1),INDEX('Category Mapping'!$E$28:$E$39,MATCH($A1068,'Category Mapping'!$A$28:$A$39,0),1))</f>
        <v>0</v>
      </c>
      <c r="O1068" s="27">
        <f>O488*IF($E1068="weekday",INDEX('Category Mapping'!$F$28:$F$39,MATCH('Summarized Source Data'!$A1068,'Category Mapping'!$A$28:$A$39,0),1),INDEX('Category Mapping'!$E$28:$E$39,MATCH($A1068,'Category Mapping'!$A$28:$A$39,0),1))</f>
        <v>585641280</v>
      </c>
      <c r="P1068" s="27">
        <f>P488*IF($E1068="weekday",INDEX('Category Mapping'!$F$28:$F$39,MATCH('Summarized Source Data'!$A1068,'Category Mapping'!$A$28:$A$39,0),1),INDEX('Category Mapping'!$E$28:$E$39,MATCH($A1068,'Category Mapping'!$A$28:$A$39,0),1))</f>
        <v>585641280</v>
      </c>
      <c r="Q1068" s="27">
        <f>Q488*IF($E1068="weekday",INDEX('Category Mapping'!$F$28:$F$39,MATCH('Summarized Source Data'!$A1068,'Category Mapping'!$A$28:$A$39,0),1),INDEX('Category Mapping'!$E$28:$E$39,MATCH($A1068,'Category Mapping'!$A$28:$A$39,0),1))</f>
        <v>585641280</v>
      </c>
      <c r="R1068" s="27">
        <f>R488*IF($E1068="weekday",INDEX('Category Mapping'!$F$28:$F$39,MATCH('Summarized Source Data'!$A1068,'Category Mapping'!$A$28:$A$39,0),1),INDEX('Category Mapping'!$E$28:$E$39,MATCH($A1068,'Category Mapping'!$A$28:$A$39,0),1))</f>
        <v>20266482.857142858</v>
      </c>
      <c r="S1068" s="27">
        <f>S488*IF($E1068="weekday",INDEX('Category Mapping'!$F$28:$F$39,MATCH('Summarized Source Data'!$A1068,'Category Mapping'!$A$28:$A$39,0),1),INDEX('Category Mapping'!$E$28:$E$39,MATCH($A1068,'Category Mapping'!$A$28:$A$39,0),1))</f>
        <v>20266482.857142858</v>
      </c>
      <c r="T1068" s="27">
        <f>T488*IF($E1068="weekday",INDEX('Category Mapping'!$F$28:$F$39,MATCH('Summarized Source Data'!$A1068,'Category Mapping'!$A$28:$A$39,0),1),INDEX('Category Mapping'!$E$28:$E$39,MATCH($A1068,'Category Mapping'!$A$28:$A$39,0),1))</f>
        <v>20266482.857142858</v>
      </c>
      <c r="U1068" s="27">
        <f>U488*IF($E1068="weekday",INDEX('Category Mapping'!$F$28:$F$39,MATCH('Summarized Source Data'!$A1068,'Category Mapping'!$A$28:$A$39,0),1),INDEX('Category Mapping'!$E$28:$E$39,MATCH($A1068,'Category Mapping'!$A$28:$A$39,0),1))</f>
        <v>20266482.857142858</v>
      </c>
      <c r="V1068" s="27">
        <f>V488*IF($E1068="weekday",INDEX('Category Mapping'!$F$28:$F$39,MATCH('Summarized Source Data'!$A1068,'Category Mapping'!$A$28:$A$39,0),1),INDEX('Category Mapping'!$E$28:$E$39,MATCH($A1068,'Category Mapping'!$A$28:$A$39,0),1))</f>
        <v>20266482.857142858</v>
      </c>
      <c r="W1068" s="27">
        <f>W488*IF($E1068="weekday",INDEX('Category Mapping'!$F$28:$F$39,MATCH('Summarized Source Data'!$A1068,'Category Mapping'!$A$28:$A$39,0),1),INDEX('Category Mapping'!$E$28:$E$39,MATCH($A1068,'Category Mapping'!$A$28:$A$39,0),1))</f>
        <v>20266482.857142858</v>
      </c>
      <c r="X1068" s="27">
        <f>X488*IF($E1068="weekday",INDEX('Category Mapping'!$F$28:$F$39,MATCH('Summarized Source Data'!$A1068,'Category Mapping'!$A$28:$A$39,0),1),INDEX('Category Mapping'!$E$28:$E$39,MATCH($A1068,'Category Mapping'!$A$28:$A$39,0),1))</f>
        <v>2940000000</v>
      </c>
      <c r="Y1068" s="27">
        <f>Y488*IF($E1068="weekday",INDEX('Category Mapping'!$F$28:$F$39,MATCH('Summarized Source Data'!$A1068,'Category Mapping'!$A$28:$A$39,0),1),INDEX('Category Mapping'!$E$28:$E$39,MATCH($A1068,'Category Mapping'!$A$28:$A$39,0),1))</f>
        <v>2940000000</v>
      </c>
      <c r="Z1068" s="27">
        <f>Z488*IF($E1068="weekday",INDEX('Category Mapping'!$F$28:$F$39,MATCH('Summarized Source Data'!$A1068,'Category Mapping'!$A$28:$A$39,0),1),INDEX('Category Mapping'!$E$28:$E$39,MATCH($A1068,'Category Mapping'!$A$28:$A$39,0),1))</f>
        <v>2940000000</v>
      </c>
    </row>
    <row r="1069" spans="1:26" x14ac:dyDescent="0.3">
      <c r="A1069">
        <f t="shared" ref="A1069:E1069" si="534">A489</f>
        <v>9</v>
      </c>
      <c r="B1069" t="str">
        <f t="shared" si="534"/>
        <v>Fall</v>
      </c>
      <c r="C1069" t="str">
        <f t="shared" si="534"/>
        <v>h6</v>
      </c>
      <c r="D1069" t="str">
        <f t="shared" si="534"/>
        <v>Hour5</v>
      </c>
      <c r="E1069" t="str">
        <f t="shared" si="534"/>
        <v>Weekend</v>
      </c>
      <c r="F1069" s="27">
        <f>F489*IF($E1069="weekday",INDEX('Category Mapping'!$F$28:$F$39,MATCH('Summarized Source Data'!$A1069,'Category Mapping'!$A$28:$A$39,0),1),INDEX('Category Mapping'!$E$28:$E$39,MATCH($A1069,'Category Mapping'!$A$28:$A$39,0),1))</f>
        <v>3116494.2857142854</v>
      </c>
      <c r="G1069" s="27">
        <f>G489*IF($E1069="weekday",INDEX('Category Mapping'!$F$28:$F$39,MATCH('Summarized Source Data'!$A1069,'Category Mapping'!$A$28:$A$39,0),1),INDEX('Category Mapping'!$E$28:$E$39,MATCH($A1069,'Category Mapping'!$A$28:$A$39,0),1))</f>
        <v>13275231.428571429</v>
      </c>
      <c r="H1069" s="27">
        <f>H489*IF($E1069="weekday",INDEX('Category Mapping'!$F$28:$F$39,MATCH('Summarized Source Data'!$A1069,'Category Mapping'!$A$28:$A$39,0),1),INDEX('Category Mapping'!$E$28:$E$39,MATCH($A1069,'Category Mapping'!$A$28:$A$39,0),1))</f>
        <v>0</v>
      </c>
      <c r="I1069" s="27">
        <f>I489*IF($E1069="weekday",INDEX('Category Mapping'!$F$28:$F$39,MATCH('Summarized Source Data'!$A1069,'Category Mapping'!$A$28:$A$39,0),1),INDEX('Category Mapping'!$E$28:$E$39,MATCH($A1069,'Category Mapping'!$A$28:$A$39,0),1))</f>
        <v>61196794.285714284</v>
      </c>
      <c r="J1069" s="27">
        <f>J489*IF($E1069="weekday",INDEX('Category Mapping'!$F$28:$F$39,MATCH('Summarized Source Data'!$A1069,'Category Mapping'!$A$28:$A$39,0),1),INDEX('Category Mapping'!$E$28:$E$39,MATCH($A1069,'Category Mapping'!$A$28:$A$39,0),1))</f>
        <v>185554337.14285713</v>
      </c>
      <c r="K1069" s="27">
        <f>K489*IF($E1069="weekday",INDEX('Category Mapping'!$F$28:$F$39,MATCH('Summarized Source Data'!$A1069,'Category Mapping'!$A$28:$A$39,0),1),INDEX('Category Mapping'!$E$28:$E$39,MATCH($A1069,'Category Mapping'!$A$28:$A$39,0),1))</f>
        <v>185554337.14285713</v>
      </c>
      <c r="L1069" s="27">
        <f>L489*IF($E1069="weekday",INDEX('Category Mapping'!$F$28:$F$39,MATCH('Summarized Source Data'!$A1069,'Category Mapping'!$A$28:$A$39,0),1),INDEX('Category Mapping'!$E$28:$E$39,MATCH($A1069,'Category Mapping'!$A$28:$A$39,0),1))</f>
        <v>6337962.8571428573</v>
      </c>
      <c r="M1069" s="27">
        <f>M489*IF($E1069="weekday",INDEX('Category Mapping'!$F$28:$F$39,MATCH('Summarized Source Data'!$A1069,'Category Mapping'!$A$28:$A$39,0),1),INDEX('Category Mapping'!$E$28:$E$39,MATCH($A1069,'Category Mapping'!$A$28:$A$39,0),1))</f>
        <v>228857142.85714284</v>
      </c>
      <c r="N1069" s="27">
        <f>N489*IF($E1069="weekday",INDEX('Category Mapping'!$F$28:$F$39,MATCH('Summarized Source Data'!$A1069,'Category Mapping'!$A$28:$A$39,0),1),INDEX('Category Mapping'!$E$28:$E$39,MATCH($A1069,'Category Mapping'!$A$28:$A$39,0),1))</f>
        <v>0</v>
      </c>
      <c r="O1069" s="27">
        <f>O489*IF($E1069="weekday",INDEX('Category Mapping'!$F$28:$F$39,MATCH('Summarized Source Data'!$A1069,'Category Mapping'!$A$28:$A$39,0),1),INDEX('Category Mapping'!$E$28:$E$39,MATCH($A1069,'Category Mapping'!$A$28:$A$39,0),1))</f>
        <v>621947751.42857146</v>
      </c>
      <c r="P1069" s="27">
        <f>P489*IF($E1069="weekday",INDEX('Category Mapping'!$F$28:$F$39,MATCH('Summarized Source Data'!$A1069,'Category Mapping'!$A$28:$A$39,0),1),INDEX('Category Mapping'!$E$28:$E$39,MATCH($A1069,'Category Mapping'!$A$28:$A$39,0),1))</f>
        <v>621947751.42857146</v>
      </c>
      <c r="Q1069" s="27">
        <f>Q489*IF($E1069="weekday",INDEX('Category Mapping'!$F$28:$F$39,MATCH('Summarized Source Data'!$A1069,'Category Mapping'!$A$28:$A$39,0),1),INDEX('Category Mapping'!$E$28:$E$39,MATCH($A1069,'Category Mapping'!$A$28:$A$39,0),1))</f>
        <v>621947751.42857146</v>
      </c>
      <c r="R1069" s="27">
        <f>R489*IF($E1069="weekday",INDEX('Category Mapping'!$F$28:$F$39,MATCH('Summarized Source Data'!$A1069,'Category Mapping'!$A$28:$A$39,0),1),INDEX('Category Mapping'!$E$28:$E$39,MATCH($A1069,'Category Mapping'!$A$28:$A$39,0),1))</f>
        <v>20417057.142857142</v>
      </c>
      <c r="S1069" s="27">
        <f>S489*IF($E1069="weekday",INDEX('Category Mapping'!$F$28:$F$39,MATCH('Summarized Source Data'!$A1069,'Category Mapping'!$A$28:$A$39,0),1),INDEX('Category Mapping'!$E$28:$E$39,MATCH($A1069,'Category Mapping'!$A$28:$A$39,0),1))</f>
        <v>20417057.142857142</v>
      </c>
      <c r="T1069" s="27">
        <f>T489*IF($E1069="weekday",INDEX('Category Mapping'!$F$28:$F$39,MATCH('Summarized Source Data'!$A1069,'Category Mapping'!$A$28:$A$39,0),1),INDEX('Category Mapping'!$E$28:$E$39,MATCH($A1069,'Category Mapping'!$A$28:$A$39,0),1))</f>
        <v>20417057.142857142</v>
      </c>
      <c r="U1069" s="27">
        <f>U489*IF($E1069="weekday",INDEX('Category Mapping'!$F$28:$F$39,MATCH('Summarized Source Data'!$A1069,'Category Mapping'!$A$28:$A$39,0),1),INDEX('Category Mapping'!$E$28:$E$39,MATCH($A1069,'Category Mapping'!$A$28:$A$39,0),1))</f>
        <v>20417057.142857142</v>
      </c>
      <c r="V1069" s="27">
        <f>V489*IF($E1069="weekday",INDEX('Category Mapping'!$F$28:$F$39,MATCH('Summarized Source Data'!$A1069,'Category Mapping'!$A$28:$A$39,0),1),INDEX('Category Mapping'!$E$28:$E$39,MATCH($A1069,'Category Mapping'!$A$28:$A$39,0),1))</f>
        <v>20417057.142857142</v>
      </c>
      <c r="W1069" s="27">
        <f>W489*IF($E1069="weekday",INDEX('Category Mapping'!$F$28:$F$39,MATCH('Summarized Source Data'!$A1069,'Category Mapping'!$A$28:$A$39,0),1),INDEX('Category Mapping'!$E$28:$E$39,MATCH($A1069,'Category Mapping'!$A$28:$A$39,0),1))</f>
        <v>20417057.142857142</v>
      </c>
      <c r="X1069" s="27">
        <f>X489*IF($E1069="weekday",INDEX('Category Mapping'!$F$28:$F$39,MATCH('Summarized Source Data'!$A1069,'Category Mapping'!$A$28:$A$39,0),1),INDEX('Category Mapping'!$E$28:$E$39,MATCH($A1069,'Category Mapping'!$A$28:$A$39,0),1))</f>
        <v>2974285714.2857141</v>
      </c>
      <c r="Y1069" s="27">
        <f>Y489*IF($E1069="weekday",INDEX('Category Mapping'!$F$28:$F$39,MATCH('Summarized Source Data'!$A1069,'Category Mapping'!$A$28:$A$39,0),1),INDEX('Category Mapping'!$E$28:$E$39,MATCH($A1069,'Category Mapping'!$A$28:$A$39,0),1))</f>
        <v>2974285714.2857141</v>
      </c>
      <c r="Z1069" s="27">
        <f>Z489*IF($E1069="weekday",INDEX('Category Mapping'!$F$28:$F$39,MATCH('Summarized Source Data'!$A1069,'Category Mapping'!$A$28:$A$39,0),1),INDEX('Category Mapping'!$E$28:$E$39,MATCH($A1069,'Category Mapping'!$A$28:$A$39,0),1))</f>
        <v>2974285714.2857141</v>
      </c>
    </row>
    <row r="1070" spans="1:26" outlineLevel="1" x14ac:dyDescent="0.3">
      <c r="A1070">
        <f t="shared" ref="A1070:E1070" si="535">A490</f>
        <v>9</v>
      </c>
      <c r="B1070" t="str">
        <f t="shared" si="535"/>
        <v>Fall</v>
      </c>
      <c r="C1070" t="str">
        <f t="shared" si="535"/>
        <v>h7</v>
      </c>
      <c r="D1070" t="str">
        <f t="shared" si="535"/>
        <v>Hour6</v>
      </c>
      <c r="E1070" t="str">
        <f t="shared" si="535"/>
        <v>Weekend</v>
      </c>
      <c r="F1070" s="27">
        <f>F490*IF($E1070="weekday",INDEX('Category Mapping'!$F$28:$F$39,MATCH('Summarized Source Data'!$A1070,'Category Mapping'!$A$28:$A$39,0),1),INDEX('Category Mapping'!$E$28:$E$39,MATCH($A1070,'Category Mapping'!$A$28:$A$39,0),1))</f>
        <v>3560100</v>
      </c>
      <c r="G1070" s="27">
        <f>G490*IF($E1070="weekday",INDEX('Category Mapping'!$F$28:$F$39,MATCH('Summarized Source Data'!$A1070,'Category Mapping'!$A$28:$A$39,0),1),INDEX('Category Mapping'!$E$28:$E$39,MATCH($A1070,'Category Mapping'!$A$28:$A$39,0),1))</f>
        <v>24014374.285714284</v>
      </c>
      <c r="H1070" s="27">
        <f>H490*IF($E1070="weekday",INDEX('Category Mapping'!$F$28:$F$39,MATCH('Summarized Source Data'!$A1070,'Category Mapping'!$A$28:$A$39,0),1),INDEX('Category Mapping'!$E$28:$E$39,MATCH($A1070,'Category Mapping'!$A$28:$A$39,0),1))</f>
        <v>0</v>
      </c>
      <c r="I1070" s="27">
        <f>I490*IF($E1070="weekday",INDEX('Category Mapping'!$F$28:$F$39,MATCH('Summarized Source Data'!$A1070,'Category Mapping'!$A$28:$A$39,0),1),INDEX('Category Mapping'!$E$28:$E$39,MATCH($A1070,'Category Mapping'!$A$28:$A$39,0),1))</f>
        <v>63798068.571428567</v>
      </c>
      <c r="J1070" s="27">
        <f>J490*IF($E1070="weekday",INDEX('Category Mapping'!$F$28:$F$39,MATCH('Summarized Source Data'!$A1070,'Category Mapping'!$A$28:$A$39,0),1),INDEX('Category Mapping'!$E$28:$E$39,MATCH($A1070,'Category Mapping'!$A$28:$A$39,0),1))</f>
        <v>272056028.57142854</v>
      </c>
      <c r="K1070" s="27">
        <f>K490*IF($E1070="weekday",INDEX('Category Mapping'!$F$28:$F$39,MATCH('Summarized Source Data'!$A1070,'Category Mapping'!$A$28:$A$39,0),1),INDEX('Category Mapping'!$E$28:$E$39,MATCH($A1070,'Category Mapping'!$A$28:$A$39,0),1))</f>
        <v>272056028.57142854</v>
      </c>
      <c r="L1070" s="27">
        <f>L490*IF($E1070="weekday",INDEX('Category Mapping'!$F$28:$F$39,MATCH('Summarized Source Data'!$A1070,'Category Mapping'!$A$28:$A$39,0),1),INDEX('Category Mapping'!$E$28:$E$39,MATCH($A1070,'Category Mapping'!$A$28:$A$39,0),1))</f>
        <v>9087685.7142857146</v>
      </c>
      <c r="M1070" s="27">
        <f>M490*IF($E1070="weekday",INDEX('Category Mapping'!$F$28:$F$39,MATCH('Summarized Source Data'!$A1070,'Category Mapping'!$A$28:$A$39,0),1),INDEX('Category Mapping'!$E$28:$E$39,MATCH($A1070,'Category Mapping'!$A$28:$A$39,0),1))</f>
        <v>247714285.7142857</v>
      </c>
      <c r="N1070" s="27">
        <f>N490*IF($E1070="weekday",INDEX('Category Mapping'!$F$28:$F$39,MATCH('Summarized Source Data'!$A1070,'Category Mapping'!$A$28:$A$39,0),1),INDEX('Category Mapping'!$E$28:$E$39,MATCH($A1070,'Category Mapping'!$A$28:$A$39,0),1))</f>
        <v>0</v>
      </c>
      <c r="O1070" s="27">
        <f>O490*IF($E1070="weekday",INDEX('Category Mapping'!$F$28:$F$39,MATCH('Summarized Source Data'!$A1070,'Category Mapping'!$A$28:$A$39,0),1),INDEX('Category Mapping'!$E$28:$E$39,MATCH($A1070,'Category Mapping'!$A$28:$A$39,0),1))</f>
        <v>694626600</v>
      </c>
      <c r="P1070" s="27">
        <f>P490*IF($E1070="weekday",INDEX('Category Mapping'!$F$28:$F$39,MATCH('Summarized Source Data'!$A1070,'Category Mapping'!$A$28:$A$39,0),1),INDEX('Category Mapping'!$E$28:$E$39,MATCH($A1070,'Category Mapping'!$A$28:$A$39,0),1))</f>
        <v>694626600</v>
      </c>
      <c r="Q1070" s="27">
        <f>Q490*IF($E1070="weekday",INDEX('Category Mapping'!$F$28:$F$39,MATCH('Summarized Source Data'!$A1070,'Category Mapping'!$A$28:$A$39,0),1),INDEX('Category Mapping'!$E$28:$E$39,MATCH($A1070,'Category Mapping'!$A$28:$A$39,0),1))</f>
        <v>694626600</v>
      </c>
      <c r="R1070" s="27">
        <f>R490*IF($E1070="weekday",INDEX('Category Mapping'!$F$28:$F$39,MATCH('Summarized Source Data'!$A1070,'Category Mapping'!$A$28:$A$39,0),1),INDEX('Category Mapping'!$E$28:$E$39,MATCH($A1070,'Category Mapping'!$A$28:$A$39,0),1))</f>
        <v>25342920</v>
      </c>
      <c r="S1070" s="27">
        <f>S490*IF($E1070="weekday",INDEX('Category Mapping'!$F$28:$F$39,MATCH('Summarized Source Data'!$A1070,'Category Mapping'!$A$28:$A$39,0),1),INDEX('Category Mapping'!$E$28:$E$39,MATCH($A1070,'Category Mapping'!$A$28:$A$39,0),1))</f>
        <v>25342920</v>
      </c>
      <c r="T1070" s="27">
        <f>T490*IF($E1070="weekday",INDEX('Category Mapping'!$F$28:$F$39,MATCH('Summarized Source Data'!$A1070,'Category Mapping'!$A$28:$A$39,0),1),INDEX('Category Mapping'!$E$28:$E$39,MATCH($A1070,'Category Mapping'!$A$28:$A$39,0),1))</f>
        <v>25342920</v>
      </c>
      <c r="U1070" s="27">
        <f>U490*IF($E1070="weekday",INDEX('Category Mapping'!$F$28:$F$39,MATCH('Summarized Source Data'!$A1070,'Category Mapping'!$A$28:$A$39,0),1),INDEX('Category Mapping'!$E$28:$E$39,MATCH($A1070,'Category Mapping'!$A$28:$A$39,0),1))</f>
        <v>25342920</v>
      </c>
      <c r="V1070" s="27">
        <f>V490*IF($E1070="weekday",INDEX('Category Mapping'!$F$28:$F$39,MATCH('Summarized Source Data'!$A1070,'Category Mapping'!$A$28:$A$39,0),1),INDEX('Category Mapping'!$E$28:$E$39,MATCH($A1070,'Category Mapping'!$A$28:$A$39,0),1))</f>
        <v>25342920</v>
      </c>
      <c r="W1070" s="27">
        <f>W490*IF($E1070="weekday",INDEX('Category Mapping'!$F$28:$F$39,MATCH('Summarized Source Data'!$A1070,'Category Mapping'!$A$28:$A$39,0),1),INDEX('Category Mapping'!$E$28:$E$39,MATCH($A1070,'Category Mapping'!$A$28:$A$39,0),1))</f>
        <v>25342920</v>
      </c>
      <c r="X1070" s="27">
        <f>X490*IF($E1070="weekday",INDEX('Category Mapping'!$F$28:$F$39,MATCH('Summarized Source Data'!$A1070,'Category Mapping'!$A$28:$A$39,0),1),INDEX('Category Mapping'!$E$28:$E$39,MATCH($A1070,'Category Mapping'!$A$28:$A$39,0),1))</f>
        <v>2991428571.4285712</v>
      </c>
      <c r="Y1070" s="27">
        <f>Y490*IF($E1070="weekday",INDEX('Category Mapping'!$F$28:$F$39,MATCH('Summarized Source Data'!$A1070,'Category Mapping'!$A$28:$A$39,0),1),INDEX('Category Mapping'!$E$28:$E$39,MATCH($A1070,'Category Mapping'!$A$28:$A$39,0),1))</f>
        <v>2991428571.4285712</v>
      </c>
      <c r="Z1070" s="27">
        <f>Z490*IF($E1070="weekday",INDEX('Category Mapping'!$F$28:$F$39,MATCH('Summarized Source Data'!$A1070,'Category Mapping'!$A$28:$A$39,0),1),INDEX('Category Mapping'!$E$28:$E$39,MATCH($A1070,'Category Mapping'!$A$28:$A$39,0),1))</f>
        <v>2991428571.4285712</v>
      </c>
    </row>
    <row r="1071" spans="1:26" outlineLevel="1" x14ac:dyDescent="0.3">
      <c r="A1071">
        <f t="shared" ref="A1071:E1071" si="536">A491</f>
        <v>9</v>
      </c>
      <c r="B1071" t="str">
        <f t="shared" si="536"/>
        <v>Fall</v>
      </c>
      <c r="C1071" t="str">
        <f t="shared" si="536"/>
        <v>h8</v>
      </c>
      <c r="D1071" t="str">
        <f t="shared" si="536"/>
        <v>Hour7</v>
      </c>
      <c r="E1071" t="str">
        <f t="shared" si="536"/>
        <v>Weekend</v>
      </c>
      <c r="F1071" s="27">
        <f>F491*IF($E1071="weekday",INDEX('Category Mapping'!$F$28:$F$39,MATCH('Summarized Source Data'!$A1071,'Category Mapping'!$A$28:$A$39,0),1),INDEX('Category Mapping'!$E$28:$E$39,MATCH($A1071,'Category Mapping'!$A$28:$A$39,0),1))</f>
        <v>4132157.1428571427</v>
      </c>
      <c r="G1071" s="27">
        <f>G491*IF($E1071="weekday",INDEX('Category Mapping'!$F$28:$F$39,MATCH('Summarized Source Data'!$A1071,'Category Mapping'!$A$28:$A$39,0),1),INDEX('Category Mapping'!$E$28:$E$39,MATCH($A1071,'Category Mapping'!$A$28:$A$39,0),1))</f>
        <v>47856094.285714284</v>
      </c>
      <c r="H1071" s="27">
        <f>H491*IF($E1071="weekday",INDEX('Category Mapping'!$F$28:$F$39,MATCH('Summarized Source Data'!$A1071,'Category Mapping'!$A$28:$A$39,0),1),INDEX('Category Mapping'!$E$28:$E$39,MATCH($A1071,'Category Mapping'!$A$28:$A$39,0),1))</f>
        <v>0</v>
      </c>
      <c r="I1071" s="27">
        <f>I491*IF($E1071="weekday",INDEX('Category Mapping'!$F$28:$F$39,MATCH('Summarized Source Data'!$A1071,'Category Mapping'!$A$28:$A$39,0),1),INDEX('Category Mapping'!$E$28:$E$39,MATCH($A1071,'Category Mapping'!$A$28:$A$39,0),1))</f>
        <v>48884700</v>
      </c>
      <c r="J1071" s="27">
        <f>J491*IF($E1071="weekday",INDEX('Category Mapping'!$F$28:$F$39,MATCH('Summarized Source Data'!$A1071,'Category Mapping'!$A$28:$A$39,0),1),INDEX('Category Mapping'!$E$28:$E$39,MATCH($A1071,'Category Mapping'!$A$28:$A$39,0),1))</f>
        <v>386841334.28571427</v>
      </c>
      <c r="K1071" s="27">
        <f>K491*IF($E1071="weekday",INDEX('Category Mapping'!$F$28:$F$39,MATCH('Summarized Source Data'!$A1071,'Category Mapping'!$A$28:$A$39,0),1),INDEX('Category Mapping'!$E$28:$E$39,MATCH($A1071,'Category Mapping'!$A$28:$A$39,0),1))</f>
        <v>386841334.28571427</v>
      </c>
      <c r="L1071" s="27">
        <f>L491*IF($E1071="weekday",INDEX('Category Mapping'!$F$28:$F$39,MATCH('Summarized Source Data'!$A1071,'Category Mapping'!$A$28:$A$39,0),1),INDEX('Category Mapping'!$E$28:$E$39,MATCH($A1071,'Category Mapping'!$A$28:$A$39,0),1))</f>
        <v>10208965.714285715</v>
      </c>
      <c r="M1071" s="27">
        <f>M491*IF($E1071="weekday",INDEX('Category Mapping'!$F$28:$F$39,MATCH('Summarized Source Data'!$A1071,'Category Mapping'!$A$28:$A$39,0),1),INDEX('Category Mapping'!$E$28:$E$39,MATCH($A1071,'Category Mapping'!$A$28:$A$39,0),1))</f>
        <v>288857142.85714287</v>
      </c>
      <c r="N1071" s="27">
        <f>N491*IF($E1071="weekday",INDEX('Category Mapping'!$F$28:$F$39,MATCH('Summarized Source Data'!$A1071,'Category Mapping'!$A$28:$A$39,0),1),INDEX('Category Mapping'!$E$28:$E$39,MATCH($A1071,'Category Mapping'!$A$28:$A$39,0),1))</f>
        <v>0</v>
      </c>
      <c r="O1071" s="27">
        <f>O491*IF($E1071="weekday",INDEX('Category Mapping'!$F$28:$F$39,MATCH('Summarized Source Data'!$A1071,'Category Mapping'!$A$28:$A$39,0),1),INDEX('Category Mapping'!$E$28:$E$39,MATCH($A1071,'Category Mapping'!$A$28:$A$39,0),1))</f>
        <v>883791034.28571427</v>
      </c>
      <c r="P1071" s="27">
        <f>P491*IF($E1071="weekday",INDEX('Category Mapping'!$F$28:$F$39,MATCH('Summarized Source Data'!$A1071,'Category Mapping'!$A$28:$A$39,0),1),INDEX('Category Mapping'!$E$28:$E$39,MATCH($A1071,'Category Mapping'!$A$28:$A$39,0),1))</f>
        <v>883791034.28571427</v>
      </c>
      <c r="Q1071" s="27">
        <f>Q491*IF($E1071="weekday",INDEX('Category Mapping'!$F$28:$F$39,MATCH('Summarized Source Data'!$A1071,'Category Mapping'!$A$28:$A$39,0),1),INDEX('Category Mapping'!$E$28:$E$39,MATCH($A1071,'Category Mapping'!$A$28:$A$39,0),1))</f>
        <v>883791034.28571427</v>
      </c>
      <c r="R1071" s="27">
        <f>R491*IF($E1071="weekday",INDEX('Category Mapping'!$F$28:$F$39,MATCH('Summarized Source Data'!$A1071,'Category Mapping'!$A$28:$A$39,0),1),INDEX('Category Mapping'!$E$28:$E$39,MATCH($A1071,'Category Mapping'!$A$28:$A$39,0),1))</f>
        <v>32996820</v>
      </c>
      <c r="S1071" s="27">
        <f>S491*IF($E1071="weekday",INDEX('Category Mapping'!$F$28:$F$39,MATCH('Summarized Source Data'!$A1071,'Category Mapping'!$A$28:$A$39,0),1),INDEX('Category Mapping'!$E$28:$E$39,MATCH($A1071,'Category Mapping'!$A$28:$A$39,0),1))</f>
        <v>32996820</v>
      </c>
      <c r="T1071" s="27">
        <f>T491*IF($E1071="weekday",INDEX('Category Mapping'!$F$28:$F$39,MATCH('Summarized Source Data'!$A1071,'Category Mapping'!$A$28:$A$39,0),1),INDEX('Category Mapping'!$E$28:$E$39,MATCH($A1071,'Category Mapping'!$A$28:$A$39,0),1))</f>
        <v>32996820</v>
      </c>
      <c r="U1071" s="27">
        <f>U491*IF($E1071="weekday",INDEX('Category Mapping'!$F$28:$F$39,MATCH('Summarized Source Data'!$A1071,'Category Mapping'!$A$28:$A$39,0),1),INDEX('Category Mapping'!$E$28:$E$39,MATCH($A1071,'Category Mapping'!$A$28:$A$39,0),1))</f>
        <v>32996820</v>
      </c>
      <c r="V1071" s="27">
        <f>V491*IF($E1071="weekday",INDEX('Category Mapping'!$F$28:$F$39,MATCH('Summarized Source Data'!$A1071,'Category Mapping'!$A$28:$A$39,0),1),INDEX('Category Mapping'!$E$28:$E$39,MATCH($A1071,'Category Mapping'!$A$28:$A$39,0),1))</f>
        <v>32996820</v>
      </c>
      <c r="W1071" s="27">
        <f>W491*IF($E1071="weekday",INDEX('Category Mapping'!$F$28:$F$39,MATCH('Summarized Source Data'!$A1071,'Category Mapping'!$A$28:$A$39,0),1),INDEX('Category Mapping'!$E$28:$E$39,MATCH($A1071,'Category Mapping'!$A$28:$A$39,0),1))</f>
        <v>32996820</v>
      </c>
      <c r="X1071" s="27">
        <f>X491*IF($E1071="weekday",INDEX('Category Mapping'!$F$28:$F$39,MATCH('Summarized Source Data'!$A1071,'Category Mapping'!$A$28:$A$39,0),1),INDEX('Category Mapping'!$E$28:$E$39,MATCH($A1071,'Category Mapping'!$A$28:$A$39,0),1))</f>
        <v>2991428571.4285712</v>
      </c>
      <c r="Y1071" s="27">
        <f>Y491*IF($E1071="weekday",INDEX('Category Mapping'!$F$28:$F$39,MATCH('Summarized Source Data'!$A1071,'Category Mapping'!$A$28:$A$39,0),1),INDEX('Category Mapping'!$E$28:$E$39,MATCH($A1071,'Category Mapping'!$A$28:$A$39,0),1))</f>
        <v>2991428571.4285712</v>
      </c>
      <c r="Z1071" s="27">
        <f>Z491*IF($E1071="weekday",INDEX('Category Mapping'!$F$28:$F$39,MATCH('Summarized Source Data'!$A1071,'Category Mapping'!$A$28:$A$39,0),1),INDEX('Category Mapping'!$E$28:$E$39,MATCH($A1071,'Category Mapping'!$A$28:$A$39,0),1))</f>
        <v>2991428571.4285712</v>
      </c>
    </row>
    <row r="1072" spans="1:26" outlineLevel="1" x14ac:dyDescent="0.3">
      <c r="A1072">
        <f t="shared" ref="A1072:E1072" si="537">A492</f>
        <v>9</v>
      </c>
      <c r="B1072" t="str">
        <f t="shared" si="537"/>
        <v>Fall</v>
      </c>
      <c r="C1072" t="str">
        <f t="shared" si="537"/>
        <v>h9</v>
      </c>
      <c r="D1072" t="str">
        <f t="shared" si="537"/>
        <v>Hour8</v>
      </c>
      <c r="E1072" t="str">
        <f t="shared" si="537"/>
        <v>Weekend</v>
      </c>
      <c r="F1072" s="27">
        <f>F492*IF($E1072="weekday",INDEX('Category Mapping'!$F$28:$F$39,MATCH('Summarized Source Data'!$A1072,'Category Mapping'!$A$28:$A$39,0),1),INDEX('Category Mapping'!$E$28:$E$39,MATCH($A1072,'Category Mapping'!$A$28:$A$39,0),1))</f>
        <v>4489902.8571428573</v>
      </c>
      <c r="G1072" s="27">
        <f>G492*IF($E1072="weekday",INDEX('Category Mapping'!$F$28:$F$39,MATCH('Summarized Source Data'!$A1072,'Category Mapping'!$A$28:$A$39,0),1),INDEX('Category Mapping'!$E$28:$E$39,MATCH($A1072,'Category Mapping'!$A$28:$A$39,0),1))</f>
        <v>76119051.428571433</v>
      </c>
      <c r="H1072" s="27">
        <f>H492*IF($E1072="weekday",INDEX('Category Mapping'!$F$28:$F$39,MATCH('Summarized Source Data'!$A1072,'Category Mapping'!$A$28:$A$39,0),1),INDEX('Category Mapping'!$E$28:$E$39,MATCH($A1072,'Category Mapping'!$A$28:$A$39,0),1))</f>
        <v>0</v>
      </c>
      <c r="I1072" s="27">
        <f>I492*IF($E1072="weekday",INDEX('Category Mapping'!$F$28:$F$39,MATCH('Summarized Source Data'!$A1072,'Category Mapping'!$A$28:$A$39,0),1),INDEX('Category Mapping'!$E$28:$E$39,MATCH($A1072,'Category Mapping'!$A$28:$A$39,0),1))</f>
        <v>59636751.428571425</v>
      </c>
      <c r="J1072" s="27">
        <f>J492*IF($E1072="weekday",INDEX('Category Mapping'!$F$28:$F$39,MATCH('Summarized Source Data'!$A1072,'Category Mapping'!$A$28:$A$39,0),1),INDEX('Category Mapping'!$E$28:$E$39,MATCH($A1072,'Category Mapping'!$A$28:$A$39,0),1))</f>
        <v>484611437.14285713</v>
      </c>
      <c r="K1072" s="27">
        <f>K492*IF($E1072="weekday",INDEX('Category Mapping'!$F$28:$F$39,MATCH('Summarized Source Data'!$A1072,'Category Mapping'!$A$28:$A$39,0),1),INDEX('Category Mapping'!$E$28:$E$39,MATCH($A1072,'Category Mapping'!$A$28:$A$39,0),1))</f>
        <v>484611437.14285713</v>
      </c>
      <c r="L1072" s="27">
        <f>L492*IF($E1072="weekday",INDEX('Category Mapping'!$F$28:$F$39,MATCH('Summarized Source Data'!$A1072,'Category Mapping'!$A$28:$A$39,0),1),INDEX('Category Mapping'!$E$28:$E$39,MATCH($A1072,'Category Mapping'!$A$28:$A$39,0),1))</f>
        <v>8044731.4285714282</v>
      </c>
      <c r="M1072" s="27">
        <f>M492*IF($E1072="weekday",INDEX('Category Mapping'!$F$28:$F$39,MATCH('Summarized Source Data'!$A1072,'Category Mapping'!$A$28:$A$39,0),1),INDEX('Category Mapping'!$E$28:$E$39,MATCH($A1072,'Category Mapping'!$A$28:$A$39,0),1))</f>
        <v>348857142.85714287</v>
      </c>
      <c r="N1072" s="27">
        <f>N492*IF($E1072="weekday",INDEX('Category Mapping'!$F$28:$F$39,MATCH('Summarized Source Data'!$A1072,'Category Mapping'!$A$28:$A$39,0),1),INDEX('Category Mapping'!$E$28:$E$39,MATCH($A1072,'Category Mapping'!$A$28:$A$39,0),1))</f>
        <v>0</v>
      </c>
      <c r="O1072" s="27">
        <f>O492*IF($E1072="weekday",INDEX('Category Mapping'!$F$28:$F$39,MATCH('Summarized Source Data'!$A1072,'Category Mapping'!$A$28:$A$39,0),1),INDEX('Category Mapping'!$E$28:$E$39,MATCH($A1072,'Category Mapping'!$A$28:$A$39,0),1))</f>
        <v>997383840</v>
      </c>
      <c r="P1072" s="27">
        <f>P492*IF($E1072="weekday",INDEX('Category Mapping'!$F$28:$F$39,MATCH('Summarized Source Data'!$A1072,'Category Mapping'!$A$28:$A$39,0),1),INDEX('Category Mapping'!$E$28:$E$39,MATCH($A1072,'Category Mapping'!$A$28:$A$39,0),1))</f>
        <v>997383840</v>
      </c>
      <c r="Q1072" s="27">
        <f>Q492*IF($E1072="weekday",INDEX('Category Mapping'!$F$28:$F$39,MATCH('Summarized Source Data'!$A1072,'Category Mapping'!$A$28:$A$39,0),1),INDEX('Category Mapping'!$E$28:$E$39,MATCH($A1072,'Category Mapping'!$A$28:$A$39,0),1))</f>
        <v>997383840</v>
      </c>
      <c r="R1072" s="27">
        <f>R492*IF($E1072="weekday",INDEX('Category Mapping'!$F$28:$F$39,MATCH('Summarized Source Data'!$A1072,'Category Mapping'!$A$28:$A$39,0),1),INDEX('Category Mapping'!$E$28:$E$39,MATCH($A1072,'Category Mapping'!$A$28:$A$39,0),1))</f>
        <v>39508080</v>
      </c>
      <c r="S1072" s="27">
        <f>S492*IF($E1072="weekday",INDEX('Category Mapping'!$F$28:$F$39,MATCH('Summarized Source Data'!$A1072,'Category Mapping'!$A$28:$A$39,0),1),INDEX('Category Mapping'!$E$28:$E$39,MATCH($A1072,'Category Mapping'!$A$28:$A$39,0),1))</f>
        <v>39508080</v>
      </c>
      <c r="T1072" s="27">
        <f>T492*IF($E1072="weekday",INDEX('Category Mapping'!$F$28:$F$39,MATCH('Summarized Source Data'!$A1072,'Category Mapping'!$A$28:$A$39,0),1),INDEX('Category Mapping'!$E$28:$E$39,MATCH($A1072,'Category Mapping'!$A$28:$A$39,0),1))</f>
        <v>39508080</v>
      </c>
      <c r="U1072" s="27">
        <f>U492*IF($E1072="weekday",INDEX('Category Mapping'!$F$28:$F$39,MATCH('Summarized Source Data'!$A1072,'Category Mapping'!$A$28:$A$39,0),1),INDEX('Category Mapping'!$E$28:$E$39,MATCH($A1072,'Category Mapping'!$A$28:$A$39,0),1))</f>
        <v>39508080</v>
      </c>
      <c r="V1072" s="27">
        <f>V492*IF($E1072="weekday",INDEX('Category Mapping'!$F$28:$F$39,MATCH('Summarized Source Data'!$A1072,'Category Mapping'!$A$28:$A$39,0),1),INDEX('Category Mapping'!$E$28:$E$39,MATCH($A1072,'Category Mapping'!$A$28:$A$39,0),1))</f>
        <v>39508080</v>
      </c>
      <c r="W1072" s="27">
        <f>W492*IF($E1072="weekday",INDEX('Category Mapping'!$F$28:$F$39,MATCH('Summarized Source Data'!$A1072,'Category Mapping'!$A$28:$A$39,0),1),INDEX('Category Mapping'!$E$28:$E$39,MATCH($A1072,'Category Mapping'!$A$28:$A$39,0),1))</f>
        <v>39508080</v>
      </c>
      <c r="X1072" s="27">
        <f>X492*IF($E1072="weekday",INDEX('Category Mapping'!$F$28:$F$39,MATCH('Summarized Source Data'!$A1072,'Category Mapping'!$A$28:$A$39,0),1),INDEX('Category Mapping'!$E$28:$E$39,MATCH($A1072,'Category Mapping'!$A$28:$A$39,0),1))</f>
        <v>2982857142.8571429</v>
      </c>
      <c r="Y1072" s="27">
        <f>Y492*IF($E1072="weekday",INDEX('Category Mapping'!$F$28:$F$39,MATCH('Summarized Source Data'!$A1072,'Category Mapping'!$A$28:$A$39,0),1),INDEX('Category Mapping'!$E$28:$E$39,MATCH($A1072,'Category Mapping'!$A$28:$A$39,0),1))</f>
        <v>2982857142.8571429</v>
      </c>
      <c r="Z1072" s="27">
        <f>Z492*IF($E1072="weekday",INDEX('Category Mapping'!$F$28:$F$39,MATCH('Summarized Source Data'!$A1072,'Category Mapping'!$A$28:$A$39,0),1),INDEX('Category Mapping'!$E$28:$E$39,MATCH($A1072,'Category Mapping'!$A$28:$A$39,0),1))</f>
        <v>2982857142.8571429</v>
      </c>
    </row>
    <row r="1073" spans="1:26" outlineLevel="1" x14ac:dyDescent="0.3">
      <c r="A1073">
        <f t="shared" ref="A1073:E1073" si="538">A493</f>
        <v>9</v>
      </c>
      <c r="B1073" t="str">
        <f t="shared" si="538"/>
        <v>Fall</v>
      </c>
      <c r="C1073" t="str">
        <f t="shared" si="538"/>
        <v>h10</v>
      </c>
      <c r="D1073" t="str">
        <f t="shared" si="538"/>
        <v>Hour9</v>
      </c>
      <c r="E1073" t="str">
        <f t="shared" si="538"/>
        <v>Weekend</v>
      </c>
      <c r="F1073" s="27">
        <f>F493*IF($E1073="weekday",INDEX('Category Mapping'!$F$28:$F$39,MATCH('Summarized Source Data'!$A1073,'Category Mapping'!$A$28:$A$39,0),1),INDEX('Category Mapping'!$E$28:$E$39,MATCH($A1073,'Category Mapping'!$A$28:$A$39,0),1))</f>
        <v>4561688.5714285709</v>
      </c>
      <c r="G1073" s="27">
        <f>G493*IF($E1073="weekday",INDEX('Category Mapping'!$F$28:$F$39,MATCH('Summarized Source Data'!$A1073,'Category Mapping'!$A$28:$A$39,0),1),INDEX('Category Mapping'!$E$28:$E$39,MATCH($A1073,'Category Mapping'!$A$28:$A$39,0),1))</f>
        <v>98571428.571428567</v>
      </c>
      <c r="H1073" s="27">
        <f>H493*IF($E1073="weekday",INDEX('Category Mapping'!$F$28:$F$39,MATCH('Summarized Source Data'!$A1073,'Category Mapping'!$A$28:$A$39,0),1),INDEX('Category Mapping'!$E$28:$E$39,MATCH($A1073,'Category Mapping'!$A$28:$A$39,0),1))</f>
        <v>0</v>
      </c>
      <c r="I1073" s="27">
        <f>I493*IF($E1073="weekday",INDEX('Category Mapping'!$F$28:$F$39,MATCH('Summarized Source Data'!$A1073,'Category Mapping'!$A$28:$A$39,0),1),INDEX('Category Mapping'!$E$28:$E$39,MATCH($A1073,'Category Mapping'!$A$28:$A$39,0),1))</f>
        <v>61794420</v>
      </c>
      <c r="J1073" s="27">
        <f>J493*IF($E1073="weekday",INDEX('Category Mapping'!$F$28:$F$39,MATCH('Summarized Source Data'!$A1073,'Category Mapping'!$A$28:$A$39,0),1),INDEX('Category Mapping'!$E$28:$E$39,MATCH($A1073,'Category Mapping'!$A$28:$A$39,0),1))</f>
        <v>610786748.57142854</v>
      </c>
      <c r="K1073" s="27">
        <f>K493*IF($E1073="weekday",INDEX('Category Mapping'!$F$28:$F$39,MATCH('Summarized Source Data'!$A1073,'Category Mapping'!$A$28:$A$39,0),1),INDEX('Category Mapping'!$E$28:$E$39,MATCH($A1073,'Category Mapping'!$A$28:$A$39,0),1))</f>
        <v>610786748.57142854</v>
      </c>
      <c r="L1073" s="27">
        <f>L493*IF($E1073="weekday",INDEX('Category Mapping'!$F$28:$F$39,MATCH('Summarized Source Data'!$A1073,'Category Mapping'!$A$28:$A$39,0),1),INDEX('Category Mapping'!$E$28:$E$39,MATCH($A1073,'Category Mapping'!$A$28:$A$39,0),1))</f>
        <v>6562440</v>
      </c>
      <c r="M1073" s="27">
        <f>M493*IF($E1073="weekday",INDEX('Category Mapping'!$F$28:$F$39,MATCH('Summarized Source Data'!$A1073,'Category Mapping'!$A$28:$A$39,0),1),INDEX('Category Mapping'!$E$28:$E$39,MATCH($A1073,'Category Mapping'!$A$28:$A$39,0),1))</f>
        <v>402857142.85714287</v>
      </c>
      <c r="N1073" s="27">
        <f>N493*IF($E1073="weekday",INDEX('Category Mapping'!$F$28:$F$39,MATCH('Summarized Source Data'!$A1073,'Category Mapping'!$A$28:$A$39,0),1),INDEX('Category Mapping'!$E$28:$E$39,MATCH($A1073,'Category Mapping'!$A$28:$A$39,0),1))</f>
        <v>0</v>
      </c>
      <c r="O1073" s="27">
        <f>O493*IF($E1073="weekday",INDEX('Category Mapping'!$F$28:$F$39,MATCH('Summarized Source Data'!$A1073,'Category Mapping'!$A$28:$A$39,0),1),INDEX('Category Mapping'!$E$28:$E$39,MATCH($A1073,'Category Mapping'!$A$28:$A$39,0),1))</f>
        <v>1090580417.1428571</v>
      </c>
      <c r="P1073" s="27">
        <f>P493*IF($E1073="weekday",INDEX('Category Mapping'!$F$28:$F$39,MATCH('Summarized Source Data'!$A1073,'Category Mapping'!$A$28:$A$39,0),1),INDEX('Category Mapping'!$E$28:$E$39,MATCH($A1073,'Category Mapping'!$A$28:$A$39,0),1))</f>
        <v>1090580417.1428571</v>
      </c>
      <c r="Q1073" s="27">
        <f>Q493*IF($E1073="weekday",INDEX('Category Mapping'!$F$28:$F$39,MATCH('Summarized Source Data'!$A1073,'Category Mapping'!$A$28:$A$39,0),1),INDEX('Category Mapping'!$E$28:$E$39,MATCH($A1073,'Category Mapping'!$A$28:$A$39,0),1))</f>
        <v>1090580417.1428571</v>
      </c>
      <c r="R1073" s="27">
        <f>R493*IF($E1073="weekday",INDEX('Category Mapping'!$F$28:$F$39,MATCH('Summarized Source Data'!$A1073,'Category Mapping'!$A$28:$A$39,0),1),INDEX('Category Mapping'!$E$28:$E$39,MATCH($A1073,'Category Mapping'!$A$28:$A$39,0),1))</f>
        <v>44909940</v>
      </c>
      <c r="S1073" s="27">
        <f>S493*IF($E1073="weekday",INDEX('Category Mapping'!$F$28:$F$39,MATCH('Summarized Source Data'!$A1073,'Category Mapping'!$A$28:$A$39,0),1),INDEX('Category Mapping'!$E$28:$E$39,MATCH($A1073,'Category Mapping'!$A$28:$A$39,0),1))</f>
        <v>44909940</v>
      </c>
      <c r="T1073" s="27">
        <f>T493*IF($E1073="weekday",INDEX('Category Mapping'!$F$28:$F$39,MATCH('Summarized Source Data'!$A1073,'Category Mapping'!$A$28:$A$39,0),1),INDEX('Category Mapping'!$E$28:$E$39,MATCH($A1073,'Category Mapping'!$A$28:$A$39,0),1))</f>
        <v>44909940</v>
      </c>
      <c r="U1073" s="27">
        <f>U493*IF($E1073="weekday",INDEX('Category Mapping'!$F$28:$F$39,MATCH('Summarized Source Data'!$A1073,'Category Mapping'!$A$28:$A$39,0),1),INDEX('Category Mapping'!$E$28:$E$39,MATCH($A1073,'Category Mapping'!$A$28:$A$39,0),1))</f>
        <v>44909940</v>
      </c>
      <c r="V1073" s="27">
        <f>V493*IF($E1073="weekday",INDEX('Category Mapping'!$F$28:$F$39,MATCH('Summarized Source Data'!$A1073,'Category Mapping'!$A$28:$A$39,0),1),INDEX('Category Mapping'!$E$28:$E$39,MATCH($A1073,'Category Mapping'!$A$28:$A$39,0),1))</f>
        <v>44909940</v>
      </c>
      <c r="W1073" s="27">
        <f>W493*IF($E1073="weekday",INDEX('Category Mapping'!$F$28:$F$39,MATCH('Summarized Source Data'!$A1073,'Category Mapping'!$A$28:$A$39,0),1),INDEX('Category Mapping'!$E$28:$E$39,MATCH($A1073,'Category Mapping'!$A$28:$A$39,0),1))</f>
        <v>44909940</v>
      </c>
      <c r="X1073" s="27">
        <f>X493*IF($E1073="weekday",INDEX('Category Mapping'!$F$28:$F$39,MATCH('Summarized Source Data'!$A1073,'Category Mapping'!$A$28:$A$39,0),1),INDEX('Category Mapping'!$E$28:$E$39,MATCH($A1073,'Category Mapping'!$A$28:$A$39,0),1))</f>
        <v>2974285714.2857141</v>
      </c>
      <c r="Y1073" s="27">
        <f>Y493*IF($E1073="weekday",INDEX('Category Mapping'!$F$28:$F$39,MATCH('Summarized Source Data'!$A1073,'Category Mapping'!$A$28:$A$39,0),1),INDEX('Category Mapping'!$E$28:$E$39,MATCH($A1073,'Category Mapping'!$A$28:$A$39,0),1))</f>
        <v>2974285714.2857141</v>
      </c>
      <c r="Z1073" s="27">
        <f>Z493*IF($E1073="weekday",INDEX('Category Mapping'!$F$28:$F$39,MATCH('Summarized Source Data'!$A1073,'Category Mapping'!$A$28:$A$39,0),1),INDEX('Category Mapping'!$E$28:$E$39,MATCH($A1073,'Category Mapping'!$A$28:$A$39,0),1))</f>
        <v>2974285714.2857141</v>
      </c>
    </row>
    <row r="1074" spans="1:26" outlineLevel="1" x14ac:dyDescent="0.3">
      <c r="A1074">
        <f t="shared" ref="A1074:E1074" si="539">A494</f>
        <v>9</v>
      </c>
      <c r="B1074" t="str">
        <f t="shared" si="539"/>
        <v>Fall</v>
      </c>
      <c r="C1074" t="str">
        <f t="shared" si="539"/>
        <v>h11</v>
      </c>
      <c r="D1074" t="str">
        <f t="shared" si="539"/>
        <v>Hour10</v>
      </c>
      <c r="E1074" t="str">
        <f t="shared" si="539"/>
        <v>Weekend</v>
      </c>
      <c r="F1074" s="27">
        <f>F494*IF($E1074="weekday",INDEX('Category Mapping'!$F$28:$F$39,MATCH('Summarized Source Data'!$A1074,'Category Mapping'!$A$28:$A$39,0),1),INDEX('Category Mapping'!$E$28:$E$39,MATCH($A1074,'Category Mapping'!$A$28:$A$39,0),1))</f>
        <v>4573954.2857142854</v>
      </c>
      <c r="G1074" s="27">
        <f>G494*IF($E1074="weekday",INDEX('Category Mapping'!$F$28:$F$39,MATCH('Summarized Source Data'!$A1074,'Category Mapping'!$A$28:$A$39,0),1),INDEX('Category Mapping'!$E$28:$E$39,MATCH($A1074,'Category Mapping'!$A$28:$A$39,0),1))</f>
        <v>120857142.85714285</v>
      </c>
      <c r="H1074" s="27">
        <f>H494*IF($E1074="weekday",INDEX('Category Mapping'!$F$28:$F$39,MATCH('Summarized Source Data'!$A1074,'Category Mapping'!$A$28:$A$39,0),1),INDEX('Category Mapping'!$E$28:$E$39,MATCH($A1074,'Category Mapping'!$A$28:$A$39,0),1))</f>
        <v>0</v>
      </c>
      <c r="I1074" s="27">
        <f>I494*IF($E1074="weekday",INDEX('Category Mapping'!$F$28:$F$39,MATCH('Summarized Source Data'!$A1074,'Category Mapping'!$A$28:$A$39,0),1),INDEX('Category Mapping'!$E$28:$E$39,MATCH($A1074,'Category Mapping'!$A$28:$A$39,0),1))</f>
        <v>62163034.285714284</v>
      </c>
      <c r="J1074" s="27">
        <f>J494*IF($E1074="weekday",INDEX('Category Mapping'!$F$28:$F$39,MATCH('Summarized Source Data'!$A1074,'Category Mapping'!$A$28:$A$39,0),1),INDEX('Category Mapping'!$E$28:$E$39,MATCH($A1074,'Category Mapping'!$A$28:$A$39,0),1))</f>
        <v>763834440</v>
      </c>
      <c r="K1074" s="27">
        <f>K494*IF($E1074="weekday",INDEX('Category Mapping'!$F$28:$F$39,MATCH('Summarized Source Data'!$A1074,'Category Mapping'!$A$28:$A$39,0),1),INDEX('Category Mapping'!$E$28:$E$39,MATCH($A1074,'Category Mapping'!$A$28:$A$39,0),1))</f>
        <v>763834440</v>
      </c>
      <c r="L1074" s="27">
        <f>L494*IF($E1074="weekday",INDEX('Category Mapping'!$F$28:$F$39,MATCH('Summarized Source Data'!$A1074,'Category Mapping'!$A$28:$A$39,0),1),INDEX('Category Mapping'!$E$28:$E$39,MATCH($A1074,'Category Mapping'!$A$28:$A$39,0),1))</f>
        <v>5535848.5714285709</v>
      </c>
      <c r="M1074" s="27">
        <f>M494*IF($E1074="weekday",INDEX('Category Mapping'!$F$28:$F$39,MATCH('Summarized Source Data'!$A1074,'Category Mapping'!$A$28:$A$39,0),1),INDEX('Category Mapping'!$E$28:$E$39,MATCH($A1074,'Category Mapping'!$A$28:$A$39,0),1))</f>
        <v>449142857.14285713</v>
      </c>
      <c r="N1074" s="27">
        <f>N494*IF($E1074="weekday",INDEX('Category Mapping'!$F$28:$F$39,MATCH('Summarized Source Data'!$A1074,'Category Mapping'!$A$28:$A$39,0),1),INDEX('Category Mapping'!$E$28:$E$39,MATCH($A1074,'Category Mapping'!$A$28:$A$39,0),1))</f>
        <v>0</v>
      </c>
      <c r="O1074" s="27">
        <f>O494*IF($E1074="weekday",INDEX('Category Mapping'!$F$28:$F$39,MATCH('Summarized Source Data'!$A1074,'Category Mapping'!$A$28:$A$39,0),1),INDEX('Category Mapping'!$E$28:$E$39,MATCH($A1074,'Category Mapping'!$A$28:$A$39,0),1))</f>
        <v>1079607008.5714285</v>
      </c>
      <c r="P1074" s="27">
        <f>P494*IF($E1074="weekday",INDEX('Category Mapping'!$F$28:$F$39,MATCH('Summarized Source Data'!$A1074,'Category Mapping'!$A$28:$A$39,0),1),INDEX('Category Mapping'!$E$28:$E$39,MATCH($A1074,'Category Mapping'!$A$28:$A$39,0),1))</f>
        <v>1079607008.5714285</v>
      </c>
      <c r="Q1074" s="27">
        <f>Q494*IF($E1074="weekday",INDEX('Category Mapping'!$F$28:$F$39,MATCH('Summarized Source Data'!$A1074,'Category Mapping'!$A$28:$A$39,0),1),INDEX('Category Mapping'!$E$28:$E$39,MATCH($A1074,'Category Mapping'!$A$28:$A$39,0),1))</f>
        <v>1079607008.5714285</v>
      </c>
      <c r="R1074" s="27">
        <f>R494*IF($E1074="weekday",INDEX('Category Mapping'!$F$28:$F$39,MATCH('Summarized Source Data'!$A1074,'Category Mapping'!$A$28:$A$39,0),1),INDEX('Category Mapping'!$E$28:$E$39,MATCH($A1074,'Category Mapping'!$A$28:$A$39,0),1))</f>
        <v>47604754.285714284</v>
      </c>
      <c r="S1074" s="27">
        <f>S494*IF($E1074="weekday",INDEX('Category Mapping'!$F$28:$F$39,MATCH('Summarized Source Data'!$A1074,'Category Mapping'!$A$28:$A$39,0),1),INDEX('Category Mapping'!$E$28:$E$39,MATCH($A1074,'Category Mapping'!$A$28:$A$39,0),1))</f>
        <v>47604754.285714284</v>
      </c>
      <c r="T1074" s="27">
        <f>T494*IF($E1074="weekday",INDEX('Category Mapping'!$F$28:$F$39,MATCH('Summarized Source Data'!$A1074,'Category Mapping'!$A$28:$A$39,0),1),INDEX('Category Mapping'!$E$28:$E$39,MATCH($A1074,'Category Mapping'!$A$28:$A$39,0),1))</f>
        <v>47604754.285714284</v>
      </c>
      <c r="U1074" s="27">
        <f>U494*IF($E1074="weekday",INDEX('Category Mapping'!$F$28:$F$39,MATCH('Summarized Source Data'!$A1074,'Category Mapping'!$A$28:$A$39,0),1),INDEX('Category Mapping'!$E$28:$E$39,MATCH($A1074,'Category Mapping'!$A$28:$A$39,0),1))</f>
        <v>47604754.285714284</v>
      </c>
      <c r="V1074" s="27">
        <f>V494*IF($E1074="weekday",INDEX('Category Mapping'!$F$28:$F$39,MATCH('Summarized Source Data'!$A1074,'Category Mapping'!$A$28:$A$39,0),1),INDEX('Category Mapping'!$E$28:$E$39,MATCH($A1074,'Category Mapping'!$A$28:$A$39,0),1))</f>
        <v>47604754.285714284</v>
      </c>
      <c r="W1074" s="27">
        <f>W494*IF($E1074="weekday",INDEX('Category Mapping'!$F$28:$F$39,MATCH('Summarized Source Data'!$A1074,'Category Mapping'!$A$28:$A$39,0),1),INDEX('Category Mapping'!$E$28:$E$39,MATCH($A1074,'Category Mapping'!$A$28:$A$39,0),1))</f>
        <v>47604754.285714284</v>
      </c>
      <c r="X1074" s="27">
        <f>X494*IF($E1074="weekday",INDEX('Category Mapping'!$F$28:$F$39,MATCH('Summarized Source Data'!$A1074,'Category Mapping'!$A$28:$A$39,0),1),INDEX('Category Mapping'!$E$28:$E$39,MATCH($A1074,'Category Mapping'!$A$28:$A$39,0),1))</f>
        <v>2965714285.7142859</v>
      </c>
      <c r="Y1074" s="27">
        <f>Y494*IF($E1074="weekday",INDEX('Category Mapping'!$F$28:$F$39,MATCH('Summarized Source Data'!$A1074,'Category Mapping'!$A$28:$A$39,0),1),INDEX('Category Mapping'!$E$28:$E$39,MATCH($A1074,'Category Mapping'!$A$28:$A$39,0),1))</f>
        <v>2965714285.7142859</v>
      </c>
      <c r="Z1074" s="27">
        <f>Z494*IF($E1074="weekday",INDEX('Category Mapping'!$F$28:$F$39,MATCH('Summarized Source Data'!$A1074,'Category Mapping'!$A$28:$A$39,0),1),INDEX('Category Mapping'!$E$28:$E$39,MATCH($A1074,'Category Mapping'!$A$28:$A$39,0),1))</f>
        <v>2965714285.7142859</v>
      </c>
    </row>
    <row r="1075" spans="1:26" outlineLevel="1" x14ac:dyDescent="0.3">
      <c r="A1075">
        <f t="shared" ref="A1075:E1075" si="540">A495</f>
        <v>9</v>
      </c>
      <c r="B1075" t="str">
        <f t="shared" si="540"/>
        <v>Fall</v>
      </c>
      <c r="C1075" t="str">
        <f t="shared" si="540"/>
        <v>h12</v>
      </c>
      <c r="D1075" t="str">
        <f t="shared" si="540"/>
        <v>Hour11</v>
      </c>
      <c r="E1075" t="str">
        <f t="shared" si="540"/>
        <v>Weekend</v>
      </c>
      <c r="F1075" s="27">
        <f>F495*IF($E1075="weekday",INDEX('Category Mapping'!$F$28:$F$39,MATCH('Summarized Source Data'!$A1075,'Category Mapping'!$A$28:$A$39,0),1),INDEX('Category Mapping'!$E$28:$E$39,MATCH($A1075,'Category Mapping'!$A$28:$A$39,0),1))</f>
        <v>3521040</v>
      </c>
      <c r="G1075" s="27">
        <f>G495*IF($E1075="weekday",INDEX('Category Mapping'!$F$28:$F$39,MATCH('Summarized Source Data'!$A1075,'Category Mapping'!$A$28:$A$39,0),1),INDEX('Category Mapping'!$E$28:$E$39,MATCH($A1075,'Category Mapping'!$A$28:$A$39,0),1))</f>
        <v>151714285.7142857</v>
      </c>
      <c r="H1075" s="27">
        <f>H495*IF($E1075="weekday",INDEX('Category Mapping'!$F$28:$F$39,MATCH('Summarized Source Data'!$A1075,'Category Mapping'!$A$28:$A$39,0),1),INDEX('Category Mapping'!$E$28:$E$39,MATCH($A1075,'Category Mapping'!$A$28:$A$39,0),1))</f>
        <v>0</v>
      </c>
      <c r="I1075" s="27">
        <f>I495*IF($E1075="weekday",INDEX('Category Mapping'!$F$28:$F$39,MATCH('Summarized Source Data'!$A1075,'Category Mapping'!$A$28:$A$39,0),1),INDEX('Category Mapping'!$E$28:$E$39,MATCH($A1075,'Category Mapping'!$A$28:$A$39,0),1))</f>
        <v>65956414.285714284</v>
      </c>
      <c r="J1075" s="27">
        <f>J495*IF($E1075="weekday",INDEX('Category Mapping'!$F$28:$F$39,MATCH('Summarized Source Data'!$A1075,'Category Mapping'!$A$28:$A$39,0),1),INDEX('Category Mapping'!$E$28:$E$39,MATCH($A1075,'Category Mapping'!$A$28:$A$39,0),1))</f>
        <v>850236831.42857146</v>
      </c>
      <c r="K1075" s="27">
        <f>K495*IF($E1075="weekday",INDEX('Category Mapping'!$F$28:$F$39,MATCH('Summarized Source Data'!$A1075,'Category Mapping'!$A$28:$A$39,0),1),INDEX('Category Mapping'!$E$28:$E$39,MATCH($A1075,'Category Mapping'!$A$28:$A$39,0),1))</f>
        <v>850236831.42857146</v>
      </c>
      <c r="L1075" s="27">
        <f>L495*IF($E1075="weekday",INDEX('Category Mapping'!$F$28:$F$39,MATCH('Summarized Source Data'!$A1075,'Category Mapping'!$A$28:$A$39,0),1),INDEX('Category Mapping'!$E$28:$E$39,MATCH($A1075,'Category Mapping'!$A$28:$A$39,0),1))</f>
        <v>4910400</v>
      </c>
      <c r="M1075" s="27">
        <f>M495*IF($E1075="weekday",INDEX('Category Mapping'!$F$28:$F$39,MATCH('Summarized Source Data'!$A1075,'Category Mapping'!$A$28:$A$39,0),1),INDEX('Category Mapping'!$E$28:$E$39,MATCH($A1075,'Category Mapping'!$A$28:$A$39,0),1))</f>
        <v>485142857.14285713</v>
      </c>
      <c r="N1075" s="27">
        <f>N495*IF($E1075="weekday",INDEX('Category Mapping'!$F$28:$F$39,MATCH('Summarized Source Data'!$A1075,'Category Mapping'!$A$28:$A$39,0),1),INDEX('Category Mapping'!$E$28:$E$39,MATCH($A1075,'Category Mapping'!$A$28:$A$39,0),1))</f>
        <v>0</v>
      </c>
      <c r="O1075" s="27">
        <f>O495*IF($E1075="weekday",INDEX('Category Mapping'!$F$28:$F$39,MATCH('Summarized Source Data'!$A1075,'Category Mapping'!$A$28:$A$39,0),1),INDEX('Category Mapping'!$E$28:$E$39,MATCH($A1075,'Category Mapping'!$A$28:$A$39,0),1))</f>
        <v>1078518171.4285715</v>
      </c>
      <c r="P1075" s="27">
        <f>P495*IF($E1075="weekday",INDEX('Category Mapping'!$F$28:$F$39,MATCH('Summarized Source Data'!$A1075,'Category Mapping'!$A$28:$A$39,0),1),INDEX('Category Mapping'!$E$28:$E$39,MATCH($A1075,'Category Mapping'!$A$28:$A$39,0),1))</f>
        <v>1078518171.4285715</v>
      </c>
      <c r="Q1075" s="27">
        <f>Q495*IF($E1075="weekday",INDEX('Category Mapping'!$F$28:$F$39,MATCH('Summarized Source Data'!$A1075,'Category Mapping'!$A$28:$A$39,0),1),INDEX('Category Mapping'!$E$28:$E$39,MATCH($A1075,'Category Mapping'!$A$28:$A$39,0),1))</f>
        <v>1078518171.4285715</v>
      </c>
      <c r="R1075" s="27">
        <f>R495*IF($E1075="weekday",INDEX('Category Mapping'!$F$28:$F$39,MATCH('Summarized Source Data'!$A1075,'Category Mapping'!$A$28:$A$39,0),1),INDEX('Category Mapping'!$E$28:$E$39,MATCH($A1075,'Category Mapping'!$A$28:$A$39,0),1))</f>
        <v>49160631.428571425</v>
      </c>
      <c r="S1075" s="27">
        <f>S495*IF($E1075="weekday",INDEX('Category Mapping'!$F$28:$F$39,MATCH('Summarized Source Data'!$A1075,'Category Mapping'!$A$28:$A$39,0),1),INDEX('Category Mapping'!$E$28:$E$39,MATCH($A1075,'Category Mapping'!$A$28:$A$39,0),1))</f>
        <v>49160631.428571425</v>
      </c>
      <c r="T1075" s="27">
        <f>T495*IF($E1075="weekday",INDEX('Category Mapping'!$F$28:$F$39,MATCH('Summarized Source Data'!$A1075,'Category Mapping'!$A$28:$A$39,0),1),INDEX('Category Mapping'!$E$28:$E$39,MATCH($A1075,'Category Mapping'!$A$28:$A$39,0),1))</f>
        <v>49160631.428571425</v>
      </c>
      <c r="U1075" s="27">
        <f>U495*IF($E1075="weekday",INDEX('Category Mapping'!$F$28:$F$39,MATCH('Summarized Source Data'!$A1075,'Category Mapping'!$A$28:$A$39,0),1),INDEX('Category Mapping'!$E$28:$E$39,MATCH($A1075,'Category Mapping'!$A$28:$A$39,0),1))</f>
        <v>49160631.428571425</v>
      </c>
      <c r="V1075" s="27">
        <f>V495*IF($E1075="weekday",INDEX('Category Mapping'!$F$28:$F$39,MATCH('Summarized Source Data'!$A1075,'Category Mapping'!$A$28:$A$39,0),1),INDEX('Category Mapping'!$E$28:$E$39,MATCH($A1075,'Category Mapping'!$A$28:$A$39,0),1))</f>
        <v>49160631.428571425</v>
      </c>
      <c r="W1075" s="27">
        <f>W495*IF($E1075="weekday",INDEX('Category Mapping'!$F$28:$F$39,MATCH('Summarized Source Data'!$A1075,'Category Mapping'!$A$28:$A$39,0),1),INDEX('Category Mapping'!$E$28:$E$39,MATCH($A1075,'Category Mapping'!$A$28:$A$39,0),1))</f>
        <v>49160631.428571425</v>
      </c>
      <c r="X1075" s="27">
        <f>X495*IF($E1075="weekday",INDEX('Category Mapping'!$F$28:$F$39,MATCH('Summarized Source Data'!$A1075,'Category Mapping'!$A$28:$A$39,0),1),INDEX('Category Mapping'!$E$28:$E$39,MATCH($A1075,'Category Mapping'!$A$28:$A$39,0),1))</f>
        <v>2957142857.1428571</v>
      </c>
      <c r="Y1075" s="27">
        <f>Y495*IF($E1075="weekday",INDEX('Category Mapping'!$F$28:$F$39,MATCH('Summarized Source Data'!$A1075,'Category Mapping'!$A$28:$A$39,0),1),INDEX('Category Mapping'!$E$28:$E$39,MATCH($A1075,'Category Mapping'!$A$28:$A$39,0),1))</f>
        <v>2957142857.1428571</v>
      </c>
      <c r="Z1075" s="27">
        <f>Z495*IF($E1075="weekday",INDEX('Category Mapping'!$F$28:$F$39,MATCH('Summarized Source Data'!$A1075,'Category Mapping'!$A$28:$A$39,0),1),INDEX('Category Mapping'!$E$28:$E$39,MATCH($A1075,'Category Mapping'!$A$28:$A$39,0),1))</f>
        <v>2957142857.1428571</v>
      </c>
    </row>
    <row r="1076" spans="1:26" outlineLevel="1" x14ac:dyDescent="0.3">
      <c r="A1076">
        <f t="shared" ref="A1076:E1076" si="541">A496</f>
        <v>9</v>
      </c>
      <c r="B1076" t="str">
        <f t="shared" si="541"/>
        <v>Fall</v>
      </c>
      <c r="C1076" t="str">
        <f t="shared" si="541"/>
        <v>h13</v>
      </c>
      <c r="D1076" t="str">
        <f t="shared" si="541"/>
        <v>Hour12</v>
      </c>
      <c r="E1076" t="str">
        <f t="shared" si="541"/>
        <v>Weekend</v>
      </c>
      <c r="F1076" s="27">
        <f>F496*IF($E1076="weekday",INDEX('Category Mapping'!$F$28:$F$39,MATCH('Summarized Source Data'!$A1076,'Category Mapping'!$A$28:$A$39,0),1),INDEX('Category Mapping'!$E$28:$E$39,MATCH($A1076,'Category Mapping'!$A$28:$A$39,0),1))</f>
        <v>3597308.5714285714</v>
      </c>
      <c r="G1076" s="27">
        <f>G496*IF($E1076="weekday",INDEX('Category Mapping'!$F$28:$F$39,MATCH('Summarized Source Data'!$A1076,'Category Mapping'!$A$28:$A$39,0),1),INDEX('Category Mapping'!$E$28:$E$39,MATCH($A1076,'Category Mapping'!$A$28:$A$39,0),1))</f>
        <v>179142857.14285713</v>
      </c>
      <c r="H1076" s="27">
        <f>H496*IF($E1076="weekday",INDEX('Category Mapping'!$F$28:$F$39,MATCH('Summarized Source Data'!$A1076,'Category Mapping'!$A$28:$A$39,0),1),INDEX('Category Mapping'!$E$28:$E$39,MATCH($A1076,'Category Mapping'!$A$28:$A$39,0),1))</f>
        <v>0</v>
      </c>
      <c r="I1076" s="27">
        <f>I496*IF($E1076="weekday",INDEX('Category Mapping'!$F$28:$F$39,MATCH('Summarized Source Data'!$A1076,'Category Mapping'!$A$28:$A$39,0),1),INDEX('Category Mapping'!$E$28:$E$39,MATCH($A1076,'Category Mapping'!$A$28:$A$39,0),1))</f>
        <v>68248671.428571433</v>
      </c>
      <c r="J1076" s="27">
        <f>J496*IF($E1076="weekday",INDEX('Category Mapping'!$F$28:$F$39,MATCH('Summarized Source Data'!$A1076,'Category Mapping'!$A$28:$A$39,0),1),INDEX('Category Mapping'!$E$28:$E$39,MATCH($A1076,'Category Mapping'!$A$28:$A$39,0),1))</f>
        <v>777582591.42857146</v>
      </c>
      <c r="K1076" s="27">
        <f>K496*IF($E1076="weekday",INDEX('Category Mapping'!$F$28:$F$39,MATCH('Summarized Source Data'!$A1076,'Category Mapping'!$A$28:$A$39,0),1),INDEX('Category Mapping'!$E$28:$E$39,MATCH($A1076,'Category Mapping'!$A$28:$A$39,0),1))</f>
        <v>777582591.42857146</v>
      </c>
      <c r="L1076" s="27">
        <f>L496*IF($E1076="weekday",INDEX('Category Mapping'!$F$28:$F$39,MATCH('Summarized Source Data'!$A1076,'Category Mapping'!$A$28:$A$39,0),1),INDEX('Category Mapping'!$E$28:$E$39,MATCH($A1076,'Category Mapping'!$A$28:$A$39,0),1))</f>
        <v>4474251.4285714282</v>
      </c>
      <c r="M1076" s="27">
        <f>M496*IF($E1076="weekday",INDEX('Category Mapping'!$F$28:$F$39,MATCH('Summarized Source Data'!$A1076,'Category Mapping'!$A$28:$A$39,0),1),INDEX('Category Mapping'!$E$28:$E$39,MATCH($A1076,'Category Mapping'!$A$28:$A$39,0),1))</f>
        <v>512571428.57142854</v>
      </c>
      <c r="N1076" s="27">
        <f>N496*IF($E1076="weekday",INDEX('Category Mapping'!$F$28:$F$39,MATCH('Summarized Source Data'!$A1076,'Category Mapping'!$A$28:$A$39,0),1),INDEX('Category Mapping'!$E$28:$E$39,MATCH($A1076,'Category Mapping'!$A$28:$A$39,0),1))</f>
        <v>0</v>
      </c>
      <c r="O1076" s="27">
        <f>O496*IF($E1076="weekday",INDEX('Category Mapping'!$F$28:$F$39,MATCH('Summarized Source Data'!$A1076,'Category Mapping'!$A$28:$A$39,0),1),INDEX('Category Mapping'!$E$28:$E$39,MATCH($A1076,'Category Mapping'!$A$28:$A$39,0),1))</f>
        <v>1077240034.2857141</v>
      </c>
      <c r="P1076" s="27">
        <f>P496*IF($E1076="weekday",INDEX('Category Mapping'!$F$28:$F$39,MATCH('Summarized Source Data'!$A1076,'Category Mapping'!$A$28:$A$39,0),1),INDEX('Category Mapping'!$E$28:$E$39,MATCH($A1076,'Category Mapping'!$A$28:$A$39,0),1))</f>
        <v>1077240034.2857141</v>
      </c>
      <c r="Q1076" s="27">
        <f>Q496*IF($E1076="weekday",INDEX('Category Mapping'!$F$28:$F$39,MATCH('Summarized Source Data'!$A1076,'Category Mapping'!$A$28:$A$39,0),1),INDEX('Category Mapping'!$E$28:$E$39,MATCH($A1076,'Category Mapping'!$A$28:$A$39,0),1))</f>
        <v>1077240034.2857141</v>
      </c>
      <c r="R1076" s="27">
        <f>R496*IF($E1076="weekday",INDEX('Category Mapping'!$F$28:$F$39,MATCH('Summarized Source Data'!$A1076,'Category Mapping'!$A$28:$A$39,0),1),INDEX('Category Mapping'!$E$28:$E$39,MATCH($A1076,'Category Mapping'!$A$28:$A$39,0),1))</f>
        <v>48122074.285714284</v>
      </c>
      <c r="S1076" s="27">
        <f>S496*IF($E1076="weekday",INDEX('Category Mapping'!$F$28:$F$39,MATCH('Summarized Source Data'!$A1076,'Category Mapping'!$A$28:$A$39,0),1),INDEX('Category Mapping'!$E$28:$E$39,MATCH($A1076,'Category Mapping'!$A$28:$A$39,0),1))</f>
        <v>48122074.285714284</v>
      </c>
      <c r="T1076" s="27">
        <f>T496*IF($E1076="weekday",INDEX('Category Mapping'!$F$28:$F$39,MATCH('Summarized Source Data'!$A1076,'Category Mapping'!$A$28:$A$39,0),1),INDEX('Category Mapping'!$E$28:$E$39,MATCH($A1076,'Category Mapping'!$A$28:$A$39,0),1))</f>
        <v>48122074.285714284</v>
      </c>
      <c r="U1076" s="27">
        <f>U496*IF($E1076="weekday",INDEX('Category Mapping'!$F$28:$F$39,MATCH('Summarized Source Data'!$A1076,'Category Mapping'!$A$28:$A$39,0),1),INDEX('Category Mapping'!$E$28:$E$39,MATCH($A1076,'Category Mapping'!$A$28:$A$39,0),1))</f>
        <v>48122074.285714284</v>
      </c>
      <c r="V1076" s="27">
        <f>V496*IF($E1076="weekday",INDEX('Category Mapping'!$F$28:$F$39,MATCH('Summarized Source Data'!$A1076,'Category Mapping'!$A$28:$A$39,0),1),INDEX('Category Mapping'!$E$28:$E$39,MATCH($A1076,'Category Mapping'!$A$28:$A$39,0),1))</f>
        <v>48122074.285714284</v>
      </c>
      <c r="W1076" s="27">
        <f>W496*IF($E1076="weekday",INDEX('Category Mapping'!$F$28:$F$39,MATCH('Summarized Source Data'!$A1076,'Category Mapping'!$A$28:$A$39,0),1),INDEX('Category Mapping'!$E$28:$E$39,MATCH($A1076,'Category Mapping'!$A$28:$A$39,0),1))</f>
        <v>48122074.285714284</v>
      </c>
      <c r="X1076" s="27">
        <f>X496*IF($E1076="weekday",INDEX('Category Mapping'!$F$28:$F$39,MATCH('Summarized Source Data'!$A1076,'Category Mapping'!$A$28:$A$39,0),1),INDEX('Category Mapping'!$E$28:$E$39,MATCH($A1076,'Category Mapping'!$A$28:$A$39,0),1))</f>
        <v>2957142857.1428571</v>
      </c>
      <c r="Y1076" s="27">
        <f>Y496*IF($E1076="weekday",INDEX('Category Mapping'!$F$28:$F$39,MATCH('Summarized Source Data'!$A1076,'Category Mapping'!$A$28:$A$39,0),1),INDEX('Category Mapping'!$E$28:$E$39,MATCH($A1076,'Category Mapping'!$A$28:$A$39,0),1))</f>
        <v>2957142857.1428571</v>
      </c>
      <c r="Z1076" s="27">
        <f>Z496*IF($E1076="weekday",INDEX('Category Mapping'!$F$28:$F$39,MATCH('Summarized Source Data'!$A1076,'Category Mapping'!$A$28:$A$39,0),1),INDEX('Category Mapping'!$E$28:$E$39,MATCH($A1076,'Category Mapping'!$A$28:$A$39,0),1))</f>
        <v>2957142857.1428571</v>
      </c>
    </row>
    <row r="1077" spans="1:26" outlineLevel="1" x14ac:dyDescent="0.3">
      <c r="A1077">
        <f t="shared" ref="A1077:E1077" si="542">A497</f>
        <v>9</v>
      </c>
      <c r="B1077" t="str">
        <f t="shared" si="542"/>
        <v>Fall</v>
      </c>
      <c r="C1077" t="str">
        <f t="shared" si="542"/>
        <v>h14</v>
      </c>
      <c r="D1077" t="str">
        <f t="shared" si="542"/>
        <v>Hour13</v>
      </c>
      <c r="E1077" t="str">
        <f t="shared" si="542"/>
        <v>Weekend</v>
      </c>
      <c r="F1077" s="27">
        <f>F497*IF($E1077="weekday",INDEX('Category Mapping'!$F$28:$F$39,MATCH('Summarized Source Data'!$A1077,'Category Mapping'!$A$28:$A$39,0),1),INDEX('Category Mapping'!$E$28:$E$39,MATCH($A1077,'Category Mapping'!$A$28:$A$39,0),1))</f>
        <v>3594402.8571428568</v>
      </c>
      <c r="G1077" s="27">
        <f>G497*IF($E1077="weekday",INDEX('Category Mapping'!$F$28:$F$39,MATCH('Summarized Source Data'!$A1077,'Category Mapping'!$A$28:$A$39,0),1),INDEX('Category Mapping'!$E$28:$E$39,MATCH($A1077,'Category Mapping'!$A$28:$A$39,0),1))</f>
        <v>194571428.57142857</v>
      </c>
      <c r="H1077" s="27">
        <f>H497*IF($E1077="weekday",INDEX('Category Mapping'!$F$28:$F$39,MATCH('Summarized Source Data'!$A1077,'Category Mapping'!$A$28:$A$39,0),1),INDEX('Category Mapping'!$E$28:$E$39,MATCH($A1077,'Category Mapping'!$A$28:$A$39,0),1))</f>
        <v>0</v>
      </c>
      <c r="I1077" s="27">
        <f>I497*IF($E1077="weekday",INDEX('Category Mapping'!$F$28:$F$39,MATCH('Summarized Source Data'!$A1077,'Category Mapping'!$A$28:$A$39,0),1),INDEX('Category Mapping'!$E$28:$E$39,MATCH($A1077,'Category Mapping'!$A$28:$A$39,0),1))</f>
        <v>68161225.714285716</v>
      </c>
      <c r="J1077" s="27">
        <f>J497*IF($E1077="weekday",INDEX('Category Mapping'!$F$28:$F$39,MATCH('Summarized Source Data'!$A1077,'Category Mapping'!$A$28:$A$39,0),1),INDEX('Category Mapping'!$E$28:$E$39,MATCH($A1077,'Category Mapping'!$A$28:$A$39,0),1))</f>
        <v>685101514.28571427</v>
      </c>
      <c r="K1077" s="27">
        <f>K497*IF($E1077="weekday",INDEX('Category Mapping'!$F$28:$F$39,MATCH('Summarized Source Data'!$A1077,'Category Mapping'!$A$28:$A$39,0),1),INDEX('Category Mapping'!$E$28:$E$39,MATCH($A1077,'Category Mapping'!$A$28:$A$39,0),1))</f>
        <v>685101514.28571427</v>
      </c>
      <c r="L1077" s="27">
        <f>L497*IF($E1077="weekday",INDEX('Category Mapping'!$F$28:$F$39,MATCH('Summarized Source Data'!$A1077,'Category Mapping'!$A$28:$A$39,0),1),INDEX('Category Mapping'!$E$28:$E$39,MATCH($A1077,'Category Mapping'!$A$28:$A$39,0),1))</f>
        <v>4199708.5714285709</v>
      </c>
      <c r="M1077" s="27">
        <f>M497*IF($E1077="weekday",INDEX('Category Mapping'!$F$28:$F$39,MATCH('Summarized Source Data'!$A1077,'Category Mapping'!$A$28:$A$39,0),1),INDEX('Category Mapping'!$E$28:$E$39,MATCH($A1077,'Category Mapping'!$A$28:$A$39,0),1))</f>
        <v>528857142.85714287</v>
      </c>
      <c r="N1077" s="27">
        <f>N497*IF($E1077="weekday",INDEX('Category Mapping'!$F$28:$F$39,MATCH('Summarized Source Data'!$A1077,'Category Mapping'!$A$28:$A$39,0),1),INDEX('Category Mapping'!$E$28:$E$39,MATCH($A1077,'Category Mapping'!$A$28:$A$39,0),1))</f>
        <v>0</v>
      </c>
      <c r="O1077" s="27">
        <f>O497*IF($E1077="weekday",INDEX('Category Mapping'!$F$28:$F$39,MATCH('Summarized Source Data'!$A1077,'Category Mapping'!$A$28:$A$39,0),1),INDEX('Category Mapping'!$E$28:$E$39,MATCH($A1077,'Category Mapping'!$A$28:$A$39,0),1))</f>
        <v>1035514577.1428571</v>
      </c>
      <c r="P1077" s="27">
        <f>P497*IF($E1077="weekday",INDEX('Category Mapping'!$F$28:$F$39,MATCH('Summarized Source Data'!$A1077,'Category Mapping'!$A$28:$A$39,0),1),INDEX('Category Mapping'!$E$28:$E$39,MATCH($A1077,'Category Mapping'!$A$28:$A$39,0),1))</f>
        <v>1035514577.1428571</v>
      </c>
      <c r="Q1077" s="27">
        <f>Q497*IF($E1077="weekday",INDEX('Category Mapping'!$F$28:$F$39,MATCH('Summarized Source Data'!$A1077,'Category Mapping'!$A$28:$A$39,0),1),INDEX('Category Mapping'!$E$28:$E$39,MATCH($A1077,'Category Mapping'!$A$28:$A$39,0),1))</f>
        <v>1035514577.1428571</v>
      </c>
      <c r="R1077" s="27">
        <f>R497*IF($E1077="weekday",INDEX('Category Mapping'!$F$28:$F$39,MATCH('Summarized Source Data'!$A1077,'Category Mapping'!$A$28:$A$39,0),1),INDEX('Category Mapping'!$E$28:$E$39,MATCH($A1077,'Category Mapping'!$A$28:$A$39,0),1))</f>
        <v>45882162.857142858</v>
      </c>
      <c r="S1077" s="27">
        <f>S497*IF($E1077="weekday",INDEX('Category Mapping'!$F$28:$F$39,MATCH('Summarized Source Data'!$A1077,'Category Mapping'!$A$28:$A$39,0),1),INDEX('Category Mapping'!$E$28:$E$39,MATCH($A1077,'Category Mapping'!$A$28:$A$39,0),1))</f>
        <v>45882162.857142858</v>
      </c>
      <c r="T1077" s="27">
        <f>T497*IF($E1077="weekday",INDEX('Category Mapping'!$F$28:$F$39,MATCH('Summarized Source Data'!$A1077,'Category Mapping'!$A$28:$A$39,0),1),INDEX('Category Mapping'!$E$28:$E$39,MATCH($A1077,'Category Mapping'!$A$28:$A$39,0),1))</f>
        <v>45882162.857142858</v>
      </c>
      <c r="U1077" s="27">
        <f>U497*IF($E1077="weekday",INDEX('Category Mapping'!$F$28:$F$39,MATCH('Summarized Source Data'!$A1077,'Category Mapping'!$A$28:$A$39,0),1),INDEX('Category Mapping'!$E$28:$E$39,MATCH($A1077,'Category Mapping'!$A$28:$A$39,0),1))</f>
        <v>45882162.857142858</v>
      </c>
      <c r="V1077" s="27">
        <f>V497*IF($E1077="weekday",INDEX('Category Mapping'!$F$28:$F$39,MATCH('Summarized Source Data'!$A1077,'Category Mapping'!$A$28:$A$39,0),1),INDEX('Category Mapping'!$E$28:$E$39,MATCH($A1077,'Category Mapping'!$A$28:$A$39,0),1))</f>
        <v>45882162.857142858</v>
      </c>
      <c r="W1077" s="27">
        <f>W497*IF($E1077="weekday",INDEX('Category Mapping'!$F$28:$F$39,MATCH('Summarized Source Data'!$A1077,'Category Mapping'!$A$28:$A$39,0),1),INDEX('Category Mapping'!$E$28:$E$39,MATCH($A1077,'Category Mapping'!$A$28:$A$39,0),1))</f>
        <v>45882162.857142858</v>
      </c>
      <c r="X1077" s="27">
        <f>X497*IF($E1077="weekday",INDEX('Category Mapping'!$F$28:$F$39,MATCH('Summarized Source Data'!$A1077,'Category Mapping'!$A$28:$A$39,0),1),INDEX('Category Mapping'!$E$28:$E$39,MATCH($A1077,'Category Mapping'!$A$28:$A$39,0),1))</f>
        <v>2957142857.1428571</v>
      </c>
      <c r="Y1077" s="27">
        <f>Y497*IF($E1077="weekday",INDEX('Category Mapping'!$F$28:$F$39,MATCH('Summarized Source Data'!$A1077,'Category Mapping'!$A$28:$A$39,0),1),INDEX('Category Mapping'!$E$28:$E$39,MATCH($A1077,'Category Mapping'!$A$28:$A$39,0),1))</f>
        <v>2957142857.1428571</v>
      </c>
      <c r="Z1077" s="27">
        <f>Z497*IF($E1077="weekday",INDEX('Category Mapping'!$F$28:$F$39,MATCH('Summarized Source Data'!$A1077,'Category Mapping'!$A$28:$A$39,0),1),INDEX('Category Mapping'!$E$28:$E$39,MATCH($A1077,'Category Mapping'!$A$28:$A$39,0),1))</f>
        <v>2957142857.1428571</v>
      </c>
    </row>
    <row r="1078" spans="1:26" outlineLevel="1" x14ac:dyDescent="0.3">
      <c r="A1078">
        <f t="shared" ref="A1078:E1078" si="543">A498</f>
        <v>9</v>
      </c>
      <c r="B1078" t="str">
        <f t="shared" si="543"/>
        <v>Fall</v>
      </c>
      <c r="C1078" t="str">
        <f t="shared" si="543"/>
        <v>h15</v>
      </c>
      <c r="D1078" t="str">
        <f t="shared" si="543"/>
        <v>Hour14</v>
      </c>
      <c r="E1078" t="str">
        <f t="shared" si="543"/>
        <v>Weekend</v>
      </c>
      <c r="F1078" s="27">
        <f>F498*IF($E1078="weekday",INDEX('Category Mapping'!$F$28:$F$39,MATCH('Summarized Source Data'!$A1078,'Category Mapping'!$A$28:$A$39,0),1),INDEX('Category Mapping'!$E$28:$E$39,MATCH($A1078,'Category Mapping'!$A$28:$A$39,0),1))</f>
        <v>3570540</v>
      </c>
      <c r="G1078" s="27">
        <f>G498*IF($E1078="weekday",INDEX('Category Mapping'!$F$28:$F$39,MATCH('Summarized Source Data'!$A1078,'Category Mapping'!$A$28:$A$39,0),1),INDEX('Category Mapping'!$E$28:$E$39,MATCH($A1078,'Category Mapping'!$A$28:$A$39,0),1))</f>
        <v>198857142.85714287</v>
      </c>
      <c r="H1078" s="27">
        <f>H498*IF($E1078="weekday",INDEX('Category Mapping'!$F$28:$F$39,MATCH('Summarized Source Data'!$A1078,'Category Mapping'!$A$28:$A$39,0),1),INDEX('Category Mapping'!$E$28:$E$39,MATCH($A1078,'Category Mapping'!$A$28:$A$39,0),1))</f>
        <v>0</v>
      </c>
      <c r="I1078" s="27">
        <f>I498*IF($E1078="weekday",INDEX('Category Mapping'!$F$28:$F$39,MATCH('Summarized Source Data'!$A1078,'Category Mapping'!$A$28:$A$39,0),1),INDEX('Category Mapping'!$E$28:$E$39,MATCH($A1078,'Category Mapping'!$A$28:$A$39,0),1))</f>
        <v>67444028.571428567</v>
      </c>
      <c r="J1078" s="27">
        <f>J498*IF($E1078="weekday",INDEX('Category Mapping'!$F$28:$F$39,MATCH('Summarized Source Data'!$A1078,'Category Mapping'!$A$28:$A$39,0),1),INDEX('Category Mapping'!$E$28:$E$39,MATCH($A1078,'Category Mapping'!$A$28:$A$39,0),1))</f>
        <v>715842574.28571427</v>
      </c>
      <c r="K1078" s="27">
        <f>K498*IF($E1078="weekday",INDEX('Category Mapping'!$F$28:$F$39,MATCH('Summarized Source Data'!$A1078,'Category Mapping'!$A$28:$A$39,0),1),INDEX('Category Mapping'!$E$28:$E$39,MATCH($A1078,'Category Mapping'!$A$28:$A$39,0),1))</f>
        <v>715842574.28571427</v>
      </c>
      <c r="L1078" s="27">
        <f>L498*IF($E1078="weekday",INDEX('Category Mapping'!$F$28:$F$39,MATCH('Summarized Source Data'!$A1078,'Category Mapping'!$A$28:$A$39,0),1),INDEX('Category Mapping'!$E$28:$E$39,MATCH($A1078,'Category Mapping'!$A$28:$A$39,0),1))</f>
        <v>4109622.8571428568</v>
      </c>
      <c r="M1078" s="27">
        <f>M498*IF($E1078="weekday",INDEX('Category Mapping'!$F$28:$F$39,MATCH('Summarized Source Data'!$A1078,'Category Mapping'!$A$28:$A$39,0),1),INDEX('Category Mapping'!$E$28:$E$39,MATCH($A1078,'Category Mapping'!$A$28:$A$39,0),1))</f>
        <v>534857142.85714287</v>
      </c>
      <c r="N1078" s="27">
        <f>N498*IF($E1078="weekday",INDEX('Category Mapping'!$F$28:$F$39,MATCH('Summarized Source Data'!$A1078,'Category Mapping'!$A$28:$A$39,0),1),INDEX('Category Mapping'!$E$28:$E$39,MATCH($A1078,'Category Mapping'!$A$28:$A$39,0),1))</f>
        <v>0</v>
      </c>
      <c r="O1078" s="27">
        <f>O498*IF($E1078="weekday",INDEX('Category Mapping'!$F$28:$F$39,MATCH('Summarized Source Data'!$A1078,'Category Mapping'!$A$28:$A$39,0),1),INDEX('Category Mapping'!$E$28:$E$39,MATCH($A1078,'Category Mapping'!$A$28:$A$39,0),1))</f>
        <v>986747520</v>
      </c>
      <c r="P1078" s="27">
        <f>P498*IF($E1078="weekday",INDEX('Category Mapping'!$F$28:$F$39,MATCH('Summarized Source Data'!$A1078,'Category Mapping'!$A$28:$A$39,0),1),INDEX('Category Mapping'!$E$28:$E$39,MATCH($A1078,'Category Mapping'!$A$28:$A$39,0),1))</f>
        <v>986747520</v>
      </c>
      <c r="Q1078" s="27">
        <f>Q498*IF($E1078="weekday",INDEX('Category Mapping'!$F$28:$F$39,MATCH('Summarized Source Data'!$A1078,'Category Mapping'!$A$28:$A$39,0),1),INDEX('Category Mapping'!$E$28:$E$39,MATCH($A1078,'Category Mapping'!$A$28:$A$39,0),1))</f>
        <v>986747520</v>
      </c>
      <c r="R1078" s="27">
        <f>R498*IF($E1078="weekday",INDEX('Category Mapping'!$F$28:$F$39,MATCH('Summarized Source Data'!$A1078,'Category Mapping'!$A$28:$A$39,0),1),INDEX('Category Mapping'!$E$28:$E$39,MATCH($A1078,'Category Mapping'!$A$28:$A$39,0),1))</f>
        <v>45279891.428571425</v>
      </c>
      <c r="S1078" s="27">
        <f>S498*IF($E1078="weekday",INDEX('Category Mapping'!$F$28:$F$39,MATCH('Summarized Source Data'!$A1078,'Category Mapping'!$A$28:$A$39,0),1),INDEX('Category Mapping'!$E$28:$E$39,MATCH($A1078,'Category Mapping'!$A$28:$A$39,0),1))</f>
        <v>45279891.428571425</v>
      </c>
      <c r="T1078" s="27">
        <f>T498*IF($E1078="weekday",INDEX('Category Mapping'!$F$28:$F$39,MATCH('Summarized Source Data'!$A1078,'Category Mapping'!$A$28:$A$39,0),1),INDEX('Category Mapping'!$E$28:$E$39,MATCH($A1078,'Category Mapping'!$A$28:$A$39,0),1))</f>
        <v>45279891.428571425</v>
      </c>
      <c r="U1078" s="27">
        <f>U498*IF($E1078="weekday",INDEX('Category Mapping'!$F$28:$F$39,MATCH('Summarized Source Data'!$A1078,'Category Mapping'!$A$28:$A$39,0),1),INDEX('Category Mapping'!$E$28:$E$39,MATCH($A1078,'Category Mapping'!$A$28:$A$39,0),1))</f>
        <v>45279891.428571425</v>
      </c>
      <c r="V1078" s="27">
        <f>V498*IF($E1078="weekday",INDEX('Category Mapping'!$F$28:$F$39,MATCH('Summarized Source Data'!$A1078,'Category Mapping'!$A$28:$A$39,0),1),INDEX('Category Mapping'!$E$28:$E$39,MATCH($A1078,'Category Mapping'!$A$28:$A$39,0),1))</f>
        <v>45279891.428571425</v>
      </c>
      <c r="W1078" s="27">
        <f>W498*IF($E1078="weekday",INDEX('Category Mapping'!$F$28:$F$39,MATCH('Summarized Source Data'!$A1078,'Category Mapping'!$A$28:$A$39,0),1),INDEX('Category Mapping'!$E$28:$E$39,MATCH($A1078,'Category Mapping'!$A$28:$A$39,0),1))</f>
        <v>45279891.428571425</v>
      </c>
      <c r="X1078" s="27">
        <f>X498*IF($E1078="weekday",INDEX('Category Mapping'!$F$28:$F$39,MATCH('Summarized Source Data'!$A1078,'Category Mapping'!$A$28:$A$39,0),1),INDEX('Category Mapping'!$E$28:$E$39,MATCH($A1078,'Category Mapping'!$A$28:$A$39,0),1))</f>
        <v>2965714285.7142859</v>
      </c>
      <c r="Y1078" s="27">
        <f>Y498*IF($E1078="weekday",INDEX('Category Mapping'!$F$28:$F$39,MATCH('Summarized Source Data'!$A1078,'Category Mapping'!$A$28:$A$39,0),1),INDEX('Category Mapping'!$E$28:$E$39,MATCH($A1078,'Category Mapping'!$A$28:$A$39,0),1))</f>
        <v>2965714285.7142859</v>
      </c>
      <c r="Z1078" s="27">
        <f>Z498*IF($E1078="weekday",INDEX('Category Mapping'!$F$28:$F$39,MATCH('Summarized Source Data'!$A1078,'Category Mapping'!$A$28:$A$39,0),1),INDEX('Category Mapping'!$E$28:$E$39,MATCH($A1078,'Category Mapping'!$A$28:$A$39,0),1))</f>
        <v>2965714285.7142859</v>
      </c>
    </row>
    <row r="1079" spans="1:26" outlineLevel="1" x14ac:dyDescent="0.3">
      <c r="A1079">
        <f t="shared" ref="A1079:E1079" si="544">A499</f>
        <v>9</v>
      </c>
      <c r="B1079" t="str">
        <f t="shared" si="544"/>
        <v>Fall</v>
      </c>
      <c r="C1079" t="str">
        <f t="shared" si="544"/>
        <v>h16</v>
      </c>
      <c r="D1079" t="str">
        <f t="shared" si="544"/>
        <v>Hour15</v>
      </c>
      <c r="E1079" t="str">
        <f t="shared" si="544"/>
        <v>Weekend</v>
      </c>
      <c r="F1079" s="27">
        <f>F499*IF($E1079="weekday",INDEX('Category Mapping'!$F$28:$F$39,MATCH('Summarized Source Data'!$A1079,'Category Mapping'!$A$28:$A$39,0),1),INDEX('Category Mapping'!$E$28:$E$39,MATCH($A1079,'Category Mapping'!$A$28:$A$39,0),1))</f>
        <v>3576171.4285714286</v>
      </c>
      <c r="G1079" s="27">
        <f>G499*IF($E1079="weekday",INDEX('Category Mapping'!$F$28:$F$39,MATCH('Summarized Source Data'!$A1079,'Category Mapping'!$A$28:$A$39,0),1),INDEX('Category Mapping'!$E$28:$E$39,MATCH($A1079,'Category Mapping'!$A$28:$A$39,0),1))</f>
        <v>193714285.7142857</v>
      </c>
      <c r="H1079" s="27">
        <f>H499*IF($E1079="weekday",INDEX('Category Mapping'!$F$28:$F$39,MATCH('Summarized Source Data'!$A1079,'Category Mapping'!$A$28:$A$39,0),1),INDEX('Category Mapping'!$E$28:$E$39,MATCH($A1079,'Category Mapping'!$A$28:$A$39,0),1))</f>
        <v>0</v>
      </c>
      <c r="I1079" s="27">
        <f>I499*IF($E1079="weekday",INDEX('Category Mapping'!$F$28:$F$39,MATCH('Summarized Source Data'!$A1079,'Category Mapping'!$A$28:$A$39,0),1),INDEX('Category Mapping'!$E$28:$E$39,MATCH($A1079,'Category Mapping'!$A$28:$A$39,0),1))</f>
        <v>67613280</v>
      </c>
      <c r="J1079" s="27">
        <f>J499*IF($E1079="weekday",INDEX('Category Mapping'!$F$28:$F$39,MATCH('Summarized Source Data'!$A1079,'Category Mapping'!$A$28:$A$39,0),1),INDEX('Category Mapping'!$E$28:$E$39,MATCH($A1079,'Category Mapping'!$A$28:$A$39,0),1))</f>
        <v>746524834.28571427</v>
      </c>
      <c r="K1079" s="27">
        <f>K499*IF($E1079="weekday",INDEX('Category Mapping'!$F$28:$F$39,MATCH('Summarized Source Data'!$A1079,'Category Mapping'!$A$28:$A$39,0),1),INDEX('Category Mapping'!$E$28:$E$39,MATCH($A1079,'Category Mapping'!$A$28:$A$39,0),1))</f>
        <v>746524834.28571427</v>
      </c>
      <c r="L1079" s="27">
        <f>L499*IF($E1079="weekday",INDEX('Category Mapping'!$F$28:$F$39,MATCH('Summarized Source Data'!$A1079,'Category Mapping'!$A$28:$A$39,0),1),INDEX('Category Mapping'!$E$28:$E$39,MATCH($A1079,'Category Mapping'!$A$28:$A$39,0),1))</f>
        <v>3517234.2857142854</v>
      </c>
      <c r="M1079" s="27">
        <f>M499*IF($E1079="weekday",INDEX('Category Mapping'!$F$28:$F$39,MATCH('Summarized Source Data'!$A1079,'Category Mapping'!$A$28:$A$39,0),1),INDEX('Category Mapping'!$E$28:$E$39,MATCH($A1079,'Category Mapping'!$A$28:$A$39,0),1))</f>
        <v>528857142.85714287</v>
      </c>
      <c r="N1079" s="27">
        <f>N499*IF($E1079="weekday",INDEX('Category Mapping'!$F$28:$F$39,MATCH('Summarized Source Data'!$A1079,'Category Mapping'!$A$28:$A$39,0),1),INDEX('Category Mapping'!$E$28:$E$39,MATCH($A1079,'Category Mapping'!$A$28:$A$39,0),1))</f>
        <v>0</v>
      </c>
      <c r="O1079" s="27">
        <f>O499*IF($E1079="weekday",INDEX('Category Mapping'!$F$28:$F$39,MATCH('Summarized Source Data'!$A1079,'Category Mapping'!$A$28:$A$39,0),1),INDEX('Category Mapping'!$E$28:$E$39,MATCH($A1079,'Category Mapping'!$A$28:$A$39,0),1))</f>
        <v>916197051.42857134</v>
      </c>
      <c r="P1079" s="27">
        <f>P499*IF($E1079="weekday",INDEX('Category Mapping'!$F$28:$F$39,MATCH('Summarized Source Data'!$A1079,'Category Mapping'!$A$28:$A$39,0),1),INDEX('Category Mapping'!$E$28:$E$39,MATCH($A1079,'Category Mapping'!$A$28:$A$39,0),1))</f>
        <v>916197051.42857134</v>
      </c>
      <c r="Q1079" s="27">
        <f>Q499*IF($E1079="weekday",INDEX('Category Mapping'!$F$28:$F$39,MATCH('Summarized Source Data'!$A1079,'Category Mapping'!$A$28:$A$39,0),1),INDEX('Category Mapping'!$E$28:$E$39,MATCH($A1079,'Category Mapping'!$A$28:$A$39,0),1))</f>
        <v>916197051.42857134</v>
      </c>
      <c r="R1079" s="27">
        <f>R499*IF($E1079="weekday",INDEX('Category Mapping'!$F$28:$F$39,MATCH('Summarized Source Data'!$A1079,'Category Mapping'!$A$28:$A$39,0),1),INDEX('Category Mapping'!$E$28:$E$39,MATCH($A1079,'Category Mapping'!$A$28:$A$39,0),1))</f>
        <v>44376480</v>
      </c>
      <c r="S1079" s="27">
        <f>S499*IF($E1079="weekday",INDEX('Category Mapping'!$F$28:$F$39,MATCH('Summarized Source Data'!$A1079,'Category Mapping'!$A$28:$A$39,0),1),INDEX('Category Mapping'!$E$28:$E$39,MATCH($A1079,'Category Mapping'!$A$28:$A$39,0),1))</f>
        <v>44376480</v>
      </c>
      <c r="T1079" s="27">
        <f>T499*IF($E1079="weekday",INDEX('Category Mapping'!$F$28:$F$39,MATCH('Summarized Source Data'!$A1079,'Category Mapping'!$A$28:$A$39,0),1),INDEX('Category Mapping'!$E$28:$E$39,MATCH($A1079,'Category Mapping'!$A$28:$A$39,0),1))</f>
        <v>44376480</v>
      </c>
      <c r="U1079" s="27">
        <f>U499*IF($E1079="weekday",INDEX('Category Mapping'!$F$28:$F$39,MATCH('Summarized Source Data'!$A1079,'Category Mapping'!$A$28:$A$39,0),1),INDEX('Category Mapping'!$E$28:$E$39,MATCH($A1079,'Category Mapping'!$A$28:$A$39,0),1))</f>
        <v>44376480</v>
      </c>
      <c r="V1079" s="27">
        <f>V499*IF($E1079="weekday",INDEX('Category Mapping'!$F$28:$F$39,MATCH('Summarized Source Data'!$A1079,'Category Mapping'!$A$28:$A$39,0),1),INDEX('Category Mapping'!$E$28:$E$39,MATCH($A1079,'Category Mapping'!$A$28:$A$39,0),1))</f>
        <v>44376480</v>
      </c>
      <c r="W1079" s="27">
        <f>W499*IF($E1079="weekday",INDEX('Category Mapping'!$F$28:$F$39,MATCH('Summarized Source Data'!$A1079,'Category Mapping'!$A$28:$A$39,0),1),INDEX('Category Mapping'!$E$28:$E$39,MATCH($A1079,'Category Mapping'!$A$28:$A$39,0),1))</f>
        <v>44376480</v>
      </c>
      <c r="X1079" s="27">
        <f>X499*IF($E1079="weekday",INDEX('Category Mapping'!$F$28:$F$39,MATCH('Summarized Source Data'!$A1079,'Category Mapping'!$A$28:$A$39,0),1),INDEX('Category Mapping'!$E$28:$E$39,MATCH($A1079,'Category Mapping'!$A$28:$A$39,0),1))</f>
        <v>3000000000</v>
      </c>
      <c r="Y1079" s="27">
        <f>Y499*IF($E1079="weekday",INDEX('Category Mapping'!$F$28:$F$39,MATCH('Summarized Source Data'!$A1079,'Category Mapping'!$A$28:$A$39,0),1),INDEX('Category Mapping'!$E$28:$E$39,MATCH($A1079,'Category Mapping'!$A$28:$A$39,0),1))</f>
        <v>3000000000</v>
      </c>
      <c r="Z1079" s="27">
        <f>Z499*IF($E1079="weekday",INDEX('Category Mapping'!$F$28:$F$39,MATCH('Summarized Source Data'!$A1079,'Category Mapping'!$A$28:$A$39,0),1),INDEX('Category Mapping'!$E$28:$E$39,MATCH($A1079,'Category Mapping'!$A$28:$A$39,0),1))</f>
        <v>3000000000</v>
      </c>
    </row>
    <row r="1080" spans="1:26" outlineLevel="1" x14ac:dyDescent="0.3">
      <c r="A1080">
        <f t="shared" ref="A1080:E1080" si="545">A500</f>
        <v>9</v>
      </c>
      <c r="B1080" t="str">
        <f t="shared" si="545"/>
        <v>Fall</v>
      </c>
      <c r="C1080" t="str">
        <f t="shared" si="545"/>
        <v>h17</v>
      </c>
      <c r="D1080" t="str">
        <f t="shared" si="545"/>
        <v>Hour16</v>
      </c>
      <c r="E1080" t="str">
        <f t="shared" si="545"/>
        <v>Weekend</v>
      </c>
      <c r="F1080" s="27">
        <f>F500*IF($E1080="weekday",INDEX('Category Mapping'!$F$28:$F$39,MATCH('Summarized Source Data'!$A1080,'Category Mapping'!$A$28:$A$39,0),1),INDEX('Category Mapping'!$E$28:$E$39,MATCH($A1080,'Category Mapping'!$A$28:$A$39,0),1))</f>
        <v>3637602.8571428568</v>
      </c>
      <c r="G1080" s="27">
        <f>G500*IF($E1080="weekday",INDEX('Category Mapping'!$F$28:$F$39,MATCH('Summarized Source Data'!$A1080,'Category Mapping'!$A$28:$A$39,0),1),INDEX('Category Mapping'!$E$28:$E$39,MATCH($A1080,'Category Mapping'!$A$28:$A$39,0),1))</f>
        <v>180857142.85714287</v>
      </c>
      <c r="H1080" s="27">
        <f>H500*IF($E1080="weekday",INDEX('Category Mapping'!$F$28:$F$39,MATCH('Summarized Source Data'!$A1080,'Category Mapping'!$A$28:$A$39,0),1),INDEX('Category Mapping'!$E$28:$E$39,MATCH($A1080,'Category Mapping'!$A$28:$A$39,0),1))</f>
        <v>0</v>
      </c>
      <c r="I1080" s="27">
        <f>I500*IF($E1080="weekday",INDEX('Category Mapping'!$F$28:$F$39,MATCH('Summarized Source Data'!$A1080,'Category Mapping'!$A$28:$A$39,0),1),INDEX('Category Mapping'!$E$28:$E$39,MATCH($A1080,'Category Mapping'!$A$28:$A$39,0),1))</f>
        <v>69459651.428571433</v>
      </c>
      <c r="J1080" s="27">
        <f>J500*IF($E1080="weekday",INDEX('Category Mapping'!$F$28:$F$39,MATCH('Summarized Source Data'!$A1080,'Category Mapping'!$A$28:$A$39,0),1),INDEX('Category Mapping'!$E$28:$E$39,MATCH($A1080,'Category Mapping'!$A$28:$A$39,0),1))</f>
        <v>800331317.14285707</v>
      </c>
      <c r="K1080" s="27">
        <f>K500*IF($E1080="weekday",INDEX('Category Mapping'!$F$28:$F$39,MATCH('Summarized Source Data'!$A1080,'Category Mapping'!$A$28:$A$39,0),1),INDEX('Category Mapping'!$E$28:$E$39,MATCH($A1080,'Category Mapping'!$A$28:$A$39,0),1))</f>
        <v>800331317.14285707</v>
      </c>
      <c r="L1080" s="27">
        <f>L500*IF($E1080="weekday",INDEX('Category Mapping'!$F$28:$F$39,MATCH('Summarized Source Data'!$A1080,'Category Mapping'!$A$28:$A$39,0),1),INDEX('Category Mapping'!$E$28:$E$39,MATCH($A1080,'Category Mapping'!$A$28:$A$39,0),1))</f>
        <v>3552591.4285714286</v>
      </c>
      <c r="M1080" s="27">
        <f>M500*IF($E1080="weekday",INDEX('Category Mapping'!$F$28:$F$39,MATCH('Summarized Source Data'!$A1080,'Category Mapping'!$A$28:$A$39,0),1),INDEX('Category Mapping'!$E$28:$E$39,MATCH($A1080,'Category Mapping'!$A$28:$A$39,0),1))</f>
        <v>509142857.14285713</v>
      </c>
      <c r="N1080" s="27">
        <f>N500*IF($E1080="weekday",INDEX('Category Mapping'!$F$28:$F$39,MATCH('Summarized Source Data'!$A1080,'Category Mapping'!$A$28:$A$39,0),1),INDEX('Category Mapping'!$E$28:$E$39,MATCH($A1080,'Category Mapping'!$A$28:$A$39,0),1))</f>
        <v>0</v>
      </c>
      <c r="O1080" s="27">
        <f>O500*IF($E1080="weekday",INDEX('Category Mapping'!$F$28:$F$39,MATCH('Summarized Source Data'!$A1080,'Category Mapping'!$A$28:$A$39,0),1),INDEX('Category Mapping'!$E$28:$E$39,MATCH($A1080,'Category Mapping'!$A$28:$A$39,0),1))</f>
        <v>875875980</v>
      </c>
      <c r="P1080" s="27">
        <f>P500*IF($E1080="weekday",INDEX('Category Mapping'!$F$28:$F$39,MATCH('Summarized Source Data'!$A1080,'Category Mapping'!$A$28:$A$39,0),1),INDEX('Category Mapping'!$E$28:$E$39,MATCH($A1080,'Category Mapping'!$A$28:$A$39,0),1))</f>
        <v>875875980</v>
      </c>
      <c r="Q1080" s="27">
        <f>Q500*IF($E1080="weekday",INDEX('Category Mapping'!$F$28:$F$39,MATCH('Summarized Source Data'!$A1080,'Category Mapping'!$A$28:$A$39,0),1),INDEX('Category Mapping'!$E$28:$E$39,MATCH($A1080,'Category Mapping'!$A$28:$A$39,0),1))</f>
        <v>875875980</v>
      </c>
      <c r="R1080" s="27">
        <f>R500*IF($E1080="weekday",INDEX('Category Mapping'!$F$28:$F$39,MATCH('Summarized Source Data'!$A1080,'Category Mapping'!$A$28:$A$39,0),1),INDEX('Category Mapping'!$E$28:$E$39,MATCH($A1080,'Category Mapping'!$A$28:$A$39,0),1))</f>
        <v>50751120</v>
      </c>
      <c r="S1080" s="27">
        <f>S500*IF($E1080="weekday",INDEX('Category Mapping'!$F$28:$F$39,MATCH('Summarized Source Data'!$A1080,'Category Mapping'!$A$28:$A$39,0),1),INDEX('Category Mapping'!$E$28:$E$39,MATCH($A1080,'Category Mapping'!$A$28:$A$39,0),1))</f>
        <v>50751120</v>
      </c>
      <c r="T1080" s="27">
        <f>T500*IF($E1080="weekday",INDEX('Category Mapping'!$F$28:$F$39,MATCH('Summarized Source Data'!$A1080,'Category Mapping'!$A$28:$A$39,0),1),INDEX('Category Mapping'!$E$28:$E$39,MATCH($A1080,'Category Mapping'!$A$28:$A$39,0),1))</f>
        <v>50751120</v>
      </c>
      <c r="U1080" s="27">
        <f>U500*IF($E1080="weekday",INDEX('Category Mapping'!$F$28:$F$39,MATCH('Summarized Source Data'!$A1080,'Category Mapping'!$A$28:$A$39,0),1),INDEX('Category Mapping'!$E$28:$E$39,MATCH($A1080,'Category Mapping'!$A$28:$A$39,0),1))</f>
        <v>50751120</v>
      </c>
      <c r="V1080" s="27">
        <f>V500*IF($E1080="weekday",INDEX('Category Mapping'!$F$28:$F$39,MATCH('Summarized Source Data'!$A1080,'Category Mapping'!$A$28:$A$39,0),1),INDEX('Category Mapping'!$E$28:$E$39,MATCH($A1080,'Category Mapping'!$A$28:$A$39,0),1))</f>
        <v>50751120</v>
      </c>
      <c r="W1080" s="27">
        <f>W500*IF($E1080="weekday",INDEX('Category Mapping'!$F$28:$F$39,MATCH('Summarized Source Data'!$A1080,'Category Mapping'!$A$28:$A$39,0),1),INDEX('Category Mapping'!$E$28:$E$39,MATCH($A1080,'Category Mapping'!$A$28:$A$39,0),1))</f>
        <v>50751120</v>
      </c>
      <c r="X1080" s="27">
        <f>X500*IF($E1080="weekday",INDEX('Category Mapping'!$F$28:$F$39,MATCH('Summarized Source Data'!$A1080,'Category Mapping'!$A$28:$A$39,0),1),INDEX('Category Mapping'!$E$28:$E$39,MATCH($A1080,'Category Mapping'!$A$28:$A$39,0),1))</f>
        <v>3034285714.2857141</v>
      </c>
      <c r="Y1080" s="27">
        <f>Y500*IF($E1080="weekday",INDEX('Category Mapping'!$F$28:$F$39,MATCH('Summarized Source Data'!$A1080,'Category Mapping'!$A$28:$A$39,0),1),INDEX('Category Mapping'!$E$28:$E$39,MATCH($A1080,'Category Mapping'!$A$28:$A$39,0),1))</f>
        <v>3034285714.2857141</v>
      </c>
      <c r="Z1080" s="27">
        <f>Z500*IF($E1080="weekday",INDEX('Category Mapping'!$F$28:$F$39,MATCH('Summarized Source Data'!$A1080,'Category Mapping'!$A$28:$A$39,0),1),INDEX('Category Mapping'!$E$28:$E$39,MATCH($A1080,'Category Mapping'!$A$28:$A$39,0),1))</f>
        <v>3034285714.2857141</v>
      </c>
    </row>
    <row r="1081" spans="1:26" outlineLevel="1" x14ac:dyDescent="0.3">
      <c r="A1081">
        <f t="shared" ref="A1081:E1081" si="546">A501</f>
        <v>9</v>
      </c>
      <c r="B1081" t="str">
        <f t="shared" si="546"/>
        <v>Fall</v>
      </c>
      <c r="C1081" t="str">
        <f t="shared" si="546"/>
        <v>h18</v>
      </c>
      <c r="D1081" t="str">
        <f t="shared" si="546"/>
        <v>Hour17</v>
      </c>
      <c r="E1081" t="str">
        <f t="shared" si="546"/>
        <v>Weekend</v>
      </c>
      <c r="F1081" s="27">
        <f>F501*IF($E1081="weekday",INDEX('Category Mapping'!$F$28:$F$39,MATCH('Summarized Source Data'!$A1081,'Category Mapping'!$A$28:$A$39,0),1),INDEX('Category Mapping'!$E$28:$E$39,MATCH($A1081,'Category Mapping'!$A$28:$A$39,0),1))</f>
        <v>3752288.5714285714</v>
      </c>
      <c r="G1081" s="27">
        <f>G501*IF($E1081="weekday",INDEX('Category Mapping'!$F$28:$F$39,MATCH('Summarized Source Data'!$A1081,'Category Mapping'!$A$28:$A$39,0),1),INDEX('Category Mapping'!$E$28:$E$39,MATCH($A1081,'Category Mapping'!$A$28:$A$39,0),1))</f>
        <v>166285714.28571427</v>
      </c>
      <c r="H1081" s="27">
        <f>H501*IF($E1081="weekday",INDEX('Category Mapping'!$F$28:$F$39,MATCH('Summarized Source Data'!$A1081,'Category Mapping'!$A$28:$A$39,0),1),INDEX('Category Mapping'!$E$28:$E$39,MATCH($A1081,'Category Mapping'!$A$28:$A$39,0),1))</f>
        <v>0</v>
      </c>
      <c r="I1081" s="27">
        <f>I501*IF($E1081="weekday",INDEX('Category Mapping'!$F$28:$F$39,MATCH('Summarized Source Data'!$A1081,'Category Mapping'!$A$28:$A$39,0),1),INDEX('Category Mapping'!$E$28:$E$39,MATCH($A1081,'Category Mapping'!$A$28:$A$39,0),1))</f>
        <v>146571428.57142857</v>
      </c>
      <c r="J1081" s="27">
        <f>J501*IF($E1081="weekday",INDEX('Category Mapping'!$F$28:$F$39,MATCH('Summarized Source Data'!$A1081,'Category Mapping'!$A$28:$A$39,0),1),INDEX('Category Mapping'!$E$28:$E$39,MATCH($A1081,'Category Mapping'!$A$28:$A$39,0),1))</f>
        <v>797676282.85714281</v>
      </c>
      <c r="K1081" s="27">
        <f>K501*IF($E1081="weekday",INDEX('Category Mapping'!$F$28:$F$39,MATCH('Summarized Source Data'!$A1081,'Category Mapping'!$A$28:$A$39,0),1),INDEX('Category Mapping'!$E$28:$E$39,MATCH($A1081,'Category Mapping'!$A$28:$A$39,0),1))</f>
        <v>797676282.85714281</v>
      </c>
      <c r="L1081" s="27">
        <f>L501*IF($E1081="weekday",INDEX('Category Mapping'!$F$28:$F$39,MATCH('Summarized Source Data'!$A1081,'Category Mapping'!$A$28:$A$39,0),1),INDEX('Category Mapping'!$E$28:$E$39,MATCH($A1081,'Category Mapping'!$A$28:$A$39,0),1))</f>
        <v>3953777.1428571427</v>
      </c>
      <c r="M1081" s="27">
        <f>M501*IF($E1081="weekday",INDEX('Category Mapping'!$F$28:$F$39,MATCH('Summarized Source Data'!$A1081,'Category Mapping'!$A$28:$A$39,0),1),INDEX('Category Mapping'!$E$28:$E$39,MATCH($A1081,'Category Mapping'!$A$28:$A$39,0),1))</f>
        <v>476571428.57142854</v>
      </c>
      <c r="N1081" s="27">
        <f>N501*IF($E1081="weekday",INDEX('Category Mapping'!$F$28:$F$39,MATCH('Summarized Source Data'!$A1081,'Category Mapping'!$A$28:$A$39,0),1),INDEX('Category Mapping'!$E$28:$E$39,MATCH($A1081,'Category Mapping'!$A$28:$A$39,0),1))</f>
        <v>0</v>
      </c>
      <c r="O1081" s="27">
        <f>O501*IF($E1081="weekday",INDEX('Category Mapping'!$F$28:$F$39,MATCH('Summarized Source Data'!$A1081,'Category Mapping'!$A$28:$A$39,0),1),INDEX('Category Mapping'!$E$28:$E$39,MATCH($A1081,'Category Mapping'!$A$28:$A$39,0),1))</f>
        <v>882331937.14285707</v>
      </c>
      <c r="P1081" s="27">
        <f>P501*IF($E1081="weekday",INDEX('Category Mapping'!$F$28:$F$39,MATCH('Summarized Source Data'!$A1081,'Category Mapping'!$A$28:$A$39,0),1),INDEX('Category Mapping'!$E$28:$E$39,MATCH($A1081,'Category Mapping'!$A$28:$A$39,0),1))</f>
        <v>882331937.14285707</v>
      </c>
      <c r="Q1081" s="27">
        <f>Q501*IF($E1081="weekday",INDEX('Category Mapping'!$F$28:$F$39,MATCH('Summarized Source Data'!$A1081,'Category Mapping'!$A$28:$A$39,0),1),INDEX('Category Mapping'!$E$28:$E$39,MATCH($A1081,'Category Mapping'!$A$28:$A$39,0),1))</f>
        <v>882331937.14285707</v>
      </c>
      <c r="R1081" s="27">
        <f>R501*IF($E1081="weekday",INDEX('Category Mapping'!$F$28:$F$39,MATCH('Summarized Source Data'!$A1081,'Category Mapping'!$A$28:$A$39,0),1),INDEX('Category Mapping'!$E$28:$E$39,MATCH($A1081,'Category Mapping'!$A$28:$A$39,0),1))</f>
        <v>50801305.714285716</v>
      </c>
      <c r="S1081" s="27">
        <f>S501*IF($E1081="weekday",INDEX('Category Mapping'!$F$28:$F$39,MATCH('Summarized Source Data'!$A1081,'Category Mapping'!$A$28:$A$39,0),1),INDEX('Category Mapping'!$E$28:$E$39,MATCH($A1081,'Category Mapping'!$A$28:$A$39,0),1))</f>
        <v>50801305.714285716</v>
      </c>
      <c r="T1081" s="27">
        <f>T501*IF($E1081="weekday",INDEX('Category Mapping'!$F$28:$F$39,MATCH('Summarized Source Data'!$A1081,'Category Mapping'!$A$28:$A$39,0),1),INDEX('Category Mapping'!$E$28:$E$39,MATCH($A1081,'Category Mapping'!$A$28:$A$39,0),1))</f>
        <v>50801305.714285716</v>
      </c>
      <c r="U1081" s="27">
        <f>U501*IF($E1081="weekday",INDEX('Category Mapping'!$F$28:$F$39,MATCH('Summarized Source Data'!$A1081,'Category Mapping'!$A$28:$A$39,0),1),INDEX('Category Mapping'!$E$28:$E$39,MATCH($A1081,'Category Mapping'!$A$28:$A$39,0),1))</f>
        <v>50801305.714285716</v>
      </c>
      <c r="V1081" s="27">
        <f>V501*IF($E1081="weekday",INDEX('Category Mapping'!$F$28:$F$39,MATCH('Summarized Source Data'!$A1081,'Category Mapping'!$A$28:$A$39,0),1),INDEX('Category Mapping'!$E$28:$E$39,MATCH($A1081,'Category Mapping'!$A$28:$A$39,0),1))</f>
        <v>50801305.714285716</v>
      </c>
      <c r="W1081" s="27">
        <f>W501*IF($E1081="weekday",INDEX('Category Mapping'!$F$28:$F$39,MATCH('Summarized Source Data'!$A1081,'Category Mapping'!$A$28:$A$39,0),1),INDEX('Category Mapping'!$E$28:$E$39,MATCH($A1081,'Category Mapping'!$A$28:$A$39,0),1))</f>
        <v>50801305.714285716</v>
      </c>
      <c r="X1081" s="27">
        <f>X501*IF($E1081="weekday",INDEX('Category Mapping'!$F$28:$F$39,MATCH('Summarized Source Data'!$A1081,'Category Mapping'!$A$28:$A$39,0),1),INDEX('Category Mapping'!$E$28:$E$39,MATCH($A1081,'Category Mapping'!$A$28:$A$39,0),1))</f>
        <v>3042857142.8571429</v>
      </c>
      <c r="Y1081" s="27">
        <f>Y501*IF($E1081="weekday",INDEX('Category Mapping'!$F$28:$F$39,MATCH('Summarized Source Data'!$A1081,'Category Mapping'!$A$28:$A$39,0),1),INDEX('Category Mapping'!$E$28:$E$39,MATCH($A1081,'Category Mapping'!$A$28:$A$39,0),1))</f>
        <v>3042857142.8571429</v>
      </c>
      <c r="Z1081" s="27">
        <f>Z501*IF($E1081="weekday",INDEX('Category Mapping'!$F$28:$F$39,MATCH('Summarized Source Data'!$A1081,'Category Mapping'!$A$28:$A$39,0),1),INDEX('Category Mapping'!$E$28:$E$39,MATCH($A1081,'Category Mapping'!$A$28:$A$39,0),1))</f>
        <v>3042857142.8571429</v>
      </c>
    </row>
    <row r="1082" spans="1:26" outlineLevel="1" x14ac:dyDescent="0.3">
      <c r="A1082">
        <f t="shared" ref="A1082:E1082" si="547">A502</f>
        <v>9</v>
      </c>
      <c r="B1082" t="str">
        <f t="shared" si="547"/>
        <v>Fall</v>
      </c>
      <c r="C1082" t="str">
        <f t="shared" si="547"/>
        <v>h19</v>
      </c>
      <c r="D1082" t="str">
        <f t="shared" si="547"/>
        <v>Hour18</v>
      </c>
      <c r="E1082" t="str">
        <f t="shared" si="547"/>
        <v>Weekend</v>
      </c>
      <c r="F1082" s="27">
        <f>F502*IF($E1082="weekday",INDEX('Category Mapping'!$F$28:$F$39,MATCH('Summarized Source Data'!$A1082,'Category Mapping'!$A$28:$A$39,0),1),INDEX('Category Mapping'!$E$28:$E$39,MATCH($A1082,'Category Mapping'!$A$28:$A$39,0),1))</f>
        <v>3889002.8571428568</v>
      </c>
      <c r="G1082" s="27">
        <f>G502*IF($E1082="weekday",INDEX('Category Mapping'!$F$28:$F$39,MATCH('Summarized Source Data'!$A1082,'Category Mapping'!$A$28:$A$39,0),1),INDEX('Category Mapping'!$E$28:$E$39,MATCH($A1082,'Category Mapping'!$A$28:$A$39,0),1))</f>
        <v>145714285.7142857</v>
      </c>
      <c r="H1082" s="27">
        <f>H502*IF($E1082="weekday",INDEX('Category Mapping'!$F$28:$F$39,MATCH('Summarized Source Data'!$A1082,'Category Mapping'!$A$28:$A$39,0),1),INDEX('Category Mapping'!$E$28:$E$39,MATCH($A1082,'Category Mapping'!$A$28:$A$39,0),1))</f>
        <v>0</v>
      </c>
      <c r="I1082" s="27">
        <f>I502*IF($E1082="weekday",INDEX('Category Mapping'!$F$28:$F$39,MATCH('Summarized Source Data'!$A1082,'Category Mapping'!$A$28:$A$39,0),1),INDEX('Category Mapping'!$E$28:$E$39,MATCH($A1082,'Category Mapping'!$A$28:$A$39,0),1))</f>
        <v>257142857.14285713</v>
      </c>
      <c r="J1082" s="27">
        <f>J502*IF($E1082="weekday",INDEX('Category Mapping'!$F$28:$F$39,MATCH('Summarized Source Data'!$A1082,'Category Mapping'!$A$28:$A$39,0),1),INDEX('Category Mapping'!$E$28:$E$39,MATCH($A1082,'Category Mapping'!$A$28:$A$39,0),1))</f>
        <v>776110997.14285707</v>
      </c>
      <c r="K1082" s="27">
        <f>K502*IF($E1082="weekday",INDEX('Category Mapping'!$F$28:$F$39,MATCH('Summarized Source Data'!$A1082,'Category Mapping'!$A$28:$A$39,0),1),INDEX('Category Mapping'!$E$28:$E$39,MATCH($A1082,'Category Mapping'!$A$28:$A$39,0),1))</f>
        <v>776110997.14285707</v>
      </c>
      <c r="L1082" s="27">
        <f>L502*IF($E1082="weekday",INDEX('Category Mapping'!$F$28:$F$39,MATCH('Summarized Source Data'!$A1082,'Category Mapping'!$A$28:$A$39,0),1),INDEX('Category Mapping'!$E$28:$E$39,MATCH($A1082,'Category Mapping'!$A$28:$A$39,0),1))</f>
        <v>4174071.4285714286</v>
      </c>
      <c r="M1082" s="27">
        <f>M502*IF($E1082="weekday",INDEX('Category Mapping'!$F$28:$F$39,MATCH('Summarized Source Data'!$A1082,'Category Mapping'!$A$28:$A$39,0),1),INDEX('Category Mapping'!$E$28:$E$39,MATCH($A1082,'Category Mapping'!$A$28:$A$39,0),1))</f>
        <v>437142857.14285713</v>
      </c>
      <c r="N1082" s="27">
        <f>N502*IF($E1082="weekday",INDEX('Category Mapping'!$F$28:$F$39,MATCH('Summarized Source Data'!$A1082,'Category Mapping'!$A$28:$A$39,0),1),INDEX('Category Mapping'!$E$28:$E$39,MATCH($A1082,'Category Mapping'!$A$28:$A$39,0),1))</f>
        <v>0</v>
      </c>
      <c r="O1082" s="27">
        <f>O502*IF($E1082="weekday",INDEX('Category Mapping'!$F$28:$F$39,MATCH('Summarized Source Data'!$A1082,'Category Mapping'!$A$28:$A$39,0),1),INDEX('Category Mapping'!$E$28:$E$39,MATCH($A1082,'Category Mapping'!$A$28:$A$39,0),1))</f>
        <v>870111642.85714281</v>
      </c>
      <c r="P1082" s="27">
        <f>P502*IF($E1082="weekday",INDEX('Category Mapping'!$F$28:$F$39,MATCH('Summarized Source Data'!$A1082,'Category Mapping'!$A$28:$A$39,0),1),INDEX('Category Mapping'!$E$28:$E$39,MATCH($A1082,'Category Mapping'!$A$28:$A$39,0),1))</f>
        <v>870111642.85714281</v>
      </c>
      <c r="Q1082" s="27">
        <f>Q502*IF($E1082="weekday",INDEX('Category Mapping'!$F$28:$F$39,MATCH('Summarized Source Data'!$A1082,'Category Mapping'!$A$28:$A$39,0),1),INDEX('Category Mapping'!$E$28:$E$39,MATCH($A1082,'Category Mapping'!$A$28:$A$39,0),1))</f>
        <v>870111642.85714281</v>
      </c>
      <c r="R1082" s="27">
        <f>R502*IF($E1082="weekday",INDEX('Category Mapping'!$F$28:$F$39,MATCH('Summarized Source Data'!$A1082,'Category Mapping'!$A$28:$A$39,0),1),INDEX('Category Mapping'!$E$28:$E$39,MATCH($A1082,'Category Mapping'!$A$28:$A$39,0),1))</f>
        <v>50449980</v>
      </c>
      <c r="S1082" s="27">
        <f>S502*IF($E1082="weekday",INDEX('Category Mapping'!$F$28:$F$39,MATCH('Summarized Source Data'!$A1082,'Category Mapping'!$A$28:$A$39,0),1),INDEX('Category Mapping'!$E$28:$E$39,MATCH($A1082,'Category Mapping'!$A$28:$A$39,0),1))</f>
        <v>50449980</v>
      </c>
      <c r="T1082" s="27">
        <f>T502*IF($E1082="weekday",INDEX('Category Mapping'!$F$28:$F$39,MATCH('Summarized Source Data'!$A1082,'Category Mapping'!$A$28:$A$39,0),1),INDEX('Category Mapping'!$E$28:$E$39,MATCH($A1082,'Category Mapping'!$A$28:$A$39,0),1))</f>
        <v>50449980</v>
      </c>
      <c r="U1082" s="27">
        <f>U502*IF($E1082="weekday",INDEX('Category Mapping'!$F$28:$F$39,MATCH('Summarized Source Data'!$A1082,'Category Mapping'!$A$28:$A$39,0),1),INDEX('Category Mapping'!$E$28:$E$39,MATCH($A1082,'Category Mapping'!$A$28:$A$39,0),1))</f>
        <v>50449980</v>
      </c>
      <c r="V1082" s="27">
        <f>V502*IF($E1082="weekday",INDEX('Category Mapping'!$F$28:$F$39,MATCH('Summarized Source Data'!$A1082,'Category Mapping'!$A$28:$A$39,0),1),INDEX('Category Mapping'!$E$28:$E$39,MATCH($A1082,'Category Mapping'!$A$28:$A$39,0),1))</f>
        <v>50449980</v>
      </c>
      <c r="W1082" s="27">
        <f>W502*IF($E1082="weekday",INDEX('Category Mapping'!$F$28:$F$39,MATCH('Summarized Source Data'!$A1082,'Category Mapping'!$A$28:$A$39,0),1),INDEX('Category Mapping'!$E$28:$E$39,MATCH($A1082,'Category Mapping'!$A$28:$A$39,0),1))</f>
        <v>50449980</v>
      </c>
      <c r="X1082" s="27">
        <f>X502*IF($E1082="weekday",INDEX('Category Mapping'!$F$28:$F$39,MATCH('Summarized Source Data'!$A1082,'Category Mapping'!$A$28:$A$39,0),1),INDEX('Category Mapping'!$E$28:$E$39,MATCH($A1082,'Category Mapping'!$A$28:$A$39,0),1))</f>
        <v>3034285714.2857141</v>
      </c>
      <c r="Y1082" s="27">
        <f>Y502*IF($E1082="weekday",INDEX('Category Mapping'!$F$28:$F$39,MATCH('Summarized Source Data'!$A1082,'Category Mapping'!$A$28:$A$39,0),1),INDEX('Category Mapping'!$E$28:$E$39,MATCH($A1082,'Category Mapping'!$A$28:$A$39,0),1))</f>
        <v>3034285714.2857141</v>
      </c>
      <c r="Z1082" s="27">
        <f>Z502*IF($E1082="weekday",INDEX('Category Mapping'!$F$28:$F$39,MATCH('Summarized Source Data'!$A1082,'Category Mapping'!$A$28:$A$39,0),1),INDEX('Category Mapping'!$E$28:$E$39,MATCH($A1082,'Category Mapping'!$A$28:$A$39,0),1))</f>
        <v>3034285714.2857141</v>
      </c>
    </row>
    <row r="1083" spans="1:26" outlineLevel="1" x14ac:dyDescent="0.3">
      <c r="A1083">
        <f t="shared" ref="A1083:E1083" si="548">A503</f>
        <v>9</v>
      </c>
      <c r="B1083" t="str">
        <f t="shared" si="548"/>
        <v>Fall</v>
      </c>
      <c r="C1083" t="str">
        <f t="shared" si="548"/>
        <v>h20</v>
      </c>
      <c r="D1083" t="str">
        <f t="shared" si="548"/>
        <v>Hour19</v>
      </c>
      <c r="E1083" t="str">
        <f t="shared" si="548"/>
        <v>Weekend</v>
      </c>
      <c r="F1083" s="27">
        <f>F503*IF($E1083="weekday",INDEX('Category Mapping'!$F$28:$F$39,MATCH('Summarized Source Data'!$A1083,'Category Mapping'!$A$28:$A$39,0),1),INDEX('Category Mapping'!$E$28:$E$39,MATCH($A1083,'Category Mapping'!$A$28:$A$39,0),1))</f>
        <v>4010477.1428571427</v>
      </c>
      <c r="G1083" s="27">
        <f>G503*IF($E1083="weekday",INDEX('Category Mapping'!$F$28:$F$39,MATCH('Summarized Source Data'!$A1083,'Category Mapping'!$A$28:$A$39,0),1),INDEX('Category Mapping'!$E$28:$E$39,MATCH($A1083,'Category Mapping'!$A$28:$A$39,0),1))</f>
        <v>117428571.42857142</v>
      </c>
      <c r="H1083" s="27">
        <f>H503*IF($E1083="weekday",INDEX('Category Mapping'!$F$28:$F$39,MATCH('Summarized Source Data'!$A1083,'Category Mapping'!$A$28:$A$39,0),1),INDEX('Category Mapping'!$E$28:$E$39,MATCH($A1083,'Category Mapping'!$A$28:$A$39,0),1))</f>
        <v>0</v>
      </c>
      <c r="I1083" s="27">
        <f>I503*IF($E1083="weekday",INDEX('Category Mapping'!$F$28:$F$39,MATCH('Summarized Source Data'!$A1083,'Category Mapping'!$A$28:$A$39,0),1),INDEX('Category Mapping'!$E$28:$E$39,MATCH($A1083,'Category Mapping'!$A$28:$A$39,0),1))</f>
        <v>269142857.14285713</v>
      </c>
      <c r="J1083" s="27">
        <f>J503*IF($E1083="weekday",INDEX('Category Mapping'!$F$28:$F$39,MATCH('Summarized Source Data'!$A1083,'Category Mapping'!$A$28:$A$39,0),1),INDEX('Category Mapping'!$E$28:$E$39,MATCH($A1083,'Category Mapping'!$A$28:$A$39,0),1))</f>
        <v>715132380</v>
      </c>
      <c r="K1083" s="27">
        <f>K503*IF($E1083="weekday",INDEX('Category Mapping'!$F$28:$F$39,MATCH('Summarized Source Data'!$A1083,'Category Mapping'!$A$28:$A$39,0),1),INDEX('Category Mapping'!$E$28:$E$39,MATCH($A1083,'Category Mapping'!$A$28:$A$39,0),1))</f>
        <v>715132380</v>
      </c>
      <c r="L1083" s="27">
        <f>L503*IF($E1083="weekday",INDEX('Category Mapping'!$F$28:$F$39,MATCH('Summarized Source Data'!$A1083,'Category Mapping'!$A$28:$A$39,0),1),INDEX('Category Mapping'!$E$28:$E$39,MATCH($A1083,'Category Mapping'!$A$28:$A$39,0),1))</f>
        <v>4705688.5714285709</v>
      </c>
      <c r="M1083" s="27">
        <f>M503*IF($E1083="weekday",INDEX('Category Mapping'!$F$28:$F$39,MATCH('Summarized Source Data'!$A1083,'Category Mapping'!$A$28:$A$39,0),1),INDEX('Category Mapping'!$E$28:$E$39,MATCH($A1083,'Category Mapping'!$A$28:$A$39,0),1))</f>
        <v>390000000</v>
      </c>
      <c r="N1083" s="27">
        <f>N503*IF($E1083="weekday",INDEX('Category Mapping'!$F$28:$F$39,MATCH('Summarized Source Data'!$A1083,'Category Mapping'!$A$28:$A$39,0),1),INDEX('Category Mapping'!$E$28:$E$39,MATCH($A1083,'Category Mapping'!$A$28:$A$39,0),1))</f>
        <v>0</v>
      </c>
      <c r="O1083" s="27">
        <f>O503*IF($E1083="weekday",INDEX('Category Mapping'!$F$28:$F$39,MATCH('Summarized Source Data'!$A1083,'Category Mapping'!$A$28:$A$39,0),1),INDEX('Category Mapping'!$E$28:$E$39,MATCH($A1083,'Category Mapping'!$A$28:$A$39,0),1))</f>
        <v>848151454.28571427</v>
      </c>
      <c r="P1083" s="27">
        <f>P503*IF($E1083="weekday",INDEX('Category Mapping'!$F$28:$F$39,MATCH('Summarized Source Data'!$A1083,'Category Mapping'!$A$28:$A$39,0),1),INDEX('Category Mapping'!$E$28:$E$39,MATCH($A1083,'Category Mapping'!$A$28:$A$39,0),1))</f>
        <v>848151454.28571427</v>
      </c>
      <c r="Q1083" s="27">
        <f>Q503*IF($E1083="weekday",INDEX('Category Mapping'!$F$28:$F$39,MATCH('Summarized Source Data'!$A1083,'Category Mapping'!$A$28:$A$39,0),1),INDEX('Category Mapping'!$E$28:$E$39,MATCH($A1083,'Category Mapping'!$A$28:$A$39,0),1))</f>
        <v>848151454.28571427</v>
      </c>
      <c r="R1083" s="27">
        <f>R503*IF($E1083="weekday",INDEX('Category Mapping'!$F$28:$F$39,MATCH('Summarized Source Data'!$A1083,'Category Mapping'!$A$28:$A$39,0),1),INDEX('Category Mapping'!$E$28:$E$39,MATCH($A1083,'Category Mapping'!$A$28:$A$39,0),1))</f>
        <v>49295614.285714284</v>
      </c>
      <c r="S1083" s="27">
        <f>S503*IF($E1083="weekday",INDEX('Category Mapping'!$F$28:$F$39,MATCH('Summarized Source Data'!$A1083,'Category Mapping'!$A$28:$A$39,0),1),INDEX('Category Mapping'!$E$28:$E$39,MATCH($A1083,'Category Mapping'!$A$28:$A$39,0),1))</f>
        <v>49295614.285714284</v>
      </c>
      <c r="T1083" s="27">
        <f>T503*IF($E1083="weekday",INDEX('Category Mapping'!$F$28:$F$39,MATCH('Summarized Source Data'!$A1083,'Category Mapping'!$A$28:$A$39,0),1),INDEX('Category Mapping'!$E$28:$E$39,MATCH($A1083,'Category Mapping'!$A$28:$A$39,0),1))</f>
        <v>49295614.285714284</v>
      </c>
      <c r="U1083" s="27">
        <f>U503*IF($E1083="weekday",INDEX('Category Mapping'!$F$28:$F$39,MATCH('Summarized Source Data'!$A1083,'Category Mapping'!$A$28:$A$39,0),1),INDEX('Category Mapping'!$E$28:$E$39,MATCH($A1083,'Category Mapping'!$A$28:$A$39,0),1))</f>
        <v>49295614.285714284</v>
      </c>
      <c r="V1083" s="27">
        <f>V503*IF($E1083="weekday",INDEX('Category Mapping'!$F$28:$F$39,MATCH('Summarized Source Data'!$A1083,'Category Mapping'!$A$28:$A$39,0),1),INDEX('Category Mapping'!$E$28:$E$39,MATCH($A1083,'Category Mapping'!$A$28:$A$39,0),1))</f>
        <v>49295614.285714284</v>
      </c>
      <c r="W1083" s="27">
        <f>W503*IF($E1083="weekday",INDEX('Category Mapping'!$F$28:$F$39,MATCH('Summarized Source Data'!$A1083,'Category Mapping'!$A$28:$A$39,0),1),INDEX('Category Mapping'!$E$28:$E$39,MATCH($A1083,'Category Mapping'!$A$28:$A$39,0),1))</f>
        <v>49295614.285714284</v>
      </c>
      <c r="X1083" s="27">
        <f>X503*IF($E1083="weekday",INDEX('Category Mapping'!$F$28:$F$39,MATCH('Summarized Source Data'!$A1083,'Category Mapping'!$A$28:$A$39,0),1),INDEX('Category Mapping'!$E$28:$E$39,MATCH($A1083,'Category Mapping'!$A$28:$A$39,0),1))</f>
        <v>3017142857.1428571</v>
      </c>
      <c r="Y1083" s="27">
        <f>Y503*IF($E1083="weekday",INDEX('Category Mapping'!$F$28:$F$39,MATCH('Summarized Source Data'!$A1083,'Category Mapping'!$A$28:$A$39,0),1),INDEX('Category Mapping'!$E$28:$E$39,MATCH($A1083,'Category Mapping'!$A$28:$A$39,0),1))</f>
        <v>3017142857.1428571</v>
      </c>
      <c r="Z1083" s="27">
        <f>Z503*IF($E1083="weekday",INDEX('Category Mapping'!$F$28:$F$39,MATCH('Summarized Source Data'!$A1083,'Category Mapping'!$A$28:$A$39,0),1),INDEX('Category Mapping'!$E$28:$E$39,MATCH($A1083,'Category Mapping'!$A$28:$A$39,0),1))</f>
        <v>3017142857.1428571</v>
      </c>
    </row>
    <row r="1084" spans="1:26" outlineLevel="1" x14ac:dyDescent="0.3">
      <c r="A1084">
        <f t="shared" ref="A1084:E1084" si="549">A504</f>
        <v>9</v>
      </c>
      <c r="B1084" t="str">
        <f t="shared" si="549"/>
        <v>Fall</v>
      </c>
      <c r="C1084" t="str">
        <f t="shared" si="549"/>
        <v>h21</v>
      </c>
      <c r="D1084" t="str">
        <f t="shared" si="549"/>
        <v>Hour20</v>
      </c>
      <c r="E1084" t="str">
        <f t="shared" si="549"/>
        <v>Weekend</v>
      </c>
      <c r="F1084" s="27">
        <f>F504*IF($E1084="weekday",INDEX('Category Mapping'!$F$28:$F$39,MATCH('Summarized Source Data'!$A1084,'Category Mapping'!$A$28:$A$39,0),1),INDEX('Category Mapping'!$E$28:$E$39,MATCH($A1084,'Category Mapping'!$A$28:$A$39,0),1))</f>
        <v>3995974.2857142854</v>
      </c>
      <c r="G1084" s="27">
        <f>G504*IF($E1084="weekday",INDEX('Category Mapping'!$F$28:$F$39,MATCH('Summarized Source Data'!$A1084,'Category Mapping'!$A$28:$A$39,0),1),INDEX('Category Mapping'!$E$28:$E$39,MATCH($A1084,'Category Mapping'!$A$28:$A$39,0),1))</f>
        <v>82975628.571428567</v>
      </c>
      <c r="H1084" s="27">
        <f>H504*IF($E1084="weekday",INDEX('Category Mapping'!$F$28:$F$39,MATCH('Summarized Source Data'!$A1084,'Category Mapping'!$A$28:$A$39,0),1),INDEX('Category Mapping'!$E$28:$E$39,MATCH($A1084,'Category Mapping'!$A$28:$A$39,0),1))</f>
        <v>0</v>
      </c>
      <c r="I1084" s="27">
        <f>I504*IF($E1084="weekday",INDEX('Category Mapping'!$F$28:$F$39,MATCH('Summarized Source Data'!$A1084,'Category Mapping'!$A$28:$A$39,0),1),INDEX('Category Mapping'!$E$28:$E$39,MATCH($A1084,'Category Mapping'!$A$28:$A$39,0),1))</f>
        <v>267428571.42857143</v>
      </c>
      <c r="J1084" s="27">
        <f>J504*IF($E1084="weekday",INDEX('Category Mapping'!$F$28:$F$39,MATCH('Summarized Source Data'!$A1084,'Category Mapping'!$A$28:$A$39,0),1),INDEX('Category Mapping'!$E$28:$E$39,MATCH($A1084,'Category Mapping'!$A$28:$A$39,0),1))</f>
        <v>665599825.71428573</v>
      </c>
      <c r="K1084" s="27">
        <f>K504*IF($E1084="weekday",INDEX('Category Mapping'!$F$28:$F$39,MATCH('Summarized Source Data'!$A1084,'Category Mapping'!$A$28:$A$39,0),1),INDEX('Category Mapping'!$E$28:$E$39,MATCH($A1084,'Category Mapping'!$A$28:$A$39,0),1))</f>
        <v>665599825.71428573</v>
      </c>
      <c r="L1084" s="27">
        <f>L504*IF($E1084="weekday",INDEX('Category Mapping'!$F$28:$F$39,MATCH('Summarized Source Data'!$A1084,'Category Mapping'!$A$28:$A$39,0),1),INDEX('Category Mapping'!$E$28:$E$39,MATCH($A1084,'Category Mapping'!$A$28:$A$39,0),1))</f>
        <v>5664780</v>
      </c>
      <c r="M1084" s="27">
        <f>M504*IF($E1084="weekday",INDEX('Category Mapping'!$F$28:$F$39,MATCH('Summarized Source Data'!$A1084,'Category Mapping'!$A$28:$A$39,0),1),INDEX('Category Mapping'!$E$28:$E$39,MATCH($A1084,'Category Mapping'!$A$28:$A$39,0),1))</f>
        <v>343714285.71428573</v>
      </c>
      <c r="N1084" s="27">
        <f>N504*IF($E1084="weekday",INDEX('Category Mapping'!$F$28:$F$39,MATCH('Summarized Source Data'!$A1084,'Category Mapping'!$A$28:$A$39,0),1),INDEX('Category Mapping'!$E$28:$E$39,MATCH($A1084,'Category Mapping'!$A$28:$A$39,0),1))</f>
        <v>0</v>
      </c>
      <c r="O1084" s="27">
        <f>O504*IF($E1084="weekday",INDEX('Category Mapping'!$F$28:$F$39,MATCH('Summarized Source Data'!$A1084,'Category Mapping'!$A$28:$A$39,0),1),INDEX('Category Mapping'!$E$28:$E$39,MATCH($A1084,'Category Mapping'!$A$28:$A$39,0),1))</f>
        <v>807763791.42857146</v>
      </c>
      <c r="P1084" s="27">
        <f>P504*IF($E1084="weekday",INDEX('Category Mapping'!$F$28:$F$39,MATCH('Summarized Source Data'!$A1084,'Category Mapping'!$A$28:$A$39,0),1),INDEX('Category Mapping'!$E$28:$E$39,MATCH($A1084,'Category Mapping'!$A$28:$A$39,0),1))</f>
        <v>807763791.42857146</v>
      </c>
      <c r="Q1084" s="27">
        <f>Q504*IF($E1084="weekday",INDEX('Category Mapping'!$F$28:$F$39,MATCH('Summarized Source Data'!$A1084,'Category Mapping'!$A$28:$A$39,0),1),INDEX('Category Mapping'!$E$28:$E$39,MATCH($A1084,'Category Mapping'!$A$28:$A$39,0),1))</f>
        <v>807763791.42857146</v>
      </c>
      <c r="R1084" s="27">
        <f>R504*IF($E1084="weekday",INDEX('Category Mapping'!$F$28:$F$39,MATCH('Summarized Source Data'!$A1084,'Category Mapping'!$A$28:$A$39,0),1),INDEX('Category Mapping'!$E$28:$E$39,MATCH($A1084,'Category Mapping'!$A$28:$A$39,0),1))</f>
        <v>47739737.142857142</v>
      </c>
      <c r="S1084" s="27">
        <f>S504*IF($E1084="weekday",INDEX('Category Mapping'!$F$28:$F$39,MATCH('Summarized Source Data'!$A1084,'Category Mapping'!$A$28:$A$39,0),1),INDEX('Category Mapping'!$E$28:$E$39,MATCH($A1084,'Category Mapping'!$A$28:$A$39,0),1))</f>
        <v>47739737.142857142</v>
      </c>
      <c r="T1084" s="27">
        <f>T504*IF($E1084="weekday",INDEX('Category Mapping'!$F$28:$F$39,MATCH('Summarized Source Data'!$A1084,'Category Mapping'!$A$28:$A$39,0),1),INDEX('Category Mapping'!$E$28:$E$39,MATCH($A1084,'Category Mapping'!$A$28:$A$39,0),1))</f>
        <v>47739737.142857142</v>
      </c>
      <c r="U1084" s="27">
        <f>U504*IF($E1084="weekday",INDEX('Category Mapping'!$F$28:$F$39,MATCH('Summarized Source Data'!$A1084,'Category Mapping'!$A$28:$A$39,0),1),INDEX('Category Mapping'!$E$28:$E$39,MATCH($A1084,'Category Mapping'!$A$28:$A$39,0),1))</f>
        <v>47739737.142857142</v>
      </c>
      <c r="V1084" s="27">
        <f>V504*IF($E1084="weekday",INDEX('Category Mapping'!$F$28:$F$39,MATCH('Summarized Source Data'!$A1084,'Category Mapping'!$A$28:$A$39,0),1),INDEX('Category Mapping'!$E$28:$E$39,MATCH($A1084,'Category Mapping'!$A$28:$A$39,0),1))</f>
        <v>47739737.142857142</v>
      </c>
      <c r="W1084" s="27">
        <f>W504*IF($E1084="weekday",INDEX('Category Mapping'!$F$28:$F$39,MATCH('Summarized Source Data'!$A1084,'Category Mapping'!$A$28:$A$39,0),1),INDEX('Category Mapping'!$E$28:$E$39,MATCH($A1084,'Category Mapping'!$A$28:$A$39,0),1))</f>
        <v>47739737.142857142</v>
      </c>
      <c r="X1084" s="27">
        <f>X504*IF($E1084="weekday",INDEX('Category Mapping'!$F$28:$F$39,MATCH('Summarized Source Data'!$A1084,'Category Mapping'!$A$28:$A$39,0),1),INDEX('Category Mapping'!$E$28:$E$39,MATCH($A1084,'Category Mapping'!$A$28:$A$39,0),1))</f>
        <v>3000000000</v>
      </c>
      <c r="Y1084" s="27">
        <f>Y504*IF($E1084="weekday",INDEX('Category Mapping'!$F$28:$F$39,MATCH('Summarized Source Data'!$A1084,'Category Mapping'!$A$28:$A$39,0),1),INDEX('Category Mapping'!$E$28:$E$39,MATCH($A1084,'Category Mapping'!$A$28:$A$39,0),1))</f>
        <v>3000000000</v>
      </c>
      <c r="Z1084" s="27">
        <f>Z504*IF($E1084="weekday",INDEX('Category Mapping'!$F$28:$F$39,MATCH('Summarized Source Data'!$A1084,'Category Mapping'!$A$28:$A$39,0),1),INDEX('Category Mapping'!$E$28:$E$39,MATCH($A1084,'Category Mapping'!$A$28:$A$39,0),1))</f>
        <v>3000000000</v>
      </c>
    </row>
    <row r="1085" spans="1:26" outlineLevel="1" x14ac:dyDescent="0.3">
      <c r="A1085">
        <f t="shared" ref="A1085:E1085" si="550">A505</f>
        <v>9</v>
      </c>
      <c r="B1085" t="str">
        <f t="shared" si="550"/>
        <v>Fall</v>
      </c>
      <c r="C1085" t="str">
        <f t="shared" si="550"/>
        <v>h22</v>
      </c>
      <c r="D1085" t="str">
        <f t="shared" si="550"/>
        <v>Hour21</v>
      </c>
      <c r="E1085" t="str">
        <f t="shared" si="550"/>
        <v>Weekend</v>
      </c>
      <c r="F1085" s="27">
        <f>F505*IF($E1085="weekday",INDEX('Category Mapping'!$F$28:$F$39,MATCH('Summarized Source Data'!$A1085,'Category Mapping'!$A$28:$A$39,0),1),INDEX('Category Mapping'!$E$28:$E$39,MATCH($A1085,'Category Mapping'!$A$28:$A$39,0),1))</f>
        <v>3533802.8571428568</v>
      </c>
      <c r="G1085" s="27">
        <f>G505*IF($E1085="weekday",INDEX('Category Mapping'!$F$28:$F$39,MATCH('Summarized Source Data'!$A1085,'Category Mapping'!$A$28:$A$39,0),1),INDEX('Category Mapping'!$E$28:$E$39,MATCH($A1085,'Category Mapping'!$A$28:$A$39,0),1))</f>
        <v>48647117.142857142</v>
      </c>
      <c r="H1085" s="27">
        <f>H505*IF($E1085="weekday",INDEX('Category Mapping'!$F$28:$F$39,MATCH('Summarized Source Data'!$A1085,'Category Mapping'!$A$28:$A$39,0),1),INDEX('Category Mapping'!$E$28:$E$39,MATCH($A1085,'Category Mapping'!$A$28:$A$39,0),1))</f>
        <v>0</v>
      </c>
      <c r="I1085" s="27">
        <f>I505*IF($E1085="weekday",INDEX('Category Mapping'!$F$28:$F$39,MATCH('Summarized Source Data'!$A1085,'Category Mapping'!$A$28:$A$39,0),1),INDEX('Category Mapping'!$E$28:$E$39,MATCH($A1085,'Category Mapping'!$A$28:$A$39,0),1))</f>
        <v>221142857.14285713</v>
      </c>
      <c r="J1085" s="27">
        <f>J505*IF($E1085="weekday",INDEX('Category Mapping'!$F$28:$F$39,MATCH('Summarized Source Data'!$A1085,'Category Mapping'!$A$28:$A$39,0),1),INDEX('Category Mapping'!$E$28:$E$39,MATCH($A1085,'Category Mapping'!$A$28:$A$39,0),1))</f>
        <v>618104794.28571427</v>
      </c>
      <c r="K1085" s="27">
        <f>K505*IF($E1085="weekday",INDEX('Category Mapping'!$F$28:$F$39,MATCH('Summarized Source Data'!$A1085,'Category Mapping'!$A$28:$A$39,0),1),INDEX('Category Mapping'!$E$28:$E$39,MATCH($A1085,'Category Mapping'!$A$28:$A$39,0),1))</f>
        <v>618104794.28571427</v>
      </c>
      <c r="L1085" s="27">
        <f>L505*IF($E1085="weekday",INDEX('Category Mapping'!$F$28:$F$39,MATCH('Summarized Source Data'!$A1085,'Category Mapping'!$A$28:$A$39,0),1),INDEX('Category Mapping'!$E$28:$E$39,MATCH($A1085,'Category Mapping'!$A$28:$A$39,0),1))</f>
        <v>5730634.2857142854</v>
      </c>
      <c r="M1085" s="27">
        <f>M505*IF($E1085="weekday",INDEX('Category Mapping'!$F$28:$F$39,MATCH('Summarized Source Data'!$A1085,'Category Mapping'!$A$28:$A$39,0),1),INDEX('Category Mapping'!$E$28:$E$39,MATCH($A1085,'Category Mapping'!$A$28:$A$39,0),1))</f>
        <v>300000000</v>
      </c>
      <c r="N1085" s="27">
        <f>N505*IF($E1085="weekday",INDEX('Category Mapping'!$F$28:$F$39,MATCH('Summarized Source Data'!$A1085,'Category Mapping'!$A$28:$A$39,0),1),INDEX('Category Mapping'!$E$28:$E$39,MATCH($A1085,'Category Mapping'!$A$28:$A$39,0),1))</f>
        <v>0</v>
      </c>
      <c r="O1085" s="27">
        <f>O505*IF($E1085="weekday",INDEX('Category Mapping'!$F$28:$F$39,MATCH('Summarized Source Data'!$A1085,'Category Mapping'!$A$28:$A$39,0),1),INDEX('Category Mapping'!$E$28:$E$39,MATCH($A1085,'Category Mapping'!$A$28:$A$39,0),1))</f>
        <v>757126508.57142854</v>
      </c>
      <c r="P1085" s="27">
        <f>P505*IF($E1085="weekday",INDEX('Category Mapping'!$F$28:$F$39,MATCH('Summarized Source Data'!$A1085,'Category Mapping'!$A$28:$A$39,0),1),INDEX('Category Mapping'!$E$28:$E$39,MATCH($A1085,'Category Mapping'!$A$28:$A$39,0),1))</f>
        <v>757126508.57142854</v>
      </c>
      <c r="Q1085" s="27">
        <f>Q505*IF($E1085="weekday",INDEX('Category Mapping'!$F$28:$F$39,MATCH('Summarized Source Data'!$A1085,'Category Mapping'!$A$28:$A$39,0),1),INDEX('Category Mapping'!$E$28:$E$39,MATCH($A1085,'Category Mapping'!$A$28:$A$39,0),1))</f>
        <v>757126508.57142854</v>
      </c>
      <c r="R1085" s="27">
        <f>R505*IF($E1085="weekday",INDEX('Category Mapping'!$F$28:$F$39,MATCH('Summarized Source Data'!$A1085,'Category Mapping'!$A$28:$A$39,0),1),INDEX('Category Mapping'!$E$28:$E$39,MATCH($A1085,'Category Mapping'!$A$28:$A$39,0),1))</f>
        <v>45983100</v>
      </c>
      <c r="S1085" s="27">
        <f>S505*IF($E1085="weekday",INDEX('Category Mapping'!$F$28:$F$39,MATCH('Summarized Source Data'!$A1085,'Category Mapping'!$A$28:$A$39,0),1),INDEX('Category Mapping'!$E$28:$E$39,MATCH($A1085,'Category Mapping'!$A$28:$A$39,0),1))</f>
        <v>45983100</v>
      </c>
      <c r="T1085" s="27">
        <f>T505*IF($E1085="weekday",INDEX('Category Mapping'!$F$28:$F$39,MATCH('Summarized Source Data'!$A1085,'Category Mapping'!$A$28:$A$39,0),1),INDEX('Category Mapping'!$E$28:$E$39,MATCH($A1085,'Category Mapping'!$A$28:$A$39,0),1))</f>
        <v>45983100</v>
      </c>
      <c r="U1085" s="27">
        <f>U505*IF($E1085="weekday",INDEX('Category Mapping'!$F$28:$F$39,MATCH('Summarized Source Data'!$A1085,'Category Mapping'!$A$28:$A$39,0),1),INDEX('Category Mapping'!$E$28:$E$39,MATCH($A1085,'Category Mapping'!$A$28:$A$39,0),1))</f>
        <v>45983100</v>
      </c>
      <c r="V1085" s="27">
        <f>V505*IF($E1085="weekday",INDEX('Category Mapping'!$F$28:$F$39,MATCH('Summarized Source Data'!$A1085,'Category Mapping'!$A$28:$A$39,0),1),INDEX('Category Mapping'!$E$28:$E$39,MATCH($A1085,'Category Mapping'!$A$28:$A$39,0),1))</f>
        <v>45983100</v>
      </c>
      <c r="W1085" s="27">
        <f>W505*IF($E1085="weekday",INDEX('Category Mapping'!$F$28:$F$39,MATCH('Summarized Source Data'!$A1085,'Category Mapping'!$A$28:$A$39,0),1),INDEX('Category Mapping'!$E$28:$E$39,MATCH($A1085,'Category Mapping'!$A$28:$A$39,0),1))</f>
        <v>45983100</v>
      </c>
      <c r="X1085" s="27">
        <f>X505*IF($E1085="weekday",INDEX('Category Mapping'!$F$28:$F$39,MATCH('Summarized Source Data'!$A1085,'Category Mapping'!$A$28:$A$39,0),1),INDEX('Category Mapping'!$E$28:$E$39,MATCH($A1085,'Category Mapping'!$A$28:$A$39,0),1))</f>
        <v>2965714285.7142859</v>
      </c>
      <c r="Y1085" s="27">
        <f>Y505*IF($E1085="weekday",INDEX('Category Mapping'!$F$28:$F$39,MATCH('Summarized Source Data'!$A1085,'Category Mapping'!$A$28:$A$39,0),1),INDEX('Category Mapping'!$E$28:$E$39,MATCH($A1085,'Category Mapping'!$A$28:$A$39,0),1))</f>
        <v>2965714285.7142859</v>
      </c>
      <c r="Z1085" s="27">
        <f>Z505*IF($E1085="weekday",INDEX('Category Mapping'!$F$28:$F$39,MATCH('Summarized Source Data'!$A1085,'Category Mapping'!$A$28:$A$39,0),1),INDEX('Category Mapping'!$E$28:$E$39,MATCH($A1085,'Category Mapping'!$A$28:$A$39,0),1))</f>
        <v>2965714285.7142859</v>
      </c>
    </row>
    <row r="1086" spans="1:26" outlineLevel="1" x14ac:dyDescent="0.3">
      <c r="A1086">
        <f t="shared" ref="A1086:E1086" si="551">A506</f>
        <v>9</v>
      </c>
      <c r="B1086" t="str">
        <f t="shared" si="551"/>
        <v>Fall</v>
      </c>
      <c r="C1086" t="str">
        <f t="shared" si="551"/>
        <v>h23</v>
      </c>
      <c r="D1086" t="str">
        <f t="shared" si="551"/>
        <v>Hour22</v>
      </c>
      <c r="E1086" t="str">
        <f t="shared" si="551"/>
        <v>Weekend</v>
      </c>
      <c r="F1086" s="27">
        <f>F506*IF($E1086="weekday",INDEX('Category Mapping'!$F$28:$F$39,MATCH('Summarized Source Data'!$A1086,'Category Mapping'!$A$28:$A$39,0),1),INDEX('Category Mapping'!$E$28:$E$39,MATCH($A1086,'Category Mapping'!$A$28:$A$39,0),1))</f>
        <v>2749731.4285714286</v>
      </c>
      <c r="G1086" s="27">
        <f>G506*IF($E1086="weekday",INDEX('Category Mapping'!$F$28:$F$39,MATCH('Summarized Source Data'!$A1086,'Category Mapping'!$A$28:$A$39,0),1),INDEX('Category Mapping'!$E$28:$E$39,MATCH($A1086,'Category Mapping'!$A$28:$A$39,0),1))</f>
        <v>23549794.285714284</v>
      </c>
      <c r="H1086" s="27">
        <f>H506*IF($E1086="weekday",INDEX('Category Mapping'!$F$28:$F$39,MATCH('Summarized Source Data'!$A1086,'Category Mapping'!$A$28:$A$39,0),1),INDEX('Category Mapping'!$E$28:$E$39,MATCH($A1086,'Category Mapping'!$A$28:$A$39,0),1))</f>
        <v>0</v>
      </c>
      <c r="I1086" s="27">
        <f>I506*IF($E1086="weekday",INDEX('Category Mapping'!$F$28:$F$39,MATCH('Summarized Source Data'!$A1086,'Category Mapping'!$A$28:$A$39,0),1),INDEX('Category Mapping'!$E$28:$E$39,MATCH($A1086,'Category Mapping'!$A$28:$A$39,0),1))</f>
        <v>142285714.28571427</v>
      </c>
      <c r="J1086" s="27">
        <f>J506*IF($E1086="weekday",INDEX('Category Mapping'!$F$28:$F$39,MATCH('Summarized Source Data'!$A1086,'Category Mapping'!$A$28:$A$39,0),1),INDEX('Category Mapping'!$E$28:$E$39,MATCH($A1086,'Category Mapping'!$A$28:$A$39,0),1))</f>
        <v>515414760</v>
      </c>
      <c r="K1086" s="27">
        <f>K506*IF($E1086="weekday",INDEX('Category Mapping'!$F$28:$F$39,MATCH('Summarized Source Data'!$A1086,'Category Mapping'!$A$28:$A$39,0),1),INDEX('Category Mapping'!$E$28:$E$39,MATCH($A1086,'Category Mapping'!$A$28:$A$39,0),1))</f>
        <v>515414760</v>
      </c>
      <c r="L1086" s="27">
        <f>L506*IF($E1086="weekday",INDEX('Category Mapping'!$F$28:$F$39,MATCH('Summarized Source Data'!$A1086,'Category Mapping'!$A$28:$A$39,0),1),INDEX('Category Mapping'!$E$28:$E$39,MATCH($A1086,'Category Mapping'!$A$28:$A$39,0),1))</f>
        <v>5654468.5714285709</v>
      </c>
      <c r="M1086" s="27">
        <f>M506*IF($E1086="weekday",INDEX('Category Mapping'!$F$28:$F$39,MATCH('Summarized Source Data'!$A1086,'Category Mapping'!$A$28:$A$39,0),1),INDEX('Category Mapping'!$E$28:$E$39,MATCH($A1086,'Category Mapping'!$A$28:$A$39,0),1))</f>
        <v>267428571.42857143</v>
      </c>
      <c r="N1086" s="27">
        <f>N506*IF($E1086="weekday",INDEX('Category Mapping'!$F$28:$F$39,MATCH('Summarized Source Data'!$A1086,'Category Mapping'!$A$28:$A$39,0),1),INDEX('Category Mapping'!$E$28:$E$39,MATCH($A1086,'Category Mapping'!$A$28:$A$39,0),1))</f>
        <v>0</v>
      </c>
      <c r="O1086" s="27">
        <f>O506*IF($E1086="weekday",INDEX('Category Mapping'!$F$28:$F$39,MATCH('Summarized Source Data'!$A1086,'Category Mapping'!$A$28:$A$39,0),1),INDEX('Category Mapping'!$E$28:$E$39,MATCH($A1086,'Category Mapping'!$A$28:$A$39,0),1))</f>
        <v>721202674.28571427</v>
      </c>
      <c r="P1086" s="27">
        <f>P506*IF($E1086="weekday",INDEX('Category Mapping'!$F$28:$F$39,MATCH('Summarized Source Data'!$A1086,'Category Mapping'!$A$28:$A$39,0),1),INDEX('Category Mapping'!$E$28:$E$39,MATCH($A1086,'Category Mapping'!$A$28:$A$39,0),1))</f>
        <v>721202674.28571427</v>
      </c>
      <c r="Q1086" s="27">
        <f>Q506*IF($E1086="weekday",INDEX('Category Mapping'!$F$28:$F$39,MATCH('Summarized Source Data'!$A1086,'Category Mapping'!$A$28:$A$39,0),1),INDEX('Category Mapping'!$E$28:$E$39,MATCH($A1086,'Category Mapping'!$A$28:$A$39,0),1))</f>
        <v>721202674.28571427</v>
      </c>
      <c r="R1086" s="27">
        <f>R506*IF($E1086="weekday",INDEX('Category Mapping'!$F$28:$F$39,MATCH('Summarized Source Data'!$A1086,'Category Mapping'!$A$28:$A$39,0),1),INDEX('Category Mapping'!$E$28:$E$39,MATCH($A1086,'Category Mapping'!$A$28:$A$39,0),1))</f>
        <v>45380828.571428567</v>
      </c>
      <c r="S1086" s="27">
        <f>S506*IF($E1086="weekday",INDEX('Category Mapping'!$F$28:$F$39,MATCH('Summarized Source Data'!$A1086,'Category Mapping'!$A$28:$A$39,0),1),INDEX('Category Mapping'!$E$28:$E$39,MATCH($A1086,'Category Mapping'!$A$28:$A$39,0),1))</f>
        <v>45380828.571428567</v>
      </c>
      <c r="T1086" s="27">
        <f>T506*IF($E1086="weekday",INDEX('Category Mapping'!$F$28:$F$39,MATCH('Summarized Source Data'!$A1086,'Category Mapping'!$A$28:$A$39,0),1),INDEX('Category Mapping'!$E$28:$E$39,MATCH($A1086,'Category Mapping'!$A$28:$A$39,0),1))</f>
        <v>45380828.571428567</v>
      </c>
      <c r="U1086" s="27">
        <f>U506*IF($E1086="weekday",INDEX('Category Mapping'!$F$28:$F$39,MATCH('Summarized Source Data'!$A1086,'Category Mapping'!$A$28:$A$39,0),1),INDEX('Category Mapping'!$E$28:$E$39,MATCH($A1086,'Category Mapping'!$A$28:$A$39,0),1))</f>
        <v>45380828.571428567</v>
      </c>
      <c r="V1086" s="27">
        <f>V506*IF($E1086="weekday",INDEX('Category Mapping'!$F$28:$F$39,MATCH('Summarized Source Data'!$A1086,'Category Mapping'!$A$28:$A$39,0),1),INDEX('Category Mapping'!$E$28:$E$39,MATCH($A1086,'Category Mapping'!$A$28:$A$39,0),1))</f>
        <v>45380828.571428567</v>
      </c>
      <c r="W1086" s="27">
        <f>W506*IF($E1086="weekday",INDEX('Category Mapping'!$F$28:$F$39,MATCH('Summarized Source Data'!$A1086,'Category Mapping'!$A$28:$A$39,0),1),INDEX('Category Mapping'!$E$28:$E$39,MATCH($A1086,'Category Mapping'!$A$28:$A$39,0),1))</f>
        <v>45380828.571428567</v>
      </c>
      <c r="X1086" s="27">
        <f>X506*IF($E1086="weekday",INDEX('Category Mapping'!$F$28:$F$39,MATCH('Summarized Source Data'!$A1086,'Category Mapping'!$A$28:$A$39,0),1),INDEX('Category Mapping'!$E$28:$E$39,MATCH($A1086,'Category Mapping'!$A$28:$A$39,0),1))</f>
        <v>2940000000</v>
      </c>
      <c r="Y1086" s="27">
        <f>Y506*IF($E1086="weekday",INDEX('Category Mapping'!$F$28:$F$39,MATCH('Summarized Source Data'!$A1086,'Category Mapping'!$A$28:$A$39,0),1),INDEX('Category Mapping'!$E$28:$E$39,MATCH($A1086,'Category Mapping'!$A$28:$A$39,0),1))</f>
        <v>2940000000</v>
      </c>
      <c r="Z1086" s="27">
        <f>Z506*IF($E1086="weekday",INDEX('Category Mapping'!$F$28:$F$39,MATCH('Summarized Source Data'!$A1086,'Category Mapping'!$A$28:$A$39,0),1),INDEX('Category Mapping'!$E$28:$E$39,MATCH($A1086,'Category Mapping'!$A$28:$A$39,0),1))</f>
        <v>2940000000</v>
      </c>
    </row>
    <row r="1087" spans="1:26" outlineLevel="1" x14ac:dyDescent="0.3">
      <c r="A1087">
        <f t="shared" ref="A1087:E1087" si="552">A507</f>
        <v>9</v>
      </c>
      <c r="B1087" t="str">
        <f t="shared" si="552"/>
        <v>Fall</v>
      </c>
      <c r="C1087" t="str">
        <f t="shared" si="552"/>
        <v>h24</v>
      </c>
      <c r="D1087" t="str">
        <f t="shared" si="552"/>
        <v>Hour23</v>
      </c>
      <c r="E1087" t="str">
        <f t="shared" si="552"/>
        <v>Weekend</v>
      </c>
      <c r="F1087" s="27">
        <f>F507*IF($E1087="weekday",INDEX('Category Mapping'!$F$28:$F$39,MATCH('Summarized Source Data'!$A1087,'Category Mapping'!$A$28:$A$39,0),1),INDEX('Category Mapping'!$E$28:$E$39,MATCH($A1087,'Category Mapping'!$A$28:$A$39,0),1))</f>
        <v>2358257.1428571427</v>
      </c>
      <c r="G1087" s="27">
        <f>G507*IF($E1087="weekday",INDEX('Category Mapping'!$F$28:$F$39,MATCH('Summarized Source Data'!$A1087,'Category Mapping'!$A$28:$A$39,0),1),INDEX('Category Mapping'!$E$28:$E$39,MATCH($A1087,'Category Mapping'!$A$28:$A$39,0),1))</f>
        <v>12888171.428571429</v>
      </c>
      <c r="H1087" s="27">
        <f>H507*IF($E1087="weekday",INDEX('Category Mapping'!$F$28:$F$39,MATCH('Summarized Source Data'!$A1087,'Category Mapping'!$A$28:$A$39,0),1),INDEX('Category Mapping'!$E$28:$E$39,MATCH($A1087,'Category Mapping'!$A$28:$A$39,0),1))</f>
        <v>0</v>
      </c>
      <c r="I1087" s="27">
        <f>I507*IF($E1087="weekday",INDEX('Category Mapping'!$F$28:$F$39,MATCH('Summarized Source Data'!$A1087,'Category Mapping'!$A$28:$A$39,0),1),INDEX('Category Mapping'!$E$28:$E$39,MATCH($A1087,'Category Mapping'!$A$28:$A$39,0),1))</f>
        <v>79726980</v>
      </c>
      <c r="J1087" s="27">
        <f>J507*IF($E1087="weekday",INDEX('Category Mapping'!$F$28:$F$39,MATCH('Summarized Source Data'!$A1087,'Category Mapping'!$A$28:$A$39,0),1),INDEX('Category Mapping'!$E$28:$E$39,MATCH($A1087,'Category Mapping'!$A$28:$A$39,0),1))</f>
        <v>409883734.28571427</v>
      </c>
      <c r="K1087" s="27">
        <f>K507*IF($E1087="weekday",INDEX('Category Mapping'!$F$28:$F$39,MATCH('Summarized Source Data'!$A1087,'Category Mapping'!$A$28:$A$39,0),1),INDEX('Category Mapping'!$E$28:$E$39,MATCH($A1087,'Category Mapping'!$A$28:$A$39,0),1))</f>
        <v>409883734.28571427</v>
      </c>
      <c r="L1087" s="27">
        <f>L507*IF($E1087="weekday",INDEX('Category Mapping'!$F$28:$F$39,MATCH('Summarized Source Data'!$A1087,'Category Mapping'!$A$28:$A$39,0),1),INDEX('Category Mapping'!$E$28:$E$39,MATCH($A1087,'Category Mapping'!$A$28:$A$39,0),1))</f>
        <v>5923148.5714285709</v>
      </c>
      <c r="M1087" s="27">
        <f>M507*IF($E1087="weekday",INDEX('Category Mapping'!$F$28:$F$39,MATCH('Summarized Source Data'!$A1087,'Category Mapping'!$A$28:$A$39,0),1),INDEX('Category Mapping'!$E$28:$E$39,MATCH($A1087,'Category Mapping'!$A$28:$A$39,0),1))</f>
        <v>245142857.14285713</v>
      </c>
      <c r="N1087" s="27">
        <f>N507*IF($E1087="weekday",INDEX('Category Mapping'!$F$28:$F$39,MATCH('Summarized Source Data'!$A1087,'Category Mapping'!$A$28:$A$39,0),1),INDEX('Category Mapping'!$E$28:$E$39,MATCH($A1087,'Category Mapping'!$A$28:$A$39,0),1))</f>
        <v>0</v>
      </c>
      <c r="O1087" s="27">
        <f>O507*IF($E1087="weekday",INDEX('Category Mapping'!$F$28:$F$39,MATCH('Summarized Source Data'!$A1087,'Category Mapping'!$A$28:$A$39,0),1),INDEX('Category Mapping'!$E$28:$E$39,MATCH($A1087,'Category Mapping'!$A$28:$A$39,0),1))</f>
        <v>657505422.85714281</v>
      </c>
      <c r="P1087" s="27">
        <f>P507*IF($E1087="weekday",INDEX('Category Mapping'!$F$28:$F$39,MATCH('Summarized Source Data'!$A1087,'Category Mapping'!$A$28:$A$39,0),1),INDEX('Category Mapping'!$E$28:$E$39,MATCH($A1087,'Category Mapping'!$A$28:$A$39,0),1))</f>
        <v>657505422.85714281</v>
      </c>
      <c r="Q1087" s="27">
        <f>Q507*IF($E1087="weekday",INDEX('Category Mapping'!$F$28:$F$39,MATCH('Summarized Source Data'!$A1087,'Category Mapping'!$A$28:$A$39,0),1),INDEX('Category Mapping'!$E$28:$E$39,MATCH($A1087,'Category Mapping'!$A$28:$A$39,0),1))</f>
        <v>657505422.85714281</v>
      </c>
      <c r="R1087" s="27">
        <f>R507*IF($E1087="weekday",INDEX('Category Mapping'!$F$28:$F$39,MATCH('Summarized Source Data'!$A1087,'Category Mapping'!$A$28:$A$39,0),1),INDEX('Category Mapping'!$E$28:$E$39,MATCH($A1087,'Category Mapping'!$A$28:$A$39,0),1))</f>
        <v>30499054.285714284</v>
      </c>
      <c r="S1087" s="27">
        <f>S507*IF($E1087="weekday",INDEX('Category Mapping'!$F$28:$F$39,MATCH('Summarized Source Data'!$A1087,'Category Mapping'!$A$28:$A$39,0),1),INDEX('Category Mapping'!$E$28:$E$39,MATCH($A1087,'Category Mapping'!$A$28:$A$39,0),1))</f>
        <v>30499054.285714284</v>
      </c>
      <c r="T1087" s="27">
        <f>T507*IF($E1087="weekday",INDEX('Category Mapping'!$F$28:$F$39,MATCH('Summarized Source Data'!$A1087,'Category Mapping'!$A$28:$A$39,0),1),INDEX('Category Mapping'!$E$28:$E$39,MATCH($A1087,'Category Mapping'!$A$28:$A$39,0),1))</f>
        <v>30499054.285714284</v>
      </c>
      <c r="U1087" s="27">
        <f>U507*IF($E1087="weekday",INDEX('Category Mapping'!$F$28:$F$39,MATCH('Summarized Source Data'!$A1087,'Category Mapping'!$A$28:$A$39,0),1),INDEX('Category Mapping'!$E$28:$E$39,MATCH($A1087,'Category Mapping'!$A$28:$A$39,0),1))</f>
        <v>30499054.285714284</v>
      </c>
      <c r="V1087" s="27">
        <f>V507*IF($E1087="weekday",INDEX('Category Mapping'!$F$28:$F$39,MATCH('Summarized Source Data'!$A1087,'Category Mapping'!$A$28:$A$39,0),1),INDEX('Category Mapping'!$E$28:$E$39,MATCH($A1087,'Category Mapping'!$A$28:$A$39,0),1))</f>
        <v>30499054.285714284</v>
      </c>
      <c r="W1087" s="27">
        <f>W507*IF($E1087="weekday",INDEX('Category Mapping'!$F$28:$F$39,MATCH('Summarized Source Data'!$A1087,'Category Mapping'!$A$28:$A$39,0),1),INDEX('Category Mapping'!$E$28:$E$39,MATCH($A1087,'Category Mapping'!$A$28:$A$39,0),1))</f>
        <v>30499054.285714284</v>
      </c>
      <c r="X1087" s="27">
        <f>X507*IF($E1087="weekday",INDEX('Category Mapping'!$F$28:$F$39,MATCH('Summarized Source Data'!$A1087,'Category Mapping'!$A$28:$A$39,0),1),INDEX('Category Mapping'!$E$28:$E$39,MATCH($A1087,'Category Mapping'!$A$28:$A$39,0),1))</f>
        <v>2931428571.4285712</v>
      </c>
      <c r="Y1087" s="27">
        <f>Y507*IF($E1087="weekday",INDEX('Category Mapping'!$F$28:$F$39,MATCH('Summarized Source Data'!$A1087,'Category Mapping'!$A$28:$A$39,0),1),INDEX('Category Mapping'!$E$28:$E$39,MATCH($A1087,'Category Mapping'!$A$28:$A$39,0),1))</f>
        <v>2931428571.4285712</v>
      </c>
      <c r="Z1087" s="27">
        <f>Z507*IF($E1087="weekday",INDEX('Category Mapping'!$F$28:$F$39,MATCH('Summarized Source Data'!$A1087,'Category Mapping'!$A$28:$A$39,0),1),INDEX('Category Mapping'!$E$28:$E$39,MATCH($A1087,'Category Mapping'!$A$28:$A$39,0),1))</f>
        <v>2931428571.4285712</v>
      </c>
    </row>
    <row r="1088" spans="1:26" outlineLevel="1" x14ac:dyDescent="0.3">
      <c r="A1088">
        <f t="shared" ref="A1088:E1088" si="553">A508</f>
        <v>10</v>
      </c>
      <c r="B1088" t="str">
        <f t="shared" si="553"/>
        <v>Fall</v>
      </c>
      <c r="C1088" t="str">
        <f t="shared" si="553"/>
        <v>h1</v>
      </c>
      <c r="D1088" t="str">
        <f t="shared" si="553"/>
        <v>Hour0</v>
      </c>
      <c r="E1088" t="str">
        <f t="shared" si="553"/>
        <v>Weekend</v>
      </c>
      <c r="F1088" s="27">
        <f>F508*IF($E1088="weekday",INDEX('Category Mapping'!$F$28:$F$39,MATCH('Summarized Source Data'!$A1088,'Category Mapping'!$A$28:$A$39,0),1),INDEX('Category Mapping'!$E$28:$E$39,MATCH($A1088,'Category Mapping'!$A$28:$A$39,0),1))</f>
        <v>17074082.571428567</v>
      </c>
      <c r="G1088" s="27">
        <f>G508*IF($E1088="weekday",INDEX('Category Mapping'!$F$28:$F$39,MATCH('Summarized Source Data'!$A1088,'Category Mapping'!$A$28:$A$39,0),1),INDEX('Category Mapping'!$E$28:$E$39,MATCH($A1088,'Category Mapping'!$A$28:$A$39,0),1))</f>
        <v>10610.857142857141</v>
      </c>
      <c r="H1088" s="27">
        <f>H508*IF($E1088="weekday",INDEX('Category Mapping'!$F$28:$F$39,MATCH('Summarized Source Data'!$A1088,'Category Mapping'!$A$28:$A$39,0),1),INDEX('Category Mapping'!$E$28:$E$39,MATCH($A1088,'Category Mapping'!$A$28:$A$39,0),1))</f>
        <v>0</v>
      </c>
      <c r="I1088" s="27">
        <f>I508*IF($E1088="weekday",INDEX('Category Mapping'!$F$28:$F$39,MATCH('Summarized Source Data'!$A1088,'Category Mapping'!$A$28:$A$39,0),1),INDEX('Category Mapping'!$E$28:$E$39,MATCH($A1088,'Category Mapping'!$A$28:$A$39,0),1))</f>
        <v>57452512.57142856</v>
      </c>
      <c r="J1088" s="27">
        <f>J508*IF($E1088="weekday",INDEX('Category Mapping'!$F$28:$F$39,MATCH('Summarized Source Data'!$A1088,'Category Mapping'!$A$28:$A$39,0),1),INDEX('Category Mapping'!$E$28:$E$39,MATCH($A1088,'Category Mapping'!$A$28:$A$39,0),1))</f>
        <v>328462793.99999994</v>
      </c>
      <c r="K1088" s="27">
        <f>K508*IF($E1088="weekday",INDEX('Category Mapping'!$F$28:$F$39,MATCH('Summarized Source Data'!$A1088,'Category Mapping'!$A$28:$A$39,0),1),INDEX('Category Mapping'!$E$28:$E$39,MATCH($A1088,'Category Mapping'!$A$28:$A$39,0),1))</f>
        <v>328462793.99999994</v>
      </c>
      <c r="L1088" s="27">
        <f>L508*IF($E1088="weekday",INDEX('Category Mapping'!$F$28:$F$39,MATCH('Summarized Source Data'!$A1088,'Category Mapping'!$A$28:$A$39,0),1),INDEX('Category Mapping'!$E$28:$E$39,MATCH($A1088,'Category Mapping'!$A$28:$A$39,0),1))</f>
        <v>33793604.857142851</v>
      </c>
      <c r="M1088" s="27">
        <f>M508*IF($E1088="weekday",INDEX('Category Mapping'!$F$28:$F$39,MATCH('Summarized Source Data'!$A1088,'Category Mapping'!$A$28:$A$39,0),1),INDEX('Category Mapping'!$E$28:$E$39,MATCH($A1088,'Category Mapping'!$A$28:$A$39,0),1))</f>
        <v>5969244.8571428563</v>
      </c>
      <c r="N1088" s="27">
        <f>N508*IF($E1088="weekday",INDEX('Category Mapping'!$F$28:$F$39,MATCH('Summarized Source Data'!$A1088,'Category Mapping'!$A$28:$A$39,0),1),INDEX('Category Mapping'!$E$28:$E$39,MATCH($A1088,'Category Mapping'!$A$28:$A$39,0),1))</f>
        <v>0</v>
      </c>
      <c r="O1088" s="27">
        <f>O508*IF($E1088="weekday",INDEX('Category Mapping'!$F$28:$F$39,MATCH('Summarized Source Data'!$A1088,'Category Mapping'!$A$28:$A$39,0),1),INDEX('Category Mapping'!$E$28:$E$39,MATCH($A1088,'Category Mapping'!$A$28:$A$39,0),1))</f>
        <v>688294293.14285707</v>
      </c>
      <c r="P1088" s="27">
        <f>P508*IF($E1088="weekday",INDEX('Category Mapping'!$F$28:$F$39,MATCH('Summarized Source Data'!$A1088,'Category Mapping'!$A$28:$A$39,0),1),INDEX('Category Mapping'!$E$28:$E$39,MATCH($A1088,'Category Mapping'!$A$28:$A$39,0),1))</f>
        <v>688294293.14285707</v>
      </c>
      <c r="Q1088" s="27">
        <f>Q508*IF($E1088="weekday",INDEX('Category Mapping'!$F$28:$F$39,MATCH('Summarized Source Data'!$A1088,'Category Mapping'!$A$28:$A$39,0),1),INDEX('Category Mapping'!$E$28:$E$39,MATCH($A1088,'Category Mapping'!$A$28:$A$39,0),1))</f>
        <v>688294293.14285707</v>
      </c>
      <c r="R1088" s="27">
        <f>R508*IF($E1088="weekday",INDEX('Category Mapping'!$F$28:$F$39,MATCH('Summarized Source Data'!$A1088,'Category Mapping'!$A$28:$A$39,0),1),INDEX('Category Mapping'!$E$28:$E$39,MATCH($A1088,'Category Mapping'!$A$28:$A$39,0),1))</f>
        <v>23659802.285714284</v>
      </c>
      <c r="S1088" s="27">
        <f>S508*IF($E1088="weekday",INDEX('Category Mapping'!$F$28:$F$39,MATCH('Summarized Source Data'!$A1088,'Category Mapping'!$A$28:$A$39,0),1),INDEX('Category Mapping'!$E$28:$E$39,MATCH($A1088,'Category Mapping'!$A$28:$A$39,0),1))</f>
        <v>23659802.285714284</v>
      </c>
      <c r="T1088" s="27">
        <f>T508*IF($E1088="weekday",INDEX('Category Mapping'!$F$28:$F$39,MATCH('Summarized Source Data'!$A1088,'Category Mapping'!$A$28:$A$39,0),1),INDEX('Category Mapping'!$E$28:$E$39,MATCH($A1088,'Category Mapping'!$A$28:$A$39,0),1))</f>
        <v>23659802.285714284</v>
      </c>
      <c r="U1088" s="27">
        <f>U508*IF($E1088="weekday",INDEX('Category Mapping'!$F$28:$F$39,MATCH('Summarized Source Data'!$A1088,'Category Mapping'!$A$28:$A$39,0),1),INDEX('Category Mapping'!$E$28:$E$39,MATCH($A1088,'Category Mapping'!$A$28:$A$39,0),1))</f>
        <v>23659802.285714284</v>
      </c>
      <c r="V1088" s="27">
        <f>V508*IF($E1088="weekday",INDEX('Category Mapping'!$F$28:$F$39,MATCH('Summarized Source Data'!$A1088,'Category Mapping'!$A$28:$A$39,0),1),INDEX('Category Mapping'!$E$28:$E$39,MATCH($A1088,'Category Mapping'!$A$28:$A$39,0),1))</f>
        <v>23659802.285714284</v>
      </c>
      <c r="W1088" s="27">
        <f>W508*IF($E1088="weekday",INDEX('Category Mapping'!$F$28:$F$39,MATCH('Summarized Source Data'!$A1088,'Category Mapping'!$A$28:$A$39,0),1),INDEX('Category Mapping'!$E$28:$E$39,MATCH($A1088,'Category Mapping'!$A$28:$A$39,0),1))</f>
        <v>23659802.285714284</v>
      </c>
      <c r="X1088" s="27">
        <f>X508*IF($E1088="weekday",INDEX('Category Mapping'!$F$28:$F$39,MATCH('Summarized Source Data'!$A1088,'Category Mapping'!$A$28:$A$39,0),1),INDEX('Category Mapping'!$E$28:$E$39,MATCH($A1088,'Category Mapping'!$A$28:$A$39,0),1))</f>
        <v>3002571428.5714283</v>
      </c>
      <c r="Y1088" s="27">
        <f>Y508*IF($E1088="weekday",INDEX('Category Mapping'!$F$28:$F$39,MATCH('Summarized Source Data'!$A1088,'Category Mapping'!$A$28:$A$39,0),1),INDEX('Category Mapping'!$E$28:$E$39,MATCH($A1088,'Category Mapping'!$A$28:$A$39,0),1))</f>
        <v>3002571428.5714283</v>
      </c>
      <c r="Z1088" s="27">
        <f>Z508*IF($E1088="weekday",INDEX('Category Mapping'!$F$28:$F$39,MATCH('Summarized Source Data'!$A1088,'Category Mapping'!$A$28:$A$39,0),1),INDEX('Category Mapping'!$E$28:$E$39,MATCH($A1088,'Category Mapping'!$A$28:$A$39,0),1))</f>
        <v>3002571428.5714283</v>
      </c>
    </row>
    <row r="1089" spans="1:26" outlineLevel="1" x14ac:dyDescent="0.3">
      <c r="A1089">
        <f t="shared" ref="A1089:E1089" si="554">A509</f>
        <v>10</v>
      </c>
      <c r="B1089" t="str">
        <f t="shared" si="554"/>
        <v>Fall</v>
      </c>
      <c r="C1089" t="str">
        <f t="shared" si="554"/>
        <v>h2</v>
      </c>
      <c r="D1089" t="str">
        <f t="shared" si="554"/>
        <v>Hour1</v>
      </c>
      <c r="E1089" t="str">
        <f t="shared" si="554"/>
        <v>Weekend</v>
      </c>
      <c r="F1089" s="27">
        <f>F509*IF($E1089="weekday",INDEX('Category Mapping'!$F$28:$F$39,MATCH('Summarized Source Data'!$A1089,'Category Mapping'!$A$28:$A$39,0),1),INDEX('Category Mapping'!$E$28:$E$39,MATCH($A1089,'Category Mapping'!$A$28:$A$39,0),1))</f>
        <v>17074082.571428567</v>
      </c>
      <c r="G1089" s="27">
        <f>G509*IF($E1089="weekday",INDEX('Category Mapping'!$F$28:$F$39,MATCH('Summarized Source Data'!$A1089,'Category Mapping'!$A$28:$A$39,0),1),INDEX('Category Mapping'!$E$28:$E$39,MATCH($A1089,'Category Mapping'!$A$28:$A$39,0),1))</f>
        <v>10770.285714285712</v>
      </c>
      <c r="H1089" s="27">
        <f>H509*IF($E1089="weekday",INDEX('Category Mapping'!$F$28:$F$39,MATCH('Summarized Source Data'!$A1089,'Category Mapping'!$A$28:$A$39,0),1),INDEX('Category Mapping'!$E$28:$E$39,MATCH($A1089,'Category Mapping'!$A$28:$A$39,0),1))</f>
        <v>0</v>
      </c>
      <c r="I1089" s="27">
        <f>I509*IF($E1089="weekday",INDEX('Category Mapping'!$F$28:$F$39,MATCH('Summarized Source Data'!$A1089,'Category Mapping'!$A$28:$A$39,0),1),INDEX('Category Mapping'!$E$28:$E$39,MATCH($A1089,'Category Mapping'!$A$28:$A$39,0),1))</f>
        <v>49638608.285714276</v>
      </c>
      <c r="J1089" s="27">
        <f>J509*IF($E1089="weekday",INDEX('Category Mapping'!$F$28:$F$39,MATCH('Summarized Source Data'!$A1089,'Category Mapping'!$A$28:$A$39,0),1),INDEX('Category Mapping'!$E$28:$E$39,MATCH($A1089,'Category Mapping'!$A$28:$A$39,0),1))</f>
        <v>255676538.85714281</v>
      </c>
      <c r="K1089" s="27">
        <f>K509*IF($E1089="weekday",INDEX('Category Mapping'!$F$28:$F$39,MATCH('Summarized Source Data'!$A1089,'Category Mapping'!$A$28:$A$39,0),1),INDEX('Category Mapping'!$E$28:$E$39,MATCH($A1089,'Category Mapping'!$A$28:$A$39,0),1))</f>
        <v>255676538.85714281</v>
      </c>
      <c r="L1089" s="27">
        <f>L509*IF($E1089="weekday",INDEX('Category Mapping'!$F$28:$F$39,MATCH('Summarized Source Data'!$A1089,'Category Mapping'!$A$28:$A$39,0),1),INDEX('Category Mapping'!$E$28:$E$39,MATCH($A1089,'Category Mapping'!$A$28:$A$39,0),1))</f>
        <v>30373206.571428567</v>
      </c>
      <c r="M1089" s="27">
        <f>M509*IF($E1089="weekday",INDEX('Category Mapping'!$F$28:$F$39,MATCH('Summarized Source Data'!$A1089,'Category Mapping'!$A$28:$A$39,0),1),INDEX('Category Mapping'!$E$28:$E$39,MATCH($A1089,'Category Mapping'!$A$28:$A$39,0),1))</f>
        <v>5842268.8571428563</v>
      </c>
      <c r="N1089" s="27">
        <f>N509*IF($E1089="weekday",INDEX('Category Mapping'!$F$28:$F$39,MATCH('Summarized Source Data'!$A1089,'Category Mapping'!$A$28:$A$39,0),1),INDEX('Category Mapping'!$E$28:$E$39,MATCH($A1089,'Category Mapping'!$A$28:$A$39,0),1))</f>
        <v>0</v>
      </c>
      <c r="O1089" s="27">
        <f>O509*IF($E1089="weekday",INDEX('Category Mapping'!$F$28:$F$39,MATCH('Summarized Source Data'!$A1089,'Category Mapping'!$A$28:$A$39,0),1),INDEX('Category Mapping'!$E$28:$E$39,MATCH($A1089,'Category Mapping'!$A$28:$A$39,0),1))</f>
        <v>601498810.28571415</v>
      </c>
      <c r="P1089" s="27">
        <f>P509*IF($E1089="weekday",INDEX('Category Mapping'!$F$28:$F$39,MATCH('Summarized Source Data'!$A1089,'Category Mapping'!$A$28:$A$39,0),1),INDEX('Category Mapping'!$E$28:$E$39,MATCH($A1089,'Category Mapping'!$A$28:$A$39,0),1))</f>
        <v>601498810.28571415</v>
      </c>
      <c r="Q1089" s="27">
        <f>Q509*IF($E1089="weekday",INDEX('Category Mapping'!$F$28:$F$39,MATCH('Summarized Source Data'!$A1089,'Category Mapping'!$A$28:$A$39,0),1),INDEX('Category Mapping'!$E$28:$E$39,MATCH($A1089,'Category Mapping'!$A$28:$A$39,0),1))</f>
        <v>601498810.28571415</v>
      </c>
      <c r="R1089" s="27">
        <f>R509*IF($E1089="weekday",INDEX('Category Mapping'!$F$28:$F$39,MATCH('Summarized Source Data'!$A1089,'Category Mapping'!$A$28:$A$39,0),1),INDEX('Category Mapping'!$E$28:$E$39,MATCH($A1089,'Category Mapping'!$A$28:$A$39,0),1))</f>
        <v>22518825.142857138</v>
      </c>
      <c r="S1089" s="27">
        <f>S509*IF($E1089="weekday",INDEX('Category Mapping'!$F$28:$F$39,MATCH('Summarized Source Data'!$A1089,'Category Mapping'!$A$28:$A$39,0),1),INDEX('Category Mapping'!$E$28:$E$39,MATCH($A1089,'Category Mapping'!$A$28:$A$39,0),1))</f>
        <v>22518825.142857138</v>
      </c>
      <c r="T1089" s="27">
        <f>T509*IF($E1089="weekday",INDEX('Category Mapping'!$F$28:$F$39,MATCH('Summarized Source Data'!$A1089,'Category Mapping'!$A$28:$A$39,0),1),INDEX('Category Mapping'!$E$28:$E$39,MATCH($A1089,'Category Mapping'!$A$28:$A$39,0),1))</f>
        <v>22518825.142857138</v>
      </c>
      <c r="U1089" s="27">
        <f>U509*IF($E1089="weekday",INDEX('Category Mapping'!$F$28:$F$39,MATCH('Summarized Source Data'!$A1089,'Category Mapping'!$A$28:$A$39,0),1),INDEX('Category Mapping'!$E$28:$E$39,MATCH($A1089,'Category Mapping'!$A$28:$A$39,0),1))</f>
        <v>22518825.142857138</v>
      </c>
      <c r="V1089" s="27">
        <f>V509*IF($E1089="weekday",INDEX('Category Mapping'!$F$28:$F$39,MATCH('Summarized Source Data'!$A1089,'Category Mapping'!$A$28:$A$39,0),1),INDEX('Category Mapping'!$E$28:$E$39,MATCH($A1089,'Category Mapping'!$A$28:$A$39,0),1))</f>
        <v>22518825.142857138</v>
      </c>
      <c r="W1089" s="27">
        <f>W509*IF($E1089="weekday",INDEX('Category Mapping'!$F$28:$F$39,MATCH('Summarized Source Data'!$A1089,'Category Mapping'!$A$28:$A$39,0),1),INDEX('Category Mapping'!$E$28:$E$39,MATCH($A1089,'Category Mapping'!$A$28:$A$39,0),1))</f>
        <v>22518825.142857138</v>
      </c>
      <c r="X1089" s="27">
        <f>X509*IF($E1089="weekday",INDEX('Category Mapping'!$F$28:$F$39,MATCH('Summarized Source Data'!$A1089,'Category Mapping'!$A$28:$A$39,0),1),INDEX('Category Mapping'!$E$28:$E$39,MATCH($A1089,'Category Mapping'!$A$28:$A$39,0),1))</f>
        <v>2993714285.7142854</v>
      </c>
      <c r="Y1089" s="27">
        <f>Y509*IF($E1089="weekday",INDEX('Category Mapping'!$F$28:$F$39,MATCH('Summarized Source Data'!$A1089,'Category Mapping'!$A$28:$A$39,0),1),INDEX('Category Mapping'!$E$28:$E$39,MATCH($A1089,'Category Mapping'!$A$28:$A$39,0),1))</f>
        <v>2993714285.7142854</v>
      </c>
      <c r="Z1089" s="27">
        <f>Z509*IF($E1089="weekday",INDEX('Category Mapping'!$F$28:$F$39,MATCH('Summarized Source Data'!$A1089,'Category Mapping'!$A$28:$A$39,0),1),INDEX('Category Mapping'!$E$28:$E$39,MATCH($A1089,'Category Mapping'!$A$28:$A$39,0),1))</f>
        <v>2993714285.7142854</v>
      </c>
    </row>
    <row r="1090" spans="1:26" outlineLevel="1" x14ac:dyDescent="0.3">
      <c r="A1090">
        <f t="shared" ref="A1090:E1090" si="555">A510</f>
        <v>10</v>
      </c>
      <c r="B1090" t="str">
        <f t="shared" si="555"/>
        <v>Fall</v>
      </c>
      <c r="C1090" t="str">
        <f t="shared" si="555"/>
        <v>h3</v>
      </c>
      <c r="D1090" t="str">
        <f t="shared" si="555"/>
        <v>Hour2</v>
      </c>
      <c r="E1090" t="str">
        <f t="shared" si="555"/>
        <v>Weekend</v>
      </c>
      <c r="F1090" s="27">
        <f>F510*IF($E1090="weekday",INDEX('Category Mapping'!$F$28:$F$39,MATCH('Summarized Source Data'!$A1090,'Category Mapping'!$A$28:$A$39,0),1),INDEX('Category Mapping'!$E$28:$E$39,MATCH($A1090,'Category Mapping'!$A$28:$A$39,0),1))</f>
        <v>17213981.142857142</v>
      </c>
      <c r="G1090" s="27">
        <f>G510*IF($E1090="weekday",INDEX('Category Mapping'!$F$28:$F$39,MATCH('Summarized Source Data'!$A1090,'Category Mapping'!$A$28:$A$39,0),1),INDEX('Category Mapping'!$E$28:$E$39,MATCH($A1090,'Category Mapping'!$A$28:$A$39,0),1))</f>
        <v>10911.999999999998</v>
      </c>
      <c r="H1090" s="27">
        <f>H510*IF($E1090="weekday",INDEX('Category Mapping'!$F$28:$F$39,MATCH('Summarized Source Data'!$A1090,'Category Mapping'!$A$28:$A$39,0),1),INDEX('Category Mapping'!$E$28:$E$39,MATCH($A1090,'Category Mapping'!$A$28:$A$39,0),1))</f>
        <v>0</v>
      </c>
      <c r="I1090" s="27">
        <f>I510*IF($E1090="weekday",INDEX('Category Mapping'!$F$28:$F$39,MATCH('Summarized Source Data'!$A1090,'Category Mapping'!$A$28:$A$39,0),1),INDEX('Category Mapping'!$E$28:$E$39,MATCH($A1090,'Category Mapping'!$A$28:$A$39,0),1))</f>
        <v>47941978.285714276</v>
      </c>
      <c r="J1090" s="27">
        <f>J510*IF($E1090="weekday",INDEX('Category Mapping'!$F$28:$F$39,MATCH('Summarized Source Data'!$A1090,'Category Mapping'!$A$28:$A$39,0),1),INDEX('Category Mapping'!$E$28:$E$39,MATCH($A1090,'Category Mapping'!$A$28:$A$39,0),1))</f>
        <v>198775985.71428567</v>
      </c>
      <c r="K1090" s="27">
        <f>K510*IF($E1090="weekday",INDEX('Category Mapping'!$F$28:$F$39,MATCH('Summarized Source Data'!$A1090,'Category Mapping'!$A$28:$A$39,0),1),INDEX('Category Mapping'!$E$28:$E$39,MATCH($A1090,'Category Mapping'!$A$28:$A$39,0),1))</f>
        <v>198775985.71428567</v>
      </c>
      <c r="L1090" s="27">
        <f>L510*IF($E1090="weekday",INDEX('Category Mapping'!$F$28:$F$39,MATCH('Summarized Source Data'!$A1090,'Category Mapping'!$A$28:$A$39,0),1),INDEX('Category Mapping'!$E$28:$E$39,MATCH($A1090,'Category Mapping'!$A$28:$A$39,0),1))</f>
        <v>30773877.142857138</v>
      </c>
      <c r="M1090" s="27">
        <f>M510*IF($E1090="weekday",INDEX('Category Mapping'!$F$28:$F$39,MATCH('Summarized Source Data'!$A1090,'Category Mapping'!$A$28:$A$39,0),1),INDEX('Category Mapping'!$E$28:$E$39,MATCH($A1090,'Category Mapping'!$A$28:$A$39,0),1))</f>
        <v>5789285.4285714282</v>
      </c>
      <c r="N1090" s="27">
        <f>N510*IF($E1090="weekday",INDEX('Category Mapping'!$F$28:$F$39,MATCH('Summarized Source Data'!$A1090,'Category Mapping'!$A$28:$A$39,0),1),INDEX('Category Mapping'!$E$28:$E$39,MATCH($A1090,'Category Mapping'!$A$28:$A$39,0),1))</f>
        <v>0</v>
      </c>
      <c r="O1090" s="27">
        <f>O510*IF($E1090="weekday",INDEX('Category Mapping'!$F$28:$F$39,MATCH('Summarized Source Data'!$A1090,'Category Mapping'!$A$28:$A$39,0),1),INDEX('Category Mapping'!$E$28:$E$39,MATCH($A1090,'Category Mapping'!$A$28:$A$39,0),1))</f>
        <v>594065408.85714281</v>
      </c>
      <c r="P1090" s="27">
        <f>P510*IF($E1090="weekday",INDEX('Category Mapping'!$F$28:$F$39,MATCH('Summarized Source Data'!$A1090,'Category Mapping'!$A$28:$A$39,0),1),INDEX('Category Mapping'!$E$28:$E$39,MATCH($A1090,'Category Mapping'!$A$28:$A$39,0),1))</f>
        <v>594065408.85714281</v>
      </c>
      <c r="Q1090" s="27">
        <f>Q510*IF($E1090="weekday",INDEX('Category Mapping'!$F$28:$F$39,MATCH('Summarized Source Data'!$A1090,'Category Mapping'!$A$28:$A$39,0),1),INDEX('Category Mapping'!$E$28:$E$39,MATCH($A1090,'Category Mapping'!$A$28:$A$39,0),1))</f>
        <v>594065408.85714281</v>
      </c>
      <c r="R1090" s="27">
        <f>R510*IF($E1090="weekday",INDEX('Category Mapping'!$F$28:$F$39,MATCH('Summarized Source Data'!$A1090,'Category Mapping'!$A$28:$A$39,0),1),INDEX('Category Mapping'!$E$28:$E$39,MATCH($A1090,'Category Mapping'!$A$28:$A$39,0),1))</f>
        <v>22207647.142857138</v>
      </c>
      <c r="S1090" s="27">
        <f>S510*IF($E1090="weekday",INDEX('Category Mapping'!$F$28:$F$39,MATCH('Summarized Source Data'!$A1090,'Category Mapping'!$A$28:$A$39,0),1),INDEX('Category Mapping'!$E$28:$E$39,MATCH($A1090,'Category Mapping'!$A$28:$A$39,0),1))</f>
        <v>22207647.142857138</v>
      </c>
      <c r="T1090" s="27">
        <f>T510*IF($E1090="weekday",INDEX('Category Mapping'!$F$28:$F$39,MATCH('Summarized Source Data'!$A1090,'Category Mapping'!$A$28:$A$39,0),1),INDEX('Category Mapping'!$E$28:$E$39,MATCH($A1090,'Category Mapping'!$A$28:$A$39,0),1))</f>
        <v>22207647.142857138</v>
      </c>
      <c r="U1090" s="27">
        <f>U510*IF($E1090="weekday",INDEX('Category Mapping'!$F$28:$F$39,MATCH('Summarized Source Data'!$A1090,'Category Mapping'!$A$28:$A$39,0),1),INDEX('Category Mapping'!$E$28:$E$39,MATCH($A1090,'Category Mapping'!$A$28:$A$39,0),1))</f>
        <v>22207647.142857138</v>
      </c>
      <c r="V1090" s="27">
        <f>V510*IF($E1090="weekday",INDEX('Category Mapping'!$F$28:$F$39,MATCH('Summarized Source Data'!$A1090,'Category Mapping'!$A$28:$A$39,0),1),INDEX('Category Mapping'!$E$28:$E$39,MATCH($A1090,'Category Mapping'!$A$28:$A$39,0),1))</f>
        <v>22207647.142857138</v>
      </c>
      <c r="W1090" s="27">
        <f>W510*IF($E1090="weekday",INDEX('Category Mapping'!$F$28:$F$39,MATCH('Summarized Source Data'!$A1090,'Category Mapping'!$A$28:$A$39,0),1),INDEX('Category Mapping'!$E$28:$E$39,MATCH($A1090,'Category Mapping'!$A$28:$A$39,0),1))</f>
        <v>22207647.142857138</v>
      </c>
      <c r="X1090" s="27">
        <f>X510*IF($E1090="weekday",INDEX('Category Mapping'!$F$28:$F$39,MATCH('Summarized Source Data'!$A1090,'Category Mapping'!$A$28:$A$39,0),1),INDEX('Category Mapping'!$E$28:$E$39,MATCH($A1090,'Category Mapping'!$A$28:$A$39,0),1))</f>
        <v>2993714285.7142854</v>
      </c>
      <c r="Y1090" s="27">
        <f>Y510*IF($E1090="weekday",INDEX('Category Mapping'!$F$28:$F$39,MATCH('Summarized Source Data'!$A1090,'Category Mapping'!$A$28:$A$39,0),1),INDEX('Category Mapping'!$E$28:$E$39,MATCH($A1090,'Category Mapping'!$A$28:$A$39,0),1))</f>
        <v>2993714285.7142854</v>
      </c>
      <c r="Z1090" s="27">
        <f>Z510*IF($E1090="weekday",INDEX('Category Mapping'!$F$28:$F$39,MATCH('Summarized Source Data'!$A1090,'Category Mapping'!$A$28:$A$39,0),1),INDEX('Category Mapping'!$E$28:$E$39,MATCH($A1090,'Category Mapping'!$A$28:$A$39,0),1))</f>
        <v>2993714285.7142854</v>
      </c>
    </row>
    <row r="1091" spans="1:26" outlineLevel="1" x14ac:dyDescent="0.3">
      <c r="A1091">
        <f t="shared" ref="A1091:E1091" si="556">A511</f>
        <v>10</v>
      </c>
      <c r="B1091" t="str">
        <f t="shared" si="556"/>
        <v>Fall</v>
      </c>
      <c r="C1091" t="str">
        <f t="shared" si="556"/>
        <v>h4</v>
      </c>
      <c r="D1091" t="str">
        <f t="shared" si="556"/>
        <v>Hour3</v>
      </c>
      <c r="E1091" t="str">
        <f t="shared" si="556"/>
        <v>Weekend</v>
      </c>
      <c r="F1091" s="27">
        <f>F511*IF($E1091="weekday",INDEX('Category Mapping'!$F$28:$F$39,MATCH('Summarized Source Data'!$A1091,'Category Mapping'!$A$28:$A$39,0),1),INDEX('Category Mapping'!$E$28:$E$39,MATCH($A1091,'Category Mapping'!$A$28:$A$39,0),1))</f>
        <v>17074082.571428567</v>
      </c>
      <c r="G1091" s="27">
        <f>G511*IF($E1091="weekday",INDEX('Category Mapping'!$F$28:$F$39,MATCH('Summarized Source Data'!$A1091,'Category Mapping'!$A$28:$A$39,0),1),INDEX('Category Mapping'!$E$28:$E$39,MATCH($A1091,'Category Mapping'!$A$28:$A$39,0),1))</f>
        <v>10938.571428571428</v>
      </c>
      <c r="H1091" s="27">
        <f>H511*IF($E1091="weekday",INDEX('Category Mapping'!$F$28:$F$39,MATCH('Summarized Source Data'!$A1091,'Category Mapping'!$A$28:$A$39,0),1),INDEX('Category Mapping'!$E$28:$E$39,MATCH($A1091,'Category Mapping'!$A$28:$A$39,0),1))</f>
        <v>0</v>
      </c>
      <c r="I1091" s="27">
        <f>I511*IF($E1091="weekday",INDEX('Category Mapping'!$F$28:$F$39,MATCH('Summarized Source Data'!$A1091,'Category Mapping'!$A$28:$A$39,0),1),INDEX('Category Mapping'!$E$28:$E$39,MATCH($A1091,'Category Mapping'!$A$28:$A$39,0),1))</f>
        <v>47901509.999999993</v>
      </c>
      <c r="J1091" s="27">
        <f>J511*IF($E1091="weekday",INDEX('Category Mapping'!$F$28:$F$39,MATCH('Summarized Source Data'!$A1091,'Category Mapping'!$A$28:$A$39,0),1),INDEX('Category Mapping'!$E$28:$E$39,MATCH($A1091,'Category Mapping'!$A$28:$A$39,0),1))</f>
        <v>164413468.85714284</v>
      </c>
      <c r="K1091" s="27">
        <f>K511*IF($E1091="weekday",INDEX('Category Mapping'!$F$28:$F$39,MATCH('Summarized Source Data'!$A1091,'Category Mapping'!$A$28:$A$39,0),1),INDEX('Category Mapping'!$E$28:$E$39,MATCH($A1091,'Category Mapping'!$A$28:$A$39,0),1))</f>
        <v>164413468.85714284</v>
      </c>
      <c r="L1091" s="27">
        <f>L511*IF($E1091="weekday",INDEX('Category Mapping'!$F$28:$F$39,MATCH('Summarized Source Data'!$A1091,'Category Mapping'!$A$28:$A$39,0),1),INDEX('Category Mapping'!$E$28:$E$39,MATCH($A1091,'Category Mapping'!$A$28:$A$39,0),1))</f>
        <v>31232721.428571425</v>
      </c>
      <c r="M1091" s="27">
        <f>M511*IF($E1091="weekday",INDEX('Category Mapping'!$F$28:$F$39,MATCH('Summarized Source Data'!$A1091,'Category Mapping'!$A$28:$A$39,0),1),INDEX('Category Mapping'!$E$28:$E$39,MATCH($A1091,'Category Mapping'!$A$28:$A$39,0),1))</f>
        <v>5759392.5714285709</v>
      </c>
      <c r="N1091" s="27">
        <f>N511*IF($E1091="weekday",INDEX('Category Mapping'!$F$28:$F$39,MATCH('Summarized Source Data'!$A1091,'Category Mapping'!$A$28:$A$39,0),1),INDEX('Category Mapping'!$E$28:$E$39,MATCH($A1091,'Category Mapping'!$A$28:$A$39,0),1))</f>
        <v>0</v>
      </c>
      <c r="O1091" s="27">
        <f>O511*IF($E1091="weekday",INDEX('Category Mapping'!$F$28:$F$39,MATCH('Summarized Source Data'!$A1091,'Category Mapping'!$A$28:$A$39,0),1),INDEX('Category Mapping'!$E$28:$E$39,MATCH($A1091,'Category Mapping'!$A$28:$A$39,0),1))</f>
        <v>599836457.42857134</v>
      </c>
      <c r="P1091" s="27">
        <f>P511*IF($E1091="weekday",INDEX('Category Mapping'!$F$28:$F$39,MATCH('Summarized Source Data'!$A1091,'Category Mapping'!$A$28:$A$39,0),1),INDEX('Category Mapping'!$E$28:$E$39,MATCH($A1091,'Category Mapping'!$A$28:$A$39,0),1))</f>
        <v>599836457.42857134</v>
      </c>
      <c r="Q1091" s="27">
        <f>Q511*IF($E1091="weekday",INDEX('Category Mapping'!$F$28:$F$39,MATCH('Summarized Source Data'!$A1091,'Category Mapping'!$A$28:$A$39,0),1),INDEX('Category Mapping'!$E$28:$E$39,MATCH($A1091,'Category Mapping'!$A$28:$A$39,0),1))</f>
        <v>599836457.42857134</v>
      </c>
      <c r="R1091" s="27">
        <f>R511*IF($E1091="weekday",INDEX('Category Mapping'!$F$28:$F$39,MATCH('Summarized Source Data'!$A1091,'Category Mapping'!$A$28:$A$39,0),1),INDEX('Category Mapping'!$E$28:$E$39,MATCH($A1091,'Category Mapping'!$A$28:$A$39,0),1))</f>
        <v>22207647.142857138</v>
      </c>
      <c r="S1091" s="27">
        <f>S511*IF($E1091="weekday",INDEX('Category Mapping'!$F$28:$F$39,MATCH('Summarized Source Data'!$A1091,'Category Mapping'!$A$28:$A$39,0),1),INDEX('Category Mapping'!$E$28:$E$39,MATCH($A1091,'Category Mapping'!$A$28:$A$39,0),1))</f>
        <v>22207647.142857138</v>
      </c>
      <c r="T1091" s="27">
        <f>T511*IF($E1091="weekday",INDEX('Category Mapping'!$F$28:$F$39,MATCH('Summarized Source Data'!$A1091,'Category Mapping'!$A$28:$A$39,0),1),INDEX('Category Mapping'!$E$28:$E$39,MATCH($A1091,'Category Mapping'!$A$28:$A$39,0),1))</f>
        <v>22207647.142857138</v>
      </c>
      <c r="U1091" s="27">
        <f>U511*IF($E1091="weekday",INDEX('Category Mapping'!$F$28:$F$39,MATCH('Summarized Source Data'!$A1091,'Category Mapping'!$A$28:$A$39,0),1),INDEX('Category Mapping'!$E$28:$E$39,MATCH($A1091,'Category Mapping'!$A$28:$A$39,0),1))</f>
        <v>22207647.142857138</v>
      </c>
      <c r="V1091" s="27">
        <f>V511*IF($E1091="weekday",INDEX('Category Mapping'!$F$28:$F$39,MATCH('Summarized Source Data'!$A1091,'Category Mapping'!$A$28:$A$39,0),1),INDEX('Category Mapping'!$E$28:$E$39,MATCH($A1091,'Category Mapping'!$A$28:$A$39,0),1))</f>
        <v>22207647.142857138</v>
      </c>
      <c r="W1091" s="27">
        <f>W511*IF($E1091="weekday",INDEX('Category Mapping'!$F$28:$F$39,MATCH('Summarized Source Data'!$A1091,'Category Mapping'!$A$28:$A$39,0),1),INDEX('Category Mapping'!$E$28:$E$39,MATCH($A1091,'Category Mapping'!$A$28:$A$39,0),1))</f>
        <v>22207647.142857138</v>
      </c>
      <c r="X1091" s="27">
        <f>X511*IF($E1091="weekday",INDEX('Category Mapping'!$F$28:$F$39,MATCH('Summarized Source Data'!$A1091,'Category Mapping'!$A$28:$A$39,0),1),INDEX('Category Mapping'!$E$28:$E$39,MATCH($A1091,'Category Mapping'!$A$28:$A$39,0),1))</f>
        <v>3002571428.5714283</v>
      </c>
      <c r="Y1091" s="27">
        <f>Y511*IF($E1091="weekday",INDEX('Category Mapping'!$F$28:$F$39,MATCH('Summarized Source Data'!$A1091,'Category Mapping'!$A$28:$A$39,0),1),INDEX('Category Mapping'!$E$28:$E$39,MATCH($A1091,'Category Mapping'!$A$28:$A$39,0),1))</f>
        <v>3002571428.5714283</v>
      </c>
      <c r="Z1091" s="27">
        <f>Z511*IF($E1091="weekday",INDEX('Category Mapping'!$F$28:$F$39,MATCH('Summarized Source Data'!$A1091,'Category Mapping'!$A$28:$A$39,0),1),INDEX('Category Mapping'!$E$28:$E$39,MATCH($A1091,'Category Mapping'!$A$28:$A$39,0),1))</f>
        <v>3002571428.5714283</v>
      </c>
    </row>
    <row r="1092" spans="1:26" outlineLevel="1" x14ac:dyDescent="0.3">
      <c r="A1092">
        <f t="shared" ref="A1092:E1092" si="557">A512</f>
        <v>10</v>
      </c>
      <c r="B1092" t="str">
        <f t="shared" si="557"/>
        <v>Fall</v>
      </c>
      <c r="C1092" t="str">
        <f t="shared" si="557"/>
        <v>h5</v>
      </c>
      <c r="D1092" t="str">
        <f t="shared" si="557"/>
        <v>Hour4</v>
      </c>
      <c r="E1092" t="str">
        <f t="shared" si="557"/>
        <v>Weekend</v>
      </c>
      <c r="F1092" s="27">
        <f>F512*IF($E1092="weekday",INDEX('Category Mapping'!$F$28:$F$39,MATCH('Summarized Source Data'!$A1092,'Category Mapping'!$A$28:$A$39,0),1),INDEX('Category Mapping'!$E$28:$E$39,MATCH($A1092,'Category Mapping'!$A$28:$A$39,0),1))</f>
        <v>17074082.571428567</v>
      </c>
      <c r="G1092" s="27">
        <f>G512*IF($E1092="weekday",INDEX('Category Mapping'!$F$28:$F$39,MATCH('Summarized Source Data'!$A1092,'Category Mapping'!$A$28:$A$39,0),1),INDEX('Category Mapping'!$E$28:$E$39,MATCH($A1092,'Category Mapping'!$A$28:$A$39,0),1))</f>
        <v>10903.142857142855</v>
      </c>
      <c r="H1092" s="27">
        <f>H512*IF($E1092="weekday",INDEX('Category Mapping'!$F$28:$F$39,MATCH('Summarized Source Data'!$A1092,'Category Mapping'!$A$28:$A$39,0),1),INDEX('Category Mapping'!$E$28:$E$39,MATCH($A1092,'Category Mapping'!$A$28:$A$39,0),1))</f>
        <v>0</v>
      </c>
      <c r="I1092" s="27">
        <f>I512*IF($E1092="weekday",INDEX('Category Mapping'!$F$28:$F$39,MATCH('Summarized Source Data'!$A1092,'Category Mapping'!$A$28:$A$39,0),1),INDEX('Category Mapping'!$E$28:$E$39,MATCH($A1092,'Category Mapping'!$A$28:$A$39,0),1))</f>
        <v>50420933.142857134</v>
      </c>
      <c r="J1092" s="27">
        <f>J512*IF($E1092="weekday",INDEX('Category Mapping'!$F$28:$F$39,MATCH('Summarized Source Data'!$A1092,'Category Mapping'!$A$28:$A$39,0),1),INDEX('Category Mapping'!$E$28:$E$39,MATCH($A1092,'Category Mapping'!$A$28:$A$39,0),1))</f>
        <v>168094081.1428571</v>
      </c>
      <c r="K1092" s="27">
        <f>K512*IF($E1092="weekday",INDEX('Category Mapping'!$F$28:$F$39,MATCH('Summarized Source Data'!$A1092,'Category Mapping'!$A$28:$A$39,0),1),INDEX('Category Mapping'!$E$28:$E$39,MATCH($A1092,'Category Mapping'!$A$28:$A$39,0),1))</f>
        <v>168094081.1428571</v>
      </c>
      <c r="L1092" s="27">
        <f>L512*IF($E1092="weekday",INDEX('Category Mapping'!$F$28:$F$39,MATCH('Summarized Source Data'!$A1092,'Category Mapping'!$A$28:$A$39,0),1),INDEX('Category Mapping'!$E$28:$E$39,MATCH($A1092,'Category Mapping'!$A$28:$A$39,0),1))</f>
        <v>31028705.999999996</v>
      </c>
      <c r="M1092" s="27">
        <f>M512*IF($E1092="weekday",INDEX('Category Mapping'!$F$28:$F$39,MATCH('Summarized Source Data'!$A1092,'Category Mapping'!$A$28:$A$39,0),1),INDEX('Category Mapping'!$E$28:$E$39,MATCH($A1092,'Category Mapping'!$A$28:$A$39,0),1))</f>
        <v>5752962.2857142845</v>
      </c>
      <c r="N1092" s="27">
        <f>N512*IF($E1092="weekday",INDEX('Category Mapping'!$F$28:$F$39,MATCH('Summarized Source Data'!$A1092,'Category Mapping'!$A$28:$A$39,0),1),INDEX('Category Mapping'!$E$28:$E$39,MATCH($A1092,'Category Mapping'!$A$28:$A$39,0),1))</f>
        <v>0</v>
      </c>
      <c r="O1092" s="27">
        <f>O512*IF($E1092="weekday",INDEX('Category Mapping'!$F$28:$F$39,MATCH('Summarized Source Data'!$A1092,'Category Mapping'!$A$28:$A$39,0),1),INDEX('Category Mapping'!$E$28:$E$39,MATCH($A1092,'Category Mapping'!$A$28:$A$39,0),1))</f>
        <v>608018331.71428561</v>
      </c>
      <c r="P1092" s="27">
        <f>P512*IF($E1092="weekday",INDEX('Category Mapping'!$F$28:$F$39,MATCH('Summarized Source Data'!$A1092,'Category Mapping'!$A$28:$A$39,0),1),INDEX('Category Mapping'!$E$28:$E$39,MATCH($A1092,'Category Mapping'!$A$28:$A$39,0),1))</f>
        <v>608018331.71428561</v>
      </c>
      <c r="Q1092" s="27">
        <f>Q512*IF($E1092="weekday",INDEX('Category Mapping'!$F$28:$F$39,MATCH('Summarized Source Data'!$A1092,'Category Mapping'!$A$28:$A$39,0),1),INDEX('Category Mapping'!$E$28:$E$39,MATCH($A1092,'Category Mapping'!$A$28:$A$39,0),1))</f>
        <v>608018331.71428561</v>
      </c>
      <c r="R1092" s="27">
        <f>R512*IF($E1092="weekday",INDEX('Category Mapping'!$F$28:$F$39,MATCH('Summarized Source Data'!$A1092,'Category Mapping'!$A$28:$A$39,0),1),INDEX('Category Mapping'!$E$28:$E$39,MATCH($A1092,'Category Mapping'!$A$28:$A$39,0),1))</f>
        <v>22103921.142857138</v>
      </c>
      <c r="S1092" s="27">
        <f>S512*IF($E1092="weekday",INDEX('Category Mapping'!$F$28:$F$39,MATCH('Summarized Source Data'!$A1092,'Category Mapping'!$A$28:$A$39,0),1),INDEX('Category Mapping'!$E$28:$E$39,MATCH($A1092,'Category Mapping'!$A$28:$A$39,0),1))</f>
        <v>22103921.142857138</v>
      </c>
      <c r="T1092" s="27">
        <f>T512*IF($E1092="weekday",INDEX('Category Mapping'!$F$28:$F$39,MATCH('Summarized Source Data'!$A1092,'Category Mapping'!$A$28:$A$39,0),1),INDEX('Category Mapping'!$E$28:$E$39,MATCH($A1092,'Category Mapping'!$A$28:$A$39,0),1))</f>
        <v>22103921.142857138</v>
      </c>
      <c r="U1092" s="27">
        <f>U512*IF($E1092="weekday",INDEX('Category Mapping'!$F$28:$F$39,MATCH('Summarized Source Data'!$A1092,'Category Mapping'!$A$28:$A$39,0),1),INDEX('Category Mapping'!$E$28:$E$39,MATCH($A1092,'Category Mapping'!$A$28:$A$39,0),1))</f>
        <v>22103921.142857138</v>
      </c>
      <c r="V1092" s="27">
        <f>V512*IF($E1092="weekday",INDEX('Category Mapping'!$F$28:$F$39,MATCH('Summarized Source Data'!$A1092,'Category Mapping'!$A$28:$A$39,0),1),INDEX('Category Mapping'!$E$28:$E$39,MATCH($A1092,'Category Mapping'!$A$28:$A$39,0),1))</f>
        <v>22103921.142857138</v>
      </c>
      <c r="W1092" s="27">
        <f>W512*IF($E1092="weekday",INDEX('Category Mapping'!$F$28:$F$39,MATCH('Summarized Source Data'!$A1092,'Category Mapping'!$A$28:$A$39,0),1),INDEX('Category Mapping'!$E$28:$E$39,MATCH($A1092,'Category Mapping'!$A$28:$A$39,0),1))</f>
        <v>22103921.142857138</v>
      </c>
      <c r="X1092" s="27">
        <f>X512*IF($E1092="weekday",INDEX('Category Mapping'!$F$28:$F$39,MATCH('Summarized Source Data'!$A1092,'Category Mapping'!$A$28:$A$39,0),1),INDEX('Category Mapping'!$E$28:$E$39,MATCH($A1092,'Category Mapping'!$A$28:$A$39,0),1))</f>
        <v>3029142857.1428566</v>
      </c>
      <c r="Y1092" s="27">
        <f>Y512*IF($E1092="weekday",INDEX('Category Mapping'!$F$28:$F$39,MATCH('Summarized Source Data'!$A1092,'Category Mapping'!$A$28:$A$39,0),1),INDEX('Category Mapping'!$E$28:$E$39,MATCH($A1092,'Category Mapping'!$A$28:$A$39,0),1))</f>
        <v>3029142857.1428566</v>
      </c>
      <c r="Z1092" s="27">
        <f>Z512*IF($E1092="weekday",INDEX('Category Mapping'!$F$28:$F$39,MATCH('Summarized Source Data'!$A1092,'Category Mapping'!$A$28:$A$39,0),1),INDEX('Category Mapping'!$E$28:$E$39,MATCH($A1092,'Category Mapping'!$A$28:$A$39,0),1))</f>
        <v>3029142857.1428566</v>
      </c>
    </row>
    <row r="1093" spans="1:26" outlineLevel="1" x14ac:dyDescent="0.3">
      <c r="A1093">
        <f t="shared" ref="A1093:E1093" si="558">A513</f>
        <v>10</v>
      </c>
      <c r="B1093" t="str">
        <f t="shared" si="558"/>
        <v>Fall</v>
      </c>
      <c r="C1093" t="str">
        <f t="shared" si="558"/>
        <v>h6</v>
      </c>
      <c r="D1093" t="str">
        <f t="shared" si="558"/>
        <v>Hour5</v>
      </c>
      <c r="E1093" t="str">
        <f t="shared" si="558"/>
        <v>Weekend</v>
      </c>
      <c r="F1093" s="27">
        <f>F513*IF($E1093="weekday",INDEX('Category Mapping'!$F$28:$F$39,MATCH('Summarized Source Data'!$A1093,'Category Mapping'!$A$28:$A$39,0),1),INDEX('Category Mapping'!$E$28:$E$39,MATCH($A1093,'Category Mapping'!$A$28:$A$39,0),1))</f>
        <v>22563837.142857138</v>
      </c>
      <c r="G1093" s="27">
        <f>G513*IF($E1093="weekday",INDEX('Category Mapping'!$F$28:$F$39,MATCH('Summarized Source Data'!$A1093,'Category Mapping'!$A$28:$A$39,0),1),INDEX('Category Mapping'!$E$28:$E$39,MATCH($A1093,'Category Mapping'!$A$28:$A$39,0),1))</f>
        <v>10708.285714285712</v>
      </c>
      <c r="H1093" s="27">
        <f>H513*IF($E1093="weekday",INDEX('Category Mapping'!$F$28:$F$39,MATCH('Summarized Source Data'!$A1093,'Category Mapping'!$A$28:$A$39,0),1),INDEX('Category Mapping'!$E$28:$E$39,MATCH($A1093,'Category Mapping'!$A$28:$A$39,0),1))</f>
        <v>0</v>
      </c>
      <c r="I1093" s="27">
        <f>I513*IF($E1093="weekday",INDEX('Category Mapping'!$F$28:$F$39,MATCH('Summarized Source Data'!$A1093,'Category Mapping'!$A$28:$A$39,0),1),INDEX('Category Mapping'!$E$28:$E$39,MATCH($A1093,'Category Mapping'!$A$28:$A$39,0),1))</f>
        <v>65343730.857142851</v>
      </c>
      <c r="J1093" s="27">
        <f>J513*IF($E1093="weekday",INDEX('Category Mapping'!$F$28:$F$39,MATCH('Summarized Source Data'!$A1093,'Category Mapping'!$A$28:$A$39,0),1),INDEX('Category Mapping'!$E$28:$E$39,MATCH($A1093,'Category Mapping'!$A$28:$A$39,0),1))</f>
        <v>193738866.57142854</v>
      </c>
      <c r="K1093" s="27">
        <f>K513*IF($E1093="weekday",INDEX('Category Mapping'!$F$28:$F$39,MATCH('Summarized Source Data'!$A1093,'Category Mapping'!$A$28:$A$39,0),1),INDEX('Category Mapping'!$E$28:$E$39,MATCH($A1093,'Category Mapping'!$A$28:$A$39,0),1))</f>
        <v>193738866.57142854</v>
      </c>
      <c r="L1093" s="27">
        <f>L513*IF($E1093="weekday",INDEX('Category Mapping'!$F$28:$F$39,MATCH('Summarized Source Data'!$A1093,'Category Mapping'!$A$28:$A$39,0),1),INDEX('Category Mapping'!$E$28:$E$39,MATCH($A1093,'Category Mapping'!$A$28:$A$39,0),1))</f>
        <v>36420642.285714284</v>
      </c>
      <c r="M1093" s="27">
        <f>M513*IF($E1093="weekday",INDEX('Category Mapping'!$F$28:$F$39,MATCH('Summarized Source Data'!$A1093,'Category Mapping'!$A$28:$A$39,0),1),INDEX('Category Mapping'!$E$28:$E$39,MATCH($A1093,'Category Mapping'!$A$28:$A$39,0),1))</f>
        <v>5815759.4285714282</v>
      </c>
      <c r="N1093" s="27">
        <f>N513*IF($E1093="weekday",INDEX('Category Mapping'!$F$28:$F$39,MATCH('Summarized Source Data'!$A1093,'Category Mapping'!$A$28:$A$39,0),1),INDEX('Category Mapping'!$E$28:$E$39,MATCH($A1093,'Category Mapping'!$A$28:$A$39,0),1))</f>
        <v>0</v>
      </c>
      <c r="O1093" s="27">
        <f>O513*IF($E1093="weekday",INDEX('Category Mapping'!$F$28:$F$39,MATCH('Summarized Source Data'!$A1093,'Category Mapping'!$A$28:$A$39,0),1),INDEX('Category Mapping'!$E$28:$E$39,MATCH($A1093,'Category Mapping'!$A$28:$A$39,0),1))</f>
        <v>649506455.42857134</v>
      </c>
      <c r="P1093" s="27">
        <f>P513*IF($E1093="weekday",INDEX('Category Mapping'!$F$28:$F$39,MATCH('Summarized Source Data'!$A1093,'Category Mapping'!$A$28:$A$39,0),1),INDEX('Category Mapping'!$E$28:$E$39,MATCH($A1093,'Category Mapping'!$A$28:$A$39,0),1))</f>
        <v>649506455.42857134</v>
      </c>
      <c r="Q1093" s="27">
        <f>Q513*IF($E1093="weekday",INDEX('Category Mapping'!$F$28:$F$39,MATCH('Summarized Source Data'!$A1093,'Category Mapping'!$A$28:$A$39,0),1),INDEX('Category Mapping'!$E$28:$E$39,MATCH($A1093,'Category Mapping'!$A$28:$A$39,0),1))</f>
        <v>649506455.42857134</v>
      </c>
      <c r="R1093" s="27">
        <f>R513*IF($E1093="weekday",INDEX('Category Mapping'!$F$28:$F$39,MATCH('Summarized Source Data'!$A1093,'Category Mapping'!$A$28:$A$39,0),1),INDEX('Category Mapping'!$E$28:$E$39,MATCH($A1093,'Category Mapping'!$A$28:$A$39,0),1))</f>
        <v>22259514.571428567</v>
      </c>
      <c r="S1093" s="27">
        <f>S513*IF($E1093="weekday",INDEX('Category Mapping'!$F$28:$F$39,MATCH('Summarized Source Data'!$A1093,'Category Mapping'!$A$28:$A$39,0),1),INDEX('Category Mapping'!$E$28:$E$39,MATCH($A1093,'Category Mapping'!$A$28:$A$39,0),1))</f>
        <v>22259514.571428567</v>
      </c>
      <c r="T1093" s="27">
        <f>T513*IF($E1093="weekday",INDEX('Category Mapping'!$F$28:$F$39,MATCH('Summarized Source Data'!$A1093,'Category Mapping'!$A$28:$A$39,0),1),INDEX('Category Mapping'!$E$28:$E$39,MATCH($A1093,'Category Mapping'!$A$28:$A$39,0),1))</f>
        <v>22259514.571428567</v>
      </c>
      <c r="U1093" s="27">
        <f>U513*IF($E1093="weekday",INDEX('Category Mapping'!$F$28:$F$39,MATCH('Summarized Source Data'!$A1093,'Category Mapping'!$A$28:$A$39,0),1),INDEX('Category Mapping'!$E$28:$E$39,MATCH($A1093,'Category Mapping'!$A$28:$A$39,0),1))</f>
        <v>22259514.571428567</v>
      </c>
      <c r="V1093" s="27">
        <f>V513*IF($E1093="weekday",INDEX('Category Mapping'!$F$28:$F$39,MATCH('Summarized Source Data'!$A1093,'Category Mapping'!$A$28:$A$39,0),1),INDEX('Category Mapping'!$E$28:$E$39,MATCH($A1093,'Category Mapping'!$A$28:$A$39,0),1))</f>
        <v>22259514.571428567</v>
      </c>
      <c r="W1093" s="27">
        <f>W513*IF($E1093="weekday",INDEX('Category Mapping'!$F$28:$F$39,MATCH('Summarized Source Data'!$A1093,'Category Mapping'!$A$28:$A$39,0),1),INDEX('Category Mapping'!$E$28:$E$39,MATCH($A1093,'Category Mapping'!$A$28:$A$39,0),1))</f>
        <v>22259514.571428567</v>
      </c>
      <c r="X1093" s="27">
        <f>X513*IF($E1093="weekday",INDEX('Category Mapping'!$F$28:$F$39,MATCH('Summarized Source Data'!$A1093,'Category Mapping'!$A$28:$A$39,0),1),INDEX('Category Mapping'!$E$28:$E$39,MATCH($A1093,'Category Mapping'!$A$28:$A$39,0),1))</f>
        <v>3055714285.7142854</v>
      </c>
      <c r="Y1093" s="27">
        <f>Y513*IF($E1093="weekday",INDEX('Category Mapping'!$F$28:$F$39,MATCH('Summarized Source Data'!$A1093,'Category Mapping'!$A$28:$A$39,0),1),INDEX('Category Mapping'!$E$28:$E$39,MATCH($A1093,'Category Mapping'!$A$28:$A$39,0),1))</f>
        <v>3055714285.7142854</v>
      </c>
      <c r="Z1093" s="27">
        <f>Z513*IF($E1093="weekday",INDEX('Category Mapping'!$F$28:$F$39,MATCH('Summarized Source Data'!$A1093,'Category Mapping'!$A$28:$A$39,0),1),INDEX('Category Mapping'!$E$28:$E$39,MATCH($A1093,'Category Mapping'!$A$28:$A$39,0),1))</f>
        <v>3055714285.7142854</v>
      </c>
    </row>
    <row r="1094" spans="1:26" outlineLevel="1" x14ac:dyDescent="0.3">
      <c r="A1094">
        <f t="shared" ref="A1094:E1094" si="559">A514</f>
        <v>10</v>
      </c>
      <c r="B1094" t="str">
        <f t="shared" si="559"/>
        <v>Fall</v>
      </c>
      <c r="C1094" t="str">
        <f t="shared" si="559"/>
        <v>h7</v>
      </c>
      <c r="D1094" t="str">
        <f t="shared" si="559"/>
        <v>Hour6</v>
      </c>
      <c r="E1094" t="str">
        <f t="shared" si="559"/>
        <v>Weekend</v>
      </c>
      <c r="F1094" s="27">
        <f>F514*IF($E1094="weekday",INDEX('Category Mapping'!$F$28:$F$39,MATCH('Summarized Source Data'!$A1094,'Category Mapping'!$A$28:$A$39,0),1),INDEX('Category Mapping'!$E$28:$E$39,MATCH($A1094,'Category Mapping'!$A$28:$A$39,0),1))</f>
        <v>25775623.142857138</v>
      </c>
      <c r="G1094" s="27">
        <f>G514*IF($E1094="weekday",INDEX('Category Mapping'!$F$28:$F$39,MATCH('Summarized Source Data'!$A1094,'Category Mapping'!$A$28:$A$39,0),1),INDEX('Category Mapping'!$E$28:$E$39,MATCH($A1094,'Category Mapping'!$A$28:$A$39,0),1))</f>
        <v>10274.285714285712</v>
      </c>
      <c r="H1094" s="27">
        <f>H514*IF($E1094="weekday",INDEX('Category Mapping'!$F$28:$F$39,MATCH('Summarized Source Data'!$A1094,'Category Mapping'!$A$28:$A$39,0),1),INDEX('Category Mapping'!$E$28:$E$39,MATCH($A1094,'Category Mapping'!$A$28:$A$39,0),1))</f>
        <v>0</v>
      </c>
      <c r="I1094" s="27">
        <f>I514*IF($E1094="weekday",INDEX('Category Mapping'!$F$28:$F$39,MATCH('Summarized Source Data'!$A1094,'Category Mapping'!$A$28:$A$39,0),1),INDEX('Category Mapping'!$E$28:$E$39,MATCH($A1094,'Category Mapping'!$A$28:$A$39,0),1))</f>
        <v>112485714.28571427</v>
      </c>
      <c r="J1094" s="27">
        <f>J514*IF($E1094="weekday",INDEX('Category Mapping'!$F$28:$F$39,MATCH('Summarized Source Data'!$A1094,'Category Mapping'!$A$28:$A$39,0),1),INDEX('Category Mapping'!$E$28:$E$39,MATCH($A1094,'Category Mapping'!$A$28:$A$39,0),1))</f>
        <v>285985531.14285707</v>
      </c>
      <c r="K1094" s="27">
        <f>K514*IF($E1094="weekday",INDEX('Category Mapping'!$F$28:$F$39,MATCH('Summarized Source Data'!$A1094,'Category Mapping'!$A$28:$A$39,0),1),INDEX('Category Mapping'!$E$28:$E$39,MATCH($A1094,'Category Mapping'!$A$28:$A$39,0),1))</f>
        <v>285985531.14285707</v>
      </c>
      <c r="L1094" s="27">
        <f>L514*IF($E1094="weekday",INDEX('Category Mapping'!$F$28:$F$39,MATCH('Summarized Source Data'!$A1094,'Category Mapping'!$A$28:$A$39,0),1),INDEX('Category Mapping'!$E$28:$E$39,MATCH($A1094,'Category Mapping'!$A$28:$A$39,0),1))</f>
        <v>71495237.999999985</v>
      </c>
      <c r="M1094" s="27">
        <f>M514*IF($E1094="weekday",INDEX('Category Mapping'!$F$28:$F$39,MATCH('Summarized Source Data'!$A1094,'Category Mapping'!$A$28:$A$39,0),1),INDEX('Category Mapping'!$E$28:$E$39,MATCH($A1094,'Category Mapping'!$A$28:$A$39,0),1))</f>
        <v>6040367.7142857136</v>
      </c>
      <c r="N1094" s="27">
        <f>N514*IF($E1094="weekday",INDEX('Category Mapping'!$F$28:$F$39,MATCH('Summarized Source Data'!$A1094,'Category Mapping'!$A$28:$A$39,0),1),INDEX('Category Mapping'!$E$28:$E$39,MATCH($A1094,'Category Mapping'!$A$28:$A$39,0),1))</f>
        <v>0</v>
      </c>
      <c r="O1094" s="27">
        <f>O514*IF($E1094="weekday",INDEX('Category Mapping'!$F$28:$F$39,MATCH('Summarized Source Data'!$A1094,'Category Mapping'!$A$28:$A$39,0),1),INDEX('Category Mapping'!$E$28:$E$39,MATCH($A1094,'Category Mapping'!$A$28:$A$39,0),1))</f>
        <v>726692965.71428561</v>
      </c>
      <c r="P1094" s="27">
        <f>P514*IF($E1094="weekday",INDEX('Category Mapping'!$F$28:$F$39,MATCH('Summarized Source Data'!$A1094,'Category Mapping'!$A$28:$A$39,0),1),INDEX('Category Mapping'!$E$28:$E$39,MATCH($A1094,'Category Mapping'!$A$28:$A$39,0),1))</f>
        <v>726692965.71428561</v>
      </c>
      <c r="Q1094" s="27">
        <f>Q514*IF($E1094="weekday",INDEX('Category Mapping'!$F$28:$F$39,MATCH('Summarized Source Data'!$A1094,'Category Mapping'!$A$28:$A$39,0),1),INDEX('Category Mapping'!$E$28:$E$39,MATCH($A1094,'Category Mapping'!$A$28:$A$39,0),1))</f>
        <v>726692965.71428561</v>
      </c>
      <c r="R1094" s="27">
        <f>R514*IF($E1094="weekday",INDEX('Category Mapping'!$F$28:$F$39,MATCH('Summarized Source Data'!$A1094,'Category Mapping'!$A$28:$A$39,0),1),INDEX('Category Mapping'!$E$28:$E$39,MATCH($A1094,'Category Mapping'!$A$28:$A$39,0),1))</f>
        <v>27604392.857142854</v>
      </c>
      <c r="S1094" s="27">
        <f>S514*IF($E1094="weekday",INDEX('Category Mapping'!$F$28:$F$39,MATCH('Summarized Source Data'!$A1094,'Category Mapping'!$A$28:$A$39,0),1),INDEX('Category Mapping'!$E$28:$E$39,MATCH($A1094,'Category Mapping'!$A$28:$A$39,0),1))</f>
        <v>27604392.857142854</v>
      </c>
      <c r="T1094" s="27">
        <f>T514*IF($E1094="weekday",INDEX('Category Mapping'!$F$28:$F$39,MATCH('Summarized Source Data'!$A1094,'Category Mapping'!$A$28:$A$39,0),1),INDEX('Category Mapping'!$E$28:$E$39,MATCH($A1094,'Category Mapping'!$A$28:$A$39,0),1))</f>
        <v>27604392.857142854</v>
      </c>
      <c r="U1094" s="27">
        <f>U514*IF($E1094="weekday",INDEX('Category Mapping'!$F$28:$F$39,MATCH('Summarized Source Data'!$A1094,'Category Mapping'!$A$28:$A$39,0),1),INDEX('Category Mapping'!$E$28:$E$39,MATCH($A1094,'Category Mapping'!$A$28:$A$39,0),1))</f>
        <v>27604392.857142854</v>
      </c>
      <c r="V1094" s="27">
        <f>V514*IF($E1094="weekday",INDEX('Category Mapping'!$F$28:$F$39,MATCH('Summarized Source Data'!$A1094,'Category Mapping'!$A$28:$A$39,0),1),INDEX('Category Mapping'!$E$28:$E$39,MATCH($A1094,'Category Mapping'!$A$28:$A$39,0),1))</f>
        <v>27604392.857142854</v>
      </c>
      <c r="W1094" s="27">
        <f>W514*IF($E1094="weekday",INDEX('Category Mapping'!$F$28:$F$39,MATCH('Summarized Source Data'!$A1094,'Category Mapping'!$A$28:$A$39,0),1),INDEX('Category Mapping'!$E$28:$E$39,MATCH($A1094,'Category Mapping'!$A$28:$A$39,0),1))</f>
        <v>27604392.857142854</v>
      </c>
      <c r="X1094" s="27">
        <f>X514*IF($E1094="weekday",INDEX('Category Mapping'!$F$28:$F$39,MATCH('Summarized Source Data'!$A1094,'Category Mapping'!$A$28:$A$39,0),1),INDEX('Category Mapping'!$E$28:$E$39,MATCH($A1094,'Category Mapping'!$A$28:$A$39,0),1))</f>
        <v>3073428571.4285712</v>
      </c>
      <c r="Y1094" s="27">
        <f>Y514*IF($E1094="weekday",INDEX('Category Mapping'!$F$28:$F$39,MATCH('Summarized Source Data'!$A1094,'Category Mapping'!$A$28:$A$39,0),1),INDEX('Category Mapping'!$E$28:$E$39,MATCH($A1094,'Category Mapping'!$A$28:$A$39,0),1))</f>
        <v>3073428571.4285712</v>
      </c>
      <c r="Z1094" s="27">
        <f>Z514*IF($E1094="weekday",INDEX('Category Mapping'!$F$28:$F$39,MATCH('Summarized Source Data'!$A1094,'Category Mapping'!$A$28:$A$39,0),1),INDEX('Category Mapping'!$E$28:$E$39,MATCH($A1094,'Category Mapping'!$A$28:$A$39,0),1))</f>
        <v>3073428571.4285712</v>
      </c>
    </row>
    <row r="1095" spans="1:26" outlineLevel="1" x14ac:dyDescent="0.3">
      <c r="A1095">
        <f t="shared" ref="A1095:E1095" si="560">A515</f>
        <v>10</v>
      </c>
      <c r="B1095" t="str">
        <f t="shared" si="560"/>
        <v>Fall</v>
      </c>
      <c r="C1095" t="str">
        <f t="shared" si="560"/>
        <v>h8</v>
      </c>
      <c r="D1095" t="str">
        <f t="shared" si="560"/>
        <v>Hour7</v>
      </c>
      <c r="E1095" t="str">
        <f t="shared" si="560"/>
        <v>Weekend</v>
      </c>
      <c r="F1095" s="27">
        <f>F515*IF($E1095="weekday",INDEX('Category Mapping'!$F$28:$F$39,MATCH('Summarized Source Data'!$A1095,'Category Mapping'!$A$28:$A$39,0),1),INDEX('Category Mapping'!$E$28:$E$39,MATCH($A1095,'Category Mapping'!$A$28:$A$39,0),1))</f>
        <v>29917347.142857138</v>
      </c>
      <c r="G1095" s="27">
        <f>G515*IF($E1095="weekday",INDEX('Category Mapping'!$F$28:$F$39,MATCH('Summarized Source Data'!$A1095,'Category Mapping'!$A$28:$A$39,0),1),INDEX('Category Mapping'!$E$28:$E$39,MATCH($A1095,'Category Mapping'!$A$28:$A$39,0),1))</f>
        <v>9547.9999999999982</v>
      </c>
      <c r="H1095" s="27">
        <f>H515*IF($E1095="weekday",INDEX('Category Mapping'!$F$28:$F$39,MATCH('Summarized Source Data'!$A1095,'Category Mapping'!$A$28:$A$39,0),1),INDEX('Category Mapping'!$E$28:$E$39,MATCH($A1095,'Category Mapping'!$A$28:$A$39,0),1))</f>
        <v>0</v>
      </c>
      <c r="I1095" s="27">
        <f>I515*IF($E1095="weekday",INDEX('Category Mapping'!$F$28:$F$39,MATCH('Summarized Source Data'!$A1095,'Category Mapping'!$A$28:$A$39,0),1),INDEX('Category Mapping'!$E$28:$E$39,MATCH($A1095,'Category Mapping'!$A$28:$A$39,0),1))</f>
        <v>64128415.714285702</v>
      </c>
      <c r="J1095" s="27">
        <f>J515*IF($E1095="weekday",INDEX('Category Mapping'!$F$28:$F$39,MATCH('Summarized Source Data'!$A1095,'Category Mapping'!$A$28:$A$39,0),1),INDEX('Category Mapping'!$E$28:$E$39,MATCH($A1095,'Category Mapping'!$A$28:$A$39,0),1))</f>
        <v>404601831.99999994</v>
      </c>
      <c r="K1095" s="27">
        <f>K515*IF($E1095="weekday",INDEX('Category Mapping'!$F$28:$F$39,MATCH('Summarized Source Data'!$A1095,'Category Mapping'!$A$28:$A$39,0),1),INDEX('Category Mapping'!$E$28:$E$39,MATCH($A1095,'Category Mapping'!$A$28:$A$39,0),1))</f>
        <v>404601831.99999994</v>
      </c>
      <c r="L1095" s="27">
        <f>L515*IF($E1095="weekday",INDEX('Category Mapping'!$F$28:$F$39,MATCH('Summarized Source Data'!$A1095,'Category Mapping'!$A$28:$A$39,0),1),INDEX('Category Mapping'!$E$28:$E$39,MATCH($A1095,'Category Mapping'!$A$28:$A$39,0),1))</f>
        <v>79301197.428571418</v>
      </c>
      <c r="M1095" s="27">
        <f>M515*IF($E1095="weekday",INDEX('Category Mapping'!$F$28:$F$39,MATCH('Summarized Source Data'!$A1095,'Category Mapping'!$A$28:$A$39,0),1),INDEX('Category Mapping'!$E$28:$E$39,MATCH($A1095,'Category Mapping'!$A$28:$A$39,0),1))</f>
        <v>6483481.7142857136</v>
      </c>
      <c r="N1095" s="27">
        <f>N515*IF($E1095="weekday",INDEX('Category Mapping'!$F$28:$F$39,MATCH('Summarized Source Data'!$A1095,'Category Mapping'!$A$28:$A$39,0),1),INDEX('Category Mapping'!$E$28:$E$39,MATCH($A1095,'Category Mapping'!$A$28:$A$39,0),1))</f>
        <v>0</v>
      </c>
      <c r="O1095" s="27">
        <f>O515*IF($E1095="weekday",INDEX('Category Mapping'!$F$28:$F$39,MATCH('Summarized Source Data'!$A1095,'Category Mapping'!$A$28:$A$39,0),1),INDEX('Category Mapping'!$E$28:$E$39,MATCH($A1095,'Category Mapping'!$A$28:$A$39,0),1))</f>
        <v>915072463.71428561</v>
      </c>
      <c r="P1095" s="27">
        <f>P515*IF($E1095="weekday",INDEX('Category Mapping'!$F$28:$F$39,MATCH('Summarized Source Data'!$A1095,'Category Mapping'!$A$28:$A$39,0),1),INDEX('Category Mapping'!$E$28:$E$39,MATCH($A1095,'Category Mapping'!$A$28:$A$39,0),1))</f>
        <v>915072463.71428561</v>
      </c>
      <c r="Q1095" s="27">
        <f>Q515*IF($E1095="weekday",INDEX('Category Mapping'!$F$28:$F$39,MATCH('Summarized Source Data'!$A1095,'Category Mapping'!$A$28:$A$39,0),1),INDEX('Category Mapping'!$E$28:$E$39,MATCH($A1095,'Category Mapping'!$A$28:$A$39,0),1))</f>
        <v>915072463.71428561</v>
      </c>
      <c r="R1095" s="27">
        <f>R515*IF($E1095="weekday",INDEX('Category Mapping'!$F$28:$F$39,MATCH('Summarized Source Data'!$A1095,'Category Mapping'!$A$28:$A$39,0),1),INDEX('Category Mapping'!$E$28:$E$39,MATCH($A1095,'Category Mapping'!$A$28:$A$39,0),1))</f>
        <v>35923092.285714284</v>
      </c>
      <c r="S1095" s="27">
        <f>S515*IF($E1095="weekday",INDEX('Category Mapping'!$F$28:$F$39,MATCH('Summarized Source Data'!$A1095,'Category Mapping'!$A$28:$A$39,0),1),INDEX('Category Mapping'!$E$28:$E$39,MATCH($A1095,'Category Mapping'!$A$28:$A$39,0),1))</f>
        <v>35923092.285714284</v>
      </c>
      <c r="T1095" s="27">
        <f>T515*IF($E1095="weekday",INDEX('Category Mapping'!$F$28:$F$39,MATCH('Summarized Source Data'!$A1095,'Category Mapping'!$A$28:$A$39,0),1),INDEX('Category Mapping'!$E$28:$E$39,MATCH($A1095,'Category Mapping'!$A$28:$A$39,0),1))</f>
        <v>35923092.285714284</v>
      </c>
      <c r="U1095" s="27">
        <f>U515*IF($E1095="weekday",INDEX('Category Mapping'!$F$28:$F$39,MATCH('Summarized Source Data'!$A1095,'Category Mapping'!$A$28:$A$39,0),1),INDEX('Category Mapping'!$E$28:$E$39,MATCH($A1095,'Category Mapping'!$A$28:$A$39,0),1))</f>
        <v>35923092.285714284</v>
      </c>
      <c r="V1095" s="27">
        <f>V515*IF($E1095="weekday",INDEX('Category Mapping'!$F$28:$F$39,MATCH('Summarized Source Data'!$A1095,'Category Mapping'!$A$28:$A$39,0),1),INDEX('Category Mapping'!$E$28:$E$39,MATCH($A1095,'Category Mapping'!$A$28:$A$39,0),1))</f>
        <v>35923092.285714284</v>
      </c>
      <c r="W1095" s="27">
        <f>W515*IF($E1095="weekday",INDEX('Category Mapping'!$F$28:$F$39,MATCH('Summarized Source Data'!$A1095,'Category Mapping'!$A$28:$A$39,0),1),INDEX('Category Mapping'!$E$28:$E$39,MATCH($A1095,'Category Mapping'!$A$28:$A$39,0),1))</f>
        <v>35923092.285714284</v>
      </c>
      <c r="X1095" s="27">
        <f>X515*IF($E1095="weekday",INDEX('Category Mapping'!$F$28:$F$39,MATCH('Summarized Source Data'!$A1095,'Category Mapping'!$A$28:$A$39,0),1),INDEX('Category Mapping'!$E$28:$E$39,MATCH($A1095,'Category Mapping'!$A$28:$A$39,0),1))</f>
        <v>3073428571.4285712</v>
      </c>
      <c r="Y1095" s="27">
        <f>Y515*IF($E1095="weekday",INDEX('Category Mapping'!$F$28:$F$39,MATCH('Summarized Source Data'!$A1095,'Category Mapping'!$A$28:$A$39,0),1),INDEX('Category Mapping'!$E$28:$E$39,MATCH($A1095,'Category Mapping'!$A$28:$A$39,0),1))</f>
        <v>3073428571.4285712</v>
      </c>
      <c r="Z1095" s="27">
        <f>Z515*IF($E1095="weekday",INDEX('Category Mapping'!$F$28:$F$39,MATCH('Summarized Source Data'!$A1095,'Category Mapping'!$A$28:$A$39,0),1),INDEX('Category Mapping'!$E$28:$E$39,MATCH($A1095,'Category Mapping'!$A$28:$A$39,0),1))</f>
        <v>3073428571.4285712</v>
      </c>
    </row>
    <row r="1096" spans="1:26" outlineLevel="1" x14ac:dyDescent="0.3">
      <c r="A1096">
        <f t="shared" ref="A1096:E1096" si="561">A516</f>
        <v>10</v>
      </c>
      <c r="B1096" t="str">
        <f t="shared" si="561"/>
        <v>Fall</v>
      </c>
      <c r="C1096" t="str">
        <f t="shared" si="561"/>
        <v>h9</v>
      </c>
      <c r="D1096" t="str">
        <f t="shared" si="561"/>
        <v>Hour8</v>
      </c>
      <c r="E1096" t="str">
        <f t="shared" si="561"/>
        <v>Weekend</v>
      </c>
      <c r="F1096" s="27">
        <f>F516*IF($E1096="weekday",INDEX('Category Mapping'!$F$28:$F$39,MATCH('Summarized Source Data'!$A1096,'Category Mapping'!$A$28:$A$39,0),1),INDEX('Category Mapping'!$E$28:$E$39,MATCH($A1096,'Category Mapping'!$A$28:$A$39,0),1))</f>
        <v>32507476.857142851</v>
      </c>
      <c r="G1096" s="27">
        <f>G516*IF($E1096="weekday",INDEX('Category Mapping'!$F$28:$F$39,MATCH('Summarized Source Data'!$A1096,'Category Mapping'!$A$28:$A$39,0),1),INDEX('Category Mapping'!$E$28:$E$39,MATCH($A1096,'Category Mapping'!$A$28:$A$39,0),1))</f>
        <v>8547.1428571428551</v>
      </c>
      <c r="H1096" s="27">
        <f>H516*IF($E1096="weekday",INDEX('Category Mapping'!$F$28:$F$39,MATCH('Summarized Source Data'!$A1096,'Category Mapping'!$A$28:$A$39,0),1),INDEX('Category Mapping'!$E$28:$E$39,MATCH($A1096,'Category Mapping'!$A$28:$A$39,0),1))</f>
        <v>0</v>
      </c>
      <c r="I1096" s="27">
        <f>I516*IF($E1096="weekday",INDEX('Category Mapping'!$F$28:$F$39,MATCH('Summarized Source Data'!$A1096,'Category Mapping'!$A$28:$A$39,0),1),INDEX('Category Mapping'!$E$28:$E$39,MATCH($A1096,'Category Mapping'!$A$28:$A$39,0),1))</f>
        <v>63677976.857142851</v>
      </c>
      <c r="J1096" s="27">
        <f>J516*IF($E1096="weekday",INDEX('Category Mapping'!$F$28:$F$39,MATCH('Summarized Source Data'!$A1096,'Category Mapping'!$A$28:$A$39,0),1),INDEX('Category Mapping'!$E$28:$E$39,MATCH($A1096,'Category Mapping'!$A$28:$A$39,0),1))</f>
        <v>506091713.42857134</v>
      </c>
      <c r="K1096" s="27">
        <f>K516*IF($E1096="weekday",INDEX('Category Mapping'!$F$28:$F$39,MATCH('Summarized Source Data'!$A1096,'Category Mapping'!$A$28:$A$39,0),1),INDEX('Category Mapping'!$E$28:$E$39,MATCH($A1096,'Category Mapping'!$A$28:$A$39,0),1))</f>
        <v>506091713.42857134</v>
      </c>
      <c r="L1096" s="27">
        <f>L516*IF($E1096="weekday",INDEX('Category Mapping'!$F$28:$F$39,MATCH('Summarized Source Data'!$A1096,'Category Mapping'!$A$28:$A$39,0),1),INDEX('Category Mapping'!$E$28:$E$39,MATCH($A1096,'Category Mapping'!$A$28:$A$39,0),1))</f>
        <v>65242289.999999993</v>
      </c>
      <c r="M1096" s="27">
        <f>M516*IF($E1096="weekday",INDEX('Category Mapping'!$F$28:$F$39,MATCH('Summarized Source Data'!$A1096,'Category Mapping'!$A$28:$A$39,0),1),INDEX('Category Mapping'!$E$28:$E$39,MATCH($A1096,'Category Mapping'!$A$28:$A$39,0),1))</f>
        <v>7135996.2857142845</v>
      </c>
      <c r="N1096" s="27">
        <f>N516*IF($E1096="weekday",INDEX('Category Mapping'!$F$28:$F$39,MATCH('Summarized Source Data'!$A1096,'Category Mapping'!$A$28:$A$39,0),1),INDEX('Category Mapping'!$E$28:$E$39,MATCH($A1096,'Category Mapping'!$A$28:$A$39,0),1))</f>
        <v>0</v>
      </c>
      <c r="O1096" s="27">
        <f>O516*IF($E1096="weekday",INDEX('Category Mapping'!$F$28:$F$39,MATCH('Summarized Source Data'!$A1096,'Category Mapping'!$A$28:$A$39,0),1),INDEX('Category Mapping'!$E$28:$E$39,MATCH($A1096,'Category Mapping'!$A$28:$A$39,0),1))</f>
        <v>1043621713.7142856</v>
      </c>
      <c r="P1096" s="27">
        <f>P516*IF($E1096="weekday",INDEX('Category Mapping'!$F$28:$F$39,MATCH('Summarized Source Data'!$A1096,'Category Mapping'!$A$28:$A$39,0),1),INDEX('Category Mapping'!$E$28:$E$39,MATCH($A1096,'Category Mapping'!$A$28:$A$39,0),1))</f>
        <v>1043621713.7142856</v>
      </c>
      <c r="Q1096" s="27">
        <f>Q516*IF($E1096="weekday",INDEX('Category Mapping'!$F$28:$F$39,MATCH('Summarized Source Data'!$A1096,'Category Mapping'!$A$28:$A$39,0),1),INDEX('Category Mapping'!$E$28:$E$39,MATCH($A1096,'Category Mapping'!$A$28:$A$39,0),1))</f>
        <v>1043621713.7142856</v>
      </c>
      <c r="R1096" s="27">
        <f>R516*IF($E1096="weekday",INDEX('Category Mapping'!$F$28:$F$39,MATCH('Summarized Source Data'!$A1096,'Category Mapping'!$A$28:$A$39,0),1),INDEX('Category Mapping'!$E$28:$E$39,MATCH($A1096,'Category Mapping'!$A$28:$A$39,0),1))</f>
        <v>42907950.285714276</v>
      </c>
      <c r="S1096" s="27">
        <f>S516*IF($E1096="weekday",INDEX('Category Mapping'!$F$28:$F$39,MATCH('Summarized Source Data'!$A1096,'Category Mapping'!$A$28:$A$39,0),1),INDEX('Category Mapping'!$E$28:$E$39,MATCH($A1096,'Category Mapping'!$A$28:$A$39,0),1))</f>
        <v>42907950.285714276</v>
      </c>
      <c r="T1096" s="27">
        <f>T516*IF($E1096="weekday",INDEX('Category Mapping'!$F$28:$F$39,MATCH('Summarized Source Data'!$A1096,'Category Mapping'!$A$28:$A$39,0),1),INDEX('Category Mapping'!$E$28:$E$39,MATCH($A1096,'Category Mapping'!$A$28:$A$39,0),1))</f>
        <v>42907950.285714276</v>
      </c>
      <c r="U1096" s="27">
        <f>U516*IF($E1096="weekday",INDEX('Category Mapping'!$F$28:$F$39,MATCH('Summarized Source Data'!$A1096,'Category Mapping'!$A$28:$A$39,0),1),INDEX('Category Mapping'!$E$28:$E$39,MATCH($A1096,'Category Mapping'!$A$28:$A$39,0),1))</f>
        <v>42907950.285714276</v>
      </c>
      <c r="V1096" s="27">
        <f>V516*IF($E1096="weekday",INDEX('Category Mapping'!$F$28:$F$39,MATCH('Summarized Source Data'!$A1096,'Category Mapping'!$A$28:$A$39,0),1),INDEX('Category Mapping'!$E$28:$E$39,MATCH($A1096,'Category Mapping'!$A$28:$A$39,0),1))</f>
        <v>42907950.285714276</v>
      </c>
      <c r="W1096" s="27">
        <f>W516*IF($E1096="weekday",INDEX('Category Mapping'!$F$28:$F$39,MATCH('Summarized Source Data'!$A1096,'Category Mapping'!$A$28:$A$39,0),1),INDEX('Category Mapping'!$E$28:$E$39,MATCH($A1096,'Category Mapping'!$A$28:$A$39,0),1))</f>
        <v>42907950.285714276</v>
      </c>
      <c r="X1096" s="27">
        <f>X516*IF($E1096="weekday",INDEX('Category Mapping'!$F$28:$F$39,MATCH('Summarized Source Data'!$A1096,'Category Mapping'!$A$28:$A$39,0),1),INDEX('Category Mapping'!$E$28:$E$39,MATCH($A1096,'Category Mapping'!$A$28:$A$39,0),1))</f>
        <v>3064571428.5714283</v>
      </c>
      <c r="Y1096" s="27">
        <f>Y516*IF($E1096="weekday",INDEX('Category Mapping'!$F$28:$F$39,MATCH('Summarized Source Data'!$A1096,'Category Mapping'!$A$28:$A$39,0),1),INDEX('Category Mapping'!$E$28:$E$39,MATCH($A1096,'Category Mapping'!$A$28:$A$39,0),1))</f>
        <v>3064571428.5714283</v>
      </c>
      <c r="Z1096" s="27">
        <f>Z516*IF($E1096="weekday",INDEX('Category Mapping'!$F$28:$F$39,MATCH('Summarized Source Data'!$A1096,'Category Mapping'!$A$28:$A$39,0),1),INDEX('Category Mapping'!$E$28:$E$39,MATCH($A1096,'Category Mapping'!$A$28:$A$39,0),1))</f>
        <v>3064571428.5714283</v>
      </c>
    </row>
    <row r="1097" spans="1:26" outlineLevel="1" x14ac:dyDescent="0.3">
      <c r="A1097">
        <f t="shared" ref="A1097:E1097" si="562">A517</f>
        <v>10</v>
      </c>
      <c r="B1097" t="str">
        <f t="shared" si="562"/>
        <v>Fall</v>
      </c>
      <c r="C1097" t="str">
        <f t="shared" si="562"/>
        <v>h10</v>
      </c>
      <c r="D1097" t="str">
        <f t="shared" si="562"/>
        <v>Hour9</v>
      </c>
      <c r="E1097" t="str">
        <f t="shared" si="562"/>
        <v>Weekend</v>
      </c>
      <c r="F1097" s="27">
        <f>F517*IF($E1097="weekday",INDEX('Category Mapping'!$F$28:$F$39,MATCH('Summarized Source Data'!$A1097,'Category Mapping'!$A$28:$A$39,0),1),INDEX('Category Mapping'!$E$28:$E$39,MATCH($A1097,'Category Mapping'!$A$28:$A$39,0),1))</f>
        <v>33027249.428571425</v>
      </c>
      <c r="G1097" s="27">
        <f>G517*IF($E1097="weekday",INDEX('Category Mapping'!$F$28:$F$39,MATCH('Summarized Source Data'!$A1097,'Category Mapping'!$A$28:$A$39,0),1),INDEX('Category Mapping'!$E$28:$E$39,MATCH($A1097,'Category Mapping'!$A$28:$A$39,0),1))</f>
        <v>66773.999999999985</v>
      </c>
      <c r="H1097" s="27">
        <f>H517*IF($E1097="weekday",INDEX('Category Mapping'!$F$28:$F$39,MATCH('Summarized Source Data'!$A1097,'Category Mapping'!$A$28:$A$39,0),1),INDEX('Category Mapping'!$E$28:$E$39,MATCH($A1097,'Category Mapping'!$A$28:$A$39,0),1))</f>
        <v>0</v>
      </c>
      <c r="I1097" s="27">
        <f>I517*IF($E1097="weekday",INDEX('Category Mapping'!$F$28:$F$39,MATCH('Summarized Source Data'!$A1097,'Category Mapping'!$A$28:$A$39,0),1),INDEX('Category Mapping'!$E$28:$E$39,MATCH($A1097,'Category Mapping'!$A$28:$A$39,0),1))</f>
        <v>65981852.57142856</v>
      </c>
      <c r="J1097" s="27">
        <f>J517*IF($E1097="weekday",INDEX('Category Mapping'!$F$28:$F$39,MATCH('Summarized Source Data'!$A1097,'Category Mapping'!$A$28:$A$39,0),1),INDEX('Category Mapping'!$E$28:$E$39,MATCH($A1097,'Category Mapping'!$A$28:$A$39,0),1))</f>
        <v>639609838.28571415</v>
      </c>
      <c r="K1097" s="27">
        <f>K517*IF($E1097="weekday",INDEX('Category Mapping'!$F$28:$F$39,MATCH('Summarized Source Data'!$A1097,'Category Mapping'!$A$28:$A$39,0),1),INDEX('Category Mapping'!$E$28:$E$39,MATCH($A1097,'Category Mapping'!$A$28:$A$39,0),1))</f>
        <v>639609838.28571415</v>
      </c>
      <c r="L1097" s="27">
        <f>L517*IF($E1097="weekday",INDEX('Category Mapping'!$F$28:$F$39,MATCH('Summarized Source Data'!$A1097,'Category Mapping'!$A$28:$A$39,0),1),INDEX('Category Mapping'!$E$28:$E$39,MATCH($A1097,'Category Mapping'!$A$28:$A$39,0),1))</f>
        <v>53365366.285714276</v>
      </c>
      <c r="M1097" s="27">
        <f>M517*IF($E1097="weekday",INDEX('Category Mapping'!$F$28:$F$39,MATCH('Summarized Source Data'!$A1097,'Category Mapping'!$A$28:$A$39,0),1),INDEX('Category Mapping'!$E$28:$E$39,MATCH($A1097,'Category Mapping'!$A$28:$A$39,0),1))</f>
        <v>7562370.2857142845</v>
      </c>
      <c r="N1097" s="27">
        <f>N517*IF($E1097="weekday",INDEX('Category Mapping'!$F$28:$F$39,MATCH('Summarized Source Data'!$A1097,'Category Mapping'!$A$28:$A$39,0),1),INDEX('Category Mapping'!$E$28:$E$39,MATCH($A1097,'Category Mapping'!$A$28:$A$39,0),1))</f>
        <v>0</v>
      </c>
      <c r="O1097" s="27">
        <f>O517*IF($E1097="weekday",INDEX('Category Mapping'!$F$28:$F$39,MATCH('Summarized Source Data'!$A1097,'Category Mapping'!$A$28:$A$39,0),1),INDEX('Category Mapping'!$E$28:$E$39,MATCH($A1097,'Category Mapping'!$A$28:$A$39,0),1))</f>
        <v>1134786549.1428571</v>
      </c>
      <c r="P1097" s="27">
        <f>P517*IF($E1097="weekday",INDEX('Category Mapping'!$F$28:$F$39,MATCH('Summarized Source Data'!$A1097,'Category Mapping'!$A$28:$A$39,0),1),INDEX('Category Mapping'!$E$28:$E$39,MATCH($A1097,'Category Mapping'!$A$28:$A$39,0),1))</f>
        <v>1134786549.1428571</v>
      </c>
      <c r="Q1097" s="27">
        <f>Q517*IF($E1097="weekday",INDEX('Category Mapping'!$F$28:$F$39,MATCH('Summarized Source Data'!$A1097,'Category Mapping'!$A$28:$A$39,0),1),INDEX('Category Mapping'!$E$28:$E$39,MATCH($A1097,'Category Mapping'!$A$28:$A$39,0),1))</f>
        <v>1134786549.1428571</v>
      </c>
      <c r="R1097" s="27">
        <f>R517*IF($E1097="weekday",INDEX('Category Mapping'!$F$28:$F$39,MATCH('Summarized Source Data'!$A1097,'Category Mapping'!$A$28:$A$39,0),1),INDEX('Category Mapping'!$E$28:$E$39,MATCH($A1097,'Category Mapping'!$A$28:$A$39,0),1))</f>
        <v>48660345.714285709</v>
      </c>
      <c r="S1097" s="27">
        <f>S517*IF($E1097="weekday",INDEX('Category Mapping'!$F$28:$F$39,MATCH('Summarized Source Data'!$A1097,'Category Mapping'!$A$28:$A$39,0),1),INDEX('Category Mapping'!$E$28:$E$39,MATCH($A1097,'Category Mapping'!$A$28:$A$39,0),1))</f>
        <v>48660345.714285709</v>
      </c>
      <c r="T1097" s="27">
        <f>T517*IF($E1097="weekday",INDEX('Category Mapping'!$F$28:$F$39,MATCH('Summarized Source Data'!$A1097,'Category Mapping'!$A$28:$A$39,0),1),INDEX('Category Mapping'!$E$28:$E$39,MATCH($A1097,'Category Mapping'!$A$28:$A$39,0),1))</f>
        <v>48660345.714285709</v>
      </c>
      <c r="U1097" s="27">
        <f>U517*IF($E1097="weekday",INDEX('Category Mapping'!$F$28:$F$39,MATCH('Summarized Source Data'!$A1097,'Category Mapping'!$A$28:$A$39,0),1),INDEX('Category Mapping'!$E$28:$E$39,MATCH($A1097,'Category Mapping'!$A$28:$A$39,0),1))</f>
        <v>48660345.714285709</v>
      </c>
      <c r="V1097" s="27">
        <f>V517*IF($E1097="weekday",INDEX('Category Mapping'!$F$28:$F$39,MATCH('Summarized Source Data'!$A1097,'Category Mapping'!$A$28:$A$39,0),1),INDEX('Category Mapping'!$E$28:$E$39,MATCH($A1097,'Category Mapping'!$A$28:$A$39,0),1))</f>
        <v>48660345.714285709</v>
      </c>
      <c r="W1097" s="27">
        <f>W517*IF($E1097="weekday",INDEX('Category Mapping'!$F$28:$F$39,MATCH('Summarized Source Data'!$A1097,'Category Mapping'!$A$28:$A$39,0),1),INDEX('Category Mapping'!$E$28:$E$39,MATCH($A1097,'Category Mapping'!$A$28:$A$39,0),1))</f>
        <v>48660345.714285709</v>
      </c>
      <c r="X1097" s="27">
        <f>X517*IF($E1097="weekday",INDEX('Category Mapping'!$F$28:$F$39,MATCH('Summarized Source Data'!$A1097,'Category Mapping'!$A$28:$A$39,0),1),INDEX('Category Mapping'!$E$28:$E$39,MATCH($A1097,'Category Mapping'!$A$28:$A$39,0),1))</f>
        <v>3055714285.7142854</v>
      </c>
      <c r="Y1097" s="27">
        <f>Y517*IF($E1097="weekday",INDEX('Category Mapping'!$F$28:$F$39,MATCH('Summarized Source Data'!$A1097,'Category Mapping'!$A$28:$A$39,0),1),INDEX('Category Mapping'!$E$28:$E$39,MATCH($A1097,'Category Mapping'!$A$28:$A$39,0),1))</f>
        <v>3055714285.7142854</v>
      </c>
      <c r="Z1097" s="27">
        <f>Z517*IF($E1097="weekday",INDEX('Category Mapping'!$F$28:$F$39,MATCH('Summarized Source Data'!$A1097,'Category Mapping'!$A$28:$A$39,0),1),INDEX('Category Mapping'!$E$28:$E$39,MATCH($A1097,'Category Mapping'!$A$28:$A$39,0),1))</f>
        <v>3055714285.7142854</v>
      </c>
    </row>
    <row r="1098" spans="1:26" outlineLevel="1" x14ac:dyDescent="0.3">
      <c r="A1098">
        <f t="shared" ref="A1098:E1098" si="563">A518</f>
        <v>10</v>
      </c>
      <c r="B1098" t="str">
        <f t="shared" si="563"/>
        <v>Fall</v>
      </c>
      <c r="C1098" t="str">
        <f t="shared" si="563"/>
        <v>h11</v>
      </c>
      <c r="D1098" t="str">
        <f t="shared" si="563"/>
        <v>Hour10</v>
      </c>
      <c r="E1098" t="str">
        <f t="shared" si="563"/>
        <v>Weekend</v>
      </c>
      <c r="F1098" s="27">
        <f>F518*IF($E1098="weekday",INDEX('Category Mapping'!$F$28:$F$39,MATCH('Summarized Source Data'!$A1098,'Category Mapping'!$A$28:$A$39,0),1),INDEX('Category Mapping'!$E$28:$E$39,MATCH($A1098,'Category Mapping'!$A$28:$A$39,0),1))</f>
        <v>33116042.28571428</v>
      </c>
      <c r="G1098" s="27">
        <f>G518*IF($E1098="weekday",INDEX('Category Mapping'!$F$28:$F$39,MATCH('Summarized Source Data'!$A1098,'Category Mapping'!$A$28:$A$39,0),1),INDEX('Category Mapping'!$E$28:$E$39,MATCH($A1098,'Category Mapping'!$A$28:$A$39,0),1))</f>
        <v>407871.42857142852</v>
      </c>
      <c r="H1098" s="27">
        <f>H518*IF($E1098="weekday",INDEX('Category Mapping'!$F$28:$F$39,MATCH('Summarized Source Data'!$A1098,'Category Mapping'!$A$28:$A$39,0),1),INDEX('Category Mapping'!$E$28:$E$39,MATCH($A1098,'Category Mapping'!$A$28:$A$39,0),1))</f>
        <v>0</v>
      </c>
      <c r="I1098" s="27">
        <f>I518*IF($E1098="weekday",INDEX('Category Mapping'!$F$28:$F$39,MATCH('Summarized Source Data'!$A1098,'Category Mapping'!$A$28:$A$39,0),1),INDEX('Category Mapping'!$E$28:$E$39,MATCH($A1098,'Category Mapping'!$A$28:$A$39,0),1))</f>
        <v>66375446.285714276</v>
      </c>
      <c r="J1098" s="27">
        <f>J518*IF($E1098="weekday",INDEX('Category Mapping'!$F$28:$F$39,MATCH('Summarized Source Data'!$A1098,'Category Mapping'!$A$28:$A$39,0),1),INDEX('Category Mapping'!$E$28:$E$39,MATCH($A1098,'Category Mapping'!$A$28:$A$39,0),1))</f>
        <v>794672068.57142842</v>
      </c>
      <c r="K1098" s="27">
        <f>K518*IF($E1098="weekday",INDEX('Category Mapping'!$F$28:$F$39,MATCH('Summarized Source Data'!$A1098,'Category Mapping'!$A$28:$A$39,0),1),INDEX('Category Mapping'!$E$28:$E$39,MATCH($A1098,'Category Mapping'!$A$28:$A$39,0),1))</f>
        <v>794672068.57142842</v>
      </c>
      <c r="L1098" s="27">
        <f>L518*IF($E1098="weekday",INDEX('Category Mapping'!$F$28:$F$39,MATCH('Summarized Source Data'!$A1098,'Category Mapping'!$A$28:$A$39,0),1),INDEX('Category Mapping'!$E$28:$E$39,MATCH($A1098,'Category Mapping'!$A$28:$A$39,0),1))</f>
        <v>44997571.714285709</v>
      </c>
      <c r="M1098" s="27">
        <f>M518*IF($E1098="weekday",INDEX('Category Mapping'!$F$28:$F$39,MATCH('Summarized Source Data'!$A1098,'Category Mapping'!$A$28:$A$39,0),1),INDEX('Category Mapping'!$E$28:$E$39,MATCH($A1098,'Category Mapping'!$A$28:$A$39,0),1))</f>
        <v>7842734.2857142845</v>
      </c>
      <c r="N1098" s="27">
        <f>N518*IF($E1098="weekday",INDEX('Category Mapping'!$F$28:$F$39,MATCH('Summarized Source Data'!$A1098,'Category Mapping'!$A$28:$A$39,0),1),INDEX('Category Mapping'!$E$28:$E$39,MATCH($A1098,'Category Mapping'!$A$28:$A$39,0),1))</f>
        <v>0</v>
      </c>
      <c r="O1098" s="27">
        <f>O518*IF($E1098="weekday",INDEX('Category Mapping'!$F$28:$F$39,MATCH('Summarized Source Data'!$A1098,'Category Mapping'!$A$28:$A$39,0),1),INDEX('Category Mapping'!$E$28:$E$39,MATCH($A1098,'Category Mapping'!$A$28:$A$39,0),1))</f>
        <v>1125159693.9999998</v>
      </c>
      <c r="P1098" s="27">
        <f>P518*IF($E1098="weekday",INDEX('Category Mapping'!$F$28:$F$39,MATCH('Summarized Source Data'!$A1098,'Category Mapping'!$A$28:$A$39,0),1),INDEX('Category Mapping'!$E$28:$E$39,MATCH($A1098,'Category Mapping'!$A$28:$A$39,0),1))</f>
        <v>1125159693.9999998</v>
      </c>
      <c r="Q1098" s="27">
        <f>Q518*IF($E1098="weekday",INDEX('Category Mapping'!$F$28:$F$39,MATCH('Summarized Source Data'!$A1098,'Category Mapping'!$A$28:$A$39,0),1),INDEX('Category Mapping'!$E$28:$E$39,MATCH($A1098,'Category Mapping'!$A$28:$A$39,0),1))</f>
        <v>1125159693.9999998</v>
      </c>
      <c r="R1098" s="27">
        <f>R518*IF($E1098="weekday",INDEX('Category Mapping'!$F$28:$F$39,MATCH('Summarized Source Data'!$A1098,'Category Mapping'!$A$28:$A$39,0),1),INDEX('Category Mapping'!$E$28:$E$39,MATCH($A1098,'Category Mapping'!$A$28:$A$39,0),1))</f>
        <v>51529847.428571418</v>
      </c>
      <c r="S1098" s="27">
        <f>S518*IF($E1098="weekday",INDEX('Category Mapping'!$F$28:$F$39,MATCH('Summarized Source Data'!$A1098,'Category Mapping'!$A$28:$A$39,0),1),INDEX('Category Mapping'!$E$28:$E$39,MATCH($A1098,'Category Mapping'!$A$28:$A$39,0),1))</f>
        <v>51529847.428571418</v>
      </c>
      <c r="T1098" s="27">
        <f>T518*IF($E1098="weekday",INDEX('Category Mapping'!$F$28:$F$39,MATCH('Summarized Source Data'!$A1098,'Category Mapping'!$A$28:$A$39,0),1),INDEX('Category Mapping'!$E$28:$E$39,MATCH($A1098,'Category Mapping'!$A$28:$A$39,0),1))</f>
        <v>51529847.428571418</v>
      </c>
      <c r="U1098" s="27">
        <f>U518*IF($E1098="weekday",INDEX('Category Mapping'!$F$28:$F$39,MATCH('Summarized Source Data'!$A1098,'Category Mapping'!$A$28:$A$39,0),1),INDEX('Category Mapping'!$E$28:$E$39,MATCH($A1098,'Category Mapping'!$A$28:$A$39,0),1))</f>
        <v>51529847.428571418</v>
      </c>
      <c r="V1098" s="27">
        <f>V518*IF($E1098="weekday",INDEX('Category Mapping'!$F$28:$F$39,MATCH('Summarized Source Data'!$A1098,'Category Mapping'!$A$28:$A$39,0),1),INDEX('Category Mapping'!$E$28:$E$39,MATCH($A1098,'Category Mapping'!$A$28:$A$39,0),1))</f>
        <v>51529847.428571418</v>
      </c>
      <c r="W1098" s="27">
        <f>W518*IF($E1098="weekday",INDEX('Category Mapping'!$F$28:$F$39,MATCH('Summarized Source Data'!$A1098,'Category Mapping'!$A$28:$A$39,0),1),INDEX('Category Mapping'!$E$28:$E$39,MATCH($A1098,'Category Mapping'!$A$28:$A$39,0),1))</f>
        <v>51529847.428571418</v>
      </c>
      <c r="X1098" s="27">
        <f>X518*IF($E1098="weekday",INDEX('Category Mapping'!$F$28:$F$39,MATCH('Summarized Source Data'!$A1098,'Category Mapping'!$A$28:$A$39,0),1),INDEX('Category Mapping'!$E$28:$E$39,MATCH($A1098,'Category Mapping'!$A$28:$A$39,0),1))</f>
        <v>3046857142.8571424</v>
      </c>
      <c r="Y1098" s="27">
        <f>Y518*IF($E1098="weekday",INDEX('Category Mapping'!$F$28:$F$39,MATCH('Summarized Source Data'!$A1098,'Category Mapping'!$A$28:$A$39,0),1),INDEX('Category Mapping'!$E$28:$E$39,MATCH($A1098,'Category Mapping'!$A$28:$A$39,0),1))</f>
        <v>3046857142.8571424</v>
      </c>
      <c r="Z1098" s="27">
        <f>Z518*IF($E1098="weekday",INDEX('Category Mapping'!$F$28:$F$39,MATCH('Summarized Source Data'!$A1098,'Category Mapping'!$A$28:$A$39,0),1),INDEX('Category Mapping'!$E$28:$E$39,MATCH($A1098,'Category Mapping'!$A$28:$A$39,0),1))</f>
        <v>3046857142.8571424</v>
      </c>
    </row>
    <row r="1099" spans="1:26" outlineLevel="1" x14ac:dyDescent="0.3">
      <c r="A1099">
        <f t="shared" ref="A1099:E1099" si="564">A519</f>
        <v>10</v>
      </c>
      <c r="B1099" t="str">
        <f t="shared" si="564"/>
        <v>Fall</v>
      </c>
      <c r="C1099" t="str">
        <f t="shared" si="564"/>
        <v>h12</v>
      </c>
      <c r="D1099" t="str">
        <f t="shared" si="564"/>
        <v>Hour11</v>
      </c>
      <c r="E1099" t="str">
        <f t="shared" si="564"/>
        <v>Weekend</v>
      </c>
      <c r="F1099" s="27">
        <f>F519*IF($E1099="weekday",INDEX('Category Mapping'!$F$28:$F$39,MATCH('Summarized Source Data'!$A1099,'Category Mapping'!$A$28:$A$39,0),1),INDEX('Category Mapping'!$E$28:$E$39,MATCH($A1099,'Category Mapping'!$A$28:$A$39,0),1))</f>
        <v>25492814.571428567</v>
      </c>
      <c r="G1099" s="27">
        <f>G519*IF($E1099="weekday",INDEX('Category Mapping'!$F$28:$F$39,MATCH('Summarized Source Data'!$A1099,'Category Mapping'!$A$28:$A$39,0),1),INDEX('Category Mapping'!$E$28:$E$39,MATCH($A1099,'Category Mapping'!$A$28:$A$39,0),1))</f>
        <v>2388780.2857142854</v>
      </c>
      <c r="H1099" s="27">
        <f>H519*IF($E1099="weekday",INDEX('Category Mapping'!$F$28:$F$39,MATCH('Summarized Source Data'!$A1099,'Category Mapping'!$A$28:$A$39,0),1),INDEX('Category Mapping'!$E$28:$E$39,MATCH($A1099,'Category Mapping'!$A$28:$A$39,0),1))</f>
        <v>0</v>
      </c>
      <c r="I1099" s="27">
        <f>I519*IF($E1099="weekday",INDEX('Category Mapping'!$F$28:$F$39,MATCH('Summarized Source Data'!$A1099,'Category Mapping'!$A$28:$A$39,0),1),INDEX('Category Mapping'!$E$28:$E$39,MATCH($A1099,'Category Mapping'!$A$28:$A$39,0),1))</f>
        <v>70425888.571428567</v>
      </c>
      <c r="J1099" s="27">
        <f>J519*IF($E1099="weekday",INDEX('Category Mapping'!$F$28:$F$39,MATCH('Summarized Source Data'!$A1099,'Category Mapping'!$A$28:$A$39,0),1),INDEX('Category Mapping'!$E$28:$E$39,MATCH($A1099,'Category Mapping'!$A$28:$A$39,0),1))</f>
        <v>884835373.71428561</v>
      </c>
      <c r="K1099" s="27">
        <f>K519*IF($E1099="weekday",INDEX('Category Mapping'!$F$28:$F$39,MATCH('Summarized Source Data'!$A1099,'Category Mapping'!$A$28:$A$39,0),1),INDEX('Category Mapping'!$E$28:$E$39,MATCH($A1099,'Category Mapping'!$A$28:$A$39,0),1))</f>
        <v>884835373.71428561</v>
      </c>
      <c r="L1099" s="27">
        <f>L519*IF($E1099="weekday",INDEX('Category Mapping'!$F$28:$F$39,MATCH('Summarized Source Data'!$A1099,'Category Mapping'!$A$28:$A$39,0),1),INDEX('Category Mapping'!$E$28:$E$39,MATCH($A1099,'Category Mapping'!$A$28:$A$39,0),1))</f>
        <v>39930214.285714284</v>
      </c>
      <c r="M1099" s="27">
        <f>M519*IF($E1099="weekday",INDEX('Category Mapping'!$F$28:$F$39,MATCH('Summarized Source Data'!$A1099,'Category Mapping'!$A$28:$A$39,0),1),INDEX('Category Mapping'!$E$28:$E$39,MATCH($A1099,'Category Mapping'!$A$28:$A$39,0),1))</f>
        <v>8246566.8571428563</v>
      </c>
      <c r="N1099" s="27">
        <f>N519*IF($E1099="weekday",INDEX('Category Mapping'!$F$28:$F$39,MATCH('Summarized Source Data'!$A1099,'Category Mapping'!$A$28:$A$39,0),1),INDEX('Category Mapping'!$E$28:$E$39,MATCH($A1099,'Category Mapping'!$A$28:$A$39,0),1))</f>
        <v>0</v>
      </c>
      <c r="O1099" s="27">
        <f>O519*IF($E1099="weekday",INDEX('Category Mapping'!$F$28:$F$39,MATCH('Summarized Source Data'!$A1099,'Category Mapping'!$A$28:$A$39,0),1),INDEX('Category Mapping'!$E$28:$E$39,MATCH($A1099,'Category Mapping'!$A$28:$A$39,0),1))</f>
        <v>1129823218.8571427</v>
      </c>
      <c r="P1099" s="27">
        <f>P519*IF($E1099="weekday",INDEX('Category Mapping'!$F$28:$F$39,MATCH('Summarized Source Data'!$A1099,'Category Mapping'!$A$28:$A$39,0),1),INDEX('Category Mapping'!$E$28:$E$39,MATCH($A1099,'Category Mapping'!$A$28:$A$39,0),1))</f>
        <v>1129823218.8571427</v>
      </c>
      <c r="Q1099" s="27">
        <f>Q519*IF($E1099="weekday",INDEX('Category Mapping'!$F$28:$F$39,MATCH('Summarized Source Data'!$A1099,'Category Mapping'!$A$28:$A$39,0),1),INDEX('Category Mapping'!$E$28:$E$39,MATCH($A1099,'Category Mapping'!$A$28:$A$39,0),1))</f>
        <v>1129823218.8571427</v>
      </c>
      <c r="R1099" s="27">
        <f>R519*IF($E1099="weekday",INDEX('Category Mapping'!$F$28:$F$39,MATCH('Summarized Source Data'!$A1099,'Category Mapping'!$A$28:$A$39,0),1),INDEX('Category Mapping'!$E$28:$E$39,MATCH($A1099,'Category Mapping'!$A$28:$A$39,0),1))</f>
        <v>53137587.142857134</v>
      </c>
      <c r="S1099" s="27">
        <f>S519*IF($E1099="weekday",INDEX('Category Mapping'!$F$28:$F$39,MATCH('Summarized Source Data'!$A1099,'Category Mapping'!$A$28:$A$39,0),1),INDEX('Category Mapping'!$E$28:$E$39,MATCH($A1099,'Category Mapping'!$A$28:$A$39,0),1))</f>
        <v>53137587.142857134</v>
      </c>
      <c r="T1099" s="27">
        <f>T519*IF($E1099="weekday",INDEX('Category Mapping'!$F$28:$F$39,MATCH('Summarized Source Data'!$A1099,'Category Mapping'!$A$28:$A$39,0),1),INDEX('Category Mapping'!$E$28:$E$39,MATCH($A1099,'Category Mapping'!$A$28:$A$39,0),1))</f>
        <v>53137587.142857134</v>
      </c>
      <c r="U1099" s="27">
        <f>U519*IF($E1099="weekday",INDEX('Category Mapping'!$F$28:$F$39,MATCH('Summarized Source Data'!$A1099,'Category Mapping'!$A$28:$A$39,0),1),INDEX('Category Mapping'!$E$28:$E$39,MATCH($A1099,'Category Mapping'!$A$28:$A$39,0),1))</f>
        <v>53137587.142857134</v>
      </c>
      <c r="V1099" s="27">
        <f>V519*IF($E1099="weekday",INDEX('Category Mapping'!$F$28:$F$39,MATCH('Summarized Source Data'!$A1099,'Category Mapping'!$A$28:$A$39,0),1),INDEX('Category Mapping'!$E$28:$E$39,MATCH($A1099,'Category Mapping'!$A$28:$A$39,0),1))</f>
        <v>53137587.142857134</v>
      </c>
      <c r="W1099" s="27">
        <f>W519*IF($E1099="weekday",INDEX('Category Mapping'!$F$28:$F$39,MATCH('Summarized Source Data'!$A1099,'Category Mapping'!$A$28:$A$39,0),1),INDEX('Category Mapping'!$E$28:$E$39,MATCH($A1099,'Category Mapping'!$A$28:$A$39,0),1))</f>
        <v>53137587.142857134</v>
      </c>
      <c r="X1099" s="27">
        <f>X519*IF($E1099="weekday",INDEX('Category Mapping'!$F$28:$F$39,MATCH('Summarized Source Data'!$A1099,'Category Mapping'!$A$28:$A$39,0),1),INDEX('Category Mapping'!$E$28:$E$39,MATCH($A1099,'Category Mapping'!$A$28:$A$39,0),1))</f>
        <v>3037999999.9999995</v>
      </c>
      <c r="Y1099" s="27">
        <f>Y519*IF($E1099="weekday",INDEX('Category Mapping'!$F$28:$F$39,MATCH('Summarized Source Data'!$A1099,'Category Mapping'!$A$28:$A$39,0),1),INDEX('Category Mapping'!$E$28:$E$39,MATCH($A1099,'Category Mapping'!$A$28:$A$39,0),1))</f>
        <v>3037999999.9999995</v>
      </c>
      <c r="Z1099" s="27">
        <f>Z519*IF($E1099="weekday",INDEX('Category Mapping'!$F$28:$F$39,MATCH('Summarized Source Data'!$A1099,'Category Mapping'!$A$28:$A$39,0),1),INDEX('Category Mapping'!$E$28:$E$39,MATCH($A1099,'Category Mapping'!$A$28:$A$39,0),1))</f>
        <v>3037999999.9999995</v>
      </c>
    </row>
    <row r="1100" spans="1:26" outlineLevel="1" x14ac:dyDescent="0.3">
      <c r="A1100">
        <f t="shared" ref="A1100:E1100" si="565">A520</f>
        <v>10</v>
      </c>
      <c r="B1100" t="str">
        <f t="shared" si="565"/>
        <v>Fall</v>
      </c>
      <c r="C1100" t="str">
        <f t="shared" si="565"/>
        <v>h13</v>
      </c>
      <c r="D1100" t="str">
        <f t="shared" si="565"/>
        <v>Hour12</v>
      </c>
      <c r="E1100" t="str">
        <f t="shared" si="565"/>
        <v>Weekend</v>
      </c>
      <c r="F1100" s="27">
        <f>F520*IF($E1100="weekday",INDEX('Category Mapping'!$F$28:$F$39,MATCH('Summarized Source Data'!$A1100,'Category Mapping'!$A$28:$A$39,0),1),INDEX('Category Mapping'!$E$28:$E$39,MATCH($A1100,'Category Mapping'!$A$28:$A$39,0),1))</f>
        <v>26045013.142857138</v>
      </c>
      <c r="G1100" s="27">
        <f>G520*IF($E1100="weekday",INDEX('Category Mapping'!$F$28:$F$39,MATCH('Summarized Source Data'!$A1100,'Category Mapping'!$A$28:$A$39,0),1),INDEX('Category Mapping'!$E$28:$E$39,MATCH($A1100,'Category Mapping'!$A$28:$A$39,0),1))</f>
        <v>5667783.1428571418</v>
      </c>
      <c r="H1100" s="27">
        <f>H520*IF($E1100="weekday",INDEX('Category Mapping'!$F$28:$F$39,MATCH('Summarized Source Data'!$A1100,'Category Mapping'!$A$28:$A$39,0),1),INDEX('Category Mapping'!$E$28:$E$39,MATCH($A1100,'Category Mapping'!$A$28:$A$39,0),1))</f>
        <v>0</v>
      </c>
      <c r="I1100" s="27">
        <f>I520*IF($E1100="weekday",INDEX('Category Mapping'!$F$28:$F$39,MATCH('Summarized Source Data'!$A1100,'Category Mapping'!$A$28:$A$39,0),1),INDEX('Category Mapping'!$E$28:$E$39,MATCH($A1100,'Category Mapping'!$A$28:$A$39,0),1))</f>
        <v>72873489.142857134</v>
      </c>
      <c r="J1100" s="27">
        <f>J520*IF($E1100="weekday",INDEX('Category Mapping'!$F$28:$F$39,MATCH('Summarized Source Data'!$A1100,'Category Mapping'!$A$28:$A$39,0),1),INDEX('Category Mapping'!$E$28:$E$39,MATCH($A1100,'Category Mapping'!$A$28:$A$39,0),1))</f>
        <v>807699428.85714269</v>
      </c>
      <c r="K1100" s="27">
        <f>K520*IF($E1100="weekday",INDEX('Category Mapping'!$F$28:$F$39,MATCH('Summarized Source Data'!$A1100,'Category Mapping'!$A$28:$A$39,0),1),INDEX('Category Mapping'!$E$28:$E$39,MATCH($A1100,'Category Mapping'!$A$28:$A$39,0),1))</f>
        <v>807699428.85714269</v>
      </c>
      <c r="L1100" s="27">
        <f>L520*IF($E1100="weekday",INDEX('Category Mapping'!$F$28:$F$39,MATCH('Summarized Source Data'!$A1100,'Category Mapping'!$A$28:$A$39,0),1),INDEX('Category Mapping'!$E$28:$E$39,MATCH($A1100,'Category Mapping'!$A$28:$A$39,0),1))</f>
        <v>36222561.142857134</v>
      </c>
      <c r="M1100" s="27">
        <f>M520*IF($E1100="weekday",INDEX('Category Mapping'!$F$28:$F$39,MATCH('Summarized Source Data'!$A1100,'Category Mapping'!$A$28:$A$39,0),1),INDEX('Category Mapping'!$E$28:$E$39,MATCH($A1100,'Category Mapping'!$A$28:$A$39,0),1))</f>
        <v>8836603.1428571418</v>
      </c>
      <c r="N1100" s="27">
        <f>N520*IF($E1100="weekday",INDEX('Category Mapping'!$F$28:$F$39,MATCH('Summarized Source Data'!$A1100,'Category Mapping'!$A$28:$A$39,0),1),INDEX('Category Mapping'!$E$28:$E$39,MATCH($A1100,'Category Mapping'!$A$28:$A$39,0),1))</f>
        <v>0</v>
      </c>
      <c r="O1100" s="27">
        <f>O520*IF($E1100="weekday",INDEX('Category Mapping'!$F$28:$F$39,MATCH('Summarized Source Data'!$A1100,'Category Mapping'!$A$28:$A$39,0),1),INDEX('Category Mapping'!$E$28:$E$39,MATCH($A1100,'Category Mapping'!$A$28:$A$39,0),1))</f>
        <v>1124083692.8571427</v>
      </c>
      <c r="P1100" s="27">
        <f>P520*IF($E1100="weekday",INDEX('Category Mapping'!$F$28:$F$39,MATCH('Summarized Source Data'!$A1100,'Category Mapping'!$A$28:$A$39,0),1),INDEX('Category Mapping'!$E$28:$E$39,MATCH($A1100,'Category Mapping'!$A$28:$A$39,0),1))</f>
        <v>1124083692.8571427</v>
      </c>
      <c r="Q1100" s="27">
        <f>Q520*IF($E1100="weekday",INDEX('Category Mapping'!$F$28:$F$39,MATCH('Summarized Source Data'!$A1100,'Category Mapping'!$A$28:$A$39,0),1),INDEX('Category Mapping'!$E$28:$E$39,MATCH($A1100,'Category Mapping'!$A$28:$A$39,0),1))</f>
        <v>1124083692.8571427</v>
      </c>
      <c r="R1100" s="27">
        <f>R520*IF($E1100="weekday",INDEX('Category Mapping'!$F$28:$F$39,MATCH('Summarized Source Data'!$A1100,'Category Mapping'!$A$28:$A$39,0),1),INDEX('Category Mapping'!$E$28:$E$39,MATCH($A1100,'Category Mapping'!$A$28:$A$39,0),1))</f>
        <v>51979551.142857134</v>
      </c>
      <c r="S1100" s="27">
        <f>S520*IF($E1100="weekday",INDEX('Category Mapping'!$F$28:$F$39,MATCH('Summarized Source Data'!$A1100,'Category Mapping'!$A$28:$A$39,0),1),INDEX('Category Mapping'!$E$28:$E$39,MATCH($A1100,'Category Mapping'!$A$28:$A$39,0),1))</f>
        <v>51979551.142857134</v>
      </c>
      <c r="T1100" s="27">
        <f>T520*IF($E1100="weekday",INDEX('Category Mapping'!$F$28:$F$39,MATCH('Summarized Source Data'!$A1100,'Category Mapping'!$A$28:$A$39,0),1),INDEX('Category Mapping'!$E$28:$E$39,MATCH($A1100,'Category Mapping'!$A$28:$A$39,0),1))</f>
        <v>51979551.142857134</v>
      </c>
      <c r="U1100" s="27">
        <f>U520*IF($E1100="weekday",INDEX('Category Mapping'!$F$28:$F$39,MATCH('Summarized Source Data'!$A1100,'Category Mapping'!$A$28:$A$39,0),1),INDEX('Category Mapping'!$E$28:$E$39,MATCH($A1100,'Category Mapping'!$A$28:$A$39,0),1))</f>
        <v>51979551.142857134</v>
      </c>
      <c r="V1100" s="27">
        <f>V520*IF($E1100="weekday",INDEX('Category Mapping'!$F$28:$F$39,MATCH('Summarized Source Data'!$A1100,'Category Mapping'!$A$28:$A$39,0),1),INDEX('Category Mapping'!$E$28:$E$39,MATCH($A1100,'Category Mapping'!$A$28:$A$39,0),1))</f>
        <v>51979551.142857134</v>
      </c>
      <c r="W1100" s="27">
        <f>W520*IF($E1100="weekday",INDEX('Category Mapping'!$F$28:$F$39,MATCH('Summarized Source Data'!$A1100,'Category Mapping'!$A$28:$A$39,0),1),INDEX('Category Mapping'!$E$28:$E$39,MATCH($A1100,'Category Mapping'!$A$28:$A$39,0),1))</f>
        <v>51979551.142857134</v>
      </c>
      <c r="X1100" s="27">
        <f>X520*IF($E1100="weekday",INDEX('Category Mapping'!$F$28:$F$39,MATCH('Summarized Source Data'!$A1100,'Category Mapping'!$A$28:$A$39,0),1),INDEX('Category Mapping'!$E$28:$E$39,MATCH($A1100,'Category Mapping'!$A$28:$A$39,0),1))</f>
        <v>3037999999.9999995</v>
      </c>
      <c r="Y1100" s="27">
        <f>Y520*IF($E1100="weekday",INDEX('Category Mapping'!$F$28:$F$39,MATCH('Summarized Source Data'!$A1100,'Category Mapping'!$A$28:$A$39,0),1),INDEX('Category Mapping'!$E$28:$E$39,MATCH($A1100,'Category Mapping'!$A$28:$A$39,0),1))</f>
        <v>3037999999.9999995</v>
      </c>
      <c r="Z1100" s="27">
        <f>Z520*IF($E1100="weekday",INDEX('Category Mapping'!$F$28:$F$39,MATCH('Summarized Source Data'!$A1100,'Category Mapping'!$A$28:$A$39,0),1),INDEX('Category Mapping'!$E$28:$E$39,MATCH($A1100,'Category Mapping'!$A$28:$A$39,0),1))</f>
        <v>3037999999.9999995</v>
      </c>
    </row>
    <row r="1101" spans="1:26" outlineLevel="1" x14ac:dyDescent="0.3">
      <c r="A1101">
        <f t="shared" ref="A1101:E1101" si="566">A521</f>
        <v>10</v>
      </c>
      <c r="B1101" t="str">
        <f t="shared" si="566"/>
        <v>Fall</v>
      </c>
      <c r="C1101" t="str">
        <f t="shared" si="566"/>
        <v>h14</v>
      </c>
      <c r="D1101" t="str">
        <f t="shared" si="566"/>
        <v>Hour13</v>
      </c>
      <c r="E1101" t="str">
        <f t="shared" si="566"/>
        <v>Weekend</v>
      </c>
      <c r="F1101" s="27">
        <f>F521*IF($E1101="weekday",INDEX('Category Mapping'!$F$28:$F$39,MATCH('Summarized Source Data'!$A1101,'Category Mapping'!$A$28:$A$39,0),1),INDEX('Category Mapping'!$E$28:$E$39,MATCH($A1101,'Category Mapping'!$A$28:$A$39,0),1))</f>
        <v>26023941.999999996</v>
      </c>
      <c r="G1101" s="27">
        <f>G521*IF($E1101="weekday",INDEX('Category Mapping'!$F$28:$F$39,MATCH('Summarized Source Data'!$A1101,'Category Mapping'!$A$28:$A$39,0),1),INDEX('Category Mapping'!$E$28:$E$39,MATCH($A1101,'Category Mapping'!$A$28:$A$39,0),1))</f>
        <v>8038742.8571428563</v>
      </c>
      <c r="H1101" s="27">
        <f>H521*IF($E1101="weekday",INDEX('Category Mapping'!$F$28:$F$39,MATCH('Summarized Source Data'!$A1101,'Category Mapping'!$A$28:$A$39,0),1),INDEX('Category Mapping'!$E$28:$E$39,MATCH($A1101,'Category Mapping'!$A$28:$A$39,0),1))</f>
        <v>0</v>
      </c>
      <c r="I1101" s="27">
        <f>I521*IF($E1101="weekday",INDEX('Category Mapping'!$F$28:$F$39,MATCH('Summarized Source Data'!$A1101,'Category Mapping'!$A$28:$A$39,0),1),INDEX('Category Mapping'!$E$28:$E$39,MATCH($A1101,'Category Mapping'!$A$28:$A$39,0),1))</f>
        <v>72780108.285714269</v>
      </c>
      <c r="J1101" s="27">
        <f>J521*IF($E1101="weekday",INDEX('Category Mapping'!$F$28:$F$39,MATCH('Summarized Source Data'!$A1101,'Category Mapping'!$A$28:$A$39,0),1),INDEX('Category Mapping'!$E$28:$E$39,MATCH($A1101,'Category Mapping'!$A$28:$A$39,0),1))</f>
        <v>707128635.42857134</v>
      </c>
      <c r="K1101" s="27">
        <f>K521*IF($E1101="weekday",INDEX('Category Mapping'!$F$28:$F$39,MATCH('Summarized Source Data'!$A1101,'Category Mapping'!$A$28:$A$39,0),1),INDEX('Category Mapping'!$E$28:$E$39,MATCH($A1101,'Category Mapping'!$A$28:$A$39,0),1))</f>
        <v>707128635.42857134</v>
      </c>
      <c r="L1101" s="27">
        <f>L521*IF($E1101="weekday",INDEX('Category Mapping'!$F$28:$F$39,MATCH('Summarized Source Data'!$A1101,'Category Mapping'!$A$28:$A$39,0),1),INDEX('Category Mapping'!$E$28:$E$39,MATCH($A1101,'Category Mapping'!$A$28:$A$39,0),1))</f>
        <v>34022154.571428567</v>
      </c>
      <c r="M1101" s="27">
        <f>M521*IF($E1101="weekday",INDEX('Category Mapping'!$F$28:$F$39,MATCH('Summarized Source Data'!$A1101,'Category Mapping'!$A$28:$A$39,0),1),INDEX('Category Mapping'!$E$28:$E$39,MATCH($A1101,'Category Mapping'!$A$28:$A$39,0),1))</f>
        <v>9232021.4285714272</v>
      </c>
      <c r="N1101" s="27">
        <f>N521*IF($E1101="weekday",INDEX('Category Mapping'!$F$28:$F$39,MATCH('Summarized Source Data'!$A1101,'Category Mapping'!$A$28:$A$39,0),1),INDEX('Category Mapping'!$E$28:$E$39,MATCH($A1101,'Category Mapping'!$A$28:$A$39,0),1))</f>
        <v>0</v>
      </c>
      <c r="O1101" s="27">
        <f>O521*IF($E1101="weekday",INDEX('Category Mapping'!$F$28:$F$39,MATCH('Summarized Source Data'!$A1101,'Category Mapping'!$A$28:$A$39,0),1),INDEX('Category Mapping'!$E$28:$E$39,MATCH($A1101,'Category Mapping'!$A$28:$A$39,0),1))</f>
        <v>1081602966.8571427</v>
      </c>
      <c r="P1101" s="27">
        <f>P521*IF($E1101="weekday",INDEX('Category Mapping'!$F$28:$F$39,MATCH('Summarized Source Data'!$A1101,'Category Mapping'!$A$28:$A$39,0),1),INDEX('Category Mapping'!$E$28:$E$39,MATCH($A1101,'Category Mapping'!$A$28:$A$39,0),1))</f>
        <v>1081602966.8571427</v>
      </c>
      <c r="Q1101" s="27">
        <f>Q521*IF($E1101="weekday",INDEX('Category Mapping'!$F$28:$F$39,MATCH('Summarized Source Data'!$A1101,'Category Mapping'!$A$28:$A$39,0),1),INDEX('Category Mapping'!$E$28:$E$39,MATCH($A1101,'Category Mapping'!$A$28:$A$39,0),1))</f>
        <v>1081602966.8571427</v>
      </c>
      <c r="R1101" s="27">
        <f>R521*IF($E1101="weekday",INDEX('Category Mapping'!$F$28:$F$39,MATCH('Summarized Source Data'!$A1101,'Category Mapping'!$A$28:$A$39,0),1),INDEX('Category Mapping'!$E$28:$E$39,MATCH($A1101,'Category Mapping'!$A$28:$A$39,0),1))</f>
        <v>49494511.428571418</v>
      </c>
      <c r="S1101" s="27">
        <f>S521*IF($E1101="weekday",INDEX('Category Mapping'!$F$28:$F$39,MATCH('Summarized Source Data'!$A1101,'Category Mapping'!$A$28:$A$39,0),1),INDEX('Category Mapping'!$E$28:$E$39,MATCH($A1101,'Category Mapping'!$A$28:$A$39,0),1))</f>
        <v>49494511.428571418</v>
      </c>
      <c r="T1101" s="27">
        <f>T521*IF($E1101="weekday",INDEX('Category Mapping'!$F$28:$F$39,MATCH('Summarized Source Data'!$A1101,'Category Mapping'!$A$28:$A$39,0),1),INDEX('Category Mapping'!$E$28:$E$39,MATCH($A1101,'Category Mapping'!$A$28:$A$39,0),1))</f>
        <v>49494511.428571418</v>
      </c>
      <c r="U1101" s="27">
        <f>U521*IF($E1101="weekday",INDEX('Category Mapping'!$F$28:$F$39,MATCH('Summarized Source Data'!$A1101,'Category Mapping'!$A$28:$A$39,0),1),INDEX('Category Mapping'!$E$28:$E$39,MATCH($A1101,'Category Mapping'!$A$28:$A$39,0),1))</f>
        <v>49494511.428571418</v>
      </c>
      <c r="V1101" s="27">
        <f>V521*IF($E1101="weekday",INDEX('Category Mapping'!$F$28:$F$39,MATCH('Summarized Source Data'!$A1101,'Category Mapping'!$A$28:$A$39,0),1),INDEX('Category Mapping'!$E$28:$E$39,MATCH($A1101,'Category Mapping'!$A$28:$A$39,0),1))</f>
        <v>49494511.428571418</v>
      </c>
      <c r="W1101" s="27">
        <f>W521*IF($E1101="weekday",INDEX('Category Mapping'!$F$28:$F$39,MATCH('Summarized Source Data'!$A1101,'Category Mapping'!$A$28:$A$39,0),1),INDEX('Category Mapping'!$E$28:$E$39,MATCH($A1101,'Category Mapping'!$A$28:$A$39,0),1))</f>
        <v>49494511.428571418</v>
      </c>
      <c r="X1101" s="27">
        <f>X521*IF($E1101="weekday",INDEX('Category Mapping'!$F$28:$F$39,MATCH('Summarized Source Data'!$A1101,'Category Mapping'!$A$28:$A$39,0),1),INDEX('Category Mapping'!$E$28:$E$39,MATCH($A1101,'Category Mapping'!$A$28:$A$39,0),1))</f>
        <v>3037999999.9999995</v>
      </c>
      <c r="Y1101" s="27">
        <f>Y521*IF($E1101="weekday",INDEX('Category Mapping'!$F$28:$F$39,MATCH('Summarized Source Data'!$A1101,'Category Mapping'!$A$28:$A$39,0),1),INDEX('Category Mapping'!$E$28:$E$39,MATCH($A1101,'Category Mapping'!$A$28:$A$39,0),1))</f>
        <v>3037999999.9999995</v>
      </c>
      <c r="Z1101" s="27">
        <f>Z521*IF($E1101="weekday",INDEX('Category Mapping'!$F$28:$F$39,MATCH('Summarized Source Data'!$A1101,'Category Mapping'!$A$28:$A$39,0),1),INDEX('Category Mapping'!$E$28:$E$39,MATCH($A1101,'Category Mapping'!$A$28:$A$39,0),1))</f>
        <v>3037999999.9999995</v>
      </c>
    </row>
    <row r="1102" spans="1:26" outlineLevel="1" x14ac:dyDescent="0.3">
      <c r="A1102">
        <f t="shared" ref="A1102:E1102" si="567">A522</f>
        <v>10</v>
      </c>
      <c r="B1102" t="str">
        <f t="shared" si="567"/>
        <v>Fall</v>
      </c>
      <c r="C1102" t="str">
        <f t="shared" si="567"/>
        <v>h15</v>
      </c>
      <c r="D1102" t="str">
        <f t="shared" si="567"/>
        <v>Hour14</v>
      </c>
      <c r="E1102" t="str">
        <f t="shared" si="567"/>
        <v>Weekend</v>
      </c>
      <c r="F1102" s="27">
        <f>F522*IF($E1102="weekday",INDEX('Category Mapping'!$F$28:$F$39,MATCH('Summarized Source Data'!$A1102,'Category Mapping'!$A$28:$A$39,0),1),INDEX('Category Mapping'!$E$28:$E$39,MATCH($A1102,'Category Mapping'!$A$28:$A$39,0),1))</f>
        <v>25851174.571428567</v>
      </c>
      <c r="G1102" s="27">
        <f>G522*IF($E1102="weekday",INDEX('Category Mapping'!$F$28:$F$39,MATCH('Summarized Source Data'!$A1102,'Category Mapping'!$A$28:$A$39,0),1),INDEX('Category Mapping'!$E$28:$E$39,MATCH($A1102,'Category Mapping'!$A$28:$A$39,0),1))</f>
        <v>8839667.7142857127</v>
      </c>
      <c r="H1102" s="27">
        <f>H522*IF($E1102="weekday",INDEX('Category Mapping'!$F$28:$F$39,MATCH('Summarized Source Data'!$A1102,'Category Mapping'!$A$28:$A$39,0),1),INDEX('Category Mapping'!$E$28:$E$39,MATCH($A1102,'Category Mapping'!$A$28:$A$39,0),1))</f>
        <v>0</v>
      </c>
      <c r="I1102" s="27">
        <f>I522*IF($E1102="weekday",INDEX('Category Mapping'!$F$28:$F$39,MATCH('Summarized Source Data'!$A1102,'Category Mapping'!$A$28:$A$39,0),1),INDEX('Category Mapping'!$E$28:$E$39,MATCH($A1102,'Category Mapping'!$A$28:$A$39,0),1))</f>
        <v>72014310.857142851</v>
      </c>
      <c r="J1102" s="27">
        <f>J522*IF($E1102="weekday",INDEX('Category Mapping'!$F$28:$F$39,MATCH('Summarized Source Data'!$A1102,'Category Mapping'!$A$28:$A$39,0),1),INDEX('Category Mapping'!$E$28:$E$39,MATCH($A1102,'Category Mapping'!$A$28:$A$39,0),1))</f>
        <v>740037703.99999988</v>
      </c>
      <c r="K1102" s="27">
        <f>K522*IF($E1102="weekday",INDEX('Category Mapping'!$F$28:$F$39,MATCH('Summarized Source Data'!$A1102,'Category Mapping'!$A$28:$A$39,0),1),INDEX('Category Mapping'!$E$28:$E$39,MATCH($A1102,'Category Mapping'!$A$28:$A$39,0),1))</f>
        <v>740037703.99999988</v>
      </c>
      <c r="L1102" s="27">
        <f>L522*IF($E1102="weekday",INDEX('Category Mapping'!$F$28:$F$39,MATCH('Summarized Source Data'!$A1102,'Category Mapping'!$A$28:$A$39,0),1),INDEX('Category Mapping'!$E$28:$E$39,MATCH($A1102,'Category Mapping'!$A$28:$A$39,0),1))</f>
        <v>34221564.285714284</v>
      </c>
      <c r="M1102" s="27">
        <f>M522*IF($E1102="weekday",INDEX('Category Mapping'!$F$28:$F$39,MATCH('Summarized Source Data'!$A1102,'Category Mapping'!$A$28:$A$39,0),1),INDEX('Category Mapping'!$E$28:$E$39,MATCH($A1102,'Category Mapping'!$A$28:$A$39,0),1))</f>
        <v>9371902.2857142836</v>
      </c>
      <c r="N1102" s="27">
        <f>N522*IF($E1102="weekday",INDEX('Category Mapping'!$F$28:$F$39,MATCH('Summarized Source Data'!$A1102,'Category Mapping'!$A$28:$A$39,0),1),INDEX('Category Mapping'!$E$28:$E$39,MATCH($A1102,'Category Mapping'!$A$28:$A$39,0),1))</f>
        <v>0</v>
      </c>
      <c r="O1102" s="27">
        <f>O522*IF($E1102="weekday",INDEX('Category Mapping'!$F$28:$F$39,MATCH('Summarized Source Data'!$A1102,'Category Mapping'!$A$28:$A$39,0),1),INDEX('Category Mapping'!$E$28:$E$39,MATCH($A1102,'Category Mapping'!$A$28:$A$39,0),1))</f>
        <v>1028120819.142857</v>
      </c>
      <c r="P1102" s="27">
        <f>P522*IF($E1102="weekday",INDEX('Category Mapping'!$F$28:$F$39,MATCH('Summarized Source Data'!$A1102,'Category Mapping'!$A$28:$A$39,0),1),INDEX('Category Mapping'!$E$28:$E$39,MATCH($A1102,'Category Mapping'!$A$28:$A$39,0),1))</f>
        <v>1028120819.142857</v>
      </c>
      <c r="Q1102" s="27">
        <f>Q522*IF($E1102="weekday",INDEX('Category Mapping'!$F$28:$F$39,MATCH('Summarized Source Data'!$A1102,'Category Mapping'!$A$28:$A$39,0),1),INDEX('Category Mapping'!$E$28:$E$39,MATCH($A1102,'Category Mapping'!$A$28:$A$39,0),1))</f>
        <v>1028120819.142857</v>
      </c>
      <c r="R1102" s="27">
        <f>R522*IF($E1102="weekday",INDEX('Category Mapping'!$F$28:$F$39,MATCH('Summarized Source Data'!$A1102,'Category Mapping'!$A$28:$A$39,0),1),INDEX('Category Mapping'!$E$28:$E$39,MATCH($A1102,'Category Mapping'!$A$28:$A$39,0),1))</f>
        <v>48872155.428571418</v>
      </c>
      <c r="S1102" s="27">
        <f>S522*IF($E1102="weekday",INDEX('Category Mapping'!$F$28:$F$39,MATCH('Summarized Source Data'!$A1102,'Category Mapping'!$A$28:$A$39,0),1),INDEX('Category Mapping'!$E$28:$E$39,MATCH($A1102,'Category Mapping'!$A$28:$A$39,0),1))</f>
        <v>48872155.428571418</v>
      </c>
      <c r="T1102" s="27">
        <f>T522*IF($E1102="weekday",INDEX('Category Mapping'!$F$28:$F$39,MATCH('Summarized Source Data'!$A1102,'Category Mapping'!$A$28:$A$39,0),1),INDEX('Category Mapping'!$E$28:$E$39,MATCH($A1102,'Category Mapping'!$A$28:$A$39,0),1))</f>
        <v>48872155.428571418</v>
      </c>
      <c r="U1102" s="27">
        <f>U522*IF($E1102="weekday",INDEX('Category Mapping'!$F$28:$F$39,MATCH('Summarized Source Data'!$A1102,'Category Mapping'!$A$28:$A$39,0),1),INDEX('Category Mapping'!$E$28:$E$39,MATCH($A1102,'Category Mapping'!$A$28:$A$39,0),1))</f>
        <v>48872155.428571418</v>
      </c>
      <c r="V1102" s="27">
        <f>V522*IF($E1102="weekday",INDEX('Category Mapping'!$F$28:$F$39,MATCH('Summarized Source Data'!$A1102,'Category Mapping'!$A$28:$A$39,0),1),INDEX('Category Mapping'!$E$28:$E$39,MATCH($A1102,'Category Mapping'!$A$28:$A$39,0),1))</f>
        <v>48872155.428571418</v>
      </c>
      <c r="W1102" s="27">
        <f>W522*IF($E1102="weekday",INDEX('Category Mapping'!$F$28:$F$39,MATCH('Summarized Source Data'!$A1102,'Category Mapping'!$A$28:$A$39,0),1),INDEX('Category Mapping'!$E$28:$E$39,MATCH($A1102,'Category Mapping'!$A$28:$A$39,0),1))</f>
        <v>48872155.428571418</v>
      </c>
      <c r="X1102" s="27">
        <f>X522*IF($E1102="weekday",INDEX('Category Mapping'!$F$28:$F$39,MATCH('Summarized Source Data'!$A1102,'Category Mapping'!$A$28:$A$39,0),1),INDEX('Category Mapping'!$E$28:$E$39,MATCH($A1102,'Category Mapping'!$A$28:$A$39,0),1))</f>
        <v>3055714285.7142854</v>
      </c>
      <c r="Y1102" s="27">
        <f>Y522*IF($E1102="weekday",INDEX('Category Mapping'!$F$28:$F$39,MATCH('Summarized Source Data'!$A1102,'Category Mapping'!$A$28:$A$39,0),1),INDEX('Category Mapping'!$E$28:$E$39,MATCH($A1102,'Category Mapping'!$A$28:$A$39,0),1))</f>
        <v>3055714285.7142854</v>
      </c>
      <c r="Z1102" s="27">
        <f>Z522*IF($E1102="weekday",INDEX('Category Mapping'!$F$28:$F$39,MATCH('Summarized Source Data'!$A1102,'Category Mapping'!$A$28:$A$39,0),1),INDEX('Category Mapping'!$E$28:$E$39,MATCH($A1102,'Category Mapping'!$A$28:$A$39,0),1))</f>
        <v>3055714285.7142854</v>
      </c>
    </row>
    <row r="1103" spans="1:26" outlineLevel="1" x14ac:dyDescent="0.3">
      <c r="A1103">
        <f t="shared" ref="A1103:E1103" si="568">A523</f>
        <v>10</v>
      </c>
      <c r="B1103" t="str">
        <f t="shared" si="568"/>
        <v>Fall</v>
      </c>
      <c r="C1103" t="str">
        <f t="shared" si="568"/>
        <v>h16</v>
      </c>
      <c r="D1103" t="str">
        <f t="shared" si="568"/>
        <v>Hour15</v>
      </c>
      <c r="E1103" t="str">
        <f t="shared" si="568"/>
        <v>Weekend</v>
      </c>
      <c r="F1103" s="27">
        <f>F523*IF($E1103="weekday",INDEX('Category Mapping'!$F$28:$F$39,MATCH('Summarized Source Data'!$A1103,'Category Mapping'!$A$28:$A$39,0),1),INDEX('Category Mapping'!$E$28:$E$39,MATCH($A1103,'Category Mapping'!$A$28:$A$39,0),1))</f>
        <v>25891943.999999996</v>
      </c>
      <c r="G1103" s="27">
        <f>G523*IF($E1103="weekday",INDEX('Category Mapping'!$F$28:$F$39,MATCH('Summarized Source Data'!$A1103,'Category Mapping'!$A$28:$A$39,0),1),INDEX('Category Mapping'!$E$28:$E$39,MATCH($A1103,'Category Mapping'!$A$28:$A$39,0),1))</f>
        <v>7996325.9999999991</v>
      </c>
      <c r="H1103" s="27">
        <f>H523*IF($E1103="weekday",INDEX('Category Mapping'!$F$28:$F$39,MATCH('Summarized Source Data'!$A1103,'Category Mapping'!$A$28:$A$39,0),1),INDEX('Category Mapping'!$E$28:$E$39,MATCH($A1103,'Category Mapping'!$A$28:$A$39,0),1))</f>
        <v>0</v>
      </c>
      <c r="I1103" s="27">
        <f>I523*IF($E1103="weekday",INDEX('Category Mapping'!$F$28:$F$39,MATCH('Summarized Source Data'!$A1103,'Category Mapping'!$A$28:$A$39,0),1),INDEX('Category Mapping'!$E$28:$E$39,MATCH($A1103,'Category Mapping'!$A$28:$A$39,0),1))</f>
        <v>72195031.999999985</v>
      </c>
      <c r="J1103" s="27">
        <f>J523*IF($E1103="weekday",INDEX('Category Mapping'!$F$28:$F$39,MATCH('Summarized Source Data'!$A1103,'Category Mapping'!$A$28:$A$39,0),1),INDEX('Category Mapping'!$E$28:$E$39,MATCH($A1103,'Category Mapping'!$A$28:$A$39,0),1))</f>
        <v>771659555.14285707</v>
      </c>
      <c r="K1103" s="27">
        <f>K523*IF($E1103="weekday",INDEX('Category Mapping'!$F$28:$F$39,MATCH('Summarized Source Data'!$A1103,'Category Mapping'!$A$28:$A$39,0),1),INDEX('Category Mapping'!$E$28:$E$39,MATCH($A1103,'Category Mapping'!$A$28:$A$39,0),1))</f>
        <v>771659555.14285707</v>
      </c>
      <c r="L1103" s="27">
        <f>L523*IF($E1103="weekday",INDEX('Category Mapping'!$F$28:$F$39,MATCH('Summarized Source Data'!$A1103,'Category Mapping'!$A$28:$A$39,0),1),INDEX('Category Mapping'!$E$28:$E$39,MATCH($A1103,'Category Mapping'!$A$28:$A$39,0),1))</f>
        <v>31128295.714285709</v>
      </c>
      <c r="M1103" s="27">
        <f>M523*IF($E1103="weekday",INDEX('Category Mapping'!$F$28:$F$39,MATCH('Summarized Source Data'!$A1103,'Category Mapping'!$A$28:$A$39,0),1),INDEX('Category Mapping'!$E$28:$E$39,MATCH($A1103,'Category Mapping'!$A$28:$A$39,0),1))</f>
        <v>9233757.4285714272</v>
      </c>
      <c r="N1103" s="27">
        <f>N523*IF($E1103="weekday",INDEX('Category Mapping'!$F$28:$F$39,MATCH('Summarized Source Data'!$A1103,'Category Mapping'!$A$28:$A$39,0),1),INDEX('Category Mapping'!$E$28:$E$39,MATCH($A1103,'Category Mapping'!$A$28:$A$39,0),1))</f>
        <v>0</v>
      </c>
      <c r="O1103" s="27">
        <f>O523*IF($E1103="weekday",INDEX('Category Mapping'!$F$28:$F$39,MATCH('Summarized Source Data'!$A1103,'Category Mapping'!$A$28:$A$39,0),1),INDEX('Category Mapping'!$E$28:$E$39,MATCH($A1103,'Category Mapping'!$A$28:$A$39,0),1))</f>
        <v>951637946.85714269</v>
      </c>
      <c r="P1103" s="27">
        <f>P523*IF($E1103="weekday",INDEX('Category Mapping'!$F$28:$F$39,MATCH('Summarized Source Data'!$A1103,'Category Mapping'!$A$28:$A$39,0),1),INDEX('Category Mapping'!$E$28:$E$39,MATCH($A1103,'Category Mapping'!$A$28:$A$39,0),1))</f>
        <v>951637946.85714269</v>
      </c>
      <c r="Q1103" s="27">
        <f>Q523*IF($E1103="weekday",INDEX('Category Mapping'!$F$28:$F$39,MATCH('Summarized Source Data'!$A1103,'Category Mapping'!$A$28:$A$39,0),1),INDEX('Category Mapping'!$E$28:$E$39,MATCH($A1103,'Category Mapping'!$A$28:$A$39,0),1))</f>
        <v>951637946.85714269</v>
      </c>
      <c r="R1103" s="27">
        <f>R523*IF($E1103="weekday",INDEX('Category Mapping'!$F$28:$F$39,MATCH('Summarized Source Data'!$A1103,'Category Mapping'!$A$28:$A$39,0),1),INDEX('Category Mapping'!$E$28:$E$39,MATCH($A1103,'Category Mapping'!$A$28:$A$39,0),1))</f>
        <v>47938630.285714276</v>
      </c>
      <c r="S1103" s="27">
        <f>S523*IF($E1103="weekday",INDEX('Category Mapping'!$F$28:$F$39,MATCH('Summarized Source Data'!$A1103,'Category Mapping'!$A$28:$A$39,0),1),INDEX('Category Mapping'!$E$28:$E$39,MATCH($A1103,'Category Mapping'!$A$28:$A$39,0),1))</f>
        <v>47938630.285714276</v>
      </c>
      <c r="T1103" s="27">
        <f>T523*IF($E1103="weekday",INDEX('Category Mapping'!$F$28:$F$39,MATCH('Summarized Source Data'!$A1103,'Category Mapping'!$A$28:$A$39,0),1),INDEX('Category Mapping'!$E$28:$E$39,MATCH($A1103,'Category Mapping'!$A$28:$A$39,0),1))</f>
        <v>47938630.285714276</v>
      </c>
      <c r="U1103" s="27">
        <f>U523*IF($E1103="weekday",INDEX('Category Mapping'!$F$28:$F$39,MATCH('Summarized Source Data'!$A1103,'Category Mapping'!$A$28:$A$39,0),1),INDEX('Category Mapping'!$E$28:$E$39,MATCH($A1103,'Category Mapping'!$A$28:$A$39,0),1))</f>
        <v>47938630.285714276</v>
      </c>
      <c r="V1103" s="27">
        <f>V523*IF($E1103="weekday",INDEX('Category Mapping'!$F$28:$F$39,MATCH('Summarized Source Data'!$A1103,'Category Mapping'!$A$28:$A$39,0),1),INDEX('Category Mapping'!$E$28:$E$39,MATCH($A1103,'Category Mapping'!$A$28:$A$39,0),1))</f>
        <v>47938630.285714276</v>
      </c>
      <c r="W1103" s="27">
        <f>W523*IF($E1103="weekday",INDEX('Category Mapping'!$F$28:$F$39,MATCH('Summarized Source Data'!$A1103,'Category Mapping'!$A$28:$A$39,0),1),INDEX('Category Mapping'!$E$28:$E$39,MATCH($A1103,'Category Mapping'!$A$28:$A$39,0),1))</f>
        <v>47938630.285714276</v>
      </c>
      <c r="X1103" s="27">
        <f>X523*IF($E1103="weekday",INDEX('Category Mapping'!$F$28:$F$39,MATCH('Summarized Source Data'!$A1103,'Category Mapping'!$A$28:$A$39,0),1),INDEX('Category Mapping'!$E$28:$E$39,MATCH($A1103,'Category Mapping'!$A$28:$A$39,0),1))</f>
        <v>3082285714.2857137</v>
      </c>
      <c r="Y1103" s="27">
        <f>Y523*IF($E1103="weekday",INDEX('Category Mapping'!$F$28:$F$39,MATCH('Summarized Source Data'!$A1103,'Category Mapping'!$A$28:$A$39,0),1),INDEX('Category Mapping'!$E$28:$E$39,MATCH($A1103,'Category Mapping'!$A$28:$A$39,0),1))</f>
        <v>3082285714.2857137</v>
      </c>
      <c r="Z1103" s="27">
        <f>Z523*IF($E1103="weekday",INDEX('Category Mapping'!$F$28:$F$39,MATCH('Summarized Source Data'!$A1103,'Category Mapping'!$A$28:$A$39,0),1),INDEX('Category Mapping'!$E$28:$E$39,MATCH($A1103,'Category Mapping'!$A$28:$A$39,0),1))</f>
        <v>3082285714.2857137</v>
      </c>
    </row>
    <row r="1104" spans="1:26" outlineLevel="1" x14ac:dyDescent="0.3">
      <c r="A1104">
        <f t="shared" ref="A1104:E1104" si="569">A524</f>
        <v>10</v>
      </c>
      <c r="B1104" t="str">
        <f t="shared" si="569"/>
        <v>Fall</v>
      </c>
      <c r="C1104" t="str">
        <f t="shared" si="569"/>
        <v>h17</v>
      </c>
      <c r="D1104" t="str">
        <f t="shared" si="569"/>
        <v>Hour16</v>
      </c>
      <c r="E1104" t="str">
        <f t="shared" si="569"/>
        <v>Weekend</v>
      </c>
      <c r="F1104" s="27">
        <f>F524*IF($E1104="weekday",INDEX('Category Mapping'!$F$28:$F$39,MATCH('Summarized Source Data'!$A1104,'Category Mapping'!$A$28:$A$39,0),1),INDEX('Category Mapping'!$E$28:$E$39,MATCH($A1104,'Category Mapping'!$A$28:$A$39,0),1))</f>
        <v>26336731.999999996</v>
      </c>
      <c r="G1104" s="27">
        <f>G524*IF($E1104="weekday",INDEX('Category Mapping'!$F$28:$F$39,MATCH('Summarized Source Data'!$A1104,'Category Mapping'!$A$28:$A$39,0),1),INDEX('Category Mapping'!$E$28:$E$39,MATCH($A1104,'Category Mapping'!$A$28:$A$39,0),1))</f>
        <v>5736160.2857142845</v>
      </c>
      <c r="H1104" s="27">
        <f>H524*IF($E1104="weekday",INDEX('Category Mapping'!$F$28:$F$39,MATCH('Summarized Source Data'!$A1104,'Category Mapping'!$A$28:$A$39,0),1),INDEX('Category Mapping'!$E$28:$E$39,MATCH($A1104,'Category Mapping'!$A$28:$A$39,0),1))</f>
        <v>0</v>
      </c>
      <c r="I1104" s="27">
        <f>I524*IF($E1104="weekday",INDEX('Category Mapping'!$F$28:$F$39,MATCH('Summarized Source Data'!$A1104,'Category Mapping'!$A$28:$A$39,0),1),INDEX('Category Mapping'!$E$28:$E$39,MATCH($A1104,'Category Mapping'!$A$28:$A$39,0),1))</f>
        <v>91228571.428571418</v>
      </c>
      <c r="J1104" s="27">
        <f>J524*IF($E1104="weekday",INDEX('Category Mapping'!$F$28:$F$39,MATCH('Summarized Source Data'!$A1104,'Category Mapping'!$A$28:$A$39,0),1),INDEX('Category Mapping'!$E$28:$E$39,MATCH($A1104,'Category Mapping'!$A$28:$A$39,0),1))</f>
        <v>824412821.99999988</v>
      </c>
      <c r="K1104" s="27">
        <f>K524*IF($E1104="weekday",INDEX('Category Mapping'!$F$28:$F$39,MATCH('Summarized Source Data'!$A1104,'Category Mapping'!$A$28:$A$39,0),1),INDEX('Category Mapping'!$E$28:$E$39,MATCH($A1104,'Category Mapping'!$A$28:$A$39,0),1))</f>
        <v>824412821.99999988</v>
      </c>
      <c r="L1104" s="27">
        <f>L524*IF($E1104="weekday",INDEX('Category Mapping'!$F$28:$F$39,MATCH('Summarized Source Data'!$A1104,'Category Mapping'!$A$28:$A$39,0),1),INDEX('Category Mapping'!$E$28:$E$39,MATCH($A1104,'Category Mapping'!$A$28:$A$39,0),1))</f>
        <v>31752803.999999996</v>
      </c>
      <c r="M1104" s="27">
        <f>M524*IF($E1104="weekday",INDEX('Category Mapping'!$F$28:$F$39,MATCH('Summarized Source Data'!$A1104,'Category Mapping'!$A$28:$A$39,0),1),INDEX('Category Mapping'!$E$28:$E$39,MATCH($A1104,'Category Mapping'!$A$28:$A$39,0),1))</f>
        <v>8753797.7142857127</v>
      </c>
      <c r="N1104" s="27">
        <f>N524*IF($E1104="weekday",INDEX('Category Mapping'!$F$28:$F$39,MATCH('Summarized Source Data'!$A1104,'Category Mapping'!$A$28:$A$39,0),1),INDEX('Category Mapping'!$E$28:$E$39,MATCH($A1104,'Category Mapping'!$A$28:$A$39,0),1))</f>
        <v>0</v>
      </c>
      <c r="O1104" s="27">
        <f>O524*IF($E1104="weekday",INDEX('Category Mapping'!$F$28:$F$39,MATCH('Summarized Source Data'!$A1104,'Category Mapping'!$A$28:$A$39,0),1),INDEX('Category Mapping'!$E$28:$E$39,MATCH($A1104,'Category Mapping'!$A$28:$A$39,0),1))</f>
        <v>907207683.99999988</v>
      </c>
      <c r="P1104" s="27">
        <f>P524*IF($E1104="weekday",INDEX('Category Mapping'!$F$28:$F$39,MATCH('Summarized Source Data'!$A1104,'Category Mapping'!$A$28:$A$39,0),1),INDEX('Category Mapping'!$E$28:$E$39,MATCH($A1104,'Category Mapping'!$A$28:$A$39,0),1))</f>
        <v>907207683.99999988</v>
      </c>
      <c r="Q1104" s="27">
        <f>Q524*IF($E1104="weekday",INDEX('Category Mapping'!$F$28:$F$39,MATCH('Summarized Source Data'!$A1104,'Category Mapping'!$A$28:$A$39,0),1),INDEX('Category Mapping'!$E$28:$E$39,MATCH($A1104,'Category Mapping'!$A$28:$A$39,0),1))</f>
        <v>907207683.99999988</v>
      </c>
      <c r="R1104" s="27">
        <f>R524*IF($E1104="weekday",INDEX('Category Mapping'!$F$28:$F$39,MATCH('Summarized Source Data'!$A1104,'Category Mapping'!$A$28:$A$39,0),1),INDEX('Category Mapping'!$E$28:$E$39,MATCH($A1104,'Category Mapping'!$A$28:$A$39,0),1))</f>
        <v>54936951.142857134</v>
      </c>
      <c r="S1104" s="27">
        <f>S524*IF($E1104="weekday",INDEX('Category Mapping'!$F$28:$F$39,MATCH('Summarized Source Data'!$A1104,'Category Mapping'!$A$28:$A$39,0),1),INDEX('Category Mapping'!$E$28:$E$39,MATCH($A1104,'Category Mapping'!$A$28:$A$39,0),1))</f>
        <v>54936951.142857134</v>
      </c>
      <c r="T1104" s="27">
        <f>T524*IF($E1104="weekday",INDEX('Category Mapping'!$F$28:$F$39,MATCH('Summarized Source Data'!$A1104,'Category Mapping'!$A$28:$A$39,0),1),INDEX('Category Mapping'!$E$28:$E$39,MATCH($A1104,'Category Mapping'!$A$28:$A$39,0),1))</f>
        <v>54936951.142857134</v>
      </c>
      <c r="U1104" s="27">
        <f>U524*IF($E1104="weekday",INDEX('Category Mapping'!$F$28:$F$39,MATCH('Summarized Source Data'!$A1104,'Category Mapping'!$A$28:$A$39,0),1),INDEX('Category Mapping'!$E$28:$E$39,MATCH($A1104,'Category Mapping'!$A$28:$A$39,0),1))</f>
        <v>54936951.142857134</v>
      </c>
      <c r="V1104" s="27">
        <f>V524*IF($E1104="weekday",INDEX('Category Mapping'!$F$28:$F$39,MATCH('Summarized Source Data'!$A1104,'Category Mapping'!$A$28:$A$39,0),1),INDEX('Category Mapping'!$E$28:$E$39,MATCH($A1104,'Category Mapping'!$A$28:$A$39,0),1))</f>
        <v>54936951.142857134</v>
      </c>
      <c r="W1104" s="27">
        <f>W524*IF($E1104="weekday",INDEX('Category Mapping'!$F$28:$F$39,MATCH('Summarized Source Data'!$A1104,'Category Mapping'!$A$28:$A$39,0),1),INDEX('Category Mapping'!$E$28:$E$39,MATCH($A1104,'Category Mapping'!$A$28:$A$39,0),1))</f>
        <v>54936951.142857134</v>
      </c>
      <c r="X1104" s="27">
        <f>X524*IF($E1104="weekday",INDEX('Category Mapping'!$F$28:$F$39,MATCH('Summarized Source Data'!$A1104,'Category Mapping'!$A$28:$A$39,0),1),INDEX('Category Mapping'!$E$28:$E$39,MATCH($A1104,'Category Mapping'!$A$28:$A$39,0),1))</f>
        <v>3117714285.7142854</v>
      </c>
      <c r="Y1104" s="27">
        <f>Y524*IF($E1104="weekday",INDEX('Category Mapping'!$F$28:$F$39,MATCH('Summarized Source Data'!$A1104,'Category Mapping'!$A$28:$A$39,0),1),INDEX('Category Mapping'!$E$28:$E$39,MATCH($A1104,'Category Mapping'!$A$28:$A$39,0),1))</f>
        <v>3117714285.7142854</v>
      </c>
      <c r="Z1104" s="27">
        <f>Z524*IF($E1104="weekday",INDEX('Category Mapping'!$F$28:$F$39,MATCH('Summarized Source Data'!$A1104,'Category Mapping'!$A$28:$A$39,0),1),INDEX('Category Mapping'!$E$28:$E$39,MATCH($A1104,'Category Mapping'!$A$28:$A$39,0),1))</f>
        <v>3117714285.7142854</v>
      </c>
    </row>
    <row r="1105" spans="1:26" outlineLevel="1" x14ac:dyDescent="0.3">
      <c r="A1105">
        <f t="shared" ref="A1105:E1105" si="570">A525</f>
        <v>10</v>
      </c>
      <c r="B1105" t="str">
        <f t="shared" si="570"/>
        <v>Fall</v>
      </c>
      <c r="C1105" t="str">
        <f t="shared" si="570"/>
        <v>h18</v>
      </c>
      <c r="D1105" t="str">
        <f t="shared" si="570"/>
        <v>Hour17</v>
      </c>
      <c r="E1105" t="str">
        <f t="shared" si="570"/>
        <v>Weekend</v>
      </c>
      <c r="F1105" s="27">
        <f>F525*IF($E1105="weekday",INDEX('Category Mapping'!$F$28:$F$39,MATCH('Summarized Source Data'!$A1105,'Category Mapping'!$A$28:$A$39,0),1),INDEX('Category Mapping'!$E$28:$E$39,MATCH($A1105,'Category Mapping'!$A$28:$A$39,0),1))</f>
        <v>27167071.428571425</v>
      </c>
      <c r="G1105" s="27">
        <f>G525*IF($E1105="weekday",INDEX('Category Mapping'!$F$28:$F$39,MATCH('Summarized Source Data'!$A1105,'Category Mapping'!$A$28:$A$39,0),1),INDEX('Category Mapping'!$E$28:$E$39,MATCH($A1105,'Category Mapping'!$A$28:$A$39,0),1))</f>
        <v>2620421.1428571423</v>
      </c>
      <c r="H1105" s="27">
        <f>H525*IF($E1105="weekday",INDEX('Category Mapping'!$F$28:$F$39,MATCH('Summarized Source Data'!$A1105,'Category Mapping'!$A$28:$A$39,0),1),INDEX('Category Mapping'!$E$28:$E$39,MATCH($A1105,'Category Mapping'!$A$28:$A$39,0),1))</f>
        <v>0</v>
      </c>
      <c r="I1105" s="27">
        <f>I525*IF($E1105="weekday",INDEX('Category Mapping'!$F$28:$F$39,MATCH('Summarized Source Data'!$A1105,'Category Mapping'!$A$28:$A$39,0),1),INDEX('Category Mapping'!$E$28:$E$39,MATCH($A1105,'Category Mapping'!$A$28:$A$39,0),1))</f>
        <v>259514285.71428567</v>
      </c>
      <c r="J1105" s="27">
        <f>J525*IF($E1105="weekday",INDEX('Category Mapping'!$F$28:$F$39,MATCH('Summarized Source Data'!$A1105,'Category Mapping'!$A$28:$A$39,0),1),INDEX('Category Mapping'!$E$28:$E$39,MATCH($A1105,'Category Mapping'!$A$28:$A$39,0),1))</f>
        <v>826698221.71428561</v>
      </c>
      <c r="K1105" s="27">
        <f>K525*IF($E1105="weekday",INDEX('Category Mapping'!$F$28:$F$39,MATCH('Summarized Source Data'!$A1105,'Category Mapping'!$A$28:$A$39,0),1),INDEX('Category Mapping'!$E$28:$E$39,MATCH($A1105,'Category Mapping'!$A$28:$A$39,0),1))</f>
        <v>826698221.71428561</v>
      </c>
      <c r="L1105" s="27">
        <f>L525*IF($E1105="weekday",INDEX('Category Mapping'!$F$28:$F$39,MATCH('Summarized Source Data'!$A1105,'Category Mapping'!$A$28:$A$39,0),1),INDEX('Category Mapping'!$E$28:$E$39,MATCH($A1105,'Category Mapping'!$A$28:$A$39,0),1))</f>
        <v>36813527.428571425</v>
      </c>
      <c r="M1105" s="27">
        <f>M525*IF($E1105="weekday",INDEX('Category Mapping'!$F$28:$F$39,MATCH('Summarized Source Data'!$A1105,'Category Mapping'!$A$28:$A$39,0),1),INDEX('Category Mapping'!$E$28:$E$39,MATCH($A1105,'Category Mapping'!$A$28:$A$39,0),1))</f>
        <v>8018787.7142857127</v>
      </c>
      <c r="N1105" s="27">
        <f>N525*IF($E1105="weekday",INDEX('Category Mapping'!$F$28:$F$39,MATCH('Summarized Source Data'!$A1105,'Category Mapping'!$A$28:$A$39,0),1),INDEX('Category Mapping'!$E$28:$E$39,MATCH($A1105,'Category Mapping'!$A$28:$A$39,0),1))</f>
        <v>0</v>
      </c>
      <c r="O1105" s="27">
        <f>O525*IF($E1105="weekday",INDEX('Category Mapping'!$F$28:$F$39,MATCH('Summarized Source Data'!$A1105,'Category Mapping'!$A$28:$A$39,0),1),INDEX('Category Mapping'!$E$28:$E$39,MATCH($A1105,'Category Mapping'!$A$28:$A$39,0),1))</f>
        <v>920596256.28571415</v>
      </c>
      <c r="P1105" s="27">
        <f>P525*IF($E1105="weekday",INDEX('Category Mapping'!$F$28:$F$39,MATCH('Summarized Source Data'!$A1105,'Category Mapping'!$A$28:$A$39,0),1),INDEX('Category Mapping'!$E$28:$E$39,MATCH($A1105,'Category Mapping'!$A$28:$A$39,0),1))</f>
        <v>920596256.28571415</v>
      </c>
      <c r="Q1105" s="27">
        <f>Q525*IF($E1105="weekday",INDEX('Category Mapping'!$F$28:$F$39,MATCH('Summarized Source Data'!$A1105,'Category Mapping'!$A$28:$A$39,0),1),INDEX('Category Mapping'!$E$28:$E$39,MATCH($A1105,'Category Mapping'!$A$28:$A$39,0),1))</f>
        <v>920596256.28571415</v>
      </c>
      <c r="R1105" s="27">
        <f>R525*IF($E1105="weekday",INDEX('Category Mapping'!$F$28:$F$39,MATCH('Summarized Source Data'!$A1105,'Category Mapping'!$A$28:$A$39,0),1),INDEX('Category Mapping'!$E$28:$E$39,MATCH($A1105,'Category Mapping'!$A$28:$A$39,0),1))</f>
        <v>54988818.571428567</v>
      </c>
      <c r="S1105" s="27">
        <f>S525*IF($E1105="weekday",INDEX('Category Mapping'!$F$28:$F$39,MATCH('Summarized Source Data'!$A1105,'Category Mapping'!$A$28:$A$39,0),1),INDEX('Category Mapping'!$E$28:$E$39,MATCH($A1105,'Category Mapping'!$A$28:$A$39,0),1))</f>
        <v>54988818.571428567</v>
      </c>
      <c r="T1105" s="27">
        <f>T525*IF($E1105="weekday",INDEX('Category Mapping'!$F$28:$F$39,MATCH('Summarized Source Data'!$A1105,'Category Mapping'!$A$28:$A$39,0),1),INDEX('Category Mapping'!$E$28:$E$39,MATCH($A1105,'Category Mapping'!$A$28:$A$39,0),1))</f>
        <v>54988818.571428567</v>
      </c>
      <c r="U1105" s="27">
        <f>U525*IF($E1105="weekday",INDEX('Category Mapping'!$F$28:$F$39,MATCH('Summarized Source Data'!$A1105,'Category Mapping'!$A$28:$A$39,0),1),INDEX('Category Mapping'!$E$28:$E$39,MATCH($A1105,'Category Mapping'!$A$28:$A$39,0),1))</f>
        <v>54988818.571428567</v>
      </c>
      <c r="V1105" s="27">
        <f>V525*IF($E1105="weekday",INDEX('Category Mapping'!$F$28:$F$39,MATCH('Summarized Source Data'!$A1105,'Category Mapping'!$A$28:$A$39,0),1),INDEX('Category Mapping'!$E$28:$E$39,MATCH($A1105,'Category Mapping'!$A$28:$A$39,0),1))</f>
        <v>54988818.571428567</v>
      </c>
      <c r="W1105" s="27">
        <f>W525*IF($E1105="weekday",INDEX('Category Mapping'!$F$28:$F$39,MATCH('Summarized Source Data'!$A1105,'Category Mapping'!$A$28:$A$39,0),1),INDEX('Category Mapping'!$E$28:$E$39,MATCH($A1105,'Category Mapping'!$A$28:$A$39,0),1))</f>
        <v>54988818.571428567</v>
      </c>
      <c r="X1105" s="27">
        <f>X525*IF($E1105="weekday",INDEX('Category Mapping'!$F$28:$F$39,MATCH('Summarized Source Data'!$A1105,'Category Mapping'!$A$28:$A$39,0),1),INDEX('Category Mapping'!$E$28:$E$39,MATCH($A1105,'Category Mapping'!$A$28:$A$39,0),1))</f>
        <v>3126571428.5714283</v>
      </c>
      <c r="Y1105" s="27">
        <f>Y525*IF($E1105="weekday",INDEX('Category Mapping'!$F$28:$F$39,MATCH('Summarized Source Data'!$A1105,'Category Mapping'!$A$28:$A$39,0),1),INDEX('Category Mapping'!$E$28:$E$39,MATCH($A1105,'Category Mapping'!$A$28:$A$39,0),1))</f>
        <v>3126571428.5714283</v>
      </c>
      <c r="Z1105" s="27">
        <f>Z525*IF($E1105="weekday",INDEX('Category Mapping'!$F$28:$F$39,MATCH('Summarized Source Data'!$A1105,'Category Mapping'!$A$28:$A$39,0),1),INDEX('Category Mapping'!$E$28:$E$39,MATCH($A1105,'Category Mapping'!$A$28:$A$39,0),1))</f>
        <v>3126571428.5714283</v>
      </c>
    </row>
    <row r="1106" spans="1:26" outlineLevel="1" x14ac:dyDescent="0.3">
      <c r="A1106">
        <f t="shared" ref="A1106:E1106" si="571">A526</f>
        <v>10</v>
      </c>
      <c r="B1106" t="str">
        <f t="shared" si="571"/>
        <v>Fall</v>
      </c>
      <c r="C1106" t="str">
        <f t="shared" si="571"/>
        <v>h19</v>
      </c>
      <c r="D1106" t="str">
        <f t="shared" si="571"/>
        <v>Hour18</v>
      </c>
      <c r="E1106" t="str">
        <f t="shared" si="571"/>
        <v>Weekend</v>
      </c>
      <c r="F1106" s="27">
        <f>F526*IF($E1106="weekday",INDEX('Category Mapping'!$F$28:$F$39,MATCH('Summarized Source Data'!$A1106,'Category Mapping'!$A$28:$A$39,0),1),INDEX('Category Mapping'!$E$28:$E$39,MATCH($A1106,'Category Mapping'!$A$28:$A$39,0),1))</f>
        <v>28156919.142857138</v>
      </c>
      <c r="G1106" s="27">
        <f>G526*IF($E1106="weekday",INDEX('Category Mapping'!$F$28:$F$39,MATCH('Summarized Source Data'!$A1106,'Category Mapping'!$A$28:$A$39,0),1),INDEX('Category Mapping'!$E$28:$E$39,MATCH($A1106,'Category Mapping'!$A$28:$A$39,0),1))</f>
        <v>491341.14285714278</v>
      </c>
      <c r="H1106" s="27">
        <f>H526*IF($E1106="weekday",INDEX('Category Mapping'!$F$28:$F$39,MATCH('Summarized Source Data'!$A1106,'Category Mapping'!$A$28:$A$39,0),1),INDEX('Category Mapping'!$E$28:$E$39,MATCH($A1106,'Category Mapping'!$A$28:$A$39,0),1))</f>
        <v>0</v>
      </c>
      <c r="I1106" s="27">
        <f>I526*IF($E1106="weekday",INDEX('Category Mapping'!$F$28:$F$39,MATCH('Summarized Source Data'!$A1106,'Category Mapping'!$A$28:$A$39,0),1),INDEX('Category Mapping'!$E$28:$E$39,MATCH($A1106,'Category Mapping'!$A$28:$A$39,0),1))</f>
        <v>273685714.28571427</v>
      </c>
      <c r="J1106" s="27">
        <f>J526*IF($E1106="weekday",INDEX('Category Mapping'!$F$28:$F$39,MATCH('Summarized Source Data'!$A1106,'Category Mapping'!$A$28:$A$39,0),1),INDEX('Category Mapping'!$E$28:$E$39,MATCH($A1106,'Category Mapping'!$A$28:$A$39,0),1))</f>
        <v>804808882.57142842</v>
      </c>
      <c r="K1106" s="27">
        <f>K526*IF($E1106="weekday",INDEX('Category Mapping'!$F$28:$F$39,MATCH('Summarized Source Data'!$A1106,'Category Mapping'!$A$28:$A$39,0),1),INDEX('Category Mapping'!$E$28:$E$39,MATCH($A1106,'Category Mapping'!$A$28:$A$39,0),1))</f>
        <v>804808882.57142842</v>
      </c>
      <c r="L1106" s="27">
        <f>L526*IF($E1106="weekday",INDEX('Category Mapping'!$F$28:$F$39,MATCH('Summarized Source Data'!$A1106,'Category Mapping'!$A$28:$A$39,0),1),INDEX('Category Mapping'!$E$28:$E$39,MATCH($A1106,'Category Mapping'!$A$28:$A$39,0),1))</f>
        <v>33728053.142857134</v>
      </c>
      <c r="M1106" s="27">
        <f>M526*IF($E1106="weekday",INDEX('Category Mapping'!$F$28:$F$39,MATCH('Summarized Source Data'!$A1106,'Category Mapping'!$A$28:$A$39,0),1),INDEX('Category Mapping'!$E$28:$E$39,MATCH($A1106,'Category Mapping'!$A$28:$A$39,0),1))</f>
        <v>7502814.8571428563</v>
      </c>
      <c r="N1106" s="27">
        <f>N526*IF($E1106="weekday",INDEX('Category Mapping'!$F$28:$F$39,MATCH('Summarized Source Data'!$A1106,'Category Mapping'!$A$28:$A$39,0),1),INDEX('Category Mapping'!$E$28:$E$39,MATCH($A1106,'Category Mapping'!$A$28:$A$39,0),1))</f>
        <v>0</v>
      </c>
      <c r="O1106" s="27">
        <f>O526*IF($E1106="weekday",INDEX('Category Mapping'!$F$28:$F$39,MATCH('Summarized Source Data'!$A1106,'Category Mapping'!$A$28:$A$39,0),1),INDEX('Category Mapping'!$E$28:$E$39,MATCH($A1106,'Category Mapping'!$A$28:$A$39,0),1))</f>
        <v>906483417.71428561</v>
      </c>
      <c r="P1106" s="27">
        <f>P526*IF($E1106="weekday",INDEX('Category Mapping'!$F$28:$F$39,MATCH('Summarized Source Data'!$A1106,'Category Mapping'!$A$28:$A$39,0),1),INDEX('Category Mapping'!$E$28:$E$39,MATCH($A1106,'Category Mapping'!$A$28:$A$39,0),1))</f>
        <v>906483417.71428561</v>
      </c>
      <c r="Q1106" s="27">
        <f>Q526*IF($E1106="weekday",INDEX('Category Mapping'!$F$28:$F$39,MATCH('Summarized Source Data'!$A1106,'Category Mapping'!$A$28:$A$39,0),1),INDEX('Category Mapping'!$E$28:$E$39,MATCH($A1106,'Category Mapping'!$A$28:$A$39,0),1))</f>
        <v>906483417.71428561</v>
      </c>
      <c r="R1106" s="27">
        <f>R526*IF($E1106="weekday",INDEX('Category Mapping'!$F$28:$F$39,MATCH('Summarized Source Data'!$A1106,'Category Mapping'!$A$28:$A$39,0),1),INDEX('Category Mapping'!$E$28:$E$39,MATCH($A1106,'Category Mapping'!$A$28:$A$39,0),1))</f>
        <v>54625773.142857134</v>
      </c>
      <c r="S1106" s="27">
        <f>S526*IF($E1106="weekday",INDEX('Category Mapping'!$F$28:$F$39,MATCH('Summarized Source Data'!$A1106,'Category Mapping'!$A$28:$A$39,0),1),INDEX('Category Mapping'!$E$28:$E$39,MATCH($A1106,'Category Mapping'!$A$28:$A$39,0),1))</f>
        <v>54625773.142857134</v>
      </c>
      <c r="T1106" s="27">
        <f>T526*IF($E1106="weekday",INDEX('Category Mapping'!$F$28:$F$39,MATCH('Summarized Source Data'!$A1106,'Category Mapping'!$A$28:$A$39,0),1),INDEX('Category Mapping'!$E$28:$E$39,MATCH($A1106,'Category Mapping'!$A$28:$A$39,0),1))</f>
        <v>54625773.142857134</v>
      </c>
      <c r="U1106" s="27">
        <f>U526*IF($E1106="weekday",INDEX('Category Mapping'!$F$28:$F$39,MATCH('Summarized Source Data'!$A1106,'Category Mapping'!$A$28:$A$39,0),1),INDEX('Category Mapping'!$E$28:$E$39,MATCH($A1106,'Category Mapping'!$A$28:$A$39,0),1))</f>
        <v>54625773.142857134</v>
      </c>
      <c r="V1106" s="27">
        <f>V526*IF($E1106="weekday",INDEX('Category Mapping'!$F$28:$F$39,MATCH('Summarized Source Data'!$A1106,'Category Mapping'!$A$28:$A$39,0),1),INDEX('Category Mapping'!$E$28:$E$39,MATCH($A1106,'Category Mapping'!$A$28:$A$39,0),1))</f>
        <v>54625773.142857134</v>
      </c>
      <c r="W1106" s="27">
        <f>W526*IF($E1106="weekday",INDEX('Category Mapping'!$F$28:$F$39,MATCH('Summarized Source Data'!$A1106,'Category Mapping'!$A$28:$A$39,0),1),INDEX('Category Mapping'!$E$28:$E$39,MATCH($A1106,'Category Mapping'!$A$28:$A$39,0),1))</f>
        <v>54625773.142857134</v>
      </c>
      <c r="X1106" s="27">
        <f>X526*IF($E1106="weekday",INDEX('Category Mapping'!$F$28:$F$39,MATCH('Summarized Source Data'!$A1106,'Category Mapping'!$A$28:$A$39,0),1),INDEX('Category Mapping'!$E$28:$E$39,MATCH($A1106,'Category Mapping'!$A$28:$A$39,0),1))</f>
        <v>3117714285.7142854</v>
      </c>
      <c r="Y1106" s="27">
        <f>Y526*IF($E1106="weekday",INDEX('Category Mapping'!$F$28:$F$39,MATCH('Summarized Source Data'!$A1106,'Category Mapping'!$A$28:$A$39,0),1),INDEX('Category Mapping'!$E$28:$E$39,MATCH($A1106,'Category Mapping'!$A$28:$A$39,0),1))</f>
        <v>3117714285.7142854</v>
      </c>
      <c r="Z1106" s="27">
        <f>Z526*IF($E1106="weekday",INDEX('Category Mapping'!$F$28:$F$39,MATCH('Summarized Source Data'!$A1106,'Category Mapping'!$A$28:$A$39,0),1),INDEX('Category Mapping'!$E$28:$E$39,MATCH($A1106,'Category Mapping'!$A$28:$A$39,0),1))</f>
        <v>3117714285.7142854</v>
      </c>
    </row>
    <row r="1107" spans="1:26" outlineLevel="1" x14ac:dyDescent="0.3">
      <c r="A1107">
        <f t="shared" ref="A1107:E1107" si="572">A527</f>
        <v>10</v>
      </c>
      <c r="B1107" t="str">
        <f t="shared" si="572"/>
        <v>Fall</v>
      </c>
      <c r="C1107" t="str">
        <f t="shared" si="572"/>
        <v>h20</v>
      </c>
      <c r="D1107" t="str">
        <f t="shared" si="572"/>
        <v>Hour19</v>
      </c>
      <c r="E1107" t="str">
        <f t="shared" si="572"/>
        <v>Weekend</v>
      </c>
      <c r="F1107" s="27">
        <f>F527*IF($E1107="weekday",INDEX('Category Mapping'!$F$28:$F$39,MATCH('Summarized Source Data'!$A1107,'Category Mapping'!$A$28:$A$39,0),1),INDEX('Category Mapping'!$E$28:$E$39,MATCH($A1107,'Category Mapping'!$A$28:$A$39,0),1))</f>
        <v>29036406.857142854</v>
      </c>
      <c r="G1107" s="27">
        <f>G527*IF($E1107="weekday",INDEX('Category Mapping'!$F$28:$F$39,MATCH('Summarized Source Data'!$A1107,'Category Mapping'!$A$28:$A$39,0),1),INDEX('Category Mapping'!$E$28:$E$39,MATCH($A1107,'Category Mapping'!$A$28:$A$39,0),1))</f>
        <v>79758.57142857142</v>
      </c>
      <c r="H1107" s="27">
        <f>H527*IF($E1107="weekday",INDEX('Category Mapping'!$F$28:$F$39,MATCH('Summarized Source Data'!$A1107,'Category Mapping'!$A$28:$A$39,0),1),INDEX('Category Mapping'!$E$28:$E$39,MATCH($A1107,'Category Mapping'!$A$28:$A$39,0),1))</f>
        <v>0</v>
      </c>
      <c r="I1107" s="27">
        <f>I527*IF($E1107="weekday",INDEX('Category Mapping'!$F$28:$F$39,MATCH('Summarized Source Data'!$A1107,'Category Mapping'!$A$28:$A$39,0),1),INDEX('Category Mapping'!$E$28:$E$39,MATCH($A1107,'Category Mapping'!$A$28:$A$39,0),1))</f>
        <v>286971428.57142854</v>
      </c>
      <c r="J1107" s="27">
        <f>J527*IF($E1107="weekday",INDEX('Category Mapping'!$F$28:$F$39,MATCH('Summarized Source Data'!$A1107,'Category Mapping'!$A$28:$A$39,0),1),INDEX('Category Mapping'!$E$28:$E$39,MATCH($A1107,'Category Mapping'!$A$28:$A$39,0),1))</f>
        <v>737912405.99999988</v>
      </c>
      <c r="K1107" s="27">
        <f>K527*IF($E1107="weekday",INDEX('Category Mapping'!$F$28:$F$39,MATCH('Summarized Source Data'!$A1107,'Category Mapping'!$A$28:$A$39,0),1),INDEX('Category Mapping'!$E$28:$E$39,MATCH($A1107,'Category Mapping'!$A$28:$A$39,0),1))</f>
        <v>737912405.99999988</v>
      </c>
      <c r="L1107" s="27">
        <f>L527*IF($E1107="weekday",INDEX('Category Mapping'!$F$28:$F$39,MATCH('Summarized Source Data'!$A1107,'Category Mapping'!$A$28:$A$39,0),1),INDEX('Category Mapping'!$E$28:$E$39,MATCH($A1107,'Category Mapping'!$A$28:$A$39,0),1))</f>
        <v>36696639.714285709</v>
      </c>
      <c r="M1107" s="27">
        <f>M527*IF($E1107="weekday",INDEX('Category Mapping'!$F$28:$F$39,MATCH('Summarized Source Data'!$A1107,'Category Mapping'!$A$28:$A$39,0),1),INDEX('Category Mapping'!$E$28:$E$39,MATCH($A1107,'Category Mapping'!$A$28:$A$39,0),1))</f>
        <v>7206295.4285714272</v>
      </c>
      <c r="N1107" s="27">
        <f>N527*IF($E1107="weekday",INDEX('Category Mapping'!$F$28:$F$39,MATCH('Summarized Source Data'!$A1107,'Category Mapping'!$A$28:$A$39,0),1),INDEX('Category Mapping'!$E$28:$E$39,MATCH($A1107,'Category Mapping'!$A$28:$A$39,0),1))</f>
        <v>0</v>
      </c>
      <c r="O1107" s="27">
        <f>O527*IF($E1107="weekday",INDEX('Category Mapping'!$F$28:$F$39,MATCH('Summarized Source Data'!$A1107,'Category Mapping'!$A$28:$A$39,0),1),INDEX('Category Mapping'!$E$28:$E$39,MATCH($A1107,'Category Mapping'!$A$28:$A$39,0),1))</f>
        <v>886097064.85714269</v>
      </c>
      <c r="P1107" s="27">
        <f>P527*IF($E1107="weekday",INDEX('Category Mapping'!$F$28:$F$39,MATCH('Summarized Source Data'!$A1107,'Category Mapping'!$A$28:$A$39,0),1),INDEX('Category Mapping'!$E$28:$E$39,MATCH($A1107,'Category Mapping'!$A$28:$A$39,0),1))</f>
        <v>886097064.85714269</v>
      </c>
      <c r="Q1107" s="27">
        <f>Q527*IF($E1107="weekday",INDEX('Category Mapping'!$F$28:$F$39,MATCH('Summarized Source Data'!$A1107,'Category Mapping'!$A$28:$A$39,0),1),INDEX('Category Mapping'!$E$28:$E$39,MATCH($A1107,'Category Mapping'!$A$28:$A$39,0),1))</f>
        <v>886097064.85714269</v>
      </c>
      <c r="R1107" s="27">
        <f>R527*IF($E1107="weekday",INDEX('Category Mapping'!$F$28:$F$39,MATCH('Summarized Source Data'!$A1107,'Category Mapping'!$A$28:$A$39,0),1),INDEX('Category Mapping'!$E$28:$E$39,MATCH($A1107,'Category Mapping'!$A$28:$A$39,0),1))</f>
        <v>53432937.428571418</v>
      </c>
      <c r="S1107" s="27">
        <f>S527*IF($E1107="weekday",INDEX('Category Mapping'!$F$28:$F$39,MATCH('Summarized Source Data'!$A1107,'Category Mapping'!$A$28:$A$39,0),1),INDEX('Category Mapping'!$E$28:$E$39,MATCH($A1107,'Category Mapping'!$A$28:$A$39,0),1))</f>
        <v>53432937.428571418</v>
      </c>
      <c r="T1107" s="27">
        <f>T527*IF($E1107="weekday",INDEX('Category Mapping'!$F$28:$F$39,MATCH('Summarized Source Data'!$A1107,'Category Mapping'!$A$28:$A$39,0),1),INDEX('Category Mapping'!$E$28:$E$39,MATCH($A1107,'Category Mapping'!$A$28:$A$39,0),1))</f>
        <v>53432937.428571418</v>
      </c>
      <c r="U1107" s="27">
        <f>U527*IF($E1107="weekday",INDEX('Category Mapping'!$F$28:$F$39,MATCH('Summarized Source Data'!$A1107,'Category Mapping'!$A$28:$A$39,0),1),INDEX('Category Mapping'!$E$28:$E$39,MATCH($A1107,'Category Mapping'!$A$28:$A$39,0),1))</f>
        <v>53432937.428571418</v>
      </c>
      <c r="V1107" s="27">
        <f>V527*IF($E1107="weekday",INDEX('Category Mapping'!$F$28:$F$39,MATCH('Summarized Source Data'!$A1107,'Category Mapping'!$A$28:$A$39,0),1),INDEX('Category Mapping'!$E$28:$E$39,MATCH($A1107,'Category Mapping'!$A$28:$A$39,0),1))</f>
        <v>53432937.428571418</v>
      </c>
      <c r="W1107" s="27">
        <f>W527*IF($E1107="weekday",INDEX('Category Mapping'!$F$28:$F$39,MATCH('Summarized Source Data'!$A1107,'Category Mapping'!$A$28:$A$39,0),1),INDEX('Category Mapping'!$E$28:$E$39,MATCH($A1107,'Category Mapping'!$A$28:$A$39,0),1))</f>
        <v>53432937.428571418</v>
      </c>
      <c r="X1107" s="27">
        <f>X527*IF($E1107="weekday",INDEX('Category Mapping'!$F$28:$F$39,MATCH('Summarized Source Data'!$A1107,'Category Mapping'!$A$28:$A$39,0),1),INDEX('Category Mapping'!$E$28:$E$39,MATCH($A1107,'Category Mapping'!$A$28:$A$39,0),1))</f>
        <v>3099999999.9999995</v>
      </c>
      <c r="Y1107" s="27">
        <f>Y527*IF($E1107="weekday",INDEX('Category Mapping'!$F$28:$F$39,MATCH('Summarized Source Data'!$A1107,'Category Mapping'!$A$28:$A$39,0),1),INDEX('Category Mapping'!$E$28:$E$39,MATCH($A1107,'Category Mapping'!$A$28:$A$39,0),1))</f>
        <v>3099999999.9999995</v>
      </c>
      <c r="Z1107" s="27">
        <f>Z527*IF($E1107="weekday",INDEX('Category Mapping'!$F$28:$F$39,MATCH('Summarized Source Data'!$A1107,'Category Mapping'!$A$28:$A$39,0),1),INDEX('Category Mapping'!$E$28:$E$39,MATCH($A1107,'Category Mapping'!$A$28:$A$39,0),1))</f>
        <v>3099999999.9999995</v>
      </c>
    </row>
    <row r="1108" spans="1:26" outlineLevel="1" x14ac:dyDescent="0.3">
      <c r="A1108">
        <f t="shared" ref="A1108:E1108" si="573">A528</f>
        <v>10</v>
      </c>
      <c r="B1108" t="str">
        <f t="shared" si="573"/>
        <v>Fall</v>
      </c>
      <c r="C1108" t="str">
        <f t="shared" si="573"/>
        <v>h21</v>
      </c>
      <c r="D1108" t="str">
        <f t="shared" si="573"/>
        <v>Hour20</v>
      </c>
      <c r="E1108" t="str">
        <f t="shared" si="573"/>
        <v>Weekend</v>
      </c>
      <c r="F1108" s="27">
        <f>F528*IF($E1108="weekday",INDEX('Category Mapping'!$F$28:$F$39,MATCH('Summarized Source Data'!$A1108,'Category Mapping'!$A$28:$A$39,0),1),INDEX('Category Mapping'!$E$28:$E$39,MATCH($A1108,'Category Mapping'!$A$28:$A$39,0),1))</f>
        <v>28931405.428571425</v>
      </c>
      <c r="G1108" s="27">
        <f>G528*IF($E1108="weekday",INDEX('Category Mapping'!$F$28:$F$39,MATCH('Summarized Source Data'!$A1108,'Category Mapping'!$A$28:$A$39,0),1),INDEX('Category Mapping'!$E$28:$E$39,MATCH($A1108,'Category Mapping'!$A$28:$A$39,0),1))</f>
        <v>9317.7142857142844</v>
      </c>
      <c r="H1108" s="27">
        <f>H528*IF($E1108="weekday",INDEX('Category Mapping'!$F$28:$F$39,MATCH('Summarized Source Data'!$A1108,'Category Mapping'!$A$28:$A$39,0),1),INDEX('Category Mapping'!$E$28:$E$39,MATCH($A1108,'Category Mapping'!$A$28:$A$39,0),1))</f>
        <v>0</v>
      </c>
      <c r="I1108" s="27">
        <f>I528*IF($E1108="weekday",INDEX('Category Mapping'!$F$28:$F$39,MATCH('Summarized Source Data'!$A1108,'Category Mapping'!$A$28:$A$39,0),1),INDEX('Category Mapping'!$E$28:$E$39,MATCH($A1108,'Category Mapping'!$A$28:$A$39,0),1))</f>
        <v>285199999.99999994</v>
      </c>
      <c r="J1108" s="27">
        <f>J528*IF($E1108="weekday",INDEX('Category Mapping'!$F$28:$F$39,MATCH('Summarized Source Data'!$A1108,'Category Mapping'!$A$28:$A$39,0),1),INDEX('Category Mapping'!$E$28:$E$39,MATCH($A1108,'Category Mapping'!$A$28:$A$39,0),1))</f>
        <v>695573562.57142842</v>
      </c>
      <c r="K1108" s="27">
        <f>K528*IF($E1108="weekday",INDEX('Category Mapping'!$F$28:$F$39,MATCH('Summarized Source Data'!$A1108,'Category Mapping'!$A$28:$A$39,0),1),INDEX('Category Mapping'!$E$28:$E$39,MATCH($A1108,'Category Mapping'!$A$28:$A$39,0),1))</f>
        <v>695573562.57142842</v>
      </c>
      <c r="L1108" s="27">
        <f>L528*IF($E1108="weekday",INDEX('Category Mapping'!$F$28:$F$39,MATCH('Summarized Source Data'!$A1108,'Category Mapping'!$A$28:$A$39,0),1),INDEX('Category Mapping'!$E$28:$E$39,MATCH($A1108,'Category Mapping'!$A$28:$A$39,0),1))</f>
        <v>41612398.285714276</v>
      </c>
      <c r="M1108" s="27">
        <f>M528*IF($E1108="weekday",INDEX('Category Mapping'!$F$28:$F$39,MATCH('Summarized Source Data'!$A1108,'Category Mapping'!$A$28:$A$39,0),1),INDEX('Category Mapping'!$E$28:$E$39,MATCH($A1108,'Category Mapping'!$A$28:$A$39,0),1))</f>
        <v>7000481.9999999991</v>
      </c>
      <c r="N1108" s="27">
        <f>N528*IF($E1108="weekday",INDEX('Category Mapping'!$F$28:$F$39,MATCH('Summarized Source Data'!$A1108,'Category Mapping'!$A$28:$A$39,0),1),INDEX('Category Mapping'!$E$28:$E$39,MATCH($A1108,'Category Mapping'!$A$28:$A$39,0),1))</f>
        <v>0</v>
      </c>
      <c r="O1108" s="27">
        <f>O528*IF($E1108="weekday",INDEX('Category Mapping'!$F$28:$F$39,MATCH('Summarized Source Data'!$A1108,'Category Mapping'!$A$28:$A$39,0),1),INDEX('Category Mapping'!$E$28:$E$39,MATCH($A1108,'Category Mapping'!$A$28:$A$39,0),1))</f>
        <v>845958548.28571415</v>
      </c>
      <c r="P1108" s="27">
        <f>P528*IF($E1108="weekday",INDEX('Category Mapping'!$F$28:$F$39,MATCH('Summarized Source Data'!$A1108,'Category Mapping'!$A$28:$A$39,0),1),INDEX('Category Mapping'!$E$28:$E$39,MATCH($A1108,'Category Mapping'!$A$28:$A$39,0),1))</f>
        <v>845958548.28571415</v>
      </c>
      <c r="Q1108" s="27">
        <f>Q528*IF($E1108="weekday",INDEX('Category Mapping'!$F$28:$F$39,MATCH('Summarized Source Data'!$A1108,'Category Mapping'!$A$28:$A$39,0),1),INDEX('Category Mapping'!$E$28:$E$39,MATCH($A1108,'Category Mapping'!$A$28:$A$39,0),1))</f>
        <v>845958548.28571415</v>
      </c>
      <c r="R1108" s="27">
        <f>R528*IF($E1108="weekday",INDEX('Category Mapping'!$F$28:$F$39,MATCH('Summarized Source Data'!$A1108,'Category Mapping'!$A$28:$A$39,0),1),INDEX('Category Mapping'!$E$28:$E$39,MATCH($A1108,'Category Mapping'!$A$28:$A$39,0),1))</f>
        <v>51825197.714285709</v>
      </c>
      <c r="S1108" s="27">
        <f>S528*IF($E1108="weekday",INDEX('Category Mapping'!$F$28:$F$39,MATCH('Summarized Source Data'!$A1108,'Category Mapping'!$A$28:$A$39,0),1),INDEX('Category Mapping'!$E$28:$E$39,MATCH($A1108,'Category Mapping'!$A$28:$A$39,0),1))</f>
        <v>51825197.714285709</v>
      </c>
      <c r="T1108" s="27">
        <f>T528*IF($E1108="weekday",INDEX('Category Mapping'!$F$28:$F$39,MATCH('Summarized Source Data'!$A1108,'Category Mapping'!$A$28:$A$39,0),1),INDEX('Category Mapping'!$E$28:$E$39,MATCH($A1108,'Category Mapping'!$A$28:$A$39,0),1))</f>
        <v>51825197.714285709</v>
      </c>
      <c r="U1108" s="27">
        <f>U528*IF($E1108="weekday",INDEX('Category Mapping'!$F$28:$F$39,MATCH('Summarized Source Data'!$A1108,'Category Mapping'!$A$28:$A$39,0),1),INDEX('Category Mapping'!$E$28:$E$39,MATCH($A1108,'Category Mapping'!$A$28:$A$39,0),1))</f>
        <v>51825197.714285709</v>
      </c>
      <c r="V1108" s="27">
        <f>V528*IF($E1108="weekday",INDEX('Category Mapping'!$F$28:$F$39,MATCH('Summarized Source Data'!$A1108,'Category Mapping'!$A$28:$A$39,0),1),INDEX('Category Mapping'!$E$28:$E$39,MATCH($A1108,'Category Mapping'!$A$28:$A$39,0),1))</f>
        <v>51825197.714285709</v>
      </c>
      <c r="W1108" s="27">
        <f>W528*IF($E1108="weekday",INDEX('Category Mapping'!$F$28:$F$39,MATCH('Summarized Source Data'!$A1108,'Category Mapping'!$A$28:$A$39,0),1),INDEX('Category Mapping'!$E$28:$E$39,MATCH($A1108,'Category Mapping'!$A$28:$A$39,0),1))</f>
        <v>51825197.714285709</v>
      </c>
      <c r="X1108" s="27">
        <f>X528*IF($E1108="weekday",INDEX('Category Mapping'!$F$28:$F$39,MATCH('Summarized Source Data'!$A1108,'Category Mapping'!$A$28:$A$39,0),1),INDEX('Category Mapping'!$E$28:$E$39,MATCH($A1108,'Category Mapping'!$A$28:$A$39,0),1))</f>
        <v>3082285714.2857137</v>
      </c>
      <c r="Y1108" s="27">
        <f>Y528*IF($E1108="weekday",INDEX('Category Mapping'!$F$28:$F$39,MATCH('Summarized Source Data'!$A1108,'Category Mapping'!$A$28:$A$39,0),1),INDEX('Category Mapping'!$E$28:$E$39,MATCH($A1108,'Category Mapping'!$A$28:$A$39,0),1))</f>
        <v>3082285714.2857137</v>
      </c>
      <c r="Z1108" s="27">
        <f>Z528*IF($E1108="weekday",INDEX('Category Mapping'!$F$28:$F$39,MATCH('Summarized Source Data'!$A1108,'Category Mapping'!$A$28:$A$39,0),1),INDEX('Category Mapping'!$E$28:$E$39,MATCH($A1108,'Category Mapping'!$A$28:$A$39,0),1))</f>
        <v>3082285714.2857137</v>
      </c>
    </row>
    <row r="1109" spans="1:26" outlineLevel="1" x14ac:dyDescent="0.3">
      <c r="A1109">
        <f t="shared" ref="A1109:E1109" si="574">A529</f>
        <v>10</v>
      </c>
      <c r="B1109" t="str">
        <f t="shared" si="574"/>
        <v>Fall</v>
      </c>
      <c r="C1109" t="str">
        <f t="shared" si="574"/>
        <v>h22</v>
      </c>
      <c r="D1109" t="str">
        <f t="shared" si="574"/>
        <v>Hour21</v>
      </c>
      <c r="E1109" t="str">
        <f t="shared" si="574"/>
        <v>Weekend</v>
      </c>
      <c r="F1109" s="27">
        <f>F529*IF($E1109="weekday",INDEX('Category Mapping'!$F$28:$F$39,MATCH('Summarized Source Data'!$A1109,'Category Mapping'!$A$28:$A$39,0),1),INDEX('Category Mapping'!$E$28:$E$39,MATCH($A1109,'Category Mapping'!$A$28:$A$39,0),1))</f>
        <v>25585212.285714284</v>
      </c>
      <c r="G1109" s="27">
        <f>G529*IF($E1109="weekday",INDEX('Category Mapping'!$F$28:$F$39,MATCH('Summarized Source Data'!$A1109,'Category Mapping'!$A$28:$A$39,0),1),INDEX('Category Mapping'!$E$28:$E$39,MATCH($A1109,'Category Mapping'!$A$28:$A$39,0),1))</f>
        <v>9707.4285714285706</v>
      </c>
      <c r="H1109" s="27">
        <f>H529*IF($E1109="weekday",INDEX('Category Mapping'!$F$28:$F$39,MATCH('Summarized Source Data'!$A1109,'Category Mapping'!$A$28:$A$39,0),1),INDEX('Category Mapping'!$E$28:$E$39,MATCH($A1109,'Category Mapping'!$A$28:$A$39,0),1))</f>
        <v>0</v>
      </c>
      <c r="I1109" s="27">
        <f>I529*IF($E1109="weekday",INDEX('Category Mapping'!$F$28:$F$39,MATCH('Summarized Source Data'!$A1109,'Category Mapping'!$A$28:$A$39,0),1),INDEX('Category Mapping'!$E$28:$E$39,MATCH($A1109,'Category Mapping'!$A$28:$A$39,0),1))</f>
        <v>236485714.28571424</v>
      </c>
      <c r="J1109" s="27">
        <f>J529*IF($E1109="weekday",INDEX('Category Mapping'!$F$28:$F$39,MATCH('Summarized Source Data'!$A1109,'Category Mapping'!$A$28:$A$39,0),1),INDEX('Category Mapping'!$E$28:$E$39,MATCH($A1109,'Category Mapping'!$A$28:$A$39,0),1))</f>
        <v>641347937.42857134</v>
      </c>
      <c r="K1109" s="27">
        <f>K529*IF($E1109="weekday",INDEX('Category Mapping'!$F$28:$F$39,MATCH('Summarized Source Data'!$A1109,'Category Mapping'!$A$28:$A$39,0),1),INDEX('Category Mapping'!$E$28:$E$39,MATCH($A1109,'Category Mapping'!$A$28:$A$39,0),1))</f>
        <v>641347937.42857134</v>
      </c>
      <c r="L1109" s="27">
        <f>L529*IF($E1109="weekday",INDEX('Category Mapping'!$F$28:$F$39,MATCH('Summarized Source Data'!$A1109,'Category Mapping'!$A$28:$A$39,0),1),INDEX('Category Mapping'!$E$28:$E$39,MATCH($A1109,'Category Mapping'!$A$28:$A$39,0),1))</f>
        <v>41549716.285714276</v>
      </c>
      <c r="M1109" s="27">
        <f>M529*IF($E1109="weekday",INDEX('Category Mapping'!$F$28:$F$39,MATCH('Summarized Source Data'!$A1109,'Category Mapping'!$A$28:$A$39,0),1),INDEX('Category Mapping'!$E$28:$E$39,MATCH($A1109,'Category Mapping'!$A$28:$A$39,0),1))</f>
        <v>6800018.2857142845</v>
      </c>
      <c r="N1109" s="27">
        <f>N529*IF($E1109="weekday",INDEX('Category Mapping'!$F$28:$F$39,MATCH('Summarized Source Data'!$A1109,'Category Mapping'!$A$28:$A$39,0),1),INDEX('Category Mapping'!$E$28:$E$39,MATCH($A1109,'Category Mapping'!$A$28:$A$39,0),1))</f>
        <v>0</v>
      </c>
      <c r="O1109" s="27">
        <f>O529*IF($E1109="weekday",INDEX('Category Mapping'!$F$28:$F$39,MATCH('Summarized Source Data'!$A1109,'Category Mapping'!$A$28:$A$39,0),1),INDEX('Category Mapping'!$E$28:$E$39,MATCH($A1109,'Category Mapping'!$A$28:$A$39,0),1))</f>
        <v>785993122.57142842</v>
      </c>
      <c r="P1109" s="27">
        <f>P529*IF($E1109="weekday",INDEX('Category Mapping'!$F$28:$F$39,MATCH('Summarized Source Data'!$A1109,'Category Mapping'!$A$28:$A$39,0),1),INDEX('Category Mapping'!$E$28:$E$39,MATCH($A1109,'Category Mapping'!$A$28:$A$39,0),1))</f>
        <v>785993122.57142842</v>
      </c>
      <c r="Q1109" s="27">
        <f>Q529*IF($E1109="weekday",INDEX('Category Mapping'!$F$28:$F$39,MATCH('Summarized Source Data'!$A1109,'Category Mapping'!$A$28:$A$39,0),1),INDEX('Category Mapping'!$E$28:$E$39,MATCH($A1109,'Category Mapping'!$A$28:$A$39,0),1))</f>
        <v>785993122.57142842</v>
      </c>
      <c r="R1109" s="27">
        <f>R529*IF($E1109="weekday",INDEX('Category Mapping'!$F$28:$F$39,MATCH('Summarized Source Data'!$A1109,'Category Mapping'!$A$28:$A$39,0),1),INDEX('Category Mapping'!$E$28:$E$39,MATCH($A1109,'Category Mapping'!$A$28:$A$39,0),1))</f>
        <v>50010005.999999993</v>
      </c>
      <c r="S1109" s="27">
        <f>S529*IF($E1109="weekday",INDEX('Category Mapping'!$F$28:$F$39,MATCH('Summarized Source Data'!$A1109,'Category Mapping'!$A$28:$A$39,0),1),INDEX('Category Mapping'!$E$28:$E$39,MATCH($A1109,'Category Mapping'!$A$28:$A$39,0),1))</f>
        <v>50010005.999999993</v>
      </c>
      <c r="T1109" s="27">
        <f>T529*IF($E1109="weekday",INDEX('Category Mapping'!$F$28:$F$39,MATCH('Summarized Source Data'!$A1109,'Category Mapping'!$A$28:$A$39,0),1),INDEX('Category Mapping'!$E$28:$E$39,MATCH($A1109,'Category Mapping'!$A$28:$A$39,0),1))</f>
        <v>50010005.999999993</v>
      </c>
      <c r="U1109" s="27">
        <f>U529*IF($E1109="weekday",INDEX('Category Mapping'!$F$28:$F$39,MATCH('Summarized Source Data'!$A1109,'Category Mapping'!$A$28:$A$39,0),1),INDEX('Category Mapping'!$E$28:$E$39,MATCH($A1109,'Category Mapping'!$A$28:$A$39,0),1))</f>
        <v>50010005.999999993</v>
      </c>
      <c r="V1109" s="27">
        <f>V529*IF($E1109="weekday",INDEX('Category Mapping'!$F$28:$F$39,MATCH('Summarized Source Data'!$A1109,'Category Mapping'!$A$28:$A$39,0),1),INDEX('Category Mapping'!$E$28:$E$39,MATCH($A1109,'Category Mapping'!$A$28:$A$39,0),1))</f>
        <v>50010005.999999993</v>
      </c>
      <c r="W1109" s="27">
        <f>W529*IF($E1109="weekday",INDEX('Category Mapping'!$F$28:$F$39,MATCH('Summarized Source Data'!$A1109,'Category Mapping'!$A$28:$A$39,0),1),INDEX('Category Mapping'!$E$28:$E$39,MATCH($A1109,'Category Mapping'!$A$28:$A$39,0),1))</f>
        <v>50010005.999999993</v>
      </c>
      <c r="X1109" s="27">
        <f>X529*IF($E1109="weekday",INDEX('Category Mapping'!$F$28:$F$39,MATCH('Summarized Source Data'!$A1109,'Category Mapping'!$A$28:$A$39,0),1),INDEX('Category Mapping'!$E$28:$E$39,MATCH($A1109,'Category Mapping'!$A$28:$A$39,0),1))</f>
        <v>3046857142.8571424</v>
      </c>
      <c r="Y1109" s="27">
        <f>Y529*IF($E1109="weekday",INDEX('Category Mapping'!$F$28:$F$39,MATCH('Summarized Source Data'!$A1109,'Category Mapping'!$A$28:$A$39,0),1),INDEX('Category Mapping'!$E$28:$E$39,MATCH($A1109,'Category Mapping'!$A$28:$A$39,0),1))</f>
        <v>3046857142.8571424</v>
      </c>
      <c r="Z1109" s="27">
        <f>Z529*IF($E1109="weekday",INDEX('Category Mapping'!$F$28:$F$39,MATCH('Summarized Source Data'!$A1109,'Category Mapping'!$A$28:$A$39,0),1),INDEX('Category Mapping'!$E$28:$E$39,MATCH($A1109,'Category Mapping'!$A$28:$A$39,0),1))</f>
        <v>3046857142.8571424</v>
      </c>
    </row>
    <row r="1110" spans="1:26" outlineLevel="1" x14ac:dyDescent="0.3">
      <c r="A1110">
        <f t="shared" ref="A1110:E1110" si="575">A530</f>
        <v>10</v>
      </c>
      <c r="B1110" t="str">
        <f t="shared" si="575"/>
        <v>Fall</v>
      </c>
      <c r="C1110" t="str">
        <f t="shared" si="575"/>
        <v>h23</v>
      </c>
      <c r="D1110" t="str">
        <f t="shared" si="575"/>
        <v>Hour22</v>
      </c>
      <c r="E1110" t="str">
        <f t="shared" si="575"/>
        <v>Weekend</v>
      </c>
      <c r="F1110" s="27">
        <f>F530*IF($E1110="weekday",INDEX('Category Mapping'!$F$28:$F$39,MATCH('Summarized Source Data'!$A1110,'Category Mapping'!$A$28:$A$39,0),1),INDEX('Category Mapping'!$E$28:$E$39,MATCH($A1110,'Category Mapping'!$A$28:$A$39,0),1))</f>
        <v>19908456.857142854</v>
      </c>
      <c r="G1110" s="27">
        <f>G530*IF($E1110="weekday",INDEX('Category Mapping'!$F$28:$F$39,MATCH('Summarized Source Data'!$A1110,'Category Mapping'!$A$28:$A$39,0),1),INDEX('Category Mapping'!$E$28:$E$39,MATCH($A1110,'Category Mapping'!$A$28:$A$39,0),1))</f>
        <v>10079.428571428571</v>
      </c>
      <c r="H1110" s="27">
        <f>H530*IF($E1110="weekday",INDEX('Category Mapping'!$F$28:$F$39,MATCH('Summarized Source Data'!$A1110,'Category Mapping'!$A$28:$A$39,0),1),INDEX('Category Mapping'!$E$28:$E$39,MATCH($A1110,'Category Mapping'!$A$28:$A$39,0),1))</f>
        <v>0</v>
      </c>
      <c r="I1110" s="27">
        <f>I530*IF($E1110="weekday",INDEX('Category Mapping'!$F$28:$F$39,MATCH('Summarized Source Data'!$A1110,'Category Mapping'!$A$28:$A$39,0),1),INDEX('Category Mapping'!$E$28:$E$39,MATCH($A1110,'Category Mapping'!$A$28:$A$39,0),1))</f>
        <v>152342857.14285713</v>
      </c>
      <c r="J1110" s="27">
        <f>J530*IF($E1110="weekday",INDEX('Category Mapping'!$F$28:$F$39,MATCH('Summarized Source Data'!$A1110,'Category Mapping'!$A$28:$A$39,0),1),INDEX('Category Mapping'!$E$28:$E$39,MATCH($A1110,'Category Mapping'!$A$28:$A$39,0),1))</f>
        <v>537195749.42857134</v>
      </c>
      <c r="K1110" s="27">
        <f>K530*IF($E1110="weekday",INDEX('Category Mapping'!$F$28:$F$39,MATCH('Summarized Source Data'!$A1110,'Category Mapping'!$A$28:$A$39,0),1),INDEX('Category Mapping'!$E$28:$E$39,MATCH($A1110,'Category Mapping'!$A$28:$A$39,0),1))</f>
        <v>537195749.42857134</v>
      </c>
      <c r="L1110" s="27">
        <f>L530*IF($E1110="weekday",INDEX('Category Mapping'!$F$28:$F$39,MATCH('Summarized Source Data'!$A1110,'Category Mapping'!$A$28:$A$39,0),1),INDEX('Category Mapping'!$E$28:$E$39,MATCH($A1110,'Category Mapping'!$A$28:$A$39,0),1))</f>
        <v>35439802.285714284</v>
      </c>
      <c r="M1110" s="27">
        <f>M530*IF($E1110="weekday",INDEX('Category Mapping'!$F$28:$F$39,MATCH('Summarized Source Data'!$A1110,'Category Mapping'!$A$28:$A$39,0),1),INDEX('Category Mapping'!$E$28:$E$39,MATCH($A1110,'Category Mapping'!$A$28:$A$39,0),1))</f>
        <v>6560343.9999999991</v>
      </c>
      <c r="N1110" s="27">
        <f>N530*IF($E1110="weekday",INDEX('Category Mapping'!$F$28:$F$39,MATCH('Summarized Source Data'!$A1110,'Category Mapping'!$A$28:$A$39,0),1),INDEX('Category Mapping'!$E$28:$E$39,MATCH($A1110,'Category Mapping'!$A$28:$A$39,0),1))</f>
        <v>0</v>
      </c>
      <c r="O1110" s="27">
        <f>O530*IF($E1110="weekday",INDEX('Category Mapping'!$F$28:$F$39,MATCH('Summarized Source Data'!$A1110,'Category Mapping'!$A$28:$A$39,0),1),INDEX('Category Mapping'!$E$28:$E$39,MATCH($A1110,'Category Mapping'!$A$28:$A$39,0),1))</f>
        <v>747171282.28571415</v>
      </c>
      <c r="P1110" s="27">
        <f>P530*IF($E1110="weekday",INDEX('Category Mapping'!$F$28:$F$39,MATCH('Summarized Source Data'!$A1110,'Category Mapping'!$A$28:$A$39,0),1),INDEX('Category Mapping'!$E$28:$E$39,MATCH($A1110,'Category Mapping'!$A$28:$A$39,0),1))</f>
        <v>747171282.28571415</v>
      </c>
      <c r="Q1110" s="27">
        <f>Q530*IF($E1110="weekday",INDEX('Category Mapping'!$F$28:$F$39,MATCH('Summarized Source Data'!$A1110,'Category Mapping'!$A$28:$A$39,0),1),INDEX('Category Mapping'!$E$28:$E$39,MATCH($A1110,'Category Mapping'!$A$28:$A$39,0),1))</f>
        <v>747171282.28571415</v>
      </c>
      <c r="R1110" s="27">
        <f>R530*IF($E1110="weekday",INDEX('Category Mapping'!$F$28:$F$39,MATCH('Summarized Source Data'!$A1110,'Category Mapping'!$A$28:$A$39,0),1),INDEX('Category Mapping'!$E$28:$E$39,MATCH($A1110,'Category Mapping'!$A$28:$A$39,0),1))</f>
        <v>49387649.999999993</v>
      </c>
      <c r="S1110" s="27">
        <f>S530*IF($E1110="weekday",INDEX('Category Mapping'!$F$28:$F$39,MATCH('Summarized Source Data'!$A1110,'Category Mapping'!$A$28:$A$39,0),1),INDEX('Category Mapping'!$E$28:$E$39,MATCH($A1110,'Category Mapping'!$A$28:$A$39,0),1))</f>
        <v>49387649.999999993</v>
      </c>
      <c r="T1110" s="27">
        <f>T530*IF($E1110="weekday",INDEX('Category Mapping'!$F$28:$F$39,MATCH('Summarized Source Data'!$A1110,'Category Mapping'!$A$28:$A$39,0),1),INDEX('Category Mapping'!$E$28:$E$39,MATCH($A1110,'Category Mapping'!$A$28:$A$39,0),1))</f>
        <v>49387649.999999993</v>
      </c>
      <c r="U1110" s="27">
        <f>U530*IF($E1110="weekday",INDEX('Category Mapping'!$F$28:$F$39,MATCH('Summarized Source Data'!$A1110,'Category Mapping'!$A$28:$A$39,0),1),INDEX('Category Mapping'!$E$28:$E$39,MATCH($A1110,'Category Mapping'!$A$28:$A$39,0),1))</f>
        <v>49387649.999999993</v>
      </c>
      <c r="V1110" s="27">
        <f>V530*IF($E1110="weekday",INDEX('Category Mapping'!$F$28:$F$39,MATCH('Summarized Source Data'!$A1110,'Category Mapping'!$A$28:$A$39,0),1),INDEX('Category Mapping'!$E$28:$E$39,MATCH($A1110,'Category Mapping'!$A$28:$A$39,0),1))</f>
        <v>49387649.999999993</v>
      </c>
      <c r="W1110" s="27">
        <f>W530*IF($E1110="weekday",INDEX('Category Mapping'!$F$28:$F$39,MATCH('Summarized Source Data'!$A1110,'Category Mapping'!$A$28:$A$39,0),1),INDEX('Category Mapping'!$E$28:$E$39,MATCH($A1110,'Category Mapping'!$A$28:$A$39,0),1))</f>
        <v>49387649.999999993</v>
      </c>
      <c r="X1110" s="27">
        <f>X530*IF($E1110="weekday",INDEX('Category Mapping'!$F$28:$F$39,MATCH('Summarized Source Data'!$A1110,'Category Mapping'!$A$28:$A$39,0),1),INDEX('Category Mapping'!$E$28:$E$39,MATCH($A1110,'Category Mapping'!$A$28:$A$39,0),1))</f>
        <v>3020285714.2857137</v>
      </c>
      <c r="Y1110" s="27">
        <f>Y530*IF($E1110="weekday",INDEX('Category Mapping'!$F$28:$F$39,MATCH('Summarized Source Data'!$A1110,'Category Mapping'!$A$28:$A$39,0),1),INDEX('Category Mapping'!$E$28:$E$39,MATCH($A1110,'Category Mapping'!$A$28:$A$39,0),1))</f>
        <v>3020285714.2857137</v>
      </c>
      <c r="Z1110" s="27">
        <f>Z530*IF($E1110="weekday",INDEX('Category Mapping'!$F$28:$F$39,MATCH('Summarized Source Data'!$A1110,'Category Mapping'!$A$28:$A$39,0),1),INDEX('Category Mapping'!$E$28:$E$39,MATCH($A1110,'Category Mapping'!$A$28:$A$39,0),1))</f>
        <v>3020285714.2857137</v>
      </c>
    </row>
    <row r="1111" spans="1:26" outlineLevel="1" x14ac:dyDescent="0.3">
      <c r="A1111">
        <f t="shared" ref="A1111:E1111" si="576">A531</f>
        <v>10</v>
      </c>
      <c r="B1111" t="str">
        <f t="shared" si="576"/>
        <v>Fall</v>
      </c>
      <c r="C1111" t="str">
        <f t="shared" si="576"/>
        <v>h24</v>
      </c>
      <c r="D1111" t="str">
        <f t="shared" si="576"/>
        <v>Hour23</v>
      </c>
      <c r="E1111" t="str">
        <f t="shared" si="576"/>
        <v>Weekend</v>
      </c>
      <c r="F1111" s="27">
        <f>F531*IF($E1111="weekday",INDEX('Category Mapping'!$F$28:$F$39,MATCH('Summarized Source Data'!$A1111,'Category Mapping'!$A$28:$A$39,0),1),INDEX('Category Mapping'!$E$28:$E$39,MATCH($A1111,'Category Mapping'!$A$28:$A$39,0),1))</f>
        <v>17074082.571428567</v>
      </c>
      <c r="G1111" s="27">
        <f>G531*IF($E1111="weekday",INDEX('Category Mapping'!$F$28:$F$39,MATCH('Summarized Source Data'!$A1111,'Category Mapping'!$A$28:$A$39,0),1),INDEX('Category Mapping'!$E$28:$E$39,MATCH($A1111,'Category Mapping'!$A$28:$A$39,0),1))</f>
        <v>10389.428571428571</v>
      </c>
      <c r="H1111" s="27">
        <f>H531*IF($E1111="weekday",INDEX('Category Mapping'!$F$28:$F$39,MATCH('Summarized Source Data'!$A1111,'Category Mapping'!$A$28:$A$39,0),1),INDEX('Category Mapping'!$E$28:$E$39,MATCH($A1111,'Category Mapping'!$A$28:$A$39,0),1))</f>
        <v>0</v>
      </c>
      <c r="I1111" s="27">
        <f>I531*IF($E1111="weekday",INDEX('Category Mapping'!$F$28:$F$39,MATCH('Summarized Source Data'!$A1111,'Category Mapping'!$A$28:$A$39,0),1),INDEX('Category Mapping'!$E$28:$E$39,MATCH($A1111,'Category Mapping'!$A$28:$A$39,0),1))</f>
        <v>85129604.857142851</v>
      </c>
      <c r="J1111" s="27">
        <f>J531*IF($E1111="weekday",INDEX('Category Mapping'!$F$28:$F$39,MATCH('Summarized Source Data'!$A1111,'Category Mapping'!$A$28:$A$39,0),1),INDEX('Category Mapping'!$E$28:$E$39,MATCH($A1111,'Category Mapping'!$A$28:$A$39,0),1))</f>
        <v>427443065.99999994</v>
      </c>
      <c r="K1111" s="27">
        <f>K531*IF($E1111="weekday",INDEX('Category Mapping'!$F$28:$F$39,MATCH('Summarized Source Data'!$A1111,'Category Mapping'!$A$28:$A$39,0),1),INDEX('Category Mapping'!$E$28:$E$39,MATCH($A1111,'Category Mapping'!$A$28:$A$39,0),1))</f>
        <v>427443065.99999994</v>
      </c>
      <c r="L1111" s="27">
        <f>L531*IF($E1111="weekday",INDEX('Category Mapping'!$F$28:$F$39,MATCH('Summarized Source Data'!$A1111,'Category Mapping'!$A$28:$A$39,0),1),INDEX('Category Mapping'!$E$28:$E$39,MATCH($A1111,'Category Mapping'!$A$28:$A$39,0),1))</f>
        <v>37140453.428571425</v>
      </c>
      <c r="M1111" s="27">
        <f>M531*IF($E1111="weekday",INDEX('Category Mapping'!$F$28:$F$39,MATCH('Summarized Source Data'!$A1111,'Category Mapping'!$A$28:$A$39,0),1),INDEX('Category Mapping'!$E$28:$E$39,MATCH($A1111,'Category Mapping'!$A$28:$A$39,0),1))</f>
        <v>6232948.5714285709</v>
      </c>
      <c r="N1111" s="27">
        <f>N531*IF($E1111="weekday",INDEX('Category Mapping'!$F$28:$F$39,MATCH('Summarized Source Data'!$A1111,'Category Mapping'!$A$28:$A$39,0),1),INDEX('Category Mapping'!$E$28:$E$39,MATCH($A1111,'Category Mapping'!$A$28:$A$39,0),1))</f>
        <v>0</v>
      </c>
      <c r="O1111" s="27">
        <f>O531*IF($E1111="weekday",INDEX('Category Mapping'!$F$28:$F$39,MATCH('Summarized Source Data'!$A1111,'Category Mapping'!$A$28:$A$39,0),1),INDEX('Category Mapping'!$E$28:$E$39,MATCH($A1111,'Category Mapping'!$A$28:$A$39,0),1))</f>
        <v>683798026.57142842</v>
      </c>
      <c r="P1111" s="27">
        <f>P531*IF($E1111="weekday",INDEX('Category Mapping'!$F$28:$F$39,MATCH('Summarized Source Data'!$A1111,'Category Mapping'!$A$28:$A$39,0),1),INDEX('Category Mapping'!$E$28:$E$39,MATCH($A1111,'Category Mapping'!$A$28:$A$39,0),1))</f>
        <v>683798026.57142842</v>
      </c>
      <c r="Q1111" s="27">
        <f>Q531*IF($E1111="weekday",INDEX('Category Mapping'!$F$28:$F$39,MATCH('Summarized Source Data'!$A1111,'Category Mapping'!$A$28:$A$39,0),1),INDEX('Category Mapping'!$E$28:$E$39,MATCH($A1111,'Category Mapping'!$A$28:$A$39,0),1))</f>
        <v>683798026.57142842</v>
      </c>
      <c r="R1111" s="27">
        <f>R531*IF($E1111="weekday",INDEX('Category Mapping'!$F$28:$F$39,MATCH('Summarized Source Data'!$A1111,'Category Mapping'!$A$28:$A$39,0),1),INDEX('Category Mapping'!$E$28:$E$39,MATCH($A1111,'Category Mapping'!$A$28:$A$39,0),1))</f>
        <v>33188954.28571428</v>
      </c>
      <c r="S1111" s="27">
        <f>S531*IF($E1111="weekday",INDEX('Category Mapping'!$F$28:$F$39,MATCH('Summarized Source Data'!$A1111,'Category Mapping'!$A$28:$A$39,0),1),INDEX('Category Mapping'!$E$28:$E$39,MATCH($A1111,'Category Mapping'!$A$28:$A$39,0),1))</f>
        <v>33188954.28571428</v>
      </c>
      <c r="T1111" s="27">
        <f>T531*IF($E1111="weekday",INDEX('Category Mapping'!$F$28:$F$39,MATCH('Summarized Source Data'!$A1111,'Category Mapping'!$A$28:$A$39,0),1),INDEX('Category Mapping'!$E$28:$E$39,MATCH($A1111,'Category Mapping'!$A$28:$A$39,0),1))</f>
        <v>33188954.28571428</v>
      </c>
      <c r="U1111" s="27">
        <f>U531*IF($E1111="weekday",INDEX('Category Mapping'!$F$28:$F$39,MATCH('Summarized Source Data'!$A1111,'Category Mapping'!$A$28:$A$39,0),1),INDEX('Category Mapping'!$E$28:$E$39,MATCH($A1111,'Category Mapping'!$A$28:$A$39,0),1))</f>
        <v>33188954.28571428</v>
      </c>
      <c r="V1111" s="27">
        <f>V531*IF($E1111="weekday",INDEX('Category Mapping'!$F$28:$F$39,MATCH('Summarized Source Data'!$A1111,'Category Mapping'!$A$28:$A$39,0),1),INDEX('Category Mapping'!$E$28:$E$39,MATCH($A1111,'Category Mapping'!$A$28:$A$39,0),1))</f>
        <v>33188954.28571428</v>
      </c>
      <c r="W1111" s="27">
        <f>W531*IF($E1111="weekday",INDEX('Category Mapping'!$F$28:$F$39,MATCH('Summarized Source Data'!$A1111,'Category Mapping'!$A$28:$A$39,0),1),INDEX('Category Mapping'!$E$28:$E$39,MATCH($A1111,'Category Mapping'!$A$28:$A$39,0),1))</f>
        <v>33188954.28571428</v>
      </c>
      <c r="X1111" s="27">
        <f>X531*IF($E1111="weekday",INDEX('Category Mapping'!$F$28:$F$39,MATCH('Summarized Source Data'!$A1111,'Category Mapping'!$A$28:$A$39,0),1),INDEX('Category Mapping'!$E$28:$E$39,MATCH($A1111,'Category Mapping'!$A$28:$A$39,0),1))</f>
        <v>3011428571.4285712</v>
      </c>
      <c r="Y1111" s="27">
        <f>Y531*IF($E1111="weekday",INDEX('Category Mapping'!$F$28:$F$39,MATCH('Summarized Source Data'!$A1111,'Category Mapping'!$A$28:$A$39,0),1),INDEX('Category Mapping'!$E$28:$E$39,MATCH($A1111,'Category Mapping'!$A$28:$A$39,0),1))</f>
        <v>3011428571.4285712</v>
      </c>
      <c r="Z1111" s="27">
        <f>Z531*IF($E1111="weekday",INDEX('Category Mapping'!$F$28:$F$39,MATCH('Summarized Source Data'!$A1111,'Category Mapping'!$A$28:$A$39,0),1),INDEX('Category Mapping'!$E$28:$E$39,MATCH($A1111,'Category Mapping'!$A$28:$A$39,0),1))</f>
        <v>3011428571.4285712</v>
      </c>
    </row>
    <row r="1112" spans="1:26" outlineLevel="1" x14ac:dyDescent="0.3">
      <c r="A1112">
        <f t="shared" ref="A1112:E1112" si="577">A532</f>
        <v>11</v>
      </c>
      <c r="B1112" t="str">
        <f t="shared" si="577"/>
        <v>Winter</v>
      </c>
      <c r="C1112" t="str">
        <f t="shared" si="577"/>
        <v>h1</v>
      </c>
      <c r="D1112" t="str">
        <f t="shared" si="577"/>
        <v>Hour0</v>
      </c>
      <c r="E1112" t="str">
        <f t="shared" si="577"/>
        <v>Weekend</v>
      </c>
      <c r="F1112" s="27">
        <f>F532*IF($E1112="weekday",INDEX('Category Mapping'!$F$28:$F$39,MATCH('Summarized Source Data'!$A1112,'Category Mapping'!$A$28:$A$39,0),1),INDEX('Category Mapping'!$E$28:$E$39,MATCH($A1112,'Category Mapping'!$A$28:$A$39,0),1))</f>
        <v>49313374.285714284</v>
      </c>
      <c r="G1112" s="27">
        <f>G532*IF($E1112="weekday",INDEX('Category Mapping'!$F$28:$F$39,MATCH('Summarized Source Data'!$A1112,'Category Mapping'!$A$28:$A$39,0),1),INDEX('Category Mapping'!$E$28:$E$39,MATCH($A1112,'Category Mapping'!$A$28:$A$39,0),1))</f>
        <v>195711.42857142858</v>
      </c>
      <c r="H1112" s="27">
        <f>H532*IF($E1112="weekday",INDEX('Category Mapping'!$F$28:$F$39,MATCH('Summarized Source Data'!$A1112,'Category Mapping'!$A$28:$A$39,0),1),INDEX('Category Mapping'!$E$28:$E$39,MATCH($A1112,'Category Mapping'!$A$28:$A$39,0),1))</f>
        <v>0</v>
      </c>
      <c r="I1112" s="27">
        <f>I532*IF($E1112="weekday",INDEX('Category Mapping'!$F$28:$F$39,MATCH('Summarized Source Data'!$A1112,'Category Mapping'!$A$28:$A$39,0),1),INDEX('Category Mapping'!$E$28:$E$39,MATCH($A1112,'Category Mapping'!$A$28:$A$39,0),1))</f>
        <v>59351614.285714284</v>
      </c>
      <c r="J1112" s="27">
        <f>J532*IF($E1112="weekday",INDEX('Category Mapping'!$F$28:$F$39,MATCH('Summarized Source Data'!$A1112,'Category Mapping'!$A$28:$A$39,0),1),INDEX('Category Mapping'!$E$28:$E$39,MATCH($A1112,'Category Mapping'!$A$28:$A$39,0),1))</f>
        <v>323139300</v>
      </c>
      <c r="K1112" s="27">
        <f>K532*IF($E1112="weekday",INDEX('Category Mapping'!$F$28:$F$39,MATCH('Summarized Source Data'!$A1112,'Category Mapping'!$A$28:$A$39,0),1),INDEX('Category Mapping'!$E$28:$E$39,MATCH($A1112,'Category Mapping'!$A$28:$A$39,0),1))</f>
        <v>323139300</v>
      </c>
      <c r="L1112" s="27">
        <f>L532*IF($E1112="weekday",INDEX('Category Mapping'!$F$28:$F$39,MATCH('Summarized Source Data'!$A1112,'Category Mapping'!$A$28:$A$39,0),1),INDEX('Category Mapping'!$E$28:$E$39,MATCH($A1112,'Category Mapping'!$A$28:$A$39,0),1))</f>
        <v>66891951.428571425</v>
      </c>
      <c r="M1112" s="27">
        <f>M532*IF($E1112="weekday",INDEX('Category Mapping'!$F$28:$F$39,MATCH('Summarized Source Data'!$A1112,'Category Mapping'!$A$28:$A$39,0),1),INDEX('Category Mapping'!$E$28:$E$39,MATCH($A1112,'Category Mapping'!$A$28:$A$39,0),1))</f>
        <v>587734.28571428568</v>
      </c>
      <c r="N1112" s="27">
        <f>N532*IF($E1112="weekday",INDEX('Category Mapping'!$F$28:$F$39,MATCH('Summarized Source Data'!$A1112,'Category Mapping'!$A$28:$A$39,0),1),INDEX('Category Mapping'!$E$28:$E$39,MATCH($A1112,'Category Mapping'!$A$28:$A$39,0),1))</f>
        <v>0</v>
      </c>
      <c r="O1112" s="27">
        <f>O532*IF($E1112="weekday",INDEX('Category Mapping'!$F$28:$F$39,MATCH('Summarized Source Data'!$A1112,'Category Mapping'!$A$28:$A$39,0),1),INDEX('Category Mapping'!$E$28:$E$39,MATCH($A1112,'Category Mapping'!$A$28:$A$39,0),1))</f>
        <v>670520314.28571427</v>
      </c>
      <c r="P1112" s="27">
        <f>P532*IF($E1112="weekday",INDEX('Category Mapping'!$F$28:$F$39,MATCH('Summarized Source Data'!$A1112,'Category Mapping'!$A$28:$A$39,0),1),INDEX('Category Mapping'!$E$28:$E$39,MATCH($A1112,'Category Mapping'!$A$28:$A$39,0),1))</f>
        <v>670520314.28571427</v>
      </c>
      <c r="Q1112" s="27">
        <f>Q532*IF($E1112="weekday",INDEX('Category Mapping'!$F$28:$F$39,MATCH('Summarized Source Data'!$A1112,'Category Mapping'!$A$28:$A$39,0),1),INDEX('Category Mapping'!$E$28:$E$39,MATCH($A1112,'Category Mapping'!$A$28:$A$39,0),1))</f>
        <v>670520314.28571427</v>
      </c>
      <c r="R1112" s="27">
        <f>R532*IF($E1112="weekday",INDEX('Category Mapping'!$F$28:$F$39,MATCH('Summarized Source Data'!$A1112,'Category Mapping'!$A$28:$A$39,0),1),INDEX('Category Mapping'!$E$28:$E$39,MATCH($A1112,'Category Mapping'!$A$28:$A$39,0),1))</f>
        <v>23158902.857142858</v>
      </c>
      <c r="S1112" s="27">
        <f>S532*IF($E1112="weekday",INDEX('Category Mapping'!$F$28:$F$39,MATCH('Summarized Source Data'!$A1112,'Category Mapping'!$A$28:$A$39,0),1),INDEX('Category Mapping'!$E$28:$E$39,MATCH($A1112,'Category Mapping'!$A$28:$A$39,0),1))</f>
        <v>23158902.857142858</v>
      </c>
      <c r="T1112" s="27">
        <f>T532*IF($E1112="weekday",INDEX('Category Mapping'!$F$28:$F$39,MATCH('Summarized Source Data'!$A1112,'Category Mapping'!$A$28:$A$39,0),1),INDEX('Category Mapping'!$E$28:$E$39,MATCH($A1112,'Category Mapping'!$A$28:$A$39,0),1))</f>
        <v>23158902.857142858</v>
      </c>
      <c r="U1112" s="27">
        <f>U532*IF($E1112="weekday",INDEX('Category Mapping'!$F$28:$F$39,MATCH('Summarized Source Data'!$A1112,'Category Mapping'!$A$28:$A$39,0),1),INDEX('Category Mapping'!$E$28:$E$39,MATCH($A1112,'Category Mapping'!$A$28:$A$39,0),1))</f>
        <v>23158902.857142858</v>
      </c>
      <c r="V1112" s="27">
        <f>V532*IF($E1112="weekday",INDEX('Category Mapping'!$F$28:$F$39,MATCH('Summarized Source Data'!$A1112,'Category Mapping'!$A$28:$A$39,0),1),INDEX('Category Mapping'!$E$28:$E$39,MATCH($A1112,'Category Mapping'!$A$28:$A$39,0),1))</f>
        <v>23158902.857142858</v>
      </c>
      <c r="W1112" s="27">
        <f>W532*IF($E1112="weekday",INDEX('Category Mapping'!$F$28:$F$39,MATCH('Summarized Source Data'!$A1112,'Category Mapping'!$A$28:$A$39,0),1),INDEX('Category Mapping'!$E$28:$E$39,MATCH($A1112,'Category Mapping'!$A$28:$A$39,0),1))</f>
        <v>23158902.857142858</v>
      </c>
      <c r="X1112" s="27">
        <f>X532*IF($E1112="weekday",INDEX('Category Mapping'!$F$28:$F$39,MATCH('Summarized Source Data'!$A1112,'Category Mapping'!$A$28:$A$39,0),1),INDEX('Category Mapping'!$E$28:$E$39,MATCH($A1112,'Category Mapping'!$A$28:$A$39,0),1))</f>
        <v>2940000000</v>
      </c>
      <c r="Y1112" s="27">
        <f>Y532*IF($E1112="weekday",INDEX('Category Mapping'!$F$28:$F$39,MATCH('Summarized Source Data'!$A1112,'Category Mapping'!$A$28:$A$39,0),1),INDEX('Category Mapping'!$E$28:$E$39,MATCH($A1112,'Category Mapping'!$A$28:$A$39,0),1))</f>
        <v>2940000000</v>
      </c>
      <c r="Z1112" s="27">
        <f>Z532*IF($E1112="weekday",INDEX('Category Mapping'!$F$28:$F$39,MATCH('Summarized Source Data'!$A1112,'Category Mapping'!$A$28:$A$39,0),1),INDEX('Category Mapping'!$E$28:$E$39,MATCH($A1112,'Category Mapping'!$A$28:$A$39,0),1))</f>
        <v>2940000000</v>
      </c>
    </row>
    <row r="1113" spans="1:26" outlineLevel="1" x14ac:dyDescent="0.3">
      <c r="A1113">
        <f t="shared" ref="A1113:E1113" si="578">A533</f>
        <v>11</v>
      </c>
      <c r="B1113" t="str">
        <f t="shared" si="578"/>
        <v>Winter</v>
      </c>
      <c r="C1113" t="str">
        <f t="shared" si="578"/>
        <v>h2</v>
      </c>
      <c r="D1113" t="str">
        <f t="shared" si="578"/>
        <v>Hour1</v>
      </c>
      <c r="E1113" t="str">
        <f t="shared" si="578"/>
        <v>Weekend</v>
      </c>
      <c r="F1113" s="27">
        <f>F533*IF($E1113="weekday",INDEX('Category Mapping'!$F$28:$F$39,MATCH('Summarized Source Data'!$A1113,'Category Mapping'!$A$28:$A$39,0),1),INDEX('Category Mapping'!$E$28:$E$39,MATCH($A1113,'Category Mapping'!$A$28:$A$39,0),1))</f>
        <v>50599457.142857142</v>
      </c>
      <c r="G1113" s="27">
        <f>G533*IF($E1113="weekday",INDEX('Category Mapping'!$F$28:$F$39,MATCH('Summarized Source Data'!$A1113,'Category Mapping'!$A$28:$A$39,0),1),INDEX('Category Mapping'!$E$28:$E$39,MATCH($A1113,'Category Mapping'!$A$28:$A$39,0),1))</f>
        <v>198702.85714285713</v>
      </c>
      <c r="H1113" s="27">
        <f>H533*IF($E1113="weekday",INDEX('Category Mapping'!$F$28:$F$39,MATCH('Summarized Source Data'!$A1113,'Category Mapping'!$A$28:$A$39,0),1),INDEX('Category Mapping'!$E$28:$E$39,MATCH($A1113,'Category Mapping'!$A$28:$A$39,0),1))</f>
        <v>0</v>
      </c>
      <c r="I1113" s="27">
        <f>I533*IF($E1113="weekday",INDEX('Category Mapping'!$F$28:$F$39,MATCH('Summarized Source Data'!$A1113,'Category Mapping'!$A$28:$A$39,0),1),INDEX('Category Mapping'!$E$28:$E$39,MATCH($A1113,'Category Mapping'!$A$28:$A$39,0),1))</f>
        <v>51279420</v>
      </c>
      <c r="J1113" s="27">
        <f>J533*IF($E1113="weekday",INDEX('Category Mapping'!$F$28:$F$39,MATCH('Summarized Source Data'!$A1113,'Category Mapping'!$A$28:$A$39,0),1),INDEX('Category Mapping'!$E$28:$E$39,MATCH($A1113,'Category Mapping'!$A$28:$A$39,0),1))</f>
        <v>251065277.14285713</v>
      </c>
      <c r="K1113" s="27">
        <f>K533*IF($E1113="weekday",INDEX('Category Mapping'!$F$28:$F$39,MATCH('Summarized Source Data'!$A1113,'Category Mapping'!$A$28:$A$39,0),1),INDEX('Category Mapping'!$E$28:$E$39,MATCH($A1113,'Category Mapping'!$A$28:$A$39,0),1))</f>
        <v>251065277.14285713</v>
      </c>
      <c r="L1113" s="27">
        <f>L533*IF($E1113="weekday",INDEX('Category Mapping'!$F$28:$F$39,MATCH('Summarized Source Data'!$A1113,'Category Mapping'!$A$28:$A$39,0),1),INDEX('Category Mapping'!$E$28:$E$39,MATCH($A1113,'Category Mapping'!$A$28:$A$39,0),1))</f>
        <v>61117337.142857142</v>
      </c>
      <c r="M1113" s="27">
        <f>M533*IF($E1113="weekday",INDEX('Category Mapping'!$F$28:$F$39,MATCH('Summarized Source Data'!$A1113,'Category Mapping'!$A$28:$A$39,0),1),INDEX('Category Mapping'!$E$28:$E$39,MATCH($A1113,'Category Mapping'!$A$28:$A$39,0),1))</f>
        <v>575237.14285714284</v>
      </c>
      <c r="N1113" s="27">
        <f>N533*IF($E1113="weekday",INDEX('Category Mapping'!$F$28:$F$39,MATCH('Summarized Source Data'!$A1113,'Category Mapping'!$A$28:$A$39,0),1),INDEX('Category Mapping'!$E$28:$E$39,MATCH($A1113,'Category Mapping'!$A$28:$A$39,0),1))</f>
        <v>0</v>
      </c>
      <c r="O1113" s="27">
        <f>O533*IF($E1113="weekday",INDEX('Category Mapping'!$F$28:$F$39,MATCH('Summarized Source Data'!$A1113,'Category Mapping'!$A$28:$A$39,0),1),INDEX('Category Mapping'!$E$28:$E$39,MATCH($A1113,'Category Mapping'!$A$28:$A$39,0),1))</f>
        <v>585450282.85714281</v>
      </c>
      <c r="P1113" s="27">
        <f>P533*IF($E1113="weekday",INDEX('Category Mapping'!$F$28:$F$39,MATCH('Summarized Source Data'!$A1113,'Category Mapping'!$A$28:$A$39,0),1),INDEX('Category Mapping'!$E$28:$E$39,MATCH($A1113,'Category Mapping'!$A$28:$A$39,0),1))</f>
        <v>585450282.85714281</v>
      </c>
      <c r="Q1113" s="27">
        <f>Q533*IF($E1113="weekday",INDEX('Category Mapping'!$F$28:$F$39,MATCH('Summarized Source Data'!$A1113,'Category Mapping'!$A$28:$A$39,0),1),INDEX('Category Mapping'!$E$28:$E$39,MATCH($A1113,'Category Mapping'!$A$28:$A$39,0),1))</f>
        <v>585450282.85714281</v>
      </c>
      <c r="R1113" s="27">
        <f>R533*IF($E1113="weekday",INDEX('Category Mapping'!$F$28:$F$39,MATCH('Summarized Source Data'!$A1113,'Category Mapping'!$A$28:$A$39,0),1),INDEX('Category Mapping'!$E$28:$E$39,MATCH($A1113,'Category Mapping'!$A$28:$A$39,0),1))</f>
        <v>22054731.428571429</v>
      </c>
      <c r="S1113" s="27">
        <f>S533*IF($E1113="weekday",INDEX('Category Mapping'!$F$28:$F$39,MATCH('Summarized Source Data'!$A1113,'Category Mapping'!$A$28:$A$39,0),1),INDEX('Category Mapping'!$E$28:$E$39,MATCH($A1113,'Category Mapping'!$A$28:$A$39,0),1))</f>
        <v>22054731.428571429</v>
      </c>
      <c r="T1113" s="27">
        <f>T533*IF($E1113="weekday",INDEX('Category Mapping'!$F$28:$F$39,MATCH('Summarized Source Data'!$A1113,'Category Mapping'!$A$28:$A$39,0),1),INDEX('Category Mapping'!$E$28:$E$39,MATCH($A1113,'Category Mapping'!$A$28:$A$39,0),1))</f>
        <v>22054731.428571429</v>
      </c>
      <c r="U1113" s="27">
        <f>U533*IF($E1113="weekday",INDEX('Category Mapping'!$F$28:$F$39,MATCH('Summarized Source Data'!$A1113,'Category Mapping'!$A$28:$A$39,0),1),INDEX('Category Mapping'!$E$28:$E$39,MATCH($A1113,'Category Mapping'!$A$28:$A$39,0),1))</f>
        <v>22054731.428571429</v>
      </c>
      <c r="V1113" s="27">
        <f>V533*IF($E1113="weekday",INDEX('Category Mapping'!$F$28:$F$39,MATCH('Summarized Source Data'!$A1113,'Category Mapping'!$A$28:$A$39,0),1),INDEX('Category Mapping'!$E$28:$E$39,MATCH($A1113,'Category Mapping'!$A$28:$A$39,0),1))</f>
        <v>22054731.428571429</v>
      </c>
      <c r="W1113" s="27">
        <f>W533*IF($E1113="weekday",INDEX('Category Mapping'!$F$28:$F$39,MATCH('Summarized Source Data'!$A1113,'Category Mapping'!$A$28:$A$39,0),1),INDEX('Category Mapping'!$E$28:$E$39,MATCH($A1113,'Category Mapping'!$A$28:$A$39,0),1))</f>
        <v>22054731.428571429</v>
      </c>
      <c r="X1113" s="27">
        <f>X533*IF($E1113="weekday",INDEX('Category Mapping'!$F$28:$F$39,MATCH('Summarized Source Data'!$A1113,'Category Mapping'!$A$28:$A$39,0),1),INDEX('Category Mapping'!$E$28:$E$39,MATCH($A1113,'Category Mapping'!$A$28:$A$39,0),1))</f>
        <v>2931428571.4285712</v>
      </c>
      <c r="Y1113" s="27">
        <f>Y533*IF($E1113="weekday",INDEX('Category Mapping'!$F$28:$F$39,MATCH('Summarized Source Data'!$A1113,'Category Mapping'!$A$28:$A$39,0),1),INDEX('Category Mapping'!$E$28:$E$39,MATCH($A1113,'Category Mapping'!$A$28:$A$39,0),1))</f>
        <v>2931428571.4285712</v>
      </c>
      <c r="Z1113" s="27">
        <f>Z533*IF($E1113="weekday",INDEX('Category Mapping'!$F$28:$F$39,MATCH('Summarized Source Data'!$A1113,'Category Mapping'!$A$28:$A$39,0),1),INDEX('Category Mapping'!$E$28:$E$39,MATCH($A1113,'Category Mapping'!$A$28:$A$39,0),1))</f>
        <v>2931428571.4285712</v>
      </c>
    </row>
    <row r="1114" spans="1:26" outlineLevel="1" x14ac:dyDescent="0.3">
      <c r="A1114">
        <f t="shared" ref="A1114:E1114" si="579">A534</f>
        <v>11</v>
      </c>
      <c r="B1114" t="str">
        <f t="shared" si="579"/>
        <v>Winter</v>
      </c>
      <c r="C1114" t="str">
        <f t="shared" si="579"/>
        <v>h3</v>
      </c>
      <c r="D1114" t="str">
        <f t="shared" si="579"/>
        <v>Hour2</v>
      </c>
      <c r="E1114" t="str">
        <f t="shared" si="579"/>
        <v>Weekend</v>
      </c>
      <c r="F1114" s="27">
        <f>F534*IF($E1114="weekday",INDEX('Category Mapping'!$F$28:$F$39,MATCH('Summarized Source Data'!$A1114,'Category Mapping'!$A$28:$A$39,0),1),INDEX('Category Mapping'!$E$28:$E$39,MATCH($A1114,'Category Mapping'!$A$28:$A$39,0),1))</f>
        <v>51037945.714285716</v>
      </c>
      <c r="G1114" s="27">
        <f>G534*IF($E1114="weekday",INDEX('Category Mapping'!$F$28:$F$39,MATCH('Summarized Source Data'!$A1114,'Category Mapping'!$A$28:$A$39,0),1),INDEX('Category Mapping'!$E$28:$E$39,MATCH($A1114,'Category Mapping'!$A$28:$A$39,0),1))</f>
        <v>201342.85714285713</v>
      </c>
      <c r="H1114" s="27">
        <f>H534*IF($E1114="weekday",INDEX('Category Mapping'!$F$28:$F$39,MATCH('Summarized Source Data'!$A1114,'Category Mapping'!$A$28:$A$39,0),1),INDEX('Category Mapping'!$E$28:$E$39,MATCH($A1114,'Category Mapping'!$A$28:$A$39,0),1))</f>
        <v>0</v>
      </c>
      <c r="I1114" s="27">
        <f>I534*IF($E1114="weekday",INDEX('Category Mapping'!$F$28:$F$39,MATCH('Summarized Source Data'!$A1114,'Category Mapping'!$A$28:$A$39,0),1),INDEX('Category Mapping'!$E$28:$E$39,MATCH($A1114,'Category Mapping'!$A$28:$A$39,0),1))</f>
        <v>49526700</v>
      </c>
      <c r="J1114" s="27">
        <f>J534*IF($E1114="weekday",INDEX('Category Mapping'!$F$28:$F$39,MATCH('Summarized Source Data'!$A1114,'Category Mapping'!$A$28:$A$39,0),1),INDEX('Category Mapping'!$E$28:$E$39,MATCH($A1114,'Category Mapping'!$A$28:$A$39,0),1))</f>
        <v>195805440</v>
      </c>
      <c r="K1114" s="27">
        <f>K534*IF($E1114="weekday",INDEX('Category Mapping'!$F$28:$F$39,MATCH('Summarized Source Data'!$A1114,'Category Mapping'!$A$28:$A$39,0),1),INDEX('Category Mapping'!$E$28:$E$39,MATCH($A1114,'Category Mapping'!$A$28:$A$39,0),1))</f>
        <v>195805440</v>
      </c>
      <c r="L1114" s="27">
        <f>L534*IF($E1114="weekday",INDEX('Category Mapping'!$F$28:$F$39,MATCH('Summarized Source Data'!$A1114,'Category Mapping'!$A$28:$A$39,0),1),INDEX('Category Mapping'!$E$28:$E$39,MATCH($A1114,'Category Mapping'!$A$28:$A$39,0),1))</f>
        <v>55277640</v>
      </c>
      <c r="M1114" s="27">
        <f>M534*IF($E1114="weekday",INDEX('Category Mapping'!$F$28:$F$39,MATCH('Summarized Source Data'!$A1114,'Category Mapping'!$A$28:$A$39,0),1),INDEX('Category Mapping'!$E$28:$E$39,MATCH($A1114,'Category Mapping'!$A$28:$A$39,0),1))</f>
        <v>570017.14285714284</v>
      </c>
      <c r="N1114" s="27">
        <f>N534*IF($E1114="weekday",INDEX('Category Mapping'!$F$28:$F$39,MATCH('Summarized Source Data'!$A1114,'Category Mapping'!$A$28:$A$39,0),1),INDEX('Category Mapping'!$E$28:$E$39,MATCH($A1114,'Category Mapping'!$A$28:$A$39,0),1))</f>
        <v>0</v>
      </c>
      <c r="O1114" s="27">
        <f>O534*IF($E1114="weekday",INDEX('Category Mapping'!$F$28:$F$39,MATCH('Summarized Source Data'!$A1114,'Category Mapping'!$A$28:$A$39,0),1),INDEX('Category Mapping'!$E$28:$E$39,MATCH($A1114,'Category Mapping'!$A$28:$A$39,0),1))</f>
        <v>578438057.14285707</v>
      </c>
      <c r="P1114" s="27">
        <f>P534*IF($E1114="weekday",INDEX('Category Mapping'!$F$28:$F$39,MATCH('Summarized Source Data'!$A1114,'Category Mapping'!$A$28:$A$39,0),1),INDEX('Category Mapping'!$E$28:$E$39,MATCH($A1114,'Category Mapping'!$A$28:$A$39,0),1))</f>
        <v>578438057.14285707</v>
      </c>
      <c r="Q1114" s="27">
        <f>Q534*IF($E1114="weekday",INDEX('Category Mapping'!$F$28:$F$39,MATCH('Summarized Source Data'!$A1114,'Category Mapping'!$A$28:$A$39,0),1),INDEX('Category Mapping'!$E$28:$E$39,MATCH($A1114,'Category Mapping'!$A$28:$A$39,0),1))</f>
        <v>578438057.14285707</v>
      </c>
      <c r="R1114" s="27">
        <f>R534*IF($E1114="weekday",INDEX('Category Mapping'!$F$28:$F$39,MATCH('Summarized Source Data'!$A1114,'Category Mapping'!$A$28:$A$39,0),1),INDEX('Category Mapping'!$E$28:$E$39,MATCH($A1114,'Category Mapping'!$A$28:$A$39,0),1))</f>
        <v>21753600</v>
      </c>
      <c r="S1114" s="27">
        <f>S534*IF($E1114="weekday",INDEX('Category Mapping'!$F$28:$F$39,MATCH('Summarized Source Data'!$A1114,'Category Mapping'!$A$28:$A$39,0),1),INDEX('Category Mapping'!$E$28:$E$39,MATCH($A1114,'Category Mapping'!$A$28:$A$39,0),1))</f>
        <v>21753600</v>
      </c>
      <c r="T1114" s="27">
        <f>T534*IF($E1114="weekday",INDEX('Category Mapping'!$F$28:$F$39,MATCH('Summarized Source Data'!$A1114,'Category Mapping'!$A$28:$A$39,0),1),INDEX('Category Mapping'!$E$28:$E$39,MATCH($A1114,'Category Mapping'!$A$28:$A$39,0),1))</f>
        <v>21753600</v>
      </c>
      <c r="U1114" s="27">
        <f>U534*IF($E1114="weekday",INDEX('Category Mapping'!$F$28:$F$39,MATCH('Summarized Source Data'!$A1114,'Category Mapping'!$A$28:$A$39,0),1),INDEX('Category Mapping'!$E$28:$E$39,MATCH($A1114,'Category Mapping'!$A$28:$A$39,0),1))</f>
        <v>21753600</v>
      </c>
      <c r="V1114" s="27">
        <f>V534*IF($E1114="weekday",INDEX('Category Mapping'!$F$28:$F$39,MATCH('Summarized Source Data'!$A1114,'Category Mapping'!$A$28:$A$39,0),1),INDEX('Category Mapping'!$E$28:$E$39,MATCH($A1114,'Category Mapping'!$A$28:$A$39,0),1))</f>
        <v>21753600</v>
      </c>
      <c r="W1114" s="27">
        <f>W534*IF($E1114="weekday",INDEX('Category Mapping'!$F$28:$F$39,MATCH('Summarized Source Data'!$A1114,'Category Mapping'!$A$28:$A$39,0),1),INDEX('Category Mapping'!$E$28:$E$39,MATCH($A1114,'Category Mapping'!$A$28:$A$39,0),1))</f>
        <v>21753600</v>
      </c>
      <c r="X1114" s="27">
        <f>X534*IF($E1114="weekday",INDEX('Category Mapping'!$F$28:$F$39,MATCH('Summarized Source Data'!$A1114,'Category Mapping'!$A$28:$A$39,0),1),INDEX('Category Mapping'!$E$28:$E$39,MATCH($A1114,'Category Mapping'!$A$28:$A$39,0),1))</f>
        <v>2931428571.4285712</v>
      </c>
      <c r="Y1114" s="27">
        <f>Y534*IF($E1114="weekday",INDEX('Category Mapping'!$F$28:$F$39,MATCH('Summarized Source Data'!$A1114,'Category Mapping'!$A$28:$A$39,0),1),INDEX('Category Mapping'!$E$28:$E$39,MATCH($A1114,'Category Mapping'!$A$28:$A$39,0),1))</f>
        <v>2931428571.4285712</v>
      </c>
      <c r="Z1114" s="27">
        <f>Z534*IF($E1114="weekday",INDEX('Category Mapping'!$F$28:$F$39,MATCH('Summarized Source Data'!$A1114,'Category Mapping'!$A$28:$A$39,0),1),INDEX('Category Mapping'!$E$28:$E$39,MATCH($A1114,'Category Mapping'!$A$28:$A$39,0),1))</f>
        <v>2931428571.4285712</v>
      </c>
    </row>
    <row r="1115" spans="1:26" outlineLevel="1" x14ac:dyDescent="0.3">
      <c r="A1115">
        <f t="shared" ref="A1115:E1115" si="580">A535</f>
        <v>11</v>
      </c>
      <c r="B1115" t="str">
        <f t="shared" si="580"/>
        <v>Winter</v>
      </c>
      <c r="C1115" t="str">
        <f t="shared" si="580"/>
        <v>h4</v>
      </c>
      <c r="D1115" t="str">
        <f t="shared" si="580"/>
        <v>Hour3</v>
      </c>
      <c r="E1115" t="str">
        <f t="shared" si="580"/>
        <v>Weekend</v>
      </c>
      <c r="F1115" s="27">
        <f>F535*IF($E1115="weekday",INDEX('Category Mapping'!$F$28:$F$39,MATCH('Summarized Source Data'!$A1115,'Category Mapping'!$A$28:$A$39,0),1),INDEX('Category Mapping'!$E$28:$E$39,MATCH($A1115,'Category Mapping'!$A$28:$A$39,0),1))</f>
        <v>50599457.142857142</v>
      </c>
      <c r="G1115" s="27">
        <f>G535*IF($E1115="weekday",INDEX('Category Mapping'!$F$28:$F$39,MATCH('Summarized Source Data'!$A1115,'Category Mapping'!$A$28:$A$39,0),1),INDEX('Category Mapping'!$E$28:$E$39,MATCH($A1115,'Category Mapping'!$A$28:$A$39,0),1))</f>
        <v>201728.57142857142</v>
      </c>
      <c r="H1115" s="27">
        <f>H535*IF($E1115="weekday",INDEX('Category Mapping'!$F$28:$F$39,MATCH('Summarized Source Data'!$A1115,'Category Mapping'!$A$28:$A$39,0),1),INDEX('Category Mapping'!$E$28:$E$39,MATCH($A1115,'Category Mapping'!$A$28:$A$39,0),1))</f>
        <v>0</v>
      </c>
      <c r="I1115" s="27">
        <f>I535*IF($E1115="weekday",INDEX('Category Mapping'!$F$28:$F$39,MATCH('Summarized Source Data'!$A1115,'Category Mapping'!$A$28:$A$39,0),1),INDEX('Category Mapping'!$E$28:$E$39,MATCH($A1115,'Category Mapping'!$A$28:$A$39,0),1))</f>
        <v>49484897.142857142</v>
      </c>
      <c r="J1115" s="27">
        <f>J535*IF($E1115="weekday",INDEX('Category Mapping'!$F$28:$F$39,MATCH('Summarized Source Data'!$A1115,'Category Mapping'!$A$28:$A$39,0),1),INDEX('Category Mapping'!$E$28:$E$39,MATCH($A1115,'Category Mapping'!$A$28:$A$39,0),1))</f>
        <v>161999631.42857143</v>
      </c>
      <c r="K1115" s="27">
        <f>K535*IF($E1115="weekday",INDEX('Category Mapping'!$F$28:$F$39,MATCH('Summarized Source Data'!$A1115,'Category Mapping'!$A$28:$A$39,0),1),INDEX('Category Mapping'!$E$28:$E$39,MATCH($A1115,'Category Mapping'!$A$28:$A$39,0),1))</f>
        <v>161999631.42857143</v>
      </c>
      <c r="L1115" s="27">
        <f>L535*IF($E1115="weekday",INDEX('Category Mapping'!$F$28:$F$39,MATCH('Summarized Source Data'!$A1115,'Category Mapping'!$A$28:$A$39,0),1),INDEX('Category Mapping'!$E$28:$E$39,MATCH($A1115,'Category Mapping'!$A$28:$A$39,0),1))</f>
        <v>56570837.142857142</v>
      </c>
      <c r="M1115" s="27">
        <f>M535*IF($E1115="weekday",INDEX('Category Mapping'!$F$28:$F$39,MATCH('Summarized Source Data'!$A1115,'Category Mapping'!$A$28:$A$39,0),1),INDEX('Category Mapping'!$E$28:$E$39,MATCH($A1115,'Category Mapping'!$A$28:$A$39,0),1))</f>
        <v>567077.14285714284</v>
      </c>
      <c r="N1115" s="27">
        <f>N535*IF($E1115="weekday",INDEX('Category Mapping'!$F$28:$F$39,MATCH('Summarized Source Data'!$A1115,'Category Mapping'!$A$28:$A$39,0),1),INDEX('Category Mapping'!$E$28:$E$39,MATCH($A1115,'Category Mapping'!$A$28:$A$39,0),1))</f>
        <v>0</v>
      </c>
      <c r="O1115" s="27">
        <f>O535*IF($E1115="weekday",INDEX('Category Mapping'!$F$28:$F$39,MATCH('Summarized Source Data'!$A1115,'Category Mapping'!$A$28:$A$39,0),1),INDEX('Category Mapping'!$E$28:$E$39,MATCH($A1115,'Category Mapping'!$A$28:$A$39,0),1))</f>
        <v>584004942.85714281</v>
      </c>
      <c r="P1115" s="27">
        <f>P535*IF($E1115="weekday",INDEX('Category Mapping'!$F$28:$F$39,MATCH('Summarized Source Data'!$A1115,'Category Mapping'!$A$28:$A$39,0),1),INDEX('Category Mapping'!$E$28:$E$39,MATCH($A1115,'Category Mapping'!$A$28:$A$39,0),1))</f>
        <v>584004942.85714281</v>
      </c>
      <c r="Q1115" s="27">
        <f>Q535*IF($E1115="weekday",INDEX('Category Mapping'!$F$28:$F$39,MATCH('Summarized Source Data'!$A1115,'Category Mapping'!$A$28:$A$39,0),1),INDEX('Category Mapping'!$E$28:$E$39,MATCH($A1115,'Category Mapping'!$A$28:$A$39,0),1))</f>
        <v>584004942.85714281</v>
      </c>
      <c r="R1115" s="27">
        <f>R535*IF($E1115="weekday",INDEX('Category Mapping'!$F$28:$F$39,MATCH('Summarized Source Data'!$A1115,'Category Mapping'!$A$28:$A$39,0),1),INDEX('Category Mapping'!$E$28:$E$39,MATCH($A1115,'Category Mapping'!$A$28:$A$39,0),1))</f>
        <v>21753600</v>
      </c>
      <c r="S1115" s="27">
        <f>S535*IF($E1115="weekday",INDEX('Category Mapping'!$F$28:$F$39,MATCH('Summarized Source Data'!$A1115,'Category Mapping'!$A$28:$A$39,0),1),INDEX('Category Mapping'!$E$28:$E$39,MATCH($A1115,'Category Mapping'!$A$28:$A$39,0),1))</f>
        <v>21753600</v>
      </c>
      <c r="T1115" s="27">
        <f>T535*IF($E1115="weekday",INDEX('Category Mapping'!$F$28:$F$39,MATCH('Summarized Source Data'!$A1115,'Category Mapping'!$A$28:$A$39,0),1),INDEX('Category Mapping'!$E$28:$E$39,MATCH($A1115,'Category Mapping'!$A$28:$A$39,0),1))</f>
        <v>21753600</v>
      </c>
      <c r="U1115" s="27">
        <f>U535*IF($E1115="weekday",INDEX('Category Mapping'!$F$28:$F$39,MATCH('Summarized Source Data'!$A1115,'Category Mapping'!$A$28:$A$39,0),1),INDEX('Category Mapping'!$E$28:$E$39,MATCH($A1115,'Category Mapping'!$A$28:$A$39,0),1))</f>
        <v>21753600</v>
      </c>
      <c r="V1115" s="27">
        <f>V535*IF($E1115="weekday",INDEX('Category Mapping'!$F$28:$F$39,MATCH('Summarized Source Data'!$A1115,'Category Mapping'!$A$28:$A$39,0),1),INDEX('Category Mapping'!$E$28:$E$39,MATCH($A1115,'Category Mapping'!$A$28:$A$39,0),1))</f>
        <v>21753600</v>
      </c>
      <c r="W1115" s="27">
        <f>W535*IF($E1115="weekday",INDEX('Category Mapping'!$F$28:$F$39,MATCH('Summarized Source Data'!$A1115,'Category Mapping'!$A$28:$A$39,0),1),INDEX('Category Mapping'!$E$28:$E$39,MATCH($A1115,'Category Mapping'!$A$28:$A$39,0),1))</f>
        <v>21753600</v>
      </c>
      <c r="X1115" s="27">
        <f>X535*IF($E1115="weekday",INDEX('Category Mapping'!$F$28:$F$39,MATCH('Summarized Source Data'!$A1115,'Category Mapping'!$A$28:$A$39,0),1),INDEX('Category Mapping'!$E$28:$E$39,MATCH($A1115,'Category Mapping'!$A$28:$A$39,0),1))</f>
        <v>2940000000</v>
      </c>
      <c r="Y1115" s="27">
        <f>Y535*IF($E1115="weekday",INDEX('Category Mapping'!$F$28:$F$39,MATCH('Summarized Source Data'!$A1115,'Category Mapping'!$A$28:$A$39,0),1),INDEX('Category Mapping'!$E$28:$E$39,MATCH($A1115,'Category Mapping'!$A$28:$A$39,0),1))</f>
        <v>2940000000</v>
      </c>
      <c r="Z1115" s="27">
        <f>Z535*IF($E1115="weekday",INDEX('Category Mapping'!$F$28:$F$39,MATCH('Summarized Source Data'!$A1115,'Category Mapping'!$A$28:$A$39,0),1),INDEX('Category Mapping'!$E$28:$E$39,MATCH($A1115,'Category Mapping'!$A$28:$A$39,0),1))</f>
        <v>2940000000</v>
      </c>
    </row>
    <row r="1116" spans="1:26" outlineLevel="1" x14ac:dyDescent="0.3">
      <c r="A1116">
        <f t="shared" ref="A1116:E1116" si="581">A536</f>
        <v>11</v>
      </c>
      <c r="B1116" t="str">
        <f t="shared" si="581"/>
        <v>Winter</v>
      </c>
      <c r="C1116" t="str">
        <f t="shared" si="581"/>
        <v>h5</v>
      </c>
      <c r="D1116" t="str">
        <f t="shared" si="581"/>
        <v>Hour4</v>
      </c>
      <c r="E1116" t="str">
        <f t="shared" si="581"/>
        <v>Weekend</v>
      </c>
      <c r="F1116" s="27">
        <f>F536*IF($E1116="weekday",INDEX('Category Mapping'!$F$28:$F$39,MATCH('Summarized Source Data'!$A1116,'Category Mapping'!$A$28:$A$39,0),1),INDEX('Category Mapping'!$E$28:$E$39,MATCH($A1116,'Category Mapping'!$A$28:$A$39,0),1))</f>
        <v>49313374.285714284</v>
      </c>
      <c r="G1116" s="27">
        <f>G536*IF($E1116="weekday",INDEX('Category Mapping'!$F$28:$F$39,MATCH('Summarized Source Data'!$A1116,'Category Mapping'!$A$28:$A$39,0),1),INDEX('Category Mapping'!$E$28:$E$39,MATCH($A1116,'Category Mapping'!$A$28:$A$39,0),1))</f>
        <v>201077.14285714284</v>
      </c>
      <c r="H1116" s="27">
        <f>H536*IF($E1116="weekday",INDEX('Category Mapping'!$F$28:$F$39,MATCH('Summarized Source Data'!$A1116,'Category Mapping'!$A$28:$A$39,0),1),INDEX('Category Mapping'!$E$28:$E$39,MATCH($A1116,'Category Mapping'!$A$28:$A$39,0),1))</f>
        <v>0</v>
      </c>
      <c r="I1116" s="27">
        <f>I536*IF($E1116="weekday",INDEX('Category Mapping'!$F$28:$F$39,MATCH('Summarized Source Data'!$A1116,'Category Mapping'!$A$28:$A$39,0),1),INDEX('Category Mapping'!$E$28:$E$39,MATCH($A1116,'Category Mapping'!$A$28:$A$39,0),1))</f>
        <v>52087602.857142858</v>
      </c>
      <c r="J1116" s="27">
        <f>J536*IF($E1116="weekday",INDEX('Category Mapping'!$F$28:$F$39,MATCH('Summarized Source Data'!$A1116,'Category Mapping'!$A$28:$A$39,0),1),INDEX('Category Mapping'!$E$28:$E$39,MATCH($A1116,'Category Mapping'!$A$28:$A$39,0),1))</f>
        <v>165826517.14285713</v>
      </c>
      <c r="K1116" s="27">
        <f>K536*IF($E1116="weekday",INDEX('Category Mapping'!$F$28:$F$39,MATCH('Summarized Source Data'!$A1116,'Category Mapping'!$A$28:$A$39,0),1),INDEX('Category Mapping'!$E$28:$E$39,MATCH($A1116,'Category Mapping'!$A$28:$A$39,0),1))</f>
        <v>165826517.14285713</v>
      </c>
      <c r="L1116" s="27">
        <f>L536*IF($E1116="weekday",INDEX('Category Mapping'!$F$28:$F$39,MATCH('Summarized Source Data'!$A1116,'Category Mapping'!$A$28:$A$39,0),1),INDEX('Category Mapping'!$E$28:$E$39,MATCH($A1116,'Category Mapping'!$A$28:$A$39,0),1))</f>
        <v>58162765.714285709</v>
      </c>
      <c r="M1116" s="27">
        <f>M536*IF($E1116="weekday",INDEX('Category Mapping'!$F$28:$F$39,MATCH('Summarized Source Data'!$A1116,'Category Mapping'!$A$28:$A$39,0),1),INDEX('Category Mapping'!$E$28:$E$39,MATCH($A1116,'Category Mapping'!$A$28:$A$39,0),1))</f>
        <v>566442.85714285716</v>
      </c>
      <c r="N1116" s="27">
        <f>N536*IF($E1116="weekday",INDEX('Category Mapping'!$F$28:$F$39,MATCH('Summarized Source Data'!$A1116,'Category Mapping'!$A$28:$A$39,0),1),INDEX('Category Mapping'!$E$28:$E$39,MATCH($A1116,'Category Mapping'!$A$28:$A$39,0),1))</f>
        <v>0</v>
      </c>
      <c r="O1116" s="27">
        <f>O536*IF($E1116="weekday",INDEX('Category Mapping'!$F$28:$F$39,MATCH('Summarized Source Data'!$A1116,'Category Mapping'!$A$28:$A$39,0),1),INDEX('Category Mapping'!$E$28:$E$39,MATCH($A1116,'Category Mapping'!$A$28:$A$39,0),1))</f>
        <v>592699362.85714281</v>
      </c>
      <c r="P1116" s="27">
        <f>P536*IF($E1116="weekday",INDEX('Category Mapping'!$F$28:$F$39,MATCH('Summarized Source Data'!$A1116,'Category Mapping'!$A$28:$A$39,0),1),INDEX('Category Mapping'!$E$28:$E$39,MATCH($A1116,'Category Mapping'!$A$28:$A$39,0),1))</f>
        <v>592699362.85714281</v>
      </c>
      <c r="Q1116" s="27">
        <f>Q536*IF($E1116="weekday",INDEX('Category Mapping'!$F$28:$F$39,MATCH('Summarized Source Data'!$A1116,'Category Mapping'!$A$28:$A$39,0),1),INDEX('Category Mapping'!$E$28:$E$39,MATCH($A1116,'Category Mapping'!$A$28:$A$39,0),1))</f>
        <v>592699362.85714281</v>
      </c>
      <c r="R1116" s="27">
        <f>R536*IF($E1116="weekday",INDEX('Category Mapping'!$F$28:$F$39,MATCH('Summarized Source Data'!$A1116,'Category Mapping'!$A$28:$A$39,0),1),INDEX('Category Mapping'!$E$28:$E$39,MATCH($A1116,'Category Mapping'!$A$28:$A$39,0),1))</f>
        <v>21653220</v>
      </c>
      <c r="S1116" s="27">
        <f>S536*IF($E1116="weekday",INDEX('Category Mapping'!$F$28:$F$39,MATCH('Summarized Source Data'!$A1116,'Category Mapping'!$A$28:$A$39,0),1),INDEX('Category Mapping'!$E$28:$E$39,MATCH($A1116,'Category Mapping'!$A$28:$A$39,0),1))</f>
        <v>21653220</v>
      </c>
      <c r="T1116" s="27">
        <f>T536*IF($E1116="weekday",INDEX('Category Mapping'!$F$28:$F$39,MATCH('Summarized Source Data'!$A1116,'Category Mapping'!$A$28:$A$39,0),1),INDEX('Category Mapping'!$E$28:$E$39,MATCH($A1116,'Category Mapping'!$A$28:$A$39,0),1))</f>
        <v>21653220</v>
      </c>
      <c r="U1116" s="27">
        <f>U536*IF($E1116="weekday",INDEX('Category Mapping'!$F$28:$F$39,MATCH('Summarized Source Data'!$A1116,'Category Mapping'!$A$28:$A$39,0),1),INDEX('Category Mapping'!$E$28:$E$39,MATCH($A1116,'Category Mapping'!$A$28:$A$39,0),1))</f>
        <v>21653220</v>
      </c>
      <c r="V1116" s="27">
        <f>V536*IF($E1116="weekday",INDEX('Category Mapping'!$F$28:$F$39,MATCH('Summarized Source Data'!$A1116,'Category Mapping'!$A$28:$A$39,0),1),INDEX('Category Mapping'!$E$28:$E$39,MATCH($A1116,'Category Mapping'!$A$28:$A$39,0),1))</f>
        <v>21653220</v>
      </c>
      <c r="W1116" s="27">
        <f>W536*IF($E1116="weekday",INDEX('Category Mapping'!$F$28:$F$39,MATCH('Summarized Source Data'!$A1116,'Category Mapping'!$A$28:$A$39,0),1),INDEX('Category Mapping'!$E$28:$E$39,MATCH($A1116,'Category Mapping'!$A$28:$A$39,0),1))</f>
        <v>21653220</v>
      </c>
      <c r="X1116" s="27">
        <f>X536*IF($E1116="weekday",INDEX('Category Mapping'!$F$28:$F$39,MATCH('Summarized Source Data'!$A1116,'Category Mapping'!$A$28:$A$39,0),1),INDEX('Category Mapping'!$E$28:$E$39,MATCH($A1116,'Category Mapping'!$A$28:$A$39,0),1))</f>
        <v>2965714285.7142859</v>
      </c>
      <c r="Y1116" s="27">
        <f>Y536*IF($E1116="weekday",INDEX('Category Mapping'!$F$28:$F$39,MATCH('Summarized Source Data'!$A1116,'Category Mapping'!$A$28:$A$39,0),1),INDEX('Category Mapping'!$E$28:$E$39,MATCH($A1116,'Category Mapping'!$A$28:$A$39,0),1))</f>
        <v>2965714285.7142859</v>
      </c>
      <c r="Z1116" s="27">
        <f>Z536*IF($E1116="weekday",INDEX('Category Mapping'!$F$28:$F$39,MATCH('Summarized Source Data'!$A1116,'Category Mapping'!$A$28:$A$39,0),1),INDEX('Category Mapping'!$E$28:$E$39,MATCH($A1116,'Category Mapping'!$A$28:$A$39,0),1))</f>
        <v>2965714285.7142859</v>
      </c>
    </row>
    <row r="1117" spans="1:26" outlineLevel="1" x14ac:dyDescent="0.3">
      <c r="A1117">
        <f t="shared" ref="A1117:E1117" si="582">A537</f>
        <v>11</v>
      </c>
      <c r="B1117" t="str">
        <f t="shared" si="582"/>
        <v>Winter</v>
      </c>
      <c r="C1117" t="str">
        <f t="shared" si="582"/>
        <v>h6</v>
      </c>
      <c r="D1117" t="str">
        <f t="shared" si="582"/>
        <v>Hour5</v>
      </c>
      <c r="E1117" t="str">
        <f t="shared" si="582"/>
        <v>Weekend</v>
      </c>
      <c r="F1117" s="27">
        <f>F537*IF($E1117="weekday",INDEX('Category Mapping'!$F$28:$F$39,MATCH('Summarized Source Data'!$A1117,'Category Mapping'!$A$28:$A$39,0),1),INDEX('Category Mapping'!$E$28:$E$39,MATCH($A1117,'Category Mapping'!$A$28:$A$39,0),1))</f>
        <v>53946934.285714284</v>
      </c>
      <c r="G1117" s="27">
        <f>G537*IF($E1117="weekday",INDEX('Category Mapping'!$F$28:$F$39,MATCH('Summarized Source Data'!$A1117,'Category Mapping'!$A$28:$A$39,0),1),INDEX('Category Mapping'!$E$28:$E$39,MATCH($A1117,'Category Mapping'!$A$28:$A$39,0),1))</f>
        <v>197477.14285714284</v>
      </c>
      <c r="H1117" s="27">
        <f>H537*IF($E1117="weekday",INDEX('Category Mapping'!$F$28:$F$39,MATCH('Summarized Source Data'!$A1117,'Category Mapping'!$A$28:$A$39,0),1),INDEX('Category Mapping'!$E$28:$E$39,MATCH($A1117,'Category Mapping'!$A$28:$A$39,0),1))</f>
        <v>0</v>
      </c>
      <c r="I1117" s="27">
        <f>I537*IF($E1117="weekday",INDEX('Category Mapping'!$F$28:$F$39,MATCH('Summarized Source Data'!$A1117,'Category Mapping'!$A$28:$A$39,0),1),INDEX('Category Mapping'!$E$28:$E$39,MATCH($A1117,'Category Mapping'!$A$28:$A$39,0),1))</f>
        <v>67503668.571428567</v>
      </c>
      <c r="J1117" s="27">
        <f>J537*IF($E1117="weekday",INDEX('Category Mapping'!$F$28:$F$39,MATCH('Summarized Source Data'!$A1117,'Category Mapping'!$A$28:$A$39,0),1),INDEX('Category Mapping'!$E$28:$E$39,MATCH($A1117,'Category Mapping'!$A$28:$A$39,0),1))</f>
        <v>191209062.85714287</v>
      </c>
      <c r="K1117" s="27">
        <f>K537*IF($E1117="weekday",INDEX('Category Mapping'!$F$28:$F$39,MATCH('Summarized Source Data'!$A1117,'Category Mapping'!$A$28:$A$39,0),1),INDEX('Category Mapping'!$E$28:$E$39,MATCH($A1117,'Category Mapping'!$A$28:$A$39,0),1))</f>
        <v>191209062.85714287</v>
      </c>
      <c r="L1117" s="27">
        <f>L537*IF($E1117="weekday",INDEX('Category Mapping'!$F$28:$F$39,MATCH('Summarized Source Data'!$A1117,'Category Mapping'!$A$28:$A$39,0),1),INDEX('Category Mapping'!$E$28:$E$39,MATCH($A1117,'Category Mapping'!$A$28:$A$39,0),1))</f>
        <v>61300877.142857142</v>
      </c>
      <c r="M1117" s="27">
        <f>M537*IF($E1117="weekday",INDEX('Category Mapping'!$F$28:$F$39,MATCH('Summarized Source Data'!$A1117,'Category Mapping'!$A$28:$A$39,0),1),INDEX('Category Mapping'!$E$28:$E$39,MATCH($A1117,'Category Mapping'!$A$28:$A$39,0),1))</f>
        <v>572622.85714285716</v>
      </c>
      <c r="N1117" s="27">
        <f>N537*IF($E1117="weekday",INDEX('Category Mapping'!$F$28:$F$39,MATCH('Summarized Source Data'!$A1117,'Category Mapping'!$A$28:$A$39,0),1),INDEX('Category Mapping'!$E$28:$E$39,MATCH($A1117,'Category Mapping'!$A$28:$A$39,0),1))</f>
        <v>0</v>
      </c>
      <c r="O1117" s="27">
        <f>O537*IF($E1117="weekday",INDEX('Category Mapping'!$F$28:$F$39,MATCH('Summarized Source Data'!$A1117,'Category Mapping'!$A$28:$A$39,0),1),INDEX('Category Mapping'!$E$28:$E$39,MATCH($A1117,'Category Mapping'!$A$28:$A$39,0),1))</f>
        <v>634126500</v>
      </c>
      <c r="P1117" s="27">
        <f>P537*IF($E1117="weekday",INDEX('Category Mapping'!$F$28:$F$39,MATCH('Summarized Source Data'!$A1117,'Category Mapping'!$A$28:$A$39,0),1),INDEX('Category Mapping'!$E$28:$E$39,MATCH($A1117,'Category Mapping'!$A$28:$A$39,0),1))</f>
        <v>634126500</v>
      </c>
      <c r="Q1117" s="27">
        <f>Q537*IF($E1117="weekday",INDEX('Category Mapping'!$F$28:$F$39,MATCH('Summarized Source Data'!$A1117,'Category Mapping'!$A$28:$A$39,0),1),INDEX('Category Mapping'!$E$28:$E$39,MATCH($A1117,'Category Mapping'!$A$28:$A$39,0),1))</f>
        <v>634126500</v>
      </c>
      <c r="R1117" s="27">
        <f>R537*IF($E1117="weekday",INDEX('Category Mapping'!$F$28:$F$39,MATCH('Summarized Source Data'!$A1117,'Category Mapping'!$A$28:$A$39,0),1),INDEX('Category Mapping'!$E$28:$E$39,MATCH($A1117,'Category Mapping'!$A$28:$A$39,0),1))</f>
        <v>21803785.714285713</v>
      </c>
      <c r="S1117" s="27">
        <f>S537*IF($E1117="weekday",INDEX('Category Mapping'!$F$28:$F$39,MATCH('Summarized Source Data'!$A1117,'Category Mapping'!$A$28:$A$39,0),1),INDEX('Category Mapping'!$E$28:$E$39,MATCH($A1117,'Category Mapping'!$A$28:$A$39,0),1))</f>
        <v>21803785.714285713</v>
      </c>
      <c r="T1117" s="27">
        <f>T537*IF($E1117="weekday",INDEX('Category Mapping'!$F$28:$F$39,MATCH('Summarized Source Data'!$A1117,'Category Mapping'!$A$28:$A$39,0),1),INDEX('Category Mapping'!$E$28:$E$39,MATCH($A1117,'Category Mapping'!$A$28:$A$39,0),1))</f>
        <v>21803785.714285713</v>
      </c>
      <c r="U1117" s="27">
        <f>U537*IF($E1117="weekday",INDEX('Category Mapping'!$F$28:$F$39,MATCH('Summarized Source Data'!$A1117,'Category Mapping'!$A$28:$A$39,0),1),INDEX('Category Mapping'!$E$28:$E$39,MATCH($A1117,'Category Mapping'!$A$28:$A$39,0),1))</f>
        <v>21803785.714285713</v>
      </c>
      <c r="V1117" s="27">
        <f>V537*IF($E1117="weekday",INDEX('Category Mapping'!$F$28:$F$39,MATCH('Summarized Source Data'!$A1117,'Category Mapping'!$A$28:$A$39,0),1),INDEX('Category Mapping'!$E$28:$E$39,MATCH($A1117,'Category Mapping'!$A$28:$A$39,0),1))</f>
        <v>21803785.714285713</v>
      </c>
      <c r="W1117" s="27">
        <f>W537*IF($E1117="weekday",INDEX('Category Mapping'!$F$28:$F$39,MATCH('Summarized Source Data'!$A1117,'Category Mapping'!$A$28:$A$39,0),1),INDEX('Category Mapping'!$E$28:$E$39,MATCH($A1117,'Category Mapping'!$A$28:$A$39,0),1))</f>
        <v>21803785.714285713</v>
      </c>
      <c r="X1117" s="27">
        <f>X537*IF($E1117="weekday",INDEX('Category Mapping'!$F$28:$F$39,MATCH('Summarized Source Data'!$A1117,'Category Mapping'!$A$28:$A$39,0),1),INDEX('Category Mapping'!$E$28:$E$39,MATCH($A1117,'Category Mapping'!$A$28:$A$39,0),1))</f>
        <v>2991428571.4285712</v>
      </c>
      <c r="Y1117" s="27">
        <f>Y537*IF($E1117="weekday",INDEX('Category Mapping'!$F$28:$F$39,MATCH('Summarized Source Data'!$A1117,'Category Mapping'!$A$28:$A$39,0),1),INDEX('Category Mapping'!$E$28:$E$39,MATCH($A1117,'Category Mapping'!$A$28:$A$39,0),1))</f>
        <v>2991428571.4285712</v>
      </c>
      <c r="Z1117" s="27">
        <f>Z537*IF($E1117="weekday",INDEX('Category Mapping'!$F$28:$F$39,MATCH('Summarized Source Data'!$A1117,'Category Mapping'!$A$28:$A$39,0),1),INDEX('Category Mapping'!$E$28:$E$39,MATCH($A1117,'Category Mapping'!$A$28:$A$39,0),1))</f>
        <v>2991428571.4285712</v>
      </c>
    </row>
    <row r="1118" spans="1:26" outlineLevel="1" x14ac:dyDescent="0.3">
      <c r="A1118">
        <f t="shared" ref="A1118:E1118" si="583">A538</f>
        <v>11</v>
      </c>
      <c r="B1118" t="str">
        <f t="shared" si="583"/>
        <v>Winter</v>
      </c>
      <c r="C1118" t="str">
        <f t="shared" si="583"/>
        <v>h7</v>
      </c>
      <c r="D1118" t="str">
        <f t="shared" si="583"/>
        <v>Hour6</v>
      </c>
      <c r="E1118" t="str">
        <f t="shared" si="583"/>
        <v>Weekend</v>
      </c>
      <c r="F1118" s="27">
        <f>F538*IF($E1118="weekday",INDEX('Category Mapping'!$F$28:$F$39,MATCH('Summarized Source Data'!$A1118,'Category Mapping'!$A$28:$A$39,0),1),INDEX('Category Mapping'!$E$28:$E$39,MATCH($A1118,'Category Mapping'!$A$28:$A$39,0),1))</f>
        <v>57520594.285714284</v>
      </c>
      <c r="G1118" s="27">
        <f>G538*IF($E1118="weekday",INDEX('Category Mapping'!$F$28:$F$39,MATCH('Summarized Source Data'!$A1118,'Category Mapping'!$A$28:$A$39,0),1),INDEX('Category Mapping'!$E$28:$E$39,MATCH($A1118,'Category Mapping'!$A$28:$A$39,0),1))</f>
        <v>189574.28571428571</v>
      </c>
      <c r="H1118" s="27">
        <f>H538*IF($E1118="weekday",INDEX('Category Mapping'!$F$28:$F$39,MATCH('Summarized Source Data'!$A1118,'Category Mapping'!$A$28:$A$39,0),1),INDEX('Category Mapping'!$E$28:$E$39,MATCH($A1118,'Category Mapping'!$A$28:$A$39,0),1))</f>
        <v>0</v>
      </c>
      <c r="I1118" s="27">
        <f>I538*IF($E1118="weekday",INDEX('Category Mapping'!$F$28:$F$39,MATCH('Summarized Source Data'!$A1118,'Category Mapping'!$A$28:$A$39,0),1),INDEX('Category Mapping'!$E$28:$E$39,MATCH($A1118,'Category Mapping'!$A$28:$A$39,0),1))</f>
        <v>116571428.57142857</v>
      </c>
      <c r="J1118" s="27">
        <f>J538*IF($E1118="weekday",INDEX('Category Mapping'!$F$28:$F$39,MATCH('Summarized Source Data'!$A1118,'Category Mapping'!$A$28:$A$39,0),1),INDEX('Category Mapping'!$E$28:$E$39,MATCH($A1118,'Category Mapping'!$A$28:$A$39,0),1))</f>
        <v>281718402.85714287</v>
      </c>
      <c r="K1118" s="27">
        <f>K538*IF($E1118="weekday",INDEX('Category Mapping'!$F$28:$F$39,MATCH('Summarized Source Data'!$A1118,'Category Mapping'!$A$28:$A$39,0),1),INDEX('Category Mapping'!$E$28:$E$39,MATCH($A1118,'Category Mapping'!$A$28:$A$39,0),1))</f>
        <v>281718402.85714287</v>
      </c>
      <c r="L1118" s="27">
        <f>L538*IF($E1118="weekday",INDEX('Category Mapping'!$F$28:$F$39,MATCH('Summarized Source Data'!$A1118,'Category Mapping'!$A$28:$A$39,0),1),INDEX('Category Mapping'!$E$28:$E$39,MATCH($A1118,'Category Mapping'!$A$28:$A$39,0),1))</f>
        <v>90857142.857142851</v>
      </c>
      <c r="M1118" s="27">
        <f>M538*IF($E1118="weekday",INDEX('Category Mapping'!$F$28:$F$39,MATCH('Summarized Source Data'!$A1118,'Category Mapping'!$A$28:$A$39,0),1),INDEX('Category Mapping'!$E$28:$E$39,MATCH($A1118,'Category Mapping'!$A$28:$A$39,0),1))</f>
        <v>594737.14285714284</v>
      </c>
      <c r="N1118" s="27">
        <f>N538*IF($E1118="weekday",INDEX('Category Mapping'!$F$28:$F$39,MATCH('Summarized Source Data'!$A1118,'Category Mapping'!$A$28:$A$39,0),1),INDEX('Category Mapping'!$E$28:$E$39,MATCH($A1118,'Category Mapping'!$A$28:$A$39,0),1))</f>
        <v>0</v>
      </c>
      <c r="O1118" s="27">
        <f>O538*IF($E1118="weekday",INDEX('Category Mapping'!$F$28:$F$39,MATCH('Summarized Source Data'!$A1118,'Category Mapping'!$A$28:$A$39,0),1),INDEX('Category Mapping'!$E$28:$E$39,MATCH($A1118,'Category Mapping'!$A$28:$A$39,0),1))</f>
        <v>709976691.42857146</v>
      </c>
      <c r="P1118" s="27">
        <f>P538*IF($E1118="weekday",INDEX('Category Mapping'!$F$28:$F$39,MATCH('Summarized Source Data'!$A1118,'Category Mapping'!$A$28:$A$39,0),1),INDEX('Category Mapping'!$E$28:$E$39,MATCH($A1118,'Category Mapping'!$A$28:$A$39,0),1))</f>
        <v>709976691.42857146</v>
      </c>
      <c r="Q1118" s="27">
        <f>Q538*IF($E1118="weekday",INDEX('Category Mapping'!$F$28:$F$39,MATCH('Summarized Source Data'!$A1118,'Category Mapping'!$A$28:$A$39,0),1),INDEX('Category Mapping'!$E$28:$E$39,MATCH($A1118,'Category Mapping'!$A$28:$A$39,0),1))</f>
        <v>709976691.42857146</v>
      </c>
      <c r="R1118" s="27">
        <f>R538*IF($E1118="weekday",INDEX('Category Mapping'!$F$28:$F$39,MATCH('Summarized Source Data'!$A1118,'Category Mapping'!$A$28:$A$39,0),1),INDEX('Category Mapping'!$E$28:$E$39,MATCH($A1118,'Category Mapping'!$A$28:$A$39,0),1))</f>
        <v>27033780</v>
      </c>
      <c r="S1118" s="27">
        <f>S538*IF($E1118="weekday",INDEX('Category Mapping'!$F$28:$F$39,MATCH('Summarized Source Data'!$A1118,'Category Mapping'!$A$28:$A$39,0),1),INDEX('Category Mapping'!$E$28:$E$39,MATCH($A1118,'Category Mapping'!$A$28:$A$39,0),1))</f>
        <v>27033780</v>
      </c>
      <c r="T1118" s="27">
        <f>T538*IF($E1118="weekday",INDEX('Category Mapping'!$F$28:$F$39,MATCH('Summarized Source Data'!$A1118,'Category Mapping'!$A$28:$A$39,0),1),INDEX('Category Mapping'!$E$28:$E$39,MATCH($A1118,'Category Mapping'!$A$28:$A$39,0),1))</f>
        <v>27033780</v>
      </c>
      <c r="U1118" s="27">
        <f>U538*IF($E1118="weekday",INDEX('Category Mapping'!$F$28:$F$39,MATCH('Summarized Source Data'!$A1118,'Category Mapping'!$A$28:$A$39,0),1),INDEX('Category Mapping'!$E$28:$E$39,MATCH($A1118,'Category Mapping'!$A$28:$A$39,0),1))</f>
        <v>27033780</v>
      </c>
      <c r="V1118" s="27">
        <f>V538*IF($E1118="weekday",INDEX('Category Mapping'!$F$28:$F$39,MATCH('Summarized Source Data'!$A1118,'Category Mapping'!$A$28:$A$39,0),1),INDEX('Category Mapping'!$E$28:$E$39,MATCH($A1118,'Category Mapping'!$A$28:$A$39,0),1))</f>
        <v>27033780</v>
      </c>
      <c r="W1118" s="27">
        <f>W538*IF($E1118="weekday",INDEX('Category Mapping'!$F$28:$F$39,MATCH('Summarized Source Data'!$A1118,'Category Mapping'!$A$28:$A$39,0),1),INDEX('Category Mapping'!$E$28:$E$39,MATCH($A1118,'Category Mapping'!$A$28:$A$39,0),1))</f>
        <v>27033780</v>
      </c>
      <c r="X1118" s="27">
        <f>X538*IF($E1118="weekday",INDEX('Category Mapping'!$F$28:$F$39,MATCH('Summarized Source Data'!$A1118,'Category Mapping'!$A$28:$A$39,0),1),INDEX('Category Mapping'!$E$28:$E$39,MATCH($A1118,'Category Mapping'!$A$28:$A$39,0),1))</f>
        <v>3008571428.5714283</v>
      </c>
      <c r="Y1118" s="27">
        <f>Y538*IF($E1118="weekday",INDEX('Category Mapping'!$F$28:$F$39,MATCH('Summarized Source Data'!$A1118,'Category Mapping'!$A$28:$A$39,0),1),INDEX('Category Mapping'!$E$28:$E$39,MATCH($A1118,'Category Mapping'!$A$28:$A$39,0),1))</f>
        <v>3008571428.5714283</v>
      </c>
      <c r="Z1118" s="27">
        <f>Z538*IF($E1118="weekday",INDEX('Category Mapping'!$F$28:$F$39,MATCH('Summarized Source Data'!$A1118,'Category Mapping'!$A$28:$A$39,0),1),INDEX('Category Mapping'!$E$28:$E$39,MATCH($A1118,'Category Mapping'!$A$28:$A$39,0),1))</f>
        <v>3008571428.5714283</v>
      </c>
    </row>
    <row r="1119" spans="1:26" outlineLevel="1" x14ac:dyDescent="0.3">
      <c r="A1119">
        <f t="shared" ref="A1119:E1119" si="584">A539</f>
        <v>11</v>
      </c>
      <c r="B1119" t="str">
        <f t="shared" si="584"/>
        <v>Winter</v>
      </c>
      <c r="C1119" t="str">
        <f t="shared" si="584"/>
        <v>h8</v>
      </c>
      <c r="D1119" t="str">
        <f t="shared" si="584"/>
        <v>Hour7</v>
      </c>
      <c r="E1119" t="str">
        <f t="shared" si="584"/>
        <v>Weekend</v>
      </c>
      <c r="F1119" s="27">
        <f>F539*IF($E1119="weekday",INDEX('Category Mapping'!$F$28:$F$39,MATCH('Summarized Source Data'!$A1119,'Category Mapping'!$A$28:$A$39,0),1),INDEX('Category Mapping'!$E$28:$E$39,MATCH($A1119,'Category Mapping'!$A$28:$A$39,0),1))</f>
        <v>62432562.857142858</v>
      </c>
      <c r="G1119" s="27">
        <f>G539*IF($E1119="weekday",INDEX('Category Mapping'!$F$28:$F$39,MATCH('Summarized Source Data'!$A1119,'Category Mapping'!$A$28:$A$39,0),1),INDEX('Category Mapping'!$E$28:$E$39,MATCH($A1119,'Category Mapping'!$A$28:$A$39,0),1))</f>
        <v>176220</v>
      </c>
      <c r="H1119" s="27">
        <f>H539*IF($E1119="weekday",INDEX('Category Mapping'!$F$28:$F$39,MATCH('Summarized Source Data'!$A1119,'Category Mapping'!$A$28:$A$39,0),1),INDEX('Category Mapping'!$E$28:$E$39,MATCH($A1119,'Category Mapping'!$A$28:$A$39,0),1))</f>
        <v>0</v>
      </c>
      <c r="I1119" s="27">
        <f>I539*IF($E1119="weekday",INDEX('Category Mapping'!$F$28:$F$39,MATCH('Summarized Source Data'!$A1119,'Category Mapping'!$A$28:$A$39,0),1),INDEX('Category Mapping'!$E$28:$E$39,MATCH($A1119,'Category Mapping'!$A$28:$A$39,0),1))</f>
        <v>108857142.85714285</v>
      </c>
      <c r="J1119" s="27">
        <f>J539*IF($E1119="weekday",INDEX('Category Mapping'!$F$28:$F$39,MATCH('Summarized Source Data'!$A1119,'Category Mapping'!$A$28:$A$39,0),1),INDEX('Category Mapping'!$E$28:$E$39,MATCH($A1119,'Category Mapping'!$A$28:$A$39,0),1))</f>
        <v>400248360</v>
      </c>
      <c r="K1119" s="27">
        <f>K539*IF($E1119="weekday",INDEX('Category Mapping'!$F$28:$F$39,MATCH('Summarized Source Data'!$A1119,'Category Mapping'!$A$28:$A$39,0),1),INDEX('Category Mapping'!$E$28:$E$39,MATCH($A1119,'Category Mapping'!$A$28:$A$39,0),1))</f>
        <v>400248360</v>
      </c>
      <c r="L1119" s="27">
        <f>L539*IF($E1119="weekday",INDEX('Category Mapping'!$F$28:$F$39,MATCH('Summarized Source Data'!$A1119,'Category Mapping'!$A$28:$A$39,0),1),INDEX('Category Mapping'!$E$28:$E$39,MATCH($A1119,'Category Mapping'!$A$28:$A$39,0),1))</f>
        <v>152571428.57142857</v>
      </c>
      <c r="M1119" s="27">
        <f>M539*IF($E1119="weekday",INDEX('Category Mapping'!$F$28:$F$39,MATCH('Summarized Source Data'!$A1119,'Category Mapping'!$A$28:$A$39,0),1),INDEX('Category Mapping'!$E$28:$E$39,MATCH($A1119,'Category Mapping'!$A$28:$A$39,0),1))</f>
        <v>638365.71428571432</v>
      </c>
      <c r="N1119" s="27">
        <f>N539*IF($E1119="weekday",INDEX('Category Mapping'!$F$28:$F$39,MATCH('Summarized Source Data'!$A1119,'Category Mapping'!$A$28:$A$39,0),1),INDEX('Category Mapping'!$E$28:$E$39,MATCH($A1119,'Category Mapping'!$A$28:$A$39,0),1))</f>
        <v>0</v>
      </c>
      <c r="O1119" s="27">
        <f>O539*IF($E1119="weekday",INDEX('Category Mapping'!$F$28:$F$39,MATCH('Summarized Source Data'!$A1119,'Category Mapping'!$A$28:$A$39,0),1),INDEX('Category Mapping'!$E$28:$E$39,MATCH($A1119,'Category Mapping'!$A$28:$A$39,0),1))</f>
        <v>901075920</v>
      </c>
      <c r="P1119" s="27">
        <f>P539*IF($E1119="weekday",INDEX('Category Mapping'!$F$28:$F$39,MATCH('Summarized Source Data'!$A1119,'Category Mapping'!$A$28:$A$39,0),1),INDEX('Category Mapping'!$E$28:$E$39,MATCH($A1119,'Category Mapping'!$A$28:$A$39,0),1))</f>
        <v>901075920</v>
      </c>
      <c r="Q1119" s="27">
        <f>Q539*IF($E1119="weekday",INDEX('Category Mapping'!$F$28:$F$39,MATCH('Summarized Source Data'!$A1119,'Category Mapping'!$A$28:$A$39,0),1),INDEX('Category Mapping'!$E$28:$E$39,MATCH($A1119,'Category Mapping'!$A$28:$A$39,0),1))</f>
        <v>901075920</v>
      </c>
      <c r="R1119" s="27">
        <f>R539*IF($E1119="weekday",INDEX('Category Mapping'!$F$28:$F$39,MATCH('Summarized Source Data'!$A1119,'Category Mapping'!$A$28:$A$39,0),1),INDEX('Category Mapping'!$E$28:$E$39,MATCH($A1119,'Category Mapping'!$A$28:$A$39,0),1))</f>
        <v>35176637.142857142</v>
      </c>
      <c r="S1119" s="27">
        <f>S539*IF($E1119="weekday",INDEX('Category Mapping'!$F$28:$F$39,MATCH('Summarized Source Data'!$A1119,'Category Mapping'!$A$28:$A$39,0),1),INDEX('Category Mapping'!$E$28:$E$39,MATCH($A1119,'Category Mapping'!$A$28:$A$39,0),1))</f>
        <v>35176637.142857142</v>
      </c>
      <c r="T1119" s="27">
        <f>T539*IF($E1119="weekday",INDEX('Category Mapping'!$F$28:$F$39,MATCH('Summarized Source Data'!$A1119,'Category Mapping'!$A$28:$A$39,0),1),INDEX('Category Mapping'!$E$28:$E$39,MATCH($A1119,'Category Mapping'!$A$28:$A$39,0),1))</f>
        <v>35176637.142857142</v>
      </c>
      <c r="U1119" s="27">
        <f>U539*IF($E1119="weekday",INDEX('Category Mapping'!$F$28:$F$39,MATCH('Summarized Source Data'!$A1119,'Category Mapping'!$A$28:$A$39,0),1),INDEX('Category Mapping'!$E$28:$E$39,MATCH($A1119,'Category Mapping'!$A$28:$A$39,0),1))</f>
        <v>35176637.142857142</v>
      </c>
      <c r="V1119" s="27">
        <f>V539*IF($E1119="weekday",INDEX('Category Mapping'!$F$28:$F$39,MATCH('Summarized Source Data'!$A1119,'Category Mapping'!$A$28:$A$39,0),1),INDEX('Category Mapping'!$E$28:$E$39,MATCH($A1119,'Category Mapping'!$A$28:$A$39,0),1))</f>
        <v>35176637.142857142</v>
      </c>
      <c r="W1119" s="27">
        <f>W539*IF($E1119="weekday",INDEX('Category Mapping'!$F$28:$F$39,MATCH('Summarized Source Data'!$A1119,'Category Mapping'!$A$28:$A$39,0),1),INDEX('Category Mapping'!$E$28:$E$39,MATCH($A1119,'Category Mapping'!$A$28:$A$39,0),1))</f>
        <v>35176637.142857142</v>
      </c>
      <c r="X1119" s="27">
        <f>X539*IF($E1119="weekday",INDEX('Category Mapping'!$F$28:$F$39,MATCH('Summarized Source Data'!$A1119,'Category Mapping'!$A$28:$A$39,0),1),INDEX('Category Mapping'!$E$28:$E$39,MATCH($A1119,'Category Mapping'!$A$28:$A$39,0),1))</f>
        <v>3008571428.5714283</v>
      </c>
      <c r="Y1119" s="27">
        <f>Y539*IF($E1119="weekday",INDEX('Category Mapping'!$F$28:$F$39,MATCH('Summarized Source Data'!$A1119,'Category Mapping'!$A$28:$A$39,0),1),INDEX('Category Mapping'!$E$28:$E$39,MATCH($A1119,'Category Mapping'!$A$28:$A$39,0),1))</f>
        <v>3008571428.5714283</v>
      </c>
      <c r="Z1119" s="27">
        <f>Z539*IF($E1119="weekday",INDEX('Category Mapping'!$F$28:$F$39,MATCH('Summarized Source Data'!$A1119,'Category Mapping'!$A$28:$A$39,0),1),INDEX('Category Mapping'!$E$28:$E$39,MATCH($A1119,'Category Mapping'!$A$28:$A$39,0),1))</f>
        <v>3008571428.5714283</v>
      </c>
    </row>
    <row r="1120" spans="1:26" outlineLevel="1" x14ac:dyDescent="0.3">
      <c r="A1120">
        <f t="shared" ref="A1120:E1120" si="585">A540</f>
        <v>11</v>
      </c>
      <c r="B1120" t="str">
        <f t="shared" si="585"/>
        <v>Winter</v>
      </c>
      <c r="C1120" t="str">
        <f t="shared" si="585"/>
        <v>h9</v>
      </c>
      <c r="D1120" t="str">
        <f t="shared" si="585"/>
        <v>Hour8</v>
      </c>
      <c r="E1120" t="str">
        <f t="shared" si="585"/>
        <v>Weekend</v>
      </c>
      <c r="F1120" s="27">
        <f>F540*IF($E1120="weekday",INDEX('Category Mapping'!$F$28:$F$39,MATCH('Summarized Source Data'!$A1120,'Category Mapping'!$A$28:$A$39,0),1),INDEX('Category Mapping'!$E$28:$E$39,MATCH($A1120,'Category Mapping'!$A$28:$A$39,0),1))</f>
        <v>64239385.714285709</v>
      </c>
      <c r="G1120" s="27">
        <f>G540*IF($E1120="weekday",INDEX('Category Mapping'!$F$28:$F$39,MATCH('Summarized Source Data'!$A1120,'Category Mapping'!$A$28:$A$39,0),1),INDEX('Category Mapping'!$E$28:$E$39,MATCH($A1120,'Category Mapping'!$A$28:$A$39,0),1))</f>
        <v>157628.57142857142</v>
      </c>
      <c r="H1120" s="27">
        <f>H540*IF($E1120="weekday",INDEX('Category Mapping'!$F$28:$F$39,MATCH('Summarized Source Data'!$A1120,'Category Mapping'!$A$28:$A$39,0),1),INDEX('Category Mapping'!$E$28:$E$39,MATCH($A1120,'Category Mapping'!$A$28:$A$39,0),1))</f>
        <v>0</v>
      </c>
      <c r="I1120" s="27">
        <f>I540*IF($E1120="weekday",INDEX('Category Mapping'!$F$28:$F$39,MATCH('Summarized Source Data'!$A1120,'Category Mapping'!$A$28:$A$39,0),1),INDEX('Category Mapping'!$E$28:$E$39,MATCH($A1120,'Category Mapping'!$A$28:$A$39,0),1))</f>
        <v>65782842.857142858</v>
      </c>
      <c r="J1120" s="27">
        <f>J540*IF($E1120="weekday",INDEX('Category Mapping'!$F$28:$F$39,MATCH('Summarized Source Data'!$A1120,'Category Mapping'!$A$28:$A$39,0),1),INDEX('Category Mapping'!$E$28:$E$39,MATCH($A1120,'Category Mapping'!$A$28:$A$39,0),1))</f>
        <v>501534428.57142854</v>
      </c>
      <c r="K1120" s="27">
        <f>K540*IF($E1120="weekday",INDEX('Category Mapping'!$F$28:$F$39,MATCH('Summarized Source Data'!$A1120,'Category Mapping'!$A$28:$A$39,0),1),INDEX('Category Mapping'!$E$28:$E$39,MATCH($A1120,'Category Mapping'!$A$28:$A$39,0),1))</f>
        <v>501534428.57142854</v>
      </c>
      <c r="L1120" s="27">
        <f>L540*IF($E1120="weekday",INDEX('Category Mapping'!$F$28:$F$39,MATCH('Summarized Source Data'!$A1120,'Category Mapping'!$A$28:$A$39,0),1),INDEX('Category Mapping'!$E$28:$E$39,MATCH($A1120,'Category Mapping'!$A$28:$A$39,0),1))</f>
        <v>158571428.57142857</v>
      </c>
      <c r="M1120" s="27">
        <f>M540*IF($E1120="weekday",INDEX('Category Mapping'!$F$28:$F$39,MATCH('Summarized Source Data'!$A1120,'Category Mapping'!$A$28:$A$39,0),1),INDEX('Category Mapping'!$E$28:$E$39,MATCH($A1120,'Category Mapping'!$A$28:$A$39,0),1))</f>
        <v>702505.71428571432</v>
      </c>
      <c r="N1120" s="27">
        <f>N540*IF($E1120="weekday",INDEX('Category Mapping'!$F$28:$F$39,MATCH('Summarized Source Data'!$A1120,'Category Mapping'!$A$28:$A$39,0),1),INDEX('Category Mapping'!$E$28:$E$39,MATCH($A1120,'Category Mapping'!$A$28:$A$39,0),1))</f>
        <v>0</v>
      </c>
      <c r="O1120" s="27">
        <f>O540*IF($E1120="weekday",INDEX('Category Mapping'!$F$28:$F$39,MATCH('Summarized Source Data'!$A1120,'Category Mapping'!$A$28:$A$39,0),1),INDEX('Category Mapping'!$E$28:$E$39,MATCH($A1120,'Category Mapping'!$A$28:$A$39,0),1))</f>
        <v>1023583208.5714285</v>
      </c>
      <c r="P1120" s="27">
        <f>P540*IF($E1120="weekday",INDEX('Category Mapping'!$F$28:$F$39,MATCH('Summarized Source Data'!$A1120,'Category Mapping'!$A$28:$A$39,0),1),INDEX('Category Mapping'!$E$28:$E$39,MATCH($A1120,'Category Mapping'!$A$28:$A$39,0),1))</f>
        <v>1023583208.5714285</v>
      </c>
      <c r="Q1120" s="27">
        <f>Q540*IF($E1120="weekday",INDEX('Category Mapping'!$F$28:$F$39,MATCH('Summarized Source Data'!$A1120,'Category Mapping'!$A$28:$A$39,0),1),INDEX('Category Mapping'!$E$28:$E$39,MATCH($A1120,'Category Mapping'!$A$28:$A$39,0),1))</f>
        <v>1023583208.5714285</v>
      </c>
      <c r="R1120" s="27">
        <f>R540*IF($E1120="weekday",INDEX('Category Mapping'!$F$28:$F$39,MATCH('Summarized Source Data'!$A1120,'Category Mapping'!$A$28:$A$39,0),1),INDEX('Category Mapping'!$E$28:$E$39,MATCH($A1120,'Category Mapping'!$A$28:$A$39,0),1))</f>
        <v>41994102.857142858</v>
      </c>
      <c r="S1120" s="27">
        <f>S540*IF($E1120="weekday",INDEX('Category Mapping'!$F$28:$F$39,MATCH('Summarized Source Data'!$A1120,'Category Mapping'!$A$28:$A$39,0),1),INDEX('Category Mapping'!$E$28:$E$39,MATCH($A1120,'Category Mapping'!$A$28:$A$39,0),1))</f>
        <v>41994102.857142858</v>
      </c>
      <c r="T1120" s="27">
        <f>T540*IF($E1120="weekday",INDEX('Category Mapping'!$F$28:$F$39,MATCH('Summarized Source Data'!$A1120,'Category Mapping'!$A$28:$A$39,0),1),INDEX('Category Mapping'!$E$28:$E$39,MATCH($A1120,'Category Mapping'!$A$28:$A$39,0),1))</f>
        <v>41994102.857142858</v>
      </c>
      <c r="U1120" s="27">
        <f>U540*IF($E1120="weekday",INDEX('Category Mapping'!$F$28:$F$39,MATCH('Summarized Source Data'!$A1120,'Category Mapping'!$A$28:$A$39,0),1),INDEX('Category Mapping'!$E$28:$E$39,MATCH($A1120,'Category Mapping'!$A$28:$A$39,0),1))</f>
        <v>41994102.857142858</v>
      </c>
      <c r="V1120" s="27">
        <f>V540*IF($E1120="weekday",INDEX('Category Mapping'!$F$28:$F$39,MATCH('Summarized Source Data'!$A1120,'Category Mapping'!$A$28:$A$39,0),1),INDEX('Category Mapping'!$E$28:$E$39,MATCH($A1120,'Category Mapping'!$A$28:$A$39,0),1))</f>
        <v>41994102.857142858</v>
      </c>
      <c r="W1120" s="27">
        <f>W540*IF($E1120="weekday",INDEX('Category Mapping'!$F$28:$F$39,MATCH('Summarized Source Data'!$A1120,'Category Mapping'!$A$28:$A$39,0),1),INDEX('Category Mapping'!$E$28:$E$39,MATCH($A1120,'Category Mapping'!$A$28:$A$39,0),1))</f>
        <v>41994102.857142858</v>
      </c>
      <c r="X1120" s="27">
        <f>X540*IF($E1120="weekday",INDEX('Category Mapping'!$F$28:$F$39,MATCH('Summarized Source Data'!$A1120,'Category Mapping'!$A$28:$A$39,0),1),INDEX('Category Mapping'!$E$28:$E$39,MATCH($A1120,'Category Mapping'!$A$28:$A$39,0),1))</f>
        <v>3008571428.5714283</v>
      </c>
      <c r="Y1120" s="27">
        <f>Y540*IF($E1120="weekday",INDEX('Category Mapping'!$F$28:$F$39,MATCH('Summarized Source Data'!$A1120,'Category Mapping'!$A$28:$A$39,0),1),INDEX('Category Mapping'!$E$28:$E$39,MATCH($A1120,'Category Mapping'!$A$28:$A$39,0),1))</f>
        <v>3008571428.5714283</v>
      </c>
      <c r="Z1120" s="27">
        <f>Z540*IF($E1120="weekday",INDEX('Category Mapping'!$F$28:$F$39,MATCH('Summarized Source Data'!$A1120,'Category Mapping'!$A$28:$A$39,0),1),INDEX('Category Mapping'!$E$28:$E$39,MATCH($A1120,'Category Mapping'!$A$28:$A$39,0),1))</f>
        <v>3008571428.5714283</v>
      </c>
    </row>
    <row r="1121" spans="1:26" outlineLevel="1" x14ac:dyDescent="0.3">
      <c r="A1121">
        <f t="shared" ref="A1121:E1121" si="586">A541</f>
        <v>11</v>
      </c>
      <c r="B1121" t="str">
        <f t="shared" si="586"/>
        <v>Winter</v>
      </c>
      <c r="C1121" t="str">
        <f t="shared" si="586"/>
        <v>h10</v>
      </c>
      <c r="D1121" t="str">
        <f t="shared" si="586"/>
        <v>Hour9</v>
      </c>
      <c r="E1121" t="str">
        <f t="shared" si="586"/>
        <v>Weekend</v>
      </c>
      <c r="F1121" s="27">
        <f>F541*IF($E1121="weekday",INDEX('Category Mapping'!$F$28:$F$39,MATCH('Summarized Source Data'!$A1121,'Category Mapping'!$A$28:$A$39,0),1),INDEX('Category Mapping'!$E$28:$E$39,MATCH($A1121,'Category Mapping'!$A$28:$A$39,0),1))</f>
        <v>62179285.714285709</v>
      </c>
      <c r="G1121" s="27">
        <f>G541*IF($E1121="weekday",INDEX('Category Mapping'!$F$28:$F$39,MATCH('Summarized Source Data'!$A1121,'Category Mapping'!$A$28:$A$39,0),1),INDEX('Category Mapping'!$E$28:$E$39,MATCH($A1121,'Category Mapping'!$A$28:$A$39,0),1))</f>
        <v>137382.85714285713</v>
      </c>
      <c r="H1121" s="27">
        <f>H541*IF($E1121="weekday",INDEX('Category Mapping'!$F$28:$F$39,MATCH('Summarized Source Data'!$A1121,'Category Mapping'!$A$28:$A$39,0),1),INDEX('Category Mapping'!$E$28:$E$39,MATCH($A1121,'Category Mapping'!$A$28:$A$39,0),1))</f>
        <v>0</v>
      </c>
      <c r="I1121" s="27">
        <f>I541*IF($E1121="weekday",INDEX('Category Mapping'!$F$28:$F$39,MATCH('Summarized Source Data'!$A1121,'Category Mapping'!$A$28:$A$39,0),1),INDEX('Category Mapping'!$E$28:$E$39,MATCH($A1121,'Category Mapping'!$A$28:$A$39,0),1))</f>
        <v>68162880</v>
      </c>
      <c r="J1121" s="27">
        <f>J541*IF($E1121="weekday",INDEX('Category Mapping'!$F$28:$F$39,MATCH('Summarized Source Data'!$A1121,'Category Mapping'!$A$28:$A$39,0),1),INDEX('Category Mapping'!$E$28:$E$39,MATCH($A1121,'Category Mapping'!$A$28:$A$39,0),1))</f>
        <v>634091880</v>
      </c>
      <c r="K1121" s="27">
        <f>K541*IF($E1121="weekday",INDEX('Category Mapping'!$F$28:$F$39,MATCH('Summarized Source Data'!$A1121,'Category Mapping'!$A$28:$A$39,0),1),INDEX('Category Mapping'!$E$28:$E$39,MATCH($A1121,'Category Mapping'!$A$28:$A$39,0),1))</f>
        <v>634091880</v>
      </c>
      <c r="L1121" s="27">
        <f>L541*IF($E1121="weekday",INDEX('Category Mapping'!$F$28:$F$39,MATCH('Summarized Source Data'!$A1121,'Category Mapping'!$A$28:$A$39,0),1),INDEX('Category Mapping'!$E$28:$E$39,MATCH($A1121,'Category Mapping'!$A$28:$A$39,0),1))</f>
        <v>130285714.28571428</v>
      </c>
      <c r="M1121" s="27">
        <f>M541*IF($E1121="weekday",INDEX('Category Mapping'!$F$28:$F$39,MATCH('Summarized Source Data'!$A1121,'Category Mapping'!$A$28:$A$39,0),1),INDEX('Category Mapping'!$E$28:$E$39,MATCH($A1121,'Category Mapping'!$A$28:$A$39,0),1))</f>
        <v>743460</v>
      </c>
      <c r="N1121" s="27">
        <f>N541*IF($E1121="weekday",INDEX('Category Mapping'!$F$28:$F$39,MATCH('Summarized Source Data'!$A1121,'Category Mapping'!$A$28:$A$39,0),1),INDEX('Category Mapping'!$E$28:$E$39,MATCH($A1121,'Category Mapping'!$A$28:$A$39,0),1))</f>
        <v>0</v>
      </c>
      <c r="O1121" s="27">
        <f>O541*IF($E1121="weekday",INDEX('Category Mapping'!$F$28:$F$39,MATCH('Summarized Source Data'!$A1121,'Category Mapping'!$A$28:$A$39,0),1),INDEX('Category Mapping'!$E$28:$E$39,MATCH($A1121,'Category Mapping'!$A$28:$A$39,0),1))</f>
        <v>1111827968.5714285</v>
      </c>
      <c r="P1121" s="27">
        <f>P541*IF($E1121="weekday",INDEX('Category Mapping'!$F$28:$F$39,MATCH('Summarized Source Data'!$A1121,'Category Mapping'!$A$28:$A$39,0),1),INDEX('Category Mapping'!$E$28:$E$39,MATCH($A1121,'Category Mapping'!$A$28:$A$39,0),1))</f>
        <v>1111827968.5714285</v>
      </c>
      <c r="Q1121" s="27">
        <f>Q541*IF($E1121="weekday",INDEX('Category Mapping'!$F$28:$F$39,MATCH('Summarized Source Data'!$A1121,'Category Mapping'!$A$28:$A$39,0),1),INDEX('Category Mapping'!$E$28:$E$39,MATCH($A1121,'Category Mapping'!$A$28:$A$39,0),1))</f>
        <v>1111827968.5714285</v>
      </c>
      <c r="R1121" s="27">
        <f>R541*IF($E1121="weekday",INDEX('Category Mapping'!$F$28:$F$39,MATCH('Summarized Source Data'!$A1121,'Category Mapping'!$A$28:$A$39,0),1),INDEX('Category Mapping'!$E$28:$E$39,MATCH($A1121,'Category Mapping'!$A$28:$A$39,0),1))</f>
        <v>47599414.285714284</v>
      </c>
      <c r="S1121" s="27">
        <f>S541*IF($E1121="weekday",INDEX('Category Mapping'!$F$28:$F$39,MATCH('Summarized Source Data'!$A1121,'Category Mapping'!$A$28:$A$39,0),1),INDEX('Category Mapping'!$E$28:$E$39,MATCH($A1121,'Category Mapping'!$A$28:$A$39,0),1))</f>
        <v>47599414.285714284</v>
      </c>
      <c r="T1121" s="27">
        <f>T541*IF($E1121="weekday",INDEX('Category Mapping'!$F$28:$F$39,MATCH('Summarized Source Data'!$A1121,'Category Mapping'!$A$28:$A$39,0),1),INDEX('Category Mapping'!$E$28:$E$39,MATCH($A1121,'Category Mapping'!$A$28:$A$39,0),1))</f>
        <v>47599414.285714284</v>
      </c>
      <c r="U1121" s="27">
        <f>U541*IF($E1121="weekday",INDEX('Category Mapping'!$F$28:$F$39,MATCH('Summarized Source Data'!$A1121,'Category Mapping'!$A$28:$A$39,0),1),INDEX('Category Mapping'!$E$28:$E$39,MATCH($A1121,'Category Mapping'!$A$28:$A$39,0),1))</f>
        <v>47599414.285714284</v>
      </c>
      <c r="V1121" s="27">
        <f>V541*IF($E1121="weekday",INDEX('Category Mapping'!$F$28:$F$39,MATCH('Summarized Source Data'!$A1121,'Category Mapping'!$A$28:$A$39,0),1),INDEX('Category Mapping'!$E$28:$E$39,MATCH($A1121,'Category Mapping'!$A$28:$A$39,0),1))</f>
        <v>47599414.285714284</v>
      </c>
      <c r="W1121" s="27">
        <f>W541*IF($E1121="weekday",INDEX('Category Mapping'!$F$28:$F$39,MATCH('Summarized Source Data'!$A1121,'Category Mapping'!$A$28:$A$39,0),1),INDEX('Category Mapping'!$E$28:$E$39,MATCH($A1121,'Category Mapping'!$A$28:$A$39,0),1))</f>
        <v>47599414.285714284</v>
      </c>
      <c r="X1121" s="27">
        <f>X541*IF($E1121="weekday",INDEX('Category Mapping'!$F$28:$F$39,MATCH('Summarized Source Data'!$A1121,'Category Mapping'!$A$28:$A$39,0),1),INDEX('Category Mapping'!$E$28:$E$39,MATCH($A1121,'Category Mapping'!$A$28:$A$39,0),1))</f>
        <v>2991428571.4285712</v>
      </c>
      <c r="Y1121" s="27">
        <f>Y541*IF($E1121="weekday",INDEX('Category Mapping'!$F$28:$F$39,MATCH('Summarized Source Data'!$A1121,'Category Mapping'!$A$28:$A$39,0),1),INDEX('Category Mapping'!$E$28:$E$39,MATCH($A1121,'Category Mapping'!$A$28:$A$39,0),1))</f>
        <v>2991428571.4285712</v>
      </c>
      <c r="Z1121" s="27">
        <f>Z541*IF($E1121="weekday",INDEX('Category Mapping'!$F$28:$F$39,MATCH('Summarized Source Data'!$A1121,'Category Mapping'!$A$28:$A$39,0),1),INDEX('Category Mapping'!$E$28:$E$39,MATCH($A1121,'Category Mapping'!$A$28:$A$39,0),1))</f>
        <v>2991428571.4285712</v>
      </c>
    </row>
    <row r="1122" spans="1:26" outlineLevel="1" x14ac:dyDescent="0.3">
      <c r="A1122">
        <f t="shared" ref="A1122:E1122" si="587">A542</f>
        <v>11</v>
      </c>
      <c r="B1122" t="str">
        <f t="shared" si="587"/>
        <v>Winter</v>
      </c>
      <c r="C1122" t="str">
        <f t="shared" si="587"/>
        <v>h11</v>
      </c>
      <c r="D1122" t="str">
        <f t="shared" si="587"/>
        <v>Hour10</v>
      </c>
      <c r="E1122" t="str">
        <f t="shared" si="587"/>
        <v>Weekend</v>
      </c>
      <c r="F1122" s="27">
        <f>F542*IF($E1122="weekday",INDEX('Category Mapping'!$F$28:$F$39,MATCH('Summarized Source Data'!$A1122,'Category Mapping'!$A$28:$A$39,0),1),INDEX('Category Mapping'!$E$28:$E$39,MATCH($A1122,'Category Mapping'!$A$28:$A$39,0),1))</f>
        <v>61852971.428571425</v>
      </c>
      <c r="G1122" s="27">
        <f>G542*IF($E1122="weekday",INDEX('Category Mapping'!$F$28:$F$39,MATCH('Summarized Source Data'!$A1122,'Category Mapping'!$A$28:$A$39,0),1),INDEX('Category Mapping'!$E$28:$E$39,MATCH($A1122,'Category Mapping'!$A$28:$A$39,0),1))</f>
        <v>128194.28571428571</v>
      </c>
      <c r="H1122" s="27">
        <f>H542*IF($E1122="weekday",INDEX('Category Mapping'!$F$28:$F$39,MATCH('Summarized Source Data'!$A1122,'Category Mapping'!$A$28:$A$39,0),1),INDEX('Category Mapping'!$E$28:$E$39,MATCH($A1122,'Category Mapping'!$A$28:$A$39,0),1))</f>
        <v>0</v>
      </c>
      <c r="I1122" s="27">
        <f>I542*IF($E1122="weekday",INDEX('Category Mapping'!$F$28:$F$39,MATCH('Summarized Source Data'!$A1122,'Category Mapping'!$A$28:$A$39,0),1),INDEX('Category Mapping'!$E$28:$E$39,MATCH($A1122,'Category Mapping'!$A$28:$A$39,0),1))</f>
        <v>68569482.857142851</v>
      </c>
      <c r="J1122" s="27">
        <f>J542*IF($E1122="weekday",INDEX('Category Mapping'!$F$28:$F$39,MATCH('Summarized Source Data'!$A1122,'Category Mapping'!$A$28:$A$39,0),1),INDEX('Category Mapping'!$E$28:$E$39,MATCH($A1122,'Category Mapping'!$A$28:$A$39,0),1))</f>
        <v>778020780</v>
      </c>
      <c r="K1122" s="27">
        <f>K542*IF($E1122="weekday",INDEX('Category Mapping'!$F$28:$F$39,MATCH('Summarized Source Data'!$A1122,'Category Mapping'!$A$28:$A$39,0),1),INDEX('Category Mapping'!$E$28:$E$39,MATCH($A1122,'Category Mapping'!$A$28:$A$39,0),1))</f>
        <v>778020780</v>
      </c>
      <c r="L1122" s="27">
        <f>L542*IF($E1122="weekday",INDEX('Category Mapping'!$F$28:$F$39,MATCH('Summarized Source Data'!$A1122,'Category Mapping'!$A$28:$A$39,0),1),INDEX('Category Mapping'!$E$28:$E$39,MATCH($A1122,'Category Mapping'!$A$28:$A$39,0),1))</f>
        <v>110571428.57142857</v>
      </c>
      <c r="M1122" s="27">
        <f>M542*IF($E1122="weekday",INDEX('Category Mapping'!$F$28:$F$39,MATCH('Summarized Source Data'!$A1122,'Category Mapping'!$A$28:$A$39,0),1),INDEX('Category Mapping'!$E$28:$E$39,MATCH($A1122,'Category Mapping'!$A$28:$A$39,0),1))</f>
        <v>764742.85714285716</v>
      </c>
      <c r="N1122" s="27">
        <f>N542*IF($E1122="weekday",INDEX('Category Mapping'!$F$28:$F$39,MATCH('Summarized Source Data'!$A1122,'Category Mapping'!$A$28:$A$39,0),1),INDEX('Category Mapping'!$E$28:$E$39,MATCH($A1122,'Category Mapping'!$A$28:$A$39,0),1))</f>
        <v>0</v>
      </c>
      <c r="O1122" s="27">
        <f>O542*IF($E1122="weekday",INDEX('Category Mapping'!$F$28:$F$39,MATCH('Summarized Source Data'!$A1122,'Category Mapping'!$A$28:$A$39,0),1),INDEX('Category Mapping'!$E$28:$E$39,MATCH($A1122,'Category Mapping'!$A$28:$A$39,0),1))</f>
        <v>1097235257.1428571</v>
      </c>
      <c r="P1122" s="27">
        <f>P542*IF($E1122="weekday",INDEX('Category Mapping'!$F$28:$F$39,MATCH('Summarized Source Data'!$A1122,'Category Mapping'!$A$28:$A$39,0),1),INDEX('Category Mapping'!$E$28:$E$39,MATCH($A1122,'Category Mapping'!$A$28:$A$39,0),1))</f>
        <v>1097235257.1428571</v>
      </c>
      <c r="Q1122" s="27">
        <f>Q542*IF($E1122="weekday",INDEX('Category Mapping'!$F$28:$F$39,MATCH('Summarized Source Data'!$A1122,'Category Mapping'!$A$28:$A$39,0),1),INDEX('Category Mapping'!$E$28:$E$39,MATCH($A1122,'Category Mapping'!$A$28:$A$39,0),1))</f>
        <v>1097235257.1428571</v>
      </c>
      <c r="R1122" s="27">
        <f>R542*IF($E1122="weekday",INDEX('Category Mapping'!$F$28:$F$39,MATCH('Summarized Source Data'!$A1122,'Category Mapping'!$A$28:$A$39,0),1),INDEX('Category Mapping'!$E$28:$E$39,MATCH($A1122,'Category Mapping'!$A$28:$A$39,0),1))</f>
        <v>50395525.714285716</v>
      </c>
      <c r="S1122" s="27">
        <f>S542*IF($E1122="weekday",INDEX('Category Mapping'!$F$28:$F$39,MATCH('Summarized Source Data'!$A1122,'Category Mapping'!$A$28:$A$39,0),1),INDEX('Category Mapping'!$E$28:$E$39,MATCH($A1122,'Category Mapping'!$A$28:$A$39,0),1))</f>
        <v>50395525.714285716</v>
      </c>
      <c r="T1122" s="27">
        <f>T542*IF($E1122="weekday",INDEX('Category Mapping'!$F$28:$F$39,MATCH('Summarized Source Data'!$A1122,'Category Mapping'!$A$28:$A$39,0),1),INDEX('Category Mapping'!$E$28:$E$39,MATCH($A1122,'Category Mapping'!$A$28:$A$39,0),1))</f>
        <v>50395525.714285716</v>
      </c>
      <c r="U1122" s="27">
        <f>U542*IF($E1122="weekday",INDEX('Category Mapping'!$F$28:$F$39,MATCH('Summarized Source Data'!$A1122,'Category Mapping'!$A$28:$A$39,0),1),INDEX('Category Mapping'!$E$28:$E$39,MATCH($A1122,'Category Mapping'!$A$28:$A$39,0),1))</f>
        <v>50395525.714285716</v>
      </c>
      <c r="V1122" s="27">
        <f>V542*IF($E1122="weekday",INDEX('Category Mapping'!$F$28:$F$39,MATCH('Summarized Source Data'!$A1122,'Category Mapping'!$A$28:$A$39,0),1),INDEX('Category Mapping'!$E$28:$E$39,MATCH($A1122,'Category Mapping'!$A$28:$A$39,0),1))</f>
        <v>50395525.714285716</v>
      </c>
      <c r="W1122" s="27">
        <f>W542*IF($E1122="weekday",INDEX('Category Mapping'!$F$28:$F$39,MATCH('Summarized Source Data'!$A1122,'Category Mapping'!$A$28:$A$39,0),1),INDEX('Category Mapping'!$E$28:$E$39,MATCH($A1122,'Category Mapping'!$A$28:$A$39,0),1))</f>
        <v>50395525.714285716</v>
      </c>
      <c r="X1122" s="27">
        <f>X542*IF($E1122="weekday",INDEX('Category Mapping'!$F$28:$F$39,MATCH('Summarized Source Data'!$A1122,'Category Mapping'!$A$28:$A$39,0),1),INDEX('Category Mapping'!$E$28:$E$39,MATCH($A1122,'Category Mapping'!$A$28:$A$39,0),1))</f>
        <v>2982857142.8571429</v>
      </c>
      <c r="Y1122" s="27">
        <f>Y542*IF($E1122="weekday",INDEX('Category Mapping'!$F$28:$F$39,MATCH('Summarized Source Data'!$A1122,'Category Mapping'!$A$28:$A$39,0),1),INDEX('Category Mapping'!$E$28:$E$39,MATCH($A1122,'Category Mapping'!$A$28:$A$39,0),1))</f>
        <v>2982857142.8571429</v>
      </c>
      <c r="Z1122" s="27">
        <f>Z542*IF($E1122="weekday",INDEX('Category Mapping'!$F$28:$F$39,MATCH('Summarized Source Data'!$A1122,'Category Mapping'!$A$28:$A$39,0),1),INDEX('Category Mapping'!$E$28:$E$39,MATCH($A1122,'Category Mapping'!$A$28:$A$39,0),1))</f>
        <v>2982857142.8571429</v>
      </c>
    </row>
    <row r="1123" spans="1:26" outlineLevel="1" x14ac:dyDescent="0.3">
      <c r="A1123">
        <f t="shared" ref="A1123:E1123" si="588">A543</f>
        <v>11</v>
      </c>
      <c r="B1123" t="str">
        <f t="shared" si="588"/>
        <v>Winter</v>
      </c>
      <c r="C1123" t="str">
        <f t="shared" si="588"/>
        <v>h12</v>
      </c>
      <c r="D1123" t="str">
        <f t="shared" si="588"/>
        <v>Hour11</v>
      </c>
      <c r="E1123" t="str">
        <f t="shared" si="588"/>
        <v>Weekend</v>
      </c>
      <c r="F1123" s="27">
        <f>F543*IF($E1123="weekday",INDEX('Category Mapping'!$F$28:$F$39,MATCH('Summarized Source Data'!$A1123,'Category Mapping'!$A$28:$A$39,0),1),INDEX('Category Mapping'!$E$28:$E$39,MATCH($A1123,'Category Mapping'!$A$28:$A$39,0),1))</f>
        <v>47614577.142857142</v>
      </c>
      <c r="G1123" s="27">
        <f>G543*IF($E1123="weekday",INDEX('Category Mapping'!$F$28:$F$39,MATCH('Summarized Source Data'!$A1123,'Category Mapping'!$A$28:$A$39,0),1),INDEX('Category Mapping'!$E$28:$E$39,MATCH($A1123,'Category Mapping'!$A$28:$A$39,0),1))</f>
        <v>132625.71428571429</v>
      </c>
      <c r="H1123" s="27">
        <f>H543*IF($E1123="weekday",INDEX('Category Mapping'!$F$28:$F$39,MATCH('Summarized Source Data'!$A1123,'Category Mapping'!$A$28:$A$39,0),1),INDEX('Category Mapping'!$E$28:$E$39,MATCH($A1123,'Category Mapping'!$A$28:$A$39,0),1))</f>
        <v>0</v>
      </c>
      <c r="I1123" s="27">
        <f>I543*IF($E1123="weekday",INDEX('Category Mapping'!$F$28:$F$39,MATCH('Summarized Source Data'!$A1123,'Category Mapping'!$A$28:$A$39,0),1),INDEX('Category Mapping'!$E$28:$E$39,MATCH($A1123,'Category Mapping'!$A$28:$A$39,0),1))</f>
        <v>72753822.857142851</v>
      </c>
      <c r="J1123" s="27">
        <f>J543*IF($E1123="weekday",INDEX('Category Mapping'!$F$28:$F$39,MATCH('Summarized Source Data'!$A1123,'Category Mapping'!$A$28:$A$39,0),1),INDEX('Category Mapping'!$E$28:$E$39,MATCH($A1123,'Category Mapping'!$A$28:$A$39,0),1))</f>
        <v>865213260</v>
      </c>
      <c r="K1123" s="27">
        <f>K543*IF($E1123="weekday",INDEX('Category Mapping'!$F$28:$F$39,MATCH('Summarized Source Data'!$A1123,'Category Mapping'!$A$28:$A$39,0),1),INDEX('Category Mapping'!$E$28:$E$39,MATCH($A1123,'Category Mapping'!$A$28:$A$39,0),1))</f>
        <v>865213260</v>
      </c>
      <c r="L1123" s="27">
        <f>L543*IF($E1123="weekday",INDEX('Category Mapping'!$F$28:$F$39,MATCH('Summarized Source Data'!$A1123,'Category Mapping'!$A$28:$A$39,0),1),INDEX('Category Mapping'!$E$28:$E$39,MATCH($A1123,'Category Mapping'!$A$28:$A$39,0),1))</f>
        <v>97714285.714285716</v>
      </c>
      <c r="M1123" s="27">
        <f>M543*IF($E1123="weekday",INDEX('Category Mapping'!$F$28:$F$39,MATCH('Summarized Source Data'!$A1123,'Category Mapping'!$A$28:$A$39,0),1),INDEX('Category Mapping'!$E$28:$E$39,MATCH($A1123,'Category Mapping'!$A$28:$A$39,0),1))</f>
        <v>769731.42857142852</v>
      </c>
      <c r="N1123" s="27">
        <f>N543*IF($E1123="weekday",INDEX('Category Mapping'!$F$28:$F$39,MATCH('Summarized Source Data'!$A1123,'Category Mapping'!$A$28:$A$39,0),1),INDEX('Category Mapping'!$E$28:$E$39,MATCH($A1123,'Category Mapping'!$A$28:$A$39,0),1))</f>
        <v>0</v>
      </c>
      <c r="O1123" s="27">
        <f>O543*IF($E1123="weekday",INDEX('Category Mapping'!$F$28:$F$39,MATCH('Summarized Source Data'!$A1123,'Category Mapping'!$A$28:$A$39,0),1),INDEX('Category Mapping'!$E$28:$E$39,MATCH($A1123,'Category Mapping'!$A$28:$A$39,0),1))</f>
        <v>1101515982.8571429</v>
      </c>
      <c r="P1123" s="27">
        <f>P543*IF($E1123="weekday",INDEX('Category Mapping'!$F$28:$F$39,MATCH('Summarized Source Data'!$A1123,'Category Mapping'!$A$28:$A$39,0),1),INDEX('Category Mapping'!$E$28:$E$39,MATCH($A1123,'Category Mapping'!$A$28:$A$39,0),1))</f>
        <v>1101515982.8571429</v>
      </c>
      <c r="Q1123" s="27">
        <f>Q543*IF($E1123="weekday",INDEX('Category Mapping'!$F$28:$F$39,MATCH('Summarized Source Data'!$A1123,'Category Mapping'!$A$28:$A$39,0),1),INDEX('Category Mapping'!$E$28:$E$39,MATCH($A1123,'Category Mapping'!$A$28:$A$39,0),1))</f>
        <v>1101515982.8571429</v>
      </c>
      <c r="R1123" s="27">
        <f>R543*IF($E1123="weekday",INDEX('Category Mapping'!$F$28:$F$39,MATCH('Summarized Source Data'!$A1123,'Category Mapping'!$A$28:$A$39,0),1),INDEX('Category Mapping'!$E$28:$E$39,MATCH($A1123,'Category Mapping'!$A$28:$A$39,0),1))</f>
        <v>51951402.857142858</v>
      </c>
      <c r="S1123" s="27">
        <f>S543*IF($E1123="weekday",INDEX('Category Mapping'!$F$28:$F$39,MATCH('Summarized Source Data'!$A1123,'Category Mapping'!$A$28:$A$39,0),1),INDEX('Category Mapping'!$E$28:$E$39,MATCH($A1123,'Category Mapping'!$A$28:$A$39,0),1))</f>
        <v>51951402.857142858</v>
      </c>
      <c r="T1123" s="27">
        <f>T543*IF($E1123="weekday",INDEX('Category Mapping'!$F$28:$F$39,MATCH('Summarized Source Data'!$A1123,'Category Mapping'!$A$28:$A$39,0),1),INDEX('Category Mapping'!$E$28:$E$39,MATCH($A1123,'Category Mapping'!$A$28:$A$39,0),1))</f>
        <v>51951402.857142858</v>
      </c>
      <c r="U1123" s="27">
        <f>U543*IF($E1123="weekday",INDEX('Category Mapping'!$F$28:$F$39,MATCH('Summarized Source Data'!$A1123,'Category Mapping'!$A$28:$A$39,0),1),INDEX('Category Mapping'!$E$28:$E$39,MATCH($A1123,'Category Mapping'!$A$28:$A$39,0),1))</f>
        <v>51951402.857142858</v>
      </c>
      <c r="V1123" s="27">
        <f>V543*IF($E1123="weekday",INDEX('Category Mapping'!$F$28:$F$39,MATCH('Summarized Source Data'!$A1123,'Category Mapping'!$A$28:$A$39,0),1),INDEX('Category Mapping'!$E$28:$E$39,MATCH($A1123,'Category Mapping'!$A$28:$A$39,0),1))</f>
        <v>51951402.857142858</v>
      </c>
      <c r="W1123" s="27">
        <f>W543*IF($E1123="weekday",INDEX('Category Mapping'!$F$28:$F$39,MATCH('Summarized Source Data'!$A1123,'Category Mapping'!$A$28:$A$39,0),1),INDEX('Category Mapping'!$E$28:$E$39,MATCH($A1123,'Category Mapping'!$A$28:$A$39,0),1))</f>
        <v>51951402.857142858</v>
      </c>
      <c r="X1123" s="27">
        <f>X543*IF($E1123="weekday",INDEX('Category Mapping'!$F$28:$F$39,MATCH('Summarized Source Data'!$A1123,'Category Mapping'!$A$28:$A$39,0),1),INDEX('Category Mapping'!$E$28:$E$39,MATCH($A1123,'Category Mapping'!$A$28:$A$39,0),1))</f>
        <v>2982857142.8571429</v>
      </c>
      <c r="Y1123" s="27">
        <f>Y543*IF($E1123="weekday",INDEX('Category Mapping'!$F$28:$F$39,MATCH('Summarized Source Data'!$A1123,'Category Mapping'!$A$28:$A$39,0),1),INDEX('Category Mapping'!$E$28:$E$39,MATCH($A1123,'Category Mapping'!$A$28:$A$39,0),1))</f>
        <v>2982857142.8571429</v>
      </c>
      <c r="Z1123" s="27">
        <f>Z543*IF($E1123="weekday",INDEX('Category Mapping'!$F$28:$F$39,MATCH('Summarized Source Data'!$A1123,'Category Mapping'!$A$28:$A$39,0),1),INDEX('Category Mapping'!$E$28:$E$39,MATCH($A1123,'Category Mapping'!$A$28:$A$39,0),1))</f>
        <v>2982857142.8571429</v>
      </c>
    </row>
    <row r="1124" spans="1:26" outlineLevel="1" x14ac:dyDescent="0.3">
      <c r="A1124">
        <f t="shared" ref="A1124:E1124" si="589">A544</f>
        <v>11</v>
      </c>
      <c r="B1124" t="str">
        <f t="shared" si="589"/>
        <v>Winter</v>
      </c>
      <c r="C1124" t="str">
        <f t="shared" si="589"/>
        <v>h13</v>
      </c>
      <c r="D1124" t="str">
        <f t="shared" si="589"/>
        <v>Hour12</v>
      </c>
      <c r="E1124" t="str">
        <f t="shared" si="589"/>
        <v>Weekend</v>
      </c>
      <c r="F1124" s="27">
        <f>F544*IF($E1124="weekday",INDEX('Category Mapping'!$F$28:$F$39,MATCH('Summarized Source Data'!$A1124,'Category Mapping'!$A$28:$A$39,0),1),INDEX('Category Mapping'!$E$28:$E$39,MATCH($A1124,'Category Mapping'!$A$28:$A$39,0),1))</f>
        <v>48645942.857142858</v>
      </c>
      <c r="G1124" s="27">
        <f>G544*IF($E1124="weekday",INDEX('Category Mapping'!$F$28:$F$39,MATCH('Summarized Source Data'!$A1124,'Category Mapping'!$A$28:$A$39,0),1),INDEX('Category Mapping'!$E$28:$E$39,MATCH($A1124,'Category Mapping'!$A$28:$A$39,0),1))</f>
        <v>138282.85714285713</v>
      </c>
      <c r="H1124" s="27">
        <f>H544*IF($E1124="weekday",INDEX('Category Mapping'!$F$28:$F$39,MATCH('Summarized Source Data'!$A1124,'Category Mapping'!$A$28:$A$39,0),1),INDEX('Category Mapping'!$E$28:$E$39,MATCH($A1124,'Category Mapping'!$A$28:$A$39,0),1))</f>
        <v>0</v>
      </c>
      <c r="I1124" s="27">
        <f>I544*IF($E1124="weekday",INDEX('Category Mapping'!$F$28:$F$39,MATCH('Summarized Source Data'!$A1124,'Category Mapping'!$A$28:$A$39,0),1),INDEX('Category Mapping'!$E$28:$E$39,MATCH($A1124,'Category Mapping'!$A$28:$A$39,0),1))</f>
        <v>75282308.571428567</v>
      </c>
      <c r="J1124" s="27">
        <f>J544*IF($E1124="weekday",INDEX('Category Mapping'!$F$28:$F$39,MATCH('Summarized Source Data'!$A1124,'Category Mapping'!$A$28:$A$39,0),1),INDEX('Category Mapping'!$E$28:$E$39,MATCH($A1124,'Category Mapping'!$A$28:$A$39,0),1))</f>
        <v>793076322.85714281</v>
      </c>
      <c r="K1124" s="27">
        <f>K544*IF($E1124="weekday",INDEX('Category Mapping'!$F$28:$F$39,MATCH('Summarized Source Data'!$A1124,'Category Mapping'!$A$28:$A$39,0),1),INDEX('Category Mapping'!$E$28:$E$39,MATCH($A1124,'Category Mapping'!$A$28:$A$39,0),1))</f>
        <v>793076322.85714281</v>
      </c>
      <c r="L1124" s="27">
        <f>L544*IF($E1124="weekday",INDEX('Category Mapping'!$F$28:$F$39,MATCH('Summarized Source Data'!$A1124,'Category Mapping'!$A$28:$A$39,0),1),INDEX('Category Mapping'!$E$28:$E$39,MATCH($A1124,'Category Mapping'!$A$28:$A$39,0),1))</f>
        <v>88285714.285714284</v>
      </c>
      <c r="M1124" s="27">
        <f>M544*IF($E1124="weekday",INDEX('Category Mapping'!$F$28:$F$39,MATCH('Summarized Source Data'!$A1124,'Category Mapping'!$A$28:$A$39,0),1),INDEX('Category Mapping'!$E$28:$E$39,MATCH($A1124,'Category Mapping'!$A$28:$A$39,0),1))</f>
        <v>773948.57142857136</v>
      </c>
      <c r="N1124" s="27">
        <f>N544*IF($E1124="weekday",INDEX('Category Mapping'!$F$28:$F$39,MATCH('Summarized Source Data'!$A1124,'Category Mapping'!$A$28:$A$39,0),1),INDEX('Category Mapping'!$E$28:$E$39,MATCH($A1124,'Category Mapping'!$A$28:$A$39,0),1))</f>
        <v>0</v>
      </c>
      <c r="O1124" s="27">
        <f>O544*IF($E1124="weekday",INDEX('Category Mapping'!$F$28:$F$39,MATCH('Summarized Source Data'!$A1124,'Category Mapping'!$A$28:$A$39,0),1),INDEX('Category Mapping'!$E$28:$E$39,MATCH($A1124,'Category Mapping'!$A$28:$A$39,0),1))</f>
        <v>1093797480</v>
      </c>
      <c r="P1124" s="27">
        <f>P544*IF($E1124="weekday",INDEX('Category Mapping'!$F$28:$F$39,MATCH('Summarized Source Data'!$A1124,'Category Mapping'!$A$28:$A$39,0),1),INDEX('Category Mapping'!$E$28:$E$39,MATCH($A1124,'Category Mapping'!$A$28:$A$39,0),1))</f>
        <v>1093797480</v>
      </c>
      <c r="Q1124" s="27">
        <f>Q544*IF($E1124="weekday",INDEX('Category Mapping'!$F$28:$F$39,MATCH('Summarized Source Data'!$A1124,'Category Mapping'!$A$28:$A$39,0),1),INDEX('Category Mapping'!$E$28:$E$39,MATCH($A1124,'Category Mapping'!$A$28:$A$39,0),1))</f>
        <v>1093797480</v>
      </c>
      <c r="R1124" s="27">
        <f>R544*IF($E1124="weekday",INDEX('Category Mapping'!$F$28:$F$39,MATCH('Summarized Source Data'!$A1124,'Category Mapping'!$A$28:$A$39,0),1),INDEX('Category Mapping'!$E$28:$E$39,MATCH($A1124,'Category Mapping'!$A$28:$A$39,0),1))</f>
        <v>50811557.142857142</v>
      </c>
      <c r="S1124" s="27">
        <f>S544*IF($E1124="weekday",INDEX('Category Mapping'!$F$28:$F$39,MATCH('Summarized Source Data'!$A1124,'Category Mapping'!$A$28:$A$39,0),1),INDEX('Category Mapping'!$E$28:$E$39,MATCH($A1124,'Category Mapping'!$A$28:$A$39,0),1))</f>
        <v>50811557.142857142</v>
      </c>
      <c r="T1124" s="27">
        <f>T544*IF($E1124="weekday",INDEX('Category Mapping'!$F$28:$F$39,MATCH('Summarized Source Data'!$A1124,'Category Mapping'!$A$28:$A$39,0),1),INDEX('Category Mapping'!$E$28:$E$39,MATCH($A1124,'Category Mapping'!$A$28:$A$39,0),1))</f>
        <v>50811557.142857142</v>
      </c>
      <c r="U1124" s="27">
        <f>U544*IF($E1124="weekday",INDEX('Category Mapping'!$F$28:$F$39,MATCH('Summarized Source Data'!$A1124,'Category Mapping'!$A$28:$A$39,0),1),INDEX('Category Mapping'!$E$28:$E$39,MATCH($A1124,'Category Mapping'!$A$28:$A$39,0),1))</f>
        <v>50811557.142857142</v>
      </c>
      <c r="V1124" s="27">
        <f>V544*IF($E1124="weekday",INDEX('Category Mapping'!$F$28:$F$39,MATCH('Summarized Source Data'!$A1124,'Category Mapping'!$A$28:$A$39,0),1),INDEX('Category Mapping'!$E$28:$E$39,MATCH($A1124,'Category Mapping'!$A$28:$A$39,0),1))</f>
        <v>50811557.142857142</v>
      </c>
      <c r="W1124" s="27">
        <f>W544*IF($E1124="weekday",INDEX('Category Mapping'!$F$28:$F$39,MATCH('Summarized Source Data'!$A1124,'Category Mapping'!$A$28:$A$39,0),1),INDEX('Category Mapping'!$E$28:$E$39,MATCH($A1124,'Category Mapping'!$A$28:$A$39,0),1))</f>
        <v>50811557.142857142</v>
      </c>
      <c r="X1124" s="27">
        <f>X544*IF($E1124="weekday",INDEX('Category Mapping'!$F$28:$F$39,MATCH('Summarized Source Data'!$A1124,'Category Mapping'!$A$28:$A$39,0),1),INDEX('Category Mapping'!$E$28:$E$39,MATCH($A1124,'Category Mapping'!$A$28:$A$39,0),1))</f>
        <v>2974285714.2857141</v>
      </c>
      <c r="Y1124" s="27">
        <f>Y544*IF($E1124="weekday",INDEX('Category Mapping'!$F$28:$F$39,MATCH('Summarized Source Data'!$A1124,'Category Mapping'!$A$28:$A$39,0),1),INDEX('Category Mapping'!$E$28:$E$39,MATCH($A1124,'Category Mapping'!$A$28:$A$39,0),1))</f>
        <v>2974285714.2857141</v>
      </c>
      <c r="Z1124" s="27">
        <f>Z544*IF($E1124="weekday",INDEX('Category Mapping'!$F$28:$F$39,MATCH('Summarized Source Data'!$A1124,'Category Mapping'!$A$28:$A$39,0),1),INDEX('Category Mapping'!$E$28:$E$39,MATCH($A1124,'Category Mapping'!$A$28:$A$39,0),1))</f>
        <v>2974285714.2857141</v>
      </c>
    </row>
    <row r="1125" spans="1:26" outlineLevel="1" x14ac:dyDescent="0.3">
      <c r="A1125">
        <f t="shared" ref="A1125:E1125" si="590">A545</f>
        <v>11</v>
      </c>
      <c r="B1125" t="str">
        <f t="shared" si="590"/>
        <v>Winter</v>
      </c>
      <c r="C1125" t="str">
        <f t="shared" si="590"/>
        <v>h14</v>
      </c>
      <c r="D1125" t="str">
        <f t="shared" si="590"/>
        <v>Hour13</v>
      </c>
      <c r="E1125" t="str">
        <f t="shared" si="590"/>
        <v>Weekend</v>
      </c>
      <c r="F1125" s="27">
        <f>F545*IF($E1125="weekday",INDEX('Category Mapping'!$F$28:$F$39,MATCH('Summarized Source Data'!$A1125,'Category Mapping'!$A$28:$A$39,0),1),INDEX('Category Mapping'!$E$28:$E$39,MATCH($A1125,'Category Mapping'!$A$28:$A$39,0),1))</f>
        <v>48606600</v>
      </c>
      <c r="G1125" s="27">
        <f>G545*IF($E1125="weekday",INDEX('Category Mapping'!$F$28:$F$39,MATCH('Summarized Source Data'!$A1125,'Category Mapping'!$A$28:$A$39,0),1),INDEX('Category Mapping'!$E$28:$E$39,MATCH($A1125,'Category Mapping'!$A$28:$A$39,0),1))</f>
        <v>139585.71428571429</v>
      </c>
      <c r="H1125" s="27">
        <f>H545*IF($E1125="weekday",INDEX('Category Mapping'!$F$28:$F$39,MATCH('Summarized Source Data'!$A1125,'Category Mapping'!$A$28:$A$39,0),1),INDEX('Category Mapping'!$E$28:$E$39,MATCH($A1125,'Category Mapping'!$A$28:$A$39,0),1))</f>
        <v>0</v>
      </c>
      <c r="I1125" s="27">
        <f>I545*IF($E1125="weekday",INDEX('Category Mapping'!$F$28:$F$39,MATCH('Summarized Source Data'!$A1125,'Category Mapping'!$A$28:$A$39,0),1),INDEX('Category Mapping'!$E$28:$E$39,MATCH($A1125,'Category Mapping'!$A$28:$A$39,0),1))</f>
        <v>75185854.285714284</v>
      </c>
      <c r="J1125" s="27">
        <f>J545*IF($E1125="weekday",INDEX('Category Mapping'!$F$28:$F$39,MATCH('Summarized Source Data'!$A1125,'Category Mapping'!$A$28:$A$39,0),1),INDEX('Category Mapping'!$E$28:$E$39,MATCH($A1125,'Category Mapping'!$A$28:$A$39,0),1))</f>
        <v>695496531.42857146</v>
      </c>
      <c r="K1125" s="27">
        <f>K545*IF($E1125="weekday",INDEX('Category Mapping'!$F$28:$F$39,MATCH('Summarized Source Data'!$A1125,'Category Mapping'!$A$28:$A$39,0),1),INDEX('Category Mapping'!$E$28:$E$39,MATCH($A1125,'Category Mapping'!$A$28:$A$39,0),1))</f>
        <v>695496531.42857146</v>
      </c>
      <c r="L1125" s="27">
        <f>L545*IF($E1125="weekday",INDEX('Category Mapping'!$F$28:$F$39,MATCH('Summarized Source Data'!$A1125,'Category Mapping'!$A$28:$A$39,0),1),INDEX('Category Mapping'!$E$28:$E$39,MATCH($A1125,'Category Mapping'!$A$28:$A$39,0),1))</f>
        <v>81233520</v>
      </c>
      <c r="M1125" s="27">
        <f>M545*IF($E1125="weekday",INDEX('Category Mapping'!$F$28:$F$39,MATCH('Summarized Source Data'!$A1125,'Category Mapping'!$A$28:$A$39,0),1),INDEX('Category Mapping'!$E$28:$E$39,MATCH($A1125,'Category Mapping'!$A$28:$A$39,0),1))</f>
        <v>773948.57142857136</v>
      </c>
      <c r="N1125" s="27">
        <f>N545*IF($E1125="weekday",INDEX('Category Mapping'!$F$28:$F$39,MATCH('Summarized Source Data'!$A1125,'Category Mapping'!$A$28:$A$39,0),1),INDEX('Category Mapping'!$E$28:$E$39,MATCH($A1125,'Category Mapping'!$A$28:$A$39,0),1))</f>
        <v>0</v>
      </c>
      <c r="O1125" s="27">
        <f>O545*IF($E1125="weekday",INDEX('Category Mapping'!$F$28:$F$39,MATCH('Summarized Source Data'!$A1125,'Category Mapping'!$A$28:$A$39,0),1),INDEX('Category Mapping'!$E$28:$E$39,MATCH($A1125,'Category Mapping'!$A$28:$A$39,0),1))</f>
        <v>1049421102.8571428</v>
      </c>
      <c r="P1125" s="27">
        <f>P545*IF($E1125="weekday",INDEX('Category Mapping'!$F$28:$F$39,MATCH('Summarized Source Data'!$A1125,'Category Mapping'!$A$28:$A$39,0),1),INDEX('Category Mapping'!$E$28:$E$39,MATCH($A1125,'Category Mapping'!$A$28:$A$39,0),1))</f>
        <v>1049421102.8571428</v>
      </c>
      <c r="Q1125" s="27">
        <f>Q545*IF($E1125="weekday",INDEX('Category Mapping'!$F$28:$F$39,MATCH('Summarized Source Data'!$A1125,'Category Mapping'!$A$28:$A$39,0),1),INDEX('Category Mapping'!$E$28:$E$39,MATCH($A1125,'Category Mapping'!$A$28:$A$39,0),1))</f>
        <v>1049421102.8571428</v>
      </c>
      <c r="R1125" s="27">
        <f>R545*IF($E1125="weekday",INDEX('Category Mapping'!$F$28:$F$39,MATCH('Summarized Source Data'!$A1125,'Category Mapping'!$A$28:$A$39,0),1),INDEX('Category Mapping'!$E$28:$E$39,MATCH($A1125,'Category Mapping'!$A$28:$A$39,0),1))</f>
        <v>48368185.714285716</v>
      </c>
      <c r="S1125" s="27">
        <f>S545*IF($E1125="weekday",INDEX('Category Mapping'!$F$28:$F$39,MATCH('Summarized Source Data'!$A1125,'Category Mapping'!$A$28:$A$39,0),1),INDEX('Category Mapping'!$E$28:$E$39,MATCH($A1125,'Category Mapping'!$A$28:$A$39,0),1))</f>
        <v>48368185.714285716</v>
      </c>
      <c r="T1125" s="27">
        <f>T545*IF($E1125="weekday",INDEX('Category Mapping'!$F$28:$F$39,MATCH('Summarized Source Data'!$A1125,'Category Mapping'!$A$28:$A$39,0),1),INDEX('Category Mapping'!$E$28:$E$39,MATCH($A1125,'Category Mapping'!$A$28:$A$39,0),1))</f>
        <v>48368185.714285716</v>
      </c>
      <c r="U1125" s="27">
        <f>U545*IF($E1125="weekday",INDEX('Category Mapping'!$F$28:$F$39,MATCH('Summarized Source Data'!$A1125,'Category Mapping'!$A$28:$A$39,0),1),INDEX('Category Mapping'!$E$28:$E$39,MATCH($A1125,'Category Mapping'!$A$28:$A$39,0),1))</f>
        <v>48368185.714285716</v>
      </c>
      <c r="V1125" s="27">
        <f>V545*IF($E1125="weekday",INDEX('Category Mapping'!$F$28:$F$39,MATCH('Summarized Source Data'!$A1125,'Category Mapping'!$A$28:$A$39,0),1),INDEX('Category Mapping'!$E$28:$E$39,MATCH($A1125,'Category Mapping'!$A$28:$A$39,0),1))</f>
        <v>48368185.714285716</v>
      </c>
      <c r="W1125" s="27">
        <f>W545*IF($E1125="weekday",INDEX('Category Mapping'!$F$28:$F$39,MATCH('Summarized Source Data'!$A1125,'Category Mapping'!$A$28:$A$39,0),1),INDEX('Category Mapping'!$E$28:$E$39,MATCH($A1125,'Category Mapping'!$A$28:$A$39,0),1))</f>
        <v>48368185.714285716</v>
      </c>
      <c r="X1125" s="27">
        <f>X545*IF($E1125="weekday",INDEX('Category Mapping'!$F$28:$F$39,MATCH('Summarized Source Data'!$A1125,'Category Mapping'!$A$28:$A$39,0),1),INDEX('Category Mapping'!$E$28:$E$39,MATCH($A1125,'Category Mapping'!$A$28:$A$39,0),1))</f>
        <v>2982857142.8571429</v>
      </c>
      <c r="Y1125" s="27">
        <f>Y545*IF($E1125="weekday",INDEX('Category Mapping'!$F$28:$F$39,MATCH('Summarized Source Data'!$A1125,'Category Mapping'!$A$28:$A$39,0),1),INDEX('Category Mapping'!$E$28:$E$39,MATCH($A1125,'Category Mapping'!$A$28:$A$39,0),1))</f>
        <v>2982857142.8571429</v>
      </c>
      <c r="Z1125" s="27">
        <f>Z545*IF($E1125="weekday",INDEX('Category Mapping'!$F$28:$F$39,MATCH('Summarized Source Data'!$A1125,'Category Mapping'!$A$28:$A$39,0),1),INDEX('Category Mapping'!$E$28:$E$39,MATCH($A1125,'Category Mapping'!$A$28:$A$39,0),1))</f>
        <v>2982857142.8571429</v>
      </c>
    </row>
    <row r="1126" spans="1:26" outlineLevel="1" x14ac:dyDescent="0.3">
      <c r="A1126">
        <f t="shared" ref="A1126:E1126" si="591">A546</f>
        <v>11</v>
      </c>
      <c r="B1126" t="str">
        <f t="shared" si="591"/>
        <v>Winter</v>
      </c>
      <c r="C1126" t="str">
        <f t="shared" si="591"/>
        <v>h15</v>
      </c>
      <c r="D1126" t="str">
        <f t="shared" si="591"/>
        <v>Hour14</v>
      </c>
      <c r="E1126" t="str">
        <f t="shared" si="591"/>
        <v>Weekend</v>
      </c>
      <c r="F1126" s="27">
        <f>F546*IF($E1126="weekday",INDEX('Category Mapping'!$F$28:$F$39,MATCH('Summarized Source Data'!$A1126,'Category Mapping'!$A$28:$A$39,0),1),INDEX('Category Mapping'!$E$28:$E$39,MATCH($A1126,'Category Mapping'!$A$28:$A$39,0),1))</f>
        <v>48283911.428571425</v>
      </c>
      <c r="G1126" s="27">
        <f>G546*IF($E1126="weekday",INDEX('Category Mapping'!$F$28:$F$39,MATCH('Summarized Source Data'!$A1126,'Category Mapping'!$A$28:$A$39,0),1),INDEX('Category Mapping'!$E$28:$E$39,MATCH($A1126,'Category Mapping'!$A$28:$A$39,0),1))</f>
        <v>139285.71428571429</v>
      </c>
      <c r="H1126" s="27">
        <f>H546*IF($E1126="weekday",INDEX('Category Mapping'!$F$28:$F$39,MATCH('Summarized Source Data'!$A1126,'Category Mapping'!$A$28:$A$39,0),1),INDEX('Category Mapping'!$E$28:$E$39,MATCH($A1126,'Category Mapping'!$A$28:$A$39,0),1))</f>
        <v>0</v>
      </c>
      <c r="I1126" s="27">
        <f>I546*IF($E1126="weekday",INDEX('Category Mapping'!$F$28:$F$39,MATCH('Summarized Source Data'!$A1126,'Category Mapping'!$A$28:$A$39,0),1),INDEX('Category Mapping'!$E$28:$E$39,MATCH($A1126,'Category Mapping'!$A$28:$A$39,0),1))</f>
        <v>74394745.714285716</v>
      </c>
      <c r="J1126" s="27">
        <f>J546*IF($E1126="weekday",INDEX('Category Mapping'!$F$28:$F$39,MATCH('Summarized Source Data'!$A1126,'Category Mapping'!$A$28:$A$39,0),1),INDEX('Category Mapping'!$E$28:$E$39,MATCH($A1126,'Category Mapping'!$A$28:$A$39,0),1))</f>
        <v>725753485.71428573</v>
      </c>
      <c r="K1126" s="27">
        <f>K546*IF($E1126="weekday",INDEX('Category Mapping'!$F$28:$F$39,MATCH('Summarized Source Data'!$A1126,'Category Mapping'!$A$28:$A$39,0),1),INDEX('Category Mapping'!$E$28:$E$39,MATCH($A1126,'Category Mapping'!$A$28:$A$39,0),1))</f>
        <v>725753485.71428573</v>
      </c>
      <c r="L1126" s="27">
        <f>L546*IF($E1126="weekday",INDEX('Category Mapping'!$F$28:$F$39,MATCH('Summarized Source Data'!$A1126,'Category Mapping'!$A$28:$A$39,0),1),INDEX('Category Mapping'!$E$28:$E$39,MATCH($A1126,'Category Mapping'!$A$28:$A$39,0),1))</f>
        <v>78207762.857142851</v>
      </c>
      <c r="M1126" s="27">
        <f>M546*IF($E1126="weekday",INDEX('Category Mapping'!$F$28:$F$39,MATCH('Summarized Source Data'!$A1126,'Category Mapping'!$A$28:$A$39,0),1),INDEX('Category Mapping'!$E$28:$E$39,MATCH($A1126,'Category Mapping'!$A$28:$A$39,0),1))</f>
        <v>773948.57142857136</v>
      </c>
      <c r="N1126" s="27">
        <f>N546*IF($E1126="weekday",INDEX('Category Mapping'!$F$28:$F$39,MATCH('Summarized Source Data'!$A1126,'Category Mapping'!$A$28:$A$39,0),1),INDEX('Category Mapping'!$E$28:$E$39,MATCH($A1126,'Category Mapping'!$A$28:$A$39,0),1))</f>
        <v>0</v>
      </c>
      <c r="O1126" s="27">
        <f>O546*IF($E1126="weekday",INDEX('Category Mapping'!$F$28:$F$39,MATCH('Summarized Source Data'!$A1126,'Category Mapping'!$A$28:$A$39,0),1),INDEX('Category Mapping'!$E$28:$E$39,MATCH($A1126,'Category Mapping'!$A$28:$A$39,0),1))</f>
        <v>1001018288.5714285</v>
      </c>
      <c r="P1126" s="27">
        <f>P546*IF($E1126="weekday",INDEX('Category Mapping'!$F$28:$F$39,MATCH('Summarized Source Data'!$A1126,'Category Mapping'!$A$28:$A$39,0),1),INDEX('Category Mapping'!$E$28:$E$39,MATCH($A1126,'Category Mapping'!$A$28:$A$39,0),1))</f>
        <v>1001018288.5714285</v>
      </c>
      <c r="Q1126" s="27">
        <f>Q546*IF($E1126="weekday",INDEX('Category Mapping'!$F$28:$F$39,MATCH('Summarized Source Data'!$A1126,'Category Mapping'!$A$28:$A$39,0),1),INDEX('Category Mapping'!$E$28:$E$39,MATCH($A1126,'Category Mapping'!$A$28:$A$39,0),1))</f>
        <v>1001018288.5714285</v>
      </c>
      <c r="R1126" s="27">
        <f>R546*IF($E1126="weekday",INDEX('Category Mapping'!$F$28:$F$39,MATCH('Summarized Source Data'!$A1126,'Category Mapping'!$A$28:$A$39,0),1),INDEX('Category Mapping'!$E$28:$E$39,MATCH($A1126,'Category Mapping'!$A$28:$A$39,0),1))</f>
        <v>47765914.285714284</v>
      </c>
      <c r="S1126" s="27">
        <f>S546*IF($E1126="weekday",INDEX('Category Mapping'!$F$28:$F$39,MATCH('Summarized Source Data'!$A1126,'Category Mapping'!$A$28:$A$39,0),1),INDEX('Category Mapping'!$E$28:$E$39,MATCH($A1126,'Category Mapping'!$A$28:$A$39,0),1))</f>
        <v>47765914.285714284</v>
      </c>
      <c r="T1126" s="27">
        <f>T546*IF($E1126="weekday",INDEX('Category Mapping'!$F$28:$F$39,MATCH('Summarized Source Data'!$A1126,'Category Mapping'!$A$28:$A$39,0),1),INDEX('Category Mapping'!$E$28:$E$39,MATCH($A1126,'Category Mapping'!$A$28:$A$39,0),1))</f>
        <v>47765914.285714284</v>
      </c>
      <c r="U1126" s="27">
        <f>U546*IF($E1126="weekday",INDEX('Category Mapping'!$F$28:$F$39,MATCH('Summarized Source Data'!$A1126,'Category Mapping'!$A$28:$A$39,0),1),INDEX('Category Mapping'!$E$28:$E$39,MATCH($A1126,'Category Mapping'!$A$28:$A$39,0),1))</f>
        <v>47765914.285714284</v>
      </c>
      <c r="V1126" s="27">
        <f>V546*IF($E1126="weekday",INDEX('Category Mapping'!$F$28:$F$39,MATCH('Summarized Source Data'!$A1126,'Category Mapping'!$A$28:$A$39,0),1),INDEX('Category Mapping'!$E$28:$E$39,MATCH($A1126,'Category Mapping'!$A$28:$A$39,0),1))</f>
        <v>47765914.285714284</v>
      </c>
      <c r="W1126" s="27">
        <f>W546*IF($E1126="weekday",INDEX('Category Mapping'!$F$28:$F$39,MATCH('Summarized Source Data'!$A1126,'Category Mapping'!$A$28:$A$39,0),1),INDEX('Category Mapping'!$E$28:$E$39,MATCH($A1126,'Category Mapping'!$A$28:$A$39,0),1))</f>
        <v>47765914.285714284</v>
      </c>
      <c r="X1126" s="27">
        <f>X546*IF($E1126="weekday",INDEX('Category Mapping'!$F$28:$F$39,MATCH('Summarized Source Data'!$A1126,'Category Mapping'!$A$28:$A$39,0),1),INDEX('Category Mapping'!$E$28:$E$39,MATCH($A1126,'Category Mapping'!$A$28:$A$39,0),1))</f>
        <v>2991428571.4285712</v>
      </c>
      <c r="Y1126" s="27">
        <f>Y546*IF($E1126="weekday",INDEX('Category Mapping'!$F$28:$F$39,MATCH('Summarized Source Data'!$A1126,'Category Mapping'!$A$28:$A$39,0),1),INDEX('Category Mapping'!$E$28:$E$39,MATCH($A1126,'Category Mapping'!$A$28:$A$39,0),1))</f>
        <v>2991428571.4285712</v>
      </c>
      <c r="Z1126" s="27">
        <f>Z546*IF($E1126="weekday",INDEX('Category Mapping'!$F$28:$F$39,MATCH('Summarized Source Data'!$A1126,'Category Mapping'!$A$28:$A$39,0),1),INDEX('Category Mapping'!$E$28:$E$39,MATCH($A1126,'Category Mapping'!$A$28:$A$39,0),1))</f>
        <v>2991428571.4285712</v>
      </c>
    </row>
    <row r="1127" spans="1:26" outlineLevel="1" x14ac:dyDescent="0.3">
      <c r="A1127">
        <f t="shared" ref="A1127:E1127" si="592">A547</f>
        <v>11</v>
      </c>
      <c r="B1127" t="str">
        <f t="shared" si="592"/>
        <v>Winter</v>
      </c>
      <c r="C1127" t="str">
        <f t="shared" si="592"/>
        <v>h16</v>
      </c>
      <c r="D1127" t="str">
        <f t="shared" si="592"/>
        <v>Hour15</v>
      </c>
      <c r="E1127" t="str">
        <f t="shared" si="592"/>
        <v>Weekend</v>
      </c>
      <c r="F1127" s="27">
        <f>F547*IF($E1127="weekday",INDEX('Category Mapping'!$F$28:$F$39,MATCH('Summarized Source Data'!$A1127,'Category Mapping'!$A$28:$A$39,0),1),INDEX('Category Mapping'!$E$28:$E$39,MATCH($A1127,'Category Mapping'!$A$28:$A$39,0),1))</f>
        <v>48360060</v>
      </c>
      <c r="G1127" s="27">
        <f>G547*IF($E1127="weekday",INDEX('Category Mapping'!$F$28:$F$39,MATCH('Summarized Source Data'!$A1127,'Category Mapping'!$A$28:$A$39,0),1),INDEX('Category Mapping'!$E$28:$E$39,MATCH($A1127,'Category Mapping'!$A$28:$A$39,0),1))</f>
        <v>138848.57142857142</v>
      </c>
      <c r="H1127" s="27">
        <f>H547*IF($E1127="weekday",INDEX('Category Mapping'!$F$28:$F$39,MATCH('Summarized Source Data'!$A1127,'Category Mapping'!$A$28:$A$39,0),1),INDEX('Category Mapping'!$E$28:$E$39,MATCH($A1127,'Category Mapping'!$A$28:$A$39,0),1))</f>
        <v>0</v>
      </c>
      <c r="I1127" s="27">
        <f>I547*IF($E1127="weekday",INDEX('Category Mapping'!$F$28:$F$39,MATCH('Summarized Source Data'!$A1127,'Category Mapping'!$A$28:$A$39,0),1),INDEX('Category Mapping'!$E$28:$E$39,MATCH($A1127,'Category Mapping'!$A$28:$A$39,0),1))</f>
        <v>74581440</v>
      </c>
      <c r="J1127" s="27">
        <f>J547*IF($E1127="weekday",INDEX('Category Mapping'!$F$28:$F$39,MATCH('Summarized Source Data'!$A1127,'Category Mapping'!$A$28:$A$39,0),1),INDEX('Category Mapping'!$E$28:$E$39,MATCH($A1127,'Category Mapping'!$A$28:$A$39,0),1))</f>
        <v>759776794.28571427</v>
      </c>
      <c r="K1127" s="27">
        <f>K547*IF($E1127="weekday",INDEX('Category Mapping'!$F$28:$F$39,MATCH('Summarized Source Data'!$A1127,'Category Mapping'!$A$28:$A$39,0),1),INDEX('Category Mapping'!$E$28:$E$39,MATCH($A1127,'Category Mapping'!$A$28:$A$39,0),1))</f>
        <v>759776794.28571427</v>
      </c>
      <c r="L1127" s="27">
        <f>L547*IF($E1127="weekday",INDEX('Category Mapping'!$F$28:$F$39,MATCH('Summarized Source Data'!$A1127,'Category Mapping'!$A$28:$A$39,0),1),INDEX('Category Mapping'!$E$28:$E$39,MATCH($A1127,'Category Mapping'!$A$28:$A$39,0),1))</f>
        <v>78588154.285714284</v>
      </c>
      <c r="M1127" s="27">
        <f>M547*IF($E1127="weekday",INDEX('Category Mapping'!$F$28:$F$39,MATCH('Summarized Source Data'!$A1127,'Category Mapping'!$A$28:$A$39,0),1),INDEX('Category Mapping'!$E$28:$E$39,MATCH($A1127,'Category Mapping'!$A$28:$A$39,0),1))</f>
        <v>774120</v>
      </c>
      <c r="N1127" s="27">
        <f>N547*IF($E1127="weekday",INDEX('Category Mapping'!$F$28:$F$39,MATCH('Summarized Source Data'!$A1127,'Category Mapping'!$A$28:$A$39,0),1),INDEX('Category Mapping'!$E$28:$E$39,MATCH($A1127,'Category Mapping'!$A$28:$A$39,0),1))</f>
        <v>0</v>
      </c>
      <c r="O1127" s="27">
        <f>O547*IF($E1127="weekday",INDEX('Category Mapping'!$F$28:$F$39,MATCH('Summarized Source Data'!$A1127,'Category Mapping'!$A$28:$A$39,0),1),INDEX('Category Mapping'!$E$28:$E$39,MATCH($A1127,'Category Mapping'!$A$28:$A$39,0),1))</f>
        <v>932066297.14285707</v>
      </c>
      <c r="P1127" s="27">
        <f>P547*IF($E1127="weekday",INDEX('Category Mapping'!$F$28:$F$39,MATCH('Summarized Source Data'!$A1127,'Category Mapping'!$A$28:$A$39,0),1),INDEX('Category Mapping'!$E$28:$E$39,MATCH($A1127,'Category Mapping'!$A$28:$A$39,0),1))</f>
        <v>932066297.14285707</v>
      </c>
      <c r="Q1127" s="27">
        <f>Q547*IF($E1127="weekday",INDEX('Category Mapping'!$F$28:$F$39,MATCH('Summarized Source Data'!$A1127,'Category Mapping'!$A$28:$A$39,0),1),INDEX('Category Mapping'!$E$28:$E$39,MATCH($A1127,'Category Mapping'!$A$28:$A$39,0),1))</f>
        <v>932066297.14285707</v>
      </c>
      <c r="R1127" s="27">
        <f>R547*IF($E1127="weekday",INDEX('Category Mapping'!$F$28:$F$39,MATCH('Summarized Source Data'!$A1127,'Category Mapping'!$A$28:$A$39,0),1),INDEX('Category Mapping'!$E$28:$E$39,MATCH($A1127,'Category Mapping'!$A$28:$A$39,0),1))</f>
        <v>46862494.285714284</v>
      </c>
      <c r="S1127" s="27">
        <f>S547*IF($E1127="weekday",INDEX('Category Mapping'!$F$28:$F$39,MATCH('Summarized Source Data'!$A1127,'Category Mapping'!$A$28:$A$39,0),1),INDEX('Category Mapping'!$E$28:$E$39,MATCH($A1127,'Category Mapping'!$A$28:$A$39,0),1))</f>
        <v>46862494.285714284</v>
      </c>
      <c r="T1127" s="27">
        <f>T547*IF($E1127="weekday",INDEX('Category Mapping'!$F$28:$F$39,MATCH('Summarized Source Data'!$A1127,'Category Mapping'!$A$28:$A$39,0),1),INDEX('Category Mapping'!$E$28:$E$39,MATCH($A1127,'Category Mapping'!$A$28:$A$39,0),1))</f>
        <v>46862494.285714284</v>
      </c>
      <c r="U1127" s="27">
        <f>U547*IF($E1127="weekday",INDEX('Category Mapping'!$F$28:$F$39,MATCH('Summarized Source Data'!$A1127,'Category Mapping'!$A$28:$A$39,0),1),INDEX('Category Mapping'!$E$28:$E$39,MATCH($A1127,'Category Mapping'!$A$28:$A$39,0),1))</f>
        <v>46862494.285714284</v>
      </c>
      <c r="V1127" s="27">
        <f>V547*IF($E1127="weekday",INDEX('Category Mapping'!$F$28:$F$39,MATCH('Summarized Source Data'!$A1127,'Category Mapping'!$A$28:$A$39,0),1),INDEX('Category Mapping'!$E$28:$E$39,MATCH($A1127,'Category Mapping'!$A$28:$A$39,0),1))</f>
        <v>46862494.285714284</v>
      </c>
      <c r="W1127" s="27">
        <f>W547*IF($E1127="weekday",INDEX('Category Mapping'!$F$28:$F$39,MATCH('Summarized Source Data'!$A1127,'Category Mapping'!$A$28:$A$39,0),1),INDEX('Category Mapping'!$E$28:$E$39,MATCH($A1127,'Category Mapping'!$A$28:$A$39,0),1))</f>
        <v>46862494.285714284</v>
      </c>
      <c r="X1127" s="27">
        <f>X547*IF($E1127="weekday",INDEX('Category Mapping'!$F$28:$F$39,MATCH('Summarized Source Data'!$A1127,'Category Mapping'!$A$28:$A$39,0),1),INDEX('Category Mapping'!$E$28:$E$39,MATCH($A1127,'Category Mapping'!$A$28:$A$39,0),1))</f>
        <v>3025714285.7142859</v>
      </c>
      <c r="Y1127" s="27">
        <f>Y547*IF($E1127="weekday",INDEX('Category Mapping'!$F$28:$F$39,MATCH('Summarized Source Data'!$A1127,'Category Mapping'!$A$28:$A$39,0),1),INDEX('Category Mapping'!$E$28:$E$39,MATCH($A1127,'Category Mapping'!$A$28:$A$39,0),1))</f>
        <v>3025714285.7142859</v>
      </c>
      <c r="Z1127" s="27">
        <f>Z547*IF($E1127="weekday",INDEX('Category Mapping'!$F$28:$F$39,MATCH('Summarized Source Data'!$A1127,'Category Mapping'!$A$28:$A$39,0),1),INDEX('Category Mapping'!$E$28:$E$39,MATCH($A1127,'Category Mapping'!$A$28:$A$39,0),1))</f>
        <v>3025714285.7142859</v>
      </c>
    </row>
    <row r="1128" spans="1:26" outlineLevel="1" x14ac:dyDescent="0.3">
      <c r="A1128">
        <f t="shared" ref="A1128:E1128" si="593">A548</f>
        <v>11</v>
      </c>
      <c r="B1128" t="str">
        <f t="shared" si="593"/>
        <v>Winter</v>
      </c>
      <c r="C1128" t="str">
        <f t="shared" si="593"/>
        <v>h17</v>
      </c>
      <c r="D1128" t="str">
        <f t="shared" si="593"/>
        <v>Hour16</v>
      </c>
      <c r="E1128" t="str">
        <f t="shared" si="593"/>
        <v>Weekend</v>
      </c>
      <c r="F1128" s="27">
        <f>F548*IF($E1128="weekday",INDEX('Category Mapping'!$F$28:$F$39,MATCH('Summarized Source Data'!$A1128,'Category Mapping'!$A$28:$A$39,0),1),INDEX('Category Mapping'!$E$28:$E$39,MATCH($A1128,'Category Mapping'!$A$28:$A$39,0),1))</f>
        <v>49190811.428571425</v>
      </c>
      <c r="G1128" s="27">
        <f>G548*IF($E1128="weekday",INDEX('Category Mapping'!$F$28:$F$39,MATCH('Summarized Source Data'!$A1128,'Category Mapping'!$A$28:$A$39,0),1),INDEX('Category Mapping'!$E$28:$E$39,MATCH($A1128,'Category Mapping'!$A$28:$A$39,0),1))</f>
        <v>139954.28571428571</v>
      </c>
      <c r="H1128" s="27">
        <f>H548*IF($E1128="weekday",INDEX('Category Mapping'!$F$28:$F$39,MATCH('Summarized Source Data'!$A1128,'Category Mapping'!$A$28:$A$39,0),1),INDEX('Category Mapping'!$E$28:$E$39,MATCH($A1128,'Category Mapping'!$A$28:$A$39,0),1))</f>
        <v>0</v>
      </c>
      <c r="I1128" s="27">
        <f>I548*IF($E1128="weekday",INDEX('Category Mapping'!$F$28:$F$39,MATCH('Summarized Source Data'!$A1128,'Category Mapping'!$A$28:$A$39,0),1),INDEX('Category Mapping'!$E$28:$E$39,MATCH($A1128,'Category Mapping'!$A$28:$A$39,0),1))</f>
        <v>154285714.28571427</v>
      </c>
      <c r="J1128" s="27">
        <f>J548*IF($E1128="weekday",INDEX('Category Mapping'!$F$28:$F$39,MATCH('Summarized Source Data'!$A1128,'Category Mapping'!$A$28:$A$39,0),1),INDEX('Category Mapping'!$E$28:$E$39,MATCH($A1128,'Category Mapping'!$A$28:$A$39,0),1))</f>
        <v>807812091.42857146</v>
      </c>
      <c r="K1128" s="27">
        <f>K548*IF($E1128="weekday",INDEX('Category Mapping'!$F$28:$F$39,MATCH('Summarized Source Data'!$A1128,'Category Mapping'!$A$28:$A$39,0),1),INDEX('Category Mapping'!$E$28:$E$39,MATCH($A1128,'Category Mapping'!$A$28:$A$39,0),1))</f>
        <v>807812091.42857146</v>
      </c>
      <c r="L1128" s="27">
        <f>L548*IF($E1128="weekday",INDEX('Category Mapping'!$F$28:$F$39,MATCH('Summarized Source Data'!$A1128,'Category Mapping'!$A$28:$A$39,0),1),INDEX('Category Mapping'!$E$28:$E$39,MATCH($A1128,'Category Mapping'!$A$28:$A$39,0),1))</f>
        <v>79202751.428571433</v>
      </c>
      <c r="M1128" s="27">
        <f>M548*IF($E1128="weekday",INDEX('Category Mapping'!$F$28:$F$39,MATCH('Summarized Source Data'!$A1128,'Category Mapping'!$A$28:$A$39,0),1),INDEX('Category Mapping'!$E$28:$E$39,MATCH($A1128,'Category Mapping'!$A$28:$A$39,0),1))</f>
        <v>765797.14285714284</v>
      </c>
      <c r="N1128" s="27">
        <f>N548*IF($E1128="weekday",INDEX('Category Mapping'!$F$28:$F$39,MATCH('Summarized Source Data'!$A1128,'Category Mapping'!$A$28:$A$39,0),1),INDEX('Category Mapping'!$E$28:$E$39,MATCH($A1128,'Category Mapping'!$A$28:$A$39,0),1))</f>
        <v>0</v>
      </c>
      <c r="O1128" s="27">
        <f>O548*IF($E1128="weekday",INDEX('Category Mapping'!$F$28:$F$39,MATCH('Summarized Source Data'!$A1128,'Category Mapping'!$A$28:$A$39,0),1),INDEX('Category Mapping'!$E$28:$E$39,MATCH($A1128,'Category Mapping'!$A$28:$A$39,0),1))</f>
        <v>888602880</v>
      </c>
      <c r="P1128" s="27">
        <f>P548*IF($E1128="weekday",INDEX('Category Mapping'!$F$28:$F$39,MATCH('Summarized Source Data'!$A1128,'Category Mapping'!$A$28:$A$39,0),1),INDEX('Category Mapping'!$E$28:$E$39,MATCH($A1128,'Category Mapping'!$A$28:$A$39,0),1))</f>
        <v>888602880</v>
      </c>
      <c r="Q1128" s="27">
        <f>Q548*IF($E1128="weekday",INDEX('Category Mapping'!$F$28:$F$39,MATCH('Summarized Source Data'!$A1128,'Category Mapping'!$A$28:$A$39,0),1),INDEX('Category Mapping'!$E$28:$E$39,MATCH($A1128,'Category Mapping'!$A$28:$A$39,0),1))</f>
        <v>888602880</v>
      </c>
      <c r="R1128" s="27">
        <f>R548*IF($E1128="weekday",INDEX('Category Mapping'!$F$28:$F$39,MATCH('Summarized Source Data'!$A1128,'Category Mapping'!$A$28:$A$39,0),1),INDEX('Category Mapping'!$E$28:$E$39,MATCH($A1128,'Category Mapping'!$A$28:$A$39,0),1))</f>
        <v>53727908.571428567</v>
      </c>
      <c r="S1128" s="27">
        <f>S548*IF($E1128="weekday",INDEX('Category Mapping'!$F$28:$F$39,MATCH('Summarized Source Data'!$A1128,'Category Mapping'!$A$28:$A$39,0),1),INDEX('Category Mapping'!$E$28:$E$39,MATCH($A1128,'Category Mapping'!$A$28:$A$39,0),1))</f>
        <v>53727908.571428567</v>
      </c>
      <c r="T1128" s="27">
        <f>T548*IF($E1128="weekday",INDEX('Category Mapping'!$F$28:$F$39,MATCH('Summarized Source Data'!$A1128,'Category Mapping'!$A$28:$A$39,0),1),INDEX('Category Mapping'!$E$28:$E$39,MATCH($A1128,'Category Mapping'!$A$28:$A$39,0),1))</f>
        <v>53727908.571428567</v>
      </c>
      <c r="U1128" s="27">
        <f>U548*IF($E1128="weekday",INDEX('Category Mapping'!$F$28:$F$39,MATCH('Summarized Source Data'!$A1128,'Category Mapping'!$A$28:$A$39,0),1),INDEX('Category Mapping'!$E$28:$E$39,MATCH($A1128,'Category Mapping'!$A$28:$A$39,0),1))</f>
        <v>53727908.571428567</v>
      </c>
      <c r="V1128" s="27">
        <f>V548*IF($E1128="weekday",INDEX('Category Mapping'!$F$28:$F$39,MATCH('Summarized Source Data'!$A1128,'Category Mapping'!$A$28:$A$39,0),1),INDEX('Category Mapping'!$E$28:$E$39,MATCH($A1128,'Category Mapping'!$A$28:$A$39,0),1))</f>
        <v>53727908.571428567</v>
      </c>
      <c r="W1128" s="27">
        <f>W548*IF($E1128="weekday",INDEX('Category Mapping'!$F$28:$F$39,MATCH('Summarized Source Data'!$A1128,'Category Mapping'!$A$28:$A$39,0),1),INDEX('Category Mapping'!$E$28:$E$39,MATCH($A1128,'Category Mapping'!$A$28:$A$39,0),1))</f>
        <v>53727908.571428567</v>
      </c>
      <c r="X1128" s="27">
        <f>X548*IF($E1128="weekday",INDEX('Category Mapping'!$F$28:$F$39,MATCH('Summarized Source Data'!$A1128,'Category Mapping'!$A$28:$A$39,0),1),INDEX('Category Mapping'!$E$28:$E$39,MATCH($A1128,'Category Mapping'!$A$28:$A$39,0),1))</f>
        <v>3060000000</v>
      </c>
      <c r="Y1128" s="27">
        <f>Y548*IF($E1128="weekday",INDEX('Category Mapping'!$F$28:$F$39,MATCH('Summarized Source Data'!$A1128,'Category Mapping'!$A$28:$A$39,0),1),INDEX('Category Mapping'!$E$28:$E$39,MATCH($A1128,'Category Mapping'!$A$28:$A$39,0),1))</f>
        <v>3060000000</v>
      </c>
      <c r="Z1128" s="27">
        <f>Z548*IF($E1128="weekday",INDEX('Category Mapping'!$F$28:$F$39,MATCH('Summarized Source Data'!$A1128,'Category Mapping'!$A$28:$A$39,0),1),INDEX('Category Mapping'!$E$28:$E$39,MATCH($A1128,'Category Mapping'!$A$28:$A$39,0),1))</f>
        <v>3060000000</v>
      </c>
    </row>
    <row r="1129" spans="1:26" outlineLevel="1" x14ac:dyDescent="0.3">
      <c r="A1129">
        <f t="shared" ref="A1129:E1129" si="594">A549</f>
        <v>11</v>
      </c>
      <c r="B1129" t="str">
        <f t="shared" si="594"/>
        <v>Winter</v>
      </c>
      <c r="C1129" t="str">
        <f t="shared" si="594"/>
        <v>h18</v>
      </c>
      <c r="D1129" t="str">
        <f t="shared" si="594"/>
        <v>Hour17</v>
      </c>
      <c r="E1129" t="str">
        <f t="shared" si="594"/>
        <v>Weekend</v>
      </c>
      <c r="F1129" s="27">
        <f>F549*IF($E1129="weekday",INDEX('Category Mapping'!$F$28:$F$39,MATCH('Summarized Source Data'!$A1129,'Category Mapping'!$A$28:$A$39,0),1),INDEX('Category Mapping'!$E$28:$E$39,MATCH($A1129,'Category Mapping'!$A$28:$A$39,0),1))</f>
        <v>50741691.428571425</v>
      </c>
      <c r="G1129" s="27">
        <f>G549*IF($E1129="weekday",INDEX('Category Mapping'!$F$28:$F$39,MATCH('Summarized Source Data'!$A1129,'Category Mapping'!$A$28:$A$39,0),1),INDEX('Category Mapping'!$E$28:$E$39,MATCH($A1129,'Category Mapping'!$A$28:$A$39,0),1))</f>
        <v>145491.42857142858</v>
      </c>
      <c r="H1129" s="27">
        <f>H549*IF($E1129="weekday",INDEX('Category Mapping'!$F$28:$F$39,MATCH('Summarized Source Data'!$A1129,'Category Mapping'!$A$28:$A$39,0),1),INDEX('Category Mapping'!$E$28:$E$39,MATCH($A1129,'Category Mapping'!$A$28:$A$39,0),1))</f>
        <v>0</v>
      </c>
      <c r="I1129" s="27">
        <f>I549*IF($E1129="weekday",INDEX('Category Mapping'!$F$28:$F$39,MATCH('Summarized Source Data'!$A1129,'Category Mapping'!$A$28:$A$39,0),1),INDEX('Category Mapping'!$E$28:$E$39,MATCH($A1129,'Category Mapping'!$A$28:$A$39,0),1))</f>
        <v>268285714.28571427</v>
      </c>
      <c r="J1129" s="27">
        <f>J549*IF($E1129="weekday",INDEX('Category Mapping'!$F$28:$F$39,MATCH('Summarized Source Data'!$A1129,'Category Mapping'!$A$28:$A$39,0),1),INDEX('Category Mapping'!$E$28:$E$39,MATCH($A1129,'Category Mapping'!$A$28:$A$39,0),1))</f>
        <v>812255674.28571427</v>
      </c>
      <c r="K1129" s="27">
        <f>K549*IF($E1129="weekday",INDEX('Category Mapping'!$F$28:$F$39,MATCH('Summarized Source Data'!$A1129,'Category Mapping'!$A$28:$A$39,0),1),INDEX('Category Mapping'!$E$28:$E$39,MATCH($A1129,'Category Mapping'!$A$28:$A$39,0),1))</f>
        <v>812255674.28571427</v>
      </c>
      <c r="L1129" s="27">
        <f>L549*IF($E1129="weekday",INDEX('Category Mapping'!$F$28:$F$39,MATCH('Summarized Source Data'!$A1129,'Category Mapping'!$A$28:$A$39,0),1),INDEX('Category Mapping'!$E$28:$E$39,MATCH($A1129,'Category Mapping'!$A$28:$A$39,0),1))</f>
        <v>89142857.142857134</v>
      </c>
      <c r="M1129" s="27">
        <f>M549*IF($E1129="weekday",INDEX('Category Mapping'!$F$28:$F$39,MATCH('Summarized Source Data'!$A1129,'Category Mapping'!$A$28:$A$39,0),1),INDEX('Category Mapping'!$E$28:$E$39,MATCH($A1129,'Category Mapping'!$A$28:$A$39,0),1))</f>
        <v>747300</v>
      </c>
      <c r="N1129" s="27">
        <f>N549*IF($E1129="weekday",INDEX('Category Mapping'!$F$28:$F$39,MATCH('Summarized Source Data'!$A1129,'Category Mapping'!$A$28:$A$39,0),1),INDEX('Category Mapping'!$E$28:$E$39,MATCH($A1129,'Category Mapping'!$A$28:$A$39,0),1))</f>
        <v>0</v>
      </c>
      <c r="O1129" s="27">
        <f>O549*IF($E1129="weekday",INDEX('Category Mapping'!$F$28:$F$39,MATCH('Summarized Source Data'!$A1129,'Category Mapping'!$A$28:$A$39,0),1),INDEX('Category Mapping'!$E$28:$E$39,MATCH($A1129,'Category Mapping'!$A$28:$A$39,0),1))</f>
        <v>895824128.57142854</v>
      </c>
      <c r="P1129" s="27">
        <f>P549*IF($E1129="weekday",INDEX('Category Mapping'!$F$28:$F$39,MATCH('Summarized Source Data'!$A1129,'Category Mapping'!$A$28:$A$39,0),1),INDEX('Category Mapping'!$E$28:$E$39,MATCH($A1129,'Category Mapping'!$A$28:$A$39,0),1))</f>
        <v>895824128.57142854</v>
      </c>
      <c r="Q1129" s="27">
        <f>Q549*IF($E1129="weekday",INDEX('Category Mapping'!$F$28:$F$39,MATCH('Summarized Source Data'!$A1129,'Category Mapping'!$A$28:$A$39,0),1),INDEX('Category Mapping'!$E$28:$E$39,MATCH($A1129,'Category Mapping'!$A$28:$A$39,0),1))</f>
        <v>895824128.57142854</v>
      </c>
      <c r="R1129" s="27">
        <f>R549*IF($E1129="weekday",INDEX('Category Mapping'!$F$28:$F$39,MATCH('Summarized Source Data'!$A1129,'Category Mapping'!$A$28:$A$39,0),1),INDEX('Category Mapping'!$E$28:$E$39,MATCH($A1129,'Category Mapping'!$A$28:$A$39,0),1))</f>
        <v>53778094.285714284</v>
      </c>
      <c r="S1129" s="27">
        <f>S549*IF($E1129="weekday",INDEX('Category Mapping'!$F$28:$F$39,MATCH('Summarized Source Data'!$A1129,'Category Mapping'!$A$28:$A$39,0),1),INDEX('Category Mapping'!$E$28:$E$39,MATCH($A1129,'Category Mapping'!$A$28:$A$39,0),1))</f>
        <v>53778094.285714284</v>
      </c>
      <c r="T1129" s="27">
        <f>T549*IF($E1129="weekday",INDEX('Category Mapping'!$F$28:$F$39,MATCH('Summarized Source Data'!$A1129,'Category Mapping'!$A$28:$A$39,0),1),INDEX('Category Mapping'!$E$28:$E$39,MATCH($A1129,'Category Mapping'!$A$28:$A$39,0),1))</f>
        <v>53778094.285714284</v>
      </c>
      <c r="U1129" s="27">
        <f>U549*IF($E1129="weekday",INDEX('Category Mapping'!$F$28:$F$39,MATCH('Summarized Source Data'!$A1129,'Category Mapping'!$A$28:$A$39,0),1),INDEX('Category Mapping'!$E$28:$E$39,MATCH($A1129,'Category Mapping'!$A$28:$A$39,0),1))</f>
        <v>53778094.285714284</v>
      </c>
      <c r="V1129" s="27">
        <f>V549*IF($E1129="weekday",INDEX('Category Mapping'!$F$28:$F$39,MATCH('Summarized Source Data'!$A1129,'Category Mapping'!$A$28:$A$39,0),1),INDEX('Category Mapping'!$E$28:$E$39,MATCH($A1129,'Category Mapping'!$A$28:$A$39,0),1))</f>
        <v>53778094.285714284</v>
      </c>
      <c r="W1129" s="27">
        <f>W549*IF($E1129="weekday",INDEX('Category Mapping'!$F$28:$F$39,MATCH('Summarized Source Data'!$A1129,'Category Mapping'!$A$28:$A$39,0),1),INDEX('Category Mapping'!$E$28:$E$39,MATCH($A1129,'Category Mapping'!$A$28:$A$39,0),1))</f>
        <v>53778094.285714284</v>
      </c>
      <c r="X1129" s="27">
        <f>X549*IF($E1129="weekday",INDEX('Category Mapping'!$F$28:$F$39,MATCH('Summarized Source Data'!$A1129,'Category Mapping'!$A$28:$A$39,0),1),INDEX('Category Mapping'!$E$28:$E$39,MATCH($A1129,'Category Mapping'!$A$28:$A$39,0),1))</f>
        <v>3068571428.5714283</v>
      </c>
      <c r="Y1129" s="27">
        <f>Y549*IF($E1129="weekday",INDEX('Category Mapping'!$F$28:$F$39,MATCH('Summarized Source Data'!$A1129,'Category Mapping'!$A$28:$A$39,0),1),INDEX('Category Mapping'!$E$28:$E$39,MATCH($A1129,'Category Mapping'!$A$28:$A$39,0),1))</f>
        <v>3068571428.5714283</v>
      </c>
      <c r="Z1129" s="27">
        <f>Z549*IF($E1129="weekday",INDEX('Category Mapping'!$F$28:$F$39,MATCH('Summarized Source Data'!$A1129,'Category Mapping'!$A$28:$A$39,0),1),INDEX('Category Mapping'!$E$28:$E$39,MATCH($A1129,'Category Mapping'!$A$28:$A$39,0),1))</f>
        <v>3068571428.5714283</v>
      </c>
    </row>
    <row r="1130" spans="1:26" outlineLevel="1" x14ac:dyDescent="0.3">
      <c r="A1130">
        <f t="shared" ref="A1130:E1130" si="595">A550</f>
        <v>11</v>
      </c>
      <c r="B1130" t="str">
        <f t="shared" si="595"/>
        <v>Winter</v>
      </c>
      <c r="C1130" t="str">
        <f t="shared" si="595"/>
        <v>h19</v>
      </c>
      <c r="D1130" t="str">
        <f t="shared" si="595"/>
        <v>Hour18</v>
      </c>
      <c r="E1130" t="str">
        <f t="shared" si="595"/>
        <v>Weekend</v>
      </c>
      <c r="F1130" s="27">
        <f>F550*IF($E1130="weekday",INDEX('Category Mapping'!$F$28:$F$39,MATCH('Summarized Source Data'!$A1130,'Category Mapping'!$A$28:$A$39,0),1),INDEX('Category Mapping'!$E$28:$E$39,MATCH($A1130,'Category Mapping'!$A$28:$A$39,0),1))</f>
        <v>52590488.571428567</v>
      </c>
      <c r="G1130" s="27">
        <f>G550*IF($E1130="weekday",INDEX('Category Mapping'!$F$28:$F$39,MATCH('Summarized Source Data'!$A1130,'Category Mapping'!$A$28:$A$39,0),1),INDEX('Category Mapping'!$E$28:$E$39,MATCH($A1130,'Category Mapping'!$A$28:$A$39,0),1))</f>
        <v>154431.42857142858</v>
      </c>
      <c r="H1130" s="27">
        <f>H550*IF($E1130="weekday",INDEX('Category Mapping'!$F$28:$F$39,MATCH('Summarized Source Data'!$A1130,'Category Mapping'!$A$28:$A$39,0),1),INDEX('Category Mapping'!$E$28:$E$39,MATCH($A1130,'Category Mapping'!$A$28:$A$39,0),1))</f>
        <v>0</v>
      </c>
      <c r="I1130" s="27">
        <f>I550*IF($E1130="weekday",INDEX('Category Mapping'!$F$28:$F$39,MATCH('Summarized Source Data'!$A1130,'Category Mapping'!$A$28:$A$39,0),1),INDEX('Category Mapping'!$E$28:$E$39,MATCH($A1130,'Category Mapping'!$A$28:$A$39,0),1))</f>
        <v>282857142.85714287</v>
      </c>
      <c r="J1130" s="27">
        <f>J550*IF($E1130="weekday",INDEX('Category Mapping'!$F$28:$F$39,MATCH('Summarized Source Data'!$A1130,'Category Mapping'!$A$28:$A$39,0),1),INDEX('Category Mapping'!$E$28:$E$39,MATCH($A1130,'Category Mapping'!$A$28:$A$39,0),1))</f>
        <v>787255080</v>
      </c>
      <c r="K1130" s="27">
        <f>K550*IF($E1130="weekday",INDEX('Category Mapping'!$F$28:$F$39,MATCH('Summarized Source Data'!$A1130,'Category Mapping'!$A$28:$A$39,0),1),INDEX('Category Mapping'!$E$28:$E$39,MATCH($A1130,'Category Mapping'!$A$28:$A$39,0),1))</f>
        <v>787255080</v>
      </c>
      <c r="L1130" s="27">
        <f>L550*IF($E1130="weekday",INDEX('Category Mapping'!$F$28:$F$39,MATCH('Summarized Source Data'!$A1130,'Category Mapping'!$A$28:$A$39,0),1),INDEX('Category Mapping'!$E$28:$E$39,MATCH($A1130,'Category Mapping'!$A$28:$A$39,0),1))</f>
        <v>97714285.714285716</v>
      </c>
      <c r="M1130" s="27">
        <f>M550*IF($E1130="weekday",INDEX('Category Mapping'!$F$28:$F$39,MATCH('Summarized Source Data'!$A1130,'Category Mapping'!$A$28:$A$39,0),1),INDEX('Category Mapping'!$E$28:$E$39,MATCH($A1130,'Category Mapping'!$A$28:$A$39,0),1))</f>
        <v>731271.42857142852</v>
      </c>
      <c r="N1130" s="27">
        <f>N550*IF($E1130="weekday",INDEX('Category Mapping'!$F$28:$F$39,MATCH('Summarized Source Data'!$A1130,'Category Mapping'!$A$28:$A$39,0),1),INDEX('Category Mapping'!$E$28:$E$39,MATCH($A1130,'Category Mapping'!$A$28:$A$39,0),1))</f>
        <v>0</v>
      </c>
      <c r="O1130" s="27">
        <f>O550*IF($E1130="weekday",INDEX('Category Mapping'!$F$28:$F$39,MATCH('Summarized Source Data'!$A1130,'Category Mapping'!$A$28:$A$39,0),1),INDEX('Category Mapping'!$E$28:$E$39,MATCH($A1130,'Category Mapping'!$A$28:$A$39,0),1))</f>
        <v>887268728.57142854</v>
      </c>
      <c r="P1130" s="27">
        <f>P550*IF($E1130="weekday",INDEX('Category Mapping'!$F$28:$F$39,MATCH('Summarized Source Data'!$A1130,'Category Mapping'!$A$28:$A$39,0),1),INDEX('Category Mapping'!$E$28:$E$39,MATCH($A1130,'Category Mapping'!$A$28:$A$39,0),1))</f>
        <v>887268728.57142854</v>
      </c>
      <c r="Q1130" s="27">
        <f>Q550*IF($E1130="weekday",INDEX('Category Mapping'!$F$28:$F$39,MATCH('Summarized Source Data'!$A1130,'Category Mapping'!$A$28:$A$39,0),1),INDEX('Category Mapping'!$E$28:$E$39,MATCH($A1130,'Category Mapping'!$A$28:$A$39,0),1))</f>
        <v>887268728.57142854</v>
      </c>
      <c r="R1130" s="27">
        <f>R550*IF($E1130="weekday",INDEX('Category Mapping'!$F$28:$F$39,MATCH('Summarized Source Data'!$A1130,'Category Mapping'!$A$28:$A$39,0),1),INDEX('Category Mapping'!$E$28:$E$39,MATCH($A1130,'Category Mapping'!$A$28:$A$39,0),1))</f>
        <v>53426768.571428567</v>
      </c>
      <c r="S1130" s="27">
        <f>S550*IF($E1130="weekday",INDEX('Category Mapping'!$F$28:$F$39,MATCH('Summarized Source Data'!$A1130,'Category Mapping'!$A$28:$A$39,0),1),INDEX('Category Mapping'!$E$28:$E$39,MATCH($A1130,'Category Mapping'!$A$28:$A$39,0),1))</f>
        <v>53426768.571428567</v>
      </c>
      <c r="T1130" s="27">
        <f>T550*IF($E1130="weekday",INDEX('Category Mapping'!$F$28:$F$39,MATCH('Summarized Source Data'!$A1130,'Category Mapping'!$A$28:$A$39,0),1),INDEX('Category Mapping'!$E$28:$E$39,MATCH($A1130,'Category Mapping'!$A$28:$A$39,0),1))</f>
        <v>53426768.571428567</v>
      </c>
      <c r="U1130" s="27">
        <f>U550*IF($E1130="weekday",INDEX('Category Mapping'!$F$28:$F$39,MATCH('Summarized Source Data'!$A1130,'Category Mapping'!$A$28:$A$39,0),1),INDEX('Category Mapping'!$E$28:$E$39,MATCH($A1130,'Category Mapping'!$A$28:$A$39,0),1))</f>
        <v>53426768.571428567</v>
      </c>
      <c r="V1130" s="27">
        <f>V550*IF($E1130="weekday",INDEX('Category Mapping'!$F$28:$F$39,MATCH('Summarized Source Data'!$A1130,'Category Mapping'!$A$28:$A$39,0),1),INDEX('Category Mapping'!$E$28:$E$39,MATCH($A1130,'Category Mapping'!$A$28:$A$39,0),1))</f>
        <v>53426768.571428567</v>
      </c>
      <c r="W1130" s="27">
        <f>W550*IF($E1130="weekday",INDEX('Category Mapping'!$F$28:$F$39,MATCH('Summarized Source Data'!$A1130,'Category Mapping'!$A$28:$A$39,0),1),INDEX('Category Mapping'!$E$28:$E$39,MATCH($A1130,'Category Mapping'!$A$28:$A$39,0),1))</f>
        <v>53426768.571428567</v>
      </c>
      <c r="X1130" s="27">
        <f>X550*IF($E1130="weekday",INDEX('Category Mapping'!$F$28:$F$39,MATCH('Summarized Source Data'!$A1130,'Category Mapping'!$A$28:$A$39,0),1),INDEX('Category Mapping'!$E$28:$E$39,MATCH($A1130,'Category Mapping'!$A$28:$A$39,0),1))</f>
        <v>3051428571.4285712</v>
      </c>
      <c r="Y1130" s="27">
        <f>Y550*IF($E1130="weekday",INDEX('Category Mapping'!$F$28:$F$39,MATCH('Summarized Source Data'!$A1130,'Category Mapping'!$A$28:$A$39,0),1),INDEX('Category Mapping'!$E$28:$E$39,MATCH($A1130,'Category Mapping'!$A$28:$A$39,0),1))</f>
        <v>3051428571.4285712</v>
      </c>
      <c r="Z1130" s="27">
        <f>Z550*IF($E1130="weekday",INDEX('Category Mapping'!$F$28:$F$39,MATCH('Summarized Source Data'!$A1130,'Category Mapping'!$A$28:$A$39,0),1),INDEX('Category Mapping'!$E$28:$E$39,MATCH($A1130,'Category Mapping'!$A$28:$A$39,0),1))</f>
        <v>3051428571.4285712</v>
      </c>
    </row>
    <row r="1131" spans="1:26" outlineLevel="1" x14ac:dyDescent="0.3">
      <c r="A1131">
        <f t="shared" ref="A1131:E1131" si="596">A551</f>
        <v>11</v>
      </c>
      <c r="B1131" t="str">
        <f t="shared" si="596"/>
        <v>Winter</v>
      </c>
      <c r="C1131" t="str">
        <f t="shared" si="596"/>
        <v>h20</v>
      </c>
      <c r="D1131" t="str">
        <f t="shared" si="596"/>
        <v>Hour19</v>
      </c>
      <c r="E1131" t="str">
        <f t="shared" si="596"/>
        <v>Weekend</v>
      </c>
      <c r="F1131" s="27">
        <f>F551*IF($E1131="weekday",INDEX('Category Mapping'!$F$28:$F$39,MATCH('Summarized Source Data'!$A1131,'Category Mapping'!$A$28:$A$39,0),1),INDEX('Category Mapping'!$E$28:$E$39,MATCH($A1131,'Category Mapping'!$A$28:$A$39,0),1))</f>
        <v>57166320</v>
      </c>
      <c r="G1131" s="27">
        <f>G551*IF($E1131="weekday",INDEX('Category Mapping'!$F$28:$F$39,MATCH('Summarized Source Data'!$A1131,'Category Mapping'!$A$28:$A$39,0),1),INDEX('Category Mapping'!$E$28:$E$39,MATCH($A1131,'Category Mapping'!$A$28:$A$39,0),1))</f>
        <v>164117.14285714284</v>
      </c>
      <c r="H1131" s="27">
        <f>H551*IF($E1131="weekday",INDEX('Category Mapping'!$F$28:$F$39,MATCH('Summarized Source Data'!$A1131,'Category Mapping'!$A$28:$A$39,0),1),INDEX('Category Mapping'!$E$28:$E$39,MATCH($A1131,'Category Mapping'!$A$28:$A$39,0),1))</f>
        <v>0</v>
      </c>
      <c r="I1131" s="27">
        <f>I551*IF($E1131="weekday",INDEX('Category Mapping'!$F$28:$F$39,MATCH('Summarized Source Data'!$A1131,'Category Mapping'!$A$28:$A$39,0),1),INDEX('Category Mapping'!$E$28:$E$39,MATCH($A1131,'Category Mapping'!$A$28:$A$39,0),1))</f>
        <v>296571428.57142854</v>
      </c>
      <c r="J1131" s="27">
        <f>J551*IF($E1131="weekday",INDEX('Category Mapping'!$F$28:$F$39,MATCH('Summarized Source Data'!$A1131,'Category Mapping'!$A$28:$A$39,0),1),INDEX('Category Mapping'!$E$28:$E$39,MATCH($A1131,'Category Mapping'!$A$28:$A$39,0),1))</f>
        <v>726098134.28571427</v>
      </c>
      <c r="K1131" s="27">
        <f>K551*IF($E1131="weekday",INDEX('Category Mapping'!$F$28:$F$39,MATCH('Summarized Source Data'!$A1131,'Category Mapping'!$A$28:$A$39,0),1),INDEX('Category Mapping'!$E$28:$E$39,MATCH($A1131,'Category Mapping'!$A$28:$A$39,0),1))</f>
        <v>726098134.28571427</v>
      </c>
      <c r="L1131" s="27">
        <f>L551*IF($E1131="weekday",INDEX('Category Mapping'!$F$28:$F$39,MATCH('Summarized Source Data'!$A1131,'Category Mapping'!$A$28:$A$39,0),1),INDEX('Category Mapping'!$E$28:$E$39,MATCH($A1131,'Category Mapping'!$A$28:$A$39,0),1))</f>
        <v>81918008.571428567</v>
      </c>
      <c r="M1131" s="27">
        <f>M551*IF($E1131="weekday",INDEX('Category Mapping'!$F$28:$F$39,MATCH('Summarized Source Data'!$A1131,'Category Mapping'!$A$28:$A$39,0),1),INDEX('Category Mapping'!$E$28:$E$39,MATCH($A1131,'Category Mapping'!$A$28:$A$39,0),1))</f>
        <v>708394.28571428568</v>
      </c>
      <c r="N1131" s="27">
        <f>N551*IF($E1131="weekday",INDEX('Category Mapping'!$F$28:$F$39,MATCH('Summarized Source Data'!$A1131,'Category Mapping'!$A$28:$A$39,0),1),INDEX('Category Mapping'!$E$28:$E$39,MATCH($A1131,'Category Mapping'!$A$28:$A$39,0),1))</f>
        <v>0</v>
      </c>
      <c r="O1131" s="27">
        <f>O551*IF($E1131="weekday",INDEX('Category Mapping'!$F$28:$F$39,MATCH('Summarized Source Data'!$A1131,'Category Mapping'!$A$28:$A$39,0),1),INDEX('Category Mapping'!$E$28:$E$39,MATCH($A1131,'Category Mapping'!$A$28:$A$39,0),1))</f>
        <v>860230740</v>
      </c>
      <c r="P1131" s="27">
        <f>P551*IF($E1131="weekday",INDEX('Category Mapping'!$F$28:$F$39,MATCH('Summarized Source Data'!$A1131,'Category Mapping'!$A$28:$A$39,0),1),INDEX('Category Mapping'!$E$28:$E$39,MATCH($A1131,'Category Mapping'!$A$28:$A$39,0),1))</f>
        <v>860230740</v>
      </c>
      <c r="Q1131" s="27">
        <f>Q551*IF($E1131="weekday",INDEX('Category Mapping'!$F$28:$F$39,MATCH('Summarized Source Data'!$A1131,'Category Mapping'!$A$28:$A$39,0),1),INDEX('Category Mapping'!$E$28:$E$39,MATCH($A1131,'Category Mapping'!$A$28:$A$39,0),1))</f>
        <v>860230740</v>
      </c>
      <c r="R1131" s="27">
        <f>R551*IF($E1131="weekday",INDEX('Category Mapping'!$F$28:$F$39,MATCH('Summarized Source Data'!$A1131,'Category Mapping'!$A$28:$A$39,0),1),INDEX('Category Mapping'!$E$28:$E$39,MATCH($A1131,'Category Mapping'!$A$28:$A$39,0),1))</f>
        <v>52272402.857142858</v>
      </c>
      <c r="S1131" s="27">
        <f>S551*IF($E1131="weekday",INDEX('Category Mapping'!$F$28:$F$39,MATCH('Summarized Source Data'!$A1131,'Category Mapping'!$A$28:$A$39,0),1),INDEX('Category Mapping'!$E$28:$E$39,MATCH($A1131,'Category Mapping'!$A$28:$A$39,0),1))</f>
        <v>52272402.857142858</v>
      </c>
      <c r="T1131" s="27">
        <f>T551*IF($E1131="weekday",INDEX('Category Mapping'!$F$28:$F$39,MATCH('Summarized Source Data'!$A1131,'Category Mapping'!$A$28:$A$39,0),1),INDEX('Category Mapping'!$E$28:$E$39,MATCH($A1131,'Category Mapping'!$A$28:$A$39,0),1))</f>
        <v>52272402.857142858</v>
      </c>
      <c r="U1131" s="27">
        <f>U551*IF($E1131="weekday",INDEX('Category Mapping'!$F$28:$F$39,MATCH('Summarized Source Data'!$A1131,'Category Mapping'!$A$28:$A$39,0),1),INDEX('Category Mapping'!$E$28:$E$39,MATCH($A1131,'Category Mapping'!$A$28:$A$39,0),1))</f>
        <v>52272402.857142858</v>
      </c>
      <c r="V1131" s="27">
        <f>V551*IF($E1131="weekday",INDEX('Category Mapping'!$F$28:$F$39,MATCH('Summarized Source Data'!$A1131,'Category Mapping'!$A$28:$A$39,0),1),INDEX('Category Mapping'!$E$28:$E$39,MATCH($A1131,'Category Mapping'!$A$28:$A$39,0),1))</f>
        <v>52272402.857142858</v>
      </c>
      <c r="W1131" s="27">
        <f>W551*IF($E1131="weekday",INDEX('Category Mapping'!$F$28:$F$39,MATCH('Summarized Source Data'!$A1131,'Category Mapping'!$A$28:$A$39,0),1),INDEX('Category Mapping'!$E$28:$E$39,MATCH($A1131,'Category Mapping'!$A$28:$A$39,0),1))</f>
        <v>52272402.857142858</v>
      </c>
      <c r="X1131" s="27">
        <f>X551*IF($E1131="weekday",INDEX('Category Mapping'!$F$28:$F$39,MATCH('Summarized Source Data'!$A1131,'Category Mapping'!$A$28:$A$39,0),1),INDEX('Category Mapping'!$E$28:$E$39,MATCH($A1131,'Category Mapping'!$A$28:$A$39,0),1))</f>
        <v>3034285714.2857141</v>
      </c>
      <c r="Y1131" s="27">
        <f>Y551*IF($E1131="weekday",INDEX('Category Mapping'!$F$28:$F$39,MATCH('Summarized Source Data'!$A1131,'Category Mapping'!$A$28:$A$39,0),1),INDEX('Category Mapping'!$E$28:$E$39,MATCH($A1131,'Category Mapping'!$A$28:$A$39,0),1))</f>
        <v>3034285714.2857141</v>
      </c>
      <c r="Z1131" s="27">
        <f>Z551*IF($E1131="weekday",INDEX('Category Mapping'!$F$28:$F$39,MATCH('Summarized Source Data'!$A1131,'Category Mapping'!$A$28:$A$39,0),1),INDEX('Category Mapping'!$E$28:$E$39,MATCH($A1131,'Category Mapping'!$A$28:$A$39,0),1))</f>
        <v>3034285714.2857141</v>
      </c>
    </row>
    <row r="1132" spans="1:26" outlineLevel="1" x14ac:dyDescent="0.3">
      <c r="A1132">
        <f t="shared" ref="A1132:E1132" si="597">A552</f>
        <v>11</v>
      </c>
      <c r="B1132" t="str">
        <f t="shared" si="597"/>
        <v>Winter</v>
      </c>
      <c r="C1132" t="str">
        <f t="shared" si="597"/>
        <v>h21</v>
      </c>
      <c r="D1132" t="str">
        <f t="shared" si="597"/>
        <v>Hour20</v>
      </c>
      <c r="E1132" t="str">
        <f t="shared" si="597"/>
        <v>Weekend</v>
      </c>
      <c r="F1132" s="27">
        <f>F552*IF($E1132="weekday",INDEX('Category Mapping'!$F$28:$F$39,MATCH('Summarized Source Data'!$A1132,'Category Mapping'!$A$28:$A$39,0),1),INDEX('Category Mapping'!$E$28:$E$39,MATCH($A1132,'Category Mapping'!$A$28:$A$39,0),1))</f>
        <v>60304225.714285709</v>
      </c>
      <c r="G1132" s="27">
        <f>G552*IF($E1132="weekday",INDEX('Category Mapping'!$F$28:$F$39,MATCH('Summarized Source Data'!$A1132,'Category Mapping'!$A$28:$A$39,0),1),INDEX('Category Mapping'!$E$28:$E$39,MATCH($A1132,'Category Mapping'!$A$28:$A$39,0),1))</f>
        <v>171822.85714285713</v>
      </c>
      <c r="H1132" s="27">
        <f>H552*IF($E1132="weekday",INDEX('Category Mapping'!$F$28:$F$39,MATCH('Summarized Source Data'!$A1132,'Category Mapping'!$A$28:$A$39,0),1),INDEX('Category Mapping'!$E$28:$E$39,MATCH($A1132,'Category Mapping'!$A$28:$A$39,0),1))</f>
        <v>0</v>
      </c>
      <c r="I1132" s="27">
        <f>I552*IF($E1132="weekday",INDEX('Category Mapping'!$F$28:$F$39,MATCH('Summarized Source Data'!$A1132,'Category Mapping'!$A$28:$A$39,0),1),INDEX('Category Mapping'!$E$28:$E$39,MATCH($A1132,'Category Mapping'!$A$28:$A$39,0),1))</f>
        <v>294857142.85714287</v>
      </c>
      <c r="J1132" s="27">
        <f>J552*IF($E1132="weekday",INDEX('Category Mapping'!$F$28:$F$39,MATCH('Summarized Source Data'!$A1132,'Category Mapping'!$A$28:$A$39,0),1),INDEX('Category Mapping'!$E$28:$E$39,MATCH($A1132,'Category Mapping'!$A$28:$A$39,0),1))</f>
        <v>681809665.71428573</v>
      </c>
      <c r="K1132" s="27">
        <f>K552*IF($E1132="weekday",INDEX('Category Mapping'!$F$28:$F$39,MATCH('Summarized Source Data'!$A1132,'Category Mapping'!$A$28:$A$39,0),1),INDEX('Category Mapping'!$E$28:$E$39,MATCH($A1132,'Category Mapping'!$A$28:$A$39,0),1))</f>
        <v>681809665.71428573</v>
      </c>
      <c r="L1132" s="27">
        <f>L552*IF($E1132="weekday",INDEX('Category Mapping'!$F$28:$F$39,MATCH('Summarized Source Data'!$A1132,'Category Mapping'!$A$28:$A$39,0),1),INDEX('Category Mapping'!$E$28:$E$39,MATCH($A1132,'Category Mapping'!$A$28:$A$39,0),1))</f>
        <v>84572554.285714284</v>
      </c>
      <c r="M1132" s="27">
        <f>M552*IF($E1132="weekday",INDEX('Category Mapping'!$F$28:$F$39,MATCH('Summarized Source Data'!$A1132,'Category Mapping'!$A$28:$A$39,0),1),INDEX('Category Mapping'!$E$28:$E$39,MATCH($A1132,'Category Mapping'!$A$28:$A$39,0),1))</f>
        <v>689160</v>
      </c>
      <c r="N1132" s="27">
        <f>N552*IF($E1132="weekday",INDEX('Category Mapping'!$F$28:$F$39,MATCH('Summarized Source Data'!$A1132,'Category Mapping'!$A$28:$A$39,0),1),INDEX('Category Mapping'!$E$28:$E$39,MATCH($A1132,'Category Mapping'!$A$28:$A$39,0),1))</f>
        <v>0</v>
      </c>
      <c r="O1132" s="27">
        <f>O552*IF($E1132="weekday",INDEX('Category Mapping'!$F$28:$F$39,MATCH('Summarized Source Data'!$A1132,'Category Mapping'!$A$28:$A$39,0),1),INDEX('Category Mapping'!$E$28:$E$39,MATCH($A1132,'Category Mapping'!$A$28:$A$39,0),1))</f>
        <v>823309714.28571427</v>
      </c>
      <c r="P1132" s="27">
        <f>P552*IF($E1132="weekday",INDEX('Category Mapping'!$F$28:$F$39,MATCH('Summarized Source Data'!$A1132,'Category Mapping'!$A$28:$A$39,0),1),INDEX('Category Mapping'!$E$28:$E$39,MATCH($A1132,'Category Mapping'!$A$28:$A$39,0),1))</f>
        <v>823309714.28571427</v>
      </c>
      <c r="Q1132" s="27">
        <f>Q552*IF($E1132="weekday",INDEX('Category Mapping'!$F$28:$F$39,MATCH('Summarized Source Data'!$A1132,'Category Mapping'!$A$28:$A$39,0),1),INDEX('Category Mapping'!$E$28:$E$39,MATCH($A1132,'Category Mapping'!$A$28:$A$39,0),1))</f>
        <v>823309714.28571427</v>
      </c>
      <c r="R1132" s="27">
        <f>R552*IF($E1132="weekday",INDEX('Category Mapping'!$F$28:$F$39,MATCH('Summarized Source Data'!$A1132,'Category Mapping'!$A$28:$A$39,0),1),INDEX('Category Mapping'!$E$28:$E$39,MATCH($A1132,'Category Mapping'!$A$28:$A$39,0),1))</f>
        <v>50716525.714285716</v>
      </c>
      <c r="S1132" s="27">
        <f>S552*IF($E1132="weekday",INDEX('Category Mapping'!$F$28:$F$39,MATCH('Summarized Source Data'!$A1132,'Category Mapping'!$A$28:$A$39,0),1),INDEX('Category Mapping'!$E$28:$E$39,MATCH($A1132,'Category Mapping'!$A$28:$A$39,0),1))</f>
        <v>50716525.714285716</v>
      </c>
      <c r="T1132" s="27">
        <f>T552*IF($E1132="weekday",INDEX('Category Mapping'!$F$28:$F$39,MATCH('Summarized Source Data'!$A1132,'Category Mapping'!$A$28:$A$39,0),1),INDEX('Category Mapping'!$E$28:$E$39,MATCH($A1132,'Category Mapping'!$A$28:$A$39,0),1))</f>
        <v>50716525.714285716</v>
      </c>
      <c r="U1132" s="27">
        <f>U552*IF($E1132="weekday",INDEX('Category Mapping'!$F$28:$F$39,MATCH('Summarized Source Data'!$A1132,'Category Mapping'!$A$28:$A$39,0),1),INDEX('Category Mapping'!$E$28:$E$39,MATCH($A1132,'Category Mapping'!$A$28:$A$39,0),1))</f>
        <v>50716525.714285716</v>
      </c>
      <c r="V1132" s="27">
        <f>V552*IF($E1132="weekday",INDEX('Category Mapping'!$F$28:$F$39,MATCH('Summarized Source Data'!$A1132,'Category Mapping'!$A$28:$A$39,0),1),INDEX('Category Mapping'!$E$28:$E$39,MATCH($A1132,'Category Mapping'!$A$28:$A$39,0),1))</f>
        <v>50716525.714285716</v>
      </c>
      <c r="W1132" s="27">
        <f>W552*IF($E1132="weekday",INDEX('Category Mapping'!$F$28:$F$39,MATCH('Summarized Source Data'!$A1132,'Category Mapping'!$A$28:$A$39,0),1),INDEX('Category Mapping'!$E$28:$E$39,MATCH($A1132,'Category Mapping'!$A$28:$A$39,0),1))</f>
        <v>50716525.714285716</v>
      </c>
      <c r="X1132" s="27">
        <f>X552*IF($E1132="weekday",INDEX('Category Mapping'!$F$28:$F$39,MATCH('Summarized Source Data'!$A1132,'Category Mapping'!$A$28:$A$39,0),1),INDEX('Category Mapping'!$E$28:$E$39,MATCH($A1132,'Category Mapping'!$A$28:$A$39,0),1))</f>
        <v>3017142857.1428571</v>
      </c>
      <c r="Y1132" s="27">
        <f>Y552*IF($E1132="weekday",INDEX('Category Mapping'!$F$28:$F$39,MATCH('Summarized Source Data'!$A1132,'Category Mapping'!$A$28:$A$39,0),1),INDEX('Category Mapping'!$E$28:$E$39,MATCH($A1132,'Category Mapping'!$A$28:$A$39,0),1))</f>
        <v>3017142857.1428571</v>
      </c>
      <c r="Z1132" s="27">
        <f>Z552*IF($E1132="weekday",INDEX('Category Mapping'!$F$28:$F$39,MATCH('Summarized Source Data'!$A1132,'Category Mapping'!$A$28:$A$39,0),1),INDEX('Category Mapping'!$E$28:$E$39,MATCH($A1132,'Category Mapping'!$A$28:$A$39,0),1))</f>
        <v>3017142857.1428571</v>
      </c>
    </row>
    <row r="1133" spans="1:26" outlineLevel="1" x14ac:dyDescent="0.3">
      <c r="A1133">
        <f t="shared" ref="A1133:E1133" si="598">A553</f>
        <v>11</v>
      </c>
      <c r="B1133" t="str">
        <f t="shared" si="598"/>
        <v>Winter</v>
      </c>
      <c r="C1133" t="str">
        <f t="shared" si="598"/>
        <v>h22</v>
      </c>
      <c r="D1133" t="str">
        <f t="shared" si="598"/>
        <v>Hour21</v>
      </c>
      <c r="E1133" t="str">
        <f t="shared" si="598"/>
        <v>Weekend</v>
      </c>
      <c r="F1133" s="27">
        <f>F553*IF($E1133="weekday",INDEX('Category Mapping'!$F$28:$F$39,MATCH('Summarized Source Data'!$A1133,'Category Mapping'!$A$28:$A$39,0),1),INDEX('Category Mapping'!$E$28:$E$39,MATCH($A1133,'Category Mapping'!$A$28:$A$39,0),1))</f>
        <v>57388337.142857142</v>
      </c>
      <c r="G1133" s="27">
        <f>G553*IF($E1133="weekday",INDEX('Category Mapping'!$F$28:$F$39,MATCH('Summarized Source Data'!$A1133,'Category Mapping'!$A$28:$A$39,0),1),INDEX('Category Mapping'!$E$28:$E$39,MATCH($A1133,'Category Mapping'!$A$28:$A$39,0),1))</f>
        <v>179134.28571428571</v>
      </c>
      <c r="H1133" s="27">
        <f>H553*IF($E1133="weekday",INDEX('Category Mapping'!$F$28:$F$39,MATCH('Summarized Source Data'!$A1133,'Category Mapping'!$A$28:$A$39,0),1),INDEX('Category Mapping'!$E$28:$E$39,MATCH($A1133,'Category Mapping'!$A$28:$A$39,0),1))</f>
        <v>0</v>
      </c>
      <c r="I1133" s="27">
        <f>I553*IF($E1133="weekday",INDEX('Category Mapping'!$F$28:$F$39,MATCH('Summarized Source Data'!$A1133,'Category Mapping'!$A$28:$A$39,0),1),INDEX('Category Mapping'!$E$28:$E$39,MATCH($A1133,'Category Mapping'!$A$28:$A$39,0),1))</f>
        <v>244285714.28571427</v>
      </c>
      <c r="J1133" s="27">
        <f>J553*IF($E1133="weekday",INDEX('Category Mapping'!$F$28:$F$39,MATCH('Summarized Source Data'!$A1133,'Category Mapping'!$A$28:$A$39,0),1),INDEX('Category Mapping'!$E$28:$E$39,MATCH($A1133,'Category Mapping'!$A$28:$A$39,0),1))</f>
        <v>632432528.57142854</v>
      </c>
      <c r="K1133" s="27">
        <f>K553*IF($E1133="weekday",INDEX('Category Mapping'!$F$28:$F$39,MATCH('Summarized Source Data'!$A1133,'Category Mapping'!$A$28:$A$39,0),1),INDEX('Category Mapping'!$E$28:$E$39,MATCH($A1133,'Category Mapping'!$A$28:$A$39,0),1))</f>
        <v>632432528.57142854</v>
      </c>
      <c r="L1133" s="27">
        <f>L553*IF($E1133="weekday",INDEX('Category Mapping'!$F$28:$F$39,MATCH('Summarized Source Data'!$A1133,'Category Mapping'!$A$28:$A$39,0),1),INDEX('Category Mapping'!$E$28:$E$39,MATCH($A1133,'Category Mapping'!$A$28:$A$39,0),1))</f>
        <v>90000000</v>
      </c>
      <c r="M1133" s="27">
        <f>M553*IF($E1133="weekday",INDEX('Category Mapping'!$F$28:$F$39,MATCH('Summarized Source Data'!$A1133,'Category Mapping'!$A$28:$A$39,0),1),INDEX('Category Mapping'!$E$28:$E$39,MATCH($A1133,'Category Mapping'!$A$28:$A$39,0),1))</f>
        <v>669531.42857142852</v>
      </c>
      <c r="N1133" s="27">
        <f>N553*IF($E1133="weekday",INDEX('Category Mapping'!$F$28:$F$39,MATCH('Summarized Source Data'!$A1133,'Category Mapping'!$A$28:$A$39,0),1),INDEX('Category Mapping'!$E$28:$E$39,MATCH($A1133,'Category Mapping'!$A$28:$A$39,0),1))</f>
        <v>0</v>
      </c>
      <c r="O1133" s="27">
        <f>O553*IF($E1133="weekday",INDEX('Category Mapping'!$F$28:$F$39,MATCH('Summarized Source Data'!$A1133,'Category Mapping'!$A$28:$A$39,0),1),INDEX('Category Mapping'!$E$28:$E$39,MATCH($A1133,'Category Mapping'!$A$28:$A$39,0),1))</f>
        <v>766473325.71428573</v>
      </c>
      <c r="P1133" s="27">
        <f>P553*IF($E1133="weekday",INDEX('Category Mapping'!$F$28:$F$39,MATCH('Summarized Source Data'!$A1133,'Category Mapping'!$A$28:$A$39,0),1),INDEX('Category Mapping'!$E$28:$E$39,MATCH($A1133,'Category Mapping'!$A$28:$A$39,0),1))</f>
        <v>766473325.71428573</v>
      </c>
      <c r="Q1133" s="27">
        <f>Q553*IF($E1133="weekday",INDEX('Category Mapping'!$F$28:$F$39,MATCH('Summarized Source Data'!$A1133,'Category Mapping'!$A$28:$A$39,0),1),INDEX('Category Mapping'!$E$28:$E$39,MATCH($A1133,'Category Mapping'!$A$28:$A$39,0),1))</f>
        <v>766473325.71428573</v>
      </c>
      <c r="R1133" s="27">
        <f>R553*IF($E1133="weekday",INDEX('Category Mapping'!$F$28:$F$39,MATCH('Summarized Source Data'!$A1133,'Category Mapping'!$A$28:$A$39,0),1),INDEX('Category Mapping'!$E$28:$E$39,MATCH($A1133,'Category Mapping'!$A$28:$A$39,0),1))</f>
        <v>48959888.571428567</v>
      </c>
      <c r="S1133" s="27">
        <f>S553*IF($E1133="weekday",INDEX('Category Mapping'!$F$28:$F$39,MATCH('Summarized Source Data'!$A1133,'Category Mapping'!$A$28:$A$39,0),1),INDEX('Category Mapping'!$E$28:$E$39,MATCH($A1133,'Category Mapping'!$A$28:$A$39,0),1))</f>
        <v>48959888.571428567</v>
      </c>
      <c r="T1133" s="27">
        <f>T553*IF($E1133="weekday",INDEX('Category Mapping'!$F$28:$F$39,MATCH('Summarized Source Data'!$A1133,'Category Mapping'!$A$28:$A$39,0),1),INDEX('Category Mapping'!$E$28:$E$39,MATCH($A1133,'Category Mapping'!$A$28:$A$39,0),1))</f>
        <v>48959888.571428567</v>
      </c>
      <c r="U1133" s="27">
        <f>U553*IF($E1133="weekday",INDEX('Category Mapping'!$F$28:$F$39,MATCH('Summarized Source Data'!$A1133,'Category Mapping'!$A$28:$A$39,0),1),INDEX('Category Mapping'!$E$28:$E$39,MATCH($A1133,'Category Mapping'!$A$28:$A$39,0),1))</f>
        <v>48959888.571428567</v>
      </c>
      <c r="V1133" s="27">
        <f>V553*IF($E1133="weekday",INDEX('Category Mapping'!$F$28:$F$39,MATCH('Summarized Source Data'!$A1133,'Category Mapping'!$A$28:$A$39,0),1),INDEX('Category Mapping'!$E$28:$E$39,MATCH($A1133,'Category Mapping'!$A$28:$A$39,0),1))</f>
        <v>48959888.571428567</v>
      </c>
      <c r="W1133" s="27">
        <f>W553*IF($E1133="weekday",INDEX('Category Mapping'!$F$28:$F$39,MATCH('Summarized Source Data'!$A1133,'Category Mapping'!$A$28:$A$39,0),1),INDEX('Category Mapping'!$E$28:$E$39,MATCH($A1133,'Category Mapping'!$A$28:$A$39,0),1))</f>
        <v>48959888.571428567</v>
      </c>
      <c r="X1133" s="27">
        <f>X553*IF($E1133="weekday",INDEX('Category Mapping'!$F$28:$F$39,MATCH('Summarized Source Data'!$A1133,'Category Mapping'!$A$28:$A$39,0),1),INDEX('Category Mapping'!$E$28:$E$39,MATCH($A1133,'Category Mapping'!$A$28:$A$39,0),1))</f>
        <v>2991428571.4285712</v>
      </c>
      <c r="Y1133" s="27">
        <f>Y553*IF($E1133="weekday",INDEX('Category Mapping'!$F$28:$F$39,MATCH('Summarized Source Data'!$A1133,'Category Mapping'!$A$28:$A$39,0),1),INDEX('Category Mapping'!$E$28:$E$39,MATCH($A1133,'Category Mapping'!$A$28:$A$39,0),1))</f>
        <v>2991428571.4285712</v>
      </c>
      <c r="Z1133" s="27">
        <f>Z553*IF($E1133="weekday",INDEX('Category Mapping'!$F$28:$F$39,MATCH('Summarized Source Data'!$A1133,'Category Mapping'!$A$28:$A$39,0),1),INDEX('Category Mapping'!$E$28:$E$39,MATCH($A1133,'Category Mapping'!$A$28:$A$39,0),1))</f>
        <v>2991428571.4285712</v>
      </c>
    </row>
    <row r="1134" spans="1:26" outlineLevel="1" x14ac:dyDescent="0.3">
      <c r="A1134">
        <f t="shared" ref="A1134:E1134" si="599">A554</f>
        <v>11</v>
      </c>
      <c r="B1134" t="str">
        <f t="shared" si="599"/>
        <v>Winter</v>
      </c>
      <c r="C1134" t="str">
        <f t="shared" si="599"/>
        <v>h23</v>
      </c>
      <c r="D1134" t="str">
        <f t="shared" si="599"/>
        <v>Hour22</v>
      </c>
      <c r="E1134" t="str">
        <f t="shared" si="599"/>
        <v>Weekend</v>
      </c>
      <c r="F1134" s="27">
        <f>F554*IF($E1134="weekday",INDEX('Category Mapping'!$F$28:$F$39,MATCH('Summarized Source Data'!$A1134,'Category Mapping'!$A$28:$A$39,0),1),INDEX('Category Mapping'!$E$28:$E$39,MATCH($A1134,'Category Mapping'!$A$28:$A$39,0),1))</f>
        <v>49891680</v>
      </c>
      <c r="G1134" s="27">
        <f>G554*IF($E1134="weekday",INDEX('Category Mapping'!$F$28:$F$39,MATCH('Summarized Source Data'!$A1134,'Category Mapping'!$A$28:$A$39,0),1),INDEX('Category Mapping'!$E$28:$E$39,MATCH($A1134,'Category Mapping'!$A$28:$A$39,0),1))</f>
        <v>185905.71428571429</v>
      </c>
      <c r="H1134" s="27">
        <f>H554*IF($E1134="weekday",INDEX('Category Mapping'!$F$28:$F$39,MATCH('Summarized Source Data'!$A1134,'Category Mapping'!$A$28:$A$39,0),1),INDEX('Category Mapping'!$E$28:$E$39,MATCH($A1134,'Category Mapping'!$A$28:$A$39,0),1))</f>
        <v>0</v>
      </c>
      <c r="I1134" s="27">
        <f>I554*IF($E1134="weekday",INDEX('Category Mapping'!$F$28:$F$39,MATCH('Summarized Source Data'!$A1134,'Category Mapping'!$A$28:$A$39,0),1),INDEX('Category Mapping'!$E$28:$E$39,MATCH($A1134,'Category Mapping'!$A$28:$A$39,0),1))</f>
        <v>156857142.85714287</v>
      </c>
      <c r="J1134" s="27">
        <f>J554*IF($E1134="weekday",INDEX('Category Mapping'!$F$28:$F$39,MATCH('Summarized Source Data'!$A1134,'Category Mapping'!$A$28:$A$39,0),1),INDEX('Category Mapping'!$E$28:$E$39,MATCH($A1134,'Category Mapping'!$A$28:$A$39,0),1))</f>
        <v>528493842.85714287</v>
      </c>
      <c r="K1134" s="27">
        <f>K554*IF($E1134="weekday",INDEX('Category Mapping'!$F$28:$F$39,MATCH('Summarized Source Data'!$A1134,'Category Mapping'!$A$28:$A$39,0),1),INDEX('Category Mapping'!$E$28:$E$39,MATCH($A1134,'Category Mapping'!$A$28:$A$39,0),1))</f>
        <v>528493842.85714287</v>
      </c>
      <c r="L1134" s="27">
        <f>L554*IF($E1134="weekday",INDEX('Category Mapping'!$F$28:$F$39,MATCH('Summarized Source Data'!$A1134,'Category Mapping'!$A$28:$A$39,0),1),INDEX('Category Mapping'!$E$28:$E$39,MATCH($A1134,'Category Mapping'!$A$28:$A$39,0),1))</f>
        <v>86571428.571428567</v>
      </c>
      <c r="M1134" s="27">
        <f>M554*IF($E1134="weekday",INDEX('Category Mapping'!$F$28:$F$39,MATCH('Summarized Source Data'!$A1134,'Category Mapping'!$A$28:$A$39,0),1),INDEX('Category Mapping'!$E$28:$E$39,MATCH($A1134,'Category Mapping'!$A$28:$A$39,0),1))</f>
        <v>645934.28571428568</v>
      </c>
      <c r="N1134" s="27">
        <f>N554*IF($E1134="weekday",INDEX('Category Mapping'!$F$28:$F$39,MATCH('Summarized Source Data'!$A1134,'Category Mapping'!$A$28:$A$39,0),1),INDEX('Category Mapping'!$E$28:$E$39,MATCH($A1134,'Category Mapping'!$A$28:$A$39,0),1))</f>
        <v>0</v>
      </c>
      <c r="O1134" s="27">
        <f>O554*IF($E1134="weekday",INDEX('Category Mapping'!$F$28:$F$39,MATCH('Summarized Source Data'!$A1134,'Category Mapping'!$A$28:$A$39,0),1),INDEX('Category Mapping'!$E$28:$E$39,MATCH($A1134,'Category Mapping'!$A$28:$A$39,0),1))</f>
        <v>731354065.71428573</v>
      </c>
      <c r="P1134" s="27">
        <f>P554*IF($E1134="weekday",INDEX('Category Mapping'!$F$28:$F$39,MATCH('Summarized Source Data'!$A1134,'Category Mapping'!$A$28:$A$39,0),1),INDEX('Category Mapping'!$E$28:$E$39,MATCH($A1134,'Category Mapping'!$A$28:$A$39,0),1))</f>
        <v>731354065.71428573</v>
      </c>
      <c r="Q1134" s="27">
        <f>Q554*IF($E1134="weekday",INDEX('Category Mapping'!$F$28:$F$39,MATCH('Summarized Source Data'!$A1134,'Category Mapping'!$A$28:$A$39,0),1),INDEX('Category Mapping'!$E$28:$E$39,MATCH($A1134,'Category Mapping'!$A$28:$A$39,0),1))</f>
        <v>731354065.71428573</v>
      </c>
      <c r="R1134" s="27">
        <f>R554*IF($E1134="weekday",INDEX('Category Mapping'!$F$28:$F$39,MATCH('Summarized Source Data'!$A1134,'Category Mapping'!$A$28:$A$39,0),1),INDEX('Category Mapping'!$E$28:$E$39,MATCH($A1134,'Category Mapping'!$A$28:$A$39,0),1))</f>
        <v>48357617.142857142</v>
      </c>
      <c r="S1134" s="27">
        <f>S554*IF($E1134="weekday",INDEX('Category Mapping'!$F$28:$F$39,MATCH('Summarized Source Data'!$A1134,'Category Mapping'!$A$28:$A$39,0),1),INDEX('Category Mapping'!$E$28:$E$39,MATCH($A1134,'Category Mapping'!$A$28:$A$39,0),1))</f>
        <v>48357617.142857142</v>
      </c>
      <c r="T1134" s="27">
        <f>T554*IF($E1134="weekday",INDEX('Category Mapping'!$F$28:$F$39,MATCH('Summarized Source Data'!$A1134,'Category Mapping'!$A$28:$A$39,0),1),INDEX('Category Mapping'!$E$28:$E$39,MATCH($A1134,'Category Mapping'!$A$28:$A$39,0),1))</f>
        <v>48357617.142857142</v>
      </c>
      <c r="U1134" s="27">
        <f>U554*IF($E1134="weekday",INDEX('Category Mapping'!$F$28:$F$39,MATCH('Summarized Source Data'!$A1134,'Category Mapping'!$A$28:$A$39,0),1),INDEX('Category Mapping'!$E$28:$E$39,MATCH($A1134,'Category Mapping'!$A$28:$A$39,0),1))</f>
        <v>48357617.142857142</v>
      </c>
      <c r="V1134" s="27">
        <f>V554*IF($E1134="weekday",INDEX('Category Mapping'!$F$28:$F$39,MATCH('Summarized Source Data'!$A1134,'Category Mapping'!$A$28:$A$39,0),1),INDEX('Category Mapping'!$E$28:$E$39,MATCH($A1134,'Category Mapping'!$A$28:$A$39,0),1))</f>
        <v>48357617.142857142</v>
      </c>
      <c r="W1134" s="27">
        <f>W554*IF($E1134="weekday",INDEX('Category Mapping'!$F$28:$F$39,MATCH('Summarized Source Data'!$A1134,'Category Mapping'!$A$28:$A$39,0),1),INDEX('Category Mapping'!$E$28:$E$39,MATCH($A1134,'Category Mapping'!$A$28:$A$39,0),1))</f>
        <v>48357617.142857142</v>
      </c>
      <c r="X1134" s="27">
        <f>X554*IF($E1134="weekday",INDEX('Category Mapping'!$F$28:$F$39,MATCH('Summarized Source Data'!$A1134,'Category Mapping'!$A$28:$A$39,0),1),INDEX('Category Mapping'!$E$28:$E$39,MATCH($A1134,'Category Mapping'!$A$28:$A$39,0),1))</f>
        <v>2965714285.7142859</v>
      </c>
      <c r="Y1134" s="27">
        <f>Y554*IF($E1134="weekday",INDEX('Category Mapping'!$F$28:$F$39,MATCH('Summarized Source Data'!$A1134,'Category Mapping'!$A$28:$A$39,0),1),INDEX('Category Mapping'!$E$28:$E$39,MATCH($A1134,'Category Mapping'!$A$28:$A$39,0),1))</f>
        <v>2965714285.7142859</v>
      </c>
      <c r="Z1134" s="27">
        <f>Z554*IF($E1134="weekday",INDEX('Category Mapping'!$F$28:$F$39,MATCH('Summarized Source Data'!$A1134,'Category Mapping'!$A$28:$A$39,0),1),INDEX('Category Mapping'!$E$28:$E$39,MATCH($A1134,'Category Mapping'!$A$28:$A$39,0),1))</f>
        <v>2965714285.7142859</v>
      </c>
    </row>
    <row r="1135" spans="1:26" outlineLevel="1" x14ac:dyDescent="0.3">
      <c r="A1135">
        <f t="shared" ref="A1135:E1135" si="600">A555</f>
        <v>11</v>
      </c>
      <c r="B1135" t="str">
        <f t="shared" si="600"/>
        <v>Winter</v>
      </c>
      <c r="C1135" t="str">
        <f t="shared" si="600"/>
        <v>h24</v>
      </c>
      <c r="D1135" t="str">
        <f t="shared" si="600"/>
        <v>Hour23</v>
      </c>
      <c r="E1135" t="str">
        <f t="shared" si="600"/>
        <v>Weekend</v>
      </c>
      <c r="F1135" s="27">
        <f>F555*IF($E1135="weekday",INDEX('Category Mapping'!$F$28:$F$39,MATCH('Summarized Source Data'!$A1135,'Category Mapping'!$A$28:$A$39,0),1),INDEX('Category Mapping'!$E$28:$E$39,MATCH($A1135,'Category Mapping'!$A$28:$A$39,0),1))</f>
        <v>47265445.714285716</v>
      </c>
      <c r="G1135" s="27">
        <f>G555*IF($E1135="weekday",INDEX('Category Mapping'!$F$28:$F$39,MATCH('Summarized Source Data'!$A1135,'Category Mapping'!$A$28:$A$39,0),1),INDEX('Category Mapping'!$E$28:$E$39,MATCH($A1135,'Category Mapping'!$A$28:$A$39,0),1))</f>
        <v>191717.14285714284</v>
      </c>
      <c r="H1135" s="27">
        <f>H555*IF($E1135="weekday",INDEX('Category Mapping'!$F$28:$F$39,MATCH('Summarized Source Data'!$A1135,'Category Mapping'!$A$28:$A$39,0),1),INDEX('Category Mapping'!$E$28:$E$39,MATCH($A1135,'Category Mapping'!$A$28:$A$39,0),1))</f>
        <v>0</v>
      </c>
      <c r="I1135" s="27">
        <f>I555*IF($E1135="weekday",INDEX('Category Mapping'!$F$28:$F$39,MATCH('Summarized Source Data'!$A1135,'Category Mapping'!$A$28:$A$39,0),1),INDEX('Category Mapping'!$E$28:$E$39,MATCH($A1135,'Category Mapping'!$A$28:$A$39,0),1))</f>
        <v>88285714.285714284</v>
      </c>
      <c r="J1135" s="27">
        <f>J555*IF($E1135="weekday",INDEX('Category Mapping'!$F$28:$F$39,MATCH('Summarized Source Data'!$A1135,'Category Mapping'!$A$28:$A$39,0),1),INDEX('Category Mapping'!$E$28:$E$39,MATCH($A1135,'Category Mapping'!$A$28:$A$39,0),1))</f>
        <v>419685694.28571427</v>
      </c>
      <c r="K1135" s="27">
        <f>K555*IF($E1135="weekday",INDEX('Category Mapping'!$F$28:$F$39,MATCH('Summarized Source Data'!$A1135,'Category Mapping'!$A$28:$A$39,0),1),INDEX('Category Mapping'!$E$28:$E$39,MATCH($A1135,'Category Mapping'!$A$28:$A$39,0),1))</f>
        <v>419685694.28571427</v>
      </c>
      <c r="L1135" s="27">
        <f>L555*IF($E1135="weekday",INDEX('Category Mapping'!$F$28:$F$39,MATCH('Summarized Source Data'!$A1135,'Category Mapping'!$A$28:$A$39,0),1),INDEX('Category Mapping'!$E$28:$E$39,MATCH($A1135,'Category Mapping'!$A$28:$A$39,0),1))</f>
        <v>73094142.857142851</v>
      </c>
      <c r="M1135" s="27">
        <f>M555*IF($E1135="weekday",INDEX('Category Mapping'!$F$28:$F$39,MATCH('Summarized Source Data'!$A1135,'Category Mapping'!$A$28:$A$39,0),1),INDEX('Category Mapping'!$E$28:$E$39,MATCH($A1135,'Category Mapping'!$A$28:$A$39,0),1))</f>
        <v>613697.14285714284</v>
      </c>
      <c r="N1135" s="27">
        <f>N555*IF($E1135="weekday",INDEX('Category Mapping'!$F$28:$F$39,MATCH('Summarized Source Data'!$A1135,'Category Mapping'!$A$28:$A$39,0),1),INDEX('Category Mapping'!$E$28:$E$39,MATCH($A1135,'Category Mapping'!$A$28:$A$39,0),1))</f>
        <v>0</v>
      </c>
      <c r="O1135" s="27">
        <f>O555*IF($E1135="weekday",INDEX('Category Mapping'!$F$28:$F$39,MATCH('Summarized Source Data'!$A1135,'Category Mapping'!$A$28:$A$39,0),1),INDEX('Category Mapping'!$E$28:$E$39,MATCH($A1135,'Category Mapping'!$A$28:$A$39,0),1))</f>
        <v>668577874.28571427</v>
      </c>
      <c r="P1135" s="27">
        <f>P555*IF($E1135="weekday",INDEX('Category Mapping'!$F$28:$F$39,MATCH('Summarized Source Data'!$A1135,'Category Mapping'!$A$28:$A$39,0),1),INDEX('Category Mapping'!$E$28:$E$39,MATCH($A1135,'Category Mapping'!$A$28:$A$39,0),1))</f>
        <v>668577874.28571427</v>
      </c>
      <c r="Q1135" s="27">
        <f>Q555*IF($E1135="weekday",INDEX('Category Mapping'!$F$28:$F$39,MATCH('Summarized Source Data'!$A1135,'Category Mapping'!$A$28:$A$39,0),1),INDEX('Category Mapping'!$E$28:$E$39,MATCH($A1135,'Category Mapping'!$A$28:$A$39,0),1))</f>
        <v>668577874.28571427</v>
      </c>
      <c r="R1135" s="27">
        <f>R555*IF($E1135="weekday",INDEX('Category Mapping'!$F$28:$F$39,MATCH('Summarized Source Data'!$A1135,'Category Mapping'!$A$28:$A$39,0),1),INDEX('Category Mapping'!$E$28:$E$39,MATCH($A1135,'Category Mapping'!$A$28:$A$39,0),1))</f>
        <v>32496120</v>
      </c>
      <c r="S1135" s="27">
        <f>S555*IF($E1135="weekday",INDEX('Category Mapping'!$F$28:$F$39,MATCH('Summarized Source Data'!$A1135,'Category Mapping'!$A$28:$A$39,0),1),INDEX('Category Mapping'!$E$28:$E$39,MATCH($A1135,'Category Mapping'!$A$28:$A$39,0),1))</f>
        <v>32496120</v>
      </c>
      <c r="T1135" s="27">
        <f>T555*IF($E1135="weekday",INDEX('Category Mapping'!$F$28:$F$39,MATCH('Summarized Source Data'!$A1135,'Category Mapping'!$A$28:$A$39,0),1),INDEX('Category Mapping'!$E$28:$E$39,MATCH($A1135,'Category Mapping'!$A$28:$A$39,0),1))</f>
        <v>32496120</v>
      </c>
      <c r="U1135" s="27">
        <f>U555*IF($E1135="weekday",INDEX('Category Mapping'!$F$28:$F$39,MATCH('Summarized Source Data'!$A1135,'Category Mapping'!$A$28:$A$39,0),1),INDEX('Category Mapping'!$E$28:$E$39,MATCH($A1135,'Category Mapping'!$A$28:$A$39,0),1))</f>
        <v>32496120</v>
      </c>
      <c r="V1135" s="27">
        <f>V555*IF($E1135="weekday",INDEX('Category Mapping'!$F$28:$F$39,MATCH('Summarized Source Data'!$A1135,'Category Mapping'!$A$28:$A$39,0),1),INDEX('Category Mapping'!$E$28:$E$39,MATCH($A1135,'Category Mapping'!$A$28:$A$39,0),1))</f>
        <v>32496120</v>
      </c>
      <c r="W1135" s="27">
        <f>W555*IF($E1135="weekday",INDEX('Category Mapping'!$F$28:$F$39,MATCH('Summarized Source Data'!$A1135,'Category Mapping'!$A$28:$A$39,0),1),INDEX('Category Mapping'!$E$28:$E$39,MATCH($A1135,'Category Mapping'!$A$28:$A$39,0),1))</f>
        <v>32496120</v>
      </c>
      <c r="X1135" s="27">
        <f>X555*IF($E1135="weekday",INDEX('Category Mapping'!$F$28:$F$39,MATCH('Summarized Source Data'!$A1135,'Category Mapping'!$A$28:$A$39,0),1),INDEX('Category Mapping'!$E$28:$E$39,MATCH($A1135,'Category Mapping'!$A$28:$A$39,0),1))</f>
        <v>2948571428.5714283</v>
      </c>
      <c r="Y1135" s="27">
        <f>Y555*IF($E1135="weekday",INDEX('Category Mapping'!$F$28:$F$39,MATCH('Summarized Source Data'!$A1135,'Category Mapping'!$A$28:$A$39,0),1),INDEX('Category Mapping'!$E$28:$E$39,MATCH($A1135,'Category Mapping'!$A$28:$A$39,0),1))</f>
        <v>2948571428.5714283</v>
      </c>
      <c r="Z1135" s="27">
        <f>Z555*IF($E1135="weekday",INDEX('Category Mapping'!$F$28:$F$39,MATCH('Summarized Source Data'!$A1135,'Category Mapping'!$A$28:$A$39,0),1),INDEX('Category Mapping'!$E$28:$E$39,MATCH($A1135,'Category Mapping'!$A$28:$A$39,0),1))</f>
        <v>2948571428.5714283</v>
      </c>
    </row>
    <row r="1136" spans="1:26" outlineLevel="1" x14ac:dyDescent="0.3">
      <c r="A1136">
        <f t="shared" ref="A1136:E1136" si="601">A556</f>
        <v>12</v>
      </c>
      <c r="B1136" t="str">
        <f t="shared" si="601"/>
        <v>Winter</v>
      </c>
      <c r="C1136" t="str">
        <f t="shared" si="601"/>
        <v>h1</v>
      </c>
      <c r="D1136" t="str">
        <f t="shared" si="601"/>
        <v>Hour0</v>
      </c>
      <c r="E1136" t="str">
        <f t="shared" si="601"/>
        <v>Weekend</v>
      </c>
      <c r="F1136" s="27">
        <f>F556*IF($E1136="weekday",INDEX('Category Mapping'!$F$28:$F$39,MATCH('Summarized Source Data'!$A1136,'Category Mapping'!$A$28:$A$39,0),1),INDEX('Category Mapping'!$E$28:$E$39,MATCH($A1136,'Category Mapping'!$A$28:$A$39,0),1))</f>
        <v>85306659.142857134</v>
      </c>
      <c r="G1136" s="27">
        <f>G556*IF($E1136="weekday",INDEX('Category Mapping'!$F$28:$F$39,MATCH('Summarized Source Data'!$A1136,'Category Mapping'!$A$28:$A$39,0),1),INDEX('Category Mapping'!$E$28:$E$39,MATCH($A1136,'Category Mapping'!$A$28:$A$39,0),1))</f>
        <v>76507.999999999985</v>
      </c>
      <c r="H1136" s="27">
        <f>H556*IF($E1136="weekday",INDEX('Category Mapping'!$F$28:$F$39,MATCH('Summarized Source Data'!$A1136,'Category Mapping'!$A$28:$A$39,0),1),INDEX('Category Mapping'!$E$28:$E$39,MATCH($A1136,'Category Mapping'!$A$28:$A$39,0),1))</f>
        <v>0</v>
      </c>
      <c r="I1136" s="27">
        <f>I556*IF($E1136="weekday",INDEX('Category Mapping'!$F$28:$F$39,MATCH('Summarized Source Data'!$A1136,'Category Mapping'!$A$28:$A$39,0),1),INDEX('Category Mapping'!$E$28:$E$39,MATCH($A1136,'Category Mapping'!$A$28:$A$39,0),1))</f>
        <v>62071344.285714276</v>
      </c>
      <c r="J1136" s="27">
        <f>J556*IF($E1136="weekday",INDEX('Category Mapping'!$F$28:$F$39,MATCH('Summarized Source Data'!$A1136,'Category Mapping'!$A$28:$A$39,0),1),INDEX('Category Mapping'!$E$28:$E$39,MATCH($A1136,'Category Mapping'!$A$28:$A$39,0),1))</f>
        <v>339688345.71428567</v>
      </c>
      <c r="K1136" s="27">
        <f>K556*IF($E1136="weekday",INDEX('Category Mapping'!$F$28:$F$39,MATCH('Summarized Source Data'!$A1136,'Category Mapping'!$A$28:$A$39,0),1),INDEX('Category Mapping'!$E$28:$E$39,MATCH($A1136,'Category Mapping'!$A$28:$A$39,0),1))</f>
        <v>339688345.71428567</v>
      </c>
      <c r="L1136" s="27">
        <f>L556*IF($E1136="weekday",INDEX('Category Mapping'!$F$28:$F$39,MATCH('Summarized Source Data'!$A1136,'Category Mapping'!$A$28:$A$39,0),1),INDEX('Category Mapping'!$E$28:$E$39,MATCH($A1136,'Category Mapping'!$A$28:$A$39,0),1))</f>
        <v>97428571.428571418</v>
      </c>
      <c r="M1136" s="27">
        <f>M556*IF($E1136="weekday",INDEX('Category Mapping'!$F$28:$F$39,MATCH('Summarized Source Data'!$A1136,'Category Mapping'!$A$28:$A$39,0),1),INDEX('Category Mapping'!$E$28:$E$39,MATCH($A1136,'Category Mapping'!$A$28:$A$39,0),1))</f>
        <v>229763.14285714281</v>
      </c>
      <c r="N1136" s="27">
        <f>N556*IF($E1136="weekday",INDEX('Category Mapping'!$F$28:$F$39,MATCH('Summarized Source Data'!$A1136,'Category Mapping'!$A$28:$A$39,0),1),INDEX('Category Mapping'!$E$28:$E$39,MATCH($A1136,'Category Mapping'!$A$28:$A$39,0),1))</f>
        <v>0</v>
      </c>
      <c r="O1136" s="27">
        <f>O556*IF($E1136="weekday",INDEX('Category Mapping'!$F$28:$F$39,MATCH('Summarized Source Data'!$A1136,'Category Mapping'!$A$28:$A$39,0),1),INDEX('Category Mapping'!$E$28:$E$39,MATCH($A1136,'Category Mapping'!$A$28:$A$39,0),1))</f>
        <v>697713093.99999988</v>
      </c>
      <c r="P1136" s="27">
        <f>P556*IF($E1136="weekday",INDEX('Category Mapping'!$F$28:$F$39,MATCH('Summarized Source Data'!$A1136,'Category Mapping'!$A$28:$A$39,0),1),INDEX('Category Mapping'!$E$28:$E$39,MATCH($A1136,'Category Mapping'!$A$28:$A$39,0),1))</f>
        <v>697713093.99999988</v>
      </c>
      <c r="Q1136" s="27">
        <f>Q556*IF($E1136="weekday",INDEX('Category Mapping'!$F$28:$F$39,MATCH('Summarized Source Data'!$A1136,'Category Mapping'!$A$28:$A$39,0),1),INDEX('Category Mapping'!$E$28:$E$39,MATCH($A1136,'Category Mapping'!$A$28:$A$39,0),1))</f>
        <v>697713093.99999988</v>
      </c>
      <c r="R1136" s="27">
        <f>R556*IF($E1136="weekday",INDEX('Category Mapping'!$F$28:$F$39,MATCH('Summarized Source Data'!$A1136,'Category Mapping'!$A$28:$A$39,0),1),INDEX('Category Mapping'!$E$28:$E$39,MATCH($A1136,'Category Mapping'!$A$28:$A$39,0),1))</f>
        <v>24292299.714285709</v>
      </c>
      <c r="S1136" s="27">
        <f>S556*IF($E1136="weekday",INDEX('Category Mapping'!$F$28:$F$39,MATCH('Summarized Source Data'!$A1136,'Category Mapping'!$A$28:$A$39,0),1),INDEX('Category Mapping'!$E$28:$E$39,MATCH($A1136,'Category Mapping'!$A$28:$A$39,0),1))</f>
        <v>24292299.714285709</v>
      </c>
      <c r="T1136" s="27">
        <f>T556*IF($E1136="weekday",INDEX('Category Mapping'!$F$28:$F$39,MATCH('Summarized Source Data'!$A1136,'Category Mapping'!$A$28:$A$39,0),1),INDEX('Category Mapping'!$E$28:$E$39,MATCH($A1136,'Category Mapping'!$A$28:$A$39,0),1))</f>
        <v>24292299.714285709</v>
      </c>
      <c r="U1136" s="27">
        <f>U556*IF($E1136="weekday",INDEX('Category Mapping'!$F$28:$F$39,MATCH('Summarized Source Data'!$A1136,'Category Mapping'!$A$28:$A$39,0),1),INDEX('Category Mapping'!$E$28:$E$39,MATCH($A1136,'Category Mapping'!$A$28:$A$39,0),1))</f>
        <v>24292299.714285709</v>
      </c>
      <c r="V1136" s="27">
        <f>V556*IF($E1136="weekday",INDEX('Category Mapping'!$F$28:$F$39,MATCH('Summarized Source Data'!$A1136,'Category Mapping'!$A$28:$A$39,0),1),INDEX('Category Mapping'!$E$28:$E$39,MATCH($A1136,'Category Mapping'!$A$28:$A$39,0),1))</f>
        <v>24292299.714285709</v>
      </c>
      <c r="W1136" s="27">
        <f>W556*IF($E1136="weekday",INDEX('Category Mapping'!$F$28:$F$39,MATCH('Summarized Source Data'!$A1136,'Category Mapping'!$A$28:$A$39,0),1),INDEX('Category Mapping'!$E$28:$E$39,MATCH($A1136,'Category Mapping'!$A$28:$A$39,0),1))</f>
        <v>24292299.714285709</v>
      </c>
      <c r="X1136" s="27">
        <f>X556*IF($E1136="weekday",INDEX('Category Mapping'!$F$28:$F$39,MATCH('Summarized Source Data'!$A1136,'Category Mapping'!$A$28:$A$39,0),1),INDEX('Category Mapping'!$E$28:$E$39,MATCH($A1136,'Category Mapping'!$A$28:$A$39,0),1))</f>
        <v>2851999999.9999995</v>
      </c>
      <c r="Y1136" s="27">
        <f>Y556*IF($E1136="weekday",INDEX('Category Mapping'!$F$28:$F$39,MATCH('Summarized Source Data'!$A1136,'Category Mapping'!$A$28:$A$39,0),1),INDEX('Category Mapping'!$E$28:$E$39,MATCH($A1136,'Category Mapping'!$A$28:$A$39,0),1))</f>
        <v>2851999999.9999995</v>
      </c>
      <c r="Z1136" s="27">
        <f>Z556*IF($E1136="weekday",INDEX('Category Mapping'!$F$28:$F$39,MATCH('Summarized Source Data'!$A1136,'Category Mapping'!$A$28:$A$39,0),1),INDEX('Category Mapping'!$E$28:$E$39,MATCH($A1136,'Category Mapping'!$A$28:$A$39,0),1))</f>
        <v>2851999999.9999995</v>
      </c>
    </row>
    <row r="1137" spans="1:26" outlineLevel="1" x14ac:dyDescent="0.3">
      <c r="A1137">
        <f t="shared" ref="A1137:E1137" si="602">A557</f>
        <v>12</v>
      </c>
      <c r="B1137" t="str">
        <f t="shared" si="602"/>
        <v>Winter</v>
      </c>
      <c r="C1137" t="str">
        <f t="shared" si="602"/>
        <v>h2</v>
      </c>
      <c r="D1137" t="str">
        <f t="shared" si="602"/>
        <v>Hour1</v>
      </c>
      <c r="E1137" t="str">
        <f t="shared" si="602"/>
        <v>Weekend</v>
      </c>
      <c r="F1137" s="27">
        <f>F557*IF($E1137="weekday",INDEX('Category Mapping'!$F$28:$F$39,MATCH('Summarized Source Data'!$A1137,'Category Mapping'!$A$28:$A$39,0),1),INDEX('Category Mapping'!$E$28:$E$39,MATCH($A1137,'Category Mapping'!$A$28:$A$39,0),1))</f>
        <v>86828759.142857134</v>
      </c>
      <c r="G1137" s="27">
        <f>G557*IF($E1137="weekday",INDEX('Category Mapping'!$F$28:$F$39,MATCH('Summarized Source Data'!$A1137,'Category Mapping'!$A$28:$A$39,0),1),INDEX('Category Mapping'!$E$28:$E$39,MATCH($A1137,'Category Mapping'!$A$28:$A$39,0),1))</f>
        <v>77677.142857142841</v>
      </c>
      <c r="H1137" s="27">
        <f>H557*IF($E1137="weekday",INDEX('Category Mapping'!$F$28:$F$39,MATCH('Summarized Source Data'!$A1137,'Category Mapping'!$A$28:$A$39,0),1),INDEX('Category Mapping'!$E$28:$E$39,MATCH($A1137,'Category Mapping'!$A$28:$A$39,0),1))</f>
        <v>0</v>
      </c>
      <c r="I1137" s="27">
        <f>I557*IF($E1137="weekday",INDEX('Category Mapping'!$F$28:$F$39,MATCH('Summarized Source Data'!$A1137,'Category Mapping'!$A$28:$A$39,0),1),INDEX('Category Mapping'!$E$28:$E$39,MATCH($A1137,'Category Mapping'!$A$28:$A$39,0),1))</f>
        <v>53629255.999999993</v>
      </c>
      <c r="J1137" s="27">
        <f>J557*IF($E1137="weekday",INDEX('Category Mapping'!$F$28:$F$39,MATCH('Summarized Source Data'!$A1137,'Category Mapping'!$A$28:$A$39,0),1),INDEX('Category Mapping'!$E$28:$E$39,MATCH($A1137,'Category Mapping'!$A$28:$A$39,0),1))</f>
        <v>263350021.99999997</v>
      </c>
      <c r="K1137" s="27">
        <f>K557*IF($E1137="weekday",INDEX('Category Mapping'!$F$28:$F$39,MATCH('Summarized Source Data'!$A1137,'Category Mapping'!$A$28:$A$39,0),1),INDEX('Category Mapping'!$E$28:$E$39,MATCH($A1137,'Category Mapping'!$A$28:$A$39,0),1))</f>
        <v>263350021.99999997</v>
      </c>
      <c r="L1137" s="27">
        <f>L557*IF($E1137="weekday",INDEX('Category Mapping'!$F$28:$F$39,MATCH('Summarized Source Data'!$A1137,'Category Mapping'!$A$28:$A$39,0),1),INDEX('Category Mapping'!$E$28:$E$39,MATCH($A1137,'Category Mapping'!$A$28:$A$39,0),1))</f>
        <v>89457142.857142851</v>
      </c>
      <c r="M1137" s="27">
        <f>M557*IF($E1137="weekday",INDEX('Category Mapping'!$F$28:$F$39,MATCH('Summarized Source Data'!$A1137,'Category Mapping'!$A$28:$A$39,0),1),INDEX('Category Mapping'!$E$28:$E$39,MATCH($A1137,'Category Mapping'!$A$28:$A$39,0),1))</f>
        <v>224873.99999999997</v>
      </c>
      <c r="N1137" s="27">
        <f>N557*IF($E1137="weekday",INDEX('Category Mapping'!$F$28:$F$39,MATCH('Summarized Source Data'!$A1137,'Category Mapping'!$A$28:$A$39,0),1),INDEX('Category Mapping'!$E$28:$E$39,MATCH($A1137,'Category Mapping'!$A$28:$A$39,0),1))</f>
        <v>0</v>
      </c>
      <c r="O1137" s="27">
        <f>O557*IF($E1137="weekday",INDEX('Category Mapping'!$F$28:$F$39,MATCH('Summarized Source Data'!$A1137,'Category Mapping'!$A$28:$A$39,0),1),INDEX('Category Mapping'!$E$28:$E$39,MATCH($A1137,'Category Mapping'!$A$28:$A$39,0),1))</f>
        <v>609146554.57142854</v>
      </c>
      <c r="P1137" s="27">
        <f>P557*IF($E1137="weekday",INDEX('Category Mapping'!$F$28:$F$39,MATCH('Summarized Source Data'!$A1137,'Category Mapping'!$A$28:$A$39,0),1),INDEX('Category Mapping'!$E$28:$E$39,MATCH($A1137,'Category Mapping'!$A$28:$A$39,0),1))</f>
        <v>609146554.57142854</v>
      </c>
      <c r="Q1137" s="27">
        <f>Q557*IF($E1137="weekday",INDEX('Category Mapping'!$F$28:$F$39,MATCH('Summarized Source Data'!$A1137,'Category Mapping'!$A$28:$A$39,0),1),INDEX('Category Mapping'!$E$28:$E$39,MATCH($A1137,'Category Mapping'!$A$28:$A$39,0),1))</f>
        <v>609146554.57142854</v>
      </c>
      <c r="R1137" s="27">
        <f>R557*IF($E1137="weekday",INDEX('Category Mapping'!$F$28:$F$39,MATCH('Summarized Source Data'!$A1137,'Category Mapping'!$A$28:$A$39,0),1),INDEX('Category Mapping'!$E$28:$E$39,MATCH($A1137,'Category Mapping'!$A$28:$A$39,0),1))</f>
        <v>23151322.571428567</v>
      </c>
      <c r="S1137" s="27">
        <f>S557*IF($E1137="weekday",INDEX('Category Mapping'!$F$28:$F$39,MATCH('Summarized Source Data'!$A1137,'Category Mapping'!$A$28:$A$39,0),1),INDEX('Category Mapping'!$E$28:$E$39,MATCH($A1137,'Category Mapping'!$A$28:$A$39,0),1))</f>
        <v>23151322.571428567</v>
      </c>
      <c r="T1137" s="27">
        <f>T557*IF($E1137="weekday",INDEX('Category Mapping'!$F$28:$F$39,MATCH('Summarized Source Data'!$A1137,'Category Mapping'!$A$28:$A$39,0),1),INDEX('Category Mapping'!$E$28:$E$39,MATCH($A1137,'Category Mapping'!$A$28:$A$39,0),1))</f>
        <v>23151322.571428567</v>
      </c>
      <c r="U1137" s="27">
        <f>U557*IF($E1137="weekday",INDEX('Category Mapping'!$F$28:$F$39,MATCH('Summarized Source Data'!$A1137,'Category Mapping'!$A$28:$A$39,0),1),INDEX('Category Mapping'!$E$28:$E$39,MATCH($A1137,'Category Mapping'!$A$28:$A$39,0),1))</f>
        <v>23151322.571428567</v>
      </c>
      <c r="V1137" s="27">
        <f>V557*IF($E1137="weekday",INDEX('Category Mapping'!$F$28:$F$39,MATCH('Summarized Source Data'!$A1137,'Category Mapping'!$A$28:$A$39,0),1),INDEX('Category Mapping'!$E$28:$E$39,MATCH($A1137,'Category Mapping'!$A$28:$A$39,0),1))</f>
        <v>23151322.571428567</v>
      </c>
      <c r="W1137" s="27">
        <f>W557*IF($E1137="weekday",INDEX('Category Mapping'!$F$28:$F$39,MATCH('Summarized Source Data'!$A1137,'Category Mapping'!$A$28:$A$39,0),1),INDEX('Category Mapping'!$E$28:$E$39,MATCH($A1137,'Category Mapping'!$A$28:$A$39,0),1))</f>
        <v>23151322.571428567</v>
      </c>
      <c r="X1137" s="27">
        <f>X557*IF($E1137="weekday",INDEX('Category Mapping'!$F$28:$F$39,MATCH('Summarized Source Data'!$A1137,'Category Mapping'!$A$28:$A$39,0),1),INDEX('Category Mapping'!$E$28:$E$39,MATCH($A1137,'Category Mapping'!$A$28:$A$39,0),1))</f>
        <v>2851999999.9999995</v>
      </c>
      <c r="Y1137" s="27">
        <f>Y557*IF($E1137="weekday",INDEX('Category Mapping'!$F$28:$F$39,MATCH('Summarized Source Data'!$A1137,'Category Mapping'!$A$28:$A$39,0),1),INDEX('Category Mapping'!$E$28:$E$39,MATCH($A1137,'Category Mapping'!$A$28:$A$39,0),1))</f>
        <v>2851999999.9999995</v>
      </c>
      <c r="Z1137" s="27">
        <f>Z557*IF($E1137="weekday",INDEX('Category Mapping'!$F$28:$F$39,MATCH('Summarized Source Data'!$A1137,'Category Mapping'!$A$28:$A$39,0),1),INDEX('Category Mapping'!$E$28:$E$39,MATCH($A1137,'Category Mapping'!$A$28:$A$39,0),1))</f>
        <v>2851999999.9999995</v>
      </c>
    </row>
    <row r="1138" spans="1:26" outlineLevel="1" x14ac:dyDescent="0.3">
      <c r="A1138">
        <f t="shared" ref="A1138:E1138" si="603">A558</f>
        <v>12</v>
      </c>
      <c r="B1138" t="str">
        <f t="shared" si="603"/>
        <v>Winter</v>
      </c>
      <c r="C1138" t="str">
        <f t="shared" si="603"/>
        <v>h3</v>
      </c>
      <c r="D1138" t="str">
        <f t="shared" si="603"/>
        <v>Hour2</v>
      </c>
      <c r="E1138" t="str">
        <f t="shared" si="603"/>
        <v>Weekend</v>
      </c>
      <c r="F1138" s="27">
        <f>F558*IF($E1138="weekday",INDEX('Category Mapping'!$F$28:$F$39,MATCH('Summarized Source Data'!$A1138,'Category Mapping'!$A$28:$A$39,0),1),INDEX('Category Mapping'!$E$28:$E$39,MATCH($A1138,'Category Mapping'!$A$28:$A$39,0),1))</f>
        <v>87349975.428571418</v>
      </c>
      <c r="G1138" s="27">
        <f>G558*IF($E1138="weekday",INDEX('Category Mapping'!$F$28:$F$39,MATCH('Summarized Source Data'!$A1138,'Category Mapping'!$A$28:$A$39,0),1),INDEX('Category Mapping'!$E$28:$E$39,MATCH($A1138,'Category Mapping'!$A$28:$A$39,0),1))</f>
        <v>78704.57142857142</v>
      </c>
      <c r="H1138" s="27">
        <f>H558*IF($E1138="weekday",INDEX('Category Mapping'!$F$28:$F$39,MATCH('Summarized Source Data'!$A1138,'Category Mapping'!$A$28:$A$39,0),1),INDEX('Category Mapping'!$E$28:$E$39,MATCH($A1138,'Category Mapping'!$A$28:$A$39,0),1))</f>
        <v>0</v>
      </c>
      <c r="I1138" s="27">
        <f>I558*IF($E1138="weekday",INDEX('Category Mapping'!$F$28:$F$39,MATCH('Summarized Source Data'!$A1138,'Category Mapping'!$A$28:$A$39,0),1),INDEX('Category Mapping'!$E$28:$E$39,MATCH($A1138,'Category Mapping'!$A$28:$A$39,0),1))</f>
        <v>51796217.142857134</v>
      </c>
      <c r="J1138" s="27">
        <f>J558*IF($E1138="weekday",INDEX('Category Mapping'!$F$28:$F$39,MATCH('Summarized Source Data'!$A1138,'Category Mapping'!$A$28:$A$39,0),1),INDEX('Category Mapping'!$E$28:$E$39,MATCH($A1138,'Category Mapping'!$A$28:$A$39,0),1))</f>
        <v>206203674.28571427</v>
      </c>
      <c r="K1138" s="27">
        <f>K558*IF($E1138="weekday",INDEX('Category Mapping'!$F$28:$F$39,MATCH('Summarized Source Data'!$A1138,'Category Mapping'!$A$28:$A$39,0),1),INDEX('Category Mapping'!$E$28:$E$39,MATCH($A1138,'Category Mapping'!$A$28:$A$39,0),1))</f>
        <v>206203674.28571427</v>
      </c>
      <c r="L1138" s="27">
        <f>L558*IF($E1138="weekday",INDEX('Category Mapping'!$F$28:$F$39,MATCH('Summarized Source Data'!$A1138,'Category Mapping'!$A$28:$A$39,0),1),INDEX('Category Mapping'!$E$28:$E$39,MATCH($A1138,'Category Mapping'!$A$28:$A$39,0),1))</f>
        <v>80094611.428571418</v>
      </c>
      <c r="M1138" s="27">
        <f>M558*IF($E1138="weekday",INDEX('Category Mapping'!$F$28:$F$39,MATCH('Summarized Source Data'!$A1138,'Category Mapping'!$A$28:$A$39,0),1),INDEX('Category Mapping'!$E$28:$E$39,MATCH($A1138,'Category Mapping'!$A$28:$A$39,0),1))</f>
        <v>222836.8571428571</v>
      </c>
      <c r="N1138" s="27">
        <f>N558*IF($E1138="weekday",INDEX('Category Mapping'!$F$28:$F$39,MATCH('Summarized Source Data'!$A1138,'Category Mapping'!$A$28:$A$39,0),1),INDEX('Category Mapping'!$E$28:$E$39,MATCH($A1138,'Category Mapping'!$A$28:$A$39,0),1))</f>
        <v>0</v>
      </c>
      <c r="O1138" s="27">
        <f>O558*IF($E1138="weekday",INDEX('Category Mapping'!$F$28:$F$39,MATCH('Summarized Source Data'!$A1138,'Category Mapping'!$A$28:$A$39,0),1),INDEX('Category Mapping'!$E$28:$E$39,MATCH($A1138,'Category Mapping'!$A$28:$A$39,0),1))</f>
        <v>600796837.42857134</v>
      </c>
      <c r="P1138" s="27">
        <f>P558*IF($E1138="weekday",INDEX('Category Mapping'!$F$28:$F$39,MATCH('Summarized Source Data'!$A1138,'Category Mapping'!$A$28:$A$39,0),1),INDEX('Category Mapping'!$E$28:$E$39,MATCH($A1138,'Category Mapping'!$A$28:$A$39,0),1))</f>
        <v>600796837.42857134</v>
      </c>
      <c r="Q1138" s="27">
        <f>Q558*IF($E1138="weekday",INDEX('Category Mapping'!$F$28:$F$39,MATCH('Summarized Source Data'!$A1138,'Category Mapping'!$A$28:$A$39,0),1),INDEX('Category Mapping'!$E$28:$E$39,MATCH($A1138,'Category Mapping'!$A$28:$A$39,0),1))</f>
        <v>600796837.42857134</v>
      </c>
      <c r="R1138" s="27">
        <f>R558*IF($E1138="weekday",INDEX('Category Mapping'!$F$28:$F$39,MATCH('Summarized Source Data'!$A1138,'Category Mapping'!$A$28:$A$39,0),1),INDEX('Category Mapping'!$E$28:$E$39,MATCH($A1138,'Category Mapping'!$A$28:$A$39,0),1))</f>
        <v>22840144.571428567</v>
      </c>
      <c r="S1138" s="27">
        <f>S558*IF($E1138="weekday",INDEX('Category Mapping'!$F$28:$F$39,MATCH('Summarized Source Data'!$A1138,'Category Mapping'!$A$28:$A$39,0),1),INDEX('Category Mapping'!$E$28:$E$39,MATCH($A1138,'Category Mapping'!$A$28:$A$39,0),1))</f>
        <v>22840144.571428567</v>
      </c>
      <c r="T1138" s="27">
        <f>T558*IF($E1138="weekday",INDEX('Category Mapping'!$F$28:$F$39,MATCH('Summarized Source Data'!$A1138,'Category Mapping'!$A$28:$A$39,0),1),INDEX('Category Mapping'!$E$28:$E$39,MATCH($A1138,'Category Mapping'!$A$28:$A$39,0),1))</f>
        <v>22840144.571428567</v>
      </c>
      <c r="U1138" s="27">
        <f>U558*IF($E1138="weekday",INDEX('Category Mapping'!$F$28:$F$39,MATCH('Summarized Source Data'!$A1138,'Category Mapping'!$A$28:$A$39,0),1),INDEX('Category Mapping'!$E$28:$E$39,MATCH($A1138,'Category Mapping'!$A$28:$A$39,0),1))</f>
        <v>22840144.571428567</v>
      </c>
      <c r="V1138" s="27">
        <f>V558*IF($E1138="weekday",INDEX('Category Mapping'!$F$28:$F$39,MATCH('Summarized Source Data'!$A1138,'Category Mapping'!$A$28:$A$39,0),1),INDEX('Category Mapping'!$E$28:$E$39,MATCH($A1138,'Category Mapping'!$A$28:$A$39,0),1))</f>
        <v>22840144.571428567</v>
      </c>
      <c r="W1138" s="27">
        <f>W558*IF($E1138="weekday",INDEX('Category Mapping'!$F$28:$F$39,MATCH('Summarized Source Data'!$A1138,'Category Mapping'!$A$28:$A$39,0),1),INDEX('Category Mapping'!$E$28:$E$39,MATCH($A1138,'Category Mapping'!$A$28:$A$39,0),1))</f>
        <v>22840144.571428567</v>
      </c>
      <c r="X1138" s="27">
        <f>X558*IF($E1138="weekday",INDEX('Category Mapping'!$F$28:$F$39,MATCH('Summarized Source Data'!$A1138,'Category Mapping'!$A$28:$A$39,0),1),INDEX('Category Mapping'!$E$28:$E$39,MATCH($A1138,'Category Mapping'!$A$28:$A$39,0),1))</f>
        <v>2851999999.9999995</v>
      </c>
      <c r="Y1138" s="27">
        <f>Y558*IF($E1138="weekday",INDEX('Category Mapping'!$F$28:$F$39,MATCH('Summarized Source Data'!$A1138,'Category Mapping'!$A$28:$A$39,0),1),INDEX('Category Mapping'!$E$28:$E$39,MATCH($A1138,'Category Mapping'!$A$28:$A$39,0),1))</f>
        <v>2851999999.9999995</v>
      </c>
      <c r="Z1138" s="27">
        <f>Z558*IF($E1138="weekday",INDEX('Category Mapping'!$F$28:$F$39,MATCH('Summarized Source Data'!$A1138,'Category Mapping'!$A$28:$A$39,0),1),INDEX('Category Mapping'!$E$28:$E$39,MATCH($A1138,'Category Mapping'!$A$28:$A$39,0),1))</f>
        <v>2851999999.9999995</v>
      </c>
    </row>
    <row r="1139" spans="1:26" outlineLevel="1" x14ac:dyDescent="0.3">
      <c r="A1139">
        <f t="shared" ref="A1139:E1139" si="604">A559</f>
        <v>12</v>
      </c>
      <c r="B1139" t="str">
        <f t="shared" si="604"/>
        <v>Winter</v>
      </c>
      <c r="C1139" t="str">
        <f t="shared" si="604"/>
        <v>h4</v>
      </c>
      <c r="D1139" t="str">
        <f t="shared" si="604"/>
        <v>Hour3</v>
      </c>
      <c r="E1139" t="str">
        <f t="shared" si="604"/>
        <v>Weekend</v>
      </c>
      <c r="F1139" s="27">
        <f>F559*IF($E1139="weekday",INDEX('Category Mapping'!$F$28:$F$39,MATCH('Summarized Source Data'!$A1139,'Category Mapping'!$A$28:$A$39,0),1),INDEX('Category Mapping'!$E$28:$E$39,MATCH($A1139,'Category Mapping'!$A$28:$A$39,0),1))</f>
        <v>86828759.142857134</v>
      </c>
      <c r="G1139" s="27">
        <f>G559*IF($E1139="weekday",INDEX('Category Mapping'!$F$28:$F$39,MATCH('Summarized Source Data'!$A1139,'Category Mapping'!$A$28:$A$39,0),1),INDEX('Category Mapping'!$E$28:$E$39,MATCH($A1139,'Category Mapping'!$A$28:$A$39,0),1))</f>
        <v>78863.999999999985</v>
      </c>
      <c r="H1139" s="27">
        <f>H559*IF($E1139="weekday",INDEX('Category Mapping'!$F$28:$F$39,MATCH('Summarized Source Data'!$A1139,'Category Mapping'!$A$28:$A$39,0),1),INDEX('Category Mapping'!$E$28:$E$39,MATCH($A1139,'Category Mapping'!$A$28:$A$39,0),1))</f>
        <v>0</v>
      </c>
      <c r="I1139" s="27">
        <f>I559*IF($E1139="weekday",INDEX('Category Mapping'!$F$28:$F$39,MATCH('Summarized Source Data'!$A1139,'Category Mapping'!$A$28:$A$39,0),1),INDEX('Category Mapping'!$E$28:$E$39,MATCH($A1139,'Category Mapping'!$A$28:$A$39,0),1))</f>
        <v>51752498.285714276</v>
      </c>
      <c r="J1139" s="27">
        <f>J559*IF($E1139="weekday",INDEX('Category Mapping'!$F$28:$F$39,MATCH('Summarized Source Data'!$A1139,'Category Mapping'!$A$28:$A$39,0),1),INDEX('Category Mapping'!$E$28:$E$39,MATCH($A1139,'Category Mapping'!$A$28:$A$39,0),1))</f>
        <v>171339878.57142854</v>
      </c>
      <c r="K1139" s="27">
        <f>K559*IF($E1139="weekday",INDEX('Category Mapping'!$F$28:$F$39,MATCH('Summarized Source Data'!$A1139,'Category Mapping'!$A$28:$A$39,0),1),INDEX('Category Mapping'!$E$28:$E$39,MATCH($A1139,'Category Mapping'!$A$28:$A$39,0),1))</f>
        <v>171339878.57142854</v>
      </c>
      <c r="L1139" s="27">
        <f>L559*IF($E1139="weekday",INDEX('Category Mapping'!$F$28:$F$39,MATCH('Summarized Source Data'!$A1139,'Category Mapping'!$A$28:$A$39,0),1),INDEX('Category Mapping'!$E$28:$E$39,MATCH($A1139,'Category Mapping'!$A$28:$A$39,0),1))</f>
        <v>83240004.285714269</v>
      </c>
      <c r="M1139" s="27">
        <f>M559*IF($E1139="weekday",INDEX('Category Mapping'!$F$28:$F$39,MATCH('Summarized Source Data'!$A1139,'Category Mapping'!$A$28:$A$39,0),1),INDEX('Category Mapping'!$E$28:$E$39,MATCH($A1139,'Category Mapping'!$A$28:$A$39,0),1))</f>
        <v>221685.42857142855</v>
      </c>
      <c r="N1139" s="27">
        <f>N559*IF($E1139="weekday",INDEX('Category Mapping'!$F$28:$F$39,MATCH('Summarized Source Data'!$A1139,'Category Mapping'!$A$28:$A$39,0),1),INDEX('Category Mapping'!$E$28:$E$39,MATCH($A1139,'Category Mapping'!$A$28:$A$39,0),1))</f>
        <v>0</v>
      </c>
      <c r="O1139" s="27">
        <f>O559*IF($E1139="weekday",INDEX('Category Mapping'!$F$28:$F$39,MATCH('Summarized Source Data'!$A1139,'Category Mapping'!$A$28:$A$39,0),1),INDEX('Category Mapping'!$E$28:$E$39,MATCH($A1139,'Category Mapping'!$A$28:$A$39,0),1))</f>
        <v>606509738.85714281</v>
      </c>
      <c r="P1139" s="27">
        <f>P559*IF($E1139="weekday",INDEX('Category Mapping'!$F$28:$F$39,MATCH('Summarized Source Data'!$A1139,'Category Mapping'!$A$28:$A$39,0),1),INDEX('Category Mapping'!$E$28:$E$39,MATCH($A1139,'Category Mapping'!$A$28:$A$39,0),1))</f>
        <v>606509738.85714281</v>
      </c>
      <c r="Q1139" s="27">
        <f>Q559*IF($E1139="weekday",INDEX('Category Mapping'!$F$28:$F$39,MATCH('Summarized Source Data'!$A1139,'Category Mapping'!$A$28:$A$39,0),1),INDEX('Category Mapping'!$E$28:$E$39,MATCH($A1139,'Category Mapping'!$A$28:$A$39,0),1))</f>
        <v>606509738.85714281</v>
      </c>
      <c r="R1139" s="27">
        <f>R559*IF($E1139="weekday",INDEX('Category Mapping'!$F$28:$F$39,MATCH('Summarized Source Data'!$A1139,'Category Mapping'!$A$28:$A$39,0),1),INDEX('Category Mapping'!$E$28:$E$39,MATCH($A1139,'Category Mapping'!$A$28:$A$39,0),1))</f>
        <v>22840144.571428567</v>
      </c>
      <c r="S1139" s="27">
        <f>S559*IF($E1139="weekday",INDEX('Category Mapping'!$F$28:$F$39,MATCH('Summarized Source Data'!$A1139,'Category Mapping'!$A$28:$A$39,0),1),INDEX('Category Mapping'!$E$28:$E$39,MATCH($A1139,'Category Mapping'!$A$28:$A$39,0),1))</f>
        <v>22840144.571428567</v>
      </c>
      <c r="T1139" s="27">
        <f>T559*IF($E1139="weekday",INDEX('Category Mapping'!$F$28:$F$39,MATCH('Summarized Source Data'!$A1139,'Category Mapping'!$A$28:$A$39,0),1),INDEX('Category Mapping'!$E$28:$E$39,MATCH($A1139,'Category Mapping'!$A$28:$A$39,0),1))</f>
        <v>22840144.571428567</v>
      </c>
      <c r="U1139" s="27">
        <f>U559*IF($E1139="weekday",INDEX('Category Mapping'!$F$28:$F$39,MATCH('Summarized Source Data'!$A1139,'Category Mapping'!$A$28:$A$39,0),1),INDEX('Category Mapping'!$E$28:$E$39,MATCH($A1139,'Category Mapping'!$A$28:$A$39,0),1))</f>
        <v>22840144.571428567</v>
      </c>
      <c r="V1139" s="27">
        <f>V559*IF($E1139="weekday",INDEX('Category Mapping'!$F$28:$F$39,MATCH('Summarized Source Data'!$A1139,'Category Mapping'!$A$28:$A$39,0),1),INDEX('Category Mapping'!$E$28:$E$39,MATCH($A1139,'Category Mapping'!$A$28:$A$39,0),1))</f>
        <v>22840144.571428567</v>
      </c>
      <c r="W1139" s="27">
        <f>W559*IF($E1139="weekday",INDEX('Category Mapping'!$F$28:$F$39,MATCH('Summarized Source Data'!$A1139,'Category Mapping'!$A$28:$A$39,0),1),INDEX('Category Mapping'!$E$28:$E$39,MATCH($A1139,'Category Mapping'!$A$28:$A$39,0),1))</f>
        <v>22840144.571428567</v>
      </c>
      <c r="X1139" s="27">
        <f>X559*IF($E1139="weekday",INDEX('Category Mapping'!$F$28:$F$39,MATCH('Summarized Source Data'!$A1139,'Category Mapping'!$A$28:$A$39,0),1),INDEX('Category Mapping'!$E$28:$E$39,MATCH($A1139,'Category Mapping'!$A$28:$A$39,0),1))</f>
        <v>2860857142.8571424</v>
      </c>
      <c r="Y1139" s="27">
        <f>Y559*IF($E1139="weekday",INDEX('Category Mapping'!$F$28:$F$39,MATCH('Summarized Source Data'!$A1139,'Category Mapping'!$A$28:$A$39,0),1),INDEX('Category Mapping'!$E$28:$E$39,MATCH($A1139,'Category Mapping'!$A$28:$A$39,0),1))</f>
        <v>2860857142.8571424</v>
      </c>
      <c r="Z1139" s="27">
        <f>Z559*IF($E1139="weekday",INDEX('Category Mapping'!$F$28:$F$39,MATCH('Summarized Source Data'!$A1139,'Category Mapping'!$A$28:$A$39,0),1),INDEX('Category Mapping'!$E$28:$E$39,MATCH($A1139,'Category Mapping'!$A$28:$A$39,0),1))</f>
        <v>2860857142.8571424</v>
      </c>
    </row>
    <row r="1140" spans="1:26" outlineLevel="1" x14ac:dyDescent="0.3">
      <c r="A1140">
        <f t="shared" ref="A1140:E1140" si="605">A560</f>
        <v>12</v>
      </c>
      <c r="B1140" t="str">
        <f t="shared" si="605"/>
        <v>Winter</v>
      </c>
      <c r="C1140" t="str">
        <f t="shared" si="605"/>
        <v>h5</v>
      </c>
      <c r="D1140" t="str">
        <f t="shared" si="605"/>
        <v>Hour4</v>
      </c>
      <c r="E1140" t="str">
        <f t="shared" si="605"/>
        <v>Weekend</v>
      </c>
      <c r="F1140" s="27">
        <f>F560*IF($E1140="weekday",INDEX('Category Mapping'!$F$28:$F$39,MATCH('Summarized Source Data'!$A1140,'Category Mapping'!$A$28:$A$39,0),1),INDEX('Category Mapping'!$E$28:$E$39,MATCH($A1140,'Category Mapping'!$A$28:$A$39,0),1))</f>
        <v>85306659.142857134</v>
      </c>
      <c r="G1140" s="27">
        <f>G560*IF($E1140="weekday",INDEX('Category Mapping'!$F$28:$F$39,MATCH('Summarized Source Data'!$A1140,'Category Mapping'!$A$28:$A$39,0),1),INDEX('Category Mapping'!$E$28:$E$39,MATCH($A1140,'Category Mapping'!$A$28:$A$39,0),1))</f>
        <v>78607.142857142841</v>
      </c>
      <c r="H1140" s="27">
        <f>H560*IF($E1140="weekday",INDEX('Category Mapping'!$F$28:$F$39,MATCH('Summarized Source Data'!$A1140,'Category Mapping'!$A$28:$A$39,0),1),INDEX('Category Mapping'!$E$28:$E$39,MATCH($A1140,'Category Mapping'!$A$28:$A$39,0),1))</f>
        <v>0</v>
      </c>
      <c r="I1140" s="27">
        <f>I560*IF($E1140="weekday",INDEX('Category Mapping'!$F$28:$F$39,MATCH('Summarized Source Data'!$A1140,'Category Mapping'!$A$28:$A$39,0),1),INDEX('Category Mapping'!$E$28:$E$39,MATCH($A1140,'Category Mapping'!$A$28:$A$39,0),1))</f>
        <v>54474466.571428567</v>
      </c>
      <c r="J1140" s="27">
        <f>J560*IF($E1140="weekday",INDEX('Category Mapping'!$F$28:$F$39,MATCH('Summarized Source Data'!$A1140,'Category Mapping'!$A$28:$A$39,0),1),INDEX('Category Mapping'!$E$28:$E$39,MATCH($A1140,'Category Mapping'!$A$28:$A$39,0),1))</f>
        <v>174568838.57142854</v>
      </c>
      <c r="K1140" s="27">
        <f>K560*IF($E1140="weekday",INDEX('Category Mapping'!$F$28:$F$39,MATCH('Summarized Source Data'!$A1140,'Category Mapping'!$A$28:$A$39,0),1),INDEX('Category Mapping'!$E$28:$E$39,MATCH($A1140,'Category Mapping'!$A$28:$A$39,0),1))</f>
        <v>174568838.57142854</v>
      </c>
      <c r="L1140" s="27">
        <f>L560*IF($E1140="weekday",INDEX('Category Mapping'!$F$28:$F$39,MATCH('Summarized Source Data'!$A1140,'Category Mapping'!$A$28:$A$39,0),1),INDEX('Category Mapping'!$E$28:$E$39,MATCH($A1140,'Category Mapping'!$A$28:$A$39,0),1))</f>
        <v>87800547.142857134</v>
      </c>
      <c r="M1140" s="27">
        <f>M560*IF($E1140="weekday",INDEX('Category Mapping'!$F$28:$F$39,MATCH('Summarized Source Data'!$A1140,'Category Mapping'!$A$28:$A$39,0),1),INDEX('Category Mapping'!$E$28:$E$39,MATCH($A1140,'Category Mapping'!$A$28:$A$39,0),1))</f>
        <v>221437.42857142855</v>
      </c>
      <c r="N1140" s="27">
        <f>N560*IF($E1140="weekday",INDEX('Category Mapping'!$F$28:$F$39,MATCH('Summarized Source Data'!$A1140,'Category Mapping'!$A$28:$A$39,0),1),INDEX('Category Mapping'!$E$28:$E$39,MATCH($A1140,'Category Mapping'!$A$28:$A$39,0),1))</f>
        <v>0</v>
      </c>
      <c r="O1140" s="27">
        <f>O560*IF($E1140="weekday",INDEX('Category Mapping'!$F$28:$F$39,MATCH('Summarized Source Data'!$A1140,'Category Mapping'!$A$28:$A$39,0),1),INDEX('Category Mapping'!$E$28:$E$39,MATCH($A1140,'Category Mapping'!$A$28:$A$39,0),1))</f>
        <v>616120872.57142854</v>
      </c>
      <c r="P1140" s="27">
        <f>P560*IF($E1140="weekday",INDEX('Category Mapping'!$F$28:$F$39,MATCH('Summarized Source Data'!$A1140,'Category Mapping'!$A$28:$A$39,0),1),INDEX('Category Mapping'!$E$28:$E$39,MATCH($A1140,'Category Mapping'!$A$28:$A$39,0),1))</f>
        <v>616120872.57142854</v>
      </c>
      <c r="Q1140" s="27">
        <f>Q560*IF($E1140="weekday",INDEX('Category Mapping'!$F$28:$F$39,MATCH('Summarized Source Data'!$A1140,'Category Mapping'!$A$28:$A$39,0),1),INDEX('Category Mapping'!$E$28:$E$39,MATCH($A1140,'Category Mapping'!$A$28:$A$39,0),1))</f>
        <v>616120872.57142854</v>
      </c>
      <c r="R1140" s="27">
        <f>R560*IF($E1140="weekday",INDEX('Category Mapping'!$F$28:$F$39,MATCH('Summarized Source Data'!$A1140,'Category Mapping'!$A$28:$A$39,0),1),INDEX('Category Mapping'!$E$28:$E$39,MATCH($A1140,'Category Mapping'!$A$28:$A$39,0),1))</f>
        <v>22736418.571428567</v>
      </c>
      <c r="S1140" s="27">
        <f>S560*IF($E1140="weekday",INDEX('Category Mapping'!$F$28:$F$39,MATCH('Summarized Source Data'!$A1140,'Category Mapping'!$A$28:$A$39,0),1),INDEX('Category Mapping'!$E$28:$E$39,MATCH($A1140,'Category Mapping'!$A$28:$A$39,0),1))</f>
        <v>22736418.571428567</v>
      </c>
      <c r="T1140" s="27">
        <f>T560*IF($E1140="weekday",INDEX('Category Mapping'!$F$28:$F$39,MATCH('Summarized Source Data'!$A1140,'Category Mapping'!$A$28:$A$39,0),1),INDEX('Category Mapping'!$E$28:$E$39,MATCH($A1140,'Category Mapping'!$A$28:$A$39,0),1))</f>
        <v>22736418.571428567</v>
      </c>
      <c r="U1140" s="27">
        <f>U560*IF($E1140="weekday",INDEX('Category Mapping'!$F$28:$F$39,MATCH('Summarized Source Data'!$A1140,'Category Mapping'!$A$28:$A$39,0),1),INDEX('Category Mapping'!$E$28:$E$39,MATCH($A1140,'Category Mapping'!$A$28:$A$39,0),1))</f>
        <v>22736418.571428567</v>
      </c>
      <c r="V1140" s="27">
        <f>V560*IF($E1140="weekday",INDEX('Category Mapping'!$F$28:$F$39,MATCH('Summarized Source Data'!$A1140,'Category Mapping'!$A$28:$A$39,0),1),INDEX('Category Mapping'!$E$28:$E$39,MATCH($A1140,'Category Mapping'!$A$28:$A$39,0),1))</f>
        <v>22736418.571428567</v>
      </c>
      <c r="W1140" s="27">
        <f>W560*IF($E1140="weekday",INDEX('Category Mapping'!$F$28:$F$39,MATCH('Summarized Source Data'!$A1140,'Category Mapping'!$A$28:$A$39,0),1),INDEX('Category Mapping'!$E$28:$E$39,MATCH($A1140,'Category Mapping'!$A$28:$A$39,0),1))</f>
        <v>22736418.571428567</v>
      </c>
      <c r="X1140" s="27">
        <f>X560*IF($E1140="weekday",INDEX('Category Mapping'!$F$28:$F$39,MATCH('Summarized Source Data'!$A1140,'Category Mapping'!$A$28:$A$39,0),1),INDEX('Category Mapping'!$E$28:$E$39,MATCH($A1140,'Category Mapping'!$A$28:$A$39,0),1))</f>
        <v>2878571428.5714283</v>
      </c>
      <c r="Y1140" s="27">
        <f>Y560*IF($E1140="weekday",INDEX('Category Mapping'!$F$28:$F$39,MATCH('Summarized Source Data'!$A1140,'Category Mapping'!$A$28:$A$39,0),1),INDEX('Category Mapping'!$E$28:$E$39,MATCH($A1140,'Category Mapping'!$A$28:$A$39,0),1))</f>
        <v>2878571428.5714283</v>
      </c>
      <c r="Z1140" s="27">
        <f>Z560*IF($E1140="weekday",INDEX('Category Mapping'!$F$28:$F$39,MATCH('Summarized Source Data'!$A1140,'Category Mapping'!$A$28:$A$39,0),1),INDEX('Category Mapping'!$E$28:$E$39,MATCH($A1140,'Category Mapping'!$A$28:$A$39,0),1))</f>
        <v>2878571428.5714283</v>
      </c>
    </row>
    <row r="1141" spans="1:26" outlineLevel="1" x14ac:dyDescent="0.3">
      <c r="A1141">
        <f t="shared" ref="A1141:E1141" si="606">A561</f>
        <v>12</v>
      </c>
      <c r="B1141" t="str">
        <f t="shared" si="606"/>
        <v>Winter</v>
      </c>
      <c r="C1141" t="str">
        <f t="shared" si="606"/>
        <v>h6</v>
      </c>
      <c r="D1141" t="str">
        <f t="shared" si="606"/>
        <v>Hour5</v>
      </c>
      <c r="E1141" t="str">
        <f t="shared" si="606"/>
        <v>Weekend</v>
      </c>
      <c r="F1141" s="27">
        <f>F561*IF($E1141="weekday",INDEX('Category Mapping'!$F$28:$F$39,MATCH('Summarized Source Data'!$A1141,'Category Mapping'!$A$28:$A$39,0),1),INDEX('Category Mapping'!$E$28:$E$39,MATCH($A1141,'Category Mapping'!$A$28:$A$39,0),1))</f>
        <v>89457142.857142851</v>
      </c>
      <c r="G1141" s="27">
        <f>G561*IF($E1141="weekday",INDEX('Category Mapping'!$F$28:$F$39,MATCH('Summarized Source Data'!$A1141,'Category Mapping'!$A$28:$A$39,0),1),INDEX('Category Mapping'!$E$28:$E$39,MATCH($A1141,'Category Mapping'!$A$28:$A$39,0),1))</f>
        <v>77198.85714285713</v>
      </c>
      <c r="H1141" s="27">
        <f>H561*IF($E1141="weekday",INDEX('Category Mapping'!$F$28:$F$39,MATCH('Summarized Source Data'!$A1141,'Category Mapping'!$A$28:$A$39,0),1),INDEX('Category Mapping'!$E$28:$E$39,MATCH($A1141,'Category Mapping'!$A$28:$A$39,0),1))</f>
        <v>0</v>
      </c>
      <c r="I1141" s="27">
        <f>I561*IF($E1141="weekday",INDEX('Category Mapping'!$F$28:$F$39,MATCH('Summarized Source Data'!$A1141,'Category Mapping'!$A$28:$A$39,0),1),INDEX('Category Mapping'!$E$28:$E$39,MATCH($A1141,'Category Mapping'!$A$28:$A$39,0),1))</f>
        <v>70596964.285714269</v>
      </c>
      <c r="J1141" s="27">
        <f>J561*IF($E1141="weekday",INDEX('Category Mapping'!$F$28:$F$39,MATCH('Summarized Source Data'!$A1141,'Category Mapping'!$A$28:$A$39,0),1),INDEX('Category Mapping'!$E$28:$E$39,MATCH($A1141,'Category Mapping'!$A$28:$A$39,0),1))</f>
        <v>202125836.85714284</v>
      </c>
      <c r="K1141" s="27">
        <f>K561*IF($E1141="weekday",INDEX('Category Mapping'!$F$28:$F$39,MATCH('Summarized Source Data'!$A1141,'Category Mapping'!$A$28:$A$39,0),1),INDEX('Category Mapping'!$E$28:$E$39,MATCH($A1141,'Category Mapping'!$A$28:$A$39,0),1))</f>
        <v>202125836.85714284</v>
      </c>
      <c r="L1141" s="27">
        <f>L561*IF($E1141="weekday",INDEX('Category Mapping'!$F$28:$F$39,MATCH('Summarized Source Data'!$A1141,'Category Mapping'!$A$28:$A$39,0),1),INDEX('Category Mapping'!$E$28:$E$39,MATCH($A1141,'Category Mapping'!$A$28:$A$39,0),1))</f>
        <v>90342857.142857134</v>
      </c>
      <c r="M1141" s="27">
        <f>M561*IF($E1141="weekday",INDEX('Category Mapping'!$F$28:$F$39,MATCH('Summarized Source Data'!$A1141,'Category Mapping'!$A$28:$A$39,0),1),INDEX('Category Mapping'!$E$28:$E$39,MATCH($A1141,'Category Mapping'!$A$28:$A$39,0),1))</f>
        <v>223855.42857142855</v>
      </c>
      <c r="N1141" s="27">
        <f>N561*IF($E1141="weekday",INDEX('Category Mapping'!$F$28:$F$39,MATCH('Summarized Source Data'!$A1141,'Category Mapping'!$A$28:$A$39,0),1),INDEX('Category Mapping'!$E$28:$E$39,MATCH($A1141,'Category Mapping'!$A$28:$A$39,0),1))</f>
        <v>0</v>
      </c>
      <c r="O1141" s="27">
        <f>O561*IF($E1141="weekday",INDEX('Category Mapping'!$F$28:$F$39,MATCH('Summarized Source Data'!$A1141,'Category Mapping'!$A$28:$A$39,0),1),INDEX('Category Mapping'!$E$28:$E$39,MATCH($A1141,'Category Mapping'!$A$28:$A$39,0),1))</f>
        <v>659633287.42857134</v>
      </c>
      <c r="P1141" s="27">
        <f>P561*IF($E1141="weekday",INDEX('Category Mapping'!$F$28:$F$39,MATCH('Summarized Source Data'!$A1141,'Category Mapping'!$A$28:$A$39,0),1),INDEX('Category Mapping'!$E$28:$E$39,MATCH($A1141,'Category Mapping'!$A$28:$A$39,0),1))</f>
        <v>659633287.42857134</v>
      </c>
      <c r="Q1141" s="27">
        <f>Q561*IF($E1141="weekday",INDEX('Category Mapping'!$F$28:$F$39,MATCH('Summarized Source Data'!$A1141,'Category Mapping'!$A$28:$A$39,0),1),INDEX('Category Mapping'!$E$28:$E$39,MATCH($A1141,'Category Mapping'!$A$28:$A$39,0),1))</f>
        <v>659633287.42857134</v>
      </c>
      <c r="R1141" s="27">
        <f>R561*IF($E1141="weekday",INDEX('Category Mapping'!$F$28:$F$39,MATCH('Summarized Source Data'!$A1141,'Category Mapping'!$A$28:$A$39,0),1),INDEX('Category Mapping'!$E$28:$E$39,MATCH($A1141,'Category Mapping'!$A$28:$A$39,0),1))</f>
        <v>22892011.999999996</v>
      </c>
      <c r="S1141" s="27">
        <f>S561*IF($E1141="weekday",INDEX('Category Mapping'!$F$28:$F$39,MATCH('Summarized Source Data'!$A1141,'Category Mapping'!$A$28:$A$39,0),1),INDEX('Category Mapping'!$E$28:$E$39,MATCH($A1141,'Category Mapping'!$A$28:$A$39,0),1))</f>
        <v>22892011.999999996</v>
      </c>
      <c r="T1141" s="27">
        <f>T561*IF($E1141="weekday",INDEX('Category Mapping'!$F$28:$F$39,MATCH('Summarized Source Data'!$A1141,'Category Mapping'!$A$28:$A$39,0),1),INDEX('Category Mapping'!$E$28:$E$39,MATCH($A1141,'Category Mapping'!$A$28:$A$39,0),1))</f>
        <v>22892011.999999996</v>
      </c>
      <c r="U1141" s="27">
        <f>U561*IF($E1141="weekday",INDEX('Category Mapping'!$F$28:$F$39,MATCH('Summarized Source Data'!$A1141,'Category Mapping'!$A$28:$A$39,0),1),INDEX('Category Mapping'!$E$28:$E$39,MATCH($A1141,'Category Mapping'!$A$28:$A$39,0),1))</f>
        <v>22892011.999999996</v>
      </c>
      <c r="V1141" s="27">
        <f>V561*IF($E1141="weekday",INDEX('Category Mapping'!$F$28:$F$39,MATCH('Summarized Source Data'!$A1141,'Category Mapping'!$A$28:$A$39,0),1),INDEX('Category Mapping'!$E$28:$E$39,MATCH($A1141,'Category Mapping'!$A$28:$A$39,0),1))</f>
        <v>22892011.999999996</v>
      </c>
      <c r="W1141" s="27">
        <f>W561*IF($E1141="weekday",INDEX('Category Mapping'!$F$28:$F$39,MATCH('Summarized Source Data'!$A1141,'Category Mapping'!$A$28:$A$39,0),1),INDEX('Category Mapping'!$E$28:$E$39,MATCH($A1141,'Category Mapping'!$A$28:$A$39,0),1))</f>
        <v>22892011.999999996</v>
      </c>
      <c r="X1141" s="27">
        <f>X561*IF($E1141="weekday",INDEX('Category Mapping'!$F$28:$F$39,MATCH('Summarized Source Data'!$A1141,'Category Mapping'!$A$28:$A$39,0),1),INDEX('Category Mapping'!$E$28:$E$39,MATCH($A1141,'Category Mapping'!$A$28:$A$39,0),1))</f>
        <v>2905142857.1428566</v>
      </c>
      <c r="Y1141" s="27">
        <f>Y561*IF($E1141="weekday",INDEX('Category Mapping'!$F$28:$F$39,MATCH('Summarized Source Data'!$A1141,'Category Mapping'!$A$28:$A$39,0),1),INDEX('Category Mapping'!$E$28:$E$39,MATCH($A1141,'Category Mapping'!$A$28:$A$39,0),1))</f>
        <v>2905142857.1428566</v>
      </c>
      <c r="Z1141" s="27">
        <f>Z561*IF($E1141="weekday",INDEX('Category Mapping'!$F$28:$F$39,MATCH('Summarized Source Data'!$A1141,'Category Mapping'!$A$28:$A$39,0),1),INDEX('Category Mapping'!$E$28:$E$39,MATCH($A1141,'Category Mapping'!$A$28:$A$39,0),1))</f>
        <v>2905142857.1428566</v>
      </c>
    </row>
    <row r="1142" spans="1:26" outlineLevel="1" x14ac:dyDescent="0.3">
      <c r="A1142">
        <f t="shared" ref="A1142:E1142" si="607">A562</f>
        <v>12</v>
      </c>
      <c r="B1142" t="str">
        <f t="shared" si="607"/>
        <v>Winter</v>
      </c>
      <c r="C1142" t="str">
        <f t="shared" si="607"/>
        <v>h7</v>
      </c>
      <c r="D1142" t="str">
        <f t="shared" si="607"/>
        <v>Hour6</v>
      </c>
      <c r="E1142" t="str">
        <f t="shared" si="607"/>
        <v>Weekend</v>
      </c>
      <c r="F1142" s="27">
        <f>F562*IF($E1142="weekday",INDEX('Category Mapping'!$F$28:$F$39,MATCH('Summarized Source Data'!$A1142,'Category Mapping'!$A$28:$A$39,0),1),INDEX('Category Mapping'!$E$28:$E$39,MATCH($A1142,'Category Mapping'!$A$28:$A$39,0),1))</f>
        <v>94771428.571428552</v>
      </c>
      <c r="G1142" s="27">
        <f>G562*IF($E1142="weekday",INDEX('Category Mapping'!$F$28:$F$39,MATCH('Summarized Source Data'!$A1142,'Category Mapping'!$A$28:$A$39,0),1),INDEX('Category Mapping'!$E$28:$E$39,MATCH($A1142,'Category Mapping'!$A$28:$A$39,0),1))</f>
        <v>74107.714285714275</v>
      </c>
      <c r="H1142" s="27">
        <f>H562*IF($E1142="weekday",INDEX('Category Mapping'!$F$28:$F$39,MATCH('Summarized Source Data'!$A1142,'Category Mapping'!$A$28:$A$39,0),1),INDEX('Category Mapping'!$E$28:$E$39,MATCH($A1142,'Category Mapping'!$A$28:$A$39,0),1))</f>
        <v>0</v>
      </c>
      <c r="I1142" s="27">
        <f>I562*IF($E1142="weekday",INDEX('Category Mapping'!$F$28:$F$39,MATCH('Summarized Source Data'!$A1142,'Category Mapping'!$A$28:$A$39,0),1),INDEX('Category Mapping'!$E$28:$E$39,MATCH($A1142,'Category Mapping'!$A$28:$A$39,0),1))</f>
        <v>122228571.42857142</v>
      </c>
      <c r="J1142" s="27">
        <f>J562*IF($E1142="weekday",INDEX('Category Mapping'!$F$28:$F$39,MATCH('Summarized Source Data'!$A1142,'Category Mapping'!$A$28:$A$39,0),1),INDEX('Category Mapping'!$E$28:$E$39,MATCH($A1142,'Category Mapping'!$A$28:$A$39,0),1))</f>
        <v>296640177.99999994</v>
      </c>
      <c r="K1142" s="27">
        <f>K562*IF($E1142="weekday",INDEX('Category Mapping'!$F$28:$F$39,MATCH('Summarized Source Data'!$A1142,'Category Mapping'!$A$28:$A$39,0),1),INDEX('Category Mapping'!$E$28:$E$39,MATCH($A1142,'Category Mapping'!$A$28:$A$39,0),1))</f>
        <v>296640177.99999994</v>
      </c>
      <c r="L1142" s="27">
        <f>L562*IF($E1142="weekday",INDEX('Category Mapping'!$F$28:$F$39,MATCH('Summarized Source Data'!$A1142,'Category Mapping'!$A$28:$A$39,0),1),INDEX('Category Mapping'!$E$28:$E$39,MATCH($A1142,'Category Mapping'!$A$28:$A$39,0),1))</f>
        <v>109828571.42857142</v>
      </c>
      <c r="M1142" s="27">
        <f>M562*IF($E1142="weekday",INDEX('Category Mapping'!$F$28:$F$39,MATCH('Summarized Source Data'!$A1142,'Category Mapping'!$A$28:$A$39,0),1),INDEX('Category Mapping'!$E$28:$E$39,MATCH($A1142,'Category Mapping'!$A$28:$A$39,0),1))</f>
        <v>232499.99999999997</v>
      </c>
      <c r="N1142" s="27">
        <f>N562*IF($E1142="weekday",INDEX('Category Mapping'!$F$28:$F$39,MATCH('Summarized Source Data'!$A1142,'Category Mapping'!$A$28:$A$39,0),1),INDEX('Category Mapping'!$E$28:$E$39,MATCH($A1142,'Category Mapping'!$A$28:$A$39,0),1))</f>
        <v>0</v>
      </c>
      <c r="O1142" s="27">
        <f>O562*IF($E1142="weekday",INDEX('Category Mapping'!$F$28:$F$39,MATCH('Summarized Source Data'!$A1142,'Category Mapping'!$A$28:$A$39,0),1),INDEX('Category Mapping'!$E$28:$E$39,MATCH($A1142,'Category Mapping'!$A$28:$A$39,0),1))</f>
        <v>739338928.57142842</v>
      </c>
      <c r="P1142" s="27">
        <f>P562*IF($E1142="weekday",INDEX('Category Mapping'!$F$28:$F$39,MATCH('Summarized Source Data'!$A1142,'Category Mapping'!$A$28:$A$39,0),1),INDEX('Category Mapping'!$E$28:$E$39,MATCH($A1142,'Category Mapping'!$A$28:$A$39,0),1))</f>
        <v>739338928.57142842</v>
      </c>
      <c r="Q1142" s="27">
        <f>Q562*IF($E1142="weekday",INDEX('Category Mapping'!$F$28:$F$39,MATCH('Summarized Source Data'!$A1142,'Category Mapping'!$A$28:$A$39,0),1),INDEX('Category Mapping'!$E$28:$E$39,MATCH($A1142,'Category Mapping'!$A$28:$A$39,0),1))</f>
        <v>739338928.57142842</v>
      </c>
      <c r="R1142" s="27">
        <f>R562*IF($E1142="weekday",INDEX('Category Mapping'!$F$28:$F$39,MATCH('Summarized Source Data'!$A1142,'Category Mapping'!$A$28:$A$39,0),1),INDEX('Category Mapping'!$E$28:$E$39,MATCH($A1142,'Category Mapping'!$A$28:$A$39,0),1))</f>
        <v>28375601.999999996</v>
      </c>
      <c r="S1142" s="27">
        <f>S562*IF($E1142="weekday",INDEX('Category Mapping'!$F$28:$F$39,MATCH('Summarized Source Data'!$A1142,'Category Mapping'!$A$28:$A$39,0),1),INDEX('Category Mapping'!$E$28:$E$39,MATCH($A1142,'Category Mapping'!$A$28:$A$39,0),1))</f>
        <v>28375601.999999996</v>
      </c>
      <c r="T1142" s="27">
        <f>T562*IF($E1142="weekday",INDEX('Category Mapping'!$F$28:$F$39,MATCH('Summarized Source Data'!$A1142,'Category Mapping'!$A$28:$A$39,0),1),INDEX('Category Mapping'!$E$28:$E$39,MATCH($A1142,'Category Mapping'!$A$28:$A$39,0),1))</f>
        <v>28375601.999999996</v>
      </c>
      <c r="U1142" s="27">
        <f>U562*IF($E1142="weekday",INDEX('Category Mapping'!$F$28:$F$39,MATCH('Summarized Source Data'!$A1142,'Category Mapping'!$A$28:$A$39,0),1),INDEX('Category Mapping'!$E$28:$E$39,MATCH($A1142,'Category Mapping'!$A$28:$A$39,0),1))</f>
        <v>28375601.999999996</v>
      </c>
      <c r="V1142" s="27">
        <f>V562*IF($E1142="weekday",INDEX('Category Mapping'!$F$28:$F$39,MATCH('Summarized Source Data'!$A1142,'Category Mapping'!$A$28:$A$39,0),1),INDEX('Category Mapping'!$E$28:$E$39,MATCH($A1142,'Category Mapping'!$A$28:$A$39,0),1))</f>
        <v>28375601.999999996</v>
      </c>
      <c r="W1142" s="27">
        <f>W562*IF($E1142="weekday",INDEX('Category Mapping'!$F$28:$F$39,MATCH('Summarized Source Data'!$A1142,'Category Mapping'!$A$28:$A$39,0),1),INDEX('Category Mapping'!$E$28:$E$39,MATCH($A1142,'Category Mapping'!$A$28:$A$39,0),1))</f>
        <v>28375601.999999996</v>
      </c>
      <c r="X1142" s="27">
        <f>X562*IF($E1142="weekday",INDEX('Category Mapping'!$F$28:$F$39,MATCH('Summarized Source Data'!$A1142,'Category Mapping'!$A$28:$A$39,0),1),INDEX('Category Mapping'!$E$28:$E$39,MATCH($A1142,'Category Mapping'!$A$28:$A$39,0),1))</f>
        <v>2913999999.9999995</v>
      </c>
      <c r="Y1142" s="27">
        <f>Y562*IF($E1142="weekday",INDEX('Category Mapping'!$F$28:$F$39,MATCH('Summarized Source Data'!$A1142,'Category Mapping'!$A$28:$A$39,0),1),INDEX('Category Mapping'!$E$28:$E$39,MATCH($A1142,'Category Mapping'!$A$28:$A$39,0),1))</f>
        <v>2913999999.9999995</v>
      </c>
      <c r="Z1142" s="27">
        <f>Z562*IF($E1142="weekday",INDEX('Category Mapping'!$F$28:$F$39,MATCH('Summarized Source Data'!$A1142,'Category Mapping'!$A$28:$A$39,0),1),INDEX('Category Mapping'!$E$28:$E$39,MATCH($A1142,'Category Mapping'!$A$28:$A$39,0),1))</f>
        <v>2913999999.9999995</v>
      </c>
    </row>
    <row r="1143" spans="1:26" outlineLevel="1" x14ac:dyDescent="0.3">
      <c r="A1143">
        <f t="shared" ref="A1143:E1143" si="608">A563</f>
        <v>12</v>
      </c>
      <c r="B1143" t="str">
        <f t="shared" si="608"/>
        <v>Winter</v>
      </c>
      <c r="C1143" t="str">
        <f t="shared" si="608"/>
        <v>h8</v>
      </c>
      <c r="D1143" t="str">
        <f t="shared" si="608"/>
        <v>Hour7</v>
      </c>
      <c r="E1143" t="str">
        <f t="shared" si="608"/>
        <v>Weekend</v>
      </c>
      <c r="F1143" s="27">
        <f>F563*IF($E1143="weekday",INDEX('Category Mapping'!$F$28:$F$39,MATCH('Summarized Source Data'!$A1143,'Category Mapping'!$A$28:$A$39,0),1),INDEX('Category Mapping'!$E$28:$E$39,MATCH($A1143,'Category Mapping'!$A$28:$A$39,0),1))</f>
        <v>100971428.57142855</v>
      </c>
      <c r="G1143" s="27">
        <f>G563*IF($E1143="weekday",INDEX('Category Mapping'!$F$28:$F$39,MATCH('Summarized Source Data'!$A1143,'Category Mapping'!$A$28:$A$39,0),1),INDEX('Category Mapping'!$E$28:$E$39,MATCH($A1143,'Category Mapping'!$A$28:$A$39,0),1))</f>
        <v>68890.85714285713</v>
      </c>
      <c r="H1143" s="27">
        <f>H563*IF($E1143="weekday",INDEX('Category Mapping'!$F$28:$F$39,MATCH('Summarized Source Data'!$A1143,'Category Mapping'!$A$28:$A$39,0),1),INDEX('Category Mapping'!$E$28:$E$39,MATCH($A1143,'Category Mapping'!$A$28:$A$39,0),1))</f>
        <v>0</v>
      </c>
      <c r="I1143" s="27">
        <f>I563*IF($E1143="weekday",INDEX('Category Mapping'!$F$28:$F$39,MATCH('Summarized Source Data'!$A1143,'Category Mapping'!$A$28:$A$39,0),1),INDEX('Category Mapping'!$E$28:$E$39,MATCH($A1143,'Category Mapping'!$A$28:$A$39,0),1))</f>
        <v>187771428.57142854</v>
      </c>
      <c r="J1143" s="27">
        <f>J563*IF($E1143="weekday",INDEX('Category Mapping'!$F$28:$F$39,MATCH('Summarized Source Data'!$A1143,'Category Mapping'!$A$28:$A$39,0),1),INDEX('Category Mapping'!$E$28:$E$39,MATCH($A1143,'Category Mapping'!$A$28:$A$39,0),1))</f>
        <v>424188251.99999994</v>
      </c>
      <c r="K1143" s="27">
        <f>K563*IF($E1143="weekday",INDEX('Category Mapping'!$F$28:$F$39,MATCH('Summarized Source Data'!$A1143,'Category Mapping'!$A$28:$A$39,0),1),INDEX('Category Mapping'!$E$28:$E$39,MATCH($A1143,'Category Mapping'!$A$28:$A$39,0),1))</f>
        <v>424188251.99999994</v>
      </c>
      <c r="L1143" s="27">
        <f>L563*IF($E1143="weekday",INDEX('Category Mapping'!$F$28:$F$39,MATCH('Summarized Source Data'!$A1143,'Category Mapping'!$A$28:$A$39,0),1),INDEX('Category Mapping'!$E$28:$E$39,MATCH($A1143,'Category Mapping'!$A$28:$A$39,0),1))</f>
        <v>232942857.1428571</v>
      </c>
      <c r="M1143" s="27">
        <f>M563*IF($E1143="weekday",INDEX('Category Mapping'!$F$28:$F$39,MATCH('Summarized Source Data'!$A1143,'Category Mapping'!$A$28:$A$39,0),1),INDEX('Category Mapping'!$E$28:$E$39,MATCH($A1143,'Category Mapping'!$A$28:$A$39,0),1))</f>
        <v>249558.8571428571</v>
      </c>
      <c r="N1143" s="27">
        <f>N563*IF($E1143="weekday",INDEX('Category Mapping'!$F$28:$F$39,MATCH('Summarized Source Data'!$A1143,'Category Mapping'!$A$28:$A$39,0),1),INDEX('Category Mapping'!$E$28:$E$39,MATCH($A1143,'Category Mapping'!$A$28:$A$39,0),1))</f>
        <v>0</v>
      </c>
      <c r="O1143" s="27">
        <f>O563*IF($E1143="weekday",INDEX('Category Mapping'!$F$28:$F$39,MATCH('Summarized Source Data'!$A1143,'Category Mapping'!$A$28:$A$39,0),1),INDEX('Category Mapping'!$E$28:$E$39,MATCH($A1143,'Category Mapping'!$A$28:$A$39,0),1))</f>
        <v>935950441.14285696</v>
      </c>
      <c r="P1143" s="27">
        <f>P563*IF($E1143="weekday",INDEX('Category Mapping'!$F$28:$F$39,MATCH('Summarized Source Data'!$A1143,'Category Mapping'!$A$28:$A$39,0),1),INDEX('Category Mapping'!$E$28:$E$39,MATCH($A1143,'Category Mapping'!$A$28:$A$39,0),1))</f>
        <v>935950441.14285696</v>
      </c>
      <c r="Q1143" s="27">
        <f>Q563*IF($E1143="weekday",INDEX('Category Mapping'!$F$28:$F$39,MATCH('Summarized Source Data'!$A1143,'Category Mapping'!$A$28:$A$39,0),1),INDEX('Category Mapping'!$E$28:$E$39,MATCH($A1143,'Category Mapping'!$A$28:$A$39,0),1))</f>
        <v>935950441.14285696</v>
      </c>
      <c r="R1143" s="27">
        <f>R563*IF($E1143="weekday",INDEX('Category Mapping'!$F$28:$F$39,MATCH('Summarized Source Data'!$A1143,'Category Mapping'!$A$28:$A$39,0),1),INDEX('Category Mapping'!$E$28:$E$39,MATCH($A1143,'Category Mapping'!$A$28:$A$39,0),1))</f>
        <v>36917324.285714284</v>
      </c>
      <c r="S1143" s="27">
        <f>S563*IF($E1143="weekday",INDEX('Category Mapping'!$F$28:$F$39,MATCH('Summarized Source Data'!$A1143,'Category Mapping'!$A$28:$A$39,0),1),INDEX('Category Mapping'!$E$28:$E$39,MATCH($A1143,'Category Mapping'!$A$28:$A$39,0),1))</f>
        <v>36917324.285714284</v>
      </c>
      <c r="T1143" s="27">
        <f>T563*IF($E1143="weekday",INDEX('Category Mapping'!$F$28:$F$39,MATCH('Summarized Source Data'!$A1143,'Category Mapping'!$A$28:$A$39,0),1),INDEX('Category Mapping'!$E$28:$E$39,MATCH($A1143,'Category Mapping'!$A$28:$A$39,0),1))</f>
        <v>36917324.285714284</v>
      </c>
      <c r="U1143" s="27">
        <f>U563*IF($E1143="weekday",INDEX('Category Mapping'!$F$28:$F$39,MATCH('Summarized Source Data'!$A1143,'Category Mapping'!$A$28:$A$39,0),1),INDEX('Category Mapping'!$E$28:$E$39,MATCH($A1143,'Category Mapping'!$A$28:$A$39,0),1))</f>
        <v>36917324.285714284</v>
      </c>
      <c r="V1143" s="27">
        <f>V563*IF($E1143="weekday",INDEX('Category Mapping'!$F$28:$F$39,MATCH('Summarized Source Data'!$A1143,'Category Mapping'!$A$28:$A$39,0),1),INDEX('Category Mapping'!$E$28:$E$39,MATCH($A1143,'Category Mapping'!$A$28:$A$39,0),1))</f>
        <v>36917324.285714284</v>
      </c>
      <c r="W1143" s="27">
        <f>W563*IF($E1143="weekday",INDEX('Category Mapping'!$F$28:$F$39,MATCH('Summarized Source Data'!$A1143,'Category Mapping'!$A$28:$A$39,0),1),INDEX('Category Mapping'!$E$28:$E$39,MATCH($A1143,'Category Mapping'!$A$28:$A$39,0),1))</f>
        <v>36917324.285714284</v>
      </c>
      <c r="X1143" s="27">
        <f>X563*IF($E1143="weekday",INDEX('Category Mapping'!$F$28:$F$39,MATCH('Summarized Source Data'!$A1143,'Category Mapping'!$A$28:$A$39,0),1),INDEX('Category Mapping'!$E$28:$E$39,MATCH($A1143,'Category Mapping'!$A$28:$A$39,0),1))</f>
        <v>2922857142.8571424</v>
      </c>
      <c r="Y1143" s="27">
        <f>Y563*IF($E1143="weekday",INDEX('Category Mapping'!$F$28:$F$39,MATCH('Summarized Source Data'!$A1143,'Category Mapping'!$A$28:$A$39,0),1),INDEX('Category Mapping'!$E$28:$E$39,MATCH($A1143,'Category Mapping'!$A$28:$A$39,0),1))</f>
        <v>2922857142.8571424</v>
      </c>
      <c r="Z1143" s="27">
        <f>Z563*IF($E1143="weekday",INDEX('Category Mapping'!$F$28:$F$39,MATCH('Summarized Source Data'!$A1143,'Category Mapping'!$A$28:$A$39,0),1),INDEX('Category Mapping'!$E$28:$E$39,MATCH($A1143,'Category Mapping'!$A$28:$A$39,0),1))</f>
        <v>2922857142.8571424</v>
      </c>
    </row>
    <row r="1144" spans="1:26" outlineLevel="1" x14ac:dyDescent="0.3">
      <c r="A1144">
        <f t="shared" ref="A1144:E1144" si="609">A564</f>
        <v>12</v>
      </c>
      <c r="B1144" t="str">
        <f t="shared" si="609"/>
        <v>Winter</v>
      </c>
      <c r="C1144" t="str">
        <f t="shared" si="609"/>
        <v>h9</v>
      </c>
      <c r="D1144" t="str">
        <f t="shared" si="609"/>
        <v>Hour8</v>
      </c>
      <c r="E1144" t="str">
        <f t="shared" si="609"/>
        <v>Weekend</v>
      </c>
      <c r="F1144" s="27">
        <f>F564*IF($E1144="weekday",INDEX('Category Mapping'!$F$28:$F$39,MATCH('Summarized Source Data'!$A1144,'Category Mapping'!$A$28:$A$39,0),1),INDEX('Category Mapping'!$E$28:$E$39,MATCH($A1144,'Category Mapping'!$A$28:$A$39,0),1))</f>
        <v>104514285.7142857</v>
      </c>
      <c r="G1144" s="27">
        <f>G564*IF($E1144="weekday",INDEX('Category Mapping'!$F$28:$F$39,MATCH('Summarized Source Data'!$A1144,'Category Mapping'!$A$28:$A$39,0),1),INDEX('Category Mapping'!$E$28:$E$39,MATCH($A1144,'Category Mapping'!$A$28:$A$39,0),1))</f>
        <v>61619.142857142848</v>
      </c>
      <c r="H1144" s="27">
        <f>H564*IF($E1144="weekday",INDEX('Category Mapping'!$F$28:$F$39,MATCH('Summarized Source Data'!$A1144,'Category Mapping'!$A$28:$A$39,0),1),INDEX('Category Mapping'!$E$28:$E$39,MATCH($A1144,'Category Mapping'!$A$28:$A$39,0),1))</f>
        <v>0</v>
      </c>
      <c r="I1144" s="27">
        <f>I564*IF($E1144="weekday",INDEX('Category Mapping'!$F$28:$F$39,MATCH('Summarized Source Data'!$A1144,'Category Mapping'!$A$28:$A$39,0),1),INDEX('Category Mapping'!$E$28:$E$39,MATCH($A1144,'Category Mapping'!$A$28:$A$39,0),1))</f>
        <v>68797299.142857134</v>
      </c>
      <c r="J1144" s="27">
        <f>J564*IF($E1144="weekday",INDEX('Category Mapping'!$F$28:$F$39,MATCH('Summarized Source Data'!$A1144,'Category Mapping'!$A$28:$A$39,0),1),INDEX('Category Mapping'!$E$28:$E$39,MATCH($A1144,'Category Mapping'!$A$28:$A$39,0),1))</f>
        <v>530769653.14285707</v>
      </c>
      <c r="K1144" s="27">
        <f>K564*IF($E1144="weekday",INDEX('Category Mapping'!$F$28:$F$39,MATCH('Summarized Source Data'!$A1144,'Category Mapping'!$A$28:$A$39,0),1),INDEX('Category Mapping'!$E$28:$E$39,MATCH($A1144,'Category Mapping'!$A$28:$A$39,0),1))</f>
        <v>530769653.14285707</v>
      </c>
      <c r="L1144" s="27">
        <f>L564*IF($E1144="weekday",INDEX('Category Mapping'!$F$28:$F$39,MATCH('Summarized Source Data'!$A1144,'Category Mapping'!$A$28:$A$39,0),1),INDEX('Category Mapping'!$E$28:$E$39,MATCH($A1144,'Category Mapping'!$A$28:$A$39,0),1))</f>
        <v>290514285.71428567</v>
      </c>
      <c r="M1144" s="27">
        <f>M564*IF($E1144="weekday",INDEX('Category Mapping'!$F$28:$F$39,MATCH('Summarized Source Data'!$A1144,'Category Mapping'!$A$28:$A$39,0),1),INDEX('Category Mapping'!$E$28:$E$39,MATCH($A1144,'Category Mapping'!$A$28:$A$39,0),1))</f>
        <v>274624.57142857136</v>
      </c>
      <c r="N1144" s="27">
        <f>N564*IF($E1144="weekday",INDEX('Category Mapping'!$F$28:$F$39,MATCH('Summarized Source Data'!$A1144,'Category Mapping'!$A$28:$A$39,0),1),INDEX('Category Mapping'!$E$28:$E$39,MATCH($A1144,'Category Mapping'!$A$28:$A$39,0),1))</f>
        <v>0</v>
      </c>
      <c r="O1144" s="27">
        <f>O564*IF($E1144="weekday",INDEX('Category Mapping'!$F$28:$F$39,MATCH('Summarized Source Data'!$A1144,'Category Mapping'!$A$28:$A$39,0),1),INDEX('Category Mapping'!$E$28:$E$39,MATCH($A1144,'Category Mapping'!$A$28:$A$39,0),1))</f>
        <v>1064353946.8571427</v>
      </c>
      <c r="P1144" s="27">
        <f>P564*IF($E1144="weekday",INDEX('Category Mapping'!$F$28:$F$39,MATCH('Summarized Source Data'!$A1144,'Category Mapping'!$A$28:$A$39,0),1),INDEX('Category Mapping'!$E$28:$E$39,MATCH($A1144,'Category Mapping'!$A$28:$A$39,0),1))</f>
        <v>1064353946.8571427</v>
      </c>
      <c r="Q1144" s="27">
        <f>Q564*IF($E1144="weekday",INDEX('Category Mapping'!$F$28:$F$39,MATCH('Summarized Source Data'!$A1144,'Category Mapping'!$A$28:$A$39,0),1),INDEX('Category Mapping'!$E$28:$E$39,MATCH($A1144,'Category Mapping'!$A$28:$A$39,0),1))</f>
        <v>1064353946.8571427</v>
      </c>
      <c r="R1144" s="27">
        <f>R564*IF($E1144="weekday",INDEX('Category Mapping'!$F$28:$F$39,MATCH('Summarized Source Data'!$A1144,'Category Mapping'!$A$28:$A$39,0),1),INDEX('Category Mapping'!$E$28:$E$39,MATCH($A1144,'Category Mapping'!$A$28:$A$39,0),1))</f>
        <v>44041841.714285709</v>
      </c>
      <c r="S1144" s="27">
        <f>S564*IF($E1144="weekday",INDEX('Category Mapping'!$F$28:$F$39,MATCH('Summarized Source Data'!$A1144,'Category Mapping'!$A$28:$A$39,0),1),INDEX('Category Mapping'!$E$28:$E$39,MATCH($A1144,'Category Mapping'!$A$28:$A$39,0),1))</f>
        <v>44041841.714285709</v>
      </c>
      <c r="T1144" s="27">
        <f>T564*IF($E1144="weekday",INDEX('Category Mapping'!$F$28:$F$39,MATCH('Summarized Source Data'!$A1144,'Category Mapping'!$A$28:$A$39,0),1),INDEX('Category Mapping'!$E$28:$E$39,MATCH($A1144,'Category Mapping'!$A$28:$A$39,0),1))</f>
        <v>44041841.714285709</v>
      </c>
      <c r="U1144" s="27">
        <f>U564*IF($E1144="weekday",INDEX('Category Mapping'!$F$28:$F$39,MATCH('Summarized Source Data'!$A1144,'Category Mapping'!$A$28:$A$39,0),1),INDEX('Category Mapping'!$E$28:$E$39,MATCH($A1144,'Category Mapping'!$A$28:$A$39,0),1))</f>
        <v>44041841.714285709</v>
      </c>
      <c r="V1144" s="27">
        <f>V564*IF($E1144="weekday",INDEX('Category Mapping'!$F$28:$F$39,MATCH('Summarized Source Data'!$A1144,'Category Mapping'!$A$28:$A$39,0),1),INDEX('Category Mapping'!$E$28:$E$39,MATCH($A1144,'Category Mapping'!$A$28:$A$39,0),1))</f>
        <v>44041841.714285709</v>
      </c>
      <c r="W1144" s="27">
        <f>W564*IF($E1144="weekday",INDEX('Category Mapping'!$F$28:$F$39,MATCH('Summarized Source Data'!$A1144,'Category Mapping'!$A$28:$A$39,0),1),INDEX('Category Mapping'!$E$28:$E$39,MATCH($A1144,'Category Mapping'!$A$28:$A$39,0),1))</f>
        <v>44041841.714285709</v>
      </c>
      <c r="X1144" s="27">
        <f>X564*IF($E1144="weekday",INDEX('Category Mapping'!$F$28:$F$39,MATCH('Summarized Source Data'!$A1144,'Category Mapping'!$A$28:$A$39,0),1),INDEX('Category Mapping'!$E$28:$E$39,MATCH($A1144,'Category Mapping'!$A$28:$A$39,0),1))</f>
        <v>2913999999.9999995</v>
      </c>
      <c r="Y1144" s="27">
        <f>Y564*IF($E1144="weekday",INDEX('Category Mapping'!$F$28:$F$39,MATCH('Summarized Source Data'!$A1144,'Category Mapping'!$A$28:$A$39,0),1),INDEX('Category Mapping'!$E$28:$E$39,MATCH($A1144,'Category Mapping'!$A$28:$A$39,0),1))</f>
        <v>2913999999.9999995</v>
      </c>
      <c r="Z1144" s="27">
        <f>Z564*IF($E1144="weekday",INDEX('Category Mapping'!$F$28:$F$39,MATCH('Summarized Source Data'!$A1144,'Category Mapping'!$A$28:$A$39,0),1),INDEX('Category Mapping'!$E$28:$E$39,MATCH($A1144,'Category Mapping'!$A$28:$A$39,0),1))</f>
        <v>2913999999.9999995</v>
      </c>
    </row>
    <row r="1145" spans="1:26" outlineLevel="1" x14ac:dyDescent="0.3">
      <c r="A1145">
        <f t="shared" ref="A1145:E1145" si="610">A565</f>
        <v>12</v>
      </c>
      <c r="B1145" t="str">
        <f t="shared" si="610"/>
        <v>Winter</v>
      </c>
      <c r="C1145" t="str">
        <f t="shared" si="610"/>
        <v>h10</v>
      </c>
      <c r="D1145" t="str">
        <f t="shared" si="610"/>
        <v>Hour9</v>
      </c>
      <c r="E1145" t="str">
        <f t="shared" si="610"/>
        <v>Weekend</v>
      </c>
      <c r="F1145" s="27">
        <f>F565*IF($E1145="weekday",INDEX('Category Mapping'!$F$28:$F$39,MATCH('Summarized Source Data'!$A1145,'Category Mapping'!$A$28:$A$39,0),1),INDEX('Category Mapping'!$E$28:$E$39,MATCH($A1145,'Category Mapping'!$A$28:$A$39,0),1))</f>
        <v>101857142.85714284</v>
      </c>
      <c r="G1145" s="27">
        <f>G565*IF($E1145="weekday",INDEX('Category Mapping'!$F$28:$F$39,MATCH('Summarized Source Data'!$A1145,'Category Mapping'!$A$28:$A$39,0),1),INDEX('Category Mapping'!$E$28:$E$39,MATCH($A1145,'Category Mapping'!$A$28:$A$39,0),1))</f>
        <v>53709.714285714275</v>
      </c>
      <c r="H1145" s="27">
        <f>H565*IF($E1145="weekday",INDEX('Category Mapping'!$F$28:$F$39,MATCH('Summarized Source Data'!$A1145,'Category Mapping'!$A$28:$A$39,0),1),INDEX('Category Mapping'!$E$28:$E$39,MATCH($A1145,'Category Mapping'!$A$28:$A$39,0),1))</f>
        <v>0</v>
      </c>
      <c r="I1145" s="27">
        <f>I565*IF($E1145="weekday",INDEX('Category Mapping'!$F$28:$F$39,MATCH('Summarized Source Data'!$A1145,'Category Mapping'!$A$28:$A$39,0),1),INDEX('Category Mapping'!$E$28:$E$39,MATCH($A1145,'Category Mapping'!$A$28:$A$39,0),1))</f>
        <v>71286395.428571418</v>
      </c>
      <c r="J1145" s="27">
        <f>J565*IF($E1145="weekday",INDEX('Category Mapping'!$F$28:$F$39,MATCH('Summarized Source Data'!$A1145,'Category Mapping'!$A$28:$A$39,0),1),INDEX('Category Mapping'!$E$28:$E$39,MATCH($A1145,'Category Mapping'!$A$28:$A$39,0),1))</f>
        <v>671774180.57142842</v>
      </c>
      <c r="K1145" s="27">
        <f>K565*IF($E1145="weekday",INDEX('Category Mapping'!$F$28:$F$39,MATCH('Summarized Source Data'!$A1145,'Category Mapping'!$A$28:$A$39,0),1),INDEX('Category Mapping'!$E$28:$E$39,MATCH($A1145,'Category Mapping'!$A$28:$A$39,0),1))</f>
        <v>671774180.57142842</v>
      </c>
      <c r="L1145" s="27">
        <f>L565*IF($E1145="weekday",INDEX('Category Mapping'!$F$28:$F$39,MATCH('Summarized Source Data'!$A1145,'Category Mapping'!$A$28:$A$39,0),1),INDEX('Category Mapping'!$E$28:$E$39,MATCH($A1145,'Category Mapping'!$A$28:$A$39,0),1))</f>
        <v>234714285.71428567</v>
      </c>
      <c r="M1145" s="27">
        <f>M565*IF($E1145="weekday",INDEX('Category Mapping'!$F$28:$F$39,MATCH('Summarized Source Data'!$A1145,'Category Mapping'!$A$28:$A$39,0),1),INDEX('Category Mapping'!$E$28:$E$39,MATCH($A1145,'Category Mapping'!$A$28:$A$39,0),1))</f>
        <v>290638.28571428568</v>
      </c>
      <c r="N1145" s="27">
        <f>N565*IF($E1145="weekday",INDEX('Category Mapping'!$F$28:$F$39,MATCH('Summarized Source Data'!$A1145,'Category Mapping'!$A$28:$A$39,0),1),INDEX('Category Mapping'!$E$28:$E$39,MATCH($A1145,'Category Mapping'!$A$28:$A$39,0),1))</f>
        <v>0</v>
      </c>
      <c r="O1145" s="27">
        <f>O565*IF($E1145="weekday",INDEX('Category Mapping'!$F$28:$F$39,MATCH('Summarized Source Data'!$A1145,'Category Mapping'!$A$28:$A$39,0),1),INDEX('Category Mapping'!$E$28:$E$39,MATCH($A1145,'Category Mapping'!$A$28:$A$39,0),1))</f>
        <v>1164423647.4285712</v>
      </c>
      <c r="P1145" s="27">
        <f>P565*IF($E1145="weekday",INDEX('Category Mapping'!$F$28:$F$39,MATCH('Summarized Source Data'!$A1145,'Category Mapping'!$A$28:$A$39,0),1),INDEX('Category Mapping'!$E$28:$E$39,MATCH($A1145,'Category Mapping'!$A$28:$A$39,0),1))</f>
        <v>1164423647.4285712</v>
      </c>
      <c r="Q1145" s="27">
        <f>Q565*IF($E1145="weekday",INDEX('Category Mapping'!$F$28:$F$39,MATCH('Summarized Source Data'!$A1145,'Category Mapping'!$A$28:$A$39,0),1),INDEX('Category Mapping'!$E$28:$E$39,MATCH($A1145,'Category Mapping'!$A$28:$A$39,0),1))</f>
        <v>1164423647.4285712</v>
      </c>
      <c r="R1145" s="27">
        <f>R565*IF($E1145="weekday",INDEX('Category Mapping'!$F$28:$F$39,MATCH('Summarized Source Data'!$A1145,'Category Mapping'!$A$28:$A$39,0),1),INDEX('Category Mapping'!$E$28:$E$39,MATCH($A1145,'Category Mapping'!$A$28:$A$39,0),1))</f>
        <v>49887033.428571418</v>
      </c>
      <c r="S1145" s="27">
        <f>S565*IF($E1145="weekday",INDEX('Category Mapping'!$F$28:$F$39,MATCH('Summarized Source Data'!$A1145,'Category Mapping'!$A$28:$A$39,0),1),INDEX('Category Mapping'!$E$28:$E$39,MATCH($A1145,'Category Mapping'!$A$28:$A$39,0),1))</f>
        <v>49887033.428571418</v>
      </c>
      <c r="T1145" s="27">
        <f>T565*IF($E1145="weekday",INDEX('Category Mapping'!$F$28:$F$39,MATCH('Summarized Source Data'!$A1145,'Category Mapping'!$A$28:$A$39,0),1),INDEX('Category Mapping'!$E$28:$E$39,MATCH($A1145,'Category Mapping'!$A$28:$A$39,0),1))</f>
        <v>49887033.428571418</v>
      </c>
      <c r="U1145" s="27">
        <f>U565*IF($E1145="weekday",INDEX('Category Mapping'!$F$28:$F$39,MATCH('Summarized Source Data'!$A1145,'Category Mapping'!$A$28:$A$39,0),1),INDEX('Category Mapping'!$E$28:$E$39,MATCH($A1145,'Category Mapping'!$A$28:$A$39,0),1))</f>
        <v>49887033.428571418</v>
      </c>
      <c r="V1145" s="27">
        <f>V565*IF($E1145="weekday",INDEX('Category Mapping'!$F$28:$F$39,MATCH('Summarized Source Data'!$A1145,'Category Mapping'!$A$28:$A$39,0),1),INDEX('Category Mapping'!$E$28:$E$39,MATCH($A1145,'Category Mapping'!$A$28:$A$39,0),1))</f>
        <v>49887033.428571418</v>
      </c>
      <c r="W1145" s="27">
        <f>W565*IF($E1145="weekday",INDEX('Category Mapping'!$F$28:$F$39,MATCH('Summarized Source Data'!$A1145,'Category Mapping'!$A$28:$A$39,0),1),INDEX('Category Mapping'!$E$28:$E$39,MATCH($A1145,'Category Mapping'!$A$28:$A$39,0),1))</f>
        <v>49887033.428571418</v>
      </c>
      <c r="X1145" s="27">
        <f>X565*IF($E1145="weekday",INDEX('Category Mapping'!$F$28:$F$39,MATCH('Summarized Source Data'!$A1145,'Category Mapping'!$A$28:$A$39,0),1),INDEX('Category Mapping'!$E$28:$E$39,MATCH($A1145,'Category Mapping'!$A$28:$A$39,0),1))</f>
        <v>2905142857.1428566</v>
      </c>
      <c r="Y1145" s="27">
        <f>Y565*IF($E1145="weekday",INDEX('Category Mapping'!$F$28:$F$39,MATCH('Summarized Source Data'!$A1145,'Category Mapping'!$A$28:$A$39,0),1),INDEX('Category Mapping'!$E$28:$E$39,MATCH($A1145,'Category Mapping'!$A$28:$A$39,0),1))</f>
        <v>2905142857.1428566</v>
      </c>
      <c r="Z1145" s="27">
        <f>Z565*IF($E1145="weekday",INDEX('Category Mapping'!$F$28:$F$39,MATCH('Summarized Source Data'!$A1145,'Category Mapping'!$A$28:$A$39,0),1),INDEX('Category Mapping'!$E$28:$E$39,MATCH($A1145,'Category Mapping'!$A$28:$A$39,0),1))</f>
        <v>2905142857.1428566</v>
      </c>
    </row>
    <row r="1146" spans="1:26" outlineLevel="1" x14ac:dyDescent="0.3">
      <c r="A1146">
        <f t="shared" ref="A1146:E1146" si="611">A566</f>
        <v>12</v>
      </c>
      <c r="B1146" t="str">
        <f t="shared" si="611"/>
        <v>Winter</v>
      </c>
      <c r="C1146" t="str">
        <f t="shared" si="611"/>
        <v>h11</v>
      </c>
      <c r="D1146" t="str">
        <f t="shared" si="611"/>
        <v>Hour10</v>
      </c>
      <c r="E1146" t="str">
        <f t="shared" si="611"/>
        <v>Weekend</v>
      </c>
      <c r="F1146" s="27">
        <f>F566*IF($E1146="weekday",INDEX('Category Mapping'!$F$28:$F$39,MATCH('Summarized Source Data'!$A1146,'Category Mapping'!$A$28:$A$39,0),1),INDEX('Category Mapping'!$E$28:$E$39,MATCH($A1146,'Category Mapping'!$A$28:$A$39,0),1))</f>
        <v>98314285.714285702</v>
      </c>
      <c r="G1146" s="27">
        <f>G566*IF($E1146="weekday",INDEX('Category Mapping'!$F$28:$F$39,MATCH('Summarized Source Data'!$A1146,'Category Mapping'!$A$28:$A$39,0),1),INDEX('Category Mapping'!$E$28:$E$39,MATCH($A1146,'Category Mapping'!$A$28:$A$39,0),1))</f>
        <v>50113.714285714275</v>
      </c>
      <c r="H1146" s="27">
        <f>H566*IF($E1146="weekday",INDEX('Category Mapping'!$F$28:$F$39,MATCH('Summarized Source Data'!$A1146,'Category Mapping'!$A$28:$A$39,0),1),INDEX('Category Mapping'!$E$28:$E$39,MATCH($A1146,'Category Mapping'!$A$28:$A$39,0),1))</f>
        <v>0</v>
      </c>
      <c r="I1146" s="27">
        <f>I566*IF($E1146="weekday",INDEX('Category Mapping'!$F$28:$F$39,MATCH('Summarized Source Data'!$A1146,'Category Mapping'!$A$28:$A$39,0),1),INDEX('Category Mapping'!$E$28:$E$39,MATCH($A1146,'Category Mapping'!$A$28:$A$39,0),1))</f>
        <v>71711626.857142851</v>
      </c>
      <c r="J1146" s="27">
        <f>J566*IF($E1146="weekday",INDEX('Category Mapping'!$F$28:$F$39,MATCH('Summarized Source Data'!$A1146,'Category Mapping'!$A$28:$A$39,0),1),INDEX('Category Mapping'!$E$28:$E$39,MATCH($A1146,'Category Mapping'!$A$28:$A$39,0),1))</f>
        <v>821923973.71428561</v>
      </c>
      <c r="K1146" s="27">
        <f>K566*IF($E1146="weekday",INDEX('Category Mapping'!$F$28:$F$39,MATCH('Summarized Source Data'!$A1146,'Category Mapping'!$A$28:$A$39,0),1),INDEX('Category Mapping'!$E$28:$E$39,MATCH($A1146,'Category Mapping'!$A$28:$A$39,0),1))</f>
        <v>821923973.71428561</v>
      </c>
      <c r="L1146" s="27">
        <f>L566*IF($E1146="weekday",INDEX('Category Mapping'!$F$28:$F$39,MATCH('Summarized Source Data'!$A1146,'Category Mapping'!$A$28:$A$39,0),1),INDEX('Category Mapping'!$E$28:$E$39,MATCH($A1146,'Category Mapping'!$A$28:$A$39,0),1))</f>
        <v>199285714.28571427</v>
      </c>
      <c r="M1146" s="27">
        <f>M566*IF($E1146="weekday",INDEX('Category Mapping'!$F$28:$F$39,MATCH('Summarized Source Data'!$A1146,'Category Mapping'!$A$28:$A$39,0),1),INDEX('Category Mapping'!$E$28:$E$39,MATCH($A1146,'Category Mapping'!$A$28:$A$39,0),1))</f>
        <v>298955.14285714284</v>
      </c>
      <c r="N1146" s="27">
        <f>N566*IF($E1146="weekday",INDEX('Category Mapping'!$F$28:$F$39,MATCH('Summarized Source Data'!$A1146,'Category Mapping'!$A$28:$A$39,0),1),INDEX('Category Mapping'!$E$28:$E$39,MATCH($A1146,'Category Mapping'!$A$28:$A$39,0),1))</f>
        <v>0</v>
      </c>
      <c r="O1146" s="27">
        <f>O566*IF($E1146="weekday",INDEX('Category Mapping'!$F$28:$F$39,MATCH('Summarized Source Data'!$A1146,'Category Mapping'!$A$28:$A$39,0),1),INDEX('Category Mapping'!$E$28:$E$39,MATCH($A1146,'Category Mapping'!$A$28:$A$39,0),1))</f>
        <v>1146701044.8571427</v>
      </c>
      <c r="P1146" s="27">
        <f>P566*IF($E1146="weekday",INDEX('Category Mapping'!$F$28:$F$39,MATCH('Summarized Source Data'!$A1146,'Category Mapping'!$A$28:$A$39,0),1),INDEX('Category Mapping'!$E$28:$E$39,MATCH($A1146,'Category Mapping'!$A$28:$A$39,0),1))</f>
        <v>1146701044.8571427</v>
      </c>
      <c r="Q1146" s="27">
        <f>Q566*IF($E1146="weekday",INDEX('Category Mapping'!$F$28:$F$39,MATCH('Summarized Source Data'!$A1146,'Category Mapping'!$A$28:$A$39,0),1),INDEX('Category Mapping'!$E$28:$E$39,MATCH($A1146,'Category Mapping'!$A$28:$A$39,0),1))</f>
        <v>1146701044.8571427</v>
      </c>
      <c r="R1146" s="27">
        <f>R566*IF($E1146="weekday",INDEX('Category Mapping'!$F$28:$F$39,MATCH('Summarized Source Data'!$A1146,'Category Mapping'!$A$28:$A$39,0),1),INDEX('Category Mapping'!$E$28:$E$39,MATCH($A1146,'Category Mapping'!$A$28:$A$39,0),1))</f>
        <v>52802742.857142851</v>
      </c>
      <c r="S1146" s="27">
        <f>S566*IF($E1146="weekday",INDEX('Category Mapping'!$F$28:$F$39,MATCH('Summarized Source Data'!$A1146,'Category Mapping'!$A$28:$A$39,0),1),INDEX('Category Mapping'!$E$28:$E$39,MATCH($A1146,'Category Mapping'!$A$28:$A$39,0),1))</f>
        <v>52802742.857142851</v>
      </c>
      <c r="T1146" s="27">
        <f>T566*IF($E1146="weekday",INDEX('Category Mapping'!$F$28:$F$39,MATCH('Summarized Source Data'!$A1146,'Category Mapping'!$A$28:$A$39,0),1),INDEX('Category Mapping'!$E$28:$E$39,MATCH($A1146,'Category Mapping'!$A$28:$A$39,0),1))</f>
        <v>52802742.857142851</v>
      </c>
      <c r="U1146" s="27">
        <f>U566*IF($E1146="weekday",INDEX('Category Mapping'!$F$28:$F$39,MATCH('Summarized Source Data'!$A1146,'Category Mapping'!$A$28:$A$39,0),1),INDEX('Category Mapping'!$E$28:$E$39,MATCH($A1146,'Category Mapping'!$A$28:$A$39,0),1))</f>
        <v>52802742.857142851</v>
      </c>
      <c r="V1146" s="27">
        <f>V566*IF($E1146="weekday",INDEX('Category Mapping'!$F$28:$F$39,MATCH('Summarized Source Data'!$A1146,'Category Mapping'!$A$28:$A$39,0),1),INDEX('Category Mapping'!$E$28:$E$39,MATCH($A1146,'Category Mapping'!$A$28:$A$39,0),1))</f>
        <v>52802742.857142851</v>
      </c>
      <c r="W1146" s="27">
        <f>W566*IF($E1146="weekday",INDEX('Category Mapping'!$F$28:$F$39,MATCH('Summarized Source Data'!$A1146,'Category Mapping'!$A$28:$A$39,0),1),INDEX('Category Mapping'!$E$28:$E$39,MATCH($A1146,'Category Mapping'!$A$28:$A$39,0),1))</f>
        <v>52802742.857142851</v>
      </c>
      <c r="X1146" s="27">
        <f>X566*IF($E1146="weekday",INDEX('Category Mapping'!$F$28:$F$39,MATCH('Summarized Source Data'!$A1146,'Category Mapping'!$A$28:$A$39,0),1),INDEX('Category Mapping'!$E$28:$E$39,MATCH($A1146,'Category Mapping'!$A$28:$A$39,0),1))</f>
        <v>2896285714.2857137</v>
      </c>
      <c r="Y1146" s="27">
        <f>Y566*IF($E1146="weekday",INDEX('Category Mapping'!$F$28:$F$39,MATCH('Summarized Source Data'!$A1146,'Category Mapping'!$A$28:$A$39,0),1),INDEX('Category Mapping'!$E$28:$E$39,MATCH($A1146,'Category Mapping'!$A$28:$A$39,0),1))</f>
        <v>2896285714.2857137</v>
      </c>
      <c r="Z1146" s="27">
        <f>Z566*IF($E1146="weekday",INDEX('Category Mapping'!$F$28:$F$39,MATCH('Summarized Source Data'!$A1146,'Category Mapping'!$A$28:$A$39,0),1),INDEX('Category Mapping'!$E$28:$E$39,MATCH($A1146,'Category Mapping'!$A$28:$A$39,0),1))</f>
        <v>2896285714.2857137</v>
      </c>
    </row>
    <row r="1147" spans="1:26" outlineLevel="1" x14ac:dyDescent="0.3">
      <c r="A1147">
        <f t="shared" ref="A1147:E1147" si="612">A567</f>
        <v>12</v>
      </c>
      <c r="B1147" t="str">
        <f t="shared" si="612"/>
        <v>Winter</v>
      </c>
      <c r="C1147" t="str">
        <f t="shared" si="612"/>
        <v>h12</v>
      </c>
      <c r="D1147" t="str">
        <f t="shared" si="612"/>
        <v>Hour11</v>
      </c>
      <c r="E1147" t="str">
        <f t="shared" si="612"/>
        <v>Weekend</v>
      </c>
      <c r="F1147" s="27">
        <f>F567*IF($E1147="weekday",INDEX('Category Mapping'!$F$28:$F$39,MATCH('Summarized Source Data'!$A1147,'Category Mapping'!$A$28:$A$39,0),1),INDEX('Category Mapping'!$E$28:$E$39,MATCH($A1147,'Category Mapping'!$A$28:$A$39,0),1))</f>
        <v>81862373.142857134</v>
      </c>
      <c r="G1147" s="27">
        <f>G567*IF($E1147="weekday",INDEX('Category Mapping'!$F$28:$F$39,MATCH('Summarized Source Data'!$A1147,'Category Mapping'!$A$28:$A$39,0),1),INDEX('Category Mapping'!$E$28:$E$39,MATCH($A1147,'Category Mapping'!$A$28:$A$39,0),1))</f>
        <v>51849.714285714275</v>
      </c>
      <c r="H1147" s="27">
        <f>H567*IF($E1147="weekday",INDEX('Category Mapping'!$F$28:$F$39,MATCH('Summarized Source Data'!$A1147,'Category Mapping'!$A$28:$A$39,0),1),INDEX('Category Mapping'!$E$28:$E$39,MATCH($A1147,'Category Mapping'!$A$28:$A$39,0),1))</f>
        <v>0</v>
      </c>
      <c r="I1147" s="27">
        <f>I567*IF($E1147="weekday",INDEX('Category Mapping'!$F$28:$F$39,MATCH('Summarized Source Data'!$A1147,'Category Mapping'!$A$28:$A$39,0),1),INDEX('Category Mapping'!$E$28:$E$39,MATCH($A1147,'Category Mapping'!$A$28:$A$39,0),1))</f>
        <v>76087710.857142851</v>
      </c>
      <c r="J1147" s="27">
        <f>J567*IF($E1147="weekday",INDEX('Category Mapping'!$F$28:$F$39,MATCH('Summarized Source Data'!$A1147,'Category Mapping'!$A$28:$A$39,0),1),INDEX('Category Mapping'!$E$28:$E$39,MATCH($A1147,'Category Mapping'!$A$28:$A$39,0),1))</f>
        <v>913712351.99999988</v>
      </c>
      <c r="K1147" s="27">
        <f>K567*IF($E1147="weekday",INDEX('Category Mapping'!$F$28:$F$39,MATCH('Summarized Source Data'!$A1147,'Category Mapping'!$A$28:$A$39,0),1),INDEX('Category Mapping'!$E$28:$E$39,MATCH($A1147,'Category Mapping'!$A$28:$A$39,0),1))</f>
        <v>913712351.99999988</v>
      </c>
      <c r="L1147" s="27">
        <f>L567*IF($E1147="weekday",INDEX('Category Mapping'!$F$28:$F$39,MATCH('Summarized Source Data'!$A1147,'Category Mapping'!$A$28:$A$39,0),1),INDEX('Category Mapping'!$E$28:$E$39,MATCH($A1147,'Category Mapping'!$A$28:$A$39,0),1))</f>
        <v>176257142.85714284</v>
      </c>
      <c r="M1147" s="27">
        <f>M567*IF($E1147="weekday",INDEX('Category Mapping'!$F$28:$F$39,MATCH('Summarized Source Data'!$A1147,'Category Mapping'!$A$28:$A$39,0),1),INDEX('Category Mapping'!$E$28:$E$39,MATCH($A1147,'Category Mapping'!$A$28:$A$39,0),1))</f>
        <v>300903.71428571426</v>
      </c>
      <c r="N1147" s="27">
        <f>N567*IF($E1147="weekday",INDEX('Category Mapping'!$F$28:$F$39,MATCH('Summarized Source Data'!$A1147,'Category Mapping'!$A$28:$A$39,0),1),INDEX('Category Mapping'!$E$28:$E$39,MATCH($A1147,'Category Mapping'!$A$28:$A$39,0),1))</f>
        <v>0</v>
      </c>
      <c r="O1147" s="27">
        <f>O567*IF($E1147="weekday",INDEX('Category Mapping'!$F$28:$F$39,MATCH('Summarized Source Data'!$A1147,'Category Mapping'!$A$28:$A$39,0),1),INDEX('Category Mapping'!$E$28:$E$39,MATCH($A1147,'Category Mapping'!$A$28:$A$39,0),1))</f>
        <v>1143156239.1428571</v>
      </c>
      <c r="P1147" s="27">
        <f>P567*IF($E1147="weekday",INDEX('Category Mapping'!$F$28:$F$39,MATCH('Summarized Source Data'!$A1147,'Category Mapping'!$A$28:$A$39,0),1),INDEX('Category Mapping'!$E$28:$E$39,MATCH($A1147,'Category Mapping'!$A$28:$A$39,0),1))</f>
        <v>1143156239.1428571</v>
      </c>
      <c r="Q1147" s="27">
        <f>Q567*IF($E1147="weekday",INDEX('Category Mapping'!$F$28:$F$39,MATCH('Summarized Source Data'!$A1147,'Category Mapping'!$A$28:$A$39,0),1),INDEX('Category Mapping'!$E$28:$E$39,MATCH($A1147,'Category Mapping'!$A$28:$A$39,0),1))</f>
        <v>1143156239.1428571</v>
      </c>
      <c r="R1147" s="27">
        <f>R567*IF($E1147="weekday",INDEX('Category Mapping'!$F$28:$F$39,MATCH('Summarized Source Data'!$A1147,'Category Mapping'!$A$28:$A$39,0),1),INDEX('Category Mapping'!$E$28:$E$39,MATCH($A1147,'Category Mapping'!$A$28:$A$39,0),1))</f>
        <v>54410482.571428567</v>
      </c>
      <c r="S1147" s="27">
        <f>S567*IF($E1147="weekday",INDEX('Category Mapping'!$F$28:$F$39,MATCH('Summarized Source Data'!$A1147,'Category Mapping'!$A$28:$A$39,0),1),INDEX('Category Mapping'!$E$28:$E$39,MATCH($A1147,'Category Mapping'!$A$28:$A$39,0),1))</f>
        <v>54410482.571428567</v>
      </c>
      <c r="T1147" s="27">
        <f>T567*IF($E1147="weekday",INDEX('Category Mapping'!$F$28:$F$39,MATCH('Summarized Source Data'!$A1147,'Category Mapping'!$A$28:$A$39,0),1),INDEX('Category Mapping'!$E$28:$E$39,MATCH($A1147,'Category Mapping'!$A$28:$A$39,0),1))</f>
        <v>54410482.571428567</v>
      </c>
      <c r="U1147" s="27">
        <f>U567*IF($E1147="weekday",INDEX('Category Mapping'!$F$28:$F$39,MATCH('Summarized Source Data'!$A1147,'Category Mapping'!$A$28:$A$39,0),1),INDEX('Category Mapping'!$E$28:$E$39,MATCH($A1147,'Category Mapping'!$A$28:$A$39,0),1))</f>
        <v>54410482.571428567</v>
      </c>
      <c r="V1147" s="27">
        <f>V567*IF($E1147="weekday",INDEX('Category Mapping'!$F$28:$F$39,MATCH('Summarized Source Data'!$A1147,'Category Mapping'!$A$28:$A$39,0),1),INDEX('Category Mapping'!$E$28:$E$39,MATCH($A1147,'Category Mapping'!$A$28:$A$39,0),1))</f>
        <v>54410482.571428567</v>
      </c>
      <c r="W1147" s="27">
        <f>W567*IF($E1147="weekday",INDEX('Category Mapping'!$F$28:$F$39,MATCH('Summarized Source Data'!$A1147,'Category Mapping'!$A$28:$A$39,0),1),INDEX('Category Mapping'!$E$28:$E$39,MATCH($A1147,'Category Mapping'!$A$28:$A$39,0),1))</f>
        <v>54410482.571428567</v>
      </c>
      <c r="X1147" s="27">
        <f>X567*IF($E1147="weekday",INDEX('Category Mapping'!$F$28:$F$39,MATCH('Summarized Source Data'!$A1147,'Category Mapping'!$A$28:$A$39,0),1),INDEX('Category Mapping'!$E$28:$E$39,MATCH($A1147,'Category Mapping'!$A$28:$A$39,0),1))</f>
        <v>2887428571.4285712</v>
      </c>
      <c r="Y1147" s="27">
        <f>Y567*IF($E1147="weekday",INDEX('Category Mapping'!$F$28:$F$39,MATCH('Summarized Source Data'!$A1147,'Category Mapping'!$A$28:$A$39,0),1),INDEX('Category Mapping'!$E$28:$E$39,MATCH($A1147,'Category Mapping'!$A$28:$A$39,0),1))</f>
        <v>2887428571.4285712</v>
      </c>
      <c r="Z1147" s="27">
        <f>Z567*IF($E1147="weekday",INDEX('Category Mapping'!$F$28:$F$39,MATCH('Summarized Source Data'!$A1147,'Category Mapping'!$A$28:$A$39,0),1),INDEX('Category Mapping'!$E$28:$E$39,MATCH($A1147,'Category Mapping'!$A$28:$A$39,0),1))</f>
        <v>2887428571.4285712</v>
      </c>
    </row>
    <row r="1148" spans="1:26" outlineLevel="1" x14ac:dyDescent="0.3">
      <c r="A1148">
        <f t="shared" ref="A1148:E1148" si="613">A568</f>
        <v>12</v>
      </c>
      <c r="B1148" t="str">
        <f t="shared" si="613"/>
        <v>Winter</v>
      </c>
      <c r="C1148" t="str">
        <f t="shared" si="613"/>
        <v>h13</v>
      </c>
      <c r="D1148" t="str">
        <f t="shared" si="613"/>
        <v>Hour12</v>
      </c>
      <c r="E1148" t="str">
        <f t="shared" si="613"/>
        <v>Weekend</v>
      </c>
      <c r="F1148" s="27">
        <f>F568*IF($E1148="weekday",INDEX('Category Mapping'!$F$28:$F$39,MATCH('Summarized Source Data'!$A1148,'Category Mapping'!$A$28:$A$39,0),1),INDEX('Category Mapping'!$E$28:$E$39,MATCH($A1148,'Category Mapping'!$A$28:$A$39,0),1))</f>
        <v>80784821.999999985</v>
      </c>
      <c r="G1148" s="27">
        <f>G568*IF($E1148="weekday",INDEX('Category Mapping'!$F$28:$F$39,MATCH('Summarized Source Data'!$A1148,'Category Mapping'!$A$28:$A$39,0),1),INDEX('Category Mapping'!$E$28:$E$39,MATCH($A1148,'Category Mapping'!$A$28:$A$39,0),1))</f>
        <v>54055.142857142848</v>
      </c>
      <c r="H1148" s="27">
        <f>H568*IF($E1148="weekday",INDEX('Category Mapping'!$F$28:$F$39,MATCH('Summarized Source Data'!$A1148,'Category Mapping'!$A$28:$A$39,0),1),INDEX('Category Mapping'!$E$28:$E$39,MATCH($A1148,'Category Mapping'!$A$28:$A$39,0),1))</f>
        <v>0</v>
      </c>
      <c r="I1148" s="27">
        <f>I568*IF($E1148="weekday",INDEX('Category Mapping'!$F$28:$F$39,MATCH('Summarized Source Data'!$A1148,'Category Mapping'!$A$28:$A$39,0),1),INDEX('Category Mapping'!$E$28:$E$39,MATCH($A1148,'Category Mapping'!$A$28:$A$39,0),1))</f>
        <v>78732055.142857134</v>
      </c>
      <c r="J1148" s="27">
        <f>J568*IF($E1148="weekday",INDEX('Category Mapping'!$F$28:$F$39,MATCH('Summarized Source Data'!$A1148,'Category Mapping'!$A$28:$A$39,0),1),INDEX('Category Mapping'!$E$28:$E$39,MATCH($A1148,'Category Mapping'!$A$28:$A$39,0),1))</f>
        <v>832429067.71428561</v>
      </c>
      <c r="K1148" s="27">
        <f>K568*IF($E1148="weekday",INDEX('Category Mapping'!$F$28:$F$39,MATCH('Summarized Source Data'!$A1148,'Category Mapping'!$A$28:$A$39,0),1),INDEX('Category Mapping'!$E$28:$E$39,MATCH($A1148,'Category Mapping'!$A$28:$A$39,0),1))</f>
        <v>832429067.71428561</v>
      </c>
      <c r="L1148" s="27">
        <f>L568*IF($E1148="weekday",INDEX('Category Mapping'!$F$28:$F$39,MATCH('Summarized Source Data'!$A1148,'Category Mapping'!$A$28:$A$39,0),1),INDEX('Category Mapping'!$E$28:$E$39,MATCH($A1148,'Category Mapping'!$A$28:$A$39,0),1))</f>
        <v>161199999.99999997</v>
      </c>
      <c r="M1148" s="27">
        <f>M568*IF($E1148="weekday",INDEX('Category Mapping'!$F$28:$F$39,MATCH('Summarized Source Data'!$A1148,'Category Mapping'!$A$28:$A$39,0),1),INDEX('Category Mapping'!$E$28:$E$39,MATCH($A1148,'Category Mapping'!$A$28:$A$39,0),1))</f>
        <v>302559.99999999994</v>
      </c>
      <c r="N1148" s="27">
        <f>N568*IF($E1148="weekday",INDEX('Category Mapping'!$F$28:$F$39,MATCH('Summarized Source Data'!$A1148,'Category Mapping'!$A$28:$A$39,0),1),INDEX('Category Mapping'!$E$28:$E$39,MATCH($A1148,'Category Mapping'!$A$28:$A$39,0),1))</f>
        <v>0</v>
      </c>
      <c r="O1148" s="27">
        <f>O568*IF($E1148="weekday",INDEX('Category Mapping'!$F$28:$F$39,MATCH('Summarized Source Data'!$A1148,'Category Mapping'!$A$28:$A$39,0),1),INDEX('Category Mapping'!$E$28:$E$39,MATCH($A1148,'Category Mapping'!$A$28:$A$39,0),1))</f>
        <v>1140497439.9999998</v>
      </c>
      <c r="P1148" s="27">
        <f>P568*IF($E1148="weekday",INDEX('Category Mapping'!$F$28:$F$39,MATCH('Summarized Source Data'!$A1148,'Category Mapping'!$A$28:$A$39,0),1),INDEX('Category Mapping'!$E$28:$E$39,MATCH($A1148,'Category Mapping'!$A$28:$A$39,0),1))</f>
        <v>1140497439.9999998</v>
      </c>
      <c r="Q1148" s="27">
        <f>Q568*IF($E1148="weekday",INDEX('Category Mapping'!$F$28:$F$39,MATCH('Summarized Source Data'!$A1148,'Category Mapping'!$A$28:$A$39,0),1),INDEX('Category Mapping'!$E$28:$E$39,MATCH($A1148,'Category Mapping'!$A$28:$A$39,0),1))</f>
        <v>1140497439.9999998</v>
      </c>
      <c r="R1148" s="27">
        <f>R568*IF($E1148="weekday",INDEX('Category Mapping'!$F$28:$F$39,MATCH('Summarized Source Data'!$A1148,'Category Mapping'!$A$28:$A$39,0),1),INDEX('Category Mapping'!$E$28:$E$39,MATCH($A1148,'Category Mapping'!$A$28:$A$39,0),1))</f>
        <v>53206238.857142851</v>
      </c>
      <c r="S1148" s="27">
        <f>S568*IF($E1148="weekday",INDEX('Category Mapping'!$F$28:$F$39,MATCH('Summarized Source Data'!$A1148,'Category Mapping'!$A$28:$A$39,0),1),INDEX('Category Mapping'!$E$28:$E$39,MATCH($A1148,'Category Mapping'!$A$28:$A$39,0),1))</f>
        <v>53206238.857142851</v>
      </c>
      <c r="T1148" s="27">
        <f>T568*IF($E1148="weekday",INDEX('Category Mapping'!$F$28:$F$39,MATCH('Summarized Source Data'!$A1148,'Category Mapping'!$A$28:$A$39,0),1),INDEX('Category Mapping'!$E$28:$E$39,MATCH($A1148,'Category Mapping'!$A$28:$A$39,0),1))</f>
        <v>53206238.857142851</v>
      </c>
      <c r="U1148" s="27">
        <f>U568*IF($E1148="weekday",INDEX('Category Mapping'!$F$28:$F$39,MATCH('Summarized Source Data'!$A1148,'Category Mapping'!$A$28:$A$39,0),1),INDEX('Category Mapping'!$E$28:$E$39,MATCH($A1148,'Category Mapping'!$A$28:$A$39,0),1))</f>
        <v>53206238.857142851</v>
      </c>
      <c r="V1148" s="27">
        <f>V568*IF($E1148="weekday",INDEX('Category Mapping'!$F$28:$F$39,MATCH('Summarized Source Data'!$A1148,'Category Mapping'!$A$28:$A$39,0),1),INDEX('Category Mapping'!$E$28:$E$39,MATCH($A1148,'Category Mapping'!$A$28:$A$39,0),1))</f>
        <v>53206238.857142851</v>
      </c>
      <c r="W1148" s="27">
        <f>W568*IF($E1148="weekday",INDEX('Category Mapping'!$F$28:$F$39,MATCH('Summarized Source Data'!$A1148,'Category Mapping'!$A$28:$A$39,0),1),INDEX('Category Mapping'!$E$28:$E$39,MATCH($A1148,'Category Mapping'!$A$28:$A$39,0),1))</f>
        <v>53206238.857142851</v>
      </c>
      <c r="X1148" s="27">
        <f>X568*IF($E1148="weekday",INDEX('Category Mapping'!$F$28:$F$39,MATCH('Summarized Source Data'!$A1148,'Category Mapping'!$A$28:$A$39,0),1),INDEX('Category Mapping'!$E$28:$E$39,MATCH($A1148,'Category Mapping'!$A$28:$A$39,0),1))</f>
        <v>2887428571.4285712</v>
      </c>
      <c r="Y1148" s="27">
        <f>Y568*IF($E1148="weekday",INDEX('Category Mapping'!$F$28:$F$39,MATCH('Summarized Source Data'!$A1148,'Category Mapping'!$A$28:$A$39,0),1),INDEX('Category Mapping'!$E$28:$E$39,MATCH($A1148,'Category Mapping'!$A$28:$A$39,0),1))</f>
        <v>2887428571.4285712</v>
      </c>
      <c r="Z1148" s="27">
        <f>Z568*IF($E1148="weekday",INDEX('Category Mapping'!$F$28:$F$39,MATCH('Summarized Source Data'!$A1148,'Category Mapping'!$A$28:$A$39,0),1),INDEX('Category Mapping'!$E$28:$E$39,MATCH($A1148,'Category Mapping'!$A$28:$A$39,0),1))</f>
        <v>2887428571.4285712</v>
      </c>
    </row>
    <row r="1149" spans="1:26" outlineLevel="1" x14ac:dyDescent="0.3">
      <c r="A1149">
        <f t="shared" ref="A1149:E1149" si="614">A569</f>
        <v>12</v>
      </c>
      <c r="B1149" t="str">
        <f t="shared" si="614"/>
        <v>Winter</v>
      </c>
      <c r="C1149" t="str">
        <f t="shared" si="614"/>
        <v>h14</v>
      </c>
      <c r="D1149" t="str">
        <f t="shared" si="614"/>
        <v>Hour13</v>
      </c>
      <c r="E1149" t="str">
        <f t="shared" si="614"/>
        <v>Weekend</v>
      </c>
      <c r="F1149" s="27">
        <f>F569*IF($E1149="weekday",INDEX('Category Mapping'!$F$28:$F$39,MATCH('Summarized Source Data'!$A1149,'Category Mapping'!$A$28:$A$39,0),1),INDEX('Category Mapping'!$E$28:$E$39,MATCH($A1149,'Category Mapping'!$A$28:$A$39,0),1))</f>
        <v>79211350.571428567</v>
      </c>
      <c r="G1149" s="27">
        <f>G569*IF($E1149="weekday",INDEX('Category Mapping'!$F$28:$F$39,MATCH('Summarized Source Data'!$A1149,'Category Mapping'!$A$28:$A$39,0),1),INDEX('Category Mapping'!$E$28:$E$39,MATCH($A1149,'Category Mapping'!$A$28:$A$39,0),1))</f>
        <v>54568.857142857138</v>
      </c>
      <c r="H1149" s="27">
        <f>H569*IF($E1149="weekday",INDEX('Category Mapping'!$F$28:$F$39,MATCH('Summarized Source Data'!$A1149,'Category Mapping'!$A$28:$A$39,0),1),INDEX('Category Mapping'!$E$28:$E$39,MATCH($A1149,'Category Mapping'!$A$28:$A$39,0),1))</f>
        <v>0</v>
      </c>
      <c r="I1149" s="27">
        <f>I569*IF($E1149="weekday",INDEX('Category Mapping'!$F$28:$F$39,MATCH('Summarized Source Data'!$A1149,'Category Mapping'!$A$28:$A$39,0),1),INDEX('Category Mapping'!$E$28:$E$39,MATCH($A1149,'Category Mapping'!$A$28:$A$39,0),1))</f>
        <v>78631163.428571418</v>
      </c>
      <c r="J1149" s="27">
        <f>J569*IF($E1149="weekday",INDEX('Category Mapping'!$F$28:$F$39,MATCH('Summarized Source Data'!$A1149,'Category Mapping'!$A$28:$A$39,0),1),INDEX('Category Mapping'!$E$28:$E$39,MATCH($A1149,'Category Mapping'!$A$28:$A$39,0),1))</f>
        <v>727817202.85714281</v>
      </c>
      <c r="K1149" s="27">
        <f>K569*IF($E1149="weekday",INDEX('Category Mapping'!$F$28:$F$39,MATCH('Summarized Source Data'!$A1149,'Category Mapping'!$A$28:$A$39,0),1),INDEX('Category Mapping'!$E$28:$E$39,MATCH($A1149,'Category Mapping'!$A$28:$A$39,0),1))</f>
        <v>727817202.85714281</v>
      </c>
      <c r="L1149" s="27">
        <f>L569*IF($E1149="weekday",INDEX('Category Mapping'!$F$28:$F$39,MATCH('Summarized Source Data'!$A1149,'Category Mapping'!$A$28:$A$39,0),1),INDEX('Category Mapping'!$E$28:$E$39,MATCH($A1149,'Category Mapping'!$A$28:$A$39,0),1))</f>
        <v>149685714.28571427</v>
      </c>
      <c r="M1149" s="27">
        <f>M569*IF($E1149="weekday",INDEX('Category Mapping'!$F$28:$F$39,MATCH('Summarized Source Data'!$A1149,'Category Mapping'!$A$28:$A$39,0),1),INDEX('Category Mapping'!$E$28:$E$39,MATCH($A1149,'Category Mapping'!$A$28:$A$39,0),1))</f>
        <v>302559.99999999994</v>
      </c>
      <c r="N1149" s="27">
        <f>N569*IF($E1149="weekday",INDEX('Category Mapping'!$F$28:$F$39,MATCH('Summarized Source Data'!$A1149,'Category Mapping'!$A$28:$A$39,0),1),INDEX('Category Mapping'!$E$28:$E$39,MATCH($A1149,'Category Mapping'!$A$28:$A$39,0),1))</f>
        <v>0</v>
      </c>
      <c r="O1149" s="27">
        <f>O569*IF($E1149="weekday",INDEX('Category Mapping'!$F$28:$F$39,MATCH('Summarized Source Data'!$A1149,'Category Mapping'!$A$28:$A$39,0),1),INDEX('Category Mapping'!$E$28:$E$39,MATCH($A1149,'Category Mapping'!$A$28:$A$39,0),1))</f>
        <v>1090011725.7142856</v>
      </c>
      <c r="P1149" s="27">
        <f>P569*IF($E1149="weekday",INDEX('Category Mapping'!$F$28:$F$39,MATCH('Summarized Source Data'!$A1149,'Category Mapping'!$A$28:$A$39,0),1),INDEX('Category Mapping'!$E$28:$E$39,MATCH($A1149,'Category Mapping'!$A$28:$A$39,0),1))</f>
        <v>1090011725.7142856</v>
      </c>
      <c r="Q1149" s="27">
        <f>Q569*IF($E1149="weekday",INDEX('Category Mapping'!$F$28:$F$39,MATCH('Summarized Source Data'!$A1149,'Category Mapping'!$A$28:$A$39,0),1),INDEX('Category Mapping'!$E$28:$E$39,MATCH($A1149,'Category Mapping'!$A$28:$A$39,0),1))</f>
        <v>1090011725.7142856</v>
      </c>
      <c r="R1149" s="27">
        <f>R569*IF($E1149="weekday",INDEX('Category Mapping'!$F$28:$F$39,MATCH('Summarized Source Data'!$A1149,'Category Mapping'!$A$28:$A$39,0),1),INDEX('Category Mapping'!$E$28:$E$39,MATCH($A1149,'Category Mapping'!$A$28:$A$39,0),1))</f>
        <v>50628402.857142851</v>
      </c>
      <c r="S1149" s="27">
        <f>S569*IF($E1149="weekday",INDEX('Category Mapping'!$F$28:$F$39,MATCH('Summarized Source Data'!$A1149,'Category Mapping'!$A$28:$A$39,0),1),INDEX('Category Mapping'!$E$28:$E$39,MATCH($A1149,'Category Mapping'!$A$28:$A$39,0),1))</f>
        <v>50628402.857142851</v>
      </c>
      <c r="T1149" s="27">
        <f>T569*IF($E1149="weekday",INDEX('Category Mapping'!$F$28:$F$39,MATCH('Summarized Source Data'!$A1149,'Category Mapping'!$A$28:$A$39,0),1),INDEX('Category Mapping'!$E$28:$E$39,MATCH($A1149,'Category Mapping'!$A$28:$A$39,0),1))</f>
        <v>50628402.857142851</v>
      </c>
      <c r="U1149" s="27">
        <f>U569*IF($E1149="weekday",INDEX('Category Mapping'!$F$28:$F$39,MATCH('Summarized Source Data'!$A1149,'Category Mapping'!$A$28:$A$39,0),1),INDEX('Category Mapping'!$E$28:$E$39,MATCH($A1149,'Category Mapping'!$A$28:$A$39,0),1))</f>
        <v>50628402.857142851</v>
      </c>
      <c r="V1149" s="27">
        <f>V569*IF($E1149="weekday",INDEX('Category Mapping'!$F$28:$F$39,MATCH('Summarized Source Data'!$A1149,'Category Mapping'!$A$28:$A$39,0),1),INDEX('Category Mapping'!$E$28:$E$39,MATCH($A1149,'Category Mapping'!$A$28:$A$39,0),1))</f>
        <v>50628402.857142851</v>
      </c>
      <c r="W1149" s="27">
        <f>W569*IF($E1149="weekday",INDEX('Category Mapping'!$F$28:$F$39,MATCH('Summarized Source Data'!$A1149,'Category Mapping'!$A$28:$A$39,0),1),INDEX('Category Mapping'!$E$28:$E$39,MATCH($A1149,'Category Mapping'!$A$28:$A$39,0),1))</f>
        <v>50628402.857142851</v>
      </c>
      <c r="X1149" s="27">
        <f>X569*IF($E1149="weekday",INDEX('Category Mapping'!$F$28:$F$39,MATCH('Summarized Source Data'!$A1149,'Category Mapping'!$A$28:$A$39,0),1),INDEX('Category Mapping'!$E$28:$E$39,MATCH($A1149,'Category Mapping'!$A$28:$A$39,0),1))</f>
        <v>2887428571.4285712</v>
      </c>
      <c r="Y1149" s="27">
        <f>Y569*IF($E1149="weekday",INDEX('Category Mapping'!$F$28:$F$39,MATCH('Summarized Source Data'!$A1149,'Category Mapping'!$A$28:$A$39,0),1),INDEX('Category Mapping'!$E$28:$E$39,MATCH($A1149,'Category Mapping'!$A$28:$A$39,0),1))</f>
        <v>2887428571.4285712</v>
      </c>
      <c r="Z1149" s="27">
        <f>Z569*IF($E1149="weekday",INDEX('Category Mapping'!$F$28:$F$39,MATCH('Summarized Source Data'!$A1149,'Category Mapping'!$A$28:$A$39,0),1),INDEX('Category Mapping'!$E$28:$E$39,MATCH($A1149,'Category Mapping'!$A$28:$A$39,0),1))</f>
        <v>2887428571.4285712</v>
      </c>
    </row>
    <row r="1150" spans="1:26" outlineLevel="1" x14ac:dyDescent="0.3">
      <c r="A1150">
        <f t="shared" ref="A1150:E1150" si="615">A570</f>
        <v>12</v>
      </c>
      <c r="B1150" t="str">
        <f t="shared" si="615"/>
        <v>Winter</v>
      </c>
      <c r="C1150" t="str">
        <f t="shared" si="615"/>
        <v>h15</v>
      </c>
      <c r="D1150" t="str">
        <f t="shared" si="615"/>
        <v>Hour14</v>
      </c>
      <c r="E1150" t="str">
        <f t="shared" si="615"/>
        <v>Weekend</v>
      </c>
      <c r="F1150" s="27">
        <f>F570*IF($E1150="weekday",INDEX('Category Mapping'!$F$28:$F$39,MATCH('Summarized Source Data'!$A1150,'Category Mapping'!$A$28:$A$39,0),1),INDEX('Category Mapping'!$E$28:$E$39,MATCH($A1150,'Category Mapping'!$A$28:$A$39,0),1))</f>
        <v>78272103.714285702</v>
      </c>
      <c r="G1150" s="27">
        <f>G570*IF($E1150="weekday",INDEX('Category Mapping'!$F$28:$F$39,MATCH('Summarized Source Data'!$A1150,'Category Mapping'!$A$28:$A$39,0),1),INDEX('Category Mapping'!$E$28:$E$39,MATCH($A1150,'Category Mapping'!$A$28:$A$39,0),1))</f>
        <v>54453.714285714275</v>
      </c>
      <c r="H1150" s="27">
        <f>H570*IF($E1150="weekday",INDEX('Category Mapping'!$F$28:$F$39,MATCH('Summarized Source Data'!$A1150,'Category Mapping'!$A$28:$A$39,0),1),INDEX('Category Mapping'!$E$28:$E$39,MATCH($A1150,'Category Mapping'!$A$28:$A$39,0),1))</f>
        <v>0</v>
      </c>
      <c r="I1150" s="27">
        <f>I570*IF($E1150="weekday",INDEX('Category Mapping'!$F$28:$F$39,MATCH('Summarized Source Data'!$A1150,'Category Mapping'!$A$28:$A$39,0),1),INDEX('Category Mapping'!$E$28:$E$39,MATCH($A1150,'Category Mapping'!$A$28:$A$39,0),1))</f>
        <v>77803817.714285702</v>
      </c>
      <c r="J1150" s="27">
        <f>J570*IF($E1150="weekday",INDEX('Category Mapping'!$F$28:$F$39,MATCH('Summarized Source Data'!$A1150,'Category Mapping'!$A$28:$A$39,0),1),INDEX('Category Mapping'!$E$28:$E$39,MATCH($A1150,'Category Mapping'!$A$28:$A$39,0),1))</f>
        <v>765012481.99999988</v>
      </c>
      <c r="K1150" s="27">
        <f>K570*IF($E1150="weekday",INDEX('Category Mapping'!$F$28:$F$39,MATCH('Summarized Source Data'!$A1150,'Category Mapping'!$A$28:$A$39,0),1),INDEX('Category Mapping'!$E$28:$E$39,MATCH($A1150,'Category Mapping'!$A$28:$A$39,0),1))</f>
        <v>765012481.99999988</v>
      </c>
      <c r="L1150" s="27">
        <f>L570*IF($E1150="weekday",INDEX('Category Mapping'!$F$28:$F$39,MATCH('Summarized Source Data'!$A1150,'Category Mapping'!$A$28:$A$39,0),1),INDEX('Category Mapping'!$E$28:$E$39,MATCH($A1150,'Category Mapping'!$A$28:$A$39,0),1))</f>
        <v>143485714.28571427</v>
      </c>
      <c r="M1150" s="27">
        <f>M570*IF($E1150="weekday",INDEX('Category Mapping'!$F$28:$F$39,MATCH('Summarized Source Data'!$A1150,'Category Mapping'!$A$28:$A$39,0),1),INDEX('Category Mapping'!$E$28:$E$39,MATCH($A1150,'Category Mapping'!$A$28:$A$39,0),1))</f>
        <v>302559.99999999994</v>
      </c>
      <c r="N1150" s="27">
        <f>N570*IF($E1150="weekday",INDEX('Category Mapping'!$F$28:$F$39,MATCH('Summarized Source Data'!$A1150,'Category Mapping'!$A$28:$A$39,0),1),INDEX('Category Mapping'!$E$28:$E$39,MATCH($A1150,'Category Mapping'!$A$28:$A$39,0),1))</f>
        <v>0</v>
      </c>
      <c r="O1150" s="27">
        <f>O570*IF($E1150="weekday",INDEX('Category Mapping'!$F$28:$F$39,MATCH('Summarized Source Data'!$A1150,'Category Mapping'!$A$28:$A$39,0),1),INDEX('Category Mapping'!$E$28:$E$39,MATCH($A1150,'Category Mapping'!$A$28:$A$39,0),1))</f>
        <v>1043068868.5714284</v>
      </c>
      <c r="P1150" s="27">
        <f>P570*IF($E1150="weekday",INDEX('Category Mapping'!$F$28:$F$39,MATCH('Summarized Source Data'!$A1150,'Category Mapping'!$A$28:$A$39,0),1),INDEX('Category Mapping'!$E$28:$E$39,MATCH($A1150,'Category Mapping'!$A$28:$A$39,0),1))</f>
        <v>1043068868.5714284</v>
      </c>
      <c r="Q1150" s="27">
        <f>Q570*IF($E1150="weekday",INDEX('Category Mapping'!$F$28:$F$39,MATCH('Summarized Source Data'!$A1150,'Category Mapping'!$A$28:$A$39,0),1),INDEX('Category Mapping'!$E$28:$E$39,MATCH($A1150,'Category Mapping'!$A$28:$A$39,0),1))</f>
        <v>1043068868.5714284</v>
      </c>
      <c r="R1150" s="27">
        <f>R570*IF($E1150="weekday",INDEX('Category Mapping'!$F$28:$F$39,MATCH('Summarized Source Data'!$A1150,'Category Mapping'!$A$28:$A$39,0),1),INDEX('Category Mapping'!$E$28:$E$39,MATCH($A1150,'Category Mapping'!$A$28:$A$39,0),1))</f>
        <v>50006046.857142851</v>
      </c>
      <c r="S1150" s="27">
        <f>S570*IF($E1150="weekday",INDEX('Category Mapping'!$F$28:$F$39,MATCH('Summarized Source Data'!$A1150,'Category Mapping'!$A$28:$A$39,0),1),INDEX('Category Mapping'!$E$28:$E$39,MATCH($A1150,'Category Mapping'!$A$28:$A$39,0),1))</f>
        <v>50006046.857142851</v>
      </c>
      <c r="T1150" s="27">
        <f>T570*IF($E1150="weekday",INDEX('Category Mapping'!$F$28:$F$39,MATCH('Summarized Source Data'!$A1150,'Category Mapping'!$A$28:$A$39,0),1),INDEX('Category Mapping'!$E$28:$E$39,MATCH($A1150,'Category Mapping'!$A$28:$A$39,0),1))</f>
        <v>50006046.857142851</v>
      </c>
      <c r="U1150" s="27">
        <f>U570*IF($E1150="weekday",INDEX('Category Mapping'!$F$28:$F$39,MATCH('Summarized Source Data'!$A1150,'Category Mapping'!$A$28:$A$39,0),1),INDEX('Category Mapping'!$E$28:$E$39,MATCH($A1150,'Category Mapping'!$A$28:$A$39,0),1))</f>
        <v>50006046.857142851</v>
      </c>
      <c r="V1150" s="27">
        <f>V570*IF($E1150="weekday",INDEX('Category Mapping'!$F$28:$F$39,MATCH('Summarized Source Data'!$A1150,'Category Mapping'!$A$28:$A$39,0),1),INDEX('Category Mapping'!$E$28:$E$39,MATCH($A1150,'Category Mapping'!$A$28:$A$39,0),1))</f>
        <v>50006046.857142851</v>
      </c>
      <c r="W1150" s="27">
        <f>W570*IF($E1150="weekday",INDEX('Category Mapping'!$F$28:$F$39,MATCH('Summarized Source Data'!$A1150,'Category Mapping'!$A$28:$A$39,0),1),INDEX('Category Mapping'!$E$28:$E$39,MATCH($A1150,'Category Mapping'!$A$28:$A$39,0),1))</f>
        <v>50006046.857142851</v>
      </c>
      <c r="X1150" s="27">
        <f>X570*IF($E1150="weekday",INDEX('Category Mapping'!$F$28:$F$39,MATCH('Summarized Source Data'!$A1150,'Category Mapping'!$A$28:$A$39,0),1),INDEX('Category Mapping'!$E$28:$E$39,MATCH($A1150,'Category Mapping'!$A$28:$A$39,0),1))</f>
        <v>2905142857.1428566</v>
      </c>
      <c r="Y1150" s="27">
        <f>Y570*IF($E1150="weekday",INDEX('Category Mapping'!$F$28:$F$39,MATCH('Summarized Source Data'!$A1150,'Category Mapping'!$A$28:$A$39,0),1),INDEX('Category Mapping'!$E$28:$E$39,MATCH($A1150,'Category Mapping'!$A$28:$A$39,0),1))</f>
        <v>2905142857.1428566</v>
      </c>
      <c r="Z1150" s="27">
        <f>Z570*IF($E1150="weekday",INDEX('Category Mapping'!$F$28:$F$39,MATCH('Summarized Source Data'!$A1150,'Category Mapping'!$A$28:$A$39,0),1),INDEX('Category Mapping'!$E$28:$E$39,MATCH($A1150,'Category Mapping'!$A$28:$A$39,0),1))</f>
        <v>2905142857.1428566</v>
      </c>
    </row>
    <row r="1151" spans="1:26" outlineLevel="1" x14ac:dyDescent="0.3">
      <c r="A1151">
        <f t="shared" ref="A1151:E1151" si="616">A571</f>
        <v>12</v>
      </c>
      <c r="B1151" t="str">
        <f t="shared" si="616"/>
        <v>Winter</v>
      </c>
      <c r="C1151" t="str">
        <f t="shared" si="616"/>
        <v>h16</v>
      </c>
      <c r="D1151" t="str">
        <f t="shared" si="616"/>
        <v>Hour15</v>
      </c>
      <c r="E1151" t="str">
        <f t="shared" si="616"/>
        <v>Weekend</v>
      </c>
      <c r="F1151" s="27">
        <f>F571*IF($E1151="weekday",INDEX('Category Mapping'!$F$28:$F$39,MATCH('Summarized Source Data'!$A1151,'Category Mapping'!$A$28:$A$39,0),1),INDEX('Category Mapping'!$E$28:$E$39,MATCH($A1151,'Category Mapping'!$A$28:$A$39,0),1))</f>
        <v>78889535.142857134</v>
      </c>
      <c r="G1151" s="27">
        <f>G571*IF($E1151="weekday",INDEX('Category Mapping'!$F$28:$F$39,MATCH('Summarized Source Data'!$A1151,'Category Mapping'!$A$28:$A$39,0),1),INDEX('Category Mapping'!$E$28:$E$39,MATCH($A1151,'Category Mapping'!$A$28:$A$39,0),1))</f>
        <v>54276.57142857142</v>
      </c>
      <c r="H1151" s="27">
        <f>H571*IF($E1151="weekday",INDEX('Category Mapping'!$F$28:$F$39,MATCH('Summarized Source Data'!$A1151,'Category Mapping'!$A$28:$A$39,0),1),INDEX('Category Mapping'!$E$28:$E$39,MATCH($A1151,'Category Mapping'!$A$28:$A$39,0),1))</f>
        <v>0</v>
      </c>
      <c r="I1151" s="27">
        <f>I571*IF($E1151="weekday",INDEX('Category Mapping'!$F$28:$F$39,MATCH('Summarized Source Data'!$A1151,'Category Mapping'!$A$28:$A$39,0),1),INDEX('Category Mapping'!$E$28:$E$39,MATCH($A1151,'Category Mapping'!$A$28:$A$39,0),1))</f>
        <v>77999064.571428567</v>
      </c>
      <c r="J1151" s="27">
        <f>J571*IF($E1151="weekday",INDEX('Category Mapping'!$F$28:$F$39,MATCH('Summarized Source Data'!$A1151,'Category Mapping'!$A$28:$A$39,0),1),INDEX('Category Mapping'!$E$28:$E$39,MATCH($A1151,'Category Mapping'!$A$28:$A$39,0),1))</f>
        <v>790771409.42857134</v>
      </c>
      <c r="K1151" s="27">
        <f>K571*IF($E1151="weekday",INDEX('Category Mapping'!$F$28:$F$39,MATCH('Summarized Source Data'!$A1151,'Category Mapping'!$A$28:$A$39,0),1),INDEX('Category Mapping'!$E$28:$E$39,MATCH($A1151,'Category Mapping'!$A$28:$A$39,0),1))</f>
        <v>790771409.42857134</v>
      </c>
      <c r="L1151" s="27">
        <f>L571*IF($E1151="weekday",INDEX('Category Mapping'!$F$28:$F$39,MATCH('Summarized Source Data'!$A1151,'Category Mapping'!$A$28:$A$39,0),1),INDEX('Category Mapping'!$E$28:$E$39,MATCH($A1151,'Category Mapping'!$A$28:$A$39,0),1))</f>
        <v>148799999.99999997</v>
      </c>
      <c r="M1151" s="27">
        <f>M571*IF($E1151="weekday",INDEX('Category Mapping'!$F$28:$F$39,MATCH('Summarized Source Data'!$A1151,'Category Mapping'!$A$28:$A$39,0),1),INDEX('Category Mapping'!$E$28:$E$39,MATCH($A1151,'Category Mapping'!$A$28:$A$39,0),1))</f>
        <v>302621.99999999994</v>
      </c>
      <c r="N1151" s="27">
        <f>N571*IF($E1151="weekday",INDEX('Category Mapping'!$F$28:$F$39,MATCH('Summarized Source Data'!$A1151,'Category Mapping'!$A$28:$A$39,0),1),INDEX('Category Mapping'!$E$28:$E$39,MATCH($A1151,'Category Mapping'!$A$28:$A$39,0),1))</f>
        <v>0</v>
      </c>
      <c r="O1151" s="27">
        <f>O571*IF($E1151="weekday",INDEX('Category Mapping'!$F$28:$F$39,MATCH('Summarized Source Data'!$A1151,'Category Mapping'!$A$28:$A$39,0),1),INDEX('Category Mapping'!$E$28:$E$39,MATCH($A1151,'Category Mapping'!$A$28:$A$39,0),1))</f>
        <v>966897377.99999988</v>
      </c>
      <c r="P1151" s="27">
        <f>P571*IF($E1151="weekday",INDEX('Category Mapping'!$F$28:$F$39,MATCH('Summarized Source Data'!$A1151,'Category Mapping'!$A$28:$A$39,0),1),INDEX('Category Mapping'!$E$28:$E$39,MATCH($A1151,'Category Mapping'!$A$28:$A$39,0),1))</f>
        <v>966897377.99999988</v>
      </c>
      <c r="Q1151" s="27">
        <f>Q571*IF($E1151="weekday",INDEX('Category Mapping'!$F$28:$F$39,MATCH('Summarized Source Data'!$A1151,'Category Mapping'!$A$28:$A$39,0),1),INDEX('Category Mapping'!$E$28:$E$39,MATCH($A1151,'Category Mapping'!$A$28:$A$39,0),1))</f>
        <v>966897377.99999988</v>
      </c>
      <c r="R1151" s="27">
        <f>R571*IF($E1151="weekday",INDEX('Category Mapping'!$F$28:$F$39,MATCH('Summarized Source Data'!$A1151,'Category Mapping'!$A$28:$A$39,0),1),INDEX('Category Mapping'!$E$28:$E$39,MATCH($A1151,'Category Mapping'!$A$28:$A$39,0),1))</f>
        <v>49072521.714285709</v>
      </c>
      <c r="S1151" s="27">
        <f>S571*IF($E1151="weekday",INDEX('Category Mapping'!$F$28:$F$39,MATCH('Summarized Source Data'!$A1151,'Category Mapping'!$A$28:$A$39,0),1),INDEX('Category Mapping'!$E$28:$E$39,MATCH($A1151,'Category Mapping'!$A$28:$A$39,0),1))</f>
        <v>49072521.714285709</v>
      </c>
      <c r="T1151" s="27">
        <f>T571*IF($E1151="weekday",INDEX('Category Mapping'!$F$28:$F$39,MATCH('Summarized Source Data'!$A1151,'Category Mapping'!$A$28:$A$39,0),1),INDEX('Category Mapping'!$E$28:$E$39,MATCH($A1151,'Category Mapping'!$A$28:$A$39,0),1))</f>
        <v>49072521.714285709</v>
      </c>
      <c r="U1151" s="27">
        <f>U571*IF($E1151="weekday",INDEX('Category Mapping'!$F$28:$F$39,MATCH('Summarized Source Data'!$A1151,'Category Mapping'!$A$28:$A$39,0),1),INDEX('Category Mapping'!$E$28:$E$39,MATCH($A1151,'Category Mapping'!$A$28:$A$39,0),1))</f>
        <v>49072521.714285709</v>
      </c>
      <c r="V1151" s="27">
        <f>V571*IF($E1151="weekday",INDEX('Category Mapping'!$F$28:$F$39,MATCH('Summarized Source Data'!$A1151,'Category Mapping'!$A$28:$A$39,0),1),INDEX('Category Mapping'!$E$28:$E$39,MATCH($A1151,'Category Mapping'!$A$28:$A$39,0),1))</f>
        <v>49072521.714285709</v>
      </c>
      <c r="W1151" s="27">
        <f>W571*IF($E1151="weekday",INDEX('Category Mapping'!$F$28:$F$39,MATCH('Summarized Source Data'!$A1151,'Category Mapping'!$A$28:$A$39,0),1),INDEX('Category Mapping'!$E$28:$E$39,MATCH($A1151,'Category Mapping'!$A$28:$A$39,0),1))</f>
        <v>49072521.714285709</v>
      </c>
      <c r="X1151" s="27">
        <f>X571*IF($E1151="weekday",INDEX('Category Mapping'!$F$28:$F$39,MATCH('Summarized Source Data'!$A1151,'Category Mapping'!$A$28:$A$39,0),1),INDEX('Category Mapping'!$E$28:$E$39,MATCH($A1151,'Category Mapping'!$A$28:$A$39,0),1))</f>
        <v>2931714285.7142854</v>
      </c>
      <c r="Y1151" s="27">
        <f>Y571*IF($E1151="weekday",INDEX('Category Mapping'!$F$28:$F$39,MATCH('Summarized Source Data'!$A1151,'Category Mapping'!$A$28:$A$39,0),1),INDEX('Category Mapping'!$E$28:$E$39,MATCH($A1151,'Category Mapping'!$A$28:$A$39,0),1))</f>
        <v>2931714285.7142854</v>
      </c>
      <c r="Z1151" s="27">
        <f>Z571*IF($E1151="weekday",INDEX('Category Mapping'!$F$28:$F$39,MATCH('Summarized Source Data'!$A1151,'Category Mapping'!$A$28:$A$39,0),1),INDEX('Category Mapping'!$E$28:$E$39,MATCH($A1151,'Category Mapping'!$A$28:$A$39,0),1))</f>
        <v>2931714285.7142854</v>
      </c>
    </row>
    <row r="1152" spans="1:26" outlineLevel="1" x14ac:dyDescent="0.3">
      <c r="A1152">
        <f t="shared" ref="A1152:E1152" si="617">A572</f>
        <v>12</v>
      </c>
      <c r="B1152" t="str">
        <f t="shared" si="617"/>
        <v>Winter</v>
      </c>
      <c r="C1152" t="str">
        <f t="shared" si="617"/>
        <v>h17</v>
      </c>
      <c r="D1152" t="str">
        <f t="shared" si="617"/>
        <v>Hour16</v>
      </c>
      <c r="E1152" t="str">
        <f t="shared" si="617"/>
        <v>Weekend</v>
      </c>
      <c r="F1152" s="27">
        <f>F572*IF($E1152="weekday",INDEX('Category Mapping'!$F$28:$F$39,MATCH('Summarized Source Data'!$A1152,'Category Mapping'!$A$28:$A$39,0),1),INDEX('Category Mapping'!$E$28:$E$39,MATCH($A1152,'Category Mapping'!$A$28:$A$39,0),1))</f>
        <v>81496059.428571418</v>
      </c>
      <c r="G1152" s="27">
        <f>G572*IF($E1152="weekday",INDEX('Category Mapping'!$F$28:$F$39,MATCH('Summarized Source Data'!$A1152,'Category Mapping'!$A$28:$A$39,0),1),INDEX('Category Mapping'!$E$28:$E$39,MATCH($A1152,'Category Mapping'!$A$28:$A$39,0),1))</f>
        <v>54710.57142857142</v>
      </c>
      <c r="H1152" s="27">
        <f>H572*IF($E1152="weekday",INDEX('Category Mapping'!$F$28:$F$39,MATCH('Summarized Source Data'!$A1152,'Category Mapping'!$A$28:$A$39,0),1),INDEX('Category Mapping'!$E$28:$E$39,MATCH($A1152,'Category Mapping'!$A$28:$A$39,0),1))</f>
        <v>0</v>
      </c>
      <c r="I1152" s="27">
        <f>I572*IF($E1152="weekday",INDEX('Category Mapping'!$F$28:$F$39,MATCH('Summarized Source Data'!$A1152,'Category Mapping'!$A$28:$A$39,0),1),INDEX('Category Mapping'!$E$28:$E$39,MATCH($A1152,'Category Mapping'!$A$28:$A$39,0),1))</f>
        <v>267485714.28571424</v>
      </c>
      <c r="J1152" s="27">
        <f>J572*IF($E1152="weekday",INDEX('Category Mapping'!$F$28:$F$39,MATCH('Summarized Source Data'!$A1152,'Category Mapping'!$A$28:$A$39,0),1),INDEX('Category Mapping'!$E$28:$E$39,MATCH($A1152,'Category Mapping'!$A$28:$A$39,0),1))</f>
        <v>846677801.42857134</v>
      </c>
      <c r="K1152" s="27">
        <f>K572*IF($E1152="weekday",INDEX('Category Mapping'!$F$28:$F$39,MATCH('Summarized Source Data'!$A1152,'Category Mapping'!$A$28:$A$39,0),1),INDEX('Category Mapping'!$E$28:$E$39,MATCH($A1152,'Category Mapping'!$A$28:$A$39,0),1))</f>
        <v>846677801.42857134</v>
      </c>
      <c r="L1152" s="27">
        <f>L572*IF($E1152="weekday",INDEX('Category Mapping'!$F$28:$F$39,MATCH('Summarized Source Data'!$A1152,'Category Mapping'!$A$28:$A$39,0),1),INDEX('Category Mapping'!$E$28:$E$39,MATCH($A1152,'Category Mapping'!$A$28:$A$39,0),1))</f>
        <v>149685714.28571427</v>
      </c>
      <c r="M1152" s="27">
        <f>M572*IF($E1152="weekday",INDEX('Category Mapping'!$F$28:$F$39,MATCH('Summarized Source Data'!$A1152,'Category Mapping'!$A$28:$A$39,0),1),INDEX('Category Mapping'!$E$28:$E$39,MATCH($A1152,'Category Mapping'!$A$28:$A$39,0),1))</f>
        <v>299371.42857142852</v>
      </c>
      <c r="N1152" s="27">
        <f>N572*IF($E1152="weekday",INDEX('Category Mapping'!$F$28:$F$39,MATCH('Summarized Source Data'!$A1152,'Category Mapping'!$A$28:$A$39,0),1),INDEX('Category Mapping'!$E$28:$E$39,MATCH($A1152,'Category Mapping'!$A$28:$A$39,0),1))</f>
        <v>0</v>
      </c>
      <c r="O1152" s="27">
        <f>O572*IF($E1152="weekday",INDEX('Category Mapping'!$F$28:$F$39,MATCH('Summarized Source Data'!$A1152,'Category Mapping'!$A$28:$A$39,0),1),INDEX('Category Mapping'!$E$28:$E$39,MATCH($A1152,'Category Mapping'!$A$28:$A$39,0),1))</f>
        <v>921729199.99999988</v>
      </c>
      <c r="P1152" s="27">
        <f>P572*IF($E1152="weekday",INDEX('Category Mapping'!$F$28:$F$39,MATCH('Summarized Source Data'!$A1152,'Category Mapping'!$A$28:$A$39,0),1),INDEX('Category Mapping'!$E$28:$E$39,MATCH($A1152,'Category Mapping'!$A$28:$A$39,0),1))</f>
        <v>921729199.99999988</v>
      </c>
      <c r="Q1152" s="27">
        <f>Q572*IF($E1152="weekday",INDEX('Category Mapping'!$F$28:$F$39,MATCH('Summarized Source Data'!$A1152,'Category Mapping'!$A$28:$A$39,0),1),INDEX('Category Mapping'!$E$28:$E$39,MATCH($A1152,'Category Mapping'!$A$28:$A$39,0),1))</f>
        <v>921729199.99999988</v>
      </c>
      <c r="R1152" s="27">
        <f>R572*IF($E1152="weekday",INDEX('Category Mapping'!$F$28:$F$39,MATCH('Summarized Source Data'!$A1152,'Category Mapping'!$A$28:$A$39,0),1),INDEX('Category Mapping'!$E$28:$E$39,MATCH($A1152,'Category Mapping'!$A$28:$A$39,0),1))</f>
        <v>56294680.285714276</v>
      </c>
      <c r="S1152" s="27">
        <f>S572*IF($E1152="weekday",INDEX('Category Mapping'!$F$28:$F$39,MATCH('Summarized Source Data'!$A1152,'Category Mapping'!$A$28:$A$39,0),1),INDEX('Category Mapping'!$E$28:$E$39,MATCH($A1152,'Category Mapping'!$A$28:$A$39,0),1))</f>
        <v>56294680.285714276</v>
      </c>
      <c r="T1152" s="27">
        <f>T572*IF($E1152="weekday",INDEX('Category Mapping'!$F$28:$F$39,MATCH('Summarized Source Data'!$A1152,'Category Mapping'!$A$28:$A$39,0),1),INDEX('Category Mapping'!$E$28:$E$39,MATCH($A1152,'Category Mapping'!$A$28:$A$39,0),1))</f>
        <v>56294680.285714276</v>
      </c>
      <c r="U1152" s="27">
        <f>U572*IF($E1152="weekday",INDEX('Category Mapping'!$F$28:$F$39,MATCH('Summarized Source Data'!$A1152,'Category Mapping'!$A$28:$A$39,0),1),INDEX('Category Mapping'!$E$28:$E$39,MATCH($A1152,'Category Mapping'!$A$28:$A$39,0),1))</f>
        <v>56294680.285714276</v>
      </c>
      <c r="V1152" s="27">
        <f>V572*IF($E1152="weekday",INDEX('Category Mapping'!$F$28:$F$39,MATCH('Summarized Source Data'!$A1152,'Category Mapping'!$A$28:$A$39,0),1),INDEX('Category Mapping'!$E$28:$E$39,MATCH($A1152,'Category Mapping'!$A$28:$A$39,0),1))</f>
        <v>56294680.285714276</v>
      </c>
      <c r="W1152" s="27">
        <f>W572*IF($E1152="weekday",INDEX('Category Mapping'!$F$28:$F$39,MATCH('Summarized Source Data'!$A1152,'Category Mapping'!$A$28:$A$39,0),1),INDEX('Category Mapping'!$E$28:$E$39,MATCH($A1152,'Category Mapping'!$A$28:$A$39,0),1))</f>
        <v>56294680.285714276</v>
      </c>
      <c r="X1152" s="27">
        <f>X572*IF($E1152="weekday",INDEX('Category Mapping'!$F$28:$F$39,MATCH('Summarized Source Data'!$A1152,'Category Mapping'!$A$28:$A$39,0),1),INDEX('Category Mapping'!$E$28:$E$39,MATCH($A1152,'Category Mapping'!$A$28:$A$39,0),1))</f>
        <v>2967142857.1428566</v>
      </c>
      <c r="Y1152" s="27">
        <f>Y572*IF($E1152="weekday",INDEX('Category Mapping'!$F$28:$F$39,MATCH('Summarized Source Data'!$A1152,'Category Mapping'!$A$28:$A$39,0),1),INDEX('Category Mapping'!$E$28:$E$39,MATCH($A1152,'Category Mapping'!$A$28:$A$39,0),1))</f>
        <v>2967142857.1428566</v>
      </c>
      <c r="Z1152" s="27">
        <f>Z572*IF($E1152="weekday",INDEX('Category Mapping'!$F$28:$F$39,MATCH('Summarized Source Data'!$A1152,'Category Mapping'!$A$28:$A$39,0),1),INDEX('Category Mapping'!$E$28:$E$39,MATCH($A1152,'Category Mapping'!$A$28:$A$39,0),1))</f>
        <v>2967142857.1428566</v>
      </c>
    </row>
    <row r="1153" spans="1:26" outlineLevel="1" x14ac:dyDescent="0.3">
      <c r="A1153">
        <f t="shared" ref="A1153:E1153" si="618">A573</f>
        <v>12</v>
      </c>
      <c r="B1153" t="str">
        <f t="shared" si="618"/>
        <v>Winter</v>
      </c>
      <c r="C1153" t="str">
        <f t="shared" si="618"/>
        <v>h18</v>
      </c>
      <c r="D1153" t="str">
        <f t="shared" si="618"/>
        <v>Hour17</v>
      </c>
      <c r="E1153" t="str">
        <f t="shared" si="618"/>
        <v>Weekend</v>
      </c>
      <c r="F1153" s="27">
        <f>F573*IF($E1153="weekday",INDEX('Category Mapping'!$F$28:$F$39,MATCH('Summarized Source Data'!$A1153,'Category Mapping'!$A$28:$A$39,0),1),INDEX('Category Mapping'!$E$28:$E$39,MATCH($A1153,'Category Mapping'!$A$28:$A$39,0),1))</f>
        <v>85944355.714285702</v>
      </c>
      <c r="G1153" s="27">
        <f>G573*IF($E1153="weekday",INDEX('Category Mapping'!$F$28:$F$39,MATCH('Summarized Source Data'!$A1153,'Category Mapping'!$A$28:$A$39,0),1),INDEX('Category Mapping'!$E$28:$E$39,MATCH($A1153,'Category Mapping'!$A$28:$A$39,0),1))</f>
        <v>56871.714285714275</v>
      </c>
      <c r="H1153" s="27">
        <f>H573*IF($E1153="weekday",INDEX('Category Mapping'!$F$28:$F$39,MATCH('Summarized Source Data'!$A1153,'Category Mapping'!$A$28:$A$39,0),1),INDEX('Category Mapping'!$E$28:$E$39,MATCH($A1153,'Category Mapping'!$A$28:$A$39,0),1))</f>
        <v>0</v>
      </c>
      <c r="I1153" s="27">
        <f>I573*IF($E1153="weekday",INDEX('Category Mapping'!$F$28:$F$39,MATCH('Summarized Source Data'!$A1153,'Category Mapping'!$A$28:$A$39,0),1),INDEX('Category Mapping'!$E$28:$E$39,MATCH($A1153,'Category Mapping'!$A$28:$A$39,0),1))</f>
        <v>280771428.57142854</v>
      </c>
      <c r="J1153" s="27">
        <f>J573*IF($E1153="weekday",INDEX('Category Mapping'!$F$28:$F$39,MATCH('Summarized Source Data'!$A1153,'Category Mapping'!$A$28:$A$39,0),1),INDEX('Category Mapping'!$E$28:$E$39,MATCH($A1153,'Category Mapping'!$A$28:$A$39,0),1))</f>
        <v>855513058.28571415</v>
      </c>
      <c r="K1153" s="27">
        <f>K573*IF($E1153="weekday",INDEX('Category Mapping'!$F$28:$F$39,MATCH('Summarized Source Data'!$A1153,'Category Mapping'!$A$28:$A$39,0),1),INDEX('Category Mapping'!$E$28:$E$39,MATCH($A1153,'Category Mapping'!$A$28:$A$39,0),1))</f>
        <v>855513058.28571415</v>
      </c>
      <c r="L1153" s="27">
        <f>L573*IF($E1153="weekday",INDEX('Category Mapping'!$F$28:$F$39,MATCH('Summarized Source Data'!$A1153,'Category Mapping'!$A$28:$A$39,0),1),INDEX('Category Mapping'!$E$28:$E$39,MATCH($A1153,'Category Mapping'!$A$28:$A$39,0),1))</f>
        <v>164742857.1428571</v>
      </c>
      <c r="M1153" s="27">
        <f>M573*IF($E1153="weekday",INDEX('Category Mapping'!$F$28:$F$39,MATCH('Summarized Source Data'!$A1153,'Category Mapping'!$A$28:$A$39,0),1),INDEX('Category Mapping'!$E$28:$E$39,MATCH($A1153,'Category Mapping'!$A$28:$A$39,0),1))</f>
        <v>292143.99999999994</v>
      </c>
      <c r="N1153" s="27">
        <f>N573*IF($E1153="weekday",INDEX('Category Mapping'!$F$28:$F$39,MATCH('Summarized Source Data'!$A1153,'Category Mapping'!$A$28:$A$39,0),1),INDEX('Category Mapping'!$E$28:$E$39,MATCH($A1153,'Category Mapping'!$A$28:$A$39,0),1))</f>
        <v>0</v>
      </c>
      <c r="O1153" s="27">
        <f>O573*IF($E1153="weekday",INDEX('Category Mapping'!$F$28:$F$39,MATCH('Summarized Source Data'!$A1153,'Category Mapping'!$A$28:$A$39,0),1),INDEX('Category Mapping'!$E$28:$E$39,MATCH($A1153,'Category Mapping'!$A$28:$A$39,0),1))</f>
        <v>933250713.14285696</v>
      </c>
      <c r="P1153" s="27">
        <f>P573*IF($E1153="weekday",INDEX('Category Mapping'!$F$28:$F$39,MATCH('Summarized Source Data'!$A1153,'Category Mapping'!$A$28:$A$39,0),1),INDEX('Category Mapping'!$E$28:$E$39,MATCH($A1153,'Category Mapping'!$A$28:$A$39,0),1))</f>
        <v>933250713.14285696</v>
      </c>
      <c r="Q1153" s="27">
        <f>Q573*IF($E1153="weekday",INDEX('Category Mapping'!$F$28:$F$39,MATCH('Summarized Source Data'!$A1153,'Category Mapping'!$A$28:$A$39,0),1),INDEX('Category Mapping'!$E$28:$E$39,MATCH($A1153,'Category Mapping'!$A$28:$A$39,0),1))</f>
        <v>933250713.14285696</v>
      </c>
      <c r="R1153" s="27">
        <f>R573*IF($E1153="weekday",INDEX('Category Mapping'!$F$28:$F$39,MATCH('Summarized Source Data'!$A1153,'Category Mapping'!$A$28:$A$39,0),1),INDEX('Category Mapping'!$E$28:$E$39,MATCH($A1153,'Category Mapping'!$A$28:$A$39,0),1))</f>
        <v>56346547.714285709</v>
      </c>
      <c r="S1153" s="27">
        <f>S573*IF($E1153="weekday",INDEX('Category Mapping'!$F$28:$F$39,MATCH('Summarized Source Data'!$A1153,'Category Mapping'!$A$28:$A$39,0),1),INDEX('Category Mapping'!$E$28:$E$39,MATCH($A1153,'Category Mapping'!$A$28:$A$39,0),1))</f>
        <v>56346547.714285709</v>
      </c>
      <c r="T1153" s="27">
        <f>T573*IF($E1153="weekday",INDEX('Category Mapping'!$F$28:$F$39,MATCH('Summarized Source Data'!$A1153,'Category Mapping'!$A$28:$A$39,0),1),INDEX('Category Mapping'!$E$28:$E$39,MATCH($A1153,'Category Mapping'!$A$28:$A$39,0),1))</f>
        <v>56346547.714285709</v>
      </c>
      <c r="U1153" s="27">
        <f>U573*IF($E1153="weekday",INDEX('Category Mapping'!$F$28:$F$39,MATCH('Summarized Source Data'!$A1153,'Category Mapping'!$A$28:$A$39,0),1),INDEX('Category Mapping'!$E$28:$E$39,MATCH($A1153,'Category Mapping'!$A$28:$A$39,0),1))</f>
        <v>56346547.714285709</v>
      </c>
      <c r="V1153" s="27">
        <f>V573*IF($E1153="weekday",INDEX('Category Mapping'!$F$28:$F$39,MATCH('Summarized Source Data'!$A1153,'Category Mapping'!$A$28:$A$39,0),1),INDEX('Category Mapping'!$E$28:$E$39,MATCH($A1153,'Category Mapping'!$A$28:$A$39,0),1))</f>
        <v>56346547.714285709</v>
      </c>
      <c r="W1153" s="27">
        <f>W573*IF($E1153="weekday",INDEX('Category Mapping'!$F$28:$F$39,MATCH('Summarized Source Data'!$A1153,'Category Mapping'!$A$28:$A$39,0),1),INDEX('Category Mapping'!$E$28:$E$39,MATCH($A1153,'Category Mapping'!$A$28:$A$39,0),1))</f>
        <v>56346547.714285709</v>
      </c>
      <c r="X1153" s="27">
        <f>X573*IF($E1153="weekday",INDEX('Category Mapping'!$F$28:$F$39,MATCH('Summarized Source Data'!$A1153,'Category Mapping'!$A$28:$A$39,0),1),INDEX('Category Mapping'!$E$28:$E$39,MATCH($A1153,'Category Mapping'!$A$28:$A$39,0),1))</f>
        <v>2967142857.1428566</v>
      </c>
      <c r="Y1153" s="27">
        <f>Y573*IF($E1153="weekday",INDEX('Category Mapping'!$F$28:$F$39,MATCH('Summarized Source Data'!$A1153,'Category Mapping'!$A$28:$A$39,0),1),INDEX('Category Mapping'!$E$28:$E$39,MATCH($A1153,'Category Mapping'!$A$28:$A$39,0),1))</f>
        <v>2967142857.1428566</v>
      </c>
      <c r="Z1153" s="27">
        <f>Z573*IF($E1153="weekday",INDEX('Category Mapping'!$F$28:$F$39,MATCH('Summarized Source Data'!$A1153,'Category Mapping'!$A$28:$A$39,0),1),INDEX('Category Mapping'!$E$28:$E$39,MATCH($A1153,'Category Mapping'!$A$28:$A$39,0),1))</f>
        <v>2967142857.1428566</v>
      </c>
    </row>
    <row r="1154" spans="1:26" outlineLevel="1" x14ac:dyDescent="0.3">
      <c r="A1154">
        <f t="shared" ref="A1154:E1154" si="619">A574</f>
        <v>12</v>
      </c>
      <c r="B1154" t="str">
        <f t="shared" si="619"/>
        <v>Winter</v>
      </c>
      <c r="C1154" t="str">
        <f t="shared" si="619"/>
        <v>h19</v>
      </c>
      <c r="D1154" t="str">
        <f t="shared" si="619"/>
        <v>Hour18</v>
      </c>
      <c r="E1154" t="str">
        <f t="shared" si="619"/>
        <v>Weekend</v>
      </c>
      <c r="F1154" s="27">
        <f>F574*IF($E1154="weekday",INDEX('Category Mapping'!$F$28:$F$39,MATCH('Summarized Source Data'!$A1154,'Category Mapping'!$A$28:$A$39,0),1),INDEX('Category Mapping'!$E$28:$E$39,MATCH($A1154,'Category Mapping'!$A$28:$A$39,0),1))</f>
        <v>91228571.428571418</v>
      </c>
      <c r="G1154" s="27">
        <f>G574*IF($E1154="weekday",INDEX('Category Mapping'!$F$28:$F$39,MATCH('Summarized Source Data'!$A1154,'Category Mapping'!$A$28:$A$39,0),1),INDEX('Category Mapping'!$E$28:$E$39,MATCH($A1154,'Category Mapping'!$A$28:$A$39,0),1))</f>
        <v>60370.285714285703</v>
      </c>
      <c r="H1154" s="27">
        <f>H574*IF($E1154="weekday",INDEX('Category Mapping'!$F$28:$F$39,MATCH('Summarized Source Data'!$A1154,'Category Mapping'!$A$28:$A$39,0),1),INDEX('Category Mapping'!$E$28:$E$39,MATCH($A1154,'Category Mapping'!$A$28:$A$39,0),1))</f>
        <v>0</v>
      </c>
      <c r="I1154" s="27">
        <f>I574*IF($E1154="weekday",INDEX('Category Mapping'!$F$28:$F$39,MATCH('Summarized Source Data'!$A1154,'Category Mapping'!$A$28:$A$39,0),1),INDEX('Category Mapping'!$E$28:$E$39,MATCH($A1154,'Category Mapping'!$A$28:$A$39,0),1))</f>
        <v>295828571.4285714</v>
      </c>
      <c r="J1154" s="27">
        <f>J574*IF($E1154="weekday",INDEX('Category Mapping'!$F$28:$F$39,MATCH('Summarized Source Data'!$A1154,'Category Mapping'!$A$28:$A$39,0),1),INDEX('Category Mapping'!$E$28:$E$39,MATCH($A1154,'Category Mapping'!$A$28:$A$39,0),1))</f>
        <v>826311058.28571415</v>
      </c>
      <c r="K1154" s="27">
        <f>K574*IF($E1154="weekday",INDEX('Category Mapping'!$F$28:$F$39,MATCH('Summarized Source Data'!$A1154,'Category Mapping'!$A$28:$A$39,0),1),INDEX('Category Mapping'!$E$28:$E$39,MATCH($A1154,'Category Mapping'!$A$28:$A$39,0),1))</f>
        <v>826311058.28571415</v>
      </c>
      <c r="L1154" s="27">
        <f>L574*IF($E1154="weekday",INDEX('Category Mapping'!$F$28:$F$39,MATCH('Summarized Source Data'!$A1154,'Category Mapping'!$A$28:$A$39,0),1),INDEX('Category Mapping'!$E$28:$E$39,MATCH($A1154,'Category Mapping'!$A$28:$A$39,0),1))</f>
        <v>191314285.7142857</v>
      </c>
      <c r="M1154" s="27">
        <f>M574*IF($E1154="weekday",INDEX('Category Mapping'!$F$28:$F$39,MATCH('Summarized Source Data'!$A1154,'Category Mapping'!$A$28:$A$39,0),1),INDEX('Category Mapping'!$E$28:$E$39,MATCH($A1154,'Category Mapping'!$A$28:$A$39,0),1))</f>
        <v>285873.14285714284</v>
      </c>
      <c r="N1154" s="27">
        <f>N574*IF($E1154="weekday",INDEX('Category Mapping'!$F$28:$F$39,MATCH('Summarized Source Data'!$A1154,'Category Mapping'!$A$28:$A$39,0),1),INDEX('Category Mapping'!$E$28:$E$39,MATCH($A1154,'Category Mapping'!$A$28:$A$39,0),1))</f>
        <v>0</v>
      </c>
      <c r="O1154" s="27">
        <f>O574*IF($E1154="weekday",INDEX('Category Mapping'!$F$28:$F$39,MATCH('Summarized Source Data'!$A1154,'Category Mapping'!$A$28:$A$39,0),1),INDEX('Category Mapping'!$E$28:$E$39,MATCH($A1154,'Category Mapping'!$A$28:$A$39,0),1))</f>
        <v>924399841.14285696</v>
      </c>
      <c r="P1154" s="27">
        <f>P574*IF($E1154="weekday",INDEX('Category Mapping'!$F$28:$F$39,MATCH('Summarized Source Data'!$A1154,'Category Mapping'!$A$28:$A$39,0),1),INDEX('Category Mapping'!$E$28:$E$39,MATCH($A1154,'Category Mapping'!$A$28:$A$39,0),1))</f>
        <v>924399841.14285696</v>
      </c>
      <c r="Q1154" s="27">
        <f>Q574*IF($E1154="weekday",INDEX('Category Mapping'!$F$28:$F$39,MATCH('Summarized Source Data'!$A1154,'Category Mapping'!$A$28:$A$39,0),1),INDEX('Category Mapping'!$E$28:$E$39,MATCH($A1154,'Category Mapping'!$A$28:$A$39,0),1))</f>
        <v>924399841.14285696</v>
      </c>
      <c r="R1154" s="27">
        <f>R574*IF($E1154="weekday",INDEX('Category Mapping'!$F$28:$F$39,MATCH('Summarized Source Data'!$A1154,'Category Mapping'!$A$28:$A$39,0),1),INDEX('Category Mapping'!$E$28:$E$39,MATCH($A1154,'Category Mapping'!$A$28:$A$39,0),1))</f>
        <v>55983502.285714276</v>
      </c>
      <c r="S1154" s="27">
        <f>S574*IF($E1154="weekday",INDEX('Category Mapping'!$F$28:$F$39,MATCH('Summarized Source Data'!$A1154,'Category Mapping'!$A$28:$A$39,0),1),INDEX('Category Mapping'!$E$28:$E$39,MATCH($A1154,'Category Mapping'!$A$28:$A$39,0),1))</f>
        <v>55983502.285714276</v>
      </c>
      <c r="T1154" s="27">
        <f>T574*IF($E1154="weekday",INDEX('Category Mapping'!$F$28:$F$39,MATCH('Summarized Source Data'!$A1154,'Category Mapping'!$A$28:$A$39,0),1),INDEX('Category Mapping'!$E$28:$E$39,MATCH($A1154,'Category Mapping'!$A$28:$A$39,0),1))</f>
        <v>55983502.285714276</v>
      </c>
      <c r="U1154" s="27">
        <f>U574*IF($E1154="weekday",INDEX('Category Mapping'!$F$28:$F$39,MATCH('Summarized Source Data'!$A1154,'Category Mapping'!$A$28:$A$39,0),1),INDEX('Category Mapping'!$E$28:$E$39,MATCH($A1154,'Category Mapping'!$A$28:$A$39,0),1))</f>
        <v>55983502.285714276</v>
      </c>
      <c r="V1154" s="27">
        <f>V574*IF($E1154="weekday",INDEX('Category Mapping'!$F$28:$F$39,MATCH('Summarized Source Data'!$A1154,'Category Mapping'!$A$28:$A$39,0),1),INDEX('Category Mapping'!$E$28:$E$39,MATCH($A1154,'Category Mapping'!$A$28:$A$39,0),1))</f>
        <v>55983502.285714276</v>
      </c>
      <c r="W1154" s="27">
        <f>W574*IF($E1154="weekday",INDEX('Category Mapping'!$F$28:$F$39,MATCH('Summarized Source Data'!$A1154,'Category Mapping'!$A$28:$A$39,0),1),INDEX('Category Mapping'!$E$28:$E$39,MATCH($A1154,'Category Mapping'!$A$28:$A$39,0),1))</f>
        <v>55983502.285714276</v>
      </c>
      <c r="X1154" s="27">
        <f>X574*IF($E1154="weekday",INDEX('Category Mapping'!$F$28:$F$39,MATCH('Summarized Source Data'!$A1154,'Category Mapping'!$A$28:$A$39,0),1),INDEX('Category Mapping'!$E$28:$E$39,MATCH($A1154,'Category Mapping'!$A$28:$A$39,0),1))</f>
        <v>2958285714.2857137</v>
      </c>
      <c r="Y1154" s="27">
        <f>Y574*IF($E1154="weekday",INDEX('Category Mapping'!$F$28:$F$39,MATCH('Summarized Source Data'!$A1154,'Category Mapping'!$A$28:$A$39,0),1),INDEX('Category Mapping'!$E$28:$E$39,MATCH($A1154,'Category Mapping'!$A$28:$A$39,0),1))</f>
        <v>2958285714.2857137</v>
      </c>
      <c r="Z1154" s="27">
        <f>Z574*IF($E1154="weekday",INDEX('Category Mapping'!$F$28:$F$39,MATCH('Summarized Source Data'!$A1154,'Category Mapping'!$A$28:$A$39,0),1),INDEX('Category Mapping'!$E$28:$E$39,MATCH($A1154,'Category Mapping'!$A$28:$A$39,0),1))</f>
        <v>2958285714.2857137</v>
      </c>
    </row>
    <row r="1155" spans="1:26" outlineLevel="1" x14ac:dyDescent="0.3">
      <c r="A1155">
        <f t="shared" ref="A1155:E1155" si="620">A575</f>
        <v>12</v>
      </c>
      <c r="B1155" t="str">
        <f t="shared" si="620"/>
        <v>Winter</v>
      </c>
      <c r="C1155" t="str">
        <f t="shared" si="620"/>
        <v>h20</v>
      </c>
      <c r="D1155" t="str">
        <f t="shared" si="620"/>
        <v>Hour19</v>
      </c>
      <c r="E1155" t="str">
        <f t="shared" si="620"/>
        <v>Weekend</v>
      </c>
      <c r="F1155" s="27">
        <f>F575*IF($E1155="weekday",INDEX('Category Mapping'!$F$28:$F$39,MATCH('Summarized Source Data'!$A1155,'Category Mapping'!$A$28:$A$39,0),1),INDEX('Category Mapping'!$E$28:$E$39,MATCH($A1155,'Category Mapping'!$A$28:$A$39,0),1))</f>
        <v>97428571.428571418</v>
      </c>
      <c r="G1155" s="27">
        <f>G575*IF($E1155="weekday",INDEX('Category Mapping'!$F$28:$F$39,MATCH('Summarized Source Data'!$A1155,'Category Mapping'!$A$28:$A$39,0),1),INDEX('Category Mapping'!$E$28:$E$39,MATCH($A1155,'Category Mapping'!$A$28:$A$39,0),1))</f>
        <v>64152.285714285703</v>
      </c>
      <c r="H1155" s="27">
        <f>H575*IF($E1155="weekday",INDEX('Category Mapping'!$F$28:$F$39,MATCH('Summarized Source Data'!$A1155,'Category Mapping'!$A$28:$A$39,0),1),INDEX('Category Mapping'!$E$28:$E$39,MATCH($A1155,'Category Mapping'!$A$28:$A$39,0),1))</f>
        <v>0</v>
      </c>
      <c r="I1155" s="27">
        <f>I575*IF($E1155="weekday",INDEX('Category Mapping'!$F$28:$F$39,MATCH('Summarized Source Data'!$A1155,'Category Mapping'!$A$28:$A$39,0),1),INDEX('Category Mapping'!$E$28:$E$39,MATCH($A1155,'Category Mapping'!$A$28:$A$39,0),1))</f>
        <v>309999999.99999994</v>
      </c>
      <c r="J1155" s="27">
        <f>J575*IF($E1155="weekday",INDEX('Category Mapping'!$F$28:$F$39,MATCH('Summarized Source Data'!$A1155,'Category Mapping'!$A$28:$A$39,0),1),INDEX('Category Mapping'!$E$28:$E$39,MATCH($A1155,'Category Mapping'!$A$28:$A$39,0),1))</f>
        <v>761650133.42857134</v>
      </c>
      <c r="K1155" s="27">
        <f>K575*IF($E1155="weekday",INDEX('Category Mapping'!$F$28:$F$39,MATCH('Summarized Source Data'!$A1155,'Category Mapping'!$A$28:$A$39,0),1),INDEX('Category Mapping'!$E$28:$E$39,MATCH($A1155,'Category Mapping'!$A$28:$A$39,0),1))</f>
        <v>761650133.42857134</v>
      </c>
      <c r="L1155" s="27">
        <f>L575*IF($E1155="weekday",INDEX('Category Mapping'!$F$28:$F$39,MATCH('Summarized Source Data'!$A1155,'Category Mapping'!$A$28:$A$39,0),1),INDEX('Category Mapping'!$E$28:$E$39,MATCH($A1155,'Category Mapping'!$A$28:$A$39,0),1))</f>
        <v>126657142.85714284</v>
      </c>
      <c r="M1155" s="27">
        <f>M575*IF($E1155="weekday",INDEX('Category Mapping'!$F$28:$F$39,MATCH('Summarized Source Data'!$A1155,'Category Mapping'!$A$28:$A$39,0),1),INDEX('Category Mapping'!$E$28:$E$39,MATCH($A1155,'Category Mapping'!$A$28:$A$39,0),1))</f>
        <v>276927.42857142852</v>
      </c>
      <c r="N1155" s="27">
        <f>N575*IF($E1155="weekday",INDEX('Category Mapping'!$F$28:$F$39,MATCH('Summarized Source Data'!$A1155,'Category Mapping'!$A$28:$A$39,0),1),INDEX('Category Mapping'!$E$28:$E$39,MATCH($A1155,'Category Mapping'!$A$28:$A$39,0),1))</f>
        <v>0</v>
      </c>
      <c r="O1155" s="27">
        <f>O575*IF($E1155="weekday",INDEX('Category Mapping'!$F$28:$F$39,MATCH('Summarized Source Data'!$A1155,'Category Mapping'!$A$28:$A$39,0),1),INDEX('Category Mapping'!$E$28:$E$39,MATCH($A1155,'Category Mapping'!$A$28:$A$39,0),1))</f>
        <v>900494501.14285696</v>
      </c>
      <c r="P1155" s="27">
        <f>P575*IF($E1155="weekday",INDEX('Category Mapping'!$F$28:$F$39,MATCH('Summarized Source Data'!$A1155,'Category Mapping'!$A$28:$A$39,0),1),INDEX('Category Mapping'!$E$28:$E$39,MATCH($A1155,'Category Mapping'!$A$28:$A$39,0),1))</f>
        <v>900494501.14285696</v>
      </c>
      <c r="Q1155" s="27">
        <f>Q575*IF($E1155="weekday",INDEX('Category Mapping'!$F$28:$F$39,MATCH('Summarized Source Data'!$A1155,'Category Mapping'!$A$28:$A$39,0),1),INDEX('Category Mapping'!$E$28:$E$39,MATCH($A1155,'Category Mapping'!$A$28:$A$39,0),1))</f>
        <v>900494501.14285696</v>
      </c>
      <c r="R1155" s="27">
        <f>R575*IF($E1155="weekday",INDEX('Category Mapping'!$F$28:$F$39,MATCH('Summarized Source Data'!$A1155,'Category Mapping'!$A$28:$A$39,0),1),INDEX('Category Mapping'!$E$28:$E$39,MATCH($A1155,'Category Mapping'!$A$28:$A$39,0),1))</f>
        <v>54790666.571428567</v>
      </c>
      <c r="S1155" s="27">
        <f>S575*IF($E1155="weekday",INDEX('Category Mapping'!$F$28:$F$39,MATCH('Summarized Source Data'!$A1155,'Category Mapping'!$A$28:$A$39,0),1),INDEX('Category Mapping'!$E$28:$E$39,MATCH($A1155,'Category Mapping'!$A$28:$A$39,0),1))</f>
        <v>54790666.571428567</v>
      </c>
      <c r="T1155" s="27">
        <f>T575*IF($E1155="weekday",INDEX('Category Mapping'!$F$28:$F$39,MATCH('Summarized Source Data'!$A1155,'Category Mapping'!$A$28:$A$39,0),1),INDEX('Category Mapping'!$E$28:$E$39,MATCH($A1155,'Category Mapping'!$A$28:$A$39,0),1))</f>
        <v>54790666.571428567</v>
      </c>
      <c r="U1155" s="27">
        <f>U575*IF($E1155="weekday",INDEX('Category Mapping'!$F$28:$F$39,MATCH('Summarized Source Data'!$A1155,'Category Mapping'!$A$28:$A$39,0),1),INDEX('Category Mapping'!$E$28:$E$39,MATCH($A1155,'Category Mapping'!$A$28:$A$39,0),1))</f>
        <v>54790666.571428567</v>
      </c>
      <c r="V1155" s="27">
        <f>V575*IF($E1155="weekday",INDEX('Category Mapping'!$F$28:$F$39,MATCH('Summarized Source Data'!$A1155,'Category Mapping'!$A$28:$A$39,0),1),INDEX('Category Mapping'!$E$28:$E$39,MATCH($A1155,'Category Mapping'!$A$28:$A$39,0),1))</f>
        <v>54790666.571428567</v>
      </c>
      <c r="W1155" s="27">
        <f>W575*IF($E1155="weekday",INDEX('Category Mapping'!$F$28:$F$39,MATCH('Summarized Source Data'!$A1155,'Category Mapping'!$A$28:$A$39,0),1),INDEX('Category Mapping'!$E$28:$E$39,MATCH($A1155,'Category Mapping'!$A$28:$A$39,0),1))</f>
        <v>54790666.571428567</v>
      </c>
      <c r="X1155" s="27">
        <f>X575*IF($E1155="weekday",INDEX('Category Mapping'!$F$28:$F$39,MATCH('Summarized Source Data'!$A1155,'Category Mapping'!$A$28:$A$39,0),1),INDEX('Category Mapping'!$E$28:$E$39,MATCH($A1155,'Category Mapping'!$A$28:$A$39,0),1))</f>
        <v>2940571428.5714283</v>
      </c>
      <c r="Y1155" s="27">
        <f>Y575*IF($E1155="weekday",INDEX('Category Mapping'!$F$28:$F$39,MATCH('Summarized Source Data'!$A1155,'Category Mapping'!$A$28:$A$39,0),1),INDEX('Category Mapping'!$E$28:$E$39,MATCH($A1155,'Category Mapping'!$A$28:$A$39,0),1))</f>
        <v>2940571428.5714283</v>
      </c>
      <c r="Z1155" s="27">
        <f>Z575*IF($E1155="weekday",INDEX('Category Mapping'!$F$28:$F$39,MATCH('Summarized Source Data'!$A1155,'Category Mapping'!$A$28:$A$39,0),1),INDEX('Category Mapping'!$E$28:$E$39,MATCH($A1155,'Category Mapping'!$A$28:$A$39,0),1))</f>
        <v>2940571428.5714283</v>
      </c>
    </row>
    <row r="1156" spans="1:26" outlineLevel="1" x14ac:dyDescent="0.3">
      <c r="A1156">
        <f t="shared" ref="A1156:E1156" si="621">A576</f>
        <v>12</v>
      </c>
      <c r="B1156" t="str">
        <f t="shared" si="621"/>
        <v>Winter</v>
      </c>
      <c r="C1156" t="str">
        <f t="shared" si="621"/>
        <v>h21</v>
      </c>
      <c r="D1156" t="str">
        <f t="shared" si="621"/>
        <v>Hour20</v>
      </c>
      <c r="E1156" t="str">
        <f t="shared" si="621"/>
        <v>Weekend</v>
      </c>
      <c r="F1156" s="27">
        <f>F576*IF($E1156="weekday",INDEX('Category Mapping'!$F$28:$F$39,MATCH('Summarized Source Data'!$A1156,'Category Mapping'!$A$28:$A$39,0),1),INDEX('Category Mapping'!$E$28:$E$39,MATCH($A1156,'Category Mapping'!$A$28:$A$39,0),1))</f>
        <v>100971428.57142855</v>
      </c>
      <c r="G1156" s="27">
        <f>G576*IF($E1156="weekday",INDEX('Category Mapping'!$F$28:$F$39,MATCH('Summarized Source Data'!$A1156,'Category Mapping'!$A$28:$A$39,0),1),INDEX('Category Mapping'!$E$28:$E$39,MATCH($A1156,'Category Mapping'!$A$28:$A$39,0),1))</f>
        <v>67172.57142857142</v>
      </c>
      <c r="H1156" s="27">
        <f>H576*IF($E1156="weekday",INDEX('Category Mapping'!$F$28:$F$39,MATCH('Summarized Source Data'!$A1156,'Category Mapping'!$A$28:$A$39,0),1),INDEX('Category Mapping'!$E$28:$E$39,MATCH($A1156,'Category Mapping'!$A$28:$A$39,0),1))</f>
        <v>0</v>
      </c>
      <c r="I1156" s="27">
        <f>I576*IF($E1156="weekday",INDEX('Category Mapping'!$F$28:$F$39,MATCH('Summarized Source Data'!$A1156,'Category Mapping'!$A$28:$A$39,0),1),INDEX('Category Mapping'!$E$28:$E$39,MATCH($A1156,'Category Mapping'!$A$28:$A$39,0),1))</f>
        <v>308228571.4285714</v>
      </c>
      <c r="J1156" s="27">
        <f>J576*IF($E1156="weekday",INDEX('Category Mapping'!$F$28:$F$39,MATCH('Summarized Source Data'!$A1156,'Category Mapping'!$A$28:$A$39,0),1),INDEX('Category Mapping'!$E$28:$E$39,MATCH($A1156,'Category Mapping'!$A$28:$A$39,0),1))</f>
        <v>715589970.28571415</v>
      </c>
      <c r="K1156" s="27">
        <f>K576*IF($E1156="weekday",INDEX('Category Mapping'!$F$28:$F$39,MATCH('Summarized Source Data'!$A1156,'Category Mapping'!$A$28:$A$39,0),1),INDEX('Category Mapping'!$E$28:$E$39,MATCH($A1156,'Category Mapping'!$A$28:$A$39,0),1))</f>
        <v>715589970.28571415</v>
      </c>
      <c r="L1156" s="27">
        <f>L576*IF($E1156="weekday",INDEX('Category Mapping'!$F$28:$F$39,MATCH('Summarized Source Data'!$A1156,'Category Mapping'!$A$28:$A$39,0),1),INDEX('Category Mapping'!$E$28:$E$39,MATCH($A1156,'Category Mapping'!$A$28:$A$39,0),1))</f>
        <v>129314285.7142857</v>
      </c>
      <c r="M1156" s="27">
        <f>M576*IF($E1156="weekday",INDEX('Category Mapping'!$F$28:$F$39,MATCH('Summarized Source Data'!$A1156,'Category Mapping'!$A$28:$A$39,0),1),INDEX('Category Mapping'!$E$28:$E$39,MATCH($A1156,'Category Mapping'!$A$28:$A$39,0),1))</f>
        <v>269407.71428571426</v>
      </c>
      <c r="N1156" s="27">
        <f>N576*IF($E1156="weekday",INDEX('Category Mapping'!$F$28:$F$39,MATCH('Summarized Source Data'!$A1156,'Category Mapping'!$A$28:$A$39,0),1),INDEX('Category Mapping'!$E$28:$E$39,MATCH($A1156,'Category Mapping'!$A$28:$A$39,0),1))</f>
        <v>0</v>
      </c>
      <c r="O1156" s="27">
        <f>O576*IF($E1156="weekday",INDEX('Category Mapping'!$F$28:$F$39,MATCH('Summarized Source Data'!$A1156,'Category Mapping'!$A$28:$A$39,0),1),INDEX('Category Mapping'!$E$28:$E$39,MATCH($A1156,'Category Mapping'!$A$28:$A$39,0),1))</f>
        <v>862416306.57142842</v>
      </c>
      <c r="P1156" s="27">
        <f>P576*IF($E1156="weekday",INDEX('Category Mapping'!$F$28:$F$39,MATCH('Summarized Source Data'!$A1156,'Category Mapping'!$A$28:$A$39,0),1),INDEX('Category Mapping'!$E$28:$E$39,MATCH($A1156,'Category Mapping'!$A$28:$A$39,0),1))</f>
        <v>862416306.57142842</v>
      </c>
      <c r="Q1156" s="27">
        <f>Q576*IF($E1156="weekday",INDEX('Category Mapping'!$F$28:$F$39,MATCH('Summarized Source Data'!$A1156,'Category Mapping'!$A$28:$A$39,0),1),INDEX('Category Mapping'!$E$28:$E$39,MATCH($A1156,'Category Mapping'!$A$28:$A$39,0),1))</f>
        <v>862416306.57142842</v>
      </c>
      <c r="R1156" s="27">
        <f>R576*IF($E1156="weekday",INDEX('Category Mapping'!$F$28:$F$39,MATCH('Summarized Source Data'!$A1156,'Category Mapping'!$A$28:$A$39,0),1),INDEX('Category Mapping'!$E$28:$E$39,MATCH($A1156,'Category Mapping'!$A$28:$A$39,0),1))</f>
        <v>53182926.857142851</v>
      </c>
      <c r="S1156" s="27">
        <f>S576*IF($E1156="weekday",INDEX('Category Mapping'!$F$28:$F$39,MATCH('Summarized Source Data'!$A1156,'Category Mapping'!$A$28:$A$39,0),1),INDEX('Category Mapping'!$E$28:$E$39,MATCH($A1156,'Category Mapping'!$A$28:$A$39,0),1))</f>
        <v>53182926.857142851</v>
      </c>
      <c r="T1156" s="27">
        <f>T576*IF($E1156="weekday",INDEX('Category Mapping'!$F$28:$F$39,MATCH('Summarized Source Data'!$A1156,'Category Mapping'!$A$28:$A$39,0),1),INDEX('Category Mapping'!$E$28:$E$39,MATCH($A1156,'Category Mapping'!$A$28:$A$39,0),1))</f>
        <v>53182926.857142851</v>
      </c>
      <c r="U1156" s="27">
        <f>U576*IF($E1156="weekday",INDEX('Category Mapping'!$F$28:$F$39,MATCH('Summarized Source Data'!$A1156,'Category Mapping'!$A$28:$A$39,0),1),INDEX('Category Mapping'!$E$28:$E$39,MATCH($A1156,'Category Mapping'!$A$28:$A$39,0),1))</f>
        <v>53182926.857142851</v>
      </c>
      <c r="V1156" s="27">
        <f>V576*IF($E1156="weekday",INDEX('Category Mapping'!$F$28:$F$39,MATCH('Summarized Source Data'!$A1156,'Category Mapping'!$A$28:$A$39,0),1),INDEX('Category Mapping'!$E$28:$E$39,MATCH($A1156,'Category Mapping'!$A$28:$A$39,0),1))</f>
        <v>53182926.857142851</v>
      </c>
      <c r="W1156" s="27">
        <f>W576*IF($E1156="weekday",INDEX('Category Mapping'!$F$28:$F$39,MATCH('Summarized Source Data'!$A1156,'Category Mapping'!$A$28:$A$39,0),1),INDEX('Category Mapping'!$E$28:$E$39,MATCH($A1156,'Category Mapping'!$A$28:$A$39,0),1))</f>
        <v>53182926.857142851</v>
      </c>
      <c r="X1156" s="27">
        <f>X576*IF($E1156="weekday",INDEX('Category Mapping'!$F$28:$F$39,MATCH('Summarized Source Data'!$A1156,'Category Mapping'!$A$28:$A$39,0),1),INDEX('Category Mapping'!$E$28:$E$39,MATCH($A1156,'Category Mapping'!$A$28:$A$39,0),1))</f>
        <v>2922857142.8571424</v>
      </c>
      <c r="Y1156" s="27">
        <f>Y576*IF($E1156="weekday",INDEX('Category Mapping'!$F$28:$F$39,MATCH('Summarized Source Data'!$A1156,'Category Mapping'!$A$28:$A$39,0),1),INDEX('Category Mapping'!$E$28:$E$39,MATCH($A1156,'Category Mapping'!$A$28:$A$39,0),1))</f>
        <v>2922857142.8571424</v>
      </c>
      <c r="Z1156" s="27">
        <f>Z576*IF($E1156="weekday",INDEX('Category Mapping'!$F$28:$F$39,MATCH('Summarized Source Data'!$A1156,'Category Mapping'!$A$28:$A$39,0),1),INDEX('Category Mapping'!$E$28:$E$39,MATCH($A1156,'Category Mapping'!$A$28:$A$39,0),1))</f>
        <v>2922857142.8571424</v>
      </c>
    </row>
    <row r="1157" spans="1:26" outlineLevel="1" x14ac:dyDescent="0.3">
      <c r="A1157">
        <f t="shared" ref="A1157:E1157" si="622">A577</f>
        <v>12</v>
      </c>
      <c r="B1157" t="str">
        <f t="shared" si="622"/>
        <v>Winter</v>
      </c>
      <c r="C1157" t="str">
        <f t="shared" si="622"/>
        <v>h22</v>
      </c>
      <c r="D1157" t="str">
        <f t="shared" si="622"/>
        <v>Hour21</v>
      </c>
      <c r="E1157" t="str">
        <f t="shared" si="622"/>
        <v>Weekend</v>
      </c>
      <c r="F1157" s="27">
        <f>F577*IF($E1157="weekday",INDEX('Category Mapping'!$F$28:$F$39,MATCH('Summarized Source Data'!$A1157,'Category Mapping'!$A$28:$A$39,0),1),INDEX('Category Mapping'!$E$28:$E$39,MATCH($A1157,'Category Mapping'!$A$28:$A$39,0),1))</f>
        <v>96542857.142857134</v>
      </c>
      <c r="G1157" s="27">
        <f>G577*IF($E1157="weekday",INDEX('Category Mapping'!$F$28:$F$39,MATCH('Summarized Source Data'!$A1157,'Category Mapping'!$A$28:$A$39,0),1),INDEX('Category Mapping'!$E$28:$E$39,MATCH($A1157,'Category Mapping'!$A$28:$A$39,0),1))</f>
        <v>70024.57142857142</v>
      </c>
      <c r="H1157" s="27">
        <f>H577*IF($E1157="weekday",INDEX('Category Mapping'!$F$28:$F$39,MATCH('Summarized Source Data'!$A1157,'Category Mapping'!$A$28:$A$39,0),1),INDEX('Category Mapping'!$E$28:$E$39,MATCH($A1157,'Category Mapping'!$A$28:$A$39,0),1))</f>
        <v>0</v>
      </c>
      <c r="I1157" s="27">
        <f>I577*IF($E1157="weekday",INDEX('Category Mapping'!$F$28:$F$39,MATCH('Summarized Source Data'!$A1157,'Category Mapping'!$A$28:$A$39,0),1),INDEX('Category Mapping'!$E$28:$E$39,MATCH($A1157,'Category Mapping'!$A$28:$A$39,0),1))</f>
        <v>255085714.28571424</v>
      </c>
      <c r="J1157" s="27">
        <f>J577*IF($E1157="weekday",INDEX('Category Mapping'!$F$28:$F$39,MATCH('Summarized Source Data'!$A1157,'Category Mapping'!$A$28:$A$39,0),1),INDEX('Category Mapping'!$E$28:$E$39,MATCH($A1157,'Category Mapping'!$A$28:$A$39,0),1))</f>
        <v>658015689.71428561</v>
      </c>
      <c r="K1157" s="27">
        <f>K577*IF($E1157="weekday",INDEX('Category Mapping'!$F$28:$F$39,MATCH('Summarized Source Data'!$A1157,'Category Mapping'!$A$28:$A$39,0),1),INDEX('Category Mapping'!$E$28:$E$39,MATCH($A1157,'Category Mapping'!$A$28:$A$39,0),1))</f>
        <v>658015689.71428561</v>
      </c>
      <c r="L1157" s="27">
        <f>L577*IF($E1157="weekday",INDEX('Category Mapping'!$F$28:$F$39,MATCH('Summarized Source Data'!$A1157,'Category Mapping'!$A$28:$A$39,0),1),INDEX('Category Mapping'!$E$28:$E$39,MATCH($A1157,'Category Mapping'!$A$28:$A$39,0),1))</f>
        <v>138171428.57142854</v>
      </c>
      <c r="M1157" s="27">
        <f>M577*IF($E1157="weekday",INDEX('Category Mapping'!$F$28:$F$39,MATCH('Summarized Source Data'!$A1157,'Category Mapping'!$A$28:$A$39,0),1),INDEX('Category Mapping'!$E$28:$E$39,MATCH($A1157,'Category Mapping'!$A$28:$A$39,0),1))</f>
        <v>261737.42857142852</v>
      </c>
      <c r="N1157" s="27">
        <f>N577*IF($E1157="weekday",INDEX('Category Mapping'!$F$28:$F$39,MATCH('Summarized Source Data'!$A1157,'Category Mapping'!$A$28:$A$39,0),1),INDEX('Category Mapping'!$E$28:$E$39,MATCH($A1157,'Category Mapping'!$A$28:$A$39,0),1))</f>
        <v>0</v>
      </c>
      <c r="O1157" s="27">
        <f>O577*IF($E1157="weekday",INDEX('Category Mapping'!$F$28:$F$39,MATCH('Summarized Source Data'!$A1157,'Category Mapping'!$A$28:$A$39,0),1),INDEX('Category Mapping'!$E$28:$E$39,MATCH($A1157,'Category Mapping'!$A$28:$A$39,0),1))</f>
        <v>800423976.85714269</v>
      </c>
      <c r="P1157" s="27">
        <f>P577*IF($E1157="weekday",INDEX('Category Mapping'!$F$28:$F$39,MATCH('Summarized Source Data'!$A1157,'Category Mapping'!$A$28:$A$39,0),1),INDEX('Category Mapping'!$E$28:$E$39,MATCH($A1157,'Category Mapping'!$A$28:$A$39,0),1))</f>
        <v>800423976.85714269</v>
      </c>
      <c r="Q1157" s="27">
        <f>Q577*IF($E1157="weekday",INDEX('Category Mapping'!$F$28:$F$39,MATCH('Summarized Source Data'!$A1157,'Category Mapping'!$A$28:$A$39,0),1),INDEX('Category Mapping'!$E$28:$E$39,MATCH($A1157,'Category Mapping'!$A$28:$A$39,0),1))</f>
        <v>800423976.85714269</v>
      </c>
      <c r="R1157" s="27">
        <f>R577*IF($E1157="weekday",INDEX('Category Mapping'!$F$28:$F$39,MATCH('Summarized Source Data'!$A1157,'Category Mapping'!$A$28:$A$39,0),1),INDEX('Category Mapping'!$E$28:$E$39,MATCH($A1157,'Category Mapping'!$A$28:$A$39,0),1))</f>
        <v>51367735.142857134</v>
      </c>
      <c r="S1157" s="27">
        <f>S577*IF($E1157="weekday",INDEX('Category Mapping'!$F$28:$F$39,MATCH('Summarized Source Data'!$A1157,'Category Mapping'!$A$28:$A$39,0),1),INDEX('Category Mapping'!$E$28:$E$39,MATCH($A1157,'Category Mapping'!$A$28:$A$39,0),1))</f>
        <v>51367735.142857134</v>
      </c>
      <c r="T1157" s="27">
        <f>T577*IF($E1157="weekday",INDEX('Category Mapping'!$F$28:$F$39,MATCH('Summarized Source Data'!$A1157,'Category Mapping'!$A$28:$A$39,0),1),INDEX('Category Mapping'!$E$28:$E$39,MATCH($A1157,'Category Mapping'!$A$28:$A$39,0),1))</f>
        <v>51367735.142857134</v>
      </c>
      <c r="U1157" s="27">
        <f>U577*IF($E1157="weekday",INDEX('Category Mapping'!$F$28:$F$39,MATCH('Summarized Source Data'!$A1157,'Category Mapping'!$A$28:$A$39,0),1),INDEX('Category Mapping'!$E$28:$E$39,MATCH($A1157,'Category Mapping'!$A$28:$A$39,0),1))</f>
        <v>51367735.142857134</v>
      </c>
      <c r="V1157" s="27">
        <f>V577*IF($E1157="weekday",INDEX('Category Mapping'!$F$28:$F$39,MATCH('Summarized Source Data'!$A1157,'Category Mapping'!$A$28:$A$39,0),1),INDEX('Category Mapping'!$E$28:$E$39,MATCH($A1157,'Category Mapping'!$A$28:$A$39,0),1))</f>
        <v>51367735.142857134</v>
      </c>
      <c r="W1157" s="27">
        <f>W577*IF($E1157="weekday",INDEX('Category Mapping'!$F$28:$F$39,MATCH('Summarized Source Data'!$A1157,'Category Mapping'!$A$28:$A$39,0),1),INDEX('Category Mapping'!$E$28:$E$39,MATCH($A1157,'Category Mapping'!$A$28:$A$39,0),1))</f>
        <v>51367735.142857134</v>
      </c>
      <c r="X1157" s="27">
        <f>X577*IF($E1157="weekday",INDEX('Category Mapping'!$F$28:$F$39,MATCH('Summarized Source Data'!$A1157,'Category Mapping'!$A$28:$A$39,0),1),INDEX('Category Mapping'!$E$28:$E$39,MATCH($A1157,'Category Mapping'!$A$28:$A$39,0),1))</f>
        <v>2896285714.2857137</v>
      </c>
      <c r="Y1157" s="27">
        <f>Y577*IF($E1157="weekday",INDEX('Category Mapping'!$F$28:$F$39,MATCH('Summarized Source Data'!$A1157,'Category Mapping'!$A$28:$A$39,0),1),INDEX('Category Mapping'!$E$28:$E$39,MATCH($A1157,'Category Mapping'!$A$28:$A$39,0),1))</f>
        <v>2896285714.2857137</v>
      </c>
      <c r="Z1157" s="27">
        <f>Z577*IF($E1157="weekday",INDEX('Category Mapping'!$F$28:$F$39,MATCH('Summarized Source Data'!$A1157,'Category Mapping'!$A$28:$A$39,0),1),INDEX('Category Mapping'!$E$28:$E$39,MATCH($A1157,'Category Mapping'!$A$28:$A$39,0),1))</f>
        <v>2896285714.2857137</v>
      </c>
    </row>
    <row r="1158" spans="1:26" outlineLevel="1" x14ac:dyDescent="0.3">
      <c r="A1158">
        <f t="shared" ref="A1158:E1158" si="623">A578</f>
        <v>12</v>
      </c>
      <c r="B1158" t="str">
        <f t="shared" si="623"/>
        <v>Winter</v>
      </c>
      <c r="C1158" t="str">
        <f t="shared" si="623"/>
        <v>h23</v>
      </c>
      <c r="D1158" t="str">
        <f t="shared" si="623"/>
        <v>Hour22</v>
      </c>
      <c r="E1158" t="str">
        <f t="shared" si="623"/>
        <v>Weekend</v>
      </c>
      <c r="F1158" s="27">
        <f>F578*IF($E1158="weekday",INDEX('Category Mapping'!$F$28:$F$39,MATCH('Summarized Source Data'!$A1158,'Category Mapping'!$A$28:$A$39,0),1),INDEX('Category Mapping'!$E$28:$E$39,MATCH($A1158,'Category Mapping'!$A$28:$A$39,0),1))</f>
        <v>86640323.428571418</v>
      </c>
      <c r="G1158" s="27">
        <f>G578*IF($E1158="weekday",INDEX('Category Mapping'!$F$28:$F$39,MATCH('Summarized Source Data'!$A1158,'Category Mapping'!$A$28:$A$39,0),1),INDEX('Category Mapping'!$E$28:$E$39,MATCH($A1158,'Category Mapping'!$A$28:$A$39,0),1))</f>
        <v>72672.85714285713</v>
      </c>
      <c r="H1158" s="27">
        <f>H578*IF($E1158="weekday",INDEX('Category Mapping'!$F$28:$F$39,MATCH('Summarized Source Data'!$A1158,'Category Mapping'!$A$28:$A$39,0),1),INDEX('Category Mapping'!$E$28:$E$39,MATCH($A1158,'Category Mapping'!$A$28:$A$39,0),1))</f>
        <v>0</v>
      </c>
      <c r="I1158" s="27">
        <f>I578*IF($E1158="weekday",INDEX('Category Mapping'!$F$28:$F$39,MATCH('Summarized Source Data'!$A1158,'Category Mapping'!$A$28:$A$39,0),1),INDEX('Category Mapping'!$E$28:$E$39,MATCH($A1158,'Category Mapping'!$A$28:$A$39,0),1))</f>
        <v>164742857.1428571</v>
      </c>
      <c r="J1158" s="27">
        <f>J578*IF($E1158="weekday",INDEX('Category Mapping'!$F$28:$F$39,MATCH('Summarized Source Data'!$A1158,'Category Mapping'!$A$28:$A$39,0),1),INDEX('Category Mapping'!$E$28:$E$39,MATCH($A1158,'Category Mapping'!$A$28:$A$39,0),1))</f>
        <v>554544146.57142854</v>
      </c>
      <c r="K1158" s="27">
        <f>K578*IF($E1158="weekday",INDEX('Category Mapping'!$F$28:$F$39,MATCH('Summarized Source Data'!$A1158,'Category Mapping'!$A$28:$A$39,0),1),INDEX('Category Mapping'!$E$28:$E$39,MATCH($A1158,'Category Mapping'!$A$28:$A$39,0),1))</f>
        <v>554544146.57142854</v>
      </c>
      <c r="L1158" s="27">
        <f>L578*IF($E1158="weekday",INDEX('Category Mapping'!$F$28:$F$39,MATCH('Summarized Source Data'!$A1158,'Category Mapping'!$A$28:$A$39,0),1),INDEX('Category Mapping'!$E$28:$E$39,MATCH($A1158,'Category Mapping'!$A$28:$A$39,0),1))</f>
        <v>141714285.7142857</v>
      </c>
      <c r="M1158" s="27">
        <f>M578*IF($E1158="weekday",INDEX('Category Mapping'!$F$28:$F$39,MATCH('Summarized Source Data'!$A1158,'Category Mapping'!$A$28:$A$39,0),1),INDEX('Category Mapping'!$E$28:$E$39,MATCH($A1158,'Category Mapping'!$A$28:$A$39,0),1))</f>
        <v>252517.14285714281</v>
      </c>
      <c r="N1158" s="27">
        <f>N578*IF($E1158="weekday",INDEX('Category Mapping'!$F$28:$F$39,MATCH('Summarized Source Data'!$A1158,'Category Mapping'!$A$28:$A$39,0),1),INDEX('Category Mapping'!$E$28:$E$39,MATCH($A1158,'Category Mapping'!$A$28:$A$39,0),1))</f>
        <v>0</v>
      </c>
      <c r="O1158" s="27">
        <f>O578*IF($E1158="weekday",INDEX('Category Mapping'!$F$28:$F$39,MATCH('Summarized Source Data'!$A1158,'Category Mapping'!$A$28:$A$39,0),1),INDEX('Category Mapping'!$E$28:$E$39,MATCH($A1158,'Category Mapping'!$A$28:$A$39,0),1))</f>
        <v>761461768.57142842</v>
      </c>
      <c r="P1158" s="27">
        <f>P578*IF($E1158="weekday",INDEX('Category Mapping'!$F$28:$F$39,MATCH('Summarized Source Data'!$A1158,'Category Mapping'!$A$28:$A$39,0),1),INDEX('Category Mapping'!$E$28:$E$39,MATCH($A1158,'Category Mapping'!$A$28:$A$39,0),1))</f>
        <v>761461768.57142842</v>
      </c>
      <c r="Q1158" s="27">
        <f>Q578*IF($E1158="weekday",INDEX('Category Mapping'!$F$28:$F$39,MATCH('Summarized Source Data'!$A1158,'Category Mapping'!$A$28:$A$39,0),1),INDEX('Category Mapping'!$E$28:$E$39,MATCH($A1158,'Category Mapping'!$A$28:$A$39,0),1))</f>
        <v>761461768.57142842</v>
      </c>
      <c r="R1158" s="27">
        <f>R578*IF($E1158="weekday",INDEX('Category Mapping'!$F$28:$F$39,MATCH('Summarized Source Data'!$A1158,'Category Mapping'!$A$28:$A$39,0),1),INDEX('Category Mapping'!$E$28:$E$39,MATCH($A1158,'Category Mapping'!$A$28:$A$39,0),1))</f>
        <v>50745379.142857134</v>
      </c>
      <c r="S1158" s="27">
        <f>S578*IF($E1158="weekday",INDEX('Category Mapping'!$F$28:$F$39,MATCH('Summarized Source Data'!$A1158,'Category Mapping'!$A$28:$A$39,0),1),INDEX('Category Mapping'!$E$28:$E$39,MATCH($A1158,'Category Mapping'!$A$28:$A$39,0),1))</f>
        <v>50745379.142857134</v>
      </c>
      <c r="T1158" s="27">
        <f>T578*IF($E1158="weekday",INDEX('Category Mapping'!$F$28:$F$39,MATCH('Summarized Source Data'!$A1158,'Category Mapping'!$A$28:$A$39,0),1),INDEX('Category Mapping'!$E$28:$E$39,MATCH($A1158,'Category Mapping'!$A$28:$A$39,0),1))</f>
        <v>50745379.142857134</v>
      </c>
      <c r="U1158" s="27">
        <f>U578*IF($E1158="weekday",INDEX('Category Mapping'!$F$28:$F$39,MATCH('Summarized Source Data'!$A1158,'Category Mapping'!$A$28:$A$39,0),1),INDEX('Category Mapping'!$E$28:$E$39,MATCH($A1158,'Category Mapping'!$A$28:$A$39,0),1))</f>
        <v>50745379.142857134</v>
      </c>
      <c r="V1158" s="27">
        <f>V578*IF($E1158="weekday",INDEX('Category Mapping'!$F$28:$F$39,MATCH('Summarized Source Data'!$A1158,'Category Mapping'!$A$28:$A$39,0),1),INDEX('Category Mapping'!$E$28:$E$39,MATCH($A1158,'Category Mapping'!$A$28:$A$39,0),1))</f>
        <v>50745379.142857134</v>
      </c>
      <c r="W1158" s="27">
        <f>W578*IF($E1158="weekday",INDEX('Category Mapping'!$F$28:$F$39,MATCH('Summarized Source Data'!$A1158,'Category Mapping'!$A$28:$A$39,0),1),INDEX('Category Mapping'!$E$28:$E$39,MATCH($A1158,'Category Mapping'!$A$28:$A$39,0),1))</f>
        <v>50745379.142857134</v>
      </c>
      <c r="X1158" s="27">
        <f>X578*IF($E1158="weekday",INDEX('Category Mapping'!$F$28:$F$39,MATCH('Summarized Source Data'!$A1158,'Category Mapping'!$A$28:$A$39,0),1),INDEX('Category Mapping'!$E$28:$E$39,MATCH($A1158,'Category Mapping'!$A$28:$A$39,0),1))</f>
        <v>2878571428.5714283</v>
      </c>
      <c r="Y1158" s="27">
        <f>Y578*IF($E1158="weekday",INDEX('Category Mapping'!$F$28:$F$39,MATCH('Summarized Source Data'!$A1158,'Category Mapping'!$A$28:$A$39,0),1),INDEX('Category Mapping'!$E$28:$E$39,MATCH($A1158,'Category Mapping'!$A$28:$A$39,0),1))</f>
        <v>2878571428.5714283</v>
      </c>
      <c r="Z1158" s="27">
        <f>Z578*IF($E1158="weekday",INDEX('Category Mapping'!$F$28:$F$39,MATCH('Summarized Source Data'!$A1158,'Category Mapping'!$A$28:$A$39,0),1),INDEX('Category Mapping'!$E$28:$E$39,MATCH($A1158,'Category Mapping'!$A$28:$A$39,0),1))</f>
        <v>2878571428.5714283</v>
      </c>
    </row>
    <row r="1159" spans="1:26" outlineLevel="1" x14ac:dyDescent="0.3">
      <c r="A1159">
        <f t="shared" ref="A1159:E1159" si="624">A579</f>
        <v>12</v>
      </c>
      <c r="B1159" t="str">
        <f t="shared" si="624"/>
        <v>Winter</v>
      </c>
      <c r="C1159" t="str">
        <f t="shared" si="624"/>
        <v>h24</v>
      </c>
      <c r="D1159" t="str">
        <f t="shared" si="624"/>
        <v>Hour23</v>
      </c>
      <c r="E1159" t="str">
        <f t="shared" si="624"/>
        <v>Weekend</v>
      </c>
      <c r="F1159" s="27">
        <f>F579*IF($E1159="weekday",INDEX('Category Mapping'!$F$28:$F$39,MATCH('Summarized Source Data'!$A1159,'Category Mapping'!$A$28:$A$39,0),1),INDEX('Category Mapping'!$E$28:$E$39,MATCH($A1159,'Category Mapping'!$A$28:$A$39,0),1))</f>
        <v>82886001.999999985</v>
      </c>
      <c r="G1159" s="27">
        <f>G579*IF($E1159="weekday",INDEX('Category Mapping'!$F$28:$F$39,MATCH('Summarized Source Data'!$A1159,'Category Mapping'!$A$28:$A$39,0),1),INDEX('Category Mapping'!$E$28:$E$39,MATCH($A1159,'Category Mapping'!$A$28:$A$39,0),1))</f>
        <v>74949.142857142841</v>
      </c>
      <c r="H1159" s="27">
        <f>H579*IF($E1159="weekday",INDEX('Category Mapping'!$F$28:$F$39,MATCH('Summarized Source Data'!$A1159,'Category Mapping'!$A$28:$A$39,0),1),INDEX('Category Mapping'!$E$28:$E$39,MATCH($A1159,'Category Mapping'!$A$28:$A$39,0),1))</f>
        <v>0</v>
      </c>
      <c r="I1159" s="27">
        <f>I579*IF($E1159="weekday",INDEX('Category Mapping'!$F$28:$F$39,MATCH('Summarized Source Data'!$A1159,'Category Mapping'!$A$28:$A$39,0),1),INDEX('Category Mapping'!$E$28:$E$39,MATCH($A1159,'Category Mapping'!$A$28:$A$39,0),1))</f>
        <v>92114285.714285702</v>
      </c>
      <c r="J1159" s="27">
        <f>J579*IF($E1159="weekday",INDEX('Category Mapping'!$F$28:$F$39,MATCH('Summarized Source Data'!$A1159,'Category Mapping'!$A$28:$A$39,0),1),INDEX('Category Mapping'!$E$28:$E$39,MATCH($A1159,'Category Mapping'!$A$28:$A$39,0),1))</f>
        <v>441381905.99999994</v>
      </c>
      <c r="K1159" s="27">
        <f>K579*IF($E1159="weekday",INDEX('Category Mapping'!$F$28:$F$39,MATCH('Summarized Source Data'!$A1159,'Category Mapping'!$A$28:$A$39,0),1),INDEX('Category Mapping'!$E$28:$E$39,MATCH($A1159,'Category Mapping'!$A$28:$A$39,0),1))</f>
        <v>441381905.99999994</v>
      </c>
      <c r="L1159" s="27">
        <f>L579*IF($E1159="weekday",INDEX('Category Mapping'!$F$28:$F$39,MATCH('Summarized Source Data'!$A1159,'Category Mapping'!$A$28:$A$39,0),1),INDEX('Category Mapping'!$E$28:$E$39,MATCH($A1159,'Category Mapping'!$A$28:$A$39,0),1))</f>
        <v>116028571.42857142</v>
      </c>
      <c r="M1159" s="27">
        <f>M579*IF($E1159="weekday",INDEX('Category Mapping'!$F$28:$F$39,MATCH('Summarized Source Data'!$A1159,'Category Mapping'!$A$28:$A$39,0),1),INDEX('Category Mapping'!$E$28:$E$39,MATCH($A1159,'Category Mapping'!$A$28:$A$39,0),1))</f>
        <v>239913.42857142855</v>
      </c>
      <c r="N1159" s="27">
        <f>N579*IF($E1159="weekday",INDEX('Category Mapping'!$F$28:$F$39,MATCH('Summarized Source Data'!$A1159,'Category Mapping'!$A$28:$A$39,0),1),INDEX('Category Mapping'!$E$28:$E$39,MATCH($A1159,'Category Mapping'!$A$28:$A$39,0),1))</f>
        <v>0</v>
      </c>
      <c r="O1159" s="27">
        <f>O579*IF($E1159="weekday",INDEX('Category Mapping'!$F$28:$F$39,MATCH('Summarized Source Data'!$A1159,'Category Mapping'!$A$28:$A$39,0),1),INDEX('Category Mapping'!$E$28:$E$39,MATCH($A1159,'Category Mapping'!$A$28:$A$39,0),1))</f>
        <v>697702943.71428561</v>
      </c>
      <c r="P1159" s="27">
        <f>P579*IF($E1159="weekday",INDEX('Category Mapping'!$F$28:$F$39,MATCH('Summarized Source Data'!$A1159,'Category Mapping'!$A$28:$A$39,0),1),INDEX('Category Mapping'!$E$28:$E$39,MATCH($A1159,'Category Mapping'!$A$28:$A$39,0),1))</f>
        <v>697702943.71428561</v>
      </c>
      <c r="Q1159" s="27">
        <f>Q579*IF($E1159="weekday",INDEX('Category Mapping'!$F$28:$F$39,MATCH('Summarized Source Data'!$A1159,'Category Mapping'!$A$28:$A$39,0),1),INDEX('Category Mapping'!$E$28:$E$39,MATCH($A1159,'Category Mapping'!$A$28:$A$39,0),1))</f>
        <v>697702943.71428561</v>
      </c>
      <c r="R1159" s="27">
        <f>R579*IF($E1159="weekday",INDEX('Category Mapping'!$F$28:$F$39,MATCH('Summarized Source Data'!$A1159,'Category Mapping'!$A$28:$A$39,0),1),INDEX('Category Mapping'!$E$28:$E$39,MATCH($A1159,'Category Mapping'!$A$28:$A$39,0),1))</f>
        <v>34099822.857142851</v>
      </c>
      <c r="S1159" s="27">
        <f>S579*IF($E1159="weekday",INDEX('Category Mapping'!$F$28:$F$39,MATCH('Summarized Source Data'!$A1159,'Category Mapping'!$A$28:$A$39,0),1),INDEX('Category Mapping'!$E$28:$E$39,MATCH($A1159,'Category Mapping'!$A$28:$A$39,0),1))</f>
        <v>34099822.857142851</v>
      </c>
      <c r="T1159" s="27">
        <f>T579*IF($E1159="weekday",INDEX('Category Mapping'!$F$28:$F$39,MATCH('Summarized Source Data'!$A1159,'Category Mapping'!$A$28:$A$39,0),1),INDEX('Category Mapping'!$E$28:$E$39,MATCH($A1159,'Category Mapping'!$A$28:$A$39,0),1))</f>
        <v>34099822.857142851</v>
      </c>
      <c r="U1159" s="27">
        <f>U579*IF($E1159="weekday",INDEX('Category Mapping'!$F$28:$F$39,MATCH('Summarized Source Data'!$A1159,'Category Mapping'!$A$28:$A$39,0),1),INDEX('Category Mapping'!$E$28:$E$39,MATCH($A1159,'Category Mapping'!$A$28:$A$39,0),1))</f>
        <v>34099822.857142851</v>
      </c>
      <c r="V1159" s="27">
        <f>V579*IF($E1159="weekday",INDEX('Category Mapping'!$F$28:$F$39,MATCH('Summarized Source Data'!$A1159,'Category Mapping'!$A$28:$A$39,0),1),INDEX('Category Mapping'!$E$28:$E$39,MATCH($A1159,'Category Mapping'!$A$28:$A$39,0),1))</f>
        <v>34099822.857142851</v>
      </c>
      <c r="W1159" s="27">
        <f>W579*IF($E1159="weekday",INDEX('Category Mapping'!$F$28:$F$39,MATCH('Summarized Source Data'!$A1159,'Category Mapping'!$A$28:$A$39,0),1),INDEX('Category Mapping'!$E$28:$E$39,MATCH($A1159,'Category Mapping'!$A$28:$A$39,0),1))</f>
        <v>34099822.857142851</v>
      </c>
      <c r="X1159" s="27">
        <f>X579*IF($E1159="weekday",INDEX('Category Mapping'!$F$28:$F$39,MATCH('Summarized Source Data'!$A1159,'Category Mapping'!$A$28:$A$39,0),1),INDEX('Category Mapping'!$E$28:$E$39,MATCH($A1159,'Category Mapping'!$A$28:$A$39,0),1))</f>
        <v>2860857142.8571424</v>
      </c>
      <c r="Y1159" s="27">
        <f>Y579*IF($E1159="weekday",INDEX('Category Mapping'!$F$28:$F$39,MATCH('Summarized Source Data'!$A1159,'Category Mapping'!$A$28:$A$39,0),1),INDEX('Category Mapping'!$E$28:$E$39,MATCH($A1159,'Category Mapping'!$A$28:$A$39,0),1))</f>
        <v>2860857142.8571424</v>
      </c>
      <c r="Z1159" s="27">
        <f>Z579*IF($E1159="weekday",INDEX('Category Mapping'!$F$28:$F$39,MATCH('Summarized Source Data'!$A1159,'Category Mapping'!$A$28:$A$39,0),1),INDEX('Category Mapping'!$E$28:$E$39,MATCH($A1159,'Category Mapping'!$A$28:$A$39,0),1))</f>
        <v>2860857142.8571424</v>
      </c>
    </row>
    <row r="1160" spans="1:26" x14ac:dyDescent="0.3">
      <c r="E1160" s="27"/>
      <c r="F1160" s="27"/>
      <c r="G1160" s="27"/>
      <c r="H1160" s="27"/>
      <c r="I1160" s="27"/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7"/>
      <c r="X1160" s="27"/>
      <c r="Y1160" s="27"/>
    </row>
    <row r="1161" spans="1:26" x14ac:dyDescent="0.3">
      <c r="A1161" s="66" t="s">
        <v>267</v>
      </c>
      <c r="B1161" s="66"/>
      <c r="C1161" s="66"/>
      <c r="D1161" s="66"/>
      <c r="E1161" s="66"/>
      <c r="F1161" s="66"/>
      <c r="G1161" s="66"/>
      <c r="H1161" s="66"/>
      <c r="I1161" s="66"/>
      <c r="J1161" s="66"/>
      <c r="K1161" s="66"/>
      <c r="L1161" s="66"/>
      <c r="M1161" s="66"/>
      <c r="N1161" s="66"/>
      <c r="O1161" s="66"/>
      <c r="P1161" s="66"/>
      <c r="Q1161" s="66"/>
      <c r="R1161" s="66"/>
      <c r="S1161" s="66"/>
      <c r="T1161" s="66"/>
      <c r="U1161" s="66"/>
      <c r="V1161" s="66"/>
      <c r="W1161" s="66"/>
      <c r="X1161" s="66"/>
      <c r="Y1161" s="66"/>
    </row>
    <row r="1162" spans="1:26" outlineLevel="1" x14ac:dyDescent="0.3">
      <c r="D1162" t="s">
        <v>116</v>
      </c>
      <c r="E1162" t="s">
        <v>116</v>
      </c>
      <c r="F1162" t="s">
        <v>116</v>
      </c>
      <c r="G1162" t="s">
        <v>116</v>
      </c>
      <c r="H1162" t="s">
        <v>116</v>
      </c>
      <c r="I1162" t="s">
        <v>116</v>
      </c>
      <c r="J1162" t="s">
        <v>117</v>
      </c>
      <c r="K1162" t="s">
        <v>117</v>
      </c>
      <c r="L1162" t="s">
        <v>117</v>
      </c>
      <c r="M1162" t="s">
        <v>117</v>
      </c>
      <c r="N1162" t="s">
        <v>117</v>
      </c>
      <c r="O1162" t="s">
        <v>117</v>
      </c>
      <c r="P1162" t="s">
        <v>118</v>
      </c>
      <c r="Q1162" t="s">
        <v>118</v>
      </c>
      <c r="R1162" t="s">
        <v>118</v>
      </c>
      <c r="S1162" t="s">
        <v>118</v>
      </c>
      <c r="T1162" t="s">
        <v>118</v>
      </c>
      <c r="U1162" t="s">
        <v>118</v>
      </c>
      <c r="V1162" t="s">
        <v>119</v>
      </c>
      <c r="W1162" t="s">
        <v>119</v>
      </c>
      <c r="X1162" t="s">
        <v>119</v>
      </c>
    </row>
    <row r="1163" spans="1:26" ht="28.8" outlineLevel="1" x14ac:dyDescent="0.3">
      <c r="A1163" s="4" t="s">
        <v>120</v>
      </c>
      <c r="B1163" s="65" t="s">
        <v>121</v>
      </c>
      <c r="C1163" s="65"/>
      <c r="D1163" s="4" t="s">
        <v>123</v>
      </c>
      <c r="E1163" s="4" t="s">
        <v>124</v>
      </c>
      <c r="F1163" s="4" t="s">
        <v>125</v>
      </c>
      <c r="G1163" s="4" t="s">
        <v>126</v>
      </c>
      <c r="H1163" s="4" t="s">
        <v>127</v>
      </c>
      <c r="I1163" s="4" t="s">
        <v>128</v>
      </c>
      <c r="J1163" s="4" t="s">
        <v>123</v>
      </c>
      <c r="K1163" s="4" t="s">
        <v>124</v>
      </c>
      <c r="L1163" s="4" t="s">
        <v>125</v>
      </c>
      <c r="M1163" s="4" t="s">
        <v>126</v>
      </c>
      <c r="N1163" s="4" t="s">
        <v>127</v>
      </c>
      <c r="O1163" s="4" t="s">
        <v>128</v>
      </c>
      <c r="P1163" s="4" t="s">
        <v>129</v>
      </c>
      <c r="Q1163" s="4" t="s">
        <v>130</v>
      </c>
      <c r="R1163" s="4" t="s">
        <v>131</v>
      </c>
      <c r="S1163" s="4" t="s">
        <v>132</v>
      </c>
      <c r="T1163" s="4" t="s">
        <v>133</v>
      </c>
      <c r="U1163" s="4" t="s">
        <v>134</v>
      </c>
      <c r="V1163" s="4" t="s">
        <v>119</v>
      </c>
      <c r="W1163" s="4" t="s">
        <v>135</v>
      </c>
      <c r="X1163" s="4" t="s">
        <v>136</v>
      </c>
      <c r="Y1163" s="20"/>
    </row>
    <row r="1164" spans="1:26" outlineLevel="1" x14ac:dyDescent="0.3">
      <c r="A1164" t="s">
        <v>137</v>
      </c>
      <c r="B1164" t="s">
        <v>63</v>
      </c>
      <c r="C1164" s="6" t="s">
        <v>138</v>
      </c>
      <c r="D1164" s="10">
        <f>SUMIFS(F$584:F$1159,$B$584:$B$1159,$A1164,$C$584:$C$1159,$B1164)</f>
        <v>1712942334.0000002</v>
      </c>
      <c r="E1164" s="10">
        <f t="shared" ref="E1164:X1164" si="625">SUMIFS(G$584:G$1159,$B$584:$B$1159,$A1164,$C$584:$C$1159,$B1164)</f>
        <v>2406408.4285714286</v>
      </c>
      <c r="F1164" s="10">
        <f t="shared" si="625"/>
        <v>0</v>
      </c>
      <c r="G1164" s="10">
        <f t="shared" si="625"/>
        <v>1236231877.4285717</v>
      </c>
      <c r="H1164" s="10">
        <f t="shared" si="625"/>
        <v>7668876523.000001</v>
      </c>
      <c r="I1164" s="10">
        <f t="shared" si="625"/>
        <v>7668876523.000001</v>
      </c>
      <c r="J1164" s="10">
        <f t="shared" si="625"/>
        <v>3350534808.5714283</v>
      </c>
      <c r="K1164" s="10">
        <f t="shared" si="625"/>
        <v>6510180.2857142864</v>
      </c>
      <c r="L1164" s="10">
        <f t="shared" si="625"/>
        <v>0</v>
      </c>
      <c r="M1164" s="10">
        <f t="shared" si="625"/>
        <v>15890869296.857143</v>
      </c>
      <c r="N1164" s="10">
        <f t="shared" si="625"/>
        <v>15890869296.857143</v>
      </c>
      <c r="O1164" s="10">
        <f t="shared" si="625"/>
        <v>15890869296.857143</v>
      </c>
      <c r="P1164" s="10">
        <f t="shared" si="625"/>
        <v>519189334.14285713</v>
      </c>
      <c r="Q1164" s="10">
        <f t="shared" si="625"/>
        <v>519189334.14285713</v>
      </c>
      <c r="R1164" s="10">
        <f t="shared" si="625"/>
        <v>519189334.14285713</v>
      </c>
      <c r="S1164" s="10">
        <f t="shared" si="625"/>
        <v>519189334.14285713</v>
      </c>
      <c r="T1164" s="10">
        <f t="shared" si="625"/>
        <v>519189334.14285713</v>
      </c>
      <c r="U1164" s="10">
        <f t="shared" si="625"/>
        <v>519189334.14285713</v>
      </c>
      <c r="V1164" s="10">
        <f t="shared" si="625"/>
        <v>67393428571.428574</v>
      </c>
      <c r="W1164" s="10">
        <f t="shared" si="625"/>
        <v>67393428571.428574</v>
      </c>
      <c r="X1164" s="10">
        <f t="shared" si="625"/>
        <v>67393428571.428574</v>
      </c>
      <c r="Y1164" s="27"/>
      <c r="Z1164" s="32"/>
    </row>
    <row r="1165" spans="1:26" outlineLevel="1" x14ac:dyDescent="0.3">
      <c r="A1165" t="s">
        <v>137</v>
      </c>
      <c r="B1165" t="s">
        <v>64</v>
      </c>
      <c r="C1165" s="6" t="s">
        <v>139</v>
      </c>
      <c r="D1165" s="10">
        <f t="shared" ref="D1165:D1228" si="626">SUMIFS(F$584:F$1159,$B$584:$B$1159,$A1165,$C$584:$C$1159,$B1165)</f>
        <v>1748925284.8571427</v>
      </c>
      <c r="E1165" s="10">
        <f t="shared" ref="E1165:E1228" si="627">SUMIFS(G$584:G$1159,$B$584:$B$1159,$A1165,$C$584:$C$1159,$B1165)</f>
        <v>2423667.1428571432</v>
      </c>
      <c r="F1165" s="10">
        <f t="shared" ref="F1165:F1228" si="628">SUMIFS(H$584:H$1159,$B$584:$B$1159,$A1165,$C$584:$C$1159,$B1165)</f>
        <v>0</v>
      </c>
      <c r="G1165" s="10">
        <f t="shared" ref="G1165:G1228" si="629">SUMIFS(I$584:I$1159,$B$584:$B$1159,$A1165,$C$584:$C$1159,$B1165)</f>
        <v>1124690855.4285715</v>
      </c>
      <c r="H1165" s="10">
        <f t="shared" ref="H1165:H1228" si="630">SUMIFS(J$584:J$1159,$B$584:$B$1159,$A1165,$C$584:$C$1159,$B1165)</f>
        <v>5634574478.2857151</v>
      </c>
      <c r="I1165" s="10">
        <f t="shared" ref="I1165:I1228" si="631">SUMIFS(K$584:K$1159,$B$584:$B$1159,$A1165,$C$584:$C$1159,$B1165)</f>
        <v>5634574478.2857151</v>
      </c>
      <c r="J1165" s="10">
        <f t="shared" ref="J1165:J1228" si="632">SUMIFS(L$584:L$1159,$B$584:$B$1159,$A1165,$C$584:$C$1159,$B1165)</f>
        <v>3068545908.5714288</v>
      </c>
      <c r="K1165" s="10">
        <f t="shared" ref="K1165:K1228" si="633">SUMIFS(M$584:M$1159,$B$584:$B$1159,$A1165,$C$584:$C$1159,$B1165)</f>
        <v>6180284</v>
      </c>
      <c r="L1165" s="10">
        <f t="shared" ref="L1165:L1228" si="634">SUMIFS(N$584:N$1159,$B$584:$B$1159,$A1165,$C$584:$C$1159,$B1165)</f>
        <v>0</v>
      </c>
      <c r="M1165" s="10">
        <f t="shared" ref="M1165:M1228" si="635">SUMIFS(O$584:O$1159,$B$584:$B$1159,$A1165,$C$584:$C$1159,$B1165)</f>
        <v>15314045236</v>
      </c>
      <c r="N1165" s="10">
        <f t="shared" ref="N1165:N1228" si="636">SUMIFS(P$584:P$1159,$B$584:$B$1159,$A1165,$C$584:$C$1159,$B1165)</f>
        <v>15314045236</v>
      </c>
      <c r="O1165" s="10">
        <f t="shared" ref="O1165:O1228" si="637">SUMIFS(Q$584:Q$1159,$B$584:$B$1159,$A1165,$C$584:$C$1159,$B1165)</f>
        <v>15314045236</v>
      </c>
      <c r="P1165" s="10">
        <f t="shared" ref="P1165:P1228" si="638">SUMIFS(R$584:R$1159,$B$584:$B$1159,$A1165,$C$584:$C$1159,$B1165)</f>
        <v>508959505.57142854</v>
      </c>
      <c r="Q1165" s="10">
        <f t="shared" ref="Q1165:Q1228" si="639">SUMIFS(S$584:S$1159,$B$584:$B$1159,$A1165,$C$584:$C$1159,$B1165)</f>
        <v>508959505.57142854</v>
      </c>
      <c r="R1165" s="10">
        <f t="shared" ref="R1165:R1228" si="640">SUMIFS(T$584:T$1159,$B$584:$B$1159,$A1165,$C$584:$C$1159,$B1165)</f>
        <v>508959505.57142854</v>
      </c>
      <c r="S1165" s="10">
        <f t="shared" ref="S1165:S1228" si="641">SUMIFS(U$584:U$1159,$B$584:$B$1159,$A1165,$C$584:$C$1159,$B1165)</f>
        <v>508959505.57142854</v>
      </c>
      <c r="T1165" s="10">
        <f t="shared" ref="T1165:T1228" si="642">SUMIFS(V$584:V$1159,$B$584:$B$1159,$A1165,$C$584:$C$1159,$B1165)</f>
        <v>508959505.57142854</v>
      </c>
      <c r="U1165" s="10">
        <f t="shared" ref="U1165:U1228" si="643">SUMIFS(W$584:W$1159,$B$584:$B$1159,$A1165,$C$584:$C$1159,$B1165)</f>
        <v>508959505.57142854</v>
      </c>
      <c r="V1165" s="10">
        <f t="shared" ref="V1165:V1228" si="644">SUMIFS(X$584:X$1159,$B$584:$B$1159,$A1165,$C$584:$C$1159,$B1165)</f>
        <v>67304428571.428574</v>
      </c>
      <c r="W1165" s="10">
        <f t="shared" ref="W1165:W1228" si="645">SUMIFS(Y$584:Y$1159,$B$584:$B$1159,$A1165,$C$584:$C$1159,$B1165)</f>
        <v>67304428571.428574</v>
      </c>
      <c r="X1165" s="10">
        <f t="shared" ref="X1165:X1228" si="646">SUMIFS(Z$584:Z$1159,$B$584:$B$1159,$A1165,$C$584:$C$1159,$B1165)</f>
        <v>67304428571.428574</v>
      </c>
      <c r="Y1165" s="27"/>
      <c r="Z1165" s="32"/>
    </row>
    <row r="1166" spans="1:26" outlineLevel="1" x14ac:dyDescent="0.3">
      <c r="A1166" t="s">
        <v>137</v>
      </c>
      <c r="B1166" t="s">
        <v>65</v>
      </c>
      <c r="C1166" s="6" t="s">
        <v>140</v>
      </c>
      <c r="D1166" s="10">
        <f t="shared" si="626"/>
        <v>1758958290.2857144</v>
      </c>
      <c r="E1166" s="10">
        <f t="shared" si="627"/>
        <v>2436654.4285714286</v>
      </c>
      <c r="F1166" s="10">
        <f t="shared" si="628"/>
        <v>0</v>
      </c>
      <c r="G1166" s="10">
        <f t="shared" si="629"/>
        <v>1109115813.1428573</v>
      </c>
      <c r="H1166" s="10">
        <f t="shared" si="630"/>
        <v>4507389242.1428576</v>
      </c>
      <c r="I1166" s="10">
        <f t="shared" si="631"/>
        <v>4507389242.1428576</v>
      </c>
      <c r="J1166" s="10">
        <f t="shared" si="632"/>
        <v>2753123661.7142859</v>
      </c>
      <c r="K1166" s="10">
        <f t="shared" si="633"/>
        <v>6042606.1428571437</v>
      </c>
      <c r="L1166" s="10">
        <f t="shared" si="634"/>
        <v>0</v>
      </c>
      <c r="M1166" s="10">
        <f t="shared" si="635"/>
        <v>15242919446.428572</v>
      </c>
      <c r="N1166" s="10">
        <f t="shared" si="636"/>
        <v>15242919446.428572</v>
      </c>
      <c r="O1166" s="10">
        <f t="shared" si="637"/>
        <v>15242919446.428572</v>
      </c>
      <c r="P1166" s="10">
        <f t="shared" si="638"/>
        <v>506261991.57142854</v>
      </c>
      <c r="Q1166" s="10">
        <f t="shared" si="639"/>
        <v>506261991.57142854</v>
      </c>
      <c r="R1166" s="10">
        <f t="shared" si="640"/>
        <v>506261991.57142854</v>
      </c>
      <c r="S1166" s="10">
        <f t="shared" si="641"/>
        <v>506261991.57142854</v>
      </c>
      <c r="T1166" s="10">
        <f t="shared" si="642"/>
        <v>506261991.57142854</v>
      </c>
      <c r="U1166" s="10">
        <f t="shared" si="643"/>
        <v>506261991.57142854</v>
      </c>
      <c r="V1166" s="10">
        <f t="shared" si="644"/>
        <v>67282285714.285706</v>
      </c>
      <c r="W1166" s="10">
        <f t="shared" si="645"/>
        <v>67282285714.285706</v>
      </c>
      <c r="X1166" s="10">
        <f t="shared" si="646"/>
        <v>67282285714.285706</v>
      </c>
      <c r="Y1166" s="27"/>
      <c r="Z1166" s="32"/>
    </row>
    <row r="1167" spans="1:26" outlineLevel="1" x14ac:dyDescent="0.3">
      <c r="A1167" t="s">
        <v>137</v>
      </c>
      <c r="B1167" t="s">
        <v>66</v>
      </c>
      <c r="C1167" s="6" t="s">
        <v>141</v>
      </c>
      <c r="D1167" s="10">
        <f t="shared" si="626"/>
        <v>1748925284.8571427</v>
      </c>
      <c r="E1167" s="10">
        <f t="shared" si="627"/>
        <v>2438540.2857142854</v>
      </c>
      <c r="F1167" s="10">
        <f t="shared" si="628"/>
        <v>0</v>
      </c>
      <c r="G1167" s="10">
        <f t="shared" si="629"/>
        <v>1128234482.8571429</v>
      </c>
      <c r="H1167" s="10">
        <f t="shared" si="630"/>
        <v>3878058834.8571434</v>
      </c>
      <c r="I1167" s="10">
        <f t="shared" si="631"/>
        <v>3878058834.8571434</v>
      </c>
      <c r="J1167" s="10">
        <f t="shared" si="632"/>
        <v>2846494059.7142854</v>
      </c>
      <c r="K1167" s="10">
        <f t="shared" si="633"/>
        <v>5964961.8571428563</v>
      </c>
      <c r="L1167" s="10">
        <f t="shared" si="634"/>
        <v>0</v>
      </c>
      <c r="M1167" s="10">
        <f t="shared" si="635"/>
        <v>15807883835.57143</v>
      </c>
      <c r="N1167" s="10">
        <f t="shared" si="636"/>
        <v>15807883835.57143</v>
      </c>
      <c r="O1167" s="10">
        <f t="shared" si="637"/>
        <v>15807883835.57143</v>
      </c>
      <c r="P1167" s="10">
        <f t="shared" si="638"/>
        <v>507636505.85714281</v>
      </c>
      <c r="Q1167" s="10">
        <f t="shared" si="639"/>
        <v>507636505.85714281</v>
      </c>
      <c r="R1167" s="10">
        <f t="shared" si="640"/>
        <v>507636505.85714281</v>
      </c>
      <c r="S1167" s="10">
        <f t="shared" si="641"/>
        <v>507636505.85714281</v>
      </c>
      <c r="T1167" s="10">
        <f t="shared" si="642"/>
        <v>507636505.85714281</v>
      </c>
      <c r="U1167" s="10">
        <f t="shared" si="643"/>
        <v>507636505.85714281</v>
      </c>
      <c r="V1167" s="10">
        <f t="shared" si="644"/>
        <v>67316571428.571419</v>
      </c>
      <c r="W1167" s="10">
        <f t="shared" si="645"/>
        <v>67316571428.571419</v>
      </c>
      <c r="X1167" s="10">
        <f t="shared" si="646"/>
        <v>67316571428.571419</v>
      </c>
      <c r="Y1167" s="27"/>
      <c r="Z1167" s="32"/>
    </row>
    <row r="1168" spans="1:26" outlineLevel="1" x14ac:dyDescent="0.3">
      <c r="A1168" t="s">
        <v>137</v>
      </c>
      <c r="B1168" t="s">
        <v>67</v>
      </c>
      <c r="C1168" s="6" t="s">
        <v>142</v>
      </c>
      <c r="D1168" s="10">
        <f t="shared" si="626"/>
        <v>1712942334.0000002</v>
      </c>
      <c r="E1168" s="10">
        <f t="shared" si="627"/>
        <v>2385644.4285714286</v>
      </c>
      <c r="F1168" s="10">
        <f t="shared" si="628"/>
        <v>0</v>
      </c>
      <c r="G1168" s="10">
        <f t="shared" si="629"/>
        <v>1408777370.2857141</v>
      </c>
      <c r="H1168" s="10">
        <f t="shared" si="630"/>
        <v>4081294651.2857141</v>
      </c>
      <c r="I1168" s="10">
        <f t="shared" si="631"/>
        <v>4081294651.2857141</v>
      </c>
      <c r="J1168" s="10">
        <f t="shared" si="632"/>
        <v>2984606170.0000005</v>
      </c>
      <c r="K1168" s="10">
        <f t="shared" si="633"/>
        <v>5948202.2857142854</v>
      </c>
      <c r="L1168" s="10">
        <f t="shared" si="634"/>
        <v>0</v>
      </c>
      <c r="M1168" s="10">
        <f t="shared" si="635"/>
        <v>16706845627.714287</v>
      </c>
      <c r="N1168" s="10">
        <f t="shared" si="636"/>
        <v>16706845627.714287</v>
      </c>
      <c r="O1168" s="10">
        <f t="shared" si="637"/>
        <v>16706845627.714287</v>
      </c>
      <c r="P1168" s="10">
        <f t="shared" si="638"/>
        <v>505737300.14285707</v>
      </c>
      <c r="Q1168" s="10">
        <f t="shared" si="639"/>
        <v>505737300.14285707</v>
      </c>
      <c r="R1168" s="10">
        <f t="shared" si="640"/>
        <v>505737300.14285707</v>
      </c>
      <c r="S1168" s="10">
        <f t="shared" si="641"/>
        <v>505737300.14285707</v>
      </c>
      <c r="T1168" s="10">
        <f t="shared" si="642"/>
        <v>505737300.14285707</v>
      </c>
      <c r="U1168" s="10">
        <f t="shared" si="643"/>
        <v>505737300.14285707</v>
      </c>
      <c r="V1168" s="10">
        <f t="shared" si="644"/>
        <v>67581999999.999992</v>
      </c>
      <c r="W1168" s="10">
        <f t="shared" si="645"/>
        <v>67581999999.999992</v>
      </c>
      <c r="X1168" s="10">
        <f t="shared" si="646"/>
        <v>67581999999.999992</v>
      </c>
      <c r="Y1168" s="27"/>
      <c r="Z1168" s="32"/>
    </row>
    <row r="1169" spans="1:26" outlineLevel="1" x14ac:dyDescent="0.3">
      <c r="A1169" t="s">
        <v>137</v>
      </c>
      <c r="B1169" t="s">
        <v>68</v>
      </c>
      <c r="C1169" s="6" t="s">
        <v>143</v>
      </c>
      <c r="D1169" s="10">
        <f t="shared" si="626"/>
        <v>2059355969.7142859</v>
      </c>
      <c r="E1169" s="10">
        <f t="shared" si="627"/>
        <v>2218458.7142857146</v>
      </c>
      <c r="F1169" s="10">
        <f t="shared" si="628"/>
        <v>0</v>
      </c>
      <c r="G1169" s="10">
        <f t="shared" si="629"/>
        <v>2332306319.1428571</v>
      </c>
      <c r="H1169" s="10">
        <f t="shared" si="630"/>
        <v>5501833538.1428566</v>
      </c>
      <c r="I1169" s="10">
        <f t="shared" si="631"/>
        <v>5501833538.1428566</v>
      </c>
      <c r="J1169" s="10">
        <f t="shared" si="632"/>
        <v>3051258020</v>
      </c>
      <c r="K1169" s="10">
        <f t="shared" si="633"/>
        <v>6111396.7142857136</v>
      </c>
      <c r="L1169" s="10">
        <f t="shared" si="634"/>
        <v>0</v>
      </c>
      <c r="M1169" s="10">
        <f t="shared" si="635"/>
        <v>19308202011.857143</v>
      </c>
      <c r="N1169" s="10">
        <f t="shared" si="636"/>
        <v>19308202011.857143</v>
      </c>
      <c r="O1169" s="10">
        <f t="shared" si="637"/>
        <v>19308202011.857143</v>
      </c>
      <c r="P1169" s="10">
        <f t="shared" si="638"/>
        <v>517757314.71428573</v>
      </c>
      <c r="Q1169" s="10">
        <f t="shared" si="639"/>
        <v>517757314.71428573</v>
      </c>
      <c r="R1169" s="10">
        <f t="shared" si="640"/>
        <v>517757314.71428573</v>
      </c>
      <c r="S1169" s="10">
        <f t="shared" si="641"/>
        <v>517757314.71428573</v>
      </c>
      <c r="T1169" s="10">
        <f t="shared" si="642"/>
        <v>517757314.71428573</v>
      </c>
      <c r="U1169" s="10">
        <f t="shared" si="643"/>
        <v>517757314.71428573</v>
      </c>
      <c r="V1169" s="10">
        <f t="shared" si="644"/>
        <v>68069142857.142853</v>
      </c>
      <c r="W1169" s="10">
        <f t="shared" si="645"/>
        <v>68069142857.142853</v>
      </c>
      <c r="X1169" s="10">
        <f t="shared" si="646"/>
        <v>68069142857.142853</v>
      </c>
      <c r="Y1169" s="27"/>
      <c r="Z1169" s="32"/>
    </row>
    <row r="1170" spans="1:26" outlineLevel="1" x14ac:dyDescent="0.3">
      <c r="A1170" t="s">
        <v>137</v>
      </c>
      <c r="B1170" t="s">
        <v>69</v>
      </c>
      <c r="C1170" s="6" t="s">
        <v>144</v>
      </c>
      <c r="D1170" s="10">
        <f t="shared" si="626"/>
        <v>2174320594.2857141</v>
      </c>
      <c r="E1170" s="10">
        <f t="shared" si="627"/>
        <v>1868131.2857142857</v>
      </c>
      <c r="F1170" s="10">
        <f t="shared" si="628"/>
        <v>0</v>
      </c>
      <c r="G1170" s="10">
        <f t="shared" si="629"/>
        <v>3475942857.1428571</v>
      </c>
      <c r="H1170" s="10">
        <f t="shared" si="630"/>
        <v>8697868417.2857132</v>
      </c>
      <c r="I1170" s="10">
        <f t="shared" si="631"/>
        <v>8697868417.2857132</v>
      </c>
      <c r="J1170" s="10">
        <f t="shared" si="632"/>
        <v>3963600000</v>
      </c>
      <c r="K1170" s="10">
        <f t="shared" si="633"/>
        <v>6694957.2857142864</v>
      </c>
      <c r="L1170" s="10">
        <f t="shared" si="634"/>
        <v>0</v>
      </c>
      <c r="M1170" s="10">
        <f t="shared" si="635"/>
        <v>28081562185.57143</v>
      </c>
      <c r="N1170" s="10">
        <f t="shared" si="636"/>
        <v>28081562185.57143</v>
      </c>
      <c r="O1170" s="10">
        <f t="shared" si="637"/>
        <v>28081562185.57143</v>
      </c>
      <c r="P1170" s="10">
        <f t="shared" si="638"/>
        <v>753289813.85714281</v>
      </c>
      <c r="Q1170" s="10">
        <f t="shared" si="639"/>
        <v>753289813.85714281</v>
      </c>
      <c r="R1170" s="10">
        <f t="shared" si="640"/>
        <v>753289813.85714281</v>
      </c>
      <c r="S1170" s="10">
        <f t="shared" si="641"/>
        <v>753289813.85714281</v>
      </c>
      <c r="T1170" s="10">
        <f t="shared" si="642"/>
        <v>753289813.85714281</v>
      </c>
      <c r="U1170" s="10">
        <f t="shared" si="643"/>
        <v>753289813.85714281</v>
      </c>
      <c r="V1170" s="10">
        <f t="shared" si="644"/>
        <v>68792428571.428558</v>
      </c>
      <c r="W1170" s="10">
        <f t="shared" si="645"/>
        <v>68792428571.428558</v>
      </c>
      <c r="X1170" s="10">
        <f t="shared" si="646"/>
        <v>68792428571.428558</v>
      </c>
      <c r="Y1170" s="27"/>
      <c r="Z1170" s="32"/>
    </row>
    <row r="1171" spans="1:26" outlineLevel="1" x14ac:dyDescent="0.3">
      <c r="A1171" t="s">
        <v>137</v>
      </c>
      <c r="B1171" t="s">
        <v>70</v>
      </c>
      <c r="C1171" s="6" t="s">
        <v>145</v>
      </c>
      <c r="D1171" s="10">
        <f t="shared" si="626"/>
        <v>2148832562.8571429</v>
      </c>
      <c r="E1171" s="10">
        <f t="shared" si="627"/>
        <v>1469061.1428571427</v>
      </c>
      <c r="F1171" s="10">
        <f t="shared" si="628"/>
        <v>0</v>
      </c>
      <c r="G1171" s="10">
        <f t="shared" si="629"/>
        <v>2906310395.4285717</v>
      </c>
      <c r="H1171" s="10">
        <f t="shared" si="630"/>
        <v>11234102266.285715</v>
      </c>
      <c r="I1171" s="10">
        <f t="shared" si="631"/>
        <v>11234102266.285715</v>
      </c>
      <c r="J1171" s="10">
        <f t="shared" si="632"/>
        <v>9546485714.2857132</v>
      </c>
      <c r="K1171" s="10">
        <f t="shared" si="633"/>
        <v>7846261.4285714291</v>
      </c>
      <c r="L1171" s="10">
        <f t="shared" si="634"/>
        <v>0</v>
      </c>
      <c r="M1171" s="10">
        <f t="shared" si="635"/>
        <v>38314525167.14286</v>
      </c>
      <c r="N1171" s="10">
        <f t="shared" si="636"/>
        <v>38314525167.14286</v>
      </c>
      <c r="O1171" s="10">
        <f t="shared" si="637"/>
        <v>38314525167.14286</v>
      </c>
      <c r="P1171" s="10">
        <f t="shared" si="638"/>
        <v>1492793052</v>
      </c>
      <c r="Q1171" s="10">
        <f t="shared" si="639"/>
        <v>1492793052</v>
      </c>
      <c r="R1171" s="10">
        <f t="shared" si="640"/>
        <v>1492793052</v>
      </c>
      <c r="S1171" s="10">
        <f t="shared" si="641"/>
        <v>1492793052</v>
      </c>
      <c r="T1171" s="10">
        <f t="shared" si="642"/>
        <v>1492793052</v>
      </c>
      <c r="U1171" s="10">
        <f t="shared" si="643"/>
        <v>1492793052</v>
      </c>
      <c r="V1171" s="10">
        <f t="shared" si="644"/>
        <v>69337714285.714279</v>
      </c>
      <c r="W1171" s="10">
        <f t="shared" si="645"/>
        <v>69337714285.714279</v>
      </c>
      <c r="X1171" s="10">
        <f t="shared" si="646"/>
        <v>69337714285.714279</v>
      </c>
      <c r="Y1171" s="27"/>
      <c r="Z1171" s="32"/>
    </row>
    <row r="1172" spans="1:26" outlineLevel="1" x14ac:dyDescent="0.3">
      <c r="A1172" t="s">
        <v>137</v>
      </c>
      <c r="B1172" t="s">
        <v>71</v>
      </c>
      <c r="C1172" s="6" t="s">
        <v>146</v>
      </c>
      <c r="D1172" s="10">
        <f t="shared" si="626"/>
        <v>2077810814.2857141</v>
      </c>
      <c r="E1172" s="10">
        <f t="shared" si="627"/>
        <v>1217258.4285714286</v>
      </c>
      <c r="F1172" s="10">
        <f t="shared" si="628"/>
        <v>0</v>
      </c>
      <c r="G1172" s="10">
        <f t="shared" si="629"/>
        <v>1176215887.4285715</v>
      </c>
      <c r="H1172" s="10">
        <f t="shared" si="630"/>
        <v>11696070325.571428</v>
      </c>
      <c r="I1172" s="10">
        <f t="shared" si="631"/>
        <v>11696070325.571428</v>
      </c>
      <c r="J1172" s="10">
        <f t="shared" si="632"/>
        <v>9854228571.4285717</v>
      </c>
      <c r="K1172" s="10">
        <f t="shared" si="633"/>
        <v>9538619</v>
      </c>
      <c r="L1172" s="10">
        <f t="shared" si="634"/>
        <v>0</v>
      </c>
      <c r="M1172" s="10">
        <f t="shared" si="635"/>
        <v>47144375666.714287</v>
      </c>
      <c r="N1172" s="10">
        <f t="shared" si="636"/>
        <v>47144375666.714287</v>
      </c>
      <c r="O1172" s="10">
        <f t="shared" si="637"/>
        <v>47144375666.714287</v>
      </c>
      <c r="P1172" s="10">
        <f t="shared" si="638"/>
        <v>1640295792.2857144</v>
      </c>
      <c r="Q1172" s="10">
        <f t="shared" si="639"/>
        <v>1640295792.2857144</v>
      </c>
      <c r="R1172" s="10">
        <f t="shared" si="640"/>
        <v>1640295792.2857144</v>
      </c>
      <c r="S1172" s="10">
        <f t="shared" si="641"/>
        <v>1640295792.2857144</v>
      </c>
      <c r="T1172" s="10">
        <f t="shared" si="642"/>
        <v>1640295792.2857144</v>
      </c>
      <c r="U1172" s="10">
        <f t="shared" si="643"/>
        <v>1640295792.2857144</v>
      </c>
      <c r="V1172" s="10">
        <f t="shared" si="644"/>
        <v>69491428571.428558</v>
      </c>
      <c r="W1172" s="10">
        <f t="shared" si="645"/>
        <v>69491428571.428558</v>
      </c>
      <c r="X1172" s="10">
        <f t="shared" si="646"/>
        <v>69491428571.428558</v>
      </c>
      <c r="Y1172" s="35"/>
      <c r="Z1172" s="32"/>
    </row>
    <row r="1173" spans="1:26" outlineLevel="1" x14ac:dyDescent="0.3">
      <c r="A1173" t="s">
        <v>137</v>
      </c>
      <c r="B1173" t="s">
        <v>72</v>
      </c>
      <c r="C1173" s="6" t="s">
        <v>147</v>
      </c>
      <c r="D1173" s="10">
        <f t="shared" si="626"/>
        <v>1599345835.7142856</v>
      </c>
      <c r="E1173" s="10">
        <f t="shared" si="627"/>
        <v>1054566.4285714286</v>
      </c>
      <c r="F1173" s="10">
        <f t="shared" si="628"/>
        <v>0</v>
      </c>
      <c r="G1173" s="10">
        <f t="shared" si="629"/>
        <v>1151440463.7142856</v>
      </c>
      <c r="H1173" s="10">
        <f t="shared" si="630"/>
        <v>12227159134.142857</v>
      </c>
      <c r="I1173" s="10">
        <f t="shared" si="631"/>
        <v>12227159134.142857</v>
      </c>
      <c r="J1173" s="10">
        <f t="shared" si="632"/>
        <v>7113385714.2857151</v>
      </c>
      <c r="K1173" s="10">
        <f t="shared" si="633"/>
        <v>10619319</v>
      </c>
      <c r="L1173" s="10">
        <f t="shared" si="634"/>
        <v>0</v>
      </c>
      <c r="M1173" s="10">
        <f t="shared" si="635"/>
        <v>49688709252.428566</v>
      </c>
      <c r="N1173" s="10">
        <f t="shared" si="636"/>
        <v>49688709252.428566</v>
      </c>
      <c r="O1173" s="10">
        <f t="shared" si="637"/>
        <v>49688709252.428566</v>
      </c>
      <c r="P1173" s="10">
        <f t="shared" si="638"/>
        <v>1497800369.1428573</v>
      </c>
      <c r="Q1173" s="10">
        <f t="shared" si="639"/>
        <v>1497800369.1428573</v>
      </c>
      <c r="R1173" s="10">
        <f t="shared" si="640"/>
        <v>1497800369.1428573</v>
      </c>
      <c r="S1173" s="10">
        <f t="shared" si="641"/>
        <v>1497800369.1428573</v>
      </c>
      <c r="T1173" s="10">
        <f t="shared" si="642"/>
        <v>1497800369.1428573</v>
      </c>
      <c r="U1173" s="10">
        <f t="shared" si="643"/>
        <v>1497800369.1428573</v>
      </c>
      <c r="V1173" s="10">
        <f t="shared" si="644"/>
        <v>69354857142.857147</v>
      </c>
      <c r="W1173" s="10">
        <f t="shared" si="645"/>
        <v>69354857142.857147</v>
      </c>
      <c r="X1173" s="10">
        <f t="shared" si="646"/>
        <v>69354857142.857147</v>
      </c>
      <c r="Y1173" s="27"/>
      <c r="Z1173" s="32"/>
    </row>
    <row r="1174" spans="1:26" outlineLevel="1" x14ac:dyDescent="0.3">
      <c r="A1174" t="s">
        <v>137</v>
      </c>
      <c r="B1174" t="s">
        <v>73</v>
      </c>
      <c r="C1174" s="6" t="s">
        <v>148</v>
      </c>
      <c r="D1174" s="10">
        <f t="shared" si="626"/>
        <v>1539985485.7142856</v>
      </c>
      <c r="E1174" s="10">
        <f t="shared" si="627"/>
        <v>1027087.7142857143</v>
      </c>
      <c r="F1174" s="10">
        <f t="shared" si="628"/>
        <v>0</v>
      </c>
      <c r="G1174" s="10">
        <f t="shared" si="629"/>
        <v>1168065170.8571429</v>
      </c>
      <c r="H1174" s="10">
        <f t="shared" si="630"/>
        <v>12695922255.714285</v>
      </c>
      <c r="I1174" s="10">
        <f t="shared" si="631"/>
        <v>12695922255.714285</v>
      </c>
      <c r="J1174" s="10">
        <f t="shared" si="632"/>
        <v>5890199999.999999</v>
      </c>
      <c r="K1174" s="10">
        <f t="shared" si="633"/>
        <v>11180964.142857144</v>
      </c>
      <c r="L1174" s="10">
        <f t="shared" si="634"/>
        <v>0</v>
      </c>
      <c r="M1174" s="10">
        <f t="shared" si="635"/>
        <v>49353761893</v>
      </c>
      <c r="N1174" s="10">
        <f t="shared" si="636"/>
        <v>49353761893</v>
      </c>
      <c r="O1174" s="10">
        <f t="shared" si="637"/>
        <v>49353761893</v>
      </c>
      <c r="P1174" s="10">
        <f t="shared" si="638"/>
        <v>1251918972.5714285</v>
      </c>
      <c r="Q1174" s="10">
        <f t="shared" si="639"/>
        <v>1251918972.5714285</v>
      </c>
      <c r="R1174" s="10">
        <f t="shared" si="640"/>
        <v>1251918972.5714285</v>
      </c>
      <c r="S1174" s="10">
        <f t="shared" si="641"/>
        <v>1251918972.5714285</v>
      </c>
      <c r="T1174" s="10">
        <f t="shared" si="642"/>
        <v>1251918972.5714285</v>
      </c>
      <c r="U1174" s="10">
        <f t="shared" si="643"/>
        <v>1251918972.5714285</v>
      </c>
      <c r="V1174" s="10">
        <f t="shared" si="644"/>
        <v>69084857142.857147</v>
      </c>
      <c r="W1174" s="10">
        <f t="shared" si="645"/>
        <v>69084857142.857147</v>
      </c>
      <c r="X1174" s="10">
        <f t="shared" si="646"/>
        <v>69084857142.857147</v>
      </c>
      <c r="Y1174" s="27"/>
      <c r="Z1174" s="32"/>
    </row>
    <row r="1175" spans="1:26" outlineLevel="1" x14ac:dyDescent="0.3">
      <c r="A1175" t="s">
        <v>137</v>
      </c>
      <c r="B1175" t="s">
        <v>74</v>
      </c>
      <c r="C1175" s="6" t="s">
        <v>149</v>
      </c>
      <c r="D1175" s="10">
        <f t="shared" si="626"/>
        <v>1479863030.5714283</v>
      </c>
      <c r="E1175" s="10">
        <f t="shared" si="627"/>
        <v>1127490.5714285716</v>
      </c>
      <c r="F1175" s="10">
        <f t="shared" si="628"/>
        <v>0</v>
      </c>
      <c r="G1175" s="10">
        <f t="shared" si="629"/>
        <v>1270499468.0000002</v>
      </c>
      <c r="H1175" s="10">
        <f t="shared" si="630"/>
        <v>13016795725.142857</v>
      </c>
      <c r="I1175" s="10">
        <f t="shared" si="631"/>
        <v>13016795725.142857</v>
      </c>
      <c r="J1175" s="10">
        <f t="shared" si="632"/>
        <v>5139457142.8571424</v>
      </c>
      <c r="K1175" s="10">
        <f t="shared" si="633"/>
        <v>11312584.142857144</v>
      </c>
      <c r="L1175" s="10">
        <f t="shared" si="634"/>
        <v>0</v>
      </c>
      <c r="M1175" s="10">
        <f t="shared" si="635"/>
        <v>49211658844.428574</v>
      </c>
      <c r="N1175" s="10">
        <f t="shared" si="636"/>
        <v>49211658844.428574</v>
      </c>
      <c r="O1175" s="10">
        <f t="shared" si="637"/>
        <v>49211658844.428574</v>
      </c>
      <c r="P1175" s="10">
        <f t="shared" si="638"/>
        <v>1264499624</v>
      </c>
      <c r="Q1175" s="10">
        <f t="shared" si="639"/>
        <v>1264499624</v>
      </c>
      <c r="R1175" s="10">
        <f t="shared" si="640"/>
        <v>1264499624</v>
      </c>
      <c r="S1175" s="10">
        <f t="shared" si="641"/>
        <v>1264499624</v>
      </c>
      <c r="T1175" s="10">
        <f t="shared" si="642"/>
        <v>1264499624</v>
      </c>
      <c r="U1175" s="10">
        <f t="shared" si="643"/>
        <v>1264499624</v>
      </c>
      <c r="V1175" s="10">
        <f t="shared" si="644"/>
        <v>68874285714.285721</v>
      </c>
      <c r="W1175" s="10">
        <f t="shared" si="645"/>
        <v>68874285714.285721</v>
      </c>
      <c r="X1175" s="10">
        <f t="shared" si="646"/>
        <v>68874285714.285721</v>
      </c>
      <c r="Y1175" s="27"/>
      <c r="Z1175" s="32"/>
    </row>
    <row r="1176" spans="1:26" outlineLevel="1" x14ac:dyDescent="0.3">
      <c r="A1176" t="s">
        <v>137</v>
      </c>
      <c r="B1176" t="s">
        <v>75</v>
      </c>
      <c r="C1176" s="6" t="s">
        <v>150</v>
      </c>
      <c r="D1176" s="10">
        <f t="shared" si="626"/>
        <v>1471926792</v>
      </c>
      <c r="E1176" s="10">
        <f t="shared" si="627"/>
        <v>1212667.2857142857</v>
      </c>
      <c r="F1176" s="10">
        <f t="shared" si="628"/>
        <v>0</v>
      </c>
      <c r="G1176" s="10">
        <f t="shared" si="629"/>
        <v>1334174355.1428571</v>
      </c>
      <c r="H1176" s="10">
        <f t="shared" si="630"/>
        <v>12361686185.571428</v>
      </c>
      <c r="I1176" s="10">
        <f t="shared" si="631"/>
        <v>12361686185.571428</v>
      </c>
      <c r="J1176" s="10">
        <f t="shared" si="632"/>
        <v>4529514285.7142859</v>
      </c>
      <c r="K1176" s="10">
        <f t="shared" si="633"/>
        <v>10960641.428571429</v>
      </c>
      <c r="L1176" s="10">
        <f t="shared" si="634"/>
        <v>0</v>
      </c>
      <c r="M1176" s="10">
        <f t="shared" si="635"/>
        <v>48471525072.85714</v>
      </c>
      <c r="N1176" s="10">
        <f t="shared" si="636"/>
        <v>48471525072.85714</v>
      </c>
      <c r="O1176" s="10">
        <f t="shared" si="637"/>
        <v>48471525072.85714</v>
      </c>
      <c r="P1176" s="10">
        <f t="shared" si="638"/>
        <v>1277006057.7142856</v>
      </c>
      <c r="Q1176" s="10">
        <f t="shared" si="639"/>
        <v>1277006057.7142856</v>
      </c>
      <c r="R1176" s="10">
        <f t="shared" si="640"/>
        <v>1277006057.7142856</v>
      </c>
      <c r="S1176" s="10">
        <f t="shared" si="641"/>
        <v>1277006057.7142856</v>
      </c>
      <c r="T1176" s="10">
        <f t="shared" si="642"/>
        <v>1277006057.7142856</v>
      </c>
      <c r="U1176" s="10">
        <f t="shared" si="643"/>
        <v>1277006057.7142856</v>
      </c>
      <c r="V1176" s="10">
        <f t="shared" si="644"/>
        <v>68708428571.428574</v>
      </c>
      <c r="W1176" s="10">
        <f t="shared" si="645"/>
        <v>68708428571.428574</v>
      </c>
      <c r="X1176" s="10">
        <f t="shared" si="646"/>
        <v>68708428571.428574</v>
      </c>
      <c r="Y1176" s="27"/>
      <c r="Z1176" s="32"/>
    </row>
    <row r="1177" spans="1:26" outlineLevel="1" x14ac:dyDescent="0.3">
      <c r="A1177" t="s">
        <v>137</v>
      </c>
      <c r="B1177" t="s">
        <v>76</v>
      </c>
      <c r="C1177" s="6" t="s">
        <v>151</v>
      </c>
      <c r="D1177" s="10">
        <f t="shared" si="626"/>
        <v>1453552278.5714285</v>
      </c>
      <c r="E1177" s="10">
        <f t="shared" si="627"/>
        <v>1244824.142857143</v>
      </c>
      <c r="F1177" s="10">
        <f t="shared" si="628"/>
        <v>0</v>
      </c>
      <c r="G1177" s="10">
        <f t="shared" si="629"/>
        <v>1348788906.2857144</v>
      </c>
      <c r="H1177" s="10">
        <f t="shared" si="630"/>
        <v>11883071133.857143</v>
      </c>
      <c r="I1177" s="10">
        <f t="shared" si="631"/>
        <v>11883071133.857143</v>
      </c>
      <c r="J1177" s="10">
        <f t="shared" si="632"/>
        <v>4229490662.8571429</v>
      </c>
      <c r="K1177" s="10">
        <f t="shared" si="633"/>
        <v>11183831.428571427</v>
      </c>
      <c r="L1177" s="10">
        <f t="shared" si="634"/>
        <v>0</v>
      </c>
      <c r="M1177" s="10">
        <f t="shared" si="635"/>
        <v>48320325505.714287</v>
      </c>
      <c r="N1177" s="10">
        <f t="shared" si="636"/>
        <v>48320325505.714287</v>
      </c>
      <c r="O1177" s="10">
        <f t="shared" si="637"/>
        <v>48320325505.714287</v>
      </c>
      <c r="P1177" s="10">
        <f t="shared" si="638"/>
        <v>1260720704</v>
      </c>
      <c r="Q1177" s="10">
        <f t="shared" si="639"/>
        <v>1260720704</v>
      </c>
      <c r="R1177" s="10">
        <f t="shared" si="640"/>
        <v>1260720704</v>
      </c>
      <c r="S1177" s="10">
        <f t="shared" si="641"/>
        <v>1260720704</v>
      </c>
      <c r="T1177" s="10">
        <f t="shared" si="642"/>
        <v>1260720704</v>
      </c>
      <c r="U1177" s="10">
        <f t="shared" si="643"/>
        <v>1260720704</v>
      </c>
      <c r="V1177" s="10">
        <f t="shared" si="644"/>
        <v>68639285714.285713</v>
      </c>
      <c r="W1177" s="10">
        <f t="shared" si="645"/>
        <v>68639285714.285713</v>
      </c>
      <c r="X1177" s="10">
        <f t="shared" si="646"/>
        <v>68639285714.285713</v>
      </c>
      <c r="Y1177" s="27"/>
      <c r="Z1177" s="32"/>
    </row>
    <row r="1178" spans="1:26" outlineLevel="1" x14ac:dyDescent="0.3">
      <c r="A1178" t="s">
        <v>137</v>
      </c>
      <c r="B1178" t="s">
        <v>77</v>
      </c>
      <c r="C1178" s="6" t="s">
        <v>152</v>
      </c>
      <c r="D1178" s="10">
        <f t="shared" si="626"/>
        <v>1455660200.2857141</v>
      </c>
      <c r="E1178" s="10">
        <f t="shared" si="627"/>
        <v>1287074.8571428573</v>
      </c>
      <c r="F1178" s="10">
        <f t="shared" si="628"/>
        <v>0</v>
      </c>
      <c r="G1178" s="10">
        <f t="shared" si="629"/>
        <v>1371342056.5714285</v>
      </c>
      <c r="H1178" s="10">
        <f t="shared" si="630"/>
        <v>12315567811.142857</v>
      </c>
      <c r="I1178" s="10">
        <f t="shared" si="631"/>
        <v>12315567811.142857</v>
      </c>
      <c r="J1178" s="10">
        <f t="shared" si="632"/>
        <v>3971607762.8571429</v>
      </c>
      <c r="K1178" s="10">
        <f t="shared" si="633"/>
        <v>11424022.142857142</v>
      </c>
      <c r="L1178" s="10">
        <f t="shared" si="634"/>
        <v>0</v>
      </c>
      <c r="M1178" s="10">
        <f t="shared" si="635"/>
        <v>48097539643.571426</v>
      </c>
      <c r="N1178" s="10">
        <f t="shared" si="636"/>
        <v>48097539643.571426</v>
      </c>
      <c r="O1178" s="10">
        <f t="shared" si="637"/>
        <v>48097539643.571426</v>
      </c>
      <c r="P1178" s="10">
        <f t="shared" si="638"/>
        <v>1247525895.1428573</v>
      </c>
      <c r="Q1178" s="10">
        <f t="shared" si="639"/>
        <v>1247525895.1428573</v>
      </c>
      <c r="R1178" s="10">
        <f t="shared" si="640"/>
        <v>1247525895.1428573</v>
      </c>
      <c r="S1178" s="10">
        <f t="shared" si="641"/>
        <v>1247525895.1428573</v>
      </c>
      <c r="T1178" s="10">
        <f t="shared" si="642"/>
        <v>1247525895.1428573</v>
      </c>
      <c r="U1178" s="10">
        <f t="shared" si="643"/>
        <v>1247525895.1428573</v>
      </c>
      <c r="V1178" s="10">
        <f t="shared" si="644"/>
        <v>68777000000</v>
      </c>
      <c r="W1178" s="10">
        <f t="shared" si="645"/>
        <v>68777000000</v>
      </c>
      <c r="X1178" s="10">
        <f t="shared" si="646"/>
        <v>68777000000</v>
      </c>
      <c r="Y1178" s="27"/>
      <c r="Z1178" s="32"/>
    </row>
    <row r="1179" spans="1:26" outlineLevel="1" x14ac:dyDescent="0.3">
      <c r="A1179" t="s">
        <v>137</v>
      </c>
      <c r="B1179" t="s">
        <v>78</v>
      </c>
      <c r="C1179" s="6" t="s">
        <v>153</v>
      </c>
      <c r="D1179" s="10">
        <f t="shared" si="626"/>
        <v>1512236376.5714285</v>
      </c>
      <c r="E1179" s="10">
        <f t="shared" si="627"/>
        <v>1379561.1428571427</v>
      </c>
      <c r="F1179" s="10">
        <f t="shared" si="628"/>
        <v>0</v>
      </c>
      <c r="G1179" s="10">
        <f t="shared" si="629"/>
        <v>1462159488.8571427</v>
      </c>
      <c r="H1179" s="10">
        <f t="shared" si="630"/>
        <v>13573224573.428574</v>
      </c>
      <c r="I1179" s="10">
        <f t="shared" si="631"/>
        <v>13573224573.428574</v>
      </c>
      <c r="J1179" s="10">
        <f t="shared" si="632"/>
        <v>3858588154.2857137</v>
      </c>
      <c r="K1179" s="10">
        <f t="shared" si="633"/>
        <v>11428537.428571429</v>
      </c>
      <c r="L1179" s="10">
        <f t="shared" si="634"/>
        <v>0</v>
      </c>
      <c r="M1179" s="10">
        <f t="shared" si="635"/>
        <v>47808411879.714294</v>
      </c>
      <c r="N1179" s="10">
        <f t="shared" si="636"/>
        <v>47808411879.714294</v>
      </c>
      <c r="O1179" s="10">
        <f t="shared" si="637"/>
        <v>47808411879.714294</v>
      </c>
      <c r="P1179" s="10">
        <f t="shared" si="638"/>
        <v>1443269366.8571429</v>
      </c>
      <c r="Q1179" s="10">
        <f t="shared" si="639"/>
        <v>1443269366.8571429</v>
      </c>
      <c r="R1179" s="10">
        <f t="shared" si="640"/>
        <v>1443269366.8571429</v>
      </c>
      <c r="S1179" s="10">
        <f t="shared" si="641"/>
        <v>1443269366.8571429</v>
      </c>
      <c r="T1179" s="10">
        <f t="shared" si="642"/>
        <v>1443269366.8571429</v>
      </c>
      <c r="U1179" s="10">
        <f t="shared" si="643"/>
        <v>1443269366.8571429</v>
      </c>
      <c r="V1179" s="10">
        <f t="shared" si="644"/>
        <v>69388571428.571426</v>
      </c>
      <c r="W1179" s="10">
        <f t="shared" si="645"/>
        <v>69388571428.571426</v>
      </c>
      <c r="X1179" s="10">
        <f t="shared" si="646"/>
        <v>69388571428.571426</v>
      </c>
      <c r="Y1179" s="27"/>
      <c r="Z1179" s="32"/>
    </row>
    <row r="1180" spans="1:26" outlineLevel="1" x14ac:dyDescent="0.3">
      <c r="A1180" t="s">
        <v>137</v>
      </c>
      <c r="B1180" t="s">
        <v>79</v>
      </c>
      <c r="C1180" s="6" t="s">
        <v>154</v>
      </c>
      <c r="D1180" s="10">
        <f t="shared" si="626"/>
        <v>1596762721.1428573</v>
      </c>
      <c r="E1180" s="10">
        <f t="shared" si="627"/>
        <v>1483364.1428571427</v>
      </c>
      <c r="F1180" s="10">
        <f t="shared" si="628"/>
        <v>0</v>
      </c>
      <c r="G1180" s="10">
        <f t="shared" si="629"/>
        <v>3976242857.1428571</v>
      </c>
      <c r="H1180" s="10">
        <f t="shared" si="630"/>
        <v>16053511057.571432</v>
      </c>
      <c r="I1180" s="10">
        <f t="shared" si="631"/>
        <v>16053511057.571432</v>
      </c>
      <c r="J1180" s="10">
        <f t="shared" si="632"/>
        <v>3803059894.2857141</v>
      </c>
      <c r="K1180" s="10">
        <f t="shared" si="633"/>
        <v>11208909.571428573</v>
      </c>
      <c r="L1180" s="10">
        <f t="shared" si="634"/>
        <v>0</v>
      </c>
      <c r="M1180" s="10">
        <f t="shared" si="635"/>
        <v>46171302624.714294</v>
      </c>
      <c r="N1180" s="10">
        <f t="shared" si="636"/>
        <v>46171302624.714294</v>
      </c>
      <c r="O1180" s="10">
        <f t="shared" si="637"/>
        <v>46171302624.714294</v>
      </c>
      <c r="P1180" s="10">
        <f t="shared" si="638"/>
        <v>1661889989.7142859</v>
      </c>
      <c r="Q1180" s="10">
        <f t="shared" si="639"/>
        <v>1661889989.7142859</v>
      </c>
      <c r="R1180" s="10">
        <f t="shared" si="640"/>
        <v>1661889989.7142859</v>
      </c>
      <c r="S1180" s="10">
        <f t="shared" si="641"/>
        <v>1661889989.7142859</v>
      </c>
      <c r="T1180" s="10">
        <f t="shared" si="642"/>
        <v>1661889989.7142859</v>
      </c>
      <c r="U1180" s="10">
        <f t="shared" si="643"/>
        <v>1661889989.7142859</v>
      </c>
      <c r="V1180" s="10">
        <f t="shared" si="644"/>
        <v>70090285714.285706</v>
      </c>
      <c r="W1180" s="10">
        <f t="shared" si="645"/>
        <v>70090285714.285706</v>
      </c>
      <c r="X1180" s="10">
        <f t="shared" si="646"/>
        <v>70090285714.285706</v>
      </c>
      <c r="Y1180" s="27"/>
      <c r="Z1180" s="32"/>
    </row>
    <row r="1181" spans="1:26" outlineLevel="1" x14ac:dyDescent="0.3">
      <c r="A1181" t="s">
        <v>137</v>
      </c>
      <c r="B1181" t="s">
        <v>80</v>
      </c>
      <c r="C1181" s="6" t="s">
        <v>155</v>
      </c>
      <c r="D1181" s="10">
        <f t="shared" si="626"/>
        <v>1706412220.8571427</v>
      </c>
      <c r="E1181" s="10">
        <f t="shared" si="627"/>
        <v>1610233.2857142859</v>
      </c>
      <c r="F1181" s="10">
        <f t="shared" si="628"/>
        <v>0</v>
      </c>
      <c r="G1181" s="10">
        <f t="shared" si="629"/>
        <v>5681757142.8571434</v>
      </c>
      <c r="H1181" s="10">
        <f t="shared" si="630"/>
        <v>17410934688.714287</v>
      </c>
      <c r="I1181" s="10">
        <f t="shared" si="631"/>
        <v>17410934688.714287</v>
      </c>
      <c r="J1181" s="10">
        <f t="shared" si="632"/>
        <v>3920385714.2857141</v>
      </c>
      <c r="K1181" s="10">
        <f t="shared" si="633"/>
        <v>10720785.714285715</v>
      </c>
      <c r="L1181" s="10">
        <f t="shared" si="634"/>
        <v>0</v>
      </c>
      <c r="M1181" s="10">
        <f t="shared" si="635"/>
        <v>43604036357.14286</v>
      </c>
      <c r="N1181" s="10">
        <f t="shared" si="636"/>
        <v>43604036357.14286</v>
      </c>
      <c r="O1181" s="10">
        <f t="shared" si="637"/>
        <v>43604036357.14286</v>
      </c>
      <c r="P1181" s="10">
        <f t="shared" si="638"/>
        <v>1739233606.5714285</v>
      </c>
      <c r="Q1181" s="10">
        <f t="shared" si="639"/>
        <v>1739233606.5714285</v>
      </c>
      <c r="R1181" s="10">
        <f t="shared" si="640"/>
        <v>1739233606.5714285</v>
      </c>
      <c r="S1181" s="10">
        <f t="shared" si="641"/>
        <v>1739233606.5714285</v>
      </c>
      <c r="T1181" s="10">
        <f t="shared" si="642"/>
        <v>1739233606.5714285</v>
      </c>
      <c r="U1181" s="10">
        <f t="shared" si="643"/>
        <v>1739233606.5714285</v>
      </c>
      <c r="V1181" s="10">
        <f t="shared" si="644"/>
        <v>70236142857.142853</v>
      </c>
      <c r="W1181" s="10">
        <f t="shared" si="645"/>
        <v>70236142857.142853</v>
      </c>
      <c r="X1181" s="10">
        <f t="shared" si="646"/>
        <v>70236142857.142853</v>
      </c>
      <c r="Y1181" s="27"/>
      <c r="Z1181" s="32"/>
    </row>
    <row r="1182" spans="1:26" outlineLevel="1" x14ac:dyDescent="0.3">
      <c r="A1182" t="s">
        <v>137</v>
      </c>
      <c r="B1182" t="s">
        <v>81</v>
      </c>
      <c r="C1182" s="6" t="s">
        <v>156</v>
      </c>
      <c r="D1182" s="10">
        <f t="shared" si="626"/>
        <v>1838631591.4285715</v>
      </c>
      <c r="E1182" s="10">
        <f t="shared" si="627"/>
        <v>1773557</v>
      </c>
      <c r="F1182" s="10">
        <f t="shared" si="628"/>
        <v>0</v>
      </c>
      <c r="G1182" s="10">
        <f t="shared" si="629"/>
        <v>6176071428.5714283</v>
      </c>
      <c r="H1182" s="10">
        <f t="shared" si="630"/>
        <v>16983380565.857143</v>
      </c>
      <c r="I1182" s="10">
        <f t="shared" si="631"/>
        <v>16983380565.857143</v>
      </c>
      <c r="J1182" s="10">
        <f t="shared" si="632"/>
        <v>4575314285.7142859</v>
      </c>
      <c r="K1182" s="10">
        <f t="shared" si="633"/>
        <v>10297779.857142858</v>
      </c>
      <c r="L1182" s="10">
        <f t="shared" si="634"/>
        <v>0</v>
      </c>
      <c r="M1182" s="10">
        <f t="shared" si="635"/>
        <v>41666530791.571434</v>
      </c>
      <c r="N1182" s="10">
        <f t="shared" si="636"/>
        <v>41666530791.571434</v>
      </c>
      <c r="O1182" s="10">
        <f t="shared" si="637"/>
        <v>41666530791.571434</v>
      </c>
      <c r="P1182" s="10">
        <f t="shared" si="638"/>
        <v>1615614001.1428573</v>
      </c>
      <c r="Q1182" s="10">
        <f t="shared" si="639"/>
        <v>1615614001.1428573</v>
      </c>
      <c r="R1182" s="10">
        <f t="shared" si="640"/>
        <v>1615614001.1428573</v>
      </c>
      <c r="S1182" s="10">
        <f t="shared" si="641"/>
        <v>1615614001.1428573</v>
      </c>
      <c r="T1182" s="10">
        <f t="shared" si="642"/>
        <v>1615614001.1428573</v>
      </c>
      <c r="U1182" s="10">
        <f t="shared" si="643"/>
        <v>1615614001.1428573</v>
      </c>
      <c r="V1182" s="10">
        <f t="shared" si="644"/>
        <v>69884571428.571442</v>
      </c>
      <c r="W1182" s="10">
        <f t="shared" si="645"/>
        <v>69884571428.571442</v>
      </c>
      <c r="X1182" s="10">
        <f t="shared" si="646"/>
        <v>69884571428.571442</v>
      </c>
      <c r="Y1182" s="27"/>
      <c r="Z1182" s="32"/>
    </row>
    <row r="1183" spans="1:26" outlineLevel="1" x14ac:dyDescent="0.3">
      <c r="A1183" t="s">
        <v>137</v>
      </c>
      <c r="B1183" t="s">
        <v>82</v>
      </c>
      <c r="C1183" s="6" t="s">
        <v>157</v>
      </c>
      <c r="D1183" s="10">
        <f t="shared" si="626"/>
        <v>1974366320</v>
      </c>
      <c r="E1183" s="10">
        <f t="shared" si="627"/>
        <v>1941775.7142857143</v>
      </c>
      <c r="F1183" s="10">
        <f t="shared" si="628"/>
        <v>0</v>
      </c>
      <c r="G1183" s="10">
        <f t="shared" si="629"/>
        <v>6615971428.5714283</v>
      </c>
      <c r="H1183" s="10">
        <f t="shared" si="630"/>
        <v>16129006190</v>
      </c>
      <c r="I1183" s="10">
        <f t="shared" si="631"/>
        <v>16129006190</v>
      </c>
      <c r="J1183" s="10">
        <f t="shared" si="632"/>
        <v>4917832294.2857141</v>
      </c>
      <c r="K1183" s="10">
        <f t="shared" si="633"/>
        <v>9694156</v>
      </c>
      <c r="L1183" s="10">
        <f t="shared" si="634"/>
        <v>0</v>
      </c>
      <c r="M1183" s="10">
        <f t="shared" si="635"/>
        <v>35382759264.000008</v>
      </c>
      <c r="N1183" s="10">
        <f t="shared" si="636"/>
        <v>35382759264.000008</v>
      </c>
      <c r="O1183" s="10">
        <f t="shared" si="637"/>
        <v>35382759264.000008</v>
      </c>
      <c r="P1183" s="10">
        <f t="shared" si="638"/>
        <v>1353853698</v>
      </c>
      <c r="Q1183" s="10">
        <f t="shared" si="639"/>
        <v>1353853698</v>
      </c>
      <c r="R1183" s="10">
        <f t="shared" si="640"/>
        <v>1353853698</v>
      </c>
      <c r="S1183" s="10">
        <f t="shared" si="641"/>
        <v>1353853698</v>
      </c>
      <c r="T1183" s="10">
        <f t="shared" si="642"/>
        <v>1353853698</v>
      </c>
      <c r="U1183" s="10">
        <f t="shared" si="643"/>
        <v>1353853698</v>
      </c>
      <c r="V1183" s="10">
        <f t="shared" si="644"/>
        <v>69473142857.142853</v>
      </c>
      <c r="W1183" s="10">
        <f t="shared" si="645"/>
        <v>69473142857.142853</v>
      </c>
      <c r="X1183" s="10">
        <f t="shared" si="646"/>
        <v>69473142857.142853</v>
      </c>
      <c r="Y1183" s="27"/>
      <c r="Z1183" s="32"/>
    </row>
    <row r="1184" spans="1:26" outlineLevel="1" x14ac:dyDescent="0.3">
      <c r="A1184" t="s">
        <v>137</v>
      </c>
      <c r="B1184" t="s">
        <v>83</v>
      </c>
      <c r="C1184" s="6" t="s">
        <v>158</v>
      </c>
      <c r="D1184" s="10">
        <f t="shared" si="626"/>
        <v>2073047082.8571427</v>
      </c>
      <c r="E1184" s="10">
        <f t="shared" si="627"/>
        <v>2090263.5714285714</v>
      </c>
      <c r="F1184" s="10">
        <f t="shared" si="628"/>
        <v>0</v>
      </c>
      <c r="G1184" s="10">
        <f t="shared" si="629"/>
        <v>6694828571.4285717</v>
      </c>
      <c r="H1184" s="10">
        <f t="shared" si="630"/>
        <v>15630605510.714287</v>
      </c>
      <c r="I1184" s="10">
        <f t="shared" si="631"/>
        <v>15630605510.714287</v>
      </c>
      <c r="J1184" s="10">
        <f t="shared" si="632"/>
        <v>5261315411.4285717</v>
      </c>
      <c r="K1184" s="10">
        <f t="shared" si="633"/>
        <v>9186510.8571428582</v>
      </c>
      <c r="L1184" s="10">
        <f t="shared" si="634"/>
        <v>0</v>
      </c>
      <c r="M1184" s="10">
        <f t="shared" si="635"/>
        <v>29793926649.142857</v>
      </c>
      <c r="N1184" s="10">
        <f t="shared" si="636"/>
        <v>29793926649.142857</v>
      </c>
      <c r="O1184" s="10">
        <f t="shared" si="637"/>
        <v>29793926649.142857</v>
      </c>
      <c r="P1184" s="10">
        <f t="shared" si="638"/>
        <v>1253344475.1428571</v>
      </c>
      <c r="Q1184" s="10">
        <f t="shared" si="639"/>
        <v>1253344475.1428571</v>
      </c>
      <c r="R1184" s="10">
        <f t="shared" si="640"/>
        <v>1253344475.1428571</v>
      </c>
      <c r="S1184" s="10">
        <f t="shared" si="641"/>
        <v>1253344475.1428571</v>
      </c>
      <c r="T1184" s="10">
        <f t="shared" si="642"/>
        <v>1253344475.1428571</v>
      </c>
      <c r="U1184" s="10">
        <f t="shared" si="643"/>
        <v>1253344475.1428571</v>
      </c>
      <c r="V1184" s="10">
        <f t="shared" si="644"/>
        <v>69020285714.285721</v>
      </c>
      <c r="W1184" s="10">
        <f t="shared" si="645"/>
        <v>69020285714.285721</v>
      </c>
      <c r="X1184" s="10">
        <f t="shared" si="646"/>
        <v>69020285714.285721</v>
      </c>
      <c r="Y1184" s="27"/>
      <c r="Z1184" s="32"/>
    </row>
    <row r="1185" spans="1:26" outlineLevel="1" x14ac:dyDescent="0.3">
      <c r="A1185" t="s">
        <v>137</v>
      </c>
      <c r="B1185" t="s">
        <v>84</v>
      </c>
      <c r="C1185" s="6" t="s">
        <v>159</v>
      </c>
      <c r="D1185" s="10">
        <f t="shared" si="626"/>
        <v>1967859765.7142856</v>
      </c>
      <c r="E1185" s="10">
        <f t="shared" si="627"/>
        <v>2215773.8571428573</v>
      </c>
      <c r="F1185" s="10">
        <f t="shared" si="628"/>
        <v>0</v>
      </c>
      <c r="G1185" s="10">
        <f t="shared" si="629"/>
        <v>5492585714.2857141</v>
      </c>
      <c r="H1185" s="10">
        <f t="shared" si="630"/>
        <v>15264481603.285713</v>
      </c>
      <c r="I1185" s="10">
        <f t="shared" si="631"/>
        <v>15264481603.285713</v>
      </c>
      <c r="J1185" s="10">
        <f t="shared" si="632"/>
        <v>5697300000</v>
      </c>
      <c r="K1185" s="10">
        <f t="shared" si="633"/>
        <v>8668630</v>
      </c>
      <c r="L1185" s="10">
        <f t="shared" si="634"/>
        <v>0</v>
      </c>
      <c r="M1185" s="10">
        <f t="shared" si="635"/>
        <v>24560317084.285713</v>
      </c>
      <c r="N1185" s="10">
        <f t="shared" si="636"/>
        <v>24560317084.285713</v>
      </c>
      <c r="O1185" s="10">
        <f t="shared" si="637"/>
        <v>24560317084.285713</v>
      </c>
      <c r="P1185" s="10">
        <f t="shared" si="638"/>
        <v>1186317926.5714283</v>
      </c>
      <c r="Q1185" s="10">
        <f t="shared" si="639"/>
        <v>1186317926.5714283</v>
      </c>
      <c r="R1185" s="10">
        <f t="shared" si="640"/>
        <v>1186317926.5714283</v>
      </c>
      <c r="S1185" s="10">
        <f t="shared" si="641"/>
        <v>1186317926.5714283</v>
      </c>
      <c r="T1185" s="10">
        <f t="shared" si="642"/>
        <v>1186317926.5714283</v>
      </c>
      <c r="U1185" s="10">
        <f t="shared" si="643"/>
        <v>1186317926.5714283</v>
      </c>
      <c r="V1185" s="10">
        <f t="shared" si="644"/>
        <v>68425285714.285713</v>
      </c>
      <c r="W1185" s="10">
        <f t="shared" si="645"/>
        <v>68425285714.285713</v>
      </c>
      <c r="X1185" s="10">
        <f t="shared" si="646"/>
        <v>68425285714.285713</v>
      </c>
      <c r="Y1185" s="27"/>
      <c r="Z1185" s="32"/>
    </row>
    <row r="1186" spans="1:26" outlineLevel="1" x14ac:dyDescent="0.3">
      <c r="A1186" t="s">
        <v>137</v>
      </c>
      <c r="B1186" t="s">
        <v>85</v>
      </c>
      <c r="C1186" s="6" t="s">
        <v>160</v>
      </c>
      <c r="D1186" s="10">
        <f t="shared" si="626"/>
        <v>1707827677.7142856</v>
      </c>
      <c r="E1186" s="10">
        <f t="shared" si="627"/>
        <v>2308222.7142857141</v>
      </c>
      <c r="F1186" s="10">
        <f t="shared" si="628"/>
        <v>0</v>
      </c>
      <c r="G1186" s="10">
        <f t="shared" si="629"/>
        <v>3312928571.4285717</v>
      </c>
      <c r="H1186" s="10">
        <f t="shared" si="630"/>
        <v>12144849813.857141</v>
      </c>
      <c r="I1186" s="10">
        <f t="shared" si="631"/>
        <v>12144849813.857141</v>
      </c>
      <c r="J1186" s="10">
        <f t="shared" si="632"/>
        <v>5677171428.5714283</v>
      </c>
      <c r="K1186" s="10">
        <f t="shared" si="633"/>
        <v>8045926.1428571427</v>
      </c>
      <c r="L1186" s="10">
        <f t="shared" si="634"/>
        <v>0</v>
      </c>
      <c r="M1186" s="10">
        <f t="shared" si="635"/>
        <v>21019068359.571434</v>
      </c>
      <c r="N1186" s="10">
        <f t="shared" si="636"/>
        <v>21019068359.571434</v>
      </c>
      <c r="O1186" s="10">
        <f t="shared" si="637"/>
        <v>21019068359.571434</v>
      </c>
      <c r="P1186" s="10">
        <f t="shared" si="638"/>
        <v>1130265966.8571427</v>
      </c>
      <c r="Q1186" s="10">
        <f t="shared" si="639"/>
        <v>1130265966.8571427</v>
      </c>
      <c r="R1186" s="10">
        <f t="shared" si="640"/>
        <v>1130265966.8571427</v>
      </c>
      <c r="S1186" s="10">
        <f t="shared" si="641"/>
        <v>1130265966.8571427</v>
      </c>
      <c r="T1186" s="10">
        <f t="shared" si="642"/>
        <v>1130265966.8571427</v>
      </c>
      <c r="U1186" s="10">
        <f t="shared" si="643"/>
        <v>1130265966.8571427</v>
      </c>
      <c r="V1186" s="10">
        <f t="shared" si="644"/>
        <v>67839142857.142853</v>
      </c>
      <c r="W1186" s="10">
        <f t="shared" si="645"/>
        <v>67839142857.142853</v>
      </c>
      <c r="X1186" s="10">
        <f t="shared" si="646"/>
        <v>67839142857.142853</v>
      </c>
      <c r="Y1186" s="27"/>
      <c r="Z1186" s="32"/>
    </row>
    <row r="1187" spans="1:26" outlineLevel="1" x14ac:dyDescent="0.3">
      <c r="A1187" t="s">
        <v>137</v>
      </c>
      <c r="B1187" t="s">
        <v>86</v>
      </c>
      <c r="C1187" s="6" t="s">
        <v>161</v>
      </c>
      <c r="D1187" s="10">
        <f t="shared" si="626"/>
        <v>1661872693.4285712</v>
      </c>
      <c r="E1187" s="10">
        <f t="shared" si="627"/>
        <v>2373073.9999999995</v>
      </c>
      <c r="F1187" s="10">
        <f t="shared" si="628"/>
        <v>0</v>
      </c>
      <c r="G1187" s="10">
        <f t="shared" si="629"/>
        <v>1764557142.8571427</v>
      </c>
      <c r="H1187" s="10">
        <f t="shared" si="630"/>
        <v>9647025661.1428585</v>
      </c>
      <c r="I1187" s="10">
        <f t="shared" si="631"/>
        <v>9647025661.1428585</v>
      </c>
      <c r="J1187" s="10">
        <f t="shared" si="632"/>
        <v>2994337000</v>
      </c>
      <c r="K1187" s="10">
        <f t="shared" si="633"/>
        <v>7195319.5714285709</v>
      </c>
      <c r="L1187" s="10">
        <f t="shared" si="634"/>
        <v>0</v>
      </c>
      <c r="M1187" s="10">
        <f t="shared" si="635"/>
        <v>18444467680.428574</v>
      </c>
      <c r="N1187" s="10">
        <f t="shared" si="636"/>
        <v>18444467680.428574</v>
      </c>
      <c r="O1187" s="10">
        <f t="shared" si="637"/>
        <v>18444467680.428574</v>
      </c>
      <c r="P1187" s="10">
        <f t="shared" si="638"/>
        <v>759951708.42857134</v>
      </c>
      <c r="Q1187" s="10">
        <f t="shared" si="639"/>
        <v>759951708.42857134</v>
      </c>
      <c r="R1187" s="10">
        <f t="shared" si="640"/>
        <v>759951708.42857134</v>
      </c>
      <c r="S1187" s="10">
        <f t="shared" si="641"/>
        <v>759951708.42857134</v>
      </c>
      <c r="T1187" s="10">
        <f t="shared" si="642"/>
        <v>759951708.42857134</v>
      </c>
      <c r="U1187" s="10">
        <f t="shared" si="643"/>
        <v>759951708.42857134</v>
      </c>
      <c r="V1187" s="10">
        <f t="shared" si="644"/>
        <v>67513428571.428558</v>
      </c>
      <c r="W1187" s="10">
        <f t="shared" si="645"/>
        <v>67513428571.428558</v>
      </c>
      <c r="X1187" s="10">
        <f t="shared" si="646"/>
        <v>67513428571.428558</v>
      </c>
      <c r="Y1187" s="27"/>
      <c r="Z1187" s="32"/>
    </row>
    <row r="1188" spans="1:26" outlineLevel="1" x14ac:dyDescent="0.3">
      <c r="A1188" t="s">
        <v>162</v>
      </c>
      <c r="B1188" t="s">
        <v>63</v>
      </c>
      <c r="C1188" s="6" t="s">
        <v>138</v>
      </c>
      <c r="D1188" s="10">
        <f t="shared" si="626"/>
        <v>533912936.28571427</v>
      </c>
      <c r="E1188" s="10">
        <f t="shared" si="627"/>
        <v>1958839.0000000005</v>
      </c>
      <c r="F1188" s="10">
        <f t="shared" si="628"/>
        <v>0</v>
      </c>
      <c r="G1188" s="10">
        <f t="shared" si="629"/>
        <v>836099563.85714281</v>
      </c>
      <c r="H1188" s="10">
        <f t="shared" si="630"/>
        <v>5787114375.1428576</v>
      </c>
      <c r="I1188" s="10">
        <f t="shared" si="631"/>
        <v>5787114375.1428576</v>
      </c>
      <c r="J1188" s="10">
        <f t="shared" si="632"/>
        <v>1319099007.8571432</v>
      </c>
      <c r="K1188" s="10">
        <f t="shared" si="633"/>
        <v>210895077.7142857</v>
      </c>
      <c r="L1188" s="10">
        <f t="shared" si="634"/>
        <v>0</v>
      </c>
      <c r="M1188" s="10">
        <f t="shared" si="635"/>
        <v>12012148771.571428</v>
      </c>
      <c r="N1188" s="10">
        <f t="shared" si="636"/>
        <v>12012148771.571428</v>
      </c>
      <c r="O1188" s="10">
        <f t="shared" si="637"/>
        <v>12012148771.571428</v>
      </c>
      <c r="P1188" s="10">
        <f t="shared" si="638"/>
        <v>372267613.28571427</v>
      </c>
      <c r="Q1188" s="10">
        <f t="shared" si="639"/>
        <v>372267613.28571427</v>
      </c>
      <c r="R1188" s="10">
        <f t="shared" si="640"/>
        <v>372267613.28571427</v>
      </c>
      <c r="S1188" s="10">
        <f t="shared" si="641"/>
        <v>372267613.28571427</v>
      </c>
      <c r="T1188" s="10">
        <f t="shared" si="642"/>
        <v>372267613.28571427</v>
      </c>
      <c r="U1188" s="10">
        <f t="shared" si="643"/>
        <v>372267613.28571427</v>
      </c>
      <c r="V1188" s="10">
        <f t="shared" si="644"/>
        <v>51529714285.714279</v>
      </c>
      <c r="W1188" s="10">
        <f t="shared" si="645"/>
        <v>51529714285.714279</v>
      </c>
      <c r="X1188" s="10">
        <f t="shared" si="646"/>
        <v>51529714285.714279</v>
      </c>
      <c r="Y1188" s="27"/>
      <c r="Z1188" s="32"/>
    </row>
    <row r="1189" spans="1:26" outlineLevel="1" x14ac:dyDescent="0.3">
      <c r="A1189" t="s">
        <v>162</v>
      </c>
      <c r="B1189" t="s">
        <v>64</v>
      </c>
      <c r="C1189" s="6" t="s">
        <v>139</v>
      </c>
      <c r="D1189" s="10">
        <f t="shared" si="626"/>
        <v>547182997.14285719</v>
      </c>
      <c r="E1189" s="10">
        <f t="shared" si="627"/>
        <v>1972700.2857142857</v>
      </c>
      <c r="F1189" s="10">
        <f t="shared" si="628"/>
        <v>0</v>
      </c>
      <c r="G1189" s="10">
        <f t="shared" si="629"/>
        <v>761947597.71428573</v>
      </c>
      <c r="H1189" s="10">
        <f t="shared" si="630"/>
        <v>4245810990.5714288</v>
      </c>
      <c r="I1189" s="10">
        <f t="shared" si="631"/>
        <v>4245810990.5714288</v>
      </c>
      <c r="J1189" s="10">
        <f t="shared" si="632"/>
        <v>1179770809.4285712</v>
      </c>
      <c r="K1189" s="10">
        <f t="shared" si="633"/>
        <v>200164299</v>
      </c>
      <c r="L1189" s="10">
        <f t="shared" si="634"/>
        <v>0</v>
      </c>
      <c r="M1189" s="10">
        <f t="shared" si="635"/>
        <v>11603664891.571426</v>
      </c>
      <c r="N1189" s="10">
        <f t="shared" si="636"/>
        <v>11603664891.571426</v>
      </c>
      <c r="O1189" s="10">
        <f t="shared" si="637"/>
        <v>11603664891.571426</v>
      </c>
      <c r="P1189" s="10">
        <f t="shared" si="638"/>
        <v>364424744.71428567</v>
      </c>
      <c r="Q1189" s="10">
        <f t="shared" si="639"/>
        <v>364424744.71428567</v>
      </c>
      <c r="R1189" s="10">
        <f t="shared" si="640"/>
        <v>364424744.71428567</v>
      </c>
      <c r="S1189" s="10">
        <f t="shared" si="641"/>
        <v>364424744.71428567</v>
      </c>
      <c r="T1189" s="10">
        <f t="shared" si="642"/>
        <v>364424744.71428567</v>
      </c>
      <c r="U1189" s="10">
        <f t="shared" si="643"/>
        <v>364424744.71428567</v>
      </c>
      <c r="V1189" s="10">
        <f t="shared" si="644"/>
        <v>51455428571.428574</v>
      </c>
      <c r="W1189" s="10">
        <f t="shared" si="645"/>
        <v>51455428571.428574</v>
      </c>
      <c r="X1189" s="10">
        <f t="shared" si="646"/>
        <v>51455428571.428574</v>
      </c>
      <c r="Y1189" s="27"/>
      <c r="Z1189" s="32"/>
    </row>
    <row r="1190" spans="1:26" outlineLevel="1" x14ac:dyDescent="0.3">
      <c r="A1190" t="s">
        <v>162</v>
      </c>
      <c r="B1190" t="s">
        <v>65</v>
      </c>
      <c r="C1190" s="6" t="s">
        <v>140</v>
      </c>
      <c r="D1190" s="10">
        <f t="shared" si="626"/>
        <v>551657922.00000012</v>
      </c>
      <c r="E1190" s="10">
        <f t="shared" si="627"/>
        <v>1983092.8571428573</v>
      </c>
      <c r="F1190" s="10">
        <f t="shared" si="628"/>
        <v>0</v>
      </c>
      <c r="G1190" s="10">
        <f t="shared" si="629"/>
        <v>751101510.14285707</v>
      </c>
      <c r="H1190" s="10">
        <f t="shared" si="630"/>
        <v>3386071760.7142859</v>
      </c>
      <c r="I1190" s="10">
        <f t="shared" si="631"/>
        <v>3386071760.7142859</v>
      </c>
      <c r="J1190" s="10">
        <f t="shared" si="632"/>
        <v>1161712583.7142859</v>
      </c>
      <c r="K1190" s="10">
        <f t="shared" si="633"/>
        <v>195686557.28571427</v>
      </c>
      <c r="L1190" s="10">
        <f t="shared" si="634"/>
        <v>0</v>
      </c>
      <c r="M1190" s="10">
        <f t="shared" si="635"/>
        <v>11535200859.000002</v>
      </c>
      <c r="N1190" s="10">
        <f t="shared" si="636"/>
        <v>11535200859.000002</v>
      </c>
      <c r="O1190" s="10">
        <f t="shared" si="637"/>
        <v>11535200859.000002</v>
      </c>
      <c r="P1190" s="10">
        <f t="shared" si="638"/>
        <v>362356646.14285707</v>
      </c>
      <c r="Q1190" s="10">
        <f t="shared" si="639"/>
        <v>362356646.14285707</v>
      </c>
      <c r="R1190" s="10">
        <f t="shared" si="640"/>
        <v>362356646.14285707</v>
      </c>
      <c r="S1190" s="10">
        <f t="shared" si="641"/>
        <v>362356646.14285707</v>
      </c>
      <c r="T1190" s="10">
        <f t="shared" si="642"/>
        <v>362356646.14285707</v>
      </c>
      <c r="U1190" s="10">
        <f t="shared" si="643"/>
        <v>362356646.14285707</v>
      </c>
      <c r="V1190" s="10">
        <f t="shared" si="644"/>
        <v>51464000000</v>
      </c>
      <c r="W1190" s="10">
        <f t="shared" si="645"/>
        <v>51464000000</v>
      </c>
      <c r="X1190" s="10">
        <f t="shared" si="646"/>
        <v>51464000000</v>
      </c>
      <c r="Y1190" s="27"/>
      <c r="Z1190" s="32"/>
    </row>
    <row r="1191" spans="1:26" outlineLevel="1" x14ac:dyDescent="0.3">
      <c r="A1191" t="s">
        <v>162</v>
      </c>
      <c r="B1191" t="s">
        <v>66</v>
      </c>
      <c r="C1191" s="6" t="s">
        <v>141</v>
      </c>
      <c r="D1191" s="10">
        <f t="shared" si="626"/>
        <v>547182997.14285719</v>
      </c>
      <c r="E1191" s="10">
        <f t="shared" si="627"/>
        <v>1984644.5714285716</v>
      </c>
      <c r="F1191" s="10">
        <f t="shared" si="628"/>
        <v>0</v>
      </c>
      <c r="G1191" s="10">
        <f t="shared" si="629"/>
        <v>764755869.85714293</v>
      </c>
      <c r="H1191" s="10">
        <f t="shared" si="630"/>
        <v>2902419345.5714288</v>
      </c>
      <c r="I1191" s="10">
        <f t="shared" si="631"/>
        <v>2902419345.5714288</v>
      </c>
      <c r="J1191" s="10">
        <f t="shared" si="632"/>
        <v>1190627739.7142859</v>
      </c>
      <c r="K1191" s="10">
        <f t="shared" si="633"/>
        <v>193160790.42857143</v>
      </c>
      <c r="L1191" s="10">
        <f t="shared" si="634"/>
        <v>0</v>
      </c>
      <c r="M1191" s="10">
        <f t="shared" si="635"/>
        <v>11988954327</v>
      </c>
      <c r="N1191" s="10">
        <f t="shared" si="636"/>
        <v>11988954327</v>
      </c>
      <c r="O1191" s="10">
        <f t="shared" si="637"/>
        <v>11988954327</v>
      </c>
      <c r="P1191" s="10">
        <f t="shared" si="638"/>
        <v>363410396.14285707</v>
      </c>
      <c r="Q1191" s="10">
        <f t="shared" si="639"/>
        <v>363410396.14285707</v>
      </c>
      <c r="R1191" s="10">
        <f t="shared" si="640"/>
        <v>363410396.14285707</v>
      </c>
      <c r="S1191" s="10">
        <f t="shared" si="641"/>
        <v>363410396.14285707</v>
      </c>
      <c r="T1191" s="10">
        <f t="shared" si="642"/>
        <v>363410396.14285707</v>
      </c>
      <c r="U1191" s="10">
        <f t="shared" si="643"/>
        <v>363410396.14285707</v>
      </c>
      <c r="V1191" s="10">
        <f t="shared" si="644"/>
        <v>51472857142.857147</v>
      </c>
      <c r="W1191" s="10">
        <f t="shared" si="645"/>
        <v>51472857142.857147</v>
      </c>
      <c r="X1191" s="10">
        <f t="shared" si="646"/>
        <v>51472857142.857147</v>
      </c>
      <c r="Y1191" s="27"/>
      <c r="Z1191" s="32"/>
    </row>
    <row r="1192" spans="1:26" outlineLevel="1" x14ac:dyDescent="0.3">
      <c r="A1192" t="s">
        <v>162</v>
      </c>
      <c r="B1192" t="s">
        <v>67</v>
      </c>
      <c r="C1192" s="6" t="s">
        <v>142</v>
      </c>
      <c r="D1192" s="10">
        <f t="shared" si="626"/>
        <v>533912936.28571427</v>
      </c>
      <c r="E1192" s="10">
        <f t="shared" si="627"/>
        <v>1941151.0000000002</v>
      </c>
      <c r="F1192" s="10">
        <f t="shared" si="628"/>
        <v>0</v>
      </c>
      <c r="G1192" s="10">
        <f t="shared" si="629"/>
        <v>953015340.85714304</v>
      </c>
      <c r="H1192" s="10">
        <f t="shared" si="630"/>
        <v>3049073428.9999995</v>
      </c>
      <c r="I1192" s="10">
        <f t="shared" si="631"/>
        <v>3049073428.9999995</v>
      </c>
      <c r="J1192" s="10">
        <f t="shared" si="632"/>
        <v>1189599450.4285715</v>
      </c>
      <c r="K1192" s="10">
        <f t="shared" si="633"/>
        <v>192616901.57142857</v>
      </c>
      <c r="L1192" s="10">
        <f t="shared" si="634"/>
        <v>0</v>
      </c>
      <c r="M1192" s="10">
        <f t="shared" si="635"/>
        <v>12631297933.714287</v>
      </c>
      <c r="N1192" s="10">
        <f t="shared" si="636"/>
        <v>12631297933.714287</v>
      </c>
      <c r="O1192" s="10">
        <f t="shared" si="637"/>
        <v>12631297933.714287</v>
      </c>
      <c r="P1192" s="10">
        <f t="shared" si="638"/>
        <v>361954338.42857146</v>
      </c>
      <c r="Q1192" s="10">
        <f t="shared" si="639"/>
        <v>361954338.42857146</v>
      </c>
      <c r="R1192" s="10">
        <f t="shared" si="640"/>
        <v>361954338.42857146</v>
      </c>
      <c r="S1192" s="10">
        <f t="shared" si="641"/>
        <v>361954338.42857146</v>
      </c>
      <c r="T1192" s="10">
        <f t="shared" si="642"/>
        <v>361954338.42857146</v>
      </c>
      <c r="U1192" s="10">
        <f t="shared" si="643"/>
        <v>361954338.42857146</v>
      </c>
      <c r="V1192" s="10">
        <f t="shared" si="644"/>
        <v>51665714285.714287</v>
      </c>
      <c r="W1192" s="10">
        <f t="shared" si="645"/>
        <v>51665714285.714287</v>
      </c>
      <c r="X1192" s="10">
        <f t="shared" si="646"/>
        <v>51665714285.714287</v>
      </c>
      <c r="Y1192" s="27"/>
      <c r="Z1192" s="32"/>
    </row>
    <row r="1193" spans="1:26" outlineLevel="1" x14ac:dyDescent="0.3">
      <c r="A1193" t="s">
        <v>162</v>
      </c>
      <c r="B1193" t="s">
        <v>68</v>
      </c>
      <c r="C1193" s="6" t="s">
        <v>143</v>
      </c>
      <c r="D1193" s="10">
        <f t="shared" si="626"/>
        <v>689543419.71428573</v>
      </c>
      <c r="E1193" s="10">
        <f t="shared" si="627"/>
        <v>1803904.4285714284</v>
      </c>
      <c r="F1193" s="10">
        <f t="shared" si="628"/>
        <v>0</v>
      </c>
      <c r="G1193" s="10">
        <f t="shared" si="629"/>
        <v>1541916406.5714285</v>
      </c>
      <c r="H1193" s="10">
        <f t="shared" si="630"/>
        <v>4089464840.7142854</v>
      </c>
      <c r="I1193" s="10">
        <f t="shared" si="631"/>
        <v>4089464840.7142854</v>
      </c>
      <c r="J1193" s="10">
        <f t="shared" si="632"/>
        <v>1749157501</v>
      </c>
      <c r="K1193" s="10">
        <f t="shared" si="633"/>
        <v>197923995.71428567</v>
      </c>
      <c r="L1193" s="10">
        <f t="shared" si="634"/>
        <v>0</v>
      </c>
      <c r="M1193" s="10">
        <f t="shared" si="635"/>
        <v>14573661360.428574</v>
      </c>
      <c r="N1193" s="10">
        <f t="shared" si="636"/>
        <v>14573661360.428574</v>
      </c>
      <c r="O1193" s="10">
        <f t="shared" si="637"/>
        <v>14573661360.428574</v>
      </c>
      <c r="P1193" s="10">
        <f t="shared" si="638"/>
        <v>371169693.57142854</v>
      </c>
      <c r="Q1193" s="10">
        <f t="shared" si="639"/>
        <v>371169693.57142854</v>
      </c>
      <c r="R1193" s="10">
        <f t="shared" si="640"/>
        <v>371169693.57142854</v>
      </c>
      <c r="S1193" s="10">
        <f t="shared" si="641"/>
        <v>371169693.57142854</v>
      </c>
      <c r="T1193" s="10">
        <f t="shared" si="642"/>
        <v>371169693.57142854</v>
      </c>
      <c r="U1193" s="10">
        <f t="shared" si="643"/>
        <v>371169693.57142854</v>
      </c>
      <c r="V1193" s="10">
        <f t="shared" si="644"/>
        <v>52069142857.142853</v>
      </c>
      <c r="W1193" s="10">
        <f t="shared" si="645"/>
        <v>52069142857.142853</v>
      </c>
      <c r="X1193" s="10">
        <f t="shared" si="646"/>
        <v>52069142857.142853</v>
      </c>
      <c r="Y1193" s="27"/>
      <c r="Z1193" s="32"/>
    </row>
    <row r="1194" spans="1:26" outlineLevel="1" x14ac:dyDescent="0.3">
      <c r="A1194" t="s">
        <v>162</v>
      </c>
      <c r="B1194" t="s">
        <v>69</v>
      </c>
      <c r="C1194" s="6" t="s">
        <v>144</v>
      </c>
      <c r="D1194" s="10">
        <f t="shared" si="626"/>
        <v>746047442.42857134</v>
      </c>
      <c r="E1194" s="10">
        <f t="shared" si="627"/>
        <v>1516428.857142857</v>
      </c>
      <c r="F1194" s="10">
        <f t="shared" si="628"/>
        <v>0</v>
      </c>
      <c r="G1194" s="10">
        <f t="shared" si="629"/>
        <v>1434531222.8571427</v>
      </c>
      <c r="H1194" s="10">
        <f t="shared" si="630"/>
        <v>6415876334.4285717</v>
      </c>
      <c r="I1194" s="10">
        <f t="shared" si="631"/>
        <v>6415876334.4285717</v>
      </c>
      <c r="J1194" s="10">
        <f t="shared" si="632"/>
        <v>3248595785.4285712</v>
      </c>
      <c r="K1194" s="10">
        <f t="shared" si="633"/>
        <v>216905546.85714284</v>
      </c>
      <c r="L1194" s="10">
        <f t="shared" si="634"/>
        <v>0</v>
      </c>
      <c r="M1194" s="10">
        <f t="shared" si="635"/>
        <v>21107955810.57143</v>
      </c>
      <c r="N1194" s="10">
        <f t="shared" si="636"/>
        <v>21107955810.57143</v>
      </c>
      <c r="O1194" s="10">
        <f t="shared" si="637"/>
        <v>21107955810.57143</v>
      </c>
      <c r="P1194" s="10">
        <f t="shared" si="638"/>
        <v>541399703.71428561</v>
      </c>
      <c r="Q1194" s="10">
        <f t="shared" si="639"/>
        <v>541399703.71428561</v>
      </c>
      <c r="R1194" s="10">
        <f t="shared" si="640"/>
        <v>541399703.71428561</v>
      </c>
      <c r="S1194" s="10">
        <f t="shared" si="641"/>
        <v>541399703.71428561</v>
      </c>
      <c r="T1194" s="10">
        <f t="shared" si="642"/>
        <v>541399703.71428561</v>
      </c>
      <c r="U1194" s="10">
        <f t="shared" si="643"/>
        <v>541399703.71428561</v>
      </c>
      <c r="V1194" s="10">
        <f t="shared" si="644"/>
        <v>52564285714.285721</v>
      </c>
      <c r="W1194" s="10">
        <f t="shared" si="645"/>
        <v>52564285714.285721</v>
      </c>
      <c r="X1194" s="10">
        <f t="shared" si="646"/>
        <v>52564285714.285721</v>
      </c>
      <c r="Y1194" s="27"/>
      <c r="Z1194" s="32"/>
    </row>
    <row r="1195" spans="1:26" outlineLevel="1" x14ac:dyDescent="0.3">
      <c r="A1195" t="s">
        <v>162</v>
      </c>
      <c r="B1195" t="s">
        <v>70</v>
      </c>
      <c r="C1195" s="6" t="s">
        <v>145</v>
      </c>
      <c r="D1195" s="10">
        <f t="shared" si="626"/>
        <v>748686921.28571427</v>
      </c>
      <c r="E1195" s="10">
        <f t="shared" si="627"/>
        <v>1189413.8571428573</v>
      </c>
      <c r="F1195" s="10">
        <f t="shared" si="628"/>
        <v>0</v>
      </c>
      <c r="G1195" s="10">
        <f t="shared" si="629"/>
        <v>795989246.71428573</v>
      </c>
      <c r="H1195" s="10">
        <f t="shared" si="630"/>
        <v>8288505846.7142859</v>
      </c>
      <c r="I1195" s="10">
        <f t="shared" si="631"/>
        <v>8288505846.7142859</v>
      </c>
      <c r="J1195" s="10">
        <f t="shared" si="632"/>
        <v>3642337779.4285717</v>
      </c>
      <c r="K1195" s="10">
        <f t="shared" si="633"/>
        <v>254352807.42857143</v>
      </c>
      <c r="L1195" s="10">
        <f t="shared" si="634"/>
        <v>0</v>
      </c>
      <c r="M1195" s="10">
        <f t="shared" si="635"/>
        <v>28717023698.857143</v>
      </c>
      <c r="N1195" s="10">
        <f t="shared" si="636"/>
        <v>28717023698.857143</v>
      </c>
      <c r="O1195" s="10">
        <f t="shared" si="637"/>
        <v>28717023698.857143</v>
      </c>
      <c r="P1195" s="10">
        <f t="shared" si="638"/>
        <v>1079081376</v>
      </c>
      <c r="Q1195" s="10">
        <f t="shared" si="639"/>
        <v>1079081376</v>
      </c>
      <c r="R1195" s="10">
        <f t="shared" si="640"/>
        <v>1079081376</v>
      </c>
      <c r="S1195" s="10">
        <f t="shared" si="641"/>
        <v>1079081376</v>
      </c>
      <c r="T1195" s="10">
        <f t="shared" si="642"/>
        <v>1079081376</v>
      </c>
      <c r="U1195" s="10">
        <f t="shared" si="643"/>
        <v>1079081376</v>
      </c>
      <c r="V1195" s="10">
        <f t="shared" si="644"/>
        <v>52989571428.571434</v>
      </c>
      <c r="W1195" s="10">
        <f t="shared" si="645"/>
        <v>52989571428.571434</v>
      </c>
      <c r="X1195" s="10">
        <f t="shared" si="646"/>
        <v>52989571428.571434</v>
      </c>
      <c r="Y1195" s="27"/>
      <c r="Z1195" s="32"/>
    </row>
    <row r="1196" spans="1:26" outlineLevel="1" x14ac:dyDescent="0.3">
      <c r="A1196" t="s">
        <v>162</v>
      </c>
      <c r="B1196" t="s">
        <v>71</v>
      </c>
      <c r="C1196" s="6" t="s">
        <v>146</v>
      </c>
      <c r="D1196" s="10">
        <f t="shared" si="626"/>
        <v>733457501.42857146</v>
      </c>
      <c r="E1196" s="10">
        <f t="shared" si="627"/>
        <v>2621218</v>
      </c>
      <c r="F1196" s="10">
        <f t="shared" si="628"/>
        <v>0</v>
      </c>
      <c r="G1196" s="10">
        <f t="shared" si="629"/>
        <v>797146191.85714293</v>
      </c>
      <c r="H1196" s="10">
        <f t="shared" si="630"/>
        <v>8752089374.4285717</v>
      </c>
      <c r="I1196" s="10">
        <f t="shared" si="631"/>
        <v>8752089374.4285717</v>
      </c>
      <c r="J1196" s="10">
        <f t="shared" si="632"/>
        <v>2852387844.8571424</v>
      </c>
      <c r="K1196" s="10">
        <f t="shared" si="633"/>
        <v>310871917.85714287</v>
      </c>
      <c r="L1196" s="10">
        <f t="shared" si="634"/>
        <v>0</v>
      </c>
      <c r="M1196" s="10">
        <f t="shared" si="635"/>
        <v>35381311665.85714</v>
      </c>
      <c r="N1196" s="10">
        <f t="shared" si="636"/>
        <v>35381311665.85714</v>
      </c>
      <c r="O1196" s="10">
        <f t="shared" si="637"/>
        <v>35381311665.85714</v>
      </c>
      <c r="P1196" s="10">
        <f t="shared" si="638"/>
        <v>1186827314.8571429</v>
      </c>
      <c r="Q1196" s="10">
        <f t="shared" si="639"/>
        <v>1186827314.8571429</v>
      </c>
      <c r="R1196" s="10">
        <f t="shared" si="640"/>
        <v>1186827314.8571429</v>
      </c>
      <c r="S1196" s="10">
        <f t="shared" si="641"/>
        <v>1186827314.8571429</v>
      </c>
      <c r="T1196" s="10">
        <f t="shared" si="642"/>
        <v>1186827314.8571429</v>
      </c>
      <c r="U1196" s="10">
        <f t="shared" si="643"/>
        <v>1186827314.8571429</v>
      </c>
      <c r="V1196" s="10">
        <f t="shared" si="644"/>
        <v>53103285714.285721</v>
      </c>
      <c r="W1196" s="10">
        <f t="shared" si="645"/>
        <v>53103285714.285721</v>
      </c>
      <c r="X1196" s="10">
        <f t="shared" si="646"/>
        <v>53103285714.285721</v>
      </c>
      <c r="Y1196" s="27"/>
      <c r="Z1196" s="32"/>
    </row>
    <row r="1197" spans="1:26" outlineLevel="1" x14ac:dyDescent="0.3">
      <c r="A1197" t="s">
        <v>162</v>
      </c>
      <c r="B1197" t="s">
        <v>72</v>
      </c>
      <c r="C1197" s="6" t="s">
        <v>147</v>
      </c>
      <c r="D1197" s="10">
        <f t="shared" si="626"/>
        <v>540700337</v>
      </c>
      <c r="E1197" s="10">
        <f t="shared" si="627"/>
        <v>29535190.571428575</v>
      </c>
      <c r="F1197" s="10">
        <f t="shared" si="628"/>
        <v>0</v>
      </c>
      <c r="G1197" s="10">
        <f t="shared" si="629"/>
        <v>779981161.42857146</v>
      </c>
      <c r="H1197" s="10">
        <f t="shared" si="630"/>
        <v>9150669025.2857151</v>
      </c>
      <c r="I1197" s="10">
        <f t="shared" si="631"/>
        <v>9150669025.2857151</v>
      </c>
      <c r="J1197" s="10">
        <f t="shared" si="632"/>
        <v>2172440503.7142863</v>
      </c>
      <c r="K1197" s="10">
        <f t="shared" si="633"/>
        <v>368274498.71428567</v>
      </c>
      <c r="L1197" s="10">
        <f t="shared" si="634"/>
        <v>0</v>
      </c>
      <c r="M1197" s="10">
        <f t="shared" si="635"/>
        <v>37342570711.857147</v>
      </c>
      <c r="N1197" s="10">
        <f t="shared" si="636"/>
        <v>37342570711.857147</v>
      </c>
      <c r="O1197" s="10">
        <f t="shared" si="637"/>
        <v>37342570711.857147</v>
      </c>
      <c r="P1197" s="10">
        <f t="shared" si="638"/>
        <v>1082982863.4285715</v>
      </c>
      <c r="Q1197" s="10">
        <f t="shared" si="639"/>
        <v>1082982863.4285715</v>
      </c>
      <c r="R1197" s="10">
        <f t="shared" si="640"/>
        <v>1082982863.4285715</v>
      </c>
      <c r="S1197" s="10">
        <f t="shared" si="641"/>
        <v>1082982863.4285715</v>
      </c>
      <c r="T1197" s="10">
        <f t="shared" si="642"/>
        <v>1082982863.4285715</v>
      </c>
      <c r="U1197" s="10">
        <f t="shared" si="643"/>
        <v>1082982863.4285715</v>
      </c>
      <c r="V1197" s="10">
        <f t="shared" si="644"/>
        <v>53011285714.285706</v>
      </c>
      <c r="W1197" s="10">
        <f t="shared" si="645"/>
        <v>53011285714.285706</v>
      </c>
      <c r="X1197" s="10">
        <f t="shared" si="646"/>
        <v>53011285714.285706</v>
      </c>
      <c r="Y1197" s="27"/>
      <c r="Z1197" s="32"/>
    </row>
    <row r="1198" spans="1:26" outlineLevel="1" x14ac:dyDescent="0.3">
      <c r="A1198" t="s">
        <v>162</v>
      </c>
      <c r="B1198" t="s">
        <v>73</v>
      </c>
      <c r="C1198" s="6" t="s">
        <v>148</v>
      </c>
      <c r="D1198" s="10">
        <f t="shared" si="626"/>
        <v>523530348.14285713</v>
      </c>
      <c r="E1198" s="10">
        <f t="shared" si="627"/>
        <v>67496759</v>
      </c>
      <c r="F1198" s="10">
        <f t="shared" si="628"/>
        <v>0</v>
      </c>
      <c r="G1198" s="10">
        <f t="shared" si="629"/>
        <v>790819152.14285731</v>
      </c>
      <c r="H1198" s="10">
        <f t="shared" si="630"/>
        <v>9537325169.2857151</v>
      </c>
      <c r="I1198" s="10">
        <f t="shared" si="631"/>
        <v>9537325169.2857151</v>
      </c>
      <c r="J1198" s="10">
        <f t="shared" si="632"/>
        <v>1798498859.7142856</v>
      </c>
      <c r="K1198" s="10">
        <f t="shared" si="633"/>
        <v>416458896.5714286</v>
      </c>
      <c r="L1198" s="10">
        <f t="shared" si="634"/>
        <v>0</v>
      </c>
      <c r="M1198" s="10">
        <f t="shared" si="635"/>
        <v>37164185100.85714</v>
      </c>
      <c r="N1198" s="10">
        <f t="shared" si="636"/>
        <v>37164185100.85714</v>
      </c>
      <c r="O1198" s="10">
        <f t="shared" si="637"/>
        <v>37164185100.85714</v>
      </c>
      <c r="P1198" s="10">
        <f t="shared" si="638"/>
        <v>909505954</v>
      </c>
      <c r="Q1198" s="10">
        <f t="shared" si="639"/>
        <v>909505954</v>
      </c>
      <c r="R1198" s="10">
        <f t="shared" si="640"/>
        <v>909505954</v>
      </c>
      <c r="S1198" s="10">
        <f t="shared" si="641"/>
        <v>909505954</v>
      </c>
      <c r="T1198" s="10">
        <f t="shared" si="642"/>
        <v>909505954</v>
      </c>
      <c r="U1198" s="10">
        <f t="shared" si="643"/>
        <v>909505954</v>
      </c>
      <c r="V1198" s="10">
        <f t="shared" si="644"/>
        <v>52810000000</v>
      </c>
      <c r="W1198" s="10">
        <f t="shared" si="645"/>
        <v>52810000000</v>
      </c>
      <c r="X1198" s="10">
        <f t="shared" si="646"/>
        <v>52810000000</v>
      </c>
      <c r="Y1198" s="27"/>
      <c r="Z1198" s="32"/>
    </row>
    <row r="1199" spans="1:26" outlineLevel="1" x14ac:dyDescent="0.3">
      <c r="A1199" t="s">
        <v>162</v>
      </c>
      <c r="B1199" t="s">
        <v>74</v>
      </c>
      <c r="C1199" s="6" t="s">
        <v>149</v>
      </c>
      <c r="D1199" s="10">
        <f t="shared" si="626"/>
        <v>510330860.99999994</v>
      </c>
      <c r="E1199" s="10">
        <f t="shared" si="627"/>
        <v>114844220.42857142</v>
      </c>
      <c r="F1199" s="10">
        <f t="shared" si="628"/>
        <v>0</v>
      </c>
      <c r="G1199" s="10">
        <f t="shared" si="629"/>
        <v>859434280.85714293</v>
      </c>
      <c r="H1199" s="10">
        <f t="shared" si="630"/>
        <v>9779962066.2857151</v>
      </c>
      <c r="I1199" s="10">
        <f t="shared" si="631"/>
        <v>9779962066.2857151</v>
      </c>
      <c r="J1199" s="10">
        <f t="shared" si="632"/>
        <v>1522026942.4285715</v>
      </c>
      <c r="K1199" s="10">
        <f t="shared" si="633"/>
        <v>451466710.14285702</v>
      </c>
      <c r="L1199" s="10">
        <f t="shared" si="634"/>
        <v>0</v>
      </c>
      <c r="M1199" s="10">
        <f t="shared" si="635"/>
        <v>37059649204.571434</v>
      </c>
      <c r="N1199" s="10">
        <f t="shared" si="636"/>
        <v>37059649204.571434</v>
      </c>
      <c r="O1199" s="10">
        <f t="shared" si="637"/>
        <v>37059649204.571434</v>
      </c>
      <c r="P1199" s="10">
        <f t="shared" si="638"/>
        <v>914277310.57142854</v>
      </c>
      <c r="Q1199" s="10">
        <f t="shared" si="639"/>
        <v>914277310.57142854</v>
      </c>
      <c r="R1199" s="10">
        <f t="shared" si="640"/>
        <v>914277310.57142854</v>
      </c>
      <c r="S1199" s="10">
        <f t="shared" si="641"/>
        <v>914277310.57142854</v>
      </c>
      <c r="T1199" s="10">
        <f t="shared" si="642"/>
        <v>914277310.57142854</v>
      </c>
      <c r="U1199" s="10">
        <f t="shared" si="643"/>
        <v>914277310.57142854</v>
      </c>
      <c r="V1199" s="10">
        <f t="shared" si="644"/>
        <v>52661142857.142868</v>
      </c>
      <c r="W1199" s="10">
        <f t="shared" si="645"/>
        <v>52661142857.142868</v>
      </c>
      <c r="X1199" s="10">
        <f t="shared" si="646"/>
        <v>52661142857.142868</v>
      </c>
      <c r="Y1199" s="27"/>
      <c r="Z1199" s="32"/>
    </row>
    <row r="1200" spans="1:26" outlineLevel="1" x14ac:dyDescent="0.3">
      <c r="A1200" t="s">
        <v>162</v>
      </c>
      <c r="B1200" t="s">
        <v>75</v>
      </c>
      <c r="C1200" s="6" t="s">
        <v>150</v>
      </c>
      <c r="D1200" s="10">
        <f t="shared" si="626"/>
        <v>523933140.28571427</v>
      </c>
      <c r="E1200" s="10">
        <f t="shared" si="627"/>
        <v>158510467.28571427</v>
      </c>
      <c r="F1200" s="10">
        <f t="shared" si="628"/>
        <v>0</v>
      </c>
      <c r="G1200" s="10">
        <f t="shared" si="629"/>
        <v>903841022.00000012</v>
      </c>
      <c r="H1200" s="10">
        <f t="shared" si="630"/>
        <v>9297715370.4285717</v>
      </c>
      <c r="I1200" s="10">
        <f t="shared" si="631"/>
        <v>9297715370.4285717</v>
      </c>
      <c r="J1200" s="10">
        <f t="shared" si="632"/>
        <v>1364193728.1428568</v>
      </c>
      <c r="K1200" s="10">
        <f t="shared" si="633"/>
        <v>464353996.85714281</v>
      </c>
      <c r="L1200" s="10">
        <f t="shared" si="634"/>
        <v>0</v>
      </c>
      <c r="M1200" s="10">
        <f t="shared" si="635"/>
        <v>36476880846.428574</v>
      </c>
      <c r="N1200" s="10">
        <f t="shared" si="636"/>
        <v>36476880846.428574</v>
      </c>
      <c r="O1200" s="10">
        <f t="shared" si="637"/>
        <v>36476880846.428574</v>
      </c>
      <c r="P1200" s="10">
        <f t="shared" si="638"/>
        <v>924190568.85714281</v>
      </c>
      <c r="Q1200" s="10">
        <f t="shared" si="639"/>
        <v>924190568.85714281</v>
      </c>
      <c r="R1200" s="10">
        <f t="shared" si="640"/>
        <v>924190568.85714281</v>
      </c>
      <c r="S1200" s="10">
        <f t="shared" si="641"/>
        <v>924190568.85714281</v>
      </c>
      <c r="T1200" s="10">
        <f t="shared" si="642"/>
        <v>924190568.85714281</v>
      </c>
      <c r="U1200" s="10">
        <f t="shared" si="643"/>
        <v>924190568.85714281</v>
      </c>
      <c r="V1200" s="10">
        <f t="shared" si="644"/>
        <v>52498714285.714279</v>
      </c>
      <c r="W1200" s="10">
        <f t="shared" si="645"/>
        <v>52498714285.714279</v>
      </c>
      <c r="X1200" s="10">
        <f t="shared" si="646"/>
        <v>52498714285.714279</v>
      </c>
      <c r="Y1200" s="27"/>
      <c r="Z1200" s="32"/>
    </row>
    <row r="1201" spans="1:26" outlineLevel="1" x14ac:dyDescent="0.3">
      <c r="A1201" t="s">
        <v>162</v>
      </c>
      <c r="B1201" t="s">
        <v>76</v>
      </c>
      <c r="C1201" s="6" t="s">
        <v>151</v>
      </c>
      <c r="D1201" s="10">
        <f t="shared" si="626"/>
        <v>527504690.28571421</v>
      </c>
      <c r="E1201" s="10">
        <f t="shared" si="627"/>
        <v>199346002.14285716</v>
      </c>
      <c r="F1201" s="10">
        <f t="shared" si="628"/>
        <v>0</v>
      </c>
      <c r="G1201" s="10">
        <f t="shared" si="629"/>
        <v>912366646.00000012</v>
      </c>
      <c r="H1201" s="10">
        <f t="shared" si="630"/>
        <v>8947582661.5714283</v>
      </c>
      <c r="I1201" s="10">
        <f t="shared" si="631"/>
        <v>8947582661.5714283</v>
      </c>
      <c r="J1201" s="10">
        <f t="shared" si="632"/>
        <v>1256572665.8571427</v>
      </c>
      <c r="K1201" s="10">
        <f t="shared" si="633"/>
        <v>485452696.57142854</v>
      </c>
      <c r="L1201" s="10">
        <f t="shared" si="634"/>
        <v>0</v>
      </c>
      <c r="M1201" s="10">
        <f t="shared" si="635"/>
        <v>36388403209</v>
      </c>
      <c r="N1201" s="10">
        <f t="shared" si="636"/>
        <v>36388403209</v>
      </c>
      <c r="O1201" s="10">
        <f t="shared" si="637"/>
        <v>36388403209</v>
      </c>
      <c r="P1201" s="10">
        <f t="shared" si="638"/>
        <v>917231645.14285707</v>
      </c>
      <c r="Q1201" s="10">
        <f t="shared" si="639"/>
        <v>917231645.14285707</v>
      </c>
      <c r="R1201" s="10">
        <f t="shared" si="640"/>
        <v>917231645.14285707</v>
      </c>
      <c r="S1201" s="10">
        <f t="shared" si="641"/>
        <v>917231645.14285707</v>
      </c>
      <c r="T1201" s="10">
        <f t="shared" si="642"/>
        <v>917231645.14285707</v>
      </c>
      <c r="U1201" s="10">
        <f t="shared" si="643"/>
        <v>917231645.14285707</v>
      </c>
      <c r="V1201" s="10">
        <f t="shared" si="644"/>
        <v>52485428571.428574</v>
      </c>
      <c r="W1201" s="10">
        <f t="shared" si="645"/>
        <v>52485428571.428574</v>
      </c>
      <c r="X1201" s="10">
        <f t="shared" si="646"/>
        <v>52485428571.428574</v>
      </c>
      <c r="Y1201" s="27"/>
      <c r="Z1201" s="32"/>
    </row>
    <row r="1202" spans="1:26" outlineLevel="1" x14ac:dyDescent="0.3">
      <c r="A1202" t="s">
        <v>162</v>
      </c>
      <c r="B1202" t="s">
        <v>77</v>
      </c>
      <c r="C1202" s="6" t="s">
        <v>152</v>
      </c>
      <c r="D1202" s="10">
        <f t="shared" si="626"/>
        <v>533870849.71428567</v>
      </c>
      <c r="E1202" s="10">
        <f t="shared" si="627"/>
        <v>227085995.14285713</v>
      </c>
      <c r="F1202" s="10">
        <f t="shared" si="628"/>
        <v>0</v>
      </c>
      <c r="G1202" s="10">
        <f t="shared" si="629"/>
        <v>927733567.71428573</v>
      </c>
      <c r="H1202" s="10">
        <f t="shared" si="630"/>
        <v>9279452444.5714283</v>
      </c>
      <c r="I1202" s="10">
        <f t="shared" si="631"/>
        <v>9279452444.5714283</v>
      </c>
      <c r="J1202" s="10">
        <f t="shared" si="632"/>
        <v>1179866128.1428573</v>
      </c>
      <c r="K1202" s="10">
        <f t="shared" si="633"/>
        <v>500272285.85714281</v>
      </c>
      <c r="L1202" s="10">
        <f t="shared" si="634"/>
        <v>0</v>
      </c>
      <c r="M1202" s="10">
        <f t="shared" si="635"/>
        <v>36213290157.428566</v>
      </c>
      <c r="N1202" s="10">
        <f t="shared" si="636"/>
        <v>36213290157.428566</v>
      </c>
      <c r="O1202" s="10">
        <f t="shared" si="637"/>
        <v>36213290157.428566</v>
      </c>
      <c r="P1202" s="10">
        <f t="shared" si="638"/>
        <v>902241822.28571427</v>
      </c>
      <c r="Q1202" s="10">
        <f t="shared" si="639"/>
        <v>902241822.28571427</v>
      </c>
      <c r="R1202" s="10">
        <f t="shared" si="640"/>
        <v>902241822.28571427</v>
      </c>
      <c r="S1202" s="10">
        <f t="shared" si="641"/>
        <v>902241822.28571427</v>
      </c>
      <c r="T1202" s="10">
        <f t="shared" si="642"/>
        <v>902241822.28571427</v>
      </c>
      <c r="U1202" s="10">
        <f t="shared" si="643"/>
        <v>902241822.28571427</v>
      </c>
      <c r="V1202" s="10">
        <f t="shared" si="644"/>
        <v>52577428571.428574</v>
      </c>
      <c r="W1202" s="10">
        <f t="shared" si="645"/>
        <v>52577428571.428574</v>
      </c>
      <c r="X1202" s="10">
        <f t="shared" si="646"/>
        <v>52577428571.428574</v>
      </c>
      <c r="Y1202" s="27"/>
      <c r="Z1202" s="32"/>
    </row>
    <row r="1203" spans="1:26" outlineLevel="1" x14ac:dyDescent="0.3">
      <c r="A1203" t="s">
        <v>162</v>
      </c>
      <c r="B1203" t="s">
        <v>78</v>
      </c>
      <c r="C1203" s="6" t="s">
        <v>153</v>
      </c>
      <c r="D1203" s="10">
        <f t="shared" si="626"/>
        <v>553569048.42857146</v>
      </c>
      <c r="E1203" s="10">
        <f t="shared" si="627"/>
        <v>221570008.14285713</v>
      </c>
      <c r="F1203" s="10">
        <f t="shared" si="628"/>
        <v>0</v>
      </c>
      <c r="G1203" s="10">
        <f t="shared" si="629"/>
        <v>987379819.14285719</v>
      </c>
      <c r="H1203" s="10">
        <f t="shared" si="630"/>
        <v>10280738267.142857</v>
      </c>
      <c r="I1203" s="10">
        <f t="shared" si="631"/>
        <v>10280738267.142857</v>
      </c>
      <c r="J1203" s="10">
        <f t="shared" si="632"/>
        <v>1101226301.5714288</v>
      </c>
      <c r="K1203" s="10">
        <f t="shared" si="633"/>
        <v>494827775.4285714</v>
      </c>
      <c r="L1203" s="10">
        <f t="shared" si="634"/>
        <v>0</v>
      </c>
      <c r="M1203" s="10">
        <f t="shared" si="635"/>
        <v>36012803065.857147</v>
      </c>
      <c r="N1203" s="10">
        <f t="shared" si="636"/>
        <v>36012803065.857147</v>
      </c>
      <c r="O1203" s="10">
        <f t="shared" si="637"/>
        <v>36012803065.857147</v>
      </c>
      <c r="P1203" s="10">
        <f t="shared" si="638"/>
        <v>1041828494.5714285</v>
      </c>
      <c r="Q1203" s="10">
        <f t="shared" si="639"/>
        <v>1041828494.5714285</v>
      </c>
      <c r="R1203" s="10">
        <f t="shared" si="640"/>
        <v>1041828494.5714285</v>
      </c>
      <c r="S1203" s="10">
        <f t="shared" si="641"/>
        <v>1041828494.5714285</v>
      </c>
      <c r="T1203" s="10">
        <f t="shared" si="642"/>
        <v>1041828494.5714285</v>
      </c>
      <c r="U1203" s="10">
        <f t="shared" si="643"/>
        <v>1041828494.5714285</v>
      </c>
      <c r="V1203" s="10">
        <f t="shared" si="644"/>
        <v>53024428571.428574</v>
      </c>
      <c r="W1203" s="10">
        <f t="shared" si="645"/>
        <v>53024428571.428574</v>
      </c>
      <c r="X1203" s="10">
        <f t="shared" si="646"/>
        <v>53024428571.428574</v>
      </c>
      <c r="Y1203" s="27"/>
      <c r="Z1203" s="32"/>
    </row>
    <row r="1204" spans="1:26" outlineLevel="1" x14ac:dyDescent="0.3">
      <c r="A1204" t="s">
        <v>162</v>
      </c>
      <c r="B1204" t="s">
        <v>79</v>
      </c>
      <c r="C1204" s="6" t="s">
        <v>154</v>
      </c>
      <c r="D1204" s="10">
        <f t="shared" si="626"/>
        <v>578814506.85714281</v>
      </c>
      <c r="E1204" s="10">
        <f t="shared" si="627"/>
        <v>194867870.85714287</v>
      </c>
      <c r="F1204" s="10">
        <f t="shared" si="628"/>
        <v>0</v>
      </c>
      <c r="G1204" s="10">
        <f t="shared" si="629"/>
        <v>1087411703.1428571</v>
      </c>
      <c r="H1204" s="10">
        <f t="shared" si="630"/>
        <v>12094620204.857143</v>
      </c>
      <c r="I1204" s="10">
        <f t="shared" si="631"/>
        <v>12094620204.857143</v>
      </c>
      <c r="J1204" s="10">
        <f t="shared" si="632"/>
        <v>1031037490.7142856</v>
      </c>
      <c r="K1204" s="10">
        <f t="shared" si="633"/>
        <v>471040637.85714275</v>
      </c>
      <c r="L1204" s="10">
        <f t="shared" si="634"/>
        <v>0</v>
      </c>
      <c r="M1204" s="10">
        <f t="shared" si="635"/>
        <v>34774779014.285713</v>
      </c>
      <c r="N1204" s="10">
        <f t="shared" si="636"/>
        <v>34774779014.285713</v>
      </c>
      <c r="O1204" s="10">
        <f t="shared" si="637"/>
        <v>34774779014.285713</v>
      </c>
      <c r="P1204" s="10">
        <f t="shared" si="638"/>
        <v>1201808394.2857144</v>
      </c>
      <c r="Q1204" s="10">
        <f t="shared" si="639"/>
        <v>1201808394.2857144</v>
      </c>
      <c r="R1204" s="10">
        <f t="shared" si="640"/>
        <v>1201808394.2857144</v>
      </c>
      <c r="S1204" s="10">
        <f t="shared" si="641"/>
        <v>1201808394.2857144</v>
      </c>
      <c r="T1204" s="10">
        <f t="shared" si="642"/>
        <v>1201808394.2857144</v>
      </c>
      <c r="U1204" s="10">
        <f t="shared" si="643"/>
        <v>1201808394.2857144</v>
      </c>
      <c r="V1204" s="10">
        <f t="shared" si="644"/>
        <v>53568428571.428574</v>
      </c>
      <c r="W1204" s="10">
        <f t="shared" si="645"/>
        <v>53568428571.428574</v>
      </c>
      <c r="X1204" s="10">
        <f t="shared" si="646"/>
        <v>53568428571.428574</v>
      </c>
      <c r="Y1204" s="27"/>
      <c r="Z1204" s="32"/>
    </row>
    <row r="1205" spans="1:26" outlineLevel="1" x14ac:dyDescent="0.3">
      <c r="A1205" t="s">
        <v>162</v>
      </c>
      <c r="B1205" t="s">
        <v>80</v>
      </c>
      <c r="C1205" s="6" t="s">
        <v>155</v>
      </c>
      <c r="D1205" s="10">
        <f t="shared" si="626"/>
        <v>609150050.00000012</v>
      </c>
      <c r="E1205" s="10">
        <f t="shared" si="627"/>
        <v>165161584.57142857</v>
      </c>
      <c r="F1205" s="10">
        <f t="shared" si="628"/>
        <v>0</v>
      </c>
      <c r="G1205" s="10">
        <f t="shared" si="629"/>
        <v>2342379387.1428566</v>
      </c>
      <c r="H1205" s="10">
        <f t="shared" si="630"/>
        <v>13117880406.85714</v>
      </c>
      <c r="I1205" s="10">
        <f t="shared" si="631"/>
        <v>13117880406.85714</v>
      </c>
      <c r="J1205" s="10">
        <f t="shared" si="632"/>
        <v>1093166696.8571429</v>
      </c>
      <c r="K1205" s="10">
        <f t="shared" si="633"/>
        <v>431226543.57142854</v>
      </c>
      <c r="L1205" s="10">
        <f t="shared" si="634"/>
        <v>0</v>
      </c>
      <c r="M1205" s="10">
        <f t="shared" si="635"/>
        <v>32881178188.142857</v>
      </c>
      <c r="N1205" s="10">
        <f t="shared" si="636"/>
        <v>32881178188.142857</v>
      </c>
      <c r="O1205" s="10">
        <f t="shared" si="637"/>
        <v>32881178188.142857</v>
      </c>
      <c r="P1205" s="10">
        <f t="shared" si="638"/>
        <v>1261105172</v>
      </c>
      <c r="Q1205" s="10">
        <f t="shared" si="639"/>
        <v>1261105172</v>
      </c>
      <c r="R1205" s="10">
        <f t="shared" si="640"/>
        <v>1261105172</v>
      </c>
      <c r="S1205" s="10">
        <f t="shared" si="641"/>
        <v>1261105172</v>
      </c>
      <c r="T1205" s="10">
        <f t="shared" si="642"/>
        <v>1261105172</v>
      </c>
      <c r="U1205" s="10">
        <f t="shared" si="643"/>
        <v>1261105172</v>
      </c>
      <c r="V1205" s="10">
        <f t="shared" si="644"/>
        <v>53651571428.571426</v>
      </c>
      <c r="W1205" s="10">
        <f t="shared" si="645"/>
        <v>53651571428.571426</v>
      </c>
      <c r="X1205" s="10">
        <f t="shared" si="646"/>
        <v>53651571428.571426</v>
      </c>
      <c r="Y1205" s="27"/>
      <c r="Z1205" s="32"/>
    </row>
    <row r="1206" spans="1:26" outlineLevel="1" x14ac:dyDescent="0.3">
      <c r="A1206" t="s">
        <v>162</v>
      </c>
      <c r="B1206" t="s">
        <v>81</v>
      </c>
      <c r="C1206" s="6" t="s">
        <v>156</v>
      </c>
      <c r="D1206" s="10">
        <f t="shared" si="626"/>
        <v>648969104.42857134</v>
      </c>
      <c r="E1206" s="10">
        <f t="shared" si="627"/>
        <v>117675527.42857143</v>
      </c>
      <c r="F1206" s="10">
        <f t="shared" si="628"/>
        <v>0</v>
      </c>
      <c r="G1206" s="10">
        <f t="shared" si="629"/>
        <v>4084585714.2857141</v>
      </c>
      <c r="H1206" s="10">
        <f t="shared" si="630"/>
        <v>12773483939.571428</v>
      </c>
      <c r="I1206" s="10">
        <f t="shared" si="631"/>
        <v>12773483939.571428</v>
      </c>
      <c r="J1206" s="10">
        <f t="shared" si="632"/>
        <v>1228602797.1428571</v>
      </c>
      <c r="K1206" s="10">
        <f t="shared" si="633"/>
        <v>388332398.28571421</v>
      </c>
      <c r="L1206" s="10">
        <f t="shared" si="634"/>
        <v>0</v>
      </c>
      <c r="M1206" s="10">
        <f t="shared" si="635"/>
        <v>31387064804.571426</v>
      </c>
      <c r="N1206" s="10">
        <f t="shared" si="636"/>
        <v>31387064804.571426</v>
      </c>
      <c r="O1206" s="10">
        <f t="shared" si="637"/>
        <v>31387064804.571426</v>
      </c>
      <c r="P1206" s="10">
        <f t="shared" si="638"/>
        <v>1174599184</v>
      </c>
      <c r="Q1206" s="10">
        <f t="shared" si="639"/>
        <v>1174599184</v>
      </c>
      <c r="R1206" s="10">
        <f t="shared" si="640"/>
        <v>1174599184</v>
      </c>
      <c r="S1206" s="10">
        <f t="shared" si="641"/>
        <v>1174599184</v>
      </c>
      <c r="T1206" s="10">
        <f t="shared" si="642"/>
        <v>1174599184</v>
      </c>
      <c r="U1206" s="10">
        <f t="shared" si="643"/>
        <v>1174599184</v>
      </c>
      <c r="V1206" s="10">
        <f t="shared" si="644"/>
        <v>53428142857.142853</v>
      </c>
      <c r="W1206" s="10">
        <f t="shared" si="645"/>
        <v>53428142857.142853</v>
      </c>
      <c r="X1206" s="10">
        <f t="shared" si="646"/>
        <v>53428142857.142853</v>
      </c>
      <c r="Y1206" s="35"/>
      <c r="Z1206" s="32"/>
    </row>
    <row r="1207" spans="1:26" outlineLevel="1" x14ac:dyDescent="0.3">
      <c r="A1207" t="s">
        <v>162</v>
      </c>
      <c r="B1207" t="s">
        <v>82</v>
      </c>
      <c r="C1207" s="6" t="s">
        <v>157</v>
      </c>
      <c r="D1207" s="10">
        <f t="shared" si="626"/>
        <v>698447864.14285707</v>
      </c>
      <c r="E1207" s="10">
        <f t="shared" si="627"/>
        <v>55017825.428571433</v>
      </c>
      <c r="F1207" s="10">
        <f t="shared" si="628"/>
        <v>0</v>
      </c>
      <c r="G1207" s="10">
        <f t="shared" si="629"/>
        <v>4479457142.8571424</v>
      </c>
      <c r="H1207" s="10">
        <f t="shared" si="630"/>
        <v>12107791453.285715</v>
      </c>
      <c r="I1207" s="10">
        <f t="shared" si="631"/>
        <v>12107791453.285715</v>
      </c>
      <c r="J1207" s="10">
        <f t="shared" si="632"/>
        <v>1420097418.5714288</v>
      </c>
      <c r="K1207" s="10">
        <f t="shared" si="633"/>
        <v>337754487.71428573</v>
      </c>
      <c r="L1207" s="10">
        <f t="shared" si="634"/>
        <v>0</v>
      </c>
      <c r="M1207" s="10">
        <f t="shared" si="635"/>
        <v>26636433808</v>
      </c>
      <c r="N1207" s="10">
        <f t="shared" si="636"/>
        <v>26636433808</v>
      </c>
      <c r="O1207" s="10">
        <f t="shared" si="637"/>
        <v>26636433808</v>
      </c>
      <c r="P1207" s="10">
        <f t="shared" si="638"/>
        <v>982630575.42857146</v>
      </c>
      <c r="Q1207" s="10">
        <f t="shared" si="639"/>
        <v>982630575.42857146</v>
      </c>
      <c r="R1207" s="10">
        <f t="shared" si="640"/>
        <v>982630575.42857146</v>
      </c>
      <c r="S1207" s="10">
        <f t="shared" si="641"/>
        <v>982630575.42857146</v>
      </c>
      <c r="T1207" s="10">
        <f t="shared" si="642"/>
        <v>982630575.42857146</v>
      </c>
      <c r="U1207" s="10">
        <f t="shared" si="643"/>
        <v>982630575.42857146</v>
      </c>
      <c r="V1207" s="10">
        <f t="shared" si="644"/>
        <v>53112714285.714272</v>
      </c>
      <c r="W1207" s="10">
        <f t="shared" si="645"/>
        <v>53112714285.714272</v>
      </c>
      <c r="X1207" s="10">
        <f t="shared" si="646"/>
        <v>53112714285.714272</v>
      </c>
      <c r="Y1207" s="27"/>
      <c r="Z1207" s="32"/>
    </row>
    <row r="1208" spans="1:26" outlineLevel="1" x14ac:dyDescent="0.3">
      <c r="A1208" t="s">
        <v>162</v>
      </c>
      <c r="B1208" t="s">
        <v>83</v>
      </c>
      <c r="C1208" s="6" t="s">
        <v>158</v>
      </c>
      <c r="D1208" s="10">
        <f t="shared" si="626"/>
        <v>726699516.42857146</v>
      </c>
      <c r="E1208" s="10">
        <f t="shared" si="627"/>
        <v>4546469.1428571427</v>
      </c>
      <c r="F1208" s="10">
        <f t="shared" si="628"/>
        <v>0</v>
      </c>
      <c r="G1208" s="10">
        <f t="shared" si="629"/>
        <v>4531128571.4285717</v>
      </c>
      <c r="H1208" s="10">
        <f t="shared" si="630"/>
        <v>11731339728.714287</v>
      </c>
      <c r="I1208" s="10">
        <f t="shared" si="631"/>
        <v>11731339728.714287</v>
      </c>
      <c r="J1208" s="10">
        <f t="shared" si="632"/>
        <v>1711397177.8571427</v>
      </c>
      <c r="K1208" s="10">
        <f t="shared" si="633"/>
        <v>298297691</v>
      </c>
      <c r="L1208" s="10">
        <f t="shared" si="634"/>
        <v>0</v>
      </c>
      <c r="M1208" s="10">
        <f t="shared" si="635"/>
        <v>22432590845.428574</v>
      </c>
      <c r="N1208" s="10">
        <f t="shared" si="636"/>
        <v>22432590845.428574</v>
      </c>
      <c r="O1208" s="10">
        <f t="shared" si="637"/>
        <v>22432590845.428574</v>
      </c>
      <c r="P1208" s="10">
        <f t="shared" si="638"/>
        <v>907787790.28571415</v>
      </c>
      <c r="Q1208" s="10">
        <f t="shared" si="639"/>
        <v>907787790.28571415</v>
      </c>
      <c r="R1208" s="10">
        <f t="shared" si="640"/>
        <v>907787790.28571415</v>
      </c>
      <c r="S1208" s="10">
        <f t="shared" si="641"/>
        <v>907787790.28571415</v>
      </c>
      <c r="T1208" s="10">
        <f t="shared" si="642"/>
        <v>907787790.28571415</v>
      </c>
      <c r="U1208" s="10">
        <f t="shared" si="643"/>
        <v>907787790.28571415</v>
      </c>
      <c r="V1208" s="10">
        <f t="shared" si="644"/>
        <v>52744142857.142853</v>
      </c>
      <c r="W1208" s="10">
        <f t="shared" si="645"/>
        <v>52744142857.142853</v>
      </c>
      <c r="X1208" s="10">
        <f t="shared" si="646"/>
        <v>52744142857.142853</v>
      </c>
      <c r="Y1208" s="27"/>
      <c r="Z1208" s="32"/>
    </row>
    <row r="1209" spans="1:26" outlineLevel="1" x14ac:dyDescent="0.3">
      <c r="A1209" t="s">
        <v>162</v>
      </c>
      <c r="B1209" t="s">
        <v>84</v>
      </c>
      <c r="C1209" s="6" t="s">
        <v>159</v>
      </c>
      <c r="D1209" s="10">
        <f t="shared" si="626"/>
        <v>666201141.85714281</v>
      </c>
      <c r="E1209" s="10">
        <f t="shared" si="627"/>
        <v>1803776.4285714284</v>
      </c>
      <c r="F1209" s="10">
        <f t="shared" si="628"/>
        <v>0</v>
      </c>
      <c r="G1209" s="10">
        <f t="shared" si="629"/>
        <v>3717757142.8571429</v>
      </c>
      <c r="H1209" s="10">
        <f t="shared" si="630"/>
        <v>11470123653.142857</v>
      </c>
      <c r="I1209" s="10">
        <f t="shared" si="631"/>
        <v>11470123653.142857</v>
      </c>
      <c r="J1209" s="10">
        <f t="shared" si="632"/>
        <v>1478944270.1428571</v>
      </c>
      <c r="K1209" s="10">
        <f t="shared" si="633"/>
        <v>280368156.85714287</v>
      </c>
      <c r="L1209" s="10">
        <f t="shared" si="634"/>
        <v>0</v>
      </c>
      <c r="M1209" s="10">
        <f t="shared" si="635"/>
        <v>18511173287.285717</v>
      </c>
      <c r="N1209" s="10">
        <f t="shared" si="636"/>
        <v>18511173287.285717</v>
      </c>
      <c r="O1209" s="10">
        <f t="shared" si="637"/>
        <v>18511173287.285717</v>
      </c>
      <c r="P1209" s="10">
        <f t="shared" si="638"/>
        <v>852043626.85714293</v>
      </c>
      <c r="Q1209" s="10">
        <f t="shared" si="639"/>
        <v>852043626.85714293</v>
      </c>
      <c r="R1209" s="10">
        <f t="shared" si="640"/>
        <v>852043626.85714293</v>
      </c>
      <c r="S1209" s="10">
        <f t="shared" si="641"/>
        <v>852043626.85714293</v>
      </c>
      <c r="T1209" s="10">
        <f t="shared" si="642"/>
        <v>852043626.85714293</v>
      </c>
      <c r="U1209" s="10">
        <f t="shared" si="643"/>
        <v>852043626.85714293</v>
      </c>
      <c r="V1209" s="10">
        <f t="shared" si="644"/>
        <v>52314571428.571426</v>
      </c>
      <c r="W1209" s="10">
        <f t="shared" si="645"/>
        <v>52314571428.571426</v>
      </c>
      <c r="X1209" s="10">
        <f t="shared" si="646"/>
        <v>52314571428.571426</v>
      </c>
      <c r="Y1209" s="27"/>
      <c r="Z1209" s="32"/>
    </row>
    <row r="1210" spans="1:26" outlineLevel="1" x14ac:dyDescent="0.3">
      <c r="A1210" t="s">
        <v>162</v>
      </c>
      <c r="B1210" t="s">
        <v>85</v>
      </c>
      <c r="C1210" s="6" t="s">
        <v>160</v>
      </c>
      <c r="D1210" s="10">
        <f t="shared" si="626"/>
        <v>541256810.71428573</v>
      </c>
      <c r="E1210" s="10">
        <f t="shared" si="627"/>
        <v>1879115.5714285714</v>
      </c>
      <c r="F1210" s="10">
        <f t="shared" si="628"/>
        <v>0</v>
      </c>
      <c r="G1210" s="10">
        <f t="shared" si="629"/>
        <v>2244100000</v>
      </c>
      <c r="H1210" s="10">
        <f t="shared" si="630"/>
        <v>9108592645.1428566</v>
      </c>
      <c r="I1210" s="10">
        <f t="shared" si="631"/>
        <v>9108592645.1428566</v>
      </c>
      <c r="J1210" s="10">
        <f t="shared" si="632"/>
        <v>1302471786.2857144</v>
      </c>
      <c r="K1210" s="10">
        <f t="shared" si="633"/>
        <v>260847732.28571427</v>
      </c>
      <c r="L1210" s="10">
        <f t="shared" si="634"/>
        <v>0</v>
      </c>
      <c r="M1210" s="10">
        <f t="shared" si="635"/>
        <v>15836509052.857143</v>
      </c>
      <c r="N1210" s="10">
        <f t="shared" si="636"/>
        <v>15836509052.857143</v>
      </c>
      <c r="O1210" s="10">
        <f t="shared" si="637"/>
        <v>15836509052.857143</v>
      </c>
      <c r="P1210" s="10">
        <f t="shared" si="638"/>
        <v>810559264.85714293</v>
      </c>
      <c r="Q1210" s="10">
        <f t="shared" si="639"/>
        <v>810559264.85714293</v>
      </c>
      <c r="R1210" s="10">
        <f t="shared" si="640"/>
        <v>810559264.85714293</v>
      </c>
      <c r="S1210" s="10">
        <f t="shared" si="641"/>
        <v>810559264.85714293</v>
      </c>
      <c r="T1210" s="10">
        <f t="shared" si="642"/>
        <v>810559264.85714293</v>
      </c>
      <c r="U1210" s="10">
        <f t="shared" si="643"/>
        <v>810559264.85714293</v>
      </c>
      <c r="V1210" s="10">
        <f t="shared" si="644"/>
        <v>51862857142.857147</v>
      </c>
      <c r="W1210" s="10">
        <f t="shared" si="645"/>
        <v>51862857142.857147</v>
      </c>
      <c r="X1210" s="10">
        <f t="shared" si="646"/>
        <v>51862857142.857147</v>
      </c>
      <c r="Y1210" s="27"/>
      <c r="Z1210" s="32"/>
    </row>
    <row r="1211" spans="1:26" outlineLevel="1" x14ac:dyDescent="0.3">
      <c r="A1211" t="s">
        <v>162</v>
      </c>
      <c r="B1211" t="s">
        <v>86</v>
      </c>
      <c r="C1211" s="6" t="s">
        <v>161</v>
      </c>
      <c r="D1211" s="10">
        <f t="shared" si="626"/>
        <v>512309761.99999994</v>
      </c>
      <c r="E1211" s="10">
        <f t="shared" si="627"/>
        <v>1931842.1428571427</v>
      </c>
      <c r="F1211" s="10">
        <f t="shared" si="628"/>
        <v>0</v>
      </c>
      <c r="G1211" s="10">
        <f t="shared" si="629"/>
        <v>1194265277.7142859</v>
      </c>
      <c r="H1211" s="10">
        <f t="shared" si="630"/>
        <v>7258464546.7142859</v>
      </c>
      <c r="I1211" s="10">
        <f t="shared" si="631"/>
        <v>7258464546.7142859</v>
      </c>
      <c r="J1211" s="10">
        <f t="shared" si="632"/>
        <v>1181863251.2857144</v>
      </c>
      <c r="K1211" s="10">
        <f t="shared" si="633"/>
        <v>233180182.99999997</v>
      </c>
      <c r="L1211" s="10">
        <f t="shared" si="634"/>
        <v>0</v>
      </c>
      <c r="M1211" s="10">
        <f t="shared" si="635"/>
        <v>13928156565.714287</v>
      </c>
      <c r="N1211" s="10">
        <f t="shared" si="636"/>
        <v>13928156565.714287</v>
      </c>
      <c r="O1211" s="10">
        <f t="shared" si="637"/>
        <v>13928156565.714287</v>
      </c>
      <c r="P1211" s="10">
        <f t="shared" si="638"/>
        <v>545524803.71428573</v>
      </c>
      <c r="Q1211" s="10">
        <f t="shared" si="639"/>
        <v>545524803.71428573</v>
      </c>
      <c r="R1211" s="10">
        <f t="shared" si="640"/>
        <v>545524803.71428573</v>
      </c>
      <c r="S1211" s="10">
        <f t="shared" si="641"/>
        <v>545524803.71428573</v>
      </c>
      <c r="T1211" s="10">
        <f t="shared" si="642"/>
        <v>545524803.71428573</v>
      </c>
      <c r="U1211" s="10">
        <f t="shared" si="643"/>
        <v>545524803.71428573</v>
      </c>
      <c r="V1211" s="10">
        <f t="shared" si="644"/>
        <v>51600285714.285721</v>
      </c>
      <c r="W1211" s="10">
        <f t="shared" si="645"/>
        <v>51600285714.285721</v>
      </c>
      <c r="X1211" s="10">
        <f t="shared" si="646"/>
        <v>51600285714.285721</v>
      </c>
      <c r="Y1211" s="27"/>
      <c r="Z1211" s="32"/>
    </row>
    <row r="1212" spans="1:26" outlineLevel="1" x14ac:dyDescent="0.3">
      <c r="A1212" t="s">
        <v>163</v>
      </c>
      <c r="B1212" t="s">
        <v>63</v>
      </c>
      <c r="C1212" s="6" t="s">
        <v>138</v>
      </c>
      <c r="D1212" s="10">
        <f t="shared" si="626"/>
        <v>9527760.7142857127</v>
      </c>
      <c r="E1212" s="10">
        <f t="shared" si="627"/>
        <v>2972777244.2857141</v>
      </c>
      <c r="F1212" s="10">
        <f t="shared" si="628"/>
        <v>0</v>
      </c>
      <c r="G1212" s="10">
        <f t="shared" si="629"/>
        <v>819221252</v>
      </c>
      <c r="H1212" s="10">
        <f t="shared" si="630"/>
        <v>5827788028.7142859</v>
      </c>
      <c r="I1212" s="10">
        <f t="shared" si="631"/>
        <v>5827788028.7142859</v>
      </c>
      <c r="J1212" s="10">
        <f t="shared" si="632"/>
        <v>36922863.428571433</v>
      </c>
      <c r="K1212" s="10">
        <f t="shared" si="633"/>
        <v>13688428571.42857</v>
      </c>
      <c r="L1212" s="10">
        <f t="shared" si="634"/>
        <v>0</v>
      </c>
      <c r="M1212" s="10">
        <f t="shared" si="635"/>
        <v>11966362850.857143</v>
      </c>
      <c r="N1212" s="10">
        <f t="shared" si="636"/>
        <v>11966362850.857143</v>
      </c>
      <c r="O1212" s="10">
        <f t="shared" si="637"/>
        <v>11966362850.857143</v>
      </c>
      <c r="P1212" s="10">
        <f t="shared" si="638"/>
        <v>347610325.28571427</v>
      </c>
      <c r="Q1212" s="10">
        <f t="shared" si="639"/>
        <v>347610325.28571427</v>
      </c>
      <c r="R1212" s="10">
        <f t="shared" si="640"/>
        <v>347610325.28571427</v>
      </c>
      <c r="S1212" s="10">
        <f t="shared" si="641"/>
        <v>347610325.28571427</v>
      </c>
      <c r="T1212" s="10">
        <f t="shared" si="642"/>
        <v>347610325.28571427</v>
      </c>
      <c r="U1212" s="10">
        <f t="shared" si="643"/>
        <v>347610325.28571427</v>
      </c>
      <c r="V1212" s="10">
        <f t="shared" si="644"/>
        <v>51002285714.285721</v>
      </c>
      <c r="W1212" s="10">
        <f t="shared" si="645"/>
        <v>51002285714.285721</v>
      </c>
      <c r="X1212" s="10">
        <f t="shared" si="646"/>
        <v>51002285714.285721</v>
      </c>
      <c r="Y1212" s="27"/>
      <c r="Z1212" s="32"/>
    </row>
    <row r="1213" spans="1:26" outlineLevel="1" x14ac:dyDescent="0.3">
      <c r="A1213" t="s">
        <v>163</v>
      </c>
      <c r="B1213" t="s">
        <v>64</v>
      </c>
      <c r="C1213" s="6" t="s">
        <v>139</v>
      </c>
      <c r="D1213" s="10">
        <f t="shared" si="626"/>
        <v>9527760.7142857127</v>
      </c>
      <c r="E1213" s="10">
        <f t="shared" si="627"/>
        <v>2669681451.4285707</v>
      </c>
      <c r="F1213" s="10">
        <f t="shared" si="628"/>
        <v>0</v>
      </c>
      <c r="G1213" s="10">
        <f t="shared" si="629"/>
        <v>745901604.28571439</v>
      </c>
      <c r="H1213" s="10">
        <f t="shared" si="630"/>
        <v>4275489183.5714283</v>
      </c>
      <c r="I1213" s="10">
        <f t="shared" si="631"/>
        <v>4275489183.5714283</v>
      </c>
      <c r="J1213" s="10">
        <f t="shared" si="632"/>
        <v>36888213.428571433</v>
      </c>
      <c r="K1213" s="10">
        <f t="shared" si="633"/>
        <v>12768428571.428572</v>
      </c>
      <c r="L1213" s="10">
        <f t="shared" si="634"/>
        <v>0</v>
      </c>
      <c r="M1213" s="10">
        <f t="shared" si="635"/>
        <v>11533968929.428572</v>
      </c>
      <c r="N1213" s="10">
        <f t="shared" si="636"/>
        <v>11533968929.428572</v>
      </c>
      <c r="O1213" s="10">
        <f t="shared" si="637"/>
        <v>11533968929.428572</v>
      </c>
      <c r="P1213" s="10">
        <f t="shared" si="638"/>
        <v>339767456.71428573</v>
      </c>
      <c r="Q1213" s="10">
        <f t="shared" si="639"/>
        <v>339767456.71428573</v>
      </c>
      <c r="R1213" s="10">
        <f t="shared" si="640"/>
        <v>339767456.71428573</v>
      </c>
      <c r="S1213" s="10">
        <f t="shared" si="641"/>
        <v>339767456.71428573</v>
      </c>
      <c r="T1213" s="10">
        <f t="shared" si="642"/>
        <v>339767456.71428573</v>
      </c>
      <c r="U1213" s="10">
        <f t="shared" si="643"/>
        <v>339767456.71428573</v>
      </c>
      <c r="V1213" s="10">
        <f t="shared" si="644"/>
        <v>50928000000</v>
      </c>
      <c r="W1213" s="10">
        <f t="shared" si="645"/>
        <v>50928000000</v>
      </c>
      <c r="X1213" s="10">
        <f t="shared" si="646"/>
        <v>50928000000</v>
      </c>
      <c r="Y1213" s="27"/>
      <c r="Z1213" s="32"/>
    </row>
    <row r="1214" spans="1:26" outlineLevel="1" x14ac:dyDescent="0.3">
      <c r="A1214" t="s">
        <v>163</v>
      </c>
      <c r="B1214" t="s">
        <v>65</v>
      </c>
      <c r="C1214" s="6" t="s">
        <v>140</v>
      </c>
      <c r="D1214" s="10">
        <f t="shared" si="626"/>
        <v>9527760.7142857127</v>
      </c>
      <c r="E1214" s="10">
        <f t="shared" si="627"/>
        <v>2575264522.8571424</v>
      </c>
      <c r="F1214" s="10">
        <f t="shared" si="628"/>
        <v>0</v>
      </c>
      <c r="G1214" s="10">
        <f t="shared" si="629"/>
        <v>735308234.85714269</v>
      </c>
      <c r="H1214" s="10">
        <f t="shared" si="630"/>
        <v>3411899481.5714288</v>
      </c>
      <c r="I1214" s="10">
        <f t="shared" si="631"/>
        <v>3411899481.5714288</v>
      </c>
      <c r="J1214" s="10">
        <f t="shared" si="632"/>
        <v>37638967.714285716</v>
      </c>
      <c r="K1214" s="10">
        <f t="shared" si="633"/>
        <v>12400485714.285713</v>
      </c>
      <c r="L1214" s="10">
        <f t="shared" si="634"/>
        <v>0</v>
      </c>
      <c r="M1214" s="10">
        <f t="shared" si="635"/>
        <v>11462732460.857143</v>
      </c>
      <c r="N1214" s="10">
        <f t="shared" si="636"/>
        <v>11462732460.857143</v>
      </c>
      <c r="O1214" s="10">
        <f t="shared" si="637"/>
        <v>11462732460.857143</v>
      </c>
      <c r="P1214" s="10">
        <f t="shared" si="638"/>
        <v>337699358.14285719</v>
      </c>
      <c r="Q1214" s="10">
        <f t="shared" si="639"/>
        <v>337699358.14285719</v>
      </c>
      <c r="R1214" s="10">
        <f t="shared" si="640"/>
        <v>337699358.14285719</v>
      </c>
      <c r="S1214" s="10">
        <f t="shared" si="641"/>
        <v>337699358.14285719</v>
      </c>
      <c r="T1214" s="10">
        <f t="shared" si="642"/>
        <v>337699358.14285719</v>
      </c>
      <c r="U1214" s="10">
        <f t="shared" si="643"/>
        <v>337699358.14285719</v>
      </c>
      <c r="V1214" s="10">
        <f t="shared" si="644"/>
        <v>50936571428.571434</v>
      </c>
      <c r="W1214" s="10">
        <f t="shared" si="645"/>
        <v>50936571428.571434</v>
      </c>
      <c r="X1214" s="10">
        <f t="shared" si="646"/>
        <v>50936571428.571434</v>
      </c>
      <c r="Y1214" s="27"/>
      <c r="Z1214" s="32"/>
    </row>
    <row r="1215" spans="1:26" outlineLevel="1" x14ac:dyDescent="0.3">
      <c r="A1215" t="s">
        <v>163</v>
      </c>
      <c r="B1215" t="s">
        <v>66</v>
      </c>
      <c r="C1215" s="6" t="s">
        <v>141</v>
      </c>
      <c r="D1215" s="10">
        <f t="shared" si="626"/>
        <v>9527760.7142857127</v>
      </c>
      <c r="E1215" s="10">
        <f t="shared" si="627"/>
        <v>2685116598.5714283</v>
      </c>
      <c r="F1215" s="10">
        <f t="shared" si="628"/>
        <v>0</v>
      </c>
      <c r="G1215" s="10">
        <f t="shared" si="629"/>
        <v>748697830</v>
      </c>
      <c r="H1215" s="10">
        <f t="shared" si="630"/>
        <v>2940943525</v>
      </c>
      <c r="I1215" s="10">
        <f t="shared" si="631"/>
        <v>2940943525</v>
      </c>
      <c r="J1215" s="10">
        <f t="shared" si="632"/>
        <v>38323936.285714298</v>
      </c>
      <c r="K1215" s="10">
        <f t="shared" si="633"/>
        <v>12456742857.142857</v>
      </c>
      <c r="L1215" s="10">
        <f t="shared" si="634"/>
        <v>0</v>
      </c>
      <c r="M1215" s="10">
        <f t="shared" si="635"/>
        <v>11907076063.714287</v>
      </c>
      <c r="N1215" s="10">
        <f t="shared" si="636"/>
        <v>11907076063.714287</v>
      </c>
      <c r="O1215" s="10">
        <f t="shared" si="637"/>
        <v>11907076063.714287</v>
      </c>
      <c r="P1215" s="10">
        <f t="shared" si="638"/>
        <v>338753152.42857146</v>
      </c>
      <c r="Q1215" s="10">
        <f t="shared" si="639"/>
        <v>338753152.42857146</v>
      </c>
      <c r="R1215" s="10">
        <f t="shared" si="640"/>
        <v>338753152.42857146</v>
      </c>
      <c r="S1215" s="10">
        <f t="shared" si="641"/>
        <v>338753152.42857146</v>
      </c>
      <c r="T1215" s="10">
        <f t="shared" si="642"/>
        <v>338753152.42857146</v>
      </c>
      <c r="U1215" s="10">
        <f t="shared" si="643"/>
        <v>338753152.42857146</v>
      </c>
      <c r="V1215" s="10">
        <f t="shared" si="644"/>
        <v>50954285714.285721</v>
      </c>
      <c r="W1215" s="10">
        <f t="shared" si="645"/>
        <v>50954285714.285721</v>
      </c>
      <c r="X1215" s="10">
        <f t="shared" si="646"/>
        <v>50954285714.285721</v>
      </c>
      <c r="Y1215" s="27"/>
      <c r="Z1215" s="32"/>
    </row>
    <row r="1216" spans="1:26" outlineLevel="1" x14ac:dyDescent="0.3">
      <c r="A1216" t="s">
        <v>163</v>
      </c>
      <c r="B1216" t="s">
        <v>67</v>
      </c>
      <c r="C1216" s="6" t="s">
        <v>142</v>
      </c>
      <c r="D1216" s="10">
        <f t="shared" si="626"/>
        <v>9527760.7142857127</v>
      </c>
      <c r="E1216" s="10">
        <f t="shared" si="627"/>
        <v>2946657984.2857137</v>
      </c>
      <c r="F1216" s="10">
        <f t="shared" si="628"/>
        <v>0</v>
      </c>
      <c r="G1216" s="10">
        <f t="shared" si="629"/>
        <v>931617411.42857134</v>
      </c>
      <c r="H1216" s="10">
        <f t="shared" si="630"/>
        <v>3086653986.4285712</v>
      </c>
      <c r="I1216" s="10">
        <f t="shared" si="631"/>
        <v>3086653986.4285712</v>
      </c>
      <c r="J1216" s="10">
        <f t="shared" si="632"/>
        <v>37497672</v>
      </c>
      <c r="K1216" s="10">
        <f t="shared" si="633"/>
        <v>12856714285.714285</v>
      </c>
      <c r="L1216" s="10">
        <f t="shared" si="634"/>
        <v>0</v>
      </c>
      <c r="M1216" s="10">
        <f t="shared" si="635"/>
        <v>12525930899.428572</v>
      </c>
      <c r="N1216" s="10">
        <f t="shared" si="636"/>
        <v>12525930899.428572</v>
      </c>
      <c r="O1216" s="10">
        <f t="shared" si="637"/>
        <v>12525930899.428572</v>
      </c>
      <c r="P1216" s="10">
        <f t="shared" si="638"/>
        <v>337297072.57142866</v>
      </c>
      <c r="Q1216" s="10">
        <f t="shared" si="639"/>
        <v>337297072.57142866</v>
      </c>
      <c r="R1216" s="10">
        <f t="shared" si="640"/>
        <v>337297072.57142866</v>
      </c>
      <c r="S1216" s="10">
        <f t="shared" si="641"/>
        <v>337297072.57142866</v>
      </c>
      <c r="T1216" s="10">
        <f t="shared" si="642"/>
        <v>337297072.57142866</v>
      </c>
      <c r="U1216" s="10">
        <f t="shared" si="643"/>
        <v>337297072.57142866</v>
      </c>
      <c r="V1216" s="10">
        <f t="shared" si="644"/>
        <v>51146857142.85714</v>
      </c>
      <c r="W1216" s="10">
        <f t="shared" si="645"/>
        <v>51146857142.85714</v>
      </c>
      <c r="X1216" s="10">
        <f t="shared" si="646"/>
        <v>51146857142.85714</v>
      </c>
      <c r="Y1216" s="27"/>
      <c r="Z1216" s="32"/>
    </row>
    <row r="1217" spans="1:26" outlineLevel="1" x14ac:dyDescent="0.3">
      <c r="A1217" t="s">
        <v>163</v>
      </c>
      <c r="B1217" t="s">
        <v>68</v>
      </c>
      <c r="C1217" s="6" t="s">
        <v>143</v>
      </c>
      <c r="D1217" s="10">
        <f t="shared" si="626"/>
        <v>13914690.428571429</v>
      </c>
      <c r="E1217" s="10">
        <f t="shared" si="627"/>
        <v>3263417407.1428566</v>
      </c>
      <c r="F1217" s="10">
        <f t="shared" si="628"/>
        <v>0</v>
      </c>
      <c r="G1217" s="10">
        <f t="shared" si="629"/>
        <v>1221907313.1428571</v>
      </c>
      <c r="H1217" s="10">
        <f t="shared" si="630"/>
        <v>4076789160.7142859</v>
      </c>
      <c r="I1217" s="10">
        <f t="shared" si="631"/>
        <v>4076789160.7142859</v>
      </c>
      <c r="J1217" s="10">
        <f t="shared" si="632"/>
        <v>48726333.428571433</v>
      </c>
      <c r="K1217" s="10">
        <f t="shared" si="633"/>
        <v>13816571428.57143</v>
      </c>
      <c r="L1217" s="10">
        <f t="shared" si="634"/>
        <v>0</v>
      </c>
      <c r="M1217" s="10">
        <f t="shared" si="635"/>
        <v>14430987952.285713</v>
      </c>
      <c r="N1217" s="10">
        <f t="shared" si="636"/>
        <v>14430987952.285713</v>
      </c>
      <c r="O1217" s="10">
        <f t="shared" si="637"/>
        <v>14430987952.285713</v>
      </c>
      <c r="P1217" s="10">
        <f t="shared" si="638"/>
        <v>346512427.71428567</v>
      </c>
      <c r="Q1217" s="10">
        <f t="shared" si="639"/>
        <v>346512427.71428567</v>
      </c>
      <c r="R1217" s="10">
        <f t="shared" si="640"/>
        <v>346512427.71428567</v>
      </c>
      <c r="S1217" s="10">
        <f t="shared" si="641"/>
        <v>346512427.71428567</v>
      </c>
      <c r="T1217" s="10">
        <f t="shared" si="642"/>
        <v>346512427.71428567</v>
      </c>
      <c r="U1217" s="10">
        <f t="shared" si="643"/>
        <v>346512427.71428567</v>
      </c>
      <c r="V1217" s="10">
        <f t="shared" si="644"/>
        <v>51549857142.85714</v>
      </c>
      <c r="W1217" s="10">
        <f t="shared" si="645"/>
        <v>51549857142.85714</v>
      </c>
      <c r="X1217" s="10">
        <f t="shared" si="646"/>
        <v>51549857142.85714</v>
      </c>
      <c r="Y1217" s="27"/>
      <c r="Z1217" s="32"/>
    </row>
    <row r="1218" spans="1:26" outlineLevel="1" x14ac:dyDescent="0.3">
      <c r="A1218" t="s">
        <v>163</v>
      </c>
      <c r="B1218" t="s">
        <v>69</v>
      </c>
      <c r="C1218" s="6" t="s">
        <v>144</v>
      </c>
      <c r="D1218" s="10">
        <f t="shared" si="626"/>
        <v>15774494.857142858</v>
      </c>
      <c r="E1218" s="10">
        <f t="shared" si="627"/>
        <v>3393294782.8571429</v>
      </c>
      <c r="F1218" s="10">
        <f t="shared" si="628"/>
        <v>0</v>
      </c>
      <c r="G1218" s="10">
        <f t="shared" si="629"/>
        <v>785238043.14285719</v>
      </c>
      <c r="H1218" s="10">
        <f t="shared" si="630"/>
        <v>6308035536.2857132</v>
      </c>
      <c r="I1218" s="10">
        <f t="shared" si="631"/>
        <v>6308035536.2857132</v>
      </c>
      <c r="J1218" s="10">
        <f t="shared" si="632"/>
        <v>64841720.571428582</v>
      </c>
      <c r="K1218" s="10">
        <f t="shared" si="633"/>
        <v>15712142857.142857</v>
      </c>
      <c r="L1218" s="10">
        <f t="shared" si="634"/>
        <v>0</v>
      </c>
      <c r="M1218" s="10">
        <f t="shared" si="635"/>
        <v>20935158279.428574</v>
      </c>
      <c r="N1218" s="10">
        <f t="shared" si="636"/>
        <v>20935158279.428574</v>
      </c>
      <c r="O1218" s="10">
        <f t="shared" si="637"/>
        <v>20935158279.428574</v>
      </c>
      <c r="P1218" s="10">
        <f t="shared" si="638"/>
        <v>506847040.71428579</v>
      </c>
      <c r="Q1218" s="10">
        <f t="shared" si="639"/>
        <v>506847040.71428579</v>
      </c>
      <c r="R1218" s="10">
        <f t="shared" si="640"/>
        <v>506847040.71428579</v>
      </c>
      <c r="S1218" s="10">
        <f t="shared" si="641"/>
        <v>506847040.71428579</v>
      </c>
      <c r="T1218" s="10">
        <f t="shared" si="642"/>
        <v>506847040.71428579</v>
      </c>
      <c r="U1218" s="10">
        <f t="shared" si="643"/>
        <v>506847040.71428579</v>
      </c>
      <c r="V1218" s="10">
        <f t="shared" si="644"/>
        <v>52097142857.142853</v>
      </c>
      <c r="W1218" s="10">
        <f t="shared" si="645"/>
        <v>52097142857.142853</v>
      </c>
      <c r="X1218" s="10">
        <f t="shared" si="646"/>
        <v>52097142857.142853</v>
      </c>
      <c r="Y1218" s="27"/>
      <c r="Z1218" s="32"/>
    </row>
    <row r="1219" spans="1:26" outlineLevel="1" x14ac:dyDescent="0.3">
      <c r="A1219" t="s">
        <v>163</v>
      </c>
      <c r="B1219" t="s">
        <v>70</v>
      </c>
      <c r="C1219" s="6" t="s">
        <v>145</v>
      </c>
      <c r="D1219" s="10">
        <f t="shared" si="626"/>
        <v>16337683.285714285</v>
      </c>
      <c r="E1219" s="10">
        <f t="shared" si="627"/>
        <v>3270685714.2857141</v>
      </c>
      <c r="F1219" s="10">
        <f t="shared" si="628"/>
        <v>0</v>
      </c>
      <c r="G1219" s="10">
        <f t="shared" si="629"/>
        <v>761813531.28571439</v>
      </c>
      <c r="H1219" s="10">
        <f t="shared" si="630"/>
        <v>8136991642.5714293</v>
      </c>
      <c r="I1219" s="10">
        <f t="shared" si="631"/>
        <v>8136991642.5714293</v>
      </c>
      <c r="J1219" s="10">
        <f t="shared" si="632"/>
        <v>55182247.714285716</v>
      </c>
      <c r="K1219" s="10">
        <f t="shared" si="633"/>
        <v>18697142857.142857</v>
      </c>
      <c r="L1219" s="10">
        <f t="shared" si="634"/>
        <v>0</v>
      </c>
      <c r="M1219" s="10">
        <f t="shared" si="635"/>
        <v>28397389180.857147</v>
      </c>
      <c r="N1219" s="10">
        <f t="shared" si="636"/>
        <v>28397389180.857147</v>
      </c>
      <c r="O1219" s="10">
        <f t="shared" si="637"/>
        <v>28397389180.857147</v>
      </c>
      <c r="P1219" s="10">
        <f t="shared" si="638"/>
        <v>1011034870.0000001</v>
      </c>
      <c r="Q1219" s="10">
        <f t="shared" si="639"/>
        <v>1011034870.0000001</v>
      </c>
      <c r="R1219" s="10">
        <f t="shared" si="640"/>
        <v>1011034870.0000001</v>
      </c>
      <c r="S1219" s="10">
        <f t="shared" si="641"/>
        <v>1011034870.0000001</v>
      </c>
      <c r="T1219" s="10">
        <f t="shared" si="642"/>
        <v>1011034870.0000001</v>
      </c>
      <c r="U1219" s="10">
        <f t="shared" si="643"/>
        <v>1011034870.0000001</v>
      </c>
      <c r="V1219" s="10">
        <f t="shared" si="644"/>
        <v>52535714285.714279</v>
      </c>
      <c r="W1219" s="10">
        <f t="shared" si="645"/>
        <v>52535714285.714279</v>
      </c>
      <c r="X1219" s="10">
        <f t="shared" si="646"/>
        <v>52535714285.714279</v>
      </c>
      <c r="Y1219" s="27"/>
      <c r="Z1219" s="32"/>
    </row>
    <row r="1220" spans="1:26" outlineLevel="1" x14ac:dyDescent="0.3">
      <c r="A1220" t="s">
        <v>163</v>
      </c>
      <c r="B1220" t="s">
        <v>71</v>
      </c>
      <c r="C1220" s="6" t="s">
        <v>146</v>
      </c>
      <c r="D1220" s="10">
        <f t="shared" si="626"/>
        <v>16480915.571428573</v>
      </c>
      <c r="E1220" s="10">
        <f t="shared" si="627"/>
        <v>3267371428.5714283</v>
      </c>
      <c r="F1220" s="10">
        <f t="shared" si="628"/>
        <v>0</v>
      </c>
      <c r="G1220" s="10">
        <f t="shared" si="629"/>
        <v>780070972.28571415</v>
      </c>
      <c r="H1220" s="10">
        <f t="shared" si="630"/>
        <v>8640133826.4285717</v>
      </c>
      <c r="I1220" s="10">
        <f t="shared" si="631"/>
        <v>8640133826.4285717</v>
      </c>
      <c r="J1220" s="10">
        <f t="shared" si="632"/>
        <v>40752342.000000007</v>
      </c>
      <c r="K1220" s="10">
        <f t="shared" si="633"/>
        <v>22594857142.857147</v>
      </c>
      <c r="L1220" s="10">
        <f t="shared" si="634"/>
        <v>0</v>
      </c>
      <c r="M1220" s="10">
        <f t="shared" si="635"/>
        <v>35064533372.285721</v>
      </c>
      <c r="N1220" s="10">
        <f t="shared" si="636"/>
        <v>35064533372.285721</v>
      </c>
      <c r="O1220" s="10">
        <f t="shared" si="637"/>
        <v>35064533372.285721</v>
      </c>
      <c r="P1220" s="10">
        <f t="shared" si="638"/>
        <v>1122198277.4285715</v>
      </c>
      <c r="Q1220" s="10">
        <f t="shared" si="639"/>
        <v>1122198277.4285715</v>
      </c>
      <c r="R1220" s="10">
        <f t="shared" si="640"/>
        <v>1122198277.4285715</v>
      </c>
      <c r="S1220" s="10">
        <f t="shared" si="641"/>
        <v>1122198277.4285715</v>
      </c>
      <c r="T1220" s="10">
        <f t="shared" si="642"/>
        <v>1122198277.4285715</v>
      </c>
      <c r="U1220" s="10">
        <f t="shared" si="643"/>
        <v>1122198277.4285715</v>
      </c>
      <c r="V1220" s="10">
        <f t="shared" si="644"/>
        <v>52679714285.714279</v>
      </c>
      <c r="W1220" s="10">
        <f t="shared" si="645"/>
        <v>52679714285.714279</v>
      </c>
      <c r="X1220" s="10">
        <f t="shared" si="646"/>
        <v>52679714285.714279</v>
      </c>
      <c r="Y1220" s="27"/>
      <c r="Z1220" s="32"/>
    </row>
    <row r="1221" spans="1:26" outlineLevel="1" x14ac:dyDescent="0.3">
      <c r="A1221" t="s">
        <v>163</v>
      </c>
      <c r="B1221" t="s">
        <v>72</v>
      </c>
      <c r="C1221" s="6" t="s">
        <v>147</v>
      </c>
      <c r="D1221" s="10">
        <f t="shared" si="626"/>
        <v>12395679.714285716</v>
      </c>
      <c r="E1221" s="10">
        <f t="shared" si="627"/>
        <v>3326471428.5714283</v>
      </c>
      <c r="F1221" s="10">
        <f t="shared" si="628"/>
        <v>0</v>
      </c>
      <c r="G1221" s="10">
        <f t="shared" si="629"/>
        <v>763183574.57142866</v>
      </c>
      <c r="H1221" s="10">
        <f t="shared" si="630"/>
        <v>9051092174.2857132</v>
      </c>
      <c r="I1221" s="10">
        <f t="shared" si="631"/>
        <v>9051092174.2857132</v>
      </c>
      <c r="J1221" s="10">
        <f t="shared" si="632"/>
        <v>34683659.142857149</v>
      </c>
      <c r="K1221" s="10">
        <f t="shared" si="633"/>
        <v>25619428571.428574</v>
      </c>
      <c r="L1221" s="10">
        <f t="shared" si="634"/>
        <v>0</v>
      </c>
      <c r="M1221" s="10">
        <f t="shared" si="635"/>
        <v>37028316340.857147</v>
      </c>
      <c r="N1221" s="10">
        <f t="shared" si="636"/>
        <v>37028316340.857147</v>
      </c>
      <c r="O1221" s="10">
        <f t="shared" si="637"/>
        <v>37028316340.857147</v>
      </c>
      <c r="P1221" s="10">
        <f t="shared" si="638"/>
        <v>1022158052</v>
      </c>
      <c r="Q1221" s="10">
        <f t="shared" si="639"/>
        <v>1022158052</v>
      </c>
      <c r="R1221" s="10">
        <f t="shared" si="640"/>
        <v>1022158052</v>
      </c>
      <c r="S1221" s="10">
        <f t="shared" si="641"/>
        <v>1022158052</v>
      </c>
      <c r="T1221" s="10">
        <f t="shared" si="642"/>
        <v>1022158052</v>
      </c>
      <c r="U1221" s="10">
        <f t="shared" si="643"/>
        <v>1022158052</v>
      </c>
      <c r="V1221" s="10">
        <f t="shared" si="644"/>
        <v>52548857142.857147</v>
      </c>
      <c r="W1221" s="10">
        <f t="shared" si="645"/>
        <v>52548857142.857147</v>
      </c>
      <c r="X1221" s="10">
        <f t="shared" si="646"/>
        <v>52548857142.857147</v>
      </c>
      <c r="Y1221" s="27"/>
      <c r="Z1221" s="32"/>
    </row>
    <row r="1222" spans="1:26" outlineLevel="1" x14ac:dyDescent="0.3">
      <c r="A1222" t="s">
        <v>163</v>
      </c>
      <c r="B1222" t="s">
        <v>73</v>
      </c>
      <c r="C1222" s="6" t="s">
        <v>148</v>
      </c>
      <c r="D1222" s="10">
        <f t="shared" si="626"/>
        <v>12482509.142857144</v>
      </c>
      <c r="E1222" s="10">
        <f t="shared" si="627"/>
        <v>3698114285.7142854</v>
      </c>
      <c r="F1222" s="10">
        <f t="shared" si="628"/>
        <v>0</v>
      </c>
      <c r="G1222" s="10">
        <f t="shared" si="629"/>
        <v>773800980.85714281</v>
      </c>
      <c r="H1222" s="10">
        <f t="shared" si="630"/>
        <v>9460030795.7142849</v>
      </c>
      <c r="I1222" s="10">
        <f t="shared" si="631"/>
        <v>9460030795.7142849</v>
      </c>
      <c r="J1222" s="10">
        <f t="shared" si="632"/>
        <v>31290256.285714287</v>
      </c>
      <c r="K1222" s="10">
        <f t="shared" si="633"/>
        <v>27769857142.857143</v>
      </c>
      <c r="L1222" s="10">
        <f t="shared" si="634"/>
        <v>0</v>
      </c>
      <c r="M1222" s="10">
        <f t="shared" si="635"/>
        <v>36844995458</v>
      </c>
      <c r="N1222" s="10">
        <f t="shared" si="636"/>
        <v>36844995458</v>
      </c>
      <c r="O1222" s="10">
        <f t="shared" si="637"/>
        <v>36844995458</v>
      </c>
      <c r="P1222" s="10">
        <f t="shared" si="638"/>
        <v>852727428</v>
      </c>
      <c r="Q1222" s="10">
        <f t="shared" si="639"/>
        <v>852727428</v>
      </c>
      <c r="R1222" s="10">
        <f t="shared" si="640"/>
        <v>852727428</v>
      </c>
      <c r="S1222" s="10">
        <f t="shared" si="641"/>
        <v>852727428</v>
      </c>
      <c r="T1222" s="10">
        <f t="shared" si="642"/>
        <v>852727428</v>
      </c>
      <c r="U1222" s="10">
        <f t="shared" si="643"/>
        <v>852727428</v>
      </c>
      <c r="V1222" s="10">
        <f t="shared" si="644"/>
        <v>52355714285.714279</v>
      </c>
      <c r="W1222" s="10">
        <f t="shared" si="645"/>
        <v>52355714285.714279</v>
      </c>
      <c r="X1222" s="10">
        <f t="shared" si="646"/>
        <v>52355714285.714279</v>
      </c>
      <c r="Y1222" s="27"/>
      <c r="Z1222" s="32"/>
    </row>
    <row r="1223" spans="1:26" outlineLevel="1" x14ac:dyDescent="0.3">
      <c r="A1223" t="s">
        <v>163</v>
      </c>
      <c r="B1223" t="s">
        <v>74</v>
      </c>
      <c r="C1223" s="6" t="s">
        <v>149</v>
      </c>
      <c r="D1223" s="10">
        <f t="shared" si="626"/>
        <v>12220300.142857144</v>
      </c>
      <c r="E1223" s="10">
        <f t="shared" si="627"/>
        <v>4492428571.4285717</v>
      </c>
      <c r="F1223" s="10">
        <f t="shared" si="628"/>
        <v>0</v>
      </c>
      <c r="G1223" s="10">
        <f t="shared" si="629"/>
        <v>841937395.14285731</v>
      </c>
      <c r="H1223" s="10">
        <f t="shared" si="630"/>
        <v>9765842304.714283</v>
      </c>
      <c r="I1223" s="10">
        <f t="shared" si="631"/>
        <v>9765842304.714283</v>
      </c>
      <c r="J1223" s="10">
        <f t="shared" si="632"/>
        <v>28657533.428571429</v>
      </c>
      <c r="K1223" s="10">
        <f t="shared" si="633"/>
        <v>29081857142.857143</v>
      </c>
      <c r="L1223" s="10">
        <f t="shared" si="634"/>
        <v>0</v>
      </c>
      <c r="M1223" s="10">
        <f t="shared" si="635"/>
        <v>36754199609.428574</v>
      </c>
      <c r="N1223" s="10">
        <f t="shared" si="636"/>
        <v>36754199609.428574</v>
      </c>
      <c r="O1223" s="10">
        <f t="shared" si="637"/>
        <v>36754199609.428574</v>
      </c>
      <c r="P1223" s="10">
        <f t="shared" si="638"/>
        <v>861855927.42857146</v>
      </c>
      <c r="Q1223" s="10">
        <f t="shared" si="639"/>
        <v>861855927.42857146</v>
      </c>
      <c r="R1223" s="10">
        <f t="shared" si="640"/>
        <v>861855927.42857146</v>
      </c>
      <c r="S1223" s="10">
        <f t="shared" si="641"/>
        <v>861855927.42857146</v>
      </c>
      <c r="T1223" s="10">
        <f t="shared" si="642"/>
        <v>861855927.42857146</v>
      </c>
      <c r="U1223" s="10">
        <f t="shared" si="643"/>
        <v>861855927.42857146</v>
      </c>
      <c r="V1223" s="10">
        <f t="shared" si="644"/>
        <v>52185142857.142853</v>
      </c>
      <c r="W1223" s="10">
        <f t="shared" si="645"/>
        <v>52185142857.142853</v>
      </c>
      <c r="X1223" s="10">
        <f t="shared" si="646"/>
        <v>52185142857.142853</v>
      </c>
      <c r="Y1223" s="27"/>
      <c r="Z1223" s="32"/>
    </row>
    <row r="1224" spans="1:26" outlineLevel="1" x14ac:dyDescent="0.3">
      <c r="A1224" t="s">
        <v>163</v>
      </c>
      <c r="B1224" t="s">
        <v>75</v>
      </c>
      <c r="C1224" s="6" t="s">
        <v>150</v>
      </c>
      <c r="D1224" s="10">
        <f t="shared" si="626"/>
        <v>12560203.999999998</v>
      </c>
      <c r="E1224" s="10">
        <f t="shared" si="627"/>
        <v>5193100000</v>
      </c>
      <c r="F1224" s="10">
        <f t="shared" si="628"/>
        <v>0</v>
      </c>
      <c r="G1224" s="10">
        <f t="shared" si="629"/>
        <v>880675522.85714293</v>
      </c>
      <c r="H1224" s="10">
        <f t="shared" si="630"/>
        <v>9308378558.8571415</v>
      </c>
      <c r="I1224" s="10">
        <f t="shared" si="631"/>
        <v>9308378558.8571415</v>
      </c>
      <c r="J1224" s="10">
        <f t="shared" si="632"/>
        <v>27117312</v>
      </c>
      <c r="K1224" s="10">
        <f t="shared" si="633"/>
        <v>29424857142.857143</v>
      </c>
      <c r="L1224" s="10">
        <f t="shared" si="634"/>
        <v>0</v>
      </c>
      <c r="M1224" s="10">
        <f t="shared" si="635"/>
        <v>36278882688.000008</v>
      </c>
      <c r="N1224" s="10">
        <f t="shared" si="636"/>
        <v>36278882688.000008</v>
      </c>
      <c r="O1224" s="10">
        <f t="shared" si="637"/>
        <v>36278882688.000008</v>
      </c>
      <c r="P1224" s="10">
        <f t="shared" si="638"/>
        <v>874294320.28571415</v>
      </c>
      <c r="Q1224" s="10">
        <f t="shared" si="639"/>
        <v>874294320.28571415</v>
      </c>
      <c r="R1224" s="10">
        <f t="shared" si="640"/>
        <v>874294320.28571415</v>
      </c>
      <c r="S1224" s="10">
        <f t="shared" si="641"/>
        <v>874294320.28571415</v>
      </c>
      <c r="T1224" s="10">
        <f t="shared" si="642"/>
        <v>874294320.28571415</v>
      </c>
      <c r="U1224" s="10">
        <f t="shared" si="643"/>
        <v>874294320.28571415</v>
      </c>
      <c r="V1224" s="10">
        <f t="shared" si="644"/>
        <v>52045142857.14286</v>
      </c>
      <c r="W1224" s="10">
        <f t="shared" si="645"/>
        <v>52045142857.14286</v>
      </c>
      <c r="X1224" s="10">
        <f t="shared" si="646"/>
        <v>52045142857.14286</v>
      </c>
      <c r="Y1224" s="27"/>
      <c r="Z1224" s="32"/>
    </row>
    <row r="1225" spans="1:26" outlineLevel="1" x14ac:dyDescent="0.3">
      <c r="A1225" t="s">
        <v>163</v>
      </c>
      <c r="B1225" t="s">
        <v>76</v>
      </c>
      <c r="C1225" s="6" t="s">
        <v>151</v>
      </c>
      <c r="D1225" s="10">
        <f t="shared" si="626"/>
        <v>12638902.714285713</v>
      </c>
      <c r="E1225" s="10">
        <f t="shared" si="627"/>
        <v>5562385714.2857141</v>
      </c>
      <c r="F1225" s="10">
        <f t="shared" si="628"/>
        <v>0</v>
      </c>
      <c r="G1225" s="10">
        <f t="shared" si="629"/>
        <v>893565651.42857146</v>
      </c>
      <c r="H1225" s="10">
        <f t="shared" si="630"/>
        <v>8992695445.8571415</v>
      </c>
      <c r="I1225" s="10">
        <f t="shared" si="631"/>
        <v>8992695445.8571415</v>
      </c>
      <c r="J1225" s="10">
        <f t="shared" si="632"/>
        <v>25852383.428571429</v>
      </c>
      <c r="K1225" s="10">
        <f t="shared" si="633"/>
        <v>30294285714.285713</v>
      </c>
      <c r="L1225" s="10">
        <f t="shared" si="634"/>
        <v>0</v>
      </c>
      <c r="M1225" s="10">
        <f t="shared" si="635"/>
        <v>36044004759.428574</v>
      </c>
      <c r="N1225" s="10">
        <f t="shared" si="636"/>
        <v>36044004759.428574</v>
      </c>
      <c r="O1225" s="10">
        <f t="shared" si="637"/>
        <v>36044004759.428574</v>
      </c>
      <c r="P1225" s="10">
        <f t="shared" si="638"/>
        <v>861388330.57142842</v>
      </c>
      <c r="Q1225" s="10">
        <f t="shared" si="639"/>
        <v>861388330.57142842</v>
      </c>
      <c r="R1225" s="10">
        <f t="shared" si="640"/>
        <v>861388330.57142842</v>
      </c>
      <c r="S1225" s="10">
        <f t="shared" si="641"/>
        <v>861388330.57142842</v>
      </c>
      <c r="T1225" s="10">
        <f t="shared" si="642"/>
        <v>861388330.57142842</v>
      </c>
      <c r="U1225" s="10">
        <f t="shared" si="643"/>
        <v>861388330.57142842</v>
      </c>
      <c r="V1225" s="10">
        <f t="shared" si="644"/>
        <v>52009428571.428566</v>
      </c>
      <c r="W1225" s="10">
        <f t="shared" si="645"/>
        <v>52009428571.428566</v>
      </c>
      <c r="X1225" s="10">
        <f t="shared" si="646"/>
        <v>52009428571.428566</v>
      </c>
      <c r="Y1225" s="27"/>
      <c r="Z1225" s="32"/>
    </row>
    <row r="1226" spans="1:26" outlineLevel="1" x14ac:dyDescent="0.3">
      <c r="A1226" t="s">
        <v>163</v>
      </c>
      <c r="B1226" t="s">
        <v>77</v>
      </c>
      <c r="C1226" s="6" t="s">
        <v>152</v>
      </c>
      <c r="D1226" s="10">
        <f t="shared" si="626"/>
        <v>12769210.857142856</v>
      </c>
      <c r="E1226" s="10">
        <f t="shared" si="627"/>
        <v>5835771428.5714293</v>
      </c>
      <c r="F1226" s="10">
        <f t="shared" si="628"/>
        <v>0</v>
      </c>
      <c r="G1226" s="10">
        <f t="shared" si="629"/>
        <v>911207139.14285719</v>
      </c>
      <c r="H1226" s="10">
        <f t="shared" si="630"/>
        <v>9350823650</v>
      </c>
      <c r="I1226" s="10">
        <f t="shared" si="631"/>
        <v>9350823650</v>
      </c>
      <c r="J1226" s="10">
        <f t="shared" si="632"/>
        <v>24775267.714285713</v>
      </c>
      <c r="K1226" s="10">
        <f t="shared" si="633"/>
        <v>30856285714.285709</v>
      </c>
      <c r="L1226" s="10">
        <f t="shared" si="634"/>
        <v>0</v>
      </c>
      <c r="M1226" s="10">
        <f t="shared" si="635"/>
        <v>35875796160.85714</v>
      </c>
      <c r="N1226" s="10">
        <f t="shared" si="636"/>
        <v>35875796160.85714</v>
      </c>
      <c r="O1226" s="10">
        <f t="shared" si="637"/>
        <v>35875796160.85714</v>
      </c>
      <c r="P1226" s="10">
        <f t="shared" si="638"/>
        <v>850755642</v>
      </c>
      <c r="Q1226" s="10">
        <f t="shared" si="639"/>
        <v>850755642</v>
      </c>
      <c r="R1226" s="10">
        <f t="shared" si="640"/>
        <v>850755642</v>
      </c>
      <c r="S1226" s="10">
        <f t="shared" si="641"/>
        <v>850755642</v>
      </c>
      <c r="T1226" s="10">
        <f t="shared" si="642"/>
        <v>850755642</v>
      </c>
      <c r="U1226" s="10">
        <f t="shared" si="643"/>
        <v>850755642</v>
      </c>
      <c r="V1226" s="10">
        <f t="shared" si="644"/>
        <v>52101428571.428566</v>
      </c>
      <c r="W1226" s="10">
        <f t="shared" si="645"/>
        <v>52101428571.428566</v>
      </c>
      <c r="X1226" s="10">
        <f t="shared" si="646"/>
        <v>52101428571.428566</v>
      </c>
      <c r="Y1226" s="27"/>
      <c r="Z1226" s="32"/>
    </row>
    <row r="1227" spans="1:26" outlineLevel="1" x14ac:dyDescent="0.3">
      <c r="A1227" t="s">
        <v>163</v>
      </c>
      <c r="B1227" t="s">
        <v>78</v>
      </c>
      <c r="C1227" s="6" t="s">
        <v>153</v>
      </c>
      <c r="D1227" s="10">
        <f t="shared" si="626"/>
        <v>13247495.571428571</v>
      </c>
      <c r="E1227" s="10">
        <f t="shared" si="627"/>
        <v>6174214285.7142849</v>
      </c>
      <c r="F1227" s="10">
        <f t="shared" si="628"/>
        <v>0</v>
      </c>
      <c r="G1227" s="10">
        <f t="shared" si="629"/>
        <v>966410584.28571427</v>
      </c>
      <c r="H1227" s="10">
        <f t="shared" si="630"/>
        <v>10364556205.857143</v>
      </c>
      <c r="I1227" s="10">
        <f t="shared" si="631"/>
        <v>10364556205.857143</v>
      </c>
      <c r="J1227" s="10">
        <f t="shared" si="632"/>
        <v>23465322.000000004</v>
      </c>
      <c r="K1227" s="10">
        <f t="shared" si="633"/>
        <v>30690714285.714287</v>
      </c>
      <c r="L1227" s="10">
        <f t="shared" si="634"/>
        <v>0</v>
      </c>
      <c r="M1227" s="10">
        <f t="shared" si="635"/>
        <v>35722677535.14286</v>
      </c>
      <c r="N1227" s="10">
        <f t="shared" si="636"/>
        <v>35722677535.14286</v>
      </c>
      <c r="O1227" s="10">
        <f t="shared" si="637"/>
        <v>35722677535.14286</v>
      </c>
      <c r="P1227" s="10">
        <f t="shared" si="638"/>
        <v>979413751.71428573</v>
      </c>
      <c r="Q1227" s="10">
        <f t="shared" si="639"/>
        <v>979413751.71428573</v>
      </c>
      <c r="R1227" s="10">
        <f t="shared" si="640"/>
        <v>979413751.71428573</v>
      </c>
      <c r="S1227" s="10">
        <f t="shared" si="641"/>
        <v>979413751.71428573</v>
      </c>
      <c r="T1227" s="10">
        <f t="shared" si="642"/>
        <v>979413751.71428573</v>
      </c>
      <c r="U1227" s="10">
        <f t="shared" si="643"/>
        <v>979413751.71428573</v>
      </c>
      <c r="V1227" s="10">
        <f t="shared" si="644"/>
        <v>52600857142.85714</v>
      </c>
      <c r="W1227" s="10">
        <f t="shared" si="645"/>
        <v>52600857142.85714</v>
      </c>
      <c r="X1227" s="10">
        <f t="shared" si="646"/>
        <v>52600857142.85714</v>
      </c>
      <c r="Y1227" s="27"/>
      <c r="Z1227" s="32"/>
    </row>
    <row r="1228" spans="1:26" outlineLevel="1" x14ac:dyDescent="0.3">
      <c r="A1228" t="s">
        <v>163</v>
      </c>
      <c r="B1228" t="s">
        <v>79</v>
      </c>
      <c r="C1228" s="6" t="s">
        <v>154</v>
      </c>
      <c r="D1228" s="10">
        <f t="shared" si="626"/>
        <v>13861809.142857142</v>
      </c>
      <c r="E1228" s="10">
        <f t="shared" si="627"/>
        <v>6372900000</v>
      </c>
      <c r="F1228" s="10">
        <f t="shared" si="628"/>
        <v>0</v>
      </c>
      <c r="G1228" s="10">
        <f t="shared" si="629"/>
        <v>1041889690.5714285</v>
      </c>
      <c r="H1228" s="10">
        <f t="shared" si="630"/>
        <v>12185205643.142857</v>
      </c>
      <c r="I1228" s="10">
        <f t="shared" si="631"/>
        <v>12185205643.142857</v>
      </c>
      <c r="J1228" s="10">
        <f t="shared" si="632"/>
        <v>22651636.285714287</v>
      </c>
      <c r="K1228" s="10">
        <f t="shared" si="633"/>
        <v>29799285714.285713</v>
      </c>
      <c r="L1228" s="10">
        <f t="shared" si="634"/>
        <v>0</v>
      </c>
      <c r="M1228" s="10">
        <f t="shared" si="635"/>
        <v>34592062649.428574</v>
      </c>
      <c r="N1228" s="10">
        <f t="shared" si="636"/>
        <v>34592062649.428574</v>
      </c>
      <c r="O1228" s="10">
        <f t="shared" si="637"/>
        <v>34592062649.428574</v>
      </c>
      <c r="P1228" s="10">
        <f t="shared" si="638"/>
        <v>1135673328.0000002</v>
      </c>
      <c r="Q1228" s="10">
        <f t="shared" si="639"/>
        <v>1135673328.0000002</v>
      </c>
      <c r="R1228" s="10">
        <f t="shared" si="640"/>
        <v>1135673328.0000002</v>
      </c>
      <c r="S1228" s="10">
        <f t="shared" si="641"/>
        <v>1135673328.0000002</v>
      </c>
      <c r="T1228" s="10">
        <f t="shared" si="642"/>
        <v>1135673328.0000002</v>
      </c>
      <c r="U1228" s="10">
        <f t="shared" si="643"/>
        <v>1135673328.0000002</v>
      </c>
      <c r="V1228" s="10">
        <f t="shared" si="644"/>
        <v>53131285714.285713</v>
      </c>
      <c r="W1228" s="10">
        <f t="shared" si="645"/>
        <v>53131285714.285713</v>
      </c>
      <c r="X1228" s="10">
        <f t="shared" si="646"/>
        <v>53131285714.285713</v>
      </c>
      <c r="Y1228" s="27"/>
      <c r="Z1228" s="32"/>
    </row>
    <row r="1229" spans="1:26" outlineLevel="1" x14ac:dyDescent="0.3">
      <c r="A1229" t="s">
        <v>163</v>
      </c>
      <c r="B1229" t="s">
        <v>80</v>
      </c>
      <c r="C1229" s="6" t="s">
        <v>155</v>
      </c>
      <c r="D1229" s="10">
        <f t="shared" ref="D1229:D1259" si="647">SUMIFS(F$584:F$1159,$B$584:$B$1159,$A1229,$C$584:$C$1159,$B1229)</f>
        <v>14569419.142857142</v>
      </c>
      <c r="E1229" s="10">
        <f t="shared" ref="E1229:E1259" si="648">SUMIFS(G$584:G$1159,$B$584:$B$1159,$A1229,$C$584:$C$1159,$B1229)</f>
        <v>6448185714.2857141</v>
      </c>
      <c r="F1229" s="10">
        <f t="shared" ref="F1229:F1259" si="649">SUMIFS(H$584:H$1159,$B$584:$B$1159,$A1229,$C$584:$C$1159,$B1229)</f>
        <v>0</v>
      </c>
      <c r="G1229" s="10">
        <f t="shared" ref="G1229:G1259" si="650">SUMIFS(I$584:I$1159,$B$584:$B$1159,$A1229,$C$584:$C$1159,$B1229)</f>
        <v>1280733883.7142856</v>
      </c>
      <c r="H1229" s="10">
        <f t="shared" ref="H1229:H1259" si="651">SUMIFS(J$584:J$1159,$B$584:$B$1159,$A1229,$C$584:$C$1159,$B1229)</f>
        <v>13122082411.428572</v>
      </c>
      <c r="I1229" s="10">
        <f t="shared" ref="I1229:I1259" si="652">SUMIFS(K$584:K$1159,$B$584:$B$1159,$A1229,$C$584:$C$1159,$B1229)</f>
        <v>13122082411.428572</v>
      </c>
      <c r="J1229" s="10">
        <f t="shared" ref="J1229:J1259" si="653">SUMIFS(L$584:L$1159,$B$584:$B$1159,$A1229,$C$584:$C$1159,$B1229)</f>
        <v>22995792.000000004</v>
      </c>
      <c r="K1229" s="10">
        <f t="shared" ref="K1229:K1259" si="654">SUMIFS(M$584:M$1159,$B$584:$B$1159,$A1229,$C$584:$C$1159,$B1229)</f>
        <v>28190142857.142853</v>
      </c>
      <c r="L1229" s="10">
        <f t="shared" ref="L1229:L1259" si="655">SUMIFS(N$584:N$1159,$B$584:$B$1159,$A1229,$C$584:$C$1159,$B1229)</f>
        <v>0</v>
      </c>
      <c r="M1229" s="10">
        <f t="shared" ref="M1229:M1259" si="656">SUMIFS(O$584:O$1159,$B$584:$B$1159,$A1229,$C$584:$C$1159,$B1229)</f>
        <v>32697004207.999996</v>
      </c>
      <c r="N1229" s="10">
        <f t="shared" ref="N1229:N1259" si="657">SUMIFS(P$584:P$1159,$B$584:$B$1159,$A1229,$C$584:$C$1159,$B1229)</f>
        <v>32697004207.999996</v>
      </c>
      <c r="O1229" s="10">
        <f t="shared" ref="O1229:O1259" si="658">SUMIFS(Q$584:Q$1159,$B$584:$B$1159,$A1229,$C$584:$C$1159,$B1229)</f>
        <v>32697004207.999996</v>
      </c>
      <c r="P1229" s="10">
        <f t="shared" ref="P1229:P1259" si="659">SUMIFS(R$584:R$1159,$B$584:$B$1159,$A1229,$C$584:$C$1159,$B1229)</f>
        <v>1194970088</v>
      </c>
      <c r="Q1229" s="10">
        <f t="shared" ref="Q1229:Q1259" si="660">SUMIFS(S$584:S$1159,$B$584:$B$1159,$A1229,$C$584:$C$1159,$B1229)</f>
        <v>1194970088</v>
      </c>
      <c r="R1229" s="10">
        <f t="shared" ref="R1229:R1259" si="661">SUMIFS(T$584:T$1159,$B$584:$B$1159,$A1229,$C$584:$C$1159,$B1229)</f>
        <v>1194970088</v>
      </c>
      <c r="S1229" s="10">
        <f t="shared" ref="S1229:S1259" si="662">SUMIFS(U$584:U$1159,$B$584:$B$1159,$A1229,$C$584:$C$1159,$B1229)</f>
        <v>1194970088</v>
      </c>
      <c r="T1229" s="10">
        <f t="shared" ref="T1229:T1259" si="663">SUMIFS(V$584:V$1159,$B$584:$B$1159,$A1229,$C$584:$C$1159,$B1229)</f>
        <v>1194970088</v>
      </c>
      <c r="U1229" s="10">
        <f t="shared" ref="U1229:U1259" si="664">SUMIFS(W$584:W$1159,$B$584:$B$1159,$A1229,$C$584:$C$1159,$B1229)</f>
        <v>1194970088</v>
      </c>
      <c r="V1229" s="10">
        <f t="shared" ref="V1229:V1259" si="665">SUMIFS(X$584:X$1159,$B$584:$B$1159,$A1229,$C$584:$C$1159,$B1229)</f>
        <v>53258000000</v>
      </c>
      <c r="W1229" s="10">
        <f t="shared" ref="W1229:W1259" si="666">SUMIFS(Y$584:Y$1159,$B$584:$B$1159,$A1229,$C$584:$C$1159,$B1229)</f>
        <v>53258000000</v>
      </c>
      <c r="X1229" s="10">
        <f t="shared" ref="X1229:X1259" si="667">SUMIFS(Z$584:Z$1159,$B$584:$B$1159,$A1229,$C$584:$C$1159,$B1229)</f>
        <v>53258000000</v>
      </c>
      <c r="Y1229" s="27"/>
      <c r="Z1229" s="32"/>
    </row>
    <row r="1230" spans="1:26" outlineLevel="1" x14ac:dyDescent="0.3">
      <c r="A1230" t="s">
        <v>163</v>
      </c>
      <c r="B1230" t="s">
        <v>81</v>
      </c>
      <c r="C1230" s="6" t="s">
        <v>156</v>
      </c>
      <c r="D1230" s="10">
        <f t="shared" si="647"/>
        <v>15378612.428571431</v>
      </c>
      <c r="E1230" s="10">
        <f t="shared" si="648"/>
        <v>6412000000</v>
      </c>
      <c r="F1230" s="10">
        <f t="shared" si="649"/>
        <v>0</v>
      </c>
      <c r="G1230" s="10">
        <f t="shared" si="650"/>
        <v>3238457142.8571429</v>
      </c>
      <c r="H1230" s="10">
        <f t="shared" si="651"/>
        <v>12770735673.285715</v>
      </c>
      <c r="I1230" s="10">
        <f t="shared" si="652"/>
        <v>12770735673.285715</v>
      </c>
      <c r="J1230" s="10">
        <f t="shared" si="653"/>
        <v>25047294.857142858</v>
      </c>
      <c r="K1230" s="10">
        <f t="shared" si="654"/>
        <v>26428571428.571426</v>
      </c>
      <c r="L1230" s="10">
        <f t="shared" si="655"/>
        <v>0</v>
      </c>
      <c r="M1230" s="10">
        <f t="shared" si="656"/>
        <v>31176095562.285721</v>
      </c>
      <c r="N1230" s="10">
        <f t="shared" si="657"/>
        <v>31176095562.285721</v>
      </c>
      <c r="O1230" s="10">
        <f t="shared" si="658"/>
        <v>31176095562.285721</v>
      </c>
      <c r="P1230" s="10">
        <f t="shared" si="659"/>
        <v>1115035546.2857141</v>
      </c>
      <c r="Q1230" s="10">
        <f t="shared" si="660"/>
        <v>1115035546.2857141</v>
      </c>
      <c r="R1230" s="10">
        <f t="shared" si="661"/>
        <v>1115035546.2857141</v>
      </c>
      <c r="S1230" s="10">
        <f t="shared" si="662"/>
        <v>1115035546.2857141</v>
      </c>
      <c r="T1230" s="10">
        <f t="shared" si="663"/>
        <v>1115035546.2857141</v>
      </c>
      <c r="U1230" s="10">
        <f t="shared" si="664"/>
        <v>1115035546.2857141</v>
      </c>
      <c r="V1230" s="10">
        <f t="shared" si="665"/>
        <v>52973571428.571426</v>
      </c>
      <c r="W1230" s="10">
        <f t="shared" si="666"/>
        <v>52973571428.571426</v>
      </c>
      <c r="X1230" s="10">
        <f t="shared" si="667"/>
        <v>52973571428.571426</v>
      </c>
      <c r="Y1230" s="35"/>
      <c r="Z1230" s="32"/>
    </row>
    <row r="1231" spans="1:26" outlineLevel="1" x14ac:dyDescent="0.3">
      <c r="A1231" t="s">
        <v>163</v>
      </c>
      <c r="B1231" t="s">
        <v>82</v>
      </c>
      <c r="C1231" s="6" t="s">
        <v>157</v>
      </c>
      <c r="D1231" s="10">
        <f t="shared" si="647"/>
        <v>16092872.999999998</v>
      </c>
      <c r="E1231" s="10">
        <f t="shared" si="648"/>
        <v>6167542857.1428566</v>
      </c>
      <c r="F1231" s="10">
        <f t="shared" si="649"/>
        <v>0</v>
      </c>
      <c r="G1231" s="10">
        <f t="shared" si="650"/>
        <v>4384914285.7142849</v>
      </c>
      <c r="H1231" s="10">
        <f t="shared" si="651"/>
        <v>12108592841.285715</v>
      </c>
      <c r="I1231" s="10">
        <f t="shared" si="652"/>
        <v>12108592841.285715</v>
      </c>
      <c r="J1231" s="10">
        <f t="shared" si="653"/>
        <v>27363976.285714284</v>
      </c>
      <c r="K1231" s="10">
        <f t="shared" si="654"/>
        <v>24202714285.714283</v>
      </c>
      <c r="L1231" s="10">
        <f t="shared" si="655"/>
        <v>0</v>
      </c>
      <c r="M1231" s="10">
        <f t="shared" si="656"/>
        <v>26419493166.571426</v>
      </c>
      <c r="N1231" s="10">
        <f t="shared" si="657"/>
        <v>26419493166.571426</v>
      </c>
      <c r="O1231" s="10">
        <f t="shared" si="658"/>
        <v>26419493166.571426</v>
      </c>
      <c r="P1231" s="10">
        <f t="shared" si="659"/>
        <v>929709777.14285719</v>
      </c>
      <c r="Q1231" s="10">
        <f t="shared" si="660"/>
        <v>929709777.14285719</v>
      </c>
      <c r="R1231" s="10">
        <f t="shared" si="661"/>
        <v>929709777.14285719</v>
      </c>
      <c r="S1231" s="10">
        <f t="shared" si="662"/>
        <v>929709777.14285719</v>
      </c>
      <c r="T1231" s="10">
        <f t="shared" si="663"/>
        <v>929709777.14285719</v>
      </c>
      <c r="U1231" s="10">
        <f t="shared" si="664"/>
        <v>929709777.14285719</v>
      </c>
      <c r="V1231" s="10">
        <f t="shared" si="665"/>
        <v>52636000000</v>
      </c>
      <c r="W1231" s="10">
        <f t="shared" si="666"/>
        <v>52636000000</v>
      </c>
      <c r="X1231" s="10">
        <f t="shared" si="667"/>
        <v>52636000000</v>
      </c>
      <c r="Y1231" s="27"/>
      <c r="Z1231" s="32"/>
    </row>
    <row r="1232" spans="1:26" outlineLevel="1" x14ac:dyDescent="0.3">
      <c r="A1232" t="s">
        <v>163</v>
      </c>
      <c r="B1232" t="s">
        <v>83</v>
      </c>
      <c r="C1232" s="6" t="s">
        <v>158</v>
      </c>
      <c r="D1232" s="10">
        <f t="shared" si="647"/>
        <v>16222389</v>
      </c>
      <c r="E1232" s="10">
        <f t="shared" si="648"/>
        <v>5641871428.5714283</v>
      </c>
      <c r="F1232" s="10">
        <f t="shared" si="649"/>
        <v>0</v>
      </c>
      <c r="G1232" s="10">
        <f t="shared" si="650"/>
        <v>4439685714.2857141</v>
      </c>
      <c r="H1232" s="10">
        <f t="shared" si="651"/>
        <v>11735363325.285713</v>
      </c>
      <c r="I1232" s="10">
        <f t="shared" si="652"/>
        <v>11735363325.285713</v>
      </c>
      <c r="J1232" s="10">
        <f t="shared" si="653"/>
        <v>33334687.714285716</v>
      </c>
      <c r="K1232" s="10">
        <f t="shared" si="654"/>
        <v>22086857142.857147</v>
      </c>
      <c r="L1232" s="10">
        <f t="shared" si="655"/>
        <v>0</v>
      </c>
      <c r="M1232" s="10">
        <f t="shared" si="656"/>
        <v>22215808169.42857</v>
      </c>
      <c r="N1232" s="10">
        <f t="shared" si="657"/>
        <v>22215808169.42857</v>
      </c>
      <c r="O1232" s="10">
        <f t="shared" si="658"/>
        <v>22215808169.42857</v>
      </c>
      <c r="P1232" s="10">
        <f t="shared" si="659"/>
        <v>852652706.28571415</v>
      </c>
      <c r="Q1232" s="10">
        <f t="shared" si="660"/>
        <v>852652706.28571415</v>
      </c>
      <c r="R1232" s="10">
        <f t="shared" si="661"/>
        <v>852652706.28571415</v>
      </c>
      <c r="S1232" s="10">
        <f t="shared" si="662"/>
        <v>852652706.28571415</v>
      </c>
      <c r="T1232" s="10">
        <f t="shared" si="663"/>
        <v>852652706.28571415</v>
      </c>
      <c r="U1232" s="10">
        <f t="shared" si="664"/>
        <v>852652706.28571415</v>
      </c>
      <c r="V1232" s="10">
        <f t="shared" si="665"/>
        <v>52299142857.142853</v>
      </c>
      <c r="W1232" s="10">
        <f t="shared" si="666"/>
        <v>52299142857.142853</v>
      </c>
      <c r="X1232" s="10">
        <f t="shared" si="667"/>
        <v>52299142857.142853</v>
      </c>
      <c r="Y1232" s="27"/>
      <c r="Z1232" s="32"/>
    </row>
    <row r="1233" spans="1:26" outlineLevel="1" x14ac:dyDescent="0.3">
      <c r="A1233" t="s">
        <v>163</v>
      </c>
      <c r="B1233" t="s">
        <v>84</v>
      </c>
      <c r="C1233" s="6" t="s">
        <v>159</v>
      </c>
      <c r="D1233" s="10">
        <f t="shared" si="647"/>
        <v>14267621.571428573</v>
      </c>
      <c r="E1233" s="10">
        <f t="shared" si="648"/>
        <v>4957557142.8571434</v>
      </c>
      <c r="F1233" s="10">
        <f t="shared" si="649"/>
        <v>0</v>
      </c>
      <c r="G1233" s="10">
        <f t="shared" si="650"/>
        <v>3637485714.2857141</v>
      </c>
      <c r="H1233" s="10">
        <f t="shared" si="651"/>
        <v>11453975235.571428</v>
      </c>
      <c r="I1233" s="10">
        <f t="shared" si="652"/>
        <v>11453975235.571428</v>
      </c>
      <c r="J1233" s="10">
        <f t="shared" si="653"/>
        <v>34536856.285714291</v>
      </c>
      <c r="K1233" s="10">
        <f t="shared" si="654"/>
        <v>19918714285.714283</v>
      </c>
      <c r="L1233" s="10">
        <f t="shared" si="655"/>
        <v>0</v>
      </c>
      <c r="M1233" s="10">
        <f t="shared" si="656"/>
        <v>18331606000.857143</v>
      </c>
      <c r="N1233" s="10">
        <f t="shared" si="657"/>
        <v>18331606000.857143</v>
      </c>
      <c r="O1233" s="10">
        <f t="shared" si="658"/>
        <v>18331606000.857143</v>
      </c>
      <c r="P1233" s="10">
        <f t="shared" si="659"/>
        <v>800500782.85714293</v>
      </c>
      <c r="Q1233" s="10">
        <f t="shared" si="660"/>
        <v>800500782.85714293</v>
      </c>
      <c r="R1233" s="10">
        <f t="shared" si="661"/>
        <v>800500782.85714293</v>
      </c>
      <c r="S1233" s="10">
        <f t="shared" si="662"/>
        <v>800500782.85714293</v>
      </c>
      <c r="T1233" s="10">
        <f t="shared" si="663"/>
        <v>800500782.85714293</v>
      </c>
      <c r="U1233" s="10">
        <f t="shared" si="664"/>
        <v>800500782.85714293</v>
      </c>
      <c r="V1233" s="10">
        <f t="shared" si="665"/>
        <v>51817142857.142853</v>
      </c>
      <c r="W1233" s="10">
        <f t="shared" si="666"/>
        <v>51817142857.142853</v>
      </c>
      <c r="X1233" s="10">
        <f t="shared" si="667"/>
        <v>51817142857.142853</v>
      </c>
      <c r="Y1233" s="27"/>
      <c r="Z1233" s="32"/>
    </row>
    <row r="1234" spans="1:26" outlineLevel="1" x14ac:dyDescent="0.3">
      <c r="A1234" t="s">
        <v>163</v>
      </c>
      <c r="B1234" t="s">
        <v>85</v>
      </c>
      <c r="C1234" s="6" t="s">
        <v>160</v>
      </c>
      <c r="D1234" s="10">
        <f t="shared" si="647"/>
        <v>10730456.857142858</v>
      </c>
      <c r="E1234" s="10">
        <f t="shared" si="648"/>
        <v>4199672640</v>
      </c>
      <c r="F1234" s="10">
        <f t="shared" si="649"/>
        <v>0</v>
      </c>
      <c r="G1234" s="10">
        <f t="shared" si="650"/>
        <v>2192685714.2857141</v>
      </c>
      <c r="H1234" s="10">
        <f t="shared" si="651"/>
        <v>9108054045.9999981</v>
      </c>
      <c r="I1234" s="10">
        <f t="shared" si="652"/>
        <v>9108054045.9999981</v>
      </c>
      <c r="J1234" s="10">
        <f t="shared" si="653"/>
        <v>33912273.428571433</v>
      </c>
      <c r="K1234" s="10">
        <f t="shared" si="654"/>
        <v>17769142857.142857</v>
      </c>
      <c r="L1234" s="10">
        <f t="shared" si="655"/>
        <v>0</v>
      </c>
      <c r="M1234" s="10">
        <f t="shared" si="656"/>
        <v>15673944869.428572</v>
      </c>
      <c r="N1234" s="10">
        <f t="shared" si="657"/>
        <v>15673944869.428572</v>
      </c>
      <c r="O1234" s="10">
        <f t="shared" si="658"/>
        <v>15673944869.428572</v>
      </c>
      <c r="P1234" s="10">
        <f t="shared" si="659"/>
        <v>757621103.57142866</v>
      </c>
      <c r="Q1234" s="10">
        <f t="shared" si="660"/>
        <v>757621103.57142866</v>
      </c>
      <c r="R1234" s="10">
        <f t="shared" si="661"/>
        <v>757621103.57142866</v>
      </c>
      <c r="S1234" s="10">
        <f t="shared" si="662"/>
        <v>757621103.57142866</v>
      </c>
      <c r="T1234" s="10">
        <f t="shared" si="663"/>
        <v>757621103.57142866</v>
      </c>
      <c r="U1234" s="10">
        <f t="shared" si="664"/>
        <v>757621103.57142866</v>
      </c>
      <c r="V1234" s="10">
        <f t="shared" si="665"/>
        <v>51387571428.571434</v>
      </c>
      <c r="W1234" s="10">
        <f t="shared" si="666"/>
        <v>51387571428.571434</v>
      </c>
      <c r="X1234" s="10">
        <f t="shared" si="667"/>
        <v>51387571428.571434</v>
      </c>
      <c r="Y1234" s="27"/>
      <c r="Z1234" s="32"/>
    </row>
    <row r="1235" spans="1:26" outlineLevel="1" x14ac:dyDescent="0.3">
      <c r="A1235" t="s">
        <v>163</v>
      </c>
      <c r="B1235" t="s">
        <v>86</v>
      </c>
      <c r="C1235" s="6" t="s">
        <v>161</v>
      </c>
      <c r="D1235" s="10">
        <f t="shared" si="647"/>
        <v>9527760.7142857127</v>
      </c>
      <c r="E1235" s="10">
        <f t="shared" si="648"/>
        <v>3493536014.2857146</v>
      </c>
      <c r="F1235" s="10">
        <f t="shared" si="649"/>
        <v>0</v>
      </c>
      <c r="G1235" s="10">
        <f t="shared" si="650"/>
        <v>1170134923.7142856</v>
      </c>
      <c r="H1235" s="10">
        <f t="shared" si="651"/>
        <v>7271829872.7142859</v>
      </c>
      <c r="I1235" s="10">
        <f t="shared" si="652"/>
        <v>7271829872.7142859</v>
      </c>
      <c r="J1235" s="10">
        <f t="shared" si="653"/>
        <v>35540412.000000007</v>
      </c>
      <c r="K1235" s="10">
        <f t="shared" si="654"/>
        <v>15443285714.285713</v>
      </c>
      <c r="L1235" s="10">
        <f t="shared" si="655"/>
        <v>0</v>
      </c>
      <c r="M1235" s="10">
        <f t="shared" si="656"/>
        <v>13815888159.428572</v>
      </c>
      <c r="N1235" s="10">
        <f t="shared" si="657"/>
        <v>13815888159.428572</v>
      </c>
      <c r="O1235" s="10">
        <f t="shared" si="658"/>
        <v>13815888159.428572</v>
      </c>
      <c r="P1235" s="10">
        <f t="shared" si="659"/>
        <v>510032475</v>
      </c>
      <c r="Q1235" s="10">
        <f t="shared" si="660"/>
        <v>510032475</v>
      </c>
      <c r="R1235" s="10">
        <f t="shared" si="661"/>
        <v>510032475</v>
      </c>
      <c r="S1235" s="10">
        <f t="shared" si="662"/>
        <v>510032475</v>
      </c>
      <c r="T1235" s="10">
        <f t="shared" si="663"/>
        <v>510032475</v>
      </c>
      <c r="U1235" s="10">
        <f t="shared" si="664"/>
        <v>510032475</v>
      </c>
      <c r="V1235" s="10">
        <f t="shared" si="665"/>
        <v>51094285714.285706</v>
      </c>
      <c r="W1235" s="10">
        <f t="shared" si="666"/>
        <v>51094285714.285706</v>
      </c>
      <c r="X1235" s="10">
        <f t="shared" si="667"/>
        <v>51094285714.285706</v>
      </c>
      <c r="Y1235" s="27"/>
      <c r="Z1235" s="32"/>
    </row>
    <row r="1236" spans="1:26" outlineLevel="1" x14ac:dyDescent="0.3">
      <c r="A1236" t="s">
        <v>164</v>
      </c>
      <c r="B1236" t="s">
        <v>63</v>
      </c>
      <c r="C1236" s="6" t="s">
        <v>138</v>
      </c>
      <c r="D1236" s="10">
        <f t="shared" si="647"/>
        <v>113142037.57142857</v>
      </c>
      <c r="E1236" s="10">
        <f t="shared" si="648"/>
        <v>71087873.714285716</v>
      </c>
      <c r="F1236" s="10">
        <f t="shared" si="649"/>
        <v>0</v>
      </c>
      <c r="G1236" s="10">
        <f t="shared" si="650"/>
        <v>579758892.57142854</v>
      </c>
      <c r="H1236" s="10">
        <f t="shared" si="651"/>
        <v>3810225481.8571424</v>
      </c>
      <c r="I1236" s="10">
        <f t="shared" si="652"/>
        <v>3810225481.8571424</v>
      </c>
      <c r="J1236" s="10">
        <f t="shared" si="653"/>
        <v>416763124.85714287</v>
      </c>
      <c r="K1236" s="10">
        <f t="shared" si="654"/>
        <v>1421059058.4285717</v>
      </c>
      <c r="L1236" s="10">
        <f t="shared" si="655"/>
        <v>0</v>
      </c>
      <c r="M1236" s="10">
        <f t="shared" si="656"/>
        <v>7967377816.7142849</v>
      </c>
      <c r="N1236" s="10">
        <f t="shared" si="657"/>
        <v>7967377816.7142849</v>
      </c>
      <c r="O1236" s="10">
        <f t="shared" si="658"/>
        <v>7967377816.7142849</v>
      </c>
      <c r="P1236" s="10">
        <f t="shared" si="659"/>
        <v>251209222.28571427</v>
      </c>
      <c r="Q1236" s="10">
        <f t="shared" si="660"/>
        <v>251209222.28571427</v>
      </c>
      <c r="R1236" s="10">
        <f t="shared" si="661"/>
        <v>251209222.28571427</v>
      </c>
      <c r="S1236" s="10">
        <f t="shared" si="662"/>
        <v>251209222.28571427</v>
      </c>
      <c r="T1236" s="10">
        <f t="shared" si="663"/>
        <v>251209222.28571427</v>
      </c>
      <c r="U1236" s="10">
        <f t="shared" si="664"/>
        <v>251209222.28571427</v>
      </c>
      <c r="V1236" s="10">
        <f t="shared" si="665"/>
        <v>34454714285.714287</v>
      </c>
      <c r="W1236" s="10">
        <f t="shared" si="666"/>
        <v>34454714285.714287</v>
      </c>
      <c r="X1236" s="10">
        <f t="shared" si="667"/>
        <v>34454714285.714287</v>
      </c>
      <c r="Y1236" s="27"/>
      <c r="Z1236" s="32"/>
    </row>
    <row r="1237" spans="1:26" outlineLevel="1" x14ac:dyDescent="0.3">
      <c r="A1237" t="s">
        <v>164</v>
      </c>
      <c r="B1237" t="s">
        <v>64</v>
      </c>
      <c r="C1237" s="6" t="s">
        <v>139</v>
      </c>
      <c r="D1237" s="10">
        <f t="shared" si="647"/>
        <v>113142037.57142857</v>
      </c>
      <c r="E1237" s="10">
        <f t="shared" si="648"/>
        <v>64207998.857142858</v>
      </c>
      <c r="F1237" s="10">
        <f t="shared" si="649"/>
        <v>0</v>
      </c>
      <c r="G1237" s="10">
        <f t="shared" si="650"/>
        <v>527117706.85714287</v>
      </c>
      <c r="H1237" s="10">
        <f t="shared" si="651"/>
        <v>2793146542.4285717</v>
      </c>
      <c r="I1237" s="10">
        <f t="shared" si="652"/>
        <v>2793146542.4285717</v>
      </c>
      <c r="J1237" s="10">
        <f t="shared" si="653"/>
        <v>380502873.71428573</v>
      </c>
      <c r="K1237" s="10">
        <f t="shared" si="654"/>
        <v>1345631283.1428571</v>
      </c>
      <c r="L1237" s="10">
        <f t="shared" si="655"/>
        <v>0</v>
      </c>
      <c r="M1237" s="10">
        <f t="shared" si="656"/>
        <v>7704722986</v>
      </c>
      <c r="N1237" s="10">
        <f t="shared" si="657"/>
        <v>7704722986</v>
      </c>
      <c r="O1237" s="10">
        <f t="shared" si="658"/>
        <v>7704722986</v>
      </c>
      <c r="P1237" s="10">
        <f t="shared" si="659"/>
        <v>246009059.42857143</v>
      </c>
      <c r="Q1237" s="10">
        <f t="shared" si="660"/>
        <v>246009059.42857143</v>
      </c>
      <c r="R1237" s="10">
        <f t="shared" si="661"/>
        <v>246009059.42857143</v>
      </c>
      <c r="S1237" s="10">
        <f t="shared" si="662"/>
        <v>246009059.42857143</v>
      </c>
      <c r="T1237" s="10">
        <f t="shared" si="663"/>
        <v>246009059.42857143</v>
      </c>
      <c r="U1237" s="10">
        <f t="shared" si="664"/>
        <v>246009059.42857143</v>
      </c>
      <c r="V1237" s="10">
        <f t="shared" si="665"/>
        <v>34402285714.285713</v>
      </c>
      <c r="W1237" s="10">
        <f t="shared" si="666"/>
        <v>34402285714.285713</v>
      </c>
      <c r="X1237" s="10">
        <f t="shared" si="667"/>
        <v>34402285714.285713</v>
      </c>
      <c r="Y1237" s="27"/>
      <c r="Z1237" s="32"/>
    </row>
    <row r="1238" spans="1:26" outlineLevel="1" x14ac:dyDescent="0.3">
      <c r="A1238" t="s">
        <v>164</v>
      </c>
      <c r="B1238" t="s">
        <v>65</v>
      </c>
      <c r="C1238" s="6" t="s">
        <v>140</v>
      </c>
      <c r="D1238" s="10">
        <f t="shared" si="647"/>
        <v>113281936.14285713</v>
      </c>
      <c r="E1238" s="10">
        <f t="shared" si="648"/>
        <v>62038724.142857142</v>
      </c>
      <c r="F1238" s="10">
        <f t="shared" si="649"/>
        <v>0</v>
      </c>
      <c r="G1238" s="10">
        <f t="shared" si="650"/>
        <v>520552618.28571427</v>
      </c>
      <c r="H1238" s="10">
        <f t="shared" si="651"/>
        <v>2223569578.5714288</v>
      </c>
      <c r="I1238" s="10">
        <f t="shared" si="652"/>
        <v>2223569578.5714288</v>
      </c>
      <c r="J1238" s="10">
        <f t="shared" si="653"/>
        <v>384521337.14285713</v>
      </c>
      <c r="K1238" s="10">
        <f t="shared" si="654"/>
        <v>1314487701.1428573</v>
      </c>
      <c r="L1238" s="10">
        <f t="shared" si="655"/>
        <v>0</v>
      </c>
      <c r="M1238" s="10">
        <f t="shared" si="656"/>
        <v>7650333818.8571424</v>
      </c>
      <c r="N1238" s="10">
        <f t="shared" si="657"/>
        <v>7650333818.8571424</v>
      </c>
      <c r="O1238" s="10">
        <f t="shared" si="658"/>
        <v>7650333818.8571424</v>
      </c>
      <c r="P1238" s="10">
        <f t="shared" si="659"/>
        <v>244637814.28571427</v>
      </c>
      <c r="Q1238" s="10">
        <f t="shared" si="660"/>
        <v>244637814.28571427</v>
      </c>
      <c r="R1238" s="10">
        <f t="shared" si="661"/>
        <v>244637814.28571427</v>
      </c>
      <c r="S1238" s="10">
        <f t="shared" si="662"/>
        <v>244637814.28571427</v>
      </c>
      <c r="T1238" s="10">
        <f t="shared" si="663"/>
        <v>244637814.28571427</v>
      </c>
      <c r="U1238" s="10">
        <f t="shared" si="664"/>
        <v>244637814.28571427</v>
      </c>
      <c r="V1238" s="10">
        <f t="shared" si="665"/>
        <v>34380857142.85714</v>
      </c>
      <c r="W1238" s="10">
        <f t="shared" si="666"/>
        <v>34380857142.85714</v>
      </c>
      <c r="X1238" s="10">
        <f t="shared" si="667"/>
        <v>34380857142.85714</v>
      </c>
      <c r="Y1238" s="27"/>
      <c r="Z1238" s="32"/>
    </row>
    <row r="1239" spans="1:26" outlineLevel="1" x14ac:dyDescent="0.3">
      <c r="A1239" t="s">
        <v>164</v>
      </c>
      <c r="B1239" t="s">
        <v>66</v>
      </c>
      <c r="C1239" s="6" t="s">
        <v>141</v>
      </c>
      <c r="D1239" s="10">
        <f t="shared" si="647"/>
        <v>113142037.57142857</v>
      </c>
      <c r="E1239" s="10">
        <f t="shared" si="648"/>
        <v>64592472.142857157</v>
      </c>
      <c r="F1239" s="10">
        <f t="shared" si="649"/>
        <v>0</v>
      </c>
      <c r="G1239" s="10">
        <f t="shared" si="650"/>
        <v>530751707.14285713</v>
      </c>
      <c r="H1239" s="10">
        <f t="shared" si="651"/>
        <v>1905485211.7142856</v>
      </c>
      <c r="I1239" s="10">
        <f t="shared" si="652"/>
        <v>1905485211.7142856</v>
      </c>
      <c r="J1239" s="10">
        <f t="shared" si="653"/>
        <v>390724119.99999994</v>
      </c>
      <c r="K1239" s="10">
        <f t="shared" si="654"/>
        <v>1300370105.4285715</v>
      </c>
      <c r="L1239" s="10">
        <f t="shared" si="655"/>
        <v>0</v>
      </c>
      <c r="M1239" s="10">
        <f t="shared" si="656"/>
        <v>7953162917.4285717</v>
      </c>
      <c r="N1239" s="10">
        <f t="shared" si="657"/>
        <v>7953162917.4285717</v>
      </c>
      <c r="O1239" s="10">
        <f t="shared" si="658"/>
        <v>7953162917.4285717</v>
      </c>
      <c r="P1239" s="10">
        <f t="shared" si="659"/>
        <v>245336525.71428573</v>
      </c>
      <c r="Q1239" s="10">
        <f t="shared" si="660"/>
        <v>245336525.71428573</v>
      </c>
      <c r="R1239" s="10">
        <f t="shared" si="661"/>
        <v>245336525.71428573</v>
      </c>
      <c r="S1239" s="10">
        <f t="shared" si="662"/>
        <v>245336525.71428573</v>
      </c>
      <c r="T1239" s="10">
        <f t="shared" si="663"/>
        <v>245336525.71428573</v>
      </c>
      <c r="U1239" s="10">
        <f t="shared" si="664"/>
        <v>245336525.71428573</v>
      </c>
      <c r="V1239" s="10">
        <f t="shared" si="665"/>
        <v>34419714285.714287</v>
      </c>
      <c r="W1239" s="10">
        <f t="shared" si="666"/>
        <v>34419714285.714287</v>
      </c>
      <c r="X1239" s="10">
        <f t="shared" si="667"/>
        <v>34419714285.714287</v>
      </c>
      <c r="Y1239" s="27"/>
      <c r="Z1239" s="32"/>
    </row>
    <row r="1240" spans="1:26" outlineLevel="1" x14ac:dyDescent="0.3">
      <c r="A1240" t="s">
        <v>164</v>
      </c>
      <c r="B1240" t="s">
        <v>67</v>
      </c>
      <c r="C1240" s="6" t="s">
        <v>142</v>
      </c>
      <c r="D1240" s="10">
        <f t="shared" si="647"/>
        <v>113142037.57142857</v>
      </c>
      <c r="E1240" s="10">
        <f t="shared" si="648"/>
        <v>70432955.285714298</v>
      </c>
      <c r="F1240" s="10">
        <f t="shared" si="649"/>
        <v>0</v>
      </c>
      <c r="G1240" s="10">
        <f t="shared" si="650"/>
        <v>659856264.57142854</v>
      </c>
      <c r="H1240" s="10">
        <f t="shared" si="651"/>
        <v>1999240171.1428571</v>
      </c>
      <c r="I1240" s="10">
        <f t="shared" si="652"/>
        <v>1999240171.1428571</v>
      </c>
      <c r="J1240" s="10">
        <f t="shared" si="653"/>
        <v>379455840.28571427</v>
      </c>
      <c r="K1240" s="10">
        <f t="shared" si="654"/>
        <v>1301140395.1428573</v>
      </c>
      <c r="L1240" s="10">
        <f t="shared" si="655"/>
        <v>0</v>
      </c>
      <c r="M1240" s="10">
        <f t="shared" si="656"/>
        <v>8372346621.7142859</v>
      </c>
      <c r="N1240" s="10">
        <f t="shared" si="657"/>
        <v>8372346621.7142859</v>
      </c>
      <c r="O1240" s="10">
        <f t="shared" si="658"/>
        <v>8372346621.7142859</v>
      </c>
      <c r="P1240" s="10">
        <f t="shared" si="659"/>
        <v>244371096.14285713</v>
      </c>
      <c r="Q1240" s="10">
        <f t="shared" si="660"/>
        <v>244371096.14285713</v>
      </c>
      <c r="R1240" s="10">
        <f t="shared" si="661"/>
        <v>244371096.14285713</v>
      </c>
      <c r="S1240" s="10">
        <f t="shared" si="662"/>
        <v>244371096.14285713</v>
      </c>
      <c r="T1240" s="10">
        <f t="shared" si="663"/>
        <v>244371096.14285713</v>
      </c>
      <c r="U1240" s="10">
        <f t="shared" si="664"/>
        <v>244371096.14285713</v>
      </c>
      <c r="V1240" s="10">
        <f t="shared" si="665"/>
        <v>34550571428.571426</v>
      </c>
      <c r="W1240" s="10">
        <f t="shared" si="666"/>
        <v>34550571428.571426</v>
      </c>
      <c r="X1240" s="10">
        <f t="shared" si="667"/>
        <v>34550571428.571426</v>
      </c>
      <c r="Y1240" s="27"/>
      <c r="Z1240" s="32"/>
    </row>
    <row r="1241" spans="1:26" outlineLevel="1" x14ac:dyDescent="0.3">
      <c r="A1241" t="s">
        <v>164</v>
      </c>
      <c r="B1241" t="s">
        <v>68</v>
      </c>
      <c r="C1241" s="6" t="s">
        <v>143</v>
      </c>
      <c r="D1241" s="10">
        <f t="shared" si="647"/>
        <v>165237191.42857143</v>
      </c>
      <c r="E1241" s="10">
        <f t="shared" si="648"/>
        <v>82530966.142857149</v>
      </c>
      <c r="F1241" s="10">
        <f t="shared" si="649"/>
        <v>0</v>
      </c>
      <c r="G1241" s="10">
        <f t="shared" si="650"/>
        <v>1094040525.1428571</v>
      </c>
      <c r="H1241" s="10">
        <f t="shared" si="651"/>
        <v>2670134174.4285717</v>
      </c>
      <c r="I1241" s="10">
        <f t="shared" si="652"/>
        <v>2670134174.4285717</v>
      </c>
      <c r="J1241" s="10">
        <f t="shared" si="653"/>
        <v>605323162.28571415</v>
      </c>
      <c r="K1241" s="10">
        <f t="shared" si="654"/>
        <v>1349130703.7142861</v>
      </c>
      <c r="L1241" s="10">
        <f t="shared" si="655"/>
        <v>0</v>
      </c>
      <c r="M1241" s="10">
        <f t="shared" si="656"/>
        <v>9648003276.8571434</v>
      </c>
      <c r="N1241" s="10">
        <f t="shared" si="657"/>
        <v>9648003276.8571434</v>
      </c>
      <c r="O1241" s="10">
        <f t="shared" si="658"/>
        <v>9648003276.8571434</v>
      </c>
      <c r="P1241" s="10">
        <f t="shared" si="659"/>
        <v>250481283.14285713</v>
      </c>
      <c r="Q1241" s="10">
        <f t="shared" si="660"/>
        <v>250481283.14285713</v>
      </c>
      <c r="R1241" s="10">
        <f t="shared" si="661"/>
        <v>250481283.14285713</v>
      </c>
      <c r="S1241" s="10">
        <f t="shared" si="662"/>
        <v>250481283.14285713</v>
      </c>
      <c r="T1241" s="10">
        <f t="shared" si="663"/>
        <v>250481283.14285713</v>
      </c>
      <c r="U1241" s="10">
        <f t="shared" si="664"/>
        <v>250481283.14285713</v>
      </c>
      <c r="V1241" s="10">
        <f t="shared" si="665"/>
        <v>34807857142.85714</v>
      </c>
      <c r="W1241" s="10">
        <f t="shared" si="666"/>
        <v>34807857142.85714</v>
      </c>
      <c r="X1241" s="10">
        <f t="shared" si="667"/>
        <v>34807857142.85714</v>
      </c>
      <c r="Y1241" s="27"/>
      <c r="Z1241" s="32"/>
    </row>
    <row r="1242" spans="1:26" outlineLevel="1" x14ac:dyDescent="0.3">
      <c r="A1242" t="s">
        <v>164</v>
      </c>
      <c r="B1242" t="s">
        <v>69</v>
      </c>
      <c r="C1242" s="6" t="s">
        <v>144</v>
      </c>
      <c r="D1242" s="10">
        <f t="shared" si="647"/>
        <v>187322388.14285713</v>
      </c>
      <c r="E1242" s="10">
        <f t="shared" si="648"/>
        <v>130576988.57142857</v>
      </c>
      <c r="F1242" s="10">
        <f t="shared" si="649"/>
        <v>0</v>
      </c>
      <c r="G1242" s="10">
        <f t="shared" si="650"/>
        <v>1318355211.4285712</v>
      </c>
      <c r="H1242" s="10">
        <f t="shared" si="651"/>
        <v>4167859697.5714288</v>
      </c>
      <c r="I1242" s="10">
        <f t="shared" si="652"/>
        <v>4167859697.5714288</v>
      </c>
      <c r="J1242" s="10">
        <f t="shared" si="653"/>
        <v>984788838.00000012</v>
      </c>
      <c r="K1242" s="10">
        <f t="shared" si="654"/>
        <v>1527447389.8571427</v>
      </c>
      <c r="L1242" s="10">
        <f t="shared" si="655"/>
        <v>0</v>
      </c>
      <c r="M1242" s="10">
        <f t="shared" si="656"/>
        <v>14006278057.857141</v>
      </c>
      <c r="N1242" s="10">
        <f t="shared" si="657"/>
        <v>14006278057.857141</v>
      </c>
      <c r="O1242" s="10">
        <f t="shared" si="658"/>
        <v>14006278057.857141</v>
      </c>
      <c r="P1242" s="10">
        <f t="shared" si="659"/>
        <v>365108766.42857146</v>
      </c>
      <c r="Q1242" s="10">
        <f t="shared" si="660"/>
        <v>365108766.42857146</v>
      </c>
      <c r="R1242" s="10">
        <f t="shared" si="661"/>
        <v>365108766.42857146</v>
      </c>
      <c r="S1242" s="10">
        <f t="shared" si="662"/>
        <v>365108766.42857146</v>
      </c>
      <c r="T1242" s="10">
        <f t="shared" si="663"/>
        <v>365108766.42857146</v>
      </c>
      <c r="U1242" s="10">
        <f t="shared" si="664"/>
        <v>365108766.42857146</v>
      </c>
      <c r="V1242" s="10">
        <f t="shared" si="665"/>
        <v>35169142857.142853</v>
      </c>
      <c r="W1242" s="10">
        <f t="shared" si="666"/>
        <v>35169142857.142853</v>
      </c>
      <c r="X1242" s="10">
        <f t="shared" si="667"/>
        <v>35169142857.142853</v>
      </c>
      <c r="Y1242" s="27"/>
      <c r="Z1242" s="32"/>
    </row>
    <row r="1243" spans="1:26" outlineLevel="1" x14ac:dyDescent="0.3">
      <c r="A1243" t="s">
        <v>164</v>
      </c>
      <c r="B1243" t="s">
        <v>70</v>
      </c>
      <c r="C1243" s="6" t="s">
        <v>145</v>
      </c>
      <c r="D1243" s="10">
        <f t="shared" si="647"/>
        <v>194009442.85714287</v>
      </c>
      <c r="E1243" s="10">
        <f t="shared" si="648"/>
        <v>219252763.71428573</v>
      </c>
      <c r="F1243" s="10">
        <f t="shared" si="649"/>
        <v>0</v>
      </c>
      <c r="G1243" s="10">
        <f t="shared" si="650"/>
        <v>602440351.42857146</v>
      </c>
      <c r="H1243" s="10">
        <f t="shared" si="651"/>
        <v>5395668870.5714293</v>
      </c>
      <c r="I1243" s="10">
        <f t="shared" si="652"/>
        <v>5395668870.5714293</v>
      </c>
      <c r="J1243" s="10">
        <f t="shared" si="653"/>
        <v>903079263.14285719</v>
      </c>
      <c r="K1243" s="10">
        <f t="shared" si="654"/>
        <v>1904569850.2857144</v>
      </c>
      <c r="L1243" s="10">
        <f t="shared" si="655"/>
        <v>0</v>
      </c>
      <c r="M1243" s="10">
        <f t="shared" si="656"/>
        <v>19078208029.428574</v>
      </c>
      <c r="N1243" s="10">
        <f t="shared" si="657"/>
        <v>19078208029.428574</v>
      </c>
      <c r="O1243" s="10">
        <f t="shared" si="658"/>
        <v>19078208029.428574</v>
      </c>
      <c r="P1243" s="10">
        <f t="shared" si="659"/>
        <v>724919912.28571427</v>
      </c>
      <c r="Q1243" s="10">
        <f t="shared" si="660"/>
        <v>724919912.28571427</v>
      </c>
      <c r="R1243" s="10">
        <f t="shared" si="661"/>
        <v>724919912.28571427</v>
      </c>
      <c r="S1243" s="10">
        <f t="shared" si="662"/>
        <v>724919912.28571427</v>
      </c>
      <c r="T1243" s="10">
        <f t="shared" si="663"/>
        <v>724919912.28571427</v>
      </c>
      <c r="U1243" s="10">
        <f t="shared" si="664"/>
        <v>724919912.28571427</v>
      </c>
      <c r="V1243" s="10">
        <f t="shared" si="665"/>
        <v>35474142857.142853</v>
      </c>
      <c r="W1243" s="10">
        <f t="shared" si="666"/>
        <v>35474142857.142853</v>
      </c>
      <c r="X1243" s="10">
        <f t="shared" si="667"/>
        <v>35474142857.142853</v>
      </c>
      <c r="Y1243" s="27"/>
      <c r="Z1243" s="32"/>
    </row>
    <row r="1244" spans="1:26" outlineLevel="1" x14ac:dyDescent="0.3">
      <c r="A1244" t="s">
        <v>164</v>
      </c>
      <c r="B1244" t="s">
        <v>71</v>
      </c>
      <c r="C1244" s="6" t="s">
        <v>146</v>
      </c>
      <c r="D1244" s="10">
        <f t="shared" si="647"/>
        <v>195709874.71428573</v>
      </c>
      <c r="E1244" s="10">
        <f t="shared" si="648"/>
        <v>322584977.85714287</v>
      </c>
      <c r="F1244" s="10">
        <f t="shared" si="649"/>
        <v>0</v>
      </c>
      <c r="G1244" s="10">
        <f t="shared" si="650"/>
        <v>552558760.42857146</v>
      </c>
      <c r="H1244" s="10">
        <f t="shared" si="651"/>
        <v>5709860672.7142859</v>
      </c>
      <c r="I1244" s="10">
        <f t="shared" si="652"/>
        <v>5709860672.7142859</v>
      </c>
      <c r="J1244" s="10">
        <f t="shared" si="653"/>
        <v>628920014.28571427</v>
      </c>
      <c r="K1244" s="10">
        <f t="shared" si="654"/>
        <v>2459794193.4285717</v>
      </c>
      <c r="L1244" s="10">
        <f t="shared" si="655"/>
        <v>0</v>
      </c>
      <c r="M1244" s="10">
        <f t="shared" si="656"/>
        <v>23495142935.14286</v>
      </c>
      <c r="N1244" s="10">
        <f t="shared" si="657"/>
        <v>23495142935.14286</v>
      </c>
      <c r="O1244" s="10">
        <f t="shared" si="658"/>
        <v>23495142935.14286</v>
      </c>
      <c r="P1244" s="10">
        <f t="shared" si="659"/>
        <v>799416030.28571427</v>
      </c>
      <c r="Q1244" s="10">
        <f t="shared" si="660"/>
        <v>799416030.28571427</v>
      </c>
      <c r="R1244" s="10">
        <f t="shared" si="661"/>
        <v>799416030.28571427</v>
      </c>
      <c r="S1244" s="10">
        <f t="shared" si="662"/>
        <v>799416030.28571427</v>
      </c>
      <c r="T1244" s="10">
        <f t="shared" si="663"/>
        <v>799416030.28571427</v>
      </c>
      <c r="U1244" s="10">
        <f t="shared" si="664"/>
        <v>799416030.28571427</v>
      </c>
      <c r="V1244" s="10">
        <f t="shared" si="665"/>
        <v>35543857142.857147</v>
      </c>
      <c r="W1244" s="10">
        <f t="shared" si="666"/>
        <v>35543857142.857147</v>
      </c>
      <c r="X1244" s="10">
        <f t="shared" si="667"/>
        <v>35543857142.857147</v>
      </c>
      <c r="Y1244" s="27"/>
      <c r="Z1244" s="32"/>
    </row>
    <row r="1245" spans="1:26" outlineLevel="1" x14ac:dyDescent="0.3">
      <c r="A1245" t="s">
        <v>164</v>
      </c>
      <c r="B1245" t="s">
        <v>72</v>
      </c>
      <c r="C1245" s="6" t="s">
        <v>147</v>
      </c>
      <c r="D1245" s="10">
        <f t="shared" si="647"/>
        <v>147196085.14285713</v>
      </c>
      <c r="E1245" s="10">
        <f t="shared" si="648"/>
        <v>413861557.57142866</v>
      </c>
      <c r="F1245" s="10">
        <f t="shared" si="649"/>
        <v>0</v>
      </c>
      <c r="G1245" s="10">
        <f t="shared" si="650"/>
        <v>540687696.14285719</v>
      </c>
      <c r="H1245" s="10">
        <f t="shared" si="651"/>
        <v>5986226089.7142859</v>
      </c>
      <c r="I1245" s="10">
        <f t="shared" si="652"/>
        <v>5986226089.7142859</v>
      </c>
      <c r="J1245" s="10">
        <f t="shared" si="653"/>
        <v>482260063.4285714</v>
      </c>
      <c r="K1245" s="10">
        <f t="shared" si="654"/>
        <v>2900889600.2857141</v>
      </c>
      <c r="L1245" s="10">
        <f t="shared" si="655"/>
        <v>0</v>
      </c>
      <c r="M1245" s="10">
        <f t="shared" si="656"/>
        <v>24812564622</v>
      </c>
      <c r="N1245" s="10">
        <f t="shared" si="657"/>
        <v>24812564622</v>
      </c>
      <c r="O1245" s="10">
        <f t="shared" si="658"/>
        <v>24812564622</v>
      </c>
      <c r="P1245" s="10">
        <f t="shared" si="659"/>
        <v>729927428.57142866</v>
      </c>
      <c r="Q1245" s="10">
        <f t="shared" si="660"/>
        <v>729927428.57142866</v>
      </c>
      <c r="R1245" s="10">
        <f t="shared" si="661"/>
        <v>729927428.57142866</v>
      </c>
      <c r="S1245" s="10">
        <f t="shared" si="662"/>
        <v>729927428.57142866</v>
      </c>
      <c r="T1245" s="10">
        <f t="shared" si="663"/>
        <v>729927428.57142866</v>
      </c>
      <c r="U1245" s="10">
        <f t="shared" si="664"/>
        <v>729927428.57142866</v>
      </c>
      <c r="V1245" s="10">
        <f t="shared" si="665"/>
        <v>35482857142.85714</v>
      </c>
      <c r="W1245" s="10">
        <f t="shared" si="666"/>
        <v>35482857142.85714</v>
      </c>
      <c r="X1245" s="10">
        <f t="shared" si="667"/>
        <v>35482857142.85714</v>
      </c>
      <c r="Y1245" s="27"/>
      <c r="Z1245" s="32"/>
    </row>
    <row r="1246" spans="1:26" outlineLevel="1" x14ac:dyDescent="0.3">
      <c r="A1246" t="s">
        <v>164</v>
      </c>
      <c r="B1246" t="s">
        <v>73</v>
      </c>
      <c r="C1246" s="6" t="s">
        <v>148</v>
      </c>
      <c r="D1246" s="10">
        <f t="shared" si="647"/>
        <v>148226815.85714284</v>
      </c>
      <c r="E1246" s="10">
        <f t="shared" si="648"/>
        <v>534138451.42857146</v>
      </c>
      <c r="F1246" s="10">
        <f t="shared" si="649"/>
        <v>0</v>
      </c>
      <c r="G1246" s="10">
        <f t="shared" si="650"/>
        <v>548196777.71428573</v>
      </c>
      <c r="H1246" s="10">
        <f t="shared" si="651"/>
        <v>6252580812.1428566</v>
      </c>
      <c r="I1246" s="10">
        <f t="shared" si="652"/>
        <v>6252580812.1428566</v>
      </c>
      <c r="J1246" s="10">
        <f t="shared" si="653"/>
        <v>389633970.28571433</v>
      </c>
      <c r="K1246" s="10">
        <f t="shared" si="654"/>
        <v>3228995379.2857141</v>
      </c>
      <c r="L1246" s="10">
        <f t="shared" si="655"/>
        <v>0</v>
      </c>
      <c r="M1246" s="10">
        <f t="shared" si="656"/>
        <v>24696513507.57143</v>
      </c>
      <c r="N1246" s="10">
        <f t="shared" si="657"/>
        <v>24696513507.57143</v>
      </c>
      <c r="O1246" s="10">
        <f t="shared" si="658"/>
        <v>24696513507.57143</v>
      </c>
      <c r="P1246" s="10">
        <f t="shared" si="659"/>
        <v>611277458.85714293</v>
      </c>
      <c r="Q1246" s="10">
        <f t="shared" si="660"/>
        <v>611277458.85714293</v>
      </c>
      <c r="R1246" s="10">
        <f t="shared" si="661"/>
        <v>611277458.85714293</v>
      </c>
      <c r="S1246" s="10">
        <f t="shared" si="662"/>
        <v>611277458.85714293</v>
      </c>
      <c r="T1246" s="10">
        <f t="shared" si="663"/>
        <v>611277458.85714293</v>
      </c>
      <c r="U1246" s="10">
        <f t="shared" si="664"/>
        <v>611277458.85714293</v>
      </c>
      <c r="V1246" s="10">
        <f t="shared" si="665"/>
        <v>35334714285.714287</v>
      </c>
      <c r="W1246" s="10">
        <f t="shared" si="666"/>
        <v>35334714285.714287</v>
      </c>
      <c r="X1246" s="10">
        <f t="shared" si="667"/>
        <v>35334714285.714287</v>
      </c>
      <c r="Y1246" s="27"/>
      <c r="Z1246" s="32"/>
    </row>
    <row r="1247" spans="1:26" outlineLevel="1" x14ac:dyDescent="0.3">
      <c r="A1247" t="s">
        <v>164</v>
      </c>
      <c r="B1247" t="s">
        <v>74</v>
      </c>
      <c r="C1247" s="6" t="s">
        <v>149</v>
      </c>
      <c r="D1247" s="10">
        <f t="shared" si="647"/>
        <v>145115056</v>
      </c>
      <c r="E1247" s="10">
        <f t="shared" si="648"/>
        <v>718251188.14285719</v>
      </c>
      <c r="F1247" s="10">
        <f t="shared" si="649"/>
        <v>0</v>
      </c>
      <c r="G1247" s="10">
        <f t="shared" si="650"/>
        <v>596168017.14285707</v>
      </c>
      <c r="H1247" s="10">
        <f t="shared" si="651"/>
        <v>6447894310.1428576</v>
      </c>
      <c r="I1247" s="10">
        <f t="shared" si="652"/>
        <v>6447894310.1428576</v>
      </c>
      <c r="J1247" s="10">
        <f t="shared" si="653"/>
        <v>320771007.14285713</v>
      </c>
      <c r="K1247" s="10">
        <f t="shared" si="654"/>
        <v>3438931731.1428571</v>
      </c>
      <c r="L1247" s="10">
        <f t="shared" si="655"/>
        <v>0</v>
      </c>
      <c r="M1247" s="10">
        <f t="shared" si="656"/>
        <v>24629725833.142857</v>
      </c>
      <c r="N1247" s="10">
        <f t="shared" si="657"/>
        <v>24629725833.142857</v>
      </c>
      <c r="O1247" s="10">
        <f t="shared" si="658"/>
        <v>24629725833.142857</v>
      </c>
      <c r="P1247" s="10">
        <f t="shared" si="659"/>
        <v>614441075.71428585</v>
      </c>
      <c r="Q1247" s="10">
        <f t="shared" si="660"/>
        <v>614441075.71428585</v>
      </c>
      <c r="R1247" s="10">
        <f t="shared" si="661"/>
        <v>614441075.71428585</v>
      </c>
      <c r="S1247" s="10">
        <f t="shared" si="662"/>
        <v>614441075.71428585</v>
      </c>
      <c r="T1247" s="10">
        <f t="shared" si="663"/>
        <v>614441075.71428585</v>
      </c>
      <c r="U1247" s="10">
        <f t="shared" si="664"/>
        <v>614441075.71428585</v>
      </c>
      <c r="V1247" s="10">
        <f t="shared" si="665"/>
        <v>35230142857.142853</v>
      </c>
      <c r="W1247" s="10">
        <f t="shared" si="666"/>
        <v>35230142857.142853</v>
      </c>
      <c r="X1247" s="10">
        <f t="shared" si="667"/>
        <v>35230142857.142853</v>
      </c>
      <c r="Y1247" s="27"/>
      <c r="Z1247" s="32"/>
    </row>
    <row r="1248" spans="1:26" outlineLevel="1" x14ac:dyDescent="0.3">
      <c r="A1248" t="s">
        <v>164</v>
      </c>
      <c r="B1248" t="s">
        <v>75</v>
      </c>
      <c r="C1248" s="6" t="s">
        <v>150</v>
      </c>
      <c r="D1248" s="10">
        <f t="shared" si="647"/>
        <v>149151144.57142857</v>
      </c>
      <c r="E1248" s="10">
        <f t="shared" si="648"/>
        <v>893122863.14285719</v>
      </c>
      <c r="F1248" s="10">
        <f t="shared" si="649"/>
        <v>0</v>
      </c>
      <c r="G1248" s="10">
        <f t="shared" si="650"/>
        <v>627050732</v>
      </c>
      <c r="H1248" s="10">
        <f t="shared" si="651"/>
        <v>6122246688.8571424</v>
      </c>
      <c r="I1248" s="10">
        <f t="shared" si="652"/>
        <v>6122246688.8571424</v>
      </c>
      <c r="J1248" s="10">
        <f t="shared" si="653"/>
        <v>287448991.14285713</v>
      </c>
      <c r="K1248" s="10">
        <f t="shared" si="654"/>
        <v>3510213249.5714288</v>
      </c>
      <c r="L1248" s="10">
        <f t="shared" si="655"/>
        <v>0</v>
      </c>
      <c r="M1248" s="10">
        <f t="shared" si="656"/>
        <v>24280766330.714283</v>
      </c>
      <c r="N1248" s="10">
        <f t="shared" si="657"/>
        <v>24280766330.714283</v>
      </c>
      <c r="O1248" s="10">
        <f t="shared" si="658"/>
        <v>24280766330.714283</v>
      </c>
      <c r="P1248" s="10">
        <f t="shared" si="659"/>
        <v>623173054</v>
      </c>
      <c r="Q1248" s="10">
        <f t="shared" si="660"/>
        <v>623173054</v>
      </c>
      <c r="R1248" s="10">
        <f t="shared" si="661"/>
        <v>623173054</v>
      </c>
      <c r="S1248" s="10">
        <f t="shared" si="662"/>
        <v>623173054</v>
      </c>
      <c r="T1248" s="10">
        <f t="shared" si="663"/>
        <v>623173054</v>
      </c>
      <c r="U1248" s="10">
        <f t="shared" si="664"/>
        <v>623173054</v>
      </c>
      <c r="V1248" s="10">
        <f t="shared" si="665"/>
        <v>35143000000</v>
      </c>
      <c r="W1248" s="10">
        <f t="shared" si="666"/>
        <v>35143000000</v>
      </c>
      <c r="X1248" s="10">
        <f t="shared" si="667"/>
        <v>35143000000</v>
      </c>
      <c r="Y1248" s="27"/>
      <c r="Z1248" s="32"/>
    </row>
    <row r="1249" spans="1:26" outlineLevel="1" x14ac:dyDescent="0.3">
      <c r="A1249" t="s">
        <v>164</v>
      </c>
      <c r="B1249" t="s">
        <v>76</v>
      </c>
      <c r="C1249" s="6" t="s">
        <v>151</v>
      </c>
      <c r="D1249" s="10">
        <f t="shared" si="647"/>
        <v>150085840.57142854</v>
      </c>
      <c r="E1249" s="10">
        <f t="shared" si="648"/>
        <v>996077396.42857134</v>
      </c>
      <c r="F1249" s="10">
        <f t="shared" si="649"/>
        <v>0</v>
      </c>
      <c r="G1249" s="10">
        <f t="shared" si="650"/>
        <v>631227048.28571427</v>
      </c>
      <c r="H1249" s="10">
        <f t="shared" si="651"/>
        <v>5903009714.7142859</v>
      </c>
      <c r="I1249" s="10">
        <f t="shared" si="652"/>
        <v>5903009714.7142859</v>
      </c>
      <c r="J1249" s="10">
        <f t="shared" si="653"/>
        <v>263235279.57142854</v>
      </c>
      <c r="K1249" s="10">
        <f t="shared" si="654"/>
        <v>3658272882.8571429</v>
      </c>
      <c r="L1249" s="10">
        <f t="shared" si="655"/>
        <v>0</v>
      </c>
      <c r="M1249" s="10">
        <f t="shared" si="656"/>
        <v>24171920409</v>
      </c>
      <c r="N1249" s="10">
        <f t="shared" si="657"/>
        <v>24171920409</v>
      </c>
      <c r="O1249" s="10">
        <f t="shared" si="658"/>
        <v>24171920409</v>
      </c>
      <c r="P1249" s="10">
        <f t="shared" si="659"/>
        <v>616233817.14285719</v>
      </c>
      <c r="Q1249" s="10">
        <f t="shared" si="660"/>
        <v>616233817.14285719</v>
      </c>
      <c r="R1249" s="10">
        <f t="shared" si="661"/>
        <v>616233817.14285719</v>
      </c>
      <c r="S1249" s="10">
        <f t="shared" si="662"/>
        <v>616233817.14285719</v>
      </c>
      <c r="T1249" s="10">
        <f t="shared" si="663"/>
        <v>616233817.14285719</v>
      </c>
      <c r="U1249" s="10">
        <f t="shared" si="664"/>
        <v>616233817.14285719</v>
      </c>
      <c r="V1249" s="10">
        <f t="shared" si="665"/>
        <v>35099428571.428566</v>
      </c>
      <c r="W1249" s="10">
        <f t="shared" si="666"/>
        <v>35099428571.428566</v>
      </c>
      <c r="X1249" s="10">
        <f t="shared" si="667"/>
        <v>35099428571.428566</v>
      </c>
      <c r="Y1249" s="27"/>
      <c r="Z1249" s="32"/>
    </row>
    <row r="1250" spans="1:26" outlineLevel="1" x14ac:dyDescent="0.3">
      <c r="A1250" t="s">
        <v>164</v>
      </c>
      <c r="B1250" t="s">
        <v>77</v>
      </c>
      <c r="C1250" s="6" t="s">
        <v>152</v>
      </c>
      <c r="D1250" s="10">
        <f t="shared" si="647"/>
        <v>151633280.28571427</v>
      </c>
      <c r="E1250" s="10">
        <f t="shared" si="648"/>
        <v>1057527430.5714287</v>
      </c>
      <c r="F1250" s="10">
        <f t="shared" si="649"/>
        <v>0</v>
      </c>
      <c r="G1250" s="10">
        <f t="shared" si="650"/>
        <v>642815482.28571427</v>
      </c>
      <c r="H1250" s="10">
        <f t="shared" si="651"/>
        <v>6134052378.2857141</v>
      </c>
      <c r="I1250" s="10">
        <f t="shared" si="652"/>
        <v>6134052378.2857141</v>
      </c>
      <c r="J1250" s="10">
        <f t="shared" si="653"/>
        <v>247741145.71428573</v>
      </c>
      <c r="K1250" s="10">
        <f t="shared" si="654"/>
        <v>3730529736.5714288</v>
      </c>
      <c r="L1250" s="10">
        <f t="shared" si="655"/>
        <v>0</v>
      </c>
      <c r="M1250" s="10">
        <f t="shared" si="656"/>
        <v>24082729117.714283</v>
      </c>
      <c r="N1250" s="10">
        <f t="shared" si="657"/>
        <v>24082729117.714283</v>
      </c>
      <c r="O1250" s="10">
        <f t="shared" si="658"/>
        <v>24082729117.714283</v>
      </c>
      <c r="P1250" s="10">
        <f t="shared" si="659"/>
        <v>606294904.00000012</v>
      </c>
      <c r="Q1250" s="10">
        <f t="shared" si="660"/>
        <v>606294904.00000012</v>
      </c>
      <c r="R1250" s="10">
        <f t="shared" si="661"/>
        <v>606294904.00000012</v>
      </c>
      <c r="S1250" s="10">
        <f t="shared" si="662"/>
        <v>606294904.00000012</v>
      </c>
      <c r="T1250" s="10">
        <f t="shared" si="663"/>
        <v>606294904.00000012</v>
      </c>
      <c r="U1250" s="10">
        <f t="shared" si="664"/>
        <v>606294904.00000012</v>
      </c>
      <c r="V1250" s="10">
        <f t="shared" si="665"/>
        <v>35169285714.285713</v>
      </c>
      <c r="W1250" s="10">
        <f t="shared" si="666"/>
        <v>35169285714.285713</v>
      </c>
      <c r="X1250" s="10">
        <f t="shared" si="667"/>
        <v>35169285714.285713</v>
      </c>
      <c r="Y1250" s="27"/>
      <c r="Z1250" s="32"/>
    </row>
    <row r="1251" spans="1:26" outlineLevel="1" x14ac:dyDescent="0.3">
      <c r="A1251" t="s">
        <v>164</v>
      </c>
      <c r="B1251" t="s">
        <v>78</v>
      </c>
      <c r="C1251" s="6" t="s">
        <v>153</v>
      </c>
      <c r="D1251" s="10">
        <f t="shared" si="647"/>
        <v>157313355.42857143</v>
      </c>
      <c r="E1251" s="10">
        <f t="shared" si="648"/>
        <v>1104780716.7142859</v>
      </c>
      <c r="F1251" s="10">
        <f t="shared" si="649"/>
        <v>0</v>
      </c>
      <c r="G1251" s="10">
        <f t="shared" si="650"/>
        <v>684594026.28571439</v>
      </c>
      <c r="H1251" s="10">
        <f t="shared" si="651"/>
        <v>6792483330.1428585</v>
      </c>
      <c r="I1251" s="10">
        <f t="shared" si="652"/>
        <v>6792483330.1428585</v>
      </c>
      <c r="J1251" s="10">
        <f t="shared" si="653"/>
        <v>230225746.4285714</v>
      </c>
      <c r="K1251" s="10">
        <f t="shared" si="654"/>
        <v>3702402163.8571429</v>
      </c>
      <c r="L1251" s="10">
        <f t="shared" si="655"/>
        <v>0</v>
      </c>
      <c r="M1251" s="10">
        <f t="shared" si="656"/>
        <v>23950086375.428574</v>
      </c>
      <c r="N1251" s="10">
        <f t="shared" si="657"/>
        <v>23950086375.428574</v>
      </c>
      <c r="O1251" s="10">
        <f t="shared" si="658"/>
        <v>23950086375.428574</v>
      </c>
      <c r="P1251" s="10">
        <f t="shared" si="659"/>
        <v>702529396</v>
      </c>
      <c r="Q1251" s="10">
        <f t="shared" si="660"/>
        <v>702529396</v>
      </c>
      <c r="R1251" s="10">
        <f t="shared" si="661"/>
        <v>702529396</v>
      </c>
      <c r="S1251" s="10">
        <f t="shared" si="662"/>
        <v>702529396</v>
      </c>
      <c r="T1251" s="10">
        <f t="shared" si="663"/>
        <v>702529396</v>
      </c>
      <c r="U1251" s="10">
        <f t="shared" si="664"/>
        <v>702529396</v>
      </c>
      <c r="V1251" s="10">
        <f t="shared" si="665"/>
        <v>35491571428.571426</v>
      </c>
      <c r="W1251" s="10">
        <f t="shared" si="666"/>
        <v>35491571428.571426</v>
      </c>
      <c r="X1251" s="10">
        <f t="shared" si="667"/>
        <v>35491571428.571426</v>
      </c>
      <c r="Y1251" s="27"/>
      <c r="Z1251" s="32"/>
    </row>
    <row r="1252" spans="1:26" outlineLevel="1" x14ac:dyDescent="0.3">
      <c r="A1252" t="s">
        <v>164</v>
      </c>
      <c r="B1252" t="s">
        <v>79</v>
      </c>
      <c r="C1252" s="6" t="s">
        <v>154</v>
      </c>
      <c r="D1252" s="10">
        <f t="shared" si="647"/>
        <v>164608067</v>
      </c>
      <c r="E1252" s="10">
        <f t="shared" si="648"/>
        <v>1096337383.8571432</v>
      </c>
      <c r="F1252" s="10">
        <f t="shared" si="649"/>
        <v>0</v>
      </c>
      <c r="G1252" s="10">
        <f t="shared" si="650"/>
        <v>826402508.57142866</v>
      </c>
      <c r="H1252" s="10">
        <f t="shared" si="651"/>
        <v>8007509183.4285717</v>
      </c>
      <c r="I1252" s="10">
        <f t="shared" si="652"/>
        <v>8007509183.4285717</v>
      </c>
      <c r="J1252" s="10">
        <f t="shared" si="653"/>
        <v>218279889.7142857</v>
      </c>
      <c r="K1252" s="10">
        <f t="shared" si="654"/>
        <v>3572361972.0000005</v>
      </c>
      <c r="L1252" s="10">
        <f t="shared" si="655"/>
        <v>0</v>
      </c>
      <c r="M1252" s="10">
        <f t="shared" si="656"/>
        <v>23139929566.857143</v>
      </c>
      <c r="N1252" s="10">
        <f t="shared" si="657"/>
        <v>23139929566.857143</v>
      </c>
      <c r="O1252" s="10">
        <f t="shared" si="658"/>
        <v>23139929566.857143</v>
      </c>
      <c r="P1252" s="10">
        <f t="shared" si="659"/>
        <v>809616642.57142854</v>
      </c>
      <c r="Q1252" s="10">
        <f t="shared" si="660"/>
        <v>809616642.57142854</v>
      </c>
      <c r="R1252" s="10">
        <f t="shared" si="661"/>
        <v>809616642.57142854</v>
      </c>
      <c r="S1252" s="10">
        <f t="shared" si="662"/>
        <v>809616642.57142854</v>
      </c>
      <c r="T1252" s="10">
        <f t="shared" si="663"/>
        <v>809616642.57142854</v>
      </c>
      <c r="U1252" s="10">
        <f t="shared" si="664"/>
        <v>809616642.57142854</v>
      </c>
      <c r="V1252" s="10">
        <f t="shared" si="665"/>
        <v>35844857142.85714</v>
      </c>
      <c r="W1252" s="10">
        <f t="shared" si="666"/>
        <v>35844857142.85714</v>
      </c>
      <c r="X1252" s="10">
        <f t="shared" si="667"/>
        <v>35844857142.85714</v>
      </c>
      <c r="Y1252" s="27"/>
      <c r="Z1252" s="32"/>
    </row>
    <row r="1253" spans="1:26" outlineLevel="1" x14ac:dyDescent="0.3">
      <c r="A1253" t="s">
        <v>164</v>
      </c>
      <c r="B1253" t="s">
        <v>80</v>
      </c>
      <c r="C1253" s="6" t="s">
        <v>155</v>
      </c>
      <c r="D1253" s="10">
        <f t="shared" si="647"/>
        <v>173011288.57142857</v>
      </c>
      <c r="E1253" s="10">
        <f t="shared" si="648"/>
        <v>1033602926.857143</v>
      </c>
      <c r="F1253" s="10">
        <f t="shared" si="649"/>
        <v>0</v>
      </c>
      <c r="G1253" s="10">
        <f t="shared" si="650"/>
        <v>2154157142.8571429</v>
      </c>
      <c r="H1253" s="10">
        <f t="shared" si="651"/>
        <v>8668085784.5714283</v>
      </c>
      <c r="I1253" s="10">
        <f t="shared" si="652"/>
        <v>8668085784.5714283</v>
      </c>
      <c r="J1253" s="10">
        <f t="shared" si="653"/>
        <v>251591558.14285716</v>
      </c>
      <c r="K1253" s="10">
        <f t="shared" si="654"/>
        <v>3320143689.1428576</v>
      </c>
      <c r="L1253" s="10">
        <f t="shared" si="655"/>
        <v>0</v>
      </c>
      <c r="M1253" s="10">
        <f t="shared" si="656"/>
        <v>21872979038.42857</v>
      </c>
      <c r="N1253" s="10">
        <f t="shared" si="657"/>
        <v>21872979038.42857</v>
      </c>
      <c r="O1253" s="10">
        <f t="shared" si="658"/>
        <v>21872979038.42857</v>
      </c>
      <c r="P1253" s="10">
        <f t="shared" si="659"/>
        <v>848932981.42857134</v>
      </c>
      <c r="Q1253" s="10">
        <f t="shared" si="660"/>
        <v>848932981.42857134</v>
      </c>
      <c r="R1253" s="10">
        <f t="shared" si="661"/>
        <v>848932981.42857134</v>
      </c>
      <c r="S1253" s="10">
        <f t="shared" si="662"/>
        <v>848932981.42857134</v>
      </c>
      <c r="T1253" s="10">
        <f t="shared" si="663"/>
        <v>848932981.42857134</v>
      </c>
      <c r="U1253" s="10">
        <f t="shared" si="664"/>
        <v>848932981.42857134</v>
      </c>
      <c r="V1253" s="10">
        <f t="shared" si="665"/>
        <v>35927285714.285713</v>
      </c>
      <c r="W1253" s="10">
        <f t="shared" si="666"/>
        <v>35927285714.285713</v>
      </c>
      <c r="X1253" s="10">
        <f t="shared" si="667"/>
        <v>35927285714.285713</v>
      </c>
      <c r="Y1253" s="27"/>
      <c r="Z1253" s="32"/>
    </row>
    <row r="1254" spans="1:26" outlineLevel="1" x14ac:dyDescent="0.3">
      <c r="A1254" t="s">
        <v>164</v>
      </c>
      <c r="B1254" t="s">
        <v>81</v>
      </c>
      <c r="C1254" s="6" t="s">
        <v>156</v>
      </c>
      <c r="D1254" s="10">
        <f t="shared" si="647"/>
        <v>182620571.28571427</v>
      </c>
      <c r="E1254" s="10">
        <f t="shared" si="648"/>
        <v>926804653.28571439</v>
      </c>
      <c r="F1254" s="10">
        <f t="shared" si="649"/>
        <v>0</v>
      </c>
      <c r="G1254" s="10">
        <f t="shared" si="650"/>
        <v>2897257142.8571429</v>
      </c>
      <c r="H1254" s="10">
        <f t="shared" si="651"/>
        <v>8424746204</v>
      </c>
      <c r="I1254" s="10">
        <f t="shared" si="652"/>
        <v>8424746204</v>
      </c>
      <c r="J1254" s="10">
        <f t="shared" si="653"/>
        <v>299238446</v>
      </c>
      <c r="K1254" s="10">
        <f t="shared" si="654"/>
        <v>3040979844.1428576</v>
      </c>
      <c r="L1254" s="10">
        <f t="shared" si="655"/>
        <v>0</v>
      </c>
      <c r="M1254" s="10">
        <f t="shared" si="656"/>
        <v>20841781709.857143</v>
      </c>
      <c r="N1254" s="10">
        <f t="shared" si="657"/>
        <v>20841781709.857143</v>
      </c>
      <c r="O1254" s="10">
        <f t="shared" si="658"/>
        <v>20841781709.857143</v>
      </c>
      <c r="P1254" s="10">
        <f t="shared" si="659"/>
        <v>789361467.42857146</v>
      </c>
      <c r="Q1254" s="10">
        <f t="shared" si="660"/>
        <v>789361467.42857146</v>
      </c>
      <c r="R1254" s="10">
        <f t="shared" si="661"/>
        <v>789361467.42857146</v>
      </c>
      <c r="S1254" s="10">
        <f t="shared" si="662"/>
        <v>789361467.42857146</v>
      </c>
      <c r="T1254" s="10">
        <f t="shared" si="663"/>
        <v>789361467.42857146</v>
      </c>
      <c r="U1254" s="10">
        <f t="shared" si="664"/>
        <v>789361467.42857146</v>
      </c>
      <c r="V1254" s="10">
        <f t="shared" si="665"/>
        <v>35757714285.714287</v>
      </c>
      <c r="W1254" s="10">
        <f t="shared" si="666"/>
        <v>35757714285.714287</v>
      </c>
      <c r="X1254" s="10">
        <f t="shared" si="667"/>
        <v>35757714285.714287</v>
      </c>
      <c r="Y1254" s="35"/>
      <c r="Z1254" s="32"/>
    </row>
    <row r="1255" spans="1:26" outlineLevel="1" x14ac:dyDescent="0.3">
      <c r="A1255" t="s">
        <v>164</v>
      </c>
      <c r="B1255" t="s">
        <v>82</v>
      </c>
      <c r="C1255" s="6" t="s">
        <v>157</v>
      </c>
      <c r="D1255" s="10">
        <f t="shared" si="647"/>
        <v>191102136.14285713</v>
      </c>
      <c r="E1255" s="10">
        <f t="shared" si="648"/>
        <v>769398292.14285719</v>
      </c>
      <c r="F1255" s="10">
        <f t="shared" si="649"/>
        <v>0</v>
      </c>
      <c r="G1255" s="10">
        <f t="shared" si="650"/>
        <v>3105614285.7142859</v>
      </c>
      <c r="H1255" s="10">
        <f t="shared" si="651"/>
        <v>7954313857.4285717</v>
      </c>
      <c r="I1255" s="10">
        <f t="shared" si="652"/>
        <v>7954313857.4285717</v>
      </c>
      <c r="J1255" s="10">
        <f t="shared" si="653"/>
        <v>354531035.42857146</v>
      </c>
      <c r="K1255" s="10">
        <f t="shared" si="654"/>
        <v>2711798801.8571429</v>
      </c>
      <c r="L1255" s="10">
        <f t="shared" si="655"/>
        <v>0</v>
      </c>
      <c r="M1255" s="10">
        <f t="shared" si="656"/>
        <v>17679384448.428574</v>
      </c>
      <c r="N1255" s="10">
        <f t="shared" si="657"/>
        <v>17679384448.428574</v>
      </c>
      <c r="O1255" s="10">
        <f t="shared" si="658"/>
        <v>17679384448.428574</v>
      </c>
      <c r="P1255" s="10">
        <f t="shared" si="659"/>
        <v>660657123.14285719</v>
      </c>
      <c r="Q1255" s="10">
        <f t="shared" si="660"/>
        <v>660657123.14285719</v>
      </c>
      <c r="R1255" s="10">
        <f t="shared" si="661"/>
        <v>660657123.14285719</v>
      </c>
      <c r="S1255" s="10">
        <f t="shared" si="662"/>
        <v>660657123.14285719</v>
      </c>
      <c r="T1255" s="10">
        <f t="shared" si="663"/>
        <v>660657123.14285719</v>
      </c>
      <c r="U1255" s="10">
        <f t="shared" si="664"/>
        <v>660657123.14285719</v>
      </c>
      <c r="V1255" s="10">
        <f t="shared" si="665"/>
        <v>35526428571.428566</v>
      </c>
      <c r="W1255" s="10">
        <f t="shared" si="666"/>
        <v>35526428571.428566</v>
      </c>
      <c r="X1255" s="10">
        <f t="shared" si="667"/>
        <v>35526428571.428566</v>
      </c>
      <c r="Y1255" s="27"/>
      <c r="Z1255" s="32"/>
    </row>
    <row r="1256" spans="1:26" outlineLevel="1" x14ac:dyDescent="0.3">
      <c r="A1256" t="s">
        <v>164</v>
      </c>
      <c r="B1256" t="s">
        <v>83</v>
      </c>
      <c r="C1256" s="6" t="s">
        <v>158</v>
      </c>
      <c r="D1256" s="10">
        <f t="shared" si="647"/>
        <v>192640559.71428573</v>
      </c>
      <c r="E1256" s="10">
        <f t="shared" si="648"/>
        <v>558754921.28571427</v>
      </c>
      <c r="F1256" s="10">
        <f t="shared" si="649"/>
        <v>0</v>
      </c>
      <c r="G1256" s="10">
        <f t="shared" si="650"/>
        <v>3141342857.1428571</v>
      </c>
      <c r="H1256" s="10">
        <f t="shared" si="651"/>
        <v>7739118804.7142859</v>
      </c>
      <c r="I1256" s="10">
        <f t="shared" si="652"/>
        <v>7739118804.7142859</v>
      </c>
      <c r="J1256" s="10">
        <f t="shared" si="653"/>
        <v>436303271.14285707</v>
      </c>
      <c r="K1256" s="10">
        <f t="shared" si="654"/>
        <v>2384251173.4285717</v>
      </c>
      <c r="L1256" s="10">
        <f t="shared" si="655"/>
        <v>0</v>
      </c>
      <c r="M1256" s="10">
        <f t="shared" si="656"/>
        <v>14868302698.285717</v>
      </c>
      <c r="N1256" s="10">
        <f t="shared" si="657"/>
        <v>14868302698.285717</v>
      </c>
      <c r="O1256" s="10">
        <f t="shared" si="658"/>
        <v>14868302698.285717</v>
      </c>
      <c r="P1256" s="10">
        <f t="shared" si="659"/>
        <v>611707792.00000012</v>
      </c>
      <c r="Q1256" s="10">
        <f t="shared" si="660"/>
        <v>611707792.00000012</v>
      </c>
      <c r="R1256" s="10">
        <f t="shared" si="661"/>
        <v>611707792.00000012</v>
      </c>
      <c r="S1256" s="10">
        <f t="shared" si="662"/>
        <v>611707792.00000012</v>
      </c>
      <c r="T1256" s="10">
        <f t="shared" si="663"/>
        <v>611707792.00000012</v>
      </c>
      <c r="U1256" s="10">
        <f t="shared" si="664"/>
        <v>611707792.00000012</v>
      </c>
      <c r="V1256" s="10">
        <f t="shared" si="665"/>
        <v>35295857142.857147</v>
      </c>
      <c r="W1256" s="10">
        <f t="shared" si="666"/>
        <v>35295857142.857147</v>
      </c>
      <c r="X1256" s="10">
        <f t="shared" si="667"/>
        <v>35295857142.857147</v>
      </c>
      <c r="Y1256" s="27"/>
      <c r="Z1256" s="32"/>
    </row>
    <row r="1257" spans="1:26" outlineLevel="1" x14ac:dyDescent="0.3">
      <c r="A1257" t="s">
        <v>164</v>
      </c>
      <c r="B1257" t="s">
        <v>84</v>
      </c>
      <c r="C1257" s="6" t="s">
        <v>159</v>
      </c>
      <c r="D1257" s="10">
        <f t="shared" si="647"/>
        <v>169427485.85714287</v>
      </c>
      <c r="E1257" s="10">
        <f t="shared" si="648"/>
        <v>333716056.71428567</v>
      </c>
      <c r="F1257" s="10">
        <f t="shared" si="649"/>
        <v>0</v>
      </c>
      <c r="G1257" s="10">
        <f t="shared" si="650"/>
        <v>2577842857.1428571</v>
      </c>
      <c r="H1257" s="10">
        <f t="shared" si="651"/>
        <v>7556727886.000001</v>
      </c>
      <c r="I1257" s="10">
        <f t="shared" si="652"/>
        <v>7556727886.000001</v>
      </c>
      <c r="J1257" s="10">
        <f t="shared" si="653"/>
        <v>341055029.14285707</v>
      </c>
      <c r="K1257" s="10">
        <f t="shared" si="654"/>
        <v>2078555586.1428576</v>
      </c>
      <c r="L1257" s="10">
        <f t="shared" si="655"/>
        <v>0</v>
      </c>
      <c r="M1257" s="10">
        <f t="shared" si="656"/>
        <v>12263303670.428572</v>
      </c>
      <c r="N1257" s="10">
        <f t="shared" si="657"/>
        <v>12263303670.428572</v>
      </c>
      <c r="O1257" s="10">
        <f t="shared" si="658"/>
        <v>12263303670.428572</v>
      </c>
      <c r="P1257" s="10">
        <f t="shared" si="659"/>
        <v>575493106</v>
      </c>
      <c r="Q1257" s="10">
        <f t="shared" si="660"/>
        <v>575493106</v>
      </c>
      <c r="R1257" s="10">
        <f t="shared" si="661"/>
        <v>575493106</v>
      </c>
      <c r="S1257" s="10">
        <f t="shared" si="662"/>
        <v>575493106</v>
      </c>
      <c r="T1257" s="10">
        <f t="shared" si="663"/>
        <v>575493106</v>
      </c>
      <c r="U1257" s="10">
        <f t="shared" si="664"/>
        <v>575493106</v>
      </c>
      <c r="V1257" s="10">
        <f t="shared" si="665"/>
        <v>34986142857.142853</v>
      </c>
      <c r="W1257" s="10">
        <f t="shared" si="666"/>
        <v>34986142857.142853</v>
      </c>
      <c r="X1257" s="10">
        <f t="shared" si="667"/>
        <v>34986142857.142853</v>
      </c>
      <c r="Y1257" s="27"/>
      <c r="Z1257" s="32"/>
    </row>
    <row r="1258" spans="1:26" outlineLevel="1" x14ac:dyDescent="0.3">
      <c r="A1258" t="s">
        <v>164</v>
      </c>
      <c r="B1258" t="s">
        <v>85</v>
      </c>
      <c r="C1258" s="6" t="s">
        <v>160</v>
      </c>
      <c r="D1258" s="10">
        <f t="shared" si="647"/>
        <v>127423939</v>
      </c>
      <c r="E1258" s="10">
        <f t="shared" si="648"/>
        <v>162027979.42857143</v>
      </c>
      <c r="F1258" s="10">
        <f t="shared" si="649"/>
        <v>0</v>
      </c>
      <c r="G1258" s="10">
        <f t="shared" si="650"/>
        <v>1554128571.4285712</v>
      </c>
      <c r="H1258" s="10">
        <f t="shared" si="651"/>
        <v>5976305224.4285717</v>
      </c>
      <c r="I1258" s="10">
        <f t="shared" si="652"/>
        <v>5976305224.4285717</v>
      </c>
      <c r="J1258" s="10">
        <f t="shared" si="653"/>
        <v>310097563.71428573</v>
      </c>
      <c r="K1258" s="10">
        <f t="shared" si="654"/>
        <v>1815606981.8571429</v>
      </c>
      <c r="L1258" s="10">
        <f t="shared" si="655"/>
        <v>0</v>
      </c>
      <c r="M1258" s="10">
        <f t="shared" si="656"/>
        <v>10464181168.714287</v>
      </c>
      <c r="N1258" s="10">
        <f t="shared" si="657"/>
        <v>10464181168.714287</v>
      </c>
      <c r="O1258" s="10">
        <f t="shared" si="658"/>
        <v>10464181168.714287</v>
      </c>
      <c r="P1258" s="10">
        <f t="shared" si="659"/>
        <v>545911335.71428573</v>
      </c>
      <c r="Q1258" s="10">
        <f t="shared" si="660"/>
        <v>545911335.71428573</v>
      </c>
      <c r="R1258" s="10">
        <f t="shared" si="661"/>
        <v>545911335.71428573</v>
      </c>
      <c r="S1258" s="10">
        <f t="shared" si="662"/>
        <v>545911335.71428573</v>
      </c>
      <c r="T1258" s="10">
        <f t="shared" si="663"/>
        <v>545911335.71428573</v>
      </c>
      <c r="U1258" s="10">
        <f t="shared" si="664"/>
        <v>545911335.71428573</v>
      </c>
      <c r="V1258" s="10">
        <f t="shared" si="665"/>
        <v>34672428571.428574</v>
      </c>
      <c r="W1258" s="10">
        <f t="shared" si="666"/>
        <v>34672428571.428574</v>
      </c>
      <c r="X1258" s="10">
        <f t="shared" si="667"/>
        <v>34672428571.428574</v>
      </c>
      <c r="Y1258" s="27"/>
      <c r="Z1258" s="32"/>
    </row>
    <row r="1259" spans="1:26" outlineLevel="1" x14ac:dyDescent="0.3">
      <c r="A1259" t="s">
        <v>164</v>
      </c>
      <c r="B1259" t="s">
        <v>86</v>
      </c>
      <c r="C1259" s="6" t="s">
        <v>161</v>
      </c>
      <c r="D1259" s="10">
        <f t="shared" si="647"/>
        <v>113142037.57142857</v>
      </c>
      <c r="E1259" s="10">
        <f t="shared" si="648"/>
        <v>88431500.142857149</v>
      </c>
      <c r="F1259" s="10">
        <f t="shared" si="649"/>
        <v>0</v>
      </c>
      <c r="G1259" s="10">
        <f t="shared" si="650"/>
        <v>827285156.28571427</v>
      </c>
      <c r="H1259" s="10">
        <f t="shared" si="651"/>
        <v>4777084163.1428576</v>
      </c>
      <c r="I1259" s="10">
        <f t="shared" si="652"/>
        <v>4777084163.1428576</v>
      </c>
      <c r="J1259" s="10">
        <f t="shared" si="653"/>
        <v>325656394.85714287</v>
      </c>
      <c r="K1259" s="10">
        <f t="shared" si="654"/>
        <v>1578903289.2857141</v>
      </c>
      <c r="L1259" s="10">
        <f t="shared" si="655"/>
        <v>0</v>
      </c>
      <c r="M1259" s="10">
        <f t="shared" si="656"/>
        <v>9211897458.7142868</v>
      </c>
      <c r="N1259" s="10">
        <f t="shared" si="657"/>
        <v>9211897458.7142868</v>
      </c>
      <c r="O1259" s="10">
        <f t="shared" si="658"/>
        <v>9211897458.7142868</v>
      </c>
      <c r="P1259" s="10">
        <f t="shared" si="659"/>
        <v>368010787.85714281</v>
      </c>
      <c r="Q1259" s="10">
        <f t="shared" si="660"/>
        <v>368010787.85714281</v>
      </c>
      <c r="R1259" s="10">
        <f t="shared" si="661"/>
        <v>368010787.85714281</v>
      </c>
      <c r="S1259" s="10">
        <f t="shared" si="662"/>
        <v>368010787.85714281</v>
      </c>
      <c r="T1259" s="10">
        <f t="shared" si="663"/>
        <v>368010787.85714281</v>
      </c>
      <c r="U1259" s="10">
        <f t="shared" si="664"/>
        <v>368010787.85714281</v>
      </c>
      <c r="V1259" s="10">
        <f t="shared" si="665"/>
        <v>34502857142.85714</v>
      </c>
      <c r="W1259" s="10">
        <f t="shared" si="666"/>
        <v>34502857142.85714</v>
      </c>
      <c r="X1259" s="10">
        <f t="shared" si="667"/>
        <v>34502857142.85714</v>
      </c>
      <c r="Y1259" s="27"/>
      <c r="Z1259" s="32"/>
    </row>
    <row r="1260" spans="1:26" x14ac:dyDescent="0.3">
      <c r="E1260" s="27"/>
      <c r="F1260" s="27"/>
      <c r="G1260" s="27"/>
      <c r="H1260" s="27"/>
      <c r="I1260" s="27"/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7"/>
      <c r="X1260" s="27"/>
      <c r="Y1260" s="27"/>
    </row>
    <row r="1261" spans="1:26" x14ac:dyDescent="0.3">
      <c r="A1261" s="66" t="s">
        <v>265</v>
      </c>
      <c r="B1261" s="66"/>
      <c r="C1261" s="66"/>
      <c r="D1261" s="66"/>
      <c r="E1261" s="66"/>
      <c r="F1261" s="66"/>
      <c r="G1261" s="66"/>
      <c r="H1261" s="66"/>
      <c r="I1261" s="66"/>
      <c r="J1261" s="66"/>
      <c r="K1261" s="66"/>
      <c r="L1261" s="66"/>
      <c r="M1261" s="66"/>
      <c r="N1261" s="66"/>
      <c r="O1261" s="66"/>
      <c r="P1261" s="66"/>
      <c r="Q1261" s="66"/>
      <c r="R1261" s="66"/>
      <c r="S1261" s="66"/>
      <c r="T1261" s="66"/>
      <c r="U1261" s="66"/>
      <c r="V1261" s="66"/>
      <c r="W1261" s="66"/>
      <c r="X1261" s="66"/>
      <c r="Y1261" s="66"/>
    </row>
    <row r="1262" spans="1:26" x14ac:dyDescent="0.3">
      <c r="E1262" t="s">
        <v>116</v>
      </c>
      <c r="F1262" t="s">
        <v>116</v>
      </c>
      <c r="G1262" t="s">
        <v>116</v>
      </c>
      <c r="H1262" t="s">
        <v>116</v>
      </c>
      <c r="I1262" t="s">
        <v>116</v>
      </c>
      <c r="J1262" t="s">
        <v>116</v>
      </c>
      <c r="K1262" t="s">
        <v>117</v>
      </c>
      <c r="L1262" t="s">
        <v>117</v>
      </c>
      <c r="M1262" t="s">
        <v>117</v>
      </c>
      <c r="N1262" t="s">
        <v>117</v>
      </c>
      <c r="O1262" t="s">
        <v>117</v>
      </c>
      <c r="P1262" t="s">
        <v>117</v>
      </c>
      <c r="Q1262" t="s">
        <v>118</v>
      </c>
      <c r="R1262" t="s">
        <v>118</v>
      </c>
      <c r="S1262" t="s">
        <v>118</v>
      </c>
      <c r="T1262" t="s">
        <v>118</v>
      </c>
      <c r="U1262" t="s">
        <v>118</v>
      </c>
      <c r="V1262" t="s">
        <v>118</v>
      </c>
      <c r="W1262" t="s">
        <v>119</v>
      </c>
      <c r="X1262" t="s">
        <v>119</v>
      </c>
      <c r="Y1262" s="21" t="s">
        <v>119</v>
      </c>
    </row>
    <row r="1263" spans="1:26" ht="28.8" x14ac:dyDescent="0.3">
      <c r="E1263" s="4" t="s">
        <v>123</v>
      </c>
      <c r="F1263" s="4" t="s">
        <v>124</v>
      </c>
      <c r="G1263" s="4" t="s">
        <v>125</v>
      </c>
      <c r="H1263" s="4" t="s">
        <v>126</v>
      </c>
      <c r="I1263" s="4" t="s">
        <v>127</v>
      </c>
      <c r="J1263" s="4" t="s">
        <v>128</v>
      </c>
      <c r="K1263" s="4" t="s">
        <v>123</v>
      </c>
      <c r="L1263" s="4" t="s">
        <v>124</v>
      </c>
      <c r="M1263" s="4" t="s">
        <v>125</v>
      </c>
      <c r="N1263" s="4" t="s">
        <v>126</v>
      </c>
      <c r="O1263" s="4" t="s">
        <v>127</v>
      </c>
      <c r="P1263" s="4" t="s">
        <v>128</v>
      </c>
      <c r="Q1263" s="4" t="s">
        <v>129</v>
      </c>
      <c r="R1263" s="4" t="s">
        <v>130</v>
      </c>
      <c r="S1263" s="4" t="s">
        <v>131</v>
      </c>
      <c r="T1263" s="4" t="s">
        <v>132</v>
      </c>
      <c r="U1263" s="4" t="s">
        <v>133</v>
      </c>
      <c r="V1263" s="4" t="s">
        <v>134</v>
      </c>
      <c r="W1263" s="4" t="s">
        <v>119</v>
      </c>
      <c r="X1263" s="4" t="s">
        <v>135</v>
      </c>
      <c r="Y1263" s="25" t="s">
        <v>136</v>
      </c>
    </row>
    <row r="1264" spans="1:26" s="44" customFormat="1" x14ac:dyDescent="0.3">
      <c r="E1264" s="45">
        <f>SUM(D1164:D1259)</f>
        <v>60489175125.000015</v>
      </c>
      <c r="F1264" s="45">
        <f t="shared" ref="F1264:Y1264" si="668">SUM(E1164:E1259)</f>
        <v>118415395091.71426</v>
      </c>
      <c r="G1264" s="45">
        <f t="shared" si="668"/>
        <v>0</v>
      </c>
      <c r="H1264" s="45">
        <f t="shared" si="668"/>
        <v>165885128613.85712</v>
      </c>
      <c r="I1264" s="45">
        <f t="shared" si="668"/>
        <v>809261015455.1427</v>
      </c>
      <c r="J1264" s="45">
        <f t="shared" si="668"/>
        <v>809261015455.1427</v>
      </c>
      <c r="K1264" s="45">
        <f t="shared" si="668"/>
        <v>162033678110.99988</v>
      </c>
      <c r="L1264" s="45">
        <f t="shared" si="668"/>
        <v>589232679018.71448</v>
      </c>
      <c r="M1264" s="45">
        <f t="shared" si="668"/>
        <v>0</v>
      </c>
      <c r="N1264" s="45">
        <f t="shared" si="668"/>
        <v>2440539014298.8569</v>
      </c>
      <c r="O1264" s="45">
        <f t="shared" si="668"/>
        <v>2440539014298.8569</v>
      </c>
      <c r="P1264" s="45">
        <f t="shared" si="668"/>
        <v>2440539014298.8569</v>
      </c>
      <c r="Q1264" s="45">
        <f t="shared" si="668"/>
        <v>77697909589.714264</v>
      </c>
      <c r="R1264" s="45">
        <f t="shared" si="668"/>
        <v>77697909589.714264</v>
      </c>
      <c r="S1264" s="45">
        <f t="shared" si="668"/>
        <v>77697909589.714264</v>
      </c>
      <c r="T1264" s="45">
        <f t="shared" si="668"/>
        <v>77697909589.714264</v>
      </c>
      <c r="U1264" s="45">
        <f t="shared" si="668"/>
        <v>77697909589.714264</v>
      </c>
      <c r="V1264" s="45">
        <f t="shared" si="668"/>
        <v>77697909589.714264</v>
      </c>
      <c r="W1264" s="45">
        <f t="shared" si="668"/>
        <v>4998485857142.8584</v>
      </c>
      <c r="X1264" s="45">
        <f t="shared" si="668"/>
        <v>4998485857142.8584</v>
      </c>
      <c r="Y1264" s="45">
        <f t="shared" si="668"/>
        <v>4998485857142.8584</v>
      </c>
    </row>
    <row r="1266" spans="1:26" x14ac:dyDescent="0.3">
      <c r="A1266" s="66" t="s">
        <v>165</v>
      </c>
      <c r="B1266" s="66"/>
      <c r="C1266" s="66"/>
      <c r="D1266" s="66"/>
      <c r="E1266" s="66"/>
      <c r="F1266" s="66"/>
      <c r="G1266" s="66"/>
      <c r="H1266" s="66"/>
      <c r="I1266" s="66"/>
      <c r="J1266" s="66"/>
      <c r="K1266" s="66"/>
      <c r="L1266" s="66"/>
      <c r="M1266" s="66"/>
      <c r="N1266" s="66"/>
      <c r="O1266" s="66"/>
      <c r="P1266" s="66"/>
      <c r="Q1266" s="66"/>
      <c r="R1266" s="66"/>
      <c r="S1266" s="66"/>
      <c r="T1266" s="66"/>
      <c r="U1266" s="66"/>
      <c r="V1266" s="66"/>
      <c r="W1266" s="66"/>
      <c r="X1266" s="66"/>
      <c r="Y1266" s="66"/>
    </row>
    <row r="1267" spans="1:26" outlineLevel="1" x14ac:dyDescent="0.3">
      <c r="D1267" t="s">
        <v>116</v>
      </c>
      <c r="E1267" t="s">
        <v>116</v>
      </c>
      <c r="F1267" t="s">
        <v>116</v>
      </c>
      <c r="G1267" t="s">
        <v>116</v>
      </c>
      <c r="H1267" t="s">
        <v>116</v>
      </c>
      <c r="I1267" t="s">
        <v>116</v>
      </c>
      <c r="J1267" t="s">
        <v>117</v>
      </c>
      <c r="K1267" t="s">
        <v>117</v>
      </c>
      <c r="L1267" t="s">
        <v>117</v>
      </c>
      <c r="M1267" t="s">
        <v>117</v>
      </c>
      <c r="N1267" t="s">
        <v>117</v>
      </c>
      <c r="O1267" t="s">
        <v>117</v>
      </c>
      <c r="P1267" t="s">
        <v>118</v>
      </c>
      <c r="Q1267" t="s">
        <v>118</v>
      </c>
      <c r="R1267" t="s">
        <v>118</v>
      </c>
      <c r="S1267" t="s">
        <v>118</v>
      </c>
      <c r="T1267" t="s">
        <v>118</v>
      </c>
      <c r="U1267" t="s">
        <v>118</v>
      </c>
      <c r="V1267" t="s">
        <v>119</v>
      </c>
      <c r="W1267" t="s">
        <v>119</v>
      </c>
      <c r="X1267" t="s">
        <v>119</v>
      </c>
    </row>
    <row r="1268" spans="1:26" ht="28.8" outlineLevel="1" x14ac:dyDescent="0.3">
      <c r="A1268" s="4" t="s">
        <v>120</v>
      </c>
      <c r="B1268" s="65" t="s">
        <v>121</v>
      </c>
      <c r="C1268" s="65"/>
      <c r="D1268" s="4" t="s">
        <v>123</v>
      </c>
      <c r="E1268" s="4" t="s">
        <v>124</v>
      </c>
      <c r="F1268" s="4" t="s">
        <v>125</v>
      </c>
      <c r="G1268" s="4" t="s">
        <v>126</v>
      </c>
      <c r="H1268" s="4" t="s">
        <v>127</v>
      </c>
      <c r="I1268" s="4" t="s">
        <v>128</v>
      </c>
      <c r="J1268" s="4" t="s">
        <v>123</v>
      </c>
      <c r="K1268" s="4" t="s">
        <v>124</v>
      </c>
      <c r="L1268" s="4" t="s">
        <v>125</v>
      </c>
      <c r="M1268" s="4" t="s">
        <v>126</v>
      </c>
      <c r="N1268" s="4" t="s">
        <v>127</v>
      </c>
      <c r="O1268" s="4" t="s">
        <v>128</v>
      </c>
      <c r="P1268" s="4" t="s">
        <v>129</v>
      </c>
      <c r="Q1268" s="4" t="s">
        <v>130</v>
      </c>
      <c r="R1268" s="4" t="s">
        <v>131</v>
      </c>
      <c r="S1268" s="4" t="s">
        <v>132</v>
      </c>
      <c r="T1268" s="4" t="s">
        <v>133</v>
      </c>
      <c r="U1268" s="4" t="s">
        <v>134</v>
      </c>
      <c r="V1268" s="4" t="s">
        <v>119</v>
      </c>
      <c r="W1268" s="4" t="s">
        <v>135</v>
      </c>
      <c r="X1268" s="4" t="s">
        <v>136</v>
      </c>
      <c r="Y1268" s="20"/>
    </row>
    <row r="1269" spans="1:26" outlineLevel="1" x14ac:dyDescent="0.3">
      <c r="A1269" t="s">
        <v>137</v>
      </c>
      <c r="B1269" t="s">
        <v>63</v>
      </c>
      <c r="C1269" s="6" t="s">
        <v>138</v>
      </c>
      <c r="D1269" s="10">
        <f>IFERROR(D1164/E$1264/INDEX('Category Mapping'!$B$42:$B$45,MATCH($A1269,'Category Mapping'!$A$42:$A$45,0),1),0)</f>
        <v>2.3598469346791244E-4</v>
      </c>
      <c r="E1269" s="10">
        <f>IFERROR(E1164/F$1264/INDEX('Category Mapping'!$B$42:$B$45,MATCH($A1269,'Category Mapping'!$A$42:$A$45,0),1),0)</f>
        <v>1.6934794294185272E-7</v>
      </c>
      <c r="F1269" s="10">
        <f>IFERROR(F1164/G$1264/INDEX('Category Mapping'!$B$42:$B$45,MATCH($A1269,'Category Mapping'!$A$42:$A$45,0),1),0)</f>
        <v>0</v>
      </c>
      <c r="G1269" s="10">
        <f>IFERROR(G1164/H$1264/INDEX('Category Mapping'!$B$42:$B$45,MATCH($A1269,'Category Mapping'!$A$42:$A$45,0),1),0)</f>
        <v>6.2102808117810987E-5</v>
      </c>
      <c r="H1269" s="10">
        <f>IFERROR(H1164/I$1264/INDEX('Category Mapping'!$B$42:$B$45,MATCH($A1269,'Category Mapping'!$A$42:$A$45,0),1),0)</f>
        <v>7.8969953003841107E-5</v>
      </c>
      <c r="I1269" s="10">
        <f>IFERROR(I1164/J$1264/INDEX('Category Mapping'!$B$42:$B$45,MATCH($A1269,'Category Mapping'!$A$42:$A$45,0),1),0)</f>
        <v>7.8969953003841107E-5</v>
      </c>
      <c r="J1269" s="10">
        <f>IFERROR(J1164/K$1264/INDEX('Category Mapping'!$B$42:$B$45,MATCH($A1269,'Category Mapping'!$A$42:$A$45,0),1),0)</f>
        <v>1.7231679074540765E-4</v>
      </c>
      <c r="K1269" s="10">
        <f>IFERROR(K1164/L$1264/INDEX('Category Mapping'!$B$42:$B$45,MATCH($A1269,'Category Mapping'!$A$42:$A$45,0),1),0)</f>
        <v>9.2071441915442931E-8</v>
      </c>
      <c r="L1269" s="10">
        <f>IFERROR(L1164/M$1264/INDEX('Category Mapping'!$B$42:$B$45,MATCH($A1269,'Category Mapping'!$A$42:$A$45,0),1),0)</f>
        <v>0</v>
      </c>
      <c r="M1269" s="10">
        <f>IFERROR(M1164/N$1264/INDEX('Category Mapping'!$B$42:$B$45,MATCH($A1269,'Category Mapping'!$A$42:$A$45,0),1),0)</f>
        <v>5.4260108128280417E-5</v>
      </c>
      <c r="N1269" s="10">
        <f>IFERROR(N1164/O$1264/INDEX('Category Mapping'!$B$42:$B$45,MATCH($A1269,'Category Mapping'!$A$42:$A$45,0),1),0)</f>
        <v>5.4260108128280417E-5</v>
      </c>
      <c r="O1269" s="10">
        <f>IFERROR(O1164/P$1264/INDEX('Category Mapping'!$B$42:$B$45,MATCH($A1269,'Category Mapping'!$A$42:$A$45,0),1),0)</f>
        <v>5.4260108128280417E-5</v>
      </c>
      <c r="P1269" s="10">
        <f>IFERROR(P1164/Q$1264/INDEX('Category Mapping'!$B$42:$B$45,MATCH($A1269,'Category Mapping'!$A$42:$A$45,0),1),0)</f>
        <v>5.5684609886809198E-5</v>
      </c>
      <c r="Q1269" s="10">
        <f>IFERROR(Q1164/R$1264/INDEX('Category Mapping'!$B$42:$B$45,MATCH($A1269,'Category Mapping'!$A$42:$A$45,0),1),0)</f>
        <v>5.5684609886809198E-5</v>
      </c>
      <c r="R1269" s="10">
        <f>IFERROR(R1164/S$1264/INDEX('Category Mapping'!$B$42:$B$45,MATCH($A1269,'Category Mapping'!$A$42:$A$45,0),1),0)</f>
        <v>5.5684609886809198E-5</v>
      </c>
      <c r="S1269" s="10">
        <f>IFERROR(S1164/T$1264/INDEX('Category Mapping'!$B$42:$B$45,MATCH($A1269,'Category Mapping'!$A$42:$A$45,0),1),0)</f>
        <v>5.5684609886809198E-5</v>
      </c>
      <c r="T1269" s="10">
        <f>IFERROR(T1164/U$1264/INDEX('Category Mapping'!$B$42:$B$45,MATCH($A1269,'Category Mapping'!$A$42:$A$45,0),1),0)</f>
        <v>5.5684609886809198E-5</v>
      </c>
      <c r="U1269" s="10">
        <f>IFERROR(U1164/V$1264/INDEX('Category Mapping'!$B$42:$B$45,MATCH($A1269,'Category Mapping'!$A$42:$A$45,0),1),0)</f>
        <v>5.5684609886809198E-5</v>
      </c>
      <c r="V1269" s="10">
        <f>IFERROR(V1164/W$1264/INDEX('Category Mapping'!$B$42:$B$45,MATCH($A1269,'Category Mapping'!$A$42:$A$45,0),1),0)</f>
        <v>1.1235640568220452E-4</v>
      </c>
      <c r="W1269" s="10">
        <f>IFERROR(W1164/X$1264/INDEX('Category Mapping'!$B$42:$B$45,MATCH($A1269,'Category Mapping'!$A$42:$A$45,0),1),0)</f>
        <v>1.1235640568220452E-4</v>
      </c>
      <c r="X1269" s="10">
        <f>IFERROR(X1164/Y$1264/INDEX('Category Mapping'!$B$42:$B$45,MATCH($A1269,'Category Mapping'!$A$42:$A$45,0),1),0)</f>
        <v>1.1235640568220452E-4</v>
      </c>
      <c r="Y1269" s="27"/>
      <c r="Z1269" s="32"/>
    </row>
    <row r="1270" spans="1:26" outlineLevel="1" x14ac:dyDescent="0.3">
      <c r="A1270" t="s">
        <v>137</v>
      </c>
      <c r="B1270" t="s">
        <v>64</v>
      </c>
      <c r="C1270" s="6" t="s">
        <v>139</v>
      </c>
      <c r="D1270" s="10">
        <f>IFERROR(D1165/E$1264/INDEX('Category Mapping'!$B$42:$B$45,MATCH($A1270,'Category Mapping'!$A$42:$A$45,0),1),0)</f>
        <v>2.4094190974983178E-4</v>
      </c>
      <c r="E1270" s="10">
        <f>IFERROR(E1165/F$1264/INDEX('Category Mapping'!$B$42:$B$45,MATCH($A1270,'Category Mapping'!$A$42:$A$45,0),1),0)</f>
        <v>1.7056250308359976E-7</v>
      </c>
      <c r="F1270" s="10">
        <f>IFERROR(F1165/G$1264/INDEX('Category Mapping'!$B$42:$B$45,MATCH($A1270,'Category Mapping'!$A$42:$A$45,0),1),0)</f>
        <v>0</v>
      </c>
      <c r="G1270" s="10">
        <f>IFERROR(G1165/H$1264/INDEX('Category Mapping'!$B$42:$B$45,MATCH($A1270,'Category Mapping'!$A$42:$A$45,0),1),0)</f>
        <v>5.6499481741096689E-5</v>
      </c>
      <c r="H1270" s="10">
        <f>IFERROR(H1165/I$1264/INDEX('Category Mapping'!$B$42:$B$45,MATCH($A1270,'Category Mapping'!$A$42:$A$45,0),1),0)</f>
        <v>5.8021808072194647E-5</v>
      </c>
      <c r="I1270" s="10">
        <f>IFERROR(I1165/J$1264/INDEX('Category Mapping'!$B$42:$B$45,MATCH($A1270,'Category Mapping'!$A$42:$A$45,0),1),0)</f>
        <v>5.8021808072194647E-5</v>
      </c>
      <c r="J1270" s="10">
        <f>IFERROR(J1165/K$1264/INDEX('Category Mapping'!$B$42:$B$45,MATCH($A1270,'Category Mapping'!$A$42:$A$45,0),1),0)</f>
        <v>1.5781420383017259E-4</v>
      </c>
      <c r="K1270" s="10">
        <f>IFERROR(K1165/L$1264/INDEX('Category Mapping'!$B$42:$B$45,MATCH($A1270,'Category Mapping'!$A$42:$A$45,0),1),0)</f>
        <v>8.7405822013193052E-8</v>
      </c>
      <c r="L1270" s="10">
        <f>IFERROR(L1165/M$1264/INDEX('Category Mapping'!$B$42:$B$45,MATCH($A1270,'Category Mapping'!$A$42:$A$45,0),1),0)</f>
        <v>0</v>
      </c>
      <c r="M1270" s="10">
        <f>IFERROR(M1165/N$1264/INDEX('Category Mapping'!$B$42:$B$45,MATCH($A1270,'Category Mapping'!$A$42:$A$45,0),1),0)</f>
        <v>5.2290515695769964E-5</v>
      </c>
      <c r="N1270" s="10">
        <f>IFERROR(N1165/O$1264/INDEX('Category Mapping'!$B$42:$B$45,MATCH($A1270,'Category Mapping'!$A$42:$A$45,0),1),0)</f>
        <v>5.2290515695769964E-5</v>
      </c>
      <c r="O1270" s="10">
        <f>IFERROR(O1165/P$1264/INDEX('Category Mapping'!$B$42:$B$45,MATCH($A1270,'Category Mapping'!$A$42:$A$45,0),1),0)</f>
        <v>5.2290515695769964E-5</v>
      </c>
      <c r="P1270" s="10">
        <f>IFERROR(P1165/Q$1264/INDEX('Category Mapping'!$B$42:$B$45,MATCH($A1270,'Category Mapping'!$A$42:$A$45,0),1),0)</f>
        <v>5.458743015728071E-5</v>
      </c>
      <c r="Q1270" s="10">
        <f>IFERROR(Q1165/R$1264/INDEX('Category Mapping'!$B$42:$B$45,MATCH($A1270,'Category Mapping'!$A$42:$A$45,0),1),0)</f>
        <v>5.458743015728071E-5</v>
      </c>
      <c r="R1270" s="10">
        <f>IFERROR(R1165/S$1264/INDEX('Category Mapping'!$B$42:$B$45,MATCH($A1270,'Category Mapping'!$A$42:$A$45,0),1),0)</f>
        <v>5.458743015728071E-5</v>
      </c>
      <c r="S1270" s="10">
        <f>IFERROR(S1165/T$1264/INDEX('Category Mapping'!$B$42:$B$45,MATCH($A1270,'Category Mapping'!$A$42:$A$45,0),1),0)</f>
        <v>5.458743015728071E-5</v>
      </c>
      <c r="T1270" s="10">
        <f>IFERROR(T1165/U$1264/INDEX('Category Mapping'!$B$42:$B$45,MATCH($A1270,'Category Mapping'!$A$42:$A$45,0),1),0)</f>
        <v>5.458743015728071E-5</v>
      </c>
      <c r="U1270" s="10">
        <f>IFERROR(U1165/V$1264/INDEX('Category Mapping'!$B$42:$B$45,MATCH($A1270,'Category Mapping'!$A$42:$A$45,0),1),0)</f>
        <v>5.458743015728071E-5</v>
      </c>
      <c r="V1270" s="10">
        <f>IFERROR(V1165/W$1264/INDEX('Category Mapping'!$B$42:$B$45,MATCH($A1270,'Category Mapping'!$A$42:$A$45,0),1),0)</f>
        <v>1.1220802741569272E-4</v>
      </c>
      <c r="W1270" s="10">
        <f>IFERROR(W1165/X$1264/INDEX('Category Mapping'!$B$42:$B$45,MATCH($A1270,'Category Mapping'!$A$42:$A$45,0),1),0)</f>
        <v>1.1220802741569272E-4</v>
      </c>
      <c r="X1270" s="10">
        <f>IFERROR(X1165/Y$1264/INDEX('Category Mapping'!$B$42:$B$45,MATCH($A1270,'Category Mapping'!$A$42:$A$45,0),1),0)</f>
        <v>1.1220802741569272E-4</v>
      </c>
      <c r="Y1270" s="27"/>
      <c r="Z1270" s="32"/>
    </row>
    <row r="1271" spans="1:26" outlineLevel="1" x14ac:dyDescent="0.3">
      <c r="A1271" t="s">
        <v>137</v>
      </c>
      <c r="B1271" t="s">
        <v>65</v>
      </c>
      <c r="C1271" s="6" t="s">
        <v>140</v>
      </c>
      <c r="D1271" s="10">
        <f>IFERROR(D1166/E$1264/INDEX('Category Mapping'!$B$42:$B$45,MATCH($A1271,'Category Mapping'!$A$42:$A$45,0),1),0)</f>
        <v>2.4232411372928194E-4</v>
      </c>
      <c r="E1271" s="10">
        <f>IFERROR(E1166/F$1264/INDEX('Category Mapping'!$B$42:$B$45,MATCH($A1271,'Category Mapping'!$A$42:$A$45,0),1),0)</f>
        <v>1.7147646685383887E-7</v>
      </c>
      <c r="F1271" s="10">
        <f>IFERROR(F1166/G$1264/INDEX('Category Mapping'!$B$42:$B$45,MATCH($A1271,'Category Mapping'!$A$42:$A$45,0),1),0)</f>
        <v>0</v>
      </c>
      <c r="G1271" s="10">
        <f>IFERROR(G1166/H$1264/INDEX('Category Mapping'!$B$42:$B$45,MATCH($A1271,'Category Mapping'!$A$42:$A$45,0),1),0)</f>
        <v>5.5717060675795865E-5</v>
      </c>
      <c r="H1271" s="10">
        <f>IFERROR(H1166/I$1264/INDEX('Category Mapping'!$B$42:$B$45,MATCH($A1271,'Category Mapping'!$A$42:$A$45,0),1),0)</f>
        <v>4.6414662637285029E-5</v>
      </c>
      <c r="I1271" s="10">
        <f>IFERROR(I1166/J$1264/INDEX('Category Mapping'!$B$42:$B$45,MATCH($A1271,'Category Mapping'!$A$42:$A$45,0),1),0)</f>
        <v>4.6414662637285029E-5</v>
      </c>
      <c r="J1271" s="10">
        <f>IFERROR(J1166/K$1264/INDEX('Category Mapping'!$B$42:$B$45,MATCH($A1271,'Category Mapping'!$A$42:$A$45,0),1),0)</f>
        <v>1.4159215200457078E-4</v>
      </c>
      <c r="K1271" s="10">
        <f>IFERROR(K1166/L$1264/INDEX('Category Mapping'!$B$42:$B$45,MATCH($A1271,'Category Mapping'!$A$42:$A$45,0),1),0)</f>
        <v>8.5458687176576115E-8</v>
      </c>
      <c r="L1271" s="10">
        <f>IFERROR(L1166/M$1264/INDEX('Category Mapping'!$B$42:$B$45,MATCH($A1271,'Category Mapping'!$A$42:$A$45,0),1),0)</f>
        <v>0</v>
      </c>
      <c r="M1271" s="10">
        <f>IFERROR(M1166/N$1264/INDEX('Category Mapping'!$B$42:$B$45,MATCH($A1271,'Category Mapping'!$A$42:$A$45,0),1),0)</f>
        <v>5.2047653397883073E-5</v>
      </c>
      <c r="N1271" s="10">
        <f>IFERROR(N1166/O$1264/INDEX('Category Mapping'!$B$42:$B$45,MATCH($A1271,'Category Mapping'!$A$42:$A$45,0),1),0)</f>
        <v>5.2047653397883073E-5</v>
      </c>
      <c r="O1271" s="10">
        <f>IFERROR(O1166/P$1264/INDEX('Category Mapping'!$B$42:$B$45,MATCH($A1271,'Category Mapping'!$A$42:$A$45,0),1),0)</f>
        <v>5.2047653397883073E-5</v>
      </c>
      <c r="P1271" s="10">
        <f>IFERROR(P1166/Q$1264/INDEX('Category Mapping'!$B$42:$B$45,MATCH($A1271,'Category Mapping'!$A$42:$A$45,0),1),0)</f>
        <v>5.4298113707815903E-5</v>
      </c>
      <c r="Q1271" s="10">
        <f>IFERROR(Q1166/R$1264/INDEX('Category Mapping'!$B$42:$B$45,MATCH($A1271,'Category Mapping'!$A$42:$A$45,0),1),0)</f>
        <v>5.4298113707815903E-5</v>
      </c>
      <c r="R1271" s="10">
        <f>IFERROR(R1166/S$1264/INDEX('Category Mapping'!$B$42:$B$45,MATCH($A1271,'Category Mapping'!$A$42:$A$45,0),1),0)</f>
        <v>5.4298113707815903E-5</v>
      </c>
      <c r="S1271" s="10">
        <f>IFERROR(S1166/T$1264/INDEX('Category Mapping'!$B$42:$B$45,MATCH($A1271,'Category Mapping'!$A$42:$A$45,0),1),0)</f>
        <v>5.4298113707815903E-5</v>
      </c>
      <c r="T1271" s="10">
        <f>IFERROR(T1166/U$1264/INDEX('Category Mapping'!$B$42:$B$45,MATCH($A1271,'Category Mapping'!$A$42:$A$45,0),1),0)</f>
        <v>5.4298113707815903E-5</v>
      </c>
      <c r="U1271" s="10">
        <f>IFERROR(U1166/V$1264/INDEX('Category Mapping'!$B$42:$B$45,MATCH($A1271,'Category Mapping'!$A$42:$A$45,0),1),0)</f>
        <v>5.4298113707815903E-5</v>
      </c>
      <c r="V1271" s="10">
        <f>IFERROR(V1166/W$1264/INDEX('Category Mapping'!$B$42:$B$45,MATCH($A1271,'Category Mapping'!$A$42:$A$45,0),1),0)</f>
        <v>1.1217111147458623E-4</v>
      </c>
      <c r="W1271" s="10">
        <f>IFERROR(W1166/X$1264/INDEX('Category Mapping'!$B$42:$B$45,MATCH($A1271,'Category Mapping'!$A$42:$A$45,0),1),0)</f>
        <v>1.1217111147458623E-4</v>
      </c>
      <c r="X1271" s="10">
        <f>IFERROR(X1166/Y$1264/INDEX('Category Mapping'!$B$42:$B$45,MATCH($A1271,'Category Mapping'!$A$42:$A$45,0),1),0)</f>
        <v>1.1217111147458623E-4</v>
      </c>
      <c r="Y1271" s="27"/>
      <c r="Z1271" s="32"/>
    </row>
    <row r="1272" spans="1:26" outlineLevel="1" x14ac:dyDescent="0.3">
      <c r="A1272" t="s">
        <v>137</v>
      </c>
      <c r="B1272" t="s">
        <v>66</v>
      </c>
      <c r="C1272" s="6" t="s">
        <v>141</v>
      </c>
      <c r="D1272" s="10">
        <f>IFERROR(D1167/E$1264/INDEX('Category Mapping'!$B$42:$B$45,MATCH($A1272,'Category Mapping'!$A$42:$A$45,0),1),0)</f>
        <v>2.4094190974983178E-4</v>
      </c>
      <c r="E1272" s="10">
        <f>IFERROR(E1167/F$1264/INDEX('Category Mapping'!$B$42:$B$45,MATCH($A1272,'Category Mapping'!$A$42:$A$45,0),1),0)</f>
        <v>1.7160918165986811E-7</v>
      </c>
      <c r="F1272" s="10">
        <f>IFERROR(F1167/G$1264/INDEX('Category Mapping'!$B$42:$B$45,MATCH($A1272,'Category Mapping'!$A$42:$A$45,0),1),0)</f>
        <v>0</v>
      </c>
      <c r="G1272" s="10">
        <f>IFERROR(G1167/H$1264/INDEX('Category Mapping'!$B$42:$B$45,MATCH($A1272,'Category Mapping'!$A$42:$A$45,0),1),0)</f>
        <v>5.6677497870801538E-5</v>
      </c>
      <c r="H1272" s="10">
        <f>IFERROR(H1167/I$1264/INDEX('Category Mapping'!$B$42:$B$45,MATCH($A1272,'Category Mapping'!$A$42:$A$45,0),1),0)</f>
        <v>3.9934157632648505E-5</v>
      </c>
      <c r="I1272" s="10">
        <f>IFERROR(I1167/J$1264/INDEX('Category Mapping'!$B$42:$B$45,MATCH($A1272,'Category Mapping'!$A$42:$A$45,0),1),0)</f>
        <v>3.9934157632648505E-5</v>
      </c>
      <c r="J1272" s="10">
        <f>IFERROR(J1167/K$1264/INDEX('Category Mapping'!$B$42:$B$45,MATCH($A1272,'Category Mapping'!$A$42:$A$45,0),1),0)</f>
        <v>1.4639415772999144E-4</v>
      </c>
      <c r="K1272" s="10">
        <f>IFERROR(K1167/L$1264/INDEX('Category Mapping'!$B$42:$B$45,MATCH($A1272,'Category Mapping'!$A$42:$A$45,0),1),0)</f>
        <v>8.4360588348515052E-8</v>
      </c>
      <c r="L1272" s="10">
        <f>IFERROR(L1167/M$1264/INDEX('Category Mapping'!$B$42:$B$45,MATCH($A1272,'Category Mapping'!$A$42:$A$45,0),1),0)</f>
        <v>0</v>
      </c>
      <c r="M1272" s="10">
        <f>IFERROR(M1167/N$1264/INDEX('Category Mapping'!$B$42:$B$45,MATCH($A1272,'Category Mapping'!$A$42:$A$45,0),1),0)</f>
        <v>5.3976750432844046E-5</v>
      </c>
      <c r="N1272" s="10">
        <f>IFERROR(N1167/O$1264/INDEX('Category Mapping'!$B$42:$B$45,MATCH($A1272,'Category Mapping'!$A$42:$A$45,0),1),0)</f>
        <v>5.3976750432844046E-5</v>
      </c>
      <c r="O1272" s="10">
        <f>IFERROR(O1167/P$1264/INDEX('Category Mapping'!$B$42:$B$45,MATCH($A1272,'Category Mapping'!$A$42:$A$45,0),1),0)</f>
        <v>5.3976750432844046E-5</v>
      </c>
      <c r="P1272" s="10">
        <f>IFERROR(P1167/Q$1264/INDEX('Category Mapping'!$B$42:$B$45,MATCH($A1272,'Category Mapping'!$A$42:$A$45,0),1),0)</f>
        <v>5.4445534478526085E-5</v>
      </c>
      <c r="Q1272" s="10">
        <f>IFERROR(Q1167/R$1264/INDEX('Category Mapping'!$B$42:$B$45,MATCH($A1272,'Category Mapping'!$A$42:$A$45,0),1),0)</f>
        <v>5.4445534478526085E-5</v>
      </c>
      <c r="R1272" s="10">
        <f>IFERROR(R1167/S$1264/INDEX('Category Mapping'!$B$42:$B$45,MATCH($A1272,'Category Mapping'!$A$42:$A$45,0),1),0)</f>
        <v>5.4445534478526085E-5</v>
      </c>
      <c r="S1272" s="10">
        <f>IFERROR(S1167/T$1264/INDEX('Category Mapping'!$B$42:$B$45,MATCH($A1272,'Category Mapping'!$A$42:$A$45,0),1),0)</f>
        <v>5.4445534478526085E-5</v>
      </c>
      <c r="T1272" s="10">
        <f>IFERROR(T1167/U$1264/INDEX('Category Mapping'!$B$42:$B$45,MATCH($A1272,'Category Mapping'!$A$42:$A$45,0),1),0)</f>
        <v>5.4445534478526085E-5</v>
      </c>
      <c r="U1272" s="10">
        <f>IFERROR(U1167/V$1264/INDEX('Category Mapping'!$B$42:$B$45,MATCH($A1272,'Category Mapping'!$A$42:$A$45,0),1),0)</f>
        <v>5.4445534478526085E-5</v>
      </c>
      <c r="V1272" s="10">
        <f>IFERROR(V1167/W$1264/INDEX('Category Mapping'!$B$42:$B$45,MATCH($A1272,'Category Mapping'!$A$42:$A$45,0),1),0)</f>
        <v>1.1222827164146076E-4</v>
      </c>
      <c r="W1272" s="10">
        <f>IFERROR(W1167/X$1264/INDEX('Category Mapping'!$B$42:$B$45,MATCH($A1272,'Category Mapping'!$A$42:$A$45,0),1),0)</f>
        <v>1.1222827164146076E-4</v>
      </c>
      <c r="X1272" s="10">
        <f>IFERROR(X1167/Y$1264/INDEX('Category Mapping'!$B$42:$B$45,MATCH($A1272,'Category Mapping'!$A$42:$A$45,0),1),0)</f>
        <v>1.1222827164146076E-4</v>
      </c>
      <c r="Y1272" s="27"/>
      <c r="Z1272" s="32"/>
    </row>
    <row r="1273" spans="1:26" outlineLevel="1" x14ac:dyDescent="0.3">
      <c r="A1273" t="s">
        <v>137</v>
      </c>
      <c r="B1273" t="s">
        <v>67</v>
      </c>
      <c r="C1273" s="6" t="s">
        <v>142</v>
      </c>
      <c r="D1273" s="10">
        <f>IFERROR(D1168/E$1264/INDEX('Category Mapping'!$B$42:$B$45,MATCH($A1273,'Category Mapping'!$A$42:$A$45,0),1),0)</f>
        <v>2.3598469346791244E-4</v>
      </c>
      <c r="E1273" s="10">
        <f>IFERROR(E1168/F$1264/INDEX('Category Mapping'!$B$42:$B$45,MATCH($A1273,'Category Mapping'!$A$42:$A$45,0),1),0)</f>
        <v>1.678867027610526E-7</v>
      </c>
      <c r="F1273" s="10">
        <f>IFERROR(F1168/G$1264/INDEX('Category Mapping'!$B$42:$B$45,MATCH($A1273,'Category Mapping'!$A$42:$A$45,0),1),0)</f>
        <v>0</v>
      </c>
      <c r="G1273" s="10">
        <f>IFERROR(G1168/H$1264/INDEX('Category Mapping'!$B$42:$B$45,MATCH($A1273,'Category Mapping'!$A$42:$A$45,0),1),0)</f>
        <v>7.077072861893022E-5</v>
      </c>
      <c r="H1273" s="10">
        <f>IFERROR(H1168/I$1264/INDEX('Category Mapping'!$B$42:$B$45,MATCH($A1273,'Category Mapping'!$A$42:$A$45,0),1),0)</f>
        <v>4.2026970422621953E-5</v>
      </c>
      <c r="I1273" s="10">
        <f>IFERROR(I1168/J$1264/INDEX('Category Mapping'!$B$42:$B$45,MATCH($A1273,'Category Mapping'!$A$42:$A$45,0),1),0)</f>
        <v>4.2026970422621953E-5</v>
      </c>
      <c r="J1273" s="10">
        <f>IFERROR(J1168/K$1264/INDEX('Category Mapping'!$B$42:$B$45,MATCH($A1273,'Category Mapping'!$A$42:$A$45,0),1),0)</f>
        <v>1.5349721350085732E-4</v>
      </c>
      <c r="K1273" s="10">
        <f>IFERROR(K1168/L$1264/INDEX('Category Mapping'!$B$42:$B$45,MATCH($A1273,'Category Mapping'!$A$42:$A$45,0),1),0)</f>
        <v>8.4123562976007404E-8</v>
      </c>
      <c r="L1273" s="10">
        <f>IFERROR(L1168/M$1264/INDEX('Category Mapping'!$B$42:$B$45,MATCH($A1273,'Category Mapping'!$A$42:$A$45,0),1),0)</f>
        <v>0</v>
      </c>
      <c r="M1273" s="10">
        <f>IFERROR(M1168/N$1264/INDEX('Category Mapping'!$B$42:$B$45,MATCH($A1273,'Category Mapping'!$A$42:$A$45,0),1),0)</f>
        <v>5.7046297046918281E-5</v>
      </c>
      <c r="N1273" s="10">
        <f>IFERROR(N1168/O$1264/INDEX('Category Mapping'!$B$42:$B$45,MATCH($A1273,'Category Mapping'!$A$42:$A$45,0),1),0)</f>
        <v>5.7046297046918281E-5</v>
      </c>
      <c r="O1273" s="10">
        <f>IFERROR(O1168/P$1264/INDEX('Category Mapping'!$B$42:$B$45,MATCH($A1273,'Category Mapping'!$A$42:$A$45,0),1),0)</f>
        <v>5.7046297046918281E-5</v>
      </c>
      <c r="P1273" s="10">
        <f>IFERROR(P1168/Q$1264/INDEX('Category Mapping'!$B$42:$B$45,MATCH($A1273,'Category Mapping'!$A$42:$A$45,0),1),0)</f>
        <v>5.4241838981835276E-5</v>
      </c>
      <c r="Q1273" s="10">
        <f>IFERROR(Q1168/R$1264/INDEX('Category Mapping'!$B$42:$B$45,MATCH($A1273,'Category Mapping'!$A$42:$A$45,0),1),0)</f>
        <v>5.4241838981835276E-5</v>
      </c>
      <c r="R1273" s="10">
        <f>IFERROR(R1168/S$1264/INDEX('Category Mapping'!$B$42:$B$45,MATCH($A1273,'Category Mapping'!$A$42:$A$45,0),1),0)</f>
        <v>5.4241838981835276E-5</v>
      </c>
      <c r="S1273" s="10">
        <f>IFERROR(S1168/T$1264/INDEX('Category Mapping'!$B$42:$B$45,MATCH($A1273,'Category Mapping'!$A$42:$A$45,0),1),0)</f>
        <v>5.4241838981835276E-5</v>
      </c>
      <c r="T1273" s="10">
        <f>IFERROR(T1168/U$1264/INDEX('Category Mapping'!$B$42:$B$45,MATCH($A1273,'Category Mapping'!$A$42:$A$45,0),1),0)</f>
        <v>5.4241838981835276E-5</v>
      </c>
      <c r="U1273" s="10">
        <f>IFERROR(U1168/V$1264/INDEX('Category Mapping'!$B$42:$B$45,MATCH($A1273,'Category Mapping'!$A$42:$A$45,0),1),0)</f>
        <v>5.4241838981835276E-5</v>
      </c>
      <c r="V1273" s="10">
        <f>IFERROR(V1168/W$1264/INDEX('Category Mapping'!$B$42:$B$45,MATCH($A1273,'Category Mapping'!$A$42:$A$45,0),1),0)</f>
        <v>1.1267078660001444E-4</v>
      </c>
      <c r="W1273" s="10">
        <f>IFERROR(W1168/X$1264/INDEX('Category Mapping'!$B$42:$B$45,MATCH($A1273,'Category Mapping'!$A$42:$A$45,0),1),0)</f>
        <v>1.1267078660001444E-4</v>
      </c>
      <c r="X1273" s="10">
        <f>IFERROR(X1168/Y$1264/INDEX('Category Mapping'!$B$42:$B$45,MATCH($A1273,'Category Mapping'!$A$42:$A$45,0),1),0)</f>
        <v>1.1267078660001444E-4</v>
      </c>
      <c r="Y1273" s="27"/>
      <c r="Z1273" s="32"/>
    </row>
    <row r="1274" spans="1:26" outlineLevel="1" x14ac:dyDescent="0.3">
      <c r="A1274" t="s">
        <v>137</v>
      </c>
      <c r="B1274" t="s">
        <v>68</v>
      </c>
      <c r="C1274" s="6" t="s">
        <v>143</v>
      </c>
      <c r="D1274" s="10">
        <f>IFERROR(D1169/E$1264/INDEX('Category Mapping'!$B$42:$B$45,MATCH($A1274,'Category Mapping'!$A$42:$A$45,0),1),0)</f>
        <v>2.8370860922066586E-4</v>
      </c>
      <c r="E1274" s="10">
        <f>IFERROR(E1169/F$1264/INDEX('Category Mapping'!$B$42:$B$45,MATCH($A1274,'Category Mapping'!$A$42:$A$45,0),1),0)</f>
        <v>1.5612122003277033E-7</v>
      </c>
      <c r="F1274" s="10">
        <f>IFERROR(F1169/G$1264/INDEX('Category Mapping'!$B$42:$B$45,MATCH($A1274,'Category Mapping'!$A$42:$A$45,0),1),0)</f>
        <v>0</v>
      </c>
      <c r="G1274" s="10">
        <f>IFERROR(G1169/H$1264/INDEX('Category Mapping'!$B$42:$B$45,MATCH($A1274,'Category Mapping'!$A$42:$A$45,0),1),0)</f>
        <v>1.1716472811797054E-4</v>
      </c>
      <c r="H1274" s="10">
        <f>IFERROR(H1169/I$1264/INDEX('Category Mapping'!$B$42:$B$45,MATCH($A1274,'Category Mapping'!$A$42:$A$45,0),1),0)</f>
        <v>5.6654913485571863E-5</v>
      </c>
      <c r="I1274" s="10">
        <f>IFERROR(I1169/J$1264/INDEX('Category Mapping'!$B$42:$B$45,MATCH($A1274,'Category Mapping'!$A$42:$A$45,0),1),0)</f>
        <v>5.6654913485571863E-5</v>
      </c>
      <c r="J1274" s="10">
        <f>IFERROR(J1169/K$1264/INDEX('Category Mapping'!$B$42:$B$45,MATCH($A1274,'Category Mapping'!$A$42:$A$45,0),1),0)</f>
        <v>1.569250939872389E-4</v>
      </c>
      <c r="K1274" s="10">
        <f>IFERROR(K1169/L$1264/INDEX('Category Mapping'!$B$42:$B$45,MATCH($A1274,'Category Mapping'!$A$42:$A$45,0),1),0)</f>
        <v>8.6431570694950251E-8</v>
      </c>
      <c r="L1274" s="10">
        <f>IFERROR(L1169/M$1264/INDEX('Category Mapping'!$B$42:$B$45,MATCH($A1274,'Category Mapping'!$A$42:$A$45,0),1),0)</f>
        <v>0</v>
      </c>
      <c r="M1274" s="10">
        <f>IFERROR(M1169/N$1264/INDEX('Category Mapping'!$B$42:$B$45,MATCH($A1274,'Category Mapping'!$A$42:$A$45,0),1),0)</f>
        <v>6.5928748726997241E-5</v>
      </c>
      <c r="N1274" s="10">
        <f>IFERROR(N1169/O$1264/INDEX('Category Mapping'!$B$42:$B$45,MATCH($A1274,'Category Mapping'!$A$42:$A$45,0),1),0)</f>
        <v>6.5928748726997241E-5</v>
      </c>
      <c r="O1274" s="10">
        <f>IFERROR(O1169/P$1264/INDEX('Category Mapping'!$B$42:$B$45,MATCH($A1274,'Category Mapping'!$A$42:$A$45,0),1),0)</f>
        <v>6.5928748726997241E-5</v>
      </c>
      <c r="P1274" s="10">
        <f>IFERROR(P1169/Q$1264/INDEX('Category Mapping'!$B$42:$B$45,MATCH($A1274,'Category Mapping'!$A$42:$A$45,0),1),0)</f>
        <v>5.5531021517429502E-5</v>
      </c>
      <c r="Q1274" s="10">
        <f>IFERROR(Q1169/R$1264/INDEX('Category Mapping'!$B$42:$B$45,MATCH($A1274,'Category Mapping'!$A$42:$A$45,0),1),0)</f>
        <v>5.5531021517429502E-5</v>
      </c>
      <c r="R1274" s="10">
        <f>IFERROR(R1169/S$1264/INDEX('Category Mapping'!$B$42:$B$45,MATCH($A1274,'Category Mapping'!$A$42:$A$45,0),1),0)</f>
        <v>5.5531021517429502E-5</v>
      </c>
      <c r="S1274" s="10">
        <f>IFERROR(S1169/T$1264/INDEX('Category Mapping'!$B$42:$B$45,MATCH($A1274,'Category Mapping'!$A$42:$A$45,0),1),0)</f>
        <v>5.5531021517429502E-5</v>
      </c>
      <c r="T1274" s="10">
        <f>IFERROR(T1169/U$1264/INDEX('Category Mapping'!$B$42:$B$45,MATCH($A1274,'Category Mapping'!$A$42:$A$45,0),1),0)</f>
        <v>5.5531021517429502E-5</v>
      </c>
      <c r="U1274" s="10">
        <f>IFERROR(U1169/V$1264/INDEX('Category Mapping'!$B$42:$B$45,MATCH($A1274,'Category Mapping'!$A$42:$A$45,0),1),0)</f>
        <v>5.5531021517429502E-5</v>
      </c>
      <c r="V1274" s="10">
        <f>IFERROR(V1169/W$1264/INDEX('Category Mapping'!$B$42:$B$45,MATCH($A1274,'Category Mapping'!$A$42:$A$45,0),1),0)</f>
        <v>1.1348293730435681E-4</v>
      </c>
      <c r="W1274" s="10">
        <f>IFERROR(W1169/X$1264/INDEX('Category Mapping'!$B$42:$B$45,MATCH($A1274,'Category Mapping'!$A$42:$A$45,0),1),0)</f>
        <v>1.1348293730435681E-4</v>
      </c>
      <c r="X1274" s="10">
        <f>IFERROR(X1169/Y$1264/INDEX('Category Mapping'!$B$42:$B$45,MATCH($A1274,'Category Mapping'!$A$42:$A$45,0),1),0)</f>
        <v>1.1348293730435681E-4</v>
      </c>
      <c r="Y1274" s="27"/>
      <c r="Z1274" s="32"/>
    </row>
    <row r="1275" spans="1:26" outlineLevel="1" x14ac:dyDescent="0.3">
      <c r="A1275" t="s">
        <v>137</v>
      </c>
      <c r="B1275" t="s">
        <v>69</v>
      </c>
      <c r="C1275" s="6" t="s">
        <v>144</v>
      </c>
      <c r="D1275" s="10">
        <f>IFERROR(D1170/E$1264/INDEX('Category Mapping'!$B$42:$B$45,MATCH($A1275,'Category Mapping'!$A$42:$A$45,0),1),0)</f>
        <v>2.9954679078150645E-4</v>
      </c>
      <c r="E1275" s="10">
        <f>IFERROR(E1170/F$1264/INDEX('Category Mapping'!$B$42:$B$45,MATCH($A1275,'Category Mapping'!$A$42:$A$45,0),1),0)</f>
        <v>1.3146737130107351E-7</v>
      </c>
      <c r="F1275" s="10">
        <f>IFERROR(F1170/G$1264/INDEX('Category Mapping'!$B$42:$B$45,MATCH($A1275,'Category Mapping'!$A$42:$A$45,0),1),0)</f>
        <v>0</v>
      </c>
      <c r="G1275" s="10">
        <f>IFERROR(G1170/H$1264/INDEX('Category Mapping'!$B$42:$B$45,MATCH($A1275,'Category Mapping'!$A$42:$A$45,0),1),0)</f>
        <v>1.7461595694703402E-4</v>
      </c>
      <c r="H1275" s="10">
        <f>IFERROR(H1170/I$1264/INDEX('Category Mapping'!$B$42:$B$45,MATCH($A1275,'Category Mapping'!$A$42:$A$45,0),1),0)</f>
        <v>8.9565956380524512E-5</v>
      </c>
      <c r="I1275" s="10">
        <f>IFERROR(I1170/J$1264/INDEX('Category Mapping'!$B$42:$B$45,MATCH($A1275,'Category Mapping'!$A$42:$A$45,0),1),0)</f>
        <v>8.9565956380524512E-5</v>
      </c>
      <c r="J1275" s="10">
        <f>IFERROR(J1170/K$1264/INDEX('Category Mapping'!$B$42:$B$45,MATCH($A1275,'Category Mapping'!$A$42:$A$45,0),1),0)</f>
        <v>2.0384651132447334E-4</v>
      </c>
      <c r="K1275" s="10">
        <f>IFERROR(K1170/L$1264/INDEX('Category Mapping'!$B$42:$B$45,MATCH($A1275,'Category Mapping'!$A$42:$A$45,0),1),0)</f>
        <v>9.4684685186161827E-8</v>
      </c>
      <c r="L1275" s="10">
        <f>IFERROR(L1170/M$1264/INDEX('Category Mapping'!$B$42:$B$45,MATCH($A1275,'Category Mapping'!$A$42:$A$45,0),1),0)</f>
        <v>0</v>
      </c>
      <c r="M1275" s="10">
        <f>IFERROR(M1170/N$1264/INDEX('Category Mapping'!$B$42:$B$45,MATCH($A1275,'Category Mapping'!$A$42:$A$45,0),1),0)</f>
        <v>9.5885792786772937E-5</v>
      </c>
      <c r="N1275" s="10">
        <f>IFERROR(N1170/O$1264/INDEX('Category Mapping'!$B$42:$B$45,MATCH($A1275,'Category Mapping'!$A$42:$A$45,0),1),0)</f>
        <v>9.5885792786772937E-5</v>
      </c>
      <c r="O1275" s="10">
        <f>IFERROR(O1170/P$1264/INDEX('Category Mapping'!$B$42:$B$45,MATCH($A1275,'Category Mapping'!$A$42:$A$45,0),1),0)</f>
        <v>9.5885792786772937E-5</v>
      </c>
      <c r="P1275" s="10">
        <f>IFERROR(P1170/Q$1264/INDEX('Category Mapping'!$B$42:$B$45,MATCH($A1275,'Category Mapping'!$A$42:$A$45,0),1),0)</f>
        <v>8.079258693862213E-5</v>
      </c>
      <c r="Q1275" s="10">
        <f>IFERROR(Q1170/R$1264/INDEX('Category Mapping'!$B$42:$B$45,MATCH($A1275,'Category Mapping'!$A$42:$A$45,0),1),0)</f>
        <v>8.079258693862213E-5</v>
      </c>
      <c r="R1275" s="10">
        <f>IFERROR(R1170/S$1264/INDEX('Category Mapping'!$B$42:$B$45,MATCH($A1275,'Category Mapping'!$A$42:$A$45,0),1),0)</f>
        <v>8.079258693862213E-5</v>
      </c>
      <c r="S1275" s="10">
        <f>IFERROR(S1170/T$1264/INDEX('Category Mapping'!$B$42:$B$45,MATCH($A1275,'Category Mapping'!$A$42:$A$45,0),1),0)</f>
        <v>8.079258693862213E-5</v>
      </c>
      <c r="T1275" s="10">
        <f>IFERROR(T1170/U$1264/INDEX('Category Mapping'!$B$42:$B$45,MATCH($A1275,'Category Mapping'!$A$42:$A$45,0),1),0)</f>
        <v>8.079258693862213E-5</v>
      </c>
      <c r="U1275" s="10">
        <f>IFERROR(U1170/V$1264/INDEX('Category Mapping'!$B$42:$B$45,MATCH($A1275,'Category Mapping'!$A$42:$A$45,0),1),0)</f>
        <v>8.079258693862213E-5</v>
      </c>
      <c r="V1275" s="10">
        <f>IFERROR(V1170/W$1264/INDEX('Category Mapping'!$B$42:$B$45,MATCH($A1275,'Category Mapping'!$A$42:$A$45,0),1),0)</f>
        <v>1.1468877865804749E-4</v>
      </c>
      <c r="W1275" s="10">
        <f>IFERROR(W1170/X$1264/INDEX('Category Mapping'!$B$42:$B$45,MATCH($A1275,'Category Mapping'!$A$42:$A$45,0),1),0)</f>
        <v>1.1468877865804749E-4</v>
      </c>
      <c r="X1275" s="10">
        <f>IFERROR(X1170/Y$1264/INDEX('Category Mapping'!$B$42:$B$45,MATCH($A1275,'Category Mapping'!$A$42:$A$45,0),1),0)</f>
        <v>1.1468877865804749E-4</v>
      </c>
      <c r="Y1275" s="27"/>
      <c r="Z1275" s="32"/>
    </row>
    <row r="1276" spans="1:26" outlineLevel="1" x14ac:dyDescent="0.3">
      <c r="A1276" t="s">
        <v>137</v>
      </c>
      <c r="B1276" t="s">
        <v>70</v>
      </c>
      <c r="C1276" s="6" t="s">
        <v>145</v>
      </c>
      <c r="D1276" s="10">
        <f>IFERROR(D1171/E$1264/INDEX('Category Mapping'!$B$42:$B$45,MATCH($A1276,'Category Mapping'!$A$42:$A$45,0),1),0)</f>
        <v>2.9603541438290564E-4</v>
      </c>
      <c r="E1276" s="10">
        <f>IFERROR(E1171/F$1264/INDEX('Category Mapping'!$B$42:$B$45,MATCH($A1276,'Category Mapping'!$A$42:$A$45,0),1),0)</f>
        <v>1.0338331583485801E-7</v>
      </c>
      <c r="F1276" s="10">
        <f>IFERROR(F1171/G$1264/INDEX('Category Mapping'!$B$42:$B$45,MATCH($A1276,'Category Mapping'!$A$42:$A$45,0),1),0)</f>
        <v>0</v>
      </c>
      <c r="G1276" s="10">
        <f>IFERROR(G1171/H$1264/INDEX('Category Mapping'!$B$42:$B$45,MATCH($A1276,'Category Mapping'!$A$42:$A$45,0),1),0)</f>
        <v>1.4600014779875186E-4</v>
      </c>
      <c r="H1276" s="10">
        <f>IFERROR(H1171/I$1264/INDEX('Category Mapping'!$B$42:$B$45,MATCH($A1276,'Category Mapping'!$A$42:$A$45,0),1),0)</f>
        <v>1.1568272423584146E-4</v>
      </c>
      <c r="I1276" s="10">
        <f>IFERROR(I1171/J$1264/INDEX('Category Mapping'!$B$42:$B$45,MATCH($A1276,'Category Mapping'!$A$42:$A$45,0),1),0)</f>
        <v>1.1568272423584146E-4</v>
      </c>
      <c r="J1276" s="10">
        <f>IFERROR(J1171/K$1264/INDEX('Category Mapping'!$B$42:$B$45,MATCH($A1276,'Category Mapping'!$A$42:$A$45,0),1),0)</f>
        <v>4.9097229999648447E-4</v>
      </c>
      <c r="K1276" s="10">
        <f>IFERROR(K1171/L$1264/INDEX('Category Mapping'!$B$42:$B$45,MATCH($A1276,'Category Mapping'!$A$42:$A$45,0),1),0)</f>
        <v>1.1096721928874082E-7</v>
      </c>
      <c r="L1276" s="10">
        <f>IFERROR(L1171/M$1264/INDEX('Category Mapping'!$B$42:$B$45,MATCH($A1276,'Category Mapping'!$A$42:$A$45,0),1),0)</f>
        <v>0</v>
      </c>
      <c r="M1276" s="10">
        <f>IFERROR(M1171/N$1264/INDEX('Category Mapping'!$B$42:$B$45,MATCH($A1276,'Category Mapping'!$A$42:$A$45,0),1),0)</f>
        <v>1.3082671813706645E-4</v>
      </c>
      <c r="N1276" s="10">
        <f>IFERROR(N1171/O$1264/INDEX('Category Mapping'!$B$42:$B$45,MATCH($A1276,'Category Mapping'!$A$42:$A$45,0),1),0)</f>
        <v>1.3082671813706645E-4</v>
      </c>
      <c r="O1276" s="10">
        <f>IFERROR(O1171/P$1264/INDEX('Category Mapping'!$B$42:$B$45,MATCH($A1276,'Category Mapping'!$A$42:$A$45,0),1),0)</f>
        <v>1.3082671813706645E-4</v>
      </c>
      <c r="P1276" s="10">
        <f>IFERROR(P1171/Q$1264/INDEX('Category Mapping'!$B$42:$B$45,MATCH($A1276,'Category Mapping'!$A$42:$A$45,0),1),0)</f>
        <v>1.6010652237221599E-4</v>
      </c>
      <c r="Q1276" s="10">
        <f>IFERROR(Q1171/R$1264/INDEX('Category Mapping'!$B$42:$B$45,MATCH($A1276,'Category Mapping'!$A$42:$A$45,0),1),0)</f>
        <v>1.6010652237221599E-4</v>
      </c>
      <c r="R1276" s="10">
        <f>IFERROR(R1171/S$1264/INDEX('Category Mapping'!$B$42:$B$45,MATCH($A1276,'Category Mapping'!$A$42:$A$45,0),1),0)</f>
        <v>1.6010652237221599E-4</v>
      </c>
      <c r="S1276" s="10">
        <f>IFERROR(S1171/T$1264/INDEX('Category Mapping'!$B$42:$B$45,MATCH($A1276,'Category Mapping'!$A$42:$A$45,0),1),0)</f>
        <v>1.6010652237221599E-4</v>
      </c>
      <c r="T1276" s="10">
        <f>IFERROR(T1171/U$1264/INDEX('Category Mapping'!$B$42:$B$45,MATCH($A1276,'Category Mapping'!$A$42:$A$45,0),1),0)</f>
        <v>1.6010652237221599E-4</v>
      </c>
      <c r="U1276" s="10">
        <f>IFERROR(U1171/V$1264/INDEX('Category Mapping'!$B$42:$B$45,MATCH($A1276,'Category Mapping'!$A$42:$A$45,0),1),0)</f>
        <v>1.6010652237221599E-4</v>
      </c>
      <c r="V1276" s="10">
        <f>IFERROR(V1171/W$1264/INDEX('Category Mapping'!$B$42:$B$45,MATCH($A1276,'Category Mapping'!$A$42:$A$45,0),1),0)</f>
        <v>1.1559786347871457E-4</v>
      </c>
      <c r="W1276" s="10">
        <f>IFERROR(W1171/X$1264/INDEX('Category Mapping'!$B$42:$B$45,MATCH($A1276,'Category Mapping'!$A$42:$A$45,0),1),0)</f>
        <v>1.1559786347871457E-4</v>
      </c>
      <c r="X1276" s="10">
        <f>IFERROR(X1171/Y$1264/INDEX('Category Mapping'!$B$42:$B$45,MATCH($A1276,'Category Mapping'!$A$42:$A$45,0),1),0)</f>
        <v>1.1559786347871457E-4</v>
      </c>
      <c r="Y1276" s="27"/>
      <c r="Z1276" s="32"/>
    </row>
    <row r="1277" spans="1:26" outlineLevel="1" x14ac:dyDescent="0.3">
      <c r="A1277" t="s">
        <v>137</v>
      </c>
      <c r="B1277" t="s">
        <v>71</v>
      </c>
      <c r="C1277" s="6" t="s">
        <v>146</v>
      </c>
      <c r="D1277" s="10">
        <f>IFERROR(D1172/E$1264/INDEX('Category Mapping'!$B$42:$B$45,MATCH($A1277,'Category Mapping'!$A$42:$A$45,0),1),0)</f>
        <v>2.8625105373426292E-4</v>
      </c>
      <c r="E1277" s="10">
        <f>IFERROR(E1172/F$1264/INDEX('Category Mapping'!$B$42:$B$45,MATCH($A1277,'Category Mapping'!$A$42:$A$45,0),1),0)</f>
        <v>8.5663018987005185E-8</v>
      </c>
      <c r="F1277" s="10">
        <f>IFERROR(F1172/G$1264/INDEX('Category Mapping'!$B$42:$B$45,MATCH($A1277,'Category Mapping'!$A$42:$A$45,0),1),0)</f>
        <v>0</v>
      </c>
      <c r="G1277" s="10">
        <f>IFERROR(G1172/H$1264/INDEX('Category Mapping'!$B$42:$B$45,MATCH($A1277,'Category Mapping'!$A$42:$A$45,0),1),0)</f>
        <v>5.9087870888783071E-5</v>
      </c>
      <c r="H1277" s="10">
        <f>IFERROR(H1172/I$1264/INDEX('Category Mapping'!$B$42:$B$45,MATCH($A1277,'Category Mapping'!$A$42:$A$45,0),1),0)</f>
        <v>1.20439822074313E-4</v>
      </c>
      <c r="I1277" s="10">
        <f>IFERROR(I1172/J$1264/INDEX('Category Mapping'!$B$42:$B$45,MATCH($A1277,'Category Mapping'!$A$42:$A$45,0),1),0)</f>
        <v>1.20439822074313E-4</v>
      </c>
      <c r="J1277" s="10">
        <f>IFERROR(J1172/K$1264/INDEX('Category Mapping'!$B$42:$B$45,MATCH($A1277,'Category Mapping'!$A$42:$A$45,0),1),0)</f>
        <v>5.067994035926085E-4</v>
      </c>
      <c r="K1277" s="10">
        <f>IFERROR(K1172/L$1264/INDEX('Category Mapping'!$B$42:$B$45,MATCH($A1277,'Category Mapping'!$A$42:$A$45,0),1),0)</f>
        <v>1.3490170266700714E-7</v>
      </c>
      <c r="L1277" s="10">
        <f>IFERROR(L1172/M$1264/INDEX('Category Mapping'!$B$42:$B$45,MATCH($A1277,'Category Mapping'!$A$42:$A$45,0),1),0)</f>
        <v>0</v>
      </c>
      <c r="M1277" s="10">
        <f>IFERROR(M1172/N$1264/INDEX('Category Mapping'!$B$42:$B$45,MATCH($A1277,'Category Mapping'!$A$42:$A$45,0),1),0)</f>
        <v>1.6097665102702191E-4</v>
      </c>
      <c r="N1277" s="10">
        <f>IFERROR(N1172/O$1264/INDEX('Category Mapping'!$B$42:$B$45,MATCH($A1277,'Category Mapping'!$A$42:$A$45,0),1),0)</f>
        <v>1.6097665102702191E-4</v>
      </c>
      <c r="O1277" s="10">
        <f>IFERROR(O1172/P$1264/INDEX('Category Mapping'!$B$42:$B$45,MATCH($A1277,'Category Mapping'!$A$42:$A$45,0),1),0)</f>
        <v>1.6097665102702191E-4</v>
      </c>
      <c r="P1277" s="10">
        <f>IFERROR(P1172/Q$1264/INDEX('Category Mapping'!$B$42:$B$45,MATCH($A1277,'Category Mapping'!$A$42:$A$45,0),1),0)</f>
        <v>1.7592663270557914E-4</v>
      </c>
      <c r="Q1277" s="10">
        <f>IFERROR(Q1172/R$1264/INDEX('Category Mapping'!$B$42:$B$45,MATCH($A1277,'Category Mapping'!$A$42:$A$45,0),1),0)</f>
        <v>1.7592663270557914E-4</v>
      </c>
      <c r="R1277" s="10">
        <f>IFERROR(R1172/S$1264/INDEX('Category Mapping'!$B$42:$B$45,MATCH($A1277,'Category Mapping'!$A$42:$A$45,0),1),0)</f>
        <v>1.7592663270557914E-4</v>
      </c>
      <c r="S1277" s="10">
        <f>IFERROR(S1172/T$1264/INDEX('Category Mapping'!$B$42:$B$45,MATCH($A1277,'Category Mapping'!$A$42:$A$45,0),1),0)</f>
        <v>1.7592663270557914E-4</v>
      </c>
      <c r="T1277" s="10">
        <f>IFERROR(T1172/U$1264/INDEX('Category Mapping'!$B$42:$B$45,MATCH($A1277,'Category Mapping'!$A$42:$A$45,0),1),0)</f>
        <v>1.7592663270557914E-4</v>
      </c>
      <c r="U1277" s="10">
        <f>IFERROR(U1172/V$1264/INDEX('Category Mapping'!$B$42:$B$45,MATCH($A1277,'Category Mapping'!$A$42:$A$45,0),1),0)</f>
        <v>1.7592663270557914E-4</v>
      </c>
      <c r="V1277" s="10">
        <f>IFERROR(V1172/W$1264/INDEX('Category Mapping'!$B$42:$B$45,MATCH($A1277,'Category Mapping'!$A$42:$A$45,0),1),0)</f>
        <v>1.1585413156020206E-4</v>
      </c>
      <c r="W1277" s="10">
        <f>IFERROR(W1172/X$1264/INDEX('Category Mapping'!$B$42:$B$45,MATCH($A1277,'Category Mapping'!$A$42:$A$45,0),1),0)</f>
        <v>1.1585413156020206E-4</v>
      </c>
      <c r="X1277" s="10">
        <f>IFERROR(X1172/Y$1264/INDEX('Category Mapping'!$B$42:$B$45,MATCH($A1277,'Category Mapping'!$A$42:$A$45,0),1),0)</f>
        <v>1.1585413156020206E-4</v>
      </c>
      <c r="Y1277" s="35"/>
      <c r="Z1277" s="32"/>
    </row>
    <row r="1278" spans="1:26" outlineLevel="1" x14ac:dyDescent="0.3">
      <c r="A1278" t="s">
        <v>137</v>
      </c>
      <c r="B1278" t="s">
        <v>72</v>
      </c>
      <c r="C1278" s="6" t="s">
        <v>147</v>
      </c>
      <c r="D1278" s="10">
        <f>IFERROR(D1173/E$1264/INDEX('Category Mapping'!$B$42:$B$45,MATCH($A1278,'Category Mapping'!$A$42:$A$45,0),1),0)</f>
        <v>2.203349927775315E-4</v>
      </c>
      <c r="E1278" s="10">
        <f>IFERROR(E1173/F$1264/INDEX('Category Mapping'!$B$42:$B$45,MATCH($A1278,'Category Mapping'!$A$42:$A$45,0),1),0)</f>
        <v>7.4213775705617604E-8</v>
      </c>
      <c r="F1278" s="10">
        <f>IFERROR(F1173/G$1264/INDEX('Category Mapping'!$B$42:$B$45,MATCH($A1278,'Category Mapping'!$A$42:$A$45,0),1),0)</f>
        <v>0</v>
      </c>
      <c r="G1278" s="10">
        <f>IFERROR(G1173/H$1264/INDEX('Category Mapping'!$B$42:$B$45,MATCH($A1278,'Category Mapping'!$A$42:$A$45,0),1),0)</f>
        <v>5.7843263454645247E-5</v>
      </c>
      <c r="H1278" s="10">
        <f>IFERROR(H1173/I$1264/INDEX('Category Mapping'!$B$42:$B$45,MATCH($A1278,'Category Mapping'!$A$42:$A$45,0),1),0)</f>
        <v>1.259086880976435E-4</v>
      </c>
      <c r="I1278" s="10">
        <f>IFERROR(I1173/J$1264/INDEX('Category Mapping'!$B$42:$B$45,MATCH($A1278,'Category Mapping'!$A$42:$A$45,0),1),0)</f>
        <v>1.259086880976435E-4</v>
      </c>
      <c r="J1278" s="10">
        <f>IFERROR(J1173/K$1264/INDEX('Category Mapping'!$B$42:$B$45,MATCH($A1278,'Category Mapping'!$A$42:$A$45,0),1),0)</f>
        <v>3.6583884891575584E-4</v>
      </c>
      <c r="K1278" s="10">
        <f>IFERROR(K1173/L$1264/INDEX('Category Mapping'!$B$42:$B$45,MATCH($A1278,'Category Mapping'!$A$42:$A$45,0),1),0)</f>
        <v>1.5018570447819537E-7</v>
      </c>
      <c r="L1278" s="10">
        <f>IFERROR(L1173/M$1264/INDEX('Category Mapping'!$B$42:$B$45,MATCH($A1278,'Category Mapping'!$A$42:$A$45,0),1),0)</f>
        <v>0</v>
      </c>
      <c r="M1278" s="10">
        <f>IFERROR(M1173/N$1264/INDEX('Category Mapping'!$B$42:$B$45,MATCH($A1278,'Category Mapping'!$A$42:$A$45,0),1),0)</f>
        <v>1.6966439572470038E-4</v>
      </c>
      <c r="N1278" s="10">
        <f>IFERROR(N1173/O$1264/INDEX('Category Mapping'!$B$42:$B$45,MATCH($A1278,'Category Mapping'!$A$42:$A$45,0),1),0)</f>
        <v>1.6966439572470038E-4</v>
      </c>
      <c r="O1278" s="10">
        <f>IFERROR(O1173/P$1264/INDEX('Category Mapping'!$B$42:$B$45,MATCH($A1278,'Category Mapping'!$A$42:$A$45,0),1),0)</f>
        <v>1.6966439572470038E-4</v>
      </c>
      <c r="P1278" s="10">
        <f>IFERROR(P1173/Q$1264/INDEX('Category Mapping'!$B$42:$B$45,MATCH($A1278,'Category Mapping'!$A$42:$A$45,0),1),0)</f>
        <v>1.6064357212139827E-4</v>
      </c>
      <c r="Q1278" s="10">
        <f>IFERROR(Q1173/R$1264/INDEX('Category Mapping'!$B$42:$B$45,MATCH($A1278,'Category Mapping'!$A$42:$A$45,0),1),0)</f>
        <v>1.6064357212139827E-4</v>
      </c>
      <c r="R1278" s="10">
        <f>IFERROR(R1173/S$1264/INDEX('Category Mapping'!$B$42:$B$45,MATCH($A1278,'Category Mapping'!$A$42:$A$45,0),1),0)</f>
        <v>1.6064357212139827E-4</v>
      </c>
      <c r="S1278" s="10">
        <f>IFERROR(S1173/T$1264/INDEX('Category Mapping'!$B$42:$B$45,MATCH($A1278,'Category Mapping'!$A$42:$A$45,0),1),0)</f>
        <v>1.6064357212139827E-4</v>
      </c>
      <c r="T1278" s="10">
        <f>IFERROR(T1173/U$1264/INDEX('Category Mapping'!$B$42:$B$45,MATCH($A1278,'Category Mapping'!$A$42:$A$45,0),1),0)</f>
        <v>1.6064357212139827E-4</v>
      </c>
      <c r="U1278" s="10">
        <f>IFERROR(U1173/V$1264/INDEX('Category Mapping'!$B$42:$B$45,MATCH($A1278,'Category Mapping'!$A$42:$A$45,0),1),0)</f>
        <v>1.6064357212139827E-4</v>
      </c>
      <c r="V1278" s="10">
        <f>IFERROR(V1173/W$1264/INDEX('Category Mapping'!$B$42:$B$45,MATCH($A1278,'Category Mapping'!$A$42:$A$45,0),1),0)</f>
        <v>1.1562644356215186E-4</v>
      </c>
      <c r="W1278" s="10">
        <f>IFERROR(W1173/X$1264/INDEX('Category Mapping'!$B$42:$B$45,MATCH($A1278,'Category Mapping'!$A$42:$A$45,0),1),0)</f>
        <v>1.1562644356215186E-4</v>
      </c>
      <c r="X1278" s="10">
        <f>IFERROR(X1173/Y$1264/INDEX('Category Mapping'!$B$42:$B$45,MATCH($A1278,'Category Mapping'!$A$42:$A$45,0),1),0)</f>
        <v>1.1562644356215186E-4</v>
      </c>
      <c r="Y1278" s="27"/>
      <c r="Z1278" s="32"/>
    </row>
    <row r="1279" spans="1:26" outlineLevel="1" x14ac:dyDescent="0.3">
      <c r="A1279" t="s">
        <v>137</v>
      </c>
      <c r="B1279" t="s">
        <v>73</v>
      </c>
      <c r="C1279" s="6" t="s">
        <v>148</v>
      </c>
      <c r="D1279" s="10">
        <f>IFERROR(D1174/E$1264/INDEX('Category Mapping'!$B$42:$B$45,MATCH($A1279,'Category Mapping'!$A$42:$A$45,0),1),0)</f>
        <v>2.1215717282361236E-4</v>
      </c>
      <c r="E1279" s="10">
        <f>IFERROR(E1174/F$1264/INDEX('Category Mapping'!$B$42:$B$45,MATCH($A1279,'Category Mapping'!$A$42:$A$45,0),1),0)</f>
        <v>7.2279996018129067E-8</v>
      </c>
      <c r="F1279" s="10">
        <f>IFERROR(F1174/G$1264/INDEX('Category Mapping'!$B$42:$B$45,MATCH($A1279,'Category Mapping'!$A$42:$A$45,0),1),0)</f>
        <v>0</v>
      </c>
      <c r="G1279" s="10">
        <f>IFERROR(G1174/H$1264/INDEX('Category Mapping'!$B$42:$B$45,MATCH($A1279,'Category Mapping'!$A$42:$A$45,0),1),0)</f>
        <v>5.8678415028195672E-5</v>
      </c>
      <c r="H1279" s="10">
        <f>IFERROR(H1174/I$1264/INDEX('Category Mapping'!$B$42:$B$45,MATCH($A1279,'Category Mapping'!$A$42:$A$45,0),1),0)</f>
        <v>1.3073575782153422E-4</v>
      </c>
      <c r="I1279" s="10">
        <f>IFERROR(I1174/J$1264/INDEX('Category Mapping'!$B$42:$B$45,MATCH($A1279,'Category Mapping'!$A$42:$A$45,0),1),0)</f>
        <v>1.3073575782153422E-4</v>
      </c>
      <c r="J1279" s="10">
        <f>IFERROR(J1174/K$1264/INDEX('Category Mapping'!$B$42:$B$45,MATCH($A1279,'Category Mapping'!$A$42:$A$45,0),1),0)</f>
        <v>3.0293085099490679E-4</v>
      </c>
      <c r="K1279" s="10">
        <f>IFERROR(K1174/L$1264/INDEX('Category Mapping'!$B$42:$B$45,MATCH($A1279,'Category Mapping'!$A$42:$A$45,0),1),0)</f>
        <v>1.5812887592325291E-7</v>
      </c>
      <c r="L1279" s="10">
        <f>IFERROR(L1174/M$1264/INDEX('Category Mapping'!$B$42:$B$45,MATCH($A1279,'Category Mapping'!$A$42:$A$45,0),1),0)</f>
        <v>0</v>
      </c>
      <c r="M1279" s="10">
        <f>IFERROR(M1174/N$1264/INDEX('Category Mapping'!$B$42:$B$45,MATCH($A1279,'Category Mapping'!$A$42:$A$45,0),1),0)</f>
        <v>1.685207024754286E-4</v>
      </c>
      <c r="N1279" s="10">
        <f>IFERROR(N1174/O$1264/INDEX('Category Mapping'!$B$42:$B$45,MATCH($A1279,'Category Mapping'!$A$42:$A$45,0),1),0)</f>
        <v>1.685207024754286E-4</v>
      </c>
      <c r="O1279" s="10">
        <f>IFERROR(O1174/P$1264/INDEX('Category Mapping'!$B$42:$B$45,MATCH($A1279,'Category Mapping'!$A$42:$A$45,0),1),0)</f>
        <v>1.685207024754286E-4</v>
      </c>
      <c r="P1279" s="10">
        <f>IFERROR(P1174/Q$1264/INDEX('Category Mapping'!$B$42:$B$45,MATCH($A1279,'Category Mapping'!$A$42:$A$45,0),1),0)</f>
        <v>1.3427205647940612E-4</v>
      </c>
      <c r="Q1279" s="10">
        <f>IFERROR(Q1174/R$1264/INDEX('Category Mapping'!$B$42:$B$45,MATCH($A1279,'Category Mapping'!$A$42:$A$45,0),1),0)</f>
        <v>1.3427205647940612E-4</v>
      </c>
      <c r="R1279" s="10">
        <f>IFERROR(R1174/S$1264/INDEX('Category Mapping'!$B$42:$B$45,MATCH($A1279,'Category Mapping'!$A$42:$A$45,0),1),0)</f>
        <v>1.3427205647940612E-4</v>
      </c>
      <c r="S1279" s="10">
        <f>IFERROR(S1174/T$1264/INDEX('Category Mapping'!$B$42:$B$45,MATCH($A1279,'Category Mapping'!$A$42:$A$45,0),1),0)</f>
        <v>1.3427205647940612E-4</v>
      </c>
      <c r="T1279" s="10">
        <f>IFERROR(T1174/U$1264/INDEX('Category Mapping'!$B$42:$B$45,MATCH($A1279,'Category Mapping'!$A$42:$A$45,0),1),0)</f>
        <v>1.3427205647940612E-4</v>
      </c>
      <c r="U1279" s="10">
        <f>IFERROR(U1174/V$1264/INDEX('Category Mapping'!$B$42:$B$45,MATCH($A1279,'Category Mapping'!$A$42:$A$45,0),1),0)</f>
        <v>1.3427205647940612E-4</v>
      </c>
      <c r="V1279" s="10">
        <f>IFERROR(V1174/W$1264/INDEX('Category Mapping'!$B$42:$B$45,MATCH($A1279,'Category Mapping'!$A$42:$A$45,0),1),0)</f>
        <v>1.151763072480149E-4</v>
      </c>
      <c r="W1279" s="10">
        <f>IFERROR(W1174/X$1264/INDEX('Category Mapping'!$B$42:$B$45,MATCH($A1279,'Category Mapping'!$A$42:$A$45,0),1),0)</f>
        <v>1.151763072480149E-4</v>
      </c>
      <c r="X1279" s="10">
        <f>IFERROR(X1174/Y$1264/INDEX('Category Mapping'!$B$42:$B$45,MATCH($A1279,'Category Mapping'!$A$42:$A$45,0),1),0)</f>
        <v>1.151763072480149E-4</v>
      </c>
      <c r="Y1279" s="27"/>
      <c r="Z1279" s="32"/>
    </row>
    <row r="1280" spans="1:26" outlineLevel="1" x14ac:dyDescent="0.3">
      <c r="A1280" t="s">
        <v>137</v>
      </c>
      <c r="B1280" t="s">
        <v>74</v>
      </c>
      <c r="C1280" s="6" t="s">
        <v>149</v>
      </c>
      <c r="D1280" s="10">
        <f>IFERROR(D1175/E$1264/INDEX('Category Mapping'!$B$42:$B$45,MATCH($A1280,'Category Mapping'!$A$42:$A$45,0),1),0)</f>
        <v>2.0387436092398801E-4</v>
      </c>
      <c r="E1280" s="10">
        <f>IFERROR(E1175/F$1264/INDEX('Category Mapping'!$B$42:$B$45,MATCH($A1280,'Category Mapping'!$A$42:$A$45,0),1),0)</f>
        <v>7.934571982492335E-8</v>
      </c>
      <c r="F1280" s="10">
        <f>IFERROR(F1175/G$1264/INDEX('Category Mapping'!$B$42:$B$45,MATCH($A1280,'Category Mapping'!$A$42:$A$45,0),1),0)</f>
        <v>0</v>
      </c>
      <c r="G1280" s="10">
        <f>IFERROR(G1175/H$1264/INDEX('Category Mapping'!$B$42:$B$45,MATCH($A1280,'Category Mapping'!$A$42:$A$45,0),1),0)</f>
        <v>6.3824259926951942E-5</v>
      </c>
      <c r="H1280" s="10">
        <f>IFERROR(H1175/I$1264/INDEX('Category Mapping'!$B$42:$B$45,MATCH($A1280,'Category Mapping'!$A$42:$A$45,0),1),0)</f>
        <v>1.3403993969549679E-4</v>
      </c>
      <c r="I1280" s="10">
        <f>IFERROR(I1175/J$1264/INDEX('Category Mapping'!$B$42:$B$45,MATCH($A1280,'Category Mapping'!$A$42:$A$45,0),1),0)</f>
        <v>1.3403993969549679E-4</v>
      </c>
      <c r="J1280" s="10">
        <f>IFERROR(J1175/K$1264/INDEX('Category Mapping'!$B$42:$B$45,MATCH($A1280,'Category Mapping'!$A$42:$A$45,0),1),0)</f>
        <v>2.6432041797181196E-4</v>
      </c>
      <c r="K1280" s="10">
        <f>IFERROR(K1175/L$1264/INDEX('Category Mapping'!$B$42:$B$45,MATCH($A1280,'Category Mapping'!$A$42:$A$45,0),1),0)</f>
        <v>1.5999033638257428E-7</v>
      </c>
      <c r="L1280" s="10">
        <f>IFERROR(L1175/M$1264/INDEX('Category Mapping'!$B$42:$B$45,MATCH($A1280,'Category Mapping'!$A$42:$A$45,0),1),0)</f>
        <v>0</v>
      </c>
      <c r="M1280" s="10">
        <f>IFERROR(M1175/N$1264/INDEX('Category Mapping'!$B$42:$B$45,MATCH($A1280,'Category Mapping'!$A$42:$A$45,0),1),0)</f>
        <v>1.6803548504416008E-4</v>
      </c>
      <c r="N1280" s="10">
        <f>IFERROR(N1175/O$1264/INDEX('Category Mapping'!$B$42:$B$45,MATCH($A1280,'Category Mapping'!$A$42:$A$45,0),1),0)</f>
        <v>1.6803548504416008E-4</v>
      </c>
      <c r="O1280" s="10">
        <f>IFERROR(O1175/P$1264/INDEX('Category Mapping'!$B$42:$B$45,MATCH($A1280,'Category Mapping'!$A$42:$A$45,0),1),0)</f>
        <v>1.6803548504416008E-4</v>
      </c>
      <c r="P1280" s="10">
        <f>IFERROR(P1175/Q$1264/INDEX('Category Mapping'!$B$42:$B$45,MATCH($A1280,'Category Mapping'!$A$42:$A$45,0),1),0)</f>
        <v>1.3562136899577067E-4</v>
      </c>
      <c r="Q1280" s="10">
        <f>IFERROR(Q1175/R$1264/INDEX('Category Mapping'!$B$42:$B$45,MATCH($A1280,'Category Mapping'!$A$42:$A$45,0),1),0)</f>
        <v>1.3562136899577067E-4</v>
      </c>
      <c r="R1280" s="10">
        <f>IFERROR(R1175/S$1264/INDEX('Category Mapping'!$B$42:$B$45,MATCH($A1280,'Category Mapping'!$A$42:$A$45,0),1),0)</f>
        <v>1.3562136899577067E-4</v>
      </c>
      <c r="S1280" s="10">
        <f>IFERROR(S1175/T$1264/INDEX('Category Mapping'!$B$42:$B$45,MATCH($A1280,'Category Mapping'!$A$42:$A$45,0),1),0)</f>
        <v>1.3562136899577067E-4</v>
      </c>
      <c r="T1280" s="10">
        <f>IFERROR(T1175/U$1264/INDEX('Category Mapping'!$B$42:$B$45,MATCH($A1280,'Category Mapping'!$A$42:$A$45,0),1),0)</f>
        <v>1.3562136899577067E-4</v>
      </c>
      <c r="U1280" s="10">
        <f>IFERROR(U1175/V$1264/INDEX('Category Mapping'!$B$42:$B$45,MATCH($A1280,'Category Mapping'!$A$42:$A$45,0),1),0)</f>
        <v>1.3562136899577067E-4</v>
      </c>
      <c r="V1280" s="10">
        <f>IFERROR(V1175/W$1264/INDEX('Category Mapping'!$B$42:$B$45,MATCH($A1280,'Category Mapping'!$A$42:$A$45,0),1),0)</f>
        <v>1.1482524855646046E-4</v>
      </c>
      <c r="W1280" s="10">
        <f>IFERROR(W1175/X$1264/INDEX('Category Mapping'!$B$42:$B$45,MATCH($A1280,'Category Mapping'!$A$42:$A$45,0),1),0)</f>
        <v>1.1482524855646046E-4</v>
      </c>
      <c r="X1280" s="10">
        <f>IFERROR(X1175/Y$1264/INDEX('Category Mapping'!$B$42:$B$45,MATCH($A1280,'Category Mapping'!$A$42:$A$45,0),1),0)</f>
        <v>1.1482524855646046E-4</v>
      </c>
      <c r="Y1280" s="27"/>
      <c r="Z1280" s="32"/>
    </row>
    <row r="1281" spans="1:26" outlineLevel="1" x14ac:dyDescent="0.3">
      <c r="A1281" t="s">
        <v>137</v>
      </c>
      <c r="B1281" t="s">
        <v>75</v>
      </c>
      <c r="C1281" s="6" t="s">
        <v>150</v>
      </c>
      <c r="D1281" s="10">
        <f>IFERROR(D1176/E$1264/INDEX('Category Mapping'!$B$42:$B$45,MATCH($A1281,'Category Mapping'!$A$42:$A$45,0),1),0)</f>
        <v>2.0278101949071668E-4</v>
      </c>
      <c r="E1281" s="10">
        <f>IFERROR(E1176/F$1264/INDEX('Category Mapping'!$B$42:$B$45,MATCH($A1281,'Category Mapping'!$A$42:$A$45,0),1),0)</f>
        <v>8.5339923127890812E-8</v>
      </c>
      <c r="F1281" s="10">
        <f>IFERROR(F1176/G$1264/INDEX('Category Mapping'!$B$42:$B$45,MATCH($A1281,'Category Mapping'!$A$42:$A$45,0),1),0)</f>
        <v>0</v>
      </c>
      <c r="G1281" s="10">
        <f>IFERROR(G1176/H$1264/INDEX('Category Mapping'!$B$42:$B$45,MATCH($A1281,'Category Mapping'!$A$42:$A$45,0),1),0)</f>
        <v>6.7023003925028934E-5</v>
      </c>
      <c r="H1281" s="10">
        <f>IFERROR(H1176/I$1264/INDEX('Category Mapping'!$B$42:$B$45,MATCH($A1281,'Category Mapping'!$A$42:$A$45,0),1),0)</f>
        <v>1.2729397509466295E-4</v>
      </c>
      <c r="I1281" s="10">
        <f>IFERROR(I1176/J$1264/INDEX('Category Mapping'!$B$42:$B$45,MATCH($A1281,'Category Mapping'!$A$42:$A$45,0),1),0)</f>
        <v>1.2729397509466295E-4</v>
      </c>
      <c r="J1281" s="10">
        <f>IFERROR(J1176/K$1264/INDEX('Category Mapping'!$B$42:$B$45,MATCH($A1281,'Category Mapping'!$A$42:$A$45,0),1),0)</f>
        <v>2.3295127791331642E-4</v>
      </c>
      <c r="K1281" s="10">
        <f>IFERROR(K1176/L$1264/INDEX('Category Mapping'!$B$42:$B$45,MATCH($A1281,'Category Mapping'!$A$42:$A$45,0),1),0)</f>
        <v>1.5501292074217695E-7</v>
      </c>
      <c r="L1281" s="10">
        <f>IFERROR(L1176/M$1264/INDEX('Category Mapping'!$B$42:$B$45,MATCH($A1281,'Category Mapping'!$A$42:$A$45,0),1),0)</f>
        <v>0</v>
      </c>
      <c r="M1281" s="10">
        <f>IFERROR(M1176/N$1264/INDEX('Category Mapping'!$B$42:$B$45,MATCH($A1281,'Category Mapping'!$A$42:$A$45,0),1),0)</f>
        <v>1.655082640517377E-4</v>
      </c>
      <c r="N1281" s="10">
        <f>IFERROR(N1176/O$1264/INDEX('Category Mapping'!$B$42:$B$45,MATCH($A1281,'Category Mapping'!$A$42:$A$45,0),1),0)</f>
        <v>1.655082640517377E-4</v>
      </c>
      <c r="O1281" s="10">
        <f>IFERROR(O1176/P$1264/INDEX('Category Mapping'!$B$42:$B$45,MATCH($A1281,'Category Mapping'!$A$42:$A$45,0),1),0)</f>
        <v>1.655082640517377E-4</v>
      </c>
      <c r="P1281" s="10">
        <f>IFERROR(P1176/Q$1264/INDEX('Category Mapping'!$B$42:$B$45,MATCH($A1281,'Category Mapping'!$A$42:$A$45,0),1),0)</f>
        <v>1.3696272144016357E-4</v>
      </c>
      <c r="Q1281" s="10">
        <f>IFERROR(Q1176/R$1264/INDEX('Category Mapping'!$B$42:$B$45,MATCH($A1281,'Category Mapping'!$A$42:$A$45,0),1),0)</f>
        <v>1.3696272144016357E-4</v>
      </c>
      <c r="R1281" s="10">
        <f>IFERROR(R1176/S$1264/INDEX('Category Mapping'!$B$42:$B$45,MATCH($A1281,'Category Mapping'!$A$42:$A$45,0),1),0)</f>
        <v>1.3696272144016357E-4</v>
      </c>
      <c r="S1281" s="10">
        <f>IFERROR(S1176/T$1264/INDEX('Category Mapping'!$B$42:$B$45,MATCH($A1281,'Category Mapping'!$A$42:$A$45,0),1),0)</f>
        <v>1.3696272144016357E-4</v>
      </c>
      <c r="T1281" s="10">
        <f>IFERROR(T1176/U$1264/INDEX('Category Mapping'!$B$42:$B$45,MATCH($A1281,'Category Mapping'!$A$42:$A$45,0),1),0)</f>
        <v>1.3696272144016357E-4</v>
      </c>
      <c r="U1281" s="10">
        <f>IFERROR(U1176/V$1264/INDEX('Category Mapping'!$B$42:$B$45,MATCH($A1281,'Category Mapping'!$A$42:$A$45,0),1),0)</f>
        <v>1.3696272144016357E-4</v>
      </c>
      <c r="V1281" s="10">
        <f>IFERROR(V1176/W$1264/INDEX('Category Mapping'!$B$42:$B$45,MATCH($A1281,'Category Mapping'!$A$42:$A$45,0),1),0)</f>
        <v>1.145487362492049E-4</v>
      </c>
      <c r="W1281" s="10">
        <f>IFERROR(W1176/X$1264/INDEX('Category Mapping'!$B$42:$B$45,MATCH($A1281,'Category Mapping'!$A$42:$A$45,0),1),0)</f>
        <v>1.145487362492049E-4</v>
      </c>
      <c r="X1281" s="10">
        <f>IFERROR(X1176/Y$1264/INDEX('Category Mapping'!$B$42:$B$45,MATCH($A1281,'Category Mapping'!$A$42:$A$45,0),1),0)</f>
        <v>1.145487362492049E-4</v>
      </c>
      <c r="Y1281" s="27"/>
      <c r="Z1281" s="32"/>
    </row>
    <row r="1282" spans="1:26" outlineLevel="1" x14ac:dyDescent="0.3">
      <c r="A1282" t="s">
        <v>137</v>
      </c>
      <c r="B1282" t="s">
        <v>76</v>
      </c>
      <c r="C1282" s="6" t="s">
        <v>151</v>
      </c>
      <c r="D1282" s="10">
        <f>IFERROR(D1177/E$1264/INDEX('Category Mapping'!$B$42:$B$45,MATCH($A1282,'Category Mapping'!$A$42:$A$45,0),1),0)</f>
        <v>2.0024964185295463E-4</v>
      </c>
      <c r="E1282" s="10">
        <f>IFERROR(E1177/F$1264/INDEX('Category Mapping'!$B$42:$B$45,MATCH($A1282,'Category Mapping'!$A$42:$A$45,0),1),0)</f>
        <v>8.7602921189217749E-8</v>
      </c>
      <c r="F1282" s="10">
        <f>IFERROR(F1177/G$1264/INDEX('Category Mapping'!$B$42:$B$45,MATCH($A1282,'Category Mapping'!$A$42:$A$45,0),1),0)</f>
        <v>0</v>
      </c>
      <c r="G1282" s="10">
        <f>IFERROR(G1177/H$1264/INDEX('Category Mapping'!$B$42:$B$45,MATCH($A1282,'Category Mapping'!$A$42:$A$45,0),1),0)</f>
        <v>6.7757174174093112E-5</v>
      </c>
      <c r="H1282" s="10">
        <f>IFERROR(H1177/I$1264/INDEX('Category Mapping'!$B$42:$B$45,MATCH($A1282,'Category Mapping'!$A$42:$A$45,0),1),0)</f>
        <v>1.2236545550936879E-4</v>
      </c>
      <c r="I1282" s="10">
        <f>IFERROR(I1177/J$1264/INDEX('Category Mapping'!$B$42:$B$45,MATCH($A1282,'Category Mapping'!$A$42:$A$45,0),1),0)</f>
        <v>1.2236545550936879E-4</v>
      </c>
      <c r="J1282" s="10">
        <f>IFERROR(J1177/K$1264/INDEX('Category Mapping'!$B$42:$B$45,MATCH($A1282,'Category Mapping'!$A$42:$A$45,0),1),0)</f>
        <v>2.1752117173853638E-4</v>
      </c>
      <c r="K1282" s="10">
        <f>IFERROR(K1177/L$1264/INDEX('Category Mapping'!$B$42:$B$45,MATCH($A1282,'Category Mapping'!$A$42:$A$45,0),1),0)</f>
        <v>1.5816942704757078E-7</v>
      </c>
      <c r="L1282" s="10">
        <f>IFERROR(L1177/M$1264/INDEX('Category Mapping'!$B$42:$B$45,MATCH($A1282,'Category Mapping'!$A$42:$A$45,0),1),0)</f>
        <v>0</v>
      </c>
      <c r="M1282" s="10">
        <f>IFERROR(M1177/N$1264/INDEX('Category Mapping'!$B$42:$B$45,MATCH($A1282,'Category Mapping'!$A$42:$A$45,0),1),0)</f>
        <v>1.6499198613711518E-4</v>
      </c>
      <c r="N1282" s="10">
        <f>IFERROR(N1177/O$1264/INDEX('Category Mapping'!$B$42:$B$45,MATCH($A1282,'Category Mapping'!$A$42:$A$45,0),1),0)</f>
        <v>1.6499198613711518E-4</v>
      </c>
      <c r="O1282" s="10">
        <f>IFERROR(O1177/P$1264/INDEX('Category Mapping'!$B$42:$B$45,MATCH($A1282,'Category Mapping'!$A$42:$A$45,0),1),0)</f>
        <v>1.6499198613711518E-4</v>
      </c>
      <c r="P1282" s="10">
        <f>IFERROR(P1177/Q$1264/INDEX('Category Mapping'!$B$42:$B$45,MATCH($A1282,'Category Mapping'!$A$42:$A$45,0),1),0)</f>
        <v>1.3521606851643619E-4</v>
      </c>
      <c r="Q1282" s="10">
        <f>IFERROR(Q1177/R$1264/INDEX('Category Mapping'!$B$42:$B$45,MATCH($A1282,'Category Mapping'!$A$42:$A$45,0),1),0)</f>
        <v>1.3521606851643619E-4</v>
      </c>
      <c r="R1282" s="10">
        <f>IFERROR(R1177/S$1264/INDEX('Category Mapping'!$B$42:$B$45,MATCH($A1282,'Category Mapping'!$A$42:$A$45,0),1),0)</f>
        <v>1.3521606851643619E-4</v>
      </c>
      <c r="S1282" s="10">
        <f>IFERROR(S1177/T$1264/INDEX('Category Mapping'!$B$42:$B$45,MATCH($A1282,'Category Mapping'!$A$42:$A$45,0),1),0)</f>
        <v>1.3521606851643619E-4</v>
      </c>
      <c r="T1282" s="10">
        <f>IFERROR(T1177/U$1264/INDEX('Category Mapping'!$B$42:$B$45,MATCH($A1282,'Category Mapping'!$A$42:$A$45,0),1),0)</f>
        <v>1.3521606851643619E-4</v>
      </c>
      <c r="U1282" s="10">
        <f>IFERROR(U1177/V$1264/INDEX('Category Mapping'!$B$42:$B$45,MATCH($A1282,'Category Mapping'!$A$42:$A$45,0),1),0)</f>
        <v>1.3521606851643619E-4</v>
      </c>
      <c r="V1282" s="10">
        <f>IFERROR(V1177/W$1264/INDEX('Category Mapping'!$B$42:$B$45,MATCH($A1282,'Category Mapping'!$A$42:$A$45,0),1),0)</f>
        <v>1.1443346324600791E-4</v>
      </c>
      <c r="W1282" s="10">
        <f>IFERROR(W1177/X$1264/INDEX('Category Mapping'!$B$42:$B$45,MATCH($A1282,'Category Mapping'!$A$42:$A$45,0),1),0)</f>
        <v>1.1443346324600791E-4</v>
      </c>
      <c r="X1282" s="10">
        <f>IFERROR(X1177/Y$1264/INDEX('Category Mapping'!$B$42:$B$45,MATCH($A1282,'Category Mapping'!$A$42:$A$45,0),1),0)</f>
        <v>1.1443346324600791E-4</v>
      </c>
      <c r="Y1282" s="27"/>
      <c r="Z1282" s="32"/>
    </row>
    <row r="1283" spans="1:26" outlineLevel="1" x14ac:dyDescent="0.3">
      <c r="A1283" t="s">
        <v>137</v>
      </c>
      <c r="B1283" t="s">
        <v>77</v>
      </c>
      <c r="C1283" s="6" t="s">
        <v>152</v>
      </c>
      <c r="D1283" s="10">
        <f>IFERROR(D1178/E$1264/INDEX('Category Mapping'!$B$42:$B$45,MATCH($A1283,'Category Mapping'!$A$42:$A$45,0),1),0)</f>
        <v>2.0054004115579541E-4</v>
      </c>
      <c r="E1283" s="10">
        <f>IFERROR(E1178/F$1264/INDEX('Category Mapping'!$B$42:$B$45,MATCH($A1283,'Category Mapping'!$A$42:$A$45,0),1),0)</f>
        <v>9.0576261652605875E-8</v>
      </c>
      <c r="F1283" s="10">
        <f>IFERROR(F1178/G$1264/INDEX('Category Mapping'!$B$42:$B$45,MATCH($A1283,'Category Mapping'!$A$42:$A$45,0),1),0)</f>
        <v>0</v>
      </c>
      <c r="G1283" s="10">
        <f>IFERROR(G1178/H$1264/INDEX('Category Mapping'!$B$42:$B$45,MATCH($A1283,'Category Mapping'!$A$42:$A$45,0),1),0)</f>
        <v>6.8890144444653693E-5</v>
      </c>
      <c r="H1283" s="10">
        <f>IFERROR(H1178/I$1264/INDEX('Category Mapping'!$B$42:$B$45,MATCH($A1283,'Category Mapping'!$A$42:$A$45,0),1),0)</f>
        <v>1.2681907295608827E-4</v>
      </c>
      <c r="I1283" s="10">
        <f>IFERROR(I1178/J$1264/INDEX('Category Mapping'!$B$42:$B$45,MATCH($A1283,'Category Mapping'!$A$42:$A$45,0),1),0)</f>
        <v>1.2681907295608827E-4</v>
      </c>
      <c r="J1283" s="10">
        <f>IFERROR(J1178/K$1264/INDEX('Category Mapping'!$B$42:$B$45,MATCH($A1283,'Category Mapping'!$A$42:$A$45,0),1),0)</f>
        <v>2.0425834766566375E-4</v>
      </c>
      <c r="K1283" s="10">
        <f>IFERROR(K1178/L$1264/INDEX('Category Mapping'!$B$42:$B$45,MATCH($A1283,'Category Mapping'!$A$42:$A$45,0),1),0)</f>
        <v>1.6156636913341647E-7</v>
      </c>
      <c r="L1283" s="10">
        <f>IFERROR(L1178/M$1264/INDEX('Category Mapping'!$B$42:$B$45,MATCH($A1283,'Category Mapping'!$A$42:$A$45,0),1),0)</f>
        <v>0</v>
      </c>
      <c r="M1283" s="10">
        <f>IFERROR(M1178/N$1264/INDEX('Category Mapping'!$B$42:$B$45,MATCH($A1283,'Category Mapping'!$A$42:$A$45,0),1),0)</f>
        <v>1.6423127350752263E-4</v>
      </c>
      <c r="N1283" s="10">
        <f>IFERROR(N1178/O$1264/INDEX('Category Mapping'!$B$42:$B$45,MATCH($A1283,'Category Mapping'!$A$42:$A$45,0),1),0)</f>
        <v>1.6423127350752263E-4</v>
      </c>
      <c r="O1283" s="10">
        <f>IFERROR(O1178/P$1264/INDEX('Category Mapping'!$B$42:$B$45,MATCH($A1283,'Category Mapping'!$A$42:$A$45,0),1),0)</f>
        <v>1.6423127350752263E-4</v>
      </c>
      <c r="P1283" s="10">
        <f>IFERROR(P1178/Q$1264/INDEX('Category Mapping'!$B$42:$B$45,MATCH($A1283,'Category Mapping'!$A$42:$A$45,0),1),0)</f>
        <v>1.3380088577784232E-4</v>
      </c>
      <c r="Q1283" s="10">
        <f>IFERROR(Q1178/R$1264/INDEX('Category Mapping'!$B$42:$B$45,MATCH($A1283,'Category Mapping'!$A$42:$A$45,0),1),0)</f>
        <v>1.3380088577784232E-4</v>
      </c>
      <c r="R1283" s="10">
        <f>IFERROR(R1178/S$1264/INDEX('Category Mapping'!$B$42:$B$45,MATCH($A1283,'Category Mapping'!$A$42:$A$45,0),1),0)</f>
        <v>1.3380088577784232E-4</v>
      </c>
      <c r="S1283" s="10">
        <f>IFERROR(S1178/T$1264/INDEX('Category Mapping'!$B$42:$B$45,MATCH($A1283,'Category Mapping'!$A$42:$A$45,0),1),0)</f>
        <v>1.3380088577784232E-4</v>
      </c>
      <c r="T1283" s="10">
        <f>IFERROR(T1178/U$1264/INDEX('Category Mapping'!$B$42:$B$45,MATCH($A1283,'Category Mapping'!$A$42:$A$45,0),1),0)</f>
        <v>1.3380088577784232E-4</v>
      </c>
      <c r="U1283" s="10">
        <f>IFERROR(U1178/V$1264/INDEX('Category Mapping'!$B$42:$B$45,MATCH($A1283,'Category Mapping'!$A$42:$A$45,0),1),0)</f>
        <v>1.3380088577784232E-4</v>
      </c>
      <c r="V1283" s="10">
        <f>IFERROR(V1178/W$1264/INDEX('Category Mapping'!$B$42:$B$45,MATCH($A1283,'Category Mapping'!$A$42:$A$45,0),1),0)</f>
        <v>1.1466305658295396E-4</v>
      </c>
      <c r="W1283" s="10">
        <f>IFERROR(W1178/X$1264/INDEX('Category Mapping'!$B$42:$B$45,MATCH($A1283,'Category Mapping'!$A$42:$A$45,0),1),0)</f>
        <v>1.1466305658295396E-4</v>
      </c>
      <c r="X1283" s="10">
        <f>IFERROR(X1178/Y$1264/INDEX('Category Mapping'!$B$42:$B$45,MATCH($A1283,'Category Mapping'!$A$42:$A$45,0),1),0)</f>
        <v>1.1466305658295396E-4</v>
      </c>
      <c r="Y1283" s="27"/>
      <c r="Z1283" s="32"/>
    </row>
    <row r="1284" spans="1:26" outlineLevel="1" x14ac:dyDescent="0.3">
      <c r="A1284" t="s">
        <v>137</v>
      </c>
      <c r="B1284" t="s">
        <v>78</v>
      </c>
      <c r="C1284" s="6" t="s">
        <v>153</v>
      </c>
      <c r="D1284" s="10">
        <f>IFERROR(D1179/E$1264/INDEX('Category Mapping'!$B$42:$B$45,MATCH($A1284,'Category Mapping'!$A$42:$A$45,0),1),0)</f>
        <v>2.0833429747917897E-4</v>
      </c>
      <c r="E1284" s="10">
        <f>IFERROR(E1179/F$1264/INDEX('Category Mapping'!$B$42:$B$45,MATCH($A1284,'Category Mapping'!$A$42:$A$45,0),1),0)</f>
        <v>9.7084866779685109E-8</v>
      </c>
      <c r="F1284" s="10">
        <f>IFERROR(F1179/G$1264/INDEX('Category Mapping'!$B$42:$B$45,MATCH($A1284,'Category Mapping'!$A$42:$A$45,0),1),0)</f>
        <v>0</v>
      </c>
      <c r="G1284" s="10">
        <f>IFERROR(G1179/H$1264/INDEX('Category Mapping'!$B$42:$B$45,MATCH($A1284,'Category Mapping'!$A$42:$A$45,0),1),0)</f>
        <v>7.3452409561715326E-5</v>
      </c>
      <c r="H1284" s="10">
        <f>IFERROR(H1179/I$1264/INDEX('Category Mapping'!$B$42:$B$45,MATCH($A1284,'Category Mapping'!$A$42:$A$45,0),1),0)</f>
        <v>1.3976974377661859E-4</v>
      </c>
      <c r="I1284" s="10">
        <f>IFERROR(I1179/J$1264/INDEX('Category Mapping'!$B$42:$B$45,MATCH($A1284,'Category Mapping'!$A$42:$A$45,0),1),0)</f>
        <v>1.3976974377661859E-4</v>
      </c>
      <c r="J1284" s="10">
        <f>IFERROR(J1179/K$1264/INDEX('Category Mapping'!$B$42:$B$45,MATCH($A1284,'Category Mapping'!$A$42:$A$45,0),1),0)</f>
        <v>1.9844579016275139E-4</v>
      </c>
      <c r="K1284" s="10">
        <f>IFERROR(K1179/L$1264/INDEX('Category Mapping'!$B$42:$B$45,MATCH($A1284,'Category Mapping'!$A$42:$A$45,0),1),0)</f>
        <v>1.6163022740586508E-7</v>
      </c>
      <c r="L1284" s="10">
        <f>IFERROR(L1179/M$1264/INDEX('Category Mapping'!$B$42:$B$45,MATCH($A1284,'Category Mapping'!$A$42:$A$45,0),1),0)</f>
        <v>0</v>
      </c>
      <c r="M1284" s="10">
        <f>IFERROR(M1179/N$1264/INDEX('Category Mapping'!$B$42:$B$45,MATCH($A1284,'Category Mapping'!$A$42:$A$45,0),1),0)</f>
        <v>1.6324403338637466E-4</v>
      </c>
      <c r="N1284" s="10">
        <f>IFERROR(N1179/O$1264/INDEX('Category Mapping'!$B$42:$B$45,MATCH($A1284,'Category Mapping'!$A$42:$A$45,0),1),0)</f>
        <v>1.6324403338637466E-4</v>
      </c>
      <c r="O1284" s="10">
        <f>IFERROR(O1179/P$1264/INDEX('Category Mapping'!$B$42:$B$45,MATCH($A1284,'Category Mapping'!$A$42:$A$45,0),1),0)</f>
        <v>1.6324403338637466E-4</v>
      </c>
      <c r="P1284" s="10">
        <f>IFERROR(P1179/Q$1264/INDEX('Category Mapping'!$B$42:$B$45,MATCH($A1284,'Category Mapping'!$A$42:$A$45,0),1),0)</f>
        <v>1.5479495892900712E-4</v>
      </c>
      <c r="Q1284" s="10">
        <f>IFERROR(Q1179/R$1264/INDEX('Category Mapping'!$B$42:$B$45,MATCH($A1284,'Category Mapping'!$A$42:$A$45,0),1),0)</f>
        <v>1.5479495892900712E-4</v>
      </c>
      <c r="R1284" s="10">
        <f>IFERROR(R1179/S$1264/INDEX('Category Mapping'!$B$42:$B$45,MATCH($A1284,'Category Mapping'!$A$42:$A$45,0),1),0)</f>
        <v>1.5479495892900712E-4</v>
      </c>
      <c r="S1284" s="10">
        <f>IFERROR(S1179/T$1264/INDEX('Category Mapping'!$B$42:$B$45,MATCH($A1284,'Category Mapping'!$A$42:$A$45,0),1),0)</f>
        <v>1.5479495892900712E-4</v>
      </c>
      <c r="T1284" s="10">
        <f>IFERROR(T1179/U$1264/INDEX('Category Mapping'!$B$42:$B$45,MATCH($A1284,'Category Mapping'!$A$42:$A$45,0),1),0)</f>
        <v>1.5479495892900712E-4</v>
      </c>
      <c r="U1284" s="10">
        <f>IFERROR(U1179/V$1264/INDEX('Category Mapping'!$B$42:$B$45,MATCH($A1284,'Category Mapping'!$A$42:$A$45,0),1),0)</f>
        <v>1.5479495892900712E-4</v>
      </c>
      <c r="V1284" s="10">
        <f>IFERROR(V1179/W$1264/INDEX('Category Mapping'!$B$42:$B$45,MATCH($A1284,'Category Mapping'!$A$42:$A$45,0),1),0)</f>
        <v>1.1568265105957846E-4</v>
      </c>
      <c r="W1284" s="10">
        <f>IFERROR(W1179/X$1264/INDEX('Category Mapping'!$B$42:$B$45,MATCH($A1284,'Category Mapping'!$A$42:$A$45,0),1),0)</f>
        <v>1.1568265105957846E-4</v>
      </c>
      <c r="X1284" s="10">
        <f>IFERROR(X1179/Y$1264/INDEX('Category Mapping'!$B$42:$B$45,MATCH($A1284,'Category Mapping'!$A$42:$A$45,0),1),0)</f>
        <v>1.1568265105957846E-4</v>
      </c>
      <c r="Y1284" s="27"/>
      <c r="Z1284" s="32"/>
    </row>
    <row r="1285" spans="1:26" outlineLevel="1" x14ac:dyDescent="0.3">
      <c r="A1285" t="s">
        <v>137</v>
      </c>
      <c r="B1285" t="s">
        <v>79</v>
      </c>
      <c r="C1285" s="6" t="s">
        <v>154</v>
      </c>
      <c r="D1285" s="10">
        <f>IFERROR(D1180/E$1264/INDEX('Category Mapping'!$B$42:$B$45,MATCH($A1285,'Category Mapping'!$A$42:$A$45,0),1),0)</f>
        <v>2.1997912819982115E-4</v>
      </c>
      <c r="E1285" s="10">
        <f>IFERROR(E1180/F$1264/INDEX('Category Mapping'!$B$42:$B$45,MATCH($A1285,'Category Mapping'!$A$42:$A$45,0),1),0)</f>
        <v>1.0438987133023385E-7</v>
      </c>
      <c r="F1285" s="10">
        <f>IFERROR(F1180/G$1264/INDEX('Category Mapping'!$B$42:$B$45,MATCH($A1285,'Category Mapping'!$A$42:$A$45,0),1),0)</f>
        <v>0</v>
      </c>
      <c r="G1285" s="10">
        <f>IFERROR(G1180/H$1264/INDEX('Category Mapping'!$B$42:$B$45,MATCH($A1285,'Category Mapping'!$A$42:$A$45,0),1),0)</f>
        <v>1.997488106362369E-4</v>
      </c>
      <c r="H1285" s="10">
        <f>IFERROR(H1180/I$1264/INDEX('Category Mapping'!$B$42:$B$45,MATCH($A1285,'Category Mapping'!$A$42:$A$45,0),1),0)</f>
        <v>1.6531039585275891E-4</v>
      </c>
      <c r="I1285" s="10">
        <f>IFERROR(I1180/J$1264/INDEX('Category Mapping'!$B$42:$B$45,MATCH($A1285,'Category Mapping'!$A$42:$A$45,0),1),0)</f>
        <v>1.6531039585275891E-4</v>
      </c>
      <c r="J1285" s="10">
        <f>IFERROR(J1180/K$1264/INDEX('Category Mapping'!$B$42:$B$45,MATCH($A1285,'Category Mapping'!$A$42:$A$45,0),1),0)</f>
        <v>1.9558999187813179E-4</v>
      </c>
      <c r="K1285" s="10">
        <f>IFERROR(K1180/L$1264/INDEX('Category Mapping'!$B$42:$B$45,MATCH($A1285,'Category Mapping'!$A$42:$A$45,0),1),0)</f>
        <v>1.5852409937185118E-7</v>
      </c>
      <c r="L1285" s="10">
        <f>IFERROR(L1180/M$1264/INDEX('Category Mapping'!$B$42:$B$45,MATCH($A1285,'Category Mapping'!$A$42:$A$45,0),1),0)</f>
        <v>0</v>
      </c>
      <c r="M1285" s="10">
        <f>IFERROR(M1180/N$1264/INDEX('Category Mapping'!$B$42:$B$45,MATCH($A1285,'Category Mapping'!$A$42:$A$45,0),1),0)</f>
        <v>1.5765404812284492E-4</v>
      </c>
      <c r="N1285" s="10">
        <f>IFERROR(N1180/O$1264/INDEX('Category Mapping'!$B$42:$B$45,MATCH($A1285,'Category Mapping'!$A$42:$A$45,0),1),0)</f>
        <v>1.5765404812284492E-4</v>
      </c>
      <c r="O1285" s="10">
        <f>IFERROR(O1180/P$1264/INDEX('Category Mapping'!$B$42:$B$45,MATCH($A1285,'Category Mapping'!$A$42:$A$45,0),1),0)</f>
        <v>1.5765404812284492E-4</v>
      </c>
      <c r="P1285" s="10">
        <f>IFERROR(P1180/Q$1264/INDEX('Category Mapping'!$B$42:$B$45,MATCH($A1285,'Category Mapping'!$A$42:$A$45,0),1),0)</f>
        <v>1.782426750056659E-4</v>
      </c>
      <c r="Q1285" s="10">
        <f>IFERROR(Q1180/R$1264/INDEX('Category Mapping'!$B$42:$B$45,MATCH($A1285,'Category Mapping'!$A$42:$A$45,0),1),0)</f>
        <v>1.782426750056659E-4</v>
      </c>
      <c r="R1285" s="10">
        <f>IFERROR(R1180/S$1264/INDEX('Category Mapping'!$B$42:$B$45,MATCH($A1285,'Category Mapping'!$A$42:$A$45,0),1),0)</f>
        <v>1.782426750056659E-4</v>
      </c>
      <c r="S1285" s="10">
        <f>IFERROR(S1180/T$1264/INDEX('Category Mapping'!$B$42:$B$45,MATCH($A1285,'Category Mapping'!$A$42:$A$45,0),1),0)</f>
        <v>1.782426750056659E-4</v>
      </c>
      <c r="T1285" s="10">
        <f>IFERROR(T1180/U$1264/INDEX('Category Mapping'!$B$42:$B$45,MATCH($A1285,'Category Mapping'!$A$42:$A$45,0),1),0)</f>
        <v>1.782426750056659E-4</v>
      </c>
      <c r="U1285" s="10">
        <f>IFERROR(U1180/V$1264/INDEX('Category Mapping'!$B$42:$B$45,MATCH($A1285,'Category Mapping'!$A$42:$A$45,0),1),0)</f>
        <v>1.782426750056659E-4</v>
      </c>
      <c r="V1285" s="10">
        <f>IFERROR(V1180/W$1264/INDEX('Category Mapping'!$B$42:$B$45,MATCH($A1285,'Category Mapping'!$A$42:$A$45,0),1),0)</f>
        <v>1.1685252914161059E-4</v>
      </c>
      <c r="W1285" s="10">
        <f>IFERROR(W1180/X$1264/INDEX('Category Mapping'!$B$42:$B$45,MATCH($A1285,'Category Mapping'!$A$42:$A$45,0),1),0)</f>
        <v>1.1685252914161059E-4</v>
      </c>
      <c r="X1285" s="10">
        <f>IFERROR(X1180/Y$1264/INDEX('Category Mapping'!$B$42:$B$45,MATCH($A1285,'Category Mapping'!$A$42:$A$45,0),1),0)</f>
        <v>1.1685252914161059E-4</v>
      </c>
      <c r="Y1285" s="27"/>
      <c r="Z1285" s="32"/>
    </row>
    <row r="1286" spans="1:26" outlineLevel="1" x14ac:dyDescent="0.3">
      <c r="A1286" t="s">
        <v>137</v>
      </c>
      <c r="B1286" t="s">
        <v>80</v>
      </c>
      <c r="C1286" s="6" t="s">
        <v>155</v>
      </c>
      <c r="D1286" s="10">
        <f>IFERROR(D1181/E$1264/INDEX('Category Mapping'!$B$42:$B$45,MATCH($A1286,'Category Mapping'!$A$42:$A$45,0),1),0)</f>
        <v>2.3508506788347754E-4</v>
      </c>
      <c r="E1286" s="10">
        <f>IFERROR(E1181/F$1264/INDEX('Category Mapping'!$B$42:$B$45,MATCH($A1286,'Category Mapping'!$A$42:$A$45,0),1),0)</f>
        <v>1.1331812644709609E-7</v>
      </c>
      <c r="F1286" s="10">
        <f>IFERROR(F1181/G$1264/INDEX('Category Mapping'!$B$42:$B$45,MATCH($A1286,'Category Mapping'!$A$42:$A$45,0),1),0)</f>
        <v>0</v>
      </c>
      <c r="G1286" s="10">
        <f>IFERROR(G1181/H$1264/INDEX('Category Mapping'!$B$42:$B$45,MATCH($A1286,'Category Mapping'!$A$42:$A$45,0),1),0)</f>
        <v>2.8542628616632374E-4</v>
      </c>
      <c r="H1286" s="10">
        <f>IFERROR(H1181/I$1264/INDEX('Category Mapping'!$B$42:$B$45,MATCH($A1286,'Category Mapping'!$A$42:$A$45,0),1),0)</f>
        <v>1.7928841206362895E-4</v>
      </c>
      <c r="I1286" s="10">
        <f>IFERROR(I1181/J$1264/INDEX('Category Mapping'!$B$42:$B$45,MATCH($A1286,'Category Mapping'!$A$42:$A$45,0),1),0)</f>
        <v>1.7928841206362895E-4</v>
      </c>
      <c r="J1286" s="10">
        <f>IFERROR(J1181/K$1264/INDEX('Category Mapping'!$B$42:$B$45,MATCH($A1286,'Category Mapping'!$A$42:$A$45,0),1),0)</f>
        <v>2.0162401627395456E-4</v>
      </c>
      <c r="K1286" s="10">
        <f>IFERROR(K1181/L$1264/INDEX('Category Mapping'!$B$42:$B$45,MATCH($A1286,'Category Mapping'!$A$42:$A$45,0),1),0)</f>
        <v>1.5162071645646704E-7</v>
      </c>
      <c r="L1286" s="10">
        <f>IFERROR(L1181/M$1264/INDEX('Category Mapping'!$B$42:$B$45,MATCH($A1286,'Category Mapping'!$A$42:$A$45,0),1),0)</f>
        <v>0</v>
      </c>
      <c r="M1286" s="10">
        <f>IFERROR(M1181/N$1264/INDEX('Category Mapping'!$B$42:$B$45,MATCH($A1286,'Category Mapping'!$A$42:$A$45,0),1),0)</f>
        <v>1.4888799872238428E-4</v>
      </c>
      <c r="N1286" s="10">
        <f>IFERROR(N1181/O$1264/INDEX('Category Mapping'!$B$42:$B$45,MATCH($A1286,'Category Mapping'!$A$42:$A$45,0),1),0)</f>
        <v>1.4888799872238428E-4</v>
      </c>
      <c r="O1286" s="10">
        <f>IFERROR(O1181/P$1264/INDEX('Category Mapping'!$B$42:$B$45,MATCH($A1286,'Category Mapping'!$A$42:$A$45,0),1),0)</f>
        <v>1.4888799872238428E-4</v>
      </c>
      <c r="P1286" s="10">
        <f>IFERROR(P1181/Q$1264/INDEX('Category Mapping'!$B$42:$B$45,MATCH($A1286,'Category Mapping'!$A$42:$A$45,0),1),0)</f>
        <v>1.8653800938312401E-4</v>
      </c>
      <c r="Q1286" s="10">
        <f>IFERROR(Q1181/R$1264/INDEX('Category Mapping'!$B$42:$B$45,MATCH($A1286,'Category Mapping'!$A$42:$A$45,0),1),0)</f>
        <v>1.8653800938312401E-4</v>
      </c>
      <c r="R1286" s="10">
        <f>IFERROR(R1181/S$1264/INDEX('Category Mapping'!$B$42:$B$45,MATCH($A1286,'Category Mapping'!$A$42:$A$45,0),1),0)</f>
        <v>1.8653800938312401E-4</v>
      </c>
      <c r="S1286" s="10">
        <f>IFERROR(S1181/T$1264/INDEX('Category Mapping'!$B$42:$B$45,MATCH($A1286,'Category Mapping'!$A$42:$A$45,0),1),0)</f>
        <v>1.8653800938312401E-4</v>
      </c>
      <c r="T1286" s="10">
        <f>IFERROR(T1181/U$1264/INDEX('Category Mapping'!$B$42:$B$45,MATCH($A1286,'Category Mapping'!$A$42:$A$45,0),1),0)</f>
        <v>1.8653800938312401E-4</v>
      </c>
      <c r="U1286" s="10">
        <f>IFERROR(U1181/V$1264/INDEX('Category Mapping'!$B$42:$B$45,MATCH($A1286,'Category Mapping'!$A$42:$A$45,0),1),0)</f>
        <v>1.8653800938312401E-4</v>
      </c>
      <c r="V1286" s="10">
        <f>IFERROR(V1181/W$1264/INDEX('Category Mapping'!$B$42:$B$45,MATCH($A1286,'Category Mapping'!$A$42:$A$45,0),1),0)</f>
        <v>1.1709569801818934E-4</v>
      </c>
      <c r="W1286" s="10">
        <f>IFERROR(W1181/X$1264/INDEX('Category Mapping'!$B$42:$B$45,MATCH($A1286,'Category Mapping'!$A$42:$A$45,0),1),0)</f>
        <v>1.1709569801818934E-4</v>
      </c>
      <c r="X1286" s="10">
        <f>IFERROR(X1181/Y$1264/INDEX('Category Mapping'!$B$42:$B$45,MATCH($A1286,'Category Mapping'!$A$42:$A$45,0),1),0)</f>
        <v>1.1709569801818934E-4</v>
      </c>
      <c r="Y1286" s="27"/>
      <c r="Z1286" s="32"/>
    </row>
    <row r="1287" spans="1:26" outlineLevel="1" x14ac:dyDescent="0.3">
      <c r="A1287" t="s">
        <v>137</v>
      </c>
      <c r="B1287" t="s">
        <v>81</v>
      </c>
      <c r="C1287" s="6" t="s">
        <v>156</v>
      </c>
      <c r="D1287" s="10">
        <f>IFERROR(D1182/E$1264/INDEX('Category Mapping'!$B$42:$B$45,MATCH($A1287,'Category Mapping'!$A$42:$A$45,0),1),0)</f>
        <v>2.5330036154252197E-4</v>
      </c>
      <c r="E1287" s="10">
        <f>IFERROR(E1182/F$1264/INDEX('Category Mapping'!$B$42:$B$45,MATCH($A1287,'Category Mapping'!$A$42:$A$45,0),1),0)</f>
        <v>1.2481182582061769E-7</v>
      </c>
      <c r="F1287" s="10">
        <f>IFERROR(F1182/G$1264/INDEX('Category Mapping'!$B$42:$B$45,MATCH($A1287,'Category Mapping'!$A$42:$A$45,0),1),0)</f>
        <v>0</v>
      </c>
      <c r="G1287" s="10">
        <f>IFERROR(G1182/H$1264/INDEX('Category Mapping'!$B$42:$B$45,MATCH($A1287,'Category Mapping'!$A$42:$A$45,0),1),0)</f>
        <v>3.102584441102373E-4</v>
      </c>
      <c r="H1287" s="10">
        <f>IFERROR(H1182/I$1264/INDEX('Category Mapping'!$B$42:$B$45,MATCH($A1287,'Category Mapping'!$A$42:$A$45,0),1),0)</f>
        <v>1.7488569037586089E-4</v>
      </c>
      <c r="I1287" s="10">
        <f>IFERROR(I1182/J$1264/INDEX('Category Mapping'!$B$42:$B$45,MATCH($A1287,'Category Mapping'!$A$42:$A$45,0),1),0)</f>
        <v>1.7488569037586089E-4</v>
      </c>
      <c r="J1287" s="10">
        <f>IFERROR(J1182/K$1264/INDEX('Category Mapping'!$B$42:$B$45,MATCH($A1287,'Category Mapping'!$A$42:$A$45,0),1),0)</f>
        <v>2.3530675531231249E-4</v>
      </c>
      <c r="K1287" s="10">
        <f>IFERROR(K1182/L$1264/INDEX('Category Mapping'!$B$42:$B$45,MATCH($A1287,'Category Mapping'!$A$42:$A$45,0),1),0)</f>
        <v>1.4563827703135864E-7</v>
      </c>
      <c r="L1287" s="10">
        <f>IFERROR(L1182/M$1264/INDEX('Category Mapping'!$B$42:$B$45,MATCH($A1287,'Category Mapping'!$A$42:$A$45,0),1),0)</f>
        <v>0</v>
      </c>
      <c r="M1287" s="10">
        <f>IFERROR(M1182/N$1264/INDEX('Category Mapping'!$B$42:$B$45,MATCH($A1287,'Category Mapping'!$A$42:$A$45,0),1),0)</f>
        <v>1.4227229636380766E-4</v>
      </c>
      <c r="N1287" s="10">
        <f>IFERROR(N1182/O$1264/INDEX('Category Mapping'!$B$42:$B$45,MATCH($A1287,'Category Mapping'!$A$42:$A$45,0),1),0)</f>
        <v>1.4227229636380766E-4</v>
      </c>
      <c r="O1287" s="10">
        <f>IFERROR(O1182/P$1264/INDEX('Category Mapping'!$B$42:$B$45,MATCH($A1287,'Category Mapping'!$A$42:$A$45,0),1),0)</f>
        <v>1.4227229636380766E-4</v>
      </c>
      <c r="P1287" s="10">
        <f>IFERROR(P1182/Q$1264/INDEX('Category Mapping'!$B$42:$B$45,MATCH($A1287,'Category Mapping'!$A$42:$A$45,0),1),0)</f>
        <v>1.7327943673926227E-4</v>
      </c>
      <c r="Q1287" s="10">
        <f>IFERROR(Q1182/R$1264/INDEX('Category Mapping'!$B$42:$B$45,MATCH($A1287,'Category Mapping'!$A$42:$A$45,0),1),0)</f>
        <v>1.7327943673926227E-4</v>
      </c>
      <c r="R1287" s="10">
        <f>IFERROR(R1182/S$1264/INDEX('Category Mapping'!$B$42:$B$45,MATCH($A1287,'Category Mapping'!$A$42:$A$45,0),1),0)</f>
        <v>1.7327943673926227E-4</v>
      </c>
      <c r="S1287" s="10">
        <f>IFERROR(S1182/T$1264/INDEX('Category Mapping'!$B$42:$B$45,MATCH($A1287,'Category Mapping'!$A$42:$A$45,0),1),0)</f>
        <v>1.7327943673926227E-4</v>
      </c>
      <c r="T1287" s="10">
        <f>IFERROR(T1182/U$1264/INDEX('Category Mapping'!$B$42:$B$45,MATCH($A1287,'Category Mapping'!$A$42:$A$45,0),1),0)</f>
        <v>1.7327943673926227E-4</v>
      </c>
      <c r="U1287" s="10">
        <f>IFERROR(U1182/V$1264/INDEX('Category Mapping'!$B$42:$B$45,MATCH($A1287,'Category Mapping'!$A$42:$A$45,0),1),0)</f>
        <v>1.7327943673926227E-4</v>
      </c>
      <c r="V1287" s="10">
        <f>IFERROR(V1182/W$1264/INDEX('Category Mapping'!$B$42:$B$45,MATCH($A1287,'Category Mapping'!$A$42:$A$45,0),1),0)</f>
        <v>1.1650956814036343E-4</v>
      </c>
      <c r="W1287" s="10">
        <f>IFERROR(W1182/X$1264/INDEX('Category Mapping'!$B$42:$B$45,MATCH($A1287,'Category Mapping'!$A$42:$A$45,0),1),0)</f>
        <v>1.1650956814036343E-4</v>
      </c>
      <c r="X1287" s="10">
        <f>IFERROR(X1182/Y$1264/INDEX('Category Mapping'!$B$42:$B$45,MATCH($A1287,'Category Mapping'!$A$42:$A$45,0),1),0)</f>
        <v>1.1650956814036343E-4</v>
      </c>
      <c r="Y1287" s="27"/>
      <c r="Z1287" s="32"/>
    </row>
    <row r="1288" spans="1:26" outlineLevel="1" x14ac:dyDescent="0.3">
      <c r="A1288" t="s">
        <v>137</v>
      </c>
      <c r="B1288" t="s">
        <v>82</v>
      </c>
      <c r="C1288" s="6" t="s">
        <v>157</v>
      </c>
      <c r="D1288" s="10">
        <f>IFERROR(D1183/E$1264/INDEX('Category Mapping'!$B$42:$B$45,MATCH($A1288,'Category Mapping'!$A$42:$A$45,0),1),0)</f>
        <v>2.7199995094439081E-4</v>
      </c>
      <c r="E1288" s="10">
        <f>IFERROR(E1183/F$1264/INDEX('Category Mapping'!$B$42:$B$45,MATCH($A1288,'Category Mapping'!$A$42:$A$45,0),1),0)</f>
        <v>1.366500046145312E-7</v>
      </c>
      <c r="F1288" s="10">
        <f>IFERROR(F1183/G$1264/INDEX('Category Mapping'!$B$42:$B$45,MATCH($A1288,'Category Mapping'!$A$42:$A$45,0),1),0)</f>
        <v>0</v>
      </c>
      <c r="G1288" s="10">
        <f>IFERROR(G1183/H$1264/INDEX('Category Mapping'!$B$42:$B$45,MATCH($A1288,'Category Mapping'!$A$42:$A$45,0),1),0)</f>
        <v>3.3235706961069766E-4</v>
      </c>
      <c r="H1288" s="10">
        <f>IFERROR(H1183/I$1264/INDEX('Category Mapping'!$B$42:$B$45,MATCH($A1288,'Category Mapping'!$A$42:$A$45,0),1),0)</f>
        <v>1.6608780399618415E-4</v>
      </c>
      <c r="I1288" s="10">
        <f>IFERROR(I1183/J$1264/INDEX('Category Mapping'!$B$42:$B$45,MATCH($A1288,'Category Mapping'!$A$42:$A$45,0),1),0)</f>
        <v>1.6608780399618415E-4</v>
      </c>
      <c r="J1288" s="10">
        <f>IFERROR(J1183/K$1264/INDEX('Category Mapping'!$B$42:$B$45,MATCH($A1288,'Category Mapping'!$A$42:$A$45,0),1),0)</f>
        <v>2.5292233234155151E-4</v>
      </c>
      <c r="K1288" s="10">
        <f>IFERROR(K1183/L$1264/INDEX('Category Mapping'!$B$42:$B$45,MATCH($A1288,'Category Mapping'!$A$42:$A$45,0),1),0)</f>
        <v>1.3710141377064997E-7</v>
      </c>
      <c r="L1288" s="10">
        <f>IFERROR(L1183/M$1264/INDEX('Category Mapping'!$B$42:$B$45,MATCH($A1288,'Category Mapping'!$A$42:$A$45,0),1),0)</f>
        <v>0</v>
      </c>
      <c r="M1288" s="10">
        <f>IFERROR(M1183/N$1264/INDEX('Category Mapping'!$B$42:$B$45,MATCH($A1288,'Category Mapping'!$A$42:$A$45,0),1),0)</f>
        <v>1.2081606787372315E-4</v>
      </c>
      <c r="N1288" s="10">
        <f>IFERROR(N1183/O$1264/INDEX('Category Mapping'!$B$42:$B$45,MATCH($A1288,'Category Mapping'!$A$42:$A$45,0),1),0)</f>
        <v>1.2081606787372315E-4</v>
      </c>
      <c r="O1288" s="10">
        <f>IFERROR(O1183/P$1264/INDEX('Category Mapping'!$B$42:$B$45,MATCH($A1288,'Category Mapping'!$A$42:$A$45,0),1),0)</f>
        <v>1.2081606787372315E-4</v>
      </c>
      <c r="P1288" s="10">
        <f>IFERROR(P1183/Q$1264/INDEX('Category Mapping'!$B$42:$B$45,MATCH($A1288,'Category Mapping'!$A$42:$A$45,0),1),0)</f>
        <v>1.4520486084600582E-4</v>
      </c>
      <c r="Q1288" s="10">
        <f>IFERROR(Q1183/R$1264/INDEX('Category Mapping'!$B$42:$B$45,MATCH($A1288,'Category Mapping'!$A$42:$A$45,0),1),0)</f>
        <v>1.4520486084600582E-4</v>
      </c>
      <c r="R1288" s="10">
        <f>IFERROR(R1183/S$1264/INDEX('Category Mapping'!$B$42:$B$45,MATCH($A1288,'Category Mapping'!$A$42:$A$45,0),1),0)</f>
        <v>1.4520486084600582E-4</v>
      </c>
      <c r="S1288" s="10">
        <f>IFERROR(S1183/T$1264/INDEX('Category Mapping'!$B$42:$B$45,MATCH($A1288,'Category Mapping'!$A$42:$A$45,0),1),0)</f>
        <v>1.4520486084600582E-4</v>
      </c>
      <c r="T1288" s="10">
        <f>IFERROR(T1183/U$1264/INDEX('Category Mapping'!$B$42:$B$45,MATCH($A1288,'Category Mapping'!$A$42:$A$45,0),1),0)</f>
        <v>1.4520486084600582E-4</v>
      </c>
      <c r="U1288" s="10">
        <f>IFERROR(U1183/V$1264/INDEX('Category Mapping'!$B$42:$B$45,MATCH($A1288,'Category Mapping'!$A$42:$A$45,0),1),0)</f>
        <v>1.4520486084600582E-4</v>
      </c>
      <c r="V1288" s="10">
        <f>IFERROR(V1183/W$1264/INDEX('Category Mapping'!$B$42:$B$45,MATCH($A1288,'Category Mapping'!$A$42:$A$45,0),1),0)</f>
        <v>1.1582364613786899E-4</v>
      </c>
      <c r="W1288" s="10">
        <f>IFERROR(W1183/X$1264/INDEX('Category Mapping'!$B$42:$B$45,MATCH($A1288,'Category Mapping'!$A$42:$A$45,0),1),0)</f>
        <v>1.1582364613786899E-4</v>
      </c>
      <c r="X1288" s="10">
        <f>IFERROR(X1183/Y$1264/INDEX('Category Mapping'!$B$42:$B$45,MATCH($A1288,'Category Mapping'!$A$42:$A$45,0),1),0)</f>
        <v>1.1582364613786899E-4</v>
      </c>
      <c r="Y1288" s="27"/>
      <c r="Z1288" s="32"/>
    </row>
    <row r="1289" spans="1:26" outlineLevel="1" x14ac:dyDescent="0.3">
      <c r="A1289" t="s">
        <v>137</v>
      </c>
      <c r="B1289" t="s">
        <v>83</v>
      </c>
      <c r="C1289" s="6" t="s">
        <v>158</v>
      </c>
      <c r="D1289" s="10">
        <f>IFERROR(D1184/E$1264/INDEX('Category Mapping'!$B$42:$B$45,MATCH($A1289,'Category Mapping'!$A$42:$A$45,0),1),0)</f>
        <v>2.8559477495673411E-4</v>
      </c>
      <c r="E1289" s="10">
        <f>IFERROR(E1184/F$1264/INDEX('Category Mapping'!$B$42:$B$45,MATCH($A1289,'Category Mapping'!$A$42:$A$45,0),1),0)</f>
        <v>1.4709964934666614E-7</v>
      </c>
      <c r="F1289" s="10">
        <f>IFERROR(F1184/G$1264/INDEX('Category Mapping'!$B$42:$B$45,MATCH($A1289,'Category Mapping'!$A$42:$A$45,0),1),0)</f>
        <v>0</v>
      </c>
      <c r="G1289" s="10">
        <f>IFERROR(G1184/H$1264/INDEX('Category Mapping'!$B$42:$B$45,MATCH($A1289,'Category Mapping'!$A$42:$A$45,0),1),0)</f>
        <v>3.3631850281832739E-4</v>
      </c>
      <c r="H1289" s="10">
        <f>IFERROR(H1184/I$1264/INDEX('Category Mapping'!$B$42:$B$45,MATCH($A1289,'Category Mapping'!$A$42:$A$45,0),1),0)</f>
        <v>1.60955542692689E-4</v>
      </c>
      <c r="I1289" s="10">
        <f>IFERROR(I1184/J$1264/INDEX('Category Mapping'!$B$42:$B$45,MATCH($A1289,'Category Mapping'!$A$42:$A$45,0),1),0)</f>
        <v>1.60955542692689E-4</v>
      </c>
      <c r="J1289" s="10">
        <f>IFERROR(J1184/K$1264/INDEX('Category Mapping'!$B$42:$B$45,MATCH($A1289,'Category Mapping'!$A$42:$A$45,0),1),0)</f>
        <v>2.7058754455479874E-4</v>
      </c>
      <c r="K1289" s="10">
        <f>IFERROR(K1184/L$1264/INDEX('Category Mapping'!$B$42:$B$45,MATCH($A1289,'Category Mapping'!$A$42:$A$45,0),1),0)</f>
        <v>1.2992194742210784E-7</v>
      </c>
      <c r="L1289" s="10">
        <f>IFERROR(L1184/M$1264/INDEX('Category Mapping'!$B$42:$B$45,MATCH($A1289,'Category Mapping'!$A$42:$A$45,0),1),0)</f>
        <v>0</v>
      </c>
      <c r="M1289" s="10">
        <f>IFERROR(M1184/N$1264/INDEX('Category Mapping'!$B$42:$B$45,MATCH($A1289,'Category Mapping'!$A$42:$A$45,0),1),0)</f>
        <v>1.0173274044034067E-4</v>
      </c>
      <c r="N1289" s="10">
        <f>IFERROR(N1184/O$1264/INDEX('Category Mapping'!$B$42:$B$45,MATCH($A1289,'Category Mapping'!$A$42:$A$45,0),1),0)</f>
        <v>1.0173274044034067E-4</v>
      </c>
      <c r="O1289" s="10">
        <f>IFERROR(O1184/P$1264/INDEX('Category Mapping'!$B$42:$B$45,MATCH($A1289,'Category Mapping'!$A$42:$A$45,0),1),0)</f>
        <v>1.0173274044034067E-4</v>
      </c>
      <c r="P1289" s="10">
        <f>IFERROR(P1184/Q$1264/INDEX('Category Mapping'!$B$42:$B$45,MATCH($A1289,'Category Mapping'!$A$42:$A$45,0),1),0)</f>
        <v>1.3442494589635399E-4</v>
      </c>
      <c r="Q1289" s="10">
        <f>IFERROR(Q1184/R$1264/INDEX('Category Mapping'!$B$42:$B$45,MATCH($A1289,'Category Mapping'!$A$42:$A$45,0),1),0)</f>
        <v>1.3442494589635399E-4</v>
      </c>
      <c r="R1289" s="10">
        <f>IFERROR(R1184/S$1264/INDEX('Category Mapping'!$B$42:$B$45,MATCH($A1289,'Category Mapping'!$A$42:$A$45,0),1),0)</f>
        <v>1.3442494589635399E-4</v>
      </c>
      <c r="S1289" s="10">
        <f>IFERROR(S1184/T$1264/INDEX('Category Mapping'!$B$42:$B$45,MATCH($A1289,'Category Mapping'!$A$42:$A$45,0),1),0)</f>
        <v>1.3442494589635399E-4</v>
      </c>
      <c r="T1289" s="10">
        <f>IFERROR(T1184/U$1264/INDEX('Category Mapping'!$B$42:$B$45,MATCH($A1289,'Category Mapping'!$A$42:$A$45,0),1),0)</f>
        <v>1.3442494589635399E-4</v>
      </c>
      <c r="U1289" s="10">
        <f>IFERROR(U1184/V$1264/INDEX('Category Mapping'!$B$42:$B$45,MATCH($A1289,'Category Mapping'!$A$42:$A$45,0),1),0)</f>
        <v>1.3442494589635399E-4</v>
      </c>
      <c r="V1289" s="10">
        <f>IFERROR(V1184/W$1264/INDEX('Category Mapping'!$B$42:$B$45,MATCH($A1289,'Category Mapping'!$A$42:$A$45,0),1),0)</f>
        <v>1.1506865560040119E-4</v>
      </c>
      <c r="W1289" s="10">
        <f>IFERROR(W1184/X$1264/INDEX('Category Mapping'!$B$42:$B$45,MATCH($A1289,'Category Mapping'!$A$42:$A$45,0),1),0)</f>
        <v>1.1506865560040119E-4</v>
      </c>
      <c r="X1289" s="10">
        <f>IFERROR(X1184/Y$1264/INDEX('Category Mapping'!$B$42:$B$45,MATCH($A1289,'Category Mapping'!$A$42:$A$45,0),1),0)</f>
        <v>1.1506865560040119E-4</v>
      </c>
      <c r="Y1289" s="27"/>
      <c r="Z1289" s="32"/>
    </row>
    <row r="1290" spans="1:26" outlineLevel="1" x14ac:dyDescent="0.3">
      <c r="A1290" t="s">
        <v>137</v>
      </c>
      <c r="B1290" t="s">
        <v>84</v>
      </c>
      <c r="C1290" s="6" t="s">
        <v>159</v>
      </c>
      <c r="D1290" s="10">
        <f>IFERROR(D1185/E$1264/INDEX('Category Mapping'!$B$42:$B$45,MATCH($A1290,'Category Mapping'!$A$42:$A$45,0),1),0)</f>
        <v>2.711035709623157E-4</v>
      </c>
      <c r="E1290" s="10">
        <f>IFERROR(E1185/F$1264/INDEX('Category Mapping'!$B$42:$B$45,MATCH($A1290,'Category Mapping'!$A$42:$A$45,0),1),0)</f>
        <v>1.5593227661450551E-7</v>
      </c>
      <c r="F1290" s="10">
        <f>IFERROR(F1185/G$1264/INDEX('Category Mapping'!$B$42:$B$45,MATCH($A1290,'Category Mapping'!$A$42:$A$45,0),1),0)</f>
        <v>0</v>
      </c>
      <c r="G1290" s="10">
        <f>IFERROR(G1185/H$1264/INDEX('Category Mapping'!$B$42:$B$45,MATCH($A1290,'Category Mapping'!$A$42:$A$45,0),1),0)</f>
        <v>2.7592315237367289E-4</v>
      </c>
      <c r="H1290" s="10">
        <f>IFERROR(H1185/I$1264/INDEX('Category Mapping'!$B$42:$B$45,MATCH($A1290,'Category Mapping'!$A$42:$A$45,0),1),0)</f>
        <v>1.571853962212334E-4</v>
      </c>
      <c r="I1290" s="10">
        <f>IFERROR(I1185/J$1264/INDEX('Category Mapping'!$B$42:$B$45,MATCH($A1290,'Category Mapping'!$A$42:$A$45,0),1),0)</f>
        <v>1.571853962212334E-4</v>
      </c>
      <c r="J1290" s="10">
        <f>IFERROR(J1185/K$1264/INDEX('Category Mapping'!$B$42:$B$45,MATCH($A1290,'Category Mapping'!$A$42:$A$45,0),1),0)</f>
        <v>2.9301007391485564E-4</v>
      </c>
      <c r="K1290" s="10">
        <f>IFERROR(K1185/L$1264/INDEX('Category Mapping'!$B$42:$B$45,MATCH($A1290,'Category Mapping'!$A$42:$A$45,0),1),0)</f>
        <v>1.2259772057048279E-7</v>
      </c>
      <c r="L1290" s="10">
        <f>IFERROR(L1185/M$1264/INDEX('Category Mapping'!$B$42:$B$45,MATCH($A1290,'Category Mapping'!$A$42:$A$45,0),1),0)</f>
        <v>0</v>
      </c>
      <c r="M1290" s="10">
        <f>IFERROR(M1185/N$1264/INDEX('Category Mapping'!$B$42:$B$45,MATCH($A1290,'Category Mapping'!$A$42:$A$45,0),1),0)</f>
        <v>8.3862338539387703E-5</v>
      </c>
      <c r="N1290" s="10">
        <f>IFERROR(N1185/O$1264/INDEX('Category Mapping'!$B$42:$B$45,MATCH($A1290,'Category Mapping'!$A$42:$A$45,0),1),0)</f>
        <v>8.3862338539387703E-5</v>
      </c>
      <c r="O1290" s="10">
        <f>IFERROR(O1185/P$1264/INDEX('Category Mapping'!$B$42:$B$45,MATCH($A1290,'Category Mapping'!$A$42:$A$45,0),1),0)</f>
        <v>8.3862338539387703E-5</v>
      </c>
      <c r="P1290" s="10">
        <f>IFERROR(P1185/Q$1264/INDEX('Category Mapping'!$B$42:$B$45,MATCH($A1290,'Category Mapping'!$A$42:$A$45,0),1),0)</f>
        <v>1.2723614796886746E-4</v>
      </c>
      <c r="Q1290" s="10">
        <f>IFERROR(Q1185/R$1264/INDEX('Category Mapping'!$B$42:$B$45,MATCH($A1290,'Category Mapping'!$A$42:$A$45,0),1),0)</f>
        <v>1.2723614796886746E-4</v>
      </c>
      <c r="R1290" s="10">
        <f>IFERROR(R1185/S$1264/INDEX('Category Mapping'!$B$42:$B$45,MATCH($A1290,'Category Mapping'!$A$42:$A$45,0),1),0)</f>
        <v>1.2723614796886746E-4</v>
      </c>
      <c r="S1290" s="10">
        <f>IFERROR(S1185/T$1264/INDEX('Category Mapping'!$B$42:$B$45,MATCH($A1290,'Category Mapping'!$A$42:$A$45,0),1),0)</f>
        <v>1.2723614796886746E-4</v>
      </c>
      <c r="T1290" s="10">
        <f>IFERROR(T1185/U$1264/INDEX('Category Mapping'!$B$42:$B$45,MATCH($A1290,'Category Mapping'!$A$42:$A$45,0),1),0)</f>
        <v>1.2723614796886746E-4</v>
      </c>
      <c r="U1290" s="10">
        <f>IFERROR(U1185/V$1264/INDEX('Category Mapping'!$B$42:$B$45,MATCH($A1290,'Category Mapping'!$A$42:$A$45,0),1),0)</f>
        <v>1.2723614796886746E-4</v>
      </c>
      <c r="V1290" s="10">
        <f>IFERROR(V1185/W$1264/INDEX('Category Mapping'!$B$42:$B$45,MATCH($A1290,'Category Mapping'!$A$42:$A$45,0),1),0)</f>
        <v>1.1407668853776602E-4</v>
      </c>
      <c r="W1290" s="10">
        <f>IFERROR(W1185/X$1264/INDEX('Category Mapping'!$B$42:$B$45,MATCH($A1290,'Category Mapping'!$A$42:$A$45,0),1),0)</f>
        <v>1.1407668853776602E-4</v>
      </c>
      <c r="X1290" s="10">
        <f>IFERROR(X1185/Y$1264/INDEX('Category Mapping'!$B$42:$B$45,MATCH($A1290,'Category Mapping'!$A$42:$A$45,0),1),0)</f>
        <v>1.1407668853776602E-4</v>
      </c>
      <c r="Y1290" s="27"/>
      <c r="Z1290" s="32"/>
    </row>
    <row r="1291" spans="1:26" outlineLevel="1" x14ac:dyDescent="0.3">
      <c r="A1291" t="s">
        <v>137</v>
      </c>
      <c r="B1291" t="s">
        <v>85</v>
      </c>
      <c r="C1291" s="6" t="s">
        <v>160</v>
      </c>
      <c r="D1291" s="10">
        <f>IFERROR(D1186/E$1264/INDEX('Category Mapping'!$B$42:$B$45,MATCH($A1291,'Category Mapping'!$A$42:$A$45,0),1),0)</f>
        <v>2.3528006928306928E-4</v>
      </c>
      <c r="E1291" s="10">
        <f>IFERROR(E1186/F$1264/INDEX('Category Mapping'!$B$42:$B$45,MATCH($A1291,'Category Mapping'!$A$42:$A$45,0),1),0)</f>
        <v>1.6243824775331265E-7</v>
      </c>
      <c r="F1291" s="10">
        <f>IFERROR(F1186/G$1264/INDEX('Category Mapping'!$B$42:$B$45,MATCH($A1291,'Category Mapping'!$A$42:$A$45,0),1),0)</f>
        <v>0</v>
      </c>
      <c r="G1291" s="10">
        <f>IFERROR(G1186/H$1264/INDEX('Category Mapping'!$B$42:$B$45,MATCH($A1291,'Category Mapping'!$A$42:$A$45,0),1),0)</f>
        <v>1.6642684203176911E-4</v>
      </c>
      <c r="H1291" s="10">
        <f>IFERROR(H1186/I$1264/INDEX('Category Mapping'!$B$42:$B$45,MATCH($A1291,'Category Mapping'!$A$42:$A$45,0),1),0)</f>
        <v>1.2506111112398291E-4</v>
      </c>
      <c r="I1291" s="10">
        <f>IFERROR(I1186/J$1264/INDEX('Category Mapping'!$B$42:$B$45,MATCH($A1291,'Category Mapping'!$A$42:$A$45,0),1),0)</f>
        <v>1.2506111112398291E-4</v>
      </c>
      <c r="J1291" s="10">
        <f>IFERROR(J1186/K$1264/INDEX('Category Mapping'!$B$42:$B$45,MATCH($A1291,'Category Mapping'!$A$42:$A$45,0),1),0)</f>
        <v>2.9197486878223384E-4</v>
      </c>
      <c r="K1291" s="10">
        <f>IFERROR(K1186/L$1264/INDEX('Category Mapping'!$B$42:$B$45,MATCH($A1291,'Category Mapping'!$A$42:$A$45,0),1),0)</f>
        <v>1.137910148423387E-7</v>
      </c>
      <c r="L1291" s="10">
        <f>IFERROR(L1186/M$1264/INDEX('Category Mapping'!$B$42:$B$45,MATCH($A1291,'Category Mapping'!$A$42:$A$45,0),1),0)</f>
        <v>0</v>
      </c>
      <c r="M1291" s="10">
        <f>IFERROR(M1186/N$1264/INDEX('Category Mapping'!$B$42:$B$45,MATCH($A1291,'Category Mapping'!$A$42:$A$45,0),1),0)</f>
        <v>7.1770580994686564E-5</v>
      </c>
      <c r="N1291" s="10">
        <f>IFERROR(N1186/O$1264/INDEX('Category Mapping'!$B$42:$B$45,MATCH($A1291,'Category Mapping'!$A$42:$A$45,0),1),0)</f>
        <v>7.1770580994686564E-5</v>
      </c>
      <c r="O1291" s="10">
        <f>IFERROR(O1186/P$1264/INDEX('Category Mapping'!$B$42:$B$45,MATCH($A1291,'Category Mapping'!$A$42:$A$45,0),1),0)</f>
        <v>7.1770580994686564E-5</v>
      </c>
      <c r="P1291" s="10">
        <f>IFERROR(P1186/Q$1264/INDEX('Category Mapping'!$B$42:$B$45,MATCH($A1291,'Category Mapping'!$A$42:$A$45,0),1),0)</f>
        <v>1.2122440754042808E-4</v>
      </c>
      <c r="Q1291" s="10">
        <f>IFERROR(Q1186/R$1264/INDEX('Category Mapping'!$B$42:$B$45,MATCH($A1291,'Category Mapping'!$A$42:$A$45,0),1),0)</f>
        <v>1.2122440754042808E-4</v>
      </c>
      <c r="R1291" s="10">
        <f>IFERROR(R1186/S$1264/INDEX('Category Mapping'!$B$42:$B$45,MATCH($A1291,'Category Mapping'!$A$42:$A$45,0),1),0)</f>
        <v>1.2122440754042808E-4</v>
      </c>
      <c r="S1291" s="10">
        <f>IFERROR(S1186/T$1264/INDEX('Category Mapping'!$B$42:$B$45,MATCH($A1291,'Category Mapping'!$A$42:$A$45,0),1),0)</f>
        <v>1.2122440754042808E-4</v>
      </c>
      <c r="T1291" s="10">
        <f>IFERROR(T1186/U$1264/INDEX('Category Mapping'!$B$42:$B$45,MATCH($A1291,'Category Mapping'!$A$42:$A$45,0),1),0)</f>
        <v>1.2122440754042808E-4</v>
      </c>
      <c r="U1291" s="10">
        <f>IFERROR(U1186/V$1264/INDEX('Category Mapping'!$B$42:$B$45,MATCH($A1291,'Category Mapping'!$A$42:$A$45,0),1),0)</f>
        <v>1.2122440754042808E-4</v>
      </c>
      <c r="V1291" s="10">
        <f>IFERROR(V1186/W$1264/INDEX('Category Mapping'!$B$42:$B$45,MATCH($A1291,'Category Mapping'!$A$42:$A$45,0),1),0)</f>
        <v>1.1309948785157348E-4</v>
      </c>
      <c r="W1291" s="10">
        <f>IFERROR(W1186/X$1264/INDEX('Category Mapping'!$B$42:$B$45,MATCH($A1291,'Category Mapping'!$A$42:$A$45,0),1),0)</f>
        <v>1.1309948785157348E-4</v>
      </c>
      <c r="X1291" s="10">
        <f>IFERROR(X1186/Y$1264/INDEX('Category Mapping'!$B$42:$B$45,MATCH($A1291,'Category Mapping'!$A$42:$A$45,0),1),0)</f>
        <v>1.1309948785157348E-4</v>
      </c>
      <c r="Y1291" s="27"/>
      <c r="Z1291" s="32"/>
    </row>
    <row r="1292" spans="1:26" outlineLevel="1" x14ac:dyDescent="0.3">
      <c r="A1292" t="s">
        <v>137</v>
      </c>
      <c r="B1292" t="s">
        <v>86</v>
      </c>
      <c r="C1292" s="6" t="s">
        <v>161</v>
      </c>
      <c r="D1292" s="10">
        <f>IFERROR(D1187/E$1264/INDEX('Category Mapping'!$B$42:$B$45,MATCH($A1292,'Category Mapping'!$A$42:$A$45,0),1),0)</f>
        <v>2.2894904887173825E-4</v>
      </c>
      <c r="E1292" s="10">
        <f>IFERROR(E1187/F$1264/INDEX('Category Mapping'!$B$42:$B$45,MATCH($A1292,'Category Mapping'!$A$42:$A$45,0),1),0)</f>
        <v>1.6700207478385891E-7</v>
      </c>
      <c r="F1292" s="10">
        <f>IFERROR(F1187/G$1264/INDEX('Category Mapping'!$B$42:$B$45,MATCH($A1292,'Category Mapping'!$A$42:$A$45,0),1),0)</f>
        <v>0</v>
      </c>
      <c r="G1292" s="10">
        <f>IFERROR(G1187/H$1264/INDEX('Category Mapping'!$B$42:$B$45,MATCH($A1292,'Category Mapping'!$A$42:$A$45,0),1),0)</f>
        <v>8.8643526879205221E-5</v>
      </c>
      <c r="H1292" s="10">
        <f>IFERROR(H1187/I$1264/INDEX('Category Mapping'!$B$42:$B$45,MATCH($A1292,'Category Mapping'!$A$42:$A$45,0),1),0)</f>
        <v>9.9339865598628912E-5</v>
      </c>
      <c r="I1292" s="10">
        <f>IFERROR(I1187/J$1264/INDEX('Category Mapping'!$B$42:$B$45,MATCH($A1292,'Category Mapping'!$A$42:$A$45,0),1),0)</f>
        <v>9.9339865598628912E-5</v>
      </c>
      <c r="J1292" s="10">
        <f>IFERROR(J1187/K$1264/INDEX('Category Mapping'!$B$42:$B$45,MATCH($A1292,'Category Mapping'!$A$42:$A$45,0),1),0)</f>
        <v>1.5399766656064927E-4</v>
      </c>
      <c r="K1292" s="10">
        <f>IFERROR(K1187/L$1264/INDEX('Category Mapping'!$B$42:$B$45,MATCH($A1292,'Category Mapping'!$A$42:$A$45,0),1),0)</f>
        <v>1.0176115236586703E-7</v>
      </c>
      <c r="L1292" s="10">
        <f>IFERROR(L1187/M$1264/INDEX('Category Mapping'!$B$42:$B$45,MATCH($A1292,'Category Mapping'!$A$42:$A$45,0),1),0)</f>
        <v>0</v>
      </c>
      <c r="M1292" s="10">
        <f>IFERROR(M1187/N$1264/INDEX('Category Mapping'!$B$42:$B$45,MATCH($A1292,'Category Mapping'!$A$42:$A$45,0),1),0)</f>
        <v>6.2979487906716556E-5</v>
      </c>
      <c r="N1292" s="10">
        <f>IFERROR(N1187/O$1264/INDEX('Category Mapping'!$B$42:$B$45,MATCH($A1292,'Category Mapping'!$A$42:$A$45,0),1),0)</f>
        <v>6.2979487906716556E-5</v>
      </c>
      <c r="O1292" s="10">
        <f>IFERROR(O1187/P$1264/INDEX('Category Mapping'!$B$42:$B$45,MATCH($A1292,'Category Mapping'!$A$42:$A$45,0),1),0)</f>
        <v>6.2979487906716556E-5</v>
      </c>
      <c r="P1292" s="10">
        <f>IFERROR(P1187/Q$1264/INDEX('Category Mapping'!$B$42:$B$45,MATCH($A1292,'Category Mapping'!$A$42:$A$45,0),1),0)</f>
        <v>8.1507095068742867E-5</v>
      </c>
      <c r="Q1292" s="10">
        <f>IFERROR(Q1187/R$1264/INDEX('Category Mapping'!$B$42:$B$45,MATCH($A1292,'Category Mapping'!$A$42:$A$45,0),1),0)</f>
        <v>8.1507095068742867E-5</v>
      </c>
      <c r="R1292" s="10">
        <f>IFERROR(R1187/S$1264/INDEX('Category Mapping'!$B$42:$B$45,MATCH($A1292,'Category Mapping'!$A$42:$A$45,0),1),0)</f>
        <v>8.1507095068742867E-5</v>
      </c>
      <c r="S1292" s="10">
        <f>IFERROR(S1187/T$1264/INDEX('Category Mapping'!$B$42:$B$45,MATCH($A1292,'Category Mapping'!$A$42:$A$45,0),1),0)</f>
        <v>8.1507095068742867E-5</v>
      </c>
      <c r="T1292" s="10">
        <f>IFERROR(T1187/U$1264/INDEX('Category Mapping'!$B$42:$B$45,MATCH($A1292,'Category Mapping'!$A$42:$A$45,0),1),0)</f>
        <v>8.1507095068742867E-5</v>
      </c>
      <c r="U1292" s="10">
        <f>IFERROR(U1187/V$1264/INDEX('Category Mapping'!$B$42:$B$45,MATCH($A1292,'Category Mapping'!$A$42:$A$45,0),1),0)</f>
        <v>8.1507095068742867E-5</v>
      </c>
      <c r="V1292" s="10">
        <f>IFERROR(V1187/W$1264/INDEX('Category Mapping'!$B$42:$B$45,MATCH($A1292,'Category Mapping'!$A$42:$A$45,0),1),0)</f>
        <v>1.1255646626626538E-4</v>
      </c>
      <c r="W1292" s="10">
        <f>IFERROR(W1187/X$1264/INDEX('Category Mapping'!$B$42:$B$45,MATCH($A1292,'Category Mapping'!$A$42:$A$45,0),1),0)</f>
        <v>1.1255646626626538E-4</v>
      </c>
      <c r="X1292" s="10">
        <f>IFERROR(X1187/Y$1264/INDEX('Category Mapping'!$B$42:$B$45,MATCH($A1292,'Category Mapping'!$A$42:$A$45,0),1),0)</f>
        <v>1.1255646626626538E-4</v>
      </c>
      <c r="Y1292" s="27"/>
      <c r="Z1292" s="32"/>
    </row>
    <row r="1293" spans="1:26" outlineLevel="1" x14ac:dyDescent="0.3">
      <c r="A1293" t="s">
        <v>162</v>
      </c>
      <c r="B1293" t="s">
        <v>63</v>
      </c>
      <c r="C1293" s="6" t="s">
        <v>138</v>
      </c>
      <c r="D1293" s="10">
        <f>IFERROR(D1188/E$1264/INDEX('Category Mapping'!$B$42:$B$45,MATCH($A1293,'Category Mapping'!$A$42:$A$45,0),1),0)</f>
        <v>9.5941157560403386E-5</v>
      </c>
      <c r="E1293" s="10">
        <f>IFERROR(E1188/F$1264/INDEX('Category Mapping'!$B$42:$B$45,MATCH($A1293,'Category Mapping'!$A$42:$A$45,0),1),0)</f>
        <v>1.7980540658905753E-7</v>
      </c>
      <c r="F1293" s="10">
        <f>IFERROR(F1188/G$1264/INDEX('Category Mapping'!$B$42:$B$45,MATCH($A1293,'Category Mapping'!$A$42:$A$45,0),1),0)</f>
        <v>0</v>
      </c>
      <c r="G1293" s="10">
        <f>IFERROR(G1188/H$1264/INDEX('Category Mapping'!$B$42:$B$45,MATCH($A1293,'Category Mapping'!$A$42:$A$45,0),1),0)</f>
        <v>5.478513241975131E-5</v>
      </c>
      <c r="H1293" s="10">
        <f>IFERROR(H1188/I$1264/INDEX('Category Mapping'!$B$42:$B$45,MATCH($A1293,'Category Mapping'!$A$42:$A$45,0),1),0)</f>
        <v>7.7729454304356952E-5</v>
      </c>
      <c r="I1293" s="10">
        <f>IFERROR(I1188/J$1264/INDEX('Category Mapping'!$B$42:$B$45,MATCH($A1293,'Category Mapping'!$A$42:$A$45,0),1),0)</f>
        <v>7.7729454304356952E-5</v>
      </c>
      <c r="J1293" s="10">
        <f>IFERROR(J1188/K$1264/INDEX('Category Mapping'!$B$42:$B$45,MATCH($A1293,'Category Mapping'!$A$42:$A$45,0),1),0)</f>
        <v>8.8487978926684785E-5</v>
      </c>
      <c r="K1293" s="10">
        <f>IFERROR(K1188/L$1264/INDEX('Category Mapping'!$B$42:$B$45,MATCH($A1293,'Category Mapping'!$A$42:$A$45,0),1),0)</f>
        <v>3.8903779149856518E-6</v>
      </c>
      <c r="L1293" s="10">
        <f>IFERROR(L1188/M$1264/INDEX('Category Mapping'!$B$42:$B$45,MATCH($A1293,'Category Mapping'!$A$42:$A$45,0),1),0)</f>
        <v>0</v>
      </c>
      <c r="M1293" s="10">
        <f>IFERROR(M1188/N$1264/INDEX('Category Mapping'!$B$42:$B$45,MATCH($A1293,'Category Mapping'!$A$42:$A$45,0),1),0)</f>
        <v>5.3499179365142446E-5</v>
      </c>
      <c r="N1293" s="10">
        <f>IFERROR(N1188/O$1264/INDEX('Category Mapping'!$B$42:$B$45,MATCH($A1293,'Category Mapping'!$A$42:$A$45,0),1),0)</f>
        <v>5.3499179365142446E-5</v>
      </c>
      <c r="O1293" s="10">
        <f>IFERROR(O1188/P$1264/INDEX('Category Mapping'!$B$42:$B$45,MATCH($A1293,'Category Mapping'!$A$42:$A$45,0),1),0)</f>
        <v>5.3499179365142446E-5</v>
      </c>
      <c r="P1293" s="10">
        <f>IFERROR(P1188/Q$1264/INDEX('Category Mapping'!$B$42:$B$45,MATCH($A1293,'Category Mapping'!$A$42:$A$45,0),1),0)</f>
        <v>5.2078455164350287E-5</v>
      </c>
      <c r="Q1293" s="10">
        <f>IFERROR(Q1188/R$1264/INDEX('Category Mapping'!$B$42:$B$45,MATCH($A1293,'Category Mapping'!$A$42:$A$45,0),1),0)</f>
        <v>5.2078455164350287E-5</v>
      </c>
      <c r="R1293" s="10">
        <f>IFERROR(R1188/S$1264/INDEX('Category Mapping'!$B$42:$B$45,MATCH($A1293,'Category Mapping'!$A$42:$A$45,0),1),0)</f>
        <v>5.2078455164350287E-5</v>
      </c>
      <c r="S1293" s="10">
        <f>IFERROR(S1188/T$1264/INDEX('Category Mapping'!$B$42:$B$45,MATCH($A1293,'Category Mapping'!$A$42:$A$45,0),1),0)</f>
        <v>5.2078455164350287E-5</v>
      </c>
      <c r="T1293" s="10">
        <f>IFERROR(T1188/U$1264/INDEX('Category Mapping'!$B$42:$B$45,MATCH($A1293,'Category Mapping'!$A$42:$A$45,0),1),0)</f>
        <v>5.2078455164350287E-5</v>
      </c>
      <c r="U1293" s="10">
        <f>IFERROR(U1188/V$1264/INDEX('Category Mapping'!$B$42:$B$45,MATCH($A1293,'Category Mapping'!$A$42:$A$45,0),1),0)</f>
        <v>5.2078455164350287E-5</v>
      </c>
      <c r="V1293" s="10">
        <f>IFERROR(V1188/W$1264/INDEX('Category Mapping'!$B$42:$B$45,MATCH($A1293,'Category Mapping'!$A$42:$A$45,0),1),0)</f>
        <v>1.1205505148358446E-4</v>
      </c>
      <c r="W1293" s="10">
        <f>IFERROR(W1188/X$1264/INDEX('Category Mapping'!$B$42:$B$45,MATCH($A1293,'Category Mapping'!$A$42:$A$45,0),1),0)</f>
        <v>1.1205505148358446E-4</v>
      </c>
      <c r="X1293" s="10">
        <f>IFERROR(X1188/Y$1264/INDEX('Category Mapping'!$B$42:$B$45,MATCH($A1293,'Category Mapping'!$A$42:$A$45,0),1),0)</f>
        <v>1.1205505148358446E-4</v>
      </c>
      <c r="Y1293" s="27"/>
      <c r="Z1293" s="32"/>
    </row>
    <row r="1294" spans="1:26" outlineLevel="1" x14ac:dyDescent="0.3">
      <c r="A1294" t="s">
        <v>162</v>
      </c>
      <c r="B1294" t="s">
        <v>64</v>
      </c>
      <c r="C1294" s="6" t="s">
        <v>139</v>
      </c>
      <c r="D1294" s="10">
        <f>IFERROR(D1189/E$1264/INDEX('Category Mapping'!$B$42:$B$45,MATCH($A1294,'Category Mapping'!$A$42:$A$45,0),1),0)</f>
        <v>9.8325713005694164E-5</v>
      </c>
      <c r="E1294" s="10">
        <f>IFERROR(E1189/F$1264/INDEX('Category Mapping'!$B$42:$B$45,MATCH($A1294,'Category Mapping'!$A$42:$A$45,0),1),0)</f>
        <v>1.8107775930089556E-7</v>
      </c>
      <c r="F1294" s="10">
        <f>IFERROR(F1189/G$1264/INDEX('Category Mapping'!$B$42:$B$45,MATCH($A1294,'Category Mapping'!$A$42:$A$45,0),1),0)</f>
        <v>0</v>
      </c>
      <c r="G1294" s="10">
        <f>IFERROR(G1189/H$1264/INDEX('Category Mapping'!$B$42:$B$45,MATCH($A1294,'Category Mapping'!$A$42:$A$45,0),1),0)</f>
        <v>4.9926350690957762E-5</v>
      </c>
      <c r="H1294" s="10">
        <f>IFERROR(H1189/I$1264/INDEX('Category Mapping'!$B$42:$B$45,MATCH($A1294,'Category Mapping'!$A$42:$A$45,0),1),0)</f>
        <v>5.7027483817167788E-5</v>
      </c>
      <c r="I1294" s="10">
        <f>IFERROR(I1189/J$1264/INDEX('Category Mapping'!$B$42:$B$45,MATCH($A1294,'Category Mapping'!$A$42:$A$45,0),1),0)</f>
        <v>5.7027483817167788E-5</v>
      </c>
      <c r="J1294" s="10">
        <f>IFERROR(J1189/K$1264/INDEX('Category Mapping'!$B$42:$B$45,MATCH($A1294,'Category Mapping'!$A$42:$A$45,0),1),0)</f>
        <v>7.9141545783301183E-5</v>
      </c>
      <c r="K1294" s="10">
        <f>IFERROR(K1189/L$1264/INDEX('Category Mapping'!$B$42:$B$45,MATCH($A1294,'Category Mapping'!$A$42:$A$45,0),1),0)</f>
        <v>3.692427422384717E-6</v>
      </c>
      <c r="L1294" s="10">
        <f>IFERROR(L1189/M$1264/INDEX('Category Mapping'!$B$42:$B$45,MATCH($A1294,'Category Mapping'!$A$42:$A$45,0),1),0)</f>
        <v>0</v>
      </c>
      <c r="M1294" s="10">
        <f>IFERROR(M1189/N$1264/INDEX('Category Mapping'!$B$42:$B$45,MATCH($A1294,'Category Mapping'!$A$42:$A$45,0),1),0)</f>
        <v>5.1679891843861563E-5</v>
      </c>
      <c r="N1294" s="10">
        <f>IFERROR(N1189/O$1264/INDEX('Category Mapping'!$B$42:$B$45,MATCH($A1294,'Category Mapping'!$A$42:$A$45,0),1),0)</f>
        <v>5.1679891843861563E-5</v>
      </c>
      <c r="O1294" s="10">
        <f>IFERROR(O1189/P$1264/INDEX('Category Mapping'!$B$42:$B$45,MATCH($A1294,'Category Mapping'!$A$42:$A$45,0),1),0)</f>
        <v>5.1679891843861563E-5</v>
      </c>
      <c r="P1294" s="10">
        <f>IFERROR(P1189/Q$1264/INDEX('Category Mapping'!$B$42:$B$45,MATCH($A1294,'Category Mapping'!$A$42:$A$45,0),1),0)</f>
        <v>5.09812754348218E-5</v>
      </c>
      <c r="Q1294" s="10">
        <f>IFERROR(Q1189/R$1264/INDEX('Category Mapping'!$B$42:$B$45,MATCH($A1294,'Category Mapping'!$A$42:$A$45,0),1),0)</f>
        <v>5.09812754348218E-5</v>
      </c>
      <c r="R1294" s="10">
        <f>IFERROR(R1189/S$1264/INDEX('Category Mapping'!$B$42:$B$45,MATCH($A1294,'Category Mapping'!$A$42:$A$45,0),1),0)</f>
        <v>5.09812754348218E-5</v>
      </c>
      <c r="S1294" s="10">
        <f>IFERROR(S1189/T$1264/INDEX('Category Mapping'!$B$42:$B$45,MATCH($A1294,'Category Mapping'!$A$42:$A$45,0),1),0)</f>
        <v>5.09812754348218E-5</v>
      </c>
      <c r="T1294" s="10">
        <f>IFERROR(T1189/U$1264/INDEX('Category Mapping'!$B$42:$B$45,MATCH($A1294,'Category Mapping'!$A$42:$A$45,0),1),0)</f>
        <v>5.09812754348218E-5</v>
      </c>
      <c r="U1294" s="10">
        <f>IFERROR(U1189/V$1264/INDEX('Category Mapping'!$B$42:$B$45,MATCH($A1294,'Category Mapping'!$A$42:$A$45,0),1),0)</f>
        <v>5.09812754348218E-5</v>
      </c>
      <c r="V1294" s="10">
        <f>IFERROR(V1189/W$1264/INDEX('Category Mapping'!$B$42:$B$45,MATCH($A1294,'Category Mapping'!$A$42:$A$45,0),1),0)</f>
        <v>1.1189351188154774E-4</v>
      </c>
      <c r="W1294" s="10">
        <f>IFERROR(W1189/X$1264/INDEX('Category Mapping'!$B$42:$B$45,MATCH($A1294,'Category Mapping'!$A$42:$A$45,0),1),0)</f>
        <v>1.1189351188154774E-4</v>
      </c>
      <c r="X1294" s="10">
        <f>IFERROR(X1189/Y$1264/INDEX('Category Mapping'!$B$42:$B$45,MATCH($A1294,'Category Mapping'!$A$42:$A$45,0),1),0)</f>
        <v>1.1189351188154774E-4</v>
      </c>
      <c r="Y1294" s="27"/>
      <c r="Z1294" s="32"/>
    </row>
    <row r="1295" spans="1:26" outlineLevel="1" x14ac:dyDescent="0.3">
      <c r="A1295" t="s">
        <v>162</v>
      </c>
      <c r="B1295" t="s">
        <v>65</v>
      </c>
      <c r="C1295" s="6" t="s">
        <v>140</v>
      </c>
      <c r="D1295" s="10">
        <f>IFERROR(D1190/E$1264/INDEX('Category Mapping'!$B$42:$B$45,MATCH($A1295,'Category Mapping'!$A$42:$A$45,0),1),0)</f>
        <v>9.9129831882784574E-5</v>
      </c>
      <c r="E1295" s="10">
        <f>IFERROR(E1190/F$1264/INDEX('Category Mapping'!$B$42:$B$45,MATCH($A1295,'Category Mapping'!$A$42:$A$45,0),1),0)</f>
        <v>1.8203171239822525E-7</v>
      </c>
      <c r="F1295" s="10">
        <f>IFERROR(F1190/G$1264/INDEX('Category Mapping'!$B$42:$B$45,MATCH($A1295,'Category Mapping'!$A$42:$A$45,0),1),0)</f>
        <v>0</v>
      </c>
      <c r="G1295" s="10">
        <f>IFERROR(G1190/H$1264/INDEX('Category Mapping'!$B$42:$B$45,MATCH($A1295,'Category Mapping'!$A$42:$A$45,0),1),0)</f>
        <v>4.9215664584274815E-5</v>
      </c>
      <c r="H1295" s="10">
        <f>IFERROR(H1190/I$1264/INDEX('Category Mapping'!$B$42:$B$45,MATCH($A1295,'Category Mapping'!$A$42:$A$45,0),1),0)</f>
        <v>4.5479921967019598E-5</v>
      </c>
      <c r="I1295" s="10">
        <f>IFERROR(I1190/J$1264/INDEX('Category Mapping'!$B$42:$B$45,MATCH($A1295,'Category Mapping'!$A$42:$A$45,0),1),0)</f>
        <v>4.5479921967019598E-5</v>
      </c>
      <c r="J1295" s="10">
        <f>IFERROR(J1190/K$1264/INDEX('Category Mapping'!$B$42:$B$45,MATCH($A1295,'Category Mapping'!$A$42:$A$45,0),1),0)</f>
        <v>7.7930161431602807E-5</v>
      </c>
      <c r="K1295" s="10">
        <f>IFERROR(K1190/L$1264/INDEX('Category Mapping'!$B$42:$B$45,MATCH($A1295,'Category Mapping'!$A$42:$A$45,0),1),0)</f>
        <v>3.6098265970687867E-6</v>
      </c>
      <c r="L1295" s="10">
        <f>IFERROR(L1190/M$1264/INDEX('Category Mapping'!$B$42:$B$45,MATCH($A1295,'Category Mapping'!$A$42:$A$45,0),1),0)</f>
        <v>0</v>
      </c>
      <c r="M1295" s="10">
        <f>IFERROR(M1190/N$1264/INDEX('Category Mapping'!$B$42:$B$45,MATCH($A1295,'Category Mapping'!$A$42:$A$45,0),1),0)</f>
        <v>5.1374969749717329E-5</v>
      </c>
      <c r="N1295" s="10">
        <f>IFERROR(N1190/O$1264/INDEX('Category Mapping'!$B$42:$B$45,MATCH($A1295,'Category Mapping'!$A$42:$A$45,0),1),0)</f>
        <v>5.1374969749717329E-5</v>
      </c>
      <c r="O1295" s="10">
        <f>IFERROR(O1190/P$1264/INDEX('Category Mapping'!$B$42:$B$45,MATCH($A1295,'Category Mapping'!$A$42:$A$45,0),1),0)</f>
        <v>5.1374969749717329E-5</v>
      </c>
      <c r="P1295" s="10">
        <f>IFERROR(P1190/Q$1264/INDEX('Category Mapping'!$B$42:$B$45,MATCH($A1295,'Category Mapping'!$A$42:$A$45,0),1),0)</f>
        <v>5.0691958355162392E-5</v>
      </c>
      <c r="Q1295" s="10">
        <f>IFERROR(Q1190/R$1264/INDEX('Category Mapping'!$B$42:$B$45,MATCH($A1295,'Category Mapping'!$A$42:$A$45,0),1),0)</f>
        <v>5.0691958355162392E-5</v>
      </c>
      <c r="R1295" s="10">
        <f>IFERROR(R1190/S$1264/INDEX('Category Mapping'!$B$42:$B$45,MATCH($A1295,'Category Mapping'!$A$42:$A$45,0),1),0)</f>
        <v>5.0691958355162392E-5</v>
      </c>
      <c r="S1295" s="10">
        <f>IFERROR(S1190/T$1264/INDEX('Category Mapping'!$B$42:$B$45,MATCH($A1295,'Category Mapping'!$A$42:$A$45,0),1),0)</f>
        <v>5.0691958355162392E-5</v>
      </c>
      <c r="T1295" s="10">
        <f>IFERROR(T1190/U$1264/INDEX('Category Mapping'!$B$42:$B$45,MATCH($A1295,'Category Mapping'!$A$42:$A$45,0),1),0)</f>
        <v>5.0691958355162392E-5</v>
      </c>
      <c r="U1295" s="10">
        <f>IFERROR(U1190/V$1264/INDEX('Category Mapping'!$B$42:$B$45,MATCH($A1295,'Category Mapping'!$A$42:$A$45,0),1),0)</f>
        <v>5.0691958355162392E-5</v>
      </c>
      <c r="V1295" s="10">
        <f>IFERROR(V1190/W$1264/INDEX('Category Mapping'!$B$42:$B$45,MATCH($A1295,'Category Mapping'!$A$42:$A$45,0),1),0)</f>
        <v>1.1191215106639813E-4</v>
      </c>
      <c r="W1295" s="10">
        <f>IFERROR(W1190/X$1264/INDEX('Category Mapping'!$B$42:$B$45,MATCH($A1295,'Category Mapping'!$A$42:$A$45,0),1),0)</f>
        <v>1.1191215106639813E-4</v>
      </c>
      <c r="X1295" s="10">
        <f>IFERROR(X1190/Y$1264/INDEX('Category Mapping'!$B$42:$B$45,MATCH($A1295,'Category Mapping'!$A$42:$A$45,0),1),0)</f>
        <v>1.1191215106639813E-4</v>
      </c>
      <c r="Y1295" s="27"/>
      <c r="Z1295" s="32"/>
    </row>
    <row r="1296" spans="1:26" outlineLevel="1" x14ac:dyDescent="0.3">
      <c r="A1296" t="s">
        <v>162</v>
      </c>
      <c r="B1296" t="s">
        <v>66</v>
      </c>
      <c r="C1296" s="6" t="s">
        <v>141</v>
      </c>
      <c r="D1296" s="10">
        <f>IFERROR(D1191/E$1264/INDEX('Category Mapping'!$B$42:$B$45,MATCH($A1296,'Category Mapping'!$A$42:$A$45,0),1),0)</f>
        <v>9.8325713005694164E-5</v>
      </c>
      <c r="E1296" s="10">
        <f>IFERROR(E1191/F$1264/INDEX('Category Mapping'!$B$42:$B$45,MATCH($A1296,'Category Mapping'!$A$42:$A$45,0),1),0)</f>
        <v>1.8217414708430863E-7</v>
      </c>
      <c r="F1296" s="10">
        <f>IFERROR(F1191/G$1264/INDEX('Category Mapping'!$B$42:$B$45,MATCH($A1296,'Category Mapping'!$A$42:$A$45,0),1),0)</f>
        <v>0</v>
      </c>
      <c r="G1296" s="10">
        <f>IFERROR(G1191/H$1264/INDEX('Category Mapping'!$B$42:$B$45,MATCH($A1296,'Category Mapping'!$A$42:$A$45,0),1),0)</f>
        <v>5.0110361744028253E-5</v>
      </c>
      <c r="H1296" s="10">
        <f>IFERROR(H1191/I$1264/INDEX('Category Mapping'!$B$42:$B$45,MATCH($A1296,'Category Mapping'!$A$42:$A$45,0),1),0)</f>
        <v>3.8983758963310082E-5</v>
      </c>
      <c r="I1296" s="10">
        <f>IFERROR(I1191/J$1264/INDEX('Category Mapping'!$B$42:$B$45,MATCH($A1296,'Category Mapping'!$A$42:$A$45,0),1),0)</f>
        <v>3.8983758963310082E-5</v>
      </c>
      <c r="J1296" s="10">
        <f>IFERROR(J1191/K$1264/INDEX('Category Mapping'!$B$42:$B$45,MATCH($A1296,'Category Mapping'!$A$42:$A$45,0),1),0)</f>
        <v>7.9869851856316474E-5</v>
      </c>
      <c r="K1296" s="10">
        <f>IFERROR(K1191/L$1264/INDEX('Category Mapping'!$B$42:$B$45,MATCH($A1296,'Category Mapping'!$A$42:$A$45,0),1),0)</f>
        <v>3.5632338187738685E-6</v>
      </c>
      <c r="L1296" s="10">
        <f>IFERROR(L1191/M$1264/INDEX('Category Mapping'!$B$42:$B$45,MATCH($A1296,'Category Mapping'!$A$42:$A$45,0),1),0)</f>
        <v>0</v>
      </c>
      <c r="M1296" s="10">
        <f>IFERROR(M1191/N$1264/INDEX('Category Mapping'!$B$42:$B$45,MATCH($A1296,'Category Mapping'!$A$42:$A$45,0),1),0)</f>
        <v>5.3395876969043384E-5</v>
      </c>
      <c r="N1296" s="10">
        <f>IFERROR(N1191/O$1264/INDEX('Category Mapping'!$B$42:$B$45,MATCH($A1296,'Category Mapping'!$A$42:$A$45,0),1),0)</f>
        <v>5.3395876969043384E-5</v>
      </c>
      <c r="O1296" s="10">
        <f>IFERROR(O1191/P$1264/INDEX('Category Mapping'!$B$42:$B$45,MATCH($A1296,'Category Mapping'!$A$42:$A$45,0),1),0)</f>
        <v>5.3395876969043384E-5</v>
      </c>
      <c r="P1296" s="10">
        <f>IFERROR(P1191/Q$1264/INDEX('Category Mapping'!$B$42:$B$45,MATCH($A1296,'Category Mapping'!$A$42:$A$45,0),1),0)</f>
        <v>5.0839372930513367E-5</v>
      </c>
      <c r="Q1296" s="10">
        <f>IFERROR(Q1191/R$1264/INDEX('Category Mapping'!$B$42:$B$45,MATCH($A1296,'Category Mapping'!$A$42:$A$45,0),1),0)</f>
        <v>5.0839372930513367E-5</v>
      </c>
      <c r="R1296" s="10">
        <f>IFERROR(R1191/S$1264/INDEX('Category Mapping'!$B$42:$B$45,MATCH($A1296,'Category Mapping'!$A$42:$A$45,0),1),0)</f>
        <v>5.0839372930513367E-5</v>
      </c>
      <c r="S1296" s="10">
        <f>IFERROR(S1191/T$1264/INDEX('Category Mapping'!$B$42:$B$45,MATCH($A1296,'Category Mapping'!$A$42:$A$45,0),1),0)</f>
        <v>5.0839372930513367E-5</v>
      </c>
      <c r="T1296" s="10">
        <f>IFERROR(T1191/U$1264/INDEX('Category Mapping'!$B$42:$B$45,MATCH($A1296,'Category Mapping'!$A$42:$A$45,0),1),0)</f>
        <v>5.0839372930513367E-5</v>
      </c>
      <c r="U1296" s="10">
        <f>IFERROR(U1191/V$1264/INDEX('Category Mapping'!$B$42:$B$45,MATCH($A1296,'Category Mapping'!$A$42:$A$45,0),1),0)</f>
        <v>5.0839372930513367E-5</v>
      </c>
      <c r="V1296" s="10">
        <f>IFERROR(V1191/W$1264/INDEX('Category Mapping'!$B$42:$B$45,MATCH($A1296,'Category Mapping'!$A$42:$A$45,0),1),0)</f>
        <v>1.119314115574102E-4</v>
      </c>
      <c r="W1296" s="10">
        <f>IFERROR(W1191/X$1264/INDEX('Category Mapping'!$B$42:$B$45,MATCH($A1296,'Category Mapping'!$A$42:$A$45,0),1),0)</f>
        <v>1.119314115574102E-4</v>
      </c>
      <c r="X1296" s="10">
        <f>IFERROR(X1191/Y$1264/INDEX('Category Mapping'!$B$42:$B$45,MATCH($A1296,'Category Mapping'!$A$42:$A$45,0),1),0)</f>
        <v>1.119314115574102E-4</v>
      </c>
      <c r="Y1296" s="27"/>
      <c r="Z1296" s="32"/>
    </row>
    <row r="1297" spans="1:26" outlineLevel="1" x14ac:dyDescent="0.3">
      <c r="A1297" t="s">
        <v>162</v>
      </c>
      <c r="B1297" t="s">
        <v>67</v>
      </c>
      <c r="C1297" s="6" t="s">
        <v>142</v>
      </c>
      <c r="D1297" s="10">
        <f>IFERROR(D1192/E$1264/INDEX('Category Mapping'!$B$42:$B$45,MATCH($A1297,'Category Mapping'!$A$42:$A$45,0),1),0)</f>
        <v>9.5941157560403386E-5</v>
      </c>
      <c r="E1297" s="10">
        <f>IFERROR(E1192/F$1264/INDEX('Category Mapping'!$B$42:$B$45,MATCH($A1297,'Category Mapping'!$A$42:$A$45,0),1),0)</f>
        <v>1.7818179278937958E-7</v>
      </c>
      <c r="F1297" s="10">
        <f>IFERROR(F1192/G$1264/INDEX('Category Mapping'!$B$42:$B$45,MATCH($A1297,'Category Mapping'!$A$42:$A$45,0),1),0)</f>
        <v>0</v>
      </c>
      <c r="G1297" s="10">
        <f>IFERROR(G1192/H$1264/INDEX('Category Mapping'!$B$42:$B$45,MATCH($A1297,'Category Mapping'!$A$42:$A$45,0),1),0)</f>
        <v>6.244599794556748E-5</v>
      </c>
      <c r="H1297" s="10">
        <f>IFERROR(H1192/I$1264/INDEX('Category Mapping'!$B$42:$B$45,MATCH($A1297,'Category Mapping'!$A$42:$A$45,0),1),0)</f>
        <v>4.0953538915365552E-5</v>
      </c>
      <c r="I1297" s="10">
        <f>IFERROR(I1192/J$1264/INDEX('Category Mapping'!$B$42:$B$45,MATCH($A1297,'Category Mapping'!$A$42:$A$45,0),1),0)</f>
        <v>4.0953538915365552E-5</v>
      </c>
      <c r="J1297" s="10">
        <f>IFERROR(J1192/K$1264/INDEX('Category Mapping'!$B$42:$B$45,MATCH($A1297,'Category Mapping'!$A$42:$A$45,0),1),0)</f>
        <v>7.9800872014695141E-5</v>
      </c>
      <c r="K1297" s="10">
        <f>IFERROR(K1192/L$1264/INDEX('Category Mapping'!$B$42:$B$45,MATCH($A1297,'Category Mapping'!$A$42:$A$45,0),1),0)</f>
        <v>3.5532007102681219E-6</v>
      </c>
      <c r="L1297" s="10">
        <f>IFERROR(L1192/M$1264/INDEX('Category Mapping'!$B$42:$B$45,MATCH($A1297,'Category Mapping'!$A$42:$A$45,0),1),0)</f>
        <v>0</v>
      </c>
      <c r="M1297" s="10">
        <f>IFERROR(M1192/N$1264/INDEX('Category Mapping'!$B$42:$B$45,MATCH($A1297,'Category Mapping'!$A$42:$A$45,0),1),0)</f>
        <v>5.6256718645512603E-5</v>
      </c>
      <c r="N1297" s="10">
        <f>IFERROR(N1192/O$1264/INDEX('Category Mapping'!$B$42:$B$45,MATCH($A1297,'Category Mapping'!$A$42:$A$45,0),1),0)</f>
        <v>5.6256718645512603E-5</v>
      </c>
      <c r="O1297" s="10">
        <f>IFERROR(O1192/P$1264/INDEX('Category Mapping'!$B$42:$B$45,MATCH($A1297,'Category Mapping'!$A$42:$A$45,0),1),0)</f>
        <v>5.6256718645512603E-5</v>
      </c>
      <c r="P1297" s="10">
        <f>IFERROR(P1192/Q$1264/INDEX('Category Mapping'!$B$42:$B$45,MATCH($A1297,'Category Mapping'!$A$42:$A$45,0),1),0)</f>
        <v>5.0635677433822572E-5</v>
      </c>
      <c r="Q1297" s="10">
        <f>IFERROR(Q1192/R$1264/INDEX('Category Mapping'!$B$42:$B$45,MATCH($A1297,'Category Mapping'!$A$42:$A$45,0),1),0)</f>
        <v>5.0635677433822572E-5</v>
      </c>
      <c r="R1297" s="10">
        <f>IFERROR(R1192/S$1264/INDEX('Category Mapping'!$B$42:$B$45,MATCH($A1297,'Category Mapping'!$A$42:$A$45,0),1),0)</f>
        <v>5.0635677433822572E-5</v>
      </c>
      <c r="S1297" s="10">
        <f>IFERROR(S1192/T$1264/INDEX('Category Mapping'!$B$42:$B$45,MATCH($A1297,'Category Mapping'!$A$42:$A$45,0),1),0)</f>
        <v>5.0635677433822572E-5</v>
      </c>
      <c r="T1297" s="10">
        <f>IFERROR(T1192/U$1264/INDEX('Category Mapping'!$B$42:$B$45,MATCH($A1297,'Category Mapping'!$A$42:$A$45,0),1),0)</f>
        <v>5.0635677433822572E-5</v>
      </c>
      <c r="U1297" s="10">
        <f>IFERROR(U1192/V$1264/INDEX('Category Mapping'!$B$42:$B$45,MATCH($A1297,'Category Mapping'!$A$42:$A$45,0),1),0)</f>
        <v>5.0635677433822572E-5</v>
      </c>
      <c r="V1297" s="10">
        <f>IFERROR(V1192/W$1264/INDEX('Category Mapping'!$B$42:$B$45,MATCH($A1297,'Category Mapping'!$A$42:$A$45,0),1),0)</f>
        <v>1.1235079321654401E-4</v>
      </c>
      <c r="W1297" s="10">
        <f>IFERROR(W1192/X$1264/INDEX('Category Mapping'!$B$42:$B$45,MATCH($A1297,'Category Mapping'!$A$42:$A$45,0),1),0)</f>
        <v>1.1235079321654401E-4</v>
      </c>
      <c r="X1297" s="10">
        <f>IFERROR(X1192/Y$1264/INDEX('Category Mapping'!$B$42:$B$45,MATCH($A1297,'Category Mapping'!$A$42:$A$45,0),1),0)</f>
        <v>1.1235079321654401E-4</v>
      </c>
      <c r="Y1297" s="27"/>
      <c r="Z1297" s="32"/>
    </row>
    <row r="1298" spans="1:26" outlineLevel="1" x14ac:dyDescent="0.3">
      <c r="A1298" t="s">
        <v>162</v>
      </c>
      <c r="B1298" t="s">
        <v>68</v>
      </c>
      <c r="C1298" s="6" t="s">
        <v>143</v>
      </c>
      <c r="D1298" s="10">
        <f>IFERROR(D1193/E$1264/INDEX('Category Mapping'!$B$42:$B$45,MATCH($A1298,'Category Mapping'!$A$42:$A$45,0),1),0)</f>
        <v>1.2390708180958109E-4</v>
      </c>
      <c r="E1298" s="10">
        <f>IFERROR(E1193/F$1264/INDEX('Category Mapping'!$B$42:$B$45,MATCH($A1298,'Category Mapping'!$A$42:$A$45,0),1),0)</f>
        <v>1.6558367953011304E-7</v>
      </c>
      <c r="F1298" s="10">
        <f>IFERROR(F1193/G$1264/INDEX('Category Mapping'!$B$42:$B$45,MATCH($A1298,'Category Mapping'!$A$42:$A$45,0),1),0)</f>
        <v>0</v>
      </c>
      <c r="G1298" s="10">
        <f>IFERROR(G1193/H$1264/INDEX('Category Mapping'!$B$42:$B$45,MATCH($A1298,'Category Mapping'!$A$42:$A$45,0),1),0)</f>
        <v>1.0103353495904488E-4</v>
      </c>
      <c r="H1298" s="10">
        <f>IFERROR(H1193/I$1264/INDEX('Category Mapping'!$B$42:$B$45,MATCH($A1298,'Category Mapping'!$A$42:$A$45,0),1),0)</f>
        <v>5.4927525163649212E-5</v>
      </c>
      <c r="I1298" s="10">
        <f>IFERROR(I1193/J$1264/INDEX('Category Mapping'!$B$42:$B$45,MATCH($A1298,'Category Mapping'!$A$42:$A$45,0),1),0)</f>
        <v>5.4927525163649212E-5</v>
      </c>
      <c r="J1298" s="10">
        <f>IFERROR(J1193/K$1264/INDEX('Category Mapping'!$B$42:$B$45,MATCH($A1298,'Category Mapping'!$A$42:$A$45,0),1),0)</f>
        <v>1.17337221213878E-4</v>
      </c>
      <c r="K1298" s="10">
        <f>IFERROR(K1193/L$1264/INDEX('Category Mapping'!$B$42:$B$45,MATCH($A1298,'Category Mapping'!$A$42:$A$45,0),1),0)</f>
        <v>3.6511005857412343E-6</v>
      </c>
      <c r="L1298" s="10">
        <f>IFERROR(L1193/M$1264/INDEX('Category Mapping'!$B$42:$B$45,MATCH($A1298,'Category Mapping'!$A$42:$A$45,0),1),0)</f>
        <v>0</v>
      </c>
      <c r="M1298" s="10">
        <f>IFERROR(M1193/N$1264/INDEX('Category Mapping'!$B$42:$B$45,MATCH($A1298,'Category Mapping'!$A$42:$A$45,0),1),0)</f>
        <v>6.4907531363051589E-5</v>
      </c>
      <c r="N1298" s="10">
        <f>IFERROR(N1193/O$1264/INDEX('Category Mapping'!$B$42:$B$45,MATCH($A1298,'Category Mapping'!$A$42:$A$45,0),1),0)</f>
        <v>6.4907531363051589E-5</v>
      </c>
      <c r="O1298" s="10">
        <f>IFERROR(O1193/P$1264/INDEX('Category Mapping'!$B$42:$B$45,MATCH($A1298,'Category Mapping'!$A$42:$A$45,0),1),0)</f>
        <v>6.4907531363051589E-5</v>
      </c>
      <c r="P1298" s="10">
        <f>IFERROR(P1193/Q$1264/INDEX('Category Mapping'!$B$42:$B$45,MATCH($A1298,'Category Mapping'!$A$42:$A$45,0),1),0)</f>
        <v>5.1924861457635328E-5</v>
      </c>
      <c r="Q1298" s="10">
        <f>IFERROR(Q1193/R$1264/INDEX('Category Mapping'!$B$42:$B$45,MATCH($A1298,'Category Mapping'!$A$42:$A$45,0),1),0)</f>
        <v>5.1924861457635328E-5</v>
      </c>
      <c r="R1298" s="10">
        <f>IFERROR(R1193/S$1264/INDEX('Category Mapping'!$B$42:$B$45,MATCH($A1298,'Category Mapping'!$A$42:$A$45,0),1),0)</f>
        <v>5.1924861457635328E-5</v>
      </c>
      <c r="S1298" s="10">
        <f>IFERROR(S1193/T$1264/INDEX('Category Mapping'!$B$42:$B$45,MATCH($A1298,'Category Mapping'!$A$42:$A$45,0),1),0)</f>
        <v>5.1924861457635328E-5</v>
      </c>
      <c r="T1298" s="10">
        <f>IFERROR(T1193/U$1264/INDEX('Category Mapping'!$B$42:$B$45,MATCH($A1298,'Category Mapping'!$A$42:$A$45,0),1),0)</f>
        <v>5.1924861457635328E-5</v>
      </c>
      <c r="U1298" s="10">
        <f>IFERROR(U1193/V$1264/INDEX('Category Mapping'!$B$42:$B$45,MATCH($A1298,'Category Mapping'!$A$42:$A$45,0),1),0)</f>
        <v>5.1924861457635328E-5</v>
      </c>
      <c r="V1298" s="10">
        <f>IFERROR(V1193/W$1264/INDEX('Category Mapping'!$B$42:$B$45,MATCH($A1298,'Category Mapping'!$A$42:$A$45,0),1),0)</f>
        <v>1.1322807751683577E-4</v>
      </c>
      <c r="W1298" s="10">
        <f>IFERROR(W1193/X$1264/INDEX('Category Mapping'!$B$42:$B$45,MATCH($A1298,'Category Mapping'!$A$42:$A$45,0),1),0)</f>
        <v>1.1322807751683577E-4</v>
      </c>
      <c r="X1298" s="10">
        <f>IFERROR(X1193/Y$1264/INDEX('Category Mapping'!$B$42:$B$45,MATCH($A1298,'Category Mapping'!$A$42:$A$45,0),1),0)</f>
        <v>1.1322807751683577E-4</v>
      </c>
      <c r="Y1298" s="27"/>
      <c r="Z1298" s="32"/>
    </row>
    <row r="1299" spans="1:26" outlineLevel="1" x14ac:dyDescent="0.3">
      <c r="A1299" t="s">
        <v>162</v>
      </c>
      <c r="B1299" t="s">
        <v>69</v>
      </c>
      <c r="C1299" s="6" t="s">
        <v>144</v>
      </c>
      <c r="D1299" s="10">
        <f>IFERROR(D1194/E$1264/INDEX('Category Mapping'!$B$42:$B$45,MATCH($A1299,'Category Mapping'!$A$42:$A$45,0),1),0)</f>
        <v>1.3406053750919519E-4</v>
      </c>
      <c r="E1299" s="10">
        <f>IFERROR(E1194/F$1264/INDEX('Category Mapping'!$B$42:$B$45,MATCH($A1299,'Category Mapping'!$A$42:$A$45,0),1),0)</f>
        <v>1.3919577220075321E-7</v>
      </c>
      <c r="F1299" s="10">
        <f>IFERROR(F1194/G$1264/INDEX('Category Mapping'!$B$42:$B$45,MATCH($A1299,'Category Mapping'!$A$42:$A$45,0),1),0)</f>
        <v>0</v>
      </c>
      <c r="G1299" s="10">
        <f>IFERROR(G1194/H$1264/INDEX('Category Mapping'!$B$42:$B$45,MATCH($A1299,'Category Mapping'!$A$42:$A$45,0),1),0)</f>
        <v>9.3997158235480804E-5</v>
      </c>
      <c r="H1299" s="10">
        <f>IFERROR(H1194/I$1264/INDEX('Category Mapping'!$B$42:$B$45,MATCH($A1299,'Category Mapping'!$A$42:$A$45,0),1),0)</f>
        <v>8.6174651826724979E-5</v>
      </c>
      <c r="I1299" s="10">
        <f>IFERROR(I1194/J$1264/INDEX('Category Mapping'!$B$42:$B$45,MATCH($A1299,'Category Mapping'!$A$42:$A$45,0),1),0)</f>
        <v>8.6174651826724979E-5</v>
      </c>
      <c r="J1299" s="10">
        <f>IFERROR(J1194/K$1264/INDEX('Category Mapping'!$B$42:$B$45,MATCH($A1299,'Category Mapping'!$A$42:$A$45,0),1),0)</f>
        <v>2.1792274400183017E-4</v>
      </c>
      <c r="K1299" s="10">
        <f>IFERROR(K1194/L$1264/INDEX('Category Mapping'!$B$42:$B$45,MATCH($A1299,'Category Mapping'!$A$42:$A$45,0),1),0)</f>
        <v>4.0012529371317475E-6</v>
      </c>
      <c r="L1299" s="10">
        <f>IFERROR(L1194/M$1264/INDEX('Category Mapping'!$B$42:$B$45,MATCH($A1299,'Category Mapping'!$A$42:$A$45,0),1),0)</f>
        <v>0</v>
      </c>
      <c r="M1299" s="10">
        <f>IFERROR(M1194/N$1264/INDEX('Category Mapping'!$B$42:$B$45,MATCH($A1299,'Category Mapping'!$A$42:$A$45,0),1),0)</f>
        <v>9.4009684313419651E-5</v>
      </c>
      <c r="N1299" s="10">
        <f>IFERROR(N1194/O$1264/INDEX('Category Mapping'!$B$42:$B$45,MATCH($A1299,'Category Mapping'!$A$42:$A$45,0),1),0)</f>
        <v>9.4009684313419651E-5</v>
      </c>
      <c r="O1299" s="10">
        <f>IFERROR(O1194/P$1264/INDEX('Category Mapping'!$B$42:$B$45,MATCH($A1299,'Category Mapping'!$A$42:$A$45,0),1),0)</f>
        <v>9.4009684313419651E-5</v>
      </c>
      <c r="P1299" s="10">
        <f>IFERROR(P1194/Q$1264/INDEX('Category Mapping'!$B$42:$B$45,MATCH($A1299,'Category Mapping'!$A$42:$A$45,0),1),0)</f>
        <v>7.5739224121645993E-5</v>
      </c>
      <c r="Q1299" s="10">
        <f>IFERROR(Q1194/R$1264/INDEX('Category Mapping'!$B$42:$B$45,MATCH($A1299,'Category Mapping'!$A$42:$A$45,0),1),0)</f>
        <v>7.5739224121645993E-5</v>
      </c>
      <c r="R1299" s="10">
        <f>IFERROR(R1194/S$1264/INDEX('Category Mapping'!$B$42:$B$45,MATCH($A1299,'Category Mapping'!$A$42:$A$45,0),1),0)</f>
        <v>7.5739224121645993E-5</v>
      </c>
      <c r="S1299" s="10">
        <f>IFERROR(S1194/T$1264/INDEX('Category Mapping'!$B$42:$B$45,MATCH($A1299,'Category Mapping'!$A$42:$A$45,0),1),0)</f>
        <v>7.5739224121645993E-5</v>
      </c>
      <c r="T1299" s="10">
        <f>IFERROR(T1194/U$1264/INDEX('Category Mapping'!$B$42:$B$45,MATCH($A1299,'Category Mapping'!$A$42:$A$45,0),1),0)</f>
        <v>7.5739224121645993E-5</v>
      </c>
      <c r="U1299" s="10">
        <f>IFERROR(U1194/V$1264/INDEX('Category Mapping'!$B$42:$B$45,MATCH($A1299,'Category Mapping'!$A$42:$A$45,0),1),0)</f>
        <v>7.5739224121645993E-5</v>
      </c>
      <c r="V1299" s="10">
        <f>IFERROR(V1194/W$1264/INDEX('Category Mapping'!$B$42:$B$45,MATCH($A1299,'Category Mapping'!$A$42:$A$45,0),1),0)</f>
        <v>1.1430480109502675E-4</v>
      </c>
      <c r="W1299" s="10">
        <f>IFERROR(W1194/X$1264/INDEX('Category Mapping'!$B$42:$B$45,MATCH($A1299,'Category Mapping'!$A$42:$A$45,0),1),0)</f>
        <v>1.1430480109502675E-4</v>
      </c>
      <c r="X1299" s="10">
        <f>IFERROR(X1194/Y$1264/INDEX('Category Mapping'!$B$42:$B$45,MATCH($A1299,'Category Mapping'!$A$42:$A$45,0),1),0)</f>
        <v>1.1430480109502675E-4</v>
      </c>
      <c r="Y1299" s="27"/>
      <c r="Z1299" s="32"/>
    </row>
    <row r="1300" spans="1:26" outlineLevel="1" x14ac:dyDescent="0.3">
      <c r="A1300" t="s">
        <v>162</v>
      </c>
      <c r="B1300" t="s">
        <v>70</v>
      </c>
      <c r="C1300" s="6" t="s">
        <v>145</v>
      </c>
      <c r="D1300" s="10">
        <f>IFERROR(D1195/E$1264/INDEX('Category Mapping'!$B$42:$B$45,MATCH($A1300,'Category Mapping'!$A$42:$A$45,0),1),0)</f>
        <v>1.3453483704325815E-4</v>
      </c>
      <c r="E1300" s="10">
        <f>IFERROR(E1195/F$1264/INDEX('Category Mapping'!$B$42:$B$45,MATCH($A1300,'Category Mapping'!$A$42:$A$45,0),1),0)</f>
        <v>1.0917846856542605E-7</v>
      </c>
      <c r="F1300" s="10">
        <f>IFERROR(F1195/G$1264/INDEX('Category Mapping'!$B$42:$B$45,MATCH($A1300,'Category Mapping'!$A$42:$A$45,0),1),0)</f>
        <v>0</v>
      </c>
      <c r="G1300" s="10">
        <f>IFERROR(G1195/H$1264/INDEX('Category Mapping'!$B$42:$B$45,MATCH($A1300,'Category Mapping'!$A$42:$A$45,0),1),0)</f>
        <v>5.2156917873229788E-5</v>
      </c>
      <c r="H1300" s="10">
        <f>IFERROR(H1195/I$1264/INDEX('Category Mapping'!$B$42:$B$45,MATCH($A1300,'Category Mapping'!$A$42:$A$45,0),1),0)</f>
        <v>1.1132681932654382E-4</v>
      </c>
      <c r="I1300" s="10">
        <f>IFERROR(I1195/J$1264/INDEX('Category Mapping'!$B$42:$B$45,MATCH($A1300,'Category Mapping'!$A$42:$A$45,0),1),0)</f>
        <v>1.1132681932654382E-4</v>
      </c>
      <c r="J1300" s="10">
        <f>IFERROR(J1195/K$1264/INDEX('Category Mapping'!$B$42:$B$45,MATCH($A1300,'Category Mapping'!$A$42:$A$45,0),1),0)</f>
        <v>2.4433579795766802E-4</v>
      </c>
      <c r="K1300" s="10">
        <f>IFERROR(K1195/L$1264/INDEX('Category Mapping'!$B$42:$B$45,MATCH($A1300,'Category Mapping'!$A$42:$A$45,0),1),0)</f>
        <v>4.6920419165747247E-6</v>
      </c>
      <c r="L1300" s="10">
        <f>IFERROR(L1195/M$1264/INDEX('Category Mapping'!$B$42:$B$45,MATCH($A1300,'Category Mapping'!$A$42:$A$45,0),1),0)</f>
        <v>0</v>
      </c>
      <c r="M1300" s="10">
        <f>IFERROR(M1195/N$1264/INDEX('Category Mapping'!$B$42:$B$45,MATCH($A1300,'Category Mapping'!$A$42:$A$45,0),1),0)</f>
        <v>1.278986158857922E-4</v>
      </c>
      <c r="N1300" s="10">
        <f>IFERROR(N1195/O$1264/INDEX('Category Mapping'!$B$42:$B$45,MATCH($A1300,'Category Mapping'!$A$42:$A$45,0),1),0)</f>
        <v>1.278986158857922E-4</v>
      </c>
      <c r="O1300" s="10">
        <f>IFERROR(O1195/P$1264/INDEX('Category Mapping'!$B$42:$B$45,MATCH($A1300,'Category Mapping'!$A$42:$A$45,0),1),0)</f>
        <v>1.278986158857922E-4</v>
      </c>
      <c r="P1300" s="10">
        <f>IFERROR(P1195/Q$1264/INDEX('Category Mapping'!$B$42:$B$45,MATCH($A1300,'Category Mapping'!$A$42:$A$45,0),1),0)</f>
        <v>1.5095831346352033E-4</v>
      </c>
      <c r="Q1300" s="10">
        <f>IFERROR(Q1195/R$1264/INDEX('Category Mapping'!$B$42:$B$45,MATCH($A1300,'Category Mapping'!$A$42:$A$45,0),1),0)</f>
        <v>1.5095831346352033E-4</v>
      </c>
      <c r="R1300" s="10">
        <f>IFERROR(R1195/S$1264/INDEX('Category Mapping'!$B$42:$B$45,MATCH($A1300,'Category Mapping'!$A$42:$A$45,0),1),0)</f>
        <v>1.5095831346352033E-4</v>
      </c>
      <c r="S1300" s="10">
        <f>IFERROR(S1195/T$1264/INDEX('Category Mapping'!$B$42:$B$45,MATCH($A1300,'Category Mapping'!$A$42:$A$45,0),1),0)</f>
        <v>1.5095831346352033E-4</v>
      </c>
      <c r="T1300" s="10">
        <f>IFERROR(T1195/U$1264/INDEX('Category Mapping'!$B$42:$B$45,MATCH($A1300,'Category Mapping'!$A$42:$A$45,0),1),0)</f>
        <v>1.5095831346352033E-4</v>
      </c>
      <c r="U1300" s="10">
        <f>IFERROR(U1195/V$1264/INDEX('Category Mapping'!$B$42:$B$45,MATCH($A1300,'Category Mapping'!$A$42:$A$45,0),1),0)</f>
        <v>1.5095831346352033E-4</v>
      </c>
      <c r="V1300" s="10">
        <f>IFERROR(V1195/W$1264/INDEX('Category Mapping'!$B$42:$B$45,MATCH($A1300,'Category Mapping'!$A$42:$A$45,0),1),0)</f>
        <v>1.15229615316687E-4</v>
      </c>
      <c r="W1300" s="10">
        <f>IFERROR(W1195/X$1264/INDEX('Category Mapping'!$B$42:$B$45,MATCH($A1300,'Category Mapping'!$A$42:$A$45,0),1),0)</f>
        <v>1.15229615316687E-4</v>
      </c>
      <c r="X1300" s="10">
        <f>IFERROR(X1195/Y$1264/INDEX('Category Mapping'!$B$42:$B$45,MATCH($A1300,'Category Mapping'!$A$42:$A$45,0),1),0)</f>
        <v>1.15229615316687E-4</v>
      </c>
      <c r="Y1300" s="27"/>
      <c r="Z1300" s="32"/>
    </row>
    <row r="1301" spans="1:26" outlineLevel="1" x14ac:dyDescent="0.3">
      <c r="A1301" t="s">
        <v>162</v>
      </c>
      <c r="B1301" t="s">
        <v>71</v>
      </c>
      <c r="C1301" s="6" t="s">
        <v>146</v>
      </c>
      <c r="D1301" s="10">
        <f>IFERROR(D1196/E$1264/INDEX('Category Mapping'!$B$42:$B$45,MATCH($A1301,'Category Mapping'!$A$42:$A$45,0),1),0)</f>
        <v>1.3179819578441857E-4</v>
      </c>
      <c r="E1301" s="10">
        <f>IFERROR(E1196/F$1264/INDEX('Category Mapping'!$B$42:$B$45,MATCH($A1301,'Category Mapping'!$A$42:$A$45,0),1),0)</f>
        <v>2.4060638380620156E-7</v>
      </c>
      <c r="F1301" s="10">
        <f>IFERROR(F1196/G$1264/INDEX('Category Mapping'!$B$42:$B$45,MATCH($A1301,'Category Mapping'!$A$42:$A$45,0),1),0)</f>
        <v>0</v>
      </c>
      <c r="G1301" s="10">
        <f>IFERROR(G1196/H$1264/INDEX('Category Mapping'!$B$42:$B$45,MATCH($A1301,'Category Mapping'!$A$42:$A$45,0),1),0)</f>
        <v>5.2232726300352282E-5</v>
      </c>
      <c r="H1301" s="10">
        <f>IFERROR(H1196/I$1264/INDEX('Category Mapping'!$B$42:$B$45,MATCH($A1301,'Category Mapping'!$A$42:$A$45,0),1),0)</f>
        <v>1.1755342766670311E-4</v>
      </c>
      <c r="I1301" s="10">
        <f>IFERROR(I1196/J$1264/INDEX('Category Mapping'!$B$42:$B$45,MATCH($A1301,'Category Mapping'!$A$42:$A$45,0),1),0)</f>
        <v>1.1755342766670311E-4</v>
      </c>
      <c r="J1301" s="10">
        <f>IFERROR(J1196/K$1264/INDEX('Category Mapping'!$B$42:$B$45,MATCH($A1301,'Category Mapping'!$A$42:$A$45,0),1),0)</f>
        <v>1.9134426908293565E-4</v>
      </c>
      <c r="K1301" s="10">
        <f>IFERROR(K1196/L$1264/INDEX('Category Mapping'!$B$42:$B$45,MATCH($A1301,'Category Mapping'!$A$42:$A$45,0),1),0)</f>
        <v>5.7346489862562526E-6</v>
      </c>
      <c r="L1301" s="10">
        <f>IFERROR(L1196/M$1264/INDEX('Category Mapping'!$B$42:$B$45,MATCH($A1301,'Category Mapping'!$A$42:$A$45,0),1),0)</f>
        <v>0</v>
      </c>
      <c r="M1301" s="10">
        <f>IFERROR(M1196/N$1264/INDEX('Category Mapping'!$B$42:$B$45,MATCH($A1301,'Category Mapping'!$A$42:$A$45,0),1),0)</f>
        <v>1.5757972823858662E-4</v>
      </c>
      <c r="N1301" s="10">
        <f>IFERROR(N1196/O$1264/INDEX('Category Mapping'!$B$42:$B$45,MATCH($A1301,'Category Mapping'!$A$42:$A$45,0),1),0)</f>
        <v>1.5757972823858662E-4</v>
      </c>
      <c r="O1301" s="10">
        <f>IFERROR(O1196/P$1264/INDEX('Category Mapping'!$B$42:$B$45,MATCH($A1301,'Category Mapping'!$A$42:$A$45,0),1),0)</f>
        <v>1.5757972823858662E-4</v>
      </c>
      <c r="P1301" s="10">
        <f>IFERROR(P1196/Q$1264/INDEX('Category Mapping'!$B$42:$B$45,MATCH($A1301,'Category Mapping'!$A$42:$A$45,0),1),0)</f>
        <v>1.6603145398301519E-4</v>
      </c>
      <c r="Q1301" s="10">
        <f>IFERROR(Q1196/R$1264/INDEX('Category Mapping'!$B$42:$B$45,MATCH($A1301,'Category Mapping'!$A$42:$A$45,0),1),0)</f>
        <v>1.6603145398301519E-4</v>
      </c>
      <c r="R1301" s="10">
        <f>IFERROR(R1196/S$1264/INDEX('Category Mapping'!$B$42:$B$45,MATCH($A1301,'Category Mapping'!$A$42:$A$45,0),1),0)</f>
        <v>1.6603145398301519E-4</v>
      </c>
      <c r="S1301" s="10">
        <f>IFERROR(S1196/T$1264/INDEX('Category Mapping'!$B$42:$B$45,MATCH($A1301,'Category Mapping'!$A$42:$A$45,0),1),0)</f>
        <v>1.6603145398301519E-4</v>
      </c>
      <c r="T1301" s="10">
        <f>IFERROR(T1196/U$1264/INDEX('Category Mapping'!$B$42:$B$45,MATCH($A1301,'Category Mapping'!$A$42:$A$45,0),1),0)</f>
        <v>1.6603145398301519E-4</v>
      </c>
      <c r="U1301" s="10">
        <f>IFERROR(U1196/V$1264/INDEX('Category Mapping'!$B$42:$B$45,MATCH($A1301,'Category Mapping'!$A$42:$A$45,0),1),0)</f>
        <v>1.6603145398301519E-4</v>
      </c>
      <c r="V1301" s="10">
        <f>IFERROR(V1196/W$1264/INDEX('Category Mapping'!$B$42:$B$45,MATCH($A1301,'Category Mapping'!$A$42:$A$45,0),1),0)</f>
        <v>1.1547689516903554E-4</v>
      </c>
      <c r="W1301" s="10">
        <f>IFERROR(W1196/X$1264/INDEX('Category Mapping'!$B$42:$B$45,MATCH($A1301,'Category Mapping'!$A$42:$A$45,0),1),0)</f>
        <v>1.1547689516903554E-4</v>
      </c>
      <c r="X1301" s="10">
        <f>IFERROR(X1196/Y$1264/INDEX('Category Mapping'!$B$42:$B$45,MATCH($A1301,'Category Mapping'!$A$42:$A$45,0),1),0)</f>
        <v>1.1547689516903554E-4</v>
      </c>
      <c r="Y1301" s="27"/>
      <c r="Z1301" s="32"/>
    </row>
    <row r="1302" spans="1:26" outlineLevel="1" x14ac:dyDescent="0.3">
      <c r="A1302" t="s">
        <v>162</v>
      </c>
      <c r="B1302" t="s">
        <v>72</v>
      </c>
      <c r="C1302" s="6" t="s">
        <v>147</v>
      </c>
      <c r="D1302" s="10">
        <f>IFERROR(D1197/E$1264/INDEX('Category Mapping'!$B$42:$B$45,MATCH($A1302,'Category Mapping'!$A$42:$A$45,0),1),0)</f>
        <v>9.7160815368069623E-5</v>
      </c>
      <c r="E1302" s="10">
        <f>IFERROR(E1197/F$1264/INDEX('Category Mapping'!$B$42:$B$45,MATCH($A1302,'Category Mapping'!$A$42:$A$45,0),1),0)</f>
        <v>2.7110890427345034E-6</v>
      </c>
      <c r="F1302" s="10">
        <f>IFERROR(F1197/G$1264/INDEX('Category Mapping'!$B$42:$B$45,MATCH($A1302,'Category Mapping'!$A$42:$A$45,0),1),0)</f>
        <v>0</v>
      </c>
      <c r="G1302" s="10">
        <f>IFERROR(G1197/H$1264/INDEX('Category Mapping'!$B$42:$B$45,MATCH($A1302,'Category Mapping'!$A$42:$A$45,0),1),0)</f>
        <v>5.1107993666023314E-5</v>
      </c>
      <c r="H1302" s="10">
        <f>IFERROR(H1197/I$1264/INDEX('Category Mapping'!$B$42:$B$45,MATCH($A1302,'Category Mapping'!$A$42:$A$45,0),1),0)</f>
        <v>1.2290693837162711E-4</v>
      </c>
      <c r="I1302" s="10">
        <f>IFERROR(I1197/J$1264/INDEX('Category Mapping'!$B$42:$B$45,MATCH($A1302,'Category Mapping'!$A$42:$A$45,0),1),0)</f>
        <v>1.2290693837162711E-4</v>
      </c>
      <c r="J1302" s="10">
        <f>IFERROR(J1197/K$1264/INDEX('Category Mapping'!$B$42:$B$45,MATCH($A1302,'Category Mapping'!$A$42:$A$45,0),1),0)</f>
        <v>1.4573194913127026E-4</v>
      </c>
      <c r="K1302" s="10">
        <f>IFERROR(K1197/L$1264/INDEX('Category Mapping'!$B$42:$B$45,MATCH($A1302,'Category Mapping'!$A$42:$A$45,0),1),0)</f>
        <v>6.7935534199213696E-6</v>
      </c>
      <c r="L1302" s="10">
        <f>IFERROR(L1197/M$1264/INDEX('Category Mapping'!$B$42:$B$45,MATCH($A1302,'Category Mapping'!$A$42:$A$45,0),1),0)</f>
        <v>0</v>
      </c>
      <c r="M1302" s="10">
        <f>IFERROR(M1197/N$1264/INDEX('Category Mapping'!$B$42:$B$45,MATCH($A1302,'Category Mapping'!$A$42:$A$45,0),1),0)</f>
        <v>1.6631469743342254E-4</v>
      </c>
      <c r="N1302" s="10">
        <f>IFERROR(N1197/O$1264/INDEX('Category Mapping'!$B$42:$B$45,MATCH($A1302,'Category Mapping'!$A$42:$A$45,0),1),0)</f>
        <v>1.6631469743342254E-4</v>
      </c>
      <c r="O1302" s="10">
        <f>IFERROR(O1197/P$1264/INDEX('Category Mapping'!$B$42:$B$45,MATCH($A1302,'Category Mapping'!$A$42:$A$45,0),1),0)</f>
        <v>1.6631469743342254E-4</v>
      </c>
      <c r="P1302" s="10">
        <f>IFERROR(P1197/Q$1264/INDEX('Category Mapping'!$B$42:$B$45,MATCH($A1302,'Category Mapping'!$A$42:$A$45,0),1),0)</f>
        <v>1.5150411285855714E-4</v>
      </c>
      <c r="Q1302" s="10">
        <f>IFERROR(Q1197/R$1264/INDEX('Category Mapping'!$B$42:$B$45,MATCH($A1302,'Category Mapping'!$A$42:$A$45,0),1),0)</f>
        <v>1.5150411285855714E-4</v>
      </c>
      <c r="R1302" s="10">
        <f>IFERROR(R1197/S$1264/INDEX('Category Mapping'!$B$42:$B$45,MATCH($A1302,'Category Mapping'!$A$42:$A$45,0),1),0)</f>
        <v>1.5150411285855714E-4</v>
      </c>
      <c r="S1302" s="10">
        <f>IFERROR(S1197/T$1264/INDEX('Category Mapping'!$B$42:$B$45,MATCH($A1302,'Category Mapping'!$A$42:$A$45,0),1),0)</f>
        <v>1.5150411285855714E-4</v>
      </c>
      <c r="T1302" s="10">
        <f>IFERROR(T1197/U$1264/INDEX('Category Mapping'!$B$42:$B$45,MATCH($A1302,'Category Mapping'!$A$42:$A$45,0),1),0)</f>
        <v>1.5150411285855714E-4</v>
      </c>
      <c r="U1302" s="10">
        <f>IFERROR(U1197/V$1264/INDEX('Category Mapping'!$B$42:$B$45,MATCH($A1302,'Category Mapping'!$A$42:$A$45,0),1),0)</f>
        <v>1.5150411285855714E-4</v>
      </c>
      <c r="V1302" s="10">
        <f>IFERROR(V1197/W$1264/INDEX('Category Mapping'!$B$42:$B$45,MATCH($A1302,'Category Mapping'!$A$42:$A$45,0),1),0)</f>
        <v>1.1527683458497463E-4</v>
      </c>
      <c r="W1302" s="10">
        <f>IFERROR(W1197/X$1264/INDEX('Category Mapping'!$B$42:$B$45,MATCH($A1302,'Category Mapping'!$A$42:$A$45,0),1),0)</f>
        <v>1.1527683458497463E-4</v>
      </c>
      <c r="X1302" s="10">
        <f>IFERROR(X1197/Y$1264/INDEX('Category Mapping'!$B$42:$B$45,MATCH($A1302,'Category Mapping'!$A$42:$A$45,0),1),0)</f>
        <v>1.1527683458497463E-4</v>
      </c>
      <c r="Y1302" s="27"/>
      <c r="Z1302" s="32"/>
    </row>
    <row r="1303" spans="1:26" outlineLevel="1" x14ac:dyDescent="0.3">
      <c r="A1303" t="s">
        <v>162</v>
      </c>
      <c r="B1303" t="s">
        <v>73</v>
      </c>
      <c r="C1303" s="6" t="s">
        <v>148</v>
      </c>
      <c r="D1303" s="10">
        <f>IFERROR(D1198/E$1264/INDEX('Category Mapping'!$B$42:$B$45,MATCH($A1303,'Category Mapping'!$A$42:$A$45,0),1),0)</f>
        <v>9.4075464753204613E-5</v>
      </c>
      <c r="E1303" s="10">
        <f>IFERROR(E1198/F$1264/INDEX('Category Mapping'!$B$42:$B$45,MATCH($A1303,'Category Mapping'!$A$42:$A$45,0),1),0)</f>
        <v>6.1956506866764573E-6</v>
      </c>
      <c r="F1303" s="10">
        <f>IFERROR(F1198/G$1264/INDEX('Category Mapping'!$B$42:$B$45,MATCH($A1303,'Category Mapping'!$A$42:$A$45,0),1),0)</f>
        <v>0</v>
      </c>
      <c r="G1303" s="10">
        <f>IFERROR(G1198/H$1264/INDEX('Category Mapping'!$B$42:$B$45,MATCH($A1303,'Category Mapping'!$A$42:$A$45,0),1),0)</f>
        <v>5.181814922896491E-5</v>
      </c>
      <c r="H1303" s="10">
        <f>IFERROR(H1198/I$1264/INDEX('Category Mapping'!$B$42:$B$45,MATCH($A1303,'Category Mapping'!$A$42:$A$45,0),1),0)</f>
        <v>1.2810029884945679E-4</v>
      </c>
      <c r="I1303" s="10">
        <f>IFERROR(I1198/J$1264/INDEX('Category Mapping'!$B$42:$B$45,MATCH($A1303,'Category Mapping'!$A$42:$A$45,0),1),0)</f>
        <v>1.2810029884945679E-4</v>
      </c>
      <c r="J1303" s="10">
        <f>IFERROR(J1198/K$1264/INDEX('Category Mapping'!$B$42:$B$45,MATCH($A1303,'Category Mapping'!$A$42:$A$45,0),1),0)</f>
        <v>1.2064714494524096E-4</v>
      </c>
      <c r="K1303" s="10">
        <f>IFERROR(K1198/L$1264/INDEX('Category Mapping'!$B$42:$B$45,MATCH($A1303,'Category Mapping'!$A$42:$A$45,0),1),0)</f>
        <v>7.6824101884243767E-6</v>
      </c>
      <c r="L1303" s="10">
        <f>IFERROR(L1198/M$1264/INDEX('Category Mapping'!$B$42:$B$45,MATCH($A1303,'Category Mapping'!$A$42:$A$45,0),1),0)</f>
        <v>0</v>
      </c>
      <c r="M1303" s="10">
        <f>IFERROR(M1198/N$1264/INDEX('Category Mapping'!$B$42:$B$45,MATCH($A1303,'Category Mapping'!$A$42:$A$45,0),1),0)</f>
        <v>1.6552021145255989E-4</v>
      </c>
      <c r="N1303" s="10">
        <f>IFERROR(N1198/O$1264/INDEX('Category Mapping'!$B$42:$B$45,MATCH($A1303,'Category Mapping'!$A$42:$A$45,0),1),0)</f>
        <v>1.6552021145255989E-4</v>
      </c>
      <c r="O1303" s="10">
        <f>IFERROR(O1198/P$1264/INDEX('Category Mapping'!$B$42:$B$45,MATCH($A1303,'Category Mapping'!$A$42:$A$45,0),1),0)</f>
        <v>1.6552021145255989E-4</v>
      </c>
      <c r="P1303" s="10">
        <f>IFERROR(P1198/Q$1264/INDEX('Category Mapping'!$B$42:$B$45,MATCH($A1303,'Category Mapping'!$A$42:$A$45,0),1),0)</f>
        <v>1.2723552454385988E-4</v>
      </c>
      <c r="Q1303" s="10">
        <f>IFERROR(Q1198/R$1264/INDEX('Category Mapping'!$B$42:$B$45,MATCH($A1303,'Category Mapping'!$A$42:$A$45,0),1),0)</f>
        <v>1.2723552454385988E-4</v>
      </c>
      <c r="R1303" s="10">
        <f>IFERROR(R1198/S$1264/INDEX('Category Mapping'!$B$42:$B$45,MATCH($A1303,'Category Mapping'!$A$42:$A$45,0),1),0)</f>
        <v>1.2723552454385988E-4</v>
      </c>
      <c r="S1303" s="10">
        <f>IFERROR(S1198/T$1264/INDEX('Category Mapping'!$B$42:$B$45,MATCH($A1303,'Category Mapping'!$A$42:$A$45,0),1),0)</f>
        <v>1.2723552454385988E-4</v>
      </c>
      <c r="T1303" s="10">
        <f>IFERROR(T1198/U$1264/INDEX('Category Mapping'!$B$42:$B$45,MATCH($A1303,'Category Mapping'!$A$42:$A$45,0),1),0)</f>
        <v>1.2723552454385988E-4</v>
      </c>
      <c r="U1303" s="10">
        <f>IFERROR(U1198/V$1264/INDEX('Category Mapping'!$B$42:$B$45,MATCH($A1303,'Category Mapping'!$A$42:$A$45,0),1),0)</f>
        <v>1.2723552454385988E-4</v>
      </c>
      <c r="V1303" s="10">
        <f>IFERROR(V1198/W$1264/INDEX('Category Mapping'!$B$42:$B$45,MATCH($A1303,'Category Mapping'!$A$42:$A$45,0),1),0)</f>
        <v>1.148391243940713E-4</v>
      </c>
      <c r="W1303" s="10">
        <f>IFERROR(W1198/X$1264/INDEX('Category Mapping'!$B$42:$B$45,MATCH($A1303,'Category Mapping'!$A$42:$A$45,0),1),0)</f>
        <v>1.148391243940713E-4</v>
      </c>
      <c r="X1303" s="10">
        <f>IFERROR(X1198/Y$1264/INDEX('Category Mapping'!$B$42:$B$45,MATCH($A1303,'Category Mapping'!$A$42:$A$45,0),1),0)</f>
        <v>1.148391243940713E-4</v>
      </c>
      <c r="Y1303" s="27"/>
      <c r="Z1303" s="32"/>
    </row>
    <row r="1304" spans="1:26" outlineLevel="1" x14ac:dyDescent="0.3">
      <c r="A1304" t="s">
        <v>162</v>
      </c>
      <c r="B1304" t="s">
        <v>74</v>
      </c>
      <c r="C1304" s="6" t="s">
        <v>149</v>
      </c>
      <c r="D1304" s="10">
        <f>IFERROR(D1199/E$1264/INDEX('Category Mapping'!$B$42:$B$45,MATCH($A1304,'Category Mapping'!$A$42:$A$45,0),1),0)</f>
        <v>9.1703591008209412E-5</v>
      </c>
      <c r="E1304" s="10">
        <f>IFERROR(E1199/F$1264/INDEX('Category Mapping'!$B$42:$B$45,MATCH($A1304,'Category Mapping'!$A$42:$A$45,0),1),0)</f>
        <v>1.0541760577853834E-5</v>
      </c>
      <c r="F1304" s="10">
        <f>IFERROR(F1199/G$1264/INDEX('Category Mapping'!$B$42:$B$45,MATCH($A1304,'Category Mapping'!$A$42:$A$45,0),1),0)</f>
        <v>0</v>
      </c>
      <c r="G1304" s="10">
        <f>IFERROR(G1199/H$1264/INDEX('Category Mapping'!$B$42:$B$45,MATCH($A1304,'Category Mapping'!$A$42:$A$45,0),1),0)</f>
        <v>5.6314131615642359E-5</v>
      </c>
      <c r="H1304" s="10">
        <f>IFERROR(H1199/I$1264/INDEX('Category Mapping'!$B$42:$B$45,MATCH($A1304,'Category Mapping'!$A$42:$A$45,0),1),0)</f>
        <v>1.3135926910221715E-4</v>
      </c>
      <c r="I1304" s="10">
        <f>IFERROR(I1199/J$1264/INDEX('Category Mapping'!$B$42:$B$45,MATCH($A1304,'Category Mapping'!$A$42:$A$45,0),1),0)</f>
        <v>1.3135926910221715E-4</v>
      </c>
      <c r="J1304" s="10">
        <f>IFERROR(J1199/K$1264/INDEX('Category Mapping'!$B$42:$B$45,MATCH($A1304,'Category Mapping'!$A$42:$A$45,0),1),0)</f>
        <v>1.0210081821398179E-4</v>
      </c>
      <c r="K1304" s="10">
        <f>IFERROR(K1199/L$1264/INDEX('Category Mapping'!$B$42:$B$45,MATCH($A1304,'Category Mapping'!$A$42:$A$45,0),1),0)</f>
        <v>8.3281987305103674E-6</v>
      </c>
      <c r="L1304" s="10">
        <f>IFERROR(L1199/M$1264/INDEX('Category Mapping'!$B$42:$B$45,MATCH($A1304,'Category Mapping'!$A$42:$A$45,0),1),0)</f>
        <v>0</v>
      </c>
      <c r="M1304" s="10">
        <f>IFERROR(M1199/N$1264/INDEX('Category Mapping'!$B$42:$B$45,MATCH($A1304,'Category Mapping'!$A$42:$A$45,0),1),0)</f>
        <v>1.6505463407986531E-4</v>
      </c>
      <c r="N1304" s="10">
        <f>IFERROR(N1199/O$1264/INDEX('Category Mapping'!$B$42:$B$45,MATCH($A1304,'Category Mapping'!$A$42:$A$45,0),1),0)</f>
        <v>1.6505463407986531E-4</v>
      </c>
      <c r="O1304" s="10">
        <f>IFERROR(O1199/P$1264/INDEX('Category Mapping'!$B$42:$B$45,MATCH($A1304,'Category Mapping'!$A$42:$A$45,0),1),0)</f>
        <v>1.6505463407986531E-4</v>
      </c>
      <c r="P1304" s="10">
        <f>IFERROR(P1199/Q$1264/INDEX('Category Mapping'!$B$42:$B$45,MATCH($A1304,'Category Mapping'!$A$42:$A$45,0),1),0)</f>
        <v>1.2790301446350422E-4</v>
      </c>
      <c r="Q1304" s="10">
        <f>IFERROR(Q1199/R$1264/INDEX('Category Mapping'!$B$42:$B$45,MATCH($A1304,'Category Mapping'!$A$42:$A$45,0),1),0)</f>
        <v>1.2790301446350422E-4</v>
      </c>
      <c r="R1304" s="10">
        <f>IFERROR(R1199/S$1264/INDEX('Category Mapping'!$B$42:$B$45,MATCH($A1304,'Category Mapping'!$A$42:$A$45,0),1),0)</f>
        <v>1.2790301446350422E-4</v>
      </c>
      <c r="S1304" s="10">
        <f>IFERROR(S1199/T$1264/INDEX('Category Mapping'!$B$42:$B$45,MATCH($A1304,'Category Mapping'!$A$42:$A$45,0),1),0)</f>
        <v>1.2790301446350422E-4</v>
      </c>
      <c r="T1304" s="10">
        <f>IFERROR(T1199/U$1264/INDEX('Category Mapping'!$B$42:$B$45,MATCH($A1304,'Category Mapping'!$A$42:$A$45,0),1),0)</f>
        <v>1.2790301446350422E-4</v>
      </c>
      <c r="U1304" s="10">
        <f>IFERROR(U1199/V$1264/INDEX('Category Mapping'!$B$42:$B$45,MATCH($A1304,'Category Mapping'!$A$42:$A$45,0),1),0)</f>
        <v>1.2790301446350422E-4</v>
      </c>
      <c r="V1304" s="10">
        <f>IFERROR(V1199/W$1264/INDEX('Category Mapping'!$B$42:$B$45,MATCH($A1304,'Category Mapping'!$A$42:$A$45,0),1),0)</f>
        <v>1.1451542388383618E-4</v>
      </c>
      <c r="W1304" s="10">
        <f>IFERROR(W1199/X$1264/INDEX('Category Mapping'!$B$42:$B$45,MATCH($A1304,'Category Mapping'!$A$42:$A$45,0),1),0)</f>
        <v>1.1451542388383618E-4</v>
      </c>
      <c r="X1304" s="10">
        <f>IFERROR(X1199/Y$1264/INDEX('Category Mapping'!$B$42:$B$45,MATCH($A1304,'Category Mapping'!$A$42:$A$45,0),1),0)</f>
        <v>1.1451542388383618E-4</v>
      </c>
      <c r="Y1304" s="27"/>
      <c r="Z1304" s="32"/>
    </row>
    <row r="1305" spans="1:26" outlineLevel="1" x14ac:dyDescent="0.3">
      <c r="A1305" t="s">
        <v>162</v>
      </c>
      <c r="B1305" t="s">
        <v>75</v>
      </c>
      <c r="C1305" s="6" t="s">
        <v>150</v>
      </c>
      <c r="D1305" s="10">
        <f>IFERROR(D1200/E$1264/INDEX('Category Mapping'!$B$42:$B$45,MATCH($A1305,'Category Mapping'!$A$42:$A$45,0),1),0)</f>
        <v>9.4147844240225083E-5</v>
      </c>
      <c r="E1305" s="10">
        <f>IFERROR(E1200/F$1264/INDEX('Category Mapping'!$B$42:$B$45,MATCH($A1305,'Category Mapping'!$A$42:$A$45,0),1),0)</f>
        <v>1.4549965065495097E-5</v>
      </c>
      <c r="F1305" s="10">
        <f>IFERROR(F1200/G$1264/INDEX('Category Mapping'!$B$42:$B$45,MATCH($A1305,'Category Mapping'!$A$42:$A$45,0),1),0)</f>
        <v>0</v>
      </c>
      <c r="G1305" s="10">
        <f>IFERROR(G1200/H$1264/INDEX('Category Mapping'!$B$42:$B$45,MATCH($A1305,'Category Mapping'!$A$42:$A$45,0),1),0)</f>
        <v>5.9223867846836859E-5</v>
      </c>
      <c r="H1305" s="10">
        <f>IFERROR(H1200/I$1264/INDEX('Category Mapping'!$B$42:$B$45,MATCH($A1305,'Category Mapping'!$A$42:$A$45,0),1),0)</f>
        <v>1.2488198697521071E-4</v>
      </c>
      <c r="I1305" s="10">
        <f>IFERROR(I1200/J$1264/INDEX('Category Mapping'!$B$42:$B$45,MATCH($A1305,'Category Mapping'!$A$42:$A$45,0),1),0)</f>
        <v>1.2488198697521071E-4</v>
      </c>
      <c r="J1305" s="10">
        <f>IFERROR(J1200/K$1264/INDEX('Category Mapping'!$B$42:$B$45,MATCH($A1305,'Category Mapping'!$A$42:$A$45,0),1),0)</f>
        <v>9.1513029081812428E-5</v>
      </c>
      <c r="K1305" s="10">
        <f>IFERROR(K1200/L$1264/INDEX('Category Mapping'!$B$42:$B$45,MATCH($A1305,'Category Mapping'!$A$42:$A$45,0),1),0)</f>
        <v>8.565930289543096E-6</v>
      </c>
      <c r="L1305" s="10">
        <f>IFERROR(L1200/M$1264/INDEX('Category Mapping'!$B$42:$B$45,MATCH($A1305,'Category Mapping'!$A$42:$A$45,0),1),0)</f>
        <v>0</v>
      </c>
      <c r="M1305" s="10">
        <f>IFERROR(M1200/N$1264/INDEX('Category Mapping'!$B$42:$B$45,MATCH($A1305,'Category Mapping'!$A$42:$A$45,0),1),0)</f>
        <v>1.6245912602268897E-4</v>
      </c>
      <c r="N1305" s="10">
        <f>IFERROR(N1200/O$1264/INDEX('Category Mapping'!$B$42:$B$45,MATCH($A1305,'Category Mapping'!$A$42:$A$45,0),1),0)</f>
        <v>1.6245912602268897E-4</v>
      </c>
      <c r="O1305" s="10">
        <f>IFERROR(O1200/P$1264/INDEX('Category Mapping'!$B$42:$B$45,MATCH($A1305,'Category Mapping'!$A$42:$A$45,0),1),0)</f>
        <v>1.6245912602268897E-4</v>
      </c>
      <c r="P1305" s="10">
        <f>IFERROR(P1200/Q$1264/INDEX('Category Mapping'!$B$42:$B$45,MATCH($A1305,'Category Mapping'!$A$42:$A$45,0),1),0)</f>
        <v>1.2928983179259849E-4</v>
      </c>
      <c r="Q1305" s="10">
        <f>IFERROR(Q1200/R$1264/INDEX('Category Mapping'!$B$42:$B$45,MATCH($A1305,'Category Mapping'!$A$42:$A$45,0),1),0)</f>
        <v>1.2928983179259849E-4</v>
      </c>
      <c r="R1305" s="10">
        <f>IFERROR(R1200/S$1264/INDEX('Category Mapping'!$B$42:$B$45,MATCH($A1305,'Category Mapping'!$A$42:$A$45,0),1),0)</f>
        <v>1.2928983179259849E-4</v>
      </c>
      <c r="S1305" s="10">
        <f>IFERROR(S1200/T$1264/INDEX('Category Mapping'!$B$42:$B$45,MATCH($A1305,'Category Mapping'!$A$42:$A$45,0),1),0)</f>
        <v>1.2928983179259849E-4</v>
      </c>
      <c r="T1305" s="10">
        <f>IFERROR(T1200/U$1264/INDEX('Category Mapping'!$B$42:$B$45,MATCH($A1305,'Category Mapping'!$A$42:$A$45,0),1),0)</f>
        <v>1.2928983179259849E-4</v>
      </c>
      <c r="U1305" s="10">
        <f>IFERROR(U1200/V$1264/INDEX('Category Mapping'!$B$42:$B$45,MATCH($A1305,'Category Mapping'!$A$42:$A$45,0),1),0)</f>
        <v>1.2928983179259849E-4</v>
      </c>
      <c r="V1305" s="10">
        <f>IFERROR(V1200/W$1264/INDEX('Category Mapping'!$B$42:$B$45,MATCH($A1305,'Category Mapping'!$A$42:$A$45,0),1),0)</f>
        <v>1.1416221133092121E-4</v>
      </c>
      <c r="W1305" s="10">
        <f>IFERROR(W1200/X$1264/INDEX('Category Mapping'!$B$42:$B$45,MATCH($A1305,'Category Mapping'!$A$42:$A$45,0),1),0)</f>
        <v>1.1416221133092121E-4</v>
      </c>
      <c r="X1305" s="10">
        <f>IFERROR(X1200/Y$1264/INDEX('Category Mapping'!$B$42:$B$45,MATCH($A1305,'Category Mapping'!$A$42:$A$45,0),1),0)</f>
        <v>1.1416221133092121E-4</v>
      </c>
      <c r="Y1305" s="27"/>
      <c r="Z1305" s="32"/>
    </row>
    <row r="1306" spans="1:26" outlineLevel="1" x14ac:dyDescent="0.3">
      <c r="A1306" t="s">
        <v>162</v>
      </c>
      <c r="B1306" t="s">
        <v>76</v>
      </c>
      <c r="C1306" s="6" t="s">
        <v>151</v>
      </c>
      <c r="D1306" s="10">
        <f>IFERROR(D1201/E$1264/INDEX('Category Mapping'!$B$42:$B$45,MATCH($A1306,'Category Mapping'!$A$42:$A$45,0),1),0)</f>
        <v>9.4789631726530682E-5</v>
      </c>
      <c r="E1306" s="10">
        <f>IFERROR(E1201/F$1264/INDEX('Category Mapping'!$B$42:$B$45,MATCH($A1306,'Category Mapping'!$A$42:$A$45,0),1),0)</f>
        <v>1.8298333332754533E-5</v>
      </c>
      <c r="F1306" s="10">
        <f>IFERROR(F1201/G$1264/INDEX('Category Mapping'!$B$42:$B$45,MATCH($A1306,'Category Mapping'!$A$42:$A$45,0),1),0)</f>
        <v>0</v>
      </c>
      <c r="G1306" s="10">
        <f>IFERROR(G1201/H$1264/INDEX('Category Mapping'!$B$42:$B$45,MATCH($A1306,'Category Mapping'!$A$42:$A$45,0),1),0)</f>
        <v>5.9782506387020116E-5</v>
      </c>
      <c r="H1306" s="10">
        <f>IFERROR(H1201/I$1264/INDEX('Category Mapping'!$B$42:$B$45,MATCH($A1306,'Category Mapping'!$A$42:$A$45,0),1),0)</f>
        <v>1.2017918992829727E-4</v>
      </c>
      <c r="I1306" s="10">
        <f>IFERROR(I1201/J$1264/INDEX('Category Mapping'!$B$42:$B$45,MATCH($A1306,'Category Mapping'!$A$42:$A$45,0),1),0)</f>
        <v>1.2017918992829727E-4</v>
      </c>
      <c r="J1306" s="10">
        <f>IFERROR(J1201/K$1264/INDEX('Category Mapping'!$B$42:$B$45,MATCH($A1306,'Category Mapping'!$A$42:$A$45,0),1),0)</f>
        <v>8.4293578354549759E-5</v>
      </c>
      <c r="K1306" s="10">
        <f>IFERROR(K1201/L$1264/INDEX('Category Mapping'!$B$42:$B$45,MATCH($A1306,'Category Mapping'!$A$42:$A$45,0),1),0)</f>
        <v>8.9551376446553543E-6</v>
      </c>
      <c r="L1306" s="10">
        <f>IFERROR(L1201/M$1264/INDEX('Category Mapping'!$B$42:$B$45,MATCH($A1306,'Category Mapping'!$A$42:$A$45,0),1),0)</f>
        <v>0</v>
      </c>
      <c r="M1306" s="10">
        <f>IFERROR(M1201/N$1264/INDEX('Category Mapping'!$B$42:$B$45,MATCH($A1306,'Category Mapping'!$A$42:$A$45,0),1),0)</f>
        <v>1.6206506821632899E-4</v>
      </c>
      <c r="N1306" s="10">
        <f>IFERROR(N1201/O$1264/INDEX('Category Mapping'!$B$42:$B$45,MATCH($A1306,'Category Mapping'!$A$42:$A$45,0),1),0)</f>
        <v>1.6206506821632899E-4</v>
      </c>
      <c r="O1306" s="10">
        <f>IFERROR(O1201/P$1264/INDEX('Category Mapping'!$B$42:$B$45,MATCH($A1306,'Category Mapping'!$A$42:$A$45,0),1),0)</f>
        <v>1.6206506821632899E-4</v>
      </c>
      <c r="P1306" s="10">
        <f>IFERROR(P1201/Q$1264/INDEX('Category Mapping'!$B$42:$B$45,MATCH($A1306,'Category Mapping'!$A$42:$A$45,0),1),0)</f>
        <v>1.2831631171265426E-4</v>
      </c>
      <c r="Q1306" s="10">
        <f>IFERROR(Q1201/R$1264/INDEX('Category Mapping'!$B$42:$B$45,MATCH($A1306,'Category Mapping'!$A$42:$A$45,0),1),0)</f>
        <v>1.2831631171265426E-4</v>
      </c>
      <c r="R1306" s="10">
        <f>IFERROR(R1201/S$1264/INDEX('Category Mapping'!$B$42:$B$45,MATCH($A1306,'Category Mapping'!$A$42:$A$45,0),1),0)</f>
        <v>1.2831631171265426E-4</v>
      </c>
      <c r="S1306" s="10">
        <f>IFERROR(S1201/T$1264/INDEX('Category Mapping'!$B$42:$B$45,MATCH($A1306,'Category Mapping'!$A$42:$A$45,0),1),0)</f>
        <v>1.2831631171265426E-4</v>
      </c>
      <c r="T1306" s="10">
        <f>IFERROR(T1201/U$1264/INDEX('Category Mapping'!$B$42:$B$45,MATCH($A1306,'Category Mapping'!$A$42:$A$45,0),1),0)</f>
        <v>1.2831631171265426E-4</v>
      </c>
      <c r="U1306" s="10">
        <f>IFERROR(U1201/V$1264/INDEX('Category Mapping'!$B$42:$B$45,MATCH($A1306,'Category Mapping'!$A$42:$A$45,0),1),0)</f>
        <v>1.2831631171265426E-4</v>
      </c>
      <c r="V1306" s="10">
        <f>IFERROR(V1201/W$1264/INDEX('Category Mapping'!$B$42:$B$45,MATCH($A1306,'Category Mapping'!$A$42:$A$45,0),1),0)</f>
        <v>1.1413332059440313E-4</v>
      </c>
      <c r="W1306" s="10">
        <f>IFERROR(W1201/X$1264/INDEX('Category Mapping'!$B$42:$B$45,MATCH($A1306,'Category Mapping'!$A$42:$A$45,0),1),0)</f>
        <v>1.1413332059440313E-4</v>
      </c>
      <c r="X1306" s="10">
        <f>IFERROR(X1201/Y$1264/INDEX('Category Mapping'!$B$42:$B$45,MATCH($A1306,'Category Mapping'!$A$42:$A$45,0),1),0)</f>
        <v>1.1413332059440313E-4</v>
      </c>
      <c r="Y1306" s="27"/>
      <c r="Z1306" s="32"/>
    </row>
    <row r="1307" spans="1:26" outlineLevel="1" x14ac:dyDescent="0.3">
      <c r="A1307" t="s">
        <v>162</v>
      </c>
      <c r="B1307" t="s">
        <v>77</v>
      </c>
      <c r="C1307" s="6" t="s">
        <v>152</v>
      </c>
      <c r="D1307" s="10">
        <f>IFERROR(D1202/E$1264/INDEX('Category Mapping'!$B$42:$B$45,MATCH($A1307,'Category Mapping'!$A$42:$A$45,0),1),0)</f>
        <v>9.5933594839768253E-5</v>
      </c>
      <c r="E1307" s="10">
        <f>IFERROR(E1202/F$1264/INDEX('Category Mapping'!$B$42:$B$45,MATCH($A1307,'Category Mapping'!$A$42:$A$45,0),1),0)</f>
        <v>2.0844637914265623E-5</v>
      </c>
      <c r="F1307" s="10">
        <f>IFERROR(F1202/G$1264/INDEX('Category Mapping'!$B$42:$B$45,MATCH($A1307,'Category Mapping'!$A$42:$A$45,0),1),0)</f>
        <v>0</v>
      </c>
      <c r="G1307" s="10">
        <f>IFERROR(G1202/H$1264/INDEX('Category Mapping'!$B$42:$B$45,MATCH($A1307,'Category Mapping'!$A$42:$A$45,0),1),0)</f>
        <v>6.0789418574747241E-5</v>
      </c>
      <c r="H1307" s="10">
        <f>IFERROR(H1202/I$1264/INDEX('Category Mapping'!$B$42:$B$45,MATCH($A1307,'Category Mapping'!$A$42:$A$45,0),1),0)</f>
        <v>1.24636689030699E-4</v>
      </c>
      <c r="I1307" s="10">
        <f>IFERROR(I1202/J$1264/INDEX('Category Mapping'!$B$42:$B$45,MATCH($A1307,'Category Mapping'!$A$42:$A$45,0),1),0)</f>
        <v>1.24636689030699E-4</v>
      </c>
      <c r="J1307" s="10">
        <f>IFERROR(J1202/K$1264/INDEX('Category Mapping'!$B$42:$B$45,MATCH($A1307,'Category Mapping'!$A$42:$A$45,0),1),0)</f>
        <v>7.9147939966247883E-5</v>
      </c>
      <c r="K1307" s="10">
        <f>IFERROR(K1202/L$1264/INDEX('Category Mapping'!$B$42:$B$45,MATCH($A1307,'Category Mapping'!$A$42:$A$45,0),1),0)</f>
        <v>9.2285143563887989E-6</v>
      </c>
      <c r="L1307" s="10">
        <f>IFERROR(L1202/M$1264/INDEX('Category Mapping'!$B$42:$B$45,MATCH($A1307,'Category Mapping'!$A$42:$A$45,0),1),0)</f>
        <v>0</v>
      </c>
      <c r="M1307" s="10">
        <f>IFERROR(M1202/N$1264/INDEX('Category Mapping'!$B$42:$B$45,MATCH($A1307,'Category Mapping'!$A$42:$A$45,0),1),0)</f>
        <v>1.6128515741657519E-4</v>
      </c>
      <c r="N1307" s="10">
        <f>IFERROR(N1202/O$1264/INDEX('Category Mapping'!$B$42:$B$45,MATCH($A1307,'Category Mapping'!$A$42:$A$45,0),1),0)</f>
        <v>1.6128515741657519E-4</v>
      </c>
      <c r="O1307" s="10">
        <f>IFERROR(O1202/P$1264/INDEX('Category Mapping'!$B$42:$B$45,MATCH($A1307,'Category Mapping'!$A$42:$A$45,0),1),0)</f>
        <v>1.6128515741657519E-4</v>
      </c>
      <c r="P1307" s="10">
        <f>IFERROR(P1202/Q$1264/INDEX('Category Mapping'!$B$42:$B$45,MATCH($A1307,'Category Mapping'!$A$42:$A$45,0),1),0)</f>
        <v>1.2621930732729526E-4</v>
      </c>
      <c r="Q1307" s="10">
        <f>IFERROR(Q1202/R$1264/INDEX('Category Mapping'!$B$42:$B$45,MATCH($A1307,'Category Mapping'!$A$42:$A$45,0),1),0)</f>
        <v>1.2621930732729526E-4</v>
      </c>
      <c r="R1307" s="10">
        <f>IFERROR(R1202/S$1264/INDEX('Category Mapping'!$B$42:$B$45,MATCH($A1307,'Category Mapping'!$A$42:$A$45,0),1),0)</f>
        <v>1.2621930732729526E-4</v>
      </c>
      <c r="S1307" s="10">
        <f>IFERROR(S1202/T$1264/INDEX('Category Mapping'!$B$42:$B$45,MATCH($A1307,'Category Mapping'!$A$42:$A$45,0),1),0)</f>
        <v>1.2621930732729526E-4</v>
      </c>
      <c r="T1307" s="10">
        <f>IFERROR(T1202/U$1264/INDEX('Category Mapping'!$B$42:$B$45,MATCH($A1307,'Category Mapping'!$A$42:$A$45,0),1),0)</f>
        <v>1.2621930732729526E-4</v>
      </c>
      <c r="U1307" s="10">
        <f>IFERROR(U1202/V$1264/INDEX('Category Mapping'!$B$42:$B$45,MATCH($A1307,'Category Mapping'!$A$42:$A$45,0),1),0)</f>
        <v>1.2621930732729526E-4</v>
      </c>
      <c r="V1307" s="10">
        <f>IFERROR(V1202/W$1264/INDEX('Category Mapping'!$B$42:$B$45,MATCH($A1307,'Category Mapping'!$A$42:$A$45,0),1),0)</f>
        <v>1.14333381178464E-4</v>
      </c>
      <c r="W1307" s="10">
        <f>IFERROR(W1202/X$1264/INDEX('Category Mapping'!$B$42:$B$45,MATCH($A1307,'Category Mapping'!$A$42:$A$45,0),1),0)</f>
        <v>1.14333381178464E-4</v>
      </c>
      <c r="X1307" s="10">
        <f>IFERROR(X1202/Y$1264/INDEX('Category Mapping'!$B$42:$B$45,MATCH($A1307,'Category Mapping'!$A$42:$A$45,0),1),0)</f>
        <v>1.14333381178464E-4</v>
      </c>
      <c r="Y1307" s="27"/>
      <c r="Z1307" s="32"/>
    </row>
    <row r="1308" spans="1:26" outlineLevel="1" x14ac:dyDescent="0.3">
      <c r="A1308" t="s">
        <v>162</v>
      </c>
      <c r="B1308" t="s">
        <v>78</v>
      </c>
      <c r="C1308" s="6" t="s">
        <v>153</v>
      </c>
      <c r="D1308" s="10">
        <f>IFERROR(D1203/E$1264/INDEX('Category Mapping'!$B$42:$B$45,MATCH($A1308,'Category Mapping'!$A$42:$A$45,0),1),0)</f>
        <v>9.9473250573998482E-5</v>
      </c>
      <c r="E1308" s="10">
        <f>IFERROR(E1203/F$1264/INDEX('Category Mapping'!$B$42:$B$45,MATCH($A1308,'Category Mapping'!$A$42:$A$45,0),1),0)</f>
        <v>2.0338315401146905E-5</v>
      </c>
      <c r="F1308" s="10">
        <f>IFERROR(F1203/G$1264/INDEX('Category Mapping'!$B$42:$B$45,MATCH($A1308,'Category Mapping'!$A$42:$A$45,0),1),0)</f>
        <v>0</v>
      </c>
      <c r="G1308" s="10">
        <f>IFERROR(G1203/H$1264/INDEX('Category Mapping'!$B$42:$B$45,MATCH($A1308,'Category Mapping'!$A$42:$A$45,0),1),0)</f>
        <v>6.4697718404233096E-5</v>
      </c>
      <c r="H1308" s="10">
        <f>IFERROR(H1203/I$1264/INDEX('Category Mapping'!$B$42:$B$45,MATCH($A1308,'Category Mapping'!$A$42:$A$45,0),1),0)</f>
        <v>1.3808542972354991E-4</v>
      </c>
      <c r="I1308" s="10">
        <f>IFERROR(I1203/J$1264/INDEX('Category Mapping'!$B$42:$B$45,MATCH($A1308,'Category Mapping'!$A$42:$A$45,0),1),0)</f>
        <v>1.3808542972354991E-4</v>
      </c>
      <c r="J1308" s="10">
        <f>IFERROR(J1203/K$1264/INDEX('Category Mapping'!$B$42:$B$45,MATCH($A1308,'Category Mapping'!$A$42:$A$45,0),1),0)</f>
        <v>7.3872612432073642E-5</v>
      </c>
      <c r="K1308" s="10">
        <f>IFERROR(K1203/L$1264/INDEX('Category Mapping'!$B$42:$B$45,MATCH($A1308,'Category Mapping'!$A$42:$A$45,0),1),0)</f>
        <v>9.1280795650281446E-6</v>
      </c>
      <c r="L1308" s="10">
        <f>IFERROR(L1203/M$1264/INDEX('Category Mapping'!$B$42:$B$45,MATCH($A1308,'Category Mapping'!$A$42:$A$45,0),1),0)</f>
        <v>0</v>
      </c>
      <c r="M1308" s="10">
        <f>IFERROR(M1203/N$1264/INDEX('Category Mapping'!$B$42:$B$45,MATCH($A1308,'Category Mapping'!$A$42:$A$45,0),1),0)</f>
        <v>1.6039223683455916E-4</v>
      </c>
      <c r="N1308" s="10">
        <f>IFERROR(N1203/O$1264/INDEX('Category Mapping'!$B$42:$B$45,MATCH($A1308,'Category Mapping'!$A$42:$A$45,0),1),0)</f>
        <v>1.6039223683455916E-4</v>
      </c>
      <c r="O1308" s="10">
        <f>IFERROR(O1203/P$1264/INDEX('Category Mapping'!$B$42:$B$45,MATCH($A1308,'Category Mapping'!$A$42:$A$45,0),1),0)</f>
        <v>1.6039223683455916E-4</v>
      </c>
      <c r="P1308" s="10">
        <f>IFERROR(P1203/Q$1264/INDEX('Category Mapping'!$B$42:$B$45,MATCH($A1308,'Category Mapping'!$A$42:$A$45,0),1),0)</f>
        <v>1.4574681387026478E-4</v>
      </c>
      <c r="Q1308" s="10">
        <f>IFERROR(Q1203/R$1264/INDEX('Category Mapping'!$B$42:$B$45,MATCH($A1308,'Category Mapping'!$A$42:$A$45,0),1),0)</f>
        <v>1.4574681387026478E-4</v>
      </c>
      <c r="R1308" s="10">
        <f>IFERROR(R1203/S$1264/INDEX('Category Mapping'!$B$42:$B$45,MATCH($A1308,'Category Mapping'!$A$42:$A$45,0),1),0)</f>
        <v>1.4574681387026478E-4</v>
      </c>
      <c r="S1308" s="10">
        <f>IFERROR(S1203/T$1264/INDEX('Category Mapping'!$B$42:$B$45,MATCH($A1308,'Category Mapping'!$A$42:$A$45,0),1),0)</f>
        <v>1.4574681387026478E-4</v>
      </c>
      <c r="T1308" s="10">
        <f>IFERROR(T1203/U$1264/INDEX('Category Mapping'!$B$42:$B$45,MATCH($A1308,'Category Mapping'!$A$42:$A$45,0),1),0)</f>
        <v>1.4574681387026478E-4</v>
      </c>
      <c r="U1308" s="10">
        <f>IFERROR(U1203/V$1264/INDEX('Category Mapping'!$B$42:$B$45,MATCH($A1308,'Category Mapping'!$A$42:$A$45,0),1),0)</f>
        <v>1.4574681387026478E-4</v>
      </c>
      <c r="V1308" s="10">
        <f>IFERROR(V1203/W$1264/INDEX('Category Mapping'!$B$42:$B$45,MATCH($A1308,'Category Mapping'!$A$42:$A$45,0),1),0)</f>
        <v>1.1530541466841193E-4</v>
      </c>
      <c r="W1308" s="10">
        <f>IFERROR(W1203/X$1264/INDEX('Category Mapping'!$B$42:$B$45,MATCH($A1308,'Category Mapping'!$A$42:$A$45,0),1),0)</f>
        <v>1.1530541466841193E-4</v>
      </c>
      <c r="X1308" s="10">
        <f>IFERROR(X1203/Y$1264/INDEX('Category Mapping'!$B$42:$B$45,MATCH($A1308,'Category Mapping'!$A$42:$A$45,0),1),0)</f>
        <v>1.1530541466841193E-4</v>
      </c>
      <c r="Y1308" s="27"/>
      <c r="Z1308" s="32"/>
    </row>
    <row r="1309" spans="1:26" outlineLevel="1" x14ac:dyDescent="0.3">
      <c r="A1309" t="s">
        <v>162</v>
      </c>
      <c r="B1309" t="s">
        <v>79</v>
      </c>
      <c r="C1309" s="6" t="s">
        <v>154</v>
      </c>
      <c r="D1309" s="10">
        <f>IFERROR(D1204/E$1264/INDEX('Category Mapping'!$B$42:$B$45,MATCH($A1309,'Category Mapping'!$A$42:$A$45,0),1),0)</f>
        <v>1.0400971773965645E-4</v>
      </c>
      <c r="E1309" s="10">
        <f>IFERROR(E1204/F$1264/INDEX('Category Mapping'!$B$42:$B$45,MATCH($A1309,'Category Mapping'!$A$42:$A$45,0),1),0)</f>
        <v>1.7887277489682674E-5</v>
      </c>
      <c r="F1309" s="10">
        <f>IFERROR(F1204/G$1264/INDEX('Category Mapping'!$B$42:$B$45,MATCH($A1309,'Category Mapping'!$A$42:$A$45,0),1),0)</f>
        <v>0</v>
      </c>
      <c r="G1309" s="10">
        <f>IFERROR(G1204/H$1264/INDEX('Category Mapping'!$B$42:$B$45,MATCH($A1309,'Category Mapping'!$A$42:$A$45,0),1),0)</f>
        <v>7.1252272727710249E-5</v>
      </c>
      <c r="H1309" s="10">
        <f>IFERROR(H1204/I$1264/INDEX('Category Mapping'!$B$42:$B$45,MATCH($A1309,'Category Mapping'!$A$42:$A$45,0),1),0)</f>
        <v>1.6244853092587937E-4</v>
      </c>
      <c r="I1309" s="10">
        <f>IFERROR(I1204/J$1264/INDEX('Category Mapping'!$B$42:$B$45,MATCH($A1309,'Category Mapping'!$A$42:$A$45,0),1),0)</f>
        <v>1.6244853092587937E-4</v>
      </c>
      <c r="J1309" s="10">
        <f>IFERROR(J1204/K$1264/INDEX('Category Mapping'!$B$42:$B$45,MATCH($A1309,'Category Mapping'!$A$42:$A$45,0),1),0)</f>
        <v>6.9164197082640996E-5</v>
      </c>
      <c r="K1309" s="10">
        <f>IFERROR(K1204/L$1264/INDEX('Category Mapping'!$B$42:$B$45,MATCH($A1309,'Category Mapping'!$A$42:$A$45,0),1),0)</f>
        <v>8.689278642448134E-6</v>
      </c>
      <c r="L1309" s="10">
        <f>IFERROR(L1204/M$1264/INDEX('Category Mapping'!$B$42:$B$45,MATCH($A1309,'Category Mapping'!$A$42:$A$45,0),1),0)</f>
        <v>0</v>
      </c>
      <c r="M1309" s="10">
        <f>IFERROR(M1204/N$1264/INDEX('Category Mapping'!$B$42:$B$45,MATCH($A1309,'Category Mapping'!$A$42:$A$45,0),1),0)</f>
        <v>1.5487837981755886E-4</v>
      </c>
      <c r="N1309" s="10">
        <f>IFERROR(N1204/O$1264/INDEX('Category Mapping'!$B$42:$B$45,MATCH($A1309,'Category Mapping'!$A$42:$A$45,0),1),0)</f>
        <v>1.5487837981755886E-4</v>
      </c>
      <c r="O1309" s="10">
        <f>IFERROR(O1204/P$1264/INDEX('Category Mapping'!$B$42:$B$45,MATCH($A1309,'Category Mapping'!$A$42:$A$45,0),1),0)</f>
        <v>1.5487837981755886E-4</v>
      </c>
      <c r="P1309" s="10">
        <f>IFERROR(P1204/Q$1264/INDEX('Category Mapping'!$B$42:$B$45,MATCH($A1309,'Category Mapping'!$A$42:$A$45,0),1),0)</f>
        <v>1.6812723520461621E-4</v>
      </c>
      <c r="Q1309" s="10">
        <f>IFERROR(Q1204/R$1264/INDEX('Category Mapping'!$B$42:$B$45,MATCH($A1309,'Category Mapping'!$A$42:$A$45,0),1),0)</f>
        <v>1.6812723520461621E-4</v>
      </c>
      <c r="R1309" s="10">
        <f>IFERROR(R1204/S$1264/INDEX('Category Mapping'!$B$42:$B$45,MATCH($A1309,'Category Mapping'!$A$42:$A$45,0),1),0)</f>
        <v>1.6812723520461621E-4</v>
      </c>
      <c r="S1309" s="10">
        <f>IFERROR(S1204/T$1264/INDEX('Category Mapping'!$B$42:$B$45,MATCH($A1309,'Category Mapping'!$A$42:$A$45,0),1),0)</f>
        <v>1.6812723520461621E-4</v>
      </c>
      <c r="T1309" s="10">
        <f>IFERROR(T1204/U$1264/INDEX('Category Mapping'!$B$42:$B$45,MATCH($A1309,'Category Mapping'!$A$42:$A$45,0),1),0)</f>
        <v>1.6812723520461621E-4</v>
      </c>
      <c r="U1309" s="10">
        <f>IFERROR(U1204/V$1264/INDEX('Category Mapping'!$B$42:$B$45,MATCH($A1309,'Category Mapping'!$A$42:$A$45,0),1),0)</f>
        <v>1.6812723520461621E-4</v>
      </c>
      <c r="V1309" s="10">
        <f>IFERROR(V1204/W$1264/INDEX('Category Mapping'!$B$42:$B$45,MATCH($A1309,'Category Mapping'!$A$42:$A$45,0),1),0)</f>
        <v>1.1648838160025011E-4</v>
      </c>
      <c r="W1309" s="10">
        <f>IFERROR(W1204/X$1264/INDEX('Category Mapping'!$B$42:$B$45,MATCH($A1309,'Category Mapping'!$A$42:$A$45,0),1),0)</f>
        <v>1.1648838160025011E-4</v>
      </c>
      <c r="X1309" s="10">
        <f>IFERROR(X1204/Y$1264/INDEX('Category Mapping'!$B$42:$B$45,MATCH($A1309,'Category Mapping'!$A$42:$A$45,0),1),0)</f>
        <v>1.1648838160025011E-4</v>
      </c>
      <c r="Y1309" s="27"/>
      <c r="Z1309" s="32"/>
    </row>
    <row r="1310" spans="1:26" outlineLevel="1" x14ac:dyDescent="0.3">
      <c r="A1310" t="s">
        <v>162</v>
      </c>
      <c r="B1310" t="s">
        <v>80</v>
      </c>
      <c r="C1310" s="6" t="s">
        <v>155</v>
      </c>
      <c r="D1310" s="10">
        <f>IFERROR(D1205/E$1264/INDEX('Category Mapping'!$B$42:$B$45,MATCH($A1310,'Category Mapping'!$A$42:$A$45,0),1),0)</f>
        <v>1.094608445555683E-4</v>
      </c>
      <c r="E1310" s="10">
        <f>IFERROR(E1205/F$1264/INDEX('Category Mapping'!$B$42:$B$45,MATCH($A1310,'Category Mapping'!$A$42:$A$45,0),1),0)</f>
        <v>1.5160483259093125E-5</v>
      </c>
      <c r="F1310" s="10">
        <f>IFERROR(F1205/G$1264/INDEX('Category Mapping'!$B$42:$B$45,MATCH($A1310,'Category Mapping'!$A$42:$A$45,0),1),0)</f>
        <v>0</v>
      </c>
      <c r="G1310" s="10">
        <f>IFERROR(G1205/H$1264/INDEX('Category Mapping'!$B$42:$B$45,MATCH($A1310,'Category Mapping'!$A$42:$A$45,0),1),0)</f>
        <v>1.5348359268351869E-4</v>
      </c>
      <c r="H1310" s="10">
        <f>IFERROR(H1205/I$1264/INDEX('Category Mapping'!$B$42:$B$45,MATCH($A1310,'Category Mapping'!$A$42:$A$45,0),1),0)</f>
        <v>1.7619241984130493E-4</v>
      </c>
      <c r="I1310" s="10">
        <f>IFERROR(I1205/J$1264/INDEX('Category Mapping'!$B$42:$B$45,MATCH($A1310,'Category Mapping'!$A$42:$A$45,0),1),0)</f>
        <v>1.7619241984130493E-4</v>
      </c>
      <c r="J1310" s="10">
        <f>IFERROR(J1205/K$1264/INDEX('Category Mapping'!$B$42:$B$45,MATCH($A1310,'Category Mapping'!$A$42:$A$45,0),1),0)</f>
        <v>7.3331956933231528E-5</v>
      </c>
      <c r="K1310" s="10">
        <f>IFERROR(K1205/L$1264/INDEX('Category Mapping'!$B$42:$B$45,MATCH($A1310,'Category Mapping'!$A$42:$A$45,0),1),0)</f>
        <v>7.9548287216958748E-6</v>
      </c>
      <c r="L1310" s="10">
        <f>IFERROR(L1205/M$1264/INDEX('Category Mapping'!$B$42:$B$45,MATCH($A1310,'Category Mapping'!$A$42:$A$45,0),1),0)</f>
        <v>0</v>
      </c>
      <c r="M1310" s="10">
        <f>IFERROR(M1205/N$1264/INDEX('Category Mapping'!$B$42:$B$45,MATCH($A1310,'Category Mapping'!$A$42:$A$45,0),1),0)</f>
        <v>1.4644474382367615E-4</v>
      </c>
      <c r="N1310" s="10">
        <f>IFERROR(N1205/O$1264/INDEX('Category Mapping'!$B$42:$B$45,MATCH($A1310,'Category Mapping'!$A$42:$A$45,0),1),0)</f>
        <v>1.4644474382367615E-4</v>
      </c>
      <c r="O1310" s="10">
        <f>IFERROR(O1205/P$1264/INDEX('Category Mapping'!$B$42:$B$45,MATCH($A1310,'Category Mapping'!$A$42:$A$45,0),1),0)</f>
        <v>1.4644474382367615E-4</v>
      </c>
      <c r="P1310" s="10">
        <f>IFERROR(P1205/Q$1264/INDEX('Category Mapping'!$B$42:$B$45,MATCH($A1310,'Category Mapping'!$A$42:$A$45,0),1),0)</f>
        <v>1.7642257025223898E-4</v>
      </c>
      <c r="Q1310" s="10">
        <f>IFERROR(Q1205/R$1264/INDEX('Category Mapping'!$B$42:$B$45,MATCH($A1310,'Category Mapping'!$A$42:$A$45,0),1),0)</f>
        <v>1.7642257025223898E-4</v>
      </c>
      <c r="R1310" s="10">
        <f>IFERROR(R1205/S$1264/INDEX('Category Mapping'!$B$42:$B$45,MATCH($A1310,'Category Mapping'!$A$42:$A$45,0),1),0)</f>
        <v>1.7642257025223898E-4</v>
      </c>
      <c r="S1310" s="10">
        <f>IFERROR(S1205/T$1264/INDEX('Category Mapping'!$B$42:$B$45,MATCH($A1310,'Category Mapping'!$A$42:$A$45,0),1),0)</f>
        <v>1.7642257025223898E-4</v>
      </c>
      <c r="T1310" s="10">
        <f>IFERROR(T1205/U$1264/INDEX('Category Mapping'!$B$42:$B$45,MATCH($A1310,'Category Mapping'!$A$42:$A$45,0),1),0)</f>
        <v>1.7642257025223898E-4</v>
      </c>
      <c r="U1310" s="10">
        <f>IFERROR(U1205/V$1264/INDEX('Category Mapping'!$B$42:$B$45,MATCH($A1310,'Category Mapping'!$A$42:$A$45,0),1),0)</f>
        <v>1.7642257025223898E-4</v>
      </c>
      <c r="V1310" s="10">
        <f>IFERROR(V1205/W$1264/INDEX('Category Mapping'!$B$42:$B$45,MATCH($A1310,'Category Mapping'!$A$42:$A$45,0),1),0)</f>
        <v>1.1666918169329891E-4</v>
      </c>
      <c r="W1310" s="10">
        <f>IFERROR(W1205/X$1264/INDEX('Category Mapping'!$B$42:$B$45,MATCH($A1310,'Category Mapping'!$A$42:$A$45,0),1),0)</f>
        <v>1.1666918169329891E-4</v>
      </c>
      <c r="X1310" s="10">
        <f>IFERROR(X1205/Y$1264/INDEX('Category Mapping'!$B$42:$B$45,MATCH($A1310,'Category Mapping'!$A$42:$A$45,0),1),0)</f>
        <v>1.1666918169329891E-4</v>
      </c>
      <c r="Y1310" s="27"/>
      <c r="Z1310" s="32"/>
    </row>
    <row r="1311" spans="1:26" outlineLevel="1" x14ac:dyDescent="0.3">
      <c r="A1311" t="s">
        <v>162</v>
      </c>
      <c r="B1311" t="s">
        <v>81</v>
      </c>
      <c r="C1311" s="6" t="s">
        <v>156</v>
      </c>
      <c r="D1311" s="10">
        <f>IFERROR(D1206/E$1264/INDEX('Category Mapping'!$B$42:$B$45,MATCH($A1311,'Category Mapping'!$A$42:$A$45,0),1),0)</f>
        <v>1.1661610511436748E-4</v>
      </c>
      <c r="E1311" s="10">
        <f>IFERROR(E1206/F$1264/INDEX('Category Mapping'!$B$42:$B$45,MATCH($A1311,'Category Mapping'!$A$42:$A$45,0),1),0)</f>
        <v>1.0801651414371509E-5</v>
      </c>
      <c r="F1311" s="10">
        <f>IFERROR(F1206/G$1264/INDEX('Category Mapping'!$B$42:$B$45,MATCH($A1311,'Category Mapping'!$A$42:$A$45,0),1),0)</f>
        <v>0</v>
      </c>
      <c r="G1311" s="10">
        <f>IFERROR(G1206/H$1264/INDEX('Category Mapping'!$B$42:$B$45,MATCH($A1311,'Category Mapping'!$A$42:$A$45,0),1),0)</f>
        <v>2.6764105485791378E-4</v>
      </c>
      <c r="H1311" s="10">
        <f>IFERROR(H1206/I$1264/INDEX('Category Mapping'!$B$42:$B$45,MATCH($A1311,'Category Mapping'!$A$42:$A$45,0),1),0)</f>
        <v>1.7156666895214859E-4</v>
      </c>
      <c r="I1311" s="10">
        <f>IFERROR(I1206/J$1264/INDEX('Category Mapping'!$B$42:$B$45,MATCH($A1311,'Category Mapping'!$A$42:$A$45,0),1),0)</f>
        <v>1.7156666895214859E-4</v>
      </c>
      <c r="J1311" s="10">
        <f>IFERROR(J1206/K$1264/INDEX('Category Mapping'!$B$42:$B$45,MATCH($A1311,'Category Mapping'!$A$42:$A$45,0),1),0)</f>
        <v>8.2417299820012439E-5</v>
      </c>
      <c r="K1311" s="10">
        <f>IFERROR(K1206/L$1264/INDEX('Category Mapping'!$B$42:$B$45,MATCH($A1311,'Category Mapping'!$A$42:$A$45,0),1),0)</f>
        <v>7.1635611524840141E-6</v>
      </c>
      <c r="L1311" s="10">
        <f>IFERROR(L1206/M$1264/INDEX('Category Mapping'!$B$42:$B$45,MATCH($A1311,'Category Mapping'!$A$42:$A$45,0),1),0)</f>
        <v>0</v>
      </c>
      <c r="M1311" s="10">
        <f>IFERROR(M1206/N$1264/INDEX('Category Mapping'!$B$42:$B$45,MATCH($A1311,'Category Mapping'!$A$42:$A$45,0),1),0)</f>
        <v>1.3979032741412225E-4</v>
      </c>
      <c r="N1311" s="10">
        <f>IFERROR(N1206/O$1264/INDEX('Category Mapping'!$B$42:$B$45,MATCH($A1311,'Category Mapping'!$A$42:$A$45,0),1),0)</f>
        <v>1.3979032741412225E-4</v>
      </c>
      <c r="O1311" s="10">
        <f>IFERROR(O1206/P$1264/INDEX('Category Mapping'!$B$42:$B$45,MATCH($A1311,'Category Mapping'!$A$42:$A$45,0),1),0)</f>
        <v>1.3979032741412225E-4</v>
      </c>
      <c r="P1311" s="10">
        <f>IFERROR(P1206/Q$1264/INDEX('Category Mapping'!$B$42:$B$45,MATCH($A1311,'Category Mapping'!$A$42:$A$45,0),1),0)</f>
        <v>1.6432079707422102E-4</v>
      </c>
      <c r="Q1311" s="10">
        <f>IFERROR(Q1206/R$1264/INDEX('Category Mapping'!$B$42:$B$45,MATCH($A1311,'Category Mapping'!$A$42:$A$45,0),1),0)</f>
        <v>1.6432079707422102E-4</v>
      </c>
      <c r="R1311" s="10">
        <f>IFERROR(R1206/S$1264/INDEX('Category Mapping'!$B$42:$B$45,MATCH($A1311,'Category Mapping'!$A$42:$A$45,0),1),0)</f>
        <v>1.6432079707422102E-4</v>
      </c>
      <c r="S1311" s="10">
        <f>IFERROR(S1206/T$1264/INDEX('Category Mapping'!$B$42:$B$45,MATCH($A1311,'Category Mapping'!$A$42:$A$45,0),1),0)</f>
        <v>1.6432079707422102E-4</v>
      </c>
      <c r="T1311" s="10">
        <f>IFERROR(T1206/U$1264/INDEX('Category Mapping'!$B$42:$B$45,MATCH($A1311,'Category Mapping'!$A$42:$A$45,0),1),0)</f>
        <v>1.6432079707422102E-4</v>
      </c>
      <c r="U1311" s="10">
        <f>IFERROR(U1206/V$1264/INDEX('Category Mapping'!$B$42:$B$45,MATCH($A1311,'Category Mapping'!$A$42:$A$45,0),1),0)</f>
        <v>1.6432079707422102E-4</v>
      </c>
      <c r="V1311" s="10">
        <f>IFERROR(V1206/W$1264/INDEX('Category Mapping'!$B$42:$B$45,MATCH($A1311,'Category Mapping'!$A$42:$A$45,0),1),0)</f>
        <v>1.1618332027486535E-4</v>
      </c>
      <c r="W1311" s="10">
        <f>IFERROR(W1206/X$1264/INDEX('Category Mapping'!$B$42:$B$45,MATCH($A1311,'Category Mapping'!$A$42:$A$45,0),1),0)</f>
        <v>1.1618332027486535E-4</v>
      </c>
      <c r="X1311" s="10">
        <f>IFERROR(X1206/Y$1264/INDEX('Category Mapping'!$B$42:$B$45,MATCH($A1311,'Category Mapping'!$A$42:$A$45,0),1),0)</f>
        <v>1.1618332027486535E-4</v>
      </c>
      <c r="Y1311" s="35"/>
      <c r="Z1311" s="32"/>
    </row>
    <row r="1312" spans="1:26" outlineLevel="1" x14ac:dyDescent="0.3">
      <c r="A1312" t="s">
        <v>162</v>
      </c>
      <c r="B1312" t="s">
        <v>82</v>
      </c>
      <c r="C1312" s="6" t="s">
        <v>157</v>
      </c>
      <c r="D1312" s="10">
        <f>IFERROR(D1207/E$1264/INDEX('Category Mapping'!$B$42:$B$45,MATCH($A1312,'Category Mapping'!$A$42:$A$45,0),1),0)</f>
        <v>1.2550716048879902E-4</v>
      </c>
      <c r="E1312" s="10">
        <f>IFERROR(E1207/F$1264/INDEX('Category Mapping'!$B$42:$B$45,MATCH($A1312,'Category Mapping'!$A$42:$A$45,0),1),0)</f>
        <v>5.0501866007518087E-6</v>
      </c>
      <c r="F1312" s="10">
        <f>IFERROR(F1207/G$1264/INDEX('Category Mapping'!$B$42:$B$45,MATCH($A1312,'Category Mapping'!$A$42:$A$45,0),1),0)</f>
        <v>0</v>
      </c>
      <c r="G1312" s="10">
        <f>IFERROR(G1207/H$1264/INDEX('Category Mapping'!$B$42:$B$45,MATCH($A1312,'Category Mapping'!$A$42:$A$45,0),1),0)</f>
        <v>2.9351486754508117E-4</v>
      </c>
      <c r="H1312" s="10">
        <f>IFERROR(H1207/I$1264/INDEX('Category Mapping'!$B$42:$B$45,MATCH($A1312,'Category Mapping'!$A$42:$A$45,0),1),0)</f>
        <v>1.6262544015671425E-4</v>
      </c>
      <c r="I1312" s="10">
        <f>IFERROR(I1207/J$1264/INDEX('Category Mapping'!$B$42:$B$45,MATCH($A1312,'Category Mapping'!$A$42:$A$45,0),1),0)</f>
        <v>1.6262544015671425E-4</v>
      </c>
      <c r="J1312" s="10">
        <f>IFERROR(J1207/K$1264/INDEX('Category Mapping'!$B$42:$B$45,MATCH($A1312,'Category Mapping'!$A$42:$A$45,0),1),0)</f>
        <v>9.5263168041133904E-5</v>
      </c>
      <c r="K1312" s="10">
        <f>IFERROR(K1207/L$1264/INDEX('Category Mapping'!$B$42:$B$45,MATCH($A1312,'Category Mapping'!$A$42:$A$45,0),1),0)</f>
        <v>6.2305512956120645E-6</v>
      </c>
      <c r="L1312" s="10">
        <f>IFERROR(L1207/M$1264/INDEX('Category Mapping'!$B$42:$B$45,MATCH($A1312,'Category Mapping'!$A$42:$A$45,0),1),0)</f>
        <v>0</v>
      </c>
      <c r="M1312" s="10">
        <f>IFERROR(M1207/N$1264/INDEX('Category Mapping'!$B$42:$B$45,MATCH($A1312,'Category Mapping'!$A$42:$A$45,0),1),0)</f>
        <v>1.1863217622766039E-4</v>
      </c>
      <c r="N1312" s="10">
        <f>IFERROR(N1207/O$1264/INDEX('Category Mapping'!$B$42:$B$45,MATCH($A1312,'Category Mapping'!$A$42:$A$45,0),1),0)</f>
        <v>1.1863217622766039E-4</v>
      </c>
      <c r="O1312" s="10">
        <f>IFERROR(O1207/P$1264/INDEX('Category Mapping'!$B$42:$B$45,MATCH($A1312,'Category Mapping'!$A$42:$A$45,0),1),0)</f>
        <v>1.1863217622766039E-4</v>
      </c>
      <c r="P1312" s="10">
        <f>IFERROR(P1207/Q$1264/INDEX('Category Mapping'!$B$42:$B$45,MATCH($A1312,'Category Mapping'!$A$42:$A$45,0),1),0)</f>
        <v>1.3746530866304716E-4</v>
      </c>
      <c r="Q1312" s="10">
        <f>IFERROR(Q1207/R$1264/INDEX('Category Mapping'!$B$42:$B$45,MATCH($A1312,'Category Mapping'!$A$42:$A$45,0),1),0)</f>
        <v>1.3746530866304716E-4</v>
      </c>
      <c r="R1312" s="10">
        <f>IFERROR(R1207/S$1264/INDEX('Category Mapping'!$B$42:$B$45,MATCH($A1312,'Category Mapping'!$A$42:$A$45,0),1),0)</f>
        <v>1.3746530866304716E-4</v>
      </c>
      <c r="S1312" s="10">
        <f>IFERROR(S1207/T$1264/INDEX('Category Mapping'!$B$42:$B$45,MATCH($A1312,'Category Mapping'!$A$42:$A$45,0),1),0)</f>
        <v>1.3746530866304716E-4</v>
      </c>
      <c r="T1312" s="10">
        <f>IFERROR(T1207/U$1264/INDEX('Category Mapping'!$B$42:$B$45,MATCH($A1312,'Category Mapping'!$A$42:$A$45,0),1),0)</f>
        <v>1.3746530866304716E-4</v>
      </c>
      <c r="U1312" s="10">
        <f>IFERROR(U1207/V$1264/INDEX('Category Mapping'!$B$42:$B$45,MATCH($A1312,'Category Mapping'!$A$42:$A$45,0),1),0)</f>
        <v>1.3746530866304716E-4</v>
      </c>
      <c r="V1312" s="10">
        <f>IFERROR(V1207/W$1264/INDEX('Category Mapping'!$B$42:$B$45,MATCH($A1312,'Category Mapping'!$A$42:$A$45,0),1),0)</f>
        <v>1.1549739827237092E-4</v>
      </c>
      <c r="W1312" s="10">
        <f>IFERROR(W1207/X$1264/INDEX('Category Mapping'!$B$42:$B$45,MATCH($A1312,'Category Mapping'!$A$42:$A$45,0),1),0)</f>
        <v>1.1549739827237092E-4</v>
      </c>
      <c r="X1312" s="10">
        <f>IFERROR(X1207/Y$1264/INDEX('Category Mapping'!$B$42:$B$45,MATCH($A1312,'Category Mapping'!$A$42:$A$45,0),1),0)</f>
        <v>1.1549739827237092E-4</v>
      </c>
      <c r="Y1312" s="27"/>
      <c r="Z1312" s="32"/>
    </row>
    <row r="1313" spans="1:26" outlineLevel="1" x14ac:dyDescent="0.3">
      <c r="A1313" t="s">
        <v>162</v>
      </c>
      <c r="B1313" t="s">
        <v>83</v>
      </c>
      <c r="C1313" s="6" t="s">
        <v>158</v>
      </c>
      <c r="D1313" s="10">
        <f>IFERROR(D1208/E$1264/INDEX('Category Mapping'!$B$42:$B$45,MATCH($A1313,'Category Mapping'!$A$42:$A$45,0),1),0)</f>
        <v>1.30583823815486E-4</v>
      </c>
      <c r="E1313" s="10">
        <f>IFERROR(E1208/F$1264/INDEX('Category Mapping'!$B$42:$B$45,MATCH($A1313,'Category Mapping'!$A$42:$A$45,0),1),0)</f>
        <v>4.1732869969202791E-7</v>
      </c>
      <c r="F1313" s="10">
        <f>IFERROR(F1208/G$1264/INDEX('Category Mapping'!$B$42:$B$45,MATCH($A1313,'Category Mapping'!$A$42:$A$45,0),1),0)</f>
        <v>0</v>
      </c>
      <c r="G1313" s="10">
        <f>IFERROR(G1208/H$1264/INDEX('Category Mapping'!$B$42:$B$45,MATCH($A1313,'Category Mapping'!$A$42:$A$45,0),1),0)</f>
        <v>2.9690061988723546E-4</v>
      </c>
      <c r="H1313" s="10">
        <f>IFERROR(H1208/I$1264/INDEX('Category Mapping'!$B$42:$B$45,MATCH($A1313,'Category Mapping'!$A$42:$A$45,0),1),0)</f>
        <v>1.5756914003440178E-4</v>
      </c>
      <c r="I1313" s="10">
        <f>IFERROR(I1208/J$1264/INDEX('Category Mapping'!$B$42:$B$45,MATCH($A1313,'Category Mapping'!$A$42:$A$45,0),1),0)</f>
        <v>1.5756914003440178E-4</v>
      </c>
      <c r="J1313" s="10">
        <f>IFERROR(J1208/K$1264/INDEX('Category Mapping'!$B$42:$B$45,MATCH($A1313,'Category Mapping'!$A$42:$A$45,0),1),0)</f>
        <v>1.1480417808472129E-4</v>
      </c>
      <c r="K1313" s="10">
        <f>IFERROR(K1208/L$1264/INDEX('Category Mapping'!$B$42:$B$45,MATCH($A1313,'Category Mapping'!$A$42:$A$45,0),1),0)</f>
        <v>5.5026924370886067E-6</v>
      </c>
      <c r="L1313" s="10">
        <f>IFERROR(L1208/M$1264/INDEX('Category Mapping'!$B$42:$B$45,MATCH($A1313,'Category Mapping'!$A$42:$A$45,0),1),0)</f>
        <v>0</v>
      </c>
      <c r="M1313" s="10">
        <f>IFERROR(M1208/N$1264/INDEX('Category Mapping'!$B$42:$B$45,MATCH($A1313,'Category Mapping'!$A$42:$A$45,0),1),0)</f>
        <v>9.9909285514737702E-5</v>
      </c>
      <c r="N1313" s="10">
        <f>IFERROR(N1208/O$1264/INDEX('Category Mapping'!$B$42:$B$45,MATCH($A1313,'Category Mapping'!$A$42:$A$45,0),1),0)</f>
        <v>9.9909285514737702E-5</v>
      </c>
      <c r="O1313" s="10">
        <f>IFERROR(O1208/P$1264/INDEX('Category Mapping'!$B$42:$B$45,MATCH($A1313,'Category Mapping'!$A$42:$A$45,0),1),0)</f>
        <v>9.9909285514737702E-5</v>
      </c>
      <c r="P1313" s="10">
        <f>IFERROR(P1208/Q$1264/INDEX('Category Mapping'!$B$42:$B$45,MATCH($A1313,'Category Mapping'!$A$42:$A$45,0),1),0)</f>
        <v>1.2699516167380065E-4</v>
      </c>
      <c r="Q1313" s="10">
        <f>IFERROR(Q1208/R$1264/INDEX('Category Mapping'!$B$42:$B$45,MATCH($A1313,'Category Mapping'!$A$42:$A$45,0),1),0)</f>
        <v>1.2699516167380065E-4</v>
      </c>
      <c r="R1313" s="10">
        <f>IFERROR(R1208/S$1264/INDEX('Category Mapping'!$B$42:$B$45,MATCH($A1313,'Category Mapping'!$A$42:$A$45,0),1),0)</f>
        <v>1.2699516167380065E-4</v>
      </c>
      <c r="S1313" s="10">
        <f>IFERROR(S1208/T$1264/INDEX('Category Mapping'!$B$42:$B$45,MATCH($A1313,'Category Mapping'!$A$42:$A$45,0),1),0)</f>
        <v>1.2699516167380065E-4</v>
      </c>
      <c r="T1313" s="10">
        <f>IFERROR(T1208/U$1264/INDEX('Category Mapping'!$B$42:$B$45,MATCH($A1313,'Category Mapping'!$A$42:$A$45,0),1),0)</f>
        <v>1.2699516167380065E-4</v>
      </c>
      <c r="U1313" s="10">
        <f>IFERROR(U1208/V$1264/INDEX('Category Mapping'!$B$42:$B$45,MATCH($A1313,'Category Mapping'!$A$42:$A$45,0),1),0)</f>
        <v>1.2699516167380065E-4</v>
      </c>
      <c r="V1313" s="10">
        <f>IFERROR(V1208/W$1264/INDEX('Category Mapping'!$B$42:$B$45,MATCH($A1313,'Category Mapping'!$A$42:$A$45,0),1),0)</f>
        <v>1.146959133238041E-4</v>
      </c>
      <c r="W1313" s="10">
        <f>IFERROR(W1208/X$1264/INDEX('Category Mapping'!$B$42:$B$45,MATCH($A1313,'Category Mapping'!$A$42:$A$45,0),1),0)</f>
        <v>1.146959133238041E-4</v>
      </c>
      <c r="X1313" s="10">
        <f>IFERROR(X1208/Y$1264/INDEX('Category Mapping'!$B$42:$B$45,MATCH($A1313,'Category Mapping'!$A$42:$A$45,0),1),0)</f>
        <v>1.146959133238041E-4</v>
      </c>
      <c r="Y1313" s="27"/>
      <c r="Z1313" s="32"/>
    </row>
    <row r="1314" spans="1:26" outlineLevel="1" x14ac:dyDescent="0.3">
      <c r="A1314" t="s">
        <v>162</v>
      </c>
      <c r="B1314" t="s">
        <v>84</v>
      </c>
      <c r="C1314" s="6" t="s">
        <v>159</v>
      </c>
      <c r="D1314" s="10">
        <f>IFERROR(D1209/E$1264/INDEX('Category Mapping'!$B$42:$B$45,MATCH($A1314,'Category Mapping'!$A$42:$A$45,0),1),0)</f>
        <v>1.1971260550921205E-4</v>
      </c>
      <c r="E1314" s="10">
        <f>IFERROR(E1209/F$1264/INDEX('Category Mapping'!$B$42:$B$45,MATCH($A1314,'Category Mapping'!$A$42:$A$45,0),1),0)</f>
        <v>1.6557193017651971E-7</v>
      </c>
      <c r="F1314" s="10">
        <f>IFERROR(F1209/G$1264/INDEX('Category Mapping'!$B$42:$B$45,MATCH($A1314,'Category Mapping'!$A$42:$A$45,0),1),0)</f>
        <v>0</v>
      </c>
      <c r="G1314" s="10">
        <f>IFERROR(G1209/H$1264/INDEX('Category Mapping'!$B$42:$B$45,MATCH($A1314,'Category Mapping'!$A$42:$A$45,0),1),0)</f>
        <v>2.4360474060802829E-4</v>
      </c>
      <c r="H1314" s="10">
        <f>IFERROR(H1209/I$1264/INDEX('Category Mapping'!$B$42:$B$45,MATCH($A1314,'Category Mapping'!$A$42:$A$45,0),1),0)</f>
        <v>1.5406062409822039E-4</v>
      </c>
      <c r="I1314" s="10">
        <f>IFERROR(I1209/J$1264/INDEX('Category Mapping'!$B$42:$B$45,MATCH($A1314,'Category Mapping'!$A$42:$A$45,0),1),0)</f>
        <v>1.5406062409822039E-4</v>
      </c>
      <c r="J1314" s="10">
        <f>IFERROR(J1209/K$1264/INDEX('Category Mapping'!$B$42:$B$45,MATCH($A1314,'Category Mapping'!$A$42:$A$45,0),1),0)</f>
        <v>9.9210740536251902E-5</v>
      </c>
      <c r="K1314" s="10">
        <f>IFERROR(K1209/L$1264/INDEX('Category Mapping'!$B$42:$B$45,MATCH($A1314,'Category Mapping'!$A$42:$A$45,0),1),0)</f>
        <v>5.17194662542082E-6</v>
      </c>
      <c r="L1314" s="10">
        <f>IFERROR(L1209/M$1264/INDEX('Category Mapping'!$B$42:$B$45,MATCH($A1314,'Category Mapping'!$A$42:$A$45,0),1),0)</f>
        <v>0</v>
      </c>
      <c r="M1314" s="10">
        <f>IFERROR(M1209/N$1264/INDEX('Category Mapping'!$B$42:$B$45,MATCH($A1314,'Category Mapping'!$A$42:$A$45,0),1),0)</f>
        <v>8.2444248634307979E-5</v>
      </c>
      <c r="N1314" s="10">
        <f>IFERROR(N1209/O$1264/INDEX('Category Mapping'!$B$42:$B$45,MATCH($A1314,'Category Mapping'!$A$42:$A$45,0),1),0)</f>
        <v>8.2444248634307979E-5</v>
      </c>
      <c r="O1314" s="10">
        <f>IFERROR(O1209/P$1264/INDEX('Category Mapping'!$B$42:$B$45,MATCH($A1314,'Category Mapping'!$A$42:$A$45,0),1),0)</f>
        <v>8.2444248634307979E-5</v>
      </c>
      <c r="P1314" s="10">
        <f>IFERROR(P1209/Q$1264/INDEX('Category Mapping'!$B$42:$B$45,MATCH($A1314,'Category Mapping'!$A$42:$A$45,0),1),0)</f>
        <v>1.1919682034035524E-4</v>
      </c>
      <c r="Q1314" s="10">
        <f>IFERROR(Q1209/R$1264/INDEX('Category Mapping'!$B$42:$B$45,MATCH($A1314,'Category Mapping'!$A$42:$A$45,0),1),0)</f>
        <v>1.1919682034035524E-4</v>
      </c>
      <c r="R1314" s="10">
        <f>IFERROR(R1209/S$1264/INDEX('Category Mapping'!$B$42:$B$45,MATCH($A1314,'Category Mapping'!$A$42:$A$45,0),1),0)</f>
        <v>1.1919682034035524E-4</v>
      </c>
      <c r="S1314" s="10">
        <f>IFERROR(S1209/T$1264/INDEX('Category Mapping'!$B$42:$B$45,MATCH($A1314,'Category Mapping'!$A$42:$A$45,0),1),0)</f>
        <v>1.1919682034035524E-4</v>
      </c>
      <c r="T1314" s="10">
        <f>IFERROR(T1209/U$1264/INDEX('Category Mapping'!$B$42:$B$45,MATCH($A1314,'Category Mapping'!$A$42:$A$45,0),1),0)</f>
        <v>1.1919682034035524E-4</v>
      </c>
      <c r="U1314" s="10">
        <f>IFERROR(U1209/V$1264/INDEX('Category Mapping'!$B$42:$B$45,MATCH($A1314,'Category Mapping'!$A$42:$A$45,0),1),0)</f>
        <v>1.1919682034035524E-4</v>
      </c>
      <c r="V1314" s="10">
        <f>IFERROR(V1209/W$1264/INDEX('Category Mapping'!$B$42:$B$45,MATCH($A1314,'Category Mapping'!$A$42:$A$45,0),1),0)</f>
        <v>1.1376177950971865E-4</v>
      </c>
      <c r="W1314" s="10">
        <f>IFERROR(W1209/X$1264/INDEX('Category Mapping'!$B$42:$B$45,MATCH($A1314,'Category Mapping'!$A$42:$A$45,0),1),0)</f>
        <v>1.1376177950971865E-4</v>
      </c>
      <c r="X1314" s="10">
        <f>IFERROR(X1209/Y$1264/INDEX('Category Mapping'!$B$42:$B$45,MATCH($A1314,'Category Mapping'!$A$42:$A$45,0),1),0)</f>
        <v>1.1376177950971865E-4</v>
      </c>
      <c r="Y1314" s="27"/>
      <c r="Z1314" s="32"/>
    </row>
    <row r="1315" spans="1:26" outlineLevel="1" x14ac:dyDescent="0.3">
      <c r="A1315" t="s">
        <v>162</v>
      </c>
      <c r="B1315" t="s">
        <v>85</v>
      </c>
      <c r="C1315" s="6" t="s">
        <v>160</v>
      </c>
      <c r="D1315" s="10">
        <f>IFERROR(D1210/E$1264/INDEX('Category Mapping'!$B$42:$B$45,MATCH($A1315,'Category Mapping'!$A$42:$A$45,0),1),0)</f>
        <v>9.7260810570792982E-5</v>
      </c>
      <c r="E1315" s="10">
        <f>IFERROR(E1210/F$1264/INDEX('Category Mapping'!$B$42:$B$45,MATCH($A1315,'Category Mapping'!$A$42:$A$45,0),1),0)</f>
        <v>1.7248744758938501E-7</v>
      </c>
      <c r="F1315" s="10">
        <f>IFERROR(F1210/G$1264/INDEX('Category Mapping'!$B$42:$B$45,MATCH($A1315,'Category Mapping'!$A$42:$A$45,0),1),0)</f>
        <v>0</v>
      </c>
      <c r="G1315" s="10">
        <f>IFERROR(G1210/H$1264/INDEX('Category Mapping'!$B$42:$B$45,MATCH($A1315,'Category Mapping'!$A$42:$A$45,0),1),0)</f>
        <v>1.4704387010560646E-4</v>
      </c>
      <c r="H1315" s="10">
        <f>IFERROR(H1210/I$1264/INDEX('Category Mapping'!$B$42:$B$45,MATCH($A1315,'Category Mapping'!$A$42:$A$45,0),1),0)</f>
        <v>1.223417907253917E-4</v>
      </c>
      <c r="I1315" s="10">
        <f>IFERROR(I1210/J$1264/INDEX('Category Mapping'!$B$42:$B$45,MATCH($A1315,'Category Mapping'!$A$42:$A$45,0),1),0)</f>
        <v>1.223417907253917E-4</v>
      </c>
      <c r="J1315" s="10">
        <f>IFERROR(J1210/K$1264/INDEX('Category Mapping'!$B$42:$B$45,MATCH($A1315,'Category Mapping'!$A$42:$A$45,0),1),0)</f>
        <v>8.7372589389388385E-5</v>
      </c>
      <c r="K1315" s="10">
        <f>IFERROR(K1210/L$1264/INDEX('Category Mapping'!$B$42:$B$45,MATCH($A1315,'Category Mapping'!$A$42:$A$45,0),1),0)</f>
        <v>4.8118536850501927E-6</v>
      </c>
      <c r="L1315" s="10">
        <f>IFERROR(L1210/M$1264/INDEX('Category Mapping'!$B$42:$B$45,MATCH($A1315,'Category Mapping'!$A$42:$A$45,0),1),0)</f>
        <v>0</v>
      </c>
      <c r="M1315" s="10">
        <f>IFERROR(M1210/N$1264/INDEX('Category Mapping'!$B$42:$B$45,MATCH($A1315,'Category Mapping'!$A$42:$A$45,0),1),0)</f>
        <v>7.0531946818843007E-5</v>
      </c>
      <c r="N1315" s="10">
        <f>IFERROR(N1210/O$1264/INDEX('Category Mapping'!$B$42:$B$45,MATCH($A1315,'Category Mapping'!$A$42:$A$45,0),1),0)</f>
        <v>7.0531946818843007E-5</v>
      </c>
      <c r="O1315" s="10">
        <f>IFERROR(O1210/P$1264/INDEX('Category Mapping'!$B$42:$B$45,MATCH($A1315,'Category Mapping'!$A$42:$A$45,0),1),0)</f>
        <v>7.0531946818843007E-5</v>
      </c>
      <c r="P1315" s="10">
        <f>IFERROR(P1210/Q$1264/INDEX('Category Mapping'!$B$42:$B$45,MATCH($A1315,'Category Mapping'!$A$42:$A$45,0),1),0)</f>
        <v>1.1339335689272908E-4</v>
      </c>
      <c r="Q1315" s="10">
        <f>IFERROR(Q1210/R$1264/INDEX('Category Mapping'!$B$42:$B$45,MATCH($A1315,'Category Mapping'!$A$42:$A$45,0),1),0)</f>
        <v>1.1339335689272908E-4</v>
      </c>
      <c r="R1315" s="10">
        <f>IFERROR(R1210/S$1264/INDEX('Category Mapping'!$B$42:$B$45,MATCH($A1315,'Category Mapping'!$A$42:$A$45,0),1),0)</f>
        <v>1.1339335689272908E-4</v>
      </c>
      <c r="S1315" s="10">
        <f>IFERROR(S1210/T$1264/INDEX('Category Mapping'!$B$42:$B$45,MATCH($A1315,'Category Mapping'!$A$42:$A$45,0),1),0)</f>
        <v>1.1339335689272908E-4</v>
      </c>
      <c r="T1315" s="10">
        <f>IFERROR(T1210/U$1264/INDEX('Category Mapping'!$B$42:$B$45,MATCH($A1315,'Category Mapping'!$A$42:$A$45,0),1),0)</f>
        <v>1.1339335689272908E-4</v>
      </c>
      <c r="U1315" s="10">
        <f>IFERROR(U1210/V$1264/INDEX('Category Mapping'!$B$42:$B$45,MATCH($A1315,'Category Mapping'!$A$42:$A$45,0),1),0)</f>
        <v>1.1339335689272908E-4</v>
      </c>
      <c r="V1315" s="10">
        <f>IFERROR(V1210/W$1264/INDEX('Category Mapping'!$B$42:$B$45,MATCH($A1315,'Category Mapping'!$A$42:$A$45,0),1),0)</f>
        <v>1.1277949446810302E-4</v>
      </c>
      <c r="W1315" s="10">
        <f>IFERROR(W1210/X$1264/INDEX('Category Mapping'!$B$42:$B$45,MATCH($A1315,'Category Mapping'!$A$42:$A$45,0),1),0)</f>
        <v>1.1277949446810302E-4</v>
      </c>
      <c r="X1315" s="10">
        <f>IFERROR(X1210/Y$1264/INDEX('Category Mapping'!$B$42:$B$45,MATCH($A1315,'Category Mapping'!$A$42:$A$45,0),1),0)</f>
        <v>1.1277949446810302E-4</v>
      </c>
      <c r="Y1315" s="27"/>
      <c r="Z1315" s="32"/>
    </row>
    <row r="1316" spans="1:26" outlineLevel="1" x14ac:dyDescent="0.3">
      <c r="A1316" t="s">
        <v>162</v>
      </c>
      <c r="B1316" t="s">
        <v>86</v>
      </c>
      <c r="C1316" s="6" t="s">
        <v>161</v>
      </c>
      <c r="D1316" s="10">
        <f>IFERROR(D1211/E$1264/INDEX('Category Mapping'!$B$42:$B$45,MATCH($A1316,'Category Mapping'!$A$42:$A$45,0),1),0)</f>
        <v>9.2059188409460323E-5</v>
      </c>
      <c r="E1316" s="10">
        <f>IFERROR(E1211/F$1264/INDEX('Category Mapping'!$B$42:$B$45,MATCH($A1316,'Category Mapping'!$A$42:$A$45,0),1),0)</f>
        <v>1.7732731580405774E-7</v>
      </c>
      <c r="F1316" s="10">
        <f>IFERROR(F1211/G$1264/INDEX('Category Mapping'!$B$42:$B$45,MATCH($A1316,'Category Mapping'!$A$42:$A$45,0),1),0)</f>
        <v>0</v>
      </c>
      <c r="G1316" s="10">
        <f>IFERROR(G1211/H$1264/INDEX('Category Mapping'!$B$42:$B$45,MATCH($A1316,'Category Mapping'!$A$42:$A$45,0),1),0)</f>
        <v>7.8253815947531503E-5</v>
      </c>
      <c r="H1316" s="10">
        <f>IFERROR(H1211/I$1264/INDEX('Category Mapping'!$B$42:$B$45,MATCH($A1316,'Category Mapping'!$A$42:$A$45,0),1),0)</f>
        <v>9.7491850295372055E-5</v>
      </c>
      <c r="I1316" s="10">
        <f>IFERROR(I1211/J$1264/INDEX('Category Mapping'!$B$42:$B$45,MATCH($A1316,'Category Mapping'!$A$42:$A$45,0),1),0)</f>
        <v>9.7491850295372055E-5</v>
      </c>
      <c r="J1316" s="10">
        <f>IFERROR(J1211/K$1264/INDEX('Category Mapping'!$B$42:$B$45,MATCH($A1316,'Category Mapping'!$A$42:$A$45,0),1),0)</f>
        <v>7.9281911252350367E-5</v>
      </c>
      <c r="K1316" s="10">
        <f>IFERROR(K1211/L$1264/INDEX('Category Mapping'!$B$42:$B$45,MATCH($A1316,'Category Mapping'!$A$42:$A$45,0),1),0)</f>
        <v>4.3014708735141947E-6</v>
      </c>
      <c r="L1316" s="10">
        <f>IFERROR(L1211/M$1264/INDEX('Category Mapping'!$B$42:$B$45,MATCH($A1316,'Category Mapping'!$A$42:$A$45,0),1),0)</f>
        <v>0</v>
      </c>
      <c r="M1316" s="10">
        <f>IFERROR(M1211/N$1264/INDEX('Category Mapping'!$B$42:$B$45,MATCH($A1316,'Category Mapping'!$A$42:$A$45,0),1),0)</f>
        <v>6.2032610526638961E-5</v>
      </c>
      <c r="N1316" s="10">
        <f>IFERROR(N1211/O$1264/INDEX('Category Mapping'!$B$42:$B$45,MATCH($A1316,'Category Mapping'!$A$42:$A$45,0),1),0)</f>
        <v>6.2032610526638961E-5</v>
      </c>
      <c r="O1316" s="10">
        <f>IFERROR(O1211/P$1264/INDEX('Category Mapping'!$B$42:$B$45,MATCH($A1316,'Category Mapping'!$A$42:$A$45,0),1),0)</f>
        <v>6.2032610526638961E-5</v>
      </c>
      <c r="P1316" s="10">
        <f>IFERROR(P1211/Q$1264/INDEX('Category Mapping'!$B$42:$B$45,MATCH($A1316,'Category Mapping'!$A$42:$A$45,0),1),0)</f>
        <v>7.6316305843857462E-5</v>
      </c>
      <c r="Q1316" s="10">
        <f>IFERROR(Q1211/R$1264/INDEX('Category Mapping'!$B$42:$B$45,MATCH($A1316,'Category Mapping'!$A$42:$A$45,0),1),0)</f>
        <v>7.6316305843857462E-5</v>
      </c>
      <c r="R1316" s="10">
        <f>IFERROR(R1211/S$1264/INDEX('Category Mapping'!$B$42:$B$45,MATCH($A1316,'Category Mapping'!$A$42:$A$45,0),1),0)</f>
        <v>7.6316305843857462E-5</v>
      </c>
      <c r="S1316" s="10">
        <f>IFERROR(S1211/T$1264/INDEX('Category Mapping'!$B$42:$B$45,MATCH($A1316,'Category Mapping'!$A$42:$A$45,0),1),0)</f>
        <v>7.6316305843857462E-5</v>
      </c>
      <c r="T1316" s="10">
        <f>IFERROR(T1211/U$1264/INDEX('Category Mapping'!$B$42:$B$45,MATCH($A1316,'Category Mapping'!$A$42:$A$45,0),1),0)</f>
        <v>7.6316305843857462E-5</v>
      </c>
      <c r="U1316" s="10">
        <f>IFERROR(U1211/V$1264/INDEX('Category Mapping'!$B$42:$B$45,MATCH($A1316,'Category Mapping'!$A$42:$A$45,0),1),0)</f>
        <v>7.6316305843857462E-5</v>
      </c>
      <c r="V1316" s="10">
        <f>IFERROR(V1211/W$1264/INDEX('Category Mapping'!$B$42:$B$45,MATCH($A1316,'Category Mapping'!$A$42:$A$45,0),1),0)</f>
        <v>1.1220851410551937E-4</v>
      </c>
      <c r="W1316" s="10">
        <f>IFERROR(W1211/X$1264/INDEX('Category Mapping'!$B$42:$B$45,MATCH($A1316,'Category Mapping'!$A$42:$A$45,0),1),0)</f>
        <v>1.1220851410551937E-4</v>
      </c>
      <c r="X1316" s="10">
        <f>IFERROR(X1211/Y$1264/INDEX('Category Mapping'!$B$42:$B$45,MATCH($A1316,'Category Mapping'!$A$42:$A$45,0),1),0)</f>
        <v>1.1220851410551937E-4</v>
      </c>
      <c r="Y1316" s="27"/>
      <c r="Z1316" s="32"/>
    </row>
    <row r="1317" spans="1:26" outlineLevel="1" x14ac:dyDescent="0.3">
      <c r="A1317" t="s">
        <v>163</v>
      </c>
      <c r="B1317" t="s">
        <v>63</v>
      </c>
      <c r="C1317" s="6" t="s">
        <v>138</v>
      </c>
      <c r="D1317" s="10">
        <f>IFERROR(D1212/E$1264/INDEX('Category Mapping'!$B$42:$B$45,MATCH($A1317,'Category Mapping'!$A$42:$A$45,0),1),0)</f>
        <v>1.7120851168100183E-6</v>
      </c>
      <c r="E1317" s="10">
        <f>IFERROR(E1212/F$1264/INDEX('Category Mapping'!$B$42:$B$45,MATCH($A1317,'Category Mapping'!$A$42:$A$45,0),1),0)</f>
        <v>2.7287664841648074E-4</v>
      </c>
      <c r="F1317" s="10">
        <f>IFERROR(F1212/G$1264/INDEX('Category Mapping'!$B$42:$B$45,MATCH($A1317,'Category Mapping'!$A$42:$A$45,0),1),0)</f>
        <v>0</v>
      </c>
      <c r="G1317" s="10">
        <f>IFERROR(G1212/H$1264/INDEX('Category Mapping'!$B$42:$B$45,MATCH($A1317,'Category Mapping'!$A$42:$A$45,0),1),0)</f>
        <v>5.3679186919852188E-5</v>
      </c>
      <c r="H1317" s="10">
        <f>IFERROR(H1212/I$1264/INDEX('Category Mapping'!$B$42:$B$45,MATCH($A1317,'Category Mapping'!$A$42:$A$45,0),1),0)</f>
        <v>7.8275761270442021E-5</v>
      </c>
      <c r="I1317" s="10">
        <f>IFERROR(I1212/J$1264/INDEX('Category Mapping'!$B$42:$B$45,MATCH($A1317,'Category Mapping'!$A$42:$A$45,0),1),0)</f>
        <v>7.8275761270442021E-5</v>
      </c>
      <c r="J1317" s="10">
        <f>IFERROR(J1212/K$1264/INDEX('Category Mapping'!$B$42:$B$45,MATCH($A1317,'Category Mapping'!$A$42:$A$45,0),1),0)</f>
        <v>2.4768645427820124E-6</v>
      </c>
      <c r="K1317" s="10">
        <f>IFERROR(K1212/L$1264/INDEX('Category Mapping'!$B$42:$B$45,MATCH($A1317,'Category Mapping'!$A$42:$A$45,0),1),0)</f>
        <v>2.5251020925813204E-4</v>
      </c>
      <c r="L1317" s="10">
        <f>IFERROR(L1212/M$1264/INDEX('Category Mapping'!$B$42:$B$45,MATCH($A1317,'Category Mapping'!$A$42:$A$45,0),1),0)</f>
        <v>0</v>
      </c>
      <c r="M1317" s="10">
        <f>IFERROR(M1212/N$1264/INDEX('Category Mapping'!$B$42:$B$45,MATCH($A1317,'Category Mapping'!$A$42:$A$45,0),1),0)</f>
        <v>5.3295260047185863E-5</v>
      </c>
      <c r="N1317" s="10">
        <f>IFERROR(N1212/O$1264/INDEX('Category Mapping'!$B$42:$B$45,MATCH($A1317,'Category Mapping'!$A$42:$A$45,0),1),0)</f>
        <v>5.3295260047185863E-5</v>
      </c>
      <c r="O1317" s="10">
        <f>IFERROR(O1212/P$1264/INDEX('Category Mapping'!$B$42:$B$45,MATCH($A1317,'Category Mapping'!$A$42:$A$45,0),1),0)</f>
        <v>5.3295260047185863E-5</v>
      </c>
      <c r="P1317" s="10">
        <f>IFERROR(P1212/Q$1264/INDEX('Category Mapping'!$B$42:$B$45,MATCH($A1317,'Category Mapping'!$A$42:$A$45,0),1),0)</f>
        <v>4.8629018732723561E-5</v>
      </c>
      <c r="Q1317" s="10">
        <f>IFERROR(Q1212/R$1264/INDEX('Category Mapping'!$B$42:$B$45,MATCH($A1317,'Category Mapping'!$A$42:$A$45,0),1),0)</f>
        <v>4.8629018732723561E-5</v>
      </c>
      <c r="R1317" s="10">
        <f>IFERROR(R1212/S$1264/INDEX('Category Mapping'!$B$42:$B$45,MATCH($A1317,'Category Mapping'!$A$42:$A$45,0),1),0)</f>
        <v>4.8629018732723561E-5</v>
      </c>
      <c r="S1317" s="10">
        <f>IFERROR(S1212/T$1264/INDEX('Category Mapping'!$B$42:$B$45,MATCH($A1317,'Category Mapping'!$A$42:$A$45,0),1),0)</f>
        <v>4.8629018732723561E-5</v>
      </c>
      <c r="T1317" s="10">
        <f>IFERROR(T1212/U$1264/INDEX('Category Mapping'!$B$42:$B$45,MATCH($A1317,'Category Mapping'!$A$42:$A$45,0),1),0)</f>
        <v>4.8629018732723561E-5</v>
      </c>
      <c r="U1317" s="10">
        <f>IFERROR(U1212/V$1264/INDEX('Category Mapping'!$B$42:$B$45,MATCH($A1317,'Category Mapping'!$A$42:$A$45,0),1),0)</f>
        <v>4.8629018732723561E-5</v>
      </c>
      <c r="V1317" s="10">
        <f>IFERROR(V1212/W$1264/INDEX('Category Mapping'!$B$42:$B$45,MATCH($A1317,'Category Mapping'!$A$42:$A$45,0),1),0)</f>
        <v>1.1090812030912371E-4</v>
      </c>
      <c r="W1317" s="10">
        <f>IFERROR(W1212/X$1264/INDEX('Category Mapping'!$B$42:$B$45,MATCH($A1317,'Category Mapping'!$A$42:$A$45,0),1),0)</f>
        <v>1.1090812030912371E-4</v>
      </c>
      <c r="X1317" s="10">
        <f>IFERROR(X1212/Y$1264/INDEX('Category Mapping'!$B$42:$B$45,MATCH($A1317,'Category Mapping'!$A$42:$A$45,0),1),0)</f>
        <v>1.1090812030912371E-4</v>
      </c>
      <c r="Y1317" s="27"/>
      <c r="Z1317" s="32"/>
    </row>
    <row r="1318" spans="1:26" outlineLevel="1" x14ac:dyDescent="0.3">
      <c r="A1318" t="s">
        <v>163</v>
      </c>
      <c r="B1318" t="s">
        <v>64</v>
      </c>
      <c r="C1318" s="6" t="s">
        <v>139</v>
      </c>
      <c r="D1318" s="10">
        <f>IFERROR(D1213/E$1264/INDEX('Category Mapping'!$B$42:$B$45,MATCH($A1318,'Category Mapping'!$A$42:$A$45,0),1),0)</f>
        <v>1.7120851168100183E-6</v>
      </c>
      <c r="E1318" s="10">
        <f>IFERROR(E1213/F$1264/INDEX('Category Mapping'!$B$42:$B$45,MATCH($A1318,'Category Mapping'!$A$42:$A$45,0),1),0)</f>
        <v>2.4505493245610249E-4</v>
      </c>
      <c r="F1318" s="10">
        <f>IFERROR(F1213/G$1264/INDEX('Category Mapping'!$B$42:$B$45,MATCH($A1318,'Category Mapping'!$A$42:$A$45,0),1),0)</f>
        <v>0</v>
      </c>
      <c r="G1318" s="10">
        <f>IFERROR(G1213/H$1264/INDEX('Category Mapping'!$B$42:$B$45,MATCH($A1318,'Category Mapping'!$A$42:$A$45,0),1),0)</f>
        <v>4.8874942565907066E-5</v>
      </c>
      <c r="H1318" s="10">
        <f>IFERROR(H1213/I$1264/INDEX('Category Mapping'!$B$42:$B$45,MATCH($A1318,'Category Mapping'!$A$42:$A$45,0),1),0)</f>
        <v>5.7426105582194235E-5</v>
      </c>
      <c r="I1318" s="10">
        <f>IFERROR(I1213/J$1264/INDEX('Category Mapping'!$B$42:$B$45,MATCH($A1318,'Category Mapping'!$A$42:$A$45,0),1),0)</f>
        <v>5.7426105582194235E-5</v>
      </c>
      <c r="J1318" s="10">
        <f>IFERROR(J1213/K$1264/INDEX('Category Mapping'!$B$42:$B$45,MATCH($A1318,'Category Mapping'!$A$42:$A$45,0),1),0)</f>
        <v>2.4745401467726558E-6</v>
      </c>
      <c r="K1318" s="10">
        <f>IFERROR(K1213/L$1264/INDEX('Category Mapping'!$B$42:$B$45,MATCH($A1318,'Category Mapping'!$A$42:$A$45,0),1),0)</f>
        <v>2.3553898489112374E-4</v>
      </c>
      <c r="L1318" s="10">
        <f>IFERROR(L1213/M$1264/INDEX('Category Mapping'!$B$42:$B$45,MATCH($A1318,'Category Mapping'!$A$42:$A$45,0),1),0)</f>
        <v>0</v>
      </c>
      <c r="M1318" s="10">
        <f>IFERROR(M1213/N$1264/INDEX('Category Mapping'!$B$42:$B$45,MATCH($A1318,'Category Mapping'!$A$42:$A$45,0),1),0)</f>
        <v>5.1369483036027669E-5</v>
      </c>
      <c r="N1318" s="10">
        <f>IFERROR(N1213/O$1264/INDEX('Category Mapping'!$B$42:$B$45,MATCH($A1318,'Category Mapping'!$A$42:$A$45,0),1),0)</f>
        <v>5.1369483036027669E-5</v>
      </c>
      <c r="O1318" s="10">
        <f>IFERROR(O1213/P$1264/INDEX('Category Mapping'!$B$42:$B$45,MATCH($A1318,'Category Mapping'!$A$42:$A$45,0),1),0)</f>
        <v>5.1369483036027669E-5</v>
      </c>
      <c r="P1318" s="10">
        <f>IFERROR(P1213/Q$1264/INDEX('Category Mapping'!$B$42:$B$45,MATCH($A1318,'Category Mapping'!$A$42:$A$45,0),1),0)</f>
        <v>4.7531839003195081E-5</v>
      </c>
      <c r="Q1318" s="10">
        <f>IFERROR(Q1213/R$1264/INDEX('Category Mapping'!$B$42:$B$45,MATCH($A1318,'Category Mapping'!$A$42:$A$45,0),1),0)</f>
        <v>4.7531839003195081E-5</v>
      </c>
      <c r="R1318" s="10">
        <f>IFERROR(R1213/S$1264/INDEX('Category Mapping'!$B$42:$B$45,MATCH($A1318,'Category Mapping'!$A$42:$A$45,0),1),0)</f>
        <v>4.7531839003195081E-5</v>
      </c>
      <c r="S1318" s="10">
        <f>IFERROR(S1213/T$1264/INDEX('Category Mapping'!$B$42:$B$45,MATCH($A1318,'Category Mapping'!$A$42:$A$45,0),1),0)</f>
        <v>4.7531839003195081E-5</v>
      </c>
      <c r="T1318" s="10">
        <f>IFERROR(T1213/U$1264/INDEX('Category Mapping'!$B$42:$B$45,MATCH($A1318,'Category Mapping'!$A$42:$A$45,0),1),0)</f>
        <v>4.7531839003195081E-5</v>
      </c>
      <c r="U1318" s="10">
        <f>IFERROR(U1213/V$1264/INDEX('Category Mapping'!$B$42:$B$45,MATCH($A1318,'Category Mapping'!$A$42:$A$45,0),1),0)</f>
        <v>4.7531839003195081E-5</v>
      </c>
      <c r="V1318" s="10">
        <f>IFERROR(V1213/W$1264/INDEX('Category Mapping'!$B$42:$B$45,MATCH($A1318,'Category Mapping'!$A$42:$A$45,0),1),0)</f>
        <v>1.1074658070708698E-4</v>
      </c>
      <c r="W1318" s="10">
        <f>IFERROR(W1213/X$1264/INDEX('Category Mapping'!$B$42:$B$45,MATCH($A1318,'Category Mapping'!$A$42:$A$45,0),1),0)</f>
        <v>1.1074658070708698E-4</v>
      </c>
      <c r="X1318" s="10">
        <f>IFERROR(X1213/Y$1264/INDEX('Category Mapping'!$B$42:$B$45,MATCH($A1318,'Category Mapping'!$A$42:$A$45,0),1),0)</f>
        <v>1.1074658070708698E-4</v>
      </c>
      <c r="Y1318" s="27"/>
      <c r="Z1318" s="32"/>
    </row>
    <row r="1319" spans="1:26" outlineLevel="1" x14ac:dyDescent="0.3">
      <c r="A1319" t="s">
        <v>163</v>
      </c>
      <c r="B1319" t="s">
        <v>65</v>
      </c>
      <c r="C1319" s="6" t="s">
        <v>140</v>
      </c>
      <c r="D1319" s="10">
        <f>IFERROR(D1214/E$1264/INDEX('Category Mapping'!$B$42:$B$45,MATCH($A1319,'Category Mapping'!$A$42:$A$45,0),1),0)</f>
        <v>1.7120851168100183E-6</v>
      </c>
      <c r="E1319" s="10">
        <f>IFERROR(E1214/F$1264/INDEX('Category Mapping'!$B$42:$B$45,MATCH($A1319,'Category Mapping'!$A$42:$A$45,0),1),0)</f>
        <v>2.3638823027655851E-4</v>
      </c>
      <c r="F1319" s="10">
        <f>IFERROR(F1214/G$1264/INDEX('Category Mapping'!$B$42:$B$45,MATCH($A1319,'Category Mapping'!$A$42:$A$45,0),1),0)</f>
        <v>0</v>
      </c>
      <c r="G1319" s="10">
        <f>IFERROR(G1214/H$1264/INDEX('Category Mapping'!$B$42:$B$45,MATCH($A1319,'Category Mapping'!$A$42:$A$45,0),1),0)</f>
        <v>4.8180815727425897E-5</v>
      </c>
      <c r="H1319" s="10">
        <f>IFERROR(H1214/I$1264/INDEX('Category Mapping'!$B$42:$B$45,MATCH($A1319,'Category Mapping'!$A$42:$A$45,0),1),0)</f>
        <v>4.5826826230182956E-5</v>
      </c>
      <c r="I1319" s="10">
        <f>IFERROR(I1214/J$1264/INDEX('Category Mapping'!$B$42:$B$45,MATCH($A1319,'Category Mapping'!$A$42:$A$45,0),1),0)</f>
        <v>4.5826826230182956E-5</v>
      </c>
      <c r="J1319" s="10">
        <f>IFERROR(J1214/K$1264/INDEX('Category Mapping'!$B$42:$B$45,MATCH($A1319,'Category Mapping'!$A$42:$A$45,0),1),0)</f>
        <v>2.5249023478035873E-6</v>
      </c>
      <c r="K1319" s="10">
        <f>IFERROR(K1214/L$1264/INDEX('Category Mapping'!$B$42:$B$45,MATCH($A1319,'Category Mapping'!$A$42:$A$45,0),1),0)</f>
        <v>2.2875154925763508E-4</v>
      </c>
      <c r="L1319" s="10">
        <f>IFERROR(L1214/M$1264/INDEX('Category Mapping'!$B$42:$B$45,MATCH($A1319,'Category Mapping'!$A$42:$A$45,0),1),0)</f>
        <v>0</v>
      </c>
      <c r="M1319" s="10">
        <f>IFERROR(M1214/N$1264/INDEX('Category Mapping'!$B$42:$B$45,MATCH($A1319,'Category Mapping'!$A$42:$A$45,0),1),0)</f>
        <v>5.105221318848285E-5</v>
      </c>
      <c r="N1319" s="10">
        <f>IFERROR(N1214/O$1264/INDEX('Category Mapping'!$B$42:$B$45,MATCH($A1319,'Category Mapping'!$A$42:$A$45,0),1),0)</f>
        <v>5.105221318848285E-5</v>
      </c>
      <c r="O1319" s="10">
        <f>IFERROR(O1214/P$1264/INDEX('Category Mapping'!$B$42:$B$45,MATCH($A1319,'Category Mapping'!$A$42:$A$45,0),1),0)</f>
        <v>5.105221318848285E-5</v>
      </c>
      <c r="P1319" s="10">
        <f>IFERROR(P1214/Q$1264/INDEX('Category Mapping'!$B$42:$B$45,MATCH($A1319,'Category Mapping'!$A$42:$A$45,0),1),0)</f>
        <v>4.7242521923535687E-5</v>
      </c>
      <c r="Q1319" s="10">
        <f>IFERROR(Q1214/R$1264/INDEX('Category Mapping'!$B$42:$B$45,MATCH($A1319,'Category Mapping'!$A$42:$A$45,0),1),0)</f>
        <v>4.7242521923535687E-5</v>
      </c>
      <c r="R1319" s="10">
        <f>IFERROR(R1214/S$1264/INDEX('Category Mapping'!$B$42:$B$45,MATCH($A1319,'Category Mapping'!$A$42:$A$45,0),1),0)</f>
        <v>4.7242521923535687E-5</v>
      </c>
      <c r="S1319" s="10">
        <f>IFERROR(S1214/T$1264/INDEX('Category Mapping'!$B$42:$B$45,MATCH($A1319,'Category Mapping'!$A$42:$A$45,0),1),0)</f>
        <v>4.7242521923535687E-5</v>
      </c>
      <c r="T1319" s="10">
        <f>IFERROR(T1214/U$1264/INDEX('Category Mapping'!$B$42:$B$45,MATCH($A1319,'Category Mapping'!$A$42:$A$45,0),1),0)</f>
        <v>4.7242521923535687E-5</v>
      </c>
      <c r="U1319" s="10">
        <f>IFERROR(U1214/V$1264/INDEX('Category Mapping'!$B$42:$B$45,MATCH($A1319,'Category Mapping'!$A$42:$A$45,0),1),0)</f>
        <v>4.7242521923535687E-5</v>
      </c>
      <c r="V1319" s="10">
        <f>IFERROR(V1214/W$1264/INDEX('Category Mapping'!$B$42:$B$45,MATCH($A1319,'Category Mapping'!$A$42:$A$45,0),1),0)</f>
        <v>1.1076521989193738E-4</v>
      </c>
      <c r="W1319" s="10">
        <f>IFERROR(W1214/X$1264/INDEX('Category Mapping'!$B$42:$B$45,MATCH($A1319,'Category Mapping'!$A$42:$A$45,0),1),0)</f>
        <v>1.1076521989193738E-4</v>
      </c>
      <c r="X1319" s="10">
        <f>IFERROR(X1214/Y$1264/INDEX('Category Mapping'!$B$42:$B$45,MATCH($A1319,'Category Mapping'!$A$42:$A$45,0),1),0)</f>
        <v>1.1076521989193738E-4</v>
      </c>
      <c r="Y1319" s="27"/>
      <c r="Z1319" s="32"/>
    </row>
    <row r="1320" spans="1:26" outlineLevel="1" x14ac:dyDescent="0.3">
      <c r="A1320" t="s">
        <v>163</v>
      </c>
      <c r="B1320" t="s">
        <v>66</v>
      </c>
      <c r="C1320" s="6" t="s">
        <v>141</v>
      </c>
      <c r="D1320" s="10">
        <f>IFERROR(D1215/E$1264/INDEX('Category Mapping'!$B$42:$B$45,MATCH($A1320,'Category Mapping'!$A$42:$A$45,0),1),0)</f>
        <v>1.7120851168100183E-6</v>
      </c>
      <c r="E1320" s="10">
        <f>IFERROR(E1215/F$1264/INDEX('Category Mapping'!$B$42:$B$45,MATCH($A1320,'Category Mapping'!$A$42:$A$45,0),1),0)</f>
        <v>2.464717527806842E-4</v>
      </c>
      <c r="F1320" s="10">
        <f>IFERROR(F1215/G$1264/INDEX('Category Mapping'!$B$42:$B$45,MATCH($A1320,'Category Mapping'!$A$42:$A$45,0),1),0)</f>
        <v>0</v>
      </c>
      <c r="G1320" s="10">
        <f>IFERROR(G1215/H$1264/INDEX('Category Mapping'!$B$42:$B$45,MATCH($A1320,'Category Mapping'!$A$42:$A$45,0),1),0)</f>
        <v>4.905816428094533E-5</v>
      </c>
      <c r="H1320" s="10">
        <f>IFERROR(H1215/I$1264/INDEX('Category Mapping'!$B$42:$B$45,MATCH($A1320,'Category Mapping'!$A$42:$A$45,0),1),0)</f>
        <v>3.9501195331488316E-5</v>
      </c>
      <c r="I1320" s="10">
        <f>IFERROR(I1215/J$1264/INDEX('Category Mapping'!$B$42:$B$45,MATCH($A1320,'Category Mapping'!$A$42:$A$45,0),1),0)</f>
        <v>3.9501195331488316E-5</v>
      </c>
      <c r="J1320" s="10">
        <f>IFERROR(J1215/K$1264/INDEX('Category Mapping'!$B$42:$B$45,MATCH($A1320,'Category Mapping'!$A$42:$A$45,0),1),0)</f>
        <v>2.5708515026077261E-6</v>
      </c>
      <c r="K1320" s="10">
        <f>IFERROR(K1215/L$1264/INDEX('Category Mapping'!$B$42:$B$45,MATCH($A1320,'Category Mapping'!$A$42:$A$45,0),1),0)</f>
        <v>2.2978932381597793E-4</v>
      </c>
      <c r="L1320" s="10">
        <f>IFERROR(L1215/M$1264/INDEX('Category Mapping'!$B$42:$B$45,MATCH($A1320,'Category Mapping'!$A$42:$A$45,0),1),0)</f>
        <v>0</v>
      </c>
      <c r="M1320" s="10">
        <f>IFERROR(M1215/N$1264/INDEX('Category Mapping'!$B$42:$B$45,MATCH($A1320,'Category Mapping'!$A$42:$A$45,0),1),0)</f>
        <v>5.3031211164704057E-5</v>
      </c>
      <c r="N1320" s="10">
        <f>IFERROR(N1215/O$1264/INDEX('Category Mapping'!$B$42:$B$45,MATCH($A1320,'Category Mapping'!$A$42:$A$45,0),1),0)</f>
        <v>5.3031211164704057E-5</v>
      </c>
      <c r="O1320" s="10">
        <f>IFERROR(O1215/P$1264/INDEX('Category Mapping'!$B$42:$B$45,MATCH($A1320,'Category Mapping'!$A$42:$A$45,0),1),0)</f>
        <v>5.3031211164704057E-5</v>
      </c>
      <c r="P1320" s="10">
        <f>IFERROR(P1215/Q$1264/INDEX('Category Mapping'!$B$42:$B$45,MATCH($A1320,'Category Mapping'!$A$42:$A$45,0),1),0)</f>
        <v>4.7389942694245862E-5</v>
      </c>
      <c r="Q1320" s="10">
        <f>IFERROR(Q1215/R$1264/INDEX('Category Mapping'!$B$42:$B$45,MATCH($A1320,'Category Mapping'!$A$42:$A$45,0),1),0)</f>
        <v>4.7389942694245862E-5</v>
      </c>
      <c r="R1320" s="10">
        <f>IFERROR(R1215/S$1264/INDEX('Category Mapping'!$B$42:$B$45,MATCH($A1320,'Category Mapping'!$A$42:$A$45,0),1),0)</f>
        <v>4.7389942694245862E-5</v>
      </c>
      <c r="S1320" s="10">
        <f>IFERROR(S1215/T$1264/INDEX('Category Mapping'!$B$42:$B$45,MATCH($A1320,'Category Mapping'!$A$42:$A$45,0),1),0)</f>
        <v>4.7389942694245862E-5</v>
      </c>
      <c r="T1320" s="10">
        <f>IFERROR(T1215/U$1264/INDEX('Category Mapping'!$B$42:$B$45,MATCH($A1320,'Category Mapping'!$A$42:$A$45,0),1),0)</f>
        <v>4.7389942694245862E-5</v>
      </c>
      <c r="U1320" s="10">
        <f>IFERROR(U1215/V$1264/INDEX('Category Mapping'!$B$42:$B$45,MATCH($A1320,'Category Mapping'!$A$42:$A$45,0),1),0)</f>
        <v>4.7389942694245862E-5</v>
      </c>
      <c r="V1320" s="10">
        <f>IFERROR(V1215/W$1264/INDEX('Category Mapping'!$B$42:$B$45,MATCH($A1320,'Category Mapping'!$A$42:$A$45,0),1),0)</f>
        <v>1.1080374087396151E-4</v>
      </c>
      <c r="W1320" s="10">
        <f>IFERROR(W1215/X$1264/INDEX('Category Mapping'!$B$42:$B$45,MATCH($A1320,'Category Mapping'!$A$42:$A$45,0),1),0)</f>
        <v>1.1080374087396151E-4</v>
      </c>
      <c r="X1320" s="10">
        <f>IFERROR(X1215/Y$1264/INDEX('Category Mapping'!$B$42:$B$45,MATCH($A1320,'Category Mapping'!$A$42:$A$45,0),1),0)</f>
        <v>1.1080374087396151E-4</v>
      </c>
      <c r="Y1320" s="27"/>
      <c r="Z1320" s="32"/>
    </row>
    <row r="1321" spans="1:26" outlineLevel="1" x14ac:dyDescent="0.3">
      <c r="A1321" t="s">
        <v>163</v>
      </c>
      <c r="B1321" t="s">
        <v>67</v>
      </c>
      <c r="C1321" s="6" t="s">
        <v>142</v>
      </c>
      <c r="D1321" s="10">
        <f>IFERROR(D1216/E$1264/INDEX('Category Mapping'!$B$42:$B$45,MATCH($A1321,'Category Mapping'!$A$42:$A$45,0),1),0)</f>
        <v>1.7120851168100183E-6</v>
      </c>
      <c r="E1321" s="10">
        <f>IFERROR(E1216/F$1264/INDEX('Category Mapping'!$B$42:$B$45,MATCH($A1321,'Category Mapping'!$A$42:$A$45,0),1),0)</f>
        <v>2.704791138747928E-4</v>
      </c>
      <c r="F1321" s="10">
        <f>IFERROR(F1216/G$1264/INDEX('Category Mapping'!$B$42:$B$45,MATCH($A1321,'Category Mapping'!$A$42:$A$45,0),1),0)</f>
        <v>0</v>
      </c>
      <c r="G1321" s="10">
        <f>IFERROR(G1216/H$1264/INDEX('Category Mapping'!$B$42:$B$45,MATCH($A1321,'Category Mapping'!$A$42:$A$45,0),1),0)</f>
        <v>6.1043906080042855E-5</v>
      </c>
      <c r="H1321" s="10">
        <f>IFERROR(H1216/I$1264/INDEX('Category Mapping'!$B$42:$B$45,MATCH($A1321,'Category Mapping'!$A$42:$A$45,0),1),0)</f>
        <v>4.1458301052765733E-5</v>
      </c>
      <c r="I1321" s="10">
        <f>IFERROR(I1216/J$1264/INDEX('Category Mapping'!$B$42:$B$45,MATCH($A1321,'Category Mapping'!$A$42:$A$45,0),1),0)</f>
        <v>4.1458301052765733E-5</v>
      </c>
      <c r="J1321" s="10">
        <f>IFERROR(J1216/K$1264/INDEX('Category Mapping'!$B$42:$B$45,MATCH($A1321,'Category Mapping'!$A$42:$A$45,0),1),0)</f>
        <v>2.5154239294940654E-6</v>
      </c>
      <c r="K1321" s="10">
        <f>IFERROR(K1216/L$1264/INDEX('Category Mapping'!$B$42:$B$45,MATCH($A1321,'Category Mapping'!$A$42:$A$45,0),1),0)</f>
        <v>2.3716758996236766E-4</v>
      </c>
      <c r="L1321" s="10">
        <f>IFERROR(L1216/M$1264/INDEX('Category Mapping'!$B$42:$B$45,MATCH($A1321,'Category Mapping'!$A$42:$A$45,0),1),0)</f>
        <v>0</v>
      </c>
      <c r="M1321" s="10">
        <f>IFERROR(M1216/N$1264/INDEX('Category Mapping'!$B$42:$B$45,MATCH($A1321,'Category Mapping'!$A$42:$A$45,0),1),0)</f>
        <v>5.5787439586984333E-5</v>
      </c>
      <c r="N1321" s="10">
        <f>IFERROR(N1216/O$1264/INDEX('Category Mapping'!$B$42:$B$45,MATCH($A1321,'Category Mapping'!$A$42:$A$45,0),1),0)</f>
        <v>5.5787439586984333E-5</v>
      </c>
      <c r="O1321" s="10">
        <f>IFERROR(O1216/P$1264/INDEX('Category Mapping'!$B$42:$B$45,MATCH($A1321,'Category Mapping'!$A$42:$A$45,0),1),0)</f>
        <v>5.5787439586984333E-5</v>
      </c>
      <c r="P1321" s="10">
        <f>IFERROR(P1216/Q$1264/INDEX('Category Mapping'!$B$42:$B$45,MATCH($A1321,'Category Mapping'!$A$42:$A$45,0),1),0)</f>
        <v>4.7186244099875457E-5</v>
      </c>
      <c r="Q1321" s="10">
        <f>IFERROR(Q1216/R$1264/INDEX('Category Mapping'!$B$42:$B$45,MATCH($A1321,'Category Mapping'!$A$42:$A$45,0),1),0)</f>
        <v>4.7186244099875457E-5</v>
      </c>
      <c r="R1321" s="10">
        <f>IFERROR(R1216/S$1264/INDEX('Category Mapping'!$B$42:$B$45,MATCH($A1321,'Category Mapping'!$A$42:$A$45,0),1),0)</f>
        <v>4.7186244099875457E-5</v>
      </c>
      <c r="S1321" s="10">
        <f>IFERROR(S1216/T$1264/INDEX('Category Mapping'!$B$42:$B$45,MATCH($A1321,'Category Mapping'!$A$42:$A$45,0),1),0)</f>
        <v>4.7186244099875457E-5</v>
      </c>
      <c r="T1321" s="10">
        <f>IFERROR(T1216/U$1264/INDEX('Category Mapping'!$B$42:$B$45,MATCH($A1321,'Category Mapping'!$A$42:$A$45,0),1),0)</f>
        <v>4.7186244099875457E-5</v>
      </c>
      <c r="U1321" s="10">
        <f>IFERROR(U1216/V$1264/INDEX('Category Mapping'!$B$42:$B$45,MATCH($A1321,'Category Mapping'!$A$42:$A$45,0),1),0)</f>
        <v>4.7186244099875457E-5</v>
      </c>
      <c r="V1321" s="10">
        <f>IFERROR(V1216/W$1264/INDEX('Category Mapping'!$B$42:$B$45,MATCH($A1321,'Category Mapping'!$A$42:$A$45,0),1),0)</f>
        <v>1.1122250122693363E-4</v>
      </c>
      <c r="W1321" s="10">
        <f>IFERROR(W1216/X$1264/INDEX('Category Mapping'!$B$42:$B$45,MATCH($A1321,'Category Mapping'!$A$42:$A$45,0),1),0)</f>
        <v>1.1122250122693363E-4</v>
      </c>
      <c r="X1321" s="10">
        <f>IFERROR(X1216/Y$1264/INDEX('Category Mapping'!$B$42:$B$45,MATCH($A1321,'Category Mapping'!$A$42:$A$45,0),1),0)</f>
        <v>1.1122250122693363E-4</v>
      </c>
      <c r="Y1321" s="27"/>
      <c r="Z1321" s="32"/>
    </row>
    <row r="1322" spans="1:26" outlineLevel="1" x14ac:dyDescent="0.3">
      <c r="A1322" t="s">
        <v>163</v>
      </c>
      <c r="B1322" t="s">
        <v>68</v>
      </c>
      <c r="C1322" s="6" t="s">
        <v>143</v>
      </c>
      <c r="D1322" s="10">
        <f>IFERROR(D1217/E$1264/INDEX('Category Mapping'!$B$42:$B$45,MATCH($A1322,'Category Mapping'!$A$42:$A$45,0),1),0)</f>
        <v>2.5003917606847622E-6</v>
      </c>
      <c r="E1322" s="10">
        <f>IFERROR(E1217/F$1264/INDEX('Category Mapping'!$B$42:$B$45,MATCH($A1322,'Category Mapping'!$A$42:$A$45,0),1),0)</f>
        <v>2.995550393682835E-4</v>
      </c>
      <c r="F1322" s="10">
        <f>IFERROR(F1217/G$1264/INDEX('Category Mapping'!$B$42:$B$45,MATCH($A1322,'Category Mapping'!$A$42:$A$45,0),1),0)</f>
        <v>0</v>
      </c>
      <c r="G1322" s="10">
        <f>IFERROR(G1217/H$1264/INDEX('Category Mapping'!$B$42:$B$45,MATCH($A1322,'Category Mapping'!$A$42:$A$45,0),1),0)</f>
        <v>8.0065050681729362E-5</v>
      </c>
      <c r="H1322" s="10">
        <f>IFERROR(H1217/I$1264/INDEX('Category Mapping'!$B$42:$B$45,MATCH($A1322,'Category Mapping'!$A$42:$A$45,0),1),0)</f>
        <v>5.4757272145397388E-5</v>
      </c>
      <c r="I1322" s="10">
        <f>IFERROR(I1217/J$1264/INDEX('Category Mapping'!$B$42:$B$45,MATCH($A1322,'Category Mapping'!$A$42:$A$45,0),1),0)</f>
        <v>5.4757272145397388E-5</v>
      </c>
      <c r="J1322" s="10">
        <f>IFERROR(J1217/K$1264/INDEX('Category Mapping'!$B$42:$B$45,MATCH($A1322,'Category Mapping'!$A$42:$A$45,0),1),0)</f>
        <v>3.2686665215572631E-6</v>
      </c>
      <c r="K1322" s="10">
        <f>IFERROR(K1217/L$1264/INDEX('Category Mapping'!$B$42:$B$45,MATCH($A1322,'Category Mapping'!$A$42:$A$45,0),1),0)</f>
        <v>2.5487405836639395E-4</v>
      </c>
      <c r="L1322" s="10">
        <f>IFERROR(L1217/M$1264/INDEX('Category Mapping'!$B$42:$B$45,MATCH($A1322,'Category Mapping'!$A$42:$A$45,0),1),0)</f>
        <v>0</v>
      </c>
      <c r="M1322" s="10">
        <f>IFERROR(M1217/N$1264/INDEX('Category Mapping'!$B$42:$B$45,MATCH($A1322,'Category Mapping'!$A$42:$A$45,0),1),0)</f>
        <v>6.4272098819047845E-5</v>
      </c>
      <c r="N1322" s="10">
        <f>IFERROR(N1217/O$1264/INDEX('Category Mapping'!$B$42:$B$45,MATCH($A1322,'Category Mapping'!$A$42:$A$45,0),1),0)</f>
        <v>6.4272098819047845E-5</v>
      </c>
      <c r="O1322" s="10">
        <f>IFERROR(O1217/P$1264/INDEX('Category Mapping'!$B$42:$B$45,MATCH($A1322,'Category Mapping'!$A$42:$A$45,0),1),0)</f>
        <v>6.4272098819047845E-5</v>
      </c>
      <c r="P1322" s="10">
        <f>IFERROR(P1217/Q$1264/INDEX('Category Mapping'!$B$42:$B$45,MATCH($A1322,'Category Mapping'!$A$42:$A$45,0),1),0)</f>
        <v>4.84754281236882E-5</v>
      </c>
      <c r="Q1322" s="10">
        <f>IFERROR(Q1217/R$1264/INDEX('Category Mapping'!$B$42:$B$45,MATCH($A1322,'Category Mapping'!$A$42:$A$45,0),1),0)</f>
        <v>4.84754281236882E-5</v>
      </c>
      <c r="R1322" s="10">
        <f>IFERROR(R1217/S$1264/INDEX('Category Mapping'!$B$42:$B$45,MATCH($A1322,'Category Mapping'!$A$42:$A$45,0),1),0)</f>
        <v>4.84754281236882E-5</v>
      </c>
      <c r="S1322" s="10">
        <f>IFERROR(S1217/T$1264/INDEX('Category Mapping'!$B$42:$B$45,MATCH($A1322,'Category Mapping'!$A$42:$A$45,0),1),0)</f>
        <v>4.84754281236882E-5</v>
      </c>
      <c r="T1322" s="10">
        <f>IFERROR(T1217/U$1264/INDEX('Category Mapping'!$B$42:$B$45,MATCH($A1322,'Category Mapping'!$A$42:$A$45,0),1),0)</f>
        <v>4.84754281236882E-5</v>
      </c>
      <c r="U1322" s="10">
        <f>IFERROR(U1217/V$1264/INDEX('Category Mapping'!$B$42:$B$45,MATCH($A1322,'Category Mapping'!$A$42:$A$45,0),1),0)</f>
        <v>4.84754281236882E-5</v>
      </c>
      <c r="V1322" s="10">
        <f>IFERROR(V1217/W$1264/INDEX('Category Mapping'!$B$42:$B$45,MATCH($A1322,'Category Mapping'!$A$42:$A$45,0),1),0)</f>
        <v>1.1209885356798288E-4</v>
      </c>
      <c r="W1322" s="10">
        <f>IFERROR(W1217/X$1264/INDEX('Category Mapping'!$B$42:$B$45,MATCH($A1322,'Category Mapping'!$A$42:$A$45,0),1),0)</f>
        <v>1.1209885356798288E-4</v>
      </c>
      <c r="X1322" s="10">
        <f>IFERROR(X1217/Y$1264/INDEX('Category Mapping'!$B$42:$B$45,MATCH($A1322,'Category Mapping'!$A$42:$A$45,0),1),0)</f>
        <v>1.1209885356798288E-4</v>
      </c>
      <c r="Y1322" s="27"/>
      <c r="Z1322" s="32"/>
    </row>
    <row r="1323" spans="1:26" outlineLevel="1" x14ac:dyDescent="0.3">
      <c r="A1323" t="s">
        <v>163</v>
      </c>
      <c r="B1323" t="s">
        <v>69</v>
      </c>
      <c r="C1323" s="6" t="s">
        <v>144</v>
      </c>
      <c r="D1323" s="10">
        <f>IFERROR(D1218/E$1264/INDEX('Category Mapping'!$B$42:$B$45,MATCH($A1323,'Category Mapping'!$A$42:$A$45,0),1),0)</f>
        <v>2.8345881765918357E-6</v>
      </c>
      <c r="E1323" s="10">
        <f>IFERROR(E1218/F$1264/INDEX('Category Mapping'!$B$42:$B$45,MATCH($A1323,'Category Mapping'!$A$42:$A$45,0),1),0)</f>
        <v>3.1147672070453781E-4</v>
      </c>
      <c r="F1323" s="10">
        <f>IFERROR(F1218/G$1264/INDEX('Category Mapping'!$B$42:$B$45,MATCH($A1323,'Category Mapping'!$A$42:$A$45,0),1),0)</f>
        <v>0</v>
      </c>
      <c r="G1323" s="10">
        <f>IFERROR(G1218/H$1264/INDEX('Category Mapping'!$B$42:$B$45,MATCH($A1323,'Category Mapping'!$A$42:$A$45,0),1),0)</f>
        <v>5.1452449007566013E-5</v>
      </c>
      <c r="H1323" s="10">
        <f>IFERROR(H1218/I$1264/INDEX('Category Mapping'!$B$42:$B$45,MATCH($A1323,'Category Mapping'!$A$42:$A$45,0),1),0)</f>
        <v>8.4726191359554099E-5</v>
      </c>
      <c r="I1323" s="10">
        <f>IFERROR(I1218/J$1264/INDEX('Category Mapping'!$B$42:$B$45,MATCH($A1323,'Category Mapping'!$A$42:$A$45,0),1),0)</f>
        <v>8.4726191359554099E-5</v>
      </c>
      <c r="J1323" s="10">
        <f>IFERROR(J1218/K$1264/INDEX('Category Mapping'!$B$42:$B$45,MATCH($A1323,'Category Mapping'!$A$42:$A$45,0),1),0)</f>
        <v>4.3497211121516837E-6</v>
      </c>
      <c r="K1323" s="10">
        <f>IFERROR(K1218/L$1264/INDEX('Category Mapping'!$B$42:$B$45,MATCH($A1323,'Category Mapping'!$A$42:$A$45,0),1),0)</f>
        <v>2.8984163229897673E-4</v>
      </c>
      <c r="L1323" s="10">
        <f>IFERROR(L1218/M$1264/INDEX('Category Mapping'!$B$42:$B$45,MATCH($A1323,'Category Mapping'!$A$42:$A$45,0),1),0)</f>
        <v>0</v>
      </c>
      <c r="M1323" s="10">
        <f>IFERROR(M1218/N$1264/INDEX('Category Mapping'!$B$42:$B$45,MATCH($A1323,'Category Mapping'!$A$42:$A$45,0),1),0)</f>
        <v>9.3240086276610105E-5</v>
      </c>
      <c r="N1323" s="10">
        <f>IFERROR(N1218/O$1264/INDEX('Category Mapping'!$B$42:$B$45,MATCH($A1323,'Category Mapping'!$A$42:$A$45,0),1),0)</f>
        <v>9.3240086276610105E-5</v>
      </c>
      <c r="O1323" s="10">
        <f>IFERROR(O1218/P$1264/INDEX('Category Mapping'!$B$42:$B$45,MATCH($A1323,'Category Mapping'!$A$42:$A$45,0),1),0)</f>
        <v>9.3240086276610105E-5</v>
      </c>
      <c r="P1323" s="10">
        <f>IFERROR(P1218/Q$1264/INDEX('Category Mapping'!$B$42:$B$45,MATCH($A1323,'Category Mapping'!$A$42:$A$45,0),1),0)</f>
        <v>7.0905472146898401E-5</v>
      </c>
      <c r="Q1323" s="10">
        <f>IFERROR(Q1218/R$1264/INDEX('Category Mapping'!$B$42:$B$45,MATCH($A1323,'Category Mapping'!$A$42:$A$45,0),1),0)</f>
        <v>7.0905472146898401E-5</v>
      </c>
      <c r="R1323" s="10">
        <f>IFERROR(R1218/S$1264/INDEX('Category Mapping'!$B$42:$B$45,MATCH($A1323,'Category Mapping'!$A$42:$A$45,0),1),0)</f>
        <v>7.0905472146898401E-5</v>
      </c>
      <c r="S1323" s="10">
        <f>IFERROR(S1218/T$1264/INDEX('Category Mapping'!$B$42:$B$45,MATCH($A1323,'Category Mapping'!$A$42:$A$45,0),1),0)</f>
        <v>7.0905472146898401E-5</v>
      </c>
      <c r="T1323" s="10">
        <f>IFERROR(T1218/U$1264/INDEX('Category Mapping'!$B$42:$B$45,MATCH($A1323,'Category Mapping'!$A$42:$A$45,0),1),0)</f>
        <v>7.0905472146898401E-5</v>
      </c>
      <c r="U1323" s="10">
        <f>IFERROR(U1218/V$1264/INDEX('Category Mapping'!$B$42:$B$45,MATCH($A1323,'Category Mapping'!$A$42:$A$45,0),1),0)</f>
        <v>7.0905472146898401E-5</v>
      </c>
      <c r="V1323" s="10">
        <f>IFERROR(V1218/W$1264/INDEX('Category Mapping'!$B$42:$B$45,MATCH($A1323,'Category Mapping'!$A$42:$A$45,0),1),0)</f>
        <v>1.1328896552068036E-4</v>
      </c>
      <c r="W1323" s="10">
        <f>IFERROR(W1218/X$1264/INDEX('Category Mapping'!$B$42:$B$45,MATCH($A1323,'Category Mapping'!$A$42:$A$45,0),1),0)</f>
        <v>1.1328896552068036E-4</v>
      </c>
      <c r="X1323" s="10">
        <f>IFERROR(X1218/Y$1264/INDEX('Category Mapping'!$B$42:$B$45,MATCH($A1323,'Category Mapping'!$A$42:$A$45,0),1),0)</f>
        <v>1.1328896552068036E-4</v>
      </c>
      <c r="Y1323" s="27"/>
      <c r="Z1323" s="32"/>
    </row>
    <row r="1324" spans="1:26" outlineLevel="1" x14ac:dyDescent="0.3">
      <c r="A1324" t="s">
        <v>163</v>
      </c>
      <c r="B1324" t="s">
        <v>70</v>
      </c>
      <c r="C1324" s="6" t="s">
        <v>145</v>
      </c>
      <c r="D1324" s="10">
        <f>IFERROR(D1219/E$1264/INDEX('Category Mapping'!$B$42:$B$45,MATCH($A1324,'Category Mapping'!$A$42:$A$45,0),1),0)</f>
        <v>2.9357899757796579E-6</v>
      </c>
      <c r="E1324" s="10">
        <f>IFERROR(E1219/F$1264/INDEX('Category Mapping'!$B$42:$B$45,MATCH($A1324,'Category Mapping'!$A$42:$A$45,0),1),0)</f>
        <v>3.00222210545208E-4</v>
      </c>
      <c r="F1324" s="10">
        <f>IFERROR(F1219/G$1264/INDEX('Category Mapping'!$B$42:$B$45,MATCH($A1324,'Category Mapping'!$A$42:$A$45,0),1),0)</f>
        <v>0</v>
      </c>
      <c r="G1324" s="10">
        <f>IFERROR(G1219/H$1264/INDEX('Category Mapping'!$B$42:$B$45,MATCH($A1324,'Category Mapping'!$A$42:$A$45,0),1),0)</f>
        <v>4.9917566034967226E-5</v>
      </c>
      <c r="H1324" s="10">
        <f>IFERROR(H1219/I$1264/INDEX('Category Mapping'!$B$42:$B$45,MATCH($A1324,'Category Mapping'!$A$42:$A$45,0),1),0)</f>
        <v>1.0929176080792029E-4</v>
      </c>
      <c r="I1324" s="10">
        <f>IFERROR(I1219/J$1264/INDEX('Category Mapping'!$B$42:$B$45,MATCH($A1324,'Category Mapping'!$A$42:$A$45,0),1),0)</f>
        <v>1.0929176080792029E-4</v>
      </c>
      <c r="J1324" s="10">
        <f>IFERROR(J1219/K$1264/INDEX('Category Mapping'!$B$42:$B$45,MATCH($A1324,'Category Mapping'!$A$42:$A$45,0),1),0)</f>
        <v>3.7017430411088846E-6</v>
      </c>
      <c r="K1324" s="10">
        <f>IFERROR(K1219/L$1264/INDEX('Category Mapping'!$B$42:$B$45,MATCH($A1324,'Category Mapping'!$A$42:$A$45,0),1),0)</f>
        <v>3.4490587657671568E-4</v>
      </c>
      <c r="L1324" s="10">
        <f>IFERROR(L1219/M$1264/INDEX('Category Mapping'!$B$42:$B$45,MATCH($A1324,'Category Mapping'!$A$42:$A$45,0),1),0)</f>
        <v>0</v>
      </c>
      <c r="M1324" s="10">
        <f>IFERROR(M1219/N$1264/INDEX('Category Mapping'!$B$42:$B$45,MATCH($A1324,'Category Mapping'!$A$42:$A$45,0),1),0)</f>
        <v>1.2647504174140241E-4</v>
      </c>
      <c r="N1324" s="10">
        <f>IFERROR(N1219/O$1264/INDEX('Category Mapping'!$B$42:$B$45,MATCH($A1324,'Category Mapping'!$A$42:$A$45,0),1),0)</f>
        <v>1.2647504174140241E-4</v>
      </c>
      <c r="O1324" s="10">
        <f>IFERROR(O1219/P$1264/INDEX('Category Mapping'!$B$42:$B$45,MATCH($A1324,'Category Mapping'!$A$42:$A$45,0),1),0)</f>
        <v>1.2647504174140241E-4</v>
      </c>
      <c r="P1324" s="10">
        <f>IFERROR(P1219/Q$1264/INDEX('Category Mapping'!$B$42:$B$45,MATCH($A1324,'Category Mapping'!$A$42:$A$45,0),1),0)</f>
        <v>1.4143893335808025E-4</v>
      </c>
      <c r="Q1324" s="10">
        <f>IFERROR(Q1219/R$1264/INDEX('Category Mapping'!$B$42:$B$45,MATCH($A1324,'Category Mapping'!$A$42:$A$45,0),1),0)</f>
        <v>1.4143893335808025E-4</v>
      </c>
      <c r="R1324" s="10">
        <f>IFERROR(R1219/S$1264/INDEX('Category Mapping'!$B$42:$B$45,MATCH($A1324,'Category Mapping'!$A$42:$A$45,0),1),0)</f>
        <v>1.4143893335808025E-4</v>
      </c>
      <c r="S1324" s="10">
        <f>IFERROR(S1219/T$1264/INDEX('Category Mapping'!$B$42:$B$45,MATCH($A1324,'Category Mapping'!$A$42:$A$45,0),1),0)</f>
        <v>1.4143893335808025E-4</v>
      </c>
      <c r="T1324" s="10">
        <f>IFERROR(T1219/U$1264/INDEX('Category Mapping'!$B$42:$B$45,MATCH($A1324,'Category Mapping'!$A$42:$A$45,0),1),0)</f>
        <v>1.4143893335808025E-4</v>
      </c>
      <c r="U1324" s="10">
        <f>IFERROR(U1219/V$1264/INDEX('Category Mapping'!$B$42:$B$45,MATCH($A1324,'Category Mapping'!$A$42:$A$45,0),1),0)</f>
        <v>1.4143893335808025E-4</v>
      </c>
      <c r="V1324" s="10">
        <f>IFERROR(V1219/W$1264/INDEX('Category Mapping'!$B$42:$B$45,MATCH($A1324,'Category Mapping'!$A$42:$A$45,0),1),0)</f>
        <v>1.1424267047885875E-4</v>
      </c>
      <c r="W1324" s="10">
        <f>IFERROR(W1219/X$1264/INDEX('Category Mapping'!$B$42:$B$45,MATCH($A1324,'Category Mapping'!$A$42:$A$45,0),1),0)</f>
        <v>1.1424267047885875E-4</v>
      </c>
      <c r="X1324" s="10">
        <f>IFERROR(X1219/Y$1264/INDEX('Category Mapping'!$B$42:$B$45,MATCH($A1324,'Category Mapping'!$A$42:$A$45,0),1),0)</f>
        <v>1.1424267047885875E-4</v>
      </c>
      <c r="Y1324" s="27"/>
      <c r="Z1324" s="32"/>
    </row>
    <row r="1325" spans="1:26" outlineLevel="1" x14ac:dyDescent="0.3">
      <c r="A1325" t="s">
        <v>163</v>
      </c>
      <c r="B1325" t="s">
        <v>71</v>
      </c>
      <c r="C1325" s="6" t="s">
        <v>146</v>
      </c>
      <c r="D1325" s="10">
        <f>IFERROR(D1220/E$1264/INDEX('Category Mapping'!$B$42:$B$45,MATCH($A1325,'Category Mapping'!$A$42:$A$45,0),1),0)</f>
        <v>2.9615280134961616E-6</v>
      </c>
      <c r="E1325" s="10">
        <f>IFERROR(E1220/F$1264/INDEX('Category Mapping'!$B$42:$B$45,MATCH($A1325,'Category Mapping'!$A$42:$A$45,0),1),0)</f>
        <v>2.9991798621109507E-4</v>
      </c>
      <c r="F1325" s="10">
        <f>IFERROR(F1220/G$1264/INDEX('Category Mapping'!$B$42:$B$45,MATCH($A1325,'Category Mapping'!$A$42:$A$45,0),1),0)</f>
        <v>0</v>
      </c>
      <c r="G1325" s="10">
        <f>IFERROR(G1220/H$1264/INDEX('Category Mapping'!$B$42:$B$45,MATCH($A1325,'Category Mapping'!$A$42:$A$45,0),1),0)</f>
        <v>5.1113878491125476E-5</v>
      </c>
      <c r="H1325" s="10">
        <f>IFERROR(H1220/I$1264/INDEX('Category Mapping'!$B$42:$B$45,MATCH($A1325,'Category Mapping'!$A$42:$A$45,0),1),0)</f>
        <v>1.1604970005942381E-4</v>
      </c>
      <c r="I1325" s="10">
        <f>IFERROR(I1220/J$1264/INDEX('Category Mapping'!$B$42:$B$45,MATCH($A1325,'Category Mapping'!$A$42:$A$45,0),1),0)</f>
        <v>1.1604970005942381E-4</v>
      </c>
      <c r="J1325" s="10">
        <f>IFERROR(J1220/K$1264/INDEX('Category Mapping'!$B$42:$B$45,MATCH($A1325,'Category Mapping'!$A$42:$A$45,0),1),0)</f>
        <v>2.7337541447833366E-6</v>
      </c>
      <c r="K1325" s="10">
        <f>IFERROR(K1220/L$1264/INDEX('Category Mapping'!$B$42:$B$45,MATCH($A1325,'Category Mapping'!$A$42:$A$45,0),1),0)</f>
        <v>4.1680694577383613E-4</v>
      </c>
      <c r="L1325" s="10">
        <f>IFERROR(L1220/M$1264/INDEX('Category Mapping'!$B$42:$B$45,MATCH($A1325,'Category Mapping'!$A$42:$A$45,0),1),0)</f>
        <v>0</v>
      </c>
      <c r="M1325" s="10">
        <f>IFERROR(M1220/N$1264/INDEX('Category Mapping'!$B$42:$B$45,MATCH($A1325,'Category Mapping'!$A$42:$A$45,0),1),0)</f>
        <v>1.5616887502081184E-4</v>
      </c>
      <c r="N1325" s="10">
        <f>IFERROR(N1220/O$1264/INDEX('Category Mapping'!$B$42:$B$45,MATCH($A1325,'Category Mapping'!$A$42:$A$45,0),1),0)</f>
        <v>1.5616887502081184E-4</v>
      </c>
      <c r="O1325" s="10">
        <f>IFERROR(O1220/P$1264/INDEX('Category Mapping'!$B$42:$B$45,MATCH($A1325,'Category Mapping'!$A$42:$A$45,0),1),0)</f>
        <v>1.5616887502081184E-4</v>
      </c>
      <c r="P1325" s="10">
        <f>IFERROR(P1220/Q$1264/INDEX('Category Mapping'!$B$42:$B$45,MATCH($A1325,'Category Mapping'!$A$42:$A$45,0),1),0)</f>
        <v>1.5699016135395225E-4</v>
      </c>
      <c r="Q1325" s="10">
        <f>IFERROR(Q1220/R$1264/INDEX('Category Mapping'!$B$42:$B$45,MATCH($A1325,'Category Mapping'!$A$42:$A$45,0),1),0)</f>
        <v>1.5699016135395225E-4</v>
      </c>
      <c r="R1325" s="10">
        <f>IFERROR(R1220/S$1264/INDEX('Category Mapping'!$B$42:$B$45,MATCH($A1325,'Category Mapping'!$A$42:$A$45,0),1),0)</f>
        <v>1.5699016135395225E-4</v>
      </c>
      <c r="S1325" s="10">
        <f>IFERROR(S1220/T$1264/INDEX('Category Mapping'!$B$42:$B$45,MATCH($A1325,'Category Mapping'!$A$42:$A$45,0),1),0)</f>
        <v>1.5699016135395225E-4</v>
      </c>
      <c r="T1325" s="10">
        <f>IFERROR(T1220/U$1264/INDEX('Category Mapping'!$B$42:$B$45,MATCH($A1325,'Category Mapping'!$A$42:$A$45,0),1),0)</f>
        <v>1.5699016135395225E-4</v>
      </c>
      <c r="U1325" s="10">
        <f>IFERROR(U1220/V$1264/INDEX('Category Mapping'!$B$42:$B$45,MATCH($A1325,'Category Mapping'!$A$42:$A$45,0),1),0)</f>
        <v>1.5699016135395225E-4</v>
      </c>
      <c r="V1325" s="10">
        <f>IFERROR(V1220/W$1264/INDEX('Category Mapping'!$B$42:$B$45,MATCH($A1325,'Category Mapping'!$A$42:$A$45,0),1),0)</f>
        <v>1.1455580878434533E-4</v>
      </c>
      <c r="W1325" s="10">
        <f>IFERROR(W1220/X$1264/INDEX('Category Mapping'!$B$42:$B$45,MATCH($A1325,'Category Mapping'!$A$42:$A$45,0),1),0)</f>
        <v>1.1455580878434533E-4</v>
      </c>
      <c r="X1325" s="10">
        <f>IFERROR(X1220/Y$1264/INDEX('Category Mapping'!$B$42:$B$45,MATCH($A1325,'Category Mapping'!$A$42:$A$45,0),1),0)</f>
        <v>1.1455580878434533E-4</v>
      </c>
      <c r="Y1325" s="27"/>
      <c r="Z1325" s="32"/>
    </row>
    <row r="1326" spans="1:26" outlineLevel="1" x14ac:dyDescent="0.3">
      <c r="A1326" t="s">
        <v>163</v>
      </c>
      <c r="B1326" t="s">
        <v>72</v>
      </c>
      <c r="C1326" s="6" t="s">
        <v>147</v>
      </c>
      <c r="D1326" s="10">
        <f>IFERROR(D1221/E$1264/INDEX('Category Mapping'!$B$42:$B$45,MATCH($A1326,'Category Mapping'!$A$42:$A$45,0),1),0)</f>
        <v>2.2274340622085473E-6</v>
      </c>
      <c r="E1326" s="10">
        <f>IFERROR(E1221/F$1264/INDEX('Category Mapping'!$B$42:$B$45,MATCH($A1326,'Category Mapping'!$A$42:$A$45,0),1),0)</f>
        <v>3.0534288306551411E-4</v>
      </c>
      <c r="F1326" s="10">
        <f>IFERROR(F1221/G$1264/INDEX('Category Mapping'!$B$42:$B$45,MATCH($A1326,'Category Mapping'!$A$42:$A$45,0),1),0)</f>
        <v>0</v>
      </c>
      <c r="G1326" s="10">
        <f>IFERROR(G1221/H$1264/INDEX('Category Mapping'!$B$42:$B$45,MATCH($A1326,'Category Mapping'!$A$42:$A$45,0),1),0)</f>
        <v>5.0007337643604825E-5</v>
      </c>
      <c r="H1326" s="10">
        <f>IFERROR(H1221/I$1264/INDEX('Category Mapping'!$B$42:$B$45,MATCH($A1326,'Category Mapping'!$A$42:$A$45,0),1),0)</f>
        <v>1.2156947486428364E-4</v>
      </c>
      <c r="I1326" s="10">
        <f>IFERROR(I1221/J$1264/INDEX('Category Mapping'!$B$42:$B$45,MATCH($A1326,'Category Mapping'!$A$42:$A$45,0),1),0)</f>
        <v>1.2156947486428364E-4</v>
      </c>
      <c r="J1326" s="10">
        <f>IFERROR(J1221/K$1264/INDEX('Category Mapping'!$B$42:$B$45,MATCH($A1326,'Category Mapping'!$A$42:$A$45,0),1),0)</f>
        <v>2.3266539365526076E-6</v>
      </c>
      <c r="K1326" s="10">
        <f>IFERROR(K1221/L$1264/INDEX('Category Mapping'!$B$42:$B$45,MATCH($A1326,'Category Mapping'!$A$42:$A$45,0),1),0)</f>
        <v>4.7260116352201934E-4</v>
      </c>
      <c r="L1326" s="10">
        <f>IFERROR(L1221/M$1264/INDEX('Category Mapping'!$B$42:$B$45,MATCH($A1326,'Category Mapping'!$A$42:$A$45,0),1),0)</f>
        <v>0</v>
      </c>
      <c r="M1326" s="10">
        <f>IFERROR(M1221/N$1264/INDEX('Category Mapping'!$B$42:$B$45,MATCH($A1326,'Category Mapping'!$A$42:$A$45,0),1),0)</f>
        <v>1.6491508515088091E-4</v>
      </c>
      <c r="N1326" s="10">
        <f>IFERROR(N1221/O$1264/INDEX('Category Mapping'!$B$42:$B$45,MATCH($A1326,'Category Mapping'!$A$42:$A$45,0),1),0)</f>
        <v>1.6491508515088091E-4</v>
      </c>
      <c r="O1326" s="10">
        <f>IFERROR(O1221/P$1264/INDEX('Category Mapping'!$B$42:$B$45,MATCH($A1326,'Category Mapping'!$A$42:$A$45,0),1),0)</f>
        <v>1.6491508515088091E-4</v>
      </c>
      <c r="P1326" s="10">
        <f>IFERROR(P1221/Q$1264/INDEX('Category Mapping'!$B$42:$B$45,MATCH($A1326,'Category Mapping'!$A$42:$A$45,0),1),0)</f>
        <v>1.4299501321675791E-4</v>
      </c>
      <c r="Q1326" s="10">
        <f>IFERROR(Q1221/R$1264/INDEX('Category Mapping'!$B$42:$B$45,MATCH($A1326,'Category Mapping'!$A$42:$A$45,0),1),0)</f>
        <v>1.4299501321675791E-4</v>
      </c>
      <c r="R1326" s="10">
        <f>IFERROR(R1221/S$1264/INDEX('Category Mapping'!$B$42:$B$45,MATCH($A1326,'Category Mapping'!$A$42:$A$45,0),1),0)</f>
        <v>1.4299501321675791E-4</v>
      </c>
      <c r="S1326" s="10">
        <f>IFERROR(S1221/T$1264/INDEX('Category Mapping'!$B$42:$B$45,MATCH($A1326,'Category Mapping'!$A$42:$A$45,0),1),0)</f>
        <v>1.4299501321675791E-4</v>
      </c>
      <c r="T1326" s="10">
        <f>IFERROR(T1221/U$1264/INDEX('Category Mapping'!$B$42:$B$45,MATCH($A1326,'Category Mapping'!$A$42:$A$45,0),1),0)</f>
        <v>1.4299501321675791E-4</v>
      </c>
      <c r="U1326" s="10">
        <f>IFERROR(U1221/V$1264/INDEX('Category Mapping'!$B$42:$B$45,MATCH($A1326,'Category Mapping'!$A$42:$A$45,0),1),0)</f>
        <v>1.4299501321675791E-4</v>
      </c>
      <c r="V1326" s="10">
        <f>IFERROR(V1221/W$1264/INDEX('Category Mapping'!$B$42:$B$45,MATCH($A1326,'Category Mapping'!$A$42:$A$45,0),1),0)</f>
        <v>1.1427125056229603E-4</v>
      </c>
      <c r="W1326" s="10">
        <f>IFERROR(W1221/X$1264/INDEX('Category Mapping'!$B$42:$B$45,MATCH($A1326,'Category Mapping'!$A$42:$A$45,0),1),0)</f>
        <v>1.1427125056229603E-4</v>
      </c>
      <c r="X1326" s="10">
        <f>IFERROR(X1221/Y$1264/INDEX('Category Mapping'!$B$42:$B$45,MATCH($A1326,'Category Mapping'!$A$42:$A$45,0),1),0)</f>
        <v>1.1427125056229603E-4</v>
      </c>
      <c r="Y1326" s="27"/>
      <c r="Z1326" s="32"/>
    </row>
    <row r="1327" spans="1:26" outlineLevel="1" x14ac:dyDescent="0.3">
      <c r="A1327" t="s">
        <v>163</v>
      </c>
      <c r="B1327" t="s">
        <v>73</v>
      </c>
      <c r="C1327" s="6" t="s">
        <v>148</v>
      </c>
      <c r="D1327" s="10">
        <f>IFERROR(D1222/E$1264/INDEX('Category Mapping'!$B$42:$B$45,MATCH($A1327,'Category Mapping'!$A$42:$A$45,0),1),0)</f>
        <v>2.2430368231107354E-6</v>
      </c>
      <c r="E1327" s="10">
        <f>IFERROR(E1222/F$1264/INDEX('Category Mapping'!$B$42:$B$45,MATCH($A1327,'Category Mapping'!$A$42:$A$45,0),1),0)</f>
        <v>3.3945665915149686E-4</v>
      </c>
      <c r="F1327" s="10">
        <f>IFERROR(F1222/G$1264/INDEX('Category Mapping'!$B$42:$B$45,MATCH($A1327,'Category Mapping'!$A$42:$A$45,0),1),0)</f>
        <v>0</v>
      </c>
      <c r="G1327" s="10">
        <f>IFERROR(G1222/H$1264/INDEX('Category Mapping'!$B$42:$B$45,MATCH($A1327,'Category Mapping'!$A$42:$A$45,0),1),0)</f>
        <v>5.0703039488769919E-5</v>
      </c>
      <c r="H1327" s="10">
        <f>IFERROR(H1222/I$1264/INDEX('Category Mapping'!$B$42:$B$45,MATCH($A1327,'Category Mapping'!$A$42:$A$45,0),1),0)</f>
        <v>1.2706212177379528E-4</v>
      </c>
      <c r="I1327" s="10">
        <f>IFERROR(I1222/J$1264/INDEX('Category Mapping'!$B$42:$B$45,MATCH($A1327,'Category Mapping'!$A$42:$A$45,0),1),0)</f>
        <v>1.2706212177379528E-4</v>
      </c>
      <c r="J1327" s="10">
        <f>IFERROR(J1222/K$1264/INDEX('Category Mapping'!$B$42:$B$45,MATCH($A1327,'Category Mapping'!$A$42:$A$45,0),1),0)</f>
        <v>2.0990172248849956E-6</v>
      </c>
      <c r="K1327" s="10">
        <f>IFERROR(K1222/L$1264/INDEX('Category Mapping'!$B$42:$B$45,MATCH($A1327,'Category Mapping'!$A$42:$A$45,0),1),0)</f>
        <v>5.1227008283825785E-4</v>
      </c>
      <c r="L1327" s="10">
        <f>IFERROR(L1222/M$1264/INDEX('Category Mapping'!$B$42:$B$45,MATCH($A1327,'Category Mapping'!$A$42:$A$45,0),1),0)</f>
        <v>0</v>
      </c>
      <c r="M1327" s="10">
        <f>IFERROR(M1222/N$1264/INDEX('Category Mapping'!$B$42:$B$45,MATCH($A1327,'Category Mapping'!$A$42:$A$45,0),1),0)</f>
        <v>1.6409861867349579E-4</v>
      </c>
      <c r="N1327" s="10">
        <f>IFERROR(N1222/O$1264/INDEX('Category Mapping'!$B$42:$B$45,MATCH($A1327,'Category Mapping'!$A$42:$A$45,0),1),0)</f>
        <v>1.6409861867349579E-4</v>
      </c>
      <c r="O1327" s="10">
        <f>IFERROR(O1222/P$1264/INDEX('Category Mapping'!$B$42:$B$45,MATCH($A1327,'Category Mapping'!$A$42:$A$45,0),1),0)</f>
        <v>1.6409861867349579E-4</v>
      </c>
      <c r="P1327" s="10">
        <f>IFERROR(P1222/Q$1264/INDEX('Category Mapping'!$B$42:$B$45,MATCH($A1327,'Category Mapping'!$A$42:$A$45,0),1),0)</f>
        <v>1.1929248084341459E-4</v>
      </c>
      <c r="Q1327" s="10">
        <f>IFERROR(Q1222/R$1264/INDEX('Category Mapping'!$B$42:$B$45,MATCH($A1327,'Category Mapping'!$A$42:$A$45,0),1),0)</f>
        <v>1.1929248084341459E-4</v>
      </c>
      <c r="R1327" s="10">
        <f>IFERROR(R1222/S$1264/INDEX('Category Mapping'!$B$42:$B$45,MATCH($A1327,'Category Mapping'!$A$42:$A$45,0),1),0)</f>
        <v>1.1929248084341459E-4</v>
      </c>
      <c r="S1327" s="10">
        <f>IFERROR(S1222/T$1264/INDEX('Category Mapping'!$B$42:$B$45,MATCH($A1327,'Category Mapping'!$A$42:$A$45,0),1),0)</f>
        <v>1.1929248084341459E-4</v>
      </c>
      <c r="T1327" s="10">
        <f>IFERROR(T1222/U$1264/INDEX('Category Mapping'!$B$42:$B$45,MATCH($A1327,'Category Mapping'!$A$42:$A$45,0),1),0)</f>
        <v>1.1929248084341459E-4</v>
      </c>
      <c r="U1327" s="10">
        <f>IFERROR(U1222/V$1264/INDEX('Category Mapping'!$B$42:$B$45,MATCH($A1327,'Category Mapping'!$A$42:$A$45,0),1),0)</f>
        <v>1.1929248084341459E-4</v>
      </c>
      <c r="V1327" s="10">
        <f>IFERROR(V1222/W$1264/INDEX('Category Mapping'!$B$42:$B$45,MATCH($A1327,'Category Mapping'!$A$42:$A$45,0),1),0)</f>
        <v>1.1385124759700052E-4</v>
      </c>
      <c r="W1327" s="10">
        <f>IFERROR(W1222/X$1264/INDEX('Category Mapping'!$B$42:$B$45,MATCH($A1327,'Category Mapping'!$A$42:$A$45,0),1),0)</f>
        <v>1.1385124759700052E-4</v>
      </c>
      <c r="X1327" s="10">
        <f>IFERROR(X1222/Y$1264/INDEX('Category Mapping'!$B$42:$B$45,MATCH($A1327,'Category Mapping'!$A$42:$A$45,0),1),0)</f>
        <v>1.1385124759700052E-4</v>
      </c>
      <c r="Y1327" s="27"/>
      <c r="Z1327" s="32"/>
    </row>
    <row r="1328" spans="1:26" outlineLevel="1" x14ac:dyDescent="0.3">
      <c r="A1328" t="s">
        <v>163</v>
      </c>
      <c r="B1328" t="s">
        <v>74</v>
      </c>
      <c r="C1328" s="6" t="s">
        <v>149</v>
      </c>
      <c r="D1328" s="10">
        <f>IFERROR(D1223/E$1264/INDEX('Category Mapping'!$B$42:$B$45,MATCH($A1328,'Category Mapping'!$A$42:$A$45,0),1),0)</f>
        <v>2.1959193377061605E-6</v>
      </c>
      <c r="E1328" s="10">
        <f>IFERROR(E1223/F$1264/INDEX('Category Mapping'!$B$42:$B$45,MATCH($A1328,'Category Mapping'!$A$42:$A$45,0),1),0)</f>
        <v>4.123682170193737E-4</v>
      </c>
      <c r="F1328" s="10">
        <f>IFERROR(F1223/G$1264/INDEX('Category Mapping'!$B$42:$B$45,MATCH($A1328,'Category Mapping'!$A$42:$A$45,0),1),0)</f>
        <v>0</v>
      </c>
      <c r="G1328" s="10">
        <f>IFERROR(G1223/H$1264/INDEX('Category Mapping'!$B$42:$B$45,MATCH($A1328,'Category Mapping'!$A$42:$A$45,0),1),0)</f>
        <v>5.5167654279416679E-5</v>
      </c>
      <c r="H1328" s="10">
        <f>IFERROR(H1223/I$1264/INDEX('Category Mapping'!$B$42:$B$45,MATCH($A1328,'Category Mapping'!$A$42:$A$45,0),1),0)</f>
        <v>1.3116961994536459E-4</v>
      </c>
      <c r="I1328" s="10">
        <f>IFERROR(I1223/J$1264/INDEX('Category Mapping'!$B$42:$B$45,MATCH($A1328,'Category Mapping'!$A$42:$A$45,0),1),0)</f>
        <v>1.3116961994536459E-4</v>
      </c>
      <c r="J1328" s="10">
        <f>IFERROR(J1223/K$1264/INDEX('Category Mapping'!$B$42:$B$45,MATCH($A1328,'Category Mapping'!$A$42:$A$45,0),1),0)</f>
        <v>1.9224085523630554E-6</v>
      </c>
      <c r="K1328" s="10">
        <f>IFERROR(K1223/L$1264/INDEX('Category Mapping'!$B$42:$B$45,MATCH($A1328,'Category Mapping'!$A$42:$A$45,0),1),0)</f>
        <v>5.364725245442523E-4</v>
      </c>
      <c r="L1328" s="10">
        <f>IFERROR(L1223/M$1264/INDEX('Category Mapping'!$B$42:$B$45,MATCH($A1328,'Category Mapping'!$A$42:$A$45,0),1),0)</f>
        <v>0</v>
      </c>
      <c r="M1328" s="10">
        <f>IFERROR(M1223/N$1264/INDEX('Category Mapping'!$B$42:$B$45,MATCH($A1328,'Category Mapping'!$A$42:$A$45,0),1),0)</f>
        <v>1.6369423612040676E-4</v>
      </c>
      <c r="N1328" s="10">
        <f>IFERROR(N1223/O$1264/INDEX('Category Mapping'!$B$42:$B$45,MATCH($A1328,'Category Mapping'!$A$42:$A$45,0),1),0)</f>
        <v>1.6369423612040676E-4</v>
      </c>
      <c r="O1328" s="10">
        <f>IFERROR(O1223/P$1264/INDEX('Category Mapping'!$B$42:$B$45,MATCH($A1328,'Category Mapping'!$A$42:$A$45,0),1),0)</f>
        <v>1.6369423612040676E-4</v>
      </c>
      <c r="P1328" s="10">
        <f>IFERROR(P1223/Q$1264/INDEX('Category Mapping'!$B$42:$B$45,MATCH($A1328,'Category Mapping'!$A$42:$A$45,0),1),0)</f>
        <v>1.2056951416901789E-4</v>
      </c>
      <c r="Q1328" s="10">
        <f>IFERROR(Q1223/R$1264/INDEX('Category Mapping'!$B$42:$B$45,MATCH($A1328,'Category Mapping'!$A$42:$A$45,0),1),0)</f>
        <v>1.2056951416901789E-4</v>
      </c>
      <c r="R1328" s="10">
        <f>IFERROR(R1223/S$1264/INDEX('Category Mapping'!$B$42:$B$45,MATCH($A1328,'Category Mapping'!$A$42:$A$45,0),1),0)</f>
        <v>1.2056951416901789E-4</v>
      </c>
      <c r="S1328" s="10">
        <f>IFERROR(S1223/T$1264/INDEX('Category Mapping'!$B$42:$B$45,MATCH($A1328,'Category Mapping'!$A$42:$A$45,0),1),0)</f>
        <v>1.2056951416901789E-4</v>
      </c>
      <c r="T1328" s="10">
        <f>IFERROR(T1223/U$1264/INDEX('Category Mapping'!$B$42:$B$45,MATCH($A1328,'Category Mapping'!$A$42:$A$45,0),1),0)</f>
        <v>1.2056951416901789E-4</v>
      </c>
      <c r="U1328" s="10">
        <f>IFERROR(U1223/V$1264/INDEX('Category Mapping'!$B$42:$B$45,MATCH($A1328,'Category Mapping'!$A$42:$A$45,0),1),0)</f>
        <v>1.2056951416901789E-4</v>
      </c>
      <c r="V1328" s="10">
        <f>IFERROR(V1223/W$1264/INDEX('Category Mapping'!$B$42:$B$45,MATCH($A1328,'Category Mapping'!$A$42:$A$45,0),1),0)</f>
        <v>1.1348032781847774E-4</v>
      </c>
      <c r="W1328" s="10">
        <f>IFERROR(W1223/X$1264/INDEX('Category Mapping'!$B$42:$B$45,MATCH($A1328,'Category Mapping'!$A$42:$A$45,0),1),0)</f>
        <v>1.1348032781847774E-4</v>
      </c>
      <c r="X1328" s="10">
        <f>IFERROR(X1223/Y$1264/INDEX('Category Mapping'!$B$42:$B$45,MATCH($A1328,'Category Mapping'!$A$42:$A$45,0),1),0)</f>
        <v>1.1348032781847774E-4</v>
      </c>
      <c r="Y1328" s="27"/>
      <c r="Z1328" s="32"/>
    </row>
    <row r="1329" spans="1:26" outlineLevel="1" x14ac:dyDescent="0.3">
      <c r="A1329" t="s">
        <v>163</v>
      </c>
      <c r="B1329" t="s">
        <v>75</v>
      </c>
      <c r="C1329" s="6" t="s">
        <v>150</v>
      </c>
      <c r="D1329" s="10">
        <f>IFERROR(D1224/E$1264/INDEX('Category Mapping'!$B$42:$B$45,MATCH($A1329,'Category Mapping'!$A$42:$A$45,0),1),0)</f>
        <v>2.25699815280361E-6</v>
      </c>
      <c r="E1329" s="10">
        <f>IFERROR(E1224/F$1264/INDEX('Category Mapping'!$B$42:$B$45,MATCH($A1329,'Category Mapping'!$A$42:$A$45,0),1),0)</f>
        <v>4.7668412613677513E-4</v>
      </c>
      <c r="F1329" s="10">
        <f>IFERROR(F1224/G$1264/INDEX('Category Mapping'!$B$42:$B$45,MATCH($A1329,'Category Mapping'!$A$42:$A$45,0),1),0)</f>
        <v>0</v>
      </c>
      <c r="G1329" s="10">
        <f>IFERROR(G1224/H$1264/INDEX('Category Mapping'!$B$42:$B$45,MATCH($A1329,'Category Mapping'!$A$42:$A$45,0),1),0)</f>
        <v>5.770595659203813E-5</v>
      </c>
      <c r="H1329" s="10">
        <f>IFERROR(H1224/I$1264/INDEX('Category Mapping'!$B$42:$B$45,MATCH($A1329,'Category Mapping'!$A$42:$A$45,0),1),0)</f>
        <v>1.2502520927288246E-4</v>
      </c>
      <c r="I1329" s="10">
        <f>IFERROR(I1224/J$1264/INDEX('Category Mapping'!$B$42:$B$45,MATCH($A1329,'Category Mapping'!$A$42:$A$45,0),1),0)</f>
        <v>1.2502520927288246E-4</v>
      </c>
      <c r="J1329" s="10">
        <f>IFERROR(J1224/K$1264/INDEX('Category Mapping'!$B$42:$B$45,MATCH($A1329,'Category Mapping'!$A$42:$A$45,0),1),0)</f>
        <v>1.8190872091567862E-6</v>
      </c>
      <c r="K1329" s="10">
        <f>IFERROR(K1224/L$1264/INDEX('Category Mapping'!$B$42:$B$45,MATCH($A1329,'Category Mapping'!$A$42:$A$45,0),1),0)</f>
        <v>5.4279983971586526E-4</v>
      </c>
      <c r="L1329" s="10">
        <f>IFERROR(L1224/M$1264/INDEX('Category Mapping'!$B$42:$B$45,MATCH($A1329,'Category Mapping'!$A$42:$A$45,0),1),0)</f>
        <v>0</v>
      </c>
      <c r="M1329" s="10">
        <f>IFERROR(M1224/N$1264/INDEX('Category Mapping'!$B$42:$B$45,MATCH($A1329,'Category Mapping'!$A$42:$A$45,0),1),0)</f>
        <v>1.6157729054152949E-4</v>
      </c>
      <c r="N1329" s="10">
        <f>IFERROR(N1224/O$1264/INDEX('Category Mapping'!$B$42:$B$45,MATCH($A1329,'Category Mapping'!$A$42:$A$45,0),1),0)</f>
        <v>1.6157729054152949E-4</v>
      </c>
      <c r="O1329" s="10">
        <f>IFERROR(O1224/P$1264/INDEX('Category Mapping'!$B$42:$B$45,MATCH($A1329,'Category Mapping'!$A$42:$A$45,0),1),0)</f>
        <v>1.6157729054152949E-4</v>
      </c>
      <c r="P1329" s="10">
        <f>IFERROR(P1224/Q$1264/INDEX('Category Mapping'!$B$42:$B$45,MATCH($A1329,'Category Mapping'!$A$42:$A$45,0),1),0)</f>
        <v>1.2230958572402077E-4</v>
      </c>
      <c r="Q1329" s="10">
        <f>IFERROR(Q1224/R$1264/INDEX('Category Mapping'!$B$42:$B$45,MATCH($A1329,'Category Mapping'!$A$42:$A$45,0),1),0)</f>
        <v>1.2230958572402077E-4</v>
      </c>
      <c r="R1329" s="10">
        <f>IFERROR(R1224/S$1264/INDEX('Category Mapping'!$B$42:$B$45,MATCH($A1329,'Category Mapping'!$A$42:$A$45,0),1),0)</f>
        <v>1.2230958572402077E-4</v>
      </c>
      <c r="S1329" s="10">
        <f>IFERROR(S1224/T$1264/INDEX('Category Mapping'!$B$42:$B$45,MATCH($A1329,'Category Mapping'!$A$42:$A$45,0),1),0)</f>
        <v>1.2230958572402077E-4</v>
      </c>
      <c r="T1329" s="10">
        <f>IFERROR(T1224/U$1264/INDEX('Category Mapping'!$B$42:$B$45,MATCH($A1329,'Category Mapping'!$A$42:$A$45,0),1),0)</f>
        <v>1.2230958572402077E-4</v>
      </c>
      <c r="U1329" s="10">
        <f>IFERROR(U1224/V$1264/INDEX('Category Mapping'!$B$42:$B$45,MATCH($A1329,'Category Mapping'!$A$42:$A$45,0),1),0)</f>
        <v>1.2230958572402077E-4</v>
      </c>
      <c r="V1329" s="10">
        <f>IFERROR(V1224/W$1264/INDEX('Category Mapping'!$B$42:$B$45,MATCH($A1329,'Category Mapping'!$A$42:$A$45,0),1),0)</f>
        <v>1.1317588779925468E-4</v>
      </c>
      <c r="W1329" s="10">
        <f>IFERROR(W1224/X$1264/INDEX('Category Mapping'!$B$42:$B$45,MATCH($A1329,'Category Mapping'!$A$42:$A$45,0),1),0)</f>
        <v>1.1317588779925468E-4</v>
      </c>
      <c r="X1329" s="10">
        <f>IFERROR(X1224/Y$1264/INDEX('Category Mapping'!$B$42:$B$45,MATCH($A1329,'Category Mapping'!$A$42:$A$45,0),1),0)</f>
        <v>1.1317588779925468E-4</v>
      </c>
      <c r="Y1329" s="27"/>
      <c r="Z1329" s="32"/>
    </row>
    <row r="1330" spans="1:26" outlineLevel="1" x14ac:dyDescent="0.3">
      <c r="A1330" t="s">
        <v>163</v>
      </c>
      <c r="B1330" t="s">
        <v>76</v>
      </c>
      <c r="C1330" s="6" t="s">
        <v>151</v>
      </c>
      <c r="D1330" s="10">
        <f>IFERROR(D1225/E$1264/INDEX('Category Mapping'!$B$42:$B$45,MATCH($A1330,'Category Mapping'!$A$42:$A$45,0),1),0)</f>
        <v>2.2711398699899611E-6</v>
      </c>
      <c r="E1330" s="10">
        <f>IFERROR(E1225/F$1264/INDEX('Category Mapping'!$B$42:$B$45,MATCH($A1330,'Category Mapping'!$A$42:$A$45,0),1),0)</f>
        <v>5.1058153577823793E-4</v>
      </c>
      <c r="F1330" s="10">
        <f>IFERROR(F1225/G$1264/INDEX('Category Mapping'!$B$42:$B$45,MATCH($A1330,'Category Mapping'!$A$42:$A$45,0),1),0)</f>
        <v>0</v>
      </c>
      <c r="G1330" s="10">
        <f>IFERROR(G1225/H$1264/INDEX('Category Mapping'!$B$42:$B$45,MATCH($A1330,'Category Mapping'!$A$42:$A$45,0),1),0)</f>
        <v>5.8550577772601254E-5</v>
      </c>
      <c r="H1330" s="10">
        <f>IFERROR(H1225/I$1264/INDEX('Category Mapping'!$B$42:$B$45,MATCH($A1330,'Category Mapping'!$A$42:$A$45,0),1),0)</f>
        <v>1.2078512094630866E-4</v>
      </c>
      <c r="I1330" s="10">
        <f>IFERROR(I1225/J$1264/INDEX('Category Mapping'!$B$42:$B$45,MATCH($A1330,'Category Mapping'!$A$42:$A$45,0),1),0)</f>
        <v>1.2078512094630866E-4</v>
      </c>
      <c r="J1330" s="10">
        <f>IFERROR(J1225/K$1264/INDEX('Category Mapping'!$B$42:$B$45,MATCH($A1330,'Category Mapping'!$A$42:$A$45,0),1),0)</f>
        <v>1.7342330988090245E-6</v>
      </c>
      <c r="K1330" s="10">
        <f>IFERROR(K1225/L$1264/INDEX('Category Mapping'!$B$42:$B$45,MATCH($A1330,'Category Mapping'!$A$42:$A$45,0),1),0)</f>
        <v>5.5883817379934544E-4</v>
      </c>
      <c r="L1330" s="10">
        <f>IFERROR(L1225/M$1264/INDEX('Category Mapping'!$B$42:$B$45,MATCH($A1330,'Category Mapping'!$A$42:$A$45,0),1),0)</f>
        <v>0</v>
      </c>
      <c r="M1330" s="10">
        <f>IFERROR(M1225/N$1264/INDEX('Category Mapping'!$B$42:$B$45,MATCH($A1330,'Category Mapping'!$A$42:$A$45,0),1),0)</f>
        <v>1.6053120156373602E-4</v>
      </c>
      <c r="N1330" s="10">
        <f>IFERROR(N1225/O$1264/INDEX('Category Mapping'!$B$42:$B$45,MATCH($A1330,'Category Mapping'!$A$42:$A$45,0),1),0)</f>
        <v>1.6053120156373602E-4</v>
      </c>
      <c r="O1330" s="10">
        <f>IFERROR(O1225/P$1264/INDEX('Category Mapping'!$B$42:$B$45,MATCH($A1330,'Category Mapping'!$A$42:$A$45,0),1),0)</f>
        <v>1.6053120156373602E-4</v>
      </c>
      <c r="P1330" s="10">
        <f>IFERROR(P1225/Q$1264/INDEX('Category Mapping'!$B$42:$B$45,MATCH($A1330,'Category Mapping'!$A$42:$A$45,0),1),0)</f>
        <v>1.2050409960946279E-4</v>
      </c>
      <c r="Q1330" s="10">
        <f>IFERROR(Q1225/R$1264/INDEX('Category Mapping'!$B$42:$B$45,MATCH($A1330,'Category Mapping'!$A$42:$A$45,0),1),0)</f>
        <v>1.2050409960946279E-4</v>
      </c>
      <c r="R1330" s="10">
        <f>IFERROR(R1225/S$1264/INDEX('Category Mapping'!$B$42:$B$45,MATCH($A1330,'Category Mapping'!$A$42:$A$45,0),1),0)</f>
        <v>1.2050409960946279E-4</v>
      </c>
      <c r="S1330" s="10">
        <f>IFERROR(S1225/T$1264/INDEX('Category Mapping'!$B$42:$B$45,MATCH($A1330,'Category Mapping'!$A$42:$A$45,0),1),0)</f>
        <v>1.2050409960946279E-4</v>
      </c>
      <c r="T1330" s="10">
        <f>IFERROR(T1225/U$1264/INDEX('Category Mapping'!$B$42:$B$45,MATCH($A1330,'Category Mapping'!$A$42:$A$45,0),1),0)</f>
        <v>1.2050409960946279E-4</v>
      </c>
      <c r="U1330" s="10">
        <f>IFERROR(U1225/V$1264/INDEX('Category Mapping'!$B$42:$B$45,MATCH($A1330,'Category Mapping'!$A$42:$A$45,0),1),0)</f>
        <v>1.2050409960946279E-4</v>
      </c>
      <c r="V1330" s="10">
        <f>IFERROR(V1225/W$1264/INDEX('Category Mapping'!$B$42:$B$45,MATCH($A1330,'Category Mapping'!$A$42:$A$45,0),1),0)</f>
        <v>1.130982245290447E-4</v>
      </c>
      <c r="W1330" s="10">
        <f>IFERROR(W1225/X$1264/INDEX('Category Mapping'!$B$42:$B$45,MATCH($A1330,'Category Mapping'!$A$42:$A$45,0),1),0)</f>
        <v>1.130982245290447E-4</v>
      </c>
      <c r="X1330" s="10">
        <f>IFERROR(X1225/Y$1264/INDEX('Category Mapping'!$B$42:$B$45,MATCH($A1330,'Category Mapping'!$A$42:$A$45,0),1),0)</f>
        <v>1.130982245290447E-4</v>
      </c>
      <c r="Y1330" s="27"/>
      <c r="Z1330" s="32"/>
    </row>
    <row r="1331" spans="1:26" outlineLevel="1" x14ac:dyDescent="0.3">
      <c r="A1331" t="s">
        <v>163</v>
      </c>
      <c r="B1331" t="s">
        <v>77</v>
      </c>
      <c r="C1331" s="6" t="s">
        <v>152</v>
      </c>
      <c r="D1331" s="10">
        <f>IFERROR(D1226/E$1264/INDEX('Category Mapping'!$B$42:$B$45,MATCH($A1331,'Category Mapping'!$A$42:$A$45,0),1),0)</f>
        <v>2.2945555117839829E-6</v>
      </c>
      <c r="E1331" s="10">
        <f>IFERROR(E1226/F$1264/INDEX('Category Mapping'!$B$42:$B$45,MATCH($A1331,'Category Mapping'!$A$42:$A$45,0),1),0)</f>
        <v>5.3567610940720022E-4</v>
      </c>
      <c r="F1331" s="10">
        <f>IFERROR(F1226/G$1264/INDEX('Category Mapping'!$B$42:$B$45,MATCH($A1331,'Category Mapping'!$A$42:$A$45,0),1),0)</f>
        <v>0</v>
      </c>
      <c r="G1331" s="10">
        <f>IFERROR(G1226/H$1264/INDEX('Category Mapping'!$B$42:$B$45,MATCH($A1331,'Category Mapping'!$A$42:$A$45,0),1),0)</f>
        <v>5.9706530104462172E-5</v>
      </c>
      <c r="H1331" s="10">
        <f>IFERROR(H1226/I$1264/INDEX('Category Mapping'!$B$42:$B$45,MATCH($A1331,'Category Mapping'!$A$42:$A$45,0),1),0)</f>
        <v>1.2559530924992872E-4</v>
      </c>
      <c r="I1331" s="10">
        <f>IFERROR(I1226/J$1264/INDEX('Category Mapping'!$B$42:$B$45,MATCH($A1331,'Category Mapping'!$A$42:$A$45,0),1),0)</f>
        <v>1.2559530924992872E-4</v>
      </c>
      <c r="J1331" s="10">
        <f>IFERROR(J1226/K$1264/INDEX('Category Mapping'!$B$42:$B$45,MATCH($A1331,'Category Mapping'!$A$42:$A$45,0),1),0)</f>
        <v>1.6619778760701736E-6</v>
      </c>
      <c r="K1331" s="10">
        <f>IFERROR(K1226/L$1264/INDEX('Category Mapping'!$B$42:$B$45,MATCH($A1331,'Category Mapping'!$A$42:$A$45,0),1),0)</f>
        <v>5.6920537824962654E-4</v>
      </c>
      <c r="L1331" s="10">
        <f>IFERROR(L1226/M$1264/INDEX('Category Mapping'!$B$42:$B$45,MATCH($A1331,'Category Mapping'!$A$42:$A$45,0),1),0)</f>
        <v>0</v>
      </c>
      <c r="M1331" s="10">
        <f>IFERROR(M1226/N$1264/INDEX('Category Mapping'!$B$42:$B$45,MATCH($A1331,'Category Mapping'!$A$42:$A$45,0),1),0)</f>
        <v>1.597820415127858E-4</v>
      </c>
      <c r="N1331" s="10">
        <f>IFERROR(N1226/O$1264/INDEX('Category Mapping'!$B$42:$B$45,MATCH($A1331,'Category Mapping'!$A$42:$A$45,0),1),0)</f>
        <v>1.597820415127858E-4</v>
      </c>
      <c r="O1331" s="10">
        <f>IFERROR(O1226/P$1264/INDEX('Category Mapping'!$B$42:$B$45,MATCH($A1331,'Category Mapping'!$A$42:$A$45,0),1),0)</f>
        <v>1.597820415127858E-4</v>
      </c>
      <c r="P1331" s="10">
        <f>IFERROR(P1226/Q$1264/INDEX('Category Mapping'!$B$42:$B$45,MATCH($A1331,'Category Mapping'!$A$42:$A$45,0),1),0)</f>
        <v>1.1901663743096097E-4</v>
      </c>
      <c r="Q1331" s="10">
        <f>IFERROR(Q1226/R$1264/INDEX('Category Mapping'!$B$42:$B$45,MATCH($A1331,'Category Mapping'!$A$42:$A$45,0),1),0)</f>
        <v>1.1901663743096097E-4</v>
      </c>
      <c r="R1331" s="10">
        <f>IFERROR(R1226/S$1264/INDEX('Category Mapping'!$B$42:$B$45,MATCH($A1331,'Category Mapping'!$A$42:$A$45,0),1),0)</f>
        <v>1.1901663743096097E-4</v>
      </c>
      <c r="S1331" s="10">
        <f>IFERROR(S1226/T$1264/INDEX('Category Mapping'!$B$42:$B$45,MATCH($A1331,'Category Mapping'!$A$42:$A$45,0),1),0)</f>
        <v>1.1901663743096097E-4</v>
      </c>
      <c r="T1331" s="10">
        <f>IFERROR(T1226/U$1264/INDEX('Category Mapping'!$B$42:$B$45,MATCH($A1331,'Category Mapping'!$A$42:$A$45,0),1),0)</f>
        <v>1.1901663743096097E-4</v>
      </c>
      <c r="U1331" s="10">
        <f>IFERROR(U1226/V$1264/INDEX('Category Mapping'!$B$42:$B$45,MATCH($A1331,'Category Mapping'!$A$42:$A$45,0),1),0)</f>
        <v>1.1901663743096097E-4</v>
      </c>
      <c r="V1331" s="10">
        <f>IFERROR(V1226/W$1264/INDEX('Category Mapping'!$B$42:$B$45,MATCH($A1331,'Category Mapping'!$A$42:$A$45,0),1),0)</f>
        <v>1.1329828511310558E-4</v>
      </c>
      <c r="W1331" s="10">
        <f>IFERROR(W1226/X$1264/INDEX('Category Mapping'!$B$42:$B$45,MATCH($A1331,'Category Mapping'!$A$42:$A$45,0),1),0)</f>
        <v>1.1329828511310558E-4</v>
      </c>
      <c r="X1331" s="10">
        <f>IFERROR(X1226/Y$1264/INDEX('Category Mapping'!$B$42:$B$45,MATCH($A1331,'Category Mapping'!$A$42:$A$45,0),1),0)</f>
        <v>1.1329828511310558E-4</v>
      </c>
      <c r="Y1331" s="27"/>
      <c r="Z1331" s="32"/>
    </row>
    <row r="1332" spans="1:26" outlineLevel="1" x14ac:dyDescent="0.3">
      <c r="A1332" t="s">
        <v>163</v>
      </c>
      <c r="B1332" t="s">
        <v>78</v>
      </c>
      <c r="C1332" s="6" t="s">
        <v>153</v>
      </c>
      <c r="D1332" s="10">
        <f>IFERROR(D1227/E$1264/INDEX('Category Mapping'!$B$42:$B$45,MATCH($A1332,'Category Mapping'!$A$42:$A$45,0),1),0)</f>
        <v>2.3805005901168716E-6</v>
      </c>
      <c r="E1332" s="10">
        <f>IFERROR(E1227/F$1264/INDEX('Category Mapping'!$B$42:$B$45,MATCH($A1332,'Category Mapping'!$A$42:$A$45,0),1),0)</f>
        <v>5.6674239690491363E-4</v>
      </c>
      <c r="F1332" s="10">
        <f>IFERROR(F1227/G$1264/INDEX('Category Mapping'!$B$42:$B$45,MATCH($A1332,'Category Mapping'!$A$42:$A$45,0),1),0)</f>
        <v>0</v>
      </c>
      <c r="G1332" s="10">
        <f>IFERROR(G1227/H$1264/INDEX('Category Mapping'!$B$42:$B$45,MATCH($A1332,'Category Mapping'!$A$42:$A$45,0),1),0)</f>
        <v>6.3323716601039077E-5</v>
      </c>
      <c r="H1332" s="10">
        <f>IFERROR(H1227/I$1264/INDEX('Category Mapping'!$B$42:$B$45,MATCH($A1332,'Category Mapping'!$A$42:$A$45,0),1),0)</f>
        <v>1.3921122787005999E-4</v>
      </c>
      <c r="I1332" s="10">
        <f>IFERROR(I1227/J$1264/INDEX('Category Mapping'!$B$42:$B$45,MATCH($A1332,'Category Mapping'!$A$42:$A$45,0),1),0)</f>
        <v>1.3921122787005999E-4</v>
      </c>
      <c r="J1332" s="10">
        <f>IFERROR(J1227/K$1264/INDEX('Category Mapping'!$B$42:$B$45,MATCH($A1332,'Category Mapping'!$A$42:$A$45,0),1),0)</f>
        <v>1.5741039196268919E-6</v>
      </c>
      <c r="K1332" s="10">
        <f>IFERROR(K1227/L$1264/INDEX('Category Mapping'!$B$42:$B$45,MATCH($A1332,'Category Mapping'!$A$42:$A$45,0),1),0)</f>
        <v>5.6615108492022253E-4</v>
      </c>
      <c r="L1332" s="10">
        <f>IFERROR(L1227/M$1264/INDEX('Category Mapping'!$B$42:$B$45,MATCH($A1332,'Category Mapping'!$A$42:$A$45,0),1),0)</f>
        <v>0</v>
      </c>
      <c r="M1332" s="10">
        <f>IFERROR(M1227/N$1264/INDEX('Category Mapping'!$B$42:$B$45,MATCH($A1332,'Category Mapping'!$A$42:$A$45,0),1),0)</f>
        <v>1.5910008851861214E-4</v>
      </c>
      <c r="N1332" s="10">
        <f>IFERROR(N1227/O$1264/INDEX('Category Mapping'!$B$42:$B$45,MATCH($A1332,'Category Mapping'!$A$42:$A$45,0),1),0)</f>
        <v>1.5910008851861214E-4</v>
      </c>
      <c r="O1332" s="10">
        <f>IFERROR(O1227/P$1264/INDEX('Category Mapping'!$B$42:$B$45,MATCH($A1332,'Category Mapping'!$A$42:$A$45,0),1),0)</f>
        <v>1.5910008851861214E-4</v>
      </c>
      <c r="P1332" s="10">
        <f>IFERROR(P1227/Q$1264/INDEX('Category Mapping'!$B$42:$B$45,MATCH($A1332,'Category Mapping'!$A$42:$A$45,0),1),0)</f>
        <v>1.3701529044067906E-4</v>
      </c>
      <c r="Q1332" s="10">
        <f>IFERROR(Q1227/R$1264/INDEX('Category Mapping'!$B$42:$B$45,MATCH($A1332,'Category Mapping'!$A$42:$A$45,0),1),0)</f>
        <v>1.3701529044067906E-4</v>
      </c>
      <c r="R1332" s="10">
        <f>IFERROR(R1227/S$1264/INDEX('Category Mapping'!$B$42:$B$45,MATCH($A1332,'Category Mapping'!$A$42:$A$45,0),1),0)</f>
        <v>1.3701529044067906E-4</v>
      </c>
      <c r="S1332" s="10">
        <f>IFERROR(S1227/T$1264/INDEX('Category Mapping'!$B$42:$B$45,MATCH($A1332,'Category Mapping'!$A$42:$A$45,0),1),0)</f>
        <v>1.3701529044067906E-4</v>
      </c>
      <c r="T1332" s="10">
        <f>IFERROR(T1227/U$1264/INDEX('Category Mapping'!$B$42:$B$45,MATCH($A1332,'Category Mapping'!$A$42:$A$45,0),1),0)</f>
        <v>1.3701529044067906E-4</v>
      </c>
      <c r="U1332" s="10">
        <f>IFERROR(U1227/V$1264/INDEX('Category Mapping'!$B$42:$B$45,MATCH($A1332,'Category Mapping'!$A$42:$A$45,0),1),0)</f>
        <v>1.3701529044067906E-4</v>
      </c>
      <c r="V1332" s="10">
        <f>IFERROR(V1227/W$1264/INDEX('Category Mapping'!$B$42:$B$45,MATCH($A1332,'Category Mapping'!$A$42:$A$45,0),1),0)</f>
        <v>1.1438432828372173E-4</v>
      </c>
      <c r="W1332" s="10">
        <f>IFERROR(W1227/X$1264/INDEX('Category Mapping'!$B$42:$B$45,MATCH($A1332,'Category Mapping'!$A$42:$A$45,0),1),0)</f>
        <v>1.1438432828372173E-4</v>
      </c>
      <c r="X1332" s="10">
        <f>IFERROR(X1227/Y$1264/INDEX('Category Mapping'!$B$42:$B$45,MATCH($A1332,'Category Mapping'!$A$42:$A$45,0),1),0)</f>
        <v>1.1438432828372173E-4</v>
      </c>
      <c r="Y1332" s="27"/>
      <c r="Z1332" s="32"/>
    </row>
    <row r="1333" spans="1:26" outlineLevel="1" x14ac:dyDescent="0.3">
      <c r="A1333" t="s">
        <v>163</v>
      </c>
      <c r="B1333" t="s">
        <v>79</v>
      </c>
      <c r="C1333" s="6" t="s">
        <v>154</v>
      </c>
      <c r="D1333" s="10">
        <f>IFERROR(D1228/E$1264/INDEX('Category Mapping'!$B$42:$B$45,MATCH($A1333,'Category Mapping'!$A$42:$A$45,0),1),0)</f>
        <v>2.4908892904880181E-6</v>
      </c>
      <c r="E1333" s="10">
        <f>IFERROR(E1228/F$1264/INDEX('Category Mapping'!$B$42:$B$45,MATCH($A1333,'Category Mapping'!$A$42:$A$45,0),1),0)</f>
        <v>5.8498012121027015E-4</v>
      </c>
      <c r="F1333" s="10">
        <f>IFERROR(F1228/G$1264/INDEX('Category Mapping'!$B$42:$B$45,MATCH($A1333,'Category Mapping'!$A$42:$A$45,0),1),0)</f>
        <v>0</v>
      </c>
      <c r="G1333" s="10">
        <f>IFERROR(G1228/H$1264/INDEX('Category Mapping'!$B$42:$B$45,MATCH($A1333,'Category Mapping'!$A$42:$A$45,0),1),0)</f>
        <v>6.8269458724992487E-5</v>
      </c>
      <c r="H1333" s="10">
        <f>IFERROR(H1228/I$1264/INDEX('Category Mapping'!$B$42:$B$45,MATCH($A1333,'Category Mapping'!$A$42:$A$45,0),1),0)</f>
        <v>1.6366522654124739E-4</v>
      </c>
      <c r="I1333" s="10">
        <f>IFERROR(I1228/J$1264/INDEX('Category Mapping'!$B$42:$B$45,MATCH($A1333,'Category Mapping'!$A$42:$A$45,0),1),0)</f>
        <v>1.6366522654124739E-4</v>
      </c>
      <c r="J1333" s="10">
        <f>IFERROR(J1228/K$1264/INDEX('Category Mapping'!$B$42:$B$45,MATCH($A1333,'Category Mapping'!$A$42:$A$45,0),1),0)</f>
        <v>1.5195201439513839E-6</v>
      </c>
      <c r="K1333" s="10">
        <f>IFERROR(K1228/L$1264/INDEX('Category Mapping'!$B$42:$B$45,MATCH($A1333,'Category Mapping'!$A$42:$A$45,0),1),0)</f>
        <v>5.497069172105747E-4</v>
      </c>
      <c r="L1333" s="10">
        <f>IFERROR(L1228/M$1264/INDEX('Category Mapping'!$B$42:$B$45,MATCH($A1333,'Category Mapping'!$A$42:$A$45,0),1),0)</f>
        <v>0</v>
      </c>
      <c r="M1333" s="10">
        <f>IFERROR(M1228/N$1264/INDEX('Category Mapping'!$B$42:$B$45,MATCH($A1333,'Category Mapping'!$A$42:$A$45,0),1),0)</f>
        <v>1.5406460571582833E-4</v>
      </c>
      <c r="N1333" s="10">
        <f>IFERROR(N1228/O$1264/INDEX('Category Mapping'!$B$42:$B$45,MATCH($A1333,'Category Mapping'!$A$42:$A$45,0),1),0)</f>
        <v>1.5406460571582833E-4</v>
      </c>
      <c r="O1333" s="10">
        <f>IFERROR(O1228/P$1264/INDEX('Category Mapping'!$B$42:$B$45,MATCH($A1333,'Category Mapping'!$A$42:$A$45,0),1),0)</f>
        <v>1.5406460571582833E-4</v>
      </c>
      <c r="P1333" s="10">
        <f>IFERROR(P1228/Q$1264/INDEX('Category Mapping'!$B$42:$B$45,MATCH($A1333,'Category Mapping'!$A$42:$A$45,0),1),0)</f>
        <v>1.5887525635544224E-4</v>
      </c>
      <c r="Q1333" s="10">
        <f>IFERROR(Q1228/R$1264/INDEX('Category Mapping'!$B$42:$B$45,MATCH($A1333,'Category Mapping'!$A$42:$A$45,0),1),0)</f>
        <v>1.5887525635544224E-4</v>
      </c>
      <c r="R1333" s="10">
        <f>IFERROR(R1228/S$1264/INDEX('Category Mapping'!$B$42:$B$45,MATCH($A1333,'Category Mapping'!$A$42:$A$45,0),1),0)</f>
        <v>1.5887525635544224E-4</v>
      </c>
      <c r="S1333" s="10">
        <f>IFERROR(S1228/T$1264/INDEX('Category Mapping'!$B$42:$B$45,MATCH($A1333,'Category Mapping'!$A$42:$A$45,0),1),0)</f>
        <v>1.5887525635544224E-4</v>
      </c>
      <c r="T1333" s="10">
        <f>IFERROR(T1228/U$1264/INDEX('Category Mapping'!$B$42:$B$45,MATCH($A1333,'Category Mapping'!$A$42:$A$45,0),1),0)</f>
        <v>1.5887525635544224E-4</v>
      </c>
      <c r="U1333" s="10">
        <f>IFERROR(U1228/V$1264/INDEX('Category Mapping'!$B$42:$B$45,MATCH($A1333,'Category Mapping'!$A$42:$A$45,0),1),0)</f>
        <v>1.5887525635544224E-4</v>
      </c>
      <c r="V1333" s="10">
        <f>IFERROR(V1228/W$1264/INDEX('Category Mapping'!$B$42:$B$45,MATCH($A1333,'Category Mapping'!$A$42:$A$45,0),1),0)</f>
        <v>1.1553778317288013E-4</v>
      </c>
      <c r="W1333" s="10">
        <f>IFERROR(W1228/X$1264/INDEX('Category Mapping'!$B$42:$B$45,MATCH($A1333,'Category Mapping'!$A$42:$A$45,0),1),0)</f>
        <v>1.1553778317288013E-4</v>
      </c>
      <c r="X1333" s="10">
        <f>IFERROR(X1228/Y$1264/INDEX('Category Mapping'!$B$42:$B$45,MATCH($A1333,'Category Mapping'!$A$42:$A$45,0),1),0)</f>
        <v>1.1553778317288013E-4</v>
      </c>
      <c r="Y1333" s="27"/>
      <c r="Z1333" s="32"/>
    </row>
    <row r="1334" spans="1:26" outlineLevel="1" x14ac:dyDescent="0.3">
      <c r="A1334" t="s">
        <v>163</v>
      </c>
      <c r="B1334" t="s">
        <v>80</v>
      </c>
      <c r="C1334" s="6" t="s">
        <v>155</v>
      </c>
      <c r="D1334" s="10">
        <f>IFERROR(D1229/E$1264/INDEX('Category Mapping'!$B$42:$B$45,MATCH($A1334,'Category Mapping'!$A$42:$A$45,0),1),0)</f>
        <v>2.6180428353592129E-6</v>
      </c>
      <c r="E1334" s="10">
        <f>IFERROR(E1229/F$1264/INDEX('Category Mapping'!$B$42:$B$45,MATCH($A1334,'Category Mapping'!$A$42:$A$45,0),1),0)</f>
        <v>5.9189073431705971E-4</v>
      </c>
      <c r="F1334" s="10">
        <f>IFERROR(F1229/G$1264/INDEX('Category Mapping'!$B$42:$B$45,MATCH($A1334,'Category Mapping'!$A$42:$A$45,0),1),0)</f>
        <v>0</v>
      </c>
      <c r="G1334" s="10">
        <f>IFERROR(G1229/H$1264/INDEX('Category Mapping'!$B$42:$B$45,MATCH($A1334,'Category Mapping'!$A$42:$A$45,0),1),0)</f>
        <v>8.3919641208828622E-5</v>
      </c>
      <c r="H1334" s="10">
        <f>IFERROR(H1229/I$1264/INDEX('Category Mapping'!$B$42:$B$45,MATCH($A1334,'Category Mapping'!$A$42:$A$45,0),1),0)</f>
        <v>1.7624885894050861E-4</v>
      </c>
      <c r="I1334" s="10">
        <f>IFERROR(I1229/J$1264/INDEX('Category Mapping'!$B$42:$B$45,MATCH($A1334,'Category Mapping'!$A$42:$A$45,0),1),0)</f>
        <v>1.7624885894050861E-4</v>
      </c>
      <c r="J1334" s="10">
        <f>IFERROR(J1229/K$1264/INDEX('Category Mapping'!$B$42:$B$45,MATCH($A1334,'Category Mapping'!$A$42:$A$45,0),1),0)</f>
        <v>1.5426068443520495E-6</v>
      </c>
      <c r="K1334" s="10">
        <f>IFERROR(K1229/L$1264/INDEX('Category Mapping'!$B$42:$B$45,MATCH($A1334,'Category Mapping'!$A$42:$A$45,0),1),0)</f>
        <v>5.200230862680308E-4</v>
      </c>
      <c r="L1334" s="10">
        <f>IFERROR(L1229/M$1264/INDEX('Category Mapping'!$B$42:$B$45,MATCH($A1334,'Category Mapping'!$A$42:$A$45,0),1),0)</f>
        <v>0</v>
      </c>
      <c r="M1334" s="10">
        <f>IFERROR(M1229/N$1264/INDEX('Category Mapping'!$B$42:$B$45,MATCH($A1334,'Category Mapping'!$A$42:$A$45,0),1),0)</f>
        <v>1.4562447785915748E-4</v>
      </c>
      <c r="N1334" s="10">
        <f>IFERROR(N1229/O$1264/INDEX('Category Mapping'!$B$42:$B$45,MATCH($A1334,'Category Mapping'!$A$42:$A$45,0),1),0)</f>
        <v>1.4562447785915748E-4</v>
      </c>
      <c r="O1334" s="10">
        <f>IFERROR(O1229/P$1264/INDEX('Category Mapping'!$B$42:$B$45,MATCH($A1334,'Category Mapping'!$A$42:$A$45,0),1),0)</f>
        <v>1.4562447785915748E-4</v>
      </c>
      <c r="P1334" s="10">
        <f>IFERROR(P1229/Q$1264/INDEX('Category Mapping'!$B$42:$B$45,MATCH($A1334,'Category Mapping'!$A$42:$A$45,0),1),0)</f>
        <v>1.6717058892492132E-4</v>
      </c>
      <c r="Q1334" s="10">
        <f>IFERROR(Q1229/R$1264/INDEX('Category Mapping'!$B$42:$B$45,MATCH($A1334,'Category Mapping'!$A$42:$A$45,0),1),0)</f>
        <v>1.6717058892492132E-4</v>
      </c>
      <c r="R1334" s="10">
        <f>IFERROR(R1229/S$1264/INDEX('Category Mapping'!$B$42:$B$45,MATCH($A1334,'Category Mapping'!$A$42:$A$45,0),1),0)</f>
        <v>1.6717058892492132E-4</v>
      </c>
      <c r="S1334" s="10">
        <f>IFERROR(S1229/T$1264/INDEX('Category Mapping'!$B$42:$B$45,MATCH($A1334,'Category Mapping'!$A$42:$A$45,0),1),0)</f>
        <v>1.6717058892492132E-4</v>
      </c>
      <c r="T1334" s="10">
        <f>IFERROR(T1229/U$1264/INDEX('Category Mapping'!$B$42:$B$45,MATCH($A1334,'Category Mapping'!$A$42:$A$45,0),1),0)</f>
        <v>1.6717058892492132E-4</v>
      </c>
      <c r="U1334" s="10">
        <f>IFERROR(U1229/V$1264/INDEX('Category Mapping'!$B$42:$B$45,MATCH($A1334,'Category Mapping'!$A$42:$A$45,0),1),0)</f>
        <v>1.6717058892492132E-4</v>
      </c>
      <c r="V1334" s="10">
        <f>IFERROR(V1229/W$1264/INDEX('Category Mapping'!$B$42:$B$45,MATCH($A1334,'Category Mapping'!$A$42:$A$45,0),1),0)</f>
        <v>1.158133324555851E-4</v>
      </c>
      <c r="W1334" s="10">
        <f>IFERROR(W1229/X$1264/INDEX('Category Mapping'!$B$42:$B$45,MATCH($A1334,'Category Mapping'!$A$42:$A$45,0),1),0)</f>
        <v>1.158133324555851E-4</v>
      </c>
      <c r="X1334" s="10">
        <f>IFERROR(X1229/Y$1264/INDEX('Category Mapping'!$B$42:$B$45,MATCH($A1334,'Category Mapping'!$A$42:$A$45,0),1),0)</f>
        <v>1.158133324555851E-4</v>
      </c>
      <c r="Y1334" s="27"/>
      <c r="Z1334" s="32"/>
    </row>
    <row r="1335" spans="1:26" outlineLevel="1" x14ac:dyDescent="0.3">
      <c r="A1335" t="s">
        <v>163</v>
      </c>
      <c r="B1335" t="s">
        <v>81</v>
      </c>
      <c r="C1335" s="6" t="s">
        <v>156</v>
      </c>
      <c r="D1335" s="10">
        <f>IFERROR(D1230/E$1264/INDEX('Category Mapping'!$B$42:$B$45,MATCH($A1335,'Category Mapping'!$A$42:$A$45,0),1),0)</f>
        <v>2.7634503264412236E-6</v>
      </c>
      <c r="E1335" s="10">
        <f>IFERROR(E1230/F$1264/INDEX('Category Mapping'!$B$42:$B$45,MATCH($A1335,'Category Mapping'!$A$42:$A$45,0),1),0)</f>
        <v>5.885691815657319E-4</v>
      </c>
      <c r="F1335" s="10">
        <f>IFERROR(F1230/G$1264/INDEX('Category Mapping'!$B$42:$B$45,MATCH($A1335,'Category Mapping'!$A$42:$A$45,0),1),0)</f>
        <v>0</v>
      </c>
      <c r="G1335" s="10">
        <f>IFERROR(G1230/H$1264/INDEX('Category Mapping'!$B$42:$B$45,MATCH($A1335,'Category Mapping'!$A$42:$A$45,0),1),0)</f>
        <v>2.1219877521360864E-4</v>
      </c>
      <c r="H1335" s="10">
        <f>IFERROR(H1230/I$1264/INDEX('Category Mapping'!$B$42:$B$45,MATCH($A1335,'Category Mapping'!$A$42:$A$45,0),1),0)</f>
        <v>1.7152975569541579E-4</v>
      </c>
      <c r="I1335" s="10">
        <f>IFERROR(I1230/J$1264/INDEX('Category Mapping'!$B$42:$B$45,MATCH($A1335,'Category Mapping'!$A$42:$A$45,0),1),0)</f>
        <v>1.7152975569541579E-4</v>
      </c>
      <c r="J1335" s="10">
        <f>IFERROR(J1230/K$1264/INDEX('Category Mapping'!$B$42:$B$45,MATCH($A1335,'Category Mapping'!$A$42:$A$45,0),1),0)</f>
        <v>1.6802260378391167E-6</v>
      </c>
      <c r="K1335" s="10">
        <f>IFERROR(K1230/L$1264/INDEX('Category Mapping'!$B$42:$B$45,MATCH($A1335,'Category Mapping'!$A$42:$A$45,0),1),0)</f>
        <v>4.8752740805846877E-4</v>
      </c>
      <c r="L1335" s="10">
        <f>IFERROR(L1230/M$1264/INDEX('Category Mapping'!$B$42:$B$45,MATCH($A1335,'Category Mapping'!$A$42:$A$45,0),1),0)</f>
        <v>0</v>
      </c>
      <c r="M1335" s="10">
        <f>IFERROR(M1230/N$1264/INDEX('Category Mapping'!$B$42:$B$45,MATCH($A1335,'Category Mapping'!$A$42:$A$45,0),1),0)</f>
        <v>1.3885072189073056E-4</v>
      </c>
      <c r="N1335" s="10">
        <f>IFERROR(N1230/O$1264/INDEX('Category Mapping'!$B$42:$B$45,MATCH($A1335,'Category Mapping'!$A$42:$A$45,0),1),0)</f>
        <v>1.3885072189073056E-4</v>
      </c>
      <c r="O1335" s="10">
        <f>IFERROR(O1230/P$1264/INDEX('Category Mapping'!$B$42:$B$45,MATCH($A1335,'Category Mapping'!$A$42:$A$45,0),1),0)</f>
        <v>1.3885072189073056E-4</v>
      </c>
      <c r="P1335" s="10">
        <f>IFERROR(P1230/Q$1264/INDEX('Category Mapping'!$B$42:$B$45,MATCH($A1335,'Category Mapping'!$A$42:$A$45,0),1),0)</f>
        <v>1.5598812959141133E-4</v>
      </c>
      <c r="Q1335" s="10">
        <f>IFERROR(Q1230/R$1264/INDEX('Category Mapping'!$B$42:$B$45,MATCH($A1335,'Category Mapping'!$A$42:$A$45,0),1),0)</f>
        <v>1.5598812959141133E-4</v>
      </c>
      <c r="R1335" s="10">
        <f>IFERROR(R1230/S$1264/INDEX('Category Mapping'!$B$42:$B$45,MATCH($A1335,'Category Mapping'!$A$42:$A$45,0),1),0)</f>
        <v>1.5598812959141133E-4</v>
      </c>
      <c r="S1335" s="10">
        <f>IFERROR(S1230/T$1264/INDEX('Category Mapping'!$B$42:$B$45,MATCH($A1335,'Category Mapping'!$A$42:$A$45,0),1),0)</f>
        <v>1.5598812959141133E-4</v>
      </c>
      <c r="T1335" s="10">
        <f>IFERROR(T1230/U$1264/INDEX('Category Mapping'!$B$42:$B$45,MATCH($A1335,'Category Mapping'!$A$42:$A$45,0),1),0)</f>
        <v>1.5598812959141133E-4</v>
      </c>
      <c r="U1335" s="10">
        <f>IFERROR(U1230/V$1264/INDEX('Category Mapping'!$B$42:$B$45,MATCH($A1335,'Category Mapping'!$A$42:$A$45,0),1),0)</f>
        <v>1.5598812959141133E-4</v>
      </c>
      <c r="V1335" s="10">
        <f>IFERROR(V1230/W$1264/INDEX('Category Mapping'!$B$42:$B$45,MATCH($A1335,'Category Mapping'!$A$42:$A$45,0),1),0)</f>
        <v>1.1519482217163293E-4</v>
      </c>
      <c r="W1335" s="10">
        <f>IFERROR(W1230/X$1264/INDEX('Category Mapping'!$B$42:$B$45,MATCH($A1335,'Category Mapping'!$A$42:$A$45,0),1),0)</f>
        <v>1.1519482217163293E-4</v>
      </c>
      <c r="X1335" s="10">
        <f>IFERROR(X1230/Y$1264/INDEX('Category Mapping'!$B$42:$B$45,MATCH($A1335,'Category Mapping'!$A$42:$A$45,0),1),0)</f>
        <v>1.1519482217163293E-4</v>
      </c>
      <c r="Y1335" s="35"/>
      <c r="Z1335" s="32"/>
    </row>
    <row r="1336" spans="1:26" outlineLevel="1" x14ac:dyDescent="0.3">
      <c r="A1336" t="s">
        <v>163</v>
      </c>
      <c r="B1336" t="s">
        <v>82</v>
      </c>
      <c r="C1336" s="6" t="s">
        <v>157</v>
      </c>
      <c r="D1336" s="10">
        <f>IFERROR(D1231/E$1264/INDEX('Category Mapping'!$B$42:$B$45,MATCH($A1336,'Category Mapping'!$A$42:$A$45,0),1),0)</f>
        <v>2.8917989416655251E-6</v>
      </c>
      <c r="E1336" s="10">
        <f>IFERROR(E1231/F$1264/INDEX('Category Mapping'!$B$42:$B$45,MATCH($A1336,'Category Mapping'!$A$42:$A$45,0),1),0)</f>
        <v>5.6613001430133288E-4</v>
      </c>
      <c r="F1336" s="10">
        <f>IFERROR(F1231/G$1264/INDEX('Category Mapping'!$B$42:$B$45,MATCH($A1336,'Category Mapping'!$A$42:$A$45,0),1),0)</f>
        <v>0</v>
      </c>
      <c r="G1336" s="10">
        <f>IFERROR(G1231/H$1264/INDEX('Category Mapping'!$B$42:$B$45,MATCH($A1336,'Category Mapping'!$A$42:$A$45,0),1),0)</f>
        <v>2.8731997979269611E-4</v>
      </c>
      <c r="H1336" s="10">
        <f>IFERROR(H1231/I$1264/INDEX('Category Mapping'!$B$42:$B$45,MATCH($A1336,'Category Mapping'!$A$42:$A$45,0),1),0)</f>
        <v>1.6263620397575913E-4</v>
      </c>
      <c r="I1336" s="10">
        <f>IFERROR(I1231/J$1264/INDEX('Category Mapping'!$B$42:$B$45,MATCH($A1336,'Category Mapping'!$A$42:$A$45,0),1),0)</f>
        <v>1.6263620397575913E-4</v>
      </c>
      <c r="J1336" s="10">
        <f>IFERROR(J1231/K$1264/INDEX('Category Mapping'!$B$42:$B$45,MATCH($A1336,'Category Mapping'!$A$42:$A$45,0),1),0)</f>
        <v>1.8356339762957509E-6</v>
      </c>
      <c r="K1336" s="10">
        <f>IFERROR(K1231/L$1264/INDEX('Category Mapping'!$B$42:$B$45,MATCH($A1336,'Category Mapping'!$A$42:$A$45,0),1),0)</f>
        <v>4.464670591667985E-4</v>
      </c>
      <c r="L1336" s="10">
        <f>IFERROR(L1231/M$1264/INDEX('Category Mapping'!$B$42:$B$45,MATCH($A1336,'Category Mapping'!$A$42:$A$45,0),1),0)</f>
        <v>0</v>
      </c>
      <c r="M1336" s="10">
        <f>IFERROR(M1231/N$1264/INDEX('Category Mapping'!$B$42:$B$45,MATCH($A1336,'Category Mapping'!$A$42:$A$45,0),1),0)</f>
        <v>1.1766597554965647E-4</v>
      </c>
      <c r="N1336" s="10">
        <f>IFERROR(N1231/O$1264/INDEX('Category Mapping'!$B$42:$B$45,MATCH($A1336,'Category Mapping'!$A$42:$A$45,0),1),0)</f>
        <v>1.1766597554965647E-4</v>
      </c>
      <c r="O1336" s="10">
        <f>IFERROR(O1231/P$1264/INDEX('Category Mapping'!$B$42:$B$45,MATCH($A1336,'Category Mapping'!$A$42:$A$45,0),1),0)</f>
        <v>1.1766597554965647E-4</v>
      </c>
      <c r="P1336" s="10">
        <f>IFERROR(P1231/Q$1264/INDEX('Category Mapping'!$B$42:$B$45,MATCH($A1336,'Category Mapping'!$A$42:$A$45,0),1),0)</f>
        <v>1.3006194258330993E-4</v>
      </c>
      <c r="Q1336" s="10">
        <f>IFERROR(Q1231/R$1264/INDEX('Category Mapping'!$B$42:$B$45,MATCH($A1336,'Category Mapping'!$A$42:$A$45,0),1),0)</f>
        <v>1.3006194258330993E-4</v>
      </c>
      <c r="R1336" s="10">
        <f>IFERROR(R1231/S$1264/INDEX('Category Mapping'!$B$42:$B$45,MATCH($A1336,'Category Mapping'!$A$42:$A$45,0),1),0)</f>
        <v>1.3006194258330993E-4</v>
      </c>
      <c r="S1336" s="10">
        <f>IFERROR(S1231/T$1264/INDEX('Category Mapping'!$B$42:$B$45,MATCH($A1336,'Category Mapping'!$A$42:$A$45,0),1),0)</f>
        <v>1.3006194258330993E-4</v>
      </c>
      <c r="T1336" s="10">
        <f>IFERROR(T1231/U$1264/INDEX('Category Mapping'!$B$42:$B$45,MATCH($A1336,'Category Mapping'!$A$42:$A$45,0),1),0)</f>
        <v>1.3006194258330993E-4</v>
      </c>
      <c r="U1336" s="10">
        <f>IFERROR(U1231/V$1264/INDEX('Category Mapping'!$B$42:$B$45,MATCH($A1336,'Category Mapping'!$A$42:$A$45,0),1),0)</f>
        <v>1.3006194258330993E-4</v>
      </c>
      <c r="V1336" s="10">
        <f>IFERROR(V1231/W$1264/INDEX('Category Mapping'!$B$42:$B$45,MATCH($A1336,'Category Mapping'!$A$42:$A$45,0),1),0)</f>
        <v>1.1446074894160834E-4</v>
      </c>
      <c r="W1336" s="10">
        <f>IFERROR(W1231/X$1264/INDEX('Category Mapping'!$B$42:$B$45,MATCH($A1336,'Category Mapping'!$A$42:$A$45,0),1),0)</f>
        <v>1.1446074894160834E-4</v>
      </c>
      <c r="X1336" s="10">
        <f>IFERROR(X1231/Y$1264/INDEX('Category Mapping'!$B$42:$B$45,MATCH($A1336,'Category Mapping'!$A$42:$A$45,0),1),0)</f>
        <v>1.1446074894160834E-4</v>
      </c>
      <c r="Y1336" s="27"/>
      <c r="Z1336" s="32"/>
    </row>
    <row r="1337" spans="1:26" outlineLevel="1" x14ac:dyDescent="0.3">
      <c r="A1337" t="s">
        <v>163</v>
      </c>
      <c r="B1337" t="s">
        <v>83</v>
      </c>
      <c r="C1337" s="6" t="s">
        <v>158</v>
      </c>
      <c r="D1337" s="10">
        <f>IFERROR(D1232/E$1264/INDEX('Category Mapping'!$B$42:$B$45,MATCH($A1337,'Category Mapping'!$A$42:$A$45,0),1),0)</f>
        <v>2.9150722398347675E-6</v>
      </c>
      <c r="E1337" s="10">
        <f>IFERROR(E1232/F$1264/INDEX('Category Mapping'!$B$42:$B$45,MATCH($A1337,'Category Mapping'!$A$42:$A$45,0),1),0)</f>
        <v>5.178776745498084E-4</v>
      </c>
      <c r="F1337" s="10">
        <f>IFERROR(F1232/G$1264/INDEX('Category Mapping'!$B$42:$B$45,MATCH($A1337,'Category Mapping'!$A$42:$A$45,0),1),0)</f>
        <v>0</v>
      </c>
      <c r="G1337" s="10">
        <f>IFERROR(G1232/H$1264/INDEX('Category Mapping'!$B$42:$B$45,MATCH($A1337,'Category Mapping'!$A$42:$A$45,0),1),0)</f>
        <v>2.909088585540507E-4</v>
      </c>
      <c r="H1337" s="10">
        <f>IFERROR(H1232/I$1264/INDEX('Category Mapping'!$B$42:$B$45,MATCH($A1337,'Category Mapping'!$A$42:$A$45,0),1),0)</f>
        <v>1.57623182851869E-4</v>
      </c>
      <c r="I1337" s="10">
        <f>IFERROR(I1232/J$1264/INDEX('Category Mapping'!$B$42:$B$45,MATCH($A1337,'Category Mapping'!$A$42:$A$45,0),1),0)</f>
        <v>1.57623182851869E-4</v>
      </c>
      <c r="J1337" s="10">
        <f>IFERROR(J1232/K$1264/INDEX('Category Mapping'!$B$42:$B$45,MATCH($A1337,'Category Mapping'!$A$42:$A$45,0),1),0)</f>
        <v>2.2361620518395413E-6</v>
      </c>
      <c r="K1337" s="10">
        <f>IFERROR(K1232/L$1264/INDEX('Category Mapping'!$B$42:$B$45,MATCH($A1337,'Category Mapping'!$A$42:$A$45,0),1),0)</f>
        <v>4.0743587840596634E-4</v>
      </c>
      <c r="L1337" s="10">
        <f>IFERROR(L1232/M$1264/INDEX('Category Mapping'!$B$42:$B$45,MATCH($A1337,'Category Mapping'!$A$42:$A$45,0),1),0)</f>
        <v>0</v>
      </c>
      <c r="M1337" s="10">
        <f>IFERROR(M1232/N$1264/INDEX('Category Mapping'!$B$42:$B$45,MATCH($A1337,'Category Mapping'!$A$42:$A$45,0),1),0)</f>
        <v>9.894378837620513E-5</v>
      </c>
      <c r="N1337" s="10">
        <f>IFERROR(N1232/O$1264/INDEX('Category Mapping'!$B$42:$B$45,MATCH($A1337,'Category Mapping'!$A$42:$A$45,0),1),0)</f>
        <v>9.894378837620513E-5</v>
      </c>
      <c r="O1337" s="10">
        <f>IFERROR(O1232/P$1264/INDEX('Category Mapping'!$B$42:$B$45,MATCH($A1337,'Category Mapping'!$A$42:$A$45,0),1),0)</f>
        <v>9.894378837620513E-5</v>
      </c>
      <c r="P1337" s="10">
        <f>IFERROR(P1232/Q$1264/INDEX('Category Mapping'!$B$42:$B$45,MATCH($A1337,'Category Mapping'!$A$42:$A$45,0),1),0)</f>
        <v>1.1928202763365806E-4</v>
      </c>
      <c r="Q1337" s="10">
        <f>IFERROR(Q1232/R$1264/INDEX('Category Mapping'!$B$42:$B$45,MATCH($A1337,'Category Mapping'!$A$42:$A$45,0),1),0)</f>
        <v>1.1928202763365806E-4</v>
      </c>
      <c r="R1337" s="10">
        <f>IFERROR(R1232/S$1264/INDEX('Category Mapping'!$B$42:$B$45,MATCH($A1337,'Category Mapping'!$A$42:$A$45,0),1),0)</f>
        <v>1.1928202763365806E-4</v>
      </c>
      <c r="S1337" s="10">
        <f>IFERROR(S1232/T$1264/INDEX('Category Mapping'!$B$42:$B$45,MATCH($A1337,'Category Mapping'!$A$42:$A$45,0),1),0)</f>
        <v>1.1928202763365806E-4</v>
      </c>
      <c r="T1337" s="10">
        <f>IFERROR(T1232/U$1264/INDEX('Category Mapping'!$B$42:$B$45,MATCH($A1337,'Category Mapping'!$A$42:$A$45,0),1),0)</f>
        <v>1.1928202763365806E-4</v>
      </c>
      <c r="U1337" s="10">
        <f>IFERROR(U1232/V$1264/INDEX('Category Mapping'!$B$42:$B$45,MATCH($A1337,'Category Mapping'!$A$42:$A$45,0),1),0)</f>
        <v>1.1928202763365806E-4</v>
      </c>
      <c r="V1337" s="10">
        <f>IFERROR(V1232/W$1264/INDEX('Category Mapping'!$B$42:$B$45,MATCH($A1337,'Category Mapping'!$A$42:$A$45,0),1),0)</f>
        <v>1.1372822897698794E-4</v>
      </c>
      <c r="W1337" s="10">
        <f>IFERROR(W1232/X$1264/INDEX('Category Mapping'!$B$42:$B$45,MATCH($A1337,'Category Mapping'!$A$42:$A$45,0),1),0)</f>
        <v>1.1372822897698794E-4</v>
      </c>
      <c r="X1337" s="10">
        <f>IFERROR(X1232/Y$1264/INDEX('Category Mapping'!$B$42:$B$45,MATCH($A1337,'Category Mapping'!$A$42:$A$45,0),1),0)</f>
        <v>1.1372822897698794E-4</v>
      </c>
      <c r="Y1337" s="27"/>
      <c r="Z1337" s="32"/>
    </row>
    <row r="1338" spans="1:26" outlineLevel="1" x14ac:dyDescent="0.3">
      <c r="A1338" t="s">
        <v>163</v>
      </c>
      <c r="B1338" t="s">
        <v>84</v>
      </c>
      <c r="C1338" s="6" t="s">
        <v>159</v>
      </c>
      <c r="D1338" s="10">
        <f>IFERROR(D1233/E$1264/INDEX('Category Mapping'!$B$42:$B$45,MATCH($A1338,'Category Mapping'!$A$42:$A$45,0),1),0)</f>
        <v>2.5638115058971363E-6</v>
      </c>
      <c r="E1338" s="10">
        <f>IFERROR(E1233/F$1264/INDEX('Category Mapping'!$B$42:$B$45,MATCH($A1338,'Category Mapping'!$A$42:$A$45,0),1),0)</f>
        <v>4.5506321742619723E-4</v>
      </c>
      <c r="F1338" s="10">
        <f>IFERROR(F1233/G$1264/INDEX('Category Mapping'!$B$42:$B$45,MATCH($A1338,'Category Mapping'!$A$42:$A$45,0),1),0)</f>
        <v>0</v>
      </c>
      <c r="G1338" s="10">
        <f>IFERROR(G1233/H$1264/INDEX('Category Mapping'!$B$42:$B$45,MATCH($A1338,'Category Mapping'!$A$42:$A$45,0),1),0)</f>
        <v>2.3834498323712297E-4</v>
      </c>
      <c r="H1338" s="10">
        <f>IFERROR(H1233/I$1264/INDEX('Category Mapping'!$B$42:$B$45,MATCH($A1338,'Category Mapping'!$A$42:$A$45,0),1),0)</f>
        <v>1.5384372710874712E-4</v>
      </c>
      <c r="I1338" s="10">
        <f>IFERROR(I1233/J$1264/INDEX('Category Mapping'!$B$42:$B$45,MATCH($A1338,'Category Mapping'!$A$42:$A$45,0),1),0)</f>
        <v>1.5384372710874712E-4</v>
      </c>
      <c r="J1338" s="10">
        <f>IFERROR(J1233/K$1264/INDEX('Category Mapping'!$B$42:$B$45,MATCH($A1338,'Category Mapping'!$A$42:$A$45,0),1),0)</f>
        <v>2.3168060873374555E-6</v>
      </c>
      <c r="K1338" s="10">
        <f>IFERROR(K1233/L$1264/INDEX('Category Mapping'!$B$42:$B$45,MATCH($A1338,'Category Mapping'!$A$42:$A$45,0),1),0)</f>
        <v>3.674401839621641E-4</v>
      </c>
      <c r="L1338" s="10">
        <f>IFERROR(L1233/M$1264/INDEX('Category Mapping'!$B$42:$B$45,MATCH($A1338,'Category Mapping'!$A$42:$A$45,0),1),0)</f>
        <v>0</v>
      </c>
      <c r="M1338" s="10">
        <f>IFERROR(M1233/N$1264/INDEX('Category Mapping'!$B$42:$B$45,MATCH($A1338,'Category Mapping'!$A$42:$A$45,0),1),0)</f>
        <v>8.1644499759444731E-5</v>
      </c>
      <c r="N1338" s="10">
        <f>IFERROR(N1233/O$1264/INDEX('Category Mapping'!$B$42:$B$45,MATCH($A1338,'Category Mapping'!$A$42:$A$45,0),1),0)</f>
        <v>8.1644499759444731E-5</v>
      </c>
      <c r="O1338" s="10">
        <f>IFERROR(O1233/P$1264/INDEX('Category Mapping'!$B$42:$B$45,MATCH($A1338,'Category Mapping'!$A$42:$A$45,0),1),0)</f>
        <v>8.1644499759444731E-5</v>
      </c>
      <c r="P1338" s="10">
        <f>IFERROR(P1233/Q$1264/INDEX('Category Mapping'!$B$42:$B$45,MATCH($A1338,'Category Mapping'!$A$42:$A$45,0),1),0)</f>
        <v>1.1198622346192916E-4</v>
      </c>
      <c r="Q1338" s="10">
        <f>IFERROR(Q1233/R$1264/INDEX('Category Mapping'!$B$42:$B$45,MATCH($A1338,'Category Mapping'!$A$42:$A$45,0),1),0)</f>
        <v>1.1198622346192916E-4</v>
      </c>
      <c r="R1338" s="10">
        <f>IFERROR(R1233/S$1264/INDEX('Category Mapping'!$B$42:$B$45,MATCH($A1338,'Category Mapping'!$A$42:$A$45,0),1),0)</f>
        <v>1.1198622346192916E-4</v>
      </c>
      <c r="S1338" s="10">
        <f>IFERROR(S1233/T$1264/INDEX('Category Mapping'!$B$42:$B$45,MATCH($A1338,'Category Mapping'!$A$42:$A$45,0),1),0)</f>
        <v>1.1198622346192916E-4</v>
      </c>
      <c r="T1338" s="10">
        <f>IFERROR(T1233/U$1264/INDEX('Category Mapping'!$B$42:$B$45,MATCH($A1338,'Category Mapping'!$A$42:$A$45,0),1),0)</f>
        <v>1.1198622346192916E-4</v>
      </c>
      <c r="U1338" s="10">
        <f>IFERROR(U1233/V$1264/INDEX('Category Mapping'!$B$42:$B$45,MATCH($A1338,'Category Mapping'!$A$42:$A$45,0),1),0)</f>
        <v>1.1198622346192916E-4</v>
      </c>
      <c r="V1338" s="10">
        <f>IFERROR(V1233/W$1264/INDEX('Category Mapping'!$B$42:$B$45,MATCH($A1338,'Category Mapping'!$A$42:$A$45,0),1),0)</f>
        <v>1.1268008548223426E-4</v>
      </c>
      <c r="W1338" s="10">
        <f>IFERROR(W1233/X$1264/INDEX('Category Mapping'!$B$42:$B$45,MATCH($A1338,'Category Mapping'!$A$42:$A$45,0),1),0)</f>
        <v>1.1268008548223426E-4</v>
      </c>
      <c r="X1338" s="10">
        <f>IFERROR(X1233/Y$1264/INDEX('Category Mapping'!$B$42:$B$45,MATCH($A1338,'Category Mapping'!$A$42:$A$45,0),1),0)</f>
        <v>1.1268008548223426E-4</v>
      </c>
      <c r="Y1338" s="27"/>
      <c r="Z1338" s="32"/>
    </row>
    <row r="1339" spans="1:26" outlineLevel="1" x14ac:dyDescent="0.3">
      <c r="A1339" t="s">
        <v>163</v>
      </c>
      <c r="B1339" t="s">
        <v>85</v>
      </c>
      <c r="C1339" s="6" t="s">
        <v>160</v>
      </c>
      <c r="D1339" s="10">
        <f>IFERROR(D1234/E$1264/INDEX('Category Mapping'!$B$42:$B$45,MATCH($A1339,'Category Mapping'!$A$42:$A$45,0),1),0)</f>
        <v>1.9282028624145168E-6</v>
      </c>
      <c r="E1339" s="10">
        <f>IFERROR(E1234/F$1264/INDEX('Category Mapping'!$B$42:$B$45,MATCH($A1339,'Category Mapping'!$A$42:$A$45,0),1),0)</f>
        <v>3.8549561580923213E-4</v>
      </c>
      <c r="F1339" s="10">
        <f>IFERROR(F1234/G$1264/INDEX('Category Mapping'!$B$42:$B$45,MATCH($A1339,'Category Mapping'!$A$42:$A$45,0),1),0)</f>
        <v>0</v>
      </c>
      <c r="G1339" s="10">
        <f>IFERROR(G1234/H$1264/INDEX('Category Mapping'!$B$42:$B$45,MATCH($A1339,'Category Mapping'!$A$42:$A$45,0),1),0)</f>
        <v>1.4367496695951492E-4</v>
      </c>
      <c r="H1339" s="10">
        <f>IFERROR(H1234/I$1264/INDEX('Category Mapping'!$B$42:$B$45,MATCH($A1339,'Category Mapping'!$A$42:$A$45,0),1),0)</f>
        <v>1.2233455654705181E-4</v>
      </c>
      <c r="I1339" s="10">
        <f>IFERROR(I1234/J$1264/INDEX('Category Mapping'!$B$42:$B$45,MATCH($A1339,'Category Mapping'!$A$42:$A$45,0),1),0)</f>
        <v>1.2233455654705181E-4</v>
      </c>
      <c r="J1339" s="10">
        <f>IFERROR(J1234/K$1264/INDEX('Category Mapping'!$B$42:$B$45,MATCH($A1339,'Category Mapping'!$A$42:$A$45,0),1),0)</f>
        <v>2.2749077352261851E-6</v>
      </c>
      <c r="K1339" s="10">
        <f>IFERROR(K1234/L$1264/INDEX('Category Mapping'!$B$42:$B$45,MATCH($A1339,'Category Mapping'!$A$42:$A$45,0),1),0)</f>
        <v>3.277870763456464E-4</v>
      </c>
      <c r="L1339" s="10">
        <f>IFERROR(L1234/M$1264/INDEX('Category Mapping'!$B$42:$B$45,MATCH($A1339,'Category Mapping'!$A$42:$A$45,0),1),0)</f>
        <v>0</v>
      </c>
      <c r="M1339" s="10">
        <f>IFERROR(M1234/N$1264/INDEX('Category Mapping'!$B$42:$B$45,MATCH($A1339,'Category Mapping'!$A$42:$A$45,0),1),0)</f>
        <v>6.9807925615561213E-5</v>
      </c>
      <c r="N1339" s="10">
        <f>IFERROR(N1234/O$1264/INDEX('Category Mapping'!$B$42:$B$45,MATCH($A1339,'Category Mapping'!$A$42:$A$45,0),1),0)</f>
        <v>6.9807925615561213E-5</v>
      </c>
      <c r="O1339" s="10">
        <f>IFERROR(O1234/P$1264/INDEX('Category Mapping'!$B$42:$B$45,MATCH($A1339,'Category Mapping'!$A$42:$A$45,0),1),0)</f>
        <v>6.9807925615561213E-5</v>
      </c>
      <c r="P1339" s="10">
        <f>IFERROR(P1234/Q$1264/INDEX('Category Mapping'!$B$42:$B$45,MATCH($A1339,'Category Mapping'!$A$42:$A$45,0),1),0)</f>
        <v>1.0598756181249664E-4</v>
      </c>
      <c r="Q1339" s="10">
        <f>IFERROR(Q1234/R$1264/INDEX('Category Mapping'!$B$42:$B$45,MATCH($A1339,'Category Mapping'!$A$42:$A$45,0),1),0)</f>
        <v>1.0598756181249664E-4</v>
      </c>
      <c r="R1339" s="10">
        <f>IFERROR(R1234/S$1264/INDEX('Category Mapping'!$B$42:$B$45,MATCH($A1339,'Category Mapping'!$A$42:$A$45,0),1),0)</f>
        <v>1.0598756181249664E-4</v>
      </c>
      <c r="S1339" s="10">
        <f>IFERROR(S1234/T$1264/INDEX('Category Mapping'!$B$42:$B$45,MATCH($A1339,'Category Mapping'!$A$42:$A$45,0),1),0)</f>
        <v>1.0598756181249664E-4</v>
      </c>
      <c r="T1339" s="10">
        <f>IFERROR(T1234/U$1264/INDEX('Category Mapping'!$B$42:$B$45,MATCH($A1339,'Category Mapping'!$A$42:$A$45,0),1),0)</f>
        <v>1.0598756181249664E-4</v>
      </c>
      <c r="U1339" s="10">
        <f>IFERROR(U1234/V$1264/INDEX('Category Mapping'!$B$42:$B$45,MATCH($A1339,'Category Mapping'!$A$42:$A$45,0),1),0)</f>
        <v>1.0598756181249664E-4</v>
      </c>
      <c r="V1339" s="10">
        <f>IFERROR(V1234/W$1264/INDEX('Category Mapping'!$B$42:$B$45,MATCH($A1339,'Category Mapping'!$A$42:$A$45,0),1),0)</f>
        <v>1.1174595166814881E-4</v>
      </c>
      <c r="W1339" s="10">
        <f>IFERROR(W1234/X$1264/INDEX('Category Mapping'!$B$42:$B$45,MATCH($A1339,'Category Mapping'!$A$42:$A$45,0),1),0)</f>
        <v>1.1174595166814881E-4</v>
      </c>
      <c r="X1339" s="10">
        <f>IFERROR(X1234/Y$1264/INDEX('Category Mapping'!$B$42:$B$45,MATCH($A1339,'Category Mapping'!$A$42:$A$45,0),1),0)</f>
        <v>1.1174595166814881E-4</v>
      </c>
      <c r="Y1339" s="27"/>
      <c r="Z1339" s="32"/>
    </row>
    <row r="1340" spans="1:26" outlineLevel="1" x14ac:dyDescent="0.3">
      <c r="A1340" t="s">
        <v>163</v>
      </c>
      <c r="B1340" t="s">
        <v>86</v>
      </c>
      <c r="C1340" s="6" t="s">
        <v>161</v>
      </c>
      <c r="D1340" s="10">
        <f>IFERROR(D1235/E$1264/INDEX('Category Mapping'!$B$42:$B$45,MATCH($A1340,'Category Mapping'!$A$42:$A$45,0),1),0)</f>
        <v>1.7120851168100183E-6</v>
      </c>
      <c r="E1340" s="10">
        <f>IFERROR(E1235/F$1264/INDEX('Category Mapping'!$B$42:$B$45,MATCH($A1340,'Category Mapping'!$A$42:$A$45,0),1),0)</f>
        <v>3.2067804627238802E-4</v>
      </c>
      <c r="F1340" s="10">
        <f>IFERROR(F1235/G$1264/INDEX('Category Mapping'!$B$42:$B$45,MATCH($A1340,'Category Mapping'!$A$42:$A$45,0),1),0)</f>
        <v>0</v>
      </c>
      <c r="G1340" s="10">
        <f>IFERROR(G1235/H$1264/INDEX('Category Mapping'!$B$42:$B$45,MATCH($A1340,'Category Mapping'!$A$42:$A$45,0),1),0)</f>
        <v>7.667268291461036E-5</v>
      </c>
      <c r="H1340" s="10">
        <f>IFERROR(H1235/I$1264/INDEX('Category Mapping'!$B$42:$B$45,MATCH($A1340,'Category Mapping'!$A$42:$A$45,0),1),0)</f>
        <v>9.7671366273325086E-5</v>
      </c>
      <c r="I1340" s="10">
        <f>IFERROR(I1235/J$1264/INDEX('Category Mapping'!$B$42:$B$45,MATCH($A1340,'Category Mapping'!$A$42:$A$45,0),1),0)</f>
        <v>9.7671366273325086E-5</v>
      </c>
      <c r="J1340" s="10">
        <f>IFERROR(J1235/K$1264/INDEX('Category Mapping'!$B$42:$B$45,MATCH($A1340,'Category Mapping'!$A$42:$A$45,0),1),0)</f>
        <v>2.3841267481586067E-6</v>
      </c>
      <c r="K1340" s="10">
        <f>IFERROR(K1235/L$1264/INDEX('Category Mapping'!$B$42:$B$45,MATCH($A1340,'Category Mapping'!$A$42:$A$45,0),1),0)</f>
        <v>2.8488202915321432E-4</v>
      </c>
      <c r="L1340" s="10">
        <f>IFERROR(L1235/M$1264/INDEX('Category Mapping'!$B$42:$B$45,MATCH($A1340,'Category Mapping'!$A$42:$A$45,0),1),0)</f>
        <v>0</v>
      </c>
      <c r="M1340" s="10">
        <f>IFERROR(M1235/N$1264/INDEX('Category Mapping'!$B$42:$B$45,MATCH($A1340,'Category Mapping'!$A$42:$A$45,0),1),0)</f>
        <v>6.153259444132931E-5</v>
      </c>
      <c r="N1340" s="10">
        <f>IFERROR(N1235/O$1264/INDEX('Category Mapping'!$B$42:$B$45,MATCH($A1340,'Category Mapping'!$A$42:$A$45,0),1),0)</f>
        <v>6.153259444132931E-5</v>
      </c>
      <c r="O1340" s="10">
        <f>IFERROR(O1235/P$1264/INDEX('Category Mapping'!$B$42:$B$45,MATCH($A1340,'Category Mapping'!$A$42:$A$45,0),1),0)</f>
        <v>6.153259444132931E-5</v>
      </c>
      <c r="P1340" s="10">
        <f>IFERROR(P1235/Q$1264/INDEX('Category Mapping'!$B$42:$B$45,MATCH($A1340,'Category Mapping'!$A$42:$A$45,0),1),0)</f>
        <v>7.1351099138629829E-5</v>
      </c>
      <c r="Q1340" s="10">
        <f>IFERROR(Q1235/R$1264/INDEX('Category Mapping'!$B$42:$B$45,MATCH($A1340,'Category Mapping'!$A$42:$A$45,0),1),0)</f>
        <v>7.1351099138629829E-5</v>
      </c>
      <c r="R1340" s="10">
        <f>IFERROR(R1235/S$1264/INDEX('Category Mapping'!$B$42:$B$45,MATCH($A1340,'Category Mapping'!$A$42:$A$45,0),1),0)</f>
        <v>7.1351099138629829E-5</v>
      </c>
      <c r="S1340" s="10">
        <f>IFERROR(S1235/T$1264/INDEX('Category Mapping'!$B$42:$B$45,MATCH($A1340,'Category Mapping'!$A$42:$A$45,0),1),0)</f>
        <v>7.1351099138629829E-5</v>
      </c>
      <c r="T1340" s="10">
        <f>IFERROR(T1235/U$1264/INDEX('Category Mapping'!$B$42:$B$45,MATCH($A1340,'Category Mapping'!$A$42:$A$45,0),1),0)</f>
        <v>7.1351099138629829E-5</v>
      </c>
      <c r="U1340" s="10">
        <f>IFERROR(U1235/V$1264/INDEX('Category Mapping'!$B$42:$B$45,MATCH($A1340,'Category Mapping'!$A$42:$A$45,0),1),0)</f>
        <v>7.1351099138629829E-5</v>
      </c>
      <c r="V1340" s="10">
        <f>IFERROR(V1235/W$1264/INDEX('Category Mapping'!$B$42:$B$45,MATCH($A1340,'Category Mapping'!$A$42:$A$45,0),1),0)</f>
        <v>1.1110818089318455E-4</v>
      </c>
      <c r="W1340" s="10">
        <f>IFERROR(W1235/X$1264/INDEX('Category Mapping'!$B$42:$B$45,MATCH($A1340,'Category Mapping'!$A$42:$A$45,0),1),0)</f>
        <v>1.1110818089318455E-4</v>
      </c>
      <c r="X1340" s="10">
        <f>IFERROR(X1235/Y$1264/INDEX('Category Mapping'!$B$42:$B$45,MATCH($A1340,'Category Mapping'!$A$42:$A$45,0),1),0)</f>
        <v>1.1110818089318455E-4</v>
      </c>
      <c r="Y1340" s="27"/>
      <c r="Z1340" s="32"/>
    </row>
    <row r="1341" spans="1:26" outlineLevel="1" x14ac:dyDescent="0.3">
      <c r="A1341" t="s">
        <v>164</v>
      </c>
      <c r="B1341" t="s">
        <v>63</v>
      </c>
      <c r="C1341" s="6" t="s">
        <v>138</v>
      </c>
      <c r="D1341" s="10">
        <f>IFERROR(D1236/E$1264/INDEX('Category Mapping'!$B$42:$B$45,MATCH($A1341,'Category Mapping'!$A$42:$A$45,0),1),0)</f>
        <v>3.0663131003821236E-5</v>
      </c>
      <c r="E1341" s="10">
        <f>IFERROR(E1236/F$1264/INDEX('Category Mapping'!$B$42:$B$45,MATCH($A1341,'Category Mapping'!$A$42:$A$45,0),1),0)</f>
        <v>9.8414144378787798E-6</v>
      </c>
      <c r="F1341" s="10">
        <f>IFERROR(F1236/G$1264/INDEX('Category Mapping'!$B$42:$B$45,MATCH($A1341,'Category Mapping'!$A$42:$A$45,0),1),0)</f>
        <v>0</v>
      </c>
      <c r="G1341" s="10">
        <f>IFERROR(G1236/H$1264/INDEX('Category Mapping'!$B$42:$B$45,MATCH($A1341,'Category Mapping'!$A$42:$A$45,0),1),0)</f>
        <v>5.7294130100347586E-5</v>
      </c>
      <c r="H1341" s="10">
        <f>IFERROR(H1236/I$1264/INDEX('Category Mapping'!$B$42:$B$45,MATCH($A1341,'Category Mapping'!$A$42:$A$45,0),1),0)</f>
        <v>7.7184878085595254E-5</v>
      </c>
      <c r="I1341" s="10">
        <f>IFERROR(I1236/J$1264/INDEX('Category Mapping'!$B$42:$B$45,MATCH($A1341,'Category Mapping'!$A$42:$A$45,0),1),0)</f>
        <v>7.7184878085595254E-5</v>
      </c>
      <c r="J1341" s="10">
        <f>IFERROR(J1236/K$1264/INDEX('Category Mapping'!$B$42:$B$45,MATCH($A1341,'Category Mapping'!$A$42:$A$45,0),1),0)</f>
        <v>4.2165199570591295E-5</v>
      </c>
      <c r="K1341" s="10">
        <f>IFERROR(K1236/L$1264/INDEX('Category Mapping'!$B$42:$B$45,MATCH($A1341,'Category Mapping'!$A$42:$A$45,0),1),0)</f>
        <v>3.9536249376001439E-5</v>
      </c>
      <c r="L1341" s="10">
        <f>IFERROR(L1236/M$1264/INDEX('Category Mapping'!$B$42:$B$45,MATCH($A1341,'Category Mapping'!$A$42:$A$45,0),1),0)</f>
        <v>0</v>
      </c>
      <c r="M1341" s="10">
        <f>IFERROR(M1236/N$1264/INDEX('Category Mapping'!$B$42:$B$45,MATCH($A1341,'Category Mapping'!$A$42:$A$45,0),1),0)</f>
        <v>5.351799349587557E-5</v>
      </c>
      <c r="N1341" s="10">
        <f>IFERROR(N1236/O$1264/INDEX('Category Mapping'!$B$42:$B$45,MATCH($A1341,'Category Mapping'!$A$42:$A$45,0),1),0)</f>
        <v>5.351799349587557E-5</v>
      </c>
      <c r="O1341" s="10">
        <f>IFERROR(O1236/P$1264/INDEX('Category Mapping'!$B$42:$B$45,MATCH($A1341,'Category Mapping'!$A$42:$A$45,0),1),0)</f>
        <v>5.351799349587557E-5</v>
      </c>
      <c r="P1341" s="10">
        <f>IFERROR(P1236/Q$1264/INDEX('Category Mapping'!$B$42:$B$45,MATCH($A1341,'Category Mapping'!$A$42:$A$45,0),1),0)</f>
        <v>5.3002506678019106E-5</v>
      </c>
      <c r="Q1341" s="10">
        <f>IFERROR(Q1236/R$1264/INDEX('Category Mapping'!$B$42:$B$45,MATCH($A1341,'Category Mapping'!$A$42:$A$45,0),1),0)</f>
        <v>5.3002506678019106E-5</v>
      </c>
      <c r="R1341" s="10">
        <f>IFERROR(R1236/S$1264/INDEX('Category Mapping'!$B$42:$B$45,MATCH($A1341,'Category Mapping'!$A$42:$A$45,0),1),0)</f>
        <v>5.3002506678019106E-5</v>
      </c>
      <c r="S1341" s="10">
        <f>IFERROR(S1236/T$1264/INDEX('Category Mapping'!$B$42:$B$45,MATCH($A1341,'Category Mapping'!$A$42:$A$45,0),1),0)</f>
        <v>5.3002506678019106E-5</v>
      </c>
      <c r="T1341" s="10">
        <f>IFERROR(T1236/U$1264/INDEX('Category Mapping'!$B$42:$B$45,MATCH($A1341,'Category Mapping'!$A$42:$A$45,0),1),0)</f>
        <v>5.3002506678019106E-5</v>
      </c>
      <c r="U1341" s="10">
        <f>IFERROR(U1236/V$1264/INDEX('Category Mapping'!$B$42:$B$45,MATCH($A1341,'Category Mapping'!$A$42:$A$45,0),1),0)</f>
        <v>5.3002506678019106E-5</v>
      </c>
      <c r="V1341" s="10">
        <f>IFERROR(V1236/W$1264/INDEX('Category Mapping'!$B$42:$B$45,MATCH($A1341,'Category Mapping'!$A$42:$A$45,0),1),0)</f>
        <v>1.1300049612541657E-4</v>
      </c>
      <c r="W1341" s="10">
        <f>IFERROR(W1236/X$1264/INDEX('Category Mapping'!$B$42:$B$45,MATCH($A1341,'Category Mapping'!$A$42:$A$45,0),1),0)</f>
        <v>1.1300049612541657E-4</v>
      </c>
      <c r="X1341" s="10">
        <f>IFERROR(X1236/Y$1264/INDEX('Category Mapping'!$B$42:$B$45,MATCH($A1341,'Category Mapping'!$A$42:$A$45,0),1),0)</f>
        <v>1.1300049612541657E-4</v>
      </c>
      <c r="Y1341" s="27"/>
      <c r="Z1341" s="32"/>
    </row>
    <row r="1342" spans="1:26" outlineLevel="1" x14ac:dyDescent="0.3">
      <c r="A1342" t="s">
        <v>164</v>
      </c>
      <c r="B1342" t="s">
        <v>64</v>
      </c>
      <c r="C1342" s="6" t="s">
        <v>139</v>
      </c>
      <c r="D1342" s="10">
        <f>IFERROR(D1237/E$1264/INDEX('Category Mapping'!$B$42:$B$45,MATCH($A1342,'Category Mapping'!$A$42:$A$45,0),1),0)</f>
        <v>3.0663131003821236E-5</v>
      </c>
      <c r="E1342" s="10">
        <f>IFERROR(E1237/F$1264/INDEX('Category Mapping'!$B$42:$B$45,MATCH($A1342,'Category Mapping'!$A$42:$A$45,0),1),0)</f>
        <v>8.8889636721966644E-6</v>
      </c>
      <c r="F1342" s="10">
        <f>IFERROR(F1237/G$1264/INDEX('Category Mapping'!$B$42:$B$45,MATCH($A1342,'Category Mapping'!$A$42:$A$45,0),1),0)</f>
        <v>0</v>
      </c>
      <c r="G1342" s="10">
        <f>IFERROR(G1237/H$1264/INDEX('Category Mapping'!$B$42:$B$45,MATCH($A1342,'Category Mapping'!$A$42:$A$45,0),1),0)</f>
        <v>5.209191417645944E-5</v>
      </c>
      <c r="H1342" s="10">
        <f>IFERROR(H1237/I$1264/INDEX('Category Mapping'!$B$42:$B$45,MATCH($A1342,'Category Mapping'!$A$42:$A$45,0),1),0)</f>
        <v>5.6581605571403379E-5</v>
      </c>
      <c r="I1342" s="10">
        <f>IFERROR(I1237/J$1264/INDEX('Category Mapping'!$B$42:$B$45,MATCH($A1342,'Category Mapping'!$A$42:$A$45,0),1),0)</f>
        <v>5.6581605571403379E-5</v>
      </c>
      <c r="J1342" s="10">
        <f>IFERROR(J1237/K$1264/INDEX('Category Mapping'!$B$42:$B$45,MATCH($A1342,'Category Mapping'!$A$42:$A$45,0),1),0)</f>
        <v>3.849663909887871E-5</v>
      </c>
      <c r="K1342" s="10">
        <f>IFERROR(K1237/L$1264/INDEX('Category Mapping'!$B$42:$B$45,MATCH($A1342,'Category Mapping'!$A$42:$A$45,0),1),0)</f>
        <v>3.7437722002430709E-5</v>
      </c>
      <c r="L1342" s="10">
        <f>IFERROR(L1237/M$1264/INDEX('Category Mapping'!$B$42:$B$45,MATCH($A1342,'Category Mapping'!$A$42:$A$45,0),1),0)</f>
        <v>0</v>
      </c>
      <c r="M1342" s="10">
        <f>IFERROR(M1237/N$1264/INDEX('Category Mapping'!$B$42:$B$45,MATCH($A1342,'Category Mapping'!$A$42:$A$45,0),1),0)</f>
        <v>5.1753704184486503E-5</v>
      </c>
      <c r="N1342" s="10">
        <f>IFERROR(N1237/O$1264/INDEX('Category Mapping'!$B$42:$B$45,MATCH($A1342,'Category Mapping'!$A$42:$A$45,0),1),0)</f>
        <v>5.1753704184486503E-5</v>
      </c>
      <c r="O1342" s="10">
        <f>IFERROR(O1237/P$1264/INDEX('Category Mapping'!$B$42:$B$45,MATCH($A1342,'Category Mapping'!$A$42:$A$45,0),1),0)</f>
        <v>5.1753704184486503E-5</v>
      </c>
      <c r="P1342" s="10">
        <f>IFERROR(P1237/Q$1264/INDEX('Category Mapping'!$B$42:$B$45,MATCH($A1342,'Category Mapping'!$A$42:$A$45,0),1),0)</f>
        <v>5.1905326948490632E-5</v>
      </c>
      <c r="Q1342" s="10">
        <f>IFERROR(Q1237/R$1264/INDEX('Category Mapping'!$B$42:$B$45,MATCH($A1342,'Category Mapping'!$A$42:$A$45,0),1),0)</f>
        <v>5.1905326948490632E-5</v>
      </c>
      <c r="R1342" s="10">
        <f>IFERROR(R1237/S$1264/INDEX('Category Mapping'!$B$42:$B$45,MATCH($A1342,'Category Mapping'!$A$42:$A$45,0),1),0)</f>
        <v>5.1905326948490632E-5</v>
      </c>
      <c r="S1342" s="10">
        <f>IFERROR(S1237/T$1264/INDEX('Category Mapping'!$B$42:$B$45,MATCH($A1342,'Category Mapping'!$A$42:$A$45,0),1),0)</f>
        <v>5.1905326948490632E-5</v>
      </c>
      <c r="T1342" s="10">
        <f>IFERROR(T1237/U$1264/INDEX('Category Mapping'!$B$42:$B$45,MATCH($A1342,'Category Mapping'!$A$42:$A$45,0),1),0)</f>
        <v>5.1905326948490632E-5</v>
      </c>
      <c r="U1342" s="10">
        <f>IFERROR(U1237/V$1264/INDEX('Category Mapping'!$B$42:$B$45,MATCH($A1342,'Category Mapping'!$A$42:$A$45,0),1),0)</f>
        <v>5.1905326948490632E-5</v>
      </c>
      <c r="V1342" s="10">
        <f>IFERROR(V1237/W$1264/INDEX('Category Mapping'!$B$42:$B$45,MATCH($A1342,'Category Mapping'!$A$42:$A$45,0),1),0)</f>
        <v>1.1282854709883497E-4</v>
      </c>
      <c r="W1342" s="10">
        <f>IFERROR(W1237/X$1264/INDEX('Category Mapping'!$B$42:$B$45,MATCH($A1342,'Category Mapping'!$A$42:$A$45,0),1),0)</f>
        <v>1.1282854709883497E-4</v>
      </c>
      <c r="X1342" s="10">
        <f>IFERROR(X1237/Y$1264/INDEX('Category Mapping'!$B$42:$B$45,MATCH($A1342,'Category Mapping'!$A$42:$A$45,0),1),0)</f>
        <v>1.1282854709883497E-4</v>
      </c>
      <c r="Y1342" s="27"/>
      <c r="Z1342" s="32"/>
    </row>
    <row r="1343" spans="1:26" outlineLevel="1" x14ac:dyDescent="0.3">
      <c r="A1343" t="s">
        <v>164</v>
      </c>
      <c r="B1343" t="s">
        <v>65</v>
      </c>
      <c r="C1343" s="6" t="s">
        <v>140</v>
      </c>
      <c r="D1343" s="10">
        <f>IFERROR(D1238/E$1264/INDEX('Category Mapping'!$B$42:$B$45,MATCH($A1343,'Category Mapping'!$A$42:$A$45,0),1),0)</f>
        <v>3.0701045543059168E-5</v>
      </c>
      <c r="E1343" s="10">
        <f>IFERROR(E1238/F$1264/INDEX('Category Mapping'!$B$42:$B$45,MATCH($A1343,'Category Mapping'!$A$42:$A$45,0),1),0)</f>
        <v>8.5886489999826512E-6</v>
      </c>
      <c r="F1343" s="10">
        <f>IFERROR(F1238/G$1264/INDEX('Category Mapping'!$B$42:$B$45,MATCH($A1343,'Category Mapping'!$A$42:$A$45,0),1),0)</f>
        <v>0</v>
      </c>
      <c r="G1343" s="10">
        <f>IFERROR(G1238/H$1264/INDEX('Category Mapping'!$B$42:$B$45,MATCH($A1343,'Category Mapping'!$A$42:$A$45,0),1),0)</f>
        <v>5.1443125441088054E-5</v>
      </c>
      <c r="H1343" s="10">
        <f>IFERROR(H1238/I$1264/INDEX('Category Mapping'!$B$42:$B$45,MATCH($A1343,'Category Mapping'!$A$42:$A$45,0),1),0)</f>
        <v>4.5043514525345604E-5</v>
      </c>
      <c r="I1343" s="10">
        <f>IFERROR(I1238/J$1264/INDEX('Category Mapping'!$B$42:$B$45,MATCH($A1343,'Category Mapping'!$A$42:$A$45,0),1),0)</f>
        <v>4.5043514525345604E-5</v>
      </c>
      <c r="J1343" s="10">
        <f>IFERROR(J1238/K$1264/INDEX('Category Mapping'!$B$42:$B$45,MATCH($A1343,'Category Mapping'!$A$42:$A$45,0),1),0)</f>
        <v>3.8903199330163361E-5</v>
      </c>
      <c r="K1343" s="10">
        <f>IFERROR(K1238/L$1264/INDEX('Category Mapping'!$B$42:$B$45,MATCH($A1343,'Category Mapping'!$A$42:$A$45,0),1),0)</f>
        <v>3.657125525207936E-5</v>
      </c>
      <c r="L1343" s="10">
        <f>IFERROR(L1238/M$1264/INDEX('Category Mapping'!$B$42:$B$45,MATCH($A1343,'Category Mapping'!$A$42:$A$45,0),1),0)</f>
        <v>0</v>
      </c>
      <c r="M1343" s="10">
        <f>IFERROR(M1238/N$1264/INDEX('Category Mapping'!$B$42:$B$45,MATCH($A1343,'Category Mapping'!$A$42:$A$45,0),1),0)</f>
        <v>5.1388364525647789E-5</v>
      </c>
      <c r="N1343" s="10">
        <f>IFERROR(N1238/O$1264/INDEX('Category Mapping'!$B$42:$B$45,MATCH($A1343,'Category Mapping'!$A$42:$A$45,0),1),0)</f>
        <v>5.1388364525647789E-5</v>
      </c>
      <c r="O1343" s="10">
        <f>IFERROR(O1238/P$1264/INDEX('Category Mapping'!$B$42:$B$45,MATCH($A1343,'Category Mapping'!$A$42:$A$45,0),1),0)</f>
        <v>5.1388364525647789E-5</v>
      </c>
      <c r="P1343" s="10">
        <f>IFERROR(P1238/Q$1264/INDEX('Category Mapping'!$B$42:$B$45,MATCH($A1343,'Category Mapping'!$A$42:$A$45,0),1),0)</f>
        <v>5.1616008629759378E-5</v>
      </c>
      <c r="Q1343" s="10">
        <f>IFERROR(Q1238/R$1264/INDEX('Category Mapping'!$B$42:$B$45,MATCH($A1343,'Category Mapping'!$A$42:$A$45,0),1),0)</f>
        <v>5.1616008629759378E-5</v>
      </c>
      <c r="R1343" s="10">
        <f>IFERROR(R1238/S$1264/INDEX('Category Mapping'!$B$42:$B$45,MATCH($A1343,'Category Mapping'!$A$42:$A$45,0),1),0)</f>
        <v>5.1616008629759378E-5</v>
      </c>
      <c r="S1343" s="10">
        <f>IFERROR(S1238/T$1264/INDEX('Category Mapping'!$B$42:$B$45,MATCH($A1343,'Category Mapping'!$A$42:$A$45,0),1),0)</f>
        <v>5.1616008629759378E-5</v>
      </c>
      <c r="T1343" s="10">
        <f>IFERROR(T1238/U$1264/INDEX('Category Mapping'!$B$42:$B$45,MATCH($A1343,'Category Mapping'!$A$42:$A$45,0),1),0)</f>
        <v>5.1616008629759378E-5</v>
      </c>
      <c r="U1343" s="10">
        <f>IFERROR(U1238/V$1264/INDEX('Category Mapping'!$B$42:$B$45,MATCH($A1343,'Category Mapping'!$A$42:$A$45,0),1),0)</f>
        <v>5.1616008629759378E-5</v>
      </c>
      <c r="V1343" s="10">
        <f>IFERROR(V1238/W$1264/INDEX('Category Mapping'!$B$42:$B$45,MATCH($A1343,'Category Mapping'!$A$42:$A$45,0),1),0)</f>
        <v>1.1275826820513676E-4</v>
      </c>
      <c r="W1343" s="10">
        <f>IFERROR(W1238/X$1264/INDEX('Category Mapping'!$B$42:$B$45,MATCH($A1343,'Category Mapping'!$A$42:$A$45,0),1),0)</f>
        <v>1.1275826820513676E-4</v>
      </c>
      <c r="X1343" s="10">
        <f>IFERROR(X1238/Y$1264/INDEX('Category Mapping'!$B$42:$B$45,MATCH($A1343,'Category Mapping'!$A$42:$A$45,0),1),0)</f>
        <v>1.1275826820513676E-4</v>
      </c>
      <c r="Y1343" s="27"/>
      <c r="Z1343" s="32"/>
    </row>
    <row r="1344" spans="1:26" outlineLevel="1" x14ac:dyDescent="0.3">
      <c r="A1344" t="s">
        <v>164</v>
      </c>
      <c r="B1344" t="s">
        <v>66</v>
      </c>
      <c r="C1344" s="6" t="s">
        <v>141</v>
      </c>
      <c r="D1344" s="10">
        <f>IFERROR(D1239/E$1264/INDEX('Category Mapping'!$B$42:$B$45,MATCH($A1344,'Category Mapping'!$A$42:$A$45,0),1),0)</f>
        <v>3.0663131003821236E-5</v>
      </c>
      <c r="E1344" s="10">
        <f>IFERROR(E1239/F$1264/INDEX('Category Mapping'!$B$42:$B$45,MATCH($A1344,'Category Mapping'!$A$42:$A$45,0),1),0)</f>
        <v>8.9421902036331646E-6</v>
      </c>
      <c r="F1344" s="10">
        <f>IFERROR(F1239/G$1264/INDEX('Category Mapping'!$B$42:$B$45,MATCH($A1344,'Category Mapping'!$A$42:$A$45,0),1),0)</f>
        <v>0</v>
      </c>
      <c r="G1344" s="10">
        <f>IFERROR(G1239/H$1264/INDEX('Category Mapping'!$B$42:$B$45,MATCH($A1344,'Category Mapping'!$A$42:$A$45,0),1),0)</f>
        <v>5.2451040854501317E-5</v>
      </c>
      <c r="H1344" s="10">
        <f>IFERROR(H1239/I$1264/INDEX('Category Mapping'!$B$42:$B$45,MATCH($A1344,'Category Mapping'!$A$42:$A$45,0),1),0)</f>
        <v>3.8599984294994036E-5</v>
      </c>
      <c r="I1344" s="10">
        <f>IFERROR(I1239/J$1264/INDEX('Category Mapping'!$B$42:$B$45,MATCH($A1344,'Category Mapping'!$A$42:$A$45,0),1),0)</f>
        <v>3.8599984294994036E-5</v>
      </c>
      <c r="J1344" s="10">
        <f>IFERROR(J1239/K$1264/INDEX('Category Mapping'!$B$42:$B$45,MATCH($A1344,'Category Mapping'!$A$42:$A$45,0),1),0)</f>
        <v>3.9530753836465041E-5</v>
      </c>
      <c r="K1344" s="10">
        <f>IFERROR(K1239/L$1264/INDEX('Category Mapping'!$B$42:$B$45,MATCH($A1344,'Category Mapping'!$A$42:$A$45,0),1),0)</f>
        <v>3.6178480031768118E-5</v>
      </c>
      <c r="L1344" s="10">
        <f>IFERROR(L1239/M$1264/INDEX('Category Mapping'!$B$42:$B$45,MATCH($A1344,'Category Mapping'!$A$42:$A$45,0),1),0)</f>
        <v>0</v>
      </c>
      <c r="M1344" s="10">
        <f>IFERROR(M1239/N$1264/INDEX('Category Mapping'!$B$42:$B$45,MATCH($A1344,'Category Mapping'!$A$42:$A$45,0),1),0)</f>
        <v>5.3422510025025046E-5</v>
      </c>
      <c r="N1344" s="10">
        <f>IFERROR(N1239/O$1264/INDEX('Category Mapping'!$B$42:$B$45,MATCH($A1344,'Category Mapping'!$A$42:$A$45,0),1),0)</f>
        <v>5.3422510025025046E-5</v>
      </c>
      <c r="O1344" s="10">
        <f>IFERROR(O1239/P$1264/INDEX('Category Mapping'!$B$42:$B$45,MATCH($A1344,'Category Mapping'!$A$42:$A$45,0),1),0)</f>
        <v>5.3422510025025046E-5</v>
      </c>
      <c r="P1344" s="10">
        <f>IFERROR(P1239/Q$1264/INDEX('Category Mapping'!$B$42:$B$45,MATCH($A1344,'Category Mapping'!$A$42:$A$45,0),1),0)</f>
        <v>5.1763429400469567E-5</v>
      </c>
      <c r="Q1344" s="10">
        <f>IFERROR(Q1239/R$1264/INDEX('Category Mapping'!$B$42:$B$45,MATCH($A1344,'Category Mapping'!$A$42:$A$45,0),1),0)</f>
        <v>5.1763429400469567E-5</v>
      </c>
      <c r="R1344" s="10">
        <f>IFERROR(R1239/S$1264/INDEX('Category Mapping'!$B$42:$B$45,MATCH($A1344,'Category Mapping'!$A$42:$A$45,0),1),0)</f>
        <v>5.1763429400469567E-5</v>
      </c>
      <c r="S1344" s="10">
        <f>IFERROR(S1239/T$1264/INDEX('Category Mapping'!$B$42:$B$45,MATCH($A1344,'Category Mapping'!$A$42:$A$45,0),1),0)</f>
        <v>5.1763429400469567E-5</v>
      </c>
      <c r="T1344" s="10">
        <f>IFERROR(T1239/U$1264/INDEX('Category Mapping'!$B$42:$B$45,MATCH($A1344,'Category Mapping'!$A$42:$A$45,0),1),0)</f>
        <v>5.1763429400469567E-5</v>
      </c>
      <c r="U1344" s="10">
        <f>IFERROR(U1239/V$1264/INDEX('Category Mapping'!$B$42:$B$45,MATCH($A1344,'Category Mapping'!$A$42:$A$45,0),1),0)</f>
        <v>5.1763429400469567E-5</v>
      </c>
      <c r="V1344" s="10">
        <f>IFERROR(V1239/W$1264/INDEX('Category Mapping'!$B$42:$B$45,MATCH($A1344,'Category Mapping'!$A$42:$A$45,0),1),0)</f>
        <v>1.1288570726570951E-4</v>
      </c>
      <c r="W1344" s="10">
        <f>IFERROR(W1239/X$1264/INDEX('Category Mapping'!$B$42:$B$45,MATCH($A1344,'Category Mapping'!$A$42:$A$45,0),1),0)</f>
        <v>1.1288570726570951E-4</v>
      </c>
      <c r="X1344" s="10">
        <f>IFERROR(X1239/Y$1264/INDEX('Category Mapping'!$B$42:$B$45,MATCH($A1344,'Category Mapping'!$A$42:$A$45,0),1),0)</f>
        <v>1.1288570726570951E-4</v>
      </c>
      <c r="Y1344" s="27"/>
      <c r="Z1344" s="32"/>
    </row>
    <row r="1345" spans="1:26" outlineLevel="1" x14ac:dyDescent="0.3">
      <c r="A1345" t="s">
        <v>164</v>
      </c>
      <c r="B1345" t="s">
        <v>67</v>
      </c>
      <c r="C1345" s="6" t="s">
        <v>142</v>
      </c>
      <c r="D1345" s="10">
        <f>IFERROR(D1240/E$1264/INDEX('Category Mapping'!$B$42:$B$45,MATCH($A1345,'Category Mapping'!$A$42:$A$45,0),1),0)</f>
        <v>3.0663131003821236E-5</v>
      </c>
      <c r="E1345" s="10">
        <f>IFERROR(E1240/F$1264/INDEX('Category Mapping'!$B$42:$B$45,MATCH($A1345,'Category Mapping'!$A$42:$A$45,0),1),0)</f>
        <v>9.7507474458615398E-6</v>
      </c>
      <c r="F1345" s="10">
        <f>IFERROR(F1240/G$1264/INDEX('Category Mapping'!$B$42:$B$45,MATCH($A1345,'Category Mapping'!$A$42:$A$45,0),1),0)</f>
        <v>0</v>
      </c>
      <c r="G1345" s="10">
        <f>IFERROR(G1240/H$1264/INDEX('Category Mapping'!$B$42:$B$45,MATCH($A1345,'Category Mapping'!$A$42:$A$45,0),1),0)</f>
        <v>6.5209677944227441E-5</v>
      </c>
      <c r="H1345" s="10">
        <f>IFERROR(H1240/I$1264/INDEX('Category Mapping'!$B$42:$B$45,MATCH($A1345,'Category Mapping'!$A$42:$A$45,0),1),0)</f>
        <v>4.0499206571437134E-5</v>
      </c>
      <c r="I1345" s="10">
        <f>IFERROR(I1240/J$1264/INDEX('Category Mapping'!$B$42:$B$45,MATCH($A1345,'Category Mapping'!$A$42:$A$45,0),1),0)</f>
        <v>4.0499206571437134E-5</v>
      </c>
      <c r="J1345" s="10">
        <f>IFERROR(J1240/K$1264/INDEX('Category Mapping'!$B$42:$B$45,MATCH($A1345,'Category Mapping'!$A$42:$A$45,0),1),0)</f>
        <v>3.8390707525666876E-5</v>
      </c>
      <c r="K1345" s="10">
        <f>IFERROR(K1240/L$1264/INDEX('Category Mapping'!$B$42:$B$45,MATCH($A1345,'Category Mapping'!$A$42:$A$45,0),1),0)</f>
        <v>3.6199910785159501E-5</v>
      </c>
      <c r="L1345" s="10">
        <f>IFERROR(L1240/M$1264/INDEX('Category Mapping'!$B$42:$B$45,MATCH($A1345,'Category Mapping'!$A$42:$A$45,0),1),0)</f>
        <v>0</v>
      </c>
      <c r="M1345" s="10">
        <f>IFERROR(M1240/N$1264/INDEX('Category Mapping'!$B$42:$B$45,MATCH($A1345,'Category Mapping'!$A$42:$A$45,0),1),0)</f>
        <v>5.623822571914931E-5</v>
      </c>
      <c r="N1345" s="10">
        <f>IFERROR(N1240/O$1264/INDEX('Category Mapping'!$B$42:$B$45,MATCH($A1345,'Category Mapping'!$A$42:$A$45,0),1),0)</f>
        <v>5.623822571914931E-5</v>
      </c>
      <c r="O1345" s="10">
        <f>IFERROR(O1240/P$1264/INDEX('Category Mapping'!$B$42:$B$45,MATCH($A1345,'Category Mapping'!$A$42:$A$45,0),1),0)</f>
        <v>5.623822571914931E-5</v>
      </c>
      <c r="P1345" s="10">
        <f>IFERROR(P1240/Q$1264/INDEX('Category Mapping'!$B$42:$B$45,MATCH($A1345,'Category Mapping'!$A$42:$A$45,0),1),0)</f>
        <v>5.1559733903778758E-5</v>
      </c>
      <c r="Q1345" s="10">
        <f>IFERROR(Q1240/R$1264/INDEX('Category Mapping'!$B$42:$B$45,MATCH($A1345,'Category Mapping'!$A$42:$A$45,0),1),0)</f>
        <v>5.1559733903778758E-5</v>
      </c>
      <c r="R1345" s="10">
        <f>IFERROR(R1240/S$1264/INDEX('Category Mapping'!$B$42:$B$45,MATCH($A1345,'Category Mapping'!$A$42:$A$45,0),1),0)</f>
        <v>5.1559733903778758E-5</v>
      </c>
      <c r="S1345" s="10">
        <f>IFERROR(S1240/T$1264/INDEX('Category Mapping'!$B$42:$B$45,MATCH($A1345,'Category Mapping'!$A$42:$A$45,0),1),0)</f>
        <v>5.1559733903778758E-5</v>
      </c>
      <c r="T1345" s="10">
        <f>IFERROR(T1240/U$1264/INDEX('Category Mapping'!$B$42:$B$45,MATCH($A1345,'Category Mapping'!$A$42:$A$45,0),1),0)</f>
        <v>5.1559733903778758E-5</v>
      </c>
      <c r="U1345" s="10">
        <f>IFERROR(U1240/V$1264/INDEX('Category Mapping'!$B$42:$B$45,MATCH($A1345,'Category Mapping'!$A$42:$A$45,0),1),0)</f>
        <v>5.1559733903778758E-5</v>
      </c>
      <c r="V1345" s="10">
        <f>IFERROR(V1240/W$1264/INDEX('Category Mapping'!$B$42:$B$45,MATCH($A1345,'Category Mapping'!$A$42:$A$45,0),1),0)</f>
        <v>1.133148770432265E-4</v>
      </c>
      <c r="W1345" s="10">
        <f>IFERROR(W1240/X$1264/INDEX('Category Mapping'!$B$42:$B$45,MATCH($A1345,'Category Mapping'!$A$42:$A$45,0),1),0)</f>
        <v>1.133148770432265E-4</v>
      </c>
      <c r="X1345" s="10">
        <f>IFERROR(X1240/Y$1264/INDEX('Category Mapping'!$B$42:$B$45,MATCH($A1345,'Category Mapping'!$A$42:$A$45,0),1),0)</f>
        <v>1.133148770432265E-4</v>
      </c>
      <c r="Y1345" s="27"/>
      <c r="Z1345" s="32"/>
    </row>
    <row r="1346" spans="1:26" outlineLevel="1" x14ac:dyDescent="0.3">
      <c r="A1346" t="s">
        <v>164</v>
      </c>
      <c r="B1346" t="s">
        <v>68</v>
      </c>
      <c r="C1346" s="6" t="s">
        <v>143</v>
      </c>
      <c r="D1346" s="10">
        <f>IFERROR(D1241/E$1264/INDEX('Category Mapping'!$B$42:$B$45,MATCH($A1346,'Category Mapping'!$A$42:$A$45,0),1),0)</f>
        <v>4.4781672278785697E-5</v>
      </c>
      <c r="E1346" s="10">
        <f>IFERROR(E1241/F$1264/INDEX('Category Mapping'!$B$42:$B$45,MATCH($A1346,'Category Mapping'!$A$42:$A$45,0),1),0)</f>
        <v>1.1425597634764762E-5</v>
      </c>
      <c r="F1346" s="10">
        <f>IFERROR(F1241/G$1264/INDEX('Category Mapping'!$B$42:$B$45,MATCH($A1346,'Category Mapping'!$A$42:$A$45,0),1),0)</f>
        <v>0</v>
      </c>
      <c r="G1346" s="10">
        <f>IFERROR(G1241/H$1264/INDEX('Category Mapping'!$B$42:$B$45,MATCH($A1346,'Category Mapping'!$A$42:$A$45,0),1),0)</f>
        <v>1.0811753124574068E-4</v>
      </c>
      <c r="H1346" s="10">
        <f>IFERROR(H1241/I$1264/INDEX('Category Mapping'!$B$42:$B$45,MATCH($A1346,'Category Mapping'!$A$42:$A$45,0),1),0)</f>
        <v>5.4089707212025293E-5</v>
      </c>
      <c r="I1346" s="10">
        <f>IFERROR(I1241/J$1264/INDEX('Category Mapping'!$B$42:$B$45,MATCH($A1346,'Category Mapping'!$A$42:$A$45,0),1),0)</f>
        <v>5.4089707212025293E-5</v>
      </c>
      <c r="J1346" s="10">
        <f>IFERROR(J1241/K$1264/INDEX('Category Mapping'!$B$42:$B$45,MATCH($A1346,'Category Mapping'!$A$42:$A$45,0),1),0)</f>
        <v>6.1242395068487575E-5</v>
      </c>
      <c r="K1346" s="10">
        <f>IFERROR(K1241/L$1264/INDEX('Category Mapping'!$B$42:$B$45,MATCH($A1346,'Category Mapping'!$A$42:$A$45,0),1),0)</f>
        <v>3.7535081759270455E-5</v>
      </c>
      <c r="L1346" s="10">
        <f>IFERROR(L1241/M$1264/INDEX('Category Mapping'!$B$42:$B$45,MATCH($A1346,'Category Mapping'!$A$42:$A$45,0),1),0)</f>
        <v>0</v>
      </c>
      <c r="M1346" s="10">
        <f>IFERROR(M1241/N$1264/INDEX('Category Mapping'!$B$42:$B$45,MATCH($A1346,'Category Mapping'!$A$42:$A$45,0),1),0)</f>
        <v>6.4806990266712885E-5</v>
      </c>
      <c r="N1346" s="10">
        <f>IFERROR(N1241/O$1264/INDEX('Category Mapping'!$B$42:$B$45,MATCH($A1346,'Category Mapping'!$A$42:$A$45,0),1),0)</f>
        <v>6.4806990266712885E-5</v>
      </c>
      <c r="O1346" s="10">
        <f>IFERROR(O1241/P$1264/INDEX('Category Mapping'!$B$42:$B$45,MATCH($A1346,'Category Mapping'!$A$42:$A$45,0),1),0)</f>
        <v>6.4806990266712885E-5</v>
      </c>
      <c r="P1346" s="10">
        <f>IFERROR(P1241/Q$1264/INDEX('Category Mapping'!$B$42:$B$45,MATCH($A1346,'Category Mapping'!$A$42:$A$45,0),1),0)</f>
        <v>5.2848919166663355E-5</v>
      </c>
      <c r="Q1346" s="10">
        <f>IFERROR(Q1241/R$1264/INDEX('Category Mapping'!$B$42:$B$45,MATCH($A1346,'Category Mapping'!$A$42:$A$45,0),1),0)</f>
        <v>5.2848919166663355E-5</v>
      </c>
      <c r="R1346" s="10">
        <f>IFERROR(R1241/S$1264/INDEX('Category Mapping'!$B$42:$B$45,MATCH($A1346,'Category Mapping'!$A$42:$A$45,0),1),0)</f>
        <v>5.2848919166663355E-5</v>
      </c>
      <c r="S1346" s="10">
        <f>IFERROR(S1241/T$1264/INDEX('Category Mapping'!$B$42:$B$45,MATCH($A1346,'Category Mapping'!$A$42:$A$45,0),1),0)</f>
        <v>5.2848919166663355E-5</v>
      </c>
      <c r="T1346" s="10">
        <f>IFERROR(T1241/U$1264/INDEX('Category Mapping'!$B$42:$B$45,MATCH($A1346,'Category Mapping'!$A$42:$A$45,0),1),0)</f>
        <v>5.2848919166663355E-5</v>
      </c>
      <c r="U1346" s="10">
        <f>IFERROR(U1241/V$1264/INDEX('Category Mapping'!$B$42:$B$45,MATCH($A1346,'Category Mapping'!$A$42:$A$45,0),1),0)</f>
        <v>5.2848919166663355E-5</v>
      </c>
      <c r="V1346" s="10">
        <f>IFERROR(V1241/W$1264/INDEX('Category Mapping'!$B$42:$B$45,MATCH($A1346,'Category Mapping'!$A$42:$A$45,0),1),0)</f>
        <v>1.1415869229356286E-4</v>
      </c>
      <c r="W1346" s="10">
        <f>IFERROR(W1241/X$1264/INDEX('Category Mapping'!$B$42:$B$45,MATCH($A1346,'Category Mapping'!$A$42:$A$45,0),1),0)</f>
        <v>1.1415869229356286E-4</v>
      </c>
      <c r="X1346" s="10">
        <f>IFERROR(X1241/Y$1264/INDEX('Category Mapping'!$B$42:$B$45,MATCH($A1346,'Category Mapping'!$A$42:$A$45,0),1),0)</f>
        <v>1.1415869229356286E-4</v>
      </c>
      <c r="Y1346" s="27"/>
      <c r="Z1346" s="32"/>
    </row>
    <row r="1347" spans="1:26" outlineLevel="1" x14ac:dyDescent="0.3">
      <c r="A1347" t="s">
        <v>164</v>
      </c>
      <c r="B1347" t="s">
        <v>69</v>
      </c>
      <c r="C1347" s="6" t="s">
        <v>144</v>
      </c>
      <c r="D1347" s="10">
        <f>IFERROR(D1242/E$1264/INDEX('Category Mapping'!$B$42:$B$45,MATCH($A1347,'Category Mapping'!$A$42:$A$45,0),1),0)</f>
        <v>5.0767080484535713E-5</v>
      </c>
      <c r="E1347" s="10">
        <f>IFERROR(E1242/F$1264/INDEX('Category Mapping'!$B$42:$B$45,MATCH($A1347,'Category Mapping'!$A$42:$A$45,0),1),0)</f>
        <v>1.8077095198352307E-5</v>
      </c>
      <c r="F1347" s="10">
        <f>IFERROR(F1242/G$1264/INDEX('Category Mapping'!$B$42:$B$45,MATCH($A1347,'Category Mapping'!$A$42:$A$45,0),1),0)</f>
        <v>0</v>
      </c>
      <c r="G1347" s="10">
        <f>IFERROR(G1242/H$1264/INDEX('Category Mapping'!$B$42:$B$45,MATCH($A1347,'Category Mapping'!$A$42:$A$45,0),1),0)</f>
        <v>1.3028522023533036E-4</v>
      </c>
      <c r="H1347" s="10">
        <f>IFERROR(H1242/I$1264/INDEX('Category Mapping'!$B$42:$B$45,MATCH($A1347,'Category Mapping'!$A$42:$A$45,0),1),0)</f>
        <v>8.4429581442544679E-5</v>
      </c>
      <c r="I1347" s="10">
        <f>IFERROR(I1242/J$1264/INDEX('Category Mapping'!$B$42:$B$45,MATCH($A1347,'Category Mapping'!$A$42:$A$45,0),1),0)</f>
        <v>8.4429581442544679E-5</v>
      </c>
      <c r="J1347" s="10">
        <f>IFERROR(J1242/K$1264/INDEX('Category Mapping'!$B$42:$B$45,MATCH($A1347,'Category Mapping'!$A$42:$A$45,0),1),0)</f>
        <v>9.9634097674534302E-5</v>
      </c>
      <c r="K1347" s="10">
        <f>IFERROR(K1242/L$1264/INDEX('Category Mapping'!$B$42:$B$45,MATCH($A1347,'Category Mapping'!$A$42:$A$45,0),1),0)</f>
        <v>4.2496151413224258E-5</v>
      </c>
      <c r="L1347" s="10">
        <f>IFERROR(L1242/M$1264/INDEX('Category Mapping'!$B$42:$B$45,MATCH($A1347,'Category Mapping'!$A$42:$A$45,0),1),0)</f>
        <v>0</v>
      </c>
      <c r="M1347" s="10">
        <f>IFERROR(M1242/N$1264/INDEX('Category Mapping'!$B$42:$B$45,MATCH($A1347,'Category Mapping'!$A$42:$A$45,0),1),0)</f>
        <v>9.4082132822835099E-5</v>
      </c>
      <c r="N1347" s="10">
        <f>IFERROR(N1242/O$1264/INDEX('Category Mapping'!$B$42:$B$45,MATCH($A1347,'Category Mapping'!$A$42:$A$45,0),1),0)</f>
        <v>9.4082132822835099E-5</v>
      </c>
      <c r="O1347" s="10">
        <f>IFERROR(O1242/P$1264/INDEX('Category Mapping'!$B$42:$B$45,MATCH($A1347,'Category Mapping'!$A$42:$A$45,0),1),0)</f>
        <v>9.4082132822835099E-5</v>
      </c>
      <c r="P1347" s="10">
        <f>IFERROR(P1242/Q$1264/INDEX('Category Mapping'!$B$42:$B$45,MATCH($A1347,'Category Mapping'!$A$42:$A$45,0),1),0)</f>
        <v>7.7034113854402734E-5</v>
      </c>
      <c r="Q1347" s="10">
        <f>IFERROR(Q1242/R$1264/INDEX('Category Mapping'!$B$42:$B$45,MATCH($A1347,'Category Mapping'!$A$42:$A$45,0),1),0)</f>
        <v>7.7034113854402734E-5</v>
      </c>
      <c r="R1347" s="10">
        <f>IFERROR(R1242/S$1264/INDEX('Category Mapping'!$B$42:$B$45,MATCH($A1347,'Category Mapping'!$A$42:$A$45,0),1),0)</f>
        <v>7.7034113854402734E-5</v>
      </c>
      <c r="S1347" s="10">
        <f>IFERROR(S1242/T$1264/INDEX('Category Mapping'!$B$42:$B$45,MATCH($A1347,'Category Mapping'!$A$42:$A$45,0),1),0)</f>
        <v>7.7034113854402734E-5</v>
      </c>
      <c r="T1347" s="10">
        <f>IFERROR(T1242/U$1264/INDEX('Category Mapping'!$B$42:$B$45,MATCH($A1347,'Category Mapping'!$A$42:$A$45,0),1),0)</f>
        <v>7.7034113854402734E-5</v>
      </c>
      <c r="U1347" s="10">
        <f>IFERROR(U1242/V$1264/INDEX('Category Mapping'!$B$42:$B$45,MATCH($A1347,'Category Mapping'!$A$42:$A$45,0),1),0)</f>
        <v>7.7034113854402734E-5</v>
      </c>
      <c r="V1347" s="10">
        <f>IFERROR(V1242/W$1264/INDEX('Category Mapping'!$B$42:$B$45,MATCH($A1347,'Category Mapping'!$A$42:$A$45,0),1),0)</f>
        <v>1.1534359444131447E-4</v>
      </c>
      <c r="W1347" s="10">
        <f>IFERROR(W1242/X$1264/INDEX('Category Mapping'!$B$42:$B$45,MATCH($A1347,'Category Mapping'!$A$42:$A$45,0),1),0)</f>
        <v>1.1534359444131447E-4</v>
      </c>
      <c r="X1347" s="10">
        <f>IFERROR(X1242/Y$1264/INDEX('Category Mapping'!$B$42:$B$45,MATCH($A1347,'Category Mapping'!$A$42:$A$45,0),1),0)</f>
        <v>1.1534359444131447E-4</v>
      </c>
      <c r="Y1347" s="27"/>
      <c r="Z1347" s="32"/>
    </row>
    <row r="1348" spans="1:26" outlineLevel="1" x14ac:dyDescent="0.3">
      <c r="A1348" t="s">
        <v>164</v>
      </c>
      <c r="B1348" t="s">
        <v>70</v>
      </c>
      <c r="C1348" s="6" t="s">
        <v>145</v>
      </c>
      <c r="D1348" s="10">
        <f>IFERROR(D1243/E$1264/INDEX('Category Mapping'!$B$42:$B$45,MATCH($A1348,'Category Mapping'!$A$42:$A$45,0),1),0)</f>
        <v>5.2579369171703955E-5</v>
      </c>
      <c r="E1348" s="10">
        <f>IFERROR(E1243/F$1264/INDEX('Category Mapping'!$B$42:$B$45,MATCH($A1348,'Category Mapping'!$A$42:$A$45,0),1),0)</f>
        <v>3.0353380986397069E-5</v>
      </c>
      <c r="F1348" s="10">
        <f>IFERROR(F1243/G$1264/INDEX('Category Mapping'!$B$42:$B$45,MATCH($A1348,'Category Mapping'!$A$42:$A$45,0),1),0)</f>
        <v>0</v>
      </c>
      <c r="G1348" s="10">
        <f>IFERROR(G1243/H$1264/INDEX('Category Mapping'!$B$42:$B$45,MATCH($A1348,'Category Mapping'!$A$42:$A$45,0),1),0)</f>
        <v>5.9535604049738924E-5</v>
      </c>
      <c r="H1348" s="10">
        <f>IFERROR(H1243/I$1264/INDEX('Category Mapping'!$B$42:$B$45,MATCH($A1348,'Category Mapping'!$A$42:$A$45,0),1),0)</f>
        <v>1.0930167937523435E-4</v>
      </c>
      <c r="I1348" s="10">
        <f>IFERROR(I1243/J$1264/INDEX('Category Mapping'!$B$42:$B$45,MATCH($A1348,'Category Mapping'!$A$42:$A$45,0),1),0)</f>
        <v>1.0930167937523435E-4</v>
      </c>
      <c r="J1348" s="10">
        <f>IFERROR(J1243/K$1264/INDEX('Category Mapping'!$B$42:$B$45,MATCH($A1348,'Category Mapping'!$A$42:$A$45,0),1),0)</f>
        <v>9.1367290164007603E-5</v>
      </c>
      <c r="K1348" s="10">
        <f>IFERROR(K1243/L$1264/INDEX('Category Mapping'!$B$42:$B$45,MATCH($A1348,'Category Mapping'!$A$42:$A$45,0),1),0)</f>
        <v>5.2988331560390662E-5</v>
      </c>
      <c r="L1348" s="10">
        <f>IFERROR(L1243/M$1264/INDEX('Category Mapping'!$B$42:$B$45,MATCH($A1348,'Category Mapping'!$A$42:$A$45,0),1),0)</f>
        <v>0</v>
      </c>
      <c r="M1348" s="10">
        <f>IFERROR(M1243/N$1264/INDEX('Category Mapping'!$B$42:$B$45,MATCH($A1348,'Category Mapping'!$A$42:$A$45,0),1),0)</f>
        <v>1.2815099731933977E-4</v>
      </c>
      <c r="N1348" s="10">
        <f>IFERROR(N1243/O$1264/INDEX('Category Mapping'!$B$42:$B$45,MATCH($A1348,'Category Mapping'!$A$42:$A$45,0),1),0)</f>
        <v>1.2815099731933977E-4</v>
      </c>
      <c r="O1348" s="10">
        <f>IFERROR(O1243/P$1264/INDEX('Category Mapping'!$B$42:$B$45,MATCH($A1348,'Category Mapping'!$A$42:$A$45,0),1),0)</f>
        <v>1.2815099731933977E-4</v>
      </c>
      <c r="P1348" s="10">
        <f>IFERROR(P1243/Q$1264/INDEX('Category Mapping'!$B$42:$B$45,MATCH($A1348,'Category Mapping'!$A$42:$A$45,0),1),0)</f>
        <v>1.5295048542546128E-4</v>
      </c>
      <c r="Q1348" s="10">
        <f>IFERROR(Q1243/R$1264/INDEX('Category Mapping'!$B$42:$B$45,MATCH($A1348,'Category Mapping'!$A$42:$A$45,0),1),0)</f>
        <v>1.5295048542546128E-4</v>
      </c>
      <c r="R1348" s="10">
        <f>IFERROR(R1243/S$1264/INDEX('Category Mapping'!$B$42:$B$45,MATCH($A1348,'Category Mapping'!$A$42:$A$45,0),1),0)</f>
        <v>1.5295048542546128E-4</v>
      </c>
      <c r="S1348" s="10">
        <f>IFERROR(S1243/T$1264/INDEX('Category Mapping'!$B$42:$B$45,MATCH($A1348,'Category Mapping'!$A$42:$A$45,0),1),0)</f>
        <v>1.5295048542546128E-4</v>
      </c>
      <c r="T1348" s="10">
        <f>IFERROR(T1243/U$1264/INDEX('Category Mapping'!$B$42:$B$45,MATCH($A1348,'Category Mapping'!$A$42:$A$45,0),1),0)</f>
        <v>1.5295048542546128E-4</v>
      </c>
      <c r="U1348" s="10">
        <f>IFERROR(U1243/V$1264/INDEX('Category Mapping'!$B$42:$B$45,MATCH($A1348,'Category Mapping'!$A$42:$A$45,0),1),0)</f>
        <v>1.5295048542546128E-4</v>
      </c>
      <c r="V1348" s="10">
        <f>IFERROR(V1243/W$1264/INDEX('Category Mapping'!$B$42:$B$45,MATCH($A1348,'Category Mapping'!$A$42:$A$45,0),1),0)</f>
        <v>1.1634389736161882E-4</v>
      </c>
      <c r="W1348" s="10">
        <f>IFERROR(W1243/X$1264/INDEX('Category Mapping'!$B$42:$B$45,MATCH($A1348,'Category Mapping'!$A$42:$A$45,0),1),0)</f>
        <v>1.1634389736161882E-4</v>
      </c>
      <c r="X1348" s="10">
        <f>IFERROR(X1243/Y$1264/INDEX('Category Mapping'!$B$42:$B$45,MATCH($A1348,'Category Mapping'!$A$42:$A$45,0),1),0)</f>
        <v>1.1634389736161882E-4</v>
      </c>
      <c r="Y1348" s="27"/>
      <c r="Z1348" s="32"/>
    </row>
    <row r="1349" spans="1:26" outlineLevel="1" x14ac:dyDescent="0.3">
      <c r="A1349" t="s">
        <v>164</v>
      </c>
      <c r="B1349" t="s">
        <v>71</v>
      </c>
      <c r="C1349" s="6" t="s">
        <v>146</v>
      </c>
      <c r="D1349" s="10">
        <f>IFERROR(D1244/E$1264/INDEX('Category Mapping'!$B$42:$B$45,MATCH($A1349,'Category Mapping'!$A$42:$A$45,0),1),0)</f>
        <v>5.3040210835137191E-5</v>
      </c>
      <c r="E1349" s="10">
        <f>IFERROR(E1244/F$1264/INDEX('Category Mapping'!$B$42:$B$45,MATCH($A1349,'Category Mapping'!$A$42:$A$45,0),1),0)</f>
        <v>4.4658706086578452E-5</v>
      </c>
      <c r="F1349" s="10">
        <f>IFERROR(F1244/G$1264/INDEX('Category Mapping'!$B$42:$B$45,MATCH($A1349,'Category Mapping'!$A$42:$A$45,0),1),0)</f>
        <v>0</v>
      </c>
      <c r="G1349" s="10">
        <f>IFERROR(G1244/H$1264/INDEX('Category Mapping'!$B$42:$B$45,MATCH($A1349,'Category Mapping'!$A$42:$A$45,0),1),0)</f>
        <v>5.460610249144377E-5</v>
      </c>
      <c r="H1349" s="10">
        <f>IFERROR(H1244/I$1264/INDEX('Category Mapping'!$B$42:$B$45,MATCH($A1349,'Category Mapping'!$A$42:$A$45,0),1),0)</f>
        <v>1.1566635675702273E-4</v>
      </c>
      <c r="I1349" s="10">
        <f>IFERROR(I1244/J$1264/INDEX('Category Mapping'!$B$42:$B$45,MATCH($A1349,'Category Mapping'!$A$42:$A$45,0),1),0)</f>
        <v>1.1566635675702273E-4</v>
      </c>
      <c r="J1349" s="10">
        <f>IFERROR(J1244/K$1264/INDEX('Category Mapping'!$B$42:$B$45,MATCH($A1349,'Category Mapping'!$A$42:$A$45,0),1),0)</f>
        <v>6.3629760731317658E-5</v>
      </c>
      <c r="K1349" s="10">
        <f>IFERROR(K1244/L$1264/INDEX('Category Mapping'!$B$42:$B$45,MATCH($A1349,'Category Mapping'!$A$42:$A$45,0),1),0)</f>
        <v>6.8435605169410736E-5</v>
      </c>
      <c r="L1349" s="10">
        <f>IFERROR(L1244/M$1264/INDEX('Category Mapping'!$B$42:$B$45,MATCH($A1349,'Category Mapping'!$A$42:$A$45,0),1),0)</f>
        <v>0</v>
      </c>
      <c r="M1349" s="10">
        <f>IFERROR(M1244/N$1264/INDEX('Category Mapping'!$B$42:$B$45,MATCH($A1349,'Category Mapping'!$A$42:$A$45,0),1),0)</f>
        <v>1.5782016815492185E-4</v>
      </c>
      <c r="N1349" s="10">
        <f>IFERROR(N1244/O$1264/INDEX('Category Mapping'!$B$42:$B$45,MATCH($A1349,'Category Mapping'!$A$42:$A$45,0),1),0)</f>
        <v>1.5782016815492185E-4</v>
      </c>
      <c r="O1349" s="10">
        <f>IFERROR(O1244/P$1264/INDEX('Category Mapping'!$B$42:$B$45,MATCH($A1349,'Category Mapping'!$A$42:$A$45,0),1),0)</f>
        <v>1.5782016815492185E-4</v>
      </c>
      <c r="P1349" s="10">
        <f>IFERROR(P1244/Q$1264/INDEX('Category Mapping'!$B$42:$B$45,MATCH($A1349,'Category Mapping'!$A$42:$A$45,0),1),0)</f>
        <v>1.6866838366126199E-4</v>
      </c>
      <c r="Q1349" s="10">
        <f>IFERROR(Q1244/R$1264/INDEX('Category Mapping'!$B$42:$B$45,MATCH($A1349,'Category Mapping'!$A$42:$A$45,0),1),0)</f>
        <v>1.6866838366126199E-4</v>
      </c>
      <c r="R1349" s="10">
        <f>IFERROR(R1244/S$1264/INDEX('Category Mapping'!$B$42:$B$45,MATCH($A1349,'Category Mapping'!$A$42:$A$45,0),1),0)</f>
        <v>1.6866838366126199E-4</v>
      </c>
      <c r="S1349" s="10">
        <f>IFERROR(S1244/T$1264/INDEX('Category Mapping'!$B$42:$B$45,MATCH($A1349,'Category Mapping'!$A$42:$A$45,0),1),0)</f>
        <v>1.6866838366126199E-4</v>
      </c>
      <c r="T1349" s="10">
        <f>IFERROR(T1244/U$1264/INDEX('Category Mapping'!$B$42:$B$45,MATCH($A1349,'Category Mapping'!$A$42:$A$45,0),1),0)</f>
        <v>1.6866838366126199E-4</v>
      </c>
      <c r="U1349" s="10">
        <f>IFERROR(U1244/V$1264/INDEX('Category Mapping'!$B$42:$B$45,MATCH($A1349,'Category Mapping'!$A$42:$A$45,0),1),0)</f>
        <v>1.6866838366126199E-4</v>
      </c>
      <c r="V1349" s="10">
        <f>IFERROR(V1244/W$1264/INDEX('Category Mapping'!$B$42:$B$45,MATCH($A1349,'Category Mapping'!$A$42:$A$45,0),1),0)</f>
        <v>1.1657253802911698E-4</v>
      </c>
      <c r="W1349" s="10">
        <f>IFERROR(W1244/X$1264/INDEX('Category Mapping'!$B$42:$B$45,MATCH($A1349,'Category Mapping'!$A$42:$A$45,0),1),0)</f>
        <v>1.1657253802911698E-4</v>
      </c>
      <c r="X1349" s="10">
        <f>IFERROR(X1244/Y$1264/INDEX('Category Mapping'!$B$42:$B$45,MATCH($A1349,'Category Mapping'!$A$42:$A$45,0),1),0)</f>
        <v>1.1657253802911698E-4</v>
      </c>
      <c r="Y1349" s="27"/>
      <c r="Z1349" s="32"/>
    </row>
    <row r="1350" spans="1:26" outlineLevel="1" x14ac:dyDescent="0.3">
      <c r="A1350" t="s">
        <v>164</v>
      </c>
      <c r="B1350" t="s">
        <v>72</v>
      </c>
      <c r="C1350" s="6" t="s">
        <v>147</v>
      </c>
      <c r="D1350" s="10">
        <f>IFERROR(D1245/E$1264/INDEX('Category Mapping'!$B$42:$B$45,MATCH($A1350,'Category Mapping'!$A$42:$A$45,0),1),0)</f>
        <v>3.9892271156382562E-5</v>
      </c>
      <c r="E1350" s="10">
        <f>IFERROR(E1245/F$1264/INDEX('Category Mapping'!$B$42:$B$45,MATCH($A1350,'Category Mapping'!$A$42:$A$45,0),1),0)</f>
        <v>5.7295047596112821E-5</v>
      </c>
      <c r="F1350" s="10">
        <f>IFERROR(F1245/G$1264/INDEX('Category Mapping'!$B$42:$B$45,MATCH($A1350,'Category Mapping'!$A$42:$A$45,0),1),0)</f>
        <v>0</v>
      </c>
      <c r="G1350" s="10">
        <f>IFERROR(G1245/H$1264/INDEX('Category Mapping'!$B$42:$B$45,MATCH($A1350,'Category Mapping'!$A$42:$A$45,0),1),0)</f>
        <v>5.343295567070483E-5</v>
      </c>
      <c r="H1350" s="10">
        <f>IFERROR(H1245/I$1264/INDEX('Category Mapping'!$B$42:$B$45,MATCH($A1350,'Category Mapping'!$A$42:$A$45,0),1),0)</f>
        <v>1.2126477373255106E-4</v>
      </c>
      <c r="I1350" s="10">
        <f>IFERROR(I1245/J$1264/INDEX('Category Mapping'!$B$42:$B$45,MATCH($A1350,'Category Mapping'!$A$42:$A$45,0),1),0)</f>
        <v>1.2126477373255106E-4</v>
      </c>
      <c r="J1350" s="10">
        <f>IFERROR(J1245/K$1264/INDEX('Category Mapping'!$B$42:$B$45,MATCH($A1350,'Category Mapping'!$A$42:$A$45,0),1),0)</f>
        <v>4.879172509890834E-5</v>
      </c>
      <c r="K1350" s="10">
        <f>IFERROR(K1245/L$1264/INDEX('Category Mapping'!$B$42:$B$45,MATCH($A1350,'Category Mapping'!$A$42:$A$45,0),1),0)</f>
        <v>8.0707620115360562E-5</v>
      </c>
      <c r="L1350" s="10">
        <f>IFERROR(L1245/M$1264/INDEX('Category Mapping'!$B$42:$B$45,MATCH($A1350,'Category Mapping'!$A$42:$A$45,0),1),0)</f>
        <v>0</v>
      </c>
      <c r="M1350" s="10">
        <f>IFERROR(M1245/N$1264/INDEX('Category Mapping'!$B$42:$B$45,MATCH($A1350,'Category Mapping'!$A$42:$A$45,0),1),0)</f>
        <v>1.6666947427426213E-4</v>
      </c>
      <c r="N1350" s="10">
        <f>IFERROR(N1245/O$1264/INDEX('Category Mapping'!$B$42:$B$45,MATCH($A1350,'Category Mapping'!$A$42:$A$45,0),1),0)</f>
        <v>1.6666947427426213E-4</v>
      </c>
      <c r="O1350" s="10">
        <f>IFERROR(O1245/P$1264/INDEX('Category Mapping'!$B$42:$B$45,MATCH($A1350,'Category Mapping'!$A$42:$A$45,0),1),0)</f>
        <v>1.6666947427426213E-4</v>
      </c>
      <c r="P1350" s="10">
        <f>IFERROR(P1245/Q$1264/INDEX('Category Mapping'!$B$42:$B$45,MATCH($A1350,'Category Mapping'!$A$42:$A$45,0),1),0)</f>
        <v>1.540070187523787E-4</v>
      </c>
      <c r="Q1350" s="10">
        <f>IFERROR(Q1245/R$1264/INDEX('Category Mapping'!$B$42:$B$45,MATCH($A1350,'Category Mapping'!$A$42:$A$45,0),1),0)</f>
        <v>1.540070187523787E-4</v>
      </c>
      <c r="R1350" s="10">
        <f>IFERROR(R1245/S$1264/INDEX('Category Mapping'!$B$42:$B$45,MATCH($A1350,'Category Mapping'!$A$42:$A$45,0),1),0)</f>
        <v>1.540070187523787E-4</v>
      </c>
      <c r="S1350" s="10">
        <f>IFERROR(S1245/T$1264/INDEX('Category Mapping'!$B$42:$B$45,MATCH($A1350,'Category Mapping'!$A$42:$A$45,0),1),0)</f>
        <v>1.540070187523787E-4</v>
      </c>
      <c r="T1350" s="10">
        <f>IFERROR(T1245/U$1264/INDEX('Category Mapping'!$B$42:$B$45,MATCH($A1350,'Category Mapping'!$A$42:$A$45,0),1),0)</f>
        <v>1.540070187523787E-4</v>
      </c>
      <c r="U1350" s="10">
        <f>IFERROR(U1245/V$1264/INDEX('Category Mapping'!$B$42:$B$45,MATCH($A1350,'Category Mapping'!$A$42:$A$45,0),1),0)</f>
        <v>1.540070187523787E-4</v>
      </c>
      <c r="V1350" s="10">
        <f>IFERROR(V1245/W$1264/INDEX('Category Mapping'!$B$42:$B$45,MATCH($A1350,'Category Mapping'!$A$42:$A$45,0),1),0)</f>
        <v>1.163724774450561E-4</v>
      </c>
      <c r="W1350" s="10">
        <f>IFERROR(W1245/X$1264/INDEX('Category Mapping'!$B$42:$B$45,MATCH($A1350,'Category Mapping'!$A$42:$A$45,0),1),0)</f>
        <v>1.163724774450561E-4</v>
      </c>
      <c r="X1350" s="10">
        <f>IFERROR(X1245/Y$1264/INDEX('Category Mapping'!$B$42:$B$45,MATCH($A1350,'Category Mapping'!$A$42:$A$45,0),1),0)</f>
        <v>1.163724774450561E-4</v>
      </c>
      <c r="Y1350" s="27"/>
      <c r="Z1350" s="32"/>
    </row>
    <row r="1351" spans="1:26" outlineLevel="1" x14ac:dyDescent="0.3">
      <c r="A1351" t="s">
        <v>164</v>
      </c>
      <c r="B1351" t="s">
        <v>73</v>
      </c>
      <c r="C1351" s="6" t="s">
        <v>148</v>
      </c>
      <c r="D1351" s="10">
        <f>IFERROR(D1246/E$1264/INDEX('Category Mapping'!$B$42:$B$45,MATCH($A1351,'Category Mapping'!$A$42:$A$45,0),1),0)</f>
        <v>4.0171614109719883E-5</v>
      </c>
      <c r="E1351" s="10">
        <f>IFERROR(E1246/F$1264/INDEX('Category Mapping'!$B$42:$B$45,MATCH($A1351,'Category Mapping'!$A$42:$A$45,0),1),0)</f>
        <v>7.3946196349082555E-5</v>
      </c>
      <c r="F1351" s="10">
        <f>IFERROR(F1246/G$1264/INDEX('Category Mapping'!$B$42:$B$45,MATCH($A1351,'Category Mapping'!$A$42:$A$45,0),1),0)</f>
        <v>0</v>
      </c>
      <c r="G1351" s="10">
        <f>IFERROR(G1246/H$1264/INDEX('Category Mapping'!$B$42:$B$45,MATCH($A1351,'Category Mapping'!$A$42:$A$45,0),1),0)</f>
        <v>5.4175033631043387E-5</v>
      </c>
      <c r="H1351" s="10">
        <f>IFERROR(H1246/I$1264/INDEX('Category Mapping'!$B$42:$B$45,MATCH($A1351,'Category Mapping'!$A$42:$A$45,0),1),0)</f>
        <v>1.2666040107168464E-4</v>
      </c>
      <c r="I1351" s="10">
        <f>IFERROR(I1246/J$1264/INDEX('Category Mapping'!$B$42:$B$45,MATCH($A1351,'Category Mapping'!$A$42:$A$45,0),1),0)</f>
        <v>1.2666040107168464E-4</v>
      </c>
      <c r="J1351" s="10">
        <f>IFERROR(J1246/K$1264/INDEX('Category Mapping'!$B$42:$B$45,MATCH($A1351,'Category Mapping'!$A$42:$A$45,0),1),0)</f>
        <v>3.9420460056801999E-5</v>
      </c>
      <c r="K1351" s="10">
        <f>IFERROR(K1246/L$1264/INDEX('Category Mapping'!$B$42:$B$45,MATCH($A1351,'Category Mapping'!$A$42:$A$45,0),1),0)</f>
        <v>8.9836073871952445E-5</v>
      </c>
      <c r="L1351" s="10">
        <f>IFERROR(L1246/M$1264/INDEX('Category Mapping'!$B$42:$B$45,MATCH($A1351,'Category Mapping'!$A$42:$A$45,0),1),0)</f>
        <v>0</v>
      </c>
      <c r="M1351" s="10">
        <f>IFERROR(M1246/N$1264/INDEX('Category Mapping'!$B$42:$B$45,MATCH($A1351,'Category Mapping'!$A$42:$A$45,0),1),0)</f>
        <v>1.6588994267301838E-4</v>
      </c>
      <c r="N1351" s="10">
        <f>IFERROR(N1246/O$1264/INDEX('Category Mapping'!$B$42:$B$45,MATCH($A1351,'Category Mapping'!$A$42:$A$45,0),1),0)</f>
        <v>1.6588994267301838E-4</v>
      </c>
      <c r="O1351" s="10">
        <f>IFERROR(O1246/P$1264/INDEX('Category Mapping'!$B$42:$B$45,MATCH($A1351,'Category Mapping'!$A$42:$A$45,0),1),0)</f>
        <v>1.6588994267301838E-4</v>
      </c>
      <c r="P1351" s="10">
        <f>IFERROR(P1246/Q$1264/INDEX('Category Mapping'!$B$42:$B$45,MATCH($A1351,'Category Mapping'!$A$42:$A$45,0),1),0)</f>
        <v>1.2897312168877624E-4</v>
      </c>
      <c r="Q1351" s="10">
        <f>IFERROR(Q1246/R$1264/INDEX('Category Mapping'!$B$42:$B$45,MATCH($A1351,'Category Mapping'!$A$42:$A$45,0),1),0)</f>
        <v>1.2897312168877624E-4</v>
      </c>
      <c r="R1351" s="10">
        <f>IFERROR(R1246/S$1264/INDEX('Category Mapping'!$B$42:$B$45,MATCH($A1351,'Category Mapping'!$A$42:$A$45,0),1),0)</f>
        <v>1.2897312168877624E-4</v>
      </c>
      <c r="S1351" s="10">
        <f>IFERROR(S1246/T$1264/INDEX('Category Mapping'!$B$42:$B$45,MATCH($A1351,'Category Mapping'!$A$42:$A$45,0),1),0)</f>
        <v>1.2897312168877624E-4</v>
      </c>
      <c r="T1351" s="10">
        <f>IFERROR(T1246/U$1264/INDEX('Category Mapping'!$B$42:$B$45,MATCH($A1351,'Category Mapping'!$A$42:$A$45,0),1),0)</f>
        <v>1.2897312168877624E-4</v>
      </c>
      <c r="U1351" s="10">
        <f>IFERROR(U1246/V$1264/INDEX('Category Mapping'!$B$42:$B$45,MATCH($A1351,'Category Mapping'!$A$42:$A$45,0),1),0)</f>
        <v>1.2897312168877624E-4</v>
      </c>
      <c r="V1351" s="10">
        <f>IFERROR(V1246/W$1264/INDEX('Category Mapping'!$B$42:$B$45,MATCH($A1351,'Category Mapping'!$A$42:$A$45,0),1),0)</f>
        <v>1.1588661602662257E-4</v>
      </c>
      <c r="W1351" s="10">
        <f>IFERROR(W1246/X$1264/INDEX('Category Mapping'!$B$42:$B$45,MATCH($A1351,'Category Mapping'!$A$42:$A$45,0),1),0)</f>
        <v>1.1588661602662257E-4</v>
      </c>
      <c r="X1351" s="10">
        <f>IFERROR(X1246/Y$1264/INDEX('Category Mapping'!$B$42:$B$45,MATCH($A1351,'Category Mapping'!$A$42:$A$45,0),1),0)</f>
        <v>1.1588661602662257E-4</v>
      </c>
      <c r="Y1351" s="27"/>
      <c r="Z1351" s="32"/>
    </row>
    <row r="1352" spans="1:26" outlineLevel="1" x14ac:dyDescent="0.3">
      <c r="A1352" t="s">
        <v>164</v>
      </c>
      <c r="B1352" t="s">
        <v>74</v>
      </c>
      <c r="C1352" s="6" t="s">
        <v>149</v>
      </c>
      <c r="D1352" s="10">
        <f>IFERROR(D1247/E$1264/INDEX('Category Mapping'!$B$42:$B$45,MATCH($A1352,'Category Mapping'!$A$42:$A$45,0),1),0)</f>
        <v>3.9328282115705153E-5</v>
      </c>
      <c r="E1352" s="10">
        <f>IFERROR(E1247/F$1264/INDEX('Category Mapping'!$B$42:$B$45,MATCH($A1352,'Category Mapping'!$A$42:$A$45,0),1),0)</f>
        <v>9.9434787449440977E-5</v>
      </c>
      <c r="F1352" s="10">
        <f>IFERROR(F1247/G$1264/INDEX('Category Mapping'!$B$42:$B$45,MATCH($A1352,'Category Mapping'!$A$42:$A$45,0),1),0)</f>
        <v>0</v>
      </c>
      <c r="G1352" s="10">
        <f>IFERROR(G1247/H$1264/INDEX('Category Mapping'!$B$42:$B$45,MATCH($A1352,'Category Mapping'!$A$42:$A$45,0),1),0)</f>
        <v>5.8915746482734351E-5</v>
      </c>
      <c r="H1352" s="10">
        <f>IFERROR(H1247/I$1264/INDEX('Category Mapping'!$B$42:$B$45,MATCH($A1352,'Category Mapping'!$A$42:$A$45,0),1),0)</f>
        <v>1.3061692506308195E-4</v>
      </c>
      <c r="I1352" s="10">
        <f>IFERROR(I1247/J$1264/INDEX('Category Mapping'!$B$42:$B$45,MATCH($A1352,'Category Mapping'!$A$42:$A$45,0),1),0)</f>
        <v>1.3061692506308195E-4</v>
      </c>
      <c r="J1352" s="10">
        <f>IFERROR(J1247/K$1264/INDEX('Category Mapping'!$B$42:$B$45,MATCH($A1352,'Category Mapping'!$A$42:$A$45,0),1),0)</f>
        <v>3.2453383531170936E-5</v>
      </c>
      <c r="K1352" s="10">
        <f>IFERROR(K1247/L$1264/INDEX('Category Mapping'!$B$42:$B$45,MATCH($A1352,'Category Mapping'!$A$42:$A$45,0),1),0)</f>
        <v>9.5676855724671742E-5</v>
      </c>
      <c r="L1352" s="10">
        <f>IFERROR(L1247/M$1264/INDEX('Category Mapping'!$B$42:$B$45,MATCH($A1352,'Category Mapping'!$A$42:$A$45,0),1),0)</f>
        <v>0</v>
      </c>
      <c r="M1352" s="10">
        <f>IFERROR(M1247/N$1264/INDEX('Category Mapping'!$B$42:$B$45,MATCH($A1352,'Category Mapping'!$A$42:$A$45,0),1),0)</f>
        <v>1.6544132050297711E-4</v>
      </c>
      <c r="N1352" s="10">
        <f>IFERROR(N1247/O$1264/INDEX('Category Mapping'!$B$42:$B$45,MATCH($A1352,'Category Mapping'!$A$42:$A$45,0),1),0)</f>
        <v>1.6544132050297711E-4</v>
      </c>
      <c r="O1352" s="10">
        <f>IFERROR(O1247/P$1264/INDEX('Category Mapping'!$B$42:$B$45,MATCH($A1352,'Category Mapping'!$A$42:$A$45,0),1),0)</f>
        <v>1.6544132050297711E-4</v>
      </c>
      <c r="P1352" s="10">
        <f>IFERROR(P1247/Q$1264/INDEX('Category Mapping'!$B$42:$B$45,MATCH($A1352,'Category Mapping'!$A$42:$A$45,0),1),0)</f>
        <v>1.2964061160842061E-4</v>
      </c>
      <c r="Q1352" s="10">
        <f>IFERROR(Q1247/R$1264/INDEX('Category Mapping'!$B$42:$B$45,MATCH($A1352,'Category Mapping'!$A$42:$A$45,0),1),0)</f>
        <v>1.2964061160842061E-4</v>
      </c>
      <c r="R1352" s="10">
        <f>IFERROR(R1247/S$1264/INDEX('Category Mapping'!$B$42:$B$45,MATCH($A1352,'Category Mapping'!$A$42:$A$45,0),1),0)</f>
        <v>1.2964061160842061E-4</v>
      </c>
      <c r="S1352" s="10">
        <f>IFERROR(S1247/T$1264/INDEX('Category Mapping'!$B$42:$B$45,MATCH($A1352,'Category Mapping'!$A$42:$A$45,0),1),0)</f>
        <v>1.2964061160842061E-4</v>
      </c>
      <c r="T1352" s="10">
        <f>IFERROR(T1247/U$1264/INDEX('Category Mapping'!$B$42:$B$45,MATCH($A1352,'Category Mapping'!$A$42:$A$45,0),1),0)</f>
        <v>1.2964061160842061E-4</v>
      </c>
      <c r="U1352" s="10">
        <f>IFERROR(U1247/V$1264/INDEX('Category Mapping'!$B$42:$B$45,MATCH($A1352,'Category Mapping'!$A$42:$A$45,0),1),0)</f>
        <v>1.2964061160842061E-4</v>
      </c>
      <c r="V1352" s="10">
        <f>IFERROR(V1247/W$1264/INDEX('Category Mapping'!$B$42:$B$45,MATCH($A1352,'Category Mapping'!$A$42:$A$45,0),1),0)</f>
        <v>1.1554365502537535E-4</v>
      </c>
      <c r="W1352" s="10">
        <f>IFERROR(W1247/X$1264/INDEX('Category Mapping'!$B$42:$B$45,MATCH($A1352,'Category Mapping'!$A$42:$A$45,0),1),0)</f>
        <v>1.1554365502537535E-4</v>
      </c>
      <c r="X1352" s="10">
        <f>IFERROR(X1247/Y$1264/INDEX('Category Mapping'!$B$42:$B$45,MATCH($A1352,'Category Mapping'!$A$42:$A$45,0),1),0)</f>
        <v>1.1554365502537535E-4</v>
      </c>
      <c r="Y1352" s="27"/>
      <c r="Z1352" s="32"/>
    </row>
    <row r="1353" spans="1:26" outlineLevel="1" x14ac:dyDescent="0.3">
      <c r="A1353" t="s">
        <v>164</v>
      </c>
      <c r="B1353" t="s">
        <v>75</v>
      </c>
      <c r="C1353" s="6" t="s">
        <v>150</v>
      </c>
      <c r="D1353" s="10">
        <f>IFERROR(D1248/E$1264/INDEX('Category Mapping'!$B$42:$B$45,MATCH($A1353,'Category Mapping'!$A$42:$A$45,0),1),0)</f>
        <v>4.0422120579862284E-5</v>
      </c>
      <c r="E1353" s="10">
        <f>IFERROR(E1248/F$1264/INDEX('Category Mapping'!$B$42:$B$45,MATCH($A1353,'Category Mapping'!$A$42:$A$45,0),1),0)</f>
        <v>1.2364404477000702E-4</v>
      </c>
      <c r="F1353" s="10">
        <f>IFERROR(F1248/G$1264/INDEX('Category Mapping'!$B$42:$B$45,MATCH($A1353,'Category Mapping'!$A$42:$A$45,0),1),0)</f>
        <v>0</v>
      </c>
      <c r="G1353" s="10">
        <f>IFERROR(G1248/H$1264/INDEX('Category Mapping'!$B$42:$B$45,MATCH($A1353,'Category Mapping'!$A$42:$A$45,0),1),0)</f>
        <v>6.1967701882726918E-5</v>
      </c>
      <c r="H1353" s="10">
        <f>IFERROR(H1248/I$1264/INDEX('Category Mapping'!$B$42:$B$45,MATCH($A1353,'Category Mapping'!$A$42:$A$45,0),1),0)</f>
        <v>1.24020183723892E-4</v>
      </c>
      <c r="I1353" s="10">
        <f>IFERROR(I1248/J$1264/INDEX('Category Mapping'!$B$42:$B$45,MATCH($A1353,'Category Mapping'!$A$42:$A$45,0),1),0)</f>
        <v>1.24020183723892E-4</v>
      </c>
      <c r="J1353" s="10">
        <f>IFERROR(J1248/K$1264/INDEX('Category Mapping'!$B$42:$B$45,MATCH($A1353,'Category Mapping'!$A$42:$A$45,0),1),0)</f>
        <v>2.9082093292342707E-5</v>
      </c>
      <c r="K1353" s="10">
        <f>IFERROR(K1248/L$1264/INDEX('Category Mapping'!$B$42:$B$45,MATCH($A1353,'Category Mapping'!$A$42:$A$45,0),1),0)</f>
        <v>9.7660027269708352E-5</v>
      </c>
      <c r="L1353" s="10">
        <f>IFERROR(L1248/M$1264/INDEX('Category Mapping'!$B$42:$B$45,MATCH($A1353,'Category Mapping'!$A$42:$A$45,0),1),0)</f>
        <v>0</v>
      </c>
      <c r="M1353" s="10">
        <f>IFERROR(M1248/N$1264/INDEX('Category Mapping'!$B$42:$B$45,MATCH($A1353,'Category Mapping'!$A$42:$A$45,0),1),0)</f>
        <v>1.6309731061529259E-4</v>
      </c>
      <c r="N1353" s="10">
        <f>IFERROR(N1248/O$1264/INDEX('Category Mapping'!$B$42:$B$45,MATCH($A1353,'Category Mapping'!$A$42:$A$45,0),1),0)</f>
        <v>1.6309731061529259E-4</v>
      </c>
      <c r="O1353" s="10">
        <f>IFERROR(O1248/P$1264/INDEX('Category Mapping'!$B$42:$B$45,MATCH($A1353,'Category Mapping'!$A$42:$A$45,0),1),0)</f>
        <v>1.6309731061529259E-4</v>
      </c>
      <c r="P1353" s="10">
        <f>IFERROR(P1248/Q$1264/INDEX('Category Mapping'!$B$42:$B$45,MATCH($A1353,'Category Mapping'!$A$42:$A$45,0),1),0)</f>
        <v>1.3148296728784106E-4</v>
      </c>
      <c r="Q1353" s="10">
        <f>IFERROR(Q1248/R$1264/INDEX('Category Mapping'!$B$42:$B$45,MATCH($A1353,'Category Mapping'!$A$42:$A$45,0),1),0)</f>
        <v>1.3148296728784106E-4</v>
      </c>
      <c r="R1353" s="10">
        <f>IFERROR(R1248/S$1264/INDEX('Category Mapping'!$B$42:$B$45,MATCH($A1353,'Category Mapping'!$A$42:$A$45,0),1),0)</f>
        <v>1.3148296728784106E-4</v>
      </c>
      <c r="S1353" s="10">
        <f>IFERROR(S1248/T$1264/INDEX('Category Mapping'!$B$42:$B$45,MATCH($A1353,'Category Mapping'!$A$42:$A$45,0),1),0)</f>
        <v>1.3148296728784106E-4</v>
      </c>
      <c r="T1353" s="10">
        <f>IFERROR(T1248/U$1264/INDEX('Category Mapping'!$B$42:$B$45,MATCH($A1353,'Category Mapping'!$A$42:$A$45,0),1),0)</f>
        <v>1.3148296728784106E-4</v>
      </c>
      <c r="U1353" s="10">
        <f>IFERROR(U1248/V$1264/INDEX('Category Mapping'!$B$42:$B$45,MATCH($A1353,'Category Mapping'!$A$42:$A$45,0),1),0)</f>
        <v>1.3148296728784106E-4</v>
      </c>
      <c r="V1353" s="10">
        <f>IFERROR(V1248/W$1264/INDEX('Category Mapping'!$B$42:$B$45,MATCH($A1353,'Category Mapping'!$A$42:$A$45,0),1),0)</f>
        <v>1.1525785419100268E-4</v>
      </c>
      <c r="W1353" s="10">
        <f>IFERROR(W1248/X$1264/INDEX('Category Mapping'!$B$42:$B$45,MATCH($A1353,'Category Mapping'!$A$42:$A$45,0),1),0)</f>
        <v>1.1525785419100268E-4</v>
      </c>
      <c r="X1353" s="10">
        <f>IFERROR(X1248/Y$1264/INDEX('Category Mapping'!$B$42:$B$45,MATCH($A1353,'Category Mapping'!$A$42:$A$45,0),1),0)</f>
        <v>1.1525785419100268E-4</v>
      </c>
      <c r="Y1353" s="27"/>
      <c r="Z1353" s="32"/>
    </row>
    <row r="1354" spans="1:26" outlineLevel="1" x14ac:dyDescent="0.3">
      <c r="A1354" t="s">
        <v>164</v>
      </c>
      <c r="B1354" t="s">
        <v>76</v>
      </c>
      <c r="C1354" s="6" t="s">
        <v>151</v>
      </c>
      <c r="D1354" s="10">
        <f>IFERROR(D1249/E$1264/INDEX('Category Mapping'!$B$42:$B$45,MATCH($A1354,'Category Mapping'!$A$42:$A$45,0),1),0)</f>
        <v>4.067543673459967E-5</v>
      </c>
      <c r="E1354" s="10">
        <f>IFERROR(E1249/F$1264/INDEX('Category Mapping'!$B$42:$B$45,MATCH($A1354,'Category Mapping'!$A$42:$A$45,0),1),0)</f>
        <v>1.3789708368344244E-4</v>
      </c>
      <c r="F1354" s="10">
        <f>IFERROR(F1249/G$1264/INDEX('Category Mapping'!$B$42:$B$45,MATCH($A1354,'Category Mapping'!$A$42:$A$45,0),1),0)</f>
        <v>0</v>
      </c>
      <c r="G1354" s="10">
        <f>IFERROR(G1249/H$1264/INDEX('Category Mapping'!$B$42:$B$45,MATCH($A1354,'Category Mapping'!$A$42:$A$45,0),1),0)</f>
        <v>6.2380422432044649E-5</v>
      </c>
      <c r="H1354" s="10">
        <f>IFERROR(H1249/I$1264/INDEX('Category Mapping'!$B$42:$B$45,MATCH($A1354,'Category Mapping'!$A$42:$A$45,0),1),0)</f>
        <v>1.1957903471535004E-4</v>
      </c>
      <c r="I1354" s="10">
        <f>IFERROR(I1249/J$1264/INDEX('Category Mapping'!$B$42:$B$45,MATCH($A1354,'Category Mapping'!$A$42:$A$45,0),1),0)</f>
        <v>1.1957903471535004E-4</v>
      </c>
      <c r="J1354" s="10">
        <f>IFERROR(J1249/K$1264/INDEX('Category Mapping'!$B$42:$B$45,MATCH($A1354,'Category Mapping'!$A$42:$A$45,0),1),0)</f>
        <v>2.6632318060659267E-5</v>
      </c>
      <c r="K1354" s="10">
        <f>IFERROR(K1249/L$1264/INDEX('Category Mapping'!$B$42:$B$45,MATCH($A1354,'Category Mapping'!$A$42:$A$45,0),1),0)</f>
        <v>1.0177929490280479E-4</v>
      </c>
      <c r="L1354" s="10">
        <f>IFERROR(L1249/M$1264/INDEX('Category Mapping'!$B$42:$B$45,MATCH($A1354,'Category Mapping'!$A$42:$A$45,0),1),0)</f>
        <v>0</v>
      </c>
      <c r="M1354" s="10">
        <f>IFERROR(M1249/N$1264/INDEX('Category Mapping'!$B$42:$B$45,MATCH($A1354,'Category Mapping'!$A$42:$A$45,0),1),0)</f>
        <v>1.6236617730338448E-4</v>
      </c>
      <c r="N1354" s="10">
        <f>IFERROR(N1249/O$1264/INDEX('Category Mapping'!$B$42:$B$45,MATCH($A1354,'Category Mapping'!$A$42:$A$45,0),1),0)</f>
        <v>1.6236617730338448E-4</v>
      </c>
      <c r="O1354" s="10">
        <f>IFERROR(O1249/P$1264/INDEX('Category Mapping'!$B$42:$B$45,MATCH($A1354,'Category Mapping'!$A$42:$A$45,0),1),0)</f>
        <v>1.6236617730338448E-4</v>
      </c>
      <c r="P1354" s="10">
        <f>IFERROR(P1249/Q$1264/INDEX('Category Mapping'!$B$42:$B$45,MATCH($A1354,'Category Mapping'!$A$42:$A$45,0),1),0)</f>
        <v>1.3001886121516372E-4</v>
      </c>
      <c r="Q1354" s="10">
        <f>IFERROR(Q1249/R$1264/INDEX('Category Mapping'!$B$42:$B$45,MATCH($A1354,'Category Mapping'!$A$42:$A$45,0),1),0)</f>
        <v>1.3001886121516372E-4</v>
      </c>
      <c r="R1354" s="10">
        <f>IFERROR(R1249/S$1264/INDEX('Category Mapping'!$B$42:$B$45,MATCH($A1354,'Category Mapping'!$A$42:$A$45,0),1),0)</f>
        <v>1.3001886121516372E-4</v>
      </c>
      <c r="S1354" s="10">
        <f>IFERROR(S1249/T$1264/INDEX('Category Mapping'!$B$42:$B$45,MATCH($A1354,'Category Mapping'!$A$42:$A$45,0),1),0)</f>
        <v>1.3001886121516372E-4</v>
      </c>
      <c r="T1354" s="10">
        <f>IFERROR(T1249/U$1264/INDEX('Category Mapping'!$B$42:$B$45,MATCH($A1354,'Category Mapping'!$A$42:$A$45,0),1),0)</f>
        <v>1.3001886121516372E-4</v>
      </c>
      <c r="U1354" s="10">
        <f>IFERROR(U1249/V$1264/INDEX('Category Mapping'!$B$42:$B$45,MATCH($A1354,'Category Mapping'!$A$42:$A$45,0),1),0)</f>
        <v>1.3001886121516372E-4</v>
      </c>
      <c r="V1354" s="10">
        <f>IFERROR(V1249/W$1264/INDEX('Category Mapping'!$B$42:$B$45,MATCH($A1354,'Category Mapping'!$A$42:$A$45,0),1),0)</f>
        <v>1.1511495377381634E-4</v>
      </c>
      <c r="W1354" s="10">
        <f>IFERROR(W1249/X$1264/INDEX('Category Mapping'!$B$42:$B$45,MATCH($A1354,'Category Mapping'!$A$42:$A$45,0),1),0)</f>
        <v>1.1511495377381634E-4</v>
      </c>
      <c r="X1354" s="10">
        <f>IFERROR(X1249/Y$1264/INDEX('Category Mapping'!$B$42:$B$45,MATCH($A1354,'Category Mapping'!$A$42:$A$45,0),1),0)</f>
        <v>1.1511495377381634E-4</v>
      </c>
      <c r="Y1354" s="27"/>
      <c r="Z1354" s="32"/>
    </row>
    <row r="1355" spans="1:26" outlineLevel="1" x14ac:dyDescent="0.3">
      <c r="A1355" t="s">
        <v>164</v>
      </c>
      <c r="B1355" t="s">
        <v>77</v>
      </c>
      <c r="C1355" s="6" t="s">
        <v>152</v>
      </c>
      <c r="D1355" s="10">
        <f>IFERROR(D1250/E$1264/INDEX('Category Mapping'!$B$42:$B$45,MATCH($A1355,'Category Mapping'!$A$42:$A$45,0),1),0)</f>
        <v>4.1094815311282127E-5</v>
      </c>
      <c r="E1355" s="10">
        <f>IFERROR(E1250/F$1264/INDEX('Category Mapping'!$B$42:$B$45,MATCH($A1355,'Category Mapping'!$A$42:$A$45,0),1),0)</f>
        <v>1.4640423436363125E-4</v>
      </c>
      <c r="F1355" s="10">
        <f>IFERROR(F1250/G$1264/INDEX('Category Mapping'!$B$42:$B$45,MATCH($A1355,'Category Mapping'!$A$42:$A$45,0),1),0)</f>
        <v>0</v>
      </c>
      <c r="G1355" s="10">
        <f>IFERROR(G1250/H$1264/INDEX('Category Mapping'!$B$42:$B$45,MATCH($A1355,'Category Mapping'!$A$42:$A$45,0),1),0)</f>
        <v>6.3525638579244129E-5</v>
      </c>
      <c r="H1355" s="10">
        <f>IFERROR(H1250/I$1264/INDEX('Category Mapping'!$B$42:$B$45,MATCH($A1355,'Category Mapping'!$A$42:$A$45,0),1),0)</f>
        <v>1.2425933510839656E-4</v>
      </c>
      <c r="I1355" s="10">
        <f>IFERROR(I1250/J$1264/INDEX('Category Mapping'!$B$42:$B$45,MATCH($A1355,'Category Mapping'!$A$42:$A$45,0),1),0)</f>
        <v>1.2425933510839656E-4</v>
      </c>
      <c r="J1355" s="10">
        <f>IFERROR(J1250/K$1264/INDEX('Category Mapping'!$B$42:$B$45,MATCH($A1355,'Category Mapping'!$A$42:$A$45,0),1),0)</f>
        <v>2.5064729165927219E-5</v>
      </c>
      <c r="K1355" s="10">
        <f>IFERROR(K1250/L$1264/INDEX('Category Mapping'!$B$42:$B$45,MATCH($A1355,'Category Mapping'!$A$42:$A$45,0),1),0)</f>
        <v>1.0378960191336093E-4</v>
      </c>
      <c r="L1355" s="10">
        <f>IFERROR(L1250/M$1264/INDEX('Category Mapping'!$B$42:$B$45,MATCH($A1355,'Category Mapping'!$A$42:$A$45,0),1),0)</f>
        <v>0</v>
      </c>
      <c r="M1355" s="10">
        <f>IFERROR(M1250/N$1264/INDEX('Category Mapping'!$B$42:$B$45,MATCH($A1355,'Category Mapping'!$A$42:$A$45,0),1),0)</f>
        <v>1.6176706689884158E-4</v>
      </c>
      <c r="N1355" s="10">
        <f>IFERROR(N1250/O$1264/INDEX('Category Mapping'!$B$42:$B$45,MATCH($A1355,'Category Mapping'!$A$42:$A$45,0),1),0)</f>
        <v>1.6176706689884158E-4</v>
      </c>
      <c r="O1355" s="10">
        <f>IFERROR(O1250/P$1264/INDEX('Category Mapping'!$B$42:$B$45,MATCH($A1355,'Category Mapping'!$A$42:$A$45,0),1),0)</f>
        <v>1.6176706689884158E-4</v>
      </c>
      <c r="P1355" s="10">
        <f>IFERROR(P1250/Q$1264/INDEX('Category Mapping'!$B$42:$B$45,MATCH($A1355,'Category Mapping'!$A$42:$A$45,0),1),0)</f>
        <v>1.2792185496104065E-4</v>
      </c>
      <c r="Q1355" s="10">
        <f>IFERROR(Q1250/R$1264/INDEX('Category Mapping'!$B$42:$B$45,MATCH($A1355,'Category Mapping'!$A$42:$A$45,0),1),0)</f>
        <v>1.2792185496104065E-4</v>
      </c>
      <c r="R1355" s="10">
        <f>IFERROR(R1250/S$1264/INDEX('Category Mapping'!$B$42:$B$45,MATCH($A1355,'Category Mapping'!$A$42:$A$45,0),1),0)</f>
        <v>1.2792185496104065E-4</v>
      </c>
      <c r="S1355" s="10">
        <f>IFERROR(S1250/T$1264/INDEX('Category Mapping'!$B$42:$B$45,MATCH($A1355,'Category Mapping'!$A$42:$A$45,0),1),0)</f>
        <v>1.2792185496104065E-4</v>
      </c>
      <c r="T1355" s="10">
        <f>IFERROR(T1250/U$1264/INDEX('Category Mapping'!$B$42:$B$45,MATCH($A1355,'Category Mapping'!$A$42:$A$45,0),1),0)</f>
        <v>1.2792185496104065E-4</v>
      </c>
      <c r="U1355" s="10">
        <f>IFERROR(U1250/V$1264/INDEX('Category Mapping'!$B$42:$B$45,MATCH($A1355,'Category Mapping'!$A$42:$A$45,0),1),0)</f>
        <v>1.2792185496104065E-4</v>
      </c>
      <c r="V1355" s="10">
        <f>IFERROR(V1250/W$1264/INDEX('Category Mapping'!$B$42:$B$45,MATCH($A1355,'Category Mapping'!$A$42:$A$45,0),1),0)</f>
        <v>1.1534406296727247E-4</v>
      </c>
      <c r="W1355" s="10">
        <f>IFERROR(W1250/X$1264/INDEX('Category Mapping'!$B$42:$B$45,MATCH($A1355,'Category Mapping'!$A$42:$A$45,0),1),0)</f>
        <v>1.1534406296727247E-4</v>
      </c>
      <c r="X1355" s="10">
        <f>IFERROR(X1250/Y$1264/INDEX('Category Mapping'!$B$42:$B$45,MATCH($A1355,'Category Mapping'!$A$42:$A$45,0),1),0)</f>
        <v>1.1534406296727247E-4</v>
      </c>
      <c r="Y1355" s="27"/>
      <c r="Z1355" s="32"/>
    </row>
    <row r="1356" spans="1:26" outlineLevel="1" x14ac:dyDescent="0.3">
      <c r="A1356" t="s">
        <v>164</v>
      </c>
      <c r="B1356" t="s">
        <v>78</v>
      </c>
      <c r="C1356" s="6" t="s">
        <v>153</v>
      </c>
      <c r="D1356" s="10">
        <f>IFERROR(D1251/E$1264/INDEX('Category Mapping'!$B$42:$B$45,MATCH($A1356,'Category Mapping'!$A$42:$A$45,0),1),0)</f>
        <v>4.2634197948854138E-5</v>
      </c>
      <c r="E1356" s="10">
        <f>IFERROR(E1251/F$1264/INDEX('Category Mapping'!$B$42:$B$45,MATCH($A1356,'Category Mapping'!$A$42:$A$45,0),1),0)</f>
        <v>1.5294598541322097E-4</v>
      </c>
      <c r="F1356" s="10">
        <f>IFERROR(F1251/G$1264/INDEX('Category Mapping'!$B$42:$B$45,MATCH($A1356,'Category Mapping'!$A$42:$A$45,0),1),0)</f>
        <v>0</v>
      </c>
      <c r="G1356" s="10">
        <f>IFERROR(G1251/H$1264/INDEX('Category Mapping'!$B$42:$B$45,MATCH($A1356,'Category Mapping'!$A$42:$A$45,0),1),0)</f>
        <v>6.7654364099472699E-5</v>
      </c>
      <c r="H1356" s="10">
        <f>IFERROR(H1251/I$1264/INDEX('Category Mapping'!$B$42:$B$45,MATCH($A1356,'Category Mapping'!$A$42:$A$45,0),1),0)</f>
        <v>1.3759736798568063E-4</v>
      </c>
      <c r="I1356" s="10">
        <f>IFERROR(I1251/J$1264/INDEX('Category Mapping'!$B$42:$B$45,MATCH($A1356,'Category Mapping'!$A$42:$A$45,0),1),0)</f>
        <v>1.3759736798568063E-4</v>
      </c>
      <c r="J1356" s="10">
        <f>IFERROR(J1251/K$1264/INDEX('Category Mapping'!$B$42:$B$45,MATCH($A1356,'Category Mapping'!$A$42:$A$45,0),1),0)</f>
        <v>2.3292642667886176E-5</v>
      </c>
      <c r="K1356" s="10">
        <f>IFERROR(K1251/L$1264/INDEX('Category Mapping'!$B$42:$B$45,MATCH($A1356,'Category Mapping'!$A$42:$A$45,0),1),0)</f>
        <v>1.0300704560609292E-4</v>
      </c>
      <c r="L1356" s="10">
        <f>IFERROR(L1251/M$1264/INDEX('Category Mapping'!$B$42:$B$45,MATCH($A1356,'Category Mapping'!$A$42:$A$45,0),1),0)</f>
        <v>0</v>
      </c>
      <c r="M1356" s="10">
        <f>IFERROR(M1251/N$1264/INDEX('Category Mapping'!$B$42:$B$45,MATCH($A1356,'Category Mapping'!$A$42:$A$45,0),1),0)</f>
        <v>1.6087608700781275E-4</v>
      </c>
      <c r="N1356" s="10">
        <f>IFERROR(N1251/O$1264/INDEX('Category Mapping'!$B$42:$B$45,MATCH($A1356,'Category Mapping'!$A$42:$A$45,0),1),0)</f>
        <v>1.6087608700781275E-4</v>
      </c>
      <c r="O1356" s="10">
        <f>IFERROR(O1251/P$1264/INDEX('Category Mapping'!$B$42:$B$45,MATCH($A1356,'Category Mapping'!$A$42:$A$45,0),1),0)</f>
        <v>1.6087608700781275E-4</v>
      </c>
      <c r="P1356" s="10">
        <f>IFERROR(P1251/Q$1264/INDEX('Category Mapping'!$B$42:$B$45,MATCH($A1356,'Category Mapping'!$A$42:$A$45,0),1),0)</f>
        <v>1.4822632172573806E-4</v>
      </c>
      <c r="Q1356" s="10">
        <f>IFERROR(Q1251/R$1264/INDEX('Category Mapping'!$B$42:$B$45,MATCH($A1356,'Category Mapping'!$A$42:$A$45,0),1),0)</f>
        <v>1.4822632172573806E-4</v>
      </c>
      <c r="R1356" s="10">
        <f>IFERROR(R1251/S$1264/INDEX('Category Mapping'!$B$42:$B$45,MATCH($A1356,'Category Mapping'!$A$42:$A$45,0),1),0)</f>
        <v>1.4822632172573806E-4</v>
      </c>
      <c r="S1356" s="10">
        <f>IFERROR(S1251/T$1264/INDEX('Category Mapping'!$B$42:$B$45,MATCH($A1356,'Category Mapping'!$A$42:$A$45,0),1),0)</f>
        <v>1.4822632172573806E-4</v>
      </c>
      <c r="T1356" s="10">
        <f>IFERROR(T1251/U$1264/INDEX('Category Mapping'!$B$42:$B$45,MATCH($A1356,'Category Mapping'!$A$42:$A$45,0),1),0)</f>
        <v>1.4822632172573806E-4</v>
      </c>
      <c r="U1356" s="10">
        <f>IFERROR(U1251/V$1264/INDEX('Category Mapping'!$B$42:$B$45,MATCH($A1356,'Category Mapping'!$A$42:$A$45,0),1),0)</f>
        <v>1.4822632172573806E-4</v>
      </c>
      <c r="V1356" s="10">
        <f>IFERROR(V1251/W$1264/INDEX('Category Mapping'!$B$42:$B$45,MATCH($A1356,'Category Mapping'!$A$42:$A$45,0),1),0)</f>
        <v>1.1640105752849336E-4</v>
      </c>
      <c r="W1356" s="10">
        <f>IFERROR(W1251/X$1264/INDEX('Category Mapping'!$B$42:$B$45,MATCH($A1356,'Category Mapping'!$A$42:$A$45,0),1),0)</f>
        <v>1.1640105752849336E-4</v>
      </c>
      <c r="X1356" s="10">
        <f>IFERROR(X1251/Y$1264/INDEX('Category Mapping'!$B$42:$B$45,MATCH($A1356,'Category Mapping'!$A$42:$A$45,0),1),0)</f>
        <v>1.1640105752849336E-4</v>
      </c>
      <c r="Y1356" s="27"/>
      <c r="Z1356" s="32"/>
    </row>
    <row r="1357" spans="1:26" outlineLevel="1" x14ac:dyDescent="0.3">
      <c r="A1357" t="s">
        <v>164</v>
      </c>
      <c r="B1357" t="s">
        <v>79</v>
      </c>
      <c r="C1357" s="6" t="s">
        <v>154</v>
      </c>
      <c r="D1357" s="10">
        <f>IFERROR(D1252/E$1264/INDEX('Category Mapping'!$B$42:$B$45,MATCH($A1357,'Category Mapping'!$A$42:$A$45,0),1),0)</f>
        <v>4.4611170446000416E-5</v>
      </c>
      <c r="E1357" s="10">
        <f>IFERROR(E1252/F$1264/INDEX('Category Mapping'!$B$42:$B$45,MATCH($A1357,'Category Mapping'!$A$42:$A$45,0),1),0)</f>
        <v>1.5177708931966117E-4</v>
      </c>
      <c r="F1357" s="10">
        <f>IFERROR(F1252/G$1264/INDEX('Category Mapping'!$B$42:$B$45,MATCH($A1357,'Category Mapping'!$A$42:$A$45,0),1),0)</f>
        <v>0</v>
      </c>
      <c r="G1357" s="10">
        <f>IFERROR(G1252/H$1264/INDEX('Category Mapping'!$B$42:$B$45,MATCH($A1357,'Category Mapping'!$A$42:$A$45,0),1),0)</f>
        <v>8.1668454676633683E-5</v>
      </c>
      <c r="H1357" s="10">
        <f>IFERROR(H1252/I$1264/INDEX('Category Mapping'!$B$42:$B$45,MATCH($A1357,'Category Mapping'!$A$42:$A$45,0),1),0)</f>
        <v>1.6221051038453784E-4</v>
      </c>
      <c r="I1357" s="10">
        <f>IFERROR(I1252/J$1264/INDEX('Category Mapping'!$B$42:$B$45,MATCH($A1357,'Category Mapping'!$A$42:$A$45,0),1),0)</f>
        <v>1.6221051038453784E-4</v>
      </c>
      <c r="J1357" s="10">
        <f>IFERROR(J1252/K$1264/INDEX('Category Mapping'!$B$42:$B$45,MATCH($A1357,'Category Mapping'!$A$42:$A$45,0),1),0)</f>
        <v>2.2084043820346098E-5</v>
      </c>
      <c r="K1357" s="10">
        <f>IFERROR(K1252/L$1264/INDEX('Category Mapping'!$B$42:$B$45,MATCH($A1357,'Category Mapping'!$A$42:$A$45,0),1),0)</f>
        <v>9.9389109093410338E-5</v>
      </c>
      <c r="L1357" s="10">
        <f>IFERROR(L1252/M$1264/INDEX('Category Mapping'!$B$42:$B$45,MATCH($A1357,'Category Mapping'!$A$42:$A$45,0),1),0)</f>
        <v>0</v>
      </c>
      <c r="M1357" s="10">
        <f>IFERROR(M1252/N$1264/INDEX('Category Mapping'!$B$42:$B$45,MATCH($A1357,'Category Mapping'!$A$42:$A$45,0),1),0)</f>
        <v>1.554341501737383E-4</v>
      </c>
      <c r="N1357" s="10">
        <f>IFERROR(N1252/O$1264/INDEX('Category Mapping'!$B$42:$B$45,MATCH($A1357,'Category Mapping'!$A$42:$A$45,0),1),0)</f>
        <v>1.554341501737383E-4</v>
      </c>
      <c r="O1357" s="10">
        <f>IFERROR(O1252/P$1264/INDEX('Category Mapping'!$B$42:$B$45,MATCH($A1357,'Category Mapping'!$A$42:$A$45,0),1),0)</f>
        <v>1.554341501737383E-4</v>
      </c>
      <c r="P1357" s="10">
        <f>IFERROR(P1252/Q$1264/INDEX('Category Mapping'!$B$42:$B$45,MATCH($A1357,'Category Mapping'!$A$42:$A$45,0),1),0)</f>
        <v>1.7082060568509569E-4</v>
      </c>
      <c r="Q1357" s="10">
        <f>IFERROR(Q1252/R$1264/INDEX('Category Mapping'!$B$42:$B$45,MATCH($A1357,'Category Mapping'!$A$42:$A$45,0),1),0)</f>
        <v>1.7082060568509569E-4</v>
      </c>
      <c r="R1357" s="10">
        <f>IFERROR(R1252/S$1264/INDEX('Category Mapping'!$B$42:$B$45,MATCH($A1357,'Category Mapping'!$A$42:$A$45,0),1),0)</f>
        <v>1.7082060568509569E-4</v>
      </c>
      <c r="S1357" s="10">
        <f>IFERROR(S1252/T$1264/INDEX('Category Mapping'!$B$42:$B$45,MATCH($A1357,'Category Mapping'!$A$42:$A$45,0),1),0)</f>
        <v>1.7082060568509569E-4</v>
      </c>
      <c r="T1357" s="10">
        <f>IFERROR(T1252/U$1264/INDEX('Category Mapping'!$B$42:$B$45,MATCH($A1357,'Category Mapping'!$A$42:$A$45,0),1),0)</f>
        <v>1.7082060568509569E-4</v>
      </c>
      <c r="U1357" s="10">
        <f>IFERROR(U1252/V$1264/INDEX('Category Mapping'!$B$42:$B$45,MATCH($A1357,'Category Mapping'!$A$42:$A$45,0),1),0)</f>
        <v>1.7082060568509569E-4</v>
      </c>
      <c r="V1357" s="10">
        <f>IFERROR(V1252/W$1264/INDEX('Category Mapping'!$B$42:$B$45,MATCH($A1357,'Category Mapping'!$A$42:$A$45,0),1),0)</f>
        <v>1.1755972222259766E-4</v>
      </c>
      <c r="W1357" s="10">
        <f>IFERROR(W1252/X$1264/INDEX('Category Mapping'!$B$42:$B$45,MATCH($A1357,'Category Mapping'!$A$42:$A$45,0),1),0)</f>
        <v>1.1755972222259766E-4</v>
      </c>
      <c r="X1357" s="10">
        <f>IFERROR(X1252/Y$1264/INDEX('Category Mapping'!$B$42:$B$45,MATCH($A1357,'Category Mapping'!$A$42:$A$45,0),1),0)</f>
        <v>1.1755972222259766E-4</v>
      </c>
      <c r="Y1357" s="27"/>
      <c r="Z1357" s="32"/>
    </row>
    <row r="1358" spans="1:26" outlineLevel="1" x14ac:dyDescent="0.3">
      <c r="A1358" t="s">
        <v>164</v>
      </c>
      <c r="B1358" t="s">
        <v>80</v>
      </c>
      <c r="C1358" s="6" t="s">
        <v>155</v>
      </c>
      <c r="D1358" s="10">
        <f>IFERROR(D1253/E$1264/INDEX('Category Mapping'!$B$42:$B$45,MATCH($A1358,'Category Mapping'!$A$42:$A$45,0),1),0)</f>
        <v>4.6888565209517734E-5</v>
      </c>
      <c r="E1358" s="10">
        <f>IFERROR(E1253/F$1264/INDEX('Category Mapping'!$B$42:$B$45,MATCH($A1358,'Category Mapping'!$A$42:$A$45,0),1),0)</f>
        <v>1.4309212297288726E-4</v>
      </c>
      <c r="F1358" s="10">
        <f>IFERROR(F1253/G$1264/INDEX('Category Mapping'!$B$42:$B$45,MATCH($A1358,'Category Mapping'!$A$42:$A$45,0),1),0)</f>
        <v>0</v>
      </c>
      <c r="G1358" s="10">
        <f>IFERROR(G1253/H$1264/INDEX('Category Mapping'!$B$42:$B$45,MATCH($A1358,'Category Mapping'!$A$42:$A$45,0),1),0)</f>
        <v>2.1288256408114395E-4</v>
      </c>
      <c r="H1358" s="10">
        <f>IFERROR(H1253/I$1264/INDEX('Category Mapping'!$B$42:$B$45,MATCH($A1358,'Category Mapping'!$A$42:$A$45,0),1),0)</f>
        <v>1.7559200832165122E-4</v>
      </c>
      <c r="I1358" s="10">
        <f>IFERROR(I1253/J$1264/INDEX('Category Mapping'!$B$42:$B$45,MATCH($A1358,'Category Mapping'!$A$42:$A$45,0),1),0)</f>
        <v>1.7559200832165122E-4</v>
      </c>
      <c r="J1358" s="10">
        <f>IFERROR(J1253/K$1264/INDEX('Category Mapping'!$B$42:$B$45,MATCH($A1358,'Category Mapping'!$A$42:$A$45,0),1),0)</f>
        <v>2.5454287163735808E-5</v>
      </c>
      <c r="K1358" s="10">
        <f>IFERROR(K1253/L$1264/INDEX('Category Mapping'!$B$42:$B$45,MATCH($A1358,'Category Mapping'!$A$42:$A$45,0),1),0)</f>
        <v>9.2371972916639614E-5</v>
      </c>
      <c r="L1358" s="10">
        <f>IFERROR(L1253/M$1264/INDEX('Category Mapping'!$B$42:$B$45,MATCH($A1358,'Category Mapping'!$A$42:$A$45,0),1),0)</f>
        <v>0</v>
      </c>
      <c r="M1358" s="10">
        <f>IFERROR(M1253/N$1264/INDEX('Category Mapping'!$B$42:$B$45,MATCH($A1358,'Category Mapping'!$A$42:$A$45,0),1),0)</f>
        <v>1.4692386589955803E-4</v>
      </c>
      <c r="N1358" s="10">
        <f>IFERROR(N1253/O$1264/INDEX('Category Mapping'!$B$42:$B$45,MATCH($A1358,'Category Mapping'!$A$42:$A$45,0),1),0)</f>
        <v>1.4692386589955803E-4</v>
      </c>
      <c r="O1358" s="10">
        <f>IFERROR(O1253/P$1264/INDEX('Category Mapping'!$B$42:$B$45,MATCH($A1358,'Category Mapping'!$A$42:$A$45,0),1),0)</f>
        <v>1.4692386589955803E-4</v>
      </c>
      <c r="P1358" s="10">
        <f>IFERROR(P1253/Q$1264/INDEX('Category Mapping'!$B$42:$B$45,MATCH($A1358,'Category Mapping'!$A$42:$A$45,0),1),0)</f>
        <v>1.7911594012333889E-4</v>
      </c>
      <c r="Q1358" s="10">
        <f>IFERROR(Q1253/R$1264/INDEX('Category Mapping'!$B$42:$B$45,MATCH($A1358,'Category Mapping'!$A$42:$A$45,0),1),0)</f>
        <v>1.7911594012333889E-4</v>
      </c>
      <c r="R1358" s="10">
        <f>IFERROR(R1253/S$1264/INDEX('Category Mapping'!$B$42:$B$45,MATCH($A1358,'Category Mapping'!$A$42:$A$45,0),1),0)</f>
        <v>1.7911594012333889E-4</v>
      </c>
      <c r="S1358" s="10">
        <f>IFERROR(S1253/T$1264/INDEX('Category Mapping'!$B$42:$B$45,MATCH($A1358,'Category Mapping'!$A$42:$A$45,0),1),0)</f>
        <v>1.7911594012333889E-4</v>
      </c>
      <c r="T1358" s="10">
        <f>IFERROR(T1253/U$1264/INDEX('Category Mapping'!$B$42:$B$45,MATCH($A1358,'Category Mapping'!$A$42:$A$45,0),1),0)</f>
        <v>1.7911594012333889E-4</v>
      </c>
      <c r="U1358" s="10">
        <f>IFERROR(U1253/V$1264/INDEX('Category Mapping'!$B$42:$B$45,MATCH($A1358,'Category Mapping'!$A$42:$A$45,0),1),0)</f>
        <v>1.7911594012333889E-4</v>
      </c>
      <c r="V1358" s="10">
        <f>IFERROR(V1253/W$1264/INDEX('Category Mapping'!$B$42:$B$45,MATCH($A1358,'Category Mapping'!$A$42:$A$45,0),1),0)</f>
        <v>1.1783006170035674E-4</v>
      </c>
      <c r="W1358" s="10">
        <f>IFERROR(W1253/X$1264/INDEX('Category Mapping'!$B$42:$B$45,MATCH($A1358,'Category Mapping'!$A$42:$A$45,0),1),0)</f>
        <v>1.1783006170035674E-4</v>
      </c>
      <c r="X1358" s="10">
        <f>IFERROR(X1253/Y$1264/INDEX('Category Mapping'!$B$42:$B$45,MATCH($A1358,'Category Mapping'!$A$42:$A$45,0),1),0)</f>
        <v>1.1783006170035674E-4</v>
      </c>
      <c r="Y1358" s="27"/>
      <c r="Z1358" s="32"/>
    </row>
    <row r="1359" spans="1:26" outlineLevel="1" x14ac:dyDescent="0.3">
      <c r="A1359" t="s">
        <v>164</v>
      </c>
      <c r="B1359" t="s">
        <v>81</v>
      </c>
      <c r="C1359" s="6" t="s">
        <v>156</v>
      </c>
      <c r="D1359" s="10">
        <f>IFERROR(D1254/E$1264/INDEX('Category Mapping'!$B$42:$B$45,MATCH($A1359,'Category Mapping'!$A$42:$A$45,0),1),0)</f>
        <v>4.9492820012113801E-5</v>
      </c>
      <c r="E1359" s="10">
        <f>IFERROR(E1254/F$1264/INDEX('Category Mapping'!$B$42:$B$45,MATCH($A1359,'Category Mapping'!$A$42:$A$45,0),1),0)</f>
        <v>1.2830695615680384E-4</v>
      </c>
      <c r="F1359" s="10">
        <f>IFERROR(F1254/G$1264/INDEX('Category Mapping'!$B$42:$B$45,MATCH($A1359,'Category Mapping'!$A$42:$A$45,0),1),0)</f>
        <v>0</v>
      </c>
      <c r="G1359" s="10">
        <f>IFERROR(G1254/H$1264/INDEX('Category Mapping'!$B$42:$B$45,MATCH($A1359,'Category Mapping'!$A$42:$A$45,0),1),0)</f>
        <v>2.86318726291149E-4</v>
      </c>
      <c r="H1359" s="10">
        <f>IFERROR(H1254/I$1264/INDEX('Category Mapping'!$B$42:$B$45,MATCH($A1359,'Category Mapping'!$A$42:$A$45,0),1),0)</f>
        <v>1.7066260560014853E-4</v>
      </c>
      <c r="I1359" s="10">
        <f>IFERROR(I1254/J$1264/INDEX('Category Mapping'!$B$42:$B$45,MATCH($A1359,'Category Mapping'!$A$42:$A$45,0),1),0)</f>
        <v>1.7066260560014853E-4</v>
      </c>
      <c r="J1359" s="10">
        <f>IFERROR(J1254/K$1264/INDEX('Category Mapping'!$B$42:$B$45,MATCH($A1359,'Category Mapping'!$A$42:$A$45,0),1),0)</f>
        <v>3.0274868485806144E-5</v>
      </c>
      <c r="K1359" s="10">
        <f>IFERROR(K1254/L$1264/INDEX('Category Mapping'!$B$42:$B$45,MATCH($A1359,'Category Mapping'!$A$42:$A$45,0),1),0)</f>
        <v>8.4605165951636771E-5</v>
      </c>
      <c r="L1359" s="10">
        <f>IFERROR(L1254/M$1264/INDEX('Category Mapping'!$B$42:$B$45,MATCH($A1359,'Category Mapping'!$A$42:$A$45,0),1),0)</f>
        <v>0</v>
      </c>
      <c r="M1359" s="10">
        <f>IFERROR(M1254/N$1264/INDEX('Category Mapping'!$B$42:$B$45,MATCH($A1359,'Category Mapping'!$A$42:$A$45,0),1),0)</f>
        <v>1.3999716891178934E-4</v>
      </c>
      <c r="N1359" s="10">
        <f>IFERROR(N1254/O$1264/INDEX('Category Mapping'!$B$42:$B$45,MATCH($A1359,'Category Mapping'!$A$42:$A$45,0),1),0)</f>
        <v>1.3999716891178934E-4</v>
      </c>
      <c r="O1359" s="10">
        <f>IFERROR(O1254/P$1264/INDEX('Category Mapping'!$B$42:$B$45,MATCH($A1359,'Category Mapping'!$A$42:$A$45,0),1),0)</f>
        <v>1.3999716891178934E-4</v>
      </c>
      <c r="P1359" s="10">
        <f>IFERROR(P1254/Q$1264/INDEX('Category Mapping'!$B$42:$B$45,MATCH($A1359,'Category Mapping'!$A$42:$A$45,0),1),0)</f>
        <v>1.6654697653244982E-4</v>
      </c>
      <c r="Q1359" s="10">
        <f>IFERROR(Q1254/R$1264/INDEX('Category Mapping'!$B$42:$B$45,MATCH($A1359,'Category Mapping'!$A$42:$A$45,0),1),0)</f>
        <v>1.6654697653244982E-4</v>
      </c>
      <c r="R1359" s="10">
        <f>IFERROR(R1254/S$1264/INDEX('Category Mapping'!$B$42:$B$45,MATCH($A1359,'Category Mapping'!$A$42:$A$45,0),1),0)</f>
        <v>1.6654697653244982E-4</v>
      </c>
      <c r="S1359" s="10">
        <f>IFERROR(S1254/T$1264/INDEX('Category Mapping'!$B$42:$B$45,MATCH($A1359,'Category Mapping'!$A$42:$A$45,0),1),0)</f>
        <v>1.6654697653244982E-4</v>
      </c>
      <c r="T1359" s="10">
        <f>IFERROR(T1254/U$1264/INDEX('Category Mapping'!$B$42:$B$45,MATCH($A1359,'Category Mapping'!$A$42:$A$45,0),1),0)</f>
        <v>1.6654697653244982E-4</v>
      </c>
      <c r="U1359" s="10">
        <f>IFERROR(U1254/V$1264/INDEX('Category Mapping'!$B$42:$B$45,MATCH($A1359,'Category Mapping'!$A$42:$A$45,0),1),0)</f>
        <v>1.6654697653244982E-4</v>
      </c>
      <c r="V1359" s="10">
        <f>IFERROR(V1254/W$1264/INDEX('Category Mapping'!$B$42:$B$45,MATCH($A1359,'Category Mapping'!$A$42:$A$45,0),1),0)</f>
        <v>1.1727392138822499E-4</v>
      </c>
      <c r="W1359" s="10">
        <f>IFERROR(W1254/X$1264/INDEX('Category Mapping'!$B$42:$B$45,MATCH($A1359,'Category Mapping'!$A$42:$A$45,0),1),0)</f>
        <v>1.1727392138822499E-4</v>
      </c>
      <c r="X1359" s="10">
        <f>IFERROR(X1254/Y$1264/INDEX('Category Mapping'!$B$42:$B$45,MATCH($A1359,'Category Mapping'!$A$42:$A$45,0),1),0)</f>
        <v>1.1727392138822499E-4</v>
      </c>
      <c r="Y1359" s="35"/>
      <c r="Z1359" s="32"/>
    </row>
    <row r="1360" spans="1:26" outlineLevel="1" x14ac:dyDescent="0.3">
      <c r="A1360" t="s">
        <v>164</v>
      </c>
      <c r="B1360" t="s">
        <v>82</v>
      </c>
      <c r="C1360" s="6" t="s">
        <v>157</v>
      </c>
      <c r="D1360" s="10">
        <f>IFERROR(D1255/E$1264/INDEX('Category Mapping'!$B$42:$B$45,MATCH($A1360,'Category Mapping'!$A$42:$A$45,0),1),0)</f>
        <v>5.1791446940834168E-5</v>
      </c>
      <c r="E1360" s="10">
        <f>IFERROR(E1255/F$1264/INDEX('Category Mapping'!$B$42:$B$45,MATCH($A1360,'Category Mapping'!$A$42:$A$45,0),1),0)</f>
        <v>1.0651559914714876E-4</v>
      </c>
      <c r="F1360" s="10">
        <f>IFERROR(F1255/G$1264/INDEX('Category Mapping'!$B$42:$B$45,MATCH($A1360,'Category Mapping'!$A$42:$A$45,0),1),0)</f>
        <v>0</v>
      </c>
      <c r="G1360" s="10">
        <f>IFERROR(G1255/H$1264/INDEX('Category Mapping'!$B$42:$B$45,MATCH($A1360,'Category Mapping'!$A$42:$A$45,0),1),0)</f>
        <v>3.069094259822677E-4</v>
      </c>
      <c r="H1360" s="10">
        <f>IFERROR(H1255/I$1264/INDEX('Category Mapping'!$B$42:$B$45,MATCH($A1360,'Category Mapping'!$A$42:$A$45,0),1),0)</f>
        <v>1.6113291674301082E-4</v>
      </c>
      <c r="I1360" s="10">
        <f>IFERROR(I1255/J$1264/INDEX('Category Mapping'!$B$42:$B$45,MATCH($A1360,'Category Mapping'!$A$42:$A$45,0),1),0)</f>
        <v>1.6113291674301082E-4</v>
      </c>
      <c r="J1360" s="10">
        <f>IFERROR(J1255/K$1264/INDEX('Category Mapping'!$B$42:$B$45,MATCH($A1360,'Category Mapping'!$A$42:$A$45,0),1),0)</f>
        <v>3.5868988812141741E-5</v>
      </c>
      <c r="K1360" s="10">
        <f>IFERROR(K1255/L$1264/INDEX('Category Mapping'!$B$42:$B$45,MATCH($A1360,'Category Mapping'!$A$42:$A$45,0),1),0)</f>
        <v>7.5446796564757239E-5</v>
      </c>
      <c r="L1360" s="10">
        <f>IFERROR(L1255/M$1264/INDEX('Category Mapping'!$B$42:$B$45,MATCH($A1360,'Category Mapping'!$A$42:$A$45,0),1),0)</f>
        <v>0</v>
      </c>
      <c r="M1360" s="10">
        <f>IFERROR(M1255/N$1264/INDEX('Category Mapping'!$B$42:$B$45,MATCH($A1360,'Category Mapping'!$A$42:$A$45,0),1),0)</f>
        <v>1.1875490326782055E-4</v>
      </c>
      <c r="N1360" s="10">
        <f>IFERROR(N1255/O$1264/INDEX('Category Mapping'!$B$42:$B$45,MATCH($A1360,'Category Mapping'!$A$42:$A$45,0),1),0)</f>
        <v>1.1875490326782055E-4</v>
      </c>
      <c r="O1360" s="10">
        <f>IFERROR(O1255/P$1264/INDEX('Category Mapping'!$B$42:$B$45,MATCH($A1360,'Category Mapping'!$A$42:$A$45,0),1),0)</f>
        <v>1.1875490326782055E-4</v>
      </c>
      <c r="P1360" s="10">
        <f>IFERROR(P1255/Q$1264/INDEX('Category Mapping'!$B$42:$B$45,MATCH($A1360,'Category Mapping'!$A$42:$A$45,0),1),0)</f>
        <v>1.3939171206634276E-4</v>
      </c>
      <c r="Q1360" s="10">
        <f>IFERROR(Q1255/R$1264/INDEX('Category Mapping'!$B$42:$B$45,MATCH($A1360,'Category Mapping'!$A$42:$A$45,0),1),0)</f>
        <v>1.3939171206634276E-4</v>
      </c>
      <c r="R1360" s="10">
        <f>IFERROR(R1255/S$1264/INDEX('Category Mapping'!$B$42:$B$45,MATCH($A1360,'Category Mapping'!$A$42:$A$45,0),1),0)</f>
        <v>1.3939171206634276E-4</v>
      </c>
      <c r="S1360" s="10">
        <f>IFERROR(S1255/T$1264/INDEX('Category Mapping'!$B$42:$B$45,MATCH($A1360,'Category Mapping'!$A$42:$A$45,0),1),0)</f>
        <v>1.3939171206634276E-4</v>
      </c>
      <c r="T1360" s="10">
        <f>IFERROR(T1255/U$1264/INDEX('Category Mapping'!$B$42:$B$45,MATCH($A1360,'Category Mapping'!$A$42:$A$45,0),1),0)</f>
        <v>1.3939171206634276E-4</v>
      </c>
      <c r="U1360" s="10">
        <f>IFERROR(U1255/V$1264/INDEX('Category Mapping'!$B$42:$B$45,MATCH($A1360,'Category Mapping'!$A$42:$A$45,0),1),0)</f>
        <v>1.3939171206634276E-4</v>
      </c>
      <c r="V1360" s="10">
        <f>IFERROR(V1255/W$1264/INDEX('Category Mapping'!$B$42:$B$45,MATCH($A1360,'Category Mapping'!$A$42:$A$45,0),1),0)</f>
        <v>1.1651537786224244E-4</v>
      </c>
      <c r="W1360" s="10">
        <f>IFERROR(W1255/X$1264/INDEX('Category Mapping'!$B$42:$B$45,MATCH($A1360,'Category Mapping'!$A$42:$A$45,0),1),0)</f>
        <v>1.1651537786224244E-4</v>
      </c>
      <c r="X1360" s="10">
        <f>IFERROR(X1255/Y$1264/INDEX('Category Mapping'!$B$42:$B$45,MATCH($A1360,'Category Mapping'!$A$42:$A$45,0),1),0)</f>
        <v>1.1651537786224244E-4</v>
      </c>
      <c r="Y1360" s="27"/>
      <c r="Z1360" s="32"/>
    </row>
    <row r="1361" spans="1:26" outlineLevel="1" x14ac:dyDescent="0.3">
      <c r="A1361" t="s">
        <v>164</v>
      </c>
      <c r="B1361" t="s">
        <v>83</v>
      </c>
      <c r="C1361" s="6" t="s">
        <v>158</v>
      </c>
      <c r="D1361" s="10">
        <f>IFERROR(D1256/E$1264/INDEX('Category Mapping'!$B$42:$B$45,MATCH($A1361,'Category Mapping'!$A$42:$A$45,0),1),0)</f>
        <v>5.2208382012206745E-5</v>
      </c>
      <c r="E1361" s="10">
        <f>IFERROR(E1256/F$1264/INDEX('Category Mapping'!$B$42:$B$45,MATCH($A1361,'Category Mapping'!$A$42:$A$45,0),1),0)</f>
        <v>7.7354103622204559E-5</v>
      </c>
      <c r="F1361" s="10">
        <f>IFERROR(F1256/G$1264/INDEX('Category Mapping'!$B$42:$B$45,MATCH($A1361,'Category Mapping'!$A$42:$A$45,0),1),0)</f>
        <v>0</v>
      </c>
      <c r="G1361" s="10">
        <f>IFERROR(G1256/H$1264/INDEX('Category Mapping'!$B$42:$B$45,MATCH($A1361,'Category Mapping'!$A$42:$A$45,0),1),0)</f>
        <v>3.1044026862385069E-4</v>
      </c>
      <c r="H1361" s="10">
        <f>IFERROR(H1256/I$1264/INDEX('Category Mapping'!$B$42:$B$45,MATCH($A1361,'Category Mapping'!$A$42:$A$45,0),1),0)</f>
        <v>1.5677364614669965E-4</v>
      </c>
      <c r="I1361" s="10">
        <f>IFERROR(I1256/J$1264/INDEX('Category Mapping'!$B$42:$B$45,MATCH($A1361,'Category Mapping'!$A$42:$A$45,0),1),0)</f>
        <v>1.5677364614669965E-4</v>
      </c>
      <c r="J1361" s="10">
        <f>IFERROR(J1256/K$1264/INDEX('Category Mapping'!$B$42:$B$45,MATCH($A1361,'Category Mapping'!$A$42:$A$45,0),1),0)</f>
        <v>4.4142135913167445E-5</v>
      </c>
      <c r="K1361" s="10">
        <f>IFERROR(K1256/L$1264/INDEX('Category Mapping'!$B$42:$B$45,MATCH($A1361,'Category Mapping'!$A$42:$A$45,0),1),0)</f>
        <v>6.633387149435928E-5</v>
      </c>
      <c r="L1361" s="10">
        <f>IFERROR(L1256/M$1264/INDEX('Category Mapping'!$B$42:$B$45,MATCH($A1361,'Category Mapping'!$A$42:$A$45,0),1),0)</f>
        <v>0</v>
      </c>
      <c r="M1361" s="10">
        <f>IFERROR(M1256/N$1264/INDEX('Category Mapping'!$B$42:$B$45,MATCH($A1361,'Category Mapping'!$A$42:$A$45,0),1),0)</f>
        <v>9.9872473153245867E-5</v>
      </c>
      <c r="N1361" s="10">
        <f>IFERROR(N1256/O$1264/INDEX('Category Mapping'!$B$42:$B$45,MATCH($A1361,'Category Mapping'!$A$42:$A$45,0),1),0)</f>
        <v>9.9872473153245867E-5</v>
      </c>
      <c r="O1361" s="10">
        <f>IFERROR(O1256/P$1264/INDEX('Category Mapping'!$B$42:$B$45,MATCH($A1361,'Category Mapping'!$A$42:$A$45,0),1),0)</f>
        <v>9.9872473153245867E-5</v>
      </c>
      <c r="P1361" s="10">
        <f>IFERROR(P1256/Q$1264/INDEX('Category Mapping'!$B$42:$B$45,MATCH($A1361,'Category Mapping'!$A$42:$A$45,0),1),0)</f>
        <v>1.2906391746080455E-4</v>
      </c>
      <c r="Q1361" s="10">
        <f>IFERROR(Q1256/R$1264/INDEX('Category Mapping'!$B$42:$B$45,MATCH($A1361,'Category Mapping'!$A$42:$A$45,0),1),0)</f>
        <v>1.2906391746080455E-4</v>
      </c>
      <c r="R1361" s="10">
        <f>IFERROR(R1256/S$1264/INDEX('Category Mapping'!$B$42:$B$45,MATCH($A1361,'Category Mapping'!$A$42:$A$45,0),1),0)</f>
        <v>1.2906391746080455E-4</v>
      </c>
      <c r="S1361" s="10">
        <f>IFERROR(S1256/T$1264/INDEX('Category Mapping'!$B$42:$B$45,MATCH($A1361,'Category Mapping'!$A$42:$A$45,0),1),0)</f>
        <v>1.2906391746080455E-4</v>
      </c>
      <c r="T1361" s="10">
        <f>IFERROR(T1256/U$1264/INDEX('Category Mapping'!$B$42:$B$45,MATCH($A1361,'Category Mapping'!$A$42:$A$45,0),1),0)</f>
        <v>1.2906391746080455E-4</v>
      </c>
      <c r="U1361" s="10">
        <f>IFERROR(U1256/V$1264/INDEX('Category Mapping'!$B$42:$B$45,MATCH($A1361,'Category Mapping'!$A$42:$A$45,0),1),0)</f>
        <v>1.2906391746080455E-4</v>
      </c>
      <c r="V1361" s="10">
        <f>IFERROR(V1256/W$1264/INDEX('Category Mapping'!$B$42:$B$45,MATCH($A1361,'Category Mapping'!$A$42:$A$45,0),1),0)</f>
        <v>1.1575917696604985E-4</v>
      </c>
      <c r="W1361" s="10">
        <f>IFERROR(W1256/X$1264/INDEX('Category Mapping'!$B$42:$B$45,MATCH($A1361,'Category Mapping'!$A$42:$A$45,0),1),0)</f>
        <v>1.1575917696604985E-4</v>
      </c>
      <c r="X1361" s="10">
        <f>IFERROR(X1256/Y$1264/INDEX('Category Mapping'!$B$42:$B$45,MATCH($A1361,'Category Mapping'!$A$42:$A$45,0),1),0)</f>
        <v>1.1575917696604985E-4</v>
      </c>
      <c r="Y1361" s="27"/>
      <c r="Z1361" s="32"/>
    </row>
    <row r="1362" spans="1:26" outlineLevel="1" x14ac:dyDescent="0.3">
      <c r="A1362" t="s">
        <v>164</v>
      </c>
      <c r="B1362" t="s">
        <v>84</v>
      </c>
      <c r="C1362" s="6" t="s">
        <v>159</v>
      </c>
      <c r="D1362" s="10">
        <f>IFERROR(D1257/E$1264/INDEX('Category Mapping'!$B$42:$B$45,MATCH($A1362,'Category Mapping'!$A$42:$A$45,0),1),0)</f>
        <v>4.5917302763845259E-5</v>
      </c>
      <c r="E1362" s="10">
        <f>IFERROR(E1257/F$1264/INDEX('Category Mapping'!$B$42:$B$45,MATCH($A1362,'Category Mapping'!$A$42:$A$45,0),1),0)</f>
        <v>4.6199694084252078E-5</v>
      </c>
      <c r="F1362" s="10">
        <f>IFERROR(F1257/G$1264/INDEX('Category Mapping'!$B$42:$B$45,MATCH($A1362,'Category Mapping'!$A$42:$A$45,0),1),0)</f>
        <v>0</v>
      </c>
      <c r="G1362" s="10">
        <f>IFERROR(G1257/H$1264/INDEX('Category Mapping'!$B$42:$B$45,MATCH($A1362,'Category Mapping'!$A$42:$A$45,0),1),0)</f>
        <v>2.5475290836905615E-4</v>
      </c>
      <c r="H1362" s="10">
        <f>IFERROR(H1257/I$1264/INDEX('Category Mapping'!$B$42:$B$45,MATCH($A1362,'Category Mapping'!$A$42:$A$45,0),1),0)</f>
        <v>1.5307889871195724E-4</v>
      </c>
      <c r="I1362" s="10">
        <f>IFERROR(I1257/J$1264/INDEX('Category Mapping'!$B$42:$B$45,MATCH($A1362,'Category Mapping'!$A$42:$A$45,0),1),0)</f>
        <v>1.5307889871195724E-4</v>
      </c>
      <c r="J1362" s="10">
        <f>IFERROR(J1257/K$1264/INDEX('Category Mapping'!$B$42:$B$45,MATCH($A1362,'Category Mapping'!$A$42:$A$45,0),1),0)</f>
        <v>3.450558005411771E-5</v>
      </c>
      <c r="K1362" s="10">
        <f>IFERROR(K1257/L$1264/INDEX('Category Mapping'!$B$42:$B$45,MATCH($A1362,'Category Mapping'!$A$42:$A$45,0),1),0)</f>
        <v>5.7828906904473647E-5</v>
      </c>
      <c r="L1362" s="10">
        <f>IFERROR(L1257/M$1264/INDEX('Category Mapping'!$B$42:$B$45,MATCH($A1362,'Category Mapping'!$A$42:$A$45,0),1),0)</f>
        <v>0</v>
      </c>
      <c r="M1362" s="10">
        <f>IFERROR(M1257/N$1264/INDEX('Category Mapping'!$B$42:$B$45,MATCH($A1362,'Category Mapping'!$A$42:$A$45,0),1),0)</f>
        <v>8.2374329568646199E-5</v>
      </c>
      <c r="N1362" s="10">
        <f>IFERROR(N1257/O$1264/INDEX('Category Mapping'!$B$42:$B$45,MATCH($A1362,'Category Mapping'!$A$42:$A$45,0),1),0)</f>
        <v>8.2374329568646199E-5</v>
      </c>
      <c r="O1362" s="10">
        <f>IFERROR(O1257/P$1264/INDEX('Category Mapping'!$B$42:$B$45,MATCH($A1362,'Category Mapping'!$A$42:$A$45,0),1),0)</f>
        <v>8.2374329568646199E-5</v>
      </c>
      <c r="P1362" s="10">
        <f>IFERROR(P1257/Q$1264/INDEX('Category Mapping'!$B$42:$B$45,MATCH($A1362,'Category Mapping'!$A$42:$A$45,0),1),0)</f>
        <v>1.2142299918920443E-4</v>
      </c>
      <c r="Q1362" s="10">
        <f>IFERROR(Q1257/R$1264/INDEX('Category Mapping'!$B$42:$B$45,MATCH($A1362,'Category Mapping'!$A$42:$A$45,0),1),0)</f>
        <v>1.2142299918920443E-4</v>
      </c>
      <c r="R1362" s="10">
        <f>IFERROR(R1257/S$1264/INDEX('Category Mapping'!$B$42:$B$45,MATCH($A1362,'Category Mapping'!$A$42:$A$45,0),1),0)</f>
        <v>1.2142299918920443E-4</v>
      </c>
      <c r="S1362" s="10">
        <f>IFERROR(S1257/T$1264/INDEX('Category Mapping'!$B$42:$B$45,MATCH($A1362,'Category Mapping'!$A$42:$A$45,0),1),0)</f>
        <v>1.2142299918920443E-4</v>
      </c>
      <c r="T1362" s="10">
        <f>IFERROR(T1257/U$1264/INDEX('Category Mapping'!$B$42:$B$45,MATCH($A1362,'Category Mapping'!$A$42:$A$45,0),1),0)</f>
        <v>1.2142299918920443E-4</v>
      </c>
      <c r="U1362" s="10">
        <f>IFERROR(U1257/V$1264/INDEX('Category Mapping'!$B$42:$B$45,MATCH($A1362,'Category Mapping'!$A$42:$A$45,0),1),0)</f>
        <v>1.2142299918920443E-4</v>
      </c>
      <c r="V1362" s="10">
        <f>IFERROR(V1257/W$1264/INDEX('Category Mapping'!$B$42:$B$45,MATCH($A1362,'Category Mapping'!$A$42:$A$45,0),1),0)</f>
        <v>1.1474341268913186E-4</v>
      </c>
      <c r="W1362" s="10">
        <f>IFERROR(W1257/X$1264/INDEX('Category Mapping'!$B$42:$B$45,MATCH($A1362,'Category Mapping'!$A$42:$A$45,0),1),0)</f>
        <v>1.1474341268913186E-4</v>
      </c>
      <c r="X1362" s="10">
        <f>IFERROR(X1257/Y$1264/INDEX('Category Mapping'!$B$42:$B$45,MATCH($A1362,'Category Mapping'!$A$42:$A$45,0),1),0)</f>
        <v>1.1474341268913186E-4</v>
      </c>
      <c r="Y1362" s="27"/>
      <c r="Z1362" s="32"/>
    </row>
    <row r="1363" spans="1:26" outlineLevel="1" x14ac:dyDescent="0.3">
      <c r="A1363" t="s">
        <v>164</v>
      </c>
      <c r="B1363" t="s">
        <v>85</v>
      </c>
      <c r="C1363" s="6" t="s">
        <v>160</v>
      </c>
      <c r="D1363" s="10">
        <f>IFERROR(D1258/E$1264/INDEX('Category Mapping'!$B$42:$B$45,MATCH($A1363,'Category Mapping'!$A$42:$A$45,0),1),0)</f>
        <v>3.4533733159200271E-5</v>
      </c>
      <c r="E1363" s="10">
        <f>IFERROR(E1258/F$1264/INDEX('Category Mapping'!$B$42:$B$45,MATCH($A1363,'Category Mapping'!$A$42:$A$45,0),1),0)</f>
        <v>2.243117444330345E-5</v>
      </c>
      <c r="F1363" s="10">
        <f>IFERROR(F1258/G$1264/INDEX('Category Mapping'!$B$42:$B$45,MATCH($A1363,'Category Mapping'!$A$42:$A$45,0),1),0)</f>
        <v>0</v>
      </c>
      <c r="G1363" s="10">
        <f>IFERROR(G1258/H$1264/INDEX('Category Mapping'!$B$42:$B$45,MATCH($A1363,'Category Mapping'!$A$42:$A$45,0),1),0)</f>
        <v>1.5358530193329553E-4</v>
      </c>
      <c r="H1363" s="10">
        <f>IFERROR(H1258/I$1264/INDEX('Category Mapping'!$B$42:$B$45,MATCH($A1363,'Category Mapping'!$A$42:$A$45,0),1),0)</f>
        <v>1.2106380379488527E-4</v>
      </c>
      <c r="I1363" s="10">
        <f>IFERROR(I1258/J$1264/INDEX('Category Mapping'!$B$42:$B$45,MATCH($A1363,'Category Mapping'!$A$42:$A$45,0),1),0)</f>
        <v>1.2106380379488527E-4</v>
      </c>
      <c r="J1363" s="10">
        <f>IFERROR(J1258/K$1264/INDEX('Category Mapping'!$B$42:$B$45,MATCH($A1363,'Category Mapping'!$A$42:$A$45,0),1),0)</f>
        <v>3.1373518626075516E-5</v>
      </c>
      <c r="K1363" s="10">
        <f>IFERROR(K1258/L$1264/INDEX('Category Mapping'!$B$42:$B$45,MATCH($A1363,'Category Mapping'!$A$42:$A$45,0),1),0)</f>
        <v>5.0513235166236693E-5</v>
      </c>
      <c r="L1363" s="10">
        <f>IFERROR(L1258/M$1264/INDEX('Category Mapping'!$B$42:$B$45,MATCH($A1363,'Category Mapping'!$A$42:$A$45,0),1),0)</f>
        <v>0</v>
      </c>
      <c r="M1363" s="10">
        <f>IFERROR(M1258/N$1264/INDEX('Category Mapping'!$B$42:$B$45,MATCH($A1363,'Category Mapping'!$A$42:$A$45,0),1),0)</f>
        <v>7.0289371561127451E-5</v>
      </c>
      <c r="N1363" s="10">
        <f>IFERROR(N1258/O$1264/INDEX('Category Mapping'!$B$42:$B$45,MATCH($A1363,'Category Mapping'!$A$42:$A$45,0),1),0)</f>
        <v>7.0289371561127451E-5</v>
      </c>
      <c r="O1363" s="10">
        <f>IFERROR(O1258/P$1264/INDEX('Category Mapping'!$B$42:$B$45,MATCH($A1363,'Category Mapping'!$A$42:$A$45,0),1),0)</f>
        <v>7.0289371561127451E-5</v>
      </c>
      <c r="P1363" s="10">
        <f>IFERROR(P1258/Q$1264/INDEX('Category Mapping'!$B$42:$B$45,MATCH($A1363,'Category Mapping'!$A$42:$A$45,0),1),0)</f>
        <v>1.1518155644737337E-4</v>
      </c>
      <c r="Q1363" s="10">
        <f>IFERROR(Q1258/R$1264/INDEX('Category Mapping'!$B$42:$B$45,MATCH($A1363,'Category Mapping'!$A$42:$A$45,0),1),0)</f>
        <v>1.1518155644737337E-4</v>
      </c>
      <c r="R1363" s="10">
        <f>IFERROR(R1258/S$1264/INDEX('Category Mapping'!$B$42:$B$45,MATCH($A1363,'Category Mapping'!$A$42:$A$45,0),1),0)</f>
        <v>1.1518155644737337E-4</v>
      </c>
      <c r="S1363" s="10">
        <f>IFERROR(S1258/T$1264/INDEX('Category Mapping'!$B$42:$B$45,MATCH($A1363,'Category Mapping'!$A$42:$A$45,0),1),0)</f>
        <v>1.1518155644737337E-4</v>
      </c>
      <c r="T1363" s="10">
        <f>IFERROR(T1258/U$1264/INDEX('Category Mapping'!$B$42:$B$45,MATCH($A1363,'Category Mapping'!$A$42:$A$45,0),1),0)</f>
        <v>1.1518155644737337E-4</v>
      </c>
      <c r="U1363" s="10">
        <f>IFERROR(U1258/V$1264/INDEX('Category Mapping'!$B$42:$B$45,MATCH($A1363,'Category Mapping'!$A$42:$A$45,0),1),0)</f>
        <v>1.1518155644737337E-4</v>
      </c>
      <c r="V1363" s="10">
        <f>IFERROR(V1258/W$1264/INDEX('Category Mapping'!$B$42:$B$45,MATCH($A1363,'Category Mapping'!$A$42:$A$45,0),1),0)</f>
        <v>1.1371452968539026E-4</v>
      </c>
      <c r="W1363" s="10">
        <f>IFERROR(W1258/X$1264/INDEX('Category Mapping'!$B$42:$B$45,MATCH($A1363,'Category Mapping'!$A$42:$A$45,0),1),0)</f>
        <v>1.1371452968539026E-4</v>
      </c>
      <c r="X1363" s="10">
        <f>IFERROR(X1258/Y$1264/INDEX('Category Mapping'!$B$42:$B$45,MATCH($A1363,'Category Mapping'!$A$42:$A$45,0),1),0)</f>
        <v>1.1371452968539026E-4</v>
      </c>
      <c r="Y1363" s="27"/>
      <c r="Z1363" s="32"/>
    </row>
    <row r="1364" spans="1:26" outlineLevel="1" x14ac:dyDescent="0.3">
      <c r="A1364" t="s">
        <v>164</v>
      </c>
      <c r="B1364" t="s">
        <v>86</v>
      </c>
      <c r="C1364" s="6" t="s">
        <v>161</v>
      </c>
      <c r="D1364" s="10">
        <f>IFERROR(D1259/E$1264/INDEX('Category Mapping'!$B$42:$B$45,MATCH($A1364,'Category Mapping'!$A$42:$A$45,0),1),0)</f>
        <v>3.0663131003821236E-5</v>
      </c>
      <c r="E1364" s="10">
        <f>IFERROR(E1259/F$1264/INDEX('Category Mapping'!$B$42:$B$45,MATCH($A1364,'Category Mapping'!$A$42:$A$45,0),1),0)</f>
        <v>1.2242468325428353E-5</v>
      </c>
      <c r="F1364" s="10">
        <f>IFERROR(F1259/G$1264/INDEX('Category Mapping'!$B$42:$B$45,MATCH($A1364,'Category Mapping'!$A$42:$A$45,0),1),0)</f>
        <v>0</v>
      </c>
      <c r="G1364" s="10">
        <f>IFERROR(G1259/H$1264/INDEX('Category Mapping'!$B$42:$B$45,MATCH($A1364,'Category Mapping'!$A$42:$A$45,0),1),0)</f>
        <v>8.1755681511138544E-5</v>
      </c>
      <c r="H1364" s="10">
        <f>IFERROR(H1259/I$1264/INDEX('Category Mapping'!$B$42:$B$45,MATCH($A1364,'Category Mapping'!$A$42:$A$45,0),1),0)</f>
        <v>9.6770823798357489E-5</v>
      </c>
      <c r="I1364" s="10">
        <f>IFERROR(I1259/J$1264/INDEX('Category Mapping'!$B$42:$B$45,MATCH($A1364,'Category Mapping'!$A$42:$A$45,0),1),0)</f>
        <v>9.6770823798357489E-5</v>
      </c>
      <c r="J1364" s="10">
        <f>IFERROR(J1259/K$1264/INDEX('Category Mapping'!$B$42:$B$45,MATCH($A1364,'Category Mapping'!$A$42:$A$45,0),1),0)</f>
        <v>3.2947653143011438E-5</v>
      </c>
      <c r="K1364" s="10">
        <f>IFERROR(K1259/L$1264/INDEX('Category Mapping'!$B$42:$B$45,MATCH($A1364,'Category Mapping'!$A$42:$A$45,0),1),0)</f>
        <v>4.3927740944713606E-5</v>
      </c>
      <c r="L1364" s="10">
        <f>IFERROR(L1259/M$1264/INDEX('Category Mapping'!$B$42:$B$45,MATCH($A1364,'Category Mapping'!$A$42:$A$45,0),1),0)</f>
        <v>0</v>
      </c>
      <c r="M1364" s="10">
        <f>IFERROR(M1259/N$1264/INDEX('Category Mapping'!$B$42:$B$45,MATCH($A1364,'Category Mapping'!$A$42:$A$45,0),1),0)</f>
        <v>6.1877606362020887E-5</v>
      </c>
      <c r="N1364" s="10">
        <f>IFERROR(N1259/O$1264/INDEX('Category Mapping'!$B$42:$B$45,MATCH($A1364,'Category Mapping'!$A$42:$A$45,0),1),0)</f>
        <v>6.1877606362020887E-5</v>
      </c>
      <c r="O1364" s="10">
        <f>IFERROR(O1259/P$1264/INDEX('Category Mapping'!$B$42:$B$45,MATCH($A1364,'Category Mapping'!$A$42:$A$45,0),1),0)</f>
        <v>6.1877606362020887E-5</v>
      </c>
      <c r="P1364" s="10">
        <f>IFERROR(P1259/Q$1264/INDEX('Category Mapping'!$B$42:$B$45,MATCH($A1364,'Category Mapping'!$A$42:$A$45,0),1),0)</f>
        <v>7.7646409886961064E-5</v>
      </c>
      <c r="Q1364" s="10">
        <f>IFERROR(Q1259/R$1264/INDEX('Category Mapping'!$B$42:$B$45,MATCH($A1364,'Category Mapping'!$A$42:$A$45,0),1),0)</f>
        <v>7.7646409886961064E-5</v>
      </c>
      <c r="R1364" s="10">
        <f>IFERROR(R1259/S$1264/INDEX('Category Mapping'!$B$42:$B$45,MATCH($A1364,'Category Mapping'!$A$42:$A$45,0),1),0)</f>
        <v>7.7646409886961064E-5</v>
      </c>
      <c r="S1364" s="10">
        <f>IFERROR(S1259/T$1264/INDEX('Category Mapping'!$B$42:$B$45,MATCH($A1364,'Category Mapping'!$A$42:$A$45,0),1),0)</f>
        <v>7.7646409886961064E-5</v>
      </c>
      <c r="T1364" s="10">
        <f>IFERROR(T1259/U$1264/INDEX('Category Mapping'!$B$42:$B$45,MATCH($A1364,'Category Mapping'!$A$42:$A$45,0),1),0)</f>
        <v>7.7646409886961064E-5</v>
      </c>
      <c r="U1364" s="10">
        <f>IFERROR(U1259/V$1264/INDEX('Category Mapping'!$B$42:$B$45,MATCH($A1364,'Category Mapping'!$A$42:$A$45,0),1),0)</f>
        <v>7.7646409886961064E-5</v>
      </c>
      <c r="V1364" s="10">
        <f>IFERROR(V1259/W$1264/INDEX('Category Mapping'!$B$42:$B$45,MATCH($A1364,'Category Mapping'!$A$42:$A$45,0),1),0)</f>
        <v>1.1315838937325851E-4</v>
      </c>
      <c r="W1364" s="10">
        <f>IFERROR(W1259/X$1264/INDEX('Category Mapping'!$B$42:$B$45,MATCH($A1364,'Category Mapping'!$A$42:$A$45,0),1),0)</f>
        <v>1.1315838937325851E-4</v>
      </c>
      <c r="X1364" s="10">
        <f>IFERROR(X1259/Y$1264/INDEX('Category Mapping'!$B$42:$B$45,MATCH($A1364,'Category Mapping'!$A$42:$A$45,0),1),0)</f>
        <v>1.1315838937325851E-4</v>
      </c>
      <c r="Y1364" s="27"/>
      <c r="Z1364" s="32"/>
    </row>
    <row r="1365" spans="1:26" outlineLevel="1" x14ac:dyDescent="0.3">
      <c r="A1365" t="s">
        <v>166</v>
      </c>
      <c r="B1365" t="s">
        <v>63</v>
      </c>
      <c r="C1365" s="6" t="s">
        <v>138</v>
      </c>
      <c r="D1365" s="48" cm="1">
        <f t="array" ref="D1365">IFERROR(MAX(IF($B$4:$B$579="winter",IF($C$4:$C$579=$B1365,F$4:F$579)))/E$1264,0)</f>
        <v>3.4220998975806408E-4</v>
      </c>
      <c r="E1365" s="48" cm="1">
        <f t="array" ref="E1365">IFERROR(MAX(IF($B$4:$B$579="winter",IF($C$4:$C$579=$B1365,G$4:G$579)))/F$1264,0)</f>
        <v>4.0278546520964466E-7</v>
      </c>
      <c r="F1365" s="48" cm="1">
        <f t="array" ref="F1365">IFERROR(MAX(IF($B$4:$B$579="winter",IF($C$4:$C$579=$B1365,H$4:H$579)))/G$1264,0)</f>
        <v>0</v>
      </c>
      <c r="G1365" s="48" cm="1">
        <f t="array" ref="G1365">IFERROR(MAX(IF($B$4:$B$579="winter",IF($C$4:$C$579=$B1365,I$4:I$579)))/H$1264,0)</f>
        <v>7.1133561510915901E-5</v>
      </c>
      <c r="H1365" s="48" cm="1">
        <f t="array" ref="H1365">IFERROR(MAX(IF($B$4:$B$579="winter",IF($C$4:$C$579=$B1365,J$4:J$579)))/I$1264,0)</f>
        <v>9.2284138953607626E-5</v>
      </c>
      <c r="I1365" s="48" cm="1">
        <f t="array" ref="I1365">IFERROR(MAX(IF($B$4:$B$579="winter",IF($C$4:$C$579=$B1365,K$4:K$579)))/J$1264,0)</f>
        <v>9.2284138953607626E-5</v>
      </c>
      <c r="J1365" s="48" cm="1">
        <f t="array" ref="J1365">IFERROR(MAX(IF($B$4:$B$579="winter",IF($C$4:$C$579=$B1365,L$4:L$579)))/K$1264,0)</f>
        <v>2.6105684011581048E-4</v>
      </c>
      <c r="K1365" s="48" cm="1">
        <f t="array" ref="K1365">IFERROR(MAX(IF($B$4:$B$579="winter",IF($C$4:$C$579=$B1365,M$4:M$579)))/L$1264,0)</f>
        <v>2.1437371771430232E-7</v>
      </c>
      <c r="L1365" s="48" cm="1">
        <f t="array" ref="L1365">IFERROR(MAX(IF($B$4:$B$579="winter",IF($C$4:$C$579=$B1365,N$4:N$579)))/M$1264,0)</f>
        <v>0</v>
      </c>
      <c r="M1365" s="48" cm="1">
        <f t="array" ref="M1365">IFERROR(MAX(IF($B$4:$B$579="winter",IF($C$4:$C$579=$B1365,O$4:O$579)))/N$1264,0)</f>
        <v>6.3373120484383502E-5</v>
      </c>
      <c r="N1365" s="48" cm="1">
        <f t="array" ref="N1365">IFERROR(MAX(IF($B$4:$B$579="winter",IF($C$4:$C$579=$B1365,P$4:P$579)))/O$1264,0)</f>
        <v>6.3373120484383502E-5</v>
      </c>
      <c r="O1365" s="48" cm="1">
        <f t="array" ref="O1365">IFERROR(MAX(IF($B$4:$B$579="winter",IF($C$4:$C$579=$B1365,Q$4:Q$579)))/P$1264,0)</f>
        <v>6.3373120484383502E-5</v>
      </c>
      <c r="P1365" s="48" cm="1">
        <f t="array" ref="P1365">IFERROR(MAX(IF($B$4:$B$579="winter",IF($C$4:$C$579=$B1365,R$4:R$579)))/Q$1264,0)</f>
        <v>6.4965634553805536E-5</v>
      </c>
      <c r="Q1365" s="48" cm="1">
        <f t="array" ref="Q1365">IFERROR(MAX(IF($B$4:$B$579="winter",IF($C$4:$C$579=$B1365,S$4:S$579)))/R$1264,0)</f>
        <v>6.4965634553805536E-5</v>
      </c>
      <c r="R1365" s="48" cm="1">
        <f t="array" ref="R1365">IFERROR(MAX(IF($B$4:$B$579="winter",IF($C$4:$C$579=$B1365,T$4:T$579)))/S$1264,0)</f>
        <v>6.4965634553805536E-5</v>
      </c>
      <c r="S1365" s="48" cm="1">
        <f t="array" ref="S1365">IFERROR(MAX(IF($B$4:$B$579="winter",IF($C$4:$C$579=$B1365,U$4:U$579)))/T$1264,0)</f>
        <v>6.4965634553805536E-5</v>
      </c>
      <c r="T1365" s="48" cm="1">
        <f t="array" ref="T1365">IFERROR(MAX(IF($B$4:$B$579="winter",IF($C$4:$C$579=$B1365,V$4:V$579)))/U$1264,0)</f>
        <v>6.4965634553805536E-5</v>
      </c>
      <c r="U1365" s="48" cm="1">
        <f t="array" ref="U1365">IFERROR(MAX(IF($B$4:$B$579="winter",IF($C$4:$C$579=$B1365,W$4:W$579)))/V$1264,0)</f>
        <v>6.4965634553805536E-5</v>
      </c>
      <c r="V1365" s="48" cm="1">
        <f t="array" ref="V1365">IFERROR(MAX(IF($B$4:$B$579="winter",IF($C$4:$C$579=$B1365,X$4:X$579)))/W$1264,0)</f>
        <v>1.3264016723235698E-4</v>
      </c>
      <c r="W1365" s="48" cm="1">
        <f t="array" ref="W1365">IFERROR(MAX(IF($B$4:$B$579="winter",IF($C$4:$C$579=$B1365,Y$4:Y$579)))/X$1264,0)</f>
        <v>1.3264016723235698E-4</v>
      </c>
      <c r="X1365" s="48" cm="1">
        <f t="array" ref="X1365">IFERROR(MAX(IF($B$4:$B$579="winter",IF($C$4:$C$579=$B1365,Z$4:Z$579)))/Y$1264,0)</f>
        <v>1.3264016723235698E-4</v>
      </c>
      <c r="Y1365" s="27"/>
      <c r="Z1365" s="10"/>
    </row>
    <row r="1366" spans="1:26" outlineLevel="1" x14ac:dyDescent="0.3">
      <c r="A1366" t="s">
        <v>166</v>
      </c>
      <c r="B1366" t="s">
        <v>64</v>
      </c>
      <c r="C1366" s="6" t="s">
        <v>139</v>
      </c>
      <c r="D1366" s="48" cm="1">
        <f t="array" ref="D1366">IFERROR(MAX(IF($B$4:$B$579="winter",IF($C$4:$C$579=$B1366,F$4:F$579)))/E$1264,0)</f>
        <v>3.488227431833407E-4</v>
      </c>
      <c r="E1366" s="48" cm="1">
        <f t="array" ref="E1366">IFERROR(MAX(IF($B$4:$B$579="winter",IF($C$4:$C$579=$B1366,G$4:G$579)))/F$1264,0)</f>
        <v>4.0504868444555927E-7</v>
      </c>
      <c r="F1366" s="48" cm="1">
        <f t="array" ref="F1366">IFERROR(MAX(IF($B$4:$B$579="winter",IF($C$4:$C$579=$B1366,H$4:H$579)))/G$1264,0)</f>
        <v>0</v>
      </c>
      <c r="G1366" s="48" cm="1">
        <f t="array" ref="G1366">IFERROR(MAX(IF($B$4:$B$579="winter",IF($C$4:$C$579=$B1366,I$4:I$579)))/H$1264,0)</f>
        <v>6.5708120378727401E-5</v>
      </c>
      <c r="H1366" s="48" cm="1">
        <f t="array" ref="H1366">IFERROR(MAX(IF($B$4:$B$579="winter",IF($C$4:$C$579=$B1366,J$4:J$579)))/I$1264,0)</f>
        <v>6.7081629984941618E-5</v>
      </c>
      <c r="I1366" s="48" cm="1">
        <f t="array" ref="I1366">IFERROR(MAX(IF($B$4:$B$579="winter",IF($C$4:$C$579=$B1366,K$4:K$579)))/J$1264,0)</f>
        <v>6.7081629984941618E-5</v>
      </c>
      <c r="J1366" s="48" cm="1">
        <f t="array" ref="J1366">IFERROR(MAX(IF($B$4:$B$579="winter",IF($C$4:$C$579=$B1366,L$4:L$579)))/K$1264,0)</f>
        <v>2.3822208105130698E-4</v>
      </c>
      <c r="K1366" s="48" cm="1">
        <f t="array" ref="K1366">IFERROR(MAX(IF($B$4:$B$579="winter",IF($C$4:$C$579=$B1366,M$4:M$579)))/L$1264,0)</f>
        <v>2.0214085919056272E-7</v>
      </c>
      <c r="L1366" s="48" cm="1">
        <f t="array" ref="L1366">IFERROR(MAX(IF($B$4:$B$579="winter",IF($C$4:$C$579=$B1366,N$4:N$579)))/M$1264,0)</f>
        <v>0</v>
      </c>
      <c r="M1366" s="48" cm="1">
        <f t="array" ref="M1366">IFERROR(MAX(IF($B$4:$B$579="winter",IF($C$4:$C$579=$B1366,O$4:O$579)))/N$1264,0)</f>
        <v>6.209896220140544E-5</v>
      </c>
      <c r="N1366" s="48" cm="1">
        <f t="array" ref="N1366">IFERROR(MAX(IF($B$4:$B$579="winter",IF($C$4:$C$579=$B1366,P$4:P$579)))/O$1264,0)</f>
        <v>6.209896220140544E-5</v>
      </c>
      <c r="O1366" s="48" cm="1">
        <f t="array" ref="O1366">IFERROR(MAX(IF($B$4:$B$579="winter",IF($C$4:$C$579=$B1366,Q$4:Q$579)))/P$1264,0)</f>
        <v>6.209896220140544E-5</v>
      </c>
      <c r="P1366" s="48" cm="1">
        <f t="array" ref="P1366">IFERROR(MAX(IF($B$4:$B$579="winter",IF($C$4:$C$579=$B1366,R$4:R$579)))/Q$1264,0)</f>
        <v>6.4092766797669952E-5</v>
      </c>
      <c r="Q1366" s="48" cm="1">
        <f t="array" ref="Q1366">IFERROR(MAX(IF($B$4:$B$579="winter",IF($C$4:$C$579=$B1366,S$4:S$579)))/R$1264,0)</f>
        <v>6.4092766797669952E-5</v>
      </c>
      <c r="R1366" s="48" cm="1">
        <f t="array" ref="R1366">IFERROR(MAX(IF($B$4:$B$579="winter",IF($C$4:$C$579=$B1366,T$4:T$579)))/S$1264,0)</f>
        <v>6.4092766797669952E-5</v>
      </c>
      <c r="S1366" s="48" cm="1">
        <f t="array" ref="S1366">IFERROR(MAX(IF($B$4:$B$579="winter",IF($C$4:$C$579=$B1366,U$4:U$579)))/T$1264,0)</f>
        <v>6.4092766797669952E-5</v>
      </c>
      <c r="T1366" s="48" cm="1">
        <f t="array" ref="T1366">IFERROR(MAX(IF($B$4:$B$579="winter",IF($C$4:$C$579=$B1366,V$4:V$579)))/U$1264,0)</f>
        <v>6.4092766797669952E-5</v>
      </c>
      <c r="U1366" s="48" cm="1">
        <f t="array" ref="U1366">IFERROR(MAX(IF($B$4:$B$579="winter",IF($C$4:$C$579=$B1366,W$4:W$579)))/V$1264,0)</f>
        <v>6.4092766797669952E-5</v>
      </c>
      <c r="V1366" s="48" cm="1">
        <f t="array" ref="V1366">IFERROR(MAX(IF($B$4:$B$579="winter",IF($C$4:$C$579=$B1366,X$4:X$579)))/W$1264,0)</f>
        <v>1.3244010664829612E-4</v>
      </c>
      <c r="W1366" s="48" cm="1">
        <f t="array" ref="W1366">IFERROR(MAX(IF($B$4:$B$579="winter",IF($C$4:$C$579=$B1366,Y$4:Y$579)))/X$1264,0)</f>
        <v>1.3244010664829612E-4</v>
      </c>
      <c r="X1366" s="48" cm="1">
        <f t="array" ref="X1366">IFERROR(MAX(IF($B$4:$B$579="winter",IF($C$4:$C$579=$B1366,Z$4:Z$579)))/Y$1264,0)</f>
        <v>1.3244010664829612E-4</v>
      </c>
      <c r="Y1366" s="27"/>
      <c r="Z1366" s="10"/>
    </row>
    <row r="1367" spans="1:26" outlineLevel="1" x14ac:dyDescent="0.3">
      <c r="A1367" t="s">
        <v>166</v>
      </c>
      <c r="B1367" t="s">
        <v>65</v>
      </c>
      <c r="C1367" s="6" t="s">
        <v>140</v>
      </c>
      <c r="D1367" s="48" cm="1">
        <f t="array" ref="D1367">IFERROR(MAX(IF($B$4:$B$579="winter",IF($C$4:$C$579=$B1367,F$4:F$579)))/E$1264,0)</f>
        <v>3.5047593153965986E-4</v>
      </c>
      <c r="E1367" s="48" cm="1">
        <f t="array" ref="E1367">IFERROR(MAX(IF($B$4:$B$579="winter",IF($C$4:$C$579=$B1367,G$4:G$579)))/F$1264,0)</f>
        <v>4.0660253645827679E-7</v>
      </c>
      <c r="F1367" s="48" cm="1">
        <f t="array" ref="F1367">IFERROR(MAX(IF($B$4:$B$579="winter",IF($C$4:$C$579=$B1367,H$4:H$579)))/G$1264,0)</f>
        <v>0</v>
      </c>
      <c r="G1367" s="48" cm="1">
        <f t="array" ref="G1367">IFERROR(MAX(IF($B$4:$B$579="winter",IF($C$4:$C$579=$B1367,I$4:I$579)))/H$1264,0)</f>
        <v>6.5105293586262012E-5</v>
      </c>
      <c r="H1367" s="48" cm="1">
        <f t="array" ref="H1367">IFERROR(MAX(IF($B$4:$B$579="winter",IF($C$4:$C$579=$B1367,J$4:J$579)))/I$1264,0)</f>
        <v>5.3983195984585943E-5</v>
      </c>
      <c r="I1367" s="48" cm="1">
        <f t="array" ref="I1367">IFERROR(MAX(IF($B$4:$B$579="winter",IF($C$4:$C$579=$B1367,K$4:K$579)))/J$1264,0)</f>
        <v>5.3983195984585943E-5</v>
      </c>
      <c r="J1367" s="48" cm="1">
        <f t="array" ref="J1367">IFERROR(MAX(IF($B$4:$B$579="winter",IF($C$4:$C$579=$B1367,L$4:L$579)))/K$1264,0)</f>
        <v>2.1477016633641147E-4</v>
      </c>
      <c r="K1367" s="48" cm="1">
        <f t="array" ref="K1367">IFERROR(MAX(IF($B$4:$B$579="winter",IF($C$4:$C$579=$B1367,M$4:M$579)))/L$1264,0)</f>
        <v>1.970359149009666E-7</v>
      </c>
      <c r="L1367" s="48" cm="1">
        <f t="array" ref="L1367">IFERROR(MAX(IF($B$4:$B$579="winter",IF($C$4:$C$579=$B1367,N$4:N$579)))/M$1264,0)</f>
        <v>0</v>
      </c>
      <c r="M1367" s="48" cm="1">
        <f t="array" ref="M1367">IFERROR(MAX(IF($B$4:$B$579="winter",IF($C$4:$C$579=$B1367,O$4:O$579)))/N$1264,0)</f>
        <v>6.1940184981402124E-5</v>
      </c>
      <c r="N1367" s="48" cm="1">
        <f t="array" ref="N1367">IFERROR(MAX(IF($B$4:$B$579="winter",IF($C$4:$C$579=$B1367,P$4:P$579)))/O$1264,0)</f>
        <v>6.1940184981402124E-5</v>
      </c>
      <c r="O1367" s="48" cm="1">
        <f t="array" ref="O1367">IFERROR(MAX(IF($B$4:$B$579="winter",IF($C$4:$C$579=$B1367,Q$4:Q$579)))/P$1264,0)</f>
        <v>6.1940184981402124E-5</v>
      </c>
      <c r="P1367" s="48" cm="1">
        <f t="array" ref="P1367">IFERROR(MAX(IF($B$4:$B$579="winter",IF($C$4:$C$579=$B1367,R$4:R$579)))/Q$1264,0)</f>
        <v>6.3868590882359283E-5</v>
      </c>
      <c r="Q1367" s="48" cm="1">
        <f t="array" ref="Q1367">IFERROR(MAX(IF($B$4:$B$579="winter",IF($C$4:$C$579=$B1367,S$4:S$579)))/R$1264,0)</f>
        <v>6.3868590882359283E-5</v>
      </c>
      <c r="R1367" s="48" cm="1">
        <f t="array" ref="R1367">IFERROR(MAX(IF($B$4:$B$579="winter",IF($C$4:$C$579=$B1367,T$4:T$579)))/S$1264,0)</f>
        <v>6.3868590882359283E-5</v>
      </c>
      <c r="S1367" s="48" cm="1">
        <f t="array" ref="S1367">IFERROR(MAX(IF($B$4:$B$579="winter",IF($C$4:$C$579=$B1367,U$4:U$579)))/T$1264,0)</f>
        <v>6.3868590882359283E-5</v>
      </c>
      <c r="T1367" s="48" cm="1">
        <f t="array" ref="T1367">IFERROR(MAX(IF($B$4:$B$579="winter",IF($C$4:$C$579=$B1367,V$4:V$579)))/U$1264,0)</f>
        <v>6.3868590882359283E-5</v>
      </c>
      <c r="U1367" s="48" cm="1">
        <f t="array" ref="U1367">IFERROR(MAX(IF($B$4:$B$579="winter",IF($C$4:$C$579=$B1367,W$4:W$579)))/V$1264,0)</f>
        <v>6.3868590882359283E-5</v>
      </c>
      <c r="V1367" s="48" cm="1">
        <f t="array" ref="V1367">IFERROR(MAX(IF($B$4:$B$579="winter",IF($C$4:$C$579=$B1367,X$4:X$579)))/W$1264,0)</f>
        <v>1.3244010664829612E-4</v>
      </c>
      <c r="W1367" s="48" cm="1">
        <f t="array" ref="W1367">IFERROR(MAX(IF($B$4:$B$579="winter",IF($C$4:$C$579=$B1367,Y$4:Y$579)))/X$1264,0)</f>
        <v>1.3244010664829612E-4</v>
      </c>
      <c r="X1367" s="48" cm="1">
        <f t="array" ref="X1367">IFERROR(MAX(IF($B$4:$B$579="winter",IF($C$4:$C$579=$B1367,Z$4:Z$579)))/Y$1264,0)</f>
        <v>1.3244010664829612E-4</v>
      </c>
      <c r="Y1367" s="27"/>
      <c r="Z1367" s="10"/>
    </row>
    <row r="1368" spans="1:26" outlineLevel="1" x14ac:dyDescent="0.3">
      <c r="A1368" t="s">
        <v>166</v>
      </c>
      <c r="B1368" t="s">
        <v>66</v>
      </c>
      <c r="C1368" s="6" t="s">
        <v>141</v>
      </c>
      <c r="D1368" s="48" cm="1">
        <f t="array" ref="D1368">IFERROR(MAX(IF($B$4:$B$579="winter",IF($C$4:$C$579=$B1368,F$4:F$579)))/E$1264,0)</f>
        <v>3.488227431833407E-4</v>
      </c>
      <c r="E1368" s="48" cm="1">
        <f t="array" ref="E1368">IFERROR(MAX(IF($B$4:$B$579="winter",IF($C$4:$C$579=$B1368,G$4:G$579)))/F$1264,0)</f>
        <v>4.0682210250355208E-7</v>
      </c>
      <c r="F1368" s="48" cm="1">
        <f t="array" ref="F1368">IFERROR(MAX(IF($B$4:$B$579="winter",IF($C$4:$C$579=$B1368,H$4:H$579)))/G$1264,0)</f>
        <v>0</v>
      </c>
      <c r="G1368" s="48" cm="1">
        <f t="array" ref="G1368">IFERROR(MAX(IF($B$4:$B$579="winter",IF($C$4:$C$579=$B1368,I$4:I$579)))/H$1264,0)</f>
        <v>6.631094717119279E-5</v>
      </c>
      <c r="H1368" s="48" cm="1">
        <f t="array" ref="H1368">IFERROR(MAX(IF($B$4:$B$579="winter",IF($C$4:$C$579=$B1368,J$4:J$579)))/I$1264,0)</f>
        <v>4.6816154833174521E-5</v>
      </c>
      <c r="I1368" s="48" cm="1">
        <f t="array" ref="I1368">IFERROR(MAX(IF($B$4:$B$579="winter",IF($C$4:$C$579=$B1368,K$4:K$579)))/J$1264,0)</f>
        <v>4.6816154833174521E-5</v>
      </c>
      <c r="J1368" s="48" cm="1">
        <f t="array" ref="J1368">IFERROR(MAX(IF($B$4:$B$579="winter",IF($C$4:$C$579=$B1368,L$4:L$579)))/K$1264,0)</f>
        <v>2.2402750109229129E-4</v>
      </c>
      <c r="K1368" s="48" cm="1">
        <f t="array" ref="K1368">IFERROR(MAX(IF($B$4:$B$579="winter",IF($C$4:$C$579=$B1368,M$4:M$579)))/L$1264,0)</f>
        <v>1.94157595248322E-7</v>
      </c>
      <c r="L1368" s="48" cm="1">
        <f t="array" ref="L1368">IFERROR(MAX(IF($B$4:$B$579="winter",IF($C$4:$C$579=$B1368,N$4:N$579)))/M$1264,0)</f>
        <v>0</v>
      </c>
      <c r="M1368" s="48" cm="1">
        <f t="array" ref="M1368">IFERROR(MAX(IF($B$4:$B$579="winter",IF($C$4:$C$579=$B1368,O$4:O$579)))/N$1264,0)</f>
        <v>6.4603726093391892E-5</v>
      </c>
      <c r="N1368" s="48" cm="1">
        <f t="array" ref="N1368">IFERROR(MAX(IF($B$4:$B$579="winter",IF($C$4:$C$579=$B1368,P$4:P$579)))/O$1264,0)</f>
        <v>6.4603726093391892E-5</v>
      </c>
      <c r="O1368" s="48" cm="1">
        <f t="array" ref="O1368">IFERROR(MAX(IF($B$4:$B$579="winter",IF($C$4:$C$579=$B1368,Q$4:Q$579)))/P$1264,0)</f>
        <v>6.4603726093391892E-5</v>
      </c>
      <c r="P1368" s="48" cm="1">
        <f t="array" ref="P1368">IFERROR(MAX(IF($B$4:$B$579="winter",IF($C$4:$C$579=$B1368,R$4:R$579)))/Q$1264,0)</f>
        <v>6.407497996135353E-5</v>
      </c>
      <c r="Q1368" s="48" cm="1">
        <f t="array" ref="Q1368">IFERROR(MAX(IF($B$4:$B$579="winter",IF($C$4:$C$579=$B1368,S$4:S$579)))/R$1264,0)</f>
        <v>6.407497996135353E-5</v>
      </c>
      <c r="R1368" s="48" cm="1">
        <f t="array" ref="R1368">IFERROR(MAX(IF($B$4:$B$579="winter",IF($C$4:$C$579=$B1368,T$4:T$579)))/S$1264,0)</f>
        <v>6.407497996135353E-5</v>
      </c>
      <c r="S1368" s="48" cm="1">
        <f t="array" ref="S1368">IFERROR(MAX(IF($B$4:$B$579="winter",IF($C$4:$C$579=$B1368,U$4:U$579)))/T$1264,0)</f>
        <v>6.407497996135353E-5</v>
      </c>
      <c r="T1368" s="48" cm="1">
        <f t="array" ref="T1368">IFERROR(MAX(IF($B$4:$B$579="winter",IF($C$4:$C$579=$B1368,V$4:V$579)))/U$1264,0)</f>
        <v>6.407497996135353E-5</v>
      </c>
      <c r="U1368" s="48" cm="1">
        <f t="array" ref="U1368">IFERROR(MAX(IF($B$4:$B$579="winter",IF($C$4:$C$579=$B1368,W$4:W$579)))/V$1264,0)</f>
        <v>6.407497996135353E-5</v>
      </c>
      <c r="V1368" s="48" cm="1">
        <f t="array" ref="V1368">IFERROR(MAX(IF($B$4:$B$579="winter",IF($C$4:$C$579=$B1368,X$4:X$579)))/W$1264,0)</f>
        <v>1.3244010664829612E-4</v>
      </c>
      <c r="W1368" s="48" cm="1">
        <f t="array" ref="W1368">IFERROR(MAX(IF($B$4:$B$579="winter",IF($C$4:$C$579=$B1368,Y$4:Y$579)))/X$1264,0)</f>
        <v>1.3244010664829612E-4</v>
      </c>
      <c r="X1368" s="48" cm="1">
        <f t="array" ref="X1368">IFERROR(MAX(IF($B$4:$B$579="winter",IF($C$4:$C$579=$B1368,Z$4:Z$579)))/Y$1264,0)</f>
        <v>1.3244010664829612E-4</v>
      </c>
      <c r="Y1368" s="27"/>
      <c r="Z1368" s="10"/>
    </row>
    <row r="1369" spans="1:26" outlineLevel="1" x14ac:dyDescent="0.3">
      <c r="A1369" t="s">
        <v>166</v>
      </c>
      <c r="B1369" t="s">
        <v>67</v>
      </c>
      <c r="C1369" s="6" t="s">
        <v>142</v>
      </c>
      <c r="D1369" s="48" cm="1">
        <f t="array" ref="D1369">IFERROR(MAX(IF($B$4:$B$579="winter",IF($C$4:$C$579=$B1369,F$4:F$579)))/E$1264,0)</f>
        <v>3.4220998975806408E-4</v>
      </c>
      <c r="E1369" s="48" cm="1">
        <f t="array" ref="E1369">IFERROR(MAX(IF($B$4:$B$579="winter",IF($C$4:$C$579=$B1369,G$4:G$579)))/F$1264,0)</f>
        <v>3.9653627776719376E-7</v>
      </c>
      <c r="F1369" s="48" cm="1">
        <f t="array" ref="F1369">IFERROR(MAX(IF($B$4:$B$579="winter",IF($C$4:$C$579=$B1369,H$4:H$579)))/G$1264,0)</f>
        <v>0</v>
      </c>
      <c r="G1369" s="48" cm="1">
        <f t="array" ref="G1369">IFERROR(MAX(IF($B$4:$B$579="winter",IF($C$4:$C$579=$B1369,I$4:I$579)))/H$1264,0)</f>
        <v>8.5601404530085234E-5</v>
      </c>
      <c r="H1369" s="48" cm="1">
        <f t="array" ref="H1369">IFERROR(MAX(IF($B$4:$B$579="winter",IF($C$4:$C$579=$B1369,J$4:J$579)))/I$1264,0)</f>
        <v>4.9658676536393162E-5</v>
      </c>
      <c r="I1369" s="48" cm="1">
        <f t="array" ref="I1369">IFERROR(MAX(IF($B$4:$B$579="winter",IF($C$4:$C$579=$B1369,K$4:K$579)))/J$1264,0)</f>
        <v>4.9658676536393162E-5</v>
      </c>
      <c r="J1369" s="48" cm="1">
        <f t="array" ref="J1369">IFERROR(MAX(IF($B$4:$B$579="winter",IF($C$4:$C$579=$B1369,L$4:L$579)))/K$1264,0)</f>
        <v>2.3513630279934706E-4</v>
      </c>
      <c r="K1369" s="48" cm="1">
        <f t="array" ref="K1369">IFERROR(MAX(IF($B$4:$B$579="winter",IF($C$4:$C$579=$B1369,M$4:M$579)))/L$1264,0)</f>
        <v>1.935364484364895E-7</v>
      </c>
      <c r="L1369" s="48" cm="1">
        <f t="array" ref="L1369">IFERROR(MAX(IF($B$4:$B$579="winter",IF($C$4:$C$579=$B1369,N$4:N$579)))/M$1264,0)</f>
        <v>0</v>
      </c>
      <c r="M1369" s="48" cm="1">
        <f t="array" ref="M1369">IFERROR(MAX(IF($B$4:$B$579="winter",IF($C$4:$C$579=$B1369,O$4:O$579)))/N$1264,0)</f>
        <v>6.8783172494469157E-5</v>
      </c>
      <c r="N1369" s="48" cm="1">
        <f t="array" ref="N1369">IFERROR(MAX(IF($B$4:$B$579="winter",IF($C$4:$C$579=$B1369,P$4:P$579)))/O$1264,0)</f>
        <v>6.8783172494469157E-5</v>
      </c>
      <c r="O1369" s="48" cm="1">
        <f t="array" ref="O1369">IFERROR(MAX(IF($B$4:$B$579="winter",IF($C$4:$C$579=$B1369,Q$4:Q$579)))/P$1264,0)</f>
        <v>6.8783172494469157E-5</v>
      </c>
      <c r="P1369" s="48" cm="1">
        <f t="array" ref="P1369">IFERROR(MAX(IF($B$4:$B$579="winter",IF($C$4:$C$579=$B1369,R$4:R$579)))/Q$1264,0)</f>
        <v>6.3850096176290761E-5</v>
      </c>
      <c r="Q1369" s="48" cm="1">
        <f t="array" ref="Q1369">IFERROR(MAX(IF($B$4:$B$579="winter",IF($C$4:$C$579=$B1369,S$4:S$579)))/R$1264,0)</f>
        <v>6.3850096176290761E-5</v>
      </c>
      <c r="R1369" s="48" cm="1">
        <f t="array" ref="R1369">IFERROR(MAX(IF($B$4:$B$579="winter",IF($C$4:$C$579=$B1369,T$4:T$579)))/S$1264,0)</f>
        <v>6.3850096176290761E-5</v>
      </c>
      <c r="S1369" s="48" cm="1">
        <f t="array" ref="S1369">IFERROR(MAX(IF($B$4:$B$579="winter",IF($C$4:$C$579=$B1369,U$4:U$579)))/T$1264,0)</f>
        <v>6.3850096176290761E-5</v>
      </c>
      <c r="T1369" s="48" cm="1">
        <f t="array" ref="T1369">IFERROR(MAX(IF($B$4:$B$579="winter",IF($C$4:$C$579=$B1369,V$4:V$579)))/U$1264,0)</f>
        <v>6.3850096176290761E-5</v>
      </c>
      <c r="U1369" s="48" cm="1">
        <f t="array" ref="U1369">IFERROR(MAX(IF($B$4:$B$579="winter",IF($C$4:$C$579=$B1369,W$4:W$579)))/V$1264,0)</f>
        <v>6.3850096176290761E-5</v>
      </c>
      <c r="V1369" s="48" cm="1">
        <f t="array" ref="V1369">IFERROR(MAX(IF($B$4:$B$579="winter",IF($C$4:$C$579=$B1369,X$4:X$579)))/W$1264,0)</f>
        <v>1.3284022781641787E-4</v>
      </c>
      <c r="W1369" s="48" cm="1">
        <f t="array" ref="W1369">IFERROR(MAX(IF($B$4:$B$579="winter",IF($C$4:$C$579=$B1369,Y$4:Y$579)))/X$1264,0)</f>
        <v>1.3284022781641787E-4</v>
      </c>
      <c r="X1369" s="48" cm="1">
        <f t="array" ref="X1369">IFERROR(MAX(IF($B$4:$B$579="winter",IF($C$4:$C$579=$B1369,Z$4:Z$579)))/Y$1264,0)</f>
        <v>1.3284022781641787E-4</v>
      </c>
      <c r="Y1369" s="27"/>
      <c r="Z1369" s="10"/>
    </row>
    <row r="1370" spans="1:26" outlineLevel="1" x14ac:dyDescent="0.3">
      <c r="A1370" t="s">
        <v>166</v>
      </c>
      <c r="B1370" t="s">
        <v>68</v>
      </c>
      <c r="C1370" s="6" t="s">
        <v>143</v>
      </c>
      <c r="D1370" s="48" cm="1">
        <f t="array" ref="D1370">IFERROR(MAX(IF($B$4:$B$579="winter",IF($C$4:$C$579=$B1370,F$4:F$579)))/E$1264,0)</f>
        <v>4.1329708907978752E-4</v>
      </c>
      <c r="E1370" s="48" cm="1">
        <f t="array" ref="E1370">IFERROR(MAX(IF($B$4:$B$579="winter",IF($C$4:$C$579=$B1370,G$4:G$579)))/F$1264,0)</f>
        <v>3.6460630787542785E-7</v>
      </c>
      <c r="F1370" s="48" cm="1">
        <f t="array" ref="F1370">IFERROR(MAX(IF($B$4:$B$579="winter",IF($C$4:$C$579=$B1370,H$4:H$579)))/G$1264,0)</f>
        <v>0</v>
      </c>
      <c r="G1370" s="48" cm="1">
        <f t="array" ref="G1370">IFERROR(MAX(IF($B$4:$B$579="winter",IF($C$4:$C$579=$B1370,I$4:I$579)))/H$1264,0)</f>
        <v>1.4708973736155491E-4</v>
      </c>
      <c r="H1370" s="48" cm="1">
        <f t="array" ref="H1370">IFERROR(MAX(IF($B$4:$B$579="winter",IF($C$4:$C$579=$B1370,J$4:J$579)))/I$1264,0)</f>
        <v>6.8936832412004796E-5</v>
      </c>
      <c r="I1370" s="48" cm="1">
        <f t="array" ref="I1370">IFERROR(MAX(IF($B$4:$B$579="winter",IF($C$4:$C$579=$B1370,K$4:K$579)))/J$1264,0)</f>
        <v>6.8936832412004796E-5</v>
      </c>
      <c r="J1370" s="48" cm="1">
        <f t="array" ref="J1370">IFERROR(MAX(IF($B$4:$B$579="winter",IF($C$4:$C$579=$B1370,L$4:L$579)))/K$1264,0)</f>
        <v>2.3945639235209095E-4</v>
      </c>
      <c r="K1370" s="48" cm="1">
        <f t="array" ref="K1370">IFERROR(MAX(IF($B$4:$B$579="winter",IF($C$4:$C$579=$B1370,M$4:M$579)))/L$1264,0)</f>
        <v>1.9958668992332797E-7</v>
      </c>
      <c r="L1370" s="48" cm="1">
        <f t="array" ref="L1370">IFERROR(MAX(IF($B$4:$B$579="winter",IF($C$4:$C$579=$B1370,N$4:N$579)))/M$1264,0)</f>
        <v>0</v>
      </c>
      <c r="M1370" s="48" cm="1">
        <f t="array" ref="M1370">IFERROR(MAX(IF($B$4:$B$579="winter",IF($C$4:$C$579=$B1370,O$4:O$579)))/N$1264,0)</f>
        <v>8.0496770528554627E-5</v>
      </c>
      <c r="N1370" s="48" cm="1">
        <f t="array" ref="N1370">IFERROR(MAX(IF($B$4:$B$579="winter",IF($C$4:$C$579=$B1370,P$4:P$579)))/O$1264,0)</f>
        <v>8.0496770528554627E-5</v>
      </c>
      <c r="O1370" s="48" cm="1">
        <f t="array" ref="O1370">IFERROR(MAX(IF($B$4:$B$579="winter",IF($C$4:$C$579=$B1370,Q$4:Q$579)))/P$1264,0)</f>
        <v>8.0496770528554627E-5</v>
      </c>
      <c r="P1370" s="48" cm="1">
        <f t="array" ref="P1370">IFERROR(MAX(IF($B$4:$B$579="winter",IF($C$4:$C$579=$B1370,R$4:R$579)))/Q$1264,0)</f>
        <v>6.556451810480084E-5</v>
      </c>
      <c r="Q1370" s="48" cm="1">
        <f t="array" ref="Q1370">IFERROR(MAX(IF($B$4:$B$579="winter",IF($C$4:$C$579=$B1370,S$4:S$579)))/R$1264,0)</f>
        <v>6.556451810480084E-5</v>
      </c>
      <c r="R1370" s="48" cm="1">
        <f t="array" ref="R1370">IFERROR(MAX(IF($B$4:$B$579="winter",IF($C$4:$C$579=$B1370,T$4:T$579)))/S$1264,0)</f>
        <v>6.556451810480084E-5</v>
      </c>
      <c r="S1370" s="48" cm="1">
        <f t="array" ref="S1370">IFERROR(MAX(IF($B$4:$B$579="winter",IF($C$4:$C$579=$B1370,U$4:U$579)))/T$1264,0)</f>
        <v>6.556451810480084E-5</v>
      </c>
      <c r="T1370" s="48" cm="1">
        <f t="array" ref="T1370">IFERROR(MAX(IF($B$4:$B$579="winter",IF($C$4:$C$579=$B1370,V$4:V$579)))/U$1264,0)</f>
        <v>6.556451810480084E-5</v>
      </c>
      <c r="U1370" s="48" cm="1">
        <f t="array" ref="U1370">IFERROR(MAX(IF($B$4:$B$579="winter",IF($C$4:$C$579=$B1370,W$4:W$579)))/V$1264,0)</f>
        <v>6.556451810480084E-5</v>
      </c>
      <c r="V1370" s="48" cm="1">
        <f t="array" ref="V1370">IFERROR(MAX(IF($B$4:$B$579="winter",IF($C$4:$C$579=$B1370,X$4:X$579)))/W$1264,0)</f>
        <v>1.3384053073672221E-4</v>
      </c>
      <c r="W1370" s="48" cm="1">
        <f t="array" ref="W1370">IFERROR(MAX(IF($B$4:$B$579="winter",IF($C$4:$C$579=$B1370,Y$4:Y$579)))/X$1264,0)</f>
        <v>1.3384053073672221E-4</v>
      </c>
      <c r="X1370" s="48" cm="1">
        <f t="array" ref="X1370">IFERROR(MAX(IF($B$4:$B$579="winter",IF($C$4:$C$579=$B1370,Z$4:Z$579)))/Y$1264,0)</f>
        <v>1.3384053073672221E-4</v>
      </c>
      <c r="Y1370" s="27"/>
      <c r="Z1370" s="10"/>
    </row>
    <row r="1371" spans="1:26" outlineLevel="1" x14ac:dyDescent="0.3">
      <c r="A1371" t="s">
        <v>166</v>
      </c>
      <c r="B1371" t="s">
        <v>69</v>
      </c>
      <c r="C1371" s="6" t="s">
        <v>144</v>
      </c>
      <c r="D1371" s="48" cm="1">
        <f t="array" ref="D1371">IFERROR(MAX(IF($B$4:$B$579="winter",IF($C$4:$C$579=$B1371,F$4:F$579)))/E$1264,0)</f>
        <v>4.3478853771193647E-4</v>
      </c>
      <c r="E1371" s="48" cm="1">
        <f t="array" ref="E1371">IFERROR(MAX(IF($B$4:$B$579="winter",IF($C$4:$C$579=$B1371,G$4:G$579)))/F$1264,0)</f>
        <v>2.9785823011173633E-7</v>
      </c>
      <c r="F1371" s="48" cm="1">
        <f t="array" ref="F1371">IFERROR(MAX(IF($B$4:$B$579="winter",IF($C$4:$C$579=$B1371,H$4:H$579)))/G$1264,0)</f>
        <v>0</v>
      </c>
      <c r="G1371" s="48" cm="1">
        <f t="array" ref="G1371">IFERROR(MAX(IF($B$4:$B$579="winter",IF($C$4:$C$579=$B1371,I$4:I$579)))/H$1264,0)</f>
        <v>2.1520916491014387E-4</v>
      </c>
      <c r="H1371" s="48" cm="1">
        <f t="array" ref="H1371">IFERROR(MAX(IF($B$4:$B$579="winter",IF($C$4:$C$579=$B1371,J$4:J$579)))/I$1264,0)</f>
        <v>1.1045893264699699E-4</v>
      </c>
      <c r="I1371" s="48" cm="1">
        <f t="array" ref="I1371">IFERROR(MAX(IF($B$4:$B$579="winter",IF($C$4:$C$579=$B1371,K$4:K$579)))/J$1264,0)</f>
        <v>1.1045893264699699E-4</v>
      </c>
      <c r="J1371" s="48" cm="1">
        <f t="array" ref="J1371">IFERROR(MAX(IF($B$4:$B$579="winter",IF($C$4:$C$579=$B1371,L$4:L$579)))/K$1264,0)</f>
        <v>3.4807578682108066E-4</v>
      </c>
      <c r="K1371" s="48" cm="1">
        <f t="array" ref="K1371">IFERROR(MAX(IF($B$4:$B$579="winter",IF($C$4:$C$579=$B1371,M$4:M$579)))/L$1264,0)</f>
        <v>2.2122500099126357E-7</v>
      </c>
      <c r="L1371" s="48" cm="1">
        <f t="array" ref="L1371">IFERROR(MAX(IF($B$4:$B$579="winter",IF($C$4:$C$579=$B1371,N$4:N$579)))/M$1264,0)</f>
        <v>0</v>
      </c>
      <c r="M1371" s="48" cm="1">
        <f t="array" ref="M1371">IFERROR(MAX(IF($B$4:$B$579="winter",IF($C$4:$C$579=$B1371,O$4:O$579)))/N$1264,0)</f>
        <v>1.2110580460641089E-4</v>
      </c>
      <c r="N1371" s="48" cm="1">
        <f t="array" ref="N1371">IFERROR(MAX(IF($B$4:$B$579="winter",IF($C$4:$C$579=$B1371,P$4:P$579)))/O$1264,0)</f>
        <v>1.2110580460641089E-4</v>
      </c>
      <c r="O1371" s="48" cm="1">
        <f t="array" ref="O1371">IFERROR(MAX(IF($B$4:$B$579="winter",IF($C$4:$C$579=$B1371,Q$4:Q$579)))/P$1264,0)</f>
        <v>1.2110580460641089E-4</v>
      </c>
      <c r="P1371" s="48" cm="1">
        <f t="array" ref="P1371">IFERROR(MAX(IF($B$4:$B$579="winter",IF($C$4:$C$579=$B1371,R$4:R$579)))/Q$1264,0)</f>
        <v>9.8227057076582372E-5</v>
      </c>
      <c r="Q1371" s="48" cm="1">
        <f t="array" ref="Q1371">IFERROR(MAX(IF($B$4:$B$579="winter",IF($C$4:$C$579=$B1371,S$4:S$579)))/R$1264,0)</f>
        <v>9.8227057076582372E-5</v>
      </c>
      <c r="R1371" s="48" cm="1">
        <f t="array" ref="R1371">IFERROR(MAX(IF($B$4:$B$579="winter",IF($C$4:$C$579=$B1371,T$4:T$579)))/S$1264,0)</f>
        <v>9.8227057076582372E-5</v>
      </c>
      <c r="S1371" s="48" cm="1">
        <f t="array" ref="S1371">IFERROR(MAX(IF($B$4:$B$579="winter",IF($C$4:$C$579=$B1371,U$4:U$579)))/T$1264,0)</f>
        <v>9.8227057076582372E-5</v>
      </c>
      <c r="T1371" s="48" cm="1">
        <f t="array" ref="T1371">IFERROR(MAX(IF($B$4:$B$579="winter",IF($C$4:$C$579=$B1371,V$4:V$579)))/U$1264,0)</f>
        <v>9.8227057076582372E-5</v>
      </c>
      <c r="U1371" s="48" cm="1">
        <f t="array" ref="U1371">IFERROR(MAX(IF($B$4:$B$579="winter",IF($C$4:$C$579=$B1371,W$4:W$579)))/V$1264,0)</f>
        <v>9.8227057076582372E-5</v>
      </c>
      <c r="V1371" s="48" cm="1">
        <f t="array" ref="V1371">IFERROR(MAX(IF($B$4:$B$579="winter",IF($C$4:$C$579=$B1371,X$4:X$579)))/W$1264,0)</f>
        <v>1.3544101540920918E-4</v>
      </c>
      <c r="W1371" s="48" cm="1">
        <f t="array" ref="W1371">IFERROR(MAX(IF($B$4:$B$579="winter",IF($C$4:$C$579=$B1371,Y$4:Y$579)))/X$1264,0)</f>
        <v>1.3544101540920918E-4</v>
      </c>
      <c r="X1371" s="48" cm="1">
        <f t="array" ref="X1371">IFERROR(MAX(IF($B$4:$B$579="winter",IF($C$4:$C$579=$B1371,Z$4:Z$579)))/Y$1264,0)</f>
        <v>1.3544101540920918E-4</v>
      </c>
      <c r="Y1371" s="27"/>
      <c r="Z1371" s="10"/>
    </row>
    <row r="1372" spans="1:26" outlineLevel="1" x14ac:dyDescent="0.3">
      <c r="A1372" t="s">
        <v>166</v>
      </c>
      <c r="B1372" t="s">
        <v>70</v>
      </c>
      <c r="C1372" s="6" t="s">
        <v>145</v>
      </c>
      <c r="D1372" s="48" cm="1">
        <f t="array" ref="D1372">IFERROR(MAX(IF($B$4:$B$579="winter",IF($C$4:$C$579=$B1372,F$4:F$579)))/E$1264,0)</f>
        <v>4.2321621921770244E-4</v>
      </c>
      <c r="E1372" s="48" cm="1">
        <f t="array" ref="E1372">IFERROR(MAX(IF($B$4:$B$579="winter",IF($C$4:$C$579=$B1372,G$4:G$579)))/F$1264,0)</f>
        <v>2.2352667893815171E-7</v>
      </c>
      <c r="F1372" s="48" cm="1">
        <f t="array" ref="F1372">IFERROR(MAX(IF($B$4:$B$579="winter",IF($C$4:$C$579=$B1372,H$4:H$579)))/G$1264,0)</f>
        <v>0</v>
      </c>
      <c r="G1372" s="48" cm="1">
        <f t="array" ref="G1372">IFERROR(MAX(IF($B$4:$B$579="winter",IF($C$4:$C$579=$B1372,I$4:I$579)))/H$1264,0)</f>
        <v>2.2244308641972854E-4</v>
      </c>
      <c r="H1372" s="48" cm="1">
        <f t="array" ref="H1372">IFERROR(MAX(IF($B$4:$B$579="winter",IF($C$4:$C$579=$B1372,J$4:J$579)))/I$1264,0)</f>
        <v>1.4110722476329355E-4</v>
      </c>
      <c r="I1372" s="48" cm="1">
        <f t="array" ref="I1372">IFERROR(MAX(IF($B$4:$B$579="winter",IF($C$4:$C$579=$B1372,K$4:K$579)))/J$1264,0)</f>
        <v>1.4110722476329355E-4</v>
      </c>
      <c r="J1372" s="48" cm="1">
        <f t="array" ref="J1372">IFERROR(MAX(IF($B$4:$B$579="winter",IF($C$4:$C$579=$B1372,L$4:L$579)))/K$1264,0)</f>
        <v>7.4058678047038439E-4</v>
      </c>
      <c r="K1372" s="48" cm="1">
        <f t="array" ref="K1372">IFERROR(MAX(IF($B$4:$B$579="winter",IF($C$4:$C$579=$B1372,M$4:M$579)))/L$1264,0)</f>
        <v>2.639110245191629E-7</v>
      </c>
      <c r="L1372" s="48" cm="1">
        <f t="array" ref="L1372">IFERROR(MAX(IF($B$4:$B$579="winter",IF($C$4:$C$579=$B1372,N$4:N$579)))/M$1264,0)</f>
        <v>0</v>
      </c>
      <c r="M1372" s="48" cm="1">
        <f t="array" ref="M1372">IFERROR(MAX(IF($B$4:$B$579="winter",IF($C$4:$C$579=$B1372,O$4:O$579)))/N$1264,0)</f>
        <v>1.6674856808913363E-4</v>
      </c>
      <c r="N1372" s="48" cm="1">
        <f t="array" ref="N1372">IFERROR(MAX(IF($B$4:$B$579="winter",IF($C$4:$C$579=$B1372,P$4:P$579)))/O$1264,0)</f>
        <v>1.6674856808913363E-4</v>
      </c>
      <c r="O1372" s="48" cm="1">
        <f t="array" ref="O1372">IFERROR(MAX(IF($B$4:$B$579="winter",IF($C$4:$C$579=$B1372,Q$4:Q$579)))/P$1264,0)</f>
        <v>1.6674856808913363E-4</v>
      </c>
      <c r="P1372" s="48" cm="1">
        <f t="array" ref="P1372">IFERROR(MAX(IF($B$4:$B$579="winter",IF($C$4:$C$579=$B1372,R$4:R$579)))/Q$1264,0)</f>
        <v>2.0592574606560711E-4</v>
      </c>
      <c r="Q1372" s="48" cm="1">
        <f t="array" ref="Q1372">IFERROR(MAX(IF($B$4:$B$579="winter",IF($C$4:$C$579=$B1372,S$4:S$579)))/R$1264,0)</f>
        <v>2.0592574606560711E-4</v>
      </c>
      <c r="R1372" s="48" cm="1">
        <f t="array" ref="R1372">IFERROR(MAX(IF($B$4:$B$579="winter",IF($C$4:$C$579=$B1372,T$4:T$579)))/S$1264,0)</f>
        <v>2.0592574606560711E-4</v>
      </c>
      <c r="S1372" s="48" cm="1">
        <f t="array" ref="S1372">IFERROR(MAX(IF($B$4:$B$579="winter",IF($C$4:$C$579=$B1372,U$4:U$579)))/T$1264,0)</f>
        <v>2.0592574606560711E-4</v>
      </c>
      <c r="T1372" s="48" cm="1">
        <f t="array" ref="T1372">IFERROR(MAX(IF($B$4:$B$579="winter",IF($C$4:$C$579=$B1372,V$4:V$579)))/U$1264,0)</f>
        <v>2.0592574606560711E-4</v>
      </c>
      <c r="U1372" s="48" cm="1">
        <f t="array" ref="U1372">IFERROR(MAX(IF($B$4:$B$579="winter",IF($C$4:$C$579=$B1372,W$4:W$579)))/V$1264,0)</f>
        <v>2.0592574606560711E-4</v>
      </c>
      <c r="V1372" s="48" cm="1">
        <f t="array" ref="V1372">IFERROR(MAX(IF($B$4:$B$579="winter",IF($C$4:$C$579=$B1372,X$4:X$579)))/W$1264,0)</f>
        <v>1.3664137891357438E-4</v>
      </c>
      <c r="W1372" s="48" cm="1">
        <f t="array" ref="W1372">IFERROR(MAX(IF($B$4:$B$579="winter",IF($C$4:$C$579=$B1372,Y$4:Y$579)))/X$1264,0)</f>
        <v>1.3664137891357438E-4</v>
      </c>
      <c r="X1372" s="48" cm="1">
        <f t="array" ref="X1372">IFERROR(MAX(IF($B$4:$B$579="winter",IF($C$4:$C$579=$B1372,Z$4:Z$579)))/Y$1264,0)</f>
        <v>1.3664137891357438E-4</v>
      </c>
      <c r="Y1372" s="27"/>
      <c r="Z1372" s="10"/>
    </row>
    <row r="1373" spans="1:26" outlineLevel="1" x14ac:dyDescent="0.3">
      <c r="A1373" t="s">
        <v>166</v>
      </c>
      <c r="B1373" t="s">
        <v>71</v>
      </c>
      <c r="C1373" s="6" t="s">
        <v>146</v>
      </c>
      <c r="D1373" s="48" cm="1">
        <f t="array" ref="D1373">IFERROR(MAX(IF($B$4:$B$579="winter",IF($C$4:$C$579=$B1373,F$4:F$579)))/E$1264,0)</f>
        <v>4.0668433565451095E-4</v>
      </c>
      <c r="E1373" s="48" cm="1">
        <f t="array" ref="E1373">IFERROR(MAX(IF($B$4:$B$579="winter",IF($C$4:$C$579=$B1373,G$4:G$579)))/F$1264,0)</f>
        <v>1.8064374132630637E-7</v>
      </c>
      <c r="F1373" s="48" cm="1">
        <f t="array" ref="F1373">IFERROR(MAX(IF($B$4:$B$579="winter",IF($C$4:$C$579=$B1373,H$4:H$579)))/G$1264,0)</f>
        <v>0</v>
      </c>
      <c r="G1373" s="48" cm="1">
        <f t="array" ref="G1373">IFERROR(MAX(IF($B$4:$B$579="winter",IF($C$4:$C$579=$B1373,I$4:I$579)))/H$1264,0)</f>
        <v>6.5105293586262012E-5</v>
      </c>
      <c r="H1373" s="48" cm="1">
        <f t="array" ref="H1373">IFERROR(MAX(IF($B$4:$B$579="winter",IF($C$4:$C$579=$B1373,J$4:J$579)))/I$1264,0)</f>
        <v>1.4049113799959398E-4</v>
      </c>
      <c r="I1373" s="48" cm="1">
        <f t="array" ref="I1373">IFERROR(MAX(IF($B$4:$B$579="winter",IF($C$4:$C$579=$B1373,K$4:K$579)))/J$1264,0)</f>
        <v>1.4049113799959398E-4</v>
      </c>
      <c r="J1373" s="48" cm="1">
        <f t="array" ref="J1373">IFERROR(MAX(IF($B$4:$B$579="winter",IF($C$4:$C$579=$B1373,L$4:L$579)))/K$1264,0)</f>
        <v>7.8378767599782356E-4</v>
      </c>
      <c r="K1373" s="48" cm="1">
        <f t="array" ref="K1373">IFERROR(MAX(IF($B$4:$B$579="winter",IF($C$4:$C$579=$B1373,M$4:M$579)))/L$1264,0)</f>
        <v>3.2666042949373948E-7</v>
      </c>
      <c r="L1373" s="48" cm="1">
        <f t="array" ref="L1373">IFERROR(MAX(IF($B$4:$B$579="winter",IF($C$4:$C$579=$B1373,N$4:N$579)))/M$1264,0)</f>
        <v>0</v>
      </c>
      <c r="M1373" s="48" cm="1">
        <f t="array" ref="M1373">IFERROR(MAX(IF($B$4:$B$579="winter",IF($C$4:$C$579=$B1373,O$4:O$579)))/N$1264,0)</f>
        <v>2.0648963775929589E-4</v>
      </c>
      <c r="N1373" s="48" cm="1">
        <f t="array" ref="N1373">IFERROR(MAX(IF($B$4:$B$579="winter",IF($C$4:$C$579=$B1373,P$4:P$579)))/O$1264,0)</f>
        <v>2.0648963775929589E-4</v>
      </c>
      <c r="O1373" s="48" cm="1">
        <f t="array" ref="O1373">IFERROR(MAX(IF($B$4:$B$579="winter",IF($C$4:$C$579=$B1373,Q$4:Q$579)))/P$1264,0)</f>
        <v>2.0648963775929589E-4</v>
      </c>
      <c r="P1373" s="48" cm="1">
        <f t="array" ref="P1373">IFERROR(MAX(IF($B$4:$B$579="winter",IF($C$4:$C$579=$B1373,R$4:R$579)))/Q$1264,0)</f>
        <v>2.2394424884634775E-4</v>
      </c>
      <c r="Q1373" s="48" cm="1">
        <f t="array" ref="Q1373">IFERROR(MAX(IF($B$4:$B$579="winter",IF($C$4:$C$579=$B1373,S$4:S$579)))/R$1264,0)</f>
        <v>2.2394424884634775E-4</v>
      </c>
      <c r="R1373" s="48" cm="1">
        <f t="array" ref="R1373">IFERROR(MAX(IF($B$4:$B$579="winter",IF($C$4:$C$579=$B1373,T$4:T$579)))/S$1264,0)</f>
        <v>2.2394424884634775E-4</v>
      </c>
      <c r="S1373" s="48" cm="1">
        <f t="array" ref="S1373">IFERROR(MAX(IF($B$4:$B$579="winter",IF($C$4:$C$579=$B1373,U$4:U$579)))/T$1264,0)</f>
        <v>2.2394424884634775E-4</v>
      </c>
      <c r="T1373" s="48" cm="1">
        <f t="array" ref="T1373">IFERROR(MAX(IF($B$4:$B$579="winter",IF($C$4:$C$579=$B1373,V$4:V$579)))/U$1264,0)</f>
        <v>2.2394424884634775E-4</v>
      </c>
      <c r="U1373" s="48" cm="1">
        <f t="array" ref="U1373">IFERROR(MAX(IF($B$4:$B$579="winter",IF($C$4:$C$579=$B1373,W$4:W$579)))/V$1264,0)</f>
        <v>2.2394424884634775E-4</v>
      </c>
      <c r="V1373" s="48" cm="1">
        <f t="array" ref="V1373">IFERROR(MAX(IF($B$4:$B$579="winter",IF($C$4:$C$579=$B1373,X$4:X$579)))/W$1264,0)</f>
        <v>1.3704150008169612E-4</v>
      </c>
      <c r="W1373" s="48" cm="1">
        <f t="array" ref="W1373">IFERROR(MAX(IF($B$4:$B$579="winter",IF($C$4:$C$579=$B1373,Y$4:Y$579)))/X$1264,0)</f>
        <v>1.3704150008169612E-4</v>
      </c>
      <c r="X1373" s="48" cm="1">
        <f t="array" ref="X1373">IFERROR(MAX(IF($B$4:$B$579="winter",IF($C$4:$C$579=$B1373,Z$4:Z$579)))/Y$1264,0)</f>
        <v>1.3704150008169612E-4</v>
      </c>
      <c r="Y1373" s="27"/>
      <c r="Z1373" s="10"/>
    </row>
    <row r="1374" spans="1:26" outlineLevel="1" x14ac:dyDescent="0.3">
      <c r="A1374" t="s">
        <v>166</v>
      </c>
      <c r="B1374" t="s">
        <v>72</v>
      </c>
      <c r="C1374" s="6" t="s">
        <v>147</v>
      </c>
      <c r="D1374" s="48" cm="1">
        <f t="array" ref="D1374">IFERROR(MAX(IF($B$4:$B$579="winter",IF($C$4:$C$579=$B1374,F$4:F$579)))/E$1264,0)</f>
        <v>3.0418665756272364E-4</v>
      </c>
      <c r="E1374" s="48" cm="1">
        <f t="array" ref="E1374">IFERROR(MAX(IF($B$4:$B$579="winter",IF($C$4:$C$579=$B1374,G$4:G$579)))/F$1264,0)</f>
        <v>1.5617057212600551E-7</v>
      </c>
      <c r="F1374" s="48" cm="1">
        <f t="array" ref="F1374">IFERROR(MAX(IF($B$4:$B$579="winter",IF($C$4:$C$579=$B1374,H$4:H$579)))/G$1264,0)</f>
        <v>0</v>
      </c>
      <c r="G1374" s="48" cm="1">
        <f t="array" ref="G1374">IFERROR(MAX(IF($B$4:$B$579="winter",IF($C$4:$C$579=$B1374,I$4:I$579)))/H$1264,0)</f>
        <v>6.2693986416400456E-5</v>
      </c>
      <c r="H1374" s="48" cm="1">
        <f t="array" ref="H1374">IFERROR(MAX(IF($B$4:$B$579="winter",IF($C$4:$C$579=$B1374,J$4:J$579)))/I$1264,0)</f>
        <v>1.399978632805894E-4</v>
      </c>
      <c r="I1374" s="48" cm="1">
        <f t="array" ref="I1374">IFERROR(MAX(IF($B$4:$B$579="winter",IF($C$4:$C$579=$B1374,K$4:K$579)))/J$1264,0)</f>
        <v>1.399978632805894E-4</v>
      </c>
      <c r="J1374" s="48" cm="1">
        <f t="array" ref="J1374">IFERROR(MAX(IF($B$4:$B$579="winter",IF($C$4:$C$579=$B1374,L$4:L$579)))/K$1264,0)</f>
        <v>5.6654888705984403E-4</v>
      </c>
      <c r="K1374" s="48" cm="1">
        <f t="array" ref="K1374">IFERROR(MAX(IF($B$4:$B$579="winter",IF($C$4:$C$579=$B1374,M$4:M$579)))/L$1264,0)</f>
        <v>3.667294902242461E-7</v>
      </c>
      <c r="L1374" s="48" cm="1">
        <f t="array" ref="L1374">IFERROR(MAX(IF($B$4:$B$579="winter",IF($C$4:$C$579=$B1374,N$4:N$579)))/M$1264,0)</f>
        <v>0</v>
      </c>
      <c r="M1374" s="48" cm="1">
        <f t="array" ref="M1374">IFERROR(MAX(IF($B$4:$B$579="winter",IF($C$4:$C$579=$B1374,O$4:O$579)))/N$1264,0)</f>
        <v>2.1692677187219508E-4</v>
      </c>
      <c r="N1374" s="48" cm="1">
        <f t="array" ref="N1374">IFERROR(MAX(IF($B$4:$B$579="winter",IF($C$4:$C$579=$B1374,P$4:P$579)))/O$1264,0)</f>
        <v>2.1692677187219508E-4</v>
      </c>
      <c r="O1374" s="48" cm="1">
        <f t="array" ref="O1374">IFERROR(MAX(IF($B$4:$B$579="winter",IF($C$4:$C$579=$B1374,Q$4:Q$579)))/P$1264,0)</f>
        <v>2.1692677187219508E-4</v>
      </c>
      <c r="P1374" s="48" cm="1">
        <f t="array" ref="P1374">IFERROR(MAX(IF($B$4:$B$579="winter",IF($C$4:$C$579=$B1374,R$4:R$579)))/Q$1264,0)</f>
        <v>1.9820353058814686E-4</v>
      </c>
      <c r="Q1374" s="48" cm="1">
        <f t="array" ref="Q1374">IFERROR(MAX(IF($B$4:$B$579="winter",IF($C$4:$C$579=$B1374,S$4:S$579)))/R$1264,0)</f>
        <v>1.9820353058814686E-4</v>
      </c>
      <c r="R1374" s="48" cm="1">
        <f t="array" ref="R1374">IFERROR(MAX(IF($B$4:$B$579="winter",IF($C$4:$C$579=$B1374,T$4:T$579)))/S$1264,0)</f>
        <v>1.9820353058814686E-4</v>
      </c>
      <c r="S1374" s="48" cm="1">
        <f t="array" ref="S1374">IFERROR(MAX(IF($B$4:$B$579="winter",IF($C$4:$C$579=$B1374,U$4:U$579)))/T$1264,0)</f>
        <v>1.9820353058814686E-4</v>
      </c>
      <c r="T1374" s="48" cm="1">
        <f t="array" ref="T1374">IFERROR(MAX(IF($B$4:$B$579="winter",IF($C$4:$C$579=$B1374,V$4:V$579)))/U$1264,0)</f>
        <v>1.9820353058814686E-4</v>
      </c>
      <c r="U1374" s="48" cm="1">
        <f t="array" ref="U1374">IFERROR(MAX(IF($B$4:$B$579="winter",IF($C$4:$C$579=$B1374,W$4:W$579)))/V$1264,0)</f>
        <v>1.9820353058814686E-4</v>
      </c>
      <c r="V1374" s="48" cm="1">
        <f t="array" ref="V1374">IFERROR(MAX(IF($B$4:$B$579="winter",IF($C$4:$C$579=$B1374,X$4:X$579)))/W$1264,0)</f>
        <v>1.3684143949763527E-4</v>
      </c>
      <c r="W1374" s="48" cm="1">
        <f t="array" ref="W1374">IFERROR(MAX(IF($B$4:$B$579="winter",IF($C$4:$C$579=$B1374,Y$4:Y$579)))/X$1264,0)</f>
        <v>1.3684143949763527E-4</v>
      </c>
      <c r="X1374" s="48" cm="1">
        <f t="array" ref="X1374">IFERROR(MAX(IF($B$4:$B$579="winter",IF($C$4:$C$579=$B1374,Z$4:Z$579)))/Y$1264,0)</f>
        <v>1.3684143949763527E-4</v>
      </c>
      <c r="Y1374" s="27"/>
      <c r="Z1374" s="10"/>
    </row>
    <row r="1375" spans="1:26" outlineLevel="1" x14ac:dyDescent="0.3">
      <c r="A1375" t="s">
        <v>166</v>
      </c>
      <c r="B1375" t="s">
        <v>73</v>
      </c>
      <c r="C1375" s="6" t="s">
        <v>148</v>
      </c>
      <c r="D1375" s="48" cm="1">
        <f t="array" ref="D1375">IFERROR(MAX(IF($B$4:$B$579="winter",IF($C$4:$C$579=$B1375,F$4:F$579)))/E$1264,0)</f>
        <v>2.9261433906848955E-4</v>
      </c>
      <c r="E1375" s="48" cm="1">
        <f t="array" ref="E1375">IFERROR(MAX(IF($B$4:$B$579="winter",IF($C$4:$C$579=$B1375,G$4:G$579)))/F$1264,0)</f>
        <v>1.5431270558906065E-7</v>
      </c>
      <c r="F1375" s="48" cm="1">
        <f t="array" ref="F1375">IFERROR(MAX(IF($B$4:$B$579="winter",IF($C$4:$C$579=$B1375,H$4:H$579)))/G$1264,0)</f>
        <v>0</v>
      </c>
      <c r="G1375" s="48" cm="1">
        <f t="array" ref="G1375">IFERROR(MAX(IF($B$4:$B$579="winter",IF($C$4:$C$579=$B1375,I$4:I$579)))/H$1264,0)</f>
        <v>6.3899640001331234E-5</v>
      </c>
      <c r="H1375" s="48" cm="1">
        <f t="array" ref="H1375">IFERROR(MAX(IF($B$4:$B$579="winter",IF($C$4:$C$579=$B1375,J$4:J$579)))/I$1264,0)</f>
        <v>1.3814439700536493E-4</v>
      </c>
      <c r="I1375" s="48" cm="1">
        <f t="array" ref="I1375">IFERROR(MAX(IF($B$4:$B$579="winter",IF($C$4:$C$579=$B1375,K$4:K$579)))/J$1264,0)</f>
        <v>1.3814439700536493E-4</v>
      </c>
      <c r="J1375" s="48" cm="1">
        <f t="array" ref="J1375">IFERROR(MAX(IF($B$4:$B$579="winter",IF($C$4:$C$579=$B1375,L$4:L$579)))/K$1264,0)</f>
        <v>4.7397553950104601E-4</v>
      </c>
      <c r="K1375" s="48" cm="1">
        <f t="array" ref="K1375">IFERROR(MAX(IF($B$4:$B$579="winter",IF($C$4:$C$579=$B1375,M$4:M$579)))/L$1264,0)</f>
        <v>3.87554879645002E-7</v>
      </c>
      <c r="L1375" s="48" cm="1">
        <f t="array" ref="L1375">IFERROR(MAX(IF($B$4:$B$579="winter",IF($C$4:$C$579=$B1375,N$4:N$579)))/M$1264,0)</f>
        <v>0</v>
      </c>
      <c r="M1375" s="48" cm="1">
        <f t="array" ref="M1375">IFERROR(MAX(IF($B$4:$B$579="winter",IF($C$4:$C$579=$B1375,O$4:O$579)))/N$1264,0)</f>
        <v>2.1558186528362208E-4</v>
      </c>
      <c r="N1375" s="48" cm="1">
        <f t="array" ref="N1375">IFERROR(MAX(IF($B$4:$B$579="winter",IF($C$4:$C$579=$B1375,P$4:P$579)))/O$1264,0)</f>
        <v>2.1558186528362208E-4</v>
      </c>
      <c r="O1375" s="48" cm="1">
        <f t="array" ref="O1375">IFERROR(MAX(IF($B$4:$B$579="winter",IF($C$4:$C$579=$B1375,Q$4:Q$579)))/P$1264,0)</f>
        <v>2.1558186528362208E-4</v>
      </c>
      <c r="P1375" s="48" cm="1">
        <f t="array" ref="P1375">IFERROR(MAX(IF($B$4:$B$579="winter",IF($C$4:$C$579=$B1375,R$4:R$579)))/Q$1264,0)</f>
        <v>1.5959245320084552E-4</v>
      </c>
      <c r="Q1375" s="48" cm="1">
        <f t="array" ref="Q1375">IFERROR(MAX(IF($B$4:$B$579="winter",IF($C$4:$C$579=$B1375,S$4:S$579)))/R$1264,0)</f>
        <v>1.5959245320084552E-4</v>
      </c>
      <c r="R1375" s="48" cm="1">
        <f t="array" ref="R1375">IFERROR(MAX(IF($B$4:$B$579="winter",IF($C$4:$C$579=$B1375,T$4:T$579)))/S$1264,0)</f>
        <v>1.5959245320084552E-4</v>
      </c>
      <c r="S1375" s="48" cm="1">
        <f t="array" ref="S1375">IFERROR(MAX(IF($B$4:$B$579="winter",IF($C$4:$C$579=$B1375,U$4:U$579)))/T$1264,0)</f>
        <v>1.5959245320084552E-4</v>
      </c>
      <c r="T1375" s="48" cm="1">
        <f t="array" ref="T1375">IFERROR(MAX(IF($B$4:$B$579="winter",IF($C$4:$C$579=$B1375,V$4:V$579)))/U$1264,0)</f>
        <v>1.5959245320084552E-4</v>
      </c>
      <c r="U1375" s="48" cm="1">
        <f t="array" ref="U1375">IFERROR(MAX(IF($B$4:$B$579="winter",IF($C$4:$C$579=$B1375,W$4:W$579)))/V$1264,0)</f>
        <v>1.5959245320084552E-4</v>
      </c>
      <c r="V1375" s="48" cm="1">
        <f t="array" ref="V1375">IFERROR(MAX(IF($B$4:$B$579="winter",IF($C$4:$C$579=$B1375,X$4:X$579)))/W$1264,0)</f>
        <v>1.3624125774545267E-4</v>
      </c>
      <c r="W1375" s="48" cm="1">
        <f t="array" ref="W1375">IFERROR(MAX(IF($B$4:$B$579="winter",IF($C$4:$C$579=$B1375,Y$4:Y$579)))/X$1264,0)</f>
        <v>1.3624125774545267E-4</v>
      </c>
      <c r="X1375" s="48" cm="1">
        <f t="array" ref="X1375">IFERROR(MAX(IF($B$4:$B$579="winter",IF($C$4:$C$579=$B1375,Z$4:Z$579)))/Y$1264,0)</f>
        <v>1.3624125774545267E-4</v>
      </c>
      <c r="Y1375" s="27"/>
      <c r="Z1375" s="10"/>
    </row>
    <row r="1376" spans="1:26" outlineLevel="1" x14ac:dyDescent="0.3">
      <c r="A1376" t="s">
        <v>166</v>
      </c>
      <c r="B1376" t="s">
        <v>74</v>
      </c>
      <c r="C1376" s="6" t="s">
        <v>149</v>
      </c>
      <c r="D1376" s="48" cm="1">
        <f t="array" ref="D1376">IFERROR(MAX(IF($B$4:$B$579="winter",IF($C$4:$C$579=$B1376,F$4:F$579)))/E$1264,0)</f>
        <v>2.9096115071217045E-4</v>
      </c>
      <c r="E1376" s="48" cm="1">
        <f t="array" ref="E1376">IFERROR(MAX(IF($B$4:$B$579="winter",IF($C$4:$C$579=$B1376,G$4:G$579)))/F$1264,0)</f>
        <v>1.7258735643428187E-7</v>
      </c>
      <c r="F1376" s="48" cm="1">
        <f t="array" ref="F1376">IFERROR(MAX(IF($B$4:$B$579="winter",IF($C$4:$C$579=$B1376,H$4:H$579)))/G$1264,0)</f>
        <v>0</v>
      </c>
      <c r="G1376" s="48" cm="1">
        <f t="array" ref="G1376">IFERROR(MAX(IF($B$4:$B$579="winter",IF($C$4:$C$579=$B1376,I$4:I$579)))/H$1264,0)</f>
        <v>6.9927907925985123E-5</v>
      </c>
      <c r="H1376" s="48" cm="1">
        <f t="array" ref="H1376">IFERROR(MAX(IF($B$4:$B$579="winter",IF($C$4:$C$579=$B1376,J$4:J$579)))/I$1264,0)</f>
        <v>1.3826721646423149E-4</v>
      </c>
      <c r="I1376" s="48" cm="1">
        <f t="array" ref="I1376">IFERROR(MAX(IF($B$4:$B$579="winter",IF($C$4:$C$579=$B1376,K$4:K$579)))/J$1264,0)</f>
        <v>1.3826721646423149E-4</v>
      </c>
      <c r="J1376" s="48" cm="1">
        <f t="array" ref="J1376">IFERROR(MAX(IF($B$4:$B$579="winter",IF($C$4:$C$579=$B1376,L$4:L$579)))/K$1264,0)</f>
        <v>4.1658006401459126E-4</v>
      </c>
      <c r="K1376" s="48" cm="1">
        <f t="array" ref="K1376">IFERROR(MAX(IF($B$4:$B$579="winter",IF($C$4:$C$579=$B1376,M$4:M$579)))/L$1264,0)</f>
        <v>3.9243580377295362E-7</v>
      </c>
      <c r="L1376" s="48" cm="1">
        <f t="array" ref="L1376">IFERROR(MAX(IF($B$4:$B$579="winter",IF($C$4:$C$579=$B1376,N$4:N$579)))/M$1264,0)</f>
        <v>0</v>
      </c>
      <c r="M1376" s="48" cm="1">
        <f t="array" ref="M1376">IFERROR(MAX(IF($B$4:$B$579="winter",IF($C$4:$C$579=$B1376,O$4:O$579)))/N$1264,0)</f>
        <v>2.1488496759420383E-4</v>
      </c>
      <c r="N1376" s="48" cm="1">
        <f t="array" ref="N1376">IFERROR(MAX(IF($B$4:$B$579="winter",IF($C$4:$C$579=$B1376,P$4:P$579)))/O$1264,0)</f>
        <v>2.1488496759420383E-4</v>
      </c>
      <c r="O1376" s="48" cm="1">
        <f t="array" ref="O1376">IFERROR(MAX(IF($B$4:$B$579="winter",IF($C$4:$C$579=$B1376,Q$4:Q$579)))/P$1264,0)</f>
        <v>2.1488496759420383E-4</v>
      </c>
      <c r="P1376" s="48" cm="1">
        <f t="array" ref="P1376">IFERROR(MAX(IF($B$4:$B$579="winter",IF($C$4:$C$579=$B1376,R$4:R$579)))/Q$1264,0)</f>
        <v>1.6087948911375558E-4</v>
      </c>
      <c r="Q1376" s="48" cm="1">
        <f t="array" ref="Q1376">IFERROR(MAX(IF($B$4:$B$579="winter",IF($C$4:$C$579=$B1376,S$4:S$579)))/R$1264,0)</f>
        <v>1.6087948911375558E-4</v>
      </c>
      <c r="R1376" s="48" cm="1">
        <f t="array" ref="R1376">IFERROR(MAX(IF($B$4:$B$579="winter",IF($C$4:$C$579=$B1376,T$4:T$579)))/S$1264,0)</f>
        <v>1.6087948911375558E-4</v>
      </c>
      <c r="S1376" s="48" cm="1">
        <f t="array" ref="S1376">IFERROR(MAX(IF($B$4:$B$579="winter",IF($C$4:$C$579=$B1376,U$4:U$579)))/T$1264,0)</f>
        <v>1.6087948911375558E-4</v>
      </c>
      <c r="T1376" s="48" cm="1">
        <f t="array" ref="T1376">IFERROR(MAX(IF($B$4:$B$579="winter",IF($C$4:$C$579=$B1376,V$4:V$579)))/U$1264,0)</f>
        <v>1.6087948911375558E-4</v>
      </c>
      <c r="U1376" s="48" cm="1">
        <f t="array" ref="U1376">IFERROR(MAX(IF($B$4:$B$579="winter",IF($C$4:$C$579=$B1376,W$4:W$579)))/V$1264,0)</f>
        <v>1.6087948911375558E-4</v>
      </c>
      <c r="V1376" s="48" cm="1">
        <f t="array" ref="V1376">IFERROR(MAX(IF($B$4:$B$579="winter",IF($C$4:$C$579=$B1376,X$4:X$579)))/W$1264,0)</f>
        <v>1.3584113657733092E-4</v>
      </c>
      <c r="W1376" s="48" cm="1">
        <f t="array" ref="W1376">IFERROR(MAX(IF($B$4:$B$579="winter",IF($C$4:$C$579=$B1376,Y$4:Y$579)))/X$1264,0)</f>
        <v>1.3584113657733092E-4</v>
      </c>
      <c r="X1376" s="48" cm="1">
        <f t="array" ref="X1376">IFERROR(MAX(IF($B$4:$B$579="winter",IF($C$4:$C$579=$B1376,Z$4:Z$579)))/Y$1264,0)</f>
        <v>1.3584113657733092E-4</v>
      </c>
      <c r="Y1376" s="27"/>
      <c r="Z1376" s="10"/>
    </row>
    <row r="1377" spans="1:26" outlineLevel="1" x14ac:dyDescent="0.3">
      <c r="A1377" t="s">
        <v>166</v>
      </c>
      <c r="B1377" t="s">
        <v>75</v>
      </c>
      <c r="C1377" s="6" t="s">
        <v>150</v>
      </c>
      <c r="D1377" s="48" cm="1">
        <f t="array" ref="D1377">IFERROR(MAX(IF($B$4:$B$579="winter",IF($C$4:$C$579=$B1377,F$4:F$579)))/E$1264,0)</f>
        <v>2.8765477399953214E-4</v>
      </c>
      <c r="E1377" s="48" cm="1">
        <f t="array" ref="E1377">IFERROR(MAX(IF($B$4:$B$579="winter",IF($C$4:$C$579=$B1377,G$4:G$579)))/F$1264,0)</f>
        <v>1.8734895055509825E-7</v>
      </c>
      <c r="F1377" s="48" cm="1">
        <f t="array" ref="F1377">IFERROR(MAX(IF($B$4:$B$579="winter",IF($C$4:$C$579=$B1377,H$4:H$579)))/G$1264,0)</f>
        <v>0</v>
      </c>
      <c r="G1377" s="48" cm="1">
        <f t="array" ref="G1377">IFERROR(MAX(IF($B$4:$B$579="winter",IF($C$4:$C$579=$B1377,I$4:I$579)))/H$1264,0)</f>
        <v>7.3544868680777456E-5</v>
      </c>
      <c r="H1377" s="48" cm="1">
        <f t="array" ref="H1377">IFERROR(MAX(IF($B$4:$B$579="winter",IF($C$4:$C$579=$B1377,J$4:J$579)))/I$1264,0)</f>
        <v>1.3282955183445183E-4</v>
      </c>
      <c r="I1377" s="48" cm="1">
        <f t="array" ref="I1377">IFERROR(MAX(IF($B$4:$B$579="winter",IF($C$4:$C$579=$B1377,K$4:K$579)))/J$1264,0)</f>
        <v>1.3282955183445183E-4</v>
      </c>
      <c r="J1377" s="48" cm="1">
        <f t="array" ref="J1377">IFERROR(MAX(IF($B$4:$B$579="winter",IF($C$4:$C$579=$B1377,L$4:L$579)))/K$1264,0)</f>
        <v>3.6905907893440825E-4</v>
      </c>
      <c r="K1377" s="48" cm="1">
        <f t="array" ref="K1377">IFERROR(MAX(IF($B$4:$B$579="winter",IF($C$4:$C$579=$B1377,M$4:M$579)))/L$1264,0)</f>
        <v>3.7799498895906624E-7</v>
      </c>
      <c r="L1377" s="48" cm="1">
        <f t="array" ref="L1377">IFERROR(MAX(IF($B$4:$B$579="winter",IF($C$4:$C$579=$B1377,N$4:N$579)))/M$1264,0)</f>
        <v>0</v>
      </c>
      <c r="M1377" s="48" cm="1">
        <f t="array" ref="M1377">IFERROR(MAX(IF($B$4:$B$579="winter",IF($C$4:$C$579=$B1377,O$4:O$579)))/N$1264,0)</f>
        <v>2.1155807629993266E-4</v>
      </c>
      <c r="N1377" s="48" cm="1">
        <f t="array" ref="N1377">IFERROR(MAX(IF($B$4:$B$579="winter",IF($C$4:$C$579=$B1377,P$4:P$579)))/O$1264,0)</f>
        <v>2.1155807629993266E-4</v>
      </c>
      <c r="O1377" s="48" cm="1">
        <f t="array" ref="O1377">IFERROR(MAX(IF($B$4:$B$579="winter",IF($C$4:$C$579=$B1377,Q$4:Q$579)))/P$1264,0)</f>
        <v>2.1155807629993266E-4</v>
      </c>
      <c r="P1377" s="48" cm="1">
        <f t="array" ref="P1377">IFERROR(MAX(IF($B$4:$B$579="winter",IF($C$4:$C$579=$B1377,R$4:R$579)))/Q$1264,0)</f>
        <v>1.6345356093957564E-4</v>
      </c>
      <c r="Q1377" s="48" cm="1">
        <f t="array" ref="Q1377">IFERROR(MAX(IF($B$4:$B$579="winter",IF($C$4:$C$579=$B1377,S$4:S$579)))/R$1264,0)</f>
        <v>1.6345356093957564E-4</v>
      </c>
      <c r="R1377" s="48" cm="1">
        <f t="array" ref="R1377">IFERROR(MAX(IF($B$4:$B$579="winter",IF($C$4:$C$579=$B1377,T$4:T$579)))/S$1264,0)</f>
        <v>1.6345356093957564E-4</v>
      </c>
      <c r="S1377" s="48" cm="1">
        <f t="array" ref="S1377">IFERROR(MAX(IF($B$4:$B$579="winter",IF($C$4:$C$579=$B1377,U$4:U$579)))/T$1264,0)</f>
        <v>1.6345356093957564E-4</v>
      </c>
      <c r="T1377" s="48" cm="1">
        <f t="array" ref="T1377">IFERROR(MAX(IF($B$4:$B$579="winter",IF($C$4:$C$579=$B1377,V$4:V$579)))/U$1264,0)</f>
        <v>1.6345356093957564E-4</v>
      </c>
      <c r="U1377" s="48" cm="1">
        <f t="array" ref="U1377">IFERROR(MAX(IF($B$4:$B$579="winter",IF($C$4:$C$579=$B1377,W$4:W$579)))/V$1264,0)</f>
        <v>1.6345356093957564E-4</v>
      </c>
      <c r="V1377" s="48" cm="1">
        <f t="array" ref="V1377">IFERROR(MAX(IF($B$4:$B$579="winter",IF($C$4:$C$579=$B1377,X$4:X$579)))/W$1264,0)</f>
        <v>1.3544101540920918E-4</v>
      </c>
      <c r="W1377" s="48" cm="1">
        <f t="array" ref="W1377">IFERROR(MAX(IF($B$4:$B$579="winter",IF($C$4:$C$579=$B1377,Y$4:Y$579)))/X$1264,0)</f>
        <v>1.3544101540920918E-4</v>
      </c>
      <c r="X1377" s="48" cm="1">
        <f t="array" ref="X1377">IFERROR(MAX(IF($B$4:$B$579="winter",IF($C$4:$C$579=$B1377,Z$4:Z$579)))/Y$1264,0)</f>
        <v>1.3544101540920918E-4</v>
      </c>
      <c r="Y1377" s="27"/>
      <c r="Z1377" s="10"/>
    </row>
    <row r="1378" spans="1:26" outlineLevel="1" x14ac:dyDescent="0.3">
      <c r="A1378" t="s">
        <v>166</v>
      </c>
      <c r="B1378" t="s">
        <v>76</v>
      </c>
      <c r="C1378" s="6" t="s">
        <v>151</v>
      </c>
      <c r="D1378" s="48" cm="1">
        <f t="array" ref="D1378">IFERROR(MAX(IF($B$4:$B$579="winter",IF($C$4:$C$579=$B1378,F$4:F$579)))/E$1264,0)</f>
        <v>2.8269520893057468E-4</v>
      </c>
      <c r="E1378" s="48" cm="1">
        <f t="array" ref="E1378">IFERROR(MAX(IF($B$4:$B$579="winter",IF($C$4:$C$579=$B1378,G$4:G$579)))/F$1264,0)</f>
        <v>1.9325189923384578E-7</v>
      </c>
      <c r="F1378" s="48" cm="1">
        <f t="array" ref="F1378">IFERROR(MAX(IF($B$4:$B$579="winter",IF($C$4:$C$579=$B1378,H$4:H$579)))/G$1264,0)</f>
        <v>0</v>
      </c>
      <c r="G1378" s="48" cm="1">
        <f t="array" ref="G1378">IFERROR(MAX(IF($B$4:$B$579="winter",IF($C$4:$C$579=$B1378,I$4:I$579)))/H$1264,0)</f>
        <v>7.4750522265708234E-5</v>
      </c>
      <c r="H1378" s="48" cm="1">
        <f t="array" ref="H1378">IFERROR(MAX(IF($B$4:$B$579="winter",IF($C$4:$C$579=$B1378,J$4:J$579)))/I$1264,0)</f>
        <v>1.3171718390518278E-4</v>
      </c>
      <c r="I1378" s="48" cm="1">
        <f t="array" ref="I1378">IFERROR(MAX(IF($B$4:$B$579="winter",IF($C$4:$C$579=$B1378,K$4:K$579)))/J$1264,0)</f>
        <v>1.3171718390518278E-4</v>
      </c>
      <c r="J1378" s="48" cm="1">
        <f t="array" ref="J1378">IFERROR(MAX(IF($B$4:$B$579="winter",IF($C$4:$C$579=$B1378,L$4:L$579)))/K$1264,0)</f>
        <v>3.4560716421951272E-4</v>
      </c>
      <c r="K1378" s="48" cm="1">
        <f t="array" ref="K1378">IFERROR(MAX(IF($B$4:$B$579="winter",IF($C$4:$C$579=$B1378,M$4:M$579)))/L$1264,0)</f>
        <v>3.8694052132291631E-7</v>
      </c>
      <c r="L1378" s="48" cm="1">
        <f t="array" ref="L1378">IFERROR(MAX(IF($B$4:$B$579="winter",IF($C$4:$C$579=$B1378,N$4:N$579)))/M$1264,0)</f>
        <v>0</v>
      </c>
      <c r="M1378" s="48" cm="1">
        <f t="array" ref="M1378">IFERROR(MAX(IF($B$4:$B$579="winter",IF($C$4:$C$579=$B1378,O$4:O$579)))/N$1264,0)</f>
        <v>2.1155725926730654E-4</v>
      </c>
      <c r="N1378" s="48" cm="1">
        <f t="array" ref="N1378">IFERROR(MAX(IF($B$4:$B$579="winter",IF($C$4:$C$579=$B1378,P$4:P$579)))/O$1264,0)</f>
        <v>2.1155725926730654E-4</v>
      </c>
      <c r="O1378" s="48" cm="1">
        <f t="array" ref="O1378">IFERROR(MAX(IF($B$4:$B$579="winter",IF($C$4:$C$579=$B1378,Q$4:Q$579)))/P$1264,0)</f>
        <v>2.1155725926730654E-4</v>
      </c>
      <c r="P1378" s="48" cm="1">
        <f t="array" ref="P1378">IFERROR(MAX(IF($B$4:$B$579="winter",IF($C$4:$C$579=$B1378,R$4:R$579)))/Q$1264,0)</f>
        <v>1.6216652502666561E-4</v>
      </c>
      <c r="Q1378" s="48" cm="1">
        <f t="array" ref="Q1378">IFERROR(MAX(IF($B$4:$B$579="winter",IF($C$4:$C$579=$B1378,S$4:S$579)))/R$1264,0)</f>
        <v>1.6216652502666561E-4</v>
      </c>
      <c r="R1378" s="48" cm="1">
        <f t="array" ref="R1378">IFERROR(MAX(IF($B$4:$B$579="winter",IF($C$4:$C$579=$B1378,T$4:T$579)))/S$1264,0)</f>
        <v>1.6216652502666561E-4</v>
      </c>
      <c r="S1378" s="48" cm="1">
        <f t="array" ref="S1378">IFERROR(MAX(IF($B$4:$B$579="winter",IF($C$4:$C$579=$B1378,U$4:U$579)))/T$1264,0)</f>
        <v>1.6216652502666561E-4</v>
      </c>
      <c r="T1378" s="48" cm="1">
        <f t="array" ref="T1378">IFERROR(MAX(IF($B$4:$B$579="winter",IF($C$4:$C$579=$B1378,V$4:V$579)))/U$1264,0)</f>
        <v>1.6216652502666561E-4</v>
      </c>
      <c r="U1378" s="48" cm="1">
        <f t="array" ref="U1378">IFERROR(MAX(IF($B$4:$B$579="winter",IF($C$4:$C$579=$B1378,W$4:W$579)))/V$1264,0)</f>
        <v>1.6216652502666561E-4</v>
      </c>
      <c r="V1378" s="48" cm="1">
        <f t="array" ref="V1378">IFERROR(MAX(IF($B$4:$B$579="winter",IF($C$4:$C$579=$B1378,X$4:X$579)))/W$1264,0)</f>
        <v>1.3524095482514829E-4</v>
      </c>
      <c r="W1378" s="48" cm="1">
        <f t="array" ref="W1378">IFERROR(MAX(IF($B$4:$B$579="winter",IF($C$4:$C$579=$B1378,Y$4:Y$579)))/X$1264,0)</f>
        <v>1.3524095482514829E-4</v>
      </c>
      <c r="X1378" s="48" cm="1">
        <f t="array" ref="X1378">IFERROR(MAX(IF($B$4:$B$579="winter",IF($C$4:$C$579=$B1378,Z$4:Z$579)))/Y$1264,0)</f>
        <v>1.3524095482514829E-4</v>
      </c>
      <c r="Y1378" s="27"/>
      <c r="Z1378" s="10"/>
    </row>
    <row r="1379" spans="1:26" outlineLevel="1" x14ac:dyDescent="0.3">
      <c r="A1379" t="s">
        <v>166</v>
      </c>
      <c r="B1379" t="s">
        <v>77</v>
      </c>
      <c r="C1379" s="6" t="s">
        <v>152</v>
      </c>
      <c r="D1379" s="48" cm="1">
        <f t="array" ref="D1379">IFERROR(MAX(IF($B$4:$B$579="winter",IF($C$4:$C$579=$B1379,F$4:F$579)))/E$1264,0)</f>
        <v>2.8434839728689384E-4</v>
      </c>
      <c r="E1379" s="48" cm="1">
        <f t="array" ref="E1379">IFERROR(MAX(IF($B$4:$B$579="winter",IF($C$4:$C$579=$B1379,G$4:G$579)))/F$1264,0)</f>
        <v>2.017896404558969E-7</v>
      </c>
      <c r="F1379" s="48" cm="1">
        <f t="array" ref="F1379">IFERROR(MAX(IF($B$4:$B$579="winter",IF($C$4:$C$579=$B1379,H$4:H$579)))/G$1264,0)</f>
        <v>0</v>
      </c>
      <c r="G1379" s="48" cm="1">
        <f t="array" ref="G1379">IFERROR(MAX(IF($B$4:$B$579="winter",IF($C$4:$C$579=$B1379,I$4:I$579)))/H$1264,0)</f>
        <v>7.6559002643104401E-5</v>
      </c>
      <c r="H1379" s="48" cm="1">
        <f t="array" ref="H1379">IFERROR(MAX(IF($B$4:$B$579="winter",IF($C$4:$C$579=$B1379,J$4:J$579)))/I$1264,0)</f>
        <v>1.3616533589972247E-4</v>
      </c>
      <c r="I1379" s="48" cm="1">
        <f t="array" ref="I1379">IFERROR(MAX(IF($B$4:$B$579="winter",IF($C$4:$C$579=$B1379,K$4:K$579)))/J$1264,0)</f>
        <v>1.3616533589972247E-4</v>
      </c>
      <c r="J1379" s="48" cm="1">
        <f t="array" ref="J1379">IFERROR(MAX(IF($B$4:$B$579="winter",IF($C$4:$C$579=$B1379,L$4:L$579)))/K$1264,0)</f>
        <v>3.2400671645579319E-4</v>
      </c>
      <c r="K1379" s="48" cm="1">
        <f t="array" ref="K1379">IFERROR(MAX(IF($B$4:$B$579="winter",IF($C$4:$C$579=$B1379,M$4:M$579)))/L$1264,0)</f>
        <v>3.9656659978388342E-7</v>
      </c>
      <c r="L1379" s="48" cm="1">
        <f t="array" ref="L1379">IFERROR(MAX(IF($B$4:$B$579="winter",IF($C$4:$C$579=$B1379,N$4:N$579)))/M$1264,0)</f>
        <v>0</v>
      </c>
      <c r="M1379" s="48" cm="1">
        <f t="array" ref="M1379">IFERROR(MAX(IF($B$4:$B$579="winter",IF($C$4:$C$579=$B1379,O$4:O$579)))/N$1264,0)</f>
        <v>2.1143345628844417E-4</v>
      </c>
      <c r="N1379" s="48" cm="1">
        <f t="array" ref="N1379">IFERROR(MAX(IF($B$4:$B$579="winter",IF($C$4:$C$579=$B1379,P$4:P$579)))/O$1264,0)</f>
        <v>2.1143345628844417E-4</v>
      </c>
      <c r="O1379" s="48" cm="1">
        <f t="array" ref="O1379">IFERROR(MAX(IF($B$4:$B$579="winter",IF($C$4:$C$579=$B1379,Q$4:Q$579)))/P$1264,0)</f>
        <v>2.1143345628844417E-4</v>
      </c>
      <c r="P1379" s="48" cm="1">
        <f t="array" ref="P1379">IFERROR(MAX(IF($B$4:$B$579="winter",IF($C$4:$C$579=$B1379,R$4:R$579)))/Q$1264,0)</f>
        <v>1.6087948911375558E-4</v>
      </c>
      <c r="Q1379" s="48" cm="1">
        <f t="array" ref="Q1379">IFERROR(MAX(IF($B$4:$B$579="winter",IF($C$4:$C$579=$B1379,S$4:S$579)))/R$1264,0)</f>
        <v>1.6087948911375558E-4</v>
      </c>
      <c r="R1379" s="48" cm="1">
        <f t="array" ref="R1379">IFERROR(MAX(IF($B$4:$B$579="winter",IF($C$4:$C$579=$B1379,T$4:T$579)))/S$1264,0)</f>
        <v>1.6087948911375558E-4</v>
      </c>
      <c r="S1379" s="48" cm="1">
        <f t="array" ref="S1379">IFERROR(MAX(IF($B$4:$B$579="winter",IF($C$4:$C$579=$B1379,U$4:U$579)))/T$1264,0)</f>
        <v>1.6087948911375558E-4</v>
      </c>
      <c r="T1379" s="48" cm="1">
        <f t="array" ref="T1379">IFERROR(MAX(IF($B$4:$B$579="winter",IF($C$4:$C$579=$B1379,V$4:V$579)))/U$1264,0)</f>
        <v>1.6087948911375558E-4</v>
      </c>
      <c r="U1379" s="48" cm="1">
        <f t="array" ref="U1379">IFERROR(MAX(IF($B$4:$B$579="winter",IF($C$4:$C$579=$B1379,W$4:W$579)))/V$1264,0)</f>
        <v>1.6087948911375558E-4</v>
      </c>
      <c r="V1379" s="48" cm="1">
        <f t="array" ref="V1379">IFERROR(MAX(IF($B$4:$B$579="winter",IF($C$4:$C$579=$B1379,X$4:X$579)))/W$1264,0)</f>
        <v>1.3544101540920918E-4</v>
      </c>
      <c r="W1379" s="48" cm="1">
        <f t="array" ref="W1379">IFERROR(MAX(IF($B$4:$B$579="winter",IF($C$4:$C$579=$B1379,Y$4:Y$579)))/X$1264,0)</f>
        <v>1.3544101540920918E-4</v>
      </c>
      <c r="X1379" s="48" cm="1">
        <f t="array" ref="X1379">IFERROR(MAX(IF($B$4:$B$579="winter",IF($C$4:$C$579=$B1379,Z$4:Z$579)))/Y$1264,0)</f>
        <v>1.3544101540920918E-4</v>
      </c>
      <c r="Y1379" s="27"/>
      <c r="Z1379" s="10"/>
    </row>
    <row r="1380" spans="1:26" outlineLevel="1" x14ac:dyDescent="0.3">
      <c r="A1380" t="s">
        <v>166</v>
      </c>
      <c r="B1380" t="s">
        <v>78</v>
      </c>
      <c r="C1380" s="6" t="s">
        <v>153</v>
      </c>
      <c r="D1380" s="48" cm="1">
        <f t="array" ref="D1380">IFERROR(MAX(IF($B$4:$B$579="winter",IF($C$4:$C$579=$B1380,F$4:F$579)))/E$1264,0)</f>
        <v>2.9592071578112786E-4</v>
      </c>
      <c r="E1380" s="48" cm="1">
        <f t="array" ref="E1380">IFERROR(MAX(IF($B$4:$B$579="winter",IF($C$4:$C$579=$B1380,G$4:G$579)))/F$1264,0)</f>
        <v>2.2041053006482146E-7</v>
      </c>
      <c r="F1380" s="48" cm="1">
        <f t="array" ref="F1380">IFERROR(MAX(IF($B$4:$B$579="winter",IF($C$4:$C$579=$B1380,H$4:H$579)))/G$1264,0)</f>
        <v>0</v>
      </c>
      <c r="G1380" s="48" cm="1">
        <f t="array" ref="G1380">IFERROR(MAX(IF($B$4:$B$579="winter",IF($C$4:$C$579=$B1380,I$4:I$579)))/H$1264,0)</f>
        <v>8.3190097360223678E-5</v>
      </c>
      <c r="H1380" s="48" cm="1">
        <f t="array" ref="H1380">IFERROR(MAX(IF($B$4:$B$579="winter",IF($C$4:$C$579=$B1380,J$4:J$579)))/I$1264,0)</f>
        <v>1.5259931918324958E-4</v>
      </c>
      <c r="I1380" s="48" cm="1">
        <f t="array" ref="I1380">IFERROR(MAX(IF($B$4:$B$579="winter",IF($C$4:$C$579=$B1380,K$4:K$579)))/J$1264,0)</f>
        <v>1.5259931918324958E-4</v>
      </c>
      <c r="J1380" s="48" cm="1">
        <f t="array" ref="J1380">IFERROR(MAX(IF($B$4:$B$579="winter",IF($C$4:$C$579=$B1380,L$4:L$579)))/K$1264,0)</f>
        <v>3.1166360344795345E-4</v>
      </c>
      <c r="K1380" s="48" cm="1">
        <f t="array" ref="K1380">IFERROR(MAX(IF($B$4:$B$579="winter",IF($C$4:$C$579=$B1380,M$4:M$579)))/L$1264,0)</f>
        <v>3.9673461490511684E-7</v>
      </c>
      <c r="L1380" s="48" cm="1">
        <f t="array" ref="L1380">IFERROR(MAX(IF($B$4:$B$579="winter",IF($C$4:$C$579=$B1380,N$4:N$579)))/M$1264,0)</f>
        <v>0</v>
      </c>
      <c r="M1380" s="48" cm="1">
        <f t="array" ref="M1380">IFERROR(MAX(IF($B$4:$B$579="winter",IF($C$4:$C$579=$B1380,O$4:O$579)))/N$1264,0)</f>
        <v>2.115973393477424E-4</v>
      </c>
      <c r="N1380" s="48" cm="1">
        <f t="array" ref="N1380">IFERROR(MAX(IF($B$4:$B$579="winter",IF($C$4:$C$579=$B1380,P$4:P$579)))/O$1264,0)</f>
        <v>2.115973393477424E-4</v>
      </c>
      <c r="O1380" s="48" cm="1">
        <f t="array" ref="O1380">IFERROR(MAX(IF($B$4:$B$579="winter",IF($C$4:$C$579=$B1380,Q$4:Q$579)))/P$1264,0)</f>
        <v>2.115973393477424E-4</v>
      </c>
      <c r="P1380" s="48" cm="1">
        <f t="array" ref="P1380">IFERROR(MAX(IF($B$4:$B$579="winter",IF($C$4:$C$579=$B1380,R$4:R$579)))/Q$1264,0)</f>
        <v>1.9048131511068659E-4</v>
      </c>
      <c r="Q1380" s="48" cm="1">
        <f t="array" ref="Q1380">IFERROR(MAX(IF($B$4:$B$579="winter",IF($C$4:$C$579=$B1380,S$4:S$579)))/R$1264,0)</f>
        <v>1.9048131511068659E-4</v>
      </c>
      <c r="R1380" s="48" cm="1">
        <f t="array" ref="R1380">IFERROR(MAX(IF($B$4:$B$579="winter",IF($C$4:$C$579=$B1380,T$4:T$579)))/S$1264,0)</f>
        <v>1.9048131511068659E-4</v>
      </c>
      <c r="S1380" s="48" cm="1">
        <f t="array" ref="S1380">IFERROR(MAX(IF($B$4:$B$579="winter",IF($C$4:$C$579=$B1380,U$4:U$579)))/T$1264,0)</f>
        <v>1.9048131511068659E-4</v>
      </c>
      <c r="T1380" s="48" cm="1">
        <f t="array" ref="T1380">IFERROR(MAX(IF($B$4:$B$579="winter",IF($C$4:$C$579=$B1380,V$4:V$579)))/U$1264,0)</f>
        <v>1.9048131511068659E-4</v>
      </c>
      <c r="U1380" s="48" cm="1">
        <f t="array" ref="U1380">IFERROR(MAX(IF($B$4:$B$579="winter",IF($C$4:$C$579=$B1380,W$4:W$579)))/V$1264,0)</f>
        <v>1.9048131511068659E-4</v>
      </c>
      <c r="V1380" s="48" cm="1">
        <f t="array" ref="V1380">IFERROR(MAX(IF($B$4:$B$579="winter",IF($C$4:$C$579=$B1380,X$4:X$579)))/W$1264,0)</f>
        <v>1.3664137891357438E-4</v>
      </c>
      <c r="W1380" s="48" cm="1">
        <f t="array" ref="W1380">IFERROR(MAX(IF($B$4:$B$579="winter",IF($C$4:$C$579=$B1380,Y$4:Y$579)))/X$1264,0)</f>
        <v>1.3664137891357438E-4</v>
      </c>
      <c r="X1380" s="48" cm="1">
        <f t="array" ref="X1380">IFERROR(MAX(IF($B$4:$B$579="winter",IF($C$4:$C$579=$B1380,Z$4:Z$579)))/Y$1264,0)</f>
        <v>1.3664137891357438E-4</v>
      </c>
      <c r="Y1380" s="27"/>
      <c r="Z1380" s="10"/>
    </row>
    <row r="1381" spans="1:26" outlineLevel="1" x14ac:dyDescent="0.3">
      <c r="A1381" t="s">
        <v>166</v>
      </c>
      <c r="B1381" t="s">
        <v>79</v>
      </c>
      <c r="C1381" s="6" t="s">
        <v>154</v>
      </c>
      <c r="D1381" s="48" cm="1">
        <f t="array" ref="D1381">IFERROR(MAX(IF($B$4:$B$579="winter",IF($C$4:$C$579=$B1381,F$4:F$579)))/E$1264,0)</f>
        <v>3.1410578770063851E-4</v>
      </c>
      <c r="E1381" s="48" cm="1">
        <f t="array" ref="E1381">IFERROR(MAX(IF($B$4:$B$579="winter",IF($C$4:$C$579=$B1381,G$4:G$579)))/F$1264,0)</f>
        <v>2.4067816501331083E-7</v>
      </c>
      <c r="F1381" s="48" cm="1">
        <f t="array" ref="F1381">IFERROR(MAX(IF($B$4:$B$579="winter",IF($C$4:$C$579=$B1381,H$4:H$579)))/G$1264,0)</f>
        <v>0</v>
      </c>
      <c r="G1381" s="48" cm="1">
        <f t="array" ref="G1381">IFERROR(MAX(IF($B$4:$B$579="winter",IF($C$4:$C$579=$B1381,I$4:I$579)))/H$1264,0)</f>
        <v>3.0141339623269449E-4</v>
      </c>
      <c r="H1381" s="48" cm="1">
        <f t="array" ref="H1381">IFERROR(MAX(IF($B$4:$B$579="winter",IF($C$4:$C$579=$B1381,J$4:J$579)))/I$1264,0)</f>
        <v>1.8522084239495719E-4</v>
      </c>
      <c r="I1381" s="48" cm="1">
        <f t="array" ref="I1381">IFERROR(MAX(IF($B$4:$B$579="winter",IF($C$4:$C$579=$B1381,K$4:K$579)))/J$1264,0)</f>
        <v>1.8522084239495719E-4</v>
      </c>
      <c r="J1381" s="48" cm="1">
        <f t="array" ref="J1381">IFERROR(MAX(IF($B$4:$B$579="winter",IF($C$4:$C$579=$B1381,L$4:L$579)))/K$1264,0)</f>
        <v>3.0549204694403355E-4</v>
      </c>
      <c r="K1381" s="48" cm="1">
        <f t="array" ref="K1381">IFERROR(MAX(IF($B$4:$B$579="winter",IF($C$4:$C$579=$B1381,M$4:M$579)))/L$1264,0)</f>
        <v>3.8859012433138956E-7</v>
      </c>
      <c r="L1381" s="48" cm="1">
        <f t="array" ref="L1381">IFERROR(MAX(IF($B$4:$B$579="winter",IF($C$4:$C$579=$B1381,N$4:N$579)))/M$1264,0)</f>
        <v>0</v>
      </c>
      <c r="M1381" s="48" cm="1">
        <f t="array" ref="M1381">IFERROR(MAX(IF($B$4:$B$579="winter",IF($C$4:$C$579=$B1381,O$4:O$579)))/N$1264,0)</f>
        <v>2.04304612251096E-4</v>
      </c>
      <c r="N1381" s="48" cm="1">
        <f t="array" ref="N1381">IFERROR(MAX(IF($B$4:$B$579="winter",IF($C$4:$C$579=$B1381,P$4:P$579)))/O$1264,0)</f>
        <v>2.04304612251096E-4</v>
      </c>
      <c r="O1381" s="48" cm="1">
        <f t="array" ref="O1381">IFERROR(MAX(IF($B$4:$B$579="winter",IF($C$4:$C$579=$B1381,Q$4:Q$579)))/P$1264,0)</f>
        <v>2.04304612251096E-4</v>
      </c>
      <c r="P1381" s="48" cm="1">
        <f t="array" ref="P1381">IFERROR(MAX(IF($B$4:$B$579="winter",IF($C$4:$C$579=$B1381,R$4:R$579)))/Q$1264,0)</f>
        <v>2.200831411076176E-4</v>
      </c>
      <c r="Q1381" s="48" cm="1">
        <f t="array" ref="Q1381">IFERROR(MAX(IF($B$4:$B$579="winter",IF($C$4:$C$579=$B1381,S$4:S$579)))/R$1264,0)</f>
        <v>2.200831411076176E-4</v>
      </c>
      <c r="R1381" s="48" cm="1">
        <f t="array" ref="R1381">IFERROR(MAX(IF($B$4:$B$579="winter",IF($C$4:$C$579=$B1381,T$4:T$579)))/S$1264,0)</f>
        <v>2.200831411076176E-4</v>
      </c>
      <c r="S1381" s="48" cm="1">
        <f t="array" ref="S1381">IFERROR(MAX(IF($B$4:$B$579="winter",IF($C$4:$C$579=$B1381,U$4:U$579)))/T$1264,0)</f>
        <v>2.200831411076176E-4</v>
      </c>
      <c r="T1381" s="48" cm="1">
        <f t="array" ref="T1381">IFERROR(MAX(IF($B$4:$B$579="winter",IF($C$4:$C$579=$B1381,V$4:V$579)))/U$1264,0)</f>
        <v>2.200831411076176E-4</v>
      </c>
      <c r="U1381" s="48" cm="1">
        <f t="array" ref="U1381">IFERROR(MAX(IF($B$4:$B$579="winter",IF($C$4:$C$579=$B1381,W$4:W$579)))/V$1264,0)</f>
        <v>2.200831411076176E-4</v>
      </c>
      <c r="V1381" s="48" cm="1">
        <f t="array" ref="V1381">IFERROR(MAX(IF($B$4:$B$579="winter",IF($C$4:$C$579=$B1381,X$4:X$579)))/W$1264,0)</f>
        <v>1.3804180300200049E-4</v>
      </c>
      <c r="W1381" s="48" cm="1">
        <f t="array" ref="W1381">IFERROR(MAX(IF($B$4:$B$579="winter",IF($C$4:$C$579=$B1381,Y$4:Y$579)))/X$1264,0)</f>
        <v>1.3804180300200049E-4</v>
      </c>
      <c r="X1381" s="48" cm="1">
        <f t="array" ref="X1381">IFERROR(MAX(IF($B$4:$B$579="winter",IF($C$4:$C$579=$B1381,Z$4:Z$579)))/Y$1264,0)</f>
        <v>1.3804180300200049E-4</v>
      </c>
      <c r="Y1381" s="27"/>
      <c r="Z1381" s="10"/>
    </row>
    <row r="1382" spans="1:26" outlineLevel="1" x14ac:dyDescent="0.3">
      <c r="A1382" t="s">
        <v>166</v>
      </c>
      <c r="B1382" t="s">
        <v>80</v>
      </c>
      <c r="C1382" s="6" t="s">
        <v>155</v>
      </c>
      <c r="D1382" s="48" cm="1">
        <f t="array" ref="D1382">IFERROR(MAX(IF($B$4:$B$579="winter",IF($C$4:$C$579=$B1382,F$4:F$579)))/E$1264,0)</f>
        <v>3.3559723633278747E-4</v>
      </c>
      <c r="E1382" s="48" cm="1">
        <f t="array" ref="E1382">IFERROR(MAX(IF($B$4:$B$579="winter",IF($C$4:$C$579=$B1382,G$4:G$579)))/F$1264,0)</f>
        <v>2.6379171370248384E-7</v>
      </c>
      <c r="F1382" s="48" cm="1">
        <f t="array" ref="F1382">IFERROR(MAX(IF($B$4:$B$579="winter",IF($C$4:$C$579=$B1382,H$4:H$579)))/G$1264,0)</f>
        <v>0</v>
      </c>
      <c r="G1382" s="48" cm="1">
        <f t="array" ref="G1382">IFERROR(MAX(IF($B$4:$B$579="winter",IF($C$4:$C$579=$B1382,I$4:I$579)))/H$1264,0)</f>
        <v>3.2914342868610235E-4</v>
      </c>
      <c r="H1382" s="48" cm="1">
        <f t="array" ref="H1382">IFERROR(MAX(IF($B$4:$B$579="winter",IF($C$4:$C$579=$B1382,J$4:J$579)))/I$1264,0)</f>
        <v>2.0462030894552428E-4</v>
      </c>
      <c r="I1382" s="48" cm="1">
        <f t="array" ref="I1382">IFERROR(MAX(IF($B$4:$B$579="winter",IF($C$4:$C$579=$B1382,K$4:K$579)))/J$1264,0)</f>
        <v>2.0462030894552428E-4</v>
      </c>
      <c r="J1382" s="48" cm="1">
        <f t="array" ref="J1382">IFERROR(MAX(IF($B$4:$B$579="winter",IF($C$4:$C$579=$B1382,L$4:L$579)))/K$1264,0)</f>
        <v>3.1042929214716944E-4</v>
      </c>
      <c r="K1382" s="48" cm="1">
        <f t="array" ref="K1382">IFERROR(MAX(IF($B$4:$B$579="winter",IF($C$4:$C$579=$B1382,M$4:M$579)))/L$1264,0)</f>
        <v>3.7049201066641187E-7</v>
      </c>
      <c r="L1382" s="48" cm="1">
        <f t="array" ref="L1382">IFERROR(MAX(IF($B$4:$B$579="winter",IF($C$4:$C$579=$B1382,N$4:N$579)))/M$1264,0)</f>
        <v>0</v>
      </c>
      <c r="M1382" s="48" cm="1">
        <f t="array" ref="M1382">IFERROR(MAX(IF($B$4:$B$579="winter",IF($C$4:$C$579=$B1382,O$4:O$579)))/N$1264,0)</f>
        <v>1.9180902589852086E-4</v>
      </c>
      <c r="N1382" s="48" cm="1">
        <f t="array" ref="N1382">IFERROR(MAX(IF($B$4:$B$579="winter",IF($C$4:$C$579=$B1382,P$4:P$579)))/O$1264,0)</f>
        <v>1.9180902589852086E-4</v>
      </c>
      <c r="O1382" s="48" cm="1">
        <f t="array" ref="O1382">IFERROR(MAX(IF($B$4:$B$579="winter",IF($C$4:$C$579=$B1382,Q$4:Q$579)))/P$1264,0)</f>
        <v>1.9180902589852086E-4</v>
      </c>
      <c r="P1382" s="48" cm="1">
        <f t="array" ref="P1382">IFERROR(MAX(IF($B$4:$B$579="winter",IF($C$4:$C$579=$B1382,R$4:R$579)))/Q$1264,0)</f>
        <v>2.31666464323808E-4</v>
      </c>
      <c r="Q1382" s="48" cm="1">
        <f t="array" ref="Q1382">IFERROR(MAX(IF($B$4:$B$579="winter",IF($C$4:$C$579=$B1382,S$4:S$579)))/R$1264,0)</f>
        <v>2.31666464323808E-4</v>
      </c>
      <c r="R1382" s="48" cm="1">
        <f t="array" ref="R1382">IFERROR(MAX(IF($B$4:$B$579="winter",IF($C$4:$C$579=$B1382,T$4:T$579)))/S$1264,0)</f>
        <v>2.31666464323808E-4</v>
      </c>
      <c r="S1382" s="48" cm="1">
        <f t="array" ref="S1382">IFERROR(MAX(IF($B$4:$B$579="winter",IF($C$4:$C$579=$B1382,U$4:U$579)))/T$1264,0)</f>
        <v>2.31666464323808E-4</v>
      </c>
      <c r="T1382" s="48" cm="1">
        <f t="array" ref="T1382">IFERROR(MAX(IF($B$4:$B$579="winter",IF($C$4:$C$579=$B1382,V$4:V$579)))/U$1264,0)</f>
        <v>2.31666464323808E-4</v>
      </c>
      <c r="U1382" s="48" cm="1">
        <f t="array" ref="U1382">IFERROR(MAX(IF($B$4:$B$579="winter",IF($C$4:$C$579=$B1382,W$4:W$579)))/V$1264,0)</f>
        <v>2.31666464323808E-4</v>
      </c>
      <c r="V1382" s="48" cm="1">
        <f t="array" ref="V1382">IFERROR(MAX(IF($B$4:$B$579="winter",IF($C$4:$C$579=$B1382,X$4:X$579)))/W$1264,0)</f>
        <v>1.3824186358606135E-4</v>
      </c>
      <c r="W1382" s="48" cm="1">
        <f t="array" ref="W1382">IFERROR(MAX(IF($B$4:$B$579="winter",IF($C$4:$C$579=$B1382,Y$4:Y$579)))/X$1264,0)</f>
        <v>1.3824186358606135E-4</v>
      </c>
      <c r="X1382" s="48" cm="1">
        <f t="array" ref="X1382">IFERROR(MAX(IF($B$4:$B$579="winter",IF($C$4:$C$579=$B1382,Z$4:Z$579)))/Y$1264,0)</f>
        <v>1.3824186358606135E-4</v>
      </c>
      <c r="Y1382" s="27"/>
      <c r="Z1382" s="10"/>
    </row>
    <row r="1383" spans="1:26" outlineLevel="1" x14ac:dyDescent="0.3">
      <c r="A1383" t="s">
        <v>166</v>
      </c>
      <c r="B1383" t="s">
        <v>81</v>
      </c>
      <c r="C1383" s="6" t="s">
        <v>156</v>
      </c>
      <c r="D1383" s="48" cm="1">
        <f t="array" ref="D1383">IFERROR(MAX(IF($B$4:$B$579="winter",IF($C$4:$C$579=$B1383,F$4:F$579)))/E$1264,0)</f>
        <v>3.6370143839021304E-4</v>
      </c>
      <c r="E1383" s="48" cm="1">
        <f t="array" ref="E1383">IFERROR(MAX(IF($B$4:$B$579="winter",IF($C$4:$C$579=$B1383,G$4:G$579)))/F$1264,0)</f>
        <v>2.928419904619852E-7</v>
      </c>
      <c r="F1383" s="48" cm="1">
        <f t="array" ref="F1383">IFERROR(MAX(IF($B$4:$B$579="winter",IF($C$4:$C$579=$B1383,H$4:H$579)))/G$1264,0)</f>
        <v>0</v>
      </c>
      <c r="G1383" s="48" cm="1">
        <f t="array" ref="G1383">IFERROR(MAX(IF($B$4:$B$579="winter",IF($C$4:$C$579=$B1383,I$4:I$579)))/H$1264,0)</f>
        <v>3.598875951018372E-4</v>
      </c>
      <c r="H1383" s="48" cm="1">
        <f t="array" ref="H1383">IFERROR(MAX(IF($B$4:$B$579="winter",IF($C$4:$C$579=$B1383,J$4:J$579)))/I$1264,0)</f>
        <v>1.9992347451582885E-4</v>
      </c>
      <c r="I1383" s="48" cm="1">
        <f t="array" ref="I1383">IFERROR(MAX(IF($B$4:$B$579="winter",IF($C$4:$C$579=$B1383,K$4:K$579)))/J$1264,0)</f>
        <v>1.9992347451582885E-4</v>
      </c>
      <c r="J1383" s="48" cm="1">
        <f t="array" ref="J1383">IFERROR(MAX(IF($B$4:$B$579="winter",IF($C$4:$C$579=$B1383,L$4:L$579)))/K$1264,0)</f>
        <v>3.5918458852813646E-4</v>
      </c>
      <c r="K1383" s="48" cm="1">
        <f t="array" ref="K1383">IFERROR(MAX(IF($B$4:$B$579="winter",IF($C$4:$C$579=$B1383,M$4:M$579)))/L$1264,0)</f>
        <v>3.5480890222885949E-7</v>
      </c>
      <c r="L1383" s="48" cm="1">
        <f t="array" ref="L1383">IFERROR(MAX(IF($B$4:$B$579="winter",IF($C$4:$C$579=$B1383,N$4:N$579)))/M$1264,0)</f>
        <v>0</v>
      </c>
      <c r="M1383" s="48" cm="1">
        <f t="array" ref="M1383">IFERROR(MAX(IF($B$4:$B$579="winter",IF($C$4:$C$579=$B1383,O$4:O$579)))/N$1264,0)</f>
        <v>1.8271410757516972E-4</v>
      </c>
      <c r="N1383" s="48" cm="1">
        <f t="array" ref="N1383">IFERROR(MAX(IF($B$4:$B$579="winter",IF($C$4:$C$579=$B1383,P$4:P$579)))/O$1264,0)</f>
        <v>1.8271410757516972E-4</v>
      </c>
      <c r="O1383" s="48" cm="1">
        <f t="array" ref="O1383">IFERROR(MAX(IF($B$4:$B$579="winter",IF($C$4:$C$579=$B1383,Q$4:Q$579)))/P$1264,0)</f>
        <v>1.8271410757516972E-4</v>
      </c>
      <c r="P1383" s="48" cm="1">
        <f t="array" ref="P1383">IFERROR(MAX(IF($B$4:$B$579="winter",IF($C$4:$C$579=$B1383,R$4:R$579)))/Q$1264,0)</f>
        <v>2.1236092563015735E-4</v>
      </c>
      <c r="Q1383" s="48" cm="1">
        <f t="array" ref="Q1383">IFERROR(MAX(IF($B$4:$B$579="winter",IF($C$4:$C$579=$B1383,S$4:S$579)))/R$1264,0)</f>
        <v>2.1236092563015735E-4</v>
      </c>
      <c r="R1383" s="48" cm="1">
        <f t="array" ref="R1383">IFERROR(MAX(IF($B$4:$B$579="winter",IF($C$4:$C$579=$B1383,T$4:T$579)))/S$1264,0)</f>
        <v>2.1236092563015735E-4</v>
      </c>
      <c r="S1383" s="48" cm="1">
        <f t="array" ref="S1383">IFERROR(MAX(IF($B$4:$B$579="winter",IF($C$4:$C$579=$B1383,U$4:U$579)))/T$1264,0)</f>
        <v>2.1236092563015735E-4</v>
      </c>
      <c r="T1383" s="48" cm="1">
        <f t="array" ref="T1383">IFERROR(MAX(IF($B$4:$B$579="winter",IF($C$4:$C$579=$B1383,V$4:V$579)))/U$1264,0)</f>
        <v>2.1236092563015735E-4</v>
      </c>
      <c r="U1383" s="48" cm="1">
        <f t="array" ref="U1383">IFERROR(MAX(IF($B$4:$B$579="winter",IF($C$4:$C$579=$B1383,W$4:W$579)))/V$1264,0)</f>
        <v>2.1236092563015735E-4</v>
      </c>
      <c r="V1383" s="48" cm="1">
        <f t="array" ref="V1383">IFERROR(MAX(IF($B$4:$B$579="winter",IF($C$4:$C$579=$B1383,X$4:X$579)))/W$1264,0)</f>
        <v>1.3764168183387875E-4</v>
      </c>
      <c r="W1383" s="48" cm="1">
        <f t="array" ref="W1383">IFERROR(MAX(IF($B$4:$B$579="winter",IF($C$4:$C$579=$B1383,Y$4:Y$579)))/X$1264,0)</f>
        <v>1.3764168183387875E-4</v>
      </c>
      <c r="X1383" s="48" cm="1">
        <f t="array" ref="X1383">IFERROR(MAX(IF($B$4:$B$579="winter",IF($C$4:$C$579=$B1383,Z$4:Z$579)))/Y$1264,0)</f>
        <v>1.3764168183387875E-4</v>
      </c>
      <c r="Y1383" s="27"/>
      <c r="Z1383" s="10"/>
    </row>
    <row r="1384" spans="1:26" outlineLevel="1" x14ac:dyDescent="0.3">
      <c r="A1384" t="s">
        <v>166</v>
      </c>
      <c r="B1384" t="s">
        <v>82</v>
      </c>
      <c r="C1384" s="6" t="s">
        <v>157</v>
      </c>
      <c r="D1384" s="48" cm="1">
        <f t="array" ref="D1384">IFERROR(MAX(IF($B$4:$B$579="winter",IF($C$4:$C$579=$B1384,F$4:F$579)))/E$1264,0)</f>
        <v>3.9015245209131946E-4</v>
      </c>
      <c r="E1384" s="48" cm="1">
        <f t="array" ref="E1384">IFERROR(MAX(IF($B$4:$B$579="winter",IF($C$4:$C$579=$B1384,G$4:G$579)))/F$1264,0)</f>
        <v>3.2257629990099809E-7</v>
      </c>
      <c r="F1384" s="48" cm="1">
        <f t="array" ref="F1384">IFERROR(MAX(IF($B$4:$B$579="winter",IF($C$4:$C$579=$B1384,H$4:H$579)))/G$1264,0)</f>
        <v>0</v>
      </c>
      <c r="G1384" s="48" cm="1">
        <f t="array" ref="G1384">IFERROR(MAX(IF($B$4:$B$579="winter",IF($C$4:$C$579=$B1384,I$4:I$579)))/H$1264,0)</f>
        <v>3.8761762755524511E-4</v>
      </c>
      <c r="H1384" s="48" cm="1">
        <f t="array" ref="H1384">IFERROR(MAX(IF($B$4:$B$579="winter",IF($C$4:$C$579=$B1384,J$4:J$579)))/I$1264,0)</f>
        <v>1.9114881854651061E-4</v>
      </c>
      <c r="I1384" s="48" cm="1">
        <f t="array" ref="I1384">IFERROR(MAX(IF($B$4:$B$579="winter",IF($C$4:$C$579=$B1384,K$4:K$579)))/J$1264,0)</f>
        <v>1.9114881854651061E-4</v>
      </c>
      <c r="J1384" s="48" cm="1">
        <f t="array" ref="J1384">IFERROR(MAX(IF($B$4:$B$579="winter",IF($C$4:$C$579=$B1384,L$4:L$579)))/K$1264,0)</f>
        <v>4.0361979535635952E-4</v>
      </c>
      <c r="K1384" s="48" cm="1">
        <f t="array" ref="K1384">IFERROR(MAX(IF($B$4:$B$579="winter",IF($C$4:$C$579=$B1384,M$4:M$579)))/L$1264,0)</f>
        <v>3.3242725153364892E-7</v>
      </c>
      <c r="L1384" s="48" cm="1">
        <f t="array" ref="L1384">IFERROR(MAX(IF($B$4:$B$579="winter",IF($C$4:$C$579=$B1384,N$4:N$579)))/M$1264,0)</f>
        <v>0</v>
      </c>
      <c r="M1384" s="48" cm="1">
        <f t="array" ref="M1384">IFERROR(MAX(IF($B$4:$B$579="winter",IF($C$4:$C$579=$B1384,O$4:O$579)))/N$1264,0)</f>
        <v>1.5313252310673173E-4</v>
      </c>
      <c r="N1384" s="48" cm="1">
        <f t="array" ref="N1384">IFERROR(MAX(IF($B$4:$B$579="winter",IF($C$4:$C$579=$B1384,P$4:P$579)))/O$1264,0)</f>
        <v>1.5313252310673173E-4</v>
      </c>
      <c r="O1384" s="48" cm="1">
        <f t="array" ref="O1384">IFERROR(MAX(IF($B$4:$B$579="winter",IF($C$4:$C$579=$B1384,Q$4:Q$579)))/P$1264,0)</f>
        <v>1.5313252310673173E-4</v>
      </c>
      <c r="P1384" s="48" cm="1">
        <f t="array" ref="P1384">IFERROR(MAX(IF($B$4:$B$579="winter",IF($C$4:$C$579=$B1384,R$4:R$579)))/Q$1264,0)</f>
        <v>1.7374984824285601E-4</v>
      </c>
      <c r="Q1384" s="48" cm="1">
        <f t="array" ref="Q1384">IFERROR(MAX(IF($B$4:$B$579="winter",IF($C$4:$C$579=$B1384,S$4:S$579)))/R$1264,0)</f>
        <v>1.7374984824285601E-4</v>
      </c>
      <c r="R1384" s="48" cm="1">
        <f t="array" ref="R1384">IFERROR(MAX(IF($B$4:$B$579="winter",IF($C$4:$C$579=$B1384,T$4:T$579)))/S$1264,0)</f>
        <v>1.7374984824285601E-4</v>
      </c>
      <c r="S1384" s="48" cm="1">
        <f t="array" ref="S1384">IFERROR(MAX(IF($B$4:$B$579="winter",IF($C$4:$C$579=$B1384,U$4:U$579)))/T$1264,0)</f>
        <v>1.7374984824285601E-4</v>
      </c>
      <c r="T1384" s="48" cm="1">
        <f t="array" ref="T1384">IFERROR(MAX(IF($B$4:$B$579="winter",IF($C$4:$C$579=$B1384,V$4:V$579)))/U$1264,0)</f>
        <v>1.7374984824285601E-4</v>
      </c>
      <c r="U1384" s="48" cm="1">
        <f t="array" ref="U1384">IFERROR(MAX(IF($B$4:$B$579="winter",IF($C$4:$C$579=$B1384,W$4:W$579)))/V$1264,0)</f>
        <v>1.7374984824285601E-4</v>
      </c>
      <c r="V1384" s="48" cm="1">
        <f t="array" ref="V1384">IFERROR(MAX(IF($B$4:$B$579="winter",IF($C$4:$C$579=$B1384,X$4:X$579)))/W$1264,0)</f>
        <v>1.3684143949763527E-4</v>
      </c>
      <c r="W1384" s="48" cm="1">
        <f t="array" ref="W1384">IFERROR(MAX(IF($B$4:$B$579="winter",IF($C$4:$C$579=$B1384,Y$4:Y$579)))/X$1264,0)</f>
        <v>1.3684143949763527E-4</v>
      </c>
      <c r="X1384" s="48" cm="1">
        <f t="array" ref="X1384">IFERROR(MAX(IF($B$4:$B$579="winter",IF($C$4:$C$579=$B1384,Z$4:Z$579)))/Y$1264,0)</f>
        <v>1.3684143949763527E-4</v>
      </c>
      <c r="Y1384" s="27"/>
      <c r="Z1384" s="10"/>
    </row>
    <row r="1385" spans="1:26" outlineLevel="1" x14ac:dyDescent="0.3">
      <c r="A1385" t="s">
        <v>166</v>
      </c>
      <c r="B1385" t="s">
        <v>83</v>
      </c>
      <c r="C1385" s="6" t="s">
        <v>158</v>
      </c>
      <c r="D1385" s="48" cm="1">
        <f t="array" ref="D1385">IFERROR(MAX(IF($B$4:$B$579="winter",IF($C$4:$C$579=$B1385,F$4:F$579)))/E$1264,0)</f>
        <v>4.0833752401083011E-4</v>
      </c>
      <c r="E1385" s="48" cm="1">
        <f t="array" ref="E1385">IFERROR(MAX(IF($B$4:$B$579="winter",IF($C$4:$C$579=$B1385,G$4:G$579)))/F$1264,0)</f>
        <v>3.4915223622720477E-7</v>
      </c>
      <c r="F1385" s="48" cm="1">
        <f t="array" ref="F1385">IFERROR(MAX(IF($B$4:$B$579="winter",IF($C$4:$C$579=$B1385,H$4:H$579)))/G$1264,0)</f>
        <v>0</v>
      </c>
      <c r="G1385" s="48" cm="1">
        <f t="array" ref="G1385">IFERROR(MAX(IF($B$4:$B$579="winter",IF($C$4:$C$579=$B1385,I$4:I$579)))/H$1264,0)</f>
        <v>3.9364589547989898E-4</v>
      </c>
      <c r="H1385" s="48" cm="1">
        <f t="array" ref="H1385">IFERROR(MAX(IF($B$4:$B$579="winter",IF($C$4:$C$579=$B1385,J$4:J$579)))/I$1264,0)</f>
        <v>1.8731707212504733E-4</v>
      </c>
      <c r="I1385" s="48" cm="1">
        <f t="array" ref="I1385">IFERROR(MAX(IF($B$4:$B$579="winter",IF($C$4:$C$579=$B1385,K$4:K$579)))/J$1264,0)</f>
        <v>1.8731707212504733E-4</v>
      </c>
      <c r="J1385" s="48" cm="1">
        <f t="array" ref="J1385">IFERROR(MAX(IF($B$4:$B$579="winter",IF($C$4:$C$579=$B1385,L$4:L$579)))/K$1264,0)</f>
        <v>4.2954033267282295E-4</v>
      </c>
      <c r="K1385" s="48" cm="1">
        <f t="array" ref="K1385">IFERROR(MAX(IF($B$4:$B$579="winter",IF($C$4:$C$579=$B1385,M$4:M$579)))/L$1264,0)</f>
        <v>3.1360446658819996E-7</v>
      </c>
      <c r="L1385" s="48" cm="1">
        <f t="array" ref="L1385">IFERROR(MAX(IF($B$4:$B$579="winter",IF($C$4:$C$579=$B1385,N$4:N$579)))/M$1264,0)</f>
        <v>0</v>
      </c>
      <c r="M1385" s="48" cm="1">
        <f t="array" ref="M1385">IFERROR(MAX(IF($B$4:$B$579="winter",IF($C$4:$C$579=$B1385,O$4:O$579)))/N$1264,0)</f>
        <v>1.271637831567958E-4</v>
      </c>
      <c r="N1385" s="48" cm="1">
        <f t="array" ref="N1385">IFERROR(MAX(IF($B$4:$B$579="winter",IF($C$4:$C$579=$B1385,P$4:P$579)))/O$1264,0)</f>
        <v>1.271637831567958E-4</v>
      </c>
      <c r="O1385" s="48" cm="1">
        <f t="array" ref="O1385">IFERROR(MAX(IF($B$4:$B$579="winter",IF($C$4:$C$579=$B1385,Q$4:Q$579)))/P$1264,0)</f>
        <v>1.271637831567958E-4</v>
      </c>
      <c r="P1385" s="48" cm="1">
        <f t="array" ref="P1385">IFERROR(MAX(IF($B$4:$B$579="winter",IF($C$4:$C$579=$B1385,R$4:R$579)))/Q$1264,0)</f>
        <v>1.5959245320084552E-4</v>
      </c>
      <c r="Q1385" s="48" cm="1">
        <f t="array" ref="Q1385">IFERROR(MAX(IF($B$4:$B$579="winter",IF($C$4:$C$579=$B1385,S$4:S$579)))/R$1264,0)</f>
        <v>1.5959245320084552E-4</v>
      </c>
      <c r="R1385" s="48" cm="1">
        <f t="array" ref="R1385">IFERROR(MAX(IF($B$4:$B$579="winter",IF($C$4:$C$579=$B1385,T$4:T$579)))/S$1264,0)</f>
        <v>1.5959245320084552E-4</v>
      </c>
      <c r="S1385" s="48" cm="1">
        <f t="array" ref="S1385">IFERROR(MAX(IF($B$4:$B$579="winter",IF($C$4:$C$579=$B1385,U$4:U$579)))/T$1264,0)</f>
        <v>1.5959245320084552E-4</v>
      </c>
      <c r="T1385" s="48" cm="1">
        <f t="array" ref="T1385">IFERROR(MAX(IF($B$4:$B$579="winter",IF($C$4:$C$579=$B1385,V$4:V$579)))/U$1264,0)</f>
        <v>1.5959245320084552E-4</v>
      </c>
      <c r="U1385" s="48" cm="1">
        <f t="array" ref="U1385">IFERROR(MAX(IF($B$4:$B$579="winter",IF($C$4:$C$579=$B1385,W$4:W$579)))/V$1264,0)</f>
        <v>1.5959245320084552E-4</v>
      </c>
      <c r="V1385" s="48" cm="1">
        <f t="array" ref="V1385">IFERROR(MAX(IF($B$4:$B$579="winter",IF($C$4:$C$579=$B1385,X$4:X$579)))/W$1264,0)</f>
        <v>1.3584113657733092E-4</v>
      </c>
      <c r="W1385" s="48" cm="1">
        <f t="array" ref="W1385">IFERROR(MAX(IF($B$4:$B$579="winter",IF($C$4:$C$579=$B1385,Y$4:Y$579)))/X$1264,0)</f>
        <v>1.3584113657733092E-4</v>
      </c>
      <c r="X1385" s="48" cm="1">
        <f t="array" ref="X1385">IFERROR(MAX(IF($B$4:$B$579="winter",IF($C$4:$C$579=$B1385,Z$4:Z$579)))/Y$1264,0)</f>
        <v>1.3584113657733092E-4</v>
      </c>
      <c r="Y1385" s="27"/>
      <c r="Z1385" s="10"/>
    </row>
    <row r="1386" spans="1:26" outlineLevel="1" x14ac:dyDescent="0.3">
      <c r="A1386" t="s">
        <v>166</v>
      </c>
      <c r="B1386" t="s">
        <v>84</v>
      </c>
      <c r="C1386" s="6" t="s">
        <v>159</v>
      </c>
      <c r="D1386" s="48" cm="1">
        <f t="array" ref="D1386">IFERROR(MAX(IF($B$4:$B$579="winter",IF($C$4:$C$579=$B1386,F$4:F$579)))/E$1264,0)</f>
        <v>3.8849926373500031E-4</v>
      </c>
      <c r="E1386" s="48" cm="1">
        <f t="array" ref="E1386">IFERROR(MAX(IF($B$4:$B$579="winter",IF($C$4:$C$579=$B1386,G$4:G$579)))/F$1264,0)</f>
        <v>3.7130307225632453E-7</v>
      </c>
      <c r="F1386" s="48" cm="1">
        <f t="array" ref="F1386">IFERROR(MAX(IF($B$4:$B$579="winter",IF($C$4:$C$579=$B1386,H$4:H$579)))/G$1264,0)</f>
        <v>0</v>
      </c>
      <c r="G1386" s="48" cm="1">
        <f t="array" ref="G1386">IFERROR(MAX(IF($B$4:$B$579="winter",IF($C$4:$C$579=$B1386,I$4:I$579)))/H$1264,0)</f>
        <v>3.2251233396898312E-4</v>
      </c>
      <c r="H1386" s="48" cm="1">
        <f t="array" ref="H1386">IFERROR(MAX(IF($B$4:$B$579="winter",IF($C$4:$C$579=$B1386,J$4:J$579)))/I$1264,0)</f>
        <v>1.8472120384536934E-4</v>
      </c>
      <c r="I1386" s="48" cm="1">
        <f t="array" ref="I1386">IFERROR(MAX(IF($B$4:$B$579="winter",IF($C$4:$C$579=$B1386,K$4:K$579)))/J$1264,0)</f>
        <v>1.8472120384536934E-4</v>
      </c>
      <c r="J1386" s="48" cm="1">
        <f t="array" ref="J1386">IFERROR(MAX(IF($B$4:$B$579="winter",IF($C$4:$C$579=$B1386,L$4:L$579)))/K$1264,0)</f>
        <v>4.6410104909477422E-4</v>
      </c>
      <c r="K1386" s="48" cm="1">
        <f t="array" ref="K1386">IFERROR(MAX(IF($B$4:$B$579="winter",IF($C$4:$C$579=$B1386,M$4:M$579)))/L$1264,0)</f>
        <v>2.9440322333936675E-7</v>
      </c>
      <c r="L1386" s="48" cm="1">
        <f t="array" ref="L1386">IFERROR(MAX(IF($B$4:$B$579="winter",IF($C$4:$C$579=$B1386,N$4:N$579)))/M$1264,0)</f>
        <v>0</v>
      </c>
      <c r="M1386" s="48" cm="1">
        <f t="array" ref="M1386">IFERROR(MAX(IF($B$4:$B$579="winter",IF($C$4:$C$579=$B1386,O$4:O$579)))/N$1264,0)</f>
        <v>1.0315399406648113E-4</v>
      </c>
      <c r="N1386" s="48" cm="1">
        <f t="array" ref="N1386">IFERROR(MAX(IF($B$4:$B$579="winter",IF($C$4:$C$579=$B1386,P$4:P$579)))/O$1264,0)</f>
        <v>1.0315399406648113E-4</v>
      </c>
      <c r="O1386" s="48" cm="1">
        <f t="array" ref="O1386">IFERROR(MAX(IF($B$4:$B$579="winter",IF($C$4:$C$579=$B1386,Q$4:Q$579)))/P$1264,0)</f>
        <v>1.0315399406648113E-4</v>
      </c>
      <c r="P1386" s="48" cm="1">
        <f t="array" ref="P1386">IFERROR(MAX(IF($B$4:$B$579="winter",IF($C$4:$C$579=$B1386,R$4:R$579)))/Q$1264,0)</f>
        <v>1.5058320181047521E-4</v>
      </c>
      <c r="Q1386" s="48" cm="1">
        <f t="array" ref="Q1386">IFERROR(MAX(IF($B$4:$B$579="winter",IF($C$4:$C$579=$B1386,S$4:S$579)))/R$1264,0)</f>
        <v>1.5058320181047521E-4</v>
      </c>
      <c r="R1386" s="48" cm="1">
        <f t="array" ref="R1386">IFERROR(MAX(IF($B$4:$B$579="winter",IF($C$4:$C$579=$B1386,T$4:T$579)))/S$1264,0)</f>
        <v>1.5058320181047521E-4</v>
      </c>
      <c r="S1386" s="48" cm="1">
        <f t="array" ref="S1386">IFERROR(MAX(IF($B$4:$B$579="winter",IF($C$4:$C$579=$B1386,U$4:U$579)))/T$1264,0)</f>
        <v>1.5058320181047521E-4</v>
      </c>
      <c r="T1386" s="48" cm="1">
        <f t="array" ref="T1386">IFERROR(MAX(IF($B$4:$B$579="winter",IF($C$4:$C$579=$B1386,V$4:V$579)))/U$1264,0)</f>
        <v>1.5058320181047521E-4</v>
      </c>
      <c r="U1386" s="48" cm="1">
        <f t="array" ref="U1386">IFERROR(MAX(IF($B$4:$B$579="winter",IF($C$4:$C$579=$B1386,W$4:W$579)))/V$1264,0)</f>
        <v>1.5058320181047521E-4</v>
      </c>
      <c r="V1386" s="48" cm="1">
        <f t="array" ref="V1386">IFERROR(MAX(IF($B$4:$B$579="winter",IF($C$4:$C$579=$B1386,X$4:X$579)))/W$1264,0)</f>
        <v>1.3464077307296569E-4</v>
      </c>
      <c r="W1386" s="48" cm="1">
        <f t="array" ref="W1386">IFERROR(MAX(IF($B$4:$B$579="winter",IF($C$4:$C$579=$B1386,Y$4:Y$579)))/X$1264,0)</f>
        <v>1.3464077307296569E-4</v>
      </c>
      <c r="X1386" s="48" cm="1">
        <f t="array" ref="X1386">IFERROR(MAX(IF($B$4:$B$579="winter",IF($C$4:$C$579=$B1386,Z$4:Z$579)))/Y$1264,0)</f>
        <v>1.3464077307296569E-4</v>
      </c>
      <c r="Y1386" s="27"/>
      <c r="Z1386" s="10"/>
    </row>
    <row r="1387" spans="1:26" outlineLevel="1" x14ac:dyDescent="0.3">
      <c r="A1387" t="s">
        <v>166</v>
      </c>
      <c r="B1387" t="s">
        <v>85</v>
      </c>
      <c r="C1387" s="6" t="s">
        <v>160</v>
      </c>
      <c r="D1387" s="48" cm="1">
        <f t="array" ref="D1387">IFERROR(MAX(IF($B$4:$B$579="winter",IF($C$4:$C$579=$B1387,F$4:F$579)))/E$1264,0)</f>
        <v>3.4055680140174493E-4</v>
      </c>
      <c r="E1387" s="48" cm="1">
        <f t="array" ref="E1387">IFERROR(MAX(IF($B$4:$B$579="winter",IF($C$4:$C$579=$B1387,G$4:G$579)))/F$1264,0)</f>
        <v>3.8706960327667021E-7</v>
      </c>
      <c r="F1387" s="48" cm="1">
        <f t="array" ref="F1387">IFERROR(MAX(IF($B$4:$B$579="winter",IF($C$4:$C$579=$B1387,H$4:H$579)))/G$1264,0)</f>
        <v>0</v>
      </c>
      <c r="G1387" s="48" cm="1">
        <f t="array" ref="G1387">IFERROR(MAX(IF($B$4:$B$579="winter",IF($C$4:$C$579=$B1387,I$4:I$579)))/H$1264,0)</f>
        <v>1.9169892000399369E-4</v>
      </c>
      <c r="H1387" s="48" cm="1">
        <f t="array" ref="H1387">IFERROR(MAX(IF($B$4:$B$579="winter",IF($C$4:$C$579=$B1387,J$4:J$579)))/I$1264,0)</f>
        <v>1.4567258616022445E-4</v>
      </c>
      <c r="I1387" s="48" cm="1">
        <f t="array" ref="I1387">IFERROR(MAX(IF($B$4:$B$579="winter",IF($C$4:$C$579=$B1387,K$4:K$579)))/J$1264,0)</f>
        <v>1.4567258616022445E-4</v>
      </c>
      <c r="J1387" s="48" cm="1">
        <f t="array" ref="J1387">IFERROR(MAX(IF($B$4:$B$579="winter",IF($C$4:$C$579=$B1387,L$4:L$579)))/K$1264,0)</f>
        <v>4.6471820474516622E-4</v>
      </c>
      <c r="K1387" s="48" cm="1">
        <f t="array" ref="K1387">IFERROR(MAX(IF($B$4:$B$579="winter",IF($C$4:$C$579=$B1387,M$4:M$579)))/L$1264,0)</f>
        <v>2.7131556971048863E-7</v>
      </c>
      <c r="L1387" s="48" cm="1">
        <f t="array" ref="L1387">IFERROR(MAX(IF($B$4:$B$579="winter",IF($C$4:$C$579=$B1387,N$4:N$579)))/M$1264,0)</f>
        <v>0</v>
      </c>
      <c r="M1387" s="48" cm="1">
        <f t="array" ref="M1387">IFERROR(MAX(IF($B$4:$B$579="winter",IF($C$4:$C$579=$B1387,O$4:O$579)))/N$1264,0)</f>
        <v>8.6724761112170324E-5</v>
      </c>
      <c r="N1387" s="48" cm="1">
        <f t="array" ref="N1387">IFERROR(MAX(IF($B$4:$B$579="winter",IF($C$4:$C$579=$B1387,P$4:P$579)))/O$1264,0)</f>
        <v>8.6724761112170324E-5</v>
      </c>
      <c r="O1387" s="48" cm="1">
        <f t="array" ref="O1387">IFERROR(MAX(IF($B$4:$B$579="winter",IF($C$4:$C$579=$B1387,Q$4:Q$579)))/P$1264,0)</f>
        <v>8.6724761112170324E-5</v>
      </c>
      <c r="P1387" s="48" cm="1">
        <f t="array" ref="P1387">IFERROR(MAX(IF($B$4:$B$579="winter",IF($C$4:$C$579=$B1387,R$4:R$579)))/Q$1264,0)</f>
        <v>1.4286098633301493E-4</v>
      </c>
      <c r="Q1387" s="48" cm="1">
        <f t="array" ref="Q1387">IFERROR(MAX(IF($B$4:$B$579="winter",IF($C$4:$C$579=$B1387,S$4:S$579)))/R$1264,0)</f>
        <v>1.4286098633301493E-4</v>
      </c>
      <c r="R1387" s="48" cm="1">
        <f t="array" ref="R1387">IFERROR(MAX(IF($B$4:$B$579="winter",IF($C$4:$C$579=$B1387,T$4:T$579)))/S$1264,0)</f>
        <v>1.4286098633301493E-4</v>
      </c>
      <c r="S1387" s="48" cm="1">
        <f t="array" ref="S1387">IFERROR(MAX(IF($B$4:$B$579="winter",IF($C$4:$C$579=$B1387,U$4:U$579)))/T$1264,0)</f>
        <v>1.4286098633301493E-4</v>
      </c>
      <c r="T1387" s="48" cm="1">
        <f t="array" ref="T1387">IFERROR(MAX(IF($B$4:$B$579="winter",IF($C$4:$C$579=$B1387,V$4:V$579)))/U$1264,0)</f>
        <v>1.4286098633301493E-4</v>
      </c>
      <c r="U1387" s="48" cm="1">
        <f t="array" ref="U1387">IFERROR(MAX(IF($B$4:$B$579="winter",IF($C$4:$C$579=$B1387,W$4:W$579)))/V$1264,0)</f>
        <v>1.4286098633301493E-4</v>
      </c>
      <c r="V1387" s="48" cm="1">
        <f t="array" ref="V1387">IFERROR(MAX(IF($B$4:$B$579="winter",IF($C$4:$C$579=$B1387,X$4:X$579)))/W$1264,0)</f>
        <v>1.3344040956860047E-4</v>
      </c>
      <c r="W1387" s="48" cm="1">
        <f t="array" ref="W1387">IFERROR(MAX(IF($B$4:$B$579="winter",IF($C$4:$C$579=$B1387,Y$4:Y$579)))/X$1264,0)</f>
        <v>1.3344040956860047E-4</v>
      </c>
      <c r="X1387" s="48" cm="1">
        <f t="array" ref="X1387">IFERROR(MAX(IF($B$4:$B$579="winter",IF($C$4:$C$579=$B1387,Z$4:Z$579)))/Y$1264,0)</f>
        <v>1.3344040956860047E-4</v>
      </c>
      <c r="Y1387" s="27"/>
      <c r="Z1387" s="10"/>
    </row>
    <row r="1388" spans="1:26" outlineLevel="1" x14ac:dyDescent="0.3">
      <c r="A1388" t="s">
        <v>166</v>
      </c>
      <c r="B1388" t="s">
        <v>86</v>
      </c>
      <c r="C1388" s="6" t="s">
        <v>161</v>
      </c>
      <c r="D1388" s="48" cm="1">
        <f t="array" ref="D1388">IFERROR(MAX(IF($B$4:$B$579="winter",IF($C$4:$C$579=$B1388,F$4:F$579)))/E$1264,0)</f>
        <v>3.3394404797646831E-4</v>
      </c>
      <c r="E1388" s="48" cm="1">
        <f t="array" ref="E1388">IFERROR(MAX(IF($B$4:$B$579="winter",IF($C$4:$C$579=$B1388,G$4:G$579)))/F$1264,0)</f>
        <v>3.9771011162462709E-7</v>
      </c>
      <c r="F1388" s="48" cm="1">
        <f t="array" ref="F1388">IFERROR(MAX(IF($B$4:$B$579="winter",IF($C$4:$C$579=$B1388,H$4:H$579)))/G$1264,0)</f>
        <v>0</v>
      </c>
      <c r="G1388" s="48" cm="1">
        <f t="array" ref="G1388">IFERROR(MAX(IF($B$4:$B$579="winter",IF($C$4:$C$579=$B1388,I$4:I$579)))/H$1264,0)</f>
        <v>1.0067207434171996E-4</v>
      </c>
      <c r="H1388" s="48" cm="1">
        <f t="array" ref="H1388">IFERROR(MAX(IF($B$4:$B$579="winter",IF($C$4:$C$579=$B1388,J$4:J$579)))/I$1264,0)</f>
        <v>1.1526835127172962E-4</v>
      </c>
      <c r="I1388" s="48" cm="1">
        <f t="array" ref="I1388">IFERROR(MAX(IF($B$4:$B$579="winter",IF($C$4:$C$579=$B1388,K$4:K$579)))/J$1264,0)</f>
        <v>1.1526835127172962E-4</v>
      </c>
      <c r="J1388" s="48" cm="1">
        <f t="array" ref="J1388">IFERROR(MAX(IF($B$4:$B$579="winter",IF($C$4:$C$579=$B1388,L$4:L$579)))/K$1264,0)</f>
        <v>2.135358550356275E-4</v>
      </c>
      <c r="K1388" s="48" cm="1">
        <f t="array" ref="K1388">IFERROR(MAX(IF($B$4:$B$579="winter",IF($C$4:$C$579=$B1388,M$4:M$579)))/L$1264,0)</f>
        <v>2.3977624634684039E-7</v>
      </c>
      <c r="L1388" s="48" cm="1">
        <f t="array" ref="L1388">IFERROR(MAX(IF($B$4:$B$579="winter",IF($C$4:$C$579=$B1388,N$4:N$579)))/M$1264,0)</f>
        <v>0</v>
      </c>
      <c r="M1388" s="48" cm="1">
        <f t="array" ref="M1388">IFERROR(MAX(IF($B$4:$B$579="winter",IF($C$4:$C$579=$B1388,O$4:O$579)))/N$1264,0)</f>
        <v>7.5540843198921342E-5</v>
      </c>
      <c r="N1388" s="48" cm="1">
        <f t="array" ref="N1388">IFERROR(MAX(IF($B$4:$B$579="winter",IF($C$4:$C$579=$B1388,P$4:P$579)))/O$1264,0)</f>
        <v>7.5540843198921342E-5</v>
      </c>
      <c r="O1388" s="48" cm="1">
        <f t="array" ref="O1388">IFERROR(MAX(IF($B$4:$B$579="winter",IF($C$4:$C$579=$B1388,Q$4:Q$579)))/P$1264,0)</f>
        <v>7.5540843198921342E-5</v>
      </c>
      <c r="P1388" s="48" cm="1">
        <f t="array" ref="P1388">IFERROR(MAX(IF($B$4:$B$579="winter",IF($C$4:$C$579=$B1388,R$4:R$579)))/Q$1264,0)</f>
        <v>9.5911627987820691E-5</v>
      </c>
      <c r="Q1388" s="48" cm="1">
        <f t="array" ref="Q1388">IFERROR(MAX(IF($B$4:$B$579="winter",IF($C$4:$C$579=$B1388,S$4:S$579)))/R$1264,0)</f>
        <v>9.5911627987820691E-5</v>
      </c>
      <c r="R1388" s="48" cm="1">
        <f t="array" ref="R1388">IFERROR(MAX(IF($B$4:$B$579="winter",IF($C$4:$C$579=$B1388,T$4:T$579)))/S$1264,0)</f>
        <v>9.5911627987820691E-5</v>
      </c>
      <c r="S1388" s="48" cm="1">
        <f t="array" ref="S1388">IFERROR(MAX(IF($B$4:$B$579="winter",IF($C$4:$C$579=$B1388,U$4:U$579)))/T$1264,0)</f>
        <v>9.5911627987820691E-5</v>
      </c>
      <c r="T1388" s="48" cm="1">
        <f t="array" ref="T1388">IFERROR(MAX(IF($B$4:$B$579="winter",IF($C$4:$C$579=$B1388,V$4:V$579)))/U$1264,0)</f>
        <v>9.5911627987820691E-5</v>
      </c>
      <c r="U1388" s="48" cm="1">
        <f t="array" ref="U1388">IFERROR(MAX(IF($B$4:$B$579="winter",IF($C$4:$C$579=$B1388,W$4:W$579)))/V$1264,0)</f>
        <v>9.5911627987820691E-5</v>
      </c>
      <c r="V1388" s="48" cm="1">
        <f t="array" ref="V1388">IFERROR(MAX(IF($B$4:$B$579="winter",IF($C$4:$C$579=$B1388,X$4:X$579)))/W$1264,0)</f>
        <v>1.3284022781641787E-4</v>
      </c>
      <c r="W1388" s="48" cm="1">
        <f t="array" ref="W1388">IFERROR(MAX(IF($B$4:$B$579="winter",IF($C$4:$C$579=$B1388,Y$4:Y$579)))/X$1264,0)</f>
        <v>1.3284022781641787E-4</v>
      </c>
      <c r="X1388" s="48" cm="1">
        <f t="array" ref="X1388">IFERROR(MAX(IF($B$4:$B$579="winter",IF($C$4:$C$579=$B1388,Z$4:Z$579)))/Y$1264,0)</f>
        <v>1.3284022781641787E-4</v>
      </c>
      <c r="Y1388" s="27"/>
      <c r="Z1388" s="10"/>
    </row>
    <row r="1389" spans="1:26" outlineLevel="1" x14ac:dyDescent="0.3">
      <c r="A1389" t="s">
        <v>167</v>
      </c>
      <c r="B1389" t="s">
        <v>63</v>
      </c>
      <c r="C1389" s="6" t="s">
        <v>138</v>
      </c>
      <c r="D1389" s="48" cm="1">
        <f t="array" ref="D1389">IFERROR(MAX(IF($B$4:$B$579="winter",IF($C$4:$C$579=$B1389,F$4:F$579)))/E$1264,0)</f>
        <v>3.4220998975806408E-4</v>
      </c>
      <c r="E1389" s="48" cm="1">
        <f t="array" ref="E1389">IFERROR(MAX(IF($B$4:$B$579="summer",IF($C$4:$C$579=$B1389,G$4:G$579)))/F$1264,0)</f>
        <v>4.7713390607901968E-4</v>
      </c>
      <c r="F1389" s="48" cm="1">
        <f t="array" ref="F1389">IFERROR(MAX(IF($B$4:$B$579="summer",IF($C$4:$C$579=$B1389,H$4:H$579)))/G$1264,0)</f>
        <v>0</v>
      </c>
      <c r="G1389" s="48" cm="1">
        <f t="array" ref="G1389">IFERROR(MAX(IF($B$4:$B$579="summer",IF($C$4:$C$579=$B1389,I$4:I$579)))/H$1264,0)</f>
        <v>6.0885506039004283E-5</v>
      </c>
      <c r="H1389" s="48" cm="1">
        <f t="array" ref="H1389">IFERROR(MAX(IF($B$4:$B$579="summer",IF($C$4:$C$579=$B1389,J$4:J$579)))/I$1264,0)</f>
        <v>9.1996072439160632E-5</v>
      </c>
      <c r="I1389" s="48" cm="1">
        <f t="array" ref="I1389">IFERROR(MAX(IF($B$4:$B$579="summer",IF($C$4:$C$579=$B1389,K$4:K$579)))/J$1264,0)</f>
        <v>9.1996072439160632E-5</v>
      </c>
      <c r="J1389" s="48" cm="1">
        <f t="array" ref="J1389">IFERROR(MAX(IF($B$4:$B$579="summer",IF($C$4:$C$579=$B1389,L$4:L$579)))/K$1264,0)</f>
        <v>6.8225137692838261E-6</v>
      </c>
      <c r="K1389" s="48" cm="1">
        <f t="array" ref="K1389">IFERROR(MAX(IF($B$4:$B$579="summer",IF($C$4:$C$579=$B1389,M$4:M$579)))/L$1264,0)</f>
        <v>4.0221801749809724E-4</v>
      </c>
      <c r="L1389" s="48" cm="1">
        <f t="array" ref="L1389">IFERROR(MAX(IF($B$4:$B$579="summer",IF($C$4:$C$579=$B1389,N$4:N$579)))/M$1264,0)</f>
        <v>0</v>
      </c>
      <c r="M1389" s="48" cm="1">
        <f t="array" ref="M1389">IFERROR(MAX(IF($B$4:$B$579="summer",IF($C$4:$C$579=$B1389,O$4:O$579)))/N$1264,0)</f>
        <v>6.2196248906763932E-5</v>
      </c>
      <c r="N1389" s="48" cm="1">
        <f t="array" ref="N1389">IFERROR(MAX(IF($B$4:$B$579="summer",IF($C$4:$C$579=$B1389,P$4:P$579)))/O$1264,0)</f>
        <v>6.2196248906763932E-5</v>
      </c>
      <c r="O1389" s="48" cm="1">
        <f t="array" ref="O1389">IFERROR(MAX(IF($B$4:$B$579="summer",IF($C$4:$C$579=$B1389,Q$4:Q$579)))/P$1264,0)</f>
        <v>6.2196248906763932E-5</v>
      </c>
      <c r="P1389" s="48" cm="1">
        <f t="array" ref="P1389">IFERROR(MAX(IF($B$4:$B$579="summer",IF($C$4:$C$579=$B1389,R$4:R$579)))/Q$1264,0)</f>
        <v>5.6547994961522594E-5</v>
      </c>
      <c r="Q1389" s="48" cm="1">
        <f t="array" ref="Q1389">IFERROR(MAX(IF($B$4:$B$579="summer",IF($C$4:$C$579=$B1389,S$4:S$579)))/R$1264,0)</f>
        <v>5.6547994961522594E-5</v>
      </c>
      <c r="R1389" s="48" cm="1">
        <f t="array" ref="R1389">IFERROR(MAX(IF($B$4:$B$579="summer",IF($C$4:$C$579=$B1389,T$4:T$579)))/S$1264,0)</f>
        <v>5.6547994961522594E-5</v>
      </c>
      <c r="S1389" s="48" cm="1">
        <f t="array" ref="S1389">IFERROR(MAX(IF($B$4:$B$579="summer",IF($C$4:$C$579=$B1389,U$4:U$579)))/T$1264,0)</f>
        <v>5.6547994961522594E-5</v>
      </c>
      <c r="T1389" s="48" cm="1">
        <f t="array" ref="T1389">IFERROR(MAX(IF($B$4:$B$579="summer",IF($C$4:$C$579=$B1389,V$4:V$579)))/U$1264,0)</f>
        <v>5.6547994961522594E-5</v>
      </c>
      <c r="U1389" s="48" cm="1">
        <f t="array" ref="U1389">IFERROR(MAX(IF($B$4:$B$579="summer",IF($C$4:$C$579=$B1389,W$4:W$579)))/V$1264,0)</f>
        <v>5.6547994961522594E-5</v>
      </c>
      <c r="V1389" s="48" cm="1">
        <f t="array" ref="V1389">IFERROR(MAX(IF($B$4:$B$579="summer",IF($C$4:$C$579=$B1389,X$4:X$579)))/W$1264,0)</f>
        <v>1.318399248961135E-4</v>
      </c>
      <c r="W1389" s="48" cm="1">
        <f t="array" ref="W1389">IFERROR(MAX(IF($B$4:$B$579="summer",IF($C$4:$C$579=$B1389,Y$4:Y$579)))/X$1264,0)</f>
        <v>1.318399248961135E-4</v>
      </c>
      <c r="X1389" s="48" cm="1">
        <f t="array" ref="X1389">IFERROR(MAX(IF($B$4:$B$579="summer",IF($C$4:$C$579=$B1389,Z$4:Z$579)))/Y$1264,0)</f>
        <v>1.318399248961135E-4</v>
      </c>
      <c r="Y1389" s="27"/>
      <c r="Z1389" s="10"/>
    </row>
    <row r="1390" spans="1:26" outlineLevel="1" x14ac:dyDescent="0.3">
      <c r="A1390" t="s">
        <v>167</v>
      </c>
      <c r="B1390" t="s">
        <v>64</v>
      </c>
      <c r="C1390" s="6" t="s">
        <v>139</v>
      </c>
      <c r="D1390" s="48" cm="1">
        <f t="array" ref="D1390">IFERROR(MAX(IF($B$4:$B$579="winter",IF($C$4:$C$579=$B1390,F$4:F$579)))/E$1264,0)</f>
        <v>3.488227431833407E-4</v>
      </c>
      <c r="E1390" s="48" cm="1">
        <f t="array" ref="E1390">IFERROR(MAX(IF($B$4:$B$579="summer",IF($C$4:$C$579=$B1390,G$4:G$579)))/F$1264,0)</f>
        <v>4.2730930349731675E-4</v>
      </c>
      <c r="F1390" s="48" cm="1">
        <f t="array" ref="F1390">IFERROR(MAX(IF($B$4:$B$579="summer",IF($C$4:$C$579=$B1390,H$4:H$579)))/G$1264,0)</f>
        <v>0</v>
      </c>
      <c r="G1390" s="48" cm="1">
        <f t="array" ref="G1390">IFERROR(MAX(IF($B$4:$B$579="summer",IF($C$4:$C$579=$B1390,I$4:I$579)))/H$1264,0)</f>
        <v>5.6131270342350524E-5</v>
      </c>
      <c r="H1390" s="48" cm="1">
        <f t="array" ref="H1390">IFERROR(MAX(IF($B$4:$B$579="summer",IF($C$4:$C$579=$B1390,J$4:J$579)))/I$1264,0)</f>
        <v>6.6780393430425399E-5</v>
      </c>
      <c r="I1390" s="48" cm="1">
        <f t="array" ref="I1390">IFERROR(MAX(IF($B$4:$B$579="summer",IF($C$4:$C$579=$B1390,K$4:K$579)))/J$1264,0)</f>
        <v>6.6780393430425399E-5</v>
      </c>
      <c r="J1390" s="48" cm="1">
        <f t="array" ref="J1390">IFERROR(MAX(IF($B$4:$B$579="summer",IF($C$4:$C$579=$B1390,L$4:L$579)))/K$1264,0)</f>
        <v>6.8169778830998106E-6</v>
      </c>
      <c r="K1390" s="48" cm="1">
        <f t="array" ref="K1390">IFERROR(MAX(IF($B$4:$B$579="summer",IF($C$4:$C$579=$B1390,M$4:M$579)))/L$1264,0)</f>
        <v>3.7336693607418309E-4</v>
      </c>
      <c r="L1390" s="48" cm="1">
        <f t="array" ref="L1390">IFERROR(MAX(IF($B$4:$B$579="summer",IF($C$4:$C$579=$B1390,N$4:N$579)))/M$1264,0)</f>
        <v>0</v>
      </c>
      <c r="M1390" s="48" cm="1">
        <f t="array" ref="M1390">IFERROR(MAX(IF($B$4:$B$579="summer",IF($C$4:$C$579=$B1390,O$4:O$579)))/N$1264,0)</f>
        <v>6.0970807320918512E-5</v>
      </c>
      <c r="N1390" s="48" cm="1">
        <f t="array" ref="N1390">IFERROR(MAX(IF($B$4:$B$579="summer",IF($C$4:$C$579=$B1390,P$4:P$579)))/O$1264,0)</f>
        <v>6.0970807320918512E-5</v>
      </c>
      <c r="O1390" s="48" cm="1">
        <f t="array" ref="O1390">IFERROR(MAX(IF($B$4:$B$579="summer",IF($C$4:$C$579=$B1390,Q$4:Q$579)))/P$1264,0)</f>
        <v>6.0970807320918512E-5</v>
      </c>
      <c r="P1390" s="48" cm="1">
        <f t="array" ref="P1390">IFERROR(MAX(IF($B$4:$B$579="summer",IF($C$4:$C$579=$B1390,R$4:R$579)))/Q$1264,0)</f>
        <v>5.5675127205386996E-5</v>
      </c>
      <c r="Q1390" s="48" cm="1">
        <f t="array" ref="Q1390">IFERROR(MAX(IF($B$4:$B$579="summer",IF($C$4:$C$579=$B1390,S$4:S$579)))/R$1264,0)</f>
        <v>5.5675127205386996E-5</v>
      </c>
      <c r="R1390" s="48" cm="1">
        <f t="array" ref="R1390">IFERROR(MAX(IF($B$4:$B$579="summer",IF($C$4:$C$579=$B1390,T$4:T$579)))/S$1264,0)</f>
        <v>5.5675127205386996E-5</v>
      </c>
      <c r="S1390" s="48" cm="1">
        <f t="array" ref="S1390">IFERROR(MAX(IF($B$4:$B$579="summer",IF($C$4:$C$579=$B1390,U$4:U$579)))/T$1264,0)</f>
        <v>5.5675127205386996E-5</v>
      </c>
      <c r="T1390" s="48" cm="1">
        <f t="array" ref="T1390">IFERROR(MAX(IF($B$4:$B$579="summer",IF($C$4:$C$579=$B1390,V$4:V$579)))/U$1264,0)</f>
        <v>5.5675127205386996E-5</v>
      </c>
      <c r="U1390" s="48" cm="1">
        <f t="array" ref="U1390">IFERROR(MAX(IF($B$4:$B$579="summer",IF($C$4:$C$579=$B1390,W$4:W$579)))/V$1264,0)</f>
        <v>5.5675127205386996E-5</v>
      </c>
      <c r="V1390" s="48" cm="1">
        <f t="array" ref="V1390">IFERROR(MAX(IF($B$4:$B$579="summer",IF($C$4:$C$579=$B1390,X$4:X$579)))/W$1264,0)</f>
        <v>1.3163986431205264E-4</v>
      </c>
      <c r="W1390" s="48" cm="1">
        <f t="array" ref="W1390">IFERROR(MAX(IF($B$4:$B$579="summer",IF($C$4:$C$579=$B1390,Y$4:Y$579)))/X$1264,0)</f>
        <v>1.3163986431205264E-4</v>
      </c>
      <c r="X1390" s="48" cm="1">
        <f t="array" ref="X1390">IFERROR(MAX(IF($B$4:$B$579="summer",IF($C$4:$C$579=$B1390,Z$4:Z$579)))/Y$1264,0)</f>
        <v>1.3163986431205264E-4</v>
      </c>
      <c r="Y1390" s="27"/>
      <c r="Z1390" s="10"/>
    </row>
    <row r="1391" spans="1:26" outlineLevel="1" x14ac:dyDescent="0.3">
      <c r="A1391" t="s">
        <v>167</v>
      </c>
      <c r="B1391" t="s">
        <v>65</v>
      </c>
      <c r="C1391" s="6" t="s">
        <v>140</v>
      </c>
      <c r="D1391" s="48" cm="1">
        <f t="array" ref="D1391">IFERROR(MAX(IF($B$4:$B$579="winter",IF($C$4:$C$579=$B1391,F$4:F$579)))/E$1264,0)</f>
        <v>3.5047593153965986E-4</v>
      </c>
      <c r="E1391" s="48" cm="1">
        <f t="array" ref="E1391">IFERROR(MAX(IF($B$4:$B$579="summer",IF($C$4:$C$579=$B1391,G$4:G$579)))/F$1264,0)</f>
        <v>4.1041960770690897E-4</v>
      </c>
      <c r="F1391" s="48" cm="1">
        <f t="array" ref="F1391">IFERROR(MAX(IF($B$4:$B$579="summer",IF($C$4:$C$579=$B1391,H$4:H$579)))/G$1264,0)</f>
        <v>0</v>
      </c>
      <c r="G1391" s="48" cm="1">
        <f t="array" ref="G1391">IFERROR(MAX(IF($B$4:$B$579="summer",IF($C$4:$C$579=$B1391,I$4:I$579)))/H$1264,0)</f>
        <v>5.5580461473806969E-5</v>
      </c>
      <c r="H1391" s="48" cm="1">
        <f t="array" ref="H1391">IFERROR(MAX(IF($B$4:$B$579="summer",IF($C$4:$C$579=$B1391,J$4:J$579)))/I$1264,0)</f>
        <v>5.3674453817067246E-5</v>
      </c>
      <c r="I1391" s="48" cm="1">
        <f t="array" ref="I1391">IFERROR(MAX(IF($B$4:$B$579="summer",IF($C$4:$C$579=$B1391,K$4:K$579)))/J$1264,0)</f>
        <v>5.3674453817067246E-5</v>
      </c>
      <c r="J1391" s="48" cm="1">
        <f t="array" ref="J1391">IFERROR(MAX(IF($B$4:$B$579="summer",IF($C$4:$C$579=$B1391,L$4:L$579)))/K$1264,0)</f>
        <v>7.009061407727812E-6</v>
      </c>
      <c r="K1391" s="48" cm="1">
        <f t="array" ref="K1391">IFERROR(MAX(IF($B$4:$B$579="summer",IF($C$4:$C$579=$B1391,M$4:M$579)))/L$1264,0)</f>
        <v>3.6148707901727722E-4</v>
      </c>
      <c r="L1391" s="48" cm="1">
        <f t="array" ref="L1391">IFERROR(MAX(IF($B$4:$B$579="summer",IF($C$4:$C$579=$B1391,N$4:N$579)))/M$1264,0)</f>
        <v>0</v>
      </c>
      <c r="M1391" s="48" cm="1">
        <f t="array" ref="M1391">IFERROR(MAX(IF($B$4:$B$579="summer",IF($C$4:$C$579=$B1391,O$4:O$579)))/N$1264,0)</f>
        <v>6.0586737246845433E-5</v>
      </c>
      <c r="N1391" s="48" cm="1">
        <f t="array" ref="N1391">IFERROR(MAX(IF($B$4:$B$579="summer",IF($C$4:$C$579=$B1391,P$4:P$579)))/O$1264,0)</f>
        <v>6.0586737246845433E-5</v>
      </c>
      <c r="O1391" s="48" cm="1">
        <f t="array" ref="O1391">IFERROR(MAX(IF($B$4:$B$579="summer",IF($C$4:$C$579=$B1391,Q$4:Q$579)))/P$1264,0)</f>
        <v>6.0586737246845433E-5</v>
      </c>
      <c r="P1391" s="48" cm="1">
        <f t="array" ref="P1391">IFERROR(MAX(IF($B$4:$B$579="summer",IF($C$4:$C$579=$B1391,R$4:R$579)))/Q$1264,0)</f>
        <v>5.5450951290076327E-5</v>
      </c>
      <c r="Q1391" s="48" cm="1">
        <f t="array" ref="Q1391">IFERROR(MAX(IF($B$4:$B$579="summer",IF($C$4:$C$579=$B1391,S$4:S$579)))/R$1264,0)</f>
        <v>5.5450951290076327E-5</v>
      </c>
      <c r="R1391" s="48" cm="1">
        <f t="array" ref="R1391">IFERROR(MAX(IF($B$4:$B$579="summer",IF($C$4:$C$579=$B1391,T$4:T$579)))/S$1264,0)</f>
        <v>5.5450951290076327E-5</v>
      </c>
      <c r="S1391" s="48" cm="1">
        <f t="array" ref="S1391">IFERROR(MAX(IF($B$4:$B$579="summer",IF($C$4:$C$579=$B1391,U$4:U$579)))/T$1264,0)</f>
        <v>5.5450951290076327E-5</v>
      </c>
      <c r="T1391" s="48" cm="1">
        <f t="array" ref="T1391">IFERROR(MAX(IF($B$4:$B$579="summer",IF($C$4:$C$579=$B1391,V$4:V$579)))/U$1264,0)</f>
        <v>5.5450951290076327E-5</v>
      </c>
      <c r="U1391" s="48" cm="1">
        <f t="array" ref="U1391">IFERROR(MAX(IF($B$4:$B$579="summer",IF($C$4:$C$579=$B1391,W$4:W$579)))/V$1264,0)</f>
        <v>5.5450951290076327E-5</v>
      </c>
      <c r="V1391" s="48" cm="1">
        <f t="array" ref="V1391">IFERROR(MAX(IF($B$4:$B$579="summer",IF($C$4:$C$579=$B1391,X$4:X$579)))/W$1264,0)</f>
        <v>1.3163986431205264E-4</v>
      </c>
      <c r="W1391" s="48" cm="1">
        <f t="array" ref="W1391">IFERROR(MAX(IF($B$4:$B$579="summer",IF($C$4:$C$579=$B1391,Y$4:Y$579)))/X$1264,0)</f>
        <v>1.3163986431205264E-4</v>
      </c>
      <c r="X1391" s="48" cm="1">
        <f t="array" ref="X1391">IFERROR(MAX(IF($B$4:$B$579="summer",IF($C$4:$C$579=$B1391,Z$4:Z$579)))/Y$1264,0)</f>
        <v>1.3163986431205264E-4</v>
      </c>
      <c r="Y1391" s="27"/>
      <c r="Z1391" s="10"/>
    </row>
    <row r="1392" spans="1:26" outlineLevel="1" x14ac:dyDescent="0.3">
      <c r="A1392" t="s">
        <v>167</v>
      </c>
      <c r="B1392" t="s">
        <v>66</v>
      </c>
      <c r="C1392" s="6" t="s">
        <v>141</v>
      </c>
      <c r="D1392" s="48" cm="1">
        <f t="array" ref="D1392">IFERROR(MAX(IF($B$4:$B$579="winter",IF($C$4:$C$579=$B1392,F$4:F$579)))/E$1264,0)</f>
        <v>3.488227431833407E-4</v>
      </c>
      <c r="E1392" s="48" cm="1">
        <f t="array" ref="E1392">IFERROR(MAX(IF($B$4:$B$579="summer",IF($C$4:$C$579=$B1392,G$4:G$579)))/F$1264,0)</f>
        <v>4.2899827307635752E-4</v>
      </c>
      <c r="F1392" s="48" cm="1">
        <f t="array" ref="F1392">IFERROR(MAX(IF($B$4:$B$579="summer",IF($C$4:$C$579=$B1392,H$4:H$579)))/G$1264,0)</f>
        <v>0</v>
      </c>
      <c r="G1392" s="48" cm="1">
        <f t="array" ref="G1392">IFERROR(MAX(IF($B$4:$B$579="summer",IF($C$4:$C$579=$B1392,I$4:I$579)))/H$1264,0)</f>
        <v>5.6819487549968631E-5</v>
      </c>
      <c r="H1392" s="48" cm="1">
        <f t="array" ref="H1392">IFERROR(MAX(IF($B$4:$B$579="summer",IF($C$4:$C$579=$B1392,J$4:J$579)))/I$1264,0)</f>
        <v>4.6624362572042667E-5</v>
      </c>
      <c r="I1392" s="48" cm="1">
        <f t="array" ref="I1392">IFERROR(MAX(IF($B$4:$B$579="summer",IF($C$4:$C$579=$B1392,K$4:K$579)))/J$1264,0)</f>
        <v>4.6624362572042667E-5</v>
      </c>
      <c r="J1392" s="48" cm="1">
        <f t="array" ref="J1392">IFERROR(MAX(IF($B$4:$B$579="summer",IF($C$4:$C$579=$B1392,L$4:L$579)))/K$1264,0)</f>
        <v>7.1843953280041761E-6</v>
      </c>
      <c r="K1392" s="48" cm="1">
        <f t="array" ref="K1392">IFERROR(MAX(IF($B$4:$B$579="summer",IF($C$4:$C$579=$B1392,M$4:M$579)))/L$1264,0)</f>
        <v>3.6318420145397808E-4</v>
      </c>
      <c r="L1392" s="48" cm="1">
        <f t="array" ref="L1392">IFERROR(MAX(IF($B$4:$B$579="summer",IF($C$4:$C$579=$B1392,N$4:N$579)))/M$1264,0)</f>
        <v>0</v>
      </c>
      <c r="M1392" s="48" cm="1">
        <f t="array" ref="M1392">IFERROR(MAX(IF($B$4:$B$579="summer",IF($C$4:$C$579=$B1392,O$4:O$579)))/N$1264,0)</f>
        <v>6.3425485555890752E-5</v>
      </c>
      <c r="N1392" s="48" cm="1">
        <f t="array" ref="N1392">IFERROR(MAX(IF($B$4:$B$579="summer",IF($C$4:$C$579=$B1392,P$4:P$579)))/O$1264,0)</f>
        <v>6.3425485555890752E-5</v>
      </c>
      <c r="O1392" s="48" cm="1">
        <f t="array" ref="O1392">IFERROR(MAX(IF($B$4:$B$579="summer",IF($C$4:$C$579=$B1392,Q$4:Q$579)))/P$1264,0)</f>
        <v>6.3425485555890752E-5</v>
      </c>
      <c r="P1392" s="48" cm="1">
        <f t="array" ref="P1392">IFERROR(MAX(IF($B$4:$B$579="summer",IF($C$4:$C$579=$B1392,R$4:R$579)))/Q$1264,0)</f>
        <v>5.5657340369070581E-5</v>
      </c>
      <c r="Q1392" s="48" cm="1">
        <f t="array" ref="Q1392">IFERROR(MAX(IF($B$4:$B$579="summer",IF($C$4:$C$579=$B1392,S$4:S$579)))/R$1264,0)</f>
        <v>5.5657340369070581E-5</v>
      </c>
      <c r="R1392" s="48" cm="1">
        <f t="array" ref="R1392">IFERROR(MAX(IF($B$4:$B$579="summer",IF($C$4:$C$579=$B1392,T$4:T$579)))/S$1264,0)</f>
        <v>5.5657340369070581E-5</v>
      </c>
      <c r="S1392" s="48" cm="1">
        <f t="array" ref="S1392">IFERROR(MAX(IF($B$4:$B$579="summer",IF($C$4:$C$579=$B1392,U$4:U$579)))/T$1264,0)</f>
        <v>5.5657340369070581E-5</v>
      </c>
      <c r="T1392" s="48" cm="1">
        <f t="array" ref="T1392">IFERROR(MAX(IF($B$4:$B$579="summer",IF($C$4:$C$579=$B1392,V$4:V$579)))/U$1264,0)</f>
        <v>5.5657340369070581E-5</v>
      </c>
      <c r="U1392" s="48" cm="1">
        <f t="array" ref="U1392">IFERROR(MAX(IF($B$4:$B$579="summer",IF($C$4:$C$579=$B1392,W$4:W$579)))/V$1264,0)</f>
        <v>5.5657340369070581E-5</v>
      </c>
      <c r="V1392" s="48" cm="1">
        <f t="array" ref="V1392">IFERROR(MAX(IF($B$4:$B$579="summer",IF($C$4:$C$579=$B1392,X$4:X$579)))/W$1264,0)</f>
        <v>1.3163986431205264E-4</v>
      </c>
      <c r="W1392" s="48" cm="1">
        <f t="array" ref="W1392">IFERROR(MAX(IF($B$4:$B$579="summer",IF($C$4:$C$579=$B1392,Y$4:Y$579)))/X$1264,0)</f>
        <v>1.3163986431205264E-4</v>
      </c>
      <c r="X1392" s="48" cm="1">
        <f t="array" ref="X1392">IFERROR(MAX(IF($B$4:$B$579="summer",IF($C$4:$C$579=$B1392,Z$4:Z$579)))/Y$1264,0)</f>
        <v>1.3163986431205264E-4</v>
      </c>
      <c r="Y1392" s="27"/>
      <c r="Z1392" s="10"/>
    </row>
    <row r="1393" spans="1:26" outlineLevel="1" x14ac:dyDescent="0.3">
      <c r="A1393" t="s">
        <v>167</v>
      </c>
      <c r="B1393" t="s">
        <v>67</v>
      </c>
      <c r="C1393" s="6" t="s">
        <v>142</v>
      </c>
      <c r="D1393" s="48" cm="1">
        <f t="array" ref="D1393">IFERROR(MAX(IF($B$4:$B$579="winter",IF($C$4:$C$579=$B1393,F$4:F$579)))/E$1264,0)</f>
        <v>3.4220998975806408E-4</v>
      </c>
      <c r="E1393" s="48" cm="1">
        <f t="array" ref="E1393">IFERROR(MAX(IF($B$4:$B$579="summer",IF($C$4:$C$579=$B1393,G$4:G$579)))/F$1264,0)</f>
        <v>4.6953354297333617E-4</v>
      </c>
      <c r="F1393" s="48" cm="1">
        <f t="array" ref="F1393">IFERROR(MAX(IF($B$4:$B$579="summer",IF($C$4:$C$579=$B1393,H$4:H$579)))/G$1264,0)</f>
        <v>0</v>
      </c>
      <c r="G1393" s="48" cm="1">
        <f t="array" ref="G1393">IFERROR(MAX(IF($B$4:$B$579="summer",IF($C$4:$C$579=$B1393,I$4:I$579)))/H$1264,0)</f>
        <v>7.2942041888312067E-5</v>
      </c>
      <c r="H1393" s="48" cm="1">
        <f t="array" ref="H1393">IFERROR(MAX(IF($B$4:$B$579="summer",IF($C$4:$C$579=$B1393,J$4:J$579)))/I$1264,0)</f>
        <v>4.9732342509251712E-5</v>
      </c>
      <c r="I1393" s="48" cm="1">
        <f t="array" ref="I1393">IFERROR(MAX(IF($B$4:$B$579="summer",IF($C$4:$C$579=$B1393,K$4:K$579)))/J$1264,0)</f>
        <v>4.9732342509251712E-5</v>
      </c>
      <c r="J1393" s="48" cm="1">
        <f t="array" ref="J1393">IFERROR(MAX(IF($B$4:$B$579="summer",IF($C$4:$C$579=$B1393,L$4:L$579)))/K$1264,0)</f>
        <v>6.9553503514741974E-6</v>
      </c>
      <c r="K1393" s="48" cm="1">
        <f t="array" ref="K1393">IFERROR(MAX(IF($B$4:$B$579="summer",IF($C$4:$C$579=$B1393,M$4:M$579)))/L$1264,0)</f>
        <v>3.7676118094758475E-4</v>
      </c>
      <c r="L1393" s="48" cm="1">
        <f t="array" ref="L1393">IFERROR(MAX(IF($B$4:$B$579="summer",IF($C$4:$C$579=$B1393,N$4:N$579)))/M$1264,0)</f>
        <v>0</v>
      </c>
      <c r="M1393" s="48" cm="1">
        <f t="array" ref="M1393">IFERROR(MAX(IF($B$4:$B$579="summer",IF($C$4:$C$579=$B1393,O$4:O$579)))/N$1264,0)</f>
        <v>6.7113195503271212E-5</v>
      </c>
      <c r="N1393" s="48" cm="1">
        <f t="array" ref="N1393">IFERROR(MAX(IF($B$4:$B$579="summer",IF($C$4:$C$579=$B1393,P$4:P$579)))/O$1264,0)</f>
        <v>6.7113195503271212E-5</v>
      </c>
      <c r="O1393" s="48" cm="1">
        <f t="array" ref="O1393">IFERROR(MAX(IF($B$4:$B$579="summer",IF($C$4:$C$579=$B1393,Q$4:Q$579)))/P$1264,0)</f>
        <v>6.7113195503271212E-5</v>
      </c>
      <c r="P1393" s="48" cm="1">
        <f t="array" ref="P1393">IFERROR(MAX(IF($B$4:$B$579="summer",IF($C$4:$C$579=$B1393,R$4:R$579)))/Q$1264,0)</f>
        <v>5.5432456584007812E-5</v>
      </c>
      <c r="Q1393" s="48" cm="1">
        <f t="array" ref="Q1393">IFERROR(MAX(IF($B$4:$B$579="summer",IF($C$4:$C$579=$B1393,S$4:S$579)))/R$1264,0)</f>
        <v>5.5432456584007812E-5</v>
      </c>
      <c r="R1393" s="48" cm="1">
        <f t="array" ref="R1393">IFERROR(MAX(IF($B$4:$B$579="summer",IF($C$4:$C$579=$B1393,T$4:T$579)))/S$1264,0)</f>
        <v>5.5432456584007812E-5</v>
      </c>
      <c r="S1393" s="48" cm="1">
        <f t="array" ref="S1393">IFERROR(MAX(IF($B$4:$B$579="summer",IF($C$4:$C$579=$B1393,U$4:U$579)))/T$1264,0)</f>
        <v>5.5432456584007812E-5</v>
      </c>
      <c r="T1393" s="48" cm="1">
        <f t="array" ref="T1393">IFERROR(MAX(IF($B$4:$B$579="summer",IF($C$4:$C$579=$B1393,V$4:V$579)))/U$1264,0)</f>
        <v>5.5432456584007812E-5</v>
      </c>
      <c r="U1393" s="48" cm="1">
        <f t="array" ref="U1393">IFERROR(MAX(IF($B$4:$B$579="summer",IF($C$4:$C$579=$B1393,W$4:W$579)))/V$1264,0)</f>
        <v>5.5432456584007812E-5</v>
      </c>
      <c r="V1393" s="48" cm="1">
        <f t="array" ref="V1393">IFERROR(MAX(IF($B$4:$B$579="summer",IF($C$4:$C$579=$B1393,X$4:X$579)))/W$1264,0)</f>
        <v>1.3203998548017438E-4</v>
      </c>
      <c r="W1393" s="48" cm="1">
        <f t="array" ref="W1393">IFERROR(MAX(IF($B$4:$B$579="summer",IF($C$4:$C$579=$B1393,Y$4:Y$579)))/X$1264,0)</f>
        <v>1.3203998548017438E-4</v>
      </c>
      <c r="X1393" s="48" cm="1">
        <f t="array" ref="X1393">IFERROR(MAX(IF($B$4:$B$579="summer",IF($C$4:$C$579=$B1393,Z$4:Z$579)))/Y$1264,0)</f>
        <v>1.3203998548017438E-4</v>
      </c>
      <c r="Y1393" s="27"/>
      <c r="Z1393" s="10"/>
    </row>
    <row r="1394" spans="1:26" outlineLevel="1" x14ac:dyDescent="0.3">
      <c r="A1394" t="s">
        <v>167</v>
      </c>
      <c r="B1394" t="s">
        <v>68</v>
      </c>
      <c r="C1394" s="6" t="s">
        <v>143</v>
      </c>
      <c r="D1394" s="48" cm="1">
        <f t="array" ref="D1394">IFERROR(MAX(IF($B$4:$B$579="winter",IF($C$4:$C$579=$B1394,F$4:F$579)))/E$1264,0)</f>
        <v>4.1329708907978752E-4</v>
      </c>
      <c r="E1394" s="48" cm="1">
        <f t="array" ref="E1394">IFERROR(MAX(IF($B$4:$B$579="summer",IF($C$4:$C$579=$B1394,G$4:G$579)))/F$1264,0)</f>
        <v>5.0922432808079448E-4</v>
      </c>
      <c r="F1394" s="48" cm="1">
        <f t="array" ref="F1394">IFERROR(MAX(IF($B$4:$B$579="summer",IF($C$4:$C$579=$B1394,H$4:H$579)))/G$1264,0)</f>
        <v>0</v>
      </c>
      <c r="G1394" s="48" cm="1">
        <f t="array" ref="G1394">IFERROR(MAX(IF($B$4:$B$579="summer",IF($C$4:$C$579=$B1394,I$4:I$579)))/H$1264,0)</f>
        <v>1.2538797283280091E-4</v>
      </c>
      <c r="H1394" s="48" cm="1">
        <f t="array" ref="H1394">IFERROR(MAX(IF($B$4:$B$579="summer",IF($C$4:$C$579=$B1394,J$4:J$579)))/I$1264,0)</f>
        <v>6.6505421578636829E-5</v>
      </c>
      <c r="I1394" s="48" cm="1">
        <f t="array" ref="I1394">IFERROR(MAX(IF($B$4:$B$579="summer",IF($C$4:$C$579=$B1394,K$4:K$579)))/J$1264,0)</f>
        <v>6.6505421578636829E-5</v>
      </c>
      <c r="J1394" s="48" cm="1">
        <f t="array" ref="J1394">IFERROR(MAX(IF($B$4:$B$579="summer",IF($C$4:$C$579=$B1394,L$4:L$579)))/K$1264,0)</f>
        <v>1.0122698065746442E-5</v>
      </c>
      <c r="K1394" s="48" cm="1">
        <f t="array" ref="K1394">IFERROR(MAX(IF($B$4:$B$579="summer",IF($C$4:$C$579=$B1394,M$4:M$579)))/L$1264,0)</f>
        <v>4.073093848081997E-4</v>
      </c>
      <c r="L1394" s="48" cm="1">
        <f t="array" ref="L1394">IFERROR(MAX(IF($B$4:$B$579="summer",IF($C$4:$C$579=$B1394,N$4:N$579)))/M$1264,0)</f>
        <v>0</v>
      </c>
      <c r="M1394" s="48" cm="1">
        <f t="array" ref="M1394">IFERROR(MAX(IF($B$4:$B$579="summer",IF($C$4:$C$579=$B1394,O$4:O$579)))/N$1264,0)</f>
        <v>7.8180120408694002E-5</v>
      </c>
      <c r="N1394" s="48" cm="1">
        <f t="array" ref="N1394">IFERROR(MAX(IF($B$4:$B$579="summer",IF($C$4:$C$579=$B1394,P$4:P$579)))/O$1264,0)</f>
        <v>7.8180120408694002E-5</v>
      </c>
      <c r="O1394" s="48" cm="1">
        <f t="array" ref="O1394">IFERROR(MAX(IF($B$4:$B$579="summer",IF($C$4:$C$579=$B1394,Q$4:Q$579)))/P$1264,0)</f>
        <v>7.8180120408694002E-5</v>
      </c>
      <c r="P1394" s="48" cm="1">
        <f t="array" ref="P1394">IFERROR(MAX(IF($B$4:$B$579="summer",IF($C$4:$C$579=$B1394,R$4:R$579)))/Q$1264,0)</f>
        <v>5.7146878512517891E-5</v>
      </c>
      <c r="Q1394" s="48" cm="1">
        <f t="array" ref="Q1394">IFERROR(MAX(IF($B$4:$B$579="summer",IF($C$4:$C$579=$B1394,S$4:S$579)))/R$1264,0)</f>
        <v>5.7146878512517891E-5</v>
      </c>
      <c r="R1394" s="48" cm="1">
        <f t="array" ref="R1394">IFERROR(MAX(IF($B$4:$B$579="summer",IF($C$4:$C$579=$B1394,T$4:T$579)))/S$1264,0)</f>
        <v>5.7146878512517891E-5</v>
      </c>
      <c r="S1394" s="48" cm="1">
        <f t="array" ref="S1394">IFERROR(MAX(IF($B$4:$B$579="summer",IF($C$4:$C$579=$B1394,U$4:U$579)))/T$1264,0)</f>
        <v>5.7146878512517891E-5</v>
      </c>
      <c r="T1394" s="48" cm="1">
        <f t="array" ref="T1394">IFERROR(MAX(IF($B$4:$B$579="summer",IF($C$4:$C$579=$B1394,V$4:V$579)))/U$1264,0)</f>
        <v>5.7146878512517891E-5</v>
      </c>
      <c r="U1394" s="48" cm="1">
        <f t="array" ref="U1394">IFERROR(MAX(IF($B$4:$B$579="summer",IF($C$4:$C$579=$B1394,W$4:W$579)))/V$1264,0)</f>
        <v>5.7146878512517891E-5</v>
      </c>
      <c r="V1394" s="48" cm="1">
        <f t="array" ref="V1394">IFERROR(MAX(IF($B$4:$B$579="summer",IF($C$4:$C$579=$B1394,X$4:X$579)))/W$1264,0)</f>
        <v>1.3304028840047872E-4</v>
      </c>
      <c r="W1394" s="48" cm="1">
        <f t="array" ref="W1394">IFERROR(MAX(IF($B$4:$B$579="summer",IF($C$4:$C$579=$B1394,Y$4:Y$579)))/X$1264,0)</f>
        <v>1.3304028840047872E-4</v>
      </c>
      <c r="X1394" s="48" cm="1">
        <f t="array" ref="X1394">IFERROR(MAX(IF($B$4:$B$579="summer",IF($C$4:$C$579=$B1394,Z$4:Z$579)))/Y$1264,0)</f>
        <v>1.3304028840047872E-4</v>
      </c>
      <c r="Y1394" s="27"/>
      <c r="Z1394" s="10"/>
    </row>
    <row r="1395" spans="1:26" outlineLevel="1" x14ac:dyDescent="0.3">
      <c r="A1395" t="s">
        <v>167</v>
      </c>
      <c r="B1395" t="s">
        <v>69</v>
      </c>
      <c r="C1395" s="6" t="s">
        <v>144</v>
      </c>
      <c r="D1395" s="48" cm="1">
        <f t="array" ref="D1395">IFERROR(MAX(IF($B$4:$B$579="winter",IF($C$4:$C$579=$B1395,F$4:F$579)))/E$1264,0)</f>
        <v>4.3478853771193647E-4</v>
      </c>
      <c r="E1395" s="48" cm="1">
        <f t="array" ref="E1395">IFERROR(MAX(IF($B$4:$B$579="summer",IF($C$4:$C$579=$B1395,G$4:G$579)))/F$1264,0)</f>
        <v>5.0077948018559053E-4</v>
      </c>
      <c r="F1395" s="48" cm="1">
        <f t="array" ref="F1395">IFERROR(MAX(IF($B$4:$B$579="summer",IF($C$4:$C$579=$B1395,H$4:H$579)))/G$1264,0)</f>
        <v>0</v>
      </c>
      <c r="G1395" s="48" cm="1">
        <f t="array" ref="G1395">IFERROR(MAX(IF($B$4:$B$579="summer",IF($C$4:$C$579=$B1395,I$4:I$579)))/H$1264,0)</f>
        <v>7.173638830338129E-5</v>
      </c>
      <c r="H1395" s="48" cm="1">
        <f t="array" ref="H1395">IFERROR(MAX(IF($B$4:$B$579="summer",IF($C$4:$C$579=$B1395,J$4:J$579)))/I$1264,0)</f>
        <v>1.0343969424119631E-4</v>
      </c>
      <c r="I1395" s="48" cm="1">
        <f t="array" ref="I1395">IFERROR(MAX(IF($B$4:$B$579="summer",IF($C$4:$C$579=$B1395,K$4:K$579)))/J$1264,0)</f>
        <v>1.0343969424119631E-4</v>
      </c>
      <c r="J1395" s="48" cm="1">
        <f t="array" ref="J1395">IFERROR(MAX(IF($B$4:$B$579="summer",IF($C$4:$C$579=$B1395,L$4:L$579)))/K$1264,0)</f>
        <v>1.4618621434843532E-5</v>
      </c>
      <c r="K1395" s="48" cm="1">
        <f t="array" ref="K1395">IFERROR(MAX(IF($B$4:$B$579="summer",IF($C$4:$C$579=$B1395,M$4:M$579)))/L$1264,0)</f>
        <v>4.6501154765602799E-4</v>
      </c>
      <c r="L1395" s="48" cm="1">
        <f t="array" ref="L1395">IFERROR(MAX(IF($B$4:$B$579="summer",IF($C$4:$C$579=$B1395,N$4:N$579)))/M$1264,0)</f>
        <v>0</v>
      </c>
      <c r="M1395" s="48" cm="1">
        <f t="array" ref="M1395">IFERROR(MAX(IF($B$4:$B$579="summer",IF($C$4:$C$579=$B1395,O$4:O$579)))/N$1264,0)</f>
        <v>1.1751189811747085E-4</v>
      </c>
      <c r="N1395" s="48" cm="1">
        <f t="array" ref="N1395">IFERROR(MAX(IF($B$4:$B$579="summer",IF($C$4:$C$579=$B1395,P$4:P$579)))/O$1264,0)</f>
        <v>1.1751189811747085E-4</v>
      </c>
      <c r="O1395" s="48" cm="1">
        <f t="array" ref="O1395">IFERROR(MAX(IF($B$4:$B$579="summer",IF($C$4:$C$579=$B1395,Q$4:Q$579)))/P$1264,0)</f>
        <v>1.1751189811747085E-4</v>
      </c>
      <c r="P1395" s="48" cm="1">
        <f t="array" ref="P1395">IFERROR(MAX(IF($B$4:$B$579="summer",IF($C$4:$C$579=$B1395,R$4:R$579)))/Q$1264,0)</f>
        <v>8.6111711825072345E-5</v>
      </c>
      <c r="Q1395" s="48" cm="1">
        <f t="array" ref="Q1395">IFERROR(MAX(IF($B$4:$B$579="summer",IF($C$4:$C$579=$B1395,S$4:S$579)))/R$1264,0)</f>
        <v>8.6111711825072345E-5</v>
      </c>
      <c r="R1395" s="48" cm="1">
        <f t="array" ref="R1395">IFERROR(MAX(IF($B$4:$B$579="summer",IF($C$4:$C$579=$B1395,T$4:T$579)))/S$1264,0)</f>
        <v>8.6111711825072345E-5</v>
      </c>
      <c r="S1395" s="48" cm="1">
        <f t="array" ref="S1395">IFERROR(MAX(IF($B$4:$B$579="summer",IF($C$4:$C$579=$B1395,U$4:U$579)))/T$1264,0)</f>
        <v>8.6111711825072345E-5</v>
      </c>
      <c r="T1395" s="48" cm="1">
        <f t="array" ref="T1395">IFERROR(MAX(IF($B$4:$B$579="summer",IF($C$4:$C$579=$B1395,V$4:V$579)))/U$1264,0)</f>
        <v>8.6111711825072345E-5</v>
      </c>
      <c r="U1395" s="48" cm="1">
        <f t="array" ref="U1395">IFERROR(MAX(IF($B$4:$B$579="summer",IF($C$4:$C$579=$B1395,W$4:W$579)))/V$1264,0)</f>
        <v>8.6111711825072345E-5</v>
      </c>
      <c r="V1395" s="48" cm="1">
        <f t="array" ref="V1395">IFERROR(MAX(IF($B$4:$B$579="summer",IF($C$4:$C$579=$B1395,X$4:X$579)))/W$1264,0)</f>
        <v>1.3464077307296569E-4</v>
      </c>
      <c r="W1395" s="48" cm="1">
        <f t="array" ref="W1395">IFERROR(MAX(IF($B$4:$B$579="summer",IF($C$4:$C$579=$B1395,Y$4:Y$579)))/X$1264,0)</f>
        <v>1.3464077307296569E-4</v>
      </c>
      <c r="X1395" s="48" cm="1">
        <f t="array" ref="X1395">IFERROR(MAX(IF($B$4:$B$579="summer",IF($C$4:$C$579=$B1395,Z$4:Z$579)))/Y$1264,0)</f>
        <v>1.3464077307296569E-4</v>
      </c>
      <c r="Y1395" s="27"/>
      <c r="Z1395" s="10"/>
    </row>
    <row r="1396" spans="1:26" outlineLevel="1" x14ac:dyDescent="0.3">
      <c r="A1396" t="s">
        <v>167</v>
      </c>
      <c r="B1396" t="s">
        <v>70</v>
      </c>
      <c r="C1396" s="6" t="s">
        <v>145</v>
      </c>
      <c r="D1396" s="48" cm="1">
        <f t="array" ref="D1396">IFERROR(MAX(IF($B$4:$B$579="winter",IF($C$4:$C$579=$B1396,F$4:F$579)))/E$1264,0)</f>
        <v>4.2321621921770244E-4</v>
      </c>
      <c r="E1396" s="48" cm="1">
        <f t="array" ref="E1396">IFERROR(MAX(IF($B$4:$B$579="summer",IF($C$4:$C$579=$B1396,G$4:G$579)))/F$1264,0)</f>
        <v>4.4926590802484684E-4</v>
      </c>
      <c r="F1396" s="48" cm="1">
        <f t="array" ref="F1396">IFERROR(MAX(IF($B$4:$B$579="summer",IF($C$4:$C$579=$B1396,H$4:H$579)))/G$1264,0)</f>
        <v>0</v>
      </c>
      <c r="G1396" s="48" cm="1">
        <f t="array" ref="G1396">IFERROR(MAX(IF($B$4:$B$579="summer",IF($C$4:$C$579=$B1396,I$4:I$579)))/H$1264,0)</f>
        <v>5.6956082072873367E-5</v>
      </c>
      <c r="H1396" s="48" cm="1">
        <f t="array" ref="H1396">IFERROR(MAX(IF($B$4:$B$579="summer",IF($C$4:$C$579=$B1396,J$4:J$579)))/I$1264,0)</f>
        <v>1.3131510596767459E-4</v>
      </c>
      <c r="I1396" s="48" cm="1">
        <f t="array" ref="I1396">IFERROR(MAX(IF($B$4:$B$579="summer",IF($C$4:$C$579=$B1396,K$4:K$579)))/J$1264,0)</f>
        <v>1.3131510596767459E-4</v>
      </c>
      <c r="J1396" s="48" cm="1">
        <f t="array" ref="J1396">IFERROR(MAX(IF($B$4:$B$579="summer",IF($C$4:$C$579=$B1396,L$4:L$579)))/K$1264,0)</f>
        <v>1.1744286880264395E-5</v>
      </c>
      <c r="K1396" s="48" cm="1">
        <f t="array" ref="K1396">IFERROR(MAX(IF($B$4:$B$579="summer",IF($C$4:$C$579=$B1396,M$4:M$579)))/L$1264,0)</f>
        <v>5.5495903680117208E-4</v>
      </c>
      <c r="L1396" s="48" cm="1">
        <f t="array" ref="L1396">IFERROR(MAX(IF($B$4:$B$579="summer",IF($C$4:$C$579=$B1396,N$4:N$579)))/M$1264,0)</f>
        <v>0</v>
      </c>
      <c r="M1396" s="48" cm="1">
        <f t="array" ref="M1396">IFERROR(MAX(IF($B$4:$B$579="summer",IF($C$4:$C$579=$B1396,O$4:O$579)))/N$1264,0)</f>
        <v>1.6094492638661851E-4</v>
      </c>
      <c r="N1396" s="48" cm="1">
        <f t="array" ref="N1396">IFERROR(MAX(IF($B$4:$B$579="summer",IF($C$4:$C$579=$B1396,P$4:P$579)))/O$1264,0)</f>
        <v>1.6094492638661851E-4</v>
      </c>
      <c r="O1396" s="48" cm="1">
        <f t="array" ref="O1396">IFERROR(MAX(IF($B$4:$B$579="summer",IF($C$4:$C$579=$B1396,Q$4:Q$579)))/P$1264,0)</f>
        <v>1.6094492638661851E-4</v>
      </c>
      <c r="P1396" s="48" cm="1">
        <f t="array" ref="P1396">IFERROR(MAX(IF($B$4:$B$579="summer",IF($C$4:$C$579=$B1396,R$4:R$579)))/Q$1264,0)</f>
        <v>1.8147206372031628E-4</v>
      </c>
      <c r="Q1396" s="48" cm="1">
        <f t="array" ref="Q1396">IFERROR(MAX(IF($B$4:$B$579="summer",IF($C$4:$C$579=$B1396,S$4:S$579)))/R$1264,0)</f>
        <v>1.8147206372031628E-4</v>
      </c>
      <c r="R1396" s="48" cm="1">
        <f t="array" ref="R1396">IFERROR(MAX(IF($B$4:$B$579="summer",IF($C$4:$C$579=$B1396,T$4:T$579)))/S$1264,0)</f>
        <v>1.8147206372031628E-4</v>
      </c>
      <c r="S1396" s="48" cm="1">
        <f t="array" ref="S1396">IFERROR(MAX(IF($B$4:$B$579="summer",IF($C$4:$C$579=$B1396,U$4:U$579)))/T$1264,0)</f>
        <v>1.8147206372031628E-4</v>
      </c>
      <c r="T1396" s="48" cm="1">
        <f t="array" ref="T1396">IFERROR(MAX(IF($B$4:$B$579="summer",IF($C$4:$C$579=$B1396,V$4:V$579)))/U$1264,0)</f>
        <v>1.8147206372031628E-4</v>
      </c>
      <c r="U1396" s="48" cm="1">
        <f t="array" ref="U1396">IFERROR(MAX(IF($B$4:$B$579="summer",IF($C$4:$C$579=$B1396,W$4:W$579)))/V$1264,0)</f>
        <v>1.8147206372031628E-4</v>
      </c>
      <c r="V1396" s="48" cm="1">
        <f t="array" ref="V1396">IFERROR(MAX(IF($B$4:$B$579="summer",IF($C$4:$C$579=$B1396,X$4:X$579)))/W$1264,0)</f>
        <v>1.3584113657733092E-4</v>
      </c>
      <c r="W1396" s="48" cm="1">
        <f t="array" ref="W1396">IFERROR(MAX(IF($B$4:$B$579="summer",IF($C$4:$C$579=$B1396,Y$4:Y$579)))/X$1264,0)</f>
        <v>1.3584113657733092E-4</v>
      </c>
      <c r="X1396" s="48" cm="1">
        <f t="array" ref="X1396">IFERROR(MAX(IF($B$4:$B$579="summer",IF($C$4:$C$579=$B1396,Z$4:Z$579)))/Y$1264,0)</f>
        <v>1.3584113657733092E-4</v>
      </c>
      <c r="Y1396" s="27"/>
      <c r="Z1396" s="10"/>
    </row>
    <row r="1397" spans="1:26" outlineLevel="1" x14ac:dyDescent="0.3">
      <c r="A1397" t="s">
        <v>167</v>
      </c>
      <c r="B1397" t="s">
        <v>71</v>
      </c>
      <c r="C1397" s="6" t="s">
        <v>146</v>
      </c>
      <c r="D1397" s="48" cm="1">
        <f t="array" ref="D1397">IFERROR(MAX(IF($B$4:$B$579="winter",IF($C$4:$C$579=$B1397,F$4:F$579)))/E$1264,0)</f>
        <v>4.0668433565451095E-4</v>
      </c>
      <c r="E1397" s="48" cm="1">
        <f t="array" ref="E1397">IFERROR(MAX(IF($B$4:$B$579="summer",IF($C$4:$C$579=$B1397,G$4:G$579)))/F$1264,0)</f>
        <v>4.2815378828683714E-4</v>
      </c>
      <c r="F1397" s="48" cm="1">
        <f t="array" ref="F1397">IFERROR(MAX(IF($B$4:$B$579="summer",IF($C$4:$C$579=$B1397,H$4:H$579)))/G$1264,0)</f>
        <v>0</v>
      </c>
      <c r="G1397" s="48" cm="1">
        <f t="array" ref="G1397">IFERROR(MAX(IF($B$4:$B$579="summer",IF($C$4:$C$579=$B1397,I$4:I$579)))/H$1264,0)</f>
        <v>5.5779635446037534E-5</v>
      </c>
      <c r="H1397" s="48" cm="1">
        <f t="array" ref="H1397">IFERROR(MAX(IF($B$4:$B$579="summer",IF($C$4:$C$579=$B1397,J$4:J$579)))/I$1264,0)</f>
        <v>1.3465141026064922E-4</v>
      </c>
      <c r="I1397" s="48" cm="1">
        <f t="array" ref="I1397">IFERROR(MAX(IF($B$4:$B$579="summer",IF($C$4:$C$579=$B1397,K$4:K$579)))/J$1264,0)</f>
        <v>1.3465141026064922E-4</v>
      </c>
      <c r="J1397" s="48" cm="1">
        <f t="array" ref="J1397">IFERROR(MAX(IF($B$4:$B$579="summer",IF($C$4:$C$579=$B1397,L$4:L$579)))/K$1264,0)</f>
        <v>7.8138200327259558E-6</v>
      </c>
      <c r="K1397" s="48" cm="1">
        <f t="array" ref="K1397">IFERROR(MAX(IF($B$4:$B$579="summer",IF($C$4:$C$579=$B1397,M$4:M$579)))/L$1264,0)</f>
        <v>6.7375760737023037E-4</v>
      </c>
      <c r="L1397" s="48" cm="1">
        <f t="array" ref="L1397">IFERROR(MAX(IF($B$4:$B$579="summer",IF($C$4:$C$579=$B1397,N$4:N$579)))/M$1264,0)</f>
        <v>0</v>
      </c>
      <c r="M1397" s="48" cm="1">
        <f t="array" ref="M1397">IFERROR(MAX(IF($B$4:$B$579="summer",IF($C$4:$C$579=$B1397,O$4:O$579)))/N$1264,0)</f>
        <v>2.0028049915867674E-4</v>
      </c>
      <c r="N1397" s="48" cm="1">
        <f t="array" ref="N1397">IFERROR(MAX(IF($B$4:$B$579="summer",IF($C$4:$C$579=$B1397,P$4:P$579)))/O$1264,0)</f>
        <v>2.0028049915867674E-4</v>
      </c>
      <c r="O1397" s="48" cm="1">
        <f t="array" ref="O1397">IFERROR(MAX(IF($B$4:$B$579="summer",IF($C$4:$C$579=$B1397,Q$4:Q$579)))/P$1264,0)</f>
        <v>2.0028049915867674E-4</v>
      </c>
      <c r="P1397" s="48" cm="1">
        <f t="array" ref="P1397">IFERROR(MAX(IF($B$4:$B$579="summer",IF($C$4:$C$579=$B1397,R$4:R$579)))/Q$1264,0)</f>
        <v>1.994905665010569E-4</v>
      </c>
      <c r="Q1397" s="48" cm="1">
        <f t="array" ref="Q1397">IFERROR(MAX(IF($B$4:$B$579="summer",IF($C$4:$C$579=$B1397,S$4:S$579)))/R$1264,0)</f>
        <v>1.994905665010569E-4</v>
      </c>
      <c r="R1397" s="48" cm="1">
        <f t="array" ref="R1397">IFERROR(MAX(IF($B$4:$B$579="summer",IF($C$4:$C$579=$B1397,T$4:T$579)))/S$1264,0)</f>
        <v>1.994905665010569E-4</v>
      </c>
      <c r="S1397" s="48" cm="1">
        <f t="array" ref="S1397">IFERROR(MAX(IF($B$4:$B$579="summer",IF($C$4:$C$579=$B1397,U$4:U$579)))/T$1264,0)</f>
        <v>1.994905665010569E-4</v>
      </c>
      <c r="T1397" s="48" cm="1">
        <f t="array" ref="T1397">IFERROR(MAX(IF($B$4:$B$579="summer",IF($C$4:$C$579=$B1397,V$4:V$579)))/U$1264,0)</f>
        <v>1.994905665010569E-4</v>
      </c>
      <c r="U1397" s="48" cm="1">
        <f t="array" ref="U1397">IFERROR(MAX(IF($B$4:$B$579="summer",IF($C$4:$C$579=$B1397,W$4:W$579)))/V$1264,0)</f>
        <v>1.994905665010569E-4</v>
      </c>
      <c r="V1397" s="48" cm="1">
        <f t="array" ref="V1397">IFERROR(MAX(IF($B$4:$B$579="summer",IF($C$4:$C$579=$B1397,X$4:X$579)))/W$1264,0)</f>
        <v>1.3644131832951352E-4</v>
      </c>
      <c r="W1397" s="48" cm="1">
        <f t="array" ref="W1397">IFERROR(MAX(IF($B$4:$B$579="summer",IF($C$4:$C$579=$B1397,Y$4:Y$579)))/X$1264,0)</f>
        <v>1.3644131832951352E-4</v>
      </c>
      <c r="X1397" s="48" cm="1">
        <f t="array" ref="X1397">IFERROR(MAX(IF($B$4:$B$579="summer",IF($C$4:$C$579=$B1397,Z$4:Z$579)))/Y$1264,0)</f>
        <v>1.3644131832951352E-4</v>
      </c>
      <c r="Y1397" s="27"/>
      <c r="Z1397" s="10"/>
    </row>
    <row r="1398" spans="1:26" outlineLevel="1" x14ac:dyDescent="0.3">
      <c r="A1398" t="s">
        <v>167</v>
      </c>
      <c r="B1398" t="s">
        <v>72</v>
      </c>
      <c r="C1398" s="6" t="s">
        <v>147</v>
      </c>
      <c r="D1398" s="48" cm="1">
        <f t="array" ref="D1398">IFERROR(MAX(IF($B$4:$B$579="winter",IF($C$4:$C$579=$B1398,F$4:F$579)))/E$1264,0)</f>
        <v>3.0418665756272364E-4</v>
      </c>
      <c r="E1398" s="48" cm="1">
        <f t="array" ref="E1398">IFERROR(MAX(IF($B$4:$B$579="summer",IF($C$4:$C$579=$B1398,G$4:G$579)))/F$1264,0)</f>
        <v>4.2730930349731675E-4</v>
      </c>
      <c r="F1398" s="48" cm="1">
        <f t="array" ref="F1398">IFERROR(MAX(IF($B$4:$B$579="summer",IF($C$4:$C$579=$B1398,H$4:H$579)))/G$1264,0)</f>
        <v>0</v>
      </c>
      <c r="G1398" s="48" cm="1">
        <f t="array" ref="G1398">IFERROR(MAX(IF($B$4:$B$579="summer",IF($C$4:$C$579=$B1398,I$4:I$579)))/H$1264,0)</f>
        <v>5.365723904473294E-5</v>
      </c>
      <c r="H1398" s="48" cm="1">
        <f t="array" ref="H1398">IFERROR(MAX(IF($B$4:$B$579="summer",IF($C$4:$C$579=$B1398,J$4:J$579)))/I$1264,0)</f>
        <v>1.3523912422550949E-4</v>
      </c>
      <c r="I1398" s="48" cm="1">
        <f t="array" ref="I1398">IFERROR(MAX(IF($B$4:$B$579="summer",IF($C$4:$C$579=$B1398,K$4:K$579)))/J$1264,0)</f>
        <v>1.3523912422550949E-4</v>
      </c>
      <c r="J1398" s="48" cm="1">
        <f t="array" ref="J1398">IFERROR(MAX(IF($B$4:$B$579="summer",IF($C$4:$C$579=$B1398,L$4:L$579)))/K$1264,0)</f>
        <v>6.2189664009829828E-6</v>
      </c>
      <c r="K1398" s="48" cm="1">
        <f t="array" ref="K1398">IFERROR(MAX(IF($B$4:$B$579="summer",IF($C$4:$C$579=$B1398,M$4:M$579)))/L$1264,0)</f>
        <v>7.6540221895207532E-4</v>
      </c>
      <c r="L1398" s="48" cm="1">
        <f t="array" ref="L1398">IFERROR(MAX(IF($B$4:$B$579="summer",IF($C$4:$C$579=$B1398,N$4:N$579)))/M$1264,0)</f>
        <v>0</v>
      </c>
      <c r="M1398" s="48" cm="1">
        <f t="array" ref="M1398">IFERROR(MAX(IF($B$4:$B$579="summer",IF($C$4:$C$579=$B1398,O$4:O$579)))/N$1264,0)</f>
        <v>2.1052413790140025E-4</v>
      </c>
      <c r="N1398" s="48" cm="1">
        <f t="array" ref="N1398">IFERROR(MAX(IF($B$4:$B$579="summer",IF($C$4:$C$579=$B1398,P$4:P$579)))/O$1264,0)</f>
        <v>2.1052413790140025E-4</v>
      </c>
      <c r="O1398" s="48" cm="1">
        <f t="array" ref="O1398">IFERROR(MAX(IF($B$4:$B$579="summer",IF($C$4:$C$579=$B1398,Q$4:Q$579)))/P$1264,0)</f>
        <v>2.1052413790140025E-4</v>
      </c>
      <c r="P1398" s="48" cm="1">
        <f t="array" ref="P1398">IFERROR(MAX(IF($B$4:$B$579="summer",IF($C$4:$C$579=$B1398,R$4:R$579)))/Q$1264,0)</f>
        <v>1.763239200686761E-4</v>
      </c>
      <c r="Q1398" s="48" cm="1">
        <f t="array" ref="Q1398">IFERROR(MAX(IF($B$4:$B$579="summer",IF($C$4:$C$579=$B1398,S$4:S$579)))/R$1264,0)</f>
        <v>1.763239200686761E-4</v>
      </c>
      <c r="R1398" s="48" cm="1">
        <f t="array" ref="R1398">IFERROR(MAX(IF($B$4:$B$579="summer",IF($C$4:$C$579=$B1398,T$4:T$579)))/S$1264,0)</f>
        <v>1.763239200686761E-4</v>
      </c>
      <c r="S1398" s="48" cm="1">
        <f t="array" ref="S1398">IFERROR(MAX(IF($B$4:$B$579="summer",IF($C$4:$C$579=$B1398,U$4:U$579)))/T$1264,0)</f>
        <v>1.763239200686761E-4</v>
      </c>
      <c r="T1398" s="48" cm="1">
        <f t="array" ref="T1398">IFERROR(MAX(IF($B$4:$B$579="summer",IF($C$4:$C$579=$B1398,V$4:V$579)))/U$1264,0)</f>
        <v>1.763239200686761E-4</v>
      </c>
      <c r="U1398" s="48" cm="1">
        <f t="array" ref="U1398">IFERROR(MAX(IF($B$4:$B$579="summer",IF($C$4:$C$579=$B1398,W$4:W$579)))/V$1264,0)</f>
        <v>1.763239200686761E-4</v>
      </c>
      <c r="V1398" s="48" cm="1">
        <f t="array" ref="V1398">IFERROR(MAX(IF($B$4:$B$579="summer",IF($C$4:$C$579=$B1398,X$4:X$579)))/W$1264,0)</f>
        <v>1.3604119716139178E-4</v>
      </c>
      <c r="W1398" s="48" cm="1">
        <f t="array" ref="W1398">IFERROR(MAX(IF($B$4:$B$579="summer",IF($C$4:$C$579=$B1398,Y$4:Y$579)))/X$1264,0)</f>
        <v>1.3604119716139178E-4</v>
      </c>
      <c r="X1398" s="48" cm="1">
        <f t="array" ref="X1398">IFERROR(MAX(IF($B$4:$B$579="summer",IF($C$4:$C$579=$B1398,Z$4:Z$579)))/Y$1264,0)</f>
        <v>1.3604119716139178E-4</v>
      </c>
      <c r="Y1398" s="27"/>
      <c r="Z1398" s="10"/>
    </row>
    <row r="1399" spans="1:26" outlineLevel="1" x14ac:dyDescent="0.3">
      <c r="A1399" t="s">
        <v>167</v>
      </c>
      <c r="B1399" t="s">
        <v>73</v>
      </c>
      <c r="C1399" s="6" t="s">
        <v>148</v>
      </c>
      <c r="D1399" s="48" cm="1">
        <f t="array" ref="D1399">IFERROR(MAX(IF($B$4:$B$579="winter",IF($C$4:$C$579=$B1399,F$4:F$579)))/E$1264,0)</f>
        <v>2.9261433906848955E-4</v>
      </c>
      <c r="E1399" s="48" cm="1">
        <f t="array" ref="E1399">IFERROR(MAX(IF($B$4:$B$579="summer",IF($C$4:$C$579=$B1399,G$4:G$579)))/F$1264,0)</f>
        <v>4.7544493649997891E-4</v>
      </c>
      <c r="F1399" s="48" cm="1">
        <f t="array" ref="F1399">IFERROR(MAX(IF($B$4:$B$579="summer",IF($C$4:$C$579=$B1399,H$4:H$579)))/G$1264,0)</f>
        <v>0</v>
      </c>
      <c r="G1399" s="48" cm="1">
        <f t="array" ref="G1399">IFERROR(MAX(IF($B$4:$B$579="summer",IF($C$4:$C$579=$B1399,I$4:I$579)))/H$1264,0)</f>
        <v>5.4533984303426683E-5</v>
      </c>
      <c r="H1399" s="48" cm="1">
        <f t="array" ref="H1399">IFERROR(MAX(IF($B$4:$B$579="summer",IF($C$4:$C$579=$B1399,J$4:J$579)))/I$1264,0)</f>
        <v>1.3419391015508466E-4</v>
      </c>
      <c r="I1399" s="48" cm="1">
        <f t="array" ref="I1399">IFERROR(MAX(IF($B$4:$B$579="summer",IF($C$4:$C$579=$B1399,K$4:K$579)))/J$1264,0)</f>
        <v>1.3419391015508466E-4</v>
      </c>
      <c r="J1399" s="48" cm="1">
        <f t="array" ref="J1399">IFERROR(MAX(IF($B$4:$B$579="summer",IF($C$4:$C$579=$B1399,L$4:L$579)))/K$1264,0)</f>
        <v>5.3455553814352351E-6</v>
      </c>
      <c r="K1399" s="48" cm="1">
        <f t="array" ref="K1399">IFERROR(MAX(IF($B$4:$B$579="summer",IF($C$4:$C$579=$B1399,M$4:M$579)))/L$1264,0)</f>
        <v>8.2989287154670692E-4</v>
      </c>
      <c r="L1399" s="48" cm="1">
        <f t="array" ref="L1399">IFERROR(MAX(IF($B$4:$B$579="summer",IF($C$4:$C$579=$B1399,N$4:N$579)))/M$1264,0)</f>
        <v>0</v>
      </c>
      <c r="M1399" s="48" cm="1">
        <f t="array" ref="M1399">IFERROR(MAX(IF($B$4:$B$579="summer",IF($C$4:$C$579=$B1399,O$4:O$579)))/N$1264,0)</f>
        <v>2.0929869631555484E-4</v>
      </c>
      <c r="N1399" s="48" cm="1">
        <f t="array" ref="N1399">IFERROR(MAX(IF($B$4:$B$579="summer",IF($C$4:$C$579=$B1399,P$4:P$579)))/O$1264,0)</f>
        <v>2.0929869631555484E-4</v>
      </c>
      <c r="O1399" s="48" cm="1">
        <f t="array" ref="O1399">IFERROR(MAX(IF($B$4:$B$579="summer",IF($C$4:$C$579=$B1399,Q$4:Q$579)))/P$1264,0)</f>
        <v>2.0929869631555484E-4</v>
      </c>
      <c r="P1399" s="48" cm="1">
        <f t="array" ref="P1399">IFERROR(MAX(IF($B$4:$B$579="summer",IF($C$4:$C$579=$B1399,R$4:R$579)))/Q$1264,0)</f>
        <v>1.415739504201049E-4</v>
      </c>
      <c r="Q1399" s="48" cm="1">
        <f t="array" ref="Q1399">IFERROR(MAX(IF($B$4:$B$579="summer",IF($C$4:$C$579=$B1399,S$4:S$579)))/R$1264,0)</f>
        <v>1.415739504201049E-4</v>
      </c>
      <c r="R1399" s="48" cm="1">
        <f t="array" ref="R1399">IFERROR(MAX(IF($B$4:$B$579="summer",IF($C$4:$C$579=$B1399,T$4:T$579)))/S$1264,0)</f>
        <v>1.415739504201049E-4</v>
      </c>
      <c r="S1399" s="48" cm="1">
        <f t="array" ref="S1399">IFERROR(MAX(IF($B$4:$B$579="summer",IF($C$4:$C$579=$B1399,U$4:U$579)))/T$1264,0)</f>
        <v>1.415739504201049E-4</v>
      </c>
      <c r="T1399" s="48" cm="1">
        <f t="array" ref="T1399">IFERROR(MAX(IF($B$4:$B$579="summer",IF($C$4:$C$579=$B1399,V$4:V$579)))/U$1264,0)</f>
        <v>1.415739504201049E-4</v>
      </c>
      <c r="U1399" s="48" cm="1">
        <f t="array" ref="U1399">IFERROR(MAX(IF($B$4:$B$579="summer",IF($C$4:$C$579=$B1399,W$4:W$579)))/V$1264,0)</f>
        <v>1.415739504201049E-4</v>
      </c>
      <c r="V1399" s="48" cm="1">
        <f t="array" ref="V1399">IFERROR(MAX(IF($B$4:$B$579="summer",IF($C$4:$C$579=$B1399,X$4:X$579)))/W$1264,0)</f>
        <v>1.3564107599327004E-4</v>
      </c>
      <c r="W1399" s="48" cm="1">
        <f t="array" ref="W1399">IFERROR(MAX(IF($B$4:$B$579="summer",IF($C$4:$C$579=$B1399,Y$4:Y$579)))/X$1264,0)</f>
        <v>1.3564107599327004E-4</v>
      </c>
      <c r="X1399" s="48" cm="1">
        <f t="array" ref="X1399">IFERROR(MAX(IF($B$4:$B$579="summer",IF($C$4:$C$579=$B1399,Z$4:Z$579)))/Y$1264,0)</f>
        <v>1.3564107599327004E-4</v>
      </c>
      <c r="Y1399" s="27"/>
      <c r="Z1399" s="10"/>
    </row>
    <row r="1400" spans="1:26" outlineLevel="1" x14ac:dyDescent="0.3">
      <c r="A1400" t="s">
        <v>167</v>
      </c>
      <c r="B1400" t="s">
        <v>74</v>
      </c>
      <c r="C1400" s="6" t="s">
        <v>149</v>
      </c>
      <c r="D1400" s="48" cm="1">
        <f t="array" ref="D1400">IFERROR(MAX(IF($B$4:$B$579="winter",IF($C$4:$C$579=$B1400,F$4:F$579)))/E$1264,0)</f>
        <v>2.9096115071217045E-4</v>
      </c>
      <c r="E1400" s="48" cm="1">
        <f t="array" ref="E1400">IFERROR(MAX(IF($B$4:$B$579="summer",IF($C$4:$C$579=$B1400,G$4:G$579)))/F$1264,0)</f>
        <v>5.8269450476906826E-4</v>
      </c>
      <c r="F1400" s="48" cm="1">
        <f t="array" ref="F1400">IFERROR(MAX(IF($B$4:$B$579="summer",IF($C$4:$C$579=$B1400,H$4:H$579)))/G$1264,0)</f>
        <v>0</v>
      </c>
      <c r="G1400" s="48" cm="1">
        <f t="array" ref="G1400">IFERROR(MAX(IF($B$4:$B$579="summer",IF($C$4:$C$579=$B1400,I$4:I$579)))/H$1264,0)</f>
        <v>5.9781675927588839E-5</v>
      </c>
      <c r="H1400" s="48" cm="1">
        <f t="array" ref="H1400">IFERROR(MAX(IF($B$4:$B$579="summer",IF($C$4:$C$579=$B1400,J$4:J$579)))/I$1264,0)</f>
        <v>1.3497262677180638E-4</v>
      </c>
      <c r="I1400" s="48" cm="1">
        <f t="array" ref="I1400">IFERROR(MAX(IF($B$4:$B$579="summer",IF($C$4:$C$579=$B1400,K$4:K$579)))/J$1264,0)</f>
        <v>1.3497262677180638E-4</v>
      </c>
      <c r="J1400" s="48" cm="1">
        <f t="array" ref="J1400">IFERROR(MAX(IF($B$4:$B$579="summer",IF($C$4:$C$579=$B1400,L$4:L$579)))/K$1264,0)</f>
        <v>4.6515391663434298E-6</v>
      </c>
      <c r="K1400" s="48" cm="1">
        <f t="array" ref="K1400">IFERROR(MAX(IF($B$4:$B$579="summer",IF($C$4:$C$579=$B1400,M$4:M$579)))/L$1264,0)</f>
        <v>8.6722956515412517E-4</v>
      </c>
      <c r="L1400" s="48" cm="1">
        <f t="array" ref="L1400">IFERROR(MAX(IF($B$4:$B$579="summer",IF($C$4:$C$579=$B1400,N$4:N$579)))/M$1264,0)</f>
        <v>0</v>
      </c>
      <c r="M1400" s="48" cm="1">
        <f t="array" ref="M1400">IFERROR(MAX(IF($B$4:$B$579="summer",IF($C$4:$C$579=$B1400,O$4:O$579)))/N$1264,0)</f>
        <v>2.0866140267227054E-4</v>
      </c>
      <c r="N1400" s="48" cm="1">
        <f t="array" ref="N1400">IFERROR(MAX(IF($B$4:$B$579="summer",IF($C$4:$C$579=$B1400,P$4:P$579)))/O$1264,0)</f>
        <v>2.0866140267227054E-4</v>
      </c>
      <c r="O1400" s="48" cm="1">
        <f t="array" ref="O1400">IFERROR(MAX(IF($B$4:$B$579="summer",IF($C$4:$C$579=$B1400,Q$4:Q$579)))/P$1264,0)</f>
        <v>2.0866140267227054E-4</v>
      </c>
      <c r="P1400" s="48" cm="1">
        <f t="array" ref="P1400">IFERROR(MAX(IF($B$4:$B$579="summer",IF($C$4:$C$579=$B1400,R$4:R$579)))/Q$1264,0)</f>
        <v>1.4286098633301493E-4</v>
      </c>
      <c r="Q1400" s="48" cm="1">
        <f t="array" ref="Q1400">IFERROR(MAX(IF($B$4:$B$579="summer",IF($C$4:$C$579=$B1400,S$4:S$579)))/R$1264,0)</f>
        <v>1.4286098633301493E-4</v>
      </c>
      <c r="R1400" s="48" cm="1">
        <f t="array" ref="R1400">IFERROR(MAX(IF($B$4:$B$579="summer",IF($C$4:$C$579=$B1400,T$4:T$579)))/S$1264,0)</f>
        <v>1.4286098633301493E-4</v>
      </c>
      <c r="S1400" s="48" cm="1">
        <f t="array" ref="S1400">IFERROR(MAX(IF($B$4:$B$579="summer",IF($C$4:$C$579=$B1400,U$4:U$579)))/T$1264,0)</f>
        <v>1.4286098633301493E-4</v>
      </c>
      <c r="T1400" s="48" cm="1">
        <f t="array" ref="T1400">IFERROR(MAX(IF($B$4:$B$579="summer",IF($C$4:$C$579=$B1400,V$4:V$579)))/U$1264,0)</f>
        <v>1.4286098633301493E-4</v>
      </c>
      <c r="U1400" s="48" cm="1">
        <f t="array" ref="U1400">IFERROR(MAX(IF($B$4:$B$579="summer",IF($C$4:$C$579=$B1400,W$4:W$579)))/V$1264,0)</f>
        <v>1.4286098633301493E-4</v>
      </c>
      <c r="V1400" s="48" cm="1">
        <f t="array" ref="V1400">IFERROR(MAX(IF($B$4:$B$579="summer",IF($C$4:$C$579=$B1400,X$4:X$579)))/W$1264,0)</f>
        <v>1.3504089424108744E-4</v>
      </c>
      <c r="W1400" s="48" cm="1">
        <f t="array" ref="W1400">IFERROR(MAX(IF($B$4:$B$579="summer",IF($C$4:$C$579=$B1400,Y$4:Y$579)))/X$1264,0)</f>
        <v>1.3504089424108744E-4</v>
      </c>
      <c r="X1400" s="48" cm="1">
        <f t="array" ref="X1400">IFERROR(MAX(IF($B$4:$B$579="summer",IF($C$4:$C$579=$B1400,Z$4:Z$579)))/Y$1264,0)</f>
        <v>1.3504089424108744E-4</v>
      </c>
      <c r="Y1400" s="27"/>
      <c r="Z1400" s="10"/>
    </row>
    <row r="1401" spans="1:26" outlineLevel="1" x14ac:dyDescent="0.3">
      <c r="A1401" t="s">
        <v>167</v>
      </c>
      <c r="B1401" t="s">
        <v>75</v>
      </c>
      <c r="C1401" s="6" t="s">
        <v>150</v>
      </c>
      <c r="D1401" s="48" cm="1">
        <f t="array" ref="D1401">IFERROR(MAX(IF($B$4:$B$579="winter",IF($C$4:$C$579=$B1401,F$4:F$579)))/E$1264,0)</f>
        <v>2.8765477399953214E-4</v>
      </c>
      <c r="E1401" s="48" cm="1">
        <f t="array" ref="E1401">IFERROR(MAX(IF($B$4:$B$579="summer",IF($C$4:$C$579=$B1401,G$4:G$579)))/F$1264,0)</f>
        <v>6.7558783161631103E-4</v>
      </c>
      <c r="F1401" s="48" cm="1">
        <f t="array" ref="F1401">IFERROR(MAX(IF($B$4:$B$579="summer",IF($C$4:$C$579=$B1401,H$4:H$579)))/G$1264,0)</f>
        <v>0</v>
      </c>
      <c r="G1401" s="48" cm="1">
        <f t="array" ref="G1401">IFERROR(MAX(IF($B$4:$B$579="summer",IF($C$4:$C$579=$B1401,I$4:I$579)))/H$1264,0)</f>
        <v>6.2693986416400456E-5</v>
      </c>
      <c r="H1401" s="48" cm="1">
        <f t="array" ref="H1401">IFERROR(MAX(IF($B$4:$B$579="summer",IF($C$4:$C$579=$B1401,J$4:J$579)))/I$1264,0)</f>
        <v>1.3077949632910052E-4</v>
      </c>
      <c r="I1401" s="48" cm="1">
        <f t="array" ref="I1401">IFERROR(MAX(IF($B$4:$B$579="summer",IF($C$4:$C$579=$B1401,K$4:K$579)))/J$1264,0)</f>
        <v>1.3077949632910052E-4</v>
      </c>
      <c r="J1401" s="48" cm="1">
        <f t="array" ref="J1401">IFERROR(MAX(IF($B$4:$B$579="summer",IF($C$4:$C$579=$B1401,L$4:L$579)))/K$1264,0)</f>
        <v>4.2575161413506652E-6</v>
      </c>
      <c r="K1401" s="48" cm="1">
        <f t="array" ref="K1401">IFERROR(MAX(IF($B$4:$B$579="summer",IF($C$4:$C$579=$B1401,M$4:M$579)))/L$1264,0)</f>
        <v>8.7401805490092859E-4</v>
      </c>
      <c r="L1401" s="48" cm="1">
        <f t="array" ref="L1401">IFERROR(MAX(IF($B$4:$B$579="summer",IF($C$4:$C$579=$B1401,N$4:N$579)))/M$1264,0)</f>
        <v>0</v>
      </c>
      <c r="M1401" s="48" cm="1">
        <f t="array" ref="M1401">IFERROR(MAX(IF($B$4:$B$579="summer",IF($C$4:$C$579=$B1401,O$4:O$579)))/N$1264,0)</f>
        <v>2.0683642795401978E-4</v>
      </c>
      <c r="N1401" s="48" cm="1">
        <f t="array" ref="N1401">IFERROR(MAX(IF($B$4:$B$579="summer",IF($C$4:$C$579=$B1401,P$4:P$579)))/O$1264,0)</f>
        <v>2.0683642795401978E-4</v>
      </c>
      <c r="O1401" s="48" cm="1">
        <f t="array" ref="O1401">IFERROR(MAX(IF($B$4:$B$579="summer",IF($C$4:$C$579=$B1401,Q$4:Q$579)))/P$1264,0)</f>
        <v>2.0683642795401978E-4</v>
      </c>
      <c r="P1401" s="48" cm="1">
        <f t="array" ref="P1401">IFERROR(MAX(IF($B$4:$B$579="summer",IF($C$4:$C$579=$B1401,R$4:R$579)))/Q$1264,0)</f>
        <v>1.4543505815883503E-4</v>
      </c>
      <c r="Q1401" s="48" cm="1">
        <f t="array" ref="Q1401">IFERROR(MAX(IF($B$4:$B$579="summer",IF($C$4:$C$579=$B1401,S$4:S$579)))/R$1264,0)</f>
        <v>1.4543505815883503E-4</v>
      </c>
      <c r="R1401" s="48" cm="1">
        <f t="array" ref="R1401">IFERROR(MAX(IF($B$4:$B$579="summer",IF($C$4:$C$579=$B1401,T$4:T$579)))/S$1264,0)</f>
        <v>1.4543505815883503E-4</v>
      </c>
      <c r="S1401" s="48" cm="1">
        <f t="array" ref="S1401">IFERROR(MAX(IF($B$4:$B$579="summer",IF($C$4:$C$579=$B1401,U$4:U$579)))/T$1264,0)</f>
        <v>1.4543505815883503E-4</v>
      </c>
      <c r="T1401" s="48" cm="1">
        <f t="array" ref="T1401">IFERROR(MAX(IF($B$4:$B$579="summer",IF($C$4:$C$579=$B1401,V$4:V$579)))/U$1264,0)</f>
        <v>1.4543505815883503E-4</v>
      </c>
      <c r="U1401" s="48" cm="1">
        <f t="array" ref="U1401">IFERROR(MAX(IF($B$4:$B$579="summer",IF($C$4:$C$579=$B1401,W$4:W$579)))/V$1264,0)</f>
        <v>1.4543505815883503E-4</v>
      </c>
      <c r="V1401" s="48" cm="1">
        <f t="array" ref="V1401">IFERROR(MAX(IF($B$4:$B$579="summer",IF($C$4:$C$579=$B1401,X$4:X$579)))/W$1264,0)</f>
        <v>1.3464077307296569E-4</v>
      </c>
      <c r="W1401" s="48" cm="1">
        <f t="array" ref="W1401">IFERROR(MAX(IF($B$4:$B$579="summer",IF($C$4:$C$579=$B1401,Y$4:Y$579)))/X$1264,0)</f>
        <v>1.3464077307296569E-4</v>
      </c>
      <c r="X1401" s="48" cm="1">
        <f t="array" ref="X1401">IFERROR(MAX(IF($B$4:$B$579="summer",IF($C$4:$C$579=$B1401,Z$4:Z$579)))/Y$1264,0)</f>
        <v>1.3464077307296569E-4</v>
      </c>
      <c r="Y1401" s="27"/>
      <c r="Z1401" s="10"/>
    </row>
    <row r="1402" spans="1:26" outlineLevel="1" x14ac:dyDescent="0.3">
      <c r="A1402" t="s">
        <v>167</v>
      </c>
      <c r="B1402" t="s">
        <v>76</v>
      </c>
      <c r="C1402" s="6" t="s">
        <v>151</v>
      </c>
      <c r="D1402" s="48" cm="1">
        <f t="array" ref="D1402">IFERROR(MAX(IF($B$4:$B$579="winter",IF($C$4:$C$579=$B1402,F$4:F$579)))/E$1264,0)</f>
        <v>2.8269520893057468E-4</v>
      </c>
      <c r="E1402" s="48" cm="1">
        <f t="array" ref="E1402">IFERROR(MAX(IF($B$4:$B$579="summer",IF($C$4:$C$579=$B1402,G$4:G$579)))/F$1264,0)</f>
        <v>7.2456794940849363E-4</v>
      </c>
      <c r="F1402" s="48" cm="1">
        <f t="array" ref="F1402">IFERROR(MAX(IF($B$4:$B$579="summer",IF($C$4:$C$579=$B1402,H$4:H$579)))/G$1264,0)</f>
        <v>0</v>
      </c>
      <c r="G1402" s="48" cm="1">
        <f t="array" ref="G1402">IFERROR(MAX(IF($B$4:$B$579="summer",IF($C$4:$C$579=$B1402,I$4:I$579)))/H$1264,0)</f>
        <v>6.3899640001331234E-5</v>
      </c>
      <c r="H1402" s="48" cm="1">
        <f t="array" ref="H1402">IFERROR(MAX(IF($B$4:$B$579="summer",IF($C$4:$C$579=$B1402,J$4:J$579)))/I$1264,0)</f>
        <v>1.30404346662674E-4</v>
      </c>
      <c r="I1402" s="48" cm="1">
        <f t="array" ref="I1402">IFERROR(MAX(IF($B$4:$B$579="summer",IF($C$4:$C$579=$B1402,K$4:K$579)))/J$1264,0)</f>
        <v>1.30404346662674E-4</v>
      </c>
      <c r="J1402" s="48" cm="1">
        <f t="array" ref="J1402">IFERROR(MAX(IF($B$4:$B$579="summer",IF($C$4:$C$579=$B1402,L$4:L$579)))/K$1264,0)</f>
        <v>3.9279179947023207E-6</v>
      </c>
      <c r="K1402" s="48" cm="1">
        <f t="array" ref="K1402">IFERROR(MAX(IF($B$4:$B$579="summer",IF($C$4:$C$579=$B1402,M$4:M$579)))/L$1264,0)</f>
        <v>8.9947489145144103E-4</v>
      </c>
      <c r="L1402" s="48" cm="1">
        <f t="array" ref="L1402">IFERROR(MAX(IF($B$4:$B$579="summer",IF($C$4:$C$579=$B1402,N$4:N$579)))/M$1264,0)</f>
        <v>0</v>
      </c>
      <c r="M1402" s="48" cm="1">
        <f t="array" ref="M1402">IFERROR(MAX(IF($B$4:$B$579="summer",IF($C$4:$C$579=$B1402,O$4:O$579)))/N$1264,0)</f>
        <v>2.0520124081846545E-4</v>
      </c>
      <c r="N1402" s="48" cm="1">
        <f t="array" ref="N1402">IFERROR(MAX(IF($B$4:$B$579="summer",IF($C$4:$C$579=$B1402,P$4:P$579)))/O$1264,0)</f>
        <v>2.0520124081846545E-4</v>
      </c>
      <c r="O1402" s="48" cm="1">
        <f t="array" ref="O1402">IFERROR(MAX(IF($B$4:$B$579="summer",IF($C$4:$C$579=$B1402,Q$4:Q$579)))/P$1264,0)</f>
        <v>2.0520124081846545E-4</v>
      </c>
      <c r="P1402" s="48" cm="1">
        <f t="array" ref="P1402">IFERROR(MAX(IF($B$4:$B$579="summer",IF($C$4:$C$579=$B1402,R$4:R$579)))/Q$1264,0)</f>
        <v>1.4414802224592499E-4</v>
      </c>
      <c r="Q1402" s="48" cm="1">
        <f t="array" ref="Q1402">IFERROR(MAX(IF($B$4:$B$579="summer",IF($C$4:$C$579=$B1402,S$4:S$579)))/R$1264,0)</f>
        <v>1.4414802224592499E-4</v>
      </c>
      <c r="R1402" s="48" cm="1">
        <f t="array" ref="R1402">IFERROR(MAX(IF($B$4:$B$579="summer",IF($C$4:$C$579=$B1402,T$4:T$579)))/S$1264,0)</f>
        <v>1.4414802224592499E-4</v>
      </c>
      <c r="S1402" s="48" cm="1">
        <f t="array" ref="S1402">IFERROR(MAX(IF($B$4:$B$579="summer",IF($C$4:$C$579=$B1402,U$4:U$579)))/T$1264,0)</f>
        <v>1.4414802224592499E-4</v>
      </c>
      <c r="T1402" s="48" cm="1">
        <f t="array" ref="T1402">IFERROR(MAX(IF($B$4:$B$579="summer",IF($C$4:$C$579=$B1402,V$4:V$579)))/U$1264,0)</f>
        <v>1.4414802224592499E-4</v>
      </c>
      <c r="U1402" s="48" cm="1">
        <f t="array" ref="U1402">IFERROR(MAX(IF($B$4:$B$579="summer",IF($C$4:$C$579=$B1402,W$4:W$579)))/V$1264,0)</f>
        <v>1.4414802224592499E-4</v>
      </c>
      <c r="V1402" s="48" cm="1">
        <f t="array" ref="V1402">IFERROR(MAX(IF($B$4:$B$579="summer",IF($C$4:$C$579=$B1402,X$4:X$579)))/W$1264,0)</f>
        <v>1.3464077307296569E-4</v>
      </c>
      <c r="W1402" s="48" cm="1">
        <f t="array" ref="W1402">IFERROR(MAX(IF($B$4:$B$579="summer",IF($C$4:$C$579=$B1402,Y$4:Y$579)))/X$1264,0)</f>
        <v>1.3464077307296569E-4</v>
      </c>
      <c r="X1402" s="48" cm="1">
        <f t="array" ref="X1402">IFERROR(MAX(IF($B$4:$B$579="summer",IF($C$4:$C$579=$B1402,Z$4:Z$579)))/Y$1264,0)</f>
        <v>1.3464077307296569E-4</v>
      </c>
      <c r="Y1402" s="27"/>
      <c r="Z1402" s="10"/>
    </row>
    <row r="1403" spans="1:26" outlineLevel="1" x14ac:dyDescent="0.3">
      <c r="A1403" t="s">
        <v>167</v>
      </c>
      <c r="B1403" t="s">
        <v>77</v>
      </c>
      <c r="C1403" s="6" t="s">
        <v>152</v>
      </c>
      <c r="D1403" s="48" cm="1">
        <f t="array" ref="D1403">IFERROR(MAX(IF($B$4:$B$579="winter",IF($C$4:$C$579=$B1403,F$4:F$579)))/E$1264,0)</f>
        <v>2.8434839728689384E-4</v>
      </c>
      <c r="E1403" s="48" cm="1">
        <f t="array" ref="E1403">IFERROR(MAX(IF($B$4:$B$579="summer",IF($C$4:$C$579=$B1403,G$4:G$579)))/F$1264,0)</f>
        <v>7.6679218888451304E-4</v>
      </c>
      <c r="F1403" s="48" cm="1">
        <f t="array" ref="F1403">IFERROR(MAX(IF($B$4:$B$579="summer",IF($C$4:$C$579=$B1403,H$4:H$579)))/G$1264,0)</f>
        <v>0</v>
      </c>
      <c r="G1403" s="48" cm="1">
        <f t="array" ref="G1403">IFERROR(MAX(IF($B$4:$B$579="summer",IF($C$4:$C$579=$B1403,I$4:I$579)))/H$1264,0)</f>
        <v>6.5708120378727401E-5</v>
      </c>
      <c r="H1403" s="48" cm="1">
        <f t="array" ref="H1403">IFERROR(MAX(IF($B$4:$B$579="summer",IF($C$4:$C$579=$B1403,J$4:J$579)))/I$1264,0)</f>
        <v>1.3497518713238279E-4</v>
      </c>
      <c r="I1403" s="48" cm="1">
        <f t="array" ref="I1403">IFERROR(MAX(IF($B$4:$B$579="summer",IF($C$4:$C$579=$B1403,K$4:K$579)))/J$1264,0)</f>
        <v>1.3497518713238279E-4</v>
      </c>
      <c r="J1403" s="48" cm="1">
        <f t="array" ref="J1403">IFERROR(MAX(IF($B$4:$B$579="summer",IF($C$4:$C$579=$B1403,L$4:L$579)))/K$1264,0)</f>
        <v>3.63872502848514E-6</v>
      </c>
      <c r="K1403" s="48" cm="1">
        <f t="array" ref="K1403">IFERROR(MAX(IF($B$4:$B$579="summer",IF($C$4:$C$579=$B1403,M$4:M$579)))/L$1264,0)</f>
        <v>9.1814323825515015E-4</v>
      </c>
      <c r="L1403" s="48" cm="1">
        <f t="array" ref="L1403">IFERROR(MAX(IF($B$4:$B$579="summer",IF($C$4:$C$579=$B1403,N$4:N$579)))/M$1264,0)</f>
        <v>0</v>
      </c>
      <c r="M1403" s="48" cm="1">
        <f t="array" ref="M1403">IFERROR(MAX(IF($B$4:$B$579="summer",IF($C$4:$C$579=$B1403,O$4:O$579)))/N$1264,0)</f>
        <v>2.0520124081846545E-4</v>
      </c>
      <c r="N1403" s="48" cm="1">
        <f t="array" ref="N1403">IFERROR(MAX(IF($B$4:$B$579="summer",IF($C$4:$C$579=$B1403,P$4:P$579)))/O$1264,0)</f>
        <v>2.0520124081846545E-4</v>
      </c>
      <c r="O1403" s="48" cm="1">
        <f t="array" ref="O1403">IFERROR(MAX(IF($B$4:$B$579="summer",IF($C$4:$C$579=$B1403,Q$4:Q$579)))/P$1264,0)</f>
        <v>2.0520124081846545E-4</v>
      </c>
      <c r="P1403" s="48" cm="1">
        <f t="array" ref="P1403">IFERROR(MAX(IF($B$4:$B$579="summer",IF($C$4:$C$579=$B1403,R$4:R$579)))/Q$1264,0)</f>
        <v>1.4286098633301493E-4</v>
      </c>
      <c r="Q1403" s="48" cm="1">
        <f t="array" ref="Q1403">IFERROR(MAX(IF($B$4:$B$579="summer",IF($C$4:$C$579=$B1403,S$4:S$579)))/R$1264,0)</f>
        <v>1.4286098633301493E-4</v>
      </c>
      <c r="R1403" s="48" cm="1">
        <f t="array" ref="R1403">IFERROR(MAX(IF($B$4:$B$579="summer",IF($C$4:$C$579=$B1403,T$4:T$579)))/S$1264,0)</f>
        <v>1.4286098633301493E-4</v>
      </c>
      <c r="S1403" s="48" cm="1">
        <f t="array" ref="S1403">IFERROR(MAX(IF($B$4:$B$579="summer",IF($C$4:$C$579=$B1403,U$4:U$579)))/T$1264,0)</f>
        <v>1.4286098633301493E-4</v>
      </c>
      <c r="T1403" s="48" cm="1">
        <f t="array" ref="T1403">IFERROR(MAX(IF($B$4:$B$579="summer",IF($C$4:$C$579=$B1403,V$4:V$579)))/U$1264,0)</f>
        <v>1.4286098633301493E-4</v>
      </c>
      <c r="U1403" s="48" cm="1">
        <f t="array" ref="U1403">IFERROR(MAX(IF($B$4:$B$579="summer",IF($C$4:$C$579=$B1403,W$4:W$579)))/V$1264,0)</f>
        <v>1.4286098633301493E-4</v>
      </c>
      <c r="V1403" s="48" cm="1">
        <f t="array" ref="V1403">IFERROR(MAX(IF($B$4:$B$579="summer",IF($C$4:$C$579=$B1403,X$4:X$579)))/W$1264,0)</f>
        <v>1.3484083365702655E-4</v>
      </c>
      <c r="W1403" s="48" cm="1">
        <f t="array" ref="W1403">IFERROR(MAX(IF($B$4:$B$579="summer",IF($C$4:$C$579=$B1403,Y$4:Y$579)))/X$1264,0)</f>
        <v>1.3484083365702655E-4</v>
      </c>
      <c r="X1403" s="48" cm="1">
        <f t="array" ref="X1403">IFERROR(MAX(IF($B$4:$B$579="summer",IF($C$4:$C$579=$B1403,Z$4:Z$579)))/Y$1264,0)</f>
        <v>1.3484083365702655E-4</v>
      </c>
      <c r="Y1403" s="27"/>
      <c r="Z1403" s="10"/>
    </row>
    <row r="1404" spans="1:26" outlineLevel="1" x14ac:dyDescent="0.3">
      <c r="A1404" t="s">
        <v>167</v>
      </c>
      <c r="B1404" t="s">
        <v>78</v>
      </c>
      <c r="C1404" s="6" t="s">
        <v>153</v>
      </c>
      <c r="D1404" s="48" cm="1">
        <f t="array" ref="D1404">IFERROR(MAX(IF($B$4:$B$579="winter",IF($C$4:$C$579=$B1404,F$4:F$579)))/E$1264,0)</f>
        <v>2.9592071578112786E-4</v>
      </c>
      <c r="E1404" s="48" cm="1">
        <f t="array" ref="E1404">IFERROR(MAX(IF($B$4:$B$579="summer",IF($C$4:$C$579=$B1404,G$4:G$579)))/F$1264,0)</f>
        <v>8.2675060894046068E-4</v>
      </c>
      <c r="F1404" s="48" cm="1">
        <f t="array" ref="F1404">IFERROR(MAX(IF($B$4:$B$579="summer",IF($C$4:$C$579=$B1404,H$4:H$579)))/G$1264,0)</f>
        <v>0</v>
      </c>
      <c r="G1404" s="48" cm="1">
        <f t="array" ref="G1404">IFERROR(MAX(IF($B$4:$B$579="summer",IF($C$4:$C$579=$B1404,I$4:I$579)))/H$1264,0)</f>
        <v>7.1133561510915901E-5</v>
      </c>
      <c r="H1404" s="48" cm="1">
        <f t="array" ref="H1404">IFERROR(MAX(IF($B$4:$B$579="summer",IF($C$4:$C$579=$B1404,J$4:J$579)))/I$1264,0)</f>
        <v>1.5239451257965115E-4</v>
      </c>
      <c r="I1404" s="48" cm="1">
        <f t="array" ref="I1404">IFERROR(MAX(IF($B$4:$B$579="summer",IF($C$4:$C$579=$B1404,K$4:K$579)))/J$1264,0)</f>
        <v>1.5239451257965115E-4</v>
      </c>
      <c r="J1404" s="48" cm="1">
        <f t="array" ref="J1404">IFERROR(MAX(IF($B$4:$B$579="summer",IF($C$4:$C$579=$B1404,L$4:L$579)))/K$1264,0)</f>
        <v>3.3437863431628092E-6</v>
      </c>
      <c r="K1404" s="48" cm="1">
        <f t="array" ref="K1404">IFERROR(MAX(IF($B$4:$B$579="summer",IF($C$4:$C$579=$B1404,M$4:M$579)))/L$1264,0)</f>
        <v>9.1305187094504765E-4</v>
      </c>
      <c r="L1404" s="48" cm="1">
        <f t="array" ref="L1404">IFERROR(MAX(IF($B$4:$B$579="summer",IF($C$4:$C$579=$B1404,N$4:N$579)))/M$1264,0)</f>
        <v>0</v>
      </c>
      <c r="M1404" s="48" cm="1">
        <f t="array" ref="M1404">IFERROR(MAX(IF($B$4:$B$579="summer",IF($C$4:$C$579=$B1404,O$4:O$579)))/N$1264,0)</f>
        <v>2.0560719130489297E-4</v>
      </c>
      <c r="N1404" s="48" cm="1">
        <f t="array" ref="N1404">IFERROR(MAX(IF($B$4:$B$579="summer",IF($C$4:$C$579=$B1404,P$4:P$579)))/O$1264,0)</f>
        <v>2.0560719130489297E-4</v>
      </c>
      <c r="O1404" s="48" cm="1">
        <f t="array" ref="O1404">IFERROR(MAX(IF($B$4:$B$579="summer",IF($C$4:$C$579=$B1404,Q$4:Q$579)))/P$1264,0)</f>
        <v>2.0560719130489297E-4</v>
      </c>
      <c r="P1404" s="48" cm="1">
        <f t="array" ref="P1404">IFERROR(MAX(IF($B$4:$B$579="summer",IF($C$4:$C$579=$B1404,R$4:R$579)))/Q$1264,0)</f>
        <v>1.6860170459121582E-4</v>
      </c>
      <c r="Q1404" s="48" cm="1">
        <f t="array" ref="Q1404">IFERROR(MAX(IF($B$4:$B$579="summer",IF($C$4:$C$579=$B1404,S$4:S$579)))/R$1264,0)</f>
        <v>1.6860170459121582E-4</v>
      </c>
      <c r="R1404" s="48" cm="1">
        <f t="array" ref="R1404">IFERROR(MAX(IF($B$4:$B$579="summer",IF($C$4:$C$579=$B1404,T$4:T$579)))/S$1264,0)</f>
        <v>1.6860170459121582E-4</v>
      </c>
      <c r="S1404" s="48" cm="1">
        <f t="array" ref="S1404">IFERROR(MAX(IF($B$4:$B$579="summer",IF($C$4:$C$579=$B1404,U$4:U$579)))/T$1264,0)</f>
        <v>1.6860170459121582E-4</v>
      </c>
      <c r="T1404" s="48" cm="1">
        <f t="array" ref="T1404">IFERROR(MAX(IF($B$4:$B$579="summer",IF($C$4:$C$579=$B1404,V$4:V$579)))/U$1264,0)</f>
        <v>1.6860170459121582E-4</v>
      </c>
      <c r="U1404" s="48" cm="1">
        <f t="array" ref="U1404">IFERROR(MAX(IF($B$4:$B$579="summer",IF($C$4:$C$579=$B1404,W$4:W$579)))/V$1264,0)</f>
        <v>1.6860170459121582E-4</v>
      </c>
      <c r="V1404" s="48" cm="1">
        <f t="array" ref="V1404">IFERROR(MAX(IF($B$4:$B$579="summer",IF($C$4:$C$579=$B1404,X$4:X$579)))/W$1264,0)</f>
        <v>1.3604119716139178E-4</v>
      </c>
      <c r="W1404" s="48" cm="1">
        <f t="array" ref="W1404">IFERROR(MAX(IF($B$4:$B$579="summer",IF($C$4:$C$579=$B1404,Y$4:Y$579)))/X$1264,0)</f>
        <v>1.3604119716139178E-4</v>
      </c>
      <c r="X1404" s="48" cm="1">
        <f t="array" ref="X1404">IFERROR(MAX(IF($B$4:$B$579="summer",IF($C$4:$C$579=$B1404,Z$4:Z$579)))/Y$1264,0)</f>
        <v>1.3604119716139178E-4</v>
      </c>
      <c r="Y1404" s="27"/>
      <c r="Z1404" s="10"/>
    </row>
    <row r="1405" spans="1:26" outlineLevel="1" x14ac:dyDescent="0.3">
      <c r="A1405" t="s">
        <v>167</v>
      </c>
      <c r="B1405" t="s">
        <v>79</v>
      </c>
      <c r="C1405" s="6" t="s">
        <v>154</v>
      </c>
      <c r="D1405" s="48" cm="1">
        <f t="array" ref="D1405">IFERROR(MAX(IF($B$4:$B$579="winter",IF($C$4:$C$579=$B1405,F$4:F$579)))/E$1264,0)</f>
        <v>3.1410578770063851E-4</v>
      </c>
      <c r="E1405" s="48" cm="1">
        <f t="array" ref="E1405">IFERROR(MAX(IF($B$4:$B$579="summer",IF($C$4:$C$579=$B1405,G$4:G$579)))/F$1264,0)</f>
        <v>8.6981933320600042E-4</v>
      </c>
      <c r="F1405" s="48" cm="1">
        <f t="array" ref="F1405">IFERROR(MAX(IF($B$4:$B$579="summer",IF($C$4:$C$579=$B1405,H$4:H$579)))/G$1264,0)</f>
        <v>0</v>
      </c>
      <c r="G1405" s="48" cm="1">
        <f t="array" ref="G1405">IFERROR(MAX(IF($B$4:$B$579="summer",IF($C$4:$C$579=$B1405,I$4:I$579)))/H$1264,0)</f>
        <v>7.7161829435569789E-5</v>
      </c>
      <c r="H1405" s="48" cm="1">
        <f t="array" ref="H1405">IFERROR(MAX(IF($B$4:$B$579="summer",IF($C$4:$C$579=$B1405,J$4:J$579)))/I$1264,0)</f>
        <v>1.8340990998623889E-4</v>
      </c>
      <c r="I1405" s="48" cm="1">
        <f t="array" ref="I1405">IFERROR(MAX(IF($B$4:$B$579="summer",IF($C$4:$C$579=$B1405,K$4:K$579)))/J$1264,0)</f>
        <v>1.8340990998623889E-4</v>
      </c>
      <c r="J1405" s="48" cm="1">
        <f t="array" ref="J1405">IFERROR(MAX(IF($B$4:$B$579="summer",IF($C$4:$C$579=$B1405,L$4:L$579)))/K$1264,0)</f>
        <v>3.1155004680828132E-6</v>
      </c>
      <c r="K1405" s="48" cm="1">
        <f t="array" ref="K1405">IFERROR(MAX(IF($B$4:$B$579="summer",IF($C$4:$C$579=$B1405,M$4:M$579)))/L$1264,0)</f>
        <v>8.8759503439453521E-4</v>
      </c>
      <c r="L1405" s="48" cm="1">
        <f t="array" ref="L1405">IFERROR(MAX(IF($B$4:$B$579="summer",IF($C$4:$C$579=$B1405,N$4:N$579)))/M$1264,0)</f>
        <v>0</v>
      </c>
      <c r="M1405" s="48" cm="1">
        <f t="array" ref="M1405">IFERROR(MAX(IF($B$4:$B$579="summer",IF($C$4:$C$579=$B1405,O$4:O$579)))/N$1264,0)</f>
        <v>1.9946100805925886E-4</v>
      </c>
      <c r="N1405" s="48" cm="1">
        <f t="array" ref="N1405">IFERROR(MAX(IF($B$4:$B$579="summer",IF($C$4:$C$579=$B1405,P$4:P$579)))/O$1264,0)</f>
        <v>1.9946100805925886E-4</v>
      </c>
      <c r="O1405" s="48" cm="1">
        <f t="array" ref="O1405">IFERROR(MAX(IF($B$4:$B$579="summer",IF($C$4:$C$579=$B1405,Q$4:Q$579)))/P$1264,0)</f>
        <v>1.9946100805925886E-4</v>
      </c>
      <c r="P1405" s="48" cm="1">
        <f t="array" ref="P1405">IFERROR(MAX(IF($B$4:$B$579="summer",IF($C$4:$C$579=$B1405,R$4:R$579)))/Q$1264,0)</f>
        <v>1.9562945876232677E-4</v>
      </c>
      <c r="Q1405" s="48" cm="1">
        <f t="array" ref="Q1405">IFERROR(MAX(IF($B$4:$B$579="summer",IF($C$4:$C$579=$B1405,S$4:S$579)))/R$1264,0)</f>
        <v>1.9562945876232677E-4</v>
      </c>
      <c r="R1405" s="48" cm="1">
        <f t="array" ref="R1405">IFERROR(MAX(IF($B$4:$B$579="summer",IF($C$4:$C$579=$B1405,T$4:T$579)))/S$1264,0)</f>
        <v>1.9562945876232677E-4</v>
      </c>
      <c r="S1405" s="48" cm="1">
        <f t="array" ref="S1405">IFERROR(MAX(IF($B$4:$B$579="summer",IF($C$4:$C$579=$B1405,U$4:U$579)))/T$1264,0)</f>
        <v>1.9562945876232677E-4</v>
      </c>
      <c r="T1405" s="48" cm="1">
        <f t="array" ref="T1405">IFERROR(MAX(IF($B$4:$B$579="summer",IF($C$4:$C$579=$B1405,V$4:V$579)))/U$1264,0)</f>
        <v>1.9562945876232677E-4</v>
      </c>
      <c r="U1405" s="48" cm="1">
        <f t="array" ref="U1405">IFERROR(MAX(IF($B$4:$B$579="summer",IF($C$4:$C$579=$B1405,W$4:W$579)))/V$1264,0)</f>
        <v>1.9562945876232677E-4</v>
      </c>
      <c r="V1405" s="48" cm="1">
        <f t="array" ref="V1405">IFERROR(MAX(IF($B$4:$B$579="summer",IF($C$4:$C$579=$B1405,X$4:X$579)))/W$1264,0)</f>
        <v>1.3724156066575701E-4</v>
      </c>
      <c r="W1405" s="48" cm="1">
        <f t="array" ref="W1405">IFERROR(MAX(IF($B$4:$B$579="summer",IF($C$4:$C$579=$B1405,Y$4:Y$579)))/X$1264,0)</f>
        <v>1.3724156066575701E-4</v>
      </c>
      <c r="X1405" s="48" cm="1">
        <f t="array" ref="X1405">IFERROR(MAX(IF($B$4:$B$579="summer",IF($C$4:$C$579=$B1405,Z$4:Z$579)))/Y$1264,0)</f>
        <v>1.3724156066575701E-4</v>
      </c>
      <c r="Y1405" s="27"/>
      <c r="Z1405" s="10"/>
    </row>
    <row r="1406" spans="1:26" outlineLevel="1" x14ac:dyDescent="0.3">
      <c r="A1406" t="s">
        <v>167</v>
      </c>
      <c r="B1406" t="s">
        <v>80</v>
      </c>
      <c r="C1406" s="6" t="s">
        <v>155</v>
      </c>
      <c r="D1406" s="48" cm="1">
        <f t="array" ref="D1406">IFERROR(MAX(IF($B$4:$B$579="winter",IF($C$4:$C$579=$B1406,F$4:F$579)))/E$1264,0)</f>
        <v>3.3559723633278747E-4</v>
      </c>
      <c r="E1406" s="48" cm="1">
        <f t="array" ref="E1406">IFERROR(MAX(IF($B$4:$B$579="summer",IF($C$4:$C$579=$B1406,G$4:G$579)))/F$1264,0)</f>
        <v>8.9515387689161215E-4</v>
      </c>
      <c r="F1406" s="48" cm="1">
        <f t="array" ref="F1406">IFERROR(MAX(IF($B$4:$B$579="summer",IF($C$4:$C$579=$B1406,H$4:H$579)))/G$1264,0)</f>
        <v>0</v>
      </c>
      <c r="G1406" s="48" cm="1">
        <f t="array" ref="G1406">IFERROR(MAX(IF($B$4:$B$579="summer",IF($C$4:$C$579=$B1406,I$4:I$579)))/H$1264,0)</f>
        <v>1.0971447622870079E-4</v>
      </c>
      <c r="H1406" s="48" cm="1">
        <f t="array" ref="H1406">IFERROR(MAX(IF($B$4:$B$579="summer",IF($C$4:$C$579=$B1406,J$4:J$579)))/I$1264,0)</f>
        <v>2.0107532043722883E-4</v>
      </c>
      <c r="I1406" s="48" cm="1">
        <f t="array" ref="I1406">IFERROR(MAX(IF($B$4:$B$579="summer",IF($C$4:$C$579=$B1406,K$4:K$579)))/J$1264,0)</f>
        <v>2.0107532043722883E-4</v>
      </c>
      <c r="J1406" s="48" cm="1">
        <f t="array" ref="J1406">IFERROR(MAX(IF($B$4:$B$579="summer",IF($C$4:$C$579=$B1406,L$4:L$579)))/K$1264,0)</f>
        <v>3.1786786920134411E-6</v>
      </c>
      <c r="K1406" s="48" cm="1">
        <f t="array" ref="K1406">IFERROR(MAX(IF($B$4:$B$579="summer",IF($C$4:$C$579=$B1406,M$4:M$579)))/L$1264,0)</f>
        <v>8.3837848373021103E-4</v>
      </c>
      <c r="L1406" s="48" cm="1">
        <f t="array" ref="L1406">IFERROR(MAX(IF($B$4:$B$579="summer",IF($C$4:$C$579=$B1406,N$4:N$579)))/M$1264,0)</f>
        <v>0</v>
      </c>
      <c r="M1406" s="48" cm="1">
        <f t="array" ref="M1406">IFERROR(MAX(IF($B$4:$B$579="summer",IF($C$4:$C$579=$B1406,O$4:O$579)))/N$1264,0)</f>
        <v>1.8757838711769962E-4</v>
      </c>
      <c r="N1406" s="48" cm="1">
        <f t="array" ref="N1406">IFERROR(MAX(IF($B$4:$B$579="summer",IF($C$4:$C$579=$B1406,P$4:P$579)))/O$1264,0)</f>
        <v>1.8757838711769962E-4</v>
      </c>
      <c r="O1406" s="48" cm="1">
        <f t="array" ref="O1406">IFERROR(MAX(IF($B$4:$B$579="summer",IF($C$4:$C$579=$B1406,Q$4:Q$579)))/P$1264,0)</f>
        <v>1.8757838711769962E-4</v>
      </c>
      <c r="P1406" s="48" cm="1">
        <f t="array" ref="P1406">IFERROR(MAX(IF($B$4:$B$579="summer",IF($C$4:$C$579=$B1406,R$4:R$579)))/Q$1264,0)</f>
        <v>2.0721278197851717E-4</v>
      </c>
      <c r="Q1406" s="48" cm="1">
        <f t="array" ref="Q1406">IFERROR(MAX(IF($B$4:$B$579="summer",IF($C$4:$C$579=$B1406,S$4:S$579)))/R$1264,0)</f>
        <v>2.0721278197851717E-4</v>
      </c>
      <c r="R1406" s="48" cm="1">
        <f t="array" ref="R1406">IFERROR(MAX(IF($B$4:$B$579="summer",IF($C$4:$C$579=$B1406,T$4:T$579)))/S$1264,0)</f>
        <v>2.0721278197851717E-4</v>
      </c>
      <c r="S1406" s="48" cm="1">
        <f t="array" ref="S1406">IFERROR(MAX(IF($B$4:$B$579="summer",IF($C$4:$C$579=$B1406,U$4:U$579)))/T$1264,0)</f>
        <v>2.0721278197851717E-4</v>
      </c>
      <c r="T1406" s="48" cm="1">
        <f t="array" ref="T1406">IFERROR(MAX(IF($B$4:$B$579="summer",IF($C$4:$C$579=$B1406,V$4:V$579)))/U$1264,0)</f>
        <v>2.0721278197851717E-4</v>
      </c>
      <c r="U1406" s="48" cm="1">
        <f t="array" ref="U1406">IFERROR(MAX(IF($B$4:$B$579="summer",IF($C$4:$C$579=$B1406,W$4:W$579)))/V$1264,0)</f>
        <v>2.0721278197851717E-4</v>
      </c>
      <c r="V1406" s="48" cm="1">
        <f t="array" ref="V1406">IFERROR(MAX(IF($B$4:$B$579="summer",IF($C$4:$C$579=$B1406,X$4:X$579)))/W$1264,0)</f>
        <v>1.3764168183387875E-4</v>
      </c>
      <c r="W1406" s="48" cm="1">
        <f t="array" ref="W1406">IFERROR(MAX(IF($B$4:$B$579="summer",IF($C$4:$C$579=$B1406,Y$4:Y$579)))/X$1264,0)</f>
        <v>1.3764168183387875E-4</v>
      </c>
      <c r="X1406" s="48" cm="1">
        <f t="array" ref="X1406">IFERROR(MAX(IF($B$4:$B$579="summer",IF($C$4:$C$579=$B1406,Z$4:Z$579)))/Y$1264,0)</f>
        <v>1.3764168183387875E-4</v>
      </c>
      <c r="Y1406" s="27"/>
      <c r="Z1406" s="10"/>
    </row>
    <row r="1407" spans="1:26" outlineLevel="1" x14ac:dyDescent="0.3">
      <c r="A1407" t="s">
        <v>167</v>
      </c>
      <c r="B1407" t="s">
        <v>81</v>
      </c>
      <c r="C1407" s="6" t="s">
        <v>156</v>
      </c>
      <c r="D1407" s="48" cm="1">
        <f t="array" ref="D1407">IFERROR(MAX(IF($B$4:$B$579="winter",IF($C$4:$C$579=$B1407,F$4:F$579)))/E$1264,0)</f>
        <v>3.6370143839021304E-4</v>
      </c>
      <c r="E1407" s="48" cm="1">
        <f t="array" ref="E1407">IFERROR(MAX(IF($B$4:$B$579="summer",IF($C$4:$C$579=$B1407,G$4:G$579)))/F$1264,0)</f>
        <v>9.0359872478681599E-4</v>
      </c>
      <c r="F1407" s="48" cm="1">
        <f t="array" ref="F1407">IFERROR(MAX(IF($B$4:$B$579="summer",IF($C$4:$C$579=$B1407,H$4:H$579)))/G$1264,0)</f>
        <v>0</v>
      </c>
      <c r="G1407" s="48" cm="1">
        <f t="array" ref="G1407">IFERROR(MAX(IF($B$4:$B$579="summer",IF($C$4:$C$579=$B1407,I$4:I$579)))/H$1264,0)</f>
        <v>3.0744166415734835E-4</v>
      </c>
      <c r="H1407" s="48" cm="1">
        <f t="array" ref="H1407">IFERROR(MAX(IF($B$4:$B$579="summer",IF($C$4:$C$579=$B1407,J$4:J$579)))/I$1264,0)</f>
        <v>1.9636921211461543E-4</v>
      </c>
      <c r="I1407" s="48" cm="1">
        <f t="array" ref="I1407">IFERROR(MAX(IF($B$4:$B$579="summer",IF($C$4:$C$579=$B1407,K$4:K$579)))/J$1264,0)</f>
        <v>1.9636921211461543E-4</v>
      </c>
      <c r="J1407" s="48" cm="1">
        <f t="array" ref="J1407">IFERROR(MAX(IF($B$4:$B$579="summer",IF($C$4:$C$579=$B1407,L$4:L$579)))/K$1264,0)</f>
        <v>3.7112716751887179E-6</v>
      </c>
      <c r="K1407" s="48" cm="1">
        <f t="array" ref="K1407">IFERROR(MAX(IF($B$4:$B$579="summer",IF($C$4:$C$579=$B1407,M$4:M$579)))/L$1264,0)</f>
        <v>7.8746481062918615E-4</v>
      </c>
      <c r="L1407" s="48" cm="1">
        <f t="array" ref="L1407">IFERROR(MAX(IF($B$4:$B$579="summer",IF($C$4:$C$579=$B1407,N$4:N$579)))/M$1264,0)</f>
        <v>0</v>
      </c>
      <c r="M1407" s="48" cm="1">
        <f t="array" ref="M1407">IFERROR(MAX(IF($B$4:$B$579="summer",IF($C$4:$C$579=$B1407,O$4:O$579)))/N$1264,0)</f>
        <v>1.7774828898796646E-4</v>
      </c>
      <c r="N1407" s="48" cm="1">
        <f t="array" ref="N1407">IFERROR(MAX(IF($B$4:$B$579="summer",IF($C$4:$C$579=$B1407,P$4:P$579)))/O$1264,0)</f>
        <v>1.7774828898796646E-4</v>
      </c>
      <c r="O1407" s="48" cm="1">
        <f t="array" ref="O1407">IFERROR(MAX(IF($B$4:$B$579="summer",IF($C$4:$C$579=$B1407,Q$4:Q$579)))/P$1264,0)</f>
        <v>1.7774828898796646E-4</v>
      </c>
      <c r="P1407" s="48" cm="1">
        <f t="array" ref="P1407">IFERROR(MAX(IF($B$4:$B$579="summer",IF($C$4:$C$579=$B1407,R$4:R$579)))/Q$1264,0)</f>
        <v>1.9176835102359662E-4</v>
      </c>
      <c r="Q1407" s="48" cm="1">
        <f t="array" ref="Q1407">IFERROR(MAX(IF($B$4:$B$579="summer",IF($C$4:$C$579=$B1407,S$4:S$579)))/R$1264,0)</f>
        <v>1.9176835102359662E-4</v>
      </c>
      <c r="R1407" s="48" cm="1">
        <f t="array" ref="R1407">IFERROR(MAX(IF($B$4:$B$579="summer",IF($C$4:$C$579=$B1407,T$4:T$579)))/S$1264,0)</f>
        <v>1.9176835102359662E-4</v>
      </c>
      <c r="S1407" s="48" cm="1">
        <f t="array" ref="S1407">IFERROR(MAX(IF($B$4:$B$579="summer",IF($C$4:$C$579=$B1407,U$4:U$579)))/T$1264,0)</f>
        <v>1.9176835102359662E-4</v>
      </c>
      <c r="T1407" s="48" cm="1">
        <f t="array" ref="T1407">IFERROR(MAX(IF($B$4:$B$579="summer",IF($C$4:$C$579=$B1407,V$4:V$579)))/U$1264,0)</f>
        <v>1.9176835102359662E-4</v>
      </c>
      <c r="U1407" s="48" cm="1">
        <f t="array" ref="U1407">IFERROR(MAX(IF($B$4:$B$579="summer",IF($C$4:$C$579=$B1407,W$4:W$579)))/V$1264,0)</f>
        <v>1.9176835102359662E-4</v>
      </c>
      <c r="V1407" s="48" cm="1">
        <f t="array" ref="V1407">IFERROR(MAX(IF($B$4:$B$579="summer",IF($C$4:$C$579=$B1407,X$4:X$579)))/W$1264,0)</f>
        <v>1.3684143949763527E-4</v>
      </c>
      <c r="W1407" s="48" cm="1">
        <f t="array" ref="W1407">IFERROR(MAX(IF($B$4:$B$579="summer",IF($C$4:$C$579=$B1407,Y$4:Y$579)))/X$1264,0)</f>
        <v>1.3684143949763527E-4</v>
      </c>
      <c r="X1407" s="48" cm="1">
        <f t="array" ref="X1407">IFERROR(MAX(IF($B$4:$B$579="summer",IF($C$4:$C$579=$B1407,Z$4:Z$579)))/Y$1264,0)</f>
        <v>1.3684143949763527E-4</v>
      </c>
      <c r="Y1407" s="27"/>
      <c r="Z1407" s="10"/>
    </row>
    <row r="1408" spans="1:26" outlineLevel="1" x14ac:dyDescent="0.3">
      <c r="A1408" t="s">
        <v>167</v>
      </c>
      <c r="B1408" t="s">
        <v>82</v>
      </c>
      <c r="C1408" s="6" t="s">
        <v>157</v>
      </c>
      <c r="D1408" s="48" cm="1">
        <f t="array" ref="D1408">IFERROR(MAX(IF($B$4:$B$579="winter",IF($C$4:$C$579=$B1408,F$4:F$579)))/E$1264,0)</f>
        <v>3.9015245209131946E-4</v>
      </c>
      <c r="E1408" s="48" cm="1">
        <f t="array" ref="E1408">IFERROR(MAX(IF($B$4:$B$579="summer",IF($C$4:$C$579=$B1408,G$4:G$579)))/F$1264,0)</f>
        <v>8.867090289964082E-4</v>
      </c>
      <c r="F1408" s="48" cm="1">
        <f t="array" ref="F1408">IFERROR(MAX(IF($B$4:$B$579="summer",IF($C$4:$C$579=$B1408,H$4:H$579)))/G$1264,0)</f>
        <v>0</v>
      </c>
      <c r="G1408" s="48" cm="1">
        <f t="array" ref="G1408">IFERROR(MAX(IF($B$4:$B$579="summer",IF($C$4:$C$579=$B1408,I$4:I$579)))/H$1264,0)</f>
        <v>3.3095190906349853E-4</v>
      </c>
      <c r="H1408" s="48" cm="1">
        <f t="array" ref="H1408">IFERROR(MAX(IF($B$4:$B$579="summer",IF($C$4:$C$579=$B1408,J$4:J$579)))/I$1264,0)</f>
        <v>1.8660691558837445E-4</v>
      </c>
      <c r="I1408" s="48" cm="1">
        <f t="array" ref="I1408">IFERROR(MAX(IF($B$4:$B$579="summer",IF($C$4:$C$579=$B1408,K$4:K$579)))/J$1264,0)</f>
        <v>1.8660691558837445E-4</v>
      </c>
      <c r="J1408" s="48" cm="1">
        <f t="array" ref="J1408">IFERROR(MAX(IF($B$4:$B$579="summer",IF($C$4:$C$579=$B1408,L$4:L$579)))/K$1264,0)</f>
        <v>4.3274337049835735E-6</v>
      </c>
      <c r="K1408" s="48" cm="1">
        <f t="array" ref="K1408">IFERROR(MAX(IF($B$4:$B$579="summer",IF($C$4:$C$579=$B1408,M$4:M$579)))/L$1264,0)</f>
        <v>7.2127703559785364E-4</v>
      </c>
      <c r="L1408" s="48" cm="1">
        <f t="array" ref="L1408">IFERROR(MAX(IF($B$4:$B$579="summer",IF($C$4:$C$579=$B1408,N$4:N$579)))/M$1264,0)</f>
        <v>0</v>
      </c>
      <c r="M1408" s="48" cm="1">
        <f t="array" ref="M1408">IFERROR(MAX(IF($B$4:$B$579="summer",IF($C$4:$C$579=$B1408,O$4:O$579)))/N$1264,0)</f>
        <v>1.4865635495863171E-4</v>
      </c>
      <c r="N1408" s="48" cm="1">
        <f t="array" ref="N1408">IFERROR(MAX(IF($B$4:$B$579="summer",IF($C$4:$C$579=$B1408,P$4:P$579)))/O$1264,0)</f>
        <v>1.4865635495863171E-4</v>
      </c>
      <c r="O1408" s="48" cm="1">
        <f t="array" ref="O1408">IFERROR(MAX(IF($B$4:$B$579="summer",IF($C$4:$C$579=$B1408,Q$4:Q$579)))/P$1264,0)</f>
        <v>1.4865635495863171E-4</v>
      </c>
      <c r="P1408" s="48" cm="1">
        <f t="array" ref="P1408">IFERROR(MAX(IF($B$4:$B$579="summer",IF($C$4:$C$579=$B1408,R$4:R$579)))/Q$1264,0)</f>
        <v>1.5573134546211539E-4</v>
      </c>
      <c r="Q1408" s="48" cm="1">
        <f t="array" ref="Q1408">IFERROR(MAX(IF($B$4:$B$579="summer",IF($C$4:$C$579=$B1408,S$4:S$579)))/R$1264,0)</f>
        <v>1.5573134546211539E-4</v>
      </c>
      <c r="R1408" s="48" cm="1">
        <f t="array" ref="R1408">IFERROR(MAX(IF($B$4:$B$579="summer",IF($C$4:$C$579=$B1408,T$4:T$579)))/S$1264,0)</f>
        <v>1.5573134546211539E-4</v>
      </c>
      <c r="S1408" s="48" cm="1">
        <f t="array" ref="S1408">IFERROR(MAX(IF($B$4:$B$579="summer",IF($C$4:$C$579=$B1408,U$4:U$579)))/T$1264,0)</f>
        <v>1.5573134546211539E-4</v>
      </c>
      <c r="T1408" s="48" cm="1">
        <f t="array" ref="T1408">IFERROR(MAX(IF($B$4:$B$579="summer",IF($C$4:$C$579=$B1408,V$4:V$579)))/U$1264,0)</f>
        <v>1.5573134546211539E-4</v>
      </c>
      <c r="U1408" s="48" cm="1">
        <f t="array" ref="U1408">IFERROR(MAX(IF($B$4:$B$579="summer",IF($C$4:$C$579=$B1408,W$4:W$579)))/V$1264,0)</f>
        <v>1.5573134546211539E-4</v>
      </c>
      <c r="V1408" s="48" cm="1">
        <f t="array" ref="V1408">IFERROR(MAX(IF($B$4:$B$579="summer",IF($C$4:$C$579=$B1408,X$4:X$579)))/W$1264,0)</f>
        <v>1.3604119716139178E-4</v>
      </c>
      <c r="W1408" s="48" cm="1">
        <f t="array" ref="W1408">IFERROR(MAX(IF($B$4:$B$579="summer",IF($C$4:$C$579=$B1408,Y$4:Y$579)))/X$1264,0)</f>
        <v>1.3604119716139178E-4</v>
      </c>
      <c r="X1408" s="48" cm="1">
        <f t="array" ref="X1408">IFERROR(MAX(IF($B$4:$B$579="summer",IF($C$4:$C$579=$B1408,Z$4:Z$579)))/Y$1264,0)</f>
        <v>1.3604119716139178E-4</v>
      </c>
      <c r="Y1408" s="27"/>
      <c r="Z1408" s="10"/>
    </row>
    <row r="1409" spans="1:26" outlineLevel="1" x14ac:dyDescent="0.3">
      <c r="A1409" t="s">
        <v>167</v>
      </c>
      <c r="B1409" t="s">
        <v>83</v>
      </c>
      <c r="C1409" s="6" t="s">
        <v>158</v>
      </c>
      <c r="D1409" s="48" cm="1">
        <f t="array" ref="D1409">IFERROR(MAX(IF($B$4:$B$579="winter",IF($C$4:$C$579=$B1409,F$4:F$579)))/E$1264,0)</f>
        <v>4.0833752401083011E-4</v>
      </c>
      <c r="E1409" s="48" cm="1">
        <f t="array" ref="E1409">IFERROR(MAX(IF($B$4:$B$579="summer",IF($C$4:$C$579=$B1409,G$4:G$579)))/F$1264,0)</f>
        <v>8.27595093729981E-4</v>
      </c>
      <c r="F1409" s="48" cm="1">
        <f t="array" ref="F1409">IFERROR(MAX(IF($B$4:$B$579="summer",IF($C$4:$C$579=$B1409,H$4:H$579)))/G$1264,0)</f>
        <v>0</v>
      </c>
      <c r="G1409" s="48" cm="1">
        <f t="array" ref="G1409">IFERROR(MAX(IF($B$4:$B$579="summer",IF($C$4:$C$579=$B1409,I$4:I$579)))/H$1264,0)</f>
        <v>3.3637735019568702E-4</v>
      </c>
      <c r="H1409" s="48" cm="1">
        <f t="array" ref="H1409">IFERROR(MAX(IF($B$4:$B$579="summer",IF($C$4:$C$579=$B1409,J$4:J$579)))/I$1264,0)</f>
        <v>1.8301725051799391E-4</v>
      </c>
      <c r="I1409" s="48" cm="1">
        <f t="array" ref="I1409">IFERROR(MAX(IF($B$4:$B$579="summer",IF($C$4:$C$579=$B1409,K$4:K$579)))/J$1264,0)</f>
        <v>1.8301725051799391E-4</v>
      </c>
      <c r="J1409" s="48" cm="1">
        <f t="array" ref="J1409">IFERROR(MAX(IF($B$4:$B$579="summer",IF($C$4:$C$579=$B1409,L$4:L$579)))/K$1264,0)</f>
        <v>5.8985145010734474E-6</v>
      </c>
      <c r="K1409" s="48" cm="1">
        <f t="array" ref="K1409">IFERROR(MAX(IF($B$4:$B$579="summer",IF($C$4:$C$579=$B1409,M$4:M$579)))/L$1264,0)</f>
        <v>6.5848350543992284E-4</v>
      </c>
      <c r="L1409" s="48" cm="1">
        <f t="array" ref="L1409">IFERROR(MAX(IF($B$4:$B$579="summer",IF($C$4:$C$579=$B1409,N$4:N$579)))/M$1264,0)</f>
        <v>0</v>
      </c>
      <c r="M1409" s="48" cm="1">
        <f t="array" ref="M1409">IFERROR(MAX(IF($B$4:$B$579="summer",IF($C$4:$C$579=$B1409,O$4:O$579)))/N$1264,0)</f>
        <v>1.2325213087667741E-4</v>
      </c>
      <c r="N1409" s="48" cm="1">
        <f t="array" ref="N1409">IFERROR(MAX(IF($B$4:$B$579="summer",IF($C$4:$C$579=$B1409,P$4:P$579)))/O$1264,0)</f>
        <v>1.2325213087667741E-4</v>
      </c>
      <c r="O1409" s="48" cm="1">
        <f t="array" ref="O1409">IFERROR(MAX(IF($B$4:$B$579="summer",IF($C$4:$C$579=$B1409,Q$4:Q$579)))/P$1264,0)</f>
        <v>1.2325213087667741E-4</v>
      </c>
      <c r="P1409" s="48" cm="1">
        <f t="array" ref="P1409">IFERROR(MAX(IF($B$4:$B$579="summer",IF($C$4:$C$579=$B1409,R$4:R$579)))/Q$1264,0)</f>
        <v>1.415739504201049E-4</v>
      </c>
      <c r="Q1409" s="48" cm="1">
        <f t="array" ref="Q1409">IFERROR(MAX(IF($B$4:$B$579="summer",IF($C$4:$C$579=$B1409,S$4:S$579)))/R$1264,0)</f>
        <v>1.415739504201049E-4</v>
      </c>
      <c r="R1409" s="48" cm="1">
        <f t="array" ref="R1409">IFERROR(MAX(IF($B$4:$B$579="summer",IF($C$4:$C$579=$B1409,T$4:T$579)))/S$1264,0)</f>
        <v>1.415739504201049E-4</v>
      </c>
      <c r="S1409" s="48" cm="1">
        <f t="array" ref="S1409">IFERROR(MAX(IF($B$4:$B$579="summer",IF($C$4:$C$579=$B1409,U$4:U$579)))/T$1264,0)</f>
        <v>1.415739504201049E-4</v>
      </c>
      <c r="T1409" s="48" cm="1">
        <f t="array" ref="T1409">IFERROR(MAX(IF($B$4:$B$579="summer",IF($C$4:$C$579=$B1409,V$4:V$579)))/U$1264,0)</f>
        <v>1.415739504201049E-4</v>
      </c>
      <c r="U1409" s="48" cm="1">
        <f t="array" ref="U1409">IFERROR(MAX(IF($B$4:$B$579="summer",IF($C$4:$C$579=$B1409,W$4:W$579)))/V$1264,0)</f>
        <v>1.415739504201049E-4</v>
      </c>
      <c r="V1409" s="48" cm="1">
        <f t="array" ref="V1409">IFERROR(MAX(IF($B$4:$B$579="summer",IF($C$4:$C$579=$B1409,X$4:X$579)))/W$1264,0)</f>
        <v>1.3504089424108744E-4</v>
      </c>
      <c r="W1409" s="48" cm="1">
        <f t="array" ref="W1409">IFERROR(MAX(IF($B$4:$B$579="summer",IF($C$4:$C$579=$B1409,Y$4:Y$579)))/X$1264,0)</f>
        <v>1.3504089424108744E-4</v>
      </c>
      <c r="X1409" s="48" cm="1">
        <f t="array" ref="X1409">IFERROR(MAX(IF($B$4:$B$579="summer",IF($C$4:$C$579=$B1409,Z$4:Z$579)))/Y$1264,0)</f>
        <v>1.3504089424108744E-4</v>
      </c>
      <c r="Y1409" s="27"/>
      <c r="Z1409" s="10"/>
    </row>
    <row r="1410" spans="1:26" outlineLevel="1" x14ac:dyDescent="0.3">
      <c r="A1410" t="s">
        <v>167</v>
      </c>
      <c r="B1410" t="s">
        <v>84</v>
      </c>
      <c r="C1410" s="6" t="s">
        <v>159</v>
      </c>
      <c r="D1410" s="48" cm="1">
        <f t="array" ref="D1410">IFERROR(MAX(IF($B$4:$B$579="winter",IF($C$4:$C$579=$B1410,F$4:F$579)))/E$1264,0)</f>
        <v>3.8849926373500031E-4</v>
      </c>
      <c r="E1410" s="48" cm="1">
        <f t="array" ref="E1410">IFERROR(MAX(IF($B$4:$B$579="summer",IF($C$4:$C$579=$B1410,G$4:G$579)))/F$1264,0)</f>
        <v>7.4652455393602372E-4</v>
      </c>
      <c r="F1410" s="48" cm="1">
        <f t="array" ref="F1410">IFERROR(MAX(IF($B$4:$B$579="summer",IF($C$4:$C$579=$B1410,H$4:H$579)))/G$1264,0)</f>
        <v>0</v>
      </c>
      <c r="G1410" s="48" cm="1">
        <f t="array" ref="G1410">IFERROR(MAX(IF($B$4:$B$579="summer",IF($C$4:$C$579=$B1410,I$4:I$579)))/H$1264,0)</f>
        <v>2.7549184415668276E-4</v>
      </c>
      <c r="H1410" s="48" cm="1">
        <f t="array" ref="H1410">IFERROR(MAX(IF($B$4:$B$579="summer",IF($C$4:$C$579=$B1410,J$4:J$579)))/I$1264,0)</f>
        <v>1.8031242357316831E-4</v>
      </c>
      <c r="I1410" s="48" cm="1">
        <f t="array" ref="I1410">IFERROR(MAX(IF($B$4:$B$579="summer",IF($C$4:$C$579=$B1410,K$4:K$579)))/J$1264,0)</f>
        <v>1.8031242357316831E-4</v>
      </c>
      <c r="J1410" s="48" cm="1">
        <f t="array" ref="J1410">IFERROR(MAX(IF($B$4:$B$579="summer",IF($C$4:$C$579=$B1410,L$4:L$579)))/K$1264,0)</f>
        <v>6.2101781045214009E-6</v>
      </c>
      <c r="K1410" s="48" cm="1">
        <f t="array" ref="K1410">IFERROR(MAX(IF($B$4:$B$579="summer",IF($C$4:$C$579=$B1410,M$4:M$579)))/L$1264,0)</f>
        <v>5.9399285284529124E-4</v>
      </c>
      <c r="L1410" s="48" cm="1">
        <f t="array" ref="L1410">IFERROR(MAX(IF($B$4:$B$579="summer",IF($C$4:$C$579=$B1410,N$4:N$579)))/M$1264,0)</f>
        <v>0</v>
      </c>
      <c r="M1410" s="48" cm="1">
        <f t="array" ref="M1410">IFERROR(MAX(IF($B$4:$B$579="summer",IF($C$4:$C$579=$B1410,O$4:O$579)))/N$1264,0)</f>
        <v>1.0030258502969536E-4</v>
      </c>
      <c r="N1410" s="48" cm="1">
        <f t="array" ref="N1410">IFERROR(MAX(IF($B$4:$B$579="summer",IF($C$4:$C$579=$B1410,P$4:P$579)))/O$1264,0)</f>
        <v>1.0030258502969536E-4</v>
      </c>
      <c r="O1410" s="48" cm="1">
        <f t="array" ref="O1410">IFERROR(MAX(IF($B$4:$B$579="summer",IF($C$4:$C$579=$B1410,Q$4:Q$579)))/P$1264,0)</f>
        <v>1.0030258502969536E-4</v>
      </c>
      <c r="P1410" s="48" cm="1">
        <f t="array" ref="P1410">IFERROR(MAX(IF($B$4:$B$579="summer",IF($C$4:$C$579=$B1410,R$4:R$579)))/Q$1264,0)</f>
        <v>1.325646990297346E-4</v>
      </c>
      <c r="Q1410" s="48" cm="1">
        <f t="array" ref="Q1410">IFERROR(MAX(IF($B$4:$B$579="summer",IF($C$4:$C$579=$B1410,S$4:S$579)))/R$1264,0)</f>
        <v>1.325646990297346E-4</v>
      </c>
      <c r="R1410" s="48" cm="1">
        <f t="array" ref="R1410">IFERROR(MAX(IF($B$4:$B$579="summer",IF($C$4:$C$579=$B1410,T$4:T$579)))/S$1264,0)</f>
        <v>1.325646990297346E-4</v>
      </c>
      <c r="S1410" s="48" cm="1">
        <f t="array" ref="S1410">IFERROR(MAX(IF($B$4:$B$579="summer",IF($C$4:$C$579=$B1410,U$4:U$579)))/T$1264,0)</f>
        <v>1.325646990297346E-4</v>
      </c>
      <c r="T1410" s="48" cm="1">
        <f t="array" ref="T1410">IFERROR(MAX(IF($B$4:$B$579="summer",IF($C$4:$C$579=$B1410,V$4:V$579)))/U$1264,0)</f>
        <v>1.325646990297346E-4</v>
      </c>
      <c r="U1410" s="48" cm="1">
        <f t="array" ref="U1410">IFERROR(MAX(IF($B$4:$B$579="summer",IF($C$4:$C$579=$B1410,W$4:W$579)))/V$1264,0)</f>
        <v>1.325646990297346E-4</v>
      </c>
      <c r="V1410" s="48" cm="1">
        <f t="array" ref="V1410">IFERROR(MAX(IF($B$4:$B$579="summer",IF($C$4:$C$579=$B1410,X$4:X$579)))/W$1264,0)</f>
        <v>1.3384053073672221E-4</v>
      </c>
      <c r="W1410" s="48" cm="1">
        <f t="array" ref="W1410">IFERROR(MAX(IF($B$4:$B$579="summer",IF($C$4:$C$579=$B1410,Y$4:Y$579)))/X$1264,0)</f>
        <v>1.3384053073672221E-4</v>
      </c>
      <c r="X1410" s="48" cm="1">
        <f t="array" ref="X1410">IFERROR(MAX(IF($B$4:$B$579="summer",IF($C$4:$C$579=$B1410,Z$4:Z$579)))/Y$1264,0)</f>
        <v>1.3384053073672221E-4</v>
      </c>
      <c r="Y1410" s="27"/>
      <c r="Z1410" s="10"/>
    </row>
    <row r="1411" spans="1:26" outlineLevel="1" x14ac:dyDescent="0.3">
      <c r="A1411" t="s">
        <v>167</v>
      </c>
      <c r="B1411" t="s">
        <v>85</v>
      </c>
      <c r="C1411" s="6" t="s">
        <v>160</v>
      </c>
      <c r="D1411" s="48" cm="1">
        <f t="array" ref="D1411">IFERROR(MAX(IF($B$4:$B$579="winter",IF($C$4:$C$579=$B1411,F$4:F$579)))/E$1264,0)</f>
        <v>3.4055680140174493E-4</v>
      </c>
      <c r="E1411" s="48" cm="1">
        <f t="array" ref="E1411">IFERROR(MAX(IF($B$4:$B$579="summer",IF($C$4:$C$579=$B1411,G$4:G$579)))/F$1264,0)</f>
        <v>6.5025328793069941E-4</v>
      </c>
      <c r="F1411" s="48" cm="1">
        <f t="array" ref="F1411">IFERROR(MAX(IF($B$4:$B$579="summer",IF($C$4:$C$579=$B1411,H$4:H$579)))/G$1264,0)</f>
        <v>0</v>
      </c>
      <c r="G1411" s="48" cm="1">
        <f t="array" ref="G1411">IFERROR(MAX(IF($B$4:$B$579="summer",IF($C$4:$C$579=$B1411,I$4:I$579)))/H$1264,0)</f>
        <v>1.633660607581204E-4</v>
      </c>
      <c r="H1411" s="48" cm="1">
        <f t="array" ref="H1411">IFERROR(MAX(IF($B$4:$B$579="summer",IF($C$4:$C$579=$B1411,J$4:J$579)))/I$1264,0)</f>
        <v>1.4191070100591757E-4</v>
      </c>
      <c r="I1411" s="48" cm="1">
        <f t="array" ref="I1411">IFERROR(MAX(IF($B$4:$B$579="summer",IF($C$4:$C$579=$B1411,K$4:K$579)))/J$1264,0)</f>
        <v>1.4191070100591757E-4</v>
      </c>
      <c r="J1411" s="48" cm="1">
        <f t="array" ref="J1411">IFERROR(MAX(IF($B$4:$B$579="summer",IF($C$4:$C$579=$B1411,L$4:L$579)))/K$1264,0)</f>
        <v>5.9965064752426868E-6</v>
      </c>
      <c r="K1411" s="48" cm="1">
        <f t="array" ref="K1411">IFERROR(MAX(IF($B$4:$B$579="summer",IF($C$4:$C$579=$B1411,M$4:M$579)))/L$1264,0)</f>
        <v>5.2950220025065964E-4</v>
      </c>
      <c r="L1411" s="48" cm="1">
        <f t="array" ref="L1411">IFERROR(MAX(IF($B$4:$B$579="summer",IF($C$4:$C$579=$B1411,N$4:N$579)))/M$1264,0)</f>
        <v>0</v>
      </c>
      <c r="M1411" s="48" cm="1">
        <f t="array" ref="M1411">IFERROR(MAX(IF($B$4:$B$579="summer",IF($C$4:$C$579=$B1411,O$4:O$579)))/N$1264,0)</f>
        <v>8.4322508591046702E-5</v>
      </c>
      <c r="N1411" s="48" cm="1">
        <f t="array" ref="N1411">IFERROR(MAX(IF($B$4:$B$579="summer",IF($C$4:$C$579=$B1411,P$4:P$579)))/O$1264,0)</f>
        <v>8.4322508591046702E-5</v>
      </c>
      <c r="O1411" s="48" cm="1">
        <f t="array" ref="O1411">IFERROR(MAX(IF($B$4:$B$579="summer",IF($C$4:$C$579=$B1411,Q$4:Q$579)))/P$1264,0)</f>
        <v>8.4322508591046702E-5</v>
      </c>
      <c r="P1411" s="48" cm="1">
        <f t="array" ref="P1411">IFERROR(MAX(IF($B$4:$B$579="summer",IF($C$4:$C$579=$B1411,R$4:R$579)))/Q$1264,0)</f>
        <v>1.244397828854839E-4</v>
      </c>
      <c r="Q1411" s="48" cm="1">
        <f t="array" ref="Q1411">IFERROR(MAX(IF($B$4:$B$579="summer",IF($C$4:$C$579=$B1411,S$4:S$579)))/R$1264,0)</f>
        <v>1.244397828854839E-4</v>
      </c>
      <c r="R1411" s="48" cm="1">
        <f t="array" ref="R1411">IFERROR(MAX(IF($B$4:$B$579="summer",IF($C$4:$C$579=$B1411,T$4:T$579)))/S$1264,0)</f>
        <v>1.244397828854839E-4</v>
      </c>
      <c r="S1411" s="48" cm="1">
        <f t="array" ref="S1411">IFERROR(MAX(IF($B$4:$B$579="summer",IF($C$4:$C$579=$B1411,U$4:U$579)))/T$1264,0)</f>
        <v>1.244397828854839E-4</v>
      </c>
      <c r="T1411" s="48" cm="1">
        <f t="array" ref="T1411">IFERROR(MAX(IF($B$4:$B$579="summer",IF($C$4:$C$579=$B1411,V$4:V$579)))/U$1264,0)</f>
        <v>1.244397828854839E-4</v>
      </c>
      <c r="U1411" s="48" cm="1">
        <f t="array" ref="U1411">IFERROR(MAX(IF($B$4:$B$579="summer",IF($C$4:$C$579=$B1411,W$4:W$579)))/V$1264,0)</f>
        <v>1.244397828854839E-4</v>
      </c>
      <c r="V1411" s="48" cm="1">
        <f t="array" ref="V1411">IFERROR(MAX(IF($B$4:$B$579="summer",IF($C$4:$C$579=$B1411,X$4:X$579)))/W$1264,0)</f>
        <v>1.3284022781641787E-4</v>
      </c>
      <c r="W1411" s="48" cm="1">
        <f t="array" ref="W1411">IFERROR(MAX(IF($B$4:$B$579="summer",IF($C$4:$C$579=$B1411,Y$4:Y$579)))/X$1264,0)</f>
        <v>1.3284022781641787E-4</v>
      </c>
      <c r="X1411" s="48" cm="1">
        <f t="array" ref="X1411">IFERROR(MAX(IF($B$4:$B$579="summer",IF($C$4:$C$579=$B1411,Z$4:Z$579)))/Y$1264,0)</f>
        <v>1.3284022781641787E-4</v>
      </c>
      <c r="Y1411" s="27"/>
      <c r="Z1411" s="10"/>
    </row>
    <row r="1412" spans="1:26" outlineLevel="1" x14ac:dyDescent="0.3">
      <c r="A1412" t="s">
        <v>167</v>
      </c>
      <c r="B1412" t="s">
        <v>86</v>
      </c>
      <c r="C1412" s="6" t="s">
        <v>161</v>
      </c>
      <c r="D1412" s="48" cm="1">
        <f t="array" ref="D1412">IFERROR(MAX(IF($B$4:$B$579="winter",IF($C$4:$C$579=$B1412,F$4:F$579)))/E$1264,0)</f>
        <v>3.3394404797646831E-4</v>
      </c>
      <c r="E1412" s="48" cm="1">
        <f t="array" ref="E1412">IFERROR(MAX(IF($B$4:$B$579="summer",IF($C$4:$C$579=$B1412,G$4:G$579)))/F$1264,0)</f>
        <v>5.5567099150441587E-4</v>
      </c>
      <c r="F1412" s="48" cm="1">
        <f t="array" ref="F1412">IFERROR(MAX(IF($B$4:$B$579="summer",IF($C$4:$C$579=$B1412,H$4:H$579)))/G$1264,0)</f>
        <v>0</v>
      </c>
      <c r="G1412" s="48" cm="1">
        <f t="array" ref="G1412">IFERROR(MAX(IF($B$4:$B$579="summer",IF($C$4:$C$579=$B1412,I$4:I$579)))/H$1264,0)</f>
        <v>8.6204231322550623E-5</v>
      </c>
      <c r="H1412" s="48" cm="1">
        <f t="array" ref="H1412">IFERROR(MAX(IF($B$4:$B$579="summer",IF($C$4:$C$579=$B1412,J$4:J$579)))/I$1264,0)</f>
        <v>1.1386787852146055E-4</v>
      </c>
      <c r="I1412" s="48" cm="1">
        <f t="array" ref="I1412">IFERROR(MAX(IF($B$4:$B$579="summer",IF($C$4:$C$579=$B1412,K$4:K$579)))/J$1264,0)</f>
        <v>1.1386787852146055E-4</v>
      </c>
      <c r="J1412" s="48" cm="1">
        <f t="array" ref="J1412">IFERROR(MAX(IF($B$4:$B$579="summer",IF($C$4:$C$579=$B1412,L$4:L$579)))/K$1264,0)</f>
        <v>6.4177460644177378E-6</v>
      </c>
      <c r="K1412" s="48" cm="1">
        <f t="array" ref="K1412">IFERROR(MAX(IF($B$4:$B$579="summer",IF($C$4:$C$579=$B1412,M$4:M$579)))/L$1264,0)</f>
        <v>4.5822305790922468E-4</v>
      </c>
      <c r="L1412" s="48" cm="1">
        <f t="array" ref="L1412">IFERROR(MAX(IF($B$4:$B$579="summer",IF($C$4:$C$579=$B1412,N$4:N$579)))/M$1264,0)</f>
        <v>0</v>
      </c>
      <c r="M1412" s="48" cm="1">
        <f t="array" ref="M1412">IFERROR(MAX(IF($B$4:$B$579="summer",IF($C$4:$C$579=$B1412,O$4:O$579)))/N$1264,0)</f>
        <v>7.3672919361895663E-5</v>
      </c>
      <c r="N1412" s="48" cm="1">
        <f t="array" ref="N1412">IFERROR(MAX(IF($B$4:$B$579="summer",IF($C$4:$C$579=$B1412,P$4:P$579)))/O$1264,0)</f>
        <v>7.3672919361895663E-5</v>
      </c>
      <c r="O1412" s="48" cm="1">
        <f t="array" ref="O1412">IFERROR(MAX(IF($B$4:$B$579="summer",IF($C$4:$C$579=$B1412,Q$4:Q$579)))/P$1264,0)</f>
        <v>7.3672919361895663E-5</v>
      </c>
      <c r="P1412" s="48" cm="1">
        <f t="array" ref="P1412">IFERROR(MAX(IF($B$4:$B$579="summer",IF($C$4:$C$579=$B1412,R$4:R$579)))/Q$1264,0)</f>
        <v>8.3796282736310664E-5</v>
      </c>
      <c r="Q1412" s="48" cm="1">
        <f t="array" ref="Q1412">IFERROR(MAX(IF($B$4:$B$579="summer",IF($C$4:$C$579=$B1412,S$4:S$579)))/R$1264,0)</f>
        <v>8.3796282736310664E-5</v>
      </c>
      <c r="R1412" s="48" cm="1">
        <f t="array" ref="R1412">IFERROR(MAX(IF($B$4:$B$579="summer",IF($C$4:$C$579=$B1412,T$4:T$579)))/S$1264,0)</f>
        <v>8.3796282736310664E-5</v>
      </c>
      <c r="S1412" s="48" cm="1">
        <f t="array" ref="S1412">IFERROR(MAX(IF($B$4:$B$579="summer",IF($C$4:$C$579=$B1412,U$4:U$579)))/T$1264,0)</f>
        <v>8.3796282736310664E-5</v>
      </c>
      <c r="T1412" s="48" cm="1">
        <f t="array" ref="T1412">IFERROR(MAX(IF($B$4:$B$579="summer",IF($C$4:$C$579=$B1412,V$4:V$579)))/U$1264,0)</f>
        <v>8.3796282736310664E-5</v>
      </c>
      <c r="U1412" s="48" cm="1">
        <f t="array" ref="U1412">IFERROR(MAX(IF($B$4:$B$579="summer",IF($C$4:$C$579=$B1412,W$4:W$579)))/V$1264,0)</f>
        <v>8.3796282736310664E-5</v>
      </c>
      <c r="V1412" s="48" cm="1">
        <f t="array" ref="V1412">IFERROR(MAX(IF($B$4:$B$579="summer",IF($C$4:$C$579=$B1412,X$4:X$579)))/W$1264,0)</f>
        <v>1.3203998548017438E-4</v>
      </c>
      <c r="W1412" s="48" cm="1">
        <f t="array" ref="W1412">IFERROR(MAX(IF($B$4:$B$579="summer",IF($C$4:$C$579=$B1412,Y$4:Y$579)))/X$1264,0)</f>
        <v>1.3203998548017438E-4</v>
      </c>
      <c r="X1412" s="48" cm="1">
        <f t="array" ref="X1412">IFERROR(MAX(IF($B$4:$B$579="summer",IF($C$4:$C$579=$B1412,Z$4:Z$579)))/Y$1264,0)</f>
        <v>1.3203998548017438E-4</v>
      </c>
      <c r="Y1412" s="27"/>
      <c r="Z1412" s="10"/>
    </row>
    <row r="1413" spans="1:26" outlineLevel="1" x14ac:dyDescent="0.3">
      <c r="C1413" s="6"/>
    </row>
    <row r="1414" spans="1:26" x14ac:dyDescent="0.3">
      <c r="C1414" s="6"/>
    </row>
    <row r="1415" spans="1:26" x14ac:dyDescent="0.3">
      <c r="C1415" s="6"/>
    </row>
    <row r="1416" spans="1:26" x14ac:dyDescent="0.3">
      <c r="C1416" s="6"/>
    </row>
    <row r="1417" spans="1:26" x14ac:dyDescent="0.3">
      <c r="C1417" s="6"/>
    </row>
    <row r="1418" spans="1:26" x14ac:dyDescent="0.3">
      <c r="C1418" s="6"/>
    </row>
    <row r="1419" spans="1:26" x14ac:dyDescent="0.3">
      <c r="C1419" s="6"/>
    </row>
    <row r="1420" spans="1:26" x14ac:dyDescent="0.3">
      <c r="C1420" s="6"/>
    </row>
    <row r="1421" spans="1:26" x14ac:dyDescent="0.3">
      <c r="C1421" s="6"/>
    </row>
    <row r="1422" spans="1:26" x14ac:dyDescent="0.3">
      <c r="C1422" s="6"/>
    </row>
    <row r="1423" spans="1:26" x14ac:dyDescent="0.3">
      <c r="C1423" s="6"/>
    </row>
    <row r="1424" spans="1:26" x14ac:dyDescent="0.3">
      <c r="C1424" s="6"/>
    </row>
    <row r="1425" spans="3:3" x14ac:dyDescent="0.3">
      <c r="C1425" s="6"/>
    </row>
    <row r="1426" spans="3:3" x14ac:dyDescent="0.3">
      <c r="C1426" s="6"/>
    </row>
    <row r="1427" spans="3:3" x14ac:dyDescent="0.3">
      <c r="C1427" s="6"/>
    </row>
    <row r="1428" spans="3:3" x14ac:dyDescent="0.3">
      <c r="C1428" s="6"/>
    </row>
    <row r="1429" spans="3:3" x14ac:dyDescent="0.3">
      <c r="C1429" s="6"/>
    </row>
    <row r="1430" spans="3:3" x14ac:dyDescent="0.3">
      <c r="C1430" s="6"/>
    </row>
    <row r="1431" spans="3:3" x14ac:dyDescent="0.3">
      <c r="C1431" s="6"/>
    </row>
    <row r="1432" spans="3:3" x14ac:dyDescent="0.3">
      <c r="C1432" s="6"/>
    </row>
    <row r="1433" spans="3:3" x14ac:dyDescent="0.3">
      <c r="C1433" s="6"/>
    </row>
    <row r="1434" spans="3:3" x14ac:dyDescent="0.3">
      <c r="C1434" s="6"/>
    </row>
    <row r="1435" spans="3:3" x14ac:dyDescent="0.3">
      <c r="C1435" s="6"/>
    </row>
    <row r="1436" spans="3:3" x14ac:dyDescent="0.3">
      <c r="C1436" s="6"/>
    </row>
    <row r="1437" spans="3:3" x14ac:dyDescent="0.3">
      <c r="C1437" s="6"/>
    </row>
    <row r="1438" spans="3:3" x14ac:dyDescent="0.3">
      <c r="C1438" s="6"/>
    </row>
    <row r="1439" spans="3:3" x14ac:dyDescent="0.3">
      <c r="C1439" s="6"/>
    </row>
    <row r="1440" spans="3:3" x14ac:dyDescent="0.3">
      <c r="C1440" s="6"/>
    </row>
    <row r="1441" spans="3:3" x14ac:dyDescent="0.3">
      <c r="C1441" s="6"/>
    </row>
    <row r="1442" spans="3:3" x14ac:dyDescent="0.3">
      <c r="C1442" s="6"/>
    </row>
    <row r="1443" spans="3:3" x14ac:dyDescent="0.3">
      <c r="C1443" s="6"/>
    </row>
    <row r="1444" spans="3:3" x14ac:dyDescent="0.3">
      <c r="C1444" s="6"/>
    </row>
    <row r="1445" spans="3:3" x14ac:dyDescent="0.3">
      <c r="C1445" s="6"/>
    </row>
    <row r="1446" spans="3:3" x14ac:dyDescent="0.3">
      <c r="C1446" s="6"/>
    </row>
    <row r="1447" spans="3:3" x14ac:dyDescent="0.3">
      <c r="C1447" s="6"/>
    </row>
    <row r="1448" spans="3:3" x14ac:dyDescent="0.3">
      <c r="C1448" s="6"/>
    </row>
    <row r="1449" spans="3:3" x14ac:dyDescent="0.3">
      <c r="C1449" s="6"/>
    </row>
    <row r="1450" spans="3:3" x14ac:dyDescent="0.3">
      <c r="C1450" s="6"/>
    </row>
    <row r="1451" spans="3:3" x14ac:dyDescent="0.3">
      <c r="C1451" s="6"/>
    </row>
    <row r="1452" spans="3:3" x14ac:dyDescent="0.3">
      <c r="C1452" s="6"/>
    </row>
    <row r="1453" spans="3:3" x14ac:dyDescent="0.3">
      <c r="C1453" s="6"/>
    </row>
    <row r="1454" spans="3:3" x14ac:dyDescent="0.3">
      <c r="C1454" s="6"/>
    </row>
    <row r="1455" spans="3:3" x14ac:dyDescent="0.3">
      <c r="C1455" s="6"/>
    </row>
    <row r="1456" spans="3:3" x14ac:dyDescent="0.3">
      <c r="C1456" s="6"/>
    </row>
    <row r="1457" spans="3:3" x14ac:dyDescent="0.3">
      <c r="C1457" s="6"/>
    </row>
    <row r="1458" spans="3:3" x14ac:dyDescent="0.3">
      <c r="C1458" s="6"/>
    </row>
    <row r="1459" spans="3:3" x14ac:dyDescent="0.3">
      <c r="C1459" s="6"/>
    </row>
    <row r="1460" spans="3:3" x14ac:dyDescent="0.3">
      <c r="C1460" s="6"/>
    </row>
  </sheetData>
  <mergeCells count="9">
    <mergeCell ref="B1268:C1268"/>
    <mergeCell ref="A1:Y1"/>
    <mergeCell ref="A1261:Y1261"/>
    <mergeCell ref="A1266:Y1266"/>
    <mergeCell ref="C3:D3"/>
    <mergeCell ref="A581:Y581"/>
    <mergeCell ref="C583:D583"/>
    <mergeCell ref="A1161:Y1161"/>
    <mergeCell ref="B1163:C116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7E9A-9E47-4EEF-903C-51E7E43741C8}">
  <dimension ref="A1:G45"/>
  <sheetViews>
    <sheetView topLeftCell="A30" workbookViewId="0">
      <selection activeCell="F43" sqref="F43"/>
    </sheetView>
  </sheetViews>
  <sheetFormatPr defaultRowHeight="14.4" x14ac:dyDescent="0.3"/>
  <cols>
    <col min="1" max="1" width="33.88671875" bestFit="1" customWidth="1"/>
    <col min="2" max="2" width="19.5546875" customWidth="1"/>
    <col min="3" max="3" width="15.5546875" bestFit="1" customWidth="1"/>
    <col min="4" max="4" width="14" bestFit="1" customWidth="1"/>
    <col min="5" max="5" width="49.5546875" style="25" customWidth="1"/>
    <col min="6" max="6" width="11.5546875" style="21" bestFit="1" customWidth="1"/>
  </cols>
  <sheetData>
    <row r="1" spans="1:5" s="20" customFormat="1" x14ac:dyDescent="0.3">
      <c r="A1" s="20" t="s">
        <v>168</v>
      </c>
      <c r="B1" s="20" t="s">
        <v>169</v>
      </c>
      <c r="C1" s="20" t="s">
        <v>170</v>
      </c>
      <c r="D1" s="20" t="s">
        <v>171</v>
      </c>
      <c r="E1" s="24" t="s">
        <v>172</v>
      </c>
    </row>
    <row r="2" spans="1:5" x14ac:dyDescent="0.3">
      <c r="A2" t="s">
        <v>105</v>
      </c>
      <c r="B2" t="s">
        <v>49</v>
      </c>
      <c r="C2" t="s">
        <v>119</v>
      </c>
      <c r="D2" t="s">
        <v>119</v>
      </c>
    </row>
    <row r="3" spans="1:5" x14ac:dyDescent="0.3">
      <c r="A3" t="s">
        <v>106</v>
      </c>
      <c r="B3" t="s">
        <v>48</v>
      </c>
      <c r="C3" t="s">
        <v>119</v>
      </c>
      <c r="D3" t="s">
        <v>119</v>
      </c>
    </row>
    <row r="4" spans="1:5" x14ac:dyDescent="0.3">
      <c r="A4" t="s">
        <v>91</v>
      </c>
      <c r="B4" t="s">
        <v>49</v>
      </c>
      <c r="C4" t="s">
        <v>116</v>
      </c>
      <c r="D4" t="s">
        <v>124</v>
      </c>
    </row>
    <row r="5" spans="1:5" x14ac:dyDescent="0.3">
      <c r="A5" t="s">
        <v>92</v>
      </c>
      <c r="B5" t="s">
        <v>48</v>
      </c>
      <c r="C5" t="s">
        <v>116</v>
      </c>
      <c r="D5" t="s">
        <v>124</v>
      </c>
    </row>
    <row r="6" spans="1:5" x14ac:dyDescent="0.3">
      <c r="A6" t="s">
        <v>93</v>
      </c>
      <c r="B6" t="s">
        <v>49</v>
      </c>
      <c r="C6" t="s">
        <v>116</v>
      </c>
      <c r="D6" t="s">
        <v>123</v>
      </c>
    </row>
    <row r="7" spans="1:5" x14ac:dyDescent="0.3">
      <c r="A7" t="s">
        <v>94</v>
      </c>
      <c r="B7" t="s">
        <v>48</v>
      </c>
      <c r="C7" t="s">
        <v>116</v>
      </c>
      <c r="D7" t="s">
        <v>123</v>
      </c>
    </row>
    <row r="8" spans="1:5" x14ac:dyDescent="0.3">
      <c r="A8" t="s">
        <v>95</v>
      </c>
      <c r="B8" t="s">
        <v>49</v>
      </c>
      <c r="C8" t="s">
        <v>116</v>
      </c>
      <c r="D8" t="s">
        <v>126</v>
      </c>
    </row>
    <row r="9" spans="1:5" x14ac:dyDescent="0.3">
      <c r="A9" t="s">
        <v>96</v>
      </c>
      <c r="B9" t="s">
        <v>48</v>
      </c>
      <c r="C9" t="s">
        <v>116</v>
      </c>
      <c r="D9" t="s">
        <v>126</v>
      </c>
    </row>
    <row r="10" spans="1:5" ht="43.35" customHeight="1" x14ac:dyDescent="0.3">
      <c r="A10" t="s">
        <v>107</v>
      </c>
      <c r="B10" t="s">
        <v>49</v>
      </c>
      <c r="C10" t="s">
        <v>116</v>
      </c>
      <c r="D10" t="s">
        <v>50</v>
      </c>
      <c r="E10" s="67" t="s">
        <v>173</v>
      </c>
    </row>
    <row r="11" spans="1:5" x14ac:dyDescent="0.3">
      <c r="A11" t="s">
        <v>108</v>
      </c>
      <c r="B11" t="s">
        <v>48</v>
      </c>
      <c r="C11" t="s">
        <v>116</v>
      </c>
      <c r="D11" t="s">
        <v>50</v>
      </c>
      <c r="E11" s="67"/>
    </row>
    <row r="12" spans="1:5" x14ac:dyDescent="0.3">
      <c r="A12" t="s">
        <v>97</v>
      </c>
      <c r="B12" t="s">
        <v>49</v>
      </c>
      <c r="C12" t="s">
        <v>116</v>
      </c>
      <c r="D12" t="s">
        <v>127</v>
      </c>
    </row>
    <row r="13" spans="1:5" x14ac:dyDescent="0.3">
      <c r="A13" t="s">
        <v>98</v>
      </c>
      <c r="B13" t="s">
        <v>48</v>
      </c>
      <c r="C13" t="s">
        <v>116</v>
      </c>
      <c r="D13" t="s">
        <v>127</v>
      </c>
    </row>
    <row r="14" spans="1:5" x14ac:dyDescent="0.3">
      <c r="A14" t="s">
        <v>99</v>
      </c>
      <c r="B14" t="s">
        <v>49</v>
      </c>
      <c r="C14" t="s">
        <v>117</v>
      </c>
      <c r="D14" t="s">
        <v>124</v>
      </c>
    </row>
    <row r="15" spans="1:5" x14ac:dyDescent="0.3">
      <c r="A15" t="s">
        <v>100</v>
      </c>
      <c r="B15" t="s">
        <v>48</v>
      </c>
      <c r="C15" t="s">
        <v>117</v>
      </c>
      <c r="D15" t="s">
        <v>124</v>
      </c>
    </row>
    <row r="16" spans="1:5" x14ac:dyDescent="0.3">
      <c r="A16" t="s">
        <v>101</v>
      </c>
      <c r="B16" t="s">
        <v>49</v>
      </c>
      <c r="C16" t="s">
        <v>117</v>
      </c>
      <c r="D16" t="s">
        <v>123</v>
      </c>
    </row>
    <row r="17" spans="1:7" x14ac:dyDescent="0.3">
      <c r="A17" t="s">
        <v>102</v>
      </c>
      <c r="B17" t="s">
        <v>48</v>
      </c>
      <c r="C17" t="s">
        <v>117</v>
      </c>
      <c r="D17" t="s">
        <v>123</v>
      </c>
    </row>
    <row r="18" spans="1:7" ht="32.4" customHeight="1" x14ac:dyDescent="0.3">
      <c r="A18" t="s">
        <v>109</v>
      </c>
      <c r="B18" t="s">
        <v>49</v>
      </c>
      <c r="C18" t="s">
        <v>117</v>
      </c>
      <c r="D18" t="s">
        <v>50</v>
      </c>
      <c r="E18" s="67" t="s">
        <v>174</v>
      </c>
    </row>
    <row r="19" spans="1:7" ht="32.4" customHeight="1" x14ac:dyDescent="0.3">
      <c r="A19" t="s">
        <v>110</v>
      </c>
      <c r="B19" t="s">
        <v>48</v>
      </c>
      <c r="C19" t="s">
        <v>117</v>
      </c>
      <c r="D19" t="s">
        <v>50</v>
      </c>
      <c r="E19" s="67"/>
    </row>
    <row r="20" spans="1:7" x14ac:dyDescent="0.3">
      <c r="A20" t="s">
        <v>103</v>
      </c>
      <c r="B20" t="s">
        <v>49</v>
      </c>
      <c r="C20" t="s">
        <v>117</v>
      </c>
      <c r="D20" t="s">
        <v>127</v>
      </c>
    </row>
    <row r="21" spans="1:7" x14ac:dyDescent="0.3">
      <c r="A21" t="s">
        <v>104</v>
      </c>
      <c r="B21" t="s">
        <v>48</v>
      </c>
      <c r="C21" t="s">
        <v>117</v>
      </c>
      <c r="D21" t="s">
        <v>127</v>
      </c>
    </row>
    <row r="22" spans="1:7" x14ac:dyDescent="0.3">
      <c r="A22" t="s">
        <v>111</v>
      </c>
      <c r="B22" t="s">
        <v>49</v>
      </c>
      <c r="C22" t="s">
        <v>175</v>
      </c>
      <c r="D22" t="s">
        <v>50</v>
      </c>
    </row>
    <row r="23" spans="1:7" x14ac:dyDescent="0.3">
      <c r="A23" t="s">
        <v>112</v>
      </c>
      <c r="B23" t="s">
        <v>48</v>
      </c>
      <c r="C23" t="s">
        <v>175</v>
      </c>
      <c r="D23" t="s">
        <v>50</v>
      </c>
    </row>
    <row r="24" spans="1:7" x14ac:dyDescent="0.3">
      <c r="A24" t="s">
        <v>113</v>
      </c>
      <c r="B24" t="s">
        <v>49</v>
      </c>
      <c r="C24" t="s">
        <v>118</v>
      </c>
      <c r="D24" t="s">
        <v>118</v>
      </c>
    </row>
    <row r="25" spans="1:7" x14ac:dyDescent="0.3">
      <c r="A25" t="s">
        <v>114</v>
      </c>
      <c r="B25" t="s">
        <v>48</v>
      </c>
      <c r="C25" t="s">
        <v>118</v>
      </c>
      <c r="D25" t="s">
        <v>118</v>
      </c>
    </row>
    <row r="27" spans="1:7" s="1" customFormat="1" x14ac:dyDescent="0.3">
      <c r="A27" s="20" t="s">
        <v>62</v>
      </c>
      <c r="B27" s="20" t="s">
        <v>176</v>
      </c>
      <c r="C27" s="20" t="s">
        <v>177</v>
      </c>
      <c r="D27" s="20" t="s">
        <v>178</v>
      </c>
      <c r="E27" s="24" t="s">
        <v>179</v>
      </c>
      <c r="F27" s="20" t="s">
        <v>180</v>
      </c>
      <c r="G27" s="1" t="s">
        <v>120</v>
      </c>
    </row>
    <row r="28" spans="1:7" x14ac:dyDescent="0.3">
      <c r="A28" s="21">
        <v>1</v>
      </c>
      <c r="B28" s="21" t="s">
        <v>181</v>
      </c>
      <c r="C28" s="21" t="s">
        <v>182</v>
      </c>
      <c r="D28" s="21">
        <v>31</v>
      </c>
      <c r="E28" s="26">
        <f>D28*(2/7)</f>
        <v>8.8571428571428559</v>
      </c>
      <c r="F28" s="22">
        <f>D28*(5/7)</f>
        <v>22.142857142857142</v>
      </c>
      <c r="G28" t="str">
        <f>IF(AND(A28&gt;=3,A28&lt;=5),"Spring",IF(AND(A28&gt;=6,A28&lt;=8),"Summer",IF(AND(A28&gt;=9,A28&lt;=10),"Fall","Winter")))</f>
        <v>Winter</v>
      </c>
    </row>
    <row r="29" spans="1:7" x14ac:dyDescent="0.3">
      <c r="A29" s="21">
        <v>2</v>
      </c>
      <c r="B29" s="21" t="s">
        <v>183</v>
      </c>
      <c r="C29" s="21" t="s">
        <v>184</v>
      </c>
      <c r="D29" s="21">
        <v>28</v>
      </c>
      <c r="E29" s="26">
        <f t="shared" ref="E29:E39" si="0">D29*(2/7)</f>
        <v>8</v>
      </c>
      <c r="F29" s="22">
        <f t="shared" ref="F29:F39" si="1">D29*(5/7)</f>
        <v>20</v>
      </c>
      <c r="G29" t="str">
        <f t="shared" ref="G29:G39" si="2">IF(AND(A29&gt;=3,A29&lt;=5),"Spring",IF(AND(A29&gt;=6,A29&lt;=8),"Summer",IF(AND(A29&gt;=9,A29&lt;=10),"Fall","Winter")))</f>
        <v>Winter</v>
      </c>
    </row>
    <row r="30" spans="1:7" x14ac:dyDescent="0.3">
      <c r="A30" s="21">
        <v>3</v>
      </c>
      <c r="B30" s="21" t="s">
        <v>185</v>
      </c>
      <c r="C30" s="21" t="s">
        <v>186</v>
      </c>
      <c r="D30" s="21">
        <v>31</v>
      </c>
      <c r="E30" s="26">
        <f t="shared" si="0"/>
        <v>8.8571428571428559</v>
      </c>
      <c r="F30" s="22">
        <f t="shared" si="1"/>
        <v>22.142857142857142</v>
      </c>
      <c r="G30" t="str">
        <f t="shared" si="2"/>
        <v>Spring</v>
      </c>
    </row>
    <row r="31" spans="1:7" x14ac:dyDescent="0.3">
      <c r="A31" s="21">
        <v>4</v>
      </c>
      <c r="B31" s="21" t="s">
        <v>187</v>
      </c>
      <c r="C31" s="21" t="s">
        <v>188</v>
      </c>
      <c r="D31" s="21">
        <v>30</v>
      </c>
      <c r="E31" s="26">
        <f t="shared" si="0"/>
        <v>8.5714285714285712</v>
      </c>
      <c r="F31" s="22">
        <f t="shared" si="1"/>
        <v>21.428571428571431</v>
      </c>
      <c r="G31" t="str">
        <f t="shared" si="2"/>
        <v>Spring</v>
      </c>
    </row>
    <row r="32" spans="1:7" x14ac:dyDescent="0.3">
      <c r="A32" s="21">
        <v>5</v>
      </c>
      <c r="B32" s="21" t="s">
        <v>189</v>
      </c>
      <c r="C32" s="21" t="s">
        <v>189</v>
      </c>
      <c r="D32" s="21">
        <v>31</v>
      </c>
      <c r="E32" s="26">
        <f t="shared" si="0"/>
        <v>8.8571428571428559</v>
      </c>
      <c r="F32" s="22">
        <f t="shared" si="1"/>
        <v>22.142857142857142</v>
      </c>
      <c r="G32" t="str">
        <f t="shared" si="2"/>
        <v>Spring</v>
      </c>
    </row>
    <row r="33" spans="1:7" x14ac:dyDescent="0.3">
      <c r="A33" s="21">
        <v>6</v>
      </c>
      <c r="B33" s="21" t="s">
        <v>190</v>
      </c>
      <c r="C33" s="21" t="s">
        <v>191</v>
      </c>
      <c r="D33" s="21">
        <v>30</v>
      </c>
      <c r="E33" s="26">
        <f t="shared" si="0"/>
        <v>8.5714285714285712</v>
      </c>
      <c r="F33" s="22">
        <f t="shared" si="1"/>
        <v>21.428571428571431</v>
      </c>
      <c r="G33" t="str">
        <f t="shared" si="2"/>
        <v>Summer</v>
      </c>
    </row>
    <row r="34" spans="1:7" x14ac:dyDescent="0.3">
      <c r="A34" s="21">
        <v>7</v>
      </c>
      <c r="B34" s="21" t="s">
        <v>192</v>
      </c>
      <c r="C34" s="21" t="s">
        <v>193</v>
      </c>
      <c r="D34" s="21">
        <v>31</v>
      </c>
      <c r="E34" s="26">
        <f t="shared" si="0"/>
        <v>8.8571428571428559</v>
      </c>
      <c r="F34" s="22">
        <f t="shared" si="1"/>
        <v>22.142857142857142</v>
      </c>
      <c r="G34" t="str">
        <f t="shared" si="2"/>
        <v>Summer</v>
      </c>
    </row>
    <row r="35" spans="1:7" x14ac:dyDescent="0.3">
      <c r="A35" s="21">
        <v>8</v>
      </c>
      <c r="B35" s="21" t="s">
        <v>194</v>
      </c>
      <c r="C35" s="21" t="s">
        <v>195</v>
      </c>
      <c r="D35" s="21">
        <v>31</v>
      </c>
      <c r="E35" s="26">
        <f t="shared" si="0"/>
        <v>8.8571428571428559</v>
      </c>
      <c r="F35" s="22">
        <f t="shared" si="1"/>
        <v>22.142857142857142</v>
      </c>
      <c r="G35" t="str">
        <f t="shared" si="2"/>
        <v>Summer</v>
      </c>
    </row>
    <row r="36" spans="1:7" x14ac:dyDescent="0.3">
      <c r="A36" s="21">
        <v>9</v>
      </c>
      <c r="B36" s="21" t="s">
        <v>196</v>
      </c>
      <c r="C36" s="21" t="s">
        <v>197</v>
      </c>
      <c r="D36" s="21">
        <v>30</v>
      </c>
      <c r="E36" s="26">
        <f t="shared" si="0"/>
        <v>8.5714285714285712</v>
      </c>
      <c r="F36" s="22">
        <f t="shared" si="1"/>
        <v>21.428571428571431</v>
      </c>
      <c r="G36" t="str">
        <f t="shared" si="2"/>
        <v>Fall</v>
      </c>
    </row>
    <row r="37" spans="1:7" x14ac:dyDescent="0.3">
      <c r="A37" s="21">
        <v>10</v>
      </c>
      <c r="B37" s="21" t="s">
        <v>198</v>
      </c>
      <c r="C37" s="21" t="s">
        <v>199</v>
      </c>
      <c r="D37" s="21">
        <v>31</v>
      </c>
      <c r="E37" s="26">
        <f t="shared" si="0"/>
        <v>8.8571428571428559</v>
      </c>
      <c r="F37" s="22">
        <f t="shared" si="1"/>
        <v>22.142857142857142</v>
      </c>
      <c r="G37" t="str">
        <f t="shared" si="2"/>
        <v>Fall</v>
      </c>
    </row>
    <row r="38" spans="1:7" x14ac:dyDescent="0.3">
      <c r="A38" s="21">
        <v>11</v>
      </c>
      <c r="B38" s="21" t="s">
        <v>200</v>
      </c>
      <c r="C38" s="21" t="s">
        <v>201</v>
      </c>
      <c r="D38" s="21">
        <v>30</v>
      </c>
      <c r="E38" s="26">
        <f t="shared" si="0"/>
        <v>8.5714285714285712</v>
      </c>
      <c r="F38" s="22">
        <f t="shared" si="1"/>
        <v>21.428571428571431</v>
      </c>
      <c r="G38" t="str">
        <f t="shared" si="2"/>
        <v>Winter</v>
      </c>
    </row>
    <row r="39" spans="1:7" x14ac:dyDescent="0.3">
      <c r="A39" s="21">
        <v>12</v>
      </c>
      <c r="B39" s="21" t="s">
        <v>202</v>
      </c>
      <c r="C39" s="21" t="s">
        <v>203</v>
      </c>
      <c r="D39" s="21">
        <v>31</v>
      </c>
      <c r="E39" s="26">
        <f t="shared" si="0"/>
        <v>8.8571428571428559</v>
      </c>
      <c r="F39" s="22">
        <f t="shared" si="1"/>
        <v>22.142857142857142</v>
      </c>
      <c r="G39" t="str">
        <f t="shared" si="2"/>
        <v>Winter</v>
      </c>
    </row>
    <row r="41" spans="1:7" s="20" customFormat="1" x14ac:dyDescent="0.3">
      <c r="A41" s="20" t="s">
        <v>120</v>
      </c>
      <c r="B41" s="20" t="s">
        <v>204</v>
      </c>
      <c r="C41" s="20" t="s">
        <v>205</v>
      </c>
      <c r="D41" s="20" t="s">
        <v>179</v>
      </c>
      <c r="E41" s="24" t="s">
        <v>180</v>
      </c>
    </row>
    <row r="42" spans="1:7" s="21" customFormat="1" x14ac:dyDescent="0.3">
      <c r="A42" s="21" t="s">
        <v>137</v>
      </c>
      <c r="B42" s="28">
        <f>SUMIF($G$28:$G$39,A42,$F$28:$F$39)+SUMIF($G$28:$G$39,A42,$E$28:$E$39)</f>
        <v>119.99999999999999</v>
      </c>
      <c r="C42" s="21">
        <f>B42*24</f>
        <v>2879.9999999999995</v>
      </c>
      <c r="D42" s="22">
        <f>B42*(2/7)</f>
        <v>34.285714285714278</v>
      </c>
      <c r="E42" s="26">
        <f>B42*(5/7)</f>
        <v>85.714285714285708</v>
      </c>
    </row>
    <row r="43" spans="1:7" s="21" customFormat="1" x14ac:dyDescent="0.3">
      <c r="A43" s="21" t="s">
        <v>162</v>
      </c>
      <c r="B43" s="28">
        <f t="shared" ref="B43:B45" si="3">SUMIF($G$28:$G$39,A43,$F$28:$F$39)+SUMIF($G$28:$G$39,A43,$E$28:$E$39)</f>
        <v>92</v>
      </c>
      <c r="C43" s="21">
        <f t="shared" ref="C43:C45" si="4">B43*24</f>
        <v>2208</v>
      </c>
      <c r="D43" s="22">
        <f t="shared" ref="D43:D45" si="5">B43*(2/7)</f>
        <v>26.285714285714285</v>
      </c>
      <c r="E43" s="26">
        <f t="shared" ref="E43:E45" si="6">B43*(5/7)</f>
        <v>65.714285714285722</v>
      </c>
    </row>
    <row r="44" spans="1:7" s="21" customFormat="1" x14ac:dyDescent="0.3">
      <c r="A44" s="21" t="s">
        <v>163</v>
      </c>
      <c r="B44" s="28">
        <f t="shared" si="3"/>
        <v>92</v>
      </c>
      <c r="C44" s="21">
        <f t="shared" si="4"/>
        <v>2208</v>
      </c>
      <c r="D44" s="22">
        <f t="shared" si="5"/>
        <v>26.285714285714285</v>
      </c>
      <c r="E44" s="26">
        <f t="shared" si="6"/>
        <v>65.714285714285722</v>
      </c>
    </row>
    <row r="45" spans="1:7" s="21" customFormat="1" x14ac:dyDescent="0.3">
      <c r="A45" s="21" t="s">
        <v>164</v>
      </c>
      <c r="B45" s="28">
        <f t="shared" si="3"/>
        <v>61</v>
      </c>
      <c r="C45" s="21">
        <f t="shared" si="4"/>
        <v>1464</v>
      </c>
      <c r="D45" s="22">
        <f t="shared" si="5"/>
        <v>17.428571428571427</v>
      </c>
      <c r="E45" s="26">
        <f t="shared" si="6"/>
        <v>43.571428571428569</v>
      </c>
    </row>
  </sheetData>
  <mergeCells count="2">
    <mergeCell ref="E10:E11"/>
    <mergeCell ref="E18:E1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F0FE9E-28FA-4421-84C3-479D11029F57}">
          <x14:formula1>
            <xm:f>About!$A$68:$A$69</xm:f>
          </x14:formula1>
          <xm:sqref>B2:B25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2C27-F649-4EF2-930A-B79DC87FFC8A}">
  <sheetPr>
    <tabColor theme="5"/>
  </sheetPr>
  <dimension ref="A1:X21"/>
  <sheetViews>
    <sheetView workbookViewId="0">
      <selection activeCell="E14" sqref="E14"/>
    </sheetView>
  </sheetViews>
  <sheetFormatPr defaultRowHeight="14.4" x14ac:dyDescent="0.3"/>
  <cols>
    <col min="1" max="1" width="17.33203125" customWidth="1"/>
    <col min="2" max="2" width="20.5546875" customWidth="1"/>
    <col min="3" max="23" width="13.109375" customWidth="1"/>
  </cols>
  <sheetData>
    <row r="1" spans="1:24" s="8" customFormat="1" ht="43.2" x14ac:dyDescent="0.3">
      <c r="B1" s="8" t="s">
        <v>206</v>
      </c>
      <c r="C1" s="9" t="s">
        <v>207</v>
      </c>
      <c r="D1" s="8" t="s">
        <v>208</v>
      </c>
      <c r="E1" s="8" t="s">
        <v>209</v>
      </c>
      <c r="F1" s="8" t="s">
        <v>210</v>
      </c>
      <c r="G1" s="8" t="s">
        <v>211</v>
      </c>
      <c r="H1" s="8" t="s">
        <v>212</v>
      </c>
      <c r="I1" s="8" t="s">
        <v>213</v>
      </c>
      <c r="J1" s="8" t="s">
        <v>214</v>
      </c>
      <c r="K1" s="8" t="s">
        <v>215</v>
      </c>
      <c r="L1" s="8" t="s">
        <v>216</v>
      </c>
      <c r="M1" s="8" t="s">
        <v>217</v>
      </c>
      <c r="N1" s="8" t="s">
        <v>218</v>
      </c>
      <c r="O1" s="8" t="s">
        <v>219</v>
      </c>
      <c r="P1" s="8" t="s">
        <v>220</v>
      </c>
      <c r="Q1" s="8" t="s">
        <v>221</v>
      </c>
      <c r="R1" s="8" t="s">
        <v>222</v>
      </c>
      <c r="S1" s="8" t="s">
        <v>223</v>
      </c>
      <c r="T1" s="8" t="s">
        <v>224</v>
      </c>
      <c r="U1" s="8" t="s">
        <v>225</v>
      </c>
      <c r="V1" s="8" t="s">
        <v>226</v>
      </c>
      <c r="W1" s="8" t="s">
        <v>227</v>
      </c>
      <c r="X1" s="8" t="s">
        <v>232</v>
      </c>
    </row>
    <row r="2" spans="1:24" x14ac:dyDescent="0.3">
      <c r="A2" s="7" t="s">
        <v>137</v>
      </c>
      <c r="B2" s="23">
        <f>'SHELF-days-per-timeslice'!B2</f>
        <v>119.99999999999999</v>
      </c>
      <c r="C2">
        <f ca="1">SUM(INDIRECT("'"&amp;C$1&amp;"'!B"&amp;ROW($A2)&amp;":Y"&amp;ROW($A2)))</f>
        <v>0</v>
      </c>
      <c r="D2">
        <f ca="1">SUM(INDIRECT("'"&amp;D$1&amp;"'!B"&amp;ROW($A2)&amp;":Y"&amp;ROW($A2)))</f>
        <v>3.0256032644648109E-6</v>
      </c>
      <c r="E2">
        <f t="shared" ref="E2:X5" ca="1" si="0">SUM(INDIRECT("'"&amp;E$1&amp;"'!B"&amp;ROW($A2)&amp;":Y"&amp;ROW($A2)))</f>
        <v>0</v>
      </c>
      <c r="F2">
        <f t="shared" ca="1" si="0"/>
        <v>3.2512075859187296E-3</v>
      </c>
      <c r="G2">
        <f t="shared" ca="1" si="0"/>
        <v>2.782757818821222E-3</v>
      </c>
      <c r="H2">
        <f t="shared" ca="1" si="0"/>
        <v>2.782757818821222E-3</v>
      </c>
      <c r="I2">
        <f t="shared" ca="1" si="0"/>
        <v>0</v>
      </c>
      <c r="J2">
        <f t="shared" ca="1" si="0"/>
        <v>3.0260454832107696E-6</v>
      </c>
      <c r="K2">
        <f t="shared" ca="1" si="0"/>
        <v>0</v>
      </c>
      <c r="L2">
        <f t="shared" ca="1" si="0"/>
        <v>2.7774109346704848E-3</v>
      </c>
      <c r="M2">
        <f t="shared" ca="1" si="0"/>
        <v>2.7774109346704848E-3</v>
      </c>
      <c r="N2">
        <f t="shared" ca="1" si="0"/>
        <v>2.7774109346704848E-3</v>
      </c>
      <c r="O2">
        <f t="shared" ca="1" si="0"/>
        <v>2.8845835014545884E-3</v>
      </c>
      <c r="P2">
        <f t="shared" ca="1" si="0"/>
        <v>2.8845835014545884E-3</v>
      </c>
      <c r="Q2">
        <f t="shared" ca="1" si="0"/>
        <v>2.8845835014545884E-3</v>
      </c>
      <c r="R2">
        <f t="shared" ca="1" si="0"/>
        <v>2.8845835014545884E-3</v>
      </c>
      <c r="S2">
        <f t="shared" ca="1" si="0"/>
        <v>2.8845835014545884E-3</v>
      </c>
      <c r="T2">
        <f t="shared" ca="1" si="0"/>
        <v>2.8845835014545884E-3</v>
      </c>
      <c r="U2">
        <f t="shared" ca="1" si="0"/>
        <v>2.7472969600136903E-3</v>
      </c>
      <c r="V2">
        <f t="shared" ca="1" si="0"/>
        <v>2.7472969600136903E-3</v>
      </c>
      <c r="W2">
        <f t="shared" ca="1" si="0"/>
        <v>2.7472969600136903E-3</v>
      </c>
      <c r="X2">
        <f t="shared" ca="1" si="0"/>
        <v>2.7397260273972594E-3</v>
      </c>
    </row>
    <row r="3" spans="1:24" x14ac:dyDescent="0.3">
      <c r="A3" s="7" t="s">
        <v>162</v>
      </c>
      <c r="B3" s="23">
        <f>'SHELF-days-per-timeslice'!B3</f>
        <v>92</v>
      </c>
      <c r="C3">
        <f t="shared" ref="C3:R5" ca="1" si="1">SUM(INDIRECT("'"&amp;C$1&amp;"'!B"&amp;ROW($A3)&amp;":Y"&amp;ROW($A3)))</f>
        <v>0</v>
      </c>
      <c r="D3">
        <f t="shared" ca="1" si="1"/>
        <v>1.4486990130035247E-4</v>
      </c>
      <c r="E3">
        <f t="shared" ca="1" si="1"/>
        <v>0</v>
      </c>
      <c r="F3">
        <f t="shared" ca="1" si="1"/>
        <v>2.5213324648387806E-3</v>
      </c>
      <c r="G3">
        <f t="shared" ca="1" si="1"/>
        <v>2.7246028489613322E-3</v>
      </c>
      <c r="H3">
        <f t="shared" ca="1" si="1"/>
        <v>2.7246028489613322E-3</v>
      </c>
      <c r="I3">
        <f t="shared" ca="1" si="1"/>
        <v>0</v>
      </c>
      <c r="J3">
        <f t="shared" ca="1" si="1"/>
        <v>1.4489611851697048E-4</v>
      </c>
      <c r="K3">
        <f t="shared" ca="1" si="1"/>
        <v>0</v>
      </c>
      <c r="L3">
        <f t="shared" ca="1" si="1"/>
        <v>2.7283570466076728E-3</v>
      </c>
      <c r="M3">
        <f t="shared" ca="1" si="1"/>
        <v>2.7283570466076728E-3</v>
      </c>
      <c r="N3">
        <f t="shared" ca="1" si="1"/>
        <v>2.7283570466076728E-3</v>
      </c>
      <c r="O3">
        <f t="shared" ca="1" si="1"/>
        <v>2.7183330648580875E-3</v>
      </c>
      <c r="P3">
        <f t="shared" ca="1" si="1"/>
        <v>2.7183330648580875E-3</v>
      </c>
      <c r="Q3">
        <f t="shared" ca="1" si="1"/>
        <v>2.7183330648580875E-3</v>
      </c>
      <c r="R3">
        <f t="shared" ca="1" si="1"/>
        <v>2.7183330648580875E-3</v>
      </c>
      <c r="S3">
        <f t="shared" ca="1" si="0"/>
        <v>2.7183330648580875E-3</v>
      </c>
      <c r="T3">
        <f t="shared" ca="1" si="0"/>
        <v>2.7183330648580875E-3</v>
      </c>
      <c r="U3">
        <f t="shared" ca="1" si="0"/>
        <v>2.7392320021860823E-3</v>
      </c>
      <c r="V3">
        <f t="shared" ca="1" si="0"/>
        <v>2.7392320021860823E-3</v>
      </c>
      <c r="W3">
        <f t="shared" ca="1" si="0"/>
        <v>2.7392320021860823E-3</v>
      </c>
      <c r="X3">
        <f t="shared" ca="1" si="0"/>
        <v>2.7397260273972594E-3</v>
      </c>
    </row>
    <row r="4" spans="1:24" x14ac:dyDescent="0.3">
      <c r="A4" s="7" t="s">
        <v>163</v>
      </c>
      <c r="B4" s="23">
        <f>'SHELF-days-per-timeslice'!B4</f>
        <v>92</v>
      </c>
      <c r="C4">
        <f t="shared" ca="1" si="1"/>
        <v>0</v>
      </c>
      <c r="D4">
        <f t="shared" ca="1" si="1"/>
        <v>9.6399791675492747E-3</v>
      </c>
      <c r="E4">
        <f t="shared" ca="1" si="0"/>
        <v>0</v>
      </c>
      <c r="F4">
        <f t="shared" ca="1" si="0"/>
        <v>2.2898601188769186E-3</v>
      </c>
      <c r="G4">
        <f t="shared" ca="1" si="0"/>
        <v>2.7232840756959168E-3</v>
      </c>
      <c r="H4">
        <f t="shared" ca="1" si="0"/>
        <v>2.7232840756959168E-3</v>
      </c>
      <c r="I4">
        <f t="shared" ca="1" si="0"/>
        <v>0</v>
      </c>
      <c r="J4">
        <f t="shared" ca="1" si="0"/>
        <v>9.6397940563616117E-3</v>
      </c>
      <c r="K4">
        <f t="shared" ca="1" si="0"/>
        <v>0</v>
      </c>
      <c r="L4">
        <f t="shared" ca="1" si="0"/>
        <v>2.7065248601706175E-3</v>
      </c>
      <c r="M4">
        <f t="shared" ca="1" si="0"/>
        <v>2.7065248601706175E-3</v>
      </c>
      <c r="N4">
        <f t="shared" ca="1" si="0"/>
        <v>2.7065248601706175E-3</v>
      </c>
      <c r="O4">
        <f t="shared" ca="1" si="0"/>
        <v>2.5581950123723077E-3</v>
      </c>
      <c r="P4">
        <f t="shared" ca="1" si="0"/>
        <v>2.5581950123723077E-3</v>
      </c>
      <c r="Q4">
        <f t="shared" ca="1" si="0"/>
        <v>2.5581950123723077E-3</v>
      </c>
      <c r="R4">
        <f t="shared" ca="1" si="0"/>
        <v>2.5581950123723077E-3</v>
      </c>
      <c r="S4">
        <f t="shared" ca="1" si="0"/>
        <v>2.5581950123723077E-3</v>
      </c>
      <c r="T4">
        <f t="shared" ca="1" si="0"/>
        <v>2.5581950123723077E-3</v>
      </c>
      <c r="U4">
        <f t="shared" ca="1" si="0"/>
        <v>2.714461146826073E-3</v>
      </c>
      <c r="V4">
        <f t="shared" ca="1" si="0"/>
        <v>2.714461146826073E-3</v>
      </c>
      <c r="W4">
        <f t="shared" ca="1" si="0"/>
        <v>2.714461146826073E-3</v>
      </c>
      <c r="X4">
        <f t="shared" ca="1" si="0"/>
        <v>2.7397260273972594E-3</v>
      </c>
    </row>
    <row r="5" spans="1:24" x14ac:dyDescent="0.3">
      <c r="A5" s="7" t="s">
        <v>164</v>
      </c>
      <c r="B5" s="23">
        <f>'SHELF-days-per-timeslice'!B5</f>
        <v>61</v>
      </c>
      <c r="C5">
        <f t="shared" ca="1" si="1"/>
        <v>0</v>
      </c>
      <c r="D5">
        <f t="shared" ca="1" si="1"/>
        <v>1.6300133323622729E-3</v>
      </c>
      <c r="E5">
        <f t="shared" ca="1" si="0"/>
        <v>0</v>
      </c>
      <c r="F5">
        <f t="shared" ca="1" si="0"/>
        <v>2.7413995407853838E-3</v>
      </c>
      <c r="G5">
        <f t="shared" ca="1" si="0"/>
        <v>2.7026797487374877E-3</v>
      </c>
      <c r="H5">
        <f t="shared" ca="1" si="0"/>
        <v>2.7026797487374877E-3</v>
      </c>
      <c r="I5">
        <f t="shared" ca="1" si="0"/>
        <v>0</v>
      </c>
      <c r="J5">
        <f t="shared" ca="1" si="0"/>
        <v>1.6302521057899139E-3</v>
      </c>
      <c r="K5">
        <f t="shared" ca="1" si="0"/>
        <v>0</v>
      </c>
      <c r="L5">
        <f t="shared" ca="1" si="0"/>
        <v>2.7328123346875297E-3</v>
      </c>
      <c r="M5">
        <f t="shared" ca="1" si="0"/>
        <v>2.7328123346875297E-3</v>
      </c>
      <c r="N5">
        <f t="shared" ca="1" si="0"/>
        <v>2.7328123346875297E-3</v>
      </c>
      <c r="O5">
        <f t="shared" ca="1" si="0"/>
        <v>2.7608097822992362E-3</v>
      </c>
      <c r="P5">
        <f t="shared" ca="1" si="0"/>
        <v>2.7608097822992362E-3</v>
      </c>
      <c r="Q5">
        <f t="shared" ca="1" si="0"/>
        <v>2.7608097822992362E-3</v>
      </c>
      <c r="R5">
        <f t="shared" ca="1" si="0"/>
        <v>2.7608097822992362E-3</v>
      </c>
      <c r="S5">
        <f t="shared" ca="1" si="0"/>
        <v>2.7608097822992362E-3</v>
      </c>
      <c r="T5">
        <f t="shared" ca="1" si="0"/>
        <v>2.7608097822992362E-3</v>
      </c>
      <c r="U5">
        <f t="shared" ca="1" si="0"/>
        <v>2.7636818867088292E-3</v>
      </c>
      <c r="V5">
        <f t="shared" ca="1" si="0"/>
        <v>2.7636818867088292E-3</v>
      </c>
      <c r="W5">
        <f t="shared" ca="1" si="0"/>
        <v>2.7636818867088292E-3</v>
      </c>
      <c r="X5">
        <f t="shared" ca="1" si="0"/>
        <v>2.7397260273972594E-3</v>
      </c>
    </row>
    <row r="7" spans="1:24" x14ac:dyDescent="0.3">
      <c r="A7" s="7" t="s">
        <v>228</v>
      </c>
      <c r="C7" s="47">
        <f t="shared" ref="C7:W7" ca="1" si="2">ROUND(SUMPRODUCT($B2:$B5,C2:C5),10)</f>
        <v>0</v>
      </c>
      <c r="D7" s="47">
        <f t="shared" ca="1" si="2"/>
        <v>1</v>
      </c>
      <c r="E7" s="47">
        <f t="shared" ca="1" si="2"/>
        <v>0</v>
      </c>
      <c r="F7" s="47">
        <f t="shared" ca="1" si="2"/>
        <v>1</v>
      </c>
      <c r="G7" s="47">
        <f t="shared" ca="1" si="2"/>
        <v>1</v>
      </c>
      <c r="H7" s="47">
        <f t="shared" ca="1" si="2"/>
        <v>1</v>
      </c>
      <c r="I7" s="47">
        <f t="shared" ca="1" si="2"/>
        <v>0</v>
      </c>
      <c r="J7" s="47">
        <f t="shared" ca="1" si="2"/>
        <v>1</v>
      </c>
      <c r="K7" s="47">
        <f t="shared" ca="1" si="2"/>
        <v>0</v>
      </c>
      <c r="L7" s="47">
        <f t="shared" ca="1" si="2"/>
        <v>1</v>
      </c>
      <c r="M7" s="47">
        <f t="shared" ca="1" si="2"/>
        <v>1</v>
      </c>
      <c r="N7" s="47">
        <f t="shared" ca="1" si="2"/>
        <v>1</v>
      </c>
      <c r="O7" s="47">
        <f t="shared" ca="1" si="2"/>
        <v>1</v>
      </c>
      <c r="P7" s="47">
        <f t="shared" ca="1" si="2"/>
        <v>1</v>
      </c>
      <c r="Q7" s="47">
        <f t="shared" ca="1" si="2"/>
        <v>1</v>
      </c>
      <c r="R7" s="47">
        <f t="shared" ca="1" si="2"/>
        <v>1</v>
      </c>
      <c r="S7" s="47">
        <f t="shared" ca="1" si="2"/>
        <v>1</v>
      </c>
      <c r="T7" s="47">
        <f t="shared" ca="1" si="2"/>
        <v>1</v>
      </c>
      <c r="U7" s="47">
        <f t="shared" ca="1" si="2"/>
        <v>1</v>
      </c>
      <c r="V7" s="47">
        <f t="shared" ca="1" si="2"/>
        <v>1</v>
      </c>
      <c r="W7" s="47">
        <f t="shared" ca="1" si="2"/>
        <v>1</v>
      </c>
      <c r="X7" s="47">
        <f t="shared" ref="X7" ca="1" si="3">ROUND(SUMPRODUCT($B2:$B5,X2:X5),10)</f>
        <v>1</v>
      </c>
    </row>
    <row r="8" spans="1:24" x14ac:dyDescent="0.3">
      <c r="A8" s="7"/>
    </row>
    <row r="9" spans="1:24" x14ac:dyDescent="0.3">
      <c r="A9" s="7" t="s">
        <v>270</v>
      </c>
    </row>
    <row r="10" spans="1:24" x14ac:dyDescent="0.3">
      <c r="A10" s="7"/>
    </row>
    <row r="11" spans="1:24" x14ac:dyDescent="0.3">
      <c r="A11" s="7"/>
      <c r="B11" s="11"/>
    </row>
    <row r="12" spans="1:24" x14ac:dyDescent="0.3">
      <c r="A12" s="7"/>
    </row>
    <row r="13" spans="1:24" x14ac:dyDescent="0.3">
      <c r="A13" s="7"/>
    </row>
    <row r="14" spans="1:24" x14ac:dyDescent="0.3">
      <c r="A14" s="7"/>
    </row>
    <row r="15" spans="1:24" x14ac:dyDescent="0.3">
      <c r="A15" s="7"/>
    </row>
    <row r="16" spans="1:24" x14ac:dyDescent="0.3">
      <c r="A16" s="7"/>
    </row>
    <row r="17" spans="1:1" x14ac:dyDescent="0.3">
      <c r="A17" s="7"/>
    </row>
    <row r="18" spans="1:1" x14ac:dyDescent="0.3">
      <c r="A18" s="7"/>
    </row>
    <row r="19" spans="1:1" x14ac:dyDescent="0.3">
      <c r="A19" s="7"/>
    </row>
    <row r="20" spans="1:1" x14ac:dyDescent="0.3">
      <c r="A20" s="7"/>
    </row>
    <row r="21" spans="1:1" x14ac:dyDescent="0.3">
      <c r="A21" s="7"/>
    </row>
  </sheetData>
  <conditionalFormatting sqref="C7:X7">
    <cfRule type="cellIs" dxfId="4" priority="1" operator="greaterThan">
      <formula>1</formula>
    </cfRule>
    <cfRule type="cellIs" dxfId="3" priority="2" operator="between">
      <formula>0.0001</formula>
      <formula>0.9999</formula>
    </cfRule>
    <cfRule type="cellIs" dxfId="2" priority="3" operator="lessThan">
      <formula>0</formula>
    </cfRule>
    <cfRule type="cellIs" dxfId="1" priority="4" operator="equal">
      <formula>0</formula>
    </cfRule>
    <cfRule type="cellIs" dxfId="0" priority="5" operator="equal">
      <formula>1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D0AD-F739-4ED5-80B9-96133A844933}">
  <sheetPr codeName="Sheet8">
    <tabColor rgb="FF002060"/>
  </sheetPr>
  <dimension ref="A1:B15"/>
  <sheetViews>
    <sheetView workbookViewId="0">
      <selection activeCell="N63" sqref="N63"/>
    </sheetView>
  </sheetViews>
  <sheetFormatPr defaultRowHeight="14.4" x14ac:dyDescent="0.3"/>
  <cols>
    <col min="1" max="1" width="28.44140625" customWidth="1"/>
    <col min="2" max="2" width="19.88671875" customWidth="1"/>
  </cols>
  <sheetData>
    <row r="1" spans="1:2" x14ac:dyDescent="0.3">
      <c r="A1" s="5" t="s">
        <v>229</v>
      </c>
      <c r="B1" s="6" t="s">
        <v>230</v>
      </c>
    </row>
    <row r="2" spans="1:2" x14ac:dyDescent="0.3">
      <c r="A2" s="7" t="s">
        <v>137</v>
      </c>
      <c r="B2" s="28">
        <f>'Category Mapping'!B42</f>
        <v>119.99999999999999</v>
      </c>
    </row>
    <row r="3" spans="1:2" x14ac:dyDescent="0.3">
      <c r="A3" s="7" t="s">
        <v>162</v>
      </c>
      <c r="B3" s="28">
        <f>'Category Mapping'!B43</f>
        <v>92</v>
      </c>
    </row>
    <row r="4" spans="1:2" x14ac:dyDescent="0.3">
      <c r="A4" s="7" t="s">
        <v>163</v>
      </c>
      <c r="B4" s="28">
        <f>'Category Mapping'!B44</f>
        <v>92</v>
      </c>
    </row>
    <row r="5" spans="1:2" x14ac:dyDescent="0.3">
      <c r="A5" s="7" t="s">
        <v>164</v>
      </c>
      <c r="B5" s="28">
        <f>'Category Mapping'!B45</f>
        <v>61</v>
      </c>
    </row>
    <row r="6" spans="1:2" x14ac:dyDescent="0.3">
      <c r="A6" s="7" t="s">
        <v>167</v>
      </c>
      <c r="B6" s="34">
        <v>0</v>
      </c>
    </row>
    <row r="7" spans="1:2" x14ac:dyDescent="0.3">
      <c r="A7" s="7" t="s">
        <v>166</v>
      </c>
      <c r="B7" s="34">
        <v>0</v>
      </c>
    </row>
    <row r="8" spans="1:2" x14ac:dyDescent="0.3">
      <c r="A8" s="7"/>
    </row>
    <row r="9" spans="1:2" x14ac:dyDescent="0.3">
      <c r="A9" s="7"/>
    </row>
    <row r="10" spans="1:2" x14ac:dyDescent="0.3">
      <c r="A10" s="7"/>
    </row>
    <row r="11" spans="1:2" x14ac:dyDescent="0.3">
      <c r="A11" s="7"/>
    </row>
    <row r="12" spans="1:2" x14ac:dyDescent="0.3">
      <c r="A12" s="7"/>
    </row>
    <row r="13" spans="1:2" x14ac:dyDescent="0.3">
      <c r="A13" s="7"/>
    </row>
    <row r="14" spans="1:2" x14ac:dyDescent="0.3">
      <c r="A14" s="7"/>
    </row>
    <row r="15" spans="1:2" x14ac:dyDescent="0.3">
      <c r="A15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1E6E-1D2E-4BA8-8B1A-FF688D9C6ABB}">
  <sheetPr codeName="Sheet9">
    <tabColor rgb="FF002060"/>
  </sheetPr>
  <dimension ref="A1:Y19"/>
  <sheetViews>
    <sheetView workbookViewId="0">
      <selection activeCell="B3" sqref="B3"/>
    </sheetView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</row>
    <row r="3" spans="1:25" x14ac:dyDescent="0.3">
      <c r="A3" s="7" t="s">
        <v>162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</row>
    <row r="4" spans="1:25" x14ac:dyDescent="0.3">
      <c r="A4" s="7" t="s">
        <v>163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</row>
    <row r="5" spans="1:25" x14ac:dyDescent="0.3">
      <c r="A5" s="7" t="s">
        <v>164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</row>
    <row r="6" spans="1:25" x14ac:dyDescent="0.3">
      <c r="A6" s="7" t="s">
        <v>167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</row>
    <row r="7" spans="1:25" x14ac:dyDescent="0.3">
      <c r="A7" s="7" t="s">
        <v>166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6D6B-B09E-46F0-9CED-FF728890DF22}">
  <sheetPr codeName="Sheet10">
    <tabColor rgb="FF002060"/>
  </sheetPr>
  <dimension ref="A1:Y19"/>
  <sheetViews>
    <sheetView topLeftCell="G1" workbookViewId="0">
      <selection activeCell="Q6" sqref="Q6:T6"/>
    </sheetView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 cm="1">
        <f t="array" ref="B2">INDEX('Summarized Source Data'!$E$1269:$E$1412,MATCH(1,($A2=LoadFactorSeasons)*(B$1=LoadFactorHours),0),)</f>
        <v>1.6934794294185272E-7</v>
      </c>
      <c r="C2" s="7" cm="1">
        <f t="array" ref="C2">INDEX('Summarized Source Data'!$E$1269:$E$1412,MATCH(1,($A2=LoadFactorSeasons)*(C$1=LoadFactorHours),0),)</f>
        <v>1.7056250308359976E-7</v>
      </c>
      <c r="D2" s="7" cm="1">
        <f t="array" ref="D2">INDEX('Summarized Source Data'!$E$1269:$E$1412,MATCH(1,($A2=LoadFactorSeasons)*(D$1=LoadFactorHours),0),)</f>
        <v>1.7147646685383887E-7</v>
      </c>
      <c r="E2" s="7" cm="1">
        <f t="array" ref="E2">INDEX('Summarized Source Data'!$E$1269:$E$1412,MATCH(1,($A2=LoadFactorSeasons)*(E$1=LoadFactorHours),0),)</f>
        <v>1.7160918165986811E-7</v>
      </c>
      <c r="F2" s="7" cm="1">
        <f t="array" ref="F2">INDEX('Summarized Source Data'!$E$1269:$E$1412,MATCH(1,($A2=LoadFactorSeasons)*(F$1=LoadFactorHours),0),)</f>
        <v>1.678867027610526E-7</v>
      </c>
      <c r="G2" s="7" cm="1">
        <f t="array" ref="G2">INDEX('Summarized Source Data'!$E$1269:$E$1412,MATCH(1,($A2=LoadFactorSeasons)*(G$1=LoadFactorHours),0),)</f>
        <v>1.5612122003277033E-7</v>
      </c>
      <c r="H2" s="7" cm="1">
        <f t="array" ref="H2">INDEX('Summarized Source Data'!$E$1269:$E$1412,MATCH(1,($A2=LoadFactorSeasons)*(H$1=LoadFactorHours),0),)</f>
        <v>1.3146737130107351E-7</v>
      </c>
      <c r="I2" s="7" cm="1">
        <f t="array" ref="I2">INDEX('Summarized Source Data'!$E$1269:$E$1412,MATCH(1,($A2=LoadFactorSeasons)*(I$1=LoadFactorHours),0),)</f>
        <v>1.0338331583485801E-7</v>
      </c>
      <c r="J2" s="7" cm="1">
        <f t="array" ref="J2">INDEX('Summarized Source Data'!$E$1269:$E$1412,MATCH(1,($A2=LoadFactorSeasons)*(J$1=LoadFactorHours),0),)</f>
        <v>8.5663018987005185E-8</v>
      </c>
      <c r="K2" s="7" cm="1">
        <f t="array" ref="K2">INDEX('Summarized Source Data'!$E$1269:$E$1412,MATCH(1,($A2=LoadFactorSeasons)*(K$1=LoadFactorHours),0),)</f>
        <v>7.4213775705617604E-8</v>
      </c>
      <c r="L2" s="7" cm="1">
        <f t="array" ref="L2">INDEX('Summarized Source Data'!$E$1269:$E$1412,MATCH(1,($A2=LoadFactorSeasons)*(L$1=LoadFactorHours),0),)</f>
        <v>7.2279996018129067E-8</v>
      </c>
      <c r="M2" s="7" cm="1">
        <f t="array" ref="M2">INDEX('Summarized Source Data'!$E$1269:$E$1412,MATCH(1,($A2=LoadFactorSeasons)*(M$1=LoadFactorHours),0),)</f>
        <v>7.934571982492335E-8</v>
      </c>
      <c r="N2" s="7" cm="1">
        <f t="array" ref="N2">INDEX('Summarized Source Data'!$E$1269:$E$1412,MATCH(1,($A2=LoadFactorSeasons)*(N$1=LoadFactorHours),0),)</f>
        <v>8.5339923127890812E-8</v>
      </c>
      <c r="O2" s="7" cm="1">
        <f t="array" ref="O2">INDEX('Summarized Source Data'!$E$1269:$E$1412,MATCH(1,($A2=LoadFactorSeasons)*(O$1=LoadFactorHours),0),)</f>
        <v>8.7602921189217749E-8</v>
      </c>
      <c r="P2" s="7" cm="1">
        <f t="array" ref="P2">INDEX('Summarized Source Data'!$E$1269:$E$1412,MATCH(1,($A2=LoadFactorSeasons)*(P$1=LoadFactorHours),0),)</f>
        <v>9.0576261652605875E-8</v>
      </c>
      <c r="Q2" s="7" cm="1">
        <f t="array" ref="Q2">INDEX('Summarized Source Data'!$E$1269:$E$1412,MATCH(1,($A2=LoadFactorSeasons)*(Q$1=LoadFactorHours),0),)</f>
        <v>9.7084866779685109E-8</v>
      </c>
      <c r="R2" s="7" cm="1">
        <f t="array" ref="R2">INDEX('Summarized Source Data'!$E$1269:$E$1412,MATCH(1,($A2=LoadFactorSeasons)*(R$1=LoadFactorHours),0),)</f>
        <v>1.0438987133023385E-7</v>
      </c>
      <c r="S2" s="7" cm="1">
        <f t="array" ref="S2">INDEX('Summarized Source Data'!$E$1269:$E$1412,MATCH(1,($A2=LoadFactorSeasons)*(S$1=LoadFactorHours),0),)</f>
        <v>1.1331812644709609E-7</v>
      </c>
      <c r="T2" s="7" cm="1">
        <f t="array" ref="T2">INDEX('Summarized Source Data'!$E$1269:$E$1412,MATCH(1,($A2=LoadFactorSeasons)*(T$1=LoadFactorHours),0),)</f>
        <v>1.2481182582061769E-7</v>
      </c>
      <c r="U2" s="7" cm="1">
        <f t="array" ref="U2">INDEX('Summarized Source Data'!$E$1269:$E$1412,MATCH(1,($A2=LoadFactorSeasons)*(U$1=LoadFactorHours),0),)</f>
        <v>1.366500046145312E-7</v>
      </c>
      <c r="V2" s="7" cm="1">
        <f t="array" ref="V2">INDEX('Summarized Source Data'!$E$1269:$E$1412,MATCH(1,($A2=LoadFactorSeasons)*(V$1=LoadFactorHours),0),)</f>
        <v>1.4709964934666614E-7</v>
      </c>
      <c r="W2" s="7" cm="1">
        <f t="array" ref="W2">INDEX('Summarized Source Data'!$E$1269:$E$1412,MATCH(1,($A2=LoadFactorSeasons)*(W$1=LoadFactorHours),0),)</f>
        <v>1.5593227661450551E-7</v>
      </c>
      <c r="X2" s="7" cm="1">
        <f t="array" ref="X2">INDEX('Summarized Source Data'!$E$1269:$E$1412,MATCH(1,($A2=LoadFactorSeasons)*(X$1=LoadFactorHours),0),)</f>
        <v>1.6243824775331265E-7</v>
      </c>
      <c r="Y2" s="7" cm="1">
        <f t="array" ref="Y2">INDEX('Summarized Source Data'!$E$1269:$E$1412,MATCH(1,($A2=LoadFactorSeasons)*(Y$1=LoadFactorHours),0),)</f>
        <v>1.6700207478385891E-7</v>
      </c>
    </row>
    <row r="3" spans="1:25" x14ac:dyDescent="0.3">
      <c r="A3" s="7" t="s">
        <v>162</v>
      </c>
      <c r="B3" s="7" cm="1">
        <f t="array" ref="B3">INDEX('Summarized Source Data'!$E$1269:$E$1412,MATCH(1,($A3=LoadFactorSeasons)*(B$1=LoadFactorHours),0),)</f>
        <v>1.7980540658905753E-7</v>
      </c>
      <c r="C3" s="7" cm="1">
        <f t="array" ref="C3">INDEX('Summarized Source Data'!$E$1269:$E$1412,MATCH(1,($A3=LoadFactorSeasons)*(C$1=LoadFactorHours),0),)</f>
        <v>1.8107775930089556E-7</v>
      </c>
      <c r="D3" s="7" cm="1">
        <f t="array" ref="D3">INDEX('Summarized Source Data'!$E$1269:$E$1412,MATCH(1,($A3=LoadFactorSeasons)*(D$1=LoadFactorHours),0),)</f>
        <v>1.8203171239822525E-7</v>
      </c>
      <c r="E3" s="7" cm="1">
        <f t="array" ref="E3">INDEX('Summarized Source Data'!$E$1269:$E$1412,MATCH(1,($A3=LoadFactorSeasons)*(E$1=LoadFactorHours),0),)</f>
        <v>1.8217414708430863E-7</v>
      </c>
      <c r="F3" s="7" cm="1">
        <f t="array" ref="F3">INDEX('Summarized Source Data'!$E$1269:$E$1412,MATCH(1,($A3=LoadFactorSeasons)*(F$1=LoadFactorHours),0),)</f>
        <v>1.7818179278937958E-7</v>
      </c>
      <c r="G3" s="7" cm="1">
        <f t="array" ref="G3">INDEX('Summarized Source Data'!$E$1269:$E$1412,MATCH(1,($A3=LoadFactorSeasons)*(G$1=LoadFactorHours),0),)</f>
        <v>1.6558367953011304E-7</v>
      </c>
      <c r="H3" s="7" cm="1">
        <f t="array" ref="H3">INDEX('Summarized Source Data'!$E$1269:$E$1412,MATCH(1,($A3=LoadFactorSeasons)*(H$1=LoadFactorHours),0),)</f>
        <v>1.3919577220075321E-7</v>
      </c>
      <c r="I3" s="7" cm="1">
        <f t="array" ref="I3">INDEX('Summarized Source Data'!$E$1269:$E$1412,MATCH(1,($A3=LoadFactorSeasons)*(I$1=LoadFactorHours),0),)</f>
        <v>1.0917846856542605E-7</v>
      </c>
      <c r="J3" s="7" cm="1">
        <f t="array" ref="J3">INDEX('Summarized Source Data'!$E$1269:$E$1412,MATCH(1,($A3=LoadFactorSeasons)*(J$1=LoadFactorHours),0),)</f>
        <v>2.4060638380620156E-7</v>
      </c>
      <c r="K3" s="7" cm="1">
        <f t="array" ref="K3">INDEX('Summarized Source Data'!$E$1269:$E$1412,MATCH(1,($A3=LoadFactorSeasons)*(K$1=LoadFactorHours),0),)</f>
        <v>2.7110890427345034E-6</v>
      </c>
      <c r="L3" s="7" cm="1">
        <f t="array" ref="L3">INDEX('Summarized Source Data'!$E$1269:$E$1412,MATCH(1,($A3=LoadFactorSeasons)*(L$1=LoadFactorHours),0),)</f>
        <v>6.1956506866764573E-6</v>
      </c>
      <c r="M3" s="7" cm="1">
        <f t="array" ref="M3">INDEX('Summarized Source Data'!$E$1269:$E$1412,MATCH(1,($A3=LoadFactorSeasons)*(M$1=LoadFactorHours),0),)</f>
        <v>1.0541760577853834E-5</v>
      </c>
      <c r="N3" s="7" cm="1">
        <f t="array" ref="N3">INDEX('Summarized Source Data'!$E$1269:$E$1412,MATCH(1,($A3=LoadFactorSeasons)*(N$1=LoadFactorHours),0),)</f>
        <v>1.4549965065495097E-5</v>
      </c>
      <c r="O3" s="7" cm="1">
        <f t="array" ref="O3">INDEX('Summarized Source Data'!$E$1269:$E$1412,MATCH(1,($A3=LoadFactorSeasons)*(O$1=LoadFactorHours),0),)</f>
        <v>1.8298333332754533E-5</v>
      </c>
      <c r="P3" s="7" cm="1">
        <f t="array" ref="P3">INDEX('Summarized Source Data'!$E$1269:$E$1412,MATCH(1,($A3=LoadFactorSeasons)*(P$1=LoadFactorHours),0),)</f>
        <v>2.0844637914265623E-5</v>
      </c>
      <c r="Q3" s="7" cm="1">
        <f t="array" ref="Q3">INDEX('Summarized Source Data'!$E$1269:$E$1412,MATCH(1,($A3=LoadFactorSeasons)*(Q$1=LoadFactorHours),0),)</f>
        <v>2.0338315401146905E-5</v>
      </c>
      <c r="R3" s="7" cm="1">
        <f t="array" ref="R3">INDEX('Summarized Source Data'!$E$1269:$E$1412,MATCH(1,($A3=LoadFactorSeasons)*(R$1=LoadFactorHours),0),)</f>
        <v>1.7887277489682674E-5</v>
      </c>
      <c r="S3" s="7" cm="1">
        <f t="array" ref="S3">INDEX('Summarized Source Data'!$E$1269:$E$1412,MATCH(1,($A3=LoadFactorSeasons)*(S$1=LoadFactorHours),0),)</f>
        <v>1.5160483259093125E-5</v>
      </c>
      <c r="T3" s="7" cm="1">
        <f t="array" ref="T3">INDEX('Summarized Source Data'!$E$1269:$E$1412,MATCH(1,($A3=LoadFactorSeasons)*(T$1=LoadFactorHours),0),)</f>
        <v>1.0801651414371509E-5</v>
      </c>
      <c r="U3" s="7" cm="1">
        <f t="array" ref="U3">INDEX('Summarized Source Data'!$E$1269:$E$1412,MATCH(1,($A3=LoadFactorSeasons)*(U$1=LoadFactorHours),0),)</f>
        <v>5.0501866007518087E-6</v>
      </c>
      <c r="V3" s="7" cm="1">
        <f t="array" ref="V3">INDEX('Summarized Source Data'!$E$1269:$E$1412,MATCH(1,($A3=LoadFactorSeasons)*(V$1=LoadFactorHours),0),)</f>
        <v>4.1732869969202791E-7</v>
      </c>
      <c r="W3" s="7" cm="1">
        <f t="array" ref="W3">INDEX('Summarized Source Data'!$E$1269:$E$1412,MATCH(1,($A3=LoadFactorSeasons)*(W$1=LoadFactorHours),0),)</f>
        <v>1.6557193017651971E-7</v>
      </c>
      <c r="X3" s="7" cm="1">
        <f t="array" ref="X3">INDEX('Summarized Source Data'!$E$1269:$E$1412,MATCH(1,($A3=LoadFactorSeasons)*(X$1=LoadFactorHours),0),)</f>
        <v>1.7248744758938501E-7</v>
      </c>
      <c r="Y3" s="7" cm="1">
        <f t="array" ref="Y3">INDEX('Summarized Source Data'!$E$1269:$E$1412,MATCH(1,($A3=LoadFactorSeasons)*(Y$1=LoadFactorHours),0),)</f>
        <v>1.7732731580405774E-7</v>
      </c>
    </row>
    <row r="4" spans="1:25" x14ac:dyDescent="0.3">
      <c r="A4" s="7" t="s">
        <v>163</v>
      </c>
      <c r="B4" s="7" cm="1">
        <f t="array" ref="B4">INDEX('Summarized Source Data'!$E$1269:$E$1412,MATCH(1,($A4=LoadFactorSeasons)*(B$1=LoadFactorHours),0),)</f>
        <v>2.7287664841648074E-4</v>
      </c>
      <c r="C4" s="7" cm="1">
        <f t="array" ref="C4">INDEX('Summarized Source Data'!$E$1269:$E$1412,MATCH(1,($A4=LoadFactorSeasons)*(C$1=LoadFactorHours),0),)</f>
        <v>2.4505493245610249E-4</v>
      </c>
      <c r="D4" s="7" cm="1">
        <f t="array" ref="D4">INDEX('Summarized Source Data'!$E$1269:$E$1412,MATCH(1,($A4=LoadFactorSeasons)*(D$1=LoadFactorHours),0),)</f>
        <v>2.3638823027655851E-4</v>
      </c>
      <c r="E4" s="7" cm="1">
        <f t="array" ref="E4">INDEX('Summarized Source Data'!$E$1269:$E$1412,MATCH(1,($A4=LoadFactorSeasons)*(E$1=LoadFactorHours),0),)</f>
        <v>2.464717527806842E-4</v>
      </c>
      <c r="F4" s="7" cm="1">
        <f t="array" ref="F4">INDEX('Summarized Source Data'!$E$1269:$E$1412,MATCH(1,($A4=LoadFactorSeasons)*(F$1=LoadFactorHours),0),)</f>
        <v>2.704791138747928E-4</v>
      </c>
      <c r="G4" s="7" cm="1">
        <f t="array" ref="G4">INDEX('Summarized Source Data'!$E$1269:$E$1412,MATCH(1,($A4=LoadFactorSeasons)*(G$1=LoadFactorHours),0),)</f>
        <v>2.995550393682835E-4</v>
      </c>
      <c r="H4" s="7" cm="1">
        <f t="array" ref="H4">INDEX('Summarized Source Data'!$E$1269:$E$1412,MATCH(1,($A4=LoadFactorSeasons)*(H$1=LoadFactorHours),0),)</f>
        <v>3.1147672070453781E-4</v>
      </c>
      <c r="I4" s="7" cm="1">
        <f t="array" ref="I4">INDEX('Summarized Source Data'!$E$1269:$E$1412,MATCH(1,($A4=LoadFactorSeasons)*(I$1=LoadFactorHours),0),)</f>
        <v>3.00222210545208E-4</v>
      </c>
      <c r="J4" s="7" cm="1">
        <f t="array" ref="J4">INDEX('Summarized Source Data'!$E$1269:$E$1412,MATCH(1,($A4=LoadFactorSeasons)*(J$1=LoadFactorHours),0),)</f>
        <v>2.9991798621109507E-4</v>
      </c>
      <c r="K4" s="7" cm="1">
        <f t="array" ref="K4">INDEX('Summarized Source Data'!$E$1269:$E$1412,MATCH(1,($A4=LoadFactorSeasons)*(K$1=LoadFactorHours),0),)</f>
        <v>3.0534288306551411E-4</v>
      </c>
      <c r="L4" s="7" cm="1">
        <f t="array" ref="L4">INDEX('Summarized Source Data'!$E$1269:$E$1412,MATCH(1,($A4=LoadFactorSeasons)*(L$1=LoadFactorHours),0),)</f>
        <v>3.3945665915149686E-4</v>
      </c>
      <c r="M4" s="7" cm="1">
        <f t="array" ref="M4">INDEX('Summarized Source Data'!$E$1269:$E$1412,MATCH(1,($A4=LoadFactorSeasons)*(M$1=LoadFactorHours),0),)</f>
        <v>4.123682170193737E-4</v>
      </c>
      <c r="N4" s="7" cm="1">
        <f t="array" ref="N4">INDEX('Summarized Source Data'!$E$1269:$E$1412,MATCH(1,($A4=LoadFactorSeasons)*(N$1=LoadFactorHours),0),)</f>
        <v>4.7668412613677513E-4</v>
      </c>
      <c r="O4" s="7" cm="1">
        <f t="array" ref="O4">INDEX('Summarized Source Data'!$E$1269:$E$1412,MATCH(1,($A4=LoadFactorSeasons)*(O$1=LoadFactorHours),0),)</f>
        <v>5.1058153577823793E-4</v>
      </c>
      <c r="P4" s="7" cm="1">
        <f t="array" ref="P4">INDEX('Summarized Source Data'!$E$1269:$E$1412,MATCH(1,($A4=LoadFactorSeasons)*(P$1=LoadFactorHours),0),)</f>
        <v>5.3567610940720022E-4</v>
      </c>
      <c r="Q4" s="7" cm="1">
        <f t="array" ref="Q4">INDEX('Summarized Source Data'!$E$1269:$E$1412,MATCH(1,($A4=LoadFactorSeasons)*(Q$1=LoadFactorHours),0),)</f>
        <v>5.6674239690491363E-4</v>
      </c>
      <c r="R4" s="7" cm="1">
        <f t="array" ref="R4">INDEX('Summarized Source Data'!$E$1269:$E$1412,MATCH(1,($A4=LoadFactorSeasons)*(R$1=LoadFactorHours),0),)</f>
        <v>5.8498012121027015E-4</v>
      </c>
      <c r="S4" s="7" cm="1">
        <f t="array" ref="S4">INDEX('Summarized Source Data'!$E$1269:$E$1412,MATCH(1,($A4=LoadFactorSeasons)*(S$1=LoadFactorHours),0),)</f>
        <v>5.9189073431705971E-4</v>
      </c>
      <c r="T4" s="7" cm="1">
        <f t="array" ref="T4">INDEX('Summarized Source Data'!$E$1269:$E$1412,MATCH(1,($A4=LoadFactorSeasons)*(T$1=LoadFactorHours),0),)</f>
        <v>5.885691815657319E-4</v>
      </c>
      <c r="U4" s="7" cm="1">
        <f t="array" ref="U4">INDEX('Summarized Source Data'!$E$1269:$E$1412,MATCH(1,($A4=LoadFactorSeasons)*(U$1=LoadFactorHours),0),)</f>
        <v>5.6613001430133288E-4</v>
      </c>
      <c r="V4" s="7" cm="1">
        <f t="array" ref="V4">INDEX('Summarized Source Data'!$E$1269:$E$1412,MATCH(1,($A4=LoadFactorSeasons)*(V$1=LoadFactorHours),0),)</f>
        <v>5.178776745498084E-4</v>
      </c>
      <c r="W4" s="7" cm="1">
        <f t="array" ref="W4">INDEX('Summarized Source Data'!$E$1269:$E$1412,MATCH(1,($A4=LoadFactorSeasons)*(W$1=LoadFactorHours),0),)</f>
        <v>4.5506321742619723E-4</v>
      </c>
      <c r="X4" s="7" cm="1">
        <f t="array" ref="X4">INDEX('Summarized Source Data'!$E$1269:$E$1412,MATCH(1,($A4=LoadFactorSeasons)*(X$1=LoadFactorHours),0),)</f>
        <v>3.8549561580923213E-4</v>
      </c>
      <c r="Y4" s="7" cm="1">
        <f t="array" ref="Y4">INDEX('Summarized Source Data'!$E$1269:$E$1412,MATCH(1,($A4=LoadFactorSeasons)*(Y$1=LoadFactorHours),0),)</f>
        <v>3.2067804627238802E-4</v>
      </c>
    </row>
    <row r="5" spans="1:25" x14ac:dyDescent="0.3">
      <c r="A5" s="7" t="s">
        <v>164</v>
      </c>
      <c r="B5" s="7" cm="1">
        <f t="array" ref="B5">INDEX('Summarized Source Data'!$E$1269:$E$1412,MATCH(1,($A5=LoadFactorSeasons)*(B$1=LoadFactorHours),0),)</f>
        <v>9.8414144378787798E-6</v>
      </c>
      <c r="C5" s="7" cm="1">
        <f t="array" ref="C5">INDEX('Summarized Source Data'!$E$1269:$E$1412,MATCH(1,($A5=LoadFactorSeasons)*(C$1=LoadFactorHours),0),)</f>
        <v>8.8889636721966644E-6</v>
      </c>
      <c r="D5" s="7" cm="1">
        <f t="array" ref="D5">INDEX('Summarized Source Data'!$E$1269:$E$1412,MATCH(1,($A5=LoadFactorSeasons)*(D$1=LoadFactorHours),0),)</f>
        <v>8.5886489999826512E-6</v>
      </c>
      <c r="E5" s="7" cm="1">
        <f t="array" ref="E5">INDEX('Summarized Source Data'!$E$1269:$E$1412,MATCH(1,($A5=LoadFactorSeasons)*(E$1=LoadFactorHours),0),)</f>
        <v>8.9421902036331646E-6</v>
      </c>
      <c r="F5" s="7" cm="1">
        <f t="array" ref="F5">INDEX('Summarized Source Data'!$E$1269:$E$1412,MATCH(1,($A5=LoadFactorSeasons)*(F$1=LoadFactorHours),0),)</f>
        <v>9.7507474458615398E-6</v>
      </c>
      <c r="G5" s="7" cm="1">
        <f t="array" ref="G5">INDEX('Summarized Source Data'!$E$1269:$E$1412,MATCH(1,($A5=LoadFactorSeasons)*(G$1=LoadFactorHours),0),)</f>
        <v>1.1425597634764762E-5</v>
      </c>
      <c r="H5" s="7" cm="1">
        <f t="array" ref="H5">INDEX('Summarized Source Data'!$E$1269:$E$1412,MATCH(1,($A5=LoadFactorSeasons)*(H$1=LoadFactorHours),0),)</f>
        <v>1.8077095198352307E-5</v>
      </c>
      <c r="I5" s="7" cm="1">
        <f t="array" ref="I5">INDEX('Summarized Source Data'!$E$1269:$E$1412,MATCH(1,($A5=LoadFactorSeasons)*(I$1=LoadFactorHours),0),)</f>
        <v>3.0353380986397069E-5</v>
      </c>
      <c r="J5" s="7" cm="1">
        <f t="array" ref="J5">INDEX('Summarized Source Data'!$E$1269:$E$1412,MATCH(1,($A5=LoadFactorSeasons)*(J$1=LoadFactorHours),0),)</f>
        <v>4.4658706086578452E-5</v>
      </c>
      <c r="K5" s="7" cm="1">
        <f t="array" ref="K5">INDEX('Summarized Source Data'!$E$1269:$E$1412,MATCH(1,($A5=LoadFactorSeasons)*(K$1=LoadFactorHours),0),)</f>
        <v>5.7295047596112821E-5</v>
      </c>
      <c r="L5" s="7" cm="1">
        <f t="array" ref="L5">INDEX('Summarized Source Data'!$E$1269:$E$1412,MATCH(1,($A5=LoadFactorSeasons)*(L$1=LoadFactorHours),0),)</f>
        <v>7.3946196349082555E-5</v>
      </c>
      <c r="M5" s="7" cm="1">
        <f t="array" ref="M5">INDEX('Summarized Source Data'!$E$1269:$E$1412,MATCH(1,($A5=LoadFactorSeasons)*(M$1=LoadFactorHours),0),)</f>
        <v>9.9434787449440977E-5</v>
      </c>
      <c r="N5" s="7" cm="1">
        <f t="array" ref="N5">INDEX('Summarized Source Data'!$E$1269:$E$1412,MATCH(1,($A5=LoadFactorSeasons)*(N$1=LoadFactorHours),0),)</f>
        <v>1.2364404477000702E-4</v>
      </c>
      <c r="O5" s="7" cm="1">
        <f t="array" ref="O5">INDEX('Summarized Source Data'!$E$1269:$E$1412,MATCH(1,($A5=LoadFactorSeasons)*(O$1=LoadFactorHours),0),)</f>
        <v>1.3789708368344244E-4</v>
      </c>
      <c r="P5" s="7" cm="1">
        <f t="array" ref="P5">INDEX('Summarized Source Data'!$E$1269:$E$1412,MATCH(1,($A5=LoadFactorSeasons)*(P$1=LoadFactorHours),0),)</f>
        <v>1.4640423436363125E-4</v>
      </c>
      <c r="Q5" s="7" cm="1">
        <f t="array" ref="Q5">INDEX('Summarized Source Data'!$E$1269:$E$1412,MATCH(1,($A5=LoadFactorSeasons)*(Q$1=LoadFactorHours),0),)</f>
        <v>1.5294598541322097E-4</v>
      </c>
      <c r="R5" s="7" cm="1">
        <f t="array" ref="R5">INDEX('Summarized Source Data'!$E$1269:$E$1412,MATCH(1,($A5=LoadFactorSeasons)*(R$1=LoadFactorHours),0),)</f>
        <v>1.5177708931966117E-4</v>
      </c>
      <c r="S5" s="7" cm="1">
        <f t="array" ref="S5">INDEX('Summarized Source Data'!$E$1269:$E$1412,MATCH(1,($A5=LoadFactorSeasons)*(S$1=LoadFactorHours),0),)</f>
        <v>1.4309212297288726E-4</v>
      </c>
      <c r="T5" s="7" cm="1">
        <f t="array" ref="T5">INDEX('Summarized Source Data'!$E$1269:$E$1412,MATCH(1,($A5=LoadFactorSeasons)*(T$1=LoadFactorHours),0),)</f>
        <v>1.2830695615680384E-4</v>
      </c>
      <c r="U5" s="7" cm="1">
        <f t="array" ref="U5">INDEX('Summarized Source Data'!$E$1269:$E$1412,MATCH(1,($A5=LoadFactorSeasons)*(U$1=LoadFactorHours),0),)</f>
        <v>1.0651559914714876E-4</v>
      </c>
      <c r="V5" s="7" cm="1">
        <f t="array" ref="V5">INDEX('Summarized Source Data'!$E$1269:$E$1412,MATCH(1,($A5=LoadFactorSeasons)*(V$1=LoadFactorHours),0),)</f>
        <v>7.7354103622204559E-5</v>
      </c>
      <c r="W5" s="7" cm="1">
        <f t="array" ref="W5">INDEX('Summarized Source Data'!$E$1269:$E$1412,MATCH(1,($A5=LoadFactorSeasons)*(W$1=LoadFactorHours),0),)</f>
        <v>4.6199694084252078E-5</v>
      </c>
      <c r="X5" s="7" cm="1">
        <f t="array" ref="X5">INDEX('Summarized Source Data'!$E$1269:$E$1412,MATCH(1,($A5=LoadFactorSeasons)*(X$1=LoadFactorHours),0),)</f>
        <v>2.243117444330345E-5</v>
      </c>
      <c r="Y5" s="7" cm="1">
        <f t="array" ref="Y5">INDEX('Summarized Source Data'!$E$1269:$E$1412,MATCH(1,($A5=LoadFactorSeasons)*(Y$1=LoadFactorHours),0),)</f>
        <v>1.2242468325428353E-5</v>
      </c>
    </row>
    <row r="6" spans="1:25" x14ac:dyDescent="0.3">
      <c r="A6" s="7" t="s">
        <v>167</v>
      </c>
      <c r="B6" s="7" cm="1">
        <f t="array" ref="B6">INDEX('Summarized Source Data'!$E$1269:$E$1412,MATCH(1,($A6=LoadFactorSeasons)*(B$1=LoadFactorHours),0),)</f>
        <v>4.7713390607901968E-4</v>
      </c>
      <c r="C6" s="7" cm="1">
        <f t="array" ref="C6">INDEX('Summarized Source Data'!$E$1269:$E$1412,MATCH(1,($A6=LoadFactorSeasons)*(C$1=LoadFactorHours),0),)</f>
        <v>4.2730930349731675E-4</v>
      </c>
      <c r="D6" s="7" cm="1">
        <f t="array" ref="D6">INDEX('Summarized Source Data'!$E$1269:$E$1412,MATCH(1,($A6=LoadFactorSeasons)*(D$1=LoadFactorHours),0),)</f>
        <v>4.1041960770690897E-4</v>
      </c>
      <c r="E6" s="7" cm="1">
        <f t="array" ref="E6">INDEX('Summarized Source Data'!$E$1269:$E$1412,MATCH(1,($A6=LoadFactorSeasons)*(E$1=LoadFactorHours),0),)</f>
        <v>4.2899827307635752E-4</v>
      </c>
      <c r="F6" s="7" cm="1">
        <f t="array" ref="F6">INDEX('Summarized Source Data'!$E$1269:$E$1412,MATCH(1,($A6=LoadFactorSeasons)*(F$1=LoadFactorHours),0),)</f>
        <v>4.6953354297333617E-4</v>
      </c>
      <c r="G6" s="7" cm="1">
        <f t="array" ref="G6">INDEX('Summarized Source Data'!$E$1269:$E$1412,MATCH(1,($A6=LoadFactorSeasons)*(G$1=LoadFactorHours),0),)</f>
        <v>5.0922432808079448E-4</v>
      </c>
      <c r="H6" s="7" cm="1">
        <f t="array" ref="H6">INDEX('Summarized Source Data'!$E$1269:$E$1412,MATCH(1,($A6=LoadFactorSeasons)*(H$1=LoadFactorHours),0),)</f>
        <v>5.0077948018559053E-4</v>
      </c>
      <c r="I6" s="7" cm="1">
        <f t="array" ref="I6">INDEX('Summarized Source Data'!$E$1269:$E$1412,MATCH(1,($A6=LoadFactorSeasons)*(I$1=LoadFactorHours),0),)</f>
        <v>4.4926590802484684E-4</v>
      </c>
      <c r="J6" s="7" cm="1">
        <f t="array" ref="J6">INDEX('Summarized Source Data'!$E$1269:$E$1412,MATCH(1,($A6=LoadFactorSeasons)*(J$1=LoadFactorHours),0),)</f>
        <v>4.2815378828683714E-4</v>
      </c>
      <c r="K6" s="7" cm="1">
        <f t="array" ref="K6">INDEX('Summarized Source Data'!$E$1269:$E$1412,MATCH(1,($A6=LoadFactorSeasons)*(K$1=LoadFactorHours),0),)</f>
        <v>4.2730930349731675E-4</v>
      </c>
      <c r="L6" s="7" cm="1">
        <f t="array" ref="L6">INDEX('Summarized Source Data'!$E$1269:$E$1412,MATCH(1,($A6=LoadFactorSeasons)*(L$1=LoadFactorHours),0),)</f>
        <v>4.7544493649997891E-4</v>
      </c>
      <c r="M6" s="7" cm="1">
        <f t="array" ref="M6">INDEX('Summarized Source Data'!$E$1269:$E$1412,MATCH(1,($A6=LoadFactorSeasons)*(M$1=LoadFactorHours),0),)</f>
        <v>5.8269450476906826E-4</v>
      </c>
      <c r="N6" s="7" cm="1">
        <f t="array" ref="N6">INDEX('Summarized Source Data'!$E$1269:$E$1412,MATCH(1,($A6=LoadFactorSeasons)*(N$1=LoadFactorHours),0),)</f>
        <v>6.7558783161631103E-4</v>
      </c>
      <c r="O6" s="7" cm="1">
        <f t="array" ref="O6">INDEX('Summarized Source Data'!$E$1269:$E$1412,MATCH(1,($A6=LoadFactorSeasons)*(O$1=LoadFactorHours),0),)</f>
        <v>7.2456794940849363E-4</v>
      </c>
      <c r="P6" s="7" cm="1">
        <f t="array" ref="P6">INDEX('Summarized Source Data'!$E$1269:$E$1412,MATCH(1,($A6=LoadFactorSeasons)*(P$1=LoadFactorHours),0),)</f>
        <v>7.6679218888451304E-4</v>
      </c>
      <c r="Q6" s="7" cm="1">
        <f t="array" ref="Q6">INDEX('Summarized Source Data'!$E$1269:$E$1412,MATCH(1,($A6=LoadFactorSeasons)*(Q$1=LoadFactorHours),0),)</f>
        <v>8.2675060894046068E-4</v>
      </c>
      <c r="R6" s="7" cm="1">
        <f t="array" ref="R6">INDEX('Summarized Source Data'!$E$1269:$E$1412,MATCH(1,($A6=LoadFactorSeasons)*(R$1=LoadFactorHours),0),)</f>
        <v>8.6981933320600042E-4</v>
      </c>
      <c r="S6" s="7" cm="1">
        <f t="array" ref="S6">INDEX('Summarized Source Data'!$E$1269:$E$1412,MATCH(1,($A6=LoadFactorSeasons)*(S$1=LoadFactorHours),0),)</f>
        <v>8.9515387689161215E-4</v>
      </c>
      <c r="T6" s="7" cm="1">
        <f t="array" ref="T6">INDEX('Summarized Source Data'!$E$1269:$E$1412,MATCH(1,($A6=LoadFactorSeasons)*(T$1=LoadFactorHours),0),)</f>
        <v>9.0359872478681599E-4</v>
      </c>
      <c r="U6" s="7" cm="1">
        <f t="array" ref="U6">INDEX('Summarized Source Data'!$E$1269:$E$1412,MATCH(1,($A6=LoadFactorSeasons)*(U$1=LoadFactorHours),0),)</f>
        <v>8.867090289964082E-4</v>
      </c>
      <c r="V6" s="7" cm="1">
        <f t="array" ref="V6">INDEX('Summarized Source Data'!$E$1269:$E$1412,MATCH(1,($A6=LoadFactorSeasons)*(V$1=LoadFactorHours),0),)</f>
        <v>8.27595093729981E-4</v>
      </c>
      <c r="W6" s="7" cm="1">
        <f t="array" ref="W6">INDEX('Summarized Source Data'!$E$1269:$E$1412,MATCH(1,($A6=LoadFactorSeasons)*(W$1=LoadFactorHours),0),)</f>
        <v>7.4652455393602372E-4</v>
      </c>
      <c r="X6" s="7" cm="1">
        <f t="array" ref="X6">INDEX('Summarized Source Data'!$E$1269:$E$1412,MATCH(1,($A6=LoadFactorSeasons)*(X$1=LoadFactorHours),0),)</f>
        <v>6.5025328793069941E-4</v>
      </c>
      <c r="Y6" s="7" cm="1">
        <f t="array" ref="Y6">INDEX('Summarized Source Data'!$E$1269:$E$1412,MATCH(1,($A6=LoadFactorSeasons)*(Y$1=LoadFactorHours),0),)</f>
        <v>5.5567099150441587E-4</v>
      </c>
    </row>
    <row r="7" spans="1:25" x14ac:dyDescent="0.3">
      <c r="A7" s="7" t="s">
        <v>166</v>
      </c>
      <c r="B7" s="7" cm="1">
        <f t="array" ref="B7">INDEX('Summarized Source Data'!$E$1269:$E$1412,MATCH(1,($A7=LoadFactorSeasons)*(B$1=LoadFactorHours),0),)</f>
        <v>4.0278546520964466E-7</v>
      </c>
      <c r="C7" s="7" cm="1">
        <f t="array" ref="C7">INDEX('Summarized Source Data'!$E$1269:$E$1412,MATCH(1,($A7=LoadFactorSeasons)*(C$1=LoadFactorHours),0),)</f>
        <v>4.0504868444555927E-7</v>
      </c>
      <c r="D7" s="7" cm="1">
        <f t="array" ref="D7">INDEX('Summarized Source Data'!$E$1269:$E$1412,MATCH(1,($A7=LoadFactorSeasons)*(D$1=LoadFactorHours),0),)</f>
        <v>4.0660253645827679E-7</v>
      </c>
      <c r="E7" s="7" cm="1">
        <f t="array" ref="E7">INDEX('Summarized Source Data'!$E$1269:$E$1412,MATCH(1,($A7=LoadFactorSeasons)*(E$1=LoadFactorHours),0),)</f>
        <v>4.0682210250355208E-7</v>
      </c>
      <c r="F7" s="7" cm="1">
        <f t="array" ref="F7">INDEX('Summarized Source Data'!$E$1269:$E$1412,MATCH(1,($A7=LoadFactorSeasons)*(F$1=LoadFactorHours),0),)</f>
        <v>3.9653627776719376E-7</v>
      </c>
      <c r="G7" s="7" cm="1">
        <f t="array" ref="G7">INDEX('Summarized Source Data'!$E$1269:$E$1412,MATCH(1,($A7=LoadFactorSeasons)*(G$1=LoadFactorHours),0),)</f>
        <v>3.6460630787542785E-7</v>
      </c>
      <c r="H7" s="7" cm="1">
        <f t="array" ref="H7">INDEX('Summarized Source Data'!$E$1269:$E$1412,MATCH(1,($A7=LoadFactorSeasons)*(H$1=LoadFactorHours),0),)</f>
        <v>2.9785823011173633E-7</v>
      </c>
      <c r="I7" s="7" cm="1">
        <f t="array" ref="I7">INDEX('Summarized Source Data'!$E$1269:$E$1412,MATCH(1,($A7=LoadFactorSeasons)*(I$1=LoadFactorHours),0),)</f>
        <v>2.2352667893815171E-7</v>
      </c>
      <c r="J7" s="7" cm="1">
        <f t="array" ref="J7">INDEX('Summarized Source Data'!$E$1269:$E$1412,MATCH(1,($A7=LoadFactorSeasons)*(J$1=LoadFactorHours),0),)</f>
        <v>1.8064374132630637E-7</v>
      </c>
      <c r="K7" s="7" cm="1">
        <f t="array" ref="K7">INDEX('Summarized Source Data'!$E$1269:$E$1412,MATCH(1,($A7=LoadFactorSeasons)*(K$1=LoadFactorHours),0),)</f>
        <v>1.5617057212600551E-7</v>
      </c>
      <c r="L7" s="7" cm="1">
        <f t="array" ref="L7">INDEX('Summarized Source Data'!$E$1269:$E$1412,MATCH(1,($A7=LoadFactorSeasons)*(L$1=LoadFactorHours),0),)</f>
        <v>1.5431270558906065E-7</v>
      </c>
      <c r="M7" s="7" cm="1">
        <f t="array" ref="M7">INDEX('Summarized Source Data'!$E$1269:$E$1412,MATCH(1,($A7=LoadFactorSeasons)*(M$1=LoadFactorHours),0),)</f>
        <v>1.7258735643428187E-7</v>
      </c>
      <c r="N7" s="7" cm="1">
        <f t="array" ref="N7">INDEX('Summarized Source Data'!$E$1269:$E$1412,MATCH(1,($A7=LoadFactorSeasons)*(N$1=LoadFactorHours),0),)</f>
        <v>1.8734895055509825E-7</v>
      </c>
      <c r="O7" s="7" cm="1">
        <f t="array" ref="O7">INDEX('Summarized Source Data'!$E$1269:$E$1412,MATCH(1,($A7=LoadFactorSeasons)*(O$1=LoadFactorHours),0),)</f>
        <v>1.9325189923384578E-7</v>
      </c>
      <c r="P7" s="7" cm="1">
        <f t="array" ref="P7">INDEX('Summarized Source Data'!$E$1269:$E$1412,MATCH(1,($A7=LoadFactorSeasons)*(P$1=LoadFactorHours),0),)</f>
        <v>2.017896404558969E-7</v>
      </c>
      <c r="Q7" s="7" cm="1">
        <f t="array" ref="Q7">INDEX('Summarized Source Data'!$E$1269:$E$1412,MATCH(1,($A7=LoadFactorSeasons)*(Q$1=LoadFactorHours),0),)</f>
        <v>2.2041053006482146E-7</v>
      </c>
      <c r="R7" s="7" cm="1">
        <f t="array" ref="R7">INDEX('Summarized Source Data'!$E$1269:$E$1412,MATCH(1,($A7=LoadFactorSeasons)*(R$1=LoadFactorHours),0),)</f>
        <v>2.4067816501331083E-7</v>
      </c>
      <c r="S7" s="7" cm="1">
        <f t="array" ref="S7">INDEX('Summarized Source Data'!$E$1269:$E$1412,MATCH(1,($A7=LoadFactorSeasons)*(S$1=LoadFactorHours),0),)</f>
        <v>2.6379171370248384E-7</v>
      </c>
      <c r="T7" s="7" cm="1">
        <f t="array" ref="T7">INDEX('Summarized Source Data'!$E$1269:$E$1412,MATCH(1,($A7=LoadFactorSeasons)*(T$1=LoadFactorHours),0),)</f>
        <v>2.928419904619852E-7</v>
      </c>
      <c r="U7" s="7" cm="1">
        <f t="array" ref="U7">INDEX('Summarized Source Data'!$E$1269:$E$1412,MATCH(1,($A7=LoadFactorSeasons)*(U$1=LoadFactorHours),0),)</f>
        <v>3.2257629990099809E-7</v>
      </c>
      <c r="V7" s="7" cm="1">
        <f t="array" ref="V7">INDEX('Summarized Source Data'!$E$1269:$E$1412,MATCH(1,($A7=LoadFactorSeasons)*(V$1=LoadFactorHours),0),)</f>
        <v>3.4915223622720477E-7</v>
      </c>
      <c r="W7" s="7" cm="1">
        <f t="array" ref="W7">INDEX('Summarized Source Data'!$E$1269:$E$1412,MATCH(1,($A7=LoadFactorSeasons)*(W$1=LoadFactorHours),0),)</f>
        <v>3.7130307225632453E-7</v>
      </c>
      <c r="X7" s="7" cm="1">
        <f t="array" ref="X7">INDEX('Summarized Source Data'!$E$1269:$E$1412,MATCH(1,($A7=LoadFactorSeasons)*(X$1=LoadFactorHours),0),)</f>
        <v>3.8706960327667021E-7</v>
      </c>
      <c r="Y7" s="7" cm="1">
        <f t="array" ref="Y7">INDEX('Summarized Source Data'!$E$1269:$E$1412,MATCH(1,($A7=LoadFactorSeasons)*(Y$1=LoadFactorHours),0),)</f>
        <v>3.9771011162462709E-7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366F-B3FC-41F0-AB7A-18ACDEC9FCCF}">
  <sheetPr codeName="Sheet11">
    <tabColor rgb="FF002060"/>
  </sheetPr>
  <dimension ref="A1:Y19"/>
  <sheetViews>
    <sheetView workbookViewId="0">
      <selection activeCell="B2" sqref="B2"/>
    </sheetView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</row>
    <row r="3" spans="1:25" x14ac:dyDescent="0.3">
      <c r="A3" s="7" t="s">
        <v>162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</row>
    <row r="4" spans="1:25" x14ac:dyDescent="0.3">
      <c r="A4" s="7" t="s">
        <v>163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</row>
    <row r="5" spans="1:25" x14ac:dyDescent="0.3">
      <c r="A5" s="7" t="s">
        <v>164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</row>
    <row r="6" spans="1:25" x14ac:dyDescent="0.3">
      <c r="A6" s="7" t="s">
        <v>167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</row>
    <row r="7" spans="1:25" x14ac:dyDescent="0.3">
      <c r="A7" s="7" t="s">
        <v>166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0843-E7EB-4C51-9409-5933C166EB15}">
  <sheetPr codeName="Sheet12">
    <tabColor rgb="FF002060"/>
  </sheetPr>
  <dimension ref="A1:Y19"/>
  <sheetViews>
    <sheetView topLeftCell="G1" workbookViewId="0">
      <selection activeCell="A6" sqref="A6:Y7"/>
    </sheetView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 cm="1">
        <f t="array" ref="B2">INDEX('Summarized Source Data'!$G$1269:$G$1412,MATCH(1,($A2=LoadFactorSeasons)*(B$1=LoadFactorHours),0),)</f>
        <v>6.2102808117810987E-5</v>
      </c>
      <c r="C2" s="7" cm="1">
        <f t="array" ref="C2">INDEX('Summarized Source Data'!$G$1269:$G$1412,MATCH(1,($A2=LoadFactorSeasons)*(C$1=LoadFactorHours),0),)</f>
        <v>5.6499481741096689E-5</v>
      </c>
      <c r="D2" s="7" cm="1">
        <f t="array" ref="D2">INDEX('Summarized Source Data'!$G$1269:$G$1412,MATCH(1,($A2=LoadFactorSeasons)*(D$1=LoadFactorHours),0),)</f>
        <v>5.5717060675795865E-5</v>
      </c>
      <c r="E2" s="7" cm="1">
        <f t="array" ref="E2">INDEX('Summarized Source Data'!$G$1269:$G$1412,MATCH(1,($A2=LoadFactorSeasons)*(E$1=LoadFactorHours),0),)</f>
        <v>5.6677497870801538E-5</v>
      </c>
      <c r="F2" s="7" cm="1">
        <f t="array" ref="F2">INDEX('Summarized Source Data'!$G$1269:$G$1412,MATCH(1,($A2=LoadFactorSeasons)*(F$1=LoadFactorHours),0),)</f>
        <v>7.077072861893022E-5</v>
      </c>
      <c r="G2" s="7" cm="1">
        <f t="array" ref="G2">INDEX('Summarized Source Data'!$G$1269:$G$1412,MATCH(1,($A2=LoadFactorSeasons)*(G$1=LoadFactorHours),0),)</f>
        <v>1.1716472811797054E-4</v>
      </c>
      <c r="H2" s="7" cm="1">
        <f t="array" ref="H2">INDEX('Summarized Source Data'!$G$1269:$G$1412,MATCH(1,($A2=LoadFactorSeasons)*(H$1=LoadFactorHours),0),)</f>
        <v>1.7461595694703402E-4</v>
      </c>
      <c r="I2" s="7" cm="1">
        <f t="array" ref="I2">INDEX('Summarized Source Data'!$G$1269:$G$1412,MATCH(1,($A2=LoadFactorSeasons)*(I$1=LoadFactorHours),0),)</f>
        <v>1.4600014779875186E-4</v>
      </c>
      <c r="J2" s="7" cm="1">
        <f t="array" ref="J2">INDEX('Summarized Source Data'!$G$1269:$G$1412,MATCH(1,($A2=LoadFactorSeasons)*(J$1=LoadFactorHours),0),)</f>
        <v>5.9087870888783071E-5</v>
      </c>
      <c r="K2" s="7" cm="1">
        <f t="array" ref="K2">INDEX('Summarized Source Data'!$G$1269:$G$1412,MATCH(1,($A2=LoadFactorSeasons)*(K$1=LoadFactorHours),0),)</f>
        <v>5.7843263454645247E-5</v>
      </c>
      <c r="L2" s="7" cm="1">
        <f t="array" ref="L2">INDEX('Summarized Source Data'!$G$1269:$G$1412,MATCH(1,($A2=LoadFactorSeasons)*(L$1=LoadFactorHours),0),)</f>
        <v>5.8678415028195672E-5</v>
      </c>
      <c r="M2" s="7" cm="1">
        <f t="array" ref="M2">INDEX('Summarized Source Data'!$G$1269:$G$1412,MATCH(1,($A2=LoadFactorSeasons)*(M$1=LoadFactorHours),0),)</f>
        <v>6.3824259926951942E-5</v>
      </c>
      <c r="N2" s="7" cm="1">
        <f t="array" ref="N2">INDEX('Summarized Source Data'!$G$1269:$G$1412,MATCH(1,($A2=LoadFactorSeasons)*(N$1=LoadFactorHours),0),)</f>
        <v>6.7023003925028934E-5</v>
      </c>
      <c r="O2" s="7" cm="1">
        <f t="array" ref="O2">INDEX('Summarized Source Data'!$G$1269:$G$1412,MATCH(1,($A2=LoadFactorSeasons)*(O$1=LoadFactorHours),0),)</f>
        <v>6.7757174174093112E-5</v>
      </c>
      <c r="P2" s="7" cm="1">
        <f t="array" ref="P2">INDEX('Summarized Source Data'!$G$1269:$G$1412,MATCH(1,($A2=LoadFactorSeasons)*(P$1=LoadFactorHours),0),)</f>
        <v>6.8890144444653693E-5</v>
      </c>
      <c r="Q2" s="7" cm="1">
        <f t="array" ref="Q2">INDEX('Summarized Source Data'!$G$1269:$G$1412,MATCH(1,($A2=LoadFactorSeasons)*(Q$1=LoadFactorHours),0),)</f>
        <v>7.3452409561715326E-5</v>
      </c>
      <c r="R2" s="7" cm="1">
        <f t="array" ref="R2">INDEX('Summarized Source Data'!$G$1269:$G$1412,MATCH(1,($A2=LoadFactorSeasons)*(R$1=LoadFactorHours),0),)</f>
        <v>1.997488106362369E-4</v>
      </c>
      <c r="S2" s="7" cm="1">
        <f t="array" ref="S2">INDEX('Summarized Source Data'!$G$1269:$G$1412,MATCH(1,($A2=LoadFactorSeasons)*(S$1=LoadFactorHours),0),)</f>
        <v>2.8542628616632374E-4</v>
      </c>
      <c r="T2" s="7" cm="1">
        <f t="array" ref="T2">INDEX('Summarized Source Data'!$G$1269:$G$1412,MATCH(1,($A2=LoadFactorSeasons)*(T$1=LoadFactorHours),0),)</f>
        <v>3.102584441102373E-4</v>
      </c>
      <c r="U2" s="7" cm="1">
        <f t="array" ref="U2">INDEX('Summarized Source Data'!$G$1269:$G$1412,MATCH(1,($A2=LoadFactorSeasons)*(U$1=LoadFactorHours),0),)</f>
        <v>3.3235706961069766E-4</v>
      </c>
      <c r="V2" s="7" cm="1">
        <f t="array" ref="V2">INDEX('Summarized Source Data'!$G$1269:$G$1412,MATCH(1,($A2=LoadFactorSeasons)*(V$1=LoadFactorHours),0),)</f>
        <v>3.3631850281832739E-4</v>
      </c>
      <c r="W2" s="7" cm="1">
        <f t="array" ref="W2">INDEX('Summarized Source Data'!$G$1269:$G$1412,MATCH(1,($A2=LoadFactorSeasons)*(W$1=LoadFactorHours),0),)</f>
        <v>2.7592315237367289E-4</v>
      </c>
      <c r="X2" s="7" cm="1">
        <f t="array" ref="X2">INDEX('Summarized Source Data'!$G$1269:$G$1412,MATCH(1,($A2=LoadFactorSeasons)*(X$1=LoadFactorHours),0),)</f>
        <v>1.6642684203176911E-4</v>
      </c>
      <c r="Y2" s="7" cm="1">
        <f t="array" ref="Y2">INDEX('Summarized Source Data'!$G$1269:$G$1412,MATCH(1,($A2=LoadFactorSeasons)*(Y$1=LoadFactorHours),0),)</f>
        <v>8.8643526879205221E-5</v>
      </c>
    </row>
    <row r="3" spans="1:25" x14ac:dyDescent="0.3">
      <c r="A3" s="7" t="s">
        <v>162</v>
      </c>
      <c r="B3" s="7" cm="1">
        <f t="array" ref="B3">INDEX('Summarized Source Data'!$G$1269:$G$1412,MATCH(1,($A3=LoadFactorSeasons)*(B$1=LoadFactorHours),0),)</f>
        <v>5.478513241975131E-5</v>
      </c>
      <c r="C3" s="7" cm="1">
        <f t="array" ref="C3">INDEX('Summarized Source Data'!$G$1269:$G$1412,MATCH(1,($A3=LoadFactorSeasons)*(C$1=LoadFactorHours),0),)</f>
        <v>4.9926350690957762E-5</v>
      </c>
      <c r="D3" s="7" cm="1">
        <f t="array" ref="D3">INDEX('Summarized Source Data'!$G$1269:$G$1412,MATCH(1,($A3=LoadFactorSeasons)*(D$1=LoadFactorHours),0),)</f>
        <v>4.9215664584274815E-5</v>
      </c>
      <c r="E3" s="7" cm="1">
        <f t="array" ref="E3">INDEX('Summarized Source Data'!$G$1269:$G$1412,MATCH(1,($A3=LoadFactorSeasons)*(E$1=LoadFactorHours),0),)</f>
        <v>5.0110361744028253E-5</v>
      </c>
      <c r="F3" s="7" cm="1">
        <f t="array" ref="F3">INDEX('Summarized Source Data'!$G$1269:$G$1412,MATCH(1,($A3=LoadFactorSeasons)*(F$1=LoadFactorHours),0),)</f>
        <v>6.244599794556748E-5</v>
      </c>
      <c r="G3" s="7" cm="1">
        <f t="array" ref="G3">INDEX('Summarized Source Data'!$G$1269:$G$1412,MATCH(1,($A3=LoadFactorSeasons)*(G$1=LoadFactorHours),0),)</f>
        <v>1.0103353495904488E-4</v>
      </c>
      <c r="H3" s="7" cm="1">
        <f t="array" ref="H3">INDEX('Summarized Source Data'!$G$1269:$G$1412,MATCH(1,($A3=LoadFactorSeasons)*(H$1=LoadFactorHours),0),)</f>
        <v>9.3997158235480804E-5</v>
      </c>
      <c r="I3" s="7" cm="1">
        <f t="array" ref="I3">INDEX('Summarized Source Data'!$G$1269:$G$1412,MATCH(1,($A3=LoadFactorSeasons)*(I$1=LoadFactorHours),0),)</f>
        <v>5.2156917873229788E-5</v>
      </c>
      <c r="J3" s="7" cm="1">
        <f t="array" ref="J3">INDEX('Summarized Source Data'!$G$1269:$G$1412,MATCH(1,($A3=LoadFactorSeasons)*(J$1=LoadFactorHours),0),)</f>
        <v>5.2232726300352282E-5</v>
      </c>
      <c r="K3" s="7" cm="1">
        <f t="array" ref="K3">INDEX('Summarized Source Data'!$G$1269:$G$1412,MATCH(1,($A3=LoadFactorSeasons)*(K$1=LoadFactorHours),0),)</f>
        <v>5.1107993666023314E-5</v>
      </c>
      <c r="L3" s="7" cm="1">
        <f t="array" ref="L3">INDEX('Summarized Source Data'!$G$1269:$G$1412,MATCH(1,($A3=LoadFactorSeasons)*(L$1=LoadFactorHours),0),)</f>
        <v>5.181814922896491E-5</v>
      </c>
      <c r="M3" s="7" cm="1">
        <f t="array" ref="M3">INDEX('Summarized Source Data'!$G$1269:$G$1412,MATCH(1,($A3=LoadFactorSeasons)*(M$1=LoadFactorHours),0),)</f>
        <v>5.6314131615642359E-5</v>
      </c>
      <c r="N3" s="7" cm="1">
        <f t="array" ref="N3">INDEX('Summarized Source Data'!$G$1269:$G$1412,MATCH(1,($A3=LoadFactorSeasons)*(N$1=LoadFactorHours),0),)</f>
        <v>5.9223867846836859E-5</v>
      </c>
      <c r="O3" s="7" cm="1">
        <f t="array" ref="O3">INDEX('Summarized Source Data'!$G$1269:$G$1412,MATCH(1,($A3=LoadFactorSeasons)*(O$1=LoadFactorHours),0),)</f>
        <v>5.9782506387020116E-5</v>
      </c>
      <c r="P3" s="7" cm="1">
        <f t="array" ref="P3">INDEX('Summarized Source Data'!$G$1269:$G$1412,MATCH(1,($A3=LoadFactorSeasons)*(P$1=LoadFactorHours),0),)</f>
        <v>6.0789418574747241E-5</v>
      </c>
      <c r="Q3" s="7" cm="1">
        <f t="array" ref="Q3">INDEX('Summarized Source Data'!$G$1269:$G$1412,MATCH(1,($A3=LoadFactorSeasons)*(Q$1=LoadFactorHours),0),)</f>
        <v>6.4697718404233096E-5</v>
      </c>
      <c r="R3" s="7" cm="1">
        <f t="array" ref="R3">INDEX('Summarized Source Data'!$G$1269:$G$1412,MATCH(1,($A3=LoadFactorSeasons)*(R$1=LoadFactorHours),0),)</f>
        <v>7.1252272727710249E-5</v>
      </c>
      <c r="S3" s="7" cm="1">
        <f t="array" ref="S3">INDEX('Summarized Source Data'!$G$1269:$G$1412,MATCH(1,($A3=LoadFactorSeasons)*(S$1=LoadFactorHours),0),)</f>
        <v>1.5348359268351869E-4</v>
      </c>
      <c r="T3" s="7" cm="1">
        <f t="array" ref="T3">INDEX('Summarized Source Data'!$G$1269:$G$1412,MATCH(1,($A3=LoadFactorSeasons)*(T$1=LoadFactorHours),0),)</f>
        <v>2.6764105485791378E-4</v>
      </c>
      <c r="U3" s="7" cm="1">
        <f t="array" ref="U3">INDEX('Summarized Source Data'!$G$1269:$G$1412,MATCH(1,($A3=LoadFactorSeasons)*(U$1=LoadFactorHours),0),)</f>
        <v>2.9351486754508117E-4</v>
      </c>
      <c r="V3" s="7" cm="1">
        <f t="array" ref="V3">INDEX('Summarized Source Data'!$G$1269:$G$1412,MATCH(1,($A3=LoadFactorSeasons)*(V$1=LoadFactorHours),0),)</f>
        <v>2.9690061988723546E-4</v>
      </c>
      <c r="W3" s="7" cm="1">
        <f t="array" ref="W3">INDEX('Summarized Source Data'!$G$1269:$G$1412,MATCH(1,($A3=LoadFactorSeasons)*(W$1=LoadFactorHours),0),)</f>
        <v>2.4360474060802829E-4</v>
      </c>
      <c r="X3" s="7" cm="1">
        <f t="array" ref="X3">INDEX('Summarized Source Data'!$G$1269:$G$1412,MATCH(1,($A3=LoadFactorSeasons)*(X$1=LoadFactorHours),0),)</f>
        <v>1.4704387010560646E-4</v>
      </c>
      <c r="Y3" s="7" cm="1">
        <f t="array" ref="Y3">INDEX('Summarized Source Data'!$G$1269:$G$1412,MATCH(1,($A3=LoadFactorSeasons)*(Y$1=LoadFactorHours),0),)</f>
        <v>7.8253815947531503E-5</v>
      </c>
    </row>
    <row r="4" spans="1:25" x14ac:dyDescent="0.3">
      <c r="A4" s="7" t="s">
        <v>163</v>
      </c>
      <c r="B4" s="7" cm="1">
        <f t="array" ref="B4">INDEX('Summarized Source Data'!$G$1269:$G$1412,MATCH(1,($A4=LoadFactorSeasons)*(B$1=LoadFactorHours),0),)</f>
        <v>5.3679186919852188E-5</v>
      </c>
      <c r="C4" s="7" cm="1">
        <f t="array" ref="C4">INDEX('Summarized Source Data'!$G$1269:$G$1412,MATCH(1,($A4=LoadFactorSeasons)*(C$1=LoadFactorHours),0),)</f>
        <v>4.8874942565907066E-5</v>
      </c>
      <c r="D4" s="7" cm="1">
        <f t="array" ref="D4">INDEX('Summarized Source Data'!$G$1269:$G$1412,MATCH(1,($A4=LoadFactorSeasons)*(D$1=LoadFactorHours),0),)</f>
        <v>4.8180815727425897E-5</v>
      </c>
      <c r="E4" s="7" cm="1">
        <f t="array" ref="E4">INDEX('Summarized Source Data'!$G$1269:$G$1412,MATCH(1,($A4=LoadFactorSeasons)*(E$1=LoadFactorHours),0),)</f>
        <v>4.905816428094533E-5</v>
      </c>
      <c r="F4" s="7" cm="1">
        <f t="array" ref="F4">INDEX('Summarized Source Data'!$G$1269:$G$1412,MATCH(1,($A4=LoadFactorSeasons)*(F$1=LoadFactorHours),0),)</f>
        <v>6.1043906080042855E-5</v>
      </c>
      <c r="G4" s="7" cm="1">
        <f t="array" ref="G4">INDEX('Summarized Source Data'!$G$1269:$G$1412,MATCH(1,($A4=LoadFactorSeasons)*(G$1=LoadFactorHours),0),)</f>
        <v>8.0065050681729362E-5</v>
      </c>
      <c r="H4" s="7" cm="1">
        <f t="array" ref="H4">INDEX('Summarized Source Data'!$G$1269:$G$1412,MATCH(1,($A4=LoadFactorSeasons)*(H$1=LoadFactorHours),0),)</f>
        <v>5.1452449007566013E-5</v>
      </c>
      <c r="I4" s="7" cm="1">
        <f t="array" ref="I4">INDEX('Summarized Source Data'!$G$1269:$G$1412,MATCH(1,($A4=LoadFactorSeasons)*(I$1=LoadFactorHours),0),)</f>
        <v>4.9917566034967226E-5</v>
      </c>
      <c r="J4" s="7" cm="1">
        <f t="array" ref="J4">INDEX('Summarized Source Data'!$G$1269:$G$1412,MATCH(1,($A4=LoadFactorSeasons)*(J$1=LoadFactorHours),0),)</f>
        <v>5.1113878491125476E-5</v>
      </c>
      <c r="K4" s="7" cm="1">
        <f t="array" ref="K4">INDEX('Summarized Source Data'!$G$1269:$G$1412,MATCH(1,($A4=LoadFactorSeasons)*(K$1=LoadFactorHours),0),)</f>
        <v>5.0007337643604825E-5</v>
      </c>
      <c r="L4" s="7" cm="1">
        <f t="array" ref="L4">INDEX('Summarized Source Data'!$G$1269:$G$1412,MATCH(1,($A4=LoadFactorSeasons)*(L$1=LoadFactorHours),0),)</f>
        <v>5.0703039488769919E-5</v>
      </c>
      <c r="M4" s="7" cm="1">
        <f t="array" ref="M4">INDEX('Summarized Source Data'!$G$1269:$G$1412,MATCH(1,($A4=LoadFactorSeasons)*(M$1=LoadFactorHours),0),)</f>
        <v>5.5167654279416679E-5</v>
      </c>
      <c r="N4" s="7" cm="1">
        <f t="array" ref="N4">INDEX('Summarized Source Data'!$G$1269:$G$1412,MATCH(1,($A4=LoadFactorSeasons)*(N$1=LoadFactorHours),0),)</f>
        <v>5.770595659203813E-5</v>
      </c>
      <c r="O4" s="7" cm="1">
        <f t="array" ref="O4">INDEX('Summarized Source Data'!$G$1269:$G$1412,MATCH(1,($A4=LoadFactorSeasons)*(O$1=LoadFactorHours),0),)</f>
        <v>5.8550577772601254E-5</v>
      </c>
      <c r="P4" s="7" cm="1">
        <f t="array" ref="P4">INDEX('Summarized Source Data'!$G$1269:$G$1412,MATCH(1,($A4=LoadFactorSeasons)*(P$1=LoadFactorHours),0),)</f>
        <v>5.9706530104462172E-5</v>
      </c>
      <c r="Q4" s="7" cm="1">
        <f t="array" ref="Q4">INDEX('Summarized Source Data'!$G$1269:$G$1412,MATCH(1,($A4=LoadFactorSeasons)*(Q$1=LoadFactorHours),0),)</f>
        <v>6.3323716601039077E-5</v>
      </c>
      <c r="R4" s="7" cm="1">
        <f t="array" ref="R4">INDEX('Summarized Source Data'!$G$1269:$G$1412,MATCH(1,($A4=LoadFactorSeasons)*(R$1=LoadFactorHours),0),)</f>
        <v>6.8269458724992487E-5</v>
      </c>
      <c r="S4" s="7" cm="1">
        <f t="array" ref="S4">INDEX('Summarized Source Data'!$G$1269:$G$1412,MATCH(1,($A4=LoadFactorSeasons)*(S$1=LoadFactorHours),0),)</f>
        <v>8.3919641208828622E-5</v>
      </c>
      <c r="T4" s="7" cm="1">
        <f t="array" ref="T4">INDEX('Summarized Source Data'!$G$1269:$G$1412,MATCH(1,($A4=LoadFactorSeasons)*(T$1=LoadFactorHours),0),)</f>
        <v>2.1219877521360864E-4</v>
      </c>
      <c r="U4" s="7" cm="1">
        <f t="array" ref="U4">INDEX('Summarized Source Data'!$G$1269:$G$1412,MATCH(1,($A4=LoadFactorSeasons)*(U$1=LoadFactorHours),0),)</f>
        <v>2.8731997979269611E-4</v>
      </c>
      <c r="V4" s="7" cm="1">
        <f t="array" ref="V4">INDEX('Summarized Source Data'!$G$1269:$G$1412,MATCH(1,($A4=LoadFactorSeasons)*(V$1=LoadFactorHours),0),)</f>
        <v>2.909088585540507E-4</v>
      </c>
      <c r="W4" s="7" cm="1">
        <f t="array" ref="W4">INDEX('Summarized Source Data'!$G$1269:$G$1412,MATCH(1,($A4=LoadFactorSeasons)*(W$1=LoadFactorHours),0),)</f>
        <v>2.3834498323712297E-4</v>
      </c>
      <c r="X4" s="7" cm="1">
        <f t="array" ref="X4">INDEX('Summarized Source Data'!$G$1269:$G$1412,MATCH(1,($A4=LoadFactorSeasons)*(X$1=LoadFactorHours),0),)</f>
        <v>1.4367496695951492E-4</v>
      </c>
      <c r="Y4" s="7" cm="1">
        <f t="array" ref="Y4">INDEX('Summarized Source Data'!$G$1269:$G$1412,MATCH(1,($A4=LoadFactorSeasons)*(Y$1=LoadFactorHours),0),)</f>
        <v>7.667268291461036E-5</v>
      </c>
    </row>
    <row r="5" spans="1:25" x14ac:dyDescent="0.3">
      <c r="A5" s="7" t="s">
        <v>164</v>
      </c>
      <c r="B5" s="7" cm="1">
        <f t="array" ref="B5">INDEX('Summarized Source Data'!$G$1269:$G$1412,MATCH(1,($A5=LoadFactorSeasons)*(B$1=LoadFactorHours),0),)</f>
        <v>5.7294130100347586E-5</v>
      </c>
      <c r="C5" s="7" cm="1">
        <f t="array" ref="C5">INDEX('Summarized Source Data'!$G$1269:$G$1412,MATCH(1,($A5=LoadFactorSeasons)*(C$1=LoadFactorHours),0),)</f>
        <v>5.209191417645944E-5</v>
      </c>
      <c r="D5" s="7" cm="1">
        <f t="array" ref="D5">INDEX('Summarized Source Data'!$G$1269:$G$1412,MATCH(1,($A5=LoadFactorSeasons)*(D$1=LoadFactorHours),0),)</f>
        <v>5.1443125441088054E-5</v>
      </c>
      <c r="E5" s="7" cm="1">
        <f t="array" ref="E5">INDEX('Summarized Source Data'!$G$1269:$G$1412,MATCH(1,($A5=LoadFactorSeasons)*(E$1=LoadFactorHours),0),)</f>
        <v>5.2451040854501317E-5</v>
      </c>
      <c r="F5" s="7" cm="1">
        <f t="array" ref="F5">INDEX('Summarized Source Data'!$G$1269:$G$1412,MATCH(1,($A5=LoadFactorSeasons)*(F$1=LoadFactorHours),0),)</f>
        <v>6.5209677944227441E-5</v>
      </c>
      <c r="G5" s="7" cm="1">
        <f t="array" ref="G5">INDEX('Summarized Source Data'!$G$1269:$G$1412,MATCH(1,($A5=LoadFactorSeasons)*(G$1=LoadFactorHours),0),)</f>
        <v>1.0811753124574068E-4</v>
      </c>
      <c r="H5" s="7" cm="1">
        <f t="array" ref="H5">INDEX('Summarized Source Data'!$G$1269:$G$1412,MATCH(1,($A5=LoadFactorSeasons)*(H$1=LoadFactorHours),0),)</f>
        <v>1.3028522023533036E-4</v>
      </c>
      <c r="I5" s="7" cm="1">
        <f t="array" ref="I5">INDEX('Summarized Source Data'!$G$1269:$G$1412,MATCH(1,($A5=LoadFactorSeasons)*(I$1=LoadFactorHours),0),)</f>
        <v>5.9535604049738924E-5</v>
      </c>
      <c r="J5" s="7" cm="1">
        <f t="array" ref="J5">INDEX('Summarized Source Data'!$G$1269:$G$1412,MATCH(1,($A5=LoadFactorSeasons)*(J$1=LoadFactorHours),0),)</f>
        <v>5.460610249144377E-5</v>
      </c>
      <c r="K5" s="7" cm="1">
        <f t="array" ref="K5">INDEX('Summarized Source Data'!$G$1269:$G$1412,MATCH(1,($A5=LoadFactorSeasons)*(K$1=LoadFactorHours),0),)</f>
        <v>5.343295567070483E-5</v>
      </c>
      <c r="L5" s="7" cm="1">
        <f t="array" ref="L5">INDEX('Summarized Source Data'!$G$1269:$G$1412,MATCH(1,($A5=LoadFactorSeasons)*(L$1=LoadFactorHours),0),)</f>
        <v>5.4175033631043387E-5</v>
      </c>
      <c r="M5" s="7" cm="1">
        <f t="array" ref="M5">INDEX('Summarized Source Data'!$G$1269:$G$1412,MATCH(1,($A5=LoadFactorSeasons)*(M$1=LoadFactorHours),0),)</f>
        <v>5.8915746482734351E-5</v>
      </c>
      <c r="N5" s="7" cm="1">
        <f t="array" ref="N5">INDEX('Summarized Source Data'!$G$1269:$G$1412,MATCH(1,($A5=LoadFactorSeasons)*(N$1=LoadFactorHours),0),)</f>
        <v>6.1967701882726918E-5</v>
      </c>
      <c r="O5" s="7" cm="1">
        <f t="array" ref="O5">INDEX('Summarized Source Data'!$G$1269:$G$1412,MATCH(1,($A5=LoadFactorSeasons)*(O$1=LoadFactorHours),0),)</f>
        <v>6.2380422432044649E-5</v>
      </c>
      <c r="P5" s="7" cm="1">
        <f t="array" ref="P5">INDEX('Summarized Source Data'!$G$1269:$G$1412,MATCH(1,($A5=LoadFactorSeasons)*(P$1=LoadFactorHours),0),)</f>
        <v>6.3525638579244129E-5</v>
      </c>
      <c r="Q5" s="7" cm="1">
        <f t="array" ref="Q5">INDEX('Summarized Source Data'!$G$1269:$G$1412,MATCH(1,($A5=LoadFactorSeasons)*(Q$1=LoadFactorHours),0),)</f>
        <v>6.7654364099472699E-5</v>
      </c>
      <c r="R5" s="7" cm="1">
        <f t="array" ref="R5">INDEX('Summarized Source Data'!$G$1269:$G$1412,MATCH(1,($A5=LoadFactorSeasons)*(R$1=LoadFactorHours),0),)</f>
        <v>8.1668454676633683E-5</v>
      </c>
      <c r="S5" s="7" cm="1">
        <f t="array" ref="S5">INDEX('Summarized Source Data'!$G$1269:$G$1412,MATCH(1,($A5=LoadFactorSeasons)*(S$1=LoadFactorHours),0),)</f>
        <v>2.1288256408114395E-4</v>
      </c>
      <c r="T5" s="7" cm="1">
        <f t="array" ref="T5">INDEX('Summarized Source Data'!$G$1269:$G$1412,MATCH(1,($A5=LoadFactorSeasons)*(T$1=LoadFactorHours),0),)</f>
        <v>2.86318726291149E-4</v>
      </c>
      <c r="U5" s="7" cm="1">
        <f t="array" ref="U5">INDEX('Summarized Source Data'!$G$1269:$G$1412,MATCH(1,($A5=LoadFactorSeasons)*(U$1=LoadFactorHours),0),)</f>
        <v>3.069094259822677E-4</v>
      </c>
      <c r="V5" s="7" cm="1">
        <f t="array" ref="V5">INDEX('Summarized Source Data'!$G$1269:$G$1412,MATCH(1,($A5=LoadFactorSeasons)*(V$1=LoadFactorHours),0),)</f>
        <v>3.1044026862385069E-4</v>
      </c>
      <c r="W5" s="7" cm="1">
        <f t="array" ref="W5">INDEX('Summarized Source Data'!$G$1269:$G$1412,MATCH(1,($A5=LoadFactorSeasons)*(W$1=LoadFactorHours),0),)</f>
        <v>2.5475290836905615E-4</v>
      </c>
      <c r="X5" s="7" cm="1">
        <f t="array" ref="X5">INDEX('Summarized Source Data'!$G$1269:$G$1412,MATCH(1,($A5=LoadFactorSeasons)*(X$1=LoadFactorHours),0),)</f>
        <v>1.5358530193329553E-4</v>
      </c>
      <c r="Y5" s="7" cm="1">
        <f t="array" ref="Y5">INDEX('Summarized Source Data'!$G$1269:$G$1412,MATCH(1,($A5=LoadFactorSeasons)*(Y$1=LoadFactorHours),0),)</f>
        <v>8.1755681511138544E-5</v>
      </c>
    </row>
    <row r="6" spans="1:25" x14ac:dyDescent="0.3">
      <c r="A6" s="7" t="s">
        <v>167</v>
      </c>
      <c r="B6" s="7" cm="1">
        <f t="array" ref="B6">INDEX('Summarized Source Data'!$G$1269:$G$1412,MATCH(1,($A6=LoadFactorSeasons)*(B$1=LoadFactorHours),0),)</f>
        <v>6.0885506039004283E-5</v>
      </c>
      <c r="C6" s="7" cm="1">
        <f t="array" ref="C6">INDEX('Summarized Source Data'!$G$1269:$G$1412,MATCH(1,($A6=LoadFactorSeasons)*(C$1=LoadFactorHours),0),)</f>
        <v>5.6131270342350524E-5</v>
      </c>
      <c r="D6" s="7" cm="1">
        <f t="array" ref="D6">INDEX('Summarized Source Data'!$G$1269:$G$1412,MATCH(1,($A6=LoadFactorSeasons)*(D$1=LoadFactorHours),0),)</f>
        <v>5.5580461473806969E-5</v>
      </c>
      <c r="E6" s="7" cm="1">
        <f t="array" ref="E6">INDEX('Summarized Source Data'!$G$1269:$G$1412,MATCH(1,($A6=LoadFactorSeasons)*(E$1=LoadFactorHours),0),)</f>
        <v>5.6819487549968631E-5</v>
      </c>
      <c r="F6" s="7" cm="1">
        <f t="array" ref="F6">INDEX('Summarized Source Data'!$G$1269:$G$1412,MATCH(1,($A6=LoadFactorSeasons)*(F$1=LoadFactorHours),0),)</f>
        <v>7.2942041888312067E-5</v>
      </c>
      <c r="G6" s="7" cm="1">
        <f t="array" ref="G6">INDEX('Summarized Source Data'!$G$1269:$G$1412,MATCH(1,($A6=LoadFactorSeasons)*(G$1=LoadFactorHours),0),)</f>
        <v>1.2538797283280091E-4</v>
      </c>
      <c r="H6" s="7" cm="1">
        <f t="array" ref="H6">INDEX('Summarized Source Data'!$G$1269:$G$1412,MATCH(1,($A6=LoadFactorSeasons)*(H$1=LoadFactorHours),0),)</f>
        <v>7.173638830338129E-5</v>
      </c>
      <c r="I6" s="7" cm="1">
        <f t="array" ref="I6">INDEX('Summarized Source Data'!$G$1269:$G$1412,MATCH(1,($A6=LoadFactorSeasons)*(I$1=LoadFactorHours),0),)</f>
        <v>5.6956082072873367E-5</v>
      </c>
      <c r="J6" s="7" cm="1">
        <f t="array" ref="J6">INDEX('Summarized Source Data'!$G$1269:$G$1412,MATCH(1,($A6=LoadFactorSeasons)*(J$1=LoadFactorHours),0),)</f>
        <v>5.5779635446037534E-5</v>
      </c>
      <c r="K6" s="7" cm="1">
        <f t="array" ref="K6">INDEX('Summarized Source Data'!$G$1269:$G$1412,MATCH(1,($A6=LoadFactorSeasons)*(K$1=LoadFactorHours),0),)</f>
        <v>5.365723904473294E-5</v>
      </c>
      <c r="L6" s="7" cm="1">
        <f t="array" ref="L6">INDEX('Summarized Source Data'!$G$1269:$G$1412,MATCH(1,($A6=LoadFactorSeasons)*(L$1=LoadFactorHours),0),)</f>
        <v>5.4533984303426683E-5</v>
      </c>
      <c r="M6" s="7" cm="1">
        <f t="array" ref="M6">INDEX('Summarized Source Data'!$G$1269:$G$1412,MATCH(1,($A6=LoadFactorSeasons)*(M$1=LoadFactorHours),0),)</f>
        <v>5.9781675927588839E-5</v>
      </c>
      <c r="N6" s="7" cm="1">
        <f t="array" ref="N6">INDEX('Summarized Source Data'!$G$1269:$G$1412,MATCH(1,($A6=LoadFactorSeasons)*(N$1=LoadFactorHours),0),)</f>
        <v>6.2693986416400456E-5</v>
      </c>
      <c r="O6" s="7" cm="1">
        <f t="array" ref="O6">INDEX('Summarized Source Data'!$G$1269:$G$1412,MATCH(1,($A6=LoadFactorSeasons)*(O$1=LoadFactorHours),0),)</f>
        <v>6.3899640001331234E-5</v>
      </c>
      <c r="P6" s="7" cm="1">
        <f t="array" ref="P6">INDEX('Summarized Source Data'!$G$1269:$G$1412,MATCH(1,($A6=LoadFactorSeasons)*(P$1=LoadFactorHours),0),)</f>
        <v>6.5708120378727401E-5</v>
      </c>
      <c r="Q6" s="7" cm="1">
        <f t="array" ref="Q6">INDEX('Summarized Source Data'!$G$1269:$G$1412,MATCH(1,($A6=LoadFactorSeasons)*(Q$1=LoadFactorHours),0),)</f>
        <v>7.1133561510915901E-5</v>
      </c>
      <c r="R6" s="7" cm="1">
        <f t="array" ref="R6">INDEX('Summarized Source Data'!$G$1269:$G$1412,MATCH(1,($A6=LoadFactorSeasons)*(R$1=LoadFactorHours),0),)</f>
        <v>7.7161829435569789E-5</v>
      </c>
      <c r="S6" s="7" cm="1">
        <f t="array" ref="S6">INDEX('Summarized Source Data'!$G$1269:$G$1412,MATCH(1,($A6=LoadFactorSeasons)*(S$1=LoadFactorHours),0),)</f>
        <v>1.0971447622870079E-4</v>
      </c>
      <c r="T6" s="7" cm="1">
        <f t="array" ref="T6">INDEX('Summarized Source Data'!$G$1269:$G$1412,MATCH(1,($A6=LoadFactorSeasons)*(T$1=LoadFactorHours),0),)</f>
        <v>3.0744166415734835E-4</v>
      </c>
      <c r="U6" s="7" cm="1">
        <f t="array" ref="U6">INDEX('Summarized Source Data'!$G$1269:$G$1412,MATCH(1,($A6=LoadFactorSeasons)*(U$1=LoadFactorHours),0),)</f>
        <v>3.3095190906349853E-4</v>
      </c>
      <c r="V6" s="7" cm="1">
        <f t="array" ref="V6">INDEX('Summarized Source Data'!$G$1269:$G$1412,MATCH(1,($A6=LoadFactorSeasons)*(V$1=LoadFactorHours),0),)</f>
        <v>3.3637735019568702E-4</v>
      </c>
      <c r="W6" s="7" cm="1">
        <f t="array" ref="W6">INDEX('Summarized Source Data'!$G$1269:$G$1412,MATCH(1,($A6=LoadFactorSeasons)*(W$1=LoadFactorHours),0),)</f>
        <v>2.7549184415668276E-4</v>
      </c>
      <c r="X6" s="7" cm="1">
        <f t="array" ref="X6">INDEX('Summarized Source Data'!$G$1269:$G$1412,MATCH(1,($A6=LoadFactorSeasons)*(X$1=LoadFactorHours),0),)</f>
        <v>1.633660607581204E-4</v>
      </c>
      <c r="Y6" s="7" cm="1">
        <f t="array" ref="Y6">INDEX('Summarized Source Data'!$G$1269:$G$1412,MATCH(1,($A6=LoadFactorSeasons)*(Y$1=LoadFactorHours),0),)</f>
        <v>8.6204231322550623E-5</v>
      </c>
    </row>
    <row r="7" spans="1:25" x14ac:dyDescent="0.3">
      <c r="A7" s="7" t="s">
        <v>166</v>
      </c>
      <c r="B7" s="7" cm="1">
        <f t="array" ref="B7">INDEX('Summarized Source Data'!$G$1269:$G$1412,MATCH(1,($A7=LoadFactorSeasons)*(B$1=LoadFactorHours),0),)</f>
        <v>7.1133561510915901E-5</v>
      </c>
      <c r="C7" s="7" cm="1">
        <f t="array" ref="C7">INDEX('Summarized Source Data'!$G$1269:$G$1412,MATCH(1,($A7=LoadFactorSeasons)*(C$1=LoadFactorHours),0),)</f>
        <v>6.5708120378727401E-5</v>
      </c>
      <c r="D7" s="7" cm="1">
        <f t="array" ref="D7">INDEX('Summarized Source Data'!$G$1269:$G$1412,MATCH(1,($A7=LoadFactorSeasons)*(D$1=LoadFactorHours),0),)</f>
        <v>6.5105293586262012E-5</v>
      </c>
      <c r="E7" s="7" cm="1">
        <f t="array" ref="E7">INDEX('Summarized Source Data'!$G$1269:$G$1412,MATCH(1,($A7=LoadFactorSeasons)*(E$1=LoadFactorHours),0),)</f>
        <v>6.631094717119279E-5</v>
      </c>
      <c r="F7" s="7" cm="1">
        <f t="array" ref="F7">INDEX('Summarized Source Data'!$G$1269:$G$1412,MATCH(1,($A7=LoadFactorSeasons)*(F$1=LoadFactorHours),0),)</f>
        <v>8.5601404530085234E-5</v>
      </c>
      <c r="G7" s="7" cm="1">
        <f t="array" ref="G7">INDEX('Summarized Source Data'!$G$1269:$G$1412,MATCH(1,($A7=LoadFactorSeasons)*(G$1=LoadFactorHours),0),)</f>
        <v>1.4708973736155491E-4</v>
      </c>
      <c r="H7" s="7" cm="1">
        <f t="array" ref="H7">INDEX('Summarized Source Data'!$G$1269:$G$1412,MATCH(1,($A7=LoadFactorSeasons)*(H$1=LoadFactorHours),0),)</f>
        <v>2.1520916491014387E-4</v>
      </c>
      <c r="I7" s="7" cm="1">
        <f t="array" ref="I7">INDEX('Summarized Source Data'!$G$1269:$G$1412,MATCH(1,($A7=LoadFactorSeasons)*(I$1=LoadFactorHours),0),)</f>
        <v>2.2244308641972854E-4</v>
      </c>
      <c r="J7" s="7" cm="1">
        <f t="array" ref="J7">INDEX('Summarized Source Data'!$G$1269:$G$1412,MATCH(1,($A7=LoadFactorSeasons)*(J$1=LoadFactorHours),0),)</f>
        <v>6.5105293586262012E-5</v>
      </c>
      <c r="K7" s="7" cm="1">
        <f t="array" ref="K7">INDEX('Summarized Source Data'!$G$1269:$G$1412,MATCH(1,($A7=LoadFactorSeasons)*(K$1=LoadFactorHours),0),)</f>
        <v>6.2693986416400456E-5</v>
      </c>
      <c r="L7" s="7" cm="1">
        <f t="array" ref="L7">INDEX('Summarized Source Data'!$G$1269:$G$1412,MATCH(1,($A7=LoadFactorSeasons)*(L$1=LoadFactorHours),0),)</f>
        <v>6.3899640001331234E-5</v>
      </c>
      <c r="M7" s="7" cm="1">
        <f t="array" ref="M7">INDEX('Summarized Source Data'!$G$1269:$G$1412,MATCH(1,($A7=LoadFactorSeasons)*(M$1=LoadFactorHours),0),)</f>
        <v>6.9927907925985123E-5</v>
      </c>
      <c r="N7" s="7" cm="1">
        <f t="array" ref="N7">INDEX('Summarized Source Data'!$G$1269:$G$1412,MATCH(1,($A7=LoadFactorSeasons)*(N$1=LoadFactorHours),0),)</f>
        <v>7.3544868680777456E-5</v>
      </c>
      <c r="O7" s="7" cm="1">
        <f t="array" ref="O7">INDEX('Summarized Source Data'!$G$1269:$G$1412,MATCH(1,($A7=LoadFactorSeasons)*(O$1=LoadFactorHours),0),)</f>
        <v>7.4750522265708234E-5</v>
      </c>
      <c r="P7" s="7" cm="1">
        <f t="array" ref="P7">INDEX('Summarized Source Data'!$G$1269:$G$1412,MATCH(1,($A7=LoadFactorSeasons)*(P$1=LoadFactorHours),0),)</f>
        <v>7.6559002643104401E-5</v>
      </c>
      <c r="Q7" s="7" cm="1">
        <f t="array" ref="Q7">INDEX('Summarized Source Data'!$G$1269:$G$1412,MATCH(1,($A7=LoadFactorSeasons)*(Q$1=LoadFactorHours),0),)</f>
        <v>8.3190097360223678E-5</v>
      </c>
      <c r="R7" s="7" cm="1">
        <f t="array" ref="R7">INDEX('Summarized Source Data'!$G$1269:$G$1412,MATCH(1,($A7=LoadFactorSeasons)*(R$1=LoadFactorHours),0),)</f>
        <v>3.0141339623269449E-4</v>
      </c>
      <c r="S7" s="7" cm="1">
        <f t="array" ref="S7">INDEX('Summarized Source Data'!$G$1269:$G$1412,MATCH(1,($A7=LoadFactorSeasons)*(S$1=LoadFactorHours),0),)</f>
        <v>3.2914342868610235E-4</v>
      </c>
      <c r="T7" s="7" cm="1">
        <f t="array" ref="T7">INDEX('Summarized Source Data'!$G$1269:$G$1412,MATCH(1,($A7=LoadFactorSeasons)*(T$1=LoadFactorHours),0),)</f>
        <v>3.598875951018372E-4</v>
      </c>
      <c r="U7" s="7" cm="1">
        <f t="array" ref="U7">INDEX('Summarized Source Data'!$G$1269:$G$1412,MATCH(1,($A7=LoadFactorSeasons)*(U$1=LoadFactorHours),0),)</f>
        <v>3.8761762755524511E-4</v>
      </c>
      <c r="V7" s="7" cm="1">
        <f t="array" ref="V7">INDEX('Summarized Source Data'!$G$1269:$G$1412,MATCH(1,($A7=LoadFactorSeasons)*(V$1=LoadFactorHours),0),)</f>
        <v>3.9364589547989898E-4</v>
      </c>
      <c r="W7" s="7" cm="1">
        <f t="array" ref="W7">INDEX('Summarized Source Data'!$G$1269:$G$1412,MATCH(1,($A7=LoadFactorSeasons)*(W$1=LoadFactorHours),0),)</f>
        <v>3.2251233396898312E-4</v>
      </c>
      <c r="X7" s="7" cm="1">
        <f t="array" ref="X7">INDEX('Summarized Source Data'!$G$1269:$G$1412,MATCH(1,($A7=LoadFactorSeasons)*(X$1=LoadFactorHours),0),)</f>
        <v>1.9169892000399369E-4</v>
      </c>
      <c r="Y7" s="7" cm="1">
        <f t="array" ref="Y7">INDEX('Summarized Source Data'!$G$1269:$G$1412,MATCH(1,($A7=LoadFactorSeasons)*(Y$1=LoadFactorHours),0),)</f>
        <v>1.0067207434171996E-4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8F9E-6BA2-4B0E-8E9D-93D40A7A4F01}">
  <sheetPr codeName="Sheet13">
    <tabColor rgb="FF002060"/>
  </sheetPr>
  <dimension ref="A1:Y19"/>
  <sheetViews>
    <sheetView topLeftCell="G1" workbookViewId="0">
      <selection activeCell="A2" sqref="A2:Y5"/>
    </sheetView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 cm="1">
        <f t="array" ref="B2">INDEX('Summarized Source Data'!$H$1269:$H$1412,MATCH(1,($A2=LoadFactorSeasons)*(B$1=LoadFactorHours),0),)</f>
        <v>7.8969953003841107E-5</v>
      </c>
      <c r="C2" s="7" cm="1">
        <f t="array" ref="C2">INDEX('Summarized Source Data'!$H$1269:$H$1412,MATCH(1,($A2=LoadFactorSeasons)*(C$1=LoadFactorHours),0),)</f>
        <v>5.8021808072194647E-5</v>
      </c>
      <c r="D2" s="7" cm="1">
        <f t="array" ref="D2">INDEX('Summarized Source Data'!$H$1269:$H$1412,MATCH(1,($A2=LoadFactorSeasons)*(D$1=LoadFactorHours),0),)</f>
        <v>4.6414662637285029E-5</v>
      </c>
      <c r="E2" s="7" cm="1">
        <f t="array" ref="E2">INDEX('Summarized Source Data'!$H$1269:$H$1412,MATCH(1,($A2=LoadFactorSeasons)*(E$1=LoadFactorHours),0),)</f>
        <v>3.9934157632648505E-5</v>
      </c>
      <c r="F2" s="7" cm="1">
        <f t="array" ref="F2">INDEX('Summarized Source Data'!$H$1269:$H$1412,MATCH(1,($A2=LoadFactorSeasons)*(F$1=LoadFactorHours),0),)</f>
        <v>4.2026970422621953E-5</v>
      </c>
      <c r="G2" s="7" cm="1">
        <f t="array" ref="G2">INDEX('Summarized Source Data'!$H$1269:$H$1412,MATCH(1,($A2=LoadFactorSeasons)*(G$1=LoadFactorHours),0),)</f>
        <v>5.6654913485571863E-5</v>
      </c>
      <c r="H2" s="7" cm="1">
        <f t="array" ref="H2">INDEX('Summarized Source Data'!$H$1269:$H$1412,MATCH(1,($A2=LoadFactorSeasons)*(H$1=LoadFactorHours),0),)</f>
        <v>8.9565956380524512E-5</v>
      </c>
      <c r="I2" s="7" cm="1">
        <f t="array" ref="I2">INDEX('Summarized Source Data'!$H$1269:$H$1412,MATCH(1,($A2=LoadFactorSeasons)*(I$1=LoadFactorHours),0),)</f>
        <v>1.1568272423584146E-4</v>
      </c>
      <c r="J2" s="7" cm="1">
        <f t="array" ref="J2">INDEX('Summarized Source Data'!$H$1269:$H$1412,MATCH(1,($A2=LoadFactorSeasons)*(J$1=LoadFactorHours),0),)</f>
        <v>1.20439822074313E-4</v>
      </c>
      <c r="K2" s="7" cm="1">
        <f t="array" ref="K2">INDEX('Summarized Source Data'!$H$1269:$H$1412,MATCH(1,($A2=LoadFactorSeasons)*(K$1=LoadFactorHours),0),)</f>
        <v>1.259086880976435E-4</v>
      </c>
      <c r="L2" s="7" cm="1">
        <f t="array" ref="L2">INDEX('Summarized Source Data'!$H$1269:$H$1412,MATCH(1,($A2=LoadFactorSeasons)*(L$1=LoadFactorHours),0),)</f>
        <v>1.3073575782153422E-4</v>
      </c>
      <c r="M2" s="7" cm="1">
        <f t="array" ref="M2">INDEX('Summarized Source Data'!$H$1269:$H$1412,MATCH(1,($A2=LoadFactorSeasons)*(M$1=LoadFactorHours),0),)</f>
        <v>1.3403993969549679E-4</v>
      </c>
      <c r="N2" s="7" cm="1">
        <f t="array" ref="N2">INDEX('Summarized Source Data'!$H$1269:$H$1412,MATCH(1,($A2=LoadFactorSeasons)*(N$1=LoadFactorHours),0),)</f>
        <v>1.2729397509466295E-4</v>
      </c>
      <c r="O2" s="7" cm="1">
        <f t="array" ref="O2">INDEX('Summarized Source Data'!$H$1269:$H$1412,MATCH(1,($A2=LoadFactorSeasons)*(O$1=LoadFactorHours),0),)</f>
        <v>1.2236545550936879E-4</v>
      </c>
      <c r="P2" s="7" cm="1">
        <f t="array" ref="P2">INDEX('Summarized Source Data'!$H$1269:$H$1412,MATCH(1,($A2=LoadFactorSeasons)*(P$1=LoadFactorHours),0),)</f>
        <v>1.2681907295608827E-4</v>
      </c>
      <c r="Q2" s="7" cm="1">
        <f t="array" ref="Q2">INDEX('Summarized Source Data'!$H$1269:$H$1412,MATCH(1,($A2=LoadFactorSeasons)*(Q$1=LoadFactorHours),0),)</f>
        <v>1.3976974377661859E-4</v>
      </c>
      <c r="R2" s="7" cm="1">
        <f t="array" ref="R2">INDEX('Summarized Source Data'!$H$1269:$H$1412,MATCH(1,($A2=LoadFactorSeasons)*(R$1=LoadFactorHours),0),)</f>
        <v>1.6531039585275891E-4</v>
      </c>
      <c r="S2" s="7" cm="1">
        <f t="array" ref="S2">INDEX('Summarized Source Data'!$H$1269:$H$1412,MATCH(1,($A2=LoadFactorSeasons)*(S$1=LoadFactorHours),0),)</f>
        <v>1.7928841206362895E-4</v>
      </c>
      <c r="T2" s="7" cm="1">
        <f t="array" ref="T2">INDEX('Summarized Source Data'!$H$1269:$H$1412,MATCH(1,($A2=LoadFactorSeasons)*(T$1=LoadFactorHours),0),)</f>
        <v>1.7488569037586089E-4</v>
      </c>
      <c r="U2" s="7" cm="1">
        <f t="array" ref="U2">INDEX('Summarized Source Data'!$H$1269:$H$1412,MATCH(1,($A2=LoadFactorSeasons)*(U$1=LoadFactorHours),0),)</f>
        <v>1.6608780399618415E-4</v>
      </c>
      <c r="V2" s="7" cm="1">
        <f t="array" ref="V2">INDEX('Summarized Source Data'!$H$1269:$H$1412,MATCH(1,($A2=LoadFactorSeasons)*(V$1=LoadFactorHours),0),)</f>
        <v>1.60955542692689E-4</v>
      </c>
      <c r="W2" s="7" cm="1">
        <f t="array" ref="W2">INDEX('Summarized Source Data'!$H$1269:$H$1412,MATCH(1,($A2=LoadFactorSeasons)*(W$1=LoadFactorHours),0),)</f>
        <v>1.571853962212334E-4</v>
      </c>
      <c r="X2" s="7" cm="1">
        <f t="array" ref="X2">INDEX('Summarized Source Data'!$H$1269:$H$1412,MATCH(1,($A2=LoadFactorSeasons)*(X$1=LoadFactorHours),0),)</f>
        <v>1.2506111112398291E-4</v>
      </c>
      <c r="Y2" s="7" cm="1">
        <f t="array" ref="Y2">INDEX('Summarized Source Data'!$H$1269:$H$1412,MATCH(1,($A2=LoadFactorSeasons)*(Y$1=LoadFactorHours),0),)</f>
        <v>9.9339865598628912E-5</v>
      </c>
    </row>
    <row r="3" spans="1:25" x14ac:dyDescent="0.3">
      <c r="A3" s="7" t="s">
        <v>162</v>
      </c>
      <c r="B3" s="7" cm="1">
        <f t="array" ref="B3">INDEX('Summarized Source Data'!$H$1269:$H$1412,MATCH(1,($A3=LoadFactorSeasons)*(B$1=LoadFactorHours),0),)</f>
        <v>7.7729454304356952E-5</v>
      </c>
      <c r="C3" s="7" cm="1">
        <f t="array" ref="C3">INDEX('Summarized Source Data'!$H$1269:$H$1412,MATCH(1,($A3=LoadFactorSeasons)*(C$1=LoadFactorHours),0),)</f>
        <v>5.7027483817167788E-5</v>
      </c>
      <c r="D3" s="7" cm="1">
        <f t="array" ref="D3">INDEX('Summarized Source Data'!$H$1269:$H$1412,MATCH(1,($A3=LoadFactorSeasons)*(D$1=LoadFactorHours),0),)</f>
        <v>4.5479921967019598E-5</v>
      </c>
      <c r="E3" s="7" cm="1">
        <f t="array" ref="E3">INDEX('Summarized Source Data'!$H$1269:$H$1412,MATCH(1,($A3=LoadFactorSeasons)*(E$1=LoadFactorHours),0),)</f>
        <v>3.8983758963310082E-5</v>
      </c>
      <c r="F3" s="7" cm="1">
        <f t="array" ref="F3">INDEX('Summarized Source Data'!$H$1269:$H$1412,MATCH(1,($A3=LoadFactorSeasons)*(F$1=LoadFactorHours),0),)</f>
        <v>4.0953538915365552E-5</v>
      </c>
      <c r="G3" s="7" cm="1">
        <f t="array" ref="G3">INDEX('Summarized Source Data'!$H$1269:$H$1412,MATCH(1,($A3=LoadFactorSeasons)*(G$1=LoadFactorHours),0),)</f>
        <v>5.4927525163649212E-5</v>
      </c>
      <c r="H3" s="7" cm="1">
        <f t="array" ref="H3">INDEX('Summarized Source Data'!$H$1269:$H$1412,MATCH(1,($A3=LoadFactorSeasons)*(H$1=LoadFactorHours),0),)</f>
        <v>8.6174651826724979E-5</v>
      </c>
      <c r="I3" s="7" cm="1">
        <f t="array" ref="I3">INDEX('Summarized Source Data'!$H$1269:$H$1412,MATCH(1,($A3=LoadFactorSeasons)*(I$1=LoadFactorHours),0),)</f>
        <v>1.1132681932654382E-4</v>
      </c>
      <c r="J3" s="7" cm="1">
        <f t="array" ref="J3">INDEX('Summarized Source Data'!$H$1269:$H$1412,MATCH(1,($A3=LoadFactorSeasons)*(J$1=LoadFactorHours),0),)</f>
        <v>1.1755342766670311E-4</v>
      </c>
      <c r="K3" s="7" cm="1">
        <f t="array" ref="K3">INDEX('Summarized Source Data'!$H$1269:$H$1412,MATCH(1,($A3=LoadFactorSeasons)*(K$1=LoadFactorHours),0),)</f>
        <v>1.2290693837162711E-4</v>
      </c>
      <c r="L3" s="7" cm="1">
        <f t="array" ref="L3">INDEX('Summarized Source Data'!$H$1269:$H$1412,MATCH(1,($A3=LoadFactorSeasons)*(L$1=LoadFactorHours),0),)</f>
        <v>1.2810029884945679E-4</v>
      </c>
      <c r="M3" s="7" cm="1">
        <f t="array" ref="M3">INDEX('Summarized Source Data'!$H$1269:$H$1412,MATCH(1,($A3=LoadFactorSeasons)*(M$1=LoadFactorHours),0),)</f>
        <v>1.3135926910221715E-4</v>
      </c>
      <c r="N3" s="7" cm="1">
        <f t="array" ref="N3">INDEX('Summarized Source Data'!$H$1269:$H$1412,MATCH(1,($A3=LoadFactorSeasons)*(N$1=LoadFactorHours),0),)</f>
        <v>1.2488198697521071E-4</v>
      </c>
      <c r="O3" s="7" cm="1">
        <f t="array" ref="O3">INDEX('Summarized Source Data'!$H$1269:$H$1412,MATCH(1,($A3=LoadFactorSeasons)*(O$1=LoadFactorHours),0),)</f>
        <v>1.2017918992829727E-4</v>
      </c>
      <c r="P3" s="7" cm="1">
        <f t="array" ref="P3">INDEX('Summarized Source Data'!$H$1269:$H$1412,MATCH(1,($A3=LoadFactorSeasons)*(P$1=LoadFactorHours),0),)</f>
        <v>1.24636689030699E-4</v>
      </c>
      <c r="Q3" s="7" cm="1">
        <f t="array" ref="Q3">INDEX('Summarized Source Data'!$H$1269:$H$1412,MATCH(1,($A3=LoadFactorSeasons)*(Q$1=LoadFactorHours),0),)</f>
        <v>1.3808542972354991E-4</v>
      </c>
      <c r="R3" s="7" cm="1">
        <f t="array" ref="R3">INDEX('Summarized Source Data'!$H$1269:$H$1412,MATCH(1,($A3=LoadFactorSeasons)*(R$1=LoadFactorHours),0),)</f>
        <v>1.6244853092587937E-4</v>
      </c>
      <c r="S3" s="7" cm="1">
        <f t="array" ref="S3">INDEX('Summarized Source Data'!$H$1269:$H$1412,MATCH(1,($A3=LoadFactorSeasons)*(S$1=LoadFactorHours),0),)</f>
        <v>1.7619241984130493E-4</v>
      </c>
      <c r="T3" s="7" cm="1">
        <f t="array" ref="T3">INDEX('Summarized Source Data'!$H$1269:$H$1412,MATCH(1,($A3=LoadFactorSeasons)*(T$1=LoadFactorHours),0),)</f>
        <v>1.7156666895214859E-4</v>
      </c>
      <c r="U3" s="7" cm="1">
        <f t="array" ref="U3">INDEX('Summarized Source Data'!$H$1269:$H$1412,MATCH(1,($A3=LoadFactorSeasons)*(U$1=LoadFactorHours),0),)</f>
        <v>1.6262544015671425E-4</v>
      </c>
      <c r="V3" s="7" cm="1">
        <f t="array" ref="V3">INDEX('Summarized Source Data'!$H$1269:$H$1412,MATCH(1,($A3=LoadFactorSeasons)*(V$1=LoadFactorHours),0),)</f>
        <v>1.5756914003440178E-4</v>
      </c>
      <c r="W3" s="7" cm="1">
        <f t="array" ref="W3">INDEX('Summarized Source Data'!$H$1269:$H$1412,MATCH(1,($A3=LoadFactorSeasons)*(W$1=LoadFactorHours),0),)</f>
        <v>1.5406062409822039E-4</v>
      </c>
      <c r="X3" s="7" cm="1">
        <f t="array" ref="X3">INDEX('Summarized Source Data'!$H$1269:$H$1412,MATCH(1,($A3=LoadFactorSeasons)*(X$1=LoadFactorHours),0),)</f>
        <v>1.223417907253917E-4</v>
      </c>
      <c r="Y3" s="7" cm="1">
        <f t="array" ref="Y3">INDEX('Summarized Source Data'!$H$1269:$H$1412,MATCH(1,($A3=LoadFactorSeasons)*(Y$1=LoadFactorHours),0),)</f>
        <v>9.7491850295372055E-5</v>
      </c>
    </row>
    <row r="4" spans="1:25" x14ac:dyDescent="0.3">
      <c r="A4" s="7" t="s">
        <v>163</v>
      </c>
      <c r="B4" s="7" cm="1">
        <f t="array" ref="B4">INDEX('Summarized Source Data'!$H$1269:$H$1412,MATCH(1,($A4=LoadFactorSeasons)*(B$1=LoadFactorHours),0),)</f>
        <v>7.8275761270442021E-5</v>
      </c>
      <c r="C4" s="7" cm="1">
        <f t="array" ref="C4">INDEX('Summarized Source Data'!$H$1269:$H$1412,MATCH(1,($A4=LoadFactorSeasons)*(C$1=LoadFactorHours),0),)</f>
        <v>5.7426105582194235E-5</v>
      </c>
      <c r="D4" s="7" cm="1">
        <f t="array" ref="D4">INDEX('Summarized Source Data'!$H$1269:$H$1412,MATCH(1,($A4=LoadFactorSeasons)*(D$1=LoadFactorHours),0),)</f>
        <v>4.5826826230182956E-5</v>
      </c>
      <c r="E4" s="7" cm="1">
        <f t="array" ref="E4">INDEX('Summarized Source Data'!$H$1269:$H$1412,MATCH(1,($A4=LoadFactorSeasons)*(E$1=LoadFactorHours),0),)</f>
        <v>3.9501195331488316E-5</v>
      </c>
      <c r="F4" s="7" cm="1">
        <f t="array" ref="F4">INDEX('Summarized Source Data'!$H$1269:$H$1412,MATCH(1,($A4=LoadFactorSeasons)*(F$1=LoadFactorHours),0),)</f>
        <v>4.1458301052765733E-5</v>
      </c>
      <c r="G4" s="7" cm="1">
        <f t="array" ref="G4">INDEX('Summarized Source Data'!$H$1269:$H$1412,MATCH(1,($A4=LoadFactorSeasons)*(G$1=LoadFactorHours),0),)</f>
        <v>5.4757272145397388E-5</v>
      </c>
      <c r="H4" s="7" cm="1">
        <f t="array" ref="H4">INDEX('Summarized Source Data'!$H$1269:$H$1412,MATCH(1,($A4=LoadFactorSeasons)*(H$1=LoadFactorHours),0),)</f>
        <v>8.4726191359554099E-5</v>
      </c>
      <c r="I4" s="7" cm="1">
        <f t="array" ref="I4">INDEX('Summarized Source Data'!$H$1269:$H$1412,MATCH(1,($A4=LoadFactorSeasons)*(I$1=LoadFactorHours),0),)</f>
        <v>1.0929176080792029E-4</v>
      </c>
      <c r="J4" s="7" cm="1">
        <f t="array" ref="J4">INDEX('Summarized Source Data'!$H$1269:$H$1412,MATCH(1,($A4=LoadFactorSeasons)*(J$1=LoadFactorHours),0),)</f>
        <v>1.1604970005942381E-4</v>
      </c>
      <c r="K4" s="7" cm="1">
        <f t="array" ref="K4">INDEX('Summarized Source Data'!$H$1269:$H$1412,MATCH(1,($A4=LoadFactorSeasons)*(K$1=LoadFactorHours),0),)</f>
        <v>1.2156947486428364E-4</v>
      </c>
      <c r="L4" s="7" cm="1">
        <f t="array" ref="L4">INDEX('Summarized Source Data'!$H$1269:$H$1412,MATCH(1,($A4=LoadFactorSeasons)*(L$1=LoadFactorHours),0),)</f>
        <v>1.2706212177379528E-4</v>
      </c>
      <c r="M4" s="7" cm="1">
        <f t="array" ref="M4">INDEX('Summarized Source Data'!$H$1269:$H$1412,MATCH(1,($A4=LoadFactorSeasons)*(M$1=LoadFactorHours),0),)</f>
        <v>1.3116961994536459E-4</v>
      </c>
      <c r="N4" s="7" cm="1">
        <f t="array" ref="N4">INDEX('Summarized Source Data'!$H$1269:$H$1412,MATCH(1,($A4=LoadFactorSeasons)*(N$1=LoadFactorHours),0),)</f>
        <v>1.2502520927288246E-4</v>
      </c>
      <c r="O4" s="7" cm="1">
        <f t="array" ref="O4">INDEX('Summarized Source Data'!$H$1269:$H$1412,MATCH(1,($A4=LoadFactorSeasons)*(O$1=LoadFactorHours),0),)</f>
        <v>1.2078512094630866E-4</v>
      </c>
      <c r="P4" s="7" cm="1">
        <f t="array" ref="P4">INDEX('Summarized Source Data'!$H$1269:$H$1412,MATCH(1,($A4=LoadFactorSeasons)*(P$1=LoadFactorHours),0),)</f>
        <v>1.2559530924992872E-4</v>
      </c>
      <c r="Q4" s="7" cm="1">
        <f t="array" ref="Q4">INDEX('Summarized Source Data'!$H$1269:$H$1412,MATCH(1,($A4=LoadFactorSeasons)*(Q$1=LoadFactorHours),0),)</f>
        <v>1.3921122787005999E-4</v>
      </c>
      <c r="R4" s="7" cm="1">
        <f t="array" ref="R4">INDEX('Summarized Source Data'!$H$1269:$H$1412,MATCH(1,($A4=LoadFactorSeasons)*(R$1=LoadFactorHours),0),)</f>
        <v>1.6366522654124739E-4</v>
      </c>
      <c r="S4" s="7" cm="1">
        <f t="array" ref="S4">INDEX('Summarized Source Data'!$H$1269:$H$1412,MATCH(1,($A4=LoadFactorSeasons)*(S$1=LoadFactorHours),0),)</f>
        <v>1.7624885894050861E-4</v>
      </c>
      <c r="T4" s="7" cm="1">
        <f t="array" ref="T4">INDEX('Summarized Source Data'!$H$1269:$H$1412,MATCH(1,($A4=LoadFactorSeasons)*(T$1=LoadFactorHours),0),)</f>
        <v>1.7152975569541579E-4</v>
      </c>
      <c r="U4" s="7" cm="1">
        <f t="array" ref="U4">INDEX('Summarized Source Data'!$H$1269:$H$1412,MATCH(1,($A4=LoadFactorSeasons)*(U$1=LoadFactorHours),0),)</f>
        <v>1.6263620397575913E-4</v>
      </c>
      <c r="V4" s="7" cm="1">
        <f t="array" ref="V4">INDEX('Summarized Source Data'!$H$1269:$H$1412,MATCH(1,($A4=LoadFactorSeasons)*(V$1=LoadFactorHours),0),)</f>
        <v>1.57623182851869E-4</v>
      </c>
      <c r="W4" s="7" cm="1">
        <f t="array" ref="W4">INDEX('Summarized Source Data'!$H$1269:$H$1412,MATCH(1,($A4=LoadFactorSeasons)*(W$1=LoadFactorHours),0),)</f>
        <v>1.5384372710874712E-4</v>
      </c>
      <c r="X4" s="7" cm="1">
        <f t="array" ref="X4">INDEX('Summarized Source Data'!$H$1269:$H$1412,MATCH(1,($A4=LoadFactorSeasons)*(X$1=LoadFactorHours),0),)</f>
        <v>1.2233455654705181E-4</v>
      </c>
      <c r="Y4" s="7" cm="1">
        <f t="array" ref="Y4">INDEX('Summarized Source Data'!$H$1269:$H$1412,MATCH(1,($A4=LoadFactorSeasons)*(Y$1=LoadFactorHours),0),)</f>
        <v>9.7671366273325086E-5</v>
      </c>
    </row>
    <row r="5" spans="1:25" x14ac:dyDescent="0.3">
      <c r="A5" s="7" t="s">
        <v>164</v>
      </c>
      <c r="B5" s="7" cm="1">
        <f t="array" ref="B5">INDEX('Summarized Source Data'!$H$1269:$H$1412,MATCH(1,($A5=LoadFactorSeasons)*(B$1=LoadFactorHours),0),)</f>
        <v>7.7184878085595254E-5</v>
      </c>
      <c r="C5" s="7" cm="1">
        <f t="array" ref="C5">INDEX('Summarized Source Data'!$H$1269:$H$1412,MATCH(1,($A5=LoadFactorSeasons)*(C$1=LoadFactorHours),0),)</f>
        <v>5.6581605571403379E-5</v>
      </c>
      <c r="D5" s="7" cm="1">
        <f t="array" ref="D5">INDEX('Summarized Source Data'!$H$1269:$H$1412,MATCH(1,($A5=LoadFactorSeasons)*(D$1=LoadFactorHours),0),)</f>
        <v>4.5043514525345604E-5</v>
      </c>
      <c r="E5" s="7" cm="1">
        <f t="array" ref="E5">INDEX('Summarized Source Data'!$H$1269:$H$1412,MATCH(1,($A5=LoadFactorSeasons)*(E$1=LoadFactorHours),0),)</f>
        <v>3.8599984294994036E-5</v>
      </c>
      <c r="F5" s="7" cm="1">
        <f t="array" ref="F5">INDEX('Summarized Source Data'!$H$1269:$H$1412,MATCH(1,($A5=LoadFactorSeasons)*(F$1=LoadFactorHours),0),)</f>
        <v>4.0499206571437134E-5</v>
      </c>
      <c r="G5" s="7" cm="1">
        <f t="array" ref="G5">INDEX('Summarized Source Data'!$H$1269:$H$1412,MATCH(1,($A5=LoadFactorSeasons)*(G$1=LoadFactorHours),0),)</f>
        <v>5.4089707212025293E-5</v>
      </c>
      <c r="H5" s="7" cm="1">
        <f t="array" ref="H5">INDEX('Summarized Source Data'!$H$1269:$H$1412,MATCH(1,($A5=LoadFactorSeasons)*(H$1=LoadFactorHours),0),)</f>
        <v>8.4429581442544679E-5</v>
      </c>
      <c r="I5" s="7" cm="1">
        <f t="array" ref="I5">INDEX('Summarized Source Data'!$H$1269:$H$1412,MATCH(1,($A5=LoadFactorSeasons)*(I$1=LoadFactorHours),0),)</f>
        <v>1.0930167937523435E-4</v>
      </c>
      <c r="J5" s="7" cm="1">
        <f t="array" ref="J5">INDEX('Summarized Source Data'!$H$1269:$H$1412,MATCH(1,($A5=LoadFactorSeasons)*(J$1=LoadFactorHours),0),)</f>
        <v>1.1566635675702273E-4</v>
      </c>
      <c r="K5" s="7" cm="1">
        <f t="array" ref="K5">INDEX('Summarized Source Data'!$H$1269:$H$1412,MATCH(1,($A5=LoadFactorSeasons)*(K$1=LoadFactorHours),0),)</f>
        <v>1.2126477373255106E-4</v>
      </c>
      <c r="L5" s="7" cm="1">
        <f t="array" ref="L5">INDEX('Summarized Source Data'!$H$1269:$H$1412,MATCH(1,($A5=LoadFactorSeasons)*(L$1=LoadFactorHours),0),)</f>
        <v>1.2666040107168464E-4</v>
      </c>
      <c r="M5" s="7" cm="1">
        <f t="array" ref="M5">INDEX('Summarized Source Data'!$H$1269:$H$1412,MATCH(1,($A5=LoadFactorSeasons)*(M$1=LoadFactorHours),0),)</f>
        <v>1.3061692506308195E-4</v>
      </c>
      <c r="N5" s="7" cm="1">
        <f t="array" ref="N5">INDEX('Summarized Source Data'!$H$1269:$H$1412,MATCH(1,($A5=LoadFactorSeasons)*(N$1=LoadFactorHours),0),)</f>
        <v>1.24020183723892E-4</v>
      </c>
      <c r="O5" s="7" cm="1">
        <f t="array" ref="O5">INDEX('Summarized Source Data'!$H$1269:$H$1412,MATCH(1,($A5=LoadFactorSeasons)*(O$1=LoadFactorHours),0),)</f>
        <v>1.1957903471535004E-4</v>
      </c>
      <c r="P5" s="7" cm="1">
        <f t="array" ref="P5">INDEX('Summarized Source Data'!$H$1269:$H$1412,MATCH(1,($A5=LoadFactorSeasons)*(P$1=LoadFactorHours),0),)</f>
        <v>1.2425933510839656E-4</v>
      </c>
      <c r="Q5" s="7" cm="1">
        <f t="array" ref="Q5">INDEX('Summarized Source Data'!$H$1269:$H$1412,MATCH(1,($A5=LoadFactorSeasons)*(Q$1=LoadFactorHours),0),)</f>
        <v>1.3759736798568063E-4</v>
      </c>
      <c r="R5" s="7" cm="1">
        <f t="array" ref="R5">INDEX('Summarized Source Data'!$H$1269:$H$1412,MATCH(1,($A5=LoadFactorSeasons)*(R$1=LoadFactorHours),0),)</f>
        <v>1.6221051038453784E-4</v>
      </c>
      <c r="S5" s="7" cm="1">
        <f t="array" ref="S5">INDEX('Summarized Source Data'!$H$1269:$H$1412,MATCH(1,($A5=LoadFactorSeasons)*(S$1=LoadFactorHours),0),)</f>
        <v>1.7559200832165122E-4</v>
      </c>
      <c r="T5" s="7" cm="1">
        <f t="array" ref="T5">INDEX('Summarized Source Data'!$H$1269:$H$1412,MATCH(1,($A5=LoadFactorSeasons)*(T$1=LoadFactorHours),0),)</f>
        <v>1.7066260560014853E-4</v>
      </c>
      <c r="U5" s="7" cm="1">
        <f t="array" ref="U5">INDEX('Summarized Source Data'!$H$1269:$H$1412,MATCH(1,($A5=LoadFactorSeasons)*(U$1=LoadFactorHours),0),)</f>
        <v>1.6113291674301082E-4</v>
      </c>
      <c r="V5" s="7" cm="1">
        <f t="array" ref="V5">INDEX('Summarized Source Data'!$H$1269:$H$1412,MATCH(1,($A5=LoadFactorSeasons)*(V$1=LoadFactorHours),0),)</f>
        <v>1.5677364614669965E-4</v>
      </c>
      <c r="W5" s="7" cm="1">
        <f t="array" ref="W5">INDEX('Summarized Source Data'!$H$1269:$H$1412,MATCH(1,($A5=LoadFactorSeasons)*(W$1=LoadFactorHours),0),)</f>
        <v>1.5307889871195724E-4</v>
      </c>
      <c r="X5" s="7" cm="1">
        <f t="array" ref="X5">INDEX('Summarized Source Data'!$H$1269:$H$1412,MATCH(1,($A5=LoadFactorSeasons)*(X$1=LoadFactorHours),0),)</f>
        <v>1.2106380379488527E-4</v>
      </c>
      <c r="Y5" s="7" cm="1">
        <f t="array" ref="Y5">INDEX('Summarized Source Data'!$H$1269:$H$1412,MATCH(1,($A5=LoadFactorSeasons)*(Y$1=LoadFactorHours),0),)</f>
        <v>9.6770823798357489E-5</v>
      </c>
    </row>
    <row r="6" spans="1:25" x14ac:dyDescent="0.3">
      <c r="A6" s="7" t="s">
        <v>167</v>
      </c>
      <c r="B6" s="7" cm="1">
        <f t="array" ref="B6">INDEX('Summarized Source Data'!$H$1269:$H$1412,MATCH(1,($A6=LoadFactorSeasons)*(B$1=LoadFactorHours),0),)</f>
        <v>9.1996072439160632E-5</v>
      </c>
      <c r="C6" s="7" cm="1">
        <f t="array" ref="C6">INDEX('Summarized Source Data'!$H$1269:$H$1412,MATCH(1,($A6=LoadFactorSeasons)*(C$1=LoadFactorHours),0),)</f>
        <v>6.6780393430425399E-5</v>
      </c>
      <c r="D6" s="7" cm="1">
        <f t="array" ref="D6">INDEX('Summarized Source Data'!$H$1269:$H$1412,MATCH(1,($A6=LoadFactorSeasons)*(D$1=LoadFactorHours),0),)</f>
        <v>5.3674453817067246E-5</v>
      </c>
      <c r="E6" s="7" cm="1">
        <f t="array" ref="E6">INDEX('Summarized Source Data'!$H$1269:$H$1412,MATCH(1,($A6=LoadFactorSeasons)*(E$1=LoadFactorHours),0),)</f>
        <v>4.6624362572042667E-5</v>
      </c>
      <c r="F6" s="7" cm="1">
        <f t="array" ref="F6">INDEX('Summarized Source Data'!$H$1269:$H$1412,MATCH(1,($A6=LoadFactorSeasons)*(F$1=LoadFactorHours),0),)</f>
        <v>4.9732342509251712E-5</v>
      </c>
      <c r="G6" s="7" cm="1">
        <f t="array" ref="G6">INDEX('Summarized Source Data'!$H$1269:$H$1412,MATCH(1,($A6=LoadFactorSeasons)*(G$1=LoadFactorHours),0),)</f>
        <v>6.6505421578636829E-5</v>
      </c>
      <c r="H6" s="7" cm="1">
        <f t="array" ref="H6">INDEX('Summarized Source Data'!$H$1269:$H$1412,MATCH(1,($A6=LoadFactorSeasons)*(H$1=LoadFactorHours),0),)</f>
        <v>1.0343969424119631E-4</v>
      </c>
      <c r="I6" s="7" cm="1">
        <f t="array" ref="I6">INDEX('Summarized Source Data'!$H$1269:$H$1412,MATCH(1,($A6=LoadFactorSeasons)*(I$1=LoadFactorHours),0),)</f>
        <v>1.3131510596767459E-4</v>
      </c>
      <c r="J6" s="7" cm="1">
        <f t="array" ref="J6">INDEX('Summarized Source Data'!$H$1269:$H$1412,MATCH(1,($A6=LoadFactorSeasons)*(J$1=LoadFactorHours),0),)</f>
        <v>1.3465141026064922E-4</v>
      </c>
      <c r="K6" s="7" cm="1">
        <f t="array" ref="K6">INDEX('Summarized Source Data'!$H$1269:$H$1412,MATCH(1,($A6=LoadFactorSeasons)*(K$1=LoadFactorHours),0),)</f>
        <v>1.3523912422550949E-4</v>
      </c>
      <c r="L6" s="7" cm="1">
        <f t="array" ref="L6">INDEX('Summarized Source Data'!$H$1269:$H$1412,MATCH(1,($A6=LoadFactorSeasons)*(L$1=LoadFactorHours),0),)</f>
        <v>1.3419391015508466E-4</v>
      </c>
      <c r="M6" s="7" cm="1">
        <f t="array" ref="M6">INDEX('Summarized Source Data'!$H$1269:$H$1412,MATCH(1,($A6=LoadFactorSeasons)*(M$1=LoadFactorHours),0),)</f>
        <v>1.3497262677180638E-4</v>
      </c>
      <c r="N6" s="7" cm="1">
        <f t="array" ref="N6">INDEX('Summarized Source Data'!$H$1269:$H$1412,MATCH(1,($A6=LoadFactorSeasons)*(N$1=LoadFactorHours),0),)</f>
        <v>1.3077949632910052E-4</v>
      </c>
      <c r="O6" s="7" cm="1">
        <f t="array" ref="O6">INDEX('Summarized Source Data'!$H$1269:$H$1412,MATCH(1,($A6=LoadFactorSeasons)*(O$1=LoadFactorHours),0),)</f>
        <v>1.30404346662674E-4</v>
      </c>
      <c r="P6" s="7" cm="1">
        <f t="array" ref="P6">INDEX('Summarized Source Data'!$H$1269:$H$1412,MATCH(1,($A6=LoadFactorSeasons)*(P$1=LoadFactorHours),0),)</f>
        <v>1.3497518713238279E-4</v>
      </c>
      <c r="Q6" s="7" cm="1">
        <f t="array" ref="Q6">INDEX('Summarized Source Data'!$H$1269:$H$1412,MATCH(1,($A6=LoadFactorSeasons)*(Q$1=LoadFactorHours),0),)</f>
        <v>1.5239451257965115E-4</v>
      </c>
      <c r="R6" s="7" cm="1">
        <f t="array" ref="R6">INDEX('Summarized Source Data'!$H$1269:$H$1412,MATCH(1,($A6=LoadFactorSeasons)*(R$1=LoadFactorHours),0),)</f>
        <v>1.8340990998623889E-4</v>
      </c>
      <c r="S6" s="7" cm="1">
        <f t="array" ref="S6">INDEX('Summarized Source Data'!$H$1269:$H$1412,MATCH(1,($A6=LoadFactorSeasons)*(S$1=LoadFactorHours),0),)</f>
        <v>2.0107532043722883E-4</v>
      </c>
      <c r="T6" s="7" cm="1">
        <f t="array" ref="T6">INDEX('Summarized Source Data'!$H$1269:$H$1412,MATCH(1,($A6=LoadFactorSeasons)*(T$1=LoadFactorHours),0),)</f>
        <v>1.9636921211461543E-4</v>
      </c>
      <c r="U6" s="7" cm="1">
        <f t="array" ref="U6">INDEX('Summarized Source Data'!$H$1269:$H$1412,MATCH(1,($A6=LoadFactorSeasons)*(U$1=LoadFactorHours),0),)</f>
        <v>1.8660691558837445E-4</v>
      </c>
      <c r="V6" s="7" cm="1">
        <f t="array" ref="V6">INDEX('Summarized Source Data'!$H$1269:$H$1412,MATCH(1,($A6=LoadFactorSeasons)*(V$1=LoadFactorHours),0),)</f>
        <v>1.8301725051799391E-4</v>
      </c>
      <c r="W6" s="7" cm="1">
        <f t="array" ref="W6">INDEX('Summarized Source Data'!$H$1269:$H$1412,MATCH(1,($A6=LoadFactorSeasons)*(W$1=LoadFactorHours),0),)</f>
        <v>1.8031242357316831E-4</v>
      </c>
      <c r="X6" s="7" cm="1">
        <f t="array" ref="X6">INDEX('Summarized Source Data'!$H$1269:$H$1412,MATCH(1,($A6=LoadFactorSeasons)*(X$1=LoadFactorHours),0),)</f>
        <v>1.4191070100591757E-4</v>
      </c>
      <c r="Y6" s="7" cm="1">
        <f t="array" ref="Y6">INDEX('Summarized Source Data'!$H$1269:$H$1412,MATCH(1,($A6=LoadFactorSeasons)*(Y$1=LoadFactorHours),0),)</f>
        <v>1.1386787852146055E-4</v>
      </c>
    </row>
    <row r="7" spans="1:25" x14ac:dyDescent="0.3">
      <c r="A7" s="7" t="s">
        <v>166</v>
      </c>
      <c r="B7" s="7" cm="1">
        <f t="array" ref="B7">INDEX('Summarized Source Data'!$H$1269:$H$1412,MATCH(1,($A7=LoadFactorSeasons)*(B$1=LoadFactorHours),0),)</f>
        <v>9.2284138953607626E-5</v>
      </c>
      <c r="C7" s="7" cm="1">
        <f t="array" ref="C7">INDEX('Summarized Source Data'!$H$1269:$H$1412,MATCH(1,($A7=LoadFactorSeasons)*(C$1=LoadFactorHours),0),)</f>
        <v>6.7081629984941618E-5</v>
      </c>
      <c r="D7" s="7" cm="1">
        <f t="array" ref="D7">INDEX('Summarized Source Data'!$H$1269:$H$1412,MATCH(1,($A7=LoadFactorSeasons)*(D$1=LoadFactorHours),0),)</f>
        <v>5.3983195984585943E-5</v>
      </c>
      <c r="E7" s="7" cm="1">
        <f t="array" ref="E7">INDEX('Summarized Source Data'!$H$1269:$H$1412,MATCH(1,($A7=LoadFactorSeasons)*(E$1=LoadFactorHours),0),)</f>
        <v>4.6816154833174521E-5</v>
      </c>
      <c r="F7" s="7" cm="1">
        <f t="array" ref="F7">INDEX('Summarized Source Data'!$H$1269:$H$1412,MATCH(1,($A7=LoadFactorSeasons)*(F$1=LoadFactorHours),0),)</f>
        <v>4.9658676536393162E-5</v>
      </c>
      <c r="G7" s="7" cm="1">
        <f t="array" ref="G7">INDEX('Summarized Source Data'!$H$1269:$H$1412,MATCH(1,($A7=LoadFactorSeasons)*(G$1=LoadFactorHours),0),)</f>
        <v>6.8936832412004796E-5</v>
      </c>
      <c r="H7" s="7" cm="1">
        <f t="array" ref="H7">INDEX('Summarized Source Data'!$H$1269:$H$1412,MATCH(1,($A7=LoadFactorSeasons)*(H$1=LoadFactorHours),0),)</f>
        <v>1.1045893264699699E-4</v>
      </c>
      <c r="I7" s="7" cm="1">
        <f t="array" ref="I7">INDEX('Summarized Source Data'!$H$1269:$H$1412,MATCH(1,($A7=LoadFactorSeasons)*(I$1=LoadFactorHours),0),)</f>
        <v>1.4110722476329355E-4</v>
      </c>
      <c r="J7" s="7" cm="1">
        <f t="array" ref="J7">INDEX('Summarized Source Data'!$H$1269:$H$1412,MATCH(1,($A7=LoadFactorSeasons)*(J$1=LoadFactorHours),0),)</f>
        <v>1.4049113799959398E-4</v>
      </c>
      <c r="K7" s="7" cm="1">
        <f t="array" ref="K7">INDEX('Summarized Source Data'!$H$1269:$H$1412,MATCH(1,($A7=LoadFactorSeasons)*(K$1=LoadFactorHours),0),)</f>
        <v>1.399978632805894E-4</v>
      </c>
      <c r="L7" s="7" cm="1">
        <f t="array" ref="L7">INDEX('Summarized Source Data'!$H$1269:$H$1412,MATCH(1,($A7=LoadFactorSeasons)*(L$1=LoadFactorHours),0),)</f>
        <v>1.3814439700536493E-4</v>
      </c>
      <c r="M7" s="7" cm="1">
        <f t="array" ref="M7">INDEX('Summarized Source Data'!$H$1269:$H$1412,MATCH(1,($A7=LoadFactorSeasons)*(M$1=LoadFactorHours),0),)</f>
        <v>1.3826721646423149E-4</v>
      </c>
      <c r="N7" s="7" cm="1">
        <f t="array" ref="N7">INDEX('Summarized Source Data'!$H$1269:$H$1412,MATCH(1,($A7=LoadFactorSeasons)*(N$1=LoadFactorHours),0),)</f>
        <v>1.3282955183445183E-4</v>
      </c>
      <c r="O7" s="7" cm="1">
        <f t="array" ref="O7">INDEX('Summarized Source Data'!$H$1269:$H$1412,MATCH(1,($A7=LoadFactorSeasons)*(O$1=LoadFactorHours),0),)</f>
        <v>1.3171718390518278E-4</v>
      </c>
      <c r="P7" s="7" cm="1">
        <f t="array" ref="P7">INDEX('Summarized Source Data'!$H$1269:$H$1412,MATCH(1,($A7=LoadFactorSeasons)*(P$1=LoadFactorHours),0),)</f>
        <v>1.3616533589972247E-4</v>
      </c>
      <c r="Q7" s="7" cm="1">
        <f t="array" ref="Q7">INDEX('Summarized Source Data'!$H$1269:$H$1412,MATCH(1,($A7=LoadFactorSeasons)*(Q$1=LoadFactorHours),0),)</f>
        <v>1.5259931918324958E-4</v>
      </c>
      <c r="R7" s="7" cm="1">
        <f t="array" ref="R7">INDEX('Summarized Source Data'!$H$1269:$H$1412,MATCH(1,($A7=LoadFactorSeasons)*(R$1=LoadFactorHours),0),)</f>
        <v>1.8522084239495719E-4</v>
      </c>
      <c r="S7" s="7" cm="1">
        <f t="array" ref="S7">INDEX('Summarized Source Data'!$H$1269:$H$1412,MATCH(1,($A7=LoadFactorSeasons)*(S$1=LoadFactorHours),0),)</f>
        <v>2.0462030894552428E-4</v>
      </c>
      <c r="T7" s="7" cm="1">
        <f t="array" ref="T7">INDEX('Summarized Source Data'!$H$1269:$H$1412,MATCH(1,($A7=LoadFactorSeasons)*(T$1=LoadFactorHours),0),)</f>
        <v>1.9992347451582885E-4</v>
      </c>
      <c r="U7" s="7" cm="1">
        <f t="array" ref="U7">INDEX('Summarized Source Data'!$H$1269:$H$1412,MATCH(1,($A7=LoadFactorSeasons)*(U$1=LoadFactorHours),0),)</f>
        <v>1.9114881854651061E-4</v>
      </c>
      <c r="V7" s="7" cm="1">
        <f t="array" ref="V7">INDEX('Summarized Source Data'!$H$1269:$H$1412,MATCH(1,($A7=LoadFactorSeasons)*(V$1=LoadFactorHours),0),)</f>
        <v>1.8731707212504733E-4</v>
      </c>
      <c r="W7" s="7" cm="1">
        <f t="array" ref="W7">INDEX('Summarized Source Data'!$H$1269:$H$1412,MATCH(1,($A7=LoadFactorSeasons)*(W$1=LoadFactorHours),0),)</f>
        <v>1.8472120384536934E-4</v>
      </c>
      <c r="X7" s="7" cm="1">
        <f t="array" ref="X7">INDEX('Summarized Source Data'!$H$1269:$H$1412,MATCH(1,($A7=LoadFactorSeasons)*(X$1=LoadFactorHours),0),)</f>
        <v>1.4567258616022445E-4</v>
      </c>
      <c r="Y7" s="7" cm="1">
        <f t="array" ref="Y7">INDEX('Summarized Source Data'!$H$1269:$H$1412,MATCH(1,($A7=LoadFactorSeasons)*(Y$1=LoadFactorHours),0),)</f>
        <v>1.1526835127172962E-4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58CA-F1E1-4160-AA64-2AF735802A3B}">
  <sheetPr codeName="Sheet14">
    <tabColor rgb="FF002060"/>
  </sheetPr>
  <dimension ref="A1:Y19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 cm="1">
        <f t="array" ref="B2">INDEX('Summarized Source Data'!$I$1269:$I$1412,MATCH(1,($A2=LoadFactorSeasons)*(B$1=LoadFactorHours),0),)</f>
        <v>7.8969953003841107E-5</v>
      </c>
      <c r="C2" s="7" cm="1">
        <f t="array" ref="C2">INDEX('Summarized Source Data'!$I$1269:$I$1412,MATCH(1,($A2=LoadFactorSeasons)*(C$1=LoadFactorHours),0),)</f>
        <v>5.8021808072194647E-5</v>
      </c>
      <c r="D2" s="7" cm="1">
        <f t="array" ref="D2">INDEX('Summarized Source Data'!$I$1269:$I$1412,MATCH(1,($A2=LoadFactorSeasons)*(D$1=LoadFactorHours),0),)</f>
        <v>4.6414662637285029E-5</v>
      </c>
      <c r="E2" s="7" cm="1">
        <f t="array" ref="E2">INDEX('Summarized Source Data'!$I$1269:$I$1412,MATCH(1,($A2=LoadFactorSeasons)*(E$1=LoadFactorHours),0),)</f>
        <v>3.9934157632648505E-5</v>
      </c>
      <c r="F2" s="7" cm="1">
        <f t="array" ref="F2">INDEX('Summarized Source Data'!$I$1269:$I$1412,MATCH(1,($A2=LoadFactorSeasons)*(F$1=LoadFactorHours),0),)</f>
        <v>4.2026970422621953E-5</v>
      </c>
      <c r="G2" s="7" cm="1">
        <f t="array" ref="G2">INDEX('Summarized Source Data'!$I$1269:$I$1412,MATCH(1,($A2=LoadFactorSeasons)*(G$1=LoadFactorHours),0),)</f>
        <v>5.6654913485571863E-5</v>
      </c>
      <c r="H2" s="7" cm="1">
        <f t="array" ref="H2">INDEX('Summarized Source Data'!$I$1269:$I$1412,MATCH(1,($A2=LoadFactorSeasons)*(H$1=LoadFactorHours),0),)</f>
        <v>8.9565956380524512E-5</v>
      </c>
      <c r="I2" s="7" cm="1">
        <f t="array" ref="I2">INDEX('Summarized Source Data'!$I$1269:$I$1412,MATCH(1,($A2=LoadFactorSeasons)*(I$1=LoadFactorHours),0),)</f>
        <v>1.1568272423584146E-4</v>
      </c>
      <c r="J2" s="7" cm="1">
        <f t="array" ref="J2">INDEX('Summarized Source Data'!$I$1269:$I$1412,MATCH(1,($A2=LoadFactorSeasons)*(J$1=LoadFactorHours),0),)</f>
        <v>1.20439822074313E-4</v>
      </c>
      <c r="K2" s="7" cm="1">
        <f t="array" ref="K2">INDEX('Summarized Source Data'!$I$1269:$I$1412,MATCH(1,($A2=LoadFactorSeasons)*(K$1=LoadFactorHours),0),)</f>
        <v>1.259086880976435E-4</v>
      </c>
      <c r="L2" s="7" cm="1">
        <f t="array" ref="L2">INDEX('Summarized Source Data'!$I$1269:$I$1412,MATCH(1,($A2=LoadFactorSeasons)*(L$1=LoadFactorHours),0),)</f>
        <v>1.3073575782153422E-4</v>
      </c>
      <c r="M2" s="7" cm="1">
        <f t="array" ref="M2">INDEX('Summarized Source Data'!$I$1269:$I$1412,MATCH(1,($A2=LoadFactorSeasons)*(M$1=LoadFactorHours),0),)</f>
        <v>1.3403993969549679E-4</v>
      </c>
      <c r="N2" s="7" cm="1">
        <f t="array" ref="N2">INDEX('Summarized Source Data'!$I$1269:$I$1412,MATCH(1,($A2=LoadFactorSeasons)*(N$1=LoadFactorHours),0),)</f>
        <v>1.2729397509466295E-4</v>
      </c>
      <c r="O2" s="7" cm="1">
        <f t="array" ref="O2">INDEX('Summarized Source Data'!$I$1269:$I$1412,MATCH(1,($A2=LoadFactorSeasons)*(O$1=LoadFactorHours),0),)</f>
        <v>1.2236545550936879E-4</v>
      </c>
      <c r="P2" s="7" cm="1">
        <f t="array" ref="P2">INDEX('Summarized Source Data'!$I$1269:$I$1412,MATCH(1,($A2=LoadFactorSeasons)*(P$1=LoadFactorHours),0),)</f>
        <v>1.2681907295608827E-4</v>
      </c>
      <c r="Q2" s="7" cm="1">
        <f t="array" ref="Q2">INDEX('Summarized Source Data'!$I$1269:$I$1412,MATCH(1,($A2=LoadFactorSeasons)*(Q$1=LoadFactorHours),0),)</f>
        <v>1.3976974377661859E-4</v>
      </c>
      <c r="R2" s="7" cm="1">
        <f t="array" ref="R2">INDEX('Summarized Source Data'!$I$1269:$I$1412,MATCH(1,($A2=LoadFactorSeasons)*(R$1=LoadFactorHours),0),)</f>
        <v>1.6531039585275891E-4</v>
      </c>
      <c r="S2" s="7" cm="1">
        <f t="array" ref="S2">INDEX('Summarized Source Data'!$I$1269:$I$1412,MATCH(1,($A2=LoadFactorSeasons)*(S$1=LoadFactorHours),0),)</f>
        <v>1.7928841206362895E-4</v>
      </c>
      <c r="T2" s="7" cm="1">
        <f t="array" ref="T2">INDEX('Summarized Source Data'!$I$1269:$I$1412,MATCH(1,($A2=LoadFactorSeasons)*(T$1=LoadFactorHours),0),)</f>
        <v>1.7488569037586089E-4</v>
      </c>
      <c r="U2" s="7" cm="1">
        <f t="array" ref="U2">INDEX('Summarized Source Data'!$I$1269:$I$1412,MATCH(1,($A2=LoadFactorSeasons)*(U$1=LoadFactorHours),0),)</f>
        <v>1.6608780399618415E-4</v>
      </c>
      <c r="V2" s="7" cm="1">
        <f t="array" ref="V2">INDEX('Summarized Source Data'!$I$1269:$I$1412,MATCH(1,($A2=LoadFactorSeasons)*(V$1=LoadFactorHours),0),)</f>
        <v>1.60955542692689E-4</v>
      </c>
      <c r="W2" s="7" cm="1">
        <f t="array" ref="W2">INDEX('Summarized Source Data'!$I$1269:$I$1412,MATCH(1,($A2=LoadFactorSeasons)*(W$1=LoadFactorHours),0),)</f>
        <v>1.571853962212334E-4</v>
      </c>
      <c r="X2" s="7" cm="1">
        <f t="array" ref="X2">INDEX('Summarized Source Data'!$I$1269:$I$1412,MATCH(1,($A2=LoadFactorSeasons)*(X$1=LoadFactorHours),0),)</f>
        <v>1.2506111112398291E-4</v>
      </c>
      <c r="Y2" s="7" cm="1">
        <f t="array" ref="Y2">INDEX('Summarized Source Data'!$I$1269:$I$1412,MATCH(1,($A2=LoadFactorSeasons)*(Y$1=LoadFactorHours),0),)</f>
        <v>9.9339865598628912E-5</v>
      </c>
    </row>
    <row r="3" spans="1:25" x14ac:dyDescent="0.3">
      <c r="A3" s="7" t="s">
        <v>162</v>
      </c>
      <c r="B3" s="7" cm="1">
        <f t="array" ref="B3">INDEX('Summarized Source Data'!$I$1269:$I$1412,MATCH(1,($A3=LoadFactorSeasons)*(B$1=LoadFactorHours),0),)</f>
        <v>7.7729454304356952E-5</v>
      </c>
      <c r="C3" s="7" cm="1">
        <f t="array" ref="C3">INDEX('Summarized Source Data'!$I$1269:$I$1412,MATCH(1,($A3=LoadFactorSeasons)*(C$1=LoadFactorHours),0),)</f>
        <v>5.7027483817167788E-5</v>
      </c>
      <c r="D3" s="7" cm="1">
        <f t="array" ref="D3">INDEX('Summarized Source Data'!$I$1269:$I$1412,MATCH(1,($A3=LoadFactorSeasons)*(D$1=LoadFactorHours),0),)</f>
        <v>4.5479921967019598E-5</v>
      </c>
      <c r="E3" s="7" cm="1">
        <f t="array" ref="E3">INDEX('Summarized Source Data'!$I$1269:$I$1412,MATCH(1,($A3=LoadFactorSeasons)*(E$1=LoadFactorHours),0),)</f>
        <v>3.8983758963310082E-5</v>
      </c>
      <c r="F3" s="7" cm="1">
        <f t="array" ref="F3">INDEX('Summarized Source Data'!$I$1269:$I$1412,MATCH(1,($A3=LoadFactorSeasons)*(F$1=LoadFactorHours),0),)</f>
        <v>4.0953538915365552E-5</v>
      </c>
      <c r="G3" s="7" cm="1">
        <f t="array" ref="G3">INDEX('Summarized Source Data'!$I$1269:$I$1412,MATCH(1,($A3=LoadFactorSeasons)*(G$1=LoadFactorHours),0),)</f>
        <v>5.4927525163649212E-5</v>
      </c>
      <c r="H3" s="7" cm="1">
        <f t="array" ref="H3">INDEX('Summarized Source Data'!$I$1269:$I$1412,MATCH(1,($A3=LoadFactorSeasons)*(H$1=LoadFactorHours),0),)</f>
        <v>8.6174651826724979E-5</v>
      </c>
      <c r="I3" s="7" cm="1">
        <f t="array" ref="I3">INDEX('Summarized Source Data'!$I$1269:$I$1412,MATCH(1,($A3=LoadFactorSeasons)*(I$1=LoadFactorHours),0),)</f>
        <v>1.1132681932654382E-4</v>
      </c>
      <c r="J3" s="7" cm="1">
        <f t="array" ref="J3">INDEX('Summarized Source Data'!$I$1269:$I$1412,MATCH(1,($A3=LoadFactorSeasons)*(J$1=LoadFactorHours),0),)</f>
        <v>1.1755342766670311E-4</v>
      </c>
      <c r="K3" s="7" cm="1">
        <f t="array" ref="K3">INDEX('Summarized Source Data'!$I$1269:$I$1412,MATCH(1,($A3=LoadFactorSeasons)*(K$1=LoadFactorHours),0),)</f>
        <v>1.2290693837162711E-4</v>
      </c>
      <c r="L3" s="7" cm="1">
        <f t="array" ref="L3">INDEX('Summarized Source Data'!$I$1269:$I$1412,MATCH(1,($A3=LoadFactorSeasons)*(L$1=LoadFactorHours),0),)</f>
        <v>1.2810029884945679E-4</v>
      </c>
      <c r="M3" s="7" cm="1">
        <f t="array" ref="M3">INDEX('Summarized Source Data'!$I$1269:$I$1412,MATCH(1,($A3=LoadFactorSeasons)*(M$1=LoadFactorHours),0),)</f>
        <v>1.3135926910221715E-4</v>
      </c>
      <c r="N3" s="7" cm="1">
        <f t="array" ref="N3">INDEX('Summarized Source Data'!$I$1269:$I$1412,MATCH(1,($A3=LoadFactorSeasons)*(N$1=LoadFactorHours),0),)</f>
        <v>1.2488198697521071E-4</v>
      </c>
      <c r="O3" s="7" cm="1">
        <f t="array" ref="O3">INDEX('Summarized Source Data'!$I$1269:$I$1412,MATCH(1,($A3=LoadFactorSeasons)*(O$1=LoadFactorHours),0),)</f>
        <v>1.2017918992829727E-4</v>
      </c>
      <c r="P3" s="7" cm="1">
        <f t="array" ref="P3">INDEX('Summarized Source Data'!$I$1269:$I$1412,MATCH(1,($A3=LoadFactorSeasons)*(P$1=LoadFactorHours),0),)</f>
        <v>1.24636689030699E-4</v>
      </c>
      <c r="Q3" s="7" cm="1">
        <f t="array" ref="Q3">INDEX('Summarized Source Data'!$I$1269:$I$1412,MATCH(1,($A3=LoadFactorSeasons)*(Q$1=LoadFactorHours),0),)</f>
        <v>1.3808542972354991E-4</v>
      </c>
      <c r="R3" s="7" cm="1">
        <f t="array" ref="R3">INDEX('Summarized Source Data'!$I$1269:$I$1412,MATCH(1,($A3=LoadFactorSeasons)*(R$1=LoadFactorHours),0),)</f>
        <v>1.6244853092587937E-4</v>
      </c>
      <c r="S3" s="7" cm="1">
        <f t="array" ref="S3">INDEX('Summarized Source Data'!$I$1269:$I$1412,MATCH(1,($A3=LoadFactorSeasons)*(S$1=LoadFactorHours),0),)</f>
        <v>1.7619241984130493E-4</v>
      </c>
      <c r="T3" s="7" cm="1">
        <f t="array" ref="T3">INDEX('Summarized Source Data'!$I$1269:$I$1412,MATCH(1,($A3=LoadFactorSeasons)*(T$1=LoadFactorHours),0),)</f>
        <v>1.7156666895214859E-4</v>
      </c>
      <c r="U3" s="7" cm="1">
        <f t="array" ref="U3">INDEX('Summarized Source Data'!$I$1269:$I$1412,MATCH(1,($A3=LoadFactorSeasons)*(U$1=LoadFactorHours),0),)</f>
        <v>1.6262544015671425E-4</v>
      </c>
      <c r="V3" s="7" cm="1">
        <f t="array" ref="V3">INDEX('Summarized Source Data'!$I$1269:$I$1412,MATCH(1,($A3=LoadFactorSeasons)*(V$1=LoadFactorHours),0),)</f>
        <v>1.5756914003440178E-4</v>
      </c>
      <c r="W3" s="7" cm="1">
        <f t="array" ref="W3">INDEX('Summarized Source Data'!$I$1269:$I$1412,MATCH(1,($A3=LoadFactorSeasons)*(W$1=LoadFactorHours),0),)</f>
        <v>1.5406062409822039E-4</v>
      </c>
      <c r="X3" s="7" cm="1">
        <f t="array" ref="X3">INDEX('Summarized Source Data'!$I$1269:$I$1412,MATCH(1,($A3=LoadFactorSeasons)*(X$1=LoadFactorHours),0),)</f>
        <v>1.223417907253917E-4</v>
      </c>
      <c r="Y3" s="7" cm="1">
        <f t="array" ref="Y3">INDEX('Summarized Source Data'!$I$1269:$I$1412,MATCH(1,($A3=LoadFactorSeasons)*(Y$1=LoadFactorHours),0),)</f>
        <v>9.7491850295372055E-5</v>
      </c>
    </row>
    <row r="4" spans="1:25" x14ac:dyDescent="0.3">
      <c r="A4" s="7" t="s">
        <v>163</v>
      </c>
      <c r="B4" s="7" cm="1">
        <f t="array" ref="B4">INDEX('Summarized Source Data'!$I$1269:$I$1412,MATCH(1,($A4=LoadFactorSeasons)*(B$1=LoadFactorHours),0),)</f>
        <v>7.8275761270442021E-5</v>
      </c>
      <c r="C4" s="7" cm="1">
        <f t="array" ref="C4">INDEX('Summarized Source Data'!$I$1269:$I$1412,MATCH(1,($A4=LoadFactorSeasons)*(C$1=LoadFactorHours),0),)</f>
        <v>5.7426105582194235E-5</v>
      </c>
      <c r="D4" s="7" cm="1">
        <f t="array" ref="D4">INDEX('Summarized Source Data'!$I$1269:$I$1412,MATCH(1,($A4=LoadFactorSeasons)*(D$1=LoadFactorHours),0),)</f>
        <v>4.5826826230182956E-5</v>
      </c>
      <c r="E4" s="7" cm="1">
        <f t="array" ref="E4">INDEX('Summarized Source Data'!$I$1269:$I$1412,MATCH(1,($A4=LoadFactorSeasons)*(E$1=LoadFactorHours),0),)</f>
        <v>3.9501195331488316E-5</v>
      </c>
      <c r="F4" s="7" cm="1">
        <f t="array" ref="F4">INDEX('Summarized Source Data'!$I$1269:$I$1412,MATCH(1,($A4=LoadFactorSeasons)*(F$1=LoadFactorHours),0),)</f>
        <v>4.1458301052765733E-5</v>
      </c>
      <c r="G4" s="7" cm="1">
        <f t="array" ref="G4">INDEX('Summarized Source Data'!$I$1269:$I$1412,MATCH(1,($A4=LoadFactorSeasons)*(G$1=LoadFactorHours),0),)</f>
        <v>5.4757272145397388E-5</v>
      </c>
      <c r="H4" s="7" cm="1">
        <f t="array" ref="H4">INDEX('Summarized Source Data'!$I$1269:$I$1412,MATCH(1,($A4=LoadFactorSeasons)*(H$1=LoadFactorHours),0),)</f>
        <v>8.4726191359554099E-5</v>
      </c>
      <c r="I4" s="7" cm="1">
        <f t="array" ref="I4">INDEX('Summarized Source Data'!$I$1269:$I$1412,MATCH(1,($A4=LoadFactorSeasons)*(I$1=LoadFactorHours),0),)</f>
        <v>1.0929176080792029E-4</v>
      </c>
      <c r="J4" s="7" cm="1">
        <f t="array" ref="J4">INDEX('Summarized Source Data'!$I$1269:$I$1412,MATCH(1,($A4=LoadFactorSeasons)*(J$1=LoadFactorHours),0),)</f>
        <v>1.1604970005942381E-4</v>
      </c>
      <c r="K4" s="7" cm="1">
        <f t="array" ref="K4">INDEX('Summarized Source Data'!$I$1269:$I$1412,MATCH(1,($A4=LoadFactorSeasons)*(K$1=LoadFactorHours),0),)</f>
        <v>1.2156947486428364E-4</v>
      </c>
      <c r="L4" s="7" cm="1">
        <f t="array" ref="L4">INDEX('Summarized Source Data'!$I$1269:$I$1412,MATCH(1,($A4=LoadFactorSeasons)*(L$1=LoadFactorHours),0),)</f>
        <v>1.2706212177379528E-4</v>
      </c>
      <c r="M4" s="7" cm="1">
        <f t="array" ref="M4">INDEX('Summarized Source Data'!$I$1269:$I$1412,MATCH(1,($A4=LoadFactorSeasons)*(M$1=LoadFactorHours),0),)</f>
        <v>1.3116961994536459E-4</v>
      </c>
      <c r="N4" s="7" cm="1">
        <f t="array" ref="N4">INDEX('Summarized Source Data'!$I$1269:$I$1412,MATCH(1,($A4=LoadFactorSeasons)*(N$1=LoadFactorHours),0),)</f>
        <v>1.2502520927288246E-4</v>
      </c>
      <c r="O4" s="7" cm="1">
        <f t="array" ref="O4">INDEX('Summarized Source Data'!$I$1269:$I$1412,MATCH(1,($A4=LoadFactorSeasons)*(O$1=LoadFactorHours),0),)</f>
        <v>1.2078512094630866E-4</v>
      </c>
      <c r="P4" s="7" cm="1">
        <f t="array" ref="P4">INDEX('Summarized Source Data'!$I$1269:$I$1412,MATCH(1,($A4=LoadFactorSeasons)*(P$1=LoadFactorHours),0),)</f>
        <v>1.2559530924992872E-4</v>
      </c>
      <c r="Q4" s="7" cm="1">
        <f t="array" ref="Q4">INDEX('Summarized Source Data'!$I$1269:$I$1412,MATCH(1,($A4=LoadFactorSeasons)*(Q$1=LoadFactorHours),0),)</f>
        <v>1.3921122787005999E-4</v>
      </c>
      <c r="R4" s="7" cm="1">
        <f t="array" ref="R4">INDEX('Summarized Source Data'!$I$1269:$I$1412,MATCH(1,($A4=LoadFactorSeasons)*(R$1=LoadFactorHours),0),)</f>
        <v>1.6366522654124739E-4</v>
      </c>
      <c r="S4" s="7" cm="1">
        <f t="array" ref="S4">INDEX('Summarized Source Data'!$I$1269:$I$1412,MATCH(1,($A4=LoadFactorSeasons)*(S$1=LoadFactorHours),0),)</f>
        <v>1.7624885894050861E-4</v>
      </c>
      <c r="T4" s="7" cm="1">
        <f t="array" ref="T4">INDEX('Summarized Source Data'!$I$1269:$I$1412,MATCH(1,($A4=LoadFactorSeasons)*(T$1=LoadFactorHours),0),)</f>
        <v>1.7152975569541579E-4</v>
      </c>
      <c r="U4" s="7" cm="1">
        <f t="array" ref="U4">INDEX('Summarized Source Data'!$I$1269:$I$1412,MATCH(1,($A4=LoadFactorSeasons)*(U$1=LoadFactorHours),0),)</f>
        <v>1.6263620397575913E-4</v>
      </c>
      <c r="V4" s="7" cm="1">
        <f t="array" ref="V4">INDEX('Summarized Source Data'!$I$1269:$I$1412,MATCH(1,($A4=LoadFactorSeasons)*(V$1=LoadFactorHours),0),)</f>
        <v>1.57623182851869E-4</v>
      </c>
      <c r="W4" s="7" cm="1">
        <f t="array" ref="W4">INDEX('Summarized Source Data'!$I$1269:$I$1412,MATCH(1,($A4=LoadFactorSeasons)*(W$1=LoadFactorHours),0),)</f>
        <v>1.5384372710874712E-4</v>
      </c>
      <c r="X4" s="7" cm="1">
        <f t="array" ref="X4">INDEX('Summarized Source Data'!$I$1269:$I$1412,MATCH(1,($A4=LoadFactorSeasons)*(X$1=LoadFactorHours),0),)</f>
        <v>1.2233455654705181E-4</v>
      </c>
      <c r="Y4" s="7" cm="1">
        <f t="array" ref="Y4">INDEX('Summarized Source Data'!$I$1269:$I$1412,MATCH(1,($A4=LoadFactorSeasons)*(Y$1=LoadFactorHours),0),)</f>
        <v>9.7671366273325086E-5</v>
      </c>
    </row>
    <row r="5" spans="1:25" x14ac:dyDescent="0.3">
      <c r="A5" s="7" t="s">
        <v>164</v>
      </c>
      <c r="B5" s="7" cm="1">
        <f t="array" ref="B5">INDEX('Summarized Source Data'!$I$1269:$I$1412,MATCH(1,($A5=LoadFactorSeasons)*(B$1=LoadFactorHours),0),)</f>
        <v>7.7184878085595254E-5</v>
      </c>
      <c r="C5" s="7" cm="1">
        <f t="array" ref="C5">INDEX('Summarized Source Data'!$I$1269:$I$1412,MATCH(1,($A5=LoadFactorSeasons)*(C$1=LoadFactorHours),0),)</f>
        <v>5.6581605571403379E-5</v>
      </c>
      <c r="D5" s="7" cm="1">
        <f t="array" ref="D5">INDEX('Summarized Source Data'!$I$1269:$I$1412,MATCH(1,($A5=LoadFactorSeasons)*(D$1=LoadFactorHours),0),)</f>
        <v>4.5043514525345604E-5</v>
      </c>
      <c r="E5" s="7" cm="1">
        <f t="array" ref="E5">INDEX('Summarized Source Data'!$I$1269:$I$1412,MATCH(1,($A5=LoadFactorSeasons)*(E$1=LoadFactorHours),0),)</f>
        <v>3.8599984294994036E-5</v>
      </c>
      <c r="F5" s="7" cm="1">
        <f t="array" ref="F5">INDEX('Summarized Source Data'!$I$1269:$I$1412,MATCH(1,($A5=LoadFactorSeasons)*(F$1=LoadFactorHours),0),)</f>
        <v>4.0499206571437134E-5</v>
      </c>
      <c r="G5" s="7" cm="1">
        <f t="array" ref="G5">INDEX('Summarized Source Data'!$I$1269:$I$1412,MATCH(1,($A5=LoadFactorSeasons)*(G$1=LoadFactorHours),0),)</f>
        <v>5.4089707212025293E-5</v>
      </c>
      <c r="H5" s="7" cm="1">
        <f t="array" ref="H5">INDEX('Summarized Source Data'!$I$1269:$I$1412,MATCH(1,($A5=LoadFactorSeasons)*(H$1=LoadFactorHours),0),)</f>
        <v>8.4429581442544679E-5</v>
      </c>
      <c r="I5" s="7" cm="1">
        <f t="array" ref="I5">INDEX('Summarized Source Data'!$I$1269:$I$1412,MATCH(1,($A5=LoadFactorSeasons)*(I$1=LoadFactorHours),0),)</f>
        <v>1.0930167937523435E-4</v>
      </c>
      <c r="J5" s="7" cm="1">
        <f t="array" ref="J5">INDEX('Summarized Source Data'!$I$1269:$I$1412,MATCH(1,($A5=LoadFactorSeasons)*(J$1=LoadFactorHours),0),)</f>
        <v>1.1566635675702273E-4</v>
      </c>
      <c r="K5" s="7" cm="1">
        <f t="array" ref="K5">INDEX('Summarized Source Data'!$I$1269:$I$1412,MATCH(1,($A5=LoadFactorSeasons)*(K$1=LoadFactorHours),0),)</f>
        <v>1.2126477373255106E-4</v>
      </c>
      <c r="L5" s="7" cm="1">
        <f t="array" ref="L5">INDEX('Summarized Source Data'!$I$1269:$I$1412,MATCH(1,($A5=LoadFactorSeasons)*(L$1=LoadFactorHours),0),)</f>
        <v>1.2666040107168464E-4</v>
      </c>
      <c r="M5" s="7" cm="1">
        <f t="array" ref="M5">INDEX('Summarized Source Data'!$I$1269:$I$1412,MATCH(1,($A5=LoadFactorSeasons)*(M$1=LoadFactorHours),0),)</f>
        <v>1.3061692506308195E-4</v>
      </c>
      <c r="N5" s="7" cm="1">
        <f t="array" ref="N5">INDEX('Summarized Source Data'!$I$1269:$I$1412,MATCH(1,($A5=LoadFactorSeasons)*(N$1=LoadFactorHours),0),)</f>
        <v>1.24020183723892E-4</v>
      </c>
      <c r="O5" s="7" cm="1">
        <f t="array" ref="O5">INDEX('Summarized Source Data'!$I$1269:$I$1412,MATCH(1,($A5=LoadFactorSeasons)*(O$1=LoadFactorHours),0),)</f>
        <v>1.1957903471535004E-4</v>
      </c>
      <c r="P5" s="7" cm="1">
        <f t="array" ref="P5">INDEX('Summarized Source Data'!$I$1269:$I$1412,MATCH(1,($A5=LoadFactorSeasons)*(P$1=LoadFactorHours),0),)</f>
        <v>1.2425933510839656E-4</v>
      </c>
      <c r="Q5" s="7" cm="1">
        <f t="array" ref="Q5">INDEX('Summarized Source Data'!$I$1269:$I$1412,MATCH(1,($A5=LoadFactorSeasons)*(Q$1=LoadFactorHours),0),)</f>
        <v>1.3759736798568063E-4</v>
      </c>
      <c r="R5" s="7" cm="1">
        <f t="array" ref="R5">INDEX('Summarized Source Data'!$I$1269:$I$1412,MATCH(1,($A5=LoadFactorSeasons)*(R$1=LoadFactorHours),0),)</f>
        <v>1.6221051038453784E-4</v>
      </c>
      <c r="S5" s="7" cm="1">
        <f t="array" ref="S5">INDEX('Summarized Source Data'!$I$1269:$I$1412,MATCH(1,($A5=LoadFactorSeasons)*(S$1=LoadFactorHours),0),)</f>
        <v>1.7559200832165122E-4</v>
      </c>
      <c r="T5" s="7" cm="1">
        <f t="array" ref="T5">INDEX('Summarized Source Data'!$I$1269:$I$1412,MATCH(1,($A5=LoadFactorSeasons)*(T$1=LoadFactorHours),0),)</f>
        <v>1.7066260560014853E-4</v>
      </c>
      <c r="U5" s="7" cm="1">
        <f t="array" ref="U5">INDEX('Summarized Source Data'!$I$1269:$I$1412,MATCH(1,($A5=LoadFactorSeasons)*(U$1=LoadFactorHours),0),)</f>
        <v>1.6113291674301082E-4</v>
      </c>
      <c r="V5" s="7" cm="1">
        <f t="array" ref="V5">INDEX('Summarized Source Data'!$I$1269:$I$1412,MATCH(1,($A5=LoadFactorSeasons)*(V$1=LoadFactorHours),0),)</f>
        <v>1.5677364614669965E-4</v>
      </c>
      <c r="W5" s="7" cm="1">
        <f t="array" ref="W5">INDEX('Summarized Source Data'!$I$1269:$I$1412,MATCH(1,($A5=LoadFactorSeasons)*(W$1=LoadFactorHours),0),)</f>
        <v>1.5307889871195724E-4</v>
      </c>
      <c r="X5" s="7" cm="1">
        <f t="array" ref="X5">INDEX('Summarized Source Data'!$I$1269:$I$1412,MATCH(1,($A5=LoadFactorSeasons)*(X$1=LoadFactorHours),0),)</f>
        <v>1.2106380379488527E-4</v>
      </c>
      <c r="Y5" s="7" cm="1">
        <f t="array" ref="Y5">INDEX('Summarized Source Data'!$I$1269:$I$1412,MATCH(1,($A5=LoadFactorSeasons)*(Y$1=LoadFactorHours),0),)</f>
        <v>9.6770823798357489E-5</v>
      </c>
    </row>
    <row r="6" spans="1:25" x14ac:dyDescent="0.3">
      <c r="A6" s="7" t="s">
        <v>167</v>
      </c>
      <c r="B6" s="7" cm="1">
        <f t="array" ref="B6">INDEX('Summarized Source Data'!$I$1269:$I$1412,MATCH(1,($A6=LoadFactorSeasons)*(B$1=LoadFactorHours),0),)</f>
        <v>9.1996072439160632E-5</v>
      </c>
      <c r="C6" s="7" cm="1">
        <f t="array" ref="C6">INDEX('Summarized Source Data'!$I$1269:$I$1412,MATCH(1,($A6=LoadFactorSeasons)*(C$1=LoadFactorHours),0),)</f>
        <v>6.6780393430425399E-5</v>
      </c>
      <c r="D6" s="7" cm="1">
        <f t="array" ref="D6">INDEX('Summarized Source Data'!$I$1269:$I$1412,MATCH(1,($A6=LoadFactorSeasons)*(D$1=LoadFactorHours),0),)</f>
        <v>5.3674453817067246E-5</v>
      </c>
      <c r="E6" s="7" cm="1">
        <f t="array" ref="E6">INDEX('Summarized Source Data'!$I$1269:$I$1412,MATCH(1,($A6=LoadFactorSeasons)*(E$1=LoadFactorHours),0),)</f>
        <v>4.6624362572042667E-5</v>
      </c>
      <c r="F6" s="7" cm="1">
        <f t="array" ref="F6">INDEX('Summarized Source Data'!$I$1269:$I$1412,MATCH(1,($A6=LoadFactorSeasons)*(F$1=LoadFactorHours),0),)</f>
        <v>4.9732342509251712E-5</v>
      </c>
      <c r="G6" s="7" cm="1">
        <f t="array" ref="G6">INDEX('Summarized Source Data'!$I$1269:$I$1412,MATCH(1,($A6=LoadFactorSeasons)*(G$1=LoadFactorHours),0),)</f>
        <v>6.6505421578636829E-5</v>
      </c>
      <c r="H6" s="7" cm="1">
        <f t="array" ref="H6">INDEX('Summarized Source Data'!$I$1269:$I$1412,MATCH(1,($A6=LoadFactorSeasons)*(H$1=LoadFactorHours),0),)</f>
        <v>1.0343969424119631E-4</v>
      </c>
      <c r="I6" s="7" cm="1">
        <f t="array" ref="I6">INDEX('Summarized Source Data'!$I$1269:$I$1412,MATCH(1,($A6=LoadFactorSeasons)*(I$1=LoadFactorHours),0),)</f>
        <v>1.3131510596767459E-4</v>
      </c>
      <c r="J6" s="7" cm="1">
        <f t="array" ref="J6">INDEX('Summarized Source Data'!$I$1269:$I$1412,MATCH(1,($A6=LoadFactorSeasons)*(J$1=LoadFactorHours),0),)</f>
        <v>1.3465141026064922E-4</v>
      </c>
      <c r="K6" s="7" cm="1">
        <f t="array" ref="K6">INDEX('Summarized Source Data'!$I$1269:$I$1412,MATCH(1,($A6=LoadFactorSeasons)*(K$1=LoadFactorHours),0),)</f>
        <v>1.3523912422550949E-4</v>
      </c>
      <c r="L6" s="7" cm="1">
        <f t="array" ref="L6">INDEX('Summarized Source Data'!$I$1269:$I$1412,MATCH(1,($A6=LoadFactorSeasons)*(L$1=LoadFactorHours),0),)</f>
        <v>1.3419391015508466E-4</v>
      </c>
      <c r="M6" s="7" cm="1">
        <f t="array" ref="M6">INDEX('Summarized Source Data'!$I$1269:$I$1412,MATCH(1,($A6=LoadFactorSeasons)*(M$1=LoadFactorHours),0),)</f>
        <v>1.3497262677180638E-4</v>
      </c>
      <c r="N6" s="7" cm="1">
        <f t="array" ref="N6">INDEX('Summarized Source Data'!$I$1269:$I$1412,MATCH(1,($A6=LoadFactorSeasons)*(N$1=LoadFactorHours),0),)</f>
        <v>1.3077949632910052E-4</v>
      </c>
      <c r="O6" s="7" cm="1">
        <f t="array" ref="O6">INDEX('Summarized Source Data'!$I$1269:$I$1412,MATCH(1,($A6=LoadFactorSeasons)*(O$1=LoadFactorHours),0),)</f>
        <v>1.30404346662674E-4</v>
      </c>
      <c r="P6" s="7" cm="1">
        <f t="array" ref="P6">INDEX('Summarized Source Data'!$I$1269:$I$1412,MATCH(1,($A6=LoadFactorSeasons)*(P$1=LoadFactorHours),0),)</f>
        <v>1.3497518713238279E-4</v>
      </c>
      <c r="Q6" s="7" cm="1">
        <f t="array" ref="Q6">INDEX('Summarized Source Data'!$I$1269:$I$1412,MATCH(1,($A6=LoadFactorSeasons)*(Q$1=LoadFactorHours),0),)</f>
        <v>1.5239451257965115E-4</v>
      </c>
      <c r="R6" s="7" cm="1">
        <f t="array" ref="R6">INDEX('Summarized Source Data'!$I$1269:$I$1412,MATCH(1,($A6=LoadFactorSeasons)*(R$1=LoadFactorHours),0),)</f>
        <v>1.8340990998623889E-4</v>
      </c>
      <c r="S6" s="7" cm="1">
        <f t="array" ref="S6">INDEX('Summarized Source Data'!$I$1269:$I$1412,MATCH(1,($A6=LoadFactorSeasons)*(S$1=LoadFactorHours),0),)</f>
        <v>2.0107532043722883E-4</v>
      </c>
      <c r="T6" s="7" cm="1">
        <f t="array" ref="T6">INDEX('Summarized Source Data'!$I$1269:$I$1412,MATCH(1,($A6=LoadFactorSeasons)*(T$1=LoadFactorHours),0),)</f>
        <v>1.9636921211461543E-4</v>
      </c>
      <c r="U6" s="7" cm="1">
        <f t="array" ref="U6">INDEX('Summarized Source Data'!$I$1269:$I$1412,MATCH(1,($A6=LoadFactorSeasons)*(U$1=LoadFactorHours),0),)</f>
        <v>1.8660691558837445E-4</v>
      </c>
      <c r="V6" s="7" cm="1">
        <f t="array" ref="V6">INDEX('Summarized Source Data'!$I$1269:$I$1412,MATCH(1,($A6=LoadFactorSeasons)*(V$1=LoadFactorHours),0),)</f>
        <v>1.8301725051799391E-4</v>
      </c>
      <c r="W6" s="7" cm="1">
        <f t="array" ref="W6">INDEX('Summarized Source Data'!$I$1269:$I$1412,MATCH(1,($A6=LoadFactorSeasons)*(W$1=LoadFactorHours),0),)</f>
        <v>1.8031242357316831E-4</v>
      </c>
      <c r="X6" s="7" cm="1">
        <f t="array" ref="X6">INDEX('Summarized Source Data'!$I$1269:$I$1412,MATCH(1,($A6=LoadFactorSeasons)*(X$1=LoadFactorHours),0),)</f>
        <v>1.4191070100591757E-4</v>
      </c>
      <c r="Y6" s="7" cm="1">
        <f t="array" ref="Y6">INDEX('Summarized Source Data'!$I$1269:$I$1412,MATCH(1,($A6=LoadFactorSeasons)*(Y$1=LoadFactorHours),0),)</f>
        <v>1.1386787852146055E-4</v>
      </c>
    </row>
    <row r="7" spans="1:25" x14ac:dyDescent="0.3">
      <c r="A7" s="7" t="s">
        <v>166</v>
      </c>
      <c r="B7" s="7" cm="1">
        <f t="array" ref="B7">INDEX('Summarized Source Data'!$I$1269:$I$1412,MATCH(1,($A7=LoadFactorSeasons)*(B$1=LoadFactorHours),0),)</f>
        <v>9.2284138953607626E-5</v>
      </c>
      <c r="C7" s="7" cm="1">
        <f t="array" ref="C7">INDEX('Summarized Source Data'!$I$1269:$I$1412,MATCH(1,($A7=LoadFactorSeasons)*(C$1=LoadFactorHours),0),)</f>
        <v>6.7081629984941618E-5</v>
      </c>
      <c r="D7" s="7" cm="1">
        <f t="array" ref="D7">INDEX('Summarized Source Data'!$I$1269:$I$1412,MATCH(1,($A7=LoadFactorSeasons)*(D$1=LoadFactorHours),0),)</f>
        <v>5.3983195984585943E-5</v>
      </c>
      <c r="E7" s="7" cm="1">
        <f t="array" ref="E7">INDEX('Summarized Source Data'!$I$1269:$I$1412,MATCH(1,($A7=LoadFactorSeasons)*(E$1=LoadFactorHours),0),)</f>
        <v>4.6816154833174521E-5</v>
      </c>
      <c r="F7" s="7" cm="1">
        <f t="array" ref="F7">INDEX('Summarized Source Data'!$I$1269:$I$1412,MATCH(1,($A7=LoadFactorSeasons)*(F$1=LoadFactorHours),0),)</f>
        <v>4.9658676536393162E-5</v>
      </c>
      <c r="G7" s="7" cm="1">
        <f t="array" ref="G7">INDEX('Summarized Source Data'!$I$1269:$I$1412,MATCH(1,($A7=LoadFactorSeasons)*(G$1=LoadFactorHours),0),)</f>
        <v>6.8936832412004796E-5</v>
      </c>
      <c r="H7" s="7" cm="1">
        <f t="array" ref="H7">INDEX('Summarized Source Data'!$I$1269:$I$1412,MATCH(1,($A7=LoadFactorSeasons)*(H$1=LoadFactorHours),0),)</f>
        <v>1.1045893264699699E-4</v>
      </c>
      <c r="I7" s="7" cm="1">
        <f t="array" ref="I7">INDEX('Summarized Source Data'!$I$1269:$I$1412,MATCH(1,($A7=LoadFactorSeasons)*(I$1=LoadFactorHours),0),)</f>
        <v>1.4110722476329355E-4</v>
      </c>
      <c r="J7" s="7" cm="1">
        <f t="array" ref="J7">INDEX('Summarized Source Data'!$I$1269:$I$1412,MATCH(1,($A7=LoadFactorSeasons)*(J$1=LoadFactorHours),0),)</f>
        <v>1.4049113799959398E-4</v>
      </c>
      <c r="K7" s="7" cm="1">
        <f t="array" ref="K7">INDEX('Summarized Source Data'!$I$1269:$I$1412,MATCH(1,($A7=LoadFactorSeasons)*(K$1=LoadFactorHours),0),)</f>
        <v>1.399978632805894E-4</v>
      </c>
      <c r="L7" s="7" cm="1">
        <f t="array" ref="L7">INDEX('Summarized Source Data'!$I$1269:$I$1412,MATCH(1,($A7=LoadFactorSeasons)*(L$1=LoadFactorHours),0),)</f>
        <v>1.3814439700536493E-4</v>
      </c>
      <c r="M7" s="7" cm="1">
        <f t="array" ref="M7">INDEX('Summarized Source Data'!$I$1269:$I$1412,MATCH(1,($A7=LoadFactorSeasons)*(M$1=LoadFactorHours),0),)</f>
        <v>1.3826721646423149E-4</v>
      </c>
      <c r="N7" s="7" cm="1">
        <f t="array" ref="N7">INDEX('Summarized Source Data'!$I$1269:$I$1412,MATCH(1,($A7=LoadFactorSeasons)*(N$1=LoadFactorHours),0),)</f>
        <v>1.3282955183445183E-4</v>
      </c>
      <c r="O7" s="7" cm="1">
        <f t="array" ref="O7">INDEX('Summarized Source Data'!$I$1269:$I$1412,MATCH(1,($A7=LoadFactorSeasons)*(O$1=LoadFactorHours),0),)</f>
        <v>1.3171718390518278E-4</v>
      </c>
      <c r="P7" s="7" cm="1">
        <f t="array" ref="P7">INDEX('Summarized Source Data'!$I$1269:$I$1412,MATCH(1,($A7=LoadFactorSeasons)*(P$1=LoadFactorHours),0),)</f>
        <v>1.3616533589972247E-4</v>
      </c>
      <c r="Q7" s="7" cm="1">
        <f t="array" ref="Q7">INDEX('Summarized Source Data'!$I$1269:$I$1412,MATCH(1,($A7=LoadFactorSeasons)*(Q$1=LoadFactorHours),0),)</f>
        <v>1.5259931918324958E-4</v>
      </c>
      <c r="R7" s="7" cm="1">
        <f t="array" ref="R7">INDEX('Summarized Source Data'!$I$1269:$I$1412,MATCH(1,($A7=LoadFactorSeasons)*(R$1=LoadFactorHours),0),)</f>
        <v>1.8522084239495719E-4</v>
      </c>
      <c r="S7" s="7" cm="1">
        <f t="array" ref="S7">INDEX('Summarized Source Data'!$I$1269:$I$1412,MATCH(1,($A7=LoadFactorSeasons)*(S$1=LoadFactorHours),0),)</f>
        <v>2.0462030894552428E-4</v>
      </c>
      <c r="T7" s="7" cm="1">
        <f t="array" ref="T7">INDEX('Summarized Source Data'!$I$1269:$I$1412,MATCH(1,($A7=LoadFactorSeasons)*(T$1=LoadFactorHours),0),)</f>
        <v>1.9992347451582885E-4</v>
      </c>
      <c r="U7" s="7" cm="1">
        <f t="array" ref="U7">INDEX('Summarized Source Data'!$I$1269:$I$1412,MATCH(1,($A7=LoadFactorSeasons)*(U$1=LoadFactorHours),0),)</f>
        <v>1.9114881854651061E-4</v>
      </c>
      <c r="V7" s="7" cm="1">
        <f t="array" ref="V7">INDEX('Summarized Source Data'!$I$1269:$I$1412,MATCH(1,($A7=LoadFactorSeasons)*(V$1=LoadFactorHours),0),)</f>
        <v>1.8731707212504733E-4</v>
      </c>
      <c r="W7" s="7" cm="1">
        <f t="array" ref="W7">INDEX('Summarized Source Data'!$I$1269:$I$1412,MATCH(1,($A7=LoadFactorSeasons)*(W$1=LoadFactorHours),0),)</f>
        <v>1.8472120384536934E-4</v>
      </c>
      <c r="X7" s="7" cm="1">
        <f t="array" ref="X7">INDEX('Summarized Source Data'!$I$1269:$I$1412,MATCH(1,($A7=LoadFactorSeasons)*(X$1=LoadFactorHours),0),)</f>
        <v>1.4567258616022445E-4</v>
      </c>
      <c r="Y7" s="7" cm="1">
        <f t="array" ref="Y7">INDEX('Summarized Source Data'!$I$1269:$I$1412,MATCH(1,($A7=LoadFactorSeasons)*(Y$1=LoadFactorHours),0),)</f>
        <v>1.1526835127172962E-4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F2E0-B87A-4DCC-BBCF-890C4AFF5DB9}">
  <sheetPr codeName="Sheet15">
    <tabColor rgb="FF002060"/>
  </sheetPr>
  <dimension ref="A1:Y19"/>
  <sheetViews>
    <sheetView workbookViewId="0">
      <selection activeCell="K21" sqref="K21"/>
    </sheetView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</row>
    <row r="3" spans="1:25" x14ac:dyDescent="0.3">
      <c r="A3" s="7" t="s">
        <v>162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</row>
    <row r="4" spans="1:25" x14ac:dyDescent="0.3">
      <c r="A4" s="7" t="s">
        <v>163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</row>
    <row r="5" spans="1:25" x14ac:dyDescent="0.3">
      <c r="A5" s="7" t="s">
        <v>164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</row>
    <row r="6" spans="1:25" x14ac:dyDescent="0.3">
      <c r="A6" s="7" t="s">
        <v>167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</row>
    <row r="7" spans="1:25" x14ac:dyDescent="0.3">
      <c r="A7" s="7" t="s">
        <v>166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09A3-7618-4502-B6C4-154A6D83895E}">
  <sheetPr codeName="Sheet16">
    <tabColor rgb="FF002060"/>
  </sheetPr>
  <dimension ref="A1:Y19"/>
  <sheetViews>
    <sheetView topLeftCell="G1" workbookViewId="0">
      <selection activeCell="A6" sqref="A6:Y7"/>
    </sheetView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 cm="1">
        <f t="array" ref="B2">INDEX('Summarized Source Data'!$K$1269:$K$1412,MATCH(1,($A2=LoadFactorSeasons)*(B$1=LoadFactorHours),0),)</f>
        <v>9.2071441915442931E-8</v>
      </c>
      <c r="C2" s="7" cm="1">
        <f t="array" ref="C2">INDEX('Summarized Source Data'!$K$1269:$K$1412,MATCH(1,($A2=LoadFactorSeasons)*(C$1=LoadFactorHours),0),)</f>
        <v>8.7405822013193052E-8</v>
      </c>
      <c r="D2" s="7" cm="1">
        <f t="array" ref="D2">INDEX('Summarized Source Data'!$K$1269:$K$1412,MATCH(1,($A2=LoadFactorSeasons)*(D$1=LoadFactorHours),0),)</f>
        <v>8.5458687176576115E-8</v>
      </c>
      <c r="E2" s="7" cm="1">
        <f t="array" ref="E2">INDEX('Summarized Source Data'!$K$1269:$K$1412,MATCH(1,($A2=LoadFactorSeasons)*(E$1=LoadFactorHours),0),)</f>
        <v>8.4360588348515052E-8</v>
      </c>
      <c r="F2" s="7" cm="1">
        <f t="array" ref="F2">INDEX('Summarized Source Data'!$K$1269:$K$1412,MATCH(1,($A2=LoadFactorSeasons)*(F$1=LoadFactorHours),0),)</f>
        <v>8.4123562976007404E-8</v>
      </c>
      <c r="G2" s="7" cm="1">
        <f t="array" ref="G2">INDEX('Summarized Source Data'!$K$1269:$K$1412,MATCH(1,($A2=LoadFactorSeasons)*(G$1=LoadFactorHours),0),)</f>
        <v>8.6431570694950251E-8</v>
      </c>
      <c r="H2" s="7" cm="1">
        <f t="array" ref="H2">INDEX('Summarized Source Data'!$K$1269:$K$1412,MATCH(1,($A2=LoadFactorSeasons)*(H$1=LoadFactorHours),0),)</f>
        <v>9.4684685186161827E-8</v>
      </c>
      <c r="I2" s="7" cm="1">
        <f t="array" ref="I2">INDEX('Summarized Source Data'!$K$1269:$K$1412,MATCH(1,($A2=LoadFactorSeasons)*(I$1=LoadFactorHours),0),)</f>
        <v>1.1096721928874082E-7</v>
      </c>
      <c r="J2" s="7" cm="1">
        <f t="array" ref="J2">INDEX('Summarized Source Data'!$K$1269:$K$1412,MATCH(1,($A2=LoadFactorSeasons)*(J$1=LoadFactorHours),0),)</f>
        <v>1.3490170266700714E-7</v>
      </c>
      <c r="K2" s="7" cm="1">
        <f t="array" ref="K2">INDEX('Summarized Source Data'!$K$1269:$K$1412,MATCH(1,($A2=LoadFactorSeasons)*(K$1=LoadFactorHours),0),)</f>
        <v>1.5018570447819537E-7</v>
      </c>
      <c r="L2" s="7" cm="1">
        <f t="array" ref="L2">INDEX('Summarized Source Data'!$K$1269:$K$1412,MATCH(1,($A2=LoadFactorSeasons)*(L$1=LoadFactorHours),0),)</f>
        <v>1.5812887592325291E-7</v>
      </c>
      <c r="M2" s="7" cm="1">
        <f t="array" ref="M2">INDEX('Summarized Source Data'!$K$1269:$K$1412,MATCH(1,($A2=LoadFactorSeasons)*(M$1=LoadFactorHours),0),)</f>
        <v>1.5999033638257428E-7</v>
      </c>
      <c r="N2" s="7" cm="1">
        <f t="array" ref="N2">INDEX('Summarized Source Data'!$K$1269:$K$1412,MATCH(1,($A2=LoadFactorSeasons)*(N$1=LoadFactorHours),0),)</f>
        <v>1.5501292074217695E-7</v>
      </c>
      <c r="O2" s="7" cm="1">
        <f t="array" ref="O2">INDEX('Summarized Source Data'!$K$1269:$K$1412,MATCH(1,($A2=LoadFactorSeasons)*(O$1=LoadFactorHours),0),)</f>
        <v>1.5816942704757078E-7</v>
      </c>
      <c r="P2" s="7" cm="1">
        <f t="array" ref="P2">INDEX('Summarized Source Data'!$K$1269:$K$1412,MATCH(1,($A2=LoadFactorSeasons)*(P$1=LoadFactorHours),0),)</f>
        <v>1.6156636913341647E-7</v>
      </c>
      <c r="Q2" s="7" cm="1">
        <f t="array" ref="Q2">INDEX('Summarized Source Data'!$K$1269:$K$1412,MATCH(1,($A2=LoadFactorSeasons)*(Q$1=LoadFactorHours),0),)</f>
        <v>1.6163022740586508E-7</v>
      </c>
      <c r="R2" s="7" cm="1">
        <f t="array" ref="R2">INDEX('Summarized Source Data'!$K$1269:$K$1412,MATCH(1,($A2=LoadFactorSeasons)*(R$1=LoadFactorHours),0),)</f>
        <v>1.5852409937185118E-7</v>
      </c>
      <c r="S2" s="7" cm="1">
        <f t="array" ref="S2">INDEX('Summarized Source Data'!$K$1269:$K$1412,MATCH(1,($A2=LoadFactorSeasons)*(S$1=LoadFactorHours),0),)</f>
        <v>1.5162071645646704E-7</v>
      </c>
      <c r="T2" s="7" cm="1">
        <f t="array" ref="T2">INDEX('Summarized Source Data'!$K$1269:$K$1412,MATCH(1,($A2=LoadFactorSeasons)*(T$1=LoadFactorHours),0),)</f>
        <v>1.4563827703135864E-7</v>
      </c>
      <c r="U2" s="7" cm="1">
        <f t="array" ref="U2">INDEX('Summarized Source Data'!$K$1269:$K$1412,MATCH(1,($A2=LoadFactorSeasons)*(U$1=LoadFactorHours),0),)</f>
        <v>1.3710141377064997E-7</v>
      </c>
      <c r="V2" s="7" cm="1">
        <f t="array" ref="V2">INDEX('Summarized Source Data'!$K$1269:$K$1412,MATCH(1,($A2=LoadFactorSeasons)*(V$1=LoadFactorHours),0),)</f>
        <v>1.2992194742210784E-7</v>
      </c>
      <c r="W2" s="7" cm="1">
        <f t="array" ref="W2">INDEX('Summarized Source Data'!$K$1269:$K$1412,MATCH(1,($A2=LoadFactorSeasons)*(W$1=LoadFactorHours),0),)</f>
        <v>1.2259772057048279E-7</v>
      </c>
      <c r="X2" s="7" cm="1">
        <f t="array" ref="X2">INDEX('Summarized Source Data'!$K$1269:$K$1412,MATCH(1,($A2=LoadFactorSeasons)*(X$1=LoadFactorHours),0),)</f>
        <v>1.137910148423387E-7</v>
      </c>
      <c r="Y2" s="7" cm="1">
        <f t="array" ref="Y2">INDEX('Summarized Source Data'!$K$1269:$K$1412,MATCH(1,($A2=LoadFactorSeasons)*(Y$1=LoadFactorHours),0),)</f>
        <v>1.0176115236586703E-7</v>
      </c>
    </row>
    <row r="3" spans="1:25" x14ac:dyDescent="0.3">
      <c r="A3" s="7" t="s">
        <v>162</v>
      </c>
      <c r="B3" s="7" cm="1">
        <f t="array" ref="B3">INDEX('Summarized Source Data'!$K$1269:$K$1412,MATCH(1,($A3=LoadFactorSeasons)*(B$1=LoadFactorHours),0),)</f>
        <v>3.8903779149856518E-6</v>
      </c>
      <c r="C3" s="7" cm="1">
        <f t="array" ref="C3">INDEX('Summarized Source Data'!$K$1269:$K$1412,MATCH(1,($A3=LoadFactorSeasons)*(C$1=LoadFactorHours),0),)</f>
        <v>3.692427422384717E-6</v>
      </c>
      <c r="D3" s="7" cm="1">
        <f t="array" ref="D3">INDEX('Summarized Source Data'!$K$1269:$K$1412,MATCH(1,($A3=LoadFactorSeasons)*(D$1=LoadFactorHours),0),)</f>
        <v>3.6098265970687867E-6</v>
      </c>
      <c r="E3" s="7" cm="1">
        <f t="array" ref="E3">INDEX('Summarized Source Data'!$K$1269:$K$1412,MATCH(1,($A3=LoadFactorSeasons)*(E$1=LoadFactorHours),0),)</f>
        <v>3.5632338187738685E-6</v>
      </c>
      <c r="F3" s="7" cm="1">
        <f t="array" ref="F3">INDEX('Summarized Source Data'!$K$1269:$K$1412,MATCH(1,($A3=LoadFactorSeasons)*(F$1=LoadFactorHours),0),)</f>
        <v>3.5532007102681219E-6</v>
      </c>
      <c r="G3" s="7" cm="1">
        <f t="array" ref="G3">INDEX('Summarized Source Data'!$K$1269:$K$1412,MATCH(1,($A3=LoadFactorSeasons)*(G$1=LoadFactorHours),0),)</f>
        <v>3.6511005857412343E-6</v>
      </c>
      <c r="H3" s="7" cm="1">
        <f t="array" ref="H3">INDEX('Summarized Source Data'!$K$1269:$K$1412,MATCH(1,($A3=LoadFactorSeasons)*(H$1=LoadFactorHours),0),)</f>
        <v>4.0012529371317475E-6</v>
      </c>
      <c r="I3" s="7" cm="1">
        <f t="array" ref="I3">INDEX('Summarized Source Data'!$K$1269:$K$1412,MATCH(1,($A3=LoadFactorSeasons)*(I$1=LoadFactorHours),0),)</f>
        <v>4.6920419165747247E-6</v>
      </c>
      <c r="J3" s="7" cm="1">
        <f t="array" ref="J3">INDEX('Summarized Source Data'!$K$1269:$K$1412,MATCH(1,($A3=LoadFactorSeasons)*(J$1=LoadFactorHours),0),)</f>
        <v>5.7346489862562526E-6</v>
      </c>
      <c r="K3" s="7" cm="1">
        <f t="array" ref="K3">INDEX('Summarized Source Data'!$K$1269:$K$1412,MATCH(1,($A3=LoadFactorSeasons)*(K$1=LoadFactorHours),0),)</f>
        <v>6.7935534199213696E-6</v>
      </c>
      <c r="L3" s="7" cm="1">
        <f t="array" ref="L3">INDEX('Summarized Source Data'!$K$1269:$K$1412,MATCH(1,($A3=LoadFactorSeasons)*(L$1=LoadFactorHours),0),)</f>
        <v>7.6824101884243767E-6</v>
      </c>
      <c r="M3" s="7" cm="1">
        <f t="array" ref="M3">INDEX('Summarized Source Data'!$K$1269:$K$1412,MATCH(1,($A3=LoadFactorSeasons)*(M$1=LoadFactorHours),0),)</f>
        <v>8.3281987305103674E-6</v>
      </c>
      <c r="N3" s="7" cm="1">
        <f t="array" ref="N3">INDEX('Summarized Source Data'!$K$1269:$K$1412,MATCH(1,($A3=LoadFactorSeasons)*(N$1=LoadFactorHours),0),)</f>
        <v>8.565930289543096E-6</v>
      </c>
      <c r="O3" s="7" cm="1">
        <f t="array" ref="O3">INDEX('Summarized Source Data'!$K$1269:$K$1412,MATCH(1,($A3=LoadFactorSeasons)*(O$1=LoadFactorHours),0),)</f>
        <v>8.9551376446553543E-6</v>
      </c>
      <c r="P3" s="7" cm="1">
        <f t="array" ref="P3">INDEX('Summarized Source Data'!$K$1269:$K$1412,MATCH(1,($A3=LoadFactorSeasons)*(P$1=LoadFactorHours),0),)</f>
        <v>9.2285143563887989E-6</v>
      </c>
      <c r="Q3" s="7" cm="1">
        <f t="array" ref="Q3">INDEX('Summarized Source Data'!$K$1269:$K$1412,MATCH(1,($A3=LoadFactorSeasons)*(Q$1=LoadFactorHours),0),)</f>
        <v>9.1280795650281446E-6</v>
      </c>
      <c r="R3" s="7" cm="1">
        <f t="array" ref="R3">INDEX('Summarized Source Data'!$K$1269:$K$1412,MATCH(1,($A3=LoadFactorSeasons)*(R$1=LoadFactorHours),0),)</f>
        <v>8.689278642448134E-6</v>
      </c>
      <c r="S3" s="7" cm="1">
        <f t="array" ref="S3">INDEX('Summarized Source Data'!$K$1269:$K$1412,MATCH(1,($A3=LoadFactorSeasons)*(S$1=LoadFactorHours),0),)</f>
        <v>7.9548287216958748E-6</v>
      </c>
      <c r="T3" s="7" cm="1">
        <f t="array" ref="T3">INDEX('Summarized Source Data'!$K$1269:$K$1412,MATCH(1,($A3=LoadFactorSeasons)*(T$1=LoadFactorHours),0),)</f>
        <v>7.1635611524840141E-6</v>
      </c>
      <c r="U3" s="7" cm="1">
        <f t="array" ref="U3">INDEX('Summarized Source Data'!$K$1269:$K$1412,MATCH(1,($A3=LoadFactorSeasons)*(U$1=LoadFactorHours),0),)</f>
        <v>6.2305512956120645E-6</v>
      </c>
      <c r="V3" s="7" cm="1">
        <f t="array" ref="V3">INDEX('Summarized Source Data'!$K$1269:$K$1412,MATCH(1,($A3=LoadFactorSeasons)*(V$1=LoadFactorHours),0),)</f>
        <v>5.5026924370886067E-6</v>
      </c>
      <c r="W3" s="7" cm="1">
        <f t="array" ref="W3">INDEX('Summarized Source Data'!$K$1269:$K$1412,MATCH(1,($A3=LoadFactorSeasons)*(W$1=LoadFactorHours),0),)</f>
        <v>5.17194662542082E-6</v>
      </c>
      <c r="X3" s="7" cm="1">
        <f t="array" ref="X3">INDEX('Summarized Source Data'!$K$1269:$K$1412,MATCH(1,($A3=LoadFactorSeasons)*(X$1=LoadFactorHours),0),)</f>
        <v>4.8118536850501927E-6</v>
      </c>
      <c r="Y3" s="7" cm="1">
        <f t="array" ref="Y3">INDEX('Summarized Source Data'!$K$1269:$K$1412,MATCH(1,($A3=LoadFactorSeasons)*(Y$1=LoadFactorHours),0),)</f>
        <v>4.3014708735141947E-6</v>
      </c>
    </row>
    <row r="4" spans="1:25" x14ac:dyDescent="0.3">
      <c r="A4" s="7" t="s">
        <v>163</v>
      </c>
      <c r="B4" s="7" cm="1">
        <f t="array" ref="B4">INDEX('Summarized Source Data'!$K$1269:$K$1412,MATCH(1,($A4=LoadFactorSeasons)*(B$1=LoadFactorHours),0),)</f>
        <v>2.5251020925813204E-4</v>
      </c>
      <c r="C4" s="7" cm="1">
        <f t="array" ref="C4">INDEX('Summarized Source Data'!$K$1269:$K$1412,MATCH(1,($A4=LoadFactorSeasons)*(C$1=LoadFactorHours),0),)</f>
        <v>2.3553898489112374E-4</v>
      </c>
      <c r="D4" s="7" cm="1">
        <f t="array" ref="D4">INDEX('Summarized Source Data'!$K$1269:$K$1412,MATCH(1,($A4=LoadFactorSeasons)*(D$1=LoadFactorHours),0),)</f>
        <v>2.2875154925763508E-4</v>
      </c>
      <c r="E4" s="7" cm="1">
        <f t="array" ref="E4">INDEX('Summarized Source Data'!$K$1269:$K$1412,MATCH(1,($A4=LoadFactorSeasons)*(E$1=LoadFactorHours),0),)</f>
        <v>2.2978932381597793E-4</v>
      </c>
      <c r="F4" s="7" cm="1">
        <f t="array" ref="F4">INDEX('Summarized Source Data'!$K$1269:$K$1412,MATCH(1,($A4=LoadFactorSeasons)*(F$1=LoadFactorHours),0),)</f>
        <v>2.3716758996236766E-4</v>
      </c>
      <c r="G4" s="7" cm="1">
        <f t="array" ref="G4">INDEX('Summarized Source Data'!$K$1269:$K$1412,MATCH(1,($A4=LoadFactorSeasons)*(G$1=LoadFactorHours),0),)</f>
        <v>2.5487405836639395E-4</v>
      </c>
      <c r="H4" s="7" cm="1">
        <f t="array" ref="H4">INDEX('Summarized Source Data'!$K$1269:$K$1412,MATCH(1,($A4=LoadFactorSeasons)*(H$1=LoadFactorHours),0),)</f>
        <v>2.8984163229897673E-4</v>
      </c>
      <c r="I4" s="7" cm="1">
        <f t="array" ref="I4">INDEX('Summarized Source Data'!$K$1269:$K$1412,MATCH(1,($A4=LoadFactorSeasons)*(I$1=LoadFactorHours),0),)</f>
        <v>3.4490587657671568E-4</v>
      </c>
      <c r="J4" s="7" cm="1">
        <f t="array" ref="J4">INDEX('Summarized Source Data'!$K$1269:$K$1412,MATCH(1,($A4=LoadFactorSeasons)*(J$1=LoadFactorHours),0),)</f>
        <v>4.1680694577383613E-4</v>
      </c>
      <c r="K4" s="7" cm="1">
        <f t="array" ref="K4">INDEX('Summarized Source Data'!$K$1269:$K$1412,MATCH(1,($A4=LoadFactorSeasons)*(K$1=LoadFactorHours),0),)</f>
        <v>4.7260116352201934E-4</v>
      </c>
      <c r="L4" s="7" cm="1">
        <f t="array" ref="L4">INDEX('Summarized Source Data'!$K$1269:$K$1412,MATCH(1,($A4=LoadFactorSeasons)*(L$1=LoadFactorHours),0),)</f>
        <v>5.1227008283825785E-4</v>
      </c>
      <c r="M4" s="7" cm="1">
        <f t="array" ref="M4">INDEX('Summarized Source Data'!$K$1269:$K$1412,MATCH(1,($A4=LoadFactorSeasons)*(M$1=LoadFactorHours),0),)</f>
        <v>5.364725245442523E-4</v>
      </c>
      <c r="N4" s="7" cm="1">
        <f t="array" ref="N4">INDEX('Summarized Source Data'!$K$1269:$K$1412,MATCH(1,($A4=LoadFactorSeasons)*(N$1=LoadFactorHours),0),)</f>
        <v>5.4279983971586526E-4</v>
      </c>
      <c r="O4" s="7" cm="1">
        <f t="array" ref="O4">INDEX('Summarized Source Data'!$K$1269:$K$1412,MATCH(1,($A4=LoadFactorSeasons)*(O$1=LoadFactorHours),0),)</f>
        <v>5.5883817379934544E-4</v>
      </c>
      <c r="P4" s="7" cm="1">
        <f t="array" ref="P4">INDEX('Summarized Source Data'!$K$1269:$K$1412,MATCH(1,($A4=LoadFactorSeasons)*(P$1=LoadFactorHours),0),)</f>
        <v>5.6920537824962654E-4</v>
      </c>
      <c r="Q4" s="7" cm="1">
        <f t="array" ref="Q4">INDEX('Summarized Source Data'!$K$1269:$K$1412,MATCH(1,($A4=LoadFactorSeasons)*(Q$1=LoadFactorHours),0),)</f>
        <v>5.6615108492022253E-4</v>
      </c>
      <c r="R4" s="7" cm="1">
        <f t="array" ref="R4">INDEX('Summarized Source Data'!$K$1269:$K$1412,MATCH(1,($A4=LoadFactorSeasons)*(R$1=LoadFactorHours),0),)</f>
        <v>5.497069172105747E-4</v>
      </c>
      <c r="S4" s="7" cm="1">
        <f t="array" ref="S4">INDEX('Summarized Source Data'!$K$1269:$K$1412,MATCH(1,($A4=LoadFactorSeasons)*(S$1=LoadFactorHours),0),)</f>
        <v>5.200230862680308E-4</v>
      </c>
      <c r="T4" s="7" cm="1">
        <f t="array" ref="T4">INDEX('Summarized Source Data'!$K$1269:$K$1412,MATCH(1,($A4=LoadFactorSeasons)*(T$1=LoadFactorHours),0),)</f>
        <v>4.8752740805846877E-4</v>
      </c>
      <c r="U4" s="7" cm="1">
        <f t="array" ref="U4">INDEX('Summarized Source Data'!$K$1269:$K$1412,MATCH(1,($A4=LoadFactorSeasons)*(U$1=LoadFactorHours),0),)</f>
        <v>4.464670591667985E-4</v>
      </c>
      <c r="V4" s="7" cm="1">
        <f t="array" ref="V4">INDEX('Summarized Source Data'!$K$1269:$K$1412,MATCH(1,($A4=LoadFactorSeasons)*(V$1=LoadFactorHours),0),)</f>
        <v>4.0743587840596634E-4</v>
      </c>
      <c r="W4" s="7" cm="1">
        <f t="array" ref="W4">INDEX('Summarized Source Data'!$K$1269:$K$1412,MATCH(1,($A4=LoadFactorSeasons)*(W$1=LoadFactorHours),0),)</f>
        <v>3.674401839621641E-4</v>
      </c>
      <c r="X4" s="7" cm="1">
        <f t="array" ref="X4">INDEX('Summarized Source Data'!$K$1269:$K$1412,MATCH(1,($A4=LoadFactorSeasons)*(X$1=LoadFactorHours),0),)</f>
        <v>3.277870763456464E-4</v>
      </c>
      <c r="Y4" s="7" cm="1">
        <f t="array" ref="Y4">INDEX('Summarized Source Data'!$K$1269:$K$1412,MATCH(1,($A4=LoadFactorSeasons)*(Y$1=LoadFactorHours),0),)</f>
        <v>2.8488202915321432E-4</v>
      </c>
    </row>
    <row r="5" spans="1:25" x14ac:dyDescent="0.3">
      <c r="A5" s="7" t="s">
        <v>164</v>
      </c>
      <c r="B5" s="7" cm="1">
        <f t="array" ref="B5">INDEX('Summarized Source Data'!$K$1269:$K$1412,MATCH(1,($A5=LoadFactorSeasons)*(B$1=LoadFactorHours),0),)</f>
        <v>3.9536249376001439E-5</v>
      </c>
      <c r="C5" s="7" cm="1">
        <f t="array" ref="C5">INDEX('Summarized Source Data'!$K$1269:$K$1412,MATCH(1,($A5=LoadFactorSeasons)*(C$1=LoadFactorHours),0),)</f>
        <v>3.7437722002430709E-5</v>
      </c>
      <c r="D5" s="7" cm="1">
        <f t="array" ref="D5">INDEX('Summarized Source Data'!$K$1269:$K$1412,MATCH(1,($A5=LoadFactorSeasons)*(D$1=LoadFactorHours),0),)</f>
        <v>3.657125525207936E-5</v>
      </c>
      <c r="E5" s="7" cm="1">
        <f t="array" ref="E5">INDEX('Summarized Source Data'!$K$1269:$K$1412,MATCH(1,($A5=LoadFactorSeasons)*(E$1=LoadFactorHours),0),)</f>
        <v>3.6178480031768118E-5</v>
      </c>
      <c r="F5" s="7" cm="1">
        <f t="array" ref="F5">INDEX('Summarized Source Data'!$K$1269:$K$1412,MATCH(1,($A5=LoadFactorSeasons)*(F$1=LoadFactorHours),0),)</f>
        <v>3.6199910785159501E-5</v>
      </c>
      <c r="G5" s="7" cm="1">
        <f t="array" ref="G5">INDEX('Summarized Source Data'!$K$1269:$K$1412,MATCH(1,($A5=LoadFactorSeasons)*(G$1=LoadFactorHours),0),)</f>
        <v>3.7535081759270455E-5</v>
      </c>
      <c r="H5" s="7" cm="1">
        <f t="array" ref="H5">INDEX('Summarized Source Data'!$K$1269:$K$1412,MATCH(1,($A5=LoadFactorSeasons)*(H$1=LoadFactorHours),0),)</f>
        <v>4.2496151413224258E-5</v>
      </c>
      <c r="I5" s="7" cm="1">
        <f t="array" ref="I5">INDEX('Summarized Source Data'!$K$1269:$K$1412,MATCH(1,($A5=LoadFactorSeasons)*(I$1=LoadFactorHours),0),)</f>
        <v>5.2988331560390662E-5</v>
      </c>
      <c r="J5" s="7" cm="1">
        <f t="array" ref="J5">INDEX('Summarized Source Data'!$K$1269:$K$1412,MATCH(1,($A5=LoadFactorSeasons)*(J$1=LoadFactorHours),0),)</f>
        <v>6.8435605169410736E-5</v>
      </c>
      <c r="K5" s="7" cm="1">
        <f t="array" ref="K5">INDEX('Summarized Source Data'!$K$1269:$K$1412,MATCH(1,($A5=LoadFactorSeasons)*(K$1=LoadFactorHours),0),)</f>
        <v>8.0707620115360562E-5</v>
      </c>
      <c r="L5" s="7" cm="1">
        <f t="array" ref="L5">INDEX('Summarized Source Data'!$K$1269:$K$1412,MATCH(1,($A5=LoadFactorSeasons)*(L$1=LoadFactorHours),0),)</f>
        <v>8.9836073871952445E-5</v>
      </c>
      <c r="M5" s="7" cm="1">
        <f t="array" ref="M5">INDEX('Summarized Source Data'!$K$1269:$K$1412,MATCH(1,($A5=LoadFactorSeasons)*(M$1=LoadFactorHours),0),)</f>
        <v>9.5676855724671742E-5</v>
      </c>
      <c r="N5" s="7" cm="1">
        <f t="array" ref="N5">INDEX('Summarized Source Data'!$K$1269:$K$1412,MATCH(1,($A5=LoadFactorSeasons)*(N$1=LoadFactorHours),0),)</f>
        <v>9.7660027269708352E-5</v>
      </c>
      <c r="O5" s="7" cm="1">
        <f t="array" ref="O5">INDEX('Summarized Source Data'!$K$1269:$K$1412,MATCH(1,($A5=LoadFactorSeasons)*(O$1=LoadFactorHours),0),)</f>
        <v>1.0177929490280479E-4</v>
      </c>
      <c r="P5" s="7" cm="1">
        <f t="array" ref="P5">INDEX('Summarized Source Data'!$K$1269:$K$1412,MATCH(1,($A5=LoadFactorSeasons)*(P$1=LoadFactorHours),0),)</f>
        <v>1.0378960191336093E-4</v>
      </c>
      <c r="Q5" s="7" cm="1">
        <f t="array" ref="Q5">INDEX('Summarized Source Data'!$K$1269:$K$1412,MATCH(1,($A5=LoadFactorSeasons)*(Q$1=LoadFactorHours),0),)</f>
        <v>1.0300704560609292E-4</v>
      </c>
      <c r="R5" s="7" cm="1">
        <f t="array" ref="R5">INDEX('Summarized Source Data'!$K$1269:$K$1412,MATCH(1,($A5=LoadFactorSeasons)*(R$1=LoadFactorHours),0),)</f>
        <v>9.9389109093410338E-5</v>
      </c>
      <c r="S5" s="7" cm="1">
        <f t="array" ref="S5">INDEX('Summarized Source Data'!$K$1269:$K$1412,MATCH(1,($A5=LoadFactorSeasons)*(S$1=LoadFactorHours),0),)</f>
        <v>9.2371972916639614E-5</v>
      </c>
      <c r="T5" s="7" cm="1">
        <f t="array" ref="T5">INDEX('Summarized Source Data'!$K$1269:$K$1412,MATCH(1,($A5=LoadFactorSeasons)*(T$1=LoadFactorHours),0),)</f>
        <v>8.4605165951636771E-5</v>
      </c>
      <c r="U5" s="7" cm="1">
        <f t="array" ref="U5">INDEX('Summarized Source Data'!$K$1269:$K$1412,MATCH(1,($A5=LoadFactorSeasons)*(U$1=LoadFactorHours),0),)</f>
        <v>7.5446796564757239E-5</v>
      </c>
      <c r="V5" s="7" cm="1">
        <f t="array" ref="V5">INDEX('Summarized Source Data'!$K$1269:$K$1412,MATCH(1,($A5=LoadFactorSeasons)*(V$1=LoadFactorHours),0),)</f>
        <v>6.633387149435928E-5</v>
      </c>
      <c r="W5" s="7" cm="1">
        <f t="array" ref="W5">INDEX('Summarized Source Data'!$K$1269:$K$1412,MATCH(1,($A5=LoadFactorSeasons)*(W$1=LoadFactorHours),0),)</f>
        <v>5.7828906904473647E-5</v>
      </c>
      <c r="X5" s="7" cm="1">
        <f t="array" ref="X5">INDEX('Summarized Source Data'!$K$1269:$K$1412,MATCH(1,($A5=LoadFactorSeasons)*(X$1=LoadFactorHours),0),)</f>
        <v>5.0513235166236693E-5</v>
      </c>
      <c r="Y5" s="7" cm="1">
        <f t="array" ref="Y5">INDEX('Summarized Source Data'!$K$1269:$K$1412,MATCH(1,($A5=LoadFactorSeasons)*(Y$1=LoadFactorHours),0),)</f>
        <v>4.3927740944713606E-5</v>
      </c>
    </row>
    <row r="6" spans="1:25" x14ac:dyDescent="0.3">
      <c r="A6" s="7" t="s">
        <v>167</v>
      </c>
      <c r="B6" s="7" cm="1">
        <f t="array" ref="B6">INDEX('Summarized Source Data'!$K$1269:$K$1412,MATCH(1,($A6=LoadFactorSeasons)*(B$1=LoadFactorHours),0),)</f>
        <v>4.0221801749809724E-4</v>
      </c>
      <c r="C6" s="7" cm="1">
        <f t="array" ref="C6">INDEX('Summarized Source Data'!$K$1269:$K$1412,MATCH(1,($A6=LoadFactorSeasons)*(C$1=LoadFactorHours),0),)</f>
        <v>3.7336693607418309E-4</v>
      </c>
      <c r="D6" s="7" cm="1">
        <f t="array" ref="D6">INDEX('Summarized Source Data'!$K$1269:$K$1412,MATCH(1,($A6=LoadFactorSeasons)*(D$1=LoadFactorHours),0),)</f>
        <v>3.6148707901727722E-4</v>
      </c>
      <c r="E6" s="7" cm="1">
        <f t="array" ref="E6">INDEX('Summarized Source Data'!$K$1269:$K$1412,MATCH(1,($A6=LoadFactorSeasons)*(E$1=LoadFactorHours),0),)</f>
        <v>3.6318420145397808E-4</v>
      </c>
      <c r="F6" s="7" cm="1">
        <f t="array" ref="F6">INDEX('Summarized Source Data'!$K$1269:$K$1412,MATCH(1,($A6=LoadFactorSeasons)*(F$1=LoadFactorHours),0),)</f>
        <v>3.7676118094758475E-4</v>
      </c>
      <c r="G6" s="7" cm="1">
        <f t="array" ref="G6">INDEX('Summarized Source Data'!$K$1269:$K$1412,MATCH(1,($A6=LoadFactorSeasons)*(G$1=LoadFactorHours),0),)</f>
        <v>4.073093848081997E-4</v>
      </c>
      <c r="H6" s="7" cm="1">
        <f t="array" ref="H6">INDEX('Summarized Source Data'!$K$1269:$K$1412,MATCH(1,($A6=LoadFactorSeasons)*(H$1=LoadFactorHours),0),)</f>
        <v>4.6501154765602799E-4</v>
      </c>
      <c r="I6" s="7" cm="1">
        <f t="array" ref="I6">INDEX('Summarized Source Data'!$K$1269:$K$1412,MATCH(1,($A6=LoadFactorSeasons)*(I$1=LoadFactorHours),0),)</f>
        <v>5.5495903680117208E-4</v>
      </c>
      <c r="J6" s="7" cm="1">
        <f t="array" ref="J6">INDEX('Summarized Source Data'!$K$1269:$K$1412,MATCH(1,($A6=LoadFactorSeasons)*(J$1=LoadFactorHours),0),)</f>
        <v>6.7375760737023037E-4</v>
      </c>
      <c r="K6" s="7" cm="1">
        <f t="array" ref="K6">INDEX('Summarized Source Data'!$K$1269:$K$1412,MATCH(1,($A6=LoadFactorSeasons)*(K$1=LoadFactorHours),0),)</f>
        <v>7.6540221895207532E-4</v>
      </c>
      <c r="L6" s="7" cm="1">
        <f t="array" ref="L6">INDEX('Summarized Source Data'!$K$1269:$K$1412,MATCH(1,($A6=LoadFactorSeasons)*(L$1=LoadFactorHours),0),)</f>
        <v>8.2989287154670692E-4</v>
      </c>
      <c r="M6" s="7" cm="1">
        <f t="array" ref="M6">INDEX('Summarized Source Data'!$K$1269:$K$1412,MATCH(1,($A6=LoadFactorSeasons)*(M$1=LoadFactorHours),0),)</f>
        <v>8.6722956515412517E-4</v>
      </c>
      <c r="N6" s="7" cm="1">
        <f t="array" ref="N6">INDEX('Summarized Source Data'!$K$1269:$K$1412,MATCH(1,($A6=LoadFactorSeasons)*(N$1=LoadFactorHours),0),)</f>
        <v>8.7401805490092859E-4</v>
      </c>
      <c r="O6" s="7" cm="1">
        <f t="array" ref="O6">INDEX('Summarized Source Data'!$K$1269:$K$1412,MATCH(1,($A6=LoadFactorSeasons)*(O$1=LoadFactorHours),0),)</f>
        <v>8.9947489145144103E-4</v>
      </c>
      <c r="P6" s="7" cm="1">
        <f t="array" ref="P6">INDEX('Summarized Source Data'!$K$1269:$K$1412,MATCH(1,($A6=LoadFactorSeasons)*(P$1=LoadFactorHours),0),)</f>
        <v>9.1814323825515015E-4</v>
      </c>
      <c r="Q6" s="7" cm="1">
        <f t="array" ref="Q6">INDEX('Summarized Source Data'!$K$1269:$K$1412,MATCH(1,($A6=LoadFactorSeasons)*(Q$1=LoadFactorHours),0),)</f>
        <v>9.1305187094504765E-4</v>
      </c>
      <c r="R6" s="7" cm="1">
        <f t="array" ref="R6">INDEX('Summarized Source Data'!$K$1269:$K$1412,MATCH(1,($A6=LoadFactorSeasons)*(R$1=LoadFactorHours),0),)</f>
        <v>8.8759503439453521E-4</v>
      </c>
      <c r="S6" s="7" cm="1">
        <f t="array" ref="S6">INDEX('Summarized Source Data'!$K$1269:$K$1412,MATCH(1,($A6=LoadFactorSeasons)*(S$1=LoadFactorHours),0),)</f>
        <v>8.3837848373021103E-4</v>
      </c>
      <c r="T6" s="7" cm="1">
        <f t="array" ref="T6">INDEX('Summarized Source Data'!$K$1269:$K$1412,MATCH(1,($A6=LoadFactorSeasons)*(T$1=LoadFactorHours),0),)</f>
        <v>7.8746481062918615E-4</v>
      </c>
      <c r="U6" s="7" cm="1">
        <f t="array" ref="U6">INDEX('Summarized Source Data'!$K$1269:$K$1412,MATCH(1,($A6=LoadFactorSeasons)*(U$1=LoadFactorHours),0),)</f>
        <v>7.2127703559785364E-4</v>
      </c>
      <c r="V6" s="7" cm="1">
        <f t="array" ref="V6">INDEX('Summarized Source Data'!$K$1269:$K$1412,MATCH(1,($A6=LoadFactorSeasons)*(V$1=LoadFactorHours),0),)</f>
        <v>6.5848350543992284E-4</v>
      </c>
      <c r="W6" s="7" cm="1">
        <f t="array" ref="W6">INDEX('Summarized Source Data'!$K$1269:$K$1412,MATCH(1,($A6=LoadFactorSeasons)*(W$1=LoadFactorHours),0),)</f>
        <v>5.9399285284529124E-4</v>
      </c>
      <c r="X6" s="7" cm="1">
        <f t="array" ref="X6">INDEX('Summarized Source Data'!$K$1269:$K$1412,MATCH(1,($A6=LoadFactorSeasons)*(X$1=LoadFactorHours),0),)</f>
        <v>5.2950220025065964E-4</v>
      </c>
      <c r="Y6" s="7" cm="1">
        <f t="array" ref="Y6">INDEX('Summarized Source Data'!$K$1269:$K$1412,MATCH(1,($A6=LoadFactorSeasons)*(Y$1=LoadFactorHours),0),)</f>
        <v>4.5822305790922468E-4</v>
      </c>
    </row>
    <row r="7" spans="1:25" x14ac:dyDescent="0.3">
      <c r="A7" s="7" t="s">
        <v>166</v>
      </c>
      <c r="B7" s="7" cm="1">
        <f t="array" ref="B7">INDEX('Summarized Source Data'!$K$1269:$K$1412,MATCH(1,($A7=LoadFactorSeasons)*(B$1=LoadFactorHours),0),)</f>
        <v>2.1437371771430232E-7</v>
      </c>
      <c r="C7" s="7" cm="1">
        <f t="array" ref="C7">INDEX('Summarized Source Data'!$K$1269:$K$1412,MATCH(1,($A7=LoadFactorSeasons)*(C$1=LoadFactorHours),0),)</f>
        <v>2.0214085919056272E-7</v>
      </c>
      <c r="D7" s="7" cm="1">
        <f t="array" ref="D7">INDEX('Summarized Source Data'!$K$1269:$K$1412,MATCH(1,($A7=LoadFactorSeasons)*(D$1=LoadFactorHours),0),)</f>
        <v>1.970359149009666E-7</v>
      </c>
      <c r="E7" s="7" cm="1">
        <f t="array" ref="E7">INDEX('Summarized Source Data'!$K$1269:$K$1412,MATCH(1,($A7=LoadFactorSeasons)*(E$1=LoadFactorHours),0),)</f>
        <v>1.94157595248322E-7</v>
      </c>
      <c r="F7" s="7" cm="1">
        <f t="array" ref="F7">INDEX('Summarized Source Data'!$K$1269:$K$1412,MATCH(1,($A7=LoadFactorSeasons)*(F$1=LoadFactorHours),0),)</f>
        <v>1.935364484364895E-7</v>
      </c>
      <c r="G7" s="7" cm="1">
        <f t="array" ref="G7">INDEX('Summarized Source Data'!$K$1269:$K$1412,MATCH(1,($A7=LoadFactorSeasons)*(G$1=LoadFactorHours),0),)</f>
        <v>1.9958668992332797E-7</v>
      </c>
      <c r="H7" s="7" cm="1">
        <f t="array" ref="H7">INDEX('Summarized Source Data'!$K$1269:$K$1412,MATCH(1,($A7=LoadFactorSeasons)*(H$1=LoadFactorHours),0),)</f>
        <v>2.2122500099126357E-7</v>
      </c>
      <c r="I7" s="7" cm="1">
        <f t="array" ref="I7">INDEX('Summarized Source Data'!$K$1269:$K$1412,MATCH(1,($A7=LoadFactorSeasons)*(I$1=LoadFactorHours),0),)</f>
        <v>2.639110245191629E-7</v>
      </c>
      <c r="J7" s="7" cm="1">
        <f t="array" ref="J7">INDEX('Summarized Source Data'!$K$1269:$K$1412,MATCH(1,($A7=LoadFactorSeasons)*(J$1=LoadFactorHours),0),)</f>
        <v>3.2666042949373948E-7</v>
      </c>
      <c r="K7" s="7" cm="1">
        <f t="array" ref="K7">INDEX('Summarized Source Data'!$K$1269:$K$1412,MATCH(1,($A7=LoadFactorSeasons)*(K$1=LoadFactorHours),0),)</f>
        <v>3.667294902242461E-7</v>
      </c>
      <c r="L7" s="7" cm="1">
        <f t="array" ref="L7">INDEX('Summarized Source Data'!$K$1269:$K$1412,MATCH(1,($A7=LoadFactorSeasons)*(L$1=LoadFactorHours),0),)</f>
        <v>3.87554879645002E-7</v>
      </c>
      <c r="M7" s="7" cm="1">
        <f t="array" ref="M7">INDEX('Summarized Source Data'!$K$1269:$K$1412,MATCH(1,($A7=LoadFactorSeasons)*(M$1=LoadFactorHours),0),)</f>
        <v>3.9243580377295362E-7</v>
      </c>
      <c r="N7" s="7" cm="1">
        <f t="array" ref="N7">INDEX('Summarized Source Data'!$K$1269:$K$1412,MATCH(1,($A7=LoadFactorSeasons)*(N$1=LoadFactorHours),0),)</f>
        <v>3.7799498895906624E-7</v>
      </c>
      <c r="O7" s="7" cm="1">
        <f t="array" ref="O7">INDEX('Summarized Source Data'!$K$1269:$K$1412,MATCH(1,($A7=LoadFactorSeasons)*(O$1=LoadFactorHours),0),)</f>
        <v>3.8694052132291631E-7</v>
      </c>
      <c r="P7" s="7" cm="1">
        <f t="array" ref="P7">INDEX('Summarized Source Data'!$K$1269:$K$1412,MATCH(1,($A7=LoadFactorSeasons)*(P$1=LoadFactorHours),0),)</f>
        <v>3.9656659978388342E-7</v>
      </c>
      <c r="Q7" s="7" cm="1">
        <f t="array" ref="Q7">INDEX('Summarized Source Data'!$K$1269:$K$1412,MATCH(1,($A7=LoadFactorSeasons)*(Q$1=LoadFactorHours),0),)</f>
        <v>3.9673461490511684E-7</v>
      </c>
      <c r="R7" s="7" cm="1">
        <f t="array" ref="R7">INDEX('Summarized Source Data'!$K$1269:$K$1412,MATCH(1,($A7=LoadFactorSeasons)*(R$1=LoadFactorHours),0),)</f>
        <v>3.8859012433138956E-7</v>
      </c>
      <c r="S7" s="7" cm="1">
        <f t="array" ref="S7">INDEX('Summarized Source Data'!$K$1269:$K$1412,MATCH(1,($A7=LoadFactorSeasons)*(S$1=LoadFactorHours),0),)</f>
        <v>3.7049201066641187E-7</v>
      </c>
      <c r="T7" s="7" cm="1">
        <f t="array" ref="T7">INDEX('Summarized Source Data'!$K$1269:$K$1412,MATCH(1,($A7=LoadFactorSeasons)*(T$1=LoadFactorHours),0),)</f>
        <v>3.5480890222885949E-7</v>
      </c>
      <c r="U7" s="7" cm="1">
        <f t="array" ref="U7">INDEX('Summarized Source Data'!$K$1269:$K$1412,MATCH(1,($A7=LoadFactorSeasons)*(U$1=LoadFactorHours),0),)</f>
        <v>3.3242725153364892E-7</v>
      </c>
      <c r="V7" s="7" cm="1">
        <f t="array" ref="V7">INDEX('Summarized Source Data'!$K$1269:$K$1412,MATCH(1,($A7=LoadFactorSeasons)*(V$1=LoadFactorHours),0),)</f>
        <v>3.1360446658819996E-7</v>
      </c>
      <c r="W7" s="7" cm="1">
        <f t="array" ref="W7">INDEX('Summarized Source Data'!$K$1269:$K$1412,MATCH(1,($A7=LoadFactorSeasons)*(W$1=LoadFactorHours),0),)</f>
        <v>2.9440322333936675E-7</v>
      </c>
      <c r="X7" s="7" cm="1">
        <f t="array" ref="X7">INDEX('Summarized Source Data'!$K$1269:$K$1412,MATCH(1,($A7=LoadFactorSeasons)*(X$1=LoadFactorHours),0),)</f>
        <v>2.7131556971048863E-7</v>
      </c>
      <c r="Y7" s="7" cm="1">
        <f t="array" ref="Y7">INDEX('Summarized Source Data'!$K$1269:$K$1412,MATCH(1,($A7=LoadFactorSeasons)*(Y$1=LoadFactorHours),0),)</f>
        <v>2.3977624634684039E-7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10335-104A-43E1-8BB9-3B8DD97A7DD0}">
  <sheetPr codeName="Sheet17">
    <tabColor rgb="FF002060"/>
  </sheetPr>
  <dimension ref="A1:Y19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</row>
    <row r="3" spans="1:25" x14ac:dyDescent="0.3">
      <c r="A3" s="7" t="s">
        <v>162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</row>
    <row r="4" spans="1:25" x14ac:dyDescent="0.3">
      <c r="A4" s="7" t="s">
        <v>163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</row>
    <row r="5" spans="1:25" x14ac:dyDescent="0.3">
      <c r="A5" s="7" t="s">
        <v>164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</row>
    <row r="6" spans="1:25" x14ac:dyDescent="0.3">
      <c r="A6" s="7" t="s">
        <v>167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</row>
    <row r="7" spans="1:25" x14ac:dyDescent="0.3">
      <c r="A7" s="7" t="s">
        <v>166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FA03-780D-4CF8-8452-AE3A7CC3231B}">
  <sheetPr codeName="Sheet18">
    <tabColor rgb="FF002060"/>
  </sheetPr>
  <dimension ref="A1:Y19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 cm="1">
        <f t="array" ref="B2">INDEX('Summarized Source Data'!$M$1269:$M$1412,MATCH(1,($A2=LoadFactorSeasons)*(B$1=LoadFactorHours),0),)</f>
        <v>5.4260108128280417E-5</v>
      </c>
      <c r="C2" s="7" cm="1">
        <f t="array" ref="C2">INDEX('Summarized Source Data'!$M$1269:$M$1412,MATCH(1,($A2=LoadFactorSeasons)*(C$1=LoadFactorHours),0),)</f>
        <v>5.2290515695769964E-5</v>
      </c>
      <c r="D2" s="7" cm="1">
        <f t="array" ref="D2">INDEX('Summarized Source Data'!$M$1269:$M$1412,MATCH(1,($A2=LoadFactorSeasons)*(D$1=LoadFactorHours),0),)</f>
        <v>5.2047653397883073E-5</v>
      </c>
      <c r="E2" s="7" cm="1">
        <f t="array" ref="E2">INDEX('Summarized Source Data'!$M$1269:$M$1412,MATCH(1,($A2=LoadFactorSeasons)*(E$1=LoadFactorHours),0),)</f>
        <v>5.3976750432844046E-5</v>
      </c>
      <c r="F2" s="7" cm="1">
        <f t="array" ref="F2">INDEX('Summarized Source Data'!$M$1269:$M$1412,MATCH(1,($A2=LoadFactorSeasons)*(F$1=LoadFactorHours),0),)</f>
        <v>5.7046297046918281E-5</v>
      </c>
      <c r="G2" s="7" cm="1">
        <f t="array" ref="G2">INDEX('Summarized Source Data'!$M$1269:$M$1412,MATCH(1,($A2=LoadFactorSeasons)*(G$1=LoadFactorHours),0),)</f>
        <v>6.5928748726997241E-5</v>
      </c>
      <c r="H2" s="7" cm="1">
        <f t="array" ref="H2">INDEX('Summarized Source Data'!$M$1269:$M$1412,MATCH(1,($A2=LoadFactorSeasons)*(H$1=LoadFactorHours),0),)</f>
        <v>9.5885792786772937E-5</v>
      </c>
      <c r="I2" s="7" cm="1">
        <f t="array" ref="I2">INDEX('Summarized Source Data'!$M$1269:$M$1412,MATCH(1,($A2=LoadFactorSeasons)*(I$1=LoadFactorHours),0),)</f>
        <v>1.3082671813706645E-4</v>
      </c>
      <c r="J2" s="7" cm="1">
        <f t="array" ref="J2">INDEX('Summarized Source Data'!$M$1269:$M$1412,MATCH(1,($A2=LoadFactorSeasons)*(J$1=LoadFactorHours),0),)</f>
        <v>1.6097665102702191E-4</v>
      </c>
      <c r="K2" s="7" cm="1">
        <f t="array" ref="K2">INDEX('Summarized Source Data'!$M$1269:$M$1412,MATCH(1,($A2=LoadFactorSeasons)*(K$1=LoadFactorHours),0),)</f>
        <v>1.6966439572470038E-4</v>
      </c>
      <c r="L2" s="7" cm="1">
        <f t="array" ref="L2">INDEX('Summarized Source Data'!$M$1269:$M$1412,MATCH(1,($A2=LoadFactorSeasons)*(L$1=LoadFactorHours),0),)</f>
        <v>1.685207024754286E-4</v>
      </c>
      <c r="M2" s="7" cm="1">
        <f t="array" ref="M2">INDEX('Summarized Source Data'!$M$1269:$M$1412,MATCH(1,($A2=LoadFactorSeasons)*(M$1=LoadFactorHours),0),)</f>
        <v>1.6803548504416008E-4</v>
      </c>
      <c r="N2" s="7" cm="1">
        <f t="array" ref="N2">INDEX('Summarized Source Data'!$M$1269:$M$1412,MATCH(1,($A2=LoadFactorSeasons)*(N$1=LoadFactorHours),0),)</f>
        <v>1.655082640517377E-4</v>
      </c>
      <c r="O2" s="7" cm="1">
        <f t="array" ref="O2">INDEX('Summarized Source Data'!$M$1269:$M$1412,MATCH(1,($A2=LoadFactorSeasons)*(O$1=LoadFactorHours),0),)</f>
        <v>1.6499198613711518E-4</v>
      </c>
      <c r="P2" s="7" cm="1">
        <f t="array" ref="P2">INDEX('Summarized Source Data'!$M$1269:$M$1412,MATCH(1,($A2=LoadFactorSeasons)*(P$1=LoadFactorHours),0),)</f>
        <v>1.6423127350752263E-4</v>
      </c>
      <c r="Q2" s="7" cm="1">
        <f t="array" ref="Q2">INDEX('Summarized Source Data'!$M$1269:$M$1412,MATCH(1,($A2=LoadFactorSeasons)*(Q$1=LoadFactorHours),0),)</f>
        <v>1.6324403338637466E-4</v>
      </c>
      <c r="R2" s="7" cm="1">
        <f t="array" ref="R2">INDEX('Summarized Source Data'!$M$1269:$M$1412,MATCH(1,($A2=LoadFactorSeasons)*(R$1=LoadFactorHours),0),)</f>
        <v>1.5765404812284492E-4</v>
      </c>
      <c r="S2" s="7" cm="1">
        <f t="array" ref="S2">INDEX('Summarized Source Data'!$M$1269:$M$1412,MATCH(1,($A2=LoadFactorSeasons)*(S$1=LoadFactorHours),0),)</f>
        <v>1.4888799872238428E-4</v>
      </c>
      <c r="T2" s="7" cm="1">
        <f t="array" ref="T2">INDEX('Summarized Source Data'!$M$1269:$M$1412,MATCH(1,($A2=LoadFactorSeasons)*(T$1=LoadFactorHours),0),)</f>
        <v>1.4227229636380766E-4</v>
      </c>
      <c r="U2" s="7" cm="1">
        <f t="array" ref="U2">INDEX('Summarized Source Data'!$M$1269:$M$1412,MATCH(1,($A2=LoadFactorSeasons)*(U$1=LoadFactorHours),0),)</f>
        <v>1.2081606787372315E-4</v>
      </c>
      <c r="V2" s="7" cm="1">
        <f t="array" ref="V2">INDEX('Summarized Source Data'!$M$1269:$M$1412,MATCH(1,($A2=LoadFactorSeasons)*(V$1=LoadFactorHours),0),)</f>
        <v>1.0173274044034067E-4</v>
      </c>
      <c r="W2" s="7" cm="1">
        <f t="array" ref="W2">INDEX('Summarized Source Data'!$M$1269:$M$1412,MATCH(1,($A2=LoadFactorSeasons)*(W$1=LoadFactorHours),0),)</f>
        <v>8.3862338539387703E-5</v>
      </c>
      <c r="X2" s="7" cm="1">
        <f t="array" ref="X2">INDEX('Summarized Source Data'!$M$1269:$M$1412,MATCH(1,($A2=LoadFactorSeasons)*(X$1=LoadFactorHours),0),)</f>
        <v>7.1770580994686564E-5</v>
      </c>
      <c r="Y2" s="7" cm="1">
        <f t="array" ref="Y2">INDEX('Summarized Source Data'!$M$1269:$M$1412,MATCH(1,($A2=LoadFactorSeasons)*(Y$1=LoadFactorHours),0),)</f>
        <v>6.2979487906716556E-5</v>
      </c>
    </row>
    <row r="3" spans="1:25" x14ac:dyDescent="0.3">
      <c r="A3" s="7" t="s">
        <v>162</v>
      </c>
      <c r="B3" s="7" cm="1">
        <f t="array" ref="B3">INDEX('Summarized Source Data'!$M$1269:$M$1412,MATCH(1,($A3=LoadFactorSeasons)*(B$1=LoadFactorHours),0),)</f>
        <v>5.3499179365142446E-5</v>
      </c>
      <c r="C3" s="7" cm="1">
        <f t="array" ref="C3">INDEX('Summarized Source Data'!$M$1269:$M$1412,MATCH(1,($A3=LoadFactorSeasons)*(C$1=LoadFactorHours),0),)</f>
        <v>5.1679891843861563E-5</v>
      </c>
      <c r="D3" s="7" cm="1">
        <f t="array" ref="D3">INDEX('Summarized Source Data'!$M$1269:$M$1412,MATCH(1,($A3=LoadFactorSeasons)*(D$1=LoadFactorHours),0),)</f>
        <v>5.1374969749717329E-5</v>
      </c>
      <c r="E3" s="7" cm="1">
        <f t="array" ref="E3">INDEX('Summarized Source Data'!$M$1269:$M$1412,MATCH(1,($A3=LoadFactorSeasons)*(E$1=LoadFactorHours),0),)</f>
        <v>5.3395876969043384E-5</v>
      </c>
      <c r="F3" s="7" cm="1">
        <f t="array" ref="F3">INDEX('Summarized Source Data'!$M$1269:$M$1412,MATCH(1,($A3=LoadFactorSeasons)*(F$1=LoadFactorHours),0),)</f>
        <v>5.6256718645512603E-5</v>
      </c>
      <c r="G3" s="7" cm="1">
        <f t="array" ref="G3">INDEX('Summarized Source Data'!$M$1269:$M$1412,MATCH(1,($A3=LoadFactorSeasons)*(G$1=LoadFactorHours),0),)</f>
        <v>6.4907531363051589E-5</v>
      </c>
      <c r="H3" s="7" cm="1">
        <f t="array" ref="H3">INDEX('Summarized Source Data'!$M$1269:$M$1412,MATCH(1,($A3=LoadFactorSeasons)*(H$1=LoadFactorHours),0),)</f>
        <v>9.4009684313419651E-5</v>
      </c>
      <c r="I3" s="7" cm="1">
        <f t="array" ref="I3">INDEX('Summarized Source Data'!$M$1269:$M$1412,MATCH(1,($A3=LoadFactorSeasons)*(I$1=LoadFactorHours),0),)</f>
        <v>1.278986158857922E-4</v>
      </c>
      <c r="J3" s="7" cm="1">
        <f t="array" ref="J3">INDEX('Summarized Source Data'!$M$1269:$M$1412,MATCH(1,($A3=LoadFactorSeasons)*(J$1=LoadFactorHours),0),)</f>
        <v>1.5757972823858662E-4</v>
      </c>
      <c r="K3" s="7" cm="1">
        <f t="array" ref="K3">INDEX('Summarized Source Data'!$M$1269:$M$1412,MATCH(1,($A3=LoadFactorSeasons)*(K$1=LoadFactorHours),0),)</f>
        <v>1.6631469743342254E-4</v>
      </c>
      <c r="L3" s="7" cm="1">
        <f t="array" ref="L3">INDEX('Summarized Source Data'!$M$1269:$M$1412,MATCH(1,($A3=LoadFactorSeasons)*(L$1=LoadFactorHours),0),)</f>
        <v>1.6552021145255989E-4</v>
      </c>
      <c r="M3" s="7" cm="1">
        <f t="array" ref="M3">INDEX('Summarized Source Data'!$M$1269:$M$1412,MATCH(1,($A3=LoadFactorSeasons)*(M$1=LoadFactorHours),0),)</f>
        <v>1.6505463407986531E-4</v>
      </c>
      <c r="N3" s="7" cm="1">
        <f t="array" ref="N3">INDEX('Summarized Source Data'!$M$1269:$M$1412,MATCH(1,($A3=LoadFactorSeasons)*(N$1=LoadFactorHours),0),)</f>
        <v>1.6245912602268897E-4</v>
      </c>
      <c r="O3" s="7" cm="1">
        <f t="array" ref="O3">INDEX('Summarized Source Data'!$M$1269:$M$1412,MATCH(1,($A3=LoadFactorSeasons)*(O$1=LoadFactorHours),0),)</f>
        <v>1.6206506821632899E-4</v>
      </c>
      <c r="P3" s="7" cm="1">
        <f t="array" ref="P3">INDEX('Summarized Source Data'!$M$1269:$M$1412,MATCH(1,($A3=LoadFactorSeasons)*(P$1=LoadFactorHours),0),)</f>
        <v>1.6128515741657519E-4</v>
      </c>
      <c r="Q3" s="7" cm="1">
        <f t="array" ref="Q3">INDEX('Summarized Source Data'!$M$1269:$M$1412,MATCH(1,($A3=LoadFactorSeasons)*(Q$1=LoadFactorHours),0),)</f>
        <v>1.6039223683455916E-4</v>
      </c>
      <c r="R3" s="7" cm="1">
        <f t="array" ref="R3">INDEX('Summarized Source Data'!$M$1269:$M$1412,MATCH(1,($A3=LoadFactorSeasons)*(R$1=LoadFactorHours),0),)</f>
        <v>1.5487837981755886E-4</v>
      </c>
      <c r="S3" s="7" cm="1">
        <f t="array" ref="S3">INDEX('Summarized Source Data'!$M$1269:$M$1412,MATCH(1,($A3=LoadFactorSeasons)*(S$1=LoadFactorHours),0),)</f>
        <v>1.4644474382367615E-4</v>
      </c>
      <c r="T3" s="7" cm="1">
        <f t="array" ref="T3">INDEX('Summarized Source Data'!$M$1269:$M$1412,MATCH(1,($A3=LoadFactorSeasons)*(T$1=LoadFactorHours),0),)</f>
        <v>1.3979032741412225E-4</v>
      </c>
      <c r="U3" s="7" cm="1">
        <f t="array" ref="U3">INDEX('Summarized Source Data'!$M$1269:$M$1412,MATCH(1,($A3=LoadFactorSeasons)*(U$1=LoadFactorHours),0),)</f>
        <v>1.1863217622766039E-4</v>
      </c>
      <c r="V3" s="7" cm="1">
        <f t="array" ref="V3">INDEX('Summarized Source Data'!$M$1269:$M$1412,MATCH(1,($A3=LoadFactorSeasons)*(V$1=LoadFactorHours),0),)</f>
        <v>9.9909285514737702E-5</v>
      </c>
      <c r="W3" s="7" cm="1">
        <f t="array" ref="W3">INDEX('Summarized Source Data'!$M$1269:$M$1412,MATCH(1,($A3=LoadFactorSeasons)*(W$1=LoadFactorHours),0),)</f>
        <v>8.2444248634307979E-5</v>
      </c>
      <c r="X3" s="7" cm="1">
        <f t="array" ref="X3">INDEX('Summarized Source Data'!$M$1269:$M$1412,MATCH(1,($A3=LoadFactorSeasons)*(X$1=LoadFactorHours),0),)</f>
        <v>7.0531946818843007E-5</v>
      </c>
      <c r="Y3" s="7" cm="1">
        <f t="array" ref="Y3">INDEX('Summarized Source Data'!$M$1269:$M$1412,MATCH(1,($A3=LoadFactorSeasons)*(Y$1=LoadFactorHours),0),)</f>
        <v>6.2032610526638961E-5</v>
      </c>
    </row>
    <row r="4" spans="1:25" x14ac:dyDescent="0.3">
      <c r="A4" s="7" t="s">
        <v>163</v>
      </c>
      <c r="B4" s="7" cm="1">
        <f t="array" ref="B4">INDEX('Summarized Source Data'!$M$1269:$M$1412,MATCH(1,($A4=LoadFactorSeasons)*(B$1=LoadFactorHours),0),)</f>
        <v>5.3295260047185863E-5</v>
      </c>
      <c r="C4" s="7" cm="1">
        <f t="array" ref="C4">INDEX('Summarized Source Data'!$M$1269:$M$1412,MATCH(1,($A4=LoadFactorSeasons)*(C$1=LoadFactorHours),0),)</f>
        <v>5.1369483036027669E-5</v>
      </c>
      <c r="D4" s="7" cm="1">
        <f t="array" ref="D4">INDEX('Summarized Source Data'!$M$1269:$M$1412,MATCH(1,($A4=LoadFactorSeasons)*(D$1=LoadFactorHours),0),)</f>
        <v>5.105221318848285E-5</v>
      </c>
      <c r="E4" s="7" cm="1">
        <f t="array" ref="E4">INDEX('Summarized Source Data'!$M$1269:$M$1412,MATCH(1,($A4=LoadFactorSeasons)*(E$1=LoadFactorHours),0),)</f>
        <v>5.3031211164704057E-5</v>
      </c>
      <c r="F4" s="7" cm="1">
        <f t="array" ref="F4">INDEX('Summarized Source Data'!$M$1269:$M$1412,MATCH(1,($A4=LoadFactorSeasons)*(F$1=LoadFactorHours),0),)</f>
        <v>5.5787439586984333E-5</v>
      </c>
      <c r="G4" s="7" cm="1">
        <f t="array" ref="G4">INDEX('Summarized Source Data'!$M$1269:$M$1412,MATCH(1,($A4=LoadFactorSeasons)*(G$1=LoadFactorHours),0),)</f>
        <v>6.4272098819047845E-5</v>
      </c>
      <c r="H4" s="7" cm="1">
        <f t="array" ref="H4">INDEX('Summarized Source Data'!$M$1269:$M$1412,MATCH(1,($A4=LoadFactorSeasons)*(H$1=LoadFactorHours),0),)</f>
        <v>9.3240086276610105E-5</v>
      </c>
      <c r="I4" s="7" cm="1">
        <f t="array" ref="I4">INDEX('Summarized Source Data'!$M$1269:$M$1412,MATCH(1,($A4=LoadFactorSeasons)*(I$1=LoadFactorHours),0),)</f>
        <v>1.2647504174140241E-4</v>
      </c>
      <c r="J4" s="7" cm="1">
        <f t="array" ref="J4">INDEX('Summarized Source Data'!$M$1269:$M$1412,MATCH(1,($A4=LoadFactorSeasons)*(J$1=LoadFactorHours),0),)</f>
        <v>1.5616887502081184E-4</v>
      </c>
      <c r="K4" s="7" cm="1">
        <f t="array" ref="K4">INDEX('Summarized Source Data'!$M$1269:$M$1412,MATCH(1,($A4=LoadFactorSeasons)*(K$1=LoadFactorHours),0),)</f>
        <v>1.6491508515088091E-4</v>
      </c>
      <c r="L4" s="7" cm="1">
        <f t="array" ref="L4">INDEX('Summarized Source Data'!$M$1269:$M$1412,MATCH(1,($A4=LoadFactorSeasons)*(L$1=LoadFactorHours),0),)</f>
        <v>1.6409861867349579E-4</v>
      </c>
      <c r="M4" s="7" cm="1">
        <f t="array" ref="M4">INDEX('Summarized Source Data'!$M$1269:$M$1412,MATCH(1,($A4=LoadFactorSeasons)*(M$1=LoadFactorHours),0),)</f>
        <v>1.6369423612040676E-4</v>
      </c>
      <c r="N4" s="7" cm="1">
        <f t="array" ref="N4">INDEX('Summarized Source Data'!$M$1269:$M$1412,MATCH(1,($A4=LoadFactorSeasons)*(N$1=LoadFactorHours),0),)</f>
        <v>1.6157729054152949E-4</v>
      </c>
      <c r="O4" s="7" cm="1">
        <f t="array" ref="O4">INDEX('Summarized Source Data'!$M$1269:$M$1412,MATCH(1,($A4=LoadFactorSeasons)*(O$1=LoadFactorHours),0),)</f>
        <v>1.6053120156373602E-4</v>
      </c>
      <c r="P4" s="7" cm="1">
        <f t="array" ref="P4">INDEX('Summarized Source Data'!$M$1269:$M$1412,MATCH(1,($A4=LoadFactorSeasons)*(P$1=LoadFactorHours),0),)</f>
        <v>1.597820415127858E-4</v>
      </c>
      <c r="Q4" s="7" cm="1">
        <f t="array" ref="Q4">INDEX('Summarized Source Data'!$M$1269:$M$1412,MATCH(1,($A4=LoadFactorSeasons)*(Q$1=LoadFactorHours),0),)</f>
        <v>1.5910008851861214E-4</v>
      </c>
      <c r="R4" s="7" cm="1">
        <f t="array" ref="R4">INDEX('Summarized Source Data'!$M$1269:$M$1412,MATCH(1,($A4=LoadFactorSeasons)*(R$1=LoadFactorHours),0),)</f>
        <v>1.5406460571582833E-4</v>
      </c>
      <c r="S4" s="7" cm="1">
        <f t="array" ref="S4">INDEX('Summarized Source Data'!$M$1269:$M$1412,MATCH(1,($A4=LoadFactorSeasons)*(S$1=LoadFactorHours),0),)</f>
        <v>1.4562447785915748E-4</v>
      </c>
      <c r="T4" s="7" cm="1">
        <f t="array" ref="T4">INDEX('Summarized Source Data'!$M$1269:$M$1412,MATCH(1,($A4=LoadFactorSeasons)*(T$1=LoadFactorHours),0),)</f>
        <v>1.3885072189073056E-4</v>
      </c>
      <c r="U4" s="7" cm="1">
        <f t="array" ref="U4">INDEX('Summarized Source Data'!$M$1269:$M$1412,MATCH(1,($A4=LoadFactorSeasons)*(U$1=LoadFactorHours),0),)</f>
        <v>1.1766597554965647E-4</v>
      </c>
      <c r="V4" s="7" cm="1">
        <f t="array" ref="V4">INDEX('Summarized Source Data'!$M$1269:$M$1412,MATCH(1,($A4=LoadFactorSeasons)*(V$1=LoadFactorHours),0),)</f>
        <v>9.894378837620513E-5</v>
      </c>
      <c r="W4" s="7" cm="1">
        <f t="array" ref="W4">INDEX('Summarized Source Data'!$M$1269:$M$1412,MATCH(1,($A4=LoadFactorSeasons)*(W$1=LoadFactorHours),0),)</f>
        <v>8.1644499759444731E-5</v>
      </c>
      <c r="X4" s="7" cm="1">
        <f t="array" ref="X4">INDEX('Summarized Source Data'!$M$1269:$M$1412,MATCH(1,($A4=LoadFactorSeasons)*(X$1=LoadFactorHours),0),)</f>
        <v>6.9807925615561213E-5</v>
      </c>
      <c r="Y4" s="7" cm="1">
        <f t="array" ref="Y4">INDEX('Summarized Source Data'!$M$1269:$M$1412,MATCH(1,($A4=LoadFactorSeasons)*(Y$1=LoadFactorHours),0),)</f>
        <v>6.153259444132931E-5</v>
      </c>
    </row>
    <row r="5" spans="1:25" x14ac:dyDescent="0.3">
      <c r="A5" s="7" t="s">
        <v>164</v>
      </c>
      <c r="B5" s="7" cm="1">
        <f t="array" ref="B5">INDEX('Summarized Source Data'!$M$1269:$M$1412,MATCH(1,($A5=LoadFactorSeasons)*(B$1=LoadFactorHours),0),)</f>
        <v>5.351799349587557E-5</v>
      </c>
      <c r="C5" s="7" cm="1">
        <f t="array" ref="C5">INDEX('Summarized Source Data'!$M$1269:$M$1412,MATCH(1,($A5=LoadFactorSeasons)*(C$1=LoadFactorHours),0),)</f>
        <v>5.1753704184486503E-5</v>
      </c>
      <c r="D5" s="7" cm="1">
        <f t="array" ref="D5">INDEX('Summarized Source Data'!$M$1269:$M$1412,MATCH(1,($A5=LoadFactorSeasons)*(D$1=LoadFactorHours),0),)</f>
        <v>5.1388364525647789E-5</v>
      </c>
      <c r="E5" s="7" cm="1">
        <f t="array" ref="E5">INDEX('Summarized Source Data'!$M$1269:$M$1412,MATCH(1,($A5=LoadFactorSeasons)*(E$1=LoadFactorHours),0),)</f>
        <v>5.3422510025025046E-5</v>
      </c>
      <c r="F5" s="7" cm="1">
        <f t="array" ref="F5">INDEX('Summarized Source Data'!$M$1269:$M$1412,MATCH(1,($A5=LoadFactorSeasons)*(F$1=LoadFactorHours),0),)</f>
        <v>5.623822571914931E-5</v>
      </c>
      <c r="G5" s="7" cm="1">
        <f t="array" ref="G5">INDEX('Summarized Source Data'!$M$1269:$M$1412,MATCH(1,($A5=LoadFactorSeasons)*(G$1=LoadFactorHours),0),)</f>
        <v>6.4806990266712885E-5</v>
      </c>
      <c r="H5" s="7" cm="1">
        <f t="array" ref="H5">INDEX('Summarized Source Data'!$M$1269:$M$1412,MATCH(1,($A5=LoadFactorSeasons)*(H$1=LoadFactorHours),0),)</f>
        <v>9.4082132822835099E-5</v>
      </c>
      <c r="I5" s="7" cm="1">
        <f t="array" ref="I5">INDEX('Summarized Source Data'!$M$1269:$M$1412,MATCH(1,($A5=LoadFactorSeasons)*(I$1=LoadFactorHours),0),)</f>
        <v>1.2815099731933977E-4</v>
      </c>
      <c r="J5" s="7" cm="1">
        <f t="array" ref="J5">INDEX('Summarized Source Data'!$M$1269:$M$1412,MATCH(1,($A5=LoadFactorSeasons)*(J$1=LoadFactorHours),0),)</f>
        <v>1.5782016815492185E-4</v>
      </c>
      <c r="K5" s="7" cm="1">
        <f t="array" ref="K5">INDEX('Summarized Source Data'!$M$1269:$M$1412,MATCH(1,($A5=LoadFactorSeasons)*(K$1=LoadFactorHours),0),)</f>
        <v>1.6666947427426213E-4</v>
      </c>
      <c r="L5" s="7" cm="1">
        <f t="array" ref="L5">INDEX('Summarized Source Data'!$M$1269:$M$1412,MATCH(1,($A5=LoadFactorSeasons)*(L$1=LoadFactorHours),0),)</f>
        <v>1.6588994267301838E-4</v>
      </c>
      <c r="M5" s="7" cm="1">
        <f t="array" ref="M5">INDEX('Summarized Source Data'!$M$1269:$M$1412,MATCH(1,($A5=LoadFactorSeasons)*(M$1=LoadFactorHours),0),)</f>
        <v>1.6544132050297711E-4</v>
      </c>
      <c r="N5" s="7" cm="1">
        <f t="array" ref="N5">INDEX('Summarized Source Data'!$M$1269:$M$1412,MATCH(1,($A5=LoadFactorSeasons)*(N$1=LoadFactorHours),0),)</f>
        <v>1.6309731061529259E-4</v>
      </c>
      <c r="O5" s="7" cm="1">
        <f t="array" ref="O5">INDEX('Summarized Source Data'!$M$1269:$M$1412,MATCH(1,($A5=LoadFactorSeasons)*(O$1=LoadFactorHours),0),)</f>
        <v>1.6236617730338448E-4</v>
      </c>
      <c r="P5" s="7" cm="1">
        <f t="array" ref="P5">INDEX('Summarized Source Data'!$M$1269:$M$1412,MATCH(1,($A5=LoadFactorSeasons)*(P$1=LoadFactorHours),0),)</f>
        <v>1.6176706689884158E-4</v>
      </c>
      <c r="Q5" s="7" cm="1">
        <f t="array" ref="Q5">INDEX('Summarized Source Data'!$M$1269:$M$1412,MATCH(1,($A5=LoadFactorSeasons)*(Q$1=LoadFactorHours),0),)</f>
        <v>1.6087608700781275E-4</v>
      </c>
      <c r="R5" s="7" cm="1">
        <f t="array" ref="R5">INDEX('Summarized Source Data'!$M$1269:$M$1412,MATCH(1,($A5=LoadFactorSeasons)*(R$1=LoadFactorHours),0),)</f>
        <v>1.554341501737383E-4</v>
      </c>
      <c r="S5" s="7" cm="1">
        <f t="array" ref="S5">INDEX('Summarized Source Data'!$M$1269:$M$1412,MATCH(1,($A5=LoadFactorSeasons)*(S$1=LoadFactorHours),0),)</f>
        <v>1.4692386589955803E-4</v>
      </c>
      <c r="T5" s="7" cm="1">
        <f t="array" ref="T5">INDEX('Summarized Source Data'!$M$1269:$M$1412,MATCH(1,($A5=LoadFactorSeasons)*(T$1=LoadFactorHours),0),)</f>
        <v>1.3999716891178934E-4</v>
      </c>
      <c r="U5" s="7" cm="1">
        <f t="array" ref="U5">INDEX('Summarized Source Data'!$M$1269:$M$1412,MATCH(1,($A5=LoadFactorSeasons)*(U$1=LoadFactorHours),0),)</f>
        <v>1.1875490326782055E-4</v>
      </c>
      <c r="V5" s="7" cm="1">
        <f t="array" ref="V5">INDEX('Summarized Source Data'!$M$1269:$M$1412,MATCH(1,($A5=LoadFactorSeasons)*(V$1=LoadFactorHours),0),)</f>
        <v>9.9872473153245867E-5</v>
      </c>
      <c r="W5" s="7" cm="1">
        <f t="array" ref="W5">INDEX('Summarized Source Data'!$M$1269:$M$1412,MATCH(1,($A5=LoadFactorSeasons)*(W$1=LoadFactorHours),0),)</f>
        <v>8.2374329568646199E-5</v>
      </c>
      <c r="X5" s="7" cm="1">
        <f t="array" ref="X5">INDEX('Summarized Source Data'!$M$1269:$M$1412,MATCH(1,($A5=LoadFactorSeasons)*(X$1=LoadFactorHours),0),)</f>
        <v>7.0289371561127451E-5</v>
      </c>
      <c r="Y5" s="7" cm="1">
        <f t="array" ref="Y5">INDEX('Summarized Source Data'!$M$1269:$M$1412,MATCH(1,($A5=LoadFactorSeasons)*(Y$1=LoadFactorHours),0),)</f>
        <v>6.1877606362020887E-5</v>
      </c>
    </row>
    <row r="6" spans="1:25" x14ac:dyDescent="0.3">
      <c r="A6" s="7" t="s">
        <v>167</v>
      </c>
      <c r="B6" s="7" cm="1">
        <f t="array" ref="B6">INDEX('Summarized Source Data'!$M$1269:$M$1412,MATCH(1,($A6=LoadFactorSeasons)*(B$1=LoadFactorHours),0),)</f>
        <v>6.2196248906763932E-5</v>
      </c>
      <c r="C6" s="7" cm="1">
        <f t="array" ref="C6">INDEX('Summarized Source Data'!$M$1269:$M$1412,MATCH(1,($A6=LoadFactorSeasons)*(C$1=LoadFactorHours),0),)</f>
        <v>6.0970807320918512E-5</v>
      </c>
      <c r="D6" s="7" cm="1">
        <f t="array" ref="D6">INDEX('Summarized Source Data'!$M$1269:$M$1412,MATCH(1,($A6=LoadFactorSeasons)*(D$1=LoadFactorHours),0),)</f>
        <v>6.0586737246845433E-5</v>
      </c>
      <c r="E6" s="7" cm="1">
        <f t="array" ref="E6">INDEX('Summarized Source Data'!$M$1269:$M$1412,MATCH(1,($A6=LoadFactorSeasons)*(E$1=LoadFactorHours),0),)</f>
        <v>6.3425485555890752E-5</v>
      </c>
      <c r="F6" s="7" cm="1">
        <f t="array" ref="F6">INDEX('Summarized Source Data'!$M$1269:$M$1412,MATCH(1,($A6=LoadFactorSeasons)*(F$1=LoadFactorHours),0),)</f>
        <v>6.7113195503271212E-5</v>
      </c>
      <c r="G6" s="7" cm="1">
        <f t="array" ref="G6">INDEX('Summarized Source Data'!$M$1269:$M$1412,MATCH(1,($A6=LoadFactorSeasons)*(G$1=LoadFactorHours),0),)</f>
        <v>7.8180120408694002E-5</v>
      </c>
      <c r="H6" s="7" cm="1">
        <f t="array" ref="H6">INDEX('Summarized Source Data'!$M$1269:$M$1412,MATCH(1,($A6=LoadFactorSeasons)*(H$1=LoadFactorHours),0),)</f>
        <v>1.1751189811747085E-4</v>
      </c>
      <c r="I6" s="7" cm="1">
        <f t="array" ref="I6">INDEX('Summarized Source Data'!$M$1269:$M$1412,MATCH(1,($A6=LoadFactorSeasons)*(I$1=LoadFactorHours),0),)</f>
        <v>1.6094492638661851E-4</v>
      </c>
      <c r="J6" s="7" cm="1">
        <f t="array" ref="J6">INDEX('Summarized Source Data'!$M$1269:$M$1412,MATCH(1,($A6=LoadFactorSeasons)*(J$1=LoadFactorHours),0),)</f>
        <v>2.0028049915867674E-4</v>
      </c>
      <c r="K6" s="7" cm="1">
        <f t="array" ref="K6">INDEX('Summarized Source Data'!$M$1269:$M$1412,MATCH(1,($A6=LoadFactorSeasons)*(K$1=LoadFactorHours),0),)</f>
        <v>2.1052413790140025E-4</v>
      </c>
      <c r="L6" s="7" cm="1">
        <f t="array" ref="L6">INDEX('Summarized Source Data'!$M$1269:$M$1412,MATCH(1,($A6=LoadFactorSeasons)*(L$1=LoadFactorHours),0),)</f>
        <v>2.0929869631555484E-4</v>
      </c>
      <c r="M6" s="7" cm="1">
        <f t="array" ref="M6">INDEX('Summarized Source Data'!$M$1269:$M$1412,MATCH(1,($A6=LoadFactorSeasons)*(M$1=LoadFactorHours),0),)</f>
        <v>2.0866140267227054E-4</v>
      </c>
      <c r="N6" s="7" cm="1">
        <f t="array" ref="N6">INDEX('Summarized Source Data'!$M$1269:$M$1412,MATCH(1,($A6=LoadFactorSeasons)*(N$1=LoadFactorHours),0),)</f>
        <v>2.0683642795401978E-4</v>
      </c>
      <c r="O6" s="7" cm="1">
        <f t="array" ref="O6">INDEX('Summarized Source Data'!$M$1269:$M$1412,MATCH(1,($A6=LoadFactorSeasons)*(O$1=LoadFactorHours),0),)</f>
        <v>2.0520124081846545E-4</v>
      </c>
      <c r="P6" s="7" cm="1">
        <f t="array" ref="P6">INDEX('Summarized Source Data'!$M$1269:$M$1412,MATCH(1,($A6=LoadFactorSeasons)*(P$1=LoadFactorHours),0),)</f>
        <v>2.0520124081846545E-4</v>
      </c>
      <c r="Q6" s="7" cm="1">
        <f t="array" ref="Q6">INDEX('Summarized Source Data'!$M$1269:$M$1412,MATCH(1,($A6=LoadFactorSeasons)*(Q$1=LoadFactorHours),0),)</f>
        <v>2.0560719130489297E-4</v>
      </c>
      <c r="R6" s="7" cm="1">
        <f t="array" ref="R6">INDEX('Summarized Source Data'!$M$1269:$M$1412,MATCH(1,($A6=LoadFactorSeasons)*(R$1=LoadFactorHours),0),)</f>
        <v>1.9946100805925886E-4</v>
      </c>
      <c r="S6" s="7" cm="1">
        <f t="array" ref="S6">INDEX('Summarized Source Data'!$M$1269:$M$1412,MATCH(1,($A6=LoadFactorSeasons)*(S$1=LoadFactorHours),0),)</f>
        <v>1.8757838711769962E-4</v>
      </c>
      <c r="T6" s="7" cm="1">
        <f t="array" ref="T6">INDEX('Summarized Source Data'!$M$1269:$M$1412,MATCH(1,($A6=LoadFactorSeasons)*(T$1=LoadFactorHours),0),)</f>
        <v>1.7774828898796646E-4</v>
      </c>
      <c r="U6" s="7" cm="1">
        <f t="array" ref="U6">INDEX('Summarized Source Data'!$M$1269:$M$1412,MATCH(1,($A6=LoadFactorSeasons)*(U$1=LoadFactorHours),0),)</f>
        <v>1.4865635495863171E-4</v>
      </c>
      <c r="V6" s="7" cm="1">
        <f t="array" ref="V6">INDEX('Summarized Source Data'!$M$1269:$M$1412,MATCH(1,($A6=LoadFactorSeasons)*(V$1=LoadFactorHours),0),)</f>
        <v>1.2325213087667741E-4</v>
      </c>
      <c r="W6" s="7" cm="1">
        <f t="array" ref="W6">INDEX('Summarized Source Data'!$M$1269:$M$1412,MATCH(1,($A6=LoadFactorSeasons)*(W$1=LoadFactorHours),0),)</f>
        <v>1.0030258502969536E-4</v>
      </c>
      <c r="X6" s="7" cm="1">
        <f t="array" ref="X6">INDEX('Summarized Source Data'!$M$1269:$M$1412,MATCH(1,($A6=LoadFactorSeasons)*(X$1=LoadFactorHours),0),)</f>
        <v>8.4322508591046702E-5</v>
      </c>
      <c r="Y6" s="7" cm="1">
        <f t="array" ref="Y6">INDEX('Summarized Source Data'!$M$1269:$M$1412,MATCH(1,($A6=LoadFactorSeasons)*(Y$1=LoadFactorHours),0),)</f>
        <v>7.3672919361895663E-5</v>
      </c>
    </row>
    <row r="7" spans="1:25" x14ac:dyDescent="0.3">
      <c r="A7" s="7" t="s">
        <v>166</v>
      </c>
      <c r="B7" s="7" cm="1">
        <f t="array" ref="B7">INDEX('Summarized Source Data'!$M$1269:$M$1412,MATCH(1,($A7=LoadFactorSeasons)*(B$1=LoadFactorHours),0),)</f>
        <v>6.3373120484383502E-5</v>
      </c>
      <c r="C7" s="7" cm="1">
        <f t="array" ref="C7">INDEX('Summarized Source Data'!$M$1269:$M$1412,MATCH(1,($A7=LoadFactorSeasons)*(C$1=LoadFactorHours),0),)</f>
        <v>6.209896220140544E-5</v>
      </c>
      <c r="D7" s="7" cm="1">
        <f t="array" ref="D7">INDEX('Summarized Source Data'!$M$1269:$M$1412,MATCH(1,($A7=LoadFactorSeasons)*(D$1=LoadFactorHours),0),)</f>
        <v>6.1940184981402124E-5</v>
      </c>
      <c r="E7" s="7" cm="1">
        <f t="array" ref="E7">INDEX('Summarized Source Data'!$M$1269:$M$1412,MATCH(1,($A7=LoadFactorSeasons)*(E$1=LoadFactorHours),0),)</f>
        <v>6.4603726093391892E-5</v>
      </c>
      <c r="F7" s="7" cm="1">
        <f t="array" ref="F7">INDEX('Summarized Source Data'!$M$1269:$M$1412,MATCH(1,($A7=LoadFactorSeasons)*(F$1=LoadFactorHours),0),)</f>
        <v>6.8783172494469157E-5</v>
      </c>
      <c r="G7" s="7" cm="1">
        <f t="array" ref="G7">INDEX('Summarized Source Data'!$M$1269:$M$1412,MATCH(1,($A7=LoadFactorSeasons)*(G$1=LoadFactorHours),0),)</f>
        <v>8.0496770528554627E-5</v>
      </c>
      <c r="H7" s="7" cm="1">
        <f t="array" ref="H7">INDEX('Summarized Source Data'!$M$1269:$M$1412,MATCH(1,($A7=LoadFactorSeasons)*(H$1=LoadFactorHours),0),)</f>
        <v>1.2110580460641089E-4</v>
      </c>
      <c r="I7" s="7" cm="1">
        <f t="array" ref="I7">INDEX('Summarized Source Data'!$M$1269:$M$1412,MATCH(1,($A7=LoadFactorSeasons)*(I$1=LoadFactorHours),0),)</f>
        <v>1.6674856808913363E-4</v>
      </c>
      <c r="J7" s="7" cm="1">
        <f t="array" ref="J7">INDEX('Summarized Source Data'!$M$1269:$M$1412,MATCH(1,($A7=LoadFactorSeasons)*(J$1=LoadFactorHours),0),)</f>
        <v>2.0648963775929589E-4</v>
      </c>
      <c r="K7" s="7" cm="1">
        <f t="array" ref="K7">INDEX('Summarized Source Data'!$M$1269:$M$1412,MATCH(1,($A7=LoadFactorSeasons)*(K$1=LoadFactorHours),0),)</f>
        <v>2.1692677187219508E-4</v>
      </c>
      <c r="L7" s="7" cm="1">
        <f t="array" ref="L7">INDEX('Summarized Source Data'!$M$1269:$M$1412,MATCH(1,($A7=LoadFactorSeasons)*(L$1=LoadFactorHours),0),)</f>
        <v>2.1558186528362208E-4</v>
      </c>
      <c r="M7" s="7" cm="1">
        <f t="array" ref="M7">INDEX('Summarized Source Data'!$M$1269:$M$1412,MATCH(1,($A7=LoadFactorSeasons)*(M$1=LoadFactorHours),0),)</f>
        <v>2.1488496759420383E-4</v>
      </c>
      <c r="N7" s="7" cm="1">
        <f t="array" ref="N7">INDEX('Summarized Source Data'!$M$1269:$M$1412,MATCH(1,($A7=LoadFactorSeasons)*(N$1=LoadFactorHours),0),)</f>
        <v>2.1155807629993266E-4</v>
      </c>
      <c r="O7" s="7" cm="1">
        <f t="array" ref="O7">INDEX('Summarized Source Data'!$M$1269:$M$1412,MATCH(1,($A7=LoadFactorSeasons)*(O$1=LoadFactorHours),0),)</f>
        <v>2.1155725926730654E-4</v>
      </c>
      <c r="P7" s="7" cm="1">
        <f t="array" ref="P7">INDEX('Summarized Source Data'!$M$1269:$M$1412,MATCH(1,($A7=LoadFactorSeasons)*(P$1=LoadFactorHours),0),)</f>
        <v>2.1143345628844417E-4</v>
      </c>
      <c r="Q7" s="7" cm="1">
        <f t="array" ref="Q7">INDEX('Summarized Source Data'!$M$1269:$M$1412,MATCH(1,($A7=LoadFactorSeasons)*(Q$1=LoadFactorHours),0),)</f>
        <v>2.115973393477424E-4</v>
      </c>
      <c r="R7" s="7" cm="1">
        <f t="array" ref="R7">INDEX('Summarized Source Data'!$M$1269:$M$1412,MATCH(1,($A7=LoadFactorSeasons)*(R$1=LoadFactorHours),0),)</f>
        <v>2.04304612251096E-4</v>
      </c>
      <c r="S7" s="7" cm="1">
        <f t="array" ref="S7">INDEX('Summarized Source Data'!$M$1269:$M$1412,MATCH(1,($A7=LoadFactorSeasons)*(S$1=LoadFactorHours),0),)</f>
        <v>1.9180902589852086E-4</v>
      </c>
      <c r="T7" s="7" cm="1">
        <f t="array" ref="T7">INDEX('Summarized Source Data'!$M$1269:$M$1412,MATCH(1,($A7=LoadFactorSeasons)*(T$1=LoadFactorHours),0),)</f>
        <v>1.8271410757516972E-4</v>
      </c>
      <c r="U7" s="7" cm="1">
        <f t="array" ref="U7">INDEX('Summarized Source Data'!$M$1269:$M$1412,MATCH(1,($A7=LoadFactorSeasons)*(U$1=LoadFactorHours),0),)</f>
        <v>1.5313252310673173E-4</v>
      </c>
      <c r="V7" s="7" cm="1">
        <f t="array" ref="V7">INDEX('Summarized Source Data'!$M$1269:$M$1412,MATCH(1,($A7=LoadFactorSeasons)*(V$1=LoadFactorHours),0),)</f>
        <v>1.271637831567958E-4</v>
      </c>
      <c r="W7" s="7" cm="1">
        <f t="array" ref="W7">INDEX('Summarized Source Data'!$M$1269:$M$1412,MATCH(1,($A7=LoadFactorSeasons)*(W$1=LoadFactorHours),0),)</f>
        <v>1.0315399406648113E-4</v>
      </c>
      <c r="X7" s="7" cm="1">
        <f t="array" ref="X7">INDEX('Summarized Source Data'!$M$1269:$M$1412,MATCH(1,($A7=LoadFactorSeasons)*(X$1=LoadFactorHours),0),)</f>
        <v>8.6724761112170324E-5</v>
      </c>
      <c r="Y7" s="7" cm="1">
        <f t="array" ref="Y7">INDEX('Summarized Source Data'!$M$1269:$M$1412,MATCH(1,($A7=LoadFactorSeasons)*(Y$1=LoadFactorHours),0),)</f>
        <v>7.5540843198921342E-5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96B3C-8B91-4643-B139-9FCA440C0A09}">
  <sheetPr codeName="Sheet19">
    <tabColor rgb="FF002060"/>
  </sheetPr>
  <dimension ref="A1:Y19"/>
  <sheetViews>
    <sheetView topLeftCell="G1" workbookViewId="0">
      <selection activeCell="A6" sqref="A6:Y7"/>
    </sheetView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 cm="1">
        <f t="array" ref="B2">INDEX('Summarized Source Data'!$N$1269:$N$1412,MATCH(1,($A2=LoadFactorSeasons)*(B$1=LoadFactorHours),0),)</f>
        <v>5.4260108128280417E-5</v>
      </c>
      <c r="C2" s="7" cm="1">
        <f t="array" ref="C2">INDEX('Summarized Source Data'!$N$1269:$N$1412,MATCH(1,($A2=LoadFactorSeasons)*(C$1=LoadFactorHours),0),)</f>
        <v>5.2290515695769964E-5</v>
      </c>
      <c r="D2" s="7" cm="1">
        <f t="array" ref="D2">INDEX('Summarized Source Data'!$N$1269:$N$1412,MATCH(1,($A2=LoadFactorSeasons)*(D$1=LoadFactorHours),0),)</f>
        <v>5.2047653397883073E-5</v>
      </c>
      <c r="E2" s="7" cm="1">
        <f t="array" ref="E2">INDEX('Summarized Source Data'!$N$1269:$N$1412,MATCH(1,($A2=LoadFactorSeasons)*(E$1=LoadFactorHours),0),)</f>
        <v>5.3976750432844046E-5</v>
      </c>
      <c r="F2" s="7" cm="1">
        <f t="array" ref="F2">INDEX('Summarized Source Data'!$N$1269:$N$1412,MATCH(1,($A2=LoadFactorSeasons)*(F$1=LoadFactorHours),0),)</f>
        <v>5.7046297046918281E-5</v>
      </c>
      <c r="G2" s="7" cm="1">
        <f t="array" ref="G2">INDEX('Summarized Source Data'!$N$1269:$N$1412,MATCH(1,($A2=LoadFactorSeasons)*(G$1=LoadFactorHours),0),)</f>
        <v>6.5928748726997241E-5</v>
      </c>
      <c r="H2" s="7" cm="1">
        <f t="array" ref="H2">INDEX('Summarized Source Data'!$N$1269:$N$1412,MATCH(1,($A2=LoadFactorSeasons)*(H$1=LoadFactorHours),0),)</f>
        <v>9.5885792786772937E-5</v>
      </c>
      <c r="I2" s="7" cm="1">
        <f t="array" ref="I2">INDEX('Summarized Source Data'!$N$1269:$N$1412,MATCH(1,($A2=LoadFactorSeasons)*(I$1=LoadFactorHours),0),)</f>
        <v>1.3082671813706645E-4</v>
      </c>
      <c r="J2" s="7" cm="1">
        <f t="array" ref="J2">INDEX('Summarized Source Data'!$N$1269:$N$1412,MATCH(1,($A2=LoadFactorSeasons)*(J$1=LoadFactorHours),0),)</f>
        <v>1.6097665102702191E-4</v>
      </c>
      <c r="K2" s="7" cm="1">
        <f t="array" ref="K2">INDEX('Summarized Source Data'!$N$1269:$N$1412,MATCH(1,($A2=LoadFactorSeasons)*(K$1=LoadFactorHours),0),)</f>
        <v>1.6966439572470038E-4</v>
      </c>
      <c r="L2" s="7" cm="1">
        <f t="array" ref="L2">INDEX('Summarized Source Data'!$N$1269:$N$1412,MATCH(1,($A2=LoadFactorSeasons)*(L$1=LoadFactorHours),0),)</f>
        <v>1.685207024754286E-4</v>
      </c>
      <c r="M2" s="7" cm="1">
        <f t="array" ref="M2">INDEX('Summarized Source Data'!$N$1269:$N$1412,MATCH(1,($A2=LoadFactorSeasons)*(M$1=LoadFactorHours),0),)</f>
        <v>1.6803548504416008E-4</v>
      </c>
      <c r="N2" s="7" cm="1">
        <f t="array" ref="N2">INDEX('Summarized Source Data'!$N$1269:$N$1412,MATCH(1,($A2=LoadFactorSeasons)*(N$1=LoadFactorHours),0),)</f>
        <v>1.655082640517377E-4</v>
      </c>
      <c r="O2" s="7" cm="1">
        <f t="array" ref="O2">INDEX('Summarized Source Data'!$N$1269:$N$1412,MATCH(1,($A2=LoadFactorSeasons)*(O$1=LoadFactorHours),0),)</f>
        <v>1.6499198613711518E-4</v>
      </c>
      <c r="P2" s="7" cm="1">
        <f t="array" ref="P2">INDEX('Summarized Source Data'!$N$1269:$N$1412,MATCH(1,($A2=LoadFactorSeasons)*(P$1=LoadFactorHours),0),)</f>
        <v>1.6423127350752263E-4</v>
      </c>
      <c r="Q2" s="7" cm="1">
        <f t="array" ref="Q2">INDEX('Summarized Source Data'!$N$1269:$N$1412,MATCH(1,($A2=LoadFactorSeasons)*(Q$1=LoadFactorHours),0),)</f>
        <v>1.6324403338637466E-4</v>
      </c>
      <c r="R2" s="7" cm="1">
        <f t="array" ref="R2">INDEX('Summarized Source Data'!$N$1269:$N$1412,MATCH(1,($A2=LoadFactorSeasons)*(R$1=LoadFactorHours),0),)</f>
        <v>1.5765404812284492E-4</v>
      </c>
      <c r="S2" s="7" cm="1">
        <f t="array" ref="S2">INDEX('Summarized Source Data'!$N$1269:$N$1412,MATCH(1,($A2=LoadFactorSeasons)*(S$1=LoadFactorHours),0),)</f>
        <v>1.4888799872238428E-4</v>
      </c>
      <c r="T2" s="7" cm="1">
        <f t="array" ref="T2">INDEX('Summarized Source Data'!$N$1269:$N$1412,MATCH(1,($A2=LoadFactorSeasons)*(T$1=LoadFactorHours),0),)</f>
        <v>1.4227229636380766E-4</v>
      </c>
      <c r="U2" s="7" cm="1">
        <f t="array" ref="U2">INDEX('Summarized Source Data'!$N$1269:$N$1412,MATCH(1,($A2=LoadFactorSeasons)*(U$1=LoadFactorHours),0),)</f>
        <v>1.2081606787372315E-4</v>
      </c>
      <c r="V2" s="7" cm="1">
        <f t="array" ref="V2">INDEX('Summarized Source Data'!$N$1269:$N$1412,MATCH(1,($A2=LoadFactorSeasons)*(V$1=LoadFactorHours),0),)</f>
        <v>1.0173274044034067E-4</v>
      </c>
      <c r="W2" s="7" cm="1">
        <f t="array" ref="W2">INDEX('Summarized Source Data'!$N$1269:$N$1412,MATCH(1,($A2=LoadFactorSeasons)*(W$1=LoadFactorHours),0),)</f>
        <v>8.3862338539387703E-5</v>
      </c>
      <c r="X2" s="7" cm="1">
        <f t="array" ref="X2">INDEX('Summarized Source Data'!$N$1269:$N$1412,MATCH(1,($A2=LoadFactorSeasons)*(X$1=LoadFactorHours),0),)</f>
        <v>7.1770580994686564E-5</v>
      </c>
      <c r="Y2" s="7" cm="1">
        <f t="array" ref="Y2">INDEX('Summarized Source Data'!$N$1269:$N$1412,MATCH(1,($A2=LoadFactorSeasons)*(Y$1=LoadFactorHours),0),)</f>
        <v>6.2979487906716556E-5</v>
      </c>
    </row>
    <row r="3" spans="1:25" x14ac:dyDescent="0.3">
      <c r="A3" s="7" t="s">
        <v>162</v>
      </c>
      <c r="B3" s="7" cm="1">
        <f t="array" ref="B3">INDEX('Summarized Source Data'!$N$1269:$N$1412,MATCH(1,($A3=LoadFactorSeasons)*(B$1=LoadFactorHours),0),)</f>
        <v>5.3499179365142446E-5</v>
      </c>
      <c r="C3" s="7" cm="1">
        <f t="array" ref="C3">INDEX('Summarized Source Data'!$N$1269:$N$1412,MATCH(1,($A3=LoadFactorSeasons)*(C$1=LoadFactorHours),0),)</f>
        <v>5.1679891843861563E-5</v>
      </c>
      <c r="D3" s="7" cm="1">
        <f t="array" ref="D3">INDEX('Summarized Source Data'!$N$1269:$N$1412,MATCH(1,($A3=LoadFactorSeasons)*(D$1=LoadFactorHours),0),)</f>
        <v>5.1374969749717329E-5</v>
      </c>
      <c r="E3" s="7" cm="1">
        <f t="array" ref="E3">INDEX('Summarized Source Data'!$N$1269:$N$1412,MATCH(1,($A3=LoadFactorSeasons)*(E$1=LoadFactorHours),0),)</f>
        <v>5.3395876969043384E-5</v>
      </c>
      <c r="F3" s="7" cm="1">
        <f t="array" ref="F3">INDEX('Summarized Source Data'!$N$1269:$N$1412,MATCH(1,($A3=LoadFactorSeasons)*(F$1=LoadFactorHours),0),)</f>
        <v>5.6256718645512603E-5</v>
      </c>
      <c r="G3" s="7" cm="1">
        <f t="array" ref="G3">INDEX('Summarized Source Data'!$N$1269:$N$1412,MATCH(1,($A3=LoadFactorSeasons)*(G$1=LoadFactorHours),0),)</f>
        <v>6.4907531363051589E-5</v>
      </c>
      <c r="H3" s="7" cm="1">
        <f t="array" ref="H3">INDEX('Summarized Source Data'!$N$1269:$N$1412,MATCH(1,($A3=LoadFactorSeasons)*(H$1=LoadFactorHours),0),)</f>
        <v>9.4009684313419651E-5</v>
      </c>
      <c r="I3" s="7" cm="1">
        <f t="array" ref="I3">INDEX('Summarized Source Data'!$N$1269:$N$1412,MATCH(1,($A3=LoadFactorSeasons)*(I$1=LoadFactorHours),0),)</f>
        <v>1.278986158857922E-4</v>
      </c>
      <c r="J3" s="7" cm="1">
        <f t="array" ref="J3">INDEX('Summarized Source Data'!$N$1269:$N$1412,MATCH(1,($A3=LoadFactorSeasons)*(J$1=LoadFactorHours),0),)</f>
        <v>1.5757972823858662E-4</v>
      </c>
      <c r="K3" s="7" cm="1">
        <f t="array" ref="K3">INDEX('Summarized Source Data'!$N$1269:$N$1412,MATCH(1,($A3=LoadFactorSeasons)*(K$1=LoadFactorHours),0),)</f>
        <v>1.6631469743342254E-4</v>
      </c>
      <c r="L3" s="7" cm="1">
        <f t="array" ref="L3">INDEX('Summarized Source Data'!$N$1269:$N$1412,MATCH(1,($A3=LoadFactorSeasons)*(L$1=LoadFactorHours),0),)</f>
        <v>1.6552021145255989E-4</v>
      </c>
      <c r="M3" s="7" cm="1">
        <f t="array" ref="M3">INDEX('Summarized Source Data'!$N$1269:$N$1412,MATCH(1,($A3=LoadFactorSeasons)*(M$1=LoadFactorHours),0),)</f>
        <v>1.6505463407986531E-4</v>
      </c>
      <c r="N3" s="7" cm="1">
        <f t="array" ref="N3">INDEX('Summarized Source Data'!$N$1269:$N$1412,MATCH(1,($A3=LoadFactorSeasons)*(N$1=LoadFactorHours),0),)</f>
        <v>1.6245912602268897E-4</v>
      </c>
      <c r="O3" s="7" cm="1">
        <f t="array" ref="O3">INDEX('Summarized Source Data'!$N$1269:$N$1412,MATCH(1,($A3=LoadFactorSeasons)*(O$1=LoadFactorHours),0),)</f>
        <v>1.6206506821632899E-4</v>
      </c>
      <c r="P3" s="7" cm="1">
        <f t="array" ref="P3">INDEX('Summarized Source Data'!$N$1269:$N$1412,MATCH(1,($A3=LoadFactorSeasons)*(P$1=LoadFactorHours),0),)</f>
        <v>1.6128515741657519E-4</v>
      </c>
      <c r="Q3" s="7" cm="1">
        <f t="array" ref="Q3">INDEX('Summarized Source Data'!$N$1269:$N$1412,MATCH(1,($A3=LoadFactorSeasons)*(Q$1=LoadFactorHours),0),)</f>
        <v>1.6039223683455916E-4</v>
      </c>
      <c r="R3" s="7" cm="1">
        <f t="array" ref="R3">INDEX('Summarized Source Data'!$N$1269:$N$1412,MATCH(1,($A3=LoadFactorSeasons)*(R$1=LoadFactorHours),0),)</f>
        <v>1.5487837981755886E-4</v>
      </c>
      <c r="S3" s="7" cm="1">
        <f t="array" ref="S3">INDEX('Summarized Source Data'!$N$1269:$N$1412,MATCH(1,($A3=LoadFactorSeasons)*(S$1=LoadFactorHours),0),)</f>
        <v>1.4644474382367615E-4</v>
      </c>
      <c r="T3" s="7" cm="1">
        <f t="array" ref="T3">INDEX('Summarized Source Data'!$N$1269:$N$1412,MATCH(1,($A3=LoadFactorSeasons)*(T$1=LoadFactorHours),0),)</f>
        <v>1.3979032741412225E-4</v>
      </c>
      <c r="U3" s="7" cm="1">
        <f t="array" ref="U3">INDEX('Summarized Source Data'!$N$1269:$N$1412,MATCH(1,($A3=LoadFactorSeasons)*(U$1=LoadFactorHours),0),)</f>
        <v>1.1863217622766039E-4</v>
      </c>
      <c r="V3" s="7" cm="1">
        <f t="array" ref="V3">INDEX('Summarized Source Data'!$N$1269:$N$1412,MATCH(1,($A3=LoadFactorSeasons)*(V$1=LoadFactorHours),0),)</f>
        <v>9.9909285514737702E-5</v>
      </c>
      <c r="W3" s="7" cm="1">
        <f t="array" ref="W3">INDEX('Summarized Source Data'!$N$1269:$N$1412,MATCH(1,($A3=LoadFactorSeasons)*(W$1=LoadFactorHours),0),)</f>
        <v>8.2444248634307979E-5</v>
      </c>
      <c r="X3" s="7" cm="1">
        <f t="array" ref="X3">INDEX('Summarized Source Data'!$N$1269:$N$1412,MATCH(1,($A3=LoadFactorSeasons)*(X$1=LoadFactorHours),0),)</f>
        <v>7.0531946818843007E-5</v>
      </c>
      <c r="Y3" s="7" cm="1">
        <f t="array" ref="Y3">INDEX('Summarized Source Data'!$N$1269:$N$1412,MATCH(1,($A3=LoadFactorSeasons)*(Y$1=LoadFactorHours),0),)</f>
        <v>6.2032610526638961E-5</v>
      </c>
    </row>
    <row r="4" spans="1:25" x14ac:dyDescent="0.3">
      <c r="A4" s="7" t="s">
        <v>163</v>
      </c>
      <c r="B4" s="7" cm="1">
        <f t="array" ref="B4">INDEX('Summarized Source Data'!$N$1269:$N$1412,MATCH(1,($A4=LoadFactorSeasons)*(B$1=LoadFactorHours),0),)</f>
        <v>5.3295260047185863E-5</v>
      </c>
      <c r="C4" s="7" cm="1">
        <f t="array" ref="C4">INDEX('Summarized Source Data'!$N$1269:$N$1412,MATCH(1,($A4=LoadFactorSeasons)*(C$1=LoadFactorHours),0),)</f>
        <v>5.1369483036027669E-5</v>
      </c>
      <c r="D4" s="7" cm="1">
        <f t="array" ref="D4">INDEX('Summarized Source Data'!$N$1269:$N$1412,MATCH(1,($A4=LoadFactorSeasons)*(D$1=LoadFactorHours),0),)</f>
        <v>5.105221318848285E-5</v>
      </c>
      <c r="E4" s="7" cm="1">
        <f t="array" ref="E4">INDEX('Summarized Source Data'!$N$1269:$N$1412,MATCH(1,($A4=LoadFactorSeasons)*(E$1=LoadFactorHours),0),)</f>
        <v>5.3031211164704057E-5</v>
      </c>
      <c r="F4" s="7" cm="1">
        <f t="array" ref="F4">INDEX('Summarized Source Data'!$N$1269:$N$1412,MATCH(1,($A4=LoadFactorSeasons)*(F$1=LoadFactorHours),0),)</f>
        <v>5.5787439586984333E-5</v>
      </c>
      <c r="G4" s="7" cm="1">
        <f t="array" ref="G4">INDEX('Summarized Source Data'!$N$1269:$N$1412,MATCH(1,($A4=LoadFactorSeasons)*(G$1=LoadFactorHours),0),)</f>
        <v>6.4272098819047845E-5</v>
      </c>
      <c r="H4" s="7" cm="1">
        <f t="array" ref="H4">INDEX('Summarized Source Data'!$N$1269:$N$1412,MATCH(1,($A4=LoadFactorSeasons)*(H$1=LoadFactorHours),0),)</f>
        <v>9.3240086276610105E-5</v>
      </c>
      <c r="I4" s="7" cm="1">
        <f t="array" ref="I4">INDEX('Summarized Source Data'!$N$1269:$N$1412,MATCH(1,($A4=LoadFactorSeasons)*(I$1=LoadFactorHours),0),)</f>
        <v>1.2647504174140241E-4</v>
      </c>
      <c r="J4" s="7" cm="1">
        <f t="array" ref="J4">INDEX('Summarized Source Data'!$N$1269:$N$1412,MATCH(1,($A4=LoadFactorSeasons)*(J$1=LoadFactorHours),0),)</f>
        <v>1.5616887502081184E-4</v>
      </c>
      <c r="K4" s="7" cm="1">
        <f t="array" ref="K4">INDEX('Summarized Source Data'!$N$1269:$N$1412,MATCH(1,($A4=LoadFactorSeasons)*(K$1=LoadFactorHours),0),)</f>
        <v>1.6491508515088091E-4</v>
      </c>
      <c r="L4" s="7" cm="1">
        <f t="array" ref="L4">INDEX('Summarized Source Data'!$N$1269:$N$1412,MATCH(1,($A4=LoadFactorSeasons)*(L$1=LoadFactorHours),0),)</f>
        <v>1.6409861867349579E-4</v>
      </c>
      <c r="M4" s="7" cm="1">
        <f t="array" ref="M4">INDEX('Summarized Source Data'!$N$1269:$N$1412,MATCH(1,($A4=LoadFactorSeasons)*(M$1=LoadFactorHours),0),)</f>
        <v>1.6369423612040676E-4</v>
      </c>
      <c r="N4" s="7" cm="1">
        <f t="array" ref="N4">INDEX('Summarized Source Data'!$N$1269:$N$1412,MATCH(1,($A4=LoadFactorSeasons)*(N$1=LoadFactorHours),0),)</f>
        <v>1.6157729054152949E-4</v>
      </c>
      <c r="O4" s="7" cm="1">
        <f t="array" ref="O4">INDEX('Summarized Source Data'!$N$1269:$N$1412,MATCH(1,($A4=LoadFactorSeasons)*(O$1=LoadFactorHours),0),)</f>
        <v>1.6053120156373602E-4</v>
      </c>
      <c r="P4" s="7" cm="1">
        <f t="array" ref="P4">INDEX('Summarized Source Data'!$N$1269:$N$1412,MATCH(1,($A4=LoadFactorSeasons)*(P$1=LoadFactorHours),0),)</f>
        <v>1.597820415127858E-4</v>
      </c>
      <c r="Q4" s="7" cm="1">
        <f t="array" ref="Q4">INDEX('Summarized Source Data'!$N$1269:$N$1412,MATCH(1,($A4=LoadFactorSeasons)*(Q$1=LoadFactorHours),0),)</f>
        <v>1.5910008851861214E-4</v>
      </c>
      <c r="R4" s="7" cm="1">
        <f t="array" ref="R4">INDEX('Summarized Source Data'!$N$1269:$N$1412,MATCH(1,($A4=LoadFactorSeasons)*(R$1=LoadFactorHours),0),)</f>
        <v>1.5406460571582833E-4</v>
      </c>
      <c r="S4" s="7" cm="1">
        <f t="array" ref="S4">INDEX('Summarized Source Data'!$N$1269:$N$1412,MATCH(1,($A4=LoadFactorSeasons)*(S$1=LoadFactorHours),0),)</f>
        <v>1.4562447785915748E-4</v>
      </c>
      <c r="T4" s="7" cm="1">
        <f t="array" ref="T4">INDEX('Summarized Source Data'!$N$1269:$N$1412,MATCH(1,($A4=LoadFactorSeasons)*(T$1=LoadFactorHours),0),)</f>
        <v>1.3885072189073056E-4</v>
      </c>
      <c r="U4" s="7" cm="1">
        <f t="array" ref="U4">INDEX('Summarized Source Data'!$N$1269:$N$1412,MATCH(1,($A4=LoadFactorSeasons)*(U$1=LoadFactorHours),0),)</f>
        <v>1.1766597554965647E-4</v>
      </c>
      <c r="V4" s="7" cm="1">
        <f t="array" ref="V4">INDEX('Summarized Source Data'!$N$1269:$N$1412,MATCH(1,($A4=LoadFactorSeasons)*(V$1=LoadFactorHours),0),)</f>
        <v>9.894378837620513E-5</v>
      </c>
      <c r="W4" s="7" cm="1">
        <f t="array" ref="W4">INDEX('Summarized Source Data'!$N$1269:$N$1412,MATCH(1,($A4=LoadFactorSeasons)*(W$1=LoadFactorHours),0),)</f>
        <v>8.1644499759444731E-5</v>
      </c>
      <c r="X4" s="7" cm="1">
        <f t="array" ref="X4">INDEX('Summarized Source Data'!$N$1269:$N$1412,MATCH(1,($A4=LoadFactorSeasons)*(X$1=LoadFactorHours),0),)</f>
        <v>6.9807925615561213E-5</v>
      </c>
      <c r="Y4" s="7" cm="1">
        <f t="array" ref="Y4">INDEX('Summarized Source Data'!$N$1269:$N$1412,MATCH(1,($A4=LoadFactorSeasons)*(Y$1=LoadFactorHours),0),)</f>
        <v>6.153259444132931E-5</v>
      </c>
    </row>
    <row r="5" spans="1:25" x14ac:dyDescent="0.3">
      <c r="A5" s="7" t="s">
        <v>164</v>
      </c>
      <c r="B5" s="7" cm="1">
        <f t="array" ref="B5">INDEX('Summarized Source Data'!$N$1269:$N$1412,MATCH(1,($A5=LoadFactorSeasons)*(B$1=LoadFactorHours),0),)</f>
        <v>5.351799349587557E-5</v>
      </c>
      <c r="C5" s="7" cm="1">
        <f t="array" ref="C5">INDEX('Summarized Source Data'!$N$1269:$N$1412,MATCH(1,($A5=LoadFactorSeasons)*(C$1=LoadFactorHours),0),)</f>
        <v>5.1753704184486503E-5</v>
      </c>
      <c r="D5" s="7" cm="1">
        <f t="array" ref="D5">INDEX('Summarized Source Data'!$N$1269:$N$1412,MATCH(1,($A5=LoadFactorSeasons)*(D$1=LoadFactorHours),0),)</f>
        <v>5.1388364525647789E-5</v>
      </c>
      <c r="E5" s="7" cm="1">
        <f t="array" ref="E5">INDEX('Summarized Source Data'!$N$1269:$N$1412,MATCH(1,($A5=LoadFactorSeasons)*(E$1=LoadFactorHours),0),)</f>
        <v>5.3422510025025046E-5</v>
      </c>
      <c r="F5" s="7" cm="1">
        <f t="array" ref="F5">INDEX('Summarized Source Data'!$N$1269:$N$1412,MATCH(1,($A5=LoadFactorSeasons)*(F$1=LoadFactorHours),0),)</f>
        <v>5.623822571914931E-5</v>
      </c>
      <c r="G5" s="7" cm="1">
        <f t="array" ref="G5">INDEX('Summarized Source Data'!$N$1269:$N$1412,MATCH(1,($A5=LoadFactorSeasons)*(G$1=LoadFactorHours),0),)</f>
        <v>6.4806990266712885E-5</v>
      </c>
      <c r="H5" s="7" cm="1">
        <f t="array" ref="H5">INDEX('Summarized Source Data'!$N$1269:$N$1412,MATCH(1,($A5=LoadFactorSeasons)*(H$1=LoadFactorHours),0),)</f>
        <v>9.4082132822835099E-5</v>
      </c>
      <c r="I5" s="7" cm="1">
        <f t="array" ref="I5">INDEX('Summarized Source Data'!$N$1269:$N$1412,MATCH(1,($A5=LoadFactorSeasons)*(I$1=LoadFactorHours),0),)</f>
        <v>1.2815099731933977E-4</v>
      </c>
      <c r="J5" s="7" cm="1">
        <f t="array" ref="J5">INDEX('Summarized Source Data'!$N$1269:$N$1412,MATCH(1,($A5=LoadFactorSeasons)*(J$1=LoadFactorHours),0),)</f>
        <v>1.5782016815492185E-4</v>
      </c>
      <c r="K5" s="7" cm="1">
        <f t="array" ref="K5">INDEX('Summarized Source Data'!$N$1269:$N$1412,MATCH(1,($A5=LoadFactorSeasons)*(K$1=LoadFactorHours),0),)</f>
        <v>1.6666947427426213E-4</v>
      </c>
      <c r="L5" s="7" cm="1">
        <f t="array" ref="L5">INDEX('Summarized Source Data'!$N$1269:$N$1412,MATCH(1,($A5=LoadFactorSeasons)*(L$1=LoadFactorHours),0),)</f>
        <v>1.6588994267301838E-4</v>
      </c>
      <c r="M5" s="7" cm="1">
        <f t="array" ref="M5">INDEX('Summarized Source Data'!$N$1269:$N$1412,MATCH(1,($A5=LoadFactorSeasons)*(M$1=LoadFactorHours),0),)</f>
        <v>1.6544132050297711E-4</v>
      </c>
      <c r="N5" s="7" cm="1">
        <f t="array" ref="N5">INDEX('Summarized Source Data'!$N$1269:$N$1412,MATCH(1,($A5=LoadFactorSeasons)*(N$1=LoadFactorHours),0),)</f>
        <v>1.6309731061529259E-4</v>
      </c>
      <c r="O5" s="7" cm="1">
        <f t="array" ref="O5">INDEX('Summarized Source Data'!$N$1269:$N$1412,MATCH(1,($A5=LoadFactorSeasons)*(O$1=LoadFactorHours),0),)</f>
        <v>1.6236617730338448E-4</v>
      </c>
      <c r="P5" s="7" cm="1">
        <f t="array" ref="P5">INDEX('Summarized Source Data'!$N$1269:$N$1412,MATCH(1,($A5=LoadFactorSeasons)*(P$1=LoadFactorHours),0),)</f>
        <v>1.6176706689884158E-4</v>
      </c>
      <c r="Q5" s="7" cm="1">
        <f t="array" ref="Q5">INDEX('Summarized Source Data'!$N$1269:$N$1412,MATCH(1,($A5=LoadFactorSeasons)*(Q$1=LoadFactorHours),0),)</f>
        <v>1.6087608700781275E-4</v>
      </c>
      <c r="R5" s="7" cm="1">
        <f t="array" ref="R5">INDEX('Summarized Source Data'!$N$1269:$N$1412,MATCH(1,($A5=LoadFactorSeasons)*(R$1=LoadFactorHours),0),)</f>
        <v>1.554341501737383E-4</v>
      </c>
      <c r="S5" s="7" cm="1">
        <f t="array" ref="S5">INDEX('Summarized Source Data'!$N$1269:$N$1412,MATCH(1,($A5=LoadFactorSeasons)*(S$1=LoadFactorHours),0),)</f>
        <v>1.4692386589955803E-4</v>
      </c>
      <c r="T5" s="7" cm="1">
        <f t="array" ref="T5">INDEX('Summarized Source Data'!$N$1269:$N$1412,MATCH(1,($A5=LoadFactorSeasons)*(T$1=LoadFactorHours),0),)</f>
        <v>1.3999716891178934E-4</v>
      </c>
      <c r="U5" s="7" cm="1">
        <f t="array" ref="U5">INDEX('Summarized Source Data'!$N$1269:$N$1412,MATCH(1,($A5=LoadFactorSeasons)*(U$1=LoadFactorHours),0),)</f>
        <v>1.1875490326782055E-4</v>
      </c>
      <c r="V5" s="7" cm="1">
        <f t="array" ref="V5">INDEX('Summarized Source Data'!$N$1269:$N$1412,MATCH(1,($A5=LoadFactorSeasons)*(V$1=LoadFactorHours),0),)</f>
        <v>9.9872473153245867E-5</v>
      </c>
      <c r="W5" s="7" cm="1">
        <f t="array" ref="W5">INDEX('Summarized Source Data'!$N$1269:$N$1412,MATCH(1,($A5=LoadFactorSeasons)*(W$1=LoadFactorHours),0),)</f>
        <v>8.2374329568646199E-5</v>
      </c>
      <c r="X5" s="7" cm="1">
        <f t="array" ref="X5">INDEX('Summarized Source Data'!$N$1269:$N$1412,MATCH(1,($A5=LoadFactorSeasons)*(X$1=LoadFactorHours),0),)</f>
        <v>7.0289371561127451E-5</v>
      </c>
      <c r="Y5" s="7" cm="1">
        <f t="array" ref="Y5">INDEX('Summarized Source Data'!$N$1269:$N$1412,MATCH(1,($A5=LoadFactorSeasons)*(Y$1=LoadFactorHours),0),)</f>
        <v>6.1877606362020887E-5</v>
      </c>
    </row>
    <row r="6" spans="1:25" x14ac:dyDescent="0.3">
      <c r="A6" s="7" t="s">
        <v>167</v>
      </c>
      <c r="B6" s="7" cm="1">
        <f t="array" ref="B6">INDEX('Summarized Source Data'!$N$1269:$N$1412,MATCH(1,($A6=LoadFactorSeasons)*(B$1=LoadFactorHours),0),)</f>
        <v>6.2196248906763932E-5</v>
      </c>
      <c r="C6" s="7" cm="1">
        <f t="array" ref="C6">INDEX('Summarized Source Data'!$N$1269:$N$1412,MATCH(1,($A6=LoadFactorSeasons)*(C$1=LoadFactorHours),0),)</f>
        <v>6.0970807320918512E-5</v>
      </c>
      <c r="D6" s="7" cm="1">
        <f t="array" ref="D6">INDEX('Summarized Source Data'!$N$1269:$N$1412,MATCH(1,($A6=LoadFactorSeasons)*(D$1=LoadFactorHours),0),)</f>
        <v>6.0586737246845433E-5</v>
      </c>
      <c r="E6" s="7" cm="1">
        <f t="array" ref="E6">INDEX('Summarized Source Data'!$N$1269:$N$1412,MATCH(1,($A6=LoadFactorSeasons)*(E$1=LoadFactorHours),0),)</f>
        <v>6.3425485555890752E-5</v>
      </c>
      <c r="F6" s="7" cm="1">
        <f t="array" ref="F6">INDEX('Summarized Source Data'!$N$1269:$N$1412,MATCH(1,($A6=LoadFactorSeasons)*(F$1=LoadFactorHours),0),)</f>
        <v>6.7113195503271212E-5</v>
      </c>
      <c r="G6" s="7" cm="1">
        <f t="array" ref="G6">INDEX('Summarized Source Data'!$N$1269:$N$1412,MATCH(1,($A6=LoadFactorSeasons)*(G$1=LoadFactorHours),0),)</f>
        <v>7.8180120408694002E-5</v>
      </c>
      <c r="H6" s="7" cm="1">
        <f t="array" ref="H6">INDEX('Summarized Source Data'!$N$1269:$N$1412,MATCH(1,($A6=LoadFactorSeasons)*(H$1=LoadFactorHours),0),)</f>
        <v>1.1751189811747085E-4</v>
      </c>
      <c r="I6" s="7" cm="1">
        <f t="array" ref="I6">INDEX('Summarized Source Data'!$N$1269:$N$1412,MATCH(1,($A6=LoadFactorSeasons)*(I$1=LoadFactorHours),0),)</f>
        <v>1.6094492638661851E-4</v>
      </c>
      <c r="J6" s="7" cm="1">
        <f t="array" ref="J6">INDEX('Summarized Source Data'!$N$1269:$N$1412,MATCH(1,($A6=LoadFactorSeasons)*(J$1=LoadFactorHours),0),)</f>
        <v>2.0028049915867674E-4</v>
      </c>
      <c r="K6" s="7" cm="1">
        <f t="array" ref="K6">INDEX('Summarized Source Data'!$N$1269:$N$1412,MATCH(1,($A6=LoadFactorSeasons)*(K$1=LoadFactorHours),0),)</f>
        <v>2.1052413790140025E-4</v>
      </c>
      <c r="L6" s="7" cm="1">
        <f t="array" ref="L6">INDEX('Summarized Source Data'!$N$1269:$N$1412,MATCH(1,($A6=LoadFactorSeasons)*(L$1=LoadFactorHours),0),)</f>
        <v>2.0929869631555484E-4</v>
      </c>
      <c r="M6" s="7" cm="1">
        <f t="array" ref="M6">INDEX('Summarized Source Data'!$N$1269:$N$1412,MATCH(1,($A6=LoadFactorSeasons)*(M$1=LoadFactorHours),0),)</f>
        <v>2.0866140267227054E-4</v>
      </c>
      <c r="N6" s="7" cm="1">
        <f t="array" ref="N6">INDEX('Summarized Source Data'!$N$1269:$N$1412,MATCH(1,($A6=LoadFactorSeasons)*(N$1=LoadFactorHours),0),)</f>
        <v>2.0683642795401978E-4</v>
      </c>
      <c r="O6" s="7" cm="1">
        <f t="array" ref="O6">INDEX('Summarized Source Data'!$N$1269:$N$1412,MATCH(1,($A6=LoadFactorSeasons)*(O$1=LoadFactorHours),0),)</f>
        <v>2.0520124081846545E-4</v>
      </c>
      <c r="P6" s="7" cm="1">
        <f t="array" ref="P6">INDEX('Summarized Source Data'!$N$1269:$N$1412,MATCH(1,($A6=LoadFactorSeasons)*(P$1=LoadFactorHours),0),)</f>
        <v>2.0520124081846545E-4</v>
      </c>
      <c r="Q6" s="7" cm="1">
        <f t="array" ref="Q6">INDEX('Summarized Source Data'!$N$1269:$N$1412,MATCH(1,($A6=LoadFactorSeasons)*(Q$1=LoadFactorHours),0),)</f>
        <v>2.0560719130489297E-4</v>
      </c>
      <c r="R6" s="7" cm="1">
        <f t="array" ref="R6">INDEX('Summarized Source Data'!$N$1269:$N$1412,MATCH(1,($A6=LoadFactorSeasons)*(R$1=LoadFactorHours),0),)</f>
        <v>1.9946100805925886E-4</v>
      </c>
      <c r="S6" s="7" cm="1">
        <f t="array" ref="S6">INDEX('Summarized Source Data'!$N$1269:$N$1412,MATCH(1,($A6=LoadFactorSeasons)*(S$1=LoadFactorHours),0),)</f>
        <v>1.8757838711769962E-4</v>
      </c>
      <c r="T6" s="7" cm="1">
        <f t="array" ref="T6">INDEX('Summarized Source Data'!$N$1269:$N$1412,MATCH(1,($A6=LoadFactorSeasons)*(T$1=LoadFactorHours),0),)</f>
        <v>1.7774828898796646E-4</v>
      </c>
      <c r="U6" s="7" cm="1">
        <f t="array" ref="U6">INDEX('Summarized Source Data'!$N$1269:$N$1412,MATCH(1,($A6=LoadFactorSeasons)*(U$1=LoadFactorHours),0),)</f>
        <v>1.4865635495863171E-4</v>
      </c>
      <c r="V6" s="7" cm="1">
        <f t="array" ref="V6">INDEX('Summarized Source Data'!$N$1269:$N$1412,MATCH(1,($A6=LoadFactorSeasons)*(V$1=LoadFactorHours),0),)</f>
        <v>1.2325213087667741E-4</v>
      </c>
      <c r="W6" s="7" cm="1">
        <f t="array" ref="W6">INDEX('Summarized Source Data'!$N$1269:$N$1412,MATCH(1,($A6=LoadFactorSeasons)*(W$1=LoadFactorHours),0),)</f>
        <v>1.0030258502969536E-4</v>
      </c>
      <c r="X6" s="7" cm="1">
        <f t="array" ref="X6">INDEX('Summarized Source Data'!$N$1269:$N$1412,MATCH(1,($A6=LoadFactorSeasons)*(X$1=LoadFactorHours),0),)</f>
        <v>8.4322508591046702E-5</v>
      </c>
      <c r="Y6" s="7" cm="1">
        <f t="array" ref="Y6">INDEX('Summarized Source Data'!$N$1269:$N$1412,MATCH(1,($A6=LoadFactorSeasons)*(Y$1=LoadFactorHours),0),)</f>
        <v>7.3672919361895663E-5</v>
      </c>
    </row>
    <row r="7" spans="1:25" x14ac:dyDescent="0.3">
      <c r="A7" s="7" t="s">
        <v>166</v>
      </c>
      <c r="B7" s="7" cm="1">
        <f t="array" ref="B7">INDEX('Summarized Source Data'!$N$1269:$N$1412,MATCH(1,($A7=LoadFactorSeasons)*(B$1=LoadFactorHours),0),)</f>
        <v>6.3373120484383502E-5</v>
      </c>
      <c r="C7" s="7" cm="1">
        <f t="array" ref="C7">INDEX('Summarized Source Data'!$N$1269:$N$1412,MATCH(1,($A7=LoadFactorSeasons)*(C$1=LoadFactorHours),0),)</f>
        <v>6.209896220140544E-5</v>
      </c>
      <c r="D7" s="7" cm="1">
        <f t="array" ref="D7">INDEX('Summarized Source Data'!$N$1269:$N$1412,MATCH(1,($A7=LoadFactorSeasons)*(D$1=LoadFactorHours),0),)</f>
        <v>6.1940184981402124E-5</v>
      </c>
      <c r="E7" s="7" cm="1">
        <f t="array" ref="E7">INDEX('Summarized Source Data'!$N$1269:$N$1412,MATCH(1,($A7=LoadFactorSeasons)*(E$1=LoadFactorHours),0),)</f>
        <v>6.4603726093391892E-5</v>
      </c>
      <c r="F7" s="7" cm="1">
        <f t="array" ref="F7">INDEX('Summarized Source Data'!$N$1269:$N$1412,MATCH(1,($A7=LoadFactorSeasons)*(F$1=LoadFactorHours),0),)</f>
        <v>6.8783172494469157E-5</v>
      </c>
      <c r="G7" s="7" cm="1">
        <f t="array" ref="G7">INDEX('Summarized Source Data'!$N$1269:$N$1412,MATCH(1,($A7=LoadFactorSeasons)*(G$1=LoadFactorHours),0),)</f>
        <v>8.0496770528554627E-5</v>
      </c>
      <c r="H7" s="7" cm="1">
        <f t="array" ref="H7">INDEX('Summarized Source Data'!$N$1269:$N$1412,MATCH(1,($A7=LoadFactorSeasons)*(H$1=LoadFactorHours),0),)</f>
        <v>1.2110580460641089E-4</v>
      </c>
      <c r="I7" s="7" cm="1">
        <f t="array" ref="I7">INDEX('Summarized Source Data'!$N$1269:$N$1412,MATCH(1,($A7=LoadFactorSeasons)*(I$1=LoadFactorHours),0),)</f>
        <v>1.6674856808913363E-4</v>
      </c>
      <c r="J7" s="7" cm="1">
        <f t="array" ref="J7">INDEX('Summarized Source Data'!$N$1269:$N$1412,MATCH(1,($A7=LoadFactorSeasons)*(J$1=LoadFactorHours),0),)</f>
        <v>2.0648963775929589E-4</v>
      </c>
      <c r="K7" s="7" cm="1">
        <f t="array" ref="K7">INDEX('Summarized Source Data'!$N$1269:$N$1412,MATCH(1,($A7=LoadFactorSeasons)*(K$1=LoadFactorHours),0),)</f>
        <v>2.1692677187219508E-4</v>
      </c>
      <c r="L7" s="7" cm="1">
        <f t="array" ref="L7">INDEX('Summarized Source Data'!$N$1269:$N$1412,MATCH(1,($A7=LoadFactorSeasons)*(L$1=LoadFactorHours),0),)</f>
        <v>2.1558186528362208E-4</v>
      </c>
      <c r="M7" s="7" cm="1">
        <f t="array" ref="M7">INDEX('Summarized Source Data'!$N$1269:$N$1412,MATCH(1,($A7=LoadFactorSeasons)*(M$1=LoadFactorHours),0),)</f>
        <v>2.1488496759420383E-4</v>
      </c>
      <c r="N7" s="7" cm="1">
        <f t="array" ref="N7">INDEX('Summarized Source Data'!$N$1269:$N$1412,MATCH(1,($A7=LoadFactorSeasons)*(N$1=LoadFactorHours),0),)</f>
        <v>2.1155807629993266E-4</v>
      </c>
      <c r="O7" s="7" cm="1">
        <f t="array" ref="O7">INDEX('Summarized Source Data'!$N$1269:$N$1412,MATCH(1,($A7=LoadFactorSeasons)*(O$1=LoadFactorHours),0),)</f>
        <v>2.1155725926730654E-4</v>
      </c>
      <c r="P7" s="7" cm="1">
        <f t="array" ref="P7">INDEX('Summarized Source Data'!$N$1269:$N$1412,MATCH(1,($A7=LoadFactorSeasons)*(P$1=LoadFactorHours),0),)</f>
        <v>2.1143345628844417E-4</v>
      </c>
      <c r="Q7" s="7" cm="1">
        <f t="array" ref="Q7">INDEX('Summarized Source Data'!$N$1269:$N$1412,MATCH(1,($A7=LoadFactorSeasons)*(Q$1=LoadFactorHours),0),)</f>
        <v>2.115973393477424E-4</v>
      </c>
      <c r="R7" s="7" cm="1">
        <f t="array" ref="R7">INDEX('Summarized Source Data'!$N$1269:$N$1412,MATCH(1,($A7=LoadFactorSeasons)*(R$1=LoadFactorHours),0),)</f>
        <v>2.04304612251096E-4</v>
      </c>
      <c r="S7" s="7" cm="1">
        <f t="array" ref="S7">INDEX('Summarized Source Data'!$N$1269:$N$1412,MATCH(1,($A7=LoadFactorSeasons)*(S$1=LoadFactorHours),0),)</f>
        <v>1.9180902589852086E-4</v>
      </c>
      <c r="T7" s="7" cm="1">
        <f t="array" ref="T7">INDEX('Summarized Source Data'!$N$1269:$N$1412,MATCH(1,($A7=LoadFactorSeasons)*(T$1=LoadFactorHours),0),)</f>
        <v>1.8271410757516972E-4</v>
      </c>
      <c r="U7" s="7" cm="1">
        <f t="array" ref="U7">INDEX('Summarized Source Data'!$N$1269:$N$1412,MATCH(1,($A7=LoadFactorSeasons)*(U$1=LoadFactorHours),0),)</f>
        <v>1.5313252310673173E-4</v>
      </c>
      <c r="V7" s="7" cm="1">
        <f t="array" ref="V7">INDEX('Summarized Source Data'!$N$1269:$N$1412,MATCH(1,($A7=LoadFactorSeasons)*(V$1=LoadFactorHours),0),)</f>
        <v>1.271637831567958E-4</v>
      </c>
      <c r="W7" s="7" cm="1">
        <f t="array" ref="W7">INDEX('Summarized Source Data'!$N$1269:$N$1412,MATCH(1,($A7=LoadFactorSeasons)*(W$1=LoadFactorHours),0),)</f>
        <v>1.0315399406648113E-4</v>
      </c>
      <c r="X7" s="7" cm="1">
        <f t="array" ref="X7">INDEX('Summarized Source Data'!$N$1269:$N$1412,MATCH(1,($A7=LoadFactorSeasons)*(X$1=LoadFactorHours),0),)</f>
        <v>8.6724761112170324E-5</v>
      </c>
      <c r="Y7" s="7" cm="1">
        <f t="array" ref="Y7">INDEX('Summarized Source Data'!$N$1269:$N$1412,MATCH(1,($A7=LoadFactorSeasons)*(Y$1=LoadFactorHours),0),)</f>
        <v>7.5540843198921342E-5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B4C7-AEAF-44C1-B07C-F31C2CAF4A8C}">
  <sheetPr codeName="Sheet20">
    <tabColor rgb="FF002060"/>
  </sheetPr>
  <dimension ref="A1:Y19"/>
  <sheetViews>
    <sheetView topLeftCell="G1" workbookViewId="0">
      <selection activeCell="B6" sqref="B6:Y7"/>
    </sheetView>
  </sheetViews>
  <sheetFormatPr defaultRowHeight="14.4" x14ac:dyDescent="0.3"/>
  <cols>
    <col min="1" max="1" width="28.44140625" customWidth="1"/>
    <col min="2" max="2" width="10.5546875" bestFit="1" customWidth="1"/>
    <col min="3" max="3" width="10.44140625" bestFit="1" customWidth="1"/>
    <col min="4" max="25" width="10.554687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 cm="1">
        <f t="array" ref="B2">INDEX('Summarized Source Data'!$O$1269:$O$1412,MATCH(1,($A2=LoadFactorSeasons)*(B$1=LoadFactorHours),0),)</f>
        <v>5.4260108128280417E-5</v>
      </c>
      <c r="C2" s="7" cm="1">
        <f t="array" ref="C2">INDEX('Summarized Source Data'!$O$1269:$O$1412,MATCH(1,($A2=LoadFactorSeasons)*(C$1=LoadFactorHours),0),)</f>
        <v>5.2290515695769964E-5</v>
      </c>
      <c r="D2" s="7" cm="1">
        <f t="array" ref="D2">INDEX('Summarized Source Data'!$O$1269:$O$1412,MATCH(1,($A2=LoadFactorSeasons)*(D$1=LoadFactorHours),0),)</f>
        <v>5.2047653397883073E-5</v>
      </c>
      <c r="E2" s="7" cm="1">
        <f t="array" ref="E2">INDEX('Summarized Source Data'!$O$1269:$O$1412,MATCH(1,($A2=LoadFactorSeasons)*(E$1=LoadFactorHours),0),)</f>
        <v>5.3976750432844046E-5</v>
      </c>
      <c r="F2" s="7" cm="1">
        <f t="array" ref="F2">INDEX('Summarized Source Data'!$O$1269:$O$1412,MATCH(1,($A2=LoadFactorSeasons)*(F$1=LoadFactorHours),0),)</f>
        <v>5.7046297046918281E-5</v>
      </c>
      <c r="G2" s="7" cm="1">
        <f t="array" ref="G2">INDEX('Summarized Source Data'!$O$1269:$O$1412,MATCH(1,($A2=LoadFactorSeasons)*(G$1=LoadFactorHours),0),)</f>
        <v>6.5928748726997241E-5</v>
      </c>
      <c r="H2" s="7" cm="1">
        <f t="array" ref="H2">INDEX('Summarized Source Data'!$O$1269:$O$1412,MATCH(1,($A2=LoadFactorSeasons)*(H$1=LoadFactorHours),0),)</f>
        <v>9.5885792786772937E-5</v>
      </c>
      <c r="I2" s="7" cm="1">
        <f t="array" ref="I2">INDEX('Summarized Source Data'!$O$1269:$O$1412,MATCH(1,($A2=LoadFactorSeasons)*(I$1=LoadFactorHours),0),)</f>
        <v>1.3082671813706645E-4</v>
      </c>
      <c r="J2" s="7" cm="1">
        <f t="array" ref="J2">INDEX('Summarized Source Data'!$O$1269:$O$1412,MATCH(1,($A2=LoadFactorSeasons)*(J$1=LoadFactorHours),0),)</f>
        <v>1.6097665102702191E-4</v>
      </c>
      <c r="K2" s="7" cm="1">
        <f t="array" ref="K2">INDEX('Summarized Source Data'!$O$1269:$O$1412,MATCH(1,($A2=LoadFactorSeasons)*(K$1=LoadFactorHours),0),)</f>
        <v>1.6966439572470038E-4</v>
      </c>
      <c r="L2" s="7" cm="1">
        <f t="array" ref="L2">INDEX('Summarized Source Data'!$O$1269:$O$1412,MATCH(1,($A2=LoadFactorSeasons)*(L$1=LoadFactorHours),0),)</f>
        <v>1.685207024754286E-4</v>
      </c>
      <c r="M2" s="7" cm="1">
        <f t="array" ref="M2">INDEX('Summarized Source Data'!$O$1269:$O$1412,MATCH(1,($A2=LoadFactorSeasons)*(M$1=LoadFactorHours),0),)</f>
        <v>1.6803548504416008E-4</v>
      </c>
      <c r="N2" s="7" cm="1">
        <f t="array" ref="N2">INDEX('Summarized Source Data'!$O$1269:$O$1412,MATCH(1,($A2=LoadFactorSeasons)*(N$1=LoadFactorHours),0),)</f>
        <v>1.655082640517377E-4</v>
      </c>
      <c r="O2" s="7" cm="1">
        <f t="array" ref="O2">INDEX('Summarized Source Data'!$O$1269:$O$1412,MATCH(1,($A2=LoadFactorSeasons)*(O$1=LoadFactorHours),0),)</f>
        <v>1.6499198613711518E-4</v>
      </c>
      <c r="P2" s="7" cm="1">
        <f t="array" ref="P2">INDEX('Summarized Source Data'!$O$1269:$O$1412,MATCH(1,($A2=LoadFactorSeasons)*(P$1=LoadFactorHours),0),)</f>
        <v>1.6423127350752263E-4</v>
      </c>
      <c r="Q2" s="7" cm="1">
        <f t="array" ref="Q2">INDEX('Summarized Source Data'!$O$1269:$O$1412,MATCH(1,($A2=LoadFactorSeasons)*(Q$1=LoadFactorHours),0),)</f>
        <v>1.6324403338637466E-4</v>
      </c>
      <c r="R2" s="7" cm="1">
        <f t="array" ref="R2">INDEX('Summarized Source Data'!$O$1269:$O$1412,MATCH(1,($A2=LoadFactorSeasons)*(R$1=LoadFactorHours),0),)</f>
        <v>1.5765404812284492E-4</v>
      </c>
      <c r="S2" s="7" cm="1">
        <f t="array" ref="S2">INDEX('Summarized Source Data'!$O$1269:$O$1412,MATCH(1,($A2=LoadFactorSeasons)*(S$1=LoadFactorHours),0),)</f>
        <v>1.4888799872238428E-4</v>
      </c>
      <c r="T2" s="7" cm="1">
        <f t="array" ref="T2">INDEX('Summarized Source Data'!$O$1269:$O$1412,MATCH(1,($A2=LoadFactorSeasons)*(T$1=LoadFactorHours),0),)</f>
        <v>1.4227229636380766E-4</v>
      </c>
      <c r="U2" s="7" cm="1">
        <f t="array" ref="U2">INDEX('Summarized Source Data'!$O$1269:$O$1412,MATCH(1,($A2=LoadFactorSeasons)*(U$1=LoadFactorHours),0),)</f>
        <v>1.2081606787372315E-4</v>
      </c>
      <c r="V2" s="7" cm="1">
        <f t="array" ref="V2">INDEX('Summarized Source Data'!$O$1269:$O$1412,MATCH(1,($A2=LoadFactorSeasons)*(V$1=LoadFactorHours),0),)</f>
        <v>1.0173274044034067E-4</v>
      </c>
      <c r="W2" s="7" cm="1">
        <f t="array" ref="W2">INDEX('Summarized Source Data'!$O$1269:$O$1412,MATCH(1,($A2=LoadFactorSeasons)*(W$1=LoadFactorHours),0),)</f>
        <v>8.3862338539387703E-5</v>
      </c>
      <c r="X2" s="7" cm="1">
        <f t="array" ref="X2">INDEX('Summarized Source Data'!$O$1269:$O$1412,MATCH(1,($A2=LoadFactorSeasons)*(X$1=LoadFactorHours),0),)</f>
        <v>7.1770580994686564E-5</v>
      </c>
      <c r="Y2" s="7" cm="1">
        <f t="array" ref="Y2">INDEX('Summarized Source Data'!$O$1269:$O$1412,MATCH(1,($A2=LoadFactorSeasons)*(Y$1=LoadFactorHours),0),)</f>
        <v>6.2979487906716556E-5</v>
      </c>
    </row>
    <row r="3" spans="1:25" x14ac:dyDescent="0.3">
      <c r="A3" s="7" t="s">
        <v>162</v>
      </c>
      <c r="B3" s="7" cm="1">
        <f t="array" ref="B3">INDEX('Summarized Source Data'!$O$1269:$O$1412,MATCH(1,($A3=LoadFactorSeasons)*(B$1=LoadFactorHours),0),)</f>
        <v>5.3499179365142446E-5</v>
      </c>
      <c r="C3" s="7" cm="1">
        <f t="array" ref="C3">INDEX('Summarized Source Data'!$O$1269:$O$1412,MATCH(1,($A3=LoadFactorSeasons)*(C$1=LoadFactorHours),0),)</f>
        <v>5.1679891843861563E-5</v>
      </c>
      <c r="D3" s="7" cm="1">
        <f t="array" ref="D3">INDEX('Summarized Source Data'!$O$1269:$O$1412,MATCH(1,($A3=LoadFactorSeasons)*(D$1=LoadFactorHours),0),)</f>
        <v>5.1374969749717329E-5</v>
      </c>
      <c r="E3" s="7" cm="1">
        <f t="array" ref="E3">INDEX('Summarized Source Data'!$O$1269:$O$1412,MATCH(1,($A3=LoadFactorSeasons)*(E$1=LoadFactorHours),0),)</f>
        <v>5.3395876969043384E-5</v>
      </c>
      <c r="F3" s="7" cm="1">
        <f t="array" ref="F3">INDEX('Summarized Source Data'!$O$1269:$O$1412,MATCH(1,($A3=LoadFactorSeasons)*(F$1=LoadFactorHours),0),)</f>
        <v>5.6256718645512603E-5</v>
      </c>
      <c r="G3" s="7" cm="1">
        <f t="array" ref="G3">INDEX('Summarized Source Data'!$O$1269:$O$1412,MATCH(1,($A3=LoadFactorSeasons)*(G$1=LoadFactorHours),0),)</f>
        <v>6.4907531363051589E-5</v>
      </c>
      <c r="H3" s="7" cm="1">
        <f t="array" ref="H3">INDEX('Summarized Source Data'!$O$1269:$O$1412,MATCH(1,($A3=LoadFactorSeasons)*(H$1=LoadFactorHours),0),)</f>
        <v>9.4009684313419651E-5</v>
      </c>
      <c r="I3" s="7" cm="1">
        <f t="array" ref="I3">INDEX('Summarized Source Data'!$O$1269:$O$1412,MATCH(1,($A3=LoadFactorSeasons)*(I$1=LoadFactorHours),0),)</f>
        <v>1.278986158857922E-4</v>
      </c>
      <c r="J3" s="7" cm="1">
        <f t="array" ref="J3">INDEX('Summarized Source Data'!$O$1269:$O$1412,MATCH(1,($A3=LoadFactorSeasons)*(J$1=LoadFactorHours),0),)</f>
        <v>1.5757972823858662E-4</v>
      </c>
      <c r="K3" s="7" cm="1">
        <f t="array" ref="K3">INDEX('Summarized Source Data'!$O$1269:$O$1412,MATCH(1,($A3=LoadFactorSeasons)*(K$1=LoadFactorHours),0),)</f>
        <v>1.6631469743342254E-4</v>
      </c>
      <c r="L3" s="7" cm="1">
        <f t="array" ref="L3">INDEX('Summarized Source Data'!$O$1269:$O$1412,MATCH(1,($A3=LoadFactorSeasons)*(L$1=LoadFactorHours),0),)</f>
        <v>1.6552021145255989E-4</v>
      </c>
      <c r="M3" s="7" cm="1">
        <f t="array" ref="M3">INDEX('Summarized Source Data'!$O$1269:$O$1412,MATCH(1,($A3=LoadFactorSeasons)*(M$1=LoadFactorHours),0),)</f>
        <v>1.6505463407986531E-4</v>
      </c>
      <c r="N3" s="7" cm="1">
        <f t="array" ref="N3">INDEX('Summarized Source Data'!$O$1269:$O$1412,MATCH(1,($A3=LoadFactorSeasons)*(N$1=LoadFactorHours),0),)</f>
        <v>1.6245912602268897E-4</v>
      </c>
      <c r="O3" s="7" cm="1">
        <f t="array" ref="O3">INDEX('Summarized Source Data'!$O$1269:$O$1412,MATCH(1,($A3=LoadFactorSeasons)*(O$1=LoadFactorHours),0),)</f>
        <v>1.6206506821632899E-4</v>
      </c>
      <c r="P3" s="7" cm="1">
        <f t="array" ref="P3">INDEX('Summarized Source Data'!$O$1269:$O$1412,MATCH(1,($A3=LoadFactorSeasons)*(P$1=LoadFactorHours),0),)</f>
        <v>1.6128515741657519E-4</v>
      </c>
      <c r="Q3" s="7" cm="1">
        <f t="array" ref="Q3">INDEX('Summarized Source Data'!$O$1269:$O$1412,MATCH(1,($A3=LoadFactorSeasons)*(Q$1=LoadFactorHours),0),)</f>
        <v>1.6039223683455916E-4</v>
      </c>
      <c r="R3" s="7" cm="1">
        <f t="array" ref="R3">INDEX('Summarized Source Data'!$O$1269:$O$1412,MATCH(1,($A3=LoadFactorSeasons)*(R$1=LoadFactorHours),0),)</f>
        <v>1.5487837981755886E-4</v>
      </c>
      <c r="S3" s="7" cm="1">
        <f t="array" ref="S3">INDEX('Summarized Source Data'!$O$1269:$O$1412,MATCH(1,($A3=LoadFactorSeasons)*(S$1=LoadFactorHours),0),)</f>
        <v>1.4644474382367615E-4</v>
      </c>
      <c r="T3" s="7" cm="1">
        <f t="array" ref="T3">INDEX('Summarized Source Data'!$O$1269:$O$1412,MATCH(1,($A3=LoadFactorSeasons)*(T$1=LoadFactorHours),0),)</f>
        <v>1.3979032741412225E-4</v>
      </c>
      <c r="U3" s="7" cm="1">
        <f t="array" ref="U3">INDEX('Summarized Source Data'!$O$1269:$O$1412,MATCH(1,($A3=LoadFactorSeasons)*(U$1=LoadFactorHours),0),)</f>
        <v>1.1863217622766039E-4</v>
      </c>
      <c r="V3" s="7" cm="1">
        <f t="array" ref="V3">INDEX('Summarized Source Data'!$O$1269:$O$1412,MATCH(1,($A3=LoadFactorSeasons)*(V$1=LoadFactorHours),0),)</f>
        <v>9.9909285514737702E-5</v>
      </c>
      <c r="W3" s="7" cm="1">
        <f t="array" ref="W3">INDEX('Summarized Source Data'!$O$1269:$O$1412,MATCH(1,($A3=LoadFactorSeasons)*(W$1=LoadFactorHours),0),)</f>
        <v>8.2444248634307979E-5</v>
      </c>
      <c r="X3" s="7" cm="1">
        <f t="array" ref="X3">INDEX('Summarized Source Data'!$O$1269:$O$1412,MATCH(1,($A3=LoadFactorSeasons)*(X$1=LoadFactorHours),0),)</f>
        <v>7.0531946818843007E-5</v>
      </c>
      <c r="Y3" s="7" cm="1">
        <f t="array" ref="Y3">INDEX('Summarized Source Data'!$O$1269:$O$1412,MATCH(1,($A3=LoadFactorSeasons)*(Y$1=LoadFactorHours),0),)</f>
        <v>6.2032610526638961E-5</v>
      </c>
    </row>
    <row r="4" spans="1:25" x14ac:dyDescent="0.3">
      <c r="A4" s="7" t="s">
        <v>163</v>
      </c>
      <c r="B4" s="7" cm="1">
        <f t="array" ref="B4">INDEX('Summarized Source Data'!$O$1269:$O$1412,MATCH(1,($A4=LoadFactorSeasons)*(B$1=LoadFactorHours),0),)</f>
        <v>5.3295260047185863E-5</v>
      </c>
      <c r="C4" s="7" cm="1">
        <f t="array" ref="C4">INDEX('Summarized Source Data'!$O$1269:$O$1412,MATCH(1,($A4=LoadFactorSeasons)*(C$1=LoadFactorHours),0),)</f>
        <v>5.1369483036027669E-5</v>
      </c>
      <c r="D4" s="7" cm="1">
        <f t="array" ref="D4">INDEX('Summarized Source Data'!$O$1269:$O$1412,MATCH(1,($A4=LoadFactorSeasons)*(D$1=LoadFactorHours),0),)</f>
        <v>5.105221318848285E-5</v>
      </c>
      <c r="E4" s="7" cm="1">
        <f t="array" ref="E4">INDEX('Summarized Source Data'!$O$1269:$O$1412,MATCH(1,($A4=LoadFactorSeasons)*(E$1=LoadFactorHours),0),)</f>
        <v>5.3031211164704057E-5</v>
      </c>
      <c r="F4" s="7" cm="1">
        <f t="array" ref="F4">INDEX('Summarized Source Data'!$O$1269:$O$1412,MATCH(1,($A4=LoadFactorSeasons)*(F$1=LoadFactorHours),0),)</f>
        <v>5.5787439586984333E-5</v>
      </c>
      <c r="G4" s="7" cm="1">
        <f t="array" ref="G4">INDEX('Summarized Source Data'!$O$1269:$O$1412,MATCH(1,($A4=LoadFactorSeasons)*(G$1=LoadFactorHours),0),)</f>
        <v>6.4272098819047845E-5</v>
      </c>
      <c r="H4" s="7" cm="1">
        <f t="array" ref="H4">INDEX('Summarized Source Data'!$O$1269:$O$1412,MATCH(1,($A4=LoadFactorSeasons)*(H$1=LoadFactorHours),0),)</f>
        <v>9.3240086276610105E-5</v>
      </c>
      <c r="I4" s="7" cm="1">
        <f t="array" ref="I4">INDEX('Summarized Source Data'!$O$1269:$O$1412,MATCH(1,($A4=LoadFactorSeasons)*(I$1=LoadFactorHours),0),)</f>
        <v>1.2647504174140241E-4</v>
      </c>
      <c r="J4" s="7" cm="1">
        <f t="array" ref="J4">INDEX('Summarized Source Data'!$O$1269:$O$1412,MATCH(1,($A4=LoadFactorSeasons)*(J$1=LoadFactorHours),0),)</f>
        <v>1.5616887502081184E-4</v>
      </c>
      <c r="K4" s="7" cm="1">
        <f t="array" ref="K4">INDEX('Summarized Source Data'!$O$1269:$O$1412,MATCH(1,($A4=LoadFactorSeasons)*(K$1=LoadFactorHours),0),)</f>
        <v>1.6491508515088091E-4</v>
      </c>
      <c r="L4" s="7" cm="1">
        <f t="array" ref="L4">INDEX('Summarized Source Data'!$O$1269:$O$1412,MATCH(1,($A4=LoadFactorSeasons)*(L$1=LoadFactorHours),0),)</f>
        <v>1.6409861867349579E-4</v>
      </c>
      <c r="M4" s="7" cm="1">
        <f t="array" ref="M4">INDEX('Summarized Source Data'!$O$1269:$O$1412,MATCH(1,($A4=LoadFactorSeasons)*(M$1=LoadFactorHours),0),)</f>
        <v>1.6369423612040676E-4</v>
      </c>
      <c r="N4" s="7" cm="1">
        <f t="array" ref="N4">INDEX('Summarized Source Data'!$O$1269:$O$1412,MATCH(1,($A4=LoadFactorSeasons)*(N$1=LoadFactorHours),0),)</f>
        <v>1.6157729054152949E-4</v>
      </c>
      <c r="O4" s="7" cm="1">
        <f t="array" ref="O4">INDEX('Summarized Source Data'!$O$1269:$O$1412,MATCH(1,($A4=LoadFactorSeasons)*(O$1=LoadFactorHours),0),)</f>
        <v>1.6053120156373602E-4</v>
      </c>
      <c r="P4" s="7" cm="1">
        <f t="array" ref="P4">INDEX('Summarized Source Data'!$O$1269:$O$1412,MATCH(1,($A4=LoadFactorSeasons)*(P$1=LoadFactorHours),0),)</f>
        <v>1.597820415127858E-4</v>
      </c>
      <c r="Q4" s="7" cm="1">
        <f t="array" ref="Q4">INDEX('Summarized Source Data'!$O$1269:$O$1412,MATCH(1,($A4=LoadFactorSeasons)*(Q$1=LoadFactorHours),0),)</f>
        <v>1.5910008851861214E-4</v>
      </c>
      <c r="R4" s="7" cm="1">
        <f t="array" ref="R4">INDEX('Summarized Source Data'!$O$1269:$O$1412,MATCH(1,($A4=LoadFactorSeasons)*(R$1=LoadFactorHours),0),)</f>
        <v>1.5406460571582833E-4</v>
      </c>
      <c r="S4" s="7" cm="1">
        <f t="array" ref="S4">INDEX('Summarized Source Data'!$O$1269:$O$1412,MATCH(1,($A4=LoadFactorSeasons)*(S$1=LoadFactorHours),0),)</f>
        <v>1.4562447785915748E-4</v>
      </c>
      <c r="T4" s="7" cm="1">
        <f t="array" ref="T4">INDEX('Summarized Source Data'!$O$1269:$O$1412,MATCH(1,($A4=LoadFactorSeasons)*(T$1=LoadFactorHours),0),)</f>
        <v>1.3885072189073056E-4</v>
      </c>
      <c r="U4" s="7" cm="1">
        <f t="array" ref="U4">INDEX('Summarized Source Data'!$O$1269:$O$1412,MATCH(1,($A4=LoadFactorSeasons)*(U$1=LoadFactorHours),0),)</f>
        <v>1.1766597554965647E-4</v>
      </c>
      <c r="V4" s="7" cm="1">
        <f t="array" ref="V4">INDEX('Summarized Source Data'!$O$1269:$O$1412,MATCH(1,($A4=LoadFactorSeasons)*(V$1=LoadFactorHours),0),)</f>
        <v>9.894378837620513E-5</v>
      </c>
      <c r="W4" s="7" cm="1">
        <f t="array" ref="W4">INDEX('Summarized Source Data'!$O$1269:$O$1412,MATCH(1,($A4=LoadFactorSeasons)*(W$1=LoadFactorHours),0),)</f>
        <v>8.1644499759444731E-5</v>
      </c>
      <c r="X4" s="7" cm="1">
        <f t="array" ref="X4">INDEX('Summarized Source Data'!$O$1269:$O$1412,MATCH(1,($A4=LoadFactorSeasons)*(X$1=LoadFactorHours),0),)</f>
        <v>6.9807925615561213E-5</v>
      </c>
      <c r="Y4" s="7" cm="1">
        <f t="array" ref="Y4">INDEX('Summarized Source Data'!$O$1269:$O$1412,MATCH(1,($A4=LoadFactorSeasons)*(Y$1=LoadFactorHours),0),)</f>
        <v>6.153259444132931E-5</v>
      </c>
    </row>
    <row r="5" spans="1:25" x14ac:dyDescent="0.3">
      <c r="A5" s="7" t="s">
        <v>164</v>
      </c>
      <c r="B5" s="7" cm="1">
        <f t="array" ref="B5">INDEX('Summarized Source Data'!$O$1269:$O$1412,MATCH(1,($A5=LoadFactorSeasons)*(B$1=LoadFactorHours),0),)</f>
        <v>5.351799349587557E-5</v>
      </c>
      <c r="C5" s="7" cm="1">
        <f t="array" ref="C5">INDEX('Summarized Source Data'!$O$1269:$O$1412,MATCH(1,($A5=LoadFactorSeasons)*(C$1=LoadFactorHours),0),)</f>
        <v>5.1753704184486503E-5</v>
      </c>
      <c r="D5" s="7" cm="1">
        <f t="array" ref="D5">INDEX('Summarized Source Data'!$O$1269:$O$1412,MATCH(1,($A5=LoadFactorSeasons)*(D$1=LoadFactorHours),0),)</f>
        <v>5.1388364525647789E-5</v>
      </c>
      <c r="E5" s="7" cm="1">
        <f t="array" ref="E5">INDEX('Summarized Source Data'!$O$1269:$O$1412,MATCH(1,($A5=LoadFactorSeasons)*(E$1=LoadFactorHours),0),)</f>
        <v>5.3422510025025046E-5</v>
      </c>
      <c r="F5" s="7" cm="1">
        <f t="array" ref="F5">INDEX('Summarized Source Data'!$O$1269:$O$1412,MATCH(1,($A5=LoadFactorSeasons)*(F$1=LoadFactorHours),0),)</f>
        <v>5.623822571914931E-5</v>
      </c>
      <c r="G5" s="7" cm="1">
        <f t="array" ref="G5">INDEX('Summarized Source Data'!$O$1269:$O$1412,MATCH(1,($A5=LoadFactorSeasons)*(G$1=LoadFactorHours),0),)</f>
        <v>6.4806990266712885E-5</v>
      </c>
      <c r="H5" s="7" cm="1">
        <f t="array" ref="H5">INDEX('Summarized Source Data'!$O$1269:$O$1412,MATCH(1,($A5=LoadFactorSeasons)*(H$1=LoadFactorHours),0),)</f>
        <v>9.4082132822835099E-5</v>
      </c>
      <c r="I5" s="7" cm="1">
        <f t="array" ref="I5">INDEX('Summarized Source Data'!$O$1269:$O$1412,MATCH(1,($A5=LoadFactorSeasons)*(I$1=LoadFactorHours),0),)</f>
        <v>1.2815099731933977E-4</v>
      </c>
      <c r="J5" s="7" cm="1">
        <f t="array" ref="J5">INDEX('Summarized Source Data'!$O$1269:$O$1412,MATCH(1,($A5=LoadFactorSeasons)*(J$1=LoadFactorHours),0),)</f>
        <v>1.5782016815492185E-4</v>
      </c>
      <c r="K5" s="7" cm="1">
        <f t="array" ref="K5">INDEX('Summarized Source Data'!$O$1269:$O$1412,MATCH(1,($A5=LoadFactorSeasons)*(K$1=LoadFactorHours),0),)</f>
        <v>1.6666947427426213E-4</v>
      </c>
      <c r="L5" s="7" cm="1">
        <f t="array" ref="L5">INDEX('Summarized Source Data'!$O$1269:$O$1412,MATCH(1,($A5=LoadFactorSeasons)*(L$1=LoadFactorHours),0),)</f>
        <v>1.6588994267301838E-4</v>
      </c>
      <c r="M5" s="7" cm="1">
        <f t="array" ref="M5">INDEX('Summarized Source Data'!$O$1269:$O$1412,MATCH(1,($A5=LoadFactorSeasons)*(M$1=LoadFactorHours),0),)</f>
        <v>1.6544132050297711E-4</v>
      </c>
      <c r="N5" s="7" cm="1">
        <f t="array" ref="N5">INDEX('Summarized Source Data'!$O$1269:$O$1412,MATCH(1,($A5=LoadFactorSeasons)*(N$1=LoadFactorHours),0),)</f>
        <v>1.6309731061529259E-4</v>
      </c>
      <c r="O5" s="7" cm="1">
        <f t="array" ref="O5">INDEX('Summarized Source Data'!$O$1269:$O$1412,MATCH(1,($A5=LoadFactorSeasons)*(O$1=LoadFactorHours),0),)</f>
        <v>1.6236617730338448E-4</v>
      </c>
      <c r="P5" s="7" cm="1">
        <f t="array" ref="P5">INDEX('Summarized Source Data'!$O$1269:$O$1412,MATCH(1,($A5=LoadFactorSeasons)*(P$1=LoadFactorHours),0),)</f>
        <v>1.6176706689884158E-4</v>
      </c>
      <c r="Q5" s="7" cm="1">
        <f t="array" ref="Q5">INDEX('Summarized Source Data'!$O$1269:$O$1412,MATCH(1,($A5=LoadFactorSeasons)*(Q$1=LoadFactorHours),0),)</f>
        <v>1.6087608700781275E-4</v>
      </c>
      <c r="R5" s="7" cm="1">
        <f t="array" ref="R5">INDEX('Summarized Source Data'!$O$1269:$O$1412,MATCH(1,($A5=LoadFactorSeasons)*(R$1=LoadFactorHours),0),)</f>
        <v>1.554341501737383E-4</v>
      </c>
      <c r="S5" s="7" cm="1">
        <f t="array" ref="S5">INDEX('Summarized Source Data'!$O$1269:$O$1412,MATCH(1,($A5=LoadFactorSeasons)*(S$1=LoadFactorHours),0),)</f>
        <v>1.4692386589955803E-4</v>
      </c>
      <c r="T5" s="7" cm="1">
        <f t="array" ref="T5">INDEX('Summarized Source Data'!$O$1269:$O$1412,MATCH(1,($A5=LoadFactorSeasons)*(T$1=LoadFactorHours),0),)</f>
        <v>1.3999716891178934E-4</v>
      </c>
      <c r="U5" s="7" cm="1">
        <f t="array" ref="U5">INDEX('Summarized Source Data'!$O$1269:$O$1412,MATCH(1,($A5=LoadFactorSeasons)*(U$1=LoadFactorHours),0),)</f>
        <v>1.1875490326782055E-4</v>
      </c>
      <c r="V5" s="7" cm="1">
        <f t="array" ref="V5">INDEX('Summarized Source Data'!$O$1269:$O$1412,MATCH(1,($A5=LoadFactorSeasons)*(V$1=LoadFactorHours),0),)</f>
        <v>9.9872473153245867E-5</v>
      </c>
      <c r="W5" s="7" cm="1">
        <f t="array" ref="W5">INDEX('Summarized Source Data'!$O$1269:$O$1412,MATCH(1,($A5=LoadFactorSeasons)*(W$1=LoadFactorHours),0),)</f>
        <v>8.2374329568646199E-5</v>
      </c>
      <c r="X5" s="7" cm="1">
        <f t="array" ref="X5">INDEX('Summarized Source Data'!$O$1269:$O$1412,MATCH(1,($A5=LoadFactorSeasons)*(X$1=LoadFactorHours),0),)</f>
        <v>7.0289371561127451E-5</v>
      </c>
      <c r="Y5" s="7" cm="1">
        <f t="array" ref="Y5">INDEX('Summarized Source Data'!$O$1269:$O$1412,MATCH(1,($A5=LoadFactorSeasons)*(Y$1=LoadFactorHours),0),)</f>
        <v>6.1877606362020887E-5</v>
      </c>
    </row>
    <row r="6" spans="1:25" x14ac:dyDescent="0.3">
      <c r="A6" s="7" t="s">
        <v>167</v>
      </c>
      <c r="B6" s="7" cm="1">
        <f t="array" ref="B6">INDEX('Summarized Source Data'!$O$1269:$O$1412,MATCH(1,($A6=LoadFactorSeasons)*(B$1=LoadFactorHours),0),)</f>
        <v>6.2196248906763932E-5</v>
      </c>
      <c r="C6" s="7" cm="1">
        <f t="array" ref="C6">INDEX('Summarized Source Data'!$O$1269:$O$1412,MATCH(1,($A6=LoadFactorSeasons)*(C$1=LoadFactorHours),0),)</f>
        <v>6.0970807320918512E-5</v>
      </c>
      <c r="D6" s="7" cm="1">
        <f t="array" ref="D6">INDEX('Summarized Source Data'!$O$1269:$O$1412,MATCH(1,($A6=LoadFactorSeasons)*(D$1=LoadFactorHours),0),)</f>
        <v>6.0586737246845433E-5</v>
      </c>
      <c r="E6" s="7" cm="1">
        <f t="array" ref="E6">INDEX('Summarized Source Data'!$O$1269:$O$1412,MATCH(1,($A6=LoadFactorSeasons)*(E$1=LoadFactorHours),0),)</f>
        <v>6.3425485555890752E-5</v>
      </c>
      <c r="F6" s="7" cm="1">
        <f t="array" ref="F6">INDEX('Summarized Source Data'!$O$1269:$O$1412,MATCH(1,($A6=LoadFactorSeasons)*(F$1=LoadFactorHours),0),)</f>
        <v>6.7113195503271212E-5</v>
      </c>
      <c r="G6" s="7" cm="1">
        <f t="array" ref="G6">INDEX('Summarized Source Data'!$O$1269:$O$1412,MATCH(1,($A6=LoadFactorSeasons)*(G$1=LoadFactorHours),0),)</f>
        <v>7.8180120408694002E-5</v>
      </c>
      <c r="H6" s="7" cm="1">
        <f t="array" ref="H6">INDEX('Summarized Source Data'!$O$1269:$O$1412,MATCH(1,($A6=LoadFactorSeasons)*(H$1=LoadFactorHours),0),)</f>
        <v>1.1751189811747085E-4</v>
      </c>
      <c r="I6" s="7" cm="1">
        <f t="array" ref="I6">INDEX('Summarized Source Data'!$O$1269:$O$1412,MATCH(1,($A6=LoadFactorSeasons)*(I$1=LoadFactorHours),0),)</f>
        <v>1.6094492638661851E-4</v>
      </c>
      <c r="J6" s="7" cm="1">
        <f t="array" ref="J6">INDEX('Summarized Source Data'!$O$1269:$O$1412,MATCH(1,($A6=LoadFactorSeasons)*(J$1=LoadFactorHours),0),)</f>
        <v>2.0028049915867674E-4</v>
      </c>
      <c r="K6" s="7" cm="1">
        <f t="array" ref="K6">INDEX('Summarized Source Data'!$O$1269:$O$1412,MATCH(1,($A6=LoadFactorSeasons)*(K$1=LoadFactorHours),0),)</f>
        <v>2.1052413790140025E-4</v>
      </c>
      <c r="L6" s="7" cm="1">
        <f t="array" ref="L6">INDEX('Summarized Source Data'!$O$1269:$O$1412,MATCH(1,($A6=LoadFactorSeasons)*(L$1=LoadFactorHours),0),)</f>
        <v>2.0929869631555484E-4</v>
      </c>
      <c r="M6" s="7" cm="1">
        <f t="array" ref="M6">INDEX('Summarized Source Data'!$O$1269:$O$1412,MATCH(1,($A6=LoadFactorSeasons)*(M$1=LoadFactorHours),0),)</f>
        <v>2.0866140267227054E-4</v>
      </c>
      <c r="N6" s="7" cm="1">
        <f t="array" ref="N6">INDEX('Summarized Source Data'!$O$1269:$O$1412,MATCH(1,($A6=LoadFactorSeasons)*(N$1=LoadFactorHours),0),)</f>
        <v>2.0683642795401978E-4</v>
      </c>
      <c r="O6" s="7" cm="1">
        <f t="array" ref="O6">INDEX('Summarized Source Data'!$O$1269:$O$1412,MATCH(1,($A6=LoadFactorSeasons)*(O$1=LoadFactorHours),0),)</f>
        <v>2.0520124081846545E-4</v>
      </c>
      <c r="P6" s="7" cm="1">
        <f t="array" ref="P6">INDEX('Summarized Source Data'!$O$1269:$O$1412,MATCH(1,($A6=LoadFactorSeasons)*(P$1=LoadFactorHours),0),)</f>
        <v>2.0520124081846545E-4</v>
      </c>
      <c r="Q6" s="7" cm="1">
        <f t="array" ref="Q6">INDEX('Summarized Source Data'!$O$1269:$O$1412,MATCH(1,($A6=LoadFactorSeasons)*(Q$1=LoadFactorHours),0),)</f>
        <v>2.0560719130489297E-4</v>
      </c>
      <c r="R6" s="7" cm="1">
        <f t="array" ref="R6">INDEX('Summarized Source Data'!$O$1269:$O$1412,MATCH(1,($A6=LoadFactorSeasons)*(R$1=LoadFactorHours),0),)</f>
        <v>1.9946100805925886E-4</v>
      </c>
      <c r="S6" s="7" cm="1">
        <f t="array" ref="S6">INDEX('Summarized Source Data'!$O$1269:$O$1412,MATCH(1,($A6=LoadFactorSeasons)*(S$1=LoadFactorHours),0),)</f>
        <v>1.8757838711769962E-4</v>
      </c>
      <c r="T6" s="7" cm="1">
        <f t="array" ref="T6">INDEX('Summarized Source Data'!$O$1269:$O$1412,MATCH(1,($A6=LoadFactorSeasons)*(T$1=LoadFactorHours),0),)</f>
        <v>1.7774828898796646E-4</v>
      </c>
      <c r="U6" s="7" cm="1">
        <f t="array" ref="U6">INDEX('Summarized Source Data'!$O$1269:$O$1412,MATCH(1,($A6=LoadFactorSeasons)*(U$1=LoadFactorHours),0),)</f>
        <v>1.4865635495863171E-4</v>
      </c>
      <c r="V6" s="7" cm="1">
        <f t="array" ref="V6">INDEX('Summarized Source Data'!$O$1269:$O$1412,MATCH(1,($A6=LoadFactorSeasons)*(V$1=LoadFactorHours),0),)</f>
        <v>1.2325213087667741E-4</v>
      </c>
      <c r="W6" s="7" cm="1">
        <f t="array" ref="W6">INDEX('Summarized Source Data'!$O$1269:$O$1412,MATCH(1,($A6=LoadFactorSeasons)*(W$1=LoadFactorHours),0),)</f>
        <v>1.0030258502969536E-4</v>
      </c>
      <c r="X6" s="7" cm="1">
        <f t="array" ref="X6">INDEX('Summarized Source Data'!$O$1269:$O$1412,MATCH(1,($A6=LoadFactorSeasons)*(X$1=LoadFactorHours),0),)</f>
        <v>8.4322508591046702E-5</v>
      </c>
      <c r="Y6" s="7" cm="1">
        <f t="array" ref="Y6">INDEX('Summarized Source Data'!$O$1269:$O$1412,MATCH(1,($A6=LoadFactorSeasons)*(Y$1=LoadFactorHours),0),)</f>
        <v>7.3672919361895663E-5</v>
      </c>
    </row>
    <row r="7" spans="1:25" x14ac:dyDescent="0.3">
      <c r="A7" s="7" t="s">
        <v>166</v>
      </c>
      <c r="B7" s="7" cm="1">
        <f t="array" ref="B7">INDEX('Summarized Source Data'!$O$1269:$O$1412,MATCH(1,($A7=LoadFactorSeasons)*(B$1=LoadFactorHours),0),)</f>
        <v>6.3373120484383502E-5</v>
      </c>
      <c r="C7" s="7" cm="1">
        <f t="array" ref="C7">INDEX('Summarized Source Data'!$O$1269:$O$1412,MATCH(1,($A7=LoadFactorSeasons)*(C$1=LoadFactorHours),0),)</f>
        <v>6.209896220140544E-5</v>
      </c>
      <c r="D7" s="7" cm="1">
        <f t="array" ref="D7">INDEX('Summarized Source Data'!$O$1269:$O$1412,MATCH(1,($A7=LoadFactorSeasons)*(D$1=LoadFactorHours),0),)</f>
        <v>6.1940184981402124E-5</v>
      </c>
      <c r="E7" s="7" cm="1">
        <f t="array" ref="E7">INDEX('Summarized Source Data'!$O$1269:$O$1412,MATCH(1,($A7=LoadFactorSeasons)*(E$1=LoadFactorHours),0),)</f>
        <v>6.4603726093391892E-5</v>
      </c>
      <c r="F7" s="7" cm="1">
        <f t="array" ref="F7">INDEX('Summarized Source Data'!$O$1269:$O$1412,MATCH(1,($A7=LoadFactorSeasons)*(F$1=LoadFactorHours),0),)</f>
        <v>6.8783172494469157E-5</v>
      </c>
      <c r="G7" s="7" cm="1">
        <f t="array" ref="G7">INDEX('Summarized Source Data'!$O$1269:$O$1412,MATCH(1,($A7=LoadFactorSeasons)*(G$1=LoadFactorHours),0),)</f>
        <v>8.0496770528554627E-5</v>
      </c>
      <c r="H7" s="7" cm="1">
        <f t="array" ref="H7">INDEX('Summarized Source Data'!$O$1269:$O$1412,MATCH(1,($A7=LoadFactorSeasons)*(H$1=LoadFactorHours),0),)</f>
        <v>1.2110580460641089E-4</v>
      </c>
      <c r="I7" s="7" cm="1">
        <f t="array" ref="I7">INDEX('Summarized Source Data'!$O$1269:$O$1412,MATCH(1,($A7=LoadFactorSeasons)*(I$1=LoadFactorHours),0),)</f>
        <v>1.6674856808913363E-4</v>
      </c>
      <c r="J7" s="7" cm="1">
        <f t="array" ref="J7">INDEX('Summarized Source Data'!$O$1269:$O$1412,MATCH(1,($A7=LoadFactorSeasons)*(J$1=LoadFactorHours),0),)</f>
        <v>2.0648963775929589E-4</v>
      </c>
      <c r="K7" s="7" cm="1">
        <f t="array" ref="K7">INDEX('Summarized Source Data'!$O$1269:$O$1412,MATCH(1,($A7=LoadFactorSeasons)*(K$1=LoadFactorHours),0),)</f>
        <v>2.1692677187219508E-4</v>
      </c>
      <c r="L7" s="7" cm="1">
        <f t="array" ref="L7">INDEX('Summarized Source Data'!$O$1269:$O$1412,MATCH(1,($A7=LoadFactorSeasons)*(L$1=LoadFactorHours),0),)</f>
        <v>2.1558186528362208E-4</v>
      </c>
      <c r="M7" s="7" cm="1">
        <f t="array" ref="M7">INDEX('Summarized Source Data'!$O$1269:$O$1412,MATCH(1,($A7=LoadFactorSeasons)*(M$1=LoadFactorHours),0),)</f>
        <v>2.1488496759420383E-4</v>
      </c>
      <c r="N7" s="7" cm="1">
        <f t="array" ref="N7">INDEX('Summarized Source Data'!$O$1269:$O$1412,MATCH(1,($A7=LoadFactorSeasons)*(N$1=LoadFactorHours),0),)</f>
        <v>2.1155807629993266E-4</v>
      </c>
      <c r="O7" s="7" cm="1">
        <f t="array" ref="O7">INDEX('Summarized Source Data'!$O$1269:$O$1412,MATCH(1,($A7=LoadFactorSeasons)*(O$1=LoadFactorHours),0),)</f>
        <v>2.1155725926730654E-4</v>
      </c>
      <c r="P7" s="7" cm="1">
        <f t="array" ref="P7">INDEX('Summarized Source Data'!$O$1269:$O$1412,MATCH(1,($A7=LoadFactorSeasons)*(P$1=LoadFactorHours),0),)</f>
        <v>2.1143345628844417E-4</v>
      </c>
      <c r="Q7" s="7" cm="1">
        <f t="array" ref="Q7">INDEX('Summarized Source Data'!$O$1269:$O$1412,MATCH(1,($A7=LoadFactorSeasons)*(Q$1=LoadFactorHours),0),)</f>
        <v>2.115973393477424E-4</v>
      </c>
      <c r="R7" s="7" cm="1">
        <f t="array" ref="R7">INDEX('Summarized Source Data'!$O$1269:$O$1412,MATCH(1,($A7=LoadFactorSeasons)*(R$1=LoadFactorHours),0),)</f>
        <v>2.04304612251096E-4</v>
      </c>
      <c r="S7" s="7" cm="1">
        <f t="array" ref="S7">INDEX('Summarized Source Data'!$O$1269:$O$1412,MATCH(1,($A7=LoadFactorSeasons)*(S$1=LoadFactorHours),0),)</f>
        <v>1.9180902589852086E-4</v>
      </c>
      <c r="T7" s="7" cm="1">
        <f t="array" ref="T7">INDEX('Summarized Source Data'!$O$1269:$O$1412,MATCH(1,($A7=LoadFactorSeasons)*(T$1=LoadFactorHours),0),)</f>
        <v>1.8271410757516972E-4</v>
      </c>
      <c r="U7" s="7" cm="1">
        <f t="array" ref="U7">INDEX('Summarized Source Data'!$O$1269:$O$1412,MATCH(1,($A7=LoadFactorSeasons)*(U$1=LoadFactorHours),0),)</f>
        <v>1.5313252310673173E-4</v>
      </c>
      <c r="V7" s="7" cm="1">
        <f t="array" ref="V7">INDEX('Summarized Source Data'!$O$1269:$O$1412,MATCH(1,($A7=LoadFactorSeasons)*(V$1=LoadFactorHours),0),)</f>
        <v>1.271637831567958E-4</v>
      </c>
      <c r="W7" s="7" cm="1">
        <f t="array" ref="W7">INDEX('Summarized Source Data'!$O$1269:$O$1412,MATCH(1,($A7=LoadFactorSeasons)*(W$1=LoadFactorHours),0),)</f>
        <v>1.0315399406648113E-4</v>
      </c>
      <c r="X7" s="7" cm="1">
        <f t="array" ref="X7">INDEX('Summarized Source Data'!$O$1269:$O$1412,MATCH(1,($A7=LoadFactorSeasons)*(X$1=LoadFactorHours),0),)</f>
        <v>8.6724761112170324E-5</v>
      </c>
      <c r="Y7" s="7" cm="1">
        <f t="array" ref="Y7">INDEX('Summarized Source Data'!$O$1269:$O$1412,MATCH(1,($A7=LoadFactorSeasons)*(Y$1=LoadFactorHours),0),)</f>
        <v>7.5540843198921342E-5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9" spans="14:14" x14ac:dyDescent="0.3">
      <c r="N19" s="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3DC2-C1AE-4985-90F8-3D04658CF446}">
  <sheetPr codeName="Sheet21">
    <tabColor rgb="FF002060"/>
  </sheetPr>
  <dimension ref="A1:Y15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25" width="10.4414062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 cm="1">
        <f t="array" ref="B2">INDEX('Summarized Source Data'!$P$1269:$P$1412,MATCH(1,($A2=LoadFactorSeasons)*(B$1=LoadFactorHours),0),)</f>
        <v>5.5684609886809198E-5</v>
      </c>
      <c r="C2" s="7" cm="1">
        <f t="array" ref="C2">INDEX('Summarized Source Data'!$P$1269:$P$1412,MATCH(1,($A2=LoadFactorSeasons)*(C$1=LoadFactorHours),0),)</f>
        <v>5.458743015728071E-5</v>
      </c>
      <c r="D2" s="7" cm="1">
        <f t="array" ref="D2">INDEX('Summarized Source Data'!$P$1269:$P$1412,MATCH(1,($A2=LoadFactorSeasons)*(D$1=LoadFactorHours),0),)</f>
        <v>5.4298113707815903E-5</v>
      </c>
      <c r="E2" s="7" cm="1">
        <f t="array" ref="E2">INDEX('Summarized Source Data'!$P$1269:$P$1412,MATCH(1,($A2=LoadFactorSeasons)*(E$1=LoadFactorHours),0),)</f>
        <v>5.4445534478526085E-5</v>
      </c>
      <c r="F2" s="7" cm="1">
        <f t="array" ref="F2">INDEX('Summarized Source Data'!$P$1269:$P$1412,MATCH(1,($A2=LoadFactorSeasons)*(F$1=LoadFactorHours),0),)</f>
        <v>5.4241838981835276E-5</v>
      </c>
      <c r="G2" s="7" cm="1">
        <f t="array" ref="G2">INDEX('Summarized Source Data'!$P$1269:$P$1412,MATCH(1,($A2=LoadFactorSeasons)*(G$1=LoadFactorHours),0),)</f>
        <v>5.5531021517429502E-5</v>
      </c>
      <c r="H2" s="7" cm="1">
        <f t="array" ref="H2">INDEX('Summarized Source Data'!$P$1269:$P$1412,MATCH(1,($A2=LoadFactorSeasons)*(H$1=LoadFactorHours),0),)</f>
        <v>8.079258693862213E-5</v>
      </c>
      <c r="I2" s="7" cm="1">
        <f t="array" ref="I2">INDEX('Summarized Source Data'!$P$1269:$P$1412,MATCH(1,($A2=LoadFactorSeasons)*(I$1=LoadFactorHours),0),)</f>
        <v>1.6010652237221599E-4</v>
      </c>
      <c r="J2" s="7" cm="1">
        <f t="array" ref="J2">INDEX('Summarized Source Data'!$P$1269:$P$1412,MATCH(1,($A2=LoadFactorSeasons)*(J$1=LoadFactorHours),0),)</f>
        <v>1.7592663270557914E-4</v>
      </c>
      <c r="K2" s="7" cm="1">
        <f t="array" ref="K2">INDEX('Summarized Source Data'!$P$1269:$P$1412,MATCH(1,($A2=LoadFactorSeasons)*(K$1=LoadFactorHours),0),)</f>
        <v>1.6064357212139827E-4</v>
      </c>
      <c r="L2" s="7" cm="1">
        <f t="array" ref="L2">INDEX('Summarized Source Data'!$P$1269:$P$1412,MATCH(1,($A2=LoadFactorSeasons)*(L$1=LoadFactorHours),0),)</f>
        <v>1.3427205647940612E-4</v>
      </c>
      <c r="M2" s="7" cm="1">
        <f t="array" ref="M2">INDEX('Summarized Source Data'!$P$1269:$P$1412,MATCH(1,($A2=LoadFactorSeasons)*(M$1=LoadFactorHours),0),)</f>
        <v>1.3562136899577067E-4</v>
      </c>
      <c r="N2" s="7" cm="1">
        <f t="array" ref="N2">INDEX('Summarized Source Data'!$P$1269:$P$1412,MATCH(1,($A2=LoadFactorSeasons)*(N$1=LoadFactorHours),0),)</f>
        <v>1.3696272144016357E-4</v>
      </c>
      <c r="O2" s="7" cm="1">
        <f t="array" ref="O2">INDEX('Summarized Source Data'!$P$1269:$P$1412,MATCH(1,($A2=LoadFactorSeasons)*(O$1=LoadFactorHours),0),)</f>
        <v>1.3521606851643619E-4</v>
      </c>
      <c r="P2" s="7" cm="1">
        <f t="array" ref="P2">INDEX('Summarized Source Data'!$P$1269:$P$1412,MATCH(1,($A2=LoadFactorSeasons)*(P$1=LoadFactorHours),0),)</f>
        <v>1.3380088577784232E-4</v>
      </c>
      <c r="Q2" s="7" cm="1">
        <f t="array" ref="Q2">INDEX('Summarized Source Data'!$P$1269:$P$1412,MATCH(1,($A2=LoadFactorSeasons)*(Q$1=LoadFactorHours),0),)</f>
        <v>1.5479495892900712E-4</v>
      </c>
      <c r="R2" s="7" cm="1">
        <f t="array" ref="R2">INDEX('Summarized Source Data'!$P$1269:$P$1412,MATCH(1,($A2=LoadFactorSeasons)*(R$1=LoadFactorHours),0),)</f>
        <v>1.782426750056659E-4</v>
      </c>
      <c r="S2" s="7" cm="1">
        <f t="array" ref="S2">INDEX('Summarized Source Data'!$P$1269:$P$1412,MATCH(1,($A2=LoadFactorSeasons)*(S$1=LoadFactorHours),0),)</f>
        <v>1.8653800938312401E-4</v>
      </c>
      <c r="T2" s="7" cm="1">
        <f t="array" ref="T2">INDEX('Summarized Source Data'!$P$1269:$P$1412,MATCH(1,($A2=LoadFactorSeasons)*(T$1=LoadFactorHours),0),)</f>
        <v>1.7327943673926227E-4</v>
      </c>
      <c r="U2" s="7" cm="1">
        <f t="array" ref="U2">INDEX('Summarized Source Data'!$P$1269:$P$1412,MATCH(1,($A2=LoadFactorSeasons)*(U$1=LoadFactorHours),0),)</f>
        <v>1.4520486084600582E-4</v>
      </c>
      <c r="V2" s="7" cm="1">
        <f t="array" ref="V2">INDEX('Summarized Source Data'!$P$1269:$P$1412,MATCH(1,($A2=LoadFactorSeasons)*(V$1=LoadFactorHours),0),)</f>
        <v>1.3442494589635399E-4</v>
      </c>
      <c r="W2" s="7" cm="1">
        <f t="array" ref="W2">INDEX('Summarized Source Data'!$P$1269:$P$1412,MATCH(1,($A2=LoadFactorSeasons)*(W$1=LoadFactorHours),0),)</f>
        <v>1.2723614796886746E-4</v>
      </c>
      <c r="X2" s="7" cm="1">
        <f t="array" ref="X2">INDEX('Summarized Source Data'!$P$1269:$P$1412,MATCH(1,($A2=LoadFactorSeasons)*(X$1=LoadFactorHours),0),)</f>
        <v>1.2122440754042808E-4</v>
      </c>
      <c r="Y2" s="7" cm="1">
        <f t="array" ref="Y2">INDEX('Summarized Source Data'!$P$1269:$P$1412,MATCH(1,($A2=LoadFactorSeasons)*(Y$1=LoadFactorHours),0),)</f>
        <v>8.1507095068742867E-5</v>
      </c>
    </row>
    <row r="3" spans="1:25" x14ac:dyDescent="0.3">
      <c r="A3" s="7" t="s">
        <v>162</v>
      </c>
      <c r="B3" s="7" cm="1">
        <f t="array" ref="B3">INDEX('Summarized Source Data'!$P$1269:$P$1412,MATCH(1,($A3=LoadFactorSeasons)*(B$1=LoadFactorHours),0),)</f>
        <v>5.2078455164350287E-5</v>
      </c>
      <c r="C3" s="7" cm="1">
        <f t="array" ref="C3">INDEX('Summarized Source Data'!$P$1269:$P$1412,MATCH(1,($A3=LoadFactorSeasons)*(C$1=LoadFactorHours),0),)</f>
        <v>5.09812754348218E-5</v>
      </c>
      <c r="D3" s="7" cm="1">
        <f t="array" ref="D3">INDEX('Summarized Source Data'!$P$1269:$P$1412,MATCH(1,($A3=LoadFactorSeasons)*(D$1=LoadFactorHours),0),)</f>
        <v>5.0691958355162392E-5</v>
      </c>
      <c r="E3" s="7" cm="1">
        <f t="array" ref="E3">INDEX('Summarized Source Data'!$P$1269:$P$1412,MATCH(1,($A3=LoadFactorSeasons)*(E$1=LoadFactorHours),0),)</f>
        <v>5.0839372930513367E-5</v>
      </c>
      <c r="F3" s="7" cm="1">
        <f t="array" ref="F3">INDEX('Summarized Source Data'!$P$1269:$P$1412,MATCH(1,($A3=LoadFactorSeasons)*(F$1=LoadFactorHours),0),)</f>
        <v>5.0635677433822572E-5</v>
      </c>
      <c r="G3" s="7" cm="1">
        <f t="array" ref="G3">INDEX('Summarized Source Data'!$P$1269:$P$1412,MATCH(1,($A3=LoadFactorSeasons)*(G$1=LoadFactorHours),0),)</f>
        <v>5.1924861457635328E-5</v>
      </c>
      <c r="H3" s="7" cm="1">
        <f t="array" ref="H3">INDEX('Summarized Source Data'!$P$1269:$P$1412,MATCH(1,($A3=LoadFactorSeasons)*(H$1=LoadFactorHours),0),)</f>
        <v>7.5739224121645993E-5</v>
      </c>
      <c r="I3" s="7" cm="1">
        <f t="array" ref="I3">INDEX('Summarized Source Data'!$P$1269:$P$1412,MATCH(1,($A3=LoadFactorSeasons)*(I$1=LoadFactorHours),0),)</f>
        <v>1.5095831346352033E-4</v>
      </c>
      <c r="J3" s="7" cm="1">
        <f t="array" ref="J3">INDEX('Summarized Source Data'!$P$1269:$P$1412,MATCH(1,($A3=LoadFactorSeasons)*(J$1=LoadFactorHours),0),)</f>
        <v>1.6603145398301519E-4</v>
      </c>
      <c r="K3" s="7" cm="1">
        <f t="array" ref="K3">INDEX('Summarized Source Data'!$P$1269:$P$1412,MATCH(1,($A3=LoadFactorSeasons)*(K$1=LoadFactorHours),0),)</f>
        <v>1.5150411285855714E-4</v>
      </c>
      <c r="L3" s="7" cm="1">
        <f t="array" ref="L3">INDEX('Summarized Source Data'!$P$1269:$P$1412,MATCH(1,($A3=LoadFactorSeasons)*(L$1=LoadFactorHours),0),)</f>
        <v>1.2723552454385988E-4</v>
      </c>
      <c r="M3" s="7" cm="1">
        <f t="array" ref="M3">INDEX('Summarized Source Data'!$P$1269:$P$1412,MATCH(1,($A3=LoadFactorSeasons)*(M$1=LoadFactorHours),0),)</f>
        <v>1.2790301446350422E-4</v>
      </c>
      <c r="N3" s="7" cm="1">
        <f t="array" ref="N3">INDEX('Summarized Source Data'!$P$1269:$P$1412,MATCH(1,($A3=LoadFactorSeasons)*(N$1=LoadFactorHours),0),)</f>
        <v>1.2928983179259849E-4</v>
      </c>
      <c r="O3" s="7" cm="1">
        <f t="array" ref="O3">INDEX('Summarized Source Data'!$P$1269:$P$1412,MATCH(1,($A3=LoadFactorSeasons)*(O$1=LoadFactorHours),0),)</f>
        <v>1.2831631171265426E-4</v>
      </c>
      <c r="P3" s="7" cm="1">
        <f t="array" ref="P3">INDEX('Summarized Source Data'!$P$1269:$P$1412,MATCH(1,($A3=LoadFactorSeasons)*(P$1=LoadFactorHours),0),)</f>
        <v>1.2621930732729526E-4</v>
      </c>
      <c r="Q3" s="7" cm="1">
        <f t="array" ref="Q3">INDEX('Summarized Source Data'!$P$1269:$P$1412,MATCH(1,($A3=LoadFactorSeasons)*(Q$1=LoadFactorHours),0),)</f>
        <v>1.4574681387026478E-4</v>
      </c>
      <c r="R3" s="7" cm="1">
        <f t="array" ref="R3">INDEX('Summarized Source Data'!$P$1269:$P$1412,MATCH(1,($A3=LoadFactorSeasons)*(R$1=LoadFactorHours),0),)</f>
        <v>1.6812723520461621E-4</v>
      </c>
      <c r="S3" s="7" cm="1">
        <f t="array" ref="S3">INDEX('Summarized Source Data'!$P$1269:$P$1412,MATCH(1,($A3=LoadFactorSeasons)*(S$1=LoadFactorHours),0),)</f>
        <v>1.7642257025223898E-4</v>
      </c>
      <c r="T3" s="7" cm="1">
        <f t="array" ref="T3">INDEX('Summarized Source Data'!$P$1269:$P$1412,MATCH(1,($A3=LoadFactorSeasons)*(T$1=LoadFactorHours),0),)</f>
        <v>1.6432079707422102E-4</v>
      </c>
      <c r="U3" s="7" cm="1">
        <f t="array" ref="U3">INDEX('Summarized Source Data'!$P$1269:$P$1412,MATCH(1,($A3=LoadFactorSeasons)*(U$1=LoadFactorHours),0),)</f>
        <v>1.3746530866304716E-4</v>
      </c>
      <c r="V3" s="7" cm="1">
        <f t="array" ref="V3">INDEX('Summarized Source Data'!$P$1269:$P$1412,MATCH(1,($A3=LoadFactorSeasons)*(V$1=LoadFactorHours),0),)</f>
        <v>1.2699516167380065E-4</v>
      </c>
      <c r="W3" s="7" cm="1">
        <f t="array" ref="W3">INDEX('Summarized Source Data'!$P$1269:$P$1412,MATCH(1,($A3=LoadFactorSeasons)*(W$1=LoadFactorHours),0),)</f>
        <v>1.1919682034035524E-4</v>
      </c>
      <c r="X3" s="7" cm="1">
        <f t="array" ref="X3">INDEX('Summarized Source Data'!$P$1269:$P$1412,MATCH(1,($A3=LoadFactorSeasons)*(X$1=LoadFactorHours),0),)</f>
        <v>1.1339335689272908E-4</v>
      </c>
      <c r="Y3" s="7" cm="1">
        <f t="array" ref="Y3">INDEX('Summarized Source Data'!$P$1269:$P$1412,MATCH(1,($A3=LoadFactorSeasons)*(Y$1=LoadFactorHours),0),)</f>
        <v>7.6316305843857462E-5</v>
      </c>
    </row>
    <row r="4" spans="1:25" x14ac:dyDescent="0.3">
      <c r="A4" s="7" t="s">
        <v>163</v>
      </c>
      <c r="B4" s="7" cm="1">
        <f t="array" ref="B4">INDEX('Summarized Source Data'!$P$1269:$P$1412,MATCH(1,($A4=LoadFactorSeasons)*(B$1=LoadFactorHours),0),)</f>
        <v>4.8629018732723561E-5</v>
      </c>
      <c r="C4" s="7" cm="1">
        <f t="array" ref="C4">INDEX('Summarized Source Data'!$P$1269:$P$1412,MATCH(1,($A4=LoadFactorSeasons)*(C$1=LoadFactorHours),0),)</f>
        <v>4.7531839003195081E-5</v>
      </c>
      <c r="D4" s="7" cm="1">
        <f t="array" ref="D4">INDEX('Summarized Source Data'!$P$1269:$P$1412,MATCH(1,($A4=LoadFactorSeasons)*(D$1=LoadFactorHours),0),)</f>
        <v>4.7242521923535687E-5</v>
      </c>
      <c r="E4" s="7" cm="1">
        <f t="array" ref="E4">INDEX('Summarized Source Data'!$P$1269:$P$1412,MATCH(1,($A4=LoadFactorSeasons)*(E$1=LoadFactorHours),0),)</f>
        <v>4.7389942694245862E-5</v>
      </c>
      <c r="F4" s="7" cm="1">
        <f t="array" ref="F4">INDEX('Summarized Source Data'!$P$1269:$P$1412,MATCH(1,($A4=LoadFactorSeasons)*(F$1=LoadFactorHours),0),)</f>
        <v>4.7186244099875457E-5</v>
      </c>
      <c r="G4" s="7" cm="1">
        <f t="array" ref="G4">INDEX('Summarized Source Data'!$P$1269:$P$1412,MATCH(1,($A4=LoadFactorSeasons)*(G$1=LoadFactorHours),0),)</f>
        <v>4.84754281236882E-5</v>
      </c>
      <c r="H4" s="7" cm="1">
        <f t="array" ref="H4">INDEX('Summarized Source Data'!$P$1269:$P$1412,MATCH(1,($A4=LoadFactorSeasons)*(H$1=LoadFactorHours),0),)</f>
        <v>7.0905472146898401E-5</v>
      </c>
      <c r="I4" s="7" cm="1">
        <f t="array" ref="I4">INDEX('Summarized Source Data'!$P$1269:$P$1412,MATCH(1,($A4=LoadFactorSeasons)*(I$1=LoadFactorHours),0),)</f>
        <v>1.4143893335808025E-4</v>
      </c>
      <c r="J4" s="7" cm="1">
        <f t="array" ref="J4">INDEX('Summarized Source Data'!$P$1269:$P$1412,MATCH(1,($A4=LoadFactorSeasons)*(J$1=LoadFactorHours),0),)</f>
        <v>1.5699016135395225E-4</v>
      </c>
      <c r="K4" s="7" cm="1">
        <f t="array" ref="K4">INDEX('Summarized Source Data'!$P$1269:$P$1412,MATCH(1,($A4=LoadFactorSeasons)*(K$1=LoadFactorHours),0),)</f>
        <v>1.4299501321675791E-4</v>
      </c>
      <c r="L4" s="7" cm="1">
        <f t="array" ref="L4">INDEX('Summarized Source Data'!$P$1269:$P$1412,MATCH(1,($A4=LoadFactorSeasons)*(L$1=LoadFactorHours),0),)</f>
        <v>1.1929248084341459E-4</v>
      </c>
      <c r="M4" s="7" cm="1">
        <f t="array" ref="M4">INDEX('Summarized Source Data'!$P$1269:$P$1412,MATCH(1,($A4=LoadFactorSeasons)*(M$1=LoadFactorHours),0),)</f>
        <v>1.2056951416901789E-4</v>
      </c>
      <c r="N4" s="7" cm="1">
        <f t="array" ref="N4">INDEX('Summarized Source Data'!$P$1269:$P$1412,MATCH(1,($A4=LoadFactorSeasons)*(N$1=LoadFactorHours),0),)</f>
        <v>1.2230958572402077E-4</v>
      </c>
      <c r="O4" s="7" cm="1">
        <f t="array" ref="O4">INDEX('Summarized Source Data'!$P$1269:$P$1412,MATCH(1,($A4=LoadFactorSeasons)*(O$1=LoadFactorHours),0),)</f>
        <v>1.2050409960946279E-4</v>
      </c>
      <c r="P4" s="7" cm="1">
        <f t="array" ref="P4">INDEX('Summarized Source Data'!$P$1269:$P$1412,MATCH(1,($A4=LoadFactorSeasons)*(P$1=LoadFactorHours),0),)</f>
        <v>1.1901663743096097E-4</v>
      </c>
      <c r="Q4" s="7" cm="1">
        <f t="array" ref="Q4">INDEX('Summarized Source Data'!$P$1269:$P$1412,MATCH(1,($A4=LoadFactorSeasons)*(Q$1=LoadFactorHours),0),)</f>
        <v>1.3701529044067906E-4</v>
      </c>
      <c r="R4" s="7" cm="1">
        <f t="array" ref="R4">INDEX('Summarized Source Data'!$P$1269:$P$1412,MATCH(1,($A4=LoadFactorSeasons)*(R$1=LoadFactorHours),0),)</f>
        <v>1.5887525635544224E-4</v>
      </c>
      <c r="S4" s="7" cm="1">
        <f t="array" ref="S4">INDEX('Summarized Source Data'!$P$1269:$P$1412,MATCH(1,($A4=LoadFactorSeasons)*(S$1=LoadFactorHours),0),)</f>
        <v>1.6717058892492132E-4</v>
      </c>
      <c r="T4" s="7" cm="1">
        <f t="array" ref="T4">INDEX('Summarized Source Data'!$P$1269:$P$1412,MATCH(1,($A4=LoadFactorSeasons)*(T$1=LoadFactorHours),0),)</f>
        <v>1.5598812959141133E-4</v>
      </c>
      <c r="U4" s="7" cm="1">
        <f t="array" ref="U4">INDEX('Summarized Source Data'!$P$1269:$P$1412,MATCH(1,($A4=LoadFactorSeasons)*(U$1=LoadFactorHours),0),)</f>
        <v>1.3006194258330993E-4</v>
      </c>
      <c r="V4" s="7" cm="1">
        <f t="array" ref="V4">INDEX('Summarized Source Data'!$P$1269:$P$1412,MATCH(1,($A4=LoadFactorSeasons)*(V$1=LoadFactorHours),0),)</f>
        <v>1.1928202763365806E-4</v>
      </c>
      <c r="W4" s="7" cm="1">
        <f t="array" ref="W4">INDEX('Summarized Source Data'!$P$1269:$P$1412,MATCH(1,($A4=LoadFactorSeasons)*(W$1=LoadFactorHours),0),)</f>
        <v>1.1198622346192916E-4</v>
      </c>
      <c r="X4" s="7" cm="1">
        <f t="array" ref="X4">INDEX('Summarized Source Data'!$P$1269:$P$1412,MATCH(1,($A4=LoadFactorSeasons)*(X$1=LoadFactorHours),0),)</f>
        <v>1.0598756181249664E-4</v>
      </c>
      <c r="Y4" s="7" cm="1">
        <f t="array" ref="Y4">INDEX('Summarized Source Data'!$P$1269:$P$1412,MATCH(1,($A4=LoadFactorSeasons)*(Y$1=LoadFactorHours),0),)</f>
        <v>7.1351099138629829E-5</v>
      </c>
    </row>
    <row r="5" spans="1:25" x14ac:dyDescent="0.3">
      <c r="A5" s="7" t="s">
        <v>164</v>
      </c>
      <c r="B5" s="7" cm="1">
        <f t="array" ref="B5">INDEX('Summarized Source Data'!$P$1269:$P$1412,MATCH(1,($A5=LoadFactorSeasons)*(B$1=LoadFactorHours),0),)</f>
        <v>5.3002506678019106E-5</v>
      </c>
      <c r="C5" s="7" cm="1">
        <f t="array" ref="C5">INDEX('Summarized Source Data'!$P$1269:$P$1412,MATCH(1,($A5=LoadFactorSeasons)*(C$1=LoadFactorHours),0),)</f>
        <v>5.1905326948490632E-5</v>
      </c>
      <c r="D5" s="7" cm="1">
        <f t="array" ref="D5">INDEX('Summarized Source Data'!$P$1269:$P$1412,MATCH(1,($A5=LoadFactorSeasons)*(D$1=LoadFactorHours),0),)</f>
        <v>5.1616008629759378E-5</v>
      </c>
      <c r="E5" s="7" cm="1">
        <f t="array" ref="E5">INDEX('Summarized Source Data'!$P$1269:$P$1412,MATCH(1,($A5=LoadFactorSeasons)*(E$1=LoadFactorHours),0),)</f>
        <v>5.1763429400469567E-5</v>
      </c>
      <c r="F5" s="7" cm="1">
        <f t="array" ref="F5">INDEX('Summarized Source Data'!$P$1269:$P$1412,MATCH(1,($A5=LoadFactorSeasons)*(F$1=LoadFactorHours),0),)</f>
        <v>5.1559733903778758E-5</v>
      </c>
      <c r="G5" s="7" cm="1">
        <f t="array" ref="G5">INDEX('Summarized Source Data'!$P$1269:$P$1412,MATCH(1,($A5=LoadFactorSeasons)*(G$1=LoadFactorHours),0),)</f>
        <v>5.2848919166663355E-5</v>
      </c>
      <c r="H5" s="7" cm="1">
        <f t="array" ref="H5">INDEX('Summarized Source Data'!$P$1269:$P$1412,MATCH(1,($A5=LoadFactorSeasons)*(H$1=LoadFactorHours),0),)</f>
        <v>7.7034113854402734E-5</v>
      </c>
      <c r="I5" s="7" cm="1">
        <f t="array" ref="I5">INDEX('Summarized Source Data'!$P$1269:$P$1412,MATCH(1,($A5=LoadFactorSeasons)*(I$1=LoadFactorHours),0),)</f>
        <v>1.5295048542546128E-4</v>
      </c>
      <c r="J5" s="7" cm="1">
        <f t="array" ref="J5">INDEX('Summarized Source Data'!$P$1269:$P$1412,MATCH(1,($A5=LoadFactorSeasons)*(J$1=LoadFactorHours),0),)</f>
        <v>1.6866838366126199E-4</v>
      </c>
      <c r="K5" s="7" cm="1">
        <f t="array" ref="K5">INDEX('Summarized Source Data'!$P$1269:$P$1412,MATCH(1,($A5=LoadFactorSeasons)*(K$1=LoadFactorHours),0),)</f>
        <v>1.540070187523787E-4</v>
      </c>
      <c r="L5" s="7" cm="1">
        <f t="array" ref="L5">INDEX('Summarized Source Data'!$P$1269:$P$1412,MATCH(1,($A5=LoadFactorSeasons)*(L$1=LoadFactorHours),0),)</f>
        <v>1.2897312168877624E-4</v>
      </c>
      <c r="M5" s="7" cm="1">
        <f t="array" ref="M5">INDEX('Summarized Source Data'!$P$1269:$P$1412,MATCH(1,($A5=LoadFactorSeasons)*(M$1=LoadFactorHours),0),)</f>
        <v>1.2964061160842061E-4</v>
      </c>
      <c r="N5" s="7" cm="1">
        <f t="array" ref="N5">INDEX('Summarized Source Data'!$P$1269:$P$1412,MATCH(1,($A5=LoadFactorSeasons)*(N$1=LoadFactorHours),0),)</f>
        <v>1.3148296728784106E-4</v>
      </c>
      <c r="O5" s="7" cm="1">
        <f t="array" ref="O5">INDEX('Summarized Source Data'!$P$1269:$P$1412,MATCH(1,($A5=LoadFactorSeasons)*(O$1=LoadFactorHours),0),)</f>
        <v>1.3001886121516372E-4</v>
      </c>
      <c r="P5" s="7" cm="1">
        <f t="array" ref="P5">INDEX('Summarized Source Data'!$P$1269:$P$1412,MATCH(1,($A5=LoadFactorSeasons)*(P$1=LoadFactorHours),0),)</f>
        <v>1.2792185496104065E-4</v>
      </c>
      <c r="Q5" s="7" cm="1">
        <f t="array" ref="Q5">INDEX('Summarized Source Data'!$P$1269:$P$1412,MATCH(1,($A5=LoadFactorSeasons)*(Q$1=LoadFactorHours),0),)</f>
        <v>1.4822632172573806E-4</v>
      </c>
      <c r="R5" s="7" cm="1">
        <f t="array" ref="R5">INDEX('Summarized Source Data'!$P$1269:$P$1412,MATCH(1,($A5=LoadFactorSeasons)*(R$1=LoadFactorHours),0),)</f>
        <v>1.7082060568509569E-4</v>
      </c>
      <c r="S5" s="7" cm="1">
        <f t="array" ref="S5">INDEX('Summarized Source Data'!$P$1269:$P$1412,MATCH(1,($A5=LoadFactorSeasons)*(S$1=LoadFactorHours),0),)</f>
        <v>1.7911594012333889E-4</v>
      </c>
      <c r="T5" s="7" cm="1">
        <f t="array" ref="T5">INDEX('Summarized Source Data'!$P$1269:$P$1412,MATCH(1,($A5=LoadFactorSeasons)*(T$1=LoadFactorHours),0),)</f>
        <v>1.6654697653244982E-4</v>
      </c>
      <c r="U5" s="7" cm="1">
        <f t="array" ref="U5">INDEX('Summarized Source Data'!$P$1269:$P$1412,MATCH(1,($A5=LoadFactorSeasons)*(U$1=LoadFactorHours),0),)</f>
        <v>1.3939171206634276E-4</v>
      </c>
      <c r="V5" s="7" cm="1">
        <f t="array" ref="V5">INDEX('Summarized Source Data'!$P$1269:$P$1412,MATCH(1,($A5=LoadFactorSeasons)*(V$1=LoadFactorHours),0),)</f>
        <v>1.2906391746080455E-4</v>
      </c>
      <c r="W5" s="7" cm="1">
        <f t="array" ref="W5">INDEX('Summarized Source Data'!$P$1269:$P$1412,MATCH(1,($A5=LoadFactorSeasons)*(W$1=LoadFactorHours),0),)</f>
        <v>1.2142299918920443E-4</v>
      </c>
      <c r="X5" s="7" cm="1">
        <f t="array" ref="X5">INDEX('Summarized Source Data'!$P$1269:$P$1412,MATCH(1,($A5=LoadFactorSeasons)*(X$1=LoadFactorHours),0),)</f>
        <v>1.1518155644737337E-4</v>
      </c>
      <c r="Y5" s="7" cm="1">
        <f t="array" ref="Y5">INDEX('Summarized Source Data'!$P$1269:$P$1412,MATCH(1,($A5=LoadFactorSeasons)*(Y$1=LoadFactorHours),0),)</f>
        <v>7.7646409886961064E-5</v>
      </c>
    </row>
    <row r="6" spans="1:25" x14ac:dyDescent="0.3">
      <c r="A6" s="7" t="s">
        <v>167</v>
      </c>
      <c r="B6" s="7" cm="1">
        <f t="array" ref="B6">INDEX('Summarized Source Data'!$P$1269:$P$1412,MATCH(1,($A6=LoadFactorSeasons)*(B$1=LoadFactorHours),0),)</f>
        <v>5.6547994961522594E-5</v>
      </c>
      <c r="C6" s="7" cm="1">
        <f t="array" ref="C6">INDEX('Summarized Source Data'!$P$1269:$P$1412,MATCH(1,($A6=LoadFactorSeasons)*(C$1=LoadFactorHours),0),)</f>
        <v>5.5675127205386996E-5</v>
      </c>
      <c r="D6" s="7" cm="1">
        <f t="array" ref="D6">INDEX('Summarized Source Data'!$P$1269:$P$1412,MATCH(1,($A6=LoadFactorSeasons)*(D$1=LoadFactorHours),0),)</f>
        <v>5.5450951290076327E-5</v>
      </c>
      <c r="E6" s="7" cm="1">
        <f t="array" ref="E6">INDEX('Summarized Source Data'!$P$1269:$P$1412,MATCH(1,($A6=LoadFactorSeasons)*(E$1=LoadFactorHours),0),)</f>
        <v>5.5657340369070581E-5</v>
      </c>
      <c r="F6" s="7" cm="1">
        <f t="array" ref="F6">INDEX('Summarized Source Data'!$P$1269:$P$1412,MATCH(1,($A6=LoadFactorSeasons)*(F$1=LoadFactorHours),0),)</f>
        <v>5.5432456584007812E-5</v>
      </c>
      <c r="G6" s="7" cm="1">
        <f t="array" ref="G6">INDEX('Summarized Source Data'!$P$1269:$P$1412,MATCH(1,($A6=LoadFactorSeasons)*(G$1=LoadFactorHours),0),)</f>
        <v>5.7146878512517891E-5</v>
      </c>
      <c r="H6" s="7" cm="1">
        <f t="array" ref="H6">INDEX('Summarized Source Data'!$P$1269:$P$1412,MATCH(1,($A6=LoadFactorSeasons)*(H$1=LoadFactorHours),0),)</f>
        <v>8.6111711825072345E-5</v>
      </c>
      <c r="I6" s="7" cm="1">
        <f t="array" ref="I6">INDEX('Summarized Source Data'!$P$1269:$P$1412,MATCH(1,($A6=LoadFactorSeasons)*(I$1=LoadFactorHours),0),)</f>
        <v>1.8147206372031628E-4</v>
      </c>
      <c r="J6" s="7" cm="1">
        <f t="array" ref="J6">INDEX('Summarized Source Data'!$P$1269:$P$1412,MATCH(1,($A6=LoadFactorSeasons)*(J$1=LoadFactorHours),0),)</f>
        <v>1.994905665010569E-4</v>
      </c>
      <c r="K6" s="7" cm="1">
        <f t="array" ref="K6">INDEX('Summarized Source Data'!$P$1269:$P$1412,MATCH(1,($A6=LoadFactorSeasons)*(K$1=LoadFactorHours),0),)</f>
        <v>1.763239200686761E-4</v>
      </c>
      <c r="L6" s="7" cm="1">
        <f t="array" ref="L6">INDEX('Summarized Source Data'!$P$1269:$P$1412,MATCH(1,($A6=LoadFactorSeasons)*(L$1=LoadFactorHours),0),)</f>
        <v>1.415739504201049E-4</v>
      </c>
      <c r="M6" s="7" cm="1">
        <f t="array" ref="M6">INDEX('Summarized Source Data'!$P$1269:$P$1412,MATCH(1,($A6=LoadFactorSeasons)*(M$1=LoadFactorHours),0),)</f>
        <v>1.4286098633301493E-4</v>
      </c>
      <c r="N6" s="7" cm="1">
        <f t="array" ref="N6">INDEX('Summarized Source Data'!$P$1269:$P$1412,MATCH(1,($A6=LoadFactorSeasons)*(N$1=LoadFactorHours),0),)</f>
        <v>1.4543505815883503E-4</v>
      </c>
      <c r="O6" s="7" cm="1">
        <f t="array" ref="O6">INDEX('Summarized Source Data'!$P$1269:$P$1412,MATCH(1,($A6=LoadFactorSeasons)*(O$1=LoadFactorHours),0),)</f>
        <v>1.4414802224592499E-4</v>
      </c>
      <c r="P6" s="7" cm="1">
        <f t="array" ref="P6">INDEX('Summarized Source Data'!$P$1269:$P$1412,MATCH(1,($A6=LoadFactorSeasons)*(P$1=LoadFactorHours),0),)</f>
        <v>1.4286098633301493E-4</v>
      </c>
      <c r="Q6" s="7" cm="1">
        <f t="array" ref="Q6">INDEX('Summarized Source Data'!$P$1269:$P$1412,MATCH(1,($A6=LoadFactorSeasons)*(Q$1=LoadFactorHours),0),)</f>
        <v>1.6860170459121582E-4</v>
      </c>
      <c r="R6" s="7" cm="1">
        <f t="array" ref="R6">INDEX('Summarized Source Data'!$P$1269:$P$1412,MATCH(1,($A6=LoadFactorSeasons)*(R$1=LoadFactorHours),0),)</f>
        <v>1.9562945876232677E-4</v>
      </c>
      <c r="S6" s="7" cm="1">
        <f t="array" ref="S6">INDEX('Summarized Source Data'!$P$1269:$P$1412,MATCH(1,($A6=LoadFactorSeasons)*(S$1=LoadFactorHours),0),)</f>
        <v>2.0721278197851717E-4</v>
      </c>
      <c r="T6" s="7" cm="1">
        <f t="array" ref="T6">INDEX('Summarized Source Data'!$P$1269:$P$1412,MATCH(1,($A6=LoadFactorSeasons)*(T$1=LoadFactorHours),0),)</f>
        <v>1.9176835102359662E-4</v>
      </c>
      <c r="U6" s="7" cm="1">
        <f t="array" ref="U6">INDEX('Summarized Source Data'!$P$1269:$P$1412,MATCH(1,($A6=LoadFactorSeasons)*(U$1=LoadFactorHours),0),)</f>
        <v>1.5573134546211539E-4</v>
      </c>
      <c r="V6" s="7" cm="1">
        <f t="array" ref="V6">INDEX('Summarized Source Data'!$P$1269:$P$1412,MATCH(1,($A6=LoadFactorSeasons)*(V$1=LoadFactorHours),0),)</f>
        <v>1.415739504201049E-4</v>
      </c>
      <c r="W6" s="7" cm="1">
        <f t="array" ref="W6">INDEX('Summarized Source Data'!$P$1269:$P$1412,MATCH(1,($A6=LoadFactorSeasons)*(W$1=LoadFactorHours),0),)</f>
        <v>1.325646990297346E-4</v>
      </c>
      <c r="X6" s="7" cm="1">
        <f t="array" ref="X6">INDEX('Summarized Source Data'!$P$1269:$P$1412,MATCH(1,($A6=LoadFactorSeasons)*(X$1=LoadFactorHours),0),)</f>
        <v>1.244397828854839E-4</v>
      </c>
      <c r="Y6" s="7" cm="1">
        <f t="array" ref="Y6">INDEX('Summarized Source Data'!$P$1269:$P$1412,MATCH(1,($A6=LoadFactorSeasons)*(Y$1=LoadFactorHours),0),)</f>
        <v>8.3796282736310664E-5</v>
      </c>
    </row>
    <row r="7" spans="1:25" x14ac:dyDescent="0.3">
      <c r="A7" s="7" t="s">
        <v>166</v>
      </c>
      <c r="B7" s="7" cm="1">
        <f t="array" ref="B7">INDEX('Summarized Source Data'!$P$1269:$P$1412,MATCH(1,($A7=LoadFactorSeasons)*(B$1=LoadFactorHours),0),)</f>
        <v>6.4965634553805536E-5</v>
      </c>
      <c r="C7" s="7" cm="1">
        <f t="array" ref="C7">INDEX('Summarized Source Data'!$P$1269:$P$1412,MATCH(1,($A7=LoadFactorSeasons)*(C$1=LoadFactorHours),0),)</f>
        <v>6.4092766797669952E-5</v>
      </c>
      <c r="D7" s="7" cm="1">
        <f t="array" ref="D7">INDEX('Summarized Source Data'!$P$1269:$P$1412,MATCH(1,($A7=LoadFactorSeasons)*(D$1=LoadFactorHours),0),)</f>
        <v>6.3868590882359283E-5</v>
      </c>
      <c r="E7" s="7" cm="1">
        <f t="array" ref="E7">INDEX('Summarized Source Data'!$P$1269:$P$1412,MATCH(1,($A7=LoadFactorSeasons)*(E$1=LoadFactorHours),0),)</f>
        <v>6.407497996135353E-5</v>
      </c>
      <c r="F7" s="7" cm="1">
        <f t="array" ref="F7">INDEX('Summarized Source Data'!$P$1269:$P$1412,MATCH(1,($A7=LoadFactorSeasons)*(F$1=LoadFactorHours),0),)</f>
        <v>6.3850096176290761E-5</v>
      </c>
      <c r="G7" s="7" cm="1">
        <f t="array" ref="G7">INDEX('Summarized Source Data'!$P$1269:$P$1412,MATCH(1,($A7=LoadFactorSeasons)*(G$1=LoadFactorHours),0),)</f>
        <v>6.556451810480084E-5</v>
      </c>
      <c r="H7" s="7" cm="1">
        <f t="array" ref="H7">INDEX('Summarized Source Data'!$P$1269:$P$1412,MATCH(1,($A7=LoadFactorSeasons)*(H$1=LoadFactorHours),0),)</f>
        <v>9.8227057076582372E-5</v>
      </c>
      <c r="I7" s="7" cm="1">
        <f t="array" ref="I7">INDEX('Summarized Source Data'!$P$1269:$P$1412,MATCH(1,($A7=LoadFactorSeasons)*(I$1=LoadFactorHours),0),)</f>
        <v>2.0592574606560711E-4</v>
      </c>
      <c r="J7" s="7" cm="1">
        <f t="array" ref="J7">INDEX('Summarized Source Data'!$P$1269:$P$1412,MATCH(1,($A7=LoadFactorSeasons)*(J$1=LoadFactorHours),0),)</f>
        <v>2.2394424884634775E-4</v>
      </c>
      <c r="K7" s="7" cm="1">
        <f t="array" ref="K7">INDEX('Summarized Source Data'!$P$1269:$P$1412,MATCH(1,($A7=LoadFactorSeasons)*(K$1=LoadFactorHours),0),)</f>
        <v>1.9820353058814686E-4</v>
      </c>
      <c r="L7" s="7" cm="1">
        <f t="array" ref="L7">INDEX('Summarized Source Data'!$P$1269:$P$1412,MATCH(1,($A7=LoadFactorSeasons)*(L$1=LoadFactorHours),0),)</f>
        <v>1.5959245320084552E-4</v>
      </c>
      <c r="M7" s="7" cm="1">
        <f t="array" ref="M7">INDEX('Summarized Source Data'!$P$1269:$P$1412,MATCH(1,($A7=LoadFactorSeasons)*(M$1=LoadFactorHours),0),)</f>
        <v>1.6087948911375558E-4</v>
      </c>
      <c r="N7" s="7" cm="1">
        <f t="array" ref="N7">INDEX('Summarized Source Data'!$P$1269:$P$1412,MATCH(1,($A7=LoadFactorSeasons)*(N$1=LoadFactorHours),0),)</f>
        <v>1.6345356093957564E-4</v>
      </c>
      <c r="O7" s="7" cm="1">
        <f t="array" ref="O7">INDEX('Summarized Source Data'!$P$1269:$P$1412,MATCH(1,($A7=LoadFactorSeasons)*(O$1=LoadFactorHours),0),)</f>
        <v>1.6216652502666561E-4</v>
      </c>
      <c r="P7" s="7" cm="1">
        <f t="array" ref="P7">INDEX('Summarized Source Data'!$P$1269:$P$1412,MATCH(1,($A7=LoadFactorSeasons)*(P$1=LoadFactorHours),0),)</f>
        <v>1.6087948911375558E-4</v>
      </c>
      <c r="Q7" s="7" cm="1">
        <f t="array" ref="Q7">INDEX('Summarized Source Data'!$P$1269:$P$1412,MATCH(1,($A7=LoadFactorSeasons)*(Q$1=LoadFactorHours),0),)</f>
        <v>1.9048131511068659E-4</v>
      </c>
      <c r="R7" s="7" cm="1">
        <f t="array" ref="R7">INDEX('Summarized Source Data'!$P$1269:$P$1412,MATCH(1,($A7=LoadFactorSeasons)*(R$1=LoadFactorHours),0),)</f>
        <v>2.200831411076176E-4</v>
      </c>
      <c r="S7" s="7" cm="1">
        <f t="array" ref="S7">INDEX('Summarized Source Data'!$P$1269:$P$1412,MATCH(1,($A7=LoadFactorSeasons)*(S$1=LoadFactorHours),0),)</f>
        <v>2.31666464323808E-4</v>
      </c>
      <c r="T7" s="7" cm="1">
        <f t="array" ref="T7">INDEX('Summarized Source Data'!$P$1269:$P$1412,MATCH(1,($A7=LoadFactorSeasons)*(T$1=LoadFactorHours),0),)</f>
        <v>2.1236092563015735E-4</v>
      </c>
      <c r="U7" s="7" cm="1">
        <f t="array" ref="U7">INDEX('Summarized Source Data'!$P$1269:$P$1412,MATCH(1,($A7=LoadFactorSeasons)*(U$1=LoadFactorHours),0),)</f>
        <v>1.7374984824285601E-4</v>
      </c>
      <c r="V7" s="7" cm="1">
        <f t="array" ref="V7">INDEX('Summarized Source Data'!$P$1269:$P$1412,MATCH(1,($A7=LoadFactorSeasons)*(V$1=LoadFactorHours),0),)</f>
        <v>1.5959245320084552E-4</v>
      </c>
      <c r="W7" s="7" cm="1">
        <f t="array" ref="W7">INDEX('Summarized Source Data'!$P$1269:$P$1412,MATCH(1,($A7=LoadFactorSeasons)*(W$1=LoadFactorHours),0),)</f>
        <v>1.5058320181047521E-4</v>
      </c>
      <c r="X7" s="7" cm="1">
        <f t="array" ref="X7">INDEX('Summarized Source Data'!$P$1269:$P$1412,MATCH(1,($A7=LoadFactorSeasons)*(X$1=LoadFactorHours),0),)</f>
        <v>1.4286098633301493E-4</v>
      </c>
      <c r="Y7" s="7" cm="1">
        <f t="array" ref="Y7">INDEX('Summarized Source Data'!$P$1269:$P$1412,MATCH(1,($A7=LoadFactorSeasons)*(Y$1=LoadFactorHours),0),)</f>
        <v>9.5911627987820691E-5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23F1-1322-435B-827E-B2F4F7C9CCC9}">
  <sheetPr codeName="Sheet22">
    <tabColor rgb="FF002060"/>
  </sheetPr>
  <dimension ref="A1:Y15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25" width="10.4414062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 cm="1">
        <f t="array" ref="B2">INDEX('Summarized Source Data'!$Q$1269:$Q$1412,MATCH(1,($A2=LoadFactorSeasons)*(B$1=LoadFactorHours),0),)</f>
        <v>5.5684609886809198E-5</v>
      </c>
      <c r="C2" s="7" cm="1">
        <f t="array" ref="C2">INDEX('Summarized Source Data'!$Q$1269:$Q$1412,MATCH(1,($A2=LoadFactorSeasons)*(C$1=LoadFactorHours),0),)</f>
        <v>5.458743015728071E-5</v>
      </c>
      <c r="D2" s="7" cm="1">
        <f t="array" ref="D2">INDEX('Summarized Source Data'!$Q$1269:$Q$1412,MATCH(1,($A2=LoadFactorSeasons)*(D$1=LoadFactorHours),0),)</f>
        <v>5.4298113707815903E-5</v>
      </c>
      <c r="E2" s="7" cm="1">
        <f t="array" ref="E2">INDEX('Summarized Source Data'!$Q$1269:$Q$1412,MATCH(1,($A2=LoadFactorSeasons)*(E$1=LoadFactorHours),0),)</f>
        <v>5.4445534478526085E-5</v>
      </c>
      <c r="F2" s="7" cm="1">
        <f t="array" ref="F2">INDEX('Summarized Source Data'!$Q$1269:$Q$1412,MATCH(1,($A2=LoadFactorSeasons)*(F$1=LoadFactorHours),0),)</f>
        <v>5.4241838981835276E-5</v>
      </c>
      <c r="G2" s="7" cm="1">
        <f t="array" ref="G2">INDEX('Summarized Source Data'!$Q$1269:$Q$1412,MATCH(1,($A2=LoadFactorSeasons)*(G$1=LoadFactorHours),0),)</f>
        <v>5.5531021517429502E-5</v>
      </c>
      <c r="H2" s="7" cm="1">
        <f t="array" ref="H2">INDEX('Summarized Source Data'!$Q$1269:$Q$1412,MATCH(1,($A2=LoadFactorSeasons)*(H$1=LoadFactorHours),0),)</f>
        <v>8.079258693862213E-5</v>
      </c>
      <c r="I2" s="7" cm="1">
        <f t="array" ref="I2">INDEX('Summarized Source Data'!$Q$1269:$Q$1412,MATCH(1,($A2=LoadFactorSeasons)*(I$1=LoadFactorHours),0),)</f>
        <v>1.6010652237221599E-4</v>
      </c>
      <c r="J2" s="7" cm="1">
        <f t="array" ref="J2">INDEX('Summarized Source Data'!$Q$1269:$Q$1412,MATCH(1,($A2=LoadFactorSeasons)*(J$1=LoadFactorHours),0),)</f>
        <v>1.7592663270557914E-4</v>
      </c>
      <c r="K2" s="7" cm="1">
        <f t="array" ref="K2">INDEX('Summarized Source Data'!$Q$1269:$Q$1412,MATCH(1,($A2=LoadFactorSeasons)*(K$1=LoadFactorHours),0),)</f>
        <v>1.6064357212139827E-4</v>
      </c>
      <c r="L2" s="7" cm="1">
        <f t="array" ref="L2">INDEX('Summarized Source Data'!$Q$1269:$Q$1412,MATCH(1,($A2=LoadFactorSeasons)*(L$1=LoadFactorHours),0),)</f>
        <v>1.3427205647940612E-4</v>
      </c>
      <c r="M2" s="7" cm="1">
        <f t="array" ref="M2">INDEX('Summarized Source Data'!$Q$1269:$Q$1412,MATCH(1,($A2=LoadFactorSeasons)*(M$1=LoadFactorHours),0),)</f>
        <v>1.3562136899577067E-4</v>
      </c>
      <c r="N2" s="7" cm="1">
        <f t="array" ref="N2">INDEX('Summarized Source Data'!$Q$1269:$Q$1412,MATCH(1,($A2=LoadFactorSeasons)*(N$1=LoadFactorHours),0),)</f>
        <v>1.3696272144016357E-4</v>
      </c>
      <c r="O2" s="7" cm="1">
        <f t="array" ref="O2">INDEX('Summarized Source Data'!$Q$1269:$Q$1412,MATCH(1,($A2=LoadFactorSeasons)*(O$1=LoadFactorHours),0),)</f>
        <v>1.3521606851643619E-4</v>
      </c>
      <c r="P2" s="7" cm="1">
        <f t="array" ref="P2">INDEX('Summarized Source Data'!$Q$1269:$Q$1412,MATCH(1,($A2=LoadFactorSeasons)*(P$1=LoadFactorHours),0),)</f>
        <v>1.3380088577784232E-4</v>
      </c>
      <c r="Q2" s="7" cm="1">
        <f t="array" ref="Q2">INDEX('Summarized Source Data'!$Q$1269:$Q$1412,MATCH(1,($A2=LoadFactorSeasons)*(Q$1=LoadFactorHours),0),)</f>
        <v>1.5479495892900712E-4</v>
      </c>
      <c r="R2" s="7" cm="1">
        <f t="array" ref="R2">INDEX('Summarized Source Data'!$Q$1269:$Q$1412,MATCH(1,($A2=LoadFactorSeasons)*(R$1=LoadFactorHours),0),)</f>
        <v>1.782426750056659E-4</v>
      </c>
      <c r="S2" s="7" cm="1">
        <f t="array" ref="S2">INDEX('Summarized Source Data'!$Q$1269:$Q$1412,MATCH(1,($A2=LoadFactorSeasons)*(S$1=LoadFactorHours),0),)</f>
        <v>1.8653800938312401E-4</v>
      </c>
      <c r="T2" s="7" cm="1">
        <f t="array" ref="T2">INDEX('Summarized Source Data'!$Q$1269:$Q$1412,MATCH(1,($A2=LoadFactorSeasons)*(T$1=LoadFactorHours),0),)</f>
        <v>1.7327943673926227E-4</v>
      </c>
      <c r="U2" s="7" cm="1">
        <f t="array" ref="U2">INDEX('Summarized Source Data'!$Q$1269:$Q$1412,MATCH(1,($A2=LoadFactorSeasons)*(U$1=LoadFactorHours),0),)</f>
        <v>1.4520486084600582E-4</v>
      </c>
      <c r="V2" s="7" cm="1">
        <f t="array" ref="V2">INDEX('Summarized Source Data'!$Q$1269:$Q$1412,MATCH(1,($A2=LoadFactorSeasons)*(V$1=LoadFactorHours),0),)</f>
        <v>1.3442494589635399E-4</v>
      </c>
      <c r="W2" s="7" cm="1">
        <f t="array" ref="W2">INDEX('Summarized Source Data'!$Q$1269:$Q$1412,MATCH(1,($A2=LoadFactorSeasons)*(W$1=LoadFactorHours),0),)</f>
        <v>1.2723614796886746E-4</v>
      </c>
      <c r="X2" s="7" cm="1">
        <f t="array" ref="X2">INDEX('Summarized Source Data'!$Q$1269:$Q$1412,MATCH(1,($A2=LoadFactorSeasons)*(X$1=LoadFactorHours),0),)</f>
        <v>1.2122440754042808E-4</v>
      </c>
      <c r="Y2" s="7" cm="1">
        <f t="array" ref="Y2">INDEX('Summarized Source Data'!$Q$1269:$Q$1412,MATCH(1,($A2=LoadFactorSeasons)*(Y$1=LoadFactorHours),0),)</f>
        <v>8.1507095068742867E-5</v>
      </c>
    </row>
    <row r="3" spans="1:25" x14ac:dyDescent="0.3">
      <c r="A3" s="7" t="s">
        <v>162</v>
      </c>
      <c r="B3" s="7" cm="1">
        <f t="array" ref="B3">INDEX('Summarized Source Data'!$Q$1269:$Q$1412,MATCH(1,($A3=LoadFactorSeasons)*(B$1=LoadFactorHours),0),)</f>
        <v>5.2078455164350287E-5</v>
      </c>
      <c r="C3" s="7" cm="1">
        <f t="array" ref="C3">INDEX('Summarized Source Data'!$Q$1269:$Q$1412,MATCH(1,($A3=LoadFactorSeasons)*(C$1=LoadFactorHours),0),)</f>
        <v>5.09812754348218E-5</v>
      </c>
      <c r="D3" s="7" cm="1">
        <f t="array" ref="D3">INDEX('Summarized Source Data'!$Q$1269:$Q$1412,MATCH(1,($A3=LoadFactorSeasons)*(D$1=LoadFactorHours),0),)</f>
        <v>5.0691958355162392E-5</v>
      </c>
      <c r="E3" s="7" cm="1">
        <f t="array" ref="E3">INDEX('Summarized Source Data'!$Q$1269:$Q$1412,MATCH(1,($A3=LoadFactorSeasons)*(E$1=LoadFactorHours),0),)</f>
        <v>5.0839372930513367E-5</v>
      </c>
      <c r="F3" s="7" cm="1">
        <f t="array" ref="F3">INDEX('Summarized Source Data'!$Q$1269:$Q$1412,MATCH(1,($A3=LoadFactorSeasons)*(F$1=LoadFactorHours),0),)</f>
        <v>5.0635677433822572E-5</v>
      </c>
      <c r="G3" s="7" cm="1">
        <f t="array" ref="G3">INDEX('Summarized Source Data'!$Q$1269:$Q$1412,MATCH(1,($A3=LoadFactorSeasons)*(G$1=LoadFactorHours),0),)</f>
        <v>5.1924861457635328E-5</v>
      </c>
      <c r="H3" s="7" cm="1">
        <f t="array" ref="H3">INDEX('Summarized Source Data'!$Q$1269:$Q$1412,MATCH(1,($A3=LoadFactorSeasons)*(H$1=LoadFactorHours),0),)</f>
        <v>7.5739224121645993E-5</v>
      </c>
      <c r="I3" s="7" cm="1">
        <f t="array" ref="I3">INDEX('Summarized Source Data'!$Q$1269:$Q$1412,MATCH(1,($A3=LoadFactorSeasons)*(I$1=LoadFactorHours),0),)</f>
        <v>1.5095831346352033E-4</v>
      </c>
      <c r="J3" s="7" cm="1">
        <f t="array" ref="J3">INDEX('Summarized Source Data'!$Q$1269:$Q$1412,MATCH(1,($A3=LoadFactorSeasons)*(J$1=LoadFactorHours),0),)</f>
        <v>1.6603145398301519E-4</v>
      </c>
      <c r="K3" s="7" cm="1">
        <f t="array" ref="K3">INDEX('Summarized Source Data'!$Q$1269:$Q$1412,MATCH(1,($A3=LoadFactorSeasons)*(K$1=LoadFactorHours),0),)</f>
        <v>1.5150411285855714E-4</v>
      </c>
      <c r="L3" s="7" cm="1">
        <f t="array" ref="L3">INDEX('Summarized Source Data'!$Q$1269:$Q$1412,MATCH(1,($A3=LoadFactorSeasons)*(L$1=LoadFactorHours),0),)</f>
        <v>1.2723552454385988E-4</v>
      </c>
      <c r="M3" s="7" cm="1">
        <f t="array" ref="M3">INDEX('Summarized Source Data'!$Q$1269:$Q$1412,MATCH(1,($A3=LoadFactorSeasons)*(M$1=LoadFactorHours),0),)</f>
        <v>1.2790301446350422E-4</v>
      </c>
      <c r="N3" s="7" cm="1">
        <f t="array" ref="N3">INDEX('Summarized Source Data'!$Q$1269:$Q$1412,MATCH(1,($A3=LoadFactorSeasons)*(N$1=LoadFactorHours),0),)</f>
        <v>1.2928983179259849E-4</v>
      </c>
      <c r="O3" s="7" cm="1">
        <f t="array" ref="O3">INDEX('Summarized Source Data'!$Q$1269:$Q$1412,MATCH(1,($A3=LoadFactorSeasons)*(O$1=LoadFactorHours),0),)</f>
        <v>1.2831631171265426E-4</v>
      </c>
      <c r="P3" s="7" cm="1">
        <f t="array" ref="P3">INDEX('Summarized Source Data'!$Q$1269:$Q$1412,MATCH(1,($A3=LoadFactorSeasons)*(P$1=LoadFactorHours),0),)</f>
        <v>1.2621930732729526E-4</v>
      </c>
      <c r="Q3" s="7" cm="1">
        <f t="array" ref="Q3">INDEX('Summarized Source Data'!$Q$1269:$Q$1412,MATCH(1,($A3=LoadFactorSeasons)*(Q$1=LoadFactorHours),0),)</f>
        <v>1.4574681387026478E-4</v>
      </c>
      <c r="R3" s="7" cm="1">
        <f t="array" ref="R3">INDEX('Summarized Source Data'!$Q$1269:$Q$1412,MATCH(1,($A3=LoadFactorSeasons)*(R$1=LoadFactorHours),0),)</f>
        <v>1.6812723520461621E-4</v>
      </c>
      <c r="S3" s="7" cm="1">
        <f t="array" ref="S3">INDEX('Summarized Source Data'!$Q$1269:$Q$1412,MATCH(1,($A3=LoadFactorSeasons)*(S$1=LoadFactorHours),0),)</f>
        <v>1.7642257025223898E-4</v>
      </c>
      <c r="T3" s="7" cm="1">
        <f t="array" ref="T3">INDEX('Summarized Source Data'!$Q$1269:$Q$1412,MATCH(1,($A3=LoadFactorSeasons)*(T$1=LoadFactorHours),0),)</f>
        <v>1.6432079707422102E-4</v>
      </c>
      <c r="U3" s="7" cm="1">
        <f t="array" ref="U3">INDEX('Summarized Source Data'!$Q$1269:$Q$1412,MATCH(1,($A3=LoadFactorSeasons)*(U$1=LoadFactorHours),0),)</f>
        <v>1.3746530866304716E-4</v>
      </c>
      <c r="V3" s="7" cm="1">
        <f t="array" ref="V3">INDEX('Summarized Source Data'!$Q$1269:$Q$1412,MATCH(1,($A3=LoadFactorSeasons)*(V$1=LoadFactorHours),0),)</f>
        <v>1.2699516167380065E-4</v>
      </c>
      <c r="W3" s="7" cm="1">
        <f t="array" ref="W3">INDEX('Summarized Source Data'!$Q$1269:$Q$1412,MATCH(1,($A3=LoadFactorSeasons)*(W$1=LoadFactorHours),0),)</f>
        <v>1.1919682034035524E-4</v>
      </c>
      <c r="X3" s="7" cm="1">
        <f t="array" ref="X3">INDEX('Summarized Source Data'!$Q$1269:$Q$1412,MATCH(1,($A3=LoadFactorSeasons)*(X$1=LoadFactorHours),0),)</f>
        <v>1.1339335689272908E-4</v>
      </c>
      <c r="Y3" s="7" cm="1">
        <f t="array" ref="Y3">INDEX('Summarized Source Data'!$Q$1269:$Q$1412,MATCH(1,($A3=LoadFactorSeasons)*(Y$1=LoadFactorHours),0),)</f>
        <v>7.6316305843857462E-5</v>
      </c>
    </row>
    <row r="4" spans="1:25" x14ac:dyDescent="0.3">
      <c r="A4" s="7" t="s">
        <v>163</v>
      </c>
      <c r="B4" s="7" cm="1">
        <f t="array" ref="B4">INDEX('Summarized Source Data'!$Q$1269:$Q$1412,MATCH(1,($A4=LoadFactorSeasons)*(B$1=LoadFactorHours),0),)</f>
        <v>4.8629018732723561E-5</v>
      </c>
      <c r="C4" s="7" cm="1">
        <f t="array" ref="C4">INDEX('Summarized Source Data'!$Q$1269:$Q$1412,MATCH(1,($A4=LoadFactorSeasons)*(C$1=LoadFactorHours),0),)</f>
        <v>4.7531839003195081E-5</v>
      </c>
      <c r="D4" s="7" cm="1">
        <f t="array" ref="D4">INDEX('Summarized Source Data'!$Q$1269:$Q$1412,MATCH(1,($A4=LoadFactorSeasons)*(D$1=LoadFactorHours),0),)</f>
        <v>4.7242521923535687E-5</v>
      </c>
      <c r="E4" s="7" cm="1">
        <f t="array" ref="E4">INDEX('Summarized Source Data'!$Q$1269:$Q$1412,MATCH(1,($A4=LoadFactorSeasons)*(E$1=LoadFactorHours),0),)</f>
        <v>4.7389942694245862E-5</v>
      </c>
      <c r="F4" s="7" cm="1">
        <f t="array" ref="F4">INDEX('Summarized Source Data'!$Q$1269:$Q$1412,MATCH(1,($A4=LoadFactorSeasons)*(F$1=LoadFactorHours),0),)</f>
        <v>4.7186244099875457E-5</v>
      </c>
      <c r="G4" s="7" cm="1">
        <f t="array" ref="G4">INDEX('Summarized Source Data'!$Q$1269:$Q$1412,MATCH(1,($A4=LoadFactorSeasons)*(G$1=LoadFactorHours),0),)</f>
        <v>4.84754281236882E-5</v>
      </c>
      <c r="H4" s="7" cm="1">
        <f t="array" ref="H4">INDEX('Summarized Source Data'!$Q$1269:$Q$1412,MATCH(1,($A4=LoadFactorSeasons)*(H$1=LoadFactorHours),0),)</f>
        <v>7.0905472146898401E-5</v>
      </c>
      <c r="I4" s="7" cm="1">
        <f t="array" ref="I4">INDEX('Summarized Source Data'!$Q$1269:$Q$1412,MATCH(1,($A4=LoadFactorSeasons)*(I$1=LoadFactorHours),0),)</f>
        <v>1.4143893335808025E-4</v>
      </c>
      <c r="J4" s="7" cm="1">
        <f t="array" ref="J4">INDEX('Summarized Source Data'!$Q$1269:$Q$1412,MATCH(1,($A4=LoadFactorSeasons)*(J$1=LoadFactorHours),0),)</f>
        <v>1.5699016135395225E-4</v>
      </c>
      <c r="K4" s="7" cm="1">
        <f t="array" ref="K4">INDEX('Summarized Source Data'!$Q$1269:$Q$1412,MATCH(1,($A4=LoadFactorSeasons)*(K$1=LoadFactorHours),0),)</f>
        <v>1.4299501321675791E-4</v>
      </c>
      <c r="L4" s="7" cm="1">
        <f t="array" ref="L4">INDEX('Summarized Source Data'!$Q$1269:$Q$1412,MATCH(1,($A4=LoadFactorSeasons)*(L$1=LoadFactorHours),0),)</f>
        <v>1.1929248084341459E-4</v>
      </c>
      <c r="M4" s="7" cm="1">
        <f t="array" ref="M4">INDEX('Summarized Source Data'!$Q$1269:$Q$1412,MATCH(1,($A4=LoadFactorSeasons)*(M$1=LoadFactorHours),0),)</f>
        <v>1.2056951416901789E-4</v>
      </c>
      <c r="N4" s="7" cm="1">
        <f t="array" ref="N4">INDEX('Summarized Source Data'!$Q$1269:$Q$1412,MATCH(1,($A4=LoadFactorSeasons)*(N$1=LoadFactorHours),0),)</f>
        <v>1.2230958572402077E-4</v>
      </c>
      <c r="O4" s="7" cm="1">
        <f t="array" ref="O4">INDEX('Summarized Source Data'!$Q$1269:$Q$1412,MATCH(1,($A4=LoadFactorSeasons)*(O$1=LoadFactorHours),0),)</f>
        <v>1.2050409960946279E-4</v>
      </c>
      <c r="P4" s="7" cm="1">
        <f t="array" ref="P4">INDEX('Summarized Source Data'!$Q$1269:$Q$1412,MATCH(1,($A4=LoadFactorSeasons)*(P$1=LoadFactorHours),0),)</f>
        <v>1.1901663743096097E-4</v>
      </c>
      <c r="Q4" s="7" cm="1">
        <f t="array" ref="Q4">INDEX('Summarized Source Data'!$Q$1269:$Q$1412,MATCH(1,($A4=LoadFactorSeasons)*(Q$1=LoadFactorHours),0),)</f>
        <v>1.3701529044067906E-4</v>
      </c>
      <c r="R4" s="7" cm="1">
        <f t="array" ref="R4">INDEX('Summarized Source Data'!$Q$1269:$Q$1412,MATCH(1,($A4=LoadFactorSeasons)*(R$1=LoadFactorHours),0),)</f>
        <v>1.5887525635544224E-4</v>
      </c>
      <c r="S4" s="7" cm="1">
        <f t="array" ref="S4">INDEX('Summarized Source Data'!$Q$1269:$Q$1412,MATCH(1,($A4=LoadFactorSeasons)*(S$1=LoadFactorHours),0),)</f>
        <v>1.6717058892492132E-4</v>
      </c>
      <c r="T4" s="7" cm="1">
        <f t="array" ref="T4">INDEX('Summarized Source Data'!$Q$1269:$Q$1412,MATCH(1,($A4=LoadFactorSeasons)*(T$1=LoadFactorHours),0),)</f>
        <v>1.5598812959141133E-4</v>
      </c>
      <c r="U4" s="7" cm="1">
        <f t="array" ref="U4">INDEX('Summarized Source Data'!$Q$1269:$Q$1412,MATCH(1,($A4=LoadFactorSeasons)*(U$1=LoadFactorHours),0),)</f>
        <v>1.3006194258330993E-4</v>
      </c>
      <c r="V4" s="7" cm="1">
        <f t="array" ref="V4">INDEX('Summarized Source Data'!$Q$1269:$Q$1412,MATCH(1,($A4=LoadFactorSeasons)*(V$1=LoadFactorHours),0),)</f>
        <v>1.1928202763365806E-4</v>
      </c>
      <c r="W4" s="7" cm="1">
        <f t="array" ref="W4">INDEX('Summarized Source Data'!$Q$1269:$Q$1412,MATCH(1,($A4=LoadFactorSeasons)*(W$1=LoadFactorHours),0),)</f>
        <v>1.1198622346192916E-4</v>
      </c>
      <c r="X4" s="7" cm="1">
        <f t="array" ref="X4">INDEX('Summarized Source Data'!$Q$1269:$Q$1412,MATCH(1,($A4=LoadFactorSeasons)*(X$1=LoadFactorHours),0),)</f>
        <v>1.0598756181249664E-4</v>
      </c>
      <c r="Y4" s="7" cm="1">
        <f t="array" ref="Y4">INDEX('Summarized Source Data'!$Q$1269:$Q$1412,MATCH(1,($A4=LoadFactorSeasons)*(Y$1=LoadFactorHours),0),)</f>
        <v>7.1351099138629829E-5</v>
      </c>
    </row>
    <row r="5" spans="1:25" x14ac:dyDescent="0.3">
      <c r="A5" s="7" t="s">
        <v>164</v>
      </c>
      <c r="B5" s="7" cm="1">
        <f t="array" ref="B5">INDEX('Summarized Source Data'!$Q$1269:$Q$1412,MATCH(1,($A5=LoadFactorSeasons)*(B$1=LoadFactorHours),0),)</f>
        <v>5.3002506678019106E-5</v>
      </c>
      <c r="C5" s="7" cm="1">
        <f t="array" ref="C5">INDEX('Summarized Source Data'!$Q$1269:$Q$1412,MATCH(1,($A5=LoadFactorSeasons)*(C$1=LoadFactorHours),0),)</f>
        <v>5.1905326948490632E-5</v>
      </c>
      <c r="D5" s="7" cm="1">
        <f t="array" ref="D5">INDEX('Summarized Source Data'!$Q$1269:$Q$1412,MATCH(1,($A5=LoadFactorSeasons)*(D$1=LoadFactorHours),0),)</f>
        <v>5.1616008629759378E-5</v>
      </c>
      <c r="E5" s="7" cm="1">
        <f t="array" ref="E5">INDEX('Summarized Source Data'!$Q$1269:$Q$1412,MATCH(1,($A5=LoadFactorSeasons)*(E$1=LoadFactorHours),0),)</f>
        <v>5.1763429400469567E-5</v>
      </c>
      <c r="F5" s="7" cm="1">
        <f t="array" ref="F5">INDEX('Summarized Source Data'!$Q$1269:$Q$1412,MATCH(1,($A5=LoadFactorSeasons)*(F$1=LoadFactorHours),0),)</f>
        <v>5.1559733903778758E-5</v>
      </c>
      <c r="G5" s="7" cm="1">
        <f t="array" ref="G5">INDEX('Summarized Source Data'!$Q$1269:$Q$1412,MATCH(1,($A5=LoadFactorSeasons)*(G$1=LoadFactorHours),0),)</f>
        <v>5.2848919166663355E-5</v>
      </c>
      <c r="H5" s="7" cm="1">
        <f t="array" ref="H5">INDEX('Summarized Source Data'!$Q$1269:$Q$1412,MATCH(1,($A5=LoadFactorSeasons)*(H$1=LoadFactorHours),0),)</f>
        <v>7.7034113854402734E-5</v>
      </c>
      <c r="I5" s="7" cm="1">
        <f t="array" ref="I5">INDEX('Summarized Source Data'!$Q$1269:$Q$1412,MATCH(1,($A5=LoadFactorSeasons)*(I$1=LoadFactorHours),0),)</f>
        <v>1.5295048542546128E-4</v>
      </c>
      <c r="J5" s="7" cm="1">
        <f t="array" ref="J5">INDEX('Summarized Source Data'!$Q$1269:$Q$1412,MATCH(1,($A5=LoadFactorSeasons)*(J$1=LoadFactorHours),0),)</f>
        <v>1.6866838366126199E-4</v>
      </c>
      <c r="K5" s="7" cm="1">
        <f t="array" ref="K5">INDEX('Summarized Source Data'!$Q$1269:$Q$1412,MATCH(1,($A5=LoadFactorSeasons)*(K$1=LoadFactorHours),0),)</f>
        <v>1.540070187523787E-4</v>
      </c>
      <c r="L5" s="7" cm="1">
        <f t="array" ref="L5">INDEX('Summarized Source Data'!$Q$1269:$Q$1412,MATCH(1,($A5=LoadFactorSeasons)*(L$1=LoadFactorHours),0),)</f>
        <v>1.2897312168877624E-4</v>
      </c>
      <c r="M5" s="7" cm="1">
        <f t="array" ref="M5">INDEX('Summarized Source Data'!$Q$1269:$Q$1412,MATCH(1,($A5=LoadFactorSeasons)*(M$1=LoadFactorHours),0),)</f>
        <v>1.2964061160842061E-4</v>
      </c>
      <c r="N5" s="7" cm="1">
        <f t="array" ref="N5">INDEX('Summarized Source Data'!$Q$1269:$Q$1412,MATCH(1,($A5=LoadFactorSeasons)*(N$1=LoadFactorHours),0),)</f>
        <v>1.3148296728784106E-4</v>
      </c>
      <c r="O5" s="7" cm="1">
        <f t="array" ref="O5">INDEX('Summarized Source Data'!$Q$1269:$Q$1412,MATCH(1,($A5=LoadFactorSeasons)*(O$1=LoadFactorHours),0),)</f>
        <v>1.3001886121516372E-4</v>
      </c>
      <c r="P5" s="7" cm="1">
        <f t="array" ref="P5">INDEX('Summarized Source Data'!$Q$1269:$Q$1412,MATCH(1,($A5=LoadFactorSeasons)*(P$1=LoadFactorHours),0),)</f>
        <v>1.2792185496104065E-4</v>
      </c>
      <c r="Q5" s="7" cm="1">
        <f t="array" ref="Q5">INDEX('Summarized Source Data'!$Q$1269:$Q$1412,MATCH(1,($A5=LoadFactorSeasons)*(Q$1=LoadFactorHours),0),)</f>
        <v>1.4822632172573806E-4</v>
      </c>
      <c r="R5" s="7" cm="1">
        <f t="array" ref="R5">INDEX('Summarized Source Data'!$Q$1269:$Q$1412,MATCH(1,($A5=LoadFactorSeasons)*(R$1=LoadFactorHours),0),)</f>
        <v>1.7082060568509569E-4</v>
      </c>
      <c r="S5" s="7" cm="1">
        <f t="array" ref="S5">INDEX('Summarized Source Data'!$Q$1269:$Q$1412,MATCH(1,($A5=LoadFactorSeasons)*(S$1=LoadFactorHours),0),)</f>
        <v>1.7911594012333889E-4</v>
      </c>
      <c r="T5" s="7" cm="1">
        <f t="array" ref="T5">INDEX('Summarized Source Data'!$Q$1269:$Q$1412,MATCH(1,($A5=LoadFactorSeasons)*(T$1=LoadFactorHours),0),)</f>
        <v>1.6654697653244982E-4</v>
      </c>
      <c r="U5" s="7" cm="1">
        <f t="array" ref="U5">INDEX('Summarized Source Data'!$Q$1269:$Q$1412,MATCH(1,($A5=LoadFactorSeasons)*(U$1=LoadFactorHours),0),)</f>
        <v>1.3939171206634276E-4</v>
      </c>
      <c r="V5" s="7" cm="1">
        <f t="array" ref="V5">INDEX('Summarized Source Data'!$Q$1269:$Q$1412,MATCH(1,($A5=LoadFactorSeasons)*(V$1=LoadFactorHours),0),)</f>
        <v>1.2906391746080455E-4</v>
      </c>
      <c r="W5" s="7" cm="1">
        <f t="array" ref="W5">INDEX('Summarized Source Data'!$Q$1269:$Q$1412,MATCH(1,($A5=LoadFactorSeasons)*(W$1=LoadFactorHours),0),)</f>
        <v>1.2142299918920443E-4</v>
      </c>
      <c r="X5" s="7" cm="1">
        <f t="array" ref="X5">INDEX('Summarized Source Data'!$Q$1269:$Q$1412,MATCH(1,($A5=LoadFactorSeasons)*(X$1=LoadFactorHours),0),)</f>
        <v>1.1518155644737337E-4</v>
      </c>
      <c r="Y5" s="7" cm="1">
        <f t="array" ref="Y5">INDEX('Summarized Source Data'!$Q$1269:$Q$1412,MATCH(1,($A5=LoadFactorSeasons)*(Y$1=LoadFactorHours),0),)</f>
        <v>7.7646409886961064E-5</v>
      </c>
    </row>
    <row r="6" spans="1:25" x14ac:dyDescent="0.3">
      <c r="A6" s="7" t="s">
        <v>167</v>
      </c>
      <c r="B6" s="7" cm="1">
        <f t="array" ref="B6">INDEX('Summarized Source Data'!$Q$1269:$Q$1412,MATCH(1,($A6=LoadFactorSeasons)*(B$1=LoadFactorHours),0),)</f>
        <v>5.6547994961522594E-5</v>
      </c>
      <c r="C6" s="7" cm="1">
        <f t="array" ref="C6">INDEX('Summarized Source Data'!$Q$1269:$Q$1412,MATCH(1,($A6=LoadFactorSeasons)*(C$1=LoadFactorHours),0),)</f>
        <v>5.5675127205386996E-5</v>
      </c>
      <c r="D6" s="7" cm="1">
        <f t="array" ref="D6">INDEX('Summarized Source Data'!$Q$1269:$Q$1412,MATCH(1,($A6=LoadFactorSeasons)*(D$1=LoadFactorHours),0),)</f>
        <v>5.5450951290076327E-5</v>
      </c>
      <c r="E6" s="7" cm="1">
        <f t="array" ref="E6">INDEX('Summarized Source Data'!$Q$1269:$Q$1412,MATCH(1,($A6=LoadFactorSeasons)*(E$1=LoadFactorHours),0),)</f>
        <v>5.5657340369070581E-5</v>
      </c>
      <c r="F6" s="7" cm="1">
        <f t="array" ref="F6">INDEX('Summarized Source Data'!$Q$1269:$Q$1412,MATCH(1,($A6=LoadFactorSeasons)*(F$1=LoadFactorHours),0),)</f>
        <v>5.5432456584007812E-5</v>
      </c>
      <c r="G6" s="7" cm="1">
        <f t="array" ref="G6">INDEX('Summarized Source Data'!$Q$1269:$Q$1412,MATCH(1,($A6=LoadFactorSeasons)*(G$1=LoadFactorHours),0),)</f>
        <v>5.7146878512517891E-5</v>
      </c>
      <c r="H6" s="7" cm="1">
        <f t="array" ref="H6">INDEX('Summarized Source Data'!$Q$1269:$Q$1412,MATCH(1,($A6=LoadFactorSeasons)*(H$1=LoadFactorHours),0),)</f>
        <v>8.6111711825072345E-5</v>
      </c>
      <c r="I6" s="7" cm="1">
        <f t="array" ref="I6">INDEX('Summarized Source Data'!$Q$1269:$Q$1412,MATCH(1,($A6=LoadFactorSeasons)*(I$1=LoadFactorHours),0),)</f>
        <v>1.8147206372031628E-4</v>
      </c>
      <c r="J6" s="7" cm="1">
        <f t="array" ref="J6">INDEX('Summarized Source Data'!$Q$1269:$Q$1412,MATCH(1,($A6=LoadFactorSeasons)*(J$1=LoadFactorHours),0),)</f>
        <v>1.994905665010569E-4</v>
      </c>
      <c r="K6" s="7" cm="1">
        <f t="array" ref="K6">INDEX('Summarized Source Data'!$Q$1269:$Q$1412,MATCH(1,($A6=LoadFactorSeasons)*(K$1=LoadFactorHours),0),)</f>
        <v>1.763239200686761E-4</v>
      </c>
      <c r="L6" s="7" cm="1">
        <f t="array" ref="L6">INDEX('Summarized Source Data'!$Q$1269:$Q$1412,MATCH(1,($A6=LoadFactorSeasons)*(L$1=LoadFactorHours),0),)</f>
        <v>1.415739504201049E-4</v>
      </c>
      <c r="M6" s="7" cm="1">
        <f t="array" ref="M6">INDEX('Summarized Source Data'!$Q$1269:$Q$1412,MATCH(1,($A6=LoadFactorSeasons)*(M$1=LoadFactorHours),0),)</f>
        <v>1.4286098633301493E-4</v>
      </c>
      <c r="N6" s="7" cm="1">
        <f t="array" ref="N6">INDEX('Summarized Source Data'!$Q$1269:$Q$1412,MATCH(1,($A6=LoadFactorSeasons)*(N$1=LoadFactorHours),0),)</f>
        <v>1.4543505815883503E-4</v>
      </c>
      <c r="O6" s="7" cm="1">
        <f t="array" ref="O6">INDEX('Summarized Source Data'!$Q$1269:$Q$1412,MATCH(1,($A6=LoadFactorSeasons)*(O$1=LoadFactorHours),0),)</f>
        <v>1.4414802224592499E-4</v>
      </c>
      <c r="P6" s="7" cm="1">
        <f t="array" ref="P6">INDEX('Summarized Source Data'!$Q$1269:$Q$1412,MATCH(1,($A6=LoadFactorSeasons)*(P$1=LoadFactorHours),0),)</f>
        <v>1.4286098633301493E-4</v>
      </c>
      <c r="Q6" s="7" cm="1">
        <f t="array" ref="Q6">INDEX('Summarized Source Data'!$Q$1269:$Q$1412,MATCH(1,($A6=LoadFactorSeasons)*(Q$1=LoadFactorHours),0),)</f>
        <v>1.6860170459121582E-4</v>
      </c>
      <c r="R6" s="7" cm="1">
        <f t="array" ref="R6">INDEX('Summarized Source Data'!$Q$1269:$Q$1412,MATCH(1,($A6=LoadFactorSeasons)*(R$1=LoadFactorHours),0),)</f>
        <v>1.9562945876232677E-4</v>
      </c>
      <c r="S6" s="7" cm="1">
        <f t="array" ref="S6">INDEX('Summarized Source Data'!$Q$1269:$Q$1412,MATCH(1,($A6=LoadFactorSeasons)*(S$1=LoadFactorHours),0),)</f>
        <v>2.0721278197851717E-4</v>
      </c>
      <c r="T6" s="7" cm="1">
        <f t="array" ref="T6">INDEX('Summarized Source Data'!$Q$1269:$Q$1412,MATCH(1,($A6=LoadFactorSeasons)*(T$1=LoadFactorHours),0),)</f>
        <v>1.9176835102359662E-4</v>
      </c>
      <c r="U6" s="7" cm="1">
        <f t="array" ref="U6">INDEX('Summarized Source Data'!$Q$1269:$Q$1412,MATCH(1,($A6=LoadFactorSeasons)*(U$1=LoadFactorHours),0),)</f>
        <v>1.5573134546211539E-4</v>
      </c>
      <c r="V6" s="7" cm="1">
        <f t="array" ref="V6">INDEX('Summarized Source Data'!$Q$1269:$Q$1412,MATCH(1,($A6=LoadFactorSeasons)*(V$1=LoadFactorHours),0),)</f>
        <v>1.415739504201049E-4</v>
      </c>
      <c r="W6" s="7" cm="1">
        <f t="array" ref="W6">INDEX('Summarized Source Data'!$Q$1269:$Q$1412,MATCH(1,($A6=LoadFactorSeasons)*(W$1=LoadFactorHours),0),)</f>
        <v>1.325646990297346E-4</v>
      </c>
      <c r="X6" s="7" cm="1">
        <f t="array" ref="X6">INDEX('Summarized Source Data'!$Q$1269:$Q$1412,MATCH(1,($A6=LoadFactorSeasons)*(X$1=LoadFactorHours),0),)</f>
        <v>1.244397828854839E-4</v>
      </c>
      <c r="Y6" s="7" cm="1">
        <f t="array" ref="Y6">INDEX('Summarized Source Data'!$Q$1269:$Q$1412,MATCH(1,($A6=LoadFactorSeasons)*(Y$1=LoadFactorHours),0),)</f>
        <v>8.3796282736310664E-5</v>
      </c>
    </row>
    <row r="7" spans="1:25" x14ac:dyDescent="0.3">
      <c r="A7" s="7" t="s">
        <v>166</v>
      </c>
      <c r="B7" s="7" cm="1">
        <f t="array" ref="B7">INDEX('Summarized Source Data'!$Q$1269:$Q$1412,MATCH(1,($A7=LoadFactorSeasons)*(B$1=LoadFactorHours),0),)</f>
        <v>6.4965634553805536E-5</v>
      </c>
      <c r="C7" s="7" cm="1">
        <f t="array" ref="C7">INDEX('Summarized Source Data'!$Q$1269:$Q$1412,MATCH(1,($A7=LoadFactorSeasons)*(C$1=LoadFactorHours),0),)</f>
        <v>6.4092766797669952E-5</v>
      </c>
      <c r="D7" s="7" cm="1">
        <f t="array" ref="D7">INDEX('Summarized Source Data'!$Q$1269:$Q$1412,MATCH(1,($A7=LoadFactorSeasons)*(D$1=LoadFactorHours),0),)</f>
        <v>6.3868590882359283E-5</v>
      </c>
      <c r="E7" s="7" cm="1">
        <f t="array" ref="E7">INDEX('Summarized Source Data'!$Q$1269:$Q$1412,MATCH(1,($A7=LoadFactorSeasons)*(E$1=LoadFactorHours),0),)</f>
        <v>6.407497996135353E-5</v>
      </c>
      <c r="F7" s="7" cm="1">
        <f t="array" ref="F7">INDEX('Summarized Source Data'!$Q$1269:$Q$1412,MATCH(1,($A7=LoadFactorSeasons)*(F$1=LoadFactorHours),0),)</f>
        <v>6.3850096176290761E-5</v>
      </c>
      <c r="G7" s="7" cm="1">
        <f t="array" ref="G7">INDEX('Summarized Source Data'!$Q$1269:$Q$1412,MATCH(1,($A7=LoadFactorSeasons)*(G$1=LoadFactorHours),0),)</f>
        <v>6.556451810480084E-5</v>
      </c>
      <c r="H7" s="7" cm="1">
        <f t="array" ref="H7">INDEX('Summarized Source Data'!$Q$1269:$Q$1412,MATCH(1,($A7=LoadFactorSeasons)*(H$1=LoadFactorHours),0),)</f>
        <v>9.8227057076582372E-5</v>
      </c>
      <c r="I7" s="7" cm="1">
        <f t="array" ref="I7">INDEX('Summarized Source Data'!$Q$1269:$Q$1412,MATCH(1,($A7=LoadFactorSeasons)*(I$1=LoadFactorHours),0),)</f>
        <v>2.0592574606560711E-4</v>
      </c>
      <c r="J7" s="7" cm="1">
        <f t="array" ref="J7">INDEX('Summarized Source Data'!$Q$1269:$Q$1412,MATCH(1,($A7=LoadFactorSeasons)*(J$1=LoadFactorHours),0),)</f>
        <v>2.2394424884634775E-4</v>
      </c>
      <c r="K7" s="7" cm="1">
        <f t="array" ref="K7">INDEX('Summarized Source Data'!$Q$1269:$Q$1412,MATCH(1,($A7=LoadFactorSeasons)*(K$1=LoadFactorHours),0),)</f>
        <v>1.9820353058814686E-4</v>
      </c>
      <c r="L7" s="7" cm="1">
        <f t="array" ref="L7">INDEX('Summarized Source Data'!$Q$1269:$Q$1412,MATCH(1,($A7=LoadFactorSeasons)*(L$1=LoadFactorHours),0),)</f>
        <v>1.5959245320084552E-4</v>
      </c>
      <c r="M7" s="7" cm="1">
        <f t="array" ref="M7">INDEX('Summarized Source Data'!$Q$1269:$Q$1412,MATCH(1,($A7=LoadFactorSeasons)*(M$1=LoadFactorHours),0),)</f>
        <v>1.6087948911375558E-4</v>
      </c>
      <c r="N7" s="7" cm="1">
        <f t="array" ref="N7">INDEX('Summarized Source Data'!$Q$1269:$Q$1412,MATCH(1,($A7=LoadFactorSeasons)*(N$1=LoadFactorHours),0),)</f>
        <v>1.6345356093957564E-4</v>
      </c>
      <c r="O7" s="7" cm="1">
        <f t="array" ref="O7">INDEX('Summarized Source Data'!$Q$1269:$Q$1412,MATCH(1,($A7=LoadFactorSeasons)*(O$1=LoadFactorHours),0),)</f>
        <v>1.6216652502666561E-4</v>
      </c>
      <c r="P7" s="7" cm="1">
        <f t="array" ref="P7">INDEX('Summarized Source Data'!$Q$1269:$Q$1412,MATCH(1,($A7=LoadFactorSeasons)*(P$1=LoadFactorHours),0),)</f>
        <v>1.6087948911375558E-4</v>
      </c>
      <c r="Q7" s="7" cm="1">
        <f t="array" ref="Q7">INDEX('Summarized Source Data'!$Q$1269:$Q$1412,MATCH(1,($A7=LoadFactorSeasons)*(Q$1=LoadFactorHours),0),)</f>
        <v>1.9048131511068659E-4</v>
      </c>
      <c r="R7" s="7" cm="1">
        <f t="array" ref="R7">INDEX('Summarized Source Data'!$Q$1269:$Q$1412,MATCH(1,($A7=LoadFactorSeasons)*(R$1=LoadFactorHours),0),)</f>
        <v>2.200831411076176E-4</v>
      </c>
      <c r="S7" s="7" cm="1">
        <f t="array" ref="S7">INDEX('Summarized Source Data'!$Q$1269:$Q$1412,MATCH(1,($A7=LoadFactorSeasons)*(S$1=LoadFactorHours),0),)</f>
        <v>2.31666464323808E-4</v>
      </c>
      <c r="T7" s="7" cm="1">
        <f t="array" ref="T7">INDEX('Summarized Source Data'!$Q$1269:$Q$1412,MATCH(1,($A7=LoadFactorSeasons)*(T$1=LoadFactorHours),0),)</f>
        <v>2.1236092563015735E-4</v>
      </c>
      <c r="U7" s="7" cm="1">
        <f t="array" ref="U7">INDEX('Summarized Source Data'!$Q$1269:$Q$1412,MATCH(1,($A7=LoadFactorSeasons)*(U$1=LoadFactorHours),0),)</f>
        <v>1.7374984824285601E-4</v>
      </c>
      <c r="V7" s="7" cm="1">
        <f t="array" ref="V7">INDEX('Summarized Source Data'!$Q$1269:$Q$1412,MATCH(1,($A7=LoadFactorSeasons)*(V$1=LoadFactorHours),0),)</f>
        <v>1.5959245320084552E-4</v>
      </c>
      <c r="W7" s="7" cm="1">
        <f t="array" ref="W7">INDEX('Summarized Source Data'!$Q$1269:$Q$1412,MATCH(1,($A7=LoadFactorSeasons)*(W$1=LoadFactorHours),0),)</f>
        <v>1.5058320181047521E-4</v>
      </c>
      <c r="X7" s="7" cm="1">
        <f t="array" ref="X7">INDEX('Summarized Source Data'!$Q$1269:$Q$1412,MATCH(1,($A7=LoadFactorSeasons)*(X$1=LoadFactorHours),0),)</f>
        <v>1.4286098633301493E-4</v>
      </c>
      <c r="Y7" s="7" cm="1">
        <f t="array" ref="Y7">INDEX('Summarized Source Data'!$Q$1269:$Q$1412,MATCH(1,($A7=LoadFactorSeasons)*(Y$1=LoadFactorHours),0),)</f>
        <v>9.5911627987820691E-5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DA11-196B-42D0-91D7-8209AB2A2FAE}">
  <sheetPr codeName="Sheet23">
    <tabColor rgb="FF002060"/>
  </sheetPr>
  <dimension ref="A1:Y15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25" width="10.4414062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 cm="1">
        <f t="array" ref="B2">INDEX('Summarized Source Data'!$R$1269:$R$1412,MATCH(1,($A2=LoadFactorSeasons)*(B$1=LoadFactorHours),0),)</f>
        <v>5.5684609886809198E-5</v>
      </c>
      <c r="C2" s="7" cm="1">
        <f t="array" ref="C2">INDEX('Summarized Source Data'!$R$1269:$R$1412,MATCH(1,($A2=LoadFactorSeasons)*(C$1=LoadFactorHours),0),)</f>
        <v>5.458743015728071E-5</v>
      </c>
      <c r="D2" s="7" cm="1">
        <f t="array" ref="D2">INDEX('Summarized Source Data'!$R$1269:$R$1412,MATCH(1,($A2=LoadFactorSeasons)*(D$1=LoadFactorHours),0),)</f>
        <v>5.4298113707815903E-5</v>
      </c>
      <c r="E2" s="7" cm="1">
        <f t="array" ref="E2">INDEX('Summarized Source Data'!$R$1269:$R$1412,MATCH(1,($A2=LoadFactorSeasons)*(E$1=LoadFactorHours),0),)</f>
        <v>5.4445534478526085E-5</v>
      </c>
      <c r="F2" s="7" cm="1">
        <f t="array" ref="F2">INDEX('Summarized Source Data'!$R$1269:$R$1412,MATCH(1,($A2=LoadFactorSeasons)*(F$1=LoadFactorHours),0),)</f>
        <v>5.4241838981835276E-5</v>
      </c>
      <c r="G2" s="7" cm="1">
        <f t="array" ref="G2">INDEX('Summarized Source Data'!$R$1269:$R$1412,MATCH(1,($A2=LoadFactorSeasons)*(G$1=LoadFactorHours),0),)</f>
        <v>5.5531021517429502E-5</v>
      </c>
      <c r="H2" s="7" cm="1">
        <f t="array" ref="H2">INDEX('Summarized Source Data'!$R$1269:$R$1412,MATCH(1,($A2=LoadFactorSeasons)*(H$1=LoadFactorHours),0),)</f>
        <v>8.079258693862213E-5</v>
      </c>
      <c r="I2" s="7" cm="1">
        <f t="array" ref="I2">INDEX('Summarized Source Data'!$R$1269:$R$1412,MATCH(1,($A2=LoadFactorSeasons)*(I$1=LoadFactorHours),0),)</f>
        <v>1.6010652237221599E-4</v>
      </c>
      <c r="J2" s="7" cm="1">
        <f t="array" ref="J2">INDEX('Summarized Source Data'!$R$1269:$R$1412,MATCH(1,($A2=LoadFactorSeasons)*(J$1=LoadFactorHours),0),)</f>
        <v>1.7592663270557914E-4</v>
      </c>
      <c r="K2" s="7" cm="1">
        <f t="array" ref="K2">INDEX('Summarized Source Data'!$R$1269:$R$1412,MATCH(1,($A2=LoadFactorSeasons)*(K$1=LoadFactorHours),0),)</f>
        <v>1.6064357212139827E-4</v>
      </c>
      <c r="L2" s="7" cm="1">
        <f t="array" ref="L2">INDEX('Summarized Source Data'!$R$1269:$R$1412,MATCH(1,($A2=LoadFactorSeasons)*(L$1=LoadFactorHours),0),)</f>
        <v>1.3427205647940612E-4</v>
      </c>
      <c r="M2" s="7" cm="1">
        <f t="array" ref="M2">INDEX('Summarized Source Data'!$R$1269:$R$1412,MATCH(1,($A2=LoadFactorSeasons)*(M$1=LoadFactorHours),0),)</f>
        <v>1.3562136899577067E-4</v>
      </c>
      <c r="N2" s="7" cm="1">
        <f t="array" ref="N2">INDEX('Summarized Source Data'!$R$1269:$R$1412,MATCH(1,($A2=LoadFactorSeasons)*(N$1=LoadFactorHours),0),)</f>
        <v>1.3696272144016357E-4</v>
      </c>
      <c r="O2" s="7" cm="1">
        <f t="array" ref="O2">INDEX('Summarized Source Data'!$R$1269:$R$1412,MATCH(1,($A2=LoadFactorSeasons)*(O$1=LoadFactorHours),0),)</f>
        <v>1.3521606851643619E-4</v>
      </c>
      <c r="P2" s="7" cm="1">
        <f t="array" ref="P2">INDEX('Summarized Source Data'!$R$1269:$R$1412,MATCH(1,($A2=LoadFactorSeasons)*(P$1=LoadFactorHours),0),)</f>
        <v>1.3380088577784232E-4</v>
      </c>
      <c r="Q2" s="7" cm="1">
        <f t="array" ref="Q2">INDEX('Summarized Source Data'!$R$1269:$R$1412,MATCH(1,($A2=LoadFactorSeasons)*(Q$1=LoadFactorHours),0),)</f>
        <v>1.5479495892900712E-4</v>
      </c>
      <c r="R2" s="7" cm="1">
        <f t="array" ref="R2">INDEX('Summarized Source Data'!$R$1269:$R$1412,MATCH(1,($A2=LoadFactorSeasons)*(R$1=LoadFactorHours),0),)</f>
        <v>1.782426750056659E-4</v>
      </c>
      <c r="S2" s="7" cm="1">
        <f t="array" ref="S2">INDEX('Summarized Source Data'!$R$1269:$R$1412,MATCH(1,($A2=LoadFactorSeasons)*(S$1=LoadFactorHours),0),)</f>
        <v>1.8653800938312401E-4</v>
      </c>
      <c r="T2" s="7" cm="1">
        <f t="array" ref="T2">INDEX('Summarized Source Data'!$R$1269:$R$1412,MATCH(1,($A2=LoadFactorSeasons)*(T$1=LoadFactorHours),0),)</f>
        <v>1.7327943673926227E-4</v>
      </c>
      <c r="U2" s="7" cm="1">
        <f t="array" ref="U2">INDEX('Summarized Source Data'!$R$1269:$R$1412,MATCH(1,($A2=LoadFactorSeasons)*(U$1=LoadFactorHours),0),)</f>
        <v>1.4520486084600582E-4</v>
      </c>
      <c r="V2" s="7" cm="1">
        <f t="array" ref="V2">INDEX('Summarized Source Data'!$R$1269:$R$1412,MATCH(1,($A2=LoadFactorSeasons)*(V$1=LoadFactorHours),0),)</f>
        <v>1.3442494589635399E-4</v>
      </c>
      <c r="W2" s="7" cm="1">
        <f t="array" ref="W2">INDEX('Summarized Source Data'!$R$1269:$R$1412,MATCH(1,($A2=LoadFactorSeasons)*(W$1=LoadFactorHours),0),)</f>
        <v>1.2723614796886746E-4</v>
      </c>
      <c r="X2" s="7" cm="1">
        <f t="array" ref="X2">INDEX('Summarized Source Data'!$R$1269:$R$1412,MATCH(1,($A2=LoadFactorSeasons)*(X$1=LoadFactorHours),0),)</f>
        <v>1.2122440754042808E-4</v>
      </c>
      <c r="Y2" s="7" cm="1">
        <f t="array" ref="Y2">INDEX('Summarized Source Data'!$R$1269:$R$1412,MATCH(1,($A2=LoadFactorSeasons)*(Y$1=LoadFactorHours),0),)</f>
        <v>8.1507095068742867E-5</v>
      </c>
    </row>
    <row r="3" spans="1:25" x14ac:dyDescent="0.3">
      <c r="A3" s="7" t="s">
        <v>162</v>
      </c>
      <c r="B3" s="7" cm="1">
        <f t="array" ref="B3">INDEX('Summarized Source Data'!$R$1269:$R$1412,MATCH(1,($A3=LoadFactorSeasons)*(B$1=LoadFactorHours),0),)</f>
        <v>5.2078455164350287E-5</v>
      </c>
      <c r="C3" s="7" cm="1">
        <f t="array" ref="C3">INDEX('Summarized Source Data'!$R$1269:$R$1412,MATCH(1,($A3=LoadFactorSeasons)*(C$1=LoadFactorHours),0),)</f>
        <v>5.09812754348218E-5</v>
      </c>
      <c r="D3" s="7" cm="1">
        <f t="array" ref="D3">INDEX('Summarized Source Data'!$R$1269:$R$1412,MATCH(1,($A3=LoadFactorSeasons)*(D$1=LoadFactorHours),0),)</f>
        <v>5.0691958355162392E-5</v>
      </c>
      <c r="E3" s="7" cm="1">
        <f t="array" ref="E3">INDEX('Summarized Source Data'!$R$1269:$R$1412,MATCH(1,($A3=LoadFactorSeasons)*(E$1=LoadFactorHours),0),)</f>
        <v>5.0839372930513367E-5</v>
      </c>
      <c r="F3" s="7" cm="1">
        <f t="array" ref="F3">INDEX('Summarized Source Data'!$R$1269:$R$1412,MATCH(1,($A3=LoadFactorSeasons)*(F$1=LoadFactorHours),0),)</f>
        <v>5.0635677433822572E-5</v>
      </c>
      <c r="G3" s="7" cm="1">
        <f t="array" ref="G3">INDEX('Summarized Source Data'!$R$1269:$R$1412,MATCH(1,($A3=LoadFactorSeasons)*(G$1=LoadFactorHours),0),)</f>
        <v>5.1924861457635328E-5</v>
      </c>
      <c r="H3" s="7" cm="1">
        <f t="array" ref="H3">INDEX('Summarized Source Data'!$R$1269:$R$1412,MATCH(1,($A3=LoadFactorSeasons)*(H$1=LoadFactorHours),0),)</f>
        <v>7.5739224121645993E-5</v>
      </c>
      <c r="I3" s="7" cm="1">
        <f t="array" ref="I3">INDEX('Summarized Source Data'!$R$1269:$R$1412,MATCH(1,($A3=LoadFactorSeasons)*(I$1=LoadFactorHours),0),)</f>
        <v>1.5095831346352033E-4</v>
      </c>
      <c r="J3" s="7" cm="1">
        <f t="array" ref="J3">INDEX('Summarized Source Data'!$R$1269:$R$1412,MATCH(1,($A3=LoadFactorSeasons)*(J$1=LoadFactorHours),0),)</f>
        <v>1.6603145398301519E-4</v>
      </c>
      <c r="K3" s="7" cm="1">
        <f t="array" ref="K3">INDEX('Summarized Source Data'!$R$1269:$R$1412,MATCH(1,($A3=LoadFactorSeasons)*(K$1=LoadFactorHours),0),)</f>
        <v>1.5150411285855714E-4</v>
      </c>
      <c r="L3" s="7" cm="1">
        <f t="array" ref="L3">INDEX('Summarized Source Data'!$R$1269:$R$1412,MATCH(1,($A3=LoadFactorSeasons)*(L$1=LoadFactorHours),0),)</f>
        <v>1.2723552454385988E-4</v>
      </c>
      <c r="M3" s="7" cm="1">
        <f t="array" ref="M3">INDEX('Summarized Source Data'!$R$1269:$R$1412,MATCH(1,($A3=LoadFactorSeasons)*(M$1=LoadFactorHours),0),)</f>
        <v>1.2790301446350422E-4</v>
      </c>
      <c r="N3" s="7" cm="1">
        <f t="array" ref="N3">INDEX('Summarized Source Data'!$R$1269:$R$1412,MATCH(1,($A3=LoadFactorSeasons)*(N$1=LoadFactorHours),0),)</f>
        <v>1.2928983179259849E-4</v>
      </c>
      <c r="O3" s="7" cm="1">
        <f t="array" ref="O3">INDEX('Summarized Source Data'!$R$1269:$R$1412,MATCH(1,($A3=LoadFactorSeasons)*(O$1=LoadFactorHours),0),)</f>
        <v>1.2831631171265426E-4</v>
      </c>
      <c r="P3" s="7" cm="1">
        <f t="array" ref="P3">INDEX('Summarized Source Data'!$R$1269:$R$1412,MATCH(1,($A3=LoadFactorSeasons)*(P$1=LoadFactorHours),0),)</f>
        <v>1.2621930732729526E-4</v>
      </c>
      <c r="Q3" s="7" cm="1">
        <f t="array" ref="Q3">INDEX('Summarized Source Data'!$R$1269:$R$1412,MATCH(1,($A3=LoadFactorSeasons)*(Q$1=LoadFactorHours),0),)</f>
        <v>1.4574681387026478E-4</v>
      </c>
      <c r="R3" s="7" cm="1">
        <f t="array" ref="R3">INDEX('Summarized Source Data'!$R$1269:$R$1412,MATCH(1,($A3=LoadFactorSeasons)*(R$1=LoadFactorHours),0),)</f>
        <v>1.6812723520461621E-4</v>
      </c>
      <c r="S3" s="7" cm="1">
        <f t="array" ref="S3">INDEX('Summarized Source Data'!$R$1269:$R$1412,MATCH(1,($A3=LoadFactorSeasons)*(S$1=LoadFactorHours),0),)</f>
        <v>1.7642257025223898E-4</v>
      </c>
      <c r="T3" s="7" cm="1">
        <f t="array" ref="T3">INDEX('Summarized Source Data'!$R$1269:$R$1412,MATCH(1,($A3=LoadFactorSeasons)*(T$1=LoadFactorHours),0),)</f>
        <v>1.6432079707422102E-4</v>
      </c>
      <c r="U3" s="7" cm="1">
        <f t="array" ref="U3">INDEX('Summarized Source Data'!$R$1269:$R$1412,MATCH(1,($A3=LoadFactorSeasons)*(U$1=LoadFactorHours),0),)</f>
        <v>1.3746530866304716E-4</v>
      </c>
      <c r="V3" s="7" cm="1">
        <f t="array" ref="V3">INDEX('Summarized Source Data'!$R$1269:$R$1412,MATCH(1,($A3=LoadFactorSeasons)*(V$1=LoadFactorHours),0),)</f>
        <v>1.2699516167380065E-4</v>
      </c>
      <c r="W3" s="7" cm="1">
        <f t="array" ref="W3">INDEX('Summarized Source Data'!$R$1269:$R$1412,MATCH(1,($A3=LoadFactorSeasons)*(W$1=LoadFactorHours),0),)</f>
        <v>1.1919682034035524E-4</v>
      </c>
      <c r="X3" s="7" cm="1">
        <f t="array" ref="X3">INDEX('Summarized Source Data'!$R$1269:$R$1412,MATCH(1,($A3=LoadFactorSeasons)*(X$1=LoadFactorHours),0),)</f>
        <v>1.1339335689272908E-4</v>
      </c>
      <c r="Y3" s="7" cm="1">
        <f t="array" ref="Y3">INDEX('Summarized Source Data'!$R$1269:$R$1412,MATCH(1,($A3=LoadFactorSeasons)*(Y$1=LoadFactorHours),0),)</f>
        <v>7.6316305843857462E-5</v>
      </c>
    </row>
    <row r="4" spans="1:25" x14ac:dyDescent="0.3">
      <c r="A4" s="7" t="s">
        <v>163</v>
      </c>
      <c r="B4" s="7" cm="1">
        <f t="array" ref="B4">INDEX('Summarized Source Data'!$R$1269:$R$1412,MATCH(1,($A4=LoadFactorSeasons)*(B$1=LoadFactorHours),0),)</f>
        <v>4.8629018732723561E-5</v>
      </c>
      <c r="C4" s="7" cm="1">
        <f t="array" ref="C4">INDEX('Summarized Source Data'!$R$1269:$R$1412,MATCH(1,($A4=LoadFactorSeasons)*(C$1=LoadFactorHours),0),)</f>
        <v>4.7531839003195081E-5</v>
      </c>
      <c r="D4" s="7" cm="1">
        <f t="array" ref="D4">INDEX('Summarized Source Data'!$R$1269:$R$1412,MATCH(1,($A4=LoadFactorSeasons)*(D$1=LoadFactorHours),0),)</f>
        <v>4.7242521923535687E-5</v>
      </c>
      <c r="E4" s="7" cm="1">
        <f t="array" ref="E4">INDEX('Summarized Source Data'!$R$1269:$R$1412,MATCH(1,($A4=LoadFactorSeasons)*(E$1=LoadFactorHours),0),)</f>
        <v>4.7389942694245862E-5</v>
      </c>
      <c r="F4" s="7" cm="1">
        <f t="array" ref="F4">INDEX('Summarized Source Data'!$R$1269:$R$1412,MATCH(1,($A4=LoadFactorSeasons)*(F$1=LoadFactorHours),0),)</f>
        <v>4.7186244099875457E-5</v>
      </c>
      <c r="G4" s="7" cm="1">
        <f t="array" ref="G4">INDEX('Summarized Source Data'!$R$1269:$R$1412,MATCH(1,($A4=LoadFactorSeasons)*(G$1=LoadFactorHours),0),)</f>
        <v>4.84754281236882E-5</v>
      </c>
      <c r="H4" s="7" cm="1">
        <f t="array" ref="H4">INDEX('Summarized Source Data'!$R$1269:$R$1412,MATCH(1,($A4=LoadFactorSeasons)*(H$1=LoadFactorHours),0),)</f>
        <v>7.0905472146898401E-5</v>
      </c>
      <c r="I4" s="7" cm="1">
        <f t="array" ref="I4">INDEX('Summarized Source Data'!$R$1269:$R$1412,MATCH(1,($A4=LoadFactorSeasons)*(I$1=LoadFactorHours),0),)</f>
        <v>1.4143893335808025E-4</v>
      </c>
      <c r="J4" s="7" cm="1">
        <f t="array" ref="J4">INDEX('Summarized Source Data'!$R$1269:$R$1412,MATCH(1,($A4=LoadFactorSeasons)*(J$1=LoadFactorHours),0),)</f>
        <v>1.5699016135395225E-4</v>
      </c>
      <c r="K4" s="7" cm="1">
        <f t="array" ref="K4">INDEX('Summarized Source Data'!$R$1269:$R$1412,MATCH(1,($A4=LoadFactorSeasons)*(K$1=LoadFactorHours),0),)</f>
        <v>1.4299501321675791E-4</v>
      </c>
      <c r="L4" s="7" cm="1">
        <f t="array" ref="L4">INDEX('Summarized Source Data'!$R$1269:$R$1412,MATCH(1,($A4=LoadFactorSeasons)*(L$1=LoadFactorHours),0),)</f>
        <v>1.1929248084341459E-4</v>
      </c>
      <c r="M4" s="7" cm="1">
        <f t="array" ref="M4">INDEX('Summarized Source Data'!$R$1269:$R$1412,MATCH(1,($A4=LoadFactorSeasons)*(M$1=LoadFactorHours),0),)</f>
        <v>1.2056951416901789E-4</v>
      </c>
      <c r="N4" s="7" cm="1">
        <f t="array" ref="N4">INDEX('Summarized Source Data'!$R$1269:$R$1412,MATCH(1,($A4=LoadFactorSeasons)*(N$1=LoadFactorHours),0),)</f>
        <v>1.2230958572402077E-4</v>
      </c>
      <c r="O4" s="7" cm="1">
        <f t="array" ref="O4">INDEX('Summarized Source Data'!$R$1269:$R$1412,MATCH(1,($A4=LoadFactorSeasons)*(O$1=LoadFactorHours),0),)</f>
        <v>1.2050409960946279E-4</v>
      </c>
      <c r="P4" s="7" cm="1">
        <f t="array" ref="P4">INDEX('Summarized Source Data'!$R$1269:$R$1412,MATCH(1,($A4=LoadFactorSeasons)*(P$1=LoadFactorHours),0),)</f>
        <v>1.1901663743096097E-4</v>
      </c>
      <c r="Q4" s="7" cm="1">
        <f t="array" ref="Q4">INDEX('Summarized Source Data'!$R$1269:$R$1412,MATCH(1,($A4=LoadFactorSeasons)*(Q$1=LoadFactorHours),0),)</f>
        <v>1.3701529044067906E-4</v>
      </c>
      <c r="R4" s="7" cm="1">
        <f t="array" ref="R4">INDEX('Summarized Source Data'!$R$1269:$R$1412,MATCH(1,($A4=LoadFactorSeasons)*(R$1=LoadFactorHours),0),)</f>
        <v>1.5887525635544224E-4</v>
      </c>
      <c r="S4" s="7" cm="1">
        <f t="array" ref="S4">INDEX('Summarized Source Data'!$R$1269:$R$1412,MATCH(1,($A4=LoadFactorSeasons)*(S$1=LoadFactorHours),0),)</f>
        <v>1.6717058892492132E-4</v>
      </c>
      <c r="T4" s="7" cm="1">
        <f t="array" ref="T4">INDEX('Summarized Source Data'!$R$1269:$R$1412,MATCH(1,($A4=LoadFactorSeasons)*(T$1=LoadFactorHours),0),)</f>
        <v>1.5598812959141133E-4</v>
      </c>
      <c r="U4" s="7" cm="1">
        <f t="array" ref="U4">INDEX('Summarized Source Data'!$R$1269:$R$1412,MATCH(1,($A4=LoadFactorSeasons)*(U$1=LoadFactorHours),0),)</f>
        <v>1.3006194258330993E-4</v>
      </c>
      <c r="V4" s="7" cm="1">
        <f t="array" ref="V4">INDEX('Summarized Source Data'!$R$1269:$R$1412,MATCH(1,($A4=LoadFactorSeasons)*(V$1=LoadFactorHours),0),)</f>
        <v>1.1928202763365806E-4</v>
      </c>
      <c r="W4" s="7" cm="1">
        <f t="array" ref="W4">INDEX('Summarized Source Data'!$R$1269:$R$1412,MATCH(1,($A4=LoadFactorSeasons)*(W$1=LoadFactorHours),0),)</f>
        <v>1.1198622346192916E-4</v>
      </c>
      <c r="X4" s="7" cm="1">
        <f t="array" ref="X4">INDEX('Summarized Source Data'!$R$1269:$R$1412,MATCH(1,($A4=LoadFactorSeasons)*(X$1=LoadFactorHours),0),)</f>
        <v>1.0598756181249664E-4</v>
      </c>
      <c r="Y4" s="7" cm="1">
        <f t="array" ref="Y4">INDEX('Summarized Source Data'!$R$1269:$R$1412,MATCH(1,($A4=LoadFactorSeasons)*(Y$1=LoadFactorHours),0),)</f>
        <v>7.1351099138629829E-5</v>
      </c>
    </row>
    <row r="5" spans="1:25" x14ac:dyDescent="0.3">
      <c r="A5" s="7" t="s">
        <v>164</v>
      </c>
      <c r="B5" s="7" cm="1">
        <f t="array" ref="B5">INDEX('Summarized Source Data'!$R$1269:$R$1412,MATCH(1,($A5=LoadFactorSeasons)*(B$1=LoadFactorHours),0),)</f>
        <v>5.3002506678019106E-5</v>
      </c>
      <c r="C5" s="7" cm="1">
        <f t="array" ref="C5">INDEX('Summarized Source Data'!$R$1269:$R$1412,MATCH(1,($A5=LoadFactorSeasons)*(C$1=LoadFactorHours),0),)</f>
        <v>5.1905326948490632E-5</v>
      </c>
      <c r="D5" s="7" cm="1">
        <f t="array" ref="D5">INDEX('Summarized Source Data'!$R$1269:$R$1412,MATCH(1,($A5=LoadFactorSeasons)*(D$1=LoadFactorHours),0),)</f>
        <v>5.1616008629759378E-5</v>
      </c>
      <c r="E5" s="7" cm="1">
        <f t="array" ref="E5">INDEX('Summarized Source Data'!$R$1269:$R$1412,MATCH(1,($A5=LoadFactorSeasons)*(E$1=LoadFactorHours),0),)</f>
        <v>5.1763429400469567E-5</v>
      </c>
      <c r="F5" s="7" cm="1">
        <f t="array" ref="F5">INDEX('Summarized Source Data'!$R$1269:$R$1412,MATCH(1,($A5=LoadFactorSeasons)*(F$1=LoadFactorHours),0),)</f>
        <v>5.1559733903778758E-5</v>
      </c>
      <c r="G5" s="7" cm="1">
        <f t="array" ref="G5">INDEX('Summarized Source Data'!$R$1269:$R$1412,MATCH(1,($A5=LoadFactorSeasons)*(G$1=LoadFactorHours),0),)</f>
        <v>5.2848919166663355E-5</v>
      </c>
      <c r="H5" s="7" cm="1">
        <f t="array" ref="H5">INDEX('Summarized Source Data'!$R$1269:$R$1412,MATCH(1,($A5=LoadFactorSeasons)*(H$1=LoadFactorHours),0),)</f>
        <v>7.7034113854402734E-5</v>
      </c>
      <c r="I5" s="7" cm="1">
        <f t="array" ref="I5">INDEX('Summarized Source Data'!$R$1269:$R$1412,MATCH(1,($A5=LoadFactorSeasons)*(I$1=LoadFactorHours),0),)</f>
        <v>1.5295048542546128E-4</v>
      </c>
      <c r="J5" s="7" cm="1">
        <f t="array" ref="J5">INDEX('Summarized Source Data'!$R$1269:$R$1412,MATCH(1,($A5=LoadFactorSeasons)*(J$1=LoadFactorHours),0),)</f>
        <v>1.6866838366126199E-4</v>
      </c>
      <c r="K5" s="7" cm="1">
        <f t="array" ref="K5">INDEX('Summarized Source Data'!$R$1269:$R$1412,MATCH(1,($A5=LoadFactorSeasons)*(K$1=LoadFactorHours),0),)</f>
        <v>1.540070187523787E-4</v>
      </c>
      <c r="L5" s="7" cm="1">
        <f t="array" ref="L5">INDEX('Summarized Source Data'!$R$1269:$R$1412,MATCH(1,($A5=LoadFactorSeasons)*(L$1=LoadFactorHours),0),)</f>
        <v>1.2897312168877624E-4</v>
      </c>
      <c r="M5" s="7" cm="1">
        <f t="array" ref="M5">INDEX('Summarized Source Data'!$R$1269:$R$1412,MATCH(1,($A5=LoadFactorSeasons)*(M$1=LoadFactorHours),0),)</f>
        <v>1.2964061160842061E-4</v>
      </c>
      <c r="N5" s="7" cm="1">
        <f t="array" ref="N5">INDEX('Summarized Source Data'!$R$1269:$R$1412,MATCH(1,($A5=LoadFactorSeasons)*(N$1=LoadFactorHours),0),)</f>
        <v>1.3148296728784106E-4</v>
      </c>
      <c r="O5" s="7" cm="1">
        <f t="array" ref="O5">INDEX('Summarized Source Data'!$R$1269:$R$1412,MATCH(1,($A5=LoadFactorSeasons)*(O$1=LoadFactorHours),0),)</f>
        <v>1.3001886121516372E-4</v>
      </c>
      <c r="P5" s="7" cm="1">
        <f t="array" ref="P5">INDEX('Summarized Source Data'!$R$1269:$R$1412,MATCH(1,($A5=LoadFactorSeasons)*(P$1=LoadFactorHours),0),)</f>
        <v>1.2792185496104065E-4</v>
      </c>
      <c r="Q5" s="7" cm="1">
        <f t="array" ref="Q5">INDEX('Summarized Source Data'!$R$1269:$R$1412,MATCH(1,($A5=LoadFactorSeasons)*(Q$1=LoadFactorHours),0),)</f>
        <v>1.4822632172573806E-4</v>
      </c>
      <c r="R5" s="7" cm="1">
        <f t="array" ref="R5">INDEX('Summarized Source Data'!$R$1269:$R$1412,MATCH(1,($A5=LoadFactorSeasons)*(R$1=LoadFactorHours),0),)</f>
        <v>1.7082060568509569E-4</v>
      </c>
      <c r="S5" s="7" cm="1">
        <f t="array" ref="S5">INDEX('Summarized Source Data'!$R$1269:$R$1412,MATCH(1,($A5=LoadFactorSeasons)*(S$1=LoadFactorHours),0),)</f>
        <v>1.7911594012333889E-4</v>
      </c>
      <c r="T5" s="7" cm="1">
        <f t="array" ref="T5">INDEX('Summarized Source Data'!$R$1269:$R$1412,MATCH(1,($A5=LoadFactorSeasons)*(T$1=LoadFactorHours),0),)</f>
        <v>1.6654697653244982E-4</v>
      </c>
      <c r="U5" s="7" cm="1">
        <f t="array" ref="U5">INDEX('Summarized Source Data'!$R$1269:$R$1412,MATCH(1,($A5=LoadFactorSeasons)*(U$1=LoadFactorHours),0),)</f>
        <v>1.3939171206634276E-4</v>
      </c>
      <c r="V5" s="7" cm="1">
        <f t="array" ref="V5">INDEX('Summarized Source Data'!$R$1269:$R$1412,MATCH(1,($A5=LoadFactorSeasons)*(V$1=LoadFactorHours),0),)</f>
        <v>1.2906391746080455E-4</v>
      </c>
      <c r="W5" s="7" cm="1">
        <f t="array" ref="W5">INDEX('Summarized Source Data'!$R$1269:$R$1412,MATCH(1,($A5=LoadFactorSeasons)*(W$1=LoadFactorHours),0),)</f>
        <v>1.2142299918920443E-4</v>
      </c>
      <c r="X5" s="7" cm="1">
        <f t="array" ref="X5">INDEX('Summarized Source Data'!$R$1269:$R$1412,MATCH(1,($A5=LoadFactorSeasons)*(X$1=LoadFactorHours),0),)</f>
        <v>1.1518155644737337E-4</v>
      </c>
      <c r="Y5" s="7" cm="1">
        <f t="array" ref="Y5">INDEX('Summarized Source Data'!$R$1269:$R$1412,MATCH(1,($A5=LoadFactorSeasons)*(Y$1=LoadFactorHours),0),)</f>
        <v>7.7646409886961064E-5</v>
      </c>
    </row>
    <row r="6" spans="1:25" x14ac:dyDescent="0.3">
      <c r="A6" s="7" t="s">
        <v>167</v>
      </c>
      <c r="B6" s="7" cm="1">
        <f t="array" ref="B6">INDEX('Summarized Source Data'!$R$1269:$R$1412,MATCH(1,($A6=LoadFactorSeasons)*(B$1=LoadFactorHours),0),)</f>
        <v>5.6547994961522594E-5</v>
      </c>
      <c r="C6" s="7" cm="1">
        <f t="array" ref="C6">INDEX('Summarized Source Data'!$R$1269:$R$1412,MATCH(1,($A6=LoadFactorSeasons)*(C$1=LoadFactorHours),0),)</f>
        <v>5.5675127205386996E-5</v>
      </c>
      <c r="D6" s="7" cm="1">
        <f t="array" ref="D6">INDEX('Summarized Source Data'!$R$1269:$R$1412,MATCH(1,($A6=LoadFactorSeasons)*(D$1=LoadFactorHours),0),)</f>
        <v>5.5450951290076327E-5</v>
      </c>
      <c r="E6" s="7" cm="1">
        <f t="array" ref="E6">INDEX('Summarized Source Data'!$R$1269:$R$1412,MATCH(1,($A6=LoadFactorSeasons)*(E$1=LoadFactorHours),0),)</f>
        <v>5.5657340369070581E-5</v>
      </c>
      <c r="F6" s="7" cm="1">
        <f t="array" ref="F6">INDEX('Summarized Source Data'!$R$1269:$R$1412,MATCH(1,($A6=LoadFactorSeasons)*(F$1=LoadFactorHours),0),)</f>
        <v>5.5432456584007812E-5</v>
      </c>
      <c r="G6" s="7" cm="1">
        <f t="array" ref="G6">INDEX('Summarized Source Data'!$R$1269:$R$1412,MATCH(1,($A6=LoadFactorSeasons)*(G$1=LoadFactorHours),0),)</f>
        <v>5.7146878512517891E-5</v>
      </c>
      <c r="H6" s="7" cm="1">
        <f t="array" ref="H6">INDEX('Summarized Source Data'!$R$1269:$R$1412,MATCH(1,($A6=LoadFactorSeasons)*(H$1=LoadFactorHours),0),)</f>
        <v>8.6111711825072345E-5</v>
      </c>
      <c r="I6" s="7" cm="1">
        <f t="array" ref="I6">INDEX('Summarized Source Data'!$R$1269:$R$1412,MATCH(1,($A6=LoadFactorSeasons)*(I$1=LoadFactorHours),0),)</f>
        <v>1.8147206372031628E-4</v>
      </c>
      <c r="J6" s="7" cm="1">
        <f t="array" ref="J6">INDEX('Summarized Source Data'!$R$1269:$R$1412,MATCH(1,($A6=LoadFactorSeasons)*(J$1=LoadFactorHours),0),)</f>
        <v>1.994905665010569E-4</v>
      </c>
      <c r="K6" s="7" cm="1">
        <f t="array" ref="K6">INDEX('Summarized Source Data'!$R$1269:$R$1412,MATCH(1,($A6=LoadFactorSeasons)*(K$1=LoadFactorHours),0),)</f>
        <v>1.763239200686761E-4</v>
      </c>
      <c r="L6" s="7" cm="1">
        <f t="array" ref="L6">INDEX('Summarized Source Data'!$R$1269:$R$1412,MATCH(1,($A6=LoadFactorSeasons)*(L$1=LoadFactorHours),0),)</f>
        <v>1.415739504201049E-4</v>
      </c>
      <c r="M6" s="7" cm="1">
        <f t="array" ref="M6">INDEX('Summarized Source Data'!$R$1269:$R$1412,MATCH(1,($A6=LoadFactorSeasons)*(M$1=LoadFactorHours),0),)</f>
        <v>1.4286098633301493E-4</v>
      </c>
      <c r="N6" s="7" cm="1">
        <f t="array" ref="N6">INDEX('Summarized Source Data'!$R$1269:$R$1412,MATCH(1,($A6=LoadFactorSeasons)*(N$1=LoadFactorHours),0),)</f>
        <v>1.4543505815883503E-4</v>
      </c>
      <c r="O6" s="7" cm="1">
        <f t="array" ref="O6">INDEX('Summarized Source Data'!$R$1269:$R$1412,MATCH(1,($A6=LoadFactorSeasons)*(O$1=LoadFactorHours),0),)</f>
        <v>1.4414802224592499E-4</v>
      </c>
      <c r="P6" s="7" cm="1">
        <f t="array" ref="P6">INDEX('Summarized Source Data'!$R$1269:$R$1412,MATCH(1,($A6=LoadFactorSeasons)*(P$1=LoadFactorHours),0),)</f>
        <v>1.4286098633301493E-4</v>
      </c>
      <c r="Q6" s="7" cm="1">
        <f t="array" ref="Q6">INDEX('Summarized Source Data'!$R$1269:$R$1412,MATCH(1,($A6=LoadFactorSeasons)*(Q$1=LoadFactorHours),0),)</f>
        <v>1.6860170459121582E-4</v>
      </c>
      <c r="R6" s="7" cm="1">
        <f t="array" ref="R6">INDEX('Summarized Source Data'!$R$1269:$R$1412,MATCH(1,($A6=LoadFactorSeasons)*(R$1=LoadFactorHours),0),)</f>
        <v>1.9562945876232677E-4</v>
      </c>
      <c r="S6" s="7" cm="1">
        <f t="array" ref="S6">INDEX('Summarized Source Data'!$R$1269:$R$1412,MATCH(1,($A6=LoadFactorSeasons)*(S$1=LoadFactorHours),0),)</f>
        <v>2.0721278197851717E-4</v>
      </c>
      <c r="T6" s="7" cm="1">
        <f t="array" ref="T6">INDEX('Summarized Source Data'!$R$1269:$R$1412,MATCH(1,($A6=LoadFactorSeasons)*(T$1=LoadFactorHours),0),)</f>
        <v>1.9176835102359662E-4</v>
      </c>
      <c r="U6" s="7" cm="1">
        <f t="array" ref="U6">INDEX('Summarized Source Data'!$R$1269:$R$1412,MATCH(1,($A6=LoadFactorSeasons)*(U$1=LoadFactorHours),0),)</f>
        <v>1.5573134546211539E-4</v>
      </c>
      <c r="V6" s="7" cm="1">
        <f t="array" ref="V6">INDEX('Summarized Source Data'!$R$1269:$R$1412,MATCH(1,($A6=LoadFactorSeasons)*(V$1=LoadFactorHours),0),)</f>
        <v>1.415739504201049E-4</v>
      </c>
      <c r="W6" s="7" cm="1">
        <f t="array" ref="W6">INDEX('Summarized Source Data'!$R$1269:$R$1412,MATCH(1,($A6=LoadFactorSeasons)*(W$1=LoadFactorHours),0),)</f>
        <v>1.325646990297346E-4</v>
      </c>
      <c r="X6" s="7" cm="1">
        <f t="array" ref="X6">INDEX('Summarized Source Data'!$R$1269:$R$1412,MATCH(1,($A6=LoadFactorSeasons)*(X$1=LoadFactorHours),0),)</f>
        <v>1.244397828854839E-4</v>
      </c>
      <c r="Y6" s="7" cm="1">
        <f t="array" ref="Y6">INDEX('Summarized Source Data'!$R$1269:$R$1412,MATCH(1,($A6=LoadFactorSeasons)*(Y$1=LoadFactorHours),0),)</f>
        <v>8.3796282736310664E-5</v>
      </c>
    </row>
    <row r="7" spans="1:25" x14ac:dyDescent="0.3">
      <c r="A7" s="7" t="s">
        <v>166</v>
      </c>
      <c r="B7" s="7" cm="1">
        <f t="array" ref="B7">INDEX('Summarized Source Data'!$R$1269:$R$1412,MATCH(1,($A7=LoadFactorSeasons)*(B$1=LoadFactorHours),0),)</f>
        <v>6.4965634553805536E-5</v>
      </c>
      <c r="C7" s="7" cm="1">
        <f t="array" ref="C7">INDEX('Summarized Source Data'!$R$1269:$R$1412,MATCH(1,($A7=LoadFactorSeasons)*(C$1=LoadFactorHours),0),)</f>
        <v>6.4092766797669952E-5</v>
      </c>
      <c r="D7" s="7" cm="1">
        <f t="array" ref="D7">INDEX('Summarized Source Data'!$R$1269:$R$1412,MATCH(1,($A7=LoadFactorSeasons)*(D$1=LoadFactorHours),0),)</f>
        <v>6.3868590882359283E-5</v>
      </c>
      <c r="E7" s="7" cm="1">
        <f t="array" ref="E7">INDEX('Summarized Source Data'!$R$1269:$R$1412,MATCH(1,($A7=LoadFactorSeasons)*(E$1=LoadFactorHours),0),)</f>
        <v>6.407497996135353E-5</v>
      </c>
      <c r="F7" s="7" cm="1">
        <f t="array" ref="F7">INDEX('Summarized Source Data'!$R$1269:$R$1412,MATCH(1,($A7=LoadFactorSeasons)*(F$1=LoadFactorHours),0),)</f>
        <v>6.3850096176290761E-5</v>
      </c>
      <c r="G7" s="7" cm="1">
        <f t="array" ref="G7">INDEX('Summarized Source Data'!$R$1269:$R$1412,MATCH(1,($A7=LoadFactorSeasons)*(G$1=LoadFactorHours),0),)</f>
        <v>6.556451810480084E-5</v>
      </c>
      <c r="H7" s="7" cm="1">
        <f t="array" ref="H7">INDEX('Summarized Source Data'!$R$1269:$R$1412,MATCH(1,($A7=LoadFactorSeasons)*(H$1=LoadFactorHours),0),)</f>
        <v>9.8227057076582372E-5</v>
      </c>
      <c r="I7" s="7" cm="1">
        <f t="array" ref="I7">INDEX('Summarized Source Data'!$R$1269:$R$1412,MATCH(1,($A7=LoadFactorSeasons)*(I$1=LoadFactorHours),0),)</f>
        <v>2.0592574606560711E-4</v>
      </c>
      <c r="J7" s="7" cm="1">
        <f t="array" ref="J7">INDEX('Summarized Source Data'!$R$1269:$R$1412,MATCH(1,($A7=LoadFactorSeasons)*(J$1=LoadFactorHours),0),)</f>
        <v>2.2394424884634775E-4</v>
      </c>
      <c r="K7" s="7" cm="1">
        <f t="array" ref="K7">INDEX('Summarized Source Data'!$R$1269:$R$1412,MATCH(1,($A7=LoadFactorSeasons)*(K$1=LoadFactorHours),0),)</f>
        <v>1.9820353058814686E-4</v>
      </c>
      <c r="L7" s="7" cm="1">
        <f t="array" ref="L7">INDEX('Summarized Source Data'!$R$1269:$R$1412,MATCH(1,($A7=LoadFactorSeasons)*(L$1=LoadFactorHours),0),)</f>
        <v>1.5959245320084552E-4</v>
      </c>
      <c r="M7" s="7" cm="1">
        <f t="array" ref="M7">INDEX('Summarized Source Data'!$R$1269:$R$1412,MATCH(1,($A7=LoadFactorSeasons)*(M$1=LoadFactorHours),0),)</f>
        <v>1.6087948911375558E-4</v>
      </c>
      <c r="N7" s="7" cm="1">
        <f t="array" ref="N7">INDEX('Summarized Source Data'!$R$1269:$R$1412,MATCH(1,($A7=LoadFactorSeasons)*(N$1=LoadFactorHours),0),)</f>
        <v>1.6345356093957564E-4</v>
      </c>
      <c r="O7" s="7" cm="1">
        <f t="array" ref="O7">INDEX('Summarized Source Data'!$R$1269:$R$1412,MATCH(1,($A7=LoadFactorSeasons)*(O$1=LoadFactorHours),0),)</f>
        <v>1.6216652502666561E-4</v>
      </c>
      <c r="P7" s="7" cm="1">
        <f t="array" ref="P7">INDEX('Summarized Source Data'!$R$1269:$R$1412,MATCH(1,($A7=LoadFactorSeasons)*(P$1=LoadFactorHours),0),)</f>
        <v>1.6087948911375558E-4</v>
      </c>
      <c r="Q7" s="7" cm="1">
        <f t="array" ref="Q7">INDEX('Summarized Source Data'!$R$1269:$R$1412,MATCH(1,($A7=LoadFactorSeasons)*(Q$1=LoadFactorHours),0),)</f>
        <v>1.9048131511068659E-4</v>
      </c>
      <c r="R7" s="7" cm="1">
        <f t="array" ref="R7">INDEX('Summarized Source Data'!$R$1269:$R$1412,MATCH(1,($A7=LoadFactorSeasons)*(R$1=LoadFactorHours),0),)</f>
        <v>2.200831411076176E-4</v>
      </c>
      <c r="S7" s="7" cm="1">
        <f t="array" ref="S7">INDEX('Summarized Source Data'!$R$1269:$R$1412,MATCH(1,($A7=LoadFactorSeasons)*(S$1=LoadFactorHours),0),)</f>
        <v>2.31666464323808E-4</v>
      </c>
      <c r="T7" s="7" cm="1">
        <f t="array" ref="T7">INDEX('Summarized Source Data'!$R$1269:$R$1412,MATCH(1,($A7=LoadFactorSeasons)*(T$1=LoadFactorHours),0),)</f>
        <v>2.1236092563015735E-4</v>
      </c>
      <c r="U7" s="7" cm="1">
        <f t="array" ref="U7">INDEX('Summarized Source Data'!$R$1269:$R$1412,MATCH(1,($A7=LoadFactorSeasons)*(U$1=LoadFactorHours),0),)</f>
        <v>1.7374984824285601E-4</v>
      </c>
      <c r="V7" s="7" cm="1">
        <f t="array" ref="V7">INDEX('Summarized Source Data'!$R$1269:$R$1412,MATCH(1,($A7=LoadFactorSeasons)*(V$1=LoadFactorHours),0),)</f>
        <v>1.5959245320084552E-4</v>
      </c>
      <c r="W7" s="7" cm="1">
        <f t="array" ref="W7">INDEX('Summarized Source Data'!$R$1269:$R$1412,MATCH(1,($A7=LoadFactorSeasons)*(W$1=LoadFactorHours),0),)</f>
        <v>1.5058320181047521E-4</v>
      </c>
      <c r="X7" s="7" cm="1">
        <f t="array" ref="X7">INDEX('Summarized Source Data'!$R$1269:$R$1412,MATCH(1,($A7=LoadFactorSeasons)*(X$1=LoadFactorHours),0),)</f>
        <v>1.4286098633301493E-4</v>
      </c>
      <c r="Y7" s="7" cm="1">
        <f t="array" ref="Y7">INDEX('Summarized Source Data'!$R$1269:$R$1412,MATCH(1,($A7=LoadFactorSeasons)*(Y$1=LoadFactorHours),0),)</f>
        <v>9.5911627987820691E-5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352B-F82B-42E7-8B19-D9E9172F9B53}">
  <sheetPr codeName="Sheet24">
    <tabColor rgb="FF002060"/>
  </sheetPr>
  <dimension ref="A1:Y15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25" width="10.4414062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 cm="1">
        <f t="array" ref="B2">INDEX('Summarized Source Data'!$S$1269:$S$1412,MATCH(1,($A2=LoadFactorSeasons)*(B$1=LoadFactorHours),0),)</f>
        <v>5.5684609886809198E-5</v>
      </c>
      <c r="C2" s="7" cm="1">
        <f t="array" ref="C2">INDEX('Summarized Source Data'!$S$1269:$S$1412,MATCH(1,($A2=LoadFactorSeasons)*(C$1=LoadFactorHours),0),)</f>
        <v>5.458743015728071E-5</v>
      </c>
      <c r="D2" s="7" cm="1">
        <f t="array" ref="D2">INDEX('Summarized Source Data'!$S$1269:$S$1412,MATCH(1,($A2=LoadFactorSeasons)*(D$1=LoadFactorHours),0),)</f>
        <v>5.4298113707815903E-5</v>
      </c>
      <c r="E2" s="7" cm="1">
        <f t="array" ref="E2">INDEX('Summarized Source Data'!$S$1269:$S$1412,MATCH(1,($A2=LoadFactorSeasons)*(E$1=LoadFactorHours),0),)</f>
        <v>5.4445534478526085E-5</v>
      </c>
      <c r="F2" s="7" cm="1">
        <f t="array" ref="F2">INDEX('Summarized Source Data'!$S$1269:$S$1412,MATCH(1,($A2=LoadFactorSeasons)*(F$1=LoadFactorHours),0),)</f>
        <v>5.4241838981835276E-5</v>
      </c>
      <c r="G2" s="7" cm="1">
        <f t="array" ref="G2">INDEX('Summarized Source Data'!$S$1269:$S$1412,MATCH(1,($A2=LoadFactorSeasons)*(G$1=LoadFactorHours),0),)</f>
        <v>5.5531021517429502E-5</v>
      </c>
      <c r="H2" s="7" cm="1">
        <f t="array" ref="H2">INDEX('Summarized Source Data'!$S$1269:$S$1412,MATCH(1,($A2=LoadFactorSeasons)*(H$1=LoadFactorHours),0),)</f>
        <v>8.079258693862213E-5</v>
      </c>
      <c r="I2" s="7" cm="1">
        <f t="array" ref="I2">INDEX('Summarized Source Data'!$S$1269:$S$1412,MATCH(1,($A2=LoadFactorSeasons)*(I$1=LoadFactorHours),0),)</f>
        <v>1.6010652237221599E-4</v>
      </c>
      <c r="J2" s="7" cm="1">
        <f t="array" ref="J2">INDEX('Summarized Source Data'!$S$1269:$S$1412,MATCH(1,($A2=LoadFactorSeasons)*(J$1=LoadFactorHours),0),)</f>
        <v>1.7592663270557914E-4</v>
      </c>
      <c r="K2" s="7" cm="1">
        <f t="array" ref="K2">INDEX('Summarized Source Data'!$S$1269:$S$1412,MATCH(1,($A2=LoadFactorSeasons)*(K$1=LoadFactorHours),0),)</f>
        <v>1.6064357212139827E-4</v>
      </c>
      <c r="L2" s="7" cm="1">
        <f t="array" ref="L2">INDEX('Summarized Source Data'!$S$1269:$S$1412,MATCH(1,($A2=LoadFactorSeasons)*(L$1=LoadFactorHours),0),)</f>
        <v>1.3427205647940612E-4</v>
      </c>
      <c r="M2" s="7" cm="1">
        <f t="array" ref="M2">INDEX('Summarized Source Data'!$S$1269:$S$1412,MATCH(1,($A2=LoadFactorSeasons)*(M$1=LoadFactorHours),0),)</f>
        <v>1.3562136899577067E-4</v>
      </c>
      <c r="N2" s="7" cm="1">
        <f t="array" ref="N2">INDEX('Summarized Source Data'!$S$1269:$S$1412,MATCH(1,($A2=LoadFactorSeasons)*(N$1=LoadFactorHours),0),)</f>
        <v>1.3696272144016357E-4</v>
      </c>
      <c r="O2" s="7" cm="1">
        <f t="array" ref="O2">INDEX('Summarized Source Data'!$S$1269:$S$1412,MATCH(1,($A2=LoadFactorSeasons)*(O$1=LoadFactorHours),0),)</f>
        <v>1.3521606851643619E-4</v>
      </c>
      <c r="P2" s="7" cm="1">
        <f t="array" ref="P2">INDEX('Summarized Source Data'!$S$1269:$S$1412,MATCH(1,($A2=LoadFactorSeasons)*(P$1=LoadFactorHours),0),)</f>
        <v>1.3380088577784232E-4</v>
      </c>
      <c r="Q2" s="7" cm="1">
        <f t="array" ref="Q2">INDEX('Summarized Source Data'!$S$1269:$S$1412,MATCH(1,($A2=LoadFactorSeasons)*(Q$1=LoadFactorHours),0),)</f>
        <v>1.5479495892900712E-4</v>
      </c>
      <c r="R2" s="7" cm="1">
        <f t="array" ref="R2">INDEX('Summarized Source Data'!$S$1269:$S$1412,MATCH(1,($A2=LoadFactorSeasons)*(R$1=LoadFactorHours),0),)</f>
        <v>1.782426750056659E-4</v>
      </c>
      <c r="S2" s="7" cm="1">
        <f t="array" ref="S2">INDEX('Summarized Source Data'!$S$1269:$S$1412,MATCH(1,($A2=LoadFactorSeasons)*(S$1=LoadFactorHours),0),)</f>
        <v>1.8653800938312401E-4</v>
      </c>
      <c r="T2" s="7" cm="1">
        <f t="array" ref="T2">INDEX('Summarized Source Data'!$S$1269:$S$1412,MATCH(1,($A2=LoadFactorSeasons)*(T$1=LoadFactorHours),0),)</f>
        <v>1.7327943673926227E-4</v>
      </c>
      <c r="U2" s="7" cm="1">
        <f t="array" ref="U2">INDEX('Summarized Source Data'!$S$1269:$S$1412,MATCH(1,($A2=LoadFactorSeasons)*(U$1=LoadFactorHours),0),)</f>
        <v>1.4520486084600582E-4</v>
      </c>
      <c r="V2" s="7" cm="1">
        <f t="array" ref="V2">INDEX('Summarized Source Data'!$S$1269:$S$1412,MATCH(1,($A2=LoadFactorSeasons)*(V$1=LoadFactorHours),0),)</f>
        <v>1.3442494589635399E-4</v>
      </c>
      <c r="W2" s="7" cm="1">
        <f t="array" ref="W2">INDEX('Summarized Source Data'!$S$1269:$S$1412,MATCH(1,($A2=LoadFactorSeasons)*(W$1=LoadFactorHours),0),)</f>
        <v>1.2723614796886746E-4</v>
      </c>
      <c r="X2" s="7" cm="1">
        <f t="array" ref="X2">INDEX('Summarized Source Data'!$S$1269:$S$1412,MATCH(1,($A2=LoadFactorSeasons)*(X$1=LoadFactorHours),0),)</f>
        <v>1.2122440754042808E-4</v>
      </c>
      <c r="Y2" s="7" cm="1">
        <f t="array" ref="Y2">INDEX('Summarized Source Data'!$S$1269:$S$1412,MATCH(1,($A2=LoadFactorSeasons)*(Y$1=LoadFactorHours),0),)</f>
        <v>8.1507095068742867E-5</v>
      </c>
    </row>
    <row r="3" spans="1:25" x14ac:dyDescent="0.3">
      <c r="A3" s="7" t="s">
        <v>162</v>
      </c>
      <c r="B3" s="7" cm="1">
        <f t="array" ref="B3">INDEX('Summarized Source Data'!$S$1269:$S$1412,MATCH(1,($A3=LoadFactorSeasons)*(B$1=LoadFactorHours),0),)</f>
        <v>5.2078455164350287E-5</v>
      </c>
      <c r="C3" s="7" cm="1">
        <f t="array" ref="C3">INDEX('Summarized Source Data'!$S$1269:$S$1412,MATCH(1,($A3=LoadFactorSeasons)*(C$1=LoadFactorHours),0),)</f>
        <v>5.09812754348218E-5</v>
      </c>
      <c r="D3" s="7" cm="1">
        <f t="array" ref="D3">INDEX('Summarized Source Data'!$S$1269:$S$1412,MATCH(1,($A3=LoadFactorSeasons)*(D$1=LoadFactorHours),0),)</f>
        <v>5.0691958355162392E-5</v>
      </c>
      <c r="E3" s="7" cm="1">
        <f t="array" ref="E3">INDEX('Summarized Source Data'!$S$1269:$S$1412,MATCH(1,($A3=LoadFactorSeasons)*(E$1=LoadFactorHours),0),)</f>
        <v>5.0839372930513367E-5</v>
      </c>
      <c r="F3" s="7" cm="1">
        <f t="array" ref="F3">INDEX('Summarized Source Data'!$S$1269:$S$1412,MATCH(1,($A3=LoadFactorSeasons)*(F$1=LoadFactorHours),0),)</f>
        <v>5.0635677433822572E-5</v>
      </c>
      <c r="G3" s="7" cm="1">
        <f t="array" ref="G3">INDEX('Summarized Source Data'!$S$1269:$S$1412,MATCH(1,($A3=LoadFactorSeasons)*(G$1=LoadFactorHours),0),)</f>
        <v>5.1924861457635328E-5</v>
      </c>
      <c r="H3" s="7" cm="1">
        <f t="array" ref="H3">INDEX('Summarized Source Data'!$S$1269:$S$1412,MATCH(1,($A3=LoadFactorSeasons)*(H$1=LoadFactorHours),0),)</f>
        <v>7.5739224121645993E-5</v>
      </c>
      <c r="I3" s="7" cm="1">
        <f t="array" ref="I3">INDEX('Summarized Source Data'!$S$1269:$S$1412,MATCH(1,($A3=LoadFactorSeasons)*(I$1=LoadFactorHours),0),)</f>
        <v>1.5095831346352033E-4</v>
      </c>
      <c r="J3" s="7" cm="1">
        <f t="array" ref="J3">INDEX('Summarized Source Data'!$S$1269:$S$1412,MATCH(1,($A3=LoadFactorSeasons)*(J$1=LoadFactorHours),0),)</f>
        <v>1.6603145398301519E-4</v>
      </c>
      <c r="K3" s="7" cm="1">
        <f t="array" ref="K3">INDEX('Summarized Source Data'!$S$1269:$S$1412,MATCH(1,($A3=LoadFactorSeasons)*(K$1=LoadFactorHours),0),)</f>
        <v>1.5150411285855714E-4</v>
      </c>
      <c r="L3" s="7" cm="1">
        <f t="array" ref="L3">INDEX('Summarized Source Data'!$S$1269:$S$1412,MATCH(1,($A3=LoadFactorSeasons)*(L$1=LoadFactorHours),0),)</f>
        <v>1.2723552454385988E-4</v>
      </c>
      <c r="M3" s="7" cm="1">
        <f t="array" ref="M3">INDEX('Summarized Source Data'!$S$1269:$S$1412,MATCH(1,($A3=LoadFactorSeasons)*(M$1=LoadFactorHours),0),)</f>
        <v>1.2790301446350422E-4</v>
      </c>
      <c r="N3" s="7" cm="1">
        <f t="array" ref="N3">INDEX('Summarized Source Data'!$S$1269:$S$1412,MATCH(1,($A3=LoadFactorSeasons)*(N$1=LoadFactorHours),0),)</f>
        <v>1.2928983179259849E-4</v>
      </c>
      <c r="O3" s="7" cm="1">
        <f t="array" ref="O3">INDEX('Summarized Source Data'!$S$1269:$S$1412,MATCH(1,($A3=LoadFactorSeasons)*(O$1=LoadFactorHours),0),)</f>
        <v>1.2831631171265426E-4</v>
      </c>
      <c r="P3" s="7" cm="1">
        <f t="array" ref="P3">INDEX('Summarized Source Data'!$S$1269:$S$1412,MATCH(1,($A3=LoadFactorSeasons)*(P$1=LoadFactorHours),0),)</f>
        <v>1.2621930732729526E-4</v>
      </c>
      <c r="Q3" s="7" cm="1">
        <f t="array" ref="Q3">INDEX('Summarized Source Data'!$S$1269:$S$1412,MATCH(1,($A3=LoadFactorSeasons)*(Q$1=LoadFactorHours),0),)</f>
        <v>1.4574681387026478E-4</v>
      </c>
      <c r="R3" s="7" cm="1">
        <f t="array" ref="R3">INDEX('Summarized Source Data'!$S$1269:$S$1412,MATCH(1,($A3=LoadFactorSeasons)*(R$1=LoadFactorHours),0),)</f>
        <v>1.6812723520461621E-4</v>
      </c>
      <c r="S3" s="7" cm="1">
        <f t="array" ref="S3">INDEX('Summarized Source Data'!$S$1269:$S$1412,MATCH(1,($A3=LoadFactorSeasons)*(S$1=LoadFactorHours),0),)</f>
        <v>1.7642257025223898E-4</v>
      </c>
      <c r="T3" s="7" cm="1">
        <f t="array" ref="T3">INDEX('Summarized Source Data'!$S$1269:$S$1412,MATCH(1,($A3=LoadFactorSeasons)*(T$1=LoadFactorHours),0),)</f>
        <v>1.6432079707422102E-4</v>
      </c>
      <c r="U3" s="7" cm="1">
        <f t="array" ref="U3">INDEX('Summarized Source Data'!$S$1269:$S$1412,MATCH(1,($A3=LoadFactorSeasons)*(U$1=LoadFactorHours),0),)</f>
        <v>1.3746530866304716E-4</v>
      </c>
      <c r="V3" s="7" cm="1">
        <f t="array" ref="V3">INDEX('Summarized Source Data'!$S$1269:$S$1412,MATCH(1,($A3=LoadFactorSeasons)*(V$1=LoadFactorHours),0),)</f>
        <v>1.2699516167380065E-4</v>
      </c>
      <c r="W3" s="7" cm="1">
        <f t="array" ref="W3">INDEX('Summarized Source Data'!$S$1269:$S$1412,MATCH(1,($A3=LoadFactorSeasons)*(W$1=LoadFactorHours),0),)</f>
        <v>1.1919682034035524E-4</v>
      </c>
      <c r="X3" s="7" cm="1">
        <f t="array" ref="X3">INDEX('Summarized Source Data'!$S$1269:$S$1412,MATCH(1,($A3=LoadFactorSeasons)*(X$1=LoadFactorHours),0),)</f>
        <v>1.1339335689272908E-4</v>
      </c>
      <c r="Y3" s="7" cm="1">
        <f t="array" ref="Y3">INDEX('Summarized Source Data'!$S$1269:$S$1412,MATCH(1,($A3=LoadFactorSeasons)*(Y$1=LoadFactorHours),0),)</f>
        <v>7.6316305843857462E-5</v>
      </c>
    </row>
    <row r="4" spans="1:25" x14ac:dyDescent="0.3">
      <c r="A4" s="7" t="s">
        <v>163</v>
      </c>
      <c r="B4" s="7" cm="1">
        <f t="array" ref="B4">INDEX('Summarized Source Data'!$S$1269:$S$1412,MATCH(1,($A4=LoadFactorSeasons)*(B$1=LoadFactorHours),0),)</f>
        <v>4.8629018732723561E-5</v>
      </c>
      <c r="C4" s="7" cm="1">
        <f t="array" ref="C4">INDEX('Summarized Source Data'!$S$1269:$S$1412,MATCH(1,($A4=LoadFactorSeasons)*(C$1=LoadFactorHours),0),)</f>
        <v>4.7531839003195081E-5</v>
      </c>
      <c r="D4" s="7" cm="1">
        <f t="array" ref="D4">INDEX('Summarized Source Data'!$S$1269:$S$1412,MATCH(1,($A4=LoadFactorSeasons)*(D$1=LoadFactorHours),0),)</f>
        <v>4.7242521923535687E-5</v>
      </c>
      <c r="E4" s="7" cm="1">
        <f t="array" ref="E4">INDEX('Summarized Source Data'!$S$1269:$S$1412,MATCH(1,($A4=LoadFactorSeasons)*(E$1=LoadFactorHours),0),)</f>
        <v>4.7389942694245862E-5</v>
      </c>
      <c r="F4" s="7" cm="1">
        <f t="array" ref="F4">INDEX('Summarized Source Data'!$S$1269:$S$1412,MATCH(1,($A4=LoadFactorSeasons)*(F$1=LoadFactorHours),0),)</f>
        <v>4.7186244099875457E-5</v>
      </c>
      <c r="G4" s="7" cm="1">
        <f t="array" ref="G4">INDEX('Summarized Source Data'!$S$1269:$S$1412,MATCH(1,($A4=LoadFactorSeasons)*(G$1=LoadFactorHours),0),)</f>
        <v>4.84754281236882E-5</v>
      </c>
      <c r="H4" s="7" cm="1">
        <f t="array" ref="H4">INDEX('Summarized Source Data'!$S$1269:$S$1412,MATCH(1,($A4=LoadFactorSeasons)*(H$1=LoadFactorHours),0),)</f>
        <v>7.0905472146898401E-5</v>
      </c>
      <c r="I4" s="7" cm="1">
        <f t="array" ref="I4">INDEX('Summarized Source Data'!$S$1269:$S$1412,MATCH(1,($A4=LoadFactorSeasons)*(I$1=LoadFactorHours),0),)</f>
        <v>1.4143893335808025E-4</v>
      </c>
      <c r="J4" s="7" cm="1">
        <f t="array" ref="J4">INDEX('Summarized Source Data'!$S$1269:$S$1412,MATCH(1,($A4=LoadFactorSeasons)*(J$1=LoadFactorHours),0),)</f>
        <v>1.5699016135395225E-4</v>
      </c>
      <c r="K4" s="7" cm="1">
        <f t="array" ref="K4">INDEX('Summarized Source Data'!$S$1269:$S$1412,MATCH(1,($A4=LoadFactorSeasons)*(K$1=LoadFactorHours),0),)</f>
        <v>1.4299501321675791E-4</v>
      </c>
      <c r="L4" s="7" cm="1">
        <f t="array" ref="L4">INDEX('Summarized Source Data'!$S$1269:$S$1412,MATCH(1,($A4=LoadFactorSeasons)*(L$1=LoadFactorHours),0),)</f>
        <v>1.1929248084341459E-4</v>
      </c>
      <c r="M4" s="7" cm="1">
        <f t="array" ref="M4">INDEX('Summarized Source Data'!$S$1269:$S$1412,MATCH(1,($A4=LoadFactorSeasons)*(M$1=LoadFactorHours),0),)</f>
        <v>1.2056951416901789E-4</v>
      </c>
      <c r="N4" s="7" cm="1">
        <f t="array" ref="N4">INDEX('Summarized Source Data'!$S$1269:$S$1412,MATCH(1,($A4=LoadFactorSeasons)*(N$1=LoadFactorHours),0),)</f>
        <v>1.2230958572402077E-4</v>
      </c>
      <c r="O4" s="7" cm="1">
        <f t="array" ref="O4">INDEX('Summarized Source Data'!$S$1269:$S$1412,MATCH(1,($A4=LoadFactorSeasons)*(O$1=LoadFactorHours),0),)</f>
        <v>1.2050409960946279E-4</v>
      </c>
      <c r="P4" s="7" cm="1">
        <f t="array" ref="P4">INDEX('Summarized Source Data'!$S$1269:$S$1412,MATCH(1,($A4=LoadFactorSeasons)*(P$1=LoadFactorHours),0),)</f>
        <v>1.1901663743096097E-4</v>
      </c>
      <c r="Q4" s="7" cm="1">
        <f t="array" ref="Q4">INDEX('Summarized Source Data'!$S$1269:$S$1412,MATCH(1,($A4=LoadFactorSeasons)*(Q$1=LoadFactorHours),0),)</f>
        <v>1.3701529044067906E-4</v>
      </c>
      <c r="R4" s="7" cm="1">
        <f t="array" ref="R4">INDEX('Summarized Source Data'!$S$1269:$S$1412,MATCH(1,($A4=LoadFactorSeasons)*(R$1=LoadFactorHours),0),)</f>
        <v>1.5887525635544224E-4</v>
      </c>
      <c r="S4" s="7" cm="1">
        <f t="array" ref="S4">INDEX('Summarized Source Data'!$S$1269:$S$1412,MATCH(1,($A4=LoadFactorSeasons)*(S$1=LoadFactorHours),0),)</f>
        <v>1.6717058892492132E-4</v>
      </c>
      <c r="T4" s="7" cm="1">
        <f t="array" ref="T4">INDEX('Summarized Source Data'!$S$1269:$S$1412,MATCH(1,($A4=LoadFactorSeasons)*(T$1=LoadFactorHours),0),)</f>
        <v>1.5598812959141133E-4</v>
      </c>
      <c r="U4" s="7" cm="1">
        <f t="array" ref="U4">INDEX('Summarized Source Data'!$S$1269:$S$1412,MATCH(1,($A4=LoadFactorSeasons)*(U$1=LoadFactorHours),0),)</f>
        <v>1.3006194258330993E-4</v>
      </c>
      <c r="V4" s="7" cm="1">
        <f t="array" ref="V4">INDEX('Summarized Source Data'!$S$1269:$S$1412,MATCH(1,($A4=LoadFactorSeasons)*(V$1=LoadFactorHours),0),)</f>
        <v>1.1928202763365806E-4</v>
      </c>
      <c r="W4" s="7" cm="1">
        <f t="array" ref="W4">INDEX('Summarized Source Data'!$S$1269:$S$1412,MATCH(1,($A4=LoadFactorSeasons)*(W$1=LoadFactorHours),0),)</f>
        <v>1.1198622346192916E-4</v>
      </c>
      <c r="X4" s="7" cm="1">
        <f t="array" ref="X4">INDEX('Summarized Source Data'!$S$1269:$S$1412,MATCH(1,($A4=LoadFactorSeasons)*(X$1=LoadFactorHours),0),)</f>
        <v>1.0598756181249664E-4</v>
      </c>
      <c r="Y4" s="7" cm="1">
        <f t="array" ref="Y4">INDEX('Summarized Source Data'!$S$1269:$S$1412,MATCH(1,($A4=LoadFactorSeasons)*(Y$1=LoadFactorHours),0),)</f>
        <v>7.1351099138629829E-5</v>
      </c>
    </row>
    <row r="5" spans="1:25" x14ac:dyDescent="0.3">
      <c r="A5" s="7" t="s">
        <v>164</v>
      </c>
      <c r="B5" s="7" cm="1">
        <f t="array" ref="B5">INDEX('Summarized Source Data'!$S$1269:$S$1412,MATCH(1,($A5=LoadFactorSeasons)*(B$1=LoadFactorHours),0),)</f>
        <v>5.3002506678019106E-5</v>
      </c>
      <c r="C5" s="7" cm="1">
        <f t="array" ref="C5">INDEX('Summarized Source Data'!$S$1269:$S$1412,MATCH(1,($A5=LoadFactorSeasons)*(C$1=LoadFactorHours),0),)</f>
        <v>5.1905326948490632E-5</v>
      </c>
      <c r="D5" s="7" cm="1">
        <f t="array" ref="D5">INDEX('Summarized Source Data'!$S$1269:$S$1412,MATCH(1,($A5=LoadFactorSeasons)*(D$1=LoadFactorHours),0),)</f>
        <v>5.1616008629759378E-5</v>
      </c>
      <c r="E5" s="7" cm="1">
        <f t="array" ref="E5">INDEX('Summarized Source Data'!$S$1269:$S$1412,MATCH(1,($A5=LoadFactorSeasons)*(E$1=LoadFactorHours),0),)</f>
        <v>5.1763429400469567E-5</v>
      </c>
      <c r="F5" s="7" cm="1">
        <f t="array" ref="F5">INDEX('Summarized Source Data'!$S$1269:$S$1412,MATCH(1,($A5=LoadFactorSeasons)*(F$1=LoadFactorHours),0),)</f>
        <v>5.1559733903778758E-5</v>
      </c>
      <c r="G5" s="7" cm="1">
        <f t="array" ref="G5">INDEX('Summarized Source Data'!$S$1269:$S$1412,MATCH(1,($A5=LoadFactorSeasons)*(G$1=LoadFactorHours),0),)</f>
        <v>5.2848919166663355E-5</v>
      </c>
      <c r="H5" s="7" cm="1">
        <f t="array" ref="H5">INDEX('Summarized Source Data'!$S$1269:$S$1412,MATCH(1,($A5=LoadFactorSeasons)*(H$1=LoadFactorHours),0),)</f>
        <v>7.7034113854402734E-5</v>
      </c>
      <c r="I5" s="7" cm="1">
        <f t="array" ref="I5">INDEX('Summarized Source Data'!$S$1269:$S$1412,MATCH(1,($A5=LoadFactorSeasons)*(I$1=LoadFactorHours),0),)</f>
        <v>1.5295048542546128E-4</v>
      </c>
      <c r="J5" s="7" cm="1">
        <f t="array" ref="J5">INDEX('Summarized Source Data'!$S$1269:$S$1412,MATCH(1,($A5=LoadFactorSeasons)*(J$1=LoadFactorHours),0),)</f>
        <v>1.6866838366126199E-4</v>
      </c>
      <c r="K5" s="7" cm="1">
        <f t="array" ref="K5">INDEX('Summarized Source Data'!$S$1269:$S$1412,MATCH(1,($A5=LoadFactorSeasons)*(K$1=LoadFactorHours),0),)</f>
        <v>1.540070187523787E-4</v>
      </c>
      <c r="L5" s="7" cm="1">
        <f t="array" ref="L5">INDEX('Summarized Source Data'!$S$1269:$S$1412,MATCH(1,($A5=LoadFactorSeasons)*(L$1=LoadFactorHours),0),)</f>
        <v>1.2897312168877624E-4</v>
      </c>
      <c r="M5" s="7" cm="1">
        <f t="array" ref="M5">INDEX('Summarized Source Data'!$S$1269:$S$1412,MATCH(1,($A5=LoadFactorSeasons)*(M$1=LoadFactorHours),0),)</f>
        <v>1.2964061160842061E-4</v>
      </c>
      <c r="N5" s="7" cm="1">
        <f t="array" ref="N5">INDEX('Summarized Source Data'!$S$1269:$S$1412,MATCH(1,($A5=LoadFactorSeasons)*(N$1=LoadFactorHours),0),)</f>
        <v>1.3148296728784106E-4</v>
      </c>
      <c r="O5" s="7" cm="1">
        <f t="array" ref="O5">INDEX('Summarized Source Data'!$S$1269:$S$1412,MATCH(1,($A5=LoadFactorSeasons)*(O$1=LoadFactorHours),0),)</f>
        <v>1.3001886121516372E-4</v>
      </c>
      <c r="P5" s="7" cm="1">
        <f t="array" ref="P5">INDEX('Summarized Source Data'!$S$1269:$S$1412,MATCH(1,($A5=LoadFactorSeasons)*(P$1=LoadFactorHours),0),)</f>
        <v>1.2792185496104065E-4</v>
      </c>
      <c r="Q5" s="7" cm="1">
        <f t="array" ref="Q5">INDEX('Summarized Source Data'!$S$1269:$S$1412,MATCH(1,($A5=LoadFactorSeasons)*(Q$1=LoadFactorHours),0),)</f>
        <v>1.4822632172573806E-4</v>
      </c>
      <c r="R5" s="7" cm="1">
        <f t="array" ref="R5">INDEX('Summarized Source Data'!$S$1269:$S$1412,MATCH(1,($A5=LoadFactorSeasons)*(R$1=LoadFactorHours),0),)</f>
        <v>1.7082060568509569E-4</v>
      </c>
      <c r="S5" s="7" cm="1">
        <f t="array" ref="S5">INDEX('Summarized Source Data'!$S$1269:$S$1412,MATCH(1,($A5=LoadFactorSeasons)*(S$1=LoadFactorHours),0),)</f>
        <v>1.7911594012333889E-4</v>
      </c>
      <c r="T5" s="7" cm="1">
        <f t="array" ref="T5">INDEX('Summarized Source Data'!$S$1269:$S$1412,MATCH(1,($A5=LoadFactorSeasons)*(T$1=LoadFactorHours),0),)</f>
        <v>1.6654697653244982E-4</v>
      </c>
      <c r="U5" s="7" cm="1">
        <f t="array" ref="U5">INDEX('Summarized Source Data'!$S$1269:$S$1412,MATCH(1,($A5=LoadFactorSeasons)*(U$1=LoadFactorHours),0),)</f>
        <v>1.3939171206634276E-4</v>
      </c>
      <c r="V5" s="7" cm="1">
        <f t="array" ref="V5">INDEX('Summarized Source Data'!$S$1269:$S$1412,MATCH(1,($A5=LoadFactorSeasons)*(V$1=LoadFactorHours),0),)</f>
        <v>1.2906391746080455E-4</v>
      </c>
      <c r="W5" s="7" cm="1">
        <f t="array" ref="W5">INDEX('Summarized Source Data'!$S$1269:$S$1412,MATCH(1,($A5=LoadFactorSeasons)*(W$1=LoadFactorHours),0),)</f>
        <v>1.2142299918920443E-4</v>
      </c>
      <c r="X5" s="7" cm="1">
        <f t="array" ref="X5">INDEX('Summarized Source Data'!$S$1269:$S$1412,MATCH(1,($A5=LoadFactorSeasons)*(X$1=LoadFactorHours),0),)</f>
        <v>1.1518155644737337E-4</v>
      </c>
      <c r="Y5" s="7" cm="1">
        <f t="array" ref="Y5">INDEX('Summarized Source Data'!$S$1269:$S$1412,MATCH(1,($A5=LoadFactorSeasons)*(Y$1=LoadFactorHours),0),)</f>
        <v>7.7646409886961064E-5</v>
      </c>
    </row>
    <row r="6" spans="1:25" x14ac:dyDescent="0.3">
      <c r="A6" s="7" t="s">
        <v>167</v>
      </c>
      <c r="B6" s="7" cm="1">
        <f t="array" ref="B6">INDEX('Summarized Source Data'!$S$1269:$S$1412,MATCH(1,($A6=LoadFactorSeasons)*(B$1=LoadFactorHours),0),)</f>
        <v>5.6547994961522594E-5</v>
      </c>
      <c r="C6" s="7" cm="1">
        <f t="array" ref="C6">INDEX('Summarized Source Data'!$S$1269:$S$1412,MATCH(1,($A6=LoadFactorSeasons)*(C$1=LoadFactorHours),0),)</f>
        <v>5.5675127205386996E-5</v>
      </c>
      <c r="D6" s="7" cm="1">
        <f t="array" ref="D6">INDEX('Summarized Source Data'!$S$1269:$S$1412,MATCH(1,($A6=LoadFactorSeasons)*(D$1=LoadFactorHours),0),)</f>
        <v>5.5450951290076327E-5</v>
      </c>
      <c r="E6" s="7" cm="1">
        <f t="array" ref="E6">INDEX('Summarized Source Data'!$S$1269:$S$1412,MATCH(1,($A6=LoadFactorSeasons)*(E$1=LoadFactorHours),0),)</f>
        <v>5.5657340369070581E-5</v>
      </c>
      <c r="F6" s="7" cm="1">
        <f t="array" ref="F6">INDEX('Summarized Source Data'!$S$1269:$S$1412,MATCH(1,($A6=LoadFactorSeasons)*(F$1=LoadFactorHours),0),)</f>
        <v>5.5432456584007812E-5</v>
      </c>
      <c r="G6" s="7" cm="1">
        <f t="array" ref="G6">INDEX('Summarized Source Data'!$S$1269:$S$1412,MATCH(1,($A6=LoadFactorSeasons)*(G$1=LoadFactorHours),0),)</f>
        <v>5.7146878512517891E-5</v>
      </c>
      <c r="H6" s="7" cm="1">
        <f t="array" ref="H6">INDEX('Summarized Source Data'!$S$1269:$S$1412,MATCH(1,($A6=LoadFactorSeasons)*(H$1=LoadFactorHours),0),)</f>
        <v>8.6111711825072345E-5</v>
      </c>
      <c r="I6" s="7" cm="1">
        <f t="array" ref="I6">INDEX('Summarized Source Data'!$S$1269:$S$1412,MATCH(1,($A6=LoadFactorSeasons)*(I$1=LoadFactorHours),0),)</f>
        <v>1.8147206372031628E-4</v>
      </c>
      <c r="J6" s="7" cm="1">
        <f t="array" ref="J6">INDEX('Summarized Source Data'!$S$1269:$S$1412,MATCH(1,($A6=LoadFactorSeasons)*(J$1=LoadFactorHours),0),)</f>
        <v>1.994905665010569E-4</v>
      </c>
      <c r="K6" s="7" cm="1">
        <f t="array" ref="K6">INDEX('Summarized Source Data'!$S$1269:$S$1412,MATCH(1,($A6=LoadFactorSeasons)*(K$1=LoadFactorHours),0),)</f>
        <v>1.763239200686761E-4</v>
      </c>
      <c r="L6" s="7" cm="1">
        <f t="array" ref="L6">INDEX('Summarized Source Data'!$S$1269:$S$1412,MATCH(1,($A6=LoadFactorSeasons)*(L$1=LoadFactorHours),0),)</f>
        <v>1.415739504201049E-4</v>
      </c>
      <c r="M6" s="7" cm="1">
        <f t="array" ref="M6">INDEX('Summarized Source Data'!$S$1269:$S$1412,MATCH(1,($A6=LoadFactorSeasons)*(M$1=LoadFactorHours),0),)</f>
        <v>1.4286098633301493E-4</v>
      </c>
      <c r="N6" s="7" cm="1">
        <f t="array" ref="N6">INDEX('Summarized Source Data'!$S$1269:$S$1412,MATCH(1,($A6=LoadFactorSeasons)*(N$1=LoadFactorHours),0),)</f>
        <v>1.4543505815883503E-4</v>
      </c>
      <c r="O6" s="7" cm="1">
        <f t="array" ref="O6">INDEX('Summarized Source Data'!$S$1269:$S$1412,MATCH(1,($A6=LoadFactorSeasons)*(O$1=LoadFactorHours),0),)</f>
        <v>1.4414802224592499E-4</v>
      </c>
      <c r="P6" s="7" cm="1">
        <f t="array" ref="P6">INDEX('Summarized Source Data'!$S$1269:$S$1412,MATCH(1,($A6=LoadFactorSeasons)*(P$1=LoadFactorHours),0),)</f>
        <v>1.4286098633301493E-4</v>
      </c>
      <c r="Q6" s="7" cm="1">
        <f t="array" ref="Q6">INDEX('Summarized Source Data'!$S$1269:$S$1412,MATCH(1,($A6=LoadFactorSeasons)*(Q$1=LoadFactorHours),0),)</f>
        <v>1.6860170459121582E-4</v>
      </c>
      <c r="R6" s="7" cm="1">
        <f t="array" ref="R6">INDEX('Summarized Source Data'!$S$1269:$S$1412,MATCH(1,($A6=LoadFactorSeasons)*(R$1=LoadFactorHours),0),)</f>
        <v>1.9562945876232677E-4</v>
      </c>
      <c r="S6" s="7" cm="1">
        <f t="array" ref="S6">INDEX('Summarized Source Data'!$S$1269:$S$1412,MATCH(1,($A6=LoadFactorSeasons)*(S$1=LoadFactorHours),0),)</f>
        <v>2.0721278197851717E-4</v>
      </c>
      <c r="T6" s="7" cm="1">
        <f t="array" ref="T6">INDEX('Summarized Source Data'!$S$1269:$S$1412,MATCH(1,($A6=LoadFactorSeasons)*(T$1=LoadFactorHours),0),)</f>
        <v>1.9176835102359662E-4</v>
      </c>
      <c r="U6" s="7" cm="1">
        <f t="array" ref="U6">INDEX('Summarized Source Data'!$S$1269:$S$1412,MATCH(1,($A6=LoadFactorSeasons)*(U$1=LoadFactorHours),0),)</f>
        <v>1.5573134546211539E-4</v>
      </c>
      <c r="V6" s="7" cm="1">
        <f t="array" ref="V6">INDEX('Summarized Source Data'!$S$1269:$S$1412,MATCH(1,($A6=LoadFactorSeasons)*(V$1=LoadFactorHours),0),)</f>
        <v>1.415739504201049E-4</v>
      </c>
      <c r="W6" s="7" cm="1">
        <f t="array" ref="W6">INDEX('Summarized Source Data'!$S$1269:$S$1412,MATCH(1,($A6=LoadFactorSeasons)*(W$1=LoadFactorHours),0),)</f>
        <v>1.325646990297346E-4</v>
      </c>
      <c r="X6" s="7" cm="1">
        <f t="array" ref="X6">INDEX('Summarized Source Data'!$S$1269:$S$1412,MATCH(1,($A6=LoadFactorSeasons)*(X$1=LoadFactorHours),0),)</f>
        <v>1.244397828854839E-4</v>
      </c>
      <c r="Y6" s="7" cm="1">
        <f t="array" ref="Y6">INDEX('Summarized Source Data'!$S$1269:$S$1412,MATCH(1,($A6=LoadFactorSeasons)*(Y$1=LoadFactorHours),0),)</f>
        <v>8.3796282736310664E-5</v>
      </c>
    </row>
    <row r="7" spans="1:25" x14ac:dyDescent="0.3">
      <c r="A7" s="7" t="s">
        <v>166</v>
      </c>
      <c r="B7" s="7" cm="1">
        <f t="array" ref="B7">INDEX('Summarized Source Data'!$S$1269:$S$1412,MATCH(1,($A7=LoadFactorSeasons)*(B$1=LoadFactorHours),0),)</f>
        <v>6.4965634553805536E-5</v>
      </c>
      <c r="C7" s="7" cm="1">
        <f t="array" ref="C7">INDEX('Summarized Source Data'!$S$1269:$S$1412,MATCH(1,($A7=LoadFactorSeasons)*(C$1=LoadFactorHours),0),)</f>
        <v>6.4092766797669952E-5</v>
      </c>
      <c r="D7" s="7" cm="1">
        <f t="array" ref="D7">INDEX('Summarized Source Data'!$S$1269:$S$1412,MATCH(1,($A7=LoadFactorSeasons)*(D$1=LoadFactorHours),0),)</f>
        <v>6.3868590882359283E-5</v>
      </c>
      <c r="E7" s="7" cm="1">
        <f t="array" ref="E7">INDEX('Summarized Source Data'!$S$1269:$S$1412,MATCH(1,($A7=LoadFactorSeasons)*(E$1=LoadFactorHours),0),)</f>
        <v>6.407497996135353E-5</v>
      </c>
      <c r="F7" s="7" cm="1">
        <f t="array" ref="F7">INDEX('Summarized Source Data'!$S$1269:$S$1412,MATCH(1,($A7=LoadFactorSeasons)*(F$1=LoadFactorHours),0),)</f>
        <v>6.3850096176290761E-5</v>
      </c>
      <c r="G7" s="7" cm="1">
        <f t="array" ref="G7">INDEX('Summarized Source Data'!$S$1269:$S$1412,MATCH(1,($A7=LoadFactorSeasons)*(G$1=LoadFactorHours),0),)</f>
        <v>6.556451810480084E-5</v>
      </c>
      <c r="H7" s="7" cm="1">
        <f t="array" ref="H7">INDEX('Summarized Source Data'!$S$1269:$S$1412,MATCH(1,($A7=LoadFactorSeasons)*(H$1=LoadFactorHours),0),)</f>
        <v>9.8227057076582372E-5</v>
      </c>
      <c r="I7" s="7" cm="1">
        <f t="array" ref="I7">INDEX('Summarized Source Data'!$S$1269:$S$1412,MATCH(1,($A7=LoadFactorSeasons)*(I$1=LoadFactorHours),0),)</f>
        <v>2.0592574606560711E-4</v>
      </c>
      <c r="J7" s="7" cm="1">
        <f t="array" ref="J7">INDEX('Summarized Source Data'!$S$1269:$S$1412,MATCH(1,($A7=LoadFactorSeasons)*(J$1=LoadFactorHours),0),)</f>
        <v>2.2394424884634775E-4</v>
      </c>
      <c r="K7" s="7" cm="1">
        <f t="array" ref="K7">INDEX('Summarized Source Data'!$S$1269:$S$1412,MATCH(1,($A7=LoadFactorSeasons)*(K$1=LoadFactorHours),0),)</f>
        <v>1.9820353058814686E-4</v>
      </c>
      <c r="L7" s="7" cm="1">
        <f t="array" ref="L7">INDEX('Summarized Source Data'!$S$1269:$S$1412,MATCH(1,($A7=LoadFactorSeasons)*(L$1=LoadFactorHours),0),)</f>
        <v>1.5959245320084552E-4</v>
      </c>
      <c r="M7" s="7" cm="1">
        <f t="array" ref="M7">INDEX('Summarized Source Data'!$S$1269:$S$1412,MATCH(1,($A7=LoadFactorSeasons)*(M$1=LoadFactorHours),0),)</f>
        <v>1.6087948911375558E-4</v>
      </c>
      <c r="N7" s="7" cm="1">
        <f t="array" ref="N7">INDEX('Summarized Source Data'!$S$1269:$S$1412,MATCH(1,($A7=LoadFactorSeasons)*(N$1=LoadFactorHours),0),)</f>
        <v>1.6345356093957564E-4</v>
      </c>
      <c r="O7" s="7" cm="1">
        <f t="array" ref="O7">INDEX('Summarized Source Data'!$S$1269:$S$1412,MATCH(1,($A7=LoadFactorSeasons)*(O$1=LoadFactorHours),0),)</f>
        <v>1.6216652502666561E-4</v>
      </c>
      <c r="P7" s="7" cm="1">
        <f t="array" ref="P7">INDEX('Summarized Source Data'!$S$1269:$S$1412,MATCH(1,($A7=LoadFactorSeasons)*(P$1=LoadFactorHours),0),)</f>
        <v>1.6087948911375558E-4</v>
      </c>
      <c r="Q7" s="7" cm="1">
        <f t="array" ref="Q7">INDEX('Summarized Source Data'!$S$1269:$S$1412,MATCH(1,($A7=LoadFactorSeasons)*(Q$1=LoadFactorHours),0),)</f>
        <v>1.9048131511068659E-4</v>
      </c>
      <c r="R7" s="7" cm="1">
        <f t="array" ref="R7">INDEX('Summarized Source Data'!$S$1269:$S$1412,MATCH(1,($A7=LoadFactorSeasons)*(R$1=LoadFactorHours),0),)</f>
        <v>2.200831411076176E-4</v>
      </c>
      <c r="S7" s="7" cm="1">
        <f t="array" ref="S7">INDEX('Summarized Source Data'!$S$1269:$S$1412,MATCH(1,($A7=LoadFactorSeasons)*(S$1=LoadFactorHours),0),)</f>
        <v>2.31666464323808E-4</v>
      </c>
      <c r="T7" s="7" cm="1">
        <f t="array" ref="T7">INDEX('Summarized Source Data'!$S$1269:$S$1412,MATCH(1,($A7=LoadFactorSeasons)*(T$1=LoadFactorHours),0),)</f>
        <v>2.1236092563015735E-4</v>
      </c>
      <c r="U7" s="7" cm="1">
        <f t="array" ref="U7">INDEX('Summarized Source Data'!$S$1269:$S$1412,MATCH(1,($A7=LoadFactorSeasons)*(U$1=LoadFactorHours),0),)</f>
        <v>1.7374984824285601E-4</v>
      </c>
      <c r="V7" s="7" cm="1">
        <f t="array" ref="V7">INDEX('Summarized Source Data'!$S$1269:$S$1412,MATCH(1,($A7=LoadFactorSeasons)*(V$1=LoadFactorHours),0),)</f>
        <v>1.5959245320084552E-4</v>
      </c>
      <c r="W7" s="7" cm="1">
        <f t="array" ref="W7">INDEX('Summarized Source Data'!$S$1269:$S$1412,MATCH(1,($A7=LoadFactorSeasons)*(W$1=LoadFactorHours),0),)</f>
        <v>1.5058320181047521E-4</v>
      </c>
      <c r="X7" s="7" cm="1">
        <f t="array" ref="X7">INDEX('Summarized Source Data'!$S$1269:$S$1412,MATCH(1,($A7=LoadFactorSeasons)*(X$1=LoadFactorHours),0),)</f>
        <v>1.4286098633301493E-4</v>
      </c>
      <c r="Y7" s="7" cm="1">
        <f t="array" ref="Y7">INDEX('Summarized Source Data'!$S$1269:$S$1412,MATCH(1,($A7=LoadFactorSeasons)*(Y$1=LoadFactorHours),0),)</f>
        <v>9.5911627987820691E-5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2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06D9-1DA2-4036-AB90-E94945EC509F}">
  <sheetPr codeName="Sheet25">
    <tabColor rgb="FF002060"/>
  </sheetPr>
  <dimension ref="A1:Y15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25" width="10.4414062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 cm="1">
        <f t="array" ref="B2">INDEX('Summarized Source Data'!$T$1269:$T$1412,MATCH(1,($A2=LoadFactorSeasons)*(B$1=LoadFactorHours),0),)</f>
        <v>5.5684609886809198E-5</v>
      </c>
      <c r="C2" s="7" cm="1">
        <f t="array" ref="C2">INDEX('Summarized Source Data'!$T$1269:$T$1412,MATCH(1,($A2=LoadFactorSeasons)*(C$1=LoadFactorHours),0),)</f>
        <v>5.458743015728071E-5</v>
      </c>
      <c r="D2" s="7" cm="1">
        <f t="array" ref="D2">INDEX('Summarized Source Data'!$T$1269:$T$1412,MATCH(1,($A2=LoadFactorSeasons)*(D$1=LoadFactorHours),0),)</f>
        <v>5.4298113707815903E-5</v>
      </c>
      <c r="E2" s="7" cm="1">
        <f t="array" ref="E2">INDEX('Summarized Source Data'!$T$1269:$T$1412,MATCH(1,($A2=LoadFactorSeasons)*(E$1=LoadFactorHours),0),)</f>
        <v>5.4445534478526085E-5</v>
      </c>
      <c r="F2" s="7" cm="1">
        <f t="array" ref="F2">INDEX('Summarized Source Data'!$T$1269:$T$1412,MATCH(1,($A2=LoadFactorSeasons)*(F$1=LoadFactorHours),0),)</f>
        <v>5.4241838981835276E-5</v>
      </c>
      <c r="G2" s="7" cm="1">
        <f t="array" ref="G2">INDEX('Summarized Source Data'!$T$1269:$T$1412,MATCH(1,($A2=LoadFactorSeasons)*(G$1=LoadFactorHours),0),)</f>
        <v>5.5531021517429502E-5</v>
      </c>
      <c r="H2" s="7" cm="1">
        <f t="array" ref="H2">INDEX('Summarized Source Data'!$T$1269:$T$1412,MATCH(1,($A2=LoadFactorSeasons)*(H$1=LoadFactorHours),0),)</f>
        <v>8.079258693862213E-5</v>
      </c>
      <c r="I2" s="7" cm="1">
        <f t="array" ref="I2">INDEX('Summarized Source Data'!$T$1269:$T$1412,MATCH(1,($A2=LoadFactorSeasons)*(I$1=LoadFactorHours),0),)</f>
        <v>1.6010652237221599E-4</v>
      </c>
      <c r="J2" s="7" cm="1">
        <f t="array" ref="J2">INDEX('Summarized Source Data'!$T$1269:$T$1412,MATCH(1,($A2=LoadFactorSeasons)*(J$1=LoadFactorHours),0),)</f>
        <v>1.7592663270557914E-4</v>
      </c>
      <c r="K2" s="7" cm="1">
        <f t="array" ref="K2">INDEX('Summarized Source Data'!$T$1269:$T$1412,MATCH(1,($A2=LoadFactorSeasons)*(K$1=LoadFactorHours),0),)</f>
        <v>1.6064357212139827E-4</v>
      </c>
      <c r="L2" s="7" cm="1">
        <f t="array" ref="L2">INDEX('Summarized Source Data'!$T$1269:$T$1412,MATCH(1,($A2=LoadFactorSeasons)*(L$1=LoadFactorHours),0),)</f>
        <v>1.3427205647940612E-4</v>
      </c>
      <c r="M2" s="7" cm="1">
        <f t="array" ref="M2">INDEX('Summarized Source Data'!$T$1269:$T$1412,MATCH(1,($A2=LoadFactorSeasons)*(M$1=LoadFactorHours),0),)</f>
        <v>1.3562136899577067E-4</v>
      </c>
      <c r="N2" s="7" cm="1">
        <f t="array" ref="N2">INDEX('Summarized Source Data'!$T$1269:$T$1412,MATCH(1,($A2=LoadFactorSeasons)*(N$1=LoadFactorHours),0),)</f>
        <v>1.3696272144016357E-4</v>
      </c>
      <c r="O2" s="7" cm="1">
        <f t="array" ref="O2">INDEX('Summarized Source Data'!$T$1269:$T$1412,MATCH(1,($A2=LoadFactorSeasons)*(O$1=LoadFactorHours),0),)</f>
        <v>1.3521606851643619E-4</v>
      </c>
      <c r="P2" s="7" cm="1">
        <f t="array" ref="P2">INDEX('Summarized Source Data'!$T$1269:$T$1412,MATCH(1,($A2=LoadFactorSeasons)*(P$1=LoadFactorHours),0),)</f>
        <v>1.3380088577784232E-4</v>
      </c>
      <c r="Q2" s="7" cm="1">
        <f t="array" ref="Q2">INDEX('Summarized Source Data'!$T$1269:$T$1412,MATCH(1,($A2=LoadFactorSeasons)*(Q$1=LoadFactorHours),0),)</f>
        <v>1.5479495892900712E-4</v>
      </c>
      <c r="R2" s="7" cm="1">
        <f t="array" ref="R2">INDEX('Summarized Source Data'!$T$1269:$T$1412,MATCH(1,($A2=LoadFactorSeasons)*(R$1=LoadFactorHours),0),)</f>
        <v>1.782426750056659E-4</v>
      </c>
      <c r="S2" s="7" cm="1">
        <f t="array" ref="S2">INDEX('Summarized Source Data'!$T$1269:$T$1412,MATCH(1,($A2=LoadFactorSeasons)*(S$1=LoadFactorHours),0),)</f>
        <v>1.8653800938312401E-4</v>
      </c>
      <c r="T2" s="7" cm="1">
        <f t="array" ref="T2">INDEX('Summarized Source Data'!$T$1269:$T$1412,MATCH(1,($A2=LoadFactorSeasons)*(T$1=LoadFactorHours),0),)</f>
        <v>1.7327943673926227E-4</v>
      </c>
      <c r="U2" s="7" cm="1">
        <f t="array" ref="U2">INDEX('Summarized Source Data'!$T$1269:$T$1412,MATCH(1,($A2=LoadFactorSeasons)*(U$1=LoadFactorHours),0),)</f>
        <v>1.4520486084600582E-4</v>
      </c>
      <c r="V2" s="7" cm="1">
        <f t="array" ref="V2">INDEX('Summarized Source Data'!$T$1269:$T$1412,MATCH(1,($A2=LoadFactorSeasons)*(V$1=LoadFactorHours),0),)</f>
        <v>1.3442494589635399E-4</v>
      </c>
      <c r="W2" s="7" cm="1">
        <f t="array" ref="W2">INDEX('Summarized Source Data'!$T$1269:$T$1412,MATCH(1,($A2=LoadFactorSeasons)*(W$1=LoadFactorHours),0),)</f>
        <v>1.2723614796886746E-4</v>
      </c>
      <c r="X2" s="7" cm="1">
        <f t="array" ref="X2">INDEX('Summarized Source Data'!$T$1269:$T$1412,MATCH(1,($A2=LoadFactorSeasons)*(X$1=LoadFactorHours),0),)</f>
        <v>1.2122440754042808E-4</v>
      </c>
      <c r="Y2" s="7" cm="1">
        <f t="array" ref="Y2">INDEX('Summarized Source Data'!$T$1269:$T$1412,MATCH(1,($A2=LoadFactorSeasons)*(Y$1=LoadFactorHours),0),)</f>
        <v>8.1507095068742867E-5</v>
      </c>
    </row>
    <row r="3" spans="1:25" x14ac:dyDescent="0.3">
      <c r="A3" s="7" t="s">
        <v>162</v>
      </c>
      <c r="B3" s="7" cm="1">
        <f t="array" ref="B3">INDEX('Summarized Source Data'!$T$1269:$T$1412,MATCH(1,($A3=LoadFactorSeasons)*(B$1=LoadFactorHours),0),)</f>
        <v>5.2078455164350287E-5</v>
      </c>
      <c r="C3" s="7" cm="1">
        <f t="array" ref="C3">INDEX('Summarized Source Data'!$T$1269:$T$1412,MATCH(1,($A3=LoadFactorSeasons)*(C$1=LoadFactorHours),0),)</f>
        <v>5.09812754348218E-5</v>
      </c>
      <c r="D3" s="7" cm="1">
        <f t="array" ref="D3">INDEX('Summarized Source Data'!$T$1269:$T$1412,MATCH(1,($A3=LoadFactorSeasons)*(D$1=LoadFactorHours),0),)</f>
        <v>5.0691958355162392E-5</v>
      </c>
      <c r="E3" s="7" cm="1">
        <f t="array" ref="E3">INDEX('Summarized Source Data'!$T$1269:$T$1412,MATCH(1,($A3=LoadFactorSeasons)*(E$1=LoadFactorHours),0),)</f>
        <v>5.0839372930513367E-5</v>
      </c>
      <c r="F3" s="7" cm="1">
        <f t="array" ref="F3">INDEX('Summarized Source Data'!$T$1269:$T$1412,MATCH(1,($A3=LoadFactorSeasons)*(F$1=LoadFactorHours),0),)</f>
        <v>5.0635677433822572E-5</v>
      </c>
      <c r="G3" s="7" cm="1">
        <f t="array" ref="G3">INDEX('Summarized Source Data'!$T$1269:$T$1412,MATCH(1,($A3=LoadFactorSeasons)*(G$1=LoadFactorHours),0),)</f>
        <v>5.1924861457635328E-5</v>
      </c>
      <c r="H3" s="7" cm="1">
        <f t="array" ref="H3">INDEX('Summarized Source Data'!$T$1269:$T$1412,MATCH(1,($A3=LoadFactorSeasons)*(H$1=LoadFactorHours),0),)</f>
        <v>7.5739224121645993E-5</v>
      </c>
      <c r="I3" s="7" cm="1">
        <f t="array" ref="I3">INDEX('Summarized Source Data'!$T$1269:$T$1412,MATCH(1,($A3=LoadFactorSeasons)*(I$1=LoadFactorHours),0),)</f>
        <v>1.5095831346352033E-4</v>
      </c>
      <c r="J3" s="7" cm="1">
        <f t="array" ref="J3">INDEX('Summarized Source Data'!$T$1269:$T$1412,MATCH(1,($A3=LoadFactorSeasons)*(J$1=LoadFactorHours),0),)</f>
        <v>1.6603145398301519E-4</v>
      </c>
      <c r="K3" s="7" cm="1">
        <f t="array" ref="K3">INDEX('Summarized Source Data'!$T$1269:$T$1412,MATCH(1,($A3=LoadFactorSeasons)*(K$1=LoadFactorHours),0),)</f>
        <v>1.5150411285855714E-4</v>
      </c>
      <c r="L3" s="7" cm="1">
        <f t="array" ref="L3">INDEX('Summarized Source Data'!$T$1269:$T$1412,MATCH(1,($A3=LoadFactorSeasons)*(L$1=LoadFactorHours),0),)</f>
        <v>1.2723552454385988E-4</v>
      </c>
      <c r="M3" s="7" cm="1">
        <f t="array" ref="M3">INDEX('Summarized Source Data'!$T$1269:$T$1412,MATCH(1,($A3=LoadFactorSeasons)*(M$1=LoadFactorHours),0),)</f>
        <v>1.2790301446350422E-4</v>
      </c>
      <c r="N3" s="7" cm="1">
        <f t="array" ref="N3">INDEX('Summarized Source Data'!$T$1269:$T$1412,MATCH(1,($A3=LoadFactorSeasons)*(N$1=LoadFactorHours),0),)</f>
        <v>1.2928983179259849E-4</v>
      </c>
      <c r="O3" s="7" cm="1">
        <f t="array" ref="O3">INDEX('Summarized Source Data'!$T$1269:$T$1412,MATCH(1,($A3=LoadFactorSeasons)*(O$1=LoadFactorHours),0),)</f>
        <v>1.2831631171265426E-4</v>
      </c>
      <c r="P3" s="7" cm="1">
        <f t="array" ref="P3">INDEX('Summarized Source Data'!$T$1269:$T$1412,MATCH(1,($A3=LoadFactorSeasons)*(P$1=LoadFactorHours),0),)</f>
        <v>1.2621930732729526E-4</v>
      </c>
      <c r="Q3" s="7" cm="1">
        <f t="array" ref="Q3">INDEX('Summarized Source Data'!$T$1269:$T$1412,MATCH(1,($A3=LoadFactorSeasons)*(Q$1=LoadFactorHours),0),)</f>
        <v>1.4574681387026478E-4</v>
      </c>
      <c r="R3" s="7" cm="1">
        <f t="array" ref="R3">INDEX('Summarized Source Data'!$T$1269:$T$1412,MATCH(1,($A3=LoadFactorSeasons)*(R$1=LoadFactorHours),0),)</f>
        <v>1.6812723520461621E-4</v>
      </c>
      <c r="S3" s="7" cm="1">
        <f t="array" ref="S3">INDEX('Summarized Source Data'!$T$1269:$T$1412,MATCH(1,($A3=LoadFactorSeasons)*(S$1=LoadFactorHours),0),)</f>
        <v>1.7642257025223898E-4</v>
      </c>
      <c r="T3" s="7" cm="1">
        <f t="array" ref="T3">INDEX('Summarized Source Data'!$T$1269:$T$1412,MATCH(1,($A3=LoadFactorSeasons)*(T$1=LoadFactorHours),0),)</f>
        <v>1.6432079707422102E-4</v>
      </c>
      <c r="U3" s="7" cm="1">
        <f t="array" ref="U3">INDEX('Summarized Source Data'!$T$1269:$T$1412,MATCH(1,($A3=LoadFactorSeasons)*(U$1=LoadFactorHours),0),)</f>
        <v>1.3746530866304716E-4</v>
      </c>
      <c r="V3" s="7" cm="1">
        <f t="array" ref="V3">INDEX('Summarized Source Data'!$T$1269:$T$1412,MATCH(1,($A3=LoadFactorSeasons)*(V$1=LoadFactorHours),0),)</f>
        <v>1.2699516167380065E-4</v>
      </c>
      <c r="W3" s="7" cm="1">
        <f t="array" ref="W3">INDEX('Summarized Source Data'!$T$1269:$T$1412,MATCH(1,($A3=LoadFactorSeasons)*(W$1=LoadFactorHours),0),)</f>
        <v>1.1919682034035524E-4</v>
      </c>
      <c r="X3" s="7" cm="1">
        <f t="array" ref="X3">INDEX('Summarized Source Data'!$T$1269:$T$1412,MATCH(1,($A3=LoadFactorSeasons)*(X$1=LoadFactorHours),0),)</f>
        <v>1.1339335689272908E-4</v>
      </c>
      <c r="Y3" s="7" cm="1">
        <f t="array" ref="Y3">INDEX('Summarized Source Data'!$T$1269:$T$1412,MATCH(1,($A3=LoadFactorSeasons)*(Y$1=LoadFactorHours),0),)</f>
        <v>7.6316305843857462E-5</v>
      </c>
    </row>
    <row r="4" spans="1:25" x14ac:dyDescent="0.3">
      <c r="A4" s="7" t="s">
        <v>163</v>
      </c>
      <c r="B4" s="7" cm="1">
        <f t="array" ref="B4">INDEX('Summarized Source Data'!$T$1269:$T$1412,MATCH(1,($A4=LoadFactorSeasons)*(B$1=LoadFactorHours),0),)</f>
        <v>4.8629018732723561E-5</v>
      </c>
      <c r="C4" s="7" cm="1">
        <f t="array" ref="C4">INDEX('Summarized Source Data'!$T$1269:$T$1412,MATCH(1,($A4=LoadFactorSeasons)*(C$1=LoadFactorHours),0),)</f>
        <v>4.7531839003195081E-5</v>
      </c>
      <c r="D4" s="7" cm="1">
        <f t="array" ref="D4">INDEX('Summarized Source Data'!$T$1269:$T$1412,MATCH(1,($A4=LoadFactorSeasons)*(D$1=LoadFactorHours),0),)</f>
        <v>4.7242521923535687E-5</v>
      </c>
      <c r="E4" s="7" cm="1">
        <f t="array" ref="E4">INDEX('Summarized Source Data'!$T$1269:$T$1412,MATCH(1,($A4=LoadFactorSeasons)*(E$1=LoadFactorHours),0),)</f>
        <v>4.7389942694245862E-5</v>
      </c>
      <c r="F4" s="7" cm="1">
        <f t="array" ref="F4">INDEX('Summarized Source Data'!$T$1269:$T$1412,MATCH(1,($A4=LoadFactorSeasons)*(F$1=LoadFactorHours),0),)</f>
        <v>4.7186244099875457E-5</v>
      </c>
      <c r="G4" s="7" cm="1">
        <f t="array" ref="G4">INDEX('Summarized Source Data'!$T$1269:$T$1412,MATCH(1,($A4=LoadFactorSeasons)*(G$1=LoadFactorHours),0),)</f>
        <v>4.84754281236882E-5</v>
      </c>
      <c r="H4" s="7" cm="1">
        <f t="array" ref="H4">INDEX('Summarized Source Data'!$T$1269:$T$1412,MATCH(1,($A4=LoadFactorSeasons)*(H$1=LoadFactorHours),0),)</f>
        <v>7.0905472146898401E-5</v>
      </c>
      <c r="I4" s="7" cm="1">
        <f t="array" ref="I4">INDEX('Summarized Source Data'!$T$1269:$T$1412,MATCH(1,($A4=LoadFactorSeasons)*(I$1=LoadFactorHours),0),)</f>
        <v>1.4143893335808025E-4</v>
      </c>
      <c r="J4" s="7" cm="1">
        <f t="array" ref="J4">INDEX('Summarized Source Data'!$T$1269:$T$1412,MATCH(1,($A4=LoadFactorSeasons)*(J$1=LoadFactorHours),0),)</f>
        <v>1.5699016135395225E-4</v>
      </c>
      <c r="K4" s="7" cm="1">
        <f t="array" ref="K4">INDEX('Summarized Source Data'!$T$1269:$T$1412,MATCH(1,($A4=LoadFactorSeasons)*(K$1=LoadFactorHours),0),)</f>
        <v>1.4299501321675791E-4</v>
      </c>
      <c r="L4" s="7" cm="1">
        <f t="array" ref="L4">INDEX('Summarized Source Data'!$T$1269:$T$1412,MATCH(1,($A4=LoadFactorSeasons)*(L$1=LoadFactorHours),0),)</f>
        <v>1.1929248084341459E-4</v>
      </c>
      <c r="M4" s="7" cm="1">
        <f t="array" ref="M4">INDEX('Summarized Source Data'!$T$1269:$T$1412,MATCH(1,($A4=LoadFactorSeasons)*(M$1=LoadFactorHours),0),)</f>
        <v>1.2056951416901789E-4</v>
      </c>
      <c r="N4" s="7" cm="1">
        <f t="array" ref="N4">INDEX('Summarized Source Data'!$T$1269:$T$1412,MATCH(1,($A4=LoadFactorSeasons)*(N$1=LoadFactorHours),0),)</f>
        <v>1.2230958572402077E-4</v>
      </c>
      <c r="O4" s="7" cm="1">
        <f t="array" ref="O4">INDEX('Summarized Source Data'!$T$1269:$T$1412,MATCH(1,($A4=LoadFactorSeasons)*(O$1=LoadFactorHours),0),)</f>
        <v>1.2050409960946279E-4</v>
      </c>
      <c r="P4" s="7" cm="1">
        <f t="array" ref="P4">INDEX('Summarized Source Data'!$T$1269:$T$1412,MATCH(1,($A4=LoadFactorSeasons)*(P$1=LoadFactorHours),0),)</f>
        <v>1.1901663743096097E-4</v>
      </c>
      <c r="Q4" s="7" cm="1">
        <f t="array" ref="Q4">INDEX('Summarized Source Data'!$T$1269:$T$1412,MATCH(1,($A4=LoadFactorSeasons)*(Q$1=LoadFactorHours),0),)</f>
        <v>1.3701529044067906E-4</v>
      </c>
      <c r="R4" s="7" cm="1">
        <f t="array" ref="R4">INDEX('Summarized Source Data'!$T$1269:$T$1412,MATCH(1,($A4=LoadFactorSeasons)*(R$1=LoadFactorHours),0),)</f>
        <v>1.5887525635544224E-4</v>
      </c>
      <c r="S4" s="7" cm="1">
        <f t="array" ref="S4">INDEX('Summarized Source Data'!$T$1269:$T$1412,MATCH(1,($A4=LoadFactorSeasons)*(S$1=LoadFactorHours),0),)</f>
        <v>1.6717058892492132E-4</v>
      </c>
      <c r="T4" s="7" cm="1">
        <f t="array" ref="T4">INDEX('Summarized Source Data'!$T$1269:$T$1412,MATCH(1,($A4=LoadFactorSeasons)*(T$1=LoadFactorHours),0),)</f>
        <v>1.5598812959141133E-4</v>
      </c>
      <c r="U4" s="7" cm="1">
        <f t="array" ref="U4">INDEX('Summarized Source Data'!$T$1269:$T$1412,MATCH(1,($A4=LoadFactorSeasons)*(U$1=LoadFactorHours),0),)</f>
        <v>1.3006194258330993E-4</v>
      </c>
      <c r="V4" s="7" cm="1">
        <f t="array" ref="V4">INDEX('Summarized Source Data'!$T$1269:$T$1412,MATCH(1,($A4=LoadFactorSeasons)*(V$1=LoadFactorHours),0),)</f>
        <v>1.1928202763365806E-4</v>
      </c>
      <c r="W4" s="7" cm="1">
        <f t="array" ref="W4">INDEX('Summarized Source Data'!$T$1269:$T$1412,MATCH(1,($A4=LoadFactorSeasons)*(W$1=LoadFactorHours),0),)</f>
        <v>1.1198622346192916E-4</v>
      </c>
      <c r="X4" s="7" cm="1">
        <f t="array" ref="X4">INDEX('Summarized Source Data'!$T$1269:$T$1412,MATCH(1,($A4=LoadFactorSeasons)*(X$1=LoadFactorHours),0),)</f>
        <v>1.0598756181249664E-4</v>
      </c>
      <c r="Y4" s="7" cm="1">
        <f t="array" ref="Y4">INDEX('Summarized Source Data'!$T$1269:$T$1412,MATCH(1,($A4=LoadFactorSeasons)*(Y$1=LoadFactorHours),0),)</f>
        <v>7.1351099138629829E-5</v>
      </c>
    </row>
    <row r="5" spans="1:25" x14ac:dyDescent="0.3">
      <c r="A5" s="7" t="s">
        <v>164</v>
      </c>
      <c r="B5" s="7" cm="1">
        <f t="array" ref="B5">INDEX('Summarized Source Data'!$T$1269:$T$1412,MATCH(1,($A5=LoadFactorSeasons)*(B$1=LoadFactorHours),0),)</f>
        <v>5.3002506678019106E-5</v>
      </c>
      <c r="C5" s="7" cm="1">
        <f t="array" ref="C5">INDEX('Summarized Source Data'!$T$1269:$T$1412,MATCH(1,($A5=LoadFactorSeasons)*(C$1=LoadFactorHours),0),)</f>
        <v>5.1905326948490632E-5</v>
      </c>
      <c r="D5" s="7" cm="1">
        <f t="array" ref="D5">INDEX('Summarized Source Data'!$T$1269:$T$1412,MATCH(1,($A5=LoadFactorSeasons)*(D$1=LoadFactorHours),0),)</f>
        <v>5.1616008629759378E-5</v>
      </c>
      <c r="E5" s="7" cm="1">
        <f t="array" ref="E5">INDEX('Summarized Source Data'!$T$1269:$T$1412,MATCH(1,($A5=LoadFactorSeasons)*(E$1=LoadFactorHours),0),)</f>
        <v>5.1763429400469567E-5</v>
      </c>
      <c r="F5" s="7" cm="1">
        <f t="array" ref="F5">INDEX('Summarized Source Data'!$T$1269:$T$1412,MATCH(1,($A5=LoadFactorSeasons)*(F$1=LoadFactorHours),0),)</f>
        <v>5.1559733903778758E-5</v>
      </c>
      <c r="G5" s="7" cm="1">
        <f t="array" ref="G5">INDEX('Summarized Source Data'!$T$1269:$T$1412,MATCH(1,($A5=LoadFactorSeasons)*(G$1=LoadFactorHours),0),)</f>
        <v>5.2848919166663355E-5</v>
      </c>
      <c r="H5" s="7" cm="1">
        <f t="array" ref="H5">INDEX('Summarized Source Data'!$T$1269:$T$1412,MATCH(1,($A5=LoadFactorSeasons)*(H$1=LoadFactorHours),0),)</f>
        <v>7.7034113854402734E-5</v>
      </c>
      <c r="I5" s="7" cm="1">
        <f t="array" ref="I5">INDEX('Summarized Source Data'!$T$1269:$T$1412,MATCH(1,($A5=LoadFactorSeasons)*(I$1=LoadFactorHours),0),)</f>
        <v>1.5295048542546128E-4</v>
      </c>
      <c r="J5" s="7" cm="1">
        <f t="array" ref="J5">INDEX('Summarized Source Data'!$T$1269:$T$1412,MATCH(1,($A5=LoadFactorSeasons)*(J$1=LoadFactorHours),0),)</f>
        <v>1.6866838366126199E-4</v>
      </c>
      <c r="K5" s="7" cm="1">
        <f t="array" ref="K5">INDEX('Summarized Source Data'!$T$1269:$T$1412,MATCH(1,($A5=LoadFactorSeasons)*(K$1=LoadFactorHours),0),)</f>
        <v>1.540070187523787E-4</v>
      </c>
      <c r="L5" s="7" cm="1">
        <f t="array" ref="L5">INDEX('Summarized Source Data'!$T$1269:$T$1412,MATCH(1,($A5=LoadFactorSeasons)*(L$1=LoadFactorHours),0),)</f>
        <v>1.2897312168877624E-4</v>
      </c>
      <c r="M5" s="7" cm="1">
        <f t="array" ref="M5">INDEX('Summarized Source Data'!$T$1269:$T$1412,MATCH(1,($A5=LoadFactorSeasons)*(M$1=LoadFactorHours),0),)</f>
        <v>1.2964061160842061E-4</v>
      </c>
      <c r="N5" s="7" cm="1">
        <f t="array" ref="N5">INDEX('Summarized Source Data'!$T$1269:$T$1412,MATCH(1,($A5=LoadFactorSeasons)*(N$1=LoadFactorHours),0),)</f>
        <v>1.3148296728784106E-4</v>
      </c>
      <c r="O5" s="7" cm="1">
        <f t="array" ref="O5">INDEX('Summarized Source Data'!$T$1269:$T$1412,MATCH(1,($A5=LoadFactorSeasons)*(O$1=LoadFactorHours),0),)</f>
        <v>1.3001886121516372E-4</v>
      </c>
      <c r="P5" s="7" cm="1">
        <f t="array" ref="P5">INDEX('Summarized Source Data'!$T$1269:$T$1412,MATCH(1,($A5=LoadFactorSeasons)*(P$1=LoadFactorHours),0),)</f>
        <v>1.2792185496104065E-4</v>
      </c>
      <c r="Q5" s="7" cm="1">
        <f t="array" ref="Q5">INDEX('Summarized Source Data'!$T$1269:$T$1412,MATCH(1,($A5=LoadFactorSeasons)*(Q$1=LoadFactorHours),0),)</f>
        <v>1.4822632172573806E-4</v>
      </c>
      <c r="R5" s="7" cm="1">
        <f t="array" ref="R5">INDEX('Summarized Source Data'!$T$1269:$T$1412,MATCH(1,($A5=LoadFactorSeasons)*(R$1=LoadFactorHours),0),)</f>
        <v>1.7082060568509569E-4</v>
      </c>
      <c r="S5" s="7" cm="1">
        <f t="array" ref="S5">INDEX('Summarized Source Data'!$T$1269:$T$1412,MATCH(1,($A5=LoadFactorSeasons)*(S$1=LoadFactorHours),0),)</f>
        <v>1.7911594012333889E-4</v>
      </c>
      <c r="T5" s="7" cm="1">
        <f t="array" ref="T5">INDEX('Summarized Source Data'!$T$1269:$T$1412,MATCH(1,($A5=LoadFactorSeasons)*(T$1=LoadFactorHours),0),)</f>
        <v>1.6654697653244982E-4</v>
      </c>
      <c r="U5" s="7" cm="1">
        <f t="array" ref="U5">INDEX('Summarized Source Data'!$T$1269:$T$1412,MATCH(1,($A5=LoadFactorSeasons)*(U$1=LoadFactorHours),0),)</f>
        <v>1.3939171206634276E-4</v>
      </c>
      <c r="V5" s="7" cm="1">
        <f t="array" ref="V5">INDEX('Summarized Source Data'!$T$1269:$T$1412,MATCH(1,($A5=LoadFactorSeasons)*(V$1=LoadFactorHours),0),)</f>
        <v>1.2906391746080455E-4</v>
      </c>
      <c r="W5" s="7" cm="1">
        <f t="array" ref="W5">INDEX('Summarized Source Data'!$T$1269:$T$1412,MATCH(1,($A5=LoadFactorSeasons)*(W$1=LoadFactorHours),0),)</f>
        <v>1.2142299918920443E-4</v>
      </c>
      <c r="X5" s="7" cm="1">
        <f t="array" ref="X5">INDEX('Summarized Source Data'!$T$1269:$T$1412,MATCH(1,($A5=LoadFactorSeasons)*(X$1=LoadFactorHours),0),)</f>
        <v>1.1518155644737337E-4</v>
      </c>
      <c r="Y5" s="7" cm="1">
        <f t="array" ref="Y5">INDEX('Summarized Source Data'!$T$1269:$T$1412,MATCH(1,($A5=LoadFactorSeasons)*(Y$1=LoadFactorHours),0),)</f>
        <v>7.7646409886961064E-5</v>
      </c>
    </row>
    <row r="6" spans="1:25" x14ac:dyDescent="0.3">
      <c r="A6" s="7" t="s">
        <v>167</v>
      </c>
      <c r="B6" s="7" cm="1">
        <f t="array" ref="B6">INDEX('Summarized Source Data'!$T$1269:$T$1412,MATCH(1,($A6=LoadFactorSeasons)*(B$1=LoadFactorHours),0),)</f>
        <v>5.6547994961522594E-5</v>
      </c>
      <c r="C6" s="7" cm="1">
        <f t="array" ref="C6">INDEX('Summarized Source Data'!$T$1269:$T$1412,MATCH(1,($A6=LoadFactorSeasons)*(C$1=LoadFactorHours),0),)</f>
        <v>5.5675127205386996E-5</v>
      </c>
      <c r="D6" s="7" cm="1">
        <f t="array" ref="D6">INDEX('Summarized Source Data'!$T$1269:$T$1412,MATCH(1,($A6=LoadFactorSeasons)*(D$1=LoadFactorHours),0),)</f>
        <v>5.5450951290076327E-5</v>
      </c>
      <c r="E6" s="7" cm="1">
        <f t="array" ref="E6">INDEX('Summarized Source Data'!$T$1269:$T$1412,MATCH(1,($A6=LoadFactorSeasons)*(E$1=LoadFactorHours),0),)</f>
        <v>5.5657340369070581E-5</v>
      </c>
      <c r="F6" s="7" cm="1">
        <f t="array" ref="F6">INDEX('Summarized Source Data'!$T$1269:$T$1412,MATCH(1,($A6=LoadFactorSeasons)*(F$1=LoadFactorHours),0),)</f>
        <v>5.5432456584007812E-5</v>
      </c>
      <c r="G6" s="7" cm="1">
        <f t="array" ref="G6">INDEX('Summarized Source Data'!$T$1269:$T$1412,MATCH(1,($A6=LoadFactorSeasons)*(G$1=LoadFactorHours),0),)</f>
        <v>5.7146878512517891E-5</v>
      </c>
      <c r="H6" s="7" cm="1">
        <f t="array" ref="H6">INDEX('Summarized Source Data'!$T$1269:$T$1412,MATCH(1,($A6=LoadFactorSeasons)*(H$1=LoadFactorHours),0),)</f>
        <v>8.6111711825072345E-5</v>
      </c>
      <c r="I6" s="7" cm="1">
        <f t="array" ref="I6">INDEX('Summarized Source Data'!$T$1269:$T$1412,MATCH(1,($A6=LoadFactorSeasons)*(I$1=LoadFactorHours),0),)</f>
        <v>1.8147206372031628E-4</v>
      </c>
      <c r="J6" s="7" cm="1">
        <f t="array" ref="J6">INDEX('Summarized Source Data'!$T$1269:$T$1412,MATCH(1,($A6=LoadFactorSeasons)*(J$1=LoadFactorHours),0),)</f>
        <v>1.994905665010569E-4</v>
      </c>
      <c r="K6" s="7" cm="1">
        <f t="array" ref="K6">INDEX('Summarized Source Data'!$T$1269:$T$1412,MATCH(1,($A6=LoadFactorSeasons)*(K$1=LoadFactorHours),0),)</f>
        <v>1.763239200686761E-4</v>
      </c>
      <c r="L6" s="7" cm="1">
        <f t="array" ref="L6">INDEX('Summarized Source Data'!$T$1269:$T$1412,MATCH(1,($A6=LoadFactorSeasons)*(L$1=LoadFactorHours),0),)</f>
        <v>1.415739504201049E-4</v>
      </c>
      <c r="M6" s="7" cm="1">
        <f t="array" ref="M6">INDEX('Summarized Source Data'!$T$1269:$T$1412,MATCH(1,($A6=LoadFactorSeasons)*(M$1=LoadFactorHours),0),)</f>
        <v>1.4286098633301493E-4</v>
      </c>
      <c r="N6" s="7" cm="1">
        <f t="array" ref="N6">INDEX('Summarized Source Data'!$T$1269:$T$1412,MATCH(1,($A6=LoadFactorSeasons)*(N$1=LoadFactorHours),0),)</f>
        <v>1.4543505815883503E-4</v>
      </c>
      <c r="O6" s="7" cm="1">
        <f t="array" ref="O6">INDEX('Summarized Source Data'!$T$1269:$T$1412,MATCH(1,($A6=LoadFactorSeasons)*(O$1=LoadFactorHours),0),)</f>
        <v>1.4414802224592499E-4</v>
      </c>
      <c r="P6" s="7" cm="1">
        <f t="array" ref="P6">INDEX('Summarized Source Data'!$T$1269:$T$1412,MATCH(1,($A6=LoadFactorSeasons)*(P$1=LoadFactorHours),0),)</f>
        <v>1.4286098633301493E-4</v>
      </c>
      <c r="Q6" s="7" cm="1">
        <f t="array" ref="Q6">INDEX('Summarized Source Data'!$T$1269:$T$1412,MATCH(1,($A6=LoadFactorSeasons)*(Q$1=LoadFactorHours),0),)</f>
        <v>1.6860170459121582E-4</v>
      </c>
      <c r="R6" s="7" cm="1">
        <f t="array" ref="R6">INDEX('Summarized Source Data'!$T$1269:$T$1412,MATCH(1,($A6=LoadFactorSeasons)*(R$1=LoadFactorHours),0),)</f>
        <v>1.9562945876232677E-4</v>
      </c>
      <c r="S6" s="7" cm="1">
        <f t="array" ref="S6">INDEX('Summarized Source Data'!$T$1269:$T$1412,MATCH(1,($A6=LoadFactorSeasons)*(S$1=LoadFactorHours),0),)</f>
        <v>2.0721278197851717E-4</v>
      </c>
      <c r="T6" s="7" cm="1">
        <f t="array" ref="T6">INDEX('Summarized Source Data'!$T$1269:$T$1412,MATCH(1,($A6=LoadFactorSeasons)*(T$1=LoadFactorHours),0),)</f>
        <v>1.9176835102359662E-4</v>
      </c>
      <c r="U6" s="7" cm="1">
        <f t="array" ref="U6">INDEX('Summarized Source Data'!$T$1269:$T$1412,MATCH(1,($A6=LoadFactorSeasons)*(U$1=LoadFactorHours),0),)</f>
        <v>1.5573134546211539E-4</v>
      </c>
      <c r="V6" s="7" cm="1">
        <f t="array" ref="V6">INDEX('Summarized Source Data'!$T$1269:$T$1412,MATCH(1,($A6=LoadFactorSeasons)*(V$1=LoadFactorHours),0),)</f>
        <v>1.415739504201049E-4</v>
      </c>
      <c r="W6" s="7" cm="1">
        <f t="array" ref="W6">INDEX('Summarized Source Data'!$T$1269:$T$1412,MATCH(1,($A6=LoadFactorSeasons)*(W$1=LoadFactorHours),0),)</f>
        <v>1.325646990297346E-4</v>
      </c>
      <c r="X6" s="7" cm="1">
        <f t="array" ref="X6">INDEX('Summarized Source Data'!$T$1269:$T$1412,MATCH(1,($A6=LoadFactorSeasons)*(X$1=LoadFactorHours),0),)</f>
        <v>1.244397828854839E-4</v>
      </c>
      <c r="Y6" s="7" cm="1">
        <f t="array" ref="Y6">INDEX('Summarized Source Data'!$T$1269:$T$1412,MATCH(1,($A6=LoadFactorSeasons)*(Y$1=LoadFactorHours),0),)</f>
        <v>8.3796282736310664E-5</v>
      </c>
    </row>
    <row r="7" spans="1:25" x14ac:dyDescent="0.3">
      <c r="A7" s="7" t="s">
        <v>166</v>
      </c>
      <c r="B7" s="7" cm="1">
        <f t="array" ref="B7">INDEX('Summarized Source Data'!$T$1269:$T$1412,MATCH(1,($A7=LoadFactorSeasons)*(B$1=LoadFactorHours),0),)</f>
        <v>6.4965634553805536E-5</v>
      </c>
      <c r="C7" s="7" cm="1">
        <f t="array" ref="C7">INDEX('Summarized Source Data'!$T$1269:$T$1412,MATCH(1,($A7=LoadFactorSeasons)*(C$1=LoadFactorHours),0),)</f>
        <v>6.4092766797669952E-5</v>
      </c>
      <c r="D7" s="7" cm="1">
        <f t="array" ref="D7">INDEX('Summarized Source Data'!$T$1269:$T$1412,MATCH(1,($A7=LoadFactorSeasons)*(D$1=LoadFactorHours),0),)</f>
        <v>6.3868590882359283E-5</v>
      </c>
      <c r="E7" s="7" cm="1">
        <f t="array" ref="E7">INDEX('Summarized Source Data'!$T$1269:$T$1412,MATCH(1,($A7=LoadFactorSeasons)*(E$1=LoadFactorHours),0),)</f>
        <v>6.407497996135353E-5</v>
      </c>
      <c r="F7" s="7" cm="1">
        <f t="array" ref="F7">INDEX('Summarized Source Data'!$T$1269:$T$1412,MATCH(1,($A7=LoadFactorSeasons)*(F$1=LoadFactorHours),0),)</f>
        <v>6.3850096176290761E-5</v>
      </c>
      <c r="G7" s="7" cm="1">
        <f t="array" ref="G7">INDEX('Summarized Source Data'!$T$1269:$T$1412,MATCH(1,($A7=LoadFactorSeasons)*(G$1=LoadFactorHours),0),)</f>
        <v>6.556451810480084E-5</v>
      </c>
      <c r="H7" s="7" cm="1">
        <f t="array" ref="H7">INDEX('Summarized Source Data'!$T$1269:$T$1412,MATCH(1,($A7=LoadFactorSeasons)*(H$1=LoadFactorHours),0),)</f>
        <v>9.8227057076582372E-5</v>
      </c>
      <c r="I7" s="7" cm="1">
        <f t="array" ref="I7">INDEX('Summarized Source Data'!$T$1269:$T$1412,MATCH(1,($A7=LoadFactorSeasons)*(I$1=LoadFactorHours),0),)</f>
        <v>2.0592574606560711E-4</v>
      </c>
      <c r="J7" s="7" cm="1">
        <f t="array" ref="J7">INDEX('Summarized Source Data'!$T$1269:$T$1412,MATCH(1,($A7=LoadFactorSeasons)*(J$1=LoadFactorHours),0),)</f>
        <v>2.2394424884634775E-4</v>
      </c>
      <c r="K7" s="7" cm="1">
        <f t="array" ref="K7">INDEX('Summarized Source Data'!$T$1269:$T$1412,MATCH(1,($A7=LoadFactorSeasons)*(K$1=LoadFactorHours),0),)</f>
        <v>1.9820353058814686E-4</v>
      </c>
      <c r="L7" s="7" cm="1">
        <f t="array" ref="L7">INDEX('Summarized Source Data'!$T$1269:$T$1412,MATCH(1,($A7=LoadFactorSeasons)*(L$1=LoadFactorHours),0),)</f>
        <v>1.5959245320084552E-4</v>
      </c>
      <c r="M7" s="7" cm="1">
        <f t="array" ref="M7">INDEX('Summarized Source Data'!$T$1269:$T$1412,MATCH(1,($A7=LoadFactorSeasons)*(M$1=LoadFactorHours),0),)</f>
        <v>1.6087948911375558E-4</v>
      </c>
      <c r="N7" s="7" cm="1">
        <f t="array" ref="N7">INDEX('Summarized Source Data'!$T$1269:$T$1412,MATCH(1,($A7=LoadFactorSeasons)*(N$1=LoadFactorHours),0),)</f>
        <v>1.6345356093957564E-4</v>
      </c>
      <c r="O7" s="7" cm="1">
        <f t="array" ref="O7">INDEX('Summarized Source Data'!$T$1269:$T$1412,MATCH(1,($A7=LoadFactorSeasons)*(O$1=LoadFactorHours),0),)</f>
        <v>1.6216652502666561E-4</v>
      </c>
      <c r="P7" s="7" cm="1">
        <f t="array" ref="P7">INDEX('Summarized Source Data'!$T$1269:$T$1412,MATCH(1,($A7=LoadFactorSeasons)*(P$1=LoadFactorHours),0),)</f>
        <v>1.6087948911375558E-4</v>
      </c>
      <c r="Q7" s="7" cm="1">
        <f t="array" ref="Q7">INDEX('Summarized Source Data'!$T$1269:$T$1412,MATCH(1,($A7=LoadFactorSeasons)*(Q$1=LoadFactorHours),0),)</f>
        <v>1.9048131511068659E-4</v>
      </c>
      <c r="R7" s="7" cm="1">
        <f t="array" ref="R7">INDEX('Summarized Source Data'!$T$1269:$T$1412,MATCH(1,($A7=LoadFactorSeasons)*(R$1=LoadFactorHours),0),)</f>
        <v>2.200831411076176E-4</v>
      </c>
      <c r="S7" s="7" cm="1">
        <f t="array" ref="S7">INDEX('Summarized Source Data'!$T$1269:$T$1412,MATCH(1,($A7=LoadFactorSeasons)*(S$1=LoadFactorHours),0),)</f>
        <v>2.31666464323808E-4</v>
      </c>
      <c r="T7" s="7" cm="1">
        <f t="array" ref="T7">INDEX('Summarized Source Data'!$T$1269:$T$1412,MATCH(1,($A7=LoadFactorSeasons)*(T$1=LoadFactorHours),0),)</f>
        <v>2.1236092563015735E-4</v>
      </c>
      <c r="U7" s="7" cm="1">
        <f t="array" ref="U7">INDEX('Summarized Source Data'!$T$1269:$T$1412,MATCH(1,($A7=LoadFactorSeasons)*(U$1=LoadFactorHours),0),)</f>
        <v>1.7374984824285601E-4</v>
      </c>
      <c r="V7" s="7" cm="1">
        <f t="array" ref="V7">INDEX('Summarized Source Data'!$T$1269:$T$1412,MATCH(1,($A7=LoadFactorSeasons)*(V$1=LoadFactorHours),0),)</f>
        <v>1.5959245320084552E-4</v>
      </c>
      <c r="W7" s="7" cm="1">
        <f t="array" ref="W7">INDEX('Summarized Source Data'!$T$1269:$T$1412,MATCH(1,($A7=LoadFactorSeasons)*(W$1=LoadFactorHours),0),)</f>
        <v>1.5058320181047521E-4</v>
      </c>
      <c r="X7" s="7" cm="1">
        <f t="array" ref="X7">INDEX('Summarized Source Data'!$T$1269:$T$1412,MATCH(1,($A7=LoadFactorSeasons)*(X$1=LoadFactorHours),0),)</f>
        <v>1.4286098633301493E-4</v>
      </c>
      <c r="Y7" s="7" cm="1">
        <f t="array" ref="Y7">INDEX('Summarized Source Data'!$T$1269:$T$1412,MATCH(1,($A7=LoadFactorSeasons)*(Y$1=LoadFactorHours),0),)</f>
        <v>9.5911627987820691E-5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21DE-C53D-4048-8E2A-505AC208822B}">
  <sheetPr codeName="Sheet26">
    <tabColor rgb="FF002060"/>
  </sheetPr>
  <dimension ref="A1:Y15"/>
  <sheetViews>
    <sheetView workbookViewId="0">
      <selection activeCell="B3" sqref="B3"/>
    </sheetView>
  </sheetViews>
  <sheetFormatPr defaultRowHeight="14.4" x14ac:dyDescent="0.3"/>
  <cols>
    <col min="1" max="1" width="28.44140625" customWidth="1"/>
    <col min="2" max="2" width="10.5546875" bestFit="1" customWidth="1"/>
    <col min="3" max="25" width="10.4414062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 cm="1">
        <f t="array" ref="B2">INDEX('Summarized Source Data'!$U$1269:$U$1412,MATCH(1,($A2=LoadFactorSeasons)*(B$1=LoadFactorHours),0),)</f>
        <v>5.5684609886809198E-5</v>
      </c>
      <c r="C2" s="7" cm="1">
        <f t="array" ref="C2">INDEX('Summarized Source Data'!$U$1269:$U$1412,MATCH(1,($A2=LoadFactorSeasons)*(C$1=LoadFactorHours),0),)</f>
        <v>5.458743015728071E-5</v>
      </c>
      <c r="D2" s="7" cm="1">
        <f t="array" ref="D2">INDEX('Summarized Source Data'!$U$1269:$U$1412,MATCH(1,($A2=LoadFactorSeasons)*(D$1=LoadFactorHours),0),)</f>
        <v>5.4298113707815903E-5</v>
      </c>
      <c r="E2" s="7" cm="1">
        <f t="array" ref="E2">INDEX('Summarized Source Data'!$U$1269:$U$1412,MATCH(1,($A2=LoadFactorSeasons)*(E$1=LoadFactorHours),0),)</f>
        <v>5.4445534478526085E-5</v>
      </c>
      <c r="F2" s="7" cm="1">
        <f t="array" ref="F2">INDEX('Summarized Source Data'!$U$1269:$U$1412,MATCH(1,($A2=LoadFactorSeasons)*(F$1=LoadFactorHours),0),)</f>
        <v>5.4241838981835276E-5</v>
      </c>
      <c r="G2" s="7" cm="1">
        <f t="array" ref="G2">INDEX('Summarized Source Data'!$U$1269:$U$1412,MATCH(1,($A2=LoadFactorSeasons)*(G$1=LoadFactorHours),0),)</f>
        <v>5.5531021517429502E-5</v>
      </c>
      <c r="H2" s="7" cm="1">
        <f t="array" ref="H2">INDEX('Summarized Source Data'!$U$1269:$U$1412,MATCH(1,($A2=LoadFactorSeasons)*(H$1=LoadFactorHours),0),)</f>
        <v>8.079258693862213E-5</v>
      </c>
      <c r="I2" s="7" cm="1">
        <f t="array" ref="I2">INDEX('Summarized Source Data'!$U$1269:$U$1412,MATCH(1,($A2=LoadFactorSeasons)*(I$1=LoadFactorHours),0),)</f>
        <v>1.6010652237221599E-4</v>
      </c>
      <c r="J2" s="7" cm="1">
        <f t="array" ref="J2">INDEX('Summarized Source Data'!$U$1269:$U$1412,MATCH(1,($A2=LoadFactorSeasons)*(J$1=LoadFactorHours),0),)</f>
        <v>1.7592663270557914E-4</v>
      </c>
      <c r="K2" s="7" cm="1">
        <f t="array" ref="K2">INDEX('Summarized Source Data'!$U$1269:$U$1412,MATCH(1,($A2=LoadFactorSeasons)*(K$1=LoadFactorHours),0),)</f>
        <v>1.6064357212139827E-4</v>
      </c>
      <c r="L2" s="7" cm="1">
        <f t="array" ref="L2">INDEX('Summarized Source Data'!$U$1269:$U$1412,MATCH(1,($A2=LoadFactorSeasons)*(L$1=LoadFactorHours),0),)</f>
        <v>1.3427205647940612E-4</v>
      </c>
      <c r="M2" s="7" cm="1">
        <f t="array" ref="M2">INDEX('Summarized Source Data'!$U$1269:$U$1412,MATCH(1,($A2=LoadFactorSeasons)*(M$1=LoadFactorHours),0),)</f>
        <v>1.3562136899577067E-4</v>
      </c>
      <c r="N2" s="7" cm="1">
        <f t="array" ref="N2">INDEX('Summarized Source Data'!$U$1269:$U$1412,MATCH(1,($A2=LoadFactorSeasons)*(N$1=LoadFactorHours),0),)</f>
        <v>1.3696272144016357E-4</v>
      </c>
      <c r="O2" s="7" cm="1">
        <f t="array" ref="O2">INDEX('Summarized Source Data'!$U$1269:$U$1412,MATCH(1,($A2=LoadFactorSeasons)*(O$1=LoadFactorHours),0),)</f>
        <v>1.3521606851643619E-4</v>
      </c>
      <c r="P2" s="7" cm="1">
        <f t="array" ref="P2">INDEX('Summarized Source Data'!$U$1269:$U$1412,MATCH(1,($A2=LoadFactorSeasons)*(P$1=LoadFactorHours),0),)</f>
        <v>1.3380088577784232E-4</v>
      </c>
      <c r="Q2" s="7" cm="1">
        <f t="array" ref="Q2">INDEX('Summarized Source Data'!$U$1269:$U$1412,MATCH(1,($A2=LoadFactorSeasons)*(Q$1=LoadFactorHours),0),)</f>
        <v>1.5479495892900712E-4</v>
      </c>
      <c r="R2" s="7" cm="1">
        <f t="array" ref="R2">INDEX('Summarized Source Data'!$U$1269:$U$1412,MATCH(1,($A2=LoadFactorSeasons)*(R$1=LoadFactorHours),0),)</f>
        <v>1.782426750056659E-4</v>
      </c>
      <c r="S2" s="7" cm="1">
        <f t="array" ref="S2">INDEX('Summarized Source Data'!$U$1269:$U$1412,MATCH(1,($A2=LoadFactorSeasons)*(S$1=LoadFactorHours),0),)</f>
        <v>1.8653800938312401E-4</v>
      </c>
      <c r="T2" s="7" cm="1">
        <f t="array" ref="T2">INDEX('Summarized Source Data'!$U$1269:$U$1412,MATCH(1,($A2=LoadFactorSeasons)*(T$1=LoadFactorHours),0),)</f>
        <v>1.7327943673926227E-4</v>
      </c>
      <c r="U2" s="7" cm="1">
        <f t="array" ref="U2">INDEX('Summarized Source Data'!$U$1269:$U$1412,MATCH(1,($A2=LoadFactorSeasons)*(U$1=LoadFactorHours),0),)</f>
        <v>1.4520486084600582E-4</v>
      </c>
      <c r="V2" s="7" cm="1">
        <f t="array" ref="V2">INDEX('Summarized Source Data'!$U$1269:$U$1412,MATCH(1,($A2=LoadFactorSeasons)*(V$1=LoadFactorHours),0),)</f>
        <v>1.3442494589635399E-4</v>
      </c>
      <c r="W2" s="7" cm="1">
        <f t="array" ref="W2">INDEX('Summarized Source Data'!$U$1269:$U$1412,MATCH(1,($A2=LoadFactorSeasons)*(W$1=LoadFactorHours),0),)</f>
        <v>1.2723614796886746E-4</v>
      </c>
      <c r="X2" s="7" cm="1">
        <f t="array" ref="X2">INDEX('Summarized Source Data'!$U$1269:$U$1412,MATCH(1,($A2=LoadFactorSeasons)*(X$1=LoadFactorHours),0),)</f>
        <v>1.2122440754042808E-4</v>
      </c>
      <c r="Y2" s="7" cm="1">
        <f t="array" ref="Y2">INDEX('Summarized Source Data'!$U$1269:$U$1412,MATCH(1,($A2=LoadFactorSeasons)*(Y$1=LoadFactorHours),0),)</f>
        <v>8.1507095068742867E-5</v>
      </c>
    </row>
    <row r="3" spans="1:25" x14ac:dyDescent="0.3">
      <c r="A3" s="7" t="s">
        <v>162</v>
      </c>
      <c r="B3" s="7" cm="1">
        <f t="array" ref="B3">INDEX('Summarized Source Data'!$U$1269:$U$1412,MATCH(1,($A3=LoadFactorSeasons)*(B$1=LoadFactorHours),0),)</f>
        <v>5.2078455164350287E-5</v>
      </c>
      <c r="C3" s="7" cm="1">
        <f t="array" ref="C3">INDEX('Summarized Source Data'!$U$1269:$U$1412,MATCH(1,($A3=LoadFactorSeasons)*(C$1=LoadFactorHours),0),)</f>
        <v>5.09812754348218E-5</v>
      </c>
      <c r="D3" s="7" cm="1">
        <f t="array" ref="D3">INDEX('Summarized Source Data'!$U$1269:$U$1412,MATCH(1,($A3=LoadFactorSeasons)*(D$1=LoadFactorHours),0),)</f>
        <v>5.0691958355162392E-5</v>
      </c>
      <c r="E3" s="7" cm="1">
        <f t="array" ref="E3">INDEX('Summarized Source Data'!$U$1269:$U$1412,MATCH(1,($A3=LoadFactorSeasons)*(E$1=LoadFactorHours),0),)</f>
        <v>5.0839372930513367E-5</v>
      </c>
      <c r="F3" s="7" cm="1">
        <f t="array" ref="F3">INDEX('Summarized Source Data'!$U$1269:$U$1412,MATCH(1,($A3=LoadFactorSeasons)*(F$1=LoadFactorHours),0),)</f>
        <v>5.0635677433822572E-5</v>
      </c>
      <c r="G3" s="7" cm="1">
        <f t="array" ref="G3">INDEX('Summarized Source Data'!$U$1269:$U$1412,MATCH(1,($A3=LoadFactorSeasons)*(G$1=LoadFactorHours),0),)</f>
        <v>5.1924861457635328E-5</v>
      </c>
      <c r="H3" s="7" cm="1">
        <f t="array" ref="H3">INDEX('Summarized Source Data'!$U$1269:$U$1412,MATCH(1,($A3=LoadFactorSeasons)*(H$1=LoadFactorHours),0),)</f>
        <v>7.5739224121645993E-5</v>
      </c>
      <c r="I3" s="7" cm="1">
        <f t="array" ref="I3">INDEX('Summarized Source Data'!$U$1269:$U$1412,MATCH(1,($A3=LoadFactorSeasons)*(I$1=LoadFactorHours),0),)</f>
        <v>1.5095831346352033E-4</v>
      </c>
      <c r="J3" s="7" cm="1">
        <f t="array" ref="J3">INDEX('Summarized Source Data'!$U$1269:$U$1412,MATCH(1,($A3=LoadFactorSeasons)*(J$1=LoadFactorHours),0),)</f>
        <v>1.6603145398301519E-4</v>
      </c>
      <c r="K3" s="7" cm="1">
        <f t="array" ref="K3">INDEX('Summarized Source Data'!$U$1269:$U$1412,MATCH(1,($A3=LoadFactorSeasons)*(K$1=LoadFactorHours),0),)</f>
        <v>1.5150411285855714E-4</v>
      </c>
      <c r="L3" s="7" cm="1">
        <f t="array" ref="L3">INDEX('Summarized Source Data'!$U$1269:$U$1412,MATCH(1,($A3=LoadFactorSeasons)*(L$1=LoadFactorHours),0),)</f>
        <v>1.2723552454385988E-4</v>
      </c>
      <c r="M3" s="7" cm="1">
        <f t="array" ref="M3">INDEX('Summarized Source Data'!$U$1269:$U$1412,MATCH(1,($A3=LoadFactorSeasons)*(M$1=LoadFactorHours),0),)</f>
        <v>1.2790301446350422E-4</v>
      </c>
      <c r="N3" s="7" cm="1">
        <f t="array" ref="N3">INDEX('Summarized Source Data'!$U$1269:$U$1412,MATCH(1,($A3=LoadFactorSeasons)*(N$1=LoadFactorHours),0),)</f>
        <v>1.2928983179259849E-4</v>
      </c>
      <c r="O3" s="7" cm="1">
        <f t="array" ref="O3">INDEX('Summarized Source Data'!$U$1269:$U$1412,MATCH(1,($A3=LoadFactorSeasons)*(O$1=LoadFactorHours),0),)</f>
        <v>1.2831631171265426E-4</v>
      </c>
      <c r="P3" s="7" cm="1">
        <f t="array" ref="P3">INDEX('Summarized Source Data'!$U$1269:$U$1412,MATCH(1,($A3=LoadFactorSeasons)*(P$1=LoadFactorHours),0),)</f>
        <v>1.2621930732729526E-4</v>
      </c>
      <c r="Q3" s="7" cm="1">
        <f t="array" ref="Q3">INDEX('Summarized Source Data'!$U$1269:$U$1412,MATCH(1,($A3=LoadFactorSeasons)*(Q$1=LoadFactorHours),0),)</f>
        <v>1.4574681387026478E-4</v>
      </c>
      <c r="R3" s="7" cm="1">
        <f t="array" ref="R3">INDEX('Summarized Source Data'!$U$1269:$U$1412,MATCH(1,($A3=LoadFactorSeasons)*(R$1=LoadFactorHours),0),)</f>
        <v>1.6812723520461621E-4</v>
      </c>
      <c r="S3" s="7" cm="1">
        <f t="array" ref="S3">INDEX('Summarized Source Data'!$U$1269:$U$1412,MATCH(1,($A3=LoadFactorSeasons)*(S$1=LoadFactorHours),0),)</f>
        <v>1.7642257025223898E-4</v>
      </c>
      <c r="T3" s="7" cm="1">
        <f t="array" ref="T3">INDEX('Summarized Source Data'!$U$1269:$U$1412,MATCH(1,($A3=LoadFactorSeasons)*(T$1=LoadFactorHours),0),)</f>
        <v>1.6432079707422102E-4</v>
      </c>
      <c r="U3" s="7" cm="1">
        <f t="array" ref="U3">INDEX('Summarized Source Data'!$U$1269:$U$1412,MATCH(1,($A3=LoadFactorSeasons)*(U$1=LoadFactorHours),0),)</f>
        <v>1.3746530866304716E-4</v>
      </c>
      <c r="V3" s="7" cm="1">
        <f t="array" ref="V3">INDEX('Summarized Source Data'!$U$1269:$U$1412,MATCH(1,($A3=LoadFactorSeasons)*(V$1=LoadFactorHours),0),)</f>
        <v>1.2699516167380065E-4</v>
      </c>
      <c r="W3" s="7" cm="1">
        <f t="array" ref="W3">INDEX('Summarized Source Data'!$U$1269:$U$1412,MATCH(1,($A3=LoadFactorSeasons)*(W$1=LoadFactorHours),0),)</f>
        <v>1.1919682034035524E-4</v>
      </c>
      <c r="X3" s="7" cm="1">
        <f t="array" ref="X3">INDEX('Summarized Source Data'!$U$1269:$U$1412,MATCH(1,($A3=LoadFactorSeasons)*(X$1=LoadFactorHours),0),)</f>
        <v>1.1339335689272908E-4</v>
      </c>
      <c r="Y3" s="7" cm="1">
        <f t="array" ref="Y3">INDEX('Summarized Source Data'!$U$1269:$U$1412,MATCH(1,($A3=LoadFactorSeasons)*(Y$1=LoadFactorHours),0),)</f>
        <v>7.6316305843857462E-5</v>
      </c>
    </row>
    <row r="4" spans="1:25" x14ac:dyDescent="0.3">
      <c r="A4" s="7" t="s">
        <v>163</v>
      </c>
      <c r="B4" s="7" cm="1">
        <f t="array" ref="B4">INDEX('Summarized Source Data'!$U$1269:$U$1412,MATCH(1,($A4=LoadFactorSeasons)*(B$1=LoadFactorHours),0),)</f>
        <v>4.8629018732723561E-5</v>
      </c>
      <c r="C4" s="7" cm="1">
        <f t="array" ref="C4">INDEX('Summarized Source Data'!$U$1269:$U$1412,MATCH(1,($A4=LoadFactorSeasons)*(C$1=LoadFactorHours),0),)</f>
        <v>4.7531839003195081E-5</v>
      </c>
      <c r="D4" s="7" cm="1">
        <f t="array" ref="D4">INDEX('Summarized Source Data'!$U$1269:$U$1412,MATCH(1,($A4=LoadFactorSeasons)*(D$1=LoadFactorHours),0),)</f>
        <v>4.7242521923535687E-5</v>
      </c>
      <c r="E4" s="7" cm="1">
        <f t="array" ref="E4">INDEX('Summarized Source Data'!$U$1269:$U$1412,MATCH(1,($A4=LoadFactorSeasons)*(E$1=LoadFactorHours),0),)</f>
        <v>4.7389942694245862E-5</v>
      </c>
      <c r="F4" s="7" cm="1">
        <f t="array" ref="F4">INDEX('Summarized Source Data'!$U$1269:$U$1412,MATCH(1,($A4=LoadFactorSeasons)*(F$1=LoadFactorHours),0),)</f>
        <v>4.7186244099875457E-5</v>
      </c>
      <c r="G4" s="7" cm="1">
        <f t="array" ref="G4">INDEX('Summarized Source Data'!$U$1269:$U$1412,MATCH(1,($A4=LoadFactorSeasons)*(G$1=LoadFactorHours),0),)</f>
        <v>4.84754281236882E-5</v>
      </c>
      <c r="H4" s="7" cm="1">
        <f t="array" ref="H4">INDEX('Summarized Source Data'!$U$1269:$U$1412,MATCH(1,($A4=LoadFactorSeasons)*(H$1=LoadFactorHours),0),)</f>
        <v>7.0905472146898401E-5</v>
      </c>
      <c r="I4" s="7" cm="1">
        <f t="array" ref="I4">INDEX('Summarized Source Data'!$U$1269:$U$1412,MATCH(1,($A4=LoadFactorSeasons)*(I$1=LoadFactorHours),0),)</f>
        <v>1.4143893335808025E-4</v>
      </c>
      <c r="J4" s="7" cm="1">
        <f t="array" ref="J4">INDEX('Summarized Source Data'!$U$1269:$U$1412,MATCH(1,($A4=LoadFactorSeasons)*(J$1=LoadFactorHours),0),)</f>
        <v>1.5699016135395225E-4</v>
      </c>
      <c r="K4" s="7" cm="1">
        <f t="array" ref="K4">INDEX('Summarized Source Data'!$U$1269:$U$1412,MATCH(1,($A4=LoadFactorSeasons)*(K$1=LoadFactorHours),0),)</f>
        <v>1.4299501321675791E-4</v>
      </c>
      <c r="L4" s="7" cm="1">
        <f t="array" ref="L4">INDEX('Summarized Source Data'!$U$1269:$U$1412,MATCH(1,($A4=LoadFactorSeasons)*(L$1=LoadFactorHours),0),)</f>
        <v>1.1929248084341459E-4</v>
      </c>
      <c r="M4" s="7" cm="1">
        <f t="array" ref="M4">INDEX('Summarized Source Data'!$U$1269:$U$1412,MATCH(1,($A4=LoadFactorSeasons)*(M$1=LoadFactorHours),0),)</f>
        <v>1.2056951416901789E-4</v>
      </c>
      <c r="N4" s="7" cm="1">
        <f t="array" ref="N4">INDEX('Summarized Source Data'!$U$1269:$U$1412,MATCH(1,($A4=LoadFactorSeasons)*(N$1=LoadFactorHours),0),)</f>
        <v>1.2230958572402077E-4</v>
      </c>
      <c r="O4" s="7" cm="1">
        <f t="array" ref="O4">INDEX('Summarized Source Data'!$U$1269:$U$1412,MATCH(1,($A4=LoadFactorSeasons)*(O$1=LoadFactorHours),0),)</f>
        <v>1.2050409960946279E-4</v>
      </c>
      <c r="P4" s="7" cm="1">
        <f t="array" ref="P4">INDEX('Summarized Source Data'!$U$1269:$U$1412,MATCH(1,($A4=LoadFactorSeasons)*(P$1=LoadFactorHours),0),)</f>
        <v>1.1901663743096097E-4</v>
      </c>
      <c r="Q4" s="7" cm="1">
        <f t="array" ref="Q4">INDEX('Summarized Source Data'!$U$1269:$U$1412,MATCH(1,($A4=LoadFactorSeasons)*(Q$1=LoadFactorHours),0),)</f>
        <v>1.3701529044067906E-4</v>
      </c>
      <c r="R4" s="7" cm="1">
        <f t="array" ref="R4">INDEX('Summarized Source Data'!$U$1269:$U$1412,MATCH(1,($A4=LoadFactorSeasons)*(R$1=LoadFactorHours),0),)</f>
        <v>1.5887525635544224E-4</v>
      </c>
      <c r="S4" s="7" cm="1">
        <f t="array" ref="S4">INDEX('Summarized Source Data'!$U$1269:$U$1412,MATCH(1,($A4=LoadFactorSeasons)*(S$1=LoadFactorHours),0),)</f>
        <v>1.6717058892492132E-4</v>
      </c>
      <c r="T4" s="7" cm="1">
        <f t="array" ref="T4">INDEX('Summarized Source Data'!$U$1269:$U$1412,MATCH(1,($A4=LoadFactorSeasons)*(T$1=LoadFactorHours),0),)</f>
        <v>1.5598812959141133E-4</v>
      </c>
      <c r="U4" s="7" cm="1">
        <f t="array" ref="U4">INDEX('Summarized Source Data'!$U$1269:$U$1412,MATCH(1,($A4=LoadFactorSeasons)*(U$1=LoadFactorHours),0),)</f>
        <v>1.3006194258330993E-4</v>
      </c>
      <c r="V4" s="7" cm="1">
        <f t="array" ref="V4">INDEX('Summarized Source Data'!$U$1269:$U$1412,MATCH(1,($A4=LoadFactorSeasons)*(V$1=LoadFactorHours),0),)</f>
        <v>1.1928202763365806E-4</v>
      </c>
      <c r="W4" s="7" cm="1">
        <f t="array" ref="W4">INDEX('Summarized Source Data'!$U$1269:$U$1412,MATCH(1,($A4=LoadFactorSeasons)*(W$1=LoadFactorHours),0),)</f>
        <v>1.1198622346192916E-4</v>
      </c>
      <c r="X4" s="7" cm="1">
        <f t="array" ref="X4">INDEX('Summarized Source Data'!$U$1269:$U$1412,MATCH(1,($A4=LoadFactorSeasons)*(X$1=LoadFactorHours),0),)</f>
        <v>1.0598756181249664E-4</v>
      </c>
      <c r="Y4" s="7" cm="1">
        <f t="array" ref="Y4">INDEX('Summarized Source Data'!$U$1269:$U$1412,MATCH(1,($A4=LoadFactorSeasons)*(Y$1=LoadFactorHours),0),)</f>
        <v>7.1351099138629829E-5</v>
      </c>
    </row>
    <row r="5" spans="1:25" x14ac:dyDescent="0.3">
      <c r="A5" s="7" t="s">
        <v>164</v>
      </c>
      <c r="B5" s="7" cm="1">
        <f t="array" ref="B5">INDEX('Summarized Source Data'!$U$1269:$U$1412,MATCH(1,($A5=LoadFactorSeasons)*(B$1=LoadFactorHours),0),)</f>
        <v>5.3002506678019106E-5</v>
      </c>
      <c r="C5" s="7" cm="1">
        <f t="array" ref="C5">INDEX('Summarized Source Data'!$U$1269:$U$1412,MATCH(1,($A5=LoadFactorSeasons)*(C$1=LoadFactorHours),0),)</f>
        <v>5.1905326948490632E-5</v>
      </c>
      <c r="D5" s="7" cm="1">
        <f t="array" ref="D5">INDEX('Summarized Source Data'!$U$1269:$U$1412,MATCH(1,($A5=LoadFactorSeasons)*(D$1=LoadFactorHours),0),)</f>
        <v>5.1616008629759378E-5</v>
      </c>
      <c r="E5" s="7" cm="1">
        <f t="array" ref="E5">INDEX('Summarized Source Data'!$U$1269:$U$1412,MATCH(1,($A5=LoadFactorSeasons)*(E$1=LoadFactorHours),0),)</f>
        <v>5.1763429400469567E-5</v>
      </c>
      <c r="F5" s="7" cm="1">
        <f t="array" ref="F5">INDEX('Summarized Source Data'!$U$1269:$U$1412,MATCH(1,($A5=LoadFactorSeasons)*(F$1=LoadFactorHours),0),)</f>
        <v>5.1559733903778758E-5</v>
      </c>
      <c r="G5" s="7" cm="1">
        <f t="array" ref="G5">INDEX('Summarized Source Data'!$U$1269:$U$1412,MATCH(1,($A5=LoadFactorSeasons)*(G$1=LoadFactorHours),0),)</f>
        <v>5.2848919166663355E-5</v>
      </c>
      <c r="H5" s="7" cm="1">
        <f t="array" ref="H5">INDEX('Summarized Source Data'!$U$1269:$U$1412,MATCH(1,($A5=LoadFactorSeasons)*(H$1=LoadFactorHours),0),)</f>
        <v>7.7034113854402734E-5</v>
      </c>
      <c r="I5" s="7" cm="1">
        <f t="array" ref="I5">INDEX('Summarized Source Data'!$U$1269:$U$1412,MATCH(1,($A5=LoadFactorSeasons)*(I$1=LoadFactorHours),0),)</f>
        <v>1.5295048542546128E-4</v>
      </c>
      <c r="J5" s="7" cm="1">
        <f t="array" ref="J5">INDEX('Summarized Source Data'!$U$1269:$U$1412,MATCH(1,($A5=LoadFactorSeasons)*(J$1=LoadFactorHours),0),)</f>
        <v>1.6866838366126199E-4</v>
      </c>
      <c r="K5" s="7" cm="1">
        <f t="array" ref="K5">INDEX('Summarized Source Data'!$U$1269:$U$1412,MATCH(1,($A5=LoadFactorSeasons)*(K$1=LoadFactorHours),0),)</f>
        <v>1.540070187523787E-4</v>
      </c>
      <c r="L5" s="7" cm="1">
        <f t="array" ref="L5">INDEX('Summarized Source Data'!$U$1269:$U$1412,MATCH(1,($A5=LoadFactorSeasons)*(L$1=LoadFactorHours),0),)</f>
        <v>1.2897312168877624E-4</v>
      </c>
      <c r="M5" s="7" cm="1">
        <f t="array" ref="M5">INDEX('Summarized Source Data'!$U$1269:$U$1412,MATCH(1,($A5=LoadFactorSeasons)*(M$1=LoadFactorHours),0),)</f>
        <v>1.2964061160842061E-4</v>
      </c>
      <c r="N5" s="7" cm="1">
        <f t="array" ref="N5">INDEX('Summarized Source Data'!$U$1269:$U$1412,MATCH(1,($A5=LoadFactorSeasons)*(N$1=LoadFactorHours),0),)</f>
        <v>1.3148296728784106E-4</v>
      </c>
      <c r="O5" s="7" cm="1">
        <f t="array" ref="O5">INDEX('Summarized Source Data'!$U$1269:$U$1412,MATCH(1,($A5=LoadFactorSeasons)*(O$1=LoadFactorHours),0),)</f>
        <v>1.3001886121516372E-4</v>
      </c>
      <c r="P5" s="7" cm="1">
        <f t="array" ref="P5">INDEX('Summarized Source Data'!$U$1269:$U$1412,MATCH(1,($A5=LoadFactorSeasons)*(P$1=LoadFactorHours),0),)</f>
        <v>1.2792185496104065E-4</v>
      </c>
      <c r="Q5" s="7" cm="1">
        <f t="array" ref="Q5">INDEX('Summarized Source Data'!$U$1269:$U$1412,MATCH(1,($A5=LoadFactorSeasons)*(Q$1=LoadFactorHours),0),)</f>
        <v>1.4822632172573806E-4</v>
      </c>
      <c r="R5" s="7" cm="1">
        <f t="array" ref="R5">INDEX('Summarized Source Data'!$U$1269:$U$1412,MATCH(1,($A5=LoadFactorSeasons)*(R$1=LoadFactorHours),0),)</f>
        <v>1.7082060568509569E-4</v>
      </c>
      <c r="S5" s="7" cm="1">
        <f t="array" ref="S5">INDEX('Summarized Source Data'!$U$1269:$U$1412,MATCH(1,($A5=LoadFactorSeasons)*(S$1=LoadFactorHours),0),)</f>
        <v>1.7911594012333889E-4</v>
      </c>
      <c r="T5" s="7" cm="1">
        <f t="array" ref="T5">INDEX('Summarized Source Data'!$U$1269:$U$1412,MATCH(1,($A5=LoadFactorSeasons)*(T$1=LoadFactorHours),0),)</f>
        <v>1.6654697653244982E-4</v>
      </c>
      <c r="U5" s="7" cm="1">
        <f t="array" ref="U5">INDEX('Summarized Source Data'!$U$1269:$U$1412,MATCH(1,($A5=LoadFactorSeasons)*(U$1=LoadFactorHours),0),)</f>
        <v>1.3939171206634276E-4</v>
      </c>
      <c r="V5" s="7" cm="1">
        <f t="array" ref="V5">INDEX('Summarized Source Data'!$U$1269:$U$1412,MATCH(1,($A5=LoadFactorSeasons)*(V$1=LoadFactorHours),0),)</f>
        <v>1.2906391746080455E-4</v>
      </c>
      <c r="W5" s="7" cm="1">
        <f t="array" ref="W5">INDEX('Summarized Source Data'!$U$1269:$U$1412,MATCH(1,($A5=LoadFactorSeasons)*(W$1=LoadFactorHours),0),)</f>
        <v>1.2142299918920443E-4</v>
      </c>
      <c r="X5" s="7" cm="1">
        <f t="array" ref="X5">INDEX('Summarized Source Data'!$U$1269:$U$1412,MATCH(1,($A5=LoadFactorSeasons)*(X$1=LoadFactorHours),0),)</f>
        <v>1.1518155644737337E-4</v>
      </c>
      <c r="Y5" s="7" cm="1">
        <f t="array" ref="Y5">INDEX('Summarized Source Data'!$U$1269:$U$1412,MATCH(1,($A5=LoadFactorSeasons)*(Y$1=LoadFactorHours),0),)</f>
        <v>7.7646409886961064E-5</v>
      </c>
    </row>
    <row r="6" spans="1:25" x14ac:dyDescent="0.3">
      <c r="A6" s="7" t="s">
        <v>167</v>
      </c>
      <c r="B6" s="7" cm="1">
        <f t="array" ref="B6">INDEX('Summarized Source Data'!$U$1269:$U$1412,MATCH(1,($A6=LoadFactorSeasons)*(B$1=LoadFactorHours),0),)</f>
        <v>5.6547994961522594E-5</v>
      </c>
      <c r="C6" s="7" cm="1">
        <f t="array" ref="C6">INDEX('Summarized Source Data'!$U$1269:$U$1412,MATCH(1,($A6=LoadFactorSeasons)*(C$1=LoadFactorHours),0),)</f>
        <v>5.5675127205386996E-5</v>
      </c>
      <c r="D6" s="7" cm="1">
        <f t="array" ref="D6">INDEX('Summarized Source Data'!$U$1269:$U$1412,MATCH(1,($A6=LoadFactorSeasons)*(D$1=LoadFactorHours),0),)</f>
        <v>5.5450951290076327E-5</v>
      </c>
      <c r="E6" s="7" cm="1">
        <f t="array" ref="E6">INDEX('Summarized Source Data'!$U$1269:$U$1412,MATCH(1,($A6=LoadFactorSeasons)*(E$1=LoadFactorHours),0),)</f>
        <v>5.5657340369070581E-5</v>
      </c>
      <c r="F6" s="7" cm="1">
        <f t="array" ref="F6">INDEX('Summarized Source Data'!$U$1269:$U$1412,MATCH(1,($A6=LoadFactorSeasons)*(F$1=LoadFactorHours),0),)</f>
        <v>5.5432456584007812E-5</v>
      </c>
      <c r="G6" s="7" cm="1">
        <f t="array" ref="G6">INDEX('Summarized Source Data'!$U$1269:$U$1412,MATCH(1,($A6=LoadFactorSeasons)*(G$1=LoadFactorHours),0),)</f>
        <v>5.7146878512517891E-5</v>
      </c>
      <c r="H6" s="7" cm="1">
        <f t="array" ref="H6">INDEX('Summarized Source Data'!$U$1269:$U$1412,MATCH(1,($A6=LoadFactorSeasons)*(H$1=LoadFactorHours),0),)</f>
        <v>8.6111711825072345E-5</v>
      </c>
      <c r="I6" s="7" cm="1">
        <f t="array" ref="I6">INDEX('Summarized Source Data'!$U$1269:$U$1412,MATCH(1,($A6=LoadFactorSeasons)*(I$1=LoadFactorHours),0),)</f>
        <v>1.8147206372031628E-4</v>
      </c>
      <c r="J6" s="7" cm="1">
        <f t="array" ref="J6">INDEX('Summarized Source Data'!$U$1269:$U$1412,MATCH(1,($A6=LoadFactorSeasons)*(J$1=LoadFactorHours),0),)</f>
        <v>1.994905665010569E-4</v>
      </c>
      <c r="K6" s="7" cm="1">
        <f t="array" ref="K6">INDEX('Summarized Source Data'!$U$1269:$U$1412,MATCH(1,($A6=LoadFactorSeasons)*(K$1=LoadFactorHours),0),)</f>
        <v>1.763239200686761E-4</v>
      </c>
      <c r="L6" s="7" cm="1">
        <f t="array" ref="L6">INDEX('Summarized Source Data'!$U$1269:$U$1412,MATCH(1,($A6=LoadFactorSeasons)*(L$1=LoadFactorHours),0),)</f>
        <v>1.415739504201049E-4</v>
      </c>
      <c r="M6" s="7" cm="1">
        <f t="array" ref="M6">INDEX('Summarized Source Data'!$U$1269:$U$1412,MATCH(1,($A6=LoadFactorSeasons)*(M$1=LoadFactorHours),0),)</f>
        <v>1.4286098633301493E-4</v>
      </c>
      <c r="N6" s="7" cm="1">
        <f t="array" ref="N6">INDEX('Summarized Source Data'!$U$1269:$U$1412,MATCH(1,($A6=LoadFactorSeasons)*(N$1=LoadFactorHours),0),)</f>
        <v>1.4543505815883503E-4</v>
      </c>
      <c r="O6" s="7" cm="1">
        <f t="array" ref="O6">INDEX('Summarized Source Data'!$U$1269:$U$1412,MATCH(1,($A6=LoadFactorSeasons)*(O$1=LoadFactorHours),0),)</f>
        <v>1.4414802224592499E-4</v>
      </c>
      <c r="P6" s="7" cm="1">
        <f t="array" ref="P6">INDEX('Summarized Source Data'!$U$1269:$U$1412,MATCH(1,($A6=LoadFactorSeasons)*(P$1=LoadFactorHours),0),)</f>
        <v>1.4286098633301493E-4</v>
      </c>
      <c r="Q6" s="7" cm="1">
        <f t="array" ref="Q6">INDEX('Summarized Source Data'!$U$1269:$U$1412,MATCH(1,($A6=LoadFactorSeasons)*(Q$1=LoadFactorHours),0),)</f>
        <v>1.6860170459121582E-4</v>
      </c>
      <c r="R6" s="7" cm="1">
        <f t="array" ref="R6">INDEX('Summarized Source Data'!$U$1269:$U$1412,MATCH(1,($A6=LoadFactorSeasons)*(R$1=LoadFactorHours),0),)</f>
        <v>1.9562945876232677E-4</v>
      </c>
      <c r="S6" s="7" cm="1">
        <f t="array" ref="S6">INDEX('Summarized Source Data'!$U$1269:$U$1412,MATCH(1,($A6=LoadFactorSeasons)*(S$1=LoadFactorHours),0),)</f>
        <v>2.0721278197851717E-4</v>
      </c>
      <c r="T6" s="7" cm="1">
        <f t="array" ref="T6">INDEX('Summarized Source Data'!$U$1269:$U$1412,MATCH(1,($A6=LoadFactorSeasons)*(T$1=LoadFactorHours),0),)</f>
        <v>1.9176835102359662E-4</v>
      </c>
      <c r="U6" s="7" cm="1">
        <f t="array" ref="U6">INDEX('Summarized Source Data'!$U$1269:$U$1412,MATCH(1,($A6=LoadFactorSeasons)*(U$1=LoadFactorHours),0),)</f>
        <v>1.5573134546211539E-4</v>
      </c>
      <c r="V6" s="7" cm="1">
        <f t="array" ref="V6">INDEX('Summarized Source Data'!$U$1269:$U$1412,MATCH(1,($A6=LoadFactorSeasons)*(V$1=LoadFactorHours),0),)</f>
        <v>1.415739504201049E-4</v>
      </c>
      <c r="W6" s="7" cm="1">
        <f t="array" ref="W6">INDEX('Summarized Source Data'!$U$1269:$U$1412,MATCH(1,($A6=LoadFactorSeasons)*(W$1=LoadFactorHours),0),)</f>
        <v>1.325646990297346E-4</v>
      </c>
      <c r="X6" s="7" cm="1">
        <f t="array" ref="X6">INDEX('Summarized Source Data'!$U$1269:$U$1412,MATCH(1,($A6=LoadFactorSeasons)*(X$1=LoadFactorHours),0),)</f>
        <v>1.244397828854839E-4</v>
      </c>
      <c r="Y6" s="7" cm="1">
        <f t="array" ref="Y6">INDEX('Summarized Source Data'!$U$1269:$U$1412,MATCH(1,($A6=LoadFactorSeasons)*(Y$1=LoadFactorHours),0),)</f>
        <v>8.3796282736310664E-5</v>
      </c>
    </row>
    <row r="7" spans="1:25" x14ac:dyDescent="0.3">
      <c r="A7" s="7" t="s">
        <v>166</v>
      </c>
      <c r="B7" s="7" cm="1">
        <f t="array" ref="B7">INDEX('Summarized Source Data'!$U$1269:$U$1412,MATCH(1,($A7=LoadFactorSeasons)*(B$1=LoadFactorHours),0),)</f>
        <v>6.4965634553805536E-5</v>
      </c>
      <c r="C7" s="7" cm="1">
        <f t="array" ref="C7">INDEX('Summarized Source Data'!$U$1269:$U$1412,MATCH(1,($A7=LoadFactorSeasons)*(C$1=LoadFactorHours),0),)</f>
        <v>6.4092766797669952E-5</v>
      </c>
      <c r="D7" s="7" cm="1">
        <f t="array" ref="D7">INDEX('Summarized Source Data'!$U$1269:$U$1412,MATCH(1,($A7=LoadFactorSeasons)*(D$1=LoadFactorHours),0),)</f>
        <v>6.3868590882359283E-5</v>
      </c>
      <c r="E7" s="7" cm="1">
        <f t="array" ref="E7">INDEX('Summarized Source Data'!$U$1269:$U$1412,MATCH(1,($A7=LoadFactorSeasons)*(E$1=LoadFactorHours),0),)</f>
        <v>6.407497996135353E-5</v>
      </c>
      <c r="F7" s="7" cm="1">
        <f t="array" ref="F7">INDEX('Summarized Source Data'!$U$1269:$U$1412,MATCH(1,($A7=LoadFactorSeasons)*(F$1=LoadFactorHours),0),)</f>
        <v>6.3850096176290761E-5</v>
      </c>
      <c r="G7" s="7" cm="1">
        <f t="array" ref="G7">INDEX('Summarized Source Data'!$U$1269:$U$1412,MATCH(1,($A7=LoadFactorSeasons)*(G$1=LoadFactorHours),0),)</f>
        <v>6.556451810480084E-5</v>
      </c>
      <c r="H7" s="7" cm="1">
        <f t="array" ref="H7">INDEX('Summarized Source Data'!$U$1269:$U$1412,MATCH(1,($A7=LoadFactorSeasons)*(H$1=LoadFactorHours),0),)</f>
        <v>9.8227057076582372E-5</v>
      </c>
      <c r="I7" s="7" cm="1">
        <f t="array" ref="I7">INDEX('Summarized Source Data'!$U$1269:$U$1412,MATCH(1,($A7=LoadFactorSeasons)*(I$1=LoadFactorHours),0),)</f>
        <v>2.0592574606560711E-4</v>
      </c>
      <c r="J7" s="7" cm="1">
        <f t="array" ref="J7">INDEX('Summarized Source Data'!$U$1269:$U$1412,MATCH(1,($A7=LoadFactorSeasons)*(J$1=LoadFactorHours),0),)</f>
        <v>2.2394424884634775E-4</v>
      </c>
      <c r="K7" s="7" cm="1">
        <f t="array" ref="K7">INDEX('Summarized Source Data'!$U$1269:$U$1412,MATCH(1,($A7=LoadFactorSeasons)*(K$1=LoadFactorHours),0),)</f>
        <v>1.9820353058814686E-4</v>
      </c>
      <c r="L7" s="7" cm="1">
        <f t="array" ref="L7">INDEX('Summarized Source Data'!$U$1269:$U$1412,MATCH(1,($A7=LoadFactorSeasons)*(L$1=LoadFactorHours),0),)</f>
        <v>1.5959245320084552E-4</v>
      </c>
      <c r="M7" s="7" cm="1">
        <f t="array" ref="M7">INDEX('Summarized Source Data'!$U$1269:$U$1412,MATCH(1,($A7=LoadFactorSeasons)*(M$1=LoadFactorHours),0),)</f>
        <v>1.6087948911375558E-4</v>
      </c>
      <c r="N7" s="7" cm="1">
        <f t="array" ref="N7">INDEX('Summarized Source Data'!$U$1269:$U$1412,MATCH(1,($A7=LoadFactorSeasons)*(N$1=LoadFactorHours),0),)</f>
        <v>1.6345356093957564E-4</v>
      </c>
      <c r="O7" s="7" cm="1">
        <f t="array" ref="O7">INDEX('Summarized Source Data'!$U$1269:$U$1412,MATCH(1,($A7=LoadFactorSeasons)*(O$1=LoadFactorHours),0),)</f>
        <v>1.6216652502666561E-4</v>
      </c>
      <c r="P7" s="7" cm="1">
        <f t="array" ref="P7">INDEX('Summarized Source Data'!$U$1269:$U$1412,MATCH(1,($A7=LoadFactorSeasons)*(P$1=LoadFactorHours),0),)</f>
        <v>1.6087948911375558E-4</v>
      </c>
      <c r="Q7" s="7" cm="1">
        <f t="array" ref="Q7">INDEX('Summarized Source Data'!$U$1269:$U$1412,MATCH(1,($A7=LoadFactorSeasons)*(Q$1=LoadFactorHours),0),)</f>
        <v>1.9048131511068659E-4</v>
      </c>
      <c r="R7" s="7" cm="1">
        <f t="array" ref="R7">INDEX('Summarized Source Data'!$U$1269:$U$1412,MATCH(1,($A7=LoadFactorSeasons)*(R$1=LoadFactorHours),0),)</f>
        <v>2.200831411076176E-4</v>
      </c>
      <c r="S7" s="7" cm="1">
        <f t="array" ref="S7">INDEX('Summarized Source Data'!$U$1269:$U$1412,MATCH(1,($A7=LoadFactorSeasons)*(S$1=LoadFactorHours),0),)</f>
        <v>2.31666464323808E-4</v>
      </c>
      <c r="T7" s="7" cm="1">
        <f t="array" ref="T7">INDEX('Summarized Source Data'!$U$1269:$U$1412,MATCH(1,($A7=LoadFactorSeasons)*(T$1=LoadFactorHours),0),)</f>
        <v>2.1236092563015735E-4</v>
      </c>
      <c r="U7" s="7" cm="1">
        <f t="array" ref="U7">INDEX('Summarized Source Data'!$U$1269:$U$1412,MATCH(1,($A7=LoadFactorSeasons)*(U$1=LoadFactorHours),0),)</f>
        <v>1.7374984824285601E-4</v>
      </c>
      <c r="V7" s="7" cm="1">
        <f t="array" ref="V7">INDEX('Summarized Source Data'!$U$1269:$U$1412,MATCH(1,($A7=LoadFactorSeasons)*(V$1=LoadFactorHours),0),)</f>
        <v>1.5959245320084552E-4</v>
      </c>
      <c r="W7" s="7" cm="1">
        <f t="array" ref="W7">INDEX('Summarized Source Data'!$U$1269:$U$1412,MATCH(1,($A7=LoadFactorSeasons)*(W$1=LoadFactorHours),0),)</f>
        <v>1.5058320181047521E-4</v>
      </c>
      <c r="X7" s="7" cm="1">
        <f t="array" ref="X7">INDEX('Summarized Source Data'!$U$1269:$U$1412,MATCH(1,($A7=LoadFactorSeasons)*(X$1=LoadFactorHours),0),)</f>
        <v>1.4286098633301493E-4</v>
      </c>
      <c r="Y7" s="7" cm="1">
        <f t="array" ref="Y7">INDEX('Summarized Source Data'!$U$1269:$U$1412,MATCH(1,($A7=LoadFactorSeasons)*(Y$1=LoadFactorHours),0),)</f>
        <v>9.5911627987820691E-5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95888-7BC8-49E2-A356-BA1FA0BB38A7}">
  <sheetPr codeName="Sheet27">
    <tabColor rgb="FF002060"/>
  </sheetPr>
  <dimension ref="A1:Y15"/>
  <sheetViews>
    <sheetView topLeftCell="F1" workbookViewId="0">
      <selection activeCell="B6" sqref="B6:Y7"/>
    </sheetView>
  </sheetViews>
  <sheetFormatPr defaultRowHeight="14.4" x14ac:dyDescent="0.3"/>
  <cols>
    <col min="1" max="1" width="28.44140625" customWidth="1"/>
    <col min="2" max="2" width="10.5546875" bestFit="1" customWidth="1"/>
    <col min="3" max="25" width="10.4414062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 cm="1">
        <f t="array" ref="B2">INDEX('Summarized Source Data'!$V$1269:$V$1412,MATCH(1,($A2=LoadFactorSeasons)*(B$1=LoadFactorHours),0),)</f>
        <v>1.1235640568220452E-4</v>
      </c>
      <c r="C2" s="7" cm="1">
        <f t="array" ref="C2">INDEX('Summarized Source Data'!$V$1269:$V$1412,MATCH(1,($A2=LoadFactorSeasons)*(C$1=LoadFactorHours),0),)</f>
        <v>1.1220802741569272E-4</v>
      </c>
      <c r="D2" s="7" cm="1">
        <f t="array" ref="D2">INDEX('Summarized Source Data'!$V$1269:$V$1412,MATCH(1,($A2=LoadFactorSeasons)*(D$1=LoadFactorHours),0),)</f>
        <v>1.1217111147458623E-4</v>
      </c>
      <c r="E2" s="7" cm="1">
        <f t="array" ref="E2">INDEX('Summarized Source Data'!$V$1269:$V$1412,MATCH(1,($A2=LoadFactorSeasons)*(E$1=LoadFactorHours),0),)</f>
        <v>1.1222827164146076E-4</v>
      </c>
      <c r="F2" s="7" cm="1">
        <f t="array" ref="F2">INDEX('Summarized Source Data'!$V$1269:$V$1412,MATCH(1,($A2=LoadFactorSeasons)*(F$1=LoadFactorHours),0),)</f>
        <v>1.1267078660001444E-4</v>
      </c>
      <c r="G2" s="7" cm="1">
        <f t="array" ref="G2">INDEX('Summarized Source Data'!$V$1269:$V$1412,MATCH(1,($A2=LoadFactorSeasons)*(G$1=LoadFactorHours),0),)</f>
        <v>1.1348293730435681E-4</v>
      </c>
      <c r="H2" s="7" cm="1">
        <f t="array" ref="H2">INDEX('Summarized Source Data'!$V$1269:$V$1412,MATCH(1,($A2=LoadFactorSeasons)*(H$1=LoadFactorHours),0),)</f>
        <v>1.1468877865804749E-4</v>
      </c>
      <c r="I2" s="7" cm="1">
        <f t="array" ref="I2">INDEX('Summarized Source Data'!$V$1269:$V$1412,MATCH(1,($A2=LoadFactorSeasons)*(I$1=LoadFactorHours),0),)</f>
        <v>1.1559786347871457E-4</v>
      </c>
      <c r="J2" s="7" cm="1">
        <f t="array" ref="J2">INDEX('Summarized Source Data'!$V$1269:$V$1412,MATCH(1,($A2=LoadFactorSeasons)*(J$1=LoadFactorHours),0),)</f>
        <v>1.1585413156020206E-4</v>
      </c>
      <c r="K2" s="7" cm="1">
        <f t="array" ref="K2">INDEX('Summarized Source Data'!$V$1269:$V$1412,MATCH(1,($A2=LoadFactorSeasons)*(K$1=LoadFactorHours),0),)</f>
        <v>1.1562644356215186E-4</v>
      </c>
      <c r="L2" s="7" cm="1">
        <f t="array" ref="L2">INDEX('Summarized Source Data'!$V$1269:$V$1412,MATCH(1,($A2=LoadFactorSeasons)*(L$1=LoadFactorHours),0),)</f>
        <v>1.151763072480149E-4</v>
      </c>
      <c r="M2" s="7" cm="1">
        <f t="array" ref="M2">INDEX('Summarized Source Data'!$V$1269:$V$1412,MATCH(1,($A2=LoadFactorSeasons)*(M$1=LoadFactorHours),0),)</f>
        <v>1.1482524855646046E-4</v>
      </c>
      <c r="N2" s="7" cm="1">
        <f t="array" ref="N2">INDEX('Summarized Source Data'!$V$1269:$V$1412,MATCH(1,($A2=LoadFactorSeasons)*(N$1=LoadFactorHours),0),)</f>
        <v>1.145487362492049E-4</v>
      </c>
      <c r="O2" s="7" cm="1">
        <f t="array" ref="O2">INDEX('Summarized Source Data'!$V$1269:$V$1412,MATCH(1,($A2=LoadFactorSeasons)*(O$1=LoadFactorHours),0),)</f>
        <v>1.1443346324600791E-4</v>
      </c>
      <c r="P2" s="7" cm="1">
        <f t="array" ref="P2">INDEX('Summarized Source Data'!$V$1269:$V$1412,MATCH(1,($A2=LoadFactorSeasons)*(P$1=LoadFactorHours),0),)</f>
        <v>1.1466305658295396E-4</v>
      </c>
      <c r="Q2" s="7" cm="1">
        <f t="array" ref="Q2">INDEX('Summarized Source Data'!$V$1269:$V$1412,MATCH(1,($A2=LoadFactorSeasons)*(Q$1=LoadFactorHours),0),)</f>
        <v>1.1568265105957846E-4</v>
      </c>
      <c r="R2" s="7" cm="1">
        <f t="array" ref="R2">INDEX('Summarized Source Data'!$V$1269:$V$1412,MATCH(1,($A2=LoadFactorSeasons)*(R$1=LoadFactorHours),0),)</f>
        <v>1.1685252914161059E-4</v>
      </c>
      <c r="S2" s="7" cm="1">
        <f t="array" ref="S2">INDEX('Summarized Source Data'!$V$1269:$V$1412,MATCH(1,($A2=LoadFactorSeasons)*(S$1=LoadFactorHours),0),)</f>
        <v>1.1709569801818934E-4</v>
      </c>
      <c r="T2" s="7" cm="1">
        <f t="array" ref="T2">INDEX('Summarized Source Data'!$V$1269:$V$1412,MATCH(1,($A2=LoadFactorSeasons)*(T$1=LoadFactorHours),0),)</f>
        <v>1.1650956814036343E-4</v>
      </c>
      <c r="U2" s="7" cm="1">
        <f t="array" ref="U2">INDEX('Summarized Source Data'!$V$1269:$V$1412,MATCH(1,($A2=LoadFactorSeasons)*(U$1=LoadFactorHours),0),)</f>
        <v>1.1582364613786899E-4</v>
      </c>
      <c r="V2" s="7" cm="1">
        <f t="array" ref="V2">INDEX('Summarized Source Data'!$V$1269:$V$1412,MATCH(1,($A2=LoadFactorSeasons)*(V$1=LoadFactorHours),0),)</f>
        <v>1.1506865560040119E-4</v>
      </c>
      <c r="W2" s="7" cm="1">
        <f t="array" ref="W2">INDEX('Summarized Source Data'!$V$1269:$V$1412,MATCH(1,($A2=LoadFactorSeasons)*(W$1=LoadFactorHours),0),)</f>
        <v>1.1407668853776602E-4</v>
      </c>
      <c r="X2" s="7" cm="1">
        <f t="array" ref="X2">INDEX('Summarized Source Data'!$V$1269:$V$1412,MATCH(1,($A2=LoadFactorSeasons)*(X$1=LoadFactorHours),0),)</f>
        <v>1.1309948785157348E-4</v>
      </c>
      <c r="Y2" s="7" cm="1">
        <f t="array" ref="Y2">INDEX('Summarized Source Data'!$V$1269:$V$1412,MATCH(1,($A2=LoadFactorSeasons)*(Y$1=LoadFactorHours),0),)</f>
        <v>1.1255646626626538E-4</v>
      </c>
    </row>
    <row r="3" spans="1:25" x14ac:dyDescent="0.3">
      <c r="A3" s="7" t="s">
        <v>162</v>
      </c>
      <c r="B3" s="7" cm="1">
        <f t="array" ref="B3">INDEX('Summarized Source Data'!$V$1269:$V$1412,MATCH(1,($A3=LoadFactorSeasons)*(B$1=LoadFactorHours),0),)</f>
        <v>1.1205505148358446E-4</v>
      </c>
      <c r="C3" s="7" cm="1">
        <f t="array" ref="C3">INDEX('Summarized Source Data'!$V$1269:$V$1412,MATCH(1,($A3=LoadFactorSeasons)*(C$1=LoadFactorHours),0),)</f>
        <v>1.1189351188154774E-4</v>
      </c>
      <c r="D3" s="7" cm="1">
        <f t="array" ref="D3">INDEX('Summarized Source Data'!$V$1269:$V$1412,MATCH(1,($A3=LoadFactorSeasons)*(D$1=LoadFactorHours),0),)</f>
        <v>1.1191215106639813E-4</v>
      </c>
      <c r="E3" s="7" cm="1">
        <f t="array" ref="E3">INDEX('Summarized Source Data'!$V$1269:$V$1412,MATCH(1,($A3=LoadFactorSeasons)*(E$1=LoadFactorHours),0),)</f>
        <v>1.119314115574102E-4</v>
      </c>
      <c r="F3" s="7" cm="1">
        <f t="array" ref="F3">INDEX('Summarized Source Data'!$V$1269:$V$1412,MATCH(1,($A3=LoadFactorSeasons)*(F$1=LoadFactorHours),0),)</f>
        <v>1.1235079321654401E-4</v>
      </c>
      <c r="G3" s="7" cm="1">
        <f t="array" ref="G3">INDEX('Summarized Source Data'!$V$1269:$V$1412,MATCH(1,($A3=LoadFactorSeasons)*(G$1=LoadFactorHours),0),)</f>
        <v>1.1322807751683577E-4</v>
      </c>
      <c r="H3" s="7" cm="1">
        <f t="array" ref="H3">INDEX('Summarized Source Data'!$V$1269:$V$1412,MATCH(1,($A3=LoadFactorSeasons)*(H$1=LoadFactorHours),0),)</f>
        <v>1.1430480109502675E-4</v>
      </c>
      <c r="I3" s="7" cm="1">
        <f t="array" ref="I3">INDEX('Summarized Source Data'!$V$1269:$V$1412,MATCH(1,($A3=LoadFactorSeasons)*(I$1=LoadFactorHours),0),)</f>
        <v>1.15229615316687E-4</v>
      </c>
      <c r="J3" s="7" cm="1">
        <f t="array" ref="J3">INDEX('Summarized Source Data'!$V$1269:$V$1412,MATCH(1,($A3=LoadFactorSeasons)*(J$1=LoadFactorHours),0),)</f>
        <v>1.1547689516903554E-4</v>
      </c>
      <c r="K3" s="7" cm="1">
        <f t="array" ref="K3">INDEX('Summarized Source Data'!$V$1269:$V$1412,MATCH(1,($A3=LoadFactorSeasons)*(K$1=LoadFactorHours),0),)</f>
        <v>1.1527683458497463E-4</v>
      </c>
      <c r="L3" s="7" cm="1">
        <f t="array" ref="L3">INDEX('Summarized Source Data'!$V$1269:$V$1412,MATCH(1,($A3=LoadFactorSeasons)*(L$1=LoadFactorHours),0),)</f>
        <v>1.148391243940713E-4</v>
      </c>
      <c r="M3" s="7" cm="1">
        <f t="array" ref="M3">INDEX('Summarized Source Data'!$V$1269:$V$1412,MATCH(1,($A3=LoadFactorSeasons)*(M$1=LoadFactorHours),0),)</f>
        <v>1.1451542388383618E-4</v>
      </c>
      <c r="N3" s="7" cm="1">
        <f t="array" ref="N3">INDEX('Summarized Source Data'!$V$1269:$V$1412,MATCH(1,($A3=LoadFactorSeasons)*(N$1=LoadFactorHours),0),)</f>
        <v>1.1416221133092121E-4</v>
      </c>
      <c r="O3" s="7" cm="1">
        <f t="array" ref="O3">INDEX('Summarized Source Data'!$V$1269:$V$1412,MATCH(1,($A3=LoadFactorSeasons)*(O$1=LoadFactorHours),0),)</f>
        <v>1.1413332059440313E-4</v>
      </c>
      <c r="P3" s="7" cm="1">
        <f t="array" ref="P3">INDEX('Summarized Source Data'!$V$1269:$V$1412,MATCH(1,($A3=LoadFactorSeasons)*(P$1=LoadFactorHours),0),)</f>
        <v>1.14333381178464E-4</v>
      </c>
      <c r="Q3" s="7" cm="1">
        <f t="array" ref="Q3">INDEX('Summarized Source Data'!$V$1269:$V$1412,MATCH(1,($A3=LoadFactorSeasons)*(Q$1=LoadFactorHours),0),)</f>
        <v>1.1530541466841193E-4</v>
      </c>
      <c r="R3" s="7" cm="1">
        <f t="array" ref="R3">INDEX('Summarized Source Data'!$V$1269:$V$1412,MATCH(1,($A3=LoadFactorSeasons)*(R$1=LoadFactorHours),0),)</f>
        <v>1.1648838160025011E-4</v>
      </c>
      <c r="S3" s="7" cm="1">
        <f t="array" ref="S3">INDEX('Summarized Source Data'!$V$1269:$V$1412,MATCH(1,($A3=LoadFactorSeasons)*(S$1=LoadFactorHours),0),)</f>
        <v>1.1666918169329891E-4</v>
      </c>
      <c r="T3" s="7" cm="1">
        <f t="array" ref="T3">INDEX('Summarized Source Data'!$V$1269:$V$1412,MATCH(1,($A3=LoadFactorSeasons)*(T$1=LoadFactorHours),0),)</f>
        <v>1.1618332027486535E-4</v>
      </c>
      <c r="U3" s="7" cm="1">
        <f t="array" ref="U3">INDEX('Summarized Source Data'!$V$1269:$V$1412,MATCH(1,($A3=LoadFactorSeasons)*(U$1=LoadFactorHours),0),)</f>
        <v>1.1549739827237092E-4</v>
      </c>
      <c r="V3" s="7" cm="1">
        <f t="array" ref="V3">INDEX('Summarized Source Data'!$V$1269:$V$1412,MATCH(1,($A3=LoadFactorSeasons)*(V$1=LoadFactorHours),0),)</f>
        <v>1.146959133238041E-4</v>
      </c>
      <c r="W3" s="7" cm="1">
        <f t="array" ref="W3">INDEX('Summarized Source Data'!$V$1269:$V$1412,MATCH(1,($A3=LoadFactorSeasons)*(W$1=LoadFactorHours),0),)</f>
        <v>1.1376177950971865E-4</v>
      </c>
      <c r="X3" s="7" cm="1">
        <f t="array" ref="X3">INDEX('Summarized Source Data'!$V$1269:$V$1412,MATCH(1,($A3=LoadFactorSeasons)*(X$1=LoadFactorHours),0),)</f>
        <v>1.1277949446810302E-4</v>
      </c>
      <c r="Y3" s="7" cm="1">
        <f t="array" ref="Y3">INDEX('Summarized Source Data'!$V$1269:$V$1412,MATCH(1,($A3=LoadFactorSeasons)*(Y$1=LoadFactorHours),0),)</f>
        <v>1.1220851410551937E-4</v>
      </c>
    </row>
    <row r="4" spans="1:25" x14ac:dyDescent="0.3">
      <c r="A4" s="7" t="s">
        <v>163</v>
      </c>
      <c r="B4" s="7" cm="1">
        <f t="array" ref="B4">INDEX('Summarized Source Data'!$V$1269:$V$1412,MATCH(1,($A4=LoadFactorSeasons)*(B$1=LoadFactorHours),0),)</f>
        <v>1.1090812030912371E-4</v>
      </c>
      <c r="C4" s="7" cm="1">
        <f t="array" ref="C4">INDEX('Summarized Source Data'!$V$1269:$V$1412,MATCH(1,($A4=LoadFactorSeasons)*(C$1=LoadFactorHours),0),)</f>
        <v>1.1074658070708698E-4</v>
      </c>
      <c r="D4" s="7" cm="1">
        <f t="array" ref="D4">INDEX('Summarized Source Data'!$V$1269:$V$1412,MATCH(1,($A4=LoadFactorSeasons)*(D$1=LoadFactorHours),0),)</f>
        <v>1.1076521989193738E-4</v>
      </c>
      <c r="E4" s="7" cm="1">
        <f t="array" ref="E4">INDEX('Summarized Source Data'!$V$1269:$V$1412,MATCH(1,($A4=LoadFactorSeasons)*(E$1=LoadFactorHours),0),)</f>
        <v>1.1080374087396151E-4</v>
      </c>
      <c r="F4" s="7" cm="1">
        <f t="array" ref="F4">INDEX('Summarized Source Data'!$V$1269:$V$1412,MATCH(1,($A4=LoadFactorSeasons)*(F$1=LoadFactorHours),0),)</f>
        <v>1.1122250122693363E-4</v>
      </c>
      <c r="G4" s="7" cm="1">
        <f t="array" ref="G4">INDEX('Summarized Source Data'!$V$1269:$V$1412,MATCH(1,($A4=LoadFactorSeasons)*(G$1=LoadFactorHours),0),)</f>
        <v>1.1209885356798288E-4</v>
      </c>
      <c r="H4" s="7" cm="1">
        <f t="array" ref="H4">INDEX('Summarized Source Data'!$V$1269:$V$1412,MATCH(1,($A4=LoadFactorSeasons)*(H$1=LoadFactorHours),0),)</f>
        <v>1.1328896552068036E-4</v>
      </c>
      <c r="I4" s="7" cm="1">
        <f t="array" ref="I4">INDEX('Summarized Source Data'!$V$1269:$V$1412,MATCH(1,($A4=LoadFactorSeasons)*(I$1=LoadFactorHours),0),)</f>
        <v>1.1424267047885875E-4</v>
      </c>
      <c r="J4" s="7" cm="1">
        <f t="array" ref="J4">INDEX('Summarized Source Data'!$V$1269:$V$1412,MATCH(1,($A4=LoadFactorSeasons)*(J$1=LoadFactorHours),0),)</f>
        <v>1.1455580878434533E-4</v>
      </c>
      <c r="K4" s="7" cm="1">
        <f t="array" ref="K4">INDEX('Summarized Source Data'!$V$1269:$V$1412,MATCH(1,($A4=LoadFactorSeasons)*(K$1=LoadFactorHours),0),)</f>
        <v>1.1427125056229603E-4</v>
      </c>
      <c r="L4" s="7" cm="1">
        <f t="array" ref="L4">INDEX('Summarized Source Data'!$V$1269:$V$1412,MATCH(1,($A4=LoadFactorSeasons)*(L$1=LoadFactorHours),0),)</f>
        <v>1.1385124759700052E-4</v>
      </c>
      <c r="M4" s="7" cm="1">
        <f t="array" ref="M4">INDEX('Summarized Source Data'!$V$1269:$V$1412,MATCH(1,($A4=LoadFactorSeasons)*(M$1=LoadFactorHours),0),)</f>
        <v>1.1348032781847774E-4</v>
      </c>
      <c r="N4" s="7" cm="1">
        <f t="array" ref="N4">INDEX('Summarized Source Data'!$V$1269:$V$1412,MATCH(1,($A4=LoadFactorSeasons)*(N$1=LoadFactorHours),0),)</f>
        <v>1.1317588779925468E-4</v>
      </c>
      <c r="O4" s="7" cm="1">
        <f t="array" ref="O4">INDEX('Summarized Source Data'!$V$1269:$V$1412,MATCH(1,($A4=LoadFactorSeasons)*(O$1=LoadFactorHours),0),)</f>
        <v>1.130982245290447E-4</v>
      </c>
      <c r="P4" s="7" cm="1">
        <f t="array" ref="P4">INDEX('Summarized Source Data'!$V$1269:$V$1412,MATCH(1,($A4=LoadFactorSeasons)*(P$1=LoadFactorHours),0),)</f>
        <v>1.1329828511310558E-4</v>
      </c>
      <c r="Q4" s="7" cm="1">
        <f t="array" ref="Q4">INDEX('Summarized Source Data'!$V$1269:$V$1412,MATCH(1,($A4=LoadFactorSeasons)*(Q$1=LoadFactorHours),0),)</f>
        <v>1.1438432828372173E-4</v>
      </c>
      <c r="R4" s="7" cm="1">
        <f t="array" ref="R4">INDEX('Summarized Source Data'!$V$1269:$V$1412,MATCH(1,($A4=LoadFactorSeasons)*(R$1=LoadFactorHours),0),)</f>
        <v>1.1553778317288013E-4</v>
      </c>
      <c r="S4" s="7" cm="1">
        <f t="array" ref="S4">INDEX('Summarized Source Data'!$V$1269:$V$1412,MATCH(1,($A4=LoadFactorSeasons)*(S$1=LoadFactorHours),0),)</f>
        <v>1.158133324555851E-4</v>
      </c>
      <c r="T4" s="7" cm="1">
        <f t="array" ref="T4">INDEX('Summarized Source Data'!$V$1269:$V$1412,MATCH(1,($A4=LoadFactorSeasons)*(T$1=LoadFactorHours),0),)</f>
        <v>1.1519482217163293E-4</v>
      </c>
      <c r="U4" s="7" cm="1">
        <f t="array" ref="U4">INDEX('Summarized Source Data'!$V$1269:$V$1412,MATCH(1,($A4=LoadFactorSeasons)*(U$1=LoadFactorHours),0),)</f>
        <v>1.1446074894160834E-4</v>
      </c>
      <c r="V4" s="7" cm="1">
        <f t="array" ref="V4">INDEX('Summarized Source Data'!$V$1269:$V$1412,MATCH(1,($A4=LoadFactorSeasons)*(V$1=LoadFactorHours),0),)</f>
        <v>1.1372822897698794E-4</v>
      </c>
      <c r="W4" s="7" cm="1">
        <f t="array" ref="W4">INDEX('Summarized Source Data'!$V$1269:$V$1412,MATCH(1,($A4=LoadFactorSeasons)*(W$1=LoadFactorHours),0),)</f>
        <v>1.1268008548223426E-4</v>
      </c>
      <c r="X4" s="7" cm="1">
        <f t="array" ref="X4">INDEX('Summarized Source Data'!$V$1269:$V$1412,MATCH(1,($A4=LoadFactorSeasons)*(X$1=LoadFactorHours),0),)</f>
        <v>1.1174595166814881E-4</v>
      </c>
      <c r="Y4" s="7" cm="1">
        <f t="array" ref="Y4">INDEX('Summarized Source Data'!$V$1269:$V$1412,MATCH(1,($A4=LoadFactorSeasons)*(Y$1=LoadFactorHours),0),)</f>
        <v>1.1110818089318455E-4</v>
      </c>
    </row>
    <row r="5" spans="1:25" x14ac:dyDescent="0.3">
      <c r="A5" s="7" t="s">
        <v>164</v>
      </c>
      <c r="B5" s="7" cm="1">
        <f t="array" ref="B5">INDEX('Summarized Source Data'!$V$1269:$V$1412,MATCH(1,($A5=LoadFactorSeasons)*(B$1=LoadFactorHours),0),)</f>
        <v>1.1300049612541657E-4</v>
      </c>
      <c r="C5" s="7" cm="1">
        <f t="array" ref="C5">INDEX('Summarized Source Data'!$V$1269:$V$1412,MATCH(1,($A5=LoadFactorSeasons)*(C$1=LoadFactorHours),0),)</f>
        <v>1.1282854709883497E-4</v>
      </c>
      <c r="D5" s="7" cm="1">
        <f t="array" ref="D5">INDEX('Summarized Source Data'!$V$1269:$V$1412,MATCH(1,($A5=LoadFactorSeasons)*(D$1=LoadFactorHours),0),)</f>
        <v>1.1275826820513676E-4</v>
      </c>
      <c r="E5" s="7" cm="1">
        <f t="array" ref="E5">INDEX('Summarized Source Data'!$V$1269:$V$1412,MATCH(1,($A5=LoadFactorSeasons)*(E$1=LoadFactorHours),0),)</f>
        <v>1.1288570726570951E-4</v>
      </c>
      <c r="F5" s="7" cm="1">
        <f t="array" ref="F5">INDEX('Summarized Source Data'!$V$1269:$V$1412,MATCH(1,($A5=LoadFactorSeasons)*(F$1=LoadFactorHours),0),)</f>
        <v>1.133148770432265E-4</v>
      </c>
      <c r="G5" s="7" cm="1">
        <f t="array" ref="G5">INDEX('Summarized Source Data'!$V$1269:$V$1412,MATCH(1,($A5=LoadFactorSeasons)*(G$1=LoadFactorHours),0),)</f>
        <v>1.1415869229356286E-4</v>
      </c>
      <c r="H5" s="7" cm="1">
        <f t="array" ref="H5">INDEX('Summarized Source Data'!$V$1269:$V$1412,MATCH(1,($A5=LoadFactorSeasons)*(H$1=LoadFactorHours),0),)</f>
        <v>1.1534359444131447E-4</v>
      </c>
      <c r="I5" s="7" cm="1">
        <f t="array" ref="I5">INDEX('Summarized Source Data'!$V$1269:$V$1412,MATCH(1,($A5=LoadFactorSeasons)*(I$1=LoadFactorHours),0),)</f>
        <v>1.1634389736161882E-4</v>
      </c>
      <c r="J5" s="7" cm="1">
        <f t="array" ref="J5">INDEX('Summarized Source Data'!$V$1269:$V$1412,MATCH(1,($A5=LoadFactorSeasons)*(J$1=LoadFactorHours),0),)</f>
        <v>1.1657253802911698E-4</v>
      </c>
      <c r="K5" s="7" cm="1">
        <f t="array" ref="K5">INDEX('Summarized Source Data'!$V$1269:$V$1412,MATCH(1,($A5=LoadFactorSeasons)*(K$1=LoadFactorHours),0),)</f>
        <v>1.163724774450561E-4</v>
      </c>
      <c r="L5" s="7" cm="1">
        <f t="array" ref="L5">INDEX('Summarized Source Data'!$V$1269:$V$1412,MATCH(1,($A5=LoadFactorSeasons)*(L$1=LoadFactorHours),0),)</f>
        <v>1.1588661602662257E-4</v>
      </c>
      <c r="M5" s="7" cm="1">
        <f t="array" ref="M5">INDEX('Summarized Source Data'!$V$1269:$V$1412,MATCH(1,($A5=LoadFactorSeasons)*(M$1=LoadFactorHours),0),)</f>
        <v>1.1554365502537535E-4</v>
      </c>
      <c r="N5" s="7" cm="1">
        <f t="array" ref="N5">INDEX('Summarized Source Data'!$V$1269:$V$1412,MATCH(1,($A5=LoadFactorSeasons)*(N$1=LoadFactorHours),0),)</f>
        <v>1.1525785419100268E-4</v>
      </c>
      <c r="O5" s="7" cm="1">
        <f t="array" ref="O5">INDEX('Summarized Source Data'!$V$1269:$V$1412,MATCH(1,($A5=LoadFactorSeasons)*(O$1=LoadFactorHours),0),)</f>
        <v>1.1511495377381634E-4</v>
      </c>
      <c r="P5" s="7" cm="1">
        <f t="array" ref="P5">INDEX('Summarized Source Data'!$V$1269:$V$1412,MATCH(1,($A5=LoadFactorSeasons)*(P$1=LoadFactorHours),0),)</f>
        <v>1.1534406296727247E-4</v>
      </c>
      <c r="Q5" s="7" cm="1">
        <f t="array" ref="Q5">INDEX('Summarized Source Data'!$V$1269:$V$1412,MATCH(1,($A5=LoadFactorSeasons)*(Q$1=LoadFactorHours),0),)</f>
        <v>1.1640105752849336E-4</v>
      </c>
      <c r="R5" s="7" cm="1">
        <f t="array" ref="R5">INDEX('Summarized Source Data'!$V$1269:$V$1412,MATCH(1,($A5=LoadFactorSeasons)*(R$1=LoadFactorHours),0),)</f>
        <v>1.1755972222259766E-4</v>
      </c>
      <c r="S5" s="7" cm="1">
        <f t="array" ref="S5">INDEX('Summarized Source Data'!$V$1269:$V$1412,MATCH(1,($A5=LoadFactorSeasons)*(S$1=LoadFactorHours),0),)</f>
        <v>1.1783006170035674E-4</v>
      </c>
      <c r="T5" s="7" cm="1">
        <f t="array" ref="T5">INDEX('Summarized Source Data'!$V$1269:$V$1412,MATCH(1,($A5=LoadFactorSeasons)*(T$1=LoadFactorHours),0),)</f>
        <v>1.1727392138822499E-4</v>
      </c>
      <c r="U5" s="7" cm="1">
        <f t="array" ref="U5">INDEX('Summarized Source Data'!$V$1269:$V$1412,MATCH(1,($A5=LoadFactorSeasons)*(U$1=LoadFactorHours),0),)</f>
        <v>1.1651537786224244E-4</v>
      </c>
      <c r="V5" s="7" cm="1">
        <f t="array" ref="V5">INDEX('Summarized Source Data'!$V$1269:$V$1412,MATCH(1,($A5=LoadFactorSeasons)*(V$1=LoadFactorHours),0),)</f>
        <v>1.1575917696604985E-4</v>
      </c>
      <c r="W5" s="7" cm="1">
        <f t="array" ref="W5">INDEX('Summarized Source Data'!$V$1269:$V$1412,MATCH(1,($A5=LoadFactorSeasons)*(W$1=LoadFactorHours),0),)</f>
        <v>1.1474341268913186E-4</v>
      </c>
      <c r="X5" s="7" cm="1">
        <f t="array" ref="X5">INDEX('Summarized Source Data'!$V$1269:$V$1412,MATCH(1,($A5=LoadFactorSeasons)*(X$1=LoadFactorHours),0),)</f>
        <v>1.1371452968539026E-4</v>
      </c>
      <c r="Y5" s="7" cm="1">
        <f t="array" ref="Y5">INDEX('Summarized Source Data'!$V$1269:$V$1412,MATCH(1,($A5=LoadFactorSeasons)*(Y$1=LoadFactorHours),0),)</f>
        <v>1.1315838937325851E-4</v>
      </c>
    </row>
    <row r="6" spans="1:25" x14ac:dyDescent="0.3">
      <c r="A6" s="7" t="s">
        <v>167</v>
      </c>
      <c r="B6" s="7" cm="1">
        <f t="array" ref="B6">INDEX('Summarized Source Data'!$V$1269:$V$1412,MATCH(1,($A6=LoadFactorSeasons)*(B$1=LoadFactorHours),0),)</f>
        <v>1.318399248961135E-4</v>
      </c>
      <c r="C6" s="7" cm="1">
        <f t="array" ref="C6">INDEX('Summarized Source Data'!$V$1269:$V$1412,MATCH(1,($A6=LoadFactorSeasons)*(C$1=LoadFactorHours),0),)</f>
        <v>1.3163986431205264E-4</v>
      </c>
      <c r="D6" s="7" cm="1">
        <f t="array" ref="D6">INDEX('Summarized Source Data'!$V$1269:$V$1412,MATCH(1,($A6=LoadFactorSeasons)*(D$1=LoadFactorHours),0),)</f>
        <v>1.3163986431205264E-4</v>
      </c>
      <c r="E6" s="7" cm="1">
        <f t="array" ref="E6">INDEX('Summarized Source Data'!$V$1269:$V$1412,MATCH(1,($A6=LoadFactorSeasons)*(E$1=LoadFactorHours),0),)</f>
        <v>1.3163986431205264E-4</v>
      </c>
      <c r="F6" s="7" cm="1">
        <f t="array" ref="F6">INDEX('Summarized Source Data'!$V$1269:$V$1412,MATCH(1,($A6=LoadFactorSeasons)*(F$1=LoadFactorHours),0),)</f>
        <v>1.3203998548017438E-4</v>
      </c>
      <c r="G6" s="7" cm="1">
        <f t="array" ref="G6">INDEX('Summarized Source Data'!$V$1269:$V$1412,MATCH(1,($A6=LoadFactorSeasons)*(G$1=LoadFactorHours),0),)</f>
        <v>1.3304028840047872E-4</v>
      </c>
      <c r="H6" s="7" cm="1">
        <f t="array" ref="H6">INDEX('Summarized Source Data'!$V$1269:$V$1412,MATCH(1,($A6=LoadFactorSeasons)*(H$1=LoadFactorHours),0),)</f>
        <v>1.3464077307296569E-4</v>
      </c>
      <c r="I6" s="7" cm="1">
        <f t="array" ref="I6">INDEX('Summarized Source Data'!$V$1269:$V$1412,MATCH(1,($A6=LoadFactorSeasons)*(I$1=LoadFactorHours),0),)</f>
        <v>1.3584113657733092E-4</v>
      </c>
      <c r="J6" s="7" cm="1">
        <f t="array" ref="J6">INDEX('Summarized Source Data'!$V$1269:$V$1412,MATCH(1,($A6=LoadFactorSeasons)*(J$1=LoadFactorHours),0),)</f>
        <v>1.3644131832951352E-4</v>
      </c>
      <c r="K6" s="7" cm="1">
        <f t="array" ref="K6">INDEX('Summarized Source Data'!$V$1269:$V$1412,MATCH(1,($A6=LoadFactorSeasons)*(K$1=LoadFactorHours),0),)</f>
        <v>1.3604119716139178E-4</v>
      </c>
      <c r="L6" s="7" cm="1">
        <f t="array" ref="L6">INDEX('Summarized Source Data'!$V$1269:$V$1412,MATCH(1,($A6=LoadFactorSeasons)*(L$1=LoadFactorHours),0),)</f>
        <v>1.3564107599327004E-4</v>
      </c>
      <c r="M6" s="7" cm="1">
        <f t="array" ref="M6">INDEX('Summarized Source Data'!$V$1269:$V$1412,MATCH(1,($A6=LoadFactorSeasons)*(M$1=LoadFactorHours),0),)</f>
        <v>1.3504089424108744E-4</v>
      </c>
      <c r="N6" s="7" cm="1">
        <f t="array" ref="N6">INDEX('Summarized Source Data'!$V$1269:$V$1412,MATCH(1,($A6=LoadFactorSeasons)*(N$1=LoadFactorHours),0),)</f>
        <v>1.3464077307296569E-4</v>
      </c>
      <c r="O6" s="7" cm="1">
        <f t="array" ref="O6">INDEX('Summarized Source Data'!$V$1269:$V$1412,MATCH(1,($A6=LoadFactorSeasons)*(O$1=LoadFactorHours),0),)</f>
        <v>1.3464077307296569E-4</v>
      </c>
      <c r="P6" s="7" cm="1">
        <f t="array" ref="P6">INDEX('Summarized Source Data'!$V$1269:$V$1412,MATCH(1,($A6=LoadFactorSeasons)*(P$1=LoadFactorHours),0),)</f>
        <v>1.3484083365702655E-4</v>
      </c>
      <c r="Q6" s="7" cm="1">
        <f t="array" ref="Q6">INDEX('Summarized Source Data'!$V$1269:$V$1412,MATCH(1,($A6=LoadFactorSeasons)*(Q$1=LoadFactorHours),0),)</f>
        <v>1.3604119716139178E-4</v>
      </c>
      <c r="R6" s="7" cm="1">
        <f t="array" ref="R6">INDEX('Summarized Source Data'!$V$1269:$V$1412,MATCH(1,($A6=LoadFactorSeasons)*(R$1=LoadFactorHours),0),)</f>
        <v>1.3724156066575701E-4</v>
      </c>
      <c r="S6" s="7" cm="1">
        <f t="array" ref="S6">INDEX('Summarized Source Data'!$V$1269:$V$1412,MATCH(1,($A6=LoadFactorSeasons)*(S$1=LoadFactorHours),0),)</f>
        <v>1.3764168183387875E-4</v>
      </c>
      <c r="T6" s="7" cm="1">
        <f t="array" ref="T6">INDEX('Summarized Source Data'!$V$1269:$V$1412,MATCH(1,($A6=LoadFactorSeasons)*(T$1=LoadFactorHours),0),)</f>
        <v>1.3684143949763527E-4</v>
      </c>
      <c r="U6" s="7" cm="1">
        <f t="array" ref="U6">INDEX('Summarized Source Data'!$V$1269:$V$1412,MATCH(1,($A6=LoadFactorSeasons)*(U$1=LoadFactorHours),0),)</f>
        <v>1.3604119716139178E-4</v>
      </c>
      <c r="V6" s="7" cm="1">
        <f t="array" ref="V6">INDEX('Summarized Source Data'!$V$1269:$V$1412,MATCH(1,($A6=LoadFactorSeasons)*(V$1=LoadFactorHours),0),)</f>
        <v>1.3504089424108744E-4</v>
      </c>
      <c r="W6" s="7" cm="1">
        <f t="array" ref="W6">INDEX('Summarized Source Data'!$V$1269:$V$1412,MATCH(1,($A6=LoadFactorSeasons)*(W$1=LoadFactorHours),0),)</f>
        <v>1.3384053073672221E-4</v>
      </c>
      <c r="X6" s="7" cm="1">
        <f t="array" ref="X6">INDEX('Summarized Source Data'!$V$1269:$V$1412,MATCH(1,($A6=LoadFactorSeasons)*(X$1=LoadFactorHours),0),)</f>
        <v>1.3284022781641787E-4</v>
      </c>
      <c r="Y6" s="7" cm="1">
        <f t="array" ref="Y6">INDEX('Summarized Source Data'!$V$1269:$V$1412,MATCH(1,($A6=LoadFactorSeasons)*(Y$1=LoadFactorHours),0),)</f>
        <v>1.3203998548017438E-4</v>
      </c>
    </row>
    <row r="7" spans="1:25" x14ac:dyDescent="0.3">
      <c r="A7" s="7" t="s">
        <v>166</v>
      </c>
      <c r="B7" s="7" cm="1">
        <f t="array" ref="B7">INDEX('Summarized Source Data'!$V$1269:$V$1412,MATCH(1,($A7=LoadFactorSeasons)*(B$1=LoadFactorHours),0),)</f>
        <v>1.3264016723235698E-4</v>
      </c>
      <c r="C7" s="7" cm="1">
        <f t="array" ref="C7">INDEX('Summarized Source Data'!$V$1269:$V$1412,MATCH(1,($A7=LoadFactorSeasons)*(C$1=LoadFactorHours),0),)</f>
        <v>1.3244010664829612E-4</v>
      </c>
      <c r="D7" s="7" cm="1">
        <f t="array" ref="D7">INDEX('Summarized Source Data'!$V$1269:$V$1412,MATCH(1,($A7=LoadFactorSeasons)*(D$1=LoadFactorHours),0),)</f>
        <v>1.3244010664829612E-4</v>
      </c>
      <c r="E7" s="7" cm="1">
        <f t="array" ref="E7">INDEX('Summarized Source Data'!$V$1269:$V$1412,MATCH(1,($A7=LoadFactorSeasons)*(E$1=LoadFactorHours),0),)</f>
        <v>1.3244010664829612E-4</v>
      </c>
      <c r="F7" s="7" cm="1">
        <f t="array" ref="F7">INDEX('Summarized Source Data'!$V$1269:$V$1412,MATCH(1,($A7=LoadFactorSeasons)*(F$1=LoadFactorHours),0),)</f>
        <v>1.3284022781641787E-4</v>
      </c>
      <c r="G7" s="7" cm="1">
        <f t="array" ref="G7">INDEX('Summarized Source Data'!$V$1269:$V$1412,MATCH(1,($A7=LoadFactorSeasons)*(G$1=LoadFactorHours),0),)</f>
        <v>1.3384053073672221E-4</v>
      </c>
      <c r="H7" s="7" cm="1">
        <f t="array" ref="H7">INDEX('Summarized Source Data'!$V$1269:$V$1412,MATCH(1,($A7=LoadFactorSeasons)*(H$1=LoadFactorHours),0),)</f>
        <v>1.3544101540920918E-4</v>
      </c>
      <c r="I7" s="7" cm="1">
        <f t="array" ref="I7">INDEX('Summarized Source Data'!$V$1269:$V$1412,MATCH(1,($A7=LoadFactorSeasons)*(I$1=LoadFactorHours),0),)</f>
        <v>1.3664137891357438E-4</v>
      </c>
      <c r="J7" s="7" cm="1">
        <f t="array" ref="J7">INDEX('Summarized Source Data'!$V$1269:$V$1412,MATCH(1,($A7=LoadFactorSeasons)*(J$1=LoadFactorHours),0),)</f>
        <v>1.3704150008169612E-4</v>
      </c>
      <c r="K7" s="7" cm="1">
        <f t="array" ref="K7">INDEX('Summarized Source Data'!$V$1269:$V$1412,MATCH(1,($A7=LoadFactorSeasons)*(K$1=LoadFactorHours),0),)</f>
        <v>1.3684143949763527E-4</v>
      </c>
      <c r="L7" s="7" cm="1">
        <f t="array" ref="L7">INDEX('Summarized Source Data'!$V$1269:$V$1412,MATCH(1,($A7=LoadFactorSeasons)*(L$1=LoadFactorHours),0),)</f>
        <v>1.3624125774545267E-4</v>
      </c>
      <c r="M7" s="7" cm="1">
        <f t="array" ref="M7">INDEX('Summarized Source Data'!$V$1269:$V$1412,MATCH(1,($A7=LoadFactorSeasons)*(M$1=LoadFactorHours),0),)</f>
        <v>1.3584113657733092E-4</v>
      </c>
      <c r="N7" s="7" cm="1">
        <f t="array" ref="N7">INDEX('Summarized Source Data'!$V$1269:$V$1412,MATCH(1,($A7=LoadFactorSeasons)*(N$1=LoadFactorHours),0),)</f>
        <v>1.3544101540920918E-4</v>
      </c>
      <c r="O7" s="7" cm="1">
        <f t="array" ref="O7">INDEX('Summarized Source Data'!$V$1269:$V$1412,MATCH(1,($A7=LoadFactorSeasons)*(O$1=LoadFactorHours),0),)</f>
        <v>1.3524095482514829E-4</v>
      </c>
      <c r="P7" s="7" cm="1">
        <f t="array" ref="P7">INDEX('Summarized Source Data'!$V$1269:$V$1412,MATCH(1,($A7=LoadFactorSeasons)*(P$1=LoadFactorHours),0),)</f>
        <v>1.3544101540920918E-4</v>
      </c>
      <c r="Q7" s="7" cm="1">
        <f t="array" ref="Q7">INDEX('Summarized Source Data'!$V$1269:$V$1412,MATCH(1,($A7=LoadFactorSeasons)*(Q$1=LoadFactorHours),0),)</f>
        <v>1.3664137891357438E-4</v>
      </c>
      <c r="R7" s="7" cm="1">
        <f t="array" ref="R7">INDEX('Summarized Source Data'!$V$1269:$V$1412,MATCH(1,($A7=LoadFactorSeasons)*(R$1=LoadFactorHours),0),)</f>
        <v>1.3804180300200049E-4</v>
      </c>
      <c r="S7" s="7" cm="1">
        <f t="array" ref="S7">INDEX('Summarized Source Data'!$V$1269:$V$1412,MATCH(1,($A7=LoadFactorSeasons)*(S$1=LoadFactorHours),0),)</f>
        <v>1.3824186358606135E-4</v>
      </c>
      <c r="T7" s="7" cm="1">
        <f t="array" ref="T7">INDEX('Summarized Source Data'!$V$1269:$V$1412,MATCH(1,($A7=LoadFactorSeasons)*(T$1=LoadFactorHours),0),)</f>
        <v>1.3764168183387875E-4</v>
      </c>
      <c r="U7" s="7" cm="1">
        <f t="array" ref="U7">INDEX('Summarized Source Data'!$V$1269:$V$1412,MATCH(1,($A7=LoadFactorSeasons)*(U$1=LoadFactorHours),0),)</f>
        <v>1.3684143949763527E-4</v>
      </c>
      <c r="V7" s="7" cm="1">
        <f t="array" ref="V7">INDEX('Summarized Source Data'!$V$1269:$V$1412,MATCH(1,($A7=LoadFactorSeasons)*(V$1=LoadFactorHours),0),)</f>
        <v>1.3584113657733092E-4</v>
      </c>
      <c r="W7" s="7" cm="1">
        <f t="array" ref="W7">INDEX('Summarized Source Data'!$V$1269:$V$1412,MATCH(1,($A7=LoadFactorSeasons)*(W$1=LoadFactorHours),0),)</f>
        <v>1.3464077307296569E-4</v>
      </c>
      <c r="X7" s="7" cm="1">
        <f t="array" ref="X7">INDEX('Summarized Source Data'!$V$1269:$V$1412,MATCH(1,($A7=LoadFactorSeasons)*(X$1=LoadFactorHours),0),)</f>
        <v>1.3344040956860047E-4</v>
      </c>
      <c r="Y7" s="7" cm="1">
        <f t="array" ref="Y7">INDEX('Summarized Source Data'!$V$1269:$V$1412,MATCH(1,($A7=LoadFactorSeasons)*(Y$1=LoadFactorHours),0),)</f>
        <v>1.3284022781641787E-4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EAA8C-641F-4A79-9199-91495F9050DA}">
  <sheetPr codeName="Sheet28">
    <tabColor rgb="FF002060"/>
  </sheetPr>
  <dimension ref="A1:Y15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25" width="10.4414062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 cm="1">
        <f t="array" ref="B2">INDEX('Summarized Source Data'!$W$1269:$W$1412,MATCH(1,($A2=LoadFactorSeasons)*(B$1=LoadFactorHours),0),)</f>
        <v>1.1235640568220452E-4</v>
      </c>
      <c r="C2" s="7" cm="1">
        <f t="array" ref="C2">INDEX('Summarized Source Data'!$W$1269:$W$1412,MATCH(1,($A2=LoadFactorSeasons)*(C$1=LoadFactorHours),0),)</f>
        <v>1.1220802741569272E-4</v>
      </c>
      <c r="D2" s="7" cm="1">
        <f t="array" ref="D2">INDEX('Summarized Source Data'!$W$1269:$W$1412,MATCH(1,($A2=LoadFactorSeasons)*(D$1=LoadFactorHours),0),)</f>
        <v>1.1217111147458623E-4</v>
      </c>
      <c r="E2" s="7" cm="1">
        <f t="array" ref="E2">INDEX('Summarized Source Data'!$W$1269:$W$1412,MATCH(1,($A2=LoadFactorSeasons)*(E$1=LoadFactorHours),0),)</f>
        <v>1.1222827164146076E-4</v>
      </c>
      <c r="F2" s="7" cm="1">
        <f t="array" ref="F2">INDEX('Summarized Source Data'!$W$1269:$W$1412,MATCH(1,($A2=LoadFactorSeasons)*(F$1=LoadFactorHours),0),)</f>
        <v>1.1267078660001444E-4</v>
      </c>
      <c r="G2" s="7" cm="1">
        <f t="array" ref="G2">INDEX('Summarized Source Data'!$W$1269:$W$1412,MATCH(1,($A2=LoadFactorSeasons)*(G$1=LoadFactorHours),0),)</f>
        <v>1.1348293730435681E-4</v>
      </c>
      <c r="H2" s="7" cm="1">
        <f t="array" ref="H2">INDEX('Summarized Source Data'!$W$1269:$W$1412,MATCH(1,($A2=LoadFactorSeasons)*(H$1=LoadFactorHours),0),)</f>
        <v>1.1468877865804749E-4</v>
      </c>
      <c r="I2" s="7" cm="1">
        <f t="array" ref="I2">INDEX('Summarized Source Data'!$W$1269:$W$1412,MATCH(1,($A2=LoadFactorSeasons)*(I$1=LoadFactorHours),0),)</f>
        <v>1.1559786347871457E-4</v>
      </c>
      <c r="J2" s="7" cm="1">
        <f t="array" ref="J2">INDEX('Summarized Source Data'!$W$1269:$W$1412,MATCH(1,($A2=LoadFactorSeasons)*(J$1=LoadFactorHours),0),)</f>
        <v>1.1585413156020206E-4</v>
      </c>
      <c r="K2" s="7" cm="1">
        <f t="array" ref="K2">INDEX('Summarized Source Data'!$W$1269:$W$1412,MATCH(1,($A2=LoadFactorSeasons)*(K$1=LoadFactorHours),0),)</f>
        <v>1.1562644356215186E-4</v>
      </c>
      <c r="L2" s="7" cm="1">
        <f t="array" ref="L2">INDEX('Summarized Source Data'!$W$1269:$W$1412,MATCH(1,($A2=LoadFactorSeasons)*(L$1=LoadFactorHours),0),)</f>
        <v>1.151763072480149E-4</v>
      </c>
      <c r="M2" s="7" cm="1">
        <f t="array" ref="M2">INDEX('Summarized Source Data'!$W$1269:$W$1412,MATCH(1,($A2=LoadFactorSeasons)*(M$1=LoadFactorHours),0),)</f>
        <v>1.1482524855646046E-4</v>
      </c>
      <c r="N2" s="7" cm="1">
        <f t="array" ref="N2">INDEX('Summarized Source Data'!$W$1269:$W$1412,MATCH(1,($A2=LoadFactorSeasons)*(N$1=LoadFactorHours),0),)</f>
        <v>1.145487362492049E-4</v>
      </c>
      <c r="O2" s="7" cm="1">
        <f t="array" ref="O2">INDEX('Summarized Source Data'!$W$1269:$W$1412,MATCH(1,($A2=LoadFactorSeasons)*(O$1=LoadFactorHours),0),)</f>
        <v>1.1443346324600791E-4</v>
      </c>
      <c r="P2" s="7" cm="1">
        <f t="array" ref="P2">INDEX('Summarized Source Data'!$W$1269:$W$1412,MATCH(1,($A2=LoadFactorSeasons)*(P$1=LoadFactorHours),0),)</f>
        <v>1.1466305658295396E-4</v>
      </c>
      <c r="Q2" s="7" cm="1">
        <f t="array" ref="Q2">INDEX('Summarized Source Data'!$W$1269:$W$1412,MATCH(1,($A2=LoadFactorSeasons)*(Q$1=LoadFactorHours),0),)</f>
        <v>1.1568265105957846E-4</v>
      </c>
      <c r="R2" s="7" cm="1">
        <f t="array" ref="R2">INDEX('Summarized Source Data'!$W$1269:$W$1412,MATCH(1,($A2=LoadFactorSeasons)*(R$1=LoadFactorHours),0),)</f>
        <v>1.1685252914161059E-4</v>
      </c>
      <c r="S2" s="7" cm="1">
        <f t="array" ref="S2">INDEX('Summarized Source Data'!$W$1269:$W$1412,MATCH(1,($A2=LoadFactorSeasons)*(S$1=LoadFactorHours),0),)</f>
        <v>1.1709569801818934E-4</v>
      </c>
      <c r="T2" s="7" cm="1">
        <f t="array" ref="T2">INDEX('Summarized Source Data'!$W$1269:$W$1412,MATCH(1,($A2=LoadFactorSeasons)*(T$1=LoadFactorHours),0),)</f>
        <v>1.1650956814036343E-4</v>
      </c>
      <c r="U2" s="7" cm="1">
        <f t="array" ref="U2">INDEX('Summarized Source Data'!$W$1269:$W$1412,MATCH(1,($A2=LoadFactorSeasons)*(U$1=LoadFactorHours),0),)</f>
        <v>1.1582364613786899E-4</v>
      </c>
      <c r="V2" s="7" cm="1">
        <f t="array" ref="V2">INDEX('Summarized Source Data'!$W$1269:$W$1412,MATCH(1,($A2=LoadFactorSeasons)*(V$1=LoadFactorHours),0),)</f>
        <v>1.1506865560040119E-4</v>
      </c>
      <c r="W2" s="7" cm="1">
        <f t="array" ref="W2">INDEX('Summarized Source Data'!$W$1269:$W$1412,MATCH(1,($A2=LoadFactorSeasons)*(W$1=LoadFactorHours),0),)</f>
        <v>1.1407668853776602E-4</v>
      </c>
      <c r="X2" s="7" cm="1">
        <f t="array" ref="X2">INDEX('Summarized Source Data'!$W$1269:$W$1412,MATCH(1,($A2=LoadFactorSeasons)*(X$1=LoadFactorHours),0),)</f>
        <v>1.1309948785157348E-4</v>
      </c>
      <c r="Y2" s="7" cm="1">
        <f t="array" ref="Y2">INDEX('Summarized Source Data'!$W$1269:$W$1412,MATCH(1,($A2=LoadFactorSeasons)*(Y$1=LoadFactorHours),0),)</f>
        <v>1.1255646626626538E-4</v>
      </c>
    </row>
    <row r="3" spans="1:25" x14ac:dyDescent="0.3">
      <c r="A3" s="7" t="s">
        <v>162</v>
      </c>
      <c r="B3" s="7" cm="1">
        <f t="array" ref="B3">INDEX('Summarized Source Data'!$W$1269:$W$1412,MATCH(1,($A3=LoadFactorSeasons)*(B$1=LoadFactorHours),0),)</f>
        <v>1.1205505148358446E-4</v>
      </c>
      <c r="C3" s="7" cm="1">
        <f t="array" ref="C3">INDEX('Summarized Source Data'!$W$1269:$W$1412,MATCH(1,($A3=LoadFactorSeasons)*(C$1=LoadFactorHours),0),)</f>
        <v>1.1189351188154774E-4</v>
      </c>
      <c r="D3" s="7" cm="1">
        <f t="array" ref="D3">INDEX('Summarized Source Data'!$W$1269:$W$1412,MATCH(1,($A3=LoadFactorSeasons)*(D$1=LoadFactorHours),0),)</f>
        <v>1.1191215106639813E-4</v>
      </c>
      <c r="E3" s="7" cm="1">
        <f t="array" ref="E3">INDEX('Summarized Source Data'!$W$1269:$W$1412,MATCH(1,($A3=LoadFactorSeasons)*(E$1=LoadFactorHours),0),)</f>
        <v>1.119314115574102E-4</v>
      </c>
      <c r="F3" s="7" cm="1">
        <f t="array" ref="F3">INDEX('Summarized Source Data'!$W$1269:$W$1412,MATCH(1,($A3=LoadFactorSeasons)*(F$1=LoadFactorHours),0),)</f>
        <v>1.1235079321654401E-4</v>
      </c>
      <c r="G3" s="7" cm="1">
        <f t="array" ref="G3">INDEX('Summarized Source Data'!$W$1269:$W$1412,MATCH(1,($A3=LoadFactorSeasons)*(G$1=LoadFactorHours),0),)</f>
        <v>1.1322807751683577E-4</v>
      </c>
      <c r="H3" s="7" cm="1">
        <f t="array" ref="H3">INDEX('Summarized Source Data'!$W$1269:$W$1412,MATCH(1,($A3=LoadFactorSeasons)*(H$1=LoadFactorHours),0),)</f>
        <v>1.1430480109502675E-4</v>
      </c>
      <c r="I3" s="7" cm="1">
        <f t="array" ref="I3">INDEX('Summarized Source Data'!$W$1269:$W$1412,MATCH(1,($A3=LoadFactorSeasons)*(I$1=LoadFactorHours),0),)</f>
        <v>1.15229615316687E-4</v>
      </c>
      <c r="J3" s="7" cm="1">
        <f t="array" ref="J3">INDEX('Summarized Source Data'!$W$1269:$W$1412,MATCH(1,($A3=LoadFactorSeasons)*(J$1=LoadFactorHours),0),)</f>
        <v>1.1547689516903554E-4</v>
      </c>
      <c r="K3" s="7" cm="1">
        <f t="array" ref="K3">INDEX('Summarized Source Data'!$W$1269:$W$1412,MATCH(1,($A3=LoadFactorSeasons)*(K$1=LoadFactorHours),0),)</f>
        <v>1.1527683458497463E-4</v>
      </c>
      <c r="L3" s="7" cm="1">
        <f t="array" ref="L3">INDEX('Summarized Source Data'!$W$1269:$W$1412,MATCH(1,($A3=LoadFactorSeasons)*(L$1=LoadFactorHours),0),)</f>
        <v>1.148391243940713E-4</v>
      </c>
      <c r="M3" s="7" cm="1">
        <f t="array" ref="M3">INDEX('Summarized Source Data'!$W$1269:$W$1412,MATCH(1,($A3=LoadFactorSeasons)*(M$1=LoadFactorHours),0),)</f>
        <v>1.1451542388383618E-4</v>
      </c>
      <c r="N3" s="7" cm="1">
        <f t="array" ref="N3">INDEX('Summarized Source Data'!$W$1269:$W$1412,MATCH(1,($A3=LoadFactorSeasons)*(N$1=LoadFactorHours),0),)</f>
        <v>1.1416221133092121E-4</v>
      </c>
      <c r="O3" s="7" cm="1">
        <f t="array" ref="O3">INDEX('Summarized Source Data'!$W$1269:$W$1412,MATCH(1,($A3=LoadFactorSeasons)*(O$1=LoadFactorHours),0),)</f>
        <v>1.1413332059440313E-4</v>
      </c>
      <c r="P3" s="7" cm="1">
        <f t="array" ref="P3">INDEX('Summarized Source Data'!$W$1269:$W$1412,MATCH(1,($A3=LoadFactorSeasons)*(P$1=LoadFactorHours),0),)</f>
        <v>1.14333381178464E-4</v>
      </c>
      <c r="Q3" s="7" cm="1">
        <f t="array" ref="Q3">INDEX('Summarized Source Data'!$W$1269:$W$1412,MATCH(1,($A3=LoadFactorSeasons)*(Q$1=LoadFactorHours),0),)</f>
        <v>1.1530541466841193E-4</v>
      </c>
      <c r="R3" s="7" cm="1">
        <f t="array" ref="R3">INDEX('Summarized Source Data'!$W$1269:$W$1412,MATCH(1,($A3=LoadFactorSeasons)*(R$1=LoadFactorHours),0),)</f>
        <v>1.1648838160025011E-4</v>
      </c>
      <c r="S3" s="7" cm="1">
        <f t="array" ref="S3">INDEX('Summarized Source Data'!$W$1269:$W$1412,MATCH(1,($A3=LoadFactorSeasons)*(S$1=LoadFactorHours),0),)</f>
        <v>1.1666918169329891E-4</v>
      </c>
      <c r="T3" s="7" cm="1">
        <f t="array" ref="T3">INDEX('Summarized Source Data'!$W$1269:$W$1412,MATCH(1,($A3=LoadFactorSeasons)*(T$1=LoadFactorHours),0),)</f>
        <v>1.1618332027486535E-4</v>
      </c>
      <c r="U3" s="7" cm="1">
        <f t="array" ref="U3">INDEX('Summarized Source Data'!$W$1269:$W$1412,MATCH(1,($A3=LoadFactorSeasons)*(U$1=LoadFactorHours),0),)</f>
        <v>1.1549739827237092E-4</v>
      </c>
      <c r="V3" s="7" cm="1">
        <f t="array" ref="V3">INDEX('Summarized Source Data'!$W$1269:$W$1412,MATCH(1,($A3=LoadFactorSeasons)*(V$1=LoadFactorHours),0),)</f>
        <v>1.146959133238041E-4</v>
      </c>
      <c r="W3" s="7" cm="1">
        <f t="array" ref="W3">INDEX('Summarized Source Data'!$W$1269:$W$1412,MATCH(1,($A3=LoadFactorSeasons)*(W$1=LoadFactorHours),0),)</f>
        <v>1.1376177950971865E-4</v>
      </c>
      <c r="X3" s="7" cm="1">
        <f t="array" ref="X3">INDEX('Summarized Source Data'!$W$1269:$W$1412,MATCH(1,($A3=LoadFactorSeasons)*(X$1=LoadFactorHours),0),)</f>
        <v>1.1277949446810302E-4</v>
      </c>
      <c r="Y3" s="7" cm="1">
        <f t="array" ref="Y3">INDEX('Summarized Source Data'!$W$1269:$W$1412,MATCH(1,($A3=LoadFactorSeasons)*(Y$1=LoadFactorHours),0),)</f>
        <v>1.1220851410551937E-4</v>
      </c>
    </row>
    <row r="4" spans="1:25" x14ac:dyDescent="0.3">
      <c r="A4" s="7" t="s">
        <v>163</v>
      </c>
      <c r="B4" s="7" cm="1">
        <f t="array" ref="B4">INDEX('Summarized Source Data'!$W$1269:$W$1412,MATCH(1,($A4=LoadFactorSeasons)*(B$1=LoadFactorHours),0),)</f>
        <v>1.1090812030912371E-4</v>
      </c>
      <c r="C4" s="7" cm="1">
        <f t="array" ref="C4">INDEX('Summarized Source Data'!$W$1269:$W$1412,MATCH(1,($A4=LoadFactorSeasons)*(C$1=LoadFactorHours),0),)</f>
        <v>1.1074658070708698E-4</v>
      </c>
      <c r="D4" s="7" cm="1">
        <f t="array" ref="D4">INDEX('Summarized Source Data'!$W$1269:$W$1412,MATCH(1,($A4=LoadFactorSeasons)*(D$1=LoadFactorHours),0),)</f>
        <v>1.1076521989193738E-4</v>
      </c>
      <c r="E4" s="7" cm="1">
        <f t="array" ref="E4">INDEX('Summarized Source Data'!$W$1269:$W$1412,MATCH(1,($A4=LoadFactorSeasons)*(E$1=LoadFactorHours),0),)</f>
        <v>1.1080374087396151E-4</v>
      </c>
      <c r="F4" s="7" cm="1">
        <f t="array" ref="F4">INDEX('Summarized Source Data'!$W$1269:$W$1412,MATCH(1,($A4=LoadFactorSeasons)*(F$1=LoadFactorHours),0),)</f>
        <v>1.1122250122693363E-4</v>
      </c>
      <c r="G4" s="7" cm="1">
        <f t="array" ref="G4">INDEX('Summarized Source Data'!$W$1269:$W$1412,MATCH(1,($A4=LoadFactorSeasons)*(G$1=LoadFactorHours),0),)</f>
        <v>1.1209885356798288E-4</v>
      </c>
      <c r="H4" s="7" cm="1">
        <f t="array" ref="H4">INDEX('Summarized Source Data'!$W$1269:$W$1412,MATCH(1,($A4=LoadFactorSeasons)*(H$1=LoadFactorHours),0),)</f>
        <v>1.1328896552068036E-4</v>
      </c>
      <c r="I4" s="7" cm="1">
        <f t="array" ref="I4">INDEX('Summarized Source Data'!$W$1269:$W$1412,MATCH(1,($A4=LoadFactorSeasons)*(I$1=LoadFactorHours),0),)</f>
        <v>1.1424267047885875E-4</v>
      </c>
      <c r="J4" s="7" cm="1">
        <f t="array" ref="J4">INDEX('Summarized Source Data'!$W$1269:$W$1412,MATCH(1,($A4=LoadFactorSeasons)*(J$1=LoadFactorHours),0),)</f>
        <v>1.1455580878434533E-4</v>
      </c>
      <c r="K4" s="7" cm="1">
        <f t="array" ref="K4">INDEX('Summarized Source Data'!$W$1269:$W$1412,MATCH(1,($A4=LoadFactorSeasons)*(K$1=LoadFactorHours),0),)</f>
        <v>1.1427125056229603E-4</v>
      </c>
      <c r="L4" s="7" cm="1">
        <f t="array" ref="L4">INDEX('Summarized Source Data'!$W$1269:$W$1412,MATCH(1,($A4=LoadFactorSeasons)*(L$1=LoadFactorHours),0),)</f>
        <v>1.1385124759700052E-4</v>
      </c>
      <c r="M4" s="7" cm="1">
        <f t="array" ref="M4">INDEX('Summarized Source Data'!$W$1269:$W$1412,MATCH(1,($A4=LoadFactorSeasons)*(M$1=LoadFactorHours),0),)</f>
        <v>1.1348032781847774E-4</v>
      </c>
      <c r="N4" s="7" cm="1">
        <f t="array" ref="N4">INDEX('Summarized Source Data'!$W$1269:$W$1412,MATCH(1,($A4=LoadFactorSeasons)*(N$1=LoadFactorHours),0),)</f>
        <v>1.1317588779925468E-4</v>
      </c>
      <c r="O4" s="7" cm="1">
        <f t="array" ref="O4">INDEX('Summarized Source Data'!$W$1269:$W$1412,MATCH(1,($A4=LoadFactorSeasons)*(O$1=LoadFactorHours),0),)</f>
        <v>1.130982245290447E-4</v>
      </c>
      <c r="P4" s="7" cm="1">
        <f t="array" ref="P4">INDEX('Summarized Source Data'!$W$1269:$W$1412,MATCH(1,($A4=LoadFactorSeasons)*(P$1=LoadFactorHours),0),)</f>
        <v>1.1329828511310558E-4</v>
      </c>
      <c r="Q4" s="7" cm="1">
        <f t="array" ref="Q4">INDEX('Summarized Source Data'!$W$1269:$W$1412,MATCH(1,($A4=LoadFactorSeasons)*(Q$1=LoadFactorHours),0),)</f>
        <v>1.1438432828372173E-4</v>
      </c>
      <c r="R4" s="7" cm="1">
        <f t="array" ref="R4">INDEX('Summarized Source Data'!$W$1269:$W$1412,MATCH(1,($A4=LoadFactorSeasons)*(R$1=LoadFactorHours),0),)</f>
        <v>1.1553778317288013E-4</v>
      </c>
      <c r="S4" s="7" cm="1">
        <f t="array" ref="S4">INDEX('Summarized Source Data'!$W$1269:$W$1412,MATCH(1,($A4=LoadFactorSeasons)*(S$1=LoadFactorHours),0),)</f>
        <v>1.158133324555851E-4</v>
      </c>
      <c r="T4" s="7" cm="1">
        <f t="array" ref="T4">INDEX('Summarized Source Data'!$W$1269:$W$1412,MATCH(1,($A4=LoadFactorSeasons)*(T$1=LoadFactorHours),0),)</f>
        <v>1.1519482217163293E-4</v>
      </c>
      <c r="U4" s="7" cm="1">
        <f t="array" ref="U4">INDEX('Summarized Source Data'!$W$1269:$W$1412,MATCH(1,($A4=LoadFactorSeasons)*(U$1=LoadFactorHours),0),)</f>
        <v>1.1446074894160834E-4</v>
      </c>
      <c r="V4" s="7" cm="1">
        <f t="array" ref="V4">INDEX('Summarized Source Data'!$W$1269:$W$1412,MATCH(1,($A4=LoadFactorSeasons)*(V$1=LoadFactorHours),0),)</f>
        <v>1.1372822897698794E-4</v>
      </c>
      <c r="W4" s="7" cm="1">
        <f t="array" ref="W4">INDEX('Summarized Source Data'!$W$1269:$W$1412,MATCH(1,($A4=LoadFactorSeasons)*(W$1=LoadFactorHours),0),)</f>
        <v>1.1268008548223426E-4</v>
      </c>
      <c r="X4" s="7" cm="1">
        <f t="array" ref="X4">INDEX('Summarized Source Data'!$W$1269:$W$1412,MATCH(1,($A4=LoadFactorSeasons)*(X$1=LoadFactorHours),0),)</f>
        <v>1.1174595166814881E-4</v>
      </c>
      <c r="Y4" s="7" cm="1">
        <f t="array" ref="Y4">INDEX('Summarized Source Data'!$W$1269:$W$1412,MATCH(1,($A4=LoadFactorSeasons)*(Y$1=LoadFactorHours),0),)</f>
        <v>1.1110818089318455E-4</v>
      </c>
    </row>
    <row r="5" spans="1:25" x14ac:dyDescent="0.3">
      <c r="A5" s="7" t="s">
        <v>164</v>
      </c>
      <c r="B5" s="7" cm="1">
        <f t="array" ref="B5">INDEX('Summarized Source Data'!$W$1269:$W$1412,MATCH(1,($A5=LoadFactorSeasons)*(B$1=LoadFactorHours),0),)</f>
        <v>1.1300049612541657E-4</v>
      </c>
      <c r="C5" s="7" cm="1">
        <f t="array" ref="C5">INDEX('Summarized Source Data'!$W$1269:$W$1412,MATCH(1,($A5=LoadFactorSeasons)*(C$1=LoadFactorHours),0),)</f>
        <v>1.1282854709883497E-4</v>
      </c>
      <c r="D5" s="7" cm="1">
        <f t="array" ref="D5">INDEX('Summarized Source Data'!$W$1269:$W$1412,MATCH(1,($A5=LoadFactorSeasons)*(D$1=LoadFactorHours),0),)</f>
        <v>1.1275826820513676E-4</v>
      </c>
      <c r="E5" s="7" cm="1">
        <f t="array" ref="E5">INDEX('Summarized Source Data'!$W$1269:$W$1412,MATCH(1,($A5=LoadFactorSeasons)*(E$1=LoadFactorHours),0),)</f>
        <v>1.1288570726570951E-4</v>
      </c>
      <c r="F5" s="7" cm="1">
        <f t="array" ref="F5">INDEX('Summarized Source Data'!$W$1269:$W$1412,MATCH(1,($A5=LoadFactorSeasons)*(F$1=LoadFactorHours),0),)</f>
        <v>1.133148770432265E-4</v>
      </c>
      <c r="G5" s="7" cm="1">
        <f t="array" ref="G5">INDEX('Summarized Source Data'!$W$1269:$W$1412,MATCH(1,($A5=LoadFactorSeasons)*(G$1=LoadFactorHours),0),)</f>
        <v>1.1415869229356286E-4</v>
      </c>
      <c r="H5" s="7" cm="1">
        <f t="array" ref="H5">INDEX('Summarized Source Data'!$W$1269:$W$1412,MATCH(1,($A5=LoadFactorSeasons)*(H$1=LoadFactorHours),0),)</f>
        <v>1.1534359444131447E-4</v>
      </c>
      <c r="I5" s="7" cm="1">
        <f t="array" ref="I5">INDEX('Summarized Source Data'!$W$1269:$W$1412,MATCH(1,($A5=LoadFactorSeasons)*(I$1=LoadFactorHours),0),)</f>
        <v>1.1634389736161882E-4</v>
      </c>
      <c r="J5" s="7" cm="1">
        <f t="array" ref="J5">INDEX('Summarized Source Data'!$W$1269:$W$1412,MATCH(1,($A5=LoadFactorSeasons)*(J$1=LoadFactorHours),0),)</f>
        <v>1.1657253802911698E-4</v>
      </c>
      <c r="K5" s="7" cm="1">
        <f t="array" ref="K5">INDEX('Summarized Source Data'!$W$1269:$W$1412,MATCH(1,($A5=LoadFactorSeasons)*(K$1=LoadFactorHours),0),)</f>
        <v>1.163724774450561E-4</v>
      </c>
      <c r="L5" s="7" cm="1">
        <f t="array" ref="L5">INDEX('Summarized Source Data'!$W$1269:$W$1412,MATCH(1,($A5=LoadFactorSeasons)*(L$1=LoadFactorHours),0),)</f>
        <v>1.1588661602662257E-4</v>
      </c>
      <c r="M5" s="7" cm="1">
        <f t="array" ref="M5">INDEX('Summarized Source Data'!$W$1269:$W$1412,MATCH(1,($A5=LoadFactorSeasons)*(M$1=LoadFactorHours),0),)</f>
        <v>1.1554365502537535E-4</v>
      </c>
      <c r="N5" s="7" cm="1">
        <f t="array" ref="N5">INDEX('Summarized Source Data'!$W$1269:$W$1412,MATCH(1,($A5=LoadFactorSeasons)*(N$1=LoadFactorHours),0),)</f>
        <v>1.1525785419100268E-4</v>
      </c>
      <c r="O5" s="7" cm="1">
        <f t="array" ref="O5">INDEX('Summarized Source Data'!$W$1269:$W$1412,MATCH(1,($A5=LoadFactorSeasons)*(O$1=LoadFactorHours),0),)</f>
        <v>1.1511495377381634E-4</v>
      </c>
      <c r="P5" s="7" cm="1">
        <f t="array" ref="P5">INDEX('Summarized Source Data'!$W$1269:$W$1412,MATCH(1,($A5=LoadFactorSeasons)*(P$1=LoadFactorHours),0),)</f>
        <v>1.1534406296727247E-4</v>
      </c>
      <c r="Q5" s="7" cm="1">
        <f t="array" ref="Q5">INDEX('Summarized Source Data'!$W$1269:$W$1412,MATCH(1,($A5=LoadFactorSeasons)*(Q$1=LoadFactorHours),0),)</f>
        <v>1.1640105752849336E-4</v>
      </c>
      <c r="R5" s="7" cm="1">
        <f t="array" ref="R5">INDEX('Summarized Source Data'!$W$1269:$W$1412,MATCH(1,($A5=LoadFactorSeasons)*(R$1=LoadFactorHours),0),)</f>
        <v>1.1755972222259766E-4</v>
      </c>
      <c r="S5" s="7" cm="1">
        <f t="array" ref="S5">INDEX('Summarized Source Data'!$W$1269:$W$1412,MATCH(1,($A5=LoadFactorSeasons)*(S$1=LoadFactorHours),0),)</f>
        <v>1.1783006170035674E-4</v>
      </c>
      <c r="T5" s="7" cm="1">
        <f t="array" ref="T5">INDEX('Summarized Source Data'!$W$1269:$W$1412,MATCH(1,($A5=LoadFactorSeasons)*(T$1=LoadFactorHours),0),)</f>
        <v>1.1727392138822499E-4</v>
      </c>
      <c r="U5" s="7" cm="1">
        <f t="array" ref="U5">INDEX('Summarized Source Data'!$W$1269:$W$1412,MATCH(1,($A5=LoadFactorSeasons)*(U$1=LoadFactorHours),0),)</f>
        <v>1.1651537786224244E-4</v>
      </c>
      <c r="V5" s="7" cm="1">
        <f t="array" ref="V5">INDEX('Summarized Source Data'!$W$1269:$W$1412,MATCH(1,($A5=LoadFactorSeasons)*(V$1=LoadFactorHours),0),)</f>
        <v>1.1575917696604985E-4</v>
      </c>
      <c r="W5" s="7" cm="1">
        <f t="array" ref="W5">INDEX('Summarized Source Data'!$W$1269:$W$1412,MATCH(1,($A5=LoadFactorSeasons)*(W$1=LoadFactorHours),0),)</f>
        <v>1.1474341268913186E-4</v>
      </c>
      <c r="X5" s="7" cm="1">
        <f t="array" ref="X5">INDEX('Summarized Source Data'!$W$1269:$W$1412,MATCH(1,($A5=LoadFactorSeasons)*(X$1=LoadFactorHours),0),)</f>
        <v>1.1371452968539026E-4</v>
      </c>
      <c r="Y5" s="7" cm="1">
        <f t="array" ref="Y5">INDEX('Summarized Source Data'!$W$1269:$W$1412,MATCH(1,($A5=LoadFactorSeasons)*(Y$1=LoadFactorHours),0),)</f>
        <v>1.1315838937325851E-4</v>
      </c>
    </row>
    <row r="6" spans="1:25" x14ac:dyDescent="0.3">
      <c r="A6" s="7" t="s">
        <v>167</v>
      </c>
      <c r="B6" s="7" cm="1">
        <f t="array" ref="B6">INDEX('Summarized Source Data'!$W$1269:$W$1412,MATCH(1,($A6=LoadFactorSeasons)*(B$1=LoadFactorHours),0),)</f>
        <v>1.318399248961135E-4</v>
      </c>
      <c r="C6" s="7" cm="1">
        <f t="array" ref="C6">INDEX('Summarized Source Data'!$W$1269:$W$1412,MATCH(1,($A6=LoadFactorSeasons)*(C$1=LoadFactorHours),0),)</f>
        <v>1.3163986431205264E-4</v>
      </c>
      <c r="D6" s="7" cm="1">
        <f t="array" ref="D6">INDEX('Summarized Source Data'!$W$1269:$W$1412,MATCH(1,($A6=LoadFactorSeasons)*(D$1=LoadFactorHours),0),)</f>
        <v>1.3163986431205264E-4</v>
      </c>
      <c r="E6" s="7" cm="1">
        <f t="array" ref="E6">INDEX('Summarized Source Data'!$W$1269:$W$1412,MATCH(1,($A6=LoadFactorSeasons)*(E$1=LoadFactorHours),0),)</f>
        <v>1.3163986431205264E-4</v>
      </c>
      <c r="F6" s="7" cm="1">
        <f t="array" ref="F6">INDEX('Summarized Source Data'!$W$1269:$W$1412,MATCH(1,($A6=LoadFactorSeasons)*(F$1=LoadFactorHours),0),)</f>
        <v>1.3203998548017438E-4</v>
      </c>
      <c r="G6" s="7" cm="1">
        <f t="array" ref="G6">INDEX('Summarized Source Data'!$W$1269:$W$1412,MATCH(1,($A6=LoadFactorSeasons)*(G$1=LoadFactorHours),0),)</f>
        <v>1.3304028840047872E-4</v>
      </c>
      <c r="H6" s="7" cm="1">
        <f t="array" ref="H6">INDEX('Summarized Source Data'!$W$1269:$W$1412,MATCH(1,($A6=LoadFactorSeasons)*(H$1=LoadFactorHours),0),)</f>
        <v>1.3464077307296569E-4</v>
      </c>
      <c r="I6" s="7" cm="1">
        <f t="array" ref="I6">INDEX('Summarized Source Data'!$W$1269:$W$1412,MATCH(1,($A6=LoadFactorSeasons)*(I$1=LoadFactorHours),0),)</f>
        <v>1.3584113657733092E-4</v>
      </c>
      <c r="J6" s="7" cm="1">
        <f t="array" ref="J6">INDEX('Summarized Source Data'!$W$1269:$W$1412,MATCH(1,($A6=LoadFactorSeasons)*(J$1=LoadFactorHours),0),)</f>
        <v>1.3644131832951352E-4</v>
      </c>
      <c r="K6" s="7" cm="1">
        <f t="array" ref="K6">INDEX('Summarized Source Data'!$W$1269:$W$1412,MATCH(1,($A6=LoadFactorSeasons)*(K$1=LoadFactorHours),0),)</f>
        <v>1.3604119716139178E-4</v>
      </c>
      <c r="L6" s="7" cm="1">
        <f t="array" ref="L6">INDEX('Summarized Source Data'!$W$1269:$W$1412,MATCH(1,($A6=LoadFactorSeasons)*(L$1=LoadFactorHours),0),)</f>
        <v>1.3564107599327004E-4</v>
      </c>
      <c r="M6" s="7" cm="1">
        <f t="array" ref="M6">INDEX('Summarized Source Data'!$W$1269:$W$1412,MATCH(1,($A6=LoadFactorSeasons)*(M$1=LoadFactorHours),0),)</f>
        <v>1.3504089424108744E-4</v>
      </c>
      <c r="N6" s="7" cm="1">
        <f t="array" ref="N6">INDEX('Summarized Source Data'!$W$1269:$W$1412,MATCH(1,($A6=LoadFactorSeasons)*(N$1=LoadFactorHours),0),)</f>
        <v>1.3464077307296569E-4</v>
      </c>
      <c r="O6" s="7" cm="1">
        <f t="array" ref="O6">INDEX('Summarized Source Data'!$W$1269:$W$1412,MATCH(1,($A6=LoadFactorSeasons)*(O$1=LoadFactorHours),0),)</f>
        <v>1.3464077307296569E-4</v>
      </c>
      <c r="P6" s="7" cm="1">
        <f t="array" ref="P6">INDEX('Summarized Source Data'!$W$1269:$W$1412,MATCH(1,($A6=LoadFactorSeasons)*(P$1=LoadFactorHours),0),)</f>
        <v>1.3484083365702655E-4</v>
      </c>
      <c r="Q6" s="7" cm="1">
        <f t="array" ref="Q6">INDEX('Summarized Source Data'!$W$1269:$W$1412,MATCH(1,($A6=LoadFactorSeasons)*(Q$1=LoadFactorHours),0),)</f>
        <v>1.3604119716139178E-4</v>
      </c>
      <c r="R6" s="7" cm="1">
        <f t="array" ref="R6">INDEX('Summarized Source Data'!$W$1269:$W$1412,MATCH(1,($A6=LoadFactorSeasons)*(R$1=LoadFactorHours),0),)</f>
        <v>1.3724156066575701E-4</v>
      </c>
      <c r="S6" s="7" cm="1">
        <f t="array" ref="S6">INDEX('Summarized Source Data'!$W$1269:$W$1412,MATCH(1,($A6=LoadFactorSeasons)*(S$1=LoadFactorHours),0),)</f>
        <v>1.3764168183387875E-4</v>
      </c>
      <c r="T6" s="7" cm="1">
        <f t="array" ref="T6">INDEX('Summarized Source Data'!$W$1269:$W$1412,MATCH(1,($A6=LoadFactorSeasons)*(T$1=LoadFactorHours),0),)</f>
        <v>1.3684143949763527E-4</v>
      </c>
      <c r="U6" s="7" cm="1">
        <f t="array" ref="U6">INDEX('Summarized Source Data'!$W$1269:$W$1412,MATCH(1,($A6=LoadFactorSeasons)*(U$1=LoadFactorHours),0),)</f>
        <v>1.3604119716139178E-4</v>
      </c>
      <c r="V6" s="7" cm="1">
        <f t="array" ref="V6">INDEX('Summarized Source Data'!$W$1269:$W$1412,MATCH(1,($A6=LoadFactorSeasons)*(V$1=LoadFactorHours),0),)</f>
        <v>1.3504089424108744E-4</v>
      </c>
      <c r="W6" s="7" cm="1">
        <f t="array" ref="W6">INDEX('Summarized Source Data'!$W$1269:$W$1412,MATCH(1,($A6=LoadFactorSeasons)*(W$1=LoadFactorHours),0),)</f>
        <v>1.3384053073672221E-4</v>
      </c>
      <c r="X6" s="7" cm="1">
        <f t="array" ref="X6">INDEX('Summarized Source Data'!$W$1269:$W$1412,MATCH(1,($A6=LoadFactorSeasons)*(X$1=LoadFactorHours),0),)</f>
        <v>1.3284022781641787E-4</v>
      </c>
      <c r="Y6" s="7" cm="1">
        <f t="array" ref="Y6">INDEX('Summarized Source Data'!$W$1269:$W$1412,MATCH(1,($A6=LoadFactorSeasons)*(Y$1=LoadFactorHours),0),)</f>
        <v>1.3203998548017438E-4</v>
      </c>
    </row>
    <row r="7" spans="1:25" x14ac:dyDescent="0.3">
      <c r="A7" s="7" t="s">
        <v>166</v>
      </c>
      <c r="B7" s="7" cm="1">
        <f t="array" ref="B7">INDEX('Summarized Source Data'!$W$1269:$W$1412,MATCH(1,($A7=LoadFactorSeasons)*(B$1=LoadFactorHours),0),)</f>
        <v>1.3264016723235698E-4</v>
      </c>
      <c r="C7" s="7" cm="1">
        <f t="array" ref="C7">INDEX('Summarized Source Data'!$W$1269:$W$1412,MATCH(1,($A7=LoadFactorSeasons)*(C$1=LoadFactorHours),0),)</f>
        <v>1.3244010664829612E-4</v>
      </c>
      <c r="D7" s="7" cm="1">
        <f t="array" ref="D7">INDEX('Summarized Source Data'!$W$1269:$W$1412,MATCH(1,($A7=LoadFactorSeasons)*(D$1=LoadFactorHours),0),)</f>
        <v>1.3244010664829612E-4</v>
      </c>
      <c r="E7" s="7" cm="1">
        <f t="array" ref="E7">INDEX('Summarized Source Data'!$W$1269:$W$1412,MATCH(1,($A7=LoadFactorSeasons)*(E$1=LoadFactorHours),0),)</f>
        <v>1.3244010664829612E-4</v>
      </c>
      <c r="F7" s="7" cm="1">
        <f t="array" ref="F7">INDEX('Summarized Source Data'!$W$1269:$W$1412,MATCH(1,($A7=LoadFactorSeasons)*(F$1=LoadFactorHours),0),)</f>
        <v>1.3284022781641787E-4</v>
      </c>
      <c r="G7" s="7" cm="1">
        <f t="array" ref="G7">INDEX('Summarized Source Data'!$W$1269:$W$1412,MATCH(1,($A7=LoadFactorSeasons)*(G$1=LoadFactorHours),0),)</f>
        <v>1.3384053073672221E-4</v>
      </c>
      <c r="H7" s="7" cm="1">
        <f t="array" ref="H7">INDEX('Summarized Source Data'!$W$1269:$W$1412,MATCH(1,($A7=LoadFactorSeasons)*(H$1=LoadFactorHours),0),)</f>
        <v>1.3544101540920918E-4</v>
      </c>
      <c r="I7" s="7" cm="1">
        <f t="array" ref="I7">INDEX('Summarized Source Data'!$W$1269:$W$1412,MATCH(1,($A7=LoadFactorSeasons)*(I$1=LoadFactorHours),0),)</f>
        <v>1.3664137891357438E-4</v>
      </c>
      <c r="J7" s="7" cm="1">
        <f t="array" ref="J7">INDEX('Summarized Source Data'!$W$1269:$W$1412,MATCH(1,($A7=LoadFactorSeasons)*(J$1=LoadFactorHours),0),)</f>
        <v>1.3704150008169612E-4</v>
      </c>
      <c r="K7" s="7" cm="1">
        <f t="array" ref="K7">INDEX('Summarized Source Data'!$W$1269:$W$1412,MATCH(1,($A7=LoadFactorSeasons)*(K$1=LoadFactorHours),0),)</f>
        <v>1.3684143949763527E-4</v>
      </c>
      <c r="L7" s="7" cm="1">
        <f t="array" ref="L7">INDEX('Summarized Source Data'!$W$1269:$W$1412,MATCH(1,($A7=LoadFactorSeasons)*(L$1=LoadFactorHours),0),)</f>
        <v>1.3624125774545267E-4</v>
      </c>
      <c r="M7" s="7" cm="1">
        <f t="array" ref="M7">INDEX('Summarized Source Data'!$W$1269:$W$1412,MATCH(1,($A7=LoadFactorSeasons)*(M$1=LoadFactorHours),0),)</f>
        <v>1.3584113657733092E-4</v>
      </c>
      <c r="N7" s="7" cm="1">
        <f t="array" ref="N7">INDEX('Summarized Source Data'!$W$1269:$W$1412,MATCH(1,($A7=LoadFactorSeasons)*(N$1=LoadFactorHours),0),)</f>
        <v>1.3544101540920918E-4</v>
      </c>
      <c r="O7" s="7" cm="1">
        <f t="array" ref="O7">INDEX('Summarized Source Data'!$W$1269:$W$1412,MATCH(1,($A7=LoadFactorSeasons)*(O$1=LoadFactorHours),0),)</f>
        <v>1.3524095482514829E-4</v>
      </c>
      <c r="P7" s="7" cm="1">
        <f t="array" ref="P7">INDEX('Summarized Source Data'!$W$1269:$W$1412,MATCH(1,($A7=LoadFactorSeasons)*(P$1=LoadFactorHours),0),)</f>
        <v>1.3544101540920918E-4</v>
      </c>
      <c r="Q7" s="7" cm="1">
        <f t="array" ref="Q7">INDEX('Summarized Source Data'!$W$1269:$W$1412,MATCH(1,($A7=LoadFactorSeasons)*(Q$1=LoadFactorHours),0),)</f>
        <v>1.3664137891357438E-4</v>
      </c>
      <c r="R7" s="7" cm="1">
        <f t="array" ref="R7">INDEX('Summarized Source Data'!$W$1269:$W$1412,MATCH(1,($A7=LoadFactorSeasons)*(R$1=LoadFactorHours),0),)</f>
        <v>1.3804180300200049E-4</v>
      </c>
      <c r="S7" s="7" cm="1">
        <f t="array" ref="S7">INDEX('Summarized Source Data'!$W$1269:$W$1412,MATCH(1,($A7=LoadFactorSeasons)*(S$1=LoadFactorHours),0),)</f>
        <v>1.3824186358606135E-4</v>
      </c>
      <c r="T7" s="7" cm="1">
        <f t="array" ref="T7">INDEX('Summarized Source Data'!$W$1269:$W$1412,MATCH(1,($A7=LoadFactorSeasons)*(T$1=LoadFactorHours),0),)</f>
        <v>1.3764168183387875E-4</v>
      </c>
      <c r="U7" s="7" cm="1">
        <f t="array" ref="U7">INDEX('Summarized Source Data'!$W$1269:$W$1412,MATCH(1,($A7=LoadFactorSeasons)*(U$1=LoadFactorHours),0),)</f>
        <v>1.3684143949763527E-4</v>
      </c>
      <c r="V7" s="7" cm="1">
        <f t="array" ref="V7">INDEX('Summarized Source Data'!$W$1269:$W$1412,MATCH(1,($A7=LoadFactorSeasons)*(V$1=LoadFactorHours),0),)</f>
        <v>1.3584113657733092E-4</v>
      </c>
      <c r="W7" s="7" cm="1">
        <f t="array" ref="W7">INDEX('Summarized Source Data'!$W$1269:$W$1412,MATCH(1,($A7=LoadFactorSeasons)*(W$1=LoadFactorHours),0),)</f>
        <v>1.3464077307296569E-4</v>
      </c>
      <c r="X7" s="7" cm="1">
        <f t="array" ref="X7">INDEX('Summarized Source Data'!$W$1269:$W$1412,MATCH(1,($A7=LoadFactorSeasons)*(X$1=LoadFactorHours),0),)</f>
        <v>1.3344040956860047E-4</v>
      </c>
      <c r="Y7" s="7" cm="1">
        <f t="array" ref="Y7">INDEX('Summarized Source Data'!$W$1269:$W$1412,MATCH(1,($A7=LoadFactorSeasons)*(Y$1=LoadFactorHours),0),)</f>
        <v>1.3284022781641787E-4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6A35-6C04-4CDB-8556-7E7A7DE4ADE7}">
  <sheetPr codeName="Sheet29">
    <tabColor rgb="FF002060"/>
  </sheetPr>
  <dimension ref="A1:Y15"/>
  <sheetViews>
    <sheetView workbookViewId="0"/>
  </sheetViews>
  <sheetFormatPr defaultRowHeight="14.4" x14ac:dyDescent="0.3"/>
  <cols>
    <col min="1" max="1" width="28.44140625" customWidth="1"/>
    <col min="2" max="2" width="10.5546875" bestFit="1" customWidth="1"/>
    <col min="3" max="25" width="10.4414062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 cm="1">
        <f t="array" ref="B2">INDEX('Summarized Source Data'!$X$1269:$X$1412,MATCH(1,($A2=LoadFactorSeasons)*(B$1=LoadFactorHours),0),)</f>
        <v>1.1235640568220452E-4</v>
      </c>
      <c r="C2" s="7" cm="1">
        <f t="array" ref="C2">INDEX('Summarized Source Data'!$X$1269:$X$1412,MATCH(1,($A2=LoadFactorSeasons)*(C$1=LoadFactorHours),0),)</f>
        <v>1.1220802741569272E-4</v>
      </c>
      <c r="D2" s="7" cm="1">
        <f t="array" ref="D2">INDEX('Summarized Source Data'!$X$1269:$X$1412,MATCH(1,($A2=LoadFactorSeasons)*(D$1=LoadFactorHours),0),)</f>
        <v>1.1217111147458623E-4</v>
      </c>
      <c r="E2" s="7" cm="1">
        <f t="array" ref="E2">INDEX('Summarized Source Data'!$X$1269:$X$1412,MATCH(1,($A2=LoadFactorSeasons)*(E$1=LoadFactorHours),0),)</f>
        <v>1.1222827164146076E-4</v>
      </c>
      <c r="F2" s="7" cm="1">
        <f t="array" ref="F2">INDEX('Summarized Source Data'!$X$1269:$X$1412,MATCH(1,($A2=LoadFactorSeasons)*(F$1=LoadFactorHours),0),)</f>
        <v>1.1267078660001444E-4</v>
      </c>
      <c r="G2" s="7" cm="1">
        <f t="array" ref="G2">INDEX('Summarized Source Data'!$X$1269:$X$1412,MATCH(1,($A2=LoadFactorSeasons)*(G$1=LoadFactorHours),0),)</f>
        <v>1.1348293730435681E-4</v>
      </c>
      <c r="H2" s="7" cm="1">
        <f t="array" ref="H2">INDEX('Summarized Source Data'!$X$1269:$X$1412,MATCH(1,($A2=LoadFactorSeasons)*(H$1=LoadFactorHours),0),)</f>
        <v>1.1468877865804749E-4</v>
      </c>
      <c r="I2" s="7" cm="1">
        <f t="array" ref="I2">INDEX('Summarized Source Data'!$X$1269:$X$1412,MATCH(1,($A2=LoadFactorSeasons)*(I$1=LoadFactorHours),0),)</f>
        <v>1.1559786347871457E-4</v>
      </c>
      <c r="J2" s="7" cm="1">
        <f t="array" ref="J2">INDEX('Summarized Source Data'!$X$1269:$X$1412,MATCH(1,($A2=LoadFactorSeasons)*(J$1=LoadFactorHours),0),)</f>
        <v>1.1585413156020206E-4</v>
      </c>
      <c r="K2" s="7" cm="1">
        <f t="array" ref="K2">INDEX('Summarized Source Data'!$X$1269:$X$1412,MATCH(1,($A2=LoadFactorSeasons)*(K$1=LoadFactorHours),0),)</f>
        <v>1.1562644356215186E-4</v>
      </c>
      <c r="L2" s="7" cm="1">
        <f t="array" ref="L2">INDEX('Summarized Source Data'!$X$1269:$X$1412,MATCH(1,($A2=LoadFactorSeasons)*(L$1=LoadFactorHours),0),)</f>
        <v>1.151763072480149E-4</v>
      </c>
      <c r="M2" s="7" cm="1">
        <f t="array" ref="M2">INDEX('Summarized Source Data'!$X$1269:$X$1412,MATCH(1,($A2=LoadFactorSeasons)*(M$1=LoadFactorHours),0),)</f>
        <v>1.1482524855646046E-4</v>
      </c>
      <c r="N2" s="7" cm="1">
        <f t="array" ref="N2">INDEX('Summarized Source Data'!$X$1269:$X$1412,MATCH(1,($A2=LoadFactorSeasons)*(N$1=LoadFactorHours),0),)</f>
        <v>1.145487362492049E-4</v>
      </c>
      <c r="O2" s="7" cm="1">
        <f t="array" ref="O2">INDEX('Summarized Source Data'!$X$1269:$X$1412,MATCH(1,($A2=LoadFactorSeasons)*(O$1=LoadFactorHours),0),)</f>
        <v>1.1443346324600791E-4</v>
      </c>
      <c r="P2" s="7" cm="1">
        <f t="array" ref="P2">INDEX('Summarized Source Data'!$X$1269:$X$1412,MATCH(1,($A2=LoadFactorSeasons)*(P$1=LoadFactorHours),0),)</f>
        <v>1.1466305658295396E-4</v>
      </c>
      <c r="Q2" s="7" cm="1">
        <f t="array" ref="Q2">INDEX('Summarized Source Data'!$X$1269:$X$1412,MATCH(1,($A2=LoadFactorSeasons)*(Q$1=LoadFactorHours),0),)</f>
        <v>1.1568265105957846E-4</v>
      </c>
      <c r="R2" s="7" cm="1">
        <f t="array" ref="R2">INDEX('Summarized Source Data'!$X$1269:$X$1412,MATCH(1,($A2=LoadFactorSeasons)*(R$1=LoadFactorHours),0),)</f>
        <v>1.1685252914161059E-4</v>
      </c>
      <c r="S2" s="7" cm="1">
        <f t="array" ref="S2">INDEX('Summarized Source Data'!$X$1269:$X$1412,MATCH(1,($A2=LoadFactorSeasons)*(S$1=LoadFactorHours),0),)</f>
        <v>1.1709569801818934E-4</v>
      </c>
      <c r="T2" s="7" cm="1">
        <f t="array" ref="T2">INDEX('Summarized Source Data'!$X$1269:$X$1412,MATCH(1,($A2=LoadFactorSeasons)*(T$1=LoadFactorHours),0),)</f>
        <v>1.1650956814036343E-4</v>
      </c>
      <c r="U2" s="7" cm="1">
        <f t="array" ref="U2">INDEX('Summarized Source Data'!$X$1269:$X$1412,MATCH(1,($A2=LoadFactorSeasons)*(U$1=LoadFactorHours),0),)</f>
        <v>1.1582364613786899E-4</v>
      </c>
      <c r="V2" s="7" cm="1">
        <f t="array" ref="V2">INDEX('Summarized Source Data'!$X$1269:$X$1412,MATCH(1,($A2=LoadFactorSeasons)*(V$1=LoadFactorHours),0),)</f>
        <v>1.1506865560040119E-4</v>
      </c>
      <c r="W2" s="7" cm="1">
        <f t="array" ref="W2">INDEX('Summarized Source Data'!$X$1269:$X$1412,MATCH(1,($A2=LoadFactorSeasons)*(W$1=LoadFactorHours),0),)</f>
        <v>1.1407668853776602E-4</v>
      </c>
      <c r="X2" s="7" cm="1">
        <f t="array" ref="X2">INDEX('Summarized Source Data'!$X$1269:$X$1412,MATCH(1,($A2=LoadFactorSeasons)*(X$1=LoadFactorHours),0),)</f>
        <v>1.1309948785157348E-4</v>
      </c>
      <c r="Y2" s="7" cm="1">
        <f t="array" ref="Y2">INDEX('Summarized Source Data'!$X$1269:$X$1412,MATCH(1,($A2=LoadFactorSeasons)*(Y$1=LoadFactorHours),0),)</f>
        <v>1.1255646626626538E-4</v>
      </c>
    </row>
    <row r="3" spans="1:25" x14ac:dyDescent="0.3">
      <c r="A3" s="7" t="s">
        <v>162</v>
      </c>
      <c r="B3" s="7" cm="1">
        <f t="array" ref="B3">INDEX('Summarized Source Data'!$X$1269:$X$1412,MATCH(1,($A3=LoadFactorSeasons)*(B$1=LoadFactorHours),0),)</f>
        <v>1.1205505148358446E-4</v>
      </c>
      <c r="C3" s="7" cm="1">
        <f t="array" ref="C3">INDEX('Summarized Source Data'!$X$1269:$X$1412,MATCH(1,($A3=LoadFactorSeasons)*(C$1=LoadFactorHours),0),)</f>
        <v>1.1189351188154774E-4</v>
      </c>
      <c r="D3" s="7" cm="1">
        <f t="array" ref="D3">INDEX('Summarized Source Data'!$X$1269:$X$1412,MATCH(1,($A3=LoadFactorSeasons)*(D$1=LoadFactorHours),0),)</f>
        <v>1.1191215106639813E-4</v>
      </c>
      <c r="E3" s="7" cm="1">
        <f t="array" ref="E3">INDEX('Summarized Source Data'!$X$1269:$X$1412,MATCH(1,($A3=LoadFactorSeasons)*(E$1=LoadFactorHours),0),)</f>
        <v>1.119314115574102E-4</v>
      </c>
      <c r="F3" s="7" cm="1">
        <f t="array" ref="F3">INDEX('Summarized Source Data'!$X$1269:$X$1412,MATCH(1,($A3=LoadFactorSeasons)*(F$1=LoadFactorHours),0),)</f>
        <v>1.1235079321654401E-4</v>
      </c>
      <c r="G3" s="7" cm="1">
        <f t="array" ref="G3">INDEX('Summarized Source Data'!$X$1269:$X$1412,MATCH(1,($A3=LoadFactorSeasons)*(G$1=LoadFactorHours),0),)</f>
        <v>1.1322807751683577E-4</v>
      </c>
      <c r="H3" s="7" cm="1">
        <f t="array" ref="H3">INDEX('Summarized Source Data'!$X$1269:$X$1412,MATCH(1,($A3=LoadFactorSeasons)*(H$1=LoadFactorHours),0),)</f>
        <v>1.1430480109502675E-4</v>
      </c>
      <c r="I3" s="7" cm="1">
        <f t="array" ref="I3">INDEX('Summarized Source Data'!$X$1269:$X$1412,MATCH(1,($A3=LoadFactorSeasons)*(I$1=LoadFactorHours),0),)</f>
        <v>1.15229615316687E-4</v>
      </c>
      <c r="J3" s="7" cm="1">
        <f t="array" ref="J3">INDEX('Summarized Source Data'!$X$1269:$X$1412,MATCH(1,($A3=LoadFactorSeasons)*(J$1=LoadFactorHours),0),)</f>
        <v>1.1547689516903554E-4</v>
      </c>
      <c r="K3" s="7" cm="1">
        <f t="array" ref="K3">INDEX('Summarized Source Data'!$X$1269:$X$1412,MATCH(1,($A3=LoadFactorSeasons)*(K$1=LoadFactorHours),0),)</f>
        <v>1.1527683458497463E-4</v>
      </c>
      <c r="L3" s="7" cm="1">
        <f t="array" ref="L3">INDEX('Summarized Source Data'!$X$1269:$X$1412,MATCH(1,($A3=LoadFactorSeasons)*(L$1=LoadFactorHours),0),)</f>
        <v>1.148391243940713E-4</v>
      </c>
      <c r="M3" s="7" cm="1">
        <f t="array" ref="M3">INDEX('Summarized Source Data'!$X$1269:$X$1412,MATCH(1,($A3=LoadFactorSeasons)*(M$1=LoadFactorHours),0),)</f>
        <v>1.1451542388383618E-4</v>
      </c>
      <c r="N3" s="7" cm="1">
        <f t="array" ref="N3">INDEX('Summarized Source Data'!$X$1269:$X$1412,MATCH(1,($A3=LoadFactorSeasons)*(N$1=LoadFactorHours),0),)</f>
        <v>1.1416221133092121E-4</v>
      </c>
      <c r="O3" s="7" cm="1">
        <f t="array" ref="O3">INDEX('Summarized Source Data'!$X$1269:$X$1412,MATCH(1,($A3=LoadFactorSeasons)*(O$1=LoadFactorHours),0),)</f>
        <v>1.1413332059440313E-4</v>
      </c>
      <c r="P3" s="7" cm="1">
        <f t="array" ref="P3">INDEX('Summarized Source Data'!$X$1269:$X$1412,MATCH(1,($A3=LoadFactorSeasons)*(P$1=LoadFactorHours),0),)</f>
        <v>1.14333381178464E-4</v>
      </c>
      <c r="Q3" s="7" cm="1">
        <f t="array" ref="Q3">INDEX('Summarized Source Data'!$X$1269:$X$1412,MATCH(1,($A3=LoadFactorSeasons)*(Q$1=LoadFactorHours),0),)</f>
        <v>1.1530541466841193E-4</v>
      </c>
      <c r="R3" s="7" cm="1">
        <f t="array" ref="R3">INDEX('Summarized Source Data'!$X$1269:$X$1412,MATCH(1,($A3=LoadFactorSeasons)*(R$1=LoadFactorHours),0),)</f>
        <v>1.1648838160025011E-4</v>
      </c>
      <c r="S3" s="7" cm="1">
        <f t="array" ref="S3">INDEX('Summarized Source Data'!$X$1269:$X$1412,MATCH(1,($A3=LoadFactorSeasons)*(S$1=LoadFactorHours),0),)</f>
        <v>1.1666918169329891E-4</v>
      </c>
      <c r="T3" s="7" cm="1">
        <f t="array" ref="T3">INDEX('Summarized Source Data'!$X$1269:$X$1412,MATCH(1,($A3=LoadFactorSeasons)*(T$1=LoadFactorHours),0),)</f>
        <v>1.1618332027486535E-4</v>
      </c>
      <c r="U3" s="7" cm="1">
        <f t="array" ref="U3">INDEX('Summarized Source Data'!$X$1269:$X$1412,MATCH(1,($A3=LoadFactorSeasons)*(U$1=LoadFactorHours),0),)</f>
        <v>1.1549739827237092E-4</v>
      </c>
      <c r="V3" s="7" cm="1">
        <f t="array" ref="V3">INDEX('Summarized Source Data'!$X$1269:$X$1412,MATCH(1,($A3=LoadFactorSeasons)*(V$1=LoadFactorHours),0),)</f>
        <v>1.146959133238041E-4</v>
      </c>
      <c r="W3" s="7" cm="1">
        <f t="array" ref="W3">INDEX('Summarized Source Data'!$X$1269:$X$1412,MATCH(1,($A3=LoadFactorSeasons)*(W$1=LoadFactorHours),0),)</f>
        <v>1.1376177950971865E-4</v>
      </c>
      <c r="X3" s="7" cm="1">
        <f t="array" ref="X3">INDEX('Summarized Source Data'!$X$1269:$X$1412,MATCH(1,($A3=LoadFactorSeasons)*(X$1=LoadFactorHours),0),)</f>
        <v>1.1277949446810302E-4</v>
      </c>
      <c r="Y3" s="7" cm="1">
        <f t="array" ref="Y3">INDEX('Summarized Source Data'!$X$1269:$X$1412,MATCH(1,($A3=LoadFactorSeasons)*(Y$1=LoadFactorHours),0),)</f>
        <v>1.1220851410551937E-4</v>
      </c>
    </row>
    <row r="4" spans="1:25" x14ac:dyDescent="0.3">
      <c r="A4" s="7" t="s">
        <v>163</v>
      </c>
      <c r="B4" s="7" cm="1">
        <f t="array" ref="B4">INDEX('Summarized Source Data'!$X$1269:$X$1412,MATCH(1,($A4=LoadFactorSeasons)*(B$1=LoadFactorHours),0),)</f>
        <v>1.1090812030912371E-4</v>
      </c>
      <c r="C4" s="7" cm="1">
        <f t="array" ref="C4">INDEX('Summarized Source Data'!$X$1269:$X$1412,MATCH(1,($A4=LoadFactorSeasons)*(C$1=LoadFactorHours),0),)</f>
        <v>1.1074658070708698E-4</v>
      </c>
      <c r="D4" s="7" cm="1">
        <f t="array" ref="D4">INDEX('Summarized Source Data'!$X$1269:$X$1412,MATCH(1,($A4=LoadFactorSeasons)*(D$1=LoadFactorHours),0),)</f>
        <v>1.1076521989193738E-4</v>
      </c>
      <c r="E4" s="7" cm="1">
        <f t="array" ref="E4">INDEX('Summarized Source Data'!$X$1269:$X$1412,MATCH(1,($A4=LoadFactorSeasons)*(E$1=LoadFactorHours),0),)</f>
        <v>1.1080374087396151E-4</v>
      </c>
      <c r="F4" s="7" cm="1">
        <f t="array" ref="F4">INDEX('Summarized Source Data'!$X$1269:$X$1412,MATCH(1,($A4=LoadFactorSeasons)*(F$1=LoadFactorHours),0),)</f>
        <v>1.1122250122693363E-4</v>
      </c>
      <c r="G4" s="7" cm="1">
        <f t="array" ref="G4">INDEX('Summarized Source Data'!$X$1269:$X$1412,MATCH(1,($A4=LoadFactorSeasons)*(G$1=LoadFactorHours),0),)</f>
        <v>1.1209885356798288E-4</v>
      </c>
      <c r="H4" s="7" cm="1">
        <f t="array" ref="H4">INDEX('Summarized Source Data'!$X$1269:$X$1412,MATCH(1,($A4=LoadFactorSeasons)*(H$1=LoadFactorHours),0),)</f>
        <v>1.1328896552068036E-4</v>
      </c>
      <c r="I4" s="7" cm="1">
        <f t="array" ref="I4">INDEX('Summarized Source Data'!$X$1269:$X$1412,MATCH(1,($A4=LoadFactorSeasons)*(I$1=LoadFactorHours),0),)</f>
        <v>1.1424267047885875E-4</v>
      </c>
      <c r="J4" s="7" cm="1">
        <f t="array" ref="J4">INDEX('Summarized Source Data'!$X$1269:$X$1412,MATCH(1,($A4=LoadFactorSeasons)*(J$1=LoadFactorHours),0),)</f>
        <v>1.1455580878434533E-4</v>
      </c>
      <c r="K4" s="7" cm="1">
        <f t="array" ref="K4">INDEX('Summarized Source Data'!$X$1269:$X$1412,MATCH(1,($A4=LoadFactorSeasons)*(K$1=LoadFactorHours),0),)</f>
        <v>1.1427125056229603E-4</v>
      </c>
      <c r="L4" s="7" cm="1">
        <f t="array" ref="L4">INDEX('Summarized Source Data'!$X$1269:$X$1412,MATCH(1,($A4=LoadFactorSeasons)*(L$1=LoadFactorHours),0),)</f>
        <v>1.1385124759700052E-4</v>
      </c>
      <c r="M4" s="7" cm="1">
        <f t="array" ref="M4">INDEX('Summarized Source Data'!$X$1269:$X$1412,MATCH(1,($A4=LoadFactorSeasons)*(M$1=LoadFactorHours),0),)</f>
        <v>1.1348032781847774E-4</v>
      </c>
      <c r="N4" s="7" cm="1">
        <f t="array" ref="N4">INDEX('Summarized Source Data'!$X$1269:$X$1412,MATCH(1,($A4=LoadFactorSeasons)*(N$1=LoadFactorHours),0),)</f>
        <v>1.1317588779925468E-4</v>
      </c>
      <c r="O4" s="7" cm="1">
        <f t="array" ref="O4">INDEX('Summarized Source Data'!$X$1269:$X$1412,MATCH(1,($A4=LoadFactorSeasons)*(O$1=LoadFactorHours),0),)</f>
        <v>1.130982245290447E-4</v>
      </c>
      <c r="P4" s="7" cm="1">
        <f t="array" ref="P4">INDEX('Summarized Source Data'!$X$1269:$X$1412,MATCH(1,($A4=LoadFactorSeasons)*(P$1=LoadFactorHours),0),)</f>
        <v>1.1329828511310558E-4</v>
      </c>
      <c r="Q4" s="7" cm="1">
        <f t="array" ref="Q4">INDEX('Summarized Source Data'!$X$1269:$X$1412,MATCH(1,($A4=LoadFactorSeasons)*(Q$1=LoadFactorHours),0),)</f>
        <v>1.1438432828372173E-4</v>
      </c>
      <c r="R4" s="7" cm="1">
        <f t="array" ref="R4">INDEX('Summarized Source Data'!$X$1269:$X$1412,MATCH(1,($A4=LoadFactorSeasons)*(R$1=LoadFactorHours),0),)</f>
        <v>1.1553778317288013E-4</v>
      </c>
      <c r="S4" s="7" cm="1">
        <f t="array" ref="S4">INDEX('Summarized Source Data'!$X$1269:$X$1412,MATCH(1,($A4=LoadFactorSeasons)*(S$1=LoadFactorHours),0),)</f>
        <v>1.158133324555851E-4</v>
      </c>
      <c r="T4" s="7" cm="1">
        <f t="array" ref="T4">INDEX('Summarized Source Data'!$X$1269:$X$1412,MATCH(1,($A4=LoadFactorSeasons)*(T$1=LoadFactorHours),0),)</f>
        <v>1.1519482217163293E-4</v>
      </c>
      <c r="U4" s="7" cm="1">
        <f t="array" ref="U4">INDEX('Summarized Source Data'!$X$1269:$X$1412,MATCH(1,($A4=LoadFactorSeasons)*(U$1=LoadFactorHours),0),)</f>
        <v>1.1446074894160834E-4</v>
      </c>
      <c r="V4" s="7" cm="1">
        <f t="array" ref="V4">INDEX('Summarized Source Data'!$X$1269:$X$1412,MATCH(1,($A4=LoadFactorSeasons)*(V$1=LoadFactorHours),0),)</f>
        <v>1.1372822897698794E-4</v>
      </c>
      <c r="W4" s="7" cm="1">
        <f t="array" ref="W4">INDEX('Summarized Source Data'!$X$1269:$X$1412,MATCH(1,($A4=LoadFactorSeasons)*(W$1=LoadFactorHours),0),)</f>
        <v>1.1268008548223426E-4</v>
      </c>
      <c r="X4" s="7" cm="1">
        <f t="array" ref="X4">INDEX('Summarized Source Data'!$X$1269:$X$1412,MATCH(1,($A4=LoadFactorSeasons)*(X$1=LoadFactorHours),0),)</f>
        <v>1.1174595166814881E-4</v>
      </c>
      <c r="Y4" s="7" cm="1">
        <f t="array" ref="Y4">INDEX('Summarized Source Data'!$X$1269:$X$1412,MATCH(1,($A4=LoadFactorSeasons)*(Y$1=LoadFactorHours),0),)</f>
        <v>1.1110818089318455E-4</v>
      </c>
    </row>
    <row r="5" spans="1:25" x14ac:dyDescent="0.3">
      <c r="A5" s="7" t="s">
        <v>164</v>
      </c>
      <c r="B5" s="7" cm="1">
        <f t="array" ref="B5">INDEX('Summarized Source Data'!$X$1269:$X$1412,MATCH(1,($A5=LoadFactorSeasons)*(B$1=LoadFactorHours),0),)</f>
        <v>1.1300049612541657E-4</v>
      </c>
      <c r="C5" s="7" cm="1">
        <f t="array" ref="C5">INDEX('Summarized Source Data'!$X$1269:$X$1412,MATCH(1,($A5=LoadFactorSeasons)*(C$1=LoadFactorHours),0),)</f>
        <v>1.1282854709883497E-4</v>
      </c>
      <c r="D5" s="7" cm="1">
        <f t="array" ref="D5">INDEX('Summarized Source Data'!$X$1269:$X$1412,MATCH(1,($A5=LoadFactorSeasons)*(D$1=LoadFactorHours),0),)</f>
        <v>1.1275826820513676E-4</v>
      </c>
      <c r="E5" s="7" cm="1">
        <f t="array" ref="E5">INDEX('Summarized Source Data'!$X$1269:$X$1412,MATCH(1,($A5=LoadFactorSeasons)*(E$1=LoadFactorHours),0),)</f>
        <v>1.1288570726570951E-4</v>
      </c>
      <c r="F5" s="7" cm="1">
        <f t="array" ref="F5">INDEX('Summarized Source Data'!$X$1269:$X$1412,MATCH(1,($A5=LoadFactorSeasons)*(F$1=LoadFactorHours),0),)</f>
        <v>1.133148770432265E-4</v>
      </c>
      <c r="G5" s="7" cm="1">
        <f t="array" ref="G5">INDEX('Summarized Source Data'!$X$1269:$X$1412,MATCH(1,($A5=LoadFactorSeasons)*(G$1=LoadFactorHours),0),)</f>
        <v>1.1415869229356286E-4</v>
      </c>
      <c r="H5" s="7" cm="1">
        <f t="array" ref="H5">INDEX('Summarized Source Data'!$X$1269:$X$1412,MATCH(1,($A5=LoadFactorSeasons)*(H$1=LoadFactorHours),0),)</f>
        <v>1.1534359444131447E-4</v>
      </c>
      <c r="I5" s="7" cm="1">
        <f t="array" ref="I5">INDEX('Summarized Source Data'!$X$1269:$X$1412,MATCH(1,($A5=LoadFactorSeasons)*(I$1=LoadFactorHours),0),)</f>
        <v>1.1634389736161882E-4</v>
      </c>
      <c r="J5" s="7" cm="1">
        <f t="array" ref="J5">INDEX('Summarized Source Data'!$X$1269:$X$1412,MATCH(1,($A5=LoadFactorSeasons)*(J$1=LoadFactorHours),0),)</f>
        <v>1.1657253802911698E-4</v>
      </c>
      <c r="K5" s="7" cm="1">
        <f t="array" ref="K5">INDEX('Summarized Source Data'!$X$1269:$X$1412,MATCH(1,($A5=LoadFactorSeasons)*(K$1=LoadFactorHours),0),)</f>
        <v>1.163724774450561E-4</v>
      </c>
      <c r="L5" s="7" cm="1">
        <f t="array" ref="L5">INDEX('Summarized Source Data'!$X$1269:$X$1412,MATCH(1,($A5=LoadFactorSeasons)*(L$1=LoadFactorHours),0),)</f>
        <v>1.1588661602662257E-4</v>
      </c>
      <c r="M5" s="7" cm="1">
        <f t="array" ref="M5">INDEX('Summarized Source Data'!$X$1269:$X$1412,MATCH(1,($A5=LoadFactorSeasons)*(M$1=LoadFactorHours),0),)</f>
        <v>1.1554365502537535E-4</v>
      </c>
      <c r="N5" s="7" cm="1">
        <f t="array" ref="N5">INDEX('Summarized Source Data'!$X$1269:$X$1412,MATCH(1,($A5=LoadFactorSeasons)*(N$1=LoadFactorHours),0),)</f>
        <v>1.1525785419100268E-4</v>
      </c>
      <c r="O5" s="7" cm="1">
        <f t="array" ref="O5">INDEX('Summarized Source Data'!$X$1269:$X$1412,MATCH(1,($A5=LoadFactorSeasons)*(O$1=LoadFactorHours),0),)</f>
        <v>1.1511495377381634E-4</v>
      </c>
      <c r="P5" s="7" cm="1">
        <f t="array" ref="P5">INDEX('Summarized Source Data'!$X$1269:$X$1412,MATCH(1,($A5=LoadFactorSeasons)*(P$1=LoadFactorHours),0),)</f>
        <v>1.1534406296727247E-4</v>
      </c>
      <c r="Q5" s="7" cm="1">
        <f t="array" ref="Q5">INDEX('Summarized Source Data'!$X$1269:$X$1412,MATCH(1,($A5=LoadFactorSeasons)*(Q$1=LoadFactorHours),0),)</f>
        <v>1.1640105752849336E-4</v>
      </c>
      <c r="R5" s="7" cm="1">
        <f t="array" ref="R5">INDEX('Summarized Source Data'!$X$1269:$X$1412,MATCH(1,($A5=LoadFactorSeasons)*(R$1=LoadFactorHours),0),)</f>
        <v>1.1755972222259766E-4</v>
      </c>
      <c r="S5" s="7" cm="1">
        <f t="array" ref="S5">INDEX('Summarized Source Data'!$X$1269:$X$1412,MATCH(1,($A5=LoadFactorSeasons)*(S$1=LoadFactorHours),0),)</f>
        <v>1.1783006170035674E-4</v>
      </c>
      <c r="T5" s="7" cm="1">
        <f t="array" ref="T5">INDEX('Summarized Source Data'!$X$1269:$X$1412,MATCH(1,($A5=LoadFactorSeasons)*(T$1=LoadFactorHours),0),)</f>
        <v>1.1727392138822499E-4</v>
      </c>
      <c r="U5" s="7" cm="1">
        <f t="array" ref="U5">INDEX('Summarized Source Data'!$X$1269:$X$1412,MATCH(1,($A5=LoadFactorSeasons)*(U$1=LoadFactorHours),0),)</f>
        <v>1.1651537786224244E-4</v>
      </c>
      <c r="V5" s="7" cm="1">
        <f t="array" ref="V5">INDEX('Summarized Source Data'!$X$1269:$X$1412,MATCH(1,($A5=LoadFactorSeasons)*(V$1=LoadFactorHours),0),)</f>
        <v>1.1575917696604985E-4</v>
      </c>
      <c r="W5" s="7" cm="1">
        <f t="array" ref="W5">INDEX('Summarized Source Data'!$X$1269:$X$1412,MATCH(1,($A5=LoadFactorSeasons)*(W$1=LoadFactorHours),0),)</f>
        <v>1.1474341268913186E-4</v>
      </c>
      <c r="X5" s="7" cm="1">
        <f t="array" ref="X5">INDEX('Summarized Source Data'!$X$1269:$X$1412,MATCH(1,($A5=LoadFactorSeasons)*(X$1=LoadFactorHours),0),)</f>
        <v>1.1371452968539026E-4</v>
      </c>
      <c r="Y5" s="7" cm="1">
        <f t="array" ref="Y5">INDEX('Summarized Source Data'!$X$1269:$X$1412,MATCH(1,($A5=LoadFactorSeasons)*(Y$1=LoadFactorHours),0),)</f>
        <v>1.1315838937325851E-4</v>
      </c>
    </row>
    <row r="6" spans="1:25" x14ac:dyDescent="0.3">
      <c r="A6" s="7" t="s">
        <v>167</v>
      </c>
      <c r="B6" s="7" cm="1">
        <f t="array" ref="B6">INDEX('Summarized Source Data'!$X$1269:$X$1412,MATCH(1,($A6=LoadFactorSeasons)*(B$1=LoadFactorHours),0),)</f>
        <v>1.318399248961135E-4</v>
      </c>
      <c r="C6" s="7" cm="1">
        <f t="array" ref="C6">INDEX('Summarized Source Data'!$X$1269:$X$1412,MATCH(1,($A6=LoadFactorSeasons)*(C$1=LoadFactorHours),0),)</f>
        <v>1.3163986431205264E-4</v>
      </c>
      <c r="D6" s="7" cm="1">
        <f t="array" ref="D6">INDEX('Summarized Source Data'!$X$1269:$X$1412,MATCH(1,($A6=LoadFactorSeasons)*(D$1=LoadFactorHours),0),)</f>
        <v>1.3163986431205264E-4</v>
      </c>
      <c r="E6" s="7" cm="1">
        <f t="array" ref="E6">INDEX('Summarized Source Data'!$X$1269:$X$1412,MATCH(1,($A6=LoadFactorSeasons)*(E$1=LoadFactorHours),0),)</f>
        <v>1.3163986431205264E-4</v>
      </c>
      <c r="F6" s="7" cm="1">
        <f t="array" ref="F6">INDEX('Summarized Source Data'!$X$1269:$X$1412,MATCH(1,($A6=LoadFactorSeasons)*(F$1=LoadFactorHours),0),)</f>
        <v>1.3203998548017438E-4</v>
      </c>
      <c r="G6" s="7" cm="1">
        <f t="array" ref="G6">INDEX('Summarized Source Data'!$X$1269:$X$1412,MATCH(1,($A6=LoadFactorSeasons)*(G$1=LoadFactorHours),0),)</f>
        <v>1.3304028840047872E-4</v>
      </c>
      <c r="H6" s="7" cm="1">
        <f t="array" ref="H6">INDEX('Summarized Source Data'!$X$1269:$X$1412,MATCH(1,($A6=LoadFactorSeasons)*(H$1=LoadFactorHours),0),)</f>
        <v>1.3464077307296569E-4</v>
      </c>
      <c r="I6" s="7" cm="1">
        <f t="array" ref="I6">INDEX('Summarized Source Data'!$X$1269:$X$1412,MATCH(1,($A6=LoadFactorSeasons)*(I$1=LoadFactorHours),0),)</f>
        <v>1.3584113657733092E-4</v>
      </c>
      <c r="J6" s="7" cm="1">
        <f t="array" ref="J6">INDEX('Summarized Source Data'!$X$1269:$X$1412,MATCH(1,($A6=LoadFactorSeasons)*(J$1=LoadFactorHours),0),)</f>
        <v>1.3644131832951352E-4</v>
      </c>
      <c r="K6" s="7" cm="1">
        <f t="array" ref="K6">INDEX('Summarized Source Data'!$X$1269:$X$1412,MATCH(1,($A6=LoadFactorSeasons)*(K$1=LoadFactorHours),0),)</f>
        <v>1.3604119716139178E-4</v>
      </c>
      <c r="L6" s="7" cm="1">
        <f t="array" ref="L6">INDEX('Summarized Source Data'!$X$1269:$X$1412,MATCH(1,($A6=LoadFactorSeasons)*(L$1=LoadFactorHours),0),)</f>
        <v>1.3564107599327004E-4</v>
      </c>
      <c r="M6" s="7" cm="1">
        <f t="array" ref="M6">INDEX('Summarized Source Data'!$X$1269:$X$1412,MATCH(1,($A6=LoadFactorSeasons)*(M$1=LoadFactorHours),0),)</f>
        <v>1.3504089424108744E-4</v>
      </c>
      <c r="N6" s="7" cm="1">
        <f t="array" ref="N6">INDEX('Summarized Source Data'!$X$1269:$X$1412,MATCH(1,($A6=LoadFactorSeasons)*(N$1=LoadFactorHours),0),)</f>
        <v>1.3464077307296569E-4</v>
      </c>
      <c r="O6" s="7" cm="1">
        <f t="array" ref="O6">INDEX('Summarized Source Data'!$X$1269:$X$1412,MATCH(1,($A6=LoadFactorSeasons)*(O$1=LoadFactorHours),0),)</f>
        <v>1.3464077307296569E-4</v>
      </c>
      <c r="P6" s="7" cm="1">
        <f t="array" ref="P6">INDEX('Summarized Source Data'!$X$1269:$X$1412,MATCH(1,($A6=LoadFactorSeasons)*(P$1=LoadFactorHours),0),)</f>
        <v>1.3484083365702655E-4</v>
      </c>
      <c r="Q6" s="7" cm="1">
        <f t="array" ref="Q6">INDEX('Summarized Source Data'!$X$1269:$X$1412,MATCH(1,($A6=LoadFactorSeasons)*(Q$1=LoadFactorHours),0),)</f>
        <v>1.3604119716139178E-4</v>
      </c>
      <c r="R6" s="7" cm="1">
        <f t="array" ref="R6">INDEX('Summarized Source Data'!$X$1269:$X$1412,MATCH(1,($A6=LoadFactorSeasons)*(R$1=LoadFactorHours),0),)</f>
        <v>1.3724156066575701E-4</v>
      </c>
      <c r="S6" s="7" cm="1">
        <f t="array" ref="S6">INDEX('Summarized Source Data'!$X$1269:$X$1412,MATCH(1,($A6=LoadFactorSeasons)*(S$1=LoadFactorHours),0),)</f>
        <v>1.3764168183387875E-4</v>
      </c>
      <c r="T6" s="7" cm="1">
        <f t="array" ref="T6">INDEX('Summarized Source Data'!$X$1269:$X$1412,MATCH(1,($A6=LoadFactorSeasons)*(T$1=LoadFactorHours),0),)</f>
        <v>1.3684143949763527E-4</v>
      </c>
      <c r="U6" s="7" cm="1">
        <f t="array" ref="U6">INDEX('Summarized Source Data'!$X$1269:$X$1412,MATCH(1,($A6=LoadFactorSeasons)*(U$1=LoadFactorHours),0),)</f>
        <v>1.3604119716139178E-4</v>
      </c>
      <c r="V6" s="7" cm="1">
        <f t="array" ref="V6">INDEX('Summarized Source Data'!$X$1269:$X$1412,MATCH(1,($A6=LoadFactorSeasons)*(V$1=LoadFactorHours),0),)</f>
        <v>1.3504089424108744E-4</v>
      </c>
      <c r="W6" s="7" cm="1">
        <f t="array" ref="W6">INDEX('Summarized Source Data'!$X$1269:$X$1412,MATCH(1,($A6=LoadFactorSeasons)*(W$1=LoadFactorHours),0),)</f>
        <v>1.3384053073672221E-4</v>
      </c>
      <c r="X6" s="7" cm="1">
        <f t="array" ref="X6">INDEX('Summarized Source Data'!$X$1269:$X$1412,MATCH(1,($A6=LoadFactorSeasons)*(X$1=LoadFactorHours),0),)</f>
        <v>1.3284022781641787E-4</v>
      </c>
      <c r="Y6" s="7" cm="1">
        <f t="array" ref="Y6">INDEX('Summarized Source Data'!$X$1269:$X$1412,MATCH(1,($A6=LoadFactorSeasons)*(Y$1=LoadFactorHours),0),)</f>
        <v>1.3203998548017438E-4</v>
      </c>
    </row>
    <row r="7" spans="1:25" x14ac:dyDescent="0.3">
      <c r="A7" s="7" t="s">
        <v>166</v>
      </c>
      <c r="B7" s="7" cm="1">
        <f t="array" ref="B7">INDEX('Summarized Source Data'!$X$1269:$X$1412,MATCH(1,($A7=LoadFactorSeasons)*(B$1=LoadFactorHours),0),)</f>
        <v>1.3264016723235698E-4</v>
      </c>
      <c r="C7" s="7" cm="1">
        <f t="array" ref="C7">INDEX('Summarized Source Data'!$X$1269:$X$1412,MATCH(1,($A7=LoadFactorSeasons)*(C$1=LoadFactorHours),0),)</f>
        <v>1.3244010664829612E-4</v>
      </c>
      <c r="D7" s="7" cm="1">
        <f t="array" ref="D7">INDEX('Summarized Source Data'!$X$1269:$X$1412,MATCH(1,($A7=LoadFactorSeasons)*(D$1=LoadFactorHours),0),)</f>
        <v>1.3244010664829612E-4</v>
      </c>
      <c r="E7" s="7" cm="1">
        <f t="array" ref="E7">INDEX('Summarized Source Data'!$X$1269:$X$1412,MATCH(1,($A7=LoadFactorSeasons)*(E$1=LoadFactorHours),0),)</f>
        <v>1.3244010664829612E-4</v>
      </c>
      <c r="F7" s="7" cm="1">
        <f t="array" ref="F7">INDEX('Summarized Source Data'!$X$1269:$X$1412,MATCH(1,($A7=LoadFactorSeasons)*(F$1=LoadFactorHours),0),)</f>
        <v>1.3284022781641787E-4</v>
      </c>
      <c r="G7" s="7" cm="1">
        <f t="array" ref="G7">INDEX('Summarized Source Data'!$X$1269:$X$1412,MATCH(1,($A7=LoadFactorSeasons)*(G$1=LoadFactorHours),0),)</f>
        <v>1.3384053073672221E-4</v>
      </c>
      <c r="H7" s="7" cm="1">
        <f t="array" ref="H7">INDEX('Summarized Source Data'!$X$1269:$X$1412,MATCH(1,($A7=LoadFactorSeasons)*(H$1=LoadFactorHours),0),)</f>
        <v>1.3544101540920918E-4</v>
      </c>
      <c r="I7" s="7" cm="1">
        <f t="array" ref="I7">INDEX('Summarized Source Data'!$X$1269:$X$1412,MATCH(1,($A7=LoadFactorSeasons)*(I$1=LoadFactorHours),0),)</f>
        <v>1.3664137891357438E-4</v>
      </c>
      <c r="J7" s="7" cm="1">
        <f t="array" ref="J7">INDEX('Summarized Source Data'!$X$1269:$X$1412,MATCH(1,($A7=LoadFactorSeasons)*(J$1=LoadFactorHours),0),)</f>
        <v>1.3704150008169612E-4</v>
      </c>
      <c r="K7" s="7" cm="1">
        <f t="array" ref="K7">INDEX('Summarized Source Data'!$X$1269:$X$1412,MATCH(1,($A7=LoadFactorSeasons)*(K$1=LoadFactorHours),0),)</f>
        <v>1.3684143949763527E-4</v>
      </c>
      <c r="L7" s="7" cm="1">
        <f t="array" ref="L7">INDEX('Summarized Source Data'!$X$1269:$X$1412,MATCH(1,($A7=LoadFactorSeasons)*(L$1=LoadFactorHours),0),)</f>
        <v>1.3624125774545267E-4</v>
      </c>
      <c r="M7" s="7" cm="1">
        <f t="array" ref="M7">INDEX('Summarized Source Data'!$X$1269:$X$1412,MATCH(1,($A7=LoadFactorSeasons)*(M$1=LoadFactorHours),0),)</f>
        <v>1.3584113657733092E-4</v>
      </c>
      <c r="N7" s="7" cm="1">
        <f t="array" ref="N7">INDEX('Summarized Source Data'!$X$1269:$X$1412,MATCH(1,($A7=LoadFactorSeasons)*(N$1=LoadFactorHours),0),)</f>
        <v>1.3544101540920918E-4</v>
      </c>
      <c r="O7" s="7" cm="1">
        <f t="array" ref="O7">INDEX('Summarized Source Data'!$X$1269:$X$1412,MATCH(1,($A7=LoadFactorSeasons)*(O$1=LoadFactorHours),0),)</f>
        <v>1.3524095482514829E-4</v>
      </c>
      <c r="P7" s="7" cm="1">
        <f t="array" ref="P7">INDEX('Summarized Source Data'!$X$1269:$X$1412,MATCH(1,($A7=LoadFactorSeasons)*(P$1=LoadFactorHours),0),)</f>
        <v>1.3544101540920918E-4</v>
      </c>
      <c r="Q7" s="7" cm="1">
        <f t="array" ref="Q7">INDEX('Summarized Source Data'!$X$1269:$X$1412,MATCH(1,($A7=LoadFactorSeasons)*(Q$1=LoadFactorHours),0),)</f>
        <v>1.3664137891357438E-4</v>
      </c>
      <c r="R7" s="7" cm="1">
        <f t="array" ref="R7">INDEX('Summarized Source Data'!$X$1269:$X$1412,MATCH(1,($A7=LoadFactorSeasons)*(R$1=LoadFactorHours),0),)</f>
        <v>1.3804180300200049E-4</v>
      </c>
      <c r="S7" s="7" cm="1">
        <f t="array" ref="S7">INDEX('Summarized Source Data'!$X$1269:$X$1412,MATCH(1,($A7=LoadFactorSeasons)*(S$1=LoadFactorHours),0),)</f>
        <v>1.3824186358606135E-4</v>
      </c>
      <c r="T7" s="7" cm="1">
        <f t="array" ref="T7">INDEX('Summarized Source Data'!$X$1269:$X$1412,MATCH(1,($A7=LoadFactorSeasons)*(T$1=LoadFactorHours),0),)</f>
        <v>1.3764168183387875E-4</v>
      </c>
      <c r="U7" s="7" cm="1">
        <f t="array" ref="U7">INDEX('Summarized Source Data'!$X$1269:$X$1412,MATCH(1,($A7=LoadFactorSeasons)*(U$1=LoadFactorHours),0),)</f>
        <v>1.3684143949763527E-4</v>
      </c>
      <c r="V7" s="7" cm="1">
        <f t="array" ref="V7">INDEX('Summarized Source Data'!$X$1269:$X$1412,MATCH(1,($A7=LoadFactorSeasons)*(V$1=LoadFactorHours),0),)</f>
        <v>1.3584113657733092E-4</v>
      </c>
      <c r="W7" s="7" cm="1">
        <f t="array" ref="W7">INDEX('Summarized Source Data'!$X$1269:$X$1412,MATCH(1,($A7=LoadFactorSeasons)*(W$1=LoadFactorHours),0),)</f>
        <v>1.3464077307296569E-4</v>
      </c>
      <c r="X7" s="7" cm="1">
        <f t="array" ref="X7">INDEX('Summarized Source Data'!$X$1269:$X$1412,MATCH(1,($A7=LoadFactorSeasons)*(X$1=LoadFactorHours),0),)</f>
        <v>1.3344040956860047E-4</v>
      </c>
      <c r="Y7" s="7" cm="1">
        <f t="array" ref="Y7">INDEX('Summarized Source Data'!$X$1269:$X$1412,MATCH(1,($A7=LoadFactorSeasons)*(Y$1=LoadFactorHours),0),)</f>
        <v>1.3284022781641787E-4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261E-A9AC-43EF-B74B-DD85AC33F441}">
  <sheetPr>
    <tabColor rgb="FF002060"/>
  </sheetPr>
  <dimension ref="A1:Y15"/>
  <sheetViews>
    <sheetView workbookViewId="0">
      <selection activeCell="G22" sqref="G22"/>
    </sheetView>
  </sheetViews>
  <sheetFormatPr defaultColWidth="8.6640625" defaultRowHeight="14.4" x14ac:dyDescent="0.3"/>
  <cols>
    <col min="1" max="1" width="28.44140625" customWidth="1"/>
    <col min="2" max="2" width="10.5546875" bestFit="1" customWidth="1"/>
    <col min="3" max="25" width="10.33203125" bestFit="1" customWidth="1"/>
  </cols>
  <sheetData>
    <row r="1" spans="1:25" x14ac:dyDescent="0.3">
      <c r="A1" s="5" t="s">
        <v>231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  <c r="K1" s="6" t="s">
        <v>147</v>
      </c>
      <c r="L1" s="6" t="s">
        <v>148</v>
      </c>
      <c r="M1" s="6" t="s">
        <v>149</v>
      </c>
      <c r="N1" s="6" t="s">
        <v>150</v>
      </c>
      <c r="O1" s="6" t="s">
        <v>151</v>
      </c>
      <c r="P1" s="6" t="s">
        <v>152</v>
      </c>
      <c r="Q1" s="6" t="s">
        <v>153</v>
      </c>
      <c r="R1" s="6" t="s">
        <v>154</v>
      </c>
      <c r="S1" s="6" t="s">
        <v>155</v>
      </c>
      <c r="T1" s="6" t="s">
        <v>156</v>
      </c>
      <c r="U1" s="6" t="s">
        <v>157</v>
      </c>
      <c r="V1" s="6" t="s">
        <v>158</v>
      </c>
      <c r="W1" s="6" t="s">
        <v>159</v>
      </c>
      <c r="X1" s="6" t="s">
        <v>160</v>
      </c>
      <c r="Y1" s="6" t="s">
        <v>161</v>
      </c>
    </row>
    <row r="2" spans="1:25" x14ac:dyDescent="0.3">
      <c r="A2" s="7" t="s">
        <v>137</v>
      </c>
      <c r="B2" s="7">
        <v>1.1415525114155251E-4</v>
      </c>
      <c r="C2" s="7">
        <v>1.1415525114155251E-4</v>
      </c>
      <c r="D2" s="7">
        <v>1.1415525114155251E-4</v>
      </c>
      <c r="E2" s="7">
        <v>1.1415525114155251E-4</v>
      </c>
      <c r="F2" s="7">
        <v>1.1415525114155251E-4</v>
      </c>
      <c r="G2" s="7">
        <v>1.1415525114155251E-4</v>
      </c>
      <c r="H2" s="7">
        <v>1.1415525114155251E-4</v>
      </c>
      <c r="I2" s="7">
        <v>1.1415525114155251E-4</v>
      </c>
      <c r="J2" s="7">
        <v>1.1415525114155251E-4</v>
      </c>
      <c r="K2" s="7">
        <v>1.1415525114155251E-4</v>
      </c>
      <c r="L2" s="7">
        <v>1.1415525114155251E-4</v>
      </c>
      <c r="M2" s="7">
        <v>1.1415525114155251E-4</v>
      </c>
      <c r="N2" s="7">
        <v>1.1415525114155251E-4</v>
      </c>
      <c r="O2" s="7">
        <v>1.1415525114155251E-4</v>
      </c>
      <c r="P2" s="7">
        <v>1.1415525114155251E-4</v>
      </c>
      <c r="Q2" s="7">
        <v>1.1415525114155251E-4</v>
      </c>
      <c r="R2" s="7">
        <v>1.1415525114155251E-4</v>
      </c>
      <c r="S2" s="7">
        <v>1.1415525114155251E-4</v>
      </c>
      <c r="T2" s="7">
        <v>1.1415525114155251E-4</v>
      </c>
      <c r="U2" s="7">
        <v>1.1415525114155251E-4</v>
      </c>
      <c r="V2" s="7">
        <v>1.1415525114155251E-4</v>
      </c>
      <c r="W2" s="7">
        <v>1.1415525114155251E-4</v>
      </c>
      <c r="X2" s="7">
        <v>1.1415525114155251E-4</v>
      </c>
      <c r="Y2" s="7">
        <v>1.1415525114155251E-4</v>
      </c>
    </row>
    <row r="3" spans="1:25" x14ac:dyDescent="0.3">
      <c r="A3" s="7" t="s">
        <v>162</v>
      </c>
      <c r="B3" s="7">
        <v>1.1415525114155251E-4</v>
      </c>
      <c r="C3" s="7">
        <v>1.1415525114155251E-4</v>
      </c>
      <c r="D3" s="7">
        <v>1.1415525114155251E-4</v>
      </c>
      <c r="E3" s="7">
        <v>1.1415525114155251E-4</v>
      </c>
      <c r="F3" s="7">
        <v>1.1415525114155251E-4</v>
      </c>
      <c r="G3" s="7">
        <v>1.1415525114155251E-4</v>
      </c>
      <c r="H3" s="7">
        <v>1.1415525114155251E-4</v>
      </c>
      <c r="I3" s="7">
        <v>1.1415525114155251E-4</v>
      </c>
      <c r="J3" s="7">
        <v>1.1415525114155251E-4</v>
      </c>
      <c r="K3" s="7">
        <v>1.1415525114155251E-4</v>
      </c>
      <c r="L3" s="7">
        <v>1.1415525114155251E-4</v>
      </c>
      <c r="M3" s="7">
        <v>1.1415525114155251E-4</v>
      </c>
      <c r="N3" s="7">
        <v>1.1415525114155251E-4</v>
      </c>
      <c r="O3" s="7">
        <v>1.1415525114155251E-4</v>
      </c>
      <c r="P3" s="7">
        <v>1.1415525114155251E-4</v>
      </c>
      <c r="Q3" s="7">
        <v>1.1415525114155251E-4</v>
      </c>
      <c r="R3" s="7">
        <v>1.1415525114155251E-4</v>
      </c>
      <c r="S3" s="7">
        <v>1.1415525114155251E-4</v>
      </c>
      <c r="T3" s="7">
        <v>1.1415525114155251E-4</v>
      </c>
      <c r="U3" s="7">
        <v>1.1415525114155251E-4</v>
      </c>
      <c r="V3" s="7">
        <v>1.1415525114155251E-4</v>
      </c>
      <c r="W3" s="7">
        <v>1.1415525114155251E-4</v>
      </c>
      <c r="X3" s="7">
        <v>1.1415525114155251E-4</v>
      </c>
      <c r="Y3" s="7">
        <v>1.1415525114155251E-4</v>
      </c>
    </row>
    <row r="4" spans="1:25" x14ac:dyDescent="0.3">
      <c r="A4" s="7" t="s">
        <v>163</v>
      </c>
      <c r="B4" s="7">
        <v>1.1415525114155251E-4</v>
      </c>
      <c r="C4" s="7">
        <v>1.1415525114155251E-4</v>
      </c>
      <c r="D4" s="7">
        <v>1.1415525114155251E-4</v>
      </c>
      <c r="E4" s="7">
        <v>1.1415525114155251E-4</v>
      </c>
      <c r="F4" s="7">
        <v>1.1415525114155251E-4</v>
      </c>
      <c r="G4" s="7">
        <v>1.1415525114155251E-4</v>
      </c>
      <c r="H4" s="7">
        <v>1.1415525114155251E-4</v>
      </c>
      <c r="I4" s="7">
        <v>1.1415525114155251E-4</v>
      </c>
      <c r="J4" s="7">
        <v>1.1415525114155251E-4</v>
      </c>
      <c r="K4" s="7">
        <v>1.1415525114155251E-4</v>
      </c>
      <c r="L4" s="7">
        <v>1.1415525114155251E-4</v>
      </c>
      <c r="M4" s="7">
        <v>1.1415525114155251E-4</v>
      </c>
      <c r="N4" s="7">
        <v>1.1415525114155251E-4</v>
      </c>
      <c r="O4" s="7">
        <v>1.1415525114155251E-4</v>
      </c>
      <c r="P4" s="7">
        <v>1.1415525114155251E-4</v>
      </c>
      <c r="Q4" s="7">
        <v>1.1415525114155251E-4</v>
      </c>
      <c r="R4" s="7">
        <v>1.1415525114155251E-4</v>
      </c>
      <c r="S4" s="7">
        <v>1.1415525114155251E-4</v>
      </c>
      <c r="T4" s="7">
        <v>1.1415525114155251E-4</v>
      </c>
      <c r="U4" s="7">
        <v>1.1415525114155251E-4</v>
      </c>
      <c r="V4" s="7">
        <v>1.1415525114155251E-4</v>
      </c>
      <c r="W4" s="7">
        <v>1.1415525114155251E-4</v>
      </c>
      <c r="X4" s="7">
        <v>1.1415525114155251E-4</v>
      </c>
      <c r="Y4" s="7">
        <v>1.1415525114155251E-4</v>
      </c>
    </row>
    <row r="5" spans="1:25" x14ac:dyDescent="0.3">
      <c r="A5" s="7" t="s">
        <v>164</v>
      </c>
      <c r="B5" s="7">
        <v>1.1415525114155251E-4</v>
      </c>
      <c r="C5" s="7">
        <v>1.1415525114155251E-4</v>
      </c>
      <c r="D5" s="7">
        <v>1.1415525114155251E-4</v>
      </c>
      <c r="E5" s="7">
        <v>1.1415525114155251E-4</v>
      </c>
      <c r="F5" s="7">
        <v>1.1415525114155251E-4</v>
      </c>
      <c r="G5" s="7">
        <v>1.1415525114155251E-4</v>
      </c>
      <c r="H5" s="7">
        <v>1.1415525114155251E-4</v>
      </c>
      <c r="I5" s="7">
        <v>1.1415525114155251E-4</v>
      </c>
      <c r="J5" s="7">
        <v>1.1415525114155251E-4</v>
      </c>
      <c r="K5" s="7">
        <v>1.1415525114155251E-4</v>
      </c>
      <c r="L5" s="7">
        <v>1.1415525114155251E-4</v>
      </c>
      <c r="M5" s="7">
        <v>1.1415525114155251E-4</v>
      </c>
      <c r="N5" s="7">
        <v>1.1415525114155251E-4</v>
      </c>
      <c r="O5" s="7">
        <v>1.1415525114155251E-4</v>
      </c>
      <c r="P5" s="7">
        <v>1.1415525114155251E-4</v>
      </c>
      <c r="Q5" s="7">
        <v>1.1415525114155251E-4</v>
      </c>
      <c r="R5" s="7">
        <v>1.1415525114155251E-4</v>
      </c>
      <c r="S5" s="7">
        <v>1.1415525114155251E-4</v>
      </c>
      <c r="T5" s="7">
        <v>1.1415525114155251E-4</v>
      </c>
      <c r="U5" s="7">
        <v>1.1415525114155251E-4</v>
      </c>
      <c r="V5" s="7">
        <v>1.1415525114155251E-4</v>
      </c>
      <c r="W5" s="7">
        <v>1.1415525114155251E-4</v>
      </c>
      <c r="X5" s="7">
        <v>1.1415525114155251E-4</v>
      </c>
      <c r="Y5" s="7">
        <v>1.1415525114155251E-4</v>
      </c>
    </row>
    <row r="6" spans="1:25" x14ac:dyDescent="0.3">
      <c r="A6" s="7" t="s">
        <v>167</v>
      </c>
      <c r="B6" s="7">
        <v>1.1415525114155251E-4</v>
      </c>
      <c r="C6" s="7">
        <v>1.1415525114155251E-4</v>
      </c>
      <c r="D6" s="7">
        <v>1.1415525114155251E-4</v>
      </c>
      <c r="E6" s="7">
        <v>1.1415525114155251E-4</v>
      </c>
      <c r="F6" s="7">
        <v>1.1415525114155251E-4</v>
      </c>
      <c r="G6" s="7">
        <v>1.1415525114155251E-4</v>
      </c>
      <c r="H6" s="7">
        <v>1.1415525114155251E-4</v>
      </c>
      <c r="I6" s="7">
        <v>1.1415525114155251E-4</v>
      </c>
      <c r="J6" s="7">
        <v>1.1415525114155251E-4</v>
      </c>
      <c r="K6" s="7">
        <v>1.1415525114155251E-4</v>
      </c>
      <c r="L6" s="7">
        <v>1.1415525114155251E-4</v>
      </c>
      <c r="M6" s="7">
        <v>1.1415525114155251E-4</v>
      </c>
      <c r="N6" s="7">
        <v>1.1415525114155251E-4</v>
      </c>
      <c r="O6" s="7">
        <v>1.1415525114155251E-4</v>
      </c>
      <c r="P6" s="7">
        <v>1.1415525114155251E-4</v>
      </c>
      <c r="Q6" s="7">
        <v>1.1415525114155251E-4</v>
      </c>
      <c r="R6" s="7">
        <v>1.1415525114155251E-4</v>
      </c>
      <c r="S6" s="7">
        <v>1.1415525114155251E-4</v>
      </c>
      <c r="T6" s="7">
        <v>1.1415525114155251E-4</v>
      </c>
      <c r="U6" s="7">
        <v>1.1415525114155251E-4</v>
      </c>
      <c r="V6" s="7">
        <v>1.1415525114155251E-4</v>
      </c>
      <c r="W6" s="7">
        <v>1.1415525114155251E-4</v>
      </c>
      <c r="X6" s="7">
        <v>1.1415525114155251E-4</v>
      </c>
      <c r="Y6" s="7">
        <v>1.1415525114155251E-4</v>
      </c>
    </row>
    <row r="7" spans="1:25" x14ac:dyDescent="0.3">
      <c r="A7" s="7" t="s">
        <v>166</v>
      </c>
      <c r="B7" s="7">
        <v>1.1415525114155251E-4</v>
      </c>
      <c r="C7" s="7">
        <v>1.1415525114155251E-4</v>
      </c>
      <c r="D7" s="7">
        <v>1.1415525114155251E-4</v>
      </c>
      <c r="E7" s="7">
        <v>1.1415525114155251E-4</v>
      </c>
      <c r="F7" s="7">
        <v>1.1415525114155251E-4</v>
      </c>
      <c r="G7" s="7">
        <v>1.1415525114155251E-4</v>
      </c>
      <c r="H7" s="7">
        <v>1.1415525114155251E-4</v>
      </c>
      <c r="I7" s="7">
        <v>1.1415525114155251E-4</v>
      </c>
      <c r="J7" s="7">
        <v>1.1415525114155251E-4</v>
      </c>
      <c r="K7" s="7">
        <v>1.1415525114155251E-4</v>
      </c>
      <c r="L7" s="7">
        <v>1.1415525114155251E-4</v>
      </c>
      <c r="M7" s="7">
        <v>1.1415525114155251E-4</v>
      </c>
      <c r="N7" s="7">
        <v>1.1415525114155251E-4</v>
      </c>
      <c r="O7" s="7">
        <v>1.1415525114155251E-4</v>
      </c>
      <c r="P7" s="7">
        <v>1.1415525114155251E-4</v>
      </c>
      <c r="Q7" s="7">
        <v>1.1415525114155251E-4</v>
      </c>
      <c r="R7" s="7">
        <v>1.1415525114155251E-4</v>
      </c>
      <c r="S7" s="7">
        <v>1.1415525114155251E-4</v>
      </c>
      <c r="T7" s="7">
        <v>1.1415525114155251E-4</v>
      </c>
      <c r="U7" s="7">
        <v>1.1415525114155251E-4</v>
      </c>
      <c r="V7" s="7">
        <v>1.1415525114155251E-4</v>
      </c>
      <c r="W7" s="7">
        <v>1.1415525114155251E-4</v>
      </c>
      <c r="X7" s="7">
        <v>1.1415525114155251E-4</v>
      </c>
      <c r="Y7" s="7">
        <v>1.1415525114155251E-4</v>
      </c>
    </row>
    <row r="8" spans="1:25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505A9D-461E-4598-B35E-A8C6534D6F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71FDBC-7343-4C7B-8ABB-56F59852EAB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967FB2A-F1F1-4A5B-8B48-1259643665D2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69B738D-ADB8-4B4D-815A-3BE016592A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20</vt:i4>
      </vt:variant>
    </vt:vector>
  </HeadingPairs>
  <TitlesOfParts>
    <vt:vector size="49" baseType="lpstr">
      <vt:lpstr>About</vt:lpstr>
      <vt:lpstr>Sheet1</vt:lpstr>
      <vt:lpstr>Source Data</vt:lpstr>
      <vt:lpstr>Summarized Source Data</vt:lpstr>
      <vt:lpstr>Category Mapping</vt:lpstr>
      <vt:lpstr>Double Check</vt:lpstr>
      <vt:lpstr>SHELF-days-per-timeslice</vt:lpstr>
      <vt:lpstr>SHELF-residential-heating</vt:lpstr>
      <vt:lpstr>SHELF-residential-cooling</vt:lpstr>
      <vt:lpstr>SHELF-residential-envelope</vt:lpstr>
      <vt:lpstr>SHELF-residential-lighting</vt:lpstr>
      <vt:lpstr>SHELF-residential-appliances</vt:lpstr>
      <vt:lpstr>SHELF-residential-other</vt:lpstr>
      <vt:lpstr>SHELF-commercial-heating</vt:lpstr>
      <vt:lpstr>SHELF-commercial-cooling</vt:lpstr>
      <vt:lpstr>SHELF-commercial-envelope</vt:lpstr>
      <vt:lpstr>SHELF-commercial-lighting</vt:lpstr>
      <vt:lpstr>SHELF-commercial-appliances</vt:lpstr>
      <vt:lpstr>SHELF-commercial-other</vt:lpstr>
      <vt:lpstr>SHELF-LDVs</vt:lpstr>
      <vt:lpstr>SHELF-HDVs</vt:lpstr>
      <vt:lpstr>SHELF-aircraft</vt:lpstr>
      <vt:lpstr>SHELF-rail</vt:lpstr>
      <vt:lpstr>SHELF-ships</vt:lpstr>
      <vt:lpstr>SHELF-motorbikes</vt:lpstr>
      <vt:lpstr>SHELF-industry</vt:lpstr>
      <vt:lpstr>SHELF-district-heat-hydrogen</vt:lpstr>
      <vt:lpstr>SHELF-geoeng</vt:lpstr>
      <vt:lpstr>SHELF-datacenters</vt:lpstr>
      <vt:lpstr>DaysPerWeek</vt:lpstr>
      <vt:lpstr>FallWeekdays</vt:lpstr>
      <vt:lpstr>FallWeekendDays</vt:lpstr>
      <vt:lpstr>Hour</vt:lpstr>
      <vt:lpstr>Load</vt:lpstr>
      <vt:lpstr>LoadFactorHours</vt:lpstr>
      <vt:lpstr>LoadFactorSeasons</vt:lpstr>
      <vt:lpstr>Month</vt:lpstr>
      <vt:lpstr>Season</vt:lpstr>
      <vt:lpstr>Sector</vt:lpstr>
      <vt:lpstr>SpringWeekdays</vt:lpstr>
      <vt:lpstr>SpringWeekendDays</vt:lpstr>
      <vt:lpstr>Subsector</vt:lpstr>
      <vt:lpstr>SummerWeekdays</vt:lpstr>
      <vt:lpstr>SummerWeekendDays</vt:lpstr>
      <vt:lpstr>TimeOfWeek</vt:lpstr>
      <vt:lpstr>Weekdays</vt:lpstr>
      <vt:lpstr>WeekendDays</vt:lpstr>
      <vt:lpstr>WinterWeekdays</vt:lpstr>
      <vt:lpstr>WinterWeekendDays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Rachel Goldstein</cp:lastModifiedBy>
  <cp:revision/>
  <dcterms:created xsi:type="dcterms:W3CDTF">2022-08-05T18:16:01Z</dcterms:created>
  <dcterms:modified xsi:type="dcterms:W3CDTF">2025-12-18T17:37:10Z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  <property fmtid="{D5CDD505-2E9C-101B-9397-08002B2CF9AE}" pid="3" name="Order">
    <vt:r8>703100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